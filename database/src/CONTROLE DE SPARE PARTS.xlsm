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FBCEF0F1-A921-45D2-ADE8-C50138AA8E30}" xr6:coauthVersionLast="47" xr6:coauthVersionMax="47" xr10:uidLastSave="{00000000-0000-0000-0000-000000000000}"/>
  <bookViews>
    <workbookView xWindow="-120" yWindow="-120" windowWidth="20730" windowHeight="11310" activeTab="1" xr2:uid="{639BDDAE-7025-43E4-9AD5-BF8A28BB6125}"/>
  </bookViews>
  <sheets>
    <sheet name="CONTROLE GERAL" sheetId="1" r:id="rId1"/>
    <sheet name="MOVIMENTAÇÕES" sheetId="2" r:id="rId2"/>
  </sheets>
  <definedNames>
    <definedName name="_xlnm._FilterDatabase" localSheetId="1" hidden="1">MOVIMENTAÇÕES!$D$1:$D$1543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2" l="1"/>
  <c r="D5" i="2"/>
  <c r="D6" i="2"/>
  <c r="D7" i="2"/>
  <c r="F8" i="1"/>
  <c r="O8" i="1" s="1"/>
  <c r="F10" i="1"/>
  <c r="O10" i="1" s="1"/>
  <c r="F9" i="1"/>
  <c r="O9" i="1" s="1"/>
  <c r="F6" i="1"/>
  <c r="O6" i="1" s="1"/>
  <c r="F7" i="1"/>
  <c r="O7" i="1" s="1"/>
  <c r="F5" i="1"/>
  <c r="O5" i="1" s="1"/>
  <c r="J3" i="1"/>
</calcChain>
</file>

<file path=xl/sharedStrings.xml><?xml version="1.0" encoding="utf-8"?>
<sst xmlns="http://schemas.openxmlformats.org/spreadsheetml/2006/main" count="55" uniqueCount="40">
  <si>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</si>
  <si>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</si>
  <si>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</si>
  <si>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</si>
  <si>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</si>
  <si>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</si>
  <si>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</si>
  <si>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</si>
  <si>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</si>
  <si>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</si>
  <si>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</si>
  <si>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</si>
  <si>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</si>
  <si>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</si>
  <si>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</si>
  <si>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</si>
  <si>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Numero Nf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</si>
  <si>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</si>
  <si>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</si>
  <si>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</si>
  <si>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</si>
  <si>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</si>
  <si>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</si>
  <si>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 xml:space="preserve">TOMADAS DE 10  AMPERES 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</si>
  <si>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</si>
  <si>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</si>
  <si>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</si>
  <si>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</si>
  <si>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</si>
  <si>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</si>
  <si>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</si>
  <si>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</si>
  <si>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</si>
  <si>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Entrada</t>
  </si>
  <si>
    <t>Saída</t>
  </si>
  <si>
    <t xml:space="preserve">MODULO DE FREIO </t>
  </si>
  <si>
    <t>FITA ISOLANTE PARA/ ALTA TENSÃO</t>
  </si>
  <si>
    <t xml:space="preserve">FITA ISOLANTE PROFISSIONAL </t>
  </si>
  <si>
    <t>SENSOR SICK</t>
  </si>
  <si>
    <t>CONTATOR TRIPOLAR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</si>
</sst>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2">
    <cellStyle name="Moeda" xfId="1" builtinId="4"/>
    <cellStyle name="Normal" xfId="0" builtinId="0"/>
  </cellStyles>
  <dxfs count="36">
    <dxf>
      <font>
        <color rgb="FF00B05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CB76A8E8-1869-491D-8563-84C107B5D7A0}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R$ 1.797,85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0667C0-6964-43CE-AA1F-C45E1DB103F9}" name="Tabela1" displayName="Tabela1" ref="A4:Q10" totalsRowShown="0" headerRowDxfId="31" dataDxfId="30">
  <sortState xmlns:xlrd2="http://schemas.microsoft.com/office/spreadsheetml/2017/richdata2" ref="A5:Q10">
    <sortCondition ref="A4:A10"/>
  </sortState>
  <tableColumns count="17">
    <tableColumn id="1" xr3:uid="{0073FF59-E152-4896-A60D-CB42748E31B6}" name="Codigo" dataDxfId="29"/>
    <tableColumn id="2" xr3:uid="{FB7437AD-A9A8-4556-8928-50247BE3D705}" name="Maquina" dataDxfId="28"/>
    <tableColumn id="3" xr3:uid="{0FD44081-95DC-4CCD-ABAC-B19D0ECB408E}" name="Classificação" dataDxfId="27"/>
    <tableColumn id="4" xr3:uid="{EBBB42A9-E72D-4F01-9D37-BC344F40FD2E}" name="Descrição Tecnica" dataDxfId="26"/>
    <tableColumn id="5" xr3:uid="{0E5D4086-2B2E-44EA-B1EA-E4984B143A50}" name="ENDEREÇO" dataDxfId="25"/>
    <tableColumn id="6" xr3:uid="{A51521E3-94B2-425B-9B10-CC47166EEE4C}" name="Estoque" dataDxfId="24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xr3:uid="{548CA688-F976-4EE0-9605-CBBCFE4C5E2B}" name="Mínimo" dataDxfId="23"/>
    <tableColumn id="8" xr3:uid="{6732CE99-3405-44C6-9AD4-11C28FFC3E13}" name="Maximo" dataDxfId="22"/>
    <tableColumn id="9" xr3:uid="{36337E87-47A2-418A-8DF1-EBDF6206C7C7}" name="Valor Unitario Estimado" dataDxfId="21" dataCellStyle="Moeda"/>
    <tableColumn id="10" xr3:uid="{CA620DC5-162E-4246-8A7E-1296EF989D2D}" name="Valor Total Estimado" dataDxfId="20" dataCellStyle="Moeda"/>
    <tableColumn id="11" xr3:uid="{71DC5D2C-E455-4403-9A8B-F92D2EE7B5AD}" name="Valor total Investimento FO's" dataDxfId="19"/>
    <tableColumn id="13" xr3:uid="{7F25C031-25BB-446B-9932-196AC64F67BF}" name="Ser. Realizado" dataDxfId="18"/>
    <tableColumn id="14" xr3:uid="{4ADDB2C7-D4C2-4A4D-9E62-E9820FB14E81}" name="Numero Nf" dataDxfId="17"/>
    <tableColumn id="15" xr3:uid="{D1CE3B68-1D63-4D1F-9ADC-F1A5F199D181}" name="Valor Ser." dataDxfId="16"/>
    <tableColumn id="16" xr3:uid="{38E9459F-D977-4263-ADE2-A6CCFDE6F232}" name="Status Nivel Estoque " dataDxfId="15">
      <calculatedColumnFormula>IF(Tabela1[[#This Row],[Estoque]]=Tabela1[[#This Row],[Mínimo]],"Estoque em Nível Mínimo",IF(AND(Tabela1[[#This Row],[Estoque]]&gt;=Tabela1[[#This Row],[Mínimo]],Tabela1[[#This Row],[Estoque]]&lt;=Tabela1[[#This Row],[Maximo]]),"Estoque Conforme","Estoque Não Conforme"))</calculatedColumnFormula>
    </tableColumn>
    <tableColumn id="17" xr3:uid="{CF46BD04-8AB0-4EF5-80D7-543F5F5432A9}" name="status de solicitação" dataDxfId="14"/>
    <tableColumn id="12" xr3:uid="{4D7BE619-6260-47C5-A86C-A1DA7B961BDC}" name="Estoque Inicial" dataDxfId="13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8F190F-9948-46BF-91AE-9051794C444E}" name="Tabela2" displayName="Tabela2" ref="B4:F8" totalsRowShown="0" headerRowDxfId="12" dataDxfId="11">
  <autoFilter ref="B4:F8" xr:uid="{D68F190F-9948-46BF-91AE-9051794C444E}"/>
  <tableColumns count="5">
    <tableColumn id="1" xr3:uid="{ACEA7F02-CE4B-489D-B8A3-C13B15F8B99E}" name="Data" dataDxfId="10"/>
    <tableColumn id="2" xr3:uid="{00AA5543-1FB9-4FDD-A2B0-A42DE8EED1F6}" name="Codigo" dataDxfId="9"/>
    <tableColumn id="3" xr3:uid="{0AB61A0E-7154-4B59-8FC3-2F21CF026ADD}" name="Descrição Tecnica" dataDxfId="8">
      <calculatedColumnFormula>IFERROR(VLOOKUP(C5,Tabela1[],4,0),"Nenhum Item com esse Código Encontrado")</calculatedColumnFormula>
    </tableColumn>
    <tableColumn id="4" xr3:uid="{E7F32F42-F9AA-4A92-893B-85A757B4BCCA}" name="Tipo" dataDxfId="7"/>
    <tableColumn id="5" xr3:uid="{204168BF-CE56-4D4D-ACF0-FA4EF71F7342}" name="Quantidade" dataDxfId="6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A25B2-80FC-41F3-9CC7-180FC968A6B3}">
  <sheetPr codeName="Planilha1">
    <pageSetUpPr fitToPage="1"/>
  </sheetPr>
  <dimension ref="A1:Q10"/>
  <sheetViews>
    <sheetView showGridLines="0" showRowColHeaders="0" zoomScale="70" zoomScaleNormal="70" workbookViewId="0">
      <pane ySplit="4" topLeftCell="A5" activePane="bottomLeft" state="frozen"/>
      <selection pane="bottomLeft" activeCell="D24" sqref="D24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20" t="s">
        <v>0</v>
      </c>
      <c r="C1" s="20"/>
      <c r="D1" s="20"/>
      <c r="E1" s="20"/>
      <c r="F1" s="20"/>
      <c r="G1" s="9" t="s">
        <v>1</v>
      </c>
      <c r="I1" s="10"/>
      <c r="J1" s="10"/>
      <c r="O1" s="18"/>
    </row>
    <row r="2" spans="1:17" ht="28.5" x14ac:dyDescent="0.45">
      <c r="B2" s="19" t="s">
        <v>2</v>
      </c>
      <c r="C2" s="19"/>
      <c r="D2" s="19"/>
      <c r="E2" s="19"/>
      <c r="F2" s="19"/>
    </row>
    <row r="3" spans="1:17" ht="21" customHeight="1" x14ac:dyDescent="0.2">
      <c r="I3" s="11" t="s">
        <v>29</v>
      </c>
      <c r="J3" s="12">
        <f>SUM(J5:J8439)</f>
        <v>1797.85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16</v>
      </c>
      <c r="N4" s="13" t="s">
        <v>17</v>
      </c>
      <c r="O4" s="14" t="s">
        <v>18</v>
      </c>
      <c r="P4" s="13" t="s">
        <v>19</v>
      </c>
      <c r="Q4" s="13" t="s">
        <v>20</v>
      </c>
    </row>
    <row r="5" spans="1:17" s="4" customFormat="1" x14ac:dyDescent="0.2">
      <c r="A5" s="4" t="s">
        <v>28</v>
      </c>
      <c r="D5" s="5" t="s">
        <v>35</v>
      </c>
      <c r="E5" s="4" t="s">
        <v>21</v>
      </c>
      <c r="F5" s="4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" s="4">
        <v>4</v>
      </c>
      <c r="H5" s="4">
        <v>10</v>
      </c>
      <c r="I5" s="7">
        <v>200</v>
      </c>
      <c r="J5" s="7">
        <v>0</v>
      </c>
      <c r="O5" s="18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Conforme</v>
      </c>
      <c r="Q5" s="4">
        <v>0</v>
      </c>
    </row>
    <row r="6" spans="1:17" s="4" customFormat="1" x14ac:dyDescent="0.2">
      <c r="A6" s="4" t="s">
        <v>26</v>
      </c>
      <c r="D6" s="5" t="s">
        <v>36</v>
      </c>
      <c r="E6" s="4" t="s">
        <v>21</v>
      </c>
      <c r="F6" s="4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6" s="4">
        <v>2</v>
      </c>
      <c r="H6" s="4">
        <v>5</v>
      </c>
      <c r="I6" s="7">
        <v>26.39</v>
      </c>
      <c r="J6" s="7">
        <v>659.75</v>
      </c>
      <c r="O6" s="18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Q6" s="4">
        <v>25</v>
      </c>
    </row>
    <row r="7" spans="1:17" s="4" customFormat="1" x14ac:dyDescent="0.2">
      <c r="A7" s="4" t="s">
        <v>27</v>
      </c>
      <c r="D7" s="5" t="s">
        <v>37</v>
      </c>
      <c r="E7" s="4" t="s">
        <v>21</v>
      </c>
      <c r="F7" s="4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7" s="4">
        <v>10</v>
      </c>
      <c r="H7" s="4">
        <v>50</v>
      </c>
      <c r="I7" s="7">
        <v>23.9</v>
      </c>
      <c r="J7" s="7">
        <v>884.3</v>
      </c>
      <c r="O7" s="18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Conforme</v>
      </c>
      <c r="Q7" s="4">
        <v>37</v>
      </c>
    </row>
    <row r="8" spans="1:17" s="4" customFormat="1" x14ac:dyDescent="0.2">
      <c r="A8" s="4" t="s">
        <v>22</v>
      </c>
      <c r="D8" s="5" t="s">
        <v>23</v>
      </c>
      <c r="E8" s="4" t="s">
        <v>21</v>
      </c>
      <c r="F8" s="4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" s="4">
        <v>5</v>
      </c>
      <c r="H8" s="4">
        <v>20</v>
      </c>
      <c r="I8" s="7">
        <v>16.440000000000001</v>
      </c>
      <c r="J8" s="7">
        <v>82.2</v>
      </c>
      <c r="O8" s="18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Q8" s="4">
        <v>3</v>
      </c>
    </row>
    <row r="9" spans="1:17" s="4" customFormat="1" x14ac:dyDescent="0.2">
      <c r="A9" s="4" t="s">
        <v>25</v>
      </c>
      <c r="D9" s="5" t="s">
        <v>38</v>
      </c>
      <c r="E9" s="4" t="s">
        <v>21</v>
      </c>
      <c r="F9" s="4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" s="4">
        <v>2</v>
      </c>
      <c r="H9" s="4">
        <v>4</v>
      </c>
      <c r="I9" s="7">
        <v>12</v>
      </c>
      <c r="J9" s="7">
        <v>24</v>
      </c>
      <c r="O9" s="18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Conforme</v>
      </c>
      <c r="Q9" s="4">
        <v>3</v>
      </c>
    </row>
    <row r="10" spans="1:17" s="4" customFormat="1" x14ac:dyDescent="0.2">
      <c r="A10" s="4" t="s">
        <v>24</v>
      </c>
      <c r="D10" s="5" t="s">
        <v>39</v>
      </c>
      <c r="E10" s="4" t="s">
        <v>21</v>
      </c>
      <c r="F10" s="4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" s="4">
        <v>2</v>
      </c>
      <c r="H10" s="4">
        <v>3</v>
      </c>
      <c r="I10" s="7">
        <v>100</v>
      </c>
      <c r="J10" s="7">
        <v>147.60000000000002</v>
      </c>
      <c r="O10" s="18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Q10" s="4">
        <v>2</v>
      </c>
    </row>
  </sheetData>
  <mergeCells count="2">
    <mergeCell ref="B2:F2"/>
    <mergeCell ref="B1:F1"/>
  </mergeCells>
  <phoneticPr fontId="13" type="noConversion"/>
  <conditionalFormatting sqref="C5:C1048576">
    <cfRule type="expression" dxfId="5" priority="4" stopIfTrue="1">
      <formula>$C5="A"</formula>
    </cfRule>
  </conditionalFormatting>
  <conditionalFormatting sqref="O5:O10">
    <cfRule type="expression" dxfId="4" priority="1" stopIfTrue="1">
      <formula>$O5="Estoque em Nível Mínimo"</formula>
    </cfRule>
    <cfRule type="expression" dxfId="3" priority="2" stopIfTrue="1">
      <formula>$O5="Estoque Não Conforme"</formula>
    </cfRule>
    <cfRule type="expression" dxfId="2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101FB-6AF7-45A7-BC4E-2D14A923F63D}">
  <sheetPr codeName="Planilha2"/>
  <dimension ref="B1:J8"/>
  <sheetViews>
    <sheetView showGridLines="0" tabSelected="1" workbookViewId="0">
      <pane ySplit="4" topLeftCell="A5" activePane="bottomLeft" state="frozen"/>
      <selection pane="bottomLeft" activeCell="D20" sqref="D20"/>
    </sheetView>
  </sheetViews>
  <sheetFormatPr defaultColWidth="9.140625" defaultRowHeight="15" x14ac:dyDescent="0.25"/>
  <cols>
    <col min="1" max="1" width="13.42578125" customWidth="1"/>
    <col min="2" max="2" width="11.85546875" style="16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7" max="7" width="7.28515625" customWidth="1"/>
    <col min="8" max="8" width="20" customWidth="1"/>
    <col min="9" max="9" width="9" customWidth="1"/>
  </cols>
  <sheetData>
    <row r="1" spans="2:10" s="2" customFormat="1" ht="37.5" customHeight="1" x14ac:dyDescent="0.5">
      <c r="B1" s="21" t="s">
        <v>0</v>
      </c>
      <c r="C1" s="21"/>
      <c r="D1" s="21"/>
      <c r="E1" s="21"/>
      <c r="F1" s="21"/>
      <c r="G1" s="3" t="s">
        <v>1</v>
      </c>
      <c r="I1" s="6"/>
      <c r="J1" s="6"/>
    </row>
    <row r="2" spans="2:10" s="2" customFormat="1" ht="21" x14ac:dyDescent="0.2">
      <c r="B2" s="22" t="s">
        <v>30</v>
      </c>
      <c r="C2" s="22"/>
      <c r="D2" s="22"/>
      <c r="E2" s="22"/>
      <c r="F2" s="22"/>
      <c r="I2" s="6"/>
      <c r="J2" s="6"/>
    </row>
    <row r="3" spans="2:10" x14ac:dyDescent="0.25">
      <c r="D3"/>
    </row>
    <row r="4" spans="2:10" x14ac:dyDescent="0.25">
      <c r="B4" s="16" t="s">
        <v>31</v>
      </c>
      <c r="C4" s="1" t="s">
        <v>3</v>
      </c>
      <c r="D4" s="17" t="s">
        <v>6</v>
      </c>
      <c r="E4" s="1" t="s">
        <v>7</v>
      </c>
      <c r="F4" s="1" t="s">
        <v>32</v>
      </c>
    </row>
    <row r="5" spans="2:10" x14ac:dyDescent="0.25">
      <c r="B5" s="16">
        <v>44604</v>
      </c>
      <c r="C5" s="1" t="s">
        <v>28</v>
      </c>
      <c r="D5" s="17" t="str">
        <f>IFERROR(VLOOKUP(C5,Tabela1[],4,0),"Nenhum Item com esse Código Encontrado")</f>
        <v xml:space="preserve">MODULO DE FREIO </v>
      </c>
      <c r="E5" s="1" t="s">
        <v>33</v>
      </c>
      <c r="F5" s="1">
        <v>5</v>
      </c>
    </row>
    <row r="6" spans="2:10" x14ac:dyDescent="0.25">
      <c r="B6" s="16">
        <v>44810</v>
      </c>
      <c r="C6" s="1" t="s">
        <v>26</v>
      </c>
      <c r="D6" s="17" t="str">
        <f>IFERROR(VLOOKUP(C6,Tabela1[],4,0),"Nenhum Item com esse Código Encontrado")</f>
        <v>FITA ISOLANTE PARA/ ALTA TENSÃO</v>
      </c>
      <c r="E6" s="1" t="s">
        <v>34</v>
      </c>
      <c r="F6" s="1">
        <v>1</v>
      </c>
    </row>
    <row r="7" spans="2:10" x14ac:dyDescent="0.25">
      <c r="B7" s="16">
        <v>44810</v>
      </c>
      <c r="C7" s="1" t="s">
        <v>27</v>
      </c>
      <c r="D7" s="17" t="str">
        <f>IFERROR(VLOOKUP(C7,Tabela1[],4,0),"Nenhum Item com esse Código Encontrado")</f>
        <v xml:space="preserve">FITA ISOLANTE PROFISSIONAL </v>
      </c>
      <c r="E7" s="1" t="s">
        <v>33</v>
      </c>
      <c r="F7" s="1">
        <v>2</v>
      </c>
    </row>
    <row r="8" spans="2:10" x14ac:dyDescent="0.25">
      <c r="B8" s="16">
        <v>44810</v>
      </c>
      <c r="C8" s="1" t="s">
        <v>22</v>
      </c>
      <c r="D8" s="17" t="str">
        <f>IFERROR(VLOOKUP(C8,Tabela1[],4,0),"Nenhum Item com esse Código Encontrado")</f>
        <v xml:space="preserve">TOMADAS DE 10  AMPERES </v>
      </c>
      <c r="E8" s="1" t="s">
        <v>33</v>
      </c>
      <c r="F8" s="1">
        <v>1</v>
      </c>
    </row>
  </sheetData>
  <mergeCells count="2">
    <mergeCell ref="B1:F1"/>
    <mergeCell ref="B2:F2"/>
  </mergeCells>
  <phoneticPr fontId="13" type="noConversion"/>
  <conditionalFormatting sqref="E5:E8">
    <cfRule type="expression" dxfId="1" priority="1" stopIfTrue="1">
      <formula>$E5="Saída"</formula>
    </cfRule>
    <cfRule type="expression" dxfId="0" priority="2" stopIfTrue="1">
      <formula>$E5="Entrada"</formula>
    </cfRule>
  </conditionalFormatting>
  <dataValidations count="2">
    <dataValidation type="list" allowBlank="1" showInputMessage="1" showErrorMessage="1" sqref="E5:E8" xr:uid="{E44EA3A4-5D1C-4473-BEF7-700F06804209}">
      <formula1>"Entrada,Saída"</formula1>
    </dataValidation>
    <dataValidation type="custom" allowBlank="1" showInputMessage="1" showErrorMessage="1" errorTitle="Valor Incorreto!!!" error="Não há estoque suficiente para realizar está movimentação!" sqref="F5:F8" xr:uid="{2D248EE3-A234-4721-9A31-111B11375A94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CONTROLE GERAL</vt:lpstr>
      <vt:lpstr>MOVIMENTAÇÕES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2022-09-24T19:13:04Z</dcterms:modified>
</cp:coreProperties>
</file>