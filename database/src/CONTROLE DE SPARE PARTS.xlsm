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workbookPr codeName="EstaPasta_de_trabalho" hidePivotFieldList="1"/>
  <mc:AlternateContent xmlns:mc="http://schemas.openxmlformats.org/markup-compatibility/2006">
    <mc:Choice Requires="x15">
      <x15ac:absPath xmlns:x15ac="http://schemas.microsoft.com/office/spreadsheetml/2010/11/ac" url="C:\Users\leand\Desktop\Dev\warehouseSystem\database\src\"/>
    </mc:Choice>
  </mc:AlternateContent>
  <xr:revisionPtr revIDLastSave="0" documentId="13_ncr:1_{5983016D-0144-4D9B-ABCD-9A4754A0FAC1}" xr6:coauthVersionLast="47" xr6:coauthVersionMax="47" xr10:uidLastSave="{00000000-0000-0000-0000-000000000000}"/>
  <bookViews>
    <workbookView xWindow="-120" yWindow="-120" windowWidth="20730" windowHeight="11310" tabRatio="592" firstSheet="1" activeTab="1" xr2:uid="{00000000-000D-0000-FFFF-FFFF00000000}"/>
  </bookViews>
  <sheets>
    <sheet name="Analise_Resumo" sheetId="7" state="hidden" r:id="rId1"/>
    <sheet name="CONTROLE GERAL" sheetId="1" r:id="rId2"/>
    <sheet name="   SAIDA   " sheetId="4" r:id="rId3"/>
    <sheet name="ENTRADA " sheetId="2" r:id="rId4"/>
    <sheet name="Histórico de valores" sheetId="14" r:id="rId5"/>
    <sheet name="Controle Manual Saida" sheetId="8" r:id="rId6"/>
    <sheet name="CONTROLE DE VALORES" sheetId="10" state="hidden" r:id="rId7"/>
    <sheet name="ANALISE &amp; AÇÃO" sheetId="12" r:id="rId8"/>
    <sheet name="Controladoria" sheetId="15" r:id="rId9"/>
    <sheet name="ITENS CRITICOS" sheetId="13" r:id="rId10"/>
    <sheet name="Plan1" sheetId="16" r:id="rId11"/>
    <sheet name="DADOS INDICADORES" sheetId="9" state="hidden" r:id="rId12"/>
  </sheets>
  <definedNames>
    <definedName name="_xlnm._FilterDatabase" localSheetId="8" hidden="1">Controladoria!$A$2:$K$979</definedName>
    <definedName name="_xlnm.Print_Area" localSheetId="1">'CONTROLE GERAL'!$I$1341:$Q$1374</definedName>
    <definedName name="_xlnm.Print_Titles" localSheetId="1">'CONTROLE GERAL'!$1:$2</definedName>
    <definedName name="_xlnm.Print_Titles" localSheetId="5">'Controle Manual Saida'!$1:$2</definedName>
  </definedNames>
  <calcPr calcId="191029"/>
  <pivotCaches>
    <pivotCache cacheId="0"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1565" i="4" l="1"/>
  <c r="B1009" i="4" l="1"/>
  <c r="D18" i="4"/>
  <c r="E3" i="4" l="1"/>
  <c r="B844" i="2" l="1"/>
  <c r="B1519" i="2" l="1"/>
  <c r="B1602" i="4" l="1"/>
  <c r="B1603" i="4"/>
  <c r="B1604" i="4"/>
  <c r="B1605" i="4"/>
  <c r="B1606" i="4"/>
  <c r="B1607" i="4"/>
  <c r="B1608" i="4"/>
  <c r="B1609" i="4"/>
  <c r="B1610" i="4"/>
  <c r="B1611" i="4"/>
  <c r="B1612" i="4"/>
  <c r="C1602" i="4"/>
  <c r="C1603" i="4"/>
  <c r="C1604" i="4"/>
  <c r="C1605" i="4"/>
  <c r="C1606" i="4"/>
  <c r="C1607" i="4"/>
  <c r="C1608" i="4"/>
  <c r="C1609" i="4"/>
  <c r="C1610" i="4"/>
  <c r="C1611" i="4"/>
  <c r="C1612" i="4"/>
  <c r="D1602" i="4"/>
  <c r="D1603" i="4"/>
  <c r="D1604" i="4"/>
  <c r="D1605" i="4"/>
  <c r="D1606" i="4"/>
  <c r="D1607" i="4"/>
  <c r="D1608" i="4"/>
  <c r="D1609" i="4"/>
  <c r="D1610" i="4"/>
  <c r="D1611" i="4"/>
  <c r="D1612" i="4"/>
  <c r="E1602" i="4"/>
  <c r="E1603" i="4"/>
  <c r="E1604" i="4"/>
  <c r="E1605" i="4"/>
  <c r="E1606" i="4"/>
  <c r="E1607" i="4"/>
  <c r="E1608" i="4"/>
  <c r="E1609" i="4"/>
  <c r="E1610" i="4"/>
  <c r="E1611" i="4"/>
  <c r="E1612" i="4"/>
  <c r="B1602" i="2"/>
  <c r="B1603" i="2"/>
  <c r="B1604" i="2"/>
  <c r="B1605" i="2"/>
  <c r="B1606" i="2"/>
  <c r="B1607" i="2"/>
  <c r="B1608" i="2"/>
  <c r="B1609" i="2"/>
  <c r="B1610" i="2"/>
  <c r="B1611" i="2"/>
  <c r="B1612" i="2"/>
  <c r="C1602" i="2"/>
  <c r="C1603" i="2"/>
  <c r="C1604" i="2"/>
  <c r="C1605" i="2"/>
  <c r="C1606" i="2"/>
  <c r="C1607" i="2"/>
  <c r="C1608" i="2"/>
  <c r="C1609" i="2"/>
  <c r="C1610" i="2"/>
  <c r="C1611" i="2"/>
  <c r="C1612" i="2"/>
  <c r="D1602" i="2"/>
  <c r="D1603" i="2"/>
  <c r="D1604" i="2"/>
  <c r="D1605" i="2"/>
  <c r="D1606" i="2"/>
  <c r="D1607" i="2"/>
  <c r="D1608" i="2"/>
  <c r="D1609" i="2"/>
  <c r="D1610" i="2"/>
  <c r="D1611" i="2"/>
  <c r="D1612" i="2"/>
  <c r="E1602" i="2"/>
  <c r="Q1602" i="1" s="1"/>
  <c r="U1602" i="1" s="1"/>
  <c r="E1603" i="2"/>
  <c r="Q1603" i="1" s="1"/>
  <c r="U1603" i="1" s="1"/>
  <c r="E1604" i="2"/>
  <c r="Q1604" i="1" s="1"/>
  <c r="E1605" i="2"/>
  <c r="E1606" i="2"/>
  <c r="E1607" i="2"/>
  <c r="Q1607" i="1" s="1"/>
  <c r="U1607" i="1" s="1"/>
  <c r="E1608" i="2"/>
  <c r="Q1608" i="1" s="1"/>
  <c r="U1608" i="1" s="1"/>
  <c r="E1609" i="2"/>
  <c r="Q1609" i="1" s="1"/>
  <c r="U1609" i="1" s="1"/>
  <c r="E1610" i="2"/>
  <c r="Q1610" i="1" s="1"/>
  <c r="U1610" i="1" s="1"/>
  <c r="E1611" i="2"/>
  <c r="Q1611" i="1" s="1"/>
  <c r="U1611" i="1" s="1"/>
  <c r="E1612" i="2"/>
  <c r="Q1612" i="1" s="1"/>
  <c r="Q1605" i="1"/>
  <c r="U1605" i="1" s="1"/>
  <c r="Q1606" i="1"/>
  <c r="U1606" i="1" s="1"/>
  <c r="AB1612" i="1" l="1"/>
  <c r="U1612" i="1"/>
  <c r="AB1604" i="1"/>
  <c r="U1604" i="1"/>
  <c r="AB1602" i="1"/>
  <c r="AB1610" i="1"/>
  <c r="AB1611" i="1"/>
  <c r="AB1607" i="1"/>
  <c r="AB1603" i="1"/>
  <c r="AB1609" i="1"/>
  <c r="AB1606" i="1"/>
  <c r="AB1605" i="1"/>
  <c r="AB1608" i="1"/>
  <c r="B1601" i="2"/>
  <c r="C1601" i="2"/>
  <c r="D1601" i="2"/>
  <c r="E1601" i="2"/>
  <c r="B1601" i="4"/>
  <c r="C1601" i="4"/>
  <c r="D1601" i="4"/>
  <c r="E1601" i="4"/>
  <c r="Q1601" i="1" l="1"/>
  <c r="U1601" i="1" s="1"/>
  <c r="AB1601" i="1" l="1"/>
  <c r="B1600" i="2"/>
  <c r="C1600" i="2"/>
  <c r="D1600" i="2"/>
  <c r="E1600" i="2"/>
  <c r="B1600" i="4"/>
  <c r="C1600" i="4"/>
  <c r="D1600" i="4"/>
  <c r="E1600" i="4"/>
  <c r="Q1600" i="1" l="1"/>
  <c r="U1600" i="1" s="1"/>
  <c r="B1596" i="2"/>
  <c r="B1597" i="2"/>
  <c r="B1598" i="2"/>
  <c r="B1599" i="2"/>
  <c r="C1596" i="2"/>
  <c r="C1597" i="2"/>
  <c r="C1598" i="2"/>
  <c r="C1599" i="2"/>
  <c r="D1596" i="2"/>
  <c r="D1597" i="2"/>
  <c r="D1598" i="2"/>
  <c r="D1599" i="2"/>
  <c r="E1596" i="2"/>
  <c r="E1597" i="2"/>
  <c r="E1598" i="2"/>
  <c r="E1599" i="2"/>
  <c r="B1596" i="4"/>
  <c r="B1597" i="4"/>
  <c r="B1598" i="4"/>
  <c r="B1599" i="4"/>
  <c r="C1596" i="4"/>
  <c r="C1597" i="4"/>
  <c r="C1598" i="4"/>
  <c r="C1599" i="4"/>
  <c r="D1596" i="4"/>
  <c r="D1597" i="4"/>
  <c r="D1598" i="4"/>
  <c r="D1599" i="4"/>
  <c r="E1596" i="4"/>
  <c r="Q1596" i="1" s="1"/>
  <c r="E1597" i="4"/>
  <c r="E1598" i="4"/>
  <c r="E1599" i="4"/>
  <c r="Q1599" i="1" s="1"/>
  <c r="U1599" i="1" s="1"/>
  <c r="B1594" i="4"/>
  <c r="B1595" i="4"/>
  <c r="C1594" i="4"/>
  <c r="C1595" i="4"/>
  <c r="D1594" i="4"/>
  <c r="D1595" i="4"/>
  <c r="E1594" i="4"/>
  <c r="E1595" i="4"/>
  <c r="B1594" i="2"/>
  <c r="B1595" i="2"/>
  <c r="C1594" i="2"/>
  <c r="C1595" i="2"/>
  <c r="D1594" i="2"/>
  <c r="D1595" i="2"/>
  <c r="E1594" i="2"/>
  <c r="E1595" i="2"/>
  <c r="B1593" i="2"/>
  <c r="C1593" i="2"/>
  <c r="D1593" i="2"/>
  <c r="E1593" i="2"/>
  <c r="B1593" i="4"/>
  <c r="C1593" i="4"/>
  <c r="D1593" i="4"/>
  <c r="E1593" i="4"/>
  <c r="Q1594" i="1" l="1"/>
  <c r="U1594" i="1" s="1"/>
  <c r="AB1596" i="1"/>
  <c r="U1596" i="1"/>
  <c r="Q1597" i="1"/>
  <c r="Q1598" i="1"/>
  <c r="Q1595" i="1"/>
  <c r="U1595" i="1" s="1"/>
  <c r="AB1600" i="1"/>
  <c r="AB1599" i="1"/>
  <c r="Q1593" i="1"/>
  <c r="U1593" i="1" s="1"/>
  <c r="AB1594" i="1" l="1"/>
  <c r="AB1597" i="1"/>
  <c r="U1597" i="1"/>
  <c r="AB1598" i="1"/>
  <c r="U1598" i="1"/>
  <c r="AB1595" i="1"/>
  <c r="AB1593" i="1"/>
  <c r="B1592" i="2" l="1"/>
  <c r="C1592" i="2"/>
  <c r="D1592" i="2"/>
  <c r="E1592" i="2"/>
  <c r="B1592" i="4"/>
  <c r="C1592" i="4"/>
  <c r="D1592" i="4"/>
  <c r="E1592" i="4"/>
  <c r="Q1592" i="1" l="1"/>
  <c r="U1592" i="1" s="1"/>
  <c r="AB1592" i="1" l="1"/>
  <c r="B1591" i="2" l="1"/>
  <c r="C1591" i="2"/>
  <c r="D1591" i="2"/>
  <c r="E1591" i="2"/>
  <c r="B1591" i="4"/>
  <c r="C1591" i="4"/>
  <c r="D1591" i="4"/>
  <c r="E1591" i="4"/>
  <c r="B1590" i="2"/>
  <c r="C1590" i="2"/>
  <c r="D1590" i="2"/>
  <c r="E1590" i="2"/>
  <c r="B1590" i="4"/>
  <c r="C1590" i="4"/>
  <c r="D1590" i="4"/>
  <c r="E1590" i="4"/>
  <c r="Q1591" i="1" l="1"/>
  <c r="U1591" i="1" s="1"/>
  <c r="Q1590" i="1"/>
  <c r="U1590" i="1" s="1"/>
  <c r="B1589" i="2"/>
  <c r="C1589" i="2"/>
  <c r="D1589" i="2"/>
  <c r="E1589" i="2"/>
  <c r="B1589" i="4"/>
  <c r="C1589" i="4"/>
  <c r="D1589" i="4"/>
  <c r="E1589" i="4"/>
  <c r="B1588" i="2"/>
  <c r="C1588" i="2"/>
  <c r="D1588" i="2"/>
  <c r="E1588" i="2"/>
  <c r="B1588" i="4"/>
  <c r="C1588" i="4"/>
  <c r="D1588" i="4"/>
  <c r="E1588" i="4"/>
  <c r="B1587" i="2"/>
  <c r="C1587" i="2"/>
  <c r="D1587" i="2"/>
  <c r="E1587" i="2"/>
  <c r="B1587" i="4"/>
  <c r="C1587" i="4"/>
  <c r="D1587" i="4"/>
  <c r="E1587" i="4"/>
  <c r="AB1591" i="1" l="1"/>
  <c r="AB1590" i="1"/>
  <c r="Q1589" i="1"/>
  <c r="U1589" i="1" s="1"/>
  <c r="Q1587" i="1"/>
  <c r="U1587" i="1" s="1"/>
  <c r="Q1588" i="1"/>
  <c r="U1588" i="1" s="1"/>
  <c r="B1586" i="2"/>
  <c r="C1586" i="2"/>
  <c r="D1586" i="2"/>
  <c r="E1586" i="2"/>
  <c r="B1586" i="4"/>
  <c r="C1586" i="4"/>
  <c r="D1586" i="4"/>
  <c r="E1586" i="4"/>
  <c r="B1585" i="2"/>
  <c r="C1585" i="2"/>
  <c r="D1585" i="2"/>
  <c r="E1585" i="2"/>
  <c r="B1585" i="4"/>
  <c r="C1585" i="4"/>
  <c r="D1585" i="4"/>
  <c r="E1585" i="4"/>
  <c r="B1584" i="2"/>
  <c r="C1584" i="2"/>
  <c r="D1584" i="2"/>
  <c r="E1584" i="2"/>
  <c r="B1584" i="4"/>
  <c r="C1584" i="4"/>
  <c r="D1584" i="4"/>
  <c r="E1584" i="4"/>
  <c r="AB1589" i="1" l="1"/>
  <c r="AB1587" i="1"/>
  <c r="AB1588" i="1"/>
  <c r="Q1586" i="1"/>
  <c r="U1586" i="1" s="1"/>
  <c r="Q1585" i="1"/>
  <c r="Q1584" i="1"/>
  <c r="U1584" i="1" s="1"/>
  <c r="B1583" i="2"/>
  <c r="C1583" i="2"/>
  <c r="D1583" i="2"/>
  <c r="E1583" i="2"/>
  <c r="B1583" i="4"/>
  <c r="C1583" i="4"/>
  <c r="D1583" i="4"/>
  <c r="E1583" i="4"/>
  <c r="AB1585" i="1" l="1"/>
  <c r="U1585" i="1"/>
  <c r="AB1586" i="1"/>
  <c r="Q1583" i="1"/>
  <c r="U1583" i="1" s="1"/>
  <c r="AB1584" i="1"/>
  <c r="B1582" i="2"/>
  <c r="C1582" i="2"/>
  <c r="D1582" i="2"/>
  <c r="E1582" i="2"/>
  <c r="B1582" i="4"/>
  <c r="C1582" i="4"/>
  <c r="D1582" i="4"/>
  <c r="E1582" i="4"/>
  <c r="AB1583" i="1" l="1"/>
  <c r="Q1582" i="1"/>
  <c r="U1582" i="1" s="1"/>
  <c r="B1581" i="2"/>
  <c r="C1581" i="2"/>
  <c r="D1581" i="2"/>
  <c r="E1581" i="2"/>
  <c r="B1581" i="4"/>
  <c r="C1581" i="4"/>
  <c r="D1581" i="4"/>
  <c r="E1581" i="4"/>
  <c r="B1580" i="2"/>
  <c r="C1580" i="2"/>
  <c r="D1580" i="2"/>
  <c r="E1580" i="2"/>
  <c r="B1580" i="4"/>
  <c r="C1580" i="4"/>
  <c r="D1580" i="4"/>
  <c r="E1580" i="4"/>
  <c r="AB1582" i="1" l="1"/>
  <c r="Q1581" i="1"/>
  <c r="U1581" i="1" s="1"/>
  <c r="Q1580" i="1"/>
  <c r="U1580" i="1" s="1"/>
  <c r="B1173" i="2"/>
  <c r="AB1581" i="1" l="1"/>
  <c r="AB1580" i="1"/>
  <c r="B1579" i="2"/>
  <c r="C1579" i="2"/>
  <c r="D1579" i="2"/>
  <c r="E1579" i="2"/>
  <c r="B1569" i="2"/>
  <c r="B1570" i="2"/>
  <c r="B1571" i="2"/>
  <c r="B1572" i="2"/>
  <c r="B1573" i="2"/>
  <c r="B1574" i="2"/>
  <c r="B1575" i="2"/>
  <c r="B1576" i="2"/>
  <c r="B1577" i="2"/>
  <c r="B1578" i="2"/>
  <c r="C1569" i="2"/>
  <c r="C1570" i="2"/>
  <c r="C1571" i="2"/>
  <c r="C1572" i="2"/>
  <c r="C1573" i="2"/>
  <c r="C1574" i="2"/>
  <c r="C1575" i="2"/>
  <c r="C1576" i="2"/>
  <c r="C1577" i="2"/>
  <c r="C1578" i="2"/>
  <c r="D1569" i="2"/>
  <c r="D1570" i="2"/>
  <c r="D1571" i="2"/>
  <c r="D1572" i="2"/>
  <c r="D1573" i="2"/>
  <c r="D1574" i="2"/>
  <c r="D1575" i="2"/>
  <c r="D1576" i="2"/>
  <c r="D1577" i="2"/>
  <c r="D1578" i="2"/>
  <c r="E1569" i="2"/>
  <c r="E1570" i="2"/>
  <c r="E1571" i="2"/>
  <c r="E1572" i="2"/>
  <c r="E1573" i="2"/>
  <c r="E1574" i="2"/>
  <c r="E1575" i="2"/>
  <c r="E1576" i="2"/>
  <c r="E1577" i="2"/>
  <c r="E1578" i="2"/>
  <c r="B1569" i="4"/>
  <c r="B1570" i="4"/>
  <c r="B1571" i="4"/>
  <c r="B1572" i="4"/>
  <c r="B1573" i="4"/>
  <c r="B1574" i="4"/>
  <c r="B1575" i="4"/>
  <c r="B1576" i="4"/>
  <c r="B1577" i="4"/>
  <c r="B1578" i="4"/>
  <c r="B1579" i="4"/>
  <c r="C1569" i="4"/>
  <c r="C1570" i="4"/>
  <c r="C1571" i="4"/>
  <c r="C1572" i="4"/>
  <c r="C1573" i="4"/>
  <c r="C1574" i="4"/>
  <c r="C1575" i="4"/>
  <c r="C1576" i="4"/>
  <c r="C1577" i="4"/>
  <c r="C1578" i="4"/>
  <c r="C1579" i="4"/>
  <c r="D1569" i="4"/>
  <c r="D1570" i="4"/>
  <c r="D1571" i="4"/>
  <c r="D1572" i="4"/>
  <c r="D1573" i="4"/>
  <c r="D1574" i="4"/>
  <c r="D1575" i="4"/>
  <c r="D1576" i="4"/>
  <c r="D1577" i="4"/>
  <c r="D1578" i="4"/>
  <c r="D1579" i="4"/>
  <c r="E1569" i="4"/>
  <c r="E1570" i="4"/>
  <c r="E1571" i="4"/>
  <c r="E1572" i="4"/>
  <c r="E1573" i="4"/>
  <c r="E1574" i="4"/>
  <c r="E1575" i="4"/>
  <c r="E1576" i="4"/>
  <c r="E1577" i="4"/>
  <c r="E1578" i="4"/>
  <c r="E1579" i="4"/>
  <c r="Q1579" i="1" s="1"/>
  <c r="AB1579" i="1" l="1"/>
  <c r="U1579" i="1"/>
  <c r="Q1572" i="1"/>
  <c r="Q1571" i="1"/>
  <c r="U1571" i="1" s="1"/>
  <c r="Q1576" i="1"/>
  <c r="U1576" i="1" s="1"/>
  <c r="Q1575" i="1"/>
  <c r="U1575" i="1" s="1"/>
  <c r="Q1578" i="1"/>
  <c r="Q1574" i="1"/>
  <c r="Q1570" i="1"/>
  <c r="Q1577" i="1"/>
  <c r="U1577" i="1" s="1"/>
  <c r="Q1573" i="1"/>
  <c r="U1573" i="1" s="1"/>
  <c r="Q1569" i="1"/>
  <c r="AB1574" i="1" l="1"/>
  <c r="U1574" i="1"/>
  <c r="AB1578" i="1"/>
  <c r="U1578" i="1"/>
  <c r="AB1572" i="1"/>
  <c r="U1572" i="1"/>
  <c r="AB1569" i="1"/>
  <c r="U1569" i="1"/>
  <c r="AB1570" i="1"/>
  <c r="U1570" i="1"/>
  <c r="AB1571" i="1"/>
  <c r="AB1575" i="1"/>
  <c r="AB1576" i="1"/>
  <c r="AB1577" i="1"/>
  <c r="AB1573" i="1"/>
  <c r="E297" i="4" l="1"/>
  <c r="B1568" i="2" l="1"/>
  <c r="C1568" i="2"/>
  <c r="D1568" i="2"/>
  <c r="E1568" i="2"/>
  <c r="B1568" i="4"/>
  <c r="C1568" i="4"/>
  <c r="D1568" i="4"/>
  <c r="E1568" i="4"/>
  <c r="Q1568" i="1" l="1"/>
  <c r="B1567" i="2"/>
  <c r="C1567" i="2"/>
  <c r="D1567" i="2"/>
  <c r="E1567" i="2"/>
  <c r="B1567" i="4"/>
  <c r="C1567" i="4"/>
  <c r="D1567" i="4"/>
  <c r="E1567" i="4"/>
  <c r="AB1568" i="1" l="1"/>
  <c r="U1568" i="1"/>
  <c r="Q1567" i="1"/>
  <c r="U1567" i="1" s="1"/>
  <c r="B1566" i="2"/>
  <c r="C1566" i="2"/>
  <c r="D1566" i="2"/>
  <c r="E1566" i="2"/>
  <c r="B1566" i="4"/>
  <c r="C1566" i="4"/>
  <c r="D1566" i="4"/>
  <c r="E1566" i="4"/>
  <c r="AB1567" i="1" l="1"/>
  <c r="Q461" i="1"/>
  <c r="U461" i="1" s="1"/>
  <c r="AB461" i="1" l="1"/>
  <c r="B1562" i="4"/>
  <c r="B1563" i="4"/>
  <c r="B1564" i="4"/>
  <c r="C1562" i="4"/>
  <c r="C1563" i="4"/>
  <c r="C1564" i="4"/>
  <c r="C1565" i="4"/>
  <c r="D1562" i="4"/>
  <c r="D1563" i="4"/>
  <c r="D1564" i="4"/>
  <c r="D1565" i="4"/>
  <c r="E1562" i="4"/>
  <c r="E1563" i="4"/>
  <c r="E1564" i="4"/>
  <c r="E1565" i="4"/>
  <c r="B1565" i="2"/>
  <c r="C1565" i="2"/>
  <c r="D1565" i="2"/>
  <c r="E1565" i="2"/>
  <c r="Q460" i="1" s="1"/>
  <c r="B1562" i="2"/>
  <c r="B1563" i="2"/>
  <c r="B1564" i="2"/>
  <c r="C1562" i="2"/>
  <c r="C1563" i="2"/>
  <c r="C1564" i="2"/>
  <c r="D1562" i="2"/>
  <c r="D1563" i="2"/>
  <c r="D1564" i="2"/>
  <c r="E1562" i="2"/>
  <c r="E1563" i="2"/>
  <c r="E1564" i="2"/>
  <c r="AB460" i="1" l="1"/>
  <c r="U460" i="1"/>
  <c r="Q1566" i="1"/>
  <c r="Q730" i="1"/>
  <c r="Q892" i="1"/>
  <c r="B1559" i="2"/>
  <c r="B1560" i="2"/>
  <c r="B1561" i="2"/>
  <c r="C1559" i="2"/>
  <c r="C1560" i="2"/>
  <c r="C1561" i="2"/>
  <c r="D1559" i="2"/>
  <c r="D1560" i="2"/>
  <c r="D1561" i="2"/>
  <c r="E1559" i="2"/>
  <c r="E1560" i="2"/>
  <c r="E1561" i="2"/>
  <c r="B1559" i="4"/>
  <c r="B1560" i="4"/>
  <c r="B1561" i="4"/>
  <c r="C1559" i="4"/>
  <c r="C1560" i="4"/>
  <c r="C1561" i="4"/>
  <c r="D1559" i="4"/>
  <c r="D1560" i="4"/>
  <c r="D1561" i="4"/>
  <c r="E1559" i="4"/>
  <c r="E1560" i="4"/>
  <c r="E1561" i="4"/>
  <c r="Q891" i="1" s="1"/>
  <c r="U891" i="1" s="1"/>
  <c r="B1557" i="4"/>
  <c r="B1558" i="4"/>
  <c r="C1557" i="4"/>
  <c r="C1558" i="4"/>
  <c r="D1557" i="4"/>
  <c r="D1558" i="4"/>
  <c r="E1557" i="4"/>
  <c r="E1558" i="4"/>
  <c r="B1557" i="2"/>
  <c r="B1558" i="2"/>
  <c r="C1557" i="2"/>
  <c r="C1558" i="2"/>
  <c r="D1557" i="2"/>
  <c r="D1558" i="2"/>
  <c r="E1557" i="2"/>
  <c r="Q853" i="1" s="1"/>
  <c r="U853" i="1" s="1"/>
  <c r="E1558" i="2"/>
  <c r="Q786" i="1" s="1"/>
  <c r="U786" i="1" s="1"/>
  <c r="B1556" i="4"/>
  <c r="C1556" i="4"/>
  <c r="D1556" i="4"/>
  <c r="E1556" i="4"/>
  <c r="B1556" i="2"/>
  <c r="C1556" i="2"/>
  <c r="D1556" i="2"/>
  <c r="E1556" i="2"/>
  <c r="AB1566" i="1" l="1"/>
  <c r="U1566" i="1"/>
  <c r="AB730" i="1"/>
  <c r="U730" i="1"/>
  <c r="AB892" i="1"/>
  <c r="U892" i="1"/>
  <c r="Q1061" i="1"/>
  <c r="U1061" i="1" s="1"/>
  <c r="Q1305" i="1"/>
  <c r="U1305" i="1" s="1"/>
  <c r="AB891" i="1"/>
  <c r="AB786" i="1"/>
  <c r="AB853" i="1"/>
  <c r="Q600" i="1"/>
  <c r="U600" i="1" s="1"/>
  <c r="AB1061" i="1" l="1"/>
  <c r="AB1305" i="1"/>
  <c r="AB600" i="1"/>
  <c r="B1555" i="4"/>
  <c r="C1555" i="4"/>
  <c r="D1555" i="4"/>
  <c r="E1555" i="4"/>
  <c r="B1555" i="2"/>
  <c r="C1555" i="2"/>
  <c r="D1555" i="2"/>
  <c r="E1555" i="2"/>
  <c r="Q625" i="1" l="1"/>
  <c r="AB625" i="1" l="1"/>
  <c r="U625" i="1"/>
  <c r="B1554" i="4"/>
  <c r="C1554" i="4"/>
  <c r="D1554" i="4"/>
  <c r="E1554" i="4"/>
  <c r="B1554" i="2"/>
  <c r="C1554" i="2"/>
  <c r="D1554" i="2"/>
  <c r="E1554" i="2"/>
  <c r="Q641" i="1" s="1"/>
  <c r="U641" i="1" s="1"/>
  <c r="AB641" i="1" l="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E1360" i="4"/>
  <c r="E1361" i="4"/>
  <c r="E1362" i="4"/>
  <c r="E1363" i="4"/>
  <c r="E1364" i="4"/>
  <c r="E1365" i="4"/>
  <c r="E1366" i="4"/>
  <c r="E1367" i="4"/>
  <c r="E1368" i="4"/>
  <c r="E1369" i="4"/>
  <c r="E1370" i="4"/>
  <c r="E1371" i="4"/>
  <c r="E1372" i="4"/>
  <c r="E1373" i="4"/>
  <c r="E1374" i="4"/>
  <c r="E1375" i="4"/>
  <c r="E1376" i="4"/>
  <c r="E1377" i="4"/>
  <c r="E1378" i="4"/>
  <c r="E1379" i="4"/>
  <c r="E1380" i="4"/>
  <c r="E1381" i="4"/>
  <c r="E1382" i="4"/>
  <c r="E1383" i="4"/>
  <c r="E1384" i="4"/>
  <c r="E1385" i="4"/>
  <c r="E1386" i="4"/>
  <c r="E1387" i="4"/>
  <c r="E1388" i="4"/>
  <c r="E1389" i="4"/>
  <c r="E1390" i="4"/>
  <c r="E1391" i="4"/>
  <c r="E1392" i="4"/>
  <c r="E1393" i="4"/>
  <c r="E1394" i="4"/>
  <c r="E1395" i="4"/>
  <c r="E1396" i="4"/>
  <c r="E1397" i="4"/>
  <c r="E1398" i="4"/>
  <c r="E1399" i="4"/>
  <c r="E1400" i="4"/>
  <c r="E1401" i="4"/>
  <c r="E1402" i="4"/>
  <c r="E1403" i="4"/>
  <c r="E1404" i="4"/>
  <c r="E1405" i="4"/>
  <c r="E1406" i="4"/>
  <c r="E1407" i="4"/>
  <c r="E1408" i="4"/>
  <c r="E1409" i="4"/>
  <c r="E1410" i="4"/>
  <c r="E1411" i="4"/>
  <c r="E1412" i="4"/>
  <c r="E1413" i="4"/>
  <c r="E1414" i="4"/>
  <c r="E1415" i="4"/>
  <c r="E1416" i="4"/>
  <c r="E1417" i="4"/>
  <c r="E1418" i="4"/>
  <c r="E1419" i="4"/>
  <c r="E1420" i="4"/>
  <c r="E1421" i="4"/>
  <c r="E1422" i="4"/>
  <c r="E1423" i="4"/>
  <c r="E1424" i="4"/>
  <c r="E1425" i="4"/>
  <c r="E1426" i="4"/>
  <c r="E1427" i="4"/>
  <c r="E1428" i="4"/>
  <c r="E1429" i="4"/>
  <c r="E1430" i="4"/>
  <c r="E1431" i="4"/>
  <c r="E1432" i="4"/>
  <c r="E1433" i="4"/>
  <c r="E1434" i="4"/>
  <c r="E1435" i="4"/>
  <c r="E1436" i="4"/>
  <c r="E1437" i="4"/>
  <c r="E1438" i="4"/>
  <c r="E1439" i="4"/>
  <c r="E1440" i="4"/>
  <c r="E1441" i="4"/>
  <c r="E1442" i="4"/>
  <c r="E1443" i="4"/>
  <c r="E1444" i="4"/>
  <c r="E1445" i="4"/>
  <c r="E1446" i="4"/>
  <c r="E1447" i="4"/>
  <c r="E1448" i="4"/>
  <c r="E1449" i="4"/>
  <c r="E1450" i="4"/>
  <c r="E1451" i="4"/>
  <c r="E1452" i="4"/>
  <c r="E1453" i="4"/>
  <c r="E1454" i="4"/>
  <c r="E1455" i="4"/>
  <c r="E1456" i="4"/>
  <c r="E1457" i="4"/>
  <c r="E1458" i="4"/>
  <c r="E1459" i="4"/>
  <c r="E1460" i="4"/>
  <c r="E1461" i="4"/>
  <c r="E1462" i="4"/>
  <c r="E1463" i="4"/>
  <c r="E1464" i="4"/>
  <c r="E1465" i="4"/>
  <c r="E1466" i="4"/>
  <c r="E1467" i="4"/>
  <c r="E1468" i="4"/>
  <c r="E1469" i="4"/>
  <c r="E1470" i="4"/>
  <c r="E1471" i="4"/>
  <c r="E1472" i="4"/>
  <c r="E1473" i="4"/>
  <c r="E1474" i="4"/>
  <c r="E1475" i="4"/>
  <c r="E1476" i="4"/>
  <c r="E1477" i="4"/>
  <c r="E1478" i="4"/>
  <c r="E1479" i="4"/>
  <c r="E1480" i="4"/>
  <c r="E1481" i="4"/>
  <c r="E1482" i="4"/>
  <c r="E1483" i="4"/>
  <c r="E1484" i="4"/>
  <c r="E1485" i="4"/>
  <c r="E1486" i="4"/>
  <c r="E1487" i="4"/>
  <c r="E1488" i="4"/>
  <c r="E1489" i="4"/>
  <c r="E1490" i="4"/>
  <c r="E1491" i="4"/>
  <c r="E1492" i="4"/>
  <c r="E1493" i="4"/>
  <c r="E1494" i="4"/>
  <c r="E1495" i="4"/>
  <c r="E1496" i="4"/>
  <c r="E1497" i="4"/>
  <c r="E1498" i="4"/>
  <c r="E1499" i="4"/>
  <c r="E1500" i="4"/>
  <c r="E1501" i="4"/>
  <c r="E1502" i="4"/>
  <c r="E1503" i="4"/>
  <c r="E1504" i="4"/>
  <c r="E1505" i="4"/>
  <c r="E1506" i="4"/>
  <c r="E1507" i="4"/>
  <c r="E1508" i="4"/>
  <c r="E1509" i="4"/>
  <c r="E1510" i="4"/>
  <c r="E1511" i="4"/>
  <c r="E1512" i="4"/>
  <c r="E1513" i="4"/>
  <c r="E1514" i="4"/>
  <c r="E1515" i="4"/>
  <c r="E1516" i="4"/>
  <c r="E1517" i="4"/>
  <c r="E1518" i="4"/>
  <c r="E1519" i="4"/>
  <c r="E1520" i="4"/>
  <c r="E1521" i="4"/>
  <c r="E1522" i="4"/>
  <c r="E1523" i="4"/>
  <c r="E1524" i="4"/>
  <c r="E1525" i="4"/>
  <c r="E1526" i="4"/>
  <c r="E1527" i="4"/>
  <c r="E1528" i="4"/>
  <c r="E1529" i="4"/>
  <c r="E1530" i="4"/>
  <c r="E1531" i="4"/>
  <c r="E1532" i="4"/>
  <c r="E1533" i="4"/>
  <c r="E1534" i="4"/>
  <c r="E1535" i="4"/>
  <c r="E1536" i="4"/>
  <c r="E1537" i="4"/>
  <c r="E1538" i="4"/>
  <c r="E1539" i="4"/>
  <c r="E1540" i="4"/>
  <c r="E1541" i="4"/>
  <c r="E1542" i="4"/>
  <c r="E1543" i="4"/>
  <c r="E1544" i="4"/>
  <c r="E1545" i="4"/>
  <c r="E1546" i="4"/>
  <c r="E1547" i="4"/>
  <c r="E1548" i="4"/>
  <c r="E1549" i="4"/>
  <c r="E1550" i="4"/>
  <c r="E1551" i="4"/>
  <c r="E1552" i="4"/>
  <c r="E1553" i="4"/>
  <c r="B1553" i="4"/>
  <c r="C1553" i="4"/>
  <c r="D1553" i="4"/>
  <c r="B1553" i="2"/>
  <c r="C1553" i="2"/>
  <c r="D1553" i="2"/>
  <c r="E1553" i="2"/>
  <c r="Q459" i="1" l="1"/>
  <c r="U459" i="1" s="1"/>
  <c r="B1552" i="4"/>
  <c r="C1552" i="4"/>
  <c r="D1552" i="4"/>
  <c r="B1552" i="2"/>
  <c r="C1552" i="2"/>
  <c r="D1552" i="2"/>
  <c r="E1552" i="2"/>
  <c r="Q458" i="1" s="1"/>
  <c r="U458" i="1" s="1"/>
  <c r="B1551" i="4"/>
  <c r="C1551" i="4"/>
  <c r="D1551" i="4"/>
  <c r="B1551" i="2"/>
  <c r="C1551" i="2"/>
  <c r="D1551" i="2"/>
  <c r="E1551" i="2"/>
  <c r="Q457" i="1" s="1"/>
  <c r="U457" i="1" s="1"/>
  <c r="AB459" i="1" l="1"/>
  <c r="AB458" i="1"/>
  <c r="AB457" i="1"/>
  <c r="B1477" i="2" l="1"/>
  <c r="B1541" i="4" l="1"/>
  <c r="B1542" i="4"/>
  <c r="B1543" i="4"/>
  <c r="B1544" i="4"/>
  <c r="B1545" i="4"/>
  <c r="B1546" i="4"/>
  <c r="B1547" i="4"/>
  <c r="B1548" i="4"/>
  <c r="B1549" i="4"/>
  <c r="B1550" i="4"/>
  <c r="C1541" i="4"/>
  <c r="C1542" i="4"/>
  <c r="C1543" i="4"/>
  <c r="C1544" i="4"/>
  <c r="C1545" i="4"/>
  <c r="C1546" i="4"/>
  <c r="C1547" i="4"/>
  <c r="C1548" i="4"/>
  <c r="C1549" i="4"/>
  <c r="C1550" i="4"/>
  <c r="D1541" i="4"/>
  <c r="D1542" i="4"/>
  <c r="D1543" i="4"/>
  <c r="D1544" i="4"/>
  <c r="D1545" i="4"/>
  <c r="D1546" i="4"/>
  <c r="D1547" i="4"/>
  <c r="D1548" i="4"/>
  <c r="D1549" i="4"/>
  <c r="D1550" i="4"/>
  <c r="B1541" i="2"/>
  <c r="B1542" i="2"/>
  <c r="B1543" i="2"/>
  <c r="B1544" i="2"/>
  <c r="B1545" i="2"/>
  <c r="B1546" i="2"/>
  <c r="B1547" i="2"/>
  <c r="B1548" i="2"/>
  <c r="B1549" i="2"/>
  <c r="B1550" i="2"/>
  <c r="C1541" i="2"/>
  <c r="C1542" i="2"/>
  <c r="C1543" i="2"/>
  <c r="C1544" i="2"/>
  <c r="C1545" i="2"/>
  <c r="C1546" i="2"/>
  <c r="C1547" i="2"/>
  <c r="C1548" i="2"/>
  <c r="C1549" i="2"/>
  <c r="C1550" i="2"/>
  <c r="D1541" i="2"/>
  <c r="D1542" i="2"/>
  <c r="D1543" i="2"/>
  <c r="D1544" i="2"/>
  <c r="D1545" i="2"/>
  <c r="D1546" i="2"/>
  <c r="D1547" i="2"/>
  <c r="D1548" i="2"/>
  <c r="D1549" i="2"/>
  <c r="D1550" i="2"/>
  <c r="E1541" i="2"/>
  <c r="Q849" i="1" s="1"/>
  <c r="U849" i="1" s="1"/>
  <c r="E1542" i="2"/>
  <c r="Q850" i="1" s="1"/>
  <c r="U850" i="1" s="1"/>
  <c r="E1543" i="2"/>
  <c r="E1544" i="2"/>
  <c r="E1545" i="2"/>
  <c r="Q870" i="1" s="1"/>
  <c r="U870" i="1" s="1"/>
  <c r="E1546" i="2"/>
  <c r="Q871" i="1" s="1"/>
  <c r="U871" i="1" s="1"/>
  <c r="E1547" i="2"/>
  <c r="Q598" i="1" s="1"/>
  <c r="E1548" i="2"/>
  <c r="Q599" i="1" s="1"/>
  <c r="U599" i="1" s="1"/>
  <c r="E1549" i="2"/>
  <c r="Q1292" i="1" s="1"/>
  <c r="U1292" i="1" s="1"/>
  <c r="E1550" i="2"/>
  <c r="Q1293" i="1" s="1"/>
  <c r="U1293" i="1" s="1"/>
  <c r="Q571" i="1"/>
  <c r="Q572" i="1"/>
  <c r="U572" i="1" s="1"/>
  <c r="AB571" i="1" l="1"/>
  <c r="U571" i="1"/>
  <c r="AB598" i="1"/>
  <c r="U598" i="1"/>
  <c r="AB850" i="1"/>
  <c r="AB849" i="1"/>
  <c r="AB871" i="1"/>
  <c r="AB572" i="1"/>
  <c r="AB599" i="1"/>
  <c r="AB1293" i="1"/>
  <c r="AB1292" i="1"/>
  <c r="AB870" i="1"/>
  <c r="B1451" i="4"/>
  <c r="B1450" i="4" l="1"/>
  <c r="B1045" i="2" l="1"/>
  <c r="B1056" i="2"/>
  <c r="B29" i="2" l="1"/>
  <c r="B1481" i="4" l="1"/>
  <c r="B1482" i="4"/>
  <c r="B1483" i="4"/>
  <c r="B1484" i="4"/>
  <c r="B1485" i="4"/>
  <c r="B1486" i="4"/>
  <c r="B1487" i="4"/>
  <c r="B1488" i="4"/>
  <c r="B1489" i="4"/>
  <c r="B1490" i="4"/>
  <c r="B1491" i="4"/>
  <c r="B1492" i="4"/>
  <c r="B1493" i="4"/>
  <c r="B1494" i="4"/>
  <c r="B1495" i="4"/>
  <c r="B1496" i="4"/>
  <c r="B1497" i="4"/>
  <c r="B1498" i="4"/>
  <c r="B1499" i="4"/>
  <c r="B1500" i="4"/>
  <c r="B1501" i="4"/>
  <c r="B1502" i="4"/>
  <c r="B1503" i="4"/>
  <c r="B1504" i="4"/>
  <c r="B1505" i="4"/>
  <c r="B1506" i="4"/>
  <c r="B1507" i="4"/>
  <c r="B1508" i="4"/>
  <c r="B1509" i="4"/>
  <c r="B1510" i="4"/>
  <c r="B1511" i="4"/>
  <c r="B1512" i="4"/>
  <c r="B1513" i="4"/>
  <c r="B1514" i="4"/>
  <c r="B1515" i="4"/>
  <c r="B1516" i="4"/>
  <c r="B1517" i="4"/>
  <c r="B1518" i="4"/>
  <c r="B1519" i="4"/>
  <c r="B1520" i="4"/>
  <c r="B1521" i="4"/>
  <c r="B1522" i="4"/>
  <c r="B1523" i="4"/>
  <c r="B1524" i="4"/>
  <c r="B1525" i="4"/>
  <c r="B1526" i="4"/>
  <c r="B1527" i="4"/>
  <c r="B1528" i="4"/>
  <c r="B1529" i="4"/>
  <c r="B1530" i="4"/>
  <c r="B1531" i="4"/>
  <c r="B1532" i="4"/>
  <c r="B1533" i="4"/>
  <c r="B1534" i="4"/>
  <c r="B1535" i="4"/>
  <c r="B1536" i="4"/>
  <c r="B1537" i="4"/>
  <c r="B1538" i="4"/>
  <c r="B1539" i="4"/>
  <c r="B1540" i="4"/>
  <c r="C1481" i="4"/>
  <c r="C1482" i="4"/>
  <c r="C1483" i="4"/>
  <c r="C1484" i="4"/>
  <c r="C1485" i="4"/>
  <c r="C1486" i="4"/>
  <c r="C1487" i="4"/>
  <c r="C1488" i="4"/>
  <c r="C1489" i="4"/>
  <c r="C1490" i="4"/>
  <c r="C1491" i="4"/>
  <c r="C1492" i="4"/>
  <c r="C1493" i="4"/>
  <c r="C1494" i="4"/>
  <c r="C1495" i="4"/>
  <c r="C1496" i="4"/>
  <c r="C1497" i="4"/>
  <c r="C1498" i="4"/>
  <c r="C1499" i="4"/>
  <c r="C1500" i="4"/>
  <c r="C1501" i="4"/>
  <c r="C1502" i="4"/>
  <c r="C1503" i="4"/>
  <c r="C1504" i="4"/>
  <c r="C1505" i="4"/>
  <c r="C1506" i="4"/>
  <c r="C1507" i="4"/>
  <c r="C1508" i="4"/>
  <c r="C1509" i="4"/>
  <c r="C1510" i="4"/>
  <c r="C1511" i="4"/>
  <c r="C1512" i="4"/>
  <c r="C1513" i="4"/>
  <c r="C1514" i="4"/>
  <c r="C1515" i="4"/>
  <c r="C1516" i="4"/>
  <c r="C1517" i="4"/>
  <c r="C1518" i="4"/>
  <c r="C1519" i="4"/>
  <c r="C1520" i="4"/>
  <c r="C1521" i="4"/>
  <c r="C1522" i="4"/>
  <c r="C1523" i="4"/>
  <c r="C1524" i="4"/>
  <c r="C1525" i="4"/>
  <c r="C1526" i="4"/>
  <c r="C1527" i="4"/>
  <c r="C1528" i="4"/>
  <c r="C1529" i="4"/>
  <c r="C1530" i="4"/>
  <c r="C1531" i="4"/>
  <c r="C1532" i="4"/>
  <c r="C1533" i="4"/>
  <c r="C1534" i="4"/>
  <c r="C1535" i="4"/>
  <c r="C1536" i="4"/>
  <c r="C1537" i="4"/>
  <c r="C1538" i="4"/>
  <c r="C1539" i="4"/>
  <c r="C1540" i="4"/>
  <c r="D1481" i="4"/>
  <c r="D1482" i="4"/>
  <c r="D1483" i="4"/>
  <c r="D1484" i="4"/>
  <c r="D1485" i="4"/>
  <c r="D1486" i="4"/>
  <c r="D1487" i="4"/>
  <c r="D1488" i="4"/>
  <c r="D1489" i="4"/>
  <c r="D1490" i="4"/>
  <c r="D1491" i="4"/>
  <c r="D1492" i="4"/>
  <c r="D1493" i="4"/>
  <c r="D1494" i="4"/>
  <c r="D1495" i="4"/>
  <c r="D1496" i="4"/>
  <c r="D1497" i="4"/>
  <c r="D1498" i="4"/>
  <c r="D1499" i="4"/>
  <c r="D1500" i="4"/>
  <c r="D1501" i="4"/>
  <c r="D1502" i="4"/>
  <c r="D1503" i="4"/>
  <c r="D1504" i="4"/>
  <c r="D1505" i="4"/>
  <c r="D1506" i="4"/>
  <c r="D1507" i="4"/>
  <c r="D1508" i="4"/>
  <c r="D1509" i="4"/>
  <c r="D1510" i="4"/>
  <c r="D1511" i="4"/>
  <c r="D1512" i="4"/>
  <c r="D1513" i="4"/>
  <c r="D1514" i="4"/>
  <c r="D1515" i="4"/>
  <c r="D1516" i="4"/>
  <c r="D1517" i="4"/>
  <c r="D1518" i="4"/>
  <c r="D1519" i="4"/>
  <c r="D1520" i="4"/>
  <c r="D1521" i="4"/>
  <c r="D1522" i="4"/>
  <c r="D1523" i="4"/>
  <c r="D1524" i="4"/>
  <c r="D1525" i="4"/>
  <c r="D1526" i="4"/>
  <c r="D1527" i="4"/>
  <c r="D1528" i="4"/>
  <c r="D1529" i="4"/>
  <c r="D1530" i="4"/>
  <c r="D1531" i="4"/>
  <c r="D1532" i="4"/>
  <c r="D1533" i="4"/>
  <c r="D1534" i="4"/>
  <c r="D1535" i="4"/>
  <c r="D1536" i="4"/>
  <c r="D1537" i="4"/>
  <c r="D1538" i="4"/>
  <c r="D1539" i="4"/>
  <c r="D1540" i="4"/>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20" i="2"/>
  <c r="B1521" i="2"/>
  <c r="B1522" i="2"/>
  <c r="B1523" i="2"/>
  <c r="B1524" i="2"/>
  <c r="B1525" i="2"/>
  <c r="B1526" i="2"/>
  <c r="B1527" i="2"/>
  <c r="B1528" i="2"/>
  <c r="B1529" i="2"/>
  <c r="B1530" i="2"/>
  <c r="B1531" i="2"/>
  <c r="B1532" i="2"/>
  <c r="B1533" i="2"/>
  <c r="B1534" i="2"/>
  <c r="B1535" i="2"/>
  <c r="B1536" i="2"/>
  <c r="B1537" i="2"/>
  <c r="B1538" i="2"/>
  <c r="B1539" i="2"/>
  <c r="B1540" i="2"/>
  <c r="C1481" i="2"/>
  <c r="C1482" i="2"/>
  <c r="C1483" i="2"/>
  <c r="C1484" i="2"/>
  <c r="C1485" i="2"/>
  <c r="C1486" i="2"/>
  <c r="C1487" i="2"/>
  <c r="C1488" i="2"/>
  <c r="C1489" i="2"/>
  <c r="C1490" i="2"/>
  <c r="C1491" i="2"/>
  <c r="C1492" i="2"/>
  <c r="C1493" i="2"/>
  <c r="C1494" i="2"/>
  <c r="C1495" i="2"/>
  <c r="C1496" i="2"/>
  <c r="C1497" i="2"/>
  <c r="C1498" i="2"/>
  <c r="C1499" i="2"/>
  <c r="C1500" i="2"/>
  <c r="C1501" i="2"/>
  <c r="C1502" i="2"/>
  <c r="C1503" i="2"/>
  <c r="C1504" i="2"/>
  <c r="C1505" i="2"/>
  <c r="C1506" i="2"/>
  <c r="C1507" i="2"/>
  <c r="C1508" i="2"/>
  <c r="C1509" i="2"/>
  <c r="C1510" i="2"/>
  <c r="C1511" i="2"/>
  <c r="C1512" i="2"/>
  <c r="C1513" i="2"/>
  <c r="C1514" i="2"/>
  <c r="C1515" i="2"/>
  <c r="C1516" i="2"/>
  <c r="C1517" i="2"/>
  <c r="C1518" i="2"/>
  <c r="C1519" i="2"/>
  <c r="C1520" i="2"/>
  <c r="C1521" i="2"/>
  <c r="C1522" i="2"/>
  <c r="C1523" i="2"/>
  <c r="C1524" i="2"/>
  <c r="C1525" i="2"/>
  <c r="C1526" i="2"/>
  <c r="C1527" i="2"/>
  <c r="C1528" i="2"/>
  <c r="C1529" i="2"/>
  <c r="C1530" i="2"/>
  <c r="C1531" i="2"/>
  <c r="C1532" i="2"/>
  <c r="C1533" i="2"/>
  <c r="C1534" i="2"/>
  <c r="C1535" i="2"/>
  <c r="C1536" i="2"/>
  <c r="C1537" i="2"/>
  <c r="C1538" i="2"/>
  <c r="C1539" i="2"/>
  <c r="C1540" i="2"/>
  <c r="D1481" i="2"/>
  <c r="D1482" i="2"/>
  <c r="D1483" i="2"/>
  <c r="D1484" i="2"/>
  <c r="D1485" i="2"/>
  <c r="D1486" i="2"/>
  <c r="D1487" i="2"/>
  <c r="D1488" i="2"/>
  <c r="D1489" i="2"/>
  <c r="D1490" i="2"/>
  <c r="D1491" i="2"/>
  <c r="D1492" i="2"/>
  <c r="D1493" i="2"/>
  <c r="D1494" i="2"/>
  <c r="D1495" i="2"/>
  <c r="D1496" i="2"/>
  <c r="D1497" i="2"/>
  <c r="D1498" i="2"/>
  <c r="D1499" i="2"/>
  <c r="D1500" i="2"/>
  <c r="D1501" i="2"/>
  <c r="D1502" i="2"/>
  <c r="D1503" i="2"/>
  <c r="D1504" i="2"/>
  <c r="D1505" i="2"/>
  <c r="D1506" i="2"/>
  <c r="D1507" i="2"/>
  <c r="D1508" i="2"/>
  <c r="D1509" i="2"/>
  <c r="D1510" i="2"/>
  <c r="D1511" i="2"/>
  <c r="D1512" i="2"/>
  <c r="D1513" i="2"/>
  <c r="D1514" i="2"/>
  <c r="D1515" i="2"/>
  <c r="D1516" i="2"/>
  <c r="D1517" i="2"/>
  <c r="D1518" i="2"/>
  <c r="D1519" i="2"/>
  <c r="D1520" i="2"/>
  <c r="D1521" i="2"/>
  <c r="D1522" i="2"/>
  <c r="D1523" i="2"/>
  <c r="D1524" i="2"/>
  <c r="D1525" i="2"/>
  <c r="D1526" i="2"/>
  <c r="D1527" i="2"/>
  <c r="D1528" i="2"/>
  <c r="D1529" i="2"/>
  <c r="D1530" i="2"/>
  <c r="D1531" i="2"/>
  <c r="D1532" i="2"/>
  <c r="D1533" i="2"/>
  <c r="D1534" i="2"/>
  <c r="D1535" i="2"/>
  <c r="D1536" i="2"/>
  <c r="D1537" i="2"/>
  <c r="D1538" i="2"/>
  <c r="D1539" i="2"/>
  <c r="D1540" i="2"/>
  <c r="E1481" i="2"/>
  <c r="E1482" i="2"/>
  <c r="E1483" i="2"/>
  <c r="E1484" i="2"/>
  <c r="Q1125" i="1" s="1"/>
  <c r="U1125" i="1" s="1"/>
  <c r="E1485" i="2"/>
  <c r="Q597" i="1" s="1"/>
  <c r="E1486" i="2"/>
  <c r="Q744" i="1" s="1"/>
  <c r="U744" i="1" s="1"/>
  <c r="E1487" i="2"/>
  <c r="Q745" i="1" s="1"/>
  <c r="U745" i="1" s="1"/>
  <c r="E1488" i="2"/>
  <c r="Q752" i="1" s="1"/>
  <c r="E1489" i="2"/>
  <c r="Q753" i="1" s="1"/>
  <c r="U753" i="1" s="1"/>
  <c r="E1490" i="2"/>
  <c r="Q761" i="1" s="1"/>
  <c r="U761" i="1" s="1"/>
  <c r="E1491" i="2"/>
  <c r="Q762" i="1" s="1"/>
  <c r="U762" i="1" s="1"/>
  <c r="E1492" i="2"/>
  <c r="Q763" i="1" s="1"/>
  <c r="E1493" i="2"/>
  <c r="Q1549" i="1" s="1"/>
  <c r="E1494" i="2"/>
  <c r="Q783" i="1" s="1"/>
  <c r="U783" i="1" s="1"/>
  <c r="E1495" i="2"/>
  <c r="Q33" i="1" s="1"/>
  <c r="U33" i="1" s="1"/>
  <c r="E1496" i="2"/>
  <c r="Q34" i="1" s="1"/>
  <c r="E1497" i="2"/>
  <c r="Q94" i="1" s="1"/>
  <c r="U94" i="1" s="1"/>
  <c r="E1498" i="2"/>
  <c r="Q95" i="1" s="1"/>
  <c r="U95" i="1" s="1"/>
  <c r="E1499" i="2"/>
  <c r="Q96" i="1" s="1"/>
  <c r="E1500" i="2"/>
  <c r="Q97" i="1" s="1"/>
  <c r="E1501" i="2"/>
  <c r="Q650" i="1" s="1"/>
  <c r="U650" i="1" s="1"/>
  <c r="E1502" i="2"/>
  <c r="Q35" i="1" s="1"/>
  <c r="U35" i="1" s="1"/>
  <c r="E1503" i="2"/>
  <c r="Q651" i="1" s="1"/>
  <c r="U651" i="1" s="1"/>
  <c r="E1504" i="2"/>
  <c r="Q652" i="1" s="1"/>
  <c r="U652" i="1" s="1"/>
  <c r="E1505" i="2"/>
  <c r="Q377" i="1" s="1"/>
  <c r="U377" i="1" s="1"/>
  <c r="E1506" i="2"/>
  <c r="Q378" i="1" s="1"/>
  <c r="E1507" i="2"/>
  <c r="Q191" i="1" s="1"/>
  <c r="U191" i="1" s="1"/>
  <c r="E1508" i="2"/>
  <c r="Q239" i="1" s="1"/>
  <c r="E1509" i="2"/>
  <c r="Q18" i="1" s="1"/>
  <c r="U18" i="1" s="1"/>
  <c r="E1510" i="2"/>
  <c r="Q485" i="1" s="1"/>
  <c r="U485" i="1" s="1"/>
  <c r="E1511" i="2"/>
  <c r="Q486" i="1" s="1"/>
  <c r="U486" i="1" s="1"/>
  <c r="E1512" i="2"/>
  <c r="Q300" i="1" s="1"/>
  <c r="E1513" i="2"/>
  <c r="Q1423" i="1" s="1"/>
  <c r="U1423" i="1" s="1"/>
  <c r="E1514" i="2"/>
  <c r="Q1253" i="1" s="1"/>
  <c r="U1253" i="1" s="1"/>
  <c r="E1515" i="2"/>
  <c r="Q879" i="1" s="1"/>
  <c r="U879" i="1" s="1"/>
  <c r="E1516" i="2"/>
  <c r="Q948" i="1" s="1"/>
  <c r="E1517" i="2"/>
  <c r="Q454" i="1" s="1"/>
  <c r="E1518" i="2"/>
  <c r="Q455" i="1" s="1"/>
  <c r="U455" i="1" s="1"/>
  <c r="E1519" i="2"/>
  <c r="Q1311" i="1" s="1"/>
  <c r="E1520" i="2"/>
  <c r="Q456" i="1" s="1"/>
  <c r="E1521" i="2"/>
  <c r="Q1256" i="1" s="1"/>
  <c r="U1256" i="1" s="1"/>
  <c r="E1522" i="2"/>
  <c r="Q192" i="1" s="1"/>
  <c r="U192" i="1" s="1"/>
  <c r="E1523" i="2"/>
  <c r="Q1281" i="1" s="1"/>
  <c r="U1281" i="1" s="1"/>
  <c r="E1524" i="2"/>
  <c r="E1525" i="2"/>
  <c r="E1526" i="2"/>
  <c r="E1527" i="2"/>
  <c r="E1528" i="2"/>
  <c r="E1529" i="2"/>
  <c r="E1530" i="2"/>
  <c r="E1531" i="2"/>
  <c r="Q537" i="1" s="1"/>
  <c r="E1532" i="2"/>
  <c r="Q1511" i="1" s="1"/>
  <c r="E1533" i="2"/>
  <c r="Q113" i="1" s="1"/>
  <c r="E1534" i="2"/>
  <c r="Q592" i="1" s="1"/>
  <c r="U592" i="1" s="1"/>
  <c r="E1535" i="2"/>
  <c r="Q593" i="1" s="1"/>
  <c r="U593" i="1" s="1"/>
  <c r="E1536" i="2"/>
  <c r="Q594" i="1" s="1"/>
  <c r="U594" i="1" s="1"/>
  <c r="E1537" i="2"/>
  <c r="Q595" i="1" s="1"/>
  <c r="U595" i="1" s="1"/>
  <c r="E1538" i="2"/>
  <c r="Q494" i="1" s="1"/>
  <c r="U494" i="1" s="1"/>
  <c r="E1539" i="2"/>
  <c r="Q815" i="1" s="1"/>
  <c r="U815" i="1" s="1"/>
  <c r="E1540" i="2"/>
  <c r="Q913" i="1" s="1"/>
  <c r="U913" i="1" s="1"/>
  <c r="Q607" i="1"/>
  <c r="U607" i="1" s="1"/>
  <c r="Q596" i="1"/>
  <c r="Q1314" i="1"/>
  <c r="AB1511" i="1" l="1"/>
  <c r="U1511" i="1"/>
  <c r="AB456" i="1"/>
  <c r="U456" i="1"/>
  <c r="AB948" i="1"/>
  <c r="U948" i="1"/>
  <c r="AB300" i="1"/>
  <c r="U300" i="1"/>
  <c r="AB239" i="1"/>
  <c r="U239" i="1"/>
  <c r="AB97" i="1"/>
  <c r="U97" i="1"/>
  <c r="AB34" i="1"/>
  <c r="U34" i="1"/>
  <c r="AB763" i="1"/>
  <c r="U763" i="1"/>
  <c r="AB752" i="1"/>
  <c r="U752" i="1"/>
  <c r="AB537" i="1"/>
  <c r="U537" i="1"/>
  <c r="AB1311" i="1"/>
  <c r="U1311" i="1"/>
  <c r="AB96" i="1"/>
  <c r="U96" i="1"/>
  <c r="AB1314" i="1"/>
  <c r="U1314" i="1"/>
  <c r="AB596" i="1"/>
  <c r="U596" i="1"/>
  <c r="AB378" i="1"/>
  <c r="U378" i="1"/>
  <c r="AB113" i="1"/>
  <c r="U113" i="1"/>
  <c r="AB454" i="1"/>
  <c r="U454" i="1"/>
  <c r="AB1549" i="1"/>
  <c r="U1549" i="1"/>
  <c r="AB597" i="1"/>
  <c r="U597" i="1"/>
  <c r="Q569" i="1"/>
  <c r="Q266" i="1"/>
  <c r="Q818" i="1"/>
  <c r="U818" i="1" s="1"/>
  <c r="Q302" i="1"/>
  <c r="Q764" i="1"/>
  <c r="Q301" i="1"/>
  <c r="Q98" i="1"/>
  <c r="AB607" i="1"/>
  <c r="AB744" i="1"/>
  <c r="AB745" i="1"/>
  <c r="AB1125" i="1"/>
  <c r="AB753" i="1"/>
  <c r="AB783" i="1"/>
  <c r="AB18" i="1"/>
  <c r="AB377" i="1"/>
  <c r="AB650" i="1"/>
  <c r="AB1256" i="1"/>
  <c r="AB1423" i="1"/>
  <c r="AB94" i="1"/>
  <c r="AB35" i="1"/>
  <c r="AB485" i="1"/>
  <c r="AB592" i="1"/>
  <c r="AB455" i="1"/>
  <c r="AB761" i="1"/>
  <c r="AB595" i="1"/>
  <c r="AB1281" i="1"/>
  <c r="AB651" i="1"/>
  <c r="AB762" i="1"/>
  <c r="AB879" i="1"/>
  <c r="AB191" i="1"/>
  <c r="AB33" i="1"/>
  <c r="AB1253" i="1"/>
  <c r="AB192" i="1"/>
  <c r="AB594" i="1"/>
  <c r="AB913" i="1"/>
  <c r="AB652" i="1"/>
  <c r="AB815" i="1"/>
  <c r="AB593" i="1"/>
  <c r="AB486" i="1"/>
  <c r="AB494" i="1"/>
  <c r="AB95" i="1"/>
  <c r="AB301" i="1" l="1"/>
  <c r="U301" i="1"/>
  <c r="AB266" i="1"/>
  <c r="U266" i="1"/>
  <c r="AB764" i="1"/>
  <c r="U764" i="1"/>
  <c r="AB569" i="1"/>
  <c r="U569" i="1"/>
  <c r="AB302" i="1"/>
  <c r="U302" i="1"/>
  <c r="AB98" i="1"/>
  <c r="U98" i="1"/>
  <c r="AB818" i="1"/>
  <c r="B1465" i="4"/>
  <c r="B1466" i="4"/>
  <c r="B1467" i="4"/>
  <c r="B1468" i="4"/>
  <c r="B1469" i="4"/>
  <c r="B1470" i="4"/>
  <c r="B1471" i="4"/>
  <c r="B1472" i="4"/>
  <c r="B1473" i="4"/>
  <c r="B1474" i="4"/>
  <c r="B1475" i="4"/>
  <c r="B1476" i="4"/>
  <c r="B1477" i="4"/>
  <c r="B1478" i="4"/>
  <c r="B1479" i="4"/>
  <c r="B1480" i="4"/>
  <c r="C1465" i="4"/>
  <c r="C1466" i="4"/>
  <c r="C1467" i="4"/>
  <c r="C1468" i="4"/>
  <c r="C1469" i="4"/>
  <c r="C1470" i="4"/>
  <c r="C1471" i="4"/>
  <c r="C1472" i="4"/>
  <c r="C1473" i="4"/>
  <c r="C1474" i="4"/>
  <c r="C1475" i="4"/>
  <c r="C1476" i="4"/>
  <c r="C1477" i="4"/>
  <c r="C1478" i="4"/>
  <c r="C1479" i="4"/>
  <c r="C1480" i="4"/>
  <c r="D1465" i="4"/>
  <c r="D1466" i="4"/>
  <c r="D1467" i="4"/>
  <c r="D1468" i="4"/>
  <c r="D1469" i="4"/>
  <c r="D1470" i="4"/>
  <c r="D1471" i="4"/>
  <c r="D1472" i="4"/>
  <c r="D1473" i="4"/>
  <c r="D1474" i="4"/>
  <c r="D1475" i="4"/>
  <c r="D1476" i="4"/>
  <c r="D1477" i="4"/>
  <c r="D1478" i="4"/>
  <c r="D1479" i="4"/>
  <c r="D1480" i="4"/>
  <c r="B1465" i="2"/>
  <c r="B1466" i="2"/>
  <c r="B1467" i="2"/>
  <c r="B1468" i="2"/>
  <c r="B1469" i="2"/>
  <c r="B1470" i="2"/>
  <c r="B1471" i="2"/>
  <c r="B1472" i="2"/>
  <c r="B1473" i="2"/>
  <c r="B1474" i="2"/>
  <c r="B1475" i="2"/>
  <c r="B1476" i="2"/>
  <c r="B1478" i="2"/>
  <c r="B1479" i="2"/>
  <c r="B1480" i="2"/>
  <c r="C1465" i="2"/>
  <c r="C1466" i="2"/>
  <c r="C1467" i="2"/>
  <c r="C1468" i="2"/>
  <c r="C1469" i="2"/>
  <c r="C1470" i="2"/>
  <c r="C1471" i="2"/>
  <c r="C1472" i="2"/>
  <c r="C1473" i="2"/>
  <c r="C1474" i="2"/>
  <c r="C1475" i="2"/>
  <c r="C1476" i="2"/>
  <c r="C1477" i="2"/>
  <c r="C1478" i="2"/>
  <c r="C1479" i="2"/>
  <c r="C1480" i="2"/>
  <c r="D1465" i="2"/>
  <c r="D1466" i="2"/>
  <c r="D1467" i="2"/>
  <c r="D1468" i="2"/>
  <c r="D1469" i="2"/>
  <c r="D1470" i="2"/>
  <c r="D1471" i="2"/>
  <c r="D1472" i="2"/>
  <c r="D1473" i="2"/>
  <c r="D1474" i="2"/>
  <c r="D1475" i="2"/>
  <c r="D1476" i="2"/>
  <c r="D1477" i="2"/>
  <c r="D1478" i="2"/>
  <c r="D1479" i="2"/>
  <c r="D1480" i="2"/>
  <c r="E1465" i="2"/>
  <c r="E1466" i="2"/>
  <c r="E1467" i="2"/>
  <c r="E1468" i="2"/>
  <c r="E1469" i="2"/>
  <c r="E1470" i="2"/>
  <c r="E1471" i="2"/>
  <c r="E1472" i="2"/>
  <c r="E1473" i="2"/>
  <c r="E1474" i="2"/>
  <c r="E1475" i="2"/>
  <c r="E1476" i="2"/>
  <c r="E1477" i="2"/>
  <c r="E1478" i="2"/>
  <c r="E1479" i="2"/>
  <c r="E1480" i="2"/>
  <c r="Q591" i="1" l="1"/>
  <c r="U591" i="1" s="1"/>
  <c r="Q717" i="1"/>
  <c r="U717" i="1" s="1"/>
  <c r="Q725" i="1"/>
  <c r="U725" i="1" s="1"/>
  <c r="Q721" i="1"/>
  <c r="U721" i="1" s="1"/>
  <c r="Q726" i="1"/>
  <c r="Q640" i="1"/>
  <c r="Q672" i="1"/>
  <c r="U672" i="1" s="1"/>
  <c r="Q723" i="1"/>
  <c r="U723" i="1" s="1"/>
  <c r="Q719" i="1"/>
  <c r="U719" i="1" s="1"/>
  <c r="Q727" i="1"/>
  <c r="U727" i="1" s="1"/>
  <c r="Q567" i="1"/>
  <c r="Q590" i="1"/>
  <c r="Q724" i="1"/>
  <c r="U724" i="1" s="1"/>
  <c r="Q722" i="1"/>
  <c r="Q718" i="1"/>
  <c r="U718" i="1" s="1"/>
  <c r="Q720" i="1"/>
  <c r="B1455" i="4"/>
  <c r="B1456" i="4"/>
  <c r="B1457" i="4"/>
  <c r="B1458" i="4"/>
  <c r="B1459" i="4"/>
  <c r="B1460" i="4"/>
  <c r="B1461" i="4"/>
  <c r="B1462" i="4"/>
  <c r="B1463" i="4"/>
  <c r="B1464" i="4"/>
  <c r="C1455" i="4"/>
  <c r="C1456" i="4"/>
  <c r="C1457" i="4"/>
  <c r="C1458" i="4"/>
  <c r="C1459" i="4"/>
  <c r="C1460" i="4"/>
  <c r="C1461" i="4"/>
  <c r="C1462" i="4"/>
  <c r="C1463" i="4"/>
  <c r="C1464" i="4"/>
  <c r="D1455" i="4"/>
  <c r="D1456" i="4"/>
  <c r="D1457" i="4"/>
  <c r="D1458" i="4"/>
  <c r="D1459" i="4"/>
  <c r="D1460" i="4"/>
  <c r="D1461" i="4"/>
  <c r="D1462" i="4"/>
  <c r="D1463" i="4"/>
  <c r="D1464" i="4"/>
  <c r="B1455" i="2"/>
  <c r="B1456" i="2"/>
  <c r="B1457" i="2"/>
  <c r="B1458" i="2"/>
  <c r="B1459" i="2"/>
  <c r="B1460" i="2"/>
  <c r="B1461" i="2"/>
  <c r="B1462" i="2"/>
  <c r="B1463" i="2"/>
  <c r="B1464" i="2"/>
  <c r="C1455" i="2"/>
  <c r="C1456" i="2"/>
  <c r="C1457" i="2"/>
  <c r="C1458" i="2"/>
  <c r="C1459" i="2"/>
  <c r="C1460" i="2"/>
  <c r="C1461" i="2"/>
  <c r="C1462" i="2"/>
  <c r="C1463" i="2"/>
  <c r="C1464" i="2"/>
  <c r="D1455" i="2"/>
  <c r="D1456" i="2"/>
  <c r="D1457" i="2"/>
  <c r="D1458" i="2"/>
  <c r="D1459" i="2"/>
  <c r="D1460" i="2"/>
  <c r="D1461" i="2"/>
  <c r="D1462" i="2"/>
  <c r="D1463" i="2"/>
  <c r="D1464" i="2"/>
  <c r="E1455" i="2"/>
  <c r="Q265" i="1" s="1"/>
  <c r="U265" i="1" s="1"/>
  <c r="E1456" i="2"/>
  <c r="Q827" i="1" s="1"/>
  <c r="U827" i="1" s="1"/>
  <c r="E1457" i="2"/>
  <c r="E1458" i="2"/>
  <c r="E1459" i="2"/>
  <c r="Q561" i="1" s="1"/>
  <c r="E1460" i="2"/>
  <c r="Q579" i="1" s="1"/>
  <c r="U579" i="1" s="1"/>
  <c r="E1461" i="2"/>
  <c r="Q580" i="1" s="1"/>
  <c r="U580" i="1" s="1"/>
  <c r="E1462" i="2"/>
  <c r="Q587" i="1" s="1"/>
  <c r="U587" i="1" s="1"/>
  <c r="E1463" i="2"/>
  <c r="Q588" i="1" s="1"/>
  <c r="U588" i="1" s="1"/>
  <c r="E1464" i="2"/>
  <c r="Q589" i="1" s="1"/>
  <c r="U589" i="1" s="1"/>
  <c r="Q548" i="1"/>
  <c r="U548" i="1" s="1"/>
  <c r="Q560" i="1"/>
  <c r="AB560" i="1" l="1"/>
  <c r="U560" i="1"/>
  <c r="AB720" i="1"/>
  <c r="U720" i="1"/>
  <c r="AB590" i="1"/>
  <c r="U590" i="1"/>
  <c r="AB567" i="1"/>
  <c r="U567" i="1"/>
  <c r="AB722" i="1"/>
  <c r="U722" i="1"/>
  <c r="AB640" i="1"/>
  <c r="U640" i="1"/>
  <c r="AB561" i="1"/>
  <c r="U561" i="1"/>
  <c r="AB726" i="1"/>
  <c r="U726" i="1"/>
  <c r="AB591" i="1"/>
  <c r="AB721" i="1"/>
  <c r="AB725" i="1"/>
  <c r="AB717" i="1"/>
  <c r="AB719" i="1"/>
  <c r="AB723" i="1"/>
  <c r="AB672" i="1"/>
  <c r="AB727" i="1"/>
  <c r="AB724" i="1"/>
  <c r="AB718" i="1"/>
  <c r="AB265" i="1"/>
  <c r="AB588" i="1"/>
  <c r="AB587" i="1"/>
  <c r="AB827" i="1"/>
  <c r="AB579" i="1"/>
  <c r="AB580" i="1"/>
  <c r="AB548" i="1"/>
  <c r="AB589" i="1"/>
  <c r="B1454" i="4" l="1"/>
  <c r="C1454" i="4"/>
  <c r="D1454" i="4"/>
  <c r="B1454" i="2"/>
  <c r="C1454" i="2"/>
  <c r="D1454" i="2"/>
  <c r="E1454" i="2"/>
  <c r="B1453" i="4"/>
  <c r="C1453" i="4"/>
  <c r="D1453" i="4"/>
  <c r="B1453" i="2"/>
  <c r="C1453" i="2"/>
  <c r="D1453" i="2"/>
  <c r="E1453" i="2"/>
  <c r="Q878" i="1" s="1"/>
  <c r="U878" i="1" s="1"/>
  <c r="B1452" i="4"/>
  <c r="C1452" i="4"/>
  <c r="D1452" i="4"/>
  <c r="B1452" i="2"/>
  <c r="C1452" i="2"/>
  <c r="D1452" i="2"/>
  <c r="E1452" i="2"/>
  <c r="Q299" i="1" s="1"/>
  <c r="U299" i="1" s="1"/>
  <c r="Q93" i="1" l="1"/>
  <c r="AB878" i="1"/>
  <c r="AB299" i="1"/>
  <c r="AB93" i="1" l="1"/>
  <c r="U93" i="1"/>
  <c r="C1451" i="4"/>
  <c r="D1451" i="4"/>
  <c r="B1451" i="2"/>
  <c r="C1451" i="2"/>
  <c r="D1451" i="2"/>
  <c r="E1451" i="2"/>
  <c r="Q782" i="1" s="1"/>
  <c r="B1442" i="4"/>
  <c r="B1443" i="4"/>
  <c r="B1444" i="4"/>
  <c r="B1445" i="4"/>
  <c r="B1446" i="4"/>
  <c r="B1447" i="4"/>
  <c r="B1448" i="4"/>
  <c r="B1449" i="4"/>
  <c r="C1442" i="4"/>
  <c r="C1443" i="4"/>
  <c r="C1444" i="4"/>
  <c r="C1445" i="4"/>
  <c r="C1446" i="4"/>
  <c r="C1447" i="4"/>
  <c r="C1448" i="4"/>
  <c r="C1449" i="4"/>
  <c r="C1450" i="4"/>
  <c r="D1442" i="4"/>
  <c r="D1443" i="4"/>
  <c r="D1444" i="4"/>
  <c r="D1445" i="4"/>
  <c r="D1446" i="4"/>
  <c r="D1447" i="4"/>
  <c r="D1448" i="4"/>
  <c r="D1449" i="4"/>
  <c r="D1450" i="4"/>
  <c r="B1442" i="2"/>
  <c r="B1443" i="2"/>
  <c r="B1444" i="2"/>
  <c r="B1445" i="2"/>
  <c r="B1446" i="2"/>
  <c r="B1447" i="2"/>
  <c r="B1448" i="2"/>
  <c r="B1449" i="2"/>
  <c r="B1450" i="2"/>
  <c r="C1442" i="2"/>
  <c r="C1443" i="2"/>
  <c r="C1444" i="2"/>
  <c r="C1445" i="2"/>
  <c r="C1446" i="2"/>
  <c r="C1447" i="2"/>
  <c r="C1448" i="2"/>
  <c r="C1449" i="2"/>
  <c r="C1450" i="2"/>
  <c r="D1442" i="2"/>
  <c r="D1443" i="2"/>
  <c r="D1444" i="2"/>
  <c r="D1445" i="2"/>
  <c r="D1446" i="2"/>
  <c r="D1447" i="2"/>
  <c r="D1448" i="2"/>
  <c r="D1449" i="2"/>
  <c r="D1450" i="2"/>
  <c r="E1442" i="2"/>
  <c r="Q669" i="1" s="1"/>
  <c r="U669" i="1" s="1"/>
  <c r="E1443" i="2"/>
  <c r="Q202" i="1" s="1"/>
  <c r="U202" i="1" s="1"/>
  <c r="E1444" i="2"/>
  <c r="Q203" i="1" s="1"/>
  <c r="U203" i="1" s="1"/>
  <c r="E1445" i="2"/>
  <c r="Q1381" i="1" s="1"/>
  <c r="U1381" i="1" s="1"/>
  <c r="E1446" i="2"/>
  <c r="Q450" i="1" s="1"/>
  <c r="U450" i="1" s="1"/>
  <c r="E1447" i="2"/>
  <c r="Q451" i="1" s="1"/>
  <c r="U451" i="1" s="1"/>
  <c r="E1448" i="2"/>
  <c r="Q452" i="1" s="1"/>
  <c r="U452" i="1" s="1"/>
  <c r="E1449" i="2"/>
  <c r="Q453" i="1" s="1"/>
  <c r="U453" i="1" s="1"/>
  <c r="E1450" i="2"/>
  <c r="Q1382" i="1" s="1"/>
  <c r="AB782" i="1" l="1"/>
  <c r="U782" i="1"/>
  <c r="AB1382" i="1"/>
  <c r="U1382" i="1"/>
  <c r="AB453" i="1"/>
  <c r="AB203" i="1"/>
  <c r="AB202" i="1"/>
  <c r="AB451" i="1"/>
  <c r="AB450" i="1"/>
  <c r="AB669" i="1"/>
  <c r="AB452" i="1"/>
  <c r="AB1381" i="1"/>
  <c r="B1441" i="4" l="1"/>
  <c r="C1441" i="4"/>
  <c r="D1441" i="4"/>
  <c r="B1441" i="2"/>
  <c r="C1441" i="2"/>
  <c r="D1441" i="2"/>
  <c r="E1441" i="2"/>
  <c r="Q44" i="1" s="1"/>
  <c r="U44" i="1" s="1"/>
  <c r="B1440" i="4"/>
  <c r="C1440" i="4"/>
  <c r="D1440" i="4"/>
  <c r="B1440" i="2"/>
  <c r="C1440" i="2"/>
  <c r="D1440" i="2"/>
  <c r="E1440" i="2"/>
  <c r="Q43" i="1" s="1"/>
  <c r="U43" i="1" s="1"/>
  <c r="AB44" i="1" l="1"/>
  <c r="AB43" i="1"/>
  <c r="B1439" i="4"/>
  <c r="C1439" i="4"/>
  <c r="D1439" i="4"/>
  <c r="B1439" i="2"/>
  <c r="C1439" i="2"/>
  <c r="D1439" i="2"/>
  <c r="E1439" i="2"/>
  <c r="Q171" i="1" s="1"/>
  <c r="U171" i="1" s="1"/>
  <c r="B1438" i="4"/>
  <c r="C1438" i="4"/>
  <c r="D1438" i="4"/>
  <c r="B1438" i="2"/>
  <c r="C1438" i="2"/>
  <c r="D1438" i="2"/>
  <c r="E1438" i="2"/>
  <c r="Q26" i="1" s="1"/>
  <c r="U26" i="1" s="1"/>
  <c r="AB171" i="1" l="1"/>
  <c r="AB26" i="1"/>
  <c r="B1436" i="4"/>
  <c r="B1437" i="4"/>
  <c r="C1436" i="4"/>
  <c r="C1437" i="4"/>
  <c r="D1436" i="4"/>
  <c r="D1437" i="4"/>
  <c r="B1436" i="2"/>
  <c r="B1437" i="2"/>
  <c r="C1436" i="2"/>
  <c r="C1437" i="2"/>
  <c r="D1436" i="2"/>
  <c r="D1437" i="2"/>
  <c r="E1436" i="2"/>
  <c r="Q9" i="1" s="1"/>
  <c r="U9" i="1" s="1"/>
  <c r="E1437" i="2"/>
  <c r="Q17" i="1" s="1"/>
  <c r="U17" i="1" s="1"/>
  <c r="AB17" i="1" l="1"/>
  <c r="AB9" i="1"/>
  <c r="B1435" i="4"/>
  <c r="C1435" i="4"/>
  <c r="D1435" i="4"/>
  <c r="B1435" i="2"/>
  <c r="C1435" i="2"/>
  <c r="D1435" i="2"/>
  <c r="E1435" i="2"/>
  <c r="B1434" i="4"/>
  <c r="C1434" i="4"/>
  <c r="D1434" i="4"/>
  <c r="B1434" i="2"/>
  <c r="C1434" i="2"/>
  <c r="D1434" i="2"/>
  <c r="E1434" i="2"/>
  <c r="Q211" i="1" s="1"/>
  <c r="U211" i="1" s="1"/>
  <c r="B1433" i="4"/>
  <c r="C1433" i="4"/>
  <c r="D1433" i="4"/>
  <c r="B1433" i="2"/>
  <c r="C1433" i="2"/>
  <c r="D1433" i="2"/>
  <c r="E1433" i="2"/>
  <c r="Q338" i="1" l="1"/>
  <c r="U338" i="1" s="1"/>
  <c r="Q529" i="1"/>
  <c r="U529" i="1" s="1"/>
  <c r="AB211" i="1"/>
  <c r="B1432" i="4"/>
  <c r="C1432" i="4"/>
  <c r="D1432" i="4"/>
  <c r="B1432" i="2"/>
  <c r="C1432" i="2"/>
  <c r="D1432" i="2"/>
  <c r="E1432" i="2"/>
  <c r="Q210" i="1" s="1"/>
  <c r="U210" i="1" s="1"/>
  <c r="AB338" i="1" l="1"/>
  <c r="AB529" i="1"/>
  <c r="AB210" i="1"/>
  <c r="B1431" i="4" l="1"/>
  <c r="C1431" i="4"/>
  <c r="D1431" i="4"/>
  <c r="B1431" i="2"/>
  <c r="C1431" i="2"/>
  <c r="D1431" i="2"/>
  <c r="E1431" i="2"/>
  <c r="B1430" i="4"/>
  <c r="C1430" i="4"/>
  <c r="D1430" i="4"/>
  <c r="B1430" i="2"/>
  <c r="C1430" i="2"/>
  <c r="D1430" i="2"/>
  <c r="E1430" i="2"/>
  <c r="B1429" i="4"/>
  <c r="C1429" i="4"/>
  <c r="D1429" i="4"/>
  <c r="B1429" i="2"/>
  <c r="C1429" i="2"/>
  <c r="D1429" i="2"/>
  <c r="E1429" i="2"/>
  <c r="Q32" i="1" s="1"/>
  <c r="U32" i="1" s="1"/>
  <c r="Q520" i="1" l="1"/>
  <c r="U520" i="1" s="1"/>
  <c r="Q298" i="1"/>
  <c r="U298" i="1" s="1"/>
  <c r="AB32" i="1"/>
  <c r="B1428" i="4"/>
  <c r="C1428" i="4"/>
  <c r="D1428" i="4"/>
  <c r="B1428" i="2"/>
  <c r="C1428" i="2"/>
  <c r="D1428" i="2"/>
  <c r="E1428" i="2"/>
  <c r="Q324" i="1" s="1"/>
  <c r="U324" i="1" s="1"/>
  <c r="AB520" i="1" l="1"/>
  <c r="AB298" i="1"/>
  <c r="B1427" i="2"/>
  <c r="C1427" i="2"/>
  <c r="D1427" i="2"/>
  <c r="E1427" i="2"/>
  <c r="B1425" i="4"/>
  <c r="B1426" i="4"/>
  <c r="B1427" i="4"/>
  <c r="C1425" i="4"/>
  <c r="C1426" i="4"/>
  <c r="C1427" i="4"/>
  <c r="D1425" i="4"/>
  <c r="D1426" i="4"/>
  <c r="D1427" i="4"/>
  <c r="B1425" i="2"/>
  <c r="B1426" i="2"/>
  <c r="C1425" i="2"/>
  <c r="C1426" i="2"/>
  <c r="D1425" i="2"/>
  <c r="D1426" i="2"/>
  <c r="E1425" i="2"/>
  <c r="E1426" i="2"/>
  <c r="AB324" i="1" l="1"/>
  <c r="Q1376" i="1"/>
  <c r="U1376" i="1" s="1"/>
  <c r="Q223" i="1"/>
  <c r="U223" i="1" s="1"/>
  <c r="Q323" i="1"/>
  <c r="AB323" i="1" l="1"/>
  <c r="U323" i="1"/>
  <c r="AB1376" i="1"/>
  <c r="AB223" i="1"/>
  <c r="B1424" i="4" l="1"/>
  <c r="C1424" i="4"/>
  <c r="D1424" i="4"/>
  <c r="B1424" i="2"/>
  <c r="C1424" i="2"/>
  <c r="D1424" i="2"/>
  <c r="E1424" i="2"/>
  <c r="B1423" i="4"/>
  <c r="C1423" i="4"/>
  <c r="D1423" i="4"/>
  <c r="B1423" i="2"/>
  <c r="C1423" i="2"/>
  <c r="D1423" i="2"/>
  <c r="E1423" i="2"/>
  <c r="Q1374" i="1" s="1"/>
  <c r="U1374" i="1" s="1"/>
  <c r="B1422" i="4"/>
  <c r="C1422" i="4"/>
  <c r="D1422" i="4"/>
  <c r="B1422" i="2"/>
  <c r="C1422" i="2"/>
  <c r="D1422" i="2"/>
  <c r="E1422" i="2"/>
  <c r="Q1373" i="1" s="1"/>
  <c r="U1373" i="1" s="1"/>
  <c r="Q1375" i="1" l="1"/>
  <c r="U1375" i="1" s="1"/>
  <c r="AB1374" i="1"/>
  <c r="AB1373" i="1"/>
  <c r="B1421" i="4"/>
  <c r="C1421" i="4"/>
  <c r="D1421" i="4"/>
  <c r="B1421" i="2"/>
  <c r="C1421" i="2"/>
  <c r="D1421" i="2"/>
  <c r="E1421" i="2"/>
  <c r="AB1375" i="1" l="1"/>
  <c r="Q1372" i="1"/>
  <c r="U1372" i="1" s="1"/>
  <c r="AB1372" i="1" l="1"/>
  <c r="B808" i="4"/>
  <c r="B809" i="4"/>
  <c r="B810" i="4"/>
  <c r="B811" i="4"/>
  <c r="B812" i="4"/>
  <c r="B813" i="4"/>
  <c r="B814" i="4"/>
  <c r="B815" i="4"/>
  <c r="B816" i="4"/>
  <c r="B817" i="4"/>
  <c r="B818" i="4"/>
  <c r="B819" i="4"/>
  <c r="B820" i="4"/>
  <c r="B821" i="4"/>
  <c r="B822" i="4"/>
  <c r="B823" i="4"/>
  <c r="B824" i="4"/>
  <c r="B825" i="4"/>
  <c r="B826" i="4"/>
  <c r="B827" i="4"/>
  <c r="B828" i="4"/>
  <c r="B829" i="4"/>
  <c r="B830" i="4"/>
  <c r="B831" i="4"/>
  <c r="B832" i="4"/>
  <c r="B833" i="4"/>
  <c r="B834" i="4"/>
  <c r="B835" i="4"/>
  <c r="B836" i="4"/>
  <c r="B837" i="4"/>
  <c r="B838" i="4"/>
  <c r="B839" i="4"/>
  <c r="B840" i="4"/>
  <c r="B841" i="4"/>
  <c r="B842" i="4"/>
  <c r="B843" i="4"/>
  <c r="B844" i="4"/>
  <c r="B845" i="4"/>
  <c r="B846" i="4"/>
  <c r="B847" i="4"/>
  <c r="B848" i="4"/>
  <c r="B849" i="4"/>
  <c r="B850" i="4"/>
  <c r="B851" i="4"/>
  <c r="B852" i="4"/>
  <c r="B853" i="4"/>
  <c r="B854" i="4"/>
  <c r="B855" i="4"/>
  <c r="B856" i="4"/>
  <c r="B857" i="4"/>
  <c r="B858" i="4"/>
  <c r="B859" i="4"/>
  <c r="B860" i="4"/>
  <c r="B861" i="4"/>
  <c r="B862" i="4"/>
  <c r="B863" i="4"/>
  <c r="B864" i="4"/>
  <c r="B865" i="4"/>
  <c r="B866" i="4"/>
  <c r="B867" i="4"/>
  <c r="B868" i="4"/>
  <c r="B869" i="4"/>
  <c r="B870" i="4"/>
  <c r="B871" i="4"/>
  <c r="B872" i="4"/>
  <c r="B873" i="4"/>
  <c r="B874" i="4"/>
  <c r="B875" i="4"/>
  <c r="B876" i="4"/>
  <c r="B877" i="4"/>
  <c r="B878" i="4"/>
  <c r="B879" i="4"/>
  <c r="B880" i="4"/>
  <c r="B881" i="4"/>
  <c r="B882" i="4"/>
  <c r="B883" i="4"/>
  <c r="B884" i="4"/>
  <c r="B885" i="4"/>
  <c r="B886" i="4"/>
  <c r="B887" i="4"/>
  <c r="B888" i="4"/>
  <c r="B889" i="4"/>
  <c r="B890" i="4"/>
  <c r="B891" i="4"/>
  <c r="B892" i="4"/>
  <c r="B893" i="4"/>
  <c r="B894" i="4"/>
  <c r="B895" i="4"/>
  <c r="B896" i="4"/>
  <c r="B897" i="4"/>
  <c r="B898" i="4"/>
  <c r="B899" i="4"/>
  <c r="B900" i="4"/>
  <c r="B901" i="4"/>
  <c r="B902" i="4"/>
  <c r="B903" i="4"/>
  <c r="B904" i="4"/>
  <c r="B905" i="4"/>
  <c r="B906" i="4"/>
  <c r="B907" i="4"/>
  <c r="B908" i="4"/>
  <c r="B909" i="4"/>
  <c r="B910" i="4"/>
  <c r="B911" i="4"/>
  <c r="B912" i="4"/>
  <c r="B913" i="4"/>
  <c r="B914" i="4"/>
  <c r="B915" i="4"/>
  <c r="B916" i="4"/>
  <c r="B917" i="4"/>
  <c r="B918" i="4"/>
  <c r="B919" i="4"/>
  <c r="B920" i="4"/>
  <c r="B921" i="4"/>
  <c r="B922" i="4"/>
  <c r="B923" i="4"/>
  <c r="B924" i="4"/>
  <c r="B925" i="4"/>
  <c r="B926" i="4"/>
  <c r="B927" i="4"/>
  <c r="B928" i="4"/>
  <c r="B929" i="4"/>
  <c r="B930" i="4"/>
  <c r="B931" i="4"/>
  <c r="B932" i="4"/>
  <c r="B933" i="4"/>
  <c r="B934" i="4"/>
  <c r="B935" i="4"/>
  <c r="B936" i="4"/>
  <c r="B937" i="4"/>
  <c r="B938" i="4"/>
  <c r="B939" i="4"/>
  <c r="B940" i="4"/>
  <c r="B941" i="4"/>
  <c r="B942" i="4"/>
  <c r="B943" i="4"/>
  <c r="B944" i="4"/>
  <c r="B945" i="4"/>
  <c r="B946" i="4"/>
  <c r="B947" i="4"/>
  <c r="B948" i="4"/>
  <c r="B949" i="4"/>
  <c r="B950" i="4"/>
  <c r="B951" i="4"/>
  <c r="B952" i="4"/>
  <c r="B953" i="4"/>
  <c r="B954" i="4"/>
  <c r="B955" i="4"/>
  <c r="B956" i="4"/>
  <c r="B957" i="4"/>
  <c r="B958" i="4"/>
  <c r="B959" i="4"/>
  <c r="B960" i="4"/>
  <c r="B961" i="4"/>
  <c r="B962" i="4"/>
  <c r="B963" i="4"/>
  <c r="B964" i="4"/>
  <c r="B965" i="4"/>
  <c r="B966" i="4"/>
  <c r="B967" i="4"/>
  <c r="B968" i="4"/>
  <c r="B969" i="4"/>
  <c r="B970" i="4"/>
  <c r="B971" i="4"/>
  <c r="B972" i="4"/>
  <c r="B973" i="4"/>
  <c r="B974" i="4"/>
  <c r="B975" i="4"/>
  <c r="B976" i="4"/>
  <c r="B977" i="4"/>
  <c r="B978" i="4"/>
  <c r="B979" i="4"/>
  <c r="B980" i="4"/>
  <c r="B981" i="4"/>
  <c r="B982" i="4"/>
  <c r="B983" i="4"/>
  <c r="B984" i="4"/>
  <c r="B985" i="4"/>
  <c r="B986" i="4"/>
  <c r="B987" i="4"/>
  <c r="B988" i="4"/>
  <c r="B989" i="4"/>
  <c r="B990" i="4"/>
  <c r="B991" i="4"/>
  <c r="B992" i="4"/>
  <c r="B993" i="4"/>
  <c r="B994" i="4"/>
  <c r="B995" i="4"/>
  <c r="B996" i="4"/>
  <c r="B997" i="4"/>
  <c r="B998" i="4"/>
  <c r="B999" i="4"/>
  <c r="B1000" i="4"/>
  <c r="B1001" i="4"/>
  <c r="B1002" i="4"/>
  <c r="B1003" i="4"/>
  <c r="B1004" i="4"/>
  <c r="B1005" i="4"/>
  <c r="B1006" i="4"/>
  <c r="B1007" i="4"/>
  <c r="B1008" i="4"/>
  <c r="B1010" i="4"/>
  <c r="B1011" i="4"/>
  <c r="B1012" i="4"/>
  <c r="B1013" i="4"/>
  <c r="B1014" i="4"/>
  <c r="B1015" i="4"/>
  <c r="B1016" i="4"/>
  <c r="B1017" i="4"/>
  <c r="B1018" i="4"/>
  <c r="B1019" i="4"/>
  <c r="B1020" i="4"/>
  <c r="B1021" i="4"/>
  <c r="B1022" i="4"/>
  <c r="B1023" i="4"/>
  <c r="B1024" i="4"/>
  <c r="B1025" i="4"/>
  <c r="B1026" i="4"/>
  <c r="B1027" i="4"/>
  <c r="B1028" i="4"/>
  <c r="B1029" i="4"/>
  <c r="B1030" i="4"/>
  <c r="B1031" i="4"/>
  <c r="B1032" i="4"/>
  <c r="B1033" i="4"/>
  <c r="B1034" i="4"/>
  <c r="B1035" i="4"/>
  <c r="B1036" i="4"/>
  <c r="B1037" i="4"/>
  <c r="B1038" i="4"/>
  <c r="B1039" i="4"/>
  <c r="B1040" i="4"/>
  <c r="B1041" i="4"/>
  <c r="B1042" i="4"/>
  <c r="B1043" i="4"/>
  <c r="B1044" i="4"/>
  <c r="B1045" i="4"/>
  <c r="B1046" i="4"/>
  <c r="B1047" i="4"/>
  <c r="B1048" i="4"/>
  <c r="B1049" i="4"/>
  <c r="B1050" i="4"/>
  <c r="B1051" i="4"/>
  <c r="B1052" i="4"/>
  <c r="B1053" i="4"/>
  <c r="B1054" i="4"/>
  <c r="B1055" i="4"/>
  <c r="B1056" i="4"/>
  <c r="B1058" i="4"/>
  <c r="B1059" i="4"/>
  <c r="B1060" i="4"/>
  <c r="B1061" i="4"/>
  <c r="B1062" i="4"/>
  <c r="B1063" i="4"/>
  <c r="B1064" i="4"/>
  <c r="B1065" i="4"/>
  <c r="B1066" i="4"/>
  <c r="B1067" i="4"/>
  <c r="B1068" i="4"/>
  <c r="B1069" i="4"/>
  <c r="B1070" i="4"/>
  <c r="B1071" i="4"/>
  <c r="B1072" i="4"/>
  <c r="B1073" i="4"/>
  <c r="B1074" i="4"/>
  <c r="B1075" i="4"/>
  <c r="B1076" i="4"/>
  <c r="B1077" i="4"/>
  <c r="B1078" i="4"/>
  <c r="B1079" i="4"/>
  <c r="B1080" i="4"/>
  <c r="B1081" i="4"/>
  <c r="B1082" i="4"/>
  <c r="B1083" i="4"/>
  <c r="B1084" i="4"/>
  <c r="B1085" i="4"/>
  <c r="B1086" i="4"/>
  <c r="B1087" i="4"/>
  <c r="B1088" i="4"/>
  <c r="B1089" i="4"/>
  <c r="B1090" i="4"/>
  <c r="B1091" i="4"/>
  <c r="B1092" i="4"/>
  <c r="B1093" i="4"/>
  <c r="B1094" i="4"/>
  <c r="B1095" i="4"/>
  <c r="B1096" i="4"/>
  <c r="B1097" i="4"/>
  <c r="B1098" i="4"/>
  <c r="B1099" i="4"/>
  <c r="B1100" i="4"/>
  <c r="B1101" i="4"/>
  <c r="B1102" i="4"/>
  <c r="B1103" i="4"/>
  <c r="B1104" i="4"/>
  <c r="B1105" i="4"/>
  <c r="B1106" i="4"/>
  <c r="B1107" i="4"/>
  <c r="B1108" i="4"/>
  <c r="B1109" i="4"/>
  <c r="B1110" i="4"/>
  <c r="B1111" i="4"/>
  <c r="B1112" i="4"/>
  <c r="B1113" i="4"/>
  <c r="B1114" i="4"/>
  <c r="B1115" i="4"/>
  <c r="B1116" i="4"/>
  <c r="B1117" i="4"/>
  <c r="B1118" i="4"/>
  <c r="B1119" i="4"/>
  <c r="B1120" i="4"/>
  <c r="B1121" i="4"/>
  <c r="B1122" i="4"/>
  <c r="B1123" i="4"/>
  <c r="B1124" i="4"/>
  <c r="B1125" i="4"/>
  <c r="B1126" i="4"/>
  <c r="B1127" i="4"/>
  <c r="B1128" i="4"/>
  <c r="B1129" i="4"/>
  <c r="B1130" i="4"/>
  <c r="B1131" i="4"/>
  <c r="B1132" i="4"/>
  <c r="B1133" i="4"/>
  <c r="B1134" i="4"/>
  <c r="B1135" i="4"/>
  <c r="B1136" i="4"/>
  <c r="B1137" i="4"/>
  <c r="B1138" i="4"/>
  <c r="B1139" i="4"/>
  <c r="B1140" i="4"/>
  <c r="B1141" i="4"/>
  <c r="B1142" i="4"/>
  <c r="B1143" i="4"/>
  <c r="B1144" i="4"/>
  <c r="B1145" i="4"/>
  <c r="B1146" i="4"/>
  <c r="B1147" i="4"/>
  <c r="B1148" i="4"/>
  <c r="B1149" i="4"/>
  <c r="B1150" i="4"/>
  <c r="B1151" i="4"/>
  <c r="B1152" i="4"/>
  <c r="B1153" i="4"/>
  <c r="B1154" i="4"/>
  <c r="B1155" i="4"/>
  <c r="B1156" i="4"/>
  <c r="B1157" i="4"/>
  <c r="B1158" i="4"/>
  <c r="B1159" i="4"/>
  <c r="B1160" i="4"/>
  <c r="B1161" i="4"/>
  <c r="B1162" i="4"/>
  <c r="B1163" i="4"/>
  <c r="B1164" i="4"/>
  <c r="B1165" i="4"/>
  <c r="B1166" i="4"/>
  <c r="B1167" i="4"/>
  <c r="B1168" i="4"/>
  <c r="B1169" i="4"/>
  <c r="B1170" i="4"/>
  <c r="B1171" i="4"/>
  <c r="B1172" i="4"/>
  <c r="B1173" i="4"/>
  <c r="B1174" i="4"/>
  <c r="B1175" i="4"/>
  <c r="B1176" i="4"/>
  <c r="B1177" i="4"/>
  <c r="B1178" i="4"/>
  <c r="B1179" i="4"/>
  <c r="B1180" i="4"/>
  <c r="B1181" i="4"/>
  <c r="B1182" i="4"/>
  <c r="B1183" i="4"/>
  <c r="B1184" i="4"/>
  <c r="B1185" i="4"/>
  <c r="B1186" i="4"/>
  <c r="B1187" i="4"/>
  <c r="B1188" i="4"/>
  <c r="B1189" i="4"/>
  <c r="B1190" i="4"/>
  <c r="B1191" i="4"/>
  <c r="B1192" i="4"/>
  <c r="B1193" i="4"/>
  <c r="B1194" i="4"/>
  <c r="B1195" i="4"/>
  <c r="B1196" i="4"/>
  <c r="B1197" i="4"/>
  <c r="B1198" i="4"/>
  <c r="B1199" i="4"/>
  <c r="B1200" i="4"/>
  <c r="B1201" i="4"/>
  <c r="B1202" i="4"/>
  <c r="B1203" i="4"/>
  <c r="B1204" i="4"/>
  <c r="B1205" i="4"/>
  <c r="B1206" i="4"/>
  <c r="B1207" i="4"/>
  <c r="B1208" i="4"/>
  <c r="B1209" i="4"/>
  <c r="B1210" i="4"/>
  <c r="B1211" i="4"/>
  <c r="B1212" i="4"/>
  <c r="B1213" i="4"/>
  <c r="B1214" i="4"/>
  <c r="B1215" i="4"/>
  <c r="B1216" i="4"/>
  <c r="B1217" i="4"/>
  <c r="B1218" i="4"/>
  <c r="B1219" i="4"/>
  <c r="B1220" i="4"/>
  <c r="B1221" i="4"/>
  <c r="B1222" i="4"/>
  <c r="B1223" i="4"/>
  <c r="B1224" i="4"/>
  <c r="B1225" i="4"/>
  <c r="B1226" i="4"/>
  <c r="B1227" i="4"/>
  <c r="B1228" i="4"/>
  <c r="B1229" i="4"/>
  <c r="B1230" i="4"/>
  <c r="B1231" i="4"/>
  <c r="B1232" i="4"/>
  <c r="B1233" i="4"/>
  <c r="B1234" i="4"/>
  <c r="B1235" i="4"/>
  <c r="B1236" i="4"/>
  <c r="B1237" i="4"/>
  <c r="B1238" i="4"/>
  <c r="B1239" i="4"/>
  <c r="B1240" i="4"/>
  <c r="B1241" i="4"/>
  <c r="B1242" i="4"/>
  <c r="B1243" i="4"/>
  <c r="B1244" i="4"/>
  <c r="B1245" i="4"/>
  <c r="B1246" i="4"/>
  <c r="B1247" i="4"/>
  <c r="B1248" i="4"/>
  <c r="B1249" i="4"/>
  <c r="B1250" i="4"/>
  <c r="B1251" i="4"/>
  <c r="B1252" i="4"/>
  <c r="B1253" i="4"/>
  <c r="B1254" i="4"/>
  <c r="B1255" i="4"/>
  <c r="B1256" i="4"/>
  <c r="B1257" i="4"/>
  <c r="B1258" i="4"/>
  <c r="B1259" i="4"/>
  <c r="B1260" i="4"/>
  <c r="B1261" i="4"/>
  <c r="B1262" i="4"/>
  <c r="B1263" i="4"/>
  <c r="B1264" i="4"/>
  <c r="B1265" i="4"/>
  <c r="B1266" i="4"/>
  <c r="B1267" i="4"/>
  <c r="B1268" i="4"/>
  <c r="B1269" i="4"/>
  <c r="B1270" i="4"/>
  <c r="B1271" i="4"/>
  <c r="B1272" i="4"/>
  <c r="B1273" i="4"/>
  <c r="B1274" i="4"/>
  <c r="B1275" i="4"/>
  <c r="B1276" i="4"/>
  <c r="B1277" i="4"/>
  <c r="B1278" i="4"/>
  <c r="B1279" i="4"/>
  <c r="B1280" i="4"/>
  <c r="B1281" i="4"/>
  <c r="B1282" i="4"/>
  <c r="B1283" i="4"/>
  <c r="B1284" i="4"/>
  <c r="B1285" i="4"/>
  <c r="B1286" i="4"/>
  <c r="B1287" i="4"/>
  <c r="B1288" i="4"/>
  <c r="B1289" i="4"/>
  <c r="B1290" i="4"/>
  <c r="B1291" i="4"/>
  <c r="B1292" i="4"/>
  <c r="B1293" i="4"/>
  <c r="B1294" i="4"/>
  <c r="B1295" i="4"/>
  <c r="B1296" i="4"/>
  <c r="B1297" i="4"/>
  <c r="B1298" i="4"/>
  <c r="B1299" i="4"/>
  <c r="B1300" i="4"/>
  <c r="B1301" i="4"/>
  <c r="B1302" i="4"/>
  <c r="B1303" i="4"/>
  <c r="B1304" i="4"/>
  <c r="B1305" i="4"/>
  <c r="B1306" i="4"/>
  <c r="B1307" i="4"/>
  <c r="B1308" i="4"/>
  <c r="B1309" i="4"/>
  <c r="B1310" i="4"/>
  <c r="B1311" i="4"/>
  <c r="B1312" i="4"/>
  <c r="B1313" i="4"/>
  <c r="B1314" i="4"/>
  <c r="B1315" i="4"/>
  <c r="B1316" i="4"/>
  <c r="B1317" i="4"/>
  <c r="B1318" i="4"/>
  <c r="B1319" i="4"/>
  <c r="B1320" i="4"/>
  <c r="B1321" i="4"/>
  <c r="B1322" i="4"/>
  <c r="B1323" i="4"/>
  <c r="B1324" i="4"/>
  <c r="B1325" i="4"/>
  <c r="B1326" i="4"/>
  <c r="B1327" i="4"/>
  <c r="B1328" i="4"/>
  <c r="B1329" i="4"/>
  <c r="B1330" i="4"/>
  <c r="B1331" i="4"/>
  <c r="B1332" i="4"/>
  <c r="B1333" i="4"/>
  <c r="B1334" i="4"/>
  <c r="B1335" i="4"/>
  <c r="B1336" i="4"/>
  <c r="B1337" i="4"/>
  <c r="B1338" i="4"/>
  <c r="B1339" i="4"/>
  <c r="B1340" i="4"/>
  <c r="B1341" i="4"/>
  <c r="B1342" i="4"/>
  <c r="B1343" i="4"/>
  <c r="B1344" i="4"/>
  <c r="B1345" i="4"/>
  <c r="B1346" i="4"/>
  <c r="B1347" i="4"/>
  <c r="B1348" i="4"/>
  <c r="B1349" i="4"/>
  <c r="B1350" i="4"/>
  <c r="B1351" i="4"/>
  <c r="B1352" i="4"/>
  <c r="B1353" i="4"/>
  <c r="B1354" i="4"/>
  <c r="B1355" i="4"/>
  <c r="B1356" i="4"/>
  <c r="B1357" i="4"/>
  <c r="B1358" i="4"/>
  <c r="B1359" i="4"/>
  <c r="B1360" i="4"/>
  <c r="B1361" i="4"/>
  <c r="B1362" i="4"/>
  <c r="B1363" i="4"/>
  <c r="B1364" i="4"/>
  <c r="B1365" i="4"/>
  <c r="B1366" i="4"/>
  <c r="B1367" i="4"/>
  <c r="B1368" i="4"/>
  <c r="B1369" i="4"/>
  <c r="B1370" i="4"/>
  <c r="B1371" i="4"/>
  <c r="B1372" i="4"/>
  <c r="B1373" i="4"/>
  <c r="B1374" i="4"/>
  <c r="B1375" i="4"/>
  <c r="B1376" i="4"/>
  <c r="B1377" i="4"/>
  <c r="B1378" i="4"/>
  <c r="B1379" i="4"/>
  <c r="B1380" i="4"/>
  <c r="B1381" i="4"/>
  <c r="B1382" i="4"/>
  <c r="B1383" i="4"/>
  <c r="B1384" i="4"/>
  <c r="B1385" i="4"/>
  <c r="B1386" i="4"/>
  <c r="B1387" i="4"/>
  <c r="B1388" i="4"/>
  <c r="B1389" i="4"/>
  <c r="B1390" i="4"/>
  <c r="B1391" i="4"/>
  <c r="B1392" i="4"/>
  <c r="B1393" i="4"/>
  <c r="B1394" i="4"/>
  <c r="B1395" i="4"/>
  <c r="B1396" i="4"/>
  <c r="B1397" i="4"/>
  <c r="B1398" i="4"/>
  <c r="B1399" i="4"/>
  <c r="B1400" i="4"/>
  <c r="B1401" i="4"/>
  <c r="B1402" i="4"/>
  <c r="B1403" i="4"/>
  <c r="B1404" i="4"/>
  <c r="B1405" i="4"/>
  <c r="B1406" i="4"/>
  <c r="B1407" i="4"/>
  <c r="B1408" i="4"/>
  <c r="B1409" i="4"/>
  <c r="B1410" i="4"/>
  <c r="B1411" i="4"/>
  <c r="B1412" i="4"/>
  <c r="B847" i="2" l="1"/>
  <c r="B1420" i="4" l="1"/>
  <c r="C1420" i="4"/>
  <c r="D1420" i="4"/>
  <c r="B1420" i="2"/>
  <c r="C1420" i="2"/>
  <c r="D1420" i="2"/>
  <c r="E1420" i="2"/>
  <c r="Q1371" i="1" l="1"/>
  <c r="U1371" i="1" s="1"/>
  <c r="B845" i="2"/>
  <c r="AB1371" i="1" l="1"/>
  <c r="B1418" i="4"/>
  <c r="B1419" i="4"/>
  <c r="C1418" i="4"/>
  <c r="C1419" i="4"/>
  <c r="D1418" i="4"/>
  <c r="D1419" i="4"/>
  <c r="B1418" i="2"/>
  <c r="B1419" i="2"/>
  <c r="C1418" i="2"/>
  <c r="C1419" i="2"/>
  <c r="D1418" i="2"/>
  <c r="D1419" i="2"/>
  <c r="E1418" i="2"/>
  <c r="E1419" i="2"/>
  <c r="Q1370" i="1" l="1"/>
  <c r="U1370" i="1" s="1"/>
  <c r="Q1369" i="1"/>
  <c r="U1369" i="1" s="1"/>
  <c r="B1417" i="4"/>
  <c r="C1417" i="4"/>
  <c r="D1417" i="4"/>
  <c r="B1417" i="2"/>
  <c r="C1417" i="2"/>
  <c r="D1417" i="2"/>
  <c r="E1417" i="2"/>
  <c r="Q1368" i="1" s="1"/>
  <c r="U1368" i="1" s="1"/>
  <c r="AB1370" i="1" l="1"/>
  <c r="AB1369" i="1"/>
  <c r="AB1368" i="1"/>
  <c r="B1415" i="4"/>
  <c r="B1416" i="4"/>
  <c r="C1415" i="4"/>
  <c r="C1416" i="4"/>
  <c r="D1415" i="4"/>
  <c r="D1416" i="4"/>
  <c r="B1415" i="2"/>
  <c r="B1416" i="2"/>
  <c r="C1415" i="2"/>
  <c r="C1416" i="2"/>
  <c r="D1415" i="2"/>
  <c r="D1416" i="2"/>
  <c r="E1415" i="2"/>
  <c r="Q620" i="1" s="1"/>
  <c r="U620" i="1" s="1"/>
  <c r="E1416" i="2"/>
  <c r="Q621" i="1" s="1"/>
  <c r="U621" i="1" s="1"/>
  <c r="AB621" i="1" l="1"/>
  <c r="AB620" i="1"/>
  <c r="B1414" i="4" l="1"/>
  <c r="C1414" i="4"/>
  <c r="D1414" i="4"/>
  <c r="B1414" i="2"/>
  <c r="C1414" i="2"/>
  <c r="D1414" i="2"/>
  <c r="E1414" i="2"/>
  <c r="Q619" i="1" s="1"/>
  <c r="U619" i="1" s="1"/>
  <c r="AB619" i="1" l="1"/>
  <c r="B578" i="4" l="1"/>
  <c r="B561" i="4"/>
  <c r="B118" i="2" l="1"/>
  <c r="B1413" i="4" l="1"/>
  <c r="C1411" i="4"/>
  <c r="C1412" i="4"/>
  <c r="C1413" i="4"/>
  <c r="D1411" i="4"/>
  <c r="D1412" i="4"/>
  <c r="D1413" i="4"/>
  <c r="B1411" i="2"/>
  <c r="B1412" i="2"/>
  <c r="B1413" i="2"/>
  <c r="C1411" i="2"/>
  <c r="C1412" i="2"/>
  <c r="C1413" i="2"/>
  <c r="D1411" i="2"/>
  <c r="D1412" i="2"/>
  <c r="D1413" i="2"/>
  <c r="E1411" i="2"/>
  <c r="E1412" i="2"/>
  <c r="E1413" i="2"/>
  <c r="Q247" i="1" l="1"/>
  <c r="U247" i="1" s="1"/>
  <c r="Q1221" i="1"/>
  <c r="Q322" i="1"/>
  <c r="U322" i="1" s="1"/>
  <c r="AB1221" i="1" l="1"/>
  <c r="U1221" i="1"/>
  <c r="AB247" i="1"/>
  <c r="AB322" i="1"/>
  <c r="C1410" i="4" l="1"/>
  <c r="D1410" i="4"/>
  <c r="B1410" i="2"/>
  <c r="C1410" i="2"/>
  <c r="D1410" i="2"/>
  <c r="E1410" i="2"/>
  <c r="Q1067" i="1" s="1"/>
  <c r="U1067" i="1" s="1"/>
  <c r="AB1067" i="1" l="1"/>
  <c r="B105" i="4" l="1"/>
  <c r="B294" i="4" l="1"/>
  <c r="C1406" i="4" l="1"/>
  <c r="C1407" i="4"/>
  <c r="C1408" i="4"/>
  <c r="C1409" i="4"/>
  <c r="D1406" i="4"/>
  <c r="D1407" i="4"/>
  <c r="D1408" i="4"/>
  <c r="D1409" i="4"/>
  <c r="B1406" i="2"/>
  <c r="B1407" i="2"/>
  <c r="B1408" i="2"/>
  <c r="B1409" i="2"/>
  <c r="C1406" i="2"/>
  <c r="C1407" i="2"/>
  <c r="C1408" i="2"/>
  <c r="C1409" i="2"/>
  <c r="D1406" i="2"/>
  <c r="D1407" i="2"/>
  <c r="D1408" i="2"/>
  <c r="D1409" i="2"/>
  <c r="E1406" i="2"/>
  <c r="Q503" i="1" s="1"/>
  <c r="U503" i="1" s="1"/>
  <c r="E1407" i="2"/>
  <c r="Q511" i="1" s="1"/>
  <c r="U511" i="1" s="1"/>
  <c r="E1408" i="2"/>
  <c r="E1409" i="2"/>
  <c r="Q519" i="1" l="1"/>
  <c r="Q295" i="1"/>
  <c r="AB511" i="1"/>
  <c r="AB503" i="1"/>
  <c r="C1402" i="4"/>
  <c r="C1403" i="4"/>
  <c r="C1404" i="4"/>
  <c r="C1405" i="4"/>
  <c r="D1402" i="4"/>
  <c r="D1403" i="4"/>
  <c r="D1404" i="4"/>
  <c r="D1405" i="4"/>
  <c r="D1334" i="2"/>
  <c r="AB295" i="1" l="1"/>
  <c r="U295" i="1"/>
  <c r="AB519" i="1"/>
  <c r="U519" i="1"/>
  <c r="B1402" i="2"/>
  <c r="B1403" i="2"/>
  <c r="B1404" i="2"/>
  <c r="B1405" i="2"/>
  <c r="C1402" i="2"/>
  <c r="C1403" i="2"/>
  <c r="C1404" i="2"/>
  <c r="C1405" i="2"/>
  <c r="D1402" i="2"/>
  <c r="D1403" i="2"/>
  <c r="D1404" i="2"/>
  <c r="D1405" i="2"/>
  <c r="E1402" i="2"/>
  <c r="E1403" i="2"/>
  <c r="Q398" i="1" s="1"/>
  <c r="U398" i="1" s="1"/>
  <c r="E1404" i="2"/>
  <c r="Q399" i="1" s="1"/>
  <c r="U399" i="1" s="1"/>
  <c r="E1405" i="2"/>
  <c r="Q376" i="1" s="1"/>
  <c r="U376" i="1" s="1"/>
  <c r="AB376" i="1" l="1"/>
  <c r="AB399" i="1"/>
  <c r="AB398" i="1"/>
  <c r="Q362" i="1" l="1"/>
  <c r="U362" i="1" s="1"/>
  <c r="AB362" i="1" l="1"/>
  <c r="C1401" i="4"/>
  <c r="D1401" i="4"/>
  <c r="B1401" i="2"/>
  <c r="C1401" i="2"/>
  <c r="D1401" i="2"/>
  <c r="E1401" i="2"/>
  <c r="Q361" i="1" s="1"/>
  <c r="U361" i="1" s="1"/>
  <c r="AB361" i="1" l="1"/>
  <c r="C1396" i="4"/>
  <c r="C1397" i="4"/>
  <c r="C1398" i="4"/>
  <c r="C1399" i="4"/>
  <c r="C1400" i="4"/>
  <c r="D1396" i="4"/>
  <c r="D1397" i="4"/>
  <c r="D1398" i="4"/>
  <c r="D1399" i="4"/>
  <c r="D1400" i="4"/>
  <c r="B1396" i="2"/>
  <c r="B1397" i="2"/>
  <c r="B1398" i="2"/>
  <c r="B1399" i="2"/>
  <c r="B1400" i="2"/>
  <c r="C1396" i="2"/>
  <c r="C1397" i="2"/>
  <c r="C1398" i="2"/>
  <c r="C1399" i="2"/>
  <c r="C1400" i="2"/>
  <c r="D1396" i="2"/>
  <c r="D1397" i="2"/>
  <c r="D1398" i="2"/>
  <c r="D1399" i="2"/>
  <c r="D1400" i="2"/>
  <c r="E1396" i="2"/>
  <c r="Q356" i="1" s="1"/>
  <c r="U356" i="1" s="1"/>
  <c r="E1397" i="2"/>
  <c r="E1398" i="2"/>
  <c r="Q358" i="1" s="1"/>
  <c r="U358" i="1" s="1"/>
  <c r="E1399" i="2"/>
  <c r="Q359" i="1" s="1"/>
  <c r="E1400" i="2"/>
  <c r="Q360" i="1" s="1"/>
  <c r="U360" i="1" s="1"/>
  <c r="Q357" i="1"/>
  <c r="U357" i="1" s="1"/>
  <c r="AB359" i="1" l="1"/>
  <c r="U359" i="1"/>
  <c r="AB356" i="1"/>
  <c r="AB358" i="1"/>
  <c r="AB357" i="1"/>
  <c r="AB360" i="1"/>
  <c r="C1391" i="4"/>
  <c r="C1392" i="4"/>
  <c r="C1393" i="4"/>
  <c r="C1394" i="4"/>
  <c r="C1395" i="4"/>
  <c r="D1391" i="4"/>
  <c r="D1392" i="4"/>
  <c r="D1393" i="4"/>
  <c r="D1394" i="4"/>
  <c r="D1395" i="4"/>
  <c r="B1391" i="2"/>
  <c r="B1392" i="2"/>
  <c r="B1393" i="2"/>
  <c r="B1394" i="2"/>
  <c r="B1395" i="2"/>
  <c r="C1391" i="2"/>
  <c r="C1392" i="2"/>
  <c r="C1393" i="2"/>
  <c r="C1394" i="2"/>
  <c r="C1395" i="2"/>
  <c r="D1391" i="2"/>
  <c r="D1392" i="2"/>
  <c r="D1393" i="2"/>
  <c r="D1394" i="2"/>
  <c r="D1395" i="2"/>
  <c r="E1391" i="2"/>
  <c r="E1392" i="2"/>
  <c r="E1393" i="2"/>
  <c r="E1394" i="2"/>
  <c r="E1395" i="2"/>
  <c r="Q232" i="1" l="1"/>
  <c r="Q237" i="1"/>
  <c r="Q231" i="1"/>
  <c r="U231" i="1" s="1"/>
  <c r="Q221" i="1"/>
  <c r="U221" i="1" s="1"/>
  <c r="Q222" i="1"/>
  <c r="U222" i="1" s="1"/>
  <c r="D4" i="4"/>
  <c r="D3" i="4"/>
  <c r="D5" i="4"/>
  <c r="D6" i="4"/>
  <c r="D7" i="4"/>
  <c r="D8" i="4"/>
  <c r="D9" i="4"/>
  <c r="D10" i="4"/>
  <c r="D11" i="4"/>
  <c r="D12" i="4"/>
  <c r="D13" i="4"/>
  <c r="D14" i="4"/>
  <c r="D15" i="4"/>
  <c r="D16" i="4"/>
  <c r="D17"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AB237" i="1" l="1"/>
  <c r="U237" i="1"/>
  <c r="AB232" i="1"/>
  <c r="U232" i="1"/>
  <c r="AB231" i="1"/>
  <c r="AB221" i="1"/>
  <c r="AB222" i="1"/>
  <c r="B161" i="4" l="1"/>
  <c r="C1379" i="4" l="1"/>
  <c r="C1380" i="4"/>
  <c r="C1381" i="4"/>
  <c r="C1382" i="4"/>
  <c r="C1383" i="4"/>
  <c r="C1384" i="4"/>
  <c r="C1385" i="4"/>
  <c r="C1386" i="4"/>
  <c r="C1387" i="4"/>
  <c r="C1388" i="4"/>
  <c r="C1389" i="4"/>
  <c r="C1390" i="4"/>
  <c r="B1379" i="2"/>
  <c r="B1380" i="2"/>
  <c r="B1381" i="2"/>
  <c r="B1382" i="2"/>
  <c r="B1383" i="2"/>
  <c r="B1384" i="2"/>
  <c r="B1385" i="2"/>
  <c r="B1386" i="2"/>
  <c r="B1387" i="2"/>
  <c r="B1388" i="2"/>
  <c r="B1389" i="2"/>
  <c r="B1390" i="2"/>
  <c r="C1379" i="2"/>
  <c r="C1380" i="2"/>
  <c r="C1381" i="2"/>
  <c r="C1382" i="2"/>
  <c r="C1383" i="2"/>
  <c r="C1384" i="2"/>
  <c r="C1385" i="2"/>
  <c r="C1386" i="2"/>
  <c r="C1387" i="2"/>
  <c r="C1388" i="2"/>
  <c r="C1389" i="2"/>
  <c r="C1390" i="2"/>
  <c r="D1379" i="2"/>
  <c r="D1380" i="2"/>
  <c r="D1381" i="2"/>
  <c r="D1382" i="2"/>
  <c r="D1383" i="2"/>
  <c r="D1384" i="2"/>
  <c r="D1385" i="2"/>
  <c r="D1386" i="2"/>
  <c r="D1387" i="2"/>
  <c r="D1388" i="2"/>
  <c r="D1389" i="2"/>
  <c r="D1390" i="2"/>
  <c r="E1379" i="2"/>
  <c r="E1380" i="2"/>
  <c r="Q737" i="1" s="1"/>
  <c r="E1381" i="2"/>
  <c r="Q112" i="1" s="1"/>
  <c r="U112" i="1" s="1"/>
  <c r="E1382" i="2"/>
  <c r="Q91" i="1" s="1"/>
  <c r="E1383" i="2"/>
  <c r="Q92" i="1" s="1"/>
  <c r="U92" i="1" s="1"/>
  <c r="E1384" i="2"/>
  <c r="Q106" i="1" s="1"/>
  <c r="U106" i="1" s="1"/>
  <c r="E1385" i="2"/>
  <c r="Q167" i="1" s="1"/>
  <c r="U167" i="1" s="1"/>
  <c r="E1386" i="2"/>
  <c r="Q201" i="1" s="1"/>
  <c r="U201" i="1" s="1"/>
  <c r="E1387" i="2"/>
  <c r="Q180" i="1" s="1"/>
  <c r="U180" i="1" s="1"/>
  <c r="E1388" i="2"/>
  <c r="Q181" i="1" s="1"/>
  <c r="U181" i="1" s="1"/>
  <c r="E1389" i="2"/>
  <c r="Q182" i="1" s="1"/>
  <c r="U182" i="1" s="1"/>
  <c r="E1390" i="2"/>
  <c r="Q736" i="1"/>
  <c r="AB91" i="1" l="1"/>
  <c r="U91" i="1"/>
  <c r="AB737" i="1"/>
  <c r="U737" i="1"/>
  <c r="AB736" i="1"/>
  <c r="U736" i="1"/>
  <c r="Q183" i="1"/>
  <c r="U183" i="1" s="1"/>
  <c r="AB112" i="1"/>
  <c r="AB92" i="1"/>
  <c r="AB180" i="1"/>
  <c r="AB181" i="1"/>
  <c r="AB182" i="1"/>
  <c r="AB201" i="1"/>
  <c r="AB106" i="1"/>
  <c r="AB167" i="1"/>
  <c r="AB183" i="1" l="1"/>
  <c r="B1349" i="2" l="1"/>
  <c r="E3" i="2" l="1"/>
  <c r="E4" i="2"/>
  <c r="Q410" i="1" s="1"/>
  <c r="E5" i="2"/>
  <c r="E6" i="2"/>
  <c r="E7" i="2"/>
  <c r="E8" i="2"/>
  <c r="E9" i="2"/>
  <c r="E10" i="2"/>
  <c r="E11" i="2"/>
  <c r="E12" i="2"/>
  <c r="E13" i="2"/>
  <c r="E14" i="2"/>
  <c r="E15" i="2"/>
  <c r="E16" i="2"/>
  <c r="E17" i="2"/>
  <c r="E18" i="2"/>
  <c r="E19" i="2"/>
  <c r="Q70" i="1" s="1"/>
  <c r="E20" i="2"/>
  <c r="E21" i="2"/>
  <c r="E22" i="2"/>
  <c r="E23" i="2"/>
  <c r="E24" i="2"/>
  <c r="E25" i="2"/>
  <c r="E26" i="2"/>
  <c r="E27" i="2"/>
  <c r="E28" i="2"/>
  <c r="E29" i="2"/>
  <c r="E30" i="2"/>
  <c r="E31" i="2"/>
  <c r="E32" i="2"/>
  <c r="E33" i="2"/>
  <c r="E34" i="2"/>
  <c r="E35" i="2"/>
  <c r="E36" i="2"/>
  <c r="E37" i="2"/>
  <c r="E38" i="2"/>
  <c r="E39" i="2"/>
  <c r="E40" i="2"/>
  <c r="E41" i="2"/>
  <c r="E42" i="2"/>
  <c r="E43" i="2"/>
  <c r="E44" i="2"/>
  <c r="E45" i="2"/>
  <c r="Q139" i="1" s="1"/>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Q238" i="1" s="1"/>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Q289" i="1" s="1"/>
  <c r="U289" i="1" s="1"/>
  <c r="E147" i="2"/>
  <c r="Q290" i="1" s="1"/>
  <c r="U290" i="1" s="1"/>
  <c r="E148" i="2"/>
  <c r="Q291" i="1" s="1"/>
  <c r="U291" i="1" s="1"/>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Q655" i="1" s="1"/>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Q886" i="1" s="1"/>
  <c r="E333" i="2"/>
  <c r="E334" i="2"/>
  <c r="Q894" i="1" s="1"/>
  <c r="E335" i="2"/>
  <c r="Q895" i="1" s="1"/>
  <c r="E336" i="2"/>
  <c r="Q204" i="1" s="1"/>
  <c r="E337" i="2"/>
  <c r="E338" i="2"/>
  <c r="E339" i="2"/>
  <c r="E340" i="2"/>
  <c r="E341" i="2"/>
  <c r="E342" i="2"/>
  <c r="E343" i="2"/>
  <c r="E344" i="2"/>
  <c r="E345" i="2"/>
  <c r="Q606" i="1" s="1"/>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Q712" i="1" s="1"/>
  <c r="U712" i="1" s="1"/>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Q5" i="1" s="1"/>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Q824" i="1" s="1"/>
  <c r="U824" i="1" s="1"/>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Q994" i="1" s="1"/>
  <c r="U994" i="1" s="1"/>
  <c r="E999" i="2"/>
  <c r="E1000" i="2"/>
  <c r="E1001"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8"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E1138" i="2"/>
  <c r="E1139" i="2"/>
  <c r="E1140" i="2"/>
  <c r="E1141" i="2"/>
  <c r="E1142" i="2"/>
  <c r="E1143" i="2"/>
  <c r="E1144" i="2"/>
  <c r="E1145" i="2"/>
  <c r="E1146" i="2"/>
  <c r="E1147" i="2"/>
  <c r="E1148" i="2"/>
  <c r="E1149" i="2"/>
  <c r="E1150" i="2"/>
  <c r="E1151" i="2"/>
  <c r="E1152" i="2"/>
  <c r="E1153" i="2"/>
  <c r="E1154" i="2"/>
  <c r="E1155" i="2"/>
  <c r="E1156" i="2"/>
  <c r="E1157" i="2"/>
  <c r="E1158" i="2"/>
  <c r="E1159" i="2"/>
  <c r="E1160" i="2"/>
  <c r="E1161" i="2"/>
  <c r="E1162" i="2"/>
  <c r="E1163" i="2"/>
  <c r="E1164" i="2"/>
  <c r="E1165" i="2"/>
  <c r="E1166" i="2"/>
  <c r="E1167" i="2"/>
  <c r="E1168" i="2"/>
  <c r="E1169" i="2"/>
  <c r="E1170" i="2"/>
  <c r="E1171" i="2"/>
  <c r="E1172" i="2"/>
  <c r="E1173" i="2"/>
  <c r="E1174" i="2"/>
  <c r="E1175" i="2"/>
  <c r="E1176" i="2"/>
  <c r="E1177" i="2"/>
  <c r="E1178" i="2"/>
  <c r="E1179" i="2"/>
  <c r="E1180" i="2"/>
  <c r="E1181" i="2"/>
  <c r="E1182" i="2"/>
  <c r="E1183" i="2"/>
  <c r="E1184" i="2"/>
  <c r="E1185" i="2"/>
  <c r="E1186" i="2"/>
  <c r="E1187" i="2"/>
  <c r="E1188" i="2"/>
  <c r="E1189" i="2"/>
  <c r="E1190" i="2"/>
  <c r="E1191" i="2"/>
  <c r="E1192" i="2"/>
  <c r="E1193" i="2"/>
  <c r="E1194" i="2"/>
  <c r="E1195" i="2"/>
  <c r="E1196" i="2"/>
  <c r="E1197" i="2"/>
  <c r="E1198" i="2"/>
  <c r="E1199" i="2"/>
  <c r="E1200" i="2"/>
  <c r="E1201" i="2"/>
  <c r="E1202" i="2"/>
  <c r="E1203" i="2"/>
  <c r="E1204" i="2"/>
  <c r="E1205" i="2"/>
  <c r="E1206" i="2"/>
  <c r="E1207" i="2"/>
  <c r="E1208" i="2"/>
  <c r="E1209" i="2"/>
  <c r="E1210" i="2"/>
  <c r="E1211" i="2"/>
  <c r="E1212" i="2"/>
  <c r="E1213" i="2"/>
  <c r="E1214" i="2"/>
  <c r="E1215" i="2"/>
  <c r="E1216" i="2"/>
  <c r="E1217" i="2"/>
  <c r="E1218" i="2"/>
  <c r="E1219" i="2"/>
  <c r="E1220" i="2"/>
  <c r="E1221" i="2"/>
  <c r="E1222" i="2"/>
  <c r="E1223" i="2"/>
  <c r="E1224" i="2"/>
  <c r="E1225" i="2"/>
  <c r="E1226" i="2"/>
  <c r="E1227" i="2"/>
  <c r="E1228" i="2"/>
  <c r="E1229" i="2"/>
  <c r="E1230" i="2"/>
  <c r="E1231" i="2"/>
  <c r="E1232" i="2"/>
  <c r="E1233" i="2"/>
  <c r="E1234" i="2"/>
  <c r="E1235" i="2"/>
  <c r="E1236" i="2"/>
  <c r="E1237" i="2"/>
  <c r="E1238" i="2"/>
  <c r="E1239" i="2"/>
  <c r="E1240" i="2"/>
  <c r="E1241" i="2"/>
  <c r="E1242" i="2"/>
  <c r="E1243" i="2"/>
  <c r="E1244" i="2"/>
  <c r="E1245" i="2"/>
  <c r="E1246" i="2"/>
  <c r="E1247" i="2"/>
  <c r="E1248" i="2"/>
  <c r="E1249" i="2"/>
  <c r="E1250" i="2"/>
  <c r="E1251" i="2"/>
  <c r="E1252" i="2"/>
  <c r="E1253" i="2"/>
  <c r="E1254" i="2"/>
  <c r="E1255" i="2"/>
  <c r="E1256" i="2"/>
  <c r="E1257" i="2"/>
  <c r="E1258" i="2"/>
  <c r="E1259" i="2"/>
  <c r="E1260" i="2"/>
  <c r="E1261" i="2"/>
  <c r="E1262" i="2"/>
  <c r="E1263" i="2"/>
  <c r="E1264" i="2"/>
  <c r="E1265" i="2"/>
  <c r="E1266" i="2"/>
  <c r="E1267" i="2"/>
  <c r="E1268" i="2"/>
  <c r="E1269" i="2"/>
  <c r="E1270" i="2"/>
  <c r="E1271" i="2"/>
  <c r="E1272" i="2"/>
  <c r="E1273" i="2"/>
  <c r="E1274" i="2"/>
  <c r="E1275" i="2"/>
  <c r="E1276" i="2"/>
  <c r="E1277" i="2"/>
  <c r="E1278" i="2"/>
  <c r="E1279" i="2"/>
  <c r="E1280" i="2"/>
  <c r="E1281" i="2"/>
  <c r="E1282" i="2"/>
  <c r="E1283" i="2"/>
  <c r="E1284" i="2"/>
  <c r="E1285" i="2"/>
  <c r="E1286" i="2"/>
  <c r="E1287" i="2"/>
  <c r="E1288" i="2"/>
  <c r="E1289" i="2"/>
  <c r="E1290" i="2"/>
  <c r="E1291" i="2"/>
  <c r="E1292" i="2"/>
  <c r="E1293" i="2"/>
  <c r="E1294" i="2"/>
  <c r="E1295" i="2"/>
  <c r="E1296" i="2"/>
  <c r="E1297" i="2"/>
  <c r="E1298" i="2"/>
  <c r="E1299" i="2"/>
  <c r="E1300" i="2"/>
  <c r="E1301" i="2"/>
  <c r="E1302" i="2"/>
  <c r="E1303" i="2"/>
  <c r="E1304" i="2"/>
  <c r="E1305" i="2"/>
  <c r="E1306" i="2"/>
  <c r="E1307" i="2"/>
  <c r="E1308" i="2"/>
  <c r="E1309" i="2"/>
  <c r="E1310" i="2"/>
  <c r="E1311" i="2"/>
  <c r="E1312" i="2"/>
  <c r="E1313" i="2"/>
  <c r="E1314" i="2"/>
  <c r="E1315" i="2"/>
  <c r="E1316" i="2"/>
  <c r="E1317" i="2"/>
  <c r="E1318" i="2"/>
  <c r="E1319" i="2"/>
  <c r="E1320" i="2"/>
  <c r="E1321" i="2"/>
  <c r="E1322" i="2"/>
  <c r="E1323" i="2"/>
  <c r="E1324" i="2"/>
  <c r="E1325" i="2"/>
  <c r="E1326" i="2"/>
  <c r="E1327" i="2"/>
  <c r="E1328" i="2"/>
  <c r="E1329" i="2"/>
  <c r="E1330" i="2"/>
  <c r="E1331" i="2"/>
  <c r="E1332" i="2"/>
  <c r="E1333" i="2"/>
  <c r="E1334" i="2"/>
  <c r="E1335" i="2"/>
  <c r="E1336" i="2"/>
  <c r="E1337" i="2"/>
  <c r="E1338" i="2"/>
  <c r="E1339" i="2"/>
  <c r="E1340" i="2"/>
  <c r="E1341" i="2"/>
  <c r="E1342" i="2"/>
  <c r="E1343" i="2"/>
  <c r="E1344" i="2"/>
  <c r="E1345" i="2"/>
  <c r="E1346" i="2"/>
  <c r="E1347" i="2"/>
  <c r="E1348" i="2"/>
  <c r="E1349" i="2"/>
  <c r="E1350" i="2"/>
  <c r="E1351" i="2"/>
  <c r="E1352" i="2"/>
  <c r="E1353" i="2"/>
  <c r="E1354" i="2"/>
  <c r="E1355" i="2"/>
  <c r="E1356" i="2"/>
  <c r="E1357" i="2"/>
  <c r="E1358" i="2"/>
  <c r="E1359" i="2"/>
  <c r="E1360" i="2"/>
  <c r="E1361" i="2"/>
  <c r="E1362" i="2"/>
  <c r="E1363" i="2"/>
  <c r="E1364" i="2"/>
  <c r="E1365" i="2"/>
  <c r="E1366" i="2"/>
  <c r="E1367" i="2"/>
  <c r="E1368" i="2"/>
  <c r="E1369" i="2"/>
  <c r="E1370" i="2"/>
  <c r="E1371" i="2"/>
  <c r="E1372" i="2"/>
  <c r="E1373" i="2"/>
  <c r="E1374" i="2"/>
  <c r="E1375" i="2"/>
  <c r="E1376" i="2"/>
  <c r="E1377" i="2"/>
  <c r="E1378" i="2"/>
  <c r="C1368" i="4"/>
  <c r="C1369" i="4"/>
  <c r="C1370" i="4"/>
  <c r="C1371" i="4"/>
  <c r="C1372" i="4"/>
  <c r="C1373" i="4"/>
  <c r="C1374" i="4"/>
  <c r="C1375" i="4"/>
  <c r="C1376" i="4"/>
  <c r="C1377" i="4"/>
  <c r="C1378" i="4"/>
  <c r="B1368" i="2"/>
  <c r="B1369" i="2"/>
  <c r="B1370" i="2"/>
  <c r="B1371" i="2"/>
  <c r="B1372" i="2"/>
  <c r="B1373" i="2"/>
  <c r="B1374" i="2"/>
  <c r="B1375" i="2"/>
  <c r="B1376" i="2"/>
  <c r="B1377" i="2"/>
  <c r="B1378" i="2"/>
  <c r="C1368" i="2"/>
  <c r="C1369" i="2"/>
  <c r="C1370" i="2"/>
  <c r="C1371" i="2"/>
  <c r="C1372" i="2"/>
  <c r="C1373" i="2"/>
  <c r="C1374" i="2"/>
  <c r="C1375" i="2"/>
  <c r="C1376" i="2"/>
  <c r="C1377" i="2"/>
  <c r="C1378" i="2"/>
  <c r="D1368" i="2"/>
  <c r="D1369" i="2"/>
  <c r="D1370" i="2"/>
  <c r="D1371" i="2"/>
  <c r="D1372" i="2"/>
  <c r="D1373" i="2"/>
  <c r="D1374" i="2"/>
  <c r="D1375" i="2"/>
  <c r="D1376" i="2"/>
  <c r="D1377" i="2"/>
  <c r="D1378" i="2"/>
  <c r="Q411" i="1" l="1"/>
  <c r="U411" i="1" s="1"/>
  <c r="AB894" i="1"/>
  <c r="U894" i="1"/>
  <c r="AB606" i="1"/>
  <c r="U606" i="1"/>
  <c r="U238" i="1"/>
  <c r="AB238" i="1"/>
  <c r="U139" i="1"/>
  <c r="AB139" i="1"/>
  <c r="U204" i="1"/>
  <c r="AB204" i="1"/>
  <c r="AB886" i="1"/>
  <c r="U886" i="1"/>
  <c r="U895" i="1"/>
  <c r="AB895" i="1"/>
  <c r="Q1365" i="1"/>
  <c r="U1365" i="1" s="1"/>
  <c r="Q449" i="1"/>
  <c r="Q445" i="1"/>
  <c r="U445" i="1" s="1"/>
  <c r="Q314" i="1"/>
  <c r="Q447" i="1"/>
  <c r="Q735" i="1"/>
  <c r="Q1565" i="1"/>
  <c r="Q734" i="1"/>
  <c r="U734" i="1" s="1"/>
  <c r="Q446" i="1"/>
  <c r="U446" i="1" s="1"/>
  <c r="Q1564" i="1"/>
  <c r="U1564" i="1" s="1"/>
  <c r="Q448" i="1"/>
  <c r="U448" i="1" s="1"/>
  <c r="B1366" i="2"/>
  <c r="B1367" i="2"/>
  <c r="C1366" i="2"/>
  <c r="C1367" i="2"/>
  <c r="D1366" i="2"/>
  <c r="D1367" i="2"/>
  <c r="C1366" i="4"/>
  <c r="C1367"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50" i="2"/>
  <c r="B1351" i="2"/>
  <c r="B1352" i="2"/>
  <c r="B1353" i="2"/>
  <c r="B1354" i="2"/>
  <c r="B1355" i="2"/>
  <c r="B1356" i="2"/>
  <c r="B1357" i="2"/>
  <c r="B1358" i="2"/>
  <c r="B1359" i="2"/>
  <c r="B1360" i="2"/>
  <c r="B1361" i="2"/>
  <c r="B1362" i="2"/>
  <c r="B1363" i="2"/>
  <c r="B1364" i="2"/>
  <c r="B1365" i="2"/>
  <c r="C1311" i="2"/>
  <c r="C1312" i="2"/>
  <c r="C1313" i="2"/>
  <c r="C1314" i="2"/>
  <c r="C1315" i="2"/>
  <c r="C1316" i="2"/>
  <c r="C1317" i="2"/>
  <c r="C1318" i="2"/>
  <c r="C1319" i="2"/>
  <c r="C1320" i="2"/>
  <c r="C1321" i="2"/>
  <c r="C1322" i="2"/>
  <c r="C1323" i="2"/>
  <c r="C1324" i="2"/>
  <c r="C1325" i="2"/>
  <c r="C1326" i="2"/>
  <c r="C1327" i="2"/>
  <c r="C1328" i="2"/>
  <c r="C1329" i="2"/>
  <c r="C1330" i="2"/>
  <c r="C1331" i="2"/>
  <c r="C1332" i="2"/>
  <c r="C1333" i="2"/>
  <c r="C1334" i="2"/>
  <c r="C1335" i="2"/>
  <c r="C1336" i="2"/>
  <c r="C1337" i="2"/>
  <c r="C1338" i="2"/>
  <c r="C1339" i="2"/>
  <c r="C1340" i="2"/>
  <c r="C1341" i="2"/>
  <c r="C1342" i="2"/>
  <c r="C1343" i="2"/>
  <c r="C1344" i="2"/>
  <c r="C1345" i="2"/>
  <c r="C1346" i="2"/>
  <c r="C1347" i="2"/>
  <c r="C1348" i="2"/>
  <c r="C1349" i="2"/>
  <c r="C1350" i="2"/>
  <c r="C1351" i="2"/>
  <c r="C1352" i="2"/>
  <c r="C1353" i="2"/>
  <c r="C1354" i="2"/>
  <c r="C1355" i="2"/>
  <c r="C1356" i="2"/>
  <c r="C1357" i="2"/>
  <c r="C1358" i="2"/>
  <c r="C1359" i="2"/>
  <c r="C1360" i="2"/>
  <c r="C1361" i="2"/>
  <c r="C1362" i="2"/>
  <c r="C1363" i="2"/>
  <c r="C1364" i="2"/>
  <c r="C1365" i="2"/>
  <c r="D1311" i="2"/>
  <c r="D1312" i="2"/>
  <c r="D1313" i="2"/>
  <c r="D1314" i="2"/>
  <c r="D1315" i="2"/>
  <c r="D1316" i="2"/>
  <c r="D1317" i="2"/>
  <c r="D1318" i="2"/>
  <c r="D1319" i="2"/>
  <c r="D1320" i="2"/>
  <c r="D1321" i="2"/>
  <c r="D1322" i="2"/>
  <c r="D1323" i="2"/>
  <c r="D1324" i="2"/>
  <c r="D1325" i="2"/>
  <c r="D1326" i="2"/>
  <c r="D1327" i="2"/>
  <c r="D1328" i="2"/>
  <c r="D1329" i="2"/>
  <c r="D1330" i="2"/>
  <c r="D1331" i="2"/>
  <c r="D1332" i="2"/>
  <c r="D1333"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AB314" i="1" l="1"/>
  <c r="U314" i="1"/>
  <c r="AB1565" i="1"/>
  <c r="U1565" i="1"/>
  <c r="AB735" i="1"/>
  <c r="U735" i="1"/>
  <c r="AB449" i="1"/>
  <c r="U449" i="1"/>
  <c r="AB447" i="1"/>
  <c r="U447" i="1"/>
  <c r="AB445" i="1"/>
  <c r="AB1365" i="1"/>
  <c r="AB734" i="1"/>
  <c r="AB1564" i="1"/>
  <c r="AB446" i="1"/>
  <c r="AB448" i="1"/>
  <c r="Q440" i="1"/>
  <c r="U440" i="1" s="1"/>
  <c r="Q441" i="1"/>
  <c r="U441" i="1" s="1"/>
  <c r="Q442" i="1"/>
  <c r="U442" i="1" s="1"/>
  <c r="Q443" i="1"/>
  <c r="Q444" i="1"/>
  <c r="U444" i="1" s="1"/>
  <c r="AB443" i="1" l="1"/>
  <c r="U443" i="1"/>
  <c r="AB444" i="1"/>
  <c r="AB440" i="1"/>
  <c r="AB442" i="1"/>
  <c r="AB441" i="1"/>
  <c r="Q1226" i="1"/>
  <c r="Q949" i="1"/>
  <c r="Q639" i="1"/>
  <c r="Q400" i="1"/>
  <c r="Q401" i="1"/>
  <c r="Q402" i="1"/>
  <c r="Q403" i="1"/>
  <c r="Q404" i="1"/>
  <c r="Q405" i="1"/>
  <c r="Q406" i="1"/>
  <c r="Q407" i="1"/>
  <c r="Q408" i="1"/>
  <c r="U408" i="1" s="1"/>
  <c r="Q409" i="1"/>
  <c r="Q154" i="1"/>
  <c r="U154" i="1" s="1"/>
  <c r="Q877" i="1"/>
  <c r="U877" i="1" s="1"/>
  <c r="Q674" i="1"/>
  <c r="U674" i="1" s="1"/>
  <c r="Q781" i="1"/>
  <c r="Q24" i="1"/>
  <c r="U24" i="1" s="1"/>
  <c r="Q25" i="1"/>
  <c r="U25" i="1" s="1"/>
  <c r="Q439" i="1"/>
  <c r="U439" i="1" s="1"/>
  <c r="Q90" i="1"/>
  <c r="Q976" i="1"/>
  <c r="Q111" i="1"/>
  <c r="Q31" i="1"/>
  <c r="Q337" i="1"/>
  <c r="U337" i="1" s="1"/>
  <c r="Q517" i="1"/>
  <c r="U517" i="1" s="1"/>
  <c r="Q1304" i="1"/>
  <c r="U1304" i="1" s="1"/>
  <c r="Q649" i="1"/>
  <c r="U649" i="1" s="1"/>
  <c r="Q375" i="1"/>
  <c r="Q1310" i="1"/>
  <c r="Q1563" i="1"/>
  <c r="Q518" i="1"/>
  <c r="U518" i="1" s="1"/>
  <c r="AB1310" i="1" l="1"/>
  <c r="U1310" i="1"/>
  <c r="AB976" i="1"/>
  <c r="U976" i="1"/>
  <c r="AB406" i="1"/>
  <c r="U406" i="1"/>
  <c r="AB402" i="1"/>
  <c r="U402" i="1"/>
  <c r="AB949" i="1"/>
  <c r="U949" i="1"/>
  <c r="AB375" i="1"/>
  <c r="U375" i="1"/>
  <c r="AB90" i="1"/>
  <c r="U90" i="1"/>
  <c r="AB781" i="1"/>
  <c r="U781" i="1"/>
  <c r="AB409" i="1"/>
  <c r="U409" i="1"/>
  <c r="AB405" i="1"/>
  <c r="U405" i="1"/>
  <c r="AB401" i="1"/>
  <c r="U401" i="1"/>
  <c r="AB1226" i="1"/>
  <c r="U1226" i="1"/>
  <c r="AB31" i="1"/>
  <c r="U31" i="1"/>
  <c r="AB404" i="1"/>
  <c r="U404" i="1"/>
  <c r="AB400" i="1"/>
  <c r="U400" i="1"/>
  <c r="AB1563" i="1"/>
  <c r="U1563" i="1"/>
  <c r="AB111" i="1"/>
  <c r="U111" i="1"/>
  <c r="AB407" i="1"/>
  <c r="U407" i="1"/>
  <c r="AB403" i="1"/>
  <c r="U403" i="1"/>
  <c r="AB639" i="1"/>
  <c r="U639" i="1"/>
  <c r="AB674" i="1"/>
  <c r="AB439" i="1"/>
  <c r="AB408" i="1"/>
  <c r="AB24" i="1"/>
  <c r="AB154" i="1"/>
  <c r="AB25" i="1"/>
  <c r="AB877" i="1"/>
  <c r="AB337" i="1"/>
  <c r="AB517" i="1"/>
  <c r="AB1304" i="1"/>
  <c r="AB518" i="1"/>
  <c r="AB649" i="1"/>
  <c r="Q584" i="1"/>
  <c r="Q585" i="1"/>
  <c r="U585" i="1" s="1"/>
  <c r="Q110" i="1"/>
  <c r="U110" i="1" s="1"/>
  <c r="Q671" i="1"/>
  <c r="Q716" i="1"/>
  <c r="U716" i="1" s="1"/>
  <c r="Q1105" i="1"/>
  <c r="U1105" i="1" s="1"/>
  <c r="Q869" i="1"/>
  <c r="U869" i="1" s="1"/>
  <c r="Q528" i="1"/>
  <c r="Q912" i="1"/>
  <c r="U912" i="1" s="1"/>
  <c r="Q586" i="1"/>
  <c r="U586" i="1" s="1"/>
  <c r="Q137" i="1"/>
  <c r="U137" i="1" s="1"/>
  <c r="Q138" i="1"/>
  <c r="AB138" i="1" l="1"/>
  <c r="U138" i="1"/>
  <c r="AB528" i="1"/>
  <c r="U528" i="1"/>
  <c r="AB671" i="1"/>
  <c r="U671" i="1"/>
  <c r="AB584" i="1"/>
  <c r="U584" i="1"/>
  <c r="AB1105" i="1"/>
  <c r="AB586" i="1"/>
  <c r="AB869" i="1"/>
  <c r="AB137" i="1"/>
  <c r="AB110" i="1"/>
  <c r="AB912" i="1"/>
  <c r="AB716" i="1"/>
  <c r="AB585" i="1"/>
  <c r="Q578" i="1"/>
  <c r="U578" i="1" s="1"/>
  <c r="Q582" i="1"/>
  <c r="Q780" i="1"/>
  <c r="U780" i="1" s="1"/>
  <c r="Q1364" i="1"/>
  <c r="Q473" i="1"/>
  <c r="Q583" i="1"/>
  <c r="Q1052" i="1"/>
  <c r="U1052" i="1" s="1"/>
  <c r="Q648" i="1"/>
  <c r="U648" i="1" s="1"/>
  <c r="AB1364" i="1" l="1"/>
  <c r="U1364" i="1"/>
  <c r="AB583" i="1"/>
  <c r="U583" i="1"/>
  <c r="AB582" i="1"/>
  <c r="U582" i="1"/>
  <c r="AB473" i="1"/>
  <c r="U473" i="1"/>
  <c r="AB578" i="1"/>
  <c r="AB1052" i="1"/>
  <c r="AB780" i="1"/>
  <c r="AB648" i="1"/>
  <c r="B1310" i="2" l="1"/>
  <c r="C1310" i="2"/>
  <c r="D1310" i="2"/>
  <c r="B1308" i="2"/>
  <c r="B1309" i="2"/>
  <c r="C1308" i="2"/>
  <c r="C1309" i="2"/>
  <c r="D1308" i="2"/>
  <c r="D1309" i="2"/>
  <c r="C1306" i="4"/>
  <c r="C1307" i="4"/>
  <c r="C1308" i="4"/>
  <c r="C1309" i="4"/>
  <c r="C1310" i="4"/>
  <c r="B1305" i="2"/>
  <c r="B1306" i="2"/>
  <c r="B1307" i="2"/>
  <c r="C1305" i="2"/>
  <c r="C1306" i="2"/>
  <c r="C1307" i="2"/>
  <c r="D1305" i="2"/>
  <c r="D1306" i="2"/>
  <c r="D1307" i="2"/>
  <c r="Q570" i="1" l="1"/>
  <c r="U570" i="1" s="1"/>
  <c r="Q890" i="1"/>
  <c r="U890" i="1" s="1"/>
  <c r="Q390" i="1"/>
  <c r="Q336" i="1"/>
  <c r="Q389" i="1"/>
  <c r="C1300" i="4"/>
  <c r="C1301" i="4"/>
  <c r="C1302" i="4"/>
  <c r="C1303" i="4"/>
  <c r="C1304" i="4"/>
  <c r="C1305" i="4"/>
  <c r="Q1527" i="1"/>
  <c r="U1527" i="1" s="1"/>
  <c r="B1300" i="2"/>
  <c r="B1301" i="2"/>
  <c r="B1302" i="2"/>
  <c r="B1303" i="2"/>
  <c r="B1304" i="2"/>
  <c r="C1300" i="2"/>
  <c r="C1301" i="2"/>
  <c r="C1302" i="2"/>
  <c r="C1303" i="2"/>
  <c r="C1304" i="2"/>
  <c r="D1300" i="2"/>
  <c r="D1301" i="2"/>
  <c r="D1302" i="2"/>
  <c r="D1303" i="2"/>
  <c r="D1304" i="2"/>
  <c r="B254" i="2"/>
  <c r="AB336" i="1" l="1"/>
  <c r="U336" i="1"/>
  <c r="AB390" i="1"/>
  <c r="U390" i="1"/>
  <c r="AB389" i="1"/>
  <c r="U389" i="1"/>
  <c r="AB570" i="1"/>
  <c r="Q1421" i="1"/>
  <c r="U1421" i="1" s="1"/>
  <c r="AB890" i="1"/>
  <c r="Q1422" i="1"/>
  <c r="Q1079" i="1"/>
  <c r="U1079" i="1" s="1"/>
  <c r="AB1527" i="1"/>
  <c r="Q1546" i="1"/>
  <c r="U1546" i="1" s="1"/>
  <c r="Q1545" i="1"/>
  <c r="U1545" i="1" s="1"/>
  <c r="B1299" i="2"/>
  <c r="C1299" i="2"/>
  <c r="D1299" i="2"/>
  <c r="C1298" i="4"/>
  <c r="C1299" i="4"/>
  <c r="AB1422" i="1" l="1"/>
  <c r="U1422" i="1"/>
  <c r="AB1421" i="1"/>
  <c r="AB1079" i="1"/>
  <c r="AB1546" i="1"/>
  <c r="AB1545" i="1"/>
  <c r="Q1420" i="1"/>
  <c r="U1420" i="1" s="1"/>
  <c r="C1284" i="4"/>
  <c r="C1285" i="4"/>
  <c r="C1286" i="4"/>
  <c r="C1287" i="4"/>
  <c r="C1288" i="4"/>
  <c r="C1289" i="4"/>
  <c r="C1290" i="4"/>
  <c r="C1291" i="4"/>
  <c r="C1292" i="4"/>
  <c r="C1293" i="4"/>
  <c r="C1294" i="4"/>
  <c r="C1295" i="4"/>
  <c r="C1296" i="4"/>
  <c r="C1297" i="4"/>
  <c r="B1284" i="2"/>
  <c r="B1285" i="2"/>
  <c r="B1286" i="2"/>
  <c r="B1287" i="2"/>
  <c r="B1288" i="2"/>
  <c r="B1289" i="2"/>
  <c r="B1290" i="2"/>
  <c r="B1291" i="2"/>
  <c r="B1292" i="2"/>
  <c r="B1293" i="2"/>
  <c r="B1294" i="2"/>
  <c r="B1295" i="2"/>
  <c r="B1296" i="2"/>
  <c r="B1297" i="2"/>
  <c r="B1298" i="2"/>
  <c r="C1284" i="2"/>
  <c r="C1285" i="2"/>
  <c r="C1286" i="2"/>
  <c r="C1287" i="2"/>
  <c r="C1288" i="2"/>
  <c r="C1289" i="2"/>
  <c r="C1290" i="2"/>
  <c r="C1291" i="2"/>
  <c r="C1292" i="2"/>
  <c r="C1293" i="2"/>
  <c r="C1294" i="2"/>
  <c r="C1295" i="2"/>
  <c r="C1296" i="2"/>
  <c r="C1297" i="2"/>
  <c r="C1298" i="2"/>
  <c r="D1284" i="2"/>
  <c r="D1285" i="2"/>
  <c r="D1286" i="2"/>
  <c r="D1287" i="2"/>
  <c r="D1288" i="2"/>
  <c r="D1289" i="2"/>
  <c r="D1290" i="2"/>
  <c r="D1291" i="2"/>
  <c r="D1292" i="2"/>
  <c r="D1293" i="2"/>
  <c r="D1294" i="2"/>
  <c r="D1295" i="2"/>
  <c r="D1296" i="2"/>
  <c r="D1297" i="2"/>
  <c r="D1298" i="2"/>
  <c r="Q1526" i="1"/>
  <c r="U1526" i="1" s="1"/>
  <c r="B1282" i="2"/>
  <c r="B1283" i="2"/>
  <c r="C1282" i="2"/>
  <c r="C1283" i="2"/>
  <c r="D1282" i="2"/>
  <c r="D1283" i="2"/>
  <c r="Q353" i="1"/>
  <c r="U353" i="1" s="1"/>
  <c r="C1277" i="4"/>
  <c r="C1278" i="4"/>
  <c r="C1279" i="4"/>
  <c r="C1280" i="4"/>
  <c r="C1281" i="4"/>
  <c r="C1282" i="4"/>
  <c r="C1283" i="4"/>
  <c r="B1277" i="2"/>
  <c r="B1278" i="2"/>
  <c r="B1279" i="2"/>
  <c r="B1280" i="2"/>
  <c r="B1281" i="2"/>
  <c r="C1277" i="2"/>
  <c r="C1278" i="2"/>
  <c r="C1279" i="2"/>
  <c r="C1280" i="2"/>
  <c r="C1281" i="2"/>
  <c r="D1277" i="2"/>
  <c r="D1278" i="2"/>
  <c r="D1279" i="2"/>
  <c r="D1280" i="2"/>
  <c r="D1281" i="2"/>
  <c r="AB1420" i="1" l="1"/>
  <c r="AB1526" i="1"/>
  <c r="Q354" i="1"/>
  <c r="U354" i="1" s="1"/>
  <c r="Q1477" i="1"/>
  <c r="U1477" i="1" s="1"/>
  <c r="Q1524" i="1"/>
  <c r="U1524" i="1" s="1"/>
  <c r="Q947" i="1"/>
  <c r="U947" i="1" s="1"/>
  <c r="Q1525" i="1"/>
  <c r="U1525" i="1" s="1"/>
  <c r="Q1309" i="1"/>
  <c r="Q135" i="1"/>
  <c r="Q998" i="1"/>
  <c r="U998" i="1" s="1"/>
  <c r="Q89" i="1"/>
  <c r="U89" i="1" s="1"/>
  <c r="Q1267" i="1"/>
  <c r="U1267" i="1" s="1"/>
  <c r="Q313" i="1"/>
  <c r="Q1108" i="1"/>
  <c r="Q1266" i="1"/>
  <c r="Q136" i="1"/>
  <c r="Q1268" i="1"/>
  <c r="U1268" i="1" s="1"/>
  <c r="Q264" i="1"/>
  <c r="Q153" i="1"/>
  <c r="Q1415" i="1"/>
  <c r="Q16" i="1"/>
  <c r="U16" i="1" s="1"/>
  <c r="Q23" i="1"/>
  <c r="U23" i="1" s="1"/>
  <c r="AB353" i="1"/>
  <c r="B1276" i="2"/>
  <c r="C1276" i="2"/>
  <c r="D1276" i="2"/>
  <c r="AB1415" i="1" l="1"/>
  <c r="U1415" i="1"/>
  <c r="AB136" i="1"/>
  <c r="U136" i="1"/>
  <c r="AB1309" i="1"/>
  <c r="U1309" i="1"/>
  <c r="AB153" i="1"/>
  <c r="U153" i="1"/>
  <c r="AB1266" i="1"/>
  <c r="U1266" i="1"/>
  <c r="AB264" i="1"/>
  <c r="U264" i="1"/>
  <c r="AB1108" i="1"/>
  <c r="U1108" i="1"/>
  <c r="AB313" i="1"/>
  <c r="U313" i="1"/>
  <c r="AB135" i="1"/>
  <c r="U135" i="1"/>
  <c r="AB354" i="1"/>
  <c r="AB1524" i="1"/>
  <c r="AB1477" i="1"/>
  <c r="AB947" i="1"/>
  <c r="AB1525" i="1"/>
  <c r="AB89" i="1"/>
  <c r="AB1267" i="1"/>
  <c r="AB998" i="1"/>
  <c r="AB1268" i="1"/>
  <c r="AB16" i="1"/>
  <c r="AB23" i="1"/>
  <c r="C1271" i="4" l="1"/>
  <c r="C1272" i="4"/>
  <c r="C1273" i="4"/>
  <c r="C1274" i="4"/>
  <c r="C1275" i="4"/>
  <c r="C1276" i="4"/>
  <c r="Q152" i="1"/>
  <c r="U152" i="1" s="1"/>
  <c r="AB152" i="1" l="1"/>
  <c r="B1258" i="2" l="1"/>
  <c r="B1259" i="2"/>
  <c r="B1260" i="2"/>
  <c r="B1261" i="2"/>
  <c r="B1262" i="2"/>
  <c r="B1263" i="2"/>
  <c r="B1264" i="2"/>
  <c r="B1265" i="2"/>
  <c r="B1266" i="2"/>
  <c r="B1267" i="2"/>
  <c r="B1268" i="2"/>
  <c r="B1269" i="2"/>
  <c r="B1270" i="2"/>
  <c r="B1271" i="2"/>
  <c r="B1272" i="2"/>
  <c r="B1273" i="2"/>
  <c r="B1274" i="2"/>
  <c r="B1275" i="2"/>
  <c r="C1258" i="2"/>
  <c r="C1259" i="2"/>
  <c r="C1260" i="2"/>
  <c r="C1261" i="2"/>
  <c r="C1262" i="2"/>
  <c r="C1263" i="2"/>
  <c r="C1264" i="2"/>
  <c r="C1265" i="2"/>
  <c r="C1266" i="2"/>
  <c r="C1267" i="2"/>
  <c r="C1268" i="2"/>
  <c r="C1269" i="2"/>
  <c r="C1270" i="2"/>
  <c r="C1271" i="2"/>
  <c r="C1272" i="2"/>
  <c r="C1273" i="2"/>
  <c r="C1274" i="2"/>
  <c r="C1275" i="2"/>
  <c r="D1258" i="2"/>
  <c r="D1259" i="2"/>
  <c r="D1260" i="2"/>
  <c r="D1261" i="2"/>
  <c r="D1262" i="2"/>
  <c r="D1263" i="2"/>
  <c r="D1264" i="2"/>
  <c r="D1265" i="2"/>
  <c r="D1266" i="2"/>
  <c r="D1267" i="2"/>
  <c r="D1268" i="2"/>
  <c r="D1269" i="2"/>
  <c r="D1270" i="2"/>
  <c r="D1271" i="2"/>
  <c r="D1272" i="2"/>
  <c r="D1273" i="2"/>
  <c r="D1274" i="2"/>
  <c r="D1275" i="2"/>
  <c r="Q1476" i="1"/>
  <c r="U1476" i="1" s="1"/>
  <c r="Q946" i="1"/>
  <c r="U946" i="1" s="1"/>
  <c r="Q1426" i="1"/>
  <c r="U1426" i="1" s="1"/>
  <c r="Q581" i="1"/>
  <c r="U581" i="1" s="1"/>
  <c r="Q134" i="1"/>
  <c r="U134" i="1" s="1"/>
  <c r="AB134" i="1" l="1"/>
  <c r="AB581" i="1"/>
  <c r="AB1426" i="1"/>
  <c r="AB946" i="1"/>
  <c r="AB1476" i="1"/>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Q1502" i="1"/>
  <c r="U1502" i="1" s="1"/>
  <c r="Q170" i="1"/>
  <c r="U170" i="1" s="1"/>
  <c r="Q1211" i="1"/>
  <c r="U1211" i="1" s="1"/>
  <c r="Q841" i="1"/>
  <c r="U841" i="1" s="1"/>
  <c r="Q1212" i="1"/>
  <c r="U1212" i="1" s="1"/>
  <c r="Q133" i="1"/>
  <c r="U133" i="1" s="1"/>
  <c r="Q1469" i="1"/>
  <c r="U1469" i="1" s="1"/>
  <c r="Q1470" i="1"/>
  <c r="U1470" i="1" s="1"/>
  <c r="Q1471" i="1"/>
  <c r="U1471" i="1" s="1"/>
  <c r="Q1472" i="1"/>
  <c r="U1472" i="1" s="1"/>
  <c r="Q1473" i="1"/>
  <c r="U1473" i="1" s="1"/>
  <c r="Q1474" i="1"/>
  <c r="U1474" i="1" s="1"/>
  <c r="Q1475" i="1"/>
  <c r="U1475" i="1" s="1"/>
  <c r="B1244" i="2"/>
  <c r="B1245" i="2"/>
  <c r="B1246" i="2"/>
  <c r="B1247" i="2"/>
  <c r="B1248" i="2"/>
  <c r="B1249" i="2"/>
  <c r="B1250" i="2"/>
  <c r="B1251" i="2"/>
  <c r="B1252" i="2"/>
  <c r="B1253" i="2"/>
  <c r="B1254" i="2"/>
  <c r="B1255" i="2"/>
  <c r="B1256" i="2"/>
  <c r="B1257" i="2"/>
  <c r="C1244" i="2"/>
  <c r="C1245" i="2"/>
  <c r="C1246" i="2"/>
  <c r="C1247" i="2"/>
  <c r="C1248" i="2"/>
  <c r="C1249" i="2"/>
  <c r="C1250" i="2"/>
  <c r="C1251" i="2"/>
  <c r="C1252" i="2"/>
  <c r="C1253" i="2"/>
  <c r="C1254" i="2"/>
  <c r="C1255" i="2"/>
  <c r="C1256" i="2"/>
  <c r="C1257" i="2"/>
  <c r="D1244" i="2"/>
  <c r="D1245" i="2"/>
  <c r="D1246" i="2"/>
  <c r="D1247" i="2"/>
  <c r="D1248" i="2"/>
  <c r="D1249" i="2"/>
  <c r="D1250" i="2"/>
  <c r="D1251" i="2"/>
  <c r="D1252" i="2"/>
  <c r="D1253" i="2"/>
  <c r="D1254" i="2"/>
  <c r="D1255" i="2"/>
  <c r="D1256" i="2"/>
  <c r="D1257" i="2"/>
  <c r="AB1475" i="1" l="1"/>
  <c r="AB1473" i="1"/>
  <c r="AB1474" i="1"/>
  <c r="AB1472" i="1"/>
  <c r="AB1471" i="1"/>
  <c r="AB1470" i="1"/>
  <c r="AB1469" i="1"/>
  <c r="Q1480" i="1"/>
  <c r="U1480" i="1" s="1"/>
  <c r="Q1523" i="1"/>
  <c r="U1523" i="1" s="1"/>
  <c r="Q918" i="1"/>
  <c r="Q472" i="1"/>
  <c r="U472" i="1" s="1"/>
  <c r="Q1454" i="1"/>
  <c r="U1454" i="1" s="1"/>
  <c r="Q1522" i="1"/>
  <c r="Q876" i="1"/>
  <c r="U876" i="1" s="1"/>
  <c r="Q601" i="1"/>
  <c r="U601" i="1" s="1"/>
  <c r="Q1380" i="1"/>
  <c r="Q1201" i="1"/>
  <c r="Q945" i="1"/>
  <c r="Q463" i="1"/>
  <c r="Q919" i="1"/>
  <c r="Q117" i="1"/>
  <c r="AB133" i="1"/>
  <c r="AB1212" i="1"/>
  <c r="AB841" i="1"/>
  <c r="AB170" i="1"/>
  <c r="AB1211" i="1"/>
  <c r="AB1502" i="1"/>
  <c r="AB919" i="1" l="1"/>
  <c r="U919" i="1"/>
  <c r="AB1380" i="1"/>
  <c r="U1380" i="1"/>
  <c r="AB463" i="1"/>
  <c r="U463" i="1"/>
  <c r="AB945" i="1"/>
  <c r="U945" i="1"/>
  <c r="AB918" i="1"/>
  <c r="U918" i="1"/>
  <c r="AB117" i="1"/>
  <c r="U117" i="1"/>
  <c r="AB1201" i="1"/>
  <c r="U1201" i="1"/>
  <c r="AB1522" i="1"/>
  <c r="U1522" i="1"/>
  <c r="AB601" i="1"/>
  <c r="AB1454" i="1"/>
  <c r="AB1480" i="1"/>
  <c r="AB1523" i="1"/>
  <c r="AB876" i="1"/>
  <c r="AB472" i="1"/>
  <c r="C13" i="9" l="1"/>
  <c r="C12" i="9"/>
  <c r="C11" i="9"/>
  <c r="C10" i="9"/>
  <c r="C9" i="9"/>
  <c r="C8" i="9"/>
  <c r="C7" i="9"/>
  <c r="C6" i="9"/>
  <c r="C5" i="9"/>
  <c r="C4" i="9"/>
  <c r="C3" i="9"/>
  <c r="C2" i="9"/>
  <c r="C1" i="14"/>
  <c r="C1243" i="4"/>
  <c r="C1242" i="4"/>
  <c r="C1241" i="4"/>
  <c r="C1240" i="4"/>
  <c r="C1239" i="4"/>
  <c r="C1238" i="4"/>
  <c r="C1237" i="4"/>
  <c r="C1236" i="4"/>
  <c r="C1235" i="4"/>
  <c r="C1234" i="4"/>
  <c r="C1233" i="4"/>
  <c r="C1232" i="4"/>
  <c r="C1231" i="4"/>
  <c r="C1230" i="4"/>
  <c r="C1229" i="4"/>
  <c r="C1228" i="4"/>
  <c r="C1227" i="4"/>
  <c r="C1226" i="4"/>
  <c r="C1225" i="4"/>
  <c r="C1224" i="4"/>
  <c r="C1223" i="4"/>
  <c r="C1222" i="4"/>
  <c r="C1221" i="4"/>
  <c r="C1220" i="4"/>
  <c r="C1219" i="4"/>
  <c r="C1218" i="4"/>
  <c r="C1217" i="4"/>
  <c r="C1216" i="4"/>
  <c r="C1215" i="4"/>
  <c r="C1214" i="4"/>
  <c r="C1213" i="4"/>
  <c r="C1212" i="4"/>
  <c r="C1211" i="4"/>
  <c r="C1210" i="4"/>
  <c r="C1209" i="4"/>
  <c r="C1208" i="4"/>
  <c r="C1207" i="4"/>
  <c r="C1206" i="4"/>
  <c r="C1205" i="4"/>
  <c r="C1204" i="4"/>
  <c r="C1203" i="4"/>
  <c r="C1202" i="4"/>
  <c r="C1201" i="4"/>
  <c r="C1200" i="4"/>
  <c r="C1199" i="4"/>
  <c r="C1198" i="4"/>
  <c r="C1197" i="4"/>
  <c r="C1196" i="4"/>
  <c r="C1195" i="4"/>
  <c r="C1194" i="4"/>
  <c r="C1193" i="4"/>
  <c r="C1192" i="4"/>
  <c r="C1191" i="4"/>
  <c r="C1190" i="4"/>
  <c r="C1189" i="4"/>
  <c r="C1188" i="4"/>
  <c r="C1187" i="4"/>
  <c r="C1186" i="4"/>
  <c r="C1185" i="4"/>
  <c r="C1184" i="4"/>
  <c r="C1183" i="4"/>
  <c r="C1182" i="4"/>
  <c r="C1181" i="4"/>
  <c r="C1180" i="4"/>
  <c r="C1179" i="4"/>
  <c r="C1178" i="4"/>
  <c r="C1177" i="4"/>
  <c r="C1176" i="4"/>
  <c r="C1175" i="4"/>
  <c r="C1174" i="4"/>
  <c r="C1173" i="4"/>
  <c r="C1172" i="4"/>
  <c r="C1171" i="4"/>
  <c r="C1170" i="4"/>
  <c r="C1169" i="4"/>
  <c r="C1168" i="4"/>
  <c r="C1167" i="4"/>
  <c r="C1166" i="4"/>
  <c r="C1165" i="4"/>
  <c r="C1164" i="4"/>
  <c r="C1163" i="4"/>
  <c r="C1162" i="4"/>
  <c r="C1161" i="4"/>
  <c r="C1160" i="4"/>
  <c r="C1159" i="4"/>
  <c r="C1158" i="4"/>
  <c r="C1157" i="4"/>
  <c r="C1156" i="4"/>
  <c r="C1155" i="4"/>
  <c r="C1154" i="4"/>
  <c r="C1153" i="4"/>
  <c r="C1152" i="4"/>
  <c r="C1151" i="4"/>
  <c r="C1150" i="4"/>
  <c r="C1149" i="4"/>
  <c r="C1148" i="4"/>
  <c r="C1147" i="4"/>
  <c r="C1146" i="4"/>
  <c r="C1145" i="4"/>
  <c r="C1144" i="4"/>
  <c r="C1143" i="4"/>
  <c r="C1142" i="4"/>
  <c r="C1141" i="4"/>
  <c r="C1140" i="4"/>
  <c r="C1139" i="4"/>
  <c r="C1138" i="4"/>
  <c r="C1137" i="4"/>
  <c r="C1136" i="4"/>
  <c r="C1135" i="4"/>
  <c r="C1134" i="4"/>
  <c r="C1133" i="4"/>
  <c r="C1132" i="4"/>
  <c r="C1131" i="4"/>
  <c r="C1130" i="4"/>
  <c r="C1129" i="4"/>
  <c r="C1128" i="4"/>
  <c r="C1127" i="4"/>
  <c r="C1126" i="4"/>
  <c r="C1125" i="4"/>
  <c r="C1124" i="4"/>
  <c r="C1123" i="4"/>
  <c r="C1122" i="4"/>
  <c r="C1121" i="4"/>
  <c r="C1120" i="4"/>
  <c r="C1119" i="4"/>
  <c r="C1118" i="4"/>
  <c r="C1117" i="4"/>
  <c r="C1116" i="4"/>
  <c r="C1115" i="4"/>
  <c r="C1114" i="4"/>
  <c r="C1113" i="4"/>
  <c r="C1112" i="4"/>
  <c r="C1111" i="4"/>
  <c r="C1110" i="4"/>
  <c r="C1109" i="4"/>
  <c r="C1108" i="4"/>
  <c r="C1107" i="4"/>
  <c r="C1106" i="4"/>
  <c r="C1105" i="4"/>
  <c r="C1104" i="4"/>
  <c r="C1103" i="4"/>
  <c r="C1102" i="4"/>
  <c r="C1101" i="4"/>
  <c r="C1100" i="4"/>
  <c r="C1099" i="4"/>
  <c r="C1098" i="4"/>
  <c r="C1097" i="4"/>
  <c r="C1096" i="4"/>
  <c r="C1095" i="4"/>
  <c r="C1094" i="4"/>
  <c r="C1093" i="4"/>
  <c r="C1092" i="4"/>
  <c r="C1091" i="4"/>
  <c r="C1090" i="4"/>
  <c r="C1089" i="4"/>
  <c r="C1088" i="4"/>
  <c r="C1087" i="4"/>
  <c r="C1086" i="4"/>
  <c r="C1085" i="4"/>
  <c r="C1084" i="4"/>
  <c r="C1083" i="4"/>
  <c r="C1082" i="4"/>
  <c r="C1081" i="4"/>
  <c r="C1080" i="4"/>
  <c r="C1079" i="4"/>
  <c r="C1078" i="4"/>
  <c r="C1077" i="4"/>
  <c r="C1076" i="4"/>
  <c r="C1075" i="4"/>
  <c r="C1074" i="4"/>
  <c r="C1073" i="4"/>
  <c r="C1072" i="4"/>
  <c r="C1071" i="4"/>
  <c r="C1070" i="4"/>
  <c r="C1069" i="4"/>
  <c r="C1068" i="4"/>
  <c r="C1067" i="4"/>
  <c r="C1066" i="4"/>
  <c r="C1065" i="4"/>
  <c r="C1064" i="4"/>
  <c r="C1063" i="4"/>
  <c r="C1062" i="4"/>
  <c r="C1061" i="4"/>
  <c r="C1060" i="4"/>
  <c r="C1059" i="4"/>
  <c r="C1058" i="4"/>
  <c r="C1057" i="4"/>
  <c r="C1056" i="4"/>
  <c r="C1055" i="4"/>
  <c r="C1054" i="4"/>
  <c r="C1053" i="4"/>
  <c r="C1052" i="4"/>
  <c r="C1051" i="4"/>
  <c r="C1050" i="4"/>
  <c r="C1049" i="4"/>
  <c r="C1048" i="4"/>
  <c r="C1047" i="4"/>
  <c r="C1046" i="4"/>
  <c r="C1045" i="4"/>
  <c r="C1044" i="4"/>
  <c r="C1043" i="4"/>
  <c r="C1042" i="4"/>
  <c r="C1041" i="4"/>
  <c r="C1040" i="4"/>
  <c r="C1039" i="4"/>
  <c r="C1038" i="4"/>
  <c r="C1037" i="4"/>
  <c r="C1036" i="4"/>
  <c r="C1035" i="4"/>
  <c r="C1034" i="4"/>
  <c r="C1033" i="4"/>
  <c r="C1032" i="4"/>
  <c r="C1031" i="4"/>
  <c r="C1030" i="4"/>
  <c r="C1029" i="4"/>
  <c r="C1028" i="4"/>
  <c r="C1027" i="4"/>
  <c r="C1026" i="4"/>
  <c r="C1025" i="4"/>
  <c r="C1024" i="4"/>
  <c r="C1023" i="4"/>
  <c r="C1022" i="4"/>
  <c r="C1021" i="4"/>
  <c r="C1020" i="4"/>
  <c r="C1019" i="4"/>
  <c r="C1018" i="4"/>
  <c r="C1017" i="4"/>
  <c r="C1016" i="4"/>
  <c r="C1015" i="4"/>
  <c r="C1014" i="4"/>
  <c r="C1013" i="4"/>
  <c r="C1012" i="4"/>
  <c r="C1011" i="4"/>
  <c r="C1010" i="4"/>
  <c r="C1009" i="4"/>
  <c r="C1008" i="4"/>
  <c r="C1007" i="4"/>
  <c r="C1006" i="4"/>
  <c r="C1005" i="4"/>
  <c r="C1004" i="4"/>
  <c r="C1003" i="4"/>
  <c r="C1002" i="4"/>
  <c r="C1001" i="4"/>
  <c r="C1000" i="4"/>
  <c r="C999" i="4"/>
  <c r="C998" i="4"/>
  <c r="C997" i="4"/>
  <c r="C996" i="4"/>
  <c r="C995" i="4"/>
  <c r="C994" i="4"/>
  <c r="C993" i="4"/>
  <c r="C992" i="4"/>
  <c r="C991" i="4"/>
  <c r="C990" i="4"/>
  <c r="C989" i="4"/>
  <c r="C988" i="4"/>
  <c r="C987" i="4"/>
  <c r="C986" i="4"/>
  <c r="C985" i="4"/>
  <c r="C984" i="4"/>
  <c r="C983" i="4"/>
  <c r="C982" i="4"/>
  <c r="C981" i="4"/>
  <c r="C980" i="4"/>
  <c r="C979" i="4"/>
  <c r="C978" i="4"/>
  <c r="C977" i="4"/>
  <c r="C976" i="4"/>
  <c r="C975" i="4"/>
  <c r="C974" i="4"/>
  <c r="C973" i="4"/>
  <c r="C972" i="4"/>
  <c r="C971" i="4"/>
  <c r="C970" i="4"/>
  <c r="C969" i="4"/>
  <c r="C968" i="4"/>
  <c r="C967" i="4"/>
  <c r="C966" i="4"/>
  <c r="C965" i="4"/>
  <c r="C964" i="4"/>
  <c r="C963" i="4"/>
  <c r="C962" i="4"/>
  <c r="C961" i="4"/>
  <c r="C960" i="4"/>
  <c r="C959" i="4"/>
  <c r="C958" i="4"/>
  <c r="C957" i="4"/>
  <c r="C956" i="4"/>
  <c r="C955" i="4"/>
  <c r="C954" i="4"/>
  <c r="C953" i="4"/>
  <c r="C952" i="4"/>
  <c r="C951" i="4"/>
  <c r="C950" i="4"/>
  <c r="C949" i="4"/>
  <c r="C948" i="4"/>
  <c r="C947" i="4"/>
  <c r="C946" i="4"/>
  <c r="C945" i="4"/>
  <c r="C944" i="4"/>
  <c r="C943" i="4"/>
  <c r="C942" i="4"/>
  <c r="C941" i="4"/>
  <c r="C940" i="4"/>
  <c r="C939" i="4"/>
  <c r="C938" i="4"/>
  <c r="C937" i="4"/>
  <c r="C936" i="4"/>
  <c r="C935" i="4"/>
  <c r="C934" i="4"/>
  <c r="C933" i="4"/>
  <c r="C932" i="4"/>
  <c r="C931" i="4"/>
  <c r="C930" i="4"/>
  <c r="C929" i="4"/>
  <c r="C928" i="4"/>
  <c r="C927" i="4"/>
  <c r="C926" i="4"/>
  <c r="C925" i="4"/>
  <c r="C924" i="4"/>
  <c r="C923" i="4"/>
  <c r="C922" i="4"/>
  <c r="C921" i="4"/>
  <c r="C920" i="4"/>
  <c r="C919" i="4"/>
  <c r="C918" i="4"/>
  <c r="C917" i="4"/>
  <c r="C916" i="4"/>
  <c r="C915" i="4"/>
  <c r="C914" i="4"/>
  <c r="C913" i="4"/>
  <c r="C912" i="4"/>
  <c r="C911" i="4"/>
  <c r="C910" i="4"/>
  <c r="C909" i="4"/>
  <c r="C908" i="4"/>
  <c r="C907" i="4"/>
  <c r="C906" i="4"/>
  <c r="C905" i="4"/>
  <c r="C904" i="4"/>
  <c r="C903" i="4"/>
  <c r="C902" i="4"/>
  <c r="C901" i="4"/>
  <c r="C900" i="4"/>
  <c r="C899" i="4"/>
  <c r="C898" i="4"/>
  <c r="C897" i="4"/>
  <c r="C896" i="4"/>
  <c r="C895" i="4"/>
  <c r="C894" i="4"/>
  <c r="C893" i="4"/>
  <c r="C892" i="4"/>
  <c r="C891" i="4"/>
  <c r="C890" i="4"/>
  <c r="C889" i="4"/>
  <c r="C888" i="4"/>
  <c r="C887" i="4"/>
  <c r="C886" i="4"/>
  <c r="C885" i="4"/>
  <c r="C884" i="4"/>
  <c r="C883" i="4"/>
  <c r="C882" i="4"/>
  <c r="C881" i="4"/>
  <c r="C880" i="4"/>
  <c r="C879" i="4"/>
  <c r="C878" i="4"/>
  <c r="C877" i="4"/>
  <c r="C876" i="4"/>
  <c r="C875" i="4"/>
  <c r="C874" i="4"/>
  <c r="C873" i="4"/>
  <c r="C872" i="4"/>
  <c r="C871" i="4"/>
  <c r="C870" i="4"/>
  <c r="C869" i="4"/>
  <c r="C868" i="4"/>
  <c r="C867" i="4"/>
  <c r="C866" i="4"/>
  <c r="C865" i="4"/>
  <c r="C864" i="4"/>
  <c r="C863" i="4"/>
  <c r="C862" i="4"/>
  <c r="C861" i="4"/>
  <c r="C860" i="4"/>
  <c r="C859" i="4"/>
  <c r="C858" i="4"/>
  <c r="C857" i="4"/>
  <c r="C856" i="4"/>
  <c r="C855" i="4"/>
  <c r="C854" i="4"/>
  <c r="C853" i="4"/>
  <c r="C852" i="4"/>
  <c r="C851" i="4"/>
  <c r="C850" i="4"/>
  <c r="C849" i="4"/>
  <c r="C848" i="4"/>
  <c r="C847" i="4"/>
  <c r="C846" i="4"/>
  <c r="C845" i="4"/>
  <c r="C844" i="4"/>
  <c r="C843" i="4"/>
  <c r="C842" i="4"/>
  <c r="C841" i="4"/>
  <c r="C840" i="4"/>
  <c r="C839" i="4"/>
  <c r="C838" i="4"/>
  <c r="C837" i="4"/>
  <c r="C836" i="4"/>
  <c r="C835" i="4"/>
  <c r="C834" i="4"/>
  <c r="C833" i="4"/>
  <c r="C832" i="4"/>
  <c r="C831" i="4"/>
  <c r="C830" i="4"/>
  <c r="C829" i="4"/>
  <c r="C828" i="4"/>
  <c r="C827" i="4"/>
  <c r="C826" i="4"/>
  <c r="C825" i="4"/>
  <c r="C824" i="4"/>
  <c r="C823" i="4"/>
  <c r="C822" i="4"/>
  <c r="C821" i="4"/>
  <c r="C820" i="4"/>
  <c r="C819" i="4"/>
  <c r="C818" i="4"/>
  <c r="C817" i="4"/>
  <c r="C816" i="4"/>
  <c r="C815" i="4"/>
  <c r="C814" i="4"/>
  <c r="C813" i="4"/>
  <c r="C812" i="4"/>
  <c r="C811" i="4"/>
  <c r="C810" i="4"/>
  <c r="C809" i="4"/>
  <c r="C808" i="4"/>
  <c r="C807" i="4"/>
  <c r="B807" i="4"/>
  <c r="C806" i="4"/>
  <c r="B806" i="4"/>
  <c r="C805" i="4"/>
  <c r="B805" i="4"/>
  <c r="C804" i="4"/>
  <c r="B804" i="4"/>
  <c r="C803" i="4"/>
  <c r="B803" i="4"/>
  <c r="C802" i="4"/>
  <c r="B802" i="4"/>
  <c r="C801" i="4"/>
  <c r="B801" i="4"/>
  <c r="C800" i="4"/>
  <c r="B800" i="4"/>
  <c r="C799" i="4"/>
  <c r="B799" i="4"/>
  <c r="C798" i="4"/>
  <c r="B798" i="4"/>
  <c r="C797" i="4"/>
  <c r="B797" i="4"/>
  <c r="C796" i="4"/>
  <c r="B796" i="4"/>
  <c r="C795" i="4"/>
  <c r="B795" i="4"/>
  <c r="C794" i="4"/>
  <c r="B794" i="4"/>
  <c r="C793" i="4"/>
  <c r="B793" i="4"/>
  <c r="C792" i="4"/>
  <c r="B792" i="4"/>
  <c r="C791" i="4"/>
  <c r="B791" i="4"/>
  <c r="C790" i="4"/>
  <c r="B790" i="4"/>
  <c r="C789" i="4"/>
  <c r="B789" i="4"/>
  <c r="C788" i="4"/>
  <c r="B788" i="4"/>
  <c r="C787" i="4"/>
  <c r="B787" i="4"/>
  <c r="C786" i="4"/>
  <c r="B786" i="4"/>
  <c r="C785" i="4"/>
  <c r="B785" i="4"/>
  <c r="C784" i="4"/>
  <c r="B784" i="4"/>
  <c r="C783" i="4"/>
  <c r="B783" i="4"/>
  <c r="C782" i="4"/>
  <c r="B782" i="4"/>
  <c r="C781" i="4"/>
  <c r="B781" i="4"/>
  <c r="C780" i="4"/>
  <c r="B780" i="4"/>
  <c r="C779" i="4"/>
  <c r="B779" i="4"/>
  <c r="C778" i="4"/>
  <c r="B778" i="4"/>
  <c r="C777" i="4"/>
  <c r="B777" i="4"/>
  <c r="C776" i="4"/>
  <c r="B776" i="4"/>
  <c r="C775" i="4"/>
  <c r="B775" i="4"/>
  <c r="C774" i="4"/>
  <c r="B774" i="4"/>
  <c r="C773" i="4"/>
  <c r="B773" i="4"/>
  <c r="C772" i="4"/>
  <c r="B772" i="4"/>
  <c r="C771" i="4"/>
  <c r="B771" i="4"/>
  <c r="C770" i="4"/>
  <c r="B770" i="4"/>
  <c r="C769" i="4"/>
  <c r="B769" i="4"/>
  <c r="C768" i="4"/>
  <c r="B768" i="4"/>
  <c r="C767" i="4"/>
  <c r="B767" i="4"/>
  <c r="C766" i="4"/>
  <c r="B766" i="4"/>
  <c r="C765" i="4"/>
  <c r="B765" i="4"/>
  <c r="C764" i="4"/>
  <c r="B764" i="4"/>
  <c r="C763" i="4"/>
  <c r="B763" i="4"/>
  <c r="C762" i="4"/>
  <c r="B762" i="4"/>
  <c r="C761" i="4"/>
  <c r="B761" i="4"/>
  <c r="C760" i="4"/>
  <c r="B760" i="4"/>
  <c r="C759" i="4"/>
  <c r="B759" i="4"/>
  <c r="C758" i="4"/>
  <c r="B758" i="4"/>
  <c r="C757" i="4"/>
  <c r="B757" i="4"/>
  <c r="C756" i="4"/>
  <c r="B756" i="4"/>
  <c r="C755" i="4"/>
  <c r="B755" i="4"/>
  <c r="C754" i="4"/>
  <c r="B754" i="4"/>
  <c r="C753" i="4"/>
  <c r="B753" i="4"/>
  <c r="C752" i="4"/>
  <c r="B752" i="4"/>
  <c r="C751" i="4"/>
  <c r="B751" i="4"/>
  <c r="C750" i="4"/>
  <c r="B750" i="4"/>
  <c r="C749" i="4"/>
  <c r="B749" i="4"/>
  <c r="C748" i="4"/>
  <c r="B748" i="4"/>
  <c r="C747" i="4"/>
  <c r="B747" i="4"/>
  <c r="C746" i="4"/>
  <c r="B746" i="4"/>
  <c r="C745" i="4"/>
  <c r="B745" i="4"/>
  <c r="C744" i="4"/>
  <c r="B744" i="4"/>
  <c r="C743" i="4"/>
  <c r="B743" i="4"/>
  <c r="C742" i="4"/>
  <c r="B742" i="4"/>
  <c r="C741" i="4"/>
  <c r="B741" i="4"/>
  <c r="C740" i="4"/>
  <c r="B740" i="4"/>
  <c r="C739" i="4"/>
  <c r="B739" i="4"/>
  <c r="C738" i="4"/>
  <c r="B738" i="4"/>
  <c r="C737" i="4"/>
  <c r="B737" i="4"/>
  <c r="C736" i="4"/>
  <c r="B736" i="4"/>
  <c r="C735" i="4"/>
  <c r="B735" i="4"/>
  <c r="C734" i="4"/>
  <c r="B734" i="4"/>
  <c r="C733" i="4"/>
  <c r="B733" i="4"/>
  <c r="C732" i="4"/>
  <c r="B732" i="4"/>
  <c r="C731" i="4"/>
  <c r="B731" i="4"/>
  <c r="C730" i="4"/>
  <c r="B730" i="4"/>
  <c r="C729" i="4"/>
  <c r="B729" i="4"/>
  <c r="C728" i="4"/>
  <c r="B728" i="4"/>
  <c r="C727" i="4"/>
  <c r="B727" i="4"/>
  <c r="C726" i="4"/>
  <c r="B726" i="4"/>
  <c r="C725" i="4"/>
  <c r="B725" i="4"/>
  <c r="C724" i="4"/>
  <c r="B724" i="4"/>
  <c r="C723" i="4"/>
  <c r="B723" i="4"/>
  <c r="C722" i="4"/>
  <c r="B722" i="4"/>
  <c r="C721" i="4"/>
  <c r="B721" i="4"/>
  <c r="C720" i="4"/>
  <c r="B720" i="4"/>
  <c r="C719" i="4"/>
  <c r="B719" i="4"/>
  <c r="C718" i="4"/>
  <c r="B718" i="4"/>
  <c r="C717" i="4"/>
  <c r="B717" i="4"/>
  <c r="C716" i="4"/>
  <c r="B716" i="4"/>
  <c r="C715" i="4"/>
  <c r="B715" i="4"/>
  <c r="C714" i="4"/>
  <c r="B714" i="4"/>
  <c r="C713" i="4"/>
  <c r="B713" i="4"/>
  <c r="C712" i="4"/>
  <c r="B712" i="4"/>
  <c r="C711" i="4"/>
  <c r="B711" i="4"/>
  <c r="C710" i="4"/>
  <c r="B710" i="4"/>
  <c r="C709" i="4"/>
  <c r="B709" i="4"/>
  <c r="C708" i="4"/>
  <c r="B708" i="4"/>
  <c r="C707" i="4"/>
  <c r="B707" i="4"/>
  <c r="C706" i="4"/>
  <c r="B706" i="4"/>
  <c r="C705" i="4"/>
  <c r="B705" i="4"/>
  <c r="C704" i="4"/>
  <c r="B704" i="4"/>
  <c r="C703" i="4"/>
  <c r="B703" i="4"/>
  <c r="C702" i="4"/>
  <c r="B702" i="4"/>
  <c r="C701" i="4"/>
  <c r="B701" i="4"/>
  <c r="C700" i="4"/>
  <c r="B700" i="4"/>
  <c r="C699" i="4"/>
  <c r="B699" i="4"/>
  <c r="C698" i="4"/>
  <c r="B698" i="4"/>
  <c r="C697" i="4"/>
  <c r="B697" i="4"/>
  <c r="C696" i="4"/>
  <c r="B696" i="4"/>
  <c r="C695" i="4"/>
  <c r="B695" i="4"/>
  <c r="C694" i="4"/>
  <c r="B694" i="4"/>
  <c r="C693" i="4"/>
  <c r="B693" i="4"/>
  <c r="C692" i="4"/>
  <c r="B692" i="4"/>
  <c r="C691" i="4"/>
  <c r="B691" i="4"/>
  <c r="C690" i="4"/>
  <c r="B690" i="4"/>
  <c r="C689" i="4"/>
  <c r="B689" i="4"/>
  <c r="C688" i="4"/>
  <c r="B688" i="4"/>
  <c r="C687" i="4"/>
  <c r="B687" i="4"/>
  <c r="C686" i="4"/>
  <c r="B686" i="4"/>
  <c r="C685" i="4"/>
  <c r="B685" i="4"/>
  <c r="C684" i="4"/>
  <c r="B684" i="4"/>
  <c r="C683" i="4"/>
  <c r="B683" i="4"/>
  <c r="C682" i="4"/>
  <c r="B682" i="4"/>
  <c r="C681" i="4"/>
  <c r="B681" i="4"/>
  <c r="C680" i="4"/>
  <c r="B680" i="4"/>
  <c r="C679" i="4"/>
  <c r="B679" i="4"/>
  <c r="C678" i="4"/>
  <c r="B678" i="4"/>
  <c r="C677" i="4"/>
  <c r="B677" i="4"/>
  <c r="C676" i="4"/>
  <c r="B676" i="4"/>
  <c r="C675" i="4"/>
  <c r="B675" i="4"/>
  <c r="C674" i="4"/>
  <c r="B674" i="4"/>
  <c r="C673" i="4"/>
  <c r="B673" i="4"/>
  <c r="C672" i="4"/>
  <c r="B672" i="4"/>
  <c r="C671" i="4"/>
  <c r="B671" i="4"/>
  <c r="C670" i="4"/>
  <c r="B670" i="4"/>
  <c r="C669" i="4"/>
  <c r="B669" i="4"/>
  <c r="C668" i="4"/>
  <c r="B668" i="4"/>
  <c r="C667" i="4"/>
  <c r="B667" i="4"/>
  <c r="C666" i="4"/>
  <c r="B666" i="4"/>
  <c r="C665" i="4"/>
  <c r="B665" i="4"/>
  <c r="C664" i="4"/>
  <c r="B664" i="4"/>
  <c r="C663" i="4"/>
  <c r="B663" i="4"/>
  <c r="C662" i="4"/>
  <c r="B662" i="4"/>
  <c r="C661" i="4"/>
  <c r="B661" i="4"/>
  <c r="C660" i="4"/>
  <c r="B660" i="4"/>
  <c r="C659" i="4"/>
  <c r="B659" i="4"/>
  <c r="C658" i="4"/>
  <c r="B658" i="4"/>
  <c r="C657" i="4"/>
  <c r="B657" i="4"/>
  <c r="C656" i="4"/>
  <c r="B656" i="4"/>
  <c r="C655" i="4"/>
  <c r="B655" i="4"/>
  <c r="C654" i="4"/>
  <c r="B654" i="4"/>
  <c r="C653" i="4"/>
  <c r="B653" i="4"/>
  <c r="C652" i="4"/>
  <c r="B652" i="4"/>
  <c r="C651" i="4"/>
  <c r="B651" i="4"/>
  <c r="C650" i="4"/>
  <c r="B650" i="4"/>
  <c r="C649" i="4"/>
  <c r="B649" i="4"/>
  <c r="C648" i="4"/>
  <c r="B648" i="4"/>
  <c r="C647" i="4"/>
  <c r="B647" i="4"/>
  <c r="C646" i="4"/>
  <c r="B646" i="4"/>
  <c r="C645" i="4"/>
  <c r="B645" i="4"/>
  <c r="C644" i="4"/>
  <c r="B644" i="4"/>
  <c r="C643" i="4"/>
  <c r="B643" i="4"/>
  <c r="C642" i="4"/>
  <c r="B642" i="4"/>
  <c r="C641" i="4"/>
  <c r="B641" i="4"/>
  <c r="C640" i="4"/>
  <c r="B640" i="4"/>
  <c r="C639" i="4"/>
  <c r="B639" i="4"/>
  <c r="C638" i="4"/>
  <c r="B638" i="4"/>
  <c r="C637" i="4"/>
  <c r="B637" i="4"/>
  <c r="C636" i="4"/>
  <c r="B636" i="4"/>
  <c r="C635" i="4"/>
  <c r="B635" i="4"/>
  <c r="C634" i="4"/>
  <c r="B634" i="4"/>
  <c r="C633" i="4"/>
  <c r="B633" i="4"/>
  <c r="C632" i="4"/>
  <c r="B632" i="4"/>
  <c r="C631" i="4"/>
  <c r="B631" i="4"/>
  <c r="C630" i="4"/>
  <c r="B630" i="4"/>
  <c r="C629" i="4"/>
  <c r="B629" i="4"/>
  <c r="C628" i="4"/>
  <c r="B628" i="4"/>
  <c r="C627" i="4"/>
  <c r="B627" i="4"/>
  <c r="C626" i="4"/>
  <c r="B626" i="4"/>
  <c r="C625" i="4"/>
  <c r="B625" i="4"/>
  <c r="C624" i="4"/>
  <c r="B624" i="4"/>
  <c r="C623" i="4"/>
  <c r="B623" i="4"/>
  <c r="C622" i="4"/>
  <c r="B622" i="4"/>
  <c r="C621" i="4"/>
  <c r="B621" i="4"/>
  <c r="C620" i="4"/>
  <c r="B620" i="4"/>
  <c r="C619" i="4"/>
  <c r="B619" i="4"/>
  <c r="C618" i="4"/>
  <c r="B618" i="4"/>
  <c r="C617" i="4"/>
  <c r="B617" i="4"/>
  <c r="C616" i="4"/>
  <c r="B616" i="4"/>
  <c r="C615" i="4"/>
  <c r="B615" i="4"/>
  <c r="C614" i="4"/>
  <c r="B614" i="4"/>
  <c r="C613" i="4"/>
  <c r="B613" i="4"/>
  <c r="C612" i="4"/>
  <c r="B612" i="4"/>
  <c r="C611" i="4"/>
  <c r="B611" i="4"/>
  <c r="C610" i="4"/>
  <c r="B610" i="4"/>
  <c r="C609" i="4"/>
  <c r="B609" i="4"/>
  <c r="C608" i="4"/>
  <c r="B608" i="4"/>
  <c r="C607" i="4"/>
  <c r="B607" i="4"/>
  <c r="C606" i="4"/>
  <c r="B606" i="4"/>
  <c r="C605" i="4"/>
  <c r="B605" i="4"/>
  <c r="C604" i="4"/>
  <c r="B604" i="4"/>
  <c r="C603" i="4"/>
  <c r="B603" i="4"/>
  <c r="C602" i="4"/>
  <c r="B602" i="4"/>
  <c r="C601" i="4"/>
  <c r="B601" i="4"/>
  <c r="C600" i="4"/>
  <c r="B600" i="4"/>
  <c r="C599" i="4"/>
  <c r="B599" i="4"/>
  <c r="C598" i="4"/>
  <c r="B598" i="4"/>
  <c r="C597" i="4"/>
  <c r="B597" i="4"/>
  <c r="C596" i="4"/>
  <c r="B596" i="4"/>
  <c r="C595" i="4"/>
  <c r="B595" i="4"/>
  <c r="C594" i="4"/>
  <c r="B594" i="4"/>
  <c r="C593" i="4"/>
  <c r="B593" i="4"/>
  <c r="C592" i="4"/>
  <c r="B592" i="4"/>
  <c r="C591" i="4"/>
  <c r="B591" i="4"/>
  <c r="C590" i="4"/>
  <c r="B590" i="4"/>
  <c r="C589" i="4"/>
  <c r="B589" i="4"/>
  <c r="C588" i="4"/>
  <c r="B588" i="4"/>
  <c r="C587" i="4"/>
  <c r="B587" i="4"/>
  <c r="C586" i="4"/>
  <c r="B586" i="4"/>
  <c r="C585" i="4"/>
  <c r="B585" i="4"/>
  <c r="C584" i="4"/>
  <c r="B584" i="4"/>
  <c r="C583" i="4"/>
  <c r="B583" i="4"/>
  <c r="C582" i="4"/>
  <c r="B582" i="4"/>
  <c r="C581" i="4"/>
  <c r="B581" i="4"/>
  <c r="C580" i="4"/>
  <c r="B580" i="4"/>
  <c r="C579" i="4"/>
  <c r="B579" i="4"/>
  <c r="C578" i="4"/>
  <c r="C577" i="4"/>
  <c r="B577" i="4"/>
  <c r="C576" i="4"/>
  <c r="B576" i="4"/>
  <c r="C575" i="4"/>
  <c r="B575" i="4"/>
  <c r="C574" i="4"/>
  <c r="B574" i="4"/>
  <c r="C573" i="4"/>
  <c r="B573" i="4"/>
  <c r="C572" i="4"/>
  <c r="B572" i="4"/>
  <c r="C571" i="4"/>
  <c r="B571" i="4"/>
  <c r="C570" i="4"/>
  <c r="B570" i="4"/>
  <c r="C569" i="4"/>
  <c r="B569" i="4"/>
  <c r="C568" i="4"/>
  <c r="B568" i="4"/>
  <c r="C567" i="4"/>
  <c r="B567" i="4"/>
  <c r="C566" i="4"/>
  <c r="B566" i="4"/>
  <c r="C565" i="4"/>
  <c r="B565" i="4"/>
  <c r="C564" i="4"/>
  <c r="B564" i="4"/>
  <c r="C563" i="4"/>
  <c r="B563" i="4"/>
  <c r="C562" i="4"/>
  <c r="B562" i="4"/>
  <c r="C561" i="4"/>
  <c r="C560" i="4"/>
  <c r="B560" i="4"/>
  <c r="C559" i="4"/>
  <c r="B559" i="4"/>
  <c r="C558" i="4"/>
  <c r="B558" i="4"/>
  <c r="C557" i="4"/>
  <c r="B557" i="4"/>
  <c r="C556" i="4"/>
  <c r="B556" i="4"/>
  <c r="C555" i="4"/>
  <c r="B555" i="4"/>
  <c r="C554" i="4"/>
  <c r="B554" i="4"/>
  <c r="C553" i="4"/>
  <c r="B553" i="4"/>
  <c r="C552" i="4"/>
  <c r="B552" i="4"/>
  <c r="C551" i="4"/>
  <c r="B551" i="4"/>
  <c r="C550" i="4"/>
  <c r="B550" i="4"/>
  <c r="C549" i="4"/>
  <c r="B549" i="4"/>
  <c r="C548" i="4"/>
  <c r="B548" i="4"/>
  <c r="C547" i="4"/>
  <c r="B547" i="4"/>
  <c r="C546" i="4"/>
  <c r="B546" i="4"/>
  <c r="C545" i="4"/>
  <c r="B545" i="4"/>
  <c r="C544" i="4"/>
  <c r="B544" i="4"/>
  <c r="C543" i="4"/>
  <c r="B543" i="4"/>
  <c r="C542" i="4"/>
  <c r="B542" i="4"/>
  <c r="C541" i="4"/>
  <c r="B541" i="4"/>
  <c r="C540" i="4"/>
  <c r="B540" i="4"/>
  <c r="C539" i="4"/>
  <c r="B539" i="4"/>
  <c r="C538" i="4"/>
  <c r="B538" i="4"/>
  <c r="C537" i="4"/>
  <c r="B537" i="4"/>
  <c r="C536" i="4"/>
  <c r="B536" i="4"/>
  <c r="C535" i="4"/>
  <c r="B535" i="4"/>
  <c r="C534" i="4"/>
  <c r="B534" i="4"/>
  <c r="C533" i="4"/>
  <c r="B533" i="4"/>
  <c r="C532" i="4"/>
  <c r="B532" i="4"/>
  <c r="C531" i="4"/>
  <c r="B531" i="4"/>
  <c r="C530" i="4"/>
  <c r="B530" i="4"/>
  <c r="C529" i="4"/>
  <c r="B529" i="4"/>
  <c r="C528" i="4"/>
  <c r="B528" i="4"/>
  <c r="C527" i="4"/>
  <c r="B527" i="4"/>
  <c r="C526" i="4"/>
  <c r="B526" i="4"/>
  <c r="C525" i="4"/>
  <c r="B525" i="4"/>
  <c r="C524" i="4"/>
  <c r="B524" i="4"/>
  <c r="C523" i="4"/>
  <c r="B523" i="4"/>
  <c r="C522" i="4"/>
  <c r="B522" i="4"/>
  <c r="C521" i="4"/>
  <c r="B521" i="4"/>
  <c r="C520" i="4"/>
  <c r="B520" i="4"/>
  <c r="C519" i="4"/>
  <c r="B519" i="4"/>
  <c r="C518" i="4"/>
  <c r="B518" i="4"/>
  <c r="C517" i="4"/>
  <c r="B517" i="4"/>
  <c r="C516" i="4"/>
  <c r="B516" i="4"/>
  <c r="C515" i="4"/>
  <c r="B515" i="4"/>
  <c r="C514" i="4"/>
  <c r="B514" i="4"/>
  <c r="C513" i="4"/>
  <c r="B513" i="4"/>
  <c r="C512" i="4"/>
  <c r="B512" i="4"/>
  <c r="C511" i="4"/>
  <c r="B511" i="4"/>
  <c r="C510" i="4"/>
  <c r="B510" i="4"/>
  <c r="C509" i="4"/>
  <c r="B509" i="4"/>
  <c r="C508" i="4"/>
  <c r="B508" i="4"/>
  <c r="C507" i="4"/>
  <c r="B507" i="4"/>
  <c r="C506" i="4"/>
  <c r="B506" i="4"/>
  <c r="C505" i="4"/>
  <c r="B505" i="4"/>
  <c r="C504" i="4"/>
  <c r="B504" i="4"/>
  <c r="C503" i="4"/>
  <c r="B503" i="4"/>
  <c r="C502" i="4"/>
  <c r="B502" i="4"/>
  <c r="C501" i="4"/>
  <c r="B501" i="4"/>
  <c r="C500" i="4"/>
  <c r="B500" i="4"/>
  <c r="C499" i="4"/>
  <c r="B499" i="4"/>
  <c r="C498" i="4"/>
  <c r="B498" i="4"/>
  <c r="C497" i="4"/>
  <c r="B497" i="4"/>
  <c r="C496" i="4"/>
  <c r="B496" i="4"/>
  <c r="C495" i="4"/>
  <c r="B495" i="4"/>
  <c r="C494" i="4"/>
  <c r="B494" i="4"/>
  <c r="C493" i="4"/>
  <c r="B493" i="4"/>
  <c r="C492" i="4"/>
  <c r="B492" i="4"/>
  <c r="C491" i="4"/>
  <c r="B491" i="4"/>
  <c r="C490" i="4"/>
  <c r="B490" i="4"/>
  <c r="C489" i="4"/>
  <c r="B489" i="4"/>
  <c r="C488" i="4"/>
  <c r="B488" i="4"/>
  <c r="C487" i="4"/>
  <c r="B487" i="4"/>
  <c r="C486" i="4"/>
  <c r="B486" i="4"/>
  <c r="C485" i="4"/>
  <c r="B485" i="4"/>
  <c r="C484" i="4"/>
  <c r="B484" i="4"/>
  <c r="C483" i="4"/>
  <c r="B483" i="4"/>
  <c r="C482" i="4"/>
  <c r="B482" i="4"/>
  <c r="C481" i="4"/>
  <c r="B481" i="4"/>
  <c r="C480" i="4"/>
  <c r="B480" i="4"/>
  <c r="C479" i="4"/>
  <c r="B479" i="4"/>
  <c r="C478" i="4"/>
  <c r="B478" i="4"/>
  <c r="C477" i="4"/>
  <c r="B477" i="4"/>
  <c r="C476" i="4"/>
  <c r="B476" i="4"/>
  <c r="C475" i="4"/>
  <c r="B475" i="4"/>
  <c r="C474" i="4"/>
  <c r="B474" i="4"/>
  <c r="C473" i="4"/>
  <c r="B473" i="4"/>
  <c r="C472" i="4"/>
  <c r="B472" i="4"/>
  <c r="C471" i="4"/>
  <c r="B471" i="4"/>
  <c r="C470" i="4"/>
  <c r="B470" i="4"/>
  <c r="C469" i="4"/>
  <c r="B469" i="4"/>
  <c r="C468" i="4"/>
  <c r="B468" i="4"/>
  <c r="C467" i="4"/>
  <c r="B467" i="4"/>
  <c r="C466" i="4"/>
  <c r="B466" i="4"/>
  <c r="C465" i="4"/>
  <c r="B465" i="4"/>
  <c r="C464" i="4"/>
  <c r="B464" i="4"/>
  <c r="C463" i="4"/>
  <c r="B463" i="4"/>
  <c r="C462" i="4"/>
  <c r="B462" i="4"/>
  <c r="C461" i="4"/>
  <c r="B461" i="4"/>
  <c r="C460" i="4"/>
  <c r="B460" i="4"/>
  <c r="C459" i="4"/>
  <c r="B459" i="4"/>
  <c r="C458" i="4"/>
  <c r="B458" i="4"/>
  <c r="C457" i="4"/>
  <c r="B457" i="4"/>
  <c r="C456" i="4"/>
  <c r="B456" i="4"/>
  <c r="C455" i="4"/>
  <c r="B455" i="4"/>
  <c r="C454" i="4"/>
  <c r="B454" i="4"/>
  <c r="C453" i="4"/>
  <c r="B453" i="4"/>
  <c r="C452" i="4"/>
  <c r="B452" i="4"/>
  <c r="C451" i="4"/>
  <c r="B451" i="4"/>
  <c r="C450" i="4"/>
  <c r="B450" i="4"/>
  <c r="C449" i="4"/>
  <c r="B449" i="4"/>
  <c r="C448" i="4"/>
  <c r="B448" i="4"/>
  <c r="C447" i="4"/>
  <c r="B447" i="4"/>
  <c r="C446" i="4"/>
  <c r="B446" i="4"/>
  <c r="C445" i="4"/>
  <c r="B445" i="4"/>
  <c r="C444" i="4"/>
  <c r="B444" i="4"/>
  <c r="C443" i="4"/>
  <c r="B443" i="4"/>
  <c r="C442" i="4"/>
  <c r="B442" i="4"/>
  <c r="C441" i="4"/>
  <c r="B441" i="4"/>
  <c r="C440" i="4"/>
  <c r="B440" i="4"/>
  <c r="C439" i="4"/>
  <c r="B439" i="4"/>
  <c r="C438" i="4"/>
  <c r="B438" i="4"/>
  <c r="C437" i="4"/>
  <c r="B437" i="4"/>
  <c r="C436" i="4"/>
  <c r="B436" i="4"/>
  <c r="C435" i="4"/>
  <c r="B435" i="4"/>
  <c r="C434" i="4"/>
  <c r="B434" i="4"/>
  <c r="C433" i="4"/>
  <c r="B433" i="4"/>
  <c r="C432" i="4"/>
  <c r="B432" i="4"/>
  <c r="C431" i="4"/>
  <c r="B431" i="4"/>
  <c r="C430" i="4"/>
  <c r="B430" i="4"/>
  <c r="C429" i="4"/>
  <c r="B429" i="4"/>
  <c r="C428" i="4"/>
  <c r="B428" i="4"/>
  <c r="C427" i="4"/>
  <c r="B427" i="4"/>
  <c r="C426" i="4"/>
  <c r="B426" i="4"/>
  <c r="C425" i="4"/>
  <c r="B425" i="4"/>
  <c r="C424" i="4"/>
  <c r="B424" i="4"/>
  <c r="C423" i="4"/>
  <c r="B423" i="4"/>
  <c r="C422" i="4"/>
  <c r="B422" i="4"/>
  <c r="C421" i="4"/>
  <c r="B421" i="4"/>
  <c r="C420" i="4"/>
  <c r="B420" i="4"/>
  <c r="C419" i="4"/>
  <c r="B419" i="4"/>
  <c r="C418" i="4"/>
  <c r="B418" i="4"/>
  <c r="C417" i="4"/>
  <c r="B417" i="4"/>
  <c r="C416" i="4"/>
  <c r="B416" i="4"/>
  <c r="C415" i="4"/>
  <c r="B415" i="4"/>
  <c r="C414" i="4"/>
  <c r="B414" i="4"/>
  <c r="C413" i="4"/>
  <c r="B413" i="4"/>
  <c r="C412" i="4"/>
  <c r="B412" i="4"/>
  <c r="C411" i="4"/>
  <c r="B411" i="4"/>
  <c r="C410" i="4"/>
  <c r="B410" i="4"/>
  <c r="C409" i="4"/>
  <c r="B409" i="4"/>
  <c r="C408" i="4"/>
  <c r="B408" i="4"/>
  <c r="C407" i="4"/>
  <c r="B407" i="4"/>
  <c r="C406" i="4"/>
  <c r="B406" i="4"/>
  <c r="C405" i="4"/>
  <c r="B405" i="4"/>
  <c r="C404" i="4"/>
  <c r="B404" i="4"/>
  <c r="C403" i="4"/>
  <c r="B403" i="4"/>
  <c r="C402" i="4"/>
  <c r="B402" i="4"/>
  <c r="C401" i="4"/>
  <c r="B401" i="4"/>
  <c r="C400" i="4"/>
  <c r="B400" i="4"/>
  <c r="C399" i="4"/>
  <c r="B399" i="4"/>
  <c r="C398" i="4"/>
  <c r="B398" i="4"/>
  <c r="C397" i="4"/>
  <c r="B397" i="4"/>
  <c r="C396" i="4"/>
  <c r="B396" i="4"/>
  <c r="C395" i="4"/>
  <c r="B395" i="4"/>
  <c r="C394" i="4"/>
  <c r="B394" i="4"/>
  <c r="C393" i="4"/>
  <c r="B393" i="4"/>
  <c r="C392" i="4"/>
  <c r="B392" i="4"/>
  <c r="C391" i="4"/>
  <c r="B391" i="4"/>
  <c r="C390" i="4"/>
  <c r="B390" i="4"/>
  <c r="C389" i="4"/>
  <c r="B389" i="4"/>
  <c r="C388" i="4"/>
  <c r="B388" i="4"/>
  <c r="C387" i="4"/>
  <c r="B387" i="4"/>
  <c r="C386" i="4"/>
  <c r="B386" i="4"/>
  <c r="C385" i="4"/>
  <c r="B385" i="4"/>
  <c r="C384" i="4"/>
  <c r="B384" i="4"/>
  <c r="C383" i="4"/>
  <c r="B383" i="4"/>
  <c r="C382" i="4"/>
  <c r="B382" i="4"/>
  <c r="C381" i="4"/>
  <c r="B381" i="4"/>
  <c r="C380" i="4"/>
  <c r="B380" i="4"/>
  <c r="C379" i="4"/>
  <c r="B379" i="4"/>
  <c r="C378" i="4"/>
  <c r="B378" i="4"/>
  <c r="C377" i="4"/>
  <c r="B377" i="4"/>
  <c r="C376" i="4"/>
  <c r="B376" i="4"/>
  <c r="C375" i="4"/>
  <c r="B375" i="4"/>
  <c r="C374" i="4"/>
  <c r="B374" i="4"/>
  <c r="C373" i="4"/>
  <c r="B373" i="4"/>
  <c r="C372" i="4"/>
  <c r="B372" i="4"/>
  <c r="C371" i="4"/>
  <c r="B371" i="4"/>
  <c r="C370" i="4"/>
  <c r="B370" i="4"/>
  <c r="C369" i="4"/>
  <c r="B369" i="4"/>
  <c r="C368" i="4"/>
  <c r="B368" i="4"/>
  <c r="C367" i="4"/>
  <c r="B367" i="4"/>
  <c r="C366" i="4"/>
  <c r="B366" i="4"/>
  <c r="C365" i="4"/>
  <c r="B365" i="4"/>
  <c r="C364" i="4"/>
  <c r="B364" i="4"/>
  <c r="C363" i="4"/>
  <c r="B363" i="4"/>
  <c r="C362" i="4"/>
  <c r="B362" i="4"/>
  <c r="C361" i="4"/>
  <c r="B361" i="4"/>
  <c r="C360" i="4"/>
  <c r="B360" i="4"/>
  <c r="C359" i="4"/>
  <c r="B359" i="4"/>
  <c r="C358" i="4"/>
  <c r="B358" i="4"/>
  <c r="C357" i="4"/>
  <c r="B357" i="4"/>
  <c r="C356" i="4"/>
  <c r="B356" i="4"/>
  <c r="C355" i="4"/>
  <c r="B355" i="4"/>
  <c r="C354" i="4"/>
  <c r="B354" i="4"/>
  <c r="C353" i="4"/>
  <c r="B353" i="4"/>
  <c r="C352" i="4"/>
  <c r="B352" i="4"/>
  <c r="C351" i="4"/>
  <c r="B351" i="4"/>
  <c r="C350" i="4"/>
  <c r="B350" i="4"/>
  <c r="C349" i="4"/>
  <c r="B349" i="4"/>
  <c r="C348" i="4"/>
  <c r="B348" i="4"/>
  <c r="C347" i="4"/>
  <c r="B347" i="4"/>
  <c r="C346" i="4"/>
  <c r="B346" i="4"/>
  <c r="C345" i="4"/>
  <c r="B345" i="4"/>
  <c r="C344" i="4"/>
  <c r="B344" i="4"/>
  <c r="C343" i="4"/>
  <c r="B343" i="4"/>
  <c r="C342" i="4"/>
  <c r="B342" i="4"/>
  <c r="C341" i="4"/>
  <c r="B341" i="4"/>
  <c r="C340" i="4"/>
  <c r="B340" i="4"/>
  <c r="C339" i="4"/>
  <c r="B339" i="4"/>
  <c r="C338" i="4"/>
  <c r="B338" i="4"/>
  <c r="C337" i="4"/>
  <c r="B337" i="4"/>
  <c r="C336" i="4"/>
  <c r="B336" i="4"/>
  <c r="C335" i="4"/>
  <c r="B335" i="4"/>
  <c r="C334" i="4"/>
  <c r="B334" i="4"/>
  <c r="C333" i="4"/>
  <c r="B333" i="4"/>
  <c r="C332" i="4"/>
  <c r="B332" i="4"/>
  <c r="C331" i="4"/>
  <c r="B331" i="4"/>
  <c r="C330" i="4"/>
  <c r="B330" i="4"/>
  <c r="C329" i="4"/>
  <c r="B329" i="4"/>
  <c r="C328" i="4"/>
  <c r="B328" i="4"/>
  <c r="C327" i="4"/>
  <c r="B327" i="4"/>
  <c r="C326" i="4"/>
  <c r="B326" i="4"/>
  <c r="C325" i="4"/>
  <c r="B325" i="4"/>
  <c r="C324" i="4"/>
  <c r="B324" i="4"/>
  <c r="C323" i="4"/>
  <c r="B323" i="4"/>
  <c r="C322" i="4"/>
  <c r="B322" i="4"/>
  <c r="C321" i="4"/>
  <c r="B321" i="4"/>
  <c r="C320" i="4"/>
  <c r="B320" i="4"/>
  <c r="C319" i="4"/>
  <c r="B319" i="4"/>
  <c r="C318" i="4"/>
  <c r="B318" i="4"/>
  <c r="C317" i="4"/>
  <c r="B317" i="4"/>
  <c r="C316" i="4"/>
  <c r="B316" i="4"/>
  <c r="C315" i="4"/>
  <c r="B315" i="4"/>
  <c r="C314" i="4"/>
  <c r="B314" i="4"/>
  <c r="C313" i="4"/>
  <c r="B313" i="4"/>
  <c r="C312" i="4"/>
  <c r="B312" i="4"/>
  <c r="C311" i="4"/>
  <c r="B311" i="4"/>
  <c r="C310" i="4"/>
  <c r="B310" i="4"/>
  <c r="C309" i="4"/>
  <c r="B309" i="4"/>
  <c r="C308" i="4"/>
  <c r="B308" i="4"/>
  <c r="C307" i="4"/>
  <c r="B307" i="4"/>
  <c r="C306" i="4"/>
  <c r="B306" i="4"/>
  <c r="C305" i="4"/>
  <c r="B305" i="4"/>
  <c r="C304" i="4"/>
  <c r="B304" i="4"/>
  <c r="C303" i="4"/>
  <c r="B303" i="4"/>
  <c r="C302" i="4"/>
  <c r="B302" i="4"/>
  <c r="C301" i="4"/>
  <c r="B301" i="4"/>
  <c r="C300" i="4"/>
  <c r="B300" i="4"/>
  <c r="C299" i="4"/>
  <c r="B299" i="4"/>
  <c r="C298" i="4"/>
  <c r="B298" i="4"/>
  <c r="C297" i="4"/>
  <c r="B297" i="4"/>
  <c r="C296" i="4"/>
  <c r="B296" i="4"/>
  <c r="C295" i="4"/>
  <c r="B295" i="4"/>
  <c r="C294" i="4"/>
  <c r="C293" i="4"/>
  <c r="B293" i="4"/>
  <c r="C292" i="4"/>
  <c r="B292" i="4"/>
  <c r="C291" i="4"/>
  <c r="B291" i="4"/>
  <c r="C290" i="4"/>
  <c r="B290" i="4"/>
  <c r="C289" i="4"/>
  <c r="B289" i="4"/>
  <c r="C288" i="4"/>
  <c r="B288" i="4"/>
  <c r="C287" i="4"/>
  <c r="B287" i="4"/>
  <c r="C286" i="4"/>
  <c r="B286" i="4"/>
  <c r="C285" i="4"/>
  <c r="B285" i="4"/>
  <c r="C284" i="4"/>
  <c r="B284" i="4"/>
  <c r="C283" i="4"/>
  <c r="B283" i="4"/>
  <c r="C282" i="4"/>
  <c r="B282" i="4"/>
  <c r="C281" i="4"/>
  <c r="B281" i="4"/>
  <c r="C280" i="4"/>
  <c r="B280" i="4"/>
  <c r="C279" i="4"/>
  <c r="B279" i="4"/>
  <c r="C278" i="4"/>
  <c r="B278" i="4"/>
  <c r="C277" i="4"/>
  <c r="B277" i="4"/>
  <c r="C276" i="4"/>
  <c r="B276" i="4"/>
  <c r="C275" i="4"/>
  <c r="B275" i="4"/>
  <c r="C274" i="4"/>
  <c r="B274" i="4"/>
  <c r="C273" i="4"/>
  <c r="B273" i="4"/>
  <c r="C272" i="4"/>
  <c r="B272" i="4"/>
  <c r="C271" i="4"/>
  <c r="B271" i="4"/>
  <c r="C270" i="4"/>
  <c r="B270" i="4"/>
  <c r="C269" i="4"/>
  <c r="B269" i="4"/>
  <c r="C268" i="4"/>
  <c r="B268" i="4"/>
  <c r="C267" i="4"/>
  <c r="B267" i="4"/>
  <c r="C266" i="4"/>
  <c r="B266" i="4"/>
  <c r="C265" i="4"/>
  <c r="B265" i="4"/>
  <c r="C264" i="4"/>
  <c r="B264" i="4"/>
  <c r="C263" i="4"/>
  <c r="B263" i="4"/>
  <c r="C262" i="4"/>
  <c r="B262" i="4"/>
  <c r="C261" i="4"/>
  <c r="B261" i="4"/>
  <c r="C260" i="4"/>
  <c r="B260" i="4"/>
  <c r="C259" i="4"/>
  <c r="B259" i="4"/>
  <c r="C258" i="4"/>
  <c r="B258" i="4"/>
  <c r="C257" i="4"/>
  <c r="B257" i="4"/>
  <c r="C256" i="4"/>
  <c r="B256" i="4"/>
  <c r="C255" i="4"/>
  <c r="B255" i="4"/>
  <c r="C254" i="4"/>
  <c r="B254" i="4"/>
  <c r="C253" i="4"/>
  <c r="B253" i="4"/>
  <c r="C252" i="4"/>
  <c r="B252" i="4"/>
  <c r="C251" i="4"/>
  <c r="B251" i="4"/>
  <c r="C250" i="4"/>
  <c r="B250" i="4"/>
  <c r="C249" i="4"/>
  <c r="B249" i="4"/>
  <c r="C248" i="4"/>
  <c r="B248" i="4"/>
  <c r="C247" i="4"/>
  <c r="B247" i="4"/>
  <c r="C246" i="4"/>
  <c r="B246" i="4"/>
  <c r="C245" i="4"/>
  <c r="B245" i="4"/>
  <c r="C244" i="4"/>
  <c r="B244" i="4"/>
  <c r="C243" i="4"/>
  <c r="B243" i="4"/>
  <c r="C242" i="4"/>
  <c r="B242" i="4"/>
  <c r="C241" i="4"/>
  <c r="B241" i="4"/>
  <c r="C240" i="4"/>
  <c r="B240" i="4"/>
  <c r="C239" i="4"/>
  <c r="B239" i="4"/>
  <c r="C238" i="4"/>
  <c r="B238" i="4"/>
  <c r="C237" i="4"/>
  <c r="B237" i="4"/>
  <c r="C236" i="4"/>
  <c r="B236" i="4"/>
  <c r="C235" i="4"/>
  <c r="B235" i="4"/>
  <c r="C234" i="4"/>
  <c r="B234" i="4"/>
  <c r="C233" i="4"/>
  <c r="B233" i="4"/>
  <c r="C232" i="4"/>
  <c r="B232" i="4"/>
  <c r="C231" i="4"/>
  <c r="B231" i="4"/>
  <c r="C230" i="4"/>
  <c r="B230" i="4"/>
  <c r="C229" i="4"/>
  <c r="B229" i="4"/>
  <c r="C228" i="4"/>
  <c r="B228" i="4"/>
  <c r="C227" i="4"/>
  <c r="B227" i="4"/>
  <c r="C226" i="4"/>
  <c r="B226" i="4"/>
  <c r="C225" i="4"/>
  <c r="B225" i="4"/>
  <c r="C224" i="4"/>
  <c r="B224" i="4"/>
  <c r="C223" i="4"/>
  <c r="B223" i="4"/>
  <c r="C222" i="4"/>
  <c r="B222" i="4"/>
  <c r="C221" i="4"/>
  <c r="B221" i="4"/>
  <c r="C220" i="4"/>
  <c r="B220" i="4"/>
  <c r="C219" i="4"/>
  <c r="B219" i="4"/>
  <c r="C218" i="4"/>
  <c r="B218" i="4"/>
  <c r="C217" i="4"/>
  <c r="B217" i="4"/>
  <c r="C216" i="4"/>
  <c r="B216" i="4"/>
  <c r="C215" i="4"/>
  <c r="B215" i="4"/>
  <c r="C214" i="4"/>
  <c r="B214" i="4"/>
  <c r="C213" i="4"/>
  <c r="B213" i="4"/>
  <c r="C212" i="4"/>
  <c r="B212" i="4"/>
  <c r="C211" i="4"/>
  <c r="B211" i="4"/>
  <c r="C210" i="4"/>
  <c r="B210" i="4"/>
  <c r="C209" i="4"/>
  <c r="B209" i="4"/>
  <c r="C208" i="4"/>
  <c r="B208" i="4"/>
  <c r="C207" i="4"/>
  <c r="B207" i="4"/>
  <c r="C206" i="4"/>
  <c r="B206" i="4"/>
  <c r="C205" i="4"/>
  <c r="B205" i="4"/>
  <c r="C204" i="4"/>
  <c r="B204" i="4"/>
  <c r="C203" i="4"/>
  <c r="B203" i="4"/>
  <c r="C202" i="4"/>
  <c r="B202" i="4"/>
  <c r="C201" i="4"/>
  <c r="B201" i="4"/>
  <c r="C200" i="4"/>
  <c r="B200" i="4"/>
  <c r="C199" i="4"/>
  <c r="B199" i="4"/>
  <c r="C198" i="4"/>
  <c r="B198" i="4"/>
  <c r="C197" i="4"/>
  <c r="B197" i="4"/>
  <c r="C196" i="4"/>
  <c r="B196" i="4"/>
  <c r="C195" i="4"/>
  <c r="B195" i="4"/>
  <c r="C194" i="4"/>
  <c r="B194" i="4"/>
  <c r="C193" i="4"/>
  <c r="B193" i="4"/>
  <c r="C192" i="4"/>
  <c r="B192" i="4"/>
  <c r="C191" i="4"/>
  <c r="B191" i="4"/>
  <c r="C190" i="4"/>
  <c r="B190" i="4"/>
  <c r="C189" i="4"/>
  <c r="B189" i="4"/>
  <c r="C188" i="4"/>
  <c r="B188" i="4"/>
  <c r="C187" i="4"/>
  <c r="B187" i="4"/>
  <c r="C186" i="4"/>
  <c r="B186" i="4"/>
  <c r="C185" i="4"/>
  <c r="B185" i="4"/>
  <c r="C184" i="4"/>
  <c r="B184" i="4"/>
  <c r="C183" i="4"/>
  <c r="B183" i="4"/>
  <c r="C182" i="4"/>
  <c r="B182" i="4"/>
  <c r="C181" i="4"/>
  <c r="B181" i="4"/>
  <c r="C180" i="4"/>
  <c r="B180" i="4"/>
  <c r="C179" i="4"/>
  <c r="B179" i="4"/>
  <c r="C178" i="4"/>
  <c r="B178" i="4"/>
  <c r="C177" i="4"/>
  <c r="B177" i="4"/>
  <c r="C176" i="4"/>
  <c r="B176" i="4"/>
  <c r="C175" i="4"/>
  <c r="B175" i="4"/>
  <c r="C174" i="4"/>
  <c r="B174" i="4"/>
  <c r="C173" i="4"/>
  <c r="B173" i="4"/>
  <c r="C172" i="4"/>
  <c r="B172" i="4"/>
  <c r="C171" i="4"/>
  <c r="B171" i="4"/>
  <c r="C170" i="4"/>
  <c r="B170" i="4"/>
  <c r="C169" i="4"/>
  <c r="B169" i="4"/>
  <c r="C168" i="4"/>
  <c r="B168" i="4"/>
  <c r="C167" i="4"/>
  <c r="B167" i="4"/>
  <c r="C166" i="4"/>
  <c r="B166" i="4"/>
  <c r="C165" i="4"/>
  <c r="B165" i="4"/>
  <c r="C164" i="4"/>
  <c r="B164" i="4"/>
  <c r="C163" i="4"/>
  <c r="B163" i="4"/>
  <c r="C162" i="4"/>
  <c r="B162" i="4"/>
  <c r="C161" i="4"/>
  <c r="C160" i="4"/>
  <c r="B160" i="4"/>
  <c r="C159" i="4"/>
  <c r="B159" i="4"/>
  <c r="C158" i="4"/>
  <c r="B158" i="4"/>
  <c r="C157" i="4"/>
  <c r="B157" i="4"/>
  <c r="C156" i="4"/>
  <c r="B156" i="4"/>
  <c r="C155" i="4"/>
  <c r="B155" i="4"/>
  <c r="C154" i="4"/>
  <c r="B154" i="4"/>
  <c r="C153" i="4"/>
  <c r="B153" i="4"/>
  <c r="C152" i="4"/>
  <c r="B152" i="4"/>
  <c r="C151" i="4"/>
  <c r="B151" i="4"/>
  <c r="C150" i="4"/>
  <c r="B150" i="4"/>
  <c r="C149" i="4"/>
  <c r="B149" i="4"/>
  <c r="C148" i="4"/>
  <c r="B148" i="4"/>
  <c r="C147" i="4"/>
  <c r="B147" i="4"/>
  <c r="C146" i="4"/>
  <c r="B146" i="4"/>
  <c r="C145" i="4"/>
  <c r="B145" i="4"/>
  <c r="C144" i="4"/>
  <c r="B144" i="4"/>
  <c r="C143" i="4"/>
  <c r="B143" i="4"/>
  <c r="C142" i="4"/>
  <c r="B142" i="4"/>
  <c r="C141" i="4"/>
  <c r="B141" i="4"/>
  <c r="C140" i="4"/>
  <c r="B140" i="4"/>
  <c r="C139" i="4"/>
  <c r="B139" i="4"/>
  <c r="C138" i="4"/>
  <c r="B138" i="4"/>
  <c r="C137" i="4"/>
  <c r="B137" i="4"/>
  <c r="C136" i="4"/>
  <c r="B136" i="4"/>
  <c r="C135" i="4"/>
  <c r="B135" i="4"/>
  <c r="C134" i="4"/>
  <c r="B134" i="4"/>
  <c r="C133" i="4"/>
  <c r="B133" i="4"/>
  <c r="C132" i="4"/>
  <c r="B132" i="4"/>
  <c r="C131" i="4"/>
  <c r="B131" i="4"/>
  <c r="C130" i="4"/>
  <c r="B130" i="4"/>
  <c r="C129" i="4"/>
  <c r="B129" i="4"/>
  <c r="C128" i="4"/>
  <c r="B128" i="4"/>
  <c r="C127" i="4"/>
  <c r="B127" i="4"/>
  <c r="C126" i="4"/>
  <c r="B126" i="4"/>
  <c r="C125" i="4"/>
  <c r="B125" i="4"/>
  <c r="C124" i="4"/>
  <c r="B124" i="4"/>
  <c r="C123" i="4"/>
  <c r="B123" i="4"/>
  <c r="C122" i="4"/>
  <c r="B122" i="4"/>
  <c r="C121" i="4"/>
  <c r="B121" i="4"/>
  <c r="C120" i="4"/>
  <c r="B120" i="4"/>
  <c r="C119" i="4"/>
  <c r="B119" i="4"/>
  <c r="C118" i="4"/>
  <c r="B118" i="4"/>
  <c r="C117" i="4"/>
  <c r="B117" i="4"/>
  <c r="C116" i="4"/>
  <c r="B116" i="4"/>
  <c r="C115" i="4"/>
  <c r="B115" i="4"/>
  <c r="C114" i="4"/>
  <c r="B114" i="4"/>
  <c r="C113" i="4"/>
  <c r="B113" i="4"/>
  <c r="C112" i="4"/>
  <c r="B112" i="4"/>
  <c r="C111" i="4"/>
  <c r="B111" i="4"/>
  <c r="C110" i="4"/>
  <c r="B110" i="4"/>
  <c r="C109" i="4"/>
  <c r="B109" i="4"/>
  <c r="C108" i="4"/>
  <c r="B108" i="4"/>
  <c r="C107" i="4"/>
  <c r="B107" i="4"/>
  <c r="C106" i="4"/>
  <c r="B106" i="4"/>
  <c r="C105" i="4"/>
  <c r="C104" i="4"/>
  <c r="B104" i="4"/>
  <c r="C103" i="4"/>
  <c r="B103" i="4"/>
  <c r="C102" i="4"/>
  <c r="B102" i="4"/>
  <c r="C101" i="4"/>
  <c r="B101" i="4"/>
  <c r="C100" i="4"/>
  <c r="B100" i="4"/>
  <c r="C99" i="4"/>
  <c r="B99" i="4"/>
  <c r="C98" i="4"/>
  <c r="B98" i="4"/>
  <c r="C97" i="4"/>
  <c r="B97" i="4"/>
  <c r="C96" i="4"/>
  <c r="B96" i="4"/>
  <c r="C95" i="4"/>
  <c r="B95" i="4"/>
  <c r="C94" i="4"/>
  <c r="B94" i="4"/>
  <c r="C93" i="4"/>
  <c r="B93" i="4"/>
  <c r="C92" i="4"/>
  <c r="B92" i="4"/>
  <c r="C91" i="4"/>
  <c r="B91" i="4"/>
  <c r="C90" i="4"/>
  <c r="B90" i="4"/>
  <c r="C89" i="4"/>
  <c r="B89" i="4"/>
  <c r="C88" i="4"/>
  <c r="B88" i="4"/>
  <c r="C87" i="4"/>
  <c r="B87" i="4"/>
  <c r="C86" i="4"/>
  <c r="B86" i="4"/>
  <c r="C85" i="4"/>
  <c r="B85" i="4"/>
  <c r="C84" i="4"/>
  <c r="B84" i="4"/>
  <c r="C83" i="4"/>
  <c r="B83" i="4"/>
  <c r="C82" i="4"/>
  <c r="B82" i="4"/>
  <c r="C81" i="4"/>
  <c r="B81" i="4"/>
  <c r="C80" i="4"/>
  <c r="B80" i="4"/>
  <c r="C79" i="4"/>
  <c r="B79" i="4"/>
  <c r="C78" i="4"/>
  <c r="B78" i="4"/>
  <c r="C77" i="4"/>
  <c r="B77" i="4"/>
  <c r="C76" i="4"/>
  <c r="B76" i="4"/>
  <c r="C75" i="4"/>
  <c r="B75" i="4"/>
  <c r="C74" i="4"/>
  <c r="B74" i="4"/>
  <c r="C73" i="4"/>
  <c r="B73" i="4"/>
  <c r="C72" i="4"/>
  <c r="B72" i="4"/>
  <c r="C71" i="4"/>
  <c r="B71" i="4"/>
  <c r="C70" i="4"/>
  <c r="B70" i="4"/>
  <c r="C69" i="4"/>
  <c r="B69" i="4"/>
  <c r="C68" i="4"/>
  <c r="B68" i="4"/>
  <c r="C67" i="4"/>
  <c r="B67" i="4"/>
  <c r="C66" i="4"/>
  <c r="B66" i="4"/>
  <c r="C65" i="4"/>
  <c r="B65" i="4"/>
  <c r="C64" i="4"/>
  <c r="B64" i="4"/>
  <c r="C63" i="4"/>
  <c r="B63" i="4"/>
  <c r="C62" i="4"/>
  <c r="B62" i="4"/>
  <c r="C61" i="4"/>
  <c r="B61" i="4"/>
  <c r="C60" i="4"/>
  <c r="B60" i="4"/>
  <c r="C59" i="4"/>
  <c r="B59" i="4"/>
  <c r="C58" i="4"/>
  <c r="B58" i="4"/>
  <c r="C57" i="4"/>
  <c r="B57" i="4"/>
  <c r="C56" i="4"/>
  <c r="B56" i="4"/>
  <c r="C55" i="4"/>
  <c r="B55" i="4"/>
  <c r="C54" i="4"/>
  <c r="B54" i="4"/>
  <c r="C53" i="4"/>
  <c r="B53" i="4"/>
  <c r="C52" i="4"/>
  <c r="B52" i="4"/>
  <c r="C51" i="4"/>
  <c r="B51" i="4"/>
  <c r="C50" i="4"/>
  <c r="B50" i="4"/>
  <c r="C49" i="4"/>
  <c r="B49" i="4"/>
  <c r="C48" i="4"/>
  <c r="B48" i="4"/>
  <c r="C47" i="4"/>
  <c r="B47" i="4"/>
  <c r="C46" i="4"/>
  <c r="B46" i="4"/>
  <c r="C45" i="4"/>
  <c r="B45" i="4"/>
  <c r="C44" i="4"/>
  <c r="B44" i="4"/>
  <c r="C43" i="4"/>
  <c r="B43" i="4"/>
  <c r="C42" i="4"/>
  <c r="B42" i="4"/>
  <c r="C41" i="4"/>
  <c r="B41" i="4"/>
  <c r="C40" i="4"/>
  <c r="B40" i="4"/>
  <c r="C39" i="4"/>
  <c r="B39" i="4"/>
  <c r="C38" i="4"/>
  <c r="B38" i="4"/>
  <c r="C37" i="4"/>
  <c r="B37" i="4"/>
  <c r="C36" i="4"/>
  <c r="B36" i="4"/>
  <c r="C35" i="4"/>
  <c r="B35" i="4"/>
  <c r="C34" i="4"/>
  <c r="B34" i="4"/>
  <c r="C33" i="4"/>
  <c r="B33" i="4"/>
  <c r="C32" i="4"/>
  <c r="B32" i="4"/>
  <c r="C31" i="4"/>
  <c r="B31" i="4"/>
  <c r="C30" i="4"/>
  <c r="B30" i="4"/>
  <c r="C29" i="4"/>
  <c r="B29" i="4"/>
  <c r="C28" i="4"/>
  <c r="B28" i="4"/>
  <c r="C27" i="4"/>
  <c r="B27" i="4"/>
  <c r="C26" i="4"/>
  <c r="B26" i="4"/>
  <c r="C25" i="4"/>
  <c r="B25" i="4"/>
  <c r="C24" i="4"/>
  <c r="B24" i="4"/>
  <c r="C23" i="4"/>
  <c r="B23" i="4"/>
  <c r="C22" i="4"/>
  <c r="B22" i="4"/>
  <c r="C21" i="4"/>
  <c r="B21" i="4"/>
  <c r="C20" i="4"/>
  <c r="B20" i="4"/>
  <c r="C19" i="4"/>
  <c r="B19" i="4"/>
  <c r="C18" i="4"/>
  <c r="B18" i="4"/>
  <c r="C17" i="4"/>
  <c r="B17" i="4"/>
  <c r="C16" i="4"/>
  <c r="B16" i="4"/>
  <c r="C15" i="4"/>
  <c r="B15" i="4"/>
  <c r="C14" i="4"/>
  <c r="B14" i="4"/>
  <c r="C13" i="4"/>
  <c r="B13" i="4"/>
  <c r="C12" i="4"/>
  <c r="B12" i="4"/>
  <c r="C11" i="4"/>
  <c r="B11" i="4"/>
  <c r="C10" i="4"/>
  <c r="B10" i="4"/>
  <c r="C9" i="4"/>
  <c r="B9" i="4"/>
  <c r="C8" i="4"/>
  <c r="B8" i="4"/>
  <c r="C7" i="4"/>
  <c r="B7" i="4"/>
  <c r="C6" i="4"/>
  <c r="B6" i="4"/>
  <c r="C5" i="4"/>
  <c r="B5" i="4"/>
  <c r="C4" i="4"/>
  <c r="B4" i="4"/>
  <c r="C3" i="4"/>
  <c r="B3" i="4"/>
  <c r="D1243" i="2"/>
  <c r="C1243" i="2"/>
  <c r="B1243" i="2"/>
  <c r="D1242" i="2"/>
  <c r="C1242" i="2"/>
  <c r="B1242" i="2"/>
  <c r="D1241" i="2"/>
  <c r="C1241" i="2"/>
  <c r="B1241" i="2"/>
  <c r="D1240" i="2"/>
  <c r="C1240" i="2"/>
  <c r="B1240" i="2"/>
  <c r="D1239" i="2"/>
  <c r="C1239" i="2"/>
  <c r="B1239" i="2"/>
  <c r="D1238" i="2"/>
  <c r="C1238" i="2"/>
  <c r="B1238" i="2"/>
  <c r="D1237" i="2"/>
  <c r="C1237" i="2"/>
  <c r="B1237" i="2"/>
  <c r="D1236" i="2"/>
  <c r="C1236" i="2"/>
  <c r="B1236" i="2"/>
  <c r="D1235" i="2"/>
  <c r="C1235" i="2"/>
  <c r="B1235" i="2"/>
  <c r="D1234" i="2"/>
  <c r="C1234" i="2"/>
  <c r="B1234" i="2"/>
  <c r="D1233" i="2"/>
  <c r="C1233" i="2"/>
  <c r="B1233" i="2"/>
  <c r="D1232" i="2"/>
  <c r="C1232" i="2"/>
  <c r="B1232" i="2"/>
  <c r="D1231" i="2"/>
  <c r="C1231" i="2"/>
  <c r="B1231" i="2"/>
  <c r="D1230" i="2"/>
  <c r="C1230" i="2"/>
  <c r="B1230" i="2"/>
  <c r="D1229" i="2"/>
  <c r="C1229" i="2"/>
  <c r="B1229" i="2"/>
  <c r="D1228" i="2"/>
  <c r="C1228" i="2"/>
  <c r="B1228" i="2"/>
  <c r="D1227" i="2"/>
  <c r="C1227" i="2"/>
  <c r="B1227" i="2"/>
  <c r="D1226" i="2"/>
  <c r="C1226" i="2"/>
  <c r="B1226" i="2"/>
  <c r="D1225" i="2"/>
  <c r="C1225" i="2"/>
  <c r="B1225" i="2"/>
  <c r="D1224" i="2"/>
  <c r="C1224" i="2"/>
  <c r="B1224" i="2"/>
  <c r="D1223" i="2"/>
  <c r="C1223" i="2"/>
  <c r="B1223" i="2"/>
  <c r="D1222" i="2"/>
  <c r="C1222" i="2"/>
  <c r="B1222" i="2"/>
  <c r="D1221" i="2"/>
  <c r="C1221" i="2"/>
  <c r="B1221" i="2"/>
  <c r="D1220" i="2"/>
  <c r="C1220" i="2"/>
  <c r="B1220" i="2"/>
  <c r="D1219" i="2"/>
  <c r="C1219" i="2"/>
  <c r="B1219" i="2"/>
  <c r="Q1242" i="1"/>
  <c r="U1242" i="1" s="1"/>
  <c r="D1218" i="2"/>
  <c r="C1218" i="2"/>
  <c r="B1218" i="2"/>
  <c r="Q1241" i="1"/>
  <c r="U1241" i="1" s="1"/>
  <c r="D1217" i="2"/>
  <c r="C1217" i="2"/>
  <c r="B1217" i="2"/>
  <c r="Q577" i="1"/>
  <c r="U577" i="1" s="1"/>
  <c r="D1216" i="2"/>
  <c r="C1216" i="2"/>
  <c r="B1216" i="2"/>
  <c r="Q576" i="1"/>
  <c r="U576" i="1" s="1"/>
  <c r="D1215" i="2"/>
  <c r="C1215" i="2"/>
  <c r="B1215" i="2"/>
  <c r="Q15" i="1"/>
  <c r="U15" i="1" s="1"/>
  <c r="D1214" i="2"/>
  <c r="C1214" i="2"/>
  <c r="B1214" i="2"/>
  <c r="Q817" i="1"/>
  <c r="U817" i="1" s="1"/>
  <c r="D1213" i="2"/>
  <c r="C1213" i="2"/>
  <c r="B1213" i="2"/>
  <c r="Q868" i="1"/>
  <c r="U868" i="1" s="1"/>
  <c r="D1212" i="2"/>
  <c r="C1212" i="2"/>
  <c r="B1212" i="2"/>
  <c r="Q859" i="1"/>
  <c r="U859" i="1" s="1"/>
  <c r="D1211" i="2"/>
  <c r="C1211" i="2"/>
  <c r="B1211" i="2"/>
  <c r="Q1414" i="1"/>
  <c r="U1414" i="1" s="1"/>
  <c r="D1210" i="2"/>
  <c r="C1210" i="2"/>
  <c r="B1210" i="2"/>
  <c r="Q200" i="1"/>
  <c r="U200" i="1" s="1"/>
  <c r="D1209" i="2"/>
  <c r="C1209" i="2"/>
  <c r="B1209" i="2"/>
  <c r="Q1367" i="1"/>
  <c r="U1367" i="1" s="1"/>
  <c r="D1208" i="2"/>
  <c r="C1208" i="2"/>
  <c r="B1208" i="2"/>
  <c r="Q263" i="1"/>
  <c r="U263" i="1" s="1"/>
  <c r="D1207" i="2"/>
  <c r="C1207" i="2"/>
  <c r="B1207" i="2"/>
  <c r="Q1291" i="1"/>
  <c r="U1291" i="1" s="1"/>
  <c r="D1206" i="2"/>
  <c r="C1206" i="2"/>
  <c r="B1206" i="2"/>
  <c r="Q294" i="1"/>
  <c r="U294" i="1" s="1"/>
  <c r="D1205" i="2"/>
  <c r="C1205" i="2"/>
  <c r="B1205" i="2"/>
  <c r="Q209" i="1"/>
  <c r="U209" i="1" s="1"/>
  <c r="D1204" i="2"/>
  <c r="C1204" i="2"/>
  <c r="B1204" i="2"/>
  <c r="Q293" i="1"/>
  <c r="U293" i="1" s="1"/>
  <c r="D1203" i="2"/>
  <c r="C1203" i="2"/>
  <c r="B1203" i="2"/>
  <c r="Q285" i="1"/>
  <c r="U285" i="1" s="1"/>
  <c r="D1202" i="2"/>
  <c r="C1202" i="2"/>
  <c r="B1202" i="2"/>
  <c r="Q284" i="1"/>
  <c r="U284" i="1" s="1"/>
  <c r="D1201" i="2"/>
  <c r="C1201" i="2"/>
  <c r="B1201" i="2"/>
  <c r="Q1124" i="1"/>
  <c r="U1124" i="1" s="1"/>
  <c r="D1200" i="2"/>
  <c r="C1200" i="2"/>
  <c r="B1200" i="2"/>
  <c r="Q1413" i="1"/>
  <c r="U1413" i="1" s="1"/>
  <c r="D1199" i="2"/>
  <c r="C1199" i="2"/>
  <c r="B1199" i="2"/>
  <c r="Q179" i="1"/>
  <c r="U179" i="1" s="1"/>
  <c r="D1198" i="2"/>
  <c r="C1198" i="2"/>
  <c r="B1198" i="2"/>
  <c r="Q1538" i="1"/>
  <c r="U1538" i="1" s="1"/>
  <c r="D1197" i="2"/>
  <c r="C1197" i="2"/>
  <c r="B1197" i="2"/>
  <c r="Q1419" i="1"/>
  <c r="U1419" i="1" s="1"/>
  <c r="D1196" i="2"/>
  <c r="C1196" i="2"/>
  <c r="B1196" i="2"/>
  <c r="Q816" i="1"/>
  <c r="U816" i="1" s="1"/>
  <c r="D1195" i="2"/>
  <c r="C1195" i="2"/>
  <c r="B1195" i="2"/>
  <c r="Q1247" i="1"/>
  <c r="U1247" i="1" s="1"/>
  <c r="D1194" i="2"/>
  <c r="C1194" i="2"/>
  <c r="B1194" i="2"/>
  <c r="Q1537" i="1"/>
  <c r="U1537" i="1" s="1"/>
  <c r="D1193" i="2"/>
  <c r="C1193" i="2"/>
  <c r="B1193" i="2"/>
  <c r="Q1536" i="1"/>
  <c r="U1536" i="1" s="1"/>
  <c r="D1192" i="2"/>
  <c r="C1192" i="2"/>
  <c r="B1192" i="2"/>
  <c r="Q1520" i="1"/>
  <c r="U1520" i="1" s="1"/>
  <c r="D1191" i="2"/>
  <c r="C1191" i="2"/>
  <c r="B1191" i="2"/>
  <c r="Q1290" i="1"/>
  <c r="U1290" i="1" s="1"/>
  <c r="D1190" i="2"/>
  <c r="C1190" i="2"/>
  <c r="B1190" i="2"/>
  <c r="Q1289" i="1"/>
  <c r="U1289" i="1" s="1"/>
  <c r="D1189" i="2"/>
  <c r="C1189" i="2"/>
  <c r="B1189" i="2"/>
  <c r="Q1060" i="1"/>
  <c r="U1060" i="1" s="1"/>
  <c r="D1188" i="2"/>
  <c r="C1188" i="2"/>
  <c r="B1188" i="2"/>
  <c r="Q1172" i="1"/>
  <c r="U1172" i="1" s="1"/>
  <c r="D1187" i="2"/>
  <c r="C1187" i="2"/>
  <c r="B1187" i="2"/>
  <c r="Q839" i="1"/>
  <c r="U839" i="1" s="1"/>
  <c r="D1186" i="2"/>
  <c r="C1186" i="2"/>
  <c r="B1186" i="2"/>
  <c r="Q1303" i="1"/>
  <c r="U1303" i="1" s="1"/>
  <c r="D1185" i="2"/>
  <c r="C1185" i="2"/>
  <c r="B1185" i="2"/>
  <c r="Q1278" i="1"/>
  <c r="U1278" i="1" s="1"/>
  <c r="D1184" i="2"/>
  <c r="C1184" i="2"/>
  <c r="B1184" i="2"/>
  <c r="Q1277" i="1"/>
  <c r="U1277" i="1" s="1"/>
  <c r="D1183" i="2"/>
  <c r="C1183" i="2"/>
  <c r="B1183" i="2"/>
  <c r="Q1265" i="1"/>
  <c r="U1265" i="1" s="1"/>
  <c r="D1182" i="2"/>
  <c r="C1182" i="2"/>
  <c r="B1182" i="2"/>
  <c r="Q1264" i="1"/>
  <c r="U1264" i="1" s="1"/>
  <c r="D1181" i="2"/>
  <c r="C1181" i="2"/>
  <c r="B1181" i="2"/>
  <c r="Q1263" i="1"/>
  <c r="U1263" i="1" s="1"/>
  <c r="D1180" i="2"/>
  <c r="C1180" i="2"/>
  <c r="B1180" i="2"/>
  <c r="Q1262" i="1"/>
  <c r="U1262" i="1" s="1"/>
  <c r="D1179" i="2"/>
  <c r="C1179" i="2"/>
  <c r="B1179" i="2"/>
  <c r="Q1261" i="1"/>
  <c r="U1261" i="1" s="1"/>
  <c r="D1178" i="2"/>
  <c r="C1178" i="2"/>
  <c r="B1178" i="2"/>
  <c r="Q1260" i="1"/>
  <c r="U1260" i="1" s="1"/>
  <c r="D1177" i="2"/>
  <c r="C1177" i="2"/>
  <c r="B1177" i="2"/>
  <c r="Q1259" i="1"/>
  <c r="U1259" i="1" s="1"/>
  <c r="D1176" i="2"/>
  <c r="C1176" i="2"/>
  <c r="B1176" i="2"/>
  <c r="Q1276" i="1"/>
  <c r="U1276" i="1" s="1"/>
  <c r="D1175" i="2"/>
  <c r="C1175" i="2"/>
  <c r="B1175" i="2"/>
  <c r="Q1288" i="1"/>
  <c r="U1288" i="1" s="1"/>
  <c r="D1174" i="2"/>
  <c r="C1174" i="2"/>
  <c r="B1174" i="2"/>
  <c r="D1173" i="2"/>
  <c r="C1173" i="2"/>
  <c r="D1172" i="2"/>
  <c r="C1172" i="2"/>
  <c r="B1172" i="2"/>
  <c r="D1171" i="2"/>
  <c r="C1171" i="2"/>
  <c r="B1171" i="2"/>
  <c r="D1170" i="2"/>
  <c r="C1170" i="2"/>
  <c r="B1170" i="2"/>
  <c r="D1169" i="2"/>
  <c r="C1169" i="2"/>
  <c r="B1169" i="2"/>
  <c r="D1168" i="2"/>
  <c r="C1168" i="2"/>
  <c r="B1168" i="2"/>
  <c r="D1167" i="2"/>
  <c r="C1167" i="2"/>
  <c r="B1167" i="2"/>
  <c r="Q1007" i="1"/>
  <c r="U1007" i="1" s="1"/>
  <c r="D1166" i="2"/>
  <c r="C1166" i="2"/>
  <c r="B1166" i="2"/>
  <c r="Q798" i="1"/>
  <c r="U798" i="1" s="1"/>
  <c r="D1165" i="2"/>
  <c r="C1165" i="2"/>
  <c r="B1165" i="2"/>
  <c r="Q779" i="1"/>
  <c r="U779" i="1" s="1"/>
  <c r="D1164" i="2"/>
  <c r="C1164" i="2"/>
  <c r="B1164" i="2"/>
  <c r="Q388" i="1"/>
  <c r="U388" i="1" s="1"/>
  <c r="D1163" i="2"/>
  <c r="C1163" i="2"/>
  <c r="B1163" i="2"/>
  <c r="Q997" i="1"/>
  <c r="U997" i="1" s="1"/>
  <c r="D1162" i="2"/>
  <c r="C1162" i="2"/>
  <c r="B1162" i="2"/>
  <c r="Q1210" i="1"/>
  <c r="U1210" i="1" s="1"/>
  <c r="D1161" i="2"/>
  <c r="C1161" i="2"/>
  <c r="B1161" i="2"/>
  <c r="Q1209" i="1"/>
  <c r="U1209" i="1" s="1"/>
  <c r="D1160" i="2"/>
  <c r="C1160" i="2"/>
  <c r="B1160" i="2"/>
  <c r="Q1208" i="1"/>
  <c r="U1208" i="1" s="1"/>
  <c r="D1159" i="2"/>
  <c r="C1159" i="2"/>
  <c r="B1159" i="2"/>
  <c r="Q1143" i="1"/>
  <c r="U1143" i="1" s="1"/>
  <c r="D1158" i="2"/>
  <c r="C1158" i="2"/>
  <c r="B1158" i="2"/>
  <c r="Q1142" i="1"/>
  <c r="U1142" i="1" s="1"/>
  <c r="D1157" i="2"/>
  <c r="C1157" i="2"/>
  <c r="B1157" i="2"/>
  <c r="Q1141" i="1"/>
  <c r="U1141" i="1" s="1"/>
  <c r="D1156" i="2"/>
  <c r="C1156" i="2"/>
  <c r="B1156" i="2"/>
  <c r="Q1123" i="1"/>
  <c r="U1123" i="1" s="1"/>
  <c r="D1155" i="2"/>
  <c r="C1155" i="2"/>
  <c r="B1155" i="2"/>
  <c r="Q733" i="1"/>
  <c r="U733" i="1" s="1"/>
  <c r="D1154" i="2"/>
  <c r="C1154" i="2"/>
  <c r="B1154" i="2"/>
  <c r="Q732" i="1"/>
  <c r="U732" i="1" s="1"/>
  <c r="D1153" i="2"/>
  <c r="C1153" i="2"/>
  <c r="B1153" i="2"/>
  <c r="Q464" i="1"/>
  <c r="U464" i="1" s="1"/>
  <c r="D1152" i="2"/>
  <c r="C1152" i="2"/>
  <c r="B1152" i="2"/>
  <c r="Q864" i="1"/>
  <c r="U864" i="1" s="1"/>
  <c r="D1151" i="2"/>
  <c r="C1151" i="2"/>
  <c r="B1151" i="2"/>
  <c r="Q1360" i="1"/>
  <c r="U1360" i="1" s="1"/>
  <c r="D1150" i="2"/>
  <c r="C1150" i="2"/>
  <c r="B1150" i="2"/>
  <c r="Q715" i="1"/>
  <c r="U715" i="1" s="1"/>
  <c r="D1149" i="2"/>
  <c r="C1149" i="2"/>
  <c r="B1149" i="2"/>
  <c r="Q688" i="1"/>
  <c r="U688" i="1" s="1"/>
  <c r="D1148" i="2"/>
  <c r="C1148" i="2"/>
  <c r="B1148" i="2"/>
  <c r="Q687" i="1"/>
  <c r="U687" i="1" s="1"/>
  <c r="D1147" i="2"/>
  <c r="C1147" i="2"/>
  <c r="B1147" i="2"/>
  <c r="Q714" i="1"/>
  <c r="U714" i="1" s="1"/>
  <c r="D1146" i="2"/>
  <c r="C1146" i="2"/>
  <c r="B1146" i="2"/>
  <c r="Q686" i="1"/>
  <c r="U686" i="1" s="1"/>
  <c r="D1145" i="2"/>
  <c r="C1145" i="2"/>
  <c r="B1145" i="2"/>
  <c r="Q875" i="1"/>
  <c r="U875" i="1" s="1"/>
  <c r="D1144" i="2"/>
  <c r="C1144" i="2"/>
  <c r="B1144" i="2"/>
  <c r="Q1207" i="1"/>
  <c r="U1207" i="1" s="1"/>
  <c r="D1143" i="2"/>
  <c r="C1143" i="2"/>
  <c r="B1143" i="2"/>
  <c r="Q1206" i="1"/>
  <c r="U1206" i="1" s="1"/>
  <c r="D1142" i="2"/>
  <c r="C1142" i="2"/>
  <c r="B1142" i="2"/>
  <c r="Q1200" i="1"/>
  <c r="U1200" i="1" s="1"/>
  <c r="D1141" i="2"/>
  <c r="C1141" i="2"/>
  <c r="B1141" i="2"/>
  <c r="Q1199" i="1"/>
  <c r="U1199" i="1" s="1"/>
  <c r="D1140" i="2"/>
  <c r="C1140" i="2"/>
  <c r="B1140" i="2"/>
  <c r="Q1161" i="1"/>
  <c r="U1161" i="1" s="1"/>
  <c r="D1139" i="2"/>
  <c r="C1139" i="2"/>
  <c r="B1139" i="2"/>
  <c r="Q751" i="1"/>
  <c r="U751" i="1" s="1"/>
  <c r="D1138" i="2"/>
  <c r="C1138" i="2"/>
  <c r="B1138" i="2"/>
  <c r="Q863" i="1"/>
  <c r="U863" i="1" s="1"/>
  <c r="D1137" i="2"/>
  <c r="C1137" i="2"/>
  <c r="B1137" i="2"/>
  <c r="Q1359" i="1"/>
  <c r="U1359" i="1" s="1"/>
  <c r="D1136" i="2"/>
  <c r="C1136" i="2"/>
  <c r="B1136" i="2"/>
  <c r="Q1337" i="1"/>
  <c r="U1337" i="1" s="1"/>
  <c r="D1135" i="2"/>
  <c r="C1135" i="2"/>
  <c r="B1135" i="2"/>
  <c r="Q1016" i="1"/>
  <c r="U1016" i="1" s="1"/>
  <c r="D1134" i="2"/>
  <c r="C1134" i="2"/>
  <c r="B1134" i="2"/>
  <c r="Q647" i="1"/>
  <c r="U647" i="1" s="1"/>
  <c r="D1133" i="2"/>
  <c r="C1133" i="2"/>
  <c r="B1133" i="2"/>
  <c r="Q670" i="1"/>
  <c r="D1132" i="2"/>
  <c r="C1132" i="2"/>
  <c r="B1132" i="2"/>
  <c r="Q646" i="1"/>
  <c r="U646" i="1" s="1"/>
  <c r="D1131" i="2"/>
  <c r="C1131" i="2"/>
  <c r="B1131" i="2"/>
  <c r="Q1453" i="1"/>
  <c r="D1130" i="2"/>
  <c r="C1130" i="2"/>
  <c r="B1130" i="2"/>
  <c r="Q785" i="1"/>
  <c r="D1129" i="2"/>
  <c r="C1129" i="2"/>
  <c r="B1129" i="2"/>
  <c r="Q1245" i="1"/>
  <c r="D1128" i="2"/>
  <c r="C1128" i="2"/>
  <c r="B1128" i="2"/>
  <c r="Q996" i="1"/>
  <c r="U996" i="1" s="1"/>
  <c r="D1127" i="2"/>
  <c r="C1127" i="2"/>
  <c r="B1127" i="2"/>
  <c r="Q958" i="1"/>
  <c r="U958" i="1" s="1"/>
  <c r="D1126" i="2"/>
  <c r="C1126" i="2"/>
  <c r="B1126" i="2"/>
  <c r="Q957" i="1"/>
  <c r="U957" i="1" s="1"/>
  <c r="D1125" i="2"/>
  <c r="C1125" i="2"/>
  <c r="B1125" i="2"/>
  <c r="Q116" i="1"/>
  <c r="D1124" i="2"/>
  <c r="C1124" i="2"/>
  <c r="B1124" i="2"/>
  <c r="Q115" i="1"/>
  <c r="U115" i="1" s="1"/>
  <c r="D1123" i="2"/>
  <c r="C1123" i="2"/>
  <c r="B1123" i="2"/>
  <c r="Q1452" i="1"/>
  <c r="D1122" i="2"/>
  <c r="C1122" i="2"/>
  <c r="B1122" i="2"/>
  <c r="Q230" i="1"/>
  <c r="D1121" i="2"/>
  <c r="C1121" i="2"/>
  <c r="B1121" i="2"/>
  <c r="Q262" i="1"/>
  <c r="D1120" i="2"/>
  <c r="C1120" i="2"/>
  <c r="B1120" i="2"/>
  <c r="Q229" i="1"/>
  <c r="D1119" i="2"/>
  <c r="C1119" i="2"/>
  <c r="B1119" i="2"/>
  <c r="Q480" i="1"/>
  <c r="U480" i="1" s="1"/>
  <c r="D1118" i="2"/>
  <c r="C1118" i="2"/>
  <c r="B1118" i="2"/>
  <c r="Q8" i="1"/>
  <c r="U8" i="1" s="1"/>
  <c r="D1117" i="2"/>
  <c r="C1117" i="2"/>
  <c r="B1117" i="2"/>
  <c r="Q502" i="1"/>
  <c r="U502" i="1" s="1"/>
  <c r="D1116" i="2"/>
  <c r="C1116" i="2"/>
  <c r="B1116" i="2"/>
  <c r="Q493" i="1"/>
  <c r="U493" i="1" s="1"/>
  <c r="D1115" i="2"/>
  <c r="C1115" i="2"/>
  <c r="B1115" i="2"/>
  <c r="Q228" i="1"/>
  <c r="U228" i="1" s="1"/>
  <c r="D1114" i="2"/>
  <c r="C1114" i="2"/>
  <c r="B1114" i="2"/>
  <c r="Q220" i="1"/>
  <c r="D1113" i="2"/>
  <c r="C1113" i="2"/>
  <c r="B1113" i="2"/>
  <c r="Q283" i="1"/>
  <c r="D1112" i="2"/>
  <c r="C1112" i="2"/>
  <c r="B1112" i="2"/>
  <c r="Q261" i="1"/>
  <c r="U261" i="1" s="1"/>
  <c r="D1111" i="2"/>
  <c r="C1111" i="2"/>
  <c r="B1111" i="2"/>
  <c r="Q86" i="1"/>
  <c r="U86" i="1" s="1"/>
  <c r="D1110" i="2"/>
  <c r="C1110" i="2"/>
  <c r="B1110" i="2"/>
  <c r="Q127" i="1"/>
  <c r="U127" i="1" s="1"/>
  <c r="D1109" i="2"/>
  <c r="C1109" i="2"/>
  <c r="B1109" i="2"/>
  <c r="Q85" i="1"/>
  <c r="U85" i="1" s="1"/>
  <c r="D1108" i="2"/>
  <c r="C1108" i="2"/>
  <c r="B1108" i="2"/>
  <c r="Q84" i="1"/>
  <c r="D1107" i="2"/>
  <c r="C1107" i="2"/>
  <c r="B1107" i="2"/>
  <c r="Q312" i="1"/>
  <c r="U312" i="1" s="1"/>
  <c r="D1106" i="2"/>
  <c r="C1106" i="2"/>
  <c r="B1106" i="2"/>
  <c r="Q105" i="1"/>
  <c r="D1105" i="2"/>
  <c r="C1105" i="2"/>
  <c r="B1105" i="2"/>
  <c r="Q60" i="1"/>
  <c r="D1104" i="2"/>
  <c r="C1104" i="2"/>
  <c r="B1104" i="2"/>
  <c r="Q477" i="1"/>
  <c r="D1103" i="2"/>
  <c r="C1103" i="2"/>
  <c r="B1103" i="2"/>
  <c r="Q654" i="1"/>
  <c r="U654" i="1" s="1"/>
  <c r="D1102" i="2"/>
  <c r="C1102" i="2"/>
  <c r="B1102" i="2"/>
  <c r="Q653" i="1"/>
  <c r="U653" i="1" s="1"/>
  <c r="D1101" i="2"/>
  <c r="C1101" i="2"/>
  <c r="B1101" i="2"/>
  <c r="Q896" i="1"/>
  <c r="U896" i="1" s="1"/>
  <c r="D1100" i="2"/>
  <c r="C1100" i="2"/>
  <c r="B1100" i="2"/>
  <c r="Q1501" i="1"/>
  <c r="D1099" i="2"/>
  <c r="C1099" i="2"/>
  <c r="B1099" i="2"/>
  <c r="Q1500" i="1"/>
  <c r="U1500" i="1" s="1"/>
  <c r="D1098" i="2"/>
  <c r="C1098" i="2"/>
  <c r="B1098" i="2"/>
  <c r="Q1499" i="1"/>
  <c r="U1499" i="1" s="1"/>
  <c r="D1097" i="2"/>
  <c r="C1097" i="2"/>
  <c r="B1097" i="2"/>
  <c r="Q1498" i="1"/>
  <c r="U1498" i="1" s="1"/>
  <c r="D1096" i="2"/>
  <c r="C1096" i="2"/>
  <c r="B1096" i="2"/>
  <c r="Q1497" i="1"/>
  <c r="U1497" i="1" s="1"/>
  <c r="D1095" i="2"/>
  <c r="C1095" i="2"/>
  <c r="B1095" i="2"/>
  <c r="Q1496" i="1"/>
  <c r="U1496" i="1" s="1"/>
  <c r="D1094" i="2"/>
  <c r="C1094" i="2"/>
  <c r="B1094" i="2"/>
  <c r="Q1495" i="1"/>
  <c r="U1495" i="1" s="1"/>
  <c r="D1093" i="2"/>
  <c r="C1093" i="2"/>
  <c r="B1093" i="2"/>
  <c r="Q1051" i="1"/>
  <c r="D1092" i="2"/>
  <c r="C1092" i="2"/>
  <c r="B1092" i="2"/>
  <c r="Q208" i="1"/>
  <c r="D1091" i="2"/>
  <c r="C1091" i="2"/>
  <c r="B1091" i="2"/>
  <c r="Q207" i="1"/>
  <c r="U207" i="1" s="1"/>
  <c r="D1090" i="2"/>
  <c r="C1090" i="2"/>
  <c r="B1090" i="2"/>
  <c r="Q321" i="1"/>
  <c r="U321" i="1" s="1"/>
  <c r="D1089" i="2"/>
  <c r="C1089" i="2"/>
  <c r="B1089" i="2"/>
  <c r="Q151" i="1"/>
  <c r="U151" i="1" s="1"/>
  <c r="D1088" i="2"/>
  <c r="C1088" i="2"/>
  <c r="B1088" i="2"/>
  <c r="Q29" i="1"/>
  <c r="U29" i="1" s="1"/>
  <c r="D1087" i="2"/>
  <c r="C1087" i="2"/>
  <c r="B1087" i="2"/>
  <c r="Q28" i="1"/>
  <c r="U28" i="1" s="1"/>
  <c r="D1086" i="2"/>
  <c r="C1086" i="2"/>
  <c r="B1086" i="2"/>
  <c r="Q27" i="1"/>
  <c r="U27" i="1" s="1"/>
  <c r="D1085" i="2"/>
  <c r="C1085" i="2"/>
  <c r="B1085" i="2"/>
  <c r="Q1494" i="1"/>
  <c r="U1494" i="1" s="1"/>
  <c r="D1084" i="2"/>
  <c r="C1084" i="2"/>
  <c r="B1084" i="2"/>
  <c r="Q618" i="1"/>
  <c r="U618" i="1" s="1"/>
  <c r="D1083" i="2"/>
  <c r="C1083" i="2"/>
  <c r="B1083" i="2"/>
  <c r="Q617" i="1"/>
  <c r="U617" i="1" s="1"/>
  <c r="D1082" i="2"/>
  <c r="C1082" i="2"/>
  <c r="B1082" i="2"/>
  <c r="Q616" i="1"/>
  <c r="U616" i="1" s="1"/>
  <c r="D1081" i="2"/>
  <c r="C1081" i="2"/>
  <c r="B1081" i="2"/>
  <c r="Q615" i="1"/>
  <c r="U615" i="1" s="1"/>
  <c r="D1080" i="2"/>
  <c r="C1080" i="2"/>
  <c r="B1080" i="2"/>
  <c r="Q1409" i="1"/>
  <c r="U1409" i="1" s="1"/>
  <c r="D1079" i="2"/>
  <c r="C1079" i="2"/>
  <c r="B1079" i="2"/>
  <c r="Q1408" i="1"/>
  <c r="U1408" i="1" s="1"/>
  <c r="D1078" i="2"/>
  <c r="C1078" i="2"/>
  <c r="B1078" i="2"/>
  <c r="Q1407" i="1"/>
  <c r="U1407" i="1" s="1"/>
  <c r="D1077" i="2"/>
  <c r="C1077" i="2"/>
  <c r="B1077" i="2"/>
  <c r="Q837" i="1"/>
  <c r="U837" i="1" s="1"/>
  <c r="D1076" i="2"/>
  <c r="C1076" i="2"/>
  <c r="B1076" i="2"/>
  <c r="Q836" i="1"/>
  <c r="U836" i="1" s="1"/>
  <c r="D1075" i="2"/>
  <c r="C1075" i="2"/>
  <c r="B1075" i="2"/>
  <c r="Q1406" i="1"/>
  <c r="U1406" i="1" s="1"/>
  <c r="D1074" i="2"/>
  <c r="C1074" i="2"/>
  <c r="B1074" i="2"/>
  <c r="Q1405" i="1"/>
  <c r="U1405" i="1" s="1"/>
  <c r="D1073" i="2"/>
  <c r="C1073" i="2"/>
  <c r="B1073" i="2"/>
  <c r="Q1404" i="1"/>
  <c r="U1404" i="1" s="1"/>
  <c r="D1072" i="2"/>
  <c r="C1072" i="2"/>
  <c r="B1072" i="2"/>
  <c r="Q1403" i="1"/>
  <c r="U1403" i="1" s="1"/>
  <c r="D1071" i="2"/>
  <c r="C1071" i="2"/>
  <c r="B1071" i="2"/>
  <c r="Q1402" i="1"/>
  <c r="U1402" i="1" s="1"/>
  <c r="D1070" i="2"/>
  <c r="C1070" i="2"/>
  <c r="B1070" i="2"/>
  <c r="Q1236" i="1"/>
  <c r="U1236" i="1" s="1"/>
  <c r="D1069" i="2"/>
  <c r="C1069" i="2"/>
  <c r="B1069" i="2"/>
  <c r="Q1235" i="1"/>
  <c r="D1068" i="2"/>
  <c r="C1068" i="2"/>
  <c r="B1068" i="2"/>
  <c r="Q1401" i="1"/>
  <c r="U1401" i="1" s="1"/>
  <c r="D1067" i="2"/>
  <c r="C1067" i="2"/>
  <c r="B1067" i="2"/>
  <c r="Q1240" i="1"/>
  <c r="U1240" i="1" s="1"/>
  <c r="D1066" i="2"/>
  <c r="C1066" i="2"/>
  <c r="B1066" i="2"/>
  <c r="Q862" i="1"/>
  <c r="U862" i="1" s="1"/>
  <c r="D1065" i="2"/>
  <c r="C1065" i="2"/>
  <c r="B1065" i="2"/>
  <c r="Q995" i="1"/>
  <c r="U995" i="1" s="1"/>
  <c r="D1064" i="2"/>
  <c r="C1064" i="2"/>
  <c r="B1064" i="2"/>
  <c r="Q614" i="1"/>
  <c r="U614" i="1" s="1"/>
  <c r="D1063" i="2"/>
  <c r="C1063" i="2"/>
  <c r="B1063" i="2"/>
  <c r="Q613" i="1"/>
  <c r="U613" i="1" s="1"/>
  <c r="D1062" i="2"/>
  <c r="C1062" i="2"/>
  <c r="B1062" i="2"/>
  <c r="Q1378" i="1"/>
  <c r="U1378" i="1" s="1"/>
  <c r="D1061" i="2"/>
  <c r="C1061" i="2"/>
  <c r="B1061" i="2"/>
  <c r="Q173" i="1"/>
  <c r="U173" i="1" s="1"/>
  <c r="D1060" i="2"/>
  <c r="C1060" i="2"/>
  <c r="B1060" i="2"/>
  <c r="Q172" i="1"/>
  <c r="U172" i="1" s="1"/>
  <c r="D1059" i="2"/>
  <c r="C1059" i="2"/>
  <c r="B1059" i="2"/>
  <c r="Q83" i="1"/>
  <c r="D1058" i="2"/>
  <c r="C1058" i="2"/>
  <c r="B1058" i="2"/>
  <c r="Q82" i="1"/>
  <c r="U82" i="1" s="1"/>
  <c r="D1057" i="2"/>
  <c r="C1057" i="2"/>
  <c r="B1057" i="2"/>
  <c r="Q81" i="1"/>
  <c r="D1056" i="2"/>
  <c r="C1056" i="2"/>
  <c r="D1055" i="2"/>
  <c r="C1055" i="2"/>
  <c r="B1055" i="2"/>
  <c r="D1054" i="2"/>
  <c r="C1054" i="2"/>
  <c r="B1054" i="2"/>
  <c r="D1053" i="2"/>
  <c r="C1053" i="2"/>
  <c r="B1053" i="2"/>
  <c r="D1052" i="2"/>
  <c r="C1052" i="2"/>
  <c r="B1052" i="2"/>
  <c r="D1051" i="2"/>
  <c r="C1051" i="2"/>
  <c r="B1051" i="2"/>
  <c r="D1050" i="2"/>
  <c r="C1050" i="2"/>
  <c r="B1050" i="2"/>
  <c r="D1049" i="2"/>
  <c r="C1049" i="2"/>
  <c r="B1049" i="2"/>
  <c r="D1048" i="2"/>
  <c r="C1048" i="2"/>
  <c r="B1048" i="2"/>
  <c r="D1047" i="2"/>
  <c r="C1047" i="2"/>
  <c r="B1047" i="2"/>
  <c r="D1046" i="2"/>
  <c r="C1046" i="2"/>
  <c r="B1046" i="2"/>
  <c r="D1045" i="2"/>
  <c r="C1045" i="2"/>
  <c r="D1044" i="2"/>
  <c r="C1044" i="2"/>
  <c r="B1044" i="2"/>
  <c r="D1043" i="2"/>
  <c r="C1043" i="2"/>
  <c r="B1043" i="2"/>
  <c r="D1042" i="2"/>
  <c r="C1042" i="2"/>
  <c r="B1042" i="2"/>
  <c r="D1041" i="2"/>
  <c r="C1041" i="2"/>
  <c r="B1041" i="2"/>
  <c r="D1040" i="2"/>
  <c r="C1040" i="2"/>
  <c r="B1040" i="2"/>
  <c r="D1039" i="2"/>
  <c r="C1039" i="2"/>
  <c r="B1039" i="2"/>
  <c r="D1038" i="2"/>
  <c r="C1038" i="2"/>
  <c r="B1038" i="2"/>
  <c r="D1037" i="2"/>
  <c r="C1037" i="2"/>
  <c r="B1037" i="2"/>
  <c r="D1036" i="2"/>
  <c r="C1036" i="2"/>
  <c r="B1036" i="2"/>
  <c r="D1035" i="2"/>
  <c r="C1035" i="2"/>
  <c r="B1035" i="2"/>
  <c r="D1034" i="2"/>
  <c r="C1034" i="2"/>
  <c r="B1034" i="2"/>
  <c r="D1033" i="2"/>
  <c r="C1033" i="2"/>
  <c r="B1033" i="2"/>
  <c r="D1032" i="2"/>
  <c r="C1032" i="2"/>
  <c r="B1032" i="2"/>
  <c r="D1031" i="2"/>
  <c r="C1031" i="2"/>
  <c r="B1031" i="2"/>
  <c r="D1030" i="2"/>
  <c r="C1030" i="2"/>
  <c r="B1030" i="2"/>
  <c r="D1029" i="2"/>
  <c r="C1029" i="2"/>
  <c r="B1029" i="2"/>
  <c r="D1028" i="2"/>
  <c r="C1028" i="2"/>
  <c r="B1028" i="2"/>
  <c r="D1027" i="2"/>
  <c r="C1027" i="2"/>
  <c r="B1027" i="2"/>
  <c r="D1026" i="2"/>
  <c r="C1026" i="2"/>
  <c r="B1026" i="2"/>
  <c r="D1025" i="2"/>
  <c r="C1025" i="2"/>
  <c r="B1025" i="2"/>
  <c r="D1024" i="2"/>
  <c r="C1024" i="2"/>
  <c r="B1024" i="2"/>
  <c r="D1023" i="2"/>
  <c r="C1023" i="2"/>
  <c r="B1023" i="2"/>
  <c r="D1022" i="2"/>
  <c r="C1022" i="2"/>
  <c r="B1022" i="2"/>
  <c r="D1021" i="2"/>
  <c r="C1021" i="2"/>
  <c r="B1021" i="2"/>
  <c r="D1020" i="2"/>
  <c r="C1020" i="2"/>
  <c r="B1020" i="2"/>
  <c r="D1019" i="2"/>
  <c r="C1019" i="2"/>
  <c r="B1019" i="2"/>
  <c r="D1018" i="2"/>
  <c r="C1018" i="2"/>
  <c r="B1018" i="2"/>
  <c r="D1017" i="2"/>
  <c r="C1017" i="2"/>
  <c r="B1017" i="2"/>
  <c r="D1016" i="2"/>
  <c r="C1016" i="2"/>
  <c r="B1016" i="2"/>
  <c r="D1015" i="2"/>
  <c r="C1015" i="2"/>
  <c r="B1015" i="2"/>
  <c r="D1014" i="2"/>
  <c r="C1014" i="2"/>
  <c r="B1014" i="2"/>
  <c r="D1013" i="2"/>
  <c r="C1013" i="2"/>
  <c r="B1013" i="2"/>
  <c r="D1012" i="2"/>
  <c r="C1012" i="2"/>
  <c r="B1012" i="2"/>
  <c r="D1011" i="2"/>
  <c r="C1011" i="2"/>
  <c r="B1011" i="2"/>
  <c r="D1010" i="2"/>
  <c r="C1010" i="2"/>
  <c r="B1010" i="2"/>
  <c r="D1009" i="2"/>
  <c r="C1009" i="2"/>
  <c r="B1009" i="2"/>
  <c r="D1008" i="2"/>
  <c r="C1008" i="2"/>
  <c r="B1008" i="2"/>
  <c r="D1007" i="2"/>
  <c r="C1007" i="2"/>
  <c r="B1007" i="2"/>
  <c r="D1006" i="2"/>
  <c r="C1006" i="2"/>
  <c r="B1006" i="2"/>
  <c r="D1005" i="2"/>
  <c r="C1005" i="2"/>
  <c r="B1005" i="2"/>
  <c r="D1004" i="2"/>
  <c r="C1004" i="2"/>
  <c r="B1004" i="2"/>
  <c r="D1003" i="2"/>
  <c r="C1003" i="2"/>
  <c r="B1003" i="2"/>
  <c r="D1002" i="2"/>
  <c r="C1002" i="2"/>
  <c r="B1002" i="2"/>
  <c r="D1001" i="2"/>
  <c r="C1001" i="2"/>
  <c r="B1001" i="2"/>
  <c r="D1000" i="2"/>
  <c r="C1000" i="2"/>
  <c r="B1000" i="2"/>
  <c r="D999" i="2"/>
  <c r="C999" i="2"/>
  <c r="B999" i="2"/>
  <c r="D998" i="2"/>
  <c r="C998" i="2"/>
  <c r="B998" i="2"/>
  <c r="D997" i="2"/>
  <c r="C997" i="2"/>
  <c r="B997" i="2"/>
  <c r="D996" i="2"/>
  <c r="C996" i="2"/>
  <c r="B996" i="2"/>
  <c r="D995" i="2"/>
  <c r="C995" i="2"/>
  <c r="B995" i="2"/>
  <c r="D994" i="2"/>
  <c r="C994" i="2"/>
  <c r="B994" i="2"/>
  <c r="D993" i="2"/>
  <c r="C993" i="2"/>
  <c r="B993" i="2"/>
  <c r="D992" i="2"/>
  <c r="C992" i="2"/>
  <c r="B992" i="2"/>
  <c r="D991" i="2"/>
  <c r="C991" i="2"/>
  <c r="B991" i="2"/>
  <c r="D990" i="2"/>
  <c r="C990" i="2"/>
  <c r="B990" i="2"/>
  <c r="D989" i="2"/>
  <c r="C989" i="2"/>
  <c r="B989" i="2"/>
  <c r="D988" i="2"/>
  <c r="C988" i="2"/>
  <c r="B988" i="2"/>
  <c r="D987" i="2"/>
  <c r="C987" i="2"/>
  <c r="B987" i="2"/>
  <c r="D986" i="2"/>
  <c r="C986" i="2"/>
  <c r="B986" i="2"/>
  <c r="D985" i="2"/>
  <c r="C985" i="2"/>
  <c r="B985" i="2"/>
  <c r="D984" i="2"/>
  <c r="C984" i="2"/>
  <c r="B984" i="2"/>
  <c r="D983" i="2"/>
  <c r="C983" i="2"/>
  <c r="B983" i="2"/>
  <c r="D982" i="2"/>
  <c r="C982" i="2"/>
  <c r="B982" i="2"/>
  <c r="D981" i="2"/>
  <c r="C981" i="2"/>
  <c r="B981" i="2"/>
  <c r="D980" i="2"/>
  <c r="C980" i="2"/>
  <c r="B980" i="2"/>
  <c r="D979" i="2"/>
  <c r="C979" i="2"/>
  <c r="B979" i="2"/>
  <c r="D978" i="2"/>
  <c r="C978" i="2"/>
  <c r="B978" i="2"/>
  <c r="D977" i="2"/>
  <c r="C977" i="2"/>
  <c r="B977" i="2"/>
  <c r="D976" i="2"/>
  <c r="C976" i="2"/>
  <c r="B976" i="2"/>
  <c r="D975" i="2"/>
  <c r="C975" i="2"/>
  <c r="B975" i="2"/>
  <c r="D974" i="2"/>
  <c r="C974" i="2"/>
  <c r="B974" i="2"/>
  <c r="D973" i="2"/>
  <c r="C973" i="2"/>
  <c r="B973" i="2"/>
  <c r="D972" i="2"/>
  <c r="C972" i="2"/>
  <c r="B972" i="2"/>
  <c r="D971" i="2"/>
  <c r="C971" i="2"/>
  <c r="B971" i="2"/>
  <c r="D970" i="2"/>
  <c r="C970" i="2"/>
  <c r="B970" i="2"/>
  <c r="D969" i="2"/>
  <c r="C969" i="2"/>
  <c r="B969" i="2"/>
  <c r="D968" i="2"/>
  <c r="C968" i="2"/>
  <c r="B968" i="2"/>
  <c r="D967" i="2"/>
  <c r="C967" i="2"/>
  <c r="B967" i="2"/>
  <c r="D966" i="2"/>
  <c r="C966" i="2"/>
  <c r="B966" i="2"/>
  <c r="D965" i="2"/>
  <c r="C965" i="2"/>
  <c r="B965" i="2"/>
  <c r="D964" i="2"/>
  <c r="C964" i="2"/>
  <c r="B964" i="2"/>
  <c r="D963" i="2"/>
  <c r="C963" i="2"/>
  <c r="B963" i="2"/>
  <c r="D962" i="2"/>
  <c r="C962" i="2"/>
  <c r="B962" i="2"/>
  <c r="D961" i="2"/>
  <c r="C961" i="2"/>
  <c r="B961" i="2"/>
  <c r="D960" i="2"/>
  <c r="C960" i="2"/>
  <c r="B960" i="2"/>
  <c r="D959" i="2"/>
  <c r="C959" i="2"/>
  <c r="B959" i="2"/>
  <c r="D958" i="2"/>
  <c r="C958" i="2"/>
  <c r="B958" i="2"/>
  <c r="D957" i="2"/>
  <c r="C957" i="2"/>
  <c r="B957" i="2"/>
  <c r="D956" i="2"/>
  <c r="C956" i="2"/>
  <c r="B956" i="2"/>
  <c r="D955" i="2"/>
  <c r="C955" i="2"/>
  <c r="B955" i="2"/>
  <c r="D954" i="2"/>
  <c r="C954" i="2"/>
  <c r="B954" i="2"/>
  <c r="D953" i="2"/>
  <c r="C953" i="2"/>
  <c r="B953" i="2"/>
  <c r="D952" i="2"/>
  <c r="C952" i="2"/>
  <c r="B952" i="2"/>
  <c r="D951" i="2"/>
  <c r="C951" i="2"/>
  <c r="B951" i="2"/>
  <c r="D950" i="2"/>
  <c r="C950" i="2"/>
  <c r="B950" i="2"/>
  <c r="D949" i="2"/>
  <c r="C949" i="2"/>
  <c r="B949" i="2"/>
  <c r="D948" i="2"/>
  <c r="C948" i="2"/>
  <c r="B948" i="2"/>
  <c r="D947" i="2"/>
  <c r="C947" i="2"/>
  <c r="B947" i="2"/>
  <c r="D946" i="2"/>
  <c r="C946" i="2"/>
  <c r="B946" i="2"/>
  <c r="D945" i="2"/>
  <c r="C945" i="2"/>
  <c r="B945" i="2"/>
  <c r="D944" i="2"/>
  <c r="C944" i="2"/>
  <c r="B944" i="2"/>
  <c r="D943" i="2"/>
  <c r="C943" i="2"/>
  <c r="B943" i="2"/>
  <c r="D942" i="2"/>
  <c r="C942" i="2"/>
  <c r="B942" i="2"/>
  <c r="D941" i="2"/>
  <c r="C941" i="2"/>
  <c r="B941" i="2"/>
  <c r="D940" i="2"/>
  <c r="C940" i="2"/>
  <c r="B940" i="2"/>
  <c r="D939" i="2"/>
  <c r="C939" i="2"/>
  <c r="B939" i="2"/>
  <c r="D938" i="2"/>
  <c r="C938" i="2"/>
  <c r="B938" i="2"/>
  <c r="D937" i="2"/>
  <c r="C937" i="2"/>
  <c r="B937" i="2"/>
  <c r="D936" i="2"/>
  <c r="C936" i="2"/>
  <c r="B936" i="2"/>
  <c r="D935" i="2"/>
  <c r="C935" i="2"/>
  <c r="B935" i="2"/>
  <c r="D934" i="2"/>
  <c r="C934" i="2"/>
  <c r="B934" i="2"/>
  <c r="D933" i="2"/>
  <c r="C933" i="2"/>
  <c r="B933" i="2"/>
  <c r="D932" i="2"/>
  <c r="C932" i="2"/>
  <c r="B932" i="2"/>
  <c r="D931" i="2"/>
  <c r="C931" i="2"/>
  <c r="B931" i="2"/>
  <c r="D930" i="2"/>
  <c r="C930" i="2"/>
  <c r="B930" i="2"/>
  <c r="D929" i="2"/>
  <c r="C929" i="2"/>
  <c r="B929" i="2"/>
  <c r="D928" i="2"/>
  <c r="C928" i="2"/>
  <c r="B928" i="2"/>
  <c r="D927" i="2"/>
  <c r="C927" i="2"/>
  <c r="B927" i="2"/>
  <c r="D926" i="2"/>
  <c r="C926" i="2"/>
  <c r="B926" i="2"/>
  <c r="D925" i="2"/>
  <c r="C925" i="2"/>
  <c r="B925" i="2"/>
  <c r="D924" i="2"/>
  <c r="C924" i="2"/>
  <c r="B924" i="2"/>
  <c r="D923" i="2"/>
  <c r="C923" i="2"/>
  <c r="B923" i="2"/>
  <c r="D922" i="2"/>
  <c r="C922" i="2"/>
  <c r="B922" i="2"/>
  <c r="D921" i="2"/>
  <c r="C921" i="2"/>
  <c r="B921" i="2"/>
  <c r="D920" i="2"/>
  <c r="C920" i="2"/>
  <c r="B920" i="2"/>
  <c r="D919" i="2"/>
  <c r="C919" i="2"/>
  <c r="B919" i="2"/>
  <c r="D918" i="2"/>
  <c r="C918" i="2"/>
  <c r="B918" i="2"/>
  <c r="D917" i="2"/>
  <c r="C917" i="2"/>
  <c r="B917" i="2"/>
  <c r="D916" i="2"/>
  <c r="C916" i="2"/>
  <c r="B916" i="2"/>
  <c r="D915" i="2"/>
  <c r="C915" i="2"/>
  <c r="B915" i="2"/>
  <c r="D914" i="2"/>
  <c r="C914" i="2"/>
  <c r="B914" i="2"/>
  <c r="D913" i="2"/>
  <c r="C913" i="2"/>
  <c r="B913" i="2"/>
  <c r="D912" i="2"/>
  <c r="C912" i="2"/>
  <c r="B912" i="2"/>
  <c r="D911" i="2"/>
  <c r="C911" i="2"/>
  <c r="B911" i="2"/>
  <c r="D910" i="2"/>
  <c r="C910" i="2"/>
  <c r="B910" i="2"/>
  <c r="D909" i="2"/>
  <c r="C909" i="2"/>
  <c r="B909" i="2"/>
  <c r="D908" i="2"/>
  <c r="C908" i="2"/>
  <c r="B908" i="2"/>
  <c r="D907" i="2"/>
  <c r="C907" i="2"/>
  <c r="B907" i="2"/>
  <c r="D906" i="2"/>
  <c r="C906" i="2"/>
  <c r="B906" i="2"/>
  <c r="D905" i="2"/>
  <c r="C905" i="2"/>
  <c r="B905" i="2"/>
  <c r="D904" i="2"/>
  <c r="C904" i="2"/>
  <c r="B904" i="2"/>
  <c r="D903" i="2"/>
  <c r="C903" i="2"/>
  <c r="B903" i="2"/>
  <c r="D902" i="2"/>
  <c r="C902" i="2"/>
  <c r="B902" i="2"/>
  <c r="D901" i="2"/>
  <c r="C901" i="2"/>
  <c r="B901" i="2"/>
  <c r="D900" i="2"/>
  <c r="C900" i="2"/>
  <c r="B900" i="2"/>
  <c r="D899" i="2"/>
  <c r="C899" i="2"/>
  <c r="B899" i="2"/>
  <c r="D898" i="2"/>
  <c r="C898" i="2"/>
  <c r="B898" i="2"/>
  <c r="D897" i="2"/>
  <c r="C897" i="2"/>
  <c r="B897" i="2"/>
  <c r="D896" i="2"/>
  <c r="C896" i="2"/>
  <c r="B896" i="2"/>
  <c r="D895" i="2"/>
  <c r="C895" i="2"/>
  <c r="B895" i="2"/>
  <c r="D894" i="2"/>
  <c r="C894" i="2"/>
  <c r="B894" i="2"/>
  <c r="D893" i="2"/>
  <c r="C893" i="2"/>
  <c r="B893" i="2"/>
  <c r="D892" i="2"/>
  <c r="C892" i="2"/>
  <c r="B892" i="2"/>
  <c r="D891" i="2"/>
  <c r="C891" i="2"/>
  <c r="B891" i="2"/>
  <c r="D890" i="2"/>
  <c r="C890" i="2"/>
  <c r="B890" i="2"/>
  <c r="D889" i="2"/>
  <c r="C889" i="2"/>
  <c r="B889" i="2"/>
  <c r="D888" i="2"/>
  <c r="C888" i="2"/>
  <c r="B888" i="2"/>
  <c r="D887" i="2"/>
  <c r="C887" i="2"/>
  <c r="B887" i="2"/>
  <c r="D886" i="2"/>
  <c r="C886" i="2"/>
  <c r="B886" i="2"/>
  <c r="D885" i="2"/>
  <c r="C885" i="2"/>
  <c r="B885" i="2"/>
  <c r="D884" i="2"/>
  <c r="C884" i="2"/>
  <c r="B884" i="2"/>
  <c r="D883" i="2"/>
  <c r="C883" i="2"/>
  <c r="B883" i="2"/>
  <c r="D882" i="2"/>
  <c r="C882" i="2"/>
  <c r="B882" i="2"/>
  <c r="D881" i="2"/>
  <c r="C881" i="2"/>
  <c r="B881" i="2"/>
  <c r="D880" i="2"/>
  <c r="C880" i="2"/>
  <c r="B880" i="2"/>
  <c r="D879" i="2"/>
  <c r="C879" i="2"/>
  <c r="B879" i="2"/>
  <c r="D878" i="2"/>
  <c r="C878" i="2"/>
  <c r="B878" i="2"/>
  <c r="D877" i="2"/>
  <c r="C877" i="2"/>
  <c r="B877" i="2"/>
  <c r="D876" i="2"/>
  <c r="C876" i="2"/>
  <c r="B876" i="2"/>
  <c r="D875" i="2"/>
  <c r="C875" i="2"/>
  <c r="B875" i="2"/>
  <c r="D874" i="2"/>
  <c r="C874" i="2"/>
  <c r="B874" i="2"/>
  <c r="D873" i="2"/>
  <c r="C873" i="2"/>
  <c r="B873" i="2"/>
  <c r="D872" i="2"/>
  <c r="C872" i="2"/>
  <c r="B872" i="2"/>
  <c r="D871" i="2"/>
  <c r="C871" i="2"/>
  <c r="B871" i="2"/>
  <c r="D870" i="2"/>
  <c r="C870" i="2"/>
  <c r="B870" i="2"/>
  <c r="D869" i="2"/>
  <c r="C869" i="2"/>
  <c r="B869" i="2"/>
  <c r="D868" i="2"/>
  <c r="C868" i="2"/>
  <c r="B868" i="2"/>
  <c r="D867" i="2"/>
  <c r="C867" i="2"/>
  <c r="B867" i="2"/>
  <c r="D866" i="2"/>
  <c r="C866" i="2"/>
  <c r="B866" i="2"/>
  <c r="D865" i="2"/>
  <c r="C865" i="2"/>
  <c r="B865" i="2"/>
  <c r="D864" i="2"/>
  <c r="C864" i="2"/>
  <c r="B864" i="2"/>
  <c r="D863" i="2"/>
  <c r="C863" i="2"/>
  <c r="B863" i="2"/>
  <c r="D862" i="2"/>
  <c r="C862" i="2"/>
  <c r="B862" i="2"/>
  <c r="D861" i="2"/>
  <c r="C861" i="2"/>
  <c r="B861" i="2"/>
  <c r="D860" i="2"/>
  <c r="C860" i="2"/>
  <c r="B860" i="2"/>
  <c r="D859" i="2"/>
  <c r="C859" i="2"/>
  <c r="B859" i="2"/>
  <c r="D858" i="2"/>
  <c r="C858" i="2"/>
  <c r="B858" i="2"/>
  <c r="D857" i="2"/>
  <c r="C857" i="2"/>
  <c r="B857" i="2"/>
  <c r="D856" i="2"/>
  <c r="C856" i="2"/>
  <c r="B856" i="2"/>
  <c r="D855" i="2"/>
  <c r="C855" i="2"/>
  <c r="B855" i="2"/>
  <c r="D854" i="2"/>
  <c r="C854" i="2"/>
  <c r="B854" i="2"/>
  <c r="D853" i="2"/>
  <c r="C853" i="2"/>
  <c r="B853" i="2"/>
  <c r="D852" i="2"/>
  <c r="C852" i="2"/>
  <c r="B852" i="2"/>
  <c r="D851" i="2"/>
  <c r="C851" i="2"/>
  <c r="B851" i="2"/>
  <c r="D850" i="2"/>
  <c r="C850" i="2"/>
  <c r="B850" i="2"/>
  <c r="D849" i="2"/>
  <c r="C849" i="2"/>
  <c r="B849" i="2"/>
  <c r="D848" i="2"/>
  <c r="C848" i="2"/>
  <c r="B848" i="2"/>
  <c r="D847" i="2"/>
  <c r="C847" i="2"/>
  <c r="D846" i="2"/>
  <c r="C846" i="2"/>
  <c r="B846" i="2"/>
  <c r="D845" i="2"/>
  <c r="C845" i="2"/>
  <c r="D844" i="2"/>
  <c r="C844" i="2"/>
  <c r="D843" i="2"/>
  <c r="C843" i="2"/>
  <c r="B843" i="2"/>
  <c r="D842" i="2"/>
  <c r="C842" i="2"/>
  <c r="B842" i="2"/>
  <c r="Q433" i="1"/>
  <c r="U433" i="1" s="1"/>
  <c r="D841" i="2"/>
  <c r="C841" i="2"/>
  <c r="B841" i="2"/>
  <c r="Q432" i="1"/>
  <c r="U432" i="1" s="1"/>
  <c r="D840" i="2"/>
  <c r="C840" i="2"/>
  <c r="B840" i="2"/>
  <c r="Q431" i="1"/>
  <c r="U431" i="1" s="1"/>
  <c r="D839" i="2"/>
  <c r="C839" i="2"/>
  <c r="B839" i="2"/>
  <c r="Q430" i="1"/>
  <c r="U430" i="1" s="1"/>
  <c r="D838" i="2"/>
  <c r="C838" i="2"/>
  <c r="B838" i="2"/>
  <c r="Q429" i="1"/>
  <c r="U429" i="1" s="1"/>
  <c r="D837" i="2"/>
  <c r="C837" i="2"/>
  <c r="B837" i="2"/>
  <c r="Q1334" i="1"/>
  <c r="U1334" i="1" s="1"/>
  <c r="D836" i="2"/>
  <c r="C836" i="2"/>
  <c r="B836" i="2"/>
  <c r="Q1358" i="1"/>
  <c r="U1358" i="1" s="1"/>
  <c r="D835" i="2"/>
  <c r="C835" i="2"/>
  <c r="B835" i="2"/>
  <c r="Q1357" i="1"/>
  <c r="U1357" i="1" s="1"/>
  <c r="D834" i="2"/>
  <c r="C834" i="2"/>
  <c r="B834" i="2"/>
  <c r="Q1356" i="1"/>
  <c r="U1356" i="1" s="1"/>
  <c r="D833" i="2"/>
  <c r="C833" i="2"/>
  <c r="B833" i="2"/>
  <c r="Q1355" i="1"/>
  <c r="U1355" i="1" s="1"/>
  <c r="D832" i="2"/>
  <c r="C832" i="2"/>
  <c r="B832" i="2"/>
  <c r="D831" i="2"/>
  <c r="C831" i="2"/>
  <c r="B831" i="2"/>
  <c r="D830" i="2"/>
  <c r="C830" i="2"/>
  <c r="B830" i="2"/>
  <c r="D829" i="2"/>
  <c r="C829" i="2"/>
  <c r="B829" i="2"/>
  <c r="Q1351" i="1"/>
  <c r="U1351" i="1" s="1"/>
  <c r="D828" i="2"/>
  <c r="C828" i="2"/>
  <c r="B828" i="2"/>
  <c r="Q1350" i="1"/>
  <c r="U1350" i="1" s="1"/>
  <c r="D827" i="2"/>
  <c r="C827" i="2"/>
  <c r="B827" i="2"/>
  <c r="Q1349" i="1"/>
  <c r="U1349" i="1" s="1"/>
  <c r="D826" i="2"/>
  <c r="C826" i="2"/>
  <c r="B826" i="2"/>
  <c r="Q1348" i="1"/>
  <c r="U1348" i="1" s="1"/>
  <c r="D825" i="2"/>
  <c r="C825" i="2"/>
  <c r="B825" i="2"/>
  <c r="Q1347" i="1"/>
  <c r="U1347" i="1" s="1"/>
  <c r="D824" i="2"/>
  <c r="C824" i="2"/>
  <c r="B824" i="2"/>
  <c r="Q1346" i="1"/>
  <c r="U1346" i="1" s="1"/>
  <c r="D823" i="2"/>
  <c r="C823" i="2"/>
  <c r="B823" i="2"/>
  <c r="Q1345" i="1"/>
  <c r="U1345" i="1" s="1"/>
  <c r="D822" i="2"/>
  <c r="C822" i="2"/>
  <c r="B822" i="2"/>
  <c r="Q1321" i="1"/>
  <c r="U1321" i="1" s="1"/>
  <c r="D821" i="2"/>
  <c r="C821" i="2"/>
  <c r="B821" i="2"/>
  <c r="Q1320" i="1"/>
  <c r="U1320" i="1" s="1"/>
  <c r="D820" i="2"/>
  <c r="C820" i="2"/>
  <c r="B820" i="2"/>
  <c r="Q1333" i="1"/>
  <c r="U1333" i="1" s="1"/>
  <c r="D819" i="2"/>
  <c r="C819" i="2"/>
  <c r="B819" i="2"/>
  <c r="Q1332" i="1"/>
  <c r="U1332" i="1" s="1"/>
  <c r="D818" i="2"/>
  <c r="C818" i="2"/>
  <c r="B818" i="2"/>
  <c r="D817" i="2"/>
  <c r="C817" i="2"/>
  <c r="B817" i="2"/>
  <c r="Q1464" i="1"/>
  <c r="U1464" i="1" s="1"/>
  <c r="D816" i="2"/>
  <c r="C816" i="2"/>
  <c r="B816" i="2"/>
  <c r="Q1463" i="1"/>
  <c r="U1463" i="1" s="1"/>
  <c r="D815" i="2"/>
  <c r="C815" i="2"/>
  <c r="B815" i="2"/>
  <c r="Q109" i="1"/>
  <c r="U109" i="1" s="1"/>
  <c r="D814" i="2"/>
  <c r="C814" i="2"/>
  <c r="B814" i="2"/>
  <c r="Q1317" i="1"/>
  <c r="U1317" i="1" s="1"/>
  <c r="D813" i="2"/>
  <c r="C813" i="2"/>
  <c r="B813" i="2"/>
  <c r="Q1363" i="1"/>
  <c r="U1363" i="1" s="1"/>
  <c r="D812" i="2"/>
  <c r="C812" i="2"/>
  <c r="B812" i="2"/>
  <c r="Q108" i="1"/>
  <c r="U108" i="1" s="1"/>
  <c r="D811" i="2"/>
  <c r="C811" i="2"/>
  <c r="B811" i="2"/>
  <c r="Q924" i="1"/>
  <c r="U924" i="1" s="1"/>
  <c r="D810" i="2"/>
  <c r="C810" i="2"/>
  <c r="B810" i="2"/>
  <c r="Q1280" i="1"/>
  <c r="U1280" i="1" s="1"/>
  <c r="D809" i="2"/>
  <c r="C809" i="2"/>
  <c r="B809" i="2"/>
  <c r="Q1319" i="1"/>
  <c r="U1319" i="1" s="1"/>
  <c r="D808" i="2"/>
  <c r="C808" i="2"/>
  <c r="B808" i="2"/>
  <c r="Q1331" i="1"/>
  <c r="U1331" i="1" s="1"/>
  <c r="D807" i="2"/>
  <c r="C807" i="2"/>
  <c r="B807" i="2"/>
  <c r="Q1218" i="1"/>
  <c r="U1218" i="1" s="1"/>
  <c r="D806" i="2"/>
  <c r="C806" i="2"/>
  <c r="B806" i="2"/>
  <c r="Q1279" i="1"/>
  <c r="U1279" i="1" s="1"/>
  <c r="D805" i="2"/>
  <c r="C805" i="2"/>
  <c r="B805" i="2"/>
  <c r="Q811" i="1"/>
  <c r="U811" i="1" s="1"/>
  <c r="D804" i="2"/>
  <c r="C804" i="2"/>
  <c r="B804" i="2"/>
  <c r="Q1307" i="1"/>
  <c r="U1307" i="1" s="1"/>
  <c r="D803" i="2"/>
  <c r="C803" i="2"/>
  <c r="B803" i="2"/>
  <c r="Q22" i="1"/>
  <c r="U22" i="1" s="1"/>
  <c r="D802" i="2"/>
  <c r="C802" i="2"/>
  <c r="B802" i="2"/>
  <c r="Q1330" i="1"/>
  <c r="U1330" i="1" s="1"/>
  <c r="D801" i="2"/>
  <c r="C801" i="2"/>
  <c r="B801" i="2"/>
  <c r="Q1313" i="1"/>
  <c r="U1313" i="1" s="1"/>
  <c r="D800" i="2"/>
  <c r="C800" i="2"/>
  <c r="B800" i="2"/>
  <c r="Q310" i="1"/>
  <c r="U310" i="1" s="1"/>
  <c r="D799" i="2"/>
  <c r="C799" i="2"/>
  <c r="B799" i="2"/>
  <c r="Q1301" i="1"/>
  <c r="U1301" i="1" s="1"/>
  <c r="D798" i="2"/>
  <c r="C798" i="2"/>
  <c r="B798" i="2"/>
  <c r="Q107" i="1"/>
  <c r="U107" i="1" s="1"/>
  <c r="D797" i="2"/>
  <c r="C797" i="2"/>
  <c r="B797" i="2"/>
  <c r="Q775" i="1"/>
  <c r="U775" i="1" s="1"/>
  <c r="D796" i="2"/>
  <c r="C796" i="2"/>
  <c r="B796" i="2"/>
  <c r="Q1329" i="1"/>
  <c r="U1329" i="1" s="1"/>
  <c r="D795" i="2"/>
  <c r="C795" i="2"/>
  <c r="B795" i="2"/>
  <c r="Q1487" i="1"/>
  <c r="U1487" i="1" s="1"/>
  <c r="D794" i="2"/>
  <c r="C794" i="2"/>
  <c r="B794" i="2"/>
  <c r="Q624" i="1"/>
  <c r="U624" i="1" s="1"/>
  <c r="D793" i="2"/>
  <c r="C793" i="2"/>
  <c r="B793" i="2"/>
  <c r="Q1462" i="1"/>
  <c r="U1462" i="1" s="1"/>
  <c r="D792" i="2"/>
  <c r="C792" i="2"/>
  <c r="B792" i="2"/>
  <c r="Q1090" i="1"/>
  <c r="U1090" i="1" s="1"/>
  <c r="D791" i="2"/>
  <c r="C791" i="2"/>
  <c r="B791" i="2"/>
  <c r="Q1014" i="1"/>
  <c r="U1014" i="1" s="1"/>
  <c r="D790" i="2"/>
  <c r="C790" i="2"/>
  <c r="B790" i="2"/>
  <c r="Q1344" i="1"/>
  <c r="U1344" i="1" s="1"/>
  <c r="D789" i="2"/>
  <c r="C789" i="2"/>
  <c r="B789" i="2"/>
  <c r="D788" i="2"/>
  <c r="C788" i="2"/>
  <c r="B788" i="2"/>
  <c r="Q1274" i="1"/>
  <c r="U1274" i="1" s="1"/>
  <c r="D787" i="2"/>
  <c r="C787" i="2"/>
  <c r="B787" i="2"/>
  <c r="Q38" i="1"/>
  <c r="U38" i="1" s="1"/>
  <c r="D786" i="2"/>
  <c r="C786" i="2"/>
  <c r="B786" i="2"/>
  <c r="Q37" i="1"/>
  <c r="U37" i="1" s="1"/>
  <c r="D785" i="2"/>
  <c r="C785" i="2"/>
  <c r="B785" i="2"/>
  <c r="Q36" i="1"/>
  <c r="U36" i="1" s="1"/>
  <c r="D784" i="2"/>
  <c r="C784" i="2"/>
  <c r="B784" i="2"/>
  <c r="Q236" i="1"/>
  <c r="U236" i="1" s="1"/>
  <c r="D783" i="2"/>
  <c r="C783" i="2"/>
  <c r="B783" i="2"/>
  <c r="Q235" i="1"/>
  <c r="U235" i="1" s="1"/>
  <c r="D782" i="2"/>
  <c r="C782" i="2"/>
  <c r="B782" i="2"/>
  <c r="Q234" i="1"/>
  <c r="U234" i="1" s="1"/>
  <c r="D781" i="2"/>
  <c r="C781" i="2"/>
  <c r="B781" i="2"/>
  <c r="Q1254" i="1"/>
  <c r="U1254" i="1" s="1"/>
  <c r="D780" i="2"/>
  <c r="C780" i="2"/>
  <c r="B780" i="2"/>
  <c r="Q1492" i="1"/>
  <c r="U1492" i="1" s="1"/>
  <c r="D779" i="2"/>
  <c r="C779" i="2"/>
  <c r="B779" i="2"/>
  <c r="Q1318" i="1"/>
  <c r="U1318" i="1" s="1"/>
  <c r="D778" i="2"/>
  <c r="C778" i="2"/>
  <c r="B778" i="2"/>
  <c r="Q1239" i="1"/>
  <c r="U1239" i="1" s="1"/>
  <c r="D777" i="2"/>
  <c r="C777" i="2"/>
  <c r="B777" i="2"/>
  <c r="Q665" i="1"/>
  <c r="U665" i="1" s="1"/>
  <c r="D776" i="2"/>
  <c r="C776" i="2"/>
  <c r="B776" i="2"/>
  <c r="Q428" i="1"/>
  <c r="U428" i="1" s="1"/>
  <c r="D775" i="2"/>
  <c r="C775" i="2"/>
  <c r="B775" i="2"/>
  <c r="Q427" i="1"/>
  <c r="U427" i="1" s="1"/>
  <c r="D774" i="2"/>
  <c r="C774" i="2"/>
  <c r="B774" i="2"/>
  <c r="Q426" i="1"/>
  <c r="U426" i="1" s="1"/>
  <c r="D773" i="2"/>
  <c r="C773" i="2"/>
  <c r="B773" i="2"/>
  <c r="Q425" i="1"/>
  <c r="U425" i="1" s="1"/>
  <c r="D772" i="2"/>
  <c r="C772" i="2"/>
  <c r="B772" i="2"/>
  <c r="Q796" i="1"/>
  <c r="U796" i="1" s="1"/>
  <c r="D771" i="2"/>
  <c r="C771" i="2"/>
  <c r="B771" i="2"/>
  <c r="Q1384" i="1"/>
  <c r="U1384" i="1" s="1"/>
  <c r="D770" i="2"/>
  <c r="C770" i="2"/>
  <c r="B770" i="2"/>
  <c r="D769" i="2"/>
  <c r="C769" i="2"/>
  <c r="B769" i="2"/>
  <c r="Q1328" i="1"/>
  <c r="U1328" i="1" s="1"/>
  <c r="D768" i="2"/>
  <c r="C768" i="2"/>
  <c r="B768" i="2"/>
  <c r="Q1327" i="1"/>
  <c r="U1327" i="1" s="1"/>
  <c r="D767" i="2"/>
  <c r="C767" i="2"/>
  <c r="B767" i="2"/>
  <c r="Q1326" i="1"/>
  <c r="U1326" i="1" s="1"/>
  <c r="D766" i="2"/>
  <c r="C766" i="2"/>
  <c r="B766" i="2"/>
  <c r="Q1171" i="1"/>
  <c r="U1171" i="1" s="1"/>
  <c r="D765" i="2"/>
  <c r="C765" i="2"/>
  <c r="B765" i="2"/>
  <c r="Q1217" i="1"/>
  <c r="U1217" i="1" s="1"/>
  <c r="D764" i="2"/>
  <c r="C764" i="2"/>
  <c r="B764" i="2"/>
  <c r="Q1216" i="1"/>
  <c r="U1216" i="1" s="1"/>
  <c r="D763" i="2"/>
  <c r="C763" i="2"/>
  <c r="B763" i="2"/>
  <c r="Q1215" i="1"/>
  <c r="U1215" i="1" s="1"/>
  <c r="D762" i="2"/>
  <c r="C762" i="2"/>
  <c r="B762" i="2"/>
  <c r="Q1214" i="1"/>
  <c r="U1214" i="1" s="1"/>
  <c r="D761" i="2"/>
  <c r="C761" i="2"/>
  <c r="B761" i="2"/>
  <c r="D760" i="2"/>
  <c r="C760" i="2"/>
  <c r="B760" i="2"/>
  <c r="Q1078" i="1"/>
  <c r="U1078" i="1" s="1"/>
  <c r="D759" i="2"/>
  <c r="C759" i="2"/>
  <c r="B759" i="2"/>
  <c r="Q731" i="1"/>
  <c r="U731" i="1" s="1"/>
  <c r="D758" i="2"/>
  <c r="C758" i="2"/>
  <c r="B758" i="2"/>
  <c r="D757" i="2"/>
  <c r="C757" i="2"/>
  <c r="B757" i="2"/>
  <c r="Q1397" i="1"/>
  <c r="U1397" i="1" s="1"/>
  <c r="D756" i="2"/>
  <c r="C756" i="2"/>
  <c r="B756" i="2"/>
  <c r="Q1284" i="1"/>
  <c r="U1284" i="1" s="1"/>
  <c r="D755" i="2"/>
  <c r="C755" i="2"/>
  <c r="B755" i="2"/>
  <c r="Q536" i="1"/>
  <c r="U536" i="1" s="1"/>
  <c r="D754" i="2"/>
  <c r="C754" i="2"/>
  <c r="B754" i="2"/>
  <c r="Q535" i="1"/>
  <c r="U535" i="1" s="1"/>
  <c r="D753" i="2"/>
  <c r="C753" i="2"/>
  <c r="B753" i="2"/>
  <c r="D752" i="2"/>
  <c r="C752" i="2"/>
  <c r="B752" i="2"/>
  <c r="Q1273" i="1"/>
  <c r="U1273" i="1" s="1"/>
  <c r="D751" i="2"/>
  <c r="C751" i="2"/>
  <c r="B751" i="2"/>
  <c r="Q1272" i="1"/>
  <c r="U1272" i="1" s="1"/>
  <c r="D750" i="2"/>
  <c r="C750" i="2"/>
  <c r="B750" i="2"/>
  <c r="Q1271" i="1"/>
  <c r="U1271" i="1" s="1"/>
  <c r="D749" i="2"/>
  <c r="C749" i="2"/>
  <c r="B749" i="2"/>
  <c r="D748" i="2"/>
  <c r="C748" i="2"/>
  <c r="B748" i="2"/>
  <c r="Q424" i="1"/>
  <c r="U424" i="1" s="1"/>
  <c r="D747" i="2"/>
  <c r="C747" i="2"/>
  <c r="B747" i="2"/>
  <c r="Q423" i="1"/>
  <c r="U423" i="1" s="1"/>
  <c r="D746" i="2"/>
  <c r="C746" i="2"/>
  <c r="B746" i="2"/>
  <c r="Q1213" i="1"/>
  <c r="U1213" i="1" s="1"/>
  <c r="D745" i="2"/>
  <c r="C745" i="2"/>
  <c r="B745" i="2"/>
  <c r="Q778" i="1"/>
  <c r="U778" i="1" s="1"/>
  <c r="D744" i="2"/>
  <c r="C744" i="2"/>
  <c r="B744" i="2"/>
  <c r="D743" i="2"/>
  <c r="C743" i="2"/>
  <c r="B743" i="2"/>
  <c r="Q1300" i="1"/>
  <c r="U1300" i="1" s="1"/>
  <c r="D742" i="2"/>
  <c r="C742" i="2"/>
  <c r="B742" i="2"/>
  <c r="Q368" i="1"/>
  <c r="U368" i="1" s="1"/>
  <c r="D741" i="2"/>
  <c r="C741" i="2"/>
  <c r="B741" i="2"/>
  <c r="Q367" i="1"/>
  <c r="U367" i="1" s="1"/>
  <c r="D740" i="2"/>
  <c r="C740" i="2"/>
  <c r="B740" i="2"/>
  <c r="Q366" i="1"/>
  <c r="U366" i="1" s="1"/>
  <c r="D739" i="2"/>
  <c r="C739" i="2"/>
  <c r="B739" i="2"/>
  <c r="Q1198" i="1"/>
  <c r="U1198" i="1" s="1"/>
  <c r="D738" i="2"/>
  <c r="C738" i="2"/>
  <c r="B738" i="2"/>
  <c r="Q1197" i="1"/>
  <c r="U1197" i="1" s="1"/>
  <c r="D737" i="2"/>
  <c r="C737" i="2"/>
  <c r="B737" i="2"/>
  <c r="Q793" i="1"/>
  <c r="U793" i="1" s="1"/>
  <c r="D736" i="2"/>
  <c r="C736" i="2"/>
  <c r="B736" i="2"/>
  <c r="Q1234" i="1"/>
  <c r="U1234" i="1" s="1"/>
  <c r="D735" i="2"/>
  <c r="C735" i="2"/>
  <c r="B735" i="2"/>
  <c r="Q1491" i="1"/>
  <c r="U1491" i="1" s="1"/>
  <c r="D734" i="2"/>
  <c r="C734" i="2"/>
  <c r="B734" i="2"/>
  <c r="Q795" i="1"/>
  <c r="U795" i="1" s="1"/>
  <c r="D733" i="2"/>
  <c r="C733" i="2"/>
  <c r="B733" i="2"/>
  <c r="Q943" i="1"/>
  <c r="U943" i="1" s="1"/>
  <c r="D732" i="2"/>
  <c r="C732" i="2"/>
  <c r="B732" i="2"/>
  <c r="Q950" i="1"/>
  <c r="U950" i="1" s="1"/>
  <c r="D731" i="2"/>
  <c r="C731" i="2"/>
  <c r="B731" i="2"/>
  <c r="Q165" i="1"/>
  <c r="U165" i="1" s="1"/>
  <c r="D730" i="2"/>
  <c r="C730" i="2"/>
  <c r="B730" i="2"/>
  <c r="Q1362" i="1"/>
  <c r="U1362" i="1" s="1"/>
  <c r="D729" i="2"/>
  <c r="C729" i="2"/>
  <c r="B729" i="2"/>
  <c r="Q227" i="1"/>
  <c r="U227" i="1" s="1"/>
  <c r="D728" i="2"/>
  <c r="C728" i="2"/>
  <c r="B728" i="2"/>
  <c r="Q1555" i="1"/>
  <c r="U1555" i="1" s="1"/>
  <c r="D727" i="2"/>
  <c r="C727" i="2"/>
  <c r="B727" i="2"/>
  <c r="D726" i="2"/>
  <c r="C726" i="2"/>
  <c r="B726" i="2"/>
  <c r="Q814" i="1"/>
  <c r="U814" i="1" s="1"/>
  <c r="D725" i="2"/>
  <c r="C725" i="2"/>
  <c r="B725" i="2"/>
  <c r="Q873" i="1"/>
  <c r="U873" i="1" s="1"/>
  <c r="D724" i="2"/>
  <c r="C724" i="2"/>
  <c r="B724" i="2"/>
  <c r="Q1196" i="1"/>
  <c r="U1196" i="1" s="1"/>
  <c r="D723" i="2"/>
  <c r="C723" i="2"/>
  <c r="B723" i="2"/>
  <c r="Q1111" i="1"/>
  <c r="U1111" i="1" s="1"/>
  <c r="D722" i="2"/>
  <c r="C722" i="2"/>
  <c r="B722" i="2"/>
  <c r="Q942" i="1"/>
  <c r="U942" i="1" s="1"/>
  <c r="D721" i="2"/>
  <c r="C721" i="2"/>
  <c r="B721" i="2"/>
  <c r="Q1412" i="1"/>
  <c r="U1412" i="1" s="1"/>
  <c r="D720" i="2"/>
  <c r="C720" i="2"/>
  <c r="B720" i="2"/>
  <c r="Q941" i="1"/>
  <c r="U941" i="1" s="1"/>
  <c r="D719" i="2"/>
  <c r="C719" i="2"/>
  <c r="B719" i="2"/>
  <c r="Q940" i="1"/>
  <c r="U940" i="1" s="1"/>
  <c r="D718" i="2"/>
  <c r="C718" i="2"/>
  <c r="B718" i="2"/>
  <c r="Q939" i="1"/>
  <c r="U939" i="1" s="1"/>
  <c r="D717" i="2"/>
  <c r="C717" i="2"/>
  <c r="B717" i="2"/>
  <c r="Q1102" i="1"/>
  <c r="U1102" i="1" s="1"/>
  <c r="D716" i="2"/>
  <c r="C716" i="2"/>
  <c r="B716" i="2"/>
  <c r="Q1100" i="1"/>
  <c r="U1100" i="1" s="1"/>
  <c r="D715" i="2"/>
  <c r="C715" i="2"/>
  <c r="B715" i="2"/>
  <c r="Q1099" i="1"/>
  <c r="U1099" i="1" s="1"/>
  <c r="D714" i="2"/>
  <c r="C714" i="2"/>
  <c r="B714" i="2"/>
  <c r="Q1098" i="1"/>
  <c r="U1098" i="1" s="1"/>
  <c r="D713" i="2"/>
  <c r="C713" i="2"/>
  <c r="B713" i="2"/>
  <c r="Q1097" i="1"/>
  <c r="U1097" i="1" s="1"/>
  <c r="D712" i="2"/>
  <c r="C712" i="2"/>
  <c r="B712" i="2"/>
  <c r="Q1096" i="1"/>
  <c r="U1096" i="1" s="1"/>
  <c r="D711" i="2"/>
  <c r="C711" i="2"/>
  <c r="B711" i="2"/>
  <c r="Q1095" i="1"/>
  <c r="U1095" i="1" s="1"/>
  <c r="D710" i="2"/>
  <c r="C710" i="2"/>
  <c r="B710" i="2"/>
  <c r="Q1094" i="1"/>
  <c r="U1094" i="1" s="1"/>
  <c r="D709" i="2"/>
  <c r="C709" i="2"/>
  <c r="B709" i="2"/>
  <c r="Q1093" i="1"/>
  <c r="U1093" i="1" s="1"/>
  <c r="D708" i="2"/>
  <c r="C708" i="2"/>
  <c r="B708" i="2"/>
  <c r="Q1092" i="1"/>
  <c r="U1092" i="1" s="1"/>
  <c r="D707" i="2"/>
  <c r="C707" i="2"/>
  <c r="B707" i="2"/>
  <c r="Q1091" i="1"/>
  <c r="U1091" i="1" s="1"/>
  <c r="D706" i="2"/>
  <c r="C706" i="2"/>
  <c r="B706" i="2"/>
  <c r="Q1411" i="1"/>
  <c r="U1411" i="1" s="1"/>
  <c r="D705" i="2"/>
  <c r="C705" i="2"/>
  <c r="B705" i="2"/>
  <c r="Q1089" i="1"/>
  <c r="U1089" i="1" s="1"/>
  <c r="D704" i="2"/>
  <c r="C704" i="2"/>
  <c r="B704" i="2"/>
  <c r="Q1410" i="1"/>
  <c r="U1410" i="1" s="1"/>
  <c r="D703" i="2"/>
  <c r="C703" i="2"/>
  <c r="B703" i="2"/>
  <c r="Q1088" i="1"/>
  <c r="U1088" i="1" s="1"/>
  <c r="D702" i="2"/>
  <c r="C702" i="2"/>
  <c r="B702" i="2"/>
  <c r="Q1087" i="1"/>
  <c r="U1087" i="1" s="1"/>
  <c r="D701" i="2"/>
  <c r="C701" i="2"/>
  <c r="B701" i="2"/>
  <c r="Q1086" i="1"/>
  <c r="U1086" i="1" s="1"/>
  <c r="D700" i="2"/>
  <c r="C700" i="2"/>
  <c r="B700" i="2"/>
  <c r="Q1085" i="1"/>
  <c r="U1085" i="1" s="1"/>
  <c r="D699" i="2"/>
  <c r="C699" i="2"/>
  <c r="B699" i="2"/>
  <c r="Q1077" i="1"/>
  <c r="U1077" i="1" s="1"/>
  <c r="D698" i="2"/>
  <c r="C698" i="2"/>
  <c r="B698" i="2"/>
  <c r="Q1076" i="1"/>
  <c r="D697" i="2"/>
  <c r="C697" i="2"/>
  <c r="B697" i="2"/>
  <c r="Q1059" i="1"/>
  <c r="U1059" i="1" s="1"/>
  <c r="D696" i="2"/>
  <c r="C696" i="2"/>
  <c r="B696" i="2"/>
  <c r="Q835" i="1"/>
  <c r="D695" i="2"/>
  <c r="C695" i="2"/>
  <c r="B695" i="2"/>
  <c r="Q834" i="1"/>
  <c r="U834" i="1" s="1"/>
  <c r="D694" i="2"/>
  <c r="C694" i="2"/>
  <c r="B694" i="2"/>
  <c r="Q833" i="1"/>
  <c r="U833" i="1" s="1"/>
  <c r="D693" i="2"/>
  <c r="C693" i="2"/>
  <c r="B693" i="2"/>
  <c r="Q917" i="1"/>
  <c r="U917" i="1" s="1"/>
  <c r="D692" i="2"/>
  <c r="C692" i="2"/>
  <c r="B692" i="2"/>
  <c r="Q777" i="1"/>
  <c r="U777" i="1" s="1"/>
  <c r="D691" i="2"/>
  <c r="C691" i="2"/>
  <c r="B691" i="2"/>
  <c r="Q898" i="1"/>
  <c r="U898" i="1" s="1"/>
  <c r="D690" i="2"/>
  <c r="C690" i="2"/>
  <c r="B690" i="2"/>
  <c r="Q774" i="1"/>
  <c r="U774" i="1" s="1"/>
  <c r="D689" i="2"/>
  <c r="C689" i="2"/>
  <c r="B689" i="2"/>
  <c r="Q773" i="1"/>
  <c r="D688" i="2"/>
  <c r="C688" i="2"/>
  <c r="B688" i="2"/>
  <c r="Q772" i="1"/>
  <c r="U772" i="1" s="1"/>
  <c r="D687" i="2"/>
  <c r="C687" i="2"/>
  <c r="B687" i="2"/>
  <c r="Q771" i="1"/>
  <c r="D686" i="2"/>
  <c r="C686" i="2"/>
  <c r="B686" i="2"/>
  <c r="Q911" i="1"/>
  <c r="D685" i="2"/>
  <c r="C685" i="2"/>
  <c r="B685" i="2"/>
  <c r="Q770" i="1"/>
  <c r="D684" i="2"/>
  <c r="C684" i="2"/>
  <c r="B684" i="2"/>
  <c r="D683" i="2"/>
  <c r="C683" i="2"/>
  <c r="B683" i="2"/>
  <c r="Q776" i="1"/>
  <c r="U776" i="1" s="1"/>
  <c r="D682" i="2"/>
  <c r="C682" i="2"/>
  <c r="B682" i="2"/>
  <c r="Q921" i="1"/>
  <c r="U921" i="1" s="1"/>
  <c r="D681" i="2"/>
  <c r="C681" i="2"/>
  <c r="B681" i="2"/>
  <c r="Q769" i="1"/>
  <c r="U769" i="1" s="1"/>
  <c r="D680" i="2"/>
  <c r="C680" i="2"/>
  <c r="B680" i="2"/>
  <c r="Q1058" i="1"/>
  <c r="U1058" i="1" s="1"/>
  <c r="D679" i="2"/>
  <c r="C679" i="2"/>
  <c r="B679" i="2"/>
  <c r="Q792" i="1"/>
  <c r="U792" i="1" s="1"/>
  <c r="D678" i="2"/>
  <c r="C678" i="2"/>
  <c r="B678" i="2"/>
  <c r="Q1057" i="1"/>
  <c r="U1057" i="1" s="1"/>
  <c r="D677" i="2"/>
  <c r="C677" i="2"/>
  <c r="B677" i="2"/>
  <c r="Q1056" i="1"/>
  <c r="U1056" i="1" s="1"/>
  <c r="D676" i="2"/>
  <c r="C676" i="2"/>
  <c r="B676" i="2"/>
  <c r="Q851" i="1"/>
  <c r="U851" i="1" s="1"/>
  <c r="D675" i="2"/>
  <c r="C675" i="2"/>
  <c r="B675" i="2"/>
  <c r="Q1055" i="1"/>
  <c r="U1055" i="1" s="1"/>
  <c r="D674" i="2"/>
  <c r="C674" i="2"/>
  <c r="B674" i="2"/>
  <c r="D673" i="2"/>
  <c r="C673" i="2"/>
  <c r="B673" i="2"/>
  <c r="Q768" i="1"/>
  <c r="U768" i="1" s="1"/>
  <c r="D672" i="2"/>
  <c r="C672" i="2"/>
  <c r="B672" i="2"/>
  <c r="D671" i="2"/>
  <c r="C671" i="2"/>
  <c r="B671" i="2"/>
  <c r="Q832" i="1"/>
  <c r="U832" i="1" s="1"/>
  <c r="D670" i="2"/>
  <c r="C670" i="2"/>
  <c r="B670" i="2"/>
  <c r="Q831" i="1"/>
  <c r="U831" i="1" s="1"/>
  <c r="D669" i="2"/>
  <c r="C669" i="2"/>
  <c r="B669" i="2"/>
  <c r="D668" i="2"/>
  <c r="C668" i="2"/>
  <c r="B668" i="2"/>
  <c r="D667" i="2"/>
  <c r="C667" i="2"/>
  <c r="B667" i="2"/>
  <c r="Q1005" i="1"/>
  <c r="U1005" i="1" s="1"/>
  <c r="D666" i="2"/>
  <c r="C666" i="2"/>
  <c r="B666" i="2"/>
  <c r="Q1013" i="1"/>
  <c r="U1013" i="1" s="1"/>
  <c r="D665" i="2"/>
  <c r="C665" i="2"/>
  <c r="B665" i="2"/>
  <c r="D664" i="2"/>
  <c r="C664" i="2"/>
  <c r="B664" i="2"/>
  <c r="D663" i="2"/>
  <c r="C663" i="2"/>
  <c r="B663" i="2"/>
  <c r="Q422" i="1"/>
  <c r="U422" i="1" s="1"/>
  <c r="D662" i="2"/>
  <c r="C662" i="2"/>
  <c r="B662" i="2"/>
  <c r="Q1039" i="1"/>
  <c r="U1039" i="1" s="1"/>
  <c r="D661" i="2"/>
  <c r="C661" i="2"/>
  <c r="B661" i="2"/>
  <c r="Q1038" i="1"/>
  <c r="U1038" i="1" s="1"/>
  <c r="D660" i="2"/>
  <c r="C660" i="2"/>
  <c r="B660" i="2"/>
  <c r="Q421" i="1"/>
  <c r="U421" i="1" s="1"/>
  <c r="D659" i="2"/>
  <c r="C659" i="2"/>
  <c r="B659" i="2"/>
  <c r="Q1048" i="1"/>
  <c r="U1048" i="1" s="1"/>
  <c r="D658" i="2"/>
  <c r="C658" i="2"/>
  <c r="B658" i="2"/>
  <c r="Q1047" i="1"/>
  <c r="U1047" i="1" s="1"/>
  <c r="D657" i="2"/>
  <c r="C657" i="2"/>
  <c r="B657" i="2"/>
  <c r="Q1046" i="1"/>
  <c r="U1046" i="1" s="1"/>
  <c r="D656" i="2"/>
  <c r="C656" i="2"/>
  <c r="B656" i="2"/>
  <c r="Q1037" i="1"/>
  <c r="U1037" i="1" s="1"/>
  <c r="D655" i="2"/>
  <c r="C655" i="2"/>
  <c r="B655" i="2"/>
  <c r="Q104" i="1"/>
  <c r="U104" i="1" s="1"/>
  <c r="D654" i="2"/>
  <c r="C654" i="2"/>
  <c r="B654" i="2"/>
  <c r="Q1036" i="1"/>
  <c r="U1036" i="1" s="1"/>
  <c r="D653" i="2"/>
  <c r="C653" i="2"/>
  <c r="B653" i="2"/>
  <c r="Q1035" i="1"/>
  <c r="U1035" i="1" s="1"/>
  <c r="D652" i="2"/>
  <c r="C652" i="2"/>
  <c r="B652" i="2"/>
  <c r="Q1034" i="1"/>
  <c r="U1034" i="1" s="1"/>
  <c r="D651" i="2"/>
  <c r="C651" i="2"/>
  <c r="B651" i="2"/>
  <c r="Q1033" i="1"/>
  <c r="U1033" i="1" s="1"/>
  <c r="D650" i="2"/>
  <c r="C650" i="2"/>
  <c r="B650" i="2"/>
  <c r="Q1032" i="1"/>
  <c r="U1032" i="1" s="1"/>
  <c r="D649" i="2"/>
  <c r="C649" i="2"/>
  <c r="B649" i="2"/>
  <c r="Q1031" i="1"/>
  <c r="U1031" i="1" s="1"/>
  <c r="D648" i="2"/>
  <c r="C648" i="2"/>
  <c r="B648" i="2"/>
  <c r="Q420" i="1"/>
  <c r="U420" i="1" s="1"/>
  <c r="D647" i="2"/>
  <c r="C647" i="2"/>
  <c r="B647" i="2"/>
  <c r="Q419" i="1"/>
  <c r="U419" i="1" s="1"/>
  <c r="D646" i="2"/>
  <c r="C646" i="2"/>
  <c r="B646" i="2"/>
  <c r="Q638" i="1"/>
  <c r="U638" i="1" s="1"/>
  <c r="D645" i="2"/>
  <c r="C645" i="2"/>
  <c r="B645" i="2"/>
  <c r="Q1024" i="1"/>
  <c r="U1024" i="1" s="1"/>
  <c r="D644" i="2"/>
  <c r="C644" i="2"/>
  <c r="B644" i="2"/>
  <c r="Q1023" i="1"/>
  <c r="U1023" i="1" s="1"/>
  <c r="D643" i="2"/>
  <c r="C643" i="2"/>
  <c r="B643" i="2"/>
  <c r="Q1022" i="1"/>
  <c r="U1022" i="1" s="1"/>
  <c r="D642" i="2"/>
  <c r="C642" i="2"/>
  <c r="B642" i="2"/>
  <c r="Q1021" i="1"/>
  <c r="U1021" i="1" s="1"/>
  <c r="D641" i="2"/>
  <c r="C641" i="2"/>
  <c r="B641" i="2"/>
  <c r="Q1020" i="1"/>
  <c r="U1020" i="1" s="1"/>
  <c r="D640" i="2"/>
  <c r="C640" i="2"/>
  <c r="B640" i="2"/>
  <c r="Q938" i="1"/>
  <c r="U938" i="1" s="1"/>
  <c r="D639" i="2"/>
  <c r="C639" i="2"/>
  <c r="B639" i="2"/>
  <c r="Q937" i="1"/>
  <c r="U937" i="1" s="1"/>
  <c r="D638" i="2"/>
  <c r="C638" i="2"/>
  <c r="B638" i="2"/>
  <c r="Q936" i="1"/>
  <c r="U936" i="1" s="1"/>
  <c r="D637" i="2"/>
  <c r="C637" i="2"/>
  <c r="B637" i="2"/>
  <c r="Q935" i="1"/>
  <c r="U935" i="1" s="1"/>
  <c r="D636" i="2"/>
  <c r="C636" i="2"/>
  <c r="B636" i="2"/>
  <c r="Q934" i="1"/>
  <c r="U934" i="1" s="1"/>
  <c r="D635" i="2"/>
  <c r="C635" i="2"/>
  <c r="B635" i="2"/>
  <c r="Q933" i="1"/>
  <c r="U933" i="1" s="1"/>
  <c r="D634" i="2"/>
  <c r="C634" i="2"/>
  <c r="B634" i="2"/>
  <c r="Q932" i="1"/>
  <c r="U932" i="1" s="1"/>
  <c r="D633" i="2"/>
  <c r="C633" i="2"/>
  <c r="B633" i="2"/>
  <c r="Q931" i="1"/>
  <c r="U931" i="1" s="1"/>
  <c r="D632" i="2"/>
  <c r="C632" i="2"/>
  <c r="B632" i="2"/>
  <c r="Q1084" i="1"/>
  <c r="U1084" i="1" s="1"/>
  <c r="D631" i="2"/>
  <c r="C631" i="2"/>
  <c r="B631" i="2"/>
  <c r="Q1083" i="1"/>
  <c r="U1083" i="1" s="1"/>
  <c r="D630" i="2"/>
  <c r="C630" i="2"/>
  <c r="B630" i="2"/>
  <c r="Q1082" i="1"/>
  <c r="U1082" i="1" s="1"/>
  <c r="D629" i="2"/>
  <c r="C629" i="2"/>
  <c r="B629" i="2"/>
  <c r="Q1081" i="1"/>
  <c r="U1081" i="1" s="1"/>
  <c r="D628" i="2"/>
  <c r="C628" i="2"/>
  <c r="B628" i="2"/>
  <c r="Q1080" i="1"/>
  <c r="U1080" i="1" s="1"/>
  <c r="D627" i="2"/>
  <c r="C627" i="2"/>
  <c r="B627" i="2"/>
  <c r="Q1238" i="1"/>
  <c r="U1238" i="1" s="1"/>
  <c r="D626" i="2"/>
  <c r="C626" i="2"/>
  <c r="B626" i="2"/>
  <c r="Q1074" i="1"/>
  <c r="U1074" i="1" s="1"/>
  <c r="D625" i="2"/>
  <c r="C625" i="2"/>
  <c r="B625" i="2"/>
  <c r="Q1383" i="1"/>
  <c r="U1383" i="1" s="1"/>
  <c r="D624" i="2"/>
  <c r="C624" i="2"/>
  <c r="B624" i="2"/>
  <c r="Q1361" i="1"/>
  <c r="U1361" i="1" s="1"/>
  <c r="D623" i="2"/>
  <c r="C623" i="2"/>
  <c r="B623" i="2"/>
  <c r="Q923" i="1"/>
  <c r="U923" i="1" s="1"/>
  <c r="D622" i="2"/>
  <c r="C622" i="2"/>
  <c r="B622" i="2"/>
  <c r="Q1073" i="1"/>
  <c r="U1073" i="1" s="1"/>
  <c r="D621" i="2"/>
  <c r="C621" i="2"/>
  <c r="B621" i="2"/>
  <c r="Q1072" i="1"/>
  <c r="U1072" i="1" s="1"/>
  <c r="D620" i="2"/>
  <c r="C620" i="2"/>
  <c r="B620" i="2"/>
  <c r="Q930" i="1"/>
  <c r="U930" i="1" s="1"/>
  <c r="D619" i="2"/>
  <c r="C619" i="2"/>
  <c r="B619" i="2"/>
  <c r="Q1071" i="1"/>
  <c r="U1071" i="1" s="1"/>
  <c r="D618" i="2"/>
  <c r="C618" i="2"/>
  <c r="B618" i="2"/>
  <c r="Q929" i="1"/>
  <c r="U929" i="1" s="1"/>
  <c r="D617" i="2"/>
  <c r="C617" i="2"/>
  <c r="B617" i="2"/>
  <c r="Q928" i="1"/>
  <c r="U928" i="1" s="1"/>
  <c r="D616" i="2"/>
  <c r="C616" i="2"/>
  <c r="B616" i="2"/>
  <c r="Q927" i="1"/>
  <c r="U927" i="1" s="1"/>
  <c r="D615" i="2"/>
  <c r="C615" i="2"/>
  <c r="B615" i="2"/>
  <c r="Q926" i="1"/>
  <c r="U926" i="1" s="1"/>
  <c r="D614" i="2"/>
  <c r="C614" i="2"/>
  <c r="B614" i="2"/>
  <c r="Q1225" i="1"/>
  <c r="U1225" i="1" s="1"/>
  <c r="D613" i="2"/>
  <c r="C613" i="2"/>
  <c r="B613" i="2"/>
  <c r="Q1224" i="1"/>
  <c r="U1224" i="1" s="1"/>
  <c r="D612" i="2"/>
  <c r="C612" i="2"/>
  <c r="B612" i="2"/>
  <c r="Q920" i="1"/>
  <c r="U920" i="1" s="1"/>
  <c r="D611" i="2"/>
  <c r="C611" i="2"/>
  <c r="B611" i="2"/>
  <c r="D610" i="2"/>
  <c r="C610" i="2"/>
  <c r="B610" i="2"/>
  <c r="Q813" i="1"/>
  <c r="U813" i="1" s="1"/>
  <c r="D609" i="2"/>
  <c r="C609" i="2"/>
  <c r="B609" i="2"/>
  <c r="Q1223" i="1"/>
  <c r="U1223" i="1" s="1"/>
  <c r="D608" i="2"/>
  <c r="C608" i="2"/>
  <c r="B608" i="2"/>
  <c r="D607" i="2"/>
  <c r="C607" i="2"/>
  <c r="B607" i="2"/>
  <c r="Q915" i="1"/>
  <c r="U915" i="1" s="1"/>
  <c r="D606" i="2"/>
  <c r="C606" i="2"/>
  <c r="B606" i="2"/>
  <c r="D605" i="2"/>
  <c r="C605" i="2"/>
  <c r="B605" i="2"/>
  <c r="Q910" i="1"/>
  <c r="U910" i="1" s="1"/>
  <c r="D604" i="2"/>
  <c r="C604" i="2"/>
  <c r="B604" i="2"/>
  <c r="Q631" i="1"/>
  <c r="U631" i="1" s="1"/>
  <c r="D603" i="2"/>
  <c r="C603" i="2"/>
  <c r="B603" i="2"/>
  <c r="Q630" i="1"/>
  <c r="U630" i="1" s="1"/>
  <c r="D602" i="2"/>
  <c r="C602" i="2"/>
  <c r="B602" i="2"/>
  <c r="Q767" i="1"/>
  <c r="U767" i="1" s="1"/>
  <c r="D601" i="2"/>
  <c r="C601" i="2"/>
  <c r="B601" i="2"/>
  <c r="Q766" i="1"/>
  <c r="U766" i="1" s="1"/>
  <c r="D600" i="2"/>
  <c r="C600" i="2"/>
  <c r="B600" i="2"/>
  <c r="Q765" i="1"/>
  <c r="U765" i="1" s="1"/>
  <c r="D599" i="2"/>
  <c r="C599" i="2"/>
  <c r="B599" i="2"/>
  <c r="Q909" i="1"/>
  <c r="U909" i="1" s="1"/>
  <c r="D598" i="2"/>
  <c r="C598" i="2"/>
  <c r="B598" i="2"/>
  <c r="Q908" i="1"/>
  <c r="U908" i="1" s="1"/>
  <c r="D597" i="2"/>
  <c r="C597" i="2"/>
  <c r="B597" i="2"/>
  <c r="Q790" i="1"/>
  <c r="U790" i="1" s="1"/>
  <c r="D596" i="2"/>
  <c r="C596" i="2"/>
  <c r="B596" i="2"/>
  <c r="Q872" i="1"/>
  <c r="U872" i="1" s="1"/>
  <c r="D595" i="2"/>
  <c r="C595" i="2"/>
  <c r="B595" i="2"/>
  <c r="Q1070" i="1"/>
  <c r="U1070" i="1" s="1"/>
  <c r="D594" i="2"/>
  <c r="C594" i="2"/>
  <c r="B594" i="2"/>
  <c r="Q1030" i="1"/>
  <c r="U1030" i="1" s="1"/>
  <c r="D593" i="2"/>
  <c r="C593" i="2"/>
  <c r="B593" i="2"/>
  <c r="Q1029" i="1"/>
  <c r="U1029" i="1" s="1"/>
  <c r="D592" i="2"/>
  <c r="C592" i="2"/>
  <c r="B592" i="2"/>
  <c r="Q1028" i="1"/>
  <c r="U1028" i="1" s="1"/>
  <c r="D591" i="2"/>
  <c r="C591" i="2"/>
  <c r="B591" i="2"/>
  <c r="Q1045" i="1"/>
  <c r="U1045" i="1" s="1"/>
  <c r="D590" i="2"/>
  <c r="C590" i="2"/>
  <c r="B590" i="2"/>
  <c r="Q1027" i="1"/>
  <c r="U1027" i="1" s="1"/>
  <c r="D589" i="2"/>
  <c r="C589" i="2"/>
  <c r="B589" i="2"/>
  <c r="Q1026" i="1"/>
  <c r="U1026" i="1" s="1"/>
  <c r="D588" i="2"/>
  <c r="C588" i="2"/>
  <c r="B588" i="2"/>
  <c r="Q418" i="1"/>
  <c r="U418" i="1" s="1"/>
  <c r="D587" i="2"/>
  <c r="C587" i="2"/>
  <c r="B587" i="2"/>
  <c r="Q1044" i="1"/>
  <c r="U1044" i="1" s="1"/>
  <c r="D586" i="2"/>
  <c r="C586" i="2"/>
  <c r="B586" i="2"/>
  <c r="Q1050" i="1"/>
  <c r="U1050" i="1" s="1"/>
  <c r="D585" i="2"/>
  <c r="C585" i="2"/>
  <c r="B585" i="2"/>
  <c r="Q1025" i="1"/>
  <c r="U1025" i="1" s="1"/>
  <c r="D584" i="2"/>
  <c r="C584" i="2"/>
  <c r="B584" i="2"/>
  <c r="Q1195" i="1"/>
  <c r="U1195" i="1" s="1"/>
  <c r="D583" i="2"/>
  <c r="C583" i="2"/>
  <c r="B583" i="2"/>
  <c r="Q729" i="1"/>
  <c r="U729" i="1" s="1"/>
  <c r="D582" i="2"/>
  <c r="C582" i="2"/>
  <c r="B582" i="2"/>
  <c r="Q1299" i="1"/>
  <c r="U1299" i="1" s="1"/>
  <c r="D581" i="2"/>
  <c r="C581" i="2"/>
  <c r="B581" i="2"/>
  <c r="Q1194" i="1"/>
  <c r="U1194" i="1" s="1"/>
  <c r="D580" i="2"/>
  <c r="C580" i="2"/>
  <c r="B580" i="2"/>
  <c r="Q1283" i="1"/>
  <c r="U1283" i="1" s="1"/>
  <c r="D579" i="2"/>
  <c r="C579" i="2"/>
  <c r="B579" i="2"/>
  <c r="Q1121" i="1"/>
  <c r="U1121" i="1" s="1"/>
  <c r="D578" i="2"/>
  <c r="C578" i="2"/>
  <c r="B578" i="2"/>
  <c r="Q1165" i="1"/>
  <c r="U1165" i="1" s="1"/>
  <c r="D577" i="2"/>
  <c r="C577" i="2"/>
  <c r="B577" i="2"/>
  <c r="Q21" i="1"/>
  <c r="U21" i="1" s="1"/>
  <c r="D576" i="2"/>
  <c r="C576" i="2"/>
  <c r="B576" i="2"/>
  <c r="Q20" i="1"/>
  <c r="U20" i="1" s="1"/>
  <c r="D575" i="2"/>
  <c r="C575" i="2"/>
  <c r="B575" i="2"/>
  <c r="Q884" i="1"/>
  <c r="U884" i="1" s="1"/>
  <c r="D574" i="2"/>
  <c r="C574" i="2"/>
  <c r="B574" i="2"/>
  <c r="Q759" i="1"/>
  <c r="U759" i="1" s="1"/>
  <c r="D573" i="2"/>
  <c r="C573" i="2"/>
  <c r="B573" i="2"/>
  <c r="Q883" i="1"/>
  <c r="U883" i="1" s="1"/>
  <c r="D572" i="2"/>
  <c r="C572" i="2"/>
  <c r="B572" i="2"/>
  <c r="Q1019" i="1"/>
  <c r="U1019" i="1" s="1"/>
  <c r="D571" i="2"/>
  <c r="C571" i="2"/>
  <c r="B571" i="2"/>
  <c r="Q1018" i="1"/>
  <c r="U1018" i="1" s="1"/>
  <c r="D570" i="2"/>
  <c r="C570" i="2"/>
  <c r="B570" i="2"/>
  <c r="Q1017" i="1"/>
  <c r="U1017" i="1" s="1"/>
  <c r="D569" i="2"/>
  <c r="C569" i="2"/>
  <c r="B569" i="2"/>
  <c r="Q1229" i="1"/>
  <c r="U1229" i="1" s="1"/>
  <c r="D568" i="2"/>
  <c r="C568" i="2"/>
  <c r="B568" i="2"/>
  <c r="Q1484" i="1"/>
  <c r="U1484" i="1" s="1"/>
  <c r="D567" i="2"/>
  <c r="C567" i="2"/>
  <c r="B567" i="2"/>
  <c r="Q1483" i="1"/>
  <c r="U1483" i="1" s="1"/>
  <c r="D566" i="2"/>
  <c r="C566" i="2"/>
  <c r="B566" i="2"/>
  <c r="Q1228" i="1"/>
  <c r="U1228" i="1" s="1"/>
  <c r="D565" i="2"/>
  <c r="C565" i="2"/>
  <c r="B565" i="2"/>
  <c r="Q1012" i="1"/>
  <c r="U1012" i="1" s="1"/>
  <c r="D564" i="2"/>
  <c r="C564" i="2"/>
  <c r="B564" i="2"/>
  <c r="Q956" i="1"/>
  <c r="U956" i="1" s="1"/>
  <c r="D563" i="2"/>
  <c r="C563" i="2"/>
  <c r="B563" i="2"/>
  <c r="Q882" i="1"/>
  <c r="U882" i="1" s="1"/>
  <c r="D562" i="2"/>
  <c r="C562" i="2"/>
  <c r="B562" i="2"/>
  <c r="Q971" i="1"/>
  <c r="U971" i="1" s="1"/>
  <c r="D561" i="2"/>
  <c r="C561" i="2"/>
  <c r="B561" i="2"/>
  <c r="Q991" i="1"/>
  <c r="U991" i="1" s="1"/>
  <c r="D560" i="2"/>
  <c r="C560" i="2"/>
  <c r="B560" i="2"/>
  <c r="Q970" i="1"/>
  <c r="U970" i="1" s="1"/>
  <c r="D559" i="2"/>
  <c r="C559" i="2"/>
  <c r="B559" i="2"/>
  <c r="Q969" i="1"/>
  <c r="U969" i="1" s="1"/>
  <c r="D558" i="2"/>
  <c r="C558" i="2"/>
  <c r="B558" i="2"/>
  <c r="Q1490" i="1"/>
  <c r="U1490" i="1" s="1"/>
  <c r="D557" i="2"/>
  <c r="C557" i="2"/>
  <c r="B557" i="2"/>
  <c r="Q968" i="1"/>
  <c r="U968" i="1" s="1"/>
  <c r="D556" i="2"/>
  <c r="C556" i="2"/>
  <c r="B556" i="2"/>
  <c r="Q967" i="1"/>
  <c r="U967" i="1" s="1"/>
  <c r="D555" i="2"/>
  <c r="C555" i="2"/>
  <c r="B555" i="2"/>
  <c r="D554" i="2"/>
  <c r="C554" i="2"/>
  <c r="B554" i="2"/>
  <c r="Q965" i="1"/>
  <c r="U965" i="1" s="1"/>
  <c r="D553" i="2"/>
  <c r="C553" i="2"/>
  <c r="B553" i="2"/>
  <c r="Q964" i="1"/>
  <c r="U964" i="1" s="1"/>
  <c r="D552" i="2"/>
  <c r="C552" i="2"/>
  <c r="B552" i="2"/>
  <c r="Q1004" i="1"/>
  <c r="U1004" i="1" s="1"/>
  <c r="D551" i="2"/>
  <c r="C551" i="2"/>
  <c r="B551" i="2"/>
  <c r="Q794" i="1"/>
  <c r="U794" i="1" s="1"/>
  <c r="D550" i="2"/>
  <c r="C550" i="2"/>
  <c r="B550" i="2"/>
  <c r="Q1003" i="1"/>
  <c r="U1003" i="1" s="1"/>
  <c r="D549" i="2"/>
  <c r="C549" i="2"/>
  <c r="B549" i="2"/>
  <c r="Q1002" i="1"/>
  <c r="U1002" i="1" s="1"/>
  <c r="D548" i="2"/>
  <c r="C548" i="2"/>
  <c r="B548" i="2"/>
  <c r="Q1001" i="1"/>
  <c r="U1001" i="1" s="1"/>
  <c r="D547" i="2"/>
  <c r="C547" i="2"/>
  <c r="B547" i="2"/>
  <c r="Q990" i="1"/>
  <c r="U990" i="1" s="1"/>
  <c r="D546" i="2"/>
  <c r="C546" i="2"/>
  <c r="B546" i="2"/>
  <c r="Q1011" i="1"/>
  <c r="U1011" i="1" s="1"/>
  <c r="D545" i="2"/>
  <c r="C545" i="2"/>
  <c r="B545" i="2"/>
  <c r="Q1010" i="1"/>
  <c r="U1010" i="1" s="1"/>
  <c r="D544" i="2"/>
  <c r="C544" i="2"/>
  <c r="B544" i="2"/>
  <c r="Q1009" i="1"/>
  <c r="U1009" i="1" s="1"/>
  <c r="D543" i="2"/>
  <c r="C543" i="2"/>
  <c r="B543" i="2"/>
  <c r="Q989" i="1"/>
  <c r="U989" i="1" s="1"/>
  <c r="D542" i="2"/>
  <c r="C542" i="2"/>
  <c r="B542" i="2"/>
  <c r="Q988" i="1"/>
  <c r="U988" i="1" s="1"/>
  <c r="D541" i="2"/>
  <c r="C541" i="2"/>
  <c r="B541" i="2"/>
  <c r="Q963" i="1"/>
  <c r="U963" i="1" s="1"/>
  <c r="D540" i="2"/>
  <c r="C540" i="2"/>
  <c r="B540" i="2"/>
  <c r="Q1170" i="1"/>
  <c r="U1170" i="1" s="1"/>
  <c r="D539" i="2"/>
  <c r="C539" i="2"/>
  <c r="B539" i="2"/>
  <c r="Q1110" i="1"/>
  <c r="U1110" i="1" s="1"/>
  <c r="D538" i="2"/>
  <c r="C538" i="2"/>
  <c r="B538" i="2"/>
  <c r="Q1233" i="1"/>
  <c r="U1233" i="1" s="1"/>
  <c r="D537" i="2"/>
  <c r="C537" i="2"/>
  <c r="B537" i="2"/>
  <c r="Q1227" i="1"/>
  <c r="U1227" i="1" s="1"/>
  <c r="D536" i="2"/>
  <c r="C536" i="2"/>
  <c r="B536" i="2"/>
  <c r="Q1222" i="1"/>
  <c r="U1222" i="1" s="1"/>
  <c r="D535" i="2"/>
  <c r="C535" i="2"/>
  <c r="B535" i="2"/>
  <c r="Q1232" i="1"/>
  <c r="U1232" i="1" s="1"/>
  <c r="D534" i="2"/>
  <c r="C534" i="2"/>
  <c r="B534" i="2"/>
  <c r="Q860" i="1"/>
  <c r="U860" i="1" s="1"/>
  <c r="D533" i="2"/>
  <c r="C533" i="2"/>
  <c r="B533" i="2"/>
  <c r="Q1120" i="1"/>
  <c r="U1120" i="1" s="1"/>
  <c r="D532" i="2"/>
  <c r="C532" i="2"/>
  <c r="B532" i="2"/>
  <c r="Q1119" i="1"/>
  <c r="U1119" i="1" s="1"/>
  <c r="D531" i="2"/>
  <c r="C531" i="2"/>
  <c r="B531" i="2"/>
  <c r="Q1140" i="1"/>
  <c r="U1140" i="1" s="1"/>
  <c r="D530" i="2"/>
  <c r="C530" i="2"/>
  <c r="B530" i="2"/>
  <c r="Q1160" i="1"/>
  <c r="U1160" i="1" s="1"/>
  <c r="D529" i="2"/>
  <c r="C529" i="2"/>
  <c r="B529" i="2"/>
  <c r="Q1159" i="1"/>
  <c r="U1159" i="1" s="1"/>
  <c r="D528" i="2"/>
  <c r="C528" i="2"/>
  <c r="B528" i="2"/>
  <c r="Q1169" i="1"/>
  <c r="U1169" i="1" s="1"/>
  <c r="D527" i="2"/>
  <c r="C527" i="2"/>
  <c r="B527" i="2"/>
  <c r="Q1164" i="1"/>
  <c r="U1164" i="1" s="1"/>
  <c r="D526" i="2"/>
  <c r="C526" i="2"/>
  <c r="B526" i="2"/>
  <c r="Q1008" i="1"/>
  <c r="U1008" i="1" s="1"/>
  <c r="D525" i="2"/>
  <c r="C525" i="2"/>
  <c r="B525" i="2"/>
  <c r="Q1158" i="1"/>
  <c r="U1158" i="1" s="1"/>
  <c r="D524" i="2"/>
  <c r="C524" i="2"/>
  <c r="B524" i="2"/>
  <c r="Q417" i="1"/>
  <c r="U417" i="1" s="1"/>
  <c r="D523" i="2"/>
  <c r="C523" i="2"/>
  <c r="B523" i="2"/>
  <c r="Q416" i="1"/>
  <c r="U416" i="1" s="1"/>
  <c r="D522" i="2"/>
  <c r="C522" i="2"/>
  <c r="B522" i="2"/>
  <c r="Q415" i="1"/>
  <c r="U415" i="1" s="1"/>
  <c r="D521" i="2"/>
  <c r="C521" i="2"/>
  <c r="B521" i="2"/>
  <c r="Q414" i="1"/>
  <c r="U414" i="1" s="1"/>
  <c r="D520" i="2"/>
  <c r="C520" i="2"/>
  <c r="B520" i="2"/>
  <c r="Q413" i="1"/>
  <c r="U413" i="1" s="1"/>
  <c r="D519" i="2"/>
  <c r="C519" i="2"/>
  <c r="B519" i="2"/>
  <c r="Q1157" i="1"/>
  <c r="U1157" i="1" s="1"/>
  <c r="D518" i="2"/>
  <c r="C518" i="2"/>
  <c r="B518" i="2"/>
  <c r="Q1156" i="1"/>
  <c r="U1156" i="1" s="1"/>
  <c r="D517" i="2"/>
  <c r="C517" i="2"/>
  <c r="B517" i="2"/>
  <c r="Q1155" i="1"/>
  <c r="U1155" i="1" s="1"/>
  <c r="D516" i="2"/>
  <c r="C516" i="2"/>
  <c r="B516" i="2"/>
  <c r="Q1154" i="1"/>
  <c r="U1154" i="1" s="1"/>
  <c r="D515" i="2"/>
  <c r="C515" i="2"/>
  <c r="B515" i="2"/>
  <c r="Q1193" i="1"/>
  <c r="U1193" i="1" s="1"/>
  <c r="D514" i="2"/>
  <c r="C514" i="2"/>
  <c r="B514" i="2"/>
  <c r="Q1192" i="1"/>
  <c r="U1192" i="1" s="1"/>
  <c r="D513" i="2"/>
  <c r="C513" i="2"/>
  <c r="B513" i="2"/>
  <c r="Q1191" i="1"/>
  <c r="U1191" i="1" s="1"/>
  <c r="D512" i="2"/>
  <c r="C512" i="2"/>
  <c r="B512" i="2"/>
  <c r="Q1190" i="1"/>
  <c r="U1190" i="1" s="1"/>
  <c r="D511" i="2"/>
  <c r="C511" i="2"/>
  <c r="B511" i="2"/>
  <c r="Q1153" i="1"/>
  <c r="U1153" i="1" s="1"/>
  <c r="D510" i="2"/>
  <c r="C510" i="2"/>
  <c r="B510" i="2"/>
  <c r="Q1139" i="1"/>
  <c r="U1139" i="1" s="1"/>
  <c r="D509" i="2"/>
  <c r="C509" i="2"/>
  <c r="B509" i="2"/>
  <c r="Q1189" i="1"/>
  <c r="U1189" i="1" s="1"/>
  <c r="D508" i="2"/>
  <c r="C508" i="2"/>
  <c r="B508" i="2"/>
  <c r="Q1188" i="1"/>
  <c r="U1188" i="1" s="1"/>
  <c r="D507" i="2"/>
  <c r="C507" i="2"/>
  <c r="B507" i="2"/>
  <c r="Q1187" i="1"/>
  <c r="U1187" i="1" s="1"/>
  <c r="D506" i="2"/>
  <c r="C506" i="2"/>
  <c r="B506" i="2"/>
  <c r="Q1186" i="1"/>
  <c r="U1186" i="1" s="1"/>
  <c r="D505" i="2"/>
  <c r="C505" i="2"/>
  <c r="B505" i="2"/>
  <c r="Q1185" i="1"/>
  <c r="U1185" i="1" s="1"/>
  <c r="D504" i="2"/>
  <c r="C504" i="2"/>
  <c r="B504" i="2"/>
  <c r="Q1184" i="1"/>
  <c r="U1184" i="1" s="1"/>
  <c r="D503" i="2"/>
  <c r="C503" i="2"/>
  <c r="B503" i="2"/>
  <c r="Q1183" i="1"/>
  <c r="U1183" i="1" s="1"/>
  <c r="D502" i="2"/>
  <c r="C502" i="2"/>
  <c r="B502" i="2"/>
  <c r="Q1182" i="1"/>
  <c r="U1182" i="1" s="1"/>
  <c r="D501" i="2"/>
  <c r="C501" i="2"/>
  <c r="B501" i="2"/>
  <c r="D500" i="2"/>
  <c r="C500" i="2"/>
  <c r="B500" i="2"/>
  <c r="Q1138" i="1"/>
  <c r="U1138" i="1" s="1"/>
  <c r="D499" i="2"/>
  <c r="C499" i="2"/>
  <c r="B499" i="2"/>
  <c r="Q1137" i="1"/>
  <c r="U1137" i="1" s="1"/>
  <c r="D498" i="2"/>
  <c r="C498" i="2"/>
  <c r="B498" i="2"/>
  <c r="Q1136" i="1"/>
  <c r="U1136" i="1" s="1"/>
  <c r="D497" i="2"/>
  <c r="C497" i="2"/>
  <c r="B497" i="2"/>
  <c r="Q1135" i="1"/>
  <c r="U1135" i="1" s="1"/>
  <c r="D496" i="2"/>
  <c r="C496" i="2"/>
  <c r="B496" i="2"/>
  <c r="Q1134" i="1"/>
  <c r="U1134" i="1" s="1"/>
  <c r="D495" i="2"/>
  <c r="C495" i="2"/>
  <c r="B495" i="2"/>
  <c r="Q1151" i="1"/>
  <c r="U1151" i="1" s="1"/>
  <c r="D494" i="2"/>
  <c r="C494" i="2"/>
  <c r="B494" i="2"/>
  <c r="Q1167" i="1"/>
  <c r="U1167" i="1" s="1"/>
  <c r="D493" i="2"/>
  <c r="C493" i="2"/>
  <c r="B493" i="2"/>
  <c r="Q743" i="1"/>
  <c r="U743" i="1" s="1"/>
  <c r="D492" i="2"/>
  <c r="C492" i="2"/>
  <c r="B492" i="2"/>
  <c r="Q758" i="1"/>
  <c r="U758" i="1" s="1"/>
  <c r="D491" i="2"/>
  <c r="C491" i="2"/>
  <c r="B491" i="2"/>
  <c r="Q760" i="1"/>
  <c r="U760" i="1" s="1"/>
  <c r="D490" i="2"/>
  <c r="C490" i="2"/>
  <c r="B490" i="2"/>
  <c r="Q810" i="1"/>
  <c r="U810" i="1" s="1"/>
  <c r="D489" i="2"/>
  <c r="C489" i="2"/>
  <c r="B489" i="2"/>
  <c r="Q809" i="1"/>
  <c r="U809" i="1" s="1"/>
  <c r="D488" i="2"/>
  <c r="C488" i="2"/>
  <c r="B488" i="2"/>
  <c r="D487" i="2"/>
  <c r="C487" i="2"/>
  <c r="B487" i="2"/>
  <c r="Q749" i="1"/>
  <c r="U749" i="1" s="1"/>
  <c r="D486" i="2"/>
  <c r="C486" i="2"/>
  <c r="B486" i="2"/>
  <c r="Q741" i="1"/>
  <c r="U741" i="1" s="1"/>
  <c r="D485" i="2"/>
  <c r="C485" i="2"/>
  <c r="B485" i="2"/>
  <c r="Q740" i="1"/>
  <c r="U740" i="1" s="1"/>
  <c r="D484" i="2"/>
  <c r="C484" i="2"/>
  <c r="B484" i="2"/>
  <c r="Q808" i="1"/>
  <c r="U808" i="1" s="1"/>
  <c r="D483" i="2"/>
  <c r="C483" i="2"/>
  <c r="B483" i="2"/>
  <c r="Q807" i="1"/>
  <c r="U807" i="1" s="1"/>
  <c r="D482" i="2"/>
  <c r="C482" i="2"/>
  <c r="B482" i="2"/>
  <c r="D481" i="2"/>
  <c r="C481" i="2"/>
  <c r="B481" i="2"/>
  <c r="Q757" i="1"/>
  <c r="U757" i="1" s="1"/>
  <c r="D480" i="2"/>
  <c r="C480" i="2"/>
  <c r="B480" i="2"/>
  <c r="Q1150" i="1"/>
  <c r="U1150" i="1" s="1"/>
  <c r="D479" i="2"/>
  <c r="C479" i="2"/>
  <c r="B479" i="2"/>
  <c r="Q1118" i="1"/>
  <c r="U1118" i="1" s="1"/>
  <c r="D478" i="2"/>
  <c r="C478" i="2"/>
  <c r="B478" i="2"/>
  <c r="Q806" i="1"/>
  <c r="U806" i="1" s="1"/>
  <c r="D477" i="2"/>
  <c r="C477" i="2"/>
  <c r="B477" i="2"/>
  <c r="Q756" i="1"/>
  <c r="U756" i="1" s="1"/>
  <c r="D476" i="2"/>
  <c r="C476" i="2"/>
  <c r="B476" i="2"/>
  <c r="Q888" i="1"/>
  <c r="U888" i="1" s="1"/>
  <c r="D475" i="2"/>
  <c r="C475" i="2"/>
  <c r="B475" i="2"/>
  <c r="Q887" i="1"/>
  <c r="U887" i="1" s="1"/>
  <c r="D474" i="2"/>
  <c r="C474" i="2"/>
  <c r="B474" i="2"/>
  <c r="Q728" i="1"/>
  <c r="U728" i="1" s="1"/>
  <c r="D473" i="2"/>
  <c r="C473" i="2"/>
  <c r="B473" i="2"/>
  <c r="Q114" i="1"/>
  <c r="U114" i="1" s="1"/>
  <c r="D472" i="2"/>
  <c r="C472" i="2"/>
  <c r="B472" i="2"/>
  <c r="Q847" i="1"/>
  <c r="U847" i="1" s="1"/>
  <c r="D471" i="2"/>
  <c r="C471" i="2"/>
  <c r="B471" i="2"/>
  <c r="Q846" i="1"/>
  <c r="U846" i="1" s="1"/>
  <c r="D470" i="2"/>
  <c r="C470" i="2"/>
  <c r="B470" i="2"/>
  <c r="Q845" i="1"/>
  <c r="U845" i="1" s="1"/>
  <c r="D469" i="2"/>
  <c r="C469" i="2"/>
  <c r="B469" i="2"/>
  <c r="Q1343" i="1"/>
  <c r="U1343" i="1" s="1"/>
  <c r="D468" i="2"/>
  <c r="C468" i="2"/>
  <c r="B468" i="2"/>
  <c r="Q955" i="1"/>
  <c r="U955" i="1" s="1"/>
  <c r="D467" i="2"/>
  <c r="C467" i="2"/>
  <c r="B467" i="2"/>
  <c r="Q987" i="1"/>
  <c r="U987" i="1" s="1"/>
  <c r="D466" i="2"/>
  <c r="C466" i="2"/>
  <c r="B466" i="2"/>
  <c r="Q954" i="1"/>
  <c r="U954" i="1" s="1"/>
  <c r="D465" i="2"/>
  <c r="C465" i="2"/>
  <c r="B465" i="2"/>
  <c r="Q986" i="1"/>
  <c r="U986" i="1" s="1"/>
  <c r="D464" i="2"/>
  <c r="C464" i="2"/>
  <c r="B464" i="2"/>
  <c r="Q985" i="1"/>
  <c r="U985" i="1" s="1"/>
  <c r="D463" i="2"/>
  <c r="C463" i="2"/>
  <c r="B463" i="2"/>
  <c r="Q953" i="1"/>
  <c r="U953" i="1" s="1"/>
  <c r="D462" i="2"/>
  <c r="C462" i="2"/>
  <c r="B462" i="2"/>
  <c r="Q984" i="1"/>
  <c r="U984" i="1" s="1"/>
  <c r="D461" i="2"/>
  <c r="C461" i="2"/>
  <c r="B461" i="2"/>
  <c r="Q983" i="1"/>
  <c r="U983" i="1" s="1"/>
  <c r="D460" i="2"/>
  <c r="C460" i="2"/>
  <c r="B460" i="2"/>
  <c r="Q982" i="1"/>
  <c r="U982" i="1" s="1"/>
  <c r="D459" i="2"/>
  <c r="C459" i="2"/>
  <c r="B459" i="2"/>
  <c r="Q981" i="1"/>
  <c r="U981" i="1" s="1"/>
  <c r="D458" i="2"/>
  <c r="C458" i="2"/>
  <c r="B458" i="2"/>
  <c r="Q130" i="1"/>
  <c r="U130" i="1" s="1"/>
  <c r="D457" i="2"/>
  <c r="C457" i="2"/>
  <c r="B457" i="2"/>
  <c r="Q980" i="1"/>
  <c r="U980" i="1" s="1"/>
  <c r="D456" i="2"/>
  <c r="C456" i="2"/>
  <c r="B456" i="2"/>
  <c r="Q979" i="1"/>
  <c r="U979" i="1" s="1"/>
  <c r="D455" i="2"/>
  <c r="C455" i="2"/>
  <c r="B455" i="2"/>
  <c r="Q952" i="1"/>
  <c r="U952" i="1" s="1"/>
  <c r="D454" i="2"/>
  <c r="C454" i="2"/>
  <c r="B454" i="2"/>
  <c r="Q881" i="1"/>
  <c r="U881" i="1" s="1"/>
  <c r="D453" i="2"/>
  <c r="C453" i="2"/>
  <c r="B453" i="2"/>
  <c r="Q962" i="1"/>
  <c r="U962" i="1" s="1"/>
  <c r="D452" i="2"/>
  <c r="C452" i="2"/>
  <c r="B452" i="2"/>
  <c r="Q961" i="1"/>
  <c r="U961" i="1" s="1"/>
  <c r="D451" i="2"/>
  <c r="C451" i="2"/>
  <c r="B451" i="2"/>
  <c r="Q960" i="1"/>
  <c r="U960" i="1" s="1"/>
  <c r="D450" i="2"/>
  <c r="C450" i="2"/>
  <c r="B450" i="2"/>
  <c r="Q959" i="1"/>
  <c r="U959" i="1" s="1"/>
  <c r="D449" i="2"/>
  <c r="C449" i="2"/>
  <c r="B449" i="2"/>
  <c r="D448" i="2"/>
  <c r="C448" i="2"/>
  <c r="B448" i="2"/>
  <c r="Q645" i="1"/>
  <c r="U645" i="1" s="1"/>
  <c r="D447" i="2"/>
  <c r="C447" i="2"/>
  <c r="B447" i="2"/>
  <c r="Q644" i="1"/>
  <c r="U644" i="1" s="1"/>
  <c r="D446" i="2"/>
  <c r="C446" i="2"/>
  <c r="B446" i="2"/>
  <c r="Q629" i="1"/>
  <c r="U629" i="1" s="1"/>
  <c r="D445" i="2"/>
  <c r="C445" i="2"/>
  <c r="B445" i="2"/>
  <c r="Q1114" i="1"/>
  <c r="U1114" i="1" s="1"/>
  <c r="D444" i="2"/>
  <c r="C444" i="2"/>
  <c r="B444" i="2"/>
  <c r="Q484" i="1"/>
  <c r="U484" i="1" s="1"/>
  <c r="D443" i="2"/>
  <c r="C443" i="2"/>
  <c r="B443" i="2"/>
  <c r="Q1168" i="1"/>
  <c r="U1168" i="1" s="1"/>
  <c r="D442" i="2"/>
  <c r="C442" i="2"/>
  <c r="B442" i="2"/>
  <c r="Q1231" i="1"/>
  <c r="U1231" i="1" s="1"/>
  <c r="D441" i="2"/>
  <c r="C441" i="2"/>
  <c r="B441" i="2"/>
  <c r="Q1230" i="1"/>
  <c r="U1230" i="1" s="1"/>
  <c r="D440" i="2"/>
  <c r="C440" i="2"/>
  <c r="B440" i="2"/>
  <c r="Q880" i="1"/>
  <c r="U880" i="1" s="1"/>
  <c r="D439" i="2"/>
  <c r="C439" i="2"/>
  <c r="B439" i="2"/>
  <c r="Q951" i="1"/>
  <c r="U951" i="1" s="1"/>
  <c r="D438" i="2"/>
  <c r="C438" i="2"/>
  <c r="B438" i="2"/>
  <c r="Q805" i="1"/>
  <c r="U805" i="1" s="1"/>
  <c r="D437" i="2"/>
  <c r="C437" i="2"/>
  <c r="B437" i="2"/>
  <c r="D436" i="2"/>
  <c r="C436" i="2"/>
  <c r="B436" i="2"/>
  <c r="D435" i="2"/>
  <c r="C435" i="2"/>
  <c r="B435" i="2"/>
  <c r="D434" i="2"/>
  <c r="C434" i="2"/>
  <c r="B434" i="2"/>
  <c r="D433" i="2"/>
  <c r="C433" i="2"/>
  <c r="B433" i="2"/>
  <c r="D432" i="2"/>
  <c r="C432" i="2"/>
  <c r="B432" i="2"/>
  <c r="Q1000" i="1"/>
  <c r="U1000" i="1" s="1"/>
  <c r="D431" i="2"/>
  <c r="C431" i="2"/>
  <c r="B431" i="2"/>
  <c r="Q804" i="1"/>
  <c r="U804" i="1" s="1"/>
  <c r="D430" i="2"/>
  <c r="C430" i="2"/>
  <c r="B430" i="2"/>
  <c r="Q999" i="1"/>
  <c r="U999" i="1" s="1"/>
  <c r="D429" i="2"/>
  <c r="C429" i="2"/>
  <c r="B429" i="2"/>
  <c r="Q978" i="1"/>
  <c r="U978" i="1" s="1"/>
  <c r="D428" i="2"/>
  <c r="C428" i="2"/>
  <c r="B428" i="2"/>
  <c r="Q977" i="1"/>
  <c r="U977" i="1" s="1"/>
  <c r="D427" i="2"/>
  <c r="C427" i="2"/>
  <c r="B427" i="2"/>
  <c r="Q145" i="1"/>
  <c r="U145" i="1" s="1"/>
  <c r="D426" i="2"/>
  <c r="C426" i="2"/>
  <c r="B426" i="2"/>
  <c r="Q1133" i="1"/>
  <c r="U1133" i="1" s="1"/>
  <c r="D425" i="2"/>
  <c r="C425" i="2"/>
  <c r="B425" i="2"/>
  <c r="Q1180" i="1"/>
  <c r="U1180" i="1" s="1"/>
  <c r="D424" i="2"/>
  <c r="C424" i="2"/>
  <c r="B424" i="2"/>
  <c r="Q1148" i="1"/>
  <c r="U1148" i="1" s="1"/>
  <c r="D423" i="2"/>
  <c r="C423" i="2"/>
  <c r="B423" i="2"/>
  <c r="Q1179" i="1"/>
  <c r="U1179" i="1" s="1"/>
  <c r="D422" i="2"/>
  <c r="C422" i="2"/>
  <c r="B422" i="2"/>
  <c r="Q1178" i="1"/>
  <c r="U1178" i="1" s="1"/>
  <c r="D421" i="2"/>
  <c r="C421" i="2"/>
  <c r="B421" i="2"/>
  <c r="Q1177" i="1"/>
  <c r="U1177" i="1" s="1"/>
  <c r="D420" i="2"/>
  <c r="C420" i="2"/>
  <c r="B420" i="2"/>
  <c r="Q1176" i="1"/>
  <c r="U1176" i="1" s="1"/>
  <c r="D419" i="2"/>
  <c r="C419" i="2"/>
  <c r="B419" i="2"/>
  <c r="Q1175" i="1"/>
  <c r="U1175" i="1" s="1"/>
  <c r="D418" i="2"/>
  <c r="C418" i="2"/>
  <c r="B418" i="2"/>
  <c r="Q1147" i="1"/>
  <c r="U1147" i="1" s="1"/>
  <c r="D417" i="2"/>
  <c r="C417" i="2"/>
  <c r="B417" i="2"/>
  <c r="D416" i="2"/>
  <c r="C416" i="2"/>
  <c r="B416" i="2"/>
  <c r="Q1146" i="1"/>
  <c r="U1146" i="1" s="1"/>
  <c r="D415" i="2"/>
  <c r="C415" i="2"/>
  <c r="B415" i="2"/>
  <c r="Q1131" i="1"/>
  <c r="U1131" i="1" s="1"/>
  <c r="D414" i="2"/>
  <c r="C414" i="2"/>
  <c r="B414" i="2"/>
  <c r="Q1130" i="1"/>
  <c r="U1130" i="1" s="1"/>
  <c r="D413" i="2"/>
  <c r="C413" i="2"/>
  <c r="B413" i="2"/>
  <c r="Q1129" i="1"/>
  <c r="U1129" i="1" s="1"/>
  <c r="D412" i="2"/>
  <c r="C412" i="2"/>
  <c r="B412" i="2"/>
  <c r="Q1115" i="1"/>
  <c r="U1115" i="1" s="1"/>
  <c r="D411" i="2"/>
  <c r="C411" i="2"/>
  <c r="B411" i="2"/>
  <c r="Q1163" i="1"/>
  <c r="U1163" i="1" s="1"/>
  <c r="D410" i="2"/>
  <c r="C410" i="2"/>
  <c r="B410" i="2"/>
  <c r="Q1162" i="1"/>
  <c r="U1162" i="1" s="1"/>
  <c r="D409" i="2"/>
  <c r="C409" i="2"/>
  <c r="B409" i="2"/>
  <c r="Q1145" i="1"/>
  <c r="U1145" i="1" s="1"/>
  <c r="D408" i="2"/>
  <c r="C408" i="2"/>
  <c r="B408" i="2"/>
  <c r="Q1144" i="1"/>
  <c r="U1144" i="1" s="1"/>
  <c r="D407" i="2"/>
  <c r="C407" i="2"/>
  <c r="B407" i="2"/>
  <c r="Q1128" i="1"/>
  <c r="U1128" i="1" s="1"/>
  <c r="D406" i="2"/>
  <c r="C406" i="2"/>
  <c r="B406" i="2"/>
  <c r="Q1174" i="1"/>
  <c r="U1174" i="1" s="1"/>
  <c r="D405" i="2"/>
  <c r="C405" i="2"/>
  <c r="B405" i="2"/>
  <c r="Q1127" i="1"/>
  <c r="U1127" i="1" s="1"/>
  <c r="D404" i="2"/>
  <c r="C404" i="2"/>
  <c r="B404" i="2"/>
  <c r="Q1173" i="1"/>
  <c r="U1173" i="1" s="1"/>
  <c r="D403" i="2"/>
  <c r="C403" i="2"/>
  <c r="B403" i="2"/>
  <c r="Q1205" i="1"/>
  <c r="U1205" i="1" s="1"/>
  <c r="D402" i="2"/>
  <c r="C402" i="2"/>
  <c r="B402" i="2"/>
  <c r="Q1204" i="1"/>
  <c r="U1204" i="1" s="1"/>
  <c r="D401" i="2"/>
  <c r="C401" i="2"/>
  <c r="B401" i="2"/>
  <c r="Q1203" i="1"/>
  <c r="U1203" i="1" s="1"/>
  <c r="D400" i="2"/>
  <c r="C400" i="2"/>
  <c r="B400" i="2"/>
  <c r="Q1202" i="1"/>
  <c r="U1202" i="1" s="1"/>
  <c r="D399" i="2"/>
  <c r="C399" i="2"/>
  <c r="B399" i="2"/>
  <c r="Q1126" i="1"/>
  <c r="U1126" i="1" s="1"/>
  <c r="D398" i="2"/>
  <c r="C398" i="2"/>
  <c r="B398" i="2"/>
  <c r="D397" i="2"/>
  <c r="C397" i="2"/>
  <c r="B397" i="2"/>
  <c r="Q748" i="1"/>
  <c r="U748" i="1" s="1"/>
  <c r="D396" i="2"/>
  <c r="C396" i="2"/>
  <c r="B396" i="2"/>
  <c r="Q659" i="1"/>
  <c r="U659" i="1" s="1"/>
  <c r="D395" i="2"/>
  <c r="C395" i="2"/>
  <c r="B395" i="2"/>
  <c r="Q925" i="1"/>
  <c r="U925" i="1" s="1"/>
  <c r="D394" i="2"/>
  <c r="C394" i="2"/>
  <c r="B394" i="2"/>
  <c r="Q747" i="1"/>
  <c r="U747" i="1" s="1"/>
  <c r="D393" i="2"/>
  <c r="C393" i="2"/>
  <c r="B393" i="2"/>
  <c r="Q754" i="1"/>
  <c r="U754" i="1" s="1"/>
  <c r="D392" i="2"/>
  <c r="C392" i="2"/>
  <c r="B392" i="2"/>
  <c r="D391" i="2"/>
  <c r="C391" i="2"/>
  <c r="B391" i="2"/>
  <c r="Q812" i="1"/>
  <c r="U812" i="1" s="1"/>
  <c r="D390" i="2"/>
  <c r="C390" i="2"/>
  <c r="B390" i="2"/>
  <c r="Q802" i="1"/>
  <c r="U802" i="1" s="1"/>
  <c r="D389" i="2"/>
  <c r="C389" i="2"/>
  <c r="B389" i="2"/>
  <c r="Q658" i="1"/>
  <c r="U658" i="1" s="1"/>
  <c r="D388" i="2"/>
  <c r="C388" i="2"/>
  <c r="B388" i="2"/>
  <c r="Q801" i="1"/>
  <c r="U801" i="1" s="1"/>
  <c r="D387" i="2"/>
  <c r="C387" i="2"/>
  <c r="B387" i="2"/>
  <c r="Q799" i="1"/>
  <c r="U799" i="1" s="1"/>
  <c r="D386" i="2"/>
  <c r="C386" i="2"/>
  <c r="B386" i="2"/>
  <c r="Q746" i="1"/>
  <c r="U746" i="1" s="1"/>
  <c r="D385" i="2"/>
  <c r="C385" i="2"/>
  <c r="B385" i="2"/>
  <c r="Q1166" i="1"/>
  <c r="U1166" i="1" s="1"/>
  <c r="D384" i="2"/>
  <c r="C384" i="2"/>
  <c r="B384" i="2"/>
  <c r="Q838" i="1"/>
  <c r="U838" i="1" s="1"/>
  <c r="D383" i="2"/>
  <c r="C383" i="2"/>
  <c r="B383" i="2"/>
  <c r="Q1244" i="1"/>
  <c r="U1244" i="1" s="1"/>
  <c r="D382" i="2"/>
  <c r="C382" i="2"/>
  <c r="B382" i="2"/>
  <c r="D381" i="2"/>
  <c r="C381" i="2"/>
  <c r="B381" i="2"/>
  <c r="D380" i="2"/>
  <c r="C380" i="2"/>
  <c r="B380" i="2"/>
  <c r="D379" i="2"/>
  <c r="C379" i="2"/>
  <c r="B379" i="2"/>
  <c r="D378" i="2"/>
  <c r="C378" i="2"/>
  <c r="B378" i="2"/>
  <c r="Q711" i="1"/>
  <c r="U711" i="1" s="1"/>
  <c r="D377" i="2"/>
  <c r="C377" i="2"/>
  <c r="B377" i="2"/>
  <c r="Q710" i="1"/>
  <c r="U710" i="1" s="1"/>
  <c r="D376" i="2"/>
  <c r="C376" i="2"/>
  <c r="B376" i="2"/>
  <c r="Q685" i="1"/>
  <c r="U685" i="1" s="1"/>
  <c r="D375" i="2"/>
  <c r="C375" i="2"/>
  <c r="B375" i="2"/>
  <c r="Q709" i="1"/>
  <c r="U709" i="1" s="1"/>
  <c r="D374" i="2"/>
  <c r="C374" i="2"/>
  <c r="B374" i="2"/>
  <c r="Q684" i="1"/>
  <c r="U684" i="1" s="1"/>
  <c r="D373" i="2"/>
  <c r="C373" i="2"/>
  <c r="B373" i="2"/>
  <c r="Q708" i="1"/>
  <c r="U708" i="1" s="1"/>
  <c r="D372" i="2"/>
  <c r="C372" i="2"/>
  <c r="B372" i="2"/>
  <c r="Q707" i="1"/>
  <c r="U707" i="1" s="1"/>
  <c r="D371" i="2"/>
  <c r="C371" i="2"/>
  <c r="B371" i="2"/>
  <c r="Q706" i="1"/>
  <c r="U706" i="1" s="1"/>
  <c r="D370" i="2"/>
  <c r="C370" i="2"/>
  <c r="B370" i="2"/>
  <c r="Q683" i="1"/>
  <c r="U683" i="1" s="1"/>
  <c r="D369" i="2"/>
  <c r="C369" i="2"/>
  <c r="B369" i="2"/>
  <c r="Q705" i="1"/>
  <c r="U705" i="1" s="1"/>
  <c r="D368" i="2"/>
  <c r="C368" i="2"/>
  <c r="B368" i="2"/>
  <c r="Q258" i="1"/>
  <c r="U258" i="1" s="1"/>
  <c r="D367" i="2"/>
  <c r="C367" i="2"/>
  <c r="B367" i="2"/>
  <c r="Q682" i="1"/>
  <c r="U682" i="1" s="1"/>
  <c r="D366" i="2"/>
  <c r="C366" i="2"/>
  <c r="B366" i="2"/>
  <c r="Q657" i="1"/>
  <c r="U657" i="1" s="1"/>
  <c r="D365" i="2"/>
  <c r="C365" i="2"/>
  <c r="B365" i="2"/>
  <c r="Q656" i="1"/>
  <c r="U656" i="1" s="1"/>
  <c r="D364" i="2"/>
  <c r="C364" i="2"/>
  <c r="B364" i="2"/>
  <c r="Q1325" i="1"/>
  <c r="U1325" i="1" s="1"/>
  <c r="D363" i="2"/>
  <c r="C363" i="2"/>
  <c r="B363" i="2"/>
  <c r="Q1324" i="1"/>
  <c r="D362" i="2"/>
  <c r="C362" i="2"/>
  <c r="B362" i="2"/>
  <c r="Q1323" i="1"/>
  <c r="U1323" i="1" s="1"/>
  <c r="D361" i="2"/>
  <c r="C361" i="2"/>
  <c r="B361" i="2"/>
  <c r="Q1322" i="1"/>
  <c r="U1322" i="1" s="1"/>
  <c r="D360" i="2"/>
  <c r="C360" i="2"/>
  <c r="B360" i="2"/>
  <c r="Q1342" i="1"/>
  <c r="U1342" i="1" s="1"/>
  <c r="D359" i="2"/>
  <c r="C359" i="2"/>
  <c r="B359" i="2"/>
  <c r="Q1341" i="1"/>
  <c r="U1341" i="1" s="1"/>
  <c r="D358" i="2"/>
  <c r="C358" i="2"/>
  <c r="B358" i="2"/>
  <c r="D357" i="2"/>
  <c r="C357" i="2"/>
  <c r="B357" i="2"/>
  <c r="Q1312" i="1"/>
  <c r="U1312" i="1" s="1"/>
  <c r="D356" i="2"/>
  <c r="C356" i="2"/>
  <c r="B356" i="2"/>
  <c r="Q643" i="1"/>
  <c r="U643" i="1" s="1"/>
  <c r="D355" i="2"/>
  <c r="C355" i="2"/>
  <c r="B355" i="2"/>
  <c r="Q628" i="1"/>
  <c r="U628" i="1" s="1"/>
  <c r="D354" i="2"/>
  <c r="C354" i="2"/>
  <c r="B354" i="2"/>
  <c r="Q627" i="1"/>
  <c r="U627" i="1" s="1"/>
  <c r="D353" i="2"/>
  <c r="C353" i="2"/>
  <c r="B353" i="2"/>
  <c r="Q642" i="1"/>
  <c r="U642" i="1" s="1"/>
  <c r="D352" i="2"/>
  <c r="C352" i="2"/>
  <c r="B352" i="2"/>
  <c r="Q1389" i="1"/>
  <c r="U1389" i="1" s="1"/>
  <c r="D351" i="2"/>
  <c r="C351" i="2"/>
  <c r="B351" i="2"/>
  <c r="Q1366" i="1"/>
  <c r="U1366" i="1" s="1"/>
  <c r="D350" i="2"/>
  <c r="C350" i="2"/>
  <c r="B350" i="2"/>
  <c r="Q568" i="1"/>
  <c r="U568" i="1" s="1"/>
  <c r="D349" i="2"/>
  <c r="C349" i="2"/>
  <c r="B349" i="2"/>
  <c r="Q1377" i="1"/>
  <c r="U1377" i="1" s="1"/>
  <c r="D348" i="2"/>
  <c r="C348" i="2"/>
  <c r="B348" i="2"/>
  <c r="Q1315" i="1"/>
  <c r="U1315" i="1" s="1"/>
  <c r="D347" i="2"/>
  <c r="C347" i="2"/>
  <c r="B347" i="2"/>
  <c r="Q637" i="1"/>
  <c r="U637" i="1" s="1"/>
  <c r="D346" i="2"/>
  <c r="C346" i="2"/>
  <c r="B346" i="2"/>
  <c r="D345" i="2"/>
  <c r="C345" i="2"/>
  <c r="B345" i="2"/>
  <c r="Q605" i="1"/>
  <c r="U605" i="1" s="1"/>
  <c r="D344" i="2"/>
  <c r="C344" i="2"/>
  <c r="B344" i="2"/>
  <c r="Q602" i="1"/>
  <c r="U602" i="1" s="1"/>
  <c r="D343" i="2"/>
  <c r="C343" i="2"/>
  <c r="B343" i="2"/>
  <c r="Q604" i="1"/>
  <c r="U604" i="1" s="1"/>
  <c r="D342" i="2"/>
  <c r="C342" i="2"/>
  <c r="B342" i="2"/>
  <c r="Q1282" i="1"/>
  <c r="U1282" i="1" s="1"/>
  <c r="D341" i="2"/>
  <c r="C341" i="2"/>
  <c r="B341" i="2"/>
  <c r="Q681" i="1"/>
  <c r="U681" i="1" s="1"/>
  <c r="D340" i="2"/>
  <c r="C340" i="2"/>
  <c r="B340" i="2"/>
  <c r="Q636" i="1"/>
  <c r="U636" i="1" s="1"/>
  <c r="D339" i="2"/>
  <c r="C339" i="2"/>
  <c r="B339" i="2"/>
  <c r="Q1062" i="1"/>
  <c r="U1062" i="1" s="1"/>
  <c r="D338" i="2"/>
  <c r="C338" i="2"/>
  <c r="B338" i="2"/>
  <c r="Q664" i="1"/>
  <c r="U664" i="1" s="1"/>
  <c r="D337" i="2"/>
  <c r="C337" i="2"/>
  <c r="B337" i="2"/>
  <c r="D336" i="2"/>
  <c r="C336" i="2"/>
  <c r="B336" i="2"/>
  <c r="D335" i="2"/>
  <c r="C335" i="2"/>
  <c r="B335" i="2"/>
  <c r="D334" i="2"/>
  <c r="C334" i="2"/>
  <c r="B334" i="2"/>
  <c r="Q893" i="1"/>
  <c r="U893" i="1" s="1"/>
  <c r="D333" i="2"/>
  <c r="C333" i="2"/>
  <c r="B333" i="2"/>
  <c r="D332" i="2"/>
  <c r="C332" i="2"/>
  <c r="B332" i="2"/>
  <c r="Q907" i="1"/>
  <c r="U907" i="1" s="1"/>
  <c r="D331" i="2"/>
  <c r="C331" i="2"/>
  <c r="B331" i="2"/>
  <c r="Q225" i="1"/>
  <c r="U225" i="1" s="1"/>
  <c r="D330" i="2"/>
  <c r="C330" i="2"/>
  <c r="B330" i="2"/>
  <c r="Q257" i="1"/>
  <c r="U257" i="1" s="1"/>
  <c r="D329" i="2"/>
  <c r="C329" i="2"/>
  <c r="B329" i="2"/>
  <c r="Q906" i="1"/>
  <c r="U906" i="1" s="1"/>
  <c r="D328" i="2"/>
  <c r="C328" i="2"/>
  <c r="B328" i="2"/>
  <c r="Q663" i="1"/>
  <c r="U663" i="1" s="1"/>
  <c r="D327" i="2"/>
  <c r="C327" i="2"/>
  <c r="B327" i="2"/>
  <c r="Q1489" i="1"/>
  <c r="U1489" i="1" s="1"/>
  <c r="D326" i="2"/>
  <c r="C326" i="2"/>
  <c r="B326" i="2"/>
  <c r="Q469" i="1"/>
  <c r="U469" i="1" s="1"/>
  <c r="D325" i="2"/>
  <c r="C325" i="2"/>
  <c r="B325" i="2"/>
  <c r="Q501" i="1"/>
  <c r="U501" i="1" s="1"/>
  <c r="D324" i="2"/>
  <c r="C324" i="2"/>
  <c r="B324" i="2"/>
  <c r="Q468" i="1"/>
  <c r="U468" i="1" s="1"/>
  <c r="D323" i="2"/>
  <c r="C323" i="2"/>
  <c r="B323" i="2"/>
  <c r="Q479" i="1"/>
  <c r="U479" i="1" s="1"/>
  <c r="D322" i="2"/>
  <c r="C322" i="2"/>
  <c r="B322" i="2"/>
  <c r="Q612" i="1"/>
  <c r="U612" i="1" s="1"/>
  <c r="D321" i="2"/>
  <c r="C321" i="2"/>
  <c r="B321" i="2"/>
  <c r="Q611" i="1"/>
  <c r="U611" i="1" s="1"/>
  <c r="D320" i="2"/>
  <c r="C320" i="2"/>
  <c r="B320" i="2"/>
  <c r="Q603" i="1"/>
  <c r="U603" i="1" s="1"/>
  <c r="D319" i="2"/>
  <c r="C319" i="2"/>
  <c r="B319" i="2"/>
  <c r="Q566" i="1"/>
  <c r="U566" i="1" s="1"/>
  <c r="D318" i="2"/>
  <c r="C318" i="2"/>
  <c r="B318" i="2"/>
  <c r="Q510" i="1"/>
  <c r="U510" i="1" s="1"/>
  <c r="D317" i="2"/>
  <c r="C317" i="2"/>
  <c r="B317" i="2"/>
  <c r="Q1461" i="1"/>
  <c r="U1461" i="1" s="1"/>
  <c r="D316" i="2"/>
  <c r="C316" i="2"/>
  <c r="B316" i="2"/>
  <c r="Q1460" i="1"/>
  <c r="U1460" i="1" s="1"/>
  <c r="D315" i="2"/>
  <c r="C315" i="2"/>
  <c r="B315" i="2"/>
  <c r="D314" i="2"/>
  <c r="C314" i="2"/>
  <c r="B314" i="2"/>
  <c r="Q244" i="1"/>
  <c r="U244" i="1" s="1"/>
  <c r="D313" i="2"/>
  <c r="C313" i="2"/>
  <c r="B313" i="2"/>
  <c r="Q256" i="1"/>
  <c r="U256" i="1" s="1"/>
  <c r="D312" i="2"/>
  <c r="C312" i="2"/>
  <c r="B312" i="2"/>
  <c r="Q224" i="1"/>
  <c r="U224" i="1" s="1"/>
  <c r="D311" i="2"/>
  <c r="C311" i="2"/>
  <c r="B311" i="2"/>
  <c r="Q525" i="1"/>
  <c r="U525" i="1" s="1"/>
  <c r="D310" i="2"/>
  <c r="C310" i="2"/>
  <c r="B310" i="2"/>
  <c r="Q478" i="1"/>
  <c r="U478" i="1" s="1"/>
  <c r="D309" i="2"/>
  <c r="C309" i="2"/>
  <c r="B309" i="2"/>
  <c r="Q540" i="1"/>
  <c r="U540" i="1" s="1"/>
  <c r="D308" i="2"/>
  <c r="C308" i="2"/>
  <c r="B308" i="2"/>
  <c r="Q1458" i="1"/>
  <c r="U1458" i="1" s="1"/>
  <c r="D307" i="2"/>
  <c r="C307" i="2"/>
  <c r="B307" i="2"/>
  <c r="Q515" i="1"/>
  <c r="U515" i="1" s="1"/>
  <c r="D306" i="2"/>
  <c r="C306" i="2"/>
  <c r="B306" i="2"/>
  <c r="Q103" i="1"/>
  <c r="U103" i="1" s="1"/>
  <c r="D305" i="2"/>
  <c r="C305" i="2"/>
  <c r="B305" i="2"/>
  <c r="Q475" i="1"/>
  <c r="U475" i="1" s="1"/>
  <c r="D304" i="2"/>
  <c r="C304" i="2"/>
  <c r="B304" i="2"/>
  <c r="Q474" i="1"/>
  <c r="U474" i="1" s="1"/>
  <c r="D303" i="2"/>
  <c r="C303" i="2"/>
  <c r="B303" i="2"/>
  <c r="Q487" i="1"/>
  <c r="U487" i="1" s="1"/>
  <c r="D302" i="2"/>
  <c r="C302" i="2"/>
  <c r="B302" i="2"/>
  <c r="Q552" i="1"/>
  <c r="U552" i="1" s="1"/>
  <c r="D301" i="2"/>
  <c r="C301" i="2"/>
  <c r="B301" i="2"/>
  <c r="Q551" i="1"/>
  <c r="U551" i="1" s="1"/>
  <c r="D300" i="2"/>
  <c r="C300" i="2"/>
  <c r="B300" i="2"/>
  <c r="Q550" i="1"/>
  <c r="U550" i="1" s="1"/>
  <c r="D299" i="2"/>
  <c r="C299" i="2"/>
  <c r="B299" i="2"/>
  <c r="Q549" i="1"/>
  <c r="U549" i="1" s="1"/>
  <c r="D298" i="2"/>
  <c r="C298" i="2"/>
  <c r="B298" i="2"/>
  <c r="Q680" i="1"/>
  <c r="U680" i="1" s="1"/>
  <c r="D297" i="2"/>
  <c r="C297" i="2"/>
  <c r="B297" i="2"/>
  <c r="D296" i="2"/>
  <c r="C296" i="2"/>
  <c r="B296" i="2"/>
  <c r="Q700" i="1"/>
  <c r="U700" i="1" s="1"/>
  <c r="D295" i="2"/>
  <c r="C295" i="2"/>
  <c r="B295" i="2"/>
  <c r="Q699" i="1"/>
  <c r="U699" i="1" s="1"/>
  <c r="D294" i="2"/>
  <c r="C294" i="2"/>
  <c r="B294" i="2"/>
  <c r="Q698" i="1"/>
  <c r="U698" i="1" s="1"/>
  <c r="D293" i="2"/>
  <c r="C293" i="2"/>
  <c r="B293" i="2"/>
  <c r="Q679" i="1"/>
  <c r="U679" i="1" s="1"/>
  <c r="D292" i="2"/>
  <c r="C292" i="2"/>
  <c r="B292" i="2"/>
  <c r="Q697" i="1"/>
  <c r="U697" i="1" s="1"/>
  <c r="D291" i="2"/>
  <c r="C291" i="2"/>
  <c r="B291" i="2"/>
  <c r="Q696" i="1"/>
  <c r="U696" i="1" s="1"/>
  <c r="D290" i="2"/>
  <c r="C290" i="2"/>
  <c r="B290" i="2"/>
  <c r="Q695" i="1"/>
  <c r="U695" i="1" s="1"/>
  <c r="D289" i="2"/>
  <c r="C289" i="2"/>
  <c r="B289" i="2"/>
  <c r="Q694" i="1"/>
  <c r="U694" i="1" s="1"/>
  <c r="D288" i="2"/>
  <c r="C288" i="2"/>
  <c r="B288" i="2"/>
  <c r="Q693" i="1"/>
  <c r="U693" i="1" s="1"/>
  <c r="D287" i="2"/>
  <c r="C287" i="2"/>
  <c r="B287" i="2"/>
  <c r="Q678" i="1"/>
  <c r="U678" i="1" s="1"/>
  <c r="D286" i="2"/>
  <c r="C286" i="2"/>
  <c r="B286" i="2"/>
  <c r="Q692" i="1"/>
  <c r="U692" i="1" s="1"/>
  <c r="D285" i="2"/>
  <c r="C285" i="2"/>
  <c r="B285" i="2"/>
  <c r="D284" i="2"/>
  <c r="C284" i="2"/>
  <c r="B284" i="2"/>
  <c r="Q676" i="1"/>
  <c r="U676" i="1" s="1"/>
  <c r="D283" i="2"/>
  <c r="C283" i="2"/>
  <c r="B283" i="2"/>
  <c r="Q691" i="1"/>
  <c r="U691" i="1" s="1"/>
  <c r="D282" i="2"/>
  <c r="C282" i="2"/>
  <c r="B282" i="2"/>
  <c r="Q690" i="1"/>
  <c r="U690" i="1" s="1"/>
  <c r="D281" i="2"/>
  <c r="C281" i="2"/>
  <c r="B281" i="2"/>
  <c r="Q675" i="1"/>
  <c r="U675" i="1" s="1"/>
  <c r="D280" i="2"/>
  <c r="C280" i="2"/>
  <c r="B280" i="2"/>
  <c r="Q704" i="1"/>
  <c r="U704" i="1" s="1"/>
  <c r="D279" i="2"/>
  <c r="C279" i="2"/>
  <c r="B279" i="2"/>
  <c r="Q703" i="1"/>
  <c r="U703" i="1" s="1"/>
  <c r="D278" i="2"/>
  <c r="C278" i="2"/>
  <c r="B278" i="2"/>
  <c r="Q702" i="1"/>
  <c r="U702" i="1" s="1"/>
  <c r="D277" i="2"/>
  <c r="C277" i="2"/>
  <c r="B277" i="2"/>
  <c r="Q666" i="1"/>
  <c r="U666" i="1" s="1"/>
  <c r="D276" i="2"/>
  <c r="C276" i="2"/>
  <c r="B276" i="2"/>
  <c r="Q1065" i="1"/>
  <c r="U1065" i="1" s="1"/>
  <c r="D275" i="2"/>
  <c r="C275" i="2"/>
  <c r="B275" i="2"/>
  <c r="Q662" i="1"/>
  <c r="U662" i="1" s="1"/>
  <c r="D274" i="2"/>
  <c r="C274" i="2"/>
  <c r="B274" i="2"/>
  <c r="Q1482" i="1"/>
  <c r="U1482" i="1" s="1"/>
  <c r="D273" i="2"/>
  <c r="C273" i="2"/>
  <c r="B273" i="2"/>
  <c r="Q661" i="1"/>
  <c r="U661" i="1" s="1"/>
  <c r="D272" i="2"/>
  <c r="C272" i="2"/>
  <c r="B272" i="2"/>
  <c r="Q623" i="1"/>
  <c r="U623" i="1" s="1"/>
  <c r="D271" i="2"/>
  <c r="C271" i="2"/>
  <c r="B271" i="2"/>
  <c r="Q622" i="1"/>
  <c r="U622" i="1" s="1"/>
  <c r="D270" i="2"/>
  <c r="C270" i="2"/>
  <c r="B270" i="2"/>
  <c r="Q1386" i="1"/>
  <c r="U1386" i="1" s="1"/>
  <c r="D269" i="2"/>
  <c r="C269" i="2"/>
  <c r="B269" i="2"/>
  <c r="U655" i="1"/>
  <c r="D268" i="2"/>
  <c r="C268" i="2"/>
  <c r="B268" i="2"/>
  <c r="Q634" i="1"/>
  <c r="U634" i="1" s="1"/>
  <c r="D267" i="2"/>
  <c r="C267" i="2"/>
  <c r="B267" i="2"/>
  <c r="Q547" i="1"/>
  <c r="U547" i="1" s="1"/>
  <c r="D266" i="2"/>
  <c r="C266" i="2"/>
  <c r="B266" i="2"/>
  <c r="Q546" i="1"/>
  <c r="U546" i="1" s="1"/>
  <c r="D265" i="2"/>
  <c r="C265" i="2"/>
  <c r="B265" i="2"/>
  <c r="D264" i="2"/>
  <c r="C264" i="2"/>
  <c r="B264" i="2"/>
  <c r="Q544" i="1"/>
  <c r="U544" i="1" s="1"/>
  <c r="D263" i="2"/>
  <c r="C263" i="2"/>
  <c r="B263" i="2"/>
  <c r="Q565" i="1"/>
  <c r="U565" i="1" s="1"/>
  <c r="D262" i="2"/>
  <c r="C262" i="2"/>
  <c r="B262" i="2"/>
  <c r="Q559" i="1"/>
  <c r="U559" i="1" s="1"/>
  <c r="D261" i="2"/>
  <c r="C261" i="2"/>
  <c r="B261" i="2"/>
  <c r="Q564" i="1"/>
  <c r="U564" i="1" s="1"/>
  <c r="D260" i="2"/>
  <c r="C260" i="2"/>
  <c r="B260" i="2"/>
  <c r="D259" i="2"/>
  <c r="C259" i="2"/>
  <c r="B259" i="2"/>
  <c r="Q1481" i="1"/>
  <c r="U1481" i="1" s="1"/>
  <c r="D258" i="2"/>
  <c r="C258" i="2"/>
  <c r="B258" i="2"/>
  <c r="Q534" i="1"/>
  <c r="U534" i="1" s="1"/>
  <c r="D257" i="2"/>
  <c r="C257" i="2"/>
  <c r="B257" i="2"/>
  <c r="Q538" i="1"/>
  <c r="U538" i="1" s="1"/>
  <c r="D256" i="2"/>
  <c r="C256" i="2"/>
  <c r="B256" i="2"/>
  <c r="Q533" i="1"/>
  <c r="U533" i="1" s="1"/>
  <c r="D255" i="2"/>
  <c r="C255" i="2"/>
  <c r="B255" i="2"/>
  <c r="Q532" i="1"/>
  <c r="U532" i="1" s="1"/>
  <c r="D254" i="2"/>
  <c r="C254" i="2"/>
  <c r="D253" i="2"/>
  <c r="C253" i="2"/>
  <c r="B253" i="2"/>
  <c r="D252" i="2"/>
  <c r="C252" i="2"/>
  <c r="B252" i="2"/>
  <c r="D251" i="2"/>
  <c r="C251" i="2"/>
  <c r="B251" i="2"/>
  <c r="D250" i="2"/>
  <c r="C250" i="2"/>
  <c r="B250" i="2"/>
  <c r="D249" i="2"/>
  <c r="C249" i="2"/>
  <c r="B249" i="2"/>
  <c r="D248" i="2"/>
  <c r="C248" i="2"/>
  <c r="B248" i="2"/>
  <c r="D247" i="2"/>
  <c r="C247" i="2"/>
  <c r="B247" i="2"/>
  <c r="D246" i="2"/>
  <c r="C246" i="2"/>
  <c r="B246" i="2"/>
  <c r="D245" i="2"/>
  <c r="C245" i="2"/>
  <c r="B245" i="2"/>
  <c r="D244" i="2"/>
  <c r="C244" i="2"/>
  <c r="B244" i="2"/>
  <c r="D243" i="2"/>
  <c r="C243" i="2"/>
  <c r="B243" i="2"/>
  <c r="D242" i="2"/>
  <c r="C242" i="2"/>
  <c r="B242" i="2"/>
  <c r="D241" i="2"/>
  <c r="C241" i="2"/>
  <c r="B241" i="2"/>
  <c r="D240" i="2"/>
  <c r="C240" i="2"/>
  <c r="B240" i="2"/>
  <c r="D239" i="2"/>
  <c r="C239" i="2"/>
  <c r="B239" i="2"/>
  <c r="D238" i="2"/>
  <c r="C238" i="2"/>
  <c r="B238" i="2"/>
  <c r="D237" i="2"/>
  <c r="C237" i="2"/>
  <c r="B237" i="2"/>
  <c r="D236" i="2"/>
  <c r="C236" i="2"/>
  <c r="B236" i="2"/>
  <c r="D235" i="2"/>
  <c r="C235" i="2"/>
  <c r="B235" i="2"/>
  <c r="D234" i="2"/>
  <c r="C234" i="2"/>
  <c r="B234" i="2"/>
  <c r="D233" i="2"/>
  <c r="C233" i="2"/>
  <c r="B233" i="2"/>
  <c r="D232" i="2"/>
  <c r="C232" i="2"/>
  <c r="B232" i="2"/>
  <c r="D231" i="2"/>
  <c r="C231" i="2"/>
  <c r="B231" i="2"/>
  <c r="D230" i="2"/>
  <c r="C230" i="2"/>
  <c r="B230" i="2"/>
  <c r="D229" i="2"/>
  <c r="C229" i="2"/>
  <c r="B229" i="2"/>
  <c r="D228" i="2"/>
  <c r="C228" i="2"/>
  <c r="B228" i="2"/>
  <c r="D227" i="2"/>
  <c r="C227" i="2"/>
  <c r="B227" i="2"/>
  <c r="D226" i="2"/>
  <c r="C226" i="2"/>
  <c r="B226" i="2"/>
  <c r="D225" i="2"/>
  <c r="C225" i="2"/>
  <c r="B225" i="2"/>
  <c r="D224" i="2"/>
  <c r="C224" i="2"/>
  <c r="B224" i="2"/>
  <c r="D223" i="2"/>
  <c r="C223" i="2"/>
  <c r="B223" i="2"/>
  <c r="D222" i="2"/>
  <c r="C222" i="2"/>
  <c r="B222" i="2"/>
  <c r="D221" i="2"/>
  <c r="C221" i="2"/>
  <c r="B221" i="2"/>
  <c r="D220" i="2"/>
  <c r="C220" i="2"/>
  <c r="B220" i="2"/>
  <c r="D219" i="2"/>
  <c r="C219" i="2"/>
  <c r="B219" i="2"/>
  <c r="D218" i="2"/>
  <c r="C218" i="2"/>
  <c r="B218" i="2"/>
  <c r="D217" i="2"/>
  <c r="C217" i="2"/>
  <c r="B217" i="2"/>
  <c r="D216" i="2"/>
  <c r="C216" i="2"/>
  <c r="B216" i="2"/>
  <c r="D215" i="2"/>
  <c r="C215" i="2"/>
  <c r="B215" i="2"/>
  <c r="D214" i="2"/>
  <c r="C214" i="2"/>
  <c r="B214" i="2"/>
  <c r="D213" i="2"/>
  <c r="C213" i="2"/>
  <c r="B213" i="2"/>
  <c r="D212" i="2"/>
  <c r="C212" i="2"/>
  <c r="B212" i="2"/>
  <c r="D211" i="2"/>
  <c r="C211" i="2"/>
  <c r="B211" i="2"/>
  <c r="D210" i="2"/>
  <c r="C210" i="2"/>
  <c r="B210" i="2"/>
  <c r="D209" i="2"/>
  <c r="C209" i="2"/>
  <c r="B209" i="2"/>
  <c r="D208" i="2"/>
  <c r="C208" i="2"/>
  <c r="B208" i="2"/>
  <c r="D207" i="2"/>
  <c r="C207" i="2"/>
  <c r="B207" i="2"/>
  <c r="D206" i="2"/>
  <c r="C206" i="2"/>
  <c r="B206" i="2"/>
  <c r="D205" i="2"/>
  <c r="C205" i="2"/>
  <c r="B205" i="2"/>
  <c r="D204" i="2"/>
  <c r="C204" i="2"/>
  <c r="B204" i="2"/>
  <c r="D203" i="2"/>
  <c r="C203" i="2"/>
  <c r="B203" i="2"/>
  <c r="D202" i="2"/>
  <c r="C202" i="2"/>
  <c r="B202" i="2"/>
  <c r="D201" i="2"/>
  <c r="C201" i="2"/>
  <c r="B201" i="2"/>
  <c r="D200" i="2"/>
  <c r="C200" i="2"/>
  <c r="B200" i="2"/>
  <c r="Q369" i="1"/>
  <c r="U369" i="1" s="1"/>
  <c r="D199" i="2"/>
  <c r="C199" i="2"/>
  <c r="B199" i="2"/>
  <c r="D198" i="2"/>
  <c r="C198" i="2"/>
  <c r="B198" i="2"/>
  <c r="Q364" i="1"/>
  <c r="U364" i="1" s="1"/>
  <c r="D197" i="2"/>
  <c r="C197" i="2"/>
  <c r="B197" i="2"/>
  <c r="Q563" i="1"/>
  <c r="U563" i="1" s="1"/>
  <c r="D196" i="2"/>
  <c r="C196" i="2"/>
  <c r="B196" i="2"/>
  <c r="Q392" i="1"/>
  <c r="U392" i="1" s="1"/>
  <c r="D195" i="2"/>
  <c r="C195" i="2"/>
  <c r="B195" i="2"/>
  <c r="Q391" i="1"/>
  <c r="U391" i="1" s="1"/>
  <c r="D194" i="2"/>
  <c r="C194" i="2"/>
  <c r="B194" i="2"/>
  <c r="Q355" i="1"/>
  <c r="U355" i="1" s="1"/>
  <c r="D193" i="2"/>
  <c r="C193" i="2"/>
  <c r="B193" i="2"/>
  <c r="Q347" i="1"/>
  <c r="U347" i="1" s="1"/>
  <c r="D192" i="2"/>
  <c r="C192" i="2"/>
  <c r="B192" i="2"/>
  <c r="Q346" i="1"/>
  <c r="U346" i="1" s="1"/>
  <c r="D191" i="2"/>
  <c r="C191" i="2"/>
  <c r="B191" i="2"/>
  <c r="Q345" i="1"/>
  <c r="U345" i="1" s="1"/>
  <c r="D190" i="2"/>
  <c r="C190" i="2"/>
  <c r="B190" i="2"/>
  <c r="Q344" i="1"/>
  <c r="U344" i="1" s="1"/>
  <c r="D189" i="2"/>
  <c r="C189" i="2"/>
  <c r="B189" i="2"/>
  <c r="Q343" i="1"/>
  <c r="U343" i="1" s="1"/>
  <c r="D188" i="2"/>
  <c r="C188" i="2"/>
  <c r="B188" i="2"/>
  <c r="Q522" i="1"/>
  <c r="U522" i="1" s="1"/>
  <c r="D187" i="2"/>
  <c r="C187" i="2"/>
  <c r="B187" i="2"/>
  <c r="Q342" i="1"/>
  <c r="U342" i="1" s="1"/>
  <c r="D186" i="2"/>
  <c r="C186" i="2"/>
  <c r="B186" i="2"/>
  <c r="Q334" i="1"/>
  <c r="U334" i="1" s="1"/>
  <c r="D185" i="2"/>
  <c r="C185" i="2"/>
  <c r="B185" i="2"/>
  <c r="Q341" i="1"/>
  <c r="U341" i="1" s="1"/>
  <c r="D184" i="2"/>
  <c r="C184" i="2"/>
  <c r="B184" i="2"/>
  <c r="Q340" i="1"/>
  <c r="U340" i="1" s="1"/>
  <c r="D183" i="2"/>
  <c r="C183" i="2"/>
  <c r="B183" i="2"/>
  <c r="D182" i="2"/>
  <c r="C182" i="2"/>
  <c r="B182" i="2"/>
  <c r="Q333" i="1"/>
  <c r="U333" i="1" s="1"/>
  <c r="D181" i="2"/>
  <c r="C181" i="2"/>
  <c r="B181" i="2"/>
  <c r="Q332" i="1"/>
  <c r="U332" i="1" s="1"/>
  <c r="D180" i="2"/>
  <c r="C180" i="2"/>
  <c r="B180" i="2"/>
  <c r="Q123" i="1"/>
  <c r="U123" i="1" s="1"/>
  <c r="D179" i="2"/>
  <c r="C179" i="2"/>
  <c r="B179" i="2"/>
  <c r="Q331" i="1"/>
  <c r="U331" i="1" s="1"/>
  <c r="D178" i="2"/>
  <c r="C178" i="2"/>
  <c r="B178" i="2"/>
  <c r="Q330" i="1"/>
  <c r="U330" i="1" s="1"/>
  <c r="D177" i="2"/>
  <c r="C177" i="2"/>
  <c r="B177" i="2"/>
  <c r="Q329" i="1"/>
  <c r="U329" i="1" s="1"/>
  <c r="D176" i="2"/>
  <c r="C176" i="2"/>
  <c r="B176" i="2"/>
  <c r="Q328" i="1"/>
  <c r="U328" i="1" s="1"/>
  <c r="D175" i="2"/>
  <c r="C175" i="2"/>
  <c r="B175" i="2"/>
  <c r="Q327" i="1"/>
  <c r="U327" i="1" s="1"/>
  <c r="D174" i="2"/>
  <c r="C174" i="2"/>
  <c r="B174" i="2"/>
  <c r="D173" i="2"/>
  <c r="C173" i="2"/>
  <c r="B173" i="2"/>
  <c r="Q77" i="1"/>
  <c r="U77" i="1" s="1"/>
  <c r="D172" i="2"/>
  <c r="C172" i="2"/>
  <c r="B172" i="2"/>
  <c r="Q76" i="1"/>
  <c r="U76" i="1" s="1"/>
  <c r="D171" i="2"/>
  <c r="C171" i="2"/>
  <c r="B171" i="2"/>
  <c r="Q326" i="1"/>
  <c r="U326" i="1" s="1"/>
  <c r="D170" i="2"/>
  <c r="C170" i="2"/>
  <c r="B170" i="2"/>
  <c r="Q320" i="1"/>
  <c r="U320" i="1" s="1"/>
  <c r="D169" i="2"/>
  <c r="C169" i="2"/>
  <c r="B169" i="2"/>
  <c r="Q319" i="1"/>
  <c r="U319" i="1" s="1"/>
  <c r="D168" i="2"/>
  <c r="C168" i="2"/>
  <c r="B168" i="2"/>
  <c r="Q1440" i="1"/>
  <c r="U1440" i="1" s="1"/>
  <c r="D167" i="2"/>
  <c r="C167" i="2"/>
  <c r="B167" i="2"/>
  <c r="Q318" i="1"/>
  <c r="U318" i="1" s="1"/>
  <c r="D166" i="2"/>
  <c r="C166" i="2"/>
  <c r="B166" i="2"/>
  <c r="Q317" i="1"/>
  <c r="U317" i="1" s="1"/>
  <c r="D165" i="2"/>
  <c r="C165" i="2"/>
  <c r="B165" i="2"/>
  <c r="Q1439" i="1"/>
  <c r="U1439" i="1" s="1"/>
  <c r="D164" i="2"/>
  <c r="C164" i="2"/>
  <c r="B164" i="2"/>
  <c r="Q316" i="1"/>
  <c r="U316" i="1" s="1"/>
  <c r="D163" i="2"/>
  <c r="C163" i="2"/>
  <c r="B163" i="2"/>
  <c r="Q309" i="1"/>
  <c r="U309" i="1" s="1"/>
  <c r="D162" i="2"/>
  <c r="C162" i="2"/>
  <c r="B162" i="2"/>
  <c r="Q308" i="1"/>
  <c r="U308" i="1" s="1"/>
  <c r="D161" i="2"/>
  <c r="C161" i="2"/>
  <c r="B161" i="2"/>
  <c r="Q315" i="1"/>
  <c r="U315" i="1" s="1"/>
  <c r="D160" i="2"/>
  <c r="C160" i="2"/>
  <c r="B160" i="2"/>
  <c r="Q307" i="1"/>
  <c r="U307" i="1" s="1"/>
  <c r="D159" i="2"/>
  <c r="C159" i="2"/>
  <c r="B159" i="2"/>
  <c r="Q1270" i="1"/>
  <c r="U1270" i="1" s="1"/>
  <c r="D158" i="2"/>
  <c r="C158" i="2"/>
  <c r="B158" i="2"/>
  <c r="D157" i="2"/>
  <c r="C157" i="2"/>
  <c r="B157" i="2"/>
  <c r="Q412" i="1"/>
  <c r="U412" i="1" s="1"/>
  <c r="D156" i="2"/>
  <c r="C156" i="2"/>
  <c r="B156" i="2"/>
  <c r="Q297" i="1"/>
  <c r="U297" i="1" s="1"/>
  <c r="D155" i="2"/>
  <c r="C155" i="2"/>
  <c r="B155" i="2"/>
  <c r="Q296" i="1"/>
  <c r="U296" i="1" s="1"/>
  <c r="D154" i="2"/>
  <c r="C154" i="2"/>
  <c r="B154" i="2"/>
  <c r="Q557" i="1"/>
  <c r="U557" i="1" s="1"/>
  <c r="D153" i="2"/>
  <c r="C153" i="2"/>
  <c r="B153" i="2"/>
  <c r="Q635" i="1"/>
  <c r="U635" i="1" s="1"/>
  <c r="D152" i="2"/>
  <c r="C152" i="2"/>
  <c r="B152" i="2"/>
  <c r="D151" i="2"/>
  <c r="C151" i="2"/>
  <c r="B151" i="2"/>
  <c r="Q255" i="1"/>
  <c r="U255" i="1" s="1"/>
  <c r="D150" i="2"/>
  <c r="C150" i="2"/>
  <c r="B150" i="2"/>
  <c r="Q254" i="1"/>
  <c r="U254" i="1" s="1"/>
  <c r="D149" i="2"/>
  <c r="C149" i="2"/>
  <c r="B149" i="2"/>
  <c r="D148" i="2"/>
  <c r="C148" i="2"/>
  <c r="B148" i="2"/>
  <c r="D147" i="2"/>
  <c r="C147" i="2"/>
  <c r="B147" i="2"/>
  <c r="D146" i="2"/>
  <c r="C146" i="2"/>
  <c r="B146" i="2"/>
  <c r="Q288" i="1"/>
  <c r="U288" i="1" s="1"/>
  <c r="D145" i="2"/>
  <c r="C145" i="2"/>
  <c r="B145" i="2"/>
  <c r="Q279" i="1"/>
  <c r="U279" i="1" s="1"/>
  <c r="D144" i="2"/>
  <c r="C144" i="2"/>
  <c r="B144" i="2"/>
  <c r="Q325" i="1"/>
  <c r="U325" i="1" s="1"/>
  <c r="D143" i="2"/>
  <c r="C143" i="2"/>
  <c r="B143" i="2"/>
  <c r="Q278" i="1"/>
  <c r="U278" i="1" s="1"/>
  <c r="D142" i="2"/>
  <c r="C142" i="2"/>
  <c r="B142" i="2"/>
  <c r="Q277" i="1"/>
  <c r="U277" i="1" s="1"/>
  <c r="D141" i="2"/>
  <c r="C141" i="2"/>
  <c r="B141" i="2"/>
  <c r="Q253" i="1"/>
  <c r="U253" i="1" s="1"/>
  <c r="D140" i="2"/>
  <c r="C140" i="2"/>
  <c r="B140" i="2"/>
  <c r="Q276" i="1"/>
  <c r="U276" i="1" s="1"/>
  <c r="D139" i="2"/>
  <c r="C139" i="2"/>
  <c r="B139" i="2"/>
  <c r="D138" i="2"/>
  <c r="C138" i="2"/>
  <c r="B138" i="2"/>
  <c r="D137" i="2"/>
  <c r="C137" i="2"/>
  <c r="B137" i="2"/>
  <c r="D136" i="2"/>
  <c r="C136" i="2"/>
  <c r="B136" i="2"/>
  <c r="Q273" i="1"/>
  <c r="U273" i="1" s="1"/>
  <c r="D135" i="2"/>
  <c r="C135" i="2"/>
  <c r="B135" i="2"/>
  <c r="D134" i="2"/>
  <c r="C134" i="2"/>
  <c r="B134" i="2"/>
  <c r="D133" i="2"/>
  <c r="C133" i="2"/>
  <c r="B133" i="2"/>
  <c r="D132" i="2"/>
  <c r="C132" i="2"/>
  <c r="B132" i="2"/>
  <c r="D131" i="2"/>
  <c r="C131" i="2"/>
  <c r="B131" i="2"/>
  <c r="D130" i="2"/>
  <c r="C130" i="2"/>
  <c r="B130" i="2"/>
  <c r="Q286" i="1"/>
  <c r="U286" i="1" s="1"/>
  <c r="D129" i="2"/>
  <c r="C129" i="2"/>
  <c r="B129" i="2"/>
  <c r="D128" i="2"/>
  <c r="C128" i="2"/>
  <c r="B128" i="2"/>
  <c r="D127" i="2"/>
  <c r="C127" i="2"/>
  <c r="B127" i="2"/>
  <c r="Q268" i="1"/>
  <c r="U268" i="1" s="1"/>
  <c r="D126" i="2"/>
  <c r="C126" i="2"/>
  <c r="B126" i="2"/>
  <c r="D125" i="2"/>
  <c r="C125" i="2"/>
  <c r="B125" i="2"/>
  <c r="Q249" i="1"/>
  <c r="U249" i="1" s="1"/>
  <c r="D124" i="2"/>
  <c r="C124" i="2"/>
  <c r="B124" i="2"/>
  <c r="D123" i="2"/>
  <c r="C123" i="2"/>
  <c r="B123" i="2"/>
  <c r="D122" i="2"/>
  <c r="C122" i="2"/>
  <c r="B122" i="2"/>
  <c r="D121" i="2"/>
  <c r="C121" i="2"/>
  <c r="B121" i="2"/>
  <c r="Q556" i="1"/>
  <c r="U556" i="1" s="1"/>
  <c r="D120" i="2"/>
  <c r="C120" i="2"/>
  <c r="B120" i="2"/>
  <c r="Q242" i="1"/>
  <c r="U242" i="1" s="1"/>
  <c r="D119" i="2"/>
  <c r="C119" i="2"/>
  <c r="B119" i="2"/>
  <c r="Q241" i="1"/>
  <c r="U241" i="1" s="1"/>
  <c r="D118" i="2"/>
  <c r="C118" i="2"/>
  <c r="D117" i="2"/>
  <c r="C117" i="2"/>
  <c r="B117" i="2"/>
  <c r="D116" i="2"/>
  <c r="C116" i="2"/>
  <c r="B116" i="2"/>
  <c r="D115" i="2"/>
  <c r="C115" i="2"/>
  <c r="B115" i="2"/>
  <c r="Q541" i="1"/>
  <c r="U541" i="1" s="1"/>
  <c r="D114" i="2"/>
  <c r="C114" i="2"/>
  <c r="B114" i="2"/>
  <c r="D113" i="2"/>
  <c r="C113" i="2"/>
  <c r="B113" i="2"/>
  <c r="D112" i="2"/>
  <c r="C112" i="2"/>
  <c r="B112" i="2"/>
  <c r="D111" i="2"/>
  <c r="C111" i="2"/>
  <c r="B111" i="2"/>
  <c r="Q51" i="1"/>
  <c r="U51" i="1" s="1"/>
  <c r="D110" i="2"/>
  <c r="C110" i="2"/>
  <c r="B110" i="2"/>
  <c r="D109" i="2"/>
  <c r="C109" i="2"/>
  <c r="B109" i="2"/>
  <c r="Q1296" i="1"/>
  <c r="U1296" i="1" s="1"/>
  <c r="D108" i="2"/>
  <c r="C108" i="2"/>
  <c r="B108" i="2"/>
  <c r="D107" i="2"/>
  <c r="C107" i="2"/>
  <c r="B107" i="2"/>
  <c r="Q1068" i="1"/>
  <c r="U1068" i="1" s="1"/>
  <c r="D106" i="2"/>
  <c r="C106" i="2"/>
  <c r="B106" i="2"/>
  <c r="D105" i="2"/>
  <c r="C105" i="2"/>
  <c r="B105" i="2"/>
  <c r="Q673" i="1"/>
  <c r="U673" i="1" s="1"/>
  <c r="D104" i="2"/>
  <c r="C104" i="2"/>
  <c r="B104" i="2"/>
  <c r="Q1294" i="1"/>
  <c r="U1294" i="1" s="1"/>
  <c r="D103" i="2"/>
  <c r="C103" i="2"/>
  <c r="B103" i="2"/>
  <c r="Q50" i="1"/>
  <c r="U50" i="1" s="1"/>
  <c r="D102" i="2"/>
  <c r="C102" i="2"/>
  <c r="B102" i="2"/>
  <c r="D101" i="2"/>
  <c r="C101" i="2"/>
  <c r="B101" i="2"/>
  <c r="Q48" i="1"/>
  <c r="U48" i="1" s="1"/>
  <c r="D100" i="2"/>
  <c r="C100" i="2"/>
  <c r="B100" i="2"/>
  <c r="D99" i="2"/>
  <c r="C99" i="2"/>
  <c r="B99" i="2"/>
  <c r="Q46" i="1"/>
  <c r="U46" i="1" s="1"/>
  <c r="D98" i="2"/>
  <c r="C98" i="2"/>
  <c r="B98" i="2"/>
  <c r="D97" i="2"/>
  <c r="C97" i="2"/>
  <c r="B97" i="2"/>
  <c r="D96" i="2"/>
  <c r="C96" i="2"/>
  <c r="B96" i="2"/>
  <c r="Q1269" i="1"/>
  <c r="U1269" i="1" s="1"/>
  <c r="D95" i="2"/>
  <c r="C95" i="2"/>
  <c r="B95" i="2"/>
  <c r="Q196" i="1"/>
  <c r="U196" i="1" s="1"/>
  <c r="D94" i="2"/>
  <c r="C94" i="2"/>
  <c r="B94" i="2"/>
  <c r="Q379" i="1"/>
  <c r="U379" i="1" s="1"/>
  <c r="D93" i="2"/>
  <c r="C93" i="2"/>
  <c r="B93" i="2"/>
  <c r="Q195" i="1"/>
  <c r="U195" i="1" s="1"/>
  <c r="D92" i="2"/>
  <c r="C92" i="2"/>
  <c r="B92" i="2"/>
  <c r="Q194" i="1"/>
  <c r="U194" i="1" s="1"/>
  <c r="D91" i="2"/>
  <c r="C91" i="2"/>
  <c r="B91" i="2"/>
  <c r="D90" i="2"/>
  <c r="C90" i="2"/>
  <c r="B90" i="2"/>
  <c r="Q531" i="1"/>
  <c r="U531" i="1" s="1"/>
  <c r="D89" i="2"/>
  <c r="C89" i="2"/>
  <c r="B89" i="2"/>
  <c r="D88" i="2"/>
  <c r="C88" i="2"/>
  <c r="B88" i="2"/>
  <c r="D87" i="2"/>
  <c r="C87" i="2"/>
  <c r="B87" i="2"/>
  <c r="Q187" i="1"/>
  <c r="U187" i="1" s="1"/>
  <c r="D86" i="2"/>
  <c r="C86" i="2"/>
  <c r="B86" i="2"/>
  <c r="Q186" i="1"/>
  <c r="U186" i="1" s="1"/>
  <c r="D85" i="2"/>
  <c r="C85" i="2"/>
  <c r="B85" i="2"/>
  <c r="Q185" i="1"/>
  <c r="U185" i="1" s="1"/>
  <c r="D84" i="2"/>
  <c r="C84" i="2"/>
  <c r="B84" i="2"/>
  <c r="Q184" i="1"/>
  <c r="U184" i="1" s="1"/>
  <c r="D83" i="2"/>
  <c r="C83" i="2"/>
  <c r="B83" i="2"/>
  <c r="D82" i="2"/>
  <c r="C82" i="2"/>
  <c r="B82" i="2"/>
  <c r="D81" i="2"/>
  <c r="C81" i="2"/>
  <c r="B81" i="2"/>
  <c r="Q555" i="1"/>
  <c r="U555" i="1" s="1"/>
  <c r="D80" i="2"/>
  <c r="C80" i="2"/>
  <c r="B80" i="2"/>
  <c r="D79" i="2"/>
  <c r="C79" i="2"/>
  <c r="B79" i="2"/>
  <c r="Q609" i="1"/>
  <c r="U609" i="1" s="1"/>
  <c r="D78" i="2"/>
  <c r="C78" i="2"/>
  <c r="B78" i="2"/>
  <c r="D77" i="2"/>
  <c r="C77" i="2"/>
  <c r="B77" i="2"/>
  <c r="Q1385" i="1"/>
  <c r="U1385" i="1" s="1"/>
  <c r="D76" i="2"/>
  <c r="C76" i="2"/>
  <c r="B76" i="2"/>
  <c r="D75" i="2"/>
  <c r="C75" i="2"/>
  <c r="B75" i="2"/>
  <c r="D74" i="2"/>
  <c r="C74" i="2"/>
  <c r="B74" i="2"/>
  <c r="Q1258" i="1"/>
  <c r="U1258" i="1" s="1"/>
  <c r="D73" i="2"/>
  <c r="C73" i="2"/>
  <c r="B73" i="2"/>
  <c r="D72" i="2"/>
  <c r="C72" i="2"/>
  <c r="B72" i="2"/>
  <c r="Q1434" i="1"/>
  <c r="U1434" i="1" s="1"/>
  <c r="D71" i="2"/>
  <c r="C71" i="2"/>
  <c r="B71" i="2"/>
  <c r="D70" i="2"/>
  <c r="C70" i="2"/>
  <c r="B70" i="2"/>
  <c r="D69" i="2"/>
  <c r="C69" i="2"/>
  <c r="B69" i="2"/>
  <c r="Q163" i="1"/>
  <c r="U163" i="1" s="1"/>
  <c r="D68" i="2"/>
  <c r="C68" i="2"/>
  <c r="B68" i="2"/>
  <c r="Q162" i="1"/>
  <c r="U162" i="1" s="1"/>
  <c r="D67" i="2"/>
  <c r="C67" i="2"/>
  <c r="B67" i="2"/>
  <c r="Q161" i="1"/>
  <c r="U161" i="1" s="1"/>
  <c r="D66" i="2"/>
  <c r="C66" i="2"/>
  <c r="B66" i="2"/>
  <c r="D65" i="2"/>
  <c r="C65" i="2"/>
  <c r="B65" i="2"/>
  <c r="Q159" i="1"/>
  <c r="U159" i="1" s="1"/>
  <c r="D64" i="2"/>
  <c r="C64" i="2"/>
  <c r="B64" i="2"/>
  <c r="D63" i="2"/>
  <c r="C63" i="2"/>
  <c r="B63" i="2"/>
  <c r="Q157" i="1"/>
  <c r="U157" i="1" s="1"/>
  <c r="D62" i="2"/>
  <c r="C62" i="2"/>
  <c r="B62" i="2"/>
  <c r="Q156" i="1"/>
  <c r="U156" i="1" s="1"/>
  <c r="D61" i="2"/>
  <c r="C61" i="2"/>
  <c r="B61" i="2"/>
  <c r="D60" i="2"/>
  <c r="C60" i="2"/>
  <c r="B60" i="2"/>
  <c r="Q155" i="1"/>
  <c r="U155" i="1" s="1"/>
  <c r="D59" i="2"/>
  <c r="C59" i="2"/>
  <c r="B59" i="2"/>
  <c r="D58" i="2"/>
  <c r="C58" i="2"/>
  <c r="B58" i="2"/>
  <c r="D57" i="2"/>
  <c r="C57" i="2"/>
  <c r="B57" i="2"/>
  <c r="D56" i="2"/>
  <c r="C56" i="2"/>
  <c r="B56" i="2"/>
  <c r="D55" i="2"/>
  <c r="C55" i="2"/>
  <c r="B55" i="2"/>
  <c r="D54" i="2"/>
  <c r="C54" i="2"/>
  <c r="B54" i="2"/>
  <c r="Q142" i="1"/>
  <c r="U142" i="1" s="1"/>
  <c r="D53" i="2"/>
  <c r="C53" i="2"/>
  <c r="B53" i="2"/>
  <c r="Q1432" i="1"/>
  <c r="U1432" i="1" s="1"/>
  <c r="D52" i="2"/>
  <c r="B52" i="2"/>
  <c r="D51" i="2"/>
  <c r="C51" i="2"/>
  <c r="B51" i="2"/>
  <c r="D50" i="2"/>
  <c r="C50" i="2"/>
  <c r="B50" i="2"/>
  <c r="D49" i="2"/>
  <c r="C49" i="2"/>
  <c r="B49" i="2"/>
  <c r="D48" i="2"/>
  <c r="C48" i="2"/>
  <c r="B48" i="2"/>
  <c r="D47" i="2"/>
  <c r="C47" i="2"/>
  <c r="B47" i="2"/>
  <c r="D46" i="2"/>
  <c r="C46" i="2"/>
  <c r="B46" i="2"/>
  <c r="D45" i="2"/>
  <c r="C45" i="2"/>
  <c r="B45" i="2"/>
  <c r="D44" i="2"/>
  <c r="C44" i="2"/>
  <c r="B44" i="2"/>
  <c r="D43" i="2"/>
  <c r="C43" i="2"/>
  <c r="B43" i="2"/>
  <c r="D42" i="2"/>
  <c r="C42" i="2"/>
  <c r="B42" i="2"/>
  <c r="D41" i="2"/>
  <c r="C41" i="2"/>
  <c r="B41" i="2"/>
  <c r="D40" i="2"/>
  <c r="C40" i="2"/>
  <c r="B40" i="2"/>
  <c r="D39" i="2"/>
  <c r="C39" i="2"/>
  <c r="B39" i="2"/>
  <c r="D38" i="2"/>
  <c r="C38" i="2"/>
  <c r="B38" i="2"/>
  <c r="D37" i="2"/>
  <c r="C37" i="2"/>
  <c r="B37" i="2"/>
  <c r="D36" i="2"/>
  <c r="C36" i="2"/>
  <c r="B36" i="2"/>
  <c r="D35" i="2"/>
  <c r="C35" i="2"/>
  <c r="B35" i="2"/>
  <c r="D34" i="2"/>
  <c r="C34" i="2"/>
  <c r="B34" i="2"/>
  <c r="D33" i="2"/>
  <c r="C33" i="2"/>
  <c r="B33" i="2"/>
  <c r="D32" i="2"/>
  <c r="C32" i="2"/>
  <c r="B32" i="2"/>
  <c r="D31" i="2"/>
  <c r="C31" i="2"/>
  <c r="B31" i="2"/>
  <c r="D30" i="2"/>
  <c r="C30" i="2"/>
  <c r="B30" i="2"/>
  <c r="D29" i="2"/>
  <c r="C29" i="2"/>
  <c r="D28" i="2"/>
  <c r="C28" i="2"/>
  <c r="B28" i="2"/>
  <c r="D27" i="2"/>
  <c r="C27" i="2"/>
  <c r="B27" i="2"/>
  <c r="D26" i="2"/>
  <c r="C26" i="2"/>
  <c r="B26" i="2"/>
  <c r="D25" i="2"/>
  <c r="C25" i="2"/>
  <c r="B25" i="2"/>
  <c r="D24" i="2"/>
  <c r="C24" i="2"/>
  <c r="B24" i="2"/>
  <c r="D23" i="2"/>
  <c r="C23" i="2"/>
  <c r="B23" i="2"/>
  <c r="D22" i="2"/>
  <c r="C22" i="2"/>
  <c r="B22" i="2"/>
  <c r="D21" i="2"/>
  <c r="C21" i="2"/>
  <c r="B21" i="2"/>
  <c r="D20" i="2"/>
  <c r="C20" i="2"/>
  <c r="B20" i="2"/>
  <c r="D19" i="2"/>
  <c r="C19" i="2"/>
  <c r="B19" i="2"/>
  <c r="D18" i="2"/>
  <c r="C18" i="2"/>
  <c r="B18" i="2"/>
  <c r="D17" i="2"/>
  <c r="C17" i="2"/>
  <c r="B17" i="2"/>
  <c r="D16" i="2"/>
  <c r="C16" i="2"/>
  <c r="B16" i="2"/>
  <c r="D15" i="2"/>
  <c r="C15" i="2"/>
  <c r="B15" i="2"/>
  <c r="D14" i="2"/>
  <c r="C14" i="2"/>
  <c r="B14" i="2"/>
  <c r="D13" i="2"/>
  <c r="C13" i="2"/>
  <c r="B13" i="2"/>
  <c r="D12" i="2"/>
  <c r="C12" i="2"/>
  <c r="B12" i="2"/>
  <c r="D11" i="2"/>
  <c r="C11" i="2"/>
  <c r="B11" i="2"/>
  <c r="D10" i="2"/>
  <c r="C10" i="2"/>
  <c r="B10" i="2"/>
  <c r="D9" i="2"/>
  <c r="C9" i="2"/>
  <c r="B9" i="2"/>
  <c r="D8" i="2"/>
  <c r="C8" i="2"/>
  <c r="B8" i="2"/>
  <c r="D7" i="2"/>
  <c r="C7" i="2"/>
  <c r="B7" i="2"/>
  <c r="D6" i="2"/>
  <c r="C6" i="2"/>
  <c r="B6" i="2"/>
  <c r="D5" i="2"/>
  <c r="C5" i="2"/>
  <c r="B5" i="2"/>
  <c r="D4" i="2"/>
  <c r="C4" i="2"/>
  <c r="B4" i="2"/>
  <c r="D3" i="2"/>
  <c r="C3" i="2"/>
  <c r="B3" i="2"/>
  <c r="AB770" i="1" l="1"/>
  <c r="U770" i="1"/>
  <c r="AB911" i="1"/>
  <c r="U911" i="1"/>
  <c r="AB771" i="1"/>
  <c r="U771" i="1"/>
  <c r="AB773" i="1"/>
  <c r="U773" i="1"/>
  <c r="AB835" i="1"/>
  <c r="U835" i="1"/>
  <c r="AB1076" i="1"/>
  <c r="U1076" i="1"/>
  <c r="AB81" i="1"/>
  <c r="U81" i="1"/>
  <c r="AB83" i="1"/>
  <c r="U83" i="1"/>
  <c r="AB1235" i="1"/>
  <c r="U1235" i="1"/>
  <c r="AB208" i="1"/>
  <c r="U208" i="1"/>
  <c r="AB1051" i="1"/>
  <c r="U1051" i="1"/>
  <c r="AB1501" i="1"/>
  <c r="U1501" i="1"/>
  <c r="AB477" i="1"/>
  <c r="U477" i="1"/>
  <c r="AB60" i="1"/>
  <c r="U60" i="1"/>
  <c r="AB105" i="1"/>
  <c r="U105" i="1"/>
  <c r="AB84" i="1"/>
  <c r="U84" i="1"/>
  <c r="AB283" i="1"/>
  <c r="U283" i="1"/>
  <c r="AB220" i="1"/>
  <c r="U220" i="1"/>
  <c r="AB229" i="1"/>
  <c r="U229" i="1"/>
  <c r="AB262" i="1"/>
  <c r="U262" i="1"/>
  <c r="AB230" i="1"/>
  <c r="U230" i="1"/>
  <c r="AB1452" i="1"/>
  <c r="U1452" i="1"/>
  <c r="AB116" i="1"/>
  <c r="U116" i="1"/>
  <c r="AB1245" i="1"/>
  <c r="U1245" i="1"/>
  <c r="AB785" i="1"/>
  <c r="U785" i="1"/>
  <c r="AB1453" i="1"/>
  <c r="U1453" i="1"/>
  <c r="AB670" i="1"/>
  <c r="U670" i="1"/>
  <c r="AB1324" i="1"/>
  <c r="U1324" i="1"/>
  <c r="AB1359" i="1"/>
  <c r="AB1200" i="1"/>
  <c r="Q434" i="1"/>
  <c r="Q476" i="1"/>
  <c r="U476" i="1" s="1"/>
  <c r="Q435" i="1"/>
  <c r="Q6" i="1"/>
  <c r="Q1249" i="1"/>
  <c r="Q1252" i="1"/>
  <c r="Q840" i="1"/>
  <c r="Q1418" i="1"/>
  <c r="U1418" i="1" s="1"/>
  <c r="Q1436" i="1"/>
  <c r="U1436" i="1" s="1"/>
  <c r="Q1442" i="1"/>
  <c r="U1442" i="1" s="1"/>
  <c r="Q1443" i="1"/>
  <c r="U1443" i="1" s="1"/>
  <c r="Q1437" i="1"/>
  <c r="Q1444" i="1"/>
  <c r="U1444" i="1" s="1"/>
  <c r="Q1445" i="1"/>
  <c r="Q1446" i="1"/>
  <c r="U1446" i="1" s="1"/>
  <c r="Q1447" i="1"/>
  <c r="Q1448" i="1"/>
  <c r="Q1449" i="1"/>
  <c r="Q1451" i="1"/>
  <c r="U1451" i="1" s="1"/>
  <c r="Q1387" i="1"/>
  <c r="U1387" i="1" s="1"/>
  <c r="Q1505" i="1"/>
  <c r="Q1506" i="1"/>
  <c r="Q1507" i="1"/>
  <c r="Q1539" i="1"/>
  <c r="Q1514" i="1"/>
  <c r="Q1547" i="1"/>
  <c r="Q1548" i="1"/>
  <c r="Q1540" i="1"/>
  <c r="U1540" i="1" s="1"/>
  <c r="Q1541" i="1"/>
  <c r="Q1542" i="1"/>
  <c r="Q1528" i="1"/>
  <c r="Q1518" i="1"/>
  <c r="Q1516" i="1"/>
  <c r="Q1513" i="1"/>
  <c r="Q819" i="1"/>
  <c r="Q820" i="1"/>
  <c r="Q821" i="1"/>
  <c r="Q822" i="1"/>
  <c r="U822" i="1" s="1"/>
  <c r="Q823" i="1"/>
  <c r="U823" i="1" s="1"/>
  <c r="AB824" i="1"/>
  <c r="Q825" i="1"/>
  <c r="U825" i="1" s="1"/>
  <c r="Q1515" i="1"/>
  <c r="Q1543" i="1"/>
  <c r="Q1544" i="1"/>
  <c r="Q1521" i="1"/>
  <c r="U1521" i="1" s="1"/>
  <c r="Q1550" i="1"/>
  <c r="Q1557" i="1"/>
  <c r="U1557" i="1" s="1"/>
  <c r="Q1551" i="1"/>
  <c r="Q1552" i="1"/>
  <c r="U1552" i="1" s="1"/>
  <c r="Q1553" i="1"/>
  <c r="Q1558" i="1"/>
  <c r="U1558" i="1" s="1"/>
  <c r="Q1559" i="1"/>
  <c r="Q1562" i="1"/>
  <c r="U1562" i="1" s="1"/>
  <c r="Q1556" i="1"/>
  <c r="U1556" i="1" s="1"/>
  <c r="Q1554" i="1"/>
  <c r="U1554" i="1" s="1"/>
  <c r="Q1560" i="1"/>
  <c r="U1560" i="1" s="1"/>
  <c r="Q1561" i="1"/>
  <c r="Q826" i="1"/>
  <c r="Q1103" i="1"/>
  <c r="U1103" i="1" s="1"/>
  <c r="Q1519" i="1"/>
  <c r="U1519" i="1" s="1"/>
  <c r="Q470" i="1"/>
  <c r="Q1106" i="1"/>
  <c r="U1106" i="1" s="1"/>
  <c r="Q39" i="1"/>
  <c r="U39" i="1" s="1"/>
  <c r="Q750" i="1"/>
  <c r="Q1041" i="1"/>
  <c r="Q1015" i="1"/>
  <c r="U1015" i="1" s="1"/>
  <c r="Q436" i="1"/>
  <c r="U436" i="1" s="1"/>
  <c r="Q1101" i="1"/>
  <c r="Q1336" i="1"/>
  <c r="Q394" i="1"/>
  <c r="Q395" i="1"/>
  <c r="U395" i="1" s="1"/>
  <c r="Q146" i="1"/>
  <c r="Q3" i="1"/>
  <c r="Q245" i="1"/>
  <c r="Q874" i="1"/>
  <c r="Q10" i="1"/>
  <c r="U10" i="1" s="1"/>
  <c r="Q1049" i="1"/>
  <c r="Q899" i="1"/>
  <c r="U899" i="1" s="1"/>
  <c r="Q900" i="1"/>
  <c r="U900" i="1" s="1"/>
  <c r="Q901" i="1"/>
  <c r="Q902" i="1"/>
  <c r="Q4" i="1"/>
  <c r="U4" i="1" s="1"/>
  <c r="Q1250" i="1"/>
  <c r="U1250" i="1" s="1"/>
  <c r="Q292" i="1"/>
  <c r="U292" i="1" s="1"/>
  <c r="Q1424" i="1"/>
  <c r="Q1479" i="1"/>
  <c r="U1479" i="1" s="1"/>
  <c r="Q1251" i="1"/>
  <c r="Q861" i="1"/>
  <c r="Q1485" i="1"/>
  <c r="Q11" i="1"/>
  <c r="Q527" i="1"/>
  <c r="Q12" i="1"/>
  <c r="U12" i="1" s="1"/>
  <c r="Q1488" i="1"/>
  <c r="Q13" i="1"/>
  <c r="Q1042" i="1"/>
  <c r="U1042" i="1" s="1"/>
  <c r="Q213" i="1"/>
  <c r="Q214" i="1"/>
  <c r="Q79" i="1"/>
  <c r="Q59" i="1"/>
  <c r="U59" i="1" s="1"/>
  <c r="Q1066" i="1"/>
  <c r="U1066" i="1" s="1"/>
  <c r="Q1286" i="1"/>
  <c r="U1286" i="1" s="1"/>
  <c r="Q215" i="1"/>
  <c r="Q216" i="1"/>
  <c r="U216" i="1" s="1"/>
  <c r="Q217" i="1"/>
  <c r="U217" i="1" s="1"/>
  <c r="Q218" i="1"/>
  <c r="U218" i="1" s="1"/>
  <c r="Q166" i="1"/>
  <c r="U166" i="1" s="1"/>
  <c r="Q1063" i="1"/>
  <c r="U1063" i="1" s="1"/>
  <c r="Q848" i="1"/>
  <c r="U848" i="1" s="1"/>
  <c r="Q1220" i="1"/>
  <c r="U1220" i="1" s="1"/>
  <c r="Q311" i="1"/>
  <c r="U311" i="1" s="1"/>
  <c r="Q842" i="1"/>
  <c r="U842" i="1" s="1"/>
  <c r="Q370" i="1"/>
  <c r="Q380" i="1"/>
  <c r="U380" i="1" s="1"/>
  <c r="Q371" i="1"/>
  <c r="Q372" i="1"/>
  <c r="U372" i="1" s="1"/>
  <c r="Q1435" i="1"/>
  <c r="U1435" i="1" s="1"/>
  <c r="Q373" i="1"/>
  <c r="Q374" i="1"/>
  <c r="Q381" i="1"/>
  <c r="Q382" i="1"/>
  <c r="U382" i="1" s="1"/>
  <c r="Q386" i="1"/>
  <c r="Q387" i="1"/>
  <c r="Q1298" i="1"/>
  <c r="U1298" i="1" s="1"/>
  <c r="Q1391" i="1"/>
  <c r="Q53" i="1"/>
  <c r="U53" i="1" s="1"/>
  <c r="Q54" i="1"/>
  <c r="Q55" i="1"/>
  <c r="Q56" i="1"/>
  <c r="U56" i="1" s="1"/>
  <c r="Q57" i="1"/>
  <c r="Q521" i="1"/>
  <c r="U521" i="1" s="1"/>
  <c r="Q488" i="1"/>
  <c r="U488" i="1" s="1"/>
  <c r="Q489" i="1"/>
  <c r="U489" i="1" s="1"/>
  <c r="Q490" i="1"/>
  <c r="Q512" i="1"/>
  <c r="U512" i="1" s="1"/>
  <c r="Q491" i="1"/>
  <c r="U491" i="1" s="1"/>
  <c r="Q492" i="1"/>
  <c r="Q495" i="1"/>
  <c r="U495" i="1" s="1"/>
  <c r="Q496" i="1"/>
  <c r="Q497" i="1"/>
  <c r="U497" i="1" s="1"/>
  <c r="Q498" i="1"/>
  <c r="U498" i="1" s="1"/>
  <c r="Q499" i="1"/>
  <c r="U499" i="1" s="1"/>
  <c r="Q467" i="1"/>
  <c r="U467" i="1" s="1"/>
  <c r="Q1456" i="1"/>
  <c r="U1456" i="1" s="1"/>
  <c r="Q504" i="1"/>
  <c r="Q505" i="1"/>
  <c r="U505" i="1" s="1"/>
  <c r="Q506" i="1"/>
  <c r="U506" i="1" s="1"/>
  <c r="Q507" i="1"/>
  <c r="Q508" i="1"/>
  <c r="Q513" i="1"/>
  <c r="U513" i="1" s="1"/>
  <c r="Q1457" i="1"/>
  <c r="Q514" i="1"/>
  <c r="Q500" i="1"/>
  <c r="Q509" i="1"/>
  <c r="Q1248" i="1"/>
  <c r="Q539" i="1"/>
  <c r="Q523" i="1"/>
  <c r="Q524" i="1"/>
  <c r="U524" i="1" s="1"/>
  <c r="Q573" i="1"/>
  <c r="U573" i="1" s="1"/>
  <c r="Q78" i="1"/>
  <c r="U78" i="1" s="1"/>
  <c r="Q1441" i="1"/>
  <c r="U1441" i="1" s="1"/>
  <c r="Q788" i="1"/>
  <c r="Q789" i="1"/>
  <c r="U789" i="1" s="1"/>
  <c r="Q1478" i="1"/>
  <c r="U1478" i="1" s="1"/>
  <c r="Q797" i="1"/>
  <c r="AB1498" i="1"/>
  <c r="AB1199" i="1"/>
  <c r="AB1497" i="1"/>
  <c r="AB863" i="1"/>
  <c r="Q466" i="1"/>
  <c r="Q198" i="1"/>
  <c r="U198" i="1" s="1"/>
  <c r="Q67" i="1"/>
  <c r="Q68" i="1"/>
  <c r="U68" i="1" s="1"/>
  <c r="Q69" i="1"/>
  <c r="U69" i="1" s="1"/>
  <c r="Q1257" i="1"/>
  <c r="U1257" i="1" s="1"/>
  <c r="Q482" i="1"/>
  <c r="U482" i="1" s="1"/>
  <c r="Q100" i="1"/>
  <c r="U100" i="1" s="1"/>
  <c r="Q72" i="1"/>
  <c r="U72" i="1" s="1"/>
  <c r="Q102" i="1"/>
  <c r="Q829" i="1"/>
  <c r="U829" i="1" s="1"/>
  <c r="Q118" i="1"/>
  <c r="U118" i="1" s="1"/>
  <c r="Q129" i="1"/>
  <c r="U129" i="1" s="1"/>
  <c r="Q74" i="1"/>
  <c r="Q140" i="1"/>
  <c r="U140" i="1" s="1"/>
  <c r="Q1429" i="1"/>
  <c r="Q1431" i="1"/>
  <c r="Q1109" i="1"/>
  <c r="U1109" i="1" s="1"/>
  <c r="Q124" i="1"/>
  <c r="U124" i="1" s="1"/>
  <c r="Q972" i="1"/>
  <c r="U972" i="1" s="1"/>
  <c r="Q178" i="1"/>
  <c r="Q1043" i="1"/>
  <c r="U1043" i="1" s="1"/>
  <c r="Q280" i="1"/>
  <c r="U280" i="1" s="1"/>
  <c r="Q281" i="1"/>
  <c r="Q125" i="1"/>
  <c r="Q126" i="1"/>
  <c r="U126" i="1" s="1"/>
  <c r="Q1275" i="1"/>
  <c r="U1275" i="1" s="1"/>
  <c r="Q903" i="1"/>
  <c r="Q904" i="1"/>
  <c r="U904" i="1" s="1"/>
  <c r="Q905" i="1"/>
  <c r="U905" i="1" s="1"/>
  <c r="Q147" i="1"/>
  <c r="U147" i="1" s="1"/>
  <c r="Q259" i="1"/>
  <c r="U259" i="1" s="1"/>
  <c r="Q282" i="1"/>
  <c r="Q219" i="1"/>
  <c r="Q667" i="1"/>
  <c r="U667" i="1" s="1"/>
  <c r="Q885" i="1"/>
  <c r="Q554" i="1"/>
  <c r="Q40" i="1"/>
  <c r="Q973" i="1"/>
  <c r="Q260" i="1"/>
  <c r="U260" i="1" s="1"/>
  <c r="Q383" i="1"/>
  <c r="Q1112" i="1"/>
  <c r="Q1104" i="1"/>
  <c r="Q348" i="1"/>
  <c r="U348" i="1" s="1"/>
  <c r="Q349" i="1"/>
  <c r="U349" i="1" s="1"/>
  <c r="Q131" i="1"/>
  <c r="Q190" i="1"/>
  <c r="U190" i="1" s="1"/>
  <c r="Q974" i="1"/>
  <c r="U974" i="1" s="1"/>
  <c r="Q855" i="1"/>
  <c r="Q856" i="1"/>
  <c r="U856" i="1" s="1"/>
  <c r="Q852" i="1"/>
  <c r="U852" i="1" s="1"/>
  <c r="Q1508" i="1"/>
  <c r="U1508" i="1" s="1"/>
  <c r="Q1509" i="1"/>
  <c r="Q1510" i="1"/>
  <c r="Q975" i="1"/>
  <c r="U975" i="1" s="1"/>
  <c r="Q1302" i="1"/>
  <c r="Q148" i="1"/>
  <c r="Q149" i="1"/>
  <c r="U149" i="1" s="1"/>
  <c r="Q437" i="1"/>
  <c r="U437" i="1" s="1"/>
  <c r="Q1107" i="1"/>
  <c r="U1107" i="1" s="1"/>
  <c r="Q384" i="1"/>
  <c r="Q205" i="1"/>
  <c r="U205" i="1" s="1"/>
  <c r="Q206" i="1"/>
  <c r="Q305" i="1"/>
  <c r="Q1392" i="1"/>
  <c r="U1392" i="1" s="1"/>
  <c r="Q516" i="1"/>
  <c r="U516" i="1" s="1"/>
  <c r="Q306" i="1"/>
  <c r="U306" i="1" s="1"/>
  <c r="Q335" i="1"/>
  <c r="Q1246" i="1"/>
  <c r="Q1393" i="1"/>
  <c r="U1393" i="1" s="1"/>
  <c r="Q1416" i="1"/>
  <c r="Q1308" i="1"/>
  <c r="Q438" i="1"/>
  <c r="Q1529" i="1"/>
  <c r="U1529" i="1" s="1"/>
  <c r="Q1530" i="1"/>
  <c r="Q1531" i="1"/>
  <c r="Q1532" i="1"/>
  <c r="U1532" i="1" s="1"/>
  <c r="Q1533" i="1"/>
  <c r="U1533" i="1" s="1"/>
  <c r="Q1534" i="1"/>
  <c r="U1534" i="1" s="1"/>
  <c r="Q1535" i="1"/>
  <c r="Q1395" i="1"/>
  <c r="Q1396" i="1"/>
  <c r="U1396" i="1" s="1"/>
  <c r="Q1398" i="1"/>
  <c r="Q1399" i="1"/>
  <c r="Q1400" i="1"/>
  <c r="U1400" i="1" s="1"/>
  <c r="Q857" i="1"/>
  <c r="U857" i="1" s="1"/>
  <c r="Q858" i="1"/>
  <c r="Q1493" i="1"/>
  <c r="Q944" i="1"/>
  <c r="Q132" i="1"/>
  <c r="Q397" i="1"/>
  <c r="Q668" i="1"/>
  <c r="U668" i="1" s="1"/>
  <c r="Q7" i="1"/>
  <c r="U7" i="1" s="1"/>
  <c r="Q246" i="1"/>
  <c r="Q41" i="1"/>
  <c r="U41" i="1" s="1"/>
  <c r="Q1122" i="1"/>
  <c r="U1122" i="1" s="1"/>
  <c r="Q14" i="1"/>
  <c r="Q233" i="1"/>
  <c r="U233" i="1" s="1"/>
  <c r="Q150" i="1"/>
  <c r="U150" i="1" s="1"/>
  <c r="Q199" i="1"/>
  <c r="Q80" i="1"/>
  <c r="Q865" i="1"/>
  <c r="U865" i="1" s="1"/>
  <c r="Q866" i="1"/>
  <c r="U866" i="1" s="1"/>
  <c r="Q867" i="1"/>
  <c r="U867" i="1" s="1"/>
  <c r="Q465" i="1"/>
  <c r="U465" i="1" s="1"/>
  <c r="Q574" i="1"/>
  <c r="U574" i="1" s="1"/>
  <c r="Q575" i="1"/>
  <c r="Q1287" i="1"/>
  <c r="Q1243" i="1"/>
  <c r="Q1237" i="1"/>
  <c r="Q30" i="1"/>
  <c r="U30" i="1" s="1"/>
  <c r="Q87" i="1"/>
  <c r="Q88" i="1"/>
  <c r="U88" i="1" s="1"/>
  <c r="Q42" i="1"/>
  <c r="Q350" i="1"/>
  <c r="U350" i="1" s="1"/>
  <c r="Q481" i="1"/>
  <c r="U481" i="1" s="1"/>
  <c r="Q351" i="1"/>
  <c r="Q1517" i="1"/>
  <c r="Q889" i="1"/>
  <c r="U889" i="1" s="1"/>
  <c r="Q1338" i="1"/>
  <c r="U1338" i="1" s="1"/>
  <c r="Q1339" i="1"/>
  <c r="U1339" i="1" s="1"/>
  <c r="Q843" i="1"/>
  <c r="U843" i="1" s="1"/>
  <c r="Q844" i="1"/>
  <c r="U844" i="1" s="1"/>
  <c r="Q1425" i="1"/>
  <c r="U1425" i="1" s="1"/>
  <c r="Q1379" i="1"/>
  <c r="U1379" i="1" s="1"/>
  <c r="Q352" i="1"/>
  <c r="Q1486" i="1"/>
  <c r="U1486" i="1" s="1"/>
  <c r="Q689" i="1"/>
  <c r="U689" i="1" s="1"/>
  <c r="Q897" i="1"/>
  <c r="U897" i="1" s="1"/>
  <c r="Q1467" i="1"/>
  <c r="U1467" i="1" s="1"/>
  <c r="Q1468" i="1"/>
  <c r="U1468" i="1" s="1"/>
  <c r="Q633" i="1"/>
  <c r="Q471" i="1"/>
  <c r="U471" i="1" s="1"/>
  <c r="AB1496" i="1"/>
  <c r="AB1500" i="1"/>
  <c r="AB1161" i="1"/>
  <c r="AB1499" i="1"/>
  <c r="AB751" i="1"/>
  <c r="AB1206" i="1"/>
  <c r="AB836" i="1"/>
  <c r="AB1494" i="1"/>
  <c r="AB1408" i="1"/>
  <c r="Q143" i="1"/>
  <c r="Q1455" i="1"/>
  <c r="Q164" i="1"/>
  <c r="Q608" i="1"/>
  <c r="Q610" i="1"/>
  <c r="Q177" i="1"/>
  <c r="Q1069" i="1"/>
  <c r="Q267" i="1"/>
  <c r="Q287" i="1"/>
  <c r="U287" i="1" s="1"/>
  <c r="Q251" i="1"/>
  <c r="U251" i="1" s="1"/>
  <c r="Q243" i="1"/>
  <c r="Q271" i="1"/>
  <c r="U271" i="1" s="1"/>
  <c r="Q272" i="1"/>
  <c r="Q274" i="1"/>
  <c r="U274" i="1" s="1"/>
  <c r="Q275" i="1"/>
  <c r="Q830" i="1"/>
  <c r="Q701" i="1"/>
  <c r="Q1459" i="1"/>
  <c r="Q791" i="1"/>
  <c r="Q1054" i="1"/>
  <c r="Q660" i="1"/>
  <c r="Q1316" i="1"/>
  <c r="AB1463" i="1"/>
  <c r="AB1464" i="1"/>
  <c r="Q1465" i="1"/>
  <c r="Q1417" i="1"/>
  <c r="U1417" i="1" s="1"/>
  <c r="Q1450" i="1"/>
  <c r="Q462" i="1"/>
  <c r="Q1503" i="1"/>
  <c r="Q1504" i="1"/>
  <c r="U1504" i="1" s="1"/>
  <c r="Q1512" i="1"/>
  <c r="Q800" i="1"/>
  <c r="Q992" i="1"/>
  <c r="Q854" i="1"/>
  <c r="Q1219" i="1"/>
  <c r="Q1335" i="1"/>
  <c r="Q396" i="1"/>
  <c r="Q526" i="1"/>
  <c r="U526" i="1" s="1"/>
  <c r="Q993" i="1"/>
  <c r="Q58" i="1"/>
  <c r="Q304" i="1"/>
  <c r="U304" i="1" s="1"/>
  <c r="Q1394" i="1"/>
  <c r="Q1466" i="1"/>
  <c r="U1466" i="1" s="1"/>
  <c r="Q483" i="1"/>
  <c r="Q176" i="1"/>
  <c r="Q188" i="1"/>
  <c r="Q193" i="1"/>
  <c r="Q1297" i="1"/>
  <c r="Q363" i="1"/>
  <c r="Q558" i="1"/>
  <c r="U558" i="1" s="1"/>
  <c r="Q626" i="1"/>
  <c r="Q545" i="1"/>
  <c r="U545" i="1" s="1"/>
  <c r="Q738" i="1"/>
  <c r="Q1181" i="1"/>
  <c r="Q393" i="1"/>
  <c r="Q1152" i="1"/>
  <c r="Q914" i="1"/>
  <c r="Q916" i="1"/>
  <c r="U916" i="1" s="1"/>
  <c r="Q1006" i="1"/>
  <c r="Q922" i="1"/>
  <c r="U922" i="1" s="1"/>
  <c r="Q632" i="1"/>
  <c r="Q212" i="1"/>
  <c r="Q1306" i="1"/>
  <c r="Q530" i="1"/>
  <c r="Q1390" i="1"/>
  <c r="U1390" i="1" s="1"/>
  <c r="Q828" i="1"/>
  <c r="U828" i="1" s="1"/>
  <c r="Q1428" i="1"/>
  <c r="Q73" i="1"/>
  <c r="Q1433" i="1"/>
  <c r="Q144" i="1"/>
  <c r="Q160" i="1"/>
  <c r="U160" i="1" s="1"/>
  <c r="Q1388" i="1"/>
  <c r="U1388" i="1" s="1"/>
  <c r="Q1064" i="1"/>
  <c r="U1064" i="1" s="1"/>
  <c r="Q45" i="1"/>
  <c r="U45" i="1" s="1"/>
  <c r="Q49" i="1"/>
  <c r="Q248" i="1"/>
  <c r="U248" i="1" s="1"/>
  <c r="Q52" i="1"/>
  <c r="Q250" i="1"/>
  <c r="Q270" i="1"/>
  <c r="Q252" i="1"/>
  <c r="Q339" i="1"/>
  <c r="Q365" i="1"/>
  <c r="Q787" i="1"/>
  <c r="Q677" i="1"/>
  <c r="Q1340" i="1"/>
  <c r="Q713" i="1"/>
  <c r="Q553" i="1"/>
  <c r="Q803" i="1"/>
  <c r="Q1132" i="1"/>
  <c r="Q966" i="1"/>
  <c r="Q1113" i="1"/>
  <c r="Q1040" i="1"/>
  <c r="Q226" i="1"/>
  <c r="Q784" i="1"/>
  <c r="Q1352" i="1"/>
  <c r="Q1353" i="1"/>
  <c r="Q1354" i="1"/>
  <c r="Q71" i="1"/>
  <c r="U71" i="1" s="1"/>
  <c r="Q101" i="1"/>
  <c r="Q562" i="1"/>
  <c r="Q120" i="1"/>
  <c r="Q122" i="1"/>
  <c r="U122" i="1" s="1"/>
  <c r="Q1427" i="1"/>
  <c r="Q141" i="1"/>
  <c r="Q1430" i="1"/>
  <c r="Q1438" i="1"/>
  <c r="U1438" i="1" s="1"/>
  <c r="Q158" i="1"/>
  <c r="Q75" i="1"/>
  <c r="U75" i="1" s="1"/>
  <c r="Q168" i="1"/>
  <c r="Q169" i="1"/>
  <c r="U169" i="1" s="1"/>
  <c r="Q189" i="1"/>
  <c r="Q47" i="1"/>
  <c r="U47" i="1" s="1"/>
  <c r="Q1295" i="1"/>
  <c r="Q19" i="1"/>
  <c r="Q303" i="1"/>
  <c r="U303" i="1" s="1"/>
  <c r="Q542" i="1"/>
  <c r="Q543" i="1"/>
  <c r="U543" i="1" s="1"/>
  <c r="Q240" i="1"/>
  <c r="Q269" i="1"/>
  <c r="U269" i="1" s="1"/>
  <c r="Q755" i="1"/>
  <c r="U755" i="1" s="1"/>
  <c r="Q1116" i="1"/>
  <c r="Q1117" i="1"/>
  <c r="Q1149" i="1"/>
  <c r="Q1255" i="1"/>
  <c r="U1255" i="1" s="1"/>
  <c r="Q739" i="1"/>
  <c r="Q742" i="1"/>
  <c r="Q1053" i="1"/>
  <c r="Q1075" i="1"/>
  <c r="U1075" i="1" s="1"/>
  <c r="Q1285" i="1"/>
  <c r="U1285" i="1" s="1"/>
  <c r="Q99" i="1"/>
  <c r="Q385" i="1"/>
  <c r="U385" i="1" s="1"/>
  <c r="Q119" i="1"/>
  <c r="Q121" i="1"/>
  <c r="U121" i="1" s="1"/>
  <c r="Q128" i="1"/>
  <c r="U128" i="1" s="1"/>
  <c r="Q175" i="1"/>
  <c r="Q174" i="1"/>
  <c r="Q197" i="1"/>
  <c r="U197" i="1" s="1"/>
  <c r="Q61" i="1"/>
  <c r="Q63" i="1"/>
  <c r="U63" i="1" s="1"/>
  <c r="Q65" i="1"/>
  <c r="Q62" i="1"/>
  <c r="Q64" i="1"/>
  <c r="U64" i="1" s="1"/>
  <c r="Q66" i="1"/>
  <c r="AB688" i="1"/>
  <c r="AB1360" i="1"/>
  <c r="AB864" i="1"/>
  <c r="AB1141" i="1"/>
  <c r="AB1288" i="1"/>
  <c r="AB1260" i="1"/>
  <c r="AB1263" i="1"/>
  <c r="AB1265" i="1"/>
  <c r="AB1278" i="1"/>
  <c r="AB1060" i="1"/>
  <c r="AB1289" i="1"/>
  <c r="AB1520" i="1"/>
  <c r="AB1536" i="1"/>
  <c r="AB1413" i="1"/>
  <c r="AB1124" i="1"/>
  <c r="AB284" i="1"/>
  <c r="AB293" i="1"/>
  <c r="AB209" i="1"/>
  <c r="AB294" i="1"/>
  <c r="AB1291" i="1"/>
  <c r="AB263" i="1"/>
  <c r="AB1367" i="1"/>
  <c r="AB859" i="1"/>
  <c r="AB868" i="1"/>
  <c r="AB15" i="1"/>
  <c r="AB577" i="1"/>
  <c r="AB433" i="1"/>
  <c r="AB1330" i="1"/>
  <c r="AB227" i="1"/>
  <c r="AB1491" i="1"/>
  <c r="AB1099" i="1"/>
  <c r="AB1048" i="1"/>
  <c r="AB1022" i="1"/>
  <c r="AB1238" i="1"/>
  <c r="AB790" i="1"/>
  <c r="AB1484" i="1"/>
  <c r="AB1154" i="1"/>
  <c r="AB806" i="1"/>
  <c r="AB1150" i="1"/>
  <c r="AB847" i="1"/>
  <c r="AB1148" i="1"/>
  <c r="AB1175" i="1"/>
  <c r="AB1144" i="1"/>
  <c r="AB1129" i="1"/>
  <c r="AB1130" i="1"/>
  <c r="AB1203" i="1"/>
  <c r="AB1205" i="1"/>
  <c r="AB1173" i="1"/>
  <c r="AB754" i="1"/>
  <c r="AB659" i="1"/>
  <c r="AB802" i="1"/>
  <c r="AB801" i="1"/>
  <c r="AB709" i="1"/>
  <c r="AB1323" i="1"/>
  <c r="AB1366" i="1"/>
  <c r="AB1312" i="1"/>
  <c r="AB1389" i="1"/>
  <c r="AB628" i="1"/>
  <c r="AB1282" i="1"/>
  <c r="AB1062" i="1"/>
  <c r="AB636" i="1"/>
  <c r="AB468" i="1"/>
  <c r="AB663" i="1"/>
  <c r="AB1461" i="1"/>
  <c r="AB510" i="1"/>
  <c r="AB256" i="1"/>
  <c r="AB1458" i="1"/>
  <c r="AB552" i="1"/>
  <c r="AB474" i="1"/>
  <c r="AB549" i="1"/>
  <c r="AB697" i="1"/>
  <c r="AB692" i="1"/>
  <c r="AB691" i="1"/>
  <c r="AB675" i="1"/>
  <c r="AB1065" i="1"/>
  <c r="AB623" i="1"/>
  <c r="AB1386" i="1"/>
  <c r="AB547" i="1"/>
  <c r="AB533" i="1"/>
  <c r="AB355" i="1"/>
  <c r="AB344" i="1"/>
  <c r="AB522" i="1"/>
  <c r="AB342" i="1"/>
  <c r="AB341" i="1"/>
  <c r="AB330" i="1"/>
  <c r="AB326" i="1"/>
  <c r="AB1270" i="1"/>
  <c r="AB635" i="1"/>
  <c r="AB1403" i="1"/>
  <c r="AB687" i="1"/>
  <c r="AB779" i="1"/>
  <c r="AB261" i="1"/>
  <c r="AB817" i="1"/>
  <c r="AB1405" i="1"/>
  <c r="AB86" i="1"/>
  <c r="AB1207" i="1"/>
  <c r="AB816" i="1"/>
  <c r="AB480" i="1"/>
  <c r="AB693" i="1"/>
  <c r="AB996" i="1"/>
  <c r="AB285" i="1"/>
  <c r="AB654" i="1"/>
  <c r="AB958" i="1"/>
  <c r="AB1277" i="1"/>
  <c r="AB1385" i="1"/>
  <c r="AB681" i="1"/>
  <c r="AB1322" i="1"/>
  <c r="AB159" i="1"/>
  <c r="AB831" i="1"/>
  <c r="AB653" i="1"/>
  <c r="AB1262" i="1"/>
  <c r="AB1303" i="1"/>
  <c r="AB732" i="1"/>
  <c r="AB319" i="1"/>
  <c r="AB1481" i="1"/>
  <c r="AB469" i="1"/>
  <c r="AB710" i="1"/>
  <c r="AB999" i="1"/>
  <c r="AB1188" i="1"/>
  <c r="AB1222" i="1"/>
  <c r="AB655" i="1"/>
  <c r="AB464" i="1"/>
  <c r="AB1241" i="1"/>
  <c r="AB837" i="1"/>
  <c r="AB995" i="1"/>
  <c r="AB618" i="1"/>
  <c r="AB875" i="1"/>
  <c r="AB696" i="1"/>
  <c r="AB1283" i="1"/>
  <c r="AB686" i="1"/>
  <c r="AB551" i="1"/>
  <c r="AB1214" i="1"/>
  <c r="AB1337" i="1"/>
  <c r="AB155" i="1"/>
  <c r="AB173" i="1"/>
  <c r="AB613" i="1"/>
  <c r="AB1240" i="1"/>
  <c r="AB616" i="1"/>
  <c r="AB28" i="1"/>
  <c r="AB151" i="1"/>
  <c r="AB321" i="1"/>
  <c r="AB207" i="1"/>
  <c r="AB493" i="1"/>
  <c r="AB1276" i="1"/>
  <c r="AB1419" i="1"/>
  <c r="AB1378" i="1"/>
  <c r="AB614" i="1"/>
  <c r="AB1402" i="1"/>
  <c r="AB1404" i="1"/>
  <c r="AB615" i="1"/>
  <c r="AB617" i="1"/>
  <c r="AB1016" i="1"/>
  <c r="AB1432" i="1"/>
  <c r="AB162" i="1"/>
  <c r="AB1258" i="1"/>
  <c r="AB186" i="1"/>
  <c r="AB1269" i="1"/>
  <c r="AB1068" i="1"/>
  <c r="AB242" i="1"/>
  <c r="AB296" i="1"/>
  <c r="AB307" i="1"/>
  <c r="AB327" i="1"/>
  <c r="AB333" i="1"/>
  <c r="AB538" i="1"/>
  <c r="AB703" i="1"/>
  <c r="AB695" i="1"/>
  <c r="AB700" i="1"/>
  <c r="AB893" i="1"/>
  <c r="AB664" i="1"/>
  <c r="AB1325" i="1"/>
  <c r="AB707" i="1"/>
  <c r="AB1202" i="1"/>
  <c r="AB1127" i="1"/>
  <c r="AB981" i="1"/>
  <c r="AB1343" i="1"/>
  <c r="AB884" i="1"/>
  <c r="AB1083" i="1"/>
  <c r="AB422" i="1"/>
  <c r="AB1328" i="1"/>
  <c r="AB1313" i="1"/>
  <c r="AB161" i="1"/>
  <c r="AB1434" i="1"/>
  <c r="AB184" i="1"/>
  <c r="AB195" i="1"/>
  <c r="AB673" i="1"/>
  <c r="AB556" i="1"/>
  <c r="AB290" i="1"/>
  <c r="AB318" i="1"/>
  <c r="AB328" i="1"/>
  <c r="AB563" i="1"/>
  <c r="AB564" i="1"/>
  <c r="AB661" i="1"/>
  <c r="AB694" i="1"/>
  <c r="AB550" i="1"/>
  <c r="AB225" i="1"/>
  <c r="AB657" i="1"/>
  <c r="AB683" i="1"/>
  <c r="AB1126" i="1"/>
  <c r="AB1145" i="1"/>
  <c r="AB986" i="1"/>
  <c r="AB887" i="1"/>
  <c r="AB1158" i="1"/>
  <c r="AB1050" i="1"/>
  <c r="AB1300" i="1"/>
  <c r="AB1487" i="1"/>
  <c r="AB142" i="1"/>
  <c r="AB156" i="1"/>
  <c r="AB555" i="1"/>
  <c r="AB187" i="1"/>
  <c r="AB196" i="1"/>
  <c r="AB50" i="1"/>
  <c r="AB277" i="1"/>
  <c r="AB325" i="1"/>
  <c r="AB320" i="1"/>
  <c r="AB332" i="1"/>
  <c r="AB391" i="1"/>
  <c r="AB534" i="1"/>
  <c r="AB704" i="1"/>
  <c r="AB679" i="1"/>
  <c r="AB525" i="1"/>
  <c r="AB1460" i="1"/>
  <c r="AB1315" i="1"/>
  <c r="AB642" i="1"/>
  <c r="AB1244" i="1"/>
  <c r="AB812" i="1"/>
  <c r="AB1162" i="1"/>
  <c r="AB645" i="1"/>
  <c r="AB807" i="1"/>
  <c r="AB1140" i="1"/>
  <c r="AB419" i="1"/>
  <c r="AB1034" i="1"/>
  <c r="AB665" i="1"/>
  <c r="AB157" i="1"/>
  <c r="AB163" i="1"/>
  <c r="AB185" i="1"/>
  <c r="AB531" i="1"/>
  <c r="AB48" i="1"/>
  <c r="AB249" i="1"/>
  <c r="AB254" i="1"/>
  <c r="AB412" i="1"/>
  <c r="AB331" i="1"/>
  <c r="AB346" i="1"/>
  <c r="AB544" i="1"/>
  <c r="AB634" i="1"/>
  <c r="AB676" i="1"/>
  <c r="AB475" i="1"/>
  <c r="AB224" i="1"/>
  <c r="AB604" i="1"/>
  <c r="AB568" i="1"/>
  <c r="AB711" i="1"/>
  <c r="AB1166" i="1"/>
  <c r="AB1146" i="1"/>
  <c r="AB1180" i="1"/>
  <c r="AB1136" i="1"/>
  <c r="AB1157" i="1"/>
  <c r="AB930" i="1"/>
  <c r="AB1094" i="1"/>
  <c r="AB1254" i="1"/>
  <c r="AB666" i="1"/>
  <c r="AB637" i="1"/>
  <c r="AB1133" i="1"/>
  <c r="AB968" i="1"/>
  <c r="AB1495" i="1"/>
  <c r="AB253" i="1"/>
  <c r="AB255" i="1"/>
  <c r="AB316" i="1"/>
  <c r="AB340" i="1"/>
  <c r="AB559" i="1"/>
  <c r="AB690" i="1"/>
  <c r="AB698" i="1"/>
  <c r="AB244" i="1"/>
  <c r="AB1489" i="1"/>
  <c r="AB907" i="1"/>
  <c r="AB602" i="1"/>
  <c r="AB705" i="1"/>
  <c r="AB145" i="1"/>
  <c r="AB804" i="1"/>
  <c r="AB880" i="1"/>
  <c r="AB484" i="1"/>
  <c r="AB959" i="1"/>
  <c r="AB881" i="1"/>
  <c r="AB130" i="1"/>
  <c r="AB953" i="1"/>
  <c r="AB955" i="1"/>
  <c r="AB114" i="1"/>
  <c r="AB808" i="1"/>
  <c r="AB810" i="1"/>
  <c r="AB1167" i="1"/>
  <c r="AB1138" i="1"/>
  <c r="AB1185" i="1"/>
  <c r="AB1139" i="1"/>
  <c r="AB1192" i="1"/>
  <c r="AB1156" i="1"/>
  <c r="AB416" i="1"/>
  <c r="AB1169" i="1"/>
  <c r="AB1120" i="1"/>
  <c r="AB1227" i="1"/>
  <c r="AB1010" i="1"/>
  <c r="AB967" i="1"/>
  <c r="AB1012" i="1"/>
  <c r="AB1229" i="1"/>
  <c r="AB1019" i="1"/>
  <c r="AB1165" i="1"/>
  <c r="AB1299" i="1"/>
  <c r="AB1025" i="1"/>
  <c r="AB1070" i="1"/>
  <c r="AB909" i="1"/>
  <c r="AB631" i="1"/>
  <c r="AB1223" i="1"/>
  <c r="AB1225" i="1"/>
  <c r="AB1072" i="1"/>
  <c r="AB1361" i="1"/>
  <c r="AB1081" i="1"/>
  <c r="AB931" i="1"/>
  <c r="AB936" i="1"/>
  <c r="AB420" i="1"/>
  <c r="AB1033" i="1"/>
  <c r="AB1046" i="1"/>
  <c r="AB421" i="1"/>
  <c r="AB1055" i="1"/>
  <c r="AB792" i="1"/>
  <c r="AB772" i="1"/>
  <c r="AB1059" i="1"/>
  <c r="AB1087" i="1"/>
  <c r="AB1411" i="1"/>
  <c r="AB1095" i="1"/>
  <c r="AB940" i="1"/>
  <c r="AB1111" i="1"/>
  <c r="AB1555" i="1"/>
  <c r="AB943" i="1"/>
  <c r="AB368" i="1"/>
  <c r="AB424" i="1"/>
  <c r="AB535" i="1"/>
  <c r="AB731" i="1"/>
  <c r="AB1216" i="1"/>
  <c r="AB1326" i="1"/>
  <c r="AB796" i="1"/>
  <c r="AB428" i="1"/>
  <c r="AB234" i="1"/>
  <c r="AB37" i="1"/>
  <c r="AB1014" i="1"/>
  <c r="AB1329" i="1"/>
  <c r="AB310" i="1"/>
  <c r="AB811" i="1"/>
  <c r="AB1319" i="1"/>
  <c r="AB1363" i="1"/>
  <c r="AB1333" i="1"/>
  <c r="AB1320" i="1"/>
  <c r="AB1321" i="1"/>
  <c r="AB1345" i="1"/>
  <c r="AB1346" i="1"/>
  <c r="AB1347" i="1"/>
  <c r="AB1348" i="1"/>
  <c r="AB1349" i="1"/>
  <c r="AB1350" i="1"/>
  <c r="AB1351" i="1"/>
  <c r="AB1355" i="1"/>
  <c r="AB1356" i="1"/>
  <c r="AB1357" i="1"/>
  <c r="AB1358" i="1"/>
  <c r="AB430" i="1"/>
  <c r="AB1294" i="1"/>
  <c r="AB1439" i="1"/>
  <c r="AB565" i="1"/>
  <c r="AB699" i="1"/>
  <c r="AB1151" i="1"/>
  <c r="AB926" i="1"/>
  <c r="AB127" i="1"/>
  <c r="AB279" i="1"/>
  <c r="AB291" i="1"/>
  <c r="AB297" i="1"/>
  <c r="AB317" i="1"/>
  <c r="AB1342" i="1"/>
  <c r="AB682" i="1"/>
  <c r="AB708" i="1"/>
  <c r="AB685" i="1"/>
  <c r="AB838" i="1"/>
  <c r="AB658" i="1"/>
  <c r="AB747" i="1"/>
  <c r="AB1176" i="1"/>
  <c r="AB1178" i="1"/>
  <c r="AB977" i="1"/>
  <c r="AB1000" i="1"/>
  <c r="AB1231" i="1"/>
  <c r="AB1114" i="1"/>
  <c r="AB983" i="1"/>
  <c r="AB985" i="1"/>
  <c r="AB846" i="1"/>
  <c r="AB888" i="1"/>
  <c r="AB1118" i="1"/>
  <c r="AB741" i="1"/>
  <c r="AB758" i="1"/>
  <c r="AB1137" i="1"/>
  <c r="AB1184" i="1"/>
  <c r="AB1189" i="1"/>
  <c r="AB1191" i="1"/>
  <c r="AB1155" i="1"/>
  <c r="AB415" i="1"/>
  <c r="AB1008" i="1"/>
  <c r="AB1160" i="1"/>
  <c r="AB1232" i="1"/>
  <c r="AB1110" i="1"/>
  <c r="AB989" i="1"/>
  <c r="AB990" i="1"/>
  <c r="AB964" i="1"/>
  <c r="AB1490" i="1"/>
  <c r="AB882" i="1"/>
  <c r="AB1228" i="1"/>
  <c r="AB759" i="1"/>
  <c r="AB729" i="1"/>
  <c r="AB1027" i="1"/>
  <c r="AB1029" i="1"/>
  <c r="AB767" i="1"/>
  <c r="AB915" i="1"/>
  <c r="AB1224" i="1"/>
  <c r="AB928" i="1"/>
  <c r="AB923" i="1"/>
  <c r="AB1074" i="1"/>
  <c r="AB1084" i="1"/>
  <c r="AB933" i="1"/>
  <c r="AB1020" i="1"/>
  <c r="AB1023" i="1"/>
  <c r="AB1032" i="1"/>
  <c r="AB104" i="1"/>
  <c r="AB1047" i="1"/>
  <c r="AB1013" i="1"/>
  <c r="AB832" i="1"/>
  <c r="AB1056" i="1"/>
  <c r="AB769" i="1"/>
  <c r="AB898" i="1"/>
  <c r="AB833" i="1"/>
  <c r="AB1085" i="1"/>
  <c r="AB1089" i="1"/>
  <c r="AB1092" i="1"/>
  <c r="AB1097" i="1"/>
  <c r="AB1102" i="1"/>
  <c r="AB1412" i="1"/>
  <c r="AB814" i="1"/>
  <c r="AB950" i="1"/>
  <c r="AB793" i="1"/>
  <c r="AB366" i="1"/>
  <c r="AB423" i="1"/>
  <c r="AB1272" i="1"/>
  <c r="AB1284" i="1"/>
  <c r="AB1215" i="1"/>
  <c r="AB1171" i="1"/>
  <c r="AB1318" i="1"/>
  <c r="AB235" i="1"/>
  <c r="AB38" i="1"/>
  <c r="AB1090" i="1"/>
  <c r="AB107" i="1"/>
  <c r="AB22" i="1"/>
  <c r="AB1218" i="1"/>
  <c r="AB108" i="1"/>
  <c r="AB109" i="1"/>
  <c r="AB379" i="1"/>
  <c r="AB532" i="1"/>
  <c r="AB678" i="1"/>
  <c r="AB566" i="1"/>
  <c r="AB479" i="1"/>
  <c r="AB501" i="1"/>
  <c r="AB712" i="1"/>
  <c r="AB1128" i="1"/>
  <c r="AB1177" i="1"/>
  <c r="AB952" i="1"/>
  <c r="AB963" i="1"/>
  <c r="AB917" i="1"/>
  <c r="AB536" i="1"/>
  <c r="AB425" i="1"/>
  <c r="AB1280" i="1"/>
  <c r="AB268" i="1"/>
  <c r="AB557" i="1"/>
  <c r="AB540" i="1"/>
  <c r="AB1131" i="1"/>
  <c r="AB1187" i="1"/>
  <c r="AB934" i="1"/>
  <c r="AB896" i="1"/>
  <c r="AB46" i="1"/>
  <c r="AB278" i="1"/>
  <c r="AB289" i="1"/>
  <c r="AB309" i="1"/>
  <c r="AB392" i="1"/>
  <c r="AB680" i="1"/>
  <c r="AB478" i="1"/>
  <c r="AB656" i="1"/>
  <c r="AB706" i="1"/>
  <c r="AB746" i="1"/>
  <c r="AB1163" i="1"/>
  <c r="AB1147" i="1"/>
  <c r="AB951" i="1"/>
  <c r="AB1168" i="1"/>
  <c r="AB629" i="1"/>
  <c r="AB980" i="1"/>
  <c r="AB984" i="1"/>
  <c r="AB987" i="1"/>
  <c r="AB756" i="1"/>
  <c r="AB757" i="1"/>
  <c r="AB749" i="1"/>
  <c r="AB743" i="1"/>
  <c r="AB1135" i="1"/>
  <c r="AB1183" i="1"/>
  <c r="AB1190" i="1"/>
  <c r="AB414" i="1"/>
  <c r="AB417" i="1"/>
  <c r="AB1159" i="1"/>
  <c r="AB860" i="1"/>
  <c r="AB1233" i="1"/>
  <c r="AB988" i="1"/>
  <c r="AB1011" i="1"/>
  <c r="AB1003" i="1"/>
  <c r="AB965" i="1"/>
  <c r="AB991" i="1"/>
  <c r="AB956" i="1"/>
  <c r="AB883" i="1"/>
  <c r="AB21" i="1"/>
  <c r="AB1044" i="1"/>
  <c r="AB1045" i="1"/>
  <c r="AB872" i="1"/>
  <c r="AB765" i="1"/>
  <c r="AB630" i="1"/>
  <c r="AB813" i="1"/>
  <c r="AB927" i="1"/>
  <c r="AB1071" i="1"/>
  <c r="AB1383" i="1"/>
  <c r="AB1080" i="1"/>
  <c r="AB932" i="1"/>
  <c r="AB937" i="1"/>
  <c r="AB1021" i="1"/>
  <c r="AB638" i="1"/>
  <c r="AB1035" i="1"/>
  <c r="AB1037" i="1"/>
  <c r="AB1038" i="1"/>
  <c r="AB1005" i="1"/>
  <c r="AB1058" i="1"/>
  <c r="AB776" i="1"/>
  <c r="AB777" i="1"/>
  <c r="AB1077" i="1"/>
  <c r="AB1088" i="1"/>
  <c r="AB1091" i="1"/>
  <c r="AB1096" i="1"/>
  <c r="AB1100" i="1"/>
  <c r="AB941" i="1"/>
  <c r="AB1196" i="1"/>
  <c r="AB1362" i="1"/>
  <c r="AB795" i="1"/>
  <c r="AB1198" i="1"/>
  <c r="AB778" i="1"/>
  <c r="AB1271" i="1"/>
  <c r="AB1078" i="1"/>
  <c r="AB1217" i="1"/>
  <c r="AB1384" i="1"/>
  <c r="AB427" i="1"/>
  <c r="AB1492" i="1"/>
  <c r="AB1344" i="1"/>
  <c r="AB624" i="1"/>
  <c r="AB1301" i="1"/>
  <c r="AB1307" i="1"/>
  <c r="AB1279" i="1"/>
  <c r="AB1317" i="1"/>
  <c r="AB51" i="1"/>
  <c r="AB343" i="1"/>
  <c r="AB662" i="1"/>
  <c r="AB515" i="1"/>
  <c r="AB906" i="1"/>
  <c r="AB605" i="1"/>
  <c r="AB643" i="1"/>
  <c r="AB1341" i="1"/>
  <c r="AB962" i="1"/>
  <c r="AB794" i="1"/>
  <c r="AB970" i="1"/>
  <c r="AB1028" i="1"/>
  <c r="AB36" i="1"/>
  <c r="AB429" i="1"/>
  <c r="AB194" i="1"/>
  <c r="AB241" i="1"/>
  <c r="AB345" i="1"/>
  <c r="AB809" i="1"/>
  <c r="AB1026" i="1"/>
  <c r="AB8" i="1"/>
  <c r="AB541" i="1"/>
  <c r="AB276" i="1"/>
  <c r="AB288" i="1"/>
  <c r="AB308" i="1"/>
  <c r="AB1440" i="1"/>
  <c r="AB123" i="1"/>
  <c r="AB369" i="1"/>
  <c r="AB546" i="1"/>
  <c r="AB702" i="1"/>
  <c r="AB612" i="1"/>
  <c r="AB257" i="1"/>
  <c r="AB1377" i="1"/>
  <c r="AB258" i="1"/>
  <c r="AB684" i="1"/>
  <c r="AB799" i="1"/>
  <c r="AB1174" i="1"/>
  <c r="AB978" i="1"/>
  <c r="AB805" i="1"/>
  <c r="AB1230" i="1"/>
  <c r="AB644" i="1"/>
  <c r="AB961" i="1"/>
  <c r="AB979" i="1"/>
  <c r="AB982" i="1"/>
  <c r="AB954" i="1"/>
  <c r="AB845" i="1"/>
  <c r="AB728" i="1"/>
  <c r="AB740" i="1"/>
  <c r="AB760" i="1"/>
  <c r="AB1134" i="1"/>
  <c r="AB1182" i="1"/>
  <c r="AB1186" i="1"/>
  <c r="AB1153" i="1"/>
  <c r="AB1193" i="1"/>
  <c r="AB413" i="1"/>
  <c r="AB1164" i="1"/>
  <c r="AB1119" i="1"/>
  <c r="AB1170" i="1"/>
  <c r="AB1009" i="1"/>
  <c r="AB1001" i="1"/>
  <c r="AB1004" i="1"/>
  <c r="AB969" i="1"/>
  <c r="AB971" i="1"/>
  <c r="AB1483" i="1"/>
  <c r="AB1017" i="1"/>
  <c r="AB20" i="1"/>
  <c r="AB1121" i="1"/>
  <c r="AB1195" i="1"/>
  <c r="AB418" i="1"/>
  <c r="AB1030" i="1"/>
  <c r="AB908" i="1"/>
  <c r="AB766" i="1"/>
  <c r="AB910" i="1"/>
  <c r="AB920" i="1"/>
  <c r="AB929" i="1"/>
  <c r="AB1073" i="1"/>
  <c r="AB1082" i="1"/>
  <c r="AB935" i="1"/>
  <c r="AB938" i="1"/>
  <c r="AB1024" i="1"/>
  <c r="AB1031" i="1"/>
  <c r="AB1036" i="1"/>
  <c r="AB1039" i="1"/>
  <c r="AB768" i="1"/>
  <c r="AB1057" i="1"/>
  <c r="AB921" i="1"/>
  <c r="AB774" i="1"/>
  <c r="AB834" i="1"/>
  <c r="AB1086" i="1"/>
  <c r="AB1410" i="1"/>
  <c r="AB1093" i="1"/>
  <c r="AB1098" i="1"/>
  <c r="AB939" i="1"/>
  <c r="AB942" i="1"/>
  <c r="AB873" i="1"/>
  <c r="AB165" i="1"/>
  <c r="AB1234" i="1"/>
  <c r="AB367" i="1"/>
  <c r="AB1213" i="1"/>
  <c r="AB1273" i="1"/>
  <c r="AB1397" i="1"/>
  <c r="AB1327" i="1"/>
  <c r="AB426" i="1"/>
  <c r="AB1239" i="1"/>
  <c r="AB236" i="1"/>
  <c r="AB1274" i="1"/>
  <c r="AB1462" i="1"/>
  <c r="AB775" i="1"/>
  <c r="AB1331" i="1"/>
  <c r="AB924" i="1"/>
  <c r="AB1332" i="1"/>
  <c r="AB609" i="1"/>
  <c r="AB1296" i="1"/>
  <c r="AB286" i="1"/>
  <c r="AB273" i="1"/>
  <c r="AB315" i="1"/>
  <c r="AB329" i="1"/>
  <c r="AB334" i="1"/>
  <c r="AB364" i="1"/>
  <c r="AB622" i="1"/>
  <c r="AB1482" i="1"/>
  <c r="AB487" i="1"/>
  <c r="AB627" i="1"/>
  <c r="AB925" i="1"/>
  <c r="AB748" i="1"/>
  <c r="AB1204" i="1"/>
  <c r="AB1115" i="1"/>
  <c r="AB1179" i="1"/>
  <c r="AB960" i="1"/>
  <c r="AB1002" i="1"/>
  <c r="AB1018" i="1"/>
  <c r="AB1194" i="1"/>
  <c r="AB1197" i="1"/>
  <c r="AB1334" i="1"/>
  <c r="AB431" i="1"/>
  <c r="AB432" i="1"/>
  <c r="AB312" i="1"/>
  <c r="AB85" i="1"/>
  <c r="AB82" i="1"/>
  <c r="AB172" i="1"/>
  <c r="AB1236" i="1"/>
  <c r="AB1409" i="1"/>
  <c r="AB646" i="1"/>
  <c r="AB647" i="1"/>
  <c r="AB715" i="1"/>
  <c r="AB862" i="1"/>
  <c r="AB1401" i="1"/>
  <c r="AB714" i="1"/>
  <c r="AB1406" i="1"/>
  <c r="AB1407" i="1"/>
  <c r="AB228" i="1"/>
  <c r="AB502" i="1"/>
  <c r="AB27" i="1"/>
  <c r="AB29" i="1"/>
  <c r="AB115" i="1"/>
  <c r="AB957" i="1"/>
  <c r="AB1259" i="1"/>
  <c r="AB542" i="1" l="1"/>
  <c r="U542" i="1"/>
  <c r="AB141" i="1"/>
  <c r="U141" i="1"/>
  <c r="AB562" i="1"/>
  <c r="U562" i="1"/>
  <c r="AB1353" i="1"/>
  <c r="U1353" i="1"/>
  <c r="AB226" i="1"/>
  <c r="U226" i="1"/>
  <c r="AB1132" i="1"/>
  <c r="U1132" i="1"/>
  <c r="AB1340" i="1"/>
  <c r="U1340" i="1"/>
  <c r="AB365" i="1"/>
  <c r="U365" i="1"/>
  <c r="AB250" i="1"/>
  <c r="U250" i="1"/>
  <c r="AB144" i="1"/>
  <c r="U144" i="1"/>
  <c r="AB212" i="1"/>
  <c r="U212" i="1"/>
  <c r="AB1181" i="1"/>
  <c r="U1181" i="1"/>
  <c r="AB188" i="1"/>
  <c r="U188" i="1"/>
  <c r="AB1394" i="1"/>
  <c r="U1394" i="1"/>
  <c r="AB854" i="1"/>
  <c r="U854" i="1"/>
  <c r="AB1316" i="1"/>
  <c r="U1316" i="1"/>
  <c r="AB1459" i="1"/>
  <c r="U1459" i="1"/>
  <c r="AB177" i="1"/>
  <c r="U177" i="1"/>
  <c r="AB1455" i="1"/>
  <c r="U1455" i="1"/>
  <c r="AB633" i="1"/>
  <c r="U633" i="1"/>
  <c r="AB87" i="1"/>
  <c r="U87" i="1"/>
  <c r="AB1287" i="1"/>
  <c r="U1287" i="1"/>
  <c r="AB199" i="1"/>
  <c r="U199" i="1"/>
  <c r="AB1493" i="1"/>
  <c r="U1493" i="1"/>
  <c r="AB1399" i="1"/>
  <c r="U1399" i="1"/>
  <c r="AB1535" i="1"/>
  <c r="U1535" i="1"/>
  <c r="AB1531" i="1"/>
  <c r="U1531" i="1"/>
  <c r="AB1308" i="1"/>
  <c r="U1308" i="1"/>
  <c r="AB335" i="1"/>
  <c r="U335" i="1"/>
  <c r="AB305" i="1"/>
  <c r="U305" i="1"/>
  <c r="AB1302" i="1"/>
  <c r="U1302" i="1"/>
  <c r="AB885" i="1"/>
  <c r="U885" i="1"/>
  <c r="AB903" i="1"/>
  <c r="U903" i="1"/>
  <c r="AB281" i="1"/>
  <c r="U281" i="1"/>
  <c r="AB1429" i="1"/>
  <c r="U1429" i="1"/>
  <c r="AB410" i="1"/>
  <c r="U410" i="1"/>
  <c r="AB1248" i="1"/>
  <c r="U1248" i="1"/>
  <c r="AB1457" i="1"/>
  <c r="U1457" i="1"/>
  <c r="AB496" i="1"/>
  <c r="U496" i="1"/>
  <c r="AB54" i="1"/>
  <c r="U54" i="1"/>
  <c r="AB387" i="1"/>
  <c r="U387" i="1"/>
  <c r="AB374" i="1"/>
  <c r="U374" i="1"/>
  <c r="AB371" i="1"/>
  <c r="U371" i="1"/>
  <c r="AB215" i="1"/>
  <c r="U215" i="1"/>
  <c r="AB79" i="1"/>
  <c r="U79" i="1"/>
  <c r="AB13" i="1"/>
  <c r="U13" i="1"/>
  <c r="AB11" i="1"/>
  <c r="U11" i="1"/>
  <c r="AB245" i="1"/>
  <c r="U245" i="1"/>
  <c r="AB394" i="1"/>
  <c r="U394" i="1"/>
  <c r="AB826" i="1"/>
  <c r="U826" i="1"/>
  <c r="AB1553" i="1"/>
  <c r="U1553" i="1"/>
  <c r="AB1550" i="1"/>
  <c r="U1550" i="1"/>
  <c r="AB1515" i="1"/>
  <c r="U1515" i="1"/>
  <c r="AB1513" i="1"/>
  <c r="U1513" i="1"/>
  <c r="AB1542" i="1"/>
  <c r="U1542" i="1"/>
  <c r="AB1547" i="1"/>
  <c r="U1547" i="1"/>
  <c r="AB1506" i="1"/>
  <c r="U1506" i="1"/>
  <c r="AB1449" i="1"/>
  <c r="U1449" i="1"/>
  <c r="AB1445" i="1"/>
  <c r="U1445" i="1"/>
  <c r="AB1252" i="1"/>
  <c r="U1252" i="1"/>
  <c r="AB119" i="1"/>
  <c r="U119" i="1"/>
  <c r="AB66" i="1"/>
  <c r="U66" i="1"/>
  <c r="AB175" i="1"/>
  <c r="U175" i="1"/>
  <c r="AB1149" i="1"/>
  <c r="U1149" i="1"/>
  <c r="AB1352" i="1"/>
  <c r="U1352" i="1"/>
  <c r="AB1040" i="1"/>
  <c r="U1040" i="1"/>
  <c r="AB803" i="1"/>
  <c r="U803" i="1"/>
  <c r="AB339" i="1"/>
  <c r="U339" i="1"/>
  <c r="AB52" i="1"/>
  <c r="U52" i="1"/>
  <c r="AB1433" i="1"/>
  <c r="U1433" i="1"/>
  <c r="AB632" i="1"/>
  <c r="U632" i="1"/>
  <c r="AB914" i="1"/>
  <c r="U914" i="1"/>
  <c r="AB738" i="1"/>
  <c r="U738" i="1"/>
  <c r="AB363" i="1"/>
  <c r="U363" i="1"/>
  <c r="AB176" i="1"/>
  <c r="U176" i="1"/>
  <c r="AB396" i="1"/>
  <c r="U396" i="1"/>
  <c r="AB992" i="1"/>
  <c r="U992" i="1"/>
  <c r="AB1503" i="1"/>
  <c r="U1503" i="1"/>
  <c r="AB1465" i="1"/>
  <c r="U1465" i="1"/>
  <c r="AB660" i="1"/>
  <c r="U660" i="1"/>
  <c r="AB701" i="1"/>
  <c r="U701" i="1"/>
  <c r="AB272" i="1"/>
  <c r="U272" i="1"/>
  <c r="AB610" i="1"/>
  <c r="U610" i="1"/>
  <c r="AB143" i="1"/>
  <c r="U143" i="1"/>
  <c r="AB575" i="1"/>
  <c r="U575" i="1"/>
  <c r="AB397" i="1"/>
  <c r="U397" i="1"/>
  <c r="AB858" i="1"/>
  <c r="U858" i="1"/>
  <c r="AB1398" i="1"/>
  <c r="U1398" i="1"/>
  <c r="AB1530" i="1"/>
  <c r="U1530" i="1"/>
  <c r="AB1416" i="1"/>
  <c r="U1416" i="1"/>
  <c r="AB206" i="1"/>
  <c r="U206" i="1"/>
  <c r="AB1104" i="1"/>
  <c r="U1104" i="1"/>
  <c r="AB973" i="1"/>
  <c r="U973" i="1"/>
  <c r="AB466" i="1"/>
  <c r="U466" i="1"/>
  <c r="AB788" i="1"/>
  <c r="U788" i="1"/>
  <c r="AB509" i="1"/>
  <c r="U509" i="1"/>
  <c r="AB490" i="1"/>
  <c r="U490" i="1"/>
  <c r="AB57" i="1"/>
  <c r="U57" i="1"/>
  <c r="AB386" i="1"/>
  <c r="U386" i="1"/>
  <c r="AB373" i="1"/>
  <c r="U373" i="1"/>
  <c r="AB214" i="1"/>
  <c r="U214" i="1"/>
  <c r="AB1488" i="1"/>
  <c r="U1488" i="1"/>
  <c r="AB1485" i="1"/>
  <c r="U1485" i="1"/>
  <c r="AB1424" i="1"/>
  <c r="U1424" i="1"/>
  <c r="AB902" i="1"/>
  <c r="U902" i="1"/>
  <c r="AB1049" i="1"/>
  <c r="U1049" i="1"/>
  <c r="AB3" i="1"/>
  <c r="U3" i="1"/>
  <c r="AB1336" i="1"/>
  <c r="U1336" i="1"/>
  <c r="AB1041" i="1"/>
  <c r="U1041" i="1"/>
  <c r="AB470" i="1"/>
  <c r="U470" i="1"/>
  <c r="AB1561" i="1"/>
  <c r="U1561" i="1"/>
  <c r="AB821" i="1"/>
  <c r="U821" i="1"/>
  <c r="AB1516" i="1"/>
  <c r="U1516" i="1"/>
  <c r="AB1541" i="1"/>
  <c r="U1541" i="1"/>
  <c r="AB1514" i="1"/>
  <c r="U1514" i="1"/>
  <c r="AB1505" i="1"/>
  <c r="U1505" i="1"/>
  <c r="AB1448" i="1"/>
  <c r="U1448" i="1"/>
  <c r="AB1249" i="1"/>
  <c r="U1249" i="1"/>
  <c r="AB434" i="1"/>
  <c r="U434" i="1"/>
  <c r="AB65" i="1"/>
  <c r="U65" i="1"/>
  <c r="AB174" i="1"/>
  <c r="U174" i="1"/>
  <c r="AB1053" i="1"/>
  <c r="U1053" i="1"/>
  <c r="AB189" i="1"/>
  <c r="U189" i="1"/>
  <c r="AB158" i="1"/>
  <c r="U158" i="1"/>
  <c r="AB1427" i="1"/>
  <c r="U1427" i="1"/>
  <c r="AB101" i="1"/>
  <c r="U101" i="1"/>
  <c r="AB61" i="1"/>
  <c r="U61" i="1"/>
  <c r="AB99" i="1"/>
  <c r="U99" i="1"/>
  <c r="AB742" i="1"/>
  <c r="U742" i="1"/>
  <c r="AB1117" i="1"/>
  <c r="U1117" i="1"/>
  <c r="AB240" i="1"/>
  <c r="U240" i="1"/>
  <c r="AB19" i="1"/>
  <c r="U19" i="1"/>
  <c r="AB784" i="1"/>
  <c r="U784" i="1"/>
  <c r="AB1113" i="1"/>
  <c r="U1113" i="1"/>
  <c r="AB553" i="1"/>
  <c r="U553" i="1"/>
  <c r="AB677" i="1"/>
  <c r="U677" i="1"/>
  <c r="AB252" i="1"/>
  <c r="U252" i="1"/>
  <c r="AB73" i="1"/>
  <c r="U73" i="1"/>
  <c r="AB530" i="1"/>
  <c r="U530" i="1"/>
  <c r="AB1152" i="1"/>
  <c r="U1152" i="1"/>
  <c r="AB1297" i="1"/>
  <c r="U1297" i="1"/>
  <c r="AB483" i="1"/>
  <c r="U483" i="1"/>
  <c r="AB58" i="1"/>
  <c r="U58" i="1"/>
  <c r="AB1335" i="1"/>
  <c r="U1335" i="1"/>
  <c r="AB800" i="1"/>
  <c r="U800" i="1"/>
  <c r="AB462" i="1"/>
  <c r="U462" i="1"/>
  <c r="AB1054" i="1"/>
  <c r="U1054" i="1"/>
  <c r="AB830" i="1"/>
  <c r="U830" i="1"/>
  <c r="AB267" i="1"/>
  <c r="U267" i="1"/>
  <c r="AB608" i="1"/>
  <c r="U608" i="1"/>
  <c r="AB352" i="1"/>
  <c r="U352" i="1"/>
  <c r="AB1517" i="1"/>
  <c r="U1517" i="1"/>
  <c r="AB42" i="1"/>
  <c r="U42" i="1"/>
  <c r="AB1237" i="1"/>
  <c r="U1237" i="1"/>
  <c r="AB246" i="1"/>
  <c r="U246" i="1"/>
  <c r="AB132" i="1"/>
  <c r="U132" i="1"/>
  <c r="AB1510" i="1"/>
  <c r="U1510" i="1"/>
  <c r="AB131" i="1"/>
  <c r="U131" i="1"/>
  <c r="AB1112" i="1"/>
  <c r="U1112" i="1"/>
  <c r="AB40" i="1"/>
  <c r="U40" i="1"/>
  <c r="AB219" i="1"/>
  <c r="U219" i="1"/>
  <c r="AB74" i="1"/>
  <c r="U74" i="1"/>
  <c r="AB102" i="1"/>
  <c r="U102" i="1"/>
  <c r="AB67" i="1"/>
  <c r="U67" i="1"/>
  <c r="AB797" i="1"/>
  <c r="U797" i="1"/>
  <c r="AB523" i="1"/>
  <c r="U523" i="1"/>
  <c r="AB500" i="1"/>
  <c r="U500" i="1"/>
  <c r="AB508" i="1"/>
  <c r="U508" i="1"/>
  <c r="AB504" i="1"/>
  <c r="U504" i="1"/>
  <c r="AB492" i="1"/>
  <c r="U492" i="1"/>
  <c r="AB1391" i="1"/>
  <c r="U1391" i="1"/>
  <c r="AB370" i="1"/>
  <c r="U370" i="1"/>
  <c r="AB213" i="1"/>
  <c r="U213" i="1"/>
  <c r="AB861" i="1"/>
  <c r="U861" i="1"/>
  <c r="AB901" i="1"/>
  <c r="U901" i="1"/>
  <c r="AB146" i="1"/>
  <c r="U146" i="1"/>
  <c r="AB1101" i="1"/>
  <c r="U1101" i="1"/>
  <c r="AB750" i="1"/>
  <c r="U750" i="1"/>
  <c r="AB1559" i="1"/>
  <c r="U1559" i="1"/>
  <c r="AB1551" i="1"/>
  <c r="U1551" i="1"/>
  <c r="AB1544" i="1"/>
  <c r="U1544" i="1"/>
  <c r="AB820" i="1"/>
  <c r="U820" i="1"/>
  <c r="AB1518" i="1"/>
  <c r="U1518" i="1"/>
  <c r="AB1539" i="1"/>
  <c r="U1539" i="1"/>
  <c r="AB1447" i="1"/>
  <c r="U1447" i="1"/>
  <c r="AB1437" i="1"/>
  <c r="U1437" i="1"/>
  <c r="AB6" i="1"/>
  <c r="U6" i="1"/>
  <c r="AB62" i="1"/>
  <c r="U62" i="1"/>
  <c r="AB739" i="1"/>
  <c r="U739" i="1"/>
  <c r="AB1116" i="1"/>
  <c r="U1116" i="1"/>
  <c r="AB1295" i="1"/>
  <c r="U1295" i="1"/>
  <c r="AB168" i="1"/>
  <c r="U168" i="1"/>
  <c r="AB1430" i="1"/>
  <c r="U1430" i="1"/>
  <c r="AB120" i="1"/>
  <c r="U120" i="1"/>
  <c r="AB1354" i="1"/>
  <c r="U1354" i="1"/>
  <c r="AB5" i="1"/>
  <c r="U5" i="1"/>
  <c r="AB966" i="1"/>
  <c r="U966" i="1"/>
  <c r="AB713" i="1"/>
  <c r="U713" i="1"/>
  <c r="AB787" i="1"/>
  <c r="U787" i="1"/>
  <c r="AB270" i="1"/>
  <c r="U270" i="1"/>
  <c r="AB49" i="1"/>
  <c r="U49" i="1"/>
  <c r="AB1428" i="1"/>
  <c r="U1428" i="1"/>
  <c r="AB1306" i="1"/>
  <c r="U1306" i="1"/>
  <c r="AB1006" i="1"/>
  <c r="U1006" i="1"/>
  <c r="AB393" i="1"/>
  <c r="U393" i="1"/>
  <c r="AB626" i="1"/>
  <c r="U626" i="1"/>
  <c r="AB193" i="1"/>
  <c r="U193" i="1"/>
  <c r="AB993" i="1"/>
  <c r="U993" i="1"/>
  <c r="AB1219" i="1"/>
  <c r="U1219" i="1"/>
  <c r="AB1512" i="1"/>
  <c r="U1512" i="1"/>
  <c r="AB1450" i="1"/>
  <c r="U1450" i="1"/>
  <c r="AB791" i="1"/>
  <c r="U791" i="1"/>
  <c r="AB275" i="1"/>
  <c r="U275" i="1"/>
  <c r="AB243" i="1"/>
  <c r="U243" i="1"/>
  <c r="AB1069" i="1"/>
  <c r="U1069" i="1"/>
  <c r="AB164" i="1"/>
  <c r="U164" i="1"/>
  <c r="AB351" i="1"/>
  <c r="U351" i="1"/>
  <c r="AB1243" i="1"/>
  <c r="U1243" i="1"/>
  <c r="AB80" i="1"/>
  <c r="U80" i="1"/>
  <c r="AB14" i="1"/>
  <c r="U14" i="1"/>
  <c r="AB944" i="1"/>
  <c r="U944" i="1"/>
  <c r="AB1395" i="1"/>
  <c r="U1395" i="1"/>
  <c r="AB438" i="1"/>
  <c r="U438" i="1"/>
  <c r="AB1246" i="1"/>
  <c r="U1246" i="1"/>
  <c r="AB384" i="1"/>
  <c r="U384" i="1"/>
  <c r="AB148" i="1"/>
  <c r="U148" i="1"/>
  <c r="AB1509" i="1"/>
  <c r="U1509" i="1"/>
  <c r="AB855" i="1"/>
  <c r="U855" i="1"/>
  <c r="AB383" i="1"/>
  <c r="U383" i="1"/>
  <c r="AB554" i="1"/>
  <c r="U554" i="1"/>
  <c r="AB282" i="1"/>
  <c r="U282" i="1"/>
  <c r="AB125" i="1"/>
  <c r="U125" i="1"/>
  <c r="AB178" i="1"/>
  <c r="U178" i="1"/>
  <c r="AB1431" i="1"/>
  <c r="U1431" i="1"/>
  <c r="AB70" i="1"/>
  <c r="U70" i="1"/>
  <c r="AB539" i="1"/>
  <c r="U539" i="1"/>
  <c r="AB514" i="1"/>
  <c r="U514" i="1"/>
  <c r="AB507" i="1"/>
  <c r="U507" i="1"/>
  <c r="AB55" i="1"/>
  <c r="U55" i="1"/>
  <c r="AB381" i="1"/>
  <c r="U381" i="1"/>
  <c r="AB527" i="1"/>
  <c r="U527" i="1"/>
  <c r="AB1251" i="1"/>
  <c r="U1251" i="1"/>
  <c r="AB874" i="1"/>
  <c r="U874" i="1"/>
  <c r="AB1543" i="1"/>
  <c r="U1543" i="1"/>
  <c r="AB819" i="1"/>
  <c r="U819" i="1"/>
  <c r="AB1528" i="1"/>
  <c r="U1528" i="1"/>
  <c r="AB1548" i="1"/>
  <c r="U1548" i="1"/>
  <c r="AB1507" i="1"/>
  <c r="U1507" i="1"/>
  <c r="AB840" i="1"/>
  <c r="U840" i="1"/>
  <c r="AB435" i="1"/>
  <c r="U435" i="1"/>
  <c r="AB1109" i="1"/>
  <c r="AB972" i="1"/>
  <c r="AB124" i="1"/>
  <c r="AB1562" i="1"/>
  <c r="AB1436" i="1"/>
  <c r="AB825" i="1"/>
  <c r="AB1552" i="1"/>
  <c r="AB1444" i="1"/>
  <c r="AB513" i="1"/>
  <c r="AB218" i="1"/>
  <c r="AB53" i="1"/>
  <c r="AB1521" i="1"/>
  <c r="AB505" i="1"/>
  <c r="AB512" i="1"/>
  <c r="AB521" i="1"/>
  <c r="AB899" i="1"/>
  <c r="AB1043" i="1"/>
  <c r="AB822" i="1"/>
  <c r="AB1442" i="1"/>
  <c r="AB573" i="1"/>
  <c r="AB68" i="1"/>
  <c r="AB126" i="1"/>
  <c r="AB1532" i="1"/>
  <c r="AB857" i="1"/>
  <c r="AB59" i="1"/>
  <c r="AB1558" i="1"/>
  <c r="AB39" i="1"/>
  <c r="AB488" i="1"/>
  <c r="AB1479" i="1"/>
  <c r="AB476" i="1"/>
  <c r="AB166" i="1"/>
  <c r="AB506" i="1"/>
  <c r="AB1106" i="1"/>
  <c r="AB1015" i="1"/>
  <c r="AB1556" i="1"/>
  <c r="AB829" i="1"/>
  <c r="AB467" i="1"/>
  <c r="AB789" i="1"/>
  <c r="AB1392" i="1"/>
  <c r="AB482" i="1"/>
  <c r="AB4" i="1"/>
  <c r="AB667" i="1"/>
  <c r="AB491" i="1"/>
  <c r="AB78" i="1"/>
  <c r="AB900" i="1"/>
  <c r="AB1250" i="1"/>
  <c r="AB842" i="1"/>
  <c r="AB233" i="1"/>
  <c r="AB1540" i="1"/>
  <c r="AB1560" i="1"/>
  <c r="AB1400" i="1"/>
  <c r="AB7" i="1"/>
  <c r="AB1557" i="1"/>
  <c r="AB1042" i="1"/>
  <c r="AB436" i="1"/>
  <c r="AB1554" i="1"/>
  <c r="AB823" i="1"/>
  <c r="AB411" i="1"/>
  <c r="AB395" i="1"/>
  <c r="AB1393" i="1"/>
  <c r="AB1275" i="1"/>
  <c r="AB280" i="1"/>
  <c r="AB1103" i="1"/>
  <c r="AB140" i="1"/>
  <c r="AB1063" i="1"/>
  <c r="AB1456" i="1"/>
  <c r="AB497" i="1"/>
  <c r="AB216" i="1"/>
  <c r="AB499" i="1"/>
  <c r="AB1257" i="1"/>
  <c r="AB904" i="1"/>
  <c r="AB1122" i="1"/>
  <c r="AB974" i="1"/>
  <c r="AB495" i="1"/>
  <c r="AB524" i="1"/>
  <c r="AB349" i="1"/>
  <c r="AB1286" i="1"/>
  <c r="AB380" i="1"/>
  <c r="AB668" i="1"/>
  <c r="AB1418" i="1"/>
  <c r="AB10" i="1"/>
  <c r="AB1387" i="1"/>
  <c r="AB1066" i="1"/>
  <c r="AB1435" i="1"/>
  <c r="AB292" i="1"/>
  <c r="AB848" i="1"/>
  <c r="AB129" i="1"/>
  <c r="AB56" i="1"/>
  <c r="AB498" i="1"/>
  <c r="AB259" i="1"/>
  <c r="AB12" i="1"/>
  <c r="AB1441" i="1"/>
  <c r="AB72" i="1"/>
  <c r="AB1519" i="1"/>
  <c r="AB489" i="1"/>
  <c r="AB217" i="1"/>
  <c r="AB198" i="1"/>
  <c r="AB852" i="1"/>
  <c r="AB260" i="1"/>
  <c r="AB150" i="1"/>
  <c r="AB975" i="1"/>
  <c r="AB1451" i="1"/>
  <c r="AB1443" i="1"/>
  <c r="AB856" i="1"/>
  <c r="AB994" i="1"/>
  <c r="AB1396" i="1"/>
  <c r="AB118" i="1"/>
  <c r="AB100" i="1"/>
  <c r="AB69" i="1"/>
  <c r="AB41" i="1"/>
  <c r="AB205" i="1"/>
  <c r="AB190" i="1"/>
  <c r="AB372" i="1"/>
  <c r="AB1298" i="1"/>
  <c r="AB1478" i="1"/>
  <c r="AB348" i="1"/>
  <c r="AB1529" i="1"/>
  <c r="AB1446" i="1"/>
  <c r="AB889" i="1"/>
  <c r="AB844" i="1"/>
  <c r="AB1486" i="1"/>
  <c r="AB287" i="1"/>
  <c r="AB274" i="1"/>
  <c r="AB1064" i="1"/>
  <c r="AB304" i="1"/>
  <c r="AB251" i="1"/>
  <c r="AB45" i="1"/>
  <c r="AB269" i="1"/>
  <c r="AB197" i="1"/>
  <c r="AB543" i="1"/>
  <c r="AB64" i="1"/>
  <c r="AB128" i="1"/>
  <c r="AB1255" i="1"/>
  <c r="AB63" i="1"/>
  <c r="AB271" i="1"/>
  <c r="AB1388" i="1"/>
  <c r="AB121" i="1"/>
  <c r="AB385" i="1"/>
  <c r="AB169" i="1"/>
  <c r="AB71" i="1"/>
  <c r="AB1438" i="1"/>
  <c r="AB1285" i="1"/>
  <c r="AB1390" i="1"/>
  <c r="AB160" i="1"/>
  <c r="AB1466" i="1"/>
  <c r="AB1075" i="1"/>
  <c r="AB755" i="1"/>
  <c r="AB47" i="1"/>
  <c r="AB75" i="1"/>
  <c r="AB122" i="1"/>
  <c r="AB248" i="1"/>
  <c r="AB828" i="1"/>
  <c r="AB922" i="1"/>
  <c r="AB916" i="1"/>
  <c r="AB545" i="1"/>
  <c r="AB558" i="1"/>
  <c r="AB526" i="1"/>
  <c r="AB1504" i="1"/>
  <c r="AB1417" i="1"/>
  <c r="AB303" i="1"/>
  <c r="AB1425" i="1"/>
  <c r="AB1209" i="1"/>
  <c r="AB1261" i="1"/>
  <c r="AB1172" i="1"/>
  <c r="AB843" i="1"/>
  <c r="AB733" i="1"/>
  <c r="AB1264" i="1"/>
  <c r="AB1290" i="1"/>
  <c r="AB388" i="1"/>
  <c r="AB1123" i="1"/>
  <c r="AB839" i="1"/>
  <c r="AB574" i="1"/>
  <c r="AB865" i="1"/>
  <c r="AB1208" i="1"/>
  <c r="AB465" i="1"/>
  <c r="AB1007" i="1"/>
  <c r="AB997" i="1"/>
  <c r="AB1143" i="1"/>
  <c r="AB867" i="1"/>
  <c r="AB798" i="1"/>
  <c r="AB1210" i="1"/>
  <c r="AB1142" i="1"/>
  <c r="AB866" i="1"/>
  <c r="AB30" i="1"/>
  <c r="AB200" i="1"/>
  <c r="AB1538" i="1"/>
  <c r="AB1468" i="1"/>
  <c r="AB897" i="1"/>
  <c r="AB1379" i="1"/>
  <c r="AB88" i="1"/>
  <c r="AB1247" i="1"/>
  <c r="AB179" i="1"/>
  <c r="AB576" i="1"/>
  <c r="AB1339" i="1"/>
  <c r="AB481" i="1"/>
  <c r="AB1537" i="1"/>
  <c r="AB1338" i="1"/>
  <c r="AB689" i="1"/>
  <c r="AB471" i="1"/>
  <c r="AB1414" i="1"/>
  <c r="AB1242" i="1"/>
  <c r="AB350" i="1"/>
  <c r="AB1467" i="1"/>
  <c r="AB1533" i="1"/>
  <c r="AB1508" i="1"/>
  <c r="AB516" i="1"/>
  <c r="AB905" i="1"/>
  <c r="AB1534" i="1"/>
  <c r="AB149" i="1"/>
  <c r="AB306" i="1"/>
  <c r="AB147" i="1"/>
  <c r="AB437" i="1"/>
  <c r="AB1107" i="1"/>
  <c r="AB1220" i="1"/>
  <c r="AB311" i="1"/>
  <c r="AB851" i="1"/>
  <c r="AB603" i="1"/>
  <c r="AB611" i="1"/>
  <c r="AB382" i="1"/>
  <c r="AB103" i="1"/>
  <c r="AB347" i="1"/>
  <c r="AB77" i="1"/>
  <c r="AB76" i="1"/>
  <c r="T1"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Allan Neves da Silva</author>
  </authors>
  <commentList>
    <comment ref="T39" authorId="0" shapeId="0" xr:uid="{00000000-0006-0000-0100-000003000000}">
      <text>
        <r>
          <rPr>
            <b/>
            <sz val="9"/>
            <color indexed="81"/>
            <rFont val="Segoe UI"/>
            <family val="2"/>
          </rPr>
          <t>David Allan Neves da Silva:</t>
        </r>
        <r>
          <rPr>
            <sz val="9"/>
            <color indexed="81"/>
            <rFont val="Segoe UI"/>
            <family val="2"/>
          </rPr>
          <t xml:space="preserve">
R$ 22,40 (1 L)</t>
        </r>
      </text>
    </comment>
    <comment ref="AD288" authorId="0" shapeId="0" xr:uid="{00000000-0006-0000-0100-000001000000}">
      <text>
        <r>
          <rPr>
            <b/>
            <sz val="9"/>
            <color indexed="81"/>
            <rFont val="Segoe UI"/>
            <family val="2"/>
          </rPr>
          <t>David Allan Neves da Silva:</t>
        </r>
        <r>
          <rPr>
            <sz val="9"/>
            <color indexed="81"/>
            <rFont val="Segoe UI"/>
            <family val="2"/>
          </rPr>
          <t xml:space="preserve">
FO ANTIGO</t>
        </r>
      </text>
    </comment>
    <comment ref="T750" authorId="0" shapeId="0" xr:uid="{00000000-0006-0000-0100-000004000000}">
      <text>
        <r>
          <rPr>
            <b/>
            <sz val="9"/>
            <color indexed="81"/>
            <rFont val="Segoe UI"/>
            <family val="2"/>
          </rPr>
          <t>David Allan Neves da Silva:</t>
        </r>
        <r>
          <rPr>
            <sz val="9"/>
            <color indexed="81"/>
            <rFont val="Segoe UI"/>
            <family val="2"/>
          </rPr>
          <t xml:space="preserve">
1 LITRO</t>
        </r>
      </text>
    </comment>
    <comment ref="T1015" authorId="0" shapeId="0" xr:uid="{00000000-0006-0000-0100-000005000000}">
      <text>
        <r>
          <rPr>
            <b/>
            <sz val="9"/>
            <color indexed="81"/>
            <rFont val="Segoe UI"/>
            <family val="2"/>
          </rPr>
          <t>David Allan Neves da Silva:</t>
        </r>
        <r>
          <rPr>
            <sz val="9"/>
            <color indexed="81"/>
            <rFont val="Segoe UI"/>
            <family val="2"/>
          </rPr>
          <t xml:space="preserve">
R$ 15,96 (20L)</t>
        </r>
      </text>
    </comment>
    <comment ref="T1106" authorId="0" shapeId="0" xr:uid="{00000000-0006-0000-0100-000002000000}">
      <text>
        <r>
          <rPr>
            <b/>
            <sz val="9"/>
            <color indexed="81"/>
            <rFont val="Segoe UI"/>
            <family val="2"/>
          </rPr>
          <t>David Allan Neves da Silva:</t>
        </r>
        <r>
          <rPr>
            <sz val="9"/>
            <color indexed="81"/>
            <rFont val="Segoe UI"/>
            <family val="2"/>
          </rPr>
          <t xml:space="preserve">
1 Kg</t>
        </r>
      </text>
    </comment>
    <comment ref="J1142" authorId="0" shapeId="0" xr:uid="{00000000-0006-0000-0100-000008000000}">
      <text>
        <r>
          <rPr>
            <b/>
            <sz val="9"/>
            <color indexed="81"/>
            <rFont val="Segoe UI"/>
            <family val="2"/>
          </rPr>
          <t>David Allan Neves da Silva:</t>
        </r>
        <r>
          <rPr>
            <sz val="9"/>
            <color indexed="81"/>
            <rFont val="Segoe UI"/>
            <family val="2"/>
          </rPr>
          <t xml:space="preserve">
</t>
        </r>
      </text>
    </comment>
    <comment ref="J1143" authorId="0" shapeId="0" xr:uid="{00000000-0006-0000-0100-000009000000}">
      <text>
        <r>
          <rPr>
            <b/>
            <sz val="9"/>
            <color indexed="81"/>
            <rFont val="Segoe UI"/>
            <family val="2"/>
          </rPr>
          <t>David Allan Neves da Silva:</t>
        </r>
        <r>
          <rPr>
            <sz val="9"/>
            <color indexed="81"/>
            <rFont val="Segoe UI"/>
            <family val="2"/>
          </rPr>
          <t xml:space="preserve">
</t>
        </r>
      </text>
    </comment>
    <comment ref="J1208" authorId="0" shapeId="0" xr:uid="{00000000-0006-0000-0100-00000A000000}">
      <text>
        <r>
          <rPr>
            <b/>
            <sz val="9"/>
            <color indexed="81"/>
            <rFont val="Segoe UI"/>
            <family val="2"/>
          </rPr>
          <t>David Allan Neves da Silva:</t>
        </r>
        <r>
          <rPr>
            <sz val="9"/>
            <color indexed="81"/>
            <rFont val="Segoe UI"/>
            <family val="2"/>
          </rPr>
          <t xml:space="preserve">
</t>
        </r>
      </text>
    </comment>
    <comment ref="T1236" authorId="0" shapeId="0" xr:uid="{00000000-0006-0000-0100-000006000000}">
      <text>
        <r>
          <rPr>
            <b/>
            <sz val="9"/>
            <color indexed="81"/>
            <rFont val="Segoe UI"/>
            <family val="2"/>
          </rPr>
          <t>David Allan Neves da Silva:</t>
        </r>
        <r>
          <rPr>
            <sz val="9"/>
            <color indexed="81"/>
            <rFont val="Segoe UI"/>
            <family val="2"/>
          </rPr>
          <t xml:space="preserve">
20 LITROS</t>
        </r>
      </text>
    </comment>
    <comment ref="T1403" authorId="0" shapeId="0" xr:uid="{00000000-0006-0000-0100-000007000000}">
      <text>
        <r>
          <rPr>
            <b/>
            <sz val="9"/>
            <color indexed="81"/>
            <rFont val="Segoe UI"/>
            <family val="2"/>
          </rPr>
          <t>David Allan Neves da Silva:</t>
        </r>
        <r>
          <rPr>
            <sz val="9"/>
            <color indexed="81"/>
            <rFont val="Segoe UI"/>
            <family val="2"/>
          </rPr>
          <t xml:space="preserve">
1 LITRO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Jurandy Angelo de Jesus Filho</author>
    <author>David Allan Neves da Silva</author>
  </authors>
  <commentList>
    <comment ref="I2" authorId="0" shapeId="0" xr:uid="{00000000-0006-0000-0300-000001000000}">
      <text>
        <r>
          <rPr>
            <b/>
            <sz val="9"/>
            <color indexed="81"/>
            <rFont val="Segoe UI"/>
            <family val="2"/>
          </rPr>
          <t>Jurandy Angelo de Jesus Filho:</t>
        </r>
        <r>
          <rPr>
            <sz val="9"/>
            <color indexed="81"/>
            <rFont val="Segoe UI"/>
            <family val="2"/>
          </rPr>
          <t xml:space="preserve">
RESUTADO DE INVENTARIO ENTRE OS DIAS 22 E 23/05/2019</t>
        </r>
      </text>
    </comment>
    <comment ref="J2" authorId="1" shapeId="0" xr:uid="{00000000-0006-0000-0300-000002000000}">
      <text>
        <r>
          <rPr>
            <b/>
            <sz val="9"/>
            <color indexed="81"/>
            <rFont val="Segoe UI"/>
            <family val="2"/>
          </rPr>
          <t>David Allan Neves da Silva:</t>
        </r>
        <r>
          <rPr>
            <sz val="9"/>
            <color indexed="81"/>
            <rFont val="Segoe UI"/>
            <family val="2"/>
          </rPr>
          <t xml:space="preserve">
FIM DE VERIFICAÇAO DO INVENTARIO </t>
        </r>
      </text>
    </comment>
    <comment ref="S135" authorId="1" shapeId="0" xr:uid="{00000000-0006-0000-0300-000003000000}">
      <text>
        <r>
          <rPr>
            <b/>
            <sz val="9"/>
            <color indexed="81"/>
            <rFont val="Segoe UI"/>
            <family val="2"/>
          </rPr>
          <t>David Allan Neves da Silva:</t>
        </r>
        <r>
          <rPr>
            <sz val="9"/>
            <color indexed="81"/>
            <rFont val="Segoe UI"/>
            <family val="2"/>
          </rPr>
          <t xml:space="preserve">
2 ESTÃO COM AS TRAVAS DANIFICADAS </t>
        </r>
      </text>
    </comment>
    <comment ref="O1038" authorId="1" shapeId="0" xr:uid="{00000000-0006-0000-0300-000004000000}">
      <text>
        <r>
          <rPr>
            <b/>
            <sz val="9"/>
            <color indexed="81"/>
            <rFont val="Segoe UI"/>
            <family val="2"/>
          </rPr>
          <t>David Allan Neves da Silva:</t>
        </r>
        <r>
          <rPr>
            <sz val="9"/>
            <color indexed="81"/>
            <rFont val="Segoe UI"/>
            <family val="2"/>
          </rPr>
          <t xml:space="preserve">
ENTRDA PARA AJUSTE DE INVENTARIO</t>
        </r>
      </text>
    </comment>
  </commentList>
</comments>
</file>

<file path=xl/sharedStrings.xml><?xml version="1.0" encoding="utf-8"?>
<sst xmlns="http://schemas.openxmlformats.org/spreadsheetml/2006/main" count="18657" uniqueCount="9069">
  <si>
    <t>Código</t>
  </si>
  <si>
    <t>Maquina</t>
  </si>
  <si>
    <t>Fornecedor</t>
  </si>
  <si>
    <t>Mínimo</t>
  </si>
  <si>
    <t>Maximo</t>
  </si>
  <si>
    <t>Entrada(R$)</t>
  </si>
  <si>
    <t>STATUS</t>
  </si>
  <si>
    <t/>
  </si>
  <si>
    <t>ELETRICO</t>
  </si>
  <si>
    <t>B1-6-3</t>
  </si>
  <si>
    <t>756964177468</t>
  </si>
  <si>
    <t>177468</t>
  </si>
  <si>
    <t>A2-2-5</t>
  </si>
  <si>
    <t>STECK</t>
  </si>
  <si>
    <t>C1-3-4</t>
  </si>
  <si>
    <t>SIEMENS</t>
  </si>
  <si>
    <t>C1-3-5</t>
  </si>
  <si>
    <t>C1-4-4</t>
  </si>
  <si>
    <t>C1-4-3</t>
  </si>
  <si>
    <t>C1-4-2</t>
  </si>
  <si>
    <t>CHINESA - M02</t>
  </si>
  <si>
    <t>CHINESA</t>
  </si>
  <si>
    <t>B2-4-4.1</t>
  </si>
  <si>
    <t>178489</t>
  </si>
  <si>
    <t>B2-3-3</t>
  </si>
  <si>
    <t>CHAVE DE SEGURANÇA SCHMERSAL AZM 161CC-12/12RKA-024</t>
  </si>
  <si>
    <t>B3-3-1</t>
  </si>
  <si>
    <t>A2-5-6</t>
  </si>
  <si>
    <t>A2-5-4.1</t>
  </si>
  <si>
    <t>C1-2-1</t>
  </si>
  <si>
    <t>REXROTH</t>
  </si>
  <si>
    <t>A1-2-1</t>
  </si>
  <si>
    <t>A1-2-2</t>
  </si>
  <si>
    <t>A2-2-2</t>
  </si>
  <si>
    <t>CHAVE SECCIONADORA P/ FUSÍVEL NH TAMAHO 00 - IMAX. 160A - SIEMENS - REF. 3NP1133-1CA10</t>
  </si>
  <si>
    <t>CONTROLE POR NIVEL</t>
  </si>
  <si>
    <t>A3-3-1</t>
  </si>
  <si>
    <t>B2-4-3</t>
  </si>
  <si>
    <t>763677180750</t>
  </si>
  <si>
    <t>180750</t>
  </si>
  <si>
    <t>B2-5-5.1</t>
  </si>
  <si>
    <t>763677180771</t>
  </si>
  <si>
    <t>180771</t>
  </si>
  <si>
    <t>A2-3-5</t>
  </si>
  <si>
    <t>A2-5-1</t>
  </si>
  <si>
    <t>A2-5-2</t>
  </si>
  <si>
    <t>A2-5-3</t>
  </si>
  <si>
    <t>A2-5-4</t>
  </si>
  <si>
    <t>ABB</t>
  </si>
  <si>
    <t>A2-5-5</t>
  </si>
  <si>
    <t>B2-5-5</t>
  </si>
  <si>
    <t>A2-3-7</t>
  </si>
  <si>
    <t>CAIXA BOTOEIRA C/ BOTÃO DE EMERGÊNCIA SIEMENS - REF. 3SB3 801-0EG3</t>
  </si>
  <si>
    <t>A2-6-4</t>
  </si>
  <si>
    <t>A3-2-1</t>
  </si>
  <si>
    <t>REATOR ELETRÔNICO PHILIPS 2X32W 127/230V - REF. EB232A16/26P</t>
  </si>
  <si>
    <t>A3-4-4</t>
  </si>
  <si>
    <t>PLUG NEWKON 2P+T 16A 200/250V AZ IP44 SETCK - REF. N3076</t>
  </si>
  <si>
    <t>A3-4-3</t>
  </si>
  <si>
    <t>A3-4-2</t>
  </si>
  <si>
    <t>B3-4-2</t>
  </si>
  <si>
    <t>B3-4-1</t>
  </si>
  <si>
    <t>A3-4-1</t>
  </si>
  <si>
    <t>A3-3-3</t>
  </si>
  <si>
    <t>A2-2-3</t>
  </si>
  <si>
    <t>B2-5-4.1</t>
  </si>
  <si>
    <t>CARPETE - M35</t>
  </si>
  <si>
    <t>C1-2-3</t>
  </si>
  <si>
    <t>SICK</t>
  </si>
  <si>
    <t>B2-4-5</t>
  </si>
  <si>
    <t>B2-4-4</t>
  </si>
  <si>
    <t>B2-5-2.1</t>
  </si>
  <si>
    <t>FUSÍVEL FERRAZ SHAWMUT - REF. NH000GG500V80, 80A 500VCA</t>
  </si>
  <si>
    <t>B2-4-2</t>
  </si>
  <si>
    <t>FUSÍVEL NH SIEMENS - REF. 3NA3 822, 63A 500V</t>
  </si>
  <si>
    <t>B2-4-1.1</t>
  </si>
  <si>
    <t>B2-3-5</t>
  </si>
  <si>
    <t>A2-5-6.1</t>
  </si>
  <si>
    <t>BOTÃO COMUTADOR 2 POSIÇÕES C/ CHAVE REF. TY-12E BHS,  1NO</t>
  </si>
  <si>
    <t>B2-5-1</t>
  </si>
  <si>
    <t>BOTOEIRA  C/ SINALIZAÇÃO AMARELO BHS - REF. TY-09C, 1NO Ø22MM BA9S VMAX 220V</t>
  </si>
  <si>
    <t>B2-5-2</t>
  </si>
  <si>
    <t>BOTOEIRA  C/ SINALIZAÇÃO VERMELHO BHS - REF. TY-11E, 1NC Ø22MM BA9S VMAX 220V</t>
  </si>
  <si>
    <t>B2-5-3</t>
  </si>
  <si>
    <t>B2-5-4</t>
  </si>
  <si>
    <t>B2-2-4</t>
  </si>
  <si>
    <t>B2-3-1</t>
  </si>
  <si>
    <t>D1-3-3</t>
  </si>
  <si>
    <t>D1-5-2</t>
  </si>
  <si>
    <t>D1-5-3</t>
  </si>
  <si>
    <t>C1-5-3</t>
  </si>
  <si>
    <t>D1-5-4</t>
  </si>
  <si>
    <t>C2-2-1</t>
  </si>
  <si>
    <t>C2-2-2</t>
  </si>
  <si>
    <t>PNEUMATICO</t>
  </si>
  <si>
    <t>C2-3-6</t>
  </si>
  <si>
    <t>C3-5-3.1</t>
  </si>
  <si>
    <t>CONEXÃO PNEUMÁTICA 6mm x 4</t>
  </si>
  <si>
    <t>C3-5-5.1</t>
  </si>
  <si>
    <t>CONEXÃO PNEUMÁTICA 8mm X 4</t>
  </si>
  <si>
    <t>C3-5-5.2</t>
  </si>
  <si>
    <t>CONEXÃO PNEUMÁTICA REDUÇÃO 12mm X 8mm</t>
  </si>
  <si>
    <t>C3-5-4</t>
  </si>
  <si>
    <t>C3-4-4</t>
  </si>
  <si>
    <t>C3-5-2.1</t>
  </si>
  <si>
    <t>CONEXÃO PNEUMÁTICA REDUÇÃO 8mm X 6mm</t>
  </si>
  <si>
    <t>C3-5-1</t>
  </si>
  <si>
    <t>CONEXÃO PNEUMÁTICA REDUÇÃO 10mm X 8mm</t>
  </si>
  <si>
    <t>C3-5-6</t>
  </si>
  <si>
    <t>CONEXÃO PNEUMÁTICA LUVA 6mm X 6mm</t>
  </si>
  <si>
    <t>C3-5-3</t>
  </si>
  <si>
    <t>C3-4-5</t>
  </si>
  <si>
    <t>CONEXÃO PNEUMÁTICA LUVA 10mm X 10mm</t>
  </si>
  <si>
    <t>C3-5-5</t>
  </si>
  <si>
    <t>CONEXÃO PNEUMÁTICA 12mm X 12mm</t>
  </si>
  <si>
    <t>C3-5-2</t>
  </si>
  <si>
    <t>F.FENDER - M06</t>
  </si>
  <si>
    <t>D1-4-1</t>
  </si>
  <si>
    <t>EMK</t>
  </si>
  <si>
    <t>FORNO VERTICAL - M18</t>
  </si>
  <si>
    <t>D1-2-1</t>
  </si>
  <si>
    <t>MÓDULO PROFIBUS MICROMASTER 4 SIEMENS - REF. 6SE6400-1PB00-0AA0</t>
  </si>
  <si>
    <t>C1-4-1</t>
  </si>
  <si>
    <t>C1-3-2</t>
  </si>
  <si>
    <t>C1-3-1</t>
  </si>
  <si>
    <t>C1-5-1</t>
  </si>
  <si>
    <t>C1-5-4</t>
  </si>
  <si>
    <t>C1-1-1</t>
  </si>
  <si>
    <t>D1-3-2</t>
  </si>
  <si>
    <t>C1-3-3</t>
  </si>
  <si>
    <t>PREN.HIDR. 300 TON-M15/M16/M30</t>
  </si>
  <si>
    <t>D1-5-1</t>
  </si>
  <si>
    <t>LÂMINA DE SERRA DE FITA MAQ. DE CORTE VERTICAL</t>
  </si>
  <si>
    <t>F2-1-1</t>
  </si>
  <si>
    <t>STARRET</t>
  </si>
  <si>
    <t>LAMINADORA H. - M04</t>
  </si>
  <si>
    <t>INDUSFACAS</t>
  </si>
  <si>
    <t>FIXAÇÕES/M.FERROSOS</t>
  </si>
  <si>
    <t>E3-2-4</t>
  </si>
  <si>
    <t>ROLAM/RETEN/GAXETAS</t>
  </si>
  <si>
    <t>E3-3-1</t>
  </si>
  <si>
    <t>E3-3-2</t>
  </si>
  <si>
    <t>E3-3-3</t>
  </si>
  <si>
    <t>E3-3-4</t>
  </si>
  <si>
    <t>171052</t>
  </si>
  <si>
    <t>E3-3-5</t>
  </si>
  <si>
    <t>E3-3-6</t>
  </si>
  <si>
    <t>E3-4-1</t>
  </si>
  <si>
    <t>E3-4-6.1</t>
  </si>
  <si>
    <t>E3-4-4</t>
  </si>
  <si>
    <t>E3-4-5</t>
  </si>
  <si>
    <t>GLASUTEC</t>
  </si>
  <si>
    <t>E3-4-6</t>
  </si>
  <si>
    <t>E3-4-1.1</t>
  </si>
  <si>
    <t>E3-4-2.1</t>
  </si>
  <si>
    <t>E3-4-3.1</t>
  </si>
  <si>
    <t>E2-4-1.1</t>
  </si>
  <si>
    <t>E3-5-1</t>
  </si>
  <si>
    <t>E3-5-6</t>
  </si>
  <si>
    <t>E3-5-2</t>
  </si>
  <si>
    <t>E3-5-3</t>
  </si>
  <si>
    <t>EIXO DO QUADRO DE GIRO</t>
  </si>
  <si>
    <t>E3-5-4</t>
  </si>
  <si>
    <t>FILTROS</t>
  </si>
  <si>
    <t>F1-2-1</t>
  </si>
  <si>
    <t>HYDAC</t>
  </si>
  <si>
    <t>F1-2-4</t>
  </si>
  <si>
    <t>F1-4-1</t>
  </si>
  <si>
    <t>E1-5-4</t>
  </si>
  <si>
    <t>E1-5-2</t>
  </si>
  <si>
    <t>F1-4-2</t>
  </si>
  <si>
    <t>F1-4-3</t>
  </si>
  <si>
    <t>F1-5-1</t>
  </si>
  <si>
    <t>F1-5-3</t>
  </si>
  <si>
    <t>F1-6-2</t>
  </si>
  <si>
    <t>F1-6-3</t>
  </si>
  <si>
    <t>F2-2-1</t>
  </si>
  <si>
    <t>SABO</t>
  </si>
  <si>
    <t>164706</t>
  </si>
  <si>
    <t>F2-2-2</t>
  </si>
  <si>
    <t>164708</t>
  </si>
  <si>
    <t>F2-2-3</t>
  </si>
  <si>
    <t>F2-2-4</t>
  </si>
  <si>
    <t>F2-2-5</t>
  </si>
  <si>
    <t>F2-2-6</t>
  </si>
  <si>
    <t>F2-3-1</t>
  </si>
  <si>
    <t>F2-3-3</t>
  </si>
  <si>
    <t>F2-5-1</t>
  </si>
  <si>
    <t>F2-5-2</t>
  </si>
  <si>
    <t>E2-5-3</t>
  </si>
  <si>
    <t>F2-5-4</t>
  </si>
  <si>
    <t>F3-5-4</t>
  </si>
  <si>
    <t>F3-5-5</t>
  </si>
  <si>
    <t>F3-3-1</t>
  </si>
  <si>
    <t>F3-3-2</t>
  </si>
  <si>
    <t>F3-3-3</t>
  </si>
  <si>
    <t>F3-3-4</t>
  </si>
  <si>
    <t>F3-3-5</t>
  </si>
  <si>
    <t>F3-3-6</t>
  </si>
  <si>
    <t>F3-4-1</t>
  </si>
  <si>
    <t>F3-4-2</t>
  </si>
  <si>
    <t>F3-4-3</t>
  </si>
  <si>
    <t>F3-4-4</t>
  </si>
  <si>
    <t>F3-4-5</t>
  </si>
  <si>
    <t>F3-4-6.1</t>
  </si>
  <si>
    <t>F3-4-4.1</t>
  </si>
  <si>
    <t>F3-4-3.1</t>
  </si>
  <si>
    <t>F3-4-5.1</t>
  </si>
  <si>
    <t>E3-5-5</t>
  </si>
  <si>
    <t>DRS</t>
  </si>
  <si>
    <t>G1-1-3</t>
  </si>
  <si>
    <t>G1-1-2</t>
  </si>
  <si>
    <t>G1-1-1</t>
  </si>
  <si>
    <t>H1-4-1.2</t>
  </si>
  <si>
    <t>KMT</t>
  </si>
  <si>
    <t>W.J - M22/M41</t>
  </si>
  <si>
    <t>H1-3-1</t>
  </si>
  <si>
    <t>WSI</t>
  </si>
  <si>
    <t>H1-3-1.1</t>
  </si>
  <si>
    <t>H1-4-1</t>
  </si>
  <si>
    <t>ALLEN-BRADLEY</t>
  </si>
  <si>
    <t>G1-4-6</t>
  </si>
  <si>
    <t>BATE PE - M36</t>
  </si>
  <si>
    <t>J1-3-1</t>
  </si>
  <si>
    <t>PEDAL BATE PÉ</t>
  </si>
  <si>
    <t>J1-5-3</t>
  </si>
  <si>
    <t>BASE DOS PEDAIS DO BATE PÉ</t>
  </si>
  <si>
    <t>J1-5-1</t>
  </si>
  <si>
    <t>CANNON - M01</t>
  </si>
  <si>
    <t>I1-6-2</t>
  </si>
  <si>
    <t>C1-5-2</t>
  </si>
  <si>
    <t>J3-1-1</t>
  </si>
  <si>
    <t>A2-3-4</t>
  </si>
  <si>
    <t>SCHNEIDER</t>
  </si>
  <si>
    <t>A2-3-3</t>
  </si>
  <si>
    <t>J3-4-7.1</t>
  </si>
  <si>
    <t>J3-4-2</t>
  </si>
  <si>
    <t>761418180537</t>
  </si>
  <si>
    <t>180537</t>
  </si>
  <si>
    <t>J3-4-6.1</t>
  </si>
  <si>
    <t>J3-4-4.1</t>
  </si>
  <si>
    <t>761418180535</t>
  </si>
  <si>
    <t>180535</t>
  </si>
  <si>
    <t>J3-4-4</t>
  </si>
  <si>
    <t>761418180536</t>
  </si>
  <si>
    <t>180536</t>
  </si>
  <si>
    <t>J3-4-2.1</t>
  </si>
  <si>
    <t>761418180539</t>
  </si>
  <si>
    <t>180539</t>
  </si>
  <si>
    <t>J3-4-5.1</t>
  </si>
  <si>
    <t>I3-5-1</t>
  </si>
  <si>
    <t>E2-4-1</t>
  </si>
  <si>
    <t>757601171052</t>
  </si>
  <si>
    <t>SELO MECANICO BOMBAS RZR</t>
  </si>
  <si>
    <t>FABRICANTE</t>
  </si>
  <si>
    <t>AQUECEDOR DE ÓLEO</t>
  </si>
  <si>
    <t>F3-4-6</t>
  </si>
  <si>
    <t>F3-5-2</t>
  </si>
  <si>
    <t>F2-5-3</t>
  </si>
  <si>
    <t>PAR DE  TAMPA DE ROLAMENTO ESTEIRA GRASUTEC</t>
  </si>
  <si>
    <t>F2-4-6.1</t>
  </si>
  <si>
    <t>MANCAL P204</t>
  </si>
  <si>
    <t>E2-5-2</t>
  </si>
  <si>
    <t>VEDAÇÃO DOS GICLES S12</t>
  </si>
  <si>
    <t>F2-3-6</t>
  </si>
  <si>
    <t>ARRUELA DE TRAVA P/ EIXO DE 24,5MM</t>
  </si>
  <si>
    <t>F2-3-3.1</t>
  </si>
  <si>
    <t>ANEL ELASTICO P/ EIXO 25MM</t>
  </si>
  <si>
    <t>F2-3-5</t>
  </si>
  <si>
    <t>F2-3-5.1</t>
  </si>
  <si>
    <t>F2-3-4.1</t>
  </si>
  <si>
    <t>F2-3-6.1</t>
  </si>
  <si>
    <t>F2-3-4</t>
  </si>
  <si>
    <t>F2-3-2</t>
  </si>
  <si>
    <t>E2-3-1</t>
  </si>
  <si>
    <t>164707</t>
  </si>
  <si>
    <t>E2-3-3</t>
  </si>
  <si>
    <t>E2-3-2</t>
  </si>
  <si>
    <t>E2-3-6</t>
  </si>
  <si>
    <t>E2-3-1/1</t>
  </si>
  <si>
    <t>E2-2-1</t>
  </si>
  <si>
    <t>E2-4-5</t>
  </si>
  <si>
    <t>E2-3-4</t>
  </si>
  <si>
    <t>E2-3-5</t>
  </si>
  <si>
    <t>F2-4-1.1</t>
  </si>
  <si>
    <t>E2-2-2</t>
  </si>
  <si>
    <t>VEDAÇÃO SISTEMA HIDRAULICO DO TETO</t>
  </si>
  <si>
    <t>E2-2-3</t>
  </si>
  <si>
    <t>E2-2-4</t>
  </si>
  <si>
    <t>E2-2-6</t>
  </si>
  <si>
    <t>E2-2-5</t>
  </si>
  <si>
    <t>E2-3-3.1</t>
  </si>
  <si>
    <t>F2-4-4</t>
  </si>
  <si>
    <t>BORRACHA PARA CONFECÇÃO DE ORING</t>
  </si>
  <si>
    <t>F2-4-5.1</t>
  </si>
  <si>
    <t>E2-4-3.1</t>
  </si>
  <si>
    <t>F1-6-1</t>
  </si>
  <si>
    <t>F1-5-2</t>
  </si>
  <si>
    <t>F1-5-4</t>
  </si>
  <si>
    <t>HIDRAULICO</t>
  </si>
  <si>
    <t>F1-5-5</t>
  </si>
  <si>
    <t>E1-5-3</t>
  </si>
  <si>
    <t>E1-6-1</t>
  </si>
  <si>
    <t>E1-6-2</t>
  </si>
  <si>
    <t>E1-2-4</t>
  </si>
  <si>
    <t>E2-5-1</t>
  </si>
  <si>
    <t>E2-4-4.1</t>
  </si>
  <si>
    <t>C3-5-6.1</t>
  </si>
  <si>
    <t>C3-4-6</t>
  </si>
  <si>
    <t>CONEXÃO JOELHO PNELMATICA 8MM</t>
  </si>
  <si>
    <t>D3-5-1/1</t>
  </si>
  <si>
    <t>D3-4-6</t>
  </si>
  <si>
    <t>C3-4-2</t>
  </si>
  <si>
    <t>C3-4-1</t>
  </si>
  <si>
    <t>D3-4-1</t>
  </si>
  <si>
    <t>D3-4-4</t>
  </si>
  <si>
    <t>D3-4-5</t>
  </si>
  <si>
    <t>D3-5-1</t>
  </si>
  <si>
    <t>D3-5-2</t>
  </si>
  <si>
    <t>D3-5-3</t>
  </si>
  <si>
    <t>D3-4-2</t>
  </si>
  <si>
    <t>D3-4-3</t>
  </si>
  <si>
    <t>F3-5-3</t>
  </si>
  <si>
    <t>D3-5-5</t>
  </si>
  <si>
    <t>D3-5-4</t>
  </si>
  <si>
    <t>D3-5-6</t>
  </si>
  <si>
    <t>C3-5-1.1</t>
  </si>
  <si>
    <t>755801177256</t>
  </si>
  <si>
    <t>177256</t>
  </si>
  <si>
    <t>C3-5-4.1</t>
  </si>
  <si>
    <t>D3-5-2/1</t>
  </si>
  <si>
    <t>C3-4-6.1</t>
  </si>
  <si>
    <t>E1-4-2</t>
  </si>
  <si>
    <t>E1-4-4</t>
  </si>
  <si>
    <t>C2-3-4</t>
  </si>
  <si>
    <t>C2-3-3</t>
  </si>
  <si>
    <t>C2-3-2</t>
  </si>
  <si>
    <t>C2-3-1</t>
  </si>
  <si>
    <t>VALVULA PNELMATICA 5/2 VIAS DUPLA SOLENOIDE</t>
  </si>
  <si>
    <t>D2-3-1</t>
  </si>
  <si>
    <t>BLOCO MANIFOLD PNEUMATICO P/ 4 VALVULAS</t>
  </si>
  <si>
    <t>D2-3-2</t>
  </si>
  <si>
    <t>SOLENOIDES 24V CC</t>
  </si>
  <si>
    <t>D2-4-3</t>
  </si>
  <si>
    <t>D2-3-5</t>
  </si>
  <si>
    <t>D2-3-5.1</t>
  </si>
  <si>
    <t>D2-3-4</t>
  </si>
  <si>
    <t>VALVULA REGULADORA DE FLUXO</t>
  </si>
  <si>
    <t>I2-4-5</t>
  </si>
  <si>
    <t>AMORTECEDOR MOLA GÁS 150N</t>
  </si>
  <si>
    <t>D2-4-2</t>
  </si>
  <si>
    <t>F1-3-1</t>
  </si>
  <si>
    <t>F1-3-4</t>
  </si>
  <si>
    <t>D3-3-1.1</t>
  </si>
  <si>
    <t>D3-3-3.1</t>
  </si>
  <si>
    <t>D3-3-2</t>
  </si>
  <si>
    <t>ROBO DE COLA - M17</t>
  </si>
  <si>
    <t>D2-4-4</t>
  </si>
  <si>
    <t>C3-3-1</t>
  </si>
  <si>
    <t>D3-3-5</t>
  </si>
  <si>
    <t>D3-3-6</t>
  </si>
  <si>
    <t>C3-3-2</t>
  </si>
  <si>
    <t>755801180907</t>
  </si>
  <si>
    <t>180907</t>
  </si>
  <si>
    <t>I3-4-7</t>
  </si>
  <si>
    <t>C3-3-5</t>
  </si>
  <si>
    <t>C3-3-3</t>
  </si>
  <si>
    <t>D1-4-3</t>
  </si>
  <si>
    <t>D1-4-2</t>
  </si>
  <si>
    <t>B2-4-3.1</t>
  </si>
  <si>
    <t>756964172178</t>
  </si>
  <si>
    <t>172178</t>
  </si>
  <si>
    <t>D1-2-3</t>
  </si>
  <si>
    <t>D2-4-5</t>
  </si>
  <si>
    <t xml:space="preserve">KIT APARA DE SACRIFICIO DA FERRAMENTA DE ACOPLAGEM </t>
  </si>
  <si>
    <t>E2-6-1</t>
  </si>
  <si>
    <t>C3-1-1</t>
  </si>
  <si>
    <t>C1-2-4</t>
  </si>
  <si>
    <t>C1-2-5</t>
  </si>
  <si>
    <t>E1-5-1</t>
  </si>
  <si>
    <t>ITENS PRENSAS EPILA DUPLO CONECTOR E ADAPTADOR</t>
  </si>
  <si>
    <t>E1-2-3</t>
  </si>
  <si>
    <t>E2-3-2.1</t>
  </si>
  <si>
    <t>A2-3-1</t>
  </si>
  <si>
    <t>A2-2-4</t>
  </si>
  <si>
    <t>A2-2-1</t>
  </si>
  <si>
    <t>A2-4-6</t>
  </si>
  <si>
    <t>A2-4-4</t>
  </si>
  <si>
    <t>A2-4-5</t>
  </si>
  <si>
    <t>DISJUNTOR MOTOR WEG MPW40-3-U004 2.5-4A</t>
  </si>
  <si>
    <t>B3-3-4</t>
  </si>
  <si>
    <t>B3-3-5</t>
  </si>
  <si>
    <t>DISJUNTOR MOTOR WEG MPW40-3-D063 20-25A</t>
  </si>
  <si>
    <t>B3-3-7</t>
  </si>
  <si>
    <t>TOMADA DE SOBREPOR 3P+T 32A 380/440V</t>
  </si>
  <si>
    <t>B3-3-2</t>
  </si>
  <si>
    <t>B2-3-4</t>
  </si>
  <si>
    <t>B2-3-6</t>
  </si>
  <si>
    <t>TERMORESISTENCIA PT-100 3F 2,0MT 8,0MM</t>
  </si>
  <si>
    <t>B2-2-5</t>
  </si>
  <si>
    <t>B1-2-1</t>
  </si>
  <si>
    <t>TRUNCK LOAD - M27</t>
  </si>
  <si>
    <t>D1-2-2</t>
  </si>
  <si>
    <t>A1-4-1</t>
  </si>
  <si>
    <t>A1-4-2</t>
  </si>
  <si>
    <t>A1-4-3</t>
  </si>
  <si>
    <t>A3-3-2</t>
  </si>
  <si>
    <t>TAMPA CEGA PARA CONDULETES</t>
  </si>
  <si>
    <t>A3-2-3</t>
  </si>
  <si>
    <t>B1-6-1</t>
  </si>
  <si>
    <t>B1-5-1</t>
  </si>
  <si>
    <t>A1-5-1</t>
  </si>
  <si>
    <t>A1-5-4</t>
  </si>
  <si>
    <t>CABO PP 4X4</t>
  </si>
  <si>
    <t>C3-6-3</t>
  </si>
  <si>
    <t>CABO PP 4X2,5</t>
  </si>
  <si>
    <t>CABO FLEX PRETO 6MM</t>
  </si>
  <si>
    <t>C3-6-2</t>
  </si>
  <si>
    <t>CABO FLEX PARA TERRA  6MM</t>
  </si>
  <si>
    <t>C3-6-1</t>
  </si>
  <si>
    <t>REGISTRO HIDRAULICO SW14</t>
  </si>
  <si>
    <t>G3-2-1</t>
  </si>
  <si>
    <t>G3-2-4</t>
  </si>
  <si>
    <t>G3-2-3</t>
  </si>
  <si>
    <t>G3-3-2</t>
  </si>
  <si>
    <t>755801177263</t>
  </si>
  <si>
    <t>177263</t>
  </si>
  <si>
    <t>G3-3-3</t>
  </si>
  <si>
    <t>G3-3-4</t>
  </si>
  <si>
    <t>G3-3-5</t>
  </si>
  <si>
    <t>G3-3-6</t>
  </si>
  <si>
    <t>G3-3-7</t>
  </si>
  <si>
    <t>G3-4-1</t>
  </si>
  <si>
    <t>ESPIGÃO ROSCA 1,1/2" MANG 1"</t>
  </si>
  <si>
    <t>G3-4-2</t>
  </si>
  <si>
    <t>ESPIGÃO ROSCA  1,1/4 MANG 1,1/8"</t>
  </si>
  <si>
    <t>G3-4-3</t>
  </si>
  <si>
    <t>ESPIGÃO ROSCA 1" MANG 1"</t>
  </si>
  <si>
    <t>G3-4-4</t>
  </si>
  <si>
    <t>ESPIGÃO ROSCA 1" MANG 3/4"</t>
  </si>
  <si>
    <t>G3-4-5</t>
  </si>
  <si>
    <t>ENGATE RAPIDO PARA MANGUEIRA DE INJEÇÃO</t>
  </si>
  <si>
    <t>G3-3-3.1</t>
  </si>
  <si>
    <t>ESPIGÃO ROSCA FEMEA JIC MANG 1/2</t>
  </si>
  <si>
    <t>G3-5-3</t>
  </si>
  <si>
    <t>H3-5-4</t>
  </si>
  <si>
    <t>H3-5-3</t>
  </si>
  <si>
    <t>H3-5-2</t>
  </si>
  <si>
    <t>G3-5-4</t>
  </si>
  <si>
    <t>ENGATE RAPIDO COM ALAVANCA</t>
  </si>
  <si>
    <t>G3-5-6</t>
  </si>
  <si>
    <t>G3-6-3</t>
  </si>
  <si>
    <t>G3-5-1.1</t>
  </si>
  <si>
    <t>G3-5-1</t>
  </si>
  <si>
    <t>H3-3-1</t>
  </si>
  <si>
    <t>H3-3-2</t>
  </si>
  <si>
    <t>H3-3-3</t>
  </si>
  <si>
    <t>H3-3-5</t>
  </si>
  <si>
    <t>I3-4-4</t>
  </si>
  <si>
    <t>H3-2-1</t>
  </si>
  <si>
    <t>H3-2-2</t>
  </si>
  <si>
    <t>ESPIGÃO ROSCA 3/4" MANG 1"</t>
  </si>
  <si>
    <t>H3-4-9</t>
  </si>
  <si>
    <t>H3-4-8</t>
  </si>
  <si>
    <t>H3-4-2</t>
  </si>
  <si>
    <t>H3-4-1</t>
  </si>
  <si>
    <t>ESSPIGÃO ROSCA 3/4 MANG 1/2"</t>
  </si>
  <si>
    <t>H3-4-7</t>
  </si>
  <si>
    <t>ESPIGÃO ROSCA DE 1/2" MANG 1/4"</t>
  </si>
  <si>
    <t>H3-4-6</t>
  </si>
  <si>
    <t>ESPIGÃO ROSCA 3/8 MANG 1/4"</t>
  </si>
  <si>
    <t>H3-4-5</t>
  </si>
  <si>
    <t>H3-4-3</t>
  </si>
  <si>
    <t>ESPPIGÃO REOSCA 1/4 MANG 1/4"</t>
  </si>
  <si>
    <t>H3-4-4</t>
  </si>
  <si>
    <t>SUPORTE PARA NIVELAMENTO</t>
  </si>
  <si>
    <t>H3-5-1</t>
  </si>
  <si>
    <t>H3-1</t>
  </si>
  <si>
    <t>H2-3-5</t>
  </si>
  <si>
    <t>H2-3-6</t>
  </si>
  <si>
    <t>CORTE DO INNER - M08</t>
  </si>
  <si>
    <t>H2-3-3</t>
  </si>
  <si>
    <t>H2-3-1</t>
  </si>
  <si>
    <t>H2-4-2</t>
  </si>
  <si>
    <t>H2-4-3</t>
  </si>
  <si>
    <t>H2-4-4</t>
  </si>
  <si>
    <t>H2-4-5</t>
  </si>
  <si>
    <t>H2-3-4</t>
  </si>
  <si>
    <t>G2-4-1</t>
  </si>
  <si>
    <t>G2-4-3</t>
  </si>
  <si>
    <t>G2-4-2</t>
  </si>
  <si>
    <t>ACOPLAMENTO MECANICO BOMBA DE ABASTECIMENTO</t>
  </si>
  <si>
    <t>G2-4-4</t>
  </si>
  <si>
    <t>G2-3-5</t>
  </si>
  <si>
    <t>G2-3-7</t>
  </si>
  <si>
    <t>H2-2-2</t>
  </si>
  <si>
    <t>H2-2-1</t>
  </si>
  <si>
    <t>H2-2-3</t>
  </si>
  <si>
    <t>H2-2-4</t>
  </si>
  <si>
    <t>H2-2-5</t>
  </si>
  <si>
    <t>H2-2-6</t>
  </si>
  <si>
    <t>H2-2-7</t>
  </si>
  <si>
    <t>G2-5-5</t>
  </si>
  <si>
    <t>G3-3-7.1</t>
  </si>
  <si>
    <t>G3-3-5.1</t>
  </si>
  <si>
    <t>MOTOR DE REFERENCIAMENTO DO CARPETE</t>
  </si>
  <si>
    <t>I2-2-1</t>
  </si>
  <si>
    <t>PORCA DE SUSTENTAÇÃO P/ MOLDAGEM DO INNER</t>
  </si>
  <si>
    <t>G3-3-6.1</t>
  </si>
  <si>
    <t>G2-5-1</t>
  </si>
  <si>
    <t>G2-6-2</t>
  </si>
  <si>
    <t>G1-5-3</t>
  </si>
  <si>
    <t>H1-5-1</t>
  </si>
  <si>
    <t>I1-4-0</t>
  </si>
  <si>
    <t>J2-5-5</t>
  </si>
  <si>
    <t>ÓLEOS/LUBRIF./GRAXA</t>
  </si>
  <si>
    <t>J3-5-1</t>
  </si>
  <si>
    <t xml:space="preserve">BOMBA DE AGUA </t>
  </si>
  <si>
    <t>G1-2-1</t>
  </si>
  <si>
    <t>G1-2-2</t>
  </si>
  <si>
    <t>G1-4-4</t>
  </si>
  <si>
    <t>763548180549</t>
  </si>
  <si>
    <t>180549</t>
  </si>
  <si>
    <t>G1-4-6.1</t>
  </si>
  <si>
    <t>H1-3-2</t>
  </si>
  <si>
    <t>57041180454</t>
  </si>
  <si>
    <t>180454</t>
  </si>
  <si>
    <t xml:space="preserve">H1-4-2 </t>
  </si>
  <si>
    <t>57041180455</t>
  </si>
  <si>
    <t>180455</t>
  </si>
  <si>
    <t xml:space="preserve">H1-4-3 </t>
  </si>
  <si>
    <t>57041173479</t>
  </si>
  <si>
    <t>173479</t>
  </si>
  <si>
    <t>H1-3-1.2</t>
  </si>
  <si>
    <t>J2-4-3</t>
  </si>
  <si>
    <t>H1-6-4</t>
  </si>
  <si>
    <t>EVOLUT</t>
  </si>
  <si>
    <t>G1-5-1</t>
  </si>
  <si>
    <t>57041177393</t>
  </si>
  <si>
    <t>177393</t>
  </si>
  <si>
    <t>H1-3-3</t>
  </si>
  <si>
    <t>H1-3-5</t>
  </si>
  <si>
    <t>A2-4-3</t>
  </si>
  <si>
    <t>CONJUNTO DA CAPA DA PISTOLA DE COLA E RESISTENCIA</t>
  </si>
  <si>
    <t>I2-3-1</t>
  </si>
  <si>
    <t>KIT REPARO BOMBA DE ENGRENAGEM DO COLEIRO</t>
  </si>
  <si>
    <t>COLEIRO</t>
  </si>
  <si>
    <t>I2-3-2</t>
  </si>
  <si>
    <t>G1-3-5</t>
  </si>
  <si>
    <t>I2-4-3</t>
  </si>
  <si>
    <t>VALVULA DE SEGURANÇA PARA AGUA</t>
  </si>
  <si>
    <t>I2-4-4</t>
  </si>
  <si>
    <t>POLIA DO AQUECEDOR DE ÓLEO</t>
  </si>
  <si>
    <t>J2-4-1</t>
  </si>
  <si>
    <t>MARCADOR INDUSTRIAL</t>
  </si>
  <si>
    <t>I3-5-2</t>
  </si>
  <si>
    <t>I3-5-5</t>
  </si>
  <si>
    <t>I3-5-6</t>
  </si>
  <si>
    <t>J2-6-1</t>
  </si>
  <si>
    <t>H1-3-2.3</t>
  </si>
  <si>
    <t>G1-3-4 / AR. A1-3-1</t>
  </si>
  <si>
    <t>GRACO</t>
  </si>
  <si>
    <t xml:space="preserve">G1-3-1 </t>
  </si>
  <si>
    <t>CONJUNTO DE FACAS DE CORTE DAS FERRAMENTAS DO TUNNEL</t>
  </si>
  <si>
    <t>H1-6-1</t>
  </si>
  <si>
    <t>NIPLE DE 1"</t>
  </si>
  <si>
    <t>L1-4-1/4</t>
  </si>
  <si>
    <t>L1-4-1/1</t>
  </si>
  <si>
    <t>I2-4-6</t>
  </si>
  <si>
    <t>H2-1</t>
  </si>
  <si>
    <t>I2-1-1</t>
  </si>
  <si>
    <t>I1-1-1</t>
  </si>
  <si>
    <t>WATER JET</t>
  </si>
  <si>
    <t>J1-4-2</t>
  </si>
  <si>
    <t xml:space="preserve">G1-4-6.2 </t>
  </si>
  <si>
    <t>G1-4-2</t>
  </si>
  <si>
    <t xml:space="preserve">G1-4-4.1 </t>
  </si>
  <si>
    <t>H1-4-3.1</t>
  </si>
  <si>
    <t>H1-4-2.1</t>
  </si>
  <si>
    <t>G1-4-5</t>
  </si>
  <si>
    <t>G1-4-4.2</t>
  </si>
  <si>
    <t>H1-4-2.2</t>
  </si>
  <si>
    <t>57041180452</t>
  </si>
  <si>
    <t>180452</t>
  </si>
  <si>
    <t>G1-4-5.2</t>
  </si>
  <si>
    <t>G1-4-5.1</t>
  </si>
  <si>
    <t>D3-3-4</t>
  </si>
  <si>
    <t>J3-5-2</t>
  </si>
  <si>
    <t>J3-5-3</t>
  </si>
  <si>
    <t>CILINDRO PNEUMATICO PORTA DO WATER JET</t>
  </si>
  <si>
    <t>E3-2-1</t>
  </si>
  <si>
    <t>E3-2-3</t>
  </si>
  <si>
    <t>G1-4-1</t>
  </si>
  <si>
    <t>G1-3-3</t>
  </si>
  <si>
    <t>H1-4-1.1</t>
  </si>
  <si>
    <t>BLOCO DE SUSTENTAÇÃO DE VALVULA ATIVADOR E COLA</t>
  </si>
  <si>
    <t>H1-5-6</t>
  </si>
  <si>
    <t>VALVULA DE RETENÇÃO PNELMATICA</t>
  </si>
  <si>
    <t>I2-2-3</t>
  </si>
  <si>
    <t>DISJUNTOR MOTOR WEG MPW40-3-D063 10 - 16A</t>
  </si>
  <si>
    <t>B3-3-6</t>
  </si>
  <si>
    <t>DISJUNTOR MOTOR WEG MPW40-3-D063 1,6 - 2,5A</t>
  </si>
  <si>
    <t>B3-3-3</t>
  </si>
  <si>
    <t>ALOJAMENTO DE FILTRO PARA DESMOLDANTE</t>
  </si>
  <si>
    <t>E2-4-6</t>
  </si>
  <si>
    <t>APARA DAS CALANDRAS GLASUTEC</t>
  </si>
  <si>
    <t>E2-5-4</t>
  </si>
  <si>
    <t>E1-4-3</t>
  </si>
  <si>
    <t>E1-3-2</t>
  </si>
  <si>
    <t>B3-2-2</t>
  </si>
  <si>
    <t>FESTO</t>
  </si>
  <si>
    <t>D3-2-1</t>
  </si>
  <si>
    <t>D3-2-2</t>
  </si>
  <si>
    <t>CILINDRO PNEUMATICO</t>
  </si>
  <si>
    <t>D3-2-3</t>
  </si>
  <si>
    <t>D3-2-4</t>
  </si>
  <si>
    <t>D3-2-5</t>
  </si>
  <si>
    <t>TELA DO SKANER</t>
  </si>
  <si>
    <t>B1-1-2</t>
  </si>
  <si>
    <t>B1-1-3</t>
  </si>
  <si>
    <t>SUPORTE PARA LUMINARIA</t>
  </si>
  <si>
    <t>CONJUNTO SUPORTE PARA FIXAR CABEÇOTE DA GANTRY</t>
  </si>
  <si>
    <t>F2-5-5</t>
  </si>
  <si>
    <t>G3-3-2.1</t>
  </si>
  <si>
    <t>G2-3-4</t>
  </si>
  <si>
    <t>G2-3-2</t>
  </si>
  <si>
    <t>G2-3-6</t>
  </si>
  <si>
    <t>G2-3-1</t>
  </si>
  <si>
    <t>CONJUNTO FACAS DE CORTE DAS FERRAMENTAS DO INNER</t>
  </si>
  <si>
    <t>H1-6-2</t>
  </si>
  <si>
    <t>702706165004</t>
  </si>
  <si>
    <t>165004</t>
  </si>
  <si>
    <t>I1-2-1</t>
  </si>
  <si>
    <t>I3-2-2</t>
  </si>
  <si>
    <t>I3-2-3</t>
  </si>
  <si>
    <t>J3-5-4</t>
  </si>
  <si>
    <t>PONTEIRA ROTULAR M10</t>
  </si>
  <si>
    <t>J3-5-6</t>
  </si>
  <si>
    <t>J2-4-2</t>
  </si>
  <si>
    <t>BOMBA DE ISOCIANATO</t>
  </si>
  <si>
    <t>J2-6-2</t>
  </si>
  <si>
    <t>J2-6-3</t>
  </si>
  <si>
    <t>J2-1-1</t>
  </si>
  <si>
    <t>RESISTENCIA DO AQUECEDOR DE AGUA</t>
  </si>
  <si>
    <t>J3-2-1</t>
  </si>
  <si>
    <t>FUSO DAS CALANDRAS GLASUTEC</t>
  </si>
  <si>
    <t>F2-4-2</t>
  </si>
  <si>
    <t>BICO DO COLEIRO</t>
  </si>
  <si>
    <t>J2-3-2</t>
  </si>
  <si>
    <t>AGULHA DA PISTOLA DO COLEIRO</t>
  </si>
  <si>
    <t>J2-3-4</t>
  </si>
  <si>
    <t>J2-3-5</t>
  </si>
  <si>
    <t xml:space="preserve">TERMOSTATO DE LIBERAÇÃO DA BOMBA </t>
  </si>
  <si>
    <t>J2-3-6</t>
  </si>
  <si>
    <t>SENSOR DE TEMPERATURA  PT100</t>
  </si>
  <si>
    <t>J2-3-3</t>
  </si>
  <si>
    <t>RESISTENCIA PARA PISTOLA DO COLEIRO</t>
  </si>
  <si>
    <t>I2-3-4</t>
  </si>
  <si>
    <t>SENSOR DE TEMPERATURA HASTE DE 300MM</t>
  </si>
  <si>
    <t>I2-3-3</t>
  </si>
  <si>
    <t>MATERIAL ELETRICO DA MAQUINA DE SOLDA BATE PÉ</t>
  </si>
  <si>
    <t>J1-5-2</t>
  </si>
  <si>
    <t>I1-6-1</t>
  </si>
  <si>
    <t>J3-4-1.1</t>
  </si>
  <si>
    <t>J3-4-6</t>
  </si>
  <si>
    <t>J3-4-3.1</t>
  </si>
  <si>
    <t>J3-4-1</t>
  </si>
  <si>
    <t>J3-4-3</t>
  </si>
  <si>
    <t>761418180538</t>
  </si>
  <si>
    <t>180538</t>
  </si>
  <si>
    <t>J3-4-5</t>
  </si>
  <si>
    <t>J3-4-7</t>
  </si>
  <si>
    <t>J3-3-1</t>
  </si>
  <si>
    <t>J3-3-3</t>
  </si>
  <si>
    <t>J3-3-5</t>
  </si>
  <si>
    <t>J3-3-6</t>
  </si>
  <si>
    <t>I3-3-1</t>
  </si>
  <si>
    <t>I3-3-2</t>
  </si>
  <si>
    <t>I3-3-4</t>
  </si>
  <si>
    <t>D2-2-1</t>
  </si>
  <si>
    <t>A1-5-3</t>
  </si>
  <si>
    <t>CONECTOR DO CONTROLE DO ROBO</t>
  </si>
  <si>
    <t>A1-5-2</t>
  </si>
  <si>
    <t>A1-2-3</t>
  </si>
  <si>
    <t>CABO X05V-K1,MM VARIADOR</t>
  </si>
  <si>
    <t>A3-2-2</t>
  </si>
  <si>
    <t>SUPORTE PARA TOMADA RIGIDA</t>
  </si>
  <si>
    <t>A3-2-4</t>
  </si>
  <si>
    <t>ELETRODUTO DE FIXAÇÃO DE PAINEL</t>
  </si>
  <si>
    <t>A1-1-1</t>
  </si>
  <si>
    <t>A2-1-1</t>
  </si>
  <si>
    <t>F. FENDER</t>
  </si>
  <si>
    <t>A3-1-1</t>
  </si>
  <si>
    <t>A1-4-6</t>
  </si>
  <si>
    <t>B1-5-2</t>
  </si>
  <si>
    <t>B1-5-0</t>
  </si>
  <si>
    <t>ACESSORIO BALLUFF</t>
  </si>
  <si>
    <t>A1-5-8</t>
  </si>
  <si>
    <t>A1-5-6</t>
  </si>
  <si>
    <t>A3-3-7</t>
  </si>
  <si>
    <t>A2-5-2.1</t>
  </si>
  <si>
    <t>A2-5-3.1</t>
  </si>
  <si>
    <t>A1-5-7</t>
  </si>
  <si>
    <t>A2-6-2</t>
  </si>
  <si>
    <t>A2-6-1</t>
  </si>
  <si>
    <t>A1-6-2</t>
  </si>
  <si>
    <t>A1-6-1</t>
  </si>
  <si>
    <t>B3-1-3</t>
  </si>
  <si>
    <t>B2-2-2</t>
  </si>
  <si>
    <t>B1-3-1.1</t>
  </si>
  <si>
    <t>B1-3-2.1</t>
  </si>
  <si>
    <t>B1-3-4.1</t>
  </si>
  <si>
    <t>B1-3-5.2</t>
  </si>
  <si>
    <t xml:space="preserve">B1-3-1 </t>
  </si>
  <si>
    <t>B1-3-3.2</t>
  </si>
  <si>
    <t>CONECTOR PARA CABO DE SENSOR   MACHO E FEMEA</t>
  </si>
  <si>
    <t>M12  / M08</t>
  </si>
  <si>
    <t>B1-3-4.2</t>
  </si>
  <si>
    <t xml:space="preserve">B1-3-5.1  </t>
  </si>
  <si>
    <t>SENSOR INDUTIVO M08 COM CONECTOR M12</t>
  </si>
  <si>
    <t>B1-3-6.2</t>
  </si>
  <si>
    <t>A2-5-5.1</t>
  </si>
  <si>
    <t>B2-3-7</t>
  </si>
  <si>
    <t>B1-4-6.1</t>
  </si>
  <si>
    <t>B1-4-5.1</t>
  </si>
  <si>
    <t>B1-4-4.1</t>
  </si>
  <si>
    <t>B1-4-3.1</t>
  </si>
  <si>
    <t>TELEMAQUINIC</t>
  </si>
  <si>
    <t>B1-4-2.1</t>
  </si>
  <si>
    <t>B1-4-1.1</t>
  </si>
  <si>
    <t>B1-4-1.2</t>
  </si>
  <si>
    <t>B1-4-2.2</t>
  </si>
  <si>
    <t>B1-4-3.2</t>
  </si>
  <si>
    <t>B1-4-4.2</t>
  </si>
  <si>
    <t>B1-4-5.2</t>
  </si>
  <si>
    <t>B1-4-6.2</t>
  </si>
  <si>
    <t>GERAL</t>
  </si>
  <si>
    <t>SUPORTE 1</t>
  </si>
  <si>
    <t>SUPORTE 2</t>
  </si>
  <si>
    <t>SUPORTE 3</t>
  </si>
  <si>
    <t>MANGUEIRA PARA OLEO TERMICO 1,5 METROS</t>
  </si>
  <si>
    <t>SUPORTE 4</t>
  </si>
  <si>
    <t>MANGUEIRA PARA OLEO TERMICO 2300mm</t>
  </si>
  <si>
    <t>B1-6-2</t>
  </si>
  <si>
    <t>B2-6-3</t>
  </si>
  <si>
    <t>B2-6-2</t>
  </si>
  <si>
    <t>B2-6-1</t>
  </si>
  <si>
    <t>B1-5-3</t>
  </si>
  <si>
    <t>B1-5-4</t>
  </si>
  <si>
    <t>B1-5-5</t>
  </si>
  <si>
    <t>B1-3-6.1</t>
  </si>
  <si>
    <t>C3-2-1</t>
  </si>
  <si>
    <t>C1-2-2</t>
  </si>
  <si>
    <t>C3-3-4</t>
  </si>
  <si>
    <t>C3-4-3</t>
  </si>
  <si>
    <t>C2-5-1</t>
  </si>
  <si>
    <t>CABO PARA MONTAGEM DE SENSOR E CONECTOR</t>
  </si>
  <si>
    <t>C2-5-3</t>
  </si>
  <si>
    <t>C2-5-4</t>
  </si>
  <si>
    <t>C2-6-3</t>
  </si>
  <si>
    <t>C2-6-2</t>
  </si>
  <si>
    <t>C2-6-1</t>
  </si>
  <si>
    <t>GRADE DE PROTEÇÃO PARA COOLER</t>
  </si>
  <si>
    <t>D2-1-1</t>
  </si>
  <si>
    <t>D2-4-1</t>
  </si>
  <si>
    <t>PLUG PARA BOBINA DE VALVULA</t>
  </si>
  <si>
    <t>C2-4-3</t>
  </si>
  <si>
    <t>D2-5-2</t>
  </si>
  <si>
    <t>D2-5-1</t>
  </si>
  <si>
    <t>D2-5-3</t>
  </si>
  <si>
    <t>D3-5-3.1</t>
  </si>
  <si>
    <t>D3-6-1</t>
  </si>
  <si>
    <t>D2-6-2</t>
  </si>
  <si>
    <t>D2-6-1</t>
  </si>
  <si>
    <t>B2-4-2.1</t>
  </si>
  <si>
    <t>D1-6-1</t>
  </si>
  <si>
    <t xml:space="preserve">FILTRO DO EXAUSTOR </t>
  </si>
  <si>
    <t>E1-1-1</t>
  </si>
  <si>
    <t>GANTRY - M40</t>
  </si>
  <si>
    <t>E2-4-4</t>
  </si>
  <si>
    <t xml:space="preserve">AQUECEDOR </t>
  </si>
  <si>
    <t>F2-4-3</t>
  </si>
  <si>
    <t>E1-4-1</t>
  </si>
  <si>
    <t>F3-2-1</t>
  </si>
  <si>
    <t>F3-2-2</t>
  </si>
  <si>
    <t>F3-2-3</t>
  </si>
  <si>
    <t>F3-2-4</t>
  </si>
  <si>
    <t>F3-2-5</t>
  </si>
  <si>
    <t>F3-2-6</t>
  </si>
  <si>
    <t>F2-3-1.1</t>
  </si>
  <si>
    <t>F3-5-1</t>
  </si>
  <si>
    <t>G2-3-3</t>
  </si>
  <si>
    <t>MANCAL FRONT FENDER SEM BUCHAMENTO</t>
  </si>
  <si>
    <t>G2-6-1</t>
  </si>
  <si>
    <t>BUCHA DA FERRAMENTA DO SKIN GAP, PARSEL SHELF E X6H</t>
  </si>
  <si>
    <t>H1-6-3</t>
  </si>
  <si>
    <t>CONJUNTO PORCA, BUCHAS E PARAFUSOS DA FERRAMENTA DE CORTE</t>
  </si>
  <si>
    <t>CONJUNTO EIXO CHAVETA 24MM</t>
  </si>
  <si>
    <t>H1-5-4</t>
  </si>
  <si>
    <t>G3-5-2</t>
  </si>
  <si>
    <t>BLOCO PARA VALVULA DE ATIVADOR E COLA</t>
  </si>
  <si>
    <t>H1-4-6</t>
  </si>
  <si>
    <t>H3-3-6</t>
  </si>
  <si>
    <t>H1-3-2.2</t>
  </si>
  <si>
    <t>H1-2-2</t>
  </si>
  <si>
    <t>H1-2-3</t>
  </si>
  <si>
    <t>H1-2-4</t>
  </si>
  <si>
    <t>H1-2-5 / AR. A1-2-2</t>
  </si>
  <si>
    <t>H1-2-6</t>
  </si>
  <si>
    <t>G1-2-4</t>
  </si>
  <si>
    <t>I2-6-3</t>
  </si>
  <si>
    <t xml:space="preserve">BOMBA HIDRAULICA ALTA PRESSAO </t>
  </si>
  <si>
    <t>I2-6-2</t>
  </si>
  <si>
    <t>INNER DASH</t>
  </si>
  <si>
    <t>I3-6-2</t>
  </si>
  <si>
    <t xml:space="preserve">MOTOR DO AQUECEDOR DE OLEO </t>
  </si>
  <si>
    <t>I3-6-3</t>
  </si>
  <si>
    <t>SUPORTE 6</t>
  </si>
  <si>
    <t>AQUECEDOR</t>
  </si>
  <si>
    <t>PERFIL DE VEDACAO DO CABECOTE INJETORA CHINESA</t>
  </si>
  <si>
    <t>INJETORA CHINESA</t>
  </si>
  <si>
    <t>SUPORTE 7</t>
  </si>
  <si>
    <t>SUPORTE 8</t>
  </si>
  <si>
    <t>MANGUEIRA TEFLON 10MM</t>
  </si>
  <si>
    <t>SUPORTE 9</t>
  </si>
  <si>
    <t>SUPORTE 10</t>
  </si>
  <si>
    <t>SUPORTE 15</t>
  </si>
  <si>
    <t>SUPORTE 16</t>
  </si>
  <si>
    <t>SUPORTE 17</t>
  </si>
  <si>
    <t>MANGUEIRA TRANSFERENCIA COLA  3/8"</t>
  </si>
  <si>
    <t>SUPORTE 19</t>
  </si>
  <si>
    <t xml:space="preserve">MANGUEIRA 3/4 ALMA DE ACO </t>
  </si>
  <si>
    <t>AQUECEDORES</t>
  </si>
  <si>
    <t>SUPORTE 20</t>
  </si>
  <si>
    <t xml:space="preserve">MANGUEIRA DE 1 POL ALMA DE ACO </t>
  </si>
  <si>
    <t>755943170013</t>
  </si>
  <si>
    <t>170013</t>
  </si>
  <si>
    <t>MANGUEIRA PARA AGUA 1/2"</t>
  </si>
  <si>
    <t>SUPORTE 5</t>
  </si>
  <si>
    <t xml:space="preserve">MANGUEIRA HIDRAULICA 3/4 3100PSI 800MM </t>
  </si>
  <si>
    <t>SUPORTE 21</t>
  </si>
  <si>
    <t>MANGUEIRA HIDRAULICA 1 POL 2390 PSI 500MM</t>
  </si>
  <si>
    <t xml:space="preserve">MANGUEIRA 2 POL ALMA DE ACO </t>
  </si>
  <si>
    <t>MANGUEIRA DE ALTA PRESSAO SISTEMA INJECAO HIDRAULICO</t>
  </si>
  <si>
    <t>SUPORTE 13</t>
  </si>
  <si>
    <t>MANGUEIRA HIDRAULICA SISTEMA INJECAO INNER    ( ISSO )</t>
  </si>
  <si>
    <t>SUPORTE 11</t>
  </si>
  <si>
    <t>MANGUEIRA DE ALTA PRESSAO 1/2POL 1500MM</t>
  </si>
  <si>
    <t>SUPORTE 12</t>
  </si>
  <si>
    <t>FILTRO DESSECANTI</t>
  </si>
  <si>
    <t>AR. A1-1-2</t>
  </si>
  <si>
    <t>AR. A1-1-1</t>
  </si>
  <si>
    <t>ELEMENTO FILTRANTE PARA COLA</t>
  </si>
  <si>
    <t>G1-2-3</t>
  </si>
  <si>
    <t>BARMAG</t>
  </si>
  <si>
    <t>57041178450</t>
  </si>
  <si>
    <t>178450</t>
  </si>
  <si>
    <t>EIXO DA BOMBA DE ENGRENAGEM 6CC (COLA)</t>
  </si>
  <si>
    <t>PISTOLA DE COLA DO ROBO DE COLA DO TETO</t>
  </si>
  <si>
    <t>I2-4-2</t>
  </si>
  <si>
    <t>MOTOR DOS AQUECEDORES DO FORNO VERTICAL</t>
  </si>
  <si>
    <t>D1-3-1</t>
  </si>
  <si>
    <t>E1-3-3</t>
  </si>
  <si>
    <t>ENGRENAGEM DO FUSO DAS CALANDRAS</t>
  </si>
  <si>
    <t>I2-5-1</t>
  </si>
  <si>
    <t>I2-5-2</t>
  </si>
  <si>
    <t>J2-2-1</t>
  </si>
  <si>
    <t>I3-4-1</t>
  </si>
  <si>
    <t>RESISTENCIA PARA AGUA DO TANQUE DE LAVAGEM</t>
  </si>
  <si>
    <t>J2-2-3</t>
  </si>
  <si>
    <t>J2-5-2</t>
  </si>
  <si>
    <t>J2-5-3</t>
  </si>
  <si>
    <t>J2-5-1</t>
  </si>
  <si>
    <t>I2-5-2.1</t>
  </si>
  <si>
    <t>I3-3-3</t>
  </si>
  <si>
    <t xml:space="preserve">MATERIAL PARA REPARO DA BOMBA DE COLA E ENGRENAGEM </t>
  </si>
  <si>
    <t>VALVULA DE ALIVIO PNEUMATICA MANUAL</t>
  </si>
  <si>
    <t>I2-5-3</t>
  </si>
  <si>
    <t>CAIXA DE DERIVAÇÃO ( PASSAGEM )  DUAS SAIDAS</t>
  </si>
  <si>
    <t>I2-5-4</t>
  </si>
  <si>
    <t>MOTOR SISTEMA DE PRESSÃO POL/ISSO</t>
  </si>
  <si>
    <t>D3-1-1</t>
  </si>
  <si>
    <t>MOTOR DA BOMBA DE PREENCHIMENTO DE ISSO</t>
  </si>
  <si>
    <t>MOTOR DO SISTEMA DE ADITIVO</t>
  </si>
  <si>
    <t>CAIXA PARA CONTROLE LIGA DESLIGA DE COMANDO</t>
  </si>
  <si>
    <t>C2-4-1</t>
  </si>
  <si>
    <t>J3-5-7</t>
  </si>
  <si>
    <t>AR. A1-1-3</t>
  </si>
  <si>
    <t xml:space="preserve">KIT REPARO DO ROBO </t>
  </si>
  <si>
    <t>AR. A1-3-3</t>
  </si>
  <si>
    <t>KIT DE ACESSORIOS PARA CPU E FLEXPENDENT</t>
  </si>
  <si>
    <t>AR. A1-2-1</t>
  </si>
  <si>
    <t>B3-3-1.1</t>
  </si>
  <si>
    <t>C2-4-4</t>
  </si>
  <si>
    <t>D1-3-4</t>
  </si>
  <si>
    <t>PLACA SMB</t>
  </si>
  <si>
    <t>AR. A1-5-1</t>
  </si>
  <si>
    <t>CAIXA DE DERIVAÇÃO ( PASSAGEM )  TRES SAIDAS</t>
  </si>
  <si>
    <t>AR.A1-3-2</t>
  </si>
  <si>
    <t>G1-2-5</t>
  </si>
  <si>
    <t>G1-2-5.1</t>
  </si>
  <si>
    <t>FERRAMENTAS E PARAFUSO DOS PISADORES</t>
  </si>
  <si>
    <t>G1-6-2</t>
  </si>
  <si>
    <t>PRE FILTRO COLEIRO MAKMELT</t>
  </si>
  <si>
    <t>I1-2-2</t>
  </si>
  <si>
    <t>L3-1-1</t>
  </si>
  <si>
    <t>INTENSIFICADOR</t>
  </si>
  <si>
    <t>G1-2-6</t>
  </si>
  <si>
    <t>ORING'S PARA BAIXA PRESSÃO</t>
  </si>
  <si>
    <t>G1-2-6.1</t>
  </si>
  <si>
    <t>J3-5-5</t>
  </si>
  <si>
    <t>ORING DA AGULHA DO GICLE</t>
  </si>
  <si>
    <t>ORING PARA O FILTRO DO ISOCIANATO</t>
  </si>
  <si>
    <t>F1-3-2</t>
  </si>
  <si>
    <t xml:space="preserve">ORING PARA FILTRO DO INTENSIFICADOR </t>
  </si>
  <si>
    <t>B2-2-1</t>
  </si>
  <si>
    <t>AMORTECEDOR MOLA GÁS 250N</t>
  </si>
  <si>
    <t>A3-5-1</t>
  </si>
  <si>
    <t>B3-5-2</t>
  </si>
  <si>
    <t>ABRAÇADEIRA MS 212</t>
  </si>
  <si>
    <t>B3-5-3</t>
  </si>
  <si>
    <t>D2-3-3</t>
  </si>
  <si>
    <t>D2-3-3.1</t>
  </si>
  <si>
    <t>C2-4-6</t>
  </si>
  <si>
    <t>J1-4-1</t>
  </si>
  <si>
    <t>J3-4-8</t>
  </si>
  <si>
    <t>E1-1</t>
  </si>
  <si>
    <t>EOS</t>
  </si>
  <si>
    <t>C2-3-5</t>
  </si>
  <si>
    <t>C2-4-5</t>
  </si>
  <si>
    <t>J2-2-2</t>
  </si>
  <si>
    <t>J3-3-2</t>
  </si>
  <si>
    <t xml:space="preserve">VALVULA DE ALIVIO DE PRESSÃO </t>
  </si>
  <si>
    <t>J3-3-4</t>
  </si>
  <si>
    <t>MANGUEIRA HIDRAULICA 1000MM   1/4"  3250PSI</t>
  </si>
  <si>
    <t xml:space="preserve">COLEIRO </t>
  </si>
  <si>
    <t>A2-6-3</t>
  </si>
  <si>
    <t>C2-2-3.1</t>
  </si>
  <si>
    <t>713631177353</t>
  </si>
  <si>
    <t>177353</t>
  </si>
  <si>
    <t>BOMBA DE PISTÃO COMPLETA</t>
  </si>
  <si>
    <t>J2-3-1</t>
  </si>
  <si>
    <t>MAKMELT</t>
  </si>
  <si>
    <t>MOTOR DO EIXO DE GIRO DA CABINE DE CORTE</t>
  </si>
  <si>
    <t>H3-6-3</t>
  </si>
  <si>
    <t>A2-5-1.1</t>
  </si>
  <si>
    <t>57041180244</t>
  </si>
  <si>
    <t>180244</t>
  </si>
  <si>
    <t>H1-4-5</t>
  </si>
  <si>
    <t>57041180245</t>
  </si>
  <si>
    <t>180245</t>
  </si>
  <si>
    <t>H1-4-4</t>
  </si>
  <si>
    <t>E2-4-2.1</t>
  </si>
  <si>
    <t>C1-3-6</t>
  </si>
  <si>
    <t>OMRON</t>
  </si>
  <si>
    <t>C1-4-5</t>
  </si>
  <si>
    <t>C1-5-5</t>
  </si>
  <si>
    <t>B2-5-1.1</t>
  </si>
  <si>
    <t>B2-5-3.1</t>
  </si>
  <si>
    <t>FUSIVEIS PARA GERAÇÃO DE ARCO ELETRICO</t>
  </si>
  <si>
    <t>J1-3-4</t>
  </si>
  <si>
    <t>J1-3-2</t>
  </si>
  <si>
    <t>JI-3-3</t>
  </si>
  <si>
    <t>763275177269</t>
  </si>
  <si>
    <t>177269</t>
  </si>
  <si>
    <t>D2-3-0</t>
  </si>
  <si>
    <t>I3-4-2</t>
  </si>
  <si>
    <t>B1-5-6</t>
  </si>
  <si>
    <t>UNIDADE DE CONTROLE</t>
  </si>
  <si>
    <t>J1-2-2</t>
  </si>
  <si>
    <t xml:space="preserve">LAMINA DE CONTATO </t>
  </si>
  <si>
    <t>J1-2-1</t>
  </si>
  <si>
    <t>PLACA PARA ELETROLDO</t>
  </si>
  <si>
    <t>I1-3</t>
  </si>
  <si>
    <t>RESISTENCIA DO TANQUE DE POLYOL</t>
  </si>
  <si>
    <t>J3-2-3</t>
  </si>
  <si>
    <t>D2-4-0</t>
  </si>
  <si>
    <t>I3-6-1</t>
  </si>
  <si>
    <t>MOTOR PNEUMATICO</t>
  </si>
  <si>
    <t>D3-2</t>
  </si>
  <si>
    <t>KIT REPARO DA BOMBA DE COLA</t>
  </si>
  <si>
    <t>F1-2-2</t>
  </si>
  <si>
    <t>KIT REPARO DA BOMBA DE ATIVADOR</t>
  </si>
  <si>
    <t>F1-2-3</t>
  </si>
  <si>
    <t>MOTOR REDUTOR DAS CALANDRAS</t>
  </si>
  <si>
    <t>G2-5-4</t>
  </si>
  <si>
    <t>755943172400</t>
  </si>
  <si>
    <t>172400</t>
  </si>
  <si>
    <t>G3-5-5</t>
  </si>
  <si>
    <t>H2-4-1</t>
  </si>
  <si>
    <t>E1-2-2</t>
  </si>
  <si>
    <t>ROLAMENTO 6908</t>
  </si>
  <si>
    <t>E2-5-0</t>
  </si>
  <si>
    <t>I1-4-2</t>
  </si>
  <si>
    <t>H1-3-5.1</t>
  </si>
  <si>
    <t>A1-4-4</t>
  </si>
  <si>
    <t>D3-3-0</t>
  </si>
  <si>
    <t>B2-2-3</t>
  </si>
  <si>
    <t>J1-6-1</t>
  </si>
  <si>
    <t>ELEMENTO ELASTICO DAGROSS 82</t>
  </si>
  <si>
    <t>BOMBAS DOS AQUEC.</t>
  </si>
  <si>
    <t>I2-5-2.2</t>
  </si>
  <si>
    <t>C2-2-3</t>
  </si>
  <si>
    <t>D3-3-1</t>
  </si>
  <si>
    <t>J3-3-0</t>
  </si>
  <si>
    <t>F2-4-1</t>
  </si>
  <si>
    <t>F3-4-2.1</t>
  </si>
  <si>
    <t>F3-4-1.1</t>
  </si>
  <si>
    <t>D3-3-0.1</t>
  </si>
  <si>
    <t>763677180844</t>
  </si>
  <si>
    <t>180844</t>
  </si>
  <si>
    <t>C2-4-2</t>
  </si>
  <si>
    <t>I1-4-1</t>
  </si>
  <si>
    <t>I2-4-1</t>
  </si>
  <si>
    <t>VALVULA PARA CONTROLE DE PRESSÃO</t>
  </si>
  <si>
    <t>D2-4-5.1</t>
  </si>
  <si>
    <t>D3-3-2.1</t>
  </si>
  <si>
    <t>D3-3-3</t>
  </si>
  <si>
    <t>E3-2-2</t>
  </si>
  <si>
    <t>I3-4-3</t>
  </si>
  <si>
    <t>VACUOSTATO</t>
  </si>
  <si>
    <t>I3-4-5</t>
  </si>
  <si>
    <t>ABRAÇADEIRA PARA TUBO 8MM</t>
  </si>
  <si>
    <t>I3-4-6</t>
  </si>
  <si>
    <t>ENGATE RAPIDO SEM RETENÇÃO</t>
  </si>
  <si>
    <t>H3-6-1</t>
  </si>
  <si>
    <t>I2-2-2</t>
  </si>
  <si>
    <t>ACOPLAMENTO RESERVA PARA BOMBA</t>
  </si>
  <si>
    <t>MOLDAGEM INNER</t>
  </si>
  <si>
    <t>J1-4-0</t>
  </si>
  <si>
    <t>GICLE PARA INJEÇÃO DE ISOCIANATO</t>
  </si>
  <si>
    <t>J3-2-2</t>
  </si>
  <si>
    <t>GICLE PARA INJEÇÃO DE POLIORETANO</t>
  </si>
  <si>
    <t>757601171053</t>
  </si>
  <si>
    <t>171053</t>
  </si>
  <si>
    <t>ACOPLADORA CHINESA</t>
  </si>
  <si>
    <t>BOMBA DE PREENCHIMENTO DE POLIOL</t>
  </si>
  <si>
    <t>E2-3-4.1</t>
  </si>
  <si>
    <t>A2-3-6</t>
  </si>
  <si>
    <t>763677180772</t>
  </si>
  <si>
    <t>180772</t>
  </si>
  <si>
    <t>A3-3-4</t>
  </si>
  <si>
    <t>763677180773</t>
  </si>
  <si>
    <t>180773</t>
  </si>
  <si>
    <t>A3-3-5</t>
  </si>
  <si>
    <t>763677180774</t>
  </si>
  <si>
    <t>180774</t>
  </si>
  <si>
    <t>A3-3-6</t>
  </si>
  <si>
    <t>A2-3-8</t>
  </si>
  <si>
    <t>F1-3-5</t>
  </si>
  <si>
    <t>F2-2-6.1</t>
  </si>
  <si>
    <t>J1-4-3</t>
  </si>
  <si>
    <t>FILTRO DE AGUA PARA O INTENSIFICADOR</t>
  </si>
  <si>
    <t>I3-2-1</t>
  </si>
  <si>
    <t>D2-2-3</t>
  </si>
  <si>
    <t>D2-2-2</t>
  </si>
  <si>
    <t>H2-4-6</t>
  </si>
  <si>
    <t>H2-3-2</t>
  </si>
  <si>
    <t>H2-5</t>
  </si>
  <si>
    <t>F1-4-4</t>
  </si>
  <si>
    <t>G2-5-2</t>
  </si>
  <si>
    <t>A2-3-2</t>
  </si>
  <si>
    <t>B2-3-2</t>
  </si>
  <si>
    <t>A2-4-2</t>
  </si>
  <si>
    <t>A2-4-1</t>
  </si>
  <si>
    <t>B2-4-1</t>
  </si>
  <si>
    <t>B2-4-5.1</t>
  </si>
  <si>
    <t>B1-2-2</t>
  </si>
  <si>
    <t>B1-2-3</t>
  </si>
  <si>
    <t>MURR</t>
  </si>
  <si>
    <t>C2-5-2</t>
  </si>
  <si>
    <t>CABO DE LIGAÇÃO DAS REGUAS POTENCIMETRICAS</t>
  </si>
  <si>
    <t>C1-6-5</t>
  </si>
  <si>
    <t>E2-4-3</t>
  </si>
  <si>
    <t>E2-4-2</t>
  </si>
  <si>
    <t>D2-3-0.1</t>
  </si>
  <si>
    <t>D2-3-1.1</t>
  </si>
  <si>
    <t>D2-3-2.1</t>
  </si>
  <si>
    <t xml:space="preserve">MOLA DAS FERRAMENTAS </t>
  </si>
  <si>
    <t>MOLD CARPETE</t>
  </si>
  <si>
    <t>F2-4-5</t>
  </si>
  <si>
    <t>D1-6-2</t>
  </si>
  <si>
    <t>D1-6-3</t>
  </si>
  <si>
    <t>D1-6-4</t>
  </si>
  <si>
    <t>E3-4-5.1</t>
  </si>
  <si>
    <t>B3-5-1</t>
  </si>
  <si>
    <t>E3-6-1</t>
  </si>
  <si>
    <t>F2-4-3.1</t>
  </si>
  <si>
    <t>G2-6</t>
  </si>
  <si>
    <t>E3-4-3</t>
  </si>
  <si>
    <t>VALVULA DE ALTA PRESSÃO</t>
  </si>
  <si>
    <t>H1-3-4</t>
  </si>
  <si>
    <t>H1-5-2</t>
  </si>
  <si>
    <t>H1-4-3.2</t>
  </si>
  <si>
    <t>J1-3-3</t>
  </si>
  <si>
    <t>SUPORTE 18</t>
  </si>
  <si>
    <t>D1-3-5</t>
  </si>
  <si>
    <t>H1-3-1.3</t>
  </si>
  <si>
    <t>I3-3-5</t>
  </si>
  <si>
    <t>H3-3-4</t>
  </si>
  <si>
    <t>I1-4-3</t>
  </si>
  <si>
    <t>B2-4-6.1</t>
  </si>
  <si>
    <t>B2-4-6</t>
  </si>
  <si>
    <t>B3-2-0</t>
  </si>
  <si>
    <t>B1-3-3.1</t>
  </si>
  <si>
    <t>B2-5-6.1</t>
  </si>
  <si>
    <t>E2-3-6.1</t>
  </si>
  <si>
    <t>D2-3-4.1</t>
  </si>
  <si>
    <t>I3-5-4</t>
  </si>
  <si>
    <t>C1-3-7</t>
  </si>
  <si>
    <t>D1-5-5</t>
  </si>
  <si>
    <t>K1-1-2</t>
  </si>
  <si>
    <t>C1-6-1</t>
  </si>
  <si>
    <t>J2-1-3</t>
  </si>
  <si>
    <t>AQUECEDOR PARA AGUA</t>
  </si>
  <si>
    <t>K1-1-3</t>
  </si>
  <si>
    <t>E3-4-2</t>
  </si>
  <si>
    <t>A2-4-1.1</t>
  </si>
  <si>
    <t>A2-4-2.1</t>
  </si>
  <si>
    <t>A2-4-3.1</t>
  </si>
  <si>
    <t>A2-4-4.1</t>
  </si>
  <si>
    <t>A2-4-5.1</t>
  </si>
  <si>
    <t>A2-4-6.1</t>
  </si>
  <si>
    <t>L2-3-1.1</t>
  </si>
  <si>
    <t>L2-3-1</t>
  </si>
  <si>
    <t>L2-3-2</t>
  </si>
  <si>
    <t>L2-3-3</t>
  </si>
  <si>
    <t>L2-3-3.1</t>
  </si>
  <si>
    <t>L2-3-2.1</t>
  </si>
  <si>
    <t>L2-3-4</t>
  </si>
  <si>
    <t>L2-3-5.1</t>
  </si>
  <si>
    <t>L2-3-4.1</t>
  </si>
  <si>
    <t>L2-3-5</t>
  </si>
  <si>
    <t>L2-3-6</t>
  </si>
  <si>
    <t>J2-1-2</t>
  </si>
  <si>
    <t>H3-5-6</t>
  </si>
  <si>
    <t>H3-3-6.1</t>
  </si>
  <si>
    <t>H3-4-3.1</t>
  </si>
  <si>
    <t>H3-3-5.1</t>
  </si>
  <si>
    <t>E3-4-4.1</t>
  </si>
  <si>
    <t>L2-3-6.1</t>
  </si>
  <si>
    <t>B3-5-0</t>
  </si>
  <si>
    <t>D2-2-4</t>
  </si>
  <si>
    <t>Observação</t>
  </si>
  <si>
    <t>Tipo</t>
  </si>
  <si>
    <t>Classe / Equipamento</t>
  </si>
  <si>
    <t>Localizador</t>
  </si>
  <si>
    <t>Descrição Tecnica</t>
  </si>
  <si>
    <t>Referência Tec</t>
  </si>
  <si>
    <t>ENTRADA</t>
  </si>
  <si>
    <t>20/05/2019</t>
  </si>
  <si>
    <t>TOTAL_ENTRADA</t>
  </si>
  <si>
    <t>21/05/2019</t>
  </si>
  <si>
    <t>22/05/2019</t>
  </si>
  <si>
    <t>23/05/2019</t>
  </si>
  <si>
    <t>SAIDA</t>
  </si>
  <si>
    <t>TOTAL_SAIDA</t>
  </si>
  <si>
    <t>Estoque Atual (18-4-19)</t>
  </si>
  <si>
    <t>Senha: PCM</t>
  </si>
  <si>
    <t>[vago]</t>
  </si>
  <si>
    <t>24/05/2019</t>
  </si>
  <si>
    <t>QTD</t>
  </si>
  <si>
    <t>DESCRIÇÃO TECNICA</t>
  </si>
  <si>
    <t>Nr OS</t>
  </si>
  <si>
    <t xml:space="preserve">Adler Pelzer Group            CONTROLE DE SAIDA MANUAL DE PEÇAS </t>
  </si>
  <si>
    <t>RISOLVER SICK D-78166 SKM36S</t>
  </si>
  <si>
    <t xml:space="preserve">TOMADA FEMEA SIMPLES 2P 10A 250V PLUG </t>
  </si>
  <si>
    <t>A0-3-1</t>
  </si>
  <si>
    <t>A0-4-1</t>
  </si>
  <si>
    <t xml:space="preserve">REDUTOR MECANICO UNIMEC TIPO TPR-00204 1/5 FOMA B </t>
  </si>
  <si>
    <t>CHAVE ELETRICA REVERSORA MARGIRUIS CR830 30A SERIE 800</t>
  </si>
  <si>
    <t>A0-3-2</t>
  </si>
  <si>
    <t>CONTATO ELETRICO NO 10A  SCHNEIDER ZA2EE101</t>
  </si>
  <si>
    <t>A0-3-3</t>
  </si>
  <si>
    <t>A0-3-4</t>
  </si>
  <si>
    <t>A0-3-5</t>
  </si>
  <si>
    <t xml:space="preserve">MODULO REDUTOR  MOTOVARIO NMRV 030 </t>
  </si>
  <si>
    <t>A0-4-2</t>
  </si>
  <si>
    <t xml:space="preserve">ROLAMENTO LINEAR BARRA/ROSCA PMI S4-16000376-20 //2008 </t>
  </si>
  <si>
    <t>A0-5-1</t>
  </si>
  <si>
    <t>MODULO REDUTOR  MOTOVARIO NMRV 040</t>
  </si>
  <si>
    <t>B0-5-1</t>
  </si>
  <si>
    <t xml:space="preserve">REDUTOR  MOTOVARIO 6728786-003 </t>
  </si>
  <si>
    <t>B0-5-2</t>
  </si>
  <si>
    <t>BOMBA ENGRENAGEM TRIPLA MAXHYDRO 1901255 //AZPFFF-022-022-005 RAB01 MB</t>
  </si>
  <si>
    <t>A0-5-2</t>
  </si>
  <si>
    <t xml:space="preserve">CILINDRO DO CABECOTE DE ALTA PRESSAO WSI PN: SP05144647 SLIV;  SLV </t>
  </si>
  <si>
    <t>A0-5-3</t>
  </si>
  <si>
    <t>A0-2-1</t>
  </si>
  <si>
    <t>VALVULA ESFERICA MANUAL SOLDAVEL PVC 25MM</t>
  </si>
  <si>
    <t>D0-3-1</t>
  </si>
  <si>
    <t>D0-3-2</t>
  </si>
  <si>
    <t>UNIAO L/R 25X3/4" PVC REFORCO ROSCA EM LATAO</t>
  </si>
  <si>
    <t>D0-3-3</t>
  </si>
  <si>
    <t>CURVA R-CURTO 90° SOLDAVEL PVC 25MM</t>
  </si>
  <si>
    <t>D0-3-4</t>
  </si>
  <si>
    <t xml:space="preserve">TOMADA MACHO SIMPLES 2P +T 10A 280V  PLUG </t>
  </si>
  <si>
    <t xml:space="preserve">MOLA DE COMPRESSAO DIN.20 X 120 X FIO 10 CHATO PASSO 10 BASE RETA </t>
  </si>
  <si>
    <t>D0-4-1</t>
  </si>
  <si>
    <t xml:space="preserve">IHM / CONTROLADOR MAKMLT MOD. RK221-V2.5 90-240VCA </t>
  </si>
  <si>
    <t>A0-2-2</t>
  </si>
  <si>
    <t>C0-4-3</t>
  </si>
  <si>
    <t>BOMBA DE ÓLEO TERMICO DA RZR 2220</t>
  </si>
  <si>
    <t xml:space="preserve">INVERSOR DE FREQUENCIA WEG CFW500A043T4NB20 380-480VAC 5,2A </t>
  </si>
  <si>
    <t>MANGUEIRA P/ AQUECIMENTO DE ADESIVO / COLA MAKMELT BR17G294 6MT 230V 660W 1200SI</t>
  </si>
  <si>
    <t>A0-1-1</t>
  </si>
  <si>
    <t>ADESIVO INSTANTANEO WURTH 20G W096</t>
  </si>
  <si>
    <t>E0-2-4</t>
  </si>
  <si>
    <t>Cod_2_Entrada</t>
  </si>
  <si>
    <t>23-mai-19</t>
  </si>
  <si>
    <t>24-mai-19</t>
  </si>
  <si>
    <t>COD_2_SAIDA</t>
  </si>
  <si>
    <t>Total Geral</t>
  </si>
  <si>
    <t>DESCRIÇÃO</t>
  </si>
  <si>
    <t>Nr - FABBISOGNO'S</t>
  </si>
  <si>
    <t>MÊS</t>
  </si>
  <si>
    <t>QTD AUDITADA</t>
  </si>
  <si>
    <t>QTD ITENS CONFORME</t>
  </si>
  <si>
    <t xml:space="preserve">QTD ITENS NÃO CONFORME </t>
  </si>
  <si>
    <t>ACURACIDADE</t>
  </si>
  <si>
    <t>OBJETIVO</t>
  </si>
  <si>
    <t>Adler Pelzer Group / Analise do Estoque Manutenção</t>
  </si>
  <si>
    <t>Valor total Investimento FO's</t>
  </si>
  <si>
    <t>Investimento FO's</t>
  </si>
  <si>
    <t xml:space="preserve">VALORIZAÇÃO DO ESTOQUE </t>
  </si>
  <si>
    <t xml:space="preserve">ESTATíSTICA DE SUPRIMENTOS </t>
  </si>
  <si>
    <t xml:space="preserve">Localizador </t>
  </si>
  <si>
    <t>B3-4-2.1</t>
  </si>
  <si>
    <t>F1-3-3</t>
  </si>
  <si>
    <t xml:space="preserve">ANILHA PARA SERPENTINA </t>
  </si>
  <si>
    <t>H1-3-2.1</t>
  </si>
  <si>
    <t>M01</t>
  </si>
  <si>
    <t>E1-2-1</t>
  </si>
  <si>
    <t>E1-3-1</t>
  </si>
  <si>
    <t>E1-3-3.1</t>
  </si>
  <si>
    <t xml:space="preserve">PARAFUSO DA HASTEA DO CILINDRO HIDRAULICO </t>
  </si>
  <si>
    <t>M21</t>
  </si>
  <si>
    <t>H1-5-3</t>
  </si>
  <si>
    <t>CINTA 3T</t>
  </si>
  <si>
    <t>F2-6</t>
  </si>
  <si>
    <t>M17</t>
  </si>
  <si>
    <t>H3-5-5</t>
  </si>
  <si>
    <t>BICO ESPIGÃO 3/8</t>
  </si>
  <si>
    <t>H3-4-4.1</t>
  </si>
  <si>
    <t>27-mai-19</t>
  </si>
  <si>
    <t>27/05/2019</t>
  </si>
  <si>
    <t>D3-3-1.2</t>
  </si>
  <si>
    <t>D3-3-2.3</t>
  </si>
  <si>
    <t>HAN 10 E-BUS-S</t>
  </si>
  <si>
    <t>C0-4-1</t>
  </si>
  <si>
    <t>HAN 10 E-STI-S</t>
  </si>
  <si>
    <t>C0-4-2</t>
  </si>
  <si>
    <t>C0-4-4</t>
  </si>
  <si>
    <t xml:space="preserve">SUPORTE PARA BINARIO HAN </t>
  </si>
  <si>
    <t>HARTING</t>
  </si>
  <si>
    <t>E3-3-1.1</t>
  </si>
  <si>
    <t>B0-2-3</t>
  </si>
  <si>
    <t>B0-2-4</t>
  </si>
  <si>
    <t>B0-2-4.1</t>
  </si>
  <si>
    <t>B0-2-2</t>
  </si>
  <si>
    <t>B0-2-2.1</t>
  </si>
  <si>
    <t>B0-2-2.2</t>
  </si>
  <si>
    <t xml:space="preserve">SUPORTE PARA BARREIRA </t>
  </si>
  <si>
    <t>WGTZEL</t>
  </si>
  <si>
    <t>C0-2-1</t>
  </si>
  <si>
    <t>UPUN</t>
  </si>
  <si>
    <t>B0-2-5</t>
  </si>
  <si>
    <t>LUOMA</t>
  </si>
  <si>
    <t>B0-2-5.1</t>
  </si>
  <si>
    <t xml:space="preserve">BORNE DIVERSOS </t>
  </si>
  <si>
    <t>CONEXEL</t>
  </si>
  <si>
    <t>B0-2-5-2</t>
  </si>
  <si>
    <t>B0-2-5-2.1</t>
  </si>
  <si>
    <t>B0-2-5-2.2</t>
  </si>
  <si>
    <t>JNG</t>
  </si>
  <si>
    <t>C0-2-2</t>
  </si>
  <si>
    <t>C0-3-1</t>
  </si>
  <si>
    <t>C0-4-5</t>
  </si>
  <si>
    <t>FESMO</t>
  </si>
  <si>
    <t>B0-3-3</t>
  </si>
  <si>
    <t>G0-1</t>
  </si>
  <si>
    <t>C0-4-6</t>
  </si>
  <si>
    <t xml:space="preserve">NORTON </t>
  </si>
  <si>
    <t>D0-4-2</t>
  </si>
  <si>
    <t>B2-4-5.2</t>
  </si>
  <si>
    <t>A3-2-3.1</t>
  </si>
  <si>
    <t>E3-3-2.1</t>
  </si>
  <si>
    <t xml:space="preserve">SIEMENS </t>
  </si>
  <si>
    <t>B1-2-4</t>
  </si>
  <si>
    <t>E0-1-2</t>
  </si>
  <si>
    <t>KIT COLEIRO</t>
  </si>
  <si>
    <t>TECNOVITA</t>
  </si>
  <si>
    <t xml:space="preserve">BASE EM ACO </t>
  </si>
  <si>
    <t>J1-5-1.1</t>
  </si>
  <si>
    <t>D0-2-2.1</t>
  </si>
  <si>
    <t>D0-2-3.1</t>
  </si>
  <si>
    <t>D0-2-4.1</t>
  </si>
  <si>
    <t>A2-4-3.2</t>
  </si>
  <si>
    <t>B1-4-5.3</t>
  </si>
  <si>
    <t>B1-4-6.3</t>
  </si>
  <si>
    <t>E2-3-4.2</t>
  </si>
  <si>
    <t>H1-2-3.1</t>
  </si>
  <si>
    <t>H1-2-3.2</t>
  </si>
  <si>
    <t>F3-4-1.2</t>
  </si>
  <si>
    <t>G0-2-1</t>
  </si>
  <si>
    <t>G0-2-1.1</t>
  </si>
  <si>
    <t>G0-2-1.3</t>
  </si>
  <si>
    <t>G0-2-1.2</t>
  </si>
  <si>
    <t>G0-2-2</t>
  </si>
  <si>
    <t>G0-2-2.1</t>
  </si>
  <si>
    <t>G0-2-2.2</t>
  </si>
  <si>
    <t xml:space="preserve">ORING DIVERSAS </t>
  </si>
  <si>
    <t>G0-2-2.3</t>
  </si>
  <si>
    <t>B1-3-2.2</t>
  </si>
  <si>
    <t>B3-4-2.3</t>
  </si>
  <si>
    <t>G0-5-2</t>
  </si>
  <si>
    <t>G0-5-3</t>
  </si>
  <si>
    <t>G0-3-1</t>
  </si>
  <si>
    <t>G0-3-3</t>
  </si>
  <si>
    <t>G0-3-4</t>
  </si>
  <si>
    <t>G0-3-5</t>
  </si>
  <si>
    <t>G0-3-6</t>
  </si>
  <si>
    <t>G0-4-1</t>
  </si>
  <si>
    <t>G0-4-2</t>
  </si>
  <si>
    <t>M07</t>
  </si>
  <si>
    <t>25/05/2019</t>
  </si>
  <si>
    <t>G0-3-7</t>
  </si>
  <si>
    <t>28-mai-19</t>
  </si>
  <si>
    <t>28/05/2019</t>
  </si>
  <si>
    <t xml:space="preserve">OLEO DIESEL </t>
  </si>
  <si>
    <t>QUIMICO</t>
  </si>
  <si>
    <t>E3-3-1.2</t>
  </si>
  <si>
    <t>AR. A1-1-1.1</t>
  </si>
  <si>
    <t>29-mai-19</t>
  </si>
  <si>
    <t>J3-5-8</t>
  </si>
  <si>
    <t>30-mai-19</t>
  </si>
  <si>
    <t>G0-4-3</t>
  </si>
  <si>
    <t>D0-2-1</t>
  </si>
  <si>
    <t>29/05/2019</t>
  </si>
  <si>
    <t>ACOPLAMENTO ROSCA 1/4 PARA SENSOR TIPO SONDA PT100 8MM</t>
  </si>
  <si>
    <t>C0-1</t>
  </si>
  <si>
    <t xml:space="preserve">SENSOR DE TEMPERATURA TIPO SONDA 8MM PT100 0 A 400° CABO ELETRICO COM 2000MM </t>
  </si>
  <si>
    <t>OLEO PARA TURBINAS ISO 100</t>
  </si>
  <si>
    <t>KIT CAPA DE AR DO BICO ROBO DE COLA AIRPRO 1,4MM GR-289773</t>
  </si>
  <si>
    <t>ROLAMENTO R6Z</t>
  </si>
  <si>
    <t>RELE FINDER DE DUPLO CONTATO S/BASE TIPO 40.52 8A 250V 24V DC</t>
  </si>
  <si>
    <t>ANTE-RESPINGO SPRAY BASE H2O WURTH</t>
  </si>
  <si>
    <t>CABO USB to RS-232, 4-PIN M8 cable (2 m) DSL-8U04G2M025KM1</t>
  </si>
  <si>
    <t>ADITIVO PLASTICO DOP</t>
  </si>
  <si>
    <t>FOLHA LIXA METALCARBO A80</t>
  </si>
  <si>
    <t>FOLHA LIXA PANO METAL A120</t>
  </si>
  <si>
    <t>ROLAMENTO PEE 6082KSP-V2</t>
  </si>
  <si>
    <t>RELE DE SEGURANCA XPSLCMUT1160</t>
  </si>
  <si>
    <t>BOTAO SCHNEIDER 2BSA 5839</t>
  </si>
  <si>
    <t>CILINDRO DOT-39 NRC 260/325 M1003</t>
  </si>
  <si>
    <t>BLUG CLAVIJA 2P+T 16A 380 440V</t>
  </si>
  <si>
    <t>BALLUFF</t>
  </si>
  <si>
    <t>INDUTIVE BIC 213-P2A50-M30M13-SM4ACA</t>
  </si>
  <si>
    <t>ORING 2-1/4"X 2.3/8"X1/16 VL 10074631</t>
  </si>
  <si>
    <t>ORING 7/16X2-5/8" VL 10074714</t>
  </si>
  <si>
    <t>ORING 143055-0</t>
  </si>
  <si>
    <t>ORING 81363 NBR</t>
  </si>
  <si>
    <t>ORING  143059-0</t>
  </si>
  <si>
    <t>ORING  150097-0</t>
  </si>
  <si>
    <t>ORING 1,4" B5 1'. 5 X 16.5</t>
  </si>
  <si>
    <t>ROLAMENTO 6203</t>
  </si>
  <si>
    <t>AGULHA KIT WALTE JET VL 20435636</t>
  </si>
  <si>
    <t>KIT WALTE JET VL 05116017</t>
  </si>
  <si>
    <t>VEDACAO DZQ-0220</t>
  </si>
  <si>
    <t xml:space="preserve">SO VEDAÇÕES </t>
  </si>
  <si>
    <t>D0-4-4</t>
  </si>
  <si>
    <t>SOLENOID PM153BV PM153BV 3/8" 24VDC</t>
  </si>
  <si>
    <t>31-mai-19</t>
  </si>
  <si>
    <t>30/05/2019</t>
  </si>
  <si>
    <t>31/05/2019</t>
  </si>
  <si>
    <t>ESCADA BANQUETA 59cm X 42cm X 65cm</t>
  </si>
  <si>
    <t>J5</t>
  </si>
  <si>
    <t>CANETA WATER JET PN:10138444 / SN:6513068</t>
  </si>
  <si>
    <t>VALVULA DE AR  MFH3-1/2</t>
  </si>
  <si>
    <t>BOMBA COM EIXO CHAVETADO DO GRUPO DE ATIVADR E COLA SERVO MOTOR  BMH1002P06A2A</t>
  </si>
  <si>
    <t>1-jun-19</t>
  </si>
  <si>
    <t xml:space="preserve">CONTROLE DE VALORES FINANCEIROS DOS ITENS </t>
  </si>
  <si>
    <t>Valor Uni</t>
  </si>
  <si>
    <t>OBS</t>
  </si>
  <si>
    <t>Valor encontrado nos antigos controles do estoque ( necessario revisao geral)</t>
  </si>
  <si>
    <t>PORCA SEXT PARLOCK 12M 1.25</t>
  </si>
  <si>
    <t xml:space="preserve"> ROLO CABO  PT-100</t>
  </si>
  <si>
    <t>M2-2</t>
  </si>
  <si>
    <t>C0-1-3</t>
  </si>
  <si>
    <t>C0-1-2</t>
  </si>
  <si>
    <t>BOTAO SCHMERSAL CLP110 + CLP101 + PLACA EMERG</t>
  </si>
  <si>
    <t>C0-1-4</t>
  </si>
  <si>
    <t>STATUS / AÇÃO</t>
  </si>
  <si>
    <t xml:space="preserve">DESCRIÇÃO </t>
  </si>
  <si>
    <t>Adler Pelzer Group                    ITENS CRITICOS  - MANUTENÇÃO</t>
  </si>
  <si>
    <t>01/05/2019</t>
  </si>
  <si>
    <t>4-jun-19</t>
  </si>
  <si>
    <t>04/06/2019</t>
  </si>
  <si>
    <t>C0-4</t>
  </si>
  <si>
    <t>02/05/2019</t>
  </si>
  <si>
    <t>03/05/2019</t>
  </si>
  <si>
    <t>ARAME GALVANIZADO BWG 16 E=1,24MM</t>
  </si>
  <si>
    <t>REBITE ALUMINIO POP 3,2 12MM</t>
  </si>
  <si>
    <t>186951</t>
  </si>
  <si>
    <t>186250</t>
  </si>
  <si>
    <t>CHUMBADOR PBA 5/8" X 7</t>
  </si>
  <si>
    <t>186022</t>
  </si>
  <si>
    <t>CABO COM PLUG FESTO KMF1-24-10-LED</t>
  </si>
  <si>
    <t>PLUG VERMELHO 3P+T 32A 6H - MACHO</t>
  </si>
  <si>
    <t>PLUG STECK QUICK 2P+T10A MACHO</t>
  </si>
  <si>
    <t xml:space="preserve">ROLAMENTO 3205 </t>
  </si>
  <si>
    <t>ROLAMENTO DE ESFERAS 62206</t>
  </si>
  <si>
    <t>ROLAMENTO PARA EIXO DE 12MM 6201</t>
  </si>
  <si>
    <t>ROLAMENTO AGULHA NK 20/20</t>
  </si>
  <si>
    <t>ROLAMENTO RIGIDO DE ESFERA  6202-2Z</t>
  </si>
  <si>
    <t>FITA ISOLANTE PROFISSIONAL PRETA  / 19MM X 20M 33+</t>
  </si>
  <si>
    <t>FUSIVEL CERAMICO RESISTENCIAS DO PARSEL SHELF 10A</t>
  </si>
  <si>
    <t>FUSIVEL DE VIDRO 1,5A</t>
  </si>
  <si>
    <t>FUSIVEL DE VIDRO  2,5A</t>
  </si>
  <si>
    <t>FUSIVEL DE VIDRO  3A</t>
  </si>
  <si>
    <t>FUSIVEL DE VIDRO 4A</t>
  </si>
  <si>
    <t>FUSIVEL DE VIDRO  6A</t>
  </si>
  <si>
    <t>FUSIVEL CARTUCHO ULTRA RAPIDO 10X38 4A</t>
  </si>
  <si>
    <t>FUSIVEL CARTUCHO ULTRA RAPIDO 10X38 2A</t>
  </si>
  <si>
    <t>FUSIVEL CARTUCHO ULTRA RAPIDO 10X38 6A</t>
  </si>
  <si>
    <t>FUSIVEL CARTUCHO ULTRA RAPIDO 10X38 10A</t>
  </si>
  <si>
    <t>SENSOR FIM DE CURSO ACIONAMENTO ROLETE XCKN2118G11</t>
  </si>
  <si>
    <t>BOTÃO DE PRESSÃO CABEÇA DUPLA XB5AW7A3740B5</t>
  </si>
  <si>
    <t>CHAVE PARA CONTATO ABERTO FECHADO ZB2BE102</t>
  </si>
  <si>
    <t>DISTRIBUIDOR DE CONTATO PHOENIX D18D08</t>
  </si>
  <si>
    <t>3-jun-19</t>
  </si>
  <si>
    <t>BOMBA DE PALHETA FZP-2/4.0 HYDAC</t>
  </si>
  <si>
    <t>M28/M30/M32/M33</t>
  </si>
  <si>
    <t>(vazio)</t>
  </si>
  <si>
    <t>05/06/2019</t>
  </si>
  <si>
    <t>06/06/2019</t>
  </si>
  <si>
    <t>A3-6-4</t>
  </si>
  <si>
    <t>6-jun-19</t>
  </si>
  <si>
    <t>BASE PARA PISTOLA COBRA 2 DEVIBILLS</t>
  </si>
  <si>
    <t>INVERSOR DE FREQUÊNCIA EMK DRIVE FIT4P34-0150-5BFLS</t>
  </si>
  <si>
    <t>TRANSMISSOR DE PASSAGEM 1,38802E+11</t>
  </si>
  <si>
    <t>TERMOSTATO DE CONTATO IMIT TIPO TC2 LSC1 1750 - COD. 542470, T80 1K/MIN IP40 0-90°C TC2 LSC11750</t>
  </si>
  <si>
    <t>SOFTSTARTER SIEMENS 37KW AC200-480V 3RW4038-1BB04</t>
  </si>
  <si>
    <t>INVERSOR DE FREQUÊNCIA SIEMENS MICROMASTER 440 6SE6440-2UD27-5CA1</t>
  </si>
  <si>
    <t>INVERSOR DE FREQUÊNCIA SIEMENS MICROMASTER 420 6SE6420-2UD22-2BA1</t>
  </si>
  <si>
    <t>CILINDRO DA CORTINA DO ROBO DE COLA FESTO</t>
  </si>
  <si>
    <t>INVEROSR DE FREQUÊNCIA SIEMENS MICROMASTER 440 6SE6440-2UD31-8DB1</t>
  </si>
  <si>
    <t>CELULA DE CARGA  L6F-C3-100KG-3B6</t>
  </si>
  <si>
    <t>ENCODER RVP510</t>
  </si>
  <si>
    <t xml:space="preserve">KIT REPARO DO CILINDRO PNEUMATICO CORTINA ROBO DE COLA </t>
  </si>
  <si>
    <t>GAXETA  DO FILTRO AUTO LIMPANTE ISOCIANATO 15X24X8 VITON</t>
  </si>
  <si>
    <t>GARRA DO CARPETE UTE 05</t>
  </si>
  <si>
    <t>LAMINA MAQ. DE CORTE HORIZONTAL 9494X60X06</t>
  </si>
  <si>
    <t>ELEMENTO FILTRANTE  0250 DN 010 BN4HC</t>
  </si>
  <si>
    <t>MANCAL DO FORNO P212</t>
  </si>
  <si>
    <t>REPARO DA PISTOLA DO ROBO DE COLA DEVIBILLS</t>
  </si>
  <si>
    <t>MOLA DE COMPRESSÃO W.J SP05147863</t>
  </si>
  <si>
    <t>MIXER ROBO DE COLA TETO</t>
  </si>
  <si>
    <t xml:space="preserve">MANCAL FRONT FENDER COM BUCHAMENTO </t>
  </si>
  <si>
    <t>SAFIRA WATER JET  6 MM 003788-6</t>
  </si>
  <si>
    <t>SAFIRA WATER JET 8MM 003788-8</t>
  </si>
  <si>
    <t>FILTRO DE ALTA PRESSÃO DO ROBO W.J FL05110531  1/4"</t>
  </si>
  <si>
    <t>REPARO DO INTENSIFICADOR PN: SL 05112768</t>
  </si>
  <si>
    <t>CELULA DE CARGA  06VA0041</t>
  </si>
  <si>
    <t>REPARO DA CANETA W.J NC  NORMAL FECHADO VL05116025</t>
  </si>
  <si>
    <t>REPARO DA CANETA W.J NO NORMAL ABEERTO VL05116017</t>
  </si>
  <si>
    <t>CAPA BICO DA PISTOLA DO ROBO DE COLA 289784 GRACCO</t>
  </si>
  <si>
    <t>BOMBA DE COLA GM601D-40N-100Z-OUTPUT:6 CC/RER</t>
  </si>
  <si>
    <t>VALVULA REXROTH R900919723</t>
  </si>
  <si>
    <t>VALVULA DO BATE PE  TUBO BATE PE</t>
  </si>
  <si>
    <t>VALVULA DIRECIONAL COM PILOTAGEM SIMPLES SOLENOIDE RETORNO POR MOLA 4/2 VIAS</t>
  </si>
  <si>
    <t xml:space="preserve">VALVULA DIRECIONAL VISTA DUPLA SOLENOIDE PILOTADA 4/2 VIAS </t>
  </si>
  <si>
    <t>BEXIGA PARA ACUMULADOR DE PRESSÃO BLADDER NXQ-A-6.3/31.5-L-Y</t>
  </si>
  <si>
    <t>BOMBA TRIPLA AZPFF-022-022-006-R-01-01-01-MB</t>
  </si>
  <si>
    <t>VALVULA DSG-01-3C2-D24-N1- YUKEN -N.C.M 8481.20.90 DSG-01-3C2-D24-N1</t>
  </si>
  <si>
    <t>BOMBA DE ENGRENAGEM DO SISTEMA HIDRAULICO HGP3AF17R</t>
  </si>
  <si>
    <t>RÉGUA DE NIVEL INJETORA CHINESA 912076155605</t>
  </si>
  <si>
    <t>C3-2</t>
  </si>
  <si>
    <t>SENSOR DE PRESSÃO  XMLRO10G1P25</t>
  </si>
  <si>
    <t>VALVULA DE CONTRA BALANÇO TRUCK CBEA-LIN 62 602813</t>
  </si>
  <si>
    <t>VALVULA DE RETENÇÃO PARA ISOCIANATO 1"</t>
  </si>
  <si>
    <t>VALVULA DE RETENÇÃO PARA ISOCIANATO 2"</t>
  </si>
  <si>
    <t>CORREIA DENTADA HTD500-5M</t>
  </si>
  <si>
    <t>VAZILINA SPRAY</t>
  </si>
  <si>
    <t>J3-5-3.1</t>
  </si>
  <si>
    <t>LAMPADA FLUORESCENTE 28W T5 4000K</t>
  </si>
  <si>
    <t>07/06/2019</t>
  </si>
  <si>
    <t>08/06/2019</t>
  </si>
  <si>
    <t>09/06/2019</t>
  </si>
  <si>
    <t>ÓLEO HIDRAULICO HLP 68 DENSIDADE 68</t>
  </si>
  <si>
    <t xml:space="preserve">OLEO PNEUMATICO MOBIL UNILUB-10 S10 </t>
  </si>
  <si>
    <t>OELO PNEUMATICO S10</t>
  </si>
  <si>
    <t>PRENSA TERMINAL AÇO KL25/8</t>
  </si>
  <si>
    <t>KIT REPARO AUTOMATICO DE FLUIDOS GRACO</t>
  </si>
  <si>
    <t>SENSOR DE TEMPERATURA SBWZ</t>
  </si>
  <si>
    <t>CONECTOR PARA CABO DE SENSOR 90 GRAUS M12 5 PINOS FEMEA</t>
  </si>
  <si>
    <t>CONECTOR PARA CABO DE SENSOR RETO M12 5 PINOS FEMEA</t>
  </si>
  <si>
    <t>CABO E CONECTOR DA BARREIRA DE LUZ NR 733 549</t>
  </si>
  <si>
    <t>ESTEIRA ROLANTE ALTA TEMPERATURA</t>
  </si>
  <si>
    <t>PRENSA TERMINAL AÇO VARIOS TAMANHOS</t>
  </si>
  <si>
    <t>MODULO AMPLIFICADOR ANALOGICO VTMSPA1-1-12</t>
  </si>
  <si>
    <t>CABO FOTO ELETRICO FEMEA 4 PINOS XZCP 1241LD5M</t>
  </si>
  <si>
    <t>CABO PARA CONECTAR SENSOR FESTO M8 3 POLOS NEBUM8G3-K-5-LE3</t>
  </si>
  <si>
    <t>CABO DE LIGAÇÃO 7000-18021-6260500</t>
  </si>
  <si>
    <t>CABO SENSOR MACHO 5 PINOS CZ1440</t>
  </si>
  <si>
    <t>CABO COM CONECTOR PARA SENSOR KROSCHU</t>
  </si>
  <si>
    <t>AGITADOR PNEUMATICO 1,7 HP P/TOTEM 1.000LTS</t>
  </si>
  <si>
    <t>CONEXÃO PNEUMATICA EM TEE COM ANILHA 8MM</t>
  </si>
  <si>
    <t xml:space="preserve">CONEXÃO PNEUMÁTICA LUVA 8mm X 8mm </t>
  </si>
  <si>
    <t>CONEXÃO PNEUMÁTICA 10mm X 6 mm</t>
  </si>
  <si>
    <t>CABO PARA REDE ASI-I RUBBER</t>
  </si>
  <si>
    <t>CABO FLEX PRETO 20X1,5MM</t>
  </si>
  <si>
    <t>CABO FLEX PRETO 2,5MM</t>
  </si>
  <si>
    <t>CABO FLEX AZUL 4 E 2,5MM</t>
  </si>
  <si>
    <t>CABO  PARA SENSOR PILZ 5333130</t>
  </si>
  <si>
    <t>CABO PARA SENSOR 8 PINOS M12</t>
  </si>
  <si>
    <t>CABO PARA SENSOR  3HAC72361</t>
  </si>
  <si>
    <t>CABO COM CONECTOR PVC 3X0,75</t>
  </si>
  <si>
    <t>CONJUNTO MOTOR E BOMBA DE RESINA RZR</t>
  </si>
  <si>
    <t>CABO SIEMENS 6XV1840-2HD10</t>
  </si>
  <si>
    <t>CHAVE COMUTADORA MAGIRIUS TRIPOLAR CR380</t>
  </si>
  <si>
    <t>ANEL DE COBRE 21X27X1,5</t>
  </si>
  <si>
    <t>ANEL DE COBRE 21X32X4</t>
  </si>
  <si>
    <t>ANEL DE COBRE 18X24X1,5</t>
  </si>
  <si>
    <t>ANEL DE COBRE 16X22X1,5</t>
  </si>
  <si>
    <t>ANEL DE COBRE 21X32X3</t>
  </si>
  <si>
    <t>ANEL ELASTICO PARA EIXO DE 28MM</t>
  </si>
  <si>
    <t>RETENTOR 15X30X7</t>
  </si>
  <si>
    <t>RETENTOR 40X55X8</t>
  </si>
  <si>
    <t>RETENTOR 35X52X7</t>
  </si>
  <si>
    <t>VEDAÇÃO DOS GICLES  TIPO 1</t>
  </si>
  <si>
    <t>VEDAÇÃO DOS GICLES  TIPO 2</t>
  </si>
  <si>
    <t>AGULHA DA PISTOLA DE COLA 1,8MM</t>
  </si>
  <si>
    <t>ELEMENTO FILTRANTE REXROTH 80. 130H10XL</t>
  </si>
  <si>
    <t xml:space="preserve">PEÇAS SOBRESSALENTES MAQUINA DE SOLDA ALTA FREQUENCIA </t>
  </si>
  <si>
    <t>VALVULA REGULADORA DE FLUXO 3/4"</t>
  </si>
  <si>
    <t>VALVULA ESFERA 1"</t>
  </si>
  <si>
    <t>VALVULA ESFERA 1,1/2"</t>
  </si>
  <si>
    <t>CONJUNTO PULSÃO  E PORCA PARA FERRAMENTA DE CORTE INNER</t>
  </si>
  <si>
    <t>TEFLON PARA ALTA TEMPERATURA SEM ADESIVO</t>
  </si>
  <si>
    <t>VALVULA ESFERA TRIPARTIDA PARA ÓLEO TERMICO 1/2"</t>
  </si>
  <si>
    <t>FILTRO EM Y LATÃO 1.1/2"</t>
  </si>
  <si>
    <t>VALVULA HIDRAULICA SIMPLES SOLENOIDE RETORNO POR MOLA 3/2 VIAS REXROT</t>
  </si>
  <si>
    <t>VALVULA DE RETENÇÃO 1" PARA AGUA</t>
  </si>
  <si>
    <t>ARRUELA PEQUENA PARA SETUP NORMA DIN</t>
  </si>
  <si>
    <t>ESPIGÃO ROSCA DE 1/2 MANG DE 1/2" X 1/2"</t>
  </si>
  <si>
    <t>ENGATE RAPIDO FEMEA 3/4"</t>
  </si>
  <si>
    <t>ENGATE RAPIDO FEMEA 1"</t>
  </si>
  <si>
    <t>SENSOR DE TEMPERATURA DA PISTOLA DO COLEIRO PT100</t>
  </si>
  <si>
    <t>VALVULA GLOBO  2"</t>
  </si>
  <si>
    <t>SILENCIADOR PNEUMATICO 1/8"</t>
  </si>
  <si>
    <t>VALVULA DE RETENÇÃO 1/2" COM VEDAÇÃO TEFLON</t>
  </si>
  <si>
    <t>PLACA ELETRONICA DO CLP 047-68969390</t>
  </si>
  <si>
    <t>MANGUEIRA TEFLON 6MM</t>
  </si>
  <si>
    <t>MANGUEIRA TEFLON REVESTIMENTO ACO 1/4 BSP 1000MM RABICHO</t>
  </si>
  <si>
    <t>MANGUEIRA TERMOPLASTICA  3/8' 2500MM</t>
  </si>
  <si>
    <t>MANGUEIRA HIDRAULICA 1/4  2M BSP</t>
  </si>
  <si>
    <t>MANGUEIRA DE BORRACHA 31 BAR 3/4"</t>
  </si>
  <si>
    <t>MANGUEIRA PARA AGUA 3/4"</t>
  </si>
  <si>
    <t>CORREIA DENTADA 1700H</t>
  </si>
  <si>
    <t>CORREIA DENTADA 360H</t>
  </si>
  <si>
    <t>CORREIA DENTADA T10-810AD</t>
  </si>
  <si>
    <t>CORREIA DENTADA T10-450</t>
  </si>
  <si>
    <t>CORREIA DENTADA T10-530</t>
  </si>
  <si>
    <t>CORREIA DENTADA BX381815</t>
  </si>
  <si>
    <t>CORREIA DENTADA BSX33</t>
  </si>
  <si>
    <t>CORREIA DENTADA T10660</t>
  </si>
  <si>
    <t>CORREIA DENTADA 14KJB</t>
  </si>
  <si>
    <t>CORREIA LISA 5L-380</t>
  </si>
  <si>
    <t>MANGUEIRA PARA AGUA 1"</t>
  </si>
  <si>
    <t>MIG/MAG 1.00KK 18G DIAMETRO 1,000MM</t>
  </si>
  <si>
    <t>T PVC AMANCO DN 42 NBR 15884</t>
  </si>
  <si>
    <t>SENSOR INDUTIVO BLINDADO 134439 NCB1,5-18GM60</t>
  </si>
  <si>
    <t>COPO LUBRIFIL PARA ÓLEO MEDIO 11474</t>
  </si>
  <si>
    <t>ORING 50X4,5X3</t>
  </si>
  <si>
    <t>RASPADOR 12-S</t>
  </si>
  <si>
    <t>ANEL DE TEFLON 25X59X3</t>
  </si>
  <si>
    <t>ROLAMENTO 6307 C3</t>
  </si>
  <si>
    <t>REGISTRO HIDRAULICO SW6</t>
  </si>
  <si>
    <t>VALVULA ESFERA 1,1/4"</t>
  </si>
  <si>
    <t>VALVULA ESFERA 3/4"</t>
  </si>
  <si>
    <t>TEFLON ALTA TEMPERATURA ADESIVADO</t>
  </si>
  <si>
    <t>REGISTRO ESFERA P/ ÓLEO TERMICO TRIPARTDA 3/4'</t>
  </si>
  <si>
    <t>VALVULA DE RETENÇÃO 3/8" BSP</t>
  </si>
  <si>
    <t>ENGATE RAPIDO MACHO 1'</t>
  </si>
  <si>
    <t>PONTA MONTADA A35</t>
  </si>
  <si>
    <t>PONTA MONTADA A24</t>
  </si>
  <si>
    <t>PONTA MONTADA B52</t>
  </si>
  <si>
    <t>10-jun-19</t>
  </si>
  <si>
    <t>11/06/2019</t>
  </si>
  <si>
    <t>11-jun-19</t>
  </si>
  <si>
    <t>?</t>
  </si>
  <si>
    <t>CORREIA LISA HTA 500-5M</t>
  </si>
  <si>
    <t>CORREIA LISA B-36</t>
  </si>
  <si>
    <t>CORREIA LISA A-37</t>
  </si>
  <si>
    <t>CORREIA LISA DU15-506</t>
  </si>
  <si>
    <t>CORREIA LISA 3L-380</t>
  </si>
  <si>
    <t>CORREIA LISA B38 17 X 9652</t>
  </si>
  <si>
    <t>CORREIA DENTADA TORQUE FLEX XPB 2410</t>
  </si>
  <si>
    <t>SUPORTE6</t>
  </si>
  <si>
    <t>BARREIRA DE LUZ SICK C40E-0604CA010  0,70 cm</t>
  </si>
  <si>
    <t>BARREIRA DE LUZ SCHMERSAL 19396501  0,90cm</t>
  </si>
  <si>
    <t>BARREIRA DE LUZ SICK C405-1503DA040 1,60cm</t>
  </si>
  <si>
    <t>BARREIRA DE LUZ SCIK DETEC 4 core 0,45cm</t>
  </si>
  <si>
    <t>BARREIRA DE LUZ SCIK C405-0303DA040 0,40cm</t>
  </si>
  <si>
    <t>BARREIRA DE LUZ SCIK 1203CU400 1,30cm</t>
  </si>
  <si>
    <t>BARREIRA DE LUZ SCIK C405-1804CA01D 1,90cm</t>
  </si>
  <si>
    <t>BARREIRA DE LUZ SCIK C465-04-03-CT400 0,50cm</t>
  </si>
  <si>
    <t>BARREIRA DE LUZ SCIK C40E-0303DB040 0,40cm</t>
  </si>
  <si>
    <t>BARREIRA DE LUZ SCHMERSAL 19397601 1,80cm</t>
  </si>
  <si>
    <t>LIXA D´AGUA 1,200</t>
  </si>
  <si>
    <t>H0-3-1</t>
  </si>
  <si>
    <t>LIXA D´AGUA 320</t>
  </si>
  <si>
    <t>H0-3-2</t>
  </si>
  <si>
    <t>12-jun-19</t>
  </si>
  <si>
    <t>NIPLE PVC ROSQUEADO  ROSCA2"</t>
  </si>
  <si>
    <t>CURVA R-CURTO 90° ROSQUEADA PVC 2"</t>
  </si>
  <si>
    <t>DISCO DESBASTE 1 METAL 203X19.0X31.75MM</t>
  </si>
  <si>
    <t>DISCO DESBASTE METAL 91011167</t>
  </si>
  <si>
    <t>DISCO DESBASTE METAL  203.2X19.0X31</t>
  </si>
  <si>
    <t>E0-2-2</t>
  </si>
  <si>
    <t>12/06/2019</t>
  </si>
  <si>
    <t>OK</t>
  </si>
  <si>
    <t>SERRALHERIA</t>
  </si>
  <si>
    <t>CONTADOR SCHMESAL ES 17.27.03</t>
  </si>
  <si>
    <t>BOTAO VI 500V ES 17.27.02</t>
  </si>
  <si>
    <t>ESTEIRA PORTA CABOS FB.370.75.175</t>
  </si>
  <si>
    <t>FITA VEDA ROSCA 18mm X 25m</t>
  </si>
  <si>
    <t>DISJUNTOR TRIPOLAR DZ47-63 LUKMA 50/60Hz</t>
  </si>
  <si>
    <t>BLOCO DE CONTATO AUXILIAR 3HR2911-1FA22</t>
  </si>
  <si>
    <t>CONTATO AUXILIAR IEC 60947 10A 10MM WEG</t>
  </si>
  <si>
    <t>CILINDRO DE ALTA PRESSÃO (FLAUTA/LINER-HP CYLINDER) EM CERAMICA PN20491603</t>
  </si>
  <si>
    <t>CAPA DO BICO ROBO COLA GTI PRO EFFICLENCY PN:ITW-PRO-102-TE40-K  DEVILBISS</t>
  </si>
  <si>
    <t>M10/11/12/15/16/37/38/39</t>
  </si>
  <si>
    <t>15/06/2019</t>
  </si>
  <si>
    <t>MOTOR TANQUE DE LAVAGEM  CALPEDA Z34146CA</t>
  </si>
  <si>
    <t>MISTURADOR (ABACAXI) C250 CANNAN</t>
  </si>
  <si>
    <t>BOMBA DE ATIVADOR GMD61D-40N-101Z-OUTPUT: 0,6 CC/VER.</t>
  </si>
  <si>
    <t>13/06/2109</t>
  </si>
  <si>
    <t>14/06/2019</t>
  </si>
  <si>
    <t>17/06/2019</t>
  </si>
  <si>
    <t>MECANICO</t>
  </si>
  <si>
    <t>EMPILHADEIRA</t>
  </si>
  <si>
    <t>MASCARA DE SOLDA MIG 5964</t>
  </si>
  <si>
    <t>FLANGER ROSCADO 1" ANSI B16.5 300LBS</t>
  </si>
  <si>
    <t>AMORTECEDOR MOLA GAS 1250N MG06 159 0422 1250K</t>
  </si>
  <si>
    <t>PRENSA CABO PG 16</t>
  </si>
  <si>
    <t>PRENSA CABO PG-7</t>
  </si>
  <si>
    <t>PRENSA CABO M20X1.5</t>
  </si>
  <si>
    <t>ELEMENTO  FILTRANTE ID5770</t>
  </si>
  <si>
    <t>ÓLEO TERMICO TAMBOR 200L DENSIDADE 100/1200</t>
  </si>
  <si>
    <t>LIMPA CONTATO SPRAY 7349  300ML WURTH</t>
  </si>
  <si>
    <t>MASSA ADESIVA EPOXI DUREPOXI LOCTITE 100g</t>
  </si>
  <si>
    <t>VASELINA SPRAY 250ml ORBI-5315</t>
  </si>
  <si>
    <t>TRAVA ROSCA LOCTITE 243 50G - MÉDIA RESISTÊNCIA - 1344482</t>
  </si>
  <si>
    <t>COLA TERMICA TIGRE BISNAGA75g</t>
  </si>
  <si>
    <t>ESPIGAO  EM  T  3/4"Emenda Espigão para Mangueira Tipo T 3/8 0838-C Haltbar</t>
  </si>
  <si>
    <t>ESPIGÃO PARA MANG DE 3/4"</t>
  </si>
  <si>
    <t>M27</t>
  </si>
  <si>
    <t xml:space="preserve">CORREDIÇA TELESCOPICA TM04232-A </t>
  </si>
  <si>
    <t>ALM00001</t>
  </si>
  <si>
    <t>ALM00002</t>
  </si>
  <si>
    <t>ALM00003</t>
  </si>
  <si>
    <t>ALM00004</t>
  </si>
  <si>
    <t>ALM00005</t>
  </si>
  <si>
    <t>ALM00006</t>
  </si>
  <si>
    <t>ALM00007</t>
  </si>
  <si>
    <t>ALM00008</t>
  </si>
  <si>
    <t>ALM00009</t>
  </si>
  <si>
    <t>ALM00010</t>
  </si>
  <si>
    <t>ALM00011</t>
  </si>
  <si>
    <t>ALM00012</t>
  </si>
  <si>
    <t>ALM00013</t>
  </si>
  <si>
    <t>ALM00014</t>
  </si>
  <si>
    <t>ALM00015</t>
  </si>
  <si>
    <t>ALM00016</t>
  </si>
  <si>
    <t>ALM00017</t>
  </si>
  <si>
    <t>ALM00018</t>
  </si>
  <si>
    <t>ALM00019</t>
  </si>
  <si>
    <t>ALM00020</t>
  </si>
  <si>
    <t>ALM00021</t>
  </si>
  <si>
    <t>ALM00022</t>
  </si>
  <si>
    <t>ALM00023</t>
  </si>
  <si>
    <t>ALM00024</t>
  </si>
  <si>
    <t>ALM00025</t>
  </si>
  <si>
    <t>ALM00026</t>
  </si>
  <si>
    <t>ALM00027</t>
  </si>
  <si>
    <t>ALM00028</t>
  </si>
  <si>
    <t>ALM00029</t>
  </si>
  <si>
    <t>ALM00030</t>
  </si>
  <si>
    <t>ALM00031</t>
  </si>
  <si>
    <t>ALM00032</t>
  </si>
  <si>
    <t>ALM00033</t>
  </si>
  <si>
    <t>ALM00034</t>
  </si>
  <si>
    <t>ALM00035</t>
  </si>
  <si>
    <t>ALM00036</t>
  </si>
  <si>
    <t>ALM00037</t>
  </si>
  <si>
    <t>ALM00038</t>
  </si>
  <si>
    <t>ALM00039</t>
  </si>
  <si>
    <t>ALM00040</t>
  </si>
  <si>
    <t>ALM00041</t>
  </si>
  <si>
    <t>ALM00042</t>
  </si>
  <si>
    <t>ALM00043</t>
  </si>
  <si>
    <t>ALM00044</t>
  </si>
  <si>
    <t>ALM00045</t>
  </si>
  <si>
    <t>ALM00046</t>
  </si>
  <si>
    <t>ALM00047</t>
  </si>
  <si>
    <t>ALM00048</t>
  </si>
  <si>
    <t>ALM00049</t>
  </si>
  <si>
    <t>ALM00050</t>
  </si>
  <si>
    <t>ALM00051</t>
  </si>
  <si>
    <t>ALM00052</t>
  </si>
  <si>
    <t>ALM00053</t>
  </si>
  <si>
    <t>ALM00054</t>
  </si>
  <si>
    <t>ALM00055</t>
  </si>
  <si>
    <t>ALM00056</t>
  </si>
  <si>
    <t>ALM00057</t>
  </si>
  <si>
    <t>ALM00058</t>
  </si>
  <si>
    <t>ALM00059</t>
  </si>
  <si>
    <t>ALM00060</t>
  </si>
  <si>
    <t>ALM00061</t>
  </si>
  <si>
    <t>ALM00062</t>
  </si>
  <si>
    <t>ALM00063</t>
  </si>
  <si>
    <t>ALM00064</t>
  </si>
  <si>
    <t>ALM00065</t>
  </si>
  <si>
    <t>ALM00066</t>
  </si>
  <si>
    <t>ALM00067</t>
  </si>
  <si>
    <t>ALM00068</t>
  </si>
  <si>
    <t>ALM00069</t>
  </si>
  <si>
    <t>ALM00070</t>
  </si>
  <si>
    <t>ALM00071</t>
  </si>
  <si>
    <t>ALM00072</t>
  </si>
  <si>
    <t>ALM00073</t>
  </si>
  <si>
    <t>ALM00074</t>
  </si>
  <si>
    <t>ALM00075</t>
  </si>
  <si>
    <t>ALM00076</t>
  </si>
  <si>
    <t>ALM00077</t>
  </si>
  <si>
    <t>ALM00078</t>
  </si>
  <si>
    <t>ALM00079</t>
  </si>
  <si>
    <t>ALM00080</t>
  </si>
  <si>
    <t>ALM00081</t>
  </si>
  <si>
    <t>ALM00082</t>
  </si>
  <si>
    <t>ALM00083</t>
  </si>
  <si>
    <t>ALM00084</t>
  </si>
  <si>
    <t>ALM00085</t>
  </si>
  <si>
    <t>ALM00086</t>
  </si>
  <si>
    <t>ALM00087</t>
  </si>
  <si>
    <t>ALM00088</t>
  </si>
  <si>
    <t>ALM00089</t>
  </si>
  <si>
    <t>ALM00090</t>
  </si>
  <si>
    <t>ALM00091</t>
  </si>
  <si>
    <t>ALM00092</t>
  </si>
  <si>
    <t>ALM00093</t>
  </si>
  <si>
    <t>ALM00094</t>
  </si>
  <si>
    <t>ALM00095</t>
  </si>
  <si>
    <t>ALM00096</t>
  </si>
  <si>
    <t>ALM00097</t>
  </si>
  <si>
    <t>ALM00098</t>
  </si>
  <si>
    <t>ALM00099</t>
  </si>
  <si>
    <t>ALM00100</t>
  </si>
  <si>
    <t>ALM00101</t>
  </si>
  <si>
    <t>ALM00102</t>
  </si>
  <si>
    <t>ALM00103</t>
  </si>
  <si>
    <t>ALM00104</t>
  </si>
  <si>
    <t>ALM00105</t>
  </si>
  <si>
    <t>ALM00106</t>
  </si>
  <si>
    <t>ALM00107</t>
  </si>
  <si>
    <t>ALM00108</t>
  </si>
  <si>
    <t>ALM00109</t>
  </si>
  <si>
    <t>ALM00110</t>
  </si>
  <si>
    <t>ALM00111</t>
  </si>
  <si>
    <t>ALM00112</t>
  </si>
  <si>
    <t>ALM00113</t>
  </si>
  <si>
    <t>ALM00114</t>
  </si>
  <si>
    <t>ALM00115</t>
  </si>
  <si>
    <t>ALM00116</t>
  </si>
  <si>
    <t>ALM00117</t>
  </si>
  <si>
    <t>ALM00118</t>
  </si>
  <si>
    <t>ALM00119</t>
  </si>
  <si>
    <t>ALM00120</t>
  </si>
  <si>
    <t>ALM00121</t>
  </si>
  <si>
    <t>ALM00122</t>
  </si>
  <si>
    <t>ALM00123</t>
  </si>
  <si>
    <t>ALM00124</t>
  </si>
  <si>
    <t>ALM00125</t>
  </si>
  <si>
    <t>ALM00126</t>
  </si>
  <si>
    <t>ALM00127</t>
  </si>
  <si>
    <t>ALM00128</t>
  </si>
  <si>
    <t>ALM00129</t>
  </si>
  <si>
    <t>ALM00130</t>
  </si>
  <si>
    <t>ALM00131</t>
  </si>
  <si>
    <t>ALM00132</t>
  </si>
  <si>
    <t>ALM00133</t>
  </si>
  <si>
    <t>ALM00134</t>
  </si>
  <si>
    <t>ALM00135</t>
  </si>
  <si>
    <t>ALM00136</t>
  </si>
  <si>
    <t>ALM00137</t>
  </si>
  <si>
    <t>ALM00138</t>
  </si>
  <si>
    <t>ALM00139</t>
  </si>
  <si>
    <t>ALM00140</t>
  </si>
  <si>
    <t>ALM00141</t>
  </si>
  <si>
    <t>ALM00142</t>
  </si>
  <si>
    <t>ALM00143</t>
  </si>
  <si>
    <t>ALM00144</t>
  </si>
  <si>
    <t>ALM00145</t>
  </si>
  <si>
    <t>ALM00146</t>
  </si>
  <si>
    <t>ALM00147</t>
  </si>
  <si>
    <t>ALM00148</t>
  </si>
  <si>
    <t>ALM00149</t>
  </si>
  <si>
    <t>ALM00150</t>
  </si>
  <si>
    <t>ALM00151</t>
  </si>
  <si>
    <t>ALM00152</t>
  </si>
  <si>
    <t>ALM00153</t>
  </si>
  <si>
    <t>ALM00154</t>
  </si>
  <si>
    <t>ALM00155</t>
  </si>
  <si>
    <t>ALM00156</t>
  </si>
  <si>
    <t>ALM00157</t>
  </si>
  <si>
    <t>ALM00158</t>
  </si>
  <si>
    <t>ALM00159</t>
  </si>
  <si>
    <t>ALM00160</t>
  </si>
  <si>
    <t>ALM00161</t>
  </si>
  <si>
    <t>ALM00162</t>
  </si>
  <si>
    <t>ALM00163</t>
  </si>
  <si>
    <t>ALM00164</t>
  </si>
  <si>
    <t>ALM00165</t>
  </si>
  <si>
    <t>ALM00166</t>
  </si>
  <si>
    <t>ALM00167</t>
  </si>
  <si>
    <t>ALM00168</t>
  </si>
  <si>
    <t>ALM00169</t>
  </si>
  <si>
    <t>ALM00170</t>
  </si>
  <si>
    <t>ALM00171</t>
  </si>
  <si>
    <t>ALM00172</t>
  </si>
  <si>
    <t>ALM00173</t>
  </si>
  <si>
    <t>ALM00174</t>
  </si>
  <si>
    <t>ALM00175</t>
  </si>
  <si>
    <t>ALM00176</t>
  </si>
  <si>
    <t>ALM00177</t>
  </si>
  <si>
    <t>ALM00178</t>
  </si>
  <si>
    <t>ALM00179</t>
  </si>
  <si>
    <t>ALM00180</t>
  </si>
  <si>
    <t>ALM00181</t>
  </si>
  <si>
    <t>ALM00182</t>
  </si>
  <si>
    <t>ALM00183</t>
  </si>
  <si>
    <t>ALM00184</t>
  </si>
  <si>
    <t>ALM00185</t>
  </si>
  <si>
    <t>ALM00186</t>
  </si>
  <si>
    <t>ALM00187</t>
  </si>
  <si>
    <t>ALM00188</t>
  </si>
  <si>
    <t>ALM00189</t>
  </si>
  <si>
    <t>ALM00190</t>
  </si>
  <si>
    <t>ALM00191</t>
  </si>
  <si>
    <t>ALM00192</t>
  </si>
  <si>
    <t>ALM00193</t>
  </si>
  <si>
    <t>ALM00194</t>
  </si>
  <si>
    <t>ALM00195</t>
  </si>
  <si>
    <t>ALM00196</t>
  </si>
  <si>
    <t>ALM00197</t>
  </si>
  <si>
    <t>ALM00198</t>
  </si>
  <si>
    <t>ALM00199</t>
  </si>
  <si>
    <t>ALM00200</t>
  </si>
  <si>
    <t>ALM00201</t>
  </si>
  <si>
    <t>ALM00202</t>
  </si>
  <si>
    <t>ALM00203</t>
  </si>
  <si>
    <t>ALM00204</t>
  </si>
  <si>
    <t>ALM00205</t>
  </si>
  <si>
    <t>ALM00206</t>
  </si>
  <si>
    <t>ALM00207</t>
  </si>
  <si>
    <t>ALM00208</t>
  </si>
  <si>
    <t>ALM00209</t>
  </si>
  <si>
    <t>ALM00210</t>
  </si>
  <si>
    <t>ALM00211</t>
  </si>
  <si>
    <t>ALM00212</t>
  </si>
  <si>
    <t>ALM00213</t>
  </si>
  <si>
    <t>ALM00214</t>
  </si>
  <si>
    <t>ALM00215</t>
  </si>
  <si>
    <t>ALM00216</t>
  </si>
  <si>
    <t>ALM00217</t>
  </si>
  <si>
    <t>ALM00218</t>
  </si>
  <si>
    <t>ALM00219</t>
  </si>
  <si>
    <t>ALM00220</t>
  </si>
  <si>
    <t>ALM00221</t>
  </si>
  <si>
    <t>ALM00222</t>
  </si>
  <si>
    <t>ALM00223</t>
  </si>
  <si>
    <t>ALM00224</t>
  </si>
  <si>
    <t>ALM00225</t>
  </si>
  <si>
    <t>ALM00226</t>
  </si>
  <si>
    <t>ALM00227</t>
  </si>
  <si>
    <t>ALM00228</t>
  </si>
  <si>
    <t>ALM00229</t>
  </si>
  <si>
    <t>ALM00230</t>
  </si>
  <si>
    <t>ALM00231</t>
  </si>
  <si>
    <t>ALM00232</t>
  </si>
  <si>
    <t>ALM00233</t>
  </si>
  <si>
    <t>ALM00234</t>
  </si>
  <si>
    <t>ALM00235</t>
  </si>
  <si>
    <t>ALM00236</t>
  </si>
  <si>
    <t>ALM00237</t>
  </si>
  <si>
    <t>ALM00238</t>
  </si>
  <si>
    <t>ALM00239</t>
  </si>
  <si>
    <t>ALM00240</t>
  </si>
  <si>
    <t>ALM00241</t>
  </si>
  <si>
    <t>ALM00242</t>
  </si>
  <si>
    <t>ALM00243</t>
  </si>
  <si>
    <t>ALM00244</t>
  </si>
  <si>
    <t>ALM00245</t>
  </si>
  <si>
    <t>ALM00246</t>
  </si>
  <si>
    <t>ALM00247</t>
  </si>
  <si>
    <t>ALM00248</t>
  </si>
  <si>
    <t>ALM00249</t>
  </si>
  <si>
    <t>ALM00250</t>
  </si>
  <si>
    <t>ALM00251</t>
  </si>
  <si>
    <t>ALM00252</t>
  </si>
  <si>
    <t>ALM00253</t>
  </si>
  <si>
    <t>ALM00254</t>
  </si>
  <si>
    <t>ALM00255</t>
  </si>
  <si>
    <t>ALM00256</t>
  </si>
  <si>
    <t>ALM00257</t>
  </si>
  <si>
    <t>ALM00258</t>
  </si>
  <si>
    <t>ALM00259</t>
  </si>
  <si>
    <t>ALM00260</t>
  </si>
  <si>
    <t>ALM00261</t>
  </si>
  <si>
    <t>ALM00262</t>
  </si>
  <si>
    <t>ALM00263</t>
  </si>
  <si>
    <t>ALM00264</t>
  </si>
  <si>
    <t>ALM00265</t>
  </si>
  <si>
    <t>ALM00266</t>
  </si>
  <si>
    <t>ALM00267</t>
  </si>
  <si>
    <t>ALM00268</t>
  </si>
  <si>
    <t>ALM00269</t>
  </si>
  <si>
    <t>ALM00270</t>
  </si>
  <si>
    <t>ALM00271</t>
  </si>
  <si>
    <t>ALM00272</t>
  </si>
  <si>
    <t>ALM00273</t>
  </si>
  <si>
    <t>ALM00274</t>
  </si>
  <si>
    <t>ALM00275</t>
  </si>
  <si>
    <t>ALM00276</t>
  </si>
  <si>
    <t>ALM00277</t>
  </si>
  <si>
    <t>ALM00278</t>
  </si>
  <si>
    <t>ALM00279</t>
  </si>
  <si>
    <t>ALM00280</t>
  </si>
  <si>
    <t>ALM00281</t>
  </si>
  <si>
    <t>ALM00282</t>
  </si>
  <si>
    <t>ALM00283</t>
  </si>
  <si>
    <t>ALM00284</t>
  </si>
  <si>
    <t>ALM00285</t>
  </si>
  <si>
    <t>ALM00286</t>
  </si>
  <si>
    <t>ALM00287</t>
  </si>
  <si>
    <t>ALM00288</t>
  </si>
  <si>
    <t>ALM00289</t>
  </si>
  <si>
    <t>ALM00290</t>
  </si>
  <si>
    <t>ALM00291</t>
  </si>
  <si>
    <t>ALM00292</t>
  </si>
  <si>
    <t>ALM00293</t>
  </si>
  <si>
    <t>ALM00294</t>
  </si>
  <si>
    <t>ALM00295</t>
  </si>
  <si>
    <t>ALM00296</t>
  </si>
  <si>
    <t>ALM00297</t>
  </si>
  <si>
    <t>ALM00298</t>
  </si>
  <si>
    <t>ALM00299</t>
  </si>
  <si>
    <t>ALM00300</t>
  </si>
  <si>
    <t>ALM00301</t>
  </si>
  <si>
    <t>ALM00302</t>
  </si>
  <si>
    <t>ALM00303</t>
  </si>
  <si>
    <t>ALM00304</t>
  </si>
  <si>
    <t>ALM00305</t>
  </si>
  <si>
    <t>ALM00306</t>
  </si>
  <si>
    <t>ALM00307</t>
  </si>
  <si>
    <t>ALM00308</t>
  </si>
  <si>
    <t>ALM00309</t>
  </si>
  <si>
    <t>ALM00310</t>
  </si>
  <si>
    <t>ALM00311</t>
  </si>
  <si>
    <t>ALM00312</t>
  </si>
  <si>
    <t>ALM00313</t>
  </si>
  <si>
    <t>ALM00314</t>
  </si>
  <si>
    <t>ALM00315</t>
  </si>
  <si>
    <t>ALM00316</t>
  </si>
  <si>
    <t>ALM00317</t>
  </si>
  <si>
    <t>ALM00318</t>
  </si>
  <si>
    <t>ALM00319</t>
  </si>
  <si>
    <t>ALM00320</t>
  </si>
  <si>
    <t>ALM00321</t>
  </si>
  <si>
    <t>ALM00322</t>
  </si>
  <si>
    <t>ALM00323</t>
  </si>
  <si>
    <t>ALM00324</t>
  </si>
  <si>
    <t>ALM00325</t>
  </si>
  <si>
    <t>ALM00326</t>
  </si>
  <si>
    <t>ALM00327</t>
  </si>
  <si>
    <t>ALM00328</t>
  </si>
  <si>
    <t>ALM00329</t>
  </si>
  <si>
    <t>ALM00330</t>
  </si>
  <si>
    <t>ALM00331</t>
  </si>
  <si>
    <t>ALM00332</t>
  </si>
  <si>
    <t>ALM00333</t>
  </si>
  <si>
    <t>ALM00334</t>
  </si>
  <si>
    <t>ALM00335</t>
  </si>
  <si>
    <t>ALM00336</t>
  </si>
  <si>
    <t>ALM00337</t>
  </si>
  <si>
    <t>ALM00338</t>
  </si>
  <si>
    <t>ALM00339</t>
  </si>
  <si>
    <t>ALM00340</t>
  </si>
  <si>
    <t>ALM00341</t>
  </si>
  <si>
    <t>ALM00342</t>
  </si>
  <si>
    <t>ALM00343</t>
  </si>
  <si>
    <t>ALM00344</t>
  </si>
  <si>
    <t>ALM00345</t>
  </si>
  <si>
    <t>ALM00346</t>
  </si>
  <si>
    <t>ALM00347</t>
  </si>
  <si>
    <t>ALM00348</t>
  </si>
  <si>
    <t>ALM00349</t>
  </si>
  <si>
    <t>ALM00350</t>
  </si>
  <si>
    <t>ALM00351</t>
  </si>
  <si>
    <t>ALM00352</t>
  </si>
  <si>
    <t>ALM00353</t>
  </si>
  <si>
    <t>ALM00354</t>
  </si>
  <si>
    <t>ALM00355</t>
  </si>
  <si>
    <t>ALM00356</t>
  </si>
  <si>
    <t>ALM00357</t>
  </si>
  <si>
    <t>ALM00358</t>
  </si>
  <si>
    <t>ALM00359</t>
  </si>
  <si>
    <t>ALM00360</t>
  </si>
  <si>
    <t>ALM00361</t>
  </si>
  <si>
    <t>ALM00362</t>
  </si>
  <si>
    <t>ALM00363</t>
  </si>
  <si>
    <t>ALM00364</t>
  </si>
  <si>
    <t>ALM00365</t>
  </si>
  <si>
    <t>ALM00366</t>
  </si>
  <si>
    <t>ALM00367</t>
  </si>
  <si>
    <t>ALM00368</t>
  </si>
  <si>
    <t>ALM00369</t>
  </si>
  <si>
    <t>ALM00370</t>
  </si>
  <si>
    <t>ALM00371</t>
  </si>
  <si>
    <t>ALM00372</t>
  </si>
  <si>
    <t>ALM00373</t>
  </si>
  <si>
    <t>ALM00374</t>
  </si>
  <si>
    <t>ALM00375</t>
  </si>
  <si>
    <t>ALM00376</t>
  </si>
  <si>
    <t>ALM00377</t>
  </si>
  <si>
    <t>ALM00378</t>
  </si>
  <si>
    <t>ALM00379</t>
  </si>
  <si>
    <t>ALM00380</t>
  </si>
  <si>
    <t>ALM00381</t>
  </si>
  <si>
    <t>ALM00382</t>
  </si>
  <si>
    <t>ALM00383</t>
  </si>
  <si>
    <t>ALM00384</t>
  </si>
  <si>
    <t>ALM00385</t>
  </si>
  <si>
    <t>ALM00386</t>
  </si>
  <si>
    <t>ALM00387</t>
  </si>
  <si>
    <t>ALM00388</t>
  </si>
  <si>
    <t>ALM00389</t>
  </si>
  <si>
    <t>ALM00390</t>
  </si>
  <si>
    <t>ALM00391</t>
  </si>
  <si>
    <t>ALM00392</t>
  </si>
  <si>
    <t>ALM00393</t>
  </si>
  <si>
    <t>ALM00394</t>
  </si>
  <si>
    <t>ALM00395</t>
  </si>
  <si>
    <t>ALM00396</t>
  </si>
  <si>
    <t>ALM00397</t>
  </si>
  <si>
    <t>ALM00398</t>
  </si>
  <si>
    <t>ALM00399</t>
  </si>
  <si>
    <t>ALM00400</t>
  </si>
  <si>
    <t>ALM00401</t>
  </si>
  <si>
    <t>ALM00402</t>
  </si>
  <si>
    <t>ALM00403</t>
  </si>
  <si>
    <t>ALM00404</t>
  </si>
  <si>
    <t>ALM00405</t>
  </si>
  <si>
    <t>ALM00406</t>
  </si>
  <si>
    <t>ALM00407</t>
  </si>
  <si>
    <t>ALM00408</t>
  </si>
  <si>
    <t>ALM00409</t>
  </si>
  <si>
    <t>ALM00410</t>
  </si>
  <si>
    <t>ALM00411</t>
  </si>
  <si>
    <t>ALM00412</t>
  </si>
  <si>
    <t>ALM00413</t>
  </si>
  <si>
    <t>ALM00414</t>
  </si>
  <si>
    <t>ALM00415</t>
  </si>
  <si>
    <t>ALM00416</t>
  </si>
  <si>
    <t>ALM00417</t>
  </si>
  <si>
    <t>ALM00418</t>
  </si>
  <si>
    <t>ALM00419</t>
  </si>
  <si>
    <t>ALM00420</t>
  </si>
  <si>
    <t>ALM00421</t>
  </si>
  <si>
    <t>ALM00422</t>
  </si>
  <si>
    <t>ALM00423</t>
  </si>
  <si>
    <t>ALM00424</t>
  </si>
  <si>
    <t>ALM00425</t>
  </si>
  <si>
    <t>ALM00426</t>
  </si>
  <si>
    <t>ALM00427</t>
  </si>
  <si>
    <t>ALM00428</t>
  </si>
  <si>
    <t>ALM00429</t>
  </si>
  <si>
    <t>ALM00430</t>
  </si>
  <si>
    <t>ALM00431</t>
  </si>
  <si>
    <t>ALM00432</t>
  </si>
  <si>
    <t>ALM00433</t>
  </si>
  <si>
    <t>ALM00434</t>
  </si>
  <si>
    <t>ALM00435</t>
  </si>
  <si>
    <t>ALM00436</t>
  </si>
  <si>
    <t>ALM00437</t>
  </si>
  <si>
    <t>ALM00438</t>
  </si>
  <si>
    <t>ALM00439</t>
  </si>
  <si>
    <t>ALM00440</t>
  </si>
  <si>
    <t>ALM00441</t>
  </si>
  <si>
    <t>ALM00442</t>
  </si>
  <si>
    <t>ALM00443</t>
  </si>
  <si>
    <t>ALM00444</t>
  </si>
  <si>
    <t>ALM00445</t>
  </si>
  <si>
    <t>ALM00446</t>
  </si>
  <si>
    <t>ALM00447</t>
  </si>
  <si>
    <t>ALM00448</t>
  </si>
  <si>
    <t>ALM00449</t>
  </si>
  <si>
    <t>ALM00450</t>
  </si>
  <si>
    <t>ALM00451</t>
  </si>
  <si>
    <t>ALM00452</t>
  </si>
  <si>
    <t>ALM00453</t>
  </si>
  <si>
    <t>ALM00454</t>
  </si>
  <si>
    <t>ALM00455</t>
  </si>
  <si>
    <t>ALM00456</t>
  </si>
  <si>
    <t>ALM00457</t>
  </si>
  <si>
    <t>ALM00458</t>
  </si>
  <si>
    <t>ALM00459</t>
  </si>
  <si>
    <t>ALM00460</t>
  </si>
  <si>
    <t>ALM00461</t>
  </si>
  <si>
    <t>ALM00462</t>
  </si>
  <si>
    <t>ALM00463</t>
  </si>
  <si>
    <t>ALM00464</t>
  </si>
  <si>
    <t>ALM00465</t>
  </si>
  <si>
    <t>ALM00466</t>
  </si>
  <si>
    <t>ALM00467</t>
  </si>
  <si>
    <t>ALM00468</t>
  </si>
  <si>
    <t>ALM00469</t>
  </si>
  <si>
    <t>ALM00470</t>
  </si>
  <si>
    <t>ALM00471</t>
  </si>
  <si>
    <t>ALM00472</t>
  </si>
  <si>
    <t>ALM00473</t>
  </si>
  <si>
    <t>ALM00474</t>
  </si>
  <si>
    <t>ALM00475</t>
  </si>
  <si>
    <t>ALM00476</t>
  </si>
  <si>
    <t>ALM00477</t>
  </si>
  <si>
    <t>ALM00478</t>
  </si>
  <si>
    <t>ALM00479</t>
  </si>
  <si>
    <t>ALM00480</t>
  </si>
  <si>
    <t>ALM00481</t>
  </si>
  <si>
    <t>ALM00482</t>
  </si>
  <si>
    <t>ALM00483</t>
  </si>
  <si>
    <t>ALM00484</t>
  </si>
  <si>
    <t>ALM00485</t>
  </si>
  <si>
    <t>ALM00486</t>
  </si>
  <si>
    <t>ALM00487</t>
  </si>
  <si>
    <t>ALM00488</t>
  </si>
  <si>
    <t>ALM00489</t>
  </si>
  <si>
    <t>ALM00490</t>
  </si>
  <si>
    <t>ALM00491</t>
  </si>
  <si>
    <t>ALM00492</t>
  </si>
  <si>
    <t>ALM00493</t>
  </si>
  <si>
    <t>ALM00494</t>
  </si>
  <si>
    <t>ALM00495</t>
  </si>
  <si>
    <t>ALM00496</t>
  </si>
  <si>
    <t>ALM00497</t>
  </si>
  <si>
    <t>ALM00498</t>
  </si>
  <si>
    <t>ALM00499</t>
  </si>
  <si>
    <t>ALM00500</t>
  </si>
  <si>
    <t>ALM00501</t>
  </si>
  <si>
    <t>ALM00502</t>
  </si>
  <si>
    <t>ALM00503</t>
  </si>
  <si>
    <t>ALM00504</t>
  </si>
  <si>
    <t>ALM00505</t>
  </si>
  <si>
    <t>ALM00506</t>
  </si>
  <si>
    <t>ALM00507</t>
  </si>
  <si>
    <t>ALM00508</t>
  </si>
  <si>
    <t>ALM00509</t>
  </si>
  <si>
    <t>ALM00510</t>
  </si>
  <si>
    <t>ALM00511</t>
  </si>
  <si>
    <t>ALM00512</t>
  </si>
  <si>
    <t>ALM00513</t>
  </si>
  <si>
    <t>ALM00514</t>
  </si>
  <si>
    <t>ALM00515</t>
  </si>
  <si>
    <t>ALM00516</t>
  </si>
  <si>
    <t>ALM00517</t>
  </si>
  <si>
    <t>ALM00518</t>
  </si>
  <si>
    <t>ALM00519</t>
  </si>
  <si>
    <t>ALM00520</t>
  </si>
  <si>
    <t>ALM00521</t>
  </si>
  <si>
    <t>ALM00522</t>
  </si>
  <si>
    <t>ALM00523</t>
  </si>
  <si>
    <t>ALM00524</t>
  </si>
  <si>
    <t>ALM00525</t>
  </si>
  <si>
    <t>ALM00526</t>
  </si>
  <si>
    <t>ALM00527</t>
  </si>
  <si>
    <t>ALM00528</t>
  </si>
  <si>
    <t>ALM00529</t>
  </si>
  <si>
    <t>ALM00530</t>
  </si>
  <si>
    <t>ALM00531</t>
  </si>
  <si>
    <t>ALM00532</t>
  </si>
  <si>
    <t>ALM00533</t>
  </si>
  <si>
    <t>ALM00534</t>
  </si>
  <si>
    <t>ALM00535</t>
  </si>
  <si>
    <t>ALM00536</t>
  </si>
  <si>
    <t>ALM00537</t>
  </si>
  <si>
    <t>ALM00538</t>
  </si>
  <si>
    <t>ALM00539</t>
  </si>
  <si>
    <t>ALM00540</t>
  </si>
  <si>
    <t>ALM00541</t>
  </si>
  <si>
    <t>ALM00542</t>
  </si>
  <si>
    <t>ALM00543</t>
  </si>
  <si>
    <t>ALM00544</t>
  </si>
  <si>
    <t>ALM00545</t>
  </si>
  <si>
    <t>ALM00546</t>
  </si>
  <si>
    <t>ALM00547</t>
  </si>
  <si>
    <t>ALM00548</t>
  </si>
  <si>
    <t>ALM00549</t>
  </si>
  <si>
    <t>ALM00550</t>
  </si>
  <si>
    <t>ALM00551</t>
  </si>
  <si>
    <t>ALM00552</t>
  </si>
  <si>
    <t>ALM00553</t>
  </si>
  <si>
    <t>ALM00554</t>
  </si>
  <si>
    <t>ALM00555</t>
  </si>
  <si>
    <t>ALM00556</t>
  </si>
  <si>
    <t>ALM00557</t>
  </si>
  <si>
    <t>ALM00558</t>
  </si>
  <si>
    <t>ALM00559</t>
  </si>
  <si>
    <t>ALM00560</t>
  </si>
  <si>
    <t>ALM00561</t>
  </si>
  <si>
    <t>ALM00562</t>
  </si>
  <si>
    <t>ALM00563</t>
  </si>
  <si>
    <t>ALM00564</t>
  </si>
  <si>
    <t>ALM00565</t>
  </si>
  <si>
    <t>ALM00566</t>
  </si>
  <si>
    <t>ALM00567</t>
  </si>
  <si>
    <t>ALM00568</t>
  </si>
  <si>
    <t>ALM00569</t>
  </si>
  <si>
    <t>ALM00570</t>
  </si>
  <si>
    <t>ALM00571</t>
  </si>
  <si>
    <t>ALM00572</t>
  </si>
  <si>
    <t>ALM00573</t>
  </si>
  <si>
    <t>ALM00574</t>
  </si>
  <si>
    <t>ALM00575</t>
  </si>
  <si>
    <t>ALM00576</t>
  </si>
  <si>
    <t>ALM00577</t>
  </si>
  <si>
    <t>ALM00578</t>
  </si>
  <si>
    <t>ALM00579</t>
  </si>
  <si>
    <t>ALM00580</t>
  </si>
  <si>
    <t>ALM00581</t>
  </si>
  <si>
    <t>ALM00582</t>
  </si>
  <si>
    <t>ALM00583</t>
  </si>
  <si>
    <t>ALM00584</t>
  </si>
  <si>
    <t>ALM00585</t>
  </si>
  <si>
    <t>ALM00586</t>
  </si>
  <si>
    <t>ALM00587</t>
  </si>
  <si>
    <t>ALM00588</t>
  </si>
  <si>
    <t>ALM00589</t>
  </si>
  <si>
    <t>ALM00590</t>
  </si>
  <si>
    <t>ALM00591</t>
  </si>
  <si>
    <t>ALM00592</t>
  </si>
  <si>
    <t>ALM00593</t>
  </si>
  <si>
    <t>ALM00594</t>
  </si>
  <si>
    <t>ALM00595</t>
  </si>
  <si>
    <t>ALM00596</t>
  </si>
  <si>
    <t>ALM00597</t>
  </si>
  <si>
    <t>ALM00598</t>
  </si>
  <si>
    <t>ALM00599</t>
  </si>
  <si>
    <t>ALM00600</t>
  </si>
  <si>
    <t>ALM00601</t>
  </si>
  <si>
    <t>ALM00602</t>
  </si>
  <si>
    <t>ALM00603</t>
  </si>
  <si>
    <t>ALM00604</t>
  </si>
  <si>
    <t>ALM00605</t>
  </si>
  <si>
    <t>ALM00606</t>
  </si>
  <si>
    <t>ALM00607</t>
  </si>
  <si>
    <t>ALM00608</t>
  </si>
  <si>
    <t>ALM00609</t>
  </si>
  <si>
    <t>ALM00610</t>
  </si>
  <si>
    <t>ALM00611</t>
  </si>
  <si>
    <t>ALM00612</t>
  </si>
  <si>
    <t>ALM00613</t>
  </si>
  <si>
    <t>ALM00614</t>
  </si>
  <si>
    <t>ALM00615</t>
  </si>
  <si>
    <t>ALM00616</t>
  </si>
  <si>
    <t>ALM00617</t>
  </si>
  <si>
    <t>ALM00618</t>
  </si>
  <si>
    <t>ALM00619</t>
  </si>
  <si>
    <t>ALM00620</t>
  </si>
  <si>
    <t>ALM00621</t>
  </si>
  <si>
    <t>ALM00622</t>
  </si>
  <si>
    <t>ALM00623</t>
  </si>
  <si>
    <t>ALM00624</t>
  </si>
  <si>
    <t>ALM00625</t>
  </si>
  <si>
    <t>ALM00626</t>
  </si>
  <si>
    <t>ALM00627</t>
  </si>
  <si>
    <t>ALM00628</t>
  </si>
  <si>
    <t>ALM00629</t>
  </si>
  <si>
    <t>ALM00630</t>
  </si>
  <si>
    <t>ALM00631</t>
  </si>
  <si>
    <t>ALM00632</t>
  </si>
  <si>
    <t>ALM00633</t>
  </si>
  <si>
    <t>ALM00634</t>
  </si>
  <si>
    <t>ALM00635</t>
  </si>
  <si>
    <t>ALM00636</t>
  </si>
  <si>
    <t>ALM00637</t>
  </si>
  <si>
    <t>ALM00638</t>
  </si>
  <si>
    <t>ALM00639</t>
  </si>
  <si>
    <t>ALM00640</t>
  </si>
  <si>
    <t>ALM00641</t>
  </si>
  <si>
    <t>ALM00642</t>
  </si>
  <si>
    <t>ALM00643</t>
  </si>
  <si>
    <t>ALM00644</t>
  </si>
  <si>
    <t>ALM00645</t>
  </si>
  <si>
    <t>ALM00646</t>
  </si>
  <si>
    <t>ALM00647</t>
  </si>
  <si>
    <t>ALM00648</t>
  </si>
  <si>
    <t>ALM00649</t>
  </si>
  <si>
    <t>ALM00650</t>
  </si>
  <si>
    <t>ALM00651</t>
  </si>
  <si>
    <t>ALM00652</t>
  </si>
  <si>
    <t>ALM00653</t>
  </si>
  <si>
    <t>ALM00654</t>
  </si>
  <si>
    <t>ALM00655</t>
  </si>
  <si>
    <t>ALM00656</t>
  </si>
  <si>
    <t>ALM00657</t>
  </si>
  <si>
    <t>ALM00658</t>
  </si>
  <si>
    <t>ALM00659</t>
  </si>
  <si>
    <t>ALM00660</t>
  </si>
  <si>
    <t>ALM00661</t>
  </si>
  <si>
    <t>ALM00662</t>
  </si>
  <si>
    <t>ALM00663</t>
  </si>
  <si>
    <t>ALM00664</t>
  </si>
  <si>
    <t>ALM00665</t>
  </si>
  <si>
    <t>ALM00666</t>
  </si>
  <si>
    <t>ALM00667</t>
  </si>
  <si>
    <t>ALM00668</t>
  </si>
  <si>
    <t>ALM00669</t>
  </si>
  <si>
    <t>ALM00670</t>
  </si>
  <si>
    <t>ALM00671</t>
  </si>
  <si>
    <t>ALM00672</t>
  </si>
  <si>
    <t>ALM00673</t>
  </si>
  <si>
    <t>ALM00674</t>
  </si>
  <si>
    <t>ALM00675</t>
  </si>
  <si>
    <t>ALM00676</t>
  </si>
  <si>
    <t>ALM00677</t>
  </si>
  <si>
    <t>ALM00678</t>
  </si>
  <si>
    <t>ALM00679</t>
  </si>
  <si>
    <t>ALM00680</t>
  </si>
  <si>
    <t>ALM00681</t>
  </si>
  <si>
    <t>ALM00682</t>
  </si>
  <si>
    <t>ALM00683</t>
  </si>
  <si>
    <t>ALM00684</t>
  </si>
  <si>
    <t>ALM00685</t>
  </si>
  <si>
    <t>ALM00686</t>
  </si>
  <si>
    <t>ALM00687</t>
  </si>
  <si>
    <t>ALM00688</t>
  </si>
  <si>
    <t>ALM00689</t>
  </si>
  <si>
    <t>ALM00690</t>
  </si>
  <si>
    <t>ALM00691</t>
  </si>
  <si>
    <t>ALM00692</t>
  </si>
  <si>
    <t>ALM00693</t>
  </si>
  <si>
    <t>ALM00694</t>
  </si>
  <si>
    <t>ALM00695</t>
  </si>
  <si>
    <t>ALM00696</t>
  </si>
  <si>
    <t>ALM00697</t>
  </si>
  <si>
    <t>ALM00698</t>
  </si>
  <si>
    <t>ALM00699</t>
  </si>
  <si>
    <t>ALM00700</t>
  </si>
  <si>
    <t>ALM00701</t>
  </si>
  <si>
    <t>ALM00702</t>
  </si>
  <si>
    <t>ALM00703</t>
  </si>
  <si>
    <t>ALM00704</t>
  </si>
  <si>
    <t>ALM00705</t>
  </si>
  <si>
    <t>ALM00706</t>
  </si>
  <si>
    <t>ALM00707</t>
  </si>
  <si>
    <t>ALM00708</t>
  </si>
  <si>
    <t>ALM00709</t>
  </si>
  <si>
    <t>ALM00710</t>
  </si>
  <si>
    <t>ALM00711</t>
  </si>
  <si>
    <t>ALM00712</t>
  </si>
  <si>
    <t>ALM00713</t>
  </si>
  <si>
    <t>ALM00714</t>
  </si>
  <si>
    <t>ALM00715</t>
  </si>
  <si>
    <t>ALM00716</t>
  </si>
  <si>
    <t>ALM00717</t>
  </si>
  <si>
    <t>ALM00718</t>
  </si>
  <si>
    <t>ALM00719</t>
  </si>
  <si>
    <t>ALM00720</t>
  </si>
  <si>
    <t>ALM00721</t>
  </si>
  <si>
    <t>ALM00722</t>
  </si>
  <si>
    <t>ALM00723</t>
  </si>
  <si>
    <t>ALM00724</t>
  </si>
  <si>
    <t>ALM00725</t>
  </si>
  <si>
    <t>ALM00726</t>
  </si>
  <si>
    <t>ALM00727</t>
  </si>
  <si>
    <t>ALM00728</t>
  </si>
  <si>
    <t>ALM00729</t>
  </si>
  <si>
    <t>ALM00730</t>
  </si>
  <si>
    <t>ALM00731</t>
  </si>
  <si>
    <t>ALM00732</t>
  </si>
  <si>
    <t>ALM00733</t>
  </si>
  <si>
    <t>ALM00734</t>
  </si>
  <si>
    <t>ALM00735</t>
  </si>
  <si>
    <t>ALM00736</t>
  </si>
  <si>
    <t>ALM00737</t>
  </si>
  <si>
    <t>ALM00738</t>
  </si>
  <si>
    <t>ALM00739</t>
  </si>
  <si>
    <t>ALM00740</t>
  </si>
  <si>
    <t>ALM00741</t>
  </si>
  <si>
    <t>ALM00742</t>
  </si>
  <si>
    <t>ALM00743</t>
  </si>
  <si>
    <t>ALM00744</t>
  </si>
  <si>
    <t>ALM00745</t>
  </si>
  <si>
    <t>ALM00746</t>
  </si>
  <si>
    <t>ALM00747</t>
  </si>
  <si>
    <t>ALM00748</t>
  </si>
  <si>
    <t>ALM00749</t>
  </si>
  <si>
    <t>ALM00750</t>
  </si>
  <si>
    <t>ALM00751</t>
  </si>
  <si>
    <t>ALM00752</t>
  </si>
  <si>
    <t>ALM00753</t>
  </si>
  <si>
    <t>ALM00754</t>
  </si>
  <si>
    <t>ALM00755</t>
  </si>
  <si>
    <t>ALM00756</t>
  </si>
  <si>
    <t>ALM00757</t>
  </si>
  <si>
    <t>ALM00758</t>
  </si>
  <si>
    <t>ALM00759</t>
  </si>
  <si>
    <t>ALM00760</t>
  </si>
  <si>
    <t>ALM00761</t>
  </si>
  <si>
    <t>ALM00762</t>
  </si>
  <si>
    <t>ALM00763</t>
  </si>
  <si>
    <t>ALM00764</t>
  </si>
  <si>
    <t>ALM00765</t>
  </si>
  <si>
    <t>ALM00766</t>
  </si>
  <si>
    <t>ALM00767</t>
  </si>
  <si>
    <t>ALM00768</t>
  </si>
  <si>
    <t>ALM00769</t>
  </si>
  <si>
    <t>ALM00770</t>
  </si>
  <si>
    <t>ALM00771</t>
  </si>
  <si>
    <t>ALM00772</t>
  </si>
  <si>
    <t>ALM00773</t>
  </si>
  <si>
    <t>ALM00774</t>
  </si>
  <si>
    <t>ALM00775</t>
  </si>
  <si>
    <t>ALM00776</t>
  </si>
  <si>
    <t>ALM00777</t>
  </si>
  <si>
    <t>ALM00778</t>
  </si>
  <si>
    <t>ALM00779</t>
  </si>
  <si>
    <t>ALM00780</t>
  </si>
  <si>
    <t>ALM00781</t>
  </si>
  <si>
    <t>ALM00782</t>
  </si>
  <si>
    <t>ALM00783</t>
  </si>
  <si>
    <t>ALM00784</t>
  </si>
  <si>
    <t>ALM00785</t>
  </si>
  <si>
    <t>ALM00786</t>
  </si>
  <si>
    <t>ALM00787</t>
  </si>
  <si>
    <t>ALM00788</t>
  </si>
  <si>
    <t>ALM00789</t>
  </si>
  <si>
    <t>ALM00790</t>
  </si>
  <si>
    <t>ALM00791</t>
  </si>
  <si>
    <t>ALM00792</t>
  </si>
  <si>
    <t>ALM00793</t>
  </si>
  <si>
    <t>ALM00794</t>
  </si>
  <si>
    <t>ALM00795</t>
  </si>
  <si>
    <t>ALM00796</t>
  </si>
  <si>
    <t>ALM00797</t>
  </si>
  <si>
    <t>ALM00798</t>
  </si>
  <si>
    <t>ALM00799</t>
  </si>
  <si>
    <t>ALM00800</t>
  </si>
  <si>
    <t>ALM00801</t>
  </si>
  <si>
    <t>ALM00802</t>
  </si>
  <si>
    <t>ALM00803</t>
  </si>
  <si>
    <t>ALM00804</t>
  </si>
  <si>
    <t>ALM00805</t>
  </si>
  <si>
    <t>ALM00806</t>
  </si>
  <si>
    <t>ALM00807</t>
  </si>
  <si>
    <t>ALM00808</t>
  </si>
  <si>
    <t>ALM00809</t>
  </si>
  <si>
    <t>ALM00810</t>
  </si>
  <si>
    <t>ALM00811</t>
  </si>
  <si>
    <t>ALM00812</t>
  </si>
  <si>
    <t>ALM00813</t>
  </si>
  <si>
    <t>ALM00814</t>
  </si>
  <si>
    <t>ALM00815</t>
  </si>
  <si>
    <t>ALM00816</t>
  </si>
  <si>
    <t>ALM00817</t>
  </si>
  <si>
    <t>ALM00818</t>
  </si>
  <si>
    <t>ALM00819</t>
  </si>
  <si>
    <t>ALM00820</t>
  </si>
  <si>
    <t>ALM00821</t>
  </si>
  <si>
    <t>ALM00822</t>
  </si>
  <si>
    <t>ALM00823</t>
  </si>
  <si>
    <t>ALM00824</t>
  </si>
  <si>
    <t>ALM00825</t>
  </si>
  <si>
    <t>ALM00826</t>
  </si>
  <si>
    <t>ALM00827</t>
  </si>
  <si>
    <t>ALM00828</t>
  </si>
  <si>
    <t>ALM00829</t>
  </si>
  <si>
    <t>ALM00830</t>
  </si>
  <si>
    <t>ALM00831</t>
  </si>
  <si>
    <t>ALM00832</t>
  </si>
  <si>
    <t>ALM00833</t>
  </si>
  <si>
    <t>ALM00834</t>
  </si>
  <si>
    <t>ALM00835</t>
  </si>
  <si>
    <t>ALM00836</t>
  </si>
  <si>
    <t>ALM00837</t>
  </si>
  <si>
    <t>ALM00838</t>
  </si>
  <si>
    <t>ALM00839</t>
  </si>
  <si>
    <t>ALM00840</t>
  </si>
  <si>
    <t>ALM00841</t>
  </si>
  <si>
    <t>ALM00842</t>
  </si>
  <si>
    <t>ALM00843</t>
  </si>
  <si>
    <t>ALM00844</t>
  </si>
  <si>
    <t>ALM00845</t>
  </si>
  <si>
    <t>ALM00846</t>
  </si>
  <si>
    <t>ALM00847</t>
  </si>
  <si>
    <t>ALM00848</t>
  </si>
  <si>
    <t>ALM00849</t>
  </si>
  <si>
    <t>ALM00850</t>
  </si>
  <si>
    <t>ALM00851</t>
  </si>
  <si>
    <t>ALM00852</t>
  </si>
  <si>
    <t>ALM00853</t>
  </si>
  <si>
    <t>ALM00854</t>
  </si>
  <si>
    <t>ALM00855</t>
  </si>
  <si>
    <t>ALM00856</t>
  </si>
  <si>
    <t>ALM00857</t>
  </si>
  <si>
    <t>ALM00858</t>
  </si>
  <si>
    <t>ALM00859</t>
  </si>
  <si>
    <t>ALM00860</t>
  </si>
  <si>
    <t>ALM00861</t>
  </si>
  <si>
    <t>ALM00862</t>
  </si>
  <si>
    <t>ALM00863</t>
  </si>
  <si>
    <t>ALM00864</t>
  </si>
  <si>
    <t>ALM00865</t>
  </si>
  <si>
    <t>ALM00866</t>
  </si>
  <si>
    <t>ALM00867</t>
  </si>
  <si>
    <t>ALM00868</t>
  </si>
  <si>
    <t>ALM00869</t>
  </si>
  <si>
    <t>ALM00870</t>
  </si>
  <si>
    <t>ALM00871</t>
  </si>
  <si>
    <t>ALM00872</t>
  </si>
  <si>
    <t>ALM00873</t>
  </si>
  <si>
    <t>ALM00874</t>
  </si>
  <si>
    <t>ALM00875</t>
  </si>
  <si>
    <t>ALM00876</t>
  </si>
  <si>
    <t>ALM00877</t>
  </si>
  <si>
    <t>ALM00878</t>
  </si>
  <si>
    <t>ALM00879</t>
  </si>
  <si>
    <t>ALM00880</t>
  </si>
  <si>
    <t>ALM00881</t>
  </si>
  <si>
    <t>ALM00882</t>
  </si>
  <si>
    <t>ALM00883</t>
  </si>
  <si>
    <t>ALM00884</t>
  </si>
  <si>
    <t>ALM00885</t>
  </si>
  <si>
    <t>ALM00886</t>
  </si>
  <si>
    <t>ALM00887</t>
  </si>
  <si>
    <t>ALM00888</t>
  </si>
  <si>
    <t>ALM00889</t>
  </si>
  <si>
    <t>ALM00890</t>
  </si>
  <si>
    <t>ALM00891</t>
  </si>
  <si>
    <t>ALM00892</t>
  </si>
  <si>
    <t>ALM00893</t>
  </si>
  <si>
    <t>ALM00894</t>
  </si>
  <si>
    <t>ALM00895</t>
  </si>
  <si>
    <t>ALM00896</t>
  </si>
  <si>
    <t>ALM00897</t>
  </si>
  <si>
    <t>ALM00898</t>
  </si>
  <si>
    <t>ALM00899</t>
  </si>
  <si>
    <t>ALM00900</t>
  </si>
  <si>
    <t>ALM00901</t>
  </si>
  <si>
    <t>ALM00902</t>
  </si>
  <si>
    <t>ALM00903</t>
  </si>
  <si>
    <t>ALM00904</t>
  </si>
  <si>
    <t>ALM00905</t>
  </si>
  <si>
    <t>ALM00906</t>
  </si>
  <si>
    <t>ALM00907</t>
  </si>
  <si>
    <t>ALM00908</t>
  </si>
  <si>
    <t>ALM00909</t>
  </si>
  <si>
    <t>ALM00910</t>
  </si>
  <si>
    <t>ALM00911</t>
  </si>
  <si>
    <t>ALM00912</t>
  </si>
  <si>
    <t>ALM00913</t>
  </si>
  <si>
    <t>ALM00914</t>
  </si>
  <si>
    <t>ALM00915</t>
  </si>
  <si>
    <t>ALM00916</t>
  </si>
  <si>
    <t>ALM00917</t>
  </si>
  <si>
    <t>ALM00918</t>
  </si>
  <si>
    <t>ALM00919</t>
  </si>
  <si>
    <t>ALM00920</t>
  </si>
  <si>
    <t>ALM00921</t>
  </si>
  <si>
    <t>ALM00922</t>
  </si>
  <si>
    <t>ALM00923</t>
  </si>
  <si>
    <t>ALM00924</t>
  </si>
  <si>
    <t>ALM00925</t>
  </si>
  <si>
    <t>ALM00926</t>
  </si>
  <si>
    <t>ALM00927</t>
  </si>
  <si>
    <t>ALM00928</t>
  </si>
  <si>
    <t>ALM00929</t>
  </si>
  <si>
    <t>ALM00930</t>
  </si>
  <si>
    <t>ALM00931</t>
  </si>
  <si>
    <t>ALM00932</t>
  </si>
  <si>
    <t>ALM00933</t>
  </si>
  <si>
    <t>ALM00934</t>
  </si>
  <si>
    <t>ALM00935</t>
  </si>
  <si>
    <t>ALM00936</t>
  </si>
  <si>
    <t>ALM00937</t>
  </si>
  <si>
    <t>ALM00938</t>
  </si>
  <si>
    <t>ALM00939</t>
  </si>
  <si>
    <t>ALM00940</t>
  </si>
  <si>
    <t>ALM00941</t>
  </si>
  <si>
    <t>ALM00942</t>
  </si>
  <si>
    <t>ALM00943</t>
  </si>
  <si>
    <t>ALM00944</t>
  </si>
  <si>
    <t>ALM00945</t>
  </si>
  <si>
    <t>ALM00946</t>
  </si>
  <si>
    <t>ALM00947</t>
  </si>
  <si>
    <t>ALM00948</t>
  </si>
  <si>
    <t>ALM00949</t>
  </si>
  <si>
    <t>ALM00950</t>
  </si>
  <si>
    <t>ALM00951</t>
  </si>
  <si>
    <t>ALM00952</t>
  </si>
  <si>
    <t>ALM00953</t>
  </si>
  <si>
    <t>ALM00954</t>
  </si>
  <si>
    <t>ALM00955</t>
  </si>
  <si>
    <t>ALM00956</t>
  </si>
  <si>
    <t>ALM00957</t>
  </si>
  <si>
    <t>ALM00958</t>
  </si>
  <si>
    <t>ALM00959</t>
  </si>
  <si>
    <t>ALM00960</t>
  </si>
  <si>
    <t>ALM00961</t>
  </si>
  <si>
    <t>ALM00962</t>
  </si>
  <si>
    <t>ALM00963</t>
  </si>
  <si>
    <t>ALM00964</t>
  </si>
  <si>
    <t>ALM00965</t>
  </si>
  <si>
    <t>ALM00966</t>
  </si>
  <si>
    <t>ALM00967</t>
  </si>
  <si>
    <t>ALM00968</t>
  </si>
  <si>
    <t>ALM00969</t>
  </si>
  <si>
    <t>ALM00970</t>
  </si>
  <si>
    <t>ALM00971</t>
  </si>
  <si>
    <t>ALM00972</t>
  </si>
  <si>
    <t>ALM00973</t>
  </si>
  <si>
    <t>ALM00974</t>
  </si>
  <si>
    <t>ALM00975</t>
  </si>
  <si>
    <t>ALM00976</t>
  </si>
  <si>
    <t>ALM00977</t>
  </si>
  <si>
    <t>ALM00978</t>
  </si>
  <si>
    <t>ALM00979</t>
  </si>
  <si>
    <t>ALM00980</t>
  </si>
  <si>
    <t>ALM00981</t>
  </si>
  <si>
    <t>ALM00982</t>
  </si>
  <si>
    <t>ALM00983</t>
  </si>
  <si>
    <t>ALM00984</t>
  </si>
  <si>
    <t>ALM00985</t>
  </si>
  <si>
    <t>ALM00986</t>
  </si>
  <si>
    <t>ALM00987</t>
  </si>
  <si>
    <t>ALM00988</t>
  </si>
  <si>
    <t>ALM00989</t>
  </si>
  <si>
    <t>ALM00990</t>
  </si>
  <si>
    <t>ALM00991</t>
  </si>
  <si>
    <t>ALM00992</t>
  </si>
  <si>
    <t>ALM00993</t>
  </si>
  <si>
    <t>ALM00994</t>
  </si>
  <si>
    <t>ALM00995</t>
  </si>
  <si>
    <t>ALM00996</t>
  </si>
  <si>
    <t>ALM00997</t>
  </si>
  <si>
    <t>ALM00998</t>
  </si>
  <si>
    <t>ALM00999</t>
  </si>
  <si>
    <t>ALM01000</t>
  </si>
  <si>
    <t>ALM01001</t>
  </si>
  <si>
    <t>ALM01002</t>
  </si>
  <si>
    <t>ALM01003</t>
  </si>
  <si>
    <t>ALM01004</t>
  </si>
  <si>
    <t>ALM01005</t>
  </si>
  <si>
    <t>ALM01006</t>
  </si>
  <si>
    <t>ALM01007</t>
  </si>
  <si>
    <t>ALM01008</t>
  </si>
  <si>
    <t>ALM01009</t>
  </si>
  <si>
    <t>ALM01010</t>
  </si>
  <si>
    <t>ALM01011</t>
  </si>
  <si>
    <t>ALM01012</t>
  </si>
  <si>
    <t>ALM01013</t>
  </si>
  <si>
    <t>ALM01014</t>
  </si>
  <si>
    <t>ALM01015</t>
  </si>
  <si>
    <t>ALM01016</t>
  </si>
  <si>
    <t>ALM01017</t>
  </si>
  <si>
    <t>ALM01018</t>
  </si>
  <si>
    <t>ALM01019</t>
  </si>
  <si>
    <t>ALM01020</t>
  </si>
  <si>
    <t>ALM01021</t>
  </si>
  <si>
    <t>ALM01022</t>
  </si>
  <si>
    <t>ALM01023</t>
  </si>
  <si>
    <t>ALM01024</t>
  </si>
  <si>
    <t>ALM01025</t>
  </si>
  <si>
    <t>ALM01026</t>
  </si>
  <si>
    <t>ALM01027</t>
  </si>
  <si>
    <t>ALM01028</t>
  </si>
  <si>
    <t>ALM01029</t>
  </si>
  <si>
    <t>ALM01030</t>
  </si>
  <si>
    <t>ALM01031</t>
  </si>
  <si>
    <t>ALM01032</t>
  </si>
  <si>
    <t>ALM01033</t>
  </si>
  <si>
    <t>ALM01034</t>
  </si>
  <si>
    <t>ALM01035</t>
  </si>
  <si>
    <t>ALM01036</t>
  </si>
  <si>
    <t>ALM01037</t>
  </si>
  <si>
    <t>ALM01038</t>
  </si>
  <si>
    <t>ALM01039</t>
  </si>
  <si>
    <t>ALM01040</t>
  </si>
  <si>
    <t>ALM01041</t>
  </si>
  <si>
    <t>ALM01042</t>
  </si>
  <si>
    <t>ALM01043</t>
  </si>
  <si>
    <t>ALM01044</t>
  </si>
  <si>
    <t>ALM01045</t>
  </si>
  <si>
    <t>ALM01046</t>
  </si>
  <si>
    <t>ALM01047</t>
  </si>
  <si>
    <t>ALM01048</t>
  </si>
  <si>
    <t>ALM01049</t>
  </si>
  <si>
    <t>ALM01050</t>
  </si>
  <si>
    <t>ALM01051</t>
  </si>
  <si>
    <t>ALM01052</t>
  </si>
  <si>
    <t>ALM01053</t>
  </si>
  <si>
    <t>ALM01054</t>
  </si>
  <si>
    <t>ALM01055</t>
  </si>
  <si>
    <t>ALM01056</t>
  </si>
  <si>
    <t>ALM01057</t>
  </si>
  <si>
    <t>ALM01058</t>
  </si>
  <si>
    <t>ALM01059</t>
  </si>
  <si>
    <t>ALM01060</t>
  </si>
  <si>
    <t>ALM01061</t>
  </si>
  <si>
    <t>ALM01062</t>
  </si>
  <si>
    <t>ALM01063</t>
  </si>
  <si>
    <t>ALM01064</t>
  </si>
  <si>
    <t>ALM01065</t>
  </si>
  <si>
    <t>ALM01066</t>
  </si>
  <si>
    <t>ALM01067</t>
  </si>
  <si>
    <t>ALM01068</t>
  </si>
  <si>
    <t>ALM01069</t>
  </si>
  <si>
    <t>ALM01070</t>
  </si>
  <si>
    <t>ALM01071</t>
  </si>
  <si>
    <t>ALM01072</t>
  </si>
  <si>
    <t>ALM01073</t>
  </si>
  <si>
    <t>ALM01074</t>
  </si>
  <si>
    <t>ALM01075</t>
  </si>
  <si>
    <t>ALM01076</t>
  </si>
  <si>
    <t>ALM01077</t>
  </si>
  <si>
    <t>ALM01078</t>
  </si>
  <si>
    <t>ALM01079</t>
  </si>
  <si>
    <t>ALM01080</t>
  </si>
  <si>
    <t>ALM01081</t>
  </si>
  <si>
    <t>ALM01082</t>
  </si>
  <si>
    <t>ALM01083</t>
  </si>
  <si>
    <t>ALM01084</t>
  </si>
  <si>
    <t>ALM01085</t>
  </si>
  <si>
    <t>ALM01086</t>
  </si>
  <si>
    <t>ALM01087</t>
  </si>
  <si>
    <t>ALM01088</t>
  </si>
  <si>
    <t>ALM01089</t>
  </si>
  <si>
    <t>ALM01090</t>
  </si>
  <si>
    <t>ALM01091</t>
  </si>
  <si>
    <t>ALM01092</t>
  </si>
  <si>
    <t>ALM01093</t>
  </si>
  <si>
    <t>ALM01094</t>
  </si>
  <si>
    <t>ALM01095</t>
  </si>
  <si>
    <t>ALM01096</t>
  </si>
  <si>
    <t>ALM01097</t>
  </si>
  <si>
    <t>ALM01098</t>
  </si>
  <si>
    <t>ALM01099</t>
  </si>
  <si>
    <t>ALM01100</t>
  </si>
  <si>
    <t>ALM01101</t>
  </si>
  <si>
    <t>ALM01102</t>
  </si>
  <si>
    <t>ALM01103</t>
  </si>
  <si>
    <t>ALM01104</t>
  </si>
  <si>
    <t>ALM01105</t>
  </si>
  <si>
    <t>ALM01106</t>
  </si>
  <si>
    <t>ALM01107</t>
  </si>
  <si>
    <t>ALM01108</t>
  </si>
  <si>
    <t>ALM01109</t>
  </si>
  <si>
    <t>ALM01110</t>
  </si>
  <si>
    <t>ALM01111</t>
  </si>
  <si>
    <t>Classificação (ABC)</t>
  </si>
  <si>
    <t xml:space="preserve"> </t>
  </si>
  <si>
    <t>18/06/2019</t>
  </si>
  <si>
    <t>18-jun-19</t>
  </si>
  <si>
    <t>A2-4-4.2</t>
  </si>
  <si>
    <t>SISTEMA X PARA CABEAMENTO CONTROLADOR POR NIVEL</t>
  </si>
  <si>
    <t>CONTATO AUX PARA DISJUNTOR MOTOR GVAE11</t>
  </si>
  <si>
    <t>BOTOEIRA C/ SINALIZAÇÃO BRANCA BHS - REF. HB2-BE101, 1NO Ø22MM BA9S VMAX 220V BHS</t>
  </si>
  <si>
    <t>BOTOEIRA C/ SINALIZAÇÃO VERDE BHS - REF. TY-15A, 1NO Ø22MM BA9S VMAX 220V TY-15A BHS</t>
  </si>
  <si>
    <t>BOTOEIRA C/ SINALIZAÇÃO AZUL BHS - REF. TY-13C, 1NO Ø22MM BA9S VMAX 220V TY-13C BHS</t>
  </si>
  <si>
    <t>DISJUNTOR TRIPOLAR EZC630N3600N</t>
  </si>
  <si>
    <t>FITA DE FIBRA P/ ALAT TEMPERATURA 3M COLEIRO</t>
  </si>
  <si>
    <t>CABO FLEX UNIPOLAR  1,5MM² -  BOBINA 100M CAIXA COM 100M CABO FLEX 1,5MM² AZ LAPP KABEL</t>
  </si>
  <si>
    <t>CABO FLEX UNIPOLAR AZUL+BRANCO 1MM² - LAPP KABEL - BOBINA 100M CABO FLEX 1MM³ AZ+BR LAPP KABEL</t>
  </si>
  <si>
    <t>ACOPLAMENTO MAGNETICO P/ JUNÇÃO MOTOR E BOMBA  PARA BOMBA DE POLYOL GANTRY</t>
  </si>
  <si>
    <t>PRENSA TERMINAL AÇO 240MM</t>
  </si>
  <si>
    <t>PRENSA TERMINAL AÇO KL10/6</t>
  </si>
  <si>
    <t>PRENSA TERMINAL AÇO 25MM</t>
  </si>
  <si>
    <t>PRENSA TERMINAL AÇO 35</t>
  </si>
  <si>
    <t>PRENSA TERMINAL AÇO 50MM</t>
  </si>
  <si>
    <t xml:space="preserve">EIXO DA BOMBA DE ENGRENAGEM 0.6CC BARMAG (ATIVADOR) </t>
  </si>
  <si>
    <t>BASE PARA PISTOLA DE COLA DO TETO GRACO</t>
  </si>
  <si>
    <t>IHM SIEMENS TP700 6AV2 124-0GC01-0AX0</t>
  </si>
  <si>
    <t>IHM SIEMENS KTP400 6AV6 647-0AA11-3AX0</t>
  </si>
  <si>
    <t>SENSOR DE SEGURANÇA MAGNETICO BPS33 SCHMERSAL</t>
  </si>
  <si>
    <t>SENSOR INDUTIVO DO SITEMA BES 516-370-6-E5-Y54/BR</t>
  </si>
  <si>
    <t xml:space="preserve">CONECTOR CIRCULAR 5 PINOS  </t>
  </si>
  <si>
    <t>TAMPÃO PROTETOR R161933920 REXROT</t>
  </si>
  <si>
    <t>SENSOR DE PROXIMIDADE PARA CILINDRO SMPO-8E FESTO</t>
  </si>
  <si>
    <t>SENSOR INDUTIVO M12 XS112B3PAM12 TELEMAQUINIC</t>
  </si>
  <si>
    <t>SENSOR INDUTIVO DM3/OP-1H SICK</t>
  </si>
  <si>
    <t>CONECTOR DE CABO M12 3RK1901 SIEMENS</t>
  </si>
  <si>
    <t>SENSOR DE SEGRANÇA EMISSOR E RECEPTOR XU2S18PP340D TELEMAQUINIC</t>
  </si>
  <si>
    <t>SENSOR INDUTIVO IME12-04BP</t>
  </si>
  <si>
    <t>CONECTOR PARA CABO N11RFF SICK</t>
  </si>
  <si>
    <t>SENSOR OPTICO SICK</t>
  </si>
  <si>
    <t>SENSOR OPTICO XUK0AKSAM12</t>
  </si>
  <si>
    <t>ESPELHO REFLETIVO PARA SENSOR SICK</t>
  </si>
  <si>
    <t>SENSOR FOTO ELETRICO QS18V P6MPQ5 BANNER</t>
  </si>
  <si>
    <t>CHAVE SELETORA LUMINOSA ABB M2SS1-42C11</t>
  </si>
  <si>
    <t>CHAVE FIM DE CURSO 3SE5114 SIMENS</t>
  </si>
  <si>
    <t>SENSOR FIM DE CURSO XCKJ ZCKJ1 TELEMAQUINIC</t>
  </si>
  <si>
    <t>BASE PARA RELE RUZC3M 10A SIEMENS</t>
  </si>
  <si>
    <t>CONTATO PARA BOTOEIRA NC+NO SIEMENS</t>
  </si>
  <si>
    <t>CONTROLADOR DE TEMPERATURA ATR142</t>
  </si>
  <si>
    <t>CONECTOR PARA CORTINA DE LUZ 20222791438/YCJ8</t>
  </si>
  <si>
    <t>ATUADOR P/ SENSOR MAGNÉTICO PILZ PSEN CS 3.1 - IDENT. NO. 541080 PILZ</t>
  </si>
  <si>
    <t>SENSOR MAGNÉTICO P/ PORTA PILZ PSEN CS 3.1A - IDENT. NO. 511061  PILZ</t>
  </si>
  <si>
    <t>ESTEIRA ROLANTE INDACO</t>
  </si>
  <si>
    <t>FONTE DE ALIMENTAÇÃO CHAVEADA - TRIFÁSICA 3X380-500VAC - DC24V 20A - REF. ABL8 WPS24200 SCHNEIDER ELECTRIC</t>
  </si>
  <si>
    <t>CONTATOR TRIPOLAR 32A 24VCC LC1 D32B7</t>
  </si>
  <si>
    <t>BLOCO TEMPORIZADOR SCHNEIDER LADT2 TESYS - 038589 - 0,1-30S 1NO+1NC SCHNEIDER ELECTRIC</t>
  </si>
  <si>
    <t>DISJUNTOR MOTOR 65A SCHINAIDER</t>
  </si>
  <si>
    <t>MONITORADOR DE CORRENTE 716410 LUTZE</t>
  </si>
  <si>
    <t>CABO COM CONECTOR M12 4 PINOS XZCP124L10 TELEMAQUINIC</t>
  </si>
  <si>
    <t>CONTATO AUXILIAR DE POTÊNCIA TIPO-N SCHNEIDER - REF. 055192 VZ13</t>
  </si>
  <si>
    <t>SENSOR ULTRASONICO CALANDRAS DA GLASUTEC UC4000-L2-E6-V15</t>
  </si>
  <si>
    <t>MÓDULO DE SEGURANÇA P/ SIST. EMERGÊNCIA XPSAF5121 SCHNEIDER</t>
  </si>
  <si>
    <t>MÓDULO DE SEGURANÇA P/ SIST. EMERGÊNCIA XPSAF5130 SCHNEIDER PREVENTA</t>
  </si>
  <si>
    <t>DISJUNTOR MONOPOLAR 2A</t>
  </si>
  <si>
    <t>CONTROLADOR DE TEMPERATURA 6001 RDR01</t>
  </si>
  <si>
    <t>BOTÃO PULSADOR XB5AC21</t>
  </si>
  <si>
    <t>A</t>
  </si>
  <si>
    <t>DISJUNTOR MOTOR TERMOMAGNETICO GV2 ME06 1-1.6A</t>
  </si>
  <si>
    <t>DISJUNTOR MOTOR TERMOMAGNÉTICO SCHNEIDER  - REF. GV2-ME08C / 2.5-4A</t>
  </si>
  <si>
    <t xml:space="preserve"> CONTATOR TRIPOLAR  SCHNEIDER -  REF. LC1D09-M7</t>
  </si>
  <si>
    <t>CHAVE SECCIONADORA COMANDO MANUAL TRIPOLAR NSX100-160-250</t>
  </si>
  <si>
    <t>B</t>
  </si>
  <si>
    <t>CPU 314C - 2PN/PD,SIMATIC S7-300,192KB,24DI16DO SIEMENS -  REF. 6ES7-314-6EH04-0AB0</t>
  </si>
  <si>
    <t xml:space="preserve">MÓDULO DE ENTRADAS DIGITAIS S7-300 16DI 24VDC 20PIN - REF. 6ES7-321-1BH02-0AA0 SIEMENS </t>
  </si>
  <si>
    <t>MODULO DE SAÍDA DIGITAL 16 PONTOS 0.5AMP 24VDC SM322 - REF. 6ES7-322-1BH01-0AA0 SIEMENS</t>
  </si>
  <si>
    <t>C</t>
  </si>
  <si>
    <t>MOTO REDUTOR DO SISTEMA DA TORRE CABEÇOTE</t>
  </si>
  <si>
    <t>MOTOR ELÉTRICO TRIFÁSICO 2.2KW (3HP) - REF. Y2-100L1-4</t>
  </si>
  <si>
    <t>J6</t>
  </si>
  <si>
    <t>ATUADOR PENEUMÁTICO DUPLA AÇÃO GNP 44</t>
  </si>
  <si>
    <t>MOTO REDUTOR NMRV 040  (MOTOR CE MS 711-4 SN NO 1512-047)</t>
  </si>
  <si>
    <t>VÁLVULA BLOQUEIO - REF. K140612</t>
  </si>
  <si>
    <t>VÁLVULA MANUAL DE ESFERA DN15 1/2"</t>
  </si>
  <si>
    <t>TRANSMISSOR DE PRESSÃO XMLR040G2P05</t>
  </si>
  <si>
    <t>TRANSMISSOR DE PRESSÃO BSP001A (BALLUFF)</t>
  </si>
  <si>
    <t>BOMBA DE PISTÃO 23CC - REF. JLB28MAORP2-S02  REXROTH</t>
  </si>
  <si>
    <t>BOMBA DE ENGRENAGENS P/ ABASTECIMENTO - REF. NB2-C25F</t>
  </si>
  <si>
    <t xml:space="preserve">TRANSMISSOR DE  NÍVEL , 10…A60cm,  0 a 10V/4 a 20 Ma - Cod:LR3000 </t>
  </si>
  <si>
    <t>FILTRO AUTO-LIMPANTE 0,1MM - REF. SCF035</t>
  </si>
  <si>
    <t>MANOMETRO INDICADOR DE SATURAÇÃO PÁRA FILTRO 1/8" COM ADAP.</t>
  </si>
  <si>
    <t>VALVULA HIDRAULICA SIMPLES SOLENOIDE RETORNO POR MOLA 4/3 VIAS DSG-03-2B2-D24-N1-50</t>
  </si>
  <si>
    <t>VALVULA HIDRAULICA REGULADORA DE PRESSÃO DNL-280-21B/1504</t>
  </si>
  <si>
    <t>ELEMENTO FILTRANTE PARA OLEO 0240D010 HYDAC</t>
  </si>
  <si>
    <t>ALM01112</t>
  </si>
  <si>
    <t>VÁLVULA BLOQUEIO - REF. GE2GGT53011A000 (GEMELS)</t>
  </si>
  <si>
    <t>G3-2-2</t>
  </si>
  <si>
    <t>BLOCO DE COMANDO BIMANUAL FESTO - REF. ZSB-1/8-B / COD. 576656 (FESTO)</t>
  </si>
  <si>
    <t>TEMPORIZADOR 20..300SEG PNEUMÁTICO FESTO - REF. PZVT-300-SEC / COD. 150239</t>
  </si>
  <si>
    <t>VÁVULA PNEUMÁTICA COMPACTA FESTO - REF. J-3-PK-3 / COD. 10772 (FESTO)</t>
  </si>
  <si>
    <t>VÁLVULA PNEUMÁTICA 5/3 VIAS CENTRO FECHADO FESTO - REF. VL-5/3G-3/8-B / COD. 14950 (FESTO)</t>
  </si>
  <si>
    <t>DISJUNTOR MOTOR WEG MPW40-3-D063 4-6,3A WEG MPW40-3-D063 4-6,3A</t>
  </si>
  <si>
    <t>ALM01113</t>
  </si>
  <si>
    <t>FONTE DE ALIMENTAÇÃO CHAVEADA 24V 200W - REF. NES-200-24</t>
  </si>
  <si>
    <t>C1-3-8</t>
  </si>
  <si>
    <t>ALM01114</t>
  </si>
  <si>
    <t>DISJUNTOR MOTOR TERMOMAGNÉTICO SCHNEIDER - REF. GV2-ME02C / 0.16-0.25A</t>
  </si>
  <si>
    <t xml:space="preserve">TRANSFORMADOR DE TENSÃO POT.200W PRIM. 440V SEC. 220V FREQ. 50/60Hz </t>
  </si>
  <si>
    <t>VÁLVULA REGULADORA DE PRESÃO G1/2 - REF. MS6-LR-1/2-D7-AS / COD. 529993 (FESTO)</t>
  </si>
  <si>
    <t>F.FENDER- M06</t>
  </si>
  <si>
    <t>BLOCO DISTRIBUIDOR 12 SAÍDAS  - REF. FR-12-PK-3-B / COD. 8761 (FESTO)</t>
  </si>
  <si>
    <t>UNIDADE DE SERVIÇO COMBINADA P/ TRATAMENTO DE AR  - REF. MSB6 / 531030 (FESTO)</t>
  </si>
  <si>
    <t>BLOCO LÓGICO "E" PNEUMÁTICO - REF. ZK-PK-3-6/3 / COD. 4204 (FESTO)</t>
  </si>
  <si>
    <t>VALVULA PNEUMATICA SIMPLES SOLENOIDE RETORNO POR MOLA 24VDC  3/2 VIAS</t>
  </si>
  <si>
    <t>CABEÇA P/ BOTÃO DE EMERGÊNCIA  REF. 3SB3 000-1HA20 (SIEMENS)</t>
  </si>
  <si>
    <t>ALM01115</t>
  </si>
  <si>
    <t>BOTÃO DE EMERGÊNCIA COM TRAVA DE BLACKOUT VM CLE2 40</t>
  </si>
  <si>
    <t>E2-4-5.1</t>
  </si>
  <si>
    <t>TERMOMETRO ANALÓGICO PARA AS FERRAMENTAS 100°C 1/4" NPT VISOR 60MM CAIXA EM INOX</t>
  </si>
  <si>
    <t>M15/M16/M19/M20/M30/M32</t>
  </si>
  <si>
    <t>CILINDRO PADRÃO DE DUPLA AÇÃO - REF. DNCB-40-80-PPV-A / COD. 532740 (FESTO)</t>
  </si>
  <si>
    <t>CILINDRO PADRÃO FESTO - REF. DSBC-100-500 PPV-A-KP E943</t>
  </si>
  <si>
    <t>VÁLVULA DE RETENÇÃO PILOTADA ROSCA G1/2 TUBO 12MM FESTO - REF. HGL-1/2-QS-12 / COD. 530045</t>
  </si>
  <si>
    <t xml:space="preserve">VÁLVULA 3/2 VIAS C/ ATUADOR TIPO ALAVANCA COM  ROLETE FESTO - REF. R-3-1/4-B / COD.  8985 </t>
  </si>
  <si>
    <t>FOLE COMPACTO PNEUMÁTICO ATUAÇÃO SIMPLES NORGREN - REF. M/31141 / COD RAT 8674</t>
  </si>
  <si>
    <t>CILINDRO COMPACTO CURSO 40MM FESTO - REF. ADVU-25-40-P-A / COD 156528</t>
  </si>
  <si>
    <t>MANCAL 208</t>
  </si>
  <si>
    <t>ROLAMENTO UC208 (F&amp;D)</t>
  </si>
  <si>
    <t>ALM01116</t>
  </si>
  <si>
    <t>D3-3-5.1</t>
  </si>
  <si>
    <t>VÁVULA ESFERA 1" EM AÇO CARBONO TRIPARTIDA C/ ATUADOR PNEUMÁTICO NAMUR (MIPEL)</t>
  </si>
  <si>
    <t>VALVULA ESFERA COM ATUADOR PNEUMATICO 1/2"</t>
  </si>
  <si>
    <t>KIT PISTOLA DE COLA TS-2007B-14 (MSD)</t>
  </si>
  <si>
    <t>LUBRIFICANTE SECO GRAFITE SPRAY 300ml ORBI</t>
  </si>
  <si>
    <t xml:space="preserve">ADESIVO PARA JUNTAS DE MOTORES DISEL 75g </t>
  </si>
  <si>
    <t xml:space="preserve">AQUECEDORES </t>
  </si>
  <si>
    <t>CONTATOR EASY PACT TVS - 065082 110V 50/60Hz 45KW-400V  (LC1E95F7 SCHNEIDER)</t>
  </si>
  <si>
    <t>TRANSDUTOR DE PRESSÃO TSA-E-1-Z-BV05-G-T-V-XP460 (GEFRA)</t>
  </si>
  <si>
    <t>CONJUNTO CORTINA DE LUZ (SICK)</t>
  </si>
  <si>
    <t>SILENCIADOR 1/2" EM ALUMÍNIO INJETADO REF. U-1/2-B / CÓD. 6844 (FESTO)</t>
  </si>
  <si>
    <t>SILENCIADOR PNEUMATICO 3/4"</t>
  </si>
  <si>
    <t>VALVULA PNEUMATICA SIMPLES SOLENOIDE 3/2 VIAS  1/4  24VAC</t>
  </si>
  <si>
    <t>19/06/2019</t>
  </si>
  <si>
    <t>20/06/2019</t>
  </si>
  <si>
    <t>21/06/2019</t>
  </si>
  <si>
    <t>22/06/2019</t>
  </si>
  <si>
    <t>25/06/2019</t>
  </si>
  <si>
    <t>26/06/2019</t>
  </si>
  <si>
    <t>REGULADOR DE PRESSÃO COM MANOMETRO ROSCA TRASEIRA  16BAR 3/16"</t>
  </si>
  <si>
    <t>REGULADOR DE PRESSÃO PNEUMATICO 1/4"</t>
  </si>
  <si>
    <t>REGULADOR DE PRESSÃO 1/2"</t>
  </si>
  <si>
    <t>FILTRO REGULADOR LUBRIFICADOR TFRL 14 (AIRTAC)</t>
  </si>
  <si>
    <t>FILTRO REGULADOR LUBRIFICADOR 1/2" (MSD)</t>
  </si>
  <si>
    <t>VALVULA REGULADORA DE PRESSÃO DBDS6K1C/315</t>
  </si>
  <si>
    <t>MANOMETRO REGULADOR DE PRESSAÕ PARA MASSARICO PROSTART</t>
  </si>
  <si>
    <t>VALVULA REGULADORA DE FLUXO 1/2"</t>
  </si>
  <si>
    <t>VALVULA REGULADORA DE FLUXO P/ AGUA 1/2"</t>
  </si>
  <si>
    <t>VALVULA REGULADORA DE FLUXO RAT CRV-102-KN20</t>
  </si>
  <si>
    <t>LUBRIFIL COM REGULADOR DE PRESSÃO E ÓLEO BFC4000 41-140F° MAX PRESS - 135psi</t>
  </si>
  <si>
    <t>VALVULA ESCAPE RAPIDO ROSCA 1/8 P/ TUBO 6MM SMC (MENTEC)</t>
  </si>
  <si>
    <t>PLUG VERMELHO 3P+T 16A MACHO (LUKMA ELETRONIC)</t>
  </si>
  <si>
    <t>BOTÃO DE EMERGÊNCIA - REF. ZB2-BE102C, 2NC (SCHNEIDER)</t>
  </si>
  <si>
    <t>CAIXA BOTOEIRA P/ BOTÃO DE COMANDO - MOD. LAY5-BOX1/W (LUKMA ELETRONIC)</t>
  </si>
  <si>
    <t>ROLAMENTO RÍGIDO DE ESFERA 6207 (FAG)</t>
  </si>
  <si>
    <t>ROLAMENTO RKY52</t>
  </si>
  <si>
    <t>ROLAMENTO RÍGIDO DE ESFERA 6203-2Z (SKF)</t>
  </si>
  <si>
    <t>ROLAMENTO DE ESFERA DE CONTATO ANGULAR 3204Z (MAK)</t>
  </si>
  <si>
    <t>ROLAMENTO RÍGIDO DE ESFERA 6005 (KBC KOREA)</t>
  </si>
  <si>
    <t>ROLAMENTO 6902 (NSK)</t>
  </si>
  <si>
    <t>ROLAMENTO RÍGIDO DE ESFERA 6011 (NSK)</t>
  </si>
  <si>
    <t>ROLAMENTO RÍGIDO DE ESFERA 6004 (FAG)</t>
  </si>
  <si>
    <t>ROLAMENTO (6306)</t>
  </si>
  <si>
    <t>ROLAMENTO RÍGIDO DE ESFERA 6006 2Z (FAG)</t>
  </si>
  <si>
    <t>ROLAMENTO RÍGIDO DE ESFERA 6206 (NSK)</t>
  </si>
  <si>
    <t>ROLAMENTO RÍGIDO DE ESFERA 6008 DDU (NSK)</t>
  </si>
  <si>
    <t>ROLAMENTO (RL59)</t>
  </si>
  <si>
    <t>ROLAMENTO RÍGIDO DE ESFERA 6010 2Z (NSK)</t>
  </si>
  <si>
    <t>ROLAMENTO RÍGIDO DE ESFERA 6303 (NSK)</t>
  </si>
  <si>
    <t>ROLAMENTO NUP306 EM (TMB)</t>
  </si>
  <si>
    <t>ROLAMENTO EM POLEGADA PARA O MISTURADOR DE COLA 1.1/8x2. 1/2x5/8 (FAG)</t>
  </si>
  <si>
    <t>ROLAMENTO SA207</t>
  </si>
  <si>
    <t>ROLAMENTO 6300</t>
  </si>
  <si>
    <t>ROLAMENTO 6002</t>
  </si>
  <si>
    <t>ROLAMENTO 6204</t>
  </si>
  <si>
    <t>ROLAMENTO 6305</t>
  </si>
  <si>
    <t>ROLAMENTO 6205</t>
  </si>
  <si>
    <t>ROLAMENTO RÍGIDO DE ESFERA 16004 (SKF)</t>
  </si>
  <si>
    <t>ROLAMENTO SB203 (BRM)</t>
  </si>
  <si>
    <t>ROLAMENTO SB202-10 (BRM)</t>
  </si>
  <si>
    <t>ROLAMENTO UC207 (F&amp;D)</t>
  </si>
  <si>
    <t>ROLAMENTO UC203 (POWELL)</t>
  </si>
  <si>
    <t>ROLAMENTO RÍGIDO DE ESFERA 6005-2z (SKF)</t>
  </si>
  <si>
    <t>ROLAMENTO RÍGIDO DE ESFERA 6304 (SKF)</t>
  </si>
  <si>
    <t>ROLAMENTO RÍGIDO DE ESFERA 62305-2RS1 (SKF)</t>
  </si>
  <si>
    <t>ROLAMENTO Y208-V22 (FRM)</t>
  </si>
  <si>
    <t>ROLAMENTO 5205 (SKF)</t>
  </si>
  <si>
    <t>ROLAMENTO 30209 (FRM)</t>
  </si>
  <si>
    <t>ROLAMENTO 6007 (SKF)</t>
  </si>
  <si>
    <t>ROLAMENTO AUTOCOMPENSADOR DE ESFERA 2208 E-2RS1TN9 (SKF)</t>
  </si>
  <si>
    <t>ROLAMENTO UK210</t>
  </si>
  <si>
    <t>MANCAL  COM ROLAMENTO PSHE30-N</t>
  </si>
  <si>
    <t>SENSOR DE PROXIMIDADE SME-8M-DS-24V (FESTO)</t>
  </si>
  <si>
    <t>AGULHAS DO CILINDRO</t>
  </si>
  <si>
    <t>SELO MECÂNICO PARA EIXO 1" (SEAL MEC )</t>
  </si>
  <si>
    <t>FITA AUTO ADESIVA 3MM X 50MM X 20M VIDOFLEX</t>
  </si>
  <si>
    <t>BICO DE PISTOLA DO DESMOLDANTE SL05112768 (WSI)</t>
  </si>
  <si>
    <t>MANGUEIRA PNEUMATICA DE POLIURETANO TUBO 10MM EXTER AZUL ACIMA DE 10 bar</t>
  </si>
  <si>
    <t>MANGUEIRA PNEUMATICA DE POLIURETANO TUBO 8MM EXTER AZUL ACIMA DE 10 bar</t>
  </si>
  <si>
    <t>MANGUEIRA PNEUMATICA DE POLIURETANO TUBO 12MM EXTER AZUL ACIMA DE 10 bar</t>
  </si>
  <si>
    <t>MANGUEIRA PNEUMATICA DE POLIURETANO TUBO 6MM EXTER AZUL ACIMA DE 10 bar</t>
  </si>
  <si>
    <t>MANGUEIRA PNEUMATICA DE POLIURETANO TUBO 4MM EXTER AZUL ACIMA DE 10 bar</t>
  </si>
  <si>
    <t>VALVULA ESFERA COM ATUADOR PNEUMATICO 3/4"</t>
  </si>
  <si>
    <t>VALVULA ESFERA 2"</t>
  </si>
  <si>
    <t>VALVULA ESFERA 1/4"</t>
  </si>
  <si>
    <t>VALVULA ESFERA DE ALTA PRESSÃO ROSCA FEMEA 1"</t>
  </si>
  <si>
    <t>CILINDRO PNEUMATICO 12,5X6,5</t>
  </si>
  <si>
    <t>CILINDRO PNEUMATICO 12X7</t>
  </si>
  <si>
    <t>MANOMETRO ROSCA VERTICAL 1/4"NPT  400 BAR</t>
  </si>
  <si>
    <t>MANOMETRO ROSCA VERTICAL 1/4" BSP 60BAR</t>
  </si>
  <si>
    <t>MANOMETRO ROSCA VERTICAL 1/4" BSP 500BAR</t>
  </si>
  <si>
    <t>CONJUNTO SENSOR / RELE DE SEGURANÇA / CABO DE LIGAÇÃO L27S-3D3730  (SICK)</t>
  </si>
  <si>
    <t>RELE DE SEGURANÇA SCHHMERSAL SRB 301MC-24V NAC</t>
  </si>
  <si>
    <t>MANCAL P208 (F &amp; D)</t>
  </si>
  <si>
    <t>AMORTECEDOR MOLA GAS 900N MG10 220 0542 0900J (RUBIGRUN)</t>
  </si>
  <si>
    <t>SERPENTINA PARA EIXO 2 (NEW COIL AXIS 2 FOR FILTER LINE 1/4" COIL 16000) PN 305313 KMT WJ (DSR)</t>
  </si>
  <si>
    <t>SERPENTINA PARA EIXO 1 (SPIRE AXIS 1 ROBOT IRB 1600 COIL) PN 304415 KMT WJ  (DSR)</t>
  </si>
  <si>
    <t>SERPENTINA PARA EIXO 3 (SPIRE AXIS 3 ROBOT IRB 1600 COIL) PN 304297 KMT WJ  (DSR)</t>
  </si>
  <si>
    <t>SERPENTINA PARA EIXO 4-6 ( SPIRE AXIS 4-6 ROBOT IRB 1600 COIL) PN 304436 KMT WJ  (DSR)</t>
  </si>
  <si>
    <t>ANILHA ROSQUEADA PARA EMENDA DE SERPENTINA ALC 40-316 (DSR)</t>
  </si>
  <si>
    <t>ANILHA DA SERPENTINA 1/4" KGL40 314AE</t>
  </si>
  <si>
    <t>ANILHA DA SERPENTINA FLOW A0792-1 W.J  (DSR)</t>
  </si>
  <si>
    <t>LUVA PARA SERPENTINA  1/4 FLOW A0780-1 W.J (DSR)</t>
  </si>
  <si>
    <t>TRANSFORMADOR 250 VA 50/60Hz (LEGRAND)</t>
  </si>
  <si>
    <t>TRANSFORMADOR RM153027 BATE PE</t>
  </si>
  <si>
    <t>PLACA MAQ. DE SOLDA BATE PÉ 9999.377 (SCHIRMACHER)</t>
  </si>
  <si>
    <t>PLACA ELETRONICA DO SERVOMOTOR GDM12Z</t>
  </si>
  <si>
    <t>PLACA ELETRONICA DO GERADOR HSMODU 25KW</t>
  </si>
  <si>
    <t>IHM SIMATIC HTP400</t>
  </si>
  <si>
    <t>IHM SIEMENS SIMATIC 6AV2 642-0BA01-1AX1 (SIEMENS)</t>
  </si>
  <si>
    <t>CONECTOR PARA TRANSMISSOR DE PRESSÃO 5004109 (PARKER)</t>
  </si>
  <si>
    <t>CORRENTE DE TRANSMISSÃO DUPLA 08B-2 (TC TRANSCOR)</t>
  </si>
  <si>
    <t>MONTAGEM DO SELO HIDRÁULICO DO CARTUCHO REPARO DO ÓLEO SL05009030 (DRS)</t>
  </si>
  <si>
    <t>CHAVE COMUTADORA MAGIRIUS MONOFASICA</t>
  </si>
  <si>
    <t>RELE DE ESTADO SOLIDO HW-1-DA4860</t>
  </si>
  <si>
    <t>VALVULA PNEUMATICA 5/2VIAS DUPLA SOLENIDE 220VAC</t>
  </si>
  <si>
    <t>VALVULA PNEUMATICA  3/2 SOLENOIDE 220 V 1/4 SMC (MENTEC)</t>
  </si>
  <si>
    <t>VALVULA 3 VIAS 1"</t>
  </si>
  <si>
    <t>VALVULA PNEUMATICA ULTRA RAPIDO 3/2 VIAS 52A-11-DOA-DM-DDAJ-1JD (MAC)</t>
  </si>
  <si>
    <t>VALVULA DIAFRAGMA 1/4" 24V AC</t>
  </si>
  <si>
    <t>VALVULA DIAFRAGMA 3/4"  24DC</t>
  </si>
  <si>
    <t>VALVULA DIAFRAGMA DE 1" 24 VDC</t>
  </si>
  <si>
    <t>VALVULA DIAFRAGMA 1/2" 220V AC</t>
  </si>
  <si>
    <t>VALVULA DE RETENÇÃO PRESSAÕ MAXIMA 66000 PSI VAR15-005016/.0511397 (DRS)</t>
  </si>
  <si>
    <t>VALVULA DIRECIONAL REXROT SIMPLES SOLENOIDE RETORNO POR MOLA 4/2 VIAS 4WE6 JB62/EG24K4</t>
  </si>
  <si>
    <t>VALVULA VENTAGE CORPO DE AÇO 1/2" OE15 03005500</t>
  </si>
  <si>
    <t>VALVULA DE VENTAGE 3/4" CORPO DE ALUMINIO OS1506171A0400 (REXROTH)</t>
  </si>
  <si>
    <t>VALVULA DE ALIVIO DE PRESSÃO / FLUXO (DP2-43/210YM</t>
  </si>
  <si>
    <t>VALVULA DE ALIVIO DE PRESSÃO NA DR6DP2-53/75YM (REXROTH)</t>
  </si>
  <si>
    <t>VALVULA REDUTORA DE PRESSÃO SIMPELS SOLENOIDE 61/350G24K4V</t>
  </si>
  <si>
    <t>VALVULA DIRECIONAL  SIMPLES SOLENOIDE RETORNO POR MOLA 4/3 VIAS V4WE6AGX</t>
  </si>
  <si>
    <t>VALVULA PROPORCIONAL D1FVE02CC0NM0311 PARKER</t>
  </si>
  <si>
    <t>VALVULA HIDRAULICA SIMPLES SOLENOIDE RETORNO POR MOLA 4/2 VIAS DSG-01-0B2-D24-N-70 (YUKEN)</t>
  </si>
  <si>
    <t>BLOCO DE VALVULA DENSON 113776</t>
  </si>
  <si>
    <t>VALVULA SEU 1/8"</t>
  </si>
  <si>
    <t>VALVULA DE COLA 7337C03 EVOLUT DRS</t>
  </si>
  <si>
    <t>VALVULA DE DESCARGA W.J 05116561 DRS</t>
  </si>
  <si>
    <t>VALVULA DIRECIONAL REXROTDUPLA SOLENOIDE PILOTADA 4/3 VIAS</t>
  </si>
  <si>
    <t>VALVULA DIRECIONAL COM PILOTAGEM 4WE6J62/EG24N9K4 DUPLA SOLENOIDE 4/3 VIAS</t>
  </si>
  <si>
    <t>VALVULA REXROTH R900912549</t>
  </si>
  <si>
    <t>VALVULA REXROTH R900912531</t>
  </si>
  <si>
    <t>VALVULA PROPORCIONAL PARKER PILOTADA D1FVE50BCVLB35</t>
  </si>
  <si>
    <t>VALVULA PROPORCIONAL PILOTADA ATOS E-RI-AE-05F 10 4/3 VIAS</t>
  </si>
  <si>
    <t>VALVULA HIDRAULICA SIMPLES SOLENOIDE RETORNO POR MOLA D1SE30 BNJW 3/2 VIAS D1SE30 PARKER</t>
  </si>
  <si>
    <t>VALVULA PROPORCIONAL RE06M25T2N1F026-PILOTO PARKER</t>
  </si>
  <si>
    <t>VALVULA HIDRAULICA SIMPLES SOLENOIDE RETORNO POR MOLA 3/2 VIAS A532060B</t>
  </si>
  <si>
    <t>VALVULA HIDRAULICA SIMPLES SOLENOIDE RETORNO POR MOLA 4/2 VIAS V4WE6D6X/EG24N25L  (VISTA)</t>
  </si>
  <si>
    <t>VALVULA HIDRAULICA SIMPLES SOLENOIDE RETORNO POR MOLA 4/2 VIAS D1VW004KNWT (PARKER)</t>
  </si>
  <si>
    <t>VALVULA HIDRAULICA DUPLA SOLENOIDE 4/3 VIAS</t>
  </si>
  <si>
    <t>BLOCO DE VALVULA COM RETENÇÃO BOSCH 757</t>
  </si>
  <si>
    <t>VALVULA HIDRAULICA SIMPLES SOLENOIDE RETORNO POR MOLA 3/2 VIAS D1VW104KNJWS2 (PARKER)</t>
  </si>
  <si>
    <t>VALVULA DE RETENÇÃO 1/2"</t>
  </si>
  <si>
    <t>VALVULA DE RETENÇÃO  1/4" VS6A1X</t>
  </si>
  <si>
    <t>VALVULA DE RETENÇÃO  P/ ÁGUA 1/2"</t>
  </si>
  <si>
    <t>VALVULA DE RETENÇÃO 1"</t>
  </si>
  <si>
    <t xml:space="preserve">VALVULA DE RETENÇÃO 1/4" </t>
  </si>
  <si>
    <t>CONJUNTO INJETORA CANNON VALVULA 3/8 COM SOLENOIDE Z17383CA0 (PARKER)</t>
  </si>
  <si>
    <t>VALVULA PNEUMATICA SIMPLES SOLENOIDE RETORNO POR MOLA 5/2VIAS</t>
  </si>
  <si>
    <t>VALVULA GLOBO PARA ALTA PRESSÃO 1/4"</t>
  </si>
  <si>
    <t>VALVULA PURGADORA FILTRO DE LINHA</t>
  </si>
  <si>
    <t>VALVULA DIAFRAGMA DE 1/2 24VDC</t>
  </si>
  <si>
    <t>INTERRUPTOR HORARIO CCT15720 IHP</t>
  </si>
  <si>
    <t>MÓDULO INTERFACE IM 151-8F PN/DP CPU ET200S 6ES7 151-8FB01-0AB0 ( SIEMENS)</t>
  </si>
  <si>
    <t>VENTOINHA PARA MOTOR AQUECEDOR E COLEIRO</t>
  </si>
  <si>
    <t>MÓDULO DE SEGURANÇA P/ SIST. EMERGÊNCIA SCHNEIDER PREVENTA  XPSAK311144</t>
  </si>
  <si>
    <t>A0-2-4</t>
  </si>
  <si>
    <t>A0-3-1.1</t>
  </si>
  <si>
    <t>A0-1-2</t>
  </si>
  <si>
    <t>ALM01117</t>
  </si>
  <si>
    <t>ALM01118</t>
  </si>
  <si>
    <t>ALM01119</t>
  </si>
  <si>
    <t>ALM01120</t>
  </si>
  <si>
    <t xml:space="preserve">COLEIRO  VALCO MELTON </t>
  </si>
  <si>
    <t>A0-2-3</t>
  </si>
  <si>
    <t>ALM01121</t>
  </si>
  <si>
    <t>ALM01122</t>
  </si>
  <si>
    <t>A0-3-3.1</t>
  </si>
  <si>
    <t>A0-3-3.2</t>
  </si>
  <si>
    <t xml:space="preserve">CABO P/ SENSOR M12 5PINO SICK YG2A14-050UB3XLEAX </t>
  </si>
  <si>
    <t>PLACA PCB ASSY DUAL-VFD +/-15 HMU 151XX701 (VALCO MELTON)</t>
  </si>
  <si>
    <t>MANGUEIRA P/ AQUECIMENTO DE ADESIVO / COLA VALCO MELTON MOD. 981XX208 H6060 230V 840W 100BAR 230°C 4,8MT 16FT</t>
  </si>
  <si>
    <t>ORING 12X2mm 910XX049 (VALCO MELTON)</t>
  </si>
  <si>
    <t>INVERSOR COLEIRO 8400 BASELINE HWLSW VER:3A34 TYP:E84AVBDE25125X0 INPUT 1/N/PE AC 230V 50-60 Hz 3.4A OUT PUT 3/PE AC 0-230V 0-300Hz 1.7A 0.25KW (VALCO MELTON)</t>
  </si>
  <si>
    <t>IHM COLEIRO  SCS STATIC SHIELDING BAG (BATCH NO: 82209 PIN;782XX308) (AXE318) (VALCO MELTON)</t>
  </si>
  <si>
    <t>PLACA COLEIRO 151XX680 (MADE FROM 152XX680) KRM 0007; VER M1 *PCB ASSY 12-ZONE GEAR- PUMP NI-120 18041 625 (VALCO MELTON)</t>
  </si>
  <si>
    <t>M28</t>
  </si>
  <si>
    <t xml:space="preserve">RESISTÊNCIA ELETROTHERMO 2FTRZ 800W 240V </t>
  </si>
  <si>
    <t>G0-2-3</t>
  </si>
  <si>
    <t>27/06/2019</t>
  </si>
  <si>
    <t>28/06/2019</t>
  </si>
  <si>
    <t>B0-4-1</t>
  </si>
  <si>
    <t>FACA CIRCULAR CORTANTE 31X23X10 cm</t>
  </si>
  <si>
    <t>CABEÇOTE- REF. DHV1218 - 2K</t>
  </si>
  <si>
    <t>SENSOR DE PROXIMIDADE INDUTIVO IMB TIPO: IMB08-02BPSVT0S  COD:  1070168 (SICK)</t>
  </si>
  <si>
    <t>M33</t>
  </si>
  <si>
    <t>ALM01123</t>
  </si>
  <si>
    <t>A2-4-1.2</t>
  </si>
  <si>
    <t>ALM01124</t>
  </si>
  <si>
    <t>A3-4-5</t>
  </si>
  <si>
    <t>TAMPA PARA TOMADA REGIDA WETZEL</t>
  </si>
  <si>
    <t>BLOCO DE CONTATO IEC 947 10A SCHNEIDER</t>
  </si>
  <si>
    <t>A1-4-6.1</t>
  </si>
  <si>
    <t>ALM01125</t>
  </si>
  <si>
    <t>ALM01126</t>
  </si>
  <si>
    <t>ALM01127</t>
  </si>
  <si>
    <t>BLOCO DE CONTATO LA1 KN22 IEC/EM 60947-5-1 J15 C4531 10A</t>
  </si>
  <si>
    <t>A1-4-6.2</t>
  </si>
  <si>
    <t>BLOCO DE CONTATO IEC 60947 3RH1921-1HA22</t>
  </si>
  <si>
    <t>A1-4-6.3</t>
  </si>
  <si>
    <t>ALM01128</t>
  </si>
  <si>
    <t>ALM01129</t>
  </si>
  <si>
    <t>ALM01130</t>
  </si>
  <si>
    <t>A1-4-6.4</t>
  </si>
  <si>
    <t>BLOCO DE CONTATO GB14048.5/50Hz IEC/EM.60947-5-1 UI690V (SIEMENS)</t>
  </si>
  <si>
    <t>A1-1-2</t>
  </si>
  <si>
    <t xml:space="preserve">CAIXA P/ QUADRO DE COMANDO 400X400X200 </t>
  </si>
  <si>
    <t>A3-1-2</t>
  </si>
  <si>
    <t>CAIXA P/ QUADRO DE COMANDO 400X300X200</t>
  </si>
  <si>
    <t>BOMBA DE  ABASTECIMENTO PARA POLIOL</t>
  </si>
  <si>
    <t>2-jul-19</t>
  </si>
  <si>
    <t>28-jun-19</t>
  </si>
  <si>
    <t>01/07/2019</t>
  </si>
  <si>
    <t>02/07/2019</t>
  </si>
  <si>
    <t>Valor atual</t>
  </si>
  <si>
    <t>Valor inventário</t>
  </si>
  <si>
    <t>Saldo em 01/07/19</t>
  </si>
  <si>
    <t>Saldo em 01/08/19</t>
  </si>
  <si>
    <t>Saldo em 01/09/19</t>
  </si>
  <si>
    <t>Saldo em 01/10/19</t>
  </si>
  <si>
    <t>Saldo em 01/11/19</t>
  </si>
  <si>
    <t>Saldo em 01/12/19</t>
  </si>
  <si>
    <t>Saldo em 01/01/20</t>
  </si>
  <si>
    <t>Saldo em 01/02/20</t>
  </si>
  <si>
    <t>Saldo em 01/03/20</t>
  </si>
  <si>
    <t>Saldo em 01/04/20</t>
  </si>
  <si>
    <t>Saldo em 01/06/19</t>
  </si>
  <si>
    <t>TROCADOR DE CALOR MODELO TST 100-6-2A</t>
  </si>
  <si>
    <t>181185</t>
  </si>
  <si>
    <t>764365181185</t>
  </si>
  <si>
    <t>PROMECÂNICA EQUIPAMENTOS VEICULARES</t>
  </si>
  <si>
    <t>TUBO PORTA CABOS</t>
  </si>
  <si>
    <t>186113</t>
  </si>
  <si>
    <t>767173186113</t>
  </si>
  <si>
    <t>TERMINAIS DE FIXAÇÃO DE PLASTICO</t>
  </si>
  <si>
    <t>186114</t>
  </si>
  <si>
    <t>767173186114</t>
  </si>
  <si>
    <t>ESTEIRAS PORTA CABOS</t>
  </si>
  <si>
    <t>186115</t>
  </si>
  <si>
    <t>767173186115</t>
  </si>
  <si>
    <t>FESMA - TECNOLOGIA EM POLIMEROS LTD</t>
  </si>
  <si>
    <t>CONTATOR REF.LC1E 95F7 SCHNEIDER</t>
  </si>
  <si>
    <t>186238</t>
  </si>
  <si>
    <t>768489186238</t>
  </si>
  <si>
    <t>Coreval Comércio de Materiais</t>
  </si>
  <si>
    <t>CONECTOR FEMEA M8,4 PINOS RETO</t>
  </si>
  <si>
    <t>186686</t>
  </si>
  <si>
    <t>764255186686</t>
  </si>
  <si>
    <t>CONECTOR MACHO M8,4 PINOS RETO</t>
  </si>
  <si>
    <t>186687</t>
  </si>
  <si>
    <t>764255186687</t>
  </si>
  <si>
    <t>HE SOLUÇÕES ELÉTRICAS E ASSISTÊNCIA</t>
  </si>
  <si>
    <t>SERVOMOTOR KA47B CMP63M/KY/AK0H</t>
  </si>
  <si>
    <t>186121</t>
  </si>
  <si>
    <t>767618186121</t>
  </si>
  <si>
    <t>BOMBA BDM 1609/CABINE 1/2" MONTADA</t>
  </si>
  <si>
    <t>186786</t>
  </si>
  <si>
    <t>767618186786</t>
  </si>
  <si>
    <t>MBEX TRANSPORTES E LOCACOES LTDA -</t>
  </si>
  <si>
    <t>02 COIFAS 2.500X450MM ABA DE 30MM CHAPA</t>
  </si>
  <si>
    <t>186807</t>
  </si>
  <si>
    <t>766072186807</t>
  </si>
  <si>
    <t>COLEPO COMERCIO E SERVIÇO LTDA</t>
  </si>
  <si>
    <t>MANG. PT300 3/4 GATES</t>
  </si>
  <si>
    <t>187038</t>
  </si>
  <si>
    <t>765963187038</t>
  </si>
  <si>
    <t>MANG. JHL 2" SUC./DESC.AZUL</t>
  </si>
  <si>
    <t>187039</t>
  </si>
  <si>
    <t>765963187039</t>
  </si>
  <si>
    <t>ABRAÇ. 14X19X27</t>
  </si>
  <si>
    <t>187040</t>
  </si>
  <si>
    <t>765963187040</t>
  </si>
  <si>
    <t>BUCHA RED 1.1/4"X1"</t>
  </si>
  <si>
    <t>187041</t>
  </si>
  <si>
    <t>765963187041</t>
  </si>
  <si>
    <t>REAL MANGUEIRAS, COMERCIA A VAREJO,</t>
  </si>
  <si>
    <t>TROCADOR CALOR BRAZ. ALFA LAVAL CB30-34H</t>
  </si>
  <si>
    <t>186914</t>
  </si>
  <si>
    <t>768285186914</t>
  </si>
  <si>
    <t>TROCADOR DE CALOR ALFA LAVAL CB60-40H</t>
  </si>
  <si>
    <t>900403</t>
  </si>
  <si>
    <t>768285900403</t>
  </si>
  <si>
    <t>VM BRASIL ENGENHARIA E COMERCIO LTD</t>
  </si>
  <si>
    <t>CHAPA DE AÇO USINADO</t>
  </si>
  <si>
    <t>900410</t>
  </si>
  <si>
    <t>768385900410</t>
  </si>
  <si>
    <t>BAUMANN INDÚSTRIA E COMÉRCIO E AÇOS</t>
  </si>
  <si>
    <t>TUBO ELASTOMERICO 1" P 13MM</t>
  </si>
  <si>
    <t>186151</t>
  </si>
  <si>
    <t>761305186151</t>
  </si>
  <si>
    <t>MOVITORQUE SISTEMAS HIDRAULICOS E P</t>
  </si>
  <si>
    <t>AGULHAS EM AÇO PRATA D3X82 P/ROBO D/COLA</t>
  </si>
  <si>
    <t>186564</t>
  </si>
  <si>
    <t>763840186564</t>
  </si>
  <si>
    <t>TALCO INDUSTRIAL SACO C/25KG</t>
  </si>
  <si>
    <t>186570</t>
  </si>
  <si>
    <t>763840186570</t>
  </si>
  <si>
    <t>JOHN ANDSON GUIMARÃES DA SILVA - ME</t>
  </si>
  <si>
    <t>HELICE TURBINA DIAM 270MM EM AÇO CARBONO</t>
  </si>
  <si>
    <t>182090</t>
  </si>
  <si>
    <t>765741182090</t>
  </si>
  <si>
    <t>ENGATE RAPIDO AÇO 4340 C/ TRAT TERMOQUIM</t>
  </si>
  <si>
    <t>182111</t>
  </si>
  <si>
    <t>765741182111</t>
  </si>
  <si>
    <t>HINDAG IND. COM. LTDA.</t>
  </si>
  <si>
    <t>LUBRIFICANTE AZUL A-2185</t>
  </si>
  <si>
    <t>185789</t>
  </si>
  <si>
    <t>758423185789</t>
  </si>
  <si>
    <t>GRAXA DE GRAU ALIMENTAR A-4689</t>
  </si>
  <si>
    <t>185790</t>
  </si>
  <si>
    <t>758423185790</t>
  </si>
  <si>
    <t>ACOPLAMENTO DE 1/4" A-0780-1</t>
  </si>
  <si>
    <t>185841</t>
  </si>
  <si>
    <t>758423185841</t>
  </si>
  <si>
    <t>COLETOR JUNTA ANTIVIBRATORIEDADE A-0689-</t>
  </si>
  <si>
    <t>185842</t>
  </si>
  <si>
    <t>758423185842</t>
  </si>
  <si>
    <t>FLOW LATINO AMERICANA INDUSTRIA E C</t>
  </si>
  <si>
    <t>RT TUBO INOX D03/8 U5 4910 3.5KW/240V</t>
  </si>
  <si>
    <t>185959</t>
  </si>
  <si>
    <t>766121185959</t>
  </si>
  <si>
    <t>KADISA INDUSTRIA E COMERCIO LTDA -</t>
  </si>
  <si>
    <t>JOGO D/CHAVE TORX LT7 A T40 9 PC 43TX-09</t>
  </si>
  <si>
    <t>186003</t>
  </si>
  <si>
    <t>762557186003</t>
  </si>
  <si>
    <t>COLSON DO BRASIL LTDA</t>
  </si>
  <si>
    <t>CAPA DE ROBÔ 55 X 0,80</t>
  </si>
  <si>
    <t>179192</t>
  </si>
  <si>
    <t>763876179192</t>
  </si>
  <si>
    <t>ALSCO TOALHEIRO BRASIL LTDA</t>
  </si>
  <si>
    <t>REGUA HIDRAULICA P ELEV FERRAMENTA</t>
  </si>
  <si>
    <t>179200</t>
  </si>
  <si>
    <t>50017179200</t>
  </si>
  <si>
    <t>RAT Spezialmaschinen GmbH</t>
  </si>
  <si>
    <t>CARCAÇA EM PVC ATÓXICO D 3/4- D 2,5  X10</t>
  </si>
  <si>
    <t>183734</t>
  </si>
  <si>
    <t>763083183734</t>
  </si>
  <si>
    <t>DESPURIFIL INDUSTRIA E COMÉRCIO DE</t>
  </si>
  <si>
    <t>SENSOR FOTOELETRICO</t>
  </si>
  <si>
    <t>800128</t>
  </si>
  <si>
    <t>702710800128</t>
  </si>
  <si>
    <t>SENSOR DE NIVEL LR 8000 IFM</t>
  </si>
  <si>
    <t>184897</t>
  </si>
  <si>
    <t>702710184897</t>
  </si>
  <si>
    <t>CABO E12168 IFM</t>
  </si>
  <si>
    <t>184898</t>
  </si>
  <si>
    <t>702710184898</t>
  </si>
  <si>
    <t>TUBO E43213 IFM</t>
  </si>
  <si>
    <t>184899</t>
  </si>
  <si>
    <t>702710184899</t>
  </si>
  <si>
    <t>SONDA E43205 IFM</t>
  </si>
  <si>
    <t>184900</t>
  </si>
  <si>
    <t>702710184900</t>
  </si>
  <si>
    <t>HASTE E43208 IFM</t>
  </si>
  <si>
    <t>184956</t>
  </si>
  <si>
    <t>702710184956</t>
  </si>
  <si>
    <t>TUBO E43334 IFM</t>
  </si>
  <si>
    <t>184957</t>
  </si>
  <si>
    <t>702710184957</t>
  </si>
  <si>
    <t>IFM ELECTRONIC LTDA</t>
  </si>
  <si>
    <t>LAMINA DE AÇO CARB. 9494X60X0,6//RETIFIC</t>
  </si>
  <si>
    <t>185012</t>
  </si>
  <si>
    <t>702782185012</t>
  </si>
  <si>
    <t>INDUSFACAS COM. BENEFICIAMENTO LTD</t>
  </si>
  <si>
    <t>FLANGE CEGO D410MMX50 C/FURAÇÃO M20X150</t>
  </si>
  <si>
    <t>186758</t>
  </si>
  <si>
    <t>766307186758</t>
  </si>
  <si>
    <t>INVERSOR MOD.CFW500A01P6T4NB20 WEG</t>
  </si>
  <si>
    <t>186785</t>
  </si>
  <si>
    <t>766307186785</t>
  </si>
  <si>
    <t>CLEANER DE LIMPEZA</t>
  </si>
  <si>
    <t>186824</t>
  </si>
  <si>
    <t>766307186824</t>
  </si>
  <si>
    <t>PONTEIRA ROTULAR ROSC MACHO M30X2,0</t>
  </si>
  <si>
    <t>186850</t>
  </si>
  <si>
    <t>766307186850</t>
  </si>
  <si>
    <t>BICICLETA</t>
  </si>
  <si>
    <t>186886</t>
  </si>
  <si>
    <t>766307186886</t>
  </si>
  <si>
    <t>MULTIPROCESSADOR</t>
  </si>
  <si>
    <t>186887</t>
  </si>
  <si>
    <t>766307186887</t>
  </si>
  <si>
    <t>VENTILADOR DE COLUNA MUNDIAL</t>
  </si>
  <si>
    <t>186888</t>
  </si>
  <si>
    <t>766307186888</t>
  </si>
  <si>
    <t>VALVULA ATUADOR PNEUMATICO</t>
  </si>
  <si>
    <t>186889</t>
  </si>
  <si>
    <t>766307186889</t>
  </si>
  <si>
    <t>CONTRA PORCA DE ACO</t>
  </si>
  <si>
    <t>186890</t>
  </si>
  <si>
    <t>766307186890</t>
  </si>
  <si>
    <t>CONJUNTO VEDADOR PLASTICO</t>
  </si>
  <si>
    <t>186901</t>
  </si>
  <si>
    <t>766307186901</t>
  </si>
  <si>
    <t>SERPENTINA AGUA VALVULA</t>
  </si>
  <si>
    <t>186902</t>
  </si>
  <si>
    <t>766307186902</t>
  </si>
  <si>
    <t>SERPENTINA AGUA EIXOS</t>
  </si>
  <si>
    <t>186903</t>
  </si>
  <si>
    <t>766307186903</t>
  </si>
  <si>
    <t>TUBULACAO ESPIRAL 304297</t>
  </si>
  <si>
    <t>186904</t>
  </si>
  <si>
    <t>766307186904</t>
  </si>
  <si>
    <t>VEDACAO EM PLASTICO DO PISTAO HIDRAULICO</t>
  </si>
  <si>
    <t>185282</t>
  </si>
  <si>
    <t>766307185282</t>
  </si>
  <si>
    <t>CORPO DA RETENCAO DE AGUA EM ACO INOX</t>
  </si>
  <si>
    <t>185283</t>
  </si>
  <si>
    <t>766307185283</t>
  </si>
  <si>
    <t>PROLONGADOR DE CORTE DE ALTA PRESSAO</t>
  </si>
  <si>
    <t>185284</t>
  </si>
  <si>
    <t>766307185284</t>
  </si>
  <si>
    <t>FERRAMENTA MANUAL TIPO PINCA DE METAL</t>
  </si>
  <si>
    <t>185285</t>
  </si>
  <si>
    <t>766307185285</t>
  </si>
  <si>
    <t>FERRAMENTA MANUAL DE METAL DURO</t>
  </si>
  <si>
    <t>185286</t>
  </si>
  <si>
    <t>766307185286</t>
  </si>
  <si>
    <t>DYNAMIC ROBOTIC SOLUTIONS FRANCE</t>
  </si>
  <si>
    <t>MODULO ALI.P/ET-200S 24V 10 A SIEMENS ST</t>
  </si>
  <si>
    <t>185402</t>
  </si>
  <si>
    <t>760368185402</t>
  </si>
  <si>
    <t>DIMENSIONAL EQUIPAMENTOS ELETRICOS</t>
  </si>
  <si>
    <t>ROLAMENTO 6205 2RS SKF C3</t>
  </si>
  <si>
    <t>185441</t>
  </si>
  <si>
    <t>767349185441</t>
  </si>
  <si>
    <t>ROLAMENTO 6205 ZZ SKF</t>
  </si>
  <si>
    <t>185442</t>
  </si>
  <si>
    <t>767349185442</t>
  </si>
  <si>
    <t>THEVAL PRODUTOS INDUSTRIAIS EIRELI</t>
  </si>
  <si>
    <t>DISPOSISTIVO D/AÇO DISTANC. REF:10138444</t>
  </si>
  <si>
    <t>185600</t>
  </si>
  <si>
    <t>745404185600</t>
  </si>
  <si>
    <t>PORCA BOCAL ROSCADA MSB 2841</t>
  </si>
  <si>
    <t>185731</t>
  </si>
  <si>
    <t>745404185731</t>
  </si>
  <si>
    <t>MOLA HELICOEDAL E CILINDRICA SPO05144647</t>
  </si>
  <si>
    <t>185732</t>
  </si>
  <si>
    <t>745404185732</t>
  </si>
  <si>
    <t>FILTRO DE LINHA FL 05110531</t>
  </si>
  <si>
    <t>185733</t>
  </si>
  <si>
    <t>745404185733</t>
  </si>
  <si>
    <t>SELO PLASTICO DE PROTEÇÃO SP 20422243</t>
  </si>
  <si>
    <t>185734</t>
  </si>
  <si>
    <t>745404185734</t>
  </si>
  <si>
    <t>VALVULA RETENCAO ALTA PRESSAO SL05116561</t>
  </si>
  <si>
    <t>185736</t>
  </si>
  <si>
    <t>745404185736</t>
  </si>
  <si>
    <t>Waterjet Services Inc.</t>
  </si>
  <si>
    <t>RETENTOR 030,00X045,00X07,00 BRG 01833 T</t>
  </si>
  <si>
    <t>185244</t>
  </si>
  <si>
    <t>760855185244</t>
  </si>
  <si>
    <t>RETENTOR 040,00X062,00X08,00 BRG TCS3316</t>
  </si>
  <si>
    <t>185245</t>
  </si>
  <si>
    <t>760855185245</t>
  </si>
  <si>
    <t>SELO MECANICO M7 D22 MM SILÍCIO E VITON</t>
  </si>
  <si>
    <t>183487</t>
  </si>
  <si>
    <t>760855183487</t>
  </si>
  <si>
    <t>SO VEDACOES LTDA.</t>
  </si>
  <si>
    <t>CABEÇOTE DE INJEÇÃO IXING HEAD DUT HV</t>
  </si>
  <si>
    <t>169500</t>
  </si>
  <si>
    <t>756823169500</t>
  </si>
  <si>
    <t>BOMBA DE PISTÃO DE ALTA PRESSÃO 12CC REX</t>
  </si>
  <si>
    <t>181101</t>
  </si>
  <si>
    <t>756823181101</t>
  </si>
  <si>
    <t>BOMBAUTO IMPORTAÇÃO DE</t>
  </si>
  <si>
    <t>BOMBA P142 DUAS VELOCIDADES</t>
  </si>
  <si>
    <t>183081</t>
  </si>
  <si>
    <t>763598183081</t>
  </si>
  <si>
    <t>FERIMPORT COMERCIO REPRESENTAÇÃO E</t>
  </si>
  <si>
    <t>CABO BLINDADO 7 VIAS- 10M</t>
  </si>
  <si>
    <t>183441</t>
  </si>
  <si>
    <t>760487183441</t>
  </si>
  <si>
    <t>CONECTOR 7 PINOS ROSCA METÁLICA</t>
  </si>
  <si>
    <t>183443</t>
  </si>
  <si>
    <t>760487183443</t>
  </si>
  <si>
    <t>MANPEC COMERCIO E SERVIÇOS DE EQUIP</t>
  </si>
  <si>
    <t>6ES71354FB010AB0 SAIDA ANALOGICA SIEMENS</t>
  </si>
  <si>
    <t>184025</t>
  </si>
  <si>
    <t>762608184025</t>
  </si>
  <si>
    <t>FLEX BRASIL ELETRICA ELETRONICA LTD</t>
  </si>
  <si>
    <t>VALVULA DE ESFERA MONOBLOCO 1"</t>
  </si>
  <si>
    <t>184303</t>
  </si>
  <si>
    <t>758306184303</t>
  </si>
  <si>
    <t>VALVULA DE ESFERA MONOBLOCO 1/4"</t>
  </si>
  <si>
    <t>184304</t>
  </si>
  <si>
    <t>758306184304</t>
  </si>
  <si>
    <t>VALVULA DE ESFERA MONOBLOCO 1/2"</t>
  </si>
  <si>
    <t>184305</t>
  </si>
  <si>
    <t>758306184305</t>
  </si>
  <si>
    <t>VALVULA DE ESFERA MONOBLOCO 3/4"</t>
  </si>
  <si>
    <t>184306</t>
  </si>
  <si>
    <t>758306184306</t>
  </si>
  <si>
    <t>ESPIGÃO ROSCA 1/2 MANG 1/4"</t>
  </si>
  <si>
    <t>184530</t>
  </si>
  <si>
    <t>758306184530</t>
  </si>
  <si>
    <t>FILTRO REGULADOR 0-12 BAR 1/2 PNEUMAX</t>
  </si>
  <si>
    <t>185651</t>
  </si>
  <si>
    <t>758306185651</t>
  </si>
  <si>
    <t>ATUADOR PENEUMATICO RAT DUPLA ACAO</t>
  </si>
  <si>
    <t>185652</t>
  </si>
  <si>
    <t>758306185652</t>
  </si>
  <si>
    <t>VALVULA DIRECIONAL DSG-03-282-D24-N1-50</t>
  </si>
  <si>
    <t>185060</t>
  </si>
  <si>
    <t>758306185060</t>
  </si>
  <si>
    <t>VALMASTER EQUIPAMENTOS INDUSTRIAIS</t>
  </si>
  <si>
    <t>CHAVE DE SEGURANÇA CAMPO MAG 2XLED</t>
  </si>
  <si>
    <t>183097</t>
  </si>
  <si>
    <t>763936183097</t>
  </si>
  <si>
    <t>ATUADOR RADIAL UNIVERSAL 3SE5000-0AV05</t>
  </si>
  <si>
    <t>183098</t>
  </si>
  <si>
    <t>763936183098</t>
  </si>
  <si>
    <t>HIGH-END COMÉRCIO DE EQUIPAMENTOS E</t>
  </si>
  <si>
    <t>CILINDRO HIDRAULICO ATOS CK-63/45* 0200</t>
  </si>
  <si>
    <t>181096</t>
  </si>
  <si>
    <t>766310181096</t>
  </si>
  <si>
    <t>BOMBA HIDRAULICA TRIPLA REF AZPFFF</t>
  </si>
  <si>
    <t>183282</t>
  </si>
  <si>
    <t>766310183282</t>
  </si>
  <si>
    <t>MAXHYDRO COMPONENTES HIDRAULICOS LT</t>
  </si>
  <si>
    <t>CABO PP 4X2,5MM 1KV PT</t>
  </si>
  <si>
    <t>186030</t>
  </si>
  <si>
    <t>762693186030</t>
  </si>
  <si>
    <t>CABO PP 4X4MM 1KV PT</t>
  </si>
  <si>
    <t>186071</t>
  </si>
  <si>
    <t>762693186071</t>
  </si>
  <si>
    <t>CABO PP 3 X 1,5MM</t>
  </si>
  <si>
    <t>183580</t>
  </si>
  <si>
    <t>762693183580</t>
  </si>
  <si>
    <t>DISJUNTOR EZ9F33106 1P 6A C</t>
  </si>
  <si>
    <t>184471</t>
  </si>
  <si>
    <t>762693184471</t>
  </si>
  <si>
    <t>DISJUNTOR EZ9F33206 ZP 6A C</t>
  </si>
  <si>
    <t>184472</t>
  </si>
  <si>
    <t>762693184472</t>
  </si>
  <si>
    <t>DISJUNTOR MOTOR GZ1E20 (13...18A)</t>
  </si>
  <si>
    <t>184473</t>
  </si>
  <si>
    <t>762693184473</t>
  </si>
  <si>
    <t>DISJUNTOR MOTOR GZ1E32 (24...32A)</t>
  </si>
  <si>
    <t>184474</t>
  </si>
  <si>
    <t>762693184474</t>
  </si>
  <si>
    <t>DISJUNTOR MOTOR GZ1M03 (0,25...0,4A)</t>
  </si>
  <si>
    <t>184475</t>
  </si>
  <si>
    <t>762693184475</t>
  </si>
  <si>
    <t>RELE RXM2AB2BD (2NA+2NF/24VCC)</t>
  </si>
  <si>
    <t>184477</t>
  </si>
  <si>
    <t>762693184477</t>
  </si>
  <si>
    <t>CONTATOR LC1E0910M7 (9A/220VCA)</t>
  </si>
  <si>
    <t>184478</t>
  </si>
  <si>
    <t>762693184478</t>
  </si>
  <si>
    <t>CABO PP 4 X 6MM</t>
  </si>
  <si>
    <t>184871</t>
  </si>
  <si>
    <t>762693184871</t>
  </si>
  <si>
    <t>INVERSOR DE FREQUENCIA CFW500A04P3T4NB20</t>
  </si>
  <si>
    <t>184391</t>
  </si>
  <si>
    <t>762693184391</t>
  </si>
  <si>
    <t>CABO PP PRETO 4X6MM 1KV</t>
  </si>
  <si>
    <t>184369</t>
  </si>
  <si>
    <t>762693184369</t>
  </si>
  <si>
    <t>CONTATOR LC1D098B (09A/24VAC)</t>
  </si>
  <si>
    <t>183591</t>
  </si>
  <si>
    <t>762693183591</t>
  </si>
  <si>
    <t>CONTATOR CWB18-11-30-C03 18A/24VCC</t>
  </si>
  <si>
    <t>183847</t>
  </si>
  <si>
    <t>762693183847</t>
  </si>
  <si>
    <t>CONTATOR MINI LC1K0901B7 (3P/9A/24VAC)</t>
  </si>
  <si>
    <t>183592</t>
  </si>
  <si>
    <t>762693183592</t>
  </si>
  <si>
    <t>DECORWATTS ELETRICA E ILUMINAÇÃO LT</t>
  </si>
  <si>
    <t>ENGATE P/ OLEO TERM. FEM. 325C 219TDGB26</t>
  </si>
  <si>
    <t>182721</t>
  </si>
  <si>
    <t>760791182721</t>
  </si>
  <si>
    <t>BYR COMPONENTES PARA MOLDES LTDA</t>
  </si>
  <si>
    <t>MANGUEIRA DE ÓLEO TERM. REVES. 1500MM</t>
  </si>
  <si>
    <t>183615</t>
  </si>
  <si>
    <t>713592183615</t>
  </si>
  <si>
    <t>ELEMENTO HYDAC 0160 RN BN4HC</t>
  </si>
  <si>
    <t>186856</t>
  </si>
  <si>
    <t>713592186856</t>
  </si>
  <si>
    <t>MANG 3/4 EM TEFLON C/TERM(S) FJ C/4000</t>
  </si>
  <si>
    <t>186959</t>
  </si>
  <si>
    <t>713592186959</t>
  </si>
  <si>
    <t>PISTOLA DE PINTURA HVLP AUTO 1,0MM DV</t>
  </si>
  <si>
    <t>186214</t>
  </si>
  <si>
    <t>713592186214</t>
  </si>
  <si>
    <t>BLOCO HIDRAULICO MHS-125</t>
  </si>
  <si>
    <t>186241</t>
  </si>
  <si>
    <t>713592186241</t>
  </si>
  <si>
    <t>ENGATE DIANTEIRO TIPO CAMBAO</t>
  </si>
  <si>
    <t>186245</t>
  </si>
  <si>
    <t>713592186245</t>
  </si>
  <si>
    <t>FILTRO SILICIA GEL BDE 1' HYDAC</t>
  </si>
  <si>
    <t>186299</t>
  </si>
  <si>
    <t>713592186299</t>
  </si>
  <si>
    <t>MANG.100R2-08XMPC-15-08X100-12-08X650MM</t>
  </si>
  <si>
    <t>186300</t>
  </si>
  <si>
    <t>713592186300</t>
  </si>
  <si>
    <t>TUBO PU-6-6,00X4MM</t>
  </si>
  <si>
    <t>186322</t>
  </si>
  <si>
    <t>713592186322</t>
  </si>
  <si>
    <t>MANOMETRO ROSCA1/4"VERTICAL GLIC. 250BAR</t>
  </si>
  <si>
    <t>186578</t>
  </si>
  <si>
    <t>713592186578</t>
  </si>
  <si>
    <t>ROLAMENTO 6205C3</t>
  </si>
  <si>
    <t>186579</t>
  </si>
  <si>
    <t>713592186579</t>
  </si>
  <si>
    <t>MANGUEIRA 100R7 - 1/2X1200MM</t>
  </si>
  <si>
    <t>186217</t>
  </si>
  <si>
    <t>713592186217</t>
  </si>
  <si>
    <t>MANGUEIRA 100R7 - 1/2X1300MM</t>
  </si>
  <si>
    <t>186218</t>
  </si>
  <si>
    <t>713592186218</t>
  </si>
  <si>
    <t>CAPA 2 TRAMA 1/2</t>
  </si>
  <si>
    <t>186219</t>
  </si>
  <si>
    <t>713592186219</t>
  </si>
  <si>
    <t>TERMINAL 100-08-08 3/4X1/2</t>
  </si>
  <si>
    <t>186220</t>
  </si>
  <si>
    <t>713592186220</t>
  </si>
  <si>
    <t>ENGATE RAPIDO FACE PLANA 1/2 NPT</t>
  </si>
  <si>
    <t>186298</t>
  </si>
  <si>
    <t>713592186298</t>
  </si>
  <si>
    <t>MANG. 100R7 12X100-16-12X112-16-12X450MM</t>
  </si>
  <si>
    <t>186332</t>
  </si>
  <si>
    <t>713592186332</t>
  </si>
  <si>
    <t>ENGATE RAP.HIDRAULICO MACHO FEMEA 1/2FEM</t>
  </si>
  <si>
    <t>186336</t>
  </si>
  <si>
    <t>713592186336</t>
  </si>
  <si>
    <t>CAPA P/MANGUEIRA DE 1/2</t>
  </si>
  <si>
    <t>186337</t>
  </si>
  <si>
    <t>713592186337</t>
  </si>
  <si>
    <t>TERMINAL</t>
  </si>
  <si>
    <t>186338</t>
  </si>
  <si>
    <t>713592186338</t>
  </si>
  <si>
    <t>MAG.1/2 4000PSI C/TERM.RETO 15 CURVO 90G</t>
  </si>
  <si>
    <t>186339</t>
  </si>
  <si>
    <t>713592186339</t>
  </si>
  <si>
    <t>ELEMENTO FILTRANTE 0240 R 010 HYDAC</t>
  </si>
  <si>
    <t>165016</t>
  </si>
  <si>
    <t>713592165016</t>
  </si>
  <si>
    <t>MANG.100R2-12MPL-20-12X2100MM</t>
  </si>
  <si>
    <t>185181</t>
  </si>
  <si>
    <t>713592185181</t>
  </si>
  <si>
    <t>MANG.100R2-08XMPL-12-08X1800MM</t>
  </si>
  <si>
    <t>185182</t>
  </si>
  <si>
    <t>713592185182</t>
  </si>
  <si>
    <t>TUBO DE ACO 20,00X16,00</t>
  </si>
  <si>
    <t>185183</t>
  </si>
  <si>
    <t>713592185183</t>
  </si>
  <si>
    <t>UNIAO COMPRIDA IGUAL UCA-12 S M20X1,5</t>
  </si>
  <si>
    <t>185184</t>
  </si>
  <si>
    <t>713592185184</t>
  </si>
  <si>
    <t>ANEL DE ACO AA-20</t>
  </si>
  <si>
    <t>185185</t>
  </si>
  <si>
    <t>713592185185</t>
  </si>
  <si>
    <t>MANG 3/4 3100 PSI C/TERM DKO 20 C/2000</t>
  </si>
  <si>
    <t>185232</t>
  </si>
  <si>
    <t>713592185232</t>
  </si>
  <si>
    <t>ELEMENTO FILTRANTE- 0160 R 010 ON-HYDAC</t>
  </si>
  <si>
    <t>185249</t>
  </si>
  <si>
    <t>713592185249</t>
  </si>
  <si>
    <t>VALVULA SIMILAR A VALVULA ZS2</t>
  </si>
  <si>
    <t>185409</t>
  </si>
  <si>
    <t>713592185409</t>
  </si>
  <si>
    <t>MANG 3/4 3100 PSI C/TERM DKO 20 C/1800</t>
  </si>
  <si>
    <t>185710</t>
  </si>
  <si>
    <t>713592185710</t>
  </si>
  <si>
    <t>MANG3/4 1525 PSI C/TERM JIT RETO/90° 900</t>
  </si>
  <si>
    <t>185711</t>
  </si>
  <si>
    <t>713592185711</t>
  </si>
  <si>
    <t>ADAPTADOR MACHO JIC-12X3/4 NPT</t>
  </si>
  <si>
    <t>185712</t>
  </si>
  <si>
    <t>713592185712</t>
  </si>
  <si>
    <t>ADAPTADOR MACHO JIC-12X1 NPT</t>
  </si>
  <si>
    <t>185713</t>
  </si>
  <si>
    <t>713592185713</t>
  </si>
  <si>
    <t>TERMINAL FG RETO -8JIC P/MANG 1/2 (PINO)</t>
  </si>
  <si>
    <t>185714</t>
  </si>
  <si>
    <t>713592185714</t>
  </si>
  <si>
    <t>CAPA PRENSADA PARA MANG 1/2</t>
  </si>
  <si>
    <t>185715</t>
  </si>
  <si>
    <t>713592185715</t>
  </si>
  <si>
    <t>ADAPTADOR MACHO JIC-8X1/2</t>
  </si>
  <si>
    <t>185716</t>
  </si>
  <si>
    <t>713592185716</t>
  </si>
  <si>
    <t>MANOMETRO SAI 600BAR</t>
  </si>
  <si>
    <t>184460</t>
  </si>
  <si>
    <t>713592184460</t>
  </si>
  <si>
    <t>BOMBA DE ENGRENAGEM 3/4 NPT EIXO 18MM</t>
  </si>
  <si>
    <t>184783</t>
  </si>
  <si>
    <t>713592184783</t>
  </si>
  <si>
    <t>ELEMENTO FILT. P/SISTEMA 5 MICRAS HYDAC</t>
  </si>
  <si>
    <t>183873</t>
  </si>
  <si>
    <t>713592183873</t>
  </si>
  <si>
    <t>ELEMENTO FILTRANTE 10 MICRAS</t>
  </si>
  <si>
    <t>183622</t>
  </si>
  <si>
    <t>713592183622</t>
  </si>
  <si>
    <t>ELEMENTO FILTRANTE 74 MICRAS</t>
  </si>
  <si>
    <t>182748</t>
  </si>
  <si>
    <t>713592182748</t>
  </si>
  <si>
    <t>ABC COMPONENTES HIDRAULICOS LTDA -</t>
  </si>
  <si>
    <t>KIT REPARO P/GERADORA DE VACUO PCL.X4BN</t>
  </si>
  <si>
    <t>766128186250</t>
  </si>
  <si>
    <t>KIT REPARO P/CARTUCHO GERA. PCL.X4N-PIAB</t>
  </si>
  <si>
    <t>186331</t>
  </si>
  <si>
    <t>766128186331</t>
  </si>
  <si>
    <t>GERADOR D/VACUO PCLX4BN- 4 CATUCHOS PIAB</t>
  </si>
  <si>
    <t>185941</t>
  </si>
  <si>
    <t>766128185941</t>
  </si>
  <si>
    <t>GERADOR DE VACUO PICLASSIC PIAB</t>
  </si>
  <si>
    <t>185127</t>
  </si>
  <si>
    <t>766128185127</t>
  </si>
  <si>
    <t>PERFIL WATERJET BA 3/4"</t>
  </si>
  <si>
    <t>182806</t>
  </si>
  <si>
    <t>766128182806</t>
  </si>
  <si>
    <t>PROTEC COMERCIO E SERVIÇO EIRELI EP</t>
  </si>
  <si>
    <t>ÓLEO HIDRAULICO 68</t>
  </si>
  <si>
    <t>183166</t>
  </si>
  <si>
    <t>766329183166</t>
  </si>
  <si>
    <t>TERNEC LUBRIFICANTES LTDA</t>
  </si>
  <si>
    <t>MOTOR TT 90L 1.5 KW 4 POLES 1420 REVS</t>
  </si>
  <si>
    <t>801614</t>
  </si>
  <si>
    <t>752140801614</t>
  </si>
  <si>
    <t>MOTOR TT90L 22KW 4 POLES 1420 REVS 66A</t>
  </si>
  <si>
    <t>801615</t>
  </si>
  <si>
    <t>752140801615</t>
  </si>
  <si>
    <t>MOTOR AJUSTE FACA 0.18 KW 4 POLOS B14</t>
  </si>
  <si>
    <t>801616</t>
  </si>
  <si>
    <t>752140801616</t>
  </si>
  <si>
    <t>MOTOR ELETRICO  0,25 KW 250 KW 4 POLES B</t>
  </si>
  <si>
    <t>801617</t>
  </si>
  <si>
    <t>752140801617</t>
  </si>
  <si>
    <t>MOTOR ELET. ELEVAÇÃO CILINDRO KW0,25 4 P</t>
  </si>
  <si>
    <t>801618</t>
  </si>
  <si>
    <t>752140801618</t>
  </si>
  <si>
    <t>REDUTOR COAXIAL MOV. MESA P/ LAM HORIZON</t>
  </si>
  <si>
    <t>801619</t>
  </si>
  <si>
    <t>752140801619</t>
  </si>
  <si>
    <t>REDUTOR COAXIAL B-A72 FA LAM BLOCO HORIZ</t>
  </si>
  <si>
    <t>801630</t>
  </si>
  <si>
    <t>752140801630</t>
  </si>
  <si>
    <t>ENGRENAGEM CONICA 1:1 M=3 Z=25</t>
  </si>
  <si>
    <t>801631</t>
  </si>
  <si>
    <t>752140801631</t>
  </si>
  <si>
    <t>JUNTA TRANSMISÃO TPR204 R. 1/5 FORM B</t>
  </si>
  <si>
    <t>801632</t>
  </si>
  <si>
    <t>752140801632</t>
  </si>
  <si>
    <t>JUNTA BORRACHA RCK 70 40X65 VULCANIZADA</t>
  </si>
  <si>
    <t>801633</t>
  </si>
  <si>
    <t>752140801633</t>
  </si>
  <si>
    <t>PORCA AUTO TRAVANTE GUK M 50</t>
  </si>
  <si>
    <t>801634</t>
  </si>
  <si>
    <t>752140801634</t>
  </si>
  <si>
    <t>PORCA AUTO TRAVANTE GUK M20 X 1</t>
  </si>
  <si>
    <t>801635</t>
  </si>
  <si>
    <t>752140801635</t>
  </si>
  <si>
    <t>UNTA UNIVERSAL 04G CODE SG0S 1200</t>
  </si>
  <si>
    <t>801636</t>
  </si>
  <si>
    <t>752140801636</t>
  </si>
  <si>
    <t>ENGRENAGEM CONICA ESPIRAL PCM BG12 A</t>
  </si>
  <si>
    <t>801637</t>
  </si>
  <si>
    <t>752140801637</t>
  </si>
  <si>
    <t>MANCAL QUADRADO DO ROLAMENTO UCF 204 D 2</t>
  </si>
  <si>
    <t>801638</t>
  </si>
  <si>
    <t>752140801638</t>
  </si>
  <si>
    <t>MANCAL QUADRADO DO ROLAMENTO UCF 210 D 4</t>
  </si>
  <si>
    <t>801639</t>
  </si>
  <si>
    <t>752140801639</t>
  </si>
  <si>
    <t>MANCAL DO ROLAMENTO UCPA 210 D20</t>
  </si>
  <si>
    <t>801640</t>
  </si>
  <si>
    <t>752140801640</t>
  </si>
  <si>
    <t>MANCAL DO ROLAMENTO UCF 206 HOLE D30</t>
  </si>
  <si>
    <t>801641</t>
  </si>
  <si>
    <t>752140801641</t>
  </si>
  <si>
    <t>MANCAL DO ROLAMENTO UPC 210 HOLE 50</t>
  </si>
  <si>
    <t>801642</t>
  </si>
  <si>
    <t>752140801642</t>
  </si>
  <si>
    <t>ROLAMENTO ESFERA 62206 2 RS 30X62X20</t>
  </si>
  <si>
    <t>801643</t>
  </si>
  <si>
    <t>752140801643</t>
  </si>
  <si>
    <t>ROLAMENTO ESFERA 6210 2 RS 50X90X20</t>
  </si>
  <si>
    <t>801644</t>
  </si>
  <si>
    <t>752140801644</t>
  </si>
  <si>
    <t>ROLAMENTO ESFERA PARA MAQ LAMINADORA</t>
  </si>
  <si>
    <t>801645</t>
  </si>
  <si>
    <t>752140801645</t>
  </si>
  <si>
    <t>MOTOR ELETRICO MOV FACA 5.5 KW 5500W B5</t>
  </si>
  <si>
    <t>801646</t>
  </si>
  <si>
    <t>752140801646</t>
  </si>
  <si>
    <t>Mazzola S.r.l.</t>
  </si>
  <si>
    <t>TERMORESIST. PT100 3 FIO 50CM HASTE 1/4"</t>
  </si>
  <si>
    <t>185448</t>
  </si>
  <si>
    <t>763677185448</t>
  </si>
  <si>
    <t>TRAVA ROSCA</t>
  </si>
  <si>
    <t>184533</t>
  </si>
  <si>
    <t>763677184533</t>
  </si>
  <si>
    <t>VASELINA SPRAY</t>
  </si>
  <si>
    <t>184534</t>
  </si>
  <si>
    <t>763677184534</t>
  </si>
  <si>
    <t>MANOMETRO ROSCA VERTICAL 60 BAR 2"</t>
  </si>
  <si>
    <t>184535</t>
  </si>
  <si>
    <t>763677184535</t>
  </si>
  <si>
    <t>DISJUNTOR MONOPOLAR 1A CURVA C</t>
  </si>
  <si>
    <t>184536</t>
  </si>
  <si>
    <t>763677184536</t>
  </si>
  <si>
    <t>SACO DE ESTOPA</t>
  </si>
  <si>
    <t>185835</t>
  </si>
  <si>
    <t>763677185835</t>
  </si>
  <si>
    <t>CONTATOR TIP 18A LC1E1810B624VDC</t>
  </si>
  <si>
    <t>182704</t>
  </si>
  <si>
    <t>763677182704</t>
  </si>
  <si>
    <t>CONTATOR AUXILIAR CA3KN40BD</t>
  </si>
  <si>
    <t>183183</t>
  </si>
  <si>
    <t>763677183183</t>
  </si>
  <si>
    <t>FIM DE CURSO ZCP21M12</t>
  </si>
  <si>
    <t>183184</t>
  </si>
  <si>
    <t>763677183184</t>
  </si>
  <si>
    <t>BOTOEIRA COM SINALIZAÇÃO AZUL</t>
  </si>
  <si>
    <t>183370</t>
  </si>
  <si>
    <t>763677183370</t>
  </si>
  <si>
    <t>FERRAGEM PARA FICHARIO 4 ARGOLAS</t>
  </si>
  <si>
    <t>183459</t>
  </si>
  <si>
    <t>763677183459</t>
  </si>
  <si>
    <t>SENSOR INDUTIVO M08 NBB 1,5</t>
  </si>
  <si>
    <t>183633</t>
  </si>
  <si>
    <t>763677183633</t>
  </si>
  <si>
    <t>CABEÇA LEITORA MG-M-20</t>
  </si>
  <si>
    <t>183936</t>
  </si>
  <si>
    <t>763677183936</t>
  </si>
  <si>
    <t>ATUADOR MAGNETICO MG-M-M</t>
  </si>
  <si>
    <t>183937</t>
  </si>
  <si>
    <t>763677183937</t>
  </si>
  <si>
    <t>MANOMETRO CX INOX D 62MM1/4 BSP 0A 60BAR</t>
  </si>
  <si>
    <t>184542</t>
  </si>
  <si>
    <t>763677184542</t>
  </si>
  <si>
    <t>MANOMETRO CX INOX D 62MM1/4 BSP 0A 100BA</t>
  </si>
  <si>
    <t>184543</t>
  </si>
  <si>
    <t>763677184543</t>
  </si>
  <si>
    <t>MANOMETRO CX INOX D 62MM1/4 BSP 0A 250BA</t>
  </si>
  <si>
    <t>184544</t>
  </si>
  <si>
    <t>763677184544</t>
  </si>
  <si>
    <t>MANOMETRO CX INOX D 62MM1/4 BSP 0A 400BA</t>
  </si>
  <si>
    <t>184545</t>
  </si>
  <si>
    <t>763677184545</t>
  </si>
  <si>
    <t>TERMORESISTENCIA PT100 3FIO C/2MTS HASTE</t>
  </si>
  <si>
    <t>184640</t>
  </si>
  <si>
    <t>763677184640</t>
  </si>
  <si>
    <t>CABO FLEX 4MM</t>
  </si>
  <si>
    <t>181634</t>
  </si>
  <si>
    <t>763677181634</t>
  </si>
  <si>
    <t>CABO FLEX 2,5MM</t>
  </si>
  <si>
    <t>181635</t>
  </si>
  <si>
    <t>763677181635</t>
  </si>
  <si>
    <t>CABO FLEX 6MM</t>
  </si>
  <si>
    <t>181636</t>
  </si>
  <si>
    <t>763677181636</t>
  </si>
  <si>
    <t>CHAVE TRIPOLAR 30A MARGIRIUS CS102</t>
  </si>
  <si>
    <t>180845</t>
  </si>
  <si>
    <t>763677180845</t>
  </si>
  <si>
    <t>CHAVE REVERSORA 30A CR-830 MARGIRIUS</t>
  </si>
  <si>
    <t>DISJUNTOR TERMICO FIXO E MAG FIXO EZC TR</t>
  </si>
  <si>
    <t>180838</t>
  </si>
  <si>
    <t>763677180838</t>
  </si>
  <si>
    <t>CONTATOR TRIP 18A 24VCC 1NA+1NF AC3(32A/</t>
  </si>
  <si>
    <t>CONTATOR TRIP 12A 24VCC 1NA+1NF AC3 (25A</t>
  </si>
  <si>
    <t>CONTATOR TRIP 9A 24VCC 1NA+1NF AC3(25A/A</t>
  </si>
  <si>
    <t>BLOCO CONTATO AUX FRONTAL 2NA+2NF P/CWB9</t>
  </si>
  <si>
    <t>BLOCO CONTATO AUX FRONTAL 1NA+1NF P/CW</t>
  </si>
  <si>
    <t>ICARO FERNANDO PITA NERYS</t>
  </si>
  <si>
    <t>ROCOL ASP 1 KG=MONTAGENS</t>
  </si>
  <si>
    <t>180446</t>
  </si>
  <si>
    <t>761204180446</t>
  </si>
  <si>
    <t>BXS33 CORREIA</t>
  </si>
  <si>
    <t>180445</t>
  </si>
  <si>
    <t>761204180445</t>
  </si>
  <si>
    <t>ROLIMEC ROLAMENTOS LTDA</t>
  </si>
  <si>
    <t>MASCARA ADVANTAGE 2 SAIDA GMC CA.8558</t>
  </si>
  <si>
    <t>184275</t>
  </si>
  <si>
    <t>764643184275</t>
  </si>
  <si>
    <t>LUVA GALV 1</t>
  </si>
  <si>
    <t>180683</t>
  </si>
  <si>
    <t>764643180683</t>
  </si>
  <si>
    <t>BUCHA DE REDUÇÃO 1/2" X 1/4</t>
  </si>
  <si>
    <t>184077</t>
  </si>
  <si>
    <t>764643184077</t>
  </si>
  <si>
    <t>TUBO GALV. DE 1/2" C/ ROSCA</t>
  </si>
  <si>
    <t>185489</t>
  </si>
  <si>
    <t>764643185489</t>
  </si>
  <si>
    <t>TEE GALV DE 1/2"</t>
  </si>
  <si>
    <t>185490</t>
  </si>
  <si>
    <t>764643185490</t>
  </si>
  <si>
    <t>ELETROCALHA 200X50</t>
  </si>
  <si>
    <t>185737</t>
  </si>
  <si>
    <t>764643185737</t>
  </si>
  <si>
    <t>EMENDA DE CALHA</t>
  </si>
  <si>
    <t>185738</t>
  </si>
  <si>
    <t>764643185738</t>
  </si>
  <si>
    <t>TUBO GALV DE 1" C/ROSCA</t>
  </si>
  <si>
    <t>185739</t>
  </si>
  <si>
    <t>764643185739</t>
  </si>
  <si>
    <t>COTOVELO GALV 1/2"</t>
  </si>
  <si>
    <t>184076</t>
  </si>
  <si>
    <t>764643184076</t>
  </si>
  <si>
    <t>REGISTRO ESFERA DE 1/2"</t>
  </si>
  <si>
    <t>184885</t>
  </si>
  <si>
    <t>764643184885</t>
  </si>
  <si>
    <t>VALMETAL CONEXÕES E FERRAGENS EM GE</t>
  </si>
  <si>
    <t>ACOPLAMENTO INDUSTRIAL 38/45 ROTEX</t>
  </si>
  <si>
    <t>185599</t>
  </si>
  <si>
    <t>762740185599</t>
  </si>
  <si>
    <t>MACHO AR TERCEIRO M 42 X 4,5 MM PASSO</t>
  </si>
  <si>
    <t>181339</t>
  </si>
  <si>
    <t>762740181339</t>
  </si>
  <si>
    <t>MACHO AR TERCEIRO M48X5 MM</t>
  </si>
  <si>
    <t>181340</t>
  </si>
  <si>
    <t>762740181340</t>
  </si>
  <si>
    <t>MACHO TERCEIRO M30X3,5 MM PASSO</t>
  </si>
  <si>
    <t>181341</t>
  </si>
  <si>
    <t>762740181341</t>
  </si>
  <si>
    <t>MACHO TERCEIRO M36X 3 MM PASSO</t>
  </si>
  <si>
    <t>181810</t>
  </si>
  <si>
    <t>762740181810</t>
  </si>
  <si>
    <t>PA. ALLEN C/CAB. AÇO LIGA 12X180X1,75 C/</t>
  </si>
  <si>
    <t>180745</t>
  </si>
  <si>
    <t>762740180745</t>
  </si>
  <si>
    <t>PARAFUSO ALLEN CAB CIL M4 X 10</t>
  </si>
  <si>
    <t>180623</t>
  </si>
  <si>
    <t>762740180623</t>
  </si>
  <si>
    <t>PARAFUSO ALLEN CAB CIL M6 X 60</t>
  </si>
  <si>
    <t>180622</t>
  </si>
  <si>
    <t>762740180622</t>
  </si>
  <si>
    <t>PARAFUSO ALLEN CAB CIL M6 X 16</t>
  </si>
  <si>
    <t>180621</t>
  </si>
  <si>
    <t>762740180621</t>
  </si>
  <si>
    <t>PARAFUSO ALLEN CAB CIL 8X30</t>
  </si>
  <si>
    <t>180624</t>
  </si>
  <si>
    <t>762740180624</t>
  </si>
  <si>
    <t>PARAFUSO ALLEN CAB CIL 8X40</t>
  </si>
  <si>
    <t>180578</t>
  </si>
  <si>
    <t>762740180578</t>
  </si>
  <si>
    <t>O PARAFUSO DE AÇO REPRESENTAÇÕES IN</t>
  </si>
  <si>
    <t>HYDRAULIC CARTRIDGE SEAL ASSEMBLY</t>
  </si>
  <si>
    <t>185321</t>
  </si>
  <si>
    <t>763548185321</t>
  </si>
  <si>
    <t>SPRING GUIDE FLAT OUTLET POPPET SEALIN H</t>
  </si>
  <si>
    <t>185322</t>
  </si>
  <si>
    <t>763548185322</t>
  </si>
  <si>
    <t>NOZZLE NUT, 3/8"</t>
  </si>
  <si>
    <t>185326</t>
  </si>
  <si>
    <t>763548185326</t>
  </si>
  <si>
    <t>DYNAMIC SEAL ASSEMBLY</t>
  </si>
  <si>
    <t>185709</t>
  </si>
  <si>
    <t>763548185709</t>
  </si>
  <si>
    <t>REPAIR KIT- HP PNEUMATIC VALVE  N/C</t>
  </si>
  <si>
    <t>185830</t>
  </si>
  <si>
    <t>763548185830</t>
  </si>
  <si>
    <t>COIL SERPENTINA EIXO 4</t>
  </si>
  <si>
    <t>185108</t>
  </si>
  <si>
    <t>763548185108</t>
  </si>
  <si>
    <t>SPRING, FLAT OUTLET POPPET SEALING HEAD</t>
  </si>
  <si>
    <t>185323</t>
  </si>
  <si>
    <t>763548185323</t>
  </si>
  <si>
    <t>SEAT, PNEUMATIC VALVE</t>
  </si>
  <si>
    <t>185324</t>
  </si>
  <si>
    <t>763548185324</t>
  </si>
  <si>
    <t>BEARING DISK PNEUMATIC VALVE ACTUATOR</t>
  </si>
  <si>
    <t>185325</t>
  </si>
  <si>
    <t>763548185325</t>
  </si>
  <si>
    <t>NOZZLE TUBE R 9/19" X 7.650 3/8" NN</t>
  </si>
  <si>
    <t>184078</t>
  </si>
  <si>
    <t>763548184078</t>
  </si>
  <si>
    <t>SERPENTINA COIO EIXO 1</t>
  </si>
  <si>
    <t>183731</t>
  </si>
  <si>
    <t>763548183731</t>
  </si>
  <si>
    <t>ORIFICE ASSEMBLY 008'/0.20MM ORA2260008</t>
  </si>
  <si>
    <t>183675</t>
  </si>
  <si>
    <t>763548183675</t>
  </si>
  <si>
    <t>ORIFICE ASSEMBLY 006'/0.15MM ORA2260006</t>
  </si>
  <si>
    <t>183674</t>
  </si>
  <si>
    <t>763548183674</t>
  </si>
  <si>
    <t>REPAIR KIT-PNEUMATIC VALV N/C 60,000 PSI</t>
  </si>
  <si>
    <t>183500</t>
  </si>
  <si>
    <t>763548183500</t>
  </si>
  <si>
    <t>REPAIR KIT, NORMALLY CLOSED VALVE - KMT</t>
  </si>
  <si>
    <t>181747</t>
  </si>
  <si>
    <t>763548181747</t>
  </si>
  <si>
    <t>ORFICE,006(.152MM)</t>
  </si>
  <si>
    <t>181746</t>
  </si>
  <si>
    <t>763548181746</t>
  </si>
  <si>
    <t>COMPRESSION SPRING - HP/UHP CHECK VALVE</t>
  </si>
  <si>
    <t>180550</t>
  </si>
  <si>
    <t>763548180550</t>
  </si>
  <si>
    <t>POPPET VALVE - DISCHARGE, HP/UHP CHECK V</t>
  </si>
  <si>
    <t>DELTA PARTS - AUTOMAÇÃO E INSTRUMEN</t>
  </si>
  <si>
    <t>TINTA ALUMINIO 3,6L</t>
  </si>
  <si>
    <t>180436</t>
  </si>
  <si>
    <t>761418180436</t>
  </si>
  <si>
    <t>CONTROLADOR PROGRAMÁVEL LG K7M-DT3OU</t>
  </si>
  <si>
    <t>186466</t>
  </si>
  <si>
    <t>761418186466</t>
  </si>
  <si>
    <t>ESMERIL CARB PONTA ROSA MONTADA A-15</t>
  </si>
  <si>
    <t>186656</t>
  </si>
  <si>
    <t>761418186656</t>
  </si>
  <si>
    <t>VALVULA MANUAL FECHAMENTO</t>
  </si>
  <si>
    <t>186911</t>
  </si>
  <si>
    <t>761418186911</t>
  </si>
  <si>
    <t>TROCADOR DE CALOR BRAZADO LAVAL CB30-50H</t>
  </si>
  <si>
    <t>186912</t>
  </si>
  <si>
    <t>761418186912</t>
  </si>
  <si>
    <t>ADAPTADOR NUCLEO PARA ARAME MIG</t>
  </si>
  <si>
    <t>185837</t>
  </si>
  <si>
    <t>761418185837</t>
  </si>
  <si>
    <t>ARAME MIG WELD S6 0,8MM 15KG</t>
  </si>
  <si>
    <t>185838</t>
  </si>
  <si>
    <t>761418185838</t>
  </si>
  <si>
    <t>PONTAS MONTADAS MOD. A 34</t>
  </si>
  <si>
    <t>PONTAS MONTADAS MOD. A 24</t>
  </si>
  <si>
    <t>PONTAS MONTADAS MOD. A 21</t>
  </si>
  <si>
    <t>PONTAS MONTADAS MOD. A 6</t>
  </si>
  <si>
    <t>PONTAS MONTADAS MOD. A 5</t>
  </si>
  <si>
    <t>MULTI SOLDAS COMERCIO LTDA - EPP</t>
  </si>
  <si>
    <t>TERMORRESISTENCIA COM 3 FIOS HASTE 1/4</t>
  </si>
  <si>
    <t>766126186022</t>
  </si>
  <si>
    <t>LUVA YELING PRETA  CA:14.628 TAM: 07</t>
  </si>
  <si>
    <t>180313</t>
  </si>
  <si>
    <t>766126180313</t>
  </si>
  <si>
    <t>CARCACA HAM 10B XOBREPOR 1TRAVA TAM2XM20</t>
  </si>
  <si>
    <t>186109</t>
  </si>
  <si>
    <t>766126186109</t>
  </si>
  <si>
    <t>766126180436</t>
  </si>
  <si>
    <t>TUBO METALON 20X20XNA CHAPA 20</t>
  </si>
  <si>
    <t>185287</t>
  </si>
  <si>
    <t>766126185287</t>
  </si>
  <si>
    <t>BUCHA PARA GESSO DRYWALL CX C/100 PÇS</t>
  </si>
  <si>
    <t>184707</t>
  </si>
  <si>
    <t>766126184707</t>
  </si>
  <si>
    <t>VIGA U ENRRIGECIDA D/4' NA CHAPA 12 C/6M</t>
  </si>
  <si>
    <t>185098</t>
  </si>
  <si>
    <t>766126185098</t>
  </si>
  <si>
    <t>VIGA U DE 2" X 1/8 COM 6MTS</t>
  </si>
  <si>
    <t>185099</t>
  </si>
  <si>
    <t>766126185099</t>
  </si>
  <si>
    <t>PARAFUSO AUTO BROCANTE DE 3/16"X1</t>
  </si>
  <si>
    <t>185100</t>
  </si>
  <si>
    <t>766126185100</t>
  </si>
  <si>
    <t>TELHA DE ZINCO COM 7MTS</t>
  </si>
  <si>
    <t>185101</t>
  </si>
  <si>
    <t>766126185101</t>
  </si>
  <si>
    <t>REBITE REPUXO 516 FIX ALL CX C/1000PÇ</t>
  </si>
  <si>
    <t>185550</t>
  </si>
  <si>
    <t>766126185550</t>
  </si>
  <si>
    <t>VELCRO 25MM</t>
  </si>
  <si>
    <t>185561</t>
  </si>
  <si>
    <t>766126185561</t>
  </si>
  <si>
    <t>TERMOMETRO PT-100 3 FIOS 2MTS</t>
  </si>
  <si>
    <t>183788</t>
  </si>
  <si>
    <t>766126183788</t>
  </si>
  <si>
    <t>JOSE ALEXANDRE FRANCISCO DOS SANTOS</t>
  </si>
  <si>
    <t>CONTROLADOR TEMPERATURA ANALOGICO M48</t>
  </si>
  <si>
    <t>173081</t>
  </si>
  <si>
    <t>763438173081</t>
  </si>
  <si>
    <t>CALIBRACOM CONTROLE DE PROCESSOS IN</t>
  </si>
  <si>
    <t>RODA 8X2 PU EL. ALUM DUP ROL 6204 RS MAN</t>
  </si>
  <si>
    <t>186029</t>
  </si>
  <si>
    <t>763877186029</t>
  </si>
  <si>
    <t>CABLE 13324551/20,0</t>
  </si>
  <si>
    <t>185050</t>
  </si>
  <si>
    <t>763877185050</t>
  </si>
  <si>
    <t>CABLE 13354345/10.0</t>
  </si>
  <si>
    <t>185051</t>
  </si>
  <si>
    <t>763877185051</t>
  </si>
  <si>
    <t>CABLE 13324535/20.0</t>
  </si>
  <si>
    <t>185052</t>
  </si>
  <si>
    <t>763877185052</t>
  </si>
  <si>
    <t>185053</t>
  </si>
  <si>
    <t>763877185053</t>
  </si>
  <si>
    <t>CABLE 13354221/5.0</t>
  </si>
  <si>
    <t>185057</t>
  </si>
  <si>
    <t>763877185057</t>
  </si>
  <si>
    <t>PINHAO MN1.00 Z17 L18 D12 0004105X</t>
  </si>
  <si>
    <t>185702</t>
  </si>
  <si>
    <t>763877185702</t>
  </si>
  <si>
    <t>ROD.DENT2 MN1.00 Z55 L8 D16 A41 48690</t>
  </si>
  <si>
    <t>185703</t>
  </si>
  <si>
    <t>763877185703</t>
  </si>
  <si>
    <t>JUNTA R/RF27 6414796</t>
  </si>
  <si>
    <t>185704</t>
  </si>
  <si>
    <t>763877185704</t>
  </si>
  <si>
    <t>RETENTOR W AS35X62X7-NBR 0012740X</t>
  </si>
  <si>
    <t>185705</t>
  </si>
  <si>
    <t>763877185705</t>
  </si>
  <si>
    <t>ROL. ESF 6007</t>
  </si>
  <si>
    <t>185706</t>
  </si>
  <si>
    <t>763877185706</t>
  </si>
  <si>
    <t>ROL. ESF. 6306</t>
  </si>
  <si>
    <t>185707</t>
  </si>
  <si>
    <t>763877185707</t>
  </si>
  <si>
    <t>ELETRODO 6013 DE 2,5MM</t>
  </si>
  <si>
    <t>185708</t>
  </si>
  <si>
    <t>763877185708</t>
  </si>
  <si>
    <t>CABO_CABLE 01995405 / 5.0</t>
  </si>
  <si>
    <t>180348</t>
  </si>
  <si>
    <t>763877180348</t>
  </si>
  <si>
    <t>SEW EURODRIVE BRASIL LTDA</t>
  </si>
  <si>
    <t>ELEMENTO FILTRANTE PP 10u D2,5" x 10"</t>
  </si>
  <si>
    <t>183450</t>
  </si>
  <si>
    <t>702706183450</t>
  </si>
  <si>
    <t>CORREIA ARMALON 2410 MED 150X 9110MM</t>
  </si>
  <si>
    <t>183763</t>
  </si>
  <si>
    <t>702706183763</t>
  </si>
  <si>
    <t>CORREIA ARMALON 1450 X 9080 MM</t>
  </si>
  <si>
    <t>183111</t>
  </si>
  <si>
    <t>702706183111</t>
  </si>
  <si>
    <t>CORREIA ARMALON 1670 X 9800 MM</t>
  </si>
  <si>
    <t>183113</t>
  </si>
  <si>
    <t>702706183113</t>
  </si>
  <si>
    <t>LENÇOL ARMALON DE TEFLON COM ADESIVO</t>
  </si>
  <si>
    <t>INDACO INDUSTRIA E COMERCIO LTDA</t>
  </si>
  <si>
    <t>ESMERIL CARB PONTA ROSA MONTADA A-24</t>
  </si>
  <si>
    <t>186658</t>
  </si>
  <si>
    <t>763482186658</t>
  </si>
  <si>
    <t>ESMERIL CARB PONTA ROSA MONTADA A-36</t>
  </si>
  <si>
    <t>186659</t>
  </si>
  <si>
    <t>763482186659</t>
  </si>
  <si>
    <t>TAMPA P/CURVA HORIZ. 90° GALV 100MM</t>
  </si>
  <si>
    <t>186741</t>
  </si>
  <si>
    <t>763482186741</t>
  </si>
  <si>
    <t>FRESADORA PORTATIL</t>
  </si>
  <si>
    <t>164924</t>
  </si>
  <si>
    <t>763482164924</t>
  </si>
  <si>
    <t>SERVIÇO</t>
  </si>
  <si>
    <t>990503</t>
  </si>
  <si>
    <t>763482990503</t>
  </si>
  <si>
    <t>USIMAN USINAGEM E MANUTENÇÃO</t>
  </si>
  <si>
    <t>VENTILADOR INDUSTRIAL DE PAREDE 1M</t>
  </si>
  <si>
    <t>186472</t>
  </si>
  <si>
    <t>757779186472</t>
  </si>
  <si>
    <t>VENTILADOR AXIAL OSVA-500</t>
  </si>
  <si>
    <t>186474</t>
  </si>
  <si>
    <t>757779186474</t>
  </si>
  <si>
    <t>NÃOTECIDO TOK PRETO 1,70M X 2,55M 1650G</t>
  </si>
  <si>
    <t>186475</t>
  </si>
  <si>
    <t>757779186475</t>
  </si>
  <si>
    <t>TAMPA EM AÇO GALVANIZADO D310MM</t>
  </si>
  <si>
    <t>186581</t>
  </si>
  <si>
    <t>757779186581</t>
  </si>
  <si>
    <t>LIXA CARB D'AGUA N° 80</t>
  </si>
  <si>
    <t>186582</t>
  </si>
  <si>
    <t>757779186582</t>
  </si>
  <si>
    <t>LIXA CARB D'AGUA N° 100</t>
  </si>
  <si>
    <t>186583</t>
  </si>
  <si>
    <t>757779186583</t>
  </si>
  <si>
    <t>LIXA CARB D'AGUA N° 320</t>
  </si>
  <si>
    <t>186584</t>
  </si>
  <si>
    <t>757779186584</t>
  </si>
  <si>
    <t>RIBBON DE MISTO 110X450</t>
  </si>
  <si>
    <t>186585</t>
  </si>
  <si>
    <t>757779186585</t>
  </si>
  <si>
    <t>MANG 3/4 3100PSI C/TERM DKO C/1900</t>
  </si>
  <si>
    <t>186592</t>
  </si>
  <si>
    <t>757779186592</t>
  </si>
  <si>
    <t>MANG 3/8 4800PSI C/TERM DKO C/1900</t>
  </si>
  <si>
    <t>186593</t>
  </si>
  <si>
    <t>757779186593</t>
  </si>
  <si>
    <t>CURVA VERTICAL 90° GALV 100X50MM</t>
  </si>
  <si>
    <t>186742</t>
  </si>
  <si>
    <t>757779186742</t>
  </si>
  <si>
    <t>FITA ISOLANTE ALTA FUSÃO</t>
  </si>
  <si>
    <t>183369</t>
  </si>
  <si>
    <t>757779183369</t>
  </si>
  <si>
    <t>CONTROLADOR DE TEMPERATURA 600 1RDR 01</t>
  </si>
  <si>
    <t>185851</t>
  </si>
  <si>
    <t>757779185851</t>
  </si>
  <si>
    <t>BLOCO DE CONTATOR AUX RH2911-1HA 22</t>
  </si>
  <si>
    <t>185852</t>
  </si>
  <si>
    <t>757779185852</t>
  </si>
  <si>
    <t>CONTATOR WEG 25A-11-30V 23</t>
  </si>
  <si>
    <t>185853</t>
  </si>
  <si>
    <t>757779185853</t>
  </si>
  <si>
    <t>DISJUNTOR MOTOR SCHNEIDER DE 6 A 10A</t>
  </si>
  <si>
    <t>185854</t>
  </si>
  <si>
    <t>757779185854</t>
  </si>
  <si>
    <t>CONTATOR 32A 24V CA REF.LC1D32B7</t>
  </si>
  <si>
    <t>185856</t>
  </si>
  <si>
    <t>757779185856</t>
  </si>
  <si>
    <t>CABO FLEX 1KV EPR 1X25MM PT 90G</t>
  </si>
  <si>
    <t>185949</t>
  </si>
  <si>
    <t>757779185949</t>
  </si>
  <si>
    <t>CABO FLEX 1KV 90G 35MM AZ</t>
  </si>
  <si>
    <t>185950</t>
  </si>
  <si>
    <t>757779185950</t>
  </si>
  <si>
    <t>CABO FELX 1KV 90G EPR 35MM PT</t>
  </si>
  <si>
    <t>185951</t>
  </si>
  <si>
    <t>757779185951</t>
  </si>
  <si>
    <t>CABO FLEX 1KV 90G EPR 35MM AZ</t>
  </si>
  <si>
    <t>185952</t>
  </si>
  <si>
    <t>757779185952</t>
  </si>
  <si>
    <t>LUVA COMPRESSAO 25MM</t>
  </si>
  <si>
    <t>185953</t>
  </si>
  <si>
    <t>757779185953</t>
  </si>
  <si>
    <t>LUVA COMPRESSAO 35MM</t>
  </si>
  <si>
    <t>185954</t>
  </si>
  <si>
    <t>757779185954</t>
  </si>
  <si>
    <t>DISJUNTOR 2A MONOFASICO</t>
  </si>
  <si>
    <t>182710</t>
  </si>
  <si>
    <t>757779182710</t>
  </si>
  <si>
    <t>757779183370</t>
  </si>
  <si>
    <t>DISJUNTOR TRIPOLAR 50A</t>
  </si>
  <si>
    <t>185498</t>
  </si>
  <si>
    <t>757779185498</t>
  </si>
  <si>
    <t>FITA ISOLANTE SCOTCH 3M PRETA</t>
  </si>
  <si>
    <t>185500</t>
  </si>
  <si>
    <t>757779185500</t>
  </si>
  <si>
    <t>ACOPLAMENTO 3P + T32A FEMEA 380V</t>
  </si>
  <si>
    <t>185591</t>
  </si>
  <si>
    <t>757779185591</t>
  </si>
  <si>
    <t>ACOPLAMENTO 3P + T16A FEMEA 380V</t>
  </si>
  <si>
    <t>185592</t>
  </si>
  <si>
    <t>757779185592</t>
  </si>
  <si>
    <t>DISJUNTOR MOTOR GV2-ME08C/2,5-4A SCHNEID</t>
  </si>
  <si>
    <t>185593</t>
  </si>
  <si>
    <t>757779185593</t>
  </si>
  <si>
    <t>CONTATOR DE FORÇA 24V NA +NF 25A</t>
  </si>
  <si>
    <t>185594</t>
  </si>
  <si>
    <t>757779185594</t>
  </si>
  <si>
    <t>DISJUNTOR MOTOR GV2 ME061-1.6A SCHNEIDOR</t>
  </si>
  <si>
    <t>185595</t>
  </si>
  <si>
    <t>757779185595</t>
  </si>
  <si>
    <t>CONTATOR AUXILIAR GV AE11 SCHNEIDER</t>
  </si>
  <si>
    <t>185596</t>
  </si>
  <si>
    <t>757779185596</t>
  </si>
  <si>
    <t>DISJUNTOR MOTOR GV2ME-16 C/9-14A SCHNEID</t>
  </si>
  <si>
    <t>185597</t>
  </si>
  <si>
    <t>757779185597</t>
  </si>
  <si>
    <t>FITA DE FIBRA DE VIDRO ALTA TEMPERATURA</t>
  </si>
  <si>
    <t>185598</t>
  </si>
  <si>
    <t>757779185598</t>
  </si>
  <si>
    <t>757779184534</t>
  </si>
  <si>
    <t>MANOMETRO CX INOX D 62MM1/4 BSP 0A 500BA</t>
  </si>
  <si>
    <t>184546</t>
  </si>
  <si>
    <t>757779184546</t>
  </si>
  <si>
    <t>DESANDADOR PARA MACHO TIPO "T" C/CATRACA</t>
  </si>
  <si>
    <t>178360</t>
  </si>
  <si>
    <t>757779178360</t>
  </si>
  <si>
    <t>REAL SUPRIMENTOS E SERVICOS IND.LTD</t>
  </si>
  <si>
    <t>DR BIPOLAR 30MA TIPO AC 40A</t>
  </si>
  <si>
    <t>177464</t>
  </si>
  <si>
    <t>761157177464</t>
  </si>
  <si>
    <t>AVANTE SUPRIMENTOS INDUSTRIAIS LTDA</t>
  </si>
  <si>
    <t>TOMADA DE SOPREPOR HARTING SÉRIE HAN 24B</t>
  </si>
  <si>
    <t>177354</t>
  </si>
  <si>
    <t>763031177354</t>
  </si>
  <si>
    <t>PLUG/HOUSING HARTING SÉRIE HAM EMC/B 24B</t>
  </si>
  <si>
    <t>177355</t>
  </si>
  <si>
    <t>763031177355</t>
  </si>
  <si>
    <t>INCERTO MACHO HARTING SÉRIE HAM E 24 VIA</t>
  </si>
  <si>
    <t>177356</t>
  </si>
  <si>
    <t>763031177356</t>
  </si>
  <si>
    <t>INSERTO FÊMEA HARTING SÉRIE HAM E 24 VIA</t>
  </si>
  <si>
    <t>177357</t>
  </si>
  <si>
    <t>763031177357</t>
  </si>
  <si>
    <t>CARCAÇA HAN 10 EMC/B ENTRADA LATERAL 1 T</t>
  </si>
  <si>
    <t>177379</t>
  </si>
  <si>
    <t>763031177379</t>
  </si>
  <si>
    <t>CARCAÇA HAN 10B SOBREPOR 1 TRAVA TAM 2XM</t>
  </si>
  <si>
    <t>177378</t>
  </si>
  <si>
    <t>763031177378</t>
  </si>
  <si>
    <t>INSERTO HAN E 10 PINOS POS. MACHO C/ TER</t>
  </si>
  <si>
    <t>177377</t>
  </si>
  <si>
    <t>763031177377</t>
  </si>
  <si>
    <t>INSERTO HAN E 10 PINOS POS. FÊMEA C/ TER</t>
  </si>
  <si>
    <t>177376</t>
  </si>
  <si>
    <t>763031177376</t>
  </si>
  <si>
    <t>PRECIMECH SOLUÇÕES INDUSTRIAIS LTDA</t>
  </si>
  <si>
    <t>756964186337</t>
  </si>
  <si>
    <t>756964186338</t>
  </si>
  <si>
    <t>LUBRAX SUPERA</t>
  </si>
  <si>
    <t>186340</t>
  </si>
  <si>
    <t>756964186340</t>
  </si>
  <si>
    <t>CABEÇOTE ZCY49 (P/FIM DE CURSO)</t>
  </si>
  <si>
    <t>184388</t>
  </si>
  <si>
    <t>756964184388</t>
  </si>
  <si>
    <t>756964183592</t>
  </si>
  <si>
    <t>CONTATOR LC1D09B7 (09A/24VCA)</t>
  </si>
  <si>
    <t>184224</t>
  </si>
  <si>
    <t>756964184224</t>
  </si>
  <si>
    <t>CONTATOR LC1E95F7</t>
  </si>
  <si>
    <t>184024</t>
  </si>
  <si>
    <t>756964184024</t>
  </si>
  <si>
    <t>SENSOR MAGNETICO BNS3312ZG187</t>
  </si>
  <si>
    <t>183642</t>
  </si>
  <si>
    <t>756964183642</t>
  </si>
  <si>
    <t>SENSOR INDUTIVO BES 516-324-SA8-05</t>
  </si>
  <si>
    <t>183498</t>
  </si>
  <si>
    <t>756964183498</t>
  </si>
  <si>
    <t>SENSOR INDUTIVO BES 516-370-G-ES-Y-S4/BR</t>
  </si>
  <si>
    <t>183574</t>
  </si>
  <si>
    <t>756964183574</t>
  </si>
  <si>
    <t>RELE DE ESTADO SOLIDO 48D60A</t>
  </si>
  <si>
    <t>184012</t>
  </si>
  <si>
    <t>756964184012</t>
  </si>
  <si>
    <t>SAFIRA 006 - ORIFICIO WATERJET</t>
  </si>
  <si>
    <t>QUADRO COMANDO QCS4030-20 400X300X200</t>
  </si>
  <si>
    <t>182960</t>
  </si>
  <si>
    <t>756964182960</t>
  </si>
  <si>
    <t>FONTE DE ALIMENTAÇÃO 24VDC - 220VAC</t>
  </si>
  <si>
    <t>183222</t>
  </si>
  <si>
    <t>756964183222</t>
  </si>
  <si>
    <t>SENSOR FIM DE CURSO HASTE ALUM</t>
  </si>
  <si>
    <t>182463</t>
  </si>
  <si>
    <t>756964182463</t>
  </si>
  <si>
    <t>CILINDRO COMPACTO MACHO 050X040 DAS</t>
  </si>
  <si>
    <t>CABEÇOTE P/ FIM DE CURSO</t>
  </si>
  <si>
    <t>182461</t>
  </si>
  <si>
    <t>756964182461</t>
  </si>
  <si>
    <t>SENSOR FIM DE CURSO C/CABO</t>
  </si>
  <si>
    <t>182462</t>
  </si>
  <si>
    <t>756964182462</t>
  </si>
  <si>
    <t>FIM DE CURSO XCKN2118G11</t>
  </si>
  <si>
    <t>177469</t>
  </si>
  <si>
    <t>756964177469</t>
  </si>
  <si>
    <t>FONTE DE ALIMENTAÇÃO ABL8RPS24050</t>
  </si>
  <si>
    <t>CONTATOR LC1E95F7 (95A/110VCA)</t>
  </si>
  <si>
    <t>177588</t>
  </si>
  <si>
    <t>756964177588</t>
  </si>
  <si>
    <t>DISJUNTOR EZ9F33316 3P 16A C</t>
  </si>
  <si>
    <t>177466</t>
  </si>
  <si>
    <t>756964177466</t>
  </si>
  <si>
    <t>DISJUNTOR EZ9F33332 3P 32A C</t>
  </si>
  <si>
    <t>177467</t>
  </si>
  <si>
    <t>756964177467</t>
  </si>
  <si>
    <t>DISJUNTOR EZ9F33350 3P 50A C</t>
  </si>
  <si>
    <t>ELETROFLASH LTDA</t>
  </si>
  <si>
    <t>VALVULA PNEUMATICA 3/2 VIAS SIMPLES SOLE</t>
  </si>
  <si>
    <t>HMPC SOLUÇÕES EM AUTOMAÇÃO LTDA</t>
  </si>
  <si>
    <t>OLEO PNEUMATICO MOBIL UNILUB-10</t>
  </si>
  <si>
    <t>767287186951</t>
  </si>
  <si>
    <t>ALCOOL EM GEL</t>
  </si>
  <si>
    <t>181506</t>
  </si>
  <si>
    <t>767287181506</t>
  </si>
  <si>
    <t>COPO DESCARTAVEL C/ 2500UNID.</t>
  </si>
  <si>
    <t>181508</t>
  </si>
  <si>
    <t>767287181508</t>
  </si>
  <si>
    <t>PLASTICO PARA PLASTIFICAR A4 C/ 100UNID</t>
  </si>
  <si>
    <t>181643</t>
  </si>
  <si>
    <t>767287181643</t>
  </si>
  <si>
    <t>COTOVELO MACHO FEMEA 3/4</t>
  </si>
  <si>
    <t>186662</t>
  </si>
  <si>
    <t>767287186662</t>
  </si>
  <si>
    <t>ABRAÇADEIRA FLEXIVEL 19X27</t>
  </si>
  <si>
    <t>186663</t>
  </si>
  <si>
    <t>767287186663</t>
  </si>
  <si>
    <t>SELO MECANICO TIPO 21 DE 1 VEDAÇÃO VITON</t>
  </si>
  <si>
    <t>185527</t>
  </si>
  <si>
    <t>767287185527</t>
  </si>
  <si>
    <t>MODERNA SOLUCOES EM EQUIPAMENTOS IN</t>
  </si>
  <si>
    <t>MARCADOR PILOT AZUL 2.0</t>
  </si>
  <si>
    <t>183774</t>
  </si>
  <si>
    <t>756803183774</t>
  </si>
  <si>
    <t>MARCADOR PILOT PRETO 2.0</t>
  </si>
  <si>
    <t>183775</t>
  </si>
  <si>
    <t>756803183775</t>
  </si>
  <si>
    <t>QUEROSENE TANARA 1L</t>
  </si>
  <si>
    <t>183857</t>
  </si>
  <si>
    <t>756803183857</t>
  </si>
  <si>
    <t>CAFÉ LITRO</t>
  </si>
  <si>
    <t>183893</t>
  </si>
  <si>
    <t>756803183893</t>
  </si>
  <si>
    <t>LANCHE  - 3° TURNO</t>
  </si>
  <si>
    <t>183894</t>
  </si>
  <si>
    <t>756803183894</t>
  </si>
  <si>
    <t>REFEICAO 3° TURNO</t>
  </si>
  <si>
    <t>183895</t>
  </si>
  <si>
    <t>756803183895</t>
  </si>
  <si>
    <t>COLA BASTÃO</t>
  </si>
  <si>
    <t>183940</t>
  </si>
  <si>
    <t>756803183940</t>
  </si>
  <si>
    <t>KIT ESCOLAR FUNDAMENTAL-1° AO 5° ANO</t>
  </si>
  <si>
    <t>185147</t>
  </si>
  <si>
    <t>756803185147</t>
  </si>
  <si>
    <t>KIT PISTÃO DV=SPA-006-0X-K</t>
  </si>
  <si>
    <t>184013</t>
  </si>
  <si>
    <t>756803184013</t>
  </si>
  <si>
    <t>BICO DE FLUIDO 1,0MM DV=SP-0200S-10</t>
  </si>
  <si>
    <t>184016</t>
  </si>
  <si>
    <t>756803184016</t>
  </si>
  <si>
    <t>KIT ORING DV= S-28225X-K2</t>
  </si>
  <si>
    <t>184017</t>
  </si>
  <si>
    <t>756803184017</t>
  </si>
  <si>
    <t>KIT REPARO BOTÃO FLUIDO DV=SPA-KK-1</t>
  </si>
  <si>
    <t>184018</t>
  </si>
  <si>
    <t>756803184018</t>
  </si>
  <si>
    <t>AGULHA FLUIDO COBRAZ 1.0DV=SPA 0320-10-K</t>
  </si>
  <si>
    <t>184019</t>
  </si>
  <si>
    <t>756803184019</t>
  </si>
  <si>
    <t>MOLA DE AGULHA DV=SAP-0031</t>
  </si>
  <si>
    <t>184020</t>
  </si>
  <si>
    <t>756803184020</t>
  </si>
  <si>
    <t>KIT ANEL COM 10 PÇS DV=SPA-0053-K10</t>
  </si>
  <si>
    <t>184034</t>
  </si>
  <si>
    <t>756803184034</t>
  </si>
  <si>
    <t>KIT PISTÃO DV=SPA-006-X-K</t>
  </si>
  <si>
    <t>185403</t>
  </si>
  <si>
    <t>756803185403</t>
  </si>
  <si>
    <t>BICO/AGULHA 1,8MM P/PISTOLA 24A750 GR-24</t>
  </si>
  <si>
    <t>185013</t>
  </si>
  <si>
    <t>756803185013</t>
  </si>
  <si>
    <t>KIT CAPA DE AR 24B-545</t>
  </si>
  <si>
    <t>185268</t>
  </si>
  <si>
    <t>756803185268</t>
  </si>
  <si>
    <t>ANEL CAPA D/AR PISTOLA AIR PRO GR-289079</t>
  </si>
  <si>
    <t>185269</t>
  </si>
  <si>
    <t>756803185269</t>
  </si>
  <si>
    <t>BICO/AGULHA 1,8MM P/PISTOLA 24A750</t>
  </si>
  <si>
    <t>185270</t>
  </si>
  <si>
    <t>756803185270</t>
  </si>
  <si>
    <t>KIT PINO 24B 546</t>
  </si>
  <si>
    <t>183911</t>
  </si>
  <si>
    <t>756803183911</t>
  </si>
  <si>
    <t>KIT VEDAÇÃO JUNTAS PISTOLA AUTO AIRSYS G</t>
  </si>
  <si>
    <t>183973</t>
  </si>
  <si>
    <t>756803183973</t>
  </si>
  <si>
    <t>TUBO SECCAO</t>
  </si>
  <si>
    <t>183974</t>
  </si>
  <si>
    <t>756803183974</t>
  </si>
  <si>
    <t>CAPA DE AR HLVP DV=SP-0100-522</t>
  </si>
  <si>
    <t>184015</t>
  </si>
  <si>
    <t>756803184015</t>
  </si>
  <si>
    <t>1ONTEIRA MOLA DV=SPA-0049</t>
  </si>
  <si>
    <t>184032</t>
  </si>
  <si>
    <t>756803184032</t>
  </si>
  <si>
    <t>CJ GUARNIÇÃO C/10 PÇS DV=SPA-0086-K10</t>
  </si>
  <si>
    <t>184033</t>
  </si>
  <si>
    <t>756803184033</t>
  </si>
  <si>
    <t>KIT ANEL C/4 PÇS DV= S-28223X-K4</t>
  </si>
  <si>
    <t>184037</t>
  </si>
  <si>
    <t>756803184037</t>
  </si>
  <si>
    <t>CAPA DE AR SPA-0112</t>
  </si>
  <si>
    <t>184038</t>
  </si>
  <si>
    <t>756803184038</t>
  </si>
  <si>
    <t>MANIPOLD P/ PISTOLA 241747 GR-288217</t>
  </si>
  <si>
    <t>183398</t>
  </si>
  <si>
    <t>756803183398</t>
  </si>
  <si>
    <t>CARLSONS PRODUTOS INDUSTRIAIS LTDA</t>
  </si>
  <si>
    <t>ELEMENTO FILT.ABSOLUTO PP 0.2u D2,5'X10</t>
  </si>
  <si>
    <t>186759</t>
  </si>
  <si>
    <t>755801186759</t>
  </si>
  <si>
    <t>755801180313</t>
  </si>
  <si>
    <t>POST IT GRANDE</t>
  </si>
  <si>
    <t>183011</t>
  </si>
  <si>
    <t>755801183011</t>
  </si>
  <si>
    <t>CARTUCHO MAS BAIONETA GMC ADVANTEGE</t>
  </si>
  <si>
    <t>183057</t>
  </si>
  <si>
    <t>755801183057</t>
  </si>
  <si>
    <t>BROCA DE ACO RAPIDO 8MM</t>
  </si>
  <si>
    <t>183074</t>
  </si>
  <si>
    <t>755801183074</t>
  </si>
  <si>
    <t>SAPATO C/ELASTICO FUJIWARA N39</t>
  </si>
  <si>
    <t>183260</t>
  </si>
  <si>
    <t>755801183260</t>
  </si>
  <si>
    <t>INSERTO HAM 10 PINOS POS.FEMEA</t>
  </si>
  <si>
    <t>186107</t>
  </si>
  <si>
    <t>755801186107</t>
  </si>
  <si>
    <t>INSERTO HAM 10 PINOS POS.MACHO</t>
  </si>
  <si>
    <t>186108</t>
  </si>
  <si>
    <t>755801186108</t>
  </si>
  <si>
    <t>TEE IGUAL 08</t>
  </si>
  <si>
    <t>186324</t>
  </si>
  <si>
    <t>755801186324</t>
  </si>
  <si>
    <t>MANGUEIRA 100R7-10X100-12-10X4800MM</t>
  </si>
  <si>
    <t>186325</t>
  </si>
  <si>
    <t>755801186325</t>
  </si>
  <si>
    <t>REGISTRO ESFERA FEMEA 1.1/4 PASSAGEM PLE</t>
  </si>
  <si>
    <t>185902</t>
  </si>
  <si>
    <t>755801185902</t>
  </si>
  <si>
    <t>SENSOR INDUTIVO IM 5115</t>
  </si>
  <si>
    <t>186152</t>
  </si>
  <si>
    <t>755801186152</t>
  </si>
  <si>
    <t>CABO COM CONECTOR EVC 002</t>
  </si>
  <si>
    <t>186153</t>
  </si>
  <si>
    <t>755801186153</t>
  </si>
  <si>
    <t>UNIAO 06MM</t>
  </si>
  <si>
    <t>186077</t>
  </si>
  <si>
    <t>755801186077</t>
  </si>
  <si>
    <t>MANGUEIRA PU 10MM</t>
  </si>
  <si>
    <t>182587</t>
  </si>
  <si>
    <t>755801182587</t>
  </si>
  <si>
    <t>BOTOEIRA SIN. BRAN REF-HB2-BE101,1NO220V</t>
  </si>
  <si>
    <t>184374</t>
  </si>
  <si>
    <t>755801184374</t>
  </si>
  <si>
    <t>VALVULA ESFERA</t>
  </si>
  <si>
    <t>184500</t>
  </si>
  <si>
    <t>755801184500</t>
  </si>
  <si>
    <t>ACOPLAMENTO LIKMA 3P+T32A FEMEA</t>
  </si>
  <si>
    <t>184539</t>
  </si>
  <si>
    <t>755801184539</t>
  </si>
  <si>
    <t>REDUÇAO DE 12X10</t>
  </si>
  <si>
    <t>185137</t>
  </si>
  <si>
    <t>755801185137</t>
  </si>
  <si>
    <t>CONEXAO RETA 08X08</t>
  </si>
  <si>
    <t>185138</t>
  </si>
  <si>
    <t>755801185138</t>
  </si>
  <si>
    <t>UNIAO T DE 10</t>
  </si>
  <si>
    <t>185139</t>
  </si>
  <si>
    <t>755801185139</t>
  </si>
  <si>
    <t>CONEXAO RETA 1/4X08</t>
  </si>
  <si>
    <t>185140</t>
  </si>
  <si>
    <t>755801185140</t>
  </si>
  <si>
    <t>CONEXAO RETA 1/4X06</t>
  </si>
  <si>
    <t>185141</t>
  </si>
  <si>
    <t>755801185141</t>
  </si>
  <si>
    <t>CONEXAO RETA 1/4X10</t>
  </si>
  <si>
    <t>185142</t>
  </si>
  <si>
    <t>755801185142</t>
  </si>
  <si>
    <t>CONEXAO RETA 1/2X10</t>
  </si>
  <si>
    <t>185143</t>
  </si>
  <si>
    <t>755801185143</t>
  </si>
  <si>
    <t>CONEXAO RETA 1/2X08</t>
  </si>
  <si>
    <t>185144</t>
  </si>
  <si>
    <t>755801185144</t>
  </si>
  <si>
    <t>CONEXAO RETA 1/2X06</t>
  </si>
  <si>
    <t>185145</t>
  </si>
  <si>
    <t>755801185145</t>
  </si>
  <si>
    <t>CONEXAO RETA 12MM</t>
  </si>
  <si>
    <t>185146</t>
  </si>
  <si>
    <t>755801185146</t>
  </si>
  <si>
    <t>DISCO DE CORTE 4 1/2</t>
  </si>
  <si>
    <t>185238</t>
  </si>
  <si>
    <t>755801185238</t>
  </si>
  <si>
    <t>DISCO DE DEBASTE 4 1/2</t>
  </si>
  <si>
    <t>185239</t>
  </si>
  <si>
    <t>755801185239</t>
  </si>
  <si>
    <t>SENSOR PEPPERL-FUCHS NCB1,5-18GM60-E2-D-</t>
  </si>
  <si>
    <t>185272</t>
  </si>
  <si>
    <t>755801185272</t>
  </si>
  <si>
    <t>LUMINÁRIA LED 50W 6500K</t>
  </si>
  <si>
    <t>185494</t>
  </si>
  <si>
    <t>755801185494</t>
  </si>
  <si>
    <t>VALVULA DIAFRAGMA 2/2 VIAS 24DC 3/4</t>
  </si>
  <si>
    <t>185653</t>
  </si>
  <si>
    <t>755801185653</t>
  </si>
  <si>
    <t>CONTROLADOR DE TEMPERATURA GEFRON</t>
  </si>
  <si>
    <t>183368</t>
  </si>
  <si>
    <t>755801183368</t>
  </si>
  <si>
    <t>ELEMENTO FILTRANTE PP 50u D2,5" x 10"</t>
  </si>
  <si>
    <t>183447</t>
  </si>
  <si>
    <t>755801183447</t>
  </si>
  <si>
    <t>ELEMENTO FILTRANTE PP 20u D2,5" x 10"</t>
  </si>
  <si>
    <t>183449</t>
  </si>
  <si>
    <t>755801183449</t>
  </si>
  <si>
    <t>755801183450</t>
  </si>
  <si>
    <t>ELEMENTO FILTRANTE PP 5.0u D2,5" x 10"</t>
  </si>
  <si>
    <t>183451</t>
  </si>
  <si>
    <t>755801183451</t>
  </si>
  <si>
    <t>ELEMENTO FILTRANTE PP 0.2u D2,5" x 10"</t>
  </si>
  <si>
    <t>183453</t>
  </si>
  <si>
    <t>755801183453</t>
  </si>
  <si>
    <t>SENSOR PAPPERL-FUCHS NCB1,5 14GM60E2-DV1</t>
  </si>
  <si>
    <t>183842</t>
  </si>
  <si>
    <t>755801183842</t>
  </si>
  <si>
    <t>VALVULA DE ESFERA MONOBLOCO 1.1/2</t>
  </si>
  <si>
    <t>184302</t>
  </si>
  <si>
    <t>755801184302</t>
  </si>
  <si>
    <t>755801184303</t>
  </si>
  <si>
    <t>755801184304</t>
  </si>
  <si>
    <t>755801184306</t>
  </si>
  <si>
    <t>SENSOR CBN15-18GK75-E2-V1 PEPPERL-FUCHS</t>
  </si>
  <si>
    <t>184452</t>
  </si>
  <si>
    <t>755801184452</t>
  </si>
  <si>
    <t>ESPIGÃO ROSCA 3/4 MANG 1"</t>
  </si>
  <si>
    <t>184526</t>
  </si>
  <si>
    <t>755801184526</t>
  </si>
  <si>
    <t>ESPIGÃO ROSCA 1/2 MANG DE 1/2</t>
  </si>
  <si>
    <t>184527</t>
  </si>
  <si>
    <t>755801184527</t>
  </si>
  <si>
    <t>ESPIGÃO ROSCA 3/4 MANG 3/4</t>
  </si>
  <si>
    <t>184528</t>
  </si>
  <si>
    <t>755801184528</t>
  </si>
  <si>
    <t>ESPIGÃO ROSCA 3/4 MANG 1/2"</t>
  </si>
  <si>
    <t>184529</t>
  </si>
  <si>
    <t>755801184529</t>
  </si>
  <si>
    <t>755801184530</t>
  </si>
  <si>
    <t>184531</t>
  </si>
  <si>
    <t>755801184531</t>
  </si>
  <si>
    <t>ESPIGÃO ROSCA 1/2 MANG 3/4"</t>
  </si>
  <si>
    <t>184532</t>
  </si>
  <si>
    <t>755801184532</t>
  </si>
  <si>
    <t>CORREA B36</t>
  </si>
  <si>
    <t>184537</t>
  </si>
  <si>
    <t>755801184537</t>
  </si>
  <si>
    <t>PE DE COBRA</t>
  </si>
  <si>
    <t>184538</t>
  </si>
  <si>
    <t>755801184538</t>
  </si>
  <si>
    <t>CONTROLADOR N1200-3R-485-24V</t>
  </si>
  <si>
    <t>183793</t>
  </si>
  <si>
    <t>755801183793</t>
  </si>
  <si>
    <t>BORNE SAK 6,00 MM</t>
  </si>
  <si>
    <t>183479</t>
  </si>
  <si>
    <t>755801183479</t>
  </si>
  <si>
    <t>BORNE SAK 6 MM VERDE</t>
  </si>
  <si>
    <t>183476</t>
  </si>
  <si>
    <t>755801183476</t>
  </si>
  <si>
    <t>BORNE SAK 2,5 MM VERDE</t>
  </si>
  <si>
    <t>183477</t>
  </si>
  <si>
    <t>755801183477</t>
  </si>
  <si>
    <t>BORNE SAK 2,5 MM</t>
  </si>
  <si>
    <t>183481</t>
  </si>
  <si>
    <t>755801183481</t>
  </si>
  <si>
    <t>CAIXA PLASTICA 80 X 100 X 150 STECK</t>
  </si>
  <si>
    <t>183794</t>
  </si>
  <si>
    <t>755801183794</t>
  </si>
  <si>
    <t>CABO V3-WM-5M-PVC PEPEL-FUCHS</t>
  </si>
  <si>
    <t>183841</t>
  </si>
  <si>
    <t>755801183841</t>
  </si>
  <si>
    <t>755801184305</t>
  </si>
  <si>
    <t>TERMINAL PINO PRE- ISOLADO 2,0 MM</t>
  </si>
  <si>
    <t>183399</t>
  </si>
  <si>
    <t>755801183399</t>
  </si>
  <si>
    <t>TERMINAL PINO PRE- ISOLADO 1,5 MM</t>
  </si>
  <si>
    <t>183400</t>
  </si>
  <si>
    <t>755801183400</t>
  </si>
  <si>
    <t>TERMINAL PINO PRE- ISOLADO 1,0 MM</t>
  </si>
  <si>
    <t>183471</t>
  </si>
  <si>
    <t>755801183471</t>
  </si>
  <si>
    <t>TERMINAL PINO PRE- ISOLADO 0,75 MM</t>
  </si>
  <si>
    <t>183472</t>
  </si>
  <si>
    <t>755801183472</t>
  </si>
  <si>
    <t>TERMINAL PINO PRE- ISOLADO 0,5 MM</t>
  </si>
  <si>
    <t>183474</t>
  </si>
  <si>
    <t>755801183474</t>
  </si>
  <si>
    <t>MICROVENTILADOR TA 20060HBL 200X200X60MM</t>
  </si>
  <si>
    <t>183181</t>
  </si>
  <si>
    <t>755801183181</t>
  </si>
  <si>
    <t>SENSOR MAGNETICO PILZ PSEN GS3 1A</t>
  </si>
  <si>
    <t>183216</t>
  </si>
  <si>
    <t>755801183216</t>
  </si>
  <si>
    <t>ATUADOR DO SENSOR DE SEGURANÇA</t>
  </si>
  <si>
    <t>183217</t>
  </si>
  <si>
    <t>755801183217</t>
  </si>
  <si>
    <t>VALVULA SOLEN. 2/2 VIAS P/ AGUA 1" 24VDC</t>
  </si>
  <si>
    <t>183284</t>
  </si>
  <si>
    <t>755801183284</t>
  </si>
  <si>
    <t>MANOMETRO ROSCA VERT. 1/4" BSP 0 A 100</t>
  </si>
  <si>
    <t>183285</t>
  </si>
  <si>
    <t>755801183285</t>
  </si>
  <si>
    <t>MANOMETRO ROSCA VERT. 1/4" BSP 0 A 250</t>
  </si>
  <si>
    <t>183286</t>
  </si>
  <si>
    <t>755801183286</t>
  </si>
  <si>
    <t>MANOMETRO ROSCA VERT. 1/4" BSP 0 A 400</t>
  </si>
  <si>
    <t>183287</t>
  </si>
  <si>
    <t>755801183287</t>
  </si>
  <si>
    <t>MANOMETRO ROSCA VERT. 1/4" BSP 0 A 500</t>
  </si>
  <si>
    <t>183288</t>
  </si>
  <si>
    <t>755801183288</t>
  </si>
  <si>
    <t>SIEMENS 6ES7135 ET200S 2AO U</t>
  </si>
  <si>
    <t>182714</t>
  </si>
  <si>
    <t>755801182714</t>
  </si>
  <si>
    <t>MANGUEIRA PU 12MM</t>
  </si>
  <si>
    <t>182853</t>
  </si>
  <si>
    <t>755801182853</t>
  </si>
  <si>
    <t>MANGUEIRA PU 8 MM</t>
  </si>
  <si>
    <t>182854</t>
  </si>
  <si>
    <t>755801182854</t>
  </si>
  <si>
    <t>UNIAO RETA 08MM</t>
  </si>
  <si>
    <t>181818</t>
  </si>
  <si>
    <t>755801181818</t>
  </si>
  <si>
    <t>UNIAO RETA 06MM</t>
  </si>
  <si>
    <t>181819</t>
  </si>
  <si>
    <t>755801181819</t>
  </si>
  <si>
    <t>UNIAO RETA 10MM</t>
  </si>
  <si>
    <t>181820</t>
  </si>
  <si>
    <t>755801181820</t>
  </si>
  <si>
    <t>TE UNIAO 08MM</t>
  </si>
  <si>
    <t>181821</t>
  </si>
  <si>
    <t>755801181821</t>
  </si>
  <si>
    <t>TE UNIAO 10MM</t>
  </si>
  <si>
    <t>181822</t>
  </si>
  <si>
    <t>755801181822</t>
  </si>
  <si>
    <t>UNIAO REDUCAO 10X06MM</t>
  </si>
  <si>
    <t>181823</t>
  </si>
  <si>
    <t>755801181823</t>
  </si>
  <si>
    <t>UNIAO REDUCAO 08X06MM</t>
  </si>
  <si>
    <t>181824</t>
  </si>
  <si>
    <t>755801181824</t>
  </si>
  <si>
    <t>UNIAO REDUCAO 10X08MM</t>
  </si>
  <si>
    <t>181825</t>
  </si>
  <si>
    <t>755801181825</t>
  </si>
  <si>
    <t>SILENCIADOR DE BRONZE CONICO BSP 3/8</t>
  </si>
  <si>
    <t>CONEXÃO RETA MACHO 1/8 X 06MM</t>
  </si>
  <si>
    <t>180908</t>
  </si>
  <si>
    <t>755801180908</t>
  </si>
  <si>
    <t>CONEXÃO RETA MACHO 1/8 X 10MM</t>
  </si>
  <si>
    <t>180919</t>
  </si>
  <si>
    <t>755801180919</t>
  </si>
  <si>
    <t>CONEXÃO RETA MACHO 1/4 X 06MM BSP</t>
  </si>
  <si>
    <t>180910</t>
  </si>
  <si>
    <t>755801180910</t>
  </si>
  <si>
    <t>CONEXÃO UNIÃO REDUÇÃO 08 X 06MM</t>
  </si>
  <si>
    <t>180911</t>
  </si>
  <si>
    <t>755801180911</t>
  </si>
  <si>
    <t>CONEXÃO RETA 1/8 X 08MM</t>
  </si>
  <si>
    <t>180917</t>
  </si>
  <si>
    <t>755801180917</t>
  </si>
  <si>
    <t>CONEXÃO RETA MACHO 1/4 X 10MM BSP</t>
  </si>
  <si>
    <t>180916</t>
  </si>
  <si>
    <t>755801180916</t>
  </si>
  <si>
    <t>CONEXÃO RETA MACHO 1/4X8MM BSP</t>
  </si>
  <si>
    <t>180915</t>
  </si>
  <si>
    <t>755801180915</t>
  </si>
  <si>
    <t>CONEXÃO UNIÃO REDUCAO 10 X 08MM</t>
  </si>
  <si>
    <t>180912</t>
  </si>
  <si>
    <t>755801180912</t>
  </si>
  <si>
    <t>UNIÃO RETA 8MM</t>
  </si>
  <si>
    <t>180913</t>
  </si>
  <si>
    <t>755801180913</t>
  </si>
  <si>
    <t>SENSOR NBB1,5-8GM60-A2</t>
  </si>
  <si>
    <t>180494</t>
  </si>
  <si>
    <t>755801180494</t>
  </si>
  <si>
    <t>PINO GARFO ELETRICO FEMEA</t>
  </si>
  <si>
    <t>180559</t>
  </si>
  <si>
    <t>755801180559</t>
  </si>
  <si>
    <t>UNIÃO REDUCAO 10MM X 8 MM</t>
  </si>
  <si>
    <t>180556</t>
  </si>
  <si>
    <t>755801180556</t>
  </si>
  <si>
    <t>UNIÃO REDUCAO 10MM X 6 MM</t>
  </si>
  <si>
    <t>180557</t>
  </si>
  <si>
    <t>755801180557</t>
  </si>
  <si>
    <t>REATOR ELETRONICO AFP 2X32W</t>
  </si>
  <si>
    <t>180460</t>
  </si>
  <si>
    <t>755801180460</t>
  </si>
  <si>
    <t>UNIÃO REDUÇÃO 10MM X 06MM</t>
  </si>
  <si>
    <t>180332</t>
  </si>
  <si>
    <t>755801180332</t>
  </si>
  <si>
    <t>VALVULA ESFERA 1 1/4"</t>
  </si>
  <si>
    <t>CONEXÃO PNEUMATICA TEE 4MM</t>
  </si>
  <si>
    <t>177257</t>
  </si>
  <si>
    <t>755801177257</t>
  </si>
  <si>
    <t>CONEXÃO PNEUMATICA TEE 10MM</t>
  </si>
  <si>
    <t>CONEXÃO PNEUMATICA LUVA 8MM</t>
  </si>
  <si>
    <t>177260</t>
  </si>
  <si>
    <t>755801177260</t>
  </si>
  <si>
    <t>TERMOMETRO BIMETALICO DIAMETRO 63MM</t>
  </si>
  <si>
    <t>177623</t>
  </si>
  <si>
    <t>755801177623</t>
  </si>
  <si>
    <t>CABO NEBU-M8G3-K-5-LE3541334 E7BCE</t>
  </si>
  <si>
    <t>177624</t>
  </si>
  <si>
    <t>755801177624</t>
  </si>
  <si>
    <t>NORDESTE SISTEMAS HIDRAULICOS E PNE</t>
  </si>
  <si>
    <t>SERVO MOTOR BMH1002P06A2A REF 8804</t>
  </si>
  <si>
    <t>169956</t>
  </si>
  <si>
    <t>767584169956</t>
  </si>
  <si>
    <t>ROLAMENTO ESFERA 6005-2Z-C3-K52</t>
  </si>
  <si>
    <t>185303</t>
  </si>
  <si>
    <t>767584185303</t>
  </si>
  <si>
    <t>ENCONDER AK0H</t>
  </si>
  <si>
    <t>185304</t>
  </si>
  <si>
    <t>767584185304</t>
  </si>
  <si>
    <t>JUNTA CMP63</t>
  </si>
  <si>
    <t>185305</t>
  </si>
  <si>
    <t>767584185305</t>
  </si>
  <si>
    <t>FREIO BP09 7NM 24DC</t>
  </si>
  <si>
    <t>185306</t>
  </si>
  <si>
    <t>767584185306</t>
  </si>
  <si>
    <t>ROLAMENTO ESFERA 6003-2Z-C3-K52</t>
  </si>
  <si>
    <t>185308</t>
  </si>
  <si>
    <t>767584185308</t>
  </si>
  <si>
    <t>RETENTOR W A22x40x7-FKM-FKO</t>
  </si>
  <si>
    <t>185309</t>
  </si>
  <si>
    <t>767584185309</t>
  </si>
  <si>
    <t>185310</t>
  </si>
  <si>
    <t>767584185310</t>
  </si>
  <si>
    <t>SEW-EURODRIVE BRASIL LTDA</t>
  </si>
  <si>
    <t>MASCARA PFF2 C/VALVULA CA 38503</t>
  </si>
  <si>
    <t>183362</t>
  </si>
  <si>
    <t>764142183362</t>
  </si>
  <si>
    <t>PROTETOR AURICULAR DESCARTAVEL-ESPUMA</t>
  </si>
  <si>
    <t>183378</t>
  </si>
  <si>
    <t>764142183378</t>
  </si>
  <si>
    <t>764142183447</t>
  </si>
  <si>
    <t>APARA ESQ. E/TELEFON 142,98X204,00X26,80</t>
  </si>
  <si>
    <t>184172</t>
  </si>
  <si>
    <t>764142184172</t>
  </si>
  <si>
    <t>SEMORIN TIRA GORDURA</t>
  </si>
  <si>
    <t>185059</t>
  </si>
  <si>
    <t>764142185059</t>
  </si>
  <si>
    <t>DIALINE IQUINE 3.6L - LARANJA</t>
  </si>
  <si>
    <t>185150</t>
  </si>
  <si>
    <t>764142185150</t>
  </si>
  <si>
    <t>CABO D/SEG.-CS- 1/8-450MM AÇO CAB.N/ELET</t>
  </si>
  <si>
    <t>185054</t>
  </si>
  <si>
    <t>764142185054</t>
  </si>
  <si>
    <t>CABO D/SEG.-CS- 1/8-520MM AÇO CAB.N/ELET</t>
  </si>
  <si>
    <t>185055</t>
  </si>
  <si>
    <t>764142185055</t>
  </si>
  <si>
    <t>CABO D/SEG.-CS- 1/8-640MM AÇO CAB.N/ELET</t>
  </si>
  <si>
    <t>185056</t>
  </si>
  <si>
    <t>764142185056</t>
  </si>
  <si>
    <t>CORREIA 16 T10 16MT (GATES)</t>
  </si>
  <si>
    <t>185482</t>
  </si>
  <si>
    <t>764142185482</t>
  </si>
  <si>
    <t>ACOPLAMENTO AG 67 ACRIFLEX</t>
  </si>
  <si>
    <t>184486</t>
  </si>
  <si>
    <t>764142184486</t>
  </si>
  <si>
    <t>ELEMENTO ELASTICO AG 67</t>
  </si>
  <si>
    <t>184487</t>
  </si>
  <si>
    <t>764142184487</t>
  </si>
  <si>
    <t>ACOPLAMENTO AG 82 ACRIFLEX</t>
  </si>
  <si>
    <t>184488</t>
  </si>
  <si>
    <t>764142184488</t>
  </si>
  <si>
    <t>ELEMENTO ELASTICO AG 82</t>
  </si>
  <si>
    <t>184489</t>
  </si>
  <si>
    <t>764142184489</t>
  </si>
  <si>
    <t>MANGUEIRA DE ÓLEO TERM. REVES. 1000MM</t>
  </si>
  <si>
    <t>183613</t>
  </si>
  <si>
    <t>764142183613</t>
  </si>
  <si>
    <t>MANGUEIRA SPIROFLEX 8"</t>
  </si>
  <si>
    <t>183905</t>
  </si>
  <si>
    <t>764142183905</t>
  </si>
  <si>
    <t>REGISTRO 5 PARAF DE 1"</t>
  </si>
  <si>
    <t>183679</t>
  </si>
  <si>
    <t>764142183679</t>
  </si>
  <si>
    <t>MANGUEIRA DE ÓLEO TERM. REVES. 2300MM</t>
  </si>
  <si>
    <t>183616</t>
  </si>
  <si>
    <t>764142183616</t>
  </si>
  <si>
    <t>764142183615</t>
  </si>
  <si>
    <t>ENGATE RAPIDO HID. 1/2" NPT MOD:TMF-2050</t>
  </si>
  <si>
    <t>184212</t>
  </si>
  <si>
    <t>764142184212</t>
  </si>
  <si>
    <t>PINO ENGATE HID. 1/2" NPT MOD:TMM-2050-1</t>
  </si>
  <si>
    <t>184213</t>
  </si>
  <si>
    <t>764142184213</t>
  </si>
  <si>
    <t>TMS IMPORTADORA E COMERCIO LTDA</t>
  </si>
  <si>
    <t>TINTA SPRAY PRETO FOSCO</t>
  </si>
  <si>
    <t>180812</t>
  </si>
  <si>
    <t>765641180812</t>
  </si>
  <si>
    <t>CREMALHEIRA M.2,5 25X25 2000MM</t>
  </si>
  <si>
    <t>186849</t>
  </si>
  <si>
    <t>765641186849</t>
  </si>
  <si>
    <t>TELA MALHA 3/4' FIO 10 (1200MM X 1500MM)</t>
  </si>
  <si>
    <t>184705</t>
  </si>
  <si>
    <t>765641184705</t>
  </si>
  <si>
    <t>PILOTO PARA QUADRO BRANCO</t>
  </si>
  <si>
    <t>186072</t>
  </si>
  <si>
    <t>765641186072</t>
  </si>
  <si>
    <t>VALVULA GLOBO 350 GRAUS VASTIN</t>
  </si>
  <si>
    <t>186101</t>
  </si>
  <si>
    <t>765641186101</t>
  </si>
  <si>
    <t>MANGUEIRA PT 300 1/2"</t>
  </si>
  <si>
    <t>186672</t>
  </si>
  <si>
    <t>765641186672</t>
  </si>
  <si>
    <t>OCULOS P/ROSQUEADEIRA SATISOL IPIRANGA</t>
  </si>
  <si>
    <t>186673</t>
  </si>
  <si>
    <t>765641186673</t>
  </si>
  <si>
    <t>ESMERIL CARB PONTA ROSA MONTADA A-12</t>
  </si>
  <si>
    <t>186681</t>
  </si>
  <si>
    <t>765641186681</t>
  </si>
  <si>
    <t>LIMPA CONTATO 300ML</t>
  </si>
  <si>
    <t>186682</t>
  </si>
  <si>
    <t>765641186682</t>
  </si>
  <si>
    <t>SUPER WHITE LUB LUBRIFICANTE DESENGRIPAN</t>
  </si>
  <si>
    <t>186683</t>
  </si>
  <si>
    <t>765641186683</t>
  </si>
  <si>
    <t>CONECTOR FEMEA M12,5 PINOS RETO</t>
  </si>
  <si>
    <t>186684</t>
  </si>
  <si>
    <t>765641186684</t>
  </si>
  <si>
    <t>CONECTOR MACHO M12,5 PINOS RETO</t>
  </si>
  <si>
    <t>186688</t>
  </si>
  <si>
    <t>765641186688</t>
  </si>
  <si>
    <t>ELETROCALHA LISA GALV. MEDIDAS 100X50MM</t>
  </si>
  <si>
    <t>186738</t>
  </si>
  <si>
    <t>765641186738</t>
  </si>
  <si>
    <t>TAMPA LISA GALV. PARA ELETROCALHA 100MM</t>
  </si>
  <si>
    <t>186739</t>
  </si>
  <si>
    <t>765641186739</t>
  </si>
  <si>
    <t>CURVA HORIZONTAL 90° LISO GALV 100X50MM</t>
  </si>
  <si>
    <t>186740</t>
  </si>
  <si>
    <t>765641186740</t>
  </si>
  <si>
    <t>CURVA DE INVERSÃO LISO GALV 100X50MM</t>
  </si>
  <si>
    <t>186744</t>
  </si>
  <si>
    <t>765641186744</t>
  </si>
  <si>
    <t>ROALMENTO 6002-2Z</t>
  </si>
  <si>
    <t>185936</t>
  </si>
  <si>
    <t>765641185936</t>
  </si>
  <si>
    <t>ROLAMENTO IMP 6203-2Z</t>
  </si>
  <si>
    <t>185938</t>
  </si>
  <si>
    <t>765641185938</t>
  </si>
  <si>
    <t>ROLAMENTO 6305-2Z</t>
  </si>
  <si>
    <t>185939</t>
  </si>
  <si>
    <t>765641185939</t>
  </si>
  <si>
    <t>ROLAMENTO B 203 V22=SB GV3</t>
  </si>
  <si>
    <t>185940</t>
  </si>
  <si>
    <t>765641185940</t>
  </si>
  <si>
    <t>VALVULA DE RETENCAO P/AGUA 1/2"</t>
  </si>
  <si>
    <t>185972</t>
  </si>
  <si>
    <t>765641185972</t>
  </si>
  <si>
    <t>765641185059</t>
  </si>
  <si>
    <t>CBX SUPRIMENTOS INDUSTRIAIS</t>
  </si>
  <si>
    <t>ROLAMENTO rky 52</t>
  </si>
  <si>
    <t>182497</t>
  </si>
  <si>
    <t>765641182497</t>
  </si>
  <si>
    <t>QUADRI-RING 12,81X9,81X1,78 NBR P/ VALV</t>
  </si>
  <si>
    <t>184779</t>
  </si>
  <si>
    <t>765641184779</t>
  </si>
  <si>
    <t>QUADRI-RING 16,20 X 13,00X2,00 NBR P/VAL</t>
  </si>
  <si>
    <t>184811</t>
  </si>
  <si>
    <t>765641184811</t>
  </si>
  <si>
    <t>ROLAMENTO UC 210 V22 HT2</t>
  </si>
  <si>
    <t>184881</t>
  </si>
  <si>
    <t>765641184881</t>
  </si>
  <si>
    <t>ROLAMENTO COMBINADO REF 4055 WINKEL</t>
  </si>
  <si>
    <t>183283</t>
  </si>
  <si>
    <t>765641183283</t>
  </si>
  <si>
    <t>ROLAMENTO 5X16X12 NATR5PP</t>
  </si>
  <si>
    <t>183464</t>
  </si>
  <si>
    <t>765641183464</t>
  </si>
  <si>
    <t>184083</t>
  </si>
  <si>
    <t>765641184083</t>
  </si>
  <si>
    <t>ACOPLAMENTO V-E-128 GR 128</t>
  </si>
  <si>
    <t>184308</t>
  </si>
  <si>
    <t>765641184308</t>
  </si>
  <si>
    <t>CORREIA B-36 BALFLEX</t>
  </si>
  <si>
    <t>183540</t>
  </si>
  <si>
    <t>765641183540</t>
  </si>
  <si>
    <t>CBX Rolamentos e Equip. Ind. LTDA</t>
  </si>
  <si>
    <t>ESMERIL CARB PONTA ROSA MONTADA A-38</t>
  </si>
  <si>
    <t>186660</t>
  </si>
  <si>
    <t>761327186660</t>
  </si>
  <si>
    <t>MOLA DE COMPRESSÃO AÇO CARBONO</t>
  </si>
  <si>
    <t>185480</t>
  </si>
  <si>
    <t>761327185480</t>
  </si>
  <si>
    <t>RETENTOR DE VITON 28 X 45 X 8 BR</t>
  </si>
  <si>
    <t>185491</t>
  </si>
  <si>
    <t>761327185491</t>
  </si>
  <si>
    <t>GAXETA VITON MODELO U 15 X 22 X 8</t>
  </si>
  <si>
    <t>185492</t>
  </si>
  <si>
    <t>761327185492</t>
  </si>
  <si>
    <t>RETENTOR 30 X 47 X 7 NBR</t>
  </si>
  <si>
    <t>185493</t>
  </si>
  <si>
    <t>761327185493</t>
  </si>
  <si>
    <t>185802</t>
  </si>
  <si>
    <t>761327185802</t>
  </si>
  <si>
    <t>KIT VEDACAO BOMBA DE COLA</t>
  </si>
  <si>
    <t>185103</t>
  </si>
  <si>
    <t>761327185103</t>
  </si>
  <si>
    <t>PAPEL GRAFITADO TEADIT 0,40</t>
  </si>
  <si>
    <t>185149</t>
  </si>
  <si>
    <t>761327185149</t>
  </si>
  <si>
    <t>TARUGO D/PLASTIPRENE 90SH VER.15,70X30CM</t>
  </si>
  <si>
    <t>184745</t>
  </si>
  <si>
    <t>761327184745</t>
  </si>
  <si>
    <t>MOLA COMPRESSAO</t>
  </si>
  <si>
    <t>182558</t>
  </si>
  <si>
    <t>761327182558</t>
  </si>
  <si>
    <t>RETENTOR 14,00 X 24,00 X 7,00  BRG VITON</t>
  </si>
  <si>
    <t>181800</t>
  </si>
  <si>
    <t>761327181800</t>
  </si>
  <si>
    <t>ORING 2016 VITON</t>
  </si>
  <si>
    <t>181833</t>
  </si>
  <si>
    <t>761327181833</t>
  </si>
  <si>
    <t>ORING 2023 VITON</t>
  </si>
  <si>
    <t>181836</t>
  </si>
  <si>
    <t>761327181836</t>
  </si>
  <si>
    <t>ORING 2022 VITON</t>
  </si>
  <si>
    <t>181837</t>
  </si>
  <si>
    <t>761327181837</t>
  </si>
  <si>
    <t>ORING 35,00 X 2,00 VITON</t>
  </si>
  <si>
    <t>181838</t>
  </si>
  <si>
    <t>761327181838</t>
  </si>
  <si>
    <t>ORING 20,00 X 2,00 VITON</t>
  </si>
  <si>
    <t>181839</t>
  </si>
  <si>
    <t>761327181839</t>
  </si>
  <si>
    <t>JUNTA DE POLICETAL 14X 20X3,90 CÔNICA</t>
  </si>
  <si>
    <t>181841</t>
  </si>
  <si>
    <t>761327181841</t>
  </si>
  <si>
    <t>GAXETA SELO ENERGIZOU TEFLON COM BRONZE</t>
  </si>
  <si>
    <t>181842</t>
  </si>
  <si>
    <t>761327181842</t>
  </si>
  <si>
    <t>ESPUMA ELASTOMERICA 1"X19MM ESPESSURA</t>
  </si>
  <si>
    <t>181939</t>
  </si>
  <si>
    <t>761327181939</t>
  </si>
  <si>
    <t>RETENTOR 45X62X8</t>
  </si>
  <si>
    <t>181911</t>
  </si>
  <si>
    <t>761327181911</t>
  </si>
  <si>
    <t>RETENTOR 60X75X8</t>
  </si>
  <si>
    <t>181890</t>
  </si>
  <si>
    <t>761327181890</t>
  </si>
  <si>
    <t>RETENTOR 55X63X5</t>
  </si>
  <si>
    <t>761327164708</t>
  </si>
  <si>
    <t>RETENTOR 45X62X10</t>
  </si>
  <si>
    <t>761327164707</t>
  </si>
  <si>
    <t>RETENTOR 40X50X4</t>
  </si>
  <si>
    <t>761327164706</t>
  </si>
  <si>
    <t>VEDART VEDAÇÕES E SERVIÇOS HIDRAULI</t>
  </si>
  <si>
    <t>MOTOR TRIFASICO</t>
  </si>
  <si>
    <t>186054</t>
  </si>
  <si>
    <t>713631186054</t>
  </si>
  <si>
    <t>REDUTOR 1:20</t>
  </si>
  <si>
    <t>186055</t>
  </si>
  <si>
    <t>713631186055</t>
  </si>
  <si>
    <t>EIXO</t>
  </si>
  <si>
    <t>186056</t>
  </si>
  <si>
    <t>713631186056</t>
  </si>
  <si>
    <t>CHAVETA PARALELA 5X5X40MM</t>
  </si>
  <si>
    <t>186057</t>
  </si>
  <si>
    <t>713631186057</t>
  </si>
  <si>
    <t>ANEL DE RETENÇÃO PARA EIXO</t>
  </si>
  <si>
    <t>186058</t>
  </si>
  <si>
    <t>713631186058</t>
  </si>
  <si>
    <t>CALCO DO MOTOR 4010</t>
  </si>
  <si>
    <t>186059</t>
  </si>
  <si>
    <t>713631186059</t>
  </si>
  <si>
    <t>TRAVA DO GATILHO</t>
  </si>
  <si>
    <t>185639</t>
  </si>
  <si>
    <t>713631185639</t>
  </si>
  <si>
    <t>ANEL DE TRAVA EXTERNO</t>
  </si>
  <si>
    <t>185640</t>
  </si>
  <si>
    <t>713631185640</t>
  </si>
  <si>
    <t>KIT DE REPARO DO MODULO SB AR AR</t>
  </si>
  <si>
    <t>185641</t>
  </si>
  <si>
    <t>713631185641</t>
  </si>
  <si>
    <t>ANEL DE VEDACAO</t>
  </si>
  <si>
    <t>185642</t>
  </si>
  <si>
    <t>713631185642</t>
  </si>
  <si>
    <t>ANEL REDONDO PARA EIXO DE 5/8</t>
  </si>
  <si>
    <t>185643</t>
  </si>
  <si>
    <t>713631185643</t>
  </si>
  <si>
    <t>VEDACAO SUPERIOR</t>
  </si>
  <si>
    <t>185644</t>
  </si>
  <si>
    <t>713631185644</t>
  </si>
  <si>
    <t>ANEL DE VEDACAO DA AGULHA</t>
  </si>
  <si>
    <t>185645</t>
  </si>
  <si>
    <t>713631185645</t>
  </si>
  <si>
    <t>AGULHA DA PISTOLA MANUAL FILETE</t>
  </si>
  <si>
    <t>185646</t>
  </si>
  <si>
    <t>713631185646</t>
  </si>
  <si>
    <t>ASSENTO DA PISTOLA MANUAL FILETE</t>
  </si>
  <si>
    <t>185647</t>
  </si>
  <si>
    <t>713631185647</t>
  </si>
  <si>
    <t>CORPO DA PISTOLA MANUAL FILETE</t>
  </si>
  <si>
    <t>185648</t>
  </si>
  <si>
    <t>713631185648</t>
  </si>
  <si>
    <t>ANEL DE TRAVA</t>
  </si>
  <si>
    <t>185649</t>
  </si>
  <si>
    <t>713631185649</t>
  </si>
  <si>
    <t>GUARNICAO DESLIZANTE TUBO PISTOLA MANUAL</t>
  </si>
  <si>
    <t>185650</t>
  </si>
  <si>
    <t>713631185650</t>
  </si>
  <si>
    <t>SENSOR DE TEMPERATURA PT-100</t>
  </si>
  <si>
    <t>184156</t>
  </si>
  <si>
    <t>713631184156</t>
  </si>
  <si>
    <t>PARAFUSO ALLEN CAB.CIL 6-32 X 1/2 OXIDA.</t>
  </si>
  <si>
    <t>184157</t>
  </si>
  <si>
    <t>713631184157</t>
  </si>
  <si>
    <t>CAPA DA RESISTENCIA PISTOLA MANUAL</t>
  </si>
  <si>
    <t>184158</t>
  </si>
  <si>
    <t>713631184158</t>
  </si>
  <si>
    <t>ROLAMENTO</t>
  </si>
  <si>
    <t>184159</t>
  </si>
  <si>
    <t>713631184159</t>
  </si>
  <si>
    <t>CAPA DA PISTOLA LADO DIREITO</t>
  </si>
  <si>
    <t>184161</t>
  </si>
  <si>
    <t>713631184161</t>
  </si>
  <si>
    <t>CAPA DA PISTOLA LADO ESQUERDO</t>
  </si>
  <si>
    <t>184162</t>
  </si>
  <si>
    <t>713631184162</t>
  </si>
  <si>
    <t>KIT ADAPTADOR ANGULAR BICO MANUAL</t>
  </si>
  <si>
    <t>182832</t>
  </si>
  <si>
    <t>713631182832</t>
  </si>
  <si>
    <t>PISTOLA MAN FILETE COM MANGUEIRA 6M PT-1</t>
  </si>
  <si>
    <t>180327</t>
  </si>
  <si>
    <t>713631180327</t>
  </si>
  <si>
    <t>RESISTENCIA DA PISTOLA H201</t>
  </si>
  <si>
    <t>180328</t>
  </si>
  <si>
    <t>713631180328</t>
  </si>
  <si>
    <t>BOMBA AZPFFF-022-022-006-RRB-01-01-01-MB</t>
  </si>
  <si>
    <t>MAKMELT INDUSTRIA DE MAQUINAS LTDA</t>
  </si>
  <si>
    <t>SELO MECANICO</t>
  </si>
  <si>
    <t>184511</t>
  </si>
  <si>
    <t>757601184511</t>
  </si>
  <si>
    <t>SELO MECANICO TIPO IEA 703 061</t>
  </si>
  <si>
    <t>183730</t>
  </si>
  <si>
    <t>757601183730</t>
  </si>
  <si>
    <t>MOTOBOMBA RZR 4500 COD IFA126074</t>
  </si>
  <si>
    <t>SELO MECANICO TIPO DS DIAM 22MM OU/RFM11</t>
  </si>
  <si>
    <t>RZR - BOMBAS POSITIVAS LTDA - EPP</t>
  </si>
  <si>
    <t>REBITE POP ALUMINIO 516</t>
  </si>
  <si>
    <t>182984</t>
  </si>
  <si>
    <t>763727182984</t>
  </si>
  <si>
    <t>FITA ISOLANTE 3M IMPERIAL</t>
  </si>
  <si>
    <t>183619</t>
  </si>
  <si>
    <t>763727183619</t>
  </si>
  <si>
    <t>FITA ADESIVA TRANSPARENTE</t>
  </si>
  <si>
    <t>183743</t>
  </si>
  <si>
    <t>763727183743</t>
  </si>
  <si>
    <t>763727185238</t>
  </si>
  <si>
    <t>TE TIGRE SOLD 25MM</t>
  </si>
  <si>
    <t>186825</t>
  </si>
  <si>
    <t>763727186825</t>
  </si>
  <si>
    <t>BUCHA TUPY BSP RED GALV 1.1/4X1'</t>
  </si>
  <si>
    <t>187015</t>
  </si>
  <si>
    <t>763727187015</t>
  </si>
  <si>
    <t>BUCHA TUPY BSP RED GALV 2X1.1/2'</t>
  </si>
  <si>
    <t>187021</t>
  </si>
  <si>
    <t>763727187021</t>
  </si>
  <si>
    <t>BUCHA TUPY BSP RED GALV 2X1.1/4'</t>
  </si>
  <si>
    <t>187022</t>
  </si>
  <si>
    <t>763727187022</t>
  </si>
  <si>
    <t>FILTRO Y GENEBRE LT MALHA INOX F-F 1'</t>
  </si>
  <si>
    <t>187023</t>
  </si>
  <si>
    <t>763727187023</t>
  </si>
  <si>
    <t>REG DECA ESF ALAV  AM 2'</t>
  </si>
  <si>
    <t>187024</t>
  </si>
  <si>
    <t>763727187024</t>
  </si>
  <si>
    <t>BUCHA TUBY BSP RED GALV 1X1/2"</t>
  </si>
  <si>
    <t>187025</t>
  </si>
  <si>
    <t>763727187025</t>
  </si>
  <si>
    <t>BUCHA TUBY BSP RED GALV 1X3/4"</t>
  </si>
  <si>
    <t>187026</t>
  </si>
  <si>
    <t>763727187026</t>
  </si>
  <si>
    <t>ESCOVA PLASTICA</t>
  </si>
  <si>
    <t>187027</t>
  </si>
  <si>
    <t>763727187027</t>
  </si>
  <si>
    <t>ABRAÇADEIRA INC REG 1.1/2"</t>
  </si>
  <si>
    <t>187043</t>
  </si>
  <si>
    <t>763727187043</t>
  </si>
  <si>
    <t>BUCHA TUPY BSP RED GALV 1.1/2X1</t>
  </si>
  <si>
    <t>187044</t>
  </si>
  <si>
    <t>763727187044</t>
  </si>
  <si>
    <t>BUCHA TUPY BSP RED GALV 1.1/3/4"</t>
  </si>
  <si>
    <t>187045</t>
  </si>
  <si>
    <t>763727187045</t>
  </si>
  <si>
    <t>REC DECA ESF ALAV AM 1"</t>
  </si>
  <si>
    <t>187046</t>
  </si>
  <si>
    <t>763727187046</t>
  </si>
  <si>
    <t>REC DECA ESF ALAV AM 1/2"</t>
  </si>
  <si>
    <t>187047</t>
  </si>
  <si>
    <t>763727187047</t>
  </si>
  <si>
    <t>REC DECA ESF ALAV AM 3/4"</t>
  </si>
  <si>
    <t>187048</t>
  </si>
  <si>
    <t>763727187048</t>
  </si>
  <si>
    <t>BOMBA SCHINEIDER BC 91S</t>
  </si>
  <si>
    <t>187051</t>
  </si>
  <si>
    <t>763727187051</t>
  </si>
  <si>
    <t>FILTRO GENEBRE VALV RETENÇÃO 1.1/2"</t>
  </si>
  <si>
    <t>187052</t>
  </si>
  <si>
    <t>763727187052</t>
  </si>
  <si>
    <t>FILTRO GENEBRE VALV RETENÇÃO 1.1/4"</t>
  </si>
  <si>
    <t>187053</t>
  </si>
  <si>
    <t>763727187053</t>
  </si>
  <si>
    <t>FILTRO GENEBRE LT MALHA 1.1/2"</t>
  </si>
  <si>
    <t>187054</t>
  </si>
  <si>
    <t>763727187054</t>
  </si>
  <si>
    <t>LUVA TUPY BSP GALV 1/2"</t>
  </si>
  <si>
    <t>187056</t>
  </si>
  <si>
    <t>763727187056</t>
  </si>
  <si>
    <t>NIPEL TUPY BSP GALV 1"</t>
  </si>
  <si>
    <t>187057</t>
  </si>
  <si>
    <t>763727187057</t>
  </si>
  <si>
    <t>NIPEL TUPY BSP GALV 3/4"</t>
  </si>
  <si>
    <t>187058</t>
  </si>
  <si>
    <t>763727187058</t>
  </si>
  <si>
    <t>UNIAO TUPY BSP CONICA BRONZE 1"</t>
  </si>
  <si>
    <t>187059</t>
  </si>
  <si>
    <t>763727187059</t>
  </si>
  <si>
    <t>ABRACADEIRA</t>
  </si>
  <si>
    <t>800340</t>
  </si>
  <si>
    <t>763727800340</t>
  </si>
  <si>
    <t>DISCO BOSCH CORTE AÇO 7'' X 1/8</t>
  </si>
  <si>
    <t>900425</t>
  </si>
  <si>
    <t>763727900425</t>
  </si>
  <si>
    <t>GASOLINA COMUM</t>
  </si>
  <si>
    <t>164079</t>
  </si>
  <si>
    <t>763727164079</t>
  </si>
  <si>
    <t>763727180436</t>
  </si>
  <si>
    <t>FLOCAO MILHO PCT 500G PCT</t>
  </si>
  <si>
    <t>184153</t>
  </si>
  <si>
    <t>763727184153</t>
  </si>
  <si>
    <t>ESTILETE LARGO</t>
  </si>
  <si>
    <t>184258</t>
  </si>
  <si>
    <t>763727184258</t>
  </si>
  <si>
    <t>CANETA ESFEROGRAFICA PRETA</t>
  </si>
  <si>
    <t>185043</t>
  </si>
  <si>
    <t>763727185043</t>
  </si>
  <si>
    <t>GRAMPEADOR</t>
  </si>
  <si>
    <t>185046</t>
  </si>
  <si>
    <t>763727185046</t>
  </si>
  <si>
    <t>KIT ESCOLAR MEDIO - 6° AO 9° ANO</t>
  </si>
  <si>
    <t>185148</t>
  </si>
  <si>
    <t>763727185148</t>
  </si>
  <si>
    <t>763727185403</t>
  </si>
  <si>
    <t>MANGUEIRA NI 120 – 7,20M / Ø13MM</t>
  </si>
  <si>
    <t>185517</t>
  </si>
  <si>
    <t>763727185517</t>
  </si>
  <si>
    <t>IHM 7"C/ETHERNET 16M CS.WEINTEK MT8071IE</t>
  </si>
  <si>
    <t>186467</t>
  </si>
  <si>
    <t>763727186467</t>
  </si>
  <si>
    <t>CONVERSOR RS232 P/RS485 MODELO CS485-V</t>
  </si>
  <si>
    <t>186468</t>
  </si>
  <si>
    <t>763727186468</t>
  </si>
  <si>
    <t>TERM ROTULAR M30</t>
  </si>
  <si>
    <t>186471</t>
  </si>
  <si>
    <t>763727186471</t>
  </si>
  <si>
    <t>ROLO ROMA POLIESTER 5CM</t>
  </si>
  <si>
    <t>186572</t>
  </si>
  <si>
    <t>763727186572</t>
  </si>
  <si>
    <t>PINCEL ROMA LATEX/ACR1.1/2"</t>
  </si>
  <si>
    <t>186573</t>
  </si>
  <si>
    <t>763727186573</t>
  </si>
  <si>
    <t>PINCEL ROMA LATEX/ACR1"</t>
  </si>
  <si>
    <t>186574</t>
  </si>
  <si>
    <t>763727186574</t>
  </si>
  <si>
    <t>TE HORIZONTAL LISO GALV 100X50MM</t>
  </si>
  <si>
    <t>186745</t>
  </si>
  <si>
    <t>763727186745</t>
  </si>
  <si>
    <t>TAMPA TE HORIZONTAL LISA GALV 100MM</t>
  </si>
  <si>
    <t>186746</t>
  </si>
  <si>
    <t>763727186746</t>
  </si>
  <si>
    <t>CANALE.LISA PVC B BASE 50MMX50MM DUPLA F</t>
  </si>
  <si>
    <t>186747</t>
  </si>
  <si>
    <t>763727186747</t>
  </si>
  <si>
    <t>763727186914</t>
  </si>
  <si>
    <t>MOP PO BETTANIN ZIG ZAG MAGICO</t>
  </si>
  <si>
    <t>186243</t>
  </si>
  <si>
    <t>763727186243</t>
  </si>
  <si>
    <t>VASELINA EM PASTA 450G</t>
  </si>
  <si>
    <t>186292</t>
  </si>
  <si>
    <t>763727186292</t>
  </si>
  <si>
    <t>CHUMBADOR PARABOLT 3/8 X 80MM</t>
  </si>
  <si>
    <t>186437</t>
  </si>
  <si>
    <t>763727186437</t>
  </si>
  <si>
    <t>PONTA DE PROVA MINIPA</t>
  </si>
  <si>
    <t>186438</t>
  </si>
  <si>
    <t>763727186438</t>
  </si>
  <si>
    <t>FERRO DE SOLDA MASTER</t>
  </si>
  <si>
    <t>186439</t>
  </si>
  <si>
    <t>763727186439</t>
  </si>
  <si>
    <t>DISCO FLAP DE 7"</t>
  </si>
  <si>
    <t>185567</t>
  </si>
  <si>
    <t>763727185567</t>
  </si>
  <si>
    <t>ESCOVA MAKITA DE AÇO CONC 100MM D-39827</t>
  </si>
  <si>
    <t>185775</t>
  </si>
  <si>
    <t>763727185775</t>
  </si>
  <si>
    <t>ESCOVA MAKITA DE AÇO CONC 100MM D-39861</t>
  </si>
  <si>
    <t>185776</t>
  </si>
  <si>
    <t>763727185776</t>
  </si>
  <si>
    <t>ESCOVA NORTON COPO TRANÇADO 65X50M</t>
  </si>
  <si>
    <t>185777</t>
  </si>
  <si>
    <t>763727185777</t>
  </si>
  <si>
    <t>DIALINE IQUINE 3,6LTS CINZA MEDIO</t>
  </si>
  <si>
    <t>185960</t>
  </si>
  <si>
    <t>763727185960</t>
  </si>
  <si>
    <t>JOELHO TIGRE ESGOTO 45° 100MM</t>
  </si>
  <si>
    <t>185974</t>
  </si>
  <si>
    <t>763727185974</t>
  </si>
  <si>
    <t>JOELHO TIGRE ESGOTO 45° 150MM</t>
  </si>
  <si>
    <t>185975</t>
  </si>
  <si>
    <t>763727185975</t>
  </si>
  <si>
    <t>JOELHO TIGRE ESGOTO 90° 100MM</t>
  </si>
  <si>
    <t>185976</t>
  </si>
  <si>
    <t>763727185976</t>
  </si>
  <si>
    <t>JOELHO TIGRE ESGOTO 90° 150MM</t>
  </si>
  <si>
    <t>185977</t>
  </si>
  <si>
    <t>763727185977</t>
  </si>
  <si>
    <t>TUBO TIGRE ESGOTO 100MM MT</t>
  </si>
  <si>
    <t>185978</t>
  </si>
  <si>
    <t>763727185978</t>
  </si>
  <si>
    <t>TUBO TIGRE ESGOTO 150MM MT</t>
  </si>
  <si>
    <t>185979</t>
  </si>
  <si>
    <t>763727185979</t>
  </si>
  <si>
    <t>CHUMBADOR PARABOLT 3/8X110MM</t>
  </si>
  <si>
    <t>186051</t>
  </si>
  <si>
    <t>763727186051</t>
  </si>
  <si>
    <t>NIPEL TUPY BSP DUPLO</t>
  </si>
  <si>
    <t>186052</t>
  </si>
  <si>
    <t>763727186052</t>
  </si>
  <si>
    <t>DISCO DE CORTE DE 14"</t>
  </si>
  <si>
    <t>186076</t>
  </si>
  <si>
    <t>763727186076</t>
  </si>
  <si>
    <t>CHUMBADOR PARABOLT 1/2X3"</t>
  </si>
  <si>
    <t>186143</t>
  </si>
  <si>
    <t>763727186143</t>
  </si>
  <si>
    <t>CHUMBADOR PARABOLT 5/8X3.1/2"</t>
  </si>
  <si>
    <t>186144</t>
  </si>
  <si>
    <t>763727186144</t>
  </si>
  <si>
    <t>SERRA STARRET</t>
  </si>
  <si>
    <t>169777</t>
  </si>
  <si>
    <t>763727169777</t>
  </si>
  <si>
    <t>FITA DE DEMARCAÇÃO VERMELHO</t>
  </si>
  <si>
    <t>180433</t>
  </si>
  <si>
    <t>763727180433</t>
  </si>
  <si>
    <t>FITA DE DEMARCAÇÃO AMARELO</t>
  </si>
  <si>
    <t>180435</t>
  </si>
  <si>
    <t>763727180435</t>
  </si>
  <si>
    <t>DISCO DE CORTE 7" 115X1,0X22,23</t>
  </si>
  <si>
    <t>184491</t>
  </si>
  <si>
    <t>763727184491</t>
  </si>
  <si>
    <t>185120</t>
  </si>
  <si>
    <t>763727185120</t>
  </si>
  <si>
    <t>BICO JACTO JD-12</t>
  </si>
  <si>
    <t>185228</t>
  </si>
  <si>
    <t>763727185228</t>
  </si>
  <si>
    <t>CORPO DA LANÇA</t>
  </si>
  <si>
    <t>185229</t>
  </si>
  <si>
    <t>763727185229</t>
  </si>
  <si>
    <t>LANÇA JACTO</t>
  </si>
  <si>
    <t>185230</t>
  </si>
  <si>
    <t>763727185230</t>
  </si>
  <si>
    <t>REGISTRO JACTO</t>
  </si>
  <si>
    <t>185231</t>
  </si>
  <si>
    <t>763727185231</t>
  </si>
  <si>
    <t>CONECTOR INTELLI P/HASTE</t>
  </si>
  <si>
    <t>185240</t>
  </si>
  <si>
    <t>763727185240</t>
  </si>
  <si>
    <t>FECH SILVANA F-10</t>
  </si>
  <si>
    <t>185241</t>
  </si>
  <si>
    <t>763727185241</t>
  </si>
  <si>
    <t>TERMINAL INTEL BRONZE</t>
  </si>
  <si>
    <t>185242</t>
  </si>
  <si>
    <t>763727185242</t>
  </si>
  <si>
    <t>TERMINAL RF BATERIA</t>
  </si>
  <si>
    <t>185243</t>
  </si>
  <si>
    <t>763727185243</t>
  </si>
  <si>
    <t>DISCO BOSCH CORT INOX 7"</t>
  </si>
  <si>
    <t>185256</t>
  </si>
  <si>
    <t>763727185256</t>
  </si>
  <si>
    <t>DISCO CARB CORTE 7"</t>
  </si>
  <si>
    <t>185257</t>
  </si>
  <si>
    <t>763727185257</t>
  </si>
  <si>
    <t>DISCO CARB LIXA FLAP 7"</t>
  </si>
  <si>
    <t>185258</t>
  </si>
  <si>
    <t>763727185258</t>
  </si>
  <si>
    <t>DISCO CORTE MAKITA P METAL 7"</t>
  </si>
  <si>
    <t>185259</t>
  </si>
  <si>
    <t>763727185259</t>
  </si>
  <si>
    <t>DISCO CORTE MAKITA FLAP 115MM</t>
  </si>
  <si>
    <t>185260</t>
  </si>
  <si>
    <t>763727185260</t>
  </si>
  <si>
    <t>ESCOVA MAQUITA DE AÇO CONC 100MM</t>
  </si>
  <si>
    <t>185472</t>
  </si>
  <si>
    <t>763727185472</t>
  </si>
  <si>
    <t>ESCOVA NORTON COPO TRANCADO</t>
  </si>
  <si>
    <t>185473</t>
  </si>
  <si>
    <t>763727185473</t>
  </si>
  <si>
    <t>ESCOVA NORTON DE AÇO COPO 100X30MM</t>
  </si>
  <si>
    <t>185474</t>
  </si>
  <si>
    <t>763727185474</t>
  </si>
  <si>
    <t>ESCOVA NORTON DE AÇO COPO 65X30MM</t>
  </si>
  <si>
    <t>185475</t>
  </si>
  <si>
    <t>763727185475</t>
  </si>
  <si>
    <t>CANALETA DUTOP REC ABERTO</t>
  </si>
  <si>
    <t>185476</t>
  </si>
  <si>
    <t>763727185476</t>
  </si>
  <si>
    <t>PULVERIZADOR TRAM PLAST</t>
  </si>
  <si>
    <t>185477</t>
  </si>
  <si>
    <t>763727185477</t>
  </si>
  <si>
    <t>FECH PADO LUMA ROS EXT</t>
  </si>
  <si>
    <t>185478</t>
  </si>
  <si>
    <t>763727185478</t>
  </si>
  <si>
    <t>REG HERC SOLD ESFERA MARROM 25MM</t>
  </si>
  <si>
    <t>185479</t>
  </si>
  <si>
    <t>763727185479</t>
  </si>
  <si>
    <t>RODO BETTANIN VAI VEM BORRACHA 40CM</t>
  </si>
  <si>
    <t>185483</t>
  </si>
  <si>
    <t>763727185483</t>
  </si>
  <si>
    <t>VASSOURA BETTANIN BRILHUS</t>
  </si>
  <si>
    <t>185484</t>
  </si>
  <si>
    <t>763727185484</t>
  </si>
  <si>
    <t>ESTOPA COLORIDA</t>
  </si>
  <si>
    <t>185487</t>
  </si>
  <si>
    <t>763727185487</t>
  </si>
  <si>
    <t>BROCA AÇO RAPIDO 7MM</t>
  </si>
  <si>
    <t>185541</t>
  </si>
  <si>
    <t>763727185541</t>
  </si>
  <si>
    <t>BROCA AÇO RAPIDO 4MM</t>
  </si>
  <si>
    <t>185542</t>
  </si>
  <si>
    <t>763727185542</t>
  </si>
  <si>
    <t>BROCA AÇO RAPIDO 5MM</t>
  </si>
  <si>
    <t>185543</t>
  </si>
  <si>
    <t>763727185543</t>
  </si>
  <si>
    <t>DISCO CARB DESB 7X1</t>
  </si>
  <si>
    <t>185545</t>
  </si>
  <si>
    <t>763727185545</t>
  </si>
  <si>
    <t>DISCO MAKITA CORTE 7"</t>
  </si>
  <si>
    <t>185546</t>
  </si>
  <si>
    <t>763727185546</t>
  </si>
  <si>
    <t>DISCO MAKITA DE LIMPEZA 180MM</t>
  </si>
  <si>
    <t>185547</t>
  </si>
  <si>
    <t>763727185547</t>
  </si>
  <si>
    <t>DISCO MAKITA FLAP 115MM</t>
  </si>
  <si>
    <t>185548</t>
  </si>
  <si>
    <t>763727185548</t>
  </si>
  <si>
    <t>SOLDA VONDER ESTANHO</t>
  </si>
  <si>
    <t>185549</t>
  </si>
  <si>
    <t>763727185549</t>
  </si>
  <si>
    <t>DISCO DE DEBASTE 7"</t>
  </si>
  <si>
    <t>185564</t>
  </si>
  <si>
    <t>763727185564</t>
  </si>
  <si>
    <t>DISCO DE DEBASTE 4,5"</t>
  </si>
  <si>
    <t>185565</t>
  </si>
  <si>
    <t>763727185565</t>
  </si>
  <si>
    <t>DISCO FLAP 4,5</t>
  </si>
  <si>
    <t>185566</t>
  </si>
  <si>
    <t>763727185566</t>
  </si>
  <si>
    <t>FITA ZEBRADA</t>
  </si>
  <si>
    <t>185583</t>
  </si>
  <si>
    <t>763727185583</t>
  </si>
  <si>
    <t>DISCO MAKITE CORTE 4,5"</t>
  </si>
  <si>
    <t>185602</t>
  </si>
  <si>
    <t>763727185602</t>
  </si>
  <si>
    <t>ELETROLDO 7018</t>
  </si>
  <si>
    <t>185603</t>
  </si>
  <si>
    <t>763727185603</t>
  </si>
  <si>
    <t>ELETROLDO 6013</t>
  </si>
  <si>
    <t>185604</t>
  </si>
  <si>
    <t>763727185604</t>
  </si>
  <si>
    <t>APLICADOR PARA BISNAGA 280G DE SILICONE</t>
  </si>
  <si>
    <t>185617</t>
  </si>
  <si>
    <t>763727185617</t>
  </si>
  <si>
    <t>SILICONE INCOLOR 280G</t>
  </si>
  <si>
    <t>185618</t>
  </si>
  <si>
    <t>763727185618</t>
  </si>
  <si>
    <t>SOLVENTE 5L</t>
  </si>
  <si>
    <t>185619</t>
  </si>
  <si>
    <t>763727185619</t>
  </si>
  <si>
    <t>ELETRODO 7018 DE 2,5MM</t>
  </si>
  <si>
    <t>185657</t>
  </si>
  <si>
    <t>763727185657</t>
  </si>
  <si>
    <t>ABRACADEIRA INC REG 1X1.1/2</t>
  </si>
  <si>
    <t>185885</t>
  </si>
  <si>
    <t>763727185885</t>
  </si>
  <si>
    <t>BUCHA TUPY BSP 1X3/4</t>
  </si>
  <si>
    <t>185886</t>
  </si>
  <si>
    <t>763727185886</t>
  </si>
  <si>
    <t>CHUMBADOR PARABOLT 1/2X3</t>
  </si>
  <si>
    <t>185887</t>
  </si>
  <si>
    <t>763727185887</t>
  </si>
  <si>
    <t>CHUMBADOR PARABOLT 1/2X3.3/4</t>
  </si>
  <si>
    <t>185888</t>
  </si>
  <si>
    <t>763727185888</t>
  </si>
  <si>
    <t>CHUMBADOR PARABOLT 3/8X1/2</t>
  </si>
  <si>
    <t>185890</t>
  </si>
  <si>
    <t>763727185890</t>
  </si>
  <si>
    <t>NIPEL TUPY BSP DUPLO 1/2"</t>
  </si>
  <si>
    <t>185907</t>
  </si>
  <si>
    <t>763727185907</t>
  </si>
  <si>
    <t>PLUG TUPY BSP GALV 1/2"</t>
  </si>
  <si>
    <t>185909</t>
  </si>
  <si>
    <t>763727185909</t>
  </si>
  <si>
    <t>FLUIDO VONDE DE CORTE</t>
  </si>
  <si>
    <t>185921</t>
  </si>
  <si>
    <t>763727185921</t>
  </si>
  <si>
    <t>LUVA EMENDA 35MM</t>
  </si>
  <si>
    <t>185922</t>
  </si>
  <si>
    <t>763727185922</t>
  </si>
  <si>
    <t>LUVA EMENDA 50MM</t>
  </si>
  <si>
    <t>185923</t>
  </si>
  <si>
    <t>763727185923</t>
  </si>
  <si>
    <t>TEE TUPY BSP GALV FEMEA 1"</t>
  </si>
  <si>
    <t>185924</t>
  </si>
  <si>
    <t>763727185924</t>
  </si>
  <si>
    <t>ELETRODO E6013 2,5MM</t>
  </si>
  <si>
    <t>172153</t>
  </si>
  <si>
    <t>763727172153</t>
  </si>
  <si>
    <t>DISCO DE CORTE 4" 115X1,0X22,23</t>
  </si>
  <si>
    <t>184469</t>
  </si>
  <si>
    <t>763727184469</t>
  </si>
  <si>
    <t>PINCEL 1"</t>
  </si>
  <si>
    <t>184611</t>
  </si>
  <si>
    <t>763727184611</t>
  </si>
  <si>
    <t>ABRAC CEMAR PLAST 292X3.6 PT</t>
  </si>
  <si>
    <t>184636</t>
  </si>
  <si>
    <t>763727184636</t>
  </si>
  <si>
    <t>DIALINE IQUINE 3,6L AZUL DEL REY</t>
  </si>
  <si>
    <t>184694</t>
  </si>
  <si>
    <t>763727184694</t>
  </si>
  <si>
    <t>DISCO DE CORTE BOSH 14'</t>
  </si>
  <si>
    <t>184715</t>
  </si>
  <si>
    <t>763727184715</t>
  </si>
  <si>
    <t>DIALINE IQUINE 3.6L AM CATERPILHAR</t>
  </si>
  <si>
    <t>184768</t>
  </si>
  <si>
    <t>763727184768</t>
  </si>
  <si>
    <t>ZARCAO IQUINE 3.6L CINZA</t>
  </si>
  <si>
    <t>184795</t>
  </si>
  <si>
    <t>763727184795</t>
  </si>
  <si>
    <t>DIALINE IQUINE 3,6L PRETO</t>
  </si>
  <si>
    <t>184823</t>
  </si>
  <si>
    <t>763727184823</t>
  </si>
  <si>
    <t>JOELHO SOL 90° 25 MM TIGRE</t>
  </si>
  <si>
    <t>184838</t>
  </si>
  <si>
    <t>763727184838</t>
  </si>
  <si>
    <t>TUBO SOLD 25MM TIGRE</t>
  </si>
  <si>
    <t>184842</t>
  </si>
  <si>
    <t>763727184842</t>
  </si>
  <si>
    <t>DISCO DE CORTE 7" 178 X 1,6 X 22,2</t>
  </si>
  <si>
    <t>184872</t>
  </si>
  <si>
    <t>763727184872</t>
  </si>
  <si>
    <t>CHUMBADOR 3/8" X 4"</t>
  </si>
  <si>
    <t>184873</t>
  </si>
  <si>
    <t>763727184873</t>
  </si>
  <si>
    <t>BUCHA TUPY BSP RED GALV 1/2 X 3/8"</t>
  </si>
  <si>
    <t>184971</t>
  </si>
  <si>
    <t>763727184971</t>
  </si>
  <si>
    <t>BUCHA TUPY GALV RED 3/4X1/2</t>
  </si>
  <si>
    <t>184991</t>
  </si>
  <si>
    <t>763727184991</t>
  </si>
  <si>
    <t>LUVA TIGRE AZUL</t>
  </si>
  <si>
    <t>185094</t>
  </si>
  <si>
    <t>763727185094</t>
  </si>
  <si>
    <t>763727185150</t>
  </si>
  <si>
    <t>ABRAC CEMAR PLAST 292X3.6</t>
  </si>
  <si>
    <t>184443</t>
  </si>
  <si>
    <t>763727184443</t>
  </si>
  <si>
    <t>NIPLE GALVANIZADO 1"</t>
  </si>
  <si>
    <t>181979</t>
  </si>
  <si>
    <t>763727181979</t>
  </si>
  <si>
    <t>ABRAC CEMAR PLAST 203X4.6</t>
  </si>
  <si>
    <t>184442</t>
  </si>
  <si>
    <t>763727184442</t>
  </si>
  <si>
    <t>FITA VEDA ROSCA TIGRE 18MM X 50MTS</t>
  </si>
  <si>
    <t>184090</t>
  </si>
  <si>
    <t>763727184090</t>
  </si>
  <si>
    <t>NIPLE GALVANIZADO 3/4</t>
  </si>
  <si>
    <t>180333</t>
  </si>
  <si>
    <t>763727180333</t>
  </si>
  <si>
    <t>COTOVELO GALVANIZADO DE 1"</t>
  </si>
  <si>
    <t>182305</t>
  </si>
  <si>
    <t>763727182305</t>
  </si>
  <si>
    <t>ABRAÇADEIRA INCA REG 3/4X1</t>
  </si>
  <si>
    <t>183976</t>
  </si>
  <si>
    <t>763727183976</t>
  </si>
  <si>
    <t>NIPLE GALV 1/2"</t>
  </si>
  <si>
    <t>184093</t>
  </si>
  <si>
    <t>763727184093</t>
  </si>
  <si>
    <t>FITA VEDA ROSCA (TIGRE)</t>
  </si>
  <si>
    <t>180992</t>
  </si>
  <si>
    <t>763727180992</t>
  </si>
  <si>
    <t>GRAMPO SILVA CABO AÇO DIN 741</t>
  </si>
  <si>
    <t>183408</t>
  </si>
  <si>
    <t>763727183408</t>
  </si>
  <si>
    <t>COLA ADESIVA TIGRE PVC</t>
  </si>
  <si>
    <t>183781</t>
  </si>
  <si>
    <t>763727183781</t>
  </si>
  <si>
    <t>DIALINE IQUINE 3.6L - AMARELO</t>
  </si>
  <si>
    <t>181134</t>
  </si>
  <si>
    <t>763727181134</t>
  </si>
  <si>
    <t>DIALINE IQUINE 3.6L - BRANCO NEVE</t>
  </si>
  <si>
    <t>181135</t>
  </si>
  <si>
    <t>763727181135</t>
  </si>
  <si>
    <t>DIALINE IQUINE 3.6L - VERMELHO</t>
  </si>
  <si>
    <t>181136</t>
  </si>
  <si>
    <t>763727181136</t>
  </si>
  <si>
    <t>COMERCIAL DE CONSTRUÇÃO 2001 LTDA</t>
  </si>
  <si>
    <t>FARINHA MAND T1 PCT 1KG PCT</t>
  </si>
  <si>
    <t>184151</t>
  </si>
  <si>
    <t>756744184151</t>
  </si>
  <si>
    <t>756744184153</t>
  </si>
  <si>
    <t>FRETE</t>
  </si>
  <si>
    <t>990300</t>
  </si>
  <si>
    <t>756744990300</t>
  </si>
  <si>
    <t>756744184172</t>
  </si>
  <si>
    <t>APARA DIR. E/TELEFON 142,98X204,00X26,81</t>
  </si>
  <si>
    <t>184173</t>
  </si>
  <si>
    <t>756744184173</t>
  </si>
  <si>
    <t>APARA EM TEFLON LADO DIREITO</t>
  </si>
  <si>
    <t>178382</t>
  </si>
  <si>
    <t>756744178382</t>
  </si>
  <si>
    <t>VALFLUOR COMERCIAL LTDA - EPP</t>
  </si>
  <si>
    <t>755799186786</t>
  </si>
  <si>
    <t>CORRETIVO LIQUIDO</t>
  </si>
  <si>
    <t>165197</t>
  </si>
  <si>
    <t>755799165197</t>
  </si>
  <si>
    <t>ADAPTADOR BALLUF BAM AD-SP 008</t>
  </si>
  <si>
    <t>186206</t>
  </si>
  <si>
    <t>755799186206</t>
  </si>
  <si>
    <t>990292</t>
  </si>
  <si>
    <t>755799990292</t>
  </si>
  <si>
    <t>SEGURO</t>
  </si>
  <si>
    <t>990632</t>
  </si>
  <si>
    <t>755799990632</t>
  </si>
  <si>
    <t>PISTOLA AUTOMATICA MSD PICCOLA ACO INOX</t>
  </si>
  <si>
    <t>185302</t>
  </si>
  <si>
    <t>755799185302</t>
  </si>
  <si>
    <t>755799990300</t>
  </si>
  <si>
    <t>PISTOLA MANUAL MD 05 HVLP</t>
  </si>
  <si>
    <t>184501</t>
  </si>
  <si>
    <t>755799184501</t>
  </si>
  <si>
    <t>MSD MAQUINAS E EQUIPAMENTOS LTDA -</t>
  </si>
  <si>
    <t>ISOTELHA PIR AP 30M-REAL9003/ALUM.BICO</t>
  </si>
  <si>
    <t>185113</t>
  </si>
  <si>
    <t>767415185113</t>
  </si>
  <si>
    <t>ACAB TRAP PRE- PINT 30MM S/P-PUR</t>
  </si>
  <si>
    <t>185114</t>
  </si>
  <si>
    <t>767415185114</t>
  </si>
  <si>
    <t>ACAB LATERAL PRE-PINT 30MM S/P (A)-PUR</t>
  </si>
  <si>
    <t>185115</t>
  </si>
  <si>
    <t>767415185115</t>
  </si>
  <si>
    <t>ACAB LATERAL PRE-PINT 30MM S/P (B)-PUR</t>
  </si>
  <si>
    <t>185116</t>
  </si>
  <si>
    <t>767415185116</t>
  </si>
  <si>
    <t>PAR FIX PB 12.1/4-14X4P4</t>
  </si>
  <si>
    <t>185117</t>
  </si>
  <si>
    <t>767415185117</t>
  </si>
  <si>
    <t>REBITE POP ALUMINIO BRANCO 4,0 X15MM</t>
  </si>
  <si>
    <t>185118</t>
  </si>
  <si>
    <t>767415185118</t>
  </si>
  <si>
    <t>767415990292</t>
  </si>
  <si>
    <t>ISOESTE CONSTRUTIVOS ISOTÉRMICOS</t>
  </si>
  <si>
    <t>PORCA "T" DIN 508 MATERIAL 1045 TEMP.</t>
  </si>
  <si>
    <t>185799</t>
  </si>
  <si>
    <t>702665185799</t>
  </si>
  <si>
    <t>800094</t>
  </si>
  <si>
    <t>702665800094</t>
  </si>
  <si>
    <t>PORCA T AÇO 1045 TEMPERADO REF:3040</t>
  </si>
  <si>
    <t>183499</t>
  </si>
  <si>
    <t>702665183499</t>
  </si>
  <si>
    <t>ARRUELA TEMPERADA  68MM/ 10MM REF: 5055</t>
  </si>
  <si>
    <t>183405</t>
  </si>
  <si>
    <t>702665183405</t>
  </si>
  <si>
    <t>TIRANTE DE FIXAÇÃO DIN 6379 REF 345-PR</t>
  </si>
  <si>
    <t>183954</t>
  </si>
  <si>
    <t>702665183954</t>
  </si>
  <si>
    <t>ARRUELA TEMPERADA  43MM/ 10MM REF: 5040</t>
  </si>
  <si>
    <t>183404</t>
  </si>
  <si>
    <t>702665183404</t>
  </si>
  <si>
    <t>PORCA ALTA SEXTAVADA DIN 6330B REF 4040</t>
  </si>
  <si>
    <t>183953</t>
  </si>
  <si>
    <t>702665183953</t>
  </si>
  <si>
    <t>FIXOMOLDE METALURGICA TECNOLOGIA EM</t>
  </si>
  <si>
    <t>DISJU. MOTOR SHINEIDER GV2ME-16 ESC9/14A</t>
  </si>
  <si>
    <t>186597</t>
  </si>
  <si>
    <t>764598186597</t>
  </si>
  <si>
    <t>DISJUNTOR MOTOR WEG MPW40-3 DO 63 4-6,3A</t>
  </si>
  <si>
    <t>186598</t>
  </si>
  <si>
    <t>764598186598</t>
  </si>
  <si>
    <t>DISJUNTOR MOTOR WEG MPW40-3-DO 63 10-16A</t>
  </si>
  <si>
    <t>186599</t>
  </si>
  <si>
    <t>764598186599</t>
  </si>
  <si>
    <t>CONTATOR DE FORÇA WEG 12A 14VCD</t>
  </si>
  <si>
    <t>186600</t>
  </si>
  <si>
    <t>764598186600</t>
  </si>
  <si>
    <t>DISJUNTOR MONO 6A CURVA C LA9AN SIEMENS</t>
  </si>
  <si>
    <t>186651</t>
  </si>
  <si>
    <t>764598186651</t>
  </si>
  <si>
    <t>CONTATOR TRIP SCHINEIDER MOD.LC1D09-M7</t>
  </si>
  <si>
    <t>186652</t>
  </si>
  <si>
    <t>764598186652</t>
  </si>
  <si>
    <t>TRANSF. D/TENSÃO 200W PRIM 440V SEC 220V</t>
  </si>
  <si>
    <t>186653</t>
  </si>
  <si>
    <t>764598186653</t>
  </si>
  <si>
    <t>MACARICO BRASAGE, HSLT604HD AIR/FUEL</t>
  </si>
  <si>
    <t>186665</t>
  </si>
  <si>
    <t>764598186665</t>
  </si>
  <si>
    <t>MOLA EM PU 92X65X15MM</t>
  </si>
  <si>
    <t>186667</t>
  </si>
  <si>
    <t>764598186667</t>
  </si>
  <si>
    <t>EIXO D30 X 125 COM CANAL PARA TRAVA</t>
  </si>
  <si>
    <t>186668</t>
  </si>
  <si>
    <t>764598186668</t>
  </si>
  <si>
    <t>PARAFUSADEIRA RETA ENC.1/4-800 RPM</t>
  </si>
  <si>
    <t>185906</t>
  </si>
  <si>
    <t>764598185906</t>
  </si>
  <si>
    <t>FITA DEMARCACAO BRANCA 50MMX30M</t>
  </si>
  <si>
    <t>164107</t>
  </si>
  <si>
    <t>764598164107</t>
  </si>
  <si>
    <t>FITA DEMARCACAO VERMELHO 50MMX30M</t>
  </si>
  <si>
    <t>164285</t>
  </si>
  <si>
    <t>764598164285</t>
  </si>
  <si>
    <t>FITA DEMARCACAO VERDE 50MMX30M</t>
  </si>
  <si>
    <t>164286</t>
  </si>
  <si>
    <t>764598164286</t>
  </si>
  <si>
    <t>FITA DEMARCACAO AZUL 50MMX30M</t>
  </si>
  <si>
    <t>164287</t>
  </si>
  <si>
    <t>764598164287</t>
  </si>
  <si>
    <t>FERRO DE SOLDA</t>
  </si>
  <si>
    <t>180546</t>
  </si>
  <si>
    <t>764598180546</t>
  </si>
  <si>
    <t>PULVERIZADOR MANUAL 500 ML - VONDER</t>
  </si>
  <si>
    <t>183618</t>
  </si>
  <si>
    <t>764598183618</t>
  </si>
  <si>
    <t>764598183619</t>
  </si>
  <si>
    <t>FITA DEMARCAÇÃO AMARELA 50MMX30M</t>
  </si>
  <si>
    <t>185526</t>
  </si>
  <si>
    <t>764598185526</t>
  </si>
  <si>
    <t>MANDRIL AP RAP 16-B18 1 A 16MM GOLDY</t>
  </si>
  <si>
    <t>186002</t>
  </si>
  <si>
    <t>764598186002</t>
  </si>
  <si>
    <t>ESQUADRO MAG P/SOLDADOR 10KG VONDER</t>
  </si>
  <si>
    <t>186004</t>
  </si>
  <si>
    <t>764598186004</t>
  </si>
  <si>
    <t>DISCO DE FLAP 178MM</t>
  </si>
  <si>
    <t>186024</t>
  </si>
  <si>
    <t>764598186024</t>
  </si>
  <si>
    <t>PARAFUSO AUT BROCAN. C/ARRUELA CHAVE 3/8</t>
  </si>
  <si>
    <t>186025</t>
  </si>
  <si>
    <t>764598186025</t>
  </si>
  <si>
    <t>REBOLO ESMERIL 200X20X20 A36</t>
  </si>
  <si>
    <t>185334</t>
  </si>
  <si>
    <t>764598185334</t>
  </si>
  <si>
    <t>REBOLO ESMERIL 200X20X20 A60</t>
  </si>
  <si>
    <t>185335</t>
  </si>
  <si>
    <t>764598185335</t>
  </si>
  <si>
    <t>764598180992</t>
  </si>
  <si>
    <t>NIKKEYPAR COMERCIAL LTDA</t>
  </si>
  <si>
    <t>BLOCO LADT2 (TEMPORIZADOR 30 SEG.)</t>
  </si>
  <si>
    <t>757565178489</t>
  </si>
  <si>
    <t>BLOCO ROLAMENTO PARA GUIA LINEAR 30MM</t>
  </si>
  <si>
    <t>180322</t>
  </si>
  <si>
    <t>757565180322</t>
  </si>
  <si>
    <t>ELEMENTO FILTRANTE SIST. ALTA PRESSÃO DE</t>
  </si>
  <si>
    <t>757565173479</t>
  </si>
  <si>
    <t>EXACTCONTROL AUTOMACAO LTDA</t>
  </si>
  <si>
    <t>ROTEC-EQUIPAMENTOS INDUSTRIAIS DO N</t>
  </si>
  <si>
    <t>RESISTENCIA IM. FLANG. INOX</t>
  </si>
  <si>
    <t>185804</t>
  </si>
  <si>
    <t>713632185804</t>
  </si>
  <si>
    <t>MICRO CONTROLADOR TEMP. 600.1</t>
  </si>
  <si>
    <t>172808</t>
  </si>
  <si>
    <t>713632172808</t>
  </si>
  <si>
    <t>CONTROLADOR DE TEMPERATURA DO MOLDE</t>
  </si>
  <si>
    <t>171311</t>
  </si>
  <si>
    <t>713632171311</t>
  </si>
  <si>
    <t>MAPRE INDUSTRIA.COM.IMP.E EXP.LTDA</t>
  </si>
  <si>
    <t>HD EXTERNO</t>
  </si>
  <si>
    <t>168965</t>
  </si>
  <si>
    <t>57041168965</t>
  </si>
  <si>
    <t>ADAPTADOR EM CONE DE AÇO 3/8</t>
  </si>
  <si>
    <t>183548</t>
  </si>
  <si>
    <t>57041183548</t>
  </si>
  <si>
    <t>BOMBA ROTATIVA PALHETA BOSCH (84148)</t>
  </si>
  <si>
    <t>182127</t>
  </si>
  <si>
    <t>57041182127</t>
  </si>
  <si>
    <t>CORREDICA TELESCOPICA (63978)</t>
  </si>
  <si>
    <t>182129</t>
  </si>
  <si>
    <t>57041182129</t>
  </si>
  <si>
    <t>CORREIA DE BORRACHA VULCANIZADA SPB 2410</t>
  </si>
  <si>
    <t>181799</t>
  </si>
  <si>
    <t>57041181799</t>
  </si>
  <si>
    <t>CONJUNTO DE MOLAS PRATO P/  TENSION. LAM</t>
  </si>
  <si>
    <t>181798</t>
  </si>
  <si>
    <t>57041181798</t>
  </si>
  <si>
    <t>REBOLO CERAMICO ABRASIVO NORTON MODEL SG</t>
  </si>
  <si>
    <t>181797</t>
  </si>
  <si>
    <t>57041181797</t>
  </si>
  <si>
    <t>SENSOR ENCODER ROT. EI63G1024Z5/28P</t>
  </si>
  <si>
    <t>181796</t>
  </si>
  <si>
    <t>57041181796</t>
  </si>
  <si>
    <t>SENSOR ENCODER ROTATIVO EH80C1000XP/24</t>
  </si>
  <si>
    <t>181795</t>
  </si>
  <si>
    <t>57041181795</t>
  </si>
  <si>
    <t>CHAVE DE SEGURANÇA P/ PORTA TRAVA</t>
  </si>
  <si>
    <t>181794</t>
  </si>
  <si>
    <t>57041181794</t>
  </si>
  <si>
    <t>BOTÃO SELETORA DUAS POSIÇÕES C/ CHAVE</t>
  </si>
  <si>
    <t>181793</t>
  </si>
  <si>
    <t>57041181793</t>
  </si>
  <si>
    <t>BASE AMORT ENCOSTO AFIAÇÃO LÂMINA</t>
  </si>
  <si>
    <t>181792</t>
  </si>
  <si>
    <t>57041181792</t>
  </si>
  <si>
    <t>PORCA DE AJUSTE P/ SIST EMPURRAMENTO</t>
  </si>
  <si>
    <t>181791</t>
  </si>
  <si>
    <t>57041181791</t>
  </si>
  <si>
    <t>ESPAÇADOR EM ACO CARBONO</t>
  </si>
  <si>
    <t>181770</t>
  </si>
  <si>
    <t>57041181770</t>
  </si>
  <si>
    <t>PARAFUSO ROSCADO DE ACO CARBONO</t>
  </si>
  <si>
    <t>181769</t>
  </si>
  <si>
    <t>57041181769</t>
  </si>
  <si>
    <t>PARAFUSO EM ACO CARBONO</t>
  </si>
  <si>
    <t>181768</t>
  </si>
  <si>
    <t>57041181768</t>
  </si>
  <si>
    <t>HASTE P/ SISTEMA DE EMPURRADORES</t>
  </si>
  <si>
    <t>181767</t>
  </si>
  <si>
    <t>57041181767</t>
  </si>
  <si>
    <t>UNIDADE EMPURRADOR EM AÇO</t>
  </si>
  <si>
    <t>181766</t>
  </si>
  <si>
    <t>57041181766</t>
  </si>
  <si>
    <t>BOMBA HIDR VOLUM ROT VAZAO 175L/MIN AXIA</t>
  </si>
  <si>
    <t>181353</t>
  </si>
  <si>
    <t>57041181353</t>
  </si>
  <si>
    <t>CILINDRO HIDR BL COMP S/HZ250 AHP HYDRAU</t>
  </si>
  <si>
    <t>181354</t>
  </si>
  <si>
    <t>57041181354</t>
  </si>
  <si>
    <t>ATUADOR LIN MOT 170 WATTS LINEAR DRIVE</t>
  </si>
  <si>
    <t>181355</t>
  </si>
  <si>
    <t>57041181355</t>
  </si>
  <si>
    <t>FILTRO P/OLEO P/SISTE HIDR - RETURN FILT</t>
  </si>
  <si>
    <t>181356</t>
  </si>
  <si>
    <t>57041181356</t>
  </si>
  <si>
    <t>ELEMENTO FILTR P/SISHIDR - FILTER ELEMEN</t>
  </si>
  <si>
    <t>181357</t>
  </si>
  <si>
    <t>57041181357</t>
  </si>
  <si>
    <t>CILINDRO PNEUM EL P/FORNO CONTATO - PNEU</t>
  </si>
  <si>
    <t>181358</t>
  </si>
  <si>
    <t>57041181358</t>
  </si>
  <si>
    <t>MANCAL COM ROLAMENTO - PLUMMER BLOCK</t>
  </si>
  <si>
    <t>181359</t>
  </si>
  <si>
    <t>57041181359</t>
  </si>
  <si>
    <t>RODIDIOS METAL DOS PES - PEVELON WHELL</t>
  </si>
  <si>
    <t>181360</t>
  </si>
  <si>
    <t>57041181360</t>
  </si>
  <si>
    <t>FECHADURA EM METAL COM MOLA - BOX CLOSUR</t>
  </si>
  <si>
    <t>181441</t>
  </si>
  <si>
    <t>57041181441</t>
  </si>
  <si>
    <t>DOBRADICAS AÇO INOX SHHPT8-2</t>
  </si>
  <si>
    <t>181442</t>
  </si>
  <si>
    <t>57041181442</t>
  </si>
  <si>
    <t>BOMBA ENGREN 250BAR P/ABAST PROD QUIM</t>
  </si>
  <si>
    <t>181311</t>
  </si>
  <si>
    <t>57041181311</t>
  </si>
  <si>
    <t>CORREDICA TELESCOPICA</t>
  </si>
  <si>
    <t>181140</t>
  </si>
  <si>
    <t>57041181140</t>
  </si>
  <si>
    <t>KIT REPARO PARA ROBO INDUSTRIAL WATER JE</t>
  </si>
  <si>
    <t>VALVULA DE RETENÇÃO, PARA BOMBA HIDRAULI</t>
  </si>
  <si>
    <t>180453</t>
  </si>
  <si>
    <t>57041180453</t>
  </si>
  <si>
    <t>MOLA COMPRESSAO HELICOIDAL CILINDRICA WA</t>
  </si>
  <si>
    <t>BOMBA DE ENGRENAGEM VOLUMETRICA ROTATIVA</t>
  </si>
  <si>
    <t>SERVOMOTORES CORR ALT TRIF POT 16KW MU30</t>
  </si>
  <si>
    <t>180246</t>
  </si>
  <si>
    <t>57041180246</t>
  </si>
  <si>
    <t>ELEMENTO FILTRANTE 0240 D 010 BN4HC- HYD</t>
  </si>
  <si>
    <t>172658</t>
  </si>
  <si>
    <t>57041172658</t>
  </si>
  <si>
    <t>PARTE DE BOMBA DE PRECISAO BARMAG, EIXO</t>
  </si>
  <si>
    <t>EMBOLO DE CERAMICA</t>
  </si>
  <si>
    <t>MOTOR REDUTOR DE VELOC TRIFASICO 1,5KW 3</t>
  </si>
  <si>
    <t>177106</t>
  </si>
  <si>
    <t>57041177106</t>
  </si>
  <si>
    <t>CELULA DE CARGA P/BALANÇA INDUSTRIAL EM</t>
  </si>
  <si>
    <t>177102</t>
  </si>
  <si>
    <t>57041177102</t>
  </si>
  <si>
    <t>MOTOR ELETRICO TRIFASICO 2.2KW C/VENTILA</t>
  </si>
  <si>
    <t>173450</t>
  </si>
  <si>
    <t>57041173450</t>
  </si>
  <si>
    <t>ADLER PTI S.A.</t>
  </si>
  <si>
    <t>NIPLE LATAO 1"</t>
  </si>
  <si>
    <t>181935</t>
  </si>
  <si>
    <t>755943181935</t>
  </si>
  <si>
    <t>ESPIGAO FIXO MACHO 1X1 NPT</t>
  </si>
  <si>
    <t>182593</t>
  </si>
  <si>
    <t>755943182593</t>
  </si>
  <si>
    <t>TERMINAL 100-16-16</t>
  </si>
  <si>
    <t>182741</t>
  </si>
  <si>
    <t>755943182741</t>
  </si>
  <si>
    <t>MANGUEIRA AR/AGUA 1" 300PSI IBIRÁ</t>
  </si>
  <si>
    <t>183791</t>
  </si>
  <si>
    <t>755943183791</t>
  </si>
  <si>
    <t>755943186850</t>
  </si>
  <si>
    <t>REGISTRO ESFERA FEMEA 1' PAS.PLENA</t>
  </si>
  <si>
    <t>186989</t>
  </si>
  <si>
    <t>755943186989</t>
  </si>
  <si>
    <t>REGISTRO ESFERA FEMEA 1/2 PAS.PLENA</t>
  </si>
  <si>
    <t>186990</t>
  </si>
  <si>
    <t>755943186990</t>
  </si>
  <si>
    <t>UNIAO FEMEA/FEMEA DE AÇO 1"</t>
  </si>
  <si>
    <t>187028</t>
  </si>
  <si>
    <t>755943187028</t>
  </si>
  <si>
    <t>UNIAO MACHO UMA-28X1 NPT M36X2,0</t>
  </si>
  <si>
    <t>187029</t>
  </si>
  <si>
    <t>755943187029</t>
  </si>
  <si>
    <t>MANGUEIRA 100R2AT-16 BALFLEX</t>
  </si>
  <si>
    <t>187031</t>
  </si>
  <si>
    <t>755943187031</t>
  </si>
  <si>
    <t>UNIAO INOX 1 F/F NPT 316</t>
  </si>
  <si>
    <t>187032</t>
  </si>
  <si>
    <t>755943187032</t>
  </si>
  <si>
    <t>REDUTORA F/M 3/4X1</t>
  </si>
  <si>
    <t>187034</t>
  </si>
  <si>
    <t>755943187034</t>
  </si>
  <si>
    <t>MANG.100R7-08X101-08-08X112-08-08X1000MM</t>
  </si>
  <si>
    <t>187036</t>
  </si>
  <si>
    <t>755943187036</t>
  </si>
  <si>
    <t>ROLAMENTO 6202 ZZ SKF</t>
  </si>
  <si>
    <t>187037</t>
  </si>
  <si>
    <t>755943187037</t>
  </si>
  <si>
    <t>TERMINAL HG 560-16-12 RETO 1X3/4</t>
  </si>
  <si>
    <t>187060</t>
  </si>
  <si>
    <t>755943187060</t>
  </si>
  <si>
    <t>MANGUEIRA 100R7 3/4 CONDUTIVA PRETO TEXT</t>
  </si>
  <si>
    <t>187061</t>
  </si>
  <si>
    <t>755943187061</t>
  </si>
  <si>
    <t>UNIAO MACHO UNF X NPT 2021-24-20</t>
  </si>
  <si>
    <t>187062</t>
  </si>
  <si>
    <t>755943187062</t>
  </si>
  <si>
    <t>TERMINAL 113-20-16</t>
  </si>
  <si>
    <t>187063</t>
  </si>
  <si>
    <t>755943187063</t>
  </si>
  <si>
    <t>TERMINAL 109-12-16 LONGO 90°</t>
  </si>
  <si>
    <t>187064</t>
  </si>
  <si>
    <t>755943187064</t>
  </si>
  <si>
    <t>ESPIGAO FIXO MACHO 5/8X3/4 NPT</t>
  </si>
  <si>
    <t>187065</t>
  </si>
  <si>
    <t>755943187065</t>
  </si>
  <si>
    <t>TERMINAL 101-12-10MF 3/4 NPT X 5/8</t>
  </si>
  <si>
    <t>187066</t>
  </si>
  <si>
    <t>755943187066</t>
  </si>
  <si>
    <t>ABRACADEIRA 25-38 14MM</t>
  </si>
  <si>
    <t>187069</t>
  </si>
  <si>
    <t>755943187069</t>
  </si>
  <si>
    <t>OLÉO DIESEL B-S10</t>
  </si>
  <si>
    <t>181217</t>
  </si>
  <si>
    <t>755943181217</t>
  </si>
  <si>
    <t>OCULOS LEOPARDO INCOLOR CA. 1168</t>
  </si>
  <si>
    <t>184721</t>
  </si>
  <si>
    <t>755943184721</t>
  </si>
  <si>
    <t>755943186153</t>
  </si>
  <si>
    <t>ENGATE TRASEIRO TIPO CAMBAO</t>
  </si>
  <si>
    <t>186246</t>
  </si>
  <si>
    <t>755943186246</t>
  </si>
  <si>
    <t>SEAL TUBO PRETO 2"</t>
  </si>
  <si>
    <t>186248</t>
  </si>
  <si>
    <t>755943186248</t>
  </si>
  <si>
    <t>CONJUNTO DIAFRAGMA POS.14/15</t>
  </si>
  <si>
    <t>186249</t>
  </si>
  <si>
    <t>755943186249</t>
  </si>
  <si>
    <t>GRAMPO MOLA 25MM MD CIS</t>
  </si>
  <si>
    <t>186294</t>
  </si>
  <si>
    <t>755943186294</t>
  </si>
  <si>
    <t>755943186298</t>
  </si>
  <si>
    <t>CANTONEIRA L A/C 3/4" X 1/8" X 6000MM</t>
  </si>
  <si>
    <t>186434</t>
  </si>
  <si>
    <t>755943186434</t>
  </si>
  <si>
    <t>ESMERIL CARB PONTA ROSA MONTADA A-04</t>
  </si>
  <si>
    <t>186654</t>
  </si>
  <si>
    <t>755943186654</t>
  </si>
  <si>
    <t>ESMERIL CARB PONTA ROSA MONTADA A-05</t>
  </si>
  <si>
    <t>186655</t>
  </si>
  <si>
    <t>755943186655</t>
  </si>
  <si>
    <t>ADAPTADOR EM CONE DE ACO</t>
  </si>
  <si>
    <t>186907</t>
  </si>
  <si>
    <t>755943186907</t>
  </si>
  <si>
    <t>VALVULA MANUAL 90</t>
  </si>
  <si>
    <t>186908</t>
  </si>
  <si>
    <t>755943186908</t>
  </si>
  <si>
    <t>FORRO CILINDRO SISTEMA DE PRESSAO</t>
  </si>
  <si>
    <t>186909</t>
  </si>
  <si>
    <t>755943186909</t>
  </si>
  <si>
    <t>CORPO AGUACILINDRICO INOX</t>
  </si>
  <si>
    <t>186910</t>
  </si>
  <si>
    <t>755943186910</t>
  </si>
  <si>
    <t>AMORTECEDOR GAS MH02-075-0250-01591</t>
  </si>
  <si>
    <t>185107</t>
  </si>
  <si>
    <t>755943185107</t>
  </si>
  <si>
    <t>NIPLE DE 1/2</t>
  </si>
  <si>
    <t>185134</t>
  </si>
  <si>
    <t>755943185134</t>
  </si>
  <si>
    <t>RETENTOR VEDALONE 40,00X50,00X4,00</t>
  </si>
  <si>
    <t>185800</t>
  </si>
  <si>
    <t>755943185800</t>
  </si>
  <si>
    <t>RETENTOR 60,00X75,05X8,00</t>
  </si>
  <si>
    <t>185821</t>
  </si>
  <si>
    <t>755943185821</t>
  </si>
  <si>
    <t>RETENTOR 55,00X62,90X5,00</t>
  </si>
  <si>
    <t>185822</t>
  </si>
  <si>
    <t>755943185822</t>
  </si>
  <si>
    <t>RETENTOR 45,00X62,00X8,00</t>
  </si>
  <si>
    <t>185824</t>
  </si>
  <si>
    <t>755943185824</t>
  </si>
  <si>
    <t>CONEXAO PARA PISTOLA COM MOLA 1/4</t>
  </si>
  <si>
    <t>185910</t>
  </si>
  <si>
    <t>755943185910</t>
  </si>
  <si>
    <t>TEE IGUAL TIA 08 M14</t>
  </si>
  <si>
    <t>185925</t>
  </si>
  <si>
    <t>755943185925</t>
  </si>
  <si>
    <t>TEE FEMEA LATAO 1/4 NPT</t>
  </si>
  <si>
    <t>185931</t>
  </si>
  <si>
    <t>755943185931</t>
  </si>
  <si>
    <t>REDUTORA FEMEA 1/2X1/4</t>
  </si>
  <si>
    <t>185932</t>
  </si>
  <si>
    <t>755943185932</t>
  </si>
  <si>
    <t>ESPIGAO PARA MAGUEIRA</t>
  </si>
  <si>
    <t>185933</t>
  </si>
  <si>
    <t>755943185933</t>
  </si>
  <si>
    <t>TUBO FLEX PVC KV 1.1/2" CINZA KANAFLEX</t>
  </si>
  <si>
    <t>186112</t>
  </si>
  <si>
    <t>755943186112</t>
  </si>
  <si>
    <t>JOELHO PONTA LISA JLA-10 M16 C/PORCA ANI</t>
  </si>
  <si>
    <t>186135</t>
  </si>
  <si>
    <t>755943186135</t>
  </si>
  <si>
    <t>VALVULA DE ESCAPE RAPIDO 1/8</t>
  </si>
  <si>
    <t>183241</t>
  </si>
  <si>
    <t>755943183241</t>
  </si>
  <si>
    <t>VALVULA D.TN06 SOMP.SOL 4WE6D6X/EG24N25L</t>
  </si>
  <si>
    <t>183935</t>
  </si>
  <si>
    <t>755943183935</t>
  </si>
  <si>
    <t>MANGUEIRA 100R2AT-12 3/4 BALFLEX</t>
  </si>
  <si>
    <t>185039</t>
  </si>
  <si>
    <t>755943185039</t>
  </si>
  <si>
    <t>CAPA 2 TRAMAS-12 3/4 PCAPAT</t>
  </si>
  <si>
    <t>185040</t>
  </si>
  <si>
    <t>755943185040</t>
  </si>
  <si>
    <t>TERMINAL MPL-20X12 M30T20 3/4</t>
  </si>
  <si>
    <t>185121</t>
  </si>
  <si>
    <t>755943185121</t>
  </si>
  <si>
    <t>CILINDRO MINI ISSO 25 X 125MM</t>
  </si>
  <si>
    <t>185122</t>
  </si>
  <si>
    <t>755943185122</t>
  </si>
  <si>
    <t>REGULADOR DE FLUXO 1/8</t>
  </si>
  <si>
    <t>185123</t>
  </si>
  <si>
    <t>755943185123</t>
  </si>
  <si>
    <t>VALVULA ALAVANCA 5/2 VIAS 1/8</t>
  </si>
  <si>
    <t>185124</t>
  </si>
  <si>
    <t>755943185124</t>
  </si>
  <si>
    <t>BASCULANTE TRAS. MINI</t>
  </si>
  <si>
    <t>185125</t>
  </si>
  <si>
    <t>755943185125</t>
  </si>
  <si>
    <t>MANG.100R7-10XMPL-12-08X2000MM</t>
  </si>
  <si>
    <t>185180</t>
  </si>
  <si>
    <t>755943185180</t>
  </si>
  <si>
    <t>755943185184</t>
  </si>
  <si>
    <t>MANG.100R02-04XMPL-8-04XMPL-8-04X800MM</t>
  </si>
  <si>
    <t>185233</t>
  </si>
  <si>
    <t>755943185233</t>
  </si>
  <si>
    <t>UNIAO MACHO UMA-08X1/4BSP M14 LEVE</t>
  </si>
  <si>
    <t>185234</t>
  </si>
  <si>
    <t>755943185234</t>
  </si>
  <si>
    <t>JOELHO PONTA LISA JLA-08</t>
  </si>
  <si>
    <t>185235</t>
  </si>
  <si>
    <t>755943185235</t>
  </si>
  <si>
    <t>TERMINAL MPL-08X04 FG M14 DKO T08X1/4 LE</t>
  </si>
  <si>
    <t>185237</t>
  </si>
  <si>
    <t>755943185237</t>
  </si>
  <si>
    <t>VALVULA PNEUMATICA 3/2 VIAS 220 V 1/4'</t>
  </si>
  <si>
    <t>185654</t>
  </si>
  <si>
    <t>755943185654</t>
  </si>
  <si>
    <t>ESPIGAO ROSCA 1' X 3/4'</t>
  </si>
  <si>
    <t>185656</t>
  </si>
  <si>
    <t>755943185656</t>
  </si>
  <si>
    <t>BUJAO DKO PARA TUBO 08MM ACO</t>
  </si>
  <si>
    <t>185778</t>
  </si>
  <si>
    <t>755943185778</t>
  </si>
  <si>
    <t>ABRAÇADEIRA MS 29-32 20MM</t>
  </si>
  <si>
    <t>185779</t>
  </si>
  <si>
    <t>755943185779</t>
  </si>
  <si>
    <t>MANGUEIRA CRISTAL 3/4</t>
  </si>
  <si>
    <t>185780</t>
  </si>
  <si>
    <t>755943185780</t>
  </si>
  <si>
    <t>ABRACADEIRA MS 35-40 32MM</t>
  </si>
  <si>
    <t>185801</t>
  </si>
  <si>
    <t>755943185801</t>
  </si>
  <si>
    <t>ABRAÇADEIRA 14-22 14MM</t>
  </si>
  <si>
    <t>182534</t>
  </si>
  <si>
    <t>755943182534</t>
  </si>
  <si>
    <t>TUBO DE AÇO 08,00X6,00 5/16</t>
  </si>
  <si>
    <t>183899</t>
  </si>
  <si>
    <t>755943183899</t>
  </si>
  <si>
    <t>TERMINAL MPL-28X16</t>
  </si>
  <si>
    <t>183276</t>
  </si>
  <si>
    <t>755943183276</t>
  </si>
  <si>
    <t>CAPA 2 TRAMAS 16 1</t>
  </si>
  <si>
    <t>182699</t>
  </si>
  <si>
    <t>755943182699</t>
  </si>
  <si>
    <t>MANGUEIRA AR/ÁGUA 5/8 300 PSI IB</t>
  </si>
  <si>
    <t>182438</t>
  </si>
  <si>
    <t>755943182438</t>
  </si>
  <si>
    <t>TUBO FLEX. PVC KV1 CINZA KANAFLEX</t>
  </si>
  <si>
    <t>182095</t>
  </si>
  <si>
    <t>755943182095</t>
  </si>
  <si>
    <t>UNIAO LATÃO FEMEA/FEMEA 3/4 PLM-158</t>
  </si>
  <si>
    <t>182132</t>
  </si>
  <si>
    <t>755943182132</t>
  </si>
  <si>
    <t>PINO ENGATE HIDR. 1/2 R. FEMEA 1/2 INDUS</t>
  </si>
  <si>
    <t>CAPA 6 TRAMAS-16 1</t>
  </si>
  <si>
    <t>171873</t>
  </si>
  <si>
    <t>755943171873</t>
  </si>
  <si>
    <t>ABRACADEIRA 09-13 9MM</t>
  </si>
  <si>
    <t>170022</t>
  </si>
  <si>
    <t>755943170022</t>
  </si>
  <si>
    <t>NIPLE LATAO 1/4 NPT</t>
  </si>
  <si>
    <t>170016</t>
  </si>
  <si>
    <t>755943170016</t>
  </si>
  <si>
    <t>MANGUEIRA AR/AGUA 1/2 300 PSI IB</t>
  </si>
  <si>
    <t>REDUTORA F/M 1/2 X 1</t>
  </si>
  <si>
    <t>169795</t>
  </si>
  <si>
    <t>755943169795</t>
  </si>
  <si>
    <t>FERGE PRODUTOS INDUSTRIAIS LTDA - M</t>
  </si>
  <si>
    <t>Valor Total do Estoque</t>
  </si>
  <si>
    <t>Peças em Estoque</t>
  </si>
  <si>
    <t>Preço Unitário</t>
  </si>
  <si>
    <t>Total</t>
  </si>
  <si>
    <t>Descrição Material</t>
  </si>
  <si>
    <t>Material</t>
  </si>
  <si>
    <t>chave</t>
  </si>
  <si>
    <t>Nome</t>
  </si>
  <si>
    <t>ID parceiro</t>
  </si>
  <si>
    <t>ALM01131</t>
  </si>
  <si>
    <t>ALM01132</t>
  </si>
  <si>
    <t>ALM01133</t>
  </si>
  <si>
    <t>ALM01134</t>
  </si>
  <si>
    <t>ALM01135</t>
  </si>
  <si>
    <t>ALM01136</t>
  </si>
  <si>
    <t>ALM01137</t>
  </si>
  <si>
    <t>ALM01138</t>
  </si>
  <si>
    <t>ALM01139</t>
  </si>
  <si>
    <t>ALM01140</t>
  </si>
  <si>
    <t>ALM01141</t>
  </si>
  <si>
    <t>ALM01142</t>
  </si>
  <si>
    <t>ALM01143</t>
  </si>
  <si>
    <t>ALM01144</t>
  </si>
  <si>
    <t>ALM01145</t>
  </si>
  <si>
    <t>ALM01146</t>
  </si>
  <si>
    <t>ALM01147</t>
  </si>
  <si>
    <t>ALM01148</t>
  </si>
  <si>
    <t>ALM01149</t>
  </si>
  <si>
    <t>ALM01150</t>
  </si>
  <si>
    <t>ALM01151</t>
  </si>
  <si>
    <t>ALM01152</t>
  </si>
  <si>
    <t>ALM01153</t>
  </si>
  <si>
    <t>ALM01154</t>
  </si>
  <si>
    <t>ALM01155</t>
  </si>
  <si>
    <t>PISO A1</t>
  </si>
  <si>
    <t>PISO A2</t>
  </si>
  <si>
    <t>4-jul-19</t>
  </si>
  <si>
    <t>04/07/2019</t>
  </si>
  <si>
    <t>B2-5-6</t>
  </si>
  <si>
    <t>B3-6</t>
  </si>
  <si>
    <t>A1-2-3.1</t>
  </si>
  <si>
    <t>BLOCOS DE PROTEÇÃO CONECTOR 3-POLE, 3+ 5SD7463-0 SURGE ARRESTER TIPO 2 EXIGÊNCIA CATEGORIA C, UC 350V (SIEMENS)</t>
  </si>
  <si>
    <t>A0-5-5</t>
  </si>
  <si>
    <t xml:space="preserve"> DISJUNTOR CIRCUITO 5SP4391-7   400 V 10KA, 3-POLE, C, 100A, D 70 MM (SIEMENS)</t>
  </si>
  <si>
    <t>ALM01156</t>
  </si>
  <si>
    <t>ALM01157</t>
  </si>
  <si>
    <t>ALM01158</t>
  </si>
  <si>
    <t>DISJUNTOR REF:4086900000308 MODELO 5SY8332-7 (SIEMENS)</t>
  </si>
  <si>
    <t>A0-5-4</t>
  </si>
  <si>
    <t>E3-1-1</t>
  </si>
  <si>
    <t>GAS REFRIGERANTE R-22</t>
  </si>
  <si>
    <t>ALM01159</t>
  </si>
  <si>
    <t>A2-4-5.2</t>
  </si>
  <si>
    <t>IHM MT8071iE S/N: 1811280946 24VDC+- 20% 450mA  (WEINTEK)</t>
  </si>
  <si>
    <t>B0-1-1</t>
  </si>
  <si>
    <t>B0-1-4</t>
  </si>
  <si>
    <t>B0-1-3</t>
  </si>
  <si>
    <t>ALM01160</t>
  </si>
  <si>
    <t>CHAVE SECCIONADORA COM BLOQUEIO EM 60947-3 LW30-63 300010 690V 50Hz</t>
  </si>
  <si>
    <t>ALM01161</t>
  </si>
  <si>
    <t>B0-1-2</t>
  </si>
  <si>
    <t>B0-1-5</t>
  </si>
  <si>
    <t>ALM01162</t>
  </si>
  <si>
    <t>PROGRAMADOR LOGICO CONTROLLER K7M-DT30U (V3.40) LSR-G7M-DT30U-N (A) S/N: 5008310031D</t>
  </si>
  <si>
    <t>PISO 3</t>
  </si>
  <si>
    <t xml:space="preserve">MOTOR ELÉTRICO TRIFÁSICO , 1400rpm, 0,35A (380V/60HZ) </t>
  </si>
  <si>
    <t>PISO A3</t>
  </si>
  <si>
    <t>MOTOR ELÉTRICO TRIFÁSICO 2.2KW, 220-380V - 60Hz - 1140rpm</t>
  </si>
  <si>
    <t>MOTOR ELÉTRICO TRIFÁSICO 1.5KW - 380V - 1400rpm - 60 Hz</t>
  </si>
  <si>
    <t>MOTOR ELÉTRICO 380V - 0,35A - 60HZ - 1400RPM , 45W</t>
  </si>
  <si>
    <t>MOTOR ELÉTRICO TRIFÁSICO B5 1,5KW, 1390rpm, 3.7A (380V/60HZ) - REF YP2-90L-4</t>
  </si>
  <si>
    <t>MOTOR ELÉTRICO TRIFÁSICO 1.5KW - 380V - 1850rpm - 60 Hz</t>
  </si>
  <si>
    <t>MOTOR ELÉTRICO TRIFÁSICO 380V - 5.1A - 1410RPM - 60Hz</t>
  </si>
  <si>
    <t>03/07/2019</t>
  </si>
  <si>
    <t>05/07/2019</t>
  </si>
  <si>
    <t>06/07/2019</t>
  </si>
  <si>
    <t>08/07/2019</t>
  </si>
  <si>
    <t>COD. ITEM</t>
  </si>
  <si>
    <t>G1-1-4</t>
  </si>
  <si>
    <t>10/07/2019</t>
  </si>
  <si>
    <t xml:space="preserve">SOLICITANTE </t>
  </si>
  <si>
    <t>DATA</t>
  </si>
  <si>
    <t>TAG MAQ</t>
  </si>
  <si>
    <t>G1-4-3</t>
  </si>
  <si>
    <t>10-jul-19</t>
  </si>
  <si>
    <t>ALM01163</t>
  </si>
  <si>
    <t>Estoque</t>
  </si>
  <si>
    <t>ALM01171</t>
  </si>
  <si>
    <t xml:space="preserve">AGULHAS PARA MOLDAGEM DO CARPET </t>
  </si>
  <si>
    <t>11-jul-19</t>
  </si>
  <si>
    <t>H0</t>
  </si>
  <si>
    <t xml:space="preserve">DISJUNTOR TRIPOLAR GV7-RE100  (SCHNEIDER) </t>
  </si>
  <si>
    <t>CONTACTOR TRIPOLAR 50A SCHNEIDER REF. LC1D50AP7</t>
  </si>
  <si>
    <t>BOTOEIRA PULSANTE XA2EA21</t>
  </si>
  <si>
    <t>CARCAÇA HAM 24 PINOS</t>
  </si>
  <si>
    <t>INCERTO HAM + CARCAÇA HAM 24 PINOS FEMEA</t>
  </si>
  <si>
    <t>INCERTO HAM + CARCAÇA HAM 24 PINOS MACHO</t>
  </si>
  <si>
    <t xml:space="preserve">CONTROLADOR DE TEMPERATURA F022147 R77 </t>
  </si>
  <si>
    <t>SENSOR DE POSIÇÃO DAS CALANDRAS  GEFRAN PY-2-C-075</t>
  </si>
  <si>
    <t>CHAVE DE SEGURANÇA SCHMERSAL  AZ 16-02ZVK-M16</t>
  </si>
  <si>
    <t>ACOPLAMENTO LUKMA 3P+T 16A FEMIA</t>
  </si>
  <si>
    <t>PRENSA TERMINAL DE AÇO  20MM²</t>
  </si>
  <si>
    <t>PRENSA TERMINAL DE AÇO  10MM²</t>
  </si>
  <si>
    <t>PRENSA TERMINAL DE AÇO  95MM²</t>
  </si>
  <si>
    <t>PRENSA TERMINAL DE AÇO  70MM²</t>
  </si>
  <si>
    <t>PLC SIEMENS  S7-1500 6ES7 511-1AK01-0AB0</t>
  </si>
  <si>
    <t>MÓDULO DE ENTRADA DIGITAL PROFISAFE 4/8F-DI DC24 SIEMENS SIMATIC ET200S 6ES7 138-4FA05-0AB0</t>
  </si>
  <si>
    <t>MÓDULO DE SAÍDA DIGITAL PROFISAFE 4F-DO DC24V/2A SIEMENS SIMATIC ET-200 6ES7 138-4FB04-0AB0</t>
  </si>
  <si>
    <t>MÓDULO TERMINAL SIEMENS SIMATIC ET200S 6ES7 193-4CE10-0AA0</t>
  </si>
  <si>
    <t>MÓDULO DE ENTRADA DIGITAIL 8 DI DC24 SIEMENS SIMATIC ET200S 6ES7 131-4BF00-0AA0</t>
  </si>
  <si>
    <t>MÓDULO DE SAÍDAS DIGITAIL 8 DO DC24V/0.5A SIEMENS SIMATIC ET200S 6ES7 132-4BF00-0AA0</t>
  </si>
  <si>
    <t>MÓDULO DE SAÍDAS ANALÓGICAS 2 AO VOLTAGE STANDARD SIEMENS SIMATIC ET200S 6ES7 135-4FB01-0AB0</t>
  </si>
  <si>
    <t>MÓDULO DE ENTRADAS ANALÓGICAS 2 AI - 2WIRE STANDARD SIEMENS SIMATIC ET200S 6ES7 134-4GB01-0AB0</t>
  </si>
  <si>
    <t>MÓDULO FONTE PM-E DC24V STANDARD SIEMENS SIMATIC ET200S 6ES7 138-4CA01-0AA0</t>
  </si>
  <si>
    <t>PONTO DE ENTRADA DA UNIDADE PNP GRT1-ID8-1</t>
  </si>
  <si>
    <t>MÓDULO TERMINAL DP TM-E15C24-01 SIEMENS SIMATIC ET200S 6ES7 193-4CG30-0AA0</t>
  </si>
  <si>
    <t>ENTRADA DO MODULO DE FORÇA  24VDC INPUT GRT1-PD2</t>
  </si>
  <si>
    <t>VÁLVULA PILOTO SIMP 5/2 VIAS 1/4 COD-9652</t>
  </si>
  <si>
    <t>CHAVE DE SEGURANÇA PARA BLOQUEIO DE PORTA XCSTE7312</t>
  </si>
  <si>
    <t>CABO PARA SENSOR DE SEGURANÇA 533100</t>
  </si>
  <si>
    <t>CABO PARA SENSOR  5 PINOS M12</t>
  </si>
  <si>
    <t>ATUADOR PENEUMÁTICO RP75DA 10BAR</t>
  </si>
  <si>
    <t>MÓDULO TERMINAL SIEMENS SIMATIC ET200S - 6ES7 193-4CB30-0AA0</t>
  </si>
  <si>
    <t>VENTILADOR AXIAL PARA PAINEL 220VAC TA20060HBL-2</t>
  </si>
  <si>
    <t>MÓDULO DE ENTRADAS ANALÓGICAS 8AI - 13BIT SIEMENS SIMATIC S7-300  6ES7 331-1KF02-0AB0</t>
  </si>
  <si>
    <t>MODULO DE EXPANSÃO 3RK3211-1AA10</t>
  </si>
  <si>
    <t>FONTE SIEMENS  6EP1 333 1LB00</t>
  </si>
  <si>
    <t>PRESSOSTATO K53P</t>
  </si>
  <si>
    <t>CILINDRO 40X50 ADN</t>
  </si>
  <si>
    <t>ELEMNETO FILTRANTE PARA ÓLEO NEWTEC HR18010PH</t>
  </si>
  <si>
    <t>FILTRO REGULADRO 16 BAR 1/2" LUBRIFIL</t>
  </si>
  <si>
    <t>FILTRO DE ÓLEO NEWTEC BR 760 10 AH</t>
  </si>
  <si>
    <t>ELEMENTO FILTRANTE PARA OLEO  0060 R 010 ON</t>
  </si>
  <si>
    <t>FILTRO Y 2" CW617N</t>
  </si>
  <si>
    <t>ELEMENTO FILTRANTE DE ÓLEO 0165 R 010 BN4HC</t>
  </si>
  <si>
    <t>ELEMENTO FILTRANTE DE ÓLEO 0500 R 010 BN4HC</t>
  </si>
  <si>
    <t>GAXETA 14,7X 18,9X1,5</t>
  </si>
  <si>
    <t>GAXETA 18,5X23,9X1,5</t>
  </si>
  <si>
    <t>GAXETA 27X2</t>
  </si>
  <si>
    <t>GAXETA  11,5X16,5</t>
  </si>
  <si>
    <t>VEDAÇÃO VITON P/ BOMBA HID JLB 12 REXROTH</t>
  </si>
  <si>
    <t>RETENTOR 25X46X7</t>
  </si>
  <si>
    <t>ORING 26X2,5</t>
  </si>
  <si>
    <t>ORING 21,3X2,4</t>
  </si>
  <si>
    <t>ORING CHEVRON 32,5X3,6</t>
  </si>
  <si>
    <t>RETENTOR 25X47X10</t>
  </si>
  <si>
    <t>RETENTOR 54X90X12</t>
  </si>
  <si>
    <t>RETENTOR 60X85X8</t>
  </si>
  <si>
    <t>RASPADOR 25-S</t>
  </si>
  <si>
    <t>RASPADOR 20-S</t>
  </si>
  <si>
    <t>RASPADOR 30-S</t>
  </si>
  <si>
    <t>RASPADOR 16-S</t>
  </si>
  <si>
    <t>RETENTOR 40X56X10</t>
  </si>
  <si>
    <t>RETENTOR 25X47X7</t>
  </si>
  <si>
    <t>QUADROS PARA INSTALAÇÃO 300X300MM</t>
  </si>
  <si>
    <t>ELEMENTO FILTRANTE PARA OLEO 0280 D 010 ON</t>
  </si>
  <si>
    <t>ELEMENTO FILTRANTE DE ÓLEO 0240 R 010 0N</t>
  </si>
  <si>
    <t>ELEMENTO FILTRANTE DE ÓLEO 0160 D 010 ON</t>
  </si>
  <si>
    <t>FILTRO DE ÓLEO 0330 R 020 ON</t>
  </si>
  <si>
    <t>ELEMENTO FILTRANTE PARA OLEO  0180MA010BN</t>
  </si>
  <si>
    <t>FILTRO DE AR 0005L003P</t>
  </si>
  <si>
    <t>FILTRO DE AR 0007L003P</t>
  </si>
  <si>
    <t>ELEMENTO FILTRANTE PARA OLEO R928006863</t>
  </si>
  <si>
    <t>ELEMENTO FILTRANTE PARA OLEO NEWTEC FHP528820ABS</t>
  </si>
  <si>
    <t>ELEMENTO FILTRANTE PARA OLEO / ISSO NEWTEC HOP6405</t>
  </si>
  <si>
    <t>FILTRO HIDRAULICO BR 21010</t>
  </si>
  <si>
    <t>ELEMENTO FILTRANTE PARA OLEO 0660 R 10 BN4HC</t>
  </si>
  <si>
    <t>ELEMENTO FILTRANTE PARA OLEO 0330R010 BN4HC</t>
  </si>
  <si>
    <t>ELEMENTO FILTRANTE PARA OLEO 0160 DN 010 BN4HC</t>
  </si>
  <si>
    <t>RETENTOR 40X50X6</t>
  </si>
  <si>
    <t>RETENTOR  LATA POR FORA 55x63x5</t>
  </si>
  <si>
    <t>RETENTOR 30x62x8</t>
  </si>
  <si>
    <t>RETENTOR 30x62x7</t>
  </si>
  <si>
    <t>RETENTOR 25x35x7</t>
  </si>
  <si>
    <t>ANEL DE COBRE 38X49X2</t>
  </si>
  <si>
    <t>ANEL DE COBRE 11X18X1,5</t>
  </si>
  <si>
    <t>ANEL DE COBRE 24X30X1,5</t>
  </si>
  <si>
    <t>RETENTOR 30X45X7</t>
  </si>
  <si>
    <t>RETENTOR 58X75X12</t>
  </si>
  <si>
    <t>ANEL ELASTICO PARA EIXO DE 7MM</t>
  </si>
  <si>
    <t>RETENTOR 45X65X8</t>
  </si>
  <si>
    <t>VEDAÇÃO DOS GICLES 20X1</t>
  </si>
  <si>
    <t>RETENTOR 55X90X8</t>
  </si>
  <si>
    <t>REPARO DAS PRENSAS EPILA  1896</t>
  </si>
  <si>
    <t>ORINGS QUADRADOS PARA FILTRO  3718</t>
  </si>
  <si>
    <t xml:space="preserve">MANCAL P207 </t>
  </si>
  <si>
    <t>FILTRO W.J PART : 05049689</t>
  </si>
  <si>
    <t>ORING 3,75 X 4,0  .05034855</t>
  </si>
  <si>
    <t>FILTRO DO W.F PN: LP49834716</t>
  </si>
  <si>
    <t>ORING 3,75 X 4,0 X 1,3 KMT 10075000</t>
  </si>
  <si>
    <t>CABEÇA DE VEDAÇÃO DO INTENSIFICADOR  / CHECK VALVE 20481009</t>
  </si>
  <si>
    <t>BLOCO TEE KMT 10078590</t>
  </si>
  <si>
    <t>POPPET PIN W.J  05116751</t>
  </si>
  <si>
    <t>PINO RETENTOR W.J  20474391</t>
  </si>
  <si>
    <t>BOCAL DA CANETA W.J PN: MISB2341</t>
  </si>
  <si>
    <t>POPPET RETAINER SCREW 20474391</t>
  </si>
  <si>
    <t>CONJUNTO VEDAÇÃO HP W.J SP20422243</t>
  </si>
  <si>
    <t>REGISTRO PARA FLUXO DE AGUA DOCOL</t>
  </si>
  <si>
    <t>MANGUEIRA CAPILAR 400MM</t>
  </si>
  <si>
    <t>ENGATE RAPIDO P/ ÓLEO TERMICO FEMEA BYR</t>
  </si>
  <si>
    <t>ENGATE RAPIDO FEMEA 1/2"</t>
  </si>
  <si>
    <t>PINO ENGATE RAPIDO MACHO 3/4"</t>
  </si>
  <si>
    <t>PINO ENGATE RAPIDO MACHO 1/2"</t>
  </si>
  <si>
    <t>ENGATE RAPIDO MACHO 3/4" PL 19-2</t>
  </si>
  <si>
    <t>ASSENTO BLOCO DE CANETA VL10178697</t>
  </si>
  <si>
    <t>PULVERIZADOR DE PORCELANA PARA O INTENSIFICADOR .05119151</t>
  </si>
  <si>
    <t>SENSOR DE POSIÇÃO CILINDRO 871D-BW2N524-N3</t>
  </si>
  <si>
    <t>MOLA DO ATUADOR DA CANETA .05054119</t>
  </si>
  <si>
    <t>BLOCO KMT 10078525 W00079581</t>
  </si>
  <si>
    <t>ANNEL DE RETENÇÃO W.J PN: SL5034798</t>
  </si>
  <si>
    <t>TEFLON PARA TROCA DE REPARO PN: VL10178978</t>
  </si>
  <si>
    <t>ALOJAMENTO PARA FILTRO DE LINHA ALTA PRESSÃO</t>
  </si>
  <si>
    <t>PRESSOSTATO HIDRAULICO FOX K55P</t>
  </si>
  <si>
    <t>PRESSOSTATO PNEUMATICO HLP110</t>
  </si>
  <si>
    <t>PAPEL JUNTA 2MM</t>
  </si>
  <si>
    <t>PAPEL JUNTA 1MM</t>
  </si>
  <si>
    <t>PAPEL JUNTA 0,5MM</t>
  </si>
  <si>
    <t>REGISTRO ESFERA P/ ÓLEO TERMICO TRIPARTDA 1"</t>
  </si>
  <si>
    <t>PORCA T NORMA DIN</t>
  </si>
  <si>
    <t>ESPIGÃO ROSCA 3/4 MANG 3/4" 3/4 X 3/4"</t>
  </si>
  <si>
    <t>ESPIGÃO ROSCA DE 1/2 MANG 3/4" 1/2 X 3/4"</t>
  </si>
  <si>
    <t>PRISIONEIRO NORMA DIN</t>
  </si>
  <si>
    <t>ARRUELA GRANDE PARA SETUP NORMA DIN</t>
  </si>
  <si>
    <t>PRESSOSTATO PSG DIG HUDAC EDS3408-5-0040-1/2"</t>
  </si>
  <si>
    <t>PISTOLA DE COLA DO ROBO DEVIBILLS HVLP AUTO 1,0MM AG362-TE40-10-L</t>
  </si>
  <si>
    <t>ELEMENTO ELASTICCO ROTEX 28</t>
  </si>
  <si>
    <t>ELEMENTO OU VER-3</t>
  </si>
  <si>
    <t>KIT REPARO GRACO 241657</t>
  </si>
  <si>
    <t>TERMOMETRO PARA AS FERRAMENTAS 300° ROSCA 1/4" NPT</t>
  </si>
  <si>
    <t>MANGUEIRA CAPILAR  1500MM</t>
  </si>
  <si>
    <t>PARAFUSOS PARA SETUP DAS FERRAMENTAS M-32 X 60</t>
  </si>
  <si>
    <t xml:space="preserve">MANOMETRO REGULADOR DE PRESSÃO DO COLEIRO </t>
  </si>
  <si>
    <t>FILTRO DE ISSO NEWTEC</t>
  </si>
  <si>
    <t>PONTA MONTADA A22</t>
  </si>
  <si>
    <t>PONTA MONTADA B41</t>
  </si>
  <si>
    <t>PONTA MONTADA A5</t>
  </si>
  <si>
    <t>PONTA MONTADA A18</t>
  </si>
  <si>
    <t>PONTA MANTADA A34</t>
  </si>
  <si>
    <t>PONTA MONTADA A21</t>
  </si>
  <si>
    <t>GRAXA MULTIFAK EP2</t>
  </si>
  <si>
    <t>DOSADOR D3RE 3000</t>
  </si>
  <si>
    <t>ENGATE RAPIDO STANYL -400</t>
  </si>
  <si>
    <t>MANOMETRO 10 BAR 140 PSI</t>
  </si>
  <si>
    <t>MANOMETRO 16BAR 220PSI</t>
  </si>
  <si>
    <t>ASSENTO BLOCO DE CANETA VL 10188233</t>
  </si>
  <si>
    <t>SUPORTE PARA SENSOR 2012938</t>
  </si>
  <si>
    <t>SUPORTE PARA SENSOR 2013942</t>
  </si>
  <si>
    <t>BORNE CINZA UJ5-2.5</t>
  </si>
  <si>
    <t>BORNE GREME UT2-2.5(T)</t>
  </si>
  <si>
    <t>BRONE AZUL UT2-6(T)</t>
  </si>
  <si>
    <t>BORNE MARROM EW35</t>
  </si>
  <si>
    <t>DISJUNTOR STECK NM 60898 50 IP CC</t>
  </si>
  <si>
    <t>SENSOR MAGNETICO MG M20 M30 2NO M8 4POLES CONN</t>
  </si>
  <si>
    <t>INVERSOR DA UNIDADE DAS FASES DE ENTRADA SERIE MX2  3G3MX2- A4015-V1 (OMRON)</t>
  </si>
  <si>
    <t>MÓDULO AMPLIFICADOR ANALÓGICO P/ VÁLV. PROPORCIONAL VT11118-10 / VT-MSPA1-1-12/V0/0 (REXROTH)</t>
  </si>
  <si>
    <t>ADAPTADOR DEVICENET SMARTSLICE 64POSITION 24V DC GRT1-DRT (OMRON)</t>
  </si>
  <si>
    <t>PONTA MONTADA B21  CONTROLE POR NIVEL</t>
  </si>
  <si>
    <t>ROBO DE COLA - M16</t>
  </si>
  <si>
    <t>CANNON - M00</t>
  </si>
  <si>
    <t xml:space="preserve">        Adler Pelzer Group                                                                                                                                                                    CONTROLE DE SPARE PARTS - MANUTENÇÃO</t>
  </si>
  <si>
    <t xml:space="preserve">Status Nivel Estoque </t>
  </si>
  <si>
    <t>11/07/2019</t>
  </si>
  <si>
    <t>12-jul-19</t>
  </si>
  <si>
    <t xml:space="preserve">MANGUEIRA PNEUMATICA DE POLIURETANO </t>
  </si>
  <si>
    <t>ALM01172</t>
  </si>
  <si>
    <t>ALM01173</t>
  </si>
  <si>
    <t>A2104</t>
  </si>
  <si>
    <t>A2305</t>
  </si>
  <si>
    <t>15-jul-19</t>
  </si>
  <si>
    <t>MINI CONTATOR WEG CWC09-10-30C03</t>
  </si>
  <si>
    <t>A1403</t>
  </si>
  <si>
    <t>A1303</t>
  </si>
  <si>
    <t>A1302</t>
  </si>
  <si>
    <t>SCHNEIDER Chave Seletora Plástica Manopla Curta Pos Fixas XA2ED21 WH18365515</t>
  </si>
  <si>
    <t>A2102</t>
  </si>
  <si>
    <t>ALM01164</t>
  </si>
  <si>
    <t>ALM01165</t>
  </si>
  <si>
    <t>ALM01166</t>
  </si>
  <si>
    <t>ALM01167</t>
  </si>
  <si>
    <t>ALM01168</t>
  </si>
  <si>
    <t>ALM01169</t>
  </si>
  <si>
    <t>ALM01170</t>
  </si>
  <si>
    <t>ALM01174</t>
  </si>
  <si>
    <t>ALM01175</t>
  </si>
  <si>
    <t>ALM01176</t>
  </si>
  <si>
    <t>ALM01177</t>
  </si>
  <si>
    <t>ALM01178</t>
  </si>
  <si>
    <t>ALM01179</t>
  </si>
  <si>
    <t>ALM01180</t>
  </si>
  <si>
    <t>ALM01181</t>
  </si>
  <si>
    <t>ALM01182</t>
  </si>
  <si>
    <t>ALM01183</t>
  </si>
  <si>
    <t>ALM01184</t>
  </si>
  <si>
    <t>ALM01185</t>
  </si>
  <si>
    <t>B1104</t>
  </si>
  <si>
    <t>A1405</t>
  </si>
  <si>
    <t>A1204</t>
  </si>
  <si>
    <t>A1305</t>
  </si>
  <si>
    <t>A1206</t>
  </si>
  <si>
    <t>A1102</t>
  </si>
  <si>
    <t>A1101</t>
  </si>
  <si>
    <t>A1402</t>
  </si>
  <si>
    <t>E2203</t>
  </si>
  <si>
    <t>A1401</t>
  </si>
  <si>
    <t>15/07/2019</t>
  </si>
  <si>
    <t xml:space="preserve">CONTACTOR LC1  D09BD SCHNEIDER 25A </t>
  </si>
  <si>
    <t xml:space="preserve">CONTACTOR TRIPOLAR 25A (WEG) REF. CWC025-00-30V26 </t>
  </si>
  <si>
    <t>CONTATOR DE FORÇA AC-3: 9A 400V 380V 4KW 10E 1NO DC 24V SIEMENS</t>
  </si>
  <si>
    <t>CONTATOR DE FORÇA AC-3: 18A 400V 380V 7.5KW 10E 1NO</t>
  </si>
  <si>
    <t xml:space="preserve">CONTATOR DE FORÇA AC-3: 12A 400V 380V 5.5KW 10E 1NO SIEMENS </t>
  </si>
  <si>
    <t>A1404</t>
  </si>
  <si>
    <t>ACOPLAMENTO STECK N4256 32A-6h 380V 440V 3P+ 052794 FEMEA</t>
  </si>
  <si>
    <t>ACOPLAMENTO STECK N3056 16A-6h 200V 250V 2P+ OSN20568 FEMEA</t>
  </si>
  <si>
    <t>ACOPLAMENTO STECK N3006 2P+16A-6h 200-250V OSN24818 FEMEA</t>
  </si>
  <si>
    <t>C1104</t>
  </si>
  <si>
    <t>ACOPLAMENTO STECK N3049 16A-9h 380-440V 2P+ 0SN09318 FEMEA</t>
  </si>
  <si>
    <t>DISJUNTOR TRIPOLAR ROBUSTO EZC100N GB 14048.2</t>
  </si>
  <si>
    <t>DISJUNTOR SERIE SD61 20A 1P CURVA C 3KA REF: SDD61C20     457460018 STECK</t>
  </si>
  <si>
    <t>INTERRUPTOR DIFERENCIAL RESIDUAL EZ9R33240 2P-40A-30mA-AC</t>
  </si>
  <si>
    <t>INCREMENTAL AND ABSOLUTE ER63G 102425/28P 15X3JR (ELTRA)</t>
  </si>
  <si>
    <t>INCREMENTAL AND ABSOLUTE EH 80P 100028/24P 15X3PR2 (ELTRA)</t>
  </si>
  <si>
    <t>DISJUNTOR TERMOMAGNETICO EZ9F33316 (SCHNEIDER)</t>
  </si>
  <si>
    <t>A2402</t>
  </si>
  <si>
    <t>DISJUNTOR MOTOR IEC-EN 60947 MS116-1.0 1SAM250000R1005 (ABB)</t>
  </si>
  <si>
    <t>BLOCO DE CONTATOS AUXILIARES FRONTAIS  - 3RH2911-1GA40 (SIEMENS)</t>
  </si>
  <si>
    <t>DISJUNTOR MONOPOLAR 20A EZ9F13120 (SCHNEIDER)</t>
  </si>
  <si>
    <t>A1304</t>
  </si>
  <si>
    <t>DISJUNTOR MOTOR GZ1E32  X1  32A    Easy TVS-056791  (SCHINEIDER)</t>
  </si>
  <si>
    <t>RELE MINIATURE RXM2ABBD 12A 24VDC+LED ZELIO RELAY 940347</t>
  </si>
  <si>
    <t>CORPO FIM DE CURSO ZCP 21 M12 X1  GB14048.5</t>
  </si>
  <si>
    <t>DISJUNTOR MOTOR GZ1E03 GB14048.2 GB14048.4 (SCHINEIDER)</t>
  </si>
  <si>
    <t>BASE C/ RELÉ SLIM PRT8-1/ JZ1RC3 24VDC METALTEX PRT8-1 (HIGHEND)</t>
  </si>
  <si>
    <t>SUPORTE PARA RELE FINDER 95.95.3</t>
  </si>
  <si>
    <t>DISJUNTOR MOTOR  GV2ME-16 X1   9-14A (SCHINEIDER)</t>
  </si>
  <si>
    <t>RELE 24V BOOTON VIEW 1726W2 5A G2R-2-SN(S)  (OMRON)</t>
  </si>
  <si>
    <t>RELAIS MINIATURA RXM2AB2BD 24VDC  IEC 61810-1  (SCHNEIDER)</t>
  </si>
  <si>
    <t>RELE TERMICO DE SOBRECARGA LRD05 IEC-EM  60947-4-1 (SCHNEIDER)</t>
  </si>
  <si>
    <t>BLOCO TERMINAL PARA RELE TERMICO LAD7B106 35X50,70 M4</t>
  </si>
  <si>
    <t>DISJUNTOR BIPOLAR EZ9F33206 IEC 60898-1   220V (SCHNEIDER) C6</t>
  </si>
  <si>
    <t xml:space="preserve">DISJUNTOR ELETRICO C10 EZ9F33210 (SCHNEIDER) </t>
  </si>
  <si>
    <t>RELE DE NIVEL WEG RNW-ENE09 (WEG)</t>
  </si>
  <si>
    <t>DISJUNTOR MONOPOLAR 5SL11 MCB C6 IEC 60898-1 (SIEMENS)</t>
  </si>
  <si>
    <t>BASE PARA FUSIVEL CERAMICO (WOHNER)</t>
  </si>
  <si>
    <t>A2205</t>
  </si>
  <si>
    <t>BASE COM FUSIVEL ETI 16A 002322009</t>
  </si>
  <si>
    <t>BOTÃO DE EMERGENCIA - TIPO C - IEC60947-5-5 (ABB)</t>
  </si>
  <si>
    <t>SUPRESSOR DE SURTO SIEMENS 3RT2916-1DG00 (SIEMENS)</t>
  </si>
  <si>
    <t>CABEÇA P/ BOTÃO DE EMERGÊNCIA REF. ZB5 AS 834 (SCHNEIDER)</t>
  </si>
  <si>
    <t>CONTROLADOR DE TEMPERATURA HW4900 PN: 8120200224</t>
  </si>
  <si>
    <t>PLUG P/ CABO PROFINET IE FC RJ45 PLUG 180 - REF. 6GK1901-1BB10-2AA0 6GK1901-1BB10-2AA0 SIEMENS</t>
  </si>
  <si>
    <t>A1306</t>
  </si>
  <si>
    <t>LUMINARIA LED HIGH BAY 100W AC100-277V COR (K) 5.000 50-60Hz (STYLUX BRASIL)</t>
  </si>
  <si>
    <t>TERMINAIS PRE ISOLADOS LU2694 (CRIMPER)</t>
  </si>
  <si>
    <t>A1203</t>
  </si>
  <si>
    <t>A1205</t>
  </si>
  <si>
    <t>A1103</t>
  </si>
  <si>
    <t>BOIA DE NÍVEL 100-250V 1NA+1NF 15A</t>
  </si>
  <si>
    <t>A1105</t>
  </si>
  <si>
    <t>A1106</t>
  </si>
  <si>
    <t>A2403</t>
  </si>
  <si>
    <t>A2404</t>
  </si>
  <si>
    <t>ACOPLAMNETO  STECK N3059 2P+T 16A 9H/380-440V</t>
  </si>
  <si>
    <t>A2405</t>
  </si>
  <si>
    <t>SENSOR FIM DECURSO 3SE5232-0HK80</t>
  </si>
  <si>
    <t>A2406</t>
  </si>
  <si>
    <t>A2302</t>
  </si>
  <si>
    <t>CHAVE V5 IEC- EM 60947-3 125A 3R1349</t>
  </si>
  <si>
    <t>TRANSFORMADOR DE TEM- POT.250VA TEN-ENT 440V TEN- SAI220V FER:60Hz</t>
  </si>
  <si>
    <t>A2303</t>
  </si>
  <si>
    <t>CONTACTOR AUXILIAR  - REF.LC1K0901B7 (SCHNEIDER)</t>
  </si>
  <si>
    <t>CONTACTOR AUXILIAR LP1K0901BD (SCHINEDER)</t>
  </si>
  <si>
    <t xml:space="preserve">CONTACTOR AUXILIAR LC1K0910Q7 </t>
  </si>
  <si>
    <t>CONTATOR DE FORÇA LC1E32 IEC-EN60947-4-1 230V</t>
  </si>
  <si>
    <t>CONTATOR DE FORÇA 24VAC LC1D09B7 (SCHINEDER)</t>
  </si>
  <si>
    <t>DISJUNTOR TERMONAGNETICO NM60898 IEC60947-2SD 1P C16 230-400V</t>
  </si>
  <si>
    <t>A2304</t>
  </si>
  <si>
    <t>FUSÍVEL 3NA3 830 SIMENS 500V 100A</t>
  </si>
  <si>
    <t>BOTAO  REF:NO WORK ORDE:4322040 CLP110 LOC:ES17.28.05</t>
  </si>
  <si>
    <t>B1302</t>
  </si>
  <si>
    <t>SAIDA DO PONTO MODULAR TYPE:GRT1-0D8-1</t>
  </si>
  <si>
    <t>A2306</t>
  </si>
  <si>
    <t>A2201</t>
  </si>
  <si>
    <t>A2202</t>
  </si>
  <si>
    <t>A2204</t>
  </si>
  <si>
    <t>SENSOR INDUTIVO BES 0026 12,00V...30,00VDC (BALLUF)</t>
  </si>
  <si>
    <t>PERISE SSCTEUR (+JOINT PROFILE) IP65-DIN 43650 A ISO4400-3+PE XEZC C43FCP40B (TELEMECANIQUE)</t>
  </si>
  <si>
    <t>SENSOR FIM DE CURSO  XCKM115 X1</t>
  </si>
  <si>
    <t>SENSOR FIM DE CURSO XCKM110 X1</t>
  </si>
  <si>
    <t>SENSOR SCHMERSAL 101128195 ES12.18.2 BNS 33-12Z 2187 NR1015305492</t>
  </si>
  <si>
    <t>A2203</t>
  </si>
  <si>
    <t>A2206</t>
  </si>
  <si>
    <t>CONVERSOR SERIAL RS232/RS485 CS485-V</t>
  </si>
  <si>
    <t>A2103</t>
  </si>
  <si>
    <t>A1202</t>
  </si>
  <si>
    <t>A2106</t>
  </si>
  <si>
    <t>PEPPERL+FUHS TYPE:NBB20-L2-E2-V1  PART NO.: 187481 10-30VDC/200nA</t>
  </si>
  <si>
    <t>A2105</t>
  </si>
  <si>
    <t>BOTÃO DE EMERGENCIA  SCHIMERSAL MV-CLE2-40 REF:NO 51901933</t>
  </si>
  <si>
    <t>C1105</t>
  </si>
  <si>
    <t>A2301</t>
  </si>
  <si>
    <t>CERABAR T PMP 131-A1401A70 MWP100BAR (</t>
  </si>
  <si>
    <t>FONTE 13108206 PSS24-W/5 (WEG)</t>
  </si>
  <si>
    <t>FONTE BAE 003 BAE OS-XA-1W-24-200-005 24VDC 20A (BALLUFF)</t>
  </si>
  <si>
    <t>FONTE BAE 0009 BAE OS-XA-3Y-24-200-007 24VDC 20A (BALLUFF)</t>
  </si>
  <si>
    <t>BASE SEPARADOR PARA RELE RXM2.1 RX2E25108M (SCHINEDER)</t>
  </si>
  <si>
    <t>INVERSOR DE FREQUÊNCIA EMK DRIVE FIT4P34/FIT4P34/0185/5BFLS SERIAL:57403511001 (EMK)</t>
  </si>
  <si>
    <t>B1201</t>
  </si>
  <si>
    <t>B1202</t>
  </si>
  <si>
    <t>RELE DE SEGURANÇA D-79183 IDENT:1059305 (SICK)</t>
  </si>
  <si>
    <t>RELE DE SEGURANÇA D-79183 IDENT- 6026136 (SICK)</t>
  </si>
  <si>
    <t>DISJUNTOR MODULAR TRIPOLAR NG 4P-125A-300mA-A NG125 19042</t>
  </si>
  <si>
    <t>DISJUNTOR MODULAR TRIPOLAR NG 4P-100A NG125N 18660 (SCHINEDER)</t>
  </si>
  <si>
    <t>ALM01186</t>
  </si>
  <si>
    <t>FONTE DE ALIMENTAÇÃO TRIFÁSICA PSS-B24-240S 24VDC-10A COD:164225 240W</t>
  </si>
  <si>
    <t>B1203</t>
  </si>
  <si>
    <t>B1204</t>
  </si>
  <si>
    <t>MÓDULO DE ENTRADAS ANALÓGICAS 2 AI - I 4WIRE 1P 6ES7 134-4G B62-0AB0</t>
  </si>
  <si>
    <t>ALM01187</t>
  </si>
  <si>
    <t>B1205</t>
  </si>
  <si>
    <t>BLOCO DE CONTATO AUXILIAR LAN22 IEC 60947-5-1 (SCHNEIDER)</t>
  </si>
  <si>
    <t>B1304</t>
  </si>
  <si>
    <t>PLACA DO AQUECEDOR AINTEC AM5TW-4805S-RZ1114</t>
  </si>
  <si>
    <t>ALM01188</t>
  </si>
  <si>
    <t>B1105</t>
  </si>
  <si>
    <t>CULLER MODEL:NF 12038HP-24V (NEW FLOW)</t>
  </si>
  <si>
    <t>ALM01190</t>
  </si>
  <si>
    <t>ALM01191</t>
  </si>
  <si>
    <t>ALM01189</t>
  </si>
  <si>
    <t>B1401</t>
  </si>
  <si>
    <t>LAMPADAS FLUORESCENTES 54W 4000K COOL WHITE80 PHILIPS</t>
  </si>
  <si>
    <t>SENSOR DFO0064 BFO D22-XAP-LB-EAK-30-02 (BALLUFF)</t>
  </si>
  <si>
    <t>PROGRAMADOR TM-DSDINA4 220VCA (METALTEX)</t>
  </si>
  <si>
    <t>SENSOR AG.D-79183 WALDKIRCH  LL3-TB01</t>
  </si>
  <si>
    <t>SENSOR PEPPERL+FUCHS PART NO.805076</t>
  </si>
  <si>
    <t>SENSOR FES-N11CP#E4L93194B</t>
  </si>
  <si>
    <t>ALM01192</t>
  </si>
  <si>
    <t>B1103</t>
  </si>
  <si>
    <t>FONTE SCHMERSAL PSS-B24-120S 24VDC-5A 120W</t>
  </si>
  <si>
    <t>KIT REPARO DA GERADORA DE VACUO 0109531 (PIAB)</t>
  </si>
  <si>
    <t>KIT REPARO DA GERADORA DE VACUO 0125615 (PIAB)</t>
  </si>
  <si>
    <t>ALM01193</t>
  </si>
  <si>
    <t>D2103</t>
  </si>
  <si>
    <t>CAIXA PARA PAINEL ELÉTRICO 300X200X120 REF:SEX322 053031 (STECK)</t>
  </si>
  <si>
    <t>ALM01194</t>
  </si>
  <si>
    <t>CAIXA PARA PAINEL ELÉTRICO SEX171 059771 IP55 (STECK)</t>
  </si>
  <si>
    <t>A1301</t>
  </si>
  <si>
    <t>ALM01195</t>
  </si>
  <si>
    <t xml:space="preserve">ROLAMENTO PERN IFOLLI  GC35 EE M AK </t>
  </si>
  <si>
    <t>D2102</t>
  </si>
  <si>
    <t>ROLAMENTO PERNI FOLLI GC 35</t>
  </si>
  <si>
    <t>ALM01196</t>
  </si>
  <si>
    <t>ROLAMENTO JAPAN CF168UUR</t>
  </si>
  <si>
    <t>ALM01197</t>
  </si>
  <si>
    <t>ROLAMENTO RÍGIDO DE ESFERA 61903-2RS1 (SKF)</t>
  </si>
  <si>
    <t xml:space="preserve">ROLAMENTO RIGIDO DE ESFERA 6902D NSK </t>
  </si>
  <si>
    <t>E1103</t>
  </si>
  <si>
    <t>ROLAMENTO AUTOCOMPENSADOR DE ESFERA 1204K C3</t>
  </si>
  <si>
    <t>ROLAMENTO RÍGIDO DE ESFERA 6009DDU (SKF)</t>
  </si>
  <si>
    <t>D2104</t>
  </si>
  <si>
    <t>ROLAMENTO COMBINADO 40.055/AP1</t>
  </si>
  <si>
    <t>ROLAMENTO AUTOCOMPENSADOR DE ESFERA 2207 2RS/1 (SKF)</t>
  </si>
  <si>
    <t>ROLAMENTO 2207 (ROLLWAY)</t>
  </si>
  <si>
    <t>ALM01198</t>
  </si>
  <si>
    <t>D2105</t>
  </si>
  <si>
    <t>D2106</t>
  </si>
  <si>
    <t>ROLAMENTO PEE 6202-2RLD-V2</t>
  </si>
  <si>
    <t>C2402</t>
  </si>
  <si>
    <t>ELEMENTO FILTRANTE 0160 RN 010BN4HC (HYADAC)</t>
  </si>
  <si>
    <t>C2403</t>
  </si>
  <si>
    <t>C2404</t>
  </si>
  <si>
    <t>ELEMENTO FILTRANTE PARA ÓLEO 0240 D 010 ON (HYDAC)</t>
  </si>
  <si>
    <t>ALM01199</t>
  </si>
  <si>
    <t>C1403</t>
  </si>
  <si>
    <t>C1404</t>
  </si>
  <si>
    <t xml:space="preserve">LUBRIFICADOR LOE1/2 (FERGE) </t>
  </si>
  <si>
    <t>C2401</t>
  </si>
  <si>
    <t>C1405</t>
  </si>
  <si>
    <t>ALM01200</t>
  </si>
  <si>
    <t>ELEMENTO FILTRANTE MODELO: PAW 4000-04 1.0Mpa (valmaster)</t>
  </si>
  <si>
    <t>E1101</t>
  </si>
  <si>
    <t>ADESIVO INDUSTRIAL  ADHM 200 2L (ADECOL)</t>
  </si>
  <si>
    <t>E2101</t>
  </si>
  <si>
    <t>MASSA SOLDA A FRIO COMPOSTO DE AÇO COM RESINAS 4:1 RESINA A 4:1 ENDURECEDOR B</t>
  </si>
  <si>
    <t>ALM01201</t>
  </si>
  <si>
    <t>C1103</t>
  </si>
  <si>
    <t>VÁLVULA PNEUMÁTICA 5/3 VIAS CENTRO FECHADO FESTO - REF. VL-5/3G-D-3-C / COD. 151867 E743 (FESTO)</t>
  </si>
  <si>
    <t>VÁLVULA PNEUMÁTICA 3/2 VIAS NORM. ABERTA FESTO - REF. VL/O-3-PK-3x2 / COD. 151863 E643 (FESTO)</t>
  </si>
  <si>
    <t>VALVULA PNEUMÁTICA 3/2 VIAS FESTO - REF. VL/O-3-1/8-B / COD. 4245 E702 8bar (FESTO)</t>
  </si>
  <si>
    <t>ATUADOR TIPO SELETOR P/ PAINEL FESTO - REF. N-22-SW / COD. 7803 E602 (FESTO)</t>
  </si>
  <si>
    <t>C2102</t>
  </si>
  <si>
    <t>C2103</t>
  </si>
  <si>
    <t>C2104</t>
  </si>
  <si>
    <t>FOLE COMPACTO PNEUMÁTICO WBZ 500 ECO MAX:0-8bar TEMP RANJE -40ºC -50ºC (MAX+70ºC) (WEFORMA)</t>
  </si>
  <si>
    <t>C2201</t>
  </si>
  <si>
    <t>ALM01202</t>
  </si>
  <si>
    <t>C2105</t>
  </si>
  <si>
    <t>ACIONADOR PNEUMATICO MOD:4H210-06L PRESSURE:0-0. 8MPA</t>
  </si>
  <si>
    <t>ALM01203</t>
  </si>
  <si>
    <t>CILINDRO PNEUMATICO MOD:DSN25X125-S (FERGE)</t>
  </si>
  <si>
    <t>ALM01204</t>
  </si>
  <si>
    <t>ALM01205</t>
  </si>
  <si>
    <t>ALM01206</t>
  </si>
  <si>
    <t>ALM01207</t>
  </si>
  <si>
    <t>ALM01208</t>
  </si>
  <si>
    <t>ALM01209</t>
  </si>
  <si>
    <t>ALM01210</t>
  </si>
  <si>
    <t>ALM01211</t>
  </si>
  <si>
    <t>ALM01212</t>
  </si>
  <si>
    <t>ALM01213</t>
  </si>
  <si>
    <t>VALVULA PNEUMATICA MOD: 9857 SERIE F355 MFH-3-1/2"</t>
  </si>
  <si>
    <t>C1204</t>
  </si>
  <si>
    <t>CILINDRO PNEUMATICO ADVU-63-50-P-A-00050  156565 (FESTO)</t>
  </si>
  <si>
    <t>CIILINDRO PNEUMATICO ADVU 63-40-P-A-00040  156564 (FESTO)</t>
  </si>
  <si>
    <t>CILINDRO COMPACTO ADVU-63-10-P-A COD.156007 (FESTO) COM ROSCA EXTERNA NA HASTE</t>
  </si>
  <si>
    <t>CILINDRO COMPACTO (FESTON)</t>
  </si>
  <si>
    <t>C1205</t>
  </si>
  <si>
    <t>C1101</t>
  </si>
  <si>
    <t>C2205</t>
  </si>
  <si>
    <t>VALVULA PNELMATICA 220V AC 1/4  5/2 VIAS SIPLES SOLENOIDE MOD:4V210-08 AC220</t>
  </si>
  <si>
    <t>VALVULA PNELMATICA 45A-GA1-DABJ-1KA 4/2VIAS DUPLA SOLENOIDE MOD:45A-GA1-DABJ-KA</t>
  </si>
  <si>
    <t>VALVULA PNELMATICA 24V CC  1/4 5/2VIAS SIMPLES SOLENOIDE  REF. 4M310-10 MOD:BMH024VCC 5.5W</t>
  </si>
  <si>
    <t>VALVULA PNELMATICA 5/2 VIAS DUPLA SOLENOIDE MOD:4V220-08</t>
  </si>
  <si>
    <t xml:space="preserve">ROLAMENTO MOD:2208 STB </t>
  </si>
  <si>
    <t xml:space="preserve">BLOCO DE DISTRIBUIDOR PNEUMÁTICO 3/2 MOD:10049. E955 10/ </t>
  </si>
  <si>
    <t>C1206</t>
  </si>
  <si>
    <t>MANOMETRO 160psi 11bar ROSCA 1/4 (FINGER)</t>
  </si>
  <si>
    <t>MANOMETRO ROSCA VERTICAL 1/4"BSP  10BAR 150psi</t>
  </si>
  <si>
    <t xml:space="preserve">MANOMETRO 16bar 220psi </t>
  </si>
  <si>
    <t>MANOMETRO 250bar CLASSE B</t>
  </si>
  <si>
    <t>MANOMETRO 8500psi 600KGF/²</t>
  </si>
  <si>
    <t xml:space="preserve">TERMOMETRO 200ºC </t>
  </si>
  <si>
    <t>PONTA MONTADA A-004</t>
  </si>
  <si>
    <t>PONTA MONTADA A-024</t>
  </si>
  <si>
    <t>PONTA MONTADA A34</t>
  </si>
  <si>
    <t>PONTA MONTADA A36</t>
  </si>
  <si>
    <t>SILICONE SPRAY ANTIRESPINGO</t>
  </si>
  <si>
    <t xml:space="preserve">SILICONE ASSEPTICO PROFISSIONAL 280g </t>
  </si>
  <si>
    <t>E2402</t>
  </si>
  <si>
    <t>E2405</t>
  </si>
  <si>
    <t>E2403</t>
  </si>
  <si>
    <t>E2404</t>
  </si>
  <si>
    <t>E2303</t>
  </si>
  <si>
    <t>E2304</t>
  </si>
  <si>
    <t>E2305</t>
  </si>
  <si>
    <t>E2204</t>
  </si>
  <si>
    <t>ACOPLAMENTOS AG082</t>
  </si>
  <si>
    <t>E2202</t>
  </si>
  <si>
    <t>E1203</t>
  </si>
  <si>
    <t>ROLAMENTO NATR5PP 300122</t>
  </si>
  <si>
    <t>D1105</t>
  </si>
  <si>
    <t xml:space="preserve">RETENTOR   5340  2 </t>
  </si>
  <si>
    <t>E1204</t>
  </si>
  <si>
    <t>RETENTOR 67X36X6</t>
  </si>
  <si>
    <t>RETENTOR 85X45X50</t>
  </si>
  <si>
    <t>RETENTOR 57X73X1</t>
  </si>
  <si>
    <t>RETENTOR 33X16X2</t>
  </si>
  <si>
    <t>RETENTOR 40X40X4</t>
  </si>
  <si>
    <t xml:space="preserve">FILTRO DE ÁGUA SHB-065 HIDRAÚLICO R. 1"X12 UNF </t>
  </si>
  <si>
    <t>C1406</t>
  </si>
  <si>
    <t>RETENTOR 43X62X75</t>
  </si>
  <si>
    <t>RETENTOR 01543-BR 15</t>
  </si>
  <si>
    <t>RETENTOR 17X35X10X2</t>
  </si>
  <si>
    <t>E1303</t>
  </si>
  <si>
    <t>AMORTECEDOR DE IMPACTO PARA PORTA DE PAINEL</t>
  </si>
  <si>
    <t>ALM01214</t>
  </si>
  <si>
    <t>ALM01215</t>
  </si>
  <si>
    <t>ALM01216</t>
  </si>
  <si>
    <t>ALM01217</t>
  </si>
  <si>
    <t>ALM01218</t>
  </si>
  <si>
    <t>ROLAMENTO LINEAR 411N30F0 (THOMSON)</t>
  </si>
  <si>
    <t>ROLAMENTO  LINEAR MNR: R162379420</t>
  </si>
  <si>
    <t>D1303</t>
  </si>
  <si>
    <t>D2303</t>
  </si>
  <si>
    <t>D1203</t>
  </si>
  <si>
    <t>D2304</t>
  </si>
  <si>
    <t>E2103</t>
  </si>
  <si>
    <t>E1105</t>
  </si>
  <si>
    <t>E2106</t>
  </si>
  <si>
    <t>C1303</t>
  </si>
  <si>
    <t>C1203</t>
  </si>
  <si>
    <t>CONEXÃO PNEUMÁTICA 12mm X 10mm</t>
  </si>
  <si>
    <t>CONEXÃO PNEUMÁTICA 4mm X 4 mm</t>
  </si>
  <si>
    <t>CONEXÃO PNELMATICA CRUZETA 8mm</t>
  </si>
  <si>
    <t>CONEXÃO PNELMATICA CRUZETA 6mm</t>
  </si>
  <si>
    <t>CONEXÃO PNELMATICA TEE 10mm</t>
  </si>
  <si>
    <t>CONEXÃO PNELMATICA TEE 8mm</t>
  </si>
  <si>
    <t>CONEXÃO PNELMATICA TEE 6mm</t>
  </si>
  <si>
    <t>ALM01219</t>
  </si>
  <si>
    <t>ALM01220</t>
  </si>
  <si>
    <t>ALM01221</t>
  </si>
  <si>
    <t>ALM01222</t>
  </si>
  <si>
    <t>ALM01223</t>
  </si>
  <si>
    <t>ALM01224</t>
  </si>
  <si>
    <t>ALM01225</t>
  </si>
  <si>
    <t>ALM01226</t>
  </si>
  <si>
    <t>ALM01227</t>
  </si>
  <si>
    <t>ALM01228</t>
  </si>
  <si>
    <t>ALM01229</t>
  </si>
  <si>
    <t xml:space="preserve">CONEXÃO PNELMATICA 4mmCOM REGULADORA CONTROLE POR NIVEL </t>
  </si>
  <si>
    <t>CONEXÃO PNEUMÁTICA 8mm REGULADORA</t>
  </si>
  <si>
    <t>CONEXÃO PNEUMÁTICA 10mm  REGULADORA</t>
  </si>
  <si>
    <t>CONEXÃO PNEUMATICA COM ANILHA DIVERSOS</t>
  </si>
  <si>
    <t>CONEXÃO PNEUMÁTICA  COM ROSCA 8mm</t>
  </si>
  <si>
    <t>CONEXÃO PNEUMÁTICA 6mm COM REGULADORA CONTROLE POR NIVEL</t>
  </si>
  <si>
    <t>CONEXÃO PNEUMATICA 12mm COM REGULADORA</t>
  </si>
  <si>
    <t>CONEXÃO PNEUMATICA CRUZETA 10mm</t>
  </si>
  <si>
    <t>CONEXÃO PNEUMATICA 8mm COTOVELO COM ROSCA CONTROLE POR NIVEL</t>
  </si>
  <si>
    <t xml:space="preserve">CONEXÃO PNEUMATICA COM ROSCA 6mm </t>
  </si>
  <si>
    <t>CONEXÃO PNEUMATICA COM ROSCA 4mm</t>
  </si>
  <si>
    <t>CONEXÃO PNEUMATICA EM Y  COM ROSCA10MM</t>
  </si>
  <si>
    <t>CONEXÃO PNEUMATICA EM Y COM ROSCA 8mm</t>
  </si>
  <si>
    <t>CONEXÃO PNEUMATICA EM Y COM ROSCA 6mm</t>
  </si>
  <si>
    <t>C1305</t>
  </si>
  <si>
    <t>CONEXÃO PNEUMÁTICA 6MM P/ CILINDRO PNEUMA COM REGULAGEM</t>
  </si>
  <si>
    <t>CONEXÃO PNEUMÁTICA T  COM ROSCA DIVERSOS</t>
  </si>
  <si>
    <t>D1304</t>
  </si>
  <si>
    <t>BLOCO DE VALVULA + HYD-47Y352</t>
  </si>
  <si>
    <t>D1305</t>
  </si>
  <si>
    <t>E1106</t>
  </si>
  <si>
    <t>ENGATE RAPIDO P/ ÓLEO TERMICO MACHO  21919DUB33W</t>
  </si>
  <si>
    <t>D1406</t>
  </si>
  <si>
    <t>C2203</t>
  </si>
  <si>
    <t>D1103</t>
  </si>
  <si>
    <t xml:space="preserve">T SOLDAVEL PVC 25MM </t>
  </si>
  <si>
    <t>D1302</t>
  </si>
  <si>
    <t>D1202</t>
  </si>
  <si>
    <t>A1104</t>
  </si>
  <si>
    <t>C1402</t>
  </si>
  <si>
    <t>ALM01230</t>
  </si>
  <si>
    <t>D2202</t>
  </si>
  <si>
    <t>D2203</t>
  </si>
  <si>
    <t>E1301</t>
  </si>
  <si>
    <t>ATUADOR  VL10187250</t>
  </si>
  <si>
    <t>ATUADOR  DA CANETA KMT10138824</t>
  </si>
  <si>
    <t>C1106</t>
  </si>
  <si>
    <t>D1104</t>
  </si>
  <si>
    <t>D2204</t>
  </si>
  <si>
    <t>D1101</t>
  </si>
  <si>
    <t>E2102</t>
  </si>
  <si>
    <t>IHM DE CONTROLE DE TEMPERATUERA</t>
  </si>
  <si>
    <t>F1203</t>
  </si>
  <si>
    <t>D1204</t>
  </si>
  <si>
    <t>20/07/2019</t>
  </si>
  <si>
    <t>20-jul-19</t>
  </si>
  <si>
    <t xml:space="preserve">SENSOR OPTICO SICK WTB12-3P2431 </t>
  </si>
  <si>
    <t>B1402</t>
  </si>
  <si>
    <t>Classe</t>
  </si>
  <si>
    <t>status de solicitação</t>
  </si>
  <si>
    <t>CONEXÃO PNEUMATICA LUVA T 4mm X 4mm</t>
  </si>
  <si>
    <t>MANOMETRO DO HIDRAULICO DO INTENSIFICADOR  (KMT)</t>
  </si>
  <si>
    <t>MANOMETRO GLICERINA 635RL 100bar 1400psi</t>
  </si>
  <si>
    <t>22-jul-19</t>
  </si>
  <si>
    <t>ROLAMENTO UC 210 HT2 V22</t>
  </si>
  <si>
    <t>BOMBA DE VACUO MOD: G-BH1 2BH1310-7HH26</t>
  </si>
  <si>
    <t>E2104</t>
  </si>
  <si>
    <t>LUMINARIA LED 500W IP66 45000 LED</t>
  </si>
  <si>
    <t>B1102</t>
  </si>
  <si>
    <t>FILTRO ASSEMBLY MOD: 3116652</t>
  </si>
  <si>
    <t>ELEMENTO DO FILTRO ASSEMBLY MOD: 3116674</t>
  </si>
  <si>
    <t>MANCAL T207 F&amp;D</t>
  </si>
  <si>
    <t>MANCAL FL204 FK</t>
  </si>
  <si>
    <t>MANCAL F205 FRM</t>
  </si>
  <si>
    <t>MANCAL 504 SKF</t>
  </si>
  <si>
    <t>MANCAL FL208 FK</t>
  </si>
  <si>
    <t>E1405</t>
  </si>
  <si>
    <t>E1404</t>
  </si>
  <si>
    <t>16/07/2019</t>
  </si>
  <si>
    <t>17/07/2019</t>
  </si>
  <si>
    <t>RETENTOR LATA 33,7X47,6X9</t>
  </si>
  <si>
    <t>E1202</t>
  </si>
  <si>
    <t>RETENTOR VLSB02847 SB</t>
  </si>
  <si>
    <t>REPARO PARA ENGATE RAPIDO</t>
  </si>
  <si>
    <t>ALM01231</t>
  </si>
  <si>
    <t>ALM01232</t>
  </si>
  <si>
    <t>ALM01233</t>
  </si>
  <si>
    <t>ALM01234</t>
  </si>
  <si>
    <t>ALM01235</t>
  </si>
  <si>
    <t>ALM01236</t>
  </si>
  <si>
    <t>ALM01237</t>
  </si>
  <si>
    <t>ALM01238</t>
  </si>
  <si>
    <t>ORING VITON 32,50X3,60</t>
  </si>
  <si>
    <t>ORING EM VITON  37,50X3,60</t>
  </si>
  <si>
    <t>E1305</t>
  </si>
  <si>
    <t>REPARO DAS PRENSAS EPILA  FCE001897</t>
  </si>
  <si>
    <t>REPARO DAS PRENSAS EPILA  FCE001898</t>
  </si>
  <si>
    <t xml:space="preserve">COPO DO FILTO DO WALTER JET </t>
  </si>
  <si>
    <t>C1401</t>
  </si>
  <si>
    <t>REGULADOR DE FLUXO 15</t>
  </si>
  <si>
    <t>E1302</t>
  </si>
  <si>
    <t xml:space="preserve">CANETA DO WALTER JET MONTADA </t>
  </si>
  <si>
    <t>E1403</t>
  </si>
  <si>
    <t>F1303</t>
  </si>
  <si>
    <t>BLOCO DA CANETA TEE:60 KSI;3/8IN G2003</t>
  </si>
  <si>
    <t>MOTOBOMBA DE VACUO WEG IP55 855Hz</t>
  </si>
  <si>
    <t>F1304</t>
  </si>
  <si>
    <t xml:space="preserve">LENÇOL DE PROTEÇÃO DO ROBO </t>
  </si>
  <si>
    <t>C1301</t>
  </si>
  <si>
    <t>E1104</t>
  </si>
  <si>
    <t>E1304</t>
  </si>
  <si>
    <t>D2404</t>
  </si>
  <si>
    <t>ORING'S 1-3/4X1-15/16X3/32 DRS</t>
  </si>
  <si>
    <t xml:space="preserve">PRATO DO CILINDRO DE PREENCHIMENTO HIDRAULICO R900529340 FD45724 25F100 </t>
  </si>
  <si>
    <t>D1402</t>
  </si>
  <si>
    <t>D1403</t>
  </si>
  <si>
    <t>D1405</t>
  </si>
  <si>
    <t>E1406</t>
  </si>
  <si>
    <t>D1404</t>
  </si>
  <si>
    <t>E1402</t>
  </si>
  <si>
    <t>PARAFUZADEIRA PNEUMATICA COM MANGUEIRA E FILTRO MOD: 12020034</t>
  </si>
  <si>
    <t>F2</t>
  </si>
  <si>
    <t>E2306</t>
  </si>
  <si>
    <t>BOMBA HIDRAULICA PISTÃO  BOSCH/REXROTH A4VSO180LR2Z/30E</t>
  </si>
  <si>
    <t>JUNTA TRANSMISÃO MOTOVARIO H062U</t>
  </si>
  <si>
    <t>ACOPLAMENTO MAGNETICO JYY180M</t>
  </si>
  <si>
    <t>MOTOR ELÉTRICO FRENO CC 230V. SBR440-1</t>
  </si>
  <si>
    <t>BOMBA HIDRAULICA  R40246568</t>
  </si>
  <si>
    <t>TERMOMETRO PARA AS FERRAMENTAS 100° ROSCA DE 1/4"</t>
  </si>
  <si>
    <t>BOMBA HIDRAULICA 32207621</t>
  </si>
  <si>
    <t>BOMBA HIDRAULICA DO CARPETE 34494459/602</t>
  </si>
  <si>
    <t>MOTOR ELETRICO V230-50HZ - NBR500-1</t>
  </si>
  <si>
    <t>D2402</t>
  </si>
  <si>
    <t>BOMBA HIDRAULICA  ALTA PRESSAO PARKER PV080R1K1T1NHLC</t>
  </si>
  <si>
    <t>F1305</t>
  </si>
  <si>
    <t>CORREIA DENTADA XPB2410</t>
  </si>
  <si>
    <t>C2204</t>
  </si>
  <si>
    <t>DISJUNTOR MOTOR STECK SLS2252C - 3P 25A 20-25A</t>
  </si>
  <si>
    <t>F2102</t>
  </si>
  <si>
    <t>D2206</t>
  </si>
  <si>
    <t>D2302</t>
  </si>
  <si>
    <t>D2401</t>
  </si>
  <si>
    <t>D2403</t>
  </si>
  <si>
    <t>D2405</t>
  </si>
  <si>
    <t>E1201</t>
  </si>
  <si>
    <t>S702</t>
  </si>
  <si>
    <t>E2205</t>
  </si>
  <si>
    <t>F2202</t>
  </si>
  <si>
    <t>F1201</t>
  </si>
  <si>
    <t>MANGUERIA DE TEFLON 8mm</t>
  </si>
  <si>
    <t>S301</t>
  </si>
  <si>
    <t xml:space="preserve">MANGUERIA EM ACO 3/8 700mm </t>
  </si>
  <si>
    <t>S602</t>
  </si>
  <si>
    <t xml:space="preserve">MANGUEIRA ALTA PRESSAO 100mm 1/2 </t>
  </si>
  <si>
    <t>S603</t>
  </si>
  <si>
    <t>MANGUEIRA TEFLON REVESTIMENTO ACO 1000mm  1/4</t>
  </si>
  <si>
    <t>S601</t>
  </si>
  <si>
    <t xml:space="preserve">MANGUEIRA TEFLON REVESTIMENTO ACO 1000mm  </t>
  </si>
  <si>
    <t xml:space="preserve">MANGUEIRA TEFLON REVESTIMENTO DE ACO JIT 3/4POL 1500MM </t>
  </si>
  <si>
    <t>S202</t>
  </si>
  <si>
    <t>S103</t>
  </si>
  <si>
    <t>S101</t>
  </si>
  <si>
    <t>CAIXA</t>
  </si>
  <si>
    <t>S701</t>
  </si>
  <si>
    <t>S703</t>
  </si>
  <si>
    <t>S704</t>
  </si>
  <si>
    <t>CORREIA LISA B36</t>
  </si>
  <si>
    <t>26/07/2019</t>
  </si>
  <si>
    <t>25/07/2019</t>
  </si>
  <si>
    <t xml:space="preserve">CILINDRO MAX H YDRO </t>
  </si>
  <si>
    <t xml:space="preserve">ARMARIO </t>
  </si>
  <si>
    <t>ALM01239</t>
  </si>
  <si>
    <t>SUPORTE</t>
  </si>
  <si>
    <t>RELE DE NIVEL  NC-COM-NO</t>
  </si>
  <si>
    <t>25-jul-19</t>
  </si>
  <si>
    <t>SELO/RAPARO EM NYLON DE ALTA PRESSÃO P/INTENSIFICADOR J5/HYPER SEAL ASSEMBLY 20422243 KMT</t>
  </si>
  <si>
    <t>27-jul-19</t>
  </si>
  <si>
    <t>30/07/2019</t>
  </si>
  <si>
    <t>23/07/2021</t>
  </si>
  <si>
    <t>PISTOLA DE AR COMPRIMIDO PARA LIMPEZA COM BICO LATÃO</t>
  </si>
  <si>
    <t>24/07/2022</t>
  </si>
  <si>
    <t>ALM01240</t>
  </si>
  <si>
    <t>31/07/2019</t>
  </si>
  <si>
    <t xml:space="preserve">VALVULA PNEUMATICA PARA OLEO TERMICO </t>
  </si>
  <si>
    <t>D1205</t>
  </si>
  <si>
    <t>PLUG FEMEA QUICK STECK 2P+T 10A</t>
  </si>
  <si>
    <t>CABO CONECTOR SICK 2022279</t>
  </si>
  <si>
    <t>CILINDRO DE ALTA PRESSÃO (FLAUTA/LINER-HP CYLINDER) EM LATÃO</t>
  </si>
  <si>
    <t>FITA ISOLANTE PARA/ ALTA TENSÃO SCOTCH 23 - AUTOFUSÃO 19MM X 10M</t>
  </si>
  <si>
    <t>01/08/2019</t>
  </si>
  <si>
    <t>BARRA PARA CONFECÇÃO DE CHAVETA</t>
  </si>
  <si>
    <t>ALM01241</t>
  </si>
  <si>
    <t>ROLAMENTO UC202</t>
  </si>
  <si>
    <t>5-ago-19</t>
  </si>
  <si>
    <t>DISJUNTOR MOTOR GZ1M14 6-10A (SCHNEIDER)</t>
  </si>
  <si>
    <t>COOLLER 220VAC 60HZ 1.4W 0,10A , F2E - 1205 - 230</t>
  </si>
  <si>
    <t>FUSÍVEL CARTUCHO P/ BARRAMENTO 40A 500VAC NP5873 - AMERICAN FUSE NP5873</t>
  </si>
  <si>
    <t>ACOPLAMENTO MAGNETICO P/ JUNTA MOTOR E BOMBA PARA ISOCIANATO GANTRY</t>
  </si>
  <si>
    <t>M04</t>
  </si>
  <si>
    <t>IHM TS680 TOUCHSYSTEM CODE 9320680 SERIAL 141425 (FLATECK Nº R005549)</t>
  </si>
  <si>
    <t>DIODO MURR 3124015</t>
  </si>
  <si>
    <t>CONECTOR XZCC43FCP40B TELEMAQUINIC</t>
  </si>
  <si>
    <t xml:space="preserve">REGUA COM ROLAMENTO PARA TROCA RAPIDA Roll bar with hydraulic. Increase R. A. T.-Article No. 58292 8.1834.5150 - L=1600mm
</t>
  </si>
  <si>
    <t>02/08/2019</t>
  </si>
  <si>
    <t>05/08/2019</t>
  </si>
  <si>
    <t>07/08/2019</t>
  </si>
  <si>
    <t>08/08/2019</t>
  </si>
  <si>
    <t>TUBO HIDRAULICO PARA MONTAGEM DO SISTEMA DE TROCA RAPIDA TUBO HIDRAULICO 8mm de 6m</t>
  </si>
  <si>
    <t>ELETRODUTO RIGIDO ANTICHAMA PVC 3/4"</t>
  </si>
  <si>
    <t>09/08/2019</t>
  </si>
  <si>
    <t>SUPORTE PARA LUMINARIA PARA LAMPADAS FLUORESCENTES 54W 4000K COOL WHITE80 PHILIPS</t>
  </si>
  <si>
    <t>DISJUNTOR TRIPOLAR 32A</t>
  </si>
  <si>
    <t>BALANCIM HSB-1 (300-1200G), Carbografite 012343612</t>
  </si>
  <si>
    <t>CONEXÃO PNEUMATICA DE 12  COM ROSCA 12mm</t>
  </si>
  <si>
    <t xml:space="preserve">CONEXÃO PNEUMÁTICA 12 COM ROSCA 12mm </t>
  </si>
  <si>
    <t>CONEXÃO TEE COM ROSCA CENTRAL E PENELMATICA NAS ESTREMIDADES 6,8 E 10MM CONTROLE POR NIVEL</t>
  </si>
  <si>
    <t>CONEXÃO PNEUMATICA 6mm COTOVELO COM ROSCA 12MM</t>
  </si>
  <si>
    <t>CONEXÃO PNEUMATICA 10mm COTOVELO COM ROSCA 12MM</t>
  </si>
  <si>
    <t xml:space="preserve">Terminal Rotular Macho Pos 30 Mm - Rosca Direita </t>
  </si>
  <si>
    <t>10/06/2019</t>
  </si>
  <si>
    <t>CONEXÃO PNEUMÁTICA  8mm COTOVELO COM ROSCA 12MM</t>
  </si>
  <si>
    <t>15-ago-19</t>
  </si>
  <si>
    <t>ALM01242</t>
  </si>
  <si>
    <t>ALM01243</t>
  </si>
  <si>
    <t>ALM01244</t>
  </si>
  <si>
    <t>ALM01245</t>
  </si>
  <si>
    <t>ALM01246</t>
  </si>
  <si>
    <t>BITS Nº 2X50mm S2 PH2</t>
  </si>
  <si>
    <t>TRUNK LOAD</t>
  </si>
  <si>
    <t>ALM01247</t>
  </si>
  <si>
    <t>ALM01248</t>
  </si>
  <si>
    <t>ALM01249</t>
  </si>
  <si>
    <t>ALM01250</t>
  </si>
  <si>
    <t>ALM01251</t>
  </si>
  <si>
    <t>ALM01252</t>
  </si>
  <si>
    <t>ALM01253</t>
  </si>
  <si>
    <t>ALM01254</t>
  </si>
  <si>
    <t>ALM01255</t>
  </si>
  <si>
    <t>ALM01256</t>
  </si>
  <si>
    <t>ALM01257</t>
  </si>
  <si>
    <t>ALM01258</t>
  </si>
  <si>
    <t>ALM01259</t>
  </si>
  <si>
    <t>ALM01260</t>
  </si>
  <si>
    <t>ALM01261</t>
  </si>
  <si>
    <t>ALM01262</t>
  </si>
  <si>
    <t>ALM01263</t>
  </si>
  <si>
    <t>ALM01264</t>
  </si>
  <si>
    <t>ALM01265</t>
  </si>
  <si>
    <t>ALM01266</t>
  </si>
  <si>
    <t>ALM01267</t>
  </si>
  <si>
    <t>ALM01268</t>
  </si>
  <si>
    <t>TETO</t>
  </si>
  <si>
    <t>BITS T-20</t>
  </si>
  <si>
    <t>SUPORTE PARA O BITS T-20</t>
  </si>
  <si>
    <t xml:space="preserve">REFLETOR LED 100-240V </t>
  </si>
  <si>
    <t>B2103</t>
  </si>
  <si>
    <t>CHAVE SICK D-79183 2N/C 1N/O BBM M20 I17-SA213 IDENT. NO. 602567</t>
  </si>
  <si>
    <t>19-ago-19</t>
  </si>
  <si>
    <t>M14</t>
  </si>
  <si>
    <t>16-ago-20</t>
  </si>
  <si>
    <t>19/08/2019</t>
  </si>
  <si>
    <t xml:space="preserve">PISTOLA AUTOMATICA DE PINTURA PICCOLA MDS 80mm </t>
  </si>
  <si>
    <t>AGULHA DA PISTOLA AUTOMATICA DE PINTURA PICCOLA 03mm POS.10 (MDS)</t>
  </si>
  <si>
    <t>BICO DE FLUIDO DA PISTOLA AUTOMATICA DE PINTURA PICCOLA 0.3mm pos.3 (MDS)</t>
  </si>
  <si>
    <t>20/08/2019</t>
  </si>
  <si>
    <t>ANEL DE RETENÇÃO DA PISTOLA AUTOMATICA DE PINTURA PICCOLA pos.1 (MDS)</t>
  </si>
  <si>
    <t>CAPA DE AR DA PISTOLA AUTOMATICA DE PINTURA PICCOLA pos.2 (MDS)</t>
  </si>
  <si>
    <t>MOLA DO PARAFUSO DO LEQUE DA PISTOLA AUTOMATICA DE PINTURA PICCOLA pos.5 (MDS)</t>
  </si>
  <si>
    <t>PARAFUSO DO LEQUE DA PISTOLA AUTOMATICA DE PINTURA PICCOLA pos.6 (MDS)</t>
  </si>
  <si>
    <t>GUARNIÇÃO DA PISTOLA AUTOMATICA DE PINTURA PICCOLA pos.7 (MDS)</t>
  </si>
  <si>
    <t>ALM01269</t>
  </si>
  <si>
    <t>ALM01270</t>
  </si>
  <si>
    <t>ALM01271</t>
  </si>
  <si>
    <t>ALM01272</t>
  </si>
  <si>
    <t>ALM01273</t>
  </si>
  <si>
    <t>PARAFUSO DE VEDAÇÃO DA PISTOLA AUTOMATICA DE PINTURA PICCOLA pos.8 (MDS)</t>
  </si>
  <si>
    <t>SUPORTE DA AGULHA DA PISTOLA AUTOMATICA DE PINTURA PICCOLA pos.11 (MDS)</t>
  </si>
  <si>
    <t>ANEL "O" DA PISTOLA AUTOMATICA DE PINTURA PICCOLA pos.9 (MDS)</t>
  </si>
  <si>
    <t>ANEL "O" DA PISTOLA AUTOMATICA DE PINTURA PICCOLA pos.12 (MDS)</t>
  </si>
  <si>
    <t>KIT DA PISTOLA MANUAL MD 05 HVLP</t>
  </si>
  <si>
    <t>ENDEREÇO DO ITEM</t>
  </si>
  <si>
    <t>20-ago-19</t>
  </si>
  <si>
    <t>11/08/2019</t>
  </si>
  <si>
    <t>12/08/2019</t>
  </si>
  <si>
    <t>13/08/2019</t>
  </si>
  <si>
    <t>14/08/2019</t>
  </si>
  <si>
    <t>15/08/2019</t>
  </si>
  <si>
    <t>16/08/2019</t>
  </si>
  <si>
    <t>17/08/2019</t>
  </si>
  <si>
    <t>CILINDRO HIDRAULICO TELESCÓPIO (1° ESTÁGIO 90X50MM / 2° ESTÁGIO 110X80MM)</t>
  </si>
  <si>
    <t xml:space="preserve">M10/11/12 </t>
  </si>
  <si>
    <t>Ser. Realizado</t>
  </si>
  <si>
    <t>Numero Nf</t>
  </si>
  <si>
    <t>Valor Ser.</t>
  </si>
  <si>
    <t>22/08/2019</t>
  </si>
  <si>
    <t>COROA DE BRONZE DO FUSO DA CALANDRA DA M14</t>
  </si>
  <si>
    <t>VALVULA PROPORCIONAL  D1FBE32FC0NB0019C25X726</t>
  </si>
  <si>
    <t>23/08/2019</t>
  </si>
  <si>
    <t>26/08/2019</t>
  </si>
  <si>
    <t>25/08/2019</t>
  </si>
  <si>
    <t>27/08/2019</t>
  </si>
  <si>
    <t>28/08/2019</t>
  </si>
  <si>
    <t>29/08/2019</t>
  </si>
  <si>
    <t>30/08/2019</t>
  </si>
  <si>
    <t>01/09/2019</t>
  </si>
  <si>
    <t>30-ago-19</t>
  </si>
  <si>
    <t>BLOCO DA CANETA VL1018918</t>
  </si>
  <si>
    <t>17-set-19</t>
  </si>
  <si>
    <t>02/09/2019</t>
  </si>
  <si>
    <t>03/09/2019</t>
  </si>
  <si>
    <t>04/09/2019</t>
  </si>
  <si>
    <t>05/09/2019</t>
  </si>
  <si>
    <t>06/09/2019</t>
  </si>
  <si>
    <t>07/09/2019</t>
  </si>
  <si>
    <t>08/09/2019</t>
  </si>
  <si>
    <t>09/09/2019</t>
  </si>
  <si>
    <t>10/09/2019</t>
  </si>
  <si>
    <t>MANGUEIRA PNEUMATICA TUBO ASPIRAL 08,00X05,X03,50M AZUL PU</t>
  </si>
  <si>
    <t>11/09/2019</t>
  </si>
  <si>
    <t>12/09/2019</t>
  </si>
  <si>
    <t>13/09/2019</t>
  </si>
  <si>
    <t>16/09/2019</t>
  </si>
  <si>
    <t>17/09/2019</t>
  </si>
  <si>
    <t>18-set-19</t>
  </si>
  <si>
    <t>D2305</t>
  </si>
  <si>
    <t>MODULO LINHA CP 916XX001 (VALCO MELTON)</t>
  </si>
  <si>
    <t>PONTEIRA LINHA 910XX318 (VALCO MELTON)</t>
  </si>
  <si>
    <t>MANGUEIRA 8AGR2*100FJ-10*3600</t>
  </si>
  <si>
    <t>MANGUEIRA 8AGR2*100DL-15*1600</t>
  </si>
  <si>
    <t>MANGUEIRA 4SH-20*200DP-38*1310</t>
  </si>
  <si>
    <t>18/09/2019</t>
  </si>
  <si>
    <t>CABO DE AÇO PASTIF (3/32X1/8)</t>
  </si>
  <si>
    <t>ALM01274</t>
  </si>
  <si>
    <t xml:space="preserve">NIPLE GALV   (1/2") BSP 280 TUPY  </t>
  </si>
  <si>
    <t xml:space="preserve">ESPIGÃO FIXO P/MANG (1/2X1/2) MACHO LUBE </t>
  </si>
  <si>
    <t>PARAFUSO SEXT AUTO-BROCANTE (7/32X4)CR</t>
  </si>
  <si>
    <t>CORREIA SINCRONIZADORA PV/ACO 16MM LLT0 16M</t>
  </si>
  <si>
    <t>19/09/2019</t>
  </si>
  <si>
    <t>20/09/2019</t>
  </si>
  <si>
    <t>23/09/2019</t>
  </si>
  <si>
    <t>24/09/2019</t>
  </si>
  <si>
    <t>26/09/2019</t>
  </si>
  <si>
    <t>27/09/2019</t>
  </si>
  <si>
    <t>28/09/2019</t>
  </si>
  <si>
    <t>3-out-19</t>
  </si>
  <si>
    <t xml:space="preserve">TOMADAS DE 10  AMPERES </t>
  </si>
  <si>
    <t>TOMADAS DE 20 AMPERES</t>
  </si>
  <si>
    <t>ALM01275</t>
  </si>
  <si>
    <t>ALM01276</t>
  </si>
  <si>
    <t>ALM01277</t>
  </si>
  <si>
    <t>ALM01278</t>
  </si>
  <si>
    <t>ALM01279</t>
  </si>
  <si>
    <t>ALM01280</t>
  </si>
  <si>
    <t>ALM01281</t>
  </si>
  <si>
    <t>JOELHO EM AÇO CARBONO PARA SOLDA DE 1"</t>
  </si>
  <si>
    <t>JUNTA BPAIL ENCAPSULADA TEFLON 240X20 (VALCO MELTON)</t>
  </si>
  <si>
    <t>CABO SR2 USB01 ZELIO-920400</t>
  </si>
  <si>
    <t>ALM01282</t>
  </si>
  <si>
    <t>ALM01283</t>
  </si>
  <si>
    <t>ALM01284</t>
  </si>
  <si>
    <t>ALM01285</t>
  </si>
  <si>
    <t>ALM01286</t>
  </si>
  <si>
    <t>ALM01287</t>
  </si>
  <si>
    <t>ALM01288</t>
  </si>
  <si>
    <t>ALM01289</t>
  </si>
  <si>
    <t>ALM01290</t>
  </si>
  <si>
    <t>ALM01291</t>
  </si>
  <si>
    <t>ALM01292</t>
  </si>
  <si>
    <t>ALM01293</t>
  </si>
  <si>
    <t>ALM01294</t>
  </si>
  <si>
    <t>ALM01295</t>
  </si>
  <si>
    <t>ALM01296</t>
  </si>
  <si>
    <t>ALM01297</t>
  </si>
  <si>
    <t>SENSOR D-79183 IME08-02BPSZCOS 1051205</t>
  </si>
  <si>
    <t>SENSOR D-79183 IME'8-05BPSZCOS 1040934</t>
  </si>
  <si>
    <t>CHAVE SIEMENS 3SE5322-0SD21 IEC/EM 60947-5-1 AC15 240V 3A 1P 66/67</t>
  </si>
  <si>
    <t>30/set</t>
  </si>
  <si>
    <t>11-out-19</t>
  </si>
  <si>
    <t>14-out-19</t>
  </si>
  <si>
    <t>F1202</t>
  </si>
  <si>
    <t xml:space="preserve">FITA ANTICORROS. 100MMX30M SCOTH </t>
  </si>
  <si>
    <t>NIPLE DUPLO 3/4 FIG. 280 DIM.3/4CLASS. BSP</t>
  </si>
  <si>
    <t>11/10/2019</t>
  </si>
  <si>
    <t>01/out</t>
  </si>
  <si>
    <t>02/out</t>
  </si>
  <si>
    <t>03/out</t>
  </si>
  <si>
    <t>08/out</t>
  </si>
  <si>
    <t>09/out</t>
  </si>
  <si>
    <t>10/out</t>
  </si>
  <si>
    <t>14/10/2019</t>
  </si>
  <si>
    <t>15/10/2019</t>
  </si>
  <si>
    <t>16/10/2019</t>
  </si>
  <si>
    <t>18/10/2019</t>
  </si>
  <si>
    <t>19/10/2019</t>
  </si>
  <si>
    <t>25-out-19</t>
  </si>
  <si>
    <t>31/10/2019</t>
  </si>
  <si>
    <t>31-out-19</t>
  </si>
  <si>
    <t>CHAVE VCF5 SCHNEIDER TESYS 080463</t>
  </si>
  <si>
    <t>B2104</t>
  </si>
  <si>
    <t>19-nov-19</t>
  </si>
  <si>
    <t>MANCAL UKF210</t>
  </si>
  <si>
    <t>21-nov-19</t>
  </si>
  <si>
    <t>MANCAL UCF204</t>
  </si>
  <si>
    <t>MANCAL UCPA204</t>
  </si>
  <si>
    <t>MANCAL UCF206</t>
  </si>
  <si>
    <t>25-nov-19</t>
  </si>
  <si>
    <t>15/11/2019</t>
  </si>
  <si>
    <t>20/11/2019</t>
  </si>
  <si>
    <t>ALM01298</t>
  </si>
  <si>
    <t>ALM01299</t>
  </si>
  <si>
    <t>ALM01300</t>
  </si>
  <si>
    <t>ALM01301</t>
  </si>
  <si>
    <t>ALM01302</t>
  </si>
  <si>
    <t>ALM01303</t>
  </si>
  <si>
    <t>05/11/2019</t>
  </si>
  <si>
    <t>15-nov-19</t>
  </si>
  <si>
    <t>28-nov-19</t>
  </si>
  <si>
    <t>18-out-19</t>
  </si>
  <si>
    <t>19/11/2019</t>
  </si>
  <si>
    <t>14/11/2019</t>
  </si>
  <si>
    <t>23/11/2019</t>
  </si>
  <si>
    <t>25/11/2019</t>
  </si>
  <si>
    <t>26/11/2019</t>
  </si>
  <si>
    <t>CONJUNTO DE BOTOEIRA MAIS BOTÃO D DE EMERGENCIA</t>
  </si>
  <si>
    <t xml:space="preserve">NIPLE DE 1/2" </t>
  </si>
  <si>
    <t xml:space="preserve">TOMADAS DE 10 E 20 AMPERES </t>
  </si>
  <si>
    <t>BLOCO DA CANETA VL10189181</t>
  </si>
  <si>
    <t>CABO FLEX UNIPOLAR AZUL 1MM² -  BOBINA 100M CABO FLEX 1MM³ LA LAPP KABEL</t>
  </si>
  <si>
    <t>ESPIGÃO ROSCA E MANG 1,1/2"</t>
  </si>
  <si>
    <t>SOFT STARTER 3RW4038-IBB04</t>
  </si>
  <si>
    <t>MANGUEIRA PNEUMATICA TUBO ESPIRAL 08,00X05,X03,50M AZUL PU</t>
  </si>
  <si>
    <t>CHAVE SCHMERSAL RSS 36-D-ST Eu: 24vdc le; 0,6A  IP 69K 101213954 3Z7</t>
  </si>
  <si>
    <t>(Tudo)</t>
  </si>
  <si>
    <t>29/11/2019</t>
  </si>
  <si>
    <t>30/11/2019</t>
  </si>
  <si>
    <t>02/12/2019</t>
  </si>
  <si>
    <t>6-dez-19</t>
  </si>
  <si>
    <t>15-dez-19</t>
  </si>
  <si>
    <t>03/12/2019</t>
  </si>
  <si>
    <t>04/12/2019</t>
  </si>
  <si>
    <t>05/12/2019</t>
  </si>
  <si>
    <t>06/12/2019</t>
  </si>
  <si>
    <t>07/12/2019</t>
  </si>
  <si>
    <t>09/12/2019</t>
  </si>
  <si>
    <t>10/12/2019</t>
  </si>
  <si>
    <t>11/12/2019</t>
  </si>
  <si>
    <t>12/12/2019</t>
  </si>
  <si>
    <t>14/12/2019</t>
  </si>
  <si>
    <t>16/12/2019</t>
  </si>
  <si>
    <t>18/12/2019</t>
  </si>
  <si>
    <t>20/12/2019</t>
  </si>
  <si>
    <t>25-dez-19</t>
  </si>
  <si>
    <t xml:space="preserve">CERABAR T PMP 131-A1401A70 MWP100BAR </t>
  </si>
  <si>
    <t>BLOCO TEMPORIZADOR  LADT2 TESYS - 038589 - 0,1-30S 1NO+1NC SCHNEIDER ELECTRIC</t>
  </si>
  <si>
    <t>CHAVE SELETORA Plástica Manopla Curta Pos Fixas XA2ED21 WH18365515 SCHNEIDER</t>
  </si>
  <si>
    <t xml:space="preserve">DISJUNTOR MOTOR WEG MPW40-3-D063 4-6,3A </t>
  </si>
  <si>
    <t>30/01/2020</t>
  </si>
  <si>
    <t>30-jan-20</t>
  </si>
  <si>
    <t>BLOCO DE PROTEÇÃO CONECTOR 5SD7464-0</t>
  </si>
  <si>
    <t>ALM01304</t>
  </si>
  <si>
    <t>ALM01305</t>
  </si>
  <si>
    <t>ALM01306</t>
  </si>
  <si>
    <t>BLOCO DE CONTATO WEG IEC 60947-5-1  10A</t>
  </si>
  <si>
    <t>A1201</t>
  </si>
  <si>
    <t>ALM01307</t>
  </si>
  <si>
    <t>ALM01308</t>
  </si>
  <si>
    <t>B1403</t>
  </si>
  <si>
    <t>B1406</t>
  </si>
  <si>
    <t>B1405</t>
  </si>
  <si>
    <t>B1404</t>
  </si>
  <si>
    <t>B2402</t>
  </si>
  <si>
    <t>B2404</t>
  </si>
  <si>
    <t>B2302</t>
  </si>
  <si>
    <t>G1102</t>
  </si>
  <si>
    <t>G1103</t>
  </si>
  <si>
    <t>G1104</t>
  </si>
  <si>
    <t>G1105</t>
  </si>
  <si>
    <t>TORRE DE LED -24VDC-LARANJA/VERDE/VERMELHO - REF. TPTB7-24</t>
  </si>
  <si>
    <t>LUZ INDICADORA VERDE , CL-502G</t>
  </si>
  <si>
    <t>MANGUEIRA CORRUGADA C/ BICO PESCADOR</t>
  </si>
  <si>
    <t>G1106</t>
  </si>
  <si>
    <t>ALM01309</t>
  </si>
  <si>
    <t>ALM01310</t>
  </si>
  <si>
    <t>ALM01311</t>
  </si>
  <si>
    <t>ALM01312</t>
  </si>
  <si>
    <t>ALM01313</t>
  </si>
  <si>
    <t>ALM01314</t>
  </si>
  <si>
    <t>ALM01315</t>
  </si>
  <si>
    <t>ALM01316</t>
  </si>
  <si>
    <t>TROCADOR DE CALOR DE PLACAS 5M³ - REF. BL95B-54D</t>
  </si>
  <si>
    <t>D1102</t>
  </si>
  <si>
    <t>G2101</t>
  </si>
  <si>
    <t>F.FENDER-M06</t>
  </si>
  <si>
    <t>G2106</t>
  </si>
  <si>
    <t xml:space="preserve">MOTOR ELÉTRICO TRIFÁSICO 1.5 KW , 1400rpm, 0,35A (380V/60HZ) </t>
  </si>
  <si>
    <t>TROCADOR DE CALOR DE PLACAS 3M³ - REF. BL95B-32D</t>
  </si>
  <si>
    <t>ACUMULADOR DE PRESSÃO</t>
  </si>
  <si>
    <t>G1101</t>
  </si>
  <si>
    <t>PISO 01</t>
  </si>
  <si>
    <t>MANGUEIRA HIDRÁULICA DE ALTA PRESSÃO 5/8"</t>
  </si>
  <si>
    <t>S502</t>
  </si>
  <si>
    <t>CHAVE SELETORA 10 POSIÇÕES - PN 201407022 , REF: CA10</t>
  </si>
  <si>
    <t>ALM01317</t>
  </si>
  <si>
    <t>ALM01318</t>
  </si>
  <si>
    <t>ALM01319</t>
  </si>
  <si>
    <t>ALM01320</t>
  </si>
  <si>
    <t>ALM01321</t>
  </si>
  <si>
    <t>ALM01322</t>
  </si>
  <si>
    <t>ALM01323</t>
  </si>
  <si>
    <t>ALM01324</t>
  </si>
  <si>
    <t>ALM01325</t>
  </si>
  <si>
    <t>ALM01326</t>
  </si>
  <si>
    <t>ALM01327</t>
  </si>
  <si>
    <t>ALM01328</t>
  </si>
  <si>
    <t>BLOCO DE VÁLVULA G1/8 FESTO - REF. PRS-3/8-2-B / COD. 30682</t>
  </si>
  <si>
    <t>C1304</t>
  </si>
  <si>
    <t>CONJUNTO DE PLACAS FINAIS ISO FESTO - REF. NEV-3DA/DB-ISSO / COD. 10176</t>
  </si>
  <si>
    <t>BLOCO DE MONTAGEM P/ VÁLVULA FESTO - REF. NAV-1/2-3C-ISO / COD. 10175</t>
  </si>
  <si>
    <t>ALM01329</t>
  </si>
  <si>
    <t>ALM01330</t>
  </si>
  <si>
    <t>ALM01331</t>
  </si>
  <si>
    <t>ALM01332</t>
  </si>
  <si>
    <t>ALM01333</t>
  </si>
  <si>
    <t>ALM01334</t>
  </si>
  <si>
    <t>ALM01335</t>
  </si>
  <si>
    <t>ALM01336</t>
  </si>
  <si>
    <t>ALM01337</t>
  </si>
  <si>
    <t>ALM01338</t>
  </si>
  <si>
    <t>ALM01339</t>
  </si>
  <si>
    <t>ALM01340</t>
  </si>
  <si>
    <t>BUCHA CENTRALIZADORA NORELEM- REF. 03154-235040 / COD. RAT 64436</t>
  </si>
  <si>
    <t>BUCHA CENTRALIZADORA NORELEM- REF.03154-235020 / COD. RAT 64340</t>
  </si>
  <si>
    <t>BUCHA CENTRALIZADORA NORELEM- REF.03154-235040 / COD. RAT 64436</t>
  </si>
  <si>
    <t>MANGUEIRA FLEXÍVEL CORRUGADA TIPO VÁCUO-AR 1.1/2" AZUL</t>
  </si>
  <si>
    <t>S504</t>
  </si>
  <si>
    <t>MANGUEIRA FLEXÍVEL CORRUGADA TIPO VÁCUO-AR 1" AZUL</t>
  </si>
  <si>
    <t>ESPELHO EMOLDURADO C/ SUPORTE 1770mm PARA CORTINA DE LUZ</t>
  </si>
  <si>
    <t>ALM01341</t>
  </si>
  <si>
    <t>ALM01342</t>
  </si>
  <si>
    <t>ALM01343</t>
  </si>
  <si>
    <t>ALM01344</t>
  </si>
  <si>
    <t>ALM01345</t>
  </si>
  <si>
    <t>ALM01346</t>
  </si>
  <si>
    <t>ALM01347</t>
  </si>
  <si>
    <t>ALM01348</t>
  </si>
  <si>
    <t>ALM01349</t>
  </si>
  <si>
    <t>ALM01350</t>
  </si>
  <si>
    <t>ALM01351</t>
  </si>
  <si>
    <t>ALM01352</t>
  </si>
  <si>
    <t>ALM01353</t>
  </si>
  <si>
    <t>ALM01354</t>
  </si>
  <si>
    <t>ALM01355</t>
  </si>
  <si>
    <t>ALM01356</t>
  </si>
  <si>
    <t>ALM01357</t>
  </si>
  <si>
    <t>ALM01358</t>
  </si>
  <si>
    <t>ALM01359</t>
  </si>
  <si>
    <t>ALM01360</t>
  </si>
  <si>
    <t>S503</t>
  </si>
  <si>
    <t>VALVULA ESFERA TRIPARTIDA  1/2"</t>
  </si>
  <si>
    <t>MOTOR ELÉTRICO TRIFÁSICO PARA BOMBA WP 601, 5052146, 460V, 60HZ, 0,5 KW, 1.1A, 3380 RPM, Q 60L/min, MODELO: TM-601-110.0005, REF: 5052146</t>
  </si>
  <si>
    <t>SERPENTINA DE REFRIGERAÇÃO - REF: 0332243</t>
  </si>
  <si>
    <t xml:space="preserve">CONTATOR DE POTÊNCIA DOS RELES , MARCA: SCHNEIDER, MODELO: LC1D12,REF: 9121027
</t>
  </si>
  <si>
    <t>ALM01361</t>
  </si>
  <si>
    <t>ALM01362</t>
  </si>
  <si>
    <t>ALM01363</t>
  </si>
  <si>
    <t>ALM01364</t>
  </si>
  <si>
    <t>ALM01365</t>
  </si>
  <si>
    <t>CHAVE GERAL,MODELO: 1132/N3/7ZM/Z10/20/PE 34W - REF : 9150843</t>
  </si>
  <si>
    <t>TRANSFORMADOR 420/24V ,0.063KVA,  2,6A, 50/60Hz, MARCA: GWK - REF: 9190449</t>
  </si>
  <si>
    <t>PLACA DE CIRCUITO IMPRESSO, CSREG V1.0, REF: 9070855</t>
  </si>
  <si>
    <t>PAINEL TOUCH SCREEN, REF: 9071111</t>
  </si>
  <si>
    <t>TRANSMISSOR DE SINAIS , REF: 9030150</t>
  </si>
  <si>
    <t>TRANSMISSOR DE TEMPERATURA GWK KABEL, MODELO S&amp;S KW 12/14-L 407 PT100, REF: 9914933, posição 3</t>
  </si>
  <si>
    <t>MICRO COMUTADOR , REF: 9150754 , posição 9</t>
  </si>
  <si>
    <t>RELÉ DE ACIONAMENTO DA VALVULA - MARCA: CELDUC - REF: SO867970</t>
  </si>
  <si>
    <t>E2206</t>
  </si>
  <si>
    <t>09/02/20202</t>
  </si>
  <si>
    <t>10/02/2020</t>
  </si>
  <si>
    <t>11/02/2020</t>
  </si>
  <si>
    <t>13/02/2020</t>
  </si>
  <si>
    <t>04/02/2020</t>
  </si>
  <si>
    <t>05/02/2020</t>
  </si>
  <si>
    <t>06/02/2020</t>
  </si>
  <si>
    <t>07/02/2020</t>
  </si>
  <si>
    <t>08/02/2020</t>
  </si>
  <si>
    <t>16/02/2020</t>
  </si>
  <si>
    <t>17/02/2020</t>
  </si>
  <si>
    <t>18/02/2020</t>
  </si>
  <si>
    <t>15/02/2020</t>
  </si>
  <si>
    <t>17-fev-20</t>
  </si>
  <si>
    <t>Desengripante Spray White Lub Super 300 ml</t>
  </si>
  <si>
    <t>ALM01366</t>
  </si>
  <si>
    <t>ALM01367</t>
  </si>
  <si>
    <t>ALM01368</t>
  </si>
  <si>
    <t>ALM01369</t>
  </si>
  <si>
    <t>ALM01370</t>
  </si>
  <si>
    <t>ALM01371</t>
  </si>
  <si>
    <t>ALM01372</t>
  </si>
  <si>
    <t>ALM01373</t>
  </si>
  <si>
    <t>ALM01374</t>
  </si>
  <si>
    <t>ALM01375</t>
  </si>
  <si>
    <t>ALM01376</t>
  </si>
  <si>
    <t>06/03/2020</t>
  </si>
  <si>
    <t>08/03/2020</t>
  </si>
  <si>
    <t>09/03/2020</t>
  </si>
  <si>
    <t>10/03/2020</t>
  </si>
  <si>
    <t>11/03/2020</t>
  </si>
  <si>
    <t>12/03/2020</t>
  </si>
  <si>
    <t>13/03/2020</t>
  </si>
  <si>
    <t>14/03/2020</t>
  </si>
  <si>
    <t>21/02/2020</t>
  </si>
  <si>
    <t>20-mar-20</t>
  </si>
  <si>
    <t>23-mar-20</t>
  </si>
  <si>
    <t>DISJUNTOR MOTOR GZ1E07 B</t>
  </si>
  <si>
    <t xml:space="preserve">MODULO DE EXPANSAO SR3 XT141BD </t>
  </si>
  <si>
    <t>24/03/2020</t>
  </si>
  <si>
    <t xml:space="preserve">TERMINAL BLOCK ID No.: 774195   PILZ </t>
  </si>
  <si>
    <t>M35</t>
  </si>
  <si>
    <t>M30 M37</t>
  </si>
  <si>
    <t xml:space="preserve">PRESILHA 3/8 PARA CABO DE AÇO </t>
  </si>
  <si>
    <t>F2104</t>
  </si>
  <si>
    <t>CHAVE SELETORA MANOPLA CURTA 2NA 3P XA2ED33</t>
  </si>
  <si>
    <t>CHAVE SELETORA MANOPLA CURTA 1NF 2  XA2ED25</t>
  </si>
  <si>
    <t>B1303</t>
  </si>
  <si>
    <t>ALM01377</t>
  </si>
  <si>
    <t>ALM01378</t>
  </si>
  <si>
    <t>ALM01379</t>
  </si>
  <si>
    <t>ALM01380</t>
  </si>
  <si>
    <t>ALM01381</t>
  </si>
  <si>
    <t>ALM01382</t>
  </si>
  <si>
    <t>ALM01383</t>
  </si>
  <si>
    <t>ALM01384</t>
  </si>
  <si>
    <t>ALM01385</t>
  </si>
  <si>
    <t>ALM01386</t>
  </si>
  <si>
    <t>ALM01387</t>
  </si>
  <si>
    <t>ALM01388</t>
  </si>
  <si>
    <t>RELE TEMPORIZADOR  RE17RLMU ZELIO TIME GB/T14048.5</t>
  </si>
  <si>
    <t>MODULAR SMART RELAY ZELIO CLOCK-DISPLAY SR3 B261BD 24VDC</t>
  </si>
  <si>
    <t>FONTE ABL2REM24100H SCHNEIDER 24VDC 250W</t>
  </si>
  <si>
    <t>Bomba De Refrigeração Asten  CD:30921  NS:2002951  450W  Ip/In 4.17/3.87 FP 0.83/0.87  NBR 7094</t>
  </si>
  <si>
    <t>09/04/2020</t>
  </si>
  <si>
    <t>14/02/2020</t>
  </si>
  <si>
    <t>SELO/REPARO EM NYLON DE ALTA PRESSÃO P/INTENSIFICADOR J5/HYPER SEAL ASSEMBLY 20422243 KMT</t>
  </si>
  <si>
    <t>19/02/2020</t>
  </si>
  <si>
    <t>20/02/2020</t>
  </si>
  <si>
    <t>22/02/2020</t>
  </si>
  <si>
    <t>05/03/2020</t>
  </si>
  <si>
    <t>07/03/2020</t>
  </si>
  <si>
    <t>16/03/2020</t>
  </si>
  <si>
    <t>18/03/2020</t>
  </si>
  <si>
    <t>19/03/2020</t>
  </si>
  <si>
    <t>23/03/2020</t>
  </si>
  <si>
    <t>08/04/2020</t>
  </si>
  <si>
    <t>23/04/2020</t>
  </si>
  <si>
    <t>24/04/2020</t>
  </si>
  <si>
    <t>27/04/2020</t>
  </si>
  <si>
    <t>05/05/2020</t>
  </si>
  <si>
    <t>08/05/2020</t>
  </si>
  <si>
    <t>12/05/2020</t>
  </si>
  <si>
    <t>13/05/2020</t>
  </si>
  <si>
    <t>14/05/2020</t>
  </si>
  <si>
    <t>18/05/2020</t>
  </si>
  <si>
    <t>TERMINAL FLANGE 1.1/2 - NCM 7307.19.20</t>
  </si>
  <si>
    <t>25-mai-20</t>
  </si>
  <si>
    <t>25/05/2020</t>
  </si>
  <si>
    <t>Saldo em 27/05/20</t>
  </si>
  <si>
    <t>27/05/2020</t>
  </si>
  <si>
    <t xml:space="preserve">ELEMENTOS ELASTICOS 24                        </t>
  </si>
  <si>
    <t xml:space="preserve">ELEMENTOS ELASTICOS 52                        </t>
  </si>
  <si>
    <t xml:space="preserve">ELEMENTOS ELASTICOS 48                        </t>
  </si>
  <si>
    <t>29-mai-20</t>
  </si>
  <si>
    <t>22-jun-20</t>
  </si>
  <si>
    <t>19/06/2020</t>
  </si>
  <si>
    <t>03/06/2020</t>
  </si>
  <si>
    <t>04/06/2020</t>
  </si>
  <si>
    <t>05/06/2020</t>
  </si>
  <si>
    <t>08/06/2020</t>
  </si>
  <si>
    <t>10/06/2020</t>
  </si>
  <si>
    <t>12/06/2020</t>
  </si>
  <si>
    <t>15/06/2020</t>
  </si>
  <si>
    <t>16/06/2020</t>
  </si>
  <si>
    <t>18/06/2020</t>
  </si>
  <si>
    <t>22/06/2020</t>
  </si>
  <si>
    <t>26/06/2020</t>
  </si>
  <si>
    <t>27/06/2020</t>
  </si>
  <si>
    <t>29/06/2020</t>
  </si>
  <si>
    <t>saldo em 30/06/20</t>
  </si>
  <si>
    <t>17/06/2020</t>
  </si>
  <si>
    <t>15-jul-20</t>
  </si>
  <si>
    <t>MANGUEIRA MTF-05X100-04-04X100-04-1000mm</t>
  </si>
  <si>
    <t>M10 / M11 / M12</t>
  </si>
  <si>
    <t>FUSIVEL SIEMENS 5SE2 325 NEOZED  D02 25A  gG 400V a.c.  250 d.c.</t>
  </si>
  <si>
    <t>ALM01389</t>
  </si>
  <si>
    <t>ALM01390</t>
  </si>
  <si>
    <t>ALM01391</t>
  </si>
  <si>
    <t>ALM01392</t>
  </si>
  <si>
    <t>ALM01393</t>
  </si>
  <si>
    <t>M06</t>
  </si>
  <si>
    <t>SENSOR PRESSURE XMLR400M1P25  X1</t>
  </si>
  <si>
    <t>M40</t>
  </si>
  <si>
    <t>MANG. 100R2-16X100-16X112-16-16X3000MM</t>
  </si>
  <si>
    <t>M40 VAZO PRESSÃO</t>
  </si>
  <si>
    <t xml:space="preserve">REDUÇÃO F/M 3/4X1" </t>
  </si>
  <si>
    <t>ALM01394</t>
  </si>
  <si>
    <t>ALM01395</t>
  </si>
  <si>
    <t>ALM01396</t>
  </si>
  <si>
    <t>ALM01397</t>
  </si>
  <si>
    <t>ALM01398</t>
  </si>
  <si>
    <t>MANGUEIRA PARA OLEO TERMICO 2 METROS</t>
  </si>
  <si>
    <t>MANGUEIRA PARA OLEO TERMICO 1 METROS</t>
  </si>
  <si>
    <t>VALVULA HIDRAULICA DSG-01-3C2-D24-N1- YUKEN -N.C.M 8481.20.90 DSG-01-3C2-D24-N1</t>
  </si>
  <si>
    <t xml:space="preserve">UNIÃO MACHO NPT X UNF </t>
  </si>
  <si>
    <t>ALM01399</t>
  </si>
  <si>
    <t>AQUECEDOR PARA AGUA (MAPRE)</t>
  </si>
  <si>
    <t>23-jul-20</t>
  </si>
  <si>
    <t>ALM01400</t>
  </si>
  <si>
    <t>Escova Cilíndrica em Base PP 30mm x Furo do Eixo 12mm x Em Cerdas de Nylon 0,50mm  -  Ø Total 100mm x Comprimento 30mm</t>
  </si>
  <si>
    <t>ALM01401</t>
  </si>
  <si>
    <t>ALM01402</t>
  </si>
  <si>
    <t>ALM01403</t>
  </si>
  <si>
    <t>TERMOSTATO ADD KSD301 250V 10A A 200C NF</t>
  </si>
  <si>
    <t>MANGUEIRA PARA OLEO TERMICO 3,50 METROS</t>
  </si>
  <si>
    <t>29-jul-20</t>
  </si>
  <si>
    <t>SENSOR DE PRESENÇA SOBREPOR PAREDE MPS-40F ALCANCE 10M ÂNGULO 100 4min/1min/5seg TENÇÃO 220V</t>
  </si>
  <si>
    <t>DISJUNTOR-MOTOR  MPW18-3-D016 12429368 X1  1-1,6 A</t>
  </si>
  <si>
    <t>CONTATO AUXILIAR C300 R300 2.5/240 V WEG CP420 - 89256-900</t>
  </si>
  <si>
    <t>ALM01404</t>
  </si>
  <si>
    <t>ALM01405</t>
  </si>
  <si>
    <t>ALM01406</t>
  </si>
  <si>
    <t>ALM01407</t>
  </si>
  <si>
    <t>SINALEIRO SONORO VERMELHO 80d  Ref:SSA-22VM</t>
  </si>
  <si>
    <t>30/07/2020</t>
  </si>
  <si>
    <t>01/07/2020</t>
  </si>
  <si>
    <t>06/07/2020</t>
  </si>
  <si>
    <t>02/07/2020</t>
  </si>
  <si>
    <t>07/07/2020</t>
  </si>
  <si>
    <t>15/07/2020</t>
  </si>
  <si>
    <t>08/07/2020</t>
  </si>
  <si>
    <t>13/07/2020</t>
  </si>
  <si>
    <t>14/07/2020</t>
  </si>
  <si>
    <t>16/07/2020</t>
  </si>
  <si>
    <t>20/07/2020</t>
  </si>
  <si>
    <t>21/07/2020</t>
  </si>
  <si>
    <t>22/07/2020</t>
  </si>
  <si>
    <t>23/07/2020</t>
  </si>
  <si>
    <t>27/07/2020</t>
  </si>
  <si>
    <t>28/07/2020</t>
  </si>
  <si>
    <t>29/07/2020</t>
  </si>
  <si>
    <t>30-jul-20</t>
  </si>
  <si>
    <t>AMORTECEDOR MOLA GAS 250N</t>
  </si>
  <si>
    <t>AMORTECEDOR MOLA GAS 150N</t>
  </si>
  <si>
    <t>NIPLE LATAO  3/4" NPT</t>
  </si>
  <si>
    <t xml:space="preserve">REGISTRO ESF. FEMEA 3/4" PAS PLENA </t>
  </si>
  <si>
    <t>saldo em 31/07/20</t>
  </si>
  <si>
    <t>02/08/2020</t>
  </si>
  <si>
    <t>03/08/2020</t>
  </si>
  <si>
    <t>04/08/2020</t>
  </si>
  <si>
    <t>05/08/2020</t>
  </si>
  <si>
    <t>06/08/2020</t>
  </si>
  <si>
    <t>07/08/2020</t>
  </si>
  <si>
    <t>08/08/2020</t>
  </si>
  <si>
    <t>09/08/2020</t>
  </si>
  <si>
    <t>10/08/2020</t>
  </si>
  <si>
    <t>11/08/2020</t>
  </si>
  <si>
    <t>12/08/2020</t>
  </si>
  <si>
    <t>13/08/2020</t>
  </si>
  <si>
    <t>14/08/2020</t>
  </si>
  <si>
    <t>15/08/2020</t>
  </si>
  <si>
    <t>5-ago-20</t>
  </si>
  <si>
    <t>7-ago-20</t>
  </si>
  <si>
    <t>10-ago-20</t>
  </si>
  <si>
    <t>N</t>
  </si>
  <si>
    <t>SENSOR PEPPERL+FUCHS NBB5-18 GM 50-E2-V1 Part No:84195</t>
  </si>
  <si>
    <t>CAPA DO BICO ROBO COLA GTI PRO EFFICLENCY PN:ITW-PRO-100-TE40-K  DEVILBISS</t>
  </si>
  <si>
    <t>12-ago-20</t>
  </si>
  <si>
    <t xml:space="preserve">BOIA DE NÍVEL (MAPRE) TRAMA CABO SILICONE 2X0,50 MM 300-C 750V NTT 16 </t>
  </si>
  <si>
    <t>14-ago-20</t>
  </si>
  <si>
    <t>M22 / M41</t>
  </si>
  <si>
    <t>PHOENIX CONTACT D-32823 BLOMBERG CB TM1 2A M1 P 2800848</t>
  </si>
  <si>
    <t>19-ago-20</t>
  </si>
  <si>
    <t>19/08/2020</t>
  </si>
  <si>
    <t>IBC</t>
  </si>
  <si>
    <t>ALM01408</t>
  </si>
  <si>
    <t>17/08/2020</t>
  </si>
  <si>
    <t>21/08/2020</t>
  </si>
  <si>
    <t>22/08/2020</t>
  </si>
  <si>
    <t>25/08/2020</t>
  </si>
  <si>
    <t>ALM01409</t>
  </si>
  <si>
    <t>ALM01410</t>
  </si>
  <si>
    <t>ALM01411</t>
  </si>
  <si>
    <t>24-ago-20</t>
  </si>
  <si>
    <t>28/08/2020</t>
  </si>
  <si>
    <t xml:space="preserve">AC2459-Módulo As-i Compacto 4E / 4S P </t>
  </si>
  <si>
    <t>4-set-20</t>
  </si>
  <si>
    <t>18-set-20</t>
  </si>
  <si>
    <t>21/09/2020</t>
  </si>
  <si>
    <t>18/09/2020</t>
  </si>
  <si>
    <t xml:space="preserve">PRESSOSTATOS FESTO SPAW-P100R G12M-2P-M12 8022757 K8 P110BEWNI 0...100bar Ub: 15...35V max. 600mA </t>
  </si>
  <si>
    <t>22-set-20</t>
  </si>
  <si>
    <t>28-set-20</t>
  </si>
  <si>
    <t>ALM01412</t>
  </si>
  <si>
    <t>CILINDRO DE ALTA PRESSÃO (FLAUTA/LINER-HP CYLINDER) EM PLASTICO 20497767</t>
  </si>
  <si>
    <t>29/09/2020</t>
  </si>
  <si>
    <t>02/09/2020</t>
  </si>
  <si>
    <t>04/09/2020</t>
  </si>
  <si>
    <t>07/09/2020</t>
  </si>
  <si>
    <t>09/09/2020</t>
  </si>
  <si>
    <t>10/09/2020</t>
  </si>
  <si>
    <t>11/09/2020</t>
  </si>
  <si>
    <t>23/09/2020</t>
  </si>
  <si>
    <t>25/09/2020</t>
  </si>
  <si>
    <t>5-out-20</t>
  </si>
  <si>
    <t>ALM01413</t>
  </si>
  <si>
    <t>ALM01414</t>
  </si>
  <si>
    <t>MODULO E/S DIGITAL SM323 DO16 24VDC/0,5A  6ES73231BL000AA0</t>
  </si>
  <si>
    <t>MODULO SAIDA DIGITAL S7 SM322 DO16   6ES73221BH010AA0</t>
  </si>
  <si>
    <t>RESISTENCIA TUB INOX  Ø1/2 U9 1490 12mm 9,6KW/254/440V E3</t>
  </si>
  <si>
    <t>ALM01415</t>
  </si>
  <si>
    <t>RESISTENCIA TUB INOX  Ø3/8 FLANGE 290mm 12KW/254/440V E3</t>
  </si>
  <si>
    <t>AQUECEDOR DE AGUA</t>
  </si>
  <si>
    <t>TANQUE DE POLIOL</t>
  </si>
  <si>
    <t>ALM01416</t>
  </si>
  <si>
    <t>ALM01417</t>
  </si>
  <si>
    <t>02/10/2020</t>
  </si>
  <si>
    <t>01/10/2020</t>
  </si>
  <si>
    <t>09/10/2020</t>
  </si>
  <si>
    <t>FACA CIRCULAR CORTANTE 31X23X10 cm  HAGANE  L.63917/2</t>
  </si>
  <si>
    <t>FILTRO DE VACOU 3/4 ASSEMBLY MOD: 3116652 (PPSF.75-X35) PIAB</t>
  </si>
  <si>
    <t>9-out-20</t>
  </si>
  <si>
    <t>20-out-20</t>
  </si>
  <si>
    <t>FILTRO DE ISO HOP 6406 74 MICRAS NEWTEC</t>
  </si>
  <si>
    <t>23-out-20</t>
  </si>
  <si>
    <t>ARMARIO</t>
  </si>
  <si>
    <t>08/10/2020</t>
  </si>
  <si>
    <t>05/10/2020</t>
  </si>
  <si>
    <t>07/10/2020</t>
  </si>
  <si>
    <t>06/10/2020</t>
  </si>
  <si>
    <t>10/10/2020</t>
  </si>
  <si>
    <t>13/10/2020</t>
  </si>
  <si>
    <t>28-out-20</t>
  </si>
  <si>
    <t>29-out-20</t>
  </si>
  <si>
    <t>28/10/2020</t>
  </si>
  <si>
    <t>29/10/2020</t>
  </si>
  <si>
    <t>30/10/2020</t>
  </si>
  <si>
    <t>ALM01418</t>
  </si>
  <si>
    <t>CORDÃO DE GAXETA 12,7mm 1/2" 2KG</t>
  </si>
  <si>
    <t>E1102</t>
  </si>
  <si>
    <t>14/10/2020</t>
  </si>
  <si>
    <t>15/10/2020</t>
  </si>
  <si>
    <t>16/10/2020</t>
  </si>
  <si>
    <t>20/10/2020</t>
  </si>
  <si>
    <t>25/10/2020</t>
  </si>
  <si>
    <t>27/10/2020</t>
  </si>
  <si>
    <t>BOMBA DE ÓLEO TERMICO DA RZR 4.500</t>
  </si>
  <si>
    <t>BOMBA DE REZINA</t>
  </si>
  <si>
    <t>ALM01419</t>
  </si>
  <si>
    <t>FERRAMENTA TUNNEL</t>
  </si>
  <si>
    <t>12-nov-20</t>
  </si>
  <si>
    <t>PINO GUIA DA FERRAMENTA DO TUNNEL</t>
  </si>
  <si>
    <t>12/11/2020</t>
  </si>
  <si>
    <t>16-nov-20</t>
  </si>
  <si>
    <t>AQUECEDORES MAPRE</t>
  </si>
  <si>
    <t>ALM01420</t>
  </si>
  <si>
    <t>M18</t>
  </si>
  <si>
    <t>INVERSOR SIEMENS SINAMICS V20 1P 6SL3210-5BE22-2UV0</t>
  </si>
  <si>
    <t>FUSIVEL DE VIDRO 6A</t>
  </si>
  <si>
    <t>17-nov-20</t>
  </si>
  <si>
    <t>ALM01421</t>
  </si>
  <si>
    <t>ALM01422</t>
  </si>
  <si>
    <t xml:space="preserve">CHAVE FIM DE CURSO ROTATIVA GENEBRE </t>
  </si>
  <si>
    <t>18-nov-20</t>
  </si>
  <si>
    <t>5-nov-20</t>
  </si>
  <si>
    <t>8-nov-20</t>
  </si>
  <si>
    <t>24-nov-20</t>
  </si>
  <si>
    <t>02/11/2020</t>
  </si>
  <si>
    <t>04/11/2020</t>
  </si>
  <si>
    <t>05/11/2020</t>
  </si>
  <si>
    <t>06/11/2020</t>
  </si>
  <si>
    <t>07/11/2020</t>
  </si>
  <si>
    <t>09/11/2020</t>
  </si>
  <si>
    <t>10/11/2020</t>
  </si>
  <si>
    <t>11/11/2020</t>
  </si>
  <si>
    <t>13/11/2020</t>
  </si>
  <si>
    <t>14/11/2020</t>
  </si>
  <si>
    <t>16/11/2020</t>
  </si>
  <si>
    <t>17/11/2020</t>
  </si>
  <si>
    <t>18/11/2020</t>
  </si>
  <si>
    <t>19/11/2020</t>
  </si>
  <si>
    <t>20/11/2020</t>
  </si>
  <si>
    <t>21/11/2020</t>
  </si>
  <si>
    <t>26/11/2020</t>
  </si>
  <si>
    <t>27/11/2020</t>
  </si>
  <si>
    <t>30-nov-20</t>
  </si>
  <si>
    <t>ALM01423</t>
  </si>
  <si>
    <t>ALM01424</t>
  </si>
  <si>
    <t>ALM01425</t>
  </si>
  <si>
    <t xml:space="preserve">DISJUNTOR MOTOR GV2ME05 0.63 - 1A  </t>
  </si>
  <si>
    <t>CONTATO AUXILIAR LAEN11 8C2030</t>
  </si>
  <si>
    <t>saldo em 30/11/20</t>
  </si>
  <si>
    <t>saldo em 30/09/20</t>
  </si>
  <si>
    <t>saldo em 31/08/20</t>
  </si>
  <si>
    <t>7-dez-20</t>
  </si>
  <si>
    <t>ALM01426</t>
  </si>
  <si>
    <t>ROLAMENTO 6903 2RS</t>
  </si>
  <si>
    <t>01/12/2020</t>
  </si>
  <si>
    <t>02/12/2020</t>
  </si>
  <si>
    <t>03/12/2020</t>
  </si>
  <si>
    <t>05/12/2020</t>
  </si>
  <si>
    <t>08/12/2020</t>
  </si>
  <si>
    <t>09/12/2020</t>
  </si>
  <si>
    <t>10/12/2020</t>
  </si>
  <si>
    <t>11/12/2020</t>
  </si>
  <si>
    <t>14/12/2020</t>
  </si>
  <si>
    <t>15/12/2020</t>
  </si>
  <si>
    <t>16/12/2020</t>
  </si>
  <si>
    <t>18/12/2020</t>
  </si>
  <si>
    <t>19/12/2020</t>
  </si>
  <si>
    <t>21/12/2020</t>
  </si>
  <si>
    <t>20/12/2020</t>
  </si>
  <si>
    <t>28/12/2020</t>
  </si>
  <si>
    <t>29-dez-20</t>
  </si>
  <si>
    <t>ALM01427</t>
  </si>
  <si>
    <t>ALM01428</t>
  </si>
  <si>
    <t xml:space="preserve">CARREGADOR </t>
  </si>
  <si>
    <t>PONTE RETIFICADORA + LGE AC KBPC5010</t>
  </si>
  <si>
    <t>10-dez-20</t>
  </si>
  <si>
    <t>ALM01429</t>
  </si>
  <si>
    <t>ALM01430</t>
  </si>
  <si>
    <t>M25</t>
  </si>
  <si>
    <t>SOFTSTARTER SIEMENS  3RW4024-1TB04 AC SEMICONDUCTOR MOTOR STARTER</t>
  </si>
  <si>
    <t>8-dez-20</t>
  </si>
  <si>
    <t>12-dez-20</t>
  </si>
  <si>
    <t>30/12/2020</t>
  </si>
  <si>
    <t>saldo em 30/12/20</t>
  </si>
  <si>
    <t>saldo em 30/10/20</t>
  </si>
  <si>
    <t>6-jan-21</t>
  </si>
  <si>
    <t>5-jan-21</t>
  </si>
  <si>
    <t>18-jan-21</t>
  </si>
  <si>
    <t>24/01/2021</t>
  </si>
  <si>
    <t>19/01/2021</t>
  </si>
  <si>
    <t>14-jan-21</t>
  </si>
  <si>
    <t>ALM01431</t>
  </si>
  <si>
    <t>AGULHA DEVILBISS SPA-362-085-10-K</t>
  </si>
  <si>
    <t>21-jan-21</t>
  </si>
  <si>
    <t>08/01/2021</t>
  </si>
  <si>
    <t>ALM01432</t>
  </si>
  <si>
    <t>CILINDRO FESTO ADN-32-100-A-PPS-A PMAX. 10BAR</t>
  </si>
  <si>
    <t>ALM01433</t>
  </si>
  <si>
    <t>CONTATOR CWB9-11-30D02 9A 24V 50/60Hz weg</t>
  </si>
  <si>
    <t>28-jan-21</t>
  </si>
  <si>
    <t>29/12/2020</t>
  </si>
  <si>
    <t>11/01/2021</t>
  </si>
  <si>
    <t>22/01/2021</t>
  </si>
  <si>
    <t>03/01/2021</t>
  </si>
  <si>
    <t>02/01/2021</t>
  </si>
  <si>
    <t>SELO HIDRÁULICO DO CARTUCHO REPARO DO ÓLEO 05130091</t>
  </si>
  <si>
    <t>21/11/2021</t>
  </si>
  <si>
    <t>25/01/2021</t>
  </si>
  <si>
    <t>09/01/2021</t>
  </si>
  <si>
    <t>30/01/2021</t>
  </si>
  <si>
    <t>18/01/2021</t>
  </si>
  <si>
    <t>20/01/2021</t>
  </si>
  <si>
    <t>15/01/2021</t>
  </si>
  <si>
    <t>27/01/2021</t>
  </si>
  <si>
    <t>29/01/2021</t>
  </si>
  <si>
    <t>14/01/20212</t>
  </si>
  <si>
    <t>17/01/2021</t>
  </si>
  <si>
    <t>29-jan-21</t>
  </si>
  <si>
    <t>ALM01434</t>
  </si>
  <si>
    <t>NEEDLE REPAIR KIT PART # 912-060</t>
  </si>
  <si>
    <t>ALM01435</t>
  </si>
  <si>
    <t>20-jan-21</t>
  </si>
  <si>
    <t>COLEIRO HOT MELT</t>
  </si>
  <si>
    <t>CA954-CABO PP 0,5 KV 4/4 MM</t>
  </si>
  <si>
    <t>CILINDRO DO CABECOTE DE ALTA PRESSAO WSI PN: SP05144647 SLIV;  SLV    HP CYLINDER 72119544</t>
  </si>
  <si>
    <t>07/01/2021</t>
  </si>
  <si>
    <t>05/01/2021</t>
  </si>
  <si>
    <t>saldo em 30/01/21</t>
  </si>
  <si>
    <t>2-fev-21</t>
  </si>
  <si>
    <t xml:space="preserve">REDUTOR DAS CALANDRAS MODRL: T3A 633-4 VOLT(V) 220/380 FREQ.(Hz) 60 POWER(kw) 0.25 </t>
  </si>
  <si>
    <t>ALM01436</t>
  </si>
  <si>
    <t>SOFTSTARTER SIEMENS  3RW3028-1BB04</t>
  </si>
  <si>
    <t>5-fev-21</t>
  </si>
  <si>
    <t>ALM01437</t>
  </si>
  <si>
    <t>ALM01438</t>
  </si>
  <si>
    <t>ENGATE RAPIDO FACE PLANA (ALTA PRESSÃO) DE 1/2" NPT - NCM 8481.80.96</t>
  </si>
  <si>
    <t>ALM01439</t>
  </si>
  <si>
    <t>KIT VEDAÇÃO DO CILINDRO FESTO ADN-50-P-A MAT.-NO.: 673625 SERIES: MD 14</t>
  </si>
  <si>
    <t>10-fev-21</t>
  </si>
  <si>
    <t>11-fev-21</t>
  </si>
  <si>
    <t>11/02/2021</t>
  </si>
  <si>
    <t>ALM01440</t>
  </si>
  <si>
    <t>ALM01441</t>
  </si>
  <si>
    <t>ALM01442</t>
  </si>
  <si>
    <t>ALM01443</t>
  </si>
  <si>
    <t>ALM01444</t>
  </si>
  <si>
    <t>ALM01445</t>
  </si>
  <si>
    <t>ALM01446</t>
  </si>
  <si>
    <t>ALM01447</t>
  </si>
  <si>
    <t>ALM01448</t>
  </si>
  <si>
    <t>ALM01449</t>
  </si>
  <si>
    <t>CARRINHOS</t>
  </si>
  <si>
    <t>RODIZIO FIXO PLACA 514 UAS</t>
  </si>
  <si>
    <t>RODIZIO FIXO PLACA FL 514 UFS 3/8 ZN</t>
  </si>
  <si>
    <t>RODIZIO FIXO PLACA 82 UAS SOFT SUPER CAMADA</t>
  </si>
  <si>
    <t>RODIZIO FIXO PLACA FM 52 UFS PADRÃO ZN</t>
  </si>
  <si>
    <t>RODIZIO GIRATORIO PLACA 514 UAS C/ FREIO DUPLA AÇÃO</t>
  </si>
  <si>
    <t>RODIZIO GIRATORIO PLACA GL 514 UFS 3/8 ZN DA</t>
  </si>
  <si>
    <t>RODIZIO GIRATORIO PLACA GM 52 UFS PADRÃO ZN</t>
  </si>
  <si>
    <t>RODIZIO FIXO PLACA 52 UAS SUPER CAMADA</t>
  </si>
  <si>
    <t>23-fev-21</t>
  </si>
  <si>
    <t>01/02/2021</t>
  </si>
  <si>
    <t>23/02/2021</t>
  </si>
  <si>
    <t>26/02/2021</t>
  </si>
  <si>
    <t>16/02/2021</t>
  </si>
  <si>
    <t>00/00/00</t>
  </si>
  <si>
    <t>27/02/2021</t>
  </si>
  <si>
    <t>02/02/2021</t>
  </si>
  <si>
    <t>05/02/2021</t>
  </si>
  <si>
    <t>03/02/2021</t>
  </si>
  <si>
    <t>12/12/2020</t>
  </si>
  <si>
    <t>13/12/2020</t>
  </si>
  <si>
    <t>22/02/2021</t>
  </si>
  <si>
    <t>18/02/2021</t>
  </si>
  <si>
    <t>RESISTENCIA TUBO INOX 220V 3KW</t>
  </si>
  <si>
    <t>25/02/2021</t>
  </si>
  <si>
    <t>19/02/2021</t>
  </si>
  <si>
    <t>08/02/2021</t>
  </si>
  <si>
    <t xml:space="preserve">CONTACTOR LC1 D09BD SCHNEIDER 25A </t>
  </si>
  <si>
    <t>04/02/2021</t>
  </si>
  <si>
    <t>26-fev-21</t>
  </si>
  <si>
    <t>09/02/2021</t>
  </si>
  <si>
    <t>15/02/2021</t>
  </si>
  <si>
    <t>saldo em 27/02/21</t>
  </si>
  <si>
    <t>AR MARIO LOGISTICA</t>
  </si>
  <si>
    <t>SENSOR INDUTIVO DO SITEMA BES 516-370-G-E5-YS4/BR</t>
  </si>
  <si>
    <t>1-mar-21</t>
  </si>
  <si>
    <t xml:space="preserve">RODIZIO 82 UAS SUPER CAMADA                                                                                                    </t>
  </si>
  <si>
    <t xml:space="preserve">RODIZIO FIXO PLACA 82 UAS SUPER CAMADA C/ FREIO PEDAL                             </t>
  </si>
  <si>
    <t>05/03/2021</t>
  </si>
  <si>
    <t>CAPA DE MALHA P/ ROBO BRANCO</t>
  </si>
  <si>
    <t>4-mar-21</t>
  </si>
  <si>
    <t>10/03/2021</t>
  </si>
  <si>
    <t>09/03/2021</t>
  </si>
  <si>
    <t>9-mar-21</t>
  </si>
  <si>
    <t>5-mar-22</t>
  </si>
  <si>
    <t>RELE MINIATURA RXM2ABBD 12A 24VDC+LED ZELIO RELAY 940347</t>
  </si>
  <si>
    <t>RELE MINIATURA RXM4AB2BD 24VDC  IEC 61810-1  (SCHNEIDER)</t>
  </si>
  <si>
    <t>ALM01450</t>
  </si>
  <si>
    <t>ALM01451</t>
  </si>
  <si>
    <t>M22/M41</t>
  </si>
  <si>
    <t>D1106</t>
  </si>
  <si>
    <t>10-mar-21</t>
  </si>
  <si>
    <t>ALM01452</t>
  </si>
  <si>
    <t>DOTU DE AR EM PASTICO</t>
  </si>
  <si>
    <t>C1201</t>
  </si>
  <si>
    <t>15/03/2021</t>
  </si>
  <si>
    <t>15-mar-21</t>
  </si>
  <si>
    <t>ALM01453</t>
  </si>
  <si>
    <t>ALM01454</t>
  </si>
  <si>
    <t>ALM01455</t>
  </si>
  <si>
    <t>ALM01456</t>
  </si>
  <si>
    <t>ALM01457</t>
  </si>
  <si>
    <t>ALM01458</t>
  </si>
  <si>
    <t>ALM01459</t>
  </si>
  <si>
    <t>ALM01460</t>
  </si>
  <si>
    <t>ALM01461</t>
  </si>
  <si>
    <t>ALM01462</t>
  </si>
  <si>
    <t>16/03/2021</t>
  </si>
  <si>
    <t>13-mar-21</t>
  </si>
  <si>
    <t>M42</t>
  </si>
  <si>
    <t>MEMORIA FLASH COMPACT 1GB ADAPTADOR 40 PIN SERVNEWS MASTRE 2eo-34</t>
  </si>
  <si>
    <t>KIT DE REPARO DA VALVULA LIGA/DESLIGA  010200-1  3063330000060</t>
  </si>
  <si>
    <t>KIT DE REPARO P/UNIÃO ROTATIVA DA C-5152 E C-5155 FLOW B-7447-1  30633000 -0062</t>
  </si>
  <si>
    <t>KIT REPARO DA VALVULA LIGA/DESLIGA VALVULA DE RETENÇÃO  015866-1-306330000063</t>
  </si>
  <si>
    <t>CORPO DA VALVULA LIGA/DESLIGA BOCAL  10104-1 3063300000041</t>
  </si>
  <si>
    <t>KIT RETENTORES P/ALTA PRESSÃO ATE 60K (KIT REPARO FLOW VALVULA DE RETENÇÃO  001198-1  KIT DE VEDAÇÃO DE ALTA)</t>
  </si>
  <si>
    <t>ALM01463</t>
  </si>
  <si>
    <t>ALM01464</t>
  </si>
  <si>
    <t>ALM01465</t>
  </si>
  <si>
    <t>ALM01466</t>
  </si>
  <si>
    <t>ALM01467</t>
  </si>
  <si>
    <t>ALM01468</t>
  </si>
  <si>
    <t>ALM01469</t>
  </si>
  <si>
    <t>ALM01470</t>
  </si>
  <si>
    <t>ALM01471</t>
  </si>
  <si>
    <t>ALM01472</t>
  </si>
  <si>
    <t>ALM01473</t>
  </si>
  <si>
    <t>ALM01474</t>
  </si>
  <si>
    <t>ALM01475</t>
  </si>
  <si>
    <t>ALM01476</t>
  </si>
  <si>
    <t>ALM01477</t>
  </si>
  <si>
    <t>ALM01478</t>
  </si>
  <si>
    <t>ANEL "O" DE BUNA DE 0240 DE DI (ANEL O-RING, BUNA-N 70 DUR, NO. 2-240 FLOW A 275-240</t>
  </si>
  <si>
    <t>RETENTOR (GAXETA DE VEDAÇÃO POLY PAK FLOW A-1001 306330000074</t>
  </si>
  <si>
    <t>ANEL DE ENCOSTO DE PLYMITE ( ANEL BACKUP RING 60KSI FLOW  A-00250-240 3063300000011)</t>
  </si>
  <si>
    <t>EIXO CENTRAL DE ARTICULAÇÃO DA UNIÃO GIRATORIA B-7159-1 306330000048   TAIWAN 17100511</t>
  </si>
  <si>
    <t>RETENTOR C/ 7/8" DE DIAMETRO INTERNO ( RETENTOR VEDAÇÃO DA HASTE A-11275 3063300000075)</t>
  </si>
  <si>
    <t>VALVULA DE PREENCHIMENTO ZSF-40</t>
  </si>
  <si>
    <t>CABOS PP 4/16</t>
  </si>
  <si>
    <t>CABO PP 4/10</t>
  </si>
  <si>
    <t>18-mar-21</t>
  </si>
  <si>
    <t>FONTE DE ALIMENTAÇÃO 24VDC 8,3A ABL2REM24085K</t>
  </si>
  <si>
    <t>DISJUNTOR MOTOR GZ1E14 le: 6-10A Eu; 690 V,50/60Hz Uimp; 6 Kv</t>
  </si>
  <si>
    <t>19/03/2021</t>
  </si>
  <si>
    <t>ELEMENTO FILTRANTE PP 0.2 U D2 5X10</t>
  </si>
  <si>
    <t>19-mar-21</t>
  </si>
  <si>
    <t>ELEMENTO FILTRANTE PP 10 U D2 5X10</t>
  </si>
  <si>
    <t>ELEMENTO FILTRANTE PP 20 U D2 5X10</t>
  </si>
  <si>
    <t>ELEMENTO FILTRANTE PP 50 U D2 5X10</t>
  </si>
  <si>
    <t>ELEMENTO FILTRANTE PP 05 U D2 5X10</t>
  </si>
  <si>
    <t xml:space="preserve">BOMBA DE DIAFRAGMAN MSD BDM 160 P/ TRANSFERÊNCIA 1/2" </t>
  </si>
  <si>
    <t>REGUA HIDRAULICA</t>
  </si>
  <si>
    <t>22/03/2021</t>
  </si>
  <si>
    <t>RESOLVER SICK D-78166 SKM36S</t>
  </si>
  <si>
    <t>17/03/2021</t>
  </si>
  <si>
    <t>18/03/2021</t>
  </si>
  <si>
    <t>FUSIVEL DE VIDRO  4A</t>
  </si>
  <si>
    <t>01/03/2021</t>
  </si>
  <si>
    <t>24/03/2021</t>
  </si>
  <si>
    <t>BLOCO DE CONTATO AUXILIAR SIEMENS 3RH1911-1FA22</t>
  </si>
  <si>
    <t>FUSIVEL LEGRAND 13301 10X38 Gg 1A 500V IEC 269-2 NFC 63 210/100KA</t>
  </si>
  <si>
    <t>25/03/2021</t>
  </si>
  <si>
    <t>FUSIVEL CARTUCHO HAGER NHOOO Gg 120KA 100A 500V</t>
  </si>
  <si>
    <t>CELULA DE CARGA  500K MOD:TA26  S.M 20163071</t>
  </si>
  <si>
    <t>BLOCO DE CONTATO 10A SCHNEIDER JIS C4531 A600-Q600</t>
  </si>
  <si>
    <t>20/03/2021</t>
  </si>
  <si>
    <t>26/03/2021</t>
  </si>
  <si>
    <t>02/03/2021</t>
  </si>
  <si>
    <t>FUSÍVEL 3NA3 830 SIEMENS 500V 100A</t>
  </si>
  <si>
    <t>LUMINARIA INDUSTRIAL LED HIGH BAY 100W. AC100-277V,50/60HZ</t>
  </si>
  <si>
    <t>04/03/2021</t>
  </si>
  <si>
    <t>RESISTENCIA KDI 7.5KW 254V</t>
  </si>
  <si>
    <t>FUSIVEL CARTUCHO WEBER NHOO 120KA gG 63A 500V</t>
  </si>
  <si>
    <t>BLOCO DE CONTATO 3HR2911-1FA22</t>
  </si>
  <si>
    <t>ALM01479</t>
  </si>
  <si>
    <t>ALM01480</t>
  </si>
  <si>
    <t>ALM01481</t>
  </si>
  <si>
    <t>ALM01482</t>
  </si>
  <si>
    <t>ALM01483</t>
  </si>
  <si>
    <t>ALM01484</t>
  </si>
  <si>
    <t>ALM01485</t>
  </si>
  <si>
    <t>ALM01486</t>
  </si>
  <si>
    <t>ALM01487</t>
  </si>
  <si>
    <t>ALM01488</t>
  </si>
  <si>
    <t>ALM01489</t>
  </si>
  <si>
    <t>ALM01490</t>
  </si>
  <si>
    <t>ALM01491</t>
  </si>
  <si>
    <t>ALM01492</t>
  </si>
  <si>
    <t>ALM01493</t>
  </si>
  <si>
    <t>ALM01494</t>
  </si>
  <si>
    <t>ALM01495</t>
  </si>
  <si>
    <t>ALM01496</t>
  </si>
  <si>
    <t>ALM01497</t>
  </si>
  <si>
    <t>ALM01498</t>
  </si>
  <si>
    <t>ALM01499</t>
  </si>
  <si>
    <t>ALM01500</t>
  </si>
  <si>
    <t>ALM01501</t>
  </si>
  <si>
    <t>ALM01502</t>
  </si>
  <si>
    <t>ALM01503</t>
  </si>
  <si>
    <t>ALM01504</t>
  </si>
  <si>
    <t>ALM01505</t>
  </si>
  <si>
    <t>ALM01506</t>
  </si>
  <si>
    <t>ALM01507</t>
  </si>
  <si>
    <t>ALM01508</t>
  </si>
  <si>
    <t>ALM01509</t>
  </si>
  <si>
    <t>ALM01510</t>
  </si>
  <si>
    <t>ALM01511</t>
  </si>
  <si>
    <t>ALM01512</t>
  </si>
  <si>
    <t>ALM01513</t>
  </si>
  <si>
    <t>ALM01514</t>
  </si>
  <si>
    <t>ALM01515</t>
  </si>
  <si>
    <t>ALM01516</t>
  </si>
  <si>
    <t>ALM01517</t>
  </si>
  <si>
    <t>ALM01518</t>
  </si>
  <si>
    <t>ALM01519</t>
  </si>
  <si>
    <t>ALM01520</t>
  </si>
  <si>
    <t>ALM01521</t>
  </si>
  <si>
    <t>ALM01522</t>
  </si>
  <si>
    <t>ALM01523</t>
  </si>
  <si>
    <t>ALM01524</t>
  </si>
  <si>
    <t>ALM01525</t>
  </si>
  <si>
    <t>ALM01526</t>
  </si>
  <si>
    <t>ALM01527</t>
  </si>
  <si>
    <t>ALM01528</t>
  </si>
  <si>
    <t>ALM01529</t>
  </si>
  <si>
    <t>ALM01530</t>
  </si>
  <si>
    <t>ALM01531</t>
  </si>
  <si>
    <t>ALM01532</t>
  </si>
  <si>
    <t>ALM01533</t>
  </si>
  <si>
    <t>ALM01534</t>
  </si>
  <si>
    <t>ALM01535</t>
  </si>
  <si>
    <t>ALM01536</t>
  </si>
  <si>
    <t>ALM01537</t>
  </si>
  <si>
    <t>ALM01538</t>
  </si>
  <si>
    <t>BASE PARA RELE TELEMECANIQUE RUZC3M 10A 250V 2.5KV 3</t>
  </si>
  <si>
    <t>DISJUNTOR SERIE c20 230/400v 50/60Hz 3000A</t>
  </si>
  <si>
    <t>23/03/2021</t>
  </si>
  <si>
    <t>INTERRUPTOR DIFERENCIAL RESIDUAL MDW C40 -230/400V WEG</t>
  </si>
  <si>
    <t>CONTATO AUX PARA DISJUNTOR MOTOR GVAE11 SCHENEIDE</t>
  </si>
  <si>
    <t>DISJUNTOR TRIPOLAR DZ47-63 (LUKMA) 50/60Hz</t>
  </si>
  <si>
    <t>RELE TERMICO DE SOBRECARGA LRD05 IEC-EM  60947-4-1 (SCHNEIDER) MAX:690V-50/60Hz 10A B600-R300</t>
  </si>
  <si>
    <t>DISJUNTOR MONOPOLAR 2A SERIE CURVA C</t>
  </si>
  <si>
    <t>RELE DE ESTADO SOLIDO HW-1-DA4880</t>
  </si>
  <si>
    <t xml:space="preserve">BOTÃO DUPLO FACEADO CEW-BDM-11000000 (WEG)  LIGAR  DESLIGA  1NA + 1NF </t>
  </si>
  <si>
    <t>QUADRO DE COMANDO DE SOBREPOR  300X300MM</t>
  </si>
  <si>
    <t>DISJUNTOR STECK SD C32 230/400V 50/60Hz 3000A</t>
  </si>
  <si>
    <t>DISJUNTOR TERMOMAGNETICO NM 60898 IEC60947-2SD 1P C16 230-400V</t>
  </si>
  <si>
    <t>QUADRO DE COMANDO DE SOBREPOR 300X200X120 REF:SEX322 053031 (STECK)</t>
  </si>
  <si>
    <t>QUADRO DE COMANDO DE SOBREPOR SEX171 059771 IP55 (STECK)</t>
  </si>
  <si>
    <t xml:space="preserve">QUADRO DE COMANDO DE SOBREPOR CBCHP 460-5/22 </t>
  </si>
  <si>
    <t>SUPRESSOR DE SURTO SIEMENS 3RT1916-1EH00</t>
  </si>
  <si>
    <t xml:space="preserve">QUADRO DE COMANDO DE SOBREPOR 400X400X200 </t>
  </si>
  <si>
    <t>QUADRO DE COMANDO DE SOBREPOR 400X300X200</t>
  </si>
  <si>
    <t>ACOPLAMENTO FIXAR STECK N3049 16A-9h 380-440V 2P+  FEMEA VERMELHO</t>
  </si>
  <si>
    <t>CONDULETE ALUM: E 1" COM ROSCA</t>
  </si>
  <si>
    <t>Colunas1</t>
  </si>
  <si>
    <t>ACOPLAMENTO STECK N3059 16A-9h/380-440V 2P+</t>
  </si>
  <si>
    <t>CONDULETE ALUM: E 1" 1/4" COM ROSCA</t>
  </si>
  <si>
    <t>ACOPLAMENTO STECK FIXAR N5246 32-6h/380-440V 3P+N+ FEMEA VERMELHO</t>
  </si>
  <si>
    <t>ACOPLAMENTO STECK N4256 32A-6h 380V 440V 3P+ 052794 FEMEA VERMELHO</t>
  </si>
  <si>
    <t>ACOPLAMENTO STECK N3056 16A-6h 200V 250V 2P+ OSN20568 FEMEA AZUL</t>
  </si>
  <si>
    <t>ACOPLAMENTO STECK FIXAR N3006 2P+16A-6h 200-250V OSN24818 FEMEA AZUL</t>
  </si>
  <si>
    <t>CONDULETE ALUM: C 1" COM ROSCA</t>
  </si>
  <si>
    <t>CONDULETE ALUM: C 1" SEM ROSCA</t>
  </si>
  <si>
    <t>CONDULETE ALUM: TB 1" COM ROSCA</t>
  </si>
  <si>
    <t>CONDULETE ALUM: X 1" SEM ROSCA</t>
  </si>
  <si>
    <t>ACOPLAMENTO FIXAR STECK N4006 16A-6h/380-440V 3P+ FEMEA VERMELHA</t>
  </si>
  <si>
    <t>IHM SIEMENS KTP400 6AV6 647-0AK11-3AX0</t>
  </si>
  <si>
    <t>PLACA SCHIRMACHER S&amp;H-3 RJ 94V-0 ARTIKEL NR: 9999.377</t>
  </si>
  <si>
    <t>PRESSOSTATO PSG DIG HYDAC EDS3408-5-0040-1/2"</t>
  </si>
  <si>
    <t>VACUOSTATO SMC PRESSURE ZSE30A-01-P 12-24VDC 40MA MAX 0--10LKPA</t>
  </si>
  <si>
    <t>SUPORTE PARA SENSOR 2012938 D-79183 SICK</t>
  </si>
  <si>
    <t>SUPORTE PARA SENSOR 2013942 SICK AG, D-79183</t>
  </si>
  <si>
    <t>CABO USB to RS-232, 4-PIN M8 cable (2 m) DSL-8U04G2M025KM1 SICK</t>
  </si>
  <si>
    <t xml:space="preserve">SENSOR AG.D-79183 WALDKIRCH  LL3-TB01 SICK </t>
  </si>
  <si>
    <t>PEPPERL+FUCHS UC4000-L2-E6-V15 PORT NO:188208 10-3VDC</t>
  </si>
  <si>
    <t>PEPPERL+FUCHS PORT NO: 805076 SU19/110/115/123</t>
  </si>
  <si>
    <t>VOLTIMETRO SERIE: BC72 S/N:07015168 FREQUENCY RANGE 45...65 Hz</t>
  </si>
  <si>
    <t xml:space="preserve">MODULO DE ALTA FREQUENCIA </t>
  </si>
  <si>
    <t>IHM SIEMENS TP900 6AV2 124-0JC01-0AX0</t>
  </si>
  <si>
    <t>SENSOR MAGNETICO REER  MG M20 M30 2NO M8 4POLES CONN</t>
  </si>
  <si>
    <t>IHM TS680 TOUCHSYSTEM CODE 9320680 SERIAL 141425</t>
  </si>
  <si>
    <t>SENSOR INDUTIVO BLINDADO 134439 NCB1,5-18GM60-E2-D-V1</t>
  </si>
  <si>
    <t>CONECTOR PARA SENSOR 5 POLO C091 T 3361  001 U</t>
  </si>
  <si>
    <t>TAMPÃO PROTETOR R161933920 REXROTH</t>
  </si>
  <si>
    <t>CONECTOR PARA SENSOR SICK DOS-1205-W</t>
  </si>
  <si>
    <t>DIODO MURR 3124015 24V PC/DC MAX ,50 VA/W</t>
  </si>
  <si>
    <t>IHM KP300 6AV6 647-0AH11-3AX0</t>
  </si>
  <si>
    <t>SENSOR INDUTIVO M12 XS112B3PAM12 TELEMAQUINIQUE</t>
  </si>
  <si>
    <t>CONECTOR XZCC43FCP40B TELEMAQUINIQUE</t>
  </si>
  <si>
    <t>SENSOR MHL 15-P2236 1026 126 NP150</t>
  </si>
  <si>
    <t>SENSOR DE SEGURANÇA  XU2S18PP340DR TELEMECANIQUE</t>
  </si>
  <si>
    <t>CONECTOR PARA CABO SICK STE-0803-G</t>
  </si>
  <si>
    <t>SENSOR OPTICO SICK L273-3P3 730</t>
  </si>
  <si>
    <t>SENSOR OPTICO XUK0AKSAM12 TELEMECANIQUE</t>
  </si>
  <si>
    <t>CHAVE SELETORA LUMINOSA SCHNEIDER XB5AK123B3 VERDE</t>
  </si>
  <si>
    <t>CHAVE FIM DE CURSO 3SE5112-0LC02 - SIEMENS</t>
  </si>
  <si>
    <t>SENSOR FIM DE CURSO XCKN2118G11</t>
  </si>
  <si>
    <t>30-mar-21</t>
  </si>
  <si>
    <t>SENSOR SICK RE21-sA03 1059506</t>
  </si>
  <si>
    <t>SENSOR BALLUFF BES 516-324-EO-C05</t>
  </si>
  <si>
    <t>IHM SIEMENS SIMATIC 6AV2 642-0BA01-1AX1 TP177B PN/DP-6 CSTN</t>
  </si>
  <si>
    <t xml:space="preserve">IHM CONTROLADOR MAKMELT MOD. RK221-V2.5 90-240VCA </t>
  </si>
  <si>
    <t>SENSOR IFM KG5065 KG-3120NFAKGP2T/US</t>
  </si>
  <si>
    <t>SENSOR BALLUFF BAS0026 BES M08MH1-POC15B-S046</t>
  </si>
  <si>
    <t>SENSOR INDUTIVO BALLUFF BIC0009 REMOTE 1804HU H2-S11</t>
  </si>
  <si>
    <t>SENSOR SICK IMP12-1B5PSVCOC 6050119</t>
  </si>
  <si>
    <t>SENSOR XS108 BLPAL2 TELEMECANIQUE</t>
  </si>
  <si>
    <t>CONECTOR SICK D0S-1205-G</t>
  </si>
  <si>
    <t>CONECTOR SICK D0S-0803-G</t>
  </si>
  <si>
    <t>SENSOR FIM DE CURSO XCKM A300-Q300</t>
  </si>
  <si>
    <t>SENSOR FIM DE CURSO ZCKM1</t>
  </si>
  <si>
    <t>SENSOR FIM DE CURSO ZCKD02</t>
  </si>
  <si>
    <t>CONECTOR SICK D0S-0804-G</t>
  </si>
  <si>
    <t>SENSORES OPTICOS IFM 05DLCPKG/US</t>
  </si>
  <si>
    <t>27/03/2021</t>
  </si>
  <si>
    <t>29/03/2021</t>
  </si>
  <si>
    <t>25-mar-21</t>
  </si>
  <si>
    <t>saldo em 31/03/21</t>
  </si>
  <si>
    <t>R$               610.499.50</t>
  </si>
  <si>
    <t>01/04/2021</t>
  </si>
  <si>
    <t>1-abr-21</t>
  </si>
  <si>
    <t>05/04/2021</t>
  </si>
  <si>
    <t>15/04/2021</t>
  </si>
  <si>
    <t>19/04/2021</t>
  </si>
  <si>
    <t>CONTATOR DE FORÇA 24VAC LC1D09B7 (SCHNEIDER)</t>
  </si>
  <si>
    <t>07/04/2021</t>
  </si>
  <si>
    <t>06/04/2021</t>
  </si>
  <si>
    <t>09/04/2021</t>
  </si>
  <si>
    <t>DISJUNTOR EASY9 3P 32A CURVA C 3000A EZ9F33332</t>
  </si>
  <si>
    <t>08/04/2021</t>
  </si>
  <si>
    <t>12/04/2021</t>
  </si>
  <si>
    <t>14/04/2021</t>
  </si>
  <si>
    <t>DISJUNTOR MOTOR 65A SCHNEIDER VE: 690V-50/60Hz uimp: 6KV</t>
  </si>
  <si>
    <t>MONITORADOR DE CORRENTE 716410 LUTZE LOCC-BOX-NT 7-6410 10A</t>
  </si>
  <si>
    <t>CONTROLADOR DE TEMPERATURA 6001 RDR01 supply: 100..240vac/dc 50/60Hz GEFRAN</t>
  </si>
  <si>
    <t>10/04/2021</t>
  </si>
  <si>
    <t>BOTÃO PULSADOR XB5AC21  PRETO</t>
  </si>
  <si>
    <t>BOTÃO PULSADOR XB5AC51 AMARELO</t>
  </si>
  <si>
    <t>13/04/2021</t>
  </si>
  <si>
    <t>16/04/2021</t>
  </si>
  <si>
    <t>BOTOEIRA PULSANTE XA2EA21  PRETO</t>
  </si>
  <si>
    <t>BLOCO DE CONTATO AUXILIAR LADN22 IEC 60947-5-1 (SCHNEIDER)</t>
  </si>
  <si>
    <t>SENSOR DE TEMPERATURA  PT100 HUA LONGX THERMOCOURLES PT100 LGNGTH; 1M</t>
  </si>
  <si>
    <t xml:space="preserve">TRANSFORMADOR POT:100 WATTS ENT:220/380/440V SAIDA 110V/220V </t>
  </si>
  <si>
    <t>SENSOR PT100 TIPO BAIONETA 3 FIOS 8X150mm C/ CABO 2000mm FIBRA C/TRAÇA</t>
  </si>
  <si>
    <t>7-abr-21</t>
  </si>
  <si>
    <t>CARCAÇA PARA  INCERTO HAM 24 PINOS 1"</t>
  </si>
  <si>
    <t>INCERTO HAM  24 PINOS FEMEA</t>
  </si>
  <si>
    <t>INCERTO  HAM 24 PINOS MACHO</t>
  </si>
  <si>
    <t>CARCAÇA HAM 24 PINOS 1/2"</t>
  </si>
  <si>
    <t>CARCAÇA HAM 24 PINOS 3/4"</t>
  </si>
  <si>
    <t>CONJUNTO DE CARCAÇA HAM 24 PINOS 1"</t>
  </si>
  <si>
    <t>CONJUNTO DE CARCAÇA HAM 24 PINOS DE FIXAR 1"</t>
  </si>
  <si>
    <t>HAN 10 PINOS FEMEA</t>
  </si>
  <si>
    <t>HAN 10 PINOS MACHO</t>
  </si>
  <si>
    <t>HAN 6 PINOS MACHO</t>
  </si>
  <si>
    <t xml:space="preserve">CONTATOR CWB 10-11-30D02 18A </t>
  </si>
  <si>
    <t>ACOPLAMENTO STECK N4276 32A-6H / 380-440V VERMELHO</t>
  </si>
  <si>
    <t>SENSOR DE POSIÇÃO  GEFRAN PY-2-C-075</t>
  </si>
  <si>
    <t>ACOPLAMENTO DE FIXAR STECK  N4206 32A-6H/380-440V 3P+ VERMELHO FEMEA</t>
  </si>
  <si>
    <t>ACOPLAMENTO NEWKON 2P+T 16A -6H 200/250V AZ IP44 SETCK - REF. N3076 AZUL MACHO</t>
  </si>
  <si>
    <t>ACOPLAMENTO LUKMA 3P+T 16A 380/440V 6H VM N4076 VERMELHO MACHO</t>
  </si>
  <si>
    <t>SENSOR FIM DE CURSO 3SE5232-0HK80</t>
  </si>
  <si>
    <t>BOTÃO DE EMERGENCIA  SCHMERSAL MV-CLE2-40 REF:NO 51901933</t>
  </si>
  <si>
    <t>RESISTENCIA DO COLEIRO COM HASTE DE 300MM 220V 700W 42/16 110471N</t>
  </si>
  <si>
    <t>RESISTENCIA DO COLEIRO BACKEP MARA THON HR 37013T 240W 150W</t>
  </si>
  <si>
    <t>SENSOR DE TEMPERATURA PT-100 2 FIOS C/ CABO BRANCO</t>
  </si>
  <si>
    <t>ACOPLAMENTO SOPRANO AZUL 32A-6H 220-240V</t>
  </si>
  <si>
    <t>COOLER  MOD: KF0615H2SR-R JAMICON 24V----3.7W</t>
  </si>
  <si>
    <t>COOLER 220VAC 60HZ 1.4W 0,10A , F2E - 1205 - 230</t>
  </si>
  <si>
    <t>B1106</t>
  </si>
  <si>
    <t>LUZ SONORA VERMELHA INDICADORA DE ALARME - AC/DC24V - REF. AD17-SM</t>
  </si>
  <si>
    <t xml:space="preserve">CPU SIEMENS 6ES7 212-1HE40-0XB0 </t>
  </si>
  <si>
    <t>SCALANCE XB005 6GK5005-0BA00-1AB2</t>
  </si>
  <si>
    <t>COOLER AXIAL PARA PAINEL 220VAC TA20060HBL-2</t>
  </si>
  <si>
    <t xml:space="preserve">ROLAMENTO MNR: R103863020 Rexroth </t>
  </si>
  <si>
    <t>15-abr-21</t>
  </si>
  <si>
    <t>SERVO MOTOR M07</t>
  </si>
  <si>
    <t>M36</t>
  </si>
  <si>
    <t>COOLER MODEL:NF 12038HP-24V (NEW FLOW)</t>
  </si>
  <si>
    <t>PLACA DE MONTAGEM FESTO MOUNTING LATE - REF. APL-2N-GRP / COD. 10391</t>
  </si>
  <si>
    <t>INVERSOR DE FREQUÊNCIA EMK DRIVE FIT4P34-0185-5BFLS</t>
  </si>
  <si>
    <t>B1301</t>
  </si>
  <si>
    <t>MODULO AMPLIFICADOR VT-MSPA 1-1-12/V010 (MNR:R900 70 2060) (REXROTH)</t>
  </si>
  <si>
    <t>MÓDULO AMPLIFICADOR VT- 11118-10 (MNR:R900211788)  (REXROTH)</t>
  </si>
  <si>
    <t>RELE DE SEGURANÇA EU 410-UM 3TS IDENTE: 6026136 (SICK)</t>
  </si>
  <si>
    <t>TRANSMISSOR DE PASSAGEM 138802230012 (GM 8802C( A - 220223+4-20mA)</t>
  </si>
  <si>
    <t>MÓDULO DE ENTRADA DIGITAL 8 DI DC24 SIEMENS SIMATIC ET200S 6ES7 131-4BF00-0AA0</t>
  </si>
  <si>
    <t>14-abr-21</t>
  </si>
  <si>
    <t>ENTRADA DO MODULO DE FORÇA  24VDC INPUT GRT1-PD2 MODULE, FEDD 1/0 POWER 24VDC INPUT</t>
  </si>
  <si>
    <t>FONTE SCHMERSAL PSS-B24-120S 100-240V ac/2 codigo: 164224</t>
  </si>
  <si>
    <t>FONTE XCSW 120C 24V/5A  23.5-27.5V CABUR</t>
  </si>
  <si>
    <t>MODULO DE ENTRADA 6ES7 138-4CA00-0AA0</t>
  </si>
  <si>
    <t>RELE DE SEGURANÇA FX3-CPU 320002 IDENT: 1059305 (SICK)</t>
  </si>
  <si>
    <t>24/04/2021</t>
  </si>
  <si>
    <t>23-abr-21</t>
  </si>
  <si>
    <t>CAIXA PARA CONTROLE LIGA DESLIGA DE COMANDO SERIE CS-102</t>
  </si>
  <si>
    <t>CAIXA DE PLASTICO PARA BOTOEIRA 4 BOTÕES 40X158</t>
  </si>
  <si>
    <t>CAIXA DE DERIVAÇÃO ( PASSAGEM )  DUAS SAIDAS ZAG3 SKRINKA HLINIKOVA 98X</t>
  </si>
  <si>
    <t>CAIXA DE DERIVAÇÃO ( PASSAGEM )  TRES SAIDAS ZAG4 SKRINKA HLINIKOVA 150X64X36</t>
  </si>
  <si>
    <t>CABO NOMINAL 1X2,5mm²</t>
  </si>
  <si>
    <t>B1305</t>
  </si>
  <si>
    <t>CABO DE COMANDO 25X1,00mm²   500V  70°C</t>
  </si>
  <si>
    <t>B1306</t>
  </si>
  <si>
    <t>CABOS SIEMENS 6XV1840-2AH10</t>
  </si>
  <si>
    <t>SENSOR FIM DE CURSO XCKP2106G11</t>
  </si>
  <si>
    <t>17-abr-21</t>
  </si>
  <si>
    <t>17/04/2021</t>
  </si>
  <si>
    <t>23/04/2021</t>
  </si>
  <si>
    <t>FUSIVEL KRAH 02/14 D GS 16X63 A 470R K</t>
  </si>
  <si>
    <t>INVERSOR LENZE E84AVBDE2512SX0</t>
  </si>
  <si>
    <t>SENSOR OPTICO BANNER EID: 3094849 LTF12IC2LDQ</t>
  </si>
  <si>
    <t>PRESSOSTATO HYDAC VM 2 D.0/-L24 FILTER CLOGGING INDICATORS</t>
  </si>
  <si>
    <t xml:space="preserve">Placa De Medição Dsqc 313, 3hab 3700-1, Robô Abb, SMB Board 3hab 2213-1 Serial </t>
  </si>
  <si>
    <t>PRENSA TERMINAL AÇO 35MM</t>
  </si>
  <si>
    <t>PRENSA TERMINAL DE AÇO  10MM</t>
  </si>
  <si>
    <t>PRENSA TERMINAL DE AÇO  95MM</t>
  </si>
  <si>
    <t>PRENSA TERMINAL DE AÇO  70MM</t>
  </si>
  <si>
    <t>PRENSA TERMINAL DE AÇO  20MM</t>
  </si>
  <si>
    <t>BLOCO DE CONTATO  (SIEMENS) 3RH1911-1GA22</t>
  </si>
  <si>
    <t>BLOCO DE CONTATO 3RH1911-1HA22</t>
  </si>
  <si>
    <t>TEFLON ALTA TEMPERATURA ADESIVADO  Lençol armalon® C/Ade</t>
  </si>
  <si>
    <t>TEFLON PARA ALTA TEMPERATURA SEM ADESIVO Lençol armalon® Sem/Ade</t>
  </si>
  <si>
    <t>28-abr-21</t>
  </si>
  <si>
    <t>30/04/2021</t>
  </si>
  <si>
    <t>27/04/2021</t>
  </si>
  <si>
    <t>26/04/2021</t>
  </si>
  <si>
    <t>29-abr-21</t>
  </si>
  <si>
    <t>saldo em 30/04/21</t>
  </si>
  <si>
    <t>PLACA ABB 3HAC044168-001/05</t>
  </si>
  <si>
    <t>DISJUNTOR  5SY8332-7 (SIEMENS)</t>
  </si>
  <si>
    <t>FUSIVEL DE VIDRO 1A</t>
  </si>
  <si>
    <t>PRENSA TERMINAL DE AÇO CPH 8-10</t>
  </si>
  <si>
    <t>PRENSA TERMINAL DE AÇO 120MM</t>
  </si>
  <si>
    <t>PRENSA TERMINAL 16MM</t>
  </si>
  <si>
    <t>TERMINAL LUVA PARA CABO 35MM</t>
  </si>
  <si>
    <t>TERMINAL LUVA PARA CABO 50MM</t>
  </si>
  <si>
    <t>5-mai-21</t>
  </si>
  <si>
    <t>LENTE SICK FRONTSCHEIBE ERSATZTEIL - 2027180</t>
  </si>
  <si>
    <t>INCREMENTAL AND ABSOLUTE ER63G 102425/Z8P 15X3JR (ELTRA)</t>
  </si>
  <si>
    <t>INCREMENTAL AND ABSOLUTE EH 80P 100028/Z4P 15X3PR2 (ELTRA)</t>
  </si>
  <si>
    <t>BASE PARA RELE RXZE2S114M CONTATOS MISTOS CONEXÕES POR PARAFUSOS</t>
  </si>
  <si>
    <t>BASE SEPARADOR PARA RELE RXMZ.1  RXZE2S108M (SCHNEIDER)</t>
  </si>
  <si>
    <t>CONTATO AUXILIAR WEG BCXMF01 A600 Q600</t>
  </si>
  <si>
    <t>CONTATO AUXILIAR LAEN22 SCHNEIDER</t>
  </si>
  <si>
    <t>FUSIVEL KRAH ZS 24/100 VCF 100R K</t>
  </si>
  <si>
    <t xml:space="preserve">FUSIVEL KRAH GS 24X165C 2K5  K </t>
  </si>
  <si>
    <t>FUSIVEL KRAH ZS 36X330 C 56R K</t>
  </si>
  <si>
    <t>AMORTECEDOR MOLA GAS  F1 - 300N   MG07 200 0500 0300P</t>
  </si>
  <si>
    <t>VALVULA REGULADORA DE FLUXO LNV2-08-K (KETA)</t>
  </si>
  <si>
    <t>10-mai-21</t>
  </si>
  <si>
    <t>VALVULA DE RETENÇÃO  1/4" S6A11</t>
  </si>
  <si>
    <t>05/05/2021</t>
  </si>
  <si>
    <t>SENSOR DE PRESSÃO  XMLR010G1P25</t>
  </si>
  <si>
    <t>SENSOR DE PROXIMIDADE SME-8M-DS-24V-K-0,3 (FESTO)</t>
  </si>
  <si>
    <t>SENSOR DE PROXIMIDADE PARA CILINDRO SMT-8M-A-PS-24V-E-0,3-M8D (FESTO)</t>
  </si>
  <si>
    <t>IHM SIEMENS 6AV6 647-0AA11-3AXO</t>
  </si>
  <si>
    <t>06/05/2021</t>
  </si>
  <si>
    <t>10/05/2021</t>
  </si>
  <si>
    <t>07/05/2021</t>
  </si>
  <si>
    <t>CONECTOR PARA SENSOR  BCC M334-0000-20-000-31X450-000 (BALLUFF)</t>
  </si>
  <si>
    <t>CONECTOR PARA SENSOR N11 RFF 932 632-106 DIN EM 175201-804</t>
  </si>
  <si>
    <t>SENSOR INDUTIVO IME12-04BPSZCOS 1040764</t>
  </si>
  <si>
    <t>COMUTADOR COM CHAVE 2 POSIÇÃO PRETO 22mm - SLCG8D0C</t>
  </si>
  <si>
    <t>CHAVE PARA PLACAS COM INTERTRAVAMENTO ZQE 804 Pz.1</t>
  </si>
  <si>
    <t>CONTROLADOR GEFRAN SN: B20380053 CODE: 6001RDW20 SUPPLY 11..27Vac/dc 50/60Hz</t>
  </si>
  <si>
    <t>11-mai-21</t>
  </si>
  <si>
    <t>TUBOS INOX 304L SEM COSTURA ASTM A-269 8MM X PAREDE 1MM C/ 6MTS</t>
  </si>
  <si>
    <t>TUBOS INOX 304L SEM COSTURA ASTM A-269 10MM X PAREDE 1MM C/ 6MTS</t>
  </si>
  <si>
    <t>TUBOS INOX 304L SEM COSTURA ASTM A-269 12MM X PAREDE 1MM C/ 6MTS</t>
  </si>
  <si>
    <t>BOX</t>
  </si>
  <si>
    <t>PORCA FLANGE AÇO INOX 316 10MM</t>
  </si>
  <si>
    <t>PORCA FLANGE AÇO INOX 316 12MM</t>
  </si>
  <si>
    <t>PORCA FLANGE AÇO INOX 316 8MM</t>
  </si>
  <si>
    <t>ANILHA DIANTEIRA AÇO INOX 316 OD 10MM</t>
  </si>
  <si>
    <t>ANILHA DIANTEIRA AÇO INOX 316 OD 12MM</t>
  </si>
  <si>
    <t>ANILHA DIANTEIRA AÇO INOX 316 OD  8MM</t>
  </si>
  <si>
    <t>ANILHA TRASEIRA AÇO INOX 316 OD 10MM</t>
  </si>
  <si>
    <t>ANILHA TRASEIRA AÇO INOX 316 OD 12MM</t>
  </si>
  <si>
    <t>ANILHA TRASEIRA AÇO INOX 316 OD   8MM</t>
  </si>
  <si>
    <t>11/05/2021</t>
  </si>
  <si>
    <t>TRANSMISSOR DE TEMPERATURA PT100 P/SAIDA 4.20ma 0a 200 °C</t>
  </si>
  <si>
    <t>SENSOR PT 100 3FIOS 8 X 100MM C / CABO 700MM SILICONE</t>
  </si>
  <si>
    <t>SENSOR  PT100 3 FIOS 4,7 X 200MM, TAMPA BUCIM M12X1,5 C/ ANILHAS E CABO 3000MM</t>
  </si>
  <si>
    <t>12/05/2021</t>
  </si>
  <si>
    <t xml:space="preserve">CONTROLADOR DE TEMPERATURA code: F000175 TYPE 4T-96-4-01-0 SUPPLY: 11..27Vac/dc 50/60Hz 11VA VERS.: FW 3.24 </t>
  </si>
  <si>
    <t>DISJUNTOR MOTOR 3P 25A 2.5-4A REF: SLS2251C</t>
  </si>
  <si>
    <t>BOMBA VALCO MELTON 8cc/g 1804629</t>
  </si>
  <si>
    <t>13-mai-21</t>
  </si>
  <si>
    <t>E2302</t>
  </si>
  <si>
    <t xml:space="preserve">PISTOLA MAKMELT MODELO:020002N </t>
  </si>
  <si>
    <t>PISTOLA VALCO MELTON  P/N 983XX198 VOLTS: 250 WATTS: 150</t>
  </si>
  <si>
    <t>13/05/2021</t>
  </si>
  <si>
    <t>02/05/2021</t>
  </si>
  <si>
    <t>03/05/2021</t>
  </si>
  <si>
    <t>04/05/2021</t>
  </si>
  <si>
    <t>INCERTO HAN 16 PINOS MACHO</t>
  </si>
  <si>
    <t xml:space="preserve">TAMPA PARA HAN 10 PINOS </t>
  </si>
  <si>
    <t>14/05/2021</t>
  </si>
  <si>
    <t>SENSOR SICK RE21-SA05 1059507</t>
  </si>
  <si>
    <t>3-mai-21</t>
  </si>
  <si>
    <t>MODELO</t>
  </si>
  <si>
    <t xml:space="preserve">LOCALIZAÇÃO </t>
  </si>
  <si>
    <t>VALOR</t>
  </si>
  <si>
    <t>SICK FX3-XT1084002</t>
  </si>
  <si>
    <t>RELE DE SEGURANÇA FX3-XTI084002 IDENT:1044125 (SICK)</t>
  </si>
  <si>
    <t>RELE DE SEGURANÇA FX3-CPU000000 IDENT: 1043783</t>
  </si>
  <si>
    <t>IHM SCHNEIDER XBTGT4230 SN: 103696C005018</t>
  </si>
  <si>
    <t>INVERSOR SCHNEIDER ATV312H075N4 0,75KW-1HP</t>
  </si>
  <si>
    <t>INJETORA SULPOL</t>
  </si>
  <si>
    <t>MODULO DE EXPANSÃO TM2DDI16DT</t>
  </si>
  <si>
    <t>VALVULA HIDRAULICA 4WE6D61B/CG24N9Z5L   BH1501F 1228</t>
  </si>
  <si>
    <t>CONTROLADOR DE TEMPERATURA HW7000LRR--A 24V (COEL)</t>
  </si>
  <si>
    <t>PLACA 3HAC025784-001/00DSQC 651</t>
  </si>
  <si>
    <t>TRANSMISSOR DE PRESSÃO IP65 PN:VKP-027-A-11-42-999 RANGE:0...200BAR</t>
  </si>
  <si>
    <t>TRANSMISSOR DE PRESSÃO FLUSH N RANGER: 0....30 KGF/CM²</t>
  </si>
  <si>
    <t>CHAVE</t>
  </si>
  <si>
    <t>CHAVE DE NIVEL MODELO: NC1-RA-T-2N L=150mm</t>
  </si>
  <si>
    <t>MANGUEIRA HOT MELT REF: HMTC</t>
  </si>
  <si>
    <t>PISTOLA HOT MELT P/N: XP-401-RS</t>
  </si>
  <si>
    <t>ALM01539</t>
  </si>
  <si>
    <t>ALM01540</t>
  </si>
  <si>
    <t>ALM01541</t>
  </si>
  <si>
    <t>ALM01542</t>
  </si>
  <si>
    <t>ALM01543</t>
  </si>
  <si>
    <t>ALM01544</t>
  </si>
  <si>
    <t>ALM01545</t>
  </si>
  <si>
    <t>ALM01546</t>
  </si>
  <si>
    <t>ALM01547</t>
  </si>
  <si>
    <t>ALM01548</t>
  </si>
  <si>
    <t>ATUADOR PNEUMATICO MODELO: AT201U EM ISSO 5211: F05+F07-N-17DS</t>
  </si>
  <si>
    <t>B1101</t>
  </si>
  <si>
    <t>Bomba de poliol recondicionada</t>
  </si>
  <si>
    <t>Bomba de isso recondicionada</t>
  </si>
  <si>
    <t>2pçs</t>
  </si>
  <si>
    <t>2 pçs</t>
  </si>
  <si>
    <t>15/05/2021</t>
  </si>
  <si>
    <t>18/05/2021</t>
  </si>
  <si>
    <t>17/05/2021</t>
  </si>
  <si>
    <t>19/05/2021</t>
  </si>
  <si>
    <t>20/05/2021</t>
  </si>
  <si>
    <t>21/05/2021</t>
  </si>
  <si>
    <t>22/05/2021</t>
  </si>
  <si>
    <t>24/05/2021</t>
  </si>
  <si>
    <t>26/05/2021</t>
  </si>
  <si>
    <t>28/05/2021</t>
  </si>
  <si>
    <t xml:space="preserve">RESISTENCIA ELETROTHERMO 2FTRZ 800W 240V </t>
  </si>
  <si>
    <t>21-mai-21</t>
  </si>
  <si>
    <t>29/05/2021</t>
  </si>
  <si>
    <t>A2101</t>
  </si>
  <si>
    <t>25-mai-21</t>
  </si>
  <si>
    <t>COLEIRO MAKMELT</t>
  </si>
  <si>
    <t>340210N BOMBA DE PISTÃO COMPLETA MAKMELT</t>
  </si>
  <si>
    <t>28-mai-21</t>
  </si>
  <si>
    <t>18-mai-21</t>
  </si>
  <si>
    <t>CERABAR code; PMP21-1R13/0 -1...100bar 0...100bar 4-20mA Ser.no.: s400d21516A</t>
  </si>
  <si>
    <t xml:space="preserve">BOMBA POLIOL RECONDICIONADA HIDRAULICA </t>
  </si>
  <si>
    <t>GAXETA V2 LONA 80X100X12,5X0</t>
  </si>
  <si>
    <t>KIT REPARO PARA CEBEÇOTE 7000</t>
  </si>
  <si>
    <t>AGULHA DE INJEÇÃO C/ LIMITADOR</t>
  </si>
  <si>
    <t>KIT DE VEDAÇÃO P/ TAMPAO DO CILINDRO HYDRAULIKTEC PHK</t>
  </si>
  <si>
    <t>CONJ. BOMBA HIDRAULICA 12CC25 SUPOL 221.002.0133</t>
  </si>
  <si>
    <t>saldo em 31/05/21</t>
  </si>
  <si>
    <t xml:space="preserve">            M14 ESTEIRA</t>
  </si>
  <si>
    <t>10-jun-21</t>
  </si>
  <si>
    <t>ALM01549</t>
  </si>
  <si>
    <t>10/06/2021</t>
  </si>
  <si>
    <t>SENSOR FIM DE CURSO XCKP2118G11</t>
  </si>
  <si>
    <t>ALM01550</t>
  </si>
  <si>
    <t>11/06/2021</t>
  </si>
  <si>
    <t>TANQUE M06</t>
  </si>
  <si>
    <t>11-jun-21</t>
  </si>
  <si>
    <t>16-jun-21</t>
  </si>
  <si>
    <t>ROLAMENTO RÍGIDO DE ESFERA 6003-2Z C3GJN</t>
  </si>
  <si>
    <t>18-jun-21</t>
  </si>
  <si>
    <t>CILINDRO DE ALTA PRESSÃO (FLAUTA/LINER-HP CYLINDER) EM INOX 20497767</t>
  </si>
  <si>
    <t>16/06/2021</t>
  </si>
  <si>
    <t>ALM01551</t>
  </si>
  <si>
    <t>COLEIRO VALCO MELTON</t>
  </si>
  <si>
    <t>FUSIVEL CARTUCHO ULTRA RAPIDO 6X30 8A</t>
  </si>
  <si>
    <t>18/06/2021</t>
  </si>
  <si>
    <t>21/06/2021</t>
  </si>
  <si>
    <t>SITEMA</t>
  </si>
  <si>
    <t>ALM01552</t>
  </si>
  <si>
    <t>SENSOR SITEMA SICK IME12-04BPOZC0SS01  1042579</t>
  </si>
  <si>
    <t>30-jun-21</t>
  </si>
  <si>
    <t>23-jun-21</t>
  </si>
  <si>
    <t>24/06/2021</t>
  </si>
  <si>
    <t>30/06/2021</t>
  </si>
  <si>
    <t>03/06/2021</t>
  </si>
  <si>
    <t>15/06/2021</t>
  </si>
  <si>
    <t>04/06/2021</t>
  </si>
  <si>
    <t>14/06/2021</t>
  </si>
  <si>
    <t>16/06/20212</t>
  </si>
  <si>
    <t>ALM01553</t>
  </si>
  <si>
    <t>SITEMA D-76187 Typ Type: KR 80 ID: kr 080 30 serial No. 105020  Gewicht Weight 57 Admissible load: 133 KN Operating pressure MIN 40bar MAX 250bar</t>
  </si>
  <si>
    <t>22-jun-21</t>
  </si>
  <si>
    <t>29/06/2021</t>
  </si>
  <si>
    <t>19/06/2021</t>
  </si>
  <si>
    <t>07/06/2021</t>
  </si>
  <si>
    <t>MODULO DE FREIO SEW  13000063 Uin24V DC Ue 20...30V DC  I n 5,0A DC</t>
  </si>
  <si>
    <t>13/06/2021</t>
  </si>
  <si>
    <t>01/06/2021</t>
  </si>
  <si>
    <t>saldo em 30/06/21</t>
  </si>
  <si>
    <t>1-jul-21</t>
  </si>
  <si>
    <t>8-jul-21</t>
  </si>
  <si>
    <t>SONDA 1200mm E43208 IFM</t>
  </si>
  <si>
    <t xml:space="preserve">CABO CONECTOR SICK 2022547 10,0M 12 PINOS </t>
  </si>
  <si>
    <t xml:space="preserve">CABO SEW 13354221.11/5,00 SN 1367146 </t>
  </si>
  <si>
    <t xml:space="preserve">CABO 3 VIAS 1MM </t>
  </si>
  <si>
    <t>CABOS DE CONTROLE CHAINFLEX CF77.UL.07.03.D  NUMERO DE CONDUTORES E SECÇÃO MM² 3G0.75</t>
  </si>
  <si>
    <t xml:space="preserve">LAMPADA FLUORESCENTE PHILIPS TL5 ESSENTIAL 28X/840 4000K  28W </t>
  </si>
  <si>
    <t>LAMPADA FLUORESCENTE PHILIPS ESSENTIAL SUPER 80 4000K 14W</t>
  </si>
  <si>
    <t>LAMPADA LED TUBE GLASS BASE TIP G13 9W</t>
  </si>
  <si>
    <t>CABO MURR MSUD VALVE PLUG FORM A 18MM PVC 3X0.75 GRAY 24V AC/DC +- 25%/4A 10METROS</t>
  </si>
  <si>
    <t>CABO MURR MSUD VALVE PLUG FORM A 18MM PVC 3X0.75 BLACK 24V AC/DC +- 25%/4A 5METROS</t>
  </si>
  <si>
    <t xml:space="preserve">CABO COM CONECTOR RETO M18 7 PINOS FEMEA </t>
  </si>
  <si>
    <t xml:space="preserve">CABO COM CONECTOR RETO M22 7 PINOS FEMEA </t>
  </si>
  <si>
    <t>ALM01554</t>
  </si>
  <si>
    <t xml:space="preserve">CABO 1PD 1100007 RAYCHEM H </t>
  </si>
  <si>
    <t>CABO COM CONECTOR RETO FEMEA M08 4 PINOS</t>
  </si>
  <si>
    <t xml:space="preserve">CABO COM CONECTOR 90° FEMEA  M08 3 PINOS </t>
  </si>
  <si>
    <t>CABO COM CONECTOR 90° FEMEA M12 5 PINOS</t>
  </si>
  <si>
    <t xml:space="preserve">CABO COM CONECTOR RETO FEMEA M12 5 PINOS </t>
  </si>
  <si>
    <t>CABO COM CONECTOR  RETO FEMEA M12 8 PINOS</t>
  </si>
  <si>
    <t>CABO COM CONECTOR  RETO FEMEA M16 8 PINOS</t>
  </si>
  <si>
    <t>CABO COM CONECTOR RETO FEMEA M12 12 PINOS</t>
  </si>
  <si>
    <t>CABO COM CONECTOR RETO MACHO M12 12 PINOS</t>
  </si>
  <si>
    <t>CABO COM CONECTOR RETO MACHO 2 LADOS M16 5 PINOS</t>
  </si>
  <si>
    <t>CABO COM CONECTOR RETO MACHO 2 LADOS M16 7 PINOS</t>
  </si>
  <si>
    <t>ALM01555</t>
  </si>
  <si>
    <t>ALM01556</t>
  </si>
  <si>
    <t>CABO FESTO 193458 ES13</t>
  </si>
  <si>
    <t xml:space="preserve">CABO COM CONECTOR RETO MACHO M08 3 PINOS </t>
  </si>
  <si>
    <t>10/07/2021</t>
  </si>
  <si>
    <t>CONTACTOR LC1E80M7 110A 37KW</t>
  </si>
  <si>
    <t>B2102</t>
  </si>
  <si>
    <t xml:space="preserve">SINALIZADOR GIROFLEX JNG LTE-1122 220V VERMELHO </t>
  </si>
  <si>
    <t>CHAVE DE SEGURANÇA SCHMERSAL AZ16-12ZVRK-M16</t>
  </si>
  <si>
    <t>ALM01557</t>
  </si>
  <si>
    <t>ALM01558</t>
  </si>
  <si>
    <t>ALM01559</t>
  </si>
  <si>
    <t>ATUADOR PARA CHAVE DE SEGURANÇA SIEMENS 3SE5 000-0AV05</t>
  </si>
  <si>
    <t>CONTACTOR  LC1 D6511 8KW 80A</t>
  </si>
  <si>
    <t>CHAVE MOELLER NZM1</t>
  </si>
  <si>
    <t>CONTACTOR LC1E95M7 120A  45KW</t>
  </si>
  <si>
    <t>CONECTOR SINDAL 10MM DE PORCELANA</t>
  </si>
  <si>
    <t>13/07/2021</t>
  </si>
  <si>
    <t>09/07/2021</t>
  </si>
  <si>
    <t>ALM01560</t>
  </si>
  <si>
    <t>ALM01561</t>
  </si>
  <si>
    <t>ALM01562</t>
  </si>
  <si>
    <t>ALM01563</t>
  </si>
  <si>
    <t xml:space="preserve">CLP COMPLETO  6ES7 151-8FB01-0AB0 </t>
  </si>
  <si>
    <t>B2105</t>
  </si>
  <si>
    <t>MODULO DE EXPANSÃO POWER SUPPLY 12-24VDC 10W SELV 850MA</t>
  </si>
  <si>
    <t>PLACA DA CELULA DE CARGA CS018-03-5</t>
  </si>
  <si>
    <t>TRILHO PARA REGUA DE BORNE</t>
  </si>
  <si>
    <t>BARREIRA SCHMERSAL SLC 440COM-ER-0890-30 890mm</t>
  </si>
  <si>
    <t>B2401</t>
  </si>
  <si>
    <t>CABO FLEX AZUL 4 MM</t>
  </si>
  <si>
    <t>VALVULA PNEUMATICA  3/2 VIAS COM 1 BOBINA 24V</t>
  </si>
  <si>
    <t>CILINDRO PNEUMATICO DNCB-40-80-PPV-A</t>
  </si>
  <si>
    <t>KIT REPARO DO CILINDRO PNEUMATICO DSBC/G-32</t>
  </si>
  <si>
    <t>CILINDRO PNEUMATICO 40-50 ADN</t>
  </si>
  <si>
    <t>VALVULA PNEUMATICA 3/2 VIAS COM 2 BOBINA 220V</t>
  </si>
  <si>
    <t>VALVULA PNEUMATICA 2/2 VIAS COM 2 BOBINA 220V</t>
  </si>
  <si>
    <t>CILINDRO COMPACTO ADVU-63-100-P-A COM ROSCA EXTERNA NA HASTE</t>
  </si>
  <si>
    <t>VALVULA PNEUMATICA 1/2 VIAS COM 1 BOBINA 24V</t>
  </si>
  <si>
    <t>CILINDRO PNEUMATICO ADVU-63-50-P-A</t>
  </si>
  <si>
    <t>CILINDRO PNEUMATICO ADVU 63-40-P-A</t>
  </si>
  <si>
    <t>VALVULA PNEUMATICA 3/2 VIAS COM PILOTO MOLA</t>
  </si>
  <si>
    <t>VALVULA PNEUMATICA 3/2 VIAS COM 2 PILOTOS  MOLA 1/4</t>
  </si>
  <si>
    <t>VALVULA PNEUMATICA 3/2 VIAS COM 2 BOBINA 24V</t>
  </si>
  <si>
    <t>CILINDRO PNEUMATICO 32-600</t>
  </si>
  <si>
    <t>VALVULA PNEUMATICA 3/2 VIAS COM ENCAIXE LATERAL COM BOBINA 220V</t>
  </si>
  <si>
    <t>CILINDRO COMPACTO MACHO 50-80</t>
  </si>
  <si>
    <t>VALVULA PNEUMATICA 3/2 VIAS 1 BOBINA 24V 1/8</t>
  </si>
  <si>
    <t>KIT CILINDRO FESTO ADN-50-P-A</t>
  </si>
  <si>
    <t>ALM01564</t>
  </si>
  <si>
    <t xml:space="preserve">VALVULA PNEUMATICA 3/2 VIAS COM DUPLO ACIONAMENTO MOLA 1/2 </t>
  </si>
  <si>
    <t>VALVULA PNEUMATICA VSNB-F-M52-M G14-P2</t>
  </si>
  <si>
    <t>VALVULA PNEUMATICA 2/1 VIAS 1 BOBINA 24V</t>
  </si>
  <si>
    <t>VALVULA YHS-10 10BAR</t>
  </si>
  <si>
    <t>VALVULA FESTO MFH-3-1/2"</t>
  </si>
  <si>
    <t>VALVULA PAINEL FRONTAL SV-5-M5-B</t>
  </si>
  <si>
    <t>VALVULA DIAFRAGMA 3/4" COM BOBINA 24V DC</t>
  </si>
  <si>
    <t>VALVULA DIAFRAGMA 1" COM BOBINA 24V DC</t>
  </si>
  <si>
    <t>VALVULA DIAFRAGMA 1/2" COM BOBINA 24V DC</t>
  </si>
  <si>
    <t>VALVULA DIAFRAGMA 1/4" COM BOBINA 24V DC</t>
  </si>
  <si>
    <t>VALVULA DIAFRAGMA 3/8" CO BOBINA 24V DC</t>
  </si>
  <si>
    <t>VALVULA OW1-5132-0121C</t>
  </si>
  <si>
    <t>ATUADOR PNEUMATICO MODELO: RP75DA 10BAR</t>
  </si>
  <si>
    <t>ATUADOR PNEUMATICO MODELO: GNP-44 8BAR</t>
  </si>
  <si>
    <t>ATUADOR PNEUMATICO COM VALVULA DE ESFERA 1"</t>
  </si>
  <si>
    <t>ALM01565</t>
  </si>
  <si>
    <t>ATUADOR PNEUMATICO COM VALVULA DE ESFERA 1/2"</t>
  </si>
  <si>
    <t>20-jul-21</t>
  </si>
  <si>
    <t>CABO PARA REDE ASI-I RUBBER 3RX9020-0AA00  (PRETO)</t>
  </si>
  <si>
    <t>ALM01566</t>
  </si>
  <si>
    <t>PARAFUSADEIRA TIPO EMBREAGEM PUMA-AT-4054</t>
  </si>
  <si>
    <t>12/07/2021</t>
  </si>
  <si>
    <t>CONEXÃO PNEUMATICA 12mm  COM ROSCA 3/4"</t>
  </si>
  <si>
    <t>19/07/2021</t>
  </si>
  <si>
    <t>CONEXÃO PNEUMATICA  12mm  COM ROSCA 1/2"</t>
  </si>
  <si>
    <t>CONEXÃO PNEUMATICA TIPO CRUZETA 4mm</t>
  </si>
  <si>
    <t>C1302</t>
  </si>
  <si>
    <t>20/07/2021</t>
  </si>
  <si>
    <t>15/07/2021</t>
  </si>
  <si>
    <t xml:space="preserve">CONEXÃO PNEUMÁTICA  8mm X 8mm </t>
  </si>
  <si>
    <t>CONEXÃO PNEUMATICA TIPO CRUZETA 8mm</t>
  </si>
  <si>
    <t>CONEXÃO PNEUMATICA TIPO CRUZETA 6mm</t>
  </si>
  <si>
    <t>22/07/2021</t>
  </si>
  <si>
    <t>CONEXÃO PNEUMÁTICA TIPO REDUÇÃO 12mm X 10mm</t>
  </si>
  <si>
    <t>CONEXÃO PNEUMÁTICA TIPO REDUÇÃO 8mm X 6mm</t>
  </si>
  <si>
    <t>CONEXÃO PNEUMATICA TIPO T 8mm</t>
  </si>
  <si>
    <t>CONEXÃO PNEUMÁTICA TIPO REDUÇÃO 10mm X 6 mm</t>
  </si>
  <si>
    <t>CONEXÃO PNEUMÁTICA  6mm X 6mm</t>
  </si>
  <si>
    <t>16/07/2021</t>
  </si>
  <si>
    <t>CONEXÃO PNEUMÁTICA TIPO REDUÇÃO 12mm X 8mm</t>
  </si>
  <si>
    <t>CONEXÃO PNEUMATICA TIPO T 10mm</t>
  </si>
  <si>
    <t>CONEXÃO PNEUMÁTICA 10mm X 10mm</t>
  </si>
  <si>
    <t>14/07/2021</t>
  </si>
  <si>
    <t>CONEXÃO PNEUMÁTICA TIPO REDUÇÃO 10mm X 8mm</t>
  </si>
  <si>
    <t>CONEXÃO PNEUMATICO TIPO T 6mm</t>
  </si>
  <si>
    <t>MM</t>
  </si>
  <si>
    <t>CONEXÃO PNEUMÁTICA 90° 12mm</t>
  </si>
  <si>
    <t>CONEXÃO PNEUMÁTICA  10mm COM ROSCA 3/4"</t>
  </si>
  <si>
    <t>CONEXÃO PNEUMÁTICA 90° 6mm</t>
  </si>
  <si>
    <t>CONEXÃO PNEUTÁTICA 10mm COM ROSCA 1/2"</t>
  </si>
  <si>
    <t>CONEXÃO PNEUMÁTICA 8mm COM ROSCA 3/4"</t>
  </si>
  <si>
    <t>CONEXÃO PNEUMÁTICA 90° 8mm</t>
  </si>
  <si>
    <t>CONEXÃO PNEUMÁTICA TIPO CRUZETA 10mm</t>
  </si>
  <si>
    <t>CONEXÃO PNEUMÁTICA 8mm COM ROSCA 1/2"</t>
  </si>
  <si>
    <t>CONEXÃO PNEUMÁTICA 6mm COM ROSCA 1/2"</t>
  </si>
  <si>
    <t>CONEXÃO PNEUMÁTICA TIPO T 4mm X 4 mm</t>
  </si>
  <si>
    <t>CONEXÃO PNEUMÁTICA 90° 10mm</t>
  </si>
  <si>
    <t xml:space="preserve">CONEXÃO PNEUMÁTICA 90° 4mm </t>
  </si>
  <si>
    <t>CONEXÃO PNEUMÁTICA TIPO CRUZETA 12mm</t>
  </si>
  <si>
    <t>CABO PARA REDE ASI-I RUBBER 3RX9010-0AA00  (AMARELO)</t>
  </si>
  <si>
    <t>ALM01567</t>
  </si>
  <si>
    <t>ALM01568</t>
  </si>
  <si>
    <t>ALM01569</t>
  </si>
  <si>
    <t>ALM01570</t>
  </si>
  <si>
    <t>ALM01571</t>
  </si>
  <si>
    <t>ALM01572</t>
  </si>
  <si>
    <t>ALM01573</t>
  </si>
  <si>
    <t>ALM01574</t>
  </si>
  <si>
    <t>ALM01575</t>
  </si>
  <si>
    <t>ALM01576</t>
  </si>
  <si>
    <t>ALM01577</t>
  </si>
  <si>
    <t>C1306</t>
  </si>
  <si>
    <t>SILENCIADOR PNEUMATICOS DIVERSOS</t>
  </si>
  <si>
    <t xml:space="preserve">CONEXÃO PNEUMÁTICA DIVERSAS </t>
  </si>
  <si>
    <t>CONEXÃO PNEUMÁTICA TIPO T COM ROSCA DIVERSAS</t>
  </si>
  <si>
    <t>CONEXÃO PNEUMÁTICA 4mm DIVERSAS</t>
  </si>
  <si>
    <t>CONEXÃO PNEUMÁTICA 12mm DIVERSAS</t>
  </si>
  <si>
    <t>CONEXÃO PNEUMÁTICA 10mm DIVERSAS</t>
  </si>
  <si>
    <t>CONEXÃO PNEUMÁTICA 8mm DIVERSAS</t>
  </si>
  <si>
    <t>CONEXÃO PNEUMÁTICA 6mm DIVERSAS</t>
  </si>
  <si>
    <t>CONEXÃO PNEUMÁTICA TIPO REDUÇÃO 6mm x 4mm</t>
  </si>
  <si>
    <t>CONEXÃO PNEUMÁTICA TIPO REDUÇÃO 8mm X 4mm</t>
  </si>
  <si>
    <t>23-jul-21</t>
  </si>
  <si>
    <t>24-jul-21</t>
  </si>
  <si>
    <t>CONEXÃO PNEUMÁTICA 8mm COM ROSCA 1/8"</t>
  </si>
  <si>
    <t>CONEXÃO PNEUMÁTICA 4mm COM ROSCA 1/8"</t>
  </si>
  <si>
    <t>CONEXÃO PNEUMÁTICA 6mm COM ROSCA 1/8"</t>
  </si>
  <si>
    <t>CONEXÃO PNEUMÁTICA 10mm COM ROSCA 1/8"</t>
  </si>
  <si>
    <t>CONEXÃO PNEUMÁTICA 12mm COM ROSCA 1/8"</t>
  </si>
  <si>
    <t>CONEXÃO PNEUMÁTICA 10mm COM ROSCA 1/4"</t>
  </si>
  <si>
    <t>CONEXÃO PNEUMÁTICA TIPO T 12mm</t>
  </si>
  <si>
    <t>CONEXÃO PNEUMÁTICA 8mm COM ROSCA 1/4"</t>
  </si>
  <si>
    <t>CONEXÃO PNEUMÁTICA 6mm COM ROSCA 1/4"</t>
  </si>
  <si>
    <t>CONEXÃO PNEUMÁTICA 4mm COM ROSCA 3/4"</t>
  </si>
  <si>
    <t>CONEXÃO PNEUMATICA  12mm COM ROSCA 1/4"</t>
  </si>
  <si>
    <t>CONEXÃO PNEUMÁTICA 4mm COM ROSCA 1/4"</t>
  </si>
  <si>
    <t>ALM01578</t>
  </si>
  <si>
    <t>CABO SILICONE 02,50MM ALTA TEMPERATURA</t>
  </si>
  <si>
    <t>26-jul-21</t>
  </si>
  <si>
    <t>ALM01579</t>
  </si>
  <si>
    <t>PRESSOSTATO PARKER SCPSD-250-14-15 Range: 0... 250bar 0... 3626 PSI 30VDC</t>
  </si>
  <si>
    <t>B2403</t>
  </si>
  <si>
    <t>B2203</t>
  </si>
  <si>
    <t>Valor Unitario Estimado</t>
  </si>
  <si>
    <t>Valor Total Estimado</t>
  </si>
  <si>
    <t>31/07/2021</t>
  </si>
  <si>
    <t>29/07/2021</t>
  </si>
  <si>
    <t>28/07/2021</t>
  </si>
  <si>
    <t>27/07/2021</t>
  </si>
  <si>
    <t>25/07/2021</t>
  </si>
  <si>
    <t>24/07/2021</t>
  </si>
  <si>
    <t>21/07/2021</t>
  </si>
  <si>
    <t>17/07/2021</t>
  </si>
  <si>
    <t>08/07/2021</t>
  </si>
  <si>
    <t>07/07/20212</t>
  </si>
  <si>
    <t>02/07/2021</t>
  </si>
  <si>
    <t>06/07/2021</t>
  </si>
  <si>
    <t>05/07/2021</t>
  </si>
  <si>
    <t>04/07/2021</t>
  </si>
  <si>
    <t>03/07/2021</t>
  </si>
  <si>
    <t>ALM01580</t>
  </si>
  <si>
    <t>1-mai-21</t>
  </si>
  <si>
    <t>saldo em 31/07/21</t>
  </si>
  <si>
    <t>ALM01581</t>
  </si>
  <si>
    <t>RETENTOR SAV 10280 90-130-12 2</t>
  </si>
  <si>
    <t>ALM01582</t>
  </si>
  <si>
    <t>17-ago-21</t>
  </si>
  <si>
    <t>PRESSOSTATO PARKER SCPSD-400-14-15 Range: 0... 400bar 0... 3626 PSI 30VDC</t>
  </si>
  <si>
    <t>ELEMENTO FILTRANTE HYDAC 0280 D 010 ON</t>
  </si>
  <si>
    <t>ELEMENTO FILTRANTE REXROTH R928006863</t>
  </si>
  <si>
    <t xml:space="preserve">ELEMENTO FILTRANTE REXROTH R928006809 </t>
  </si>
  <si>
    <t>ALM01583</t>
  </si>
  <si>
    <t>ELEMENTO FILTRANTE REXROTH R928006872</t>
  </si>
  <si>
    <t>ELEMENTO FILTRANTE HYDAC 0160 R 010 BN4HC</t>
  </si>
  <si>
    <t>ELEMENTO FILTRANTE HYDAC 0240 D 010 ON</t>
  </si>
  <si>
    <t>ELEMENTO FILTRANTE HYDAC 0160 DN 010 BN4HC</t>
  </si>
  <si>
    <t>ELEMENTO FILTRANTE HYDAC 0330 R 020 ON</t>
  </si>
  <si>
    <t>ELEMENTO FILTRANTE HYDAC 0330 R 010 BN4HC</t>
  </si>
  <si>
    <t>ALM01584</t>
  </si>
  <si>
    <t>ELEMENTO FILTRANTE HYDAC 0330 R 010 ON</t>
  </si>
  <si>
    <t>ELEMENTO FILTRANTE HYDAC 0500 R 010 BN4HC</t>
  </si>
  <si>
    <t>ALM01585</t>
  </si>
  <si>
    <t>ELEMENTO FILTRANTE HYDAC 0500 R 010 ON</t>
  </si>
  <si>
    <t>ELEMENTO FILTRANTE HYDAC 0165 R 010 BN4HC</t>
  </si>
  <si>
    <t>ELEMENTO FILTRANTE NEWTEC FHP528820ABS</t>
  </si>
  <si>
    <t>ALM01586</t>
  </si>
  <si>
    <t>ELEMENTO FILTRANTE HRT06010 PH</t>
  </si>
  <si>
    <t>ELEMENTO FILTRANTE HYDAC 0060 R 010 ON</t>
  </si>
  <si>
    <t>ELEMENTO  FILTRANTE QNQ2 ID 5770</t>
  </si>
  <si>
    <t>ELEMENTO FILTRANTE HYDAC 0250 DN 010 BN4HC</t>
  </si>
  <si>
    <t>ELEMENTO FILTRANTE NEWTEC BR 760 10 AH</t>
  </si>
  <si>
    <t>ALM01587</t>
  </si>
  <si>
    <t>ELEMENTO FILTRANTE HYDAC N5DM002</t>
  </si>
  <si>
    <t>ELEMENTO FILTRANTE HYDAC 0160 D 010 ON</t>
  </si>
  <si>
    <t>ALM01588</t>
  </si>
  <si>
    <t>ELEMENTO FILTRANTE HYDAC 0660 R 010 BN4HC</t>
  </si>
  <si>
    <t>ALM01589</t>
  </si>
  <si>
    <t>02/08/2021</t>
  </si>
  <si>
    <t>ELEMENTO FILTRANTE W.F PN: LP49834716</t>
  </si>
  <si>
    <t xml:space="preserve">ELEMENTO FILTRANTE SHB-0965 HIDRAULICO R 1" X 12 UNF </t>
  </si>
  <si>
    <t>ELEMENTO DO FILTRO ASSEMBLY MOD: 3116674 PIAB</t>
  </si>
  <si>
    <t>M03</t>
  </si>
  <si>
    <t>M08</t>
  </si>
  <si>
    <t>ALM01590</t>
  </si>
  <si>
    <t>CORREIA 16 T10 -16mm ( GATES )</t>
  </si>
  <si>
    <t>13-jul-21</t>
  </si>
  <si>
    <t>16/08/2021</t>
  </si>
  <si>
    <t>26-ago-21</t>
  </si>
  <si>
    <t>29/08/2021</t>
  </si>
  <si>
    <t>ALM01591</t>
  </si>
  <si>
    <t>26/08/2021</t>
  </si>
  <si>
    <t>PLACA TYP: SE67 AUFTRAGS NR: 440582-3</t>
  </si>
  <si>
    <t>27/08/2021</t>
  </si>
  <si>
    <t>27-ago-21</t>
  </si>
  <si>
    <t>ALM01592</t>
  </si>
  <si>
    <t>ALM01593</t>
  </si>
  <si>
    <t>HF HIGH SPEED DISCONNECTION REPLACEMENT</t>
  </si>
  <si>
    <t>THYRATRON TQ 1/2 CHRISTAL</t>
  </si>
  <si>
    <t>30-ago-21</t>
  </si>
  <si>
    <t>05/08/2021</t>
  </si>
  <si>
    <t>10/08/2021</t>
  </si>
  <si>
    <t>13/08/2021</t>
  </si>
  <si>
    <t>06/08/2021</t>
  </si>
  <si>
    <t>07/08/2021</t>
  </si>
  <si>
    <t xml:space="preserve"> M27</t>
  </si>
  <si>
    <t>M17/M27</t>
  </si>
  <si>
    <t>M02</t>
  </si>
  <si>
    <t>10-jul-21</t>
  </si>
  <si>
    <t>CORREIA ARMALON 2410 MED. 1500X9110MM COM PINOS GUIAS</t>
  </si>
  <si>
    <t>12/08/2021</t>
  </si>
  <si>
    <t>M15 / M16 / M30</t>
  </si>
  <si>
    <t>14/08/2021</t>
  </si>
  <si>
    <t>M07 / M35</t>
  </si>
  <si>
    <t>19/08/2021</t>
  </si>
  <si>
    <t>17/08/2021</t>
  </si>
  <si>
    <t>M06 / M13 / M40</t>
  </si>
  <si>
    <t>20/08/2021</t>
  </si>
  <si>
    <t>15/08/2021</t>
  </si>
  <si>
    <t>M217</t>
  </si>
  <si>
    <t xml:space="preserve"> M22 / M41</t>
  </si>
  <si>
    <t>24/08/2021</t>
  </si>
  <si>
    <t>31/08/2021</t>
  </si>
  <si>
    <t>31-ago-21</t>
  </si>
  <si>
    <t>28/08/2021</t>
  </si>
  <si>
    <t>ALM01594</t>
  </si>
  <si>
    <t>ALM01595</t>
  </si>
  <si>
    <t>ALM01596</t>
  </si>
  <si>
    <t>ALM01597</t>
  </si>
  <si>
    <t>FUSIVEL VIDRO RAP 5 X 20 10AMP 250V</t>
  </si>
  <si>
    <t>FUSIVEL CARTUCHO CERAMICO 10X38 20A 250V C/RETARDO</t>
  </si>
  <si>
    <t>FUSIVEL CARTUCHO CERAMICO 6X32 8A 250V C/RETARDO</t>
  </si>
  <si>
    <t>FUSIVEL VIDRO RAP 5 X 20 6,3AMP 250V</t>
  </si>
  <si>
    <t>saldo em 31/08/21</t>
  </si>
  <si>
    <t>ALM01598</t>
  </si>
  <si>
    <t>CILINDRO ADN-50-50-A-P-A-00050</t>
  </si>
  <si>
    <t>3-set-21</t>
  </si>
  <si>
    <t>ALM01599</t>
  </si>
  <si>
    <t xml:space="preserve">CAPACITOR CCG81-1 250PF 15KV 15KVA </t>
  </si>
  <si>
    <t>ALM01600</t>
  </si>
  <si>
    <t>ALM01601</t>
  </si>
  <si>
    <t>ALM01602</t>
  </si>
  <si>
    <t>ALM01603</t>
  </si>
  <si>
    <t>ALM01604</t>
  </si>
  <si>
    <t>ALM01605</t>
  </si>
  <si>
    <t>ALM01606</t>
  </si>
  <si>
    <t>ALM01607</t>
  </si>
  <si>
    <t>ALM01608</t>
  </si>
  <si>
    <t>ALM01609</t>
  </si>
  <si>
    <t>ALM01610</t>
  </si>
  <si>
    <t>CILINDRO ADN-40-40-I-P-A</t>
  </si>
  <si>
    <t>CILINDRO  CWP-040714SE0-0015</t>
  </si>
  <si>
    <t>DISJUNTOR STECK SDZ C10 400V 6000A</t>
  </si>
  <si>
    <t>DISJUNTOR SCHNEIDER C16 3000 EZ9F33216</t>
  </si>
  <si>
    <t>CONTATOR JNG JZC4-22 (2NA=2NF) 660V 10A</t>
  </si>
  <si>
    <t>SENSOR MODELO: CS1-30P DC:5-30V. 200MA. 6W</t>
  </si>
  <si>
    <t xml:space="preserve">SENSOR SICK VSPI-4F2111 </t>
  </si>
  <si>
    <t>ENDEREÇO</t>
  </si>
  <si>
    <t>Endereço2</t>
  </si>
  <si>
    <t>COOLER LUKMA LK-08038SE 80X80X38 mm 110V/220V</t>
  </si>
  <si>
    <t>FILTRO LUKMA MICRO VENTILADORES 80/80mm cod, 29043</t>
  </si>
  <si>
    <t>SENSOR SICK UM18-218161101  6048420</t>
  </si>
  <si>
    <t>17-set-21</t>
  </si>
  <si>
    <t>03/09/2021</t>
  </si>
  <si>
    <t>06/09/2021</t>
  </si>
  <si>
    <t>10/09/2021</t>
  </si>
  <si>
    <t>30/09/2021</t>
  </si>
  <si>
    <t>30-set-21</t>
  </si>
  <si>
    <t>Colunas2</t>
  </si>
  <si>
    <t>Colunas3</t>
  </si>
  <si>
    <t>VENTOINHA 63 PARA MOTOR</t>
  </si>
  <si>
    <t>MOTOR CANTONI SKH71-4A 440A</t>
  </si>
  <si>
    <t>DISJUNTOR BIPOLAR SCHINEIDER EZ9F13120</t>
  </si>
  <si>
    <t>BOMBA PNEUMATICA MECART MOD: MEC 24T</t>
  </si>
  <si>
    <t>ACOPLAMENTO 82</t>
  </si>
  <si>
    <t>REGUA DE NIVEL BALLUFF BTL20C3 BTL7-A501-M1500-P-S32</t>
  </si>
  <si>
    <t>REISISTENCIA (M02)</t>
  </si>
  <si>
    <t>CAPA ROBO GRACCO 289773</t>
  </si>
  <si>
    <t>SENSOR DE TEMPERATURA SBWZ TAMANHO DE 78cm de 10 a 150 graus celsius</t>
  </si>
  <si>
    <t>ACOPLAMENTO M04</t>
  </si>
  <si>
    <t>CAPA ROBO DEVILBISS COM 522 TRANS-TECH</t>
  </si>
  <si>
    <t>INVERSOR DE FREQUÊNCIA EM DRIVE FIT4P34-0150-5BFLS</t>
  </si>
  <si>
    <t>VALVULA HIDRAULICA REXROTH REF: M-35ED 6 CK13/35OCG24N9K4</t>
  </si>
  <si>
    <t>VALVULA VD-3-PK-3 FESTO</t>
  </si>
  <si>
    <t>VALVULA HIDRAULICA WANDFLUH REF: SIS45V - G24</t>
  </si>
  <si>
    <t>VALVULA HIDRAULICA BOSCH REF: 0 811 004 100</t>
  </si>
  <si>
    <t>BLOCO FESTO VL/0-3-3/4</t>
  </si>
  <si>
    <t>VALVULA HIDRAULICA HUADE REF: 4WE6D61B/CG24N9Z5L</t>
  </si>
  <si>
    <t>MOTOR MARATHON HJN 80M1-4  440V</t>
  </si>
  <si>
    <t>ATUADOR PNEUMÁTICO DUPLA AÇÃO GNP 44</t>
  </si>
  <si>
    <t>INVERSOR DE FREQUÊNCIA SIEMENS MICROMASTER 440 6SE6440-2UD31-8DB1</t>
  </si>
  <si>
    <t>VALVULA ESCAPE RAPIDO Q2000-01</t>
  </si>
  <si>
    <t>BOMBA BARMAG 6 CM 1502924</t>
  </si>
  <si>
    <t>KIT PRENSA EPILA (M15/M16)</t>
  </si>
  <si>
    <t>KIT PRENSA EPILA (M21)</t>
  </si>
  <si>
    <t>KIT PRENSA EPILA FCE001896/T</t>
  </si>
  <si>
    <t>CORPO PISTOLA VALCO MELTON 912XX231</t>
  </si>
  <si>
    <t>BOSCHERT 30-40</t>
  </si>
  <si>
    <t>BARREIRA DE LUZ SICK C4000 STANDARD C40E-0703CA010</t>
  </si>
  <si>
    <t>CONJUNTO BARREIRA DE LUZ SICK (C465-1203CT 400)  (C46E-1203CV 400)</t>
  </si>
  <si>
    <t>BARREIRA DE LUZ SICK C405-1503DA040</t>
  </si>
  <si>
    <t>SERVO MOTOR SEW EURODRIVE WA37B CMP50M/BK/KY/AKOH/SB1</t>
  </si>
  <si>
    <t>MANOMETRO ROSCA VERTICAL 1/4"NPT  400 BAR COM GLICERINA</t>
  </si>
  <si>
    <t>TERMOMETRO 150°C COM HASTE 60MM PARAFUSADA</t>
  </si>
  <si>
    <t>MANOMETRO COM ROSCA 1/4" VERTICAL 1500PSI 100BAR COM GLICERINA</t>
  </si>
  <si>
    <t>MANOMETRO COM ROSCA 1/2" VERTICAL 6000PSI 400BAR COM GLICERINA</t>
  </si>
  <si>
    <t>MANOMETRO COM ROSCA 1/2" HORIZONTAL 600PSI 400BAR COM GLICERINA</t>
  </si>
  <si>
    <t>MANOMETRO COM ROSCA 1/8" HORIZONTAL 140PSI 10 BAR</t>
  </si>
  <si>
    <t>FILTRO DO EXAUSTOR COLEPO</t>
  </si>
  <si>
    <t>ELEMENTO FILTRANTE  NEWTEC HR18010PH</t>
  </si>
  <si>
    <t>FILTRO REG 1" COD: XAW5000-10</t>
  </si>
  <si>
    <t>FILTRO REG 1/2" COD: 322C3223C2</t>
  </si>
  <si>
    <t>FILTRO REG REF: 16bar /230 PS1 / 1.6 MPA MAX:60°C / 140°F</t>
  </si>
  <si>
    <t>FILTRO REG REF: XOR-1/2" - MIDI</t>
  </si>
  <si>
    <t>RETENTOR 40X62X7</t>
  </si>
  <si>
    <t>RETENTOR 30X47X7</t>
  </si>
  <si>
    <t>RETENTOR 35X62X7</t>
  </si>
  <si>
    <t>RETENTOR FERRO 01046-BAG</t>
  </si>
  <si>
    <t>RETENTOR 65X90X12</t>
  </si>
  <si>
    <t>RETENTOR 50X72X12</t>
  </si>
  <si>
    <t>FILTRO REG REF: CR 303 - 12</t>
  </si>
  <si>
    <t>RETENTOR 14X22X7</t>
  </si>
  <si>
    <t>RETENTOR 24X35X6</t>
  </si>
  <si>
    <t>AGULHAS DO CILINDRO (RAIO INOX M26)</t>
  </si>
  <si>
    <t>FILTRO REG REF: BFC-4000</t>
  </si>
  <si>
    <t>ROLAMENTO DE ESFERA 3204Z (MAK)</t>
  </si>
  <si>
    <t>SELO MECÂNICO PARA EIXO 1" INPACOM</t>
  </si>
  <si>
    <t>TERMINAL ROTULAR MACHO POS 30MM - ROSCA DIREITA</t>
  </si>
  <si>
    <t>BUCHA FERRAMENTA TETO</t>
  </si>
  <si>
    <t>PINO FERRAMENTA TETO</t>
  </si>
  <si>
    <t>FILTRO REG REF: 1/2" C/ MONOMETRO REF-9044</t>
  </si>
  <si>
    <t>RETENTOR 50X60X10</t>
  </si>
  <si>
    <t>RETENTOR 60X75X5</t>
  </si>
  <si>
    <t>FILTRO REG REF: AC4010-04</t>
  </si>
  <si>
    <t>FILTRO REG REF: PAW 4000-04</t>
  </si>
  <si>
    <t>REGULADOR  REF: AR20-FO2BE-B</t>
  </si>
  <si>
    <t>FILTRO REF: SAM G450-EL</t>
  </si>
  <si>
    <t>ANEL DE COBRE 33X40X2</t>
  </si>
  <si>
    <t>ANEL DE COBRE 25X21X1.36</t>
  </si>
  <si>
    <t>ANEL DE COBRE 45X36X2,5</t>
  </si>
  <si>
    <t>ANEL DE COBRE 44X53X2</t>
  </si>
  <si>
    <t>ANEL DE COBRE 31X21X4</t>
  </si>
  <si>
    <t>ANEL ELASTICO PARA EIXO DE 16,5MM</t>
  </si>
  <si>
    <t>ANEL ELASTICO PARA EIXO DE 67,23MM</t>
  </si>
  <si>
    <t>ANEL ELASTICO PARA EIXO 60,18MM</t>
  </si>
  <si>
    <t>ANEL ELASTICO PARA EIXO 36,21</t>
  </si>
  <si>
    <t>RETENTOR 90X130X12</t>
  </si>
  <si>
    <t>RETENTOR 25X42X8</t>
  </si>
  <si>
    <t>RETENTOR 28X47X7</t>
  </si>
  <si>
    <t>RETENTOR 60X85.1X12.7</t>
  </si>
  <si>
    <t>TAMPA DE ROLAMENTO PFL-203 BRM</t>
  </si>
  <si>
    <t>VALULA PNEUMATICA DSG-01-3C2-D24-N1 YUKEN-N.C.M 8481.20.90 DSG-01-3C2-D24-N1</t>
  </si>
  <si>
    <t>ROLAMENTO 6201</t>
  </si>
  <si>
    <t>SELO MECANICO TIPO MOLAS MULTIPLAS - DS 22 MM FACES CARVAO x SEDE CR-NI x VEDACOES EM CHEMRAZ 1150 RPM x 7 M3 / H x 3 BAR x 2 CST x 250ºC</t>
  </si>
  <si>
    <t>BOMBA DE AGUA REF: PA0301HHCDN0034 9P2</t>
  </si>
  <si>
    <t>SELO MECANICO TS-P 1" VITON</t>
  </si>
  <si>
    <t>RETENTOR 436275 28X42X8</t>
  </si>
  <si>
    <t>RETENTOR 30X42X7</t>
  </si>
  <si>
    <t>KIT REPARO PISTOLA VALCO MELTON 988XX344</t>
  </si>
  <si>
    <t>ANEL ELASTICO PARA EIXO 26,25</t>
  </si>
  <si>
    <t>AGULHA DA PISTOLA DE COLA GRACO 24A690 K19A</t>
  </si>
  <si>
    <t>ORING H20 JET 400043-240</t>
  </si>
  <si>
    <t>GUIA LINEAR THOMSON REF: 411N25EO</t>
  </si>
  <si>
    <t>VALVULA HIDRAULICA CONTROL STAR REF: 200161 (N.F)</t>
  </si>
  <si>
    <t>PRESSOSTATO HED80A1X/350K14KW</t>
  </si>
  <si>
    <t>VALVULA ESCAPE RAPIDO MOD: QE-04</t>
  </si>
  <si>
    <t>CILINDRO PNEUMATICO REF: DSBC-100-500 PPV-A-KP E943</t>
  </si>
  <si>
    <t>VALVULA HIDRAULICA REXROTH REF: H-4WEH 25 E68/6EG24N9K40M0G24</t>
  </si>
  <si>
    <t>VALVULA HIDRAULICA REXROTH REF:61/350G24K4V</t>
  </si>
  <si>
    <t>VALVULA REDUTORA DE PRESSÃO GENEBRE REF: 3318 04</t>
  </si>
  <si>
    <t>VALVULA ESFERICA PARA ATUADOR 1"</t>
  </si>
  <si>
    <t>VALVULA ESFERICA 3VIAS PARA ATUADOR  REF: GE3G GT53011A000</t>
  </si>
  <si>
    <t>REGULADOR DE PRESSÃO WHITE MARTINS REF: R-81 ACETILENO</t>
  </si>
  <si>
    <t>FILTRO HIDRAULICO NEWTC HP70PB074TON</t>
  </si>
  <si>
    <t>KIT PRENSA (M19)</t>
  </si>
  <si>
    <t xml:space="preserve">PRATO DO CILINDRO DE PREENCHIMENTO HIDRAULICO R900529340 </t>
  </si>
  <si>
    <t>REGISTRO HIDRAULICO DN25 PN350</t>
  </si>
  <si>
    <t>ENGATE RAPIDO PINO 15/16</t>
  </si>
  <si>
    <t>REGUA DE NIVEL REF: EASS10110950</t>
  </si>
  <si>
    <t>REDUTOR 6286089-018NMRV 050</t>
  </si>
  <si>
    <t xml:space="preserve">ABRAÇADEIRA 11" </t>
  </si>
  <si>
    <t>ENGATE RAPIDO PINO 1/2' LUBE</t>
  </si>
  <si>
    <t>ENGATE RAPIDO PINO STANYL-STH-400</t>
  </si>
  <si>
    <t>ENGATE RAPIDO FEMEA 1/2" LUBE</t>
  </si>
  <si>
    <t>CONJUNTO ENGATE RAPIDO 19/2</t>
  </si>
  <si>
    <t>CONJUNTO ENGATE RAPIDO 3/4"</t>
  </si>
  <si>
    <t>ENGATE RAPIDO ESPIGÃO</t>
  </si>
  <si>
    <t>VALVULA HIDRAULICA HUADE REF: 4WE 10 D31B/CG24N9Z4</t>
  </si>
  <si>
    <t>ROLAMENTO 5805</t>
  </si>
  <si>
    <t>ROLAMENTO UC205</t>
  </si>
  <si>
    <t>ROLAMENTO 6208</t>
  </si>
  <si>
    <t>ROLAMENTO 6209</t>
  </si>
  <si>
    <t>ESCAPE RAPIDO MOD: REV-3</t>
  </si>
  <si>
    <t>VALVULA HIDRAULICA PARKER REF: D1VW004KNJWT91</t>
  </si>
  <si>
    <t>LIXA D'AGUA 2000</t>
  </si>
  <si>
    <t>BLOCO HIDRAULICO REXROTH 0E15000 300 5500</t>
  </si>
  <si>
    <t>ESCAPE RAPIDO MOD: 1/8" WERR COD-10288</t>
  </si>
  <si>
    <t>VALVULA HIDRAULICA REGULAGEM REXROTH REF: DBD56K1C/315</t>
  </si>
  <si>
    <t>KIT PRENSA FCE001897/T</t>
  </si>
  <si>
    <t>VALVULA HIDRAULICA D1SE30 BNJW  PARKER</t>
  </si>
  <si>
    <t xml:space="preserve">TRAVA QUEDA 10M MOD: VIC29061P </t>
  </si>
  <si>
    <t>VALVULA FESTO ESCAPE RAPIDO REF: SE-1/2-B 9688</t>
  </si>
  <si>
    <t>VALVULA HIDRAULICA REGULAGEM REF: RBACKAN 1EG4</t>
  </si>
  <si>
    <t>VALVULA HIDRAULICA VISTA REF: V 4WE6D6X/OEG24NZ5L</t>
  </si>
  <si>
    <t>VALVULA HIDRAULICA YUKEN DIRECIONAL REF: DSG-1-2B8-D24-N-50L</t>
  </si>
  <si>
    <t>VALVULA HIDRAULICA AGT REF: 4WE10-D-30</t>
  </si>
  <si>
    <t>JUNÇÃO EM PVC 25 X 3/4"</t>
  </si>
  <si>
    <t>VALVULA HIDRAULICA PARKER REF: D1VW001ENJW</t>
  </si>
  <si>
    <t>ESCAPE RAPIDO MOD:QE-01</t>
  </si>
  <si>
    <t>VALVULA ESFERICA DN 15 1/2"</t>
  </si>
  <si>
    <t>CONJUNTO ENGATE RAPIDO 1/2"</t>
  </si>
  <si>
    <t>ENGATE RAPIDO 1/2" PINO</t>
  </si>
  <si>
    <t>CONJUNTO ENGATE RAPIDO PCL 6501-12B</t>
  </si>
  <si>
    <t>CILINDRO HIDRAULICA ATOS MOD:CK-63/42* 0200-N062-HW-B1</t>
  </si>
  <si>
    <t>MOLA 18X3</t>
  </si>
  <si>
    <t>FILTRO MSD AZUL</t>
  </si>
  <si>
    <t>SERVO MOTOR ABB 3HAC040408-00101</t>
  </si>
  <si>
    <t>TORNEIRA EM PVC DE JARDIN</t>
  </si>
  <si>
    <t>MANCAL GG.ASE08</t>
  </si>
  <si>
    <t>BLOCO HIDRAULICO REXROTH 0C1009012 R900990630</t>
  </si>
  <si>
    <t>KIT REPARO ENGATE RAPIDO 30X33,5X1,20</t>
  </si>
  <si>
    <t>KIT REPARO ENGATE RAPIDO 36X40X1,5</t>
  </si>
  <si>
    <t>VALVULA HIDRAULICA REXROTH REF: ZDR 6 DP2-43/210YM</t>
  </si>
  <si>
    <t>VALVULA DE SEGURANÇA PARA AGUA 3/4"</t>
  </si>
  <si>
    <t>LUBRIPLATE FML-2</t>
  </si>
  <si>
    <t>PURE GOOP</t>
  </si>
  <si>
    <t>ACOPLAMENTO EA 148</t>
  </si>
  <si>
    <t>ACOPLAMENTO REXROTH 38</t>
  </si>
  <si>
    <t>ACOPLAMENTO 67</t>
  </si>
  <si>
    <t>MANGUEIRA 4MM VALCO MELTON TEFLON 988XX205</t>
  </si>
  <si>
    <t>BOMBA HIDRAULICA  REXROTH R910983523/001 A10VS0100DFR1/31R</t>
  </si>
  <si>
    <t>VALVULA BLOQUEIO - REF. K140612</t>
  </si>
  <si>
    <t>VALVULA FLUXO YF08</t>
  </si>
  <si>
    <t>VALVULA FLUXO YF06</t>
  </si>
  <si>
    <t>TERMOMETRO 200°C COM ROSCA DE 3/4" HASTE DE 50MM</t>
  </si>
  <si>
    <t>TERMOMETRO 100°C COM ROSCA DE 3/4" HASTE DE 70MM</t>
  </si>
  <si>
    <t>MANOMETRO COM ROSCA 1/8" VERTICAL 160PSI 11BAR</t>
  </si>
  <si>
    <t>BLOCO DENISON C1C08 18 A1 A12 POO TOO 526 59804 0 0113776</t>
  </si>
  <si>
    <t>BOMBA DE POLIOL</t>
  </si>
  <si>
    <t>ACOPLAMENTO 19</t>
  </si>
  <si>
    <t>PORCA RETA VALCO MELTON 943XX068N</t>
  </si>
  <si>
    <t>MANOMETRO 30015294-1 GA-PR 0-5000 PSI/BAR KMT  (KMT)</t>
  </si>
  <si>
    <t>MANOMETRO COM ROSCA 1/4" HORIZONTAL 4MPA</t>
  </si>
  <si>
    <t>SERVO MOTOR SCHNEIDER BMH1002P06A2A</t>
  </si>
  <si>
    <t>MANOMETRO COM ROSCA 1/8" HORIZONTAL 1MPA 10KGF/CM²</t>
  </si>
  <si>
    <t>POLIAMAUREY BG52X 3/4"</t>
  </si>
  <si>
    <t>VALVULA CRU-102</t>
  </si>
  <si>
    <t>MANOMETRO COM ROSCA 1/8" HORIZONTAL 10BAR K1.1.6</t>
  </si>
  <si>
    <t>MOTOR WEG POTENCIA 1.5CV ET448/001</t>
  </si>
  <si>
    <t>BOMBA RZR CO56-16 (REZINA)</t>
  </si>
  <si>
    <t>RESISTENCIA  TUB INOX Ø3/8 ROSCA 1.1/4 230mm 3KW/220V 380V E3</t>
  </si>
  <si>
    <t>MANOMETRO COM ROSCA 1/8" 160PSI 11BAR 1.1MPA</t>
  </si>
  <si>
    <t>MANOMETRO COM ROSCA 1/4" HORIZONTAL 150PSI 10BAR</t>
  </si>
  <si>
    <t xml:space="preserve">PONTA MONTADA B21  </t>
  </si>
  <si>
    <t>MANOMETRO ROSCA 1/8" HORIZONTAL 200PSI 14KGF/CM²</t>
  </si>
  <si>
    <t>CONJUNTO BARREIRA DE LUZ SICK C400 GUEST (C46E-0403CT400) (C465-0403CT400)</t>
  </si>
  <si>
    <t>MOTOR MEZ 230/400V</t>
  </si>
  <si>
    <t>BOMBA DIAFRAGMAN GRACCO HUSKY 716 AIR-OPERATED</t>
  </si>
  <si>
    <t>REDUTOR ECHTOP MS711-4</t>
  </si>
  <si>
    <t>ROLAMENTO 6303</t>
  </si>
  <si>
    <t>VALVULA  FLUXO 11N15 DRV 1/4"</t>
  </si>
  <si>
    <t>MANOMETRO COM ROSCA 1/8" HORIZONTAL 10 BAR 150 PSI</t>
  </si>
  <si>
    <t>MANOMETRO COM ROSCA 1/4" HORIZONTAL 16BAR 220PSI</t>
  </si>
  <si>
    <t xml:space="preserve">UNIAO L/R 25X3/4" PVC </t>
  </si>
  <si>
    <t>CANJUNTO BARREIRA DE LUZ SCHMERSAL (5C100112015) (5C10011161)</t>
  </si>
  <si>
    <t>ROLAMENTO LINEAR BARRA/ROSCA PMI S4-16000376-20 1RS0-10T6-FSIN-106-9RF S15010329</t>
  </si>
  <si>
    <t>VALVULA FLUXO DRV-10-013/0 3/4"</t>
  </si>
  <si>
    <t>MOTOR BALDOR 35A012Q223G1</t>
  </si>
  <si>
    <t>ACOPLAMENTO AN44</t>
  </si>
  <si>
    <t>SELO MECANICO TS-D 1 3/8"</t>
  </si>
  <si>
    <t>CILINDRO HIDRAULICO MOD; w32flncsf 2x80</t>
  </si>
  <si>
    <t>LIXA D'AGUA A80</t>
  </si>
  <si>
    <t>LIXA D'AGUA 220</t>
  </si>
  <si>
    <t>LIXA D'AGUA 600</t>
  </si>
  <si>
    <t>CAPA DE AR DO BICO ROBO DE COLA AIRPRO 1,4MM GR-289773</t>
  </si>
  <si>
    <t>FITA AUTO ADESIVA 3MM X 50MM X 20M VIDOFLEX (ISOLAMENTO)</t>
  </si>
  <si>
    <t>ABRAÇADEIRA 210</t>
  </si>
  <si>
    <t>BASE FIBRO 2031.70.040</t>
  </si>
  <si>
    <t>MOTOR WEG W22 PLUSS 220/380/440</t>
  </si>
  <si>
    <t>MOTOR BOMBA AUTO-ASPIRANTE  110/127 VALTS</t>
  </si>
  <si>
    <t>BOMBA FB MOD: FBE 1STD</t>
  </si>
  <si>
    <t>BOMBA KRACHT KF200 BF7</t>
  </si>
  <si>
    <t>MOTOR REDUTOR SEW KA47B CMP63M/KY/AKOH/5M1</t>
  </si>
  <si>
    <t>MOTOR WEG COM REDUTOR + EIXO W22 220/380</t>
  </si>
  <si>
    <t>LUVA PVC 25</t>
  </si>
  <si>
    <t>MANCAL DO ROLAMENTO P210</t>
  </si>
  <si>
    <t>MANCAL QUADRADO DO ROLAMENTO T 210</t>
  </si>
  <si>
    <t>KIT PRENSA EPILA FCE 001 898/T</t>
  </si>
  <si>
    <t>ROLAMENTO 608-2RSP</t>
  </si>
  <si>
    <t>TERMOMETRO 100°C COM ROSCA DE 1/4" HASTE DE 50MM</t>
  </si>
  <si>
    <t>QUAD RING 88X32,5X1,5</t>
  </si>
  <si>
    <t>QUAD RING 102X95X1,20</t>
  </si>
  <si>
    <t>CORDAO DE BORRACHA 6MM</t>
  </si>
  <si>
    <t>CORDAO DE BORRACHA 4MM</t>
  </si>
  <si>
    <t>MANOMETRO ROSCA VERTICAL 1/8"NPT  400 BAR COM GLICERINA</t>
  </si>
  <si>
    <t>RETENTOR 20X32X7</t>
  </si>
  <si>
    <t>RETENTOR 30X42X5</t>
  </si>
  <si>
    <t>CORDAO DE BORRACHA 3,8MM</t>
  </si>
  <si>
    <t>CORDAO DE BORRACHA 7MM</t>
  </si>
  <si>
    <t>CORDAO DE BORRACHA 3MM</t>
  </si>
  <si>
    <t>ROLAMENTO NUP 306 EWL3</t>
  </si>
  <si>
    <t>VALVULA HIDRAULICA REXROTH REF: DR 6 DP2-53/75YM</t>
  </si>
  <si>
    <t>KIT AUTOMATICA DE PINTURA PICCOLA 03mm POS.10 (MDS)</t>
  </si>
  <si>
    <t>ACOPLAMENTO 28</t>
  </si>
  <si>
    <t>ELEMENTO ELASTICO 65</t>
  </si>
  <si>
    <t>ELEMENTO ELASTICO 48</t>
  </si>
  <si>
    <t>ELEMENTO ELASTICO 42</t>
  </si>
  <si>
    <t>ELEMENTO ELASTICO 38</t>
  </si>
  <si>
    <t>ELEMENTO ELASTICO 24</t>
  </si>
  <si>
    <t>ELEMENTO ELASTICO 19</t>
  </si>
  <si>
    <t>ELEMENTO ELASTICO EA82</t>
  </si>
  <si>
    <t>ENGRENAGEM 64 DENTES EIXO DE 20MM</t>
  </si>
  <si>
    <t>ENGRENAGEM 32 DENTES EIXO DE 20MM</t>
  </si>
  <si>
    <t>ESCAPE RAPIDO MOD: 618E</t>
  </si>
  <si>
    <t>COPO PARA FILTRO HYDAC RFM BN/HC 330 BF10E 1.0/-G</t>
  </si>
  <si>
    <t>BOMBA ENERPAC P392 1000PSI 700BAR</t>
  </si>
  <si>
    <t>LIXA D'AGUA 180</t>
  </si>
  <si>
    <t>ROLAMENTO Y208 V22</t>
  </si>
  <si>
    <t>ELEMENTO FILTRANTE 0007 L 003 P</t>
  </si>
  <si>
    <t>BOMBA BARMAG 0,6CM 1710958</t>
  </si>
  <si>
    <t>MANOMETRO ROSCA 1/8" VERTICAL 140 PSI 10BAR</t>
  </si>
  <si>
    <t>MANOMETRO ROSCA 1/8" HORIZONTAL 11BAR 160PSI</t>
  </si>
  <si>
    <t>TRAVA QUEDA 40X50Kg</t>
  </si>
  <si>
    <t>REGUA BALLUFF BTL027U BTL5-E10-M0500-P-532</t>
  </si>
  <si>
    <t>BUCHA  RCK70 40X65</t>
  </si>
  <si>
    <t>TRAVA QUEDA 38X52Kg</t>
  </si>
  <si>
    <t>REDUÇÃO LUVA  25 X ROSCA 3/4"</t>
  </si>
  <si>
    <t>CORDAO DE BORRACHA 2MM</t>
  </si>
  <si>
    <t>CORDAO DE BORRACHA 8MM</t>
  </si>
  <si>
    <t>ENGATE RAPIDO MACHO DN19</t>
  </si>
  <si>
    <t xml:space="preserve">SENSOR COM CABO INDUTIVO SCHMERSAL IFL 4-12-11P 171676 </t>
  </si>
  <si>
    <t>ROLAMENTO RLS9ZZ</t>
  </si>
  <si>
    <t>ENGATE RAPIDO FEMEA DN19</t>
  </si>
  <si>
    <t>VALVULA HIDRAULICA REXROTH REF: 4WE6H61/EG24N9K4</t>
  </si>
  <si>
    <t>PRESSOSTATO MOD: JC-OS-02L-3 AC250V-3A DC24V/20mA</t>
  </si>
  <si>
    <t xml:space="preserve">RESISTENCIA RT TUB INOX Ø3/8 FLANGER 280mm 12KW/254/440V E3 </t>
  </si>
  <si>
    <t>MANCAL PASE-40XL-N</t>
  </si>
  <si>
    <t>ROLAMENTOS 2205 2RS</t>
  </si>
  <si>
    <t>VALVULA HIDRAULICA PRE-APERADA TN 22 REF: H-4WEH22V14/6EG24N9ETKB14 (BLOCO HIDRAULICO REXROTH 4WE - 22V14-766EG24 N9 MNR R9/8027115)</t>
  </si>
  <si>
    <t>BOMBA DE DIAFRAGMA SERE PRO</t>
  </si>
  <si>
    <t>SUPORTE PARA SONDA E43334 LR COAX TUBE 1200 SLOTTEED</t>
  </si>
  <si>
    <t>VALVULA HIDRAULICA REXROTH REF: H-4WEH 16 U10B72/6EG24K4QM0G24</t>
  </si>
  <si>
    <t>GUIA LINEAR THOMSON REF: 411N20A0</t>
  </si>
  <si>
    <t>SUPORTE PARA SENSOR MANFROTTO 244 D2255341</t>
  </si>
  <si>
    <t>SERVO MOTO ABB 3HAC3403-1/2</t>
  </si>
  <si>
    <t>ELEMENTO FILTRANTE HYDAC 0160 RN 010 BN4HC</t>
  </si>
  <si>
    <t>ELEMENTO FILTRANTE HYDAC 0660 R 010 ON</t>
  </si>
  <si>
    <t>VALVULA HIDRAULICA PARKER REF: D91FCZ31HC2NKOL10XG262</t>
  </si>
  <si>
    <t>F1402</t>
  </si>
  <si>
    <t>CORREDOR 1</t>
  </si>
  <si>
    <t>CORREDOR 2</t>
  </si>
  <si>
    <t>F1403</t>
  </si>
  <si>
    <t>G2103</t>
  </si>
  <si>
    <t>F1205</t>
  </si>
  <si>
    <t>B2101</t>
  </si>
  <si>
    <t>F1401</t>
  </si>
  <si>
    <t>CORREDOR 4</t>
  </si>
  <si>
    <t>E1205</t>
  </si>
  <si>
    <t>D2201</t>
  </si>
  <si>
    <t>D2205</t>
  </si>
  <si>
    <t>C2101</t>
  </si>
  <si>
    <t>D1401</t>
  </si>
  <si>
    <t>E2406</t>
  </si>
  <si>
    <t>CORREDOR 3</t>
  </si>
  <si>
    <t>F1405</t>
  </si>
  <si>
    <t>C1102</t>
  </si>
  <si>
    <t>CORREDOR 5</t>
  </si>
  <si>
    <t>S201</t>
  </si>
  <si>
    <t>F2401</t>
  </si>
  <si>
    <t>F2106</t>
  </si>
  <si>
    <t>F1404</t>
  </si>
  <si>
    <t>F1406</t>
  </si>
  <si>
    <t>E1306</t>
  </si>
  <si>
    <t>C2206</t>
  </si>
  <si>
    <t>D1301</t>
  </si>
  <si>
    <t>CORREDOR 6</t>
  </si>
  <si>
    <t>F2204</t>
  </si>
  <si>
    <t>F1106</t>
  </si>
  <si>
    <t>1-out-21</t>
  </si>
  <si>
    <t>Codigo</t>
  </si>
  <si>
    <t>7-out-21</t>
  </si>
  <si>
    <t>PARAFUSOS SEM CABEÇA COM DIAMETRO 19,70MM X COMPRIMENTO 201,10MM EM AÇO 8.8 COM PASSE DE ROSCA 10G 3/4"</t>
  </si>
  <si>
    <t>F2303</t>
  </si>
  <si>
    <t>E2105</t>
  </si>
  <si>
    <t>10/10/2021</t>
  </si>
  <si>
    <t>19-out-21</t>
  </si>
  <si>
    <t>21-out-21</t>
  </si>
  <si>
    <t>25-out-21</t>
  </si>
  <si>
    <t>25/10/2021</t>
  </si>
  <si>
    <t>Rolamento DRS 85642 é a SKF, o número de referência na SKF é 22215EK. BLINDADO</t>
  </si>
  <si>
    <t>27-out-21</t>
  </si>
  <si>
    <t>01/10/2021</t>
  </si>
  <si>
    <t>30/10/2021</t>
  </si>
  <si>
    <t>ENGATE RAPIDO (CONJ. CORPO+PINO) OLEO HIDRAULICO</t>
  </si>
  <si>
    <t>29/10/2021</t>
  </si>
  <si>
    <t>28/10/2021</t>
  </si>
  <si>
    <t>27/10/2021</t>
  </si>
  <si>
    <t>26/10/2021</t>
  </si>
  <si>
    <t>21/10/2021</t>
  </si>
  <si>
    <t>19/10/2021</t>
  </si>
  <si>
    <t>18/10/2021</t>
  </si>
  <si>
    <t>14/10/2021</t>
  </si>
  <si>
    <t>13/10/2021</t>
  </si>
  <si>
    <t>09/10/2021</t>
  </si>
  <si>
    <t>07/10/2021</t>
  </si>
  <si>
    <t>06/10/2021</t>
  </si>
  <si>
    <t>02/10/2021</t>
  </si>
  <si>
    <t>03/10/2021</t>
  </si>
  <si>
    <t>05/10/2021</t>
  </si>
  <si>
    <t>08/10/2021</t>
  </si>
  <si>
    <t>saldo em 30/09/21</t>
  </si>
  <si>
    <t>AGITADOR PNEUMATICO  1HP com eixo 1/2" MSD</t>
  </si>
  <si>
    <t>4-nov-21</t>
  </si>
  <si>
    <t>10-nov-21</t>
  </si>
  <si>
    <t>05/11/2021</t>
  </si>
  <si>
    <t>11-nov-21</t>
  </si>
  <si>
    <t>CONTATOR TRIPOLAR  SCHNEIDER -  REF. LC1D09-M7</t>
  </si>
  <si>
    <t>ABRAÇADEIRA DE AÇO INOX 1"</t>
  </si>
  <si>
    <t>ABRAÇADEIRA DE AÇO INOX 3/4"</t>
  </si>
  <si>
    <t>19-nov-21</t>
  </si>
  <si>
    <t>PISTOLA DESMOLDANTE - PD10</t>
  </si>
  <si>
    <t>CILINDRO DE GAS MAP PROPILENO NRC 260/325 M1003</t>
  </si>
  <si>
    <t>23-nov-21</t>
  </si>
  <si>
    <t>10/11/2021</t>
  </si>
  <si>
    <t>20-nov-21</t>
  </si>
  <si>
    <t>24-nov-21</t>
  </si>
  <si>
    <t>24/11/2021</t>
  </si>
  <si>
    <t>CORREIA PVC DUAS TELAS ADERENTE 4970X26X2mm</t>
  </si>
  <si>
    <t>11/11/2021</t>
  </si>
  <si>
    <t>12/11/2021</t>
  </si>
  <si>
    <t>13/11/2021</t>
  </si>
  <si>
    <t>15/11/2021</t>
  </si>
  <si>
    <t>16/11/2021</t>
  </si>
  <si>
    <t>17/11/2021</t>
  </si>
  <si>
    <t>18/11/2021</t>
  </si>
  <si>
    <t>19/11/2021</t>
  </si>
  <si>
    <t>20/11/2021</t>
  </si>
  <si>
    <t>22/11/2021</t>
  </si>
  <si>
    <t>23/11/2021</t>
  </si>
  <si>
    <t>25/11/2021</t>
  </si>
  <si>
    <t>26/11/2021</t>
  </si>
  <si>
    <t>27/11/2021</t>
  </si>
  <si>
    <t>29/11/2021</t>
  </si>
  <si>
    <t>03/11/2021</t>
  </si>
  <si>
    <t>04/11/2021</t>
  </si>
  <si>
    <t>01/11/2021</t>
  </si>
  <si>
    <t>09/11/2021</t>
  </si>
  <si>
    <t>08/11/2021</t>
  </si>
  <si>
    <t>07/11/2021</t>
  </si>
  <si>
    <t>06/11/2021</t>
  </si>
  <si>
    <t>30/11/2021</t>
  </si>
  <si>
    <t>CONTATOR WEG CWB25-11-30C03 25A 24VDC</t>
  </si>
  <si>
    <t>5-nov-21</t>
  </si>
  <si>
    <t>25-nov-21</t>
  </si>
  <si>
    <t>M06/M13M40</t>
  </si>
  <si>
    <t>BOMBA HIDRAULICA HYBE 10501019013 VK02250</t>
  </si>
  <si>
    <t>SENSOR IFL-8-18-11STP SCHMERSAL</t>
  </si>
  <si>
    <t>8-nov-21</t>
  </si>
  <si>
    <t>FUSIVEL DE VIDRO 5X10 10AMP</t>
  </si>
  <si>
    <t>ELEMENTO FILTRANTE HYDAC  0160 RN 006 BN4HC</t>
  </si>
  <si>
    <t>FILTRO DE AR 80 130 H 10XL</t>
  </si>
  <si>
    <t>C2405</t>
  </si>
  <si>
    <t>saldo em 31/10/21</t>
  </si>
  <si>
    <t>saldo em 31/11/21</t>
  </si>
  <si>
    <t>1-dez-21</t>
  </si>
  <si>
    <t>3-dez-21</t>
  </si>
  <si>
    <t>9-dez-21</t>
  </si>
  <si>
    <t>16/12/2021</t>
  </si>
  <si>
    <t>16-dez-21</t>
  </si>
  <si>
    <t>10/12/2021</t>
  </si>
  <si>
    <t>01/12/2021</t>
  </si>
  <si>
    <t>ATUADOR PNEUMATICO COM VALVULA DE ESFERA 3/4"</t>
  </si>
  <si>
    <t>23-dez-21</t>
  </si>
  <si>
    <t>24/12/2021</t>
  </si>
  <si>
    <t>23/12/2022</t>
  </si>
  <si>
    <t>22/12/2021</t>
  </si>
  <si>
    <t>14/12/2021</t>
  </si>
  <si>
    <t>15/12/2021</t>
  </si>
  <si>
    <t>12/12/2021</t>
  </si>
  <si>
    <t>08/12/2021</t>
  </si>
  <si>
    <t>06/12/2021</t>
  </si>
  <si>
    <t>09/12/2021</t>
  </si>
  <si>
    <t>13/12/2021</t>
  </si>
  <si>
    <t>21/12/2021</t>
  </si>
  <si>
    <t>11/12/2022</t>
  </si>
  <si>
    <t>05/12/2021</t>
  </si>
  <si>
    <t>03/12/2021</t>
  </si>
  <si>
    <t>02/12/2021</t>
  </si>
  <si>
    <t>MSD</t>
  </si>
  <si>
    <t>27/12/2021</t>
  </si>
  <si>
    <t>06/01/2022</t>
  </si>
  <si>
    <t>03/01/2022</t>
  </si>
  <si>
    <t>05/01/2022</t>
  </si>
  <si>
    <t>12/01/2022</t>
  </si>
  <si>
    <t>17/01/2022</t>
  </si>
  <si>
    <t>10/01/2022</t>
  </si>
  <si>
    <t>14/01/2022</t>
  </si>
  <si>
    <t>18/01/2022</t>
  </si>
  <si>
    <t>21-jan-22</t>
  </si>
  <si>
    <t>20-jan-22</t>
  </si>
  <si>
    <t>21/01/2022</t>
  </si>
  <si>
    <t>19/01/2022</t>
  </si>
  <si>
    <t>13/01/2022</t>
  </si>
  <si>
    <t>11/01/2022</t>
  </si>
  <si>
    <t>26-jan-22</t>
  </si>
  <si>
    <t>04/01/2022</t>
  </si>
  <si>
    <t>07/01/2022</t>
  </si>
  <si>
    <t>08/01/2022</t>
  </si>
  <si>
    <t>26/01/2022</t>
  </si>
  <si>
    <t>24/01/2022</t>
  </si>
  <si>
    <t>20/01/2022</t>
  </si>
  <si>
    <t>25/01/2022</t>
  </si>
  <si>
    <t>22/01/2022</t>
  </si>
  <si>
    <t>BARREIRA DE LUZ SICK C4000 STANDARD C40E-0703CB010</t>
  </si>
  <si>
    <t>11-fev-22</t>
  </si>
  <si>
    <t>saldo em 31/12/21</t>
  </si>
  <si>
    <t>saldo em 31/01/22</t>
  </si>
  <si>
    <t>13/02/2022</t>
  </si>
  <si>
    <t>06/02/2022</t>
  </si>
  <si>
    <t>30/01/2022</t>
  </si>
  <si>
    <t>23/01/2022</t>
  </si>
  <si>
    <t>16/01/2022</t>
  </si>
  <si>
    <t>18-fev-22</t>
  </si>
  <si>
    <t>19/02/2022</t>
  </si>
  <si>
    <t>22-fev-22</t>
  </si>
  <si>
    <t>25-fev-22</t>
  </si>
  <si>
    <t>25/02/2022</t>
  </si>
  <si>
    <t>26/02/2022</t>
  </si>
  <si>
    <t>22/02/2022</t>
  </si>
  <si>
    <t>09/02/2022</t>
  </si>
  <si>
    <t>02/02/2022</t>
  </si>
  <si>
    <t>11/02/2022</t>
  </si>
  <si>
    <t>14/02/2022</t>
  </si>
  <si>
    <t>15/02/2022</t>
  </si>
  <si>
    <t>17/02/2022</t>
  </si>
  <si>
    <t>16/02/2022</t>
  </si>
  <si>
    <t>18/02/2022</t>
  </si>
  <si>
    <t>21/02/2022</t>
  </si>
  <si>
    <t>23/02/2022</t>
  </si>
  <si>
    <t>28/02/2022</t>
  </si>
  <si>
    <t>24/02/2022</t>
  </si>
  <si>
    <t>12/02/2022</t>
  </si>
  <si>
    <t>20/02/2022</t>
  </si>
  <si>
    <t>23-fev-22</t>
  </si>
  <si>
    <t>CABEÇA LEITORA CMS-R-EXM-SC (EUCHNER)</t>
  </si>
  <si>
    <t>ATUADOR MAGNETICO. CMS-M-EF (EUCHNER)</t>
  </si>
  <si>
    <t>CAIXA DE PLASTICO PARA BOTOEIRA 3 BOTÕES</t>
  </si>
  <si>
    <t>saldo em 28/02/22</t>
  </si>
  <si>
    <t>15-mar-22</t>
  </si>
  <si>
    <t>2-mar-22</t>
  </si>
  <si>
    <t>17/03/2022</t>
  </si>
  <si>
    <t>OELO SAE 140</t>
  </si>
  <si>
    <t>OLEO ALL HLP 32</t>
  </si>
  <si>
    <t>10/02/2022</t>
  </si>
  <si>
    <t>DESENGRAXANTE ALCALINO</t>
  </si>
  <si>
    <t>AQUECEDOR MAPRE</t>
  </si>
  <si>
    <t>RESISTENCIA KDI 3.5KW 220V 380V</t>
  </si>
  <si>
    <t>17-mar-22</t>
  </si>
  <si>
    <t>1-mar-22</t>
  </si>
  <si>
    <t>21-mar-22</t>
  </si>
  <si>
    <t>01/03/2022</t>
  </si>
  <si>
    <t>05/03/2022</t>
  </si>
  <si>
    <t>10/03/2022</t>
  </si>
  <si>
    <t>18/03/2022</t>
  </si>
  <si>
    <t>21/03/2022</t>
  </si>
  <si>
    <t>M38</t>
  </si>
  <si>
    <t>BARREIRA SICK C4P-SA18031A00</t>
  </si>
  <si>
    <t>BARREIRA SICK C4P-EA18031C00</t>
  </si>
  <si>
    <t>SUPORTE SICK BEF-1SHABS004</t>
  </si>
  <si>
    <t>SYSTEM PLUG SP1, M12-8 W/O</t>
  </si>
  <si>
    <t>B2202</t>
  </si>
  <si>
    <t>B2201</t>
  </si>
  <si>
    <t>25-mar-22</t>
  </si>
  <si>
    <t>24-mar-22</t>
  </si>
  <si>
    <t>DISJUNTOR CIRCUITO 5SP4391-7   400 V 10KA, 3-POLE, C, 100A, D 70 MM (SIEMENS)</t>
  </si>
  <si>
    <t>02/03/2022</t>
  </si>
  <si>
    <t>20/03/2022</t>
  </si>
  <si>
    <t>03/03/2022</t>
  </si>
  <si>
    <t>04/03/2022</t>
  </si>
  <si>
    <t>22/03/2022</t>
  </si>
  <si>
    <t>19/03/2022</t>
  </si>
  <si>
    <t>16/03/2022</t>
  </si>
  <si>
    <t>13/03/2022</t>
  </si>
  <si>
    <t>29/03/2022</t>
  </si>
  <si>
    <t>RESISTÊNCIA 9KW,  MARCA: GWK - (380V/50/60Hz) - REF: 9051046</t>
  </si>
  <si>
    <t>14/03/2022</t>
  </si>
  <si>
    <t>11/03/2022</t>
  </si>
  <si>
    <t>07/03/2022</t>
  </si>
  <si>
    <t>ACOPLAMENTO STECK TLP16442 16A-9H 200-250V 3P+ VERMELHO MACHO</t>
  </si>
  <si>
    <t>30/03/2022</t>
  </si>
  <si>
    <t>08/03/2022</t>
  </si>
  <si>
    <t>06/03/2022</t>
  </si>
  <si>
    <t>saldo em 31/03/22</t>
  </si>
  <si>
    <t>4-abr-22</t>
  </si>
  <si>
    <t xml:space="preserve">ANILHA PARA SERPENTINA FTACL40 COLLAR 1/4" </t>
  </si>
  <si>
    <t>5-abr-22</t>
  </si>
  <si>
    <t>PARAFUSOS SEXTAVADO ROSCA TOTAL M20 X 100 DUREZA 8.8</t>
  </si>
  <si>
    <t>LAMINA DE CONTATO M36 TIPO  A CHAPA 120X180X3,0MM</t>
  </si>
  <si>
    <t>LAMINA DE CONTATO M36 TIPO  B CHAPA 100X75X0,5mm</t>
  </si>
  <si>
    <t>6-abr-22</t>
  </si>
  <si>
    <t>MICRO FIM DE CURSO 5A 125 250V ~ 10T85 KW11-3Z</t>
  </si>
  <si>
    <t>PISTOLA HOT MELT</t>
  </si>
  <si>
    <t>8-abr-22</t>
  </si>
  <si>
    <t>UNIDADE DE SERVIÇO COMBINADA P/ TRATAMENTO DE AR  - REF. MSB6-1/2-FC7:J3M1  (FESTO)</t>
  </si>
  <si>
    <t>VALVULA DE RETENÇÃO 1/2" MODELO: KA6012 (WERK-SCHOTT)</t>
  </si>
  <si>
    <t>VALVULA  ESFERA 3/8" PN 25</t>
  </si>
  <si>
    <t>PORCA PLASTICA DE PARADA DE 3/4" A-1000</t>
  </si>
  <si>
    <t>BOTÃO EMERGENCIA ABB DSQC679 3HAC028357-025  CE3T-10R-02</t>
  </si>
  <si>
    <t>MEMBRANA KEYPAD FOR ABB ROBOT IRC5 FLEXPENDANT DSQC679 3HAC028357-02</t>
  </si>
  <si>
    <t>1-abr-22</t>
  </si>
  <si>
    <t>01/04/2022</t>
  </si>
  <si>
    <t>09/04/2022</t>
  </si>
  <si>
    <t xml:space="preserve">TIRANTE B-1000-2
</t>
  </si>
  <si>
    <t>12/04/2022</t>
  </si>
  <si>
    <t>11-abr-22</t>
  </si>
  <si>
    <t>11/04/2022</t>
  </si>
  <si>
    <t>14-abr-22</t>
  </si>
  <si>
    <t>GUIA LINEAR THOMSON REF: 411N30B0</t>
  </si>
  <si>
    <t xml:space="preserve">M35  </t>
  </si>
  <si>
    <t>ROLAMENTO  LINEAR MNR: R165171420 (2º OPÇÃO)</t>
  </si>
  <si>
    <t>23/03/2022</t>
  </si>
  <si>
    <t>21-abr-22</t>
  </si>
  <si>
    <t>BICO DO COLEIRO 971 XX604</t>
  </si>
  <si>
    <t>CORREIA DENTADA HTD 339-3M-10MM  (EIXO 5)</t>
  </si>
  <si>
    <t>CORREIA DENTADA HTD SH 20 106 10MM  (EIXO6)</t>
  </si>
  <si>
    <t>25-abr-22</t>
  </si>
  <si>
    <t>04/04/2022</t>
  </si>
  <si>
    <t>VALVULA DUPLO PILOTO BDM 30 COD:1011.52.1.8</t>
  </si>
  <si>
    <t>masd</t>
  </si>
  <si>
    <t xml:space="preserve">CONJUNTO DIAFRAGMA POS.14/15  BDM 160 P/ TRANSFERÊNCIA 1/2" </t>
  </si>
  <si>
    <t>MOLA COMPRESSAO - A-1606</t>
  </si>
  <si>
    <t>GATILHO DE SAIDA - 5917-1 OUTLET POPPET TL-001016-1</t>
  </si>
  <si>
    <t>ENCAIXE – INSERTO DO INTENSIFICADOR  004382-1 COUNTRYOF ORIGIN</t>
  </si>
  <si>
    <t>VALVULA SOLENOIDE 5/2 VIAS COM BOBINA 24VDC</t>
  </si>
  <si>
    <t>08/04/2022</t>
  </si>
  <si>
    <t>17/04/2022</t>
  </si>
  <si>
    <t>18/04/2022</t>
  </si>
  <si>
    <t>19/04/2022</t>
  </si>
  <si>
    <t>20/04/2022</t>
  </si>
  <si>
    <t>21/04/2022</t>
  </si>
  <si>
    <t>22/04/2022</t>
  </si>
  <si>
    <t>23/04/2022</t>
  </si>
  <si>
    <t>24/04/2022</t>
  </si>
  <si>
    <t>25/04/2022</t>
  </si>
  <si>
    <t>26/04/2022</t>
  </si>
  <si>
    <t>27/04/2022</t>
  </si>
  <si>
    <t>28/04/2022</t>
  </si>
  <si>
    <t>29/04/2022</t>
  </si>
  <si>
    <t>30/04/2022</t>
  </si>
  <si>
    <t>saldo em 30/04/22</t>
  </si>
  <si>
    <t>2-mai-22</t>
  </si>
  <si>
    <t>5-mai-22</t>
  </si>
  <si>
    <t>05/05/2022</t>
  </si>
  <si>
    <t>6-mai-22</t>
  </si>
  <si>
    <t>GARRA MACIA TIPO VENTOSA COM ARMACAO DE AÇO REMOVIVEL F153 COM CONEXÃO FEMEAO PVC E FILTRO DE TELA PAA PROTEÇÃO REF&gt; PRCT153 1/2 PIAB B75</t>
  </si>
  <si>
    <t>VALVULA THERMOSTATIC VALVE AVTA 15 Size: G 1/2  Range:+ 25/+65°C Max. Water press.: + 16bar  Cap.tube: 2m Max. Sensor temp: 90°C</t>
  </si>
  <si>
    <t>M37 / M38 / M39</t>
  </si>
  <si>
    <t>3-mai-22</t>
  </si>
  <si>
    <t>TROCADOR DE CALOR DE PLACAS - HYDAC - HEX 5610 1 - NCM 8419.50.10</t>
  </si>
  <si>
    <t>M24 / M25 / M26</t>
  </si>
  <si>
    <t>CONJUNTO DE VALVULA HIDRAULICA DKZOR-AE-171-L5 10 ATOS  E-RI-AE-05F 10</t>
  </si>
  <si>
    <t>C2202</t>
  </si>
  <si>
    <t>ANTIVIBRATÓRIO COXIM 3/8</t>
  </si>
  <si>
    <t>MANIFOLD PARA PISTOLA GRACO 288217</t>
  </si>
  <si>
    <t>MANIFOLD PARA PISTOLA WARNING FLUDO 7BAR DEVIBILLS</t>
  </si>
  <si>
    <t>PISTOLA AUTOMATICA AIR PRO 1.4 GRACO PART NO. 24A749  SERIES B22A</t>
  </si>
  <si>
    <t>GERADOR DE VÁCUO PNEUMÁTICO PIAB CODE: PCL.X2BN.S.10D.SV</t>
  </si>
  <si>
    <t>KIT VED.P/CIL. REPARO ESPECIAL-VITON OC:3479 COD- 22 EXACTCONTROL</t>
  </si>
  <si>
    <t>KIT COMPLET, ESFERA, ASSENTO, DIAFRAGMA TEFLON BOMBA HUSKY 515/716 3/4 E 1/2-2061</t>
  </si>
  <si>
    <t>Mang 1/4 5800 psi c/ term dko + adaptador c/ 1000 + manta de fibra de vidro e silicone - NCM 4009.22.10 Conexão DKO 12s M20 X 1,5</t>
  </si>
  <si>
    <t>M35 FORNO</t>
  </si>
  <si>
    <t>CARCAÇA BIG BLUE VAZÃO ATE 3.000 LITROS/HORA DIMENSÕES EXTERNA DA CARCAÇA: ALTURA 300mm, LARGURA 110mm ENTRADA E SAIDA 3/4"</t>
  </si>
  <si>
    <t>06/05/2022</t>
  </si>
  <si>
    <t>07/05/2022</t>
  </si>
  <si>
    <t>Abraçadeira de Nylon Branco View Tech 4,8 x 380mm 1</t>
  </si>
  <si>
    <t xml:space="preserve">Abraçadeira Nylon 200 Mm X 2,5 Preta Thompson </t>
  </si>
  <si>
    <t>03/05/2022</t>
  </si>
  <si>
    <t>04/05/2022</t>
  </si>
  <si>
    <t>02/05/2022</t>
  </si>
  <si>
    <t>Classificação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</si>
</sst>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quot;R$&quot;#,##0_);[Red]\(&quot;R$&quot;#,##0\)"/>
    <numFmt numFmtId="165" formatCode="&quot;R$&quot;#,##0.00_);[Red]\(&quot;R$&quot;#,##0.00\)"/>
    <numFmt numFmtId="166" formatCode="_(&quot;R$&quot;* #,##0.00_);_(&quot;R$&quot;* \(#,##0.00\);_(&quot;R$&quot;* &quot;-&quot;??_);_(@_)"/>
    <numFmt numFmtId="167" formatCode="_(* #,##0.00_);_(* \(#,##0.00\);_(* &quot;-&quot;??_);_(@_)"/>
    <numFmt numFmtId="168" formatCode="[$-416]d\-mmm\-yy;@"/>
    <numFmt numFmtId="169" formatCode="&quot;R$&quot;\ #,##0.00"/>
    <numFmt numFmtId="170" formatCode="_(&quot;R$ &quot;* #,##0.00_);_(&quot;R$ &quot;* \(#,##0.00\);_(&quot;R$ &quot;* &quot;-&quot;??_);_(@_)"/>
    <numFmt numFmtId="171" formatCode="_-* #,##0_-;\-* #,##0_-;_-* &quot;-&quot;??_-;_-@_-"/>
    <numFmt numFmtId="172" formatCode="_-[$R$-416]\ * #,##0.00_-;\-[$R$-416]\ * #,##0.00_-;_-[$R$-416]\ * &quot;-&quot;??_-;_-@_-"/>
  </numFmts>
  <fonts count="23" x14ac:knownFonts="1">
    <font>
      <sz val="11"/>
      <color theme="1"/>
      <name val="Calibri"/>
      <family val="2"/>
      <scheme val="minor"/>
    </font>
    <font>
      <sz val="12"/>
      <color theme="1"/>
      <name val="Calibri"/>
      <family val="2"/>
      <scheme val="minor"/>
    </font>
    <font>
      <sz val="18"/>
      <color theme="1"/>
      <name val="Calibri"/>
      <family val="2"/>
      <scheme val="minor"/>
    </font>
    <font>
      <sz val="36"/>
      <color theme="1"/>
      <name val="Calibri"/>
      <family val="2"/>
      <scheme val="minor"/>
    </font>
    <font>
      <sz val="36"/>
      <name val="Calibri"/>
      <family val="2"/>
      <scheme val="minor"/>
    </font>
    <font>
      <sz val="20"/>
      <color theme="1"/>
      <name val="Calibri"/>
      <family val="2"/>
      <scheme val="minor"/>
    </font>
    <font>
      <sz val="9"/>
      <color indexed="81"/>
      <name val="Segoe UI"/>
      <family val="2"/>
    </font>
    <font>
      <b/>
      <sz val="9"/>
      <color indexed="81"/>
      <name val="Segoe UI"/>
      <family val="2"/>
    </font>
    <font>
      <sz val="11"/>
      <color theme="1"/>
      <name val="Calibri"/>
      <family val="2"/>
      <scheme val="minor"/>
    </font>
    <font>
      <b/>
      <sz val="11"/>
      <color theme="1"/>
      <name val="Calibri"/>
      <family val="2"/>
      <scheme val="minor"/>
    </font>
    <font>
      <sz val="14"/>
      <color theme="1"/>
      <name val="Calibri"/>
      <family val="2"/>
      <scheme val="minor"/>
    </font>
    <font>
      <sz val="11"/>
      <color theme="0" tint="-4.9989318521683403E-2"/>
      <name val="Calibri"/>
      <family val="2"/>
      <scheme val="minor"/>
    </font>
    <font>
      <sz val="22"/>
      <color theme="1"/>
      <name val="Calibri"/>
      <family val="2"/>
      <scheme val="minor"/>
    </font>
    <font>
      <sz val="12"/>
      <color rgb="FF333333"/>
      <name val="Arial"/>
      <family val="2"/>
    </font>
    <font>
      <sz val="9"/>
      <color indexed="63"/>
      <name val="Calibri"/>
      <family val="2"/>
      <scheme val="minor"/>
    </font>
    <font>
      <sz val="11"/>
      <color rgb="FFFF0000"/>
      <name val="Calibri"/>
      <family val="2"/>
      <scheme val="minor"/>
    </font>
    <font>
      <sz val="11"/>
      <name val="Calibri"/>
      <family val="2"/>
      <scheme val="minor"/>
    </font>
    <font>
      <b/>
      <sz val="14"/>
      <color theme="1"/>
      <name val="Calibri"/>
      <family val="2"/>
      <scheme val="minor"/>
    </font>
    <font>
      <b/>
      <sz val="12"/>
      <color theme="1"/>
      <name val="Calibri"/>
      <family val="2"/>
      <scheme val="minor"/>
    </font>
    <font>
      <b/>
      <sz val="10"/>
      <color rgb="FF002060"/>
      <name val="Segoe UI"/>
      <family val="2"/>
    </font>
    <font>
      <sz val="10"/>
      <color indexed="63"/>
      <name val="Calibri Light"/>
      <family val="1"/>
      <scheme val="major"/>
    </font>
    <font>
      <sz val="12"/>
      <name val="Trebuchet MS"/>
      <family val="2"/>
    </font>
    <font>
      <sz val="12"/>
      <color rgb="FF212529"/>
      <name val="Arial"/>
      <family val="2"/>
    </font>
  </fonts>
  <fills count="14">
    <fill>
      <patternFill patternType="none"/>
    </fill>
    <fill>
      <patternFill patternType="gray125"/>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rgb="FFFFC00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rgb="FF00B0F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right/>
      <top style="thin">
        <color indexed="64"/>
      </top>
      <bottom style="thin">
        <color indexed="64"/>
      </bottom>
      <diagonal/>
    </border>
  </borders>
  <cellStyleXfs count="5">
    <xf numFmtId="0" fontId="0" fillId="0" borderId="0"/>
    <xf numFmtId="9" fontId="8" fillId="0" borderId="0" applyFont="0" applyFill="0" applyBorder="0" applyAlignment="0" applyProtection="0"/>
    <xf numFmtId="166" fontId="8" fillId="0" borderId="0" applyFont="0" applyFill="0" applyBorder="0" applyAlignment="0" applyProtection="0"/>
    <xf numFmtId="167" fontId="8" fillId="0" borderId="0" applyFont="0" applyFill="0" applyBorder="0" applyAlignment="0" applyProtection="0"/>
    <xf numFmtId="166" fontId="8" fillId="0" borderId="0" applyFont="0" applyFill="0" applyBorder="0" applyAlignment="0" applyProtection="0"/>
  </cellStyleXfs>
  <cellXfs count="234">
    <xf numFmtId="0" fontId="0" fillId="0" borderId="0" xfId="0"/>
    <xf numFmtId="0" fontId="3" fillId="0" borderId="0" xfId="0" applyFont="1" applyFill="1" applyProtection="1">
      <protection locked="0"/>
    </xf>
    <xf numFmtId="0" fontId="3" fillId="0" borderId="0" xfId="0" applyFont="1" applyProtection="1">
      <protection locked="0"/>
    </xf>
    <xf numFmtId="0" fontId="0" fillId="0" borderId="0" xfId="0" applyProtection="1">
      <protection locked="0"/>
    </xf>
    <xf numFmtId="14" fontId="0" fillId="0" borderId="0" xfId="0" applyNumberFormat="1" applyProtection="1">
      <protection locked="0"/>
    </xf>
    <xf numFmtId="0" fontId="0" fillId="0" borderId="0" xfId="0" applyProtection="1"/>
    <xf numFmtId="0" fontId="1" fillId="0" borderId="0" xfId="0" applyFont="1" applyAlignment="1" applyProtection="1">
      <alignment vertical="top"/>
      <protection locked="0"/>
    </xf>
    <xf numFmtId="0" fontId="0" fillId="0" borderId="0" xfId="0" applyAlignment="1">
      <alignment horizontal="left"/>
    </xf>
    <xf numFmtId="0" fontId="0" fillId="0" borderId="0" xfId="0" applyNumberFormat="1"/>
    <xf numFmtId="168" fontId="0" fillId="0" borderId="0" xfId="0" applyNumberFormat="1" applyProtection="1">
      <protection locked="0"/>
    </xf>
    <xf numFmtId="0" fontId="3" fillId="0" borderId="0" xfId="0" applyFont="1" applyFill="1" applyAlignment="1" applyProtection="1"/>
    <xf numFmtId="0" fontId="4" fillId="0" borderId="0" xfId="0" applyFont="1" applyFill="1" applyProtection="1"/>
    <xf numFmtId="0" fontId="4" fillId="3" borderId="0" xfId="0" applyFont="1" applyFill="1" applyAlignment="1" applyProtection="1">
      <alignment horizontal="left"/>
    </xf>
    <xf numFmtId="0" fontId="0" fillId="0" borderId="0" xfId="0" applyAlignment="1" applyProtection="1">
      <alignment horizontal="left"/>
      <protection locked="0"/>
    </xf>
    <xf numFmtId="0" fontId="0" fillId="0" borderId="0" xfId="0" applyAlignment="1" applyProtection="1">
      <alignment horizontal="left"/>
    </xf>
    <xf numFmtId="0" fontId="0" fillId="0" borderId="0" xfId="0" applyNumberFormat="1" applyAlignment="1" applyProtection="1">
      <alignment horizontal="left"/>
    </xf>
    <xf numFmtId="0" fontId="3" fillId="2" borderId="0" xfId="0" applyFont="1" applyFill="1" applyAlignment="1" applyProtection="1">
      <alignment horizontal="left"/>
    </xf>
    <xf numFmtId="0" fontId="0" fillId="0" borderId="1" xfId="0" applyBorder="1" applyAlignment="1">
      <alignment horizontal="center"/>
    </xf>
    <xf numFmtId="0" fontId="0" fillId="0" borderId="1" xfId="0" applyBorder="1"/>
    <xf numFmtId="0" fontId="0" fillId="0" borderId="1" xfId="0" applyBorder="1" applyAlignment="1">
      <alignment horizontal="center" vertical="center"/>
    </xf>
    <xf numFmtId="0" fontId="0" fillId="0" borderId="1" xfId="0" applyBorder="1" applyAlignment="1">
      <alignment vertical="center"/>
    </xf>
    <xf numFmtId="0" fontId="0" fillId="0" borderId="0" xfId="0" applyAlignment="1">
      <alignment vertical="center"/>
    </xf>
    <xf numFmtId="3" fontId="0" fillId="0" borderId="0" xfId="0" applyNumberFormat="1" applyAlignment="1" applyProtection="1">
      <alignment horizontal="left"/>
    </xf>
    <xf numFmtId="0" fontId="0" fillId="0" borderId="0" xfId="0" pivotButton="1"/>
    <xf numFmtId="0" fontId="0" fillId="0" borderId="0" xfId="0" applyAlignment="1">
      <alignment horizontal="center"/>
    </xf>
    <xf numFmtId="0" fontId="0" fillId="0" borderId="0" xfId="0" applyAlignment="1">
      <alignment horizontal="left" indent="1"/>
    </xf>
    <xf numFmtId="9" fontId="0" fillId="0" borderId="0" xfId="1" applyFont="1" applyAlignment="1">
      <alignment horizontal="center"/>
    </xf>
    <xf numFmtId="17" fontId="0" fillId="0" borderId="1" xfId="0" applyNumberFormat="1" applyBorder="1" applyAlignment="1">
      <alignment horizontal="center"/>
    </xf>
    <xf numFmtId="9" fontId="0" fillId="0" borderId="1" xfId="1" applyFont="1" applyFill="1" applyBorder="1" applyAlignment="1">
      <alignment horizontal="center"/>
    </xf>
    <xf numFmtId="0" fontId="0" fillId="0" borderId="1" xfId="0" applyBorder="1" applyAlignment="1">
      <alignment horizontal="center" vertical="center" wrapText="1"/>
    </xf>
    <xf numFmtId="0" fontId="0" fillId="0" borderId="1" xfId="0" applyFill="1" applyBorder="1" applyAlignment="1">
      <alignment horizontal="center" vertical="center" wrapText="1"/>
    </xf>
    <xf numFmtId="0" fontId="10" fillId="0" borderId="0" xfId="0" applyFont="1" applyAlignment="1">
      <alignment vertical="center"/>
    </xf>
    <xf numFmtId="0" fontId="2" fillId="0" borderId="0" xfId="0" applyFont="1" applyAlignment="1">
      <alignment vertical="center"/>
    </xf>
    <xf numFmtId="0" fontId="11" fillId="0" borderId="0" xfId="0" applyFont="1"/>
    <xf numFmtId="169" fontId="0" fillId="0" borderId="0" xfId="0" applyNumberFormat="1" applyAlignment="1">
      <alignment horizontal="center"/>
    </xf>
    <xf numFmtId="0" fontId="10" fillId="0" borderId="0" xfId="0" applyFont="1" applyAlignment="1">
      <alignment horizontal="center" vertical="center"/>
    </xf>
    <xf numFmtId="0" fontId="10" fillId="0" borderId="0" xfId="0" applyFont="1"/>
    <xf numFmtId="0" fontId="9" fillId="0" borderId="0" xfId="0" applyFont="1" applyFill="1" applyBorder="1" applyAlignment="1">
      <alignment horizontal="center"/>
    </xf>
    <xf numFmtId="9" fontId="9" fillId="0" borderId="0" xfId="1" applyFont="1" applyFill="1" applyBorder="1" applyAlignment="1">
      <alignment horizontal="center"/>
    </xf>
    <xf numFmtId="9" fontId="0" fillId="0" borderId="0" xfId="1" applyFont="1" applyFill="1" applyBorder="1" applyAlignment="1">
      <alignment horizontal="center"/>
    </xf>
    <xf numFmtId="166" fontId="14" fillId="0" borderId="0" xfId="2" quotePrefix="1" applyFont="1" applyFill="1" applyBorder="1" applyAlignment="1">
      <alignment horizontal="center" vertical="center"/>
    </xf>
    <xf numFmtId="170" fontId="14" fillId="0" borderId="0" xfId="0" applyNumberFormat="1" applyFont="1" applyFill="1" applyBorder="1" applyAlignment="1">
      <alignment horizontal="center" vertical="center"/>
    </xf>
    <xf numFmtId="0" fontId="0" fillId="0" borderId="0" xfId="0" applyFill="1" applyBorder="1"/>
    <xf numFmtId="166" fontId="0" fillId="0" borderId="0" xfId="2" applyFont="1" applyFill="1" applyBorder="1"/>
    <xf numFmtId="0" fontId="0" fillId="0" borderId="0" xfId="0" applyFill="1" applyBorder="1" applyProtection="1"/>
    <xf numFmtId="0" fontId="0" fillId="0" borderId="0" xfId="0" applyAlignment="1" applyProtection="1">
      <alignment vertical="center"/>
      <protection locked="0"/>
    </xf>
    <xf numFmtId="0" fontId="0" fillId="0" borderId="0" xfId="0" applyAlignment="1" applyProtection="1">
      <alignment horizontal="center" vertical="center"/>
      <protection locked="0"/>
    </xf>
    <xf numFmtId="0" fontId="0" fillId="5" borderId="0" xfId="0" applyFill="1" applyAlignment="1" applyProtection="1">
      <alignment vertical="center"/>
      <protection locked="0"/>
    </xf>
    <xf numFmtId="0" fontId="0" fillId="2" borderId="0" xfId="0" applyFill="1" applyAlignment="1" applyProtection="1">
      <alignment vertical="center"/>
      <protection locked="0"/>
    </xf>
    <xf numFmtId="0" fontId="0" fillId="6" borderId="0" xfId="0" applyFill="1" applyAlignment="1" applyProtection="1">
      <alignment vertical="center"/>
      <protection locked="0"/>
    </xf>
    <xf numFmtId="0" fontId="0" fillId="0" borderId="0" xfId="0" applyFill="1" applyAlignment="1" applyProtection="1">
      <alignment horizontal="center" vertical="center"/>
      <protection locked="0"/>
    </xf>
    <xf numFmtId="0" fontId="0" fillId="5" borderId="0" xfId="0" applyFill="1" applyAlignment="1" applyProtection="1">
      <alignment horizontal="center" vertical="center"/>
      <protection locked="0"/>
    </xf>
    <xf numFmtId="0" fontId="0" fillId="6" borderId="0" xfId="0" applyFill="1" applyAlignment="1" applyProtection="1">
      <alignment horizontal="center" vertical="center"/>
      <protection locked="0"/>
    </xf>
    <xf numFmtId="0" fontId="0" fillId="2" borderId="0" xfId="0" applyFill="1" applyAlignment="1" applyProtection="1">
      <alignment horizontal="center" vertical="center"/>
      <protection locked="0"/>
    </xf>
    <xf numFmtId="0" fontId="0" fillId="0" borderId="0" xfId="0" applyAlignment="1" applyProtection="1">
      <alignment vertical="center"/>
    </xf>
    <xf numFmtId="0" fontId="9" fillId="4" borderId="0" xfId="0" applyFont="1" applyFill="1" applyAlignment="1" applyProtection="1">
      <alignment horizontal="right" vertical="center" wrapText="1"/>
    </xf>
    <xf numFmtId="17" fontId="9" fillId="4" borderId="0" xfId="0" applyNumberFormat="1" applyFont="1" applyFill="1" applyAlignment="1" applyProtection="1">
      <alignment horizontal="right" vertical="center" wrapText="1"/>
    </xf>
    <xf numFmtId="166" fontId="18" fillId="4" borderId="0" xfId="2" applyFont="1" applyFill="1" applyAlignment="1" applyProtection="1">
      <alignment vertical="center"/>
    </xf>
    <xf numFmtId="0" fontId="0" fillId="4" borderId="0" xfId="0" applyFill="1"/>
    <xf numFmtId="171" fontId="0" fillId="0" borderId="0" xfId="3" applyNumberFormat="1" applyFont="1" applyBorder="1"/>
    <xf numFmtId="0" fontId="0" fillId="0" borderId="0" xfId="0" applyBorder="1"/>
    <xf numFmtId="167" fontId="0" fillId="0" borderId="0" xfId="3" applyFont="1" applyBorder="1"/>
    <xf numFmtId="3" fontId="0" fillId="0" borderId="0" xfId="0" applyNumberFormat="1"/>
    <xf numFmtId="166" fontId="0" fillId="4" borderId="1" xfId="4" applyFont="1" applyFill="1" applyBorder="1"/>
    <xf numFmtId="171" fontId="0" fillId="4" borderId="1" xfId="3" applyNumberFormat="1" applyFont="1" applyFill="1" applyBorder="1"/>
    <xf numFmtId="0" fontId="0" fillId="4" borderId="0" xfId="0" applyFill="1" applyBorder="1"/>
    <xf numFmtId="167" fontId="0" fillId="4" borderId="1" xfId="3" applyFont="1" applyFill="1" applyBorder="1"/>
    <xf numFmtId="3" fontId="0" fillId="4" borderId="0" xfId="0" applyNumberFormat="1" applyFill="1"/>
    <xf numFmtId="166" fontId="0" fillId="0" borderId="1" xfId="4" applyFont="1" applyBorder="1"/>
    <xf numFmtId="171" fontId="0" fillId="0" borderId="1" xfId="3" applyNumberFormat="1" applyFont="1" applyBorder="1"/>
    <xf numFmtId="167" fontId="0" fillId="0" borderId="1" xfId="3" applyFont="1" applyBorder="1"/>
    <xf numFmtId="166" fontId="9" fillId="10" borderId="0" xfId="4" applyFont="1" applyFill="1"/>
    <xf numFmtId="0" fontId="9" fillId="10" borderId="0" xfId="0" applyFont="1" applyFill="1"/>
    <xf numFmtId="166" fontId="9" fillId="11" borderId="0" xfId="4" applyFont="1" applyFill="1" applyBorder="1"/>
    <xf numFmtId="0" fontId="0" fillId="8" borderId="0" xfId="0" applyFill="1"/>
    <xf numFmtId="3" fontId="0" fillId="8" borderId="0" xfId="0" applyNumberFormat="1" applyFill="1"/>
    <xf numFmtId="167" fontId="0" fillId="8" borderId="1" xfId="3" applyFont="1" applyFill="1" applyBorder="1"/>
    <xf numFmtId="171" fontId="0" fillId="8" borderId="1" xfId="3" applyNumberFormat="1" applyFont="1" applyFill="1" applyBorder="1"/>
    <xf numFmtId="166" fontId="0" fillId="8" borderId="1" xfId="4" applyFont="1" applyFill="1" applyBorder="1"/>
    <xf numFmtId="0" fontId="0" fillId="8" borderId="0" xfId="0" applyFill="1" applyBorder="1"/>
    <xf numFmtId="0" fontId="0" fillId="0" borderId="0" xfId="0" applyAlignment="1" applyProtection="1">
      <alignment horizontal="left" vertical="center"/>
      <protection locked="0"/>
    </xf>
    <xf numFmtId="0" fontId="0" fillId="0" borderId="0" xfId="0" applyAlignment="1" applyProtection="1">
      <alignment horizontal="right"/>
    </xf>
    <xf numFmtId="0" fontId="0" fillId="0" borderId="0" xfId="0" applyBorder="1" applyAlignment="1" applyProtection="1">
      <alignment vertical="center"/>
      <protection locked="0"/>
    </xf>
    <xf numFmtId="0" fontId="0" fillId="0" borderId="0" xfId="0" applyBorder="1" applyAlignment="1" applyProtection="1">
      <alignment horizontal="center" vertical="center"/>
    </xf>
    <xf numFmtId="0" fontId="17" fillId="9" borderId="0" xfId="0" applyFont="1" applyFill="1" applyBorder="1" applyAlignment="1" applyProtection="1">
      <alignment horizontal="right" vertical="center"/>
      <protection locked="0"/>
    </xf>
    <xf numFmtId="0" fontId="0" fillId="0" borderId="0" xfId="0" applyBorder="1" applyAlignment="1" applyProtection="1">
      <alignment vertical="center"/>
    </xf>
    <xf numFmtId="166" fontId="17" fillId="9" borderId="0" xfId="2" applyFont="1" applyFill="1" applyBorder="1" applyAlignment="1" applyProtection="1">
      <alignment vertical="center"/>
    </xf>
    <xf numFmtId="0" fontId="0" fillId="0" borderId="0" xfId="0" applyBorder="1" applyAlignment="1" applyProtection="1">
      <alignment horizontal="center" vertical="center"/>
      <protection locked="0"/>
    </xf>
    <xf numFmtId="0" fontId="0" fillId="0" borderId="0" xfId="0" applyBorder="1" applyAlignment="1" applyProtection="1">
      <alignment horizontal="left" vertical="top"/>
      <protection locked="0"/>
    </xf>
    <xf numFmtId="0" fontId="0" fillId="0" borderId="0" xfId="0" applyBorder="1" applyAlignment="1" applyProtection="1">
      <alignment horizontal="left" vertical="center"/>
    </xf>
    <xf numFmtId="166" fontId="0" fillId="0" borderId="0" xfId="2" applyFont="1" applyBorder="1" applyAlignment="1" applyProtection="1">
      <alignment vertical="center"/>
      <protection locked="0"/>
    </xf>
    <xf numFmtId="166" fontId="0" fillId="0" borderId="0" xfId="2" applyFont="1" applyBorder="1" applyAlignment="1" applyProtection="1">
      <alignment vertical="center"/>
    </xf>
    <xf numFmtId="0" fontId="0" fillId="0" borderId="0" xfId="0" applyFill="1" applyBorder="1" applyAlignment="1" applyProtection="1">
      <alignment vertical="center"/>
      <protection locked="0"/>
    </xf>
    <xf numFmtId="0" fontId="0" fillId="0" borderId="0" xfId="0" applyBorder="1" applyAlignment="1" applyProtection="1">
      <alignment vertical="center" wrapText="1"/>
      <protection locked="0"/>
    </xf>
    <xf numFmtId="0" fontId="0" fillId="5" borderId="0" xfId="0" applyFill="1" applyBorder="1" applyAlignment="1" applyProtection="1">
      <alignment vertical="center"/>
      <protection locked="0"/>
    </xf>
    <xf numFmtId="0" fontId="0" fillId="7" borderId="0" xfId="0" applyFill="1" applyBorder="1" applyAlignment="1" applyProtection="1">
      <alignment vertical="center"/>
      <protection locked="0"/>
    </xf>
    <xf numFmtId="0" fontId="0" fillId="0" borderId="0" xfId="0" applyNumberFormat="1" applyBorder="1" applyAlignment="1" applyProtection="1">
      <alignment vertical="center"/>
    </xf>
    <xf numFmtId="0" fontId="13" fillId="0" borderId="0" xfId="0" applyFont="1" applyBorder="1" applyAlignment="1" applyProtection="1">
      <alignment vertical="center" wrapText="1"/>
      <protection locked="0"/>
    </xf>
    <xf numFmtId="0" fontId="12" fillId="0" borderId="0" xfId="0" applyFont="1" applyBorder="1" applyAlignment="1" applyProtection="1">
      <alignment vertical="center"/>
      <protection locked="0"/>
    </xf>
    <xf numFmtId="0" fontId="0" fillId="0" borderId="0" xfId="0" applyBorder="1" applyAlignment="1" applyProtection="1">
      <alignment horizontal="left" vertical="center"/>
      <protection locked="0"/>
    </xf>
    <xf numFmtId="0" fontId="12" fillId="0" borderId="0" xfId="0" applyFont="1" applyBorder="1" applyAlignment="1" applyProtection="1">
      <alignment horizontal="center" vertical="center"/>
      <protection locked="0"/>
    </xf>
    <xf numFmtId="0" fontId="0" fillId="0" borderId="3" xfId="0" applyBorder="1" applyAlignment="1" applyProtection="1">
      <alignment vertical="center"/>
      <protection locked="0"/>
    </xf>
    <xf numFmtId="166" fontId="0" fillId="0" borderId="0" xfId="2" applyFont="1" applyAlignment="1" applyProtection="1">
      <alignment vertical="center"/>
      <protection locked="0"/>
    </xf>
    <xf numFmtId="166" fontId="0" fillId="0" borderId="0" xfId="2" applyFont="1" applyAlignment="1" applyProtection="1">
      <alignment vertical="center"/>
    </xf>
    <xf numFmtId="0" fontId="0" fillId="0" borderId="0" xfId="0" applyNumberFormat="1" applyAlignment="1" applyProtection="1">
      <alignment vertical="center"/>
    </xf>
    <xf numFmtId="0" fontId="0" fillId="4" borderId="0" xfId="0" applyFill="1" applyAlignment="1" applyProtection="1">
      <alignment horizontal="center" vertical="center"/>
      <protection locked="0"/>
    </xf>
    <xf numFmtId="0" fontId="0" fillId="7" borderId="0" xfId="0" applyFill="1" applyAlignment="1" applyProtection="1">
      <alignment vertical="center"/>
      <protection locked="0"/>
    </xf>
    <xf numFmtId="0" fontId="0" fillId="5" borderId="0" xfId="0" applyFill="1" applyBorder="1" applyAlignment="1" applyProtection="1">
      <alignment horizontal="center" vertical="center"/>
      <protection locked="0"/>
    </xf>
    <xf numFmtId="166" fontId="0" fillId="5" borderId="0" xfId="2" applyFont="1" applyFill="1" applyBorder="1" applyAlignment="1" applyProtection="1">
      <alignment vertical="center"/>
      <protection locked="0"/>
    </xf>
    <xf numFmtId="166" fontId="0" fillId="5" borderId="0" xfId="2" applyFont="1" applyFill="1" applyBorder="1" applyAlignment="1" applyProtection="1">
      <alignment vertical="center"/>
    </xf>
    <xf numFmtId="0" fontId="0" fillId="5" borderId="0" xfId="0" applyFill="1" applyBorder="1" applyAlignment="1" applyProtection="1">
      <alignment vertical="center"/>
    </xf>
    <xf numFmtId="14" fontId="0" fillId="0" borderId="0" xfId="0" applyNumberFormat="1"/>
    <xf numFmtId="166" fontId="0" fillId="7" borderId="0" xfId="2" applyFont="1" applyFill="1" applyBorder="1" applyAlignment="1" applyProtection="1">
      <alignment vertical="center"/>
    </xf>
    <xf numFmtId="0" fontId="0" fillId="13" borderId="0" xfId="0" applyFill="1" applyAlignment="1" applyProtection="1">
      <alignment vertical="center"/>
      <protection locked="0"/>
    </xf>
    <xf numFmtId="0" fontId="0" fillId="13" borderId="0" xfId="0" applyFill="1" applyAlignment="1" applyProtection="1">
      <alignment horizontal="center" vertical="center"/>
      <protection locked="0"/>
    </xf>
    <xf numFmtId="0" fontId="0" fillId="13" borderId="0" xfId="0" applyFill="1" applyBorder="1" applyAlignment="1" applyProtection="1">
      <alignment vertical="center"/>
      <protection locked="0"/>
    </xf>
    <xf numFmtId="0" fontId="0" fillId="7" borderId="0" xfId="0" applyFill="1" applyAlignment="1" applyProtection="1">
      <alignment horizontal="center" vertical="center"/>
      <protection locked="0"/>
    </xf>
    <xf numFmtId="0" fontId="0" fillId="7" borderId="0" xfId="0" applyFill="1" applyBorder="1" applyAlignment="1" applyProtection="1">
      <alignment vertical="center" wrapText="1"/>
      <protection locked="0"/>
    </xf>
    <xf numFmtId="0" fontId="0" fillId="7" borderId="0" xfId="0" applyFill="1" applyBorder="1" applyAlignment="1" applyProtection="1">
      <alignment horizontal="center" vertical="center"/>
      <protection locked="0"/>
    </xf>
    <xf numFmtId="166" fontId="0" fillId="7" borderId="0" xfId="2" applyFont="1" applyFill="1" applyBorder="1" applyAlignment="1" applyProtection="1">
      <alignment vertical="center"/>
      <protection locked="0"/>
    </xf>
    <xf numFmtId="0" fontId="0" fillId="7" borderId="0" xfId="0" applyFill="1" applyBorder="1" applyAlignment="1" applyProtection="1">
      <alignment vertical="center"/>
    </xf>
    <xf numFmtId="0" fontId="0" fillId="3" borderId="0" xfId="0" applyFill="1" applyAlignment="1" applyProtection="1">
      <alignment horizontal="center" vertical="center"/>
      <protection locked="0"/>
    </xf>
    <xf numFmtId="0" fontId="15" fillId="0" borderId="0" xfId="0" applyFont="1" applyBorder="1" applyAlignment="1" applyProtection="1">
      <alignment vertical="center"/>
      <protection locked="0"/>
    </xf>
    <xf numFmtId="0" fontId="0" fillId="0" borderId="0" xfId="0" applyAlignment="1" applyProtection="1">
      <alignment horizontal="center" vertical="center"/>
    </xf>
    <xf numFmtId="165" fontId="0" fillId="0" borderId="0" xfId="0" applyNumberFormat="1" applyBorder="1" applyAlignment="1" applyProtection="1">
      <alignment vertical="center"/>
    </xf>
    <xf numFmtId="0" fontId="0" fillId="0" borderId="0" xfId="0" applyBorder="1" applyAlignment="1" applyProtection="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164" fontId="0" fillId="0" borderId="0" xfId="0" applyNumberFormat="1" applyAlignment="1" applyProtection="1">
      <alignment horizontal="center" vertical="center"/>
    </xf>
    <xf numFmtId="0" fontId="19" fillId="0" borderId="0" xfId="0" applyFont="1" applyAlignment="1">
      <alignment horizontal="center"/>
    </xf>
    <xf numFmtId="0" fontId="0" fillId="0" borderId="0" xfId="0" applyNumberFormat="1" applyAlignment="1" applyProtection="1">
      <alignment horizontal="center" vertical="center"/>
    </xf>
    <xf numFmtId="166" fontId="0" fillId="0" borderId="0" xfId="0" applyNumberFormat="1" applyAlignment="1" applyProtection="1">
      <alignment vertical="center"/>
    </xf>
    <xf numFmtId="0" fontId="0" fillId="3" borderId="0" xfId="0" applyFont="1" applyFill="1" applyAlignment="1" applyProtection="1">
      <alignment horizontal="center" vertical="center"/>
      <protection locked="0"/>
    </xf>
    <xf numFmtId="0" fontId="0" fillId="2" borderId="0" xfId="0" applyFont="1" applyFill="1" applyAlignment="1" applyProtection="1">
      <alignment horizontal="center" vertical="center"/>
      <protection locked="0"/>
    </xf>
    <xf numFmtId="3" fontId="0" fillId="0" borderId="0" xfId="0" applyNumberFormat="1" applyBorder="1" applyAlignment="1" applyProtection="1">
      <alignment vertical="center"/>
    </xf>
    <xf numFmtId="166" fontId="17" fillId="7" borderId="0" xfId="2" applyFont="1" applyFill="1" applyBorder="1" applyAlignment="1" applyProtection="1">
      <alignment vertical="center"/>
    </xf>
    <xf numFmtId="0" fontId="9" fillId="7" borderId="0" xfId="0" applyFont="1" applyFill="1" applyBorder="1" applyAlignment="1" applyProtection="1">
      <alignment horizontal="right" vertical="center" wrapText="1"/>
    </xf>
    <xf numFmtId="16" fontId="0" fillId="0" borderId="0" xfId="0" applyNumberFormat="1" applyProtection="1">
      <protection locked="0"/>
    </xf>
    <xf numFmtId="0" fontId="0" fillId="5" borderId="0" xfId="0" applyFill="1" applyBorder="1" applyAlignment="1" applyProtection="1">
      <alignment horizontal="center" vertical="center"/>
    </xf>
    <xf numFmtId="0" fontId="16" fillId="0" borderId="0" xfId="0" applyFont="1" applyAlignment="1">
      <alignment horizontal="left"/>
    </xf>
    <xf numFmtId="0" fontId="0" fillId="0" borderId="0" xfId="0" applyFill="1" applyAlignment="1" applyProtection="1">
      <alignment vertical="center"/>
      <protection locked="0"/>
    </xf>
    <xf numFmtId="0" fontId="0" fillId="0" borderId="0" xfId="0" applyNumberFormat="1" applyFill="1" applyAlignment="1" applyProtection="1">
      <alignment horizontal="center" vertical="center"/>
    </xf>
    <xf numFmtId="166" fontId="0" fillId="0" borderId="0" xfId="2" applyFont="1" applyFill="1" applyAlignment="1" applyProtection="1">
      <alignment vertical="center"/>
      <protection locked="0"/>
    </xf>
    <xf numFmtId="166" fontId="0" fillId="0" borderId="0" xfId="2" applyFont="1" applyFill="1" applyAlignment="1" applyProtection="1">
      <alignment vertical="center"/>
    </xf>
    <xf numFmtId="0" fontId="0" fillId="0" borderId="0" xfId="0" applyFill="1" applyAlignment="1" applyProtection="1">
      <alignment vertical="center"/>
    </xf>
    <xf numFmtId="166" fontId="0" fillId="0" borderId="0" xfId="0" applyNumberFormat="1" applyFill="1" applyAlignment="1" applyProtection="1">
      <alignment vertical="center"/>
    </xf>
    <xf numFmtId="0" fontId="0" fillId="0" borderId="0" xfId="0" applyNumberFormat="1" applyFill="1" applyAlignment="1" applyProtection="1">
      <alignment vertical="center"/>
    </xf>
    <xf numFmtId="0" fontId="0" fillId="7" borderId="0" xfId="0" applyFill="1" applyBorder="1" applyAlignment="1" applyProtection="1">
      <alignment horizontal="center" vertical="center"/>
    </xf>
    <xf numFmtId="0" fontId="0" fillId="5" borderId="0" xfId="0" applyNumberFormat="1" applyFill="1" applyBorder="1" applyAlignment="1" applyProtection="1">
      <alignment vertical="center"/>
    </xf>
    <xf numFmtId="166" fontId="0" fillId="5" borderId="0" xfId="2" applyFont="1" applyFill="1" applyAlignment="1" applyProtection="1">
      <alignment vertical="center"/>
      <protection locked="0"/>
    </xf>
    <xf numFmtId="166" fontId="0" fillId="5" borderId="0" xfId="2" applyFont="1" applyFill="1" applyAlignment="1" applyProtection="1">
      <alignment vertical="center"/>
    </xf>
    <xf numFmtId="0" fontId="0" fillId="5" borderId="0" xfId="0" applyFill="1" applyAlignment="1" applyProtection="1">
      <alignment vertical="center"/>
    </xf>
    <xf numFmtId="0" fontId="0" fillId="5" borderId="0" xfId="0" applyNumberFormat="1" applyFill="1" applyAlignment="1" applyProtection="1">
      <alignment vertical="center"/>
    </xf>
    <xf numFmtId="0" fontId="0" fillId="7" borderId="0" xfId="0" applyNumberFormat="1" applyFill="1" applyBorder="1" applyAlignment="1" applyProtection="1">
      <alignment vertical="center"/>
    </xf>
    <xf numFmtId="0" fontId="16" fillId="5" borderId="0" xfId="0" applyFont="1" applyFill="1" applyAlignment="1" applyProtection="1">
      <alignment vertical="center"/>
      <protection locked="0"/>
    </xf>
    <xf numFmtId="0" fontId="0" fillId="6" borderId="0" xfId="0" applyFill="1" applyBorder="1" applyAlignment="1" applyProtection="1">
      <alignment vertical="center"/>
      <protection locked="0"/>
    </xf>
    <xf numFmtId="166" fontId="0" fillId="7" borderId="0" xfId="2" applyFont="1" applyFill="1" applyAlignment="1" applyProtection="1">
      <alignment vertical="center"/>
      <protection locked="0"/>
    </xf>
    <xf numFmtId="166" fontId="0" fillId="7" borderId="0" xfId="2" applyFont="1" applyFill="1" applyAlignment="1" applyProtection="1">
      <alignment vertical="center"/>
    </xf>
    <xf numFmtId="0" fontId="0" fillId="7" borderId="0" xfId="0" applyFill="1" applyAlignment="1" applyProtection="1">
      <alignment vertical="center"/>
    </xf>
    <xf numFmtId="0" fontId="0" fillId="7" borderId="0" xfId="0" applyNumberFormat="1" applyFill="1" applyAlignment="1" applyProtection="1">
      <alignment vertical="center"/>
    </xf>
    <xf numFmtId="0" fontId="0" fillId="5" borderId="0" xfId="0" applyNumberFormat="1" applyFill="1" applyAlignment="1" applyProtection="1">
      <alignment horizontal="center" vertical="center"/>
    </xf>
    <xf numFmtId="166" fontId="0" fillId="5" borderId="0" xfId="0" applyNumberFormat="1" applyFill="1" applyAlignment="1" applyProtection="1">
      <alignment vertical="center"/>
    </xf>
    <xf numFmtId="0" fontId="16" fillId="5" borderId="0" xfId="0" applyFont="1" applyFill="1" applyAlignment="1" applyProtection="1">
      <alignment horizontal="center" vertical="center"/>
      <protection locked="0"/>
    </xf>
    <xf numFmtId="0" fontId="16" fillId="5" borderId="0" xfId="0" applyFont="1" applyFill="1" applyBorder="1" applyAlignment="1" applyProtection="1">
      <alignment vertical="center"/>
      <protection locked="0"/>
    </xf>
    <xf numFmtId="0" fontId="16" fillId="5" borderId="0" xfId="0" applyFont="1" applyFill="1" applyBorder="1" applyAlignment="1" applyProtection="1">
      <alignment horizontal="center" vertical="center"/>
    </xf>
    <xf numFmtId="0" fontId="16" fillId="5" borderId="0" xfId="0" applyFont="1" applyFill="1" applyBorder="1" applyAlignment="1" applyProtection="1">
      <alignment horizontal="center" vertical="center"/>
      <protection locked="0"/>
    </xf>
    <xf numFmtId="166" fontId="16" fillId="5" borderId="0" xfId="2" applyFont="1" applyFill="1" applyBorder="1" applyAlignment="1" applyProtection="1">
      <alignment vertical="center"/>
      <protection locked="0"/>
    </xf>
    <xf numFmtId="166" fontId="16" fillId="5" borderId="0" xfId="2" applyFont="1" applyFill="1" applyBorder="1" applyAlignment="1" applyProtection="1">
      <alignment vertical="center"/>
    </xf>
    <xf numFmtId="0" fontId="16" fillId="5" borderId="0" xfId="0" applyFont="1" applyFill="1" applyBorder="1" applyAlignment="1" applyProtection="1">
      <alignment vertical="center"/>
    </xf>
    <xf numFmtId="0" fontId="0" fillId="5" borderId="0" xfId="0" applyFont="1" applyFill="1" applyAlignment="1" applyProtection="1">
      <alignment vertical="center"/>
      <protection locked="0"/>
    </xf>
    <xf numFmtId="0" fontId="0" fillId="5" borderId="0" xfId="0" applyFont="1" applyFill="1" applyAlignment="1" applyProtection="1">
      <alignment horizontal="center" vertical="center"/>
      <protection locked="0"/>
    </xf>
    <xf numFmtId="0" fontId="0" fillId="5" borderId="0" xfId="0" applyFont="1" applyFill="1" applyBorder="1" applyAlignment="1" applyProtection="1">
      <alignment vertical="center"/>
      <protection locked="0"/>
    </xf>
    <xf numFmtId="0" fontId="0" fillId="5" borderId="0" xfId="0" applyFont="1" applyFill="1" applyBorder="1" applyAlignment="1" applyProtection="1">
      <alignment horizontal="center" vertical="center"/>
    </xf>
    <xf numFmtId="0" fontId="0" fillId="5" borderId="0" xfId="0" applyFont="1" applyFill="1" applyBorder="1" applyAlignment="1" applyProtection="1">
      <alignment horizontal="center" vertical="center"/>
      <protection locked="0"/>
    </xf>
    <xf numFmtId="0" fontId="0" fillId="5" borderId="0" xfId="0" applyFont="1" applyFill="1" applyBorder="1" applyAlignment="1" applyProtection="1">
      <alignment vertical="center"/>
    </xf>
    <xf numFmtId="0" fontId="0" fillId="5" borderId="0" xfId="0" applyFill="1" applyBorder="1"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left" vertical="top" wrapText="1"/>
      <protection locked="0"/>
    </xf>
    <xf numFmtId="0" fontId="1" fillId="0" borderId="0" xfId="0" applyFont="1" applyAlignment="1" applyProtection="1">
      <alignment vertical="center"/>
      <protection locked="0"/>
    </xf>
    <xf numFmtId="0" fontId="0" fillId="4" borderId="0" xfId="0" applyFill="1" applyProtection="1">
      <protection locked="0"/>
    </xf>
    <xf numFmtId="166" fontId="18" fillId="4" borderId="0" xfId="2" applyFont="1" applyFill="1" applyBorder="1" applyAlignment="1" applyProtection="1">
      <alignment vertical="center"/>
    </xf>
    <xf numFmtId="0" fontId="13" fillId="0" borderId="0" xfId="0" applyFont="1" applyAlignment="1">
      <alignment horizontal="left" vertical="top" wrapText="1"/>
    </xf>
    <xf numFmtId="0" fontId="0" fillId="7" borderId="0" xfId="0" applyFill="1" applyProtection="1"/>
    <xf numFmtId="0" fontId="0" fillId="7" borderId="0" xfId="0" applyNumberFormat="1" applyFill="1" applyAlignment="1" applyProtection="1">
      <alignment horizontal="left"/>
    </xf>
    <xf numFmtId="0" fontId="0" fillId="7" borderId="0" xfId="0" applyFill="1" applyAlignment="1" applyProtection="1">
      <alignment horizontal="right"/>
    </xf>
    <xf numFmtId="0" fontId="0" fillId="7" borderId="0" xfId="0" applyFill="1" applyProtection="1">
      <protection locked="0"/>
    </xf>
    <xf numFmtId="0" fontId="0" fillId="7" borderId="0" xfId="0" applyFill="1"/>
    <xf numFmtId="0" fontId="0" fillId="5" borderId="0" xfId="0" applyFill="1" applyProtection="1"/>
    <xf numFmtId="0" fontId="0" fillId="5" borderId="0" xfId="0" applyFill="1" applyAlignment="1" applyProtection="1">
      <alignment horizontal="left"/>
    </xf>
    <xf numFmtId="0" fontId="0" fillId="5" borderId="0" xfId="0" applyFill="1" applyAlignment="1" applyProtection="1">
      <alignment horizontal="right"/>
    </xf>
    <xf numFmtId="0" fontId="0" fillId="5" borderId="0" xfId="0" applyFill="1" applyProtection="1">
      <protection locked="0"/>
    </xf>
    <xf numFmtId="0" fontId="0" fillId="5" borderId="0" xfId="0" applyFill="1"/>
    <xf numFmtId="0" fontId="0" fillId="0" borderId="0" xfId="0" applyFont="1"/>
    <xf numFmtId="0" fontId="0" fillId="5" borderId="0" xfId="0" applyNumberFormat="1" applyFill="1" applyAlignment="1" applyProtection="1">
      <alignment horizontal="left"/>
    </xf>
    <xf numFmtId="0" fontId="0" fillId="7" borderId="0" xfId="0" applyFill="1" applyAlignment="1" applyProtection="1">
      <alignment horizontal="left"/>
    </xf>
    <xf numFmtId="0" fontId="21" fillId="0" borderId="0" xfId="0" applyFont="1" applyAlignment="1">
      <alignment horizontal="left" vertical="center" wrapText="1"/>
    </xf>
    <xf numFmtId="0" fontId="15" fillId="7" borderId="0" xfId="0" applyFont="1" applyFill="1" applyBorder="1" applyAlignment="1" applyProtection="1">
      <alignment vertical="center"/>
      <protection locked="0"/>
    </xf>
    <xf numFmtId="0" fontId="16" fillId="7" borderId="0" xfId="0" applyFont="1" applyFill="1" applyBorder="1" applyAlignment="1" applyProtection="1">
      <alignment vertical="center"/>
      <protection locked="0"/>
    </xf>
    <xf numFmtId="0" fontId="16" fillId="5" borderId="0" xfId="0" applyNumberFormat="1" applyFont="1" applyFill="1" applyBorder="1" applyAlignment="1" applyProtection="1">
      <alignment vertical="center"/>
    </xf>
    <xf numFmtId="166" fontId="18" fillId="4" borderId="0" xfId="2" applyFont="1" applyFill="1"/>
    <xf numFmtId="0" fontId="22" fillId="0" borderId="0" xfId="0" applyFont="1"/>
    <xf numFmtId="0" fontId="0" fillId="0" borderId="0" xfId="0" applyFont="1" applyBorder="1" applyAlignment="1" applyProtection="1">
      <alignment vertical="center"/>
      <protection locked="0"/>
    </xf>
    <xf numFmtId="0" fontId="16" fillId="0" borderId="0" xfId="0" applyFont="1" applyBorder="1" applyAlignment="1" applyProtection="1">
      <alignment vertical="center"/>
      <protection locked="0"/>
    </xf>
    <xf numFmtId="0" fontId="16" fillId="0" borderId="0" xfId="0" applyFont="1" applyAlignment="1" applyProtection="1">
      <alignment vertical="center"/>
      <protection locked="0"/>
    </xf>
    <xf numFmtId="0" fontId="16" fillId="0" borderId="0" xfId="0" applyFont="1" applyBorder="1" applyAlignment="1" applyProtection="1">
      <alignment vertical="center" wrapText="1"/>
      <protection locked="0"/>
    </xf>
    <xf numFmtId="0" fontId="0" fillId="0" borderId="0" xfId="0" applyAlignment="1">
      <alignment horizontal="center" vertical="center"/>
    </xf>
    <xf numFmtId="0" fontId="0" fillId="0" borderId="0" xfId="0" applyFont="1" applyAlignment="1" applyProtection="1">
      <alignment vertical="center"/>
      <protection locked="0"/>
    </xf>
    <xf numFmtId="0" fontId="0" fillId="4" borderId="0" xfId="0" applyFill="1" applyAlignment="1">
      <alignment horizontal="center" vertical="center"/>
    </xf>
    <xf numFmtId="0" fontId="0" fillId="4" borderId="0" xfId="0" applyFill="1" applyAlignment="1">
      <alignment horizontal="center"/>
    </xf>
    <xf numFmtId="0" fontId="0" fillId="4" borderId="0" xfId="0" applyFill="1" applyAlignment="1">
      <alignment vertical="center"/>
    </xf>
    <xf numFmtId="0" fontId="16" fillId="7" borderId="0" xfId="0" applyFont="1" applyFill="1" applyAlignment="1" applyProtection="1">
      <alignment horizontal="center" vertical="center"/>
      <protection locked="0"/>
    </xf>
    <xf numFmtId="0" fontId="0" fillId="12" borderId="0" xfId="0" applyFill="1" applyBorder="1" applyAlignment="1" applyProtection="1">
      <alignment horizontal="left" vertical="center"/>
      <protection locked="0"/>
    </xf>
    <xf numFmtId="166" fontId="0" fillId="0" borderId="0" xfId="2" applyFont="1"/>
    <xf numFmtId="172" fontId="18" fillId="4" borderId="0" xfId="0" applyNumberFormat="1" applyFont="1" applyFill="1"/>
    <xf numFmtId="0" fontId="0" fillId="0" borderId="0" xfId="0" applyFont="1" applyAlignment="1" applyProtection="1">
      <alignment horizontal="center" vertical="center"/>
      <protection locked="0"/>
    </xf>
    <xf numFmtId="0" fontId="0" fillId="0" borderId="0" xfId="0" applyFont="1" applyBorder="1" applyAlignment="1" applyProtection="1">
      <alignment horizontal="center" vertical="center"/>
      <protection locked="0"/>
    </xf>
    <xf numFmtId="0" fontId="0" fillId="0" borderId="0" xfId="0" applyFont="1" applyBorder="1" applyAlignment="1" applyProtection="1">
      <alignment horizontal="center" vertical="center"/>
    </xf>
    <xf numFmtId="0" fontId="0" fillId="0" borderId="0" xfId="0" applyFont="1" applyBorder="1" applyAlignment="1" applyProtection="1">
      <alignment vertical="center"/>
    </xf>
    <xf numFmtId="0" fontId="0" fillId="0" borderId="0" xfId="0" applyAlignment="1" applyProtection="1">
      <alignment vertical="top" wrapText="1"/>
      <protection locked="0"/>
    </xf>
    <xf numFmtId="0" fontId="0" fillId="5" borderId="0" xfId="0" applyFill="1" applyBorder="1" applyAlignment="1" applyProtection="1">
      <alignment vertical="center" wrapText="1"/>
      <protection locked="0"/>
    </xf>
    <xf numFmtId="0" fontId="0" fillId="0" borderId="0" xfId="0" applyNumberFormat="1" applyAlignment="1" applyProtection="1">
      <alignment horizontal="right"/>
    </xf>
    <xf numFmtId="0" fontId="20" fillId="0" borderId="0" xfId="0" applyFont="1" applyFill="1" applyBorder="1" applyAlignment="1">
      <alignment horizontal="left" vertical="center" wrapText="1"/>
    </xf>
    <xf numFmtId="0" fontId="0" fillId="5" borderId="13" xfId="0" applyFill="1" applyBorder="1" applyAlignment="1" applyProtection="1">
      <alignment vertical="center"/>
      <protection locked="0"/>
    </xf>
    <xf numFmtId="0" fontId="10" fillId="0" borderId="2" xfId="0" applyFont="1" applyBorder="1" applyAlignment="1">
      <alignment horizontal="center" vertical="center"/>
    </xf>
    <xf numFmtId="0" fontId="12" fillId="0" borderId="0" xfId="0" applyFont="1" applyAlignment="1">
      <alignment horizontal="center" vertical="center"/>
    </xf>
    <xf numFmtId="0" fontId="5" fillId="0" borderId="1" xfId="0" applyFont="1" applyBorder="1" applyAlignment="1">
      <alignment horizontal="center"/>
    </xf>
    <xf numFmtId="0" fontId="5" fillId="0" borderId="0" xfId="0" applyFont="1" applyAlignment="1">
      <alignment horizontal="center" vertical="center"/>
    </xf>
  </cellXfs>
  <cellStyles count="5">
    <cellStyle name="Moeda" xfId="2" builtinId="4"/>
    <cellStyle name="Moeda 2" xfId="4" xr:uid="{00000000-0005-0000-0000-000001000000}"/>
    <cellStyle name="Normal" xfId="0" builtinId="0"/>
    <cellStyle name="Porcentagem" xfId="1" builtinId="5"/>
    <cellStyle name="Vírgula 2" xfId="3" xr:uid="{00000000-0005-0000-0000-000004000000}"/>
  </cellStyles>
  <dxfs count="918">
    <dxf>
      <font>
        <color auto="1"/>
      </font>
    </dxf>
    <dxf>
      <fill>
        <patternFill patternType="solid">
          <bgColor rgb="FFFFFF00"/>
        </patternFill>
      </fill>
    </dxf>
    <dxf>
      <fill>
        <patternFill patternType="solid">
          <bgColor rgb="FF00B050"/>
        </patternFill>
      </fill>
    </dxf>
    <dxf>
      <fill>
        <patternFill patternType="solid">
          <bgColor rgb="FFFF0000"/>
        </patternFill>
      </fill>
    </dxf>
    <dxf>
      <font>
        <color auto="1"/>
      </font>
    </dxf>
    <dxf>
      <font>
        <color rgb="FFFF0000"/>
      </font>
    </dxf>
    <dxf>
      <font>
        <color rgb="FF00B050"/>
      </font>
    </dxf>
    <dxf>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alignment horizontal="left" vertical="bottom" textRotation="0" wrapText="0" indent="0" justifyLastLine="0" shrinkToFit="0" readingOrder="0"/>
      <protection locked="1"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numFmt numFmtId="0" formatCode="General"/>
      <alignment horizontal="left" vertical="bottom" textRotation="0" wrapText="0" indent="0" justifyLastLine="0" shrinkToFit="0" readingOrder="0"/>
      <protection locked="1" hidden="0"/>
    </dxf>
    <dxf>
      <alignment horizontal="left" vertical="bottom" textRotation="0" wrapText="0" indent="0" justifyLastLine="0" shrinkToFit="0" readingOrder="0"/>
      <protection locked="1" hidden="0"/>
    </dxf>
    <dxf>
      <protection locked="0" hidden="0"/>
    </dxf>
    <dxf>
      <protection locked="0" hidden="0"/>
    </dxf>
    <dxf>
      <alignment vertical="center" textRotation="0" indent="0" justifyLastLine="0" shrinkToFit="0" readingOrder="0"/>
      <protection locked="0" hidden="0"/>
    </dxf>
    <dxf>
      <numFmt numFmtId="0" formatCode="General"/>
      <alignment vertical="center" textRotation="0" indent="0" justifyLastLine="0" shrinkToFit="0" readingOrder="0"/>
      <protection locked="1" hidden="0"/>
    </dxf>
    <dxf>
      <numFmt numFmtId="0" formatCode="General"/>
      <alignment vertical="center" textRotation="0" indent="0" justifyLastLine="0" shrinkToFit="0" readingOrder="0"/>
      <protection locked="1" hidden="0"/>
    </dxf>
    <dxf>
      <numFmt numFmtId="166" formatCode="_(&quot;R$&quot;* #,##0.00_);_(&quot;R$&quot;* \(#,##0.00\);_(&quot;R$&quot;* &quot;-&quot;??_);_(@_)"/>
      <alignment vertical="center" textRotation="0" indent="0" justifyLastLine="0" shrinkToFit="0" readingOrder="0"/>
      <protection locked="1" hidden="0"/>
    </dxf>
    <dxf>
      <alignment horizontal="general" vertical="center" textRotation="0" wrapText="0" indent="0" justifyLastLine="0" shrinkToFit="0" readingOrder="0"/>
      <protection locked="1" hidden="0"/>
    </dxf>
    <dxf>
      <alignment horizontal="general" vertical="center" textRotation="0" wrapText="0" indent="0" justifyLastLine="0" shrinkToFit="0" readingOrder="0"/>
      <protection locked="1" hidden="0"/>
    </dxf>
    <dxf>
      <alignment vertical="center" textRotation="0" indent="0" justifyLastLine="0" shrinkToFit="0" readingOrder="0"/>
      <protection locked="1" hidden="0"/>
    </dxf>
    <dxf>
      <alignment vertical="center" textRotation="0" indent="0" justifyLastLine="0" shrinkToFit="0" readingOrder="0"/>
      <protection locked="1" hidden="0"/>
    </dxf>
    <dxf>
      <alignment vertical="center" textRotation="0" indent="0" justifyLastLine="0" shrinkToFit="0" readingOrder="0"/>
      <protection locked="1" hidden="0"/>
    </dxf>
    <dxf>
      <numFmt numFmtId="166" formatCode="_(&quot;R$&quot;* #,##0.00_);_(&quot;R$&quot;* \(#,##0.00\);_(&quot;R$&quot;* &quot;-&quot;??_);_(@_)"/>
      <alignment vertical="center" textRotation="0" indent="0" justifyLastLine="0" shrinkToFit="0" readingOrder="0"/>
      <protection locked="1" hidden="0"/>
    </dxf>
    <dxf>
      <alignment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0"/>
    </dxf>
    <dxf>
      <alignment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general" vertical="center" textRotation="0" wrapText="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horizontal="general" vertical="center" textRotation="0" wrapText="0" indent="0" justifyLastLine="0" shrinkToFit="0" readingOrder="0"/>
      <protection locked="0" hidden="0"/>
    </dxf>
    <dxf>
      <alignment horizontal="general" vertical="center" textRotation="0" wrapText="0" indent="0" justifyLastLine="0" shrinkToFit="0" readingOrder="0"/>
      <protection locked="0" hidden="0"/>
    </dxf>
    <dxf>
      <alignment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fill>
        <patternFill patternType="solid">
          <fgColor indexed="64"/>
          <bgColor rgb="FF00B050"/>
        </patternFill>
      </fill>
      <alignment horizontal="general" vertical="center" textRotation="0" wrapText="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alignment vertical="center" textRotation="0" indent="0" justifyLastLine="0" shrinkToFit="0" readingOrder="0"/>
      <protection locked="0" hidden="0"/>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FF00"/>
        </patternFill>
      </fill>
    </dxf>
    <dxf>
      <fill>
        <patternFill>
          <bgColor rgb="FF00B050"/>
        </patternFill>
      </fill>
    </dxf>
    <dxf>
      <numFmt numFmtId="169" formatCode="&quot;R$&quot;\ #,##0.00"/>
    </dxf>
    <dxf>
      <alignment horizontal="center" readingOrder="0"/>
    </dxf>
    <dxf>
      <alignment horizontal="center" readingOrder="0"/>
    </dxf>
    <dxf>
      <fill>
        <patternFill patternType="solid">
          <bgColor rgb="FFFF0000"/>
        </patternFill>
      </fill>
    </dxf>
    <dxf>
      <fill>
        <patternFill patternType="solid">
          <bgColor rgb="FFFFFF00"/>
        </patternFill>
      </fill>
    </dxf>
    <dxf>
      <fill>
        <patternFill patternType="solid">
          <bgColor rgb="FF00B050"/>
        </patternFill>
      </fill>
    </dxf>
    <dxf>
      <font>
        <color rgb="FFFF0000"/>
      </font>
    </dxf>
  </dxfs>
  <tableStyles count="0" defaultTableStyle="TableStyleMedium2" defaultPivotStyle="PivotStyleLight16"/>
  <colors>
    <mruColors>
      <color rgb="FFFF3333"/>
      <color rgb="FF33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ACURACIDADE</a:t>
            </a:r>
            <a:r>
              <a:rPr lang="pt-BR" baseline="0"/>
              <a:t> DE ESTOQUE - MANUTENÇÃO</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scatterChart>
        <c:scatterStyle val="lineMarker"/>
        <c:varyColors val="0"/>
        <c:ser>
          <c:idx val="0"/>
          <c:order val="0"/>
          <c:tx>
            <c:strRef>
              <c:f>'DADOS INDICADORES'!$B$1</c:f>
              <c:strCache>
                <c:ptCount val="1"/>
                <c:pt idx="0">
                  <c:v>OBJETIVO</c:v>
                </c:pt>
              </c:strCache>
            </c:strRef>
          </c:tx>
          <c:spPr>
            <a:ln w="19050" cap="rnd">
              <a:solidFill>
                <a:srgbClr val="FFFF00"/>
              </a:solidFill>
              <a:round/>
            </a:ln>
            <a:effectLst/>
          </c:spPr>
          <c:marker>
            <c:symbol val="none"/>
          </c:marker>
          <c:xVal>
            <c:numRef>
              <c:f>'DADOS INDICADORES'!$A$2:$A$13</c:f>
              <c:numCache>
                <c:formatCode>mmm\-yy</c:formatCode>
                <c:ptCount val="12"/>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numCache>
            </c:numRef>
          </c:xVal>
          <c:yVal>
            <c:numRef>
              <c:f>'DADOS INDICADORES'!$B$2:$B$13</c:f>
              <c:numCache>
                <c:formatCode>0%</c:formatCode>
                <c:ptCount val="12"/>
                <c:pt idx="0">
                  <c:v>0.95</c:v>
                </c:pt>
                <c:pt idx="1">
                  <c:v>0.95</c:v>
                </c:pt>
                <c:pt idx="2">
                  <c:v>0.95</c:v>
                </c:pt>
                <c:pt idx="3">
                  <c:v>0.95</c:v>
                </c:pt>
                <c:pt idx="4">
                  <c:v>0.95</c:v>
                </c:pt>
                <c:pt idx="5">
                  <c:v>0.95</c:v>
                </c:pt>
                <c:pt idx="6">
                  <c:v>0.95</c:v>
                </c:pt>
                <c:pt idx="7">
                  <c:v>1</c:v>
                </c:pt>
                <c:pt idx="8">
                  <c:v>1</c:v>
                </c:pt>
                <c:pt idx="9">
                  <c:v>1</c:v>
                </c:pt>
                <c:pt idx="10">
                  <c:v>1</c:v>
                </c:pt>
                <c:pt idx="11">
                  <c:v>1</c:v>
                </c:pt>
              </c:numCache>
            </c:numRef>
          </c:yVal>
          <c:smooth val="0"/>
          <c:extLst>
            <c:ext xmlns:c16="http://schemas.microsoft.com/office/drawing/2014/chart" uri="{C3380CC4-5D6E-409C-BE32-E72D297353CC}">
              <c16:uniqueId val="{00000000-34C0-414A-BF55-874BFA44AEDF}"/>
            </c:ext>
          </c:extLst>
        </c:ser>
        <c:ser>
          <c:idx val="1"/>
          <c:order val="1"/>
          <c:tx>
            <c:strRef>
              <c:f>'DADOS INDICADORES'!$C$1</c:f>
              <c:strCache>
                <c:ptCount val="1"/>
                <c:pt idx="0">
                  <c:v>ACURACIDADE</c:v>
                </c:pt>
              </c:strCache>
            </c:strRef>
          </c:tx>
          <c:spPr>
            <a:ln w="19050" cap="rnd">
              <a:solidFill>
                <a:schemeClr val="tx1"/>
              </a:solidFill>
              <a:round/>
            </a:ln>
            <a:effectLst/>
          </c:spPr>
          <c:marker>
            <c:symbol val="circle"/>
            <c:size val="5"/>
            <c:spPr>
              <a:solidFill>
                <a:schemeClr val="tx1"/>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'DADOS INDICADORES'!$A$2:$A$13</c:f>
              <c:numCache>
                <c:formatCode>mmm\-yy</c:formatCode>
                <c:ptCount val="12"/>
                <c:pt idx="0">
                  <c:v>43466</c:v>
                </c:pt>
                <c:pt idx="1">
                  <c:v>43497</c:v>
                </c:pt>
                <c:pt idx="2">
                  <c:v>43525</c:v>
                </c:pt>
                <c:pt idx="3">
                  <c:v>43556</c:v>
                </c:pt>
                <c:pt idx="4">
                  <c:v>43586</c:v>
                </c:pt>
                <c:pt idx="5">
                  <c:v>43617</c:v>
                </c:pt>
                <c:pt idx="6">
                  <c:v>43647</c:v>
                </c:pt>
                <c:pt idx="7">
                  <c:v>43678</c:v>
                </c:pt>
                <c:pt idx="8">
                  <c:v>43709</c:v>
                </c:pt>
                <c:pt idx="9">
                  <c:v>43739</c:v>
                </c:pt>
                <c:pt idx="10">
                  <c:v>43770</c:v>
                </c:pt>
                <c:pt idx="11">
                  <c:v>43800</c:v>
                </c:pt>
              </c:numCache>
            </c:numRef>
          </c:xVal>
          <c:yVal>
            <c:numRef>
              <c:f>'DADOS INDICADORES'!$C$2:$C$13</c:f>
              <c:numCache>
                <c:formatCode>0%</c:formatCode>
                <c:ptCount val="12"/>
                <c:pt idx="0">
                  <c:v>0</c:v>
                </c:pt>
                <c:pt idx="1">
                  <c:v>0</c:v>
                </c:pt>
                <c:pt idx="2">
                  <c:v>0</c:v>
                </c:pt>
                <c:pt idx="3">
                  <c:v>0</c:v>
                </c:pt>
                <c:pt idx="4">
                  <c:v>0.96</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34C0-414A-BF55-874BFA44AEDF}"/>
            </c:ext>
          </c:extLst>
        </c:ser>
        <c:dLbls>
          <c:showLegendKey val="0"/>
          <c:showVal val="0"/>
          <c:showCatName val="0"/>
          <c:showSerName val="0"/>
          <c:showPercent val="0"/>
          <c:showBubbleSize val="0"/>
        </c:dLbls>
        <c:axId val="-86005216"/>
        <c:axId val="-86004672"/>
      </c:scatterChart>
      <c:valAx>
        <c:axId val="-86005216"/>
        <c:scaling>
          <c:orientation val="minMax"/>
        </c:scaling>
        <c:delete val="0"/>
        <c:axPos val="b"/>
        <c:majorGridlines>
          <c:spPr>
            <a:ln w="9525" cap="flat" cmpd="sng" algn="ctr">
              <a:solidFill>
                <a:schemeClr val="tx1">
                  <a:lumMod val="15000"/>
                  <a:lumOff val="85000"/>
                </a:schemeClr>
              </a:solidFill>
              <a:round/>
            </a:ln>
            <a:effectLst/>
          </c:spPr>
        </c:majorGridlines>
        <c:numFmt formatCode="mmm\-yy"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004672"/>
        <c:crosses val="autoZero"/>
        <c:crossBetween val="midCat"/>
      </c:valAx>
      <c:valAx>
        <c:axId val="-8600467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0052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217714</xdr:colOff>
      <xdr:row>23</xdr:row>
      <xdr:rowOff>140153</xdr:rowOff>
    </xdr:from>
    <xdr:to>
      <xdr:col>8</xdr:col>
      <xdr:colOff>476249</xdr:colOff>
      <xdr:row>39</xdr:row>
      <xdr:rowOff>79276</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582706</xdr:colOff>
      <xdr:row>2</xdr:row>
      <xdr:rowOff>0</xdr:rowOff>
    </xdr:from>
    <xdr:to>
      <xdr:col>5</xdr:col>
      <xdr:colOff>621195</xdr:colOff>
      <xdr:row>21</xdr:row>
      <xdr:rowOff>149087</xdr:rowOff>
    </xdr:to>
    <xdr:cxnSp macro="">
      <xdr:nvCxnSpPr>
        <xdr:cNvPr id="4" name="Conector reto 3">
          <a:extLst>
            <a:ext uri="{FF2B5EF4-FFF2-40B4-BE49-F238E27FC236}">
              <a16:creationId xmlns:a16="http://schemas.microsoft.com/office/drawing/2014/main" id="{00000000-0008-0000-0000-000004000000}"/>
            </a:ext>
          </a:extLst>
        </xdr:cNvPr>
        <xdr:cNvCxnSpPr/>
      </xdr:nvCxnSpPr>
      <xdr:spPr>
        <a:xfrm>
          <a:off x="5900141" y="853109"/>
          <a:ext cx="38489" cy="3768587"/>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206375</xdr:colOff>
      <xdr:row>0</xdr:row>
      <xdr:rowOff>47625</xdr:rowOff>
    </xdr:from>
    <xdr:to>
      <xdr:col>1</xdr:col>
      <xdr:colOff>111125</xdr:colOff>
      <xdr:row>0</xdr:row>
      <xdr:rowOff>269531</xdr:rowOff>
    </xdr:to>
    <xdr:pic>
      <xdr:nvPicPr>
        <xdr:cNvPr id="2" name="Imagem 1">
          <a:extLst>
            <a:ext uri="{FF2B5EF4-FFF2-40B4-BE49-F238E27FC236}">
              <a16:creationId xmlns:a16="http://schemas.microsoft.com/office/drawing/2014/main" id="{00000000-0008-0000-0500-000002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5558" b="27586"/>
        <a:stretch/>
      </xdr:blipFill>
      <xdr:spPr bwMode="auto">
        <a:xfrm>
          <a:off x="206375" y="47625"/>
          <a:ext cx="1127125" cy="2219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2700">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Allan Neves da Silva" refreshedDate="43707.577866087966" createdVersion="5" refreshedVersion="5" minRefreshableVersion="3" recordCount="1262" xr:uid="{00000000-000A-0000-FFFF-FFFF01000000}">
  <cacheSource type="worksheet">
    <worksheetSource name="TAB_ESTOQUE"/>
  </cacheSource>
  <cacheFields count="30">
    <cacheField name="Código" numFmtId="0">
      <sharedItems containsBlank="1" containsMixedTypes="1" containsNumber="1" containsInteger="1" minValue="1" maxValue="9999"/>
    </cacheField>
    <cacheField name="STATUS" numFmtId="0">
      <sharedItems containsBlank="1" count="15">
        <s v="OK"/>
        <m/>
        <s v="          OK" u="1"/>
        <s v="         OK" u="1"/>
        <s v="             OK" u="1"/>
        <s v="Estoque em nivel Minimo [ EMITIR SOLICITAÇÃO DE COMPRAS]" u="1"/>
        <s v="Estoque Conforme [ MANTER ACOES DE ROTINA]" u="1"/>
        <s v="Inventário" u="1"/>
        <s v="Estoque em Zero [ VERIFICAR SOLICITAÇÃO E INFORMAR A GESTAO, ACOES DE FOLLOW-UP]" u="1"/>
        <s v="            OK" u="1"/>
        <s v="Estoque em Nivel Minimo" u="1"/>
        <s v="           OK" u="1"/>
        <s v="        OK" u="1"/>
        <s v="Estoque Conforme" u="1"/>
        <s v="Estoque Não Conforme" u="1"/>
      </sharedItems>
    </cacheField>
    <cacheField name="Classificação (ABC)" numFmtId="0">
      <sharedItems containsBlank="1"/>
    </cacheField>
    <cacheField name="Código2" numFmtId="0">
      <sharedItems/>
    </cacheField>
    <cacheField name="Maquina" numFmtId="0">
      <sharedItems containsBlank="1"/>
    </cacheField>
    <cacheField name="Classe" numFmtId="0">
      <sharedItems containsBlank="1" count="7">
        <s v="ELETRICO"/>
        <s v="MECANICO"/>
        <s v="PNEUMATICO"/>
        <m/>
        <s v="ITEM CRITICO" u="1"/>
        <s v="CRITICO" u="1"/>
        <s v="ITEM NÃO CRITICO" u="1"/>
      </sharedItems>
    </cacheField>
    <cacheField name="C/ custo" numFmtId="0">
      <sharedItems containsBlank="1"/>
    </cacheField>
    <cacheField name="Sap" numFmtId="0">
      <sharedItems containsBlank="1" containsMixedTypes="1" containsNumber="1" containsInteger="1" minValue="183166" maxValue="900532"/>
    </cacheField>
    <cacheField name="Descrição Tecnica" numFmtId="0">
      <sharedItems containsBlank="1" count="2080">
        <s v="ELETRODUTO DE FIXAÇÃO DE PAINEL"/>
        <s v="FITA ISOLANTE PARA/ ALTA TENSÃO SCOTCH 23 - AUTOFUSÃO 19MM X 10M"/>
        <s v="FITA ISOLANTE PROFISSIONAL PRETA  / 19MM X 20M 33+"/>
        <s v="TOMADAS DE 10 E 20 AMPERES "/>
        <s v="REATOR ELETRÔNICO PHILIPS 2X32W 127/230V - REF. EB232A16/26P"/>
        <s v="PLUG STECK QUICK 2P+T10A MACHO"/>
        <s v="PLUG FEMEA QUICK STECK 2P+T 10A"/>
        <s v="FUSIVEL CERAMICO RESISTENCIAS DO PARSEL SHELF 10A"/>
        <s v="FUSIVEL DE VIDRO 1,5A"/>
        <s v="FUSIVEL DE VIDRO  2,5A"/>
        <s v="FUSIVEL DE VIDRO  3A"/>
        <s v="FUSIVEL DE VIDRO 4A"/>
        <s v="FUSIVEL DE VIDRO  6A"/>
        <s v="FUSIVEL CARTUCHO ULTRA RAPIDO 10X38 4A"/>
        <s v="FUSIVEL CARTUCHO ULTRA RAPIDO 10X38 2A"/>
        <s v="FUSIVEL CARTUCHO ULTRA RAPIDO 10X38 6A"/>
        <s v="FUSIVEL CARTUCHO ULTRA RAPIDO 10X38 10A"/>
        <s v="AMORTECEDOR DE IMPACTO PARA PORTA DE PAINEL"/>
        <s v="BLOCO DE CONTATO AUXILIAR 3HR2911-1FA22"/>
        <s v="SENSOR FIM DE CURSO XCKM110 X1"/>
        <s v="CONECTOR DO CONTROLE DO ROBO"/>
        <s v="SENSOR FIM DE CURSO ACIONAMENTO ROLETE XCKN2118G11"/>
        <s v="BOTÃO DE PRESSÃO CABEÇA DUPLA XB5AW7A3740B5"/>
        <s v="RELE DE NIVEL  NC-COM-NO"/>
        <s v="CHAVE PARA CONTATO ABERTO FECHADO ZB2BE102"/>
        <s v="ACESSORIO BALLUFF"/>
        <s v="CABO CONECTOR SICK 2022279"/>
        <s v="DISTRIBUIDOR DE CONTATO PHOENIX D18D08"/>
        <s v="BARRA PARA CONFECÇÃO DE CHAVETA"/>
        <s v="REGUA COM ROLAMENTO PARA TROCA RAPIDA Roll bar with hydraulic. Increase R. A. T.-Article No. 58292 8.1834.5150 - L=1600mm_x000a__x000a_"/>
        <s v="SISTEMA X PARA CABEAMENTO CONTROLADOR POR NIVEL"/>
        <s v="TUBO HIDRAULICO PARA MONTAGEM DO SISTEMA DE TROCA RAPIDA TUBO HIDRAULICO 8mm de 6m"/>
        <s v="DISJUNTOR TRIPOLAR ROBUSTO EZC100N GB 14048.2"/>
        <s v="DISJUNTOR SERIE SD61 20A 1P CURVA C 3KA REF: SDD61C20     457460018 STECK"/>
        <s v="INTERRUPTOR DIFERENCIAL RESIDUAL EZ9R33240 2P-40A-30mA-AC"/>
        <s v="DISJUNTOR TERMOMAGNETICO EZ9F33316 (SCHNEIDER)"/>
        <s v="DISJUNTOR TRIPOLAR DZ47-63 LUKMA 50/60Hz"/>
        <s v="DISJUNTOR MOTOR IEC-EN 60947 MS116-1.0 1SAM250000R1005 (ABB)"/>
        <s v="DISJUNTOR MOTOR TERMOMAGNETICO GV2 ME06 1-1.6A"/>
        <s v="DISJUNTOR MOTOR GZ1M14 6-10A (SCHNEIDER)"/>
        <s v="DISJUNTOR MOTOR TERMOMAGNÉTICO SCHNEIDER  - REF. GV2-ME08C / 2.5-4A"/>
        <s v="BLOCO DE CONTATOS AUXILIARES FRONTAIS  - 3RH2911-1GA40 (SIEMENS)"/>
        <s v="DISJUNTOR MONOPOLAR 20A EZ9F13120 (SCHNEIDER)"/>
        <s v="BASE C/ RELÉ SLIM PRT8-1/ JZ1RC3 24VDC METALTEX PRT8-1 (HIGHEND)"/>
        <s v="CONTATO AUXILIAR IEC 60947 10A 10MM WEG"/>
        <s v="CONTATO AUX PARA DISJUNTOR MOTOR GVAE11"/>
        <s v="DISJUNTOR MOTOR GZ1E32  X1  32A    Easy TVS-056791  (SCHINEIDER)"/>
        <s v="CORPO FIM DE CURSO ZCP 21 M12 X1  GB14048.5"/>
        <s v="DISJUNTOR MOTOR GZ1E03 GB14048.2 GB14048.4 (SCHINEIDER)"/>
        <s v="SUPORTE PARA RELE FINDER 95.95.3"/>
        <s v="DISJUNTOR MOTOR  GV2ME-16 X1   9-14A (SCHINEIDER)"/>
        <s v="RELE TERMICO DE SOBRECARGA LRD05 IEC-EM  60947-4-1 (SCHNEIDER)"/>
        <s v=" CONTATOR TRIPOLAR  SCHNEIDER -  REF. LC1D09-M7"/>
        <s v="BLOCO TERMINAL PARA RELE TERMICO LAD7B106 35X50,70 M4"/>
        <s v="DISJUNTOR BIPOLAR EZ9F33206 IEC 60898-1   220V (SCHNEIDER) C6"/>
        <s v="RELE DE NIVEL WEG RNW-ENE09 (WEG)"/>
        <s v="DISJUNTOR MONOPOLAR 5SL11 MCB C6 IEC 60898-1 (SIEMENS)"/>
        <s v="BOTOEIRA C/ SINALIZAÇÃO BRANCA BHS - REF. HB2-BE101, 1NO Ø22MM BA9S VMAX 220V BHS"/>
        <s v="COOLLER 220VAC 60HZ 1.4W 0,10A , F2E - 1205 - 230"/>
        <s v="BOTOEIRA C/ SINALIZAÇÃO VERDE BHS - REF. TY-15A, 1NO Ø22MM BA9S VMAX 220V TY-15A BHS"/>
        <s v="BASE PARA FUSIVEL CERAMICO (WOHNER)"/>
        <s v="BOTOEIRA C/ SINALIZAÇÃO AZUL BHS - REF. TY-13C, 1NO Ø22MM BA9S VMAX 220V TY-13C BHS"/>
        <s v="BASE COM FUSIVEL ETI 16A 002322009"/>
        <s v="BOTÃO DE EMERGENCIA - TIPO C - IEC60947-5-5 (ABB)"/>
        <s v="SUPRESSOR DE SURTO SIEMENS 3RT2916-1DG00 (SIEMENS)"/>
        <s v="CABEÇA P/ BOTÃO DE EMERGÊNCIA REF. ZB5 AS 834 (SCHNEIDER)"/>
        <s v="CONTROLADOR DE TEMPERATURA HW4900 PN: 8120200224"/>
        <s v="FUSÍVEL CARTUCHO P/ BARRAMENTO 40A 500VAC NP5873 - AMERICAN FUSE NP5873"/>
        <s v="PLUG P/ CABO PROFINET IE FC RJ45 PLUG 180 - REF. 6GK1901-1BB10-2AA0 6GK1901-1BB10-2AA0 SIEMENS"/>
        <s v="CHAVE SECCIONADORA COMANDO MANUAL TRIPOLAR NSX100-160-250"/>
        <s v="DISJUNTOR TRIPOLAR EZC630N3600N"/>
        <s v="FITA DE FIBRA P/ ALAT TEMPERATURA 3M COLEIRO"/>
        <s v="CAIXA BOTOEIRA C/ BOTÃO DE EMERGÊNCIA SIEMENS - REF. 3SB3 801-0EG3"/>
        <s v="ELETRODUTO RIGIDO ANTICHAMA PVC 3/4&quot;"/>
        <s v="MOTOBOMBA DE VACUO WEG IP55 855Hz"/>
        <s v="CABO FLEX UNIPOLAR  1,5MM² -  BOBINA 100M CAIXA COM 100M CABO FLEX 1,5MM² AZ LAPP KABEL"/>
        <s v="CABO FLEX UNIPOLAR AZUL 1MM² -  BOBINA 100M CABO FLEX 1MM³ LA LAPP KABEL"/>
        <s v="CABO FLEX UNIPOLAR AZUL+BRANCO 1MM² - LAPP KABEL - BOBINA 100M CABO FLEX 1MM³ AZ+BR LAPP KABEL"/>
        <s v="CABO X05V-K1,MM VARIADOR"/>
        <s v="TAMPA CEGA PARA CONDULETES"/>
        <s v="SUPORTE PARA TOMADA RIGIDA"/>
        <s v="CHAVE SECCIONADORA P/ FUSÍVEL NH TAMAHO 00 - IMAX. 160A - SIEMENS - REF. 3NP1133-1CA10"/>
        <s v="CONTACTOR LC1  D09BD SCHNEIDER 25A "/>
        <s v="CONTACTOR TRIPOLAR 25A (WEG) REF. CWC025-00-30V26 "/>
        <s v="CONTATOR DE FORÇA AC-3: 9A 400V 380V 4KW 10E 1NO DC 24V SIEMENS"/>
        <s v="CONTATOR DE FORÇA AC-3: 12A 400V 380V 5.5KW 10E 1NO SIEMENS "/>
        <s v="CONTATOR DE FORÇA AC-3: 18A 400V 380V 7.5KW 10E 1NO"/>
        <s v="CAIXA BOTOEIRA P/ BOTÃO DE COMANDO - MOD. LAY5-BOX1/W (LUKMA ELETRONIC)"/>
        <s v="PLUG VERMELHO 3P+T 32A 6H - MACHO"/>
        <s v="ACOPLAMENTO STECK N4256 32A-6h 380V 440V 3P+ 052794 FEMEA"/>
        <s v="ACOPLAMENTO STECK N3056 16A-6h 200V 250V 2P+ OSN20568 FEMEA"/>
        <s v="PLUG NEWKON 2P+T 16A 200/250V AZ IP44 SETCK - REF. N3076"/>
        <s v="ACOPLAMENTO STECK N3006 2P+16A-6h 200-250V OSN24818 FEMEA"/>
        <s v="ACOPLAMENTO MAGNETICO P/ JUNTA MOTOR E BOMBA PARA ISOCIANATO GANTRY"/>
        <s v="ACOPLAMENTO MAGNETICO P/ JUNÇÃO MOTOR E BOMBA  PARA BOMBA DE POLYOL GANTRY"/>
        <s v="AMORTECEDOR MOLA GÁS 250N"/>
        <s v="PRENSA TERMINAL AÇO 240MM"/>
        <s v="PRENSA TERMINAL AÇO KL10/6"/>
        <s v="PRENSA TERMINAL AÇO KL25/8"/>
        <s v="PRENSA TERMINAL AÇO 25MM"/>
        <s v="PRENSA TERMINAL AÇO 35"/>
        <s v="PRENSA TERMINAL AÇO 50MM"/>
        <s v="CAPA DO BICO ROBO COLA GTI PRO EFFICLENCY PN:ITW-PRO-102-TE40-K  DEVILBISS"/>
        <s v="LENÇOL DE PROTEÇÃO DO ROBO "/>
        <s v="BASE PARA PISTOLA COBRA 2 DEVIBILLS"/>
        <s v="EIXO DA BOMBA DE ENGRENAGEM 0.6CC BARMAG (ATIVADOR) "/>
        <s v="EIXO DA BOMBA DE ENGRENAGEM 6CC (COLA)"/>
        <s v="FILTRO DESSECANTI"/>
        <s v="MATERIAL PARA REPARO DA BOMBA DE COLA E ENGRENAGEM "/>
        <s v="BASE PARA PISTOLA DE COLA DO TETO GRACO"/>
        <s v="KIT REPARO AUTOMATICO DE FLUIDOS GRACO"/>
        <s v="KIT DE ACESSORIOS PARA CPU E FLEXPENDENT"/>
        <s v="KIT REPARO DO ROBO "/>
        <s v="PLACA SMB"/>
        <s v="SENSOR DE TEMPERATURA SBWZ"/>
        <s v="TELA DO SKANER"/>
        <s v="LAMPADA FLUORESCENTE 28W T5 4000K"/>
        <s v="LAMPADAS FLUORESCENTES 54W 4000K COOL WHITE80 PHILIPS"/>
        <s v="SUPORTE PARA LUMINARIA PARA LAMPADAS FLUORESCENTES 54W 4000K COOL WHITE80 PHILIPS"/>
        <s v="IHM TS680 TOUCHSYSTEM CODE 9320680 SERIAL 141425 (FLATECK Nº R005549)"/>
        <s v="IHM SIEMENS TP700 6AV2 124-0GC01-0AX0"/>
        <s v="IHM SIEMENS KTP400 6AV6 647-0AA11-3AX0"/>
        <s v="CONECTOR PARA CABO DE SENSOR 90 GRAUS M12 5 PINOS FEMEA"/>
        <s v="CONECTOR PARA CABO DE SENSOR RETO M12 5 PINOS FEMEA"/>
        <s v="SENSOR SCHMERSAL 101128195 ES12.18.2 BNS 33-12Z 2187 NR1015305492"/>
        <s v="SENSOR DE SEGURANÇA MAGNETICO BPS33 SCHMERSAL"/>
        <s v="SENSOR INDUTIVO BLINDADO 134439 NCB1,5-18GM60"/>
        <s v="SENSOR INDUTIVO DO SITEMA BES 516-370-6-E5-Y54/BR"/>
        <s v="CONECTOR CIRCULAR 5 PINOS  "/>
        <s v="TAMPÃO PROTETOR R161933920 REXROT"/>
        <s v="CONECTOR PARA CABO DE SENSOR   MACHO E FEMEA"/>
        <s v="SENSOR DE PROXIMIDADE PARA CILINDRO SMPO-8E FESTO"/>
        <s v="SENSOR DE PROXIMIDADE SME-8M-DS-24V (FESTO)"/>
        <s v="DIODO MURR 3124015"/>
        <s v="SENSOR INDUTIVO M08 COM CONECTOR M12"/>
        <s v="SENSOR INDUTIVO M12 XS112B3PAM12 TELEMAQUINIC"/>
        <s v="CONECTOR XZCC43FCP40B TELEMAQUINIC"/>
        <s v="SENSOR INDUTIVO DM3/OP-1H SICK"/>
        <s v="CONECTOR DE CABO M12 3RK1901 SIEMENS"/>
        <s v="SENSOR DE SEGRANÇA EMISSOR E RECEPTOR XU2S18PP340D TELEMAQUINIC"/>
        <s v="CONECTOR PARA CABO N11RFF SICK"/>
        <s v="SENSOR INDUTIVO IME12-04BP"/>
        <s v="SENSOR DE PROXIMIDADE INDUTIVO IMB TIPO: IMB08-02BPSVT0S  COD:  1070168 (SICK)"/>
        <s v="SENSOR OPTICO SICK"/>
        <s v="SENSOR OPTICO XUK0AKSAM12"/>
        <s v="ESPELHO REFLETIVO PARA SENSOR SICK"/>
        <s v="SENSOR FOTO ELETRICO QS18V P6MPQ5 BANNER"/>
        <s v="CHAVE SELETORA LUMINOSA ABB M2SS1-42C11"/>
        <s v="SENSOR FIM DE CURSO  XCKM115 X1"/>
        <s v="CHAVE FIM DE CURSO 3SE5114 SIMENS"/>
        <s v="SENSOR FIM DE CURSO XCKJ ZCKJ1 TELEMAQUINIC"/>
        <s v="BASE PARA RELE RUZC3M 10A SIEMENS"/>
        <s v="CONTATO PARA BOTOEIRA NC+NO SIEMENS"/>
        <s v="CONTROLADOR DE TEMPERATURA ATR142"/>
        <s v="CONECTOR PARA CORTINA DE LUZ 20222791438/YCJ8"/>
        <s v="CABO E CONECTOR DA BARREIRA DE LUZ NR 733 549"/>
        <s v="ATUADOR P/ SENSOR MAGNÉTICO PILZ PSEN CS 3.1 - IDENT. NO. 541080 PILZ"/>
        <s v="SENSOR MAGNÉTICO P/ PORTA PILZ PSEN CS 3.1A - IDENT. NO. 511061  PILZ"/>
        <s v="SELO/RAPARO EM NYLON DE ALTA PRESSÃO P/INTENSIFICADOR J5/HYPER SEAL ASSEMBLY 20422243 KMT"/>
        <s v="ESTEIRA ROLANTE INDACO"/>
        <s v="ESTEIRA ROLANTE ALTA TEMPERATURA"/>
        <s v="CHAVE V5 IEC- EM 60947-3 125A 3R1349"/>
        <s v="TRANSFORMADOR DE TENSÃO POT.200W PRIM. 440V SEC. 220V FREQ. 50/60Hz "/>
        <s v="FONTE DE ALIMENTAÇÃO CHAVEADA - TRIFÁSICA 3X380-500VAC - DC24V 20A - REF. ABL8 WPS24200 SCHNEIDER ELECTRIC"/>
        <s v="TERMORESISTENCIA PT-100 3F 2,0MT 8,0MM"/>
        <s v="CONTATOR DE FORÇA 24VAC LC1D09B7 (SCHINEDER)"/>
        <s v="CONTATOR TRIPOLAR 32A 24VCC LC1 D32B7"/>
        <s v="BLOCO TEMPORIZADOR SCHNEIDER LADT2 TESYS - 038589 - 0,1-30S 1NO+1NC SCHNEIDER ELECTRIC"/>
        <s v="CONTATOR DE FORÇA LC1E32 IEC-EN60947-4-1 230V"/>
        <s v="CONTACTOR AUXILIAR  - REF.LC1K0901B7 (SCHNEIDER)"/>
        <s v="DISJUNTOR TRIPOLAR 32A"/>
        <s v="DISJUNTOR MOTOR 65A SCHINAIDER"/>
        <s v="MONITORADOR DE CORRENTE 716410 LUTZE"/>
        <s v="FUSÍVEL NH SIEMENS - REF. 3NA3 822, 63A 500V"/>
        <s v="FUSÍVEL FERRAZ SHAWMUT - REF. NH000GG500V80, 80A 500VCA"/>
        <s v="CABO COM CONECTOR M12 4 PINOS XZCP124L10 TELEMAQUINIC"/>
        <s v="CONTATO AUXILIAR DE POTÊNCIA TIPO-N SCHNEIDER - REF. 055192 VZ13"/>
        <s v="SENSOR ULTRASONICO CALANDRAS DA GLASUTEC UC4000-L2-E6-V15"/>
        <s v="MÓDULO DE SEGURANÇA P/ SIST. EMERGÊNCIA XPSAF5121 SCHNEIDER"/>
        <s v="TERMOSTATO DE CONTATO IMIT TIPO TC2 LSC1 1750 - COD. 542470, T80 1K/MIN IP40 0-90°C TC2 LSC11750"/>
        <s v="MÓDULO DE SEGURANÇA P/ SIST. EMERGÊNCIA XPSAF5130 SCHNEIDER PREVENTA"/>
        <s v="DISJUNTOR MONOPOLAR 2A"/>
        <s v="CONTROLADOR DE TEMPERATURA 6001 RDR01"/>
        <s v="BOTÃO PULSADOR XB5AC21"/>
        <s v="BOTÃO COMUTADOR 2 POSIÇÕES C/ CHAVE REF. TY-12E BHS,  1NO"/>
        <s v="SAIDA DO PONTO MODULAR TYPE:GRT1-0D8-1"/>
        <s v="BOTOEIRA  C/ SINALIZAÇÃO AMARELO BHS - REF. TY-09C, 1NO Ø22MM BA9S VMAX 220V"/>
        <s v="MÓDULO DE SEGURANÇA P/ SIST. EMERGÊNCIA SCHNEIDER PREVENTA  XPSAK311144"/>
        <s v="BOTOEIRA  C/ SINALIZAÇÃO VERMELHO BHS - REF. TY-11E, 1NC Ø22MM BA9S VMAX 220V"/>
        <s v="INVERSOR DA UNIDADE DAS FASES DE ENTRADA SERIE MX2  3G3MX2- A4015-V1 (OMRON)"/>
        <s v="BOTÃO DE EMERGÊNCIA - REF. ZB2-BE102C, 2NC (SCHNEIDER)"/>
        <s v="DISJUNTOR TRIPOLAR GV7-RE100  (SCHNEIDER) "/>
        <s v="CABEÇA P/ BOTÃO DE EMERGÊNCIA  REF. 3SB3 000-1HA20 (SIEMENS)"/>
        <s v="CONTACTOR TRIPOLAR 50A SCHNEIDER REF. LC1D50AP7"/>
        <s v="BOTOEIRA PULSANTE XA2EA21"/>
        <s v="CARCAÇA HAM 24 PINOS"/>
        <s v="INCERTO HAM + CARCAÇA HAM 24 PINOS FEMEA"/>
        <s v="INCERTO HAM + CARCAÇA HAM 24 PINOS MACHO"/>
        <s v="SUPORTE PARA LUMINARIA"/>
        <s v="CONTROLADOR DE TEMPERATURA F022147 R77 "/>
        <s v="SENSOR DE POSIÇÃO DAS CALANDRAS  GEFRAN PY-2-C-075"/>
        <s v="CHAVE DE SEGURANÇA SCHMERSAL AZM 161CC-12/12RKA-024"/>
        <s v="CHAVE DE SEGURANÇA SCHMERSAL  AZ 16-02ZVK-M16"/>
        <s v="TOMADA DE SOBREPOR 3P+T 32A 380/440V"/>
        <s v="DISJUNTOR MOTOR WEG MPW40-3-D063 1,6 - 2,5A"/>
        <s v="DISJUNTOR MOTOR WEG MPW40-3-U004 2.5-4A"/>
        <s v="DISJUNTOR MOTOR WEG MPW40-3-D063 4-6,3A WEG MPW40-3-D063 4-6,3A"/>
        <s v="DISJUNTOR MOTOR WEG MPW40-3-D063 10 - 16A"/>
        <s v="DISJUNTOR MOTOR WEG MPW40-3-D063 20-25A"/>
        <s v="PLUG VERMELHO 3P+T 16A MACHO (LUKMA ELETRONIC)"/>
        <s v="ACOPLAMENTO LUKMA 3P+T 16A FEMIA"/>
        <s v="INTERRUPTOR HORARIO CCT15720 IHP"/>
        <s v="SENSOR FIM DECURSO 3SE5232-0HK80"/>
        <s v="VENTOINHA PARA MOTOR AQUECEDOR E COLEIRO"/>
        <s v="ABRAÇADEIRA MS 212"/>
        <s v="PRENSA TERMINAL DE AÇO  20MM²"/>
        <s v="PRENSA TERMINAL AÇO VARIOS TAMANHOS"/>
        <s v="PRENSA TERMINAL DE AÇO  10MM²"/>
        <s v="PRENSA TERMINAL DE AÇO  95MM²"/>
        <s v="PRENSA TERMINAL DE AÇO  70MM²"/>
        <s v="INVERSOR DE FREQUÊNCIA EMK DRIVE FIT4P34-0150-5BFLS"/>
        <s v="MODULO AMPLIFICADOR ANALOGICO VTMSPA1-1-12"/>
        <s v="MÓDULO AMPLIFICADOR ANALÓGICO P/ VÁLV. PROPORCIONAL VT11118-10 / VT-MSPA1-1-12/V0/0 (REXROTH)"/>
        <s v="DISJUNTOR MODULAR TRIPOLAR NG 4P-125A-300mA-A NG125 19042"/>
        <s v="RELE DE SEGURANÇA D-79183 IDENT:1059305 (SICK)"/>
        <s v="PLC SIEMENS  S7-1500 6ES7 511-1AK01-0AB0"/>
        <s v="TRANSMISSOR DE PASSAGEM 1,38802E+11"/>
        <s v="MÓDULO DE ENTRADA DIGITAL PROFISAFE 4/8F-DI DC24 SIEMENS SIMATIC ET200S 6ES7 138-4FA05-0AB0"/>
        <s v="MÓDULO DE SAÍDA DIGITAL PROFISAFE 4F-DO DC24V/2A SIEMENS SIMATIC ET-200 6ES7 138-4FB04-0AB0"/>
        <s v="MÓDULO TERMINAL SIEMENS SIMATIC ET200S 6ES7 193-4CE10-0AA0"/>
        <s v="MÓDULO DE ENTRADA DIGITAIL 8 DI DC24 SIEMENS SIMATIC ET200S 6ES7 131-4BF00-0AA0"/>
        <s v="MÓDULO DE SAÍDAS DIGITAIL 8 DO DC24V/0.5A SIEMENS SIMATIC ET200S 6ES7 132-4BF00-0AA0"/>
        <s v="ADAPTADOR DEVICENET SMARTSLICE 64POSITION 24V DC GRT1-DRT (OMRON)"/>
        <s v="FONTE DE ALIMENTAÇÃO TRIFÁSICA PSS-B24-240S 24VDC-10A COD:164225 240W"/>
        <s v="MÓDULO PROFIBUS MICROMASTER 4 SIEMENS - REF. 6SE6400-1PB00-0AA0"/>
        <s v="MÓDULO DE SAÍDAS ANALÓGICAS 2 AO VOLTAGE STANDARD SIEMENS SIMATIC ET200S 6ES7 135-4FB01-0AB0"/>
        <s v="MÓDULO DE ENTRADAS ANALÓGICAS 2 AI - 2WIRE STANDARD SIEMENS SIMATIC ET200S 6ES7 134-4GB01-0AB0"/>
        <s v="MÓDULO FONTE PM-E DC24V STANDARD SIEMENS SIMATIC ET200S 6ES7 138-4CA01-0AA0"/>
        <s v="PONTO DE ENTRADA DA UNIDADE PNP GRT1-ID8-1"/>
        <s v="SOFTSTARTER SIEMENS 37KW AC200-480V 3RW4038-1BB04"/>
        <s v="TRANSMISSOR DE  NÍVEL , 10…A60cm,  0 a 10V/4 a 20 Ma - Cod:LR3000 "/>
        <s v="MÓDULO INTERFACE IM 151-8F PN/DP CPU ET200S 6ES7 151-8FB01-0AB0 ( SIEMENS)"/>
        <s v="MÓDULO TERMINAL DP TM-E15C24-01 SIEMENS SIMATIC ET200S 6ES7 193-4CG30-0AA0"/>
        <s v="ENTRADA DO MODULO DE FORÇA  24VDC INPUT GRT1-PD2"/>
        <s v="MOTO REDUTOR NMRV 040  (MOTOR CE MS 711-4 SN NO 1512-047)"/>
        <s v="CABO DE LIGAÇÃO DAS REGUAS POTENCIMETRICAS"/>
        <s v="INVERSOR DE FREQUÊNCIA SIEMENS MICROMASTER 440 6SE6440-2UD27-5CA1"/>
        <s v="INVERSOR DE FREQUÊNCIA SIEMENS MICROMASTER 420 6SE6420-2UD22-2BA1"/>
        <s v="CONTATOR EASY PACT TVS - 065082 110V 50/60Hz 45KW-400V  (LC1E95F7 SCHNEIDER)"/>
        <s v="BLOCO DE CONTATO AUXILIAR LAN22 IEC 60947-5-1 (SCHNEIDER)"/>
        <s v="VALVULA PNELMATICA 5/2 VIAS DUPLA SOLENOIDE MOD:4V220-08"/>
        <s v="VALVULA PNELMATICA 24V CC  1/4 5/2VIAS SIMPLES SOLENOIDE  REF. 4M310-10 MOD:BMH024VCC 5.5W"/>
        <s v="VALVULA PNELMATICA 45A-GA1-DABJ-1KA 4/2VIAS DUPLA SOLENOIDE MOD:45A-GA1-DABJ-KA"/>
        <s v="VALVULA PNELMATICA 220V AC 1/4  5/2 VIAS SIPLES SOLENOIDE MOD:4V210-08 AC220"/>
        <s v="VALVULA PNEUMATICA SIMPLES SOLENOIDE 3/2 VIAS  1/4  24VAC"/>
        <s v="VÁLVULA PILOTO SIMP 5/2 VIAS 1/4 COD-9652"/>
        <s v="CAIXA PARA CONTROLE LIGA DESLIGA DE COMANDO"/>
        <s v="CHAVE COMUTADORA MAGIRIUS MONOFASICA"/>
        <s v="PLUG PARA BOBINA DE VALVULA"/>
        <s v="CHAVE DE SEGURANÇA PARA BLOQUEIO DE PORTA XCSTE7312"/>
        <s v="VALVULA PNEUMATICA 5/2VIAS DUPLA SOLENIDE 220VAC"/>
        <s v="VALVULA PNEUMATICA  3/2 SOLENOIDE 220 V 1/4 SMC (MENTEC)"/>
        <s v="CABO PARA SENSOR DE SEGURANÇA 533100"/>
        <s v="CABO PARA SENSOR  5 PINOS M12"/>
        <s v="CABO PARA MONTAGEM DE SENSOR E CONECTOR"/>
        <s v="CABO FOTO ELETRICO FEMEA 4 PINOS XZCP 1241LD5M"/>
        <s v="CABO PARA CONECTAR SENSOR FESTO M8 3 POLOS NEBUM8G3-K-5-LE3"/>
        <s v="CABO DE LIGAÇÃO 7000-18021-6260500"/>
        <s v="CABO SENSOR MACHO 5 PINOS CZ1440"/>
        <s v="CABO COM CONECTOR PARA SENSOR KROSCHU"/>
        <s v="AGITADOR PNEUMATICO 1,7 HP P/TOTEM 1.000LTS"/>
        <s v="MOTOR PNEUMATICO"/>
        <s v="CILINDRO PNEUMATICO"/>
        <s v="CILINDRO DA CORTINA DO ROBO DE COLA FESTO"/>
        <s v="VALVULA 3 VIAS 1&quot;"/>
        <s v="BLOCO DE DISTRIBUIDOR PNEUMÁTICO 3/2 MOD:10049. E955 10/ "/>
        <s v="ATUADOR PENEUMÁTICO RP75DA 10BAR"/>
        <s v="BALANCIM HSB-1 (300-1200G), Carbografite 012343612"/>
        <s v="ATUADOR PENEUMÁTICO DUPLA AÇÃO GNP 44"/>
        <s v="CONEXÃO PNEUMATICA COM ROSCA 6mm "/>
        <s v="CONEXÃO PNEUMATICA COM ROSCA 4mm"/>
        <s v="CONEXÃO PNEUMATICA DE 12  COM ROSCA 12mm"/>
        <s v="CONEXÃO PNEUMATICA EM TEE COM ANILHA 8MM"/>
        <s v="CONEXÃO PNEUMÁTICA 12mm X 10mm"/>
        <s v="CONEXÃO PNEUMÁTICA LUVA 8mm X 8mm "/>
        <s v="CONEXÃO PNELMATICA CRUZETA 8mm"/>
        <s v="CONEXÃO PNELMATICA CRUZETA 6mm"/>
        <s v="CONEXÃO PNEUMÁTICA REDUÇÃO 8mm X 6mm"/>
        <s v="CONEXÃO PNELMATICA TEE 8mm"/>
        <s v="CONEXÃO PNEUMÁTICA 12mm X 12mm"/>
        <s v="CONEXÃO PNEUMÁTICA 10mm X 6 mm"/>
        <s v="CONEXÃO PNEUMÁTICA LUVA 6mm X 6mm"/>
        <s v="CONEXÃO PNEUMÁTICA 4mm X 4 mm"/>
        <s v="CONEXÃO PNEUMÁTICA REDUÇÃO 12mm X 8mm"/>
        <s v="CONEXÃO PNELMATICA TEE 10mm"/>
        <s v="CONEXÃO PNEUMÁTICA LUVA 10mm X 10mm"/>
        <s v="CONEXÃO PNEUMÁTICA 6mm x 4"/>
        <s v="CONEXÃO PNEUMÁTICA 8mm X 4"/>
        <s v="CONEXÃO PNEUMÁTICA REDUÇÃO 10mm X 8mm"/>
        <s v="CONEXÃO PNELMATICA TEE 6mm"/>
        <s v="CABO FLEX PARA TERRA  6MM"/>
        <s v="CABO FLEX PRETO 6MM"/>
        <s v="CABO PP 4X2,5"/>
        <s v="CABO PP 4X4"/>
        <s v="INVEROSR DE FREQUÊNCIA SIEMENS MICROMASTER 440 6SE6440-2UD31-8DB1"/>
        <s v="FONTE 13108206 PSS24-W/5 (WEG)"/>
        <s v="FONTE BAE 0009 BAE OS-XA-3Y-24-200-007 24VDC 20A (BALLUFF)"/>
        <s v="CELULA DE CARGA  L6F-C3-100KG-3B6"/>
        <s v="MÓDULO TERMINAL SIEMENS SIMATIC ET200S - 6ES7 193-4CB30-0AA0"/>
        <s v="MODULO DE SAÍDA DIGITAL 16 PONTOS 0.5AMP 24VDC SM322 - REF. 6ES7-322-1BH01-0AA0 SIEMENS"/>
        <s v="CONJUNTO DE BOTOEIRA MAIS BOTÃO D DE EMERGENCIA"/>
        <s v="VENTILADOR AXIAL PARA PAINEL 220VAC TA20060HBL-2"/>
        <s v="INVERSOR DE FREQUÊNCIA EMK DRIVE FIT4P34/FIT4P34/0185/5BFLS SERIAL:57403511001 (EMK)"/>
        <s v="ENCODER RVP510"/>
        <s v="CONJUNTO SENSOR / RELE DE SEGURANÇA / CABO DE LIGAÇÃO L27S-3D3730  (SICK)"/>
        <s v="IHM SIEMENS SIMATIC 6AV2 642-0BA01-1AX1 (SIEMENS)"/>
        <s v="MÓDULO DE ENTRADAS DIGITAIS S7-300 16DI 24VDC 20PIN - REF. 6ES7-321-1BH02-0AA0 SIEMENS "/>
        <s v="MÓDULO DE ENTRADAS ANALÓGICAS 8AI - 13BIT SIEMENS SIMATIC S7-300  6ES7 331-1KF02-0AB0"/>
        <s v="CPU 314C - 2PN/PD,SIMATIC S7-300,192KB,24DI16DO SIEMENS -  REF. 6ES7-314-6EH04-0AB0"/>
        <s v="RELE DE SEGURANÇA SCHHMERSAL SRB 301MC-24V NAC"/>
        <s v="CABO PARA REDE ASI-I RUBBER"/>
        <s v="CABO FLEX PRETO 20X1,5MM"/>
        <s v="CABO FLEX PRETO 2,5MM"/>
        <s v="CABO FLEX AZUL 4 E 2,5MM"/>
        <s v="GRADE DE PROTEÇÃO PARA COOLER"/>
        <s v="MODULO DE EXPANSÃO 3RK3211-1AA10"/>
        <s v="FONTE SCHMERSAL PSS-B24-120S 24VDC-5A 120W"/>
        <s v="FONTE SIEMENS  6EP1 333 1LB00"/>
        <s v="KIT REPARO DA GERADORA DE VACUO 0109531 (PIAB)"/>
        <s v="VALVULA PNEUMATICA ULTRA RAPIDO 3/2 VIAS 52A-11-DOA-DM-DDAJ-1JD (MAC)"/>
        <s v="PRESSOSTATO K53P"/>
        <s v="VALVULA PNELMATICA 5/2 VIAS DUPLA SOLENOIDE"/>
        <s v="SENSOR DFO0064 BFO D22-XAP-LB-EAK-30-02 (BALLUFF)"/>
        <s v="BLOCO MANIFOLD PNEUMATICO P/ 4 VALVULAS"/>
        <s v="PROGRAMADOR TM-DSDINA4 220VCA (METALTEX)"/>
        <s v="VALVULA PNEUMATICA SIMPLES SOLENOIDE RETORNO POR MOLA 24VDC  3/2 VIAS"/>
        <s v="VALVULA ESCAPE RAPIDO ROSCA 1/8 P/ TUBO 6MM SMC (MENTEC)"/>
        <s v="VALVULA DIAFRAGMA 1/4&quot; 24V AC"/>
        <s v="VALVULA DIAFRAGMA 3/4&quot;  24DC"/>
        <s v="VALVULA DIAFRAGMA DE 1/2 24VDC"/>
        <s v="VALVULA DIAFRAGMA DE 1&quot; 24 VDC"/>
        <s v="IHM SIMATIC HTP400"/>
        <s v="VALVULA DIAFRAGMA 1/2&quot; 220V AC"/>
        <s v="AMORTECEDOR MOLA GÁS 150N"/>
        <s v="SOLENOIDES 24V CC"/>
        <s v="KIT REPARO DO CILINDRO PNEUMATICO CORTINA ROBO DE COLA "/>
        <s v="CONEXÃO PNEUMÁTICA 6MM P/ CILINDRO PNEUMA COM REGULAGEM"/>
        <s v="VALVULA PARA CONTROLE DE PRESSÃO"/>
        <s v="CABO  PARA SENSOR PILZ 5333130"/>
        <s v="CABO PARA SENSOR 8 PINOS M12"/>
        <s v="CABO PARA SENSOR  3HAC72361"/>
        <s v="CABO COM PLUG FESTO KMF1-24-10-LED"/>
        <s v="CABO COM CONECTOR PVC 3X0,75"/>
        <s v="BOMBA DE ÓLEO TERMICO DA RZR 2220"/>
        <s v="CONJUNTO MOTOR E BOMBA DE RESINA RZR"/>
        <s v="MOTOR DA BOMBA DE PREENCHIMENTO DE ISSO"/>
        <s v="MOTOR DO SISTEMA DE ADITIVO"/>
        <s v="MOTOR SISTEMA DE PRESSÃO POL/ISSO"/>
        <s v="MOTO REDUTOR DO SISTEMA DA TORRE CABEÇOTE"/>
        <s v="CORREDIÇA TELESCOPICA TM04232-A "/>
        <s v="CILINDRO COMPACTO CURSO 40MM FESTO - REF. ADVU-25-40-P-A / COD 156528"/>
        <s v="CILINDRO 40X50 ADN"/>
        <s v="CILINDRO PNEUMATICO 12,5X6,5"/>
        <s v="CILINDRO PNEUMATICO 12X7"/>
        <s v="CILINDRO COMPACTO ADVU-63-10-P-A COD.156007 (FESTO) COM ROSCA EXTERNA NA HASTE"/>
        <s v="MANOMETRO 250bar CLASSE B"/>
        <s v="MANOMETRO 8500psi 600KGF/²"/>
        <s v="MANOMETRO ROSCA VERTICAL 1/4&quot;NPT  400 BAR"/>
        <s v="MANOMETRO INDICADOR DE SATURAÇÃO PÁRA FILTRO 1/8&quot; COM ADAP."/>
        <s v="TERMOMETRO 200ºC "/>
        <s v="MANOMETRO ROSCA VERTICAL 1/4&quot;BSP  10BAR 150psi"/>
        <s v="MANOMETRO ROSCA VERTICAL 1/4&quot; BSP 60BAR"/>
        <s v="MANOMETRO 160psi 11bar ROSCA 1/4 (FINGER)"/>
        <s v="MANOMETRO ROSCA VERTICAL 1/4&quot; BSP 500BAR"/>
        <s v="VALVULA ESFERA COM ATUADOR PNEUMATICO 1/2&quot;"/>
        <s v="VALVULA ESFERA COM ATUADOR PNEUMATICO 3/4&quot;"/>
        <s v="CONEXÃO PNEUMÁTICA 6mm COM REGULADORA CONTROLE POR NIVEL"/>
        <s v="CONEXÃO PNEUMÁTICA 12 COM ROSCA 12mm "/>
        <s v="CONEXÃO PNEUMÁTICA  COM ROSCA 8mm"/>
        <s v="CONEXÃO PNELMATICA 4mmCOM REGULADORA CONTROLE POR NIVEL "/>
        <s v="CONEXÃO PNEUMATICA 12mm COM REGULADORA"/>
        <s v="CONEXÃO TEE COM ROSCA CENTRAL E PENELMATICA NAS ESTREMIDADES 6,8 E 10MM CONTROLE POR NIVEL"/>
        <s v="CONEXÃO PNEUMATICA EM Y  COM ROSCA10MM"/>
        <s v="CONEXÃO JOELHO PNELMATICA 8MM"/>
        <s v="CONEXÃO PNEUMATICA EM Y COM ROSCA 8mm"/>
        <s v="CONEXÃO PNEUMATICA CRUZETA 10mm"/>
        <s v="CONEXÃO PNEUMATICA EM Y COM ROSCA 6mm"/>
        <s v="CONEXÃO PNEUMATICA COM ANILHA DIVERSOS"/>
        <s v="CONEXÃO PNEUMATICA 6mm COTOVELO COM ROSCA 12MM"/>
        <s v="CONEXÃO PNEUMATICA 10mm COTOVELO COM ROSCA 12MM"/>
        <s v="CONEXÃO PNEUMATICA 8mm COTOVELO COM ROSCA CONTROLE POR NIVEL"/>
        <s v="CABO SIEMENS 6XV1840-2HD10"/>
        <s v="GAS REFRIGERANTE R-22"/>
        <s v="FILTRO DO EXAUSTOR "/>
        <s v="FACA CIRCULAR CORTANTE 31X23X10 cm"/>
        <s v="ITENS PRENSAS EPILA DUPLO CONECTOR E ADAPTADOR"/>
        <s v="ELEMNETO FILTRANTE PARA ÓLEO NEWTEC HR18010PH"/>
        <s v="COPO LUBRIFIL PARA ÓLEO MEDIO 11474"/>
        <s v="REGULADOR DE PRESSÃO COM MANOMETRO ROSCA TRASEIRA  16BAR 3/16&quot;"/>
        <s v="REGULADOR DE PRESSÃO PNEUMATICO 1/4&quot;"/>
        <s v="REGULADOR DE PRESSÃO 1/2&quot;"/>
        <s v="LUBRIFIL COM REGULADOR DE PRESSÃO E ÓLEO BFC4000 41-140F° MAX PRESS - 135psi"/>
        <s v="FILTRO REGULADRO 16 BAR 1/2&quot; LUBRIFIL"/>
        <s v="FILTRO DE ÓLEO NEWTEC BR 760 10 AH"/>
        <s v="ELEMENTO FILTRANTE PARA OLEO  0060 R 010 ON"/>
        <s v="FILTRO Y 2&quot; CW617N"/>
        <s v="FILTRO REGULADOR LUBRIFICADOR TFRL 14 (AIRTAC)"/>
        <s v="ELEMENTO FILTRANTE DE ÓLEO 0165 R 010 BN4HC"/>
        <s v="ELEMENTO FILTRANTE DE ÓLEO 0500 R 010 BN4HC"/>
        <s v="RETENTOR 40X50X4"/>
        <s v="GAXETA 14,7X 18,9X1,5"/>
        <s v="GAXETA 18,5X23,9X1,5"/>
        <s v="GAXETA 27X2"/>
        <s v="GAXETA  11,5X16,5"/>
        <s v="GAXETA  DO FILTRO AUTO LIMPANTE ISOCIANATO 15X24X8 VITON"/>
        <s v="VEDAÇÃO SISTEMA HIDRAULICO DO TETO"/>
        <s v="VEDAÇÃO VITON P/ BOMBA HID JLB 12 REXROTH"/>
        <s v="RETENTOR 25X46X7"/>
        <s v="ORING 50X4,5X3"/>
        <s v="ORING 26X2,5"/>
        <s v="ORING 21,3X2,4"/>
        <s v="ORING CHEVRON 32,5X3,6"/>
        <s v="ORING VITON 32,50X3,60"/>
        <s v="RETENTOR 25X47X10"/>
        <s v="RETENTOR 54X90X12"/>
        <s v="RETENTOR 60X85X8"/>
        <s v="RETENTOR 85X45X50"/>
        <s v="RETENTOR 45X62X10"/>
        <s v="RETENTOR 57X73X1"/>
        <s v="RASPADOR 25-S"/>
        <s v="RASPADOR 20-S"/>
        <s v="RASPADOR 30-S"/>
        <s v="RASPADOR 16-S"/>
        <s v="RASPADOR 12-S"/>
        <s v="RETENTOR 33X16X2"/>
        <s v="ANEL DE TEFLON 25X59X3"/>
        <s v="RETENTOR 40X56X10"/>
        <s v="CHAVE COMUTADORA MAGIRIUS TRIPOLAR CR380"/>
        <s v="ROLAMENTO 3205 "/>
        <s v="ROLAMENTO RÍGIDO DE ESFERA 6207 (FAG)"/>
        <s v="ROLAMENTO RKY52"/>
        <s v="FILTRO REGULADOR LUBRIFICADOR 1/2&quot; (MSD)"/>
        <s v="ROLAMENTO DE ESFERAS 62206"/>
        <s v="RETENTOR   5340  2 "/>
        <s v="RETENTOR 40X40X4"/>
        <s v="AGULHAS DO CILINDRO"/>
        <s v="RETENTOR 25X47X7"/>
        <s v="BOTÃO DE EMERGENCIA  SCHIMERSAL MV-CLE2-40 REF:NO 51901933"/>
        <s v="ALOJAMENTO DE FILTRO PARA DESMOLDANTE"/>
        <s v="ROLAMENTO 6908"/>
        <s v="GARRA DO CARPETE UTE 05"/>
        <s v="MANCAL P204"/>
        <s v="MANCAL T207 F&amp;D"/>
        <s v="APARA DAS CALANDRAS GLASUTEC"/>
        <s v="KIT APARA DE SACRIFICIO DA FERRAMENTA DE ACOPLAGEM "/>
        <s v="LAMINA MAQ. DE CORTE HORIZONTAL 9494X60X06"/>
        <s v="CILINDRO PNEUMATICO PORTA DO WATER JET"/>
        <s v="CILINDRO PNEUMATICO ADVU-63-50-P-A-00050  156565 (FESTO)"/>
        <s v="CIILINDRO PNEUMATICO ADVU 63-40-P-A-00040  156564 (FESTO)"/>
        <s v="CORRENTE DE TRANSMISSÃO DUPLA 08B-2 (TC TRANSCOR)"/>
        <s v="ROLAMENTO RÍGIDO DE ESFERA 61903-2RS1 (SKF)"/>
        <s v="ROLAMENTO RÍGIDO DE ESFERA 6203-2Z (SKF)"/>
        <s v="ROLAMENTO DE ESFERA DE CONTATO ANGULAR 3204Z (MAK)"/>
        <s v="ROLAMENTO RÍGIDO DE ESFERA 6005 (KBC KOREA)"/>
        <s v="SELO MECÂNICO PARA EIXO 1&quot; (SEAL MEC )"/>
        <s v="ROLAMENTO PERN IFOLLI  GC35 EE M AK "/>
        <s v="ROLAMENTO 6902 (NSK)"/>
        <s v="ROLAMENTO RÍGIDO DE ESFERA 6011 (NSK)"/>
        <s v="RELE DE ESTADO SOLIDO HW-1-DA4860"/>
        <s v="ROLAMENTO RÍGIDO DE ESFERA 6004 (FAG)"/>
        <s v="ROLAMENTO (6306)"/>
        <s v="ROLAMENTO RÍGIDO DE ESFERA 6006 2Z (FAG)"/>
        <s v="ROLAMENTO RÍGIDO DE ESFERA 6206 (NSK)"/>
        <s v="ROLAMENTO COMBINADO 40.055/AP1"/>
        <s v="ROLAMENTO RÍGIDO DE ESFERA 6008 DDU (NSK)"/>
        <s v="ROLAMENTO (RL59)"/>
        <s v="ROLAMENTO RÍGIDO DE ESFERA 6010 2Z (NSK)"/>
        <s v="ROLAMENTO RÍGIDO DE ESFERA 6303 (NSK)"/>
        <s v="ROLAMENTO AUTOCOMPENSADOR DE ESFERA 2207 2RS/1 (SKF)"/>
        <s v="MANCAL 208"/>
        <s v="Terminal Rotular Macho Pos 30 Mm - Rosca Direita "/>
        <s v="EIXO DO QUADRO DE GIRO"/>
        <s v="ROLAMENTO NUP306 EM (TMB)"/>
        <s v="ROLAMENTO EM POLEGADA PARA O MISTURADOR DE COLA 1.1/8x2. 1/2x5/8 (FAG)"/>
        <s v="QUADROS PARA INSTALAÇÃO 300X300MM"/>
        <s v="ELEMENTO FILTRANTE PARA OLEO 0280 D 010 ON"/>
        <s v="KIT REPARO DA BOMBA DE COLA"/>
        <s v="KIT REPARO DA BOMBA DE ATIVADOR"/>
        <s v="ELEMENTO FILTRANTE  0250 DN 010 BN4HC"/>
        <s v="ELEMENTO FILTRANTE DE ÓLEO 0240 R 010 0N"/>
        <s v="ORING PARA FILTRO DO INTENSIFICADOR "/>
        <s v="ORING PARA O FILTRO DO ISOCIANATO"/>
        <s v="ELEMENTO FILTRANTE DE ÓLEO 0160 D 010 ON"/>
        <s v="FILTRO DE ÓLEO 0330 R 020 ON"/>
        <s v="ELEMENTO FILTRANTE PARA OLEO  0180MA010BN"/>
        <s v="FILTRO DE AR 0005L003P"/>
        <s v="FILTRO DE AR 0007L003P"/>
        <s v="ELEMENTO FILTRANTE 0160 RN 010BN4HC (HYADAC)"/>
        <s v="ELEMENTO FILTRANTE PARA OLEO R928006863"/>
        <s v="ELEMENTO FILTRANTE PARA OLEO NEWTEC FHP528820ABS"/>
        <s v="ELEMENTO FILTRANTE PARA OLEO 0240D010 HYDAC"/>
        <s v="ELEMENTO FILTRANTE PARA OLEO / ISSO NEWTEC HOP6405"/>
        <s v="FILTRO HIDRAULICO BR 21010"/>
        <s v="ELEMENTO FILTRANTE PARA OLEO 0660 R 10 BN4HC"/>
        <s v="ELEMENTO FILTRANTE PARA OLEO 0330R010 BN4HC"/>
        <s v="ELEMENTO FILTRANTE PARA OLEO 0160 DN 010 BN4HC"/>
        <s v="LÂMINA DE SERRA DE FITA MAQ. DE CORTE VERTICAL"/>
        <s v="RETENTOR 67X36X6"/>
        <s v="RETENTOR 40X50X6"/>
        <s v="RETENTOR  LATA POR FORA 55x63x5"/>
        <s v="RETENTOR 30x62x8"/>
        <s v="RETENTOR 30x62x7"/>
        <s v="RETENTOR 25x35x7"/>
        <s v="RETENTOR 45X62X8"/>
        <s v="ANEL DE COBRE 38X49X2"/>
        <s v="ANEL DE COBRE 11X18X1,5"/>
        <s v="ANEL DE COBRE 21X27X1,5"/>
        <s v="ANEL DE COBRE 21X32X4"/>
        <s v="ANEL DE COBRE 18X24X1,5"/>
        <s v="ANEL DE COBRE 16X22X1,5"/>
        <s v="ANEL DE COBRE 21X32X3"/>
        <s v="ANEL DE COBRE 24X30X1,5"/>
        <s v="RETENTOR 30X45X7"/>
        <s v="RETENTOR 58X75X12"/>
        <s v="ANEL ELASTICO PARA EIXO DE 7MM"/>
        <s v="ANEL ELASTICO PARA EIXO DE 28MM"/>
        <s v="ANEL ELASTICO P/ EIXO 25MM"/>
        <s v="ARRUELA DE TRAVA P/ EIXO DE 24,5MM"/>
        <s v="RETENTOR 15X30X7"/>
        <s v="RETENTOR 40X55X8"/>
        <s v="RETENTOR 45X65X8"/>
        <s v="RETENTOR 35X52X7"/>
        <s v="ORING DA AGULHA DO GICLE"/>
        <s v="VEDAÇÃO DOS GICLES 20X1"/>
        <s v="VEDAÇÃO DOS GICLES  TIPO 1"/>
        <s v="VEDAÇÃO DOS GICLES  TIPO 2"/>
        <s v="VEDAÇÃO DOS GICLES S12"/>
        <s v="RETENTOR 55X90X8"/>
        <s v="ROLAMENTO SA207"/>
        <s v="REPARO DAS PRENSAS EPILA  1896"/>
        <s v="FUSO DAS CALANDRAS GLASUTEC"/>
        <s v="RETENTOR 01543-BR 15"/>
        <s v="RETENTOR 43X62X75"/>
        <s v="ORINGS QUADRADOS PARA FILTRO  3718"/>
        <s v="MOLA DAS FERRAMENTAS "/>
        <s v="BORRACHA PARA CONFECÇÃO DE ORING"/>
        <s v="PAR DE  TAMPA DE ROLAMENTO ESTEIRA GRASUTEC"/>
        <s v="MANCAL FL204 FK"/>
        <s v="MANCAL F205 FRM"/>
        <s v="MANCAL P207 "/>
        <s v="MANCAL 504 SKF"/>
        <s v="CONJUNTO SUPORTE PARA FIXAR CABEÇOTE DA GANTRY"/>
        <s v="ENGRENAGEM DO FUSO DAS CALANDRAS"/>
        <s v="ROLAMENTO 6300"/>
        <s v="ROLAMENTO 6002"/>
        <s v="ROLAMENTO 6204"/>
        <s v="ROLAMENTO 6307 C3"/>
        <s v="ROLAMENTO 6305"/>
        <s v="ROLAMENTO 6205"/>
        <s v="ROLAMENTO RÍGIDO DE ESFERA 16004 (SKF)"/>
        <s v="ROLAMENTO SB203 (BRM)"/>
        <s v="ROLAMENTO SB202-10 (BRM)"/>
        <s v="ROLAMENTO UC207 (F&amp;D)"/>
        <s v="ROLAMENTO UC208 (F&amp;D)"/>
        <s v="ROLAMENTO UC203 (POWELL)"/>
        <s v="ROLAMENTO RÍGIDO DE ESFERA 6005-2z (SKF)"/>
        <s v="ROLAMENTO PARA EIXO DE 12MM 6201"/>
        <s v="ROLAMENTO RÍGIDO DE ESFERA 6304 (SKF)"/>
        <s v="ROLAMENTO AUTOCOMPENSADOR DE ESFERA 1204K C3"/>
        <s v="ROLAMENTO RÍGIDO DE ESFERA 62305-2RS1 (SKF)"/>
        <s v="ROLAMENTO Y208-V22 (FRM)"/>
        <s v="ROLAMENTO 5205 (SKF)"/>
        <s v="ROLAMENTO 30209 (FRM)"/>
        <s v="ROLAMENTO RÍGIDO DE ESFERA 6009DDU (SKF)"/>
        <s v="ROLAMENTO 6007 (SKF)"/>
        <s v="SELO MECANICO BOMBAS RZR"/>
        <s v="ROLAMENTO AUTOCOMPENSADOR DE ESFERA 2208 E-2RS1TN9 (SKF)"/>
        <s v="ROLAMENTO UK210"/>
        <s v="MANCAL DO FORNO P212"/>
        <s v="MANCAL  COM ROLAMENTO PSHE30-N"/>
        <s v="MANCAL P208 (F &amp; D)"/>
        <s v="MANCAL FL208 FK"/>
        <s v="SERPENTINA PARA EIXO 2 (NEW COIL AXIS 2 FOR FILTER LINE 1/4&quot; COIL 16000) PN 305313 KMT WJ (DSR)"/>
        <s v="SERPENTINA PARA EIXO 1 (SPIRE AXIS 1 ROBOT IRB 1600 COIL) PN 304415 KMT WJ  (DSR)"/>
        <s v="SERPENTINA PARA EIXO 3 (SPIRE AXIS 3 ROBOT IRB 1600 COIL) PN 304297 KMT WJ  (DSR)"/>
        <s v="BOMBA DE AGUA "/>
        <s v="FILTRO W.J PART : 05049689"/>
        <s v="ELEMENTO FILTRANTE PARA COLA"/>
        <s v="VALVULA DE RETENÇÃO PRESSAÕ MAXIMA 66000 PSI VAR15-005016/.0511397 (DRS)"/>
        <s v="TRANSDUTOR DE PRESSÃO TSA-E-1-Z-BV05-G-T-V-XP460 (GEFRA)"/>
        <s v="CONECTOR PARA TRANSMISSOR DE PRESSÃO 5004109 (PARKER)"/>
        <s v="ORING'S 1-3/4X1-15/16X3/32 DRS"/>
        <s v="ORING'S PARA BAIXA PRESSÃO"/>
        <s v="REPARO DA PISTOLA DO ROBO DE COLA DEVIBILLS"/>
        <s v="ORING 3,75 X 4,0  .05034855"/>
        <s v="AGULHA DA PISTOLA DE COLA 1,8MM"/>
        <s v="FILTRO DO W.F PN: LP49834716"/>
        <s v="ORING 3,75 X 4,0 X 1,3 KMT 10075000"/>
        <s v="CABEÇA DE VEDAÇÃO DO INTENSIFICADOR  / CHECK VALVE 20481009"/>
        <s v="CILINDRO DE ALTA PRESSÃO (FLAUTA/LINER-HP CYLINDER) EM CERAMICA PN20491603"/>
        <s v="BLOCO TEE KMT 10078590"/>
        <s v="MONTAGEM DO SELO HIDRÁULICO DO CARTUCHO REPARO DO ÓLEO SL05009030 (DRS)"/>
        <s v="POPPET PIN W.J  05116751"/>
        <s v="PINO RETENTOR W.J  20474391"/>
        <s v="BOCAL DA CANETA W.J PN: MISB2341"/>
        <s v="MOLA DE COMPRESSÃO W.J SP05147863"/>
        <s v="CANETA WATER JET PN:10138444 / SN:6513068"/>
        <s v="POPPET RETAINER SCREW 20474391"/>
        <s v="CONJUNTO VEDAÇÃO HP W.J SP20422243"/>
        <s v="MIXER ROBO DE COLA TETO"/>
        <s v="VALVULA DIRECIONAL REXROT SIMPLES SOLENOIDE RETORNO POR MOLA 4/2 VIAS 4WE6 JB62/EG24K4"/>
        <s v="FERRAMENTAS E PARAFUSO DOS PISADORES"/>
        <s v="VALVULA VENTAGE CORPO DE AÇO 1/2&quot; OE15 03005500"/>
        <s v="VALVULA DE VENTAGE 3/4&quot; CORPO DE ALUMINIO OS1506171A0400 (REXROTH)"/>
        <s v="VALVULA DE ALIVIO DE PRESSÃO / FLUXO (DP2-43/210YM"/>
        <s v="VALVULA DE ALIVIO DE PRESSÃO NA DR6DP2-53/75YM (REXROTH)"/>
        <s v="VALVULA REDUTORA DE PRESSÃO SIMPELS SOLENOIDE 61/350G24K4V"/>
        <s v="VALVULA REGULADORA DE PRESSÃO DBDS6K1C/315"/>
        <s v="VALVULA DIRECIONAL  SIMPLES SOLENOIDE RETORNO POR MOLA 4/3 VIAS V4WE6AGX"/>
        <s v="VALVULA PROPORCIONAL D1FVE02CC0NM0311 PARKER"/>
        <s v="VALVULA HIDRAULICA SIMPLES SOLENOIDE RETORNO POR MOLA 4/2 VIAS DSG-01-0B2-D24-N-70 (YUKEN)"/>
        <s v="BLOCO DE VALVULA DENSON 113776"/>
        <s v="ACOPLAMENTO MECANICO BOMBA DE ABASTECIMENTO"/>
        <s v="MANCAL FRONT FENDER COM BUCHAMENTO "/>
        <s v="ELEMENTO FILTRANTE REXROTH 80. 130H10XL"/>
        <s v="MOTOR REDUTOR DAS CALANDRAS"/>
        <s v="MANOMETRO REGULADOR DE PRESSAÕ PARA MASSARICO PROSTART"/>
        <s v="PEÇAS SOBRESSALENTES MAQUINA DE SOLDA ALTA FREQUENCIA "/>
        <s v="MANCAL FRONT FENDER SEM BUCHAMENTO"/>
        <s v="PRATO DO CILINDRO DE PREENCHIMENTO HIDRAULICO R900529340 FD45724 25F100 "/>
        <s v="REGISTRO HIDRAULICO SW14"/>
        <s v="VALVULA REGULADORA DE FLUXO 3/4&quot;"/>
        <s v="VALVULA REGULADORA DE FLUXO 1/2&quot;"/>
        <s v="REGISTRO HIDRAULICO SW6"/>
        <s v="VALVULA ESFERA 1,1/2&quot;"/>
        <s v="VALVULA ESFERA 2&quot;"/>
        <s v="VALVULA ESFERA 1,1/4&quot;"/>
        <s v="ENGATE RAPIDO PARA MANGUEIRA DE INJEÇÃO"/>
        <s v="VALVULA ESFERA 1&quot;"/>
        <s v="VALVULA ESFERA 3/4&quot;"/>
        <s v="REGISTRO PARA FLUXO DE AGUA DOCOL"/>
        <s v="VÁLVULA MANUAL DE ESFERA DN15 1/2&quot;"/>
        <s v="PORCA DE SUSTENTAÇÃO P/ MOLDAGEM DO INNER"/>
        <s v="VALVULA ESFERA 1/4&quot;"/>
        <s v="MANGUEIRA CAPILAR 400MM"/>
        <s v="ESPIGÃO ROSCA E MANG 1,1/2&quot;"/>
        <s v="ESPIGÃO ROSCA 1,1/2&quot; MANG 1&quot;"/>
        <s v="ESPIGÃO ROSCA  1,1/4 MANG 1,1/8&quot;"/>
        <s v="ESPIGÃO ROSCA 1&quot; MANG 1&quot;"/>
        <s v="ESPIGÃO ROSCA 1&quot; MANG 3/4&quot;"/>
        <s v="ENGATE RAPIDO P/ ÓLEO TERMICO MACHO  21919DUB33W"/>
        <s v="ENGATE RAPIDO P/ ÓLEO TERMICO FEMEA BYR"/>
        <s v="ENGATE RAPIDO FEMEA 1/2&quot;"/>
        <s v="ESPIGÃO ROSCA FEMEA JIC MANG 1/2"/>
        <s v="PINO ENGATE RAPIDO MACHO 3/4&quot;"/>
        <s v="PINO ENGATE RAPIDO MACHO 1/2&quot;"/>
        <s v="ENGATE RAPIDO COM ALAVANCA"/>
        <s v="ENGATE RAPIDO MACHO 3/4&quot; PL 19-2"/>
        <s v="SERPENTINA PARA EIXO 4-6 ( SPIRE AXIS 4-6 ROBOT IRB 1600 COIL) PN 304436 KMT WJ  (DSR)"/>
        <s v="ASSENTO BLOCO DE CANETA VL10178697"/>
        <s v="ATUADOR  VL10187250"/>
        <s v="BLOCO DA CANETA VL10189181"/>
        <s v="VALVULA DE COLA 7337C03 EVOLUT DRS"/>
        <s v="ATUADOR  DA CANETA KMT10138824"/>
        <s v="SAFIRA WATER JET  6 MM 003788-6"/>
        <s v="SAFIRA WATER JET 8MM 003788-8"/>
        <s v="FILTRO DE ALTA PRESSÃO DO ROBO W.J FL05110531  1/4&quot;"/>
        <s v="ANILHA ROSQUEADA PARA EMENDA DE SERPENTINA ALC 40-316 (DSR)"/>
        <s v="REPARO DO INTENSIFICADOR PN: SL 05112768"/>
        <s v="ANILHA DA SERPENTINA FLOW A0792-1 W.J  (DSR)"/>
        <s v="CAPA BICO DA PISTOLA DO ROBO DE COLA 289784 GRACCO"/>
        <s v="PULVERIZADOR DE PORCELANA PARA O INTENSIFICADOR .05119151"/>
        <s v="VALVULA DE ALTA PRESSÃO"/>
        <s v="CELULA DE CARGA  06VA0041"/>
        <s v="VALVULA SEU 1/8&quot;"/>
        <s v="SENSOR DE POSIÇÃO CILINDRO 871D-BW2N524-N3"/>
        <s v="MOLA DO ATUADOR DA CANETA .05054119"/>
        <s v="BLOCO KMT 10078525 W00079581"/>
        <s v="REPARO DA CANETA W.J NC  NORMAL FECHADO VL05116025"/>
        <s v="ANNEL DE RETENÇÃO W.J PN: SL5034798"/>
        <s v="VALVULA DE DESCARGA W.J 05116561 DRS"/>
        <s v="REPARO DA CANETA W.J NO NORMAL ABEERTO VL05116017"/>
        <s v="LUVA PARA SERPENTINA  1/4 FLOW A0780-1 W.J (DSR)"/>
        <s v="TEFLON PARA TROCA DE REPARO PN: VL10178978"/>
        <s v="BOMBA DE ATIVADOR GMD61D-40N-101Z-OUTPUT: 0,6 CC/VER."/>
        <s v="BOMBA DE COLA GM601D-40N-100Z-OUTPUT:6 CC/RER"/>
        <s v="BLOCO PARA VALVULA DE ATIVADOR E COLA"/>
        <s v="VALVULA DIRECIONAL REXROTDUPLA SOLENOIDE PILOTADA 4/3 VIAS"/>
        <s v="ALOJAMENTO PARA FILTRO DE LINHA ALTA PRESSÃO"/>
        <s v="CONJUNTO EIXO CHAVETA 24MM"/>
        <s v="BLOCO DE SUSTENTAÇÃO DE VALVULA ATIVADOR E COLA"/>
        <s v="CONJUNTO DE FACAS DE CORTE DAS FERRAMENTAS DO TUNNEL"/>
        <s v="CONJUNTO FACAS DE CORTE DAS FERRAMENTAS DO INNER"/>
        <s v="BUCHA DA FERRAMENTA DO SKIN GAP, PARSEL SHELF E X6H"/>
        <s v="CONJUNTO PORCA, BUCHAS E PARAFUSOS DA FERRAMENTA DE CORTE"/>
        <s v="CONJUNTO PULSÃO  E PORCA PARA FERRAMENTA DE CORTE INNER"/>
        <s v="TEFLON ALTA TEMPERATURA ADESIVADO"/>
        <s v="TEFLON PARA ALTA TEMPERATURA SEM ADESIVO"/>
        <s v="VALVULA DIRECIONAL COM PILOTAGEM SIMPLES SOLENOIDE RETORNO POR MOLA 4/2 VIAS"/>
        <s v="VALVULA DIRECIONAL COM PILOTAGEM 4WE6J62/EG24N9K4 DUPLA SOLENOIDE 4/3 VIAS"/>
        <s v="VALVULA ESFERA TRIPARTIDA PARA ÓLEO TERMICO 1/2&quot;"/>
        <s v="VALVULA REXROTH R900919723"/>
        <s v="FILTRO EM Y LATÃO 1.1/2&quot;"/>
        <s v="VALVULA REXROTH R900912549"/>
        <s v="VALVULA REXROTH R900912531"/>
        <s v="VALVULA PROPORCIONAL PARKER PILOTADA D1FVE50BCVLB35"/>
        <s v="VALVULA PROPORCIONAL PILOTADA ATOS E-RI-AE-05F 10 4/3 VIAS"/>
        <s v="VALVULA HIDRAULICA SIMPLES SOLENOIDE RETORNO POR MOLA 3/2 VIAS REXROT"/>
        <s v="PRESSOSTATO HIDRAULICO FOX K55P"/>
        <s v="VALVULA HIDRAULICA SIMPLES SOLENOIDE RETORNO POR MOLA D1SE30 BNJW 3/2 VIAS D1SE30 PARKER"/>
        <s v="VALVULA PROPORCIONAL RE06M25T2N1F026-PILOTO PARKER"/>
        <s v="VALVULA HIDRAULICA SIMPLES SOLENOIDE RETORNO POR MOLA 4/3 VIAS DSG-03-2B2-D24-N1-50"/>
        <s v="VALVULA HIDRAULICA SIMPLES SOLENOIDE RETORNO POR MOLA 3/2 VIAS A532060B"/>
        <s v="VALVULA HIDRAULICA SIMPLES SOLENOIDE RETORNO POR MOLA 4/2 VIAS V4WE6D6X/EG24N25L  (VISTA)"/>
        <s v="VALVULA HIDRAULICA SIMPLES SOLENOIDE RETORNO POR MOLA 4/2 VIAS D1VW004KNWT (PARKER)"/>
        <s v="VALVULA HIDRAULICA DUPLA SOLENOIDE 4/3 VIAS"/>
        <s v="VALVULA HIDRAULICA REGULADORA DE PRESSÃO DNL-280-21B/1504"/>
        <s v="BLOCO DE VALVULA COM RETENÇÃO BOSCH 757"/>
        <s v="VALVULA HIDRAULICA SIMPLES SOLENOIDE RETORNO POR MOLA 3/2 VIAS D1VW104KNJWS2 (PARKER)"/>
        <s v="PRESSOSTATO PNEUMATICO HLP110"/>
        <s v="PAPEL JUNTA 2MM"/>
        <s v="PAPEL JUNTA 1MM"/>
        <s v="PAPEL JUNTA 0,5MM"/>
        <s v="REGISTRO ESFERA P/ ÓLEO TERMICO TRIPARTDA 1&quot;"/>
        <s v="REGISTRO ESFERA P/ ÓLEO TERMICO TRIPARTDA 3/4'"/>
        <s v="VALVULA DE RETENÇÃO 1/2&quot;"/>
        <s v="VALVULA DE RETENÇÃO  1/4&quot; VS6A1X"/>
        <s v="VALVULA DE RETENÇÃO  P/ ÁGUA 1/2&quot;"/>
        <s v="VALVULA DE RETENÇÃO 1&quot; PARA AGUA"/>
        <s v="VALVULA DE RETENÇÃO 1&quot;"/>
        <s v="PORCA T NORMA DIN"/>
        <s v="VALVULA DE RETENÇÃO 3/8&quot; BSP"/>
        <s v="ARRUELA PEQUENA PARA SETUP NORMA DIN"/>
        <s v="ESPIGÃO ROSCA 3/4 MANG 3/4&quot; 3/4 X 3/4&quot;"/>
        <s v="ESPIGÃO ROSCA DE 1/2 MANG DE 1/2&quot; X 1/2&quot;"/>
        <s v="ESPIGÃO ROSCA DE 1/2 MANG 3/4&quot; 1/2 X 3/4&quot;"/>
        <s v="PRISIONEIRO NORMA DIN"/>
        <s v="ESPPIGÃO REOSCA 1/4 MANG 1/4&quot;"/>
        <s v="ESPIGÃO ROSCA 3/8 MANG 1/4&quot;"/>
        <s v="ESPIGÃO ROSCA DE 1/2&quot; MANG 1/4&quot;"/>
        <s v="ESSPIGÃO ROSCA 3/4 MANG 1/2&quot;"/>
        <s v="ESPIGÃO PARA MANG DE 3/4&quot;"/>
        <s v="ESPIGÃO ROSCA 3/4&quot; MANG 1&quot;"/>
        <s v="SUPORTE PARA NIVELAMENTO"/>
        <s v="ENGATE RAPIDO FEMEA 3/4&quot;"/>
        <s v="ENGATE RAPIDO FEMEA 1&quot;"/>
        <s v="ENGATE RAPIDO MACHO 1'"/>
        <s v="ARRUELA GRANDE PARA SETUP NORMA DIN"/>
        <s v="ENGATE RAPIDO SEM RETENÇÃO"/>
        <s v="MOTOR DO EIXO DE GIRO DA CABINE DE CORTE"/>
        <s v="VALVULA DO BATE PE  TUBO BATE PE"/>
        <s v="LUMINARIA LED HIGH BAY 100W AC100-277V COR (K) 5.000 50-60Hz (STYLUX BRASIL)"/>
        <s v="PRE FILTRO COLEIRO MAKMELT"/>
        <s v="PLACA PARA ELETROLDO"/>
        <s v="CORREIA DENTADA XPB2410"/>
        <s v="PRESSOSTATO PSG DIG HUDAC EDS3408-5-0040-1/2&quot;"/>
        <s v="VALVULA DE RETENÇÃO 1/4&quot; "/>
        <s v="IHM DE CONTROLE DE TEMPERATUERA"/>
        <s v="TRANSFORMADOR RM153027 BATE PE"/>
        <s v="MISTURADOR (ABACAXI) C250 CANNAN"/>
        <s v="CONJUNTO INJETORA CANNON VALVULA 3/8 COM SOLENOIDE Z17383CA0 (PARKER)"/>
        <s v="MOTOR TANQUE DE LAVAGEM  CALPEDA Z34146CA"/>
        <s v="VALVULA DE AR  MFH3-1/2"/>
        <s v="CILINDRO PADRÃO FESTO - REF. DSBC-100-500 PPV-A-KP E943"/>
        <s v="MOTOR DE REFERENCIAMENTO DO CARPETE"/>
        <s v="VALVULA ESFERA DE ALTA PRESSÃO ROSCA FEMEA 1&quot;"/>
        <s v="VALVULA DE RETENÇÃO PNELMATICA"/>
        <s v="CONJUNTO DA CAPA DA PISTOLA DE COLA E RESISTENCIA"/>
        <s v="KIT REPARO BOMBA DE ENGRENAGEM DO COLEIRO"/>
        <s v="SENSOR DE TEMPERATURA HASTE DE 300MM"/>
        <s v="RESISTENCIA PARA PISTOLA DO COLEIRO"/>
        <s v="SENSOR DE TEMPERATURA DA PISTOLA DO COLEIRO PT100"/>
        <s v="PISTOLA DE COLA DO ROBO DEVIBILLS HVLP AUTO 1,0MM AG362-TE40-10-L"/>
        <s v="PISTOLA DE COLA DO ROBO DE COLA DO TETO"/>
        <s v="VALVULA DIRECIONAL VISTA DUPLA SOLENOIDE PILOTADA 4/2 VIAS "/>
        <s v="VALVULA DE SEGURANÇA PARA AGUA"/>
        <s v="VALVULA REGULADORA DE FLUXO P/ AGUA 1/2&quot;"/>
        <s v="ESPIGAO  EM  T  3/4&quot;Emenda Espigão para Mangueira Tipo T 3/8 0838-C Haltbar"/>
        <s v="BEXIGA PARA ACUMULADOR DE PRESSÃO BLADDER NXQ-A-6.3/31.5-L-Y"/>
        <s v="ACOPLAMENTOS AG082"/>
        <s v="ELEMENTO ELASTICCO ROTEX 28"/>
        <s v="ELEMENTO ELASTICO DAGROSS 82"/>
        <s v="VALVULA DE ALIVIO PNEUMATICA MANUAL"/>
        <s v="CAIXA DE DERIVAÇÃO ( PASSAGEM )  DUAS SAIDAS"/>
        <s v="CAIXA DE DERIVAÇÃO ( PASSAGEM )  TRES SAIDAS"/>
        <s v="BOMBA HIDRAULICA ALTA PRESSAO "/>
        <s v="BOMBA HIDRAULICA  ALTA PRESSAO PARKER PV080R1K1T1NHLC"/>
        <s v="BOMBA HIDRAULICA  R40246568"/>
        <s v="FILTRO DE AGUA PARA O INTENSIFICADOR"/>
        <s v="VALVULA GLOBO  2&quot;"/>
        <s v="VALVULA PNEUMATICA SIMPLES SOLENOIDE RETORNO POR MOLA 5/2VIAS"/>
        <s v="VÁLVULA BLOQUEIO - REF. K140612"/>
        <s v="VALVULA REGULADORA DE FLUXO"/>
        <s v="ELEMENTO OU VER-3"/>
        <s v="VALVULA REGULADORA DE FLUXO RAT CRV-102-KN20"/>
        <s v="KIT REPARO GRACO 241657"/>
        <s v="TERMOMETRO ANALÓGICO PARA AS FERRAMENTAS 100°C 1/4&quot; NPT VISOR 60MM CAIXA EM INOX"/>
        <s v="TERMOMETRO PARA AS FERRAMENTAS 300° ROSCA 1/4&quot; NPT"/>
        <s v="TERMOMETRO PARA AS FERRAMENTAS 100° ROSCA DE 1/4&quot;"/>
        <s v="VÁLVULA 3/2 VIAS C/ ATUADOR TIPO ALAVANCA COM  ROLETE FESTO - REF. R-3-1/4-B / COD.  8985 "/>
        <s v="VACUOSTATO"/>
        <s v="ABRAÇADEIRA PARA TUBO 8MM"/>
        <s v="SILENCIADOR PNEUMATICO 3/4&quot;"/>
        <s v="SILENCIADOR 1/2&quot; EM ALUMÍNIO INJETADO REF. U-1/2-B / CÓD. 6844 (FESTO)"/>
        <s v="SILENCIADOR PNEUMATICO 1/8&quot;"/>
        <s v="FITA VEDA ROSCA 18mm X 25m"/>
        <s v="MARCADOR INDUSTRIAL"/>
        <s v="TRAVA ROSCA LOCTITE 243 50G - MÉDIA RESISTÊNCIA - 1344482"/>
        <s v="COLA TERMICA TIGRE BISNAGA75g"/>
        <s v="PARAFUZADEIRA PNEUMATICA COM MANGUEIRA E FILTRO MOD: 12020034"/>
        <s v="MANGUEIRA CAPILAR  1500MM"/>
        <s v="BOMBA TRIPLA AZPFF-022-022-006-R-01-01-01-MB"/>
        <s v="BOMBA DE PISTÃO 23CC - REF. JLB28MAORP2-S02  REXROTH"/>
        <s v="BOMBA DE PREENCHIMENTO DE POLIOL"/>
        <s v="MOTOR DO AQUECEDOR DE OLEO "/>
        <s v="LAMINA DE CONTATO "/>
        <s v="UNIDADE DE CONTROLE"/>
        <s v="PLACA MAQ. DE SOLDA BATE PÉ 9999.377 (SCHIRMACHER)"/>
        <s v="PLACA ELETRONICA DO SERVOMOTOR GDM12Z"/>
        <s v="PLACA ELETRONICA DO GERADOR HSMODU 25KW"/>
        <s v="FUSIVEIS PARA GERAÇÃO DE ARCO ELETRICO"/>
        <s v="ACOPLAMENTO RESERVA PARA BOMBA"/>
        <s v="BOMBA COM EIXO CHAVETADO DO GRUPO DE ATIVADR E COLA SERVO MOTOR  BMH1002P06A2A"/>
        <s v="MANOMETRO DO HIDRAULICO DO INTENSIFICADOR  (KMT)"/>
        <s v="ROLAMENTO  LINEAR MNR: R162379420"/>
        <s v="BASE DOS PEDAIS DO BATE PÉ"/>
        <s v="MATERIAL ELETRICO DA MAQUINA DE SOLDA BATE PÉ"/>
        <s v="PEDAL BATE PÉ"/>
        <s v="PARAFUSOS PARA SETUP DAS FERRAMENTAS M-32 X 60"/>
        <s v="UNIDADE DE SERVIÇO COMBINADA P/ TRATAMENTO DE AR  - REF. MSB6 / 531030 (FESTO)"/>
        <s v="CILINDRO PADRÃO DE DUPLA AÇÃO - REF. DNCB-40-80-PPV-A / COD. 532740 (FESTO)"/>
        <s v="FOLE COMPACTO PNEUMÁTICO ATUAÇÃO SIMPLES NORGREN - REF. M/31141 / COD RAT 8674"/>
        <s v="VALVULA GLOBO PARA ALTA PRESSÃO 1/4&quot;"/>
        <s v="VALVULA DSG-01-3C2-D24-N1- YUKEN -N.C.M 8481.20.90 DSG-01-3C2-D24-N1"/>
        <s v="RESISTENCIA PARA AGUA DO TANQUE DE LAVAGEM"/>
        <s v="BOMBA DE PISTÃO COMPLETA"/>
        <s v="BICO DO COLEIRO"/>
        <s v="SENSOR DE TEMPERATURA  PT100"/>
        <s v="AGULHA DA PISTOLA DO COLEIRO"/>
        <s v="MANOMETRO REGULADOR DE PRESSÃO DO COLEIRO "/>
        <s v="TERMOSTATO DE LIBERAÇÃO DA BOMBA "/>
        <s v="POLIA DO AQUECEDOR DE ÓLEO"/>
        <s v="FILTRO DE ISSO NEWTEC"/>
        <s v="FILTRO AUTO-LIMPANTE 0,1MM - REF. SCF035"/>
        <s v="BOMBA DE ENGRENAGEM DO SISTEMA HIDRAULICO HGP3AF17R"/>
        <s v="BOMBA DE  ABASTECIMENTO PARA POLIOL"/>
        <s v="BOMBA DE ENGRENAGENS P/ ABASTECIMENTO - REF. NB2-C25F"/>
        <s v="VALVULA PURGADORA FILTRO DE LINHA"/>
        <s v="BOMBA HIDRAULICA 32207621"/>
        <s v="BOMBA DE ISOCIANATO"/>
        <s v="BOMBA HIDRAULICA DO CARPETE 34494459/602"/>
        <s v="RÉGUA DE NIVEL INJETORA CHINESA 912076155605"/>
        <s v="RESISTENCIA DO AQUECEDOR DE AGUA"/>
        <s v="GICLE PARA INJEÇÃO DE ISOCIANATO"/>
        <s v="GICLE PARA INJEÇÃO DE POLIORETANO"/>
        <s v="RESISTENCIA DO TANQUE DE POLYOL"/>
        <s v="TRANSMISSOR DE PRESSÃO XMLR040G2P05"/>
        <s v="TRANSMISSOR DE PRESSÃO BSP001A (BALLUFF)"/>
        <s v="SENSOR DE PRESSÃO  XMLRO10G1P25"/>
        <s v="VALVULA DE CONTRA BALANÇO TRUCK CBEA-LIN 62 602813"/>
        <s v="VALVULA DE ALIVIO DE PRESSÃO "/>
        <s v="VALVULA DE RETENÇÃO PARA ISOCIANATO 1&quot;"/>
        <s v="VALVULA DE RETENÇÃO PARA ISOCIANATO 2&quot;"/>
        <s v="PONTA MONTADA B21  CONTROLE POR NIVEL"/>
        <s v="PONTA MONTADA A-004"/>
        <s v="PONTA MONTADA A22"/>
        <s v="PONTA MONTADA A-024"/>
        <s v="PONTA MONTADA A35"/>
        <s v="PONTA MONTADA B41"/>
        <s v="PONTA MONTADA A5"/>
        <s v="PONTA MONTADA A18"/>
        <s v="PONTA MONTADA A24"/>
        <s v="PONTA MANTADA A34"/>
        <s v="PONTA MONTADA B52"/>
        <s v="PONTA MONTADA A21"/>
        <s v="PONTA MONTADA A36"/>
        <s v="VALVULA DE RETENÇÃO 1/2&quot; COM VEDAÇÃO TEFLON"/>
        <s v="SILICONE SPRAY ANTIRESPINGO"/>
        <s v="VASELINA SPRAY 250ml ORBI-5315"/>
        <s v="LUBRIFICANTE SECO GRAFITE SPRAY 300ml ORBI"/>
        <s v="ADESIVO PARA JUNTAS DE MOTORES DISEL 75g "/>
        <s v="MASSA ADESIVA EPOXI DUREPOXI LOCTITE 100g"/>
        <s v="SILICONE ASSEPTICO PROFISSIONAL 280g "/>
        <s v="PONTEIRA ROTULAR M10"/>
        <s v="LIMPA CONTATO SPRAY 7349  300ML WURTH"/>
        <s v="PLACA ELETRONICA DO CLP 047-68969390"/>
        <s v="CABEÇOTE- REF. DHV1218 - 2K"/>
        <s v="BOMBA DE VACUO MOD: G-BH1 2BH1310-7HH26"/>
        <s v="AQUECEDOR PARA AGUA"/>
        <s v="NIPLE DE 1/2&quot; "/>
        <s v="NIPLE DE 1&quot;"/>
        <s v="BLOCO DE COMANDO BIMANUAL FESTO - REF. ZSB-1/8-B / COD. 576656 (FESTO)"/>
        <s v="VÁLVULA REGULADORA DE PRESÃO G1/2 - REF. MS6-LR-1/2-D7-AS / COD. 529993 (FESTO)"/>
        <s v="TEMPORIZADOR 20..300SEG PNEUMÁTICO FESTO - REF. PZVT-300-SEC / COD. 150239"/>
        <s v="VÁLVULA PNEUMÁTICA 5/3 VIAS CENTRO FECHADO FESTO - REF. VL-5/3G-3/8-B / COD. 14950 (FESTO)"/>
        <s v="ATUADOR TIPO SELETOR P/ PAINEL FESTO - REF. N-22-SW / COD. 7803 E602 (FESTO)"/>
        <s v="VÁVULA PNEUMÁTICA COMPACTA FESTO - REF. J-3-PK-3 / COD. 10772 (FESTO)"/>
        <s v="VALVULA PNEUMÁTICA 3/2 VIAS FESTO - REF. VL/O-3-1/8-B / COD. 4245 E702 8bar (FESTO)"/>
        <s v="VÁLVULA PNEUMÁTICA 5/3 VIAS CENTRO FECHADO FESTO - REF. VL-5/3G-D-3-C / COD. 151867 E743 (FESTO)"/>
        <s v="BLOCO LÓGICO &quot;E&quot; PNEUMÁTICO - REF. ZK-PK-3-6/3 / COD. 4204 (FESTO)"/>
        <s v="VÁLVULA PNEUMÁTICA 3/2 VIAS NORM. ABERTA FESTO - REF. VL/O-3-PK-3x2 / COD. 151863 E643 (FESTO)"/>
        <s v="BLOCO DISTRIBUIDOR 12 SAÍDAS  - REF. FR-12-PK-3-B / COD. 8761 (FESTO)"/>
        <s v="VÁLVULA DE RETENÇÃO PILOTADA ROSCA G1/2 TUBO 12MM FESTO - REF. HGL-1/2-QS-12 / COD. 530045"/>
        <s v="CONJUNTO CORTINA DE LUZ (SICK)"/>
        <s v="MOTOR DOS AQUECEDORES DO FORNO VERTICAL"/>
        <s v="GRAXA MULTIFAK EP2"/>
        <s v="ÓLEO HIDRAULICO HLP 68 DENSIDADE 68"/>
        <s v="OLEO PNEUMATICO MOBIL UNILUB-10 S10 "/>
        <s v="OELO PNEUMATICO S10"/>
        <s v="ÓLEO TERMICO TAMBOR 200L DENSIDADE 100/1200"/>
        <s v="MANGUERIA DE TEFLON 8mm"/>
        <s v="MANGUERIA EM ACO 3/8 700mm "/>
        <s v="MANGUEIRA TEFLON 6MM"/>
        <s v="MANGUEIRA ALTA PRESSAO 100mm 1/2 "/>
        <s v="MANGUEIRA DE ALTA PRESSAO 1/2POL 1500MM"/>
        <s v="MANGUEIRA TEFLON REVESTIMENTO ACO 1/4 BSP 1000MM RABICHO"/>
        <s v="MANGUEIRA TEFLON REVESTIMENTO ACO 1000mm  1/4"/>
        <s v="MANGUEIRA TEFLON REVESTIMENTO ACO 1000mm  "/>
        <s v="MANGUEIRA TEFLON REVESTIMENTO DE ACO JIT 3/4POL 1500MM "/>
        <s v="MANGUEIRA DE ALTA PRESSAO SISTEMA INJECAO HIDRAULICO"/>
        <s v="MANGUEIRA HIDRAULICA SISTEMA INJECAO INNER    ( ISSO )"/>
        <s v="MANGUEIRA PNEUMATICA DE POLIURETANO TUBO 4MM EXTER AZUL ACIMA DE 10 bar"/>
        <s v="MANGUEIRA PNEUMATICA DE POLIURETANO TUBO 8MM EXTER AZUL ACIMA DE 10 bar"/>
        <s v="MANGUEIRA PNEUMATICA DE POLIURETANO TUBO 12MM EXTER AZUL ACIMA DE 10 bar"/>
        <s v="MANGUEIRA TERMOPLASTICA  3/8' 2500MM"/>
        <s v="MANGUEIRA HIDRAULICA 1/4  2M BSP"/>
        <s v="MANGUEIRA HIDRAULICA 1000MM   1/4&quot;  3250PSI"/>
        <s v="MANGUEIRA TRANSFERENCIA COLA  3/8&quot;"/>
        <s v="MANGUEIRA PNEUMATICA DE POLIURETANO "/>
        <s v="MANGUEIRA 3/4 ALMA DE ACO "/>
        <s v="MANGUEIRA DE 1 POL ALMA DE ACO "/>
        <s v="MANGUEIRA DE BORRACHA 31 BAR 3/4&quot;"/>
        <s v="MANGUEIRA PARA AGUA 3/4&quot;"/>
        <s v="MANGUEIRA 2 POL ALMA DE ACO "/>
        <s v="MANGUEIRA HIDRAULICA 1 POL 2390 PSI 500MM"/>
        <s v="MANGUEIRA HIDRAULICA 3/4 3100PSI 800MM "/>
        <s v="MANGUEIRA PNEUMATICA DE POLIURETANO TUBO 6MM EXTER AZUL ACIMA DE 10 bar"/>
        <s v="MANGUEIRA PARA OLEO TERMICO 1,5 METROS"/>
        <s v="MANGUEIRA PARA OLEO TERMICO 2300mm"/>
        <s v="MANGUEIRA PARA AGUA 1/2&quot;"/>
        <s v="CORREIA DENTADA 1700H"/>
        <s v="CORREIA DENTADA 360H"/>
        <s v="CORREIA DENTADA T10-810AD"/>
        <s v="CORREIA DENTADA T10-450"/>
        <s v="CORREIA DENTADA T10-530"/>
        <s v="CORREIA DENTADA BX381815"/>
        <s v="CORREIA DENTADA BSX33"/>
        <s v="CORREIA DENTADA T10660"/>
        <s v="CORREIA DENTADA 14KJB"/>
        <s v="CORREIA DENTADA HTD500-5M"/>
        <s v="CORREIA LISA B36"/>
        <s v="CORREIA LISA 5L-380"/>
        <s v="MANGUEIRA PARA AGUA 1&quot;"/>
        <s v="PERFIL DE VEDACAO DO CABECOTE INJETORA CHINESA"/>
        <s v="MANGUEIRA PNEUMATICA DE POLIURETANO TUBO 10MM EXTER AZUL ACIMA DE 10 bar"/>
        <s v="MANGUEIRA TEFLON 10MM"/>
        <s v="RISOLVER SICK D-78166 SKM36S"/>
        <s v="ADESIVO INSTANTANEO WURTH 20G W096"/>
        <s v="ACOPLAMNETO  STECK N3059 2P+T 16A 9H/380-440V"/>
        <s v="ELEMENTO  FILTRANTE ID5770"/>
        <s v="ANILHA PARA SERPENTINA "/>
        <s v="ROLAMENTO AGULHA NK 20/20"/>
        <s v="DOSADOR D3RE 3000"/>
        <s v="LUBRIFICADOR LOE1/2 (FERGE) "/>
        <s v="PARAFUSO DA HASTEA DO CILINDRO HIDRAULICO "/>
        <s v="CINTA 3T"/>
        <s v="ENGATE RAPIDO STANYL -400"/>
        <s v="BICO ESPIGÃO 3/8"/>
        <s v="MIG/MAG 1.00KK 18G DIAMETRO 1,000MM"/>
        <s v="MANOMETRO 10 BAR 140 PSI"/>
        <s v="MANOMETRO 16BAR 220PSI"/>
        <s v="HAN 10 E-BUS-S"/>
        <s v="HAN 10 E-STI-S"/>
        <s v="BASE SEPARADOR PARA RELE RXM2.1 RX2E25108M (SCHINEDER)"/>
        <s v="SUPORTE PARA BINARIO HAN "/>
        <s v="MANGUEIRA P/ AQUECIMENTO DE ADESIVO / COLA MAKMELT BR17G294 6MT 230V 660W 1200SI"/>
        <s v="INVERSOR DE FREQUENCIA WEG CFW500A043T4NB20 380-480VAC 5,2A "/>
        <s v="IHM / CONTROLADOR MAKMLT MOD. RK221-V2.5 90-240VCA "/>
        <s v="MOLA DE COMPRESSAO DIN.20 X 120 X FIO 10 CHATO PASSO 10 BASE RETA "/>
        <s v="TOMADA MACHO SIMPLES 2P +T 10A 280V  PLUG "/>
        <s v="BLOCO DA CANETA TEE:60 KSI;3/8IN G2003"/>
        <s v="CURVA R-CURTO 90° SOLDAVEL PVC 25MM"/>
        <s v="UNIAO L/R 25X3/4&quot; PVC REFORCO ROSCA EM LATAO"/>
        <s v="T SOLDAVEL PVC 25MM "/>
        <s v="VALVULA ESFERICA MANUAL SOLDAVEL PVC 25MM"/>
        <s v="MANGUEIRA P/ AQUECIMENTO DE ADESIVO / COLA VALCO MELTON MOD. 981XX208 H6060 230V 840W 100BAR 230°C 4,8MT 16FT"/>
        <s v="CILINDRO DO CABECOTE DE ALTA PRESSAO WSI PN: SP05144647 SLIV;  SLV "/>
        <m/>
        <s v="BOMBA ENGRENAGEM TRIPLA MAXHYDRO 1901255 //AZPFFF-022-022-005 RAB01 MB"/>
        <s v="REDUTOR  MOTOVARIO 6728786-003 "/>
        <s v="MODULO REDUTOR  MOTOVARIO NMRV 040"/>
        <s v="ROLAMENTO LINEAR BARRA/ROSCA PMI S4-16000376-20 //2008 "/>
        <s v="MODULO REDUTOR  MOTOVARIO NMRV 030 "/>
        <s v="SENSOR OPTICO SICK WTB12-3P2431 "/>
        <s v="CONTATO ELETRICO NO 10A  SCHNEIDER ZA2EE101"/>
        <s v="CHAVE ELETRICA REVERSORA MARGIRUIS CR830 30A SERIE 800"/>
        <s v="REDUTOR MECANICO UNIMEC TIPO TPR-00204 1/5 FOMA B "/>
        <s v="TOMADA FEMEA SIMPLES 2P 10A 250V PLUG "/>
        <s v="ROLAMENTO RIGIDO DE ESFERA 6902D NSK "/>
        <s v="ASSENTO BLOCO DE CANETA VL 10188233"/>
        <s v="SUPORTE PARA SENSOR 2012938"/>
        <s v="SUPORTE PARA SENSOR 2013942"/>
        <s v="PRENSA CABO PG 16"/>
        <s v="PRENSA CABO PG-7"/>
        <s v="PRENSA CABO M20X1.5"/>
        <s v="AMORTECEDOR MOLA GAS 1250N MG06 159 0422 1250K"/>
        <s v="KIT PISTOLA DE COLA TS-2007B-14 (MSD)"/>
        <s v="BORNE CINZA UJ5-2.5"/>
        <s v="BORNE GREME UT2-2.5(T)"/>
        <s v="BRONE AZUL UT2-6(T)"/>
        <s v="BORNE DIVERSOS "/>
        <s v="BORNE MARROM EW35"/>
        <s v="BOTAO  REF:NO WORK ORDE:4322040 CLP110 LOC:ES17.28.05"/>
        <s v="AMORTECEDOR MOLA GAS 900N MG10 220 0542 0900J (RUBIGRUN)"/>
        <s v="FLANGER ROSCADO 1&quot; ANSI B16.5 300LBS"/>
        <s v="MASCARA DE SOLDA MIG 5964"/>
        <s v="TRANSFORMADOR 250 VA 50/60Hz (LEGRAND)"/>
        <s v="ESTEIRA PORTA CABOS FB.370.75.175"/>
        <s v="DISCO DESBASTE 1 METAL 203X19.0X31.75MM"/>
        <s v="DISCO DESBASTE METAL 91011167"/>
        <s v="DISCO DESBASTE METAL  203.2X19.0X31"/>
        <s v="DISJUNTOR STECK NM 60898 50 IP CC"/>
        <s v="ROLAMENTO RIGIDO DE ESFERA  6202-2Z"/>
        <s v="TAMPA PARA TOMADA REGIDA WETZEL"/>
        <s v="ANILHA DA SERPENTINA 1/4&quot; KGL40 314AE"/>
        <s v="SENSOR MAGNETICO MG M20 M30 2NO M8 4POLES CONN"/>
        <s v="SOFT STARTER 3RW4038-IBB04"/>
        <s v="INCREMENTAL AND ABSOLUTE ER63G 102425/28P 15X3JR (ELTRA)"/>
        <s v="INCREMENTAL AND ABSOLUTE EH 80P 100028/24P 15X3PR2 (ELTRA)"/>
        <s v="KIT COLEIRO"/>
        <s v="BASE EM ACO "/>
        <s v="T PVC AMANCO DN 42 NBR 15884"/>
        <s v="NIPLE PVC ROSQUEADO  ROSCA2&quot;"/>
        <s v="CURVA R-CURTO 90° ROSQUEADA PVC 2&quot;"/>
        <s v="RELE 24V BOOTON VIEW 1726W2 5A G2R-2-SN(S)  (OMRON)"/>
        <s v="CONTADOR SCHMESAL ES 17.27.03"/>
        <s v="BOTAO VI 500V ES 17.27.02"/>
        <s v="SUPORTE PARA BARREIRA "/>
        <s v="SOLENOID PM153BV PM153BV 3/8&quot; 24VDC"/>
        <s v="VEDACAO DZQ-0220"/>
        <s v="CABO P/ SENSOR M12 5PINO SICK YG2A14-050UB3XLEAX "/>
        <s v="KIT WALTE JET VL 05116017"/>
        <s v="AGULHA KIT WALTE JET VL 20435636"/>
        <s v="ROLAMENTO 6203"/>
        <s v="ORING 1,4&quot; B5 1'. 5 X 16.5"/>
        <s v="ORING  150097-0"/>
        <s v="ORING  143059-0"/>
        <s v="ORING 81363 NBR"/>
        <s v="ORING 143055-0"/>
        <s v="ORING 7/16X2-5/8&quot; VL 10074714"/>
        <s v="ORING 2-1/4&quot;X 2.3/8&quot;X1/16 VL 10074631"/>
        <s v="ORING DIVERSAS "/>
        <s v="INDUTIVE BIC 213-P2A50-M30M13-SM4ACA"/>
        <s v="BLUG CLAVIJA 2P+T 16A 380 440V"/>
        <s v="ADESIVO INDUSTRIAL  ADHM 200 2L (ADECOL)"/>
        <s v="CILINDRO DOT-39 NRC 260/325 M1003"/>
        <s v="BOTAO SCHNEIDER 2BSA 5839"/>
        <s v="SCHNEIDER Chave Seletora Plástica Manopla Curta Pos Fixas XA2ED21 WH18365515"/>
        <s v="RELE DE SEGURANCA XPSLCMUT1160"/>
        <s v="MINI CONTATOR WEG CWC09-10-30C03"/>
        <s v="ROLAMENTO PEE 6082KSP-V2"/>
        <s v="ROLAMENTO PEE 6202-2RLD-V2"/>
        <s v="FOLHA LIXA METALCARBO A80"/>
        <s v="FOLHA LIXA PANO METAL A120"/>
        <s v="BICO DE PISTOLA DO DESMOLDANTE SL05112768 (WSI)"/>
        <s v="ADITIVO PLASTICO DOP"/>
        <s v="OLEO PARA TURBINAS ISO 100"/>
        <s v="OLEO DIESEL "/>
        <s v="ROLAMENTO R6Z"/>
        <s v="KIT CAPA DE AR DO BICO ROBO DE COLA AIRPRO 1,4MM GR-289773"/>
        <s v="RELAIS MINIATURA RXM2AB2BD 24VDC  IEC 61810-1  (SCHNEIDER)"/>
        <s v="RELE FINDER DE DUPLO CONTATO S/BASE TIPO 40.52 8A 250V 24V DC"/>
        <s v="ANTE-RESPINGO SPRAY BASE H2O WURTH"/>
        <s v="FITA AUTO ADESIVA 3MM X 50MM X 20M VIDOFLEX"/>
        <s v="CABO USB to RS-232, 4-PIN M8 cable (2 m) DSL-8U04G2M025KM1"/>
        <s v="IHM MT8071iE S/N: 1811280946 24VDC+- 20% 450mA  (WEINTEK)"/>
        <s v="ACOPLAMENTO ROSCA 1/4 PARA SENSOR TIPO SONDA PT100 8MM"/>
        <s v="SENSOR DE TEMPERATURA TIPO SONDA 8MM PT100 0 A 400° CABO ELETRICO COM 2000MM "/>
        <s v="ESCADA BANQUETA 59cm X 42cm X 65cm"/>
        <s v="PORCA SEXT PARLOCK 12M 1.25"/>
        <s v="RELE DE SEGURANÇA D-79183 IDENT- 6026136 (SICK)"/>
        <s v=" ROLO CABO  PT-100"/>
        <s v="BOTAO SCHMERSAL CLP110 + CLP101 + PLACA EMERG"/>
        <s v="ARAME GALVANIZADO BWG 16 E=1,24MM"/>
        <s v="REBITE ALUMINIO POP 3,2 12MM"/>
        <s v="CHUMBADOR PBA 5/8&quot; X 7"/>
        <s v="BOMBA DE PALHETA FZP-2/4.0 HYDAC"/>
        <s v="VAZILINA SPRAY"/>
        <s v="CORREIA LISA HTA 500-5M"/>
        <s v="CORREIA LISA B-36"/>
        <s v="CORREIA LISA A-37"/>
        <s v="CORREIA LISA 3L-380"/>
        <s v="CORREIA LISA DU15-506"/>
        <s v="CORREIA LISA B38 17 X 9652"/>
        <s v="CORREIA DENTADA TORQUE FLEX XPB 2410"/>
        <s v="BARREIRA DE LUZ SICK C40E-0604CA010  0,70 cm"/>
        <s v="BARREIRA DE LUZ SCHMERSAL 19396501  0,90cm"/>
        <s v="BARREIRA DE LUZ SICK C405-1503DA040 1,60cm"/>
        <s v="BARREIRA DE LUZ SCIK DETEC 4 core 0,45cm"/>
        <s v="BARREIRA DE LUZ SCIK C405-0303DA040 0,40cm"/>
        <s v="BARREIRA DE LUZ SCIK C465-04-03-CT400 0,50cm"/>
        <s v="BARREIRA DE LUZ SCIK 1203CU400 1,30cm"/>
        <s v="BARREIRA DE LUZ SCIK C405-1804CA01D 1,90cm"/>
        <s v="BARREIRA DE LUZ SCIK C40E-0303DB040 0,40cm"/>
        <s v="BARREIRA DE LUZ SCHMERSAL 19397601 1,80cm"/>
        <s v="LIXA D´AGUA 1,200"/>
        <s v="LIXA D´AGUA 320"/>
        <s v="MOTOR ELÉTRICO TRIFÁSICO 2.2KW (3HP) - REF. Y2-100L1-4"/>
        <s v="VÁLVULA BLOQUEIO - REF. GE2GGT53011A000 (GEMELS)"/>
        <s v="FONTE DE ALIMENTAÇÃO CHAVEADA 24V 200W - REF. NES-200-24"/>
        <s v="DISJUNTOR MOTOR TERMOMAGNÉTICO SCHNEIDER - REF. GV2-ME02C / 0.16-0.25A"/>
        <s v="BOTÃO DE EMERGÊNCIA COM TRAVA DE BLACKOUT VM CLE2 40"/>
        <s v="VÁVULA ESFERA 1&quot; EM AÇO CARBONO TRIPARTIDA C/ ATUADOR PNEUMÁTICO NAMUR (MIPEL)"/>
        <s v="PLACA COLEIRO 151XX680 (MADE FROM 152XX680) KRM 0007; VER M1 *PCB ASSY 12-ZONE GEAR- PUMP NI-120 18041 625 (VALCO MELTON)"/>
        <s v="IHM COLEIRO  SCS STATIC SHIELDING BAG (BATCH NO: 82209 PIN;782XX308) (AXE318) (VALCO MELTON)"/>
        <s v="INVERSOR COLEIRO 8400 BASELINE HWLSW VER:3A34 TYP:E84AVBDE25125X0 INPUT 1/N/PE AC 230V 50-60 Hz 3.4A OUT PUT 3/PE AC 0-230V 0-300Hz 1.7A 0.25KW (VALCO MELTON)"/>
        <s v="ORING 12X2mm 910XX049 (VALCO MELTON)"/>
        <s v="PLACA PCB ASSY DUAL-VFD +/-15 HMU 151XX701 (VALCO MELTON)"/>
        <s v="RESISTÊNCIA ELETROTHERMO 2FTRZ 800W 240V "/>
        <s v="RELE MINIATURE RXM2ABBD 12A 24VDC+LED ZELIO RELAY 940347"/>
        <s v="ACOPLAMENTO STECK N3049 16A-9h 380-440V 2P+ 0SN09318 FEMEA"/>
        <s v="BLOCO DE CONTATO IEC 947 10A SCHNEIDER"/>
        <s v="BLOCO DE CONTATO LA1 KN22 IEC/EM 60947-5-1 J15 C4531 10A"/>
        <s v="BLOCO DE CONTATO IEC 60947 3RH1921-1HA22"/>
        <s v="BLOCO DE CONTATO GB14048.5/50Hz IEC/EM.60947-5-1 UI690V (SIEMENS)"/>
        <s v="CAIXA P/ QUADRO DE COMANDO 400X400X200 "/>
        <s v="CAIXA P/ QUADRO DE COMANDO 400X300X200"/>
        <s v="BOMBA HIDRAULICA PISTÃO  BOSCH/REXROTH A4VSO180LR2Z/30E"/>
        <s v="MOTOR ELETRICO V230-50HZ - NBR500-1"/>
        <s v="MOTOR ELETRICO MOV FACA 5.5 KW 5500W B5"/>
        <s v="ROLAMENTO ESFERA PARA MAQ LAMINADORA"/>
        <s v="ROLAMENTO ESFERA 6210 2 RS 50X90X20"/>
        <s v="ROLAMENTO ESFERA 62206 2 RS 30X62X20"/>
        <s v="MANCAL DO ROLAMENTO UPC 210 HOLE 50"/>
        <s v="MANCAL DO ROLAMENTO UCF 206 HOLE D30"/>
        <s v="MANCAL DO ROLAMENTO UCPA 210 D20"/>
        <s v="MANCAL QUADRADO DO ROLAMENTO UCF 210 D 4"/>
        <s v="MANCAL QUADRADO DO ROLAMENTO UCF 204 D 2"/>
        <s v="ENGRENAGEM CONICA ESPIRAL PCM BG12 A"/>
        <s v="UNTA UNIVERSAL 04G CODE SG0S 1200"/>
        <s v="PORCA AUTO TRAVANTE GUK M20 X 1"/>
        <s v="PORCA AUTO TRAVANTE GUK M 50"/>
        <s v="JUNTA BORRACHA RCK 70 40X65 VULCANIZADA"/>
        <s v="JUNTA TRANSMISÃO MOTOVARIO H062U"/>
        <s v="ENGRENAGEM CONICA 1:1 M=3 Z=25"/>
        <s v="REDUTOR COAXIAL B-A72 FA LAM BLOCO HORIZ"/>
        <s v="ACOPLAMENTO MAGNETICO JYY180M"/>
        <s v="MOTOR ELET. ELEVAÇÃO CILINDRO KW0,25 4 P"/>
        <s v="MOTOR ELETRICO  0,25 KW 250 KW 4 POLES B"/>
        <s v="MOTOR AJUSTE FACA 0.18 KW 4 POLOS B14"/>
        <s v="MOTOR ELÉTRICO FRENO CC 230V. SBR440-1"/>
        <s v="MOTOR TT 90L 1.5 KW 4 POLES 1420 REVS"/>
        <s v="BLOCOS DE PROTEÇÃO CONECTOR 3-POLE, 3+ 5SD7463-0 SURGE ARRESTER TIPO 2 EXIGÊNCIA CATEGORIA C, UC 350V (SIEMENS)"/>
        <s v=" DISJUNTOR CIRCUITO 5SP4391-7   400 V 10KA, 3-POLE, C, 100A, D 70 MM (SIEMENS)"/>
        <s v="DISJUNTOR REF:4086900000308 MODELO 5SY8332-7 (SIEMENS)"/>
        <s v="DISJUNTOR ELETRICO C10 EZ9F33210 (SCHNEIDER) "/>
        <s v="CHAVE SECCIONADORA COM BLOQUEIO EM 60947-3 LW30-63 300010 690V 50Hz"/>
        <s v="CONVERSOR SERIAL RS232/RS485 CS485-V"/>
        <s v="PROGRAMADOR LOGICO CONTROLLER K7M-DT30U (V3.40) LSR-G7M-DT30U-N (A) S/N: 5008310031D"/>
        <s v="CILINDRO DE ALTA PRESSÃO (FLAUTA/LINER-HP CYLINDER) EM LATÃO"/>
        <s v="MOTOR ELÉTRICO TRIFÁSICO , 1400rpm, 0,35A (380V/60HZ) "/>
        <s v="MOTOR ELÉTRICO TRIFÁSICO 2.2KW, 220-380V - 60Hz - 1140rpm"/>
        <s v="MOTOR ELÉTRICO TRIFÁSICO 1.5KW - 380V - 1400rpm - 60 Hz"/>
        <s v="MOTOR ELÉTRICO 380V - 0,35A - 60HZ - 1400RPM , 45W"/>
        <s v="MOTOR ELÉTRICO TRIFÁSICO B5 1,5KW, 1390rpm, 3.7A (380V/60HZ) - REF YP2-90L-4"/>
        <s v="MOTOR ELÉTRICO TRIFÁSICO 1.5KW - 380V - 1850rpm - 60 Hz"/>
        <s v="MOTOR ELÉTRICO TRIFÁSICO 380V - 5.1A - 1410RPM - 60Hz"/>
        <s v="AGULHAS PARA MOLDAGEM DO CARPET "/>
        <s v="PISTOLA DE AR COMPRIMIDO PARA LIMPEZA COM BICO LATÃO"/>
        <s v="MANGUEIRA PNEUMATICA TUBO ESPIRAL 08,00X05,X03,50M AZUL PU"/>
        <s v="FONTE BAE 003 BAE OS-XA-1W-24-200-005 24VDC 20A (BALLUFF)"/>
        <s v="TERMINAIS PRE ISOLADOS LU2694 (CRIMPER)"/>
        <s v="BOIA DE NÍVEL 100-250V 1NA+1NF 15A"/>
        <s v="TRANSFORMADOR DE TEM- POT.250VA TEN-ENT 440V TEN- SAI220V FER:60Hz"/>
        <s v="CONTACTOR AUXILIAR LP1K0901BD (SCHINEDER)"/>
        <s v="CONTACTOR AUXILIAR LC1K0910Q7 "/>
        <s v="DISJUNTOR TERMONAGNETICO NM60898 IEC60947-2SD 1P C16 230-400V"/>
        <s v="FUSÍVEL 3NA3 830 SIMENS 500V 100A"/>
        <s v="SENSOR INDUTIVO BES 0026 12,00V...30,00VDC (BALLUF)"/>
        <s v="PERISE SSCTEUR (+JOINT PROFILE) IP65-DIN 43650 A ISO4400-3+PE XEZC C43FCP40B (TELEMECANIQUE)"/>
        <s v="PEPPERL+FUHS TYPE:NBB20-L2-E2-V1  PART NO.: 187481 10-30VDC/200nA"/>
        <s v="CERABAR T PMP 131-A1401A70 MWP100BAR ("/>
        <s v="DISJUNTOR MODULAR TRIPOLAR NG 4P-100A NG125N 18660 (SCHINEDER)"/>
        <s v="MÓDULO DE ENTRADAS ANALÓGICAS 2 AI - I 4WIRE 1P 6ES7 134-4G B62-0AB0"/>
        <s v="PLACA DO AQUECEDOR AINTEC AM5TW-4805S-RZ1114"/>
        <s v="CULLER MODEL:NF 12038HP-24V (NEW FLOW)"/>
        <s v="SENSOR AG.D-79183 WALDKIRCH  LL3-TB01"/>
        <s v="SENSOR PEPPERL+FUCHS PART NO.805076"/>
        <s v="SENSOR FES-N11CP#E4L93194B"/>
        <s v="KIT REPARO DA GERADORA DE VACUO 0125615 (PIAB)"/>
        <s v="CAIXA PARA PAINEL ELÉTRICO 300X200X120 REF:SEX322 053031 (STECK)"/>
        <s v="CAIXA PARA PAINEL ELÉTRICO SEX171 059771 IP55 (STECK)"/>
        <s v="ROLAMENTO PERNI FOLLI GC 35"/>
        <s v="ROLAMENTO JAPAN CF168UUR"/>
        <s v="ROLAMENTO 2207 (ROLLWAY)"/>
        <s v="ELEMENTO FILTRANTE PARA ÓLEO 0240 D 010 ON (HYDAC)"/>
        <s v="ELEMENTO FILTRANTE MODELO: PAW 4000-04 1.0Mpa (valmaster)"/>
        <s v="MASSA SOLDA A FRIO COMPOSTO DE AÇO COM RESINAS 4:1 RESINA A 4:1 ENDURECEDOR B"/>
        <s v="FOLE COMPACTO PNEUMÁTICO WBZ 500 ECO MAX:0-8bar TEMP RANJE -40ºC -50ºC (MAX+70ºC) (WEFORMA)"/>
        <s v="ACIONADOR PNEUMATICO MOD:4H210-06L PRESSURE:0-0. 8MPA"/>
        <s v="CILINDRO PNEUMATICO MOD:DSN25X125-S (FERGE)"/>
        <s v="VALVULA PNEUMATICA MOD: 9857 SERIE F355 MFH-3-1/2&quot;"/>
        <s v="CILINDRO COMPACTO (FESTON)"/>
        <s v="ROLAMENTO MOD:2208 STB "/>
        <s v="MANOMETRO 16bar 220psi "/>
        <s v="PONTA MONTADA A34"/>
        <s v="ROLAMENTO NATR5PP 300122"/>
        <s v="FILTRO DE ÁGUA SHB-065 HIDRAÚLICO R. 1&quot;X12 UNF "/>
        <s v="RETENTOR 17X35X10X2"/>
        <s v="ROLAMENTO LINEAR 411N30F0 (THOMSON)"/>
        <s v="CONEXÃO PNEUMATICA LUVA T 4mm X 4mm"/>
        <s v="CONEXÃO PNEUMÁTICA T  COM ROSCA DIVERSOS"/>
        <s v="CONEXÃO PNEUMÁTICA 10mm  REGULADORA"/>
        <s v="CONEXÃO PNEUMÁTICA 8mm REGULADORA"/>
        <s v="CONEXÃO PNEUMÁTICA  8mm COTOVELO COM ROSCA 12MM"/>
        <s v="BLOCO DE VALVULA + HYD-47Y352"/>
        <s v="MANOMETRO GLICERINA 635RL 100bar 1400psi"/>
        <s v="ROLAMENTO UC 210 HT2 V22"/>
        <s v="LUMINARIA LED 500W IP66 45000 LED"/>
        <s v="FILTRO ASSEMBLY MOD: 3116652"/>
        <s v="ELEMENTO DO FILTRO ASSEMBLY MOD: 3116674"/>
        <s v="RETENTOR LATA 33,7X47,6X9"/>
        <s v="RETENTOR VLSB02847 SB"/>
        <s v="REPARO PARA ENGATE RAPIDO"/>
        <s v="ORING EM VITON  37,50X3,60"/>
        <s v="REPARO DAS PRENSAS EPILA  FCE001897"/>
        <s v="REPARO DAS PRENSAS EPILA  FCE001898"/>
        <s v="COPO DO FILTO DO WALTER JET "/>
        <s v="REGULADOR DE FLUXO 15"/>
        <s v="CANETA DO WALTER JET MONTADA "/>
        <s v="DISJUNTOR MOTOR STECK SLS2252C - 3P 25A 20-25A"/>
        <s v="VALVULA PROPORCIONAL  D1FBE32FC0NB0019C25X726"/>
        <s v="CILINDRO MAX H YDRO "/>
        <s v="VALVULA PNEUMATICA PARA OLEO TERMICO "/>
        <s v="ROLAMENTO UC202"/>
        <s v="BITS Nº 2X50mm S2 PH2"/>
        <s v="BITS T-20"/>
        <s v="SUPORTE PARA O BITS T-20"/>
        <s v="REFLETOR LED 100-240V "/>
        <s v="CHAVE SCHMERSAL RSS 36-D-ST Eu: 24vdc le; 0,6A  IP 69K 101213954 3Z7"/>
        <s v="CHAVE SICK D-79183 2N/C 1N/O BBM M20 I17-SA213 IDENT. NO. 602567"/>
        <s v="PISTOLA AUTOMATICA DE PINTURA PICCOLA MDS 80mm "/>
        <s v="AGULHA DA PISTOLA AUTOMATICA DE PINTURA PICCOLA 03mm POS.10 (MDS)"/>
        <s v="BICO DE FLUIDO DA PISTOLA AUTOMATICA DE PINTURA PICCOLA 0.3mm pos.3 (MDS)"/>
        <s v="ANEL DE RETENÇÃO DA PISTOLA AUTOMATICA DE PINTURA PICCOLA pos.1 (MDS)"/>
        <s v="CAPA DE AR DA PISTOLA AUTOMATICA DE PINTURA PICCOLA pos.2 (MDS)"/>
        <s v="MOLA DO PARAFUSO DO LEQUE DA PISTOLA AUTOMATICA DE PINTURA PICCOLA pos.5 (MDS)"/>
        <s v="PARAFUSO DO LEQUE DA PISTOLA AUTOMATICA DE PINTURA PICCOLA pos.6 (MDS)"/>
        <s v="GUARNIÇÃO DA PISTOLA AUTOMATICA DE PINTURA PICCOLA pos.7 (MDS)"/>
        <s v="PARAFUSO DE VEDAÇÃO DA PISTOLA AUTOMATICA DE PINTURA PICCOLA pos.8 (MDS)"/>
        <s v="SUPORTE DA AGULHA DA PISTOLA AUTOMATICA DE PINTURA PICCOLA pos.11 (MDS)"/>
        <s v="ANEL &quot;O&quot; DA PISTOLA AUTOMATICA DE PINTURA PICCOLA pos.9 (MDS)"/>
        <s v="ANEL &quot;O&quot; DA PISTOLA AUTOMATICA DE PINTURA PICCOLA pos.12 (MDS)"/>
        <s v="KIT DA PISTOLA MANUAL MD 05 HVLP"/>
        <s v="CILINDRO HIDRAULICO TELESCÓPIO (1° ESTÁGIO 90X50MM / 2° ESTÁGIO 110X80MM)"/>
        <s v="COROA DE BRONZE DO FUSO DA CALANDRA DA M14"/>
        <s v="DISJUNTOR TRIPOLAR" u="1"/>
        <s v="MOTOR TANQUE DE LAVAGEM " u="1"/>
        <s v="SENSOR INDUTIVO     M12" u="1"/>
        <s v="FONTE DC 24V / 20A BAE OS-XA-3Y-24-200-007" u="1"/>
        <s v="CONTATOR DE FORÇA  NO, NC" u="1"/>
        <s v="VÁLVULA PILOTO SIMP" u="1"/>
        <s v="ADESIVO PARA JUNTAS DE MOTORES DISEL" u="1"/>
        <s v="SAIDA DO PONTO MODULAR" u="1"/>
        <s v="DISJUNTOR STECK" u="1"/>
        <s v="ROLAMENTO AGULHA" u="1"/>
        <s v="VALVULA PNEUMATICA SIMPLES SOLENOIDE RETORNO POR MOLA" u="1"/>
        <s v="CONTATOR DE FORÇA  NO, NC 24VAC 32A" u="1"/>
        <s v="FONTE DE ALIMENTAÇÃO TRIFÁSICA PSS-B24-240S ENT.100-240VAC SAI. 24 VCC- 10A" u="1"/>
        <s v="BLOCO DE CONTATOS AUXILIARES FRONTAIS SIEMENS - REF. 3RH2911-1HA22, 2NO/2NC" u="1"/>
        <s v="ROLAMENTO" u="1"/>
        <s v="SENSOR DE PROXIMIDADE SME-8M-DS-24V FESTO" u="1"/>
        <s v="CONEXÃO PNELMATICA EM Y 6MM" u="1"/>
        <s v="VALVULA ESFERA COM ATUADOR PNEUMATICO" u="1"/>
        <s v="DISJUNTOR MOTOR TERMOMAGNETICO GV2ME32C/24 32A SCHINEIDER" u="1"/>
        <s v="CABEÇA P/ BOTÃO DE EMERGÊNCIA SCHNEIDER REF. ZB5 AS 834" u="1"/>
        <s v="CABO COM PLUG" u="1"/>
        <s v="CONEXÃO PNEUMATICA COM ANILHA 8MM" u="1"/>
        <s v="CONEXÃO PNEUMATICA EM TEE COM ANILHA" u="1"/>
        <s v="CONTADOR SCHMESAL " u="1"/>
        <s v="GRAXA " u="1"/>
        <s v="CABO COM CONECTOR PARA SENSOR " u="1"/>
        <s v="BLOCO DE DISTRIBUIÇÃO PNEUMATICO" u="1"/>
        <s v="SENSOR SCHMERSAL 101128195 SIEMENS" u="1"/>
        <s v="VALVULA PNEUMATICA SIMPLES SOLENOIDE RETORNO POR MOLA " u="1"/>
        <s v="BORNE GREME " u="1"/>
        <s v="CABO YG2A14-050UB3XLEAX" u="1"/>
        <s v="CONJUNTO VEDAÇÃO HP W.J 20422243" u="1"/>
        <s v="ESTEIRA ROLANTE" u="1"/>
        <s v="BOMBA HIDRAULICA DO CARPETE" u="1"/>
        <s v="ENGATE RAPIDO P/ ÓLEO TERMICO MACHO BYR" u="1"/>
        <s v="SENSOR INDUTIVO BLINDADO" u="1"/>
        <s v="ADAPTADOR DEVICENET SMARTSLICE 64POSITION" u="1"/>
        <s v="RELE DE ESTADO SOLIDO" u="1"/>
        <s v="MINI CONTATOR WEG CWC09-10-3DC03" u="1"/>
        <s v="ORING'S PARA SISTEMA DE ALTA PRESSÃO" u="1"/>
        <s v="VALVULA PNEUMATICA 5/3 VIAS CENTRO FECHADO" u="1"/>
        <s v="SENSOR INDUTIVO DO SITEMA" u="1"/>
        <s v="INVEROSR DE FREQUÊNCIA SIEMENS MICROMASTER 440" u="1"/>
        <s v="COPO LUBRIFIL PARA ÓLEO" u="1"/>
        <s v="PONTO DE ENTRADA DA UNIDADE" u="1"/>
        <s v="BOMBA TRIPLA " u="1"/>
        <s v="CONEXÃO PENLAMTICA SEIS TRAVADO  10MM COM ROSCA CONTROLE POR NIVEL" u="1"/>
        <s v="DISJUNTOR MOTOR 6-10A" u="1"/>
        <s v="ARRUELA GRANDE PARA SETUP" u="1"/>
        <s v="VALVULA PNEUMATICA 3/2 VIAS  NORMAL ABERTA" u="1"/>
        <s v="MÓDULO INTERFACE IM 151-8F PN/DP CPU SIEMENS ET200S" u="1"/>
        <s v="FILTRO DE ALTA PRESSÃO DO ROBO W.J" u="1"/>
        <s v="VALVULA PROPORCIONAL RE06M25T2N1F026-PILOTO" u="1"/>
        <s v="ESPIGÃO ROSCA DE 1/2 MANG DE 1/2&quot;" u="1"/>
        <s v="CABO E CONECTOR DA BARREIRA DE LUZ" u="1"/>
        <s v="FONTE SCHMERSAL" u="1"/>
        <s v="RETENTOR LATA POR FORA" u="1"/>
        <s v="AMORTECEDOR MOLA GAS 1250N" u="1"/>
        <s v="VALVULA DIRECIONAL REXROT SIMPLES SOLENOIDE RETORNO POR MOLA" u="1"/>
        <s v="L" u="1"/>
        <s v="PLACA CIRCULAR CORTANTE" u="1"/>
        <s v="ROLAMENTO RÍGIDO DE ESFERA 61902-2RS1" u="1"/>
        <s v="CONJUNTO SENSOR / RELE DE SEGURANÇA / CABO DE LIGAÇÃO  SICK" u="1"/>
        <s v="REGUA TROCA RAPIDA" u="1"/>
        <s v="BASE C/ RELÉ SLIM SCHNEIDER -" u="1"/>
        <s v="MONTAGEM DO SELO HIDRÁULICO DO CARTUCHO REPARO DO ÓLEO" u="1"/>
        <s v="MATERIAL PARA CONFECÇÃO DE CHAVETA" u="1"/>
        <s v="CABO FLEX UNIPOLAR AZUL 1MM² -  BOBINA 100M" u="1"/>
        <s v="CHAVE COMUTADORA MAGIRIUS TRIPOLAR" u="1"/>
        <s v="CHAVE DE SEGURANÇA SCHMERSAL " u="1"/>
        <s v="ENTRADA DO MODULO DE FORÇA" u="1"/>
        <s v="LIMPA CONTATO" u="1"/>
        <s v="BOMBA DE ABASTECIMENTO PARA ISSO" u="1"/>
        <s v="VALVULA DIAFRAGMA 1/4" u="1"/>
        <s v="CABEÇA P/ BOTÃO DE EMERGÊNCIA SCHNEIDER REF. ZB5 AS 834 ZB5 AS 834 SCHNEIDER " u="1"/>
        <s v="CONTACTOR AUXILIAR TESYS SCHNEIDER - REF. CA3KN40BD,  4NO DC24V SCHNEIDER " u="1"/>
        <s v="MANGUEIRA DE BORRACHA 31 BAR" u="1"/>
        <s v="MIX HEAD DUT DHV 1218K" u="1"/>
        <s v="ROLAMENTO RÍGIDO DE ESFERA 6203-2Z" u="1"/>
        <s v="CABO PARA CONECTAR SENSOR FESTO M8 3 POLOS" u="1"/>
        <s v="MANGUEIRA TEFLON REVESTIMENTO ACO JIT 3/4 POL 1500MM" u="1"/>
        <s v="DISJUNTOR TRIPOLAR ROBUSTO EZC100N" u="1"/>
        <s v="VALVULA DE DESCARGA" u="1"/>
        <s v="VALVULA DIAFRAGMA 3/4&quot;" u="1"/>
        <s v="CONTATOR DE FORÇA 24VAC" u="1"/>
        <s v="ANILHA DA SERPENTINA 1/4&quot;" u="1"/>
        <s v="REDUTOR COAXIAL MOV. MESA P/ LAM HORIZON" u="1"/>
        <s v="BOTÃO DE EMERGÊNCIA SCHNEIDER - REF. ZB2-BE102C, 2NC" u="1"/>
        <s v="VALVULA DE RETENÇÃO " u="1"/>
        <s v="BOMBA DE ABASTECIMENTO PARA POLIOL" u="1"/>
        <s v="MANOMETRO " u="1"/>
        <s v="TEFLON ALTA TEMPERATURA" u="1"/>
        <s v="BLOCO TEMPORIZADOR SCHNEIDER LADT2 TESYS - 038589 - 0,1-30S 1NO+1NC" u="1"/>
        <s v="BLOCO TERMINAL PARA RELE TERMICO LAD7B106" u="1"/>
        <s v="CABEÇA DE VEDAÇÃO DO INTENSIFICADOR  / CHECK VALVE" u="1"/>
        <s v="GARRA DO CARPETE" u="1"/>
        <s v="VALVULA REDUTORA DE PRESSÃO SIMPELS SOLENOIDE" u="1"/>
        <s v="ORING VITON" u="1"/>
        <s v="VALVULA DE RETENÇÃO PARA ISOCIANATO" u="1"/>
        <s v="ROLAMENTO RÍGIDO DE ESFERA 61902-2RS1 (SKF)" u="1"/>
        <s v="VENTOINHA PARA MOTOR" u="1"/>
        <s v="RELAIS MINIATURA RXM2AB2BD 24VDC  IEC 61810-1 " u="1"/>
        <s v="VALVULA ESFERA 1/2&quot;" u="1"/>
        <s v="VALVULA DE RETENÇÃO" u="1"/>
        <s v="MANGUEIRA HIDRAULICA 1/4  2M " u="1"/>
        <s v="VASELINA SPRAY" u="1"/>
        <s v="SENSOR DE PRESSÃO " u="1"/>
        <s v="MOTOREDUTOR DO SISTEMA DA TORRE CABEÇOTE" u="1"/>
        <s v="ROLAMENTO RÍGIDO DE ESFERA 6303" u="1"/>
        <s v="TEE SOLDAVEL PVC 25MM " u="1"/>
        <s v="BORNE CINZA " u="1"/>
        <s v="CHAVE FIM DE CURSO SIMENS" u="1"/>
        <s v="VALVULA DIAFRAGMA 1/2&quot;" u="1"/>
        <s v="ROLAMENTO RIGIDO DE ESFERA 6902D" u="1"/>
        <s v="PLUG VERMELHO 3P+T 32A 6H -" u="1"/>
        <s v="CONEXÃO TEE COM ROSCA CENTRAL E PENELMATICA NAS ESTREMIDADES 4,6,8 E 10MM" u="1"/>
        <s v="BLOCO LOGICO E PNEUMATICO" u="1"/>
        <s v="PINO ENGATE RAPIDO MACHO" u="1"/>
        <s v="PRISIONEIRO" u="1"/>
        <s v="TRANSFORMADOR " u="1"/>
        <s v="ATUADOR DE RAIO UNIVERSAL" u="1"/>
        <s v="OLEO PNEUMATICO MOBIL UNILUB-10" u="1"/>
        <s v="CARCAÇA HAM" u="1"/>
        <s v="BLOCO LOGICO OU" u="1"/>
        <s v="PLACA MAQ. DE SOLDA BATE PÉ" u="1"/>
        <s v="ROLAMENTO RÍGIDO DE ESFERA 6304" u="1"/>
        <s v="SENSOR ULTRASONICO CALANDRAS DA GLASUTEC" u="1"/>
        <s v="MANGUEIRA PNEUMATICA" u="1"/>
        <s v="CONECTOR DE CABO M12" u="1"/>
        <s v="BASE PARA RELE " u="1"/>
        <s v="SENSOR NÍVEL " u="1"/>
        <s v="VALVULA GLOBO" u="1"/>
        <s v="ELETRODUTO RIGIDO" u="1"/>
        <s v="CONTACTOR TRIPOLAR 50A SCHNEIDER REF." u="1"/>
        <s v="ACOPLAMENTO 2P+T 16A FEMEA N3056" u="1"/>
        <s v="CONJUNTO INJETORA CANNON VALVULA 3/8 COM SOLENOIDE Z17383CA0" u="1"/>
        <s v="FLAUTA DO W.J " u="1"/>
        <s v="DISJUNTOR DR 40A - 4P STECK, TRIPOLAR" u="1"/>
        <s v="SENSOR INDUTIVO" u="1"/>
        <s v="SERPENTINA PARA EIXO 3 (SPIRE AXIS 3 ROBOT IRB 1600 COIL) PN 304297 KMT WJ" u="1"/>
        <s v="ELEMENTO FILTRANTE" u="1"/>
        <s v="GRACHEIRO " u="1"/>
        <s v="CILINDRO PORTA MOLDE DO F. FENDER" u="1"/>
        <s v="ROLAMENTO PARA EIXO DE 12MM" u="1"/>
        <s v="FLANGER ROSCADO 1&quot;" u="1"/>
        <s v="BICO DA PISTOLA DE COLA DO ROBO 24A690 GRACO 1.8MM" u="1"/>
        <s v="BASE COM FUSIVEL ETI 16A" u="1"/>
        <s v="MANOMETRO ROSCA VERTICAL 1/4&quot;BSP " u="1"/>
        <s v="RÉGUA DE NIVEL INJETORA CHINESA" u="1"/>
        <s v="VALVULA PNEUMATICA" u="1"/>
        <s v="DIODO PARA CONTATOR MURR 3124015" u="1"/>
        <s v="REGULADOR DE PRESSÃO COM MANOMETRO ROSCA TRASEIRA  16BAR" u="1"/>
        <s v="MÓDULO DE ENTRADA DIGITAIL 8 DI DC24 SIEMENS SIMATIC ET200S" u="1"/>
        <s v="PLUG VERMELHO 3P+T 16A MACHO" u="1"/>
        <s v="ELEMENTO ELASTICCO " u="1"/>
        <s v="VALVULA DE CONTRA BALANÇO TRUCK" u="1"/>
        <s v="SENSOR DE TEMPERATURA DA PISTOLA DO COLEIRO" u="1"/>
        <s v="CONJUNTO VEDAÇÃO HP W.J" u="1"/>
        <s v="DISJUNTOR MODULAR TRIPOLAR" u="1"/>
        <s v="CABO COM CONECTOR M12 4 PINOS" u="1"/>
        <s v="VALVULA DE VENTAGE 3/4&quot; CORPO DE ALUMINIO" u="1"/>
        <s v="CONECTOR PARA CABO DE SENSOR RETO M12" u="1"/>
        <s v="MANOMETRO ROSCA VERTICAL COM GATILHO DE ACIONAMENTO" u="1"/>
        <s v="SENSOR DE POSIÇÃO DAS CALANDRAS DA GLASUTEC" u="1"/>
        <s v="IHM DA LAMINARODA HORIZONTAL" u="1"/>
        <s v="MÓDULO DE SEGURANÇA P/ SIST. EMERGÊNCIA SCHNEIDER" u="1"/>
        <s v="KIT REPARO AUTOMATICO DE FLUIDOS" u="1"/>
        <s v="ROLAMENTO RIGIDO DE ESFERA " u="1"/>
        <s v="ROLAMENTO " u="1"/>
        <s v="DISTRIBUIDOR DE CONTATO PHOENIX" u="1"/>
        <s v="BICO DE PISTOLA DO DESMOLDANTE SL05112768" u="1"/>
        <s v="ESPIGÃO ROSCA E MANG" u="1"/>
        <s v="ROLAMENTO RÍGIDO DE ESFERA 62305-2RS1" u="1"/>
        <s v="VALVULA PNEUMATICA COMPACTA" u="1"/>
        <s v="MOTOBOMBA DE VACUO " u="1"/>
        <s v="DISJUNTOR MOTOR TERMOMAGNETICO GV2ME03C/0.25-0.40A SCHINEIDER" u="1"/>
        <s v="CONJUNTO LUBRIFIL COM REGULADOR DE PRESSÃO E ÓLEO" u="1"/>
        <s v="SENSOR FOTO ELETRICO" u="1"/>
        <s v="CABO PARA SENSOR DE SEGURANÇA" u="1"/>
        <s v="JUNTA TRANSMISÃO TPR204 R. 1/5 FORM B" u="1"/>
        <s v="CABO FOTO ELETRICO FEMEA 4 PINOS" u="1"/>
        <s v="MÓDULO DE SAÍDAS DIGITAIL 8 DO DC24V/0.5A SIEMENS SIMATIC ET200S" u="1"/>
        <s v="DISJUNTOR MOTOR ABB 4A - 10A" u="1"/>
        <s v="BOTOEIRA PULSANTE" u="1"/>
        <s v="VALVULA PURGADORA" u="1"/>
        <s v="REPARO DA CANETA W.J NC  NORMAL FECHADO" u="1"/>
        <s v="VALVULA PNELMATICA ACIONADA POR ROLETE RETORNO POR MOLA" u="1"/>
        <s v="CABO PARA SENSOR" u="1"/>
        <s v="ORINGS QUADRADOS PARA FILTRO " u="1"/>
        <s v="MANCAL FRONT FENDER COM BUCHAMENTO" u="1"/>
        <s v="ORING" u="1"/>
        <s v="CONJUNTO INJETORA CANNON VALVULA 3/8 COM SOLENOIDE" u="1"/>
        <s v="PLUG STECK QUICK MACHO" u="1"/>
        <s v="BLOCO DE VALVULA DENSON" u="1"/>
        <s v="CONTACTOR TRIPOLAR 9A WEG REF. CWM25-11-30d23 220V" u="1"/>
        <s v="RELE DE NIVEL  " u="1"/>
        <s v="CONTATOR TRIPOLAR SCHINEIDER " u="1"/>
        <s v="CONTACTOR AUXILIAR TESYS SCHNEIDER - REF. CA3KN40BD,  4NO DC24V " u="1"/>
        <s v="CONVERSOR SERIAL RS232/RS485" u="1"/>
        <s v="CONECTOR  KBC10 SCHINEIDER" u="1"/>
        <s v="PLACA ELETRONICA DO CLP " u="1"/>
        <s v="CONTATOR DE FORÇA 9A 24VDC WEG" u="1"/>
        <s v="FONTE DE ALIMENTAÇÃO PSS-B24-240S" u="1"/>
        <s v="MANGUEIRA PNEUMATICA 4MM" u="1"/>
        <s v="MANGUEIRA PNEUMATICA 6MM" u="1"/>
        <s v="MANGUEIRA PNEUMATICA 8MM" u="1"/>
        <s v="PLUG VERMELHO 3P+T 16A" u="1"/>
        <s v="RELE DE NIVEL WEG" u="1"/>
        <s v="TRANSFORMADOR DE TENSÃO" u="1"/>
        <s v="CABO SENSOR MACHO 5 PINOS" u="1"/>
        <s v="GRAFITE SPRAY" u="1"/>
        <s v="CABO CONECTOR SCIK 2022279" u="1"/>
        <s v="DIODO PARA CONTATOR" u="1"/>
        <s v="MANCAL USADO NO FRONT FENDER  MOLDES" u="1"/>
        <s v="PROGRAMAOR HORARIO" u="1"/>
        <s v="ROLAMENTO AUTOCOMPENSADOR DE ESFERA 2208 E-2RS1TN9" u="1"/>
        <s v="DISJUNTOR MOTOR TERMOMAGNETICO SCHINEIDER" u="1"/>
        <s v="CONJUNTO MOTOR E BOMBA DE RESINA" u="1"/>
        <s v="ELEMENTO FILTRANTE " u="1"/>
        <s v="RETENTOR " u="1"/>
        <s v="FILTRO DO W.F " u="1"/>
        <s v="SENSOR DE PROXIMIDADE" u="1"/>
        <s v="VALVULA PNEUMATICA " u="1"/>
        <s v="LUVA PARA SERPENTINA  1/4" u="1"/>
        <s v="MODULO AMPLIFICADOR ANALOGICO" u="1"/>
        <s v="PRENSA TERMINAL AÇO" u="1"/>
        <s v="MÓDULO DE SAÍDAS ANALÓGICAS 2 AO VOLTAGE STANDARD SIEMENS SIMATIC ET200S" u="1"/>
        <s v="BLOCO TEE KMT" u="1"/>
        <s v="DISJUNTOR MONOPOLAR 6A CURVA C SCHINEIDER" u="1"/>
        <s v="BLOCO DE COMANDO BIMANUAL" u="1"/>
        <s v="ROLAMENTO RÍGIDO DE ESFERA 6206" u="1"/>
        <s v="VALVULA PNEUMATICA SIMPLES SOLENOIDE" u="1"/>
        <s v="SENSOR DE POSIÇÃO CILINDRO" u="1"/>
        <s v="CONEXÃO PNELMATICA 6MM P/ CILINDRO PNEUMATICO COM REGULAGEM" u="1"/>
        <s v="BORNE MARROM" u="1"/>
        <s v="CONEXÃO PNEUMÁTICA 10mm X 12" u="1"/>
        <s v="SENSOR FIM DE CURSO ACIONAMENTO ELETRONICO" u="1"/>
        <s v="CORPO FIM DE CURSO" u="1"/>
        <s v="INVERSOR DA UNIDADE DAS FASES DE ENTRADA" u="1"/>
        <s v="SILENCIADOR PNEUMATICO" u="1"/>
        <s v="LAMPADAS FLUORESCENTES 32W" u="1"/>
        <s v="VALVULA DIRECIONAL VISTA DUPLA SOLENOIDE PILOTADA" u="1"/>
        <s v="MANCAL P207" u="1"/>
        <s v="RETENTOR LATA POR FORA 33,7X47,6X9" u="1"/>
        <s v="ROLAMENTO RÍGIDO DE ESFERA 6009-2Z (SKF)" u="1"/>
        <s v="CABO FLEX UNIPOLAR AZUL+BRANCO 1MM² - LAPP KABEL - BOBINA 100M" u="1"/>
        <s v="RELE DE SEGURANÇA SCHHMERSAL" u="1"/>
        <s v="BOTÃO DE EMERGENCIA  SCHIMERSAL" u="1"/>
        <s v="BRONE AZUL" u="1"/>
        <s v="CORRENTE DE TRANSMISSÃO DUPLA 08B-2" u="1"/>
        <s v="ÓLEO DESENGRIPANTE WD-40" u="1"/>
        <s v="MÓDULO CPU SIMATIC S7-300 MODELO 314C" u="1"/>
        <s v="TUBO HIDRAULICO PARA MONTAGEM DO SISTEMA DE TROCA RAPIDA" u="1"/>
        <s v="BLOCO DE CONTATO AUXILIAR" u="1"/>
        <s v="MANGUEIRA PARA AGUA 1 POL" u="1"/>
        <s v="ROLAMENTO RÍGIDO DE ESFERA 6207" u="1"/>
        <s v="PLACA ELETRONICA DO GERADOR" u="1"/>
        <s v="TEFLON PARA TROCA DE REPARO" u="1"/>
        <s v="SENSOR INDUTIVO PEPERFLUSH" u="1"/>
        <s v="SOFTSTARTER SIEMENS 37KW AC200-480V" u="1"/>
        <s v="ROLAMENTO RÍGIDO DE ESFERA 6005-2z" u="1"/>
        <s v="ADESIVO PARA JUNTAS DE MOTORES DISEL 3M" u="1"/>
        <s v="KIT REPARO GRACO" u="1"/>
        <s v="MANGUEIRA TEFLON REVESTIMENTO ACO 3/8 BSP 8000MM" u="1"/>
        <s v="PRATO DO CILINDRO DE PREENCHIMENTO HIDRAULICO" u="1"/>
        <s v="VALVULA HIDRAULICA SIMPLES SOLENOIDE RETORNO POR MOLA PARKER" u="1"/>
        <s v="REGULADOR DE PRESSÃO PNEUMATICO" u="1"/>
        <s v="KIT PISTOLA DE COLA " u="1"/>
        <s v="VALVULA DIRECIONAL REXROTDUPLA SOLENOIDE PILOTADA" u="1"/>
        <s v="RETENTOR BOMBA DE ABASTECIMENTO (ISSO) VITON 30X45X7" u="1"/>
        <s v="FONTE DE ALIMENTAÇÃO CHAVEADA - TRIFÁSICA 3X380-500VAC - DC24V 20A - REF." u="1"/>
        <s v="MOTOR ELÉTRICO 380V - 5,1A - 60HZ - 2800RPM , 3KW" u="1"/>
        <s v="DUREPOX" u="1"/>
        <s v="POPPET RETAINER SCREW " u="1"/>
        <s v="VALVULA DE DESCARGA W.J 05116561" u="1"/>
        <s v="SUPRESSOR DE SURTO SIEMENS 3RT2916-1DG00" u="1"/>
        <s v="SENSOR FIM DE CURSO ACIONAMENTO ELETRONICO XCKM 60947-5-1" u="1"/>
        <s v="FILTRO REGULADOR LUBRIFICADOR 1/4&quot;" u="1"/>
        <s v="ACOPLAMENTO MAGNETICO P/ JUNÇÃO MOTOR E BOMBA " u="1"/>
        <s v="ROLAMENTO DE ESFERA DE CONTATO ANGULAR 3204Z" u="1"/>
        <s v="MOTOR TANQUE DE LAVAGEM  CALPEDAZ34146CA" u="1"/>
        <s v="ÓLEO PNEUMATICO" u="1"/>
        <s v="BOMBA HIDRAULICA  ALTA PRESSA0 ADAPTAVEL NACIONAL" u="1"/>
        <s v="ROLAMENTO RÍGIDO DE ESFERA 6011" u="1"/>
        <s v="TRANSFORMADOR RM153027" u="1"/>
        <s v="PLACA MAQ. DE SOLDA BATE PÉ 9999.377" u="1"/>
        <s v="RELE DE SEGURANÇA PARA SISTEMA HIDRAULICO FX3-MPL000001 (SICK)" u="1"/>
        <s v="SENSOR COM FIBRA OPTICA" u="1"/>
        <s v="FILTRO DE ÓLEO" u="1"/>
        <s v="PLUG P/ CABO PROFINET IE FC RJ45 PLUG 180 SIEMENS - REF. 6GK1901-1BB10-2AA0 6GK1901-1BB10-2AA0 SIEMENS" u="1"/>
        <s v="RETENTOR" u="1"/>
        <s v="DISJUNTOR TERMOMAGNÉTICO UNIPOLAR C16  SCHNEIDER" u="1"/>
        <s v="PISTOLA DE GRAXA MANUAL 1035,1037" u="1"/>
        <s v="ROLAMENTO AUTOCOMPENSADOR DE ESFERA 2207 (FAG)" u="1"/>
        <s v="BOTOEIRA C/ SINALIZAÇÃO VERDE BHS - REF. TY-15A, 1NO Ø22MM BA9S VMAX 220V" u="1"/>
        <s v="ÓLEO LUBRIFICANTE PARA REDUTOR" u="1"/>
        <s v="RELAIS MINIATURA RXM2AB2BD 24VDC  IEC 61810-1  SCHNEIDER" u="1"/>
        <s v="VALVULA DIRECIONAL COM PILOTAGEM SIMPLES SOLENOIDE RETORNO POR MOLA" u="1"/>
        <s v="MIG/MAG" u="1"/>
        <s v="ANEL DE TEFLON" u="1"/>
        <s v="ÓLEO DESENGRIPANTE" u="1"/>
        <s v="PLUG P/ CABO PROFINET IE FC RJ45 PLUG 180 SIEMENS - REF. 6GK1901-1BB10-2AA0" u="1"/>
        <s v="ROLAMENTO AUTOCOMPENSADOR DE ESFERA" u="1"/>
        <s v="MASCARA DE SOLDA MIG" u="1"/>
        <s v="VALVULA PNELMATICA 45A-GA1-DABJ-1KA" u="1"/>
        <s v="MANGUEIRA TEFLON REVESTIMENTO DE ACO JIT 1 POL 1500MM " u="1"/>
        <s v="AGITADOR PNEUMATICO " u="1"/>
        <s v="IHM SIMATIC" u="1"/>
        <s v="SENSOR OPTICO SICK WTB12-3P24331 " u="1"/>
        <s v="BLOCO KMT" u="1"/>
        <s v="CONTATOR DE FORÇA 24VAC LC1D09B7 TELEMECANIQUE" u="1"/>
        <s v="CORREIA DENTADA " u="1"/>
        <s v="RELE DE SEGURANÇA PARA SISTEMA HIDRAULICO" u="1"/>
        <s v="MOLA DO ATUADOR DA CANETA" u="1"/>
        <s v="IHM SIEMENS KTP400" u="1"/>
        <s v="TEFLON PARA ALTA TEMPERATURA" u="1"/>
        <s v="ESPIGAO  EM  T  3/4&quot;" u="1"/>
        <s v="DESENGRIPANTE " u="1"/>
        <s v="VALVULA HIDRAULICA SIMPLES SOLENOIDE RETORNO POR MOLA D1SE30 BNJW" u="1"/>
        <s v="MANGUEIRA TERMOPLASTICA " u="1"/>
        <s v="PONTA MONTADA A31" u="1"/>
        <s v="DISJUNTOR TRIPOLAR 32A SCHNEIDER" u="1"/>
        <s v="CABO  PARA SENSOR PILZ" u="1"/>
        <s v="SERPENTINA PARA EIXO 1 (SPIRE AXIS 1 ROBOT IRB 1600 COIL) PN 304415 KMT WJ" u="1"/>
        <s v="MIXING HEAD DUT - REF. DHV1218 - 2K" u="1"/>
        <s v="CONEXÃO PNELMATICA EM Y 8MM CONTROLE POR NIVEL" u="1"/>
        <s v="PONTA MANTADA" u="1"/>
        <s v="GAXETA " u="1"/>
        <s v="ANILHA ROSQUEADA PARA EMENDA DE SERPENTINA" u="1"/>
        <s v="QUADROS PARA INSTALAÇÃO " u="1"/>
        <s v="ATUADOR PNEUMATICO" u="1"/>
        <s v="SERPENTINA WJ. 305313/305313New coil" u="1"/>
        <s v="ROLAMENTO RÍGIDO DE ESFERA 6009-2Z" u="1"/>
        <s v="LUMINÁRIA DE LED" u="1"/>
        <s v="CONTATO AUX PARA DISJUNTOR MOTOR" u="1"/>
        <s v="RETENTOR VLSB02847 55X63X5" u="1"/>
        <s v="VALVULA VENTAGE CORPO DE AÇO 1/2&quot;" u="1"/>
        <s v="SERPENTINA PARA EIXO 4-6 ( SPIRE AXIS 4-6 ROBOT IRB 1600 COIL) PN 304436 KMT WJ" u="1"/>
        <s v="AMORTECEDOR MOLA GAS 900N MG10 220 0542 0900J" u="1"/>
        <s v="ELEMENTO FILTRANTE PARA OLEO 0240D010" u="1"/>
        <s v="RELE OMRON 24V" u="1"/>
        <s v="VALVULA DO BATE PE " u="1"/>
        <s v="ROLAMENTO RÍGIDO DE ESFERA 6004" u="1"/>
        <s v="SERPENTINA WJ." u="1"/>
        <s v="DISJUNTOR MONOPOLAR 5SL11 MCB C6 IEC 60898-1 SIEMENS" u="1"/>
        <s v="MÓDULO DE SEGURANÇA P/ SIST. EMERGÊNCIA SCHNEIDER PREVENTA" u="1"/>
        <s v="REPARO DA CANETA W.J NO NORMAL ABEERTO" u="1"/>
        <s v="RETENTOR BOMBA DE ABASTECIMENTO (ISSO) VITON" u="1"/>
        <s v="CONEXÃO PNEUMÁTICA LUVA 8mm X 8mm" u="1"/>
        <s v="ACOPLAMENTO MAGNETICO P/ JUNÇÃO MOTOR E BOMBA  PARA BOMBA DE POLYOL" u="1"/>
        <s v="VALVULA DE COLA" u="1"/>
        <s v="VALVULA HIDRAULICA SIMPLES SOLENOIDE RETORNO POR MOLA D1SE30 BNJW 3/2 VIAS D1SE30" u="1"/>
        <s v="RELE DE NIVEL WEG RNW-ENE09 WEG" u="1"/>
        <s v="BOTOEIRA C/ SINALIZAÇÃO AZUL BHS - REF. TY-13C, 1NO Ø22MM BA9S VMAX 220V" u="1"/>
        <s v="CORPO FIM DE CURSO ZCP 21 M12" u="1"/>
        <s v="ESPIGÃO ROSCA 3/4 MANG 3/4&quot;" u="1"/>
        <s v="ROLAMENTO AUTOCOMPENSADOR DE ESFERA 2207" u="1"/>
        <s v="DISJUNTOR MOTOR ABB" u="1"/>
        <s v="BOTAO VI 500V" u="1"/>
        <s v="DISJUNTOR MOTOR WEG MPW40-3-D063 4-6,3A" u="1"/>
        <s v="ESPELHO REFLETIVO PARA SENSOR" u="1"/>
        <s v="SENSOR DE SEGRANÇA EMISSOR E RECEPTOR" u="1"/>
        <s v="MANCAL  COM ROLAMENTO" u="1"/>
        <s v="VALVULA DIAFRAGMA DE 1&quot; 24 DC" u="1"/>
        <s v="ROLAMENTO RÍGIDO DE ESFERA 6005" u="1"/>
        <s v="VALVULA DIAFRAGMA DE 1/2 24 DC" u="1"/>
        <s v="CONTACTOR TRIPOLAR 25A WEG REF. CWM25-11-30V23 25A + 1 N0 + 1 NC WEG" u="1"/>
        <s v="ALOJAMENTO PARA FILTRO DE LINHA" u="1"/>
        <s v="BOMBA HIDRAULICA" u="1"/>
        <s v="CHAVE CECCIONADORA COMANDO MANUAL TRIPOLAR" u="1"/>
        <s v="MOLA DE COMPRESSÃO" u="1"/>
        <s v="BASE PARA FUSIVEL CERAMICO" u="1"/>
        <s v="TRANSMISSOR DE PRESSÃO" u="1"/>
        <s v="ROLAMENTO DE ESFERA DE CONTATO ANGULAR" u="1"/>
        <s v="ACOPLAMENTO LUKMA 3P+T 32A FEMEA" u="1"/>
        <s v="INCERTO HAM + CARCAÇA HAM" u="1"/>
        <s v="VALVULA HIDRAULICA DUPLA SOLENOIDE" u="1"/>
        <s v="MÓDULO DE SAÍDA DIGITAL PROFISAFE 4F-DO DC24V/2A SIEMENS SIMATIC ET-200" u="1"/>
        <s v="BOCAL DA CANETA " u="1"/>
        <s v="ELEMENTO FILTRANTE DE ÓLEO" u="1"/>
        <s v="CONECTOR PARA CABO N11RFF" u="1"/>
        <s v="CILINDRO " u="1"/>
        <s v="ACOPLAMENTO LUKMA 3P+T 16A" u="1"/>
        <s v="UNIDADE DE SERVIÇO COMBINADA TRATAMENTO DE AR " u="1"/>
        <s v="ÓLEO TERMICO TAMBOR 200L" u="1"/>
        <s v="ROLAMENTO RÍGIDO DE ESFERA 6008 DDU" u="1"/>
        <s v="DISJUNTOR TRIPOLAR 16A" u="1"/>
        <s v="REPARO DO INTENSIFICADOR" u="1"/>
        <s v="ATUADOR TIPO SELETOR P/ PAINEL FESTO - REF. N-22-SW / COD. 9301 (FESTO)" u="1"/>
        <s v="VALVULA DE RETENÇÃO PRESSAÕ MAXIMA 66000 PSI" u="1"/>
        <s v="CONEXÃO PNELMATICA EM Y 6MM CONTROLE POR NIVEL" u="1"/>
        <s v="LUMINÁRIA COM LAMPADA" u="1"/>
        <s v="VEDA ROSCA" u="1"/>
        <s v="SILENCIADOR PNEUMATICO " u="1"/>
        <s v="ADESIVO INDUSTRIAL  ADHM 200 2L" u="1"/>
        <s v="CAIXA BOTOEIRA P/ BOTÃO DE COMANDO LUKMA - MOD. LAY5-BOX1/W LUKMA ELETRONIC" u="1"/>
        <s v="VALVULA PNELMATICA 45A-GA1-DABJ-1KA 4/2VIAS DUPLA SOLENOIDE" u="1"/>
        <s v="PRENSA TERMINAL DE AÇO " u="1"/>
        <s v="SENSOR SCHMERSAL 101128195" u="1"/>
        <s v="ENGATE RAPIDO P/ ÓLEO TERMICO MACHO" u="1"/>
        <s v="BASE PARA FUSIVEL" u="1"/>
        <s v="CILINDRO PNEUMATICO ADVU-63-10-P" u="1"/>
        <s v="BASE PARA PISTOLA COBRA 2" u="1"/>
        <s v="REDUTOR DE VELOCIDADE" u="1"/>
        <s v="CONTACTOR TRIPOLAR 25A WEG REF. CWM25-11-30V23" u="1"/>
        <s v="ROLAMENTO AUTOCOMPENSADOR DE ESFERA 1204" u="1"/>
        <s v="BEXIGA PARA ACUMULADOR DE PRESSÃO" u="1"/>
        <s v="DISJUNTOR MOTOR MPW40-3-DO63" u="1"/>
        <s v="ATUADOR TIPO SELETOR" u="1"/>
        <s v="CORREIA LISA" u="1"/>
        <s v="CONTATO AUXILIAR WEG" u="1"/>
        <s v="GUIA TELESCOPIO" u="1"/>
        <s v="CONTATO DE FORÇA" u="1"/>
        <s v="JOELHO PVC ROSQUEADO " u="1"/>
        <s v="PEÇAS SOBRESSALENTES" u="1"/>
        <s v="ATUADOR PENEUMÁTICO" u="1"/>
        <s v="ANEL DE COBRE" u="1"/>
        <s v="ROLAMENTO RÍGIDO DE ESFERA 6010 2Z" u="1"/>
        <s v="VALVULA ESFERA TRIPARTIDA " u="1"/>
        <s v="ESTEIRA ROLANTE " u="1"/>
        <s v="VEDAÇÃO DOS GICLES " u="1"/>
        <s v="INTERRUPTOR HORARIO" u="1"/>
        <s v="CONJUNTO PULSÃO  E PORCA PARA FERRAMENTA DE CORTE" u="1"/>
        <s v="PARAFUSOS PARA SETUP DAS FERRAMENTAS" u="1"/>
        <s v="PONTEIRA ROTULAR M30" u="1"/>
        <s v="CONTATOR DE FORÇA 18A 24VDC WEG" u="1"/>
        <s v="MANCAL PARA USO NO FRONT FENDER" u="1"/>
        <s v="SENSOR MAGNETICO " u="1"/>
        <s v="ACOPLAMNETO  NEWKON  2P+T 16A 9H/380-440V" u="1"/>
        <s v="ACOPLADOR FEMEA QUICK STECK 2P+T 10A" u="1"/>
        <s v="PISTOLA DE COLA DO ROBO DE COLA TRUCK LOAD" u="1"/>
        <s v="FONTE DC 24V / 20A" u="1"/>
        <s v="CHAVE SELETORA LUMINOSA" u="1"/>
        <s v="CHAVE PARA CONTATO ABERTO FECHADO" u="1"/>
        <s v="CONEXÃO PNELMATICA 6MM COTOVELO COM ROSCA" u="1"/>
        <s v="ACOPLAMENTO 2P+16A-9h/380-440W N3006" u="1"/>
        <s v="ESPIGÃO ROSCA DE 1/2 MANG 3/4&quot;" u="1"/>
        <s v="MANGUEIRA TEFLON" u="1"/>
        <s v="ROLAMENTO 6902" u="1"/>
        <s v="VALVULA PNELMATICA 24V CC  1/4 5/2VIAS SIMPLES SOLENOIDE  REF. 4M310-10" u="1"/>
        <s v="INVERSOR DE FREQUÊNCIA EMK DRIVE" u="1"/>
        <s v="MANGUEIRA COM ENGATE RAPIDO PARA PARAFUSDEIRA PNEUMATICA" u="1"/>
        <s v="IHM SIEMENS TP700" u="1"/>
        <s v="LAMPADA FLUORESCENTE" u="1"/>
        <s v="CABO FLEX UNIPOLAR  1,5MM² -  BOBINA 100M CAIXA COM 100M" u="1"/>
        <s v="ROLAMENTO PEE 6202-2RLD-VR" u="1"/>
        <s v="CABO FLEX UNIPOLAR AZUL 1MM² -  BOBINA 100M CABO FLEX 1MM³ LA" u="1"/>
        <s v="BICO DA PISTOLA DO ROBO DE COLA" u="1"/>
        <s v="CILINDRO PADRÃO DE DUPLA AÇÃO" u="1"/>
        <s v="VALVULA GLOBO PARA ALTA PRESSÃO" u="1"/>
        <s v="CONEXÃO PNELMATICA 8MM COTOVELO COM ROSCA CONTROLE POR NIVEL" u="1"/>
        <s v="RELE DE SEGURANÇA PARA SISTEMA HIDRAULICO FX3-MPL000001" u="1"/>
        <s v="MANOMETRO DO HIDRAULICO DO INTENSIFICADOR" u="1"/>
        <s v="RELE OMRON 24V BOOTON VIEW 1726W2 5A" u="1"/>
        <s v="REPARO DAS PRENSAS EPILA " u="1"/>
        <s v="BLOCO DE CONTATOS AUXILIARES FRONTAIS SIEMENS - 3RH2911-1GA40" u="1"/>
        <s v="VALVULA DE RETENÇÃO PNEUMATICA" u="1"/>
        <s v="GAS REFRIGERANTE" u="1"/>
        <s v="PRATO DO CILINDRO DE PREENCHIMENTO HIDRAULICO 529340" u="1"/>
        <s v="DISJUNTOR MONOPOLAR" u="1"/>
        <s v="FUSIVEL CERAMICO RESISTENCIAS DO PARSEL SHELF" u="1"/>
        <s v="VALVULA DE BLOQUEIO " u="1"/>
        <s v="DISCO DESBASTE 1 METAL " u="1"/>
        <s v="MANOMETRO COM GATILHO PARA ACIONAMENTO DE VALVULA INTERNA ROSCA VERTICAL" u="1"/>
        <s v="VENTOINHA DO MOTOR DO COLEIRO" u="1"/>
        <s v="DOSADOR " u="1"/>
        <s v="TRANSMISSOR DE PASSAGEM " u="1"/>
        <s v="MANGUEIRA TEFLON 8MM" u="1"/>
        <s v="VALVULA PNELMATICA 220V AC   1/4" u="1"/>
        <s v="VÁLVULA PNEUMÁTICA 5/3 VIAS CENTRO FECHADO FESTO - REF. VL-5/3G-D-3-C / COD. 536021 (FESTO)" u="1"/>
        <s v="CONEXÃO PNELMATICA 4MM COM REGULADORA" u="1"/>
        <s v="FONTE SIEMENS " u="1"/>
        <s v="SENSOR OPTICO" u="1"/>
        <s v="CORREIA DENTADA T10" u="1"/>
        <s v="MANGUEIRA P/ AQUECIMENTO DE ADESIVO / COLA VOLCO MELTON MOD. 981XX208 H6060 230V 840W 100BAR 230°C 4,8MT 16FT" u="1"/>
        <s v="CONECTOR " u="1"/>
        <s v="CONEXÃO PNELMATICA 12MM COM REGULADORA" u="1"/>
        <s v="VENTILADOR PARA PAINEL ELETRICO" u="1"/>
        <s v="TERMOSTATO DE CONTATO IMIT TIPO TC2 LSC1 1750 - COD. 542470, T80 1K/MIN IP40 0-90°C" u="1"/>
        <s v="SENSOR CONECTOR" u="1"/>
        <s v="BALANCIM" u="1"/>
        <s v="ELEMENTO FILTRANTE PARA OLEO " u="1"/>
        <s v="CONTATO AUXILIAR DE POTÊNCIA TIPO-N SCHNEIDER - REF. 055192" u="1"/>
        <s v="BLOCO TERMINAL PARA RELE TERMICO" u="1"/>
        <s v="BLOCO DA CANETA" u="1"/>
        <s v="SENSOR FIM DE CURSO  ACIONAMENTO MECANICO XCKM 60947-5-1" u="1"/>
        <s v="MOTOR TT90L 22KW 4 POLES 1420 REVS 66A" u="1"/>
        <s v="BOMBA HIDRAULICA PALHETA BOSCH/REXROTH (84148)" u="1"/>
        <s v="MÓDULO DE ENTRADAS ANALÓGICAS 8AI - 13BIT SIEMENS SIMATIC S7-300 " u="1"/>
        <s v="ROLAMENTO COMBINADO" u="1"/>
        <s v="FITA ISOLANTE P/ ALTA TENSÃO SCOTCH 23 - AUTO FUSÃO 19MM X 10M" u="1"/>
        <s v="VALVULA PNELMATICA 24V CC  1/4 5/2VIAS SIMPLES SOLENOIDE" u="1"/>
        <s v="CONECTOR PARA CORTINA DE LUZ" u="1"/>
        <s v="VALVULA HIDRAULICA REGULADORA DE PRESSÃO" u="1"/>
        <s v="CILINDRO DA CORTINA DO ROBO DE COLA" u="1"/>
        <s v="ORING 3,75 X 4,0 X 1,3" u="1"/>
        <s v="VALVULA REXROTH" u="1"/>
        <s v="ANILHA DA SERPENTINA " u="1"/>
        <s v="LOAD BREAK 68,5A" u="1"/>
        <s v="DISJUNTOR BIPOLAR  6A CURVA C SCHINEIDER" u="1"/>
        <s v="MÓDULO AMPLIFICADOR ANALÓGICO P/ VÁLV. PROPORCIONAL" u="1"/>
        <s v="BOMBA DE ATIVADOR GMD61D-40N-101Z-OUTPUT: 0,6 CC/RER." u="1"/>
        <s v="MANOMETRO COM GATILHO PARA ACIONAMENTO DE VALVULA INTERNA ROSCA VERTICAL 1/4&quot; " u="1"/>
        <s v="MANGUEIRA ALTA PRESSAO 1/2 BSP 1500MM" u="1"/>
        <s v="ROLAMENTO COMBINADO 4055" u="1"/>
        <s v="ELEMENTO OU" u="1"/>
        <s v="ROLAMENTO DE ESFERAS" u="1"/>
        <s v="CONTROLADOR DE TEMPERATURA" u="1"/>
        <s v="DISJUNTOR MONOPOLAR 20A EZ9F13120 SCHNEIDER" u="1"/>
        <s v="DISJUNTOR ELETRICO C10 EZ9F33210 (SCHNEIDER)" u="1"/>
        <s v="CONEXÃO TEE COM ROSCA CENTRAL E PENELMATICA NAS ESTREMIDADES 4,6,8 E 10MM CONTROLE POR NIVEL" u="1"/>
        <s v="CAPA DE PROTEÇÃO" u="1"/>
        <s v="FUSIVEL DE VIDRO " u="1"/>
        <s v="CORRENTE DE TRANSMISSÃO DUPLA" u="1"/>
        <s v="COLA AGUA TERMICA" u="1"/>
        <s v="SENSOR DE TEMPERATURA" u="1"/>
        <s v="CONEXÃO PNELMATICA 10MM COM REGULADORA" u="1"/>
        <s v="ATUADOR PNEUMATICO DA CANETA KMT10138824" u="1"/>
        <s v="FILTRO REGULADRO 16 BAR 1/2&quot;" u="1"/>
        <s v="BOMBA COM MOTOR DE VACUO" u="1"/>
        <s v="ROLAMENTO RÍGIDO DE ESFERA 16004" u="1"/>
        <s v="SERPENTINA PARA EIXO 2 (NEW COIL AXIS 2 FOR FILTER LINE 1/4&quot; COIL 16000) PN 305313 KMT WJ" u="1"/>
        <s v="DISJUNTOR MOTOR  GV2-ME08C/2,5-4A" u="1"/>
        <s v="SENSOR INDUTIVO " u="1"/>
        <s v="ROLAMENTO RÍGIDO DE ESFERA 6006 2Z" u="1"/>
        <s v="POPPET PIN " u="1"/>
        <s v="EIXO DA BOMBA DE ENGRENAGEM 0.6CC (ATIVADOR) " u="1"/>
        <s v="AGULHA DA PISTOLA DE COLA" u="1"/>
        <s v="IHM SIEMENS SIMATIC" u="1"/>
        <s v="CONEXÃO PNELMATICA CRUZETA 10MM" u="1"/>
        <s v="CONTROLADOR DE TEMPERATURA DIGITAL FA B. NOVUS N1200-3R-485-24V" u="1"/>
        <s v="DISJUNTOR TRIPOLAR ROBUSTO " u="1"/>
        <s v="VALVULA DSG-01-3C2-D24-N1- YUKEN -N.C.M 8481.20.90" u="1"/>
        <s v="CABO COM CONECTOR" u="1"/>
        <s v="CONTATOR TRIPOLAR" u="1"/>
        <s v="FITA AUTO ADESIVA 3MM X 50MM X 20M" u="1"/>
        <s v="ÓLEO TERMICO " u="1"/>
        <s v="IHM SIEMENS SIMATIC 6AV2 642-0BA01-1AX1" u="1"/>
        <s v="CABEÇA P/ BOTÃO DE EMERGÊNCIA SIEMENS REF. 3SB3 000-1HA20" u="1"/>
        <s v="ATUADOR PNEUMATICO DA CANETA" u="1"/>
        <s v="BLOCO DE CONTATO AUXILIAR (SCHNEIDER)" u="1"/>
        <s v="SENSOR ULTRASONICO PEPPERL+FUCHS NBB20-L2-E2-V1" u="1"/>
        <s v="FILTRO HIDRAULICO " u="1"/>
        <s v="VALVULA PROPORCIONAL D1FVE02CC0NM0311" u="1"/>
        <s v="VALVULA DE ALIVIO DE PRESSÃO / FLUXO" u="1"/>
        <s v="T PVC AMANCO " u="1"/>
        <s v="BASE PARA PISTOLA DE COLA DO TETO" u="1"/>
        <s v="ROLAMENTO GC35 (NADELLA PERNI FOLLI)" u="1"/>
        <s v="ESTEIRA PORTA CABOS " u="1"/>
        <s v="FILTRO REGULADOR LUBRIFICADOR 1/2&quot;" u="1"/>
        <s v="CONTACTOR TRIPOLAR 9A WEG REF. CWM25-11-30d23 220V 9A + 1NO + 1 NC" u="1"/>
        <s v="REPARO DA PISTOLA DO ROBO DE COLA" u="1"/>
        <s v="CONECTOR PARA CABO DE SENSOR 90 GRAUS M12" u="1"/>
        <s v="REGISTRO DE ESFERA SOLDAVEL 25MM" u="1"/>
        <s v="MANOMETRO REGULADOR DE PRESSAÕ PARA MASSARICO" u="1"/>
        <s v="SUPRESSOR DE SURTO SIEMENS " u="1"/>
        <s v="FUSÍVEL CARTUCHO P/ BARRAMENTO 40A 500VAC NP5873 - AMERICAN FUSE" u="1"/>
        <s v="COBO P/ SENSOR M12 5P SICK YG2A14-050UB3XLEAX " u="1"/>
        <s v="ELEMNETO FILTRANTE PARA ÓLEO" u="1"/>
        <s v="MANGUEIRA PNEUMATICA 10MM" u="1"/>
        <s v="ACOPLAMENTO 2P+T 16A" u="1"/>
        <s v="MANOMETRO ROSCA VERTICAL" u="1"/>
        <s v="MANCAL DO FORNO" u="1"/>
        <s v="VALVULA ESFERA" u="1"/>
        <s v="CABO DE LIGAÇÃO " u="1"/>
        <s v="ENGATE RAPIDO " u="1"/>
        <s v="ACOPLAMNETO  NEWKON  2P+T" u="1"/>
        <s v="MANGUEIRA PNEUMATICA 12MM" u="1"/>
        <s v="CONEXÃO PENLAMTICA SEIS TRAVADO  8MM COM ROSCA" u="1"/>
        <s v="CONTATOR DE FORÇA WEG" u="1"/>
        <s v="ROLAMENTO RIGIDO DE ESFERA 6902D NSK 602" u="1"/>
        <s v="SOFT STARTER" u="1"/>
        <s v="JUNCAO PVC ROSQUEADA " u="1"/>
        <s v="BOMBA DE ENGRENAGEM DO SISTEMA HIDRAULICO" u="1"/>
        <s v="FILTRO EM Y LATÃO" u="1"/>
        <s v="CONEXÃO PNEUMÁTICA 4X4MM" u="1"/>
        <s v="MÓDULO TERMINAL DP TM-E15C24-01 SIEMENS SIMATIC ET200S" u="1"/>
        <s v="MANOMETRO ROSCA VERTICAL 1/8&quot; 11BAR" u="1"/>
        <s v="BASE C/ RELÉ SLIM PRT8-1/ JZ1RC3 24VDC METALTEX " u="1"/>
        <s v="SERPENTINA 6,35X2,12 304415/304415 Sipre axe 1" u="1"/>
        <s v="VENTILADOR AXIAL PARA PAINEL" u="1"/>
        <s v="CONEXÃO PNELMATICA 8MM COTOVELO COM ROSCA" u="1"/>
        <s v="MANGUEIRA PARA AGUA 3/4" u="1"/>
        <s v="TAMPÃO PROTETOR" u="1"/>
        <s v="INCREMENTAL AND ABSOLUTE" u="1"/>
        <s v="SERPENTINA EIXO 4  304436/304436Spire axe 4-6" u="1"/>
        <s v="CONEXÃO PNEUMÁTICA 10mm X 6" u="1"/>
        <s v="TRANSDUTOR DE PRESSÃO TSA-E-1-Z-BV05-G-T-V-XP460" u="1"/>
        <s v="CORREDIÇA TELESCOPICA TM04232-A (1100mm feichado)" u="1"/>
        <s v="MONITORADOR DE CORRENTE" u="1"/>
        <s v="SELO MECÂNICO PARA EIXO 1&quot;" u="1"/>
        <s v="FITA ISOLANTE PROFISSIONAL PRETA  / 19MM X 20M" u="1"/>
        <s v="CONECTOR PARA CABO" u="1"/>
        <s v="FONTE  24 VDC 5A SCHNNEIDER" u="1"/>
        <s v="CONEXÃO PNELMATICA 10MM COTOVELO COM ROSCA" u="1"/>
        <s v="PINO ENGATE RAPIDO MACHO " u="1"/>
        <s v="GUIA LINEAR" u="1"/>
        <s v="CONJUNTO ABACAXI " u="1"/>
        <s v="TAMPA PARA TOMADA REGIDA " u="1"/>
        <s v="SENSOR DE SEGURANÇA MAGNETICO" u="1"/>
        <s v="DISCO DESBASTE METAL " u="1"/>
        <s v="ACOPLAMENTO 2P+T 16A FEMEA" u="1"/>
        <s v="CONJUNTO ABACAXI PARA INJETORA CANNON" u="1"/>
        <s v="MIXER ROBO DE COLA" u="1"/>
        <s v="CONECTOR  KBC10" u="1"/>
        <s v="VALVULA ESFERA " u="1"/>
        <s v="CABO FLEX" u="1"/>
        <s v="DISJUNTOR TRIPOLAR  SÉRIE SD 50A " u="1"/>
        <s v="SAIDA DO PONTO MODULAR 24VDC 0.5AMP PNP SMARTSLICE OMRON" u="1"/>
        <s v="TEMPORIZADOR PNEUMATICO" u="1"/>
        <s v="CONEXÃO PNELMATICA 6MM COM REGULADORA CONTROLE POR NIVEL" u="1"/>
        <s v="VALVULA ESFERA DE ALTA PRESSÃO ROSCA FEMEA" u="1"/>
        <s v="VALVULA PNEUMÁTICA 3/2 VIAS FESTO - REF. VL/O-3-1/8-B / COD. 7803 (FESTO)" u="1"/>
        <s v="CONEXÃO PENLAMTICA MANGUEIRA  6MM COM ROSCA" u="1"/>
        <s v="BASE COM FUSIVEL" u="1"/>
        <s v="MÓDULO DE ENTRADA DIGITAL PROFISAFE 4/8F-DI DC24 SIEMENS SIMATIC ET200S" u="1"/>
        <s v="GAXETA  " u="1"/>
        <s v="REGISTRO HIDRAULICO" u="1"/>
        <s v="VALVULA PNEUMATICA ULTRA RAPIDO" u="1"/>
        <s v="MANOMETRO ROSCA VERTICAL COM GATILHO DE ACIONAMENTO 1/4&quot; BSP  100 BAR " u="1"/>
        <s v="PRESSOSTATO " u="1"/>
        <s v="CONEXÃO PENLAMTICA SEIS TRAVADO  10MM COM ROSCA" u="1"/>
        <s v="MANOMETRO REGULADOR DE PRESSÃO DO COLEIRO" u="1"/>
        <s v="SUPORTE PARA RELE FINDER" u="1"/>
        <s v="INVERSOR DE FREQUÊNCIA SIEMENS MICROMASTER 440 " u="1"/>
        <s v="LAMPADAS FLUORESCENTES" u="1"/>
        <s v="BOTOEIRA C/ SINALIZAÇÃO BRANCA BHS - REF. HB2-BE101, 1NO Ø22MM BA9S VMAX 220V" u="1"/>
        <s v="CONEXÃO PNELMATICA 6MM COM REGULADORA" u="1"/>
        <s v="KIT REPARO DA GERADORA DE VACUO PCLX4BN" u="1"/>
        <s v="AMORTECEDOR MOLA GAS 900N" u="1"/>
        <s v="RASPADOR" u="1"/>
        <s v="BOTÃO DE EMERGENCIA  SCHIMERSAL MV-CLE2-40" u="1"/>
        <s v="ELEMENTO  FILTRANTE " u="1"/>
        <s v="BLOCO DE CONTATO AUXILIAR 3HR2911" u="1"/>
        <s v="KIT REPARO DA GERADORA DE VACUO PCLX4BN (PIAB)" u="1"/>
        <s v="LUMINARIA LED SLIM 60cm BRILIA " u="1"/>
        <s v="SUPORTE PARA SENSOR " u="1"/>
        <s v="CONECTOR PARA TRANSMISSOR DE PRESSÃO" u="1"/>
        <s v="MÓDULO TERMINAL SIEMENS SIMATIC ET200S -" u="1"/>
        <s v="ROLAMENTO EM POLEGADA PARA O MISTURADOR DE COLA " u="1"/>
        <s v="FITA DE FIBRA P/ ALAT TEMPERATURA" u="1"/>
        <s v="ARRUELA PEQUENA PARA SETUP" u="1"/>
        <s v="MÓDULO TERMINAL SIEMENS SIMATIC ET200S" u="1"/>
        <s v="FONTE DE ALIMENTAÇÃO " u="1"/>
        <s v="CILENCIADOR PNEUMATICO" u="1"/>
        <s v="CABECOTE DE INJECAO DE PU COMPLETO DUT MOD.DHV2118-2K" u="1"/>
        <s v="MOTOBOMBA DE VACUO WEG" u="1"/>
        <s v="MANOMETRO ROSCA VERTICAL 1/4&quot;BSP  10BAR" u="1"/>
        <s v="CONEXÃO PENLAMTICA SEIS TRAVADO  8MM COM ROSCA CONTROLE POR NIVEL" u="1"/>
        <s v="SENSOR INDUTIVO     M12 XS112B3PAM12" u="1"/>
        <s v="DISJUNTOR TRIPOLAR SCHNEIDER" u="1"/>
        <s v="ACOPLAMENTO MAGNETICO P/ JUNÇÃO MOTOR E BOMBA PARA ISOCIANATO" u="1"/>
        <s v="BICO DA PISTOLA DE COLA DO ROBO " u="1"/>
        <s v="ORING CHEVRON" u="1"/>
        <s v="CILINDRO PADRAO FESTO DSBC-100-500 PPV-A-KP E943" u="1"/>
        <s v="VALVULA 3 VIAS " u="1"/>
        <s v="MÓDULO DE ENTRADA DIGITAL 16DI DC24 SM321 SIEMENS SIMATIC S7-300" u="1"/>
        <s v="FILTRO Y 2&quot;" u="1"/>
        <s v="SUPORTE PARA SENSOR" u="1"/>
        <s v="CONTATO PARA BOTOEIRA NC+NO" u="1"/>
        <s v="LUBRIFICADOR PNELMATICO 1/2" u="1"/>
        <s v="BOMBA DE ATIVADOR" u="1"/>
        <s v="REGISTRO ESFERA P/ ÓLEO TERMICO TRIPARTDA" u="1"/>
        <s v="CONEXÃO PNELMATICA 4MM COM REGULADORA CONTROLE POR NIVEL " u="1"/>
        <s v="VALVULA DE ALIVIO DE PRESSÃO NA" u="1"/>
        <s v="REGISTRO PARA FLUXO DE AGUA" u="1"/>
        <s v="MANGUEIRA TEFLON 12MM" u="1"/>
        <s v="DISJUNTOR BIPOLAR 6A CURVA C SCHNEIDER -  REF. EA9AN2C6" u="1"/>
        <s v="ENGATE RAPIDO MACHO " u="1"/>
        <s v="PRESSOSTATO PSG DIG HUDAC" u="1"/>
        <s v="LAMINA MAQ. DE CORTE HORIZONTAL" u="1"/>
        <s v="CONTATO PARA BOTOEIRA " u="1"/>
        <s v="BOMBA DE PISTÃO ALTA PRESSAO DE POLIOL  23CC" u="1"/>
        <s v="PLC SIEMENS  S7-1500" u="1"/>
        <s v="FILTRO AUTO LIMPANTE DO ISOCIANATO" u="1"/>
        <s v="SENSOR FIM DE CURSO" u="1"/>
        <s v="VALVULA PROPORCICIONAL  D1FBE32FC0NB0019C25X726" u="1"/>
        <s v="VALVULA DIRECIONAL COM PILOTAGEM 4WE6J62/EG24N9K4 DUPLA SOLENOIDE" u="1"/>
        <s v="MANOMETRO CAIXA DE 100MM" u="1"/>
        <s v="LOAD BREAK 68,5A VCF5" u="1"/>
        <s v="SISTEMA X PARA CABEAMENTO" u="1"/>
        <s v="BOTAO (NO)" u="1"/>
        <s v="BASE SEPARADOR PARA RELE RXM2.1" u="1"/>
        <s v="PORCA T" u="1"/>
        <s v="CABO FLEX UNIPOLAR AZUL+BRANCO 1MM² - LAPP KABEL - BOBINA 100M CABO FLEX 1MM³ AZ+BR" u="1"/>
        <s v="CONEXÃO TEE PNELMATICA 6MM" u="1"/>
        <s v="ENCODER" u="1"/>
        <s v="FUSIVEL CARTUCHO ULTRA RAPIDO" u="1"/>
        <s v="MANCAL USADO NO FRONT FENDER" u="1"/>
        <s v="SENSOR FIM DE CURSO ACIONAMENTO ROLETE" u="1"/>
        <s v="FUSÍVEL CARTUCHO P/ BARRAMENTO 40A 500VAC NP5873 - AMERICAN FUSE NP5873 AMERICAN FUSE" u="1"/>
        <s v="SENSOR FIM DECURSO" u="1"/>
        <s v="KIT REPARO DA GERADORA DE VACUO" u="1"/>
        <s v="PLACA ELETRONICA DO SERVOMOTOR" u="1"/>
        <s v="ACOPLAMENTOS" u="1"/>
        <s v="VALVULA REGULADORA DE PRESSÃO" u="1"/>
        <s v="MANOMETRO REGULADOR DE PRESSÃO DO COLEIRO COLEIRO" u="1"/>
        <s v="ENGATE RAPIDO FEMEA " u="1"/>
        <s v="ROLAMENTO EM POLEGADA PARA O MISTURADOR DE COLA 1.1/8x2. 1/2x5/8" u="1"/>
        <s v="ANNEL DE RETENÇÃO  " u="1"/>
        <s v="FILTRO DE AR" u="1"/>
        <s v="GRAFITE SPRAY SPRAY" u="1"/>
        <s v="DISJUNTOR MOTOR 6-10A SCHNEIDER" u="1"/>
        <s v="ROLAMENTO 3205" u="1"/>
        <s v="DISJUNTOR MOTOR GV2 ME06 1-1.6A" u="1"/>
        <s v="CONEXÃO PNEUMATICA COM ANILHA" u="1"/>
        <s v="CABO SIEMENS " u="1"/>
        <s v="VALVULA PROPORCIONAL PARKER PILOTADA" u="1"/>
        <s v="FOLE COMPACTO PNEUMATICO DE SIMPLES ATUAÇÃO" u="1"/>
        <s v="PRESSOSTATO HIDRAULICO" u="1"/>
        <s v="RETENTOR  LATA POR FORA" u="1"/>
        <s v="SERPENTINA 6,35X2,12" u="1"/>
        <s v="VALVULA PNELMATICA 24V CC  1/4" u="1"/>
        <s v="BLOCO DE VALVULA COM RETENÇÃO" u="1"/>
        <s v="INVERSOR DE FREQUÊNCIA SIEMENS MICROMASTER 420" u="1"/>
        <s v="BOMBA HIDRAULICA HIDRAULICO PRINCIPAL" u="1"/>
        <s v="ANEL ELASTICO " u="1"/>
        <s v="RELE TERMICO DE SOBRECARGA LRD05 SCHNEIDER" u="1"/>
        <s v="FLAUTA DO W.J  20491603" u="1"/>
        <s v="VEDAÇÃO VITON P/ BOMBA HID JLB 12" u="1"/>
        <s v="ASSENTO BLOCO DE CANETA " u="1"/>
        <s v="VALVULA PNELMATICA 220V AC 1/4  5/2 VIAS SIPLES SOLENOIDE" u="1"/>
        <s v="BOTÃO DE EMERGENCIA - TIPO C - IEC6094755" u="1"/>
        <s v="TERMOMETRO PARA AS FERRAMENTAS" u="1"/>
        <s v="ENGATE RAPIDO FEMEA" u="1"/>
        <s v="CABO PARA SENSOR " u="1"/>
        <s v="PINO RETENTOR " u="1"/>
        <s v="BOMBA HIDRAULICA PISTÃO  BOSCH/REXROTH (84148)" u="1"/>
        <s v="FILTRO W.J" u="1"/>
        <s v="CABO PARA SENSOR  " u="1"/>
        <s v="BOTÃO DE EMERGÊNCIA TIPO COGUMELO C/ TRAV. ROTATIVA ABB - REF. CE4T-10R-02, 2NF" u="1"/>
        <s v="SAFIRA WATER JET 8MM" u="1"/>
        <s v="VALVULA HIDRAULICA SIMPLES SOLENOIDE RETORNO POR MOLA PARKER 4/2 VIAS D1VW004KNWT" u="1"/>
        <s v="FILTRO DE ISSO " u="1"/>
        <s v="COOLERS 220VAC 60HZ 1.4W 0,10A , F2E - 1205 - 230" u="1"/>
        <s v="CONEXÃO PNEUMÁTICA 10mm X 12 REDUÇÃO" u="1"/>
        <s v="CONTROLADOR DE TEMPERATURA HW4900" u="1"/>
        <s v="CONEXÃO PNELMATICA EM Y 10MM" u="1"/>
        <s v="VALVULA SEU" u="1"/>
        <s v="GRAFITE SPRAY 300ml ORBI" u="1"/>
        <s v="FONTE  24 VDC 5A" u="1"/>
        <s v="BOTÃO DE PRESSÃO CABEÇA DUPLA" u="1"/>
        <s v="SENSOR DE PROXIMIDADE PARA CILINDRO" u="1"/>
        <s v="ENGATE RAPIDO P/ ÓLEO TERMICO FEMEA" u="1"/>
        <s v="REGULADOR DE PRESSÃO" u="1"/>
        <s v="ATUADOR P/ SENSOR MAGNÉTICO PILZ PSEN CS 3.1 - IDENT. NO. 541080" u="1"/>
        <s v="VALVULA ESCAPE RAPIDO " u="1"/>
        <s v="VALVULA PNEUMATICA 3/2 VIAS " u="1"/>
        <s v="CONTROLADOR D-79183 SICK" u="1"/>
        <s v="CONJUNTO CORTINA DE LUZ" u="1"/>
        <s v="ACOPLAMENTO MAGNETICO P/ JUNÇÃO MOTOR E BOMBA PARA ISOCIANATO GANTRY" u="1"/>
        <s v="ROLAMENTO RÍGIDO DE ESFERA" u="1"/>
        <s v="SENSOR FIM DECURSO ESE52320HK80" u="1"/>
        <s v="DISJUNTOR MOTOR TERMOMAGNETICO GV2ME-16C/9-14A SCHINEIDER" u="1"/>
        <s v="LUVA ESPIGÃO PARA MANG DE 3/4&quot;" u="1"/>
        <s v="MANGUEIRA CAPILAR " u="1"/>
        <s v="CONTROLADOR DE TEMPERATURA DIGITAL FA B. NOVUS N1200-3R-485-24V NOVUS" u="1"/>
        <s v="KIT REPARO DO CILINDRO PNEUMATICO" u="1"/>
        <s v="MANCAL" u="1"/>
        <s v="VALVULA DIRECIONAL  SIMPLES SOLENOIDE RETORNO POR MOLA" u="1"/>
        <s v="INVERSOR DA UNIDADE DAS FASES DE ENTRADA SERIE MX2  3G3MX2- A4015-V1" u="1"/>
        <s v="VÁLVULA PNEUMÁTICA 3/2 VIAS NORM. ABERTA FESTO - REF. VL/O-3-PK-3x2 / COD. 4245 (FESTO)" u="1"/>
        <s v="BASE C/ RELÉ SLIM PRT8-1/ JZ1RC3 24VDC METALTEX SCHNEIDER" u="1"/>
        <s v="ASSENTO BLOCO DE CANETA" u="1"/>
        <s v="PAPEL JUNTA" u="1"/>
        <s v="LUMINÁRIA COM LAMPADA CONJUNTO" u="1"/>
        <s v="RELE TERMICO DE SOBRECARGA" u="1"/>
        <s v="CONECTOR CIRCULAR" u="1"/>
        <s v="CHAVE COMUTADORA " u="1"/>
        <s v="VALVULA DE COLA 7337C03" u="1"/>
        <s v="MANGUEIRA TEFLON REVESTIMENTO ACO 1/4 BSP 1000MM" u="1"/>
        <s v="GAXETA  DO FILTRO AUTO LIMPANTE ISOCIANATO" u="1"/>
        <s v="ACOPLADOR FEMEA QUICK STECK" u="1"/>
        <s v="CILINDRO PADRAO FESTO" u="1"/>
        <s v="MODULO DE EXPANSÃO" u="1"/>
        <s v="ORING 3,75 X 4,0  " u="1"/>
        <s v="AGULHA DO FRONT FENDER" u="1"/>
        <s v="MIX HEAD DUT" u="1"/>
        <s v="CONEXÃO PNELMATICA EM Y 8MM" u="1"/>
        <s v="CHAVE DE SEGURANÇA PARA BLOQUEIO DE PORTA" u="1"/>
        <s v="SERPENTINA EIXO 4" u="1"/>
        <s v="SENSOR FIM DE CURSO  ACIONAMENTO MECANICO" u="1"/>
        <s v="CONEXÃO PNEUMÁTICA" u="1"/>
        <s v="ÓLEO HIDRAULICO " u="1"/>
        <s v="MÓDULO DE ENTRADAS ANALÓGICAS 2 AI - 2WIRE STANDARD SIEMENS SIMATIC ET200S" u="1"/>
        <s v="PULVERIZADOR DE PORCELANA PARA O INTENSIFICADOR" u="1"/>
        <s v="FONTE DE ALIMENTAÇÃO CHAVEADA - TRIFÁSICA 3X380-500VAC - DC24V 20A - REF. ABL8 WPS24200" u="1"/>
        <s v="VALVULA HIDRAULICA SIMPLES SOLENOIDE RETORNO POR MOLA" u="1"/>
        <s v="DISJUNTOR TERMOMAGNÉTICO UNIPOLAR C16 " u="1"/>
        <s v="DESENGRIPANTE SPRAY WHITE LUB SUPER 300ml ORBI-03" u="1"/>
        <s v="PONTA MONTADA " u="1"/>
        <s v="SAFIRA WATER JET  6 MM" u="1"/>
        <s v="ACOPLAMENTO 2P+16A-9h/380-440W" u="1"/>
        <s v="DISJUNTOR MOTOR" u="1"/>
        <s v="SILENCIADOR PNEUMATICO 1/2&quot;" u="1"/>
        <s v="CAIXA BOTOEIRA P/ BOTÃO DE COMANDO LUKMA - MOD. LAY5-BOX1/W" u="1"/>
        <s v="IHM DE CONTROLE DE EMPERATUERA" u="1"/>
        <s v="CIILINDRO PNEUMATICO" u="1"/>
        <s v="SENSOR MAGNÉTICO P/ PORTA PILZ PSEN CS 3.1A - IDENT. NO. 511061" u="1"/>
        <s v="SENSOR CONECTOR XZCC43FCP40B TELEMAQUINIC" u="1"/>
        <s v="VALVULA DE RETENÇÃO PRESSAÕ MAXIMA 66000 PSI VAR15-005016/.0511397" u="1"/>
        <s v="CELULA DE CARGA " u="1"/>
        <s v="PLUG VERMELHO FEMEA N3046" u="1"/>
        <s v="VALVULA HIDRAULICA SIMPLES SOLENOIDE RETORNO POR MOLA " u="1"/>
        <s v="REPARO DAS PRENSAS EPILA" u="1"/>
        <s v="CABO PARA REDE ASI" u="1"/>
        <s v="MANOMETRO CAIXA DE 100MM 1/2&quot; BSP" u="1"/>
        <s v="VALVULA PNELMATICA" u="1"/>
        <s v="PRESSOSTATO PNEUMATICO" u="1"/>
        <s v="PRENSA CABO" u="1"/>
        <s v="CONEXÃO PNEUMATICA COM ANILHA 6MM" u="1"/>
        <s v="BOTÃO PULSADOR" u="1"/>
        <s v="CONTATOR DE FORÇA 12A 24VDC WEG" u="1"/>
        <s v="RELE MINIATURE RXM2ABBD 12A 24VDC+LED" u="1"/>
        <s v="VALVULA PROPORCIONAL PILOTADA ATOS E-RI-AE-05F 10" u="1"/>
        <s v="BOMBA DE COLA " u="1"/>
        <s v="MÓDULO DE SAÍDA DIGITAIS 16DO DC24V/0.5A SM322 SIEMENS SIMATIC S7-300" u="1"/>
        <s v="ADESIVO PARA JUNTAS DE MOTORES DISEL 73g 3M" u="1"/>
        <s v="MANOMETRO INDICADOR DE SATURAÇÃO PÁRA FILTRO" u="1"/>
        <s v="MÓDULO FONTE PM-E DC24V STANDARD SIEMENS SIMATIC ET200S" u="1"/>
        <s v="SUPRESSOR DE SURTO SIEMENS 3RT2916-1DG00 SIEMENS" u="1"/>
        <s v="PLACA CIRCULAR CORTANTE 31X23X10 cm" u="1"/>
        <s v="TRAVA ROSCA " u="1"/>
        <s v="ELEMENTO FILTRANTE PARA OLEO / ISSO" u="1"/>
      </sharedItems>
    </cacheField>
    <cacheField name="Referência Tec" numFmtId="0">
      <sharedItems containsBlank="1"/>
    </cacheField>
    <cacheField name="Fornecedor" numFmtId="0">
      <sharedItems containsBlank="1"/>
    </cacheField>
    <cacheField name="Observação" numFmtId="0">
      <sharedItems containsNonDate="0" containsString="0" containsBlank="1"/>
    </cacheField>
    <cacheField name="Tipo" numFmtId="0">
      <sharedItems containsBlank="1"/>
    </cacheField>
    <cacheField name="Classe / Equipamento" numFmtId="0">
      <sharedItems containsNonDate="0" containsString="0" containsBlank="1"/>
    </cacheField>
    <cacheField name="ENDEREÇO NOVO" numFmtId="0">
      <sharedItems containsBlank="1" containsMixedTypes="1" containsNumber="1" containsInteger="1" minValue="2304" maxValue="41402"/>
    </cacheField>
    <cacheField name="Endereço" numFmtId="0">
      <sharedItems containsBlank="1"/>
    </cacheField>
    <cacheField name="Estoque" numFmtId="0">
      <sharedItems containsSemiMixedTypes="0" containsString="0" containsNumber="1" minValue="-770" maxValue="815"/>
    </cacheField>
    <cacheField name="Mínimo" numFmtId="0">
      <sharedItems containsString="0" containsBlank="1" containsNumber="1" containsInteger="1" minValue="1" maxValue="400"/>
    </cacheField>
    <cacheField name="Maximo" numFmtId="0">
      <sharedItems containsString="0" containsBlank="1" containsNumber="1" containsInteger="1" minValue="1" maxValue="800"/>
    </cacheField>
    <cacheField name="Valor Unitario " numFmtId="166">
      <sharedItems containsString="0" containsBlank="1" containsNumber="1" minValue="0" maxValue="66325.75"/>
    </cacheField>
    <cacheField name="Valor Total" numFmtId="166">
      <sharedItems containsSemiMixedTypes="0" containsString="0" containsNumber="1" minValue="-11704.385" maxValue="66325.75"/>
    </cacheField>
    <cacheField name="Valor total Investimento FO's" numFmtId="166">
      <sharedItems containsSemiMixedTypes="0" containsString="0" containsNumber="1" minValue="0" maxValue="66325.75"/>
    </cacheField>
    <cacheField name="Estoque Atual (18-4-19)" numFmtId="0">
      <sharedItems containsString="0" containsBlank="1" containsNumber="1" minValue="0" maxValue="1000"/>
    </cacheField>
    <cacheField name="Entrada(R$)" numFmtId="0">
      <sharedItems containsString="0" containsBlank="1" containsNumber="1" minValue="0" maxValue="27000"/>
    </cacheField>
    <cacheField name="Ser. Realizado" numFmtId="0">
      <sharedItems containsBlank="1"/>
    </cacheField>
    <cacheField name="Numero Nf" numFmtId="0">
      <sharedItems containsBlank="1" containsMixedTypes="1" containsNumber="1" containsInteger="1" minValue="4500527405" maxValue="4500527405"/>
    </cacheField>
    <cacheField name="Valor Ser." numFmtId="0">
      <sharedItems containsString="0" containsBlank="1" containsNumber="1" containsInteger="1" minValue="870" maxValue="5600"/>
    </cacheField>
    <cacheField name="Status Nivel Estoque " numFmtId="0">
      <sharedItems/>
    </cacheField>
    <cacheField name="status de solicitação" numFmtId="0">
      <sharedItems/>
    </cacheField>
    <cacheField name="Nr - FABBISOGNO'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262">
  <r>
    <n v="888"/>
    <x v="0"/>
    <s v="C"/>
    <s v="ALM00001"/>
    <m/>
    <x v="0"/>
    <m/>
    <m/>
    <x v="0"/>
    <m/>
    <m/>
    <m/>
    <m/>
    <m/>
    <s v="F2"/>
    <s v="A1-1-1"/>
    <n v="2"/>
    <n v="5"/>
    <n v="15"/>
    <n v="51"/>
    <n v="102"/>
    <n v="255"/>
    <n v="2"/>
    <m/>
    <m/>
    <m/>
    <m/>
    <s v="Estoque em Nivel Minimo"/>
    <s v="SEM SOLICITACAO / FABBISOGNO'S"/>
    <m/>
  </r>
  <r>
    <n v="53"/>
    <x v="1"/>
    <s v="C"/>
    <s v="ALM00002"/>
    <m/>
    <x v="0"/>
    <s v="758359164962"/>
    <s v="164962"/>
    <x v="1"/>
    <m/>
    <m/>
    <m/>
    <m/>
    <m/>
    <s v="A1405"/>
    <s v="A1-2-1"/>
    <n v="0"/>
    <n v="4"/>
    <n v="10"/>
    <n v="26.39"/>
    <n v="0"/>
    <n v="105.56"/>
    <n v="1"/>
    <n v="765.31"/>
    <m/>
    <m/>
    <m/>
    <s v="Estoque Não Conforme"/>
    <s v="COM SOLICITACAO / EM PROCESSO DE COMPRAS"/>
    <s v="3332/19"/>
  </r>
  <r>
    <n v="56"/>
    <x v="1"/>
    <s v="C"/>
    <s v="ALM00003"/>
    <m/>
    <x v="0"/>
    <s v="763677164962"/>
    <s v="164962"/>
    <x v="2"/>
    <m/>
    <m/>
    <m/>
    <m/>
    <m/>
    <s v="A1405"/>
    <s v="A1-2-2"/>
    <n v="16"/>
    <n v="5"/>
    <n v="10"/>
    <n v="5.5"/>
    <n v="88"/>
    <n v="27.5"/>
    <n v="5"/>
    <n v="5725"/>
    <m/>
    <m/>
    <m/>
    <s v="Estoque Conforme"/>
    <s v="COM SOLICITACAO / EM PROCESSO DE COMPRAS"/>
    <s v="3332/19"/>
  </r>
  <r>
    <n v="885"/>
    <x v="1"/>
    <s v="C"/>
    <s v="ALM00004"/>
    <m/>
    <x v="0"/>
    <m/>
    <m/>
    <x v="3"/>
    <m/>
    <m/>
    <m/>
    <m/>
    <m/>
    <s v="A1405"/>
    <s v="A1-2-3"/>
    <n v="0"/>
    <n v="5"/>
    <n v="10"/>
    <n v="12.3"/>
    <n v="0"/>
    <n v="61.5"/>
    <n v="37"/>
    <m/>
    <m/>
    <m/>
    <m/>
    <s v="Estoque Não Conforme"/>
    <s v="COM SOLICITACAO / EM PROCESSO DE COMPRAS"/>
    <s v="3334/19"/>
  </r>
  <r>
    <n v="88"/>
    <x v="1"/>
    <s v="C"/>
    <s v="ALM00005"/>
    <m/>
    <x v="0"/>
    <s v="757779165000"/>
    <s v="165000"/>
    <x v="4"/>
    <m/>
    <m/>
    <m/>
    <m/>
    <m/>
    <s v="A1405"/>
    <s v="A1-2-3.1"/>
    <n v="9"/>
    <n v="4"/>
    <n v="8"/>
    <n v="35"/>
    <n v="315"/>
    <n v="140"/>
    <n v="8"/>
    <n v="0"/>
    <m/>
    <m/>
    <m/>
    <s v="Estoque Conforme"/>
    <s v="SEM SOLICITACAO / FABBISOGNO'S"/>
    <m/>
  </r>
  <r>
    <n v="620"/>
    <x v="1"/>
    <s v="C"/>
    <s v="ALM00006"/>
    <m/>
    <x v="0"/>
    <s v="757779159168"/>
    <s v="159168"/>
    <x v="5"/>
    <m/>
    <m/>
    <m/>
    <m/>
    <m/>
    <s v="A1405"/>
    <s v="A1-4-1"/>
    <n v="0"/>
    <n v="3"/>
    <n v="12"/>
    <n v="12.3"/>
    <n v="0"/>
    <n v="36.900000000000006"/>
    <n v="0"/>
    <m/>
    <m/>
    <m/>
    <m/>
    <s v="Estoque Não Conforme"/>
    <s v="COM SOLICITACAO / EM PROCESSO DE COMPRAS"/>
    <s v="3334/19"/>
  </r>
  <r>
    <n v="621"/>
    <x v="1"/>
    <s v="C"/>
    <s v="ALM00007"/>
    <s v=""/>
    <x v="0"/>
    <m/>
    <m/>
    <x v="6"/>
    <m/>
    <m/>
    <m/>
    <m/>
    <m/>
    <s v="A1405"/>
    <s v="A1-4-2"/>
    <n v="0"/>
    <n v="3"/>
    <n v="12"/>
    <n v="10.5"/>
    <n v="0"/>
    <n v="31.5"/>
    <n v="0"/>
    <m/>
    <m/>
    <m/>
    <m/>
    <s v="Estoque Não Conforme"/>
    <s v="COM SOLICITACAO / EM PROCESSO DE COMPRAS"/>
    <s v="3334/19"/>
  </r>
  <r>
    <n v="627"/>
    <x v="1"/>
    <s v="B"/>
    <s v="ALM00008"/>
    <m/>
    <x v="0"/>
    <m/>
    <m/>
    <x v="7"/>
    <m/>
    <m/>
    <m/>
    <m/>
    <m/>
    <s v="A1204"/>
    <s v="A1-4-3"/>
    <n v="3"/>
    <n v="10"/>
    <n v="15"/>
    <n v="2.25"/>
    <n v="6.75"/>
    <n v="22.5"/>
    <n v="13"/>
    <m/>
    <m/>
    <m/>
    <m/>
    <s v="Estoque em Nivel Minimo"/>
    <s v="COM SOLICITACAO / EM PROCESSO DE COMPRAS"/>
    <s v="3334/19"/>
  </r>
  <r>
    <n v="622"/>
    <x v="1"/>
    <s v="B"/>
    <s v="ALM00009"/>
    <m/>
    <x v="0"/>
    <m/>
    <m/>
    <x v="8"/>
    <m/>
    <m/>
    <m/>
    <m/>
    <m/>
    <s v="A1204"/>
    <s v="A1-4-3"/>
    <n v="14"/>
    <n v="10"/>
    <n v="15"/>
    <n v="0.15"/>
    <n v="2.1"/>
    <n v="1.5"/>
    <n v="17"/>
    <m/>
    <m/>
    <m/>
    <m/>
    <s v="Estoque Conforme"/>
    <s v="SEM SOLICITACAO / FABBISOGNO'S"/>
    <m/>
  </r>
  <r>
    <n v="623"/>
    <x v="1"/>
    <s v="B"/>
    <s v="ALM00010"/>
    <m/>
    <x v="0"/>
    <m/>
    <m/>
    <x v="9"/>
    <m/>
    <m/>
    <m/>
    <m/>
    <m/>
    <s v="A1204"/>
    <s v="A1-4-3"/>
    <n v="24"/>
    <n v="10"/>
    <n v="15"/>
    <n v="0.15"/>
    <n v="3.5999999999999996"/>
    <n v="1.5"/>
    <n v="20"/>
    <m/>
    <m/>
    <m/>
    <m/>
    <s v="Estoque Conforme"/>
    <s v="SEM SOLICITACAO / FABBISOGNO'S"/>
    <m/>
  </r>
  <r>
    <n v="624"/>
    <x v="1"/>
    <s v="B"/>
    <s v="ALM00011"/>
    <m/>
    <x v="0"/>
    <m/>
    <m/>
    <x v="10"/>
    <m/>
    <m/>
    <m/>
    <m/>
    <m/>
    <s v="A1204"/>
    <s v="A1-4-3"/>
    <n v="9"/>
    <n v="10"/>
    <n v="15"/>
    <n v="0.15"/>
    <n v="1.3499999999999999"/>
    <n v="1.5"/>
    <n v="17"/>
    <m/>
    <m/>
    <m/>
    <m/>
    <s v="Estoque em Nivel Minimo"/>
    <s v="COM SOLICITACAO / EM PROCESSO DE COMPRAS"/>
    <s v="3334/19"/>
  </r>
  <r>
    <n v="625"/>
    <x v="1"/>
    <s v="B"/>
    <s v="ALM00012"/>
    <m/>
    <x v="0"/>
    <m/>
    <m/>
    <x v="11"/>
    <m/>
    <m/>
    <m/>
    <m/>
    <m/>
    <s v="A1204"/>
    <s v="A1-4-3"/>
    <n v="6"/>
    <n v="10"/>
    <n v="15"/>
    <n v="0.15"/>
    <n v="0.89999999999999991"/>
    <n v="1.5"/>
    <n v="17"/>
    <m/>
    <m/>
    <m/>
    <m/>
    <s v="Estoque em Nivel Minimo"/>
    <s v="COM SOLICITACAO / EM PROCESSO DE COMPRAS"/>
    <s v="3334/19"/>
  </r>
  <r>
    <n v="626"/>
    <x v="1"/>
    <s v="B"/>
    <s v="ALM00013"/>
    <m/>
    <x v="0"/>
    <m/>
    <m/>
    <x v="12"/>
    <m/>
    <m/>
    <m/>
    <m/>
    <m/>
    <s v="A1204"/>
    <s v="A1-4-3"/>
    <n v="6"/>
    <n v="7"/>
    <n v="15"/>
    <n v="0.15"/>
    <n v="0.89999999999999991"/>
    <n v="1.05"/>
    <n v="13"/>
    <m/>
    <m/>
    <m/>
    <m/>
    <s v="Estoque em Nivel Minimo"/>
    <s v="COM SOLICITACAO / EM PROCESSO DE COMPRAS"/>
    <s v="3334/19"/>
  </r>
  <r>
    <n v="1269"/>
    <x v="1"/>
    <s v="B"/>
    <s v="ALM00014"/>
    <m/>
    <x v="0"/>
    <m/>
    <m/>
    <x v="13"/>
    <m/>
    <m/>
    <m/>
    <m/>
    <m/>
    <s v="A1204"/>
    <s v="A1-4-4"/>
    <n v="10"/>
    <n v="4"/>
    <n v="10"/>
    <n v="3.6"/>
    <n v="36"/>
    <n v="14.4"/>
    <n v="10"/>
    <m/>
    <m/>
    <m/>
    <m/>
    <s v="Estoque Conforme"/>
    <s v="SEM SOLICITACAO / FABBISOGNO'S"/>
    <m/>
  </r>
  <r>
    <n v="1270"/>
    <x v="1"/>
    <s v="B"/>
    <s v="ALM00015"/>
    <m/>
    <x v="0"/>
    <m/>
    <m/>
    <x v="14"/>
    <m/>
    <m/>
    <m/>
    <m/>
    <m/>
    <s v="A1204"/>
    <s v="A1-4-4"/>
    <n v="10"/>
    <n v="4"/>
    <n v="10"/>
    <n v="3.6"/>
    <n v="36"/>
    <n v="14.4"/>
    <n v="10"/>
    <m/>
    <m/>
    <m/>
    <m/>
    <s v="Estoque Conforme"/>
    <s v="SEM SOLICITACAO / FABBISOGNO'S"/>
    <m/>
  </r>
  <r>
    <n v="1271"/>
    <x v="1"/>
    <s v="B"/>
    <s v="ALM00016"/>
    <m/>
    <x v="0"/>
    <m/>
    <m/>
    <x v="15"/>
    <m/>
    <m/>
    <m/>
    <m/>
    <m/>
    <s v="A1204"/>
    <s v="A1-4-4"/>
    <n v="10"/>
    <n v="4"/>
    <n v="10"/>
    <n v="3.6"/>
    <n v="36"/>
    <n v="14.4"/>
    <n v="10"/>
    <m/>
    <m/>
    <m/>
    <m/>
    <s v="Estoque Conforme"/>
    <s v="SEM SOLICITACAO / FABBISOGNO'S"/>
    <m/>
  </r>
  <r>
    <n v="1272"/>
    <x v="1"/>
    <s v="B"/>
    <s v="ALM00017"/>
    <m/>
    <x v="0"/>
    <m/>
    <m/>
    <x v="16"/>
    <m/>
    <m/>
    <m/>
    <m/>
    <m/>
    <s v="A1204"/>
    <s v="A1-4-4"/>
    <n v="2"/>
    <n v="4"/>
    <n v="10"/>
    <n v="3.6"/>
    <n v="7.2"/>
    <n v="14.4"/>
    <n v="10"/>
    <m/>
    <m/>
    <m/>
    <m/>
    <s v="Estoque em Nivel Minimo"/>
    <s v="COM SOLICITACAO / EM PROCESSO DE COMPRAS"/>
    <s v="3334/19"/>
  </r>
  <r>
    <m/>
    <x v="1"/>
    <s v="C"/>
    <s v="ALM00018"/>
    <m/>
    <x v="0"/>
    <m/>
    <m/>
    <x v="17"/>
    <m/>
    <m/>
    <m/>
    <m/>
    <m/>
    <s v="E2204"/>
    <m/>
    <n v="1.5"/>
    <n v="1"/>
    <n v="2"/>
    <n v="35"/>
    <n v="52.5"/>
    <n v="35"/>
    <m/>
    <m/>
    <m/>
    <m/>
    <m/>
    <s v="Estoque Conforme"/>
    <s v="SEM SOLICITACAO / FABBISOGNO'S"/>
    <m/>
  </r>
  <r>
    <n v="891"/>
    <x v="1"/>
    <s v="B"/>
    <s v="ALM00019"/>
    <m/>
    <x v="0"/>
    <s v="756964165409"/>
    <s v="165409"/>
    <x v="18"/>
    <m/>
    <m/>
    <m/>
    <m/>
    <m/>
    <s v="A1204"/>
    <s v="A1-4-6"/>
    <n v="1"/>
    <n v="3"/>
    <n v="10"/>
    <n v="80"/>
    <n v="80"/>
    <n v="240"/>
    <n v="8"/>
    <m/>
    <m/>
    <m/>
    <m/>
    <s v="Estoque em Nivel Minimo"/>
    <s v="COM SOLICITACAO / EM PROCESSO DE COMPRAS"/>
    <s v="3334/19"/>
  </r>
  <r>
    <n v="633"/>
    <x v="1"/>
    <s v="C"/>
    <s v="ALM00020"/>
    <s v=""/>
    <x v="0"/>
    <m/>
    <m/>
    <x v="19"/>
    <m/>
    <m/>
    <m/>
    <m/>
    <m/>
    <s v="A1205"/>
    <s v="A1-5-1"/>
    <n v="5"/>
    <n v="2"/>
    <n v="3"/>
    <n v="89"/>
    <n v="445"/>
    <n v="178"/>
    <n v="1"/>
    <m/>
    <m/>
    <m/>
    <m/>
    <s v="Estoque Conforme"/>
    <s v="SEM SOLICITACAO / FABBISOGNO'S"/>
    <m/>
  </r>
  <r>
    <n v="884"/>
    <x v="1"/>
    <m/>
    <s v="ALM00021"/>
    <s v="M17"/>
    <x v="0"/>
    <m/>
    <m/>
    <x v="20"/>
    <m/>
    <m/>
    <m/>
    <m/>
    <m/>
    <s v="A1205"/>
    <s v="A1-5-2"/>
    <n v="0"/>
    <n v="1"/>
    <n v="3"/>
    <n v="0"/>
    <n v="0"/>
    <n v="0"/>
    <n v="2"/>
    <m/>
    <m/>
    <m/>
    <m/>
    <s v="Estoque Não Conforme"/>
    <s v="SEM SOLICITACAO / FABBISOGNO'S"/>
    <m/>
  </r>
  <r>
    <n v="883"/>
    <x v="1"/>
    <s v="B"/>
    <s v="ALM00022"/>
    <m/>
    <x v="0"/>
    <s v="756964172321"/>
    <s v="172321"/>
    <x v="21"/>
    <m/>
    <m/>
    <m/>
    <m/>
    <m/>
    <s v="A1205"/>
    <s v="A1-5-3"/>
    <n v="1"/>
    <n v="1"/>
    <n v="3"/>
    <n v="235"/>
    <n v="235"/>
    <n v="235"/>
    <n v="2"/>
    <m/>
    <m/>
    <m/>
    <m/>
    <s v="Estoque Conforme"/>
    <s v="SEM SOLICITACAO / FABBISOGNO'S"/>
    <m/>
  </r>
  <r>
    <n v="634"/>
    <x v="1"/>
    <s v="C"/>
    <s v="ALM00023"/>
    <s v=""/>
    <x v="0"/>
    <m/>
    <m/>
    <x v="22"/>
    <m/>
    <m/>
    <m/>
    <m/>
    <m/>
    <s v="A2204"/>
    <s v="A1-5-4"/>
    <n v="0"/>
    <n v="2"/>
    <n v="5"/>
    <n v="70"/>
    <n v="0"/>
    <n v="140"/>
    <n v="3"/>
    <m/>
    <m/>
    <m/>
    <m/>
    <s v="Estoque Não Conforme"/>
    <s v="COM SOLICITACAO / EM PROCESSO DE COMPRAS"/>
    <s v="3334/19"/>
  </r>
  <r>
    <n v="896"/>
    <x v="1"/>
    <s v="B"/>
    <s v="ALM00024"/>
    <s v="INJETORAS M02"/>
    <x v="0"/>
    <s v="756964172524"/>
    <s v="172524"/>
    <x v="23"/>
    <m/>
    <m/>
    <m/>
    <m/>
    <m/>
    <s v="E2204"/>
    <s v="A1-5-6"/>
    <n v="4"/>
    <n v="2"/>
    <n v="5"/>
    <n v="0"/>
    <n v="0"/>
    <n v="0"/>
    <n v="4"/>
    <m/>
    <m/>
    <m/>
    <m/>
    <s v="Estoque Conforme"/>
    <s v="SEM SOLICITACAO / FABBISOGNO'S"/>
    <m/>
  </r>
  <r>
    <n v="909"/>
    <x v="1"/>
    <s v="B"/>
    <s v="ALM00025"/>
    <s v=""/>
    <x v="0"/>
    <m/>
    <m/>
    <x v="24"/>
    <m/>
    <m/>
    <m/>
    <m/>
    <m/>
    <s v="A1205"/>
    <s v="A1-5-7"/>
    <n v="0"/>
    <n v="6"/>
    <n v="15"/>
    <n v="48.8"/>
    <n v="0"/>
    <n v="292.79999999999995"/>
    <n v="1"/>
    <m/>
    <m/>
    <m/>
    <m/>
    <s v="Estoque Não Conforme"/>
    <s v="COM SOLICITACAO / EM PROCESSO DE COMPRAS"/>
    <s v="3363/19"/>
  </r>
  <r>
    <n v="895"/>
    <x v="1"/>
    <m/>
    <s v="ALM00026"/>
    <s v=""/>
    <x v="0"/>
    <m/>
    <m/>
    <x v="25"/>
    <m/>
    <m/>
    <m/>
    <m/>
    <m/>
    <s v="A1205"/>
    <s v="A1-5-8"/>
    <n v="1"/>
    <n v="1"/>
    <n v="3"/>
    <n v="0"/>
    <n v="0"/>
    <n v="0"/>
    <n v="1"/>
    <m/>
    <m/>
    <m/>
    <m/>
    <s v="Estoque Conforme"/>
    <s v="SEM SOLICITACAO / FABBISOGNO'S"/>
    <m/>
  </r>
  <r>
    <n v="921"/>
    <x v="1"/>
    <s v="B"/>
    <s v="ALM00027"/>
    <m/>
    <x v="0"/>
    <m/>
    <m/>
    <x v="26"/>
    <m/>
    <m/>
    <m/>
    <m/>
    <m/>
    <s v="A1406"/>
    <s v="A1-6-1"/>
    <n v="5"/>
    <n v="1"/>
    <n v="4"/>
    <n v="0"/>
    <n v="0"/>
    <n v="0"/>
    <n v="2"/>
    <m/>
    <m/>
    <m/>
    <m/>
    <s v="Estoque Conforme"/>
    <s v="SEM SOLICITACAO / FABBISOGNO'S"/>
    <m/>
  </r>
  <r>
    <n v="920"/>
    <x v="1"/>
    <s v="A"/>
    <s v="ALM00028"/>
    <s v=""/>
    <x v="0"/>
    <m/>
    <m/>
    <x v="27"/>
    <m/>
    <m/>
    <m/>
    <m/>
    <m/>
    <s v="A1206"/>
    <s v="A1-6-2"/>
    <n v="1"/>
    <n v="2"/>
    <n v="2"/>
    <n v="400"/>
    <n v="400"/>
    <n v="800"/>
    <n v="1"/>
    <m/>
    <m/>
    <m/>
    <m/>
    <s v="Estoque em Nivel Minimo"/>
    <s v="COM SOLICITACAO / EM PROCESSO DE COMPRAS"/>
    <s v="3334/19"/>
  </r>
  <r>
    <n v="1191"/>
    <x v="1"/>
    <s v="C"/>
    <s v="ALM00029"/>
    <s v=""/>
    <x v="1"/>
    <m/>
    <m/>
    <x v="28"/>
    <m/>
    <m/>
    <m/>
    <m/>
    <m/>
    <s v="F2"/>
    <s v="A2-1-1"/>
    <n v="0"/>
    <n v="2"/>
    <n v="10"/>
    <n v="20"/>
    <n v="0"/>
    <n v="40"/>
    <n v="7"/>
    <m/>
    <m/>
    <m/>
    <m/>
    <s v="Estoque Não Conforme"/>
    <s v="COM SOLICITACAO / EM PROCESSO DE COMPRAS"/>
    <s v="3337/19"/>
  </r>
  <r>
    <n v="889"/>
    <x v="1"/>
    <s v="C"/>
    <s v="ALM00030"/>
    <s v=""/>
    <x v="0"/>
    <s v="57041179199"/>
    <s v="179199"/>
    <x v="29"/>
    <m/>
    <m/>
    <m/>
    <m/>
    <m/>
    <s v="F2101"/>
    <s v="A2-1-1"/>
    <n v="0"/>
    <n v="2"/>
    <n v="8"/>
    <n v="2535"/>
    <n v="0"/>
    <n v="5070"/>
    <n v="4"/>
    <m/>
    <m/>
    <m/>
    <m/>
    <s v="Estoque Não Conforme"/>
    <s v="COM SOLICITACAO / EM PROCESSO DE COMPRAS"/>
    <s v="3341/19"/>
  </r>
  <r>
    <n v="1349"/>
    <x v="1"/>
    <s v="B"/>
    <s v="ALM00031"/>
    <s v=""/>
    <x v="0"/>
    <m/>
    <m/>
    <x v="30"/>
    <m/>
    <m/>
    <m/>
    <m/>
    <m/>
    <s v="F2"/>
    <s v="A1-1-2"/>
    <n v="0"/>
    <n v="1"/>
    <n v="10"/>
    <n v="0"/>
    <n v="0"/>
    <n v="0"/>
    <n v="2"/>
    <m/>
    <m/>
    <m/>
    <m/>
    <s v="Estoque Não Conforme"/>
    <s v="SEM SOLICITACAO / FABBISOGNO'S"/>
    <m/>
  </r>
  <r>
    <n v="1182"/>
    <x v="1"/>
    <s v="B"/>
    <s v="ALM00032"/>
    <s v=""/>
    <x v="1"/>
    <m/>
    <m/>
    <x v="31"/>
    <m/>
    <m/>
    <m/>
    <m/>
    <m/>
    <s v="F2"/>
    <s v="A2-1-1"/>
    <n v="0"/>
    <n v="4"/>
    <n v="10"/>
    <n v="0"/>
    <n v="0"/>
    <n v="0"/>
    <n v="10"/>
    <m/>
    <m/>
    <m/>
    <m/>
    <s v="Estoque Não Conforme"/>
    <s v="COM SOLICITACAO / EM PROCESSO DE COMPRAS"/>
    <s v="3341/19"/>
  </r>
  <r>
    <n v="606"/>
    <x v="1"/>
    <s v="A"/>
    <s v="ALM00033"/>
    <s v=""/>
    <x v="0"/>
    <m/>
    <m/>
    <x v="32"/>
    <m/>
    <m/>
    <m/>
    <m/>
    <m/>
    <s v="A1302"/>
    <s v="A2-2-1"/>
    <n v="4"/>
    <n v="1"/>
    <n v="5"/>
    <n v="450"/>
    <n v="1800"/>
    <n v="450"/>
    <n v="2"/>
    <m/>
    <m/>
    <m/>
    <m/>
    <s v="Estoque Conforme"/>
    <s v="SEM SOLICITACAO / FABBISOGNO'S"/>
    <m/>
  </r>
  <r>
    <n v="60"/>
    <x v="1"/>
    <s v="B"/>
    <s v="ALM00034"/>
    <m/>
    <x v="0"/>
    <s v="756964177465"/>
    <s v="177465"/>
    <x v="33"/>
    <m/>
    <m/>
    <m/>
    <m/>
    <m/>
    <s v="A1302"/>
    <s v="A2-2-2"/>
    <n v="7"/>
    <n v="5"/>
    <n v="15"/>
    <n v="45.81"/>
    <n v="320.67"/>
    <n v="229.05"/>
    <n v="2"/>
    <n v="1740.7800000000002"/>
    <m/>
    <m/>
    <m/>
    <s v="Estoque Conforme"/>
    <s v="SEM SOLICITACAO / FABBISOGNO'S"/>
    <m/>
  </r>
  <r>
    <n v="107"/>
    <x v="1"/>
    <s v="B"/>
    <s v="ALM00035"/>
    <m/>
    <x v="0"/>
    <s v="763677171923"/>
    <s v="171923"/>
    <x v="34"/>
    <m/>
    <m/>
    <m/>
    <m/>
    <m/>
    <s v="A1302"/>
    <s v="A2-2-3"/>
    <n v="1"/>
    <n v="2"/>
    <n v="5"/>
    <n v="152.11000000000001"/>
    <n v="152.11000000000001"/>
    <n v="304.22000000000003"/>
    <n v="3"/>
    <n v="152.11000000000001"/>
    <m/>
    <m/>
    <m/>
    <s v="Estoque em Nivel Minimo"/>
    <s v="COM SOLICITACAO / EM PROCESSO DE COMPRAS"/>
    <s v="3334/19"/>
  </r>
  <r>
    <n v="605"/>
    <x v="1"/>
    <s v="B"/>
    <s v="ALM00036"/>
    <s v=""/>
    <x v="0"/>
    <m/>
    <m/>
    <x v="35"/>
    <m/>
    <m/>
    <m/>
    <m/>
    <m/>
    <s v="A1302"/>
    <s v="A2-2-4"/>
    <n v="3"/>
    <n v="2"/>
    <n v="5"/>
    <n v="41.33"/>
    <n v="123.99"/>
    <n v="82.66"/>
    <n v="6"/>
    <m/>
    <m/>
    <m/>
    <m/>
    <s v="Estoque Conforme"/>
    <s v="SEM SOLICITACAO / FABBISOGNO'S"/>
    <m/>
  </r>
  <r>
    <n v="6"/>
    <x v="1"/>
    <s v="B"/>
    <s v="ALM00037"/>
    <m/>
    <x v="0"/>
    <s v="756964177468"/>
    <s v="177468"/>
    <x v="36"/>
    <m/>
    <m/>
    <m/>
    <m/>
    <m/>
    <s v="A1302"/>
    <s v="A2-2-5"/>
    <n v="1"/>
    <n v="2"/>
    <n v="5"/>
    <n v="50"/>
    <n v="50"/>
    <n v="100"/>
    <n v="2"/>
    <n v="399"/>
    <m/>
    <m/>
    <m/>
    <s v="Estoque em Nivel Minimo"/>
    <s v="COM SOLICITACAO / EM PROCESSO DE COMPRAS"/>
    <s v="3334/19"/>
  </r>
  <r>
    <n v="602"/>
    <x v="1"/>
    <s v="A"/>
    <s v="ALM00038"/>
    <s v="ROBO DE COLA - M17"/>
    <x v="0"/>
    <s v="757779172564"/>
    <s v="172564"/>
    <x v="37"/>
    <m/>
    <m/>
    <m/>
    <m/>
    <m/>
    <s v="A1303"/>
    <s v="A2-3-1"/>
    <n v="2"/>
    <n v="2"/>
    <n v="5"/>
    <n v="350"/>
    <n v="700"/>
    <n v="700"/>
    <n v="2"/>
    <m/>
    <m/>
    <m/>
    <m/>
    <s v="Estoque Conforme"/>
    <s v="SEM SOLICITACAO / FABBISOGNO'S"/>
    <m/>
  </r>
  <r>
    <n v="1328"/>
    <x v="1"/>
    <s v="A"/>
    <s v="ALM00039"/>
    <s v="F.FENDER - M06"/>
    <x v="0"/>
    <m/>
    <m/>
    <x v="38"/>
    <m/>
    <m/>
    <m/>
    <m/>
    <m/>
    <s v="A1303"/>
    <s v="A2-3-2"/>
    <n v="0"/>
    <n v="2"/>
    <n v="3"/>
    <n v="400"/>
    <n v="0"/>
    <n v="800"/>
    <n v="0"/>
    <m/>
    <m/>
    <m/>
    <m/>
    <s v="Estoque Não Conforme"/>
    <s v="COM SOLICITACAO / EM PROCESSO DE COMPRAS"/>
    <s v="3334/19"/>
  </r>
  <r>
    <n v="360"/>
    <x v="1"/>
    <s v="B"/>
    <s v="ALM00040"/>
    <s v=""/>
    <x v="0"/>
    <m/>
    <m/>
    <x v="39"/>
    <m/>
    <m/>
    <m/>
    <m/>
    <m/>
    <s v="A1303"/>
    <s v="A2-3-3"/>
    <n v="3"/>
    <n v="2"/>
    <n v="5"/>
    <n v="410"/>
    <n v="1230"/>
    <n v="820"/>
    <n v="3"/>
    <m/>
    <m/>
    <m/>
    <m/>
    <s v="Estoque Conforme"/>
    <s v="SEM SOLICITACAO / FABBISOGNO'S"/>
    <m/>
  </r>
  <r>
    <n v="359"/>
    <x v="1"/>
    <s v="A"/>
    <s v="ALM00041"/>
    <s v="F.FENDER - M06"/>
    <x v="0"/>
    <m/>
    <m/>
    <x v="40"/>
    <m/>
    <m/>
    <m/>
    <m/>
    <m/>
    <s v="A1303"/>
    <s v="A2-3-4"/>
    <n v="0"/>
    <n v="2"/>
    <n v="5"/>
    <n v="410"/>
    <n v="0"/>
    <n v="820"/>
    <n v="0"/>
    <m/>
    <m/>
    <m/>
    <m/>
    <s v="Estoque Não Conforme"/>
    <s v="COM SOLICITACAO / EM PROCESSO DE COMPRAS"/>
    <s v="3334/19"/>
  </r>
  <r>
    <n v="69"/>
    <x v="1"/>
    <s v="B"/>
    <s v="ALM00042"/>
    <m/>
    <x v="0"/>
    <s v="763677180771"/>
    <s v="180771"/>
    <x v="41"/>
    <m/>
    <m/>
    <m/>
    <m/>
    <m/>
    <s v="A1204"/>
    <s v="A2-3-5"/>
    <n v="5"/>
    <n v="4"/>
    <n v="5"/>
    <n v="148.30000000000001"/>
    <n v="741.5"/>
    <n v="593.20000000000005"/>
    <n v="3"/>
    <n v="1186.4000000000001"/>
    <m/>
    <m/>
    <m/>
    <s v="Estoque Conforme"/>
    <s v="SEM SOLICITACAO / FABBISOGNO'S"/>
    <m/>
  </r>
  <r>
    <n v="1310"/>
    <x v="1"/>
    <s v="B"/>
    <s v="ALM00043"/>
    <m/>
    <x v="0"/>
    <s v="756964177465"/>
    <s v="177465"/>
    <x v="42"/>
    <m/>
    <m/>
    <m/>
    <m/>
    <m/>
    <s v="A1303"/>
    <s v="A2-3-6"/>
    <n v="1"/>
    <n v="5"/>
    <n v="15"/>
    <n v="22"/>
    <n v="22"/>
    <n v="110"/>
    <n v="1"/>
    <m/>
    <m/>
    <m/>
    <m/>
    <s v="Estoque em Nivel Minimo"/>
    <s v="COM SOLICITACAO / EM PROCESSO DE COMPRAS"/>
    <s v="3334/19"/>
  </r>
  <r>
    <n v="83"/>
    <x v="1"/>
    <s v="B"/>
    <s v="ALM00044"/>
    <m/>
    <x v="0"/>
    <s v="763677180534"/>
    <s v="180534"/>
    <x v="43"/>
    <m/>
    <m/>
    <m/>
    <m/>
    <m/>
    <s v="A1304"/>
    <s v="A2-3-7"/>
    <n v="10"/>
    <n v="8"/>
    <n v="15"/>
    <n v="214"/>
    <n v="2140"/>
    <n v="1712"/>
    <n v="14"/>
    <n v="12626"/>
    <m/>
    <m/>
    <m/>
    <s v="Estoque Conforme"/>
    <s v="SEM SOLICITACAO / FABBISOGNO'S"/>
    <m/>
  </r>
  <r>
    <n v="1314"/>
    <x v="1"/>
    <s v="B"/>
    <s v="ALM00045"/>
    <m/>
    <x v="0"/>
    <s v="763677180771"/>
    <s v="180771"/>
    <x v="44"/>
    <m/>
    <m/>
    <m/>
    <m/>
    <m/>
    <s v="A1204"/>
    <s v="A2-3-8"/>
    <n v="4"/>
    <n v="2"/>
    <n v="5"/>
    <n v="50.88"/>
    <n v="203.52"/>
    <n v="101.76"/>
    <n v="5"/>
    <m/>
    <m/>
    <m/>
    <m/>
    <s v="Estoque Conforme"/>
    <s v="SEM SOLICITACAO / FABBISOGNO'S"/>
    <m/>
  </r>
  <r>
    <n v="1331"/>
    <x v="1"/>
    <s v="B"/>
    <s v="ALM00046"/>
    <s v=""/>
    <x v="0"/>
    <m/>
    <m/>
    <x v="45"/>
    <m/>
    <m/>
    <m/>
    <m/>
    <m/>
    <s v="A1304"/>
    <s v="A2-4-1"/>
    <n v="5"/>
    <n v="2"/>
    <n v="10"/>
    <n v="72"/>
    <n v="360"/>
    <n v="144"/>
    <n v="5"/>
    <m/>
    <m/>
    <m/>
    <m/>
    <s v="Estoque Conforme"/>
    <s v="SEM SOLICITACAO / FABBISOGNO'S"/>
    <m/>
  </r>
  <r>
    <n v="1686"/>
    <x v="1"/>
    <s v="A"/>
    <s v="ALM00047"/>
    <s v="F.FENDER - M06"/>
    <x v="0"/>
    <m/>
    <m/>
    <x v="46"/>
    <m/>
    <m/>
    <m/>
    <m/>
    <m/>
    <s v="A1304"/>
    <s v="A2-4-1.1"/>
    <n v="2"/>
    <n v="2"/>
    <n v="4"/>
    <n v="370"/>
    <n v="740"/>
    <n v="740"/>
    <n v="3"/>
    <n v="2"/>
    <m/>
    <m/>
    <m/>
    <s v="Estoque Conforme"/>
    <s v="SEM SOLICITACAO / FABBISOGNO'S"/>
    <m/>
  </r>
  <r>
    <n v="1330"/>
    <x v="1"/>
    <s v="B"/>
    <s v="ALM00048"/>
    <s v=""/>
    <x v="0"/>
    <m/>
    <m/>
    <x v="47"/>
    <m/>
    <m/>
    <m/>
    <m/>
    <m/>
    <s v="A1304"/>
    <s v="A2-4-2"/>
    <n v="11"/>
    <n v="2"/>
    <n v="10"/>
    <n v="110"/>
    <n v="1210"/>
    <n v="220"/>
    <n v="8"/>
    <m/>
    <m/>
    <m/>
    <m/>
    <s v="Estoque Conforme"/>
    <s v="SEM SOLICITACAO / FABBISOGNO'S"/>
    <m/>
  </r>
  <r>
    <n v="1687"/>
    <x v="1"/>
    <s v="A"/>
    <s v="ALM00049"/>
    <s v="F.FENDER - M06"/>
    <x v="0"/>
    <m/>
    <m/>
    <x v="48"/>
    <m/>
    <m/>
    <m/>
    <m/>
    <m/>
    <s v="A1304"/>
    <s v="A2-4-2.1"/>
    <n v="2"/>
    <n v="2"/>
    <n v="4"/>
    <n v="355.89"/>
    <n v="711.78"/>
    <n v="711.78"/>
    <n v="3"/>
    <n v="2"/>
    <m/>
    <m/>
    <m/>
    <s v="Estoque Conforme"/>
    <s v="SEM SOLICITACAO / FABBISOGNO'S"/>
    <m/>
  </r>
  <r>
    <n v="749"/>
    <x v="1"/>
    <s v="C"/>
    <s v="ALM00050"/>
    <s v="ELETRICO"/>
    <x v="0"/>
    <m/>
    <m/>
    <x v="49"/>
    <m/>
    <m/>
    <m/>
    <m/>
    <m/>
    <s v="A1304"/>
    <s v="A2-4-3"/>
    <n v="1"/>
    <n v="4"/>
    <n v="10"/>
    <n v="55"/>
    <n v="55"/>
    <n v="220"/>
    <n v="10"/>
    <m/>
    <m/>
    <m/>
    <m/>
    <s v="Estoque em Nivel Minimo"/>
    <s v="COM SOLICITACAO / EM PROCESSO DE COMPRAS"/>
    <s v="3334/19"/>
  </r>
  <r>
    <n v="1688"/>
    <x v="1"/>
    <s v="A"/>
    <s v="ALM00051"/>
    <s v="F.FENDER - M06"/>
    <x v="0"/>
    <m/>
    <m/>
    <x v="50"/>
    <m/>
    <m/>
    <m/>
    <m/>
    <m/>
    <s v="A1304"/>
    <s v="A2-4-3.1"/>
    <n v="3"/>
    <n v="2"/>
    <n v="4"/>
    <n v="360"/>
    <n v="1080"/>
    <n v="720"/>
    <n v="3"/>
    <n v="3"/>
    <m/>
    <m/>
    <m/>
    <s v="Estoque Conforme"/>
    <s v="SEM SOLICITACAO / FABBISOGNO'S"/>
    <m/>
  </r>
  <r>
    <n v="608"/>
    <x v="1"/>
    <s v="B"/>
    <s v="ALM00052"/>
    <s v="ELETRICO"/>
    <x v="0"/>
    <s v="756964171719"/>
    <s v="171719"/>
    <x v="51"/>
    <m/>
    <m/>
    <m/>
    <m/>
    <m/>
    <s v="A1304"/>
    <s v="A2-4-4"/>
    <n v="4"/>
    <n v="2"/>
    <n v="5"/>
    <n v="180"/>
    <n v="720"/>
    <n v="360"/>
    <n v="4"/>
    <m/>
    <m/>
    <m/>
    <m/>
    <s v="Estoque Conforme"/>
    <s v="SEM SOLICITACAO / FABBISOGNO'S"/>
    <m/>
  </r>
  <r>
    <n v="1689"/>
    <x v="1"/>
    <s v="A"/>
    <s v="ALM00053"/>
    <s v="F.FENDER - M06"/>
    <x v="0"/>
    <m/>
    <m/>
    <x v="52"/>
    <m/>
    <m/>
    <m/>
    <m/>
    <m/>
    <s v="A1304"/>
    <s v="A2-4-4.1"/>
    <n v="0"/>
    <n v="2"/>
    <n v="6"/>
    <n v="500"/>
    <n v="0"/>
    <n v="1000"/>
    <n v="4"/>
    <n v="1"/>
    <m/>
    <m/>
    <m/>
    <s v="Estoque Não Conforme"/>
    <s v="COM SOLICITACAO / EM PROCESSO DE COMPRAS"/>
    <s v="3334/19"/>
  </r>
  <r>
    <n v="609"/>
    <x v="1"/>
    <s v="C"/>
    <s v="ALM00054"/>
    <s v="ELETRICO"/>
    <x v="0"/>
    <m/>
    <m/>
    <x v="53"/>
    <m/>
    <m/>
    <m/>
    <m/>
    <m/>
    <s v="A1304"/>
    <s v="A2-4-5"/>
    <n v="3"/>
    <n v="2"/>
    <n v="5"/>
    <n v="85.75"/>
    <n v="257.25"/>
    <n v="171.5"/>
    <n v="3"/>
    <m/>
    <m/>
    <m/>
    <m/>
    <s v="Estoque Conforme"/>
    <s v="SEM SOLICITACAO / FABBISOGNO'S"/>
    <m/>
  </r>
  <r>
    <n v="1690"/>
    <x v="1"/>
    <s v="A"/>
    <s v="ALM00055"/>
    <s v="F.FENDER - M06"/>
    <x v="0"/>
    <m/>
    <m/>
    <x v="54"/>
    <m/>
    <m/>
    <m/>
    <m/>
    <m/>
    <s v="A1304"/>
    <s v="A2-4-5.1"/>
    <n v="2"/>
    <n v="2"/>
    <n v="4"/>
    <n v="89"/>
    <n v="178"/>
    <n v="178"/>
    <n v="4"/>
    <n v="2"/>
    <m/>
    <m/>
    <m/>
    <s v="Estoque Conforme"/>
    <s v="SEM SOLICITACAO / FABBISOGNO'S"/>
    <m/>
  </r>
  <r>
    <n v="607"/>
    <x v="1"/>
    <s v="B"/>
    <s v="ALM00056"/>
    <s v="ELETRICO"/>
    <x v="0"/>
    <s v="756964172524"/>
    <s v="172524"/>
    <x v="55"/>
    <m/>
    <m/>
    <m/>
    <m/>
    <m/>
    <s v="A1304"/>
    <s v="A2-4-6"/>
    <n v="3"/>
    <n v="2"/>
    <n v="3"/>
    <n v="150"/>
    <n v="450"/>
    <n v="300"/>
    <n v="3"/>
    <m/>
    <m/>
    <m/>
    <m/>
    <s v="Estoque Conforme"/>
    <s v="SEM SOLICITACAO / FABBISOGNO'S"/>
    <m/>
  </r>
  <r>
    <n v="1691"/>
    <x v="1"/>
    <s v="B"/>
    <s v="ALM00057"/>
    <s v="F.FENDER - M06"/>
    <x v="0"/>
    <m/>
    <m/>
    <x v="56"/>
    <m/>
    <m/>
    <m/>
    <m/>
    <m/>
    <s v="A1304"/>
    <s v="A2-4-6.1"/>
    <n v="3"/>
    <n v="2"/>
    <n v="6"/>
    <n v="26.4"/>
    <n v="79.199999999999989"/>
    <n v="52.8"/>
    <n v="6"/>
    <n v="6"/>
    <m/>
    <m/>
    <m/>
    <s v="Estoque Conforme"/>
    <s v="SEM SOLICITACAO / FABBISOGNO'S"/>
    <m/>
  </r>
  <r>
    <n v="74"/>
    <x v="1"/>
    <s v="C"/>
    <s v="ALM00058"/>
    <s v=""/>
    <x v="0"/>
    <s v="756964178494"/>
    <s v="178494"/>
    <x v="57"/>
    <m/>
    <m/>
    <m/>
    <m/>
    <m/>
    <s v="A1305"/>
    <s v="A2-5-1"/>
    <n v="6"/>
    <n v="4"/>
    <n v="10"/>
    <n v="41"/>
    <n v="246"/>
    <n v="164"/>
    <n v="7"/>
    <n v="820"/>
    <m/>
    <m/>
    <m/>
    <s v="Estoque Conforme"/>
    <s v="SEM SOLICITACAO / FABBISOGNO'S"/>
    <m/>
  </r>
  <r>
    <n v="1231"/>
    <x v="1"/>
    <s v="B"/>
    <s v="ALM00059"/>
    <s v=""/>
    <x v="0"/>
    <s v="757510173178"/>
    <s v="173178"/>
    <x v="58"/>
    <m/>
    <m/>
    <m/>
    <m/>
    <m/>
    <s v="B1105"/>
    <s v="A2-5-1.1"/>
    <n v="1"/>
    <n v="2"/>
    <n v="4"/>
    <n v="250"/>
    <n v="250"/>
    <n v="500"/>
    <n v="2"/>
    <m/>
    <m/>
    <m/>
    <m/>
    <s v="Estoque em Nivel Minimo"/>
    <s v="COM SOLICITACAO / EM PROCESSO DE COMPRAS"/>
    <s v="3334/19"/>
  </r>
  <r>
    <n v="75"/>
    <x v="1"/>
    <s v="B"/>
    <s v="ALM00060"/>
    <m/>
    <x v="0"/>
    <s v="763677178551"/>
    <s v="178551"/>
    <x v="59"/>
    <m/>
    <m/>
    <m/>
    <m/>
    <m/>
    <s v="A1305"/>
    <s v="A2-5-2"/>
    <n v="2"/>
    <n v="8"/>
    <n v="10"/>
    <n v="43"/>
    <n v="86"/>
    <n v="344"/>
    <n v="3"/>
    <n v="946"/>
    <m/>
    <m/>
    <m/>
    <s v="Estoque em Nivel Minimo"/>
    <s v="COM SOLICITACAO / EM PROCESSO DE COMPRAS"/>
    <s v="3334/19"/>
  </r>
  <r>
    <n v="902"/>
    <x v="1"/>
    <s v="C"/>
    <s v="ALM00061"/>
    <s v=""/>
    <x v="0"/>
    <m/>
    <m/>
    <x v="60"/>
    <m/>
    <m/>
    <m/>
    <m/>
    <m/>
    <s v="A1305"/>
    <s v="A2-5-2.1"/>
    <n v="1"/>
    <n v="3"/>
    <n v="10"/>
    <n v="70"/>
    <n v="70"/>
    <n v="210"/>
    <n v="9"/>
    <m/>
    <m/>
    <m/>
    <m/>
    <s v="Estoque em Nivel Minimo"/>
    <s v="COM SOLICITACAO / EM PROCESSO DE COMPRAS"/>
    <s v="3363/19"/>
  </r>
  <r>
    <n v="76"/>
    <x v="1"/>
    <s v="C"/>
    <s v="ALM00062"/>
    <s v=""/>
    <x v="0"/>
    <s v="757779900364"/>
    <s v="900364"/>
    <x v="61"/>
    <m/>
    <m/>
    <m/>
    <m/>
    <m/>
    <s v="A1305"/>
    <s v="A2-5-3"/>
    <n v="2"/>
    <n v="4"/>
    <n v="10"/>
    <n v="48.3"/>
    <n v="96.6"/>
    <n v="193.2"/>
    <n v="3"/>
    <n v="627.9"/>
    <m/>
    <m/>
    <m/>
    <s v="Estoque em Nivel Minimo"/>
    <s v="COM SOLICITACAO / EM PROCESSO DE COMPRAS"/>
    <s v="3363/19"/>
  </r>
  <r>
    <n v="905"/>
    <x v="1"/>
    <s v="C"/>
    <s v="ALM00063"/>
    <s v=""/>
    <x v="0"/>
    <m/>
    <m/>
    <x v="62"/>
    <m/>
    <m/>
    <m/>
    <m/>
    <m/>
    <s v="A1305"/>
    <s v="A2-5-3.1"/>
    <n v="2"/>
    <n v="2"/>
    <n v="5"/>
    <n v="75"/>
    <n v="150"/>
    <n v="150"/>
    <n v="5"/>
    <m/>
    <m/>
    <m/>
    <m/>
    <s v="Estoque Conforme"/>
    <s v="SEM SOLICITACAO / FABBISOGNO'S"/>
    <m/>
  </r>
  <r>
    <n v="78"/>
    <x v="1"/>
    <s v="B"/>
    <s v="ALM00064"/>
    <s v=""/>
    <x v="0"/>
    <s v="757779900363"/>
    <s v="900363"/>
    <x v="63"/>
    <m/>
    <m/>
    <m/>
    <m/>
    <m/>
    <s v="A1305"/>
    <s v="A2-5-4"/>
    <n v="4"/>
    <n v="3"/>
    <n v="10"/>
    <n v="50"/>
    <n v="200"/>
    <n v="150"/>
    <n v="6"/>
    <n v="0"/>
    <m/>
    <m/>
    <m/>
    <s v="Estoque Conforme"/>
    <s v="SEM SOLICITACAO / FABBISOGNO'S"/>
    <m/>
  </r>
  <r>
    <n v="50"/>
    <x v="1"/>
    <s v="B"/>
    <s v="ALM00065"/>
    <s v=""/>
    <x v="0"/>
    <m/>
    <m/>
    <x v="64"/>
    <m/>
    <m/>
    <m/>
    <m/>
    <m/>
    <s v="A1305"/>
    <s v="A2-5-4.1"/>
    <n v="8"/>
    <n v="5"/>
    <n v="10"/>
    <n v="30"/>
    <n v="240"/>
    <n v="150"/>
    <n v="9"/>
    <n v="0"/>
    <m/>
    <m/>
    <m/>
    <s v="Estoque Conforme"/>
    <s v="SEM SOLICITACAO / FABBISOGNO'S"/>
    <m/>
  </r>
  <r>
    <n v="81"/>
    <x v="1"/>
    <s v="B"/>
    <s v="ALM00066"/>
    <s v=""/>
    <x v="0"/>
    <m/>
    <m/>
    <x v="65"/>
    <m/>
    <m/>
    <m/>
    <m/>
    <m/>
    <s v="A1305"/>
    <s v="A2-5-5"/>
    <n v="4"/>
    <n v="3"/>
    <n v="10"/>
    <n v="120"/>
    <n v="480"/>
    <n v="360"/>
    <n v="4"/>
    <n v="0"/>
    <m/>
    <m/>
    <m/>
    <s v="Estoque Conforme"/>
    <s v="SEM SOLICITACAO / FABBISOGNO'S"/>
    <m/>
  </r>
  <r>
    <n v="939"/>
    <x v="1"/>
    <s v="B"/>
    <s v="ALM00067"/>
    <s v=""/>
    <x v="0"/>
    <m/>
    <m/>
    <x v="66"/>
    <m/>
    <m/>
    <m/>
    <m/>
    <m/>
    <s v="A1305"/>
    <s v="A2-5-5.1"/>
    <n v="8"/>
    <n v="1"/>
    <n v="5"/>
    <n v="550"/>
    <n v="4400"/>
    <n v="550"/>
    <n v="1"/>
    <m/>
    <m/>
    <m/>
    <m/>
    <s v="Estoque Conforme"/>
    <s v="SEM SOLICITACAO / FABBISOGNO'S"/>
    <m/>
  </r>
  <r>
    <n v="18"/>
    <x v="1"/>
    <s v="C"/>
    <s v="ALM00068"/>
    <s v=""/>
    <x v="0"/>
    <m/>
    <m/>
    <x v="67"/>
    <m/>
    <m/>
    <m/>
    <m/>
    <m/>
    <s v="A1204"/>
    <s v="A2-5-6"/>
    <n v="17"/>
    <n v="5"/>
    <n v="20"/>
    <n v="80"/>
    <n v="1360"/>
    <n v="400"/>
    <n v="17"/>
    <n v="0"/>
    <m/>
    <m/>
    <m/>
    <s v="Estoque Conforme"/>
    <s v="SEM SOLICITACAO / FABBISOGNO'S"/>
    <m/>
  </r>
  <r>
    <n v="122"/>
    <x v="1"/>
    <s v="C"/>
    <s v="ALM00069"/>
    <s v=""/>
    <x v="0"/>
    <m/>
    <m/>
    <x v="68"/>
    <m/>
    <m/>
    <m/>
    <m/>
    <m/>
    <s v="A1305"/>
    <s v="A2-5-6.1"/>
    <n v="14"/>
    <n v="5"/>
    <n v="20"/>
    <n v="90"/>
    <n v="1260"/>
    <n v="450"/>
    <n v="16"/>
    <n v="0"/>
    <m/>
    <m/>
    <m/>
    <s v="Estoque Conforme"/>
    <s v="SEM SOLICITACAO / FABBISOGNO'S"/>
    <m/>
  </r>
  <r>
    <n v="919"/>
    <x v="1"/>
    <s v="A"/>
    <s v="ALM00070"/>
    <s v="F.FENDER - M06"/>
    <x v="0"/>
    <m/>
    <m/>
    <x v="69"/>
    <m/>
    <m/>
    <m/>
    <m/>
    <m/>
    <s v="A1306"/>
    <s v="A2-6-1"/>
    <n v="1"/>
    <n v="1"/>
    <n v="2"/>
    <n v="550"/>
    <n v="550"/>
    <n v="550"/>
    <n v="1"/>
    <m/>
    <m/>
    <m/>
    <m/>
    <s v="Estoque Conforme"/>
    <s v="SEM SOLICITACAO / FABBISOGNO'S"/>
    <m/>
  </r>
  <r>
    <n v="918"/>
    <x v="1"/>
    <s v="C"/>
    <s v="ALM00071"/>
    <s v=""/>
    <x v="0"/>
    <m/>
    <m/>
    <x v="70"/>
    <m/>
    <m/>
    <m/>
    <m/>
    <m/>
    <s v="A1306"/>
    <s v="A2-6-2"/>
    <n v="0"/>
    <n v="1"/>
    <n v="2"/>
    <n v="300"/>
    <n v="0"/>
    <n v="300"/>
    <n v="1"/>
    <m/>
    <m/>
    <m/>
    <m/>
    <s v="Estoque Não Conforme"/>
    <s v="COM SOLICITACAO / EM PROCESSO DE COMPRAS"/>
    <s v="3338/19"/>
  </r>
  <r>
    <n v="1224"/>
    <x v="1"/>
    <s v="C"/>
    <s v="ALM00072"/>
    <s v=""/>
    <x v="0"/>
    <s v="763677177297"/>
    <s v="177297"/>
    <x v="71"/>
    <m/>
    <m/>
    <m/>
    <m/>
    <m/>
    <s v="E2204"/>
    <s v="A2-6-3"/>
    <n v="1"/>
    <n v="1"/>
    <n v="10"/>
    <n v="125"/>
    <n v="125"/>
    <n v="125"/>
    <n v="1"/>
    <m/>
    <m/>
    <m/>
    <m/>
    <s v="Estoque Conforme"/>
    <s v="SEM SOLICITACAO / FABBISOGNO'S"/>
    <m/>
  </r>
  <r>
    <n v="84"/>
    <x v="1"/>
    <s v="C"/>
    <s v="ALM00073"/>
    <s v=""/>
    <x v="0"/>
    <m/>
    <m/>
    <x v="72"/>
    <m/>
    <m/>
    <m/>
    <m/>
    <m/>
    <s v="A1306"/>
    <s v="A2-6-4"/>
    <n v="3"/>
    <n v="2"/>
    <n v="6"/>
    <n v="205"/>
    <n v="615"/>
    <n v="410"/>
    <n v="4"/>
    <n v="0"/>
    <m/>
    <m/>
    <m/>
    <s v="Estoque Conforme"/>
    <s v="SEM SOLICITACAO / FABBISOGNO'S"/>
    <m/>
  </r>
  <r>
    <n v="1350"/>
    <x v="1"/>
    <s v="C"/>
    <s v="ALM00074"/>
    <s v=""/>
    <x v="0"/>
    <m/>
    <m/>
    <x v="73"/>
    <m/>
    <m/>
    <m/>
    <m/>
    <m/>
    <s v="F2"/>
    <s v="?"/>
    <n v="0"/>
    <n v="1"/>
    <n v="10"/>
    <n v="63"/>
    <n v="0"/>
    <n v="63"/>
    <n v="1"/>
    <m/>
    <m/>
    <m/>
    <m/>
    <s v="Estoque Não Conforme"/>
    <s v="COM SOLICITACAO / EM PROCESSO DE COMPRAS"/>
    <s v="3363/19"/>
  </r>
  <r>
    <n v="890"/>
    <x v="1"/>
    <s v="A"/>
    <s v="ALM00075"/>
    <s v="F.FENDER - M06"/>
    <x v="1"/>
    <m/>
    <m/>
    <x v="74"/>
    <m/>
    <m/>
    <m/>
    <m/>
    <m/>
    <s v="F1304"/>
    <s v="A3-6-4"/>
    <n v="1"/>
    <n v="1"/>
    <n v="3"/>
    <n v="750"/>
    <n v="750"/>
    <n v="750"/>
    <n v="2"/>
    <m/>
    <m/>
    <m/>
    <m/>
    <s v="Estoque Conforme"/>
    <s v="SEM SOLICITACAO / FABBISOGNO'S"/>
    <m/>
  </r>
  <r>
    <n v="85"/>
    <x v="1"/>
    <s v="B"/>
    <s v="ALM00076"/>
    <s v=""/>
    <x v="0"/>
    <m/>
    <m/>
    <x v="75"/>
    <m/>
    <m/>
    <m/>
    <m/>
    <m/>
    <s v="A1402"/>
    <s v="A3-2-1"/>
    <n v="0"/>
    <n v="100"/>
    <n v="200"/>
    <n v="0"/>
    <n v="0"/>
    <n v="0"/>
    <n v="50"/>
    <n v="0"/>
    <m/>
    <m/>
    <m/>
    <s v="Estoque Não Conforme"/>
    <s v="COM SOLICITACAO / EM PROCESSO DE COMPRAS"/>
    <s v="3364/19"/>
  </r>
  <r>
    <n v="87"/>
    <x v="1"/>
    <s v="B"/>
    <s v="ALM00077"/>
    <s v=""/>
    <x v="0"/>
    <m/>
    <m/>
    <x v="76"/>
    <m/>
    <m/>
    <m/>
    <m/>
    <m/>
    <s v="A1402"/>
    <s v="A3-2-1"/>
    <n v="0"/>
    <n v="100"/>
    <n v="200"/>
    <n v="0"/>
    <n v="0"/>
    <n v="0"/>
    <n v="1000"/>
    <n v="0"/>
    <m/>
    <m/>
    <m/>
    <s v="Estoque Não Conforme"/>
    <s v="COM SOLICITACAO / EM PROCESSO DE COMPRAS"/>
    <s v="3364/19"/>
  </r>
  <r>
    <n v="86"/>
    <x v="1"/>
    <s v="B"/>
    <s v="ALM00078"/>
    <s v=""/>
    <x v="0"/>
    <m/>
    <m/>
    <x v="77"/>
    <m/>
    <m/>
    <m/>
    <m/>
    <m/>
    <s v="A1402"/>
    <s v="A3-2-1"/>
    <n v="0"/>
    <n v="100"/>
    <n v="200"/>
    <n v="0"/>
    <n v="0"/>
    <n v="0"/>
    <n v="100"/>
    <n v="0"/>
    <m/>
    <m/>
    <m/>
    <s v="Estoque Não Conforme"/>
    <s v="COM SOLICITACAO / EM PROCESSO DE COMPRAS"/>
    <s v="3364/19"/>
  </r>
  <r>
    <n v="886"/>
    <x v="1"/>
    <s v="B"/>
    <s v="ALM00079"/>
    <s v=""/>
    <x v="0"/>
    <m/>
    <m/>
    <x v="78"/>
    <m/>
    <m/>
    <m/>
    <m/>
    <m/>
    <s v="A1402"/>
    <s v="A3-2-2"/>
    <n v="0"/>
    <n v="5"/>
    <n v="10"/>
    <n v="0"/>
    <n v="0"/>
    <n v="0"/>
    <n v="5"/>
    <m/>
    <m/>
    <m/>
    <m/>
    <s v="Estoque Não Conforme"/>
    <s v="COM SOLICITACAO / EM PROCESSO DE COMPRAS"/>
    <s v="3364/19"/>
  </r>
  <r>
    <n v="629"/>
    <x v="1"/>
    <s v="C"/>
    <s v="ALM00080"/>
    <s v=""/>
    <x v="0"/>
    <m/>
    <m/>
    <x v="79"/>
    <m/>
    <m/>
    <m/>
    <m/>
    <m/>
    <s v="A1402"/>
    <s v="A3-2-3"/>
    <n v="37"/>
    <n v="10"/>
    <n v="12"/>
    <n v="5"/>
    <n v="185"/>
    <n v="50"/>
    <n v="20"/>
    <m/>
    <m/>
    <m/>
    <m/>
    <s v="Estoque Conforme"/>
    <s v="SEM SOLICITACAO / FABBISOGNO'S"/>
    <m/>
  </r>
  <r>
    <n v="887"/>
    <x v="1"/>
    <s v="C"/>
    <s v="ALM00081"/>
    <s v=""/>
    <x v="0"/>
    <m/>
    <m/>
    <x v="80"/>
    <m/>
    <m/>
    <m/>
    <m/>
    <m/>
    <s v="A1402"/>
    <s v="A3-2-4"/>
    <n v="4"/>
    <n v="5"/>
    <n v="10"/>
    <n v="15"/>
    <n v="60"/>
    <n v="75"/>
    <n v="5"/>
    <m/>
    <m/>
    <m/>
    <m/>
    <s v="Estoque em Nivel Minimo"/>
    <s v="COM SOLICITACAO / EM PROCESSO DE COMPRAS"/>
    <s v="3363/19"/>
  </r>
  <r>
    <n v="62"/>
    <x v="1"/>
    <s v="B"/>
    <s v="ALM00082"/>
    <s v=""/>
    <x v="0"/>
    <m/>
    <m/>
    <x v="81"/>
    <m/>
    <m/>
    <m/>
    <m/>
    <m/>
    <s v="A1403"/>
    <s v="A3-3-1"/>
    <n v="3"/>
    <n v="2"/>
    <n v="10"/>
    <n v="300"/>
    <n v="900"/>
    <n v="600"/>
    <n v="3"/>
    <n v="0"/>
    <m/>
    <m/>
    <m/>
    <s v="Estoque Conforme"/>
    <s v="SEM SOLICITACAO / FABBISOGNO'S"/>
    <m/>
  </r>
  <r>
    <n v="628"/>
    <x v="1"/>
    <s v="B"/>
    <s v="ALM00083"/>
    <s v=""/>
    <x v="0"/>
    <m/>
    <m/>
    <x v="82"/>
    <m/>
    <m/>
    <m/>
    <m/>
    <m/>
    <s v="A1403"/>
    <s v="A3-3-2"/>
    <n v="3"/>
    <n v="2"/>
    <n v="5"/>
    <n v="353"/>
    <n v="1059"/>
    <n v="706"/>
    <n v="3"/>
    <m/>
    <m/>
    <m/>
    <m/>
    <s v="Estoque Conforme"/>
    <s v="SEM SOLICITACAO / FABBISOGNO'S"/>
    <m/>
  </r>
  <r>
    <n v="100"/>
    <x v="1"/>
    <s v="B"/>
    <s v="ALM00084"/>
    <s v=""/>
    <x v="0"/>
    <s v="756964172526"/>
    <s v="172526"/>
    <x v="83"/>
    <m/>
    <m/>
    <m/>
    <m/>
    <m/>
    <s v="A1403"/>
    <s v="A3-3-3"/>
    <n v="3"/>
    <n v="2"/>
    <n v="5"/>
    <n v="107.73"/>
    <n v="323.19"/>
    <n v="215.46"/>
    <n v="3"/>
    <n v="1185.03"/>
    <m/>
    <m/>
    <m/>
    <s v="Estoque Conforme"/>
    <s v="SEM SOLICITACAO / FABBISOGNO'S"/>
    <m/>
  </r>
  <r>
    <n v="1311"/>
    <x v="1"/>
    <s v="B"/>
    <s v="ALM00085"/>
    <s v=""/>
    <x v="0"/>
    <s v="763677180772"/>
    <s v="180772"/>
    <x v="84"/>
    <m/>
    <m/>
    <m/>
    <m/>
    <m/>
    <s v="A1403"/>
    <s v="A3-3-4"/>
    <n v="3"/>
    <n v="2"/>
    <n v="5"/>
    <n v="90.54"/>
    <n v="271.62"/>
    <n v="181.08"/>
    <n v="3"/>
    <m/>
    <m/>
    <m/>
    <m/>
    <s v="Estoque Conforme"/>
    <s v="SEM SOLICITACAO / FABBISOGNO'S"/>
    <m/>
  </r>
  <r>
    <n v="1312"/>
    <x v="1"/>
    <s v="B"/>
    <s v="ALM00086"/>
    <s v="F.FENDER - M06"/>
    <x v="0"/>
    <s v="763677180773"/>
    <s v="180773"/>
    <x v="85"/>
    <m/>
    <m/>
    <m/>
    <m/>
    <m/>
    <s v="A1403"/>
    <s v="A3-3-5"/>
    <n v="1"/>
    <n v="2"/>
    <n v="5"/>
    <n v="292"/>
    <n v="292"/>
    <n v="584"/>
    <n v="0"/>
    <m/>
    <m/>
    <m/>
    <m/>
    <s v="Estoque em Nivel Minimo"/>
    <s v="COM SOLICITACAO / EM PROCESSO DE COMPRAS"/>
    <s v="3338/19"/>
  </r>
  <r>
    <n v="1313"/>
    <x v="1"/>
    <s v="B"/>
    <s v="ALM00087"/>
    <s v=""/>
    <x v="0"/>
    <s v="763677180774"/>
    <s v="180774"/>
    <x v="86"/>
    <m/>
    <m/>
    <m/>
    <m/>
    <m/>
    <s v="A1403"/>
    <s v="A3-3-6"/>
    <n v="2"/>
    <n v="2"/>
    <n v="5"/>
    <n v="300"/>
    <n v="600"/>
    <n v="600"/>
    <n v="3"/>
    <m/>
    <m/>
    <m/>
    <m/>
    <s v="Estoque Conforme"/>
    <s v="SEM SOLICITACAO / FABBISOGNO'S"/>
    <m/>
  </r>
  <r>
    <n v="897"/>
    <x v="1"/>
    <s v="C"/>
    <s v="ALM00088"/>
    <s v=""/>
    <x v="0"/>
    <m/>
    <m/>
    <x v="87"/>
    <m/>
    <m/>
    <m/>
    <m/>
    <m/>
    <s v="A1403"/>
    <s v="A3-3-7"/>
    <n v="7"/>
    <n v="5"/>
    <n v="20"/>
    <n v="42.5"/>
    <n v="297.5"/>
    <n v="212.5"/>
    <n v="8"/>
    <m/>
    <m/>
    <m/>
    <m/>
    <s v="Estoque Conforme"/>
    <s v="SEM SOLICITACAO / FABBISOGNO'S"/>
    <m/>
  </r>
  <r>
    <n v="94"/>
    <x v="1"/>
    <s v="C"/>
    <s v="ALM00089"/>
    <s v=""/>
    <x v="0"/>
    <s v="755801172563"/>
    <s v="172563"/>
    <x v="88"/>
    <m/>
    <m/>
    <m/>
    <m/>
    <m/>
    <s v="A1404"/>
    <s v="A3-4-1"/>
    <n v="0"/>
    <n v="3"/>
    <n v="10"/>
    <n v="88.5"/>
    <n v="0"/>
    <n v="265.5"/>
    <n v="4"/>
    <n v="1681.5"/>
    <m/>
    <m/>
    <m/>
    <s v="Estoque Não Conforme"/>
    <s v="COM SOLICITACAO / EM PROCESSO DE COMPRAS"/>
    <s v="3338/19"/>
  </r>
  <r>
    <n v="999"/>
    <x v="1"/>
    <s v="C"/>
    <s v="ALM00090"/>
    <s v=""/>
    <x v="0"/>
    <s v="757779172562"/>
    <s v="172562"/>
    <x v="89"/>
    <m/>
    <m/>
    <m/>
    <m/>
    <m/>
    <s v="A1404"/>
    <s v="A3-4-2"/>
    <n v="6"/>
    <n v="2"/>
    <n v="10"/>
    <n v="59.9"/>
    <n v="359.4"/>
    <n v="119.8"/>
    <n v="6"/>
    <n v="1258.9000000000001"/>
    <m/>
    <m/>
    <m/>
    <s v="Estoque Conforme"/>
    <s v="SEM SOLICITACAO / FABBISOGNO'S"/>
    <m/>
  </r>
  <r>
    <n v="610"/>
    <x v="1"/>
    <s v="C"/>
    <s v="ALM00091"/>
    <s v=""/>
    <x v="0"/>
    <m/>
    <m/>
    <x v="90"/>
    <m/>
    <m/>
    <m/>
    <m/>
    <m/>
    <s v="A1404"/>
    <s v="A3-4-3"/>
    <n v="1"/>
    <n v="5"/>
    <n v="10"/>
    <n v="68"/>
    <n v="68"/>
    <n v="340"/>
    <n v="2"/>
    <m/>
    <m/>
    <m/>
    <m/>
    <s v="Estoque em Nivel Minimo"/>
    <s v="COM SOLICITACAO / EM PROCESSO DE COMPRAS"/>
    <s v="3338/19"/>
  </r>
  <r>
    <n v="91"/>
    <x v="1"/>
    <s v="C"/>
    <s v="ALM00092"/>
    <s v=""/>
    <x v="0"/>
    <s v="757779159168."/>
    <s v="159168."/>
    <x v="91"/>
    <m/>
    <m/>
    <m/>
    <m/>
    <m/>
    <s v="A2404"/>
    <s v="?"/>
    <n v="0"/>
    <n v="5"/>
    <n v="10"/>
    <n v="80.5"/>
    <n v="0"/>
    <n v="402.5"/>
    <n v="2"/>
    <n v="1368.5"/>
    <m/>
    <m/>
    <m/>
    <s v="Estoque Não Conforme"/>
    <s v="COM SOLICITACAO / EM PROCESSO DE COMPRAS"/>
    <s v="3338/19"/>
  </r>
  <r>
    <n v="90"/>
    <x v="1"/>
    <s v="C"/>
    <s v="ALM00093"/>
    <s v=""/>
    <x v="0"/>
    <m/>
    <m/>
    <x v="92"/>
    <m/>
    <m/>
    <m/>
    <m/>
    <m/>
    <s v="A1404"/>
    <s v="A3-4-4"/>
    <n v="4"/>
    <n v="5"/>
    <n v="10"/>
    <n v="164.36"/>
    <n v="657.44"/>
    <n v="821.80000000000007"/>
    <n v="9"/>
    <n v="3451.5600000000004"/>
    <m/>
    <m/>
    <m/>
    <s v="Estoque em Nivel Minimo"/>
    <s v="COM SOLICITACAO / EM PROCESSO DE COMPRAS"/>
    <s v="3338/19"/>
  </r>
  <r>
    <n v="1202"/>
    <x v="1"/>
    <s v="A"/>
    <s v="ALM00094"/>
    <s v="GANTRY - M40"/>
    <x v="1"/>
    <m/>
    <m/>
    <x v="93"/>
    <m/>
    <m/>
    <m/>
    <m/>
    <m/>
    <s v="E2204"/>
    <s v="?"/>
    <n v="2"/>
    <n v="2"/>
    <n v="4"/>
    <n v="325.89999999999998"/>
    <n v="651.79999999999995"/>
    <n v="651.79999999999995"/>
    <n v="1"/>
    <m/>
    <m/>
    <m/>
    <m/>
    <s v="Estoque Conforme"/>
    <s v="SEM SOLICITACAO / FABBISOGNO'S"/>
    <m/>
  </r>
  <r>
    <n v="1203"/>
    <x v="1"/>
    <s v="A"/>
    <s v="ALM00095"/>
    <s v="GANTRY - M40"/>
    <x v="1"/>
    <m/>
    <m/>
    <x v="94"/>
    <m/>
    <m/>
    <m/>
    <m/>
    <m/>
    <s v="E2204"/>
    <s v="?"/>
    <n v="2"/>
    <n v="2"/>
    <n v="4"/>
    <n v="325.89999999999998"/>
    <n v="651.79999999999995"/>
    <n v="651.79999999999995"/>
    <n v="1"/>
    <m/>
    <m/>
    <m/>
    <m/>
    <s v="Estoque Conforme"/>
    <s v="SEM SOLICITACAO / FABBISOGNO'S"/>
    <m/>
  </r>
  <r>
    <n v="1195"/>
    <x v="1"/>
    <s v="B"/>
    <s v="ALM00096"/>
    <s v="F.FENDER- M06"/>
    <x v="1"/>
    <s v="755943177140"/>
    <s v="177140"/>
    <x v="95"/>
    <m/>
    <m/>
    <m/>
    <m/>
    <m/>
    <s v="D2304"/>
    <s v="A3-5-1"/>
    <n v="3"/>
    <n v="2"/>
    <n v="8"/>
    <n v="200"/>
    <n v="600"/>
    <n v="400"/>
    <n v="0"/>
    <m/>
    <m/>
    <m/>
    <m/>
    <s v="Estoque Conforme"/>
    <s v="SEM SOLICITACAO / FABBISOGNO'S"/>
    <m/>
  </r>
  <r>
    <n v="910"/>
    <x v="1"/>
    <s v="C"/>
    <s v="ALM00097"/>
    <s v=""/>
    <x v="0"/>
    <m/>
    <m/>
    <x v="96"/>
    <m/>
    <m/>
    <m/>
    <m/>
    <m/>
    <s v="A1202"/>
    <s v="B3-6"/>
    <n v="11"/>
    <n v="5"/>
    <n v="10"/>
    <n v="18.39"/>
    <n v="202.29000000000002"/>
    <n v="91.95"/>
    <n v="28"/>
    <m/>
    <m/>
    <m/>
    <m/>
    <s v="Estoque Conforme"/>
    <s v="SEM SOLICITACAO / FABBISOGNO'S"/>
    <m/>
  </r>
  <r>
    <n v="912"/>
    <x v="1"/>
    <s v="C"/>
    <s v="ALM00098"/>
    <s v=""/>
    <x v="0"/>
    <m/>
    <m/>
    <x v="97"/>
    <m/>
    <m/>
    <m/>
    <m/>
    <m/>
    <s v="A1202"/>
    <s v="B3-6"/>
    <n v="48"/>
    <n v="5"/>
    <n v="50"/>
    <n v="3"/>
    <n v="144"/>
    <n v="15"/>
    <n v="70"/>
    <m/>
    <m/>
    <m/>
    <m/>
    <s v="Estoque Conforme"/>
    <s v="SEM SOLICITACAO / FABBISOGNO'S"/>
    <m/>
  </r>
  <r>
    <n v="913"/>
    <x v="1"/>
    <s v="C"/>
    <s v="ALM00099"/>
    <s v=""/>
    <x v="0"/>
    <m/>
    <m/>
    <x v="98"/>
    <m/>
    <m/>
    <m/>
    <m/>
    <m/>
    <s v="A1202"/>
    <s v="B3-6"/>
    <n v="0"/>
    <n v="5"/>
    <n v="50"/>
    <n v="4.5"/>
    <n v="0"/>
    <n v="22.5"/>
    <n v="34"/>
    <m/>
    <m/>
    <m/>
    <m/>
    <s v="Estoque Não Conforme"/>
    <s v="COM SOLICITACAO / EM PROCESSO DE COMPRAS"/>
    <s v="3338/19"/>
  </r>
  <r>
    <n v="914"/>
    <x v="1"/>
    <s v="C"/>
    <s v="ALM00100"/>
    <s v=""/>
    <x v="0"/>
    <m/>
    <m/>
    <x v="99"/>
    <m/>
    <m/>
    <m/>
    <m/>
    <m/>
    <s v="A1202"/>
    <s v="B3-6"/>
    <n v="100"/>
    <n v="5"/>
    <n v="50"/>
    <n v="8.9"/>
    <n v="890"/>
    <n v="44.5"/>
    <n v="122"/>
    <m/>
    <m/>
    <m/>
    <m/>
    <s v="Estoque Conforme"/>
    <s v="SEM SOLICITACAO / FABBISOGNO'S"/>
    <m/>
  </r>
  <r>
    <n v="915"/>
    <x v="1"/>
    <s v="C"/>
    <s v="ALM00101"/>
    <s v=""/>
    <x v="0"/>
    <m/>
    <m/>
    <x v="100"/>
    <m/>
    <m/>
    <m/>
    <m/>
    <m/>
    <s v="A1202"/>
    <s v="B3-6"/>
    <n v="142"/>
    <n v="5"/>
    <n v="50"/>
    <n v="9"/>
    <n v="1278"/>
    <n v="45"/>
    <n v="139"/>
    <m/>
    <m/>
    <m/>
    <m/>
    <s v="Estoque Conforme"/>
    <s v="SEM SOLICITACAO / FABBISOGNO'S"/>
    <m/>
  </r>
  <r>
    <n v="916"/>
    <x v="1"/>
    <s v="C"/>
    <s v="ALM00102"/>
    <s v=""/>
    <x v="0"/>
    <m/>
    <m/>
    <x v="101"/>
    <m/>
    <m/>
    <m/>
    <m/>
    <m/>
    <s v="A1202"/>
    <s v="B3-6"/>
    <n v="56"/>
    <n v="5"/>
    <n v="50"/>
    <n v="11.2"/>
    <n v="627.19999999999993"/>
    <n v="56"/>
    <n v="79"/>
    <m/>
    <m/>
    <m/>
    <m/>
    <s v="Estoque Conforme"/>
    <s v="SEM SOLICITACAO / FABBISOGNO'S"/>
    <m/>
  </r>
  <r>
    <n v="1126"/>
    <x v="1"/>
    <s v="A"/>
    <s v="ALM00103"/>
    <s v="TRUNCK LOAD - M27"/>
    <x v="1"/>
    <m/>
    <m/>
    <x v="102"/>
    <m/>
    <m/>
    <m/>
    <m/>
    <m/>
    <s v="E2303"/>
    <s v="AR. A1-1-1"/>
    <n v="0"/>
    <n v="1"/>
    <n v="5"/>
    <n v="90"/>
    <n v="0"/>
    <n v="90"/>
    <n v="1"/>
    <m/>
    <m/>
    <m/>
    <m/>
    <s v="Estoque Não Conforme"/>
    <s v="COM SOLICITACAO / EM PROCESSO DE COMPRAS"/>
    <s v="3243/19"/>
  </r>
  <r>
    <n v="1132"/>
    <x v="1"/>
    <s v="C"/>
    <s v="ALM00104"/>
    <s v="ROBO DE COLA - M27"/>
    <x v="1"/>
    <m/>
    <m/>
    <x v="103"/>
    <m/>
    <m/>
    <m/>
    <m/>
    <m/>
    <s v="C1301"/>
    <s v="AR. A1-1-1"/>
    <n v="1"/>
    <n v="1"/>
    <n v="5"/>
    <n v="1000"/>
    <n v="1000"/>
    <n v="1000"/>
    <n v="1"/>
    <m/>
    <m/>
    <m/>
    <m/>
    <s v="Estoque Conforme"/>
    <s v="SEM SOLICITACAO / FABBISOGNO'S"/>
    <m/>
  </r>
  <r>
    <n v="1125"/>
    <x v="1"/>
    <s v="A"/>
    <s v="ALM00105"/>
    <s v="TRUNCK LOAD - M27"/>
    <x v="1"/>
    <m/>
    <m/>
    <x v="104"/>
    <m/>
    <m/>
    <m/>
    <m/>
    <m/>
    <s v="E2304"/>
    <s v="AR. A1-1-2"/>
    <n v="2"/>
    <n v="2"/>
    <n v="4"/>
    <n v="530"/>
    <n v="1060"/>
    <n v="1060"/>
    <n v="3"/>
    <m/>
    <m/>
    <m/>
    <m/>
    <s v="Estoque Conforme"/>
    <s v="SEM SOLICITACAO / FABBISOGNO'S"/>
    <m/>
  </r>
  <r>
    <n v="1130"/>
    <x v="1"/>
    <s v="A"/>
    <s v="ALM00106"/>
    <s v="ROBO DE COLA - M17"/>
    <x v="1"/>
    <m/>
    <m/>
    <x v="105"/>
    <m/>
    <m/>
    <m/>
    <m/>
    <m/>
    <s v="E1103"/>
    <s v="AR. A1-1-2"/>
    <n v="0"/>
    <n v="3"/>
    <n v="5"/>
    <n v="0"/>
    <n v="0"/>
    <n v="0"/>
    <n v="3"/>
    <m/>
    <m/>
    <m/>
    <m/>
    <s v="Estoque Não Conforme"/>
    <s v="SEM SOLICITACAO / FABBISOGNO'S"/>
    <m/>
  </r>
  <r>
    <n v="1131"/>
    <x v="1"/>
    <s v="A"/>
    <s v="ALM00107"/>
    <s v="ROBO DE COLA - M17"/>
    <x v="1"/>
    <s v="57041178450"/>
    <s v="178450"/>
    <x v="106"/>
    <m/>
    <m/>
    <m/>
    <m/>
    <m/>
    <s v="E1104"/>
    <s v="AR. A1-1-2"/>
    <n v="0"/>
    <n v="3"/>
    <n v="5"/>
    <n v="0"/>
    <n v="0"/>
    <n v="0"/>
    <n v="3"/>
    <m/>
    <m/>
    <m/>
    <m/>
    <s v="Estoque Não Conforme"/>
    <s v="SEM SOLICITACAO / FABBISOGNO'S"/>
    <m/>
  </r>
  <r>
    <n v="1124"/>
    <x v="1"/>
    <s v="A"/>
    <s v="ALM00108"/>
    <s v="ROBO DE COLA - M17"/>
    <x v="1"/>
    <s v="713631172213"/>
    <s v="172213"/>
    <x v="107"/>
    <m/>
    <m/>
    <m/>
    <m/>
    <m/>
    <s v="C1402"/>
    <s v="AR. A1-1-2"/>
    <n v="0"/>
    <n v="1"/>
    <n v="3"/>
    <n v="0"/>
    <n v="0"/>
    <n v="0"/>
    <n v="2"/>
    <m/>
    <m/>
    <m/>
    <m/>
    <s v="Estoque Não Conforme"/>
    <s v="SEM SOLICITACAO / FABBISOGNO'S"/>
    <m/>
  </r>
  <r>
    <n v="1152"/>
    <x v="1"/>
    <s v="A"/>
    <s v="ALM00109"/>
    <s v="ROBO DE COLA - M17"/>
    <x v="1"/>
    <m/>
    <m/>
    <x v="108"/>
    <m/>
    <m/>
    <m/>
    <m/>
    <m/>
    <m/>
    <s v="AR. A1-1-2"/>
    <n v="6"/>
    <n v="1"/>
    <n v="5"/>
    <n v="0"/>
    <n v="0"/>
    <n v="0"/>
    <n v="1"/>
    <m/>
    <m/>
    <m/>
    <m/>
    <s v="Estoque Conforme"/>
    <s v="SEM SOLICITACAO / FABBISOGNO'S"/>
    <m/>
  </r>
  <r>
    <n v="1166"/>
    <x v="1"/>
    <s v="A"/>
    <s v="ALM00110"/>
    <s v="ROBO DE COLA - M17"/>
    <x v="1"/>
    <m/>
    <m/>
    <x v="109"/>
    <m/>
    <m/>
    <m/>
    <m/>
    <m/>
    <s v="E2304"/>
    <s v="AR. A1-1-3"/>
    <n v="0"/>
    <n v="2"/>
    <n v="5"/>
    <n v="600"/>
    <n v="0"/>
    <n v="1200"/>
    <n v="2"/>
    <m/>
    <m/>
    <m/>
    <m/>
    <s v="Estoque Não Conforme"/>
    <s v="SEM SOLICITACAO / FABBISOGNO'S"/>
    <m/>
  </r>
  <r>
    <n v="1214"/>
    <x v="1"/>
    <s v="A"/>
    <s v="ALM00111"/>
    <s v="ROBO DE COLA - M17"/>
    <x v="1"/>
    <m/>
    <m/>
    <x v="110"/>
    <m/>
    <m/>
    <m/>
    <m/>
    <m/>
    <m/>
    <s v="AR. A1-1-3"/>
    <n v="0"/>
    <n v="1"/>
    <n v="5"/>
    <n v="0"/>
    <n v="0"/>
    <n v="0"/>
    <n v="2"/>
    <m/>
    <m/>
    <m/>
    <m/>
    <s v="Estoque Não Conforme"/>
    <s v="SEM SOLICITACAO / FABBISOGNO'S"/>
    <m/>
  </r>
  <r>
    <n v="1169"/>
    <x v="1"/>
    <s v="A"/>
    <s v="ALM00112"/>
    <s v="ROBO DE COLA - M17"/>
    <x v="0"/>
    <m/>
    <m/>
    <x v="111"/>
    <m/>
    <m/>
    <m/>
    <m/>
    <m/>
    <m/>
    <s v="AR. A1-2-1"/>
    <n v="0"/>
    <n v="1"/>
    <n v="4"/>
    <n v="0"/>
    <n v="0"/>
    <n v="0"/>
    <n v="1"/>
    <m/>
    <m/>
    <m/>
    <m/>
    <s v="Estoque Não Conforme"/>
    <s v="SEM SOLICITACAO / FABBISOGNO'S"/>
    <m/>
  </r>
  <r>
    <n v="1167"/>
    <x v="1"/>
    <s v="A"/>
    <s v="ALM00113"/>
    <s v="ROBO DE COLA - M17"/>
    <x v="1"/>
    <m/>
    <m/>
    <x v="112"/>
    <m/>
    <m/>
    <m/>
    <m/>
    <m/>
    <m/>
    <s v="AR. A1-3-3"/>
    <n v="1"/>
    <n v="1"/>
    <n v="5"/>
    <n v="0"/>
    <n v="0"/>
    <n v="0"/>
    <n v="1"/>
    <m/>
    <m/>
    <m/>
    <m/>
    <s v="Estoque Conforme"/>
    <s v="SEM SOLICITACAO / FABBISOGNO'S"/>
    <m/>
  </r>
  <r>
    <n v="1173"/>
    <x v="1"/>
    <s v="A"/>
    <s v="ALM00114"/>
    <s v=""/>
    <x v="0"/>
    <s v="758177171356"/>
    <s v="171356"/>
    <x v="113"/>
    <m/>
    <m/>
    <m/>
    <m/>
    <m/>
    <s v="A1104"/>
    <s v="AR. A1-5-1"/>
    <n v="2"/>
    <n v="1"/>
    <n v="3"/>
    <n v="430"/>
    <n v="860"/>
    <n v="430"/>
    <n v="2"/>
    <m/>
    <m/>
    <m/>
    <m/>
    <s v="Estoque Conforme"/>
    <s v="SEM SOLICITACAO / FABBISOGNO'S"/>
    <m/>
  </r>
  <r>
    <n v="1176"/>
    <x v="1"/>
    <m/>
    <s v="ALM00115"/>
    <s v=""/>
    <x v="0"/>
    <m/>
    <m/>
    <x v="114"/>
    <m/>
    <m/>
    <m/>
    <m/>
    <m/>
    <n v="2304"/>
    <s v="AR.A1-3-2"/>
    <n v="0"/>
    <n v="1"/>
    <n v="5"/>
    <n v="0"/>
    <n v="0"/>
    <n v="0"/>
    <n v="1"/>
    <m/>
    <m/>
    <m/>
    <m/>
    <s v="Estoque Não Conforme"/>
    <s v="SEM SOLICITACAO / FABBISOGNO'S"/>
    <m/>
  </r>
  <r>
    <n v="831"/>
    <x v="1"/>
    <s v="B"/>
    <s v="ALM00116"/>
    <s v="CARPETE - M35"/>
    <x v="0"/>
    <m/>
    <m/>
    <x v="115"/>
    <m/>
    <m/>
    <m/>
    <m/>
    <m/>
    <s v="A2201"/>
    <s v="B1-1-2"/>
    <n v="2"/>
    <n v="1"/>
    <n v="3"/>
    <n v="200"/>
    <n v="400"/>
    <n v="200"/>
    <n v="2"/>
    <m/>
    <m/>
    <m/>
    <m/>
    <s v="Estoque Conforme"/>
    <s v="COM SOLICITACAO / EM PROCESSO DE COMPRAS"/>
    <s v="3347/19"/>
  </r>
  <r>
    <n v="922"/>
    <x v="1"/>
    <s v="C"/>
    <s v="ALM00117"/>
    <m/>
    <x v="0"/>
    <m/>
    <m/>
    <x v="116"/>
    <m/>
    <m/>
    <m/>
    <m/>
    <m/>
    <s v="B1401"/>
    <s v="B1-1-3"/>
    <n v="52"/>
    <n v="4"/>
    <n v="30"/>
    <n v="14.65"/>
    <n v="761.80000000000007"/>
    <n v="58.6"/>
    <n v="10"/>
    <m/>
    <m/>
    <m/>
    <m/>
    <s v="Estoque Conforme"/>
    <s v="SEM SOLICITACAO / FABBISOGNO'S"/>
    <m/>
  </r>
  <r>
    <n v="832"/>
    <x v="1"/>
    <s v="C"/>
    <s v="ALM00118"/>
    <m/>
    <x v="0"/>
    <s v="757779151102"/>
    <s v="151102"/>
    <x v="117"/>
    <m/>
    <m/>
    <m/>
    <m/>
    <m/>
    <s v="B1401"/>
    <s v="B1-1-3"/>
    <n v="32"/>
    <n v="10"/>
    <n v="30"/>
    <n v="14.65"/>
    <n v="468.8"/>
    <n v="146.5"/>
    <n v="20"/>
    <m/>
    <m/>
    <m/>
    <m/>
    <s v="Estoque Conforme"/>
    <s v="SEM SOLICITACAO / FABBISOGNO'S"/>
    <m/>
  </r>
  <r>
    <n v="833"/>
    <x v="1"/>
    <s v="C"/>
    <s v="ALM00119"/>
    <s v=""/>
    <x v="0"/>
    <m/>
    <m/>
    <x v="118"/>
    <m/>
    <m/>
    <m/>
    <m/>
    <m/>
    <m/>
    <s v="B1-1-3"/>
    <n v="0"/>
    <n v="1"/>
    <n v="5"/>
    <n v="45"/>
    <n v="0"/>
    <n v="45"/>
    <n v="1"/>
    <m/>
    <m/>
    <m/>
    <m/>
    <s v="Estoque Não Conforme"/>
    <s v="COM SOLICITACAO / EM PROCESSO DE COMPRAS"/>
    <s v="3363/19"/>
  </r>
  <r>
    <n v="618"/>
    <x v="1"/>
    <s v="A"/>
    <s v="ALM00120"/>
    <s v="M04"/>
    <x v="0"/>
    <m/>
    <m/>
    <x v="119"/>
    <m/>
    <m/>
    <m/>
    <m/>
    <m/>
    <s v="A2202"/>
    <s v="B1-2-1"/>
    <n v="2"/>
    <n v="1"/>
    <n v="3"/>
    <n v="5500"/>
    <n v="11000"/>
    <n v="5500"/>
    <n v="0"/>
    <m/>
    <m/>
    <m/>
    <m/>
    <s v="Estoque Conforme"/>
    <s v="SEM SOLICITACAO / FABBISOGNO'S"/>
    <m/>
  </r>
  <r>
    <n v="1334"/>
    <x v="1"/>
    <s v="A"/>
    <s v="ALM00121"/>
    <s v="F.FENDER - M06"/>
    <x v="0"/>
    <m/>
    <m/>
    <x v="120"/>
    <m/>
    <m/>
    <m/>
    <m/>
    <m/>
    <s v="A2202"/>
    <s v="B1-2-2"/>
    <n v="2"/>
    <n v="1"/>
    <n v="2"/>
    <n v="4035.09"/>
    <n v="8070.18"/>
    <n v="4035.09"/>
    <n v="2"/>
    <m/>
    <m/>
    <m/>
    <m/>
    <s v="Estoque Conforme"/>
    <s v="SEM SOLICITACAO / FABBISOGNO'S"/>
    <m/>
  </r>
  <r>
    <n v="1335"/>
    <x v="1"/>
    <s v="A"/>
    <s v="ALM00122"/>
    <s v=""/>
    <x v="0"/>
    <m/>
    <m/>
    <x v="121"/>
    <m/>
    <m/>
    <m/>
    <m/>
    <m/>
    <s v="A2202"/>
    <s v="B1-2-3"/>
    <n v="1"/>
    <n v="1"/>
    <n v="2"/>
    <n v="3008.79"/>
    <n v="3008.79"/>
    <n v="3008.79"/>
    <n v="1"/>
    <m/>
    <m/>
    <m/>
    <m/>
    <s v="Estoque Conforme"/>
    <s v="SEM SOLICITACAO / FABBISOGNO'S"/>
    <m/>
  </r>
  <r>
    <n v="934"/>
    <x v="1"/>
    <s v="B"/>
    <s v="ALM00123"/>
    <s v=""/>
    <x v="0"/>
    <m/>
    <m/>
    <x v="122"/>
    <m/>
    <m/>
    <m/>
    <m/>
    <m/>
    <s v="B1205"/>
    <s v="B1-3-1 "/>
    <n v="0"/>
    <n v="3"/>
    <n v="10"/>
    <n v="80"/>
    <n v="0"/>
    <n v="240"/>
    <n v="4"/>
    <m/>
    <m/>
    <m/>
    <m/>
    <s v="Estoque Não Conforme"/>
    <s v="COM SOLICITACAO / EM PROCESSO DE COMPRAS"/>
    <s v="3338/19"/>
  </r>
  <r>
    <n v="933"/>
    <x v="1"/>
    <s v="B"/>
    <s v="ALM00124"/>
    <s v=""/>
    <x v="0"/>
    <m/>
    <m/>
    <x v="123"/>
    <m/>
    <m/>
    <m/>
    <m/>
    <m/>
    <s v="A2203"/>
    <s v="B1-3-1 "/>
    <n v="0"/>
    <n v="3"/>
    <n v="10"/>
    <n v="75"/>
    <n v="0"/>
    <n v="225"/>
    <n v="10"/>
    <m/>
    <m/>
    <m/>
    <m/>
    <s v="Estoque Não Conforme"/>
    <s v="COM SOLICITACAO / EM PROCESSO DE COMPRAS"/>
    <s v="3338/19"/>
  </r>
  <r>
    <n v="932"/>
    <x v="1"/>
    <s v="B"/>
    <s v="ALM00125"/>
    <s v=""/>
    <x v="0"/>
    <m/>
    <m/>
    <x v="124"/>
    <m/>
    <m/>
    <m/>
    <m/>
    <m/>
    <s v="A2203"/>
    <s v="B1-3-1.1"/>
    <n v="1"/>
    <n v="2"/>
    <n v="4"/>
    <n v="150"/>
    <n v="150"/>
    <n v="300"/>
    <n v="3"/>
    <m/>
    <m/>
    <m/>
    <m/>
    <s v="Estoque em Nivel Minimo"/>
    <s v="COM SOLICITACAO / EM PROCESSO DE COMPRAS"/>
    <s v="3338/19"/>
  </r>
  <r>
    <n v="927"/>
    <x v="1"/>
    <s v="B"/>
    <s v="ALM00126"/>
    <s v=""/>
    <x v="0"/>
    <m/>
    <m/>
    <x v="125"/>
    <m/>
    <m/>
    <m/>
    <m/>
    <m/>
    <s v="A1105"/>
    <s v="B1-3-1.1"/>
    <n v="0"/>
    <n v="1"/>
    <n v="3"/>
    <n v="1000"/>
    <n v="0"/>
    <n v="1000"/>
    <n v="2"/>
    <m/>
    <m/>
    <m/>
    <m/>
    <s v="Estoque Não Conforme"/>
    <s v="COM SOLICITACAO / EM PROCESSO DE COMPRAS"/>
    <s v="3363/19"/>
  </r>
  <r>
    <n v="928"/>
    <x v="1"/>
    <s v="A"/>
    <s v="ALM00127"/>
    <s v="CABEÇOTE INJ."/>
    <x v="0"/>
    <m/>
    <m/>
    <x v="126"/>
    <m/>
    <m/>
    <m/>
    <m/>
    <m/>
    <s v="A2203"/>
    <s v="B1-3-2.1"/>
    <n v="1"/>
    <n v="2"/>
    <n v="5"/>
    <n v="163"/>
    <n v="163"/>
    <n v="326"/>
    <n v="2"/>
    <m/>
    <m/>
    <m/>
    <m/>
    <s v="Estoque em Nivel Minimo"/>
    <s v="COM SOLICITACAO / EM PROCESSO DE COMPRAS"/>
    <s v="3338/19"/>
  </r>
  <r>
    <n v="1370"/>
    <x v="1"/>
    <s v="A"/>
    <s v="ALM00128"/>
    <s v=""/>
    <x v="0"/>
    <m/>
    <m/>
    <x v="127"/>
    <m/>
    <m/>
    <m/>
    <m/>
    <m/>
    <s v="A2203"/>
    <s v="B1-3-3.1"/>
    <n v="3"/>
    <n v="2"/>
    <n v="4"/>
    <n v="232.5"/>
    <n v="697.5"/>
    <n v="465"/>
    <n v="6"/>
    <n v="3"/>
    <m/>
    <m/>
    <m/>
    <s v="Estoque Conforme"/>
    <s v="SEM SOLICITACAO / FABBISOGNO'S"/>
    <m/>
  </r>
  <r>
    <n v="935"/>
    <x v="1"/>
    <s v="A"/>
    <s v="ALM00129"/>
    <s v=""/>
    <x v="0"/>
    <m/>
    <m/>
    <x v="128"/>
    <m/>
    <m/>
    <m/>
    <m/>
    <m/>
    <s v="A2203"/>
    <s v="B1-3-3.2"/>
    <n v="4"/>
    <n v="2"/>
    <n v="10"/>
    <n v="25"/>
    <n v="100"/>
    <n v="50"/>
    <n v="4"/>
    <m/>
    <m/>
    <m/>
    <m/>
    <s v="Estoque Conforme"/>
    <s v="SEM SOLICITACAO / FABBISOGNO'S"/>
    <m/>
  </r>
  <r>
    <n v="930"/>
    <x v="1"/>
    <m/>
    <s v="ALM00130"/>
    <s v=""/>
    <x v="1"/>
    <m/>
    <m/>
    <x v="129"/>
    <m/>
    <m/>
    <m/>
    <m/>
    <m/>
    <s v="A2203"/>
    <s v="B1-3-4.1"/>
    <n v="8"/>
    <n v="2"/>
    <n v="10"/>
    <n v="0"/>
    <n v="0"/>
    <n v="0"/>
    <n v="9"/>
    <m/>
    <m/>
    <m/>
    <m/>
    <s v="Estoque Conforme"/>
    <s v="SEM SOLICITACAO / FABBISOGNO'S"/>
    <m/>
  </r>
  <r>
    <n v="936"/>
    <x v="1"/>
    <s v="B"/>
    <s v="ALM00131"/>
    <s v="M12  / M08"/>
    <x v="0"/>
    <m/>
    <m/>
    <x v="130"/>
    <m/>
    <m/>
    <m/>
    <m/>
    <m/>
    <s v="A2203"/>
    <s v="B1-3-4.2"/>
    <n v="16"/>
    <n v="3"/>
    <n v="10"/>
    <n v="92"/>
    <n v="1472"/>
    <n v="276"/>
    <n v="10"/>
    <m/>
    <m/>
    <m/>
    <m/>
    <s v="Estoque Conforme"/>
    <s v="SEM SOLICITACAO / FABBISOGNO'S"/>
    <m/>
  </r>
  <r>
    <n v="937"/>
    <x v="1"/>
    <s v="A"/>
    <s v="ALM00132"/>
    <s v="F.FENDER - M05"/>
    <x v="0"/>
    <s v="757602169004"/>
    <s v="169004"/>
    <x v="131"/>
    <m/>
    <m/>
    <m/>
    <m/>
    <m/>
    <s v="C1305"/>
    <s v="B1-3-5.1  "/>
    <n v="0"/>
    <n v="5"/>
    <n v="15"/>
    <n v="96.99"/>
    <n v="0"/>
    <n v="484.95"/>
    <n v="8"/>
    <m/>
    <m/>
    <m/>
    <m/>
    <s v="Estoque Não Conforme"/>
    <s v="COM SOLICITACAO / EM PROCESSO DE COMPRAS"/>
    <s v="3338/19"/>
  </r>
  <r>
    <n v="931"/>
    <x v="1"/>
    <s v="B"/>
    <s v="ALM00133"/>
    <s v="F.FENDER - M06"/>
    <x v="0"/>
    <s v="757602178563"/>
    <s v="178563"/>
    <x v="132"/>
    <m/>
    <m/>
    <m/>
    <m/>
    <m/>
    <s v="A2203"/>
    <s v="B1-3-5.2"/>
    <n v="5"/>
    <n v="2"/>
    <n v="8"/>
    <n v="101.9"/>
    <n v="509.5"/>
    <n v="203.8"/>
    <n v="1"/>
    <m/>
    <m/>
    <m/>
    <m/>
    <s v="Estoque Conforme"/>
    <s v="SEM SOLICITACAO / FABBISOGNO'S"/>
    <m/>
  </r>
  <r>
    <n v="975"/>
    <x v="1"/>
    <s v="B"/>
    <s v="ALM00134"/>
    <s v=""/>
    <x v="0"/>
    <m/>
    <m/>
    <x v="133"/>
    <m/>
    <m/>
    <m/>
    <m/>
    <m/>
    <s v="A2203"/>
    <s v="B1-3-6.1"/>
    <n v="5"/>
    <n v="2"/>
    <n v="10"/>
    <n v="162.88999999999999"/>
    <n v="814.44999999999993"/>
    <n v="325.77999999999997"/>
    <n v="5"/>
    <m/>
    <m/>
    <m/>
    <m/>
    <s v="Estoque Conforme"/>
    <s v="SEM SOLICITACAO / FABBISOGNO'S"/>
    <m/>
  </r>
  <r>
    <n v="938"/>
    <x v="1"/>
    <s v="B"/>
    <s v="ALM00135"/>
    <s v="M08"/>
    <x v="0"/>
    <s v="756964177541"/>
    <s v="177541"/>
    <x v="134"/>
    <m/>
    <m/>
    <m/>
    <m/>
    <m/>
    <s v="A2203"/>
    <s v="B1-3-6.2"/>
    <n v="0"/>
    <n v="2"/>
    <n v="10"/>
    <n v="274.55"/>
    <n v="0"/>
    <n v="549.1"/>
    <n v="5"/>
    <m/>
    <m/>
    <m/>
    <m/>
    <s v="Estoque Não Conforme"/>
    <s v="COM SOLICITACAO / EM PROCESSO DE COMPRAS"/>
    <s v="3338/19"/>
  </r>
  <r>
    <n v="946"/>
    <x v="1"/>
    <s v="B"/>
    <s v="ALM00136"/>
    <s v=""/>
    <x v="0"/>
    <m/>
    <m/>
    <x v="135"/>
    <m/>
    <m/>
    <m/>
    <m/>
    <m/>
    <s v="A2204"/>
    <s v="B1-4-1.1"/>
    <n v="1"/>
    <n v="2"/>
    <n v="8"/>
    <n v="85.6"/>
    <n v="85.6"/>
    <n v="171.2"/>
    <n v="2"/>
    <m/>
    <m/>
    <m/>
    <m/>
    <s v="Estoque em Nivel Minimo"/>
    <s v="COM SOLICITACAO / EM PROCESSO DE COMPRAS"/>
    <s v="3338/19"/>
  </r>
  <r>
    <n v="947"/>
    <x v="1"/>
    <s v="C"/>
    <s v="ALM00137"/>
    <s v=""/>
    <x v="0"/>
    <m/>
    <m/>
    <x v="136"/>
    <m/>
    <m/>
    <m/>
    <m/>
    <m/>
    <s v="A2204"/>
    <s v="B1-4-1.2"/>
    <n v="0"/>
    <n v="2"/>
    <n v="8"/>
    <n v="25"/>
    <n v="0"/>
    <n v="50"/>
    <n v="8"/>
    <m/>
    <m/>
    <m/>
    <m/>
    <s v="Estoque Não Conforme"/>
    <s v="COM SOLICITACAO / EM PROCESSO DE COMPRAS"/>
    <s v="3338/19"/>
  </r>
  <r>
    <n v="945"/>
    <x v="1"/>
    <m/>
    <s v="ALM00138"/>
    <s v=""/>
    <x v="0"/>
    <s v="756964177541"/>
    <s v="177541"/>
    <x v="137"/>
    <m/>
    <m/>
    <m/>
    <m/>
    <m/>
    <s v="A2204"/>
    <s v="B1-4-2.1"/>
    <n v="3"/>
    <n v="2"/>
    <n v="8"/>
    <n v="0"/>
    <n v="0"/>
    <n v="0"/>
    <n v="4"/>
    <m/>
    <m/>
    <m/>
    <m/>
    <s v="Estoque Conforme"/>
    <s v="SEM SOLICITACAO / FABBISOGNO'S"/>
    <m/>
  </r>
  <r>
    <n v="948"/>
    <x v="1"/>
    <m/>
    <s v="ALM00139"/>
    <s v=""/>
    <x v="0"/>
    <s v="713639171727"/>
    <s v="171727"/>
    <x v="138"/>
    <m/>
    <m/>
    <m/>
    <m/>
    <m/>
    <s v="A2204"/>
    <s v="B1-4-2.2"/>
    <n v="4"/>
    <n v="2"/>
    <n v="5"/>
    <n v="0"/>
    <n v="0"/>
    <n v="0"/>
    <n v="2"/>
    <m/>
    <m/>
    <m/>
    <m/>
    <s v="Estoque Conforme"/>
    <s v="SEM SOLICITACAO / FABBISOGNO'S"/>
    <m/>
  </r>
  <r>
    <n v="944"/>
    <x v="1"/>
    <m/>
    <s v="ALM00140"/>
    <s v="FORNO VERTICAL"/>
    <x v="0"/>
    <m/>
    <m/>
    <x v="139"/>
    <m/>
    <m/>
    <m/>
    <m/>
    <m/>
    <s v="A2204"/>
    <s v="B1-4-3.1"/>
    <n v="2"/>
    <n v="1"/>
    <n v="3"/>
    <n v="0"/>
    <n v="0"/>
    <n v="0"/>
    <n v="1"/>
    <m/>
    <m/>
    <m/>
    <m/>
    <s v="Estoque Conforme"/>
    <s v="SEM SOLICITACAO / FABBISOGNO'S"/>
    <m/>
  </r>
  <r>
    <n v="949"/>
    <x v="1"/>
    <m/>
    <s v="ALM00141"/>
    <s v=""/>
    <x v="0"/>
    <s v="702710172419"/>
    <s v="172419"/>
    <x v="140"/>
    <m/>
    <m/>
    <m/>
    <m/>
    <m/>
    <s v="A2204"/>
    <s v="B1-4-3.2"/>
    <n v="1"/>
    <n v="2"/>
    <n v="5"/>
    <n v="0"/>
    <n v="0"/>
    <n v="0"/>
    <n v="4"/>
    <m/>
    <m/>
    <m/>
    <m/>
    <s v="Estoque em Nivel Minimo"/>
    <s v="COM SOLICITACAO / EM PROCESSO DE COMPRAS"/>
    <s v="3363/19"/>
  </r>
  <r>
    <n v="943"/>
    <x v="1"/>
    <m/>
    <s v="ALM00142"/>
    <s v=""/>
    <x v="0"/>
    <s v="756964800546"/>
    <s v="800546"/>
    <x v="141"/>
    <m/>
    <m/>
    <m/>
    <m/>
    <m/>
    <s v="A2204"/>
    <s v="B1-4-4.1"/>
    <n v="2"/>
    <n v="2"/>
    <n v="8"/>
    <n v="0"/>
    <n v="0"/>
    <n v="0"/>
    <n v="2"/>
    <m/>
    <m/>
    <m/>
    <m/>
    <s v="Estoque Conforme"/>
    <s v="SEM SOLICITACAO / FABBISOGNO'S"/>
    <m/>
  </r>
  <r>
    <n v="950"/>
    <x v="1"/>
    <s v="A"/>
    <s v="ALM00143"/>
    <s v="M33"/>
    <x v="0"/>
    <m/>
    <s v="800546"/>
    <x v="142"/>
    <m/>
    <m/>
    <m/>
    <m/>
    <m/>
    <s v="A2204"/>
    <s v="B1-4-4.2"/>
    <n v="0"/>
    <n v="3"/>
    <n v="8"/>
    <n v="145"/>
    <n v="0"/>
    <n v="435"/>
    <n v="0"/>
    <m/>
    <m/>
    <m/>
    <m/>
    <s v="Estoque Não Conforme"/>
    <s v="COM SOLICITACAO / EM PROCESSO DE COMPRAS"/>
    <s v="3363/19"/>
  </r>
  <r>
    <n v="942"/>
    <x v="1"/>
    <m/>
    <s v="ALM00144"/>
    <s v="GLASUTEC - M14"/>
    <x v="0"/>
    <s v="702711164921"/>
    <s v="164921"/>
    <x v="143"/>
    <m/>
    <m/>
    <m/>
    <m/>
    <m/>
    <s v="A2204"/>
    <s v="B1-4-5.1"/>
    <n v="2"/>
    <n v="2"/>
    <n v="8"/>
    <n v="0"/>
    <n v="0"/>
    <n v="0"/>
    <n v="3"/>
    <m/>
    <m/>
    <m/>
    <m/>
    <s v="Estoque Conforme"/>
    <s v="SEM SOLICITACAO / FABBISOGNO'S"/>
    <m/>
  </r>
  <r>
    <n v="951"/>
    <x v="1"/>
    <m/>
    <s v="ALM00145"/>
    <s v=""/>
    <x v="0"/>
    <m/>
    <m/>
    <x v="144"/>
    <m/>
    <m/>
    <m/>
    <m/>
    <m/>
    <s v="A2204"/>
    <s v="B1-4-5.2"/>
    <n v="3"/>
    <n v="2"/>
    <n v="8"/>
    <n v="0"/>
    <n v="0"/>
    <n v="0"/>
    <n v="3"/>
    <m/>
    <m/>
    <m/>
    <m/>
    <s v="Estoque Conforme"/>
    <s v="SEM SOLICITACAO / FABBISOGNO'S"/>
    <m/>
  </r>
  <r>
    <n v="941"/>
    <x v="1"/>
    <s v="A"/>
    <s v="ALM00146"/>
    <s v="GLASUTEC - M14"/>
    <x v="0"/>
    <s v="702711164922"/>
    <s v="164922"/>
    <x v="145"/>
    <m/>
    <m/>
    <m/>
    <m/>
    <m/>
    <s v="A2204"/>
    <s v="B1-4-6.1"/>
    <n v="3"/>
    <n v="2"/>
    <n v="5"/>
    <n v="0"/>
    <n v="0"/>
    <n v="0"/>
    <n v="3"/>
    <m/>
    <m/>
    <m/>
    <m/>
    <s v="Estoque Conforme"/>
    <s v="SEM SOLICITACAO / FABBISOGNO'S"/>
    <m/>
  </r>
  <r>
    <n v="952"/>
    <x v="1"/>
    <m/>
    <s v="ALM00147"/>
    <s v=""/>
    <x v="0"/>
    <s v="702710800160"/>
    <s v="800160"/>
    <x v="146"/>
    <m/>
    <m/>
    <m/>
    <m/>
    <m/>
    <s v="A2204"/>
    <s v="B1-4-6.2"/>
    <n v="3"/>
    <n v="2"/>
    <n v="8"/>
    <n v="0"/>
    <n v="0"/>
    <n v="0"/>
    <n v="3"/>
    <m/>
    <m/>
    <m/>
    <m/>
    <s v="Estoque Conforme"/>
    <s v="SEM SOLICITACAO / FABBISOGNO'S"/>
    <m/>
  </r>
  <r>
    <n v="894"/>
    <x v="1"/>
    <m/>
    <s v="ALM00148"/>
    <s v=""/>
    <x v="0"/>
    <m/>
    <m/>
    <x v="147"/>
    <m/>
    <m/>
    <m/>
    <m/>
    <m/>
    <s v="A2205"/>
    <s v="B1-5-0"/>
    <n v="4"/>
    <n v="1"/>
    <n v="5"/>
    <n v="0"/>
    <n v="0"/>
    <n v="0"/>
    <n v="4"/>
    <m/>
    <m/>
    <m/>
    <m/>
    <s v="Estoque Conforme"/>
    <s v="SEM SOLICITACAO / FABBISOGNO'S"/>
    <m/>
  </r>
  <r>
    <n v="632"/>
    <x v="1"/>
    <m/>
    <s v="ALM00149"/>
    <s v=""/>
    <x v="0"/>
    <m/>
    <m/>
    <x v="148"/>
    <m/>
    <m/>
    <m/>
    <m/>
    <m/>
    <s v="A2205"/>
    <s v="B1-5-1"/>
    <n v="5"/>
    <n v="1"/>
    <n v="3"/>
    <n v="185"/>
    <n v="925"/>
    <n v="185"/>
    <n v="3"/>
    <m/>
    <m/>
    <m/>
    <m/>
    <s v="Estoque Conforme"/>
    <s v="SEM SOLICITACAO / FABBISOGNO'S"/>
    <m/>
  </r>
  <r>
    <n v="893"/>
    <x v="1"/>
    <m/>
    <s v="ALM00150"/>
    <s v=""/>
    <x v="0"/>
    <m/>
    <m/>
    <x v="149"/>
    <m/>
    <m/>
    <m/>
    <m/>
    <m/>
    <s v="A2205"/>
    <s v="B1-5-2"/>
    <n v="1"/>
    <n v="1"/>
    <n v="5"/>
    <n v="0"/>
    <n v="0"/>
    <n v="0"/>
    <n v="1"/>
    <m/>
    <m/>
    <m/>
    <m/>
    <s v="Estoque Conforme"/>
    <s v="SEM SOLICITACAO / FABBISOGNO'S"/>
    <m/>
  </r>
  <r>
    <n v="967"/>
    <x v="1"/>
    <m/>
    <s v="ALM00151"/>
    <s v=""/>
    <x v="0"/>
    <m/>
    <m/>
    <x v="150"/>
    <m/>
    <m/>
    <m/>
    <m/>
    <m/>
    <s v="A2205"/>
    <s v="B1-5-3"/>
    <n v="2"/>
    <n v="2"/>
    <n v="5"/>
    <n v="0"/>
    <n v="0"/>
    <n v="0"/>
    <n v="2"/>
    <m/>
    <m/>
    <m/>
    <m/>
    <s v="Estoque Conforme"/>
    <s v="SEM SOLICITACAO / FABBISOGNO'S"/>
    <m/>
  </r>
  <r>
    <n v="968"/>
    <x v="1"/>
    <m/>
    <s v="ALM00152"/>
    <s v=""/>
    <x v="0"/>
    <m/>
    <m/>
    <x v="151"/>
    <m/>
    <m/>
    <m/>
    <m/>
    <m/>
    <s v="A2205"/>
    <s v="B1-5-4"/>
    <n v="4"/>
    <n v="2"/>
    <n v="8"/>
    <n v="0"/>
    <n v="0"/>
    <n v="0"/>
    <n v="4"/>
    <m/>
    <m/>
    <m/>
    <m/>
    <s v="Estoque Conforme"/>
    <s v="SEM SOLICITACAO / FABBISOGNO'S"/>
    <m/>
  </r>
  <r>
    <n v="969"/>
    <x v="1"/>
    <m/>
    <s v="ALM00153"/>
    <s v=""/>
    <x v="0"/>
    <m/>
    <m/>
    <x v="152"/>
    <m/>
    <m/>
    <m/>
    <m/>
    <m/>
    <s v="A2205"/>
    <s v="B1-5-5"/>
    <n v="33"/>
    <n v="5"/>
    <n v="40"/>
    <n v="0"/>
    <n v="0"/>
    <n v="0"/>
    <n v="33"/>
    <m/>
    <m/>
    <m/>
    <m/>
    <s v="Estoque Conforme"/>
    <s v="SEM SOLICITACAO / FABBISOGNO'S"/>
    <m/>
  </r>
  <r>
    <n v="1248"/>
    <x v="1"/>
    <m/>
    <s v="ALM00154"/>
    <s v="FORNO VERTICAL"/>
    <x v="0"/>
    <m/>
    <m/>
    <x v="153"/>
    <m/>
    <m/>
    <m/>
    <m/>
    <m/>
    <s v="A2402"/>
    <s v="B1-5-6"/>
    <n v="1"/>
    <n v="1"/>
    <n v="2"/>
    <n v="0"/>
    <n v="0"/>
    <n v="0"/>
    <n v="1"/>
    <m/>
    <m/>
    <m/>
    <m/>
    <s v="Estoque Conforme"/>
    <s v="SEM SOLICITACAO / FABBISOGNO'S"/>
    <m/>
  </r>
  <r>
    <n v="631"/>
    <x v="1"/>
    <m/>
    <s v="ALM00155"/>
    <s v=""/>
    <x v="0"/>
    <m/>
    <m/>
    <x v="154"/>
    <m/>
    <m/>
    <m/>
    <m/>
    <m/>
    <s v="A2206"/>
    <s v="B1-6-1"/>
    <n v="0"/>
    <n v="5"/>
    <n v="10"/>
    <n v="0"/>
    <n v="0"/>
    <n v="0"/>
    <n v="10"/>
    <m/>
    <m/>
    <m/>
    <m/>
    <s v="Estoque Não Conforme"/>
    <s v="COM SOLICITACAO / EM PROCESSO DE COMPRAS"/>
    <s v="3363/19"/>
  </r>
  <r>
    <n v="960"/>
    <x v="1"/>
    <m/>
    <s v="ALM00156"/>
    <s v=""/>
    <x v="0"/>
    <m/>
    <m/>
    <x v="155"/>
    <m/>
    <m/>
    <m/>
    <m/>
    <m/>
    <s v="A2206"/>
    <s v="B1-6-2"/>
    <n v="2"/>
    <n v="1"/>
    <n v="5"/>
    <n v="0"/>
    <n v="0"/>
    <n v="0"/>
    <n v="3"/>
    <m/>
    <m/>
    <m/>
    <m/>
    <s v="Estoque Conforme"/>
    <s v="SEM SOLICITACAO / FABBISOGNO'S"/>
    <m/>
  </r>
  <r>
    <n v="2"/>
    <x v="1"/>
    <m/>
    <s v="ALM00157"/>
    <s v=""/>
    <x v="0"/>
    <m/>
    <m/>
    <x v="156"/>
    <m/>
    <m/>
    <m/>
    <m/>
    <m/>
    <s v="A2206"/>
    <s v="B1-6-3"/>
    <n v="0"/>
    <n v="1"/>
    <n v="3"/>
    <n v="1000"/>
    <n v="0"/>
    <n v="1000"/>
    <n v="1"/>
    <n v="2000"/>
    <m/>
    <m/>
    <m/>
    <s v="Estoque Não Conforme"/>
    <s v="COM SOLICITACAO / EM PROCESSO DE COMPRAS"/>
    <s v="3363/19"/>
  </r>
  <r>
    <n v="1"/>
    <x v="1"/>
    <m/>
    <s v="ALM00158"/>
    <s v=""/>
    <x v="0"/>
    <m/>
    <m/>
    <x v="157"/>
    <m/>
    <m/>
    <m/>
    <m/>
    <m/>
    <s v="A2206"/>
    <s v="B1-6-3"/>
    <n v="1"/>
    <n v="1"/>
    <n v="3"/>
    <n v="4000"/>
    <n v="4000"/>
    <n v="4000"/>
    <n v="0"/>
    <n v="12000"/>
    <m/>
    <m/>
    <m/>
    <s v="Estoque Conforme"/>
    <s v="SEM SOLICITACAO / FABBISOGNO'S"/>
    <m/>
  </r>
  <r>
    <n v="924"/>
    <x v="1"/>
    <m/>
    <s v="ALM00159"/>
    <s v="ELETRICO"/>
    <x v="0"/>
    <m/>
    <m/>
    <x v="158"/>
    <m/>
    <m/>
    <m/>
    <m/>
    <m/>
    <s v="D1203"/>
    <s v="D1203"/>
    <n v="13"/>
    <n v="1"/>
    <n v="10"/>
    <n v="355"/>
    <n v="4615"/>
    <n v="355"/>
    <n v="2"/>
    <m/>
    <m/>
    <m/>
    <m/>
    <s v="Estoque Conforme"/>
    <s v="SEM SOLICITACAO / FABBISOGNO'S"/>
    <m/>
  </r>
  <r>
    <n v="1192"/>
    <x v="1"/>
    <m/>
    <s v="ALM00160"/>
    <s v="INNER DASH"/>
    <x v="1"/>
    <m/>
    <m/>
    <x v="159"/>
    <m/>
    <m/>
    <m/>
    <m/>
    <m/>
    <s v="F2"/>
    <s v="B2-2-1"/>
    <n v="0"/>
    <n v="1"/>
    <n v="5"/>
    <n v="2699.6"/>
    <n v="0"/>
    <n v="2699.6"/>
    <n v="0"/>
    <m/>
    <m/>
    <m/>
    <m/>
    <s v="Estoque Não Conforme"/>
    <s v="COM SOLICITACAO / EM PROCESSO DE COMPRAS"/>
    <s v="3003/19"/>
  </r>
  <r>
    <n v="1307"/>
    <x v="1"/>
    <m/>
    <s v="ALM00161"/>
    <s v="ACOPLADORA CHINESA"/>
    <x v="1"/>
    <s v="757510800297"/>
    <s v="800297"/>
    <x v="160"/>
    <m/>
    <m/>
    <m/>
    <m/>
    <m/>
    <s v="E2203"/>
    <s v="B2-2-1"/>
    <n v="0"/>
    <n v="1"/>
    <n v="2"/>
    <n v="0"/>
    <n v="0"/>
    <n v="0"/>
    <n v="1"/>
    <m/>
    <m/>
    <m/>
    <m/>
    <s v="Estoque Não Conforme"/>
    <s v="SEM SOLICITACAO / FABBISOGNO'S"/>
    <m/>
  </r>
  <r>
    <n v="926"/>
    <x v="1"/>
    <m/>
    <s v="ALM00162"/>
    <s v=""/>
    <x v="0"/>
    <m/>
    <m/>
    <x v="161"/>
    <m/>
    <m/>
    <m/>
    <m/>
    <m/>
    <s v="A2302"/>
    <s v="B2-2-2"/>
    <n v="1"/>
    <n v="1"/>
    <n v="3"/>
    <n v="0"/>
    <n v="0"/>
    <n v="0"/>
    <n v="1"/>
    <m/>
    <m/>
    <m/>
    <m/>
    <s v="Estoque Conforme"/>
    <s v="SEM SOLICITACAO / FABBISOGNO'S"/>
    <m/>
  </r>
  <r>
    <n v="1276"/>
    <x v="1"/>
    <s v="A"/>
    <s v="ALM00163"/>
    <s v="F.FENDER - M06"/>
    <x v="0"/>
    <s v="763677172807"/>
    <s v="172807"/>
    <x v="162"/>
    <m/>
    <m/>
    <m/>
    <m/>
    <m/>
    <s v="A2302"/>
    <s v="B2-2-3"/>
    <n v="1"/>
    <n v="1"/>
    <n v="4"/>
    <n v="498"/>
    <n v="498"/>
    <n v="498"/>
    <n v="2"/>
    <m/>
    <m/>
    <m/>
    <m/>
    <s v="Estoque Conforme"/>
    <s v="SEM SOLICITACAO / FABBISOGNO'S"/>
    <m/>
  </r>
  <r>
    <n v="133"/>
    <x v="1"/>
    <s v="A"/>
    <s v="ALM00164"/>
    <s v="CARPETE - M35"/>
    <x v="0"/>
    <s v="756964900351"/>
    <s v="900351"/>
    <x v="163"/>
    <m/>
    <m/>
    <m/>
    <m/>
    <m/>
    <s v="A2302"/>
    <s v="B2-2-4"/>
    <n v="1"/>
    <n v="1"/>
    <n v="3"/>
    <n v="1472.5"/>
    <n v="1472.5"/>
    <n v="1472.5"/>
    <n v="1"/>
    <n v="2016.25"/>
    <m/>
    <m/>
    <m/>
    <s v="Estoque Conforme"/>
    <s v="SEM SOLICITACAO / FABBISOGNO'S"/>
    <m/>
  </r>
  <r>
    <n v="617"/>
    <x v="1"/>
    <m/>
    <s v="ALM00165"/>
    <s v=""/>
    <x v="0"/>
    <m/>
    <s v="186022"/>
    <x v="164"/>
    <m/>
    <m/>
    <m/>
    <m/>
    <m/>
    <s v="A2302"/>
    <s v="B2-2-5"/>
    <n v="15"/>
    <n v="4"/>
    <n v="10"/>
    <n v="106.89428571428572"/>
    <n v="1603.4142857142858"/>
    <n v="427.57714285714286"/>
    <n v="10"/>
    <m/>
    <m/>
    <m/>
    <m/>
    <s v="Estoque Conforme"/>
    <s v="SEM SOLICITACAO / FABBISOGNO'S"/>
    <m/>
  </r>
  <r>
    <n v="137"/>
    <x v="1"/>
    <m/>
    <s v="ALM00166"/>
    <s v=""/>
    <x v="0"/>
    <s v="763677180340"/>
    <s v="180340"/>
    <x v="165"/>
    <m/>
    <m/>
    <m/>
    <m/>
    <m/>
    <s v="A2303"/>
    <s v="B2-3-1"/>
    <n v="3"/>
    <n v="2"/>
    <n v="10"/>
    <n v="100"/>
    <n v="300"/>
    <n v="200"/>
    <n v="3"/>
    <n v="100"/>
    <m/>
    <m/>
    <m/>
    <s v="Estoque Conforme"/>
    <s v="SEM SOLICITACAO / FABBISOGNO'S"/>
    <m/>
  </r>
  <r>
    <n v="1329"/>
    <x v="1"/>
    <s v="B"/>
    <s v="ALM00167"/>
    <s v=""/>
    <x v="0"/>
    <m/>
    <m/>
    <x v="166"/>
    <m/>
    <m/>
    <m/>
    <m/>
    <m/>
    <s v="A2303"/>
    <s v="B2-3-2"/>
    <n v="2"/>
    <n v="1"/>
    <n v="3"/>
    <n v="319.8"/>
    <n v="639.6"/>
    <n v="319.8"/>
    <n v="2"/>
    <m/>
    <m/>
    <m/>
    <m/>
    <s v="Estoque Conforme"/>
    <s v="SEM SOLICITACAO / FABBISOGNO'S"/>
    <m/>
  </r>
  <r>
    <n v="14"/>
    <x v="1"/>
    <m/>
    <s v="ALM00168"/>
    <s v=""/>
    <x v="0"/>
    <s v="756964178489"/>
    <s v="178489"/>
    <x v="167"/>
    <m/>
    <m/>
    <m/>
    <m/>
    <m/>
    <s v="A2303"/>
    <s v="B2-3-3"/>
    <n v="5"/>
    <n v="2"/>
    <n v="6"/>
    <n v="0"/>
    <n v="0"/>
    <n v="0"/>
    <n v="6"/>
    <n v="0"/>
    <m/>
    <m/>
    <m/>
    <s v="Estoque Conforme"/>
    <s v="SEM SOLICITACAO / FABBISOGNO'S"/>
    <m/>
  </r>
  <r>
    <n v="615"/>
    <x v="1"/>
    <m/>
    <s v="ALM00169"/>
    <s v=""/>
    <x v="0"/>
    <m/>
    <m/>
    <x v="168"/>
    <m/>
    <m/>
    <m/>
    <m/>
    <m/>
    <s v="A2303"/>
    <s v="B2-3-4"/>
    <n v="2"/>
    <n v="1"/>
    <n v="5"/>
    <n v="849.97"/>
    <n v="1699.94"/>
    <n v="849.97"/>
    <n v="2"/>
    <m/>
    <m/>
    <m/>
    <m/>
    <s v="Estoque Conforme"/>
    <s v="SEM SOLICITACAO / FABBISOGNO'S"/>
    <m/>
  </r>
  <r>
    <n v="120"/>
    <x v="1"/>
    <s v="B"/>
    <s v="ALM00170"/>
    <s v="F.FENDER - M06"/>
    <x v="0"/>
    <m/>
    <m/>
    <x v="169"/>
    <m/>
    <m/>
    <m/>
    <m/>
    <m/>
    <s v="A2303"/>
    <s v="B2-3-5"/>
    <n v="6"/>
    <n v="2"/>
    <n v="5"/>
    <n v="0"/>
    <n v="0"/>
    <n v="0"/>
    <n v="6"/>
    <n v="0"/>
    <m/>
    <m/>
    <m/>
    <s v="Estoque Conforme"/>
    <s v="SEM SOLICITACAO / FABBISOGNO'S"/>
    <m/>
  </r>
  <r>
    <n v="616"/>
    <x v="1"/>
    <m/>
    <s v="ALM00171"/>
    <s v=""/>
    <x v="0"/>
    <s v="762693169895"/>
    <s v="169895"/>
    <x v="170"/>
    <m/>
    <m/>
    <m/>
    <m/>
    <m/>
    <s v="A2303"/>
    <s v="B2-3-6"/>
    <n v="0"/>
    <n v="1"/>
    <n v="5"/>
    <n v="100"/>
    <n v="0"/>
    <n v="100"/>
    <n v="1"/>
    <m/>
    <m/>
    <m/>
    <m/>
    <s v="Estoque Não Conforme"/>
    <s v="COM SOLICITACAO / EM PROCESSO DE COMPRAS"/>
    <s v="3363/19"/>
  </r>
  <r>
    <n v="940"/>
    <x v="1"/>
    <m/>
    <s v="ALM00172"/>
    <s v=""/>
    <x v="0"/>
    <m/>
    <m/>
    <x v="171"/>
    <m/>
    <m/>
    <m/>
    <m/>
    <m/>
    <s v="A2303"/>
    <s v="B2-3-7"/>
    <n v="1"/>
    <n v="1"/>
    <n v="4"/>
    <n v="0"/>
    <n v="0"/>
    <n v="0"/>
    <n v="1"/>
    <m/>
    <m/>
    <m/>
    <m/>
    <s v="Estoque Conforme"/>
    <s v="SEM SOLICITACAO / FABBISOGNO'S"/>
    <m/>
  </r>
  <r>
    <n v="1332"/>
    <x v="1"/>
    <m/>
    <s v="ALM00173"/>
    <s v=""/>
    <x v="0"/>
    <m/>
    <m/>
    <x v="172"/>
    <m/>
    <m/>
    <m/>
    <m/>
    <m/>
    <s v="A2304"/>
    <s v="B2-4-1"/>
    <n v="6"/>
    <n v="1"/>
    <n v="3"/>
    <n v="587.92999999999995"/>
    <n v="3527.58"/>
    <n v="587.92999999999995"/>
    <n v="5"/>
    <m/>
    <m/>
    <m/>
    <m/>
    <s v="Estoque Conforme"/>
    <s v="SEM SOLICITACAO / FABBISOGNO'S"/>
    <m/>
  </r>
  <r>
    <n v="117"/>
    <x v="1"/>
    <m/>
    <s v="ALM00174"/>
    <s v=""/>
    <x v="0"/>
    <s v="757779164339"/>
    <s v="164339"/>
    <x v="173"/>
    <m/>
    <m/>
    <m/>
    <m/>
    <m/>
    <s v="A1204"/>
    <s v="B2-4-1.1"/>
    <n v="15"/>
    <n v="5"/>
    <n v="30"/>
    <n v="0"/>
    <n v="0"/>
    <n v="0"/>
    <n v="24"/>
    <n v="0"/>
    <m/>
    <m/>
    <m/>
    <s v="Estoque Conforme"/>
    <s v="SEM SOLICITACAO / FABBISOGNO'S"/>
    <m/>
  </r>
  <r>
    <n v="113"/>
    <x v="1"/>
    <m/>
    <s v="ALM00175"/>
    <s v=""/>
    <x v="0"/>
    <m/>
    <m/>
    <x v="174"/>
    <m/>
    <m/>
    <m/>
    <m/>
    <m/>
    <s v="A1204"/>
    <s v="B2-4-2"/>
    <n v="15"/>
    <n v="5"/>
    <n v="15"/>
    <n v="0"/>
    <n v="0"/>
    <n v="0"/>
    <n v="12"/>
    <n v="0"/>
    <m/>
    <m/>
    <m/>
    <s v="Estoque Conforme"/>
    <s v="SEM SOLICITACAO / FABBISOGNO'S"/>
    <m/>
  </r>
  <r>
    <n v="1005"/>
    <x v="1"/>
    <m/>
    <s v="ALM00176"/>
    <s v=""/>
    <x v="0"/>
    <m/>
    <m/>
    <x v="175"/>
    <m/>
    <m/>
    <m/>
    <m/>
    <m/>
    <s v="A2304"/>
    <s v="B2-4-2.1"/>
    <n v="0"/>
    <n v="2"/>
    <n v="3"/>
    <n v="0"/>
    <n v="0"/>
    <n v="0"/>
    <n v="0"/>
    <m/>
    <m/>
    <m/>
    <m/>
    <s v="Estoque Não Conforme"/>
    <s v="COM SOLICITACAO / EM PROCESSO DE COMPRAS"/>
    <s v="3364/19"/>
  </r>
  <r>
    <n v="64"/>
    <x v="1"/>
    <m/>
    <s v="ALM00177"/>
    <s v=""/>
    <x v="0"/>
    <m/>
    <m/>
    <x v="176"/>
    <m/>
    <m/>
    <m/>
    <m/>
    <m/>
    <s v="A2304"/>
    <s v="B2-4-3"/>
    <n v="1"/>
    <n v="1"/>
    <n v="3"/>
    <n v="59.3"/>
    <n v="59.3"/>
    <n v="59.3"/>
    <n v="1"/>
    <n v="59.3"/>
    <m/>
    <m/>
    <m/>
    <s v="Estoque Conforme"/>
    <s v="SEM SOLICITACAO / FABBISOGNO'S"/>
    <m/>
  </r>
  <r>
    <n v="592"/>
    <x v="1"/>
    <m/>
    <s v="ALM00178"/>
    <s v="GLASUTEC - M14"/>
    <x v="0"/>
    <s v="755801171439"/>
    <s v="171439"/>
    <x v="177"/>
    <m/>
    <m/>
    <m/>
    <m/>
    <m/>
    <s v="A2304"/>
    <s v="B2-4-3.1"/>
    <n v="0"/>
    <n v="1"/>
    <n v="2"/>
    <n v="0"/>
    <n v="0"/>
    <n v="0"/>
    <n v="1"/>
    <m/>
    <m/>
    <m/>
    <m/>
    <s v="Estoque Não Conforme"/>
    <s v="COM SOLICITACAO / EM PROCESSO DE COMPRAS"/>
    <s v="3363/19"/>
  </r>
  <r>
    <n v="111"/>
    <x v="1"/>
    <m/>
    <s v="ALM00179"/>
    <s v=""/>
    <x v="0"/>
    <m/>
    <m/>
    <x v="178"/>
    <m/>
    <m/>
    <m/>
    <m/>
    <m/>
    <s v="A2304"/>
    <s v="B2-4-4"/>
    <n v="1"/>
    <n v="1"/>
    <n v="3"/>
    <n v="0"/>
    <n v="0"/>
    <n v="0"/>
    <n v="1"/>
    <n v="0"/>
    <m/>
    <m/>
    <m/>
    <s v="Estoque Conforme"/>
    <s v="SEM SOLICITACAO / FABBISOGNO'S"/>
    <m/>
  </r>
  <r>
    <n v="12"/>
    <x v="1"/>
    <s v="A"/>
    <s v="ALM00180"/>
    <s v="CHINESA - M02"/>
    <x v="0"/>
    <m/>
    <m/>
    <x v="179"/>
    <m/>
    <m/>
    <m/>
    <m/>
    <m/>
    <s v="A2304"/>
    <s v="B2-4-4.1"/>
    <n v="1"/>
    <n v="1"/>
    <n v="2"/>
    <n v="0"/>
    <n v="0"/>
    <n v="0"/>
    <n v="1"/>
    <n v="0"/>
    <m/>
    <m/>
    <m/>
    <s v="Estoque Conforme"/>
    <s v="SEM SOLICITACAO / FABBISOGNO'S"/>
    <m/>
  </r>
  <r>
    <n v="110"/>
    <x v="1"/>
    <m/>
    <s v="ALM00181"/>
    <s v=""/>
    <x v="0"/>
    <m/>
    <m/>
    <x v="180"/>
    <m/>
    <m/>
    <m/>
    <m/>
    <m/>
    <s v="A2304"/>
    <s v="B2-4-5"/>
    <n v="1"/>
    <n v="1"/>
    <n v="3"/>
    <n v="0"/>
    <n v="0"/>
    <n v="0"/>
    <n v="1"/>
    <n v="0"/>
    <m/>
    <m/>
    <m/>
    <s v="Estoque Conforme"/>
    <s v="SEM SOLICITACAO / FABBISOGNO'S"/>
    <m/>
  </r>
  <r>
    <n v="1333"/>
    <x v="1"/>
    <m/>
    <s v="ALM00182"/>
    <s v=""/>
    <x v="0"/>
    <m/>
    <m/>
    <x v="181"/>
    <m/>
    <m/>
    <m/>
    <m/>
    <m/>
    <s v="A1302"/>
    <s v="B2-4-5.1"/>
    <n v="0"/>
    <n v="2"/>
    <n v="10"/>
    <n v="22"/>
    <n v="0"/>
    <n v="44"/>
    <n v="1"/>
    <m/>
    <m/>
    <m/>
    <m/>
    <s v="Estoque Não Conforme"/>
    <s v="COM SOLICITACAO / EM PROCESSO DE COMPRAS"/>
    <s v="3363/19"/>
  </r>
  <r>
    <n v="1368"/>
    <x v="1"/>
    <m/>
    <s v="ALM00183"/>
    <s v=""/>
    <x v="0"/>
    <m/>
    <m/>
    <x v="182"/>
    <m/>
    <m/>
    <m/>
    <m/>
    <m/>
    <s v="A2304"/>
    <s v="B2-4-6"/>
    <n v="4"/>
    <n v="2"/>
    <n v="5"/>
    <n v="412"/>
    <n v="1648"/>
    <n v="824"/>
    <n v="2"/>
    <n v="2"/>
    <m/>
    <m/>
    <m/>
    <s v="Estoque Conforme"/>
    <s v="SEM SOLICITACAO / FABBISOGNO'S"/>
    <m/>
  </r>
  <r>
    <n v="1367"/>
    <x v="1"/>
    <m/>
    <s v="ALM00184"/>
    <s v=""/>
    <x v="0"/>
    <m/>
    <m/>
    <x v="183"/>
    <m/>
    <m/>
    <m/>
    <m/>
    <m/>
    <s v="A2304"/>
    <s v="B2-4-6.1"/>
    <n v="11"/>
    <n v="2"/>
    <n v="5"/>
    <n v="0"/>
    <n v="0"/>
    <n v="0"/>
    <n v="15"/>
    <n v="5"/>
    <m/>
    <m/>
    <m/>
    <s v="Estoque Conforme"/>
    <s v="SEM SOLICITACAO / FABBISOGNO'S"/>
    <m/>
  </r>
  <r>
    <n v="123"/>
    <x v="1"/>
    <m/>
    <s v="ALM00185"/>
    <s v=""/>
    <x v="0"/>
    <m/>
    <m/>
    <x v="184"/>
    <m/>
    <m/>
    <m/>
    <m/>
    <m/>
    <s v="A2305"/>
    <s v="B2-5-1"/>
    <n v="8"/>
    <n v="2"/>
    <n v="10"/>
    <n v="0"/>
    <n v="0"/>
    <n v="0"/>
    <n v="7"/>
    <n v="0"/>
    <m/>
    <m/>
    <m/>
    <s v="Estoque Conforme"/>
    <s v="SEM SOLICITACAO / FABBISOGNO'S"/>
    <m/>
  </r>
  <r>
    <n v="1239"/>
    <x v="1"/>
    <m/>
    <s v="ALM00186"/>
    <s v="ROBO DE COLA"/>
    <x v="0"/>
    <m/>
    <m/>
    <x v="185"/>
    <m/>
    <m/>
    <m/>
    <m/>
    <m/>
    <s v="A2305"/>
    <s v="B2-5-1.1"/>
    <n v="2"/>
    <n v="1"/>
    <n v="4"/>
    <n v="0"/>
    <n v="0"/>
    <n v="0"/>
    <n v="2"/>
    <m/>
    <m/>
    <m/>
    <m/>
    <s v="Estoque Conforme"/>
    <s v="SEM SOLICITACAO / FABBISOGNO'S"/>
    <m/>
  </r>
  <r>
    <n v="124"/>
    <x v="1"/>
    <m/>
    <s v="ALM00187"/>
    <s v=""/>
    <x v="0"/>
    <m/>
    <m/>
    <x v="186"/>
    <m/>
    <m/>
    <m/>
    <m/>
    <m/>
    <s v="A2305"/>
    <s v="B2-5-2"/>
    <n v="2"/>
    <n v="3"/>
    <n v="10"/>
    <n v="0"/>
    <n v="0"/>
    <n v="0"/>
    <n v="3"/>
    <n v="0"/>
    <m/>
    <m/>
    <m/>
    <s v="Estoque em Nivel Minimo"/>
    <s v="COM SOLICITACAO / EM PROCESSO DE COMPRAS"/>
    <s v="3363/19"/>
  </r>
  <r>
    <n v="112"/>
    <x v="1"/>
    <m/>
    <s v="ALM00188"/>
    <s v=""/>
    <x v="0"/>
    <m/>
    <m/>
    <x v="187"/>
    <m/>
    <m/>
    <m/>
    <m/>
    <m/>
    <s v="A2305"/>
    <s v="B2-5-2.1"/>
    <n v="1"/>
    <n v="1"/>
    <n v="3"/>
    <n v="0"/>
    <n v="0"/>
    <n v="0"/>
    <n v="1"/>
    <n v="0"/>
    <m/>
    <m/>
    <m/>
    <s v="Estoque Conforme"/>
    <s v="SEM SOLICITACAO / FABBISOGNO'S"/>
    <m/>
  </r>
  <r>
    <n v="125"/>
    <x v="1"/>
    <s v="B"/>
    <s v="ALM00189"/>
    <s v=""/>
    <x v="0"/>
    <m/>
    <m/>
    <x v="188"/>
    <m/>
    <m/>
    <m/>
    <m/>
    <m/>
    <s v="A2305"/>
    <s v="B2-5-3"/>
    <n v="3"/>
    <n v="3"/>
    <n v="10"/>
    <n v="30"/>
    <n v="90"/>
    <n v="90"/>
    <n v="4"/>
    <n v="30"/>
    <m/>
    <m/>
    <m/>
    <s v="Estoque Conforme"/>
    <s v="SEM SOLICITACAO / FABBISOGNO'S"/>
    <m/>
  </r>
  <r>
    <n v="1240"/>
    <x v="1"/>
    <m/>
    <s v="ALM00190"/>
    <s v=""/>
    <x v="0"/>
    <m/>
    <m/>
    <x v="189"/>
    <m/>
    <m/>
    <m/>
    <m/>
    <m/>
    <s v="B1302"/>
    <s v="B2-5-3.1"/>
    <n v="1"/>
    <n v="1"/>
    <n v="3"/>
    <n v="0"/>
    <n v="0"/>
    <n v="0"/>
    <n v="1"/>
    <m/>
    <m/>
    <m/>
    <m/>
    <s v="Estoque Conforme"/>
    <s v="SEM SOLICITACAO / FABBISOGNO'S"/>
    <m/>
  </r>
  <r>
    <n v="129"/>
    <x v="1"/>
    <m/>
    <s v="ALM00191"/>
    <s v=""/>
    <x v="0"/>
    <m/>
    <m/>
    <x v="190"/>
    <m/>
    <m/>
    <m/>
    <m/>
    <m/>
    <s v="A2305"/>
    <s v="B2-5-4"/>
    <n v="0"/>
    <n v="2"/>
    <n v="10"/>
    <n v="0"/>
    <n v="0"/>
    <n v="0"/>
    <n v="2"/>
    <n v="0"/>
    <m/>
    <m/>
    <m/>
    <s v="Estoque Não Conforme"/>
    <s v="COM SOLICITACAO / EM PROCESSO DE COMPRAS"/>
    <s v="3363/19"/>
  </r>
  <r>
    <n v="108"/>
    <x v="1"/>
    <m/>
    <s v="ALM00192"/>
    <s v=""/>
    <x v="0"/>
    <s v="762693177508"/>
    <s v="177508"/>
    <x v="191"/>
    <m/>
    <m/>
    <m/>
    <m/>
    <m/>
    <s v="A2305"/>
    <s v="B2-5-4.1"/>
    <n v="1"/>
    <n v="1"/>
    <n v="5"/>
    <n v="0"/>
    <n v="0"/>
    <n v="0"/>
    <n v="1"/>
    <n v="0"/>
    <m/>
    <m/>
    <m/>
    <s v="Estoque Conforme"/>
    <s v="SEM SOLICITACAO / FABBISOGNO'S"/>
    <m/>
  </r>
  <r>
    <n v="82"/>
    <x v="1"/>
    <s v="B"/>
    <s v="ALM00193"/>
    <m/>
    <x v="0"/>
    <m/>
    <m/>
    <x v="192"/>
    <m/>
    <m/>
    <m/>
    <m/>
    <m/>
    <s v="A2305"/>
    <s v="B2-5-5"/>
    <n v="20"/>
    <n v="10"/>
    <n v="25"/>
    <n v="0"/>
    <n v="0"/>
    <n v="0"/>
    <n v="21"/>
    <n v="0"/>
    <m/>
    <m/>
    <m/>
    <s v="Estoque Conforme"/>
    <s v="SEM SOLICITACAO / FABBISOGNO'S"/>
    <m/>
  </r>
  <r>
    <n v="65"/>
    <x v="1"/>
    <m/>
    <s v="ALM00194"/>
    <s v=""/>
    <x v="0"/>
    <s v="763677180750"/>
    <s v="180750"/>
    <x v="193"/>
    <m/>
    <m/>
    <m/>
    <m/>
    <m/>
    <s v="A2305"/>
    <s v="B2-5-5.1"/>
    <n v="1"/>
    <n v="1"/>
    <n v="5"/>
    <n v="0"/>
    <n v="0"/>
    <n v="0"/>
    <n v="2"/>
    <n v="0"/>
    <m/>
    <m/>
    <m/>
    <s v="Estoque Conforme"/>
    <s v="SEM SOLICITACAO / FABBISOGNO'S"/>
    <m/>
  </r>
  <r>
    <n v="1371"/>
    <x v="1"/>
    <m/>
    <s v="ALM00195"/>
    <s v=""/>
    <x v="0"/>
    <m/>
    <m/>
    <x v="194"/>
    <m/>
    <m/>
    <m/>
    <m/>
    <m/>
    <s v="A2305"/>
    <s v="B2-5-6.1"/>
    <n v="4"/>
    <m/>
    <n v="5"/>
    <n v="0"/>
    <n v="0"/>
    <n v="0"/>
    <n v="10"/>
    <n v="6"/>
    <m/>
    <m/>
    <m/>
    <s v="Estoque Conforme"/>
    <s v="SEM SOLICITACAO / FABBISOGNO'S"/>
    <m/>
  </r>
  <r>
    <n v="963"/>
    <x v="1"/>
    <m/>
    <s v="ALM00196"/>
    <s v=""/>
    <x v="0"/>
    <m/>
    <m/>
    <x v="195"/>
    <m/>
    <m/>
    <m/>
    <m/>
    <m/>
    <s v="A2306"/>
    <s v="B2-6-1"/>
    <n v="5"/>
    <n v="4"/>
    <n v="10"/>
    <n v="0"/>
    <n v="0"/>
    <n v="0"/>
    <n v="5"/>
    <m/>
    <m/>
    <m/>
    <m/>
    <s v="Estoque Conforme"/>
    <s v="SEM SOLICITACAO / FABBISOGNO'S"/>
    <m/>
  </r>
  <r>
    <n v="962"/>
    <x v="1"/>
    <m/>
    <s v="ALM00197"/>
    <s v=""/>
    <x v="0"/>
    <m/>
    <m/>
    <x v="196"/>
    <m/>
    <m/>
    <m/>
    <m/>
    <m/>
    <s v="A2306"/>
    <s v="B2-6-2"/>
    <n v="19"/>
    <n v="2"/>
    <n v="10"/>
    <n v="204"/>
    <n v="3876"/>
    <n v="408"/>
    <n v="2"/>
    <m/>
    <m/>
    <m/>
    <m/>
    <s v="Estoque Conforme"/>
    <s v="SEM SOLICITACAO / FABBISOGNO'S"/>
    <m/>
  </r>
  <r>
    <n v="961"/>
    <x v="1"/>
    <m/>
    <s v="ALM00198"/>
    <s v=""/>
    <x v="0"/>
    <m/>
    <m/>
    <x v="197"/>
    <m/>
    <m/>
    <m/>
    <m/>
    <m/>
    <s v="A2306"/>
    <s v="B2-6-3"/>
    <n v="9"/>
    <n v="4"/>
    <n v="10"/>
    <n v="823"/>
    <n v="7407"/>
    <n v="3292"/>
    <n v="8"/>
    <m/>
    <m/>
    <m/>
    <m/>
    <s v="Estoque Conforme"/>
    <s v="SEM SOLICITACAO / FABBISOGNO'S"/>
    <m/>
  </r>
  <r>
    <n v="925"/>
    <x v="1"/>
    <m/>
    <s v="ALM00199"/>
    <s v=""/>
    <x v="0"/>
    <m/>
    <m/>
    <x v="198"/>
    <m/>
    <m/>
    <m/>
    <m/>
    <m/>
    <m/>
    <s v="B3-1-3"/>
    <n v="0"/>
    <n v="5"/>
    <n v="10"/>
    <n v="0"/>
    <n v="0"/>
    <n v="0"/>
    <n v="14"/>
    <m/>
    <m/>
    <m/>
    <m/>
    <s v="Estoque Não Conforme"/>
    <s v="SEM SOLICITACAO / FABBISOGNO'S"/>
    <m/>
  </r>
  <r>
    <n v="1369"/>
    <x v="1"/>
    <m/>
    <s v="ALM00200"/>
    <s v=""/>
    <x v="0"/>
    <m/>
    <m/>
    <x v="199"/>
    <m/>
    <m/>
    <m/>
    <m/>
    <m/>
    <s v="A2402"/>
    <s v="B3-2-0"/>
    <n v="2"/>
    <m/>
    <n v="1"/>
    <n v="0"/>
    <n v="0"/>
    <n v="0"/>
    <n v="5"/>
    <n v="2"/>
    <m/>
    <m/>
    <m/>
    <s v="Estoque Conforme"/>
    <s v="SEM SOLICITACAO / FABBISOGNO'S"/>
    <m/>
  </r>
  <r>
    <n v="823"/>
    <x v="1"/>
    <m/>
    <s v="ALM00201"/>
    <s v="GLASUTEC"/>
    <x v="0"/>
    <m/>
    <m/>
    <x v="200"/>
    <m/>
    <m/>
    <m/>
    <m/>
    <m/>
    <s v="A2402"/>
    <s v="B3-2-2"/>
    <n v="2"/>
    <n v="2"/>
    <n v="3"/>
    <n v="0"/>
    <n v="0"/>
    <n v="0"/>
    <n v="2"/>
    <m/>
    <m/>
    <m/>
    <m/>
    <s v="Estoque Conforme"/>
    <s v="SEM SOLICITACAO / FABBISOGNO'S"/>
    <m/>
  </r>
  <r>
    <n v="16"/>
    <x v="1"/>
    <m/>
    <s v="ALM00202"/>
    <s v=""/>
    <x v="0"/>
    <m/>
    <m/>
    <x v="201"/>
    <m/>
    <m/>
    <m/>
    <m/>
    <m/>
    <s v="A2403"/>
    <s v="B3-3-1"/>
    <n v="3"/>
    <n v="2"/>
    <n v="3"/>
    <n v="0"/>
    <n v="0"/>
    <n v="0"/>
    <n v="3"/>
    <n v="0"/>
    <m/>
    <m/>
    <m/>
    <s v="Estoque Conforme"/>
    <s v="SEM SOLICITACAO / FABBISOGNO'S"/>
    <m/>
  </r>
  <r>
    <n v="1170"/>
    <x v="1"/>
    <m/>
    <s v="ALM00203"/>
    <s v=""/>
    <x v="0"/>
    <m/>
    <m/>
    <x v="202"/>
    <m/>
    <m/>
    <m/>
    <m/>
    <m/>
    <s v="A2403"/>
    <s v="B3-3-1.1"/>
    <n v="2"/>
    <n v="1"/>
    <n v="4"/>
    <n v="0"/>
    <n v="0"/>
    <n v="0"/>
    <n v="2"/>
    <m/>
    <m/>
    <m/>
    <m/>
    <s v="Estoque Conforme"/>
    <s v="SEM SOLICITACAO / FABBISOGNO'S"/>
    <m/>
  </r>
  <r>
    <n v="614"/>
    <x v="1"/>
    <m/>
    <s v="ALM00204"/>
    <s v=""/>
    <x v="0"/>
    <m/>
    <m/>
    <x v="203"/>
    <m/>
    <m/>
    <m/>
    <m/>
    <m/>
    <s v="A2403"/>
    <s v="B3-3-2"/>
    <n v="1"/>
    <n v="2"/>
    <n v="8"/>
    <n v="88.5"/>
    <n v="88.5"/>
    <n v="177"/>
    <n v="1"/>
    <m/>
    <m/>
    <m/>
    <m/>
    <s v="Estoque em Nivel Minimo"/>
    <s v="COM SOLICITACAO / EM PROCESSO DE COMPRAS"/>
    <s v="3363/19"/>
  </r>
  <r>
    <n v="812"/>
    <x v="1"/>
    <s v="B"/>
    <s v="ALM00205"/>
    <m/>
    <x v="0"/>
    <m/>
    <m/>
    <x v="204"/>
    <m/>
    <m/>
    <m/>
    <m/>
    <m/>
    <s v="A2403"/>
    <s v="B3-3-3"/>
    <n v="1"/>
    <n v="3"/>
    <n v="5"/>
    <n v="216"/>
    <n v="216"/>
    <n v="648"/>
    <n v="1"/>
    <m/>
    <m/>
    <m/>
    <m/>
    <s v="Estoque em Nivel Minimo"/>
    <s v="COM SOLICITACAO / EM PROCESSO DE COMPRAS"/>
    <s v="3363/19"/>
  </r>
  <r>
    <n v="611"/>
    <x v="1"/>
    <s v="B"/>
    <s v="ALM00206"/>
    <m/>
    <x v="0"/>
    <m/>
    <m/>
    <x v="205"/>
    <m/>
    <m/>
    <m/>
    <m/>
    <m/>
    <s v="A2403"/>
    <s v="B3-3-4"/>
    <n v="3"/>
    <n v="3"/>
    <n v="5"/>
    <n v="0"/>
    <n v="0"/>
    <n v="0"/>
    <n v="0"/>
    <m/>
    <m/>
    <m/>
    <m/>
    <s v="Estoque Conforme"/>
    <s v="SEM SOLICITACAO / FABBISOGNO'S"/>
    <m/>
  </r>
  <r>
    <n v="612"/>
    <x v="1"/>
    <s v="A"/>
    <s v="ALM00207"/>
    <s v="F.FENDER - M06"/>
    <x v="0"/>
    <m/>
    <m/>
    <x v="206"/>
    <m/>
    <m/>
    <m/>
    <m/>
    <m/>
    <s v="A2403"/>
    <s v="B3-3-5"/>
    <n v="4"/>
    <n v="3"/>
    <n v="5"/>
    <n v="229"/>
    <n v="916"/>
    <n v="687"/>
    <n v="2"/>
    <m/>
    <m/>
    <m/>
    <m/>
    <s v="Estoque Conforme"/>
    <s v="SEM SOLICITACAO / FABBISOGNO'S"/>
    <m/>
  </r>
  <r>
    <n v="811"/>
    <x v="1"/>
    <s v="A"/>
    <s v="ALM00208"/>
    <s v="F.FENDER - M06"/>
    <x v="0"/>
    <m/>
    <m/>
    <x v="207"/>
    <m/>
    <m/>
    <m/>
    <m/>
    <m/>
    <s v="A2403"/>
    <s v="B3-3-6"/>
    <n v="4"/>
    <n v="3"/>
    <n v="5"/>
    <n v="240"/>
    <n v="960"/>
    <n v="720"/>
    <n v="4"/>
    <m/>
    <m/>
    <m/>
    <m/>
    <s v="Estoque Conforme"/>
    <s v="SEM SOLICITACAO / FABBISOGNO'S"/>
    <m/>
  </r>
  <r>
    <n v="613"/>
    <x v="1"/>
    <s v="B"/>
    <s v="ALM00209"/>
    <m/>
    <x v="0"/>
    <m/>
    <n v="186160"/>
    <x v="208"/>
    <m/>
    <m/>
    <m/>
    <m/>
    <m/>
    <s v="A2403"/>
    <s v="B3-3-7"/>
    <n v="9"/>
    <n v="3"/>
    <n v="5"/>
    <n v="190"/>
    <n v="1710"/>
    <n v="570"/>
    <n v="1"/>
    <m/>
    <m/>
    <m/>
    <m/>
    <s v="Estoque Conforme"/>
    <s v="SEM SOLICITACAO / FABBISOGNO'S"/>
    <m/>
  </r>
  <r>
    <n v="93"/>
    <x v="1"/>
    <m/>
    <s v="ALM00210"/>
    <s v=""/>
    <x v="0"/>
    <s v="757779172530"/>
    <s v="172530"/>
    <x v="209"/>
    <m/>
    <m/>
    <m/>
    <m/>
    <m/>
    <s v="A2404"/>
    <s v="B3-4-1"/>
    <n v="13"/>
    <n v="3"/>
    <n v="10"/>
    <n v="80.5"/>
    <n v="1046.5"/>
    <n v="241.5"/>
    <n v="12"/>
    <n v="2022"/>
    <m/>
    <m/>
    <m/>
    <s v="Estoque Conforme"/>
    <s v="SEM SOLICITACAO / FABBISOGNO'S"/>
    <m/>
  </r>
  <r>
    <n v="92"/>
    <x v="1"/>
    <m/>
    <s v="ALM00211"/>
    <s v=""/>
    <x v="0"/>
    <s v="757779172561"/>
    <s v="172561"/>
    <x v="210"/>
    <m/>
    <m/>
    <m/>
    <m/>
    <m/>
    <s v="A2404"/>
    <s v="B3-4-2"/>
    <n v="10"/>
    <n v="3"/>
    <n v="10"/>
    <n v="50.16"/>
    <n v="501.59999999999997"/>
    <n v="150.47999999999999"/>
    <n v="7"/>
    <n v="1030.7199999999998"/>
    <m/>
    <m/>
    <m/>
    <s v="Estoque Conforme"/>
    <s v="SEM SOLICITACAO / FABBISOGNO'S"/>
    <m/>
  </r>
  <r>
    <n v="1711"/>
    <x v="1"/>
    <m/>
    <s v="ALM00212"/>
    <s v=""/>
    <x v="0"/>
    <m/>
    <m/>
    <x v="211"/>
    <m/>
    <m/>
    <m/>
    <m/>
    <m/>
    <s v="A2405"/>
    <s v="B3-5-0"/>
    <n v="9"/>
    <m/>
    <n v="2"/>
    <n v="280"/>
    <n v="2520"/>
    <n v="0"/>
    <n v="11"/>
    <n v="10"/>
    <m/>
    <m/>
    <m/>
    <s v="Estoque Conforme"/>
    <s v="SEM SOLICITACAO / FABBISOGNO'S"/>
    <m/>
  </r>
  <r>
    <n v="1351"/>
    <x v="1"/>
    <m/>
    <s v="ALM00213"/>
    <s v=""/>
    <x v="0"/>
    <m/>
    <m/>
    <x v="212"/>
    <m/>
    <m/>
    <m/>
    <m/>
    <m/>
    <s v="A2405"/>
    <s v="B3-5-1"/>
    <n v="5"/>
    <n v="3"/>
    <n v="10"/>
    <n v="0"/>
    <n v="0"/>
    <n v="0"/>
    <n v="7"/>
    <m/>
    <m/>
    <m/>
    <m/>
    <s v="Estoque Conforme"/>
    <s v="SEM SOLICITACAO / FABBISOGNO'S"/>
    <m/>
  </r>
  <r>
    <n v="1196"/>
    <x v="1"/>
    <m/>
    <s v="ALM00214"/>
    <s v=""/>
    <x v="1"/>
    <m/>
    <m/>
    <x v="213"/>
    <m/>
    <m/>
    <m/>
    <m/>
    <m/>
    <s v="E2304"/>
    <s v="B3-5-2"/>
    <n v="7"/>
    <n v="2"/>
    <n v="10"/>
    <n v="0"/>
    <n v="0"/>
    <n v="0"/>
    <n v="7"/>
    <m/>
    <m/>
    <m/>
    <m/>
    <s v="Estoque Conforme"/>
    <s v="SEM SOLICITACAO / FABBISOGNO'S"/>
    <m/>
  </r>
  <r>
    <n v="1198"/>
    <x v="1"/>
    <m/>
    <s v="ALM00215"/>
    <s v=""/>
    <x v="1"/>
    <s v="758359177539"/>
    <s v="177539"/>
    <x v="214"/>
    <m/>
    <m/>
    <m/>
    <m/>
    <m/>
    <s v="F1203"/>
    <s v="B3-5-3"/>
    <n v="5"/>
    <n v="1"/>
    <n v="8"/>
    <n v="0"/>
    <n v="0"/>
    <n v="0"/>
    <n v="7"/>
    <m/>
    <m/>
    <m/>
    <m/>
    <s v="Estoque Conforme"/>
    <s v="SEM SOLICITACAO / FABBISOGNO'S"/>
    <m/>
  </r>
  <r>
    <n v="973"/>
    <x v="1"/>
    <m/>
    <s v="ALM00216"/>
    <s v=""/>
    <x v="0"/>
    <m/>
    <m/>
    <x v="215"/>
    <m/>
    <m/>
    <m/>
    <m/>
    <m/>
    <s v="A2406"/>
    <s v="B3-6"/>
    <n v="110"/>
    <n v="10"/>
    <n v="50"/>
    <n v="0"/>
    <n v="0"/>
    <n v="0"/>
    <n v="66"/>
    <m/>
    <m/>
    <m/>
    <m/>
    <s v="Estoque Conforme"/>
    <s v="SEM SOLICITACAO / FABBISOGNO'S"/>
    <m/>
  </r>
  <r>
    <n v="821"/>
    <x v="1"/>
    <m/>
    <s v="ALM00217"/>
    <s v=""/>
    <x v="0"/>
    <m/>
    <m/>
    <x v="216"/>
    <m/>
    <m/>
    <m/>
    <m/>
    <m/>
    <s v="A1202"/>
    <s v="B3-6"/>
    <n v="30"/>
    <n v="10"/>
    <n v="50"/>
    <n v="0"/>
    <n v="0"/>
    <n v="0"/>
    <n v="50"/>
    <m/>
    <m/>
    <m/>
    <m/>
    <s v="Estoque Conforme"/>
    <s v="SEM SOLICITACAO / FABBISOGNO'S"/>
    <m/>
  </r>
  <r>
    <n v="972"/>
    <x v="1"/>
    <m/>
    <s v="ALM00218"/>
    <s v=""/>
    <x v="0"/>
    <m/>
    <m/>
    <x v="217"/>
    <m/>
    <m/>
    <m/>
    <m/>
    <m/>
    <s v="A2406"/>
    <s v="B3-6"/>
    <n v="52"/>
    <n v="10"/>
    <n v="50"/>
    <n v="0"/>
    <n v="0"/>
    <n v="0"/>
    <n v="45"/>
    <m/>
    <m/>
    <m/>
    <m/>
    <s v="Estoque Conforme"/>
    <s v="SEM SOLICITACAO / FABBISOGNO'S"/>
    <m/>
  </r>
  <r>
    <n v="974"/>
    <x v="1"/>
    <m/>
    <s v="ALM00219"/>
    <s v=""/>
    <x v="0"/>
    <m/>
    <m/>
    <x v="218"/>
    <m/>
    <m/>
    <m/>
    <m/>
    <m/>
    <s v="A2406"/>
    <s v="B3-6"/>
    <n v="25"/>
    <n v="10"/>
    <n v="50"/>
    <n v="0"/>
    <n v="0"/>
    <n v="0"/>
    <n v="25"/>
    <m/>
    <m/>
    <m/>
    <m/>
    <s v="Estoque Conforme"/>
    <s v="SEM SOLICITACAO / FABBISOGNO'S"/>
    <m/>
  </r>
  <r>
    <n v="971"/>
    <x v="1"/>
    <m/>
    <s v="ALM00220"/>
    <s v=""/>
    <x v="0"/>
    <m/>
    <m/>
    <x v="219"/>
    <m/>
    <m/>
    <m/>
    <m/>
    <m/>
    <s v="A2406"/>
    <s v="B3-6"/>
    <n v="100"/>
    <n v="10"/>
    <n v="50"/>
    <n v="10"/>
    <n v="1000"/>
    <n v="100"/>
    <n v="79"/>
    <m/>
    <m/>
    <m/>
    <m/>
    <s v="Estoque Conforme"/>
    <s v="SEM SOLICITACAO / FABBISOGNO'S"/>
    <m/>
  </r>
  <r>
    <n v="180"/>
    <x v="1"/>
    <s v="A"/>
    <s v="ALM00221"/>
    <s v="F.FENDER - M06"/>
    <x v="0"/>
    <m/>
    <m/>
    <x v="220"/>
    <m/>
    <m/>
    <m/>
    <m/>
    <m/>
    <s v="B1301"/>
    <s v="C1-1-1"/>
    <n v="2"/>
    <n v="1"/>
    <n v="3"/>
    <n v="0"/>
    <n v="0"/>
    <n v="0"/>
    <n v="2"/>
    <n v="2500"/>
    <m/>
    <m/>
    <m/>
    <s v="Estoque Conforme"/>
    <s v="SEM SOLICITACAO / FABBISOGNO'S"/>
    <m/>
  </r>
  <r>
    <n v="979"/>
    <x v="1"/>
    <m/>
    <s v="ALM00222"/>
    <s v=""/>
    <x v="0"/>
    <m/>
    <m/>
    <x v="221"/>
    <m/>
    <m/>
    <m/>
    <m/>
    <m/>
    <s v="B1202"/>
    <s v="C1-2-1"/>
    <n v="1"/>
    <n v="1"/>
    <n v="2"/>
    <n v="0"/>
    <n v="0"/>
    <n v="0"/>
    <n v="1"/>
    <m/>
    <m/>
    <m/>
    <m/>
    <s v="Estoque Conforme"/>
    <s v="SEM SOLICITACAO / FABBISOGNO'S"/>
    <m/>
  </r>
  <r>
    <n v="51"/>
    <x v="1"/>
    <m/>
    <s v="ALM00223"/>
    <s v=""/>
    <x v="0"/>
    <m/>
    <m/>
    <x v="222"/>
    <m/>
    <m/>
    <m/>
    <m/>
    <m/>
    <s v="B1202"/>
    <s v="C1-2-1"/>
    <n v="1"/>
    <n v="1"/>
    <n v="3"/>
    <n v="0"/>
    <n v="0"/>
    <n v="0"/>
    <n v="1"/>
    <n v="0"/>
    <m/>
    <m/>
    <m/>
    <s v="Estoque Conforme"/>
    <s v="SEM SOLICITACAO / FABBISOGNO'S"/>
    <m/>
  </r>
  <r>
    <n v="978"/>
    <x v="1"/>
    <m/>
    <s v="ALM00224"/>
    <s v=""/>
    <x v="0"/>
    <m/>
    <m/>
    <x v="223"/>
    <m/>
    <m/>
    <m/>
    <m/>
    <m/>
    <s v="B1202"/>
    <s v="C1-2-2"/>
    <n v="1"/>
    <n v="1"/>
    <n v="4"/>
    <n v="281.52"/>
    <n v="281.52"/>
    <n v="281.52"/>
    <n v="2"/>
    <m/>
    <m/>
    <m/>
    <m/>
    <s v="Estoque Conforme"/>
    <s v="SEM SOLICITACAO / FABBISOGNO'S"/>
    <m/>
  </r>
  <r>
    <n v="109"/>
    <x v="1"/>
    <s v="A"/>
    <s v="ALM00225"/>
    <s v="CARPETE - M35"/>
    <x v="0"/>
    <m/>
    <m/>
    <x v="224"/>
    <m/>
    <m/>
    <m/>
    <m/>
    <m/>
    <s v="B1206"/>
    <s v="C1-2-3"/>
    <n v="2"/>
    <n v="1"/>
    <n v="3"/>
    <n v="0"/>
    <n v="0"/>
    <n v="0"/>
    <n v="1"/>
    <n v="0"/>
    <m/>
    <m/>
    <m/>
    <s v="Estoque Conforme"/>
    <s v="SEM SOLICITACAO / FABBISOGNO'S"/>
    <m/>
  </r>
  <r>
    <n v="597"/>
    <x v="1"/>
    <m/>
    <s v="ALM00226"/>
    <s v="FAUTOU WJ"/>
    <x v="0"/>
    <m/>
    <m/>
    <x v="225"/>
    <m/>
    <m/>
    <m/>
    <m/>
    <m/>
    <s v="B1202"/>
    <s v="C1-2-4"/>
    <n v="1"/>
    <n v="1"/>
    <n v="2"/>
    <n v="0"/>
    <n v="0"/>
    <n v="0"/>
    <n v="1"/>
    <m/>
    <m/>
    <m/>
    <m/>
    <s v="Estoque Conforme"/>
    <s v="SEM SOLICITACAO / FABBISOGNO'S"/>
    <m/>
  </r>
  <r>
    <n v="598"/>
    <x v="1"/>
    <s v="A"/>
    <s v="ALM00227"/>
    <s v="CHINESA - M02"/>
    <x v="0"/>
    <m/>
    <m/>
    <x v="226"/>
    <m/>
    <m/>
    <m/>
    <m/>
    <m/>
    <s v="B1202"/>
    <s v="C1-2-5"/>
    <n v="2"/>
    <n v="1"/>
    <n v="3"/>
    <n v="0"/>
    <n v="0"/>
    <n v="0"/>
    <n v="2"/>
    <m/>
    <m/>
    <m/>
    <m/>
    <s v="Estoque Conforme"/>
    <s v="SEM SOLICITACAO / FABBISOGNO'S"/>
    <m/>
  </r>
  <r>
    <n v="177"/>
    <x v="1"/>
    <m/>
    <s v="ALM00228"/>
    <s v=""/>
    <x v="0"/>
    <m/>
    <m/>
    <x v="227"/>
    <m/>
    <m/>
    <m/>
    <m/>
    <m/>
    <s v="B1203"/>
    <s v="C1-3-1"/>
    <n v="1"/>
    <n v="1"/>
    <n v="3"/>
    <n v="0"/>
    <n v="0"/>
    <n v="0"/>
    <n v="1"/>
    <n v="701.22"/>
    <m/>
    <m/>
    <m/>
    <s v="Estoque Conforme"/>
    <s v="SEM SOLICITACAO / FABBISOGNO'S"/>
    <m/>
  </r>
  <r>
    <n v="176"/>
    <x v="1"/>
    <m/>
    <s v="ALM00229"/>
    <s v=""/>
    <x v="0"/>
    <m/>
    <m/>
    <x v="228"/>
    <m/>
    <m/>
    <m/>
    <m/>
    <m/>
    <s v="B1203"/>
    <s v="C1-3-2"/>
    <n v="1"/>
    <n v="1"/>
    <n v="3"/>
    <n v="0"/>
    <n v="0"/>
    <n v="0"/>
    <n v="1"/>
    <n v="805.13"/>
    <m/>
    <m/>
    <m/>
    <s v="Estoque Conforme"/>
    <s v="SEM SOLICITACAO / FABBISOGNO'S"/>
    <m/>
  </r>
  <r>
    <n v="183"/>
    <x v="1"/>
    <m/>
    <s v="ALM00230"/>
    <s v=""/>
    <x v="0"/>
    <m/>
    <m/>
    <x v="229"/>
    <m/>
    <m/>
    <m/>
    <m/>
    <m/>
    <s v="B1203"/>
    <s v="C1-3-3"/>
    <n v="1"/>
    <n v="1"/>
    <n v="3"/>
    <n v="0"/>
    <n v="0"/>
    <n v="0"/>
    <n v="1"/>
    <n v="142.33000000000001"/>
    <m/>
    <m/>
    <m/>
    <s v="Estoque Conforme"/>
    <s v="SEM SOLICITACAO / FABBISOGNO'S"/>
    <m/>
  </r>
  <r>
    <n v="7"/>
    <x v="1"/>
    <m/>
    <s v="ALM00231"/>
    <s v=""/>
    <x v="0"/>
    <m/>
    <m/>
    <x v="230"/>
    <m/>
    <m/>
    <m/>
    <m/>
    <m/>
    <s v="B1203"/>
    <s v="C1-3-4"/>
    <n v="2"/>
    <n v="1"/>
    <n v="3"/>
    <n v="0"/>
    <n v="0"/>
    <n v="0"/>
    <n v="2"/>
    <n v="0"/>
    <m/>
    <m/>
    <m/>
    <s v="Estoque Conforme"/>
    <s v="SEM SOLICITACAO / FABBISOGNO'S"/>
    <m/>
  </r>
  <r>
    <n v="8"/>
    <x v="1"/>
    <m/>
    <s v="ALM00232"/>
    <s v=""/>
    <x v="0"/>
    <m/>
    <m/>
    <x v="231"/>
    <m/>
    <m/>
    <m/>
    <m/>
    <m/>
    <s v="B1203"/>
    <s v="C1-3-5"/>
    <n v="3"/>
    <n v="1"/>
    <n v="3"/>
    <n v="555.34"/>
    <n v="1666.02"/>
    <n v="555.34"/>
    <n v="0"/>
    <n v="555.34"/>
    <m/>
    <m/>
    <m/>
    <s v="Estoque Conforme"/>
    <s v="SEM SOLICITACAO / FABBISOGNO'S"/>
    <m/>
  </r>
  <r>
    <n v="1236"/>
    <x v="1"/>
    <m/>
    <s v="ALM00233"/>
    <s v="ROBO DE COLA"/>
    <x v="0"/>
    <m/>
    <m/>
    <x v="232"/>
    <s v=" "/>
    <m/>
    <m/>
    <m/>
    <m/>
    <s v="B1103"/>
    <s v="C1-3-6"/>
    <n v="1"/>
    <n v="1"/>
    <n v="2"/>
    <n v="0"/>
    <n v="0"/>
    <n v="0"/>
    <n v="1"/>
    <m/>
    <m/>
    <m/>
    <m/>
    <s v="Estoque Conforme"/>
    <s v="SEM SOLICITACAO / FABBISOGNO'S"/>
    <m/>
  </r>
  <r>
    <n v="1677"/>
    <x v="1"/>
    <s v="A"/>
    <s v="ALM00234"/>
    <s v="F.FENDER - M06"/>
    <x v="0"/>
    <m/>
    <m/>
    <x v="233"/>
    <m/>
    <m/>
    <m/>
    <m/>
    <m/>
    <s v="B1203"/>
    <s v="C1-3-7"/>
    <n v="2"/>
    <m/>
    <n v="1"/>
    <n v="0"/>
    <n v="0"/>
    <n v="0"/>
    <n v="3"/>
    <n v="2"/>
    <m/>
    <m/>
    <m/>
    <s v="Estoque Conforme"/>
    <s v="SEM SOLICITACAO / FABBISOGNO'S"/>
    <m/>
  </r>
  <r>
    <n v="174"/>
    <x v="1"/>
    <m/>
    <s v="ALM00235"/>
    <s v=""/>
    <x v="0"/>
    <m/>
    <m/>
    <x v="234"/>
    <m/>
    <s v="SIEMENS"/>
    <m/>
    <m/>
    <m/>
    <s v="B1204"/>
    <s v="C1-4-1"/>
    <n v="1"/>
    <n v="1"/>
    <n v="3"/>
    <n v="0"/>
    <n v="0"/>
    <n v="0"/>
    <n v="1"/>
    <n v="466.31"/>
    <m/>
    <m/>
    <m/>
    <s v="Estoque Conforme"/>
    <s v="SEM SOLICITACAO / FABBISOGNO'S"/>
    <m/>
  </r>
  <r>
    <n v="11"/>
    <x v="1"/>
    <m/>
    <s v="ALM00236"/>
    <s v=""/>
    <x v="0"/>
    <s v="761157172958"/>
    <s v="172958"/>
    <x v="235"/>
    <m/>
    <s v="SIEMENS"/>
    <m/>
    <m/>
    <m/>
    <s v="B1204"/>
    <s v="C1-4-2"/>
    <n v="3"/>
    <n v="1"/>
    <n v="3"/>
    <n v="0"/>
    <n v="0"/>
    <n v="0"/>
    <n v="0"/>
    <n v="308"/>
    <m/>
    <m/>
    <m/>
    <s v="Estoque Conforme"/>
    <s v="SEM SOLICITACAO / FABBISOGNO'S"/>
    <m/>
  </r>
  <r>
    <n v="10"/>
    <x v="1"/>
    <m/>
    <s v="ALM00237"/>
    <s v=""/>
    <x v="0"/>
    <m/>
    <m/>
    <x v="236"/>
    <m/>
    <s v="SIEMENS"/>
    <m/>
    <m/>
    <m/>
    <s v="B1204"/>
    <s v="C1-4-3"/>
    <n v="1"/>
    <n v="1"/>
    <n v="3"/>
    <n v="993.25"/>
    <n v="993.25"/>
    <n v="993.25"/>
    <n v="0"/>
    <n v="993.25"/>
    <m/>
    <m/>
    <m/>
    <s v="Estoque Conforme"/>
    <s v="SEM SOLICITACAO / FABBISOGNO'S"/>
    <m/>
  </r>
  <r>
    <n v="9"/>
    <x v="1"/>
    <m/>
    <s v="ALM00238"/>
    <s v=""/>
    <x v="0"/>
    <m/>
    <m/>
    <x v="237"/>
    <m/>
    <s v="SIEMENS"/>
    <m/>
    <m/>
    <m/>
    <s v="B1204"/>
    <s v="C1-4-4"/>
    <n v="6"/>
    <n v="1"/>
    <n v="3"/>
    <n v="96.79"/>
    <n v="580.74"/>
    <n v="96.79"/>
    <n v="6"/>
    <n v="774.32"/>
    <m/>
    <m/>
    <m/>
    <s v="Estoque Conforme"/>
    <s v="SEM SOLICITACAO / FABBISOGNO'S"/>
    <m/>
  </r>
  <r>
    <n v="1237"/>
    <x v="1"/>
    <m/>
    <s v="ALM00239"/>
    <s v="ROBO DE COLA"/>
    <x v="0"/>
    <m/>
    <m/>
    <x v="238"/>
    <m/>
    <s v="OMRON"/>
    <m/>
    <m/>
    <m/>
    <s v="B1204"/>
    <s v="C1-4-5"/>
    <n v="4"/>
    <n v="1"/>
    <n v="5"/>
    <n v="0"/>
    <n v="0"/>
    <n v="0"/>
    <n v="4"/>
    <m/>
    <m/>
    <m/>
    <m/>
    <s v="Estoque Conforme"/>
    <s v="SEM SOLICITACAO / FABBISOGNO'S"/>
    <m/>
  </r>
  <r>
    <n v="178"/>
    <x v="1"/>
    <s v="A"/>
    <s v="ALM00240"/>
    <s v="CARPETE - M35"/>
    <x v="0"/>
    <m/>
    <m/>
    <x v="239"/>
    <m/>
    <s v="SIEMENS"/>
    <m/>
    <m/>
    <m/>
    <s v="B1205"/>
    <s v="C1-5-1"/>
    <n v="0"/>
    <n v="1"/>
    <n v="3"/>
    <n v="0"/>
    <n v="0"/>
    <n v="0"/>
    <n v="1"/>
    <n v="2399.2600000000002"/>
    <m/>
    <m/>
    <m/>
    <s v="Estoque Não Conforme"/>
    <s v="COM SOLICITACAO / EM PROCESSO DE COMPRAS"/>
    <s v="3307/19"/>
  </r>
  <r>
    <n v="338"/>
    <x v="1"/>
    <s v="A"/>
    <s v="ALM00241"/>
    <s v="F.FENDER - M06"/>
    <x v="0"/>
    <m/>
    <m/>
    <x v="240"/>
    <m/>
    <m/>
    <m/>
    <m/>
    <m/>
    <s v="A2104"/>
    <s v="C1-5-2"/>
    <n v="1"/>
    <n v="2"/>
    <n v="5"/>
    <n v="1676"/>
    <n v="1676"/>
    <n v="3352"/>
    <n v="1"/>
    <m/>
    <m/>
    <m/>
    <m/>
    <s v="Estoque em Nivel Minimo"/>
    <s v="SEM SOLICITACAO / FABBISOGNO'S"/>
    <m/>
  </r>
  <r>
    <n v="143"/>
    <x v="1"/>
    <m/>
    <s v="ALM00242"/>
    <s v=""/>
    <x v="0"/>
    <m/>
    <m/>
    <x v="241"/>
    <m/>
    <m/>
    <m/>
    <m/>
    <m/>
    <s v="B1205"/>
    <s v="C1-5-3"/>
    <n v="1"/>
    <n v="1"/>
    <n v="3"/>
    <n v="0"/>
    <n v="0"/>
    <n v="0"/>
    <n v="1"/>
    <n v="4317.0600000000004"/>
    <m/>
    <m/>
    <m/>
    <s v="Estoque Conforme"/>
    <s v="SEM SOLICITACAO / FABBISOGNO'S"/>
    <m/>
  </r>
  <r>
    <n v="179"/>
    <x v="1"/>
    <m/>
    <s v="ALM00243"/>
    <s v=""/>
    <x v="0"/>
    <m/>
    <m/>
    <x v="242"/>
    <m/>
    <s v="SIEMENS"/>
    <m/>
    <m/>
    <m/>
    <s v="B1203"/>
    <s v="C1-5-4"/>
    <n v="1"/>
    <n v="1"/>
    <n v="3"/>
    <n v="0"/>
    <n v="0"/>
    <n v="0"/>
    <n v="1"/>
    <n v="214.01"/>
    <m/>
    <m/>
    <m/>
    <s v="Estoque Conforme"/>
    <s v="SEM SOLICITACAO / FABBISOGNO'S"/>
    <m/>
  </r>
  <r>
    <n v="1238"/>
    <x v="1"/>
    <m/>
    <s v="ALM00244"/>
    <s v="ROBO DE COLA"/>
    <x v="0"/>
    <m/>
    <m/>
    <x v="243"/>
    <m/>
    <s v="OMRON"/>
    <m/>
    <m/>
    <m/>
    <s v="B1204"/>
    <s v="C1-5-5"/>
    <n v="2"/>
    <n v="1"/>
    <n v="4"/>
    <n v="0"/>
    <n v="0"/>
    <n v="0"/>
    <n v="2"/>
    <m/>
    <m/>
    <m/>
    <m/>
    <s v="Estoque Conforme"/>
    <s v="SEM SOLICITACAO / FABBISOGNO'S"/>
    <m/>
  </r>
  <r>
    <n v="1681"/>
    <x v="1"/>
    <s v="A"/>
    <s v="ALM00245"/>
    <s v=""/>
    <x v="1"/>
    <m/>
    <m/>
    <x v="244"/>
    <m/>
    <m/>
    <m/>
    <m/>
    <m/>
    <s v="E2103"/>
    <s v="C1-6-1"/>
    <n v="2"/>
    <m/>
    <n v="1"/>
    <n v="0"/>
    <n v="0"/>
    <n v="0"/>
    <n v="2"/>
    <n v="1"/>
    <m/>
    <m/>
    <m/>
    <s v="Estoque Conforme"/>
    <s v="SEM SOLICITACAO / FABBISOGNO'S"/>
    <m/>
  </r>
  <r>
    <n v="1338"/>
    <x v="1"/>
    <m/>
    <s v="ALM00246"/>
    <s v=""/>
    <x v="0"/>
    <m/>
    <m/>
    <x v="245"/>
    <m/>
    <m/>
    <m/>
    <m/>
    <m/>
    <m/>
    <s v="C1-6-5"/>
    <n v="1"/>
    <n v="1"/>
    <n v="3"/>
    <n v="0"/>
    <n v="0"/>
    <n v="0"/>
    <n v="1"/>
    <m/>
    <m/>
    <m/>
    <m/>
    <s v="Estoque Conforme"/>
    <s v="SEM SOLICITACAO / FABBISOGNO'S"/>
    <m/>
  </r>
  <r>
    <n v="145"/>
    <x v="1"/>
    <s v="A"/>
    <s v="ALM00247"/>
    <s v="CHINESA - M02"/>
    <x v="0"/>
    <m/>
    <m/>
    <x v="246"/>
    <m/>
    <s v="SIEMENS"/>
    <m/>
    <m/>
    <m/>
    <s v="B1302"/>
    <s v="C2-2-1"/>
    <n v="3"/>
    <n v="1"/>
    <n v="3"/>
    <n v="0"/>
    <n v="0"/>
    <n v="0"/>
    <n v="3"/>
    <n v="2829.66"/>
    <m/>
    <m/>
    <m/>
    <s v="Estoque Conforme"/>
    <s v="SEM SOLICITACAO / FABBISOGNO'S"/>
    <m/>
  </r>
  <r>
    <n v="146"/>
    <x v="1"/>
    <s v="A"/>
    <s v="ALM00248"/>
    <s v="CHINESA - M02"/>
    <x v="0"/>
    <m/>
    <m/>
    <x v="247"/>
    <m/>
    <s v="SIEMENS"/>
    <m/>
    <m/>
    <m/>
    <s v="B1302"/>
    <s v="C2-2-2"/>
    <n v="1"/>
    <n v="1"/>
    <n v="3"/>
    <n v="0"/>
    <n v="0"/>
    <n v="0"/>
    <n v="1"/>
    <n v="1841.58"/>
    <m/>
    <m/>
    <m/>
    <s v="Estoque Conforme"/>
    <s v="SEM SOLICITACAO / FABBISOGNO'S"/>
    <m/>
  </r>
  <r>
    <n v="1280"/>
    <x v="1"/>
    <s v="B"/>
    <s v="ALM00249"/>
    <s v="AQUECEDORES "/>
    <x v="0"/>
    <s v="763677180335"/>
    <s v="180335"/>
    <x v="248"/>
    <m/>
    <m/>
    <m/>
    <m/>
    <m/>
    <s v="A2304"/>
    <s v="C2-2-3"/>
    <n v="0"/>
    <n v="1"/>
    <n v="5"/>
    <n v="640"/>
    <n v="0"/>
    <n v="640"/>
    <n v="0"/>
    <m/>
    <m/>
    <m/>
    <m/>
    <s v="Estoque Não Conforme"/>
    <s v="SEM SOLICITACAO / FABBISOGNO'S"/>
    <m/>
  </r>
  <r>
    <n v="1226"/>
    <x v="1"/>
    <m/>
    <s v="ALM00250"/>
    <s v=""/>
    <x v="0"/>
    <s v="756964177587"/>
    <s v="177587"/>
    <x v="249"/>
    <m/>
    <m/>
    <m/>
    <m/>
    <m/>
    <s v="A2304"/>
    <s v="C2-2-3.1"/>
    <n v="2"/>
    <n v="1"/>
    <n v="5"/>
    <n v="80"/>
    <n v="160"/>
    <n v="80"/>
    <n v="3"/>
    <m/>
    <m/>
    <m/>
    <m/>
    <s v="Estoque Conforme"/>
    <s v="SEM SOLICITACAO / FABBISOGNO'S"/>
    <m/>
  </r>
  <r>
    <n v="563"/>
    <x v="1"/>
    <m/>
    <s v="ALM00251"/>
    <s v=""/>
    <x v="2"/>
    <m/>
    <m/>
    <x v="250"/>
    <m/>
    <m/>
    <m/>
    <m/>
    <m/>
    <s v="C2205"/>
    <s v="C2-3-1"/>
    <n v="3"/>
    <n v="2"/>
    <n v="4"/>
    <n v="342.15"/>
    <n v="1026.4499999999998"/>
    <n v="684.3"/>
    <n v="3"/>
    <m/>
    <m/>
    <m/>
    <m/>
    <s v="Estoque Conforme"/>
    <s v="SEM SOLICITACAO / FABBISOGNO'S"/>
    <m/>
  </r>
  <r>
    <n v="562"/>
    <x v="1"/>
    <s v="A"/>
    <s v="ALM00252"/>
    <s v="F.FENDER - M06"/>
    <x v="2"/>
    <m/>
    <m/>
    <x v="251"/>
    <m/>
    <m/>
    <m/>
    <m/>
    <m/>
    <s v="C2205"/>
    <s v="C2-3-2"/>
    <n v="1"/>
    <n v="2"/>
    <n v="4"/>
    <n v="120"/>
    <n v="120"/>
    <n v="240"/>
    <n v="3"/>
    <m/>
    <m/>
    <m/>
    <m/>
    <s v="Estoque em Nivel Minimo"/>
    <s v="COM SOLICITACAO / EM PROCESSO DE COMPRAS"/>
    <s v="3366/19"/>
  </r>
  <r>
    <n v="561"/>
    <x v="1"/>
    <m/>
    <s v="ALM00253"/>
    <s v=""/>
    <x v="2"/>
    <m/>
    <m/>
    <x v="252"/>
    <m/>
    <m/>
    <m/>
    <m/>
    <m/>
    <s v="C2205"/>
    <s v="C2-3-3"/>
    <n v="5"/>
    <n v="2"/>
    <n v="4"/>
    <n v="491.35"/>
    <n v="2456.75"/>
    <n v="982.7"/>
    <n v="5"/>
    <m/>
    <m/>
    <m/>
    <m/>
    <s v="Estoque Conforme"/>
    <s v="SEM SOLICITACAO / FABBISOGNO'S"/>
    <m/>
  </r>
  <r>
    <n v="560"/>
    <x v="1"/>
    <m/>
    <s v="ALM00254"/>
    <s v=""/>
    <x v="2"/>
    <s v="761418173010"/>
    <s v="173010"/>
    <x v="253"/>
    <m/>
    <m/>
    <m/>
    <m/>
    <m/>
    <s v="C2205"/>
    <s v="C2-3-4"/>
    <n v="2"/>
    <n v="1"/>
    <n v="4"/>
    <n v="355"/>
    <n v="710"/>
    <n v="355"/>
    <n v="2"/>
    <m/>
    <m/>
    <m/>
    <m/>
    <s v="Estoque Conforme"/>
    <s v="SEM SOLICITACAO / FABBISOGNO'S"/>
    <m/>
  </r>
  <r>
    <n v="1215"/>
    <x v="1"/>
    <m/>
    <s v="ALM00255"/>
    <s v=""/>
    <x v="2"/>
    <s v="755943177490"/>
    <s v="177490"/>
    <x v="254"/>
    <m/>
    <m/>
    <m/>
    <m/>
    <m/>
    <s v="C2205"/>
    <s v="C2-3-5"/>
    <n v="2"/>
    <n v="1"/>
    <n v="3"/>
    <n v="345"/>
    <n v="690"/>
    <n v="345"/>
    <n v="2"/>
    <m/>
    <m/>
    <m/>
    <m/>
    <s v="Estoque Conforme"/>
    <s v="SEM SOLICITACAO / FABBISOGNO'S"/>
    <m/>
  </r>
  <r>
    <n v="152"/>
    <x v="1"/>
    <m/>
    <s v="ALM00256"/>
    <s v=""/>
    <x v="2"/>
    <s v="755943169786"/>
    <s v="169786"/>
    <x v="255"/>
    <m/>
    <m/>
    <m/>
    <m/>
    <m/>
    <s v="C2205"/>
    <s v="C2-3-6"/>
    <n v="3"/>
    <n v="2"/>
    <n v="4"/>
    <n v="213.8"/>
    <n v="641.40000000000009"/>
    <n v="427.6"/>
    <n v="2"/>
    <n v="213.80000000000004"/>
    <m/>
    <m/>
    <m/>
    <s v="Estoque Conforme"/>
    <s v="SEM SOLICITACAO / FABBISOGNO'S"/>
    <m/>
  </r>
  <r>
    <n v="1162"/>
    <x v="1"/>
    <m/>
    <s v="ALM00257"/>
    <s v=""/>
    <x v="0"/>
    <m/>
    <m/>
    <x v="256"/>
    <m/>
    <m/>
    <m/>
    <m/>
    <m/>
    <s v="B1304"/>
    <s v="C2-4-1"/>
    <n v="1"/>
    <n v="1"/>
    <n v="4"/>
    <n v="0"/>
    <n v="0"/>
    <n v="0"/>
    <n v="1"/>
    <m/>
    <m/>
    <m/>
    <m/>
    <s v="Estoque Conforme"/>
    <s v="SEM SOLICITACAO / FABBISOGNO'S"/>
    <m/>
  </r>
  <r>
    <n v="1289"/>
    <x v="1"/>
    <m/>
    <s v="ALM00258"/>
    <s v=""/>
    <x v="0"/>
    <s v="763677180844"/>
    <s v="180844"/>
    <x v="257"/>
    <m/>
    <m/>
    <m/>
    <m/>
    <m/>
    <s v="B1304"/>
    <s v="C2-4-2"/>
    <n v="2"/>
    <n v="1"/>
    <n v="3"/>
    <n v="0"/>
    <n v="0"/>
    <n v="0"/>
    <n v="2"/>
    <m/>
    <m/>
    <m/>
    <m/>
    <s v="Estoque Conforme"/>
    <s v="SEM SOLICITACAO / FABBISOGNO'S"/>
    <m/>
  </r>
  <r>
    <n v="995"/>
    <x v="1"/>
    <m/>
    <s v="ALM00259"/>
    <s v=""/>
    <x v="0"/>
    <m/>
    <m/>
    <x v="258"/>
    <m/>
    <m/>
    <m/>
    <m/>
    <m/>
    <s v="B1304"/>
    <s v="C2-4-3"/>
    <n v="2"/>
    <n v="2"/>
    <n v="10"/>
    <n v="20"/>
    <n v="40"/>
    <n v="40"/>
    <n v="3"/>
    <m/>
    <m/>
    <m/>
    <m/>
    <s v="Estoque Conforme"/>
    <s v="SEM SOLICITACAO / FABBISOGNO'S"/>
    <m/>
  </r>
  <r>
    <n v="1171"/>
    <x v="1"/>
    <m/>
    <s v="ALM00260"/>
    <s v=""/>
    <x v="0"/>
    <m/>
    <m/>
    <x v="259"/>
    <m/>
    <s v="TELEMAQUINIC"/>
    <m/>
    <s v="ELETRICO"/>
    <m/>
    <s v="B1304"/>
    <s v="C2-4-4"/>
    <n v="1"/>
    <n v="1"/>
    <n v="3"/>
    <n v="0"/>
    <n v="0"/>
    <n v="0"/>
    <n v="1"/>
    <m/>
    <m/>
    <m/>
    <m/>
    <s v="Estoque Conforme"/>
    <s v="SEM SOLICITACAO / FABBISOGNO'S"/>
    <m/>
  </r>
  <r>
    <n v="1217"/>
    <x v="1"/>
    <m/>
    <s v="ALM00261"/>
    <s v=""/>
    <x v="2"/>
    <m/>
    <m/>
    <x v="260"/>
    <m/>
    <m/>
    <m/>
    <m/>
    <m/>
    <s v="C1102"/>
    <s v="C2-4-5"/>
    <n v="3"/>
    <n v="1"/>
    <n v="3"/>
    <n v="0"/>
    <n v="0"/>
    <n v="0"/>
    <n v="3"/>
    <m/>
    <m/>
    <m/>
    <m/>
    <s v="Estoque Conforme"/>
    <s v="SEM SOLICITACAO / FABBISOGNO'S"/>
    <m/>
  </r>
  <r>
    <n v="1209"/>
    <x v="1"/>
    <m/>
    <s v="ALM00262"/>
    <s v=""/>
    <x v="2"/>
    <m/>
    <m/>
    <x v="261"/>
    <m/>
    <m/>
    <m/>
    <m/>
    <m/>
    <s v="C1102"/>
    <s v="C2-4-6"/>
    <n v="2"/>
    <n v="2"/>
    <n v="5"/>
    <n v="482"/>
    <n v="964"/>
    <n v="964"/>
    <n v="2"/>
    <m/>
    <m/>
    <m/>
    <m/>
    <s v="Estoque Conforme"/>
    <s v="SEM SOLICITACAO / FABBISOGNO'S"/>
    <m/>
  </r>
  <r>
    <n v="984"/>
    <x v="1"/>
    <m/>
    <s v="ALM00263"/>
    <s v=""/>
    <x v="0"/>
    <m/>
    <m/>
    <x v="262"/>
    <m/>
    <m/>
    <m/>
    <m/>
    <m/>
    <m/>
    <s v="C2-5-1"/>
    <n v="4"/>
    <n v="1"/>
    <n v="3"/>
    <n v="0"/>
    <n v="0"/>
    <n v="0"/>
    <n v="1"/>
    <m/>
    <m/>
    <m/>
    <m/>
    <s v="Estoque Conforme"/>
    <s v="SEM SOLICITACAO / FABBISOGNO'S"/>
    <m/>
  </r>
  <r>
    <n v="1337"/>
    <x v="1"/>
    <m/>
    <s v="ALM00264"/>
    <s v=""/>
    <x v="0"/>
    <m/>
    <m/>
    <x v="263"/>
    <m/>
    <m/>
    <m/>
    <m/>
    <m/>
    <s v="D2404"/>
    <s v="C2-5-2"/>
    <n v="10"/>
    <n v="1"/>
    <n v="4"/>
    <n v="0"/>
    <n v="0"/>
    <n v="0"/>
    <n v="3"/>
    <m/>
    <m/>
    <m/>
    <m/>
    <s v="Estoque Conforme"/>
    <s v="SEM SOLICITACAO / FABBISOGNO'S"/>
    <m/>
  </r>
  <r>
    <n v="985"/>
    <x v="1"/>
    <m/>
    <s v="ALM00265"/>
    <s v=""/>
    <x v="0"/>
    <m/>
    <m/>
    <x v="264"/>
    <m/>
    <m/>
    <m/>
    <m/>
    <m/>
    <m/>
    <s v="C2-5-3"/>
    <n v="5"/>
    <n v="1"/>
    <n v="3"/>
    <n v="0"/>
    <n v="0"/>
    <n v="0"/>
    <n v="3"/>
    <m/>
    <m/>
    <m/>
    <m/>
    <s v="Estoque Conforme"/>
    <s v="SEM SOLICITACAO / FABBISOGNO'S"/>
    <m/>
  </r>
  <r>
    <n v="986"/>
    <x v="1"/>
    <m/>
    <s v="ALM00266"/>
    <s v=""/>
    <x v="0"/>
    <m/>
    <m/>
    <x v="265"/>
    <m/>
    <m/>
    <m/>
    <m/>
    <m/>
    <m/>
    <s v="C2-5-4"/>
    <n v="1"/>
    <n v="2"/>
    <n v="3"/>
    <n v="0"/>
    <n v="0"/>
    <n v="0"/>
    <n v="3"/>
    <m/>
    <m/>
    <m/>
    <m/>
    <s v="Estoque em Nivel Minimo"/>
    <s v="COM SOLICITACAO / EM PROCESSO DE COMPRAS"/>
    <s v="3364/19"/>
  </r>
  <r>
    <n v="991"/>
    <x v="1"/>
    <m/>
    <s v="ALM00267"/>
    <s v=""/>
    <x v="0"/>
    <m/>
    <m/>
    <x v="266"/>
    <m/>
    <s v="FESTO"/>
    <m/>
    <m/>
    <m/>
    <m/>
    <s v="C2-6-1"/>
    <n v="1"/>
    <n v="2"/>
    <n v="4"/>
    <n v="0"/>
    <n v="0"/>
    <n v="0"/>
    <n v="4"/>
    <m/>
    <m/>
    <m/>
    <m/>
    <s v="Estoque em Nivel Minimo"/>
    <s v="COM SOLICITACAO / EM PROCESSO DE COMPRAS"/>
    <s v="3364/19"/>
  </r>
  <r>
    <n v="1336"/>
    <x v="1"/>
    <m/>
    <s v="ALM00268"/>
    <s v=""/>
    <x v="0"/>
    <m/>
    <m/>
    <x v="267"/>
    <m/>
    <s v="MURR"/>
    <m/>
    <m/>
    <m/>
    <m/>
    <s v="C2-6-2"/>
    <n v="2"/>
    <n v="1"/>
    <n v="3"/>
    <n v="0"/>
    <n v="0"/>
    <n v="0"/>
    <n v="2"/>
    <m/>
    <m/>
    <m/>
    <m/>
    <s v="Estoque Conforme"/>
    <s v="SEM SOLICITACAO / FABBISOGNO'S"/>
    <m/>
  </r>
  <r>
    <n v="989"/>
    <x v="1"/>
    <m/>
    <s v="ALM00269"/>
    <s v=""/>
    <x v="0"/>
    <m/>
    <m/>
    <x v="268"/>
    <m/>
    <s v="SICK"/>
    <m/>
    <m/>
    <m/>
    <m/>
    <s v="C2-6-2"/>
    <n v="0"/>
    <n v="1"/>
    <n v="3"/>
    <n v="0"/>
    <n v="0"/>
    <n v="0"/>
    <n v="1"/>
    <m/>
    <m/>
    <m/>
    <m/>
    <s v="Estoque Não Conforme"/>
    <s v="COM SOLICITACAO / EM PROCESSO DE COMPRAS"/>
    <s v="3364/19"/>
  </r>
  <r>
    <n v="987"/>
    <x v="1"/>
    <m/>
    <s v="ALM00270"/>
    <s v=""/>
    <x v="0"/>
    <m/>
    <m/>
    <x v="269"/>
    <m/>
    <m/>
    <m/>
    <m/>
    <m/>
    <m/>
    <s v="C2-6-3"/>
    <n v="3"/>
    <n v="1"/>
    <n v="3"/>
    <n v="0"/>
    <n v="0"/>
    <n v="0"/>
    <n v="2"/>
    <m/>
    <m/>
    <m/>
    <m/>
    <s v="Estoque Conforme"/>
    <s v="SEM SOLICITACAO / FABBISOGNO'S"/>
    <m/>
  </r>
  <r>
    <n v="596"/>
    <x v="1"/>
    <m/>
    <s v="ALM00271"/>
    <s v=""/>
    <x v="2"/>
    <s v="755799164202"/>
    <s v="164202"/>
    <x v="270"/>
    <m/>
    <m/>
    <m/>
    <m/>
    <m/>
    <s v="C1206"/>
    <s v="C3-1-1"/>
    <n v="0"/>
    <n v="1"/>
    <n v="4"/>
    <n v="0"/>
    <n v="0"/>
    <n v="0"/>
    <n v="2"/>
    <m/>
    <m/>
    <m/>
    <m/>
    <s v="Estoque Não Conforme"/>
    <s v="COM SOLICITACAO / EM PROCESSO DE COMPRAS"/>
    <s v="3366/19"/>
  </r>
  <r>
    <n v="1257"/>
    <x v="1"/>
    <m/>
    <s v="ALM00272"/>
    <s v=""/>
    <x v="2"/>
    <s v="755799173041"/>
    <s v="173041"/>
    <x v="271"/>
    <m/>
    <m/>
    <m/>
    <m/>
    <m/>
    <s v="F1303"/>
    <s v="C3-1-1"/>
    <n v="0"/>
    <n v="1"/>
    <n v="3"/>
    <n v="0"/>
    <n v="0"/>
    <n v="0"/>
    <n v="2"/>
    <m/>
    <m/>
    <m/>
    <m/>
    <s v="Estoque Não Conforme"/>
    <s v="SEM SOLICITACAO / FABBISOGNO'S"/>
    <m/>
  </r>
  <r>
    <n v="976"/>
    <x v="1"/>
    <m/>
    <s v="ALM00273"/>
    <s v="HAMBURGUEIRA"/>
    <x v="2"/>
    <m/>
    <m/>
    <x v="272"/>
    <m/>
    <m/>
    <m/>
    <m/>
    <m/>
    <s v="C1101"/>
    <s v="C3-2-1"/>
    <n v="1"/>
    <n v="1"/>
    <n v="2"/>
    <n v="0"/>
    <n v="0"/>
    <n v="0"/>
    <n v="1"/>
    <m/>
    <m/>
    <m/>
    <m/>
    <s v="Estoque Conforme"/>
    <s v="SEM SOLICITACAO / FABBISOGNO'S"/>
    <m/>
  </r>
  <r>
    <n v="824"/>
    <x v="1"/>
    <s v="A"/>
    <s v="ALM00274"/>
    <s v="ROBO DE COLA - M17"/>
    <x v="2"/>
    <m/>
    <m/>
    <x v="273"/>
    <m/>
    <m/>
    <m/>
    <m/>
    <m/>
    <s v="C1101"/>
    <s v="C3-2-1"/>
    <n v="0"/>
    <n v="1"/>
    <n v="3"/>
    <n v="1050"/>
    <n v="0"/>
    <n v="1050"/>
    <n v="1"/>
    <m/>
    <m/>
    <m/>
    <m/>
    <s v="Estoque Não Conforme"/>
    <s v="SEM SOLICITACAO / FABBISOGNO'S"/>
    <m/>
  </r>
  <r>
    <n v="582"/>
    <x v="1"/>
    <m/>
    <s v="ALM00275"/>
    <s v=""/>
    <x v="2"/>
    <s v="755801169952"/>
    <s v="169952"/>
    <x v="274"/>
    <m/>
    <m/>
    <m/>
    <m/>
    <m/>
    <s v="D1303"/>
    <s v="C3-3-1"/>
    <n v="1"/>
    <n v="1"/>
    <n v="3"/>
    <n v="0"/>
    <n v="0"/>
    <n v="0"/>
    <n v="1"/>
    <m/>
    <m/>
    <m/>
    <m/>
    <s v="Estoque Conforme"/>
    <s v="SEM SOLICITACAO / FABBISOGNO'S"/>
    <m/>
  </r>
  <r>
    <n v="585"/>
    <x v="1"/>
    <m/>
    <s v="ALM00276"/>
    <s v="F.FENDER - M06"/>
    <x v="2"/>
    <m/>
    <m/>
    <x v="275"/>
    <m/>
    <m/>
    <m/>
    <m/>
    <m/>
    <s v="C1206"/>
    <s v="C3-3-2"/>
    <n v="1"/>
    <n v="1"/>
    <n v="3"/>
    <n v="0"/>
    <n v="0"/>
    <n v="0"/>
    <n v="2"/>
    <m/>
    <m/>
    <m/>
    <m/>
    <s v="Estoque Conforme"/>
    <s v="SEM SOLICITACAO / FABBISOGNO'S"/>
    <m/>
  </r>
  <r>
    <n v="589"/>
    <x v="1"/>
    <m/>
    <s v="ALM00277"/>
    <s v=""/>
    <x v="2"/>
    <s v="755943800149"/>
    <s v="800149"/>
    <x v="276"/>
    <m/>
    <m/>
    <m/>
    <s v="PNEUMATICO"/>
    <m/>
    <s v="C1205"/>
    <s v="C3-3-3"/>
    <n v="2"/>
    <n v="2"/>
    <n v="4"/>
    <n v="426"/>
    <n v="852"/>
    <n v="852"/>
    <n v="2"/>
    <m/>
    <m/>
    <m/>
    <m/>
    <s v="Estoque Conforme"/>
    <s v="SEM SOLICITACAO / FABBISOGNO'S"/>
    <m/>
  </r>
  <r>
    <n v="981"/>
    <x v="1"/>
    <m/>
    <s v="ALM00278"/>
    <s v=""/>
    <x v="1"/>
    <s v="755801801240"/>
    <s v="801240"/>
    <x v="277"/>
    <m/>
    <m/>
    <m/>
    <m/>
    <m/>
    <s v="D2304"/>
    <s v="C3-3-4"/>
    <n v="0"/>
    <n v="1"/>
    <n v="5"/>
    <n v="0"/>
    <n v="0"/>
    <n v="0"/>
    <n v="2"/>
    <m/>
    <m/>
    <m/>
    <m/>
    <s v="Estoque Não Conforme"/>
    <s v="COM SOLICITACAO / EM PROCESSO DE COMPRAS"/>
    <s v="3337/19"/>
  </r>
  <r>
    <n v="587"/>
    <x v="1"/>
    <s v="A"/>
    <s v="ALM00279"/>
    <s v="F.FENDER - M06"/>
    <x v="2"/>
    <s v="755943178510"/>
    <s v="178510"/>
    <x v="278"/>
    <m/>
    <m/>
    <m/>
    <m/>
    <m/>
    <s v="C1205"/>
    <s v="C3-3-5"/>
    <n v="3"/>
    <n v="2"/>
    <n v="4"/>
    <n v="0"/>
    <n v="0"/>
    <n v="0"/>
    <n v="3"/>
    <m/>
    <m/>
    <m/>
    <m/>
    <s v="Estoque Conforme"/>
    <s v="SEM SOLICITACAO / FABBISOGNO'S"/>
    <m/>
  </r>
  <r>
    <n v="539"/>
    <x v="1"/>
    <m/>
    <s v="ALM00280"/>
    <s v=""/>
    <x v="2"/>
    <m/>
    <m/>
    <x v="279"/>
    <m/>
    <m/>
    <m/>
    <m/>
    <m/>
    <s v="C1303"/>
    <s v="C3-4-1"/>
    <n v="30"/>
    <n v="15"/>
    <n v="50"/>
    <n v="0"/>
    <n v="0"/>
    <n v="0"/>
    <n v="26"/>
    <m/>
    <m/>
    <m/>
    <m/>
    <s v="Estoque Conforme"/>
    <s v="SEM SOLICITACAO / FABBISOGNO'S"/>
    <m/>
  </r>
  <r>
    <n v="538"/>
    <x v="1"/>
    <m/>
    <s v="ALM00281"/>
    <s v=""/>
    <x v="2"/>
    <m/>
    <m/>
    <x v="280"/>
    <m/>
    <m/>
    <m/>
    <s v="PNEUMATICO"/>
    <m/>
    <s v="C1303"/>
    <s v="C3-4-2"/>
    <n v="15"/>
    <n v="15"/>
    <n v="50"/>
    <n v="0"/>
    <n v="0"/>
    <n v="0"/>
    <n v="16"/>
    <m/>
    <m/>
    <m/>
    <m/>
    <s v="Estoque Conforme"/>
    <s v="SEM SOLICITACAO / FABBISOGNO'S"/>
    <m/>
  </r>
  <r>
    <n v="982"/>
    <x v="1"/>
    <m/>
    <s v="ALM00282"/>
    <s v=""/>
    <x v="2"/>
    <m/>
    <m/>
    <x v="281"/>
    <m/>
    <m/>
    <m/>
    <s v="PNEUMATICO"/>
    <m/>
    <s v="C1303"/>
    <s v="C3-4-3"/>
    <n v="5"/>
    <n v="10"/>
    <n v="50"/>
    <n v="0"/>
    <n v="0"/>
    <n v="0"/>
    <n v="15"/>
    <m/>
    <m/>
    <m/>
    <m/>
    <s v="Estoque em Nivel Minimo"/>
    <s v="COM SOLICITACAO / EM PROCESSO DE COMPRAS"/>
    <s v="3302/19"/>
  </r>
  <r>
    <n v="983"/>
    <x v="1"/>
    <m/>
    <s v="ALM00283"/>
    <s v=""/>
    <x v="2"/>
    <m/>
    <m/>
    <x v="282"/>
    <m/>
    <m/>
    <m/>
    <s v="PNEUMATICO"/>
    <m/>
    <s v="C1303"/>
    <s v="C3-4-3"/>
    <n v="0"/>
    <n v="10"/>
    <n v="50"/>
    <n v="0"/>
    <n v="0"/>
    <n v="0"/>
    <n v="15"/>
    <m/>
    <m/>
    <m/>
    <m/>
    <s v="Estoque Não Conforme"/>
    <s v="COM SOLICITACAO / EM PROCESSO DE COMPRAS"/>
    <s v="3302/19"/>
  </r>
  <r>
    <n v="164"/>
    <x v="1"/>
    <m/>
    <s v="ALM00284"/>
    <s v=""/>
    <x v="2"/>
    <s v="755943172675"/>
    <s v="172675"/>
    <x v="283"/>
    <m/>
    <m/>
    <m/>
    <m/>
    <m/>
    <s v="C1303"/>
    <s v="C3-4-4"/>
    <n v="20"/>
    <n v="5"/>
    <n v="50"/>
    <n v="10"/>
    <n v="200"/>
    <n v="50"/>
    <n v="32"/>
    <m/>
    <m/>
    <m/>
    <m/>
    <s v="Estoque Conforme"/>
    <s v="SEM SOLICITACAO / FABBISOGNO'S"/>
    <m/>
  </r>
  <r>
    <n v="169"/>
    <x v="1"/>
    <m/>
    <s v="ALM00285"/>
    <s v=""/>
    <x v="2"/>
    <s v="755801177632"/>
    <s v="177632"/>
    <x v="284"/>
    <m/>
    <m/>
    <m/>
    <s v="PNEUMATICO"/>
    <m/>
    <s v="C1303"/>
    <s v="C3-4-5"/>
    <n v="0"/>
    <n v="10"/>
    <n v="50"/>
    <n v="0"/>
    <n v="0"/>
    <n v="0"/>
    <n v="12"/>
    <m/>
    <m/>
    <m/>
    <m/>
    <s v="Estoque Não Conforme"/>
    <s v="COM SOLICITACAO / EM PROCESSO DE COMPRAS"/>
    <s v="3302/19"/>
  </r>
  <r>
    <n v="534"/>
    <x v="1"/>
    <m/>
    <s v="ALM00286"/>
    <s v=""/>
    <x v="2"/>
    <m/>
    <m/>
    <x v="285"/>
    <m/>
    <m/>
    <m/>
    <s v="PNEUMATICO"/>
    <m/>
    <s v="C1303"/>
    <s v="C3-4-6"/>
    <n v="30"/>
    <n v="15"/>
    <n v="50"/>
    <n v="0"/>
    <n v="0"/>
    <n v="0"/>
    <n v="36"/>
    <m/>
    <m/>
    <m/>
    <m/>
    <s v="Estoque Conforme"/>
    <s v="SEM SOLICITACAO / FABBISOGNO'S"/>
    <m/>
  </r>
  <r>
    <n v="556"/>
    <x v="1"/>
    <m/>
    <s v="ALM00287"/>
    <s v=""/>
    <x v="2"/>
    <s v="755943171952"/>
    <s v="171952"/>
    <x v="286"/>
    <m/>
    <m/>
    <m/>
    <s v="PNEUMATICO"/>
    <m/>
    <s v="C1303"/>
    <s v="C3-4-6.1"/>
    <n v="18"/>
    <n v="8"/>
    <n v="50"/>
    <n v="0"/>
    <n v="0"/>
    <n v="0"/>
    <n v="19"/>
    <m/>
    <m/>
    <m/>
    <m/>
    <s v="Estoque Conforme"/>
    <s v="SEM SOLICITACAO / FABBISOGNO'S"/>
    <m/>
  </r>
  <r>
    <n v="166"/>
    <x v="1"/>
    <m/>
    <s v="ALM00288"/>
    <s v=""/>
    <x v="2"/>
    <s v="755943172679"/>
    <s v="172679"/>
    <x v="287"/>
    <m/>
    <m/>
    <m/>
    <s v="PNEUMATICO"/>
    <m/>
    <s v="C1303"/>
    <s v="C3-5-1"/>
    <n v="15"/>
    <n v="5"/>
    <n v="50"/>
    <n v="10"/>
    <n v="150"/>
    <n v="50"/>
    <n v="12"/>
    <m/>
    <m/>
    <m/>
    <m/>
    <s v="Estoque Conforme"/>
    <s v="SEM SOLICITACAO / FABBISOGNO'S"/>
    <m/>
  </r>
  <r>
    <n v="552"/>
    <x v="1"/>
    <m/>
    <s v="ALM00289"/>
    <s v=""/>
    <x v="2"/>
    <s v="755801171962"/>
    <s v="171962"/>
    <x v="288"/>
    <m/>
    <m/>
    <m/>
    <s v="PNEUMATICO"/>
    <m/>
    <s v="C1303"/>
    <s v="C3-5-1.1"/>
    <n v="15"/>
    <n v="15"/>
    <n v="50"/>
    <n v="0"/>
    <n v="0"/>
    <n v="0"/>
    <n v="20"/>
    <m/>
    <m/>
    <m/>
    <m/>
    <s v="Estoque Conforme"/>
    <s v="SEM SOLICITACAO / FABBISOGNO'S"/>
    <m/>
  </r>
  <r>
    <n v="171"/>
    <x v="1"/>
    <m/>
    <s v="ALM00290"/>
    <s v=""/>
    <x v="2"/>
    <m/>
    <m/>
    <x v="289"/>
    <m/>
    <m/>
    <m/>
    <s v="PNEUMATICO"/>
    <m/>
    <s v="C1303"/>
    <s v="C3-5-2"/>
    <n v="36"/>
    <n v="5"/>
    <n v="50"/>
    <n v="0"/>
    <n v="0"/>
    <n v="0"/>
    <n v="27"/>
    <m/>
    <m/>
    <m/>
    <m/>
    <s v="Estoque Conforme"/>
    <s v="SEM SOLICITACAO / FABBISOGNO'S"/>
    <m/>
  </r>
  <r>
    <n v="165"/>
    <x v="1"/>
    <m/>
    <s v="ALM00291"/>
    <s v=""/>
    <x v="2"/>
    <s v="755943172718"/>
    <s v="172718"/>
    <x v="290"/>
    <m/>
    <m/>
    <m/>
    <s v="PNEUMATICO"/>
    <m/>
    <s v="C1303"/>
    <s v="C3-5-2.1"/>
    <n v="80"/>
    <n v="5"/>
    <n v="50"/>
    <n v="0"/>
    <n v="0"/>
    <n v="0"/>
    <n v="16"/>
    <m/>
    <m/>
    <m/>
    <m/>
    <s v="Estoque Conforme"/>
    <s v="SEM SOLICITACAO / FABBISOGNO'S"/>
    <m/>
  </r>
  <r>
    <n v="168"/>
    <x v="1"/>
    <m/>
    <s v="ALM00292"/>
    <s v=""/>
    <x v="2"/>
    <s v="755801180331"/>
    <s v="180331"/>
    <x v="291"/>
    <m/>
    <m/>
    <m/>
    <s v="PNEUMATICO"/>
    <m/>
    <s v="C1303"/>
    <s v="C3-5-3"/>
    <n v="17"/>
    <n v="5"/>
    <n v="50"/>
    <n v="0"/>
    <n v="0"/>
    <n v="0"/>
    <n v="12"/>
    <m/>
    <m/>
    <m/>
    <m/>
    <s v="Estoque Conforme"/>
    <s v="SEM SOLICITACAO / FABBISOGNO'S"/>
    <m/>
  </r>
  <r>
    <n v="159"/>
    <x v="1"/>
    <m/>
    <s v="ALM00293"/>
    <s v=""/>
    <x v="2"/>
    <s v="755943172680"/>
    <s v="172680"/>
    <x v="292"/>
    <m/>
    <m/>
    <m/>
    <s v="PNEUMATICO"/>
    <m/>
    <s v="C1303"/>
    <s v="C3-5-3.1"/>
    <n v="40"/>
    <n v="5"/>
    <n v="50"/>
    <n v="0"/>
    <n v="0"/>
    <n v="0"/>
    <n v="22"/>
    <m/>
    <m/>
    <m/>
    <m/>
    <s v="Estoque Conforme"/>
    <s v="SEM SOLICITACAO / FABBISOGNO'S"/>
    <m/>
  </r>
  <r>
    <n v="163"/>
    <x v="1"/>
    <m/>
    <s v="ALM00294"/>
    <s v=""/>
    <x v="2"/>
    <s v="755943172676"/>
    <s v="172676"/>
    <x v="293"/>
    <m/>
    <m/>
    <m/>
    <s v="PNEUMATICO"/>
    <m/>
    <s v="C1303"/>
    <s v="C3-5-4"/>
    <n v="0"/>
    <n v="5"/>
    <n v="50"/>
    <n v="0"/>
    <n v="0"/>
    <n v="0"/>
    <n v="40"/>
    <m/>
    <m/>
    <m/>
    <m/>
    <s v="Estoque Não Conforme"/>
    <s v="COM SOLICITACAO / EM PROCESSO DE COMPRAS"/>
    <s v="3302/19"/>
  </r>
  <r>
    <n v="553"/>
    <x v="1"/>
    <m/>
    <s v="ALM00295"/>
    <s v=""/>
    <x v="2"/>
    <s v="755801177256"/>
    <s v="177256"/>
    <x v="294"/>
    <m/>
    <m/>
    <m/>
    <s v="PNEUMATICO"/>
    <m/>
    <s v="C1303"/>
    <s v="C3-5-4.1"/>
    <n v="40"/>
    <n v="15"/>
    <n v="50"/>
    <n v="0"/>
    <n v="0"/>
    <n v="0"/>
    <n v="20"/>
    <m/>
    <m/>
    <m/>
    <m/>
    <s v="Estoque Conforme"/>
    <s v="SEM SOLICITACAO / FABBISOGNO'S"/>
    <m/>
  </r>
  <r>
    <n v="170"/>
    <x v="1"/>
    <m/>
    <s v="ALM00296"/>
    <s v=""/>
    <x v="2"/>
    <m/>
    <m/>
    <x v="295"/>
    <m/>
    <m/>
    <m/>
    <s v="PNEUMATICO"/>
    <m/>
    <s v="C1303"/>
    <s v="C3-5-5"/>
    <n v="4"/>
    <n v="5"/>
    <n v="50"/>
    <n v="0"/>
    <n v="0"/>
    <n v="0"/>
    <n v="20"/>
    <m/>
    <m/>
    <m/>
    <m/>
    <s v="Estoque em Nivel Minimo"/>
    <s v="COM SOLICITACAO / EM PROCESSO DE COMPRAS"/>
    <s v="3302/19"/>
  </r>
  <r>
    <n v="161"/>
    <x v="1"/>
    <m/>
    <s v="ALM00297"/>
    <s v=""/>
    <x v="2"/>
    <s v="755943172678"/>
    <s v="172678"/>
    <x v="296"/>
    <m/>
    <m/>
    <m/>
    <s v="PNEUMATICO"/>
    <m/>
    <s v="C1303"/>
    <s v="C3-5-5.1"/>
    <n v="8"/>
    <n v="5"/>
    <n v="50"/>
    <n v="0"/>
    <n v="0"/>
    <n v="0"/>
    <n v="19"/>
    <m/>
    <m/>
    <m/>
    <m/>
    <s v="Estoque Conforme"/>
    <s v="SEM SOLICITACAO / FABBISOGNO'S"/>
    <m/>
  </r>
  <r>
    <n v="162"/>
    <x v="1"/>
    <m/>
    <s v="ALM00298"/>
    <s v=""/>
    <x v="2"/>
    <s v="755943172677"/>
    <s v="172677"/>
    <x v="297"/>
    <m/>
    <m/>
    <m/>
    <s v="PNEUMATICO"/>
    <m/>
    <s v="C1303"/>
    <s v="C3-5-5.2"/>
    <n v="20"/>
    <n v="5"/>
    <n v="50"/>
    <n v="0"/>
    <n v="0"/>
    <n v="0"/>
    <n v="34"/>
    <m/>
    <m/>
    <m/>
    <m/>
    <s v="Estoque Conforme"/>
    <s v="SEM SOLICITACAO / FABBISOGNO'S"/>
    <m/>
  </r>
  <r>
    <n v="167"/>
    <x v="1"/>
    <m/>
    <s v="ALM00299"/>
    <s v=""/>
    <x v="2"/>
    <s v="755943172674"/>
    <s v="172674"/>
    <x v="298"/>
    <m/>
    <m/>
    <m/>
    <s v="PNEUMATICO"/>
    <m/>
    <s v="C1303"/>
    <s v="C3-5-6"/>
    <n v="0"/>
    <n v="5"/>
    <n v="50"/>
    <n v="0"/>
    <n v="0"/>
    <n v="0"/>
    <n v="14"/>
    <m/>
    <m/>
    <m/>
    <m/>
    <s v="Estoque Não Conforme"/>
    <s v="COM SOLICITACAO / EM PROCESSO DE COMPRAS"/>
    <s v="3302/19"/>
  </r>
  <r>
    <n v="533"/>
    <x v="1"/>
    <m/>
    <s v="ALM00300"/>
    <s v=""/>
    <x v="2"/>
    <m/>
    <m/>
    <x v="299"/>
    <m/>
    <m/>
    <m/>
    <s v="PNEUMATICO"/>
    <m/>
    <s v="C1303"/>
    <s v="C3-5-6.1"/>
    <n v="4"/>
    <n v="15"/>
    <n v="50"/>
    <n v="0"/>
    <n v="0"/>
    <n v="0"/>
    <n v="18"/>
    <m/>
    <m/>
    <m/>
    <m/>
    <s v="Estoque em Nivel Minimo"/>
    <s v="COM SOLICITACAO / EM PROCESSO DE COMPRAS"/>
    <s v="3302/19"/>
  </r>
  <r>
    <n v="640"/>
    <x v="1"/>
    <m/>
    <s v="ALM00301"/>
    <s v=""/>
    <x v="0"/>
    <m/>
    <m/>
    <x v="300"/>
    <m/>
    <m/>
    <m/>
    <m/>
    <m/>
    <m/>
    <s v="C3-6-1"/>
    <n v="0"/>
    <n v="1"/>
    <n v="200"/>
    <n v="0"/>
    <n v="0"/>
    <n v="0"/>
    <n v="1"/>
    <m/>
    <m/>
    <m/>
    <m/>
    <s v="Estoque Não Conforme"/>
    <s v="COM SOLICITACAO / EM PROCESSO DE COMPRAS"/>
    <s v="3364/19"/>
  </r>
  <r>
    <n v="639"/>
    <x v="1"/>
    <m/>
    <s v="ALM00302"/>
    <s v=""/>
    <x v="0"/>
    <m/>
    <m/>
    <x v="301"/>
    <m/>
    <s v="CONTROLE POR NIVEL"/>
    <m/>
    <m/>
    <m/>
    <m/>
    <s v="C3-6-2"/>
    <n v="0"/>
    <n v="1"/>
    <n v="200"/>
    <n v="0"/>
    <n v="0"/>
    <n v="0"/>
    <n v="2"/>
    <m/>
    <m/>
    <m/>
    <m/>
    <s v="Estoque Não Conforme"/>
    <s v="COM SOLICITACAO / EM PROCESSO DE COMPRAS"/>
    <s v="3364/19"/>
  </r>
  <r>
    <n v="638"/>
    <x v="1"/>
    <m/>
    <s v="ALM00303"/>
    <s v=""/>
    <x v="0"/>
    <m/>
    <m/>
    <x v="302"/>
    <m/>
    <s v="CONTROLE POR NIVEL"/>
    <m/>
    <m/>
    <m/>
    <m/>
    <s v="C3-6-3"/>
    <n v="0"/>
    <n v="1"/>
    <n v="200"/>
    <n v="0"/>
    <n v="0"/>
    <n v="0"/>
    <n v="2"/>
    <m/>
    <m/>
    <m/>
    <m/>
    <s v="Estoque Não Conforme"/>
    <s v="COM SOLICITACAO / EM PROCESSO DE COMPRAS"/>
    <s v="3364/19"/>
  </r>
  <r>
    <n v="637"/>
    <x v="1"/>
    <m/>
    <s v="ALM00304"/>
    <s v=""/>
    <x v="0"/>
    <m/>
    <m/>
    <x v="303"/>
    <m/>
    <s v="CONTROLE POR NIVEL"/>
    <m/>
    <m/>
    <m/>
    <m/>
    <s v="C3-6-3"/>
    <n v="0"/>
    <n v="1"/>
    <n v="200"/>
    <n v="0"/>
    <n v="0"/>
    <n v="0"/>
    <n v="1"/>
    <m/>
    <m/>
    <m/>
    <m/>
    <s v="Estoque Não Conforme"/>
    <s v="COM SOLICITACAO / EM PROCESSO DE COMPRAS"/>
    <s v="3364/19"/>
  </r>
  <r>
    <n v="173"/>
    <x v="1"/>
    <s v="A"/>
    <s v="ALM00305"/>
    <s v="FORNO VERTICAL - M18"/>
    <x v="0"/>
    <m/>
    <m/>
    <x v="304"/>
    <m/>
    <s v="SIEMENS"/>
    <m/>
    <s v="ELETRICO"/>
    <m/>
    <s v="B1201"/>
    <s v="D1-2-1"/>
    <n v="3"/>
    <n v="1"/>
    <n v="3"/>
    <n v="0"/>
    <n v="0"/>
    <n v="0"/>
    <n v="3"/>
    <n v="6027.64"/>
    <m/>
    <m/>
    <m/>
    <s v="Estoque Conforme"/>
    <s v="SEM SOLICITACAO / FABBISOGNO'S"/>
    <m/>
  </r>
  <r>
    <n v="619"/>
    <x v="1"/>
    <s v="A"/>
    <s v="ALM00306"/>
    <s v="TRUNCK LOAD - M27"/>
    <x v="0"/>
    <m/>
    <m/>
    <x v="305"/>
    <m/>
    <m/>
    <m/>
    <s v="ELETRICO"/>
    <m/>
    <s v="B1104"/>
    <s v="D1-2-2"/>
    <n v="4"/>
    <n v="1"/>
    <n v="3"/>
    <n v="1752"/>
    <n v="7008"/>
    <n v="1752"/>
    <n v="4"/>
    <m/>
    <m/>
    <m/>
    <m/>
    <s v="Estoque Conforme"/>
    <s v="SEM SOLICITACAO / FABBISOGNO'S"/>
    <m/>
  </r>
  <r>
    <n v="593"/>
    <x v="1"/>
    <s v="A"/>
    <s v="ALM00307"/>
    <s v="CARPETE - M35"/>
    <x v="0"/>
    <s v="756964172178"/>
    <s v="172178"/>
    <x v="306"/>
    <m/>
    <m/>
    <m/>
    <s v="ELETRICO"/>
    <m/>
    <s v="B1104"/>
    <s v="D1-2-3"/>
    <n v="1"/>
    <n v="1"/>
    <n v="2"/>
    <n v="0"/>
    <n v="0"/>
    <n v="0"/>
    <n v="3"/>
    <m/>
    <m/>
    <m/>
    <m/>
    <s v="Estoque Conforme"/>
    <s v="SEM SOLICITACAO / FABBISOGNO'S"/>
    <m/>
  </r>
  <r>
    <n v="1135"/>
    <x v="1"/>
    <s v="A"/>
    <s v="ALM00308"/>
    <s v="CHINESA - M02"/>
    <x v="0"/>
    <m/>
    <m/>
    <x v="307"/>
    <m/>
    <m/>
    <m/>
    <m/>
    <m/>
    <s v="A1205"/>
    <s v="D1-3-1"/>
    <n v="1"/>
    <n v="1"/>
    <n v="3"/>
    <n v="0"/>
    <n v="0"/>
    <n v="0"/>
    <n v="1"/>
    <m/>
    <m/>
    <m/>
    <m/>
    <s v="Estoque Conforme"/>
    <s v="SEM SOLICITACAO / FABBISOGNO'S"/>
    <m/>
  </r>
  <r>
    <n v="182"/>
    <x v="1"/>
    <m/>
    <s v="ALM00309"/>
    <s v=""/>
    <x v="0"/>
    <m/>
    <m/>
    <x v="308"/>
    <m/>
    <s v="SIEMENS"/>
    <m/>
    <s v="ELETRICO"/>
    <m/>
    <s v="B1205"/>
    <s v="D1-3-2"/>
    <n v="7"/>
    <n v="2"/>
    <n v="3"/>
    <n v="0"/>
    <n v="0"/>
    <n v="0"/>
    <n v="2"/>
    <n v="106.21"/>
    <m/>
    <m/>
    <m/>
    <s v="Estoque Conforme"/>
    <s v="SEM SOLICITACAO / FABBISOGNO'S"/>
    <m/>
  </r>
  <r>
    <n v="140"/>
    <x v="1"/>
    <s v="A"/>
    <s v="ALM00310"/>
    <s v="F.FENDER - M06"/>
    <x v="0"/>
    <m/>
    <m/>
    <x v="309"/>
    <m/>
    <m/>
    <m/>
    <m/>
    <m/>
    <s v="B1205"/>
    <s v="D1-3-3"/>
    <n v="1"/>
    <n v="1"/>
    <n v="3"/>
    <n v="0"/>
    <n v="0"/>
    <n v="0"/>
    <n v="1"/>
    <n v="495.81"/>
    <m/>
    <m/>
    <m/>
    <s v="Estoque Conforme"/>
    <s v="SEM SOLICITACAO / FABBISOGNO'S"/>
    <m/>
  </r>
  <r>
    <n v="1172"/>
    <x v="1"/>
    <m/>
    <s v="ALM00311"/>
    <s v=""/>
    <x v="0"/>
    <m/>
    <m/>
    <x v="310"/>
    <m/>
    <m/>
    <m/>
    <m/>
    <m/>
    <s v="B1304"/>
    <s v="D1-3-4"/>
    <n v="4"/>
    <n v="1"/>
    <n v="4"/>
    <n v="0"/>
    <n v="0"/>
    <n v="0"/>
    <n v="4"/>
    <m/>
    <m/>
    <m/>
    <m/>
    <s v="Estoque Conforme"/>
    <s v="SEM SOLICITACAO / FABBISOGNO'S"/>
    <m/>
  </r>
  <r>
    <n v="1362"/>
    <x v="1"/>
    <m/>
    <s v="ALM00312"/>
    <m/>
    <x v="0"/>
    <m/>
    <m/>
    <x v="311"/>
    <m/>
    <m/>
    <m/>
    <s v="ELETRICO"/>
    <m/>
    <s v="B1105"/>
    <s v="D1-3-5"/>
    <n v="1"/>
    <m/>
    <n v="1"/>
    <n v="0"/>
    <n v="0"/>
    <n v="0"/>
    <n v="3"/>
    <n v="2"/>
    <m/>
    <m/>
    <m/>
    <s v="Estoque Conforme"/>
    <s v="SEM SOLICITACAO / FABBISOGNO'S"/>
    <m/>
  </r>
  <r>
    <n v="172"/>
    <x v="1"/>
    <s v="A"/>
    <s v="ALM00313"/>
    <s v="F.FENDER - M06"/>
    <x v="0"/>
    <m/>
    <m/>
    <x v="312"/>
    <m/>
    <s v="EMK"/>
    <m/>
    <s v="ELETRICO"/>
    <m/>
    <s v="B1101"/>
    <s v="D1-4-1"/>
    <n v="2"/>
    <n v="1"/>
    <n v="3"/>
    <n v="3000"/>
    <n v="6000"/>
    <n v="3000"/>
    <n v="1"/>
    <n v="2500"/>
    <m/>
    <m/>
    <m/>
    <s v="Estoque Conforme"/>
    <s v="SEM SOLICITACAO / FABBISOGNO'S"/>
    <m/>
  </r>
  <r>
    <n v="591"/>
    <x v="1"/>
    <s v="A"/>
    <s v="ALM00314"/>
    <s v="LAMINADORA H. - M04"/>
    <x v="0"/>
    <s v="702710172417"/>
    <s v="172417"/>
    <x v="313"/>
    <m/>
    <m/>
    <m/>
    <m/>
    <m/>
    <s v="A2104"/>
    <s v="D1-4-2"/>
    <n v="1"/>
    <n v="1"/>
    <n v="2"/>
    <n v="0"/>
    <n v="0"/>
    <n v="0"/>
    <n v="1"/>
    <m/>
    <m/>
    <m/>
    <m/>
    <s v="Estoque Conforme"/>
    <s v="SEM SOLICITACAO / FABBISOGNO'S"/>
    <m/>
  </r>
  <r>
    <n v="590"/>
    <x v="1"/>
    <m/>
    <s v="ALM00315"/>
    <s v=""/>
    <x v="0"/>
    <s v="702711800327"/>
    <s v="800327"/>
    <x v="314"/>
    <m/>
    <m/>
    <m/>
    <m/>
    <m/>
    <s v="A2305"/>
    <s v="D1-4-3"/>
    <n v="1"/>
    <n v="1"/>
    <n v="5"/>
    <n v="0"/>
    <n v="0"/>
    <n v="0"/>
    <n v="1"/>
    <m/>
    <m/>
    <m/>
    <m/>
    <s v="Estoque Conforme"/>
    <s v="SEM SOLICITACAO / FABBISOGNO'S"/>
    <m/>
  </r>
  <r>
    <n v="186"/>
    <x v="1"/>
    <s v="A"/>
    <s v="ALM00316"/>
    <s v="PREN.HIDR. 300 TON-M15/M16/M30"/>
    <x v="0"/>
    <m/>
    <m/>
    <x v="315"/>
    <m/>
    <m/>
    <m/>
    <m/>
    <m/>
    <s v="A2202"/>
    <s v="D1-5-1"/>
    <n v="1"/>
    <n v="1"/>
    <n v="2"/>
    <n v="0"/>
    <n v="0"/>
    <n v="0"/>
    <n v="1"/>
    <n v="15936.76"/>
    <m/>
    <m/>
    <m/>
    <s v="Estoque Conforme"/>
    <s v="SEM SOLICITACAO / FABBISOGNO'S"/>
    <m/>
  </r>
  <r>
    <n v="141"/>
    <x v="1"/>
    <s v="A"/>
    <s v="ALM00317"/>
    <s v="F.FENDER - M06"/>
    <x v="0"/>
    <m/>
    <m/>
    <x v="316"/>
    <m/>
    <m/>
    <m/>
    <m/>
    <m/>
    <s v="B1205"/>
    <s v="D1-5-2"/>
    <n v="1"/>
    <n v="1"/>
    <n v="3"/>
    <n v="1325"/>
    <n v="1325"/>
    <n v="1325"/>
    <n v="1"/>
    <n v="433.37"/>
    <m/>
    <m/>
    <m/>
    <s v="Estoque Conforme"/>
    <s v="SEM SOLICITACAO / FABBISOGNO'S"/>
    <m/>
  </r>
  <r>
    <n v="142"/>
    <x v="1"/>
    <m/>
    <s v="ALM00318"/>
    <s v="F.FENDER - M07"/>
    <x v="0"/>
    <m/>
    <m/>
    <x v="317"/>
    <m/>
    <s v="SIEMENS"/>
    <m/>
    <s v="ELETRICO"/>
    <m/>
    <s v="B1205"/>
    <s v="D1-5-3"/>
    <n v="1"/>
    <n v="1"/>
    <n v="3"/>
    <n v="1315"/>
    <n v="1315"/>
    <n v="1315"/>
    <n v="1"/>
    <n v="708.48"/>
    <m/>
    <m/>
    <m/>
    <s v="Estoque Conforme"/>
    <s v="SEM SOLICITACAO / FABBISOGNO'S"/>
    <m/>
  </r>
  <r>
    <n v="144"/>
    <x v="1"/>
    <s v="A"/>
    <s v="ALM00319"/>
    <s v="F.FENDER - M06"/>
    <x v="0"/>
    <m/>
    <m/>
    <x v="318"/>
    <m/>
    <m/>
    <m/>
    <m/>
    <m/>
    <s v="B1206"/>
    <s v="D1-5-4"/>
    <n v="1"/>
    <n v="1"/>
    <n v="3"/>
    <n v="7400"/>
    <n v="7400"/>
    <n v="7400"/>
    <n v="1"/>
    <n v="9484.14"/>
    <m/>
    <m/>
    <m/>
    <s v="Estoque Conforme"/>
    <s v="SEM SOLICITACAO / FABBISOGNO'S"/>
    <m/>
  </r>
  <r>
    <n v="1678"/>
    <x v="1"/>
    <m/>
    <s v="ALM00320"/>
    <s v="F.FENDER- M06"/>
    <x v="0"/>
    <m/>
    <m/>
    <x v="319"/>
    <m/>
    <m/>
    <m/>
    <m/>
    <m/>
    <s v="A1104"/>
    <s v="D1-5-5"/>
    <n v="0"/>
    <n v="2"/>
    <n v="10"/>
    <n v="355.89"/>
    <n v="0"/>
    <n v="711.78"/>
    <n v="6"/>
    <n v="6"/>
    <m/>
    <m/>
    <m/>
    <s v="Estoque Não Conforme"/>
    <s v="COM SOLICITACAO / EM PROCESSO DE COMPRAS"/>
    <s v="3363/19"/>
  </r>
  <r>
    <n v="1006"/>
    <x v="1"/>
    <m/>
    <s v="ALM00321"/>
    <s v=""/>
    <x v="0"/>
    <m/>
    <m/>
    <x v="320"/>
    <m/>
    <s v="SIEMENS"/>
    <m/>
    <m/>
    <m/>
    <m/>
    <s v="D1-6-1"/>
    <n v="0"/>
    <n v="30"/>
    <n v="100"/>
    <n v="0"/>
    <n v="0"/>
    <n v="0"/>
    <n v="100"/>
    <m/>
    <m/>
    <m/>
    <m/>
    <s v="Estoque Não Conforme"/>
    <s v="COM SOLICITACAO / EM PROCESSO DE COMPRAS"/>
    <s v="3364/19"/>
  </r>
  <r>
    <n v="1345"/>
    <x v="1"/>
    <m/>
    <s v="ALM00322"/>
    <s v=""/>
    <x v="0"/>
    <m/>
    <m/>
    <x v="321"/>
    <m/>
    <m/>
    <m/>
    <m/>
    <m/>
    <m/>
    <s v="D1-6-2"/>
    <n v="0"/>
    <n v="10"/>
    <n v="50"/>
    <n v="0"/>
    <n v="0"/>
    <n v="0"/>
    <n v="40"/>
    <m/>
    <m/>
    <m/>
    <m/>
    <s v="Estoque Não Conforme"/>
    <s v="COM SOLICITACAO / EM PROCESSO DE COMPRAS"/>
    <s v="3364/19"/>
  </r>
  <r>
    <n v="1346"/>
    <x v="1"/>
    <m/>
    <s v="ALM00323"/>
    <s v=""/>
    <x v="0"/>
    <m/>
    <m/>
    <x v="322"/>
    <m/>
    <m/>
    <m/>
    <m/>
    <m/>
    <m/>
    <s v="D1-6-3"/>
    <n v="0"/>
    <n v="20"/>
    <n v="100"/>
    <n v="0"/>
    <n v="0"/>
    <n v="0"/>
    <n v="100"/>
    <m/>
    <m/>
    <m/>
    <m/>
    <s v="Estoque Não Conforme"/>
    <s v="COM SOLICITACAO / EM PROCESSO DE COMPRAS"/>
    <s v="3364/19"/>
  </r>
  <r>
    <n v="1347"/>
    <x v="1"/>
    <m/>
    <s v="ALM00324"/>
    <s v=""/>
    <x v="0"/>
    <m/>
    <m/>
    <x v="323"/>
    <m/>
    <m/>
    <m/>
    <m/>
    <m/>
    <m/>
    <s v="D1-6-4"/>
    <n v="0"/>
    <n v="20"/>
    <n v="100"/>
    <n v="0"/>
    <n v="0"/>
    <n v="0"/>
    <n v="100"/>
    <m/>
    <m/>
    <m/>
    <m/>
    <s v="Estoque Não Conforme"/>
    <s v="COM SOLICITACAO / EM PROCESSO DE COMPRAS"/>
    <s v="3364/19"/>
  </r>
  <r>
    <n v="992"/>
    <x v="1"/>
    <m/>
    <s v="ALM00325"/>
    <s v=""/>
    <x v="1"/>
    <m/>
    <m/>
    <x v="324"/>
    <m/>
    <m/>
    <m/>
    <m/>
    <m/>
    <s v="B1105"/>
    <s v="D2-1-1"/>
    <n v="0"/>
    <n v="1"/>
    <n v="2"/>
    <n v="0"/>
    <n v="0"/>
    <n v="0"/>
    <n v="1"/>
    <m/>
    <m/>
    <m/>
    <m/>
    <s v="Estoque Não Conforme"/>
    <s v="COM SOLICITACAO / EM PROCESSO DE COMPRAS"/>
    <s v="3364/19"/>
  </r>
  <r>
    <n v="882"/>
    <x v="1"/>
    <m/>
    <s v="ALM00326"/>
    <s v=""/>
    <x v="0"/>
    <m/>
    <m/>
    <x v="325"/>
    <m/>
    <s v="SIEMENS"/>
    <m/>
    <s v="ELETRICO"/>
    <m/>
    <s v="B1103"/>
    <s v="D2-2-1"/>
    <n v="1"/>
    <n v="1"/>
    <n v="3"/>
    <n v="0"/>
    <n v="0"/>
    <n v="0"/>
    <n v="1"/>
    <m/>
    <m/>
    <m/>
    <m/>
    <s v="Estoque Conforme"/>
    <s v="SEM SOLICITACAO / FABBISOGNO'S"/>
    <m/>
  </r>
  <r>
    <n v="1321"/>
    <x v="1"/>
    <m/>
    <s v="ALM00327"/>
    <s v=""/>
    <x v="0"/>
    <m/>
    <m/>
    <x v="326"/>
    <m/>
    <m/>
    <m/>
    <s v="ELETRICO"/>
    <m/>
    <s v="B1203"/>
    <s v="D2-2-2"/>
    <n v="1"/>
    <n v="1"/>
    <n v="4"/>
    <n v="0"/>
    <n v="0"/>
    <n v="0"/>
    <n v="1"/>
    <m/>
    <m/>
    <m/>
    <m/>
    <s v="Estoque Conforme"/>
    <s v="SEM SOLICITACAO / FABBISOGNO'S"/>
    <m/>
  </r>
  <r>
    <n v="1320"/>
    <x v="1"/>
    <m/>
    <s v="ALM00328"/>
    <s v=""/>
    <x v="0"/>
    <m/>
    <m/>
    <x v="327"/>
    <m/>
    <m/>
    <m/>
    <s v="ELETRICO"/>
    <m/>
    <s v="B1103"/>
    <s v="D2-2-3"/>
    <n v="2"/>
    <n v="1"/>
    <n v="4"/>
    <n v="0"/>
    <n v="0"/>
    <n v="0"/>
    <n v="2"/>
    <m/>
    <m/>
    <m/>
    <m/>
    <s v="Estoque Conforme"/>
    <s v="SEM SOLICITACAO / FABBISOGNO'S"/>
    <m/>
  </r>
  <r>
    <n v="1712"/>
    <x v="1"/>
    <s v="A"/>
    <s v="ALM00329"/>
    <s v="F.FENDER- M06"/>
    <x v="1"/>
    <m/>
    <s v="186250"/>
    <x v="328"/>
    <m/>
    <m/>
    <m/>
    <m/>
    <m/>
    <s v="D1204"/>
    <s v="D2-2-4"/>
    <n v="8"/>
    <m/>
    <n v="1"/>
    <n v="396.08"/>
    <n v="3168.64"/>
    <n v="0"/>
    <n v="2"/>
    <n v="2"/>
    <m/>
    <m/>
    <m/>
    <s v="Estoque Conforme"/>
    <s v="SEM SOLICITACAO / FABBISOGNO'S"/>
    <m/>
  </r>
  <r>
    <n v="1246"/>
    <x v="1"/>
    <m/>
    <s v="ALM00330"/>
    <s v="W.J - M22/M41"/>
    <x v="2"/>
    <s v="763275177269"/>
    <s v="177269"/>
    <x v="329"/>
    <m/>
    <m/>
    <m/>
    <m/>
    <m/>
    <s v="C1204"/>
    <s v="D2-3-0"/>
    <n v="2"/>
    <n v="2"/>
    <n v="5"/>
    <n v="526.53"/>
    <n v="1053.06"/>
    <n v="1053.06"/>
    <n v="3"/>
    <m/>
    <m/>
    <m/>
    <m/>
    <s v="Estoque Conforme"/>
    <s v="SEM SOLICITACAO / FABBISOGNO'S"/>
    <m/>
  </r>
  <r>
    <n v="1341"/>
    <x v="1"/>
    <m/>
    <s v="ALM00331"/>
    <s v=""/>
    <x v="0"/>
    <m/>
    <m/>
    <x v="330"/>
    <m/>
    <m/>
    <m/>
    <s v="HIDRAULICO"/>
    <m/>
    <s v="D1303"/>
    <s v="D2-3-0.1"/>
    <n v="2"/>
    <n v="1"/>
    <n v="3"/>
    <n v="0"/>
    <n v="0"/>
    <n v="0"/>
    <n v="2"/>
    <m/>
    <m/>
    <m/>
    <m/>
    <s v="Estoque Conforme"/>
    <s v="SEM SOLICITACAO / FABBISOGNO'S"/>
    <m/>
  </r>
  <r>
    <n v="564"/>
    <x v="1"/>
    <m/>
    <s v="ALM00332"/>
    <s v=""/>
    <x v="2"/>
    <m/>
    <m/>
    <x v="331"/>
    <m/>
    <m/>
    <m/>
    <m/>
    <m/>
    <s v="C1204"/>
    <s v="D2-3-1"/>
    <n v="3"/>
    <n v="2"/>
    <n v="4"/>
    <n v="91.15"/>
    <n v="273.45000000000005"/>
    <n v="182.3"/>
    <n v="3"/>
    <m/>
    <m/>
    <m/>
    <m/>
    <s v="Estoque Conforme"/>
    <s v="SEM SOLICITACAO / FABBISOGNO'S"/>
    <m/>
  </r>
  <r>
    <n v="1342"/>
    <x v="1"/>
    <m/>
    <s v="ALM00333"/>
    <s v=""/>
    <x v="0"/>
    <m/>
    <m/>
    <x v="332"/>
    <m/>
    <m/>
    <m/>
    <m/>
    <m/>
    <s v="A2304"/>
    <s v="D2-3-1.1"/>
    <n v="2"/>
    <n v="1"/>
    <n v="3"/>
    <n v="0"/>
    <n v="0"/>
    <n v="0"/>
    <n v="2"/>
    <m/>
    <m/>
    <m/>
    <m/>
    <s v="Estoque Conforme"/>
    <s v="SEM SOLICITACAO / FABBISOGNO'S"/>
    <m/>
  </r>
  <r>
    <n v="565"/>
    <x v="1"/>
    <m/>
    <s v="ALM00334"/>
    <s v=""/>
    <x v="2"/>
    <s v="755943800143"/>
    <s v="800143"/>
    <x v="333"/>
    <m/>
    <m/>
    <m/>
    <m/>
    <m/>
    <s v="C1204"/>
    <s v="D2-3-2"/>
    <n v="2"/>
    <n v="1"/>
    <n v="3"/>
    <n v="0"/>
    <n v="0"/>
    <n v="0"/>
    <n v="2"/>
    <m/>
    <m/>
    <m/>
    <m/>
    <s v="Estoque Conforme"/>
    <s v="SEM SOLICITACAO / FABBISOGNO'S"/>
    <m/>
  </r>
  <r>
    <n v="1343"/>
    <x v="1"/>
    <m/>
    <s v="ALM00335"/>
    <s v=""/>
    <x v="0"/>
    <m/>
    <m/>
    <x v="334"/>
    <m/>
    <m/>
    <m/>
    <s v="ELETRICO"/>
    <m/>
    <s v="A2104"/>
    <s v="D2-3-2.1"/>
    <n v="5"/>
    <n v="1"/>
    <n v="3"/>
    <n v="280"/>
    <n v="1400"/>
    <n v="280"/>
    <n v="5"/>
    <m/>
    <m/>
    <m/>
    <m/>
    <s v="Estoque Conforme"/>
    <s v="SEM SOLICITACAO / FABBISOGNO'S"/>
    <m/>
  </r>
  <r>
    <n v="1204"/>
    <x v="1"/>
    <s v="A"/>
    <s v="ALM00336"/>
    <s v="F.FENDER - M06"/>
    <x v="2"/>
    <s v="755943177490"/>
    <s v="177490"/>
    <x v="335"/>
    <m/>
    <m/>
    <m/>
    <m/>
    <m/>
    <s v="C1204"/>
    <s v="D2-3-3"/>
    <n v="4"/>
    <n v="1"/>
    <n v="4"/>
    <n v="260"/>
    <n v="1040"/>
    <n v="260"/>
    <n v="4"/>
    <m/>
    <m/>
    <m/>
    <m/>
    <s v="Estoque Conforme"/>
    <s v="SEM SOLICITACAO / FABBISOGNO'S"/>
    <m/>
  </r>
  <r>
    <n v="1208"/>
    <x v="1"/>
    <m/>
    <s v="ALM00337"/>
    <s v=""/>
    <x v="2"/>
    <m/>
    <m/>
    <x v="336"/>
    <m/>
    <m/>
    <m/>
    <m/>
    <m/>
    <s v="D1303"/>
    <s v="D2-3-3.1"/>
    <n v="5"/>
    <n v="2"/>
    <n v="8"/>
    <n v="0"/>
    <n v="0"/>
    <n v="0"/>
    <n v="5"/>
    <m/>
    <m/>
    <m/>
    <m/>
    <s v="Estoque Conforme"/>
    <s v="SEM SOLICITACAO / FABBISOGNO'S"/>
    <m/>
  </r>
  <r>
    <n v="570"/>
    <x v="1"/>
    <m/>
    <s v="ALM00338"/>
    <s v=""/>
    <x v="2"/>
    <m/>
    <m/>
    <x v="337"/>
    <m/>
    <m/>
    <m/>
    <m/>
    <m/>
    <s v="D1303"/>
    <s v="D2-3-4"/>
    <n v="3"/>
    <n v="2"/>
    <n v="5"/>
    <n v="202.23"/>
    <n v="606.68999999999994"/>
    <n v="404.46"/>
    <n v="3"/>
    <m/>
    <m/>
    <m/>
    <m/>
    <s v="Estoque Conforme"/>
    <s v="SEM SOLICITACAO / FABBISOGNO'S"/>
    <m/>
  </r>
  <r>
    <n v="1373"/>
    <x v="1"/>
    <m/>
    <s v="ALM00339"/>
    <s v=""/>
    <x v="2"/>
    <m/>
    <m/>
    <x v="338"/>
    <m/>
    <m/>
    <m/>
    <m/>
    <m/>
    <s v="D1303"/>
    <s v="D2-3-4.1"/>
    <n v="0"/>
    <n v="2"/>
    <n v="3"/>
    <n v="260"/>
    <n v="0"/>
    <n v="520"/>
    <n v="5"/>
    <n v="0"/>
    <m/>
    <m/>
    <m/>
    <s v="Estoque Não Conforme"/>
    <s v="COM SOLICITACAO / EM PROCESSO DE COMPRAS"/>
    <s v="3337/18"/>
  </r>
  <r>
    <n v="568"/>
    <x v="1"/>
    <m/>
    <s v="ALM00340"/>
    <s v=""/>
    <x v="2"/>
    <m/>
    <m/>
    <x v="339"/>
    <m/>
    <m/>
    <m/>
    <m/>
    <m/>
    <s v="D1303"/>
    <s v="D2-3-5"/>
    <n v="1"/>
    <n v="2"/>
    <n v="5"/>
    <n v="220"/>
    <n v="220"/>
    <n v="440"/>
    <n v="2"/>
    <m/>
    <m/>
    <m/>
    <m/>
    <s v="Estoque em Nivel Minimo"/>
    <s v="COM SOLICITACAO / EM PROCESSO DE COMPRAS"/>
    <s v="3337/19"/>
  </r>
  <r>
    <n v="569"/>
    <x v="1"/>
    <m/>
    <s v="ALM00341"/>
    <s v=""/>
    <x v="2"/>
    <m/>
    <m/>
    <x v="340"/>
    <m/>
    <m/>
    <m/>
    <m/>
    <m/>
    <s v="D1303"/>
    <s v="D2-3-5.1"/>
    <n v="2"/>
    <n v="2"/>
    <n v="5"/>
    <n v="355"/>
    <n v="710"/>
    <n v="710"/>
    <n v="2"/>
    <m/>
    <m/>
    <m/>
    <m/>
    <s v="Estoque Conforme"/>
    <s v="SEM SOLICITACAO / FABBISOGNO'S"/>
    <m/>
  </r>
  <r>
    <n v="1255"/>
    <x v="1"/>
    <m/>
    <s v="ALM00342"/>
    <s v="TRUNK LOAD - M27"/>
    <x v="0"/>
    <m/>
    <m/>
    <x v="341"/>
    <m/>
    <m/>
    <m/>
    <m/>
    <m/>
    <s v="A2102"/>
    <s v="D2-4-0"/>
    <n v="1"/>
    <n v="1"/>
    <n v="4"/>
    <n v="0"/>
    <n v="0"/>
    <n v="0"/>
    <n v="1"/>
    <m/>
    <m/>
    <m/>
    <m/>
    <s v="Estoque Conforme"/>
    <s v="SEM SOLICITACAO / FABBISOGNO'S"/>
    <m/>
  </r>
  <r>
    <n v="994"/>
    <x v="1"/>
    <m/>
    <s v="ALM00343"/>
    <s v=""/>
    <x v="1"/>
    <m/>
    <m/>
    <x v="342"/>
    <m/>
    <m/>
    <m/>
    <m/>
    <m/>
    <s v="C1203"/>
    <s v="D2-4-1"/>
    <n v="1"/>
    <n v="1"/>
    <n v="3"/>
    <n v="0"/>
    <n v="0"/>
    <n v="0"/>
    <n v="1"/>
    <m/>
    <m/>
    <m/>
    <m/>
    <s v="Estoque Conforme"/>
    <s v="SEM SOLICITACAO / FABBISOGNO'S"/>
    <m/>
  </r>
  <r>
    <n v="575"/>
    <x v="1"/>
    <m/>
    <s v="ALM00344"/>
    <s v=""/>
    <x v="1"/>
    <s v="755943180488"/>
    <s v="180488"/>
    <x v="343"/>
    <m/>
    <m/>
    <m/>
    <m/>
    <m/>
    <s v="D2303"/>
    <s v="D2-4-2"/>
    <n v="2"/>
    <n v="3"/>
    <n v="6"/>
    <n v="166.75"/>
    <n v="333.5"/>
    <n v="500.25"/>
    <n v="5"/>
    <m/>
    <m/>
    <m/>
    <m/>
    <s v="Estoque em Nivel Minimo"/>
    <s v="COM SOLICITACAO / EM PROCESSO DE COMPRAS"/>
    <s v="3275/19"/>
  </r>
  <r>
    <n v="566"/>
    <x v="1"/>
    <s v="A"/>
    <s v="ALM00345"/>
    <s v="F.FENDER - M06"/>
    <x v="2"/>
    <m/>
    <m/>
    <x v="344"/>
    <m/>
    <m/>
    <m/>
    <m/>
    <m/>
    <s v="C1102"/>
    <s v="D2-4-3"/>
    <n v="7"/>
    <n v="2"/>
    <n v="10"/>
    <n v="108.4"/>
    <n v="758.80000000000007"/>
    <n v="216.8"/>
    <n v="6"/>
    <m/>
    <m/>
    <m/>
    <m/>
    <s v="Estoque Conforme"/>
    <s v="SEM SOLICITACAO / FABBISOGNO'S"/>
    <m/>
  </r>
  <r>
    <n v="581"/>
    <x v="1"/>
    <s v="A"/>
    <s v="ALM00346"/>
    <s v="ROBO DE COLA - M17"/>
    <x v="1"/>
    <m/>
    <m/>
    <x v="345"/>
    <m/>
    <m/>
    <m/>
    <m/>
    <m/>
    <s v="C1102"/>
    <s v="D2-4-4"/>
    <n v="1"/>
    <n v="1"/>
    <n v="3"/>
    <n v="0"/>
    <n v="0"/>
    <n v="0"/>
    <n v="1"/>
    <m/>
    <m/>
    <m/>
    <m/>
    <s v="Estoque Conforme"/>
    <s v="SEM SOLICITACAO / FABBISOGNO'S"/>
    <m/>
  </r>
  <r>
    <n v="594"/>
    <x v="1"/>
    <m/>
    <s v="ALM00347"/>
    <s v=""/>
    <x v="2"/>
    <m/>
    <m/>
    <x v="346"/>
    <m/>
    <m/>
    <m/>
    <m/>
    <m/>
    <s v="C1303"/>
    <s v="D2-4-5"/>
    <n v="0"/>
    <n v="5"/>
    <n v="50"/>
    <n v="0"/>
    <n v="0"/>
    <n v="0"/>
    <n v="8"/>
    <m/>
    <m/>
    <m/>
    <m/>
    <s v="Estoque Não Conforme"/>
    <s v="COM SOLICITACAO / EM PROCESSO DE COMPRAS"/>
    <s v="3203/19"/>
  </r>
  <r>
    <n v="1293"/>
    <x v="1"/>
    <m/>
    <s v="ALM00348"/>
    <s v=""/>
    <x v="0"/>
    <s v="755943179194"/>
    <s v="179194"/>
    <x v="347"/>
    <m/>
    <m/>
    <m/>
    <m/>
    <m/>
    <s v="E2303"/>
    <s v="D2-4-5.1"/>
    <n v="0"/>
    <n v="2"/>
    <n v="5"/>
    <n v="0"/>
    <n v="0"/>
    <n v="0"/>
    <n v="4"/>
    <m/>
    <m/>
    <m/>
    <m/>
    <s v="Estoque Não Conforme"/>
    <s v="SEM SOLICITACAO / FABBISOGNO'S"/>
    <m/>
  </r>
  <r>
    <n v="997"/>
    <x v="1"/>
    <m/>
    <s v="ALM00349"/>
    <s v=""/>
    <x v="0"/>
    <m/>
    <m/>
    <x v="348"/>
    <m/>
    <m/>
    <m/>
    <m/>
    <m/>
    <m/>
    <s v="D2-5-1"/>
    <n v="0"/>
    <n v="1"/>
    <n v="3"/>
    <n v="0"/>
    <n v="0"/>
    <n v="0"/>
    <n v="1"/>
    <m/>
    <m/>
    <m/>
    <m/>
    <s v="Estoque Não Conforme"/>
    <s v="COM SOLICITACAO / EM PROCESSO DE COMPRAS"/>
    <s v="3364/19"/>
  </r>
  <r>
    <n v="996"/>
    <x v="1"/>
    <m/>
    <s v="ALM00350"/>
    <s v=""/>
    <x v="0"/>
    <m/>
    <m/>
    <x v="349"/>
    <m/>
    <m/>
    <m/>
    <m/>
    <m/>
    <m/>
    <s v="D2-5-2"/>
    <n v="0"/>
    <n v="1"/>
    <n v="3"/>
    <n v="0"/>
    <n v="0"/>
    <n v="0"/>
    <n v="2"/>
    <m/>
    <m/>
    <m/>
    <m/>
    <s v="Estoque Não Conforme"/>
    <s v="COM SOLICITACAO / EM PROCESSO DE COMPRAS"/>
    <s v="3364/19"/>
  </r>
  <r>
    <n v="9999"/>
    <x v="1"/>
    <m/>
    <s v="ALM00351"/>
    <s v=""/>
    <x v="0"/>
    <m/>
    <m/>
    <x v="350"/>
    <m/>
    <m/>
    <m/>
    <m/>
    <m/>
    <m/>
    <s v="D2-5-3"/>
    <n v="0"/>
    <n v="1"/>
    <n v="3"/>
    <n v="0"/>
    <n v="0"/>
    <n v="0"/>
    <n v="2"/>
    <m/>
    <m/>
    <m/>
    <m/>
    <s v="Estoque Não Conforme"/>
    <s v="COM SOLICITACAO / EM PROCESSO DE COMPRAS"/>
    <s v="3364/19"/>
  </r>
  <r>
    <n v="1004"/>
    <x v="1"/>
    <m/>
    <s v="ALM00352"/>
    <s v=""/>
    <x v="0"/>
    <m/>
    <m/>
    <x v="351"/>
    <m/>
    <m/>
    <m/>
    <m/>
    <m/>
    <m/>
    <s v="D2-6-1"/>
    <n v="0"/>
    <n v="1"/>
    <n v="5"/>
    <n v="0"/>
    <n v="0"/>
    <n v="0"/>
    <n v="2"/>
    <m/>
    <m/>
    <m/>
    <m/>
    <s v="Estoque Não Conforme"/>
    <s v="COM SOLICITACAO / EM PROCESSO DE COMPRAS"/>
    <s v="3364/19"/>
  </r>
  <r>
    <n v="1003"/>
    <x v="1"/>
    <m/>
    <s v="ALM00353"/>
    <s v=""/>
    <x v="0"/>
    <m/>
    <m/>
    <x v="352"/>
    <m/>
    <m/>
    <m/>
    <m/>
    <m/>
    <m/>
    <s v="D2-6-2"/>
    <n v="0"/>
    <n v="1"/>
    <n v="3"/>
    <n v="0"/>
    <n v="0"/>
    <n v="0"/>
    <n v="7"/>
    <m/>
    <m/>
    <m/>
    <m/>
    <s v="Estoque Não Conforme"/>
    <s v="COM SOLICITACAO / EM PROCESSO DE COMPRAS"/>
    <s v="3368/19"/>
  </r>
  <r>
    <n v="1305"/>
    <x v="1"/>
    <m/>
    <s v="ALM00354"/>
    <s v=""/>
    <x v="1"/>
    <s v="757601171053"/>
    <s v="171053"/>
    <x v="353"/>
    <m/>
    <m/>
    <m/>
    <s v="FABRICANTE"/>
    <m/>
    <s v="E2106"/>
    <s v="C0-4-3"/>
    <n v="1"/>
    <n v="1"/>
    <n v="2"/>
    <n v="0"/>
    <n v="0"/>
    <n v="0"/>
    <n v="1"/>
    <m/>
    <m/>
    <m/>
    <m/>
    <s v="Estoque Conforme"/>
    <s v="SEM SOLICITACAO / FABBISOGNO'S"/>
    <m/>
  </r>
  <r>
    <n v="1306"/>
    <x v="1"/>
    <m/>
    <s v="ALM00355"/>
    <s v="GLASUTEC"/>
    <x v="1"/>
    <s v="757601801047"/>
    <s v="801047"/>
    <x v="354"/>
    <m/>
    <m/>
    <m/>
    <s v="FABRICANTE"/>
    <m/>
    <s v="F1206"/>
    <s v="D3-1-1"/>
    <n v="0"/>
    <n v="1"/>
    <n v="2"/>
    <n v="0"/>
    <n v="0"/>
    <n v="0"/>
    <n v="1"/>
    <m/>
    <m/>
    <m/>
    <m/>
    <s v="Estoque Não Conforme"/>
    <s v="SEM SOLICITACAO / FABBISOGNO'S"/>
    <m/>
  </r>
  <r>
    <n v="1156"/>
    <x v="1"/>
    <s v="A"/>
    <s v="ALM00356"/>
    <s v="CHINESA - M02"/>
    <x v="1"/>
    <m/>
    <m/>
    <x v="355"/>
    <m/>
    <m/>
    <m/>
    <m/>
    <m/>
    <s v="F1206"/>
    <s v="D3-1-1"/>
    <n v="0"/>
    <n v="1"/>
    <n v="2"/>
    <n v="0"/>
    <n v="0"/>
    <n v="0"/>
    <n v="2"/>
    <m/>
    <m/>
    <m/>
    <m/>
    <s v="Estoque Não Conforme"/>
    <s v="SEM SOLICITACAO / FABBISOGNO'S"/>
    <m/>
  </r>
  <r>
    <n v="1157"/>
    <x v="1"/>
    <s v="A"/>
    <s v="ALM00357"/>
    <s v="CHINESA - M02"/>
    <x v="1"/>
    <m/>
    <m/>
    <x v="356"/>
    <m/>
    <m/>
    <m/>
    <m/>
    <m/>
    <s v="F1206"/>
    <s v="D3-1-1"/>
    <n v="0"/>
    <n v="1"/>
    <n v="2"/>
    <n v="0"/>
    <n v="0"/>
    <n v="0"/>
    <n v="1"/>
    <m/>
    <m/>
    <m/>
    <m/>
    <s v="Estoque Não Conforme"/>
    <s v="SEM SOLICITACAO / FABBISOGNO'S"/>
    <m/>
  </r>
  <r>
    <n v="1155"/>
    <x v="1"/>
    <s v="A"/>
    <s v="ALM00358"/>
    <s v="CHINESA - M02"/>
    <x v="1"/>
    <m/>
    <m/>
    <x v="357"/>
    <m/>
    <m/>
    <m/>
    <m/>
    <m/>
    <s v="F1206"/>
    <s v="D3-1-1"/>
    <n v="0"/>
    <n v="1"/>
    <n v="2"/>
    <n v="0"/>
    <n v="0"/>
    <n v="0"/>
    <n v="2"/>
    <m/>
    <m/>
    <m/>
    <m/>
    <s v="Estoque Não Conforme"/>
    <s v="SEM SOLICITACAO / FABBISOGNO'S"/>
    <m/>
  </r>
  <r>
    <n v="1158"/>
    <x v="1"/>
    <m/>
    <s v="ALM00359"/>
    <s v=""/>
    <x v="1"/>
    <m/>
    <m/>
    <x v="358"/>
    <m/>
    <m/>
    <m/>
    <m/>
    <m/>
    <s v="F1206"/>
    <s v="D3-1-1"/>
    <n v="0"/>
    <n v="1"/>
    <n v="2"/>
    <n v="0"/>
    <n v="0"/>
    <n v="0"/>
    <n v="1"/>
    <m/>
    <m/>
    <m/>
    <m/>
    <s v="Estoque Não Conforme"/>
    <s v="SEM SOLICITACAO / FABBISOGNO'S"/>
    <m/>
  </r>
  <r>
    <n v="1258"/>
    <x v="1"/>
    <m/>
    <s v="ALM00360"/>
    <s v="M27"/>
    <x v="1"/>
    <s v="57041177743"/>
    <s v="177743"/>
    <x v="359"/>
    <m/>
    <m/>
    <m/>
    <m/>
    <m/>
    <m/>
    <s v="D3-2"/>
    <n v="1"/>
    <n v="1"/>
    <n v="10"/>
    <n v="0"/>
    <n v="0"/>
    <n v="0"/>
    <n v="7"/>
    <m/>
    <m/>
    <m/>
    <m/>
    <s v="Estoque Conforme"/>
    <s v="SEM SOLICITACAO / FABBISOGNO'S"/>
    <m/>
  </r>
  <r>
    <n v="825"/>
    <x v="1"/>
    <s v="A"/>
    <s v="ALM00361"/>
    <s v="F.FENDER - M06"/>
    <x v="2"/>
    <m/>
    <m/>
    <x v="360"/>
    <m/>
    <m/>
    <m/>
    <m/>
    <m/>
    <s v="C1105"/>
    <s v="D3-2-1"/>
    <n v="8"/>
    <n v="1"/>
    <n v="2"/>
    <n v="0"/>
    <n v="0"/>
    <n v="0"/>
    <n v="2"/>
    <m/>
    <m/>
    <m/>
    <m/>
    <s v="Estoque Conforme"/>
    <s v="SEM SOLICITACAO / FABBISOGNO'S"/>
    <m/>
  </r>
  <r>
    <n v="826"/>
    <x v="1"/>
    <m/>
    <s v="ALM00362"/>
    <s v=""/>
    <x v="2"/>
    <m/>
    <m/>
    <x v="361"/>
    <m/>
    <m/>
    <m/>
    <m/>
    <m/>
    <s v="C1105"/>
    <s v="D3-2-2"/>
    <n v="6"/>
    <n v="1"/>
    <n v="2"/>
    <n v="0"/>
    <n v="0"/>
    <n v="0"/>
    <n v="1"/>
    <m/>
    <m/>
    <m/>
    <m/>
    <s v="Estoque Conforme"/>
    <s v="SEM SOLICITACAO / FABBISOGNO'S"/>
    <m/>
  </r>
  <r>
    <n v="827"/>
    <x v="1"/>
    <m/>
    <s v="ALM00363"/>
    <s v=""/>
    <x v="2"/>
    <m/>
    <m/>
    <x v="362"/>
    <m/>
    <m/>
    <m/>
    <m/>
    <m/>
    <s v="C1105"/>
    <s v="D3-2-3"/>
    <n v="0"/>
    <n v="1"/>
    <n v="2"/>
    <n v="0"/>
    <n v="0"/>
    <n v="0"/>
    <n v="1"/>
    <m/>
    <m/>
    <m/>
    <m/>
    <s v="Estoque Não Conforme"/>
    <s v="COM SOLICITACAO / EM PROCESSO DE COMPRAS"/>
    <s v="3366/19"/>
  </r>
  <r>
    <n v="828"/>
    <x v="1"/>
    <m/>
    <s v="ALM00364"/>
    <s v=""/>
    <x v="2"/>
    <m/>
    <m/>
    <x v="363"/>
    <m/>
    <m/>
    <m/>
    <m/>
    <m/>
    <s v="C1105"/>
    <s v="D3-2-4"/>
    <n v="0"/>
    <n v="1"/>
    <n v="2"/>
    <n v="0"/>
    <n v="0"/>
    <n v="0"/>
    <n v="1"/>
    <m/>
    <m/>
    <m/>
    <m/>
    <s v="Estoque Não Conforme"/>
    <s v="COM SOLICITACAO / EM PROCESSO DE COMPRAS"/>
    <s v="3366/20"/>
  </r>
  <r>
    <n v="829"/>
    <x v="1"/>
    <m/>
    <s v="ALM00365"/>
    <s v=""/>
    <x v="2"/>
    <m/>
    <m/>
    <x v="364"/>
    <m/>
    <m/>
    <m/>
    <m/>
    <m/>
    <s v="C1104"/>
    <s v="D3-2-5"/>
    <n v="0"/>
    <n v="1"/>
    <n v="2"/>
    <n v="915"/>
    <n v="0"/>
    <n v="915"/>
    <n v="0"/>
    <m/>
    <m/>
    <m/>
    <m/>
    <s v="Estoque Não Conforme"/>
    <s v="COM SOLICITACAO / EM PROCESSO DE COMPRAS"/>
    <s v="3278/19"/>
  </r>
  <r>
    <n v="1273"/>
    <x v="1"/>
    <m/>
    <s v="ALM00366"/>
    <s v="F.FENDER- M06"/>
    <x v="1"/>
    <s v="755801165220"/>
    <s v="165220"/>
    <x v="365"/>
    <m/>
    <m/>
    <m/>
    <m/>
    <m/>
    <s v="E2404"/>
    <s v="D3-3-0"/>
    <n v="3"/>
    <n v="1"/>
    <n v="5"/>
    <n v="180"/>
    <n v="540"/>
    <n v="180"/>
    <n v="4"/>
    <m/>
    <m/>
    <m/>
    <m/>
    <s v="Estoque Conforme"/>
    <s v="SEM SOLICITACAO / FABBISOGNO'S"/>
    <m/>
  </r>
  <r>
    <n v="1288"/>
    <x v="1"/>
    <m/>
    <s v="ALM00367"/>
    <s v=""/>
    <x v="1"/>
    <s v="713592180336"/>
    <s v="180336"/>
    <x v="366"/>
    <m/>
    <m/>
    <m/>
    <m/>
    <m/>
    <s v="E2404"/>
    <s v="D3-3-0.1"/>
    <n v="1"/>
    <n v="1"/>
    <n v="5"/>
    <n v="0"/>
    <n v="0"/>
    <n v="0"/>
    <n v="3"/>
    <m/>
    <m/>
    <m/>
    <m/>
    <s v="Estoque Conforme"/>
    <s v="SEM SOLICITACAO / FABBISOGNO'S"/>
    <m/>
  </r>
  <r>
    <n v="1281"/>
    <x v="1"/>
    <m/>
    <s v="ALM00368"/>
    <s v=""/>
    <x v="1"/>
    <s v="755943179196"/>
    <s v="179196"/>
    <x v="367"/>
    <m/>
    <m/>
    <m/>
    <m/>
    <m/>
    <s v="E2404"/>
    <s v="D3-3-1"/>
    <n v="2"/>
    <n v="1"/>
    <n v="5"/>
    <n v="0"/>
    <n v="0"/>
    <n v="0"/>
    <n v="2"/>
    <m/>
    <m/>
    <m/>
    <m/>
    <s v="Estoque Conforme"/>
    <s v="SEM SOLICITACAO / FABBISOGNO'S"/>
    <m/>
  </r>
  <r>
    <n v="578"/>
    <x v="1"/>
    <m/>
    <s v="ALM00369"/>
    <s v=""/>
    <x v="1"/>
    <m/>
    <m/>
    <x v="368"/>
    <m/>
    <m/>
    <m/>
    <m/>
    <m/>
    <s v="E2404"/>
    <s v="D3-3-1.1"/>
    <n v="0"/>
    <n v="2"/>
    <n v="5"/>
    <n v="318"/>
    <n v="0"/>
    <n v="636"/>
    <n v="3"/>
    <m/>
    <m/>
    <m/>
    <m/>
    <s v="Estoque Não Conforme"/>
    <s v="COM SOLICITACAO / EM PROCESSO DE COMPRAS"/>
    <s v="3337/19"/>
  </r>
  <r>
    <n v="580"/>
    <x v="1"/>
    <m/>
    <s v="ALM00370"/>
    <s v=""/>
    <x v="1"/>
    <s v="755801800700"/>
    <s v="800700"/>
    <x v="369"/>
    <m/>
    <m/>
    <m/>
    <m/>
    <m/>
    <s v="E2404"/>
    <s v="D3-3-2"/>
    <n v="2"/>
    <n v="1"/>
    <n v="5"/>
    <n v="200"/>
    <n v="400"/>
    <n v="200"/>
    <n v="0"/>
    <m/>
    <m/>
    <m/>
    <m/>
    <s v="Estoque Conforme"/>
    <s v="SEM SOLICITACAO / FABBISOGNO'S"/>
    <m/>
  </r>
  <r>
    <n v="1294"/>
    <x v="1"/>
    <m/>
    <s v="ALM00371"/>
    <s v=""/>
    <x v="1"/>
    <m/>
    <m/>
    <x v="370"/>
    <m/>
    <m/>
    <m/>
    <m/>
    <m/>
    <s v="E2404"/>
    <s v="D3-3-2.1"/>
    <n v="0"/>
    <n v="1"/>
    <n v="5"/>
    <n v="50"/>
    <n v="0"/>
    <n v="50"/>
    <n v="5"/>
    <m/>
    <m/>
    <m/>
    <m/>
    <s v="Estoque Não Conforme"/>
    <s v="COM SOLICITACAO / EM PROCESSO DE COMPRAS"/>
    <s v="3337/19"/>
  </r>
  <r>
    <n v="1295"/>
    <x v="1"/>
    <m/>
    <s v="ALM00372"/>
    <s v=""/>
    <x v="1"/>
    <s v="755943180392"/>
    <s v="180392"/>
    <x v="371"/>
    <m/>
    <m/>
    <m/>
    <m/>
    <m/>
    <s v="E2404"/>
    <s v="D3-3-3"/>
    <n v="4"/>
    <n v="1"/>
    <n v="5"/>
    <n v="141"/>
    <n v="564"/>
    <n v="141"/>
    <n v="4"/>
    <m/>
    <m/>
    <m/>
    <m/>
    <s v="Estoque Conforme"/>
    <s v="SEM SOLICITACAO / FABBISOGNO'S"/>
    <m/>
  </r>
  <r>
    <n v="579"/>
    <x v="1"/>
    <m/>
    <s v="ALM00373"/>
    <s v="F.FENDER- M06"/>
    <x v="1"/>
    <m/>
    <m/>
    <x v="372"/>
    <m/>
    <m/>
    <m/>
    <m/>
    <m/>
    <s v="E2404"/>
    <s v="D3-3-3.1"/>
    <n v="1"/>
    <n v="1"/>
    <n v="5"/>
    <n v="30.2"/>
    <n v="30.2"/>
    <n v="30.2"/>
    <n v="1"/>
    <m/>
    <m/>
    <m/>
    <m/>
    <s v="Estoque Conforme"/>
    <s v="SEM SOLICITACAO / FABBISOGNO'S"/>
    <m/>
  </r>
  <r>
    <n v="800"/>
    <x v="1"/>
    <m/>
    <s v="ALM00374"/>
    <s v=""/>
    <x v="1"/>
    <m/>
    <m/>
    <x v="373"/>
    <m/>
    <m/>
    <m/>
    <m/>
    <m/>
    <s v="E2404"/>
    <s v="D3-3-4"/>
    <n v="2"/>
    <n v="1"/>
    <n v="5"/>
    <n v="0"/>
    <n v="0"/>
    <n v="0"/>
    <n v="4"/>
    <m/>
    <m/>
    <m/>
    <m/>
    <s v="Estoque Conforme"/>
    <s v="SEM SOLICITACAO / FABBISOGNO'S"/>
    <m/>
  </r>
  <r>
    <n v="583"/>
    <x v="1"/>
    <s v="B"/>
    <s v="ALM00375"/>
    <s v="GERAL"/>
    <x v="2"/>
    <m/>
    <m/>
    <x v="374"/>
    <m/>
    <m/>
    <m/>
    <m/>
    <m/>
    <s v="C1205"/>
    <s v="D3-3-5"/>
    <n v="1"/>
    <n v="1"/>
    <n v="3"/>
    <n v="0"/>
    <n v="0"/>
    <n v="0"/>
    <n v="1"/>
    <m/>
    <m/>
    <m/>
    <m/>
    <s v="Estoque Conforme"/>
    <s v="SEM SOLICITACAO / FABBISOGNO'S"/>
    <m/>
  </r>
  <r>
    <n v="584"/>
    <x v="1"/>
    <s v="B"/>
    <s v="ALM00376"/>
    <s v="GERAL"/>
    <x v="2"/>
    <m/>
    <m/>
    <x v="375"/>
    <m/>
    <m/>
    <m/>
    <m/>
    <m/>
    <s v="C1205"/>
    <s v="D3-3-6"/>
    <n v="2"/>
    <n v="1"/>
    <n v="3"/>
    <n v="860.33"/>
    <n v="1720.66"/>
    <n v="860.33"/>
    <n v="3"/>
    <m/>
    <m/>
    <m/>
    <m/>
    <s v="Estoque Conforme"/>
    <s v="SEM SOLICITACAO / FABBISOGNO'S"/>
    <m/>
  </r>
  <r>
    <n v="540"/>
    <x v="1"/>
    <m/>
    <s v="ALM00377"/>
    <s v=""/>
    <x v="2"/>
    <m/>
    <m/>
    <x v="376"/>
    <m/>
    <m/>
    <m/>
    <m/>
    <m/>
    <s v="C1303"/>
    <s v="D3-4-1"/>
    <n v="20"/>
    <n v="15"/>
    <n v="50"/>
    <n v="0"/>
    <n v="0"/>
    <n v="0"/>
    <n v="30"/>
    <m/>
    <m/>
    <m/>
    <m/>
    <s v="Estoque Conforme"/>
    <s v="SEM SOLICITACAO / FABBISOGNO'S"/>
    <m/>
  </r>
  <r>
    <n v="546"/>
    <x v="1"/>
    <m/>
    <s v="ALM00378"/>
    <s v=""/>
    <x v="2"/>
    <m/>
    <m/>
    <x v="377"/>
    <m/>
    <m/>
    <m/>
    <s v="PNEUMATICO"/>
    <m/>
    <s v="C1303"/>
    <s v="D3-4-2"/>
    <n v="0"/>
    <n v="15"/>
    <n v="50"/>
    <n v="100"/>
    <n v="0"/>
    <n v="1500"/>
    <n v="30"/>
    <m/>
    <m/>
    <m/>
    <m/>
    <s v="Estoque Não Conforme"/>
    <s v="COM SOLICITACAO / EM PROCESSO DE COMPRAS"/>
    <s v="3302/19"/>
  </r>
  <r>
    <n v="547"/>
    <x v="1"/>
    <m/>
    <s v="ALM00379"/>
    <s v=""/>
    <x v="2"/>
    <m/>
    <m/>
    <x v="378"/>
    <m/>
    <m/>
    <m/>
    <s v="PNEUMATICO"/>
    <m/>
    <s v="C1303"/>
    <s v="D3-4-3"/>
    <n v="0"/>
    <n v="15"/>
    <n v="50"/>
    <n v="50"/>
    <n v="0"/>
    <n v="750"/>
    <n v="22"/>
    <m/>
    <m/>
    <m/>
    <m/>
    <s v="Estoque Não Conforme"/>
    <s v="COM SOLICITACAO / EM PROCESSO DE COMPRAS"/>
    <s v="3302/19"/>
  </r>
  <r>
    <n v="541"/>
    <x v="1"/>
    <m/>
    <s v="ALM00380"/>
    <s v=""/>
    <x v="2"/>
    <m/>
    <m/>
    <x v="379"/>
    <m/>
    <m/>
    <m/>
    <m/>
    <m/>
    <s v="C1303"/>
    <s v="D3-4-4"/>
    <n v="0"/>
    <n v="15"/>
    <n v="50"/>
    <n v="0"/>
    <n v="0"/>
    <n v="0"/>
    <n v="30"/>
    <m/>
    <m/>
    <m/>
    <m/>
    <s v="Estoque Não Conforme"/>
    <s v="COM SOLICITACAO / EM PROCESSO DE COMPRAS"/>
    <s v="3302/19"/>
  </r>
  <r>
    <n v="542"/>
    <x v="1"/>
    <m/>
    <s v="ALM00381"/>
    <s v=""/>
    <x v="2"/>
    <m/>
    <m/>
    <x v="380"/>
    <m/>
    <m/>
    <m/>
    <m/>
    <m/>
    <s v="C1303"/>
    <s v="D3-4-5"/>
    <n v="20"/>
    <n v="15"/>
    <n v="50"/>
    <n v="0"/>
    <n v="0"/>
    <n v="0"/>
    <n v="27"/>
    <m/>
    <m/>
    <m/>
    <m/>
    <s v="Estoque Conforme"/>
    <s v="SEM SOLICITACAO / FABBISOGNO'S"/>
    <m/>
  </r>
  <r>
    <n v="536"/>
    <x v="1"/>
    <m/>
    <s v="ALM00382"/>
    <s v=""/>
    <x v="2"/>
    <m/>
    <m/>
    <x v="381"/>
    <m/>
    <m/>
    <m/>
    <s v="PNEUMATICO"/>
    <m/>
    <s v="C1303"/>
    <s v="D3-4-6"/>
    <n v="0"/>
    <n v="15"/>
    <n v="50"/>
    <n v="0"/>
    <n v="0"/>
    <n v="0"/>
    <n v="40"/>
    <m/>
    <m/>
    <m/>
    <m/>
    <s v="Estoque Não Conforme"/>
    <s v="COM SOLICITACAO / EM PROCESSO DE COMPRAS"/>
    <s v="3302/19"/>
  </r>
  <r>
    <n v="543"/>
    <x v="1"/>
    <m/>
    <s v="ALM00383"/>
    <s v=""/>
    <x v="2"/>
    <m/>
    <m/>
    <x v="382"/>
    <m/>
    <m/>
    <m/>
    <s v="PNEUMATICO"/>
    <m/>
    <s v="C1303"/>
    <s v="D3-5-1"/>
    <n v="30"/>
    <n v="15"/>
    <n v="50"/>
    <n v="0"/>
    <n v="0"/>
    <n v="0"/>
    <n v="50"/>
    <m/>
    <m/>
    <m/>
    <m/>
    <s v="Estoque Conforme"/>
    <s v="SEM SOLICITACAO / FABBISOGNO'S"/>
    <m/>
  </r>
  <r>
    <n v="535"/>
    <x v="1"/>
    <m/>
    <s v="ALM00384"/>
    <s v=""/>
    <x v="2"/>
    <m/>
    <m/>
    <x v="383"/>
    <m/>
    <m/>
    <m/>
    <s v="PNEUMATICO"/>
    <m/>
    <s v="C1303"/>
    <s v="D3-5-1/1"/>
    <n v="0"/>
    <n v="15"/>
    <n v="50"/>
    <n v="0"/>
    <n v="0"/>
    <n v="0"/>
    <n v="35"/>
    <m/>
    <m/>
    <m/>
    <m/>
    <s v="Estoque Não Conforme"/>
    <s v="COM SOLICITACAO / EM PROCESSO DE COMPRAS"/>
    <s v="3302/19"/>
  </r>
  <r>
    <n v="544"/>
    <x v="1"/>
    <m/>
    <s v="ALM00385"/>
    <s v=""/>
    <x v="2"/>
    <m/>
    <m/>
    <x v="384"/>
    <m/>
    <m/>
    <m/>
    <s v="PNEUMATICO"/>
    <m/>
    <s v="C1303"/>
    <s v="D3-5-2"/>
    <n v="30"/>
    <n v="15"/>
    <n v="50"/>
    <n v="0"/>
    <n v="0"/>
    <n v="0"/>
    <n v="40"/>
    <m/>
    <m/>
    <m/>
    <m/>
    <s v="Estoque Conforme"/>
    <s v="SEM SOLICITACAO / FABBISOGNO'S"/>
    <m/>
  </r>
  <r>
    <n v="554"/>
    <x v="1"/>
    <m/>
    <s v="ALM00386"/>
    <s v=""/>
    <x v="2"/>
    <m/>
    <m/>
    <x v="385"/>
    <m/>
    <m/>
    <m/>
    <s v="PNEUMATICO"/>
    <m/>
    <s v="C1303"/>
    <s v="D3-5-2/1"/>
    <n v="33"/>
    <n v="15"/>
    <n v="50"/>
    <n v="0"/>
    <n v="0"/>
    <n v="0"/>
    <n v="35"/>
    <m/>
    <m/>
    <m/>
    <m/>
    <s v="Estoque Conforme"/>
    <s v="SEM SOLICITACAO / FABBISOGNO'S"/>
    <m/>
  </r>
  <r>
    <n v="545"/>
    <x v="1"/>
    <m/>
    <s v="ALM00387"/>
    <s v=""/>
    <x v="2"/>
    <m/>
    <m/>
    <x v="386"/>
    <m/>
    <m/>
    <m/>
    <s v="PNEUMATICO"/>
    <m/>
    <s v="C1303"/>
    <s v="D3-5-3"/>
    <n v="30"/>
    <n v="15"/>
    <n v="50"/>
    <n v="0"/>
    <n v="0"/>
    <n v="0"/>
    <n v="35"/>
    <m/>
    <m/>
    <m/>
    <m/>
    <s v="Estoque Conforme"/>
    <s v="SEM SOLICITACAO / FABBISOGNO'S"/>
    <m/>
  </r>
  <r>
    <n v="8888"/>
    <x v="1"/>
    <m/>
    <s v="ALM00388"/>
    <s v=""/>
    <x v="2"/>
    <m/>
    <m/>
    <x v="387"/>
    <m/>
    <m/>
    <m/>
    <s v="PNEUMATICO"/>
    <m/>
    <s v="C1303"/>
    <s v="D3-5-3.1"/>
    <n v="0"/>
    <n v="10"/>
    <n v="50"/>
    <n v="0"/>
    <n v="0"/>
    <n v="0"/>
    <n v="20"/>
    <m/>
    <m/>
    <m/>
    <m/>
    <s v="Estoque Não Conforme"/>
    <s v="SEM SOLICITACAO / FABBISOGNO'S"/>
    <m/>
  </r>
  <r>
    <n v="550"/>
    <x v="1"/>
    <m/>
    <s v="ALM00389"/>
    <s v=""/>
    <x v="2"/>
    <m/>
    <m/>
    <x v="388"/>
    <m/>
    <m/>
    <m/>
    <s v="PNEUMATICO"/>
    <m/>
    <s v="C1303"/>
    <s v="D3-5-4"/>
    <n v="3"/>
    <n v="10"/>
    <n v="50"/>
    <n v="10"/>
    <n v="30"/>
    <n v="100"/>
    <n v="31"/>
    <m/>
    <m/>
    <m/>
    <m/>
    <s v="Estoque em Nivel Minimo"/>
    <s v="COM SOLICITACAO / EM PROCESSO DE COMPRAS"/>
    <s v="3369/19"/>
  </r>
  <r>
    <n v="549"/>
    <x v="1"/>
    <m/>
    <s v="ALM00390"/>
    <s v=""/>
    <x v="2"/>
    <m/>
    <m/>
    <x v="389"/>
    <m/>
    <m/>
    <m/>
    <s v="PNEUMATICO"/>
    <m/>
    <s v="C1303"/>
    <s v="D3-5-5"/>
    <n v="2"/>
    <n v="5"/>
    <n v="50"/>
    <n v="0"/>
    <n v="0"/>
    <n v="0"/>
    <n v="6"/>
    <m/>
    <m/>
    <m/>
    <m/>
    <s v="Estoque em Nivel Minimo"/>
    <s v="COM SOLICITACAO / EM PROCESSO DE COMPRAS"/>
    <s v="3369/19"/>
  </r>
  <r>
    <n v="551"/>
    <x v="1"/>
    <m/>
    <s v="ALM00391"/>
    <s v=""/>
    <x v="2"/>
    <m/>
    <m/>
    <x v="390"/>
    <m/>
    <m/>
    <m/>
    <s v="PNEUMATICO"/>
    <m/>
    <s v="C1303"/>
    <s v="D3-5-6"/>
    <n v="15"/>
    <n v="10"/>
    <n v="50"/>
    <n v="0"/>
    <n v="0"/>
    <n v="0"/>
    <n v="17"/>
    <m/>
    <m/>
    <m/>
    <m/>
    <s v="Estoque Conforme"/>
    <s v="SEM SOLICITACAO / FABBISOGNO'S"/>
    <m/>
  </r>
  <r>
    <n v="1002"/>
    <x v="1"/>
    <m/>
    <s v="ALM00392"/>
    <s v=""/>
    <x v="0"/>
    <m/>
    <m/>
    <x v="391"/>
    <m/>
    <m/>
    <m/>
    <m/>
    <m/>
    <m/>
    <s v="D3-6-1"/>
    <n v="0"/>
    <n v="1"/>
    <n v="10"/>
    <n v="0"/>
    <n v="0"/>
    <n v="0"/>
    <n v="200"/>
    <m/>
    <m/>
    <m/>
    <m/>
    <s v="Estoque Não Conforme"/>
    <s v="COM SOLICITACAO / EM PROCESSO DE COMPRAS"/>
    <s v="3368/19"/>
  </r>
  <r>
    <n v="1212"/>
    <x v="1"/>
    <m/>
    <s v="ALM00393"/>
    <s v=""/>
    <x v="1"/>
    <m/>
    <m/>
    <x v="392"/>
    <m/>
    <s v="EOS"/>
    <m/>
    <m/>
    <m/>
    <s v="E2101"/>
    <s v="E1-1"/>
    <n v="1"/>
    <n v="1"/>
    <n v="2"/>
    <n v="0"/>
    <n v="0"/>
    <n v="0"/>
    <n v="1"/>
    <m/>
    <m/>
    <m/>
    <m/>
    <s v="Estoque Conforme"/>
    <s v="SEM SOLICITACAO / FABBISOGNO'S"/>
    <m/>
  </r>
  <r>
    <n v="1007"/>
    <x v="1"/>
    <m/>
    <s v="ALM00394"/>
    <s v="ROBO DE COLA "/>
    <x v="1"/>
    <m/>
    <m/>
    <x v="393"/>
    <m/>
    <m/>
    <m/>
    <m/>
    <m/>
    <s v="C2401"/>
    <s v="E1-1-1"/>
    <n v="1"/>
    <n v="1"/>
    <n v="3"/>
    <n v="0"/>
    <n v="0"/>
    <n v="0"/>
    <n v="3"/>
    <m/>
    <m/>
    <m/>
    <m/>
    <s v="Estoque Conforme"/>
    <s v="SEM SOLICITACAO / FABBISOGNO'S"/>
    <m/>
  </r>
  <r>
    <n v="1264"/>
    <x v="1"/>
    <m/>
    <s v="ALM00395"/>
    <s v="INNER - CARPETE-M07M35"/>
    <x v="1"/>
    <m/>
    <m/>
    <x v="394"/>
    <m/>
    <m/>
    <m/>
    <m/>
    <m/>
    <s v="E1301"/>
    <s v="E1-2-2"/>
    <n v="14"/>
    <n v="4"/>
    <n v="8"/>
    <n v="404"/>
    <n v="5656"/>
    <n v="1616"/>
    <n v="3"/>
    <m/>
    <m/>
    <m/>
    <m/>
    <s v="Estoque Conforme"/>
    <s v="SEM SOLICITACAO / FABBISOGNO'S"/>
    <m/>
  </r>
  <r>
    <n v="600"/>
    <x v="1"/>
    <m/>
    <s v="ALM00396"/>
    <s v=""/>
    <x v="1"/>
    <m/>
    <m/>
    <x v="395"/>
    <m/>
    <m/>
    <m/>
    <m/>
    <m/>
    <m/>
    <s v="E1-2-3"/>
    <n v="8"/>
    <n v="1"/>
    <n v="3"/>
    <n v="0"/>
    <n v="0"/>
    <n v="0"/>
    <n v="1"/>
    <m/>
    <m/>
    <m/>
    <m/>
    <s v="Estoque Conforme"/>
    <s v="SEM SOLICITACAO / FABBISOGNO'S"/>
    <m/>
  </r>
  <r>
    <n v="526"/>
    <x v="1"/>
    <m/>
    <s v="ALM00397"/>
    <s v=""/>
    <x v="1"/>
    <m/>
    <m/>
    <x v="396"/>
    <m/>
    <m/>
    <m/>
    <s v="FILTROS"/>
    <m/>
    <s v="C2405"/>
    <s v="E1-2-4"/>
    <n v="3"/>
    <n v="1"/>
    <n v="5"/>
    <n v="0"/>
    <n v="0"/>
    <n v="0"/>
    <n v="3"/>
    <m/>
    <m/>
    <m/>
    <m/>
    <s v="Estoque Conforme"/>
    <s v="SEM SOLICITACAO / FABBISOGNO'S"/>
    <m/>
  </r>
  <r>
    <n v="816"/>
    <x v="1"/>
    <m/>
    <s v="ALM00398"/>
    <s v=""/>
    <x v="1"/>
    <s v="755943169784"/>
    <s v="169784"/>
    <x v="397"/>
    <m/>
    <m/>
    <m/>
    <s v="PNEUMATICO"/>
    <m/>
    <s v="C1403"/>
    <s v="E1-3-2"/>
    <n v="1"/>
    <n v="2"/>
    <n v="3"/>
    <n v="0"/>
    <n v="0"/>
    <n v="0"/>
    <n v="1"/>
    <m/>
    <m/>
    <m/>
    <m/>
    <s v="Estoque em Nivel Minimo"/>
    <s v="COM SOLICITACAO / EM PROCESSO DE COMPRAS"/>
    <s v="3337/19"/>
  </r>
  <r>
    <n v="1136"/>
    <x v="1"/>
    <m/>
    <s v="ALM00399"/>
    <s v=""/>
    <x v="1"/>
    <m/>
    <m/>
    <x v="398"/>
    <m/>
    <m/>
    <m/>
    <m/>
    <m/>
    <s v="C1403"/>
    <s v="E1-3-3"/>
    <n v="2"/>
    <n v="1"/>
    <n v="5"/>
    <n v="0"/>
    <n v="0"/>
    <n v="0"/>
    <n v="2"/>
    <m/>
    <m/>
    <m/>
    <m/>
    <s v="Estoque Conforme"/>
    <s v="SEM SOLICITACAO / FABBISOGNO'S"/>
    <m/>
  </r>
  <r>
    <n v="1018"/>
    <x v="1"/>
    <m/>
    <s v="ALM00400"/>
    <s v=""/>
    <x v="1"/>
    <m/>
    <m/>
    <x v="399"/>
    <m/>
    <m/>
    <m/>
    <m/>
    <m/>
    <s v="C1204"/>
    <s v="E1-4-1"/>
    <n v="3"/>
    <n v="2"/>
    <n v="5"/>
    <n v="204"/>
    <n v="612"/>
    <n v="408"/>
    <n v="3"/>
    <m/>
    <m/>
    <m/>
    <m/>
    <s v="Estoque Conforme"/>
    <s v="SEM SOLICITACAO / FABBISOGNO'S"/>
    <m/>
  </r>
  <r>
    <n v="557"/>
    <x v="1"/>
    <m/>
    <s v="ALM00401"/>
    <s v=""/>
    <x v="1"/>
    <m/>
    <m/>
    <x v="400"/>
    <m/>
    <m/>
    <m/>
    <m/>
    <m/>
    <s v="C1403"/>
    <s v="E1-4-2"/>
    <n v="2"/>
    <n v="1"/>
    <n v="5"/>
    <n v="343.85"/>
    <n v="687.7"/>
    <n v="343.85"/>
    <n v="3"/>
    <m/>
    <m/>
    <m/>
    <m/>
    <s v="Estoque Conforme"/>
    <s v="SEM SOLICITACAO / FABBISOGNO'S"/>
    <m/>
  </r>
  <r>
    <n v="815"/>
    <x v="1"/>
    <s v="A"/>
    <s v="ALM00402"/>
    <s v="F.FENDER- M06"/>
    <x v="1"/>
    <m/>
    <m/>
    <x v="401"/>
    <m/>
    <m/>
    <m/>
    <m/>
    <m/>
    <s v="C1404"/>
    <s v="E1-4-3"/>
    <n v="3"/>
    <n v="1"/>
    <n v="3"/>
    <n v="587.62"/>
    <n v="1762.8600000000001"/>
    <n v="587.62"/>
    <n v="3"/>
    <m/>
    <m/>
    <m/>
    <m/>
    <s v="Estoque Conforme"/>
    <s v="SEM SOLICITACAO / FABBISOGNO'S"/>
    <m/>
  </r>
  <r>
    <n v="559"/>
    <x v="1"/>
    <m/>
    <s v="ALM00403"/>
    <s v=""/>
    <x v="1"/>
    <s v="755943169787"/>
    <s v="169787"/>
    <x v="402"/>
    <m/>
    <m/>
    <m/>
    <s v="PNEUMATICO"/>
    <m/>
    <s v="C1404"/>
    <s v="E1-4-4"/>
    <n v="2"/>
    <n v="2"/>
    <n v="4"/>
    <n v="266.2"/>
    <n v="532.4"/>
    <n v="532.4"/>
    <n v="3"/>
    <m/>
    <m/>
    <m/>
    <m/>
    <s v="Estoque Conforme"/>
    <s v="SEM SOLICITACAO / FABBISOGNO'S"/>
    <m/>
  </r>
  <r>
    <n v="599"/>
    <x v="1"/>
    <m/>
    <s v="ALM00404"/>
    <s v=""/>
    <x v="1"/>
    <m/>
    <m/>
    <x v="403"/>
    <m/>
    <m/>
    <m/>
    <s v="FILTROS"/>
    <m/>
    <s v="C2406"/>
    <s v="E1-5-1"/>
    <n v="5"/>
    <n v="2"/>
    <n v="5"/>
    <n v="0"/>
    <n v="0"/>
    <n v="0"/>
    <n v="5"/>
    <m/>
    <m/>
    <m/>
    <m/>
    <s v="Estoque Conforme"/>
    <s v="SEM SOLICITACAO / FABBISOGNO'S"/>
    <m/>
  </r>
  <r>
    <n v="220"/>
    <x v="1"/>
    <m/>
    <s v="ALM00405"/>
    <s v=""/>
    <x v="1"/>
    <s v="713592800501"/>
    <s v="800501"/>
    <x v="404"/>
    <m/>
    <s v="HYDAC"/>
    <m/>
    <s v="FILTROS"/>
    <m/>
    <s v="C2405"/>
    <s v="E1-5-2"/>
    <n v="4"/>
    <n v="2"/>
    <n v="5"/>
    <n v="648.70000000000005"/>
    <n v="2594.8000000000002"/>
    <n v="1297.4000000000001"/>
    <n v="4"/>
    <m/>
    <m/>
    <m/>
    <m/>
    <s v="Estoque Conforme"/>
    <s v="SEM SOLICITACAO / FABBISOGNO'S"/>
    <m/>
  </r>
  <r>
    <n v="521"/>
    <x v="1"/>
    <m/>
    <s v="ALM00406"/>
    <s v=""/>
    <x v="1"/>
    <s v="755943900041"/>
    <s v="900041"/>
    <x v="405"/>
    <m/>
    <m/>
    <m/>
    <s v="HIDRAULICO"/>
    <m/>
    <s v="D1105"/>
    <s v="E1-5-3"/>
    <n v="2"/>
    <n v="1"/>
    <n v="5"/>
    <n v="208.7"/>
    <n v="417.4"/>
    <n v="208.7"/>
    <n v="1"/>
    <m/>
    <m/>
    <m/>
    <m/>
    <s v="Estoque Conforme"/>
    <s v="SEM SOLICITACAO / FABBISOGNO'S"/>
    <m/>
  </r>
  <r>
    <n v="219"/>
    <x v="1"/>
    <m/>
    <s v="ALM00407"/>
    <s v=""/>
    <x v="1"/>
    <m/>
    <m/>
    <x v="406"/>
    <m/>
    <m/>
    <m/>
    <m/>
    <m/>
    <s v="C1204"/>
    <s v="E1-5-4"/>
    <n v="1"/>
    <n v="1"/>
    <n v="5"/>
    <n v="0"/>
    <n v="0"/>
    <n v="0"/>
    <n v="1"/>
    <m/>
    <m/>
    <m/>
    <m/>
    <s v="Estoque Conforme"/>
    <s v="SEM SOLICITACAO / FABBISOGNO'S"/>
    <m/>
  </r>
  <r>
    <n v="522"/>
    <x v="1"/>
    <m/>
    <s v="ALM00408"/>
    <s v=""/>
    <x v="1"/>
    <m/>
    <m/>
    <x v="407"/>
    <m/>
    <m/>
    <m/>
    <s v="FILTROS"/>
    <m/>
    <s v="C2405"/>
    <s v="E1-6-1"/>
    <n v="4"/>
    <n v="2"/>
    <n v="5"/>
    <n v="0"/>
    <n v="0"/>
    <n v="0"/>
    <n v="3"/>
    <m/>
    <m/>
    <m/>
    <m/>
    <s v="Estoque Conforme"/>
    <s v="SEM SOLICITACAO / FABBISOGNO'S"/>
    <m/>
  </r>
  <r>
    <n v="523"/>
    <x v="1"/>
    <m/>
    <s v="ALM00409"/>
    <s v=""/>
    <x v="1"/>
    <m/>
    <m/>
    <x v="408"/>
    <m/>
    <m/>
    <m/>
    <s v="FILTROS"/>
    <m/>
    <s v="C2404"/>
    <s v="E1-6-2"/>
    <n v="2"/>
    <n v="2"/>
    <n v="5"/>
    <n v="571"/>
    <n v="1142"/>
    <n v="1142"/>
    <n v="2"/>
    <m/>
    <m/>
    <m/>
    <m/>
    <s v="Estoque Conforme"/>
    <s v="SEM SOLICITACAO / FABBISOGNO'S"/>
    <m/>
  </r>
  <r>
    <n v="498"/>
    <x v="1"/>
    <m/>
    <s v="ALM00410"/>
    <s v="GLASUTEC"/>
    <x v="1"/>
    <s v="757510164706"/>
    <s v="164706"/>
    <x v="409"/>
    <m/>
    <m/>
    <m/>
    <s v="ROLAM/RETEN/GAXETAS"/>
    <m/>
    <s v="E1203"/>
    <s v="E2-2-1"/>
    <n v="0"/>
    <n v="4"/>
    <n v="15"/>
    <n v="0"/>
    <n v="0"/>
    <n v="0"/>
    <n v="6"/>
    <m/>
    <m/>
    <m/>
    <m/>
    <s v="Estoque Não Conforme"/>
    <s v="COM SOLICITACAO / EM PROCESSO DE COMPRAS"/>
    <s v="3337/19"/>
  </r>
  <r>
    <n v="1008"/>
    <x v="1"/>
    <m/>
    <s v="ALM00411"/>
    <s v=""/>
    <x v="1"/>
    <m/>
    <m/>
    <x v="410"/>
    <m/>
    <m/>
    <m/>
    <m/>
    <m/>
    <s v="E1303"/>
    <s v="E2-2-2"/>
    <n v="7"/>
    <n v="4"/>
    <n v="10"/>
    <n v="0"/>
    <n v="0"/>
    <n v="0"/>
    <n v="10"/>
    <m/>
    <m/>
    <m/>
    <m/>
    <s v="Estoque Conforme"/>
    <s v="SEM SOLICITACAO / FABBISOGNO'S"/>
    <m/>
  </r>
  <r>
    <n v="1009"/>
    <x v="1"/>
    <m/>
    <s v="ALM00412"/>
    <s v=""/>
    <x v="1"/>
    <m/>
    <m/>
    <x v="411"/>
    <m/>
    <m/>
    <m/>
    <m/>
    <m/>
    <s v="E1303"/>
    <s v="E2-2-2"/>
    <n v="7"/>
    <n v="4"/>
    <n v="10"/>
    <n v="0"/>
    <n v="0"/>
    <n v="0"/>
    <n v="8"/>
    <m/>
    <m/>
    <m/>
    <m/>
    <s v="Estoque Conforme"/>
    <s v="SEM SOLICITACAO / FABBISOGNO'S"/>
    <m/>
  </r>
  <r>
    <n v="1010"/>
    <x v="1"/>
    <m/>
    <s v="ALM00413"/>
    <s v=""/>
    <x v="1"/>
    <m/>
    <m/>
    <x v="412"/>
    <m/>
    <m/>
    <m/>
    <m/>
    <m/>
    <s v="E1303"/>
    <s v="E2-2-2"/>
    <n v="7"/>
    <n v="4"/>
    <n v="10"/>
    <n v="0"/>
    <n v="0"/>
    <n v="0"/>
    <n v="10"/>
    <m/>
    <m/>
    <m/>
    <m/>
    <s v="Estoque Conforme"/>
    <s v="SEM SOLICITACAO / FABBISOGNO'S"/>
    <m/>
  </r>
  <r>
    <n v="508"/>
    <x v="1"/>
    <m/>
    <s v="ALM00414"/>
    <s v=""/>
    <x v="1"/>
    <m/>
    <m/>
    <x v="413"/>
    <m/>
    <m/>
    <m/>
    <m/>
    <m/>
    <s v="E1303"/>
    <s v="E2-2-2"/>
    <n v="0"/>
    <n v="5"/>
    <n v="15"/>
    <n v="50"/>
    <n v="0"/>
    <n v="250"/>
    <n v="6"/>
    <m/>
    <m/>
    <m/>
    <m/>
    <s v="Estoque Não Conforme"/>
    <s v="COM SOLICITACAO / EM PROCESSO DE COMPRAS"/>
    <s v="3337/19"/>
  </r>
  <r>
    <n v="1011"/>
    <x v="1"/>
    <s v="A"/>
    <s v="ALM00415"/>
    <s v="INNER / CARP. / F.FENDER"/>
    <x v="1"/>
    <s v="761327177276"/>
    <s v="177276"/>
    <x v="414"/>
    <m/>
    <m/>
    <m/>
    <m/>
    <m/>
    <s v="E1303"/>
    <s v="E2-2-2"/>
    <n v="0"/>
    <n v="4"/>
    <n v="10"/>
    <n v="70"/>
    <n v="0"/>
    <n v="280"/>
    <n v="9"/>
    <m/>
    <m/>
    <m/>
    <m/>
    <s v="Estoque Não Conforme"/>
    <s v="COM SOLICITACAO / EM PROCESSO DE COMPRAS"/>
    <s v="3337/19"/>
  </r>
  <r>
    <n v="509"/>
    <x v="1"/>
    <m/>
    <s v="ALM00416"/>
    <s v=""/>
    <x v="1"/>
    <m/>
    <m/>
    <x v="415"/>
    <m/>
    <m/>
    <m/>
    <m/>
    <m/>
    <s v="E1303"/>
    <s v="E2-2-3"/>
    <n v="0"/>
    <n v="4"/>
    <n v="15"/>
    <n v="0"/>
    <n v="0"/>
    <n v="0"/>
    <n v="5"/>
    <m/>
    <m/>
    <m/>
    <m/>
    <s v="Estoque Não Conforme"/>
    <s v="COM SOLICITACAO / EM PROCESSO DE COMPRAS"/>
    <s v="3337/19"/>
  </r>
  <r>
    <n v="510"/>
    <x v="1"/>
    <m/>
    <s v="ALM00417"/>
    <s v=""/>
    <x v="1"/>
    <m/>
    <m/>
    <x v="416"/>
    <m/>
    <m/>
    <m/>
    <m/>
    <m/>
    <s v="E1303"/>
    <s v="E2-2-4"/>
    <n v="5"/>
    <n v="2"/>
    <n v="15"/>
    <n v="0"/>
    <n v="0"/>
    <n v="0"/>
    <n v="5"/>
    <m/>
    <m/>
    <m/>
    <m/>
    <s v="Estoque Conforme"/>
    <s v="SEM SOLICITACAO / FABBISOGNO'S"/>
    <m/>
  </r>
  <r>
    <n v="512"/>
    <x v="1"/>
    <m/>
    <s v="ALM00418"/>
    <s v=""/>
    <x v="1"/>
    <s v="761147177254"/>
    <s v="177254"/>
    <x v="417"/>
    <m/>
    <m/>
    <m/>
    <s v="ROLAM/RETEN/GAXETAS"/>
    <m/>
    <s v="E1203"/>
    <s v="E2-2-5"/>
    <n v="22"/>
    <n v="4"/>
    <n v="15"/>
    <n v="0"/>
    <n v="0"/>
    <n v="0"/>
    <n v="9"/>
    <m/>
    <m/>
    <m/>
    <m/>
    <s v="Estoque Conforme"/>
    <s v="SEM SOLICITACAO / FABBISOGNO'S"/>
    <m/>
  </r>
  <r>
    <n v="511"/>
    <x v="1"/>
    <m/>
    <s v="ALM00419"/>
    <s v=""/>
    <x v="1"/>
    <m/>
    <m/>
    <x v="418"/>
    <m/>
    <m/>
    <m/>
    <m/>
    <m/>
    <s v="E1303"/>
    <s v="E2-2-6"/>
    <n v="10"/>
    <n v="4"/>
    <n v="15"/>
    <n v="0"/>
    <n v="0"/>
    <n v="0"/>
    <n v="9"/>
    <m/>
    <m/>
    <m/>
    <m/>
    <s v="Estoque Conforme"/>
    <s v="SEM SOLICITACAO / FABBISOGNO'S"/>
    <m/>
  </r>
  <r>
    <n v="1012"/>
    <x v="1"/>
    <m/>
    <s v="ALM00420"/>
    <s v=""/>
    <x v="1"/>
    <m/>
    <m/>
    <x v="419"/>
    <m/>
    <m/>
    <m/>
    <m/>
    <m/>
    <s v="E1303"/>
    <s v="E2-2-6"/>
    <n v="5"/>
    <n v="4"/>
    <n v="15"/>
    <n v="0"/>
    <n v="0"/>
    <n v="0"/>
    <n v="13"/>
    <m/>
    <m/>
    <m/>
    <m/>
    <s v="Estoque Conforme"/>
    <s v="SEM SOLICITACAO / FABBISOGNO'S"/>
    <m/>
  </r>
  <r>
    <n v="1015"/>
    <x v="1"/>
    <m/>
    <s v="ALM00421"/>
    <s v=""/>
    <x v="1"/>
    <m/>
    <m/>
    <x v="420"/>
    <m/>
    <m/>
    <m/>
    <m/>
    <m/>
    <s v="E1303"/>
    <s v="E2-2-6"/>
    <n v="6"/>
    <n v="4"/>
    <n v="15"/>
    <n v="0"/>
    <n v="0"/>
    <n v="0"/>
    <n v="13"/>
    <m/>
    <m/>
    <m/>
    <m/>
    <s v="Estoque Conforme"/>
    <s v="SEM SOLICITACAO / FABBISOGNO'S"/>
    <m/>
  </r>
  <r>
    <n v="1013"/>
    <x v="1"/>
    <m/>
    <s v="ALM00422"/>
    <s v=""/>
    <x v="1"/>
    <s v="761327169747"/>
    <s v="169747"/>
    <x v="421"/>
    <m/>
    <m/>
    <m/>
    <m/>
    <m/>
    <s v="E1303"/>
    <s v="E2-2-6"/>
    <n v="5"/>
    <n v="4"/>
    <n v="15"/>
    <n v="0"/>
    <n v="0"/>
    <n v="0"/>
    <n v="7"/>
    <m/>
    <m/>
    <m/>
    <m/>
    <s v="Estoque Conforme"/>
    <s v="SEM SOLICITACAO / FABBISOGNO'S"/>
    <m/>
  </r>
  <r>
    <n v="1014"/>
    <x v="1"/>
    <m/>
    <s v="ALM00423"/>
    <s v=""/>
    <x v="1"/>
    <s v="761327169747"/>
    <s v="169747"/>
    <x v="422"/>
    <m/>
    <m/>
    <m/>
    <m/>
    <m/>
    <s v="E1204"/>
    <s v="E2-2-6"/>
    <n v="19"/>
    <n v="4"/>
    <n v="15"/>
    <n v="0"/>
    <n v="0"/>
    <n v="0"/>
    <n v="7"/>
    <m/>
    <m/>
    <m/>
    <m/>
    <s v="Estoque Conforme"/>
    <s v="SEM SOLICITACAO / FABBISOGNO'S"/>
    <m/>
  </r>
  <r>
    <n v="493"/>
    <x v="1"/>
    <m/>
    <s v="ALM00424"/>
    <s v=""/>
    <x v="1"/>
    <m/>
    <m/>
    <x v="423"/>
    <m/>
    <m/>
    <m/>
    <s v="ROLAM/RETEN/GAXETAS"/>
    <m/>
    <s v="E1203"/>
    <s v="E2-3-1"/>
    <n v="7"/>
    <n v="5"/>
    <n v="15"/>
    <n v="0"/>
    <n v="0"/>
    <n v="0"/>
    <n v="8"/>
    <m/>
    <m/>
    <m/>
    <m/>
    <s v="Estoque Conforme"/>
    <s v="SEM SOLICITACAO / FABBISOGNO'S"/>
    <m/>
  </r>
  <r>
    <n v="497"/>
    <x v="1"/>
    <m/>
    <s v="ALM00425"/>
    <s v=""/>
    <x v="1"/>
    <m/>
    <m/>
    <x v="424"/>
    <m/>
    <m/>
    <m/>
    <s v="ROLAM/RETEN/GAXETAS"/>
    <m/>
    <s v="E1203"/>
    <s v="E2-3-1/1"/>
    <n v="8"/>
    <n v="8"/>
    <n v="15"/>
    <n v="0"/>
    <n v="0"/>
    <n v="0"/>
    <n v="8"/>
    <m/>
    <m/>
    <m/>
    <m/>
    <s v="Estoque Conforme"/>
    <s v="SEM SOLICITACAO / FABBISOGNO'S"/>
    <m/>
  </r>
  <r>
    <n v="495"/>
    <x v="1"/>
    <m/>
    <s v="ALM00426"/>
    <s v=""/>
    <x v="1"/>
    <m/>
    <m/>
    <x v="425"/>
    <m/>
    <m/>
    <m/>
    <s v="ROLAM/RETEN/GAXETAS"/>
    <m/>
    <s v="E1203"/>
    <s v="E2-3-2"/>
    <n v="10"/>
    <n v="4"/>
    <n v="15"/>
    <n v="30"/>
    <n v="300"/>
    <n v="120"/>
    <n v="4"/>
    <m/>
    <m/>
    <m/>
    <m/>
    <s v="Estoque Conforme"/>
    <s v="SEM SOLICITACAO / FABBISOGNO'S"/>
    <m/>
  </r>
  <r>
    <n v="601"/>
    <x v="1"/>
    <m/>
    <s v="ALM00427"/>
    <s v=""/>
    <x v="1"/>
    <m/>
    <m/>
    <x v="426"/>
    <m/>
    <m/>
    <m/>
    <s v="ROLAM/RETEN/GAXETAS"/>
    <m/>
    <s v="E1204"/>
    <s v="E2-3-2.1"/>
    <n v="13"/>
    <n v="10"/>
    <n v="15"/>
    <n v="50"/>
    <n v="650"/>
    <n v="500"/>
    <n v="8"/>
    <m/>
    <m/>
    <m/>
    <m/>
    <s v="Estoque Conforme"/>
    <s v="SEM SOLICITACAO / FABBISOGNO'S"/>
    <m/>
  </r>
  <r>
    <n v="494"/>
    <x v="1"/>
    <m/>
    <s v="ALM00428"/>
    <s v="GLASUTEC"/>
    <x v="1"/>
    <s v="757516164707"/>
    <s v="164707"/>
    <x v="427"/>
    <m/>
    <m/>
    <m/>
    <s v="ROLAM/RETEN/GAXETAS"/>
    <m/>
    <s v="E1203"/>
    <s v="E2-3-3"/>
    <n v="49"/>
    <n v="10"/>
    <n v="15"/>
    <n v="15.94"/>
    <n v="781.06"/>
    <n v="159.4"/>
    <n v="15"/>
    <m/>
    <m/>
    <m/>
    <m/>
    <s v="Estoque Conforme"/>
    <s v="SEM SOLICITACAO / FABBISOGNO'S"/>
    <m/>
  </r>
  <r>
    <n v="513"/>
    <x v="1"/>
    <m/>
    <s v="ALM00429"/>
    <s v=""/>
    <x v="1"/>
    <s v="760855177255"/>
    <s v="177255"/>
    <x v="428"/>
    <m/>
    <m/>
    <m/>
    <s v="ROLAM/RETEN/GAXETAS"/>
    <m/>
    <s v="E1204"/>
    <s v="E2-3-3.1"/>
    <n v="23"/>
    <n v="4"/>
    <n v="15"/>
    <n v="0"/>
    <n v="0"/>
    <n v="0"/>
    <n v="11"/>
    <m/>
    <m/>
    <m/>
    <m/>
    <s v="Estoque Conforme"/>
    <s v="SEM SOLICITACAO / FABBISOGNO'S"/>
    <m/>
  </r>
  <r>
    <n v="500"/>
    <x v="1"/>
    <m/>
    <s v="ALM00430"/>
    <s v=""/>
    <x v="1"/>
    <m/>
    <m/>
    <x v="429"/>
    <m/>
    <m/>
    <m/>
    <m/>
    <m/>
    <s v="E1303"/>
    <s v="E2-3-4"/>
    <n v="15"/>
    <n v="10"/>
    <n v="15"/>
    <n v="0"/>
    <n v="0"/>
    <n v="0"/>
    <n v="15"/>
    <m/>
    <m/>
    <m/>
    <m/>
    <s v="Estoque Conforme"/>
    <s v="SEM SOLICITACAO / FABBISOGNO'S"/>
    <m/>
  </r>
  <r>
    <n v="504"/>
    <x v="1"/>
    <m/>
    <s v="ALM00431"/>
    <s v=""/>
    <x v="1"/>
    <m/>
    <m/>
    <x v="430"/>
    <m/>
    <m/>
    <m/>
    <m/>
    <m/>
    <s v="E1303"/>
    <s v="E2-3-4"/>
    <n v="16"/>
    <n v="6"/>
    <n v="15"/>
    <n v="0"/>
    <n v="0"/>
    <n v="0"/>
    <n v="17"/>
    <m/>
    <m/>
    <m/>
    <m/>
    <s v="Estoque Conforme"/>
    <s v="SEM SOLICITACAO / FABBISOGNO'S"/>
    <m/>
  </r>
  <r>
    <n v="505"/>
    <x v="1"/>
    <m/>
    <s v="ALM00432"/>
    <s v=""/>
    <x v="1"/>
    <m/>
    <m/>
    <x v="431"/>
    <m/>
    <m/>
    <m/>
    <m/>
    <m/>
    <s v="E1303"/>
    <s v="E2-3-4"/>
    <n v="8"/>
    <n v="6"/>
    <n v="15"/>
    <n v="0"/>
    <n v="0"/>
    <n v="0"/>
    <n v="10"/>
    <m/>
    <m/>
    <m/>
    <m/>
    <s v="Estoque Conforme"/>
    <s v="SEM SOLICITACAO / FABBISOGNO'S"/>
    <m/>
  </r>
  <r>
    <n v="506"/>
    <x v="1"/>
    <m/>
    <s v="ALM00433"/>
    <s v=""/>
    <x v="1"/>
    <m/>
    <m/>
    <x v="432"/>
    <m/>
    <m/>
    <m/>
    <m/>
    <m/>
    <s v="E1303"/>
    <s v="E2-3-4"/>
    <n v="7"/>
    <n v="6"/>
    <n v="15"/>
    <n v="0"/>
    <n v="0"/>
    <n v="0"/>
    <n v="12"/>
    <m/>
    <m/>
    <m/>
    <m/>
    <s v="Estoque Conforme"/>
    <s v="SEM SOLICITACAO / FABBISOGNO'S"/>
    <m/>
  </r>
  <r>
    <n v="507"/>
    <x v="1"/>
    <m/>
    <s v="ALM00434"/>
    <s v=""/>
    <x v="1"/>
    <m/>
    <m/>
    <x v="433"/>
    <m/>
    <m/>
    <m/>
    <m/>
    <m/>
    <s v="E1303"/>
    <s v="E2-3-4"/>
    <n v="23"/>
    <n v="6"/>
    <n v="15"/>
    <n v="0"/>
    <n v="0"/>
    <n v="0"/>
    <n v="15"/>
    <m/>
    <m/>
    <m/>
    <m/>
    <s v="Estoque Conforme"/>
    <s v="SEM SOLICITACAO / FABBISOGNO'S"/>
    <m/>
  </r>
  <r>
    <n v="1309"/>
    <x v="1"/>
    <m/>
    <s v="ALM00435"/>
    <s v=""/>
    <x v="1"/>
    <s v="761327180671"/>
    <s v="180671"/>
    <x v="434"/>
    <m/>
    <m/>
    <m/>
    <s v="ROLAM/RETEN/GAXETAS"/>
    <m/>
    <s v="E1204"/>
    <s v="E2-3-4.1"/>
    <n v="2"/>
    <n v="1"/>
    <n v="15"/>
    <n v="25"/>
    <n v="50"/>
    <n v="25"/>
    <n v="15"/>
    <m/>
    <m/>
    <m/>
    <m/>
    <s v="Estoque Conforme"/>
    <s v="SEM SOLICITACAO / FABBISOGNO'S"/>
    <m/>
  </r>
  <r>
    <n v="501"/>
    <x v="1"/>
    <m/>
    <s v="ALM00436"/>
    <s v=""/>
    <x v="1"/>
    <m/>
    <m/>
    <x v="435"/>
    <m/>
    <m/>
    <m/>
    <s v="ROLAM/RETEN/GAXETAS"/>
    <m/>
    <s v="E1303"/>
    <s v="E2-3-5"/>
    <n v="4"/>
    <n v="8"/>
    <n v="15"/>
    <n v="0"/>
    <n v="0"/>
    <n v="0"/>
    <n v="9"/>
    <m/>
    <m/>
    <m/>
    <m/>
    <s v="Estoque em Nivel Minimo"/>
    <s v="COM SOLICITACAO / EM PROCESSO DE COMPRAS"/>
    <s v="3337/19"/>
  </r>
  <r>
    <n v="496"/>
    <x v="1"/>
    <m/>
    <s v="ALM00437"/>
    <s v=""/>
    <x v="1"/>
    <m/>
    <m/>
    <x v="436"/>
    <m/>
    <m/>
    <m/>
    <s v="ROLAM/RETEN/GAXETAS"/>
    <m/>
    <s v="E1203"/>
    <s v="E2-3-6"/>
    <n v="8"/>
    <n v="5"/>
    <n v="15"/>
    <n v="0"/>
    <n v="0"/>
    <n v="0"/>
    <n v="10"/>
    <m/>
    <m/>
    <m/>
    <m/>
    <s v="Estoque Conforme"/>
    <s v="SEM SOLICITACAO / FABBISOGNO'S"/>
    <m/>
  </r>
  <r>
    <n v="1372"/>
    <x v="1"/>
    <m/>
    <s v="ALM00438"/>
    <s v=""/>
    <x v="0"/>
    <m/>
    <m/>
    <x v="437"/>
    <m/>
    <m/>
    <m/>
    <m/>
    <m/>
    <s v="B1103"/>
    <s v="E2-3-6.1"/>
    <n v="0"/>
    <n v="1"/>
    <n v="2"/>
    <n v="0"/>
    <n v="0"/>
    <n v="0"/>
    <n v="3"/>
    <n v="1"/>
    <m/>
    <m/>
    <m/>
    <s v="Estoque Não Conforme"/>
    <s v="COM SOLICITACAO / EM PROCESSO DE COMPRAS"/>
    <s v="3367/19"/>
  </r>
  <r>
    <n v="473"/>
    <x v="1"/>
    <m/>
    <s v="ALM00439"/>
    <s v=""/>
    <x v="1"/>
    <m/>
    <m/>
    <x v="438"/>
    <m/>
    <m/>
    <m/>
    <s v="ROLAM/RETEN/GAXETAS"/>
    <m/>
    <s v="D2104"/>
    <s v="E2-4-1"/>
    <n v="4"/>
    <n v="4"/>
    <n v="15"/>
    <n v="0"/>
    <n v="0"/>
    <n v="0"/>
    <n v="4"/>
    <m/>
    <m/>
    <m/>
    <m/>
    <s v="Estoque Conforme"/>
    <s v="SEM SOLICITACAO / FABBISOGNO'S"/>
    <m/>
  </r>
  <r>
    <n v="207"/>
    <x v="1"/>
    <m/>
    <s v="ALM00440"/>
    <s v="GLASUTEC"/>
    <x v="1"/>
    <s v="713666164700"/>
    <s v="164700"/>
    <x v="439"/>
    <m/>
    <m/>
    <m/>
    <s v="ROLAM/RETEN/GAXETAS"/>
    <m/>
    <s v="D2104"/>
    <s v="E2-4-1.1"/>
    <n v="8"/>
    <n v="4"/>
    <n v="15"/>
    <n v="0"/>
    <n v="0"/>
    <n v="0"/>
    <n v="8"/>
    <m/>
    <m/>
    <m/>
    <m/>
    <s v="Estoque Conforme"/>
    <s v="SEM SOLICITACAO / FABBISOGNO'S"/>
    <m/>
  </r>
  <r>
    <n v="1340"/>
    <x v="1"/>
    <m/>
    <s v="ALM00441"/>
    <s v=""/>
    <x v="1"/>
    <m/>
    <m/>
    <x v="440"/>
    <m/>
    <m/>
    <m/>
    <s v="ROLAM/RETEN/GAXETAS"/>
    <m/>
    <s v="D2105"/>
    <s v="E2-4-2"/>
    <n v="2"/>
    <n v="1"/>
    <n v="5"/>
    <n v="2210.98"/>
    <n v="4421.96"/>
    <n v="2210.98"/>
    <n v="2"/>
    <m/>
    <m/>
    <m/>
    <m/>
    <s v="Estoque Conforme"/>
    <s v="SEM SOLICITACAO / FABBISOGNO'S"/>
    <m/>
  </r>
  <r>
    <n v="1235"/>
    <x v="1"/>
    <m/>
    <s v="ALM00442"/>
    <s v=""/>
    <x v="1"/>
    <s v="755799171895"/>
    <s v="171895"/>
    <x v="441"/>
    <m/>
    <m/>
    <m/>
    <m/>
    <m/>
    <s v="C1405"/>
    <s v="E2-4-2.1"/>
    <n v="2"/>
    <n v="1"/>
    <n v="3"/>
    <n v="0"/>
    <n v="0"/>
    <n v="0"/>
    <n v="2"/>
    <m/>
    <m/>
    <m/>
    <m/>
    <s v="Estoque Conforme"/>
    <s v="SEM SOLICITACAO / FABBISOGNO'S"/>
    <m/>
  </r>
  <r>
    <n v="1339"/>
    <x v="1"/>
    <m/>
    <s v="ALM00443"/>
    <s v=""/>
    <x v="1"/>
    <m/>
    <m/>
    <x v="442"/>
    <m/>
    <m/>
    <m/>
    <s v="ROLAM/RETEN/GAXETAS"/>
    <m/>
    <s v="D2105"/>
    <s v="E2-4-3"/>
    <n v="10"/>
    <n v="5"/>
    <n v="10"/>
    <n v="0"/>
    <n v="0"/>
    <n v="0"/>
    <n v="10"/>
    <m/>
    <m/>
    <m/>
    <m/>
    <s v="Estoque Conforme"/>
    <s v="SEM SOLICITACAO / FABBISOGNO'S"/>
    <m/>
  </r>
  <r>
    <n v="516"/>
    <x v="1"/>
    <m/>
    <s v="ALM00444"/>
    <s v="GLASUTEC"/>
    <x v="1"/>
    <m/>
    <m/>
    <x v="443"/>
    <m/>
    <m/>
    <m/>
    <s v="ROLAM/RETEN/GAXETAS"/>
    <m/>
    <s v="E1203"/>
    <s v="E2-4-3.1"/>
    <n v="15"/>
    <n v="4"/>
    <n v="15"/>
    <n v="50"/>
    <n v="750"/>
    <n v="200"/>
    <n v="15"/>
    <m/>
    <m/>
    <m/>
    <m/>
    <s v="Estoque Conforme"/>
    <s v="SEM SOLICITACAO / FABBISOGNO'S"/>
    <m/>
  </r>
  <r>
    <n v="1016"/>
    <x v="1"/>
    <m/>
    <s v="ALM00445"/>
    <s v=""/>
    <x v="1"/>
    <m/>
    <m/>
    <x v="444"/>
    <m/>
    <m/>
    <m/>
    <s v="ROLAM/RETEN/GAXETAS"/>
    <m/>
    <s v="E1204"/>
    <s v="E2-4-4"/>
    <n v="7"/>
    <n v="4"/>
    <n v="15"/>
    <n v="0"/>
    <n v="0"/>
    <n v="0"/>
    <n v="15"/>
    <m/>
    <m/>
    <m/>
    <m/>
    <s v="Estoque Conforme"/>
    <s v="SEM SOLICITACAO / FABBISOGNO'S"/>
    <m/>
  </r>
  <r>
    <n v="532"/>
    <x v="1"/>
    <s v="B"/>
    <s v="ALM00446"/>
    <s v="F.FENDER - M06"/>
    <x v="1"/>
    <m/>
    <m/>
    <x v="445"/>
    <m/>
    <m/>
    <m/>
    <m/>
    <m/>
    <s v="E1303"/>
    <s v="E2-4-4.1"/>
    <n v="21"/>
    <n v="5"/>
    <n v="20"/>
    <n v="0.5"/>
    <n v="10.5"/>
    <n v="2.5"/>
    <n v="21"/>
    <m/>
    <m/>
    <m/>
    <m/>
    <s v="Estoque Conforme"/>
    <s v="SEM SOLICITACAO / FABBISOGNO'S"/>
    <m/>
  </r>
  <r>
    <n v="499"/>
    <x v="1"/>
    <m/>
    <s v="ALM00447"/>
    <s v=""/>
    <x v="1"/>
    <s v="757510164701"/>
    <s v="164701"/>
    <x v="446"/>
    <m/>
    <m/>
    <m/>
    <s v="ROLAM/RETEN/GAXETAS"/>
    <m/>
    <s v="E1204"/>
    <s v="E2-4-5"/>
    <n v="10"/>
    <n v="5"/>
    <n v="15"/>
    <n v="0"/>
    <n v="0"/>
    <n v="0"/>
    <n v="14"/>
    <m/>
    <m/>
    <m/>
    <m/>
    <s v="Estoque Conforme"/>
    <s v="SEM SOLICITACAO / FABBISOGNO'S"/>
    <m/>
  </r>
  <r>
    <n v="1684"/>
    <x v="1"/>
    <m/>
    <s v="ALM00448"/>
    <s v=""/>
    <x v="0"/>
    <m/>
    <m/>
    <x v="447"/>
    <m/>
    <m/>
    <m/>
    <m/>
    <m/>
    <s v="A2406"/>
    <s v="C0-4"/>
    <n v="20"/>
    <m/>
    <n v="2"/>
    <n v="70.25"/>
    <n v="1405"/>
    <n v="0"/>
    <n v="5"/>
    <n v="3"/>
    <m/>
    <m/>
    <m/>
    <s v="Estoque Conforme"/>
    <s v="SEM SOLICITACAO / FABBISOGNO'S"/>
    <m/>
  </r>
  <r>
    <n v="813"/>
    <x v="1"/>
    <m/>
    <s v="ALM00449"/>
    <s v=""/>
    <x v="1"/>
    <m/>
    <m/>
    <x v="448"/>
    <m/>
    <m/>
    <m/>
    <m/>
    <m/>
    <s v="C1406"/>
    <s v="E2-4-6"/>
    <n v="1"/>
    <n v="1"/>
    <n v="2"/>
    <n v="0"/>
    <n v="0"/>
    <n v="0"/>
    <n v="1"/>
    <m/>
    <m/>
    <m/>
    <m/>
    <s v="Estoque Conforme"/>
    <s v="SEM SOLICITACAO / FABBISOGNO'S"/>
    <m/>
  </r>
  <r>
    <n v="1265"/>
    <x v="1"/>
    <m/>
    <s v="ALM00450"/>
    <s v=""/>
    <x v="1"/>
    <m/>
    <m/>
    <x v="449"/>
    <m/>
    <m/>
    <m/>
    <s v="ROLAM/RETEN/GAXETAS"/>
    <m/>
    <s v="D2102"/>
    <s v="E2-5-0"/>
    <n v="14"/>
    <n v="4"/>
    <n v="15"/>
    <n v="0"/>
    <n v="0"/>
    <n v="0"/>
    <n v="16"/>
    <m/>
    <m/>
    <m/>
    <m/>
    <s v="Estoque Conforme"/>
    <s v="SEM SOLICITACAO / FABBISOGNO'S"/>
    <m/>
  </r>
  <r>
    <n v="527"/>
    <x v="1"/>
    <s v="A"/>
    <s v="ALM00451"/>
    <s v="CARPETE - M35"/>
    <x v="1"/>
    <m/>
    <m/>
    <x v="450"/>
    <m/>
    <m/>
    <m/>
    <m/>
    <m/>
    <s v="D1202"/>
    <s v="E2-5-1"/>
    <n v="0"/>
    <n v="1"/>
    <n v="3"/>
    <n v="0"/>
    <n v="0"/>
    <n v="0"/>
    <n v="1"/>
    <m/>
    <m/>
    <m/>
    <m/>
    <s v="Estoque Não Conforme"/>
    <s v="SEM SOLICITACAO / FABBISOGNO'S"/>
    <m/>
  </r>
  <r>
    <n v="481"/>
    <x v="1"/>
    <m/>
    <s v="ALM00452"/>
    <s v=""/>
    <x v="1"/>
    <m/>
    <m/>
    <x v="451"/>
    <m/>
    <m/>
    <m/>
    <s v="ROLAM/RETEN/GAXETAS"/>
    <m/>
    <s v="E1405"/>
    <s v="E2-5-2"/>
    <n v="5"/>
    <n v="2"/>
    <n v="6"/>
    <n v="50"/>
    <n v="250"/>
    <n v="100"/>
    <n v="6"/>
    <m/>
    <m/>
    <m/>
    <m/>
    <s v="Estoque Conforme"/>
    <s v="SEM SOLICITACAO / FABBISOGNO'S"/>
    <m/>
  </r>
  <r>
    <n v="245"/>
    <x v="1"/>
    <m/>
    <s v="ALM00453"/>
    <s v="FORNO VERTICAL"/>
    <x v="1"/>
    <s v="757038900049"/>
    <s v="900049"/>
    <x v="452"/>
    <m/>
    <m/>
    <m/>
    <s v="ROLAM/RETEN/GAXETAS"/>
    <m/>
    <s v="E1405"/>
    <s v="E2-5-3"/>
    <n v="3"/>
    <n v="2"/>
    <n v="6"/>
    <n v="0"/>
    <n v="0"/>
    <n v="0"/>
    <n v="3"/>
    <m/>
    <m/>
    <m/>
    <m/>
    <s v="Estoque Conforme"/>
    <s v="SEM SOLICITACAO / FABBISOGNO'S"/>
    <m/>
  </r>
  <r>
    <n v="814"/>
    <x v="1"/>
    <m/>
    <s v="ALM00454"/>
    <s v="GLASUTEC"/>
    <x v="1"/>
    <s v="756744169123"/>
    <s v="169123"/>
    <x v="453"/>
    <m/>
    <m/>
    <m/>
    <m/>
    <m/>
    <s v="E1302"/>
    <s v="E2-5-4"/>
    <n v="4"/>
    <n v="2"/>
    <n v="8"/>
    <n v="0"/>
    <n v="0"/>
    <n v="0"/>
    <n v="4"/>
    <m/>
    <m/>
    <m/>
    <m/>
    <s v="Estoque Conforme"/>
    <s v="SEM SOLICITACAO / FABBISOGNO'S"/>
    <m/>
  </r>
  <r>
    <n v="595"/>
    <x v="1"/>
    <m/>
    <s v="ALM00455"/>
    <s v="TETO SOLAR 226"/>
    <x v="1"/>
    <m/>
    <m/>
    <x v="454"/>
    <m/>
    <m/>
    <m/>
    <m/>
    <m/>
    <m/>
    <s v="E2-6-1"/>
    <n v="13"/>
    <n v="3"/>
    <n v="10"/>
    <n v="0"/>
    <n v="0"/>
    <n v="0"/>
    <n v="10"/>
    <m/>
    <m/>
    <m/>
    <m/>
    <s v="Estoque Conforme"/>
    <s v="SEM SOLICITACAO / FABBISOGNO'S"/>
    <m/>
  </r>
  <r>
    <n v="188"/>
    <x v="1"/>
    <s v="A"/>
    <s v="ALM00456"/>
    <s v="LAMINADORA H. - M04"/>
    <x v="1"/>
    <s v="702782169085"/>
    <s v="169085"/>
    <x v="455"/>
    <m/>
    <s v="INDUSFACAS"/>
    <m/>
    <m/>
    <m/>
    <s v="E1301"/>
    <s v="E3-1-1"/>
    <n v="13"/>
    <n v="8"/>
    <n v="15"/>
    <n v="250"/>
    <n v="3250"/>
    <n v="2000"/>
    <n v="11"/>
    <m/>
    <m/>
    <m/>
    <m/>
    <s v="Estoque Conforme"/>
    <s v="SEM SOLICITACAO / FABBISOGNO'S"/>
    <m/>
  </r>
  <r>
    <n v="803"/>
    <x v="1"/>
    <m/>
    <s v="ALM00457"/>
    <s v="W.J"/>
    <x v="1"/>
    <m/>
    <m/>
    <x v="456"/>
    <m/>
    <m/>
    <m/>
    <s v="PNEUMATICO"/>
    <m/>
    <s v="C1104"/>
    <s v="E3-2-1"/>
    <n v="0"/>
    <n v="1"/>
    <n v="2"/>
    <n v="2073"/>
    <n v="0"/>
    <n v="2073"/>
    <n v="1"/>
    <m/>
    <m/>
    <m/>
    <m/>
    <s v="Estoque Não Conforme"/>
    <s v="SEM SOLICITACAO / FABBISOGNO'S"/>
    <m/>
  </r>
  <r>
    <n v="1296"/>
    <x v="1"/>
    <m/>
    <s v="ALM00458"/>
    <s v=""/>
    <x v="1"/>
    <m/>
    <m/>
    <x v="457"/>
    <m/>
    <m/>
    <m/>
    <s v="PNEUMATICO"/>
    <m/>
    <s v="C1104"/>
    <s v="E3-2-2"/>
    <n v="1"/>
    <n v="1"/>
    <n v="3"/>
    <n v="0"/>
    <n v="0"/>
    <n v="0"/>
    <n v="1"/>
    <m/>
    <m/>
    <m/>
    <m/>
    <s v="Estoque Conforme"/>
    <s v="SEM SOLICITACAO / FABBISOGNO'S"/>
    <m/>
  </r>
  <r>
    <n v="804"/>
    <x v="1"/>
    <m/>
    <s v="ALM00459"/>
    <s v="W.J"/>
    <x v="1"/>
    <m/>
    <m/>
    <x v="458"/>
    <m/>
    <m/>
    <m/>
    <s v="PNEUMATICO"/>
    <m/>
    <s v="C1104"/>
    <s v="E3-2-3"/>
    <n v="1"/>
    <n v="1"/>
    <n v="2"/>
    <n v="0"/>
    <n v="0"/>
    <n v="0"/>
    <n v="1"/>
    <m/>
    <m/>
    <m/>
    <m/>
    <s v="Estoque Conforme"/>
    <s v="SEM SOLICITACAO / FABBISOGNO'S"/>
    <m/>
  </r>
  <r>
    <n v="189"/>
    <x v="1"/>
    <s v="A"/>
    <s v="ALM00460"/>
    <s v="FORNO VERTICAL - M18"/>
    <x v="1"/>
    <m/>
    <m/>
    <x v="459"/>
    <m/>
    <m/>
    <m/>
    <m/>
    <m/>
    <s v="E2202"/>
    <s v="E3-2-4"/>
    <n v="4"/>
    <n v="1"/>
    <n v="15"/>
    <n v="0"/>
    <n v="0"/>
    <n v="0"/>
    <n v="2"/>
    <m/>
    <m/>
    <m/>
    <m/>
    <s v="Estoque Conforme"/>
    <s v="SEM SOLICITACAO / FABBISOGNO'S"/>
    <m/>
  </r>
  <r>
    <n v="191"/>
    <x v="1"/>
    <m/>
    <s v="ALM00461"/>
    <s v=""/>
    <x v="1"/>
    <s v="713666164710"/>
    <s v="164710"/>
    <x v="460"/>
    <m/>
    <m/>
    <m/>
    <s v="ROLAM/RETEN/GAXETAS"/>
    <m/>
    <s v="D2103"/>
    <s v="E3-3-1"/>
    <n v="4"/>
    <n v="4"/>
    <n v="15"/>
    <n v="0"/>
    <n v="0"/>
    <n v="0"/>
    <n v="3"/>
    <n v="60"/>
    <m/>
    <m/>
    <m/>
    <s v="Estoque Conforme"/>
    <s v="SEM SOLICITACAO / FABBISOGNO'S"/>
    <m/>
  </r>
  <r>
    <n v="192"/>
    <x v="1"/>
    <m/>
    <s v="ALM00462"/>
    <s v=""/>
    <x v="1"/>
    <s v="755943164705"/>
    <s v="164705"/>
    <x v="461"/>
    <m/>
    <m/>
    <m/>
    <s v="ROLAM/RETEN/GAXETAS"/>
    <m/>
    <s v="D2103"/>
    <s v="E3-3-2"/>
    <n v="5"/>
    <n v="3"/>
    <n v="10"/>
    <n v="100"/>
    <n v="500"/>
    <n v="300"/>
    <n v="5"/>
    <n v="7.9"/>
    <m/>
    <m/>
    <m/>
    <s v="Estoque Conforme"/>
    <s v="SEM SOLICITACAO / FABBISOGNO'S"/>
    <m/>
  </r>
  <r>
    <n v="193"/>
    <x v="1"/>
    <m/>
    <s v="ALM00463"/>
    <s v=""/>
    <x v="1"/>
    <m/>
    <m/>
    <x v="462"/>
    <m/>
    <m/>
    <m/>
    <s v="ROLAM/RETEN/GAXETAS"/>
    <m/>
    <s v="D2103"/>
    <s v="E3-3-3"/>
    <n v="8"/>
    <n v="4"/>
    <n v="15"/>
    <n v="105.15"/>
    <n v="841.2"/>
    <n v="420.6"/>
    <n v="7"/>
    <m/>
    <m/>
    <m/>
    <m/>
    <s v="Estoque Conforme"/>
    <s v="SEM SOLICITACAO / FABBISOGNO'S"/>
    <m/>
  </r>
  <r>
    <n v="194"/>
    <x v="1"/>
    <m/>
    <s v="ALM00464"/>
    <s v=""/>
    <x v="1"/>
    <s v="713666164704"/>
    <s v="164704"/>
    <x v="463"/>
    <m/>
    <m/>
    <m/>
    <s v="ROLAM/RETEN/GAXETAS"/>
    <m/>
    <s v="D2103"/>
    <s v="E3-3-4"/>
    <n v="7"/>
    <n v="4"/>
    <n v="15"/>
    <n v="0"/>
    <n v="0"/>
    <n v="0"/>
    <n v="7"/>
    <n v="10"/>
    <m/>
    <m/>
    <m/>
    <s v="Estoque Conforme"/>
    <s v="SEM SOLICITACAO / FABBISOGNO'S"/>
    <m/>
  </r>
  <r>
    <n v="195"/>
    <x v="1"/>
    <m/>
    <s v="ALM00465"/>
    <s v=""/>
    <x v="1"/>
    <s v="761327171052"/>
    <s v="171052"/>
    <x v="464"/>
    <m/>
    <m/>
    <m/>
    <m/>
    <m/>
    <s v="D1203"/>
    <s v="E3-3-5"/>
    <n v="6"/>
    <n v="3"/>
    <n v="10"/>
    <n v="190"/>
    <n v="1140"/>
    <n v="570"/>
    <n v="5"/>
    <m/>
    <m/>
    <m/>
    <m/>
    <s v="Estoque Conforme"/>
    <s v="SEM SOLICITACAO / FABBISOGNO'S"/>
    <m/>
  </r>
  <r>
    <n v="196"/>
    <x v="1"/>
    <m/>
    <s v="ALM00466"/>
    <s v=""/>
    <x v="1"/>
    <m/>
    <m/>
    <x v="465"/>
    <m/>
    <m/>
    <m/>
    <s v="ROLAM/RETEN/GAXETAS"/>
    <m/>
    <s v="D2102"/>
    <s v="E3-3-6"/>
    <n v="22"/>
    <n v="10"/>
    <n v="15"/>
    <n v="0"/>
    <n v="0"/>
    <n v="0"/>
    <n v="49"/>
    <m/>
    <m/>
    <m/>
    <m/>
    <s v="Estoque Conforme"/>
    <s v="SEM SOLICITACAO / FABBISOGNO'S"/>
    <m/>
  </r>
  <r>
    <n v="197"/>
    <x v="1"/>
    <m/>
    <s v="ALM00467"/>
    <s v=""/>
    <x v="1"/>
    <m/>
    <m/>
    <x v="466"/>
    <m/>
    <m/>
    <m/>
    <s v="ROLAM/RETEN/GAXETAS"/>
    <m/>
    <s v="D2104"/>
    <s v="E3-4-1"/>
    <n v="0"/>
    <n v="4"/>
    <n v="15"/>
    <n v="0"/>
    <n v="0"/>
    <n v="0"/>
    <n v="6"/>
    <m/>
    <m/>
    <m/>
    <m/>
    <s v="Estoque Não Conforme"/>
    <s v="COM SOLICITACAO / EM PROCESSO DE COMPRAS"/>
    <s v="3337/19"/>
  </r>
  <r>
    <n v="203"/>
    <x v="1"/>
    <m/>
    <s v="ALM00468"/>
    <s v=""/>
    <x v="1"/>
    <m/>
    <m/>
    <x v="467"/>
    <m/>
    <m/>
    <m/>
    <s v="ROLAM/RETEN/GAXETAS"/>
    <m/>
    <s v="D2104"/>
    <s v="E3-4-1.1"/>
    <n v="2"/>
    <n v="2"/>
    <n v="15"/>
    <n v="0"/>
    <n v="0"/>
    <n v="0"/>
    <n v="4"/>
    <n v="47"/>
    <m/>
    <m/>
    <m/>
    <s v="Estoque Conforme"/>
    <s v="SEM SOLICITACAO / FABBISOGNO'S"/>
    <m/>
  </r>
  <r>
    <n v="1685"/>
    <x v="1"/>
    <m/>
    <s v="ALM00469"/>
    <s v="FORNO VERTICAL - M18"/>
    <x v="0"/>
    <m/>
    <m/>
    <x v="468"/>
    <m/>
    <m/>
    <m/>
    <m/>
    <m/>
    <s v="A1303"/>
    <s v="E3-4-2"/>
    <n v="2"/>
    <m/>
    <n v="1"/>
    <n v="0"/>
    <n v="0"/>
    <n v="0"/>
    <n v="3"/>
    <n v="2"/>
    <m/>
    <m/>
    <m/>
    <s v="Estoque Conforme"/>
    <s v="SEM SOLICITACAO / FABBISOGNO'S"/>
    <m/>
  </r>
  <r>
    <n v="204"/>
    <x v="1"/>
    <m/>
    <s v="ALM00470"/>
    <s v=""/>
    <x v="1"/>
    <s v="713666164712"/>
    <s v="164712"/>
    <x v="469"/>
    <m/>
    <m/>
    <m/>
    <s v="ROLAM/RETEN/GAXETAS"/>
    <m/>
    <s v="D2104"/>
    <s v="E3-4-2.1"/>
    <n v="6"/>
    <n v="4"/>
    <n v="15"/>
    <n v="0"/>
    <n v="0"/>
    <n v="0"/>
    <n v="8"/>
    <m/>
    <m/>
    <m/>
    <m/>
    <s v="Estoque Conforme"/>
    <s v="SEM SOLICITACAO / FABBISOGNO'S"/>
    <m/>
  </r>
  <r>
    <n v="1355"/>
    <x v="1"/>
    <m/>
    <s v="ALM00471"/>
    <s v=""/>
    <x v="1"/>
    <m/>
    <m/>
    <x v="470"/>
    <m/>
    <m/>
    <m/>
    <s v="ROLAM/RETEN/GAXETAS"/>
    <m/>
    <s v="D2104"/>
    <s v="E3-4-3"/>
    <n v="10"/>
    <n v="5"/>
    <n v="10"/>
    <n v="0"/>
    <n v="0"/>
    <n v="0"/>
    <n v="5"/>
    <m/>
    <m/>
    <m/>
    <m/>
    <s v="Estoque Conforme"/>
    <s v="SEM SOLICITACAO / FABBISOGNO'S"/>
    <m/>
  </r>
  <r>
    <n v="205"/>
    <x v="1"/>
    <m/>
    <s v="ALM00472"/>
    <s v=""/>
    <x v="1"/>
    <s v="761147172297"/>
    <s v="172297"/>
    <x v="471"/>
    <m/>
    <m/>
    <m/>
    <s v="ROLAM/RETEN/GAXETAS"/>
    <m/>
    <s v="D2104"/>
    <s v="E3-4-3.1"/>
    <n v="5"/>
    <n v="4"/>
    <n v="15"/>
    <n v="0"/>
    <n v="0"/>
    <n v="0"/>
    <n v="5"/>
    <m/>
    <m/>
    <m/>
    <m/>
    <s v="Estoque Conforme"/>
    <s v="SEM SOLICITACAO / FABBISOGNO'S"/>
    <m/>
  </r>
  <r>
    <n v="200"/>
    <x v="1"/>
    <m/>
    <s v="ALM00473"/>
    <s v=""/>
    <x v="1"/>
    <m/>
    <m/>
    <x v="472"/>
    <m/>
    <m/>
    <m/>
    <s v="ROLAM/RETEN/GAXETAS"/>
    <m/>
    <s v="D2104"/>
    <s v="E3-4-4"/>
    <n v="6"/>
    <n v="4"/>
    <n v="15"/>
    <n v="50"/>
    <n v="300"/>
    <n v="200"/>
    <n v="6"/>
    <n v="15"/>
    <m/>
    <m/>
    <m/>
    <s v="Estoque Conforme"/>
    <s v="SEM SOLICITACAO / FABBISOGNO'S"/>
    <m/>
  </r>
  <r>
    <n v="1708"/>
    <x v="1"/>
    <m/>
    <s v="ALM00474"/>
    <s v="MOLDAGEM INNER"/>
    <x v="1"/>
    <m/>
    <m/>
    <x v="473"/>
    <m/>
    <m/>
    <m/>
    <s v="ROLAM/RETEN/GAXETAS"/>
    <m/>
    <s v="D2102"/>
    <s v="E3-4-4.1"/>
    <n v="4"/>
    <m/>
    <n v="2"/>
    <n v="0"/>
    <n v="0"/>
    <n v="0"/>
    <n v="5"/>
    <n v="4"/>
    <m/>
    <m/>
    <m/>
    <s v="Estoque Conforme"/>
    <s v="SEM SOLICITACAO / FABBISOGNO'S"/>
    <m/>
  </r>
  <r>
    <n v="201"/>
    <x v="1"/>
    <m/>
    <s v="ALM00475"/>
    <s v=""/>
    <x v="1"/>
    <s v="713666164703"/>
    <s v="164703"/>
    <x v="474"/>
    <m/>
    <m/>
    <m/>
    <s v="ROLAM/RETEN/GAXETAS"/>
    <m/>
    <s v="D2104"/>
    <s v="E3-4-5"/>
    <n v="6"/>
    <n v="3"/>
    <n v="15"/>
    <n v="0"/>
    <n v="0"/>
    <n v="0"/>
    <n v="8"/>
    <n v="16"/>
    <m/>
    <m/>
    <m/>
    <s v="Estoque Conforme"/>
    <s v="SEM SOLICITACAO / FABBISOGNO'S"/>
    <m/>
  </r>
  <r>
    <n v="1348"/>
    <x v="1"/>
    <m/>
    <s v="ALM00476"/>
    <s v=""/>
    <x v="1"/>
    <m/>
    <m/>
    <x v="475"/>
    <m/>
    <m/>
    <m/>
    <s v="ROLAM/RETEN/GAXETAS"/>
    <m/>
    <s v="D2104"/>
    <s v="E3-4-5.1"/>
    <n v="3"/>
    <n v="2"/>
    <n v="10"/>
    <n v="160"/>
    <n v="480"/>
    <n v="320"/>
    <n v="3"/>
    <m/>
    <m/>
    <m/>
    <m/>
    <s v="Estoque Conforme"/>
    <s v="SEM SOLICITACAO / FABBISOGNO'S"/>
    <m/>
  </r>
  <r>
    <n v="202"/>
    <x v="1"/>
    <m/>
    <s v="ALM00477"/>
    <s v="GLASUTEC"/>
    <x v="1"/>
    <s v="755943172391"/>
    <s v="172391"/>
    <x v="476"/>
    <m/>
    <m/>
    <m/>
    <s v="ROLAM/RETEN/GAXETAS"/>
    <m/>
    <s v="D2104"/>
    <s v="E3-4-6"/>
    <n v="15"/>
    <n v="2"/>
    <n v="15"/>
    <n v="82"/>
    <n v="1230"/>
    <n v="164"/>
    <n v="13"/>
    <m/>
    <m/>
    <m/>
    <m/>
    <s v="Estoque Conforme"/>
    <s v="SEM SOLICITACAO / FABBISOGNO'S"/>
    <m/>
  </r>
  <r>
    <n v="199"/>
    <x v="1"/>
    <m/>
    <s v="ALM00478"/>
    <s v=""/>
    <x v="1"/>
    <s v="755943177253"/>
    <s v="177253"/>
    <x v="477"/>
    <m/>
    <m/>
    <m/>
    <s v="ROLAM/RETEN/GAXETAS"/>
    <m/>
    <s v="D2104"/>
    <s v="E3-4-6.1"/>
    <n v="1"/>
    <n v="4"/>
    <n v="15"/>
    <n v="0"/>
    <n v="0"/>
    <n v="0"/>
    <n v="1"/>
    <n v="27"/>
    <m/>
    <m/>
    <m/>
    <s v="Estoque em Nivel Minimo"/>
    <s v="COM SOLICITACAO / EM PROCESSO DE COMPRAS"/>
    <s v="3337/19"/>
  </r>
  <r>
    <n v="208"/>
    <x v="1"/>
    <m/>
    <s v="ALM00479"/>
    <s v="GLASUTEC"/>
    <x v="1"/>
    <s v="713666164709"/>
    <s v="164709"/>
    <x v="478"/>
    <m/>
    <m/>
    <m/>
    <s v="ROLAM/RETEN/GAXETAS"/>
    <m/>
    <s v="D2102"/>
    <s v="E3-5-1"/>
    <n v="11"/>
    <n v="4"/>
    <n v="15"/>
    <n v="132"/>
    <n v="1452"/>
    <n v="528"/>
    <n v="16"/>
    <m/>
    <m/>
    <m/>
    <m/>
    <s v="Estoque Conforme"/>
    <s v="SEM SOLICITACAO / FABBISOGNO'S"/>
    <m/>
  </r>
  <r>
    <n v="210"/>
    <x v="1"/>
    <s v="A"/>
    <s v="ALM00480"/>
    <s v="F.FENDER - M06"/>
    <x v="1"/>
    <m/>
    <m/>
    <x v="479"/>
    <m/>
    <m/>
    <m/>
    <m/>
    <m/>
    <s v="E1404"/>
    <s v="E3-5-2"/>
    <n v="1"/>
    <n v="3"/>
    <n v="6"/>
    <n v="500"/>
    <n v="500"/>
    <n v="1500"/>
    <n v="4"/>
    <m/>
    <m/>
    <m/>
    <m/>
    <s v="Estoque em Nivel Minimo"/>
    <s v="COM SOLICITACAO / EM PROCESSO DE COMPRAS"/>
    <s v="3337/19"/>
  </r>
  <r>
    <n v="211"/>
    <x v="1"/>
    <m/>
    <s v="ALM00481"/>
    <s v="INNER M08"/>
    <x v="1"/>
    <m/>
    <m/>
    <x v="480"/>
    <m/>
    <m/>
    <m/>
    <m/>
    <m/>
    <s v="E2405"/>
    <s v="E3-5-3"/>
    <n v="6"/>
    <n v="2"/>
    <n v="6"/>
    <n v="238.85333333333332"/>
    <n v="1433.12"/>
    <n v="477.70666666666665"/>
    <n v="4"/>
    <m/>
    <m/>
    <m/>
    <m/>
    <s v="Estoque Conforme"/>
    <s v="COM SOLICITACAO / EM PROCESSO DE COMPRAS"/>
    <s v="3281/19"/>
  </r>
  <r>
    <n v="212"/>
    <x v="1"/>
    <m/>
    <s v="ALM00482"/>
    <s v="INNER"/>
    <x v="1"/>
    <m/>
    <m/>
    <x v="481"/>
    <m/>
    <m/>
    <m/>
    <m/>
    <m/>
    <s v="D1103"/>
    <s v="E3-5-4"/>
    <n v="3"/>
    <n v="2"/>
    <n v="6"/>
    <n v="100"/>
    <n v="300"/>
    <n v="200"/>
    <n v="5"/>
    <m/>
    <m/>
    <m/>
    <m/>
    <s v="Estoque Conforme"/>
    <s v="SEM SOLICITACAO / FABBISOGNO'S"/>
    <m/>
  </r>
  <r>
    <n v="271"/>
    <x v="1"/>
    <m/>
    <s v="ALM00483"/>
    <s v=""/>
    <x v="1"/>
    <m/>
    <m/>
    <x v="482"/>
    <m/>
    <m/>
    <m/>
    <s v="ROLAM/RETEN/GAXETAS"/>
    <m/>
    <s v="D1105"/>
    <s v="E3-5-5"/>
    <n v="0"/>
    <n v="3"/>
    <n v="15"/>
    <n v="360"/>
    <n v="0"/>
    <n v="1080"/>
    <n v="0"/>
    <m/>
    <m/>
    <m/>
    <m/>
    <s v="Estoque Não Conforme"/>
    <s v="COM SOLICITACAO / EM PROCESSO DE COMPRAS"/>
    <s v="3337/19"/>
  </r>
  <r>
    <n v="209"/>
    <x v="1"/>
    <m/>
    <s v="ALM00484"/>
    <s v="ROBO DE COLA"/>
    <x v="1"/>
    <m/>
    <m/>
    <x v="483"/>
    <m/>
    <m/>
    <m/>
    <s v="ROLAM/RETEN/GAXETAS"/>
    <m/>
    <s v="D1103"/>
    <s v="E3-5-6"/>
    <n v="0"/>
    <n v="2"/>
    <n v="6"/>
    <n v="0"/>
    <n v="0"/>
    <n v="0"/>
    <n v="3"/>
    <m/>
    <m/>
    <m/>
    <m/>
    <s v="Estoque Não Conforme"/>
    <s v="COM SOLICITACAO / EM PROCESSO DE COMPRAS"/>
    <s v="3337/19"/>
  </r>
  <r>
    <n v="1352"/>
    <x v="1"/>
    <m/>
    <s v="ALM00485"/>
    <s v=""/>
    <x v="0"/>
    <m/>
    <m/>
    <x v="484"/>
    <m/>
    <m/>
    <m/>
    <m/>
    <m/>
    <s v="A1301"/>
    <s v="E3-6-1"/>
    <n v="6"/>
    <n v="4"/>
    <n v="10"/>
    <n v="0"/>
    <n v="0"/>
    <n v="0"/>
    <n v="10"/>
    <m/>
    <m/>
    <m/>
    <m/>
    <s v="Estoque Conforme"/>
    <s v="SEM SOLICITACAO / FABBISOGNO'S"/>
    <m/>
  </r>
  <r>
    <n v="213"/>
    <x v="1"/>
    <m/>
    <s v="ALM00486"/>
    <s v=""/>
    <x v="1"/>
    <s v="713592172812"/>
    <s v="172812"/>
    <x v="485"/>
    <m/>
    <s v="HYDAC"/>
    <m/>
    <s v="FILTROS"/>
    <m/>
    <s v="C2403"/>
    <s v="F1-2-1"/>
    <n v="1"/>
    <n v="2"/>
    <n v="5"/>
    <n v="960"/>
    <n v="960"/>
    <n v="1920"/>
    <n v="2"/>
    <m/>
    <m/>
    <m/>
    <m/>
    <s v="Estoque em Nivel Minimo"/>
    <s v="COM SOLICITACAO / EM PROCESSO DE COMPRAS"/>
    <s v="3337/19"/>
  </r>
  <r>
    <n v="1259"/>
    <x v="1"/>
    <m/>
    <s v="ALM00487"/>
    <s v="ROBO DE COLA TETO"/>
    <x v="1"/>
    <m/>
    <m/>
    <x v="486"/>
    <m/>
    <m/>
    <m/>
    <m/>
    <m/>
    <s v="D1204"/>
    <s v="F1-2-2"/>
    <n v="3"/>
    <n v="2"/>
    <n v="10"/>
    <n v="308"/>
    <n v="924"/>
    <n v="616"/>
    <n v="6"/>
    <m/>
    <m/>
    <m/>
    <m/>
    <s v="Estoque Conforme"/>
    <s v="SEM SOLICITACAO / FABBISOGNO'S"/>
    <m/>
  </r>
  <r>
    <n v="1260"/>
    <x v="1"/>
    <m/>
    <s v="ALM00488"/>
    <s v="ROBO DE COLA TETO"/>
    <x v="1"/>
    <m/>
    <m/>
    <x v="487"/>
    <m/>
    <m/>
    <m/>
    <m/>
    <m/>
    <s v="D1204"/>
    <s v="F1-2-3"/>
    <n v="11"/>
    <n v="2"/>
    <n v="10"/>
    <n v="308"/>
    <n v="3388"/>
    <n v="616"/>
    <n v="10"/>
    <m/>
    <m/>
    <m/>
    <m/>
    <s v="Estoque Conforme"/>
    <s v="SEM SOLICITACAO / FABBISOGNO'S"/>
    <m/>
  </r>
  <r>
    <n v="214"/>
    <x v="1"/>
    <s v="A"/>
    <s v="ALM00489"/>
    <s v="PREN.HIDR. 300 TON-M15/M16/M30"/>
    <x v="1"/>
    <m/>
    <m/>
    <x v="488"/>
    <m/>
    <s v="REXROTH"/>
    <m/>
    <s v="FILTROS"/>
    <m/>
    <s v="C2402"/>
    <s v="F1-2-4"/>
    <n v="3"/>
    <n v="2"/>
    <n v="5"/>
    <n v="1197"/>
    <n v="3591"/>
    <n v="2394"/>
    <n v="2"/>
    <n v="14.44"/>
    <m/>
    <m/>
    <m/>
    <s v="Estoque Conforme"/>
    <s v="SEM SOLICITACAO / FABBISOGNO'S"/>
    <m/>
  </r>
  <r>
    <n v="576"/>
    <x v="1"/>
    <m/>
    <s v="ALM00490"/>
    <s v=""/>
    <x v="1"/>
    <m/>
    <m/>
    <x v="489"/>
    <m/>
    <m/>
    <m/>
    <s v="FILTROS"/>
    <m/>
    <s v="C2402"/>
    <s v="F1-3-1"/>
    <n v="2"/>
    <n v="2"/>
    <n v="5"/>
    <n v="840"/>
    <n v="1680"/>
    <n v="1680"/>
    <n v="2"/>
    <m/>
    <m/>
    <m/>
    <m/>
    <s v="Estoque Conforme"/>
    <s v="SEM SOLICITACAO / FABBISOGNO'S"/>
    <m/>
  </r>
  <r>
    <n v="1190"/>
    <x v="1"/>
    <m/>
    <s v="ALM00491"/>
    <s v="W.J"/>
    <x v="1"/>
    <m/>
    <m/>
    <x v="490"/>
    <m/>
    <m/>
    <m/>
    <m/>
    <m/>
    <s v="E1204"/>
    <s v="F1-3-2"/>
    <n v="2"/>
    <n v="5"/>
    <n v="10"/>
    <n v="10"/>
    <n v="20"/>
    <n v="50"/>
    <n v="6"/>
    <m/>
    <m/>
    <m/>
    <m/>
    <s v="Estoque em Nivel Minimo"/>
    <s v="SEM SOLICITACAO / FABBISOGNO'S"/>
    <m/>
  </r>
  <r>
    <n v="1189"/>
    <x v="1"/>
    <m/>
    <s v="ALM00492"/>
    <s v="W.J"/>
    <x v="1"/>
    <m/>
    <m/>
    <x v="491"/>
    <m/>
    <m/>
    <m/>
    <m/>
    <m/>
    <s v="E1204"/>
    <s v="F1-3-2"/>
    <n v="4"/>
    <n v="5"/>
    <n v="10"/>
    <n v="10"/>
    <n v="40"/>
    <n v="50"/>
    <n v="4"/>
    <m/>
    <m/>
    <m/>
    <m/>
    <s v="Estoque em Nivel Minimo"/>
    <s v="SEM SOLICITACAO / FABBISOGNO'S"/>
    <m/>
  </r>
  <r>
    <n v="577"/>
    <x v="1"/>
    <m/>
    <s v="ALM00493"/>
    <s v=""/>
    <x v="1"/>
    <m/>
    <m/>
    <x v="492"/>
    <m/>
    <m/>
    <m/>
    <s v="FILTROS"/>
    <m/>
    <s v="C2402"/>
    <s v="F1-3-4"/>
    <n v="3"/>
    <n v="2"/>
    <n v="5"/>
    <n v="0"/>
    <n v="0"/>
    <n v="0"/>
    <n v="3"/>
    <m/>
    <m/>
    <m/>
    <m/>
    <s v="Estoque Conforme"/>
    <s v="SEM SOLICITACAO / FABBISOGNO'S"/>
    <m/>
  </r>
  <r>
    <n v="1316"/>
    <x v="1"/>
    <m/>
    <s v="ALM00494"/>
    <s v=""/>
    <x v="1"/>
    <m/>
    <m/>
    <x v="493"/>
    <m/>
    <m/>
    <m/>
    <s v="FILTROS"/>
    <m/>
    <s v="C2402"/>
    <s v="F1-3-5"/>
    <n v="3"/>
    <n v="2"/>
    <n v="5"/>
    <n v="170"/>
    <n v="510"/>
    <n v="340"/>
    <n v="3"/>
    <m/>
    <m/>
    <m/>
    <m/>
    <s v="Estoque Conforme"/>
    <s v="SEM SOLICITACAO / FABBISOGNO'S"/>
    <m/>
  </r>
  <r>
    <n v="217"/>
    <x v="1"/>
    <m/>
    <s v="ALM00495"/>
    <s v=""/>
    <x v="1"/>
    <s v="713592800500"/>
    <s v="800500"/>
    <x v="494"/>
    <m/>
    <s v="HYDAC"/>
    <m/>
    <s v="FILTROS"/>
    <m/>
    <s v="C2406"/>
    <s v="F1-4-1"/>
    <n v="0"/>
    <n v="2"/>
    <n v="5"/>
    <n v="1900"/>
    <n v="0"/>
    <n v="3800"/>
    <n v="4"/>
    <m/>
    <m/>
    <m/>
    <m/>
    <s v="Estoque Não Conforme"/>
    <s v="COM SOLICITACAO / EM PROCESSO DE COMPRAS"/>
    <s v="3337/19"/>
  </r>
  <r>
    <n v="221"/>
    <x v="1"/>
    <m/>
    <s v="ALM00496"/>
    <s v=""/>
    <x v="1"/>
    <s v="757565165020"/>
    <s v="165020"/>
    <x v="495"/>
    <m/>
    <m/>
    <m/>
    <s v="FILTROS"/>
    <m/>
    <s v="C2405"/>
    <s v="F1-4-2"/>
    <n v="3"/>
    <n v="2"/>
    <n v="5"/>
    <n v="0"/>
    <n v="0"/>
    <n v="0"/>
    <n v="3"/>
    <m/>
    <m/>
    <m/>
    <m/>
    <s v="Estoque Conforme"/>
    <s v="SEM SOLICITACAO / FABBISOGNO'S"/>
    <m/>
  </r>
  <r>
    <n v="222"/>
    <x v="1"/>
    <m/>
    <s v="ALM00497"/>
    <s v=""/>
    <x v="1"/>
    <m/>
    <m/>
    <x v="496"/>
    <m/>
    <m/>
    <m/>
    <s v="FILTROS"/>
    <m/>
    <s v="C2406"/>
    <s v="F1-4-3"/>
    <n v="1"/>
    <n v="2"/>
    <n v="5"/>
    <n v="205.8"/>
    <n v="205.8"/>
    <n v="411.6"/>
    <n v="2"/>
    <m/>
    <m/>
    <m/>
    <m/>
    <s v="Estoque em Nivel Minimo"/>
    <s v="COM SOLICITACAO / EM PROCESSO DE COMPRAS"/>
    <s v="3337/19"/>
  </r>
  <r>
    <n v="1326"/>
    <x v="1"/>
    <m/>
    <s v="ALM00498"/>
    <s v=""/>
    <x v="1"/>
    <m/>
    <m/>
    <x v="497"/>
    <m/>
    <m/>
    <m/>
    <s v="FILTROS"/>
    <m/>
    <s v="C2402"/>
    <s v="F1-4-4"/>
    <n v="2"/>
    <n v="1"/>
    <n v="3"/>
    <n v="687.76"/>
    <n v="1375.52"/>
    <n v="687.76"/>
    <n v="2"/>
    <m/>
    <m/>
    <m/>
    <m/>
    <s v="Estoque Conforme"/>
    <s v="SEM SOLICITACAO / FABBISOGNO'S"/>
    <m/>
  </r>
  <r>
    <n v="223"/>
    <x v="1"/>
    <m/>
    <s v="ALM00499"/>
    <s v=""/>
    <x v="1"/>
    <m/>
    <m/>
    <x v="498"/>
    <m/>
    <s v="REXROTH"/>
    <m/>
    <s v="FILTROS"/>
    <m/>
    <s v="C2403"/>
    <s v="F1-5-1"/>
    <n v="2"/>
    <n v="1"/>
    <n v="5"/>
    <n v="0"/>
    <n v="0"/>
    <n v="0"/>
    <n v="2"/>
    <m/>
    <m/>
    <m/>
    <m/>
    <s v="Estoque Conforme"/>
    <s v="SEM SOLICITACAO / FABBISOGNO'S"/>
    <m/>
  </r>
  <r>
    <n v="518"/>
    <x v="1"/>
    <m/>
    <s v="ALM00500"/>
    <s v=""/>
    <x v="1"/>
    <m/>
    <m/>
    <x v="499"/>
    <m/>
    <m/>
    <m/>
    <s v="FILTROS"/>
    <m/>
    <s v="C2403"/>
    <s v="F1-5-2"/>
    <n v="2"/>
    <n v="2"/>
    <n v="5"/>
    <n v="560"/>
    <n v="1120"/>
    <n v="1120"/>
    <n v="3"/>
    <m/>
    <m/>
    <m/>
    <m/>
    <s v="Estoque Conforme"/>
    <s v="SEM SOLICITACAO / FABBISOGNO'S"/>
    <m/>
  </r>
  <r>
    <n v="224"/>
    <x v="1"/>
    <s v="B"/>
    <s v="ALM00501"/>
    <s v="F.FENDER - M06"/>
    <x v="1"/>
    <s v="713592177122"/>
    <s v="177122"/>
    <x v="500"/>
    <m/>
    <m/>
    <m/>
    <m/>
    <m/>
    <s v="C2403"/>
    <s v="F1-5-3"/>
    <n v="0"/>
    <n v="2"/>
    <n v="5"/>
    <n v="1140"/>
    <n v="0"/>
    <n v="2280"/>
    <n v="3"/>
    <m/>
    <m/>
    <m/>
    <m/>
    <s v="Estoque Não Conforme"/>
    <s v="COM SOLICITACAO / EM PROCESSO DE COMPRAS"/>
    <s v="3337/19"/>
  </r>
  <r>
    <n v="519"/>
    <x v="1"/>
    <m/>
    <s v="ALM00502"/>
    <s v=""/>
    <x v="1"/>
    <s v="713592800508"/>
    <s v="800508"/>
    <x v="501"/>
    <m/>
    <m/>
    <m/>
    <s v="FILTROS"/>
    <m/>
    <s v="C2404"/>
    <s v="F1-5-4"/>
    <n v="0"/>
    <n v="2"/>
    <n v="5"/>
    <n v="711"/>
    <n v="0"/>
    <n v="1422"/>
    <n v="2"/>
    <m/>
    <m/>
    <m/>
    <m/>
    <s v="Estoque Não Conforme"/>
    <s v="COM SOLICITACAO / EM PROCESSO DE COMPRAS"/>
    <s v="3370/19"/>
  </r>
  <r>
    <n v="520"/>
    <x v="1"/>
    <m/>
    <s v="ALM00503"/>
    <s v=""/>
    <x v="1"/>
    <m/>
    <m/>
    <x v="502"/>
    <m/>
    <m/>
    <m/>
    <s v="HIDRAULICO"/>
    <m/>
    <s v="C2406"/>
    <s v="F1-5-5"/>
    <n v="1"/>
    <n v="1"/>
    <n v="5"/>
    <n v="0"/>
    <n v="0"/>
    <n v="0"/>
    <n v="1"/>
    <m/>
    <m/>
    <m/>
    <m/>
    <s v="Estoque Conforme"/>
    <s v="SEM SOLICITACAO / FABBISOGNO'S"/>
    <m/>
  </r>
  <r>
    <n v="517"/>
    <x v="1"/>
    <m/>
    <s v="ALM00504"/>
    <s v=""/>
    <x v="1"/>
    <m/>
    <m/>
    <x v="503"/>
    <m/>
    <m/>
    <m/>
    <s v="FILTROS"/>
    <m/>
    <s v="C2404"/>
    <s v="F1-6-1"/>
    <n v="6"/>
    <n v="2"/>
    <n v="5"/>
    <n v="0"/>
    <n v="0"/>
    <n v="0"/>
    <n v="7"/>
    <m/>
    <m/>
    <m/>
    <m/>
    <s v="Estoque Conforme"/>
    <s v="SEM SOLICITACAO / FABBISOGNO'S"/>
    <m/>
  </r>
  <r>
    <n v="225"/>
    <x v="1"/>
    <m/>
    <s v="ALM00505"/>
    <s v=""/>
    <x v="1"/>
    <s v="713592172800"/>
    <s v="172800"/>
    <x v="504"/>
    <m/>
    <s v="HYDAC"/>
    <m/>
    <s v="FILTROS"/>
    <m/>
    <s v="C2404"/>
    <s v="F1-6-2"/>
    <n v="5"/>
    <n v="2"/>
    <n v="5"/>
    <n v="150"/>
    <n v="750"/>
    <n v="300"/>
    <n v="6"/>
    <m/>
    <m/>
    <m/>
    <m/>
    <s v="Estoque Conforme"/>
    <s v="SEM SOLICITACAO / FABBISOGNO'S"/>
    <m/>
  </r>
  <r>
    <n v="226"/>
    <x v="1"/>
    <m/>
    <s v="ALM00506"/>
    <s v=""/>
    <x v="1"/>
    <m/>
    <m/>
    <x v="505"/>
    <m/>
    <s v="REXROTH"/>
    <m/>
    <s v="FILTROS"/>
    <m/>
    <s v="C2405"/>
    <s v="F1-6-3"/>
    <n v="3"/>
    <n v="2"/>
    <n v="5"/>
    <n v="0"/>
    <n v="0"/>
    <n v="0"/>
    <n v="3"/>
    <m/>
    <m/>
    <m/>
    <m/>
    <s v="Estoque Conforme"/>
    <s v="SEM SOLICITACAO / FABBISOGNO'S"/>
    <m/>
  </r>
  <r>
    <n v="187"/>
    <x v="1"/>
    <m/>
    <s v="ALM00507"/>
    <s v="LAMINADORA V."/>
    <x v="1"/>
    <s v="758359180305"/>
    <s v="180305"/>
    <x v="506"/>
    <m/>
    <s v="STARRET"/>
    <m/>
    <m/>
    <m/>
    <s v="E1301"/>
    <s v="F2-1-1"/>
    <n v="7"/>
    <n v="4"/>
    <n v="15"/>
    <n v="531.5"/>
    <n v="3720.5"/>
    <n v="2126"/>
    <n v="6"/>
    <m/>
    <m/>
    <m/>
    <m/>
    <s v="Estoque Conforme"/>
    <s v="SEM SOLICITACAO / FABBISOGNO'S"/>
    <m/>
  </r>
  <r>
    <n v="227"/>
    <x v="1"/>
    <m/>
    <s v="ALM00508"/>
    <s v=""/>
    <x v="1"/>
    <m/>
    <m/>
    <x v="507"/>
    <m/>
    <s v="SABO"/>
    <m/>
    <s v="ROLAM/RETEN/GAXETAS"/>
    <m/>
    <s v="E1204"/>
    <s v="F2-2-1"/>
    <n v="14"/>
    <n v="6"/>
    <n v="15"/>
    <n v="0"/>
    <n v="0"/>
    <n v="0"/>
    <n v="10"/>
    <m/>
    <m/>
    <m/>
    <m/>
    <s v="Estoque Conforme"/>
    <s v="SEM SOLICITACAO / FABBISOGNO'S"/>
    <m/>
  </r>
  <r>
    <n v="228"/>
    <x v="1"/>
    <m/>
    <s v="ALM00509"/>
    <s v=""/>
    <x v="1"/>
    <s v="757510164706"/>
    <s v="164706"/>
    <x v="508"/>
    <m/>
    <s v="SABO"/>
    <m/>
    <s v="ROLAM/RETEN/GAXETAS"/>
    <m/>
    <s v="E1203"/>
    <s v="F2-2-2"/>
    <n v="11"/>
    <n v="5"/>
    <n v="15"/>
    <n v="0"/>
    <n v="0"/>
    <n v="0"/>
    <n v="12"/>
    <m/>
    <m/>
    <m/>
    <m/>
    <s v="Estoque Conforme"/>
    <s v="SEM SOLICITACAO / FABBISOGNO'S"/>
    <m/>
  </r>
  <r>
    <n v="229"/>
    <x v="1"/>
    <m/>
    <s v="ALM00510"/>
    <s v="GLASUTEC"/>
    <x v="1"/>
    <s v="757510164708"/>
    <s v="164708"/>
    <x v="509"/>
    <m/>
    <s v="SABO"/>
    <m/>
    <s v="ROLAM/RETEN/GAXETAS"/>
    <m/>
    <s v="E1203"/>
    <s v="F2-2-3"/>
    <n v="17"/>
    <n v="5"/>
    <n v="15"/>
    <n v="0"/>
    <n v="0"/>
    <n v="0"/>
    <n v="22"/>
    <m/>
    <m/>
    <m/>
    <m/>
    <s v="Estoque Conforme"/>
    <s v="SEM SOLICITACAO / FABBISOGNO'S"/>
    <m/>
  </r>
  <r>
    <n v="230"/>
    <x v="1"/>
    <m/>
    <s v="ALM00511"/>
    <s v=""/>
    <x v="1"/>
    <m/>
    <m/>
    <x v="510"/>
    <m/>
    <s v="SABO"/>
    <m/>
    <s v="ROLAM/RETEN/GAXETAS"/>
    <m/>
    <s v="E1203"/>
    <s v="F2-2-4"/>
    <n v="9"/>
    <n v="5"/>
    <n v="15"/>
    <n v="0"/>
    <n v="0"/>
    <n v="0"/>
    <n v="9"/>
    <m/>
    <m/>
    <m/>
    <m/>
    <s v="Estoque Conforme"/>
    <s v="SEM SOLICITACAO / FABBISOGNO'S"/>
    <m/>
  </r>
  <r>
    <n v="231"/>
    <x v="1"/>
    <m/>
    <s v="ALM00512"/>
    <s v=""/>
    <x v="1"/>
    <m/>
    <m/>
    <x v="511"/>
    <m/>
    <s v="SABO"/>
    <m/>
    <s v="ROLAM/RETEN/GAXETAS"/>
    <m/>
    <s v="E1203"/>
    <s v="F2-2-5"/>
    <n v="7"/>
    <n v="5"/>
    <n v="15"/>
    <n v="0"/>
    <n v="0"/>
    <n v="0"/>
    <n v="7"/>
    <m/>
    <m/>
    <m/>
    <m/>
    <s v="Estoque Conforme"/>
    <s v="SEM SOLICITACAO / FABBISOGNO'S"/>
    <m/>
  </r>
  <r>
    <n v="232"/>
    <x v="1"/>
    <m/>
    <s v="ALM00513"/>
    <s v=""/>
    <x v="1"/>
    <s v="757516171863"/>
    <s v="171863"/>
    <x v="512"/>
    <m/>
    <s v="SABO"/>
    <m/>
    <s v="ROLAM/RETEN/GAXETAS"/>
    <m/>
    <s v="E1203"/>
    <s v="F2-2-6"/>
    <n v="0"/>
    <n v="5"/>
    <n v="15"/>
    <n v="0"/>
    <n v="0"/>
    <n v="0"/>
    <n v="13"/>
    <m/>
    <m/>
    <m/>
    <m/>
    <s v="Estoque Não Conforme"/>
    <s v="COM SOLICITACAO / EM PROCESSO DE COMPRAS"/>
    <s v="3370/19"/>
  </r>
  <r>
    <n v="1317"/>
    <x v="1"/>
    <m/>
    <s v="ALM00514"/>
    <s v=""/>
    <x v="1"/>
    <m/>
    <m/>
    <x v="513"/>
    <m/>
    <m/>
    <m/>
    <s v="ROLAM/RETEN/GAXETAS"/>
    <m/>
    <s v="E1204"/>
    <s v="F2-2-6.1"/>
    <n v="0"/>
    <n v="5"/>
    <n v="20"/>
    <n v="30"/>
    <n v="0"/>
    <n v="150"/>
    <n v="10"/>
    <m/>
    <m/>
    <m/>
    <m/>
    <s v="Estoque Não Conforme"/>
    <s v="COM SOLICITACAO / EM PROCESSO DE COMPRAS"/>
    <s v="3370/19"/>
  </r>
  <r>
    <n v="233"/>
    <x v="1"/>
    <m/>
    <s v="ALM00515"/>
    <s v=""/>
    <x v="1"/>
    <m/>
    <m/>
    <x v="514"/>
    <m/>
    <m/>
    <m/>
    <s v="ROLAM/RETEN/GAXETAS"/>
    <m/>
    <s v="E1304"/>
    <s v="F2-3-1"/>
    <n v="14"/>
    <n v="5"/>
    <n v="15"/>
    <n v="0"/>
    <n v="0"/>
    <n v="0"/>
    <n v="21"/>
    <m/>
    <m/>
    <m/>
    <m/>
    <s v="Estoque Conforme"/>
    <s v="SEM SOLICITACAO / FABBISOGNO'S"/>
    <m/>
  </r>
  <r>
    <n v="1030"/>
    <x v="1"/>
    <m/>
    <s v="ALM00516"/>
    <s v=""/>
    <x v="1"/>
    <m/>
    <m/>
    <x v="515"/>
    <m/>
    <m/>
    <m/>
    <s v="ROLAM/RETEN/GAXETAS"/>
    <m/>
    <s v="E1304"/>
    <s v="F2-3-1"/>
    <n v="25"/>
    <n v="5"/>
    <n v="15"/>
    <n v="0"/>
    <n v="0"/>
    <n v="0"/>
    <n v="7"/>
    <m/>
    <m/>
    <m/>
    <m/>
    <s v="Estoque Conforme"/>
    <s v="SEM SOLICITACAO / FABBISOGNO'S"/>
    <m/>
  </r>
  <r>
    <n v="1031"/>
    <x v="1"/>
    <m/>
    <s v="ALM00517"/>
    <s v=""/>
    <x v="1"/>
    <m/>
    <m/>
    <x v="516"/>
    <m/>
    <m/>
    <m/>
    <s v="ROLAM/RETEN/GAXETAS"/>
    <m/>
    <s v="E1034"/>
    <s v="F2-3-1.1"/>
    <n v="5"/>
    <n v="5"/>
    <n v="15"/>
    <n v="0"/>
    <n v="0"/>
    <n v="0"/>
    <n v="33"/>
    <m/>
    <m/>
    <m/>
    <m/>
    <s v="Estoque Conforme"/>
    <s v="SEM SOLICITACAO / FABBISOGNO'S"/>
    <m/>
  </r>
  <r>
    <n v="1033"/>
    <x v="1"/>
    <m/>
    <s v="ALM00518"/>
    <s v=""/>
    <x v="1"/>
    <m/>
    <m/>
    <x v="517"/>
    <m/>
    <m/>
    <m/>
    <s v="ROLAM/RETEN/GAXETAS"/>
    <m/>
    <s v="E1304"/>
    <s v="F2-3-1.1"/>
    <n v="5"/>
    <n v="5"/>
    <n v="15"/>
    <n v="0"/>
    <n v="0"/>
    <n v="0"/>
    <n v="11"/>
    <m/>
    <m/>
    <m/>
    <m/>
    <s v="Estoque Conforme"/>
    <s v="SEM SOLICITACAO / FABBISOGNO'S"/>
    <m/>
  </r>
  <r>
    <n v="1034"/>
    <x v="1"/>
    <m/>
    <s v="ALM00519"/>
    <s v=""/>
    <x v="1"/>
    <m/>
    <m/>
    <x v="518"/>
    <m/>
    <m/>
    <m/>
    <s v="ROLAM/RETEN/GAXETAS"/>
    <m/>
    <s v="E1304"/>
    <s v="F2-3-1.1"/>
    <n v="5"/>
    <n v="5"/>
    <n v="15"/>
    <n v="0"/>
    <n v="0"/>
    <n v="0"/>
    <n v="9"/>
    <m/>
    <m/>
    <m/>
    <m/>
    <s v="Estoque Conforme"/>
    <s v="SEM SOLICITACAO / FABBISOGNO'S"/>
    <m/>
  </r>
  <r>
    <n v="1035"/>
    <x v="1"/>
    <m/>
    <s v="ALM00520"/>
    <s v=""/>
    <x v="1"/>
    <m/>
    <m/>
    <x v="519"/>
    <m/>
    <m/>
    <m/>
    <s v="ROLAM/RETEN/GAXETAS"/>
    <m/>
    <s v="E1304"/>
    <s v="F2-3-1.1"/>
    <n v="5"/>
    <n v="2"/>
    <n v="15"/>
    <n v="0"/>
    <n v="0"/>
    <n v="0"/>
    <n v="3"/>
    <m/>
    <m/>
    <m/>
    <m/>
    <s v="Estoque Conforme"/>
    <s v="SEM SOLICITACAO / FABBISOGNO'S"/>
    <m/>
  </r>
  <r>
    <n v="1223"/>
    <x v="1"/>
    <m/>
    <s v="ALM00521"/>
    <s v="CORTE DO INNER"/>
    <x v="1"/>
    <m/>
    <m/>
    <x v="520"/>
    <m/>
    <m/>
    <m/>
    <s v="ROLAM/RETEN/GAXETAS"/>
    <m/>
    <s v="E1304"/>
    <s v="F2-3-1.1"/>
    <n v="5"/>
    <n v="4"/>
    <n v="10"/>
    <n v="0"/>
    <n v="0"/>
    <n v="0"/>
    <n v="7"/>
    <m/>
    <m/>
    <m/>
    <m/>
    <s v="Estoque Conforme"/>
    <s v="SEM SOLICITACAO / FABBISOGNO'S"/>
    <m/>
  </r>
  <r>
    <n v="1032"/>
    <x v="1"/>
    <m/>
    <s v="ALM00522"/>
    <s v=""/>
    <x v="1"/>
    <m/>
    <m/>
    <x v="521"/>
    <m/>
    <m/>
    <m/>
    <s v="ROLAM/RETEN/GAXETAS"/>
    <m/>
    <s v="E1304"/>
    <s v="F2-3-1.1"/>
    <n v="58"/>
    <n v="5"/>
    <n v="15"/>
    <n v="0"/>
    <n v="0"/>
    <n v="0"/>
    <n v="7"/>
    <m/>
    <m/>
    <m/>
    <m/>
    <s v="Estoque Conforme"/>
    <s v="SEM SOLICITACAO / FABBISOGNO'S"/>
    <m/>
  </r>
  <r>
    <n v="492"/>
    <x v="1"/>
    <m/>
    <s v="ALM00523"/>
    <s v=""/>
    <x v="1"/>
    <m/>
    <m/>
    <x v="522"/>
    <m/>
    <m/>
    <m/>
    <s v="ROLAM/RETEN/GAXETAS"/>
    <m/>
    <s v="E1204"/>
    <s v="F2-3-2"/>
    <n v="13"/>
    <n v="5"/>
    <n v="15"/>
    <n v="25"/>
    <n v="325"/>
    <n v="125"/>
    <n v="10"/>
    <m/>
    <m/>
    <m/>
    <m/>
    <s v="Estoque Conforme"/>
    <s v="SEM SOLICITACAO / FABBISOGNO'S"/>
    <m/>
  </r>
  <r>
    <n v="234"/>
    <x v="1"/>
    <m/>
    <s v="ALM00524"/>
    <s v=""/>
    <x v="1"/>
    <m/>
    <m/>
    <x v="523"/>
    <m/>
    <s v="SABO"/>
    <m/>
    <s v="ROLAM/RETEN/GAXETAS"/>
    <m/>
    <s v="E1204"/>
    <s v="F2-3-3"/>
    <n v="8"/>
    <n v="5"/>
    <n v="15"/>
    <n v="0"/>
    <n v="0"/>
    <n v="0"/>
    <n v="8"/>
    <m/>
    <m/>
    <m/>
    <m/>
    <s v="Estoque Conforme"/>
    <s v="SEM SOLICITACAO / FABBISOGNO'S"/>
    <m/>
  </r>
  <r>
    <n v="1028"/>
    <x v="1"/>
    <m/>
    <s v="ALM00525"/>
    <s v=""/>
    <x v="1"/>
    <m/>
    <m/>
    <x v="524"/>
    <m/>
    <m/>
    <m/>
    <s v="ROLAM/RETEN/GAXETAS"/>
    <m/>
    <s v="E1304"/>
    <s v="F2-3-3.1"/>
    <n v="8"/>
    <n v="5"/>
    <n v="15"/>
    <n v="0"/>
    <n v="0"/>
    <n v="0"/>
    <n v="10"/>
    <m/>
    <m/>
    <m/>
    <m/>
    <s v="Estoque Conforme"/>
    <s v="SEM SOLICITACAO / FABBISOGNO'S"/>
    <m/>
  </r>
  <r>
    <n v="1029"/>
    <x v="1"/>
    <m/>
    <s v="ALM00526"/>
    <s v=""/>
    <x v="1"/>
    <m/>
    <m/>
    <x v="525"/>
    <m/>
    <m/>
    <m/>
    <s v="ROLAM/RETEN/GAXETAS"/>
    <m/>
    <s v="E1304"/>
    <s v="F2-3-3.1"/>
    <n v="0"/>
    <n v="5"/>
    <n v="15"/>
    <n v="0"/>
    <n v="0"/>
    <n v="0"/>
    <n v="7"/>
    <m/>
    <m/>
    <m/>
    <m/>
    <s v="Estoque Não Conforme"/>
    <s v="COM SOLICITACAO / EM PROCESSO DE COMPRAS"/>
    <s v="3370/19"/>
  </r>
  <r>
    <n v="485"/>
    <x v="1"/>
    <m/>
    <s v="ALM00527"/>
    <s v=""/>
    <x v="1"/>
    <m/>
    <m/>
    <x v="526"/>
    <m/>
    <m/>
    <m/>
    <m/>
    <m/>
    <s v="E1304"/>
    <s v="F2-3-3.1"/>
    <n v="0"/>
    <n v="5"/>
    <n v="15"/>
    <n v="0"/>
    <n v="0"/>
    <n v="0"/>
    <n v="32"/>
    <m/>
    <m/>
    <m/>
    <m/>
    <s v="Estoque Não Conforme"/>
    <s v="COM SOLICITACAO / EM PROCESSO DE COMPRAS"/>
    <s v="3370/19"/>
  </r>
  <r>
    <n v="484"/>
    <x v="1"/>
    <m/>
    <s v="ALM00528"/>
    <s v=""/>
    <x v="1"/>
    <m/>
    <m/>
    <x v="527"/>
    <m/>
    <m/>
    <m/>
    <m/>
    <m/>
    <s v="E1304"/>
    <s v="F2-3-3.1"/>
    <n v="1"/>
    <n v="5"/>
    <n v="10"/>
    <n v="0"/>
    <n v="0"/>
    <n v="0"/>
    <n v="9"/>
    <m/>
    <m/>
    <m/>
    <m/>
    <s v="Estoque em Nivel Minimo"/>
    <s v="COM SOLICITACAO / EM PROCESSO DE COMPRAS"/>
    <s v="3370/19"/>
  </r>
  <r>
    <n v="490"/>
    <x v="1"/>
    <m/>
    <s v="ALM00529"/>
    <s v=""/>
    <x v="1"/>
    <m/>
    <m/>
    <x v="528"/>
    <m/>
    <m/>
    <m/>
    <s v="ROLAM/RETEN/GAXETAS"/>
    <m/>
    <s v="E1204"/>
    <s v="F2-3-4"/>
    <n v="10"/>
    <n v="5"/>
    <n v="15"/>
    <n v="0"/>
    <n v="0"/>
    <n v="0"/>
    <n v="10"/>
    <m/>
    <m/>
    <m/>
    <m/>
    <s v="Estoque Conforme"/>
    <s v="SEM SOLICITACAO / FABBISOGNO'S"/>
    <m/>
  </r>
  <r>
    <n v="488"/>
    <x v="1"/>
    <m/>
    <s v="ALM00530"/>
    <s v=""/>
    <x v="1"/>
    <m/>
    <m/>
    <x v="529"/>
    <m/>
    <m/>
    <m/>
    <s v="ROLAM/RETEN/GAXETAS"/>
    <m/>
    <s v="E1204"/>
    <s v="F2-3-4.1"/>
    <n v="8"/>
    <n v="5"/>
    <n v="15"/>
    <n v="0"/>
    <n v="0"/>
    <n v="0"/>
    <n v="8"/>
    <m/>
    <m/>
    <m/>
    <m/>
    <s v="Estoque Conforme"/>
    <s v="SEM SOLICITACAO / FABBISOGNO'S"/>
    <m/>
  </r>
  <r>
    <n v="486"/>
    <x v="1"/>
    <m/>
    <s v="ALM00531"/>
    <s v=""/>
    <x v="1"/>
    <m/>
    <m/>
    <x v="530"/>
    <m/>
    <m/>
    <m/>
    <s v="ROLAM/RETEN/GAXETAS"/>
    <m/>
    <s v="E1204"/>
    <s v="F2-3-5"/>
    <n v="8"/>
    <n v="5"/>
    <n v="15"/>
    <n v="0"/>
    <n v="0"/>
    <n v="0"/>
    <n v="7"/>
    <m/>
    <m/>
    <m/>
    <m/>
    <s v="Estoque Conforme"/>
    <s v="SEM SOLICITACAO / FABBISOGNO'S"/>
    <m/>
  </r>
  <r>
    <n v="487"/>
    <x v="1"/>
    <m/>
    <s v="ALM00532"/>
    <s v=""/>
    <x v="1"/>
    <m/>
    <m/>
    <x v="531"/>
    <m/>
    <m/>
    <m/>
    <s v="ROLAM/RETEN/GAXETAS"/>
    <m/>
    <s v="E1204"/>
    <s v="F2-3-5.1"/>
    <n v="7"/>
    <n v="5"/>
    <n v="15"/>
    <n v="0"/>
    <n v="0"/>
    <n v="0"/>
    <n v="7"/>
    <m/>
    <m/>
    <m/>
    <m/>
    <s v="Estoque Conforme"/>
    <s v="SEM SOLICITACAO / FABBISOGNO'S"/>
    <m/>
  </r>
  <r>
    <n v="1188"/>
    <x v="1"/>
    <m/>
    <s v="ALM00533"/>
    <s v="INJETORAS"/>
    <x v="1"/>
    <m/>
    <m/>
    <x v="532"/>
    <m/>
    <m/>
    <m/>
    <m/>
    <m/>
    <s v="E1304"/>
    <s v="F2-3-6"/>
    <n v="9"/>
    <n v="5"/>
    <n v="10"/>
    <n v="0"/>
    <n v="0"/>
    <n v="0"/>
    <n v="10"/>
    <m/>
    <m/>
    <m/>
    <m/>
    <s v="Estoque Conforme"/>
    <s v="SEM SOLICITACAO / FABBISOGNO'S"/>
    <m/>
  </r>
  <r>
    <n v="1025"/>
    <x v="1"/>
    <m/>
    <s v="ALM00534"/>
    <s v=""/>
    <x v="1"/>
    <m/>
    <m/>
    <x v="533"/>
    <m/>
    <m/>
    <m/>
    <m/>
    <m/>
    <s v="E1303"/>
    <s v="F2-3-6"/>
    <n v="0"/>
    <n v="5"/>
    <n v="15"/>
    <n v="0"/>
    <n v="0"/>
    <n v="0"/>
    <n v="12"/>
    <m/>
    <m/>
    <m/>
    <m/>
    <s v="Estoque Não Conforme"/>
    <s v="COM SOLICITACAO / EM PROCESSO DE COMPRAS"/>
    <s v="3370/19"/>
  </r>
  <r>
    <n v="1026"/>
    <x v="1"/>
    <m/>
    <s v="ALM00535"/>
    <s v=""/>
    <x v="1"/>
    <m/>
    <m/>
    <x v="534"/>
    <m/>
    <m/>
    <m/>
    <m/>
    <m/>
    <s v="E1303"/>
    <s v="F2-3-6"/>
    <n v="0"/>
    <n v="4"/>
    <n v="15"/>
    <n v="0"/>
    <n v="0"/>
    <n v="0"/>
    <n v="20"/>
    <m/>
    <m/>
    <m/>
    <m/>
    <s v="Estoque Não Conforme"/>
    <s v="COM SOLICITACAO / EM PROCESSO DE COMPRAS"/>
    <s v="3370/19"/>
  </r>
  <r>
    <n v="1027"/>
    <x v="1"/>
    <m/>
    <s v="ALM00536"/>
    <s v=""/>
    <x v="1"/>
    <m/>
    <m/>
    <x v="535"/>
    <m/>
    <m/>
    <m/>
    <m/>
    <m/>
    <s v="E1303"/>
    <s v="F2-3-6"/>
    <n v="0"/>
    <n v="5"/>
    <n v="15"/>
    <n v="0"/>
    <n v="0"/>
    <n v="0"/>
    <n v="8"/>
    <m/>
    <m/>
    <m/>
    <m/>
    <s v="Estoque Não Conforme"/>
    <s v="COM SOLICITACAO / EM PROCESSO DE COMPRAS"/>
    <s v="3370/19"/>
  </r>
  <r>
    <n v="483"/>
    <x v="1"/>
    <m/>
    <s v="ALM00537"/>
    <s v=""/>
    <x v="1"/>
    <m/>
    <m/>
    <x v="536"/>
    <m/>
    <m/>
    <m/>
    <m/>
    <m/>
    <s v="E1303"/>
    <s v="F2-3-6"/>
    <n v="0"/>
    <n v="5"/>
    <n v="15"/>
    <n v="0"/>
    <n v="0"/>
    <n v="0"/>
    <n v="9"/>
    <m/>
    <m/>
    <m/>
    <m/>
    <s v="Estoque Não Conforme"/>
    <s v="COM SOLICITACAO / EM PROCESSO DE COMPRAS"/>
    <s v="3370/19"/>
  </r>
  <r>
    <n v="489"/>
    <x v="1"/>
    <m/>
    <s v="ALM00538"/>
    <s v=""/>
    <x v="1"/>
    <m/>
    <m/>
    <x v="537"/>
    <m/>
    <m/>
    <m/>
    <s v="ROLAM/RETEN/GAXETAS"/>
    <m/>
    <s v="E1204"/>
    <s v="F2-3-6.1"/>
    <n v="8"/>
    <n v="5"/>
    <n v="15"/>
    <n v="0"/>
    <n v="0"/>
    <n v="0"/>
    <n v="8"/>
    <m/>
    <m/>
    <m/>
    <m/>
    <s v="Estoque Conforme"/>
    <s v="SEM SOLICITACAO / FABBISOGNO'S"/>
    <m/>
  </r>
  <r>
    <n v="1285"/>
    <x v="1"/>
    <m/>
    <s v="ALM00539"/>
    <s v=""/>
    <x v="1"/>
    <m/>
    <m/>
    <x v="538"/>
    <m/>
    <m/>
    <m/>
    <s v="ROLAM/RETEN/GAXETAS"/>
    <m/>
    <s v="D2106"/>
    <s v="F2-4-1"/>
    <n v="8"/>
    <n v="4"/>
    <n v="15"/>
    <n v="0"/>
    <n v="0"/>
    <n v="0"/>
    <n v="8"/>
    <m/>
    <m/>
    <m/>
    <m/>
    <s v="Estoque Conforme"/>
    <s v="SEM SOLICITACAO / FABBISOGNO'S"/>
    <m/>
  </r>
  <r>
    <n v="503"/>
    <x v="1"/>
    <m/>
    <s v="ALM00540"/>
    <s v=""/>
    <x v="1"/>
    <m/>
    <m/>
    <x v="539"/>
    <m/>
    <m/>
    <m/>
    <m/>
    <m/>
    <s v="E1305"/>
    <s v="F2-4-1.1"/>
    <n v="1"/>
    <n v="1"/>
    <n v="8"/>
    <n v="0"/>
    <n v="0"/>
    <n v="0"/>
    <n v="1"/>
    <m/>
    <m/>
    <m/>
    <m/>
    <s v="Estoque Conforme"/>
    <s v="SEM SOLICITACAO / FABBISOGNO'S"/>
    <m/>
  </r>
  <r>
    <n v="855"/>
    <x v="1"/>
    <m/>
    <s v="ALM00541"/>
    <s v="GLASUTEC"/>
    <x v="1"/>
    <m/>
    <m/>
    <x v="540"/>
    <m/>
    <m/>
    <m/>
    <m/>
    <m/>
    <s v="E1302"/>
    <s v="F2-4-2"/>
    <n v="2"/>
    <n v="2"/>
    <n v="3"/>
    <n v="0"/>
    <n v="0"/>
    <n v="0"/>
    <n v="2"/>
    <m/>
    <m/>
    <m/>
    <m/>
    <s v="Estoque Conforme"/>
    <s v="SEM SOLICITACAO / FABBISOGNO'S"/>
    <m/>
  </r>
  <r>
    <n v="1017"/>
    <x v="1"/>
    <m/>
    <s v="ALM00542"/>
    <s v="AQUECEDOR "/>
    <x v="1"/>
    <m/>
    <m/>
    <x v="541"/>
    <m/>
    <m/>
    <m/>
    <s v="ROLAM/RETEN/GAXETAS"/>
    <m/>
    <s v="E1204"/>
    <s v="F2-4-3"/>
    <n v="7"/>
    <n v="4"/>
    <n v="15"/>
    <n v="0"/>
    <n v="0"/>
    <n v="0"/>
    <n v="10"/>
    <m/>
    <m/>
    <m/>
    <m/>
    <s v="Estoque Conforme"/>
    <s v="SEM SOLICITACAO / FABBISOGNO'S"/>
    <m/>
  </r>
  <r>
    <n v="1353"/>
    <x v="1"/>
    <m/>
    <s v="ALM00543"/>
    <s v=""/>
    <x v="1"/>
    <m/>
    <m/>
    <x v="542"/>
    <m/>
    <m/>
    <m/>
    <m/>
    <m/>
    <s v="E1204"/>
    <s v="F2-4-3.1"/>
    <n v="2"/>
    <n v="5"/>
    <n v="10"/>
    <n v="0"/>
    <n v="0"/>
    <n v="0"/>
    <n v="10"/>
    <m/>
    <m/>
    <m/>
    <m/>
    <s v="Estoque em Nivel Minimo"/>
    <s v="COM SOLICITACAO / EM PROCESSO DE COMPRAS"/>
    <s v="3370/19"/>
  </r>
  <r>
    <n v="514"/>
    <x v="1"/>
    <m/>
    <s v="ALM00544"/>
    <s v=""/>
    <x v="1"/>
    <m/>
    <m/>
    <x v="543"/>
    <m/>
    <m/>
    <m/>
    <m/>
    <m/>
    <s v="E1204"/>
    <s v="F2-4-4"/>
    <n v="0"/>
    <n v="5"/>
    <n v="15"/>
    <n v="0"/>
    <n v="0"/>
    <n v="0"/>
    <n v="15"/>
    <m/>
    <m/>
    <m/>
    <m/>
    <s v="Estoque Não Conforme"/>
    <s v="COM SOLICITACAO / EM PROCESSO DE COMPRAS"/>
    <s v="3370/19"/>
  </r>
  <r>
    <n v="1344"/>
    <x v="1"/>
    <m/>
    <s v="ALM00545"/>
    <s v="MOLD CARPETE"/>
    <x v="1"/>
    <m/>
    <m/>
    <x v="544"/>
    <m/>
    <m/>
    <m/>
    <m/>
    <m/>
    <s v="E1204"/>
    <s v="F2-4-5"/>
    <n v="3"/>
    <n v="2"/>
    <n v="10"/>
    <n v="0"/>
    <n v="0"/>
    <n v="0"/>
    <n v="0"/>
    <m/>
    <m/>
    <m/>
    <m/>
    <s v="Estoque Conforme"/>
    <s v="SEM SOLICITACAO / FABBISOGNO'S"/>
    <m/>
  </r>
  <r>
    <n v="515"/>
    <x v="1"/>
    <m/>
    <s v="ALM00546"/>
    <s v=""/>
    <x v="1"/>
    <m/>
    <m/>
    <x v="545"/>
    <m/>
    <m/>
    <m/>
    <m/>
    <m/>
    <s v="E1204"/>
    <s v="F2-4-5.1"/>
    <n v="1"/>
    <n v="3"/>
    <n v="15"/>
    <n v="0"/>
    <n v="0"/>
    <n v="0"/>
    <n v="12"/>
    <m/>
    <m/>
    <m/>
    <m/>
    <s v="Estoque em Nivel Minimo"/>
    <s v="COM SOLICITACAO / EM PROCESSO DE COMPRAS"/>
    <s v="3370/19"/>
  </r>
  <r>
    <n v="480"/>
    <x v="1"/>
    <m/>
    <s v="ALM00547"/>
    <s v="GLASUTEC"/>
    <x v="1"/>
    <m/>
    <m/>
    <x v="546"/>
    <m/>
    <m/>
    <m/>
    <m/>
    <m/>
    <s v="D1103"/>
    <s v="F2-4-6.1"/>
    <n v="7"/>
    <n v="1"/>
    <n v="10"/>
    <n v="0"/>
    <n v="0"/>
    <n v="0"/>
    <n v="7"/>
    <m/>
    <m/>
    <m/>
    <m/>
    <s v="Estoque Conforme"/>
    <s v="SEM SOLICITACAO / FABBISOGNO'S"/>
    <m/>
  </r>
  <r>
    <n v="243"/>
    <x v="1"/>
    <m/>
    <s v="ALM00548"/>
    <s v=""/>
    <x v="1"/>
    <m/>
    <m/>
    <x v="547"/>
    <m/>
    <m/>
    <m/>
    <s v="ROLAM/RETEN/GAXETAS"/>
    <m/>
    <s v="E1405"/>
    <s v="F2-5-1"/>
    <n v="6"/>
    <n v="2"/>
    <n v="6"/>
    <n v="0"/>
    <n v="0"/>
    <n v="0"/>
    <n v="6"/>
    <m/>
    <m/>
    <m/>
    <m/>
    <s v="Estoque Conforme"/>
    <s v="SEM SOLICITACAO / FABBISOGNO'S"/>
    <m/>
  </r>
  <r>
    <n v="244"/>
    <x v="1"/>
    <m/>
    <s v="ALM00549"/>
    <s v=""/>
    <x v="1"/>
    <m/>
    <m/>
    <x v="548"/>
    <m/>
    <m/>
    <m/>
    <s v="ROLAM/RETEN/GAXETAS"/>
    <m/>
    <s v="E1403"/>
    <s v="F2-5-2"/>
    <n v="2"/>
    <n v="1"/>
    <n v="6"/>
    <n v="0"/>
    <n v="0"/>
    <n v="0"/>
    <n v="2"/>
    <m/>
    <m/>
    <m/>
    <m/>
    <s v="Estoque Conforme"/>
    <s v="SEM SOLICITACAO / FABBISOGNO'S"/>
    <m/>
  </r>
  <r>
    <n v="479"/>
    <x v="1"/>
    <m/>
    <s v="ALM00550"/>
    <s v=""/>
    <x v="1"/>
    <s v="755943800637"/>
    <s v="800637"/>
    <x v="549"/>
    <m/>
    <m/>
    <m/>
    <s v="ROLAM/RETEN/GAXETAS"/>
    <m/>
    <s v="E1404"/>
    <s v="F2-5-3"/>
    <n v="10"/>
    <n v="4"/>
    <n v="6"/>
    <n v="0"/>
    <n v="0"/>
    <n v="0"/>
    <n v="8"/>
    <m/>
    <m/>
    <m/>
    <m/>
    <s v="Estoque Conforme"/>
    <s v="SEM SOLICITACAO / FABBISOGNO'S"/>
    <m/>
  </r>
  <r>
    <n v="246"/>
    <x v="1"/>
    <m/>
    <s v="ALM00551"/>
    <s v=""/>
    <x v="1"/>
    <m/>
    <m/>
    <x v="550"/>
    <m/>
    <m/>
    <m/>
    <s v="ROLAM/RETEN/GAXETAS"/>
    <m/>
    <s v="E1405"/>
    <s v="F2-5-4"/>
    <n v="1"/>
    <n v="1"/>
    <n v="6"/>
    <n v="0"/>
    <n v="0"/>
    <n v="0"/>
    <n v="0"/>
    <m/>
    <m/>
    <m/>
    <m/>
    <s v="Estoque Conforme"/>
    <s v="SEM SOLICITACAO / FABBISOGNO'S"/>
    <m/>
  </r>
  <r>
    <n v="7777"/>
    <x v="1"/>
    <m/>
    <s v="ALM00552"/>
    <s v="INJ. CARPETE"/>
    <x v="1"/>
    <m/>
    <m/>
    <x v="551"/>
    <m/>
    <m/>
    <m/>
    <m/>
    <m/>
    <s v="E1105"/>
    <s v="F2-5-5"/>
    <n v="2"/>
    <n v="1"/>
    <n v="2"/>
    <n v="0"/>
    <n v="0"/>
    <n v="0"/>
    <n v="1"/>
    <m/>
    <m/>
    <m/>
    <m/>
    <s v="Estoque Conforme"/>
    <s v="SEM SOLICITACAO / FABBISOGNO'S"/>
    <m/>
  </r>
  <r>
    <n v="1137"/>
    <x v="1"/>
    <m/>
    <s v="ALM00553"/>
    <s v="GLASUTEC"/>
    <x v="1"/>
    <m/>
    <m/>
    <x v="552"/>
    <m/>
    <m/>
    <m/>
    <m/>
    <m/>
    <s v="E1302"/>
    <s v="F2-5-5"/>
    <n v="0"/>
    <n v="2"/>
    <n v="5"/>
    <n v="0"/>
    <n v="0"/>
    <n v="0"/>
    <n v="2"/>
    <m/>
    <m/>
    <m/>
    <m/>
    <s v="Estoque Não Conforme"/>
    <s v="SEM SOLICITACAO / FABBISOGNO'S"/>
    <m/>
  </r>
  <r>
    <n v="1019"/>
    <x v="1"/>
    <m/>
    <s v="ALM00554"/>
    <s v=""/>
    <x v="1"/>
    <m/>
    <m/>
    <x v="553"/>
    <m/>
    <m/>
    <m/>
    <s v="ROLAM/RETEN/GAXETAS"/>
    <m/>
    <s v="D2103"/>
    <s v="F3-2-1"/>
    <n v="2"/>
    <n v="4"/>
    <n v="15"/>
    <n v="50"/>
    <n v="100"/>
    <n v="200"/>
    <n v="3"/>
    <m/>
    <m/>
    <m/>
    <m/>
    <s v="Estoque em Nivel Minimo"/>
    <s v="COM SOLICITACAO / EM PROCESSO DE COMPRAS"/>
    <s v="3370/19"/>
  </r>
  <r>
    <n v="1020"/>
    <x v="1"/>
    <m/>
    <s v="ALM00555"/>
    <s v=""/>
    <x v="1"/>
    <m/>
    <m/>
    <x v="554"/>
    <m/>
    <m/>
    <m/>
    <s v="ROLAM/RETEN/GAXETAS"/>
    <m/>
    <s v="D2104"/>
    <s v="F3-2-2"/>
    <n v="9"/>
    <n v="5"/>
    <n v="15"/>
    <n v="60"/>
    <n v="540"/>
    <n v="300"/>
    <n v="9"/>
    <m/>
    <m/>
    <m/>
    <m/>
    <s v="Estoque Conforme"/>
    <s v="SEM SOLICITACAO / FABBISOGNO'S"/>
    <m/>
  </r>
  <r>
    <n v="1021"/>
    <x v="1"/>
    <m/>
    <s v="ALM00556"/>
    <s v=""/>
    <x v="1"/>
    <s v="762741173364"/>
    <s v="173364"/>
    <x v="555"/>
    <m/>
    <m/>
    <m/>
    <s v="ROLAM/RETEN/GAXETAS"/>
    <m/>
    <s v="D2104"/>
    <s v="F3-2-3"/>
    <n v="3"/>
    <n v="3"/>
    <n v="15"/>
    <n v="76.8"/>
    <n v="230.39999999999998"/>
    <n v="230.39999999999998"/>
    <n v="3"/>
    <m/>
    <m/>
    <m/>
    <m/>
    <s v="Estoque Conforme"/>
    <s v="SEM SOLICITACAO / FABBISOGNO'S"/>
    <m/>
  </r>
  <r>
    <n v="1022"/>
    <x v="1"/>
    <m/>
    <s v="ALM00557"/>
    <s v=""/>
    <x v="1"/>
    <m/>
    <m/>
    <x v="556"/>
    <m/>
    <m/>
    <m/>
    <s v="ROLAM/RETEN/GAXETAS"/>
    <m/>
    <s v="D2106"/>
    <s v="F3-2-4"/>
    <n v="2"/>
    <n v="5"/>
    <n v="15"/>
    <n v="50"/>
    <n v="100"/>
    <n v="250"/>
    <n v="5"/>
    <m/>
    <m/>
    <m/>
    <m/>
    <s v="Estoque em Nivel Minimo"/>
    <s v="COM SOLICITACAO / EM PROCESSO DE COMPRAS"/>
    <s v="3370/19"/>
  </r>
  <r>
    <n v="1023"/>
    <x v="1"/>
    <m/>
    <s v="ALM00558"/>
    <s v=""/>
    <x v="1"/>
    <s v="755943171962"/>
    <s v="171962"/>
    <x v="557"/>
    <m/>
    <m/>
    <m/>
    <s v="ROLAM/RETEN/GAXETAS"/>
    <m/>
    <s v="D2106"/>
    <s v="F3-2-5"/>
    <n v="11"/>
    <n v="5"/>
    <n v="15"/>
    <n v="80"/>
    <n v="880"/>
    <n v="400"/>
    <n v="5"/>
    <m/>
    <m/>
    <m/>
    <m/>
    <s v="Estoque Conforme"/>
    <s v="SEM SOLICITACAO / FABBISOGNO'S"/>
    <m/>
  </r>
  <r>
    <n v="1024"/>
    <x v="1"/>
    <m/>
    <s v="ALM00559"/>
    <s v="FRONT FENDER A"/>
    <x v="1"/>
    <m/>
    <m/>
    <x v="558"/>
    <m/>
    <m/>
    <m/>
    <s v="ROLAM/RETEN/GAXETAS"/>
    <m/>
    <s v="D2106"/>
    <s v="F3-2-6"/>
    <n v="5"/>
    <n v="4"/>
    <n v="15"/>
    <n v="30"/>
    <n v="150"/>
    <n v="120"/>
    <n v="5"/>
    <m/>
    <m/>
    <m/>
    <m/>
    <s v="Estoque Conforme"/>
    <s v="SEM SOLICITACAO / FABBISOGNO'S"/>
    <m/>
  </r>
  <r>
    <n v="250"/>
    <x v="1"/>
    <m/>
    <s v="ALM00560"/>
    <s v=""/>
    <x v="1"/>
    <s v="757510164712"/>
    <s v="164712"/>
    <x v="559"/>
    <m/>
    <m/>
    <m/>
    <s v="ROLAM/RETEN/GAXETAS"/>
    <m/>
    <s v="D2104"/>
    <s v="F3-3-1"/>
    <n v="16"/>
    <n v="4"/>
    <n v="15"/>
    <n v="0"/>
    <n v="0"/>
    <n v="0"/>
    <n v="18"/>
    <m/>
    <m/>
    <m/>
    <m/>
    <s v="Estoque Conforme"/>
    <s v="SEM SOLICITACAO / FABBISOGNO'S"/>
    <m/>
  </r>
  <r>
    <n v="251"/>
    <x v="1"/>
    <m/>
    <s v="ALM00561"/>
    <s v=""/>
    <x v="1"/>
    <m/>
    <m/>
    <x v="560"/>
    <m/>
    <m/>
    <m/>
    <s v="ROLAM/RETEN/GAXETAS"/>
    <m/>
    <s v="D2105"/>
    <s v="F3-3-2"/>
    <n v="7"/>
    <n v="4"/>
    <n v="15"/>
    <n v="130.46"/>
    <n v="913.22"/>
    <n v="521.84"/>
    <n v="7"/>
    <m/>
    <m/>
    <m/>
    <m/>
    <s v="Estoque Conforme"/>
    <s v="SEM SOLICITACAO / FABBISOGNO'S"/>
    <m/>
  </r>
  <r>
    <n v="252"/>
    <x v="1"/>
    <m/>
    <s v="ALM00562"/>
    <s v=""/>
    <x v="1"/>
    <m/>
    <m/>
    <x v="561"/>
    <m/>
    <m/>
    <m/>
    <s v="ROLAM/RETEN/GAXETAS"/>
    <m/>
    <s v="D2105"/>
    <s v="F3-3-3"/>
    <n v="5"/>
    <n v="4"/>
    <n v="15"/>
    <n v="141"/>
    <n v="705"/>
    <n v="564"/>
    <n v="5"/>
    <m/>
    <m/>
    <m/>
    <m/>
    <s v="Estoque Conforme"/>
    <s v="SEM SOLICITACAO / FABBISOGNO'S"/>
    <m/>
  </r>
  <r>
    <n v="254"/>
    <x v="1"/>
    <m/>
    <s v="ALM00563"/>
    <s v=""/>
    <x v="1"/>
    <s v="755943180338"/>
    <s v="180338"/>
    <x v="562"/>
    <m/>
    <m/>
    <m/>
    <s v="ROLAM/RETEN/GAXETAS"/>
    <m/>
    <s v="D2105"/>
    <s v="F3-3-4"/>
    <n v="6"/>
    <n v="4"/>
    <n v="15"/>
    <n v="63.24"/>
    <n v="379.44"/>
    <n v="252.96"/>
    <n v="6"/>
    <m/>
    <m/>
    <m/>
    <m/>
    <s v="Estoque Conforme"/>
    <s v="SEM SOLICITACAO / FABBISOGNO'S"/>
    <m/>
  </r>
  <r>
    <n v="258"/>
    <x v="1"/>
    <s v="A"/>
    <s v="ALM00564"/>
    <s v="F.FENDER - M06"/>
    <x v="1"/>
    <m/>
    <m/>
    <x v="563"/>
    <m/>
    <m/>
    <m/>
    <m/>
    <m/>
    <s v="D2105"/>
    <s v="F3-3-5"/>
    <n v="18"/>
    <n v="4"/>
    <n v="15"/>
    <n v="0"/>
    <n v="0"/>
    <n v="0"/>
    <n v="18"/>
    <m/>
    <m/>
    <m/>
    <m/>
    <s v="Estoque Conforme"/>
    <s v="SEM SOLICITACAO / FABBISOGNO'S"/>
    <m/>
  </r>
  <r>
    <n v="260"/>
    <x v="1"/>
    <m/>
    <s v="ALM00565"/>
    <s v=""/>
    <x v="1"/>
    <s v="755943172393"/>
    <s v="172393"/>
    <x v="564"/>
    <m/>
    <m/>
    <m/>
    <s v="ROLAM/RETEN/GAXETAS"/>
    <m/>
    <s v="D2105"/>
    <s v="F3-3-6"/>
    <n v="9"/>
    <n v="4"/>
    <n v="15"/>
    <n v="0"/>
    <n v="0"/>
    <n v="0"/>
    <n v="9"/>
    <m/>
    <m/>
    <m/>
    <m/>
    <s v="Estoque Conforme"/>
    <s v="SEM SOLICITACAO / FABBISOGNO'S"/>
    <m/>
  </r>
  <r>
    <n v="261"/>
    <x v="1"/>
    <m/>
    <s v="ALM00566"/>
    <s v=""/>
    <x v="1"/>
    <s v="755943164704"/>
    <s v="164704"/>
    <x v="565"/>
    <m/>
    <m/>
    <m/>
    <s v="ROLAM/RETEN/GAXETAS"/>
    <m/>
    <s v="D2103"/>
    <s v="F3-4-1"/>
    <n v="8"/>
    <n v="4"/>
    <n v="15"/>
    <n v="0"/>
    <n v="0"/>
    <n v="0"/>
    <n v="8"/>
    <m/>
    <m/>
    <m/>
    <m/>
    <s v="Estoque Conforme"/>
    <s v="SEM SOLICITACAO / FABBISOGNO'S"/>
    <m/>
  </r>
  <r>
    <n v="1287"/>
    <x v="1"/>
    <m/>
    <s v="ALM00567"/>
    <s v=""/>
    <x v="1"/>
    <m/>
    <m/>
    <x v="566"/>
    <m/>
    <m/>
    <m/>
    <s v="ROLAM/RETEN/GAXETAS"/>
    <m/>
    <s v="D2103"/>
    <s v="F3-4-1.1"/>
    <n v="1"/>
    <n v="4"/>
    <n v="15"/>
    <n v="0"/>
    <n v="0"/>
    <n v="0"/>
    <n v="0"/>
    <m/>
    <m/>
    <m/>
    <m/>
    <s v="Estoque em Nivel Minimo"/>
    <s v="COM SOLICITACAO / EM PROCESSO DE COMPRAS"/>
    <s v="3370/19"/>
  </r>
  <r>
    <n v="262"/>
    <x v="1"/>
    <m/>
    <s v="ALM00568"/>
    <s v=""/>
    <x v="1"/>
    <s v="755943165300"/>
    <s v="165300"/>
    <x v="567"/>
    <m/>
    <m/>
    <m/>
    <s v="ROLAM/RETEN/GAXETAS"/>
    <m/>
    <s v="D2103"/>
    <s v="F3-4-2"/>
    <n v="18"/>
    <n v="4"/>
    <n v="15"/>
    <n v="0"/>
    <n v="0"/>
    <n v="0"/>
    <n v="20"/>
    <m/>
    <m/>
    <m/>
    <m/>
    <s v="Estoque Conforme"/>
    <s v="SEM SOLICITACAO / FABBISOGNO'S"/>
    <m/>
  </r>
  <r>
    <n v="1286"/>
    <x v="1"/>
    <m/>
    <s v="ALM00569"/>
    <s v=""/>
    <x v="1"/>
    <s v="755943180339"/>
    <s v="180339"/>
    <x v="568"/>
    <m/>
    <m/>
    <m/>
    <s v="ROLAM/RETEN/GAXETAS"/>
    <m/>
    <s v="D2103"/>
    <s v="F3-4-2.1"/>
    <n v="8"/>
    <n v="4"/>
    <n v="15"/>
    <n v="0"/>
    <n v="0"/>
    <n v="0"/>
    <n v="8"/>
    <m/>
    <m/>
    <m/>
    <m/>
    <s v="Estoque Conforme"/>
    <s v="SEM SOLICITACAO / FABBISOGNO'S"/>
    <m/>
  </r>
  <r>
    <n v="263"/>
    <x v="1"/>
    <m/>
    <s v="ALM00570"/>
    <s v=""/>
    <x v="1"/>
    <m/>
    <m/>
    <x v="569"/>
    <m/>
    <m/>
    <m/>
    <s v="ROLAM/RETEN/GAXETAS"/>
    <m/>
    <s v="D2103"/>
    <s v="F3-4-3"/>
    <n v="5"/>
    <n v="4"/>
    <n v="15"/>
    <n v="50"/>
    <n v="250"/>
    <n v="200"/>
    <n v="4"/>
    <m/>
    <m/>
    <m/>
    <m/>
    <s v="Estoque Conforme"/>
    <s v="SEM SOLICITACAO / FABBISOGNO'S"/>
    <m/>
  </r>
  <r>
    <n v="269"/>
    <x v="1"/>
    <s v="A"/>
    <s v="ALM00571"/>
    <s v="F.FENDER - M06"/>
    <x v="1"/>
    <m/>
    <m/>
    <x v="570"/>
    <m/>
    <m/>
    <m/>
    <m/>
    <m/>
    <s v="D2103"/>
    <s v="F3-4-3.1"/>
    <n v="4"/>
    <n v="3"/>
    <n v="15"/>
    <n v="0"/>
    <n v="0"/>
    <n v="0"/>
    <n v="4"/>
    <m/>
    <m/>
    <m/>
    <m/>
    <s v="Estoque Conforme"/>
    <s v="SEM SOLICITACAO / FABBISOGNO'S"/>
    <m/>
  </r>
  <r>
    <n v="264"/>
    <x v="1"/>
    <m/>
    <s v="ALM00572"/>
    <s v=""/>
    <x v="1"/>
    <s v="757510172910"/>
    <s v="172910"/>
    <x v="571"/>
    <m/>
    <m/>
    <m/>
    <s v="ROLAM/RETEN/GAXETAS"/>
    <m/>
    <s v="D2103"/>
    <s v="F3-4-4"/>
    <n v="10"/>
    <n v="4"/>
    <n v="15"/>
    <n v="0"/>
    <n v="0"/>
    <n v="0"/>
    <n v="10"/>
    <m/>
    <m/>
    <m/>
    <m/>
    <s v="Estoque Conforme"/>
    <s v="SEM SOLICITACAO / FABBISOGNO'S"/>
    <m/>
  </r>
  <r>
    <n v="268"/>
    <x v="1"/>
    <m/>
    <s v="ALM00573"/>
    <s v=""/>
    <x v="1"/>
    <m/>
    <m/>
    <x v="572"/>
    <m/>
    <m/>
    <m/>
    <s v="ROLAM/RETEN/GAXETAS"/>
    <m/>
    <s v="D2013"/>
    <s v="F3-4-4.1"/>
    <n v="8"/>
    <n v="4"/>
    <n v="15"/>
    <n v="0"/>
    <n v="0"/>
    <n v="0"/>
    <n v="4"/>
    <m/>
    <m/>
    <m/>
    <m/>
    <s v="Estoque Conforme"/>
    <s v="SEM SOLICITACAO / FABBISOGNO'S"/>
    <m/>
  </r>
  <r>
    <n v="265"/>
    <x v="1"/>
    <m/>
    <s v="ALM00574"/>
    <s v=""/>
    <x v="1"/>
    <s v="755943172392"/>
    <s v="172392"/>
    <x v="573"/>
    <m/>
    <m/>
    <m/>
    <s v="ROLAM/RETEN/GAXETAS"/>
    <m/>
    <s v="D2104"/>
    <s v="F3-4-5"/>
    <n v="7"/>
    <n v="3"/>
    <n v="15"/>
    <n v="0"/>
    <n v="0"/>
    <n v="0"/>
    <n v="7"/>
    <m/>
    <m/>
    <m/>
    <m/>
    <s v="Estoque Conforme"/>
    <s v="SEM SOLICITACAO / FABBISOGNO'S"/>
    <m/>
  </r>
  <r>
    <n v="270"/>
    <x v="1"/>
    <m/>
    <s v="ALM00575"/>
    <s v=""/>
    <x v="1"/>
    <s v="762741173363"/>
    <s v="173363"/>
    <x v="574"/>
    <m/>
    <m/>
    <m/>
    <s v="ROLAM/RETEN/GAXETAS"/>
    <m/>
    <s v="D2103"/>
    <s v="F3-4-5.1"/>
    <n v="13"/>
    <n v="3"/>
    <n v="15"/>
    <n v="0"/>
    <n v="0"/>
    <n v="0"/>
    <n v="13"/>
    <m/>
    <m/>
    <m/>
    <m/>
    <s v="Estoque Conforme"/>
    <s v="SEM SOLICITACAO / FABBISOGNO'S"/>
    <m/>
  </r>
  <r>
    <n v="474"/>
    <x v="1"/>
    <m/>
    <s v="ALM00576"/>
    <s v="AQUECEDOR DE ÓLEO"/>
    <x v="1"/>
    <s v="757601171052"/>
    <s v="171052"/>
    <x v="575"/>
    <m/>
    <m/>
    <m/>
    <s v="FABRICANTE"/>
    <m/>
    <s v="D1203"/>
    <s v="F3-4-6"/>
    <n v="1"/>
    <n v="1"/>
    <n v="4"/>
    <n v="2296.96"/>
    <n v="2296.96"/>
    <n v="2296.96"/>
    <n v="3"/>
    <m/>
    <m/>
    <m/>
    <m/>
    <s v="Estoque Conforme"/>
    <s v="SEM SOLICITACAO / FABBISOGNO'S"/>
    <m/>
  </r>
  <r>
    <n v="266"/>
    <x v="1"/>
    <m/>
    <s v="ALM00577"/>
    <s v="GLASUTEC"/>
    <x v="1"/>
    <s v="755943172394"/>
    <s v="172394"/>
    <x v="576"/>
    <m/>
    <m/>
    <m/>
    <s v="ROLAM/RETEN/GAXETAS"/>
    <m/>
    <s v="D2102"/>
    <s v="F3-4-6.1"/>
    <n v="18"/>
    <n v="4"/>
    <n v="15"/>
    <n v="192"/>
    <n v="3456"/>
    <n v="768"/>
    <n v="20"/>
    <m/>
    <m/>
    <m/>
    <m/>
    <s v="Estoque Conforme"/>
    <s v="SEM SOLICITACAO / FABBISOGNO'S"/>
    <m/>
  </r>
  <r>
    <n v="1038"/>
    <x v="1"/>
    <m/>
    <s v="ALM00578"/>
    <s v=""/>
    <x v="1"/>
    <m/>
    <m/>
    <x v="577"/>
    <m/>
    <m/>
    <m/>
    <s v="ROLAM/RETEN/GAXETAS"/>
    <m/>
    <s v="D2106"/>
    <s v="F3-5-1"/>
    <n v="4"/>
    <n v="2"/>
    <n v="15"/>
    <n v="0"/>
    <n v="0"/>
    <n v="0"/>
    <n v="4"/>
    <m/>
    <m/>
    <m/>
    <m/>
    <s v="Estoque Conforme"/>
    <s v="SEM SOLICITACAO / FABBISOGNO'S"/>
    <m/>
  </r>
  <r>
    <n v="477"/>
    <x v="1"/>
    <s v="A"/>
    <s v="ALM00579"/>
    <s v="FORNO VERTICAL - M18"/>
    <x v="1"/>
    <m/>
    <m/>
    <x v="578"/>
    <m/>
    <m/>
    <m/>
    <m/>
    <m/>
    <s v="E1404"/>
    <s v="F3-5-2"/>
    <n v="4"/>
    <n v="3"/>
    <n v="6"/>
    <n v="0"/>
    <n v="0"/>
    <n v="0"/>
    <n v="4"/>
    <m/>
    <m/>
    <m/>
    <m/>
    <s v="Estoque Conforme"/>
    <s v="SEM SOLICITACAO / FABBISOGNO'S"/>
    <m/>
  </r>
  <r>
    <n v="548"/>
    <x v="1"/>
    <s v="A"/>
    <s v="ALM00580"/>
    <s v="F.FENDER - M06"/>
    <x v="1"/>
    <m/>
    <m/>
    <x v="579"/>
    <m/>
    <m/>
    <m/>
    <m/>
    <m/>
    <s v="E1404"/>
    <s v="F3-5-3"/>
    <n v="4"/>
    <n v="2"/>
    <n v="6"/>
    <n v="0"/>
    <n v="0"/>
    <n v="0"/>
    <n v="4"/>
    <m/>
    <m/>
    <m/>
    <m/>
    <s v="Estoque Conforme"/>
    <s v="SEM SOLICITACAO / FABBISOGNO'S"/>
    <m/>
  </r>
  <r>
    <n v="247"/>
    <x v="1"/>
    <s v="A"/>
    <s v="ALM00581"/>
    <s v="F.FENDER - M06"/>
    <x v="1"/>
    <m/>
    <m/>
    <x v="580"/>
    <m/>
    <m/>
    <m/>
    <m/>
    <m/>
    <s v="E1404"/>
    <s v="F3-5-4"/>
    <n v="1"/>
    <n v="4"/>
    <n v="6"/>
    <n v="75.8"/>
    <n v="75.8"/>
    <n v="303.2"/>
    <n v="3"/>
    <m/>
    <m/>
    <m/>
    <m/>
    <s v="Estoque em Nivel Minimo"/>
    <s v="COM SOLICITACAO / EM PROCESSO DE COMPRAS"/>
    <s v="3370/19"/>
  </r>
  <r>
    <n v="248"/>
    <x v="1"/>
    <m/>
    <s v="ALM00582"/>
    <s v=""/>
    <x v="1"/>
    <s v="755943177150"/>
    <s v="177150"/>
    <x v="581"/>
    <m/>
    <m/>
    <m/>
    <s v="ROLAM/RETEN/GAXETAS"/>
    <m/>
    <s v="E1404"/>
    <s v="F3-5-5"/>
    <n v="5"/>
    <n v="2"/>
    <n v="6"/>
    <n v="0"/>
    <n v="0"/>
    <n v="0"/>
    <n v="5"/>
    <m/>
    <m/>
    <m/>
    <m/>
    <s v="Estoque Conforme"/>
    <s v="SEM SOLICITACAO / FABBISOGNO'S"/>
    <m/>
  </r>
  <r>
    <n v="273"/>
    <x v="1"/>
    <s v="A"/>
    <s v="ALM00583"/>
    <s v="W.J - M22/M41"/>
    <x v="1"/>
    <m/>
    <m/>
    <x v="582"/>
    <m/>
    <m/>
    <m/>
    <m/>
    <m/>
    <s v="D1201"/>
    <s v="G1-1-1"/>
    <n v="4"/>
    <n v="2"/>
    <n v="4"/>
    <n v="916"/>
    <n v="3664"/>
    <n v="1832"/>
    <n v="1"/>
    <m/>
    <m/>
    <m/>
    <m/>
    <s v="Estoque Conforme"/>
    <s v="SEM SOLICITACAO / FABBISOGNO'S"/>
    <m/>
  </r>
  <r>
    <n v="272"/>
    <x v="1"/>
    <s v="A"/>
    <s v="ALM00584"/>
    <s v="W.J - M22/M41"/>
    <x v="1"/>
    <m/>
    <m/>
    <x v="583"/>
    <m/>
    <m/>
    <m/>
    <m/>
    <m/>
    <s v="D1201"/>
    <s v="G1-1-2"/>
    <n v="4"/>
    <n v="2"/>
    <n v="4"/>
    <n v="1000"/>
    <n v="4000"/>
    <n v="2000"/>
    <n v="2"/>
    <m/>
    <m/>
    <m/>
    <m/>
    <s v="Estoque Conforme"/>
    <s v="SEM SOLICITACAO / FABBISOGNO'S"/>
    <m/>
  </r>
  <r>
    <n v="734"/>
    <x v="1"/>
    <m/>
    <s v="ALM00585"/>
    <s v="W.J - M22/M41"/>
    <x v="1"/>
    <m/>
    <m/>
    <x v="584"/>
    <m/>
    <m/>
    <m/>
    <m/>
    <m/>
    <s v="D1201"/>
    <s v="G1-1-3"/>
    <n v="3"/>
    <n v="2"/>
    <n v="4"/>
    <n v="995"/>
    <n v="2985"/>
    <n v="1990"/>
    <n v="2"/>
    <m/>
    <m/>
    <m/>
    <m/>
    <s v="Estoque Conforme"/>
    <s v="SEM SOLICITACAO / FABBISOGNO'S"/>
    <m/>
  </r>
  <r>
    <n v="735"/>
    <x v="1"/>
    <m/>
    <s v="ALM00586"/>
    <s v="W.J - M22/M42"/>
    <x v="1"/>
    <m/>
    <m/>
    <x v="585"/>
    <m/>
    <m/>
    <m/>
    <m/>
    <m/>
    <s v="D1202"/>
    <s v="G1-2-1"/>
    <n v="3"/>
    <n v="1"/>
    <n v="4"/>
    <n v="0"/>
    <n v="0"/>
    <n v="0"/>
    <n v="3"/>
    <m/>
    <m/>
    <m/>
    <m/>
    <s v="Estoque Conforme"/>
    <s v="SEM SOLICITACAO / FABBISOGNO'S"/>
    <m/>
  </r>
  <r>
    <n v="736"/>
    <x v="1"/>
    <m/>
    <s v="ALM00587"/>
    <s v="W.J - M22/M43"/>
    <x v="1"/>
    <m/>
    <m/>
    <x v="586"/>
    <m/>
    <m/>
    <m/>
    <s v="DRS"/>
    <m/>
    <s v="C1402"/>
    <s v="G1-2-2"/>
    <n v="1"/>
    <n v="1"/>
    <n v="5"/>
    <n v="0"/>
    <n v="0"/>
    <n v="0"/>
    <n v="1"/>
    <m/>
    <m/>
    <m/>
    <m/>
    <s v="Estoque Conforme"/>
    <s v="SEM SOLICITACAO / FABBISOGNO'S"/>
    <m/>
  </r>
  <r>
    <n v="1129"/>
    <x v="1"/>
    <s v="A"/>
    <s v="ALM00588"/>
    <s v="ROBO DE COLA - M17"/>
    <x v="1"/>
    <m/>
    <m/>
    <x v="587"/>
    <m/>
    <m/>
    <m/>
    <s v="EVOLUT"/>
    <m/>
    <s v="C1402"/>
    <s v="G1-2-3"/>
    <n v="2"/>
    <n v="2"/>
    <n v="5"/>
    <n v="0"/>
    <n v="0"/>
    <n v="0"/>
    <n v="2"/>
    <m/>
    <m/>
    <m/>
    <m/>
    <s v="Estoque Conforme"/>
    <s v="SEM SOLICITACAO / FABBISOGNO'S"/>
    <m/>
  </r>
  <r>
    <n v="1066"/>
    <x v="1"/>
    <s v="A"/>
    <s v="ALM00589"/>
    <s v="W.J - M22/M41"/>
    <x v="1"/>
    <s v="755943171902"/>
    <s v="171902"/>
    <x v="588"/>
    <m/>
    <m/>
    <m/>
    <m/>
    <m/>
    <s v="D1202"/>
    <s v="G1-2-4"/>
    <n v="2"/>
    <n v="1"/>
    <n v="5"/>
    <n v="0"/>
    <n v="0"/>
    <n v="0"/>
    <n v="2"/>
    <m/>
    <m/>
    <m/>
    <m/>
    <s v="Estoque Conforme"/>
    <s v="SEM SOLICITACAO / FABBISOGNO'S"/>
    <m/>
  </r>
  <r>
    <n v="1177"/>
    <x v="1"/>
    <s v="A"/>
    <s v="ALM00590"/>
    <s v="W.J - M22/M41"/>
    <x v="0"/>
    <m/>
    <m/>
    <x v="589"/>
    <m/>
    <m/>
    <m/>
    <m/>
    <m/>
    <s v="A1104"/>
    <s v="G1-2-5"/>
    <n v="1"/>
    <n v="1"/>
    <n v="5"/>
    <n v="0"/>
    <n v="0"/>
    <n v="0"/>
    <n v="1"/>
    <m/>
    <m/>
    <m/>
    <m/>
    <s v="Estoque Conforme"/>
    <s v="SEM SOLICITACAO / FABBISOGNO'S"/>
    <m/>
  </r>
  <r>
    <n v="1178"/>
    <x v="1"/>
    <m/>
    <s v="ALM00591"/>
    <s v=""/>
    <x v="0"/>
    <m/>
    <m/>
    <x v="590"/>
    <m/>
    <m/>
    <m/>
    <m/>
    <m/>
    <s v="A1104"/>
    <s v="G1-2-5.1"/>
    <n v="2"/>
    <n v="1"/>
    <n v="5"/>
    <n v="0"/>
    <n v="0"/>
    <n v="0"/>
    <n v="2"/>
    <m/>
    <m/>
    <m/>
    <m/>
    <s v="Estoque Conforme"/>
    <s v="SEM SOLICITACAO / FABBISOGNO'S"/>
    <m/>
  </r>
  <r>
    <n v="1185"/>
    <x v="1"/>
    <m/>
    <s v="ALM00592"/>
    <s v="W.J - M22/M41"/>
    <x v="1"/>
    <m/>
    <m/>
    <x v="591"/>
    <m/>
    <m/>
    <m/>
    <m/>
    <m/>
    <s v="E1304"/>
    <s v="G1-2-6"/>
    <n v="13"/>
    <n v="8"/>
    <n v="20"/>
    <n v="10.44"/>
    <n v="135.72"/>
    <n v="83.52"/>
    <n v="15"/>
    <m/>
    <m/>
    <m/>
    <m/>
    <s v="Estoque Conforme"/>
    <s v="SEM SOLICITACAO / FABBISOGNO'S"/>
    <m/>
  </r>
  <r>
    <n v="1186"/>
    <x v="1"/>
    <m/>
    <s v="ALM00593"/>
    <s v="INTENSIFICADOR"/>
    <x v="1"/>
    <m/>
    <m/>
    <x v="592"/>
    <m/>
    <s v="KMT"/>
    <m/>
    <m/>
    <m/>
    <s v="E1304"/>
    <s v="G1-2-6.1"/>
    <n v="2"/>
    <n v="2"/>
    <n v="10"/>
    <n v="0"/>
    <n v="0"/>
    <n v="0"/>
    <n v="2"/>
    <m/>
    <m/>
    <m/>
    <m/>
    <s v="Estoque Conforme"/>
    <s v="SEM SOLICITACAO / FABBISOGNO'S"/>
    <m/>
  </r>
  <r>
    <n v="777"/>
    <x v="1"/>
    <s v="A"/>
    <s v="ALM00594"/>
    <s v="TRUNCK LOAD - M27"/>
    <x v="1"/>
    <m/>
    <m/>
    <x v="593"/>
    <m/>
    <m/>
    <m/>
    <m/>
    <m/>
    <s v="E2303"/>
    <s v="G1-3-1 "/>
    <n v="0"/>
    <n v="2"/>
    <n v="5"/>
    <n v="0"/>
    <n v="0"/>
    <n v="0"/>
    <n v="2"/>
    <m/>
    <m/>
    <m/>
    <m/>
    <s v="Estoque Não Conforme"/>
    <s v="SEM SOLICITACAO / FABBISOGNO'S"/>
    <m/>
  </r>
  <r>
    <n v="807"/>
    <x v="1"/>
    <m/>
    <s v="ALM00595"/>
    <s v="W.J - M22/M41"/>
    <x v="1"/>
    <m/>
    <m/>
    <x v="594"/>
    <m/>
    <m/>
    <m/>
    <s v="DRS"/>
    <m/>
    <s v="E1304"/>
    <s v="G1-3-3"/>
    <n v="17"/>
    <n v="10"/>
    <n v="20"/>
    <n v="0"/>
    <n v="0"/>
    <n v="0"/>
    <n v="20"/>
    <m/>
    <m/>
    <m/>
    <m/>
    <s v="Estoque Conforme"/>
    <s v="SEM SOLICITACAO / FABBISOGNO'S"/>
    <m/>
  </r>
  <r>
    <n v="776"/>
    <x v="1"/>
    <m/>
    <s v="ALM00596"/>
    <s v=""/>
    <x v="1"/>
    <s v="713631173175"/>
    <s v="173175"/>
    <x v="595"/>
    <m/>
    <m/>
    <m/>
    <m/>
    <m/>
    <s v="E2303"/>
    <s v="G1-3-4 / AR. A1-3-1"/>
    <n v="0"/>
    <n v="2"/>
    <n v="10"/>
    <n v="1050"/>
    <n v="0"/>
    <n v="2100"/>
    <n v="4"/>
    <m/>
    <m/>
    <m/>
    <m/>
    <s v="Estoque Não Conforme"/>
    <s v="SEM SOLICITACAO / FABBISOGNO'S"/>
    <m/>
  </r>
  <r>
    <n v="753"/>
    <x v="1"/>
    <m/>
    <s v="ALM00597"/>
    <s v="W.J - M22/M41"/>
    <x v="1"/>
    <m/>
    <m/>
    <x v="596"/>
    <m/>
    <m/>
    <m/>
    <s v="DRS"/>
    <m/>
    <s v="C1405"/>
    <s v="G1-3-5"/>
    <n v="5"/>
    <n v="4"/>
    <n v="10"/>
    <n v="263.3"/>
    <n v="1316.5"/>
    <n v="1053.2"/>
    <n v="5"/>
    <m/>
    <m/>
    <m/>
    <m/>
    <s v="Estoque Conforme"/>
    <s v="SEM SOLICITACAO / FABBISOGNO'S"/>
    <m/>
  </r>
  <r>
    <n v="806"/>
    <x v="1"/>
    <m/>
    <s v="ALM00598"/>
    <s v="W.J - M22/M41"/>
    <x v="1"/>
    <m/>
    <m/>
    <x v="597"/>
    <m/>
    <m/>
    <m/>
    <s v="DRS"/>
    <m/>
    <s v="E1304"/>
    <s v="G1-4-1"/>
    <n v="18"/>
    <n v="10"/>
    <n v="20"/>
    <n v="0"/>
    <n v="0"/>
    <n v="0"/>
    <n v="17"/>
    <m/>
    <m/>
    <m/>
    <m/>
    <s v="Estoque Conforme"/>
    <s v="SEM SOLICITACAO / FABBISOGNO'S"/>
    <m/>
  </r>
  <r>
    <n v="790"/>
    <x v="1"/>
    <m/>
    <s v="ALM00599"/>
    <s v="W.J - M22/M41"/>
    <x v="1"/>
    <m/>
    <m/>
    <x v="598"/>
    <m/>
    <m/>
    <m/>
    <s v="DRS"/>
    <m/>
    <s v="D1203"/>
    <s v="G1-4-2"/>
    <n v="0"/>
    <n v="2"/>
    <n v="3"/>
    <n v="1500"/>
    <n v="0"/>
    <n v="3000"/>
    <n v="1"/>
    <m/>
    <m/>
    <m/>
    <m/>
    <s v="Estoque Não Conforme"/>
    <s v="COM SOLICITACAO / EM PROCESSO DE COMPRAS"/>
    <s v="3372/19"/>
  </r>
  <r>
    <n v="752"/>
    <x v="1"/>
    <s v="A"/>
    <s v="ALM00600"/>
    <s v="W.J - M22/M41"/>
    <x v="1"/>
    <m/>
    <m/>
    <x v="599"/>
    <m/>
    <m/>
    <m/>
    <s v="DRS"/>
    <m/>
    <s v="D1203"/>
    <s v="G1-4-3"/>
    <n v="6"/>
    <n v="5"/>
    <n v="20"/>
    <n v="560"/>
    <n v="3360"/>
    <n v="2800"/>
    <n v="12"/>
    <m/>
    <m/>
    <m/>
    <m/>
    <s v="Estoque Conforme"/>
    <s v="SEM SOLICITACAO / FABBISOGNO'S"/>
    <m/>
  </r>
  <r>
    <n v="737"/>
    <x v="1"/>
    <m/>
    <s v="ALM00601"/>
    <s v="W.J - M22/M41"/>
    <x v="1"/>
    <m/>
    <m/>
    <x v="600"/>
    <m/>
    <m/>
    <m/>
    <s v="DRS"/>
    <m/>
    <s v="D1203"/>
    <s v="G1-4-4"/>
    <n v="3"/>
    <n v="3"/>
    <n v="5"/>
    <n v="0"/>
    <n v="0"/>
    <n v="0"/>
    <n v="3"/>
    <m/>
    <m/>
    <m/>
    <m/>
    <s v="Estoque Conforme"/>
    <s v="COM SOLICITACAO / EM PROCESSO DE COMPRAS"/>
    <s v="3372/19"/>
  </r>
  <r>
    <n v="791"/>
    <x v="1"/>
    <m/>
    <s v="ALM00602"/>
    <s v="W.J - M22/M41"/>
    <x v="1"/>
    <m/>
    <m/>
    <x v="601"/>
    <m/>
    <m/>
    <m/>
    <m/>
    <m/>
    <s v="D1203"/>
    <s v="G1-4-4.1 "/>
    <n v="8"/>
    <n v="8"/>
    <n v="10"/>
    <n v="755.62"/>
    <n v="6044.96"/>
    <n v="6044.96"/>
    <n v="8"/>
    <m/>
    <m/>
    <m/>
    <m/>
    <s v="Estoque Conforme"/>
    <s v="SEM SOLICITACAO / FABBISOGNO'S"/>
    <m/>
  </r>
  <r>
    <n v="796"/>
    <x v="1"/>
    <m/>
    <s v="ALM00603"/>
    <s v="W.J - M22/M42"/>
    <x v="1"/>
    <m/>
    <m/>
    <x v="602"/>
    <m/>
    <m/>
    <m/>
    <s v="DRS"/>
    <m/>
    <s v="D1203"/>
    <s v="G1-4-4.2"/>
    <n v="6"/>
    <n v="10"/>
    <n v="20"/>
    <n v="167"/>
    <n v="1002"/>
    <n v="1670"/>
    <n v="7"/>
    <m/>
    <m/>
    <m/>
    <m/>
    <s v="Estoque em Nivel Minimo"/>
    <s v="COM SOLICITACAO / EM PROCESSO DE COMPRAS"/>
    <s v="3372/19"/>
  </r>
  <r>
    <n v="795"/>
    <x v="1"/>
    <m/>
    <s v="ALM00604"/>
    <s v="W.J - M22/M43"/>
    <x v="1"/>
    <m/>
    <m/>
    <x v="603"/>
    <m/>
    <m/>
    <m/>
    <s v="DRS"/>
    <m/>
    <s v="D1203"/>
    <s v="G1-4-5"/>
    <n v="0"/>
    <n v="10"/>
    <n v="20"/>
    <n v="171"/>
    <n v="0"/>
    <n v="1710"/>
    <n v="7"/>
    <m/>
    <m/>
    <m/>
    <m/>
    <s v="Estoque Não Conforme"/>
    <s v="COM SOLICITACAO / EM PROCESSO DE COMPRAS"/>
    <s v="3372/19"/>
  </r>
  <r>
    <n v="799"/>
    <x v="1"/>
    <m/>
    <s v="ALM00605"/>
    <s v="W.J - M22/M44"/>
    <x v="1"/>
    <m/>
    <m/>
    <x v="604"/>
    <m/>
    <m/>
    <m/>
    <s v="DRS"/>
    <m/>
    <s v="D1203"/>
    <s v="G1-4-5.1"/>
    <n v="12"/>
    <n v="5"/>
    <n v="10"/>
    <n v="388.82"/>
    <n v="4665.84"/>
    <n v="1944.1"/>
    <n v="14"/>
    <m/>
    <m/>
    <m/>
    <m/>
    <s v="Estoque Conforme"/>
    <s v="SEM SOLICITACAO / FABBISOGNO'S"/>
    <m/>
  </r>
  <r>
    <n v="798"/>
    <x v="1"/>
    <s v="A"/>
    <s v="ALM00606"/>
    <s v="W.J - M22/M41"/>
    <x v="1"/>
    <s v="57041180452"/>
    <s v="180452"/>
    <x v="605"/>
    <m/>
    <m/>
    <m/>
    <s v="DRS"/>
    <m/>
    <s v="D1203"/>
    <s v="G1-4-5.2"/>
    <n v="23"/>
    <n v="10"/>
    <n v="20"/>
    <n v="317.31"/>
    <n v="7298.13"/>
    <n v="3173.1"/>
    <n v="26"/>
    <m/>
    <m/>
    <m/>
    <m/>
    <s v="Estoque Conforme"/>
    <s v="SEM SOLICITACAO / FABBISOGNO'S"/>
    <m/>
  </r>
  <r>
    <n v="307"/>
    <x v="1"/>
    <s v="A"/>
    <s v="ALM00607"/>
    <s v="W.J - M22/M41"/>
    <x v="1"/>
    <s v="763548171898"/>
    <s v="171898"/>
    <x v="606"/>
    <m/>
    <s v="KMT"/>
    <m/>
    <s v="DRS"/>
    <m/>
    <s v="D1203"/>
    <s v="G1-4-6"/>
    <n v="3"/>
    <n v="3"/>
    <n v="6"/>
    <n v="1100"/>
    <n v="3300"/>
    <n v="3300"/>
    <n v="5"/>
    <m/>
    <m/>
    <m/>
    <m/>
    <s v="Estoque Conforme"/>
    <s v="SEM SOLICITACAO / FABBISOGNO'S"/>
    <m/>
  </r>
  <r>
    <n v="738"/>
    <x v="1"/>
    <m/>
    <s v="ALM00608"/>
    <s v="W.J - M22/M42"/>
    <x v="1"/>
    <s v="763548180549"/>
    <s v="180549"/>
    <x v="607"/>
    <m/>
    <m/>
    <m/>
    <s v="DRS"/>
    <m/>
    <s v="D1203"/>
    <s v="G1-4-6.1"/>
    <n v="9"/>
    <n v="5"/>
    <n v="20"/>
    <n v="230"/>
    <n v="2070"/>
    <n v="1150"/>
    <n v="9"/>
    <m/>
    <m/>
    <m/>
    <m/>
    <s v="Estoque Conforme"/>
    <s v="SEM SOLICITACAO / FABBISOGNO'S"/>
    <m/>
  </r>
  <r>
    <n v="789"/>
    <x v="1"/>
    <m/>
    <s v="ALM00609"/>
    <s v="W.J - M22/M41"/>
    <x v="1"/>
    <m/>
    <m/>
    <x v="608"/>
    <m/>
    <m/>
    <m/>
    <s v="DRS"/>
    <m/>
    <s v="D1203"/>
    <s v="G1-4-6.2 "/>
    <n v="0"/>
    <n v="5"/>
    <n v="20"/>
    <n v="236"/>
    <n v="0"/>
    <n v="1180"/>
    <n v="1"/>
    <m/>
    <m/>
    <m/>
    <m/>
    <s v="Estoque Não Conforme"/>
    <s v="COM SOLICITACAO / EM PROCESSO DE COMPRAS"/>
    <s v="3372/19"/>
  </r>
  <r>
    <n v="745"/>
    <x v="1"/>
    <s v="A"/>
    <s v="ALM00610"/>
    <s v="ROBO DE COLA - M17"/>
    <x v="1"/>
    <m/>
    <m/>
    <x v="609"/>
    <m/>
    <m/>
    <m/>
    <s v="EVOLUT"/>
    <m/>
    <s v="D1202"/>
    <s v="G1-5-1"/>
    <n v="0"/>
    <n v="2"/>
    <n v="4"/>
    <n v="0"/>
    <n v="0"/>
    <n v="0"/>
    <n v="2"/>
    <m/>
    <m/>
    <m/>
    <m/>
    <s v="Estoque Não Conforme"/>
    <s v="SEM SOLICITACAO / FABBISOGNO'S"/>
    <m/>
  </r>
  <r>
    <n v="729"/>
    <x v="1"/>
    <m/>
    <s v="ALM00611"/>
    <s v=""/>
    <x v="2"/>
    <m/>
    <m/>
    <x v="610"/>
    <m/>
    <m/>
    <m/>
    <m/>
    <m/>
    <s v="C2203"/>
    <s v="G1-5-3"/>
    <n v="2"/>
    <n v="1"/>
    <n v="3"/>
    <n v="0"/>
    <n v="0"/>
    <n v="0"/>
    <n v="2"/>
    <m/>
    <m/>
    <m/>
    <m/>
    <s v="Estoque Conforme"/>
    <s v="SEM SOLICITACAO / FABBISOGNO'S"/>
    <m/>
  </r>
  <r>
    <n v="1179"/>
    <x v="1"/>
    <m/>
    <s v="ALM00612"/>
    <s v="INNER"/>
    <x v="1"/>
    <m/>
    <m/>
    <x v="611"/>
    <m/>
    <m/>
    <m/>
    <m/>
    <m/>
    <s v="D1206"/>
    <s v="G1-6-2"/>
    <n v="1"/>
    <n v="5"/>
    <n v="10"/>
    <n v="0"/>
    <n v="0"/>
    <n v="0"/>
    <n v="12"/>
    <m/>
    <m/>
    <m/>
    <m/>
    <s v="Estoque em Nivel Minimo"/>
    <s v="SEM SOLICITACAO / FABBISOGNO'S"/>
    <m/>
  </r>
  <r>
    <n v="839"/>
    <x v="1"/>
    <m/>
    <s v="ALM00613"/>
    <s v=""/>
    <x v="2"/>
    <m/>
    <m/>
    <x v="612"/>
    <m/>
    <m/>
    <m/>
    <m/>
    <m/>
    <s v="D1303"/>
    <s v="G2-3-1"/>
    <n v="1"/>
    <n v="2"/>
    <n v="3"/>
    <n v="0"/>
    <n v="0"/>
    <n v="0"/>
    <n v="3"/>
    <m/>
    <m/>
    <m/>
    <m/>
    <s v="Estoque em Nivel Minimo"/>
    <s v="COM SOLICITACAO / EM PROCESSO DE COMPRAS"/>
    <s v="3370/19"/>
  </r>
  <r>
    <n v="837"/>
    <x v="1"/>
    <m/>
    <s v="ALM00614"/>
    <s v=""/>
    <x v="2"/>
    <m/>
    <m/>
    <x v="613"/>
    <m/>
    <m/>
    <m/>
    <m/>
    <m/>
    <s v="D1303"/>
    <s v="G2-3-2"/>
    <n v="2"/>
    <n v="2"/>
    <n v="3"/>
    <n v="0"/>
    <n v="0"/>
    <n v="0"/>
    <n v="2"/>
    <m/>
    <m/>
    <m/>
    <m/>
    <s v="Estoque Conforme"/>
    <s v="SEM SOLICITACAO / FABBISOGNO'S"/>
    <m/>
  </r>
  <r>
    <n v="1041"/>
    <x v="1"/>
    <m/>
    <s v="ALM00615"/>
    <s v=""/>
    <x v="2"/>
    <m/>
    <m/>
    <x v="614"/>
    <m/>
    <m/>
    <m/>
    <m/>
    <m/>
    <s v="C2102"/>
    <s v="G2-3-3"/>
    <n v="2"/>
    <n v="2"/>
    <n v="4"/>
    <n v="0"/>
    <n v="0"/>
    <n v="0"/>
    <n v="2"/>
    <m/>
    <m/>
    <m/>
    <m/>
    <s v="Estoque Conforme"/>
    <s v="SEM SOLICITACAO / FABBISOGNO'S"/>
    <m/>
  </r>
  <r>
    <n v="836"/>
    <x v="1"/>
    <m/>
    <s v="ALM00616"/>
    <s v=""/>
    <x v="2"/>
    <m/>
    <m/>
    <x v="615"/>
    <m/>
    <m/>
    <m/>
    <m/>
    <m/>
    <s v="C2102"/>
    <s v="G2-3-4"/>
    <n v="2"/>
    <n v="2"/>
    <n v="3"/>
    <n v="0"/>
    <n v="0"/>
    <n v="0"/>
    <n v="2"/>
    <m/>
    <m/>
    <m/>
    <m/>
    <s v="Estoque Conforme"/>
    <s v="SEM SOLICITACAO / FABBISOGNO'S"/>
    <m/>
  </r>
  <r>
    <n v="708"/>
    <x v="1"/>
    <m/>
    <s v="ALM00617"/>
    <s v=""/>
    <x v="2"/>
    <m/>
    <m/>
    <x v="616"/>
    <m/>
    <m/>
    <m/>
    <m/>
    <m/>
    <s v="C2102"/>
    <s v="G2-3-5"/>
    <n v="1"/>
    <n v="1"/>
    <n v="3"/>
    <n v="0"/>
    <n v="0"/>
    <n v="0"/>
    <n v="1"/>
    <m/>
    <m/>
    <m/>
    <m/>
    <s v="Estoque Conforme"/>
    <s v="SEM SOLICITACAO / FABBISOGNO'S"/>
    <m/>
  </r>
  <r>
    <n v="838"/>
    <x v="1"/>
    <m/>
    <s v="ALM00618"/>
    <s v=""/>
    <x v="2"/>
    <m/>
    <m/>
    <x v="617"/>
    <m/>
    <m/>
    <m/>
    <m/>
    <m/>
    <s v="C1102"/>
    <s v="G2-3-6"/>
    <n v="2"/>
    <n v="2"/>
    <n v="3"/>
    <n v="0"/>
    <n v="0"/>
    <n v="0"/>
    <n v="2"/>
    <m/>
    <m/>
    <m/>
    <m/>
    <s v="Estoque Conforme"/>
    <s v="SEM SOLICITACAO / FABBISOGNO'S"/>
    <m/>
  </r>
  <r>
    <n v="709"/>
    <x v="1"/>
    <m/>
    <s v="ALM00619"/>
    <s v=""/>
    <x v="2"/>
    <s v="757565173059"/>
    <s v="173059"/>
    <x v="618"/>
    <m/>
    <m/>
    <m/>
    <m/>
    <m/>
    <s v="C1102"/>
    <s v="G2-3-7"/>
    <n v="1"/>
    <n v="1"/>
    <n v="3"/>
    <n v="400"/>
    <n v="400"/>
    <n v="400"/>
    <n v="1"/>
    <m/>
    <m/>
    <m/>
    <m/>
    <s v="Estoque Conforme"/>
    <s v="SEM SOLICITACAO / FABBISOGNO'S"/>
    <m/>
  </r>
  <r>
    <n v="702"/>
    <x v="1"/>
    <m/>
    <s v="ALM00620"/>
    <s v=""/>
    <x v="2"/>
    <s v="57041801417"/>
    <s v="801417"/>
    <x v="619"/>
    <m/>
    <m/>
    <m/>
    <m/>
    <m/>
    <s v="D1304"/>
    <s v="G2-4-1"/>
    <n v="1"/>
    <n v="1"/>
    <n v="2"/>
    <n v="0"/>
    <n v="0"/>
    <n v="0"/>
    <n v="1"/>
    <m/>
    <m/>
    <m/>
    <m/>
    <s v="Estoque Conforme"/>
    <s v="SEM SOLICITACAO / FABBISOGNO'S"/>
    <m/>
  </r>
  <r>
    <n v="704"/>
    <x v="1"/>
    <m/>
    <s v="ALM00621"/>
    <s v=""/>
    <x v="2"/>
    <m/>
    <m/>
    <x v="620"/>
    <m/>
    <m/>
    <m/>
    <m/>
    <m/>
    <s v="D1304"/>
    <s v="G2-4-2"/>
    <n v="3"/>
    <n v="1"/>
    <n v="3"/>
    <n v="0"/>
    <n v="0"/>
    <n v="0"/>
    <n v="3"/>
    <m/>
    <m/>
    <m/>
    <m/>
    <s v="Estoque Conforme"/>
    <s v="SEM SOLICITACAO / FABBISOGNO'S"/>
    <m/>
  </r>
  <r>
    <n v="703"/>
    <x v="1"/>
    <m/>
    <s v="ALM00622"/>
    <s v=""/>
    <x v="2"/>
    <m/>
    <m/>
    <x v="621"/>
    <m/>
    <m/>
    <m/>
    <m/>
    <m/>
    <s v="D1304"/>
    <s v="G2-4-3"/>
    <n v="2"/>
    <n v="1"/>
    <n v="3"/>
    <n v="0"/>
    <n v="0"/>
    <n v="0"/>
    <n v="2"/>
    <m/>
    <m/>
    <m/>
    <m/>
    <s v="Estoque Conforme"/>
    <s v="SEM SOLICITACAO / FABBISOGNO'S"/>
    <m/>
  </r>
  <r>
    <n v="705"/>
    <x v="1"/>
    <m/>
    <s v="ALM00623"/>
    <s v=""/>
    <x v="1"/>
    <m/>
    <m/>
    <x v="622"/>
    <m/>
    <m/>
    <m/>
    <m/>
    <m/>
    <s v="D1304"/>
    <s v="G2-4-4"/>
    <n v="2"/>
    <n v="4"/>
    <n v="5"/>
    <n v="0"/>
    <n v="0"/>
    <n v="0"/>
    <n v="5"/>
    <m/>
    <m/>
    <m/>
    <m/>
    <s v="Estoque em Nivel Minimo"/>
    <s v="SEM SOLICITACAO / FABBISOGNO'S"/>
    <m/>
  </r>
  <r>
    <n v="727"/>
    <x v="1"/>
    <s v="A"/>
    <s v="ALM00624"/>
    <s v="F.FENDER - M06"/>
    <x v="1"/>
    <m/>
    <m/>
    <x v="623"/>
    <m/>
    <m/>
    <m/>
    <m/>
    <m/>
    <s v="E1403"/>
    <s v="G2-5-1"/>
    <n v="4"/>
    <n v="2"/>
    <n v="4"/>
    <n v="0"/>
    <n v="0"/>
    <n v="0"/>
    <n v="2"/>
    <m/>
    <m/>
    <m/>
    <m/>
    <s v="Estoque Conforme"/>
    <s v="SEM SOLICITACAO / FABBISOGNO'S"/>
    <m/>
  </r>
  <r>
    <n v="1327"/>
    <x v="1"/>
    <m/>
    <s v="ALM00625"/>
    <s v=""/>
    <x v="1"/>
    <m/>
    <m/>
    <x v="624"/>
    <m/>
    <m/>
    <m/>
    <s v="FILTROS"/>
    <m/>
    <s v="C1406"/>
    <s v="G2-5-2"/>
    <n v="0"/>
    <n v="1"/>
    <n v="3"/>
    <n v="0"/>
    <n v="0"/>
    <n v="0"/>
    <n v="0"/>
    <m/>
    <m/>
    <m/>
    <m/>
    <s v="Estoque Não Conforme"/>
    <s v="COM SOLICITACAO / EM PROCESSO DE COMPRAS"/>
    <s v="3370/19"/>
  </r>
  <r>
    <n v="1261"/>
    <x v="1"/>
    <s v="A"/>
    <s v="ALM00626"/>
    <s v="GLASUTEC"/>
    <x v="1"/>
    <s v="757196800936"/>
    <s v="800936"/>
    <x v="625"/>
    <m/>
    <m/>
    <m/>
    <m/>
    <m/>
    <s v="E1106"/>
    <s v="G2-5-4"/>
    <n v="1"/>
    <n v="1"/>
    <n v="3"/>
    <n v="0"/>
    <n v="0"/>
    <n v="0"/>
    <n v="1"/>
    <m/>
    <s v="REPARO NA COROA DE BRONZE "/>
    <s v="Nº 1879."/>
    <n v="870"/>
    <s v="Estoque Conforme"/>
    <s v="SEM SOLICITACAO / FABBISOGNO'S"/>
    <m/>
  </r>
  <r>
    <n v="718"/>
    <x v="1"/>
    <m/>
    <s v="ALM00627"/>
    <s v=""/>
    <x v="1"/>
    <m/>
    <m/>
    <x v="626"/>
    <m/>
    <m/>
    <m/>
    <m/>
    <m/>
    <s v="D1305"/>
    <s v="G2-5-5"/>
    <n v="4"/>
    <n v="2"/>
    <n v="6"/>
    <n v="0"/>
    <n v="0"/>
    <n v="0"/>
    <n v="5"/>
    <m/>
    <m/>
    <m/>
    <m/>
    <s v="Estoque Conforme"/>
    <s v="SEM SOLICITACAO / FABBISOGNO'S"/>
    <m/>
  </r>
  <r>
    <n v="1354"/>
    <x v="1"/>
    <m/>
    <s v="ALM00628"/>
    <s v=""/>
    <x v="1"/>
    <m/>
    <m/>
    <x v="627"/>
    <m/>
    <m/>
    <m/>
    <m/>
    <m/>
    <s v="D1406"/>
    <s v="G2-6"/>
    <n v="1"/>
    <n v="10"/>
    <n v="15"/>
    <n v="0"/>
    <n v="0"/>
    <n v="0"/>
    <n v="15"/>
    <m/>
    <m/>
    <m/>
    <m/>
    <s v="Estoque em Nivel Minimo"/>
    <s v="SEM SOLICITACAO / FABBISOGNO'S"/>
    <m/>
  </r>
  <r>
    <n v="1043"/>
    <x v="1"/>
    <m/>
    <s v="ALM00629"/>
    <s v="F. FENDER"/>
    <x v="1"/>
    <m/>
    <m/>
    <x v="628"/>
    <m/>
    <m/>
    <m/>
    <m/>
    <m/>
    <s v="E1403"/>
    <s v="G2-6-1"/>
    <n v="0"/>
    <n v="1"/>
    <n v="5"/>
    <n v="0"/>
    <n v="0"/>
    <n v="0"/>
    <n v="2"/>
    <m/>
    <m/>
    <m/>
    <m/>
    <s v="Estoque Não Conforme"/>
    <s v="SEM SOLICITACAO / FABBISOGNO'S"/>
    <m/>
  </r>
  <r>
    <n v="728"/>
    <x v="1"/>
    <s v="A"/>
    <s v="ALM00630"/>
    <s v="PREN.HIDR. 300 TON-M15/M16/M30"/>
    <x v="1"/>
    <m/>
    <m/>
    <x v="629"/>
    <m/>
    <m/>
    <m/>
    <m/>
    <m/>
    <s v="E1403"/>
    <s v="G2-6-2"/>
    <n v="2"/>
    <n v="2"/>
    <n v="3"/>
    <n v="0"/>
    <n v="0"/>
    <n v="0"/>
    <n v="2"/>
    <m/>
    <m/>
    <m/>
    <m/>
    <s v="Estoque Conforme"/>
    <s v="SEM SOLICITACAO / FABBISOGNO'S"/>
    <m/>
  </r>
  <r>
    <n v="641"/>
    <x v="1"/>
    <m/>
    <s v="ALM00631"/>
    <s v=""/>
    <x v="1"/>
    <m/>
    <m/>
    <x v="630"/>
    <m/>
    <m/>
    <m/>
    <m/>
    <m/>
    <s v="D1402"/>
    <s v="G3-2-1"/>
    <n v="42"/>
    <n v="4"/>
    <n v="10"/>
    <n v="0"/>
    <n v="0"/>
    <n v="0"/>
    <n v="9"/>
    <m/>
    <m/>
    <m/>
    <m/>
    <s v="Estoque Conforme"/>
    <s v="SEM SOLICITACAO / FABBISOGNO'S"/>
    <m/>
  </r>
  <r>
    <n v="644"/>
    <x v="1"/>
    <m/>
    <s v="ALM00632"/>
    <s v=""/>
    <x v="1"/>
    <m/>
    <m/>
    <x v="631"/>
    <m/>
    <m/>
    <m/>
    <m/>
    <m/>
    <s v="D1402"/>
    <s v="G3-2-3"/>
    <n v="3"/>
    <n v="1"/>
    <n v="3"/>
    <n v="0"/>
    <n v="0"/>
    <n v="0"/>
    <n v="3"/>
    <m/>
    <m/>
    <m/>
    <m/>
    <s v="Estoque Conforme"/>
    <s v="SEM SOLICITACAO / FABBISOGNO'S"/>
    <m/>
  </r>
  <r>
    <n v="1039"/>
    <x v="1"/>
    <m/>
    <s v="ALM00633"/>
    <s v=""/>
    <x v="1"/>
    <m/>
    <m/>
    <x v="632"/>
    <m/>
    <m/>
    <m/>
    <m/>
    <m/>
    <s v="D1402"/>
    <s v="G3-2-3"/>
    <n v="0"/>
    <n v="1"/>
    <n v="3"/>
    <n v="0"/>
    <n v="0"/>
    <n v="0"/>
    <n v="2"/>
    <m/>
    <m/>
    <m/>
    <m/>
    <s v="Estoque Não Conforme"/>
    <s v="COM SOLICITACAO / EM PROCESSO DE COMPRAS"/>
    <s v="3370/19"/>
  </r>
  <r>
    <n v="643"/>
    <x v="1"/>
    <m/>
    <s v="ALM00634"/>
    <s v=""/>
    <x v="1"/>
    <m/>
    <m/>
    <x v="633"/>
    <m/>
    <m/>
    <m/>
    <m/>
    <m/>
    <s v="D1402"/>
    <s v="G3-2-4"/>
    <n v="2"/>
    <n v="4"/>
    <n v="10"/>
    <n v="1000"/>
    <n v="2000"/>
    <n v="4000"/>
    <n v="2"/>
    <m/>
    <m/>
    <m/>
    <m/>
    <s v="Estoque em Nivel Minimo"/>
    <s v="SEM SOLICITACAO / FABBISOGNO'S"/>
    <m/>
  </r>
  <r>
    <n v="645"/>
    <x v="1"/>
    <s v="B"/>
    <s v="ALM00635"/>
    <s v="GERAL"/>
    <x v="1"/>
    <m/>
    <m/>
    <x v="634"/>
    <m/>
    <m/>
    <m/>
    <m/>
    <m/>
    <s v="D1403"/>
    <s v="G3-3-2"/>
    <n v="4"/>
    <n v="2"/>
    <n v="5"/>
    <n v="136"/>
    <n v="544"/>
    <n v="272"/>
    <n v="3"/>
    <m/>
    <m/>
    <m/>
    <m/>
    <s v="Estoque Conforme"/>
    <s v="SEM SOLICITACAO / FABBISOGNO'S"/>
    <m/>
  </r>
  <r>
    <n v="835"/>
    <x v="1"/>
    <s v="B"/>
    <s v="ALM00636"/>
    <s v="GERAL"/>
    <x v="1"/>
    <s v="755943173171"/>
    <s v="173171"/>
    <x v="635"/>
    <m/>
    <m/>
    <m/>
    <m/>
    <m/>
    <s v="D1403"/>
    <s v="G3-3-2.1"/>
    <n v="0"/>
    <n v="1"/>
    <n v="4"/>
    <n v="0"/>
    <n v="0"/>
    <n v="0"/>
    <n v="1"/>
    <m/>
    <m/>
    <m/>
    <m/>
    <s v="Estoque Não Conforme"/>
    <s v="COM SOLICITACAO / EM PROCESSO DE COMPRAS"/>
    <s v="3370/19"/>
  </r>
  <r>
    <n v="646"/>
    <x v="1"/>
    <s v="B"/>
    <s v="ALM00637"/>
    <s v="GERAL"/>
    <x v="1"/>
    <s v="755801177263"/>
    <s v="177263"/>
    <x v="636"/>
    <m/>
    <m/>
    <m/>
    <m/>
    <m/>
    <s v="D1403"/>
    <s v="G3-3-3"/>
    <n v="2"/>
    <n v="2"/>
    <n v="5"/>
    <n v="100"/>
    <n v="200"/>
    <n v="200"/>
    <n v="3"/>
    <m/>
    <m/>
    <m/>
    <m/>
    <s v="Estoque Conforme"/>
    <s v="SEM SOLICITACAO / FABBISOGNO'S"/>
    <m/>
  </r>
  <r>
    <n v="656"/>
    <x v="1"/>
    <m/>
    <s v="ALM00638"/>
    <s v=""/>
    <x v="1"/>
    <m/>
    <m/>
    <x v="637"/>
    <m/>
    <m/>
    <m/>
    <m/>
    <m/>
    <s v="D1403"/>
    <s v="G3-3-3.1"/>
    <n v="7"/>
    <n v="5"/>
    <n v="10"/>
    <n v="0"/>
    <n v="0"/>
    <n v="0"/>
    <n v="13"/>
    <m/>
    <m/>
    <m/>
    <m/>
    <s v="Estoque Conforme"/>
    <s v="SEM SOLICITACAO / FABBISOGNO'S"/>
    <m/>
  </r>
  <r>
    <n v="647"/>
    <x v="1"/>
    <s v="C"/>
    <s v="ALM00639"/>
    <s v="GERAL"/>
    <x v="1"/>
    <s v="755801172664"/>
    <s v="172664"/>
    <x v="638"/>
    <m/>
    <m/>
    <m/>
    <m/>
    <m/>
    <s v="D1403"/>
    <s v="G3-3-4"/>
    <n v="0"/>
    <n v="3"/>
    <n v="5"/>
    <n v="62"/>
    <n v="0"/>
    <n v="186"/>
    <n v="7"/>
    <m/>
    <m/>
    <m/>
    <m/>
    <s v="Estoque Não Conforme"/>
    <s v="COM SOLICITACAO / EM PROCESSO DE COMPRAS"/>
    <s v="3370/19"/>
  </r>
  <r>
    <n v="648"/>
    <x v="1"/>
    <s v="B"/>
    <s v="ALM00640"/>
    <s v="GERAL"/>
    <x v="1"/>
    <m/>
    <m/>
    <x v="639"/>
    <m/>
    <m/>
    <m/>
    <m/>
    <m/>
    <s v="D1403"/>
    <s v="G3-3-5"/>
    <n v="0"/>
    <n v="3"/>
    <n v="5"/>
    <n v="40"/>
    <n v="0"/>
    <n v="120"/>
    <n v="5"/>
    <m/>
    <m/>
    <m/>
    <m/>
    <s v="Estoque Não Conforme"/>
    <s v="COM SOLICITACAO / EM PROCESSO DE COMPRAS"/>
    <s v="3373/19"/>
  </r>
  <r>
    <n v="724"/>
    <x v="1"/>
    <m/>
    <s v="ALM00641"/>
    <s v=""/>
    <x v="1"/>
    <m/>
    <m/>
    <x v="640"/>
    <m/>
    <m/>
    <m/>
    <m/>
    <m/>
    <s v="D1403"/>
    <s v="G3-3-5.1"/>
    <n v="3"/>
    <n v="2"/>
    <n v="3"/>
    <n v="0"/>
    <n v="0"/>
    <n v="0"/>
    <n v="3"/>
    <m/>
    <m/>
    <m/>
    <m/>
    <s v="Estoque Conforme"/>
    <s v="SEM SOLICITACAO / FABBISOGNO'S"/>
    <m/>
  </r>
  <r>
    <n v="649"/>
    <x v="1"/>
    <s v="B"/>
    <s v="ALM00642"/>
    <s v="GERAL"/>
    <x v="1"/>
    <m/>
    <m/>
    <x v="641"/>
    <m/>
    <m/>
    <m/>
    <m/>
    <m/>
    <s v="E2403"/>
    <s v="G3-3-6"/>
    <n v="1"/>
    <n v="2"/>
    <n v="5"/>
    <n v="25.5"/>
    <n v="25.5"/>
    <n v="51"/>
    <n v="6"/>
    <m/>
    <m/>
    <m/>
    <m/>
    <s v="Estoque em Nivel Minimo"/>
    <s v="COM SOLICITACAO / EM PROCESSO DE COMPRAS"/>
    <s v="3373/19"/>
  </r>
  <r>
    <n v="726"/>
    <x v="1"/>
    <m/>
    <s v="ALM00643"/>
    <s v="MOLD. INNER"/>
    <x v="1"/>
    <m/>
    <m/>
    <x v="642"/>
    <m/>
    <m/>
    <m/>
    <m/>
    <m/>
    <s v="F2102"/>
    <s v="G3-3-6.1"/>
    <n v="50"/>
    <n v="10"/>
    <n v="20"/>
    <n v="0"/>
    <n v="0"/>
    <n v="0"/>
    <n v="23"/>
    <m/>
    <m/>
    <m/>
    <m/>
    <s v="Estoque Conforme"/>
    <s v="SEM SOLICITACAO / FABBISOGNO'S"/>
    <m/>
  </r>
  <r>
    <n v="650"/>
    <x v="1"/>
    <s v="B"/>
    <s v="ALM00644"/>
    <s v="GERAL"/>
    <x v="1"/>
    <s v="755801800701"/>
    <s v="800701"/>
    <x v="643"/>
    <m/>
    <m/>
    <m/>
    <m/>
    <m/>
    <s v="D1403"/>
    <s v="G3-3-7"/>
    <n v="1"/>
    <n v="3"/>
    <n v="5"/>
    <n v="20"/>
    <n v="20"/>
    <n v="60"/>
    <n v="3"/>
    <m/>
    <m/>
    <m/>
    <m/>
    <s v="Estoque em Nivel Minimo"/>
    <s v="COM SOLICITACAO / EM PROCESSO DE COMPRAS"/>
    <s v="3373/19"/>
  </r>
  <r>
    <n v="723"/>
    <x v="1"/>
    <m/>
    <s v="ALM00645"/>
    <s v=""/>
    <x v="1"/>
    <m/>
    <m/>
    <x v="644"/>
    <m/>
    <m/>
    <m/>
    <m/>
    <m/>
    <s v="E1406"/>
    <s v="G3-3-7.1"/>
    <n v="4"/>
    <n v="2"/>
    <n v="6"/>
    <n v="0"/>
    <n v="0"/>
    <n v="0"/>
    <n v="5"/>
    <m/>
    <m/>
    <m/>
    <m/>
    <s v="Estoque Conforme"/>
    <s v="SEM SOLICITACAO / FABBISOGNO'S"/>
    <m/>
  </r>
  <r>
    <n v="651"/>
    <x v="1"/>
    <m/>
    <s v="ALM00646"/>
    <s v=""/>
    <x v="1"/>
    <m/>
    <m/>
    <x v="645"/>
    <m/>
    <m/>
    <m/>
    <m/>
    <m/>
    <s v="D1404"/>
    <s v="G3-4-1"/>
    <n v="11"/>
    <n v="5"/>
    <n v="10"/>
    <n v="0"/>
    <n v="0"/>
    <n v="0"/>
    <n v="10"/>
    <m/>
    <m/>
    <m/>
    <m/>
    <s v="Estoque Conforme"/>
    <s v="SEM SOLICITACAO / FABBISOGNO'S"/>
    <m/>
  </r>
  <r>
    <n v="652"/>
    <x v="1"/>
    <m/>
    <s v="ALM00647"/>
    <s v=""/>
    <x v="1"/>
    <m/>
    <m/>
    <x v="646"/>
    <m/>
    <m/>
    <m/>
    <m/>
    <m/>
    <s v="D1404"/>
    <s v="G3-4-2"/>
    <n v="3"/>
    <n v="5"/>
    <n v="10"/>
    <n v="0"/>
    <n v="0"/>
    <n v="0"/>
    <n v="3"/>
    <m/>
    <m/>
    <m/>
    <m/>
    <s v="Estoque em Nivel Minimo"/>
    <s v="COM SOLICITACAO / EM PROCESSO DE COMPRAS"/>
    <s v="3373/19"/>
  </r>
  <r>
    <n v="653"/>
    <x v="1"/>
    <m/>
    <s v="ALM00648"/>
    <s v=""/>
    <x v="1"/>
    <m/>
    <m/>
    <x v="647"/>
    <m/>
    <m/>
    <m/>
    <m/>
    <m/>
    <s v="D1404"/>
    <s v="G3-4-3"/>
    <n v="4"/>
    <n v="5"/>
    <n v="10"/>
    <n v="20"/>
    <n v="80"/>
    <n v="100"/>
    <n v="2"/>
    <m/>
    <m/>
    <m/>
    <m/>
    <s v="Estoque em Nivel Minimo"/>
    <s v="COM SOLICITACAO / EM PROCESSO DE COMPRAS"/>
    <s v="3373/19"/>
  </r>
  <r>
    <n v="654"/>
    <x v="1"/>
    <m/>
    <s v="ALM00649"/>
    <s v=""/>
    <x v="1"/>
    <s v="755943800491"/>
    <s v="800491"/>
    <x v="648"/>
    <m/>
    <m/>
    <m/>
    <m/>
    <m/>
    <s v="D1404"/>
    <s v="G3-4-4"/>
    <n v="2"/>
    <n v="5"/>
    <n v="15"/>
    <n v="20"/>
    <n v="40"/>
    <n v="100"/>
    <n v="10"/>
    <m/>
    <m/>
    <m/>
    <m/>
    <s v="Estoque em Nivel Minimo"/>
    <s v="COM SOLICITACAO / EM PROCESSO DE COMPRAS"/>
    <s v="3373/20"/>
  </r>
  <r>
    <n v="655"/>
    <x v="1"/>
    <m/>
    <s v="ALM00650"/>
    <s v=""/>
    <x v="1"/>
    <s v="755943177264"/>
    <s v="177264"/>
    <x v="649"/>
    <m/>
    <m/>
    <m/>
    <m/>
    <m/>
    <s v="D1404"/>
    <s v="G3-4-5"/>
    <n v="1"/>
    <n v="4"/>
    <n v="10"/>
    <n v="38.9"/>
    <n v="38.9"/>
    <n v="155.6"/>
    <n v="8"/>
    <m/>
    <m/>
    <m/>
    <m/>
    <s v="Estoque em Nivel Minimo"/>
    <s v="COM SOLICITACAO / EM PROCESSO DE COMPRAS"/>
    <s v="3373/21"/>
  </r>
  <r>
    <n v="670"/>
    <x v="1"/>
    <m/>
    <s v="ALM00651"/>
    <s v=""/>
    <x v="1"/>
    <s v="760791171319"/>
    <s v="171319"/>
    <x v="650"/>
    <m/>
    <m/>
    <m/>
    <m/>
    <m/>
    <s v="D1406"/>
    <s v="G3-5-1"/>
    <n v="3"/>
    <n v="2"/>
    <n v="10"/>
    <n v="917"/>
    <n v="2751"/>
    <n v="1834"/>
    <n v="4"/>
    <m/>
    <m/>
    <m/>
    <m/>
    <s v="Estoque Conforme"/>
    <s v="SEM SOLICITACAO / FABBISOGNO'S"/>
    <m/>
  </r>
  <r>
    <n v="669"/>
    <x v="1"/>
    <m/>
    <s v="ALM00652"/>
    <s v=""/>
    <x v="1"/>
    <s v="760791171318"/>
    <s v="171318"/>
    <x v="651"/>
    <m/>
    <m/>
    <m/>
    <m/>
    <m/>
    <s v="D1405"/>
    <s v="G3-5-1.1"/>
    <n v="3"/>
    <n v="1"/>
    <n v="10"/>
    <n v="2085"/>
    <n v="6255"/>
    <n v="2085"/>
    <n v="1"/>
    <m/>
    <m/>
    <m/>
    <m/>
    <s v="Estoque Conforme"/>
    <s v="SEM SOLICITACAO / FABBISOGNO'S"/>
    <m/>
  </r>
  <r>
    <n v="1048"/>
    <x v="1"/>
    <m/>
    <s v="ALM00653"/>
    <s v=""/>
    <x v="1"/>
    <s v="755943172219"/>
    <s v="172219"/>
    <x v="652"/>
    <m/>
    <m/>
    <m/>
    <m/>
    <m/>
    <s v="D1405"/>
    <s v="G3-5-2"/>
    <n v="3"/>
    <n v="3"/>
    <n v="10"/>
    <n v="65"/>
    <n v="195"/>
    <n v="195"/>
    <n v="11"/>
    <m/>
    <m/>
    <m/>
    <m/>
    <s v="Estoque Conforme"/>
    <s v="SEM SOLICITACAO / FABBISOGNO'S"/>
    <m/>
  </r>
  <r>
    <n v="660"/>
    <x v="1"/>
    <m/>
    <s v="ALM00654"/>
    <s v=""/>
    <x v="1"/>
    <m/>
    <m/>
    <x v="653"/>
    <m/>
    <m/>
    <m/>
    <m/>
    <m/>
    <s v="D1405"/>
    <s v="G3-5-3"/>
    <n v="12"/>
    <n v="8"/>
    <n v="10"/>
    <n v="0"/>
    <n v="0"/>
    <n v="0"/>
    <n v="10"/>
    <m/>
    <m/>
    <m/>
    <m/>
    <s v="Estoque Conforme"/>
    <s v="SEM SOLICITACAO / FABBISOGNO'S"/>
    <m/>
  </r>
  <r>
    <n v="666"/>
    <x v="1"/>
    <m/>
    <s v="ALM00655"/>
    <s v=""/>
    <x v="1"/>
    <s v="755943172565"/>
    <s v="172565"/>
    <x v="654"/>
    <m/>
    <m/>
    <m/>
    <m/>
    <m/>
    <s v="D1405"/>
    <s v="G3-5-4"/>
    <n v="2"/>
    <n v="4"/>
    <n v="10"/>
    <n v="88.46"/>
    <n v="176.92"/>
    <n v="353.84"/>
    <n v="4"/>
    <m/>
    <m/>
    <m/>
    <m/>
    <s v="Estoque em Nivel Minimo"/>
    <s v="SEM SOLICITACAO / FABBISOGNO'S"/>
    <m/>
  </r>
  <r>
    <n v="1262"/>
    <x v="1"/>
    <m/>
    <s v="ALM00656"/>
    <s v=""/>
    <x v="1"/>
    <s v="755943172400"/>
    <s v="172400"/>
    <x v="655"/>
    <m/>
    <m/>
    <m/>
    <m/>
    <m/>
    <s v="D1405"/>
    <s v="G3-5-5"/>
    <n v="10"/>
    <n v="3"/>
    <n v="10"/>
    <n v="36"/>
    <n v="360"/>
    <n v="108"/>
    <n v="4"/>
    <m/>
    <m/>
    <m/>
    <m/>
    <s v="Estoque Conforme"/>
    <s v="SEM SOLICITACAO / FABBISOGNO'S"/>
    <m/>
  </r>
  <r>
    <n v="667"/>
    <x v="1"/>
    <m/>
    <s v="ALM00657"/>
    <s v=""/>
    <x v="1"/>
    <m/>
    <m/>
    <x v="656"/>
    <m/>
    <m/>
    <m/>
    <m/>
    <m/>
    <s v="D1405"/>
    <s v="G3-5-6"/>
    <n v="0"/>
    <n v="2"/>
    <n v="10"/>
    <n v="0"/>
    <n v="0"/>
    <n v="0"/>
    <n v="3"/>
    <m/>
    <m/>
    <m/>
    <m/>
    <s v="Estoque Não Conforme"/>
    <s v="SEM SOLICITACAO / FABBISOGNO'S"/>
    <m/>
  </r>
  <r>
    <n v="668"/>
    <x v="1"/>
    <m/>
    <s v="ALM00658"/>
    <s v=""/>
    <x v="1"/>
    <s v="755943172565"/>
    <s v="172565"/>
    <x v="657"/>
    <m/>
    <m/>
    <m/>
    <m/>
    <m/>
    <s v="D1405"/>
    <s v="G3-6-3"/>
    <n v="0"/>
    <n v="10"/>
    <n v="60"/>
    <n v="0"/>
    <n v="0"/>
    <n v="0"/>
    <n v="56"/>
    <m/>
    <m/>
    <m/>
    <m/>
    <s v="Estoque Não Conforme"/>
    <s v="SEM SOLICITACAO / FABBISOGNO'S"/>
    <m/>
  </r>
  <r>
    <n v="1059"/>
    <x v="1"/>
    <s v="A"/>
    <s v="ALM00659"/>
    <s v="W.J - M22/M41"/>
    <x v="1"/>
    <s v="758423171531"/>
    <s v="171531"/>
    <x v="658"/>
    <m/>
    <m/>
    <m/>
    <m/>
    <m/>
    <s v="D1501"/>
    <s v="G1-1-4"/>
    <n v="2"/>
    <n v="2"/>
    <n v="4"/>
    <n v="4000"/>
    <n v="8000"/>
    <n v="8000"/>
    <n v="2"/>
    <m/>
    <m/>
    <m/>
    <m/>
    <s v="Estoque Conforme"/>
    <s v="SEM SOLICITACAO / FABBISOGNO'S"/>
    <m/>
  </r>
  <r>
    <n v="1061"/>
    <x v="1"/>
    <m/>
    <s v="ALM00660"/>
    <s v="W.J - M22/M42"/>
    <x v="1"/>
    <m/>
    <m/>
    <x v="659"/>
    <m/>
    <m/>
    <m/>
    <s v="DRS"/>
    <m/>
    <s v="D2202"/>
    <s v="H1-2-2"/>
    <n v="21"/>
    <n v="10"/>
    <n v="20"/>
    <n v="19.36"/>
    <n v="406.56"/>
    <n v="193.6"/>
    <n v="14"/>
    <m/>
    <m/>
    <m/>
    <m/>
    <s v="Estoque Conforme"/>
    <s v="SEM SOLICITACAO / FABBISOGNO'S"/>
    <m/>
  </r>
  <r>
    <n v="1062"/>
    <x v="1"/>
    <m/>
    <s v="ALM00661"/>
    <s v="W.J - M22/M43"/>
    <x v="2"/>
    <m/>
    <m/>
    <x v="660"/>
    <m/>
    <m/>
    <m/>
    <s v="DRS"/>
    <m/>
    <s v="D2202"/>
    <s v="H1-2-3"/>
    <n v="14"/>
    <n v="5"/>
    <n v="20"/>
    <n v="15.98"/>
    <n v="223.72"/>
    <n v="79.900000000000006"/>
    <n v="11"/>
    <m/>
    <m/>
    <m/>
    <m/>
    <s v="Estoque Conforme"/>
    <s v="SEM SOLICITACAO / FABBISOGNO'S"/>
    <m/>
  </r>
  <r>
    <n v="1063"/>
    <x v="1"/>
    <m/>
    <s v="ALM00662"/>
    <s v="W.J - M22/M44"/>
    <x v="1"/>
    <m/>
    <m/>
    <x v="661"/>
    <m/>
    <m/>
    <m/>
    <s v="DRS"/>
    <m/>
    <s v="D2202"/>
    <s v="H1-2-4"/>
    <n v="2"/>
    <n v="4"/>
    <n v="10"/>
    <n v="200"/>
    <n v="400"/>
    <n v="800"/>
    <n v="2"/>
    <m/>
    <m/>
    <m/>
    <m/>
    <s v="Estoque em Nivel Minimo"/>
    <s v="COM SOLICITACAO / EM PROCESSO DE COMPRAS"/>
    <s v="3372/19"/>
  </r>
  <r>
    <n v="1064"/>
    <x v="1"/>
    <s v="A"/>
    <s v="ALM00663"/>
    <s v="ROBO DE COLA - M17"/>
    <x v="1"/>
    <m/>
    <m/>
    <x v="662"/>
    <m/>
    <m/>
    <m/>
    <m/>
    <m/>
    <s v="D2202"/>
    <s v="H1-2-5 / AR. A1-2-2"/>
    <n v="0"/>
    <n v="2"/>
    <n v="5"/>
    <n v="2976"/>
    <n v="0"/>
    <n v="5952"/>
    <n v="1"/>
    <m/>
    <m/>
    <m/>
    <m/>
    <s v="Estoque Não Conforme"/>
    <s v="SEM SOLICITACAO / FABBISOGNO'S"/>
    <m/>
  </r>
  <r>
    <n v="1065"/>
    <x v="1"/>
    <m/>
    <s v="ALM00664"/>
    <s v="W.J - M22/M38"/>
    <x v="1"/>
    <m/>
    <m/>
    <x v="663"/>
    <m/>
    <m/>
    <m/>
    <s v="DRS"/>
    <m/>
    <s v="C1103"/>
    <s v="H1-2-6"/>
    <n v="0"/>
    <n v="1"/>
    <n v="3"/>
    <n v="0"/>
    <n v="0"/>
    <n v="0"/>
    <n v="1"/>
    <m/>
    <m/>
    <m/>
    <m/>
    <s v="Estoque Não Conforme"/>
    <s v="COM SOLICITACAO / EM PROCESSO DE COMPRAS"/>
    <s v="3372/19"/>
  </r>
  <r>
    <n v="278"/>
    <x v="1"/>
    <s v="A"/>
    <s v="ALM00665"/>
    <s v="W.J - M22/M39"/>
    <x v="1"/>
    <m/>
    <m/>
    <x v="664"/>
    <m/>
    <s v="WSI"/>
    <m/>
    <s v="DRS"/>
    <m/>
    <s v="D2203"/>
    <s v="H1-3-1"/>
    <n v="9"/>
    <n v="20"/>
    <n v="70"/>
    <n v="70"/>
    <n v="630"/>
    <n v="1400"/>
    <n v="29"/>
    <m/>
    <m/>
    <m/>
    <m/>
    <s v="Estoque em Nivel Minimo"/>
    <s v="COM SOLICITACAO / EM PROCESSO DE COMPRAS"/>
    <s v="3217/19"/>
  </r>
  <r>
    <n v="279"/>
    <x v="1"/>
    <s v="A"/>
    <s v="ALM00666"/>
    <s v="W.J - M22/M40"/>
    <x v="1"/>
    <s v="758423900361"/>
    <s v="900361"/>
    <x v="665"/>
    <m/>
    <s v="WSI"/>
    <m/>
    <s v="DRS"/>
    <m/>
    <s v="D2203"/>
    <s v="H1-3-1.1"/>
    <n v="136"/>
    <n v="20"/>
    <n v="70"/>
    <n v="70"/>
    <n v="9520"/>
    <n v="1400"/>
    <n v="40"/>
    <m/>
    <m/>
    <m/>
    <m/>
    <s v="Estoque Conforme"/>
    <s v="SEM SOLICITACAO / FABBISOGNO'S"/>
    <m/>
  </r>
  <r>
    <n v="742"/>
    <x v="1"/>
    <s v="A"/>
    <s v="ALM00667"/>
    <s v="W.J - M22/M41"/>
    <x v="1"/>
    <s v="57041173479"/>
    <s v="173479"/>
    <x v="666"/>
    <m/>
    <m/>
    <m/>
    <s v="DRS"/>
    <m/>
    <s v="D2203"/>
    <s v="H1-3-1.2"/>
    <n v="41"/>
    <n v="8"/>
    <n v="20"/>
    <n v="128"/>
    <n v="5248"/>
    <n v="1024"/>
    <n v="18"/>
    <m/>
    <m/>
    <m/>
    <m/>
    <s v="Estoque Conforme"/>
    <s v="SEM SOLICITACAO / FABBISOGNO'S"/>
    <m/>
  </r>
  <r>
    <n v="1363"/>
    <x v="1"/>
    <m/>
    <s v="ALM00668"/>
    <s v=""/>
    <x v="1"/>
    <m/>
    <m/>
    <x v="667"/>
    <m/>
    <m/>
    <m/>
    <m/>
    <m/>
    <s v="D2203"/>
    <s v="H1-3-1.3"/>
    <n v="6"/>
    <m/>
    <n v="10"/>
    <n v="21.9"/>
    <n v="131.39999999999998"/>
    <n v="0"/>
    <n v="25"/>
    <n v="15"/>
    <m/>
    <m/>
    <m/>
    <s v="Estoque Conforme"/>
    <s v="SEM SOLICITACAO / FABBISOGNO'S"/>
    <m/>
  </r>
  <r>
    <n v="739"/>
    <x v="1"/>
    <s v="A"/>
    <s v="ALM00669"/>
    <s v="W.J - M22/M41"/>
    <x v="1"/>
    <m/>
    <m/>
    <x v="668"/>
    <m/>
    <m/>
    <m/>
    <s v="DRS"/>
    <m/>
    <s v="D2203"/>
    <s v="H1-3-2"/>
    <n v="7"/>
    <n v="8"/>
    <n v="25"/>
    <n v="147.19999999999999"/>
    <n v="1030.3999999999999"/>
    <n v="1177.5999999999999"/>
    <n v="10"/>
    <m/>
    <m/>
    <m/>
    <m/>
    <s v="Estoque em Nivel Minimo"/>
    <s v="COM SOLICITACAO / EM PROCESSO DE COMPRAS"/>
    <s v="3372/19"/>
  </r>
  <r>
    <n v="1056"/>
    <x v="1"/>
    <m/>
    <s v="ALM00670"/>
    <m/>
    <x v="1"/>
    <m/>
    <m/>
    <x v="669"/>
    <m/>
    <m/>
    <m/>
    <m/>
    <m/>
    <s v="D2203"/>
    <s v="H1-3-2.2"/>
    <n v="7"/>
    <n v="3"/>
    <n v="10"/>
    <n v="23.3"/>
    <n v="163.1"/>
    <n v="69.900000000000006"/>
    <n v="9"/>
    <m/>
    <m/>
    <m/>
    <m/>
    <s v="Estoque Conforme"/>
    <s v="SEM SOLICITACAO / FABBISOGNO'S"/>
    <m/>
  </r>
  <r>
    <n v="775"/>
    <x v="1"/>
    <s v="A"/>
    <s v="ALM00671"/>
    <s v="ROBO DE COLA - M17"/>
    <x v="1"/>
    <m/>
    <m/>
    <x v="670"/>
    <m/>
    <m/>
    <m/>
    <m/>
    <m/>
    <s v="E2303"/>
    <s v="H1-3-2.3"/>
    <n v="2"/>
    <n v="2"/>
    <n v="10"/>
    <n v="1008"/>
    <n v="2016"/>
    <n v="2016"/>
    <n v="4"/>
    <m/>
    <m/>
    <m/>
    <m/>
    <s v="Estoque Conforme"/>
    <s v="SEM SOLICITACAO / FABBISOGNO'S"/>
    <m/>
  </r>
  <r>
    <n v="746"/>
    <x v="1"/>
    <m/>
    <s v="ALM00672"/>
    <s v="W.J - M22/M40"/>
    <x v="1"/>
    <s v="57041177393"/>
    <s v="177393"/>
    <x v="671"/>
    <m/>
    <s v="KMT"/>
    <m/>
    <s v="DRS"/>
    <m/>
    <s v="D2203"/>
    <s v="H1-3-3"/>
    <n v="4"/>
    <n v="2"/>
    <n v="5"/>
    <n v="1500"/>
    <n v="6000"/>
    <n v="3000"/>
    <n v="4"/>
    <m/>
    <m/>
    <m/>
    <m/>
    <s v="Estoque Conforme"/>
    <s v="SEM SOLICITACAO / FABBISOGNO'S"/>
    <m/>
  </r>
  <r>
    <n v="1356"/>
    <x v="1"/>
    <m/>
    <s v="ALM00673"/>
    <s v="W.J - M22/M41"/>
    <x v="1"/>
    <m/>
    <m/>
    <x v="672"/>
    <m/>
    <m/>
    <m/>
    <m/>
    <m/>
    <s v="D2203"/>
    <s v="H1-3-4"/>
    <n v="3"/>
    <n v="3"/>
    <n v="5"/>
    <n v="1199"/>
    <n v="3597"/>
    <n v="3597"/>
    <n v="3"/>
    <m/>
    <m/>
    <m/>
    <m/>
    <s v="Estoque Conforme"/>
    <s v="SEM SOLICITACAO / FABBISOGNO'S"/>
    <m/>
  </r>
  <r>
    <n v="747"/>
    <x v="1"/>
    <s v="A"/>
    <s v="ALM00674"/>
    <s v="ROBO DE COLA - M17"/>
    <x v="0"/>
    <m/>
    <m/>
    <x v="673"/>
    <m/>
    <m/>
    <m/>
    <m/>
    <m/>
    <s v="A1205"/>
    <s v="H1-3-5"/>
    <n v="1"/>
    <n v="1"/>
    <n v="2"/>
    <n v="0"/>
    <n v="0"/>
    <n v="0"/>
    <n v="1"/>
    <m/>
    <m/>
    <m/>
    <m/>
    <s v="Estoque Conforme"/>
    <s v="SEM SOLICITACAO / FABBISOGNO'S"/>
    <m/>
  </r>
  <r>
    <n v="1268"/>
    <x v="1"/>
    <m/>
    <s v="ALM00675"/>
    <s v="W.J - M22/M41"/>
    <x v="1"/>
    <s v="761305177676"/>
    <s v="177676"/>
    <x v="674"/>
    <m/>
    <m/>
    <m/>
    <m/>
    <m/>
    <s v="D2203"/>
    <s v="H1-3-5.1"/>
    <n v="10"/>
    <n v="1"/>
    <n v="10"/>
    <n v="58.66"/>
    <n v="586.59999999999991"/>
    <n v="58.66"/>
    <n v="12"/>
    <m/>
    <m/>
    <m/>
    <m/>
    <s v="Estoque Conforme"/>
    <s v="SEM SOLICITACAO / FABBISOGNO'S"/>
    <m/>
  </r>
  <r>
    <n v="306"/>
    <x v="1"/>
    <m/>
    <s v="ALM00676"/>
    <s v=""/>
    <x v="0"/>
    <s v="757602169004"/>
    <s v="169004"/>
    <x v="675"/>
    <m/>
    <s v="ALLEN-BRADLEY"/>
    <m/>
    <s v="DRS"/>
    <m/>
    <s v="D1201"/>
    <s v="H1-4-1"/>
    <n v="3"/>
    <n v="2"/>
    <n v="5"/>
    <n v="0"/>
    <n v="0"/>
    <n v="0"/>
    <n v="4"/>
    <m/>
    <m/>
    <m/>
    <m/>
    <s v="Estoque Conforme"/>
    <s v="SEM SOLICITACAO / FABBISOGNO'S"/>
    <m/>
  </r>
  <r>
    <n v="808"/>
    <x v="1"/>
    <m/>
    <s v="ALM00677"/>
    <s v="W.J - M22/M39"/>
    <x v="1"/>
    <m/>
    <m/>
    <x v="676"/>
    <m/>
    <m/>
    <m/>
    <s v="DRS"/>
    <m/>
    <s v="D2204"/>
    <s v="H1-4-1.1"/>
    <n v="6"/>
    <n v="6"/>
    <n v="15"/>
    <n v="0"/>
    <n v="0"/>
    <n v="0"/>
    <n v="6"/>
    <m/>
    <m/>
    <m/>
    <m/>
    <s v="Estoque Conforme"/>
    <s v="SEM SOLICITACAO / FABBISOGNO'S"/>
    <m/>
  </r>
  <r>
    <n v="275"/>
    <x v="1"/>
    <m/>
    <s v="ALM00678"/>
    <s v="W.J - M22/M40"/>
    <x v="1"/>
    <m/>
    <m/>
    <x v="677"/>
    <m/>
    <s v="KMT"/>
    <m/>
    <s v="DRS"/>
    <m/>
    <s v="D2204"/>
    <s v="H1-4-1.2"/>
    <n v="3"/>
    <n v="3"/>
    <n v="5"/>
    <n v="380"/>
    <n v="1140"/>
    <n v="1140"/>
    <n v="4"/>
    <m/>
    <m/>
    <m/>
    <m/>
    <s v="Estoque Conforme"/>
    <s v="SEM SOLICITACAO / FABBISOGNO'S"/>
    <m/>
  </r>
  <r>
    <n v="740"/>
    <x v="1"/>
    <s v="A"/>
    <s v="ALM00679"/>
    <s v="W.J - M22/M41"/>
    <x v="1"/>
    <s v="57041180454"/>
    <s v="180454"/>
    <x v="678"/>
    <m/>
    <m/>
    <m/>
    <s v="DRS"/>
    <m/>
    <s v="D2203"/>
    <s v="H1-4-2 "/>
    <n v="0"/>
    <n v="10"/>
    <n v="25"/>
    <n v="899"/>
    <n v="0"/>
    <n v="8990"/>
    <n v="0"/>
    <m/>
    <m/>
    <m/>
    <m/>
    <s v="Estoque Não Conforme"/>
    <s v="COM SOLICITACAO / EM PROCESSO DE COMPRAS"/>
    <s v="3319/19"/>
  </r>
  <r>
    <n v="794"/>
    <x v="1"/>
    <m/>
    <s v="ALM00680"/>
    <s v="W.J - M22/M42"/>
    <x v="1"/>
    <m/>
    <m/>
    <x v="679"/>
    <m/>
    <m/>
    <m/>
    <s v="DRS"/>
    <m/>
    <s v="D2203"/>
    <s v="H1-4-2.1"/>
    <n v="18"/>
    <n v="10"/>
    <n v="20"/>
    <n v="50.15"/>
    <n v="902.69999999999993"/>
    <n v="501.5"/>
    <n v="18"/>
    <m/>
    <m/>
    <m/>
    <m/>
    <s v="Estoque Conforme"/>
    <s v="SEM SOLICITACAO / FABBISOGNO'S"/>
    <m/>
  </r>
  <r>
    <n v="797"/>
    <x v="1"/>
    <s v="A"/>
    <s v="ALM00681"/>
    <s v="W.J - M22/M41"/>
    <x v="1"/>
    <s v="763548180549"/>
    <s v="180549"/>
    <x v="680"/>
    <m/>
    <m/>
    <m/>
    <m/>
    <m/>
    <s v="D2203"/>
    <s v="H1-4-2.2"/>
    <n v="10"/>
    <n v="3"/>
    <n v="15"/>
    <n v="70"/>
    <n v="700"/>
    <n v="210"/>
    <n v="12"/>
    <m/>
    <m/>
    <m/>
    <m/>
    <s v="Estoque Conforme"/>
    <s v="SEM SOLICITACAO / FABBISOGNO'S"/>
    <m/>
  </r>
  <r>
    <n v="741"/>
    <x v="1"/>
    <s v="A"/>
    <s v="ALM00682"/>
    <s v="W.J - M22/M41"/>
    <x v="1"/>
    <s v="57041180455"/>
    <s v="180455"/>
    <x v="681"/>
    <m/>
    <m/>
    <m/>
    <s v="DRS"/>
    <m/>
    <s v="D2203"/>
    <s v="H1-4-3 "/>
    <n v="4"/>
    <n v="10"/>
    <n v="25"/>
    <n v="915"/>
    <n v="3660"/>
    <n v="9150"/>
    <n v="1"/>
    <m/>
    <m/>
    <m/>
    <m/>
    <s v="Estoque em Nivel Minimo"/>
    <s v="COM SOLICITACAO / EM PROCESSO DE COMPRAS"/>
    <s v="3306/19"/>
  </r>
  <r>
    <n v="792"/>
    <x v="1"/>
    <m/>
    <s v="ALM00683"/>
    <s v=""/>
    <x v="1"/>
    <m/>
    <m/>
    <x v="682"/>
    <m/>
    <m/>
    <m/>
    <m/>
    <m/>
    <s v="D2203"/>
    <s v="H1-4-3.1"/>
    <n v="5"/>
    <n v="2"/>
    <n v="4"/>
    <n v="355"/>
    <n v="1775"/>
    <n v="710"/>
    <n v="11"/>
    <m/>
    <m/>
    <m/>
    <m/>
    <s v="Estoque Conforme"/>
    <s v="SEM SOLICITACAO / FABBISOGNO'S"/>
    <m/>
  </r>
  <r>
    <n v="1358"/>
    <x v="1"/>
    <m/>
    <s v="ALM00684"/>
    <s v=""/>
    <x v="1"/>
    <m/>
    <m/>
    <x v="683"/>
    <m/>
    <m/>
    <m/>
    <s v="DRS"/>
    <m/>
    <s v="D2203"/>
    <s v="H1-4-3.2"/>
    <n v="16"/>
    <n v="5"/>
    <n v="15"/>
    <n v="118"/>
    <n v="1888"/>
    <n v="590"/>
    <n v="7"/>
    <m/>
    <m/>
    <m/>
    <m/>
    <s v="Estoque Conforme"/>
    <s v="SEM SOLICITACAO / FABBISOGNO'S"/>
    <m/>
  </r>
  <r>
    <n v="1234"/>
    <x v="1"/>
    <s v="A"/>
    <s v="ALM00685"/>
    <s v="ROBO DE COLA - M17"/>
    <x v="1"/>
    <s v="57041180245"/>
    <s v="180245"/>
    <x v="684"/>
    <m/>
    <s v="BARMAG"/>
    <m/>
    <s v="EVOLUT"/>
    <m/>
    <s v="D2203"/>
    <s v="H1-4-4"/>
    <n v="2"/>
    <n v="1"/>
    <n v="2"/>
    <n v="0"/>
    <n v="0"/>
    <n v="0"/>
    <n v="1"/>
    <m/>
    <m/>
    <m/>
    <m/>
    <s v="Estoque Conforme"/>
    <s v="SEM SOLICITACAO / FABBISOGNO'S"/>
    <m/>
  </r>
  <r>
    <n v="1233"/>
    <x v="1"/>
    <s v="A"/>
    <s v="ALM00686"/>
    <s v="ROBO DE COLA - M17"/>
    <x v="1"/>
    <s v="57041180244"/>
    <s v="180244"/>
    <x v="685"/>
    <m/>
    <s v="BARMAG"/>
    <m/>
    <s v="EVOLUT"/>
    <m/>
    <s v="D2203"/>
    <s v="H1-4-5"/>
    <n v="2"/>
    <n v="1"/>
    <n v="2"/>
    <n v="1235"/>
    <n v="2470"/>
    <n v="1235"/>
    <n v="1"/>
    <m/>
    <m/>
    <m/>
    <m/>
    <s v="Estoque Conforme"/>
    <s v="SEM SOLICITACAO / FABBISOGNO'S"/>
    <m/>
  </r>
  <r>
    <n v="1049"/>
    <x v="1"/>
    <s v="A"/>
    <s v="ALM00687"/>
    <s v="ROBO DE COLA - M17"/>
    <x v="1"/>
    <m/>
    <m/>
    <x v="686"/>
    <m/>
    <m/>
    <m/>
    <m/>
    <m/>
    <s v="D2203"/>
    <s v="H1-4-6"/>
    <n v="3"/>
    <n v="2"/>
    <n v="4"/>
    <n v="0"/>
    <n v="0"/>
    <n v="0"/>
    <n v="3"/>
    <m/>
    <m/>
    <m/>
    <m/>
    <s v="Estoque Conforme"/>
    <s v="SEM SOLICITACAO / FABBISOGNO'S"/>
    <m/>
  </r>
  <r>
    <n v="730"/>
    <x v="1"/>
    <m/>
    <s v="ALM00688"/>
    <s v=""/>
    <x v="2"/>
    <m/>
    <m/>
    <x v="687"/>
    <m/>
    <m/>
    <m/>
    <m/>
    <m/>
    <s v="C2202"/>
    <s v="H1-5-1"/>
    <n v="0"/>
    <n v="1"/>
    <n v="3"/>
    <n v="0"/>
    <n v="0"/>
    <n v="0"/>
    <n v="1"/>
    <m/>
    <m/>
    <m/>
    <m/>
    <s v="Estoque Não Conforme"/>
    <s v="COM SOLICITACAO / EM PROCESSO DE COMPRAS"/>
    <s v="3373/19"/>
  </r>
  <r>
    <n v="1357"/>
    <x v="1"/>
    <m/>
    <s v="ALM00689"/>
    <s v=""/>
    <x v="1"/>
    <m/>
    <m/>
    <x v="688"/>
    <m/>
    <m/>
    <m/>
    <s v="DRS"/>
    <m/>
    <s v="D2202"/>
    <s v="H1-5-2"/>
    <n v="3"/>
    <n v="3"/>
    <n v="5"/>
    <n v="890"/>
    <n v="2670"/>
    <n v="2670"/>
    <n v="4"/>
    <m/>
    <m/>
    <m/>
    <m/>
    <s v="Estoque Conforme"/>
    <s v="SEM SOLICITACAO / FABBISOGNO'S"/>
    <m/>
  </r>
  <r>
    <n v="1047"/>
    <x v="1"/>
    <m/>
    <s v="ALM00690"/>
    <s v=""/>
    <x v="1"/>
    <m/>
    <m/>
    <x v="689"/>
    <m/>
    <m/>
    <m/>
    <m/>
    <m/>
    <s v="D2202"/>
    <s v="H1-5-4"/>
    <n v="0"/>
    <n v="1"/>
    <n v="2"/>
    <n v="0"/>
    <n v="0"/>
    <n v="0"/>
    <n v="1"/>
    <m/>
    <m/>
    <m/>
    <m/>
    <s v="Estoque Não Conforme"/>
    <s v="SEM SOLICITACAO / FABBISOGNO'S"/>
    <m/>
  </r>
  <r>
    <n v="809"/>
    <x v="1"/>
    <m/>
    <s v="ALM00691"/>
    <s v="ROBO DE COLA - M17"/>
    <x v="1"/>
    <m/>
    <m/>
    <x v="690"/>
    <m/>
    <m/>
    <m/>
    <m/>
    <m/>
    <s v="D2203"/>
    <s v="H1-5-6"/>
    <n v="1"/>
    <n v="1"/>
    <n v="5"/>
    <n v="0"/>
    <n v="0"/>
    <n v="0"/>
    <n v="2"/>
    <m/>
    <m/>
    <m/>
    <m/>
    <s v="Estoque Conforme"/>
    <s v="SEM SOLICITACAO / FABBISOGNO'S"/>
    <m/>
  </r>
  <r>
    <n v="778"/>
    <x v="1"/>
    <m/>
    <s v="ALM00692"/>
    <s v=""/>
    <x v="1"/>
    <m/>
    <m/>
    <x v="691"/>
    <m/>
    <m/>
    <m/>
    <m/>
    <m/>
    <s v="D2206"/>
    <s v="H1-6-1"/>
    <n v="1"/>
    <n v="10"/>
    <n v="15"/>
    <n v="0"/>
    <n v="0"/>
    <n v="0"/>
    <n v="13"/>
    <m/>
    <m/>
    <m/>
    <m/>
    <s v="Estoque em Nivel Minimo"/>
    <s v="SEM SOLICITACAO / FABBISOGNO'S"/>
    <m/>
  </r>
  <r>
    <n v="840"/>
    <x v="1"/>
    <m/>
    <s v="ALM00693"/>
    <s v="INNER "/>
    <x v="1"/>
    <m/>
    <m/>
    <x v="692"/>
    <m/>
    <m/>
    <m/>
    <m/>
    <m/>
    <s v="D2206"/>
    <s v="H1-6-2"/>
    <n v="3"/>
    <n v="10"/>
    <n v="15"/>
    <n v="0"/>
    <n v="0"/>
    <n v="0"/>
    <n v="14"/>
    <m/>
    <m/>
    <m/>
    <m/>
    <s v="Estoque em Nivel Minimo"/>
    <s v="SEM SOLICITACAO / FABBISOGNO'S"/>
    <m/>
  </r>
  <r>
    <n v="1044"/>
    <x v="1"/>
    <m/>
    <s v="ALM00694"/>
    <s v=""/>
    <x v="1"/>
    <m/>
    <m/>
    <x v="693"/>
    <m/>
    <m/>
    <m/>
    <m/>
    <m/>
    <s v="D2206"/>
    <s v="H1-6-3"/>
    <n v="0"/>
    <n v="2"/>
    <n v="5"/>
    <n v="0"/>
    <n v="0"/>
    <n v="0"/>
    <n v="2"/>
    <m/>
    <m/>
    <m/>
    <m/>
    <s v="Estoque Não Conforme"/>
    <s v="SEM SOLICITACAO / FABBISOGNO'S"/>
    <m/>
  </r>
  <r>
    <n v="1045"/>
    <x v="1"/>
    <m/>
    <s v="ALM00695"/>
    <s v=""/>
    <x v="1"/>
    <m/>
    <m/>
    <x v="694"/>
    <m/>
    <m/>
    <m/>
    <m/>
    <m/>
    <s v="D2206"/>
    <s v="H1-6-4"/>
    <n v="2"/>
    <n v="4"/>
    <n v="20"/>
    <n v="0"/>
    <n v="0"/>
    <n v="0"/>
    <n v="15"/>
    <m/>
    <m/>
    <m/>
    <m/>
    <s v="Estoque em Nivel Minimo"/>
    <s v="SEM SOLICITACAO / FABBISOGNO'S"/>
    <m/>
  </r>
  <r>
    <n v="744"/>
    <x v="1"/>
    <m/>
    <s v="ALM00696"/>
    <s v="CORTE INNER"/>
    <x v="1"/>
    <m/>
    <m/>
    <x v="695"/>
    <m/>
    <m/>
    <m/>
    <m/>
    <m/>
    <s v="D2206"/>
    <s v="H1-6-4"/>
    <n v="0"/>
    <n v="8"/>
    <n v="10"/>
    <n v="0"/>
    <n v="0"/>
    <n v="0"/>
    <n v="10"/>
    <m/>
    <m/>
    <m/>
    <m/>
    <s v="Estoque Não Conforme"/>
    <s v="SEM SOLICITACAO / FABBISOGNO'S"/>
    <m/>
  </r>
  <r>
    <n v="841"/>
    <x v="1"/>
    <m/>
    <s v="ALM00697"/>
    <s v=""/>
    <x v="1"/>
    <s v="702706165004"/>
    <s v="165004"/>
    <x v="696"/>
    <m/>
    <m/>
    <m/>
    <m/>
    <m/>
    <s v="P03"/>
    <s v="H2-1"/>
    <n v="0.5"/>
    <n v="10"/>
    <n v="30"/>
    <n v="0"/>
    <n v="0"/>
    <n v="0"/>
    <n v="19.5"/>
    <m/>
    <m/>
    <m/>
    <m/>
    <s v="Estoque em Nivel Minimo"/>
    <s v="COM SOLICITACAO / EM PROCESSO DE COMPRAS"/>
    <s v="3257/19"/>
  </r>
  <r>
    <n v="784"/>
    <x v="1"/>
    <m/>
    <s v="ALM00698"/>
    <s v=""/>
    <x v="1"/>
    <s v="702706172656"/>
    <s v="172656"/>
    <x v="697"/>
    <m/>
    <m/>
    <m/>
    <m/>
    <m/>
    <s v="P03"/>
    <s v="H2-1"/>
    <n v="0"/>
    <n v="10"/>
    <n v="50"/>
    <n v="200"/>
    <n v="0"/>
    <n v="2000"/>
    <n v="20"/>
    <m/>
    <m/>
    <m/>
    <m/>
    <s v="Estoque Não Conforme"/>
    <s v="COM SOLICITACAO / EM PROCESSO DE COMPRAS"/>
    <s v="3257/19"/>
  </r>
  <r>
    <n v="711"/>
    <x v="1"/>
    <s v="A"/>
    <s v="ALM00699"/>
    <s v="PREN.HIDR. 300 TON-M15/M16/M30"/>
    <x v="2"/>
    <m/>
    <m/>
    <x v="698"/>
    <m/>
    <m/>
    <m/>
    <m/>
    <m/>
    <s v="D2302"/>
    <s v="H2-2-1"/>
    <n v="1"/>
    <n v="1"/>
    <n v="3"/>
    <n v="0"/>
    <n v="0"/>
    <n v="0"/>
    <n v="1"/>
    <m/>
    <m/>
    <m/>
    <m/>
    <s v="Estoque Conforme"/>
    <s v="SEM SOLICITACAO / FABBISOGNO'S"/>
    <m/>
  </r>
  <r>
    <n v="710"/>
    <x v="1"/>
    <m/>
    <s v="ALM00700"/>
    <s v=""/>
    <x v="2"/>
    <s v="757565172036"/>
    <s v="172036"/>
    <x v="699"/>
    <m/>
    <m/>
    <m/>
    <m/>
    <m/>
    <s v="C2103"/>
    <s v="H2-2-2"/>
    <n v="1"/>
    <n v="1"/>
    <n v="3"/>
    <n v="0"/>
    <n v="0"/>
    <n v="0"/>
    <n v="1"/>
    <m/>
    <m/>
    <m/>
    <m/>
    <s v="Estoque Conforme"/>
    <s v="SEM SOLICITACAO / FABBISOGNO'S"/>
    <m/>
  </r>
  <r>
    <n v="1375"/>
    <x v="1"/>
    <s v="B"/>
    <s v="ALM00701"/>
    <s v="GERAL"/>
    <x v="1"/>
    <m/>
    <m/>
    <x v="700"/>
    <m/>
    <m/>
    <m/>
    <m/>
    <m/>
    <s v="D2402"/>
    <s v="?"/>
    <n v="0"/>
    <n v="2"/>
    <n v="3"/>
    <n v="0"/>
    <n v="0"/>
    <n v="0"/>
    <n v="10"/>
    <n v="3"/>
    <m/>
    <m/>
    <m/>
    <s v="Estoque Não Conforme"/>
    <s v="COM SOLICITACAO / EM PROCESSO DE COMPRAS"/>
    <s v="3373/19"/>
  </r>
  <r>
    <n v="712"/>
    <x v="1"/>
    <s v="A"/>
    <s v="ALM00702"/>
    <s v="CORTE DO INNER - M08"/>
    <x v="1"/>
    <m/>
    <m/>
    <x v="701"/>
    <m/>
    <m/>
    <m/>
    <m/>
    <m/>
    <s v="D2302"/>
    <s v="H2-2-3"/>
    <n v="3"/>
    <n v="2"/>
    <n v="3"/>
    <n v="0"/>
    <n v="0"/>
    <n v="0"/>
    <n v="3"/>
    <m/>
    <m/>
    <m/>
    <m/>
    <s v="Estoque Conforme"/>
    <s v="SEM SOLICITACAO / FABBISOGNO'S"/>
    <m/>
  </r>
  <r>
    <n v="1376"/>
    <x v="1"/>
    <m/>
    <s v="ALM00703"/>
    <s v=""/>
    <x v="1"/>
    <m/>
    <m/>
    <x v="702"/>
    <m/>
    <m/>
    <m/>
    <m/>
    <m/>
    <s v="D1105"/>
    <s v="E1-5-3"/>
    <n v="0"/>
    <n v="2"/>
    <n v="3"/>
    <n v="0"/>
    <n v="0"/>
    <n v="0"/>
    <n v="5"/>
    <n v="4"/>
    <m/>
    <m/>
    <m/>
    <s v="Estoque Não Conforme"/>
    <s v="COM SOLICITACAO / EM PROCESSO DE COMPRAS"/>
    <s v="3373/19"/>
  </r>
  <r>
    <n v="713"/>
    <x v="1"/>
    <m/>
    <s v="ALM00704"/>
    <s v=""/>
    <x v="1"/>
    <m/>
    <m/>
    <x v="703"/>
    <m/>
    <m/>
    <m/>
    <m/>
    <m/>
    <s v="D2302"/>
    <s v="H2-2-4"/>
    <n v="2"/>
    <n v="2"/>
    <n v="3"/>
    <n v="0"/>
    <n v="0"/>
    <n v="0"/>
    <n v="2"/>
    <m/>
    <m/>
    <m/>
    <m/>
    <s v="Estoque Conforme"/>
    <s v="SEM SOLICITACAO / FABBISOGNO'S"/>
    <m/>
  </r>
  <r>
    <n v="714"/>
    <x v="1"/>
    <m/>
    <s v="ALM00705"/>
    <s v=""/>
    <x v="1"/>
    <m/>
    <m/>
    <x v="704"/>
    <m/>
    <m/>
    <m/>
    <m/>
    <m/>
    <s v="D2302"/>
    <s v="H2-2-5"/>
    <n v="1"/>
    <n v="1"/>
    <n v="3"/>
    <n v="0"/>
    <n v="0"/>
    <n v="0"/>
    <n v="1"/>
    <m/>
    <m/>
    <m/>
    <m/>
    <s v="Estoque Conforme"/>
    <s v="SEM SOLICITACAO / FABBISOGNO'S"/>
    <m/>
  </r>
  <r>
    <n v="715"/>
    <x v="1"/>
    <m/>
    <s v="ALM00706"/>
    <s v=""/>
    <x v="1"/>
    <m/>
    <m/>
    <x v="705"/>
    <m/>
    <m/>
    <m/>
    <m/>
    <m/>
    <s v="C2203"/>
    <s v="H2-2-6"/>
    <n v="1"/>
    <n v="1"/>
    <n v="3"/>
    <n v="0"/>
    <n v="0"/>
    <n v="0"/>
    <n v="1"/>
    <m/>
    <m/>
    <m/>
    <m/>
    <s v="Estoque Conforme"/>
    <s v="SEM SOLICITACAO / FABBISOGNO'S"/>
    <m/>
  </r>
  <r>
    <n v="716"/>
    <x v="1"/>
    <m/>
    <s v="ALM00707"/>
    <s v=""/>
    <x v="2"/>
    <m/>
    <m/>
    <x v="706"/>
    <m/>
    <m/>
    <m/>
    <m/>
    <m/>
    <s v="D2302"/>
    <s v="H2-2-7"/>
    <n v="1"/>
    <n v="1"/>
    <n v="3"/>
    <n v="0"/>
    <n v="0"/>
    <n v="0"/>
    <n v="1"/>
    <m/>
    <m/>
    <m/>
    <m/>
    <s v="Estoque Conforme"/>
    <s v="SEM SOLICITACAO / FABBISOGNO'S"/>
    <m/>
  </r>
  <r>
    <n v="695"/>
    <x v="1"/>
    <m/>
    <s v="ALM00708"/>
    <s v=""/>
    <x v="2"/>
    <m/>
    <m/>
    <x v="707"/>
    <m/>
    <m/>
    <m/>
    <m/>
    <m/>
    <s v="C2102"/>
    <s v="H2-3-1"/>
    <n v="0"/>
    <n v="2"/>
    <n v="3"/>
    <n v="680"/>
    <n v="0"/>
    <n v="1360"/>
    <n v="0"/>
    <n v="2200"/>
    <m/>
    <m/>
    <m/>
    <s v="Estoque Não Conforme"/>
    <s v="COM SOLICITACAO / EM PROCESSO DE COMPRAS"/>
    <s v="3366/19"/>
  </r>
  <r>
    <n v="1323"/>
    <x v="0"/>
    <s v="B"/>
    <s v="ALM00709"/>
    <s v="M17"/>
    <x v="1"/>
    <m/>
    <m/>
    <x v="708"/>
    <m/>
    <m/>
    <m/>
    <m/>
    <m/>
    <s v="D1303"/>
    <s v="H2-3-2"/>
    <n v="1"/>
    <n v="1"/>
    <n v="2"/>
    <n v="0"/>
    <n v="0"/>
    <n v="0"/>
    <n v="0"/>
    <m/>
    <m/>
    <m/>
    <m/>
    <s v="Estoque Conforme"/>
    <s v="SEM SOLICITACAO / FABBISOGNO'S"/>
    <m/>
  </r>
  <r>
    <n v="694"/>
    <x v="1"/>
    <s v="A"/>
    <s v="ALM00710"/>
    <s v="CORTE DO INNER - M08"/>
    <x v="2"/>
    <m/>
    <m/>
    <x v="709"/>
    <m/>
    <m/>
    <m/>
    <m/>
    <m/>
    <s v="C2102"/>
    <s v="H2-3-3"/>
    <n v="8"/>
    <n v="2"/>
    <n v="5"/>
    <n v="1000"/>
    <n v="8000"/>
    <n v="2000"/>
    <n v="8"/>
    <m/>
    <m/>
    <m/>
    <m/>
    <s v="Estoque Conforme"/>
    <s v="SEM SOLICITACAO / FABBISOGNO'S"/>
    <m/>
  </r>
  <r>
    <n v="701"/>
    <x v="1"/>
    <m/>
    <s v="ALM00711"/>
    <s v=""/>
    <x v="1"/>
    <m/>
    <m/>
    <x v="710"/>
    <m/>
    <m/>
    <m/>
    <m/>
    <m/>
    <s v="D1304"/>
    <s v="H2-3-4"/>
    <n v="1"/>
    <n v="1"/>
    <n v="2"/>
    <n v="0"/>
    <n v="0"/>
    <n v="0"/>
    <n v="1"/>
    <m/>
    <m/>
    <m/>
    <m/>
    <s v="Estoque Conforme"/>
    <s v="SEM SOLICITACAO / FABBISOGNO'S"/>
    <m/>
  </r>
  <r>
    <n v="692"/>
    <x v="1"/>
    <m/>
    <s v="ALM00712"/>
    <s v=""/>
    <x v="2"/>
    <m/>
    <m/>
    <x v="711"/>
    <m/>
    <m/>
    <m/>
    <m/>
    <m/>
    <s v="C2102"/>
    <s v="H2-3-5"/>
    <n v="1"/>
    <n v="1"/>
    <n v="3"/>
    <n v="950"/>
    <n v="950"/>
    <n v="950"/>
    <n v="2"/>
    <m/>
    <m/>
    <m/>
    <m/>
    <s v="Estoque Conforme"/>
    <s v="SEM SOLICITACAO / FABBISOGNO'S"/>
    <m/>
  </r>
  <r>
    <n v="693"/>
    <x v="1"/>
    <m/>
    <s v="ALM00713"/>
    <s v=""/>
    <x v="2"/>
    <m/>
    <m/>
    <x v="712"/>
    <m/>
    <m/>
    <m/>
    <m/>
    <m/>
    <s v="D1304"/>
    <s v="H2-3-6"/>
    <n v="2"/>
    <n v="2"/>
    <n v="3"/>
    <n v="0"/>
    <n v="0"/>
    <n v="0"/>
    <n v="2"/>
    <m/>
    <m/>
    <m/>
    <m/>
    <s v="Estoque Conforme"/>
    <s v="SEM SOLICITACAO / FABBISOGNO'S"/>
    <m/>
  </r>
  <r>
    <n v="1263"/>
    <x v="1"/>
    <m/>
    <s v="ALM00714"/>
    <s v=""/>
    <x v="2"/>
    <m/>
    <m/>
    <x v="713"/>
    <m/>
    <m/>
    <m/>
    <m/>
    <m/>
    <s v="C2105"/>
    <s v="H2-4-1"/>
    <n v="0"/>
    <n v="1"/>
    <n v="5"/>
    <n v="308"/>
    <n v="0"/>
    <n v="308"/>
    <n v="1"/>
    <m/>
    <m/>
    <m/>
    <m/>
    <s v="Estoque Não Conforme"/>
    <s v="COM SOLICITACAO / EM PROCESSO DE COMPRAS"/>
    <s v="3366/19"/>
  </r>
  <r>
    <n v="697"/>
    <x v="1"/>
    <m/>
    <s v="ALM00715"/>
    <s v=""/>
    <x v="2"/>
    <m/>
    <m/>
    <x v="714"/>
    <m/>
    <m/>
    <m/>
    <m/>
    <m/>
    <s v="C2105"/>
    <s v="H2-4-2"/>
    <n v="1"/>
    <n v="2"/>
    <n v="3"/>
    <n v="0"/>
    <n v="0"/>
    <n v="0"/>
    <n v="1"/>
    <m/>
    <m/>
    <m/>
    <m/>
    <s v="Estoque em Nivel Minimo"/>
    <s v="COM SOLICITACAO / EM PROCESSO DE COMPRAS"/>
    <s v="3366/19"/>
  </r>
  <r>
    <n v="698"/>
    <x v="1"/>
    <m/>
    <s v="ALM00716"/>
    <s v=""/>
    <x v="2"/>
    <m/>
    <m/>
    <x v="715"/>
    <m/>
    <m/>
    <m/>
    <m/>
    <m/>
    <s v="C2102"/>
    <s v="H2-4-3"/>
    <n v="1"/>
    <n v="1"/>
    <n v="3"/>
    <n v="0"/>
    <n v="0"/>
    <n v="0"/>
    <n v="1"/>
    <m/>
    <m/>
    <m/>
    <m/>
    <s v="Estoque Conforme"/>
    <s v="SEM SOLICITACAO / FABBISOGNO'S"/>
    <m/>
  </r>
  <r>
    <n v="699"/>
    <x v="1"/>
    <m/>
    <s v="ALM00717"/>
    <s v=""/>
    <x v="1"/>
    <m/>
    <m/>
    <x v="716"/>
    <m/>
    <m/>
    <m/>
    <m/>
    <m/>
    <s v="C2105"/>
    <s v="H2-4-4"/>
    <n v="1"/>
    <n v="2"/>
    <n v="3"/>
    <n v="0"/>
    <n v="0"/>
    <n v="0"/>
    <n v="3"/>
    <m/>
    <m/>
    <m/>
    <m/>
    <s v="Estoque em Nivel Minimo"/>
    <s v="COM SOLICITACAO / EM PROCESSO DE COMPRAS"/>
    <s v="3373/19"/>
  </r>
  <r>
    <n v="700"/>
    <x v="1"/>
    <m/>
    <s v="ALM00718"/>
    <s v=""/>
    <x v="1"/>
    <m/>
    <m/>
    <x v="717"/>
    <m/>
    <m/>
    <m/>
    <m/>
    <m/>
    <s v="D1304"/>
    <s v="H2-4-5"/>
    <n v="2"/>
    <n v="1"/>
    <n v="3"/>
    <n v="0"/>
    <n v="0"/>
    <n v="0"/>
    <n v="2"/>
    <m/>
    <m/>
    <m/>
    <m/>
    <s v="Estoque Conforme"/>
    <s v="SEM SOLICITACAO / FABBISOGNO'S"/>
    <m/>
  </r>
  <r>
    <n v="1322"/>
    <x v="1"/>
    <m/>
    <s v="ALM00719"/>
    <s v=""/>
    <x v="1"/>
    <m/>
    <m/>
    <x v="718"/>
    <m/>
    <m/>
    <m/>
    <m/>
    <m/>
    <s v="C2105"/>
    <s v="H2-4-6"/>
    <n v="2"/>
    <n v="1"/>
    <n v="5"/>
    <n v="0"/>
    <n v="0"/>
    <n v="0"/>
    <n v="2"/>
    <m/>
    <m/>
    <m/>
    <m/>
    <s v="Estoque Conforme"/>
    <s v="SEM SOLICITACAO / FABBISOGNO'S"/>
    <m/>
  </r>
  <r>
    <n v="1325"/>
    <x v="1"/>
    <m/>
    <s v="ALM00720"/>
    <s v=""/>
    <x v="0"/>
    <m/>
    <m/>
    <x v="719"/>
    <m/>
    <m/>
    <m/>
    <m/>
    <m/>
    <s v="D1306"/>
    <s v="H2-5"/>
    <n v="10"/>
    <n v="2"/>
    <n v="10"/>
    <n v="0"/>
    <n v="0"/>
    <n v="0"/>
    <n v="10"/>
    <m/>
    <m/>
    <m/>
    <m/>
    <s v="Estoque Conforme"/>
    <s v="SEM SOLICITACAO / FABBISOGNO'S"/>
    <m/>
  </r>
  <r>
    <n v="689"/>
    <x v="1"/>
    <m/>
    <s v="ALM00721"/>
    <s v=""/>
    <x v="1"/>
    <m/>
    <m/>
    <x v="720"/>
    <m/>
    <m/>
    <m/>
    <s v="ROLAM/RETEN/GAXETAS"/>
    <m/>
    <s v="D2401"/>
    <s v="H3-1"/>
    <n v="0.2"/>
    <n v="5"/>
    <n v="10"/>
    <n v="0"/>
    <n v="0"/>
    <n v="0"/>
    <n v="5"/>
    <m/>
    <m/>
    <m/>
    <m/>
    <s v="Estoque em Nivel Minimo"/>
    <s v="COM SOLICITACAO / EM PROCESSO DE COMPRAS"/>
    <s v="3373/19"/>
  </r>
  <r>
    <n v="690"/>
    <x v="1"/>
    <m/>
    <s v="ALM00722"/>
    <s v=""/>
    <x v="1"/>
    <m/>
    <m/>
    <x v="721"/>
    <m/>
    <m/>
    <m/>
    <s v="ROLAM/RETEN/GAXETAS"/>
    <m/>
    <s v="D2401"/>
    <s v="H3-1"/>
    <n v="0.5"/>
    <n v="5"/>
    <n v="10"/>
    <n v="0"/>
    <n v="0"/>
    <n v="0"/>
    <n v="5"/>
    <m/>
    <m/>
    <m/>
    <m/>
    <s v="Estoque em Nivel Minimo"/>
    <s v="COM SOLICITACAO / EM PROCESSO DE COMPRAS"/>
    <s v="3373/19"/>
  </r>
  <r>
    <n v="691"/>
    <x v="1"/>
    <m/>
    <s v="ALM00723"/>
    <s v=""/>
    <x v="1"/>
    <m/>
    <m/>
    <x v="722"/>
    <m/>
    <m/>
    <m/>
    <s v="ROLAM/RETEN/GAXETAS"/>
    <m/>
    <s v="D2401"/>
    <s v="H3-1"/>
    <n v="0"/>
    <n v="5"/>
    <n v="10"/>
    <n v="0"/>
    <n v="0"/>
    <n v="0"/>
    <n v="5"/>
    <m/>
    <m/>
    <m/>
    <m/>
    <s v="Estoque Não Conforme"/>
    <s v="COM SOLICITACAO / EM PROCESSO DE COMPRAS"/>
    <s v="3373/19"/>
  </r>
  <r>
    <n v="676"/>
    <x v="1"/>
    <m/>
    <s v="ALM00724"/>
    <s v=""/>
    <x v="1"/>
    <m/>
    <m/>
    <x v="723"/>
    <m/>
    <m/>
    <m/>
    <m/>
    <m/>
    <s v="D2402"/>
    <s v="H3-2-1"/>
    <n v="14"/>
    <n v="2"/>
    <n v="10"/>
    <n v="158.35"/>
    <n v="2216.9"/>
    <n v="316.7"/>
    <n v="4"/>
    <m/>
    <m/>
    <m/>
    <m/>
    <s v="Estoque Conforme"/>
    <s v="SEM SOLICITACAO / FABBISOGNO'S"/>
    <m/>
  </r>
  <r>
    <n v="677"/>
    <x v="1"/>
    <m/>
    <s v="ALM00725"/>
    <s v=""/>
    <x v="1"/>
    <s v="755801800145"/>
    <s v="800145"/>
    <x v="724"/>
    <m/>
    <m/>
    <m/>
    <m/>
    <m/>
    <s v="D2402"/>
    <s v="H3-2-2"/>
    <n v="2"/>
    <n v="3"/>
    <n v="10"/>
    <n v="89"/>
    <n v="178"/>
    <n v="267"/>
    <n v="6"/>
    <m/>
    <m/>
    <m/>
    <m/>
    <s v="Estoque em Nivel Minimo"/>
    <s v="COM SOLICITACAO / EM PROCESSO DE COMPRAS"/>
    <s v="3373/19"/>
  </r>
  <r>
    <n v="671"/>
    <x v="1"/>
    <m/>
    <s v="ALM00726"/>
    <s v=""/>
    <x v="1"/>
    <s v="755801173444"/>
    <s v="173444"/>
    <x v="725"/>
    <m/>
    <m/>
    <m/>
    <m/>
    <m/>
    <s v="D2402"/>
    <s v="H3-3-1"/>
    <n v="6"/>
    <n v="3"/>
    <n v="10"/>
    <n v="386"/>
    <n v="2316"/>
    <n v="1158"/>
    <n v="7"/>
    <m/>
    <m/>
    <m/>
    <m/>
    <s v="Estoque Conforme"/>
    <s v="SEM SOLICITACAO / FABBISOGNO'S"/>
    <m/>
  </r>
  <r>
    <n v="672"/>
    <x v="1"/>
    <m/>
    <s v="ALM00727"/>
    <s v=""/>
    <x v="1"/>
    <m/>
    <m/>
    <x v="726"/>
    <m/>
    <m/>
    <m/>
    <m/>
    <m/>
    <s v="D2403"/>
    <s v="H3-3-2"/>
    <n v="4"/>
    <n v="2"/>
    <n v="10"/>
    <n v="0"/>
    <n v="0"/>
    <n v="0"/>
    <n v="5"/>
    <m/>
    <m/>
    <m/>
    <m/>
    <s v="Estoque Conforme"/>
    <s v="SEM SOLICITACAO / FABBISOGNO'S"/>
    <m/>
  </r>
  <r>
    <n v="673"/>
    <x v="1"/>
    <m/>
    <s v="ALM00728"/>
    <s v=""/>
    <x v="1"/>
    <m/>
    <m/>
    <x v="727"/>
    <m/>
    <m/>
    <m/>
    <m/>
    <m/>
    <s v="D2403"/>
    <s v="H3-3-3"/>
    <n v="0"/>
    <n v="4"/>
    <n v="10"/>
    <n v="415"/>
    <n v="0"/>
    <n v="1660"/>
    <n v="1"/>
    <m/>
    <m/>
    <m/>
    <m/>
    <s v="Estoque Não Conforme"/>
    <s v="COM SOLICITACAO / EM PROCESSO DE COMPRAS"/>
    <s v="3373/19"/>
  </r>
  <r>
    <n v="1365"/>
    <x v="1"/>
    <m/>
    <s v="ALM00729"/>
    <s v=""/>
    <x v="1"/>
    <m/>
    <m/>
    <x v="728"/>
    <m/>
    <m/>
    <m/>
    <m/>
    <m/>
    <s v="D2403"/>
    <s v="H3-3-4"/>
    <n v="0"/>
    <n v="2"/>
    <n v="5"/>
    <n v="0"/>
    <n v="0"/>
    <n v="0"/>
    <n v="3"/>
    <n v="2"/>
    <m/>
    <m/>
    <m/>
    <s v="Estoque Não Conforme"/>
    <s v="COM SOLICITACAO / EM PROCESSO DE COMPRAS"/>
    <s v="3373/19"/>
  </r>
  <r>
    <n v="674"/>
    <x v="1"/>
    <m/>
    <s v="ALM00730"/>
    <s v=""/>
    <x v="1"/>
    <m/>
    <m/>
    <x v="729"/>
    <m/>
    <m/>
    <m/>
    <m/>
    <m/>
    <s v="D2403"/>
    <s v="H3-3-5"/>
    <n v="0"/>
    <n v="4"/>
    <n v="10"/>
    <n v="648.36"/>
    <n v="0"/>
    <n v="2593.44"/>
    <n v="0"/>
    <m/>
    <m/>
    <m/>
    <m/>
    <s v="Estoque Não Conforme"/>
    <s v="SEM SOLICITACAO / FABBISOGNO'S"/>
    <m/>
  </r>
  <r>
    <n v="1707"/>
    <x v="1"/>
    <m/>
    <s v="ALM00731"/>
    <s v=""/>
    <x v="1"/>
    <m/>
    <m/>
    <x v="730"/>
    <m/>
    <m/>
    <m/>
    <m/>
    <m/>
    <s v="F2102"/>
    <s v="H3-3-5.1"/>
    <n v="5"/>
    <m/>
    <n v="5"/>
    <n v="26.5"/>
    <n v="132.5"/>
    <n v="0"/>
    <n v="20"/>
    <n v="15"/>
    <m/>
    <m/>
    <m/>
    <s v="Estoque Conforme"/>
    <s v="SEM SOLICITACAO / FABBISOGNO'S"/>
    <m/>
  </r>
  <r>
    <n v="1050"/>
    <x v="1"/>
    <m/>
    <s v="ALM00732"/>
    <s v=""/>
    <x v="1"/>
    <m/>
    <m/>
    <x v="731"/>
    <m/>
    <m/>
    <m/>
    <m/>
    <m/>
    <s v="D2403"/>
    <s v="H3-3-6"/>
    <n v="2"/>
    <n v="2"/>
    <n v="5"/>
    <n v="231.18"/>
    <n v="462.36"/>
    <n v="462.36"/>
    <n v="2"/>
    <m/>
    <m/>
    <m/>
    <m/>
    <s v="Estoque Conforme"/>
    <s v="SEM SOLICITACAO / FABBISOGNO'S"/>
    <m/>
  </r>
  <r>
    <n v="1705"/>
    <x v="1"/>
    <m/>
    <s v="ALM00733"/>
    <s v=""/>
    <x v="1"/>
    <m/>
    <m/>
    <x v="732"/>
    <m/>
    <m/>
    <m/>
    <m/>
    <m/>
    <s v="F2102"/>
    <s v="H3-3-6.1"/>
    <n v="0"/>
    <m/>
    <n v="5"/>
    <n v="0"/>
    <n v="0"/>
    <n v="0"/>
    <n v="20"/>
    <n v="15"/>
    <m/>
    <m/>
    <m/>
    <s v="Estoque Não Conforme"/>
    <s v="SEM SOLICITACAO / FABBISOGNO'S"/>
    <m/>
  </r>
  <r>
    <n v="682"/>
    <x v="1"/>
    <m/>
    <s v="ALM00734"/>
    <s v=""/>
    <x v="1"/>
    <m/>
    <m/>
    <x v="733"/>
    <m/>
    <m/>
    <m/>
    <m/>
    <m/>
    <s v="D2404"/>
    <s v="H3-4-1"/>
    <n v="15"/>
    <n v="6"/>
    <n v="10"/>
    <n v="13.8"/>
    <n v="207"/>
    <n v="82.800000000000011"/>
    <n v="6"/>
    <m/>
    <m/>
    <m/>
    <m/>
    <s v="Estoque Conforme"/>
    <s v="SEM SOLICITACAO / FABBISOGNO'S"/>
    <m/>
  </r>
  <r>
    <n v="681"/>
    <x v="1"/>
    <m/>
    <s v="ALM00735"/>
    <s v=""/>
    <x v="1"/>
    <s v="755943800909"/>
    <s v="800909"/>
    <x v="734"/>
    <m/>
    <m/>
    <m/>
    <m/>
    <m/>
    <s v="D2404"/>
    <s v="H3-4-2"/>
    <n v="0"/>
    <n v="5"/>
    <n v="10"/>
    <n v="13"/>
    <n v="0"/>
    <n v="65"/>
    <n v="26"/>
    <m/>
    <m/>
    <m/>
    <m/>
    <s v="Estoque Não Conforme"/>
    <s v="COM SOLICITACAO / EM PROCESSO DE COMPRAS"/>
    <s v="3373/19"/>
  </r>
  <r>
    <n v="686"/>
    <x v="1"/>
    <m/>
    <s v="ALM00736"/>
    <s v=""/>
    <x v="1"/>
    <m/>
    <m/>
    <x v="735"/>
    <m/>
    <m/>
    <m/>
    <m/>
    <m/>
    <s v="D2404"/>
    <s v="H3-4-3"/>
    <n v="14"/>
    <n v="5"/>
    <n v="10"/>
    <n v="25"/>
    <n v="350"/>
    <n v="125"/>
    <n v="8"/>
    <m/>
    <m/>
    <m/>
    <m/>
    <s v="Estoque Conforme"/>
    <s v="SEM SOLICITACAO / FABBISOGNO'S"/>
    <m/>
  </r>
  <r>
    <n v="1706"/>
    <x v="1"/>
    <m/>
    <s v="ALM00737"/>
    <s v=""/>
    <x v="1"/>
    <m/>
    <m/>
    <x v="736"/>
    <m/>
    <m/>
    <m/>
    <m/>
    <m/>
    <s v="D2404"/>
    <s v="H3-4-3.1"/>
    <n v="6"/>
    <m/>
    <n v="5"/>
    <n v="50"/>
    <n v="300"/>
    <n v="0"/>
    <n v="20"/>
    <n v="15"/>
    <m/>
    <m/>
    <m/>
    <s v="Estoque Conforme"/>
    <s v="SEM SOLICITACAO / FABBISOGNO'S"/>
    <m/>
  </r>
  <r>
    <n v="687"/>
    <x v="1"/>
    <m/>
    <s v="ALM00738"/>
    <s v="GERAL"/>
    <x v="1"/>
    <s v="755943177584"/>
    <s v="177584"/>
    <x v="737"/>
    <m/>
    <m/>
    <m/>
    <m/>
    <m/>
    <s v="D2404"/>
    <s v="H3-4-4"/>
    <n v="9"/>
    <n v="4"/>
    <n v="10"/>
    <n v="25"/>
    <n v="225"/>
    <n v="100"/>
    <n v="11"/>
    <m/>
    <m/>
    <m/>
    <m/>
    <s v="Estoque Conforme"/>
    <s v="SEM SOLICITACAO / FABBISOGNO'S"/>
    <m/>
  </r>
  <r>
    <n v="685"/>
    <x v="1"/>
    <m/>
    <s v="ALM00739"/>
    <s v="GERAL"/>
    <x v="1"/>
    <s v="755943170021"/>
    <s v="170021"/>
    <x v="738"/>
    <m/>
    <m/>
    <m/>
    <m/>
    <m/>
    <s v="D2404"/>
    <s v="H3-4-5"/>
    <n v="2"/>
    <n v="4"/>
    <n v="10"/>
    <n v="25"/>
    <n v="50"/>
    <n v="100"/>
    <n v="4"/>
    <m/>
    <m/>
    <m/>
    <m/>
    <s v="Estoque em Nivel Minimo"/>
    <s v="COM SOLICITACAO / EM PROCESSO DE COMPRAS"/>
    <s v="3373/19"/>
  </r>
  <r>
    <n v="684"/>
    <x v="1"/>
    <m/>
    <s v="ALM00740"/>
    <s v="GERAL"/>
    <x v="1"/>
    <s v="755943170020"/>
    <s v="170020"/>
    <x v="739"/>
    <m/>
    <m/>
    <m/>
    <m/>
    <m/>
    <s v="D2404"/>
    <s v="H3-4-6"/>
    <n v="12"/>
    <n v="8"/>
    <n v="10"/>
    <n v="13.13"/>
    <n v="157.56"/>
    <n v="105.04"/>
    <n v="15"/>
    <m/>
    <m/>
    <m/>
    <m/>
    <s v="Estoque Conforme"/>
    <s v="SEM SOLICITACAO / FABBISOGNO'S"/>
    <m/>
  </r>
  <r>
    <n v="683"/>
    <x v="1"/>
    <m/>
    <s v="ALM00741"/>
    <s v="GERAL"/>
    <x v="1"/>
    <m/>
    <m/>
    <x v="740"/>
    <m/>
    <m/>
    <m/>
    <m/>
    <m/>
    <s v="D2404"/>
    <s v="H3-4-7"/>
    <n v="8"/>
    <n v="3"/>
    <n v="10"/>
    <n v="15.26"/>
    <n v="122.08"/>
    <n v="45.78"/>
    <n v="6"/>
    <m/>
    <m/>
    <m/>
    <m/>
    <s v="Estoque Conforme"/>
    <s v="SEM SOLICITACAO / FABBISOGNO'S"/>
    <m/>
  </r>
  <r>
    <n v="680"/>
    <x v="1"/>
    <m/>
    <s v="ALM00742"/>
    <s v="M07"/>
    <x v="1"/>
    <m/>
    <m/>
    <x v="741"/>
    <m/>
    <m/>
    <m/>
    <m/>
    <m/>
    <s v="D2404"/>
    <s v="H3-4-8"/>
    <n v="1"/>
    <n v="5"/>
    <n v="10"/>
    <n v="21.9"/>
    <n v="21.9"/>
    <n v="109.5"/>
    <n v="3"/>
    <m/>
    <m/>
    <m/>
    <m/>
    <s v="Estoque em Nivel Minimo"/>
    <s v="COM SOLICITACAO / EM PROCESSO DE COMPRAS"/>
    <s v="3374/19"/>
  </r>
  <r>
    <n v="679"/>
    <x v="1"/>
    <m/>
    <s v="ALM00743"/>
    <s v="GERAL"/>
    <x v="1"/>
    <m/>
    <m/>
    <x v="742"/>
    <m/>
    <m/>
    <m/>
    <m/>
    <m/>
    <s v="D2404"/>
    <s v="H3-4-9"/>
    <n v="7"/>
    <n v="8"/>
    <n v="10"/>
    <n v="20.12"/>
    <n v="140.84"/>
    <n v="160.96"/>
    <n v="10"/>
    <m/>
    <m/>
    <m/>
    <m/>
    <s v="Estoque em Nivel Minimo"/>
    <s v="COM SOLICITACAO / EM PROCESSO DE COMPRAS"/>
    <s v="3374/19"/>
  </r>
  <r>
    <n v="688"/>
    <x v="1"/>
    <m/>
    <s v="ALM00744"/>
    <s v=""/>
    <x v="1"/>
    <m/>
    <m/>
    <x v="743"/>
    <m/>
    <m/>
    <m/>
    <m/>
    <m/>
    <s v="D2405"/>
    <s v="H3-5-1"/>
    <n v="4"/>
    <n v="4"/>
    <n v="5"/>
    <n v="0"/>
    <n v="0"/>
    <n v="0"/>
    <n v="4"/>
    <m/>
    <m/>
    <m/>
    <m/>
    <s v="Estoque Conforme"/>
    <s v="SEM SOLICITACAO / FABBISOGNO'S"/>
    <m/>
  </r>
  <r>
    <n v="664"/>
    <x v="1"/>
    <m/>
    <s v="ALM00745"/>
    <s v=""/>
    <x v="1"/>
    <m/>
    <m/>
    <x v="744"/>
    <m/>
    <m/>
    <m/>
    <m/>
    <m/>
    <s v="D1405"/>
    <s v="H3-5-2"/>
    <n v="0"/>
    <n v="6"/>
    <n v="10"/>
    <n v="42.3"/>
    <n v="0"/>
    <n v="253.79999999999998"/>
    <n v="8"/>
    <m/>
    <m/>
    <m/>
    <m/>
    <s v="Estoque Não Conforme"/>
    <s v="SEM SOLICITACAO / FABBISOGNO'S"/>
    <m/>
  </r>
  <r>
    <n v="663"/>
    <x v="1"/>
    <m/>
    <s v="ALM00746"/>
    <s v=""/>
    <x v="1"/>
    <m/>
    <m/>
    <x v="745"/>
    <m/>
    <m/>
    <m/>
    <m/>
    <m/>
    <s v="D1405"/>
    <s v="H3-5-3"/>
    <n v="1"/>
    <n v="3"/>
    <n v="10"/>
    <n v="132"/>
    <n v="132"/>
    <n v="396"/>
    <n v="0"/>
    <m/>
    <m/>
    <m/>
    <m/>
    <s v="Estoque em Nivel Minimo"/>
    <s v="SEM SOLICITACAO / FABBISOGNO'S"/>
    <m/>
  </r>
  <r>
    <n v="662"/>
    <x v="1"/>
    <m/>
    <s v="ALM00747"/>
    <s v=""/>
    <x v="1"/>
    <m/>
    <m/>
    <x v="746"/>
    <m/>
    <m/>
    <m/>
    <m/>
    <m/>
    <s v="D1405"/>
    <s v="H3-5-4"/>
    <n v="3"/>
    <n v="3"/>
    <n v="10"/>
    <n v="100"/>
    <n v="300"/>
    <n v="300"/>
    <n v="6"/>
    <m/>
    <m/>
    <m/>
    <m/>
    <s v="Estoque Conforme"/>
    <s v="SEM SOLICITACAO / FABBISOGNO'S"/>
    <m/>
  </r>
  <r>
    <n v="1704"/>
    <x v="1"/>
    <m/>
    <s v="ALM00748"/>
    <s v=""/>
    <x v="1"/>
    <m/>
    <m/>
    <x v="747"/>
    <m/>
    <m/>
    <m/>
    <m/>
    <m/>
    <s v="F2102"/>
    <s v="H3-5-6"/>
    <n v="12"/>
    <m/>
    <n v="5"/>
    <n v="0"/>
    <n v="0"/>
    <n v="0"/>
    <n v="30"/>
    <n v="29"/>
    <m/>
    <m/>
    <m/>
    <s v="Estoque Conforme"/>
    <s v="SEM SOLICITACAO / FABBISOGNO'S"/>
    <m/>
  </r>
  <r>
    <n v="1300"/>
    <x v="1"/>
    <m/>
    <s v="ALM00749"/>
    <s v=""/>
    <x v="1"/>
    <m/>
    <m/>
    <x v="748"/>
    <m/>
    <m/>
    <m/>
    <m/>
    <m/>
    <s v="D1405"/>
    <s v="H3-6-1"/>
    <n v="0"/>
    <n v="1"/>
    <n v="10"/>
    <n v="0"/>
    <n v="0"/>
    <n v="0"/>
    <n v="3"/>
    <m/>
    <m/>
    <m/>
    <m/>
    <s v="Estoque Não Conforme"/>
    <s v="SEM SOLICITACAO / FABBISOGNO'S"/>
    <m/>
  </r>
  <r>
    <n v="1229"/>
    <x v="1"/>
    <s v="A"/>
    <s v="ALM00750"/>
    <s v="W.J - M22/M41"/>
    <x v="1"/>
    <m/>
    <m/>
    <x v="749"/>
    <m/>
    <s v="ABB"/>
    <m/>
    <m/>
    <m/>
    <s v="E1201"/>
    <s v="H3-6-3"/>
    <n v="0"/>
    <n v="1"/>
    <n v="2"/>
    <n v="0"/>
    <n v="0"/>
    <n v="0"/>
    <n v="1"/>
    <m/>
    <m/>
    <m/>
    <m/>
    <s v="Estoque Não Conforme"/>
    <s v="SEM SOLICITACAO / FABBISOGNO'S"/>
    <m/>
  </r>
  <r>
    <n v="786"/>
    <x v="1"/>
    <s v="A"/>
    <s v="ALM00751"/>
    <s v="BATE PE - M36"/>
    <x v="1"/>
    <m/>
    <m/>
    <x v="750"/>
    <m/>
    <m/>
    <m/>
    <m/>
    <m/>
    <s v="E1301"/>
    <s v="I1-1-1"/>
    <n v="2"/>
    <n v="2"/>
    <n v="3"/>
    <n v="0"/>
    <n v="0"/>
    <n v="0"/>
    <n v="3"/>
    <m/>
    <m/>
    <m/>
    <m/>
    <s v="Estoque Conforme"/>
    <s v="SEM SOLICITACAO / FABBISOGNO'S"/>
    <m/>
  </r>
  <r>
    <n v="842"/>
    <x v="1"/>
    <m/>
    <s v="ALM00752"/>
    <m/>
    <x v="0"/>
    <m/>
    <m/>
    <x v="751"/>
    <m/>
    <m/>
    <m/>
    <m/>
    <m/>
    <s v="A1201"/>
    <s v="I1-2-1"/>
    <n v="6"/>
    <n v="4"/>
    <n v="8"/>
    <n v="300"/>
    <n v="1800"/>
    <n v="1200"/>
    <n v="0"/>
    <m/>
    <m/>
    <m/>
    <m/>
    <s v="Estoque Conforme"/>
    <s v="SEM SOLICITACAO / FABBISOGNO'S"/>
    <m/>
  </r>
  <r>
    <n v="1180"/>
    <x v="1"/>
    <m/>
    <s v="ALM00753"/>
    <s v=""/>
    <x v="1"/>
    <s v="713631172213"/>
    <s v="172213"/>
    <x v="752"/>
    <m/>
    <m/>
    <m/>
    <m/>
    <m/>
    <s v="C1405"/>
    <s v="I1-2-2"/>
    <n v="3"/>
    <n v="1"/>
    <n v="5"/>
    <n v="0"/>
    <n v="0"/>
    <n v="0"/>
    <n v="3"/>
    <m/>
    <m/>
    <m/>
    <m/>
    <s v="Estoque Conforme"/>
    <s v="SEM SOLICITACAO / FABBISOGNO'S"/>
    <m/>
  </r>
  <r>
    <n v="1251"/>
    <x v="1"/>
    <m/>
    <s v="ALM00754"/>
    <s v="BATE PE - M36"/>
    <x v="0"/>
    <m/>
    <m/>
    <x v="753"/>
    <m/>
    <m/>
    <m/>
    <m/>
    <m/>
    <s v="A2014"/>
    <s v="I1-3"/>
    <n v="1"/>
    <n v="1"/>
    <n v="3"/>
    <n v="0"/>
    <n v="0"/>
    <n v="0"/>
    <n v="1"/>
    <m/>
    <m/>
    <m/>
    <m/>
    <s v="Estoque Conforme"/>
    <s v="SEM SOLICITACAO / FABBISOGNO'S"/>
    <m/>
  </r>
  <r>
    <n v="731"/>
    <x v="1"/>
    <m/>
    <s v="ALM00755"/>
    <s v="MECANICO"/>
    <x v="1"/>
    <m/>
    <m/>
    <x v="754"/>
    <m/>
    <m/>
    <m/>
    <m/>
    <m/>
    <s v="S702"/>
    <s v="I1-4-0"/>
    <n v="3"/>
    <n v="2"/>
    <n v="3"/>
    <n v="89"/>
    <n v="267"/>
    <n v="178"/>
    <n v="3"/>
    <m/>
    <m/>
    <m/>
    <m/>
    <s v="Estoque Conforme"/>
    <s v="SEM SOLICITACAO / FABBISOGNO'S"/>
    <m/>
  </r>
  <r>
    <n v="1291"/>
    <x v="1"/>
    <m/>
    <s v="ALM00756"/>
    <s v=""/>
    <x v="0"/>
    <m/>
    <m/>
    <x v="755"/>
    <m/>
    <m/>
    <m/>
    <m/>
    <m/>
    <s v="A2104"/>
    <s v="I1-4-1"/>
    <n v="2"/>
    <n v="1"/>
    <n v="5"/>
    <n v="0"/>
    <n v="0"/>
    <n v="0"/>
    <n v="2"/>
    <m/>
    <m/>
    <m/>
    <m/>
    <s v="Estoque Conforme"/>
    <s v="SEM SOLICITACAO / FABBISOGNO'S"/>
    <m/>
  </r>
  <r>
    <n v="1267"/>
    <x v="1"/>
    <m/>
    <s v="ALM00757"/>
    <s v="CANNON - M01"/>
    <x v="1"/>
    <m/>
    <m/>
    <x v="756"/>
    <m/>
    <m/>
    <m/>
    <m/>
    <m/>
    <s v="E2403"/>
    <s v="I1-4-2"/>
    <n v="5"/>
    <n v="4"/>
    <n v="7"/>
    <n v="120"/>
    <n v="600"/>
    <n v="480"/>
    <n v="6"/>
    <m/>
    <m/>
    <m/>
    <m/>
    <s v="Estoque Conforme"/>
    <s v="SEM SOLICITACAO / FABBISOGNO'S"/>
    <m/>
  </r>
  <r>
    <n v="1366"/>
    <x v="1"/>
    <m/>
    <s v="ALM00758"/>
    <s v=""/>
    <x v="0"/>
    <m/>
    <m/>
    <x v="757"/>
    <m/>
    <m/>
    <m/>
    <m/>
    <m/>
    <s v="A1105"/>
    <s v="I1-4-3"/>
    <n v="4"/>
    <m/>
    <n v="1"/>
    <n v="0"/>
    <n v="0"/>
    <n v="0"/>
    <n v="2"/>
    <n v="0"/>
    <m/>
    <m/>
    <m/>
    <s v="Estoque Conforme"/>
    <s v="SEM SOLICITACAO / FABBISOGNO'S"/>
    <m/>
  </r>
  <r>
    <n v="865"/>
    <x v="1"/>
    <m/>
    <s v="ALM00759"/>
    <s v=""/>
    <x v="0"/>
    <s v="713632172807"/>
    <s v="172807"/>
    <x v="758"/>
    <m/>
    <m/>
    <m/>
    <m/>
    <m/>
    <s v="E1201"/>
    <s v="I1-6-1"/>
    <n v="0"/>
    <n v="1"/>
    <n v="2"/>
    <n v="0"/>
    <n v="0"/>
    <n v="0"/>
    <n v="1"/>
    <m/>
    <m/>
    <m/>
    <m/>
    <s v="Estoque Não Conforme"/>
    <s v="SEM SOLICITACAO / FABBISOGNO'S"/>
    <m/>
  </r>
  <r>
    <n v="1069"/>
    <x v="1"/>
    <s v="A"/>
    <s v="ALM00760"/>
    <s v="CANNON - M01"/>
    <x v="1"/>
    <m/>
    <m/>
    <x v="759"/>
    <m/>
    <m/>
    <m/>
    <m/>
    <m/>
    <s v="D1405"/>
    <s v="I1-6-2"/>
    <n v="0"/>
    <n v="1"/>
    <n v="2"/>
    <n v="5000"/>
    <n v="0"/>
    <n v="5000"/>
    <n v="1"/>
    <m/>
    <m/>
    <m/>
    <m/>
    <s v="Estoque Não Conforme"/>
    <s v="COM SOLICITACAO / EM PROCESSO DE COMPRAS"/>
    <s v="FA-3236/19"/>
  </r>
  <r>
    <n v="330"/>
    <x v="1"/>
    <s v="A"/>
    <s v="ALM00761"/>
    <s v="CANNON - M01"/>
    <x v="2"/>
    <m/>
    <m/>
    <x v="760"/>
    <m/>
    <m/>
    <m/>
    <m/>
    <m/>
    <s v="D1405"/>
    <s v="I1-6-2"/>
    <n v="0"/>
    <n v="1"/>
    <n v="5"/>
    <n v="0"/>
    <n v="0"/>
    <n v="0"/>
    <n v="3"/>
    <m/>
    <m/>
    <m/>
    <m/>
    <s v="Estoque Não Conforme"/>
    <s v="COM SOLICITACAO / EM PROCESSO DE COMPRAS"/>
    <s v="FA-3219/19"/>
  </r>
  <r>
    <n v="1068"/>
    <x v="1"/>
    <s v="A"/>
    <s v="ALM00762"/>
    <s v="CANNON - M01"/>
    <x v="1"/>
    <m/>
    <m/>
    <x v="761"/>
    <m/>
    <m/>
    <m/>
    <m/>
    <m/>
    <s v="F1303"/>
    <s v="I1-6-2"/>
    <n v="0"/>
    <n v="1"/>
    <n v="2"/>
    <n v="0"/>
    <n v="0"/>
    <n v="0"/>
    <n v="1"/>
    <m/>
    <m/>
    <m/>
    <m/>
    <s v="Estoque Não Conforme"/>
    <s v="COM SOLICITACAO / EM PROCESSO DE COMPRAS"/>
    <s v="FA-3219/19"/>
  </r>
  <r>
    <n v="1067"/>
    <x v="1"/>
    <s v="A"/>
    <s v="ALM00763"/>
    <s v="CANNON - M01"/>
    <x v="1"/>
    <m/>
    <m/>
    <x v="762"/>
    <m/>
    <m/>
    <m/>
    <m/>
    <m/>
    <s v="D1305"/>
    <s v="I1-6-2"/>
    <n v="0"/>
    <n v="1"/>
    <n v="3"/>
    <n v="0"/>
    <n v="0"/>
    <n v="0"/>
    <n v="1"/>
    <m/>
    <m/>
    <m/>
    <m/>
    <s v="Estoque Não Conforme"/>
    <s v="COM SOLICITACAO / EM PROCESSO DE COMPRAS"/>
    <s v=" FA-3225/19"/>
  </r>
  <r>
    <n v="785"/>
    <x v="1"/>
    <s v="A"/>
    <s v="ALM00764"/>
    <s v="F.FENDER - M06"/>
    <x v="2"/>
    <m/>
    <m/>
    <x v="763"/>
    <m/>
    <m/>
    <m/>
    <m/>
    <m/>
    <s v="C2101"/>
    <s v="I2-1-1"/>
    <n v="2"/>
    <n v="1"/>
    <n v="2"/>
    <n v="0"/>
    <n v="0"/>
    <n v="0"/>
    <n v="2"/>
    <m/>
    <m/>
    <m/>
    <m/>
    <s v="Estoque Conforme"/>
    <s v="SEM SOLICITACAO / FABBISOGNO'S"/>
    <m/>
  </r>
  <r>
    <n v="725"/>
    <x v="1"/>
    <m/>
    <s v="ALM00765"/>
    <s v=""/>
    <x v="1"/>
    <s v="57041801418"/>
    <s v="801418"/>
    <x v="764"/>
    <m/>
    <m/>
    <m/>
    <m/>
    <m/>
    <s v="E1401"/>
    <s v="I2-2-1"/>
    <n v="6"/>
    <n v="3"/>
    <n v="10"/>
    <n v="1937.2"/>
    <n v="11623.2"/>
    <n v="5811.6"/>
    <n v="8"/>
    <m/>
    <m/>
    <m/>
    <m/>
    <s v="Estoque Conforme"/>
    <s v="SEM SOLICITACAO / FABBISOGNO'S"/>
    <m/>
  </r>
  <r>
    <n v="1301"/>
    <x v="1"/>
    <s v="B"/>
    <s v="ALM00766"/>
    <s v="GERAL"/>
    <x v="1"/>
    <s v="57041173473"/>
    <s v="173473"/>
    <x v="765"/>
    <m/>
    <m/>
    <m/>
    <m/>
    <m/>
    <s v="E1402"/>
    <s v="I2-2-2"/>
    <n v="4"/>
    <n v="1"/>
    <n v="8"/>
    <n v="0"/>
    <n v="0"/>
    <n v="0"/>
    <n v="2"/>
    <m/>
    <m/>
    <m/>
    <m/>
    <s v="Estoque Conforme"/>
    <s v="SEM SOLICITACAO / FABBISOGNO'S"/>
    <m/>
  </r>
  <r>
    <n v="810"/>
    <x v="1"/>
    <m/>
    <s v="ALM00767"/>
    <s v=""/>
    <x v="2"/>
    <m/>
    <m/>
    <x v="766"/>
    <m/>
    <m/>
    <m/>
    <m/>
    <m/>
    <s v="C2204"/>
    <s v="I2-2-3"/>
    <n v="1"/>
    <n v="2"/>
    <n v="5"/>
    <n v="157"/>
    <n v="157"/>
    <n v="314"/>
    <n v="2"/>
    <m/>
    <m/>
    <m/>
    <m/>
    <s v="Estoque em Nivel Minimo"/>
    <s v="SEM SOLICITACAO / FABBISOGNO'S"/>
    <m/>
  </r>
  <r>
    <n v="750"/>
    <x v="1"/>
    <m/>
    <s v="ALM00768"/>
    <s v=""/>
    <x v="1"/>
    <s v="713631171592"/>
    <s v="171592"/>
    <x v="767"/>
    <m/>
    <m/>
    <m/>
    <m/>
    <m/>
    <s v="E1302"/>
    <s v="I2-3-1"/>
    <n v="1"/>
    <n v="1"/>
    <n v="2"/>
    <n v="0"/>
    <n v="0"/>
    <n v="0"/>
    <n v="1"/>
    <m/>
    <m/>
    <m/>
    <m/>
    <s v="Estoque Conforme"/>
    <s v="SEM SOLICITACAO / FABBISOGNO'S"/>
    <m/>
  </r>
  <r>
    <n v="751"/>
    <x v="1"/>
    <m/>
    <s v="ALM00769"/>
    <s v="COLEIRO"/>
    <x v="1"/>
    <s v="713631172655"/>
    <s v="172655"/>
    <x v="768"/>
    <m/>
    <m/>
    <m/>
    <m/>
    <m/>
    <s v="E1302"/>
    <s v="I2-3-2"/>
    <n v="0"/>
    <n v="1"/>
    <n v="2"/>
    <n v="0"/>
    <n v="0"/>
    <n v="0"/>
    <n v="1"/>
    <m/>
    <m/>
    <m/>
    <m/>
    <s v="Estoque Não Conforme"/>
    <s v="SEM SOLICITACAO / FABBISOGNO'S"/>
    <m/>
  </r>
  <r>
    <n v="863"/>
    <x v="1"/>
    <m/>
    <s v="ALM00770"/>
    <s v=""/>
    <x v="0"/>
    <s v="713631170030"/>
    <s v="170030"/>
    <x v="769"/>
    <m/>
    <m/>
    <m/>
    <m/>
    <m/>
    <s v="A2402"/>
    <s v="I2-3-3"/>
    <n v="8"/>
    <n v="4"/>
    <n v="8"/>
    <n v="0"/>
    <n v="0"/>
    <n v="0"/>
    <n v="8"/>
    <m/>
    <m/>
    <m/>
    <m/>
    <s v="Estoque Conforme"/>
    <s v="SEM SOLICITACAO / FABBISOGNO'S"/>
    <m/>
  </r>
  <r>
    <n v="862"/>
    <x v="1"/>
    <m/>
    <s v="ALM00771"/>
    <s v="COLEIRO"/>
    <x v="0"/>
    <s v="713631171590"/>
    <s v="171590"/>
    <x v="770"/>
    <m/>
    <m/>
    <m/>
    <m/>
    <m/>
    <m/>
    <s v="I2-3-4"/>
    <n v="5"/>
    <n v="1"/>
    <n v="2"/>
    <n v="0"/>
    <n v="0"/>
    <n v="0"/>
    <n v="2"/>
    <m/>
    <m/>
    <m/>
    <m/>
    <s v="Estoque Conforme"/>
    <s v="SEM SOLICITACAO / FABBISOGNO'S"/>
    <m/>
  </r>
  <r>
    <n v="1227"/>
    <x v="1"/>
    <s v="B"/>
    <s v="ALM00772"/>
    <s v="COLEIRO "/>
    <x v="0"/>
    <s v="713631172653"/>
    <s v="172653"/>
    <x v="771"/>
    <m/>
    <m/>
    <m/>
    <m/>
    <m/>
    <s v="A2402"/>
    <s v="I2-3-4"/>
    <n v="3"/>
    <n v="1"/>
    <n v="4"/>
    <n v="0"/>
    <n v="0"/>
    <n v="0"/>
    <n v="2"/>
    <m/>
    <m/>
    <m/>
    <m/>
    <s v="Estoque Conforme"/>
    <s v="SEM SOLICITACAO / FABBISOGNO'S"/>
    <m/>
  </r>
  <r>
    <n v="1292"/>
    <x v="1"/>
    <m/>
    <s v="ALM00773"/>
    <s v="M27"/>
    <x v="1"/>
    <m/>
    <m/>
    <x v="772"/>
    <m/>
    <m/>
    <m/>
    <m/>
    <m/>
    <s v="E2304"/>
    <s v="I2-4-1"/>
    <n v="1"/>
    <n v="2"/>
    <n v="3"/>
    <n v="9690.6200000000008"/>
    <n v="9690.6200000000008"/>
    <n v="19381.240000000002"/>
    <n v="2"/>
    <m/>
    <m/>
    <m/>
    <m/>
    <s v="Estoque em Nivel Minimo"/>
    <s v="SEM SOLICITACAO / FABBISOGNO'S"/>
    <m/>
  </r>
  <r>
    <n v="1133"/>
    <x v="1"/>
    <s v="A"/>
    <s v="ALM00774"/>
    <s v="ROBO DE COLA - M17"/>
    <x v="1"/>
    <m/>
    <m/>
    <x v="773"/>
    <m/>
    <s v="GRACO"/>
    <m/>
    <m/>
    <m/>
    <s v="E2304"/>
    <s v="I2-4-2"/>
    <n v="3"/>
    <n v="1"/>
    <n v="5"/>
    <n v="0"/>
    <n v="0"/>
    <n v="0"/>
    <n v="2"/>
    <m/>
    <m/>
    <m/>
    <m/>
    <s v="Estoque Conforme"/>
    <s v="SEM SOLICITACAO / FABBISOGNO'S"/>
    <m/>
  </r>
  <r>
    <n v="755"/>
    <x v="1"/>
    <s v="A"/>
    <s v="ALM00775"/>
    <s v="CORTE DO INNER - M08"/>
    <x v="2"/>
    <s v="755943172955"/>
    <s v="172955"/>
    <x v="774"/>
    <m/>
    <m/>
    <m/>
    <m/>
    <m/>
    <s v="C2102"/>
    <s v="I2-4-3"/>
    <n v="2"/>
    <n v="2"/>
    <n v="3"/>
    <n v="0"/>
    <n v="0"/>
    <n v="0"/>
    <n v="2"/>
    <m/>
    <m/>
    <m/>
    <m/>
    <s v="Estoque Conforme"/>
    <s v="SEM SOLICITACAO / FABBISOGNO'S"/>
    <m/>
  </r>
  <r>
    <n v="756"/>
    <x v="1"/>
    <m/>
    <s v="ALM00776"/>
    <s v=""/>
    <x v="1"/>
    <s v="758306173061"/>
    <s v="173061"/>
    <x v="775"/>
    <m/>
    <m/>
    <m/>
    <m/>
    <m/>
    <s v="E1402"/>
    <s v="I2-4-4"/>
    <n v="1"/>
    <n v="1"/>
    <n v="3"/>
    <n v="0"/>
    <n v="0"/>
    <n v="0"/>
    <n v="1"/>
    <m/>
    <m/>
    <m/>
    <m/>
    <s v="Estoque Conforme"/>
    <s v="SEM SOLICITACAO / FABBISOGNO'S"/>
    <m/>
  </r>
  <r>
    <n v="574"/>
    <x v="1"/>
    <m/>
    <s v="ALM00777"/>
    <s v=""/>
    <x v="1"/>
    <s v="758306173053"/>
    <s v="173053"/>
    <x v="776"/>
    <m/>
    <m/>
    <m/>
    <m/>
    <m/>
    <s v="E1402"/>
    <s v="I2-4-5"/>
    <n v="1"/>
    <n v="1"/>
    <n v="3"/>
    <n v="386"/>
    <n v="386"/>
    <n v="386"/>
    <n v="1"/>
    <m/>
    <m/>
    <m/>
    <m/>
    <s v="Estoque Conforme"/>
    <s v="SEM SOLICITACAO / FABBISOGNO'S"/>
    <m/>
  </r>
  <r>
    <n v="783"/>
    <x v="1"/>
    <m/>
    <s v="ALM00778"/>
    <s v="GERAL"/>
    <x v="1"/>
    <m/>
    <m/>
    <x v="777"/>
    <m/>
    <m/>
    <m/>
    <m/>
    <m/>
    <s v="E1402"/>
    <s v="I2-4-6"/>
    <n v="0"/>
    <n v="2"/>
    <n v="10"/>
    <n v="9.9"/>
    <n v="0"/>
    <n v="19.8"/>
    <n v="2"/>
    <m/>
    <m/>
    <m/>
    <m/>
    <s v="Estoque Não Conforme"/>
    <s v="COM SOLICITACAO / EM PROCESSO DE COMPRAS"/>
    <s v="3374/19"/>
  </r>
  <r>
    <n v="1138"/>
    <x v="1"/>
    <s v="A"/>
    <s v="ALM00779"/>
    <s v="CARPETE - M35"/>
    <x v="1"/>
    <m/>
    <m/>
    <x v="778"/>
    <m/>
    <m/>
    <m/>
    <m/>
    <m/>
    <s v="C2201"/>
    <s v="I2-5-1"/>
    <n v="1"/>
    <n v="1"/>
    <n v="5"/>
    <n v="500"/>
    <n v="500"/>
    <n v="500"/>
    <n v="3"/>
    <m/>
    <m/>
    <m/>
    <m/>
    <s v="Estoque Conforme"/>
    <s v="SEM SOLICITACAO / FABBISOGNO'S"/>
    <m/>
  </r>
  <r>
    <n v="1141"/>
    <x v="1"/>
    <m/>
    <s v="ALM00780"/>
    <s v="INJETORAS"/>
    <x v="1"/>
    <m/>
    <m/>
    <x v="779"/>
    <m/>
    <m/>
    <m/>
    <m/>
    <m/>
    <s v="E2204"/>
    <s v="I2-5-2"/>
    <n v="3"/>
    <n v="1"/>
    <n v="5"/>
    <n v="0"/>
    <n v="0"/>
    <n v="0"/>
    <n v="2"/>
    <m/>
    <m/>
    <m/>
    <m/>
    <s v="Estoque Conforme"/>
    <s v="SEM SOLICITACAO / FABBISOGNO'S"/>
    <m/>
  </r>
  <r>
    <n v="1150"/>
    <x v="1"/>
    <m/>
    <s v="ALM00781"/>
    <s v=""/>
    <x v="1"/>
    <m/>
    <m/>
    <x v="780"/>
    <m/>
    <m/>
    <m/>
    <s v="ROLAM/RETEN/GAXETAS"/>
    <m/>
    <m/>
    <s v="I2-5-2.1"/>
    <n v="4"/>
    <n v="2"/>
    <n v="10"/>
    <n v="0"/>
    <n v="0"/>
    <n v="0"/>
    <n v="2"/>
    <m/>
    <m/>
    <m/>
    <m/>
    <s v="Estoque Conforme"/>
    <s v="SEM SOLICITACAO / FABBISOGNO'S"/>
    <m/>
  </r>
  <r>
    <n v="1279"/>
    <x v="1"/>
    <m/>
    <s v="ALM00782"/>
    <s v="BOMBAS DOS AQUEC."/>
    <x v="1"/>
    <m/>
    <m/>
    <x v="781"/>
    <m/>
    <m/>
    <m/>
    <s v="ROLAM/RETEN/GAXETAS"/>
    <m/>
    <m/>
    <s v="I2-5-2.2"/>
    <n v="4"/>
    <n v="2"/>
    <n v="15"/>
    <n v="0"/>
    <n v="0"/>
    <n v="0"/>
    <n v="8"/>
    <m/>
    <m/>
    <m/>
    <m/>
    <s v="Estoque Conforme"/>
    <s v="SEM SOLICITACAO / FABBISOGNO'S"/>
    <m/>
  </r>
  <r>
    <n v="1153"/>
    <x v="1"/>
    <m/>
    <s v="ALM00783"/>
    <s v=""/>
    <x v="2"/>
    <m/>
    <m/>
    <x v="782"/>
    <m/>
    <m/>
    <m/>
    <m/>
    <m/>
    <s v="C1203"/>
    <s v="I2-5-3"/>
    <n v="4"/>
    <n v="2"/>
    <n v="5"/>
    <n v="0"/>
    <n v="0"/>
    <n v="0"/>
    <n v="4"/>
    <m/>
    <m/>
    <m/>
    <m/>
    <s v="Estoque Conforme"/>
    <s v="SEM SOLICITACAO / FABBISOGNO'S"/>
    <m/>
  </r>
  <r>
    <n v="1154"/>
    <x v="1"/>
    <m/>
    <s v="ALM00784"/>
    <s v=""/>
    <x v="1"/>
    <m/>
    <m/>
    <x v="783"/>
    <m/>
    <m/>
    <m/>
    <m/>
    <m/>
    <s v="B1304"/>
    <s v="I2-5-4"/>
    <n v="1"/>
    <n v="1"/>
    <n v="5"/>
    <n v="0"/>
    <n v="0"/>
    <n v="0"/>
    <n v="1"/>
    <m/>
    <m/>
    <m/>
    <m/>
    <s v="Estoque Conforme"/>
    <s v="SEM SOLICITACAO / FABBISOGNO'S"/>
    <m/>
  </r>
  <r>
    <n v="1174"/>
    <x v="1"/>
    <m/>
    <s v="ALM00785"/>
    <s v=""/>
    <x v="1"/>
    <m/>
    <m/>
    <x v="784"/>
    <m/>
    <m/>
    <m/>
    <m/>
    <m/>
    <s v="B1304"/>
    <s v="I2-5-4"/>
    <n v="1"/>
    <n v="1"/>
    <n v="3"/>
    <n v="0"/>
    <n v="0"/>
    <n v="0"/>
    <n v="1"/>
    <m/>
    <m/>
    <m/>
    <m/>
    <s v="Estoque Conforme"/>
    <s v="SEM SOLICITACAO / FABBISOGNO'S"/>
    <m/>
  </r>
  <r>
    <n v="1071"/>
    <x v="1"/>
    <s v="A"/>
    <s v="ALM00786"/>
    <s v="GANTRY - M40"/>
    <x v="1"/>
    <s v="756823800671"/>
    <s v="800671"/>
    <x v="785"/>
    <m/>
    <m/>
    <m/>
    <m/>
    <m/>
    <s v="E2306"/>
    <s v="I2-6-2"/>
    <n v="3"/>
    <n v="1"/>
    <n v="2"/>
    <n v="1796.85"/>
    <n v="5390.5499999999993"/>
    <n v="1796.85"/>
    <n v="1"/>
    <m/>
    <m/>
    <m/>
    <m/>
    <s v="Estoque Conforme"/>
    <s v="SEM SOLICITACAO / FABBISOGNO'S"/>
    <m/>
  </r>
  <r>
    <n v="1072"/>
    <x v="1"/>
    <m/>
    <s v="ALM00787"/>
    <s v="INNER DASH"/>
    <x v="1"/>
    <s v="757565172885"/>
    <s v="172885"/>
    <x v="786"/>
    <m/>
    <s v="REXROTH"/>
    <m/>
    <m/>
    <m/>
    <s v="F1305"/>
    <s v="I2-6-3"/>
    <n v="1"/>
    <n v="1"/>
    <n v="2"/>
    <n v="1796.85"/>
    <n v="1796.85"/>
    <n v="1796.85"/>
    <n v="1"/>
    <m/>
    <m/>
    <m/>
    <m/>
    <s v="Estoque Conforme"/>
    <s v="SEM SOLICITACAO / FABBISOGNO'S"/>
    <m/>
  </r>
  <r>
    <n v="1070"/>
    <x v="1"/>
    <m/>
    <s v="ALM00788"/>
    <s v=""/>
    <x v="1"/>
    <s v="756823800493"/>
    <s v="800493"/>
    <x v="787"/>
    <m/>
    <s v="REXROTH"/>
    <m/>
    <m/>
    <m/>
    <s v="E2306"/>
    <s v="I2-6-3"/>
    <n v="1"/>
    <n v="1"/>
    <n v="2"/>
    <n v="1796.85"/>
    <n v="1796.85"/>
    <n v="1796.85"/>
    <n v="1"/>
    <m/>
    <m/>
    <m/>
    <m/>
    <s v="Estoque Conforme"/>
    <s v="SEM SOLICITACAO / FABBISOGNO'S"/>
    <m/>
  </r>
  <r>
    <n v="1319"/>
    <x v="1"/>
    <m/>
    <s v="ALM00789"/>
    <s v=""/>
    <x v="1"/>
    <m/>
    <m/>
    <x v="788"/>
    <m/>
    <m/>
    <m/>
    <m/>
    <m/>
    <s v="C1402"/>
    <s v="I3-2-1"/>
    <n v="5"/>
    <n v="4"/>
    <n v="10"/>
    <n v="308"/>
    <n v="1540"/>
    <n v="1232"/>
    <n v="4"/>
    <m/>
    <m/>
    <m/>
    <m/>
    <s v="Estoque Conforme"/>
    <s v="SEM SOLICITACAO / FABBISOGNO'S"/>
    <m/>
  </r>
  <r>
    <n v="845"/>
    <x v="1"/>
    <m/>
    <s v="ALM00790"/>
    <s v=""/>
    <x v="1"/>
    <m/>
    <n v="186101"/>
    <x v="789"/>
    <m/>
    <m/>
    <m/>
    <m/>
    <m/>
    <s v="E1402"/>
    <s v="I3-2-2"/>
    <n v="1"/>
    <n v="1"/>
    <n v="2"/>
    <n v="1687.95"/>
    <n v="1687.95"/>
    <n v="1687.95"/>
    <n v="2"/>
    <m/>
    <m/>
    <m/>
    <m/>
    <s v="Estoque Conforme"/>
    <s v="SEM SOLICITACAO / FABBISOGNO'S"/>
    <m/>
  </r>
  <r>
    <n v="846"/>
    <x v="1"/>
    <m/>
    <s v="ALM00791"/>
    <s v="F.FENDER- M06"/>
    <x v="2"/>
    <m/>
    <m/>
    <x v="790"/>
    <m/>
    <m/>
    <m/>
    <m/>
    <m/>
    <s v="C1102"/>
    <s v="I3-2-3"/>
    <n v="5"/>
    <n v="3"/>
    <n v="3"/>
    <n v="0"/>
    <n v="0"/>
    <n v="0"/>
    <n v="5"/>
    <m/>
    <m/>
    <m/>
    <m/>
    <s v="Estoque Conforme"/>
    <s v="SEM SOLICITACAO / FABBISOGNO'S"/>
    <m/>
  </r>
  <r>
    <n v="877"/>
    <x v="1"/>
    <s v="B"/>
    <s v="ALM00792"/>
    <s v="F.FENDER - M06"/>
    <x v="1"/>
    <m/>
    <m/>
    <x v="791"/>
    <m/>
    <m/>
    <m/>
    <m/>
    <m/>
    <s v="E1402"/>
    <s v="I3-3-1"/>
    <n v="4"/>
    <n v="3"/>
    <n v="3"/>
    <n v="0"/>
    <n v="0"/>
    <n v="0"/>
    <n v="4"/>
    <m/>
    <m/>
    <m/>
    <m/>
    <s v="Estoque Conforme"/>
    <s v="SEM SOLICITACAO / FABBISOGNO'S"/>
    <m/>
  </r>
  <r>
    <n v="878"/>
    <x v="1"/>
    <m/>
    <s v="ALM00793"/>
    <s v=""/>
    <x v="1"/>
    <m/>
    <m/>
    <x v="792"/>
    <m/>
    <m/>
    <m/>
    <m/>
    <m/>
    <s v="E1402"/>
    <s v="I3-3-2"/>
    <n v="1"/>
    <n v="1"/>
    <n v="3"/>
    <n v="0"/>
    <n v="0"/>
    <n v="0"/>
    <n v="1"/>
    <m/>
    <m/>
    <m/>
    <m/>
    <s v="Estoque Conforme"/>
    <s v="SEM SOLICITACAO / FABBISOGNO'S"/>
    <m/>
  </r>
  <r>
    <n v="1151"/>
    <x v="1"/>
    <m/>
    <s v="ALM00794"/>
    <s v=""/>
    <x v="1"/>
    <m/>
    <m/>
    <x v="793"/>
    <m/>
    <m/>
    <m/>
    <m/>
    <m/>
    <s v="E1402"/>
    <s v="I3-3-3"/>
    <n v="4"/>
    <n v="2"/>
    <n v="5"/>
    <n v="0"/>
    <n v="0"/>
    <n v="0"/>
    <n v="4"/>
    <m/>
    <m/>
    <m/>
    <m/>
    <s v="Estoque Conforme"/>
    <s v="SEM SOLICITACAO / FABBISOGNO'S"/>
    <m/>
  </r>
  <r>
    <n v="879"/>
    <x v="1"/>
    <m/>
    <s v="ALM00795"/>
    <s v=""/>
    <x v="1"/>
    <m/>
    <m/>
    <x v="794"/>
    <m/>
    <m/>
    <m/>
    <m/>
    <m/>
    <s v="E1402"/>
    <s v="I3-3-4"/>
    <n v="3"/>
    <n v="2"/>
    <n v="3"/>
    <n v="0"/>
    <n v="0"/>
    <n v="0"/>
    <n v="3"/>
    <m/>
    <m/>
    <m/>
    <m/>
    <s v="Estoque Conforme"/>
    <s v="SEM SOLICITACAO / FABBISOGNO'S"/>
    <m/>
  </r>
  <r>
    <n v="1364"/>
    <x v="1"/>
    <m/>
    <s v="ALM00796"/>
    <s v=""/>
    <x v="1"/>
    <m/>
    <m/>
    <x v="795"/>
    <m/>
    <m/>
    <m/>
    <m/>
    <m/>
    <s v="E1302"/>
    <s v="I3-3-5"/>
    <n v="1"/>
    <n v="1"/>
    <n v="3"/>
    <n v="0"/>
    <n v="0"/>
    <n v="0"/>
    <n v="2"/>
    <n v="1"/>
    <m/>
    <m/>
    <m/>
    <s v="Estoque Conforme"/>
    <s v="SEM SOLICITACAO / FABBISOGNO'S"/>
    <m/>
  </r>
  <r>
    <n v="1144"/>
    <x v="1"/>
    <s v="C"/>
    <s v="ALM00797"/>
    <s v="M15/M16/M19/M20/M30/M32"/>
    <x v="1"/>
    <m/>
    <m/>
    <x v="796"/>
    <m/>
    <m/>
    <m/>
    <m/>
    <m/>
    <s v="E2404"/>
    <s v="I3-4-1"/>
    <n v="3"/>
    <n v="1"/>
    <n v="5"/>
    <n v="0"/>
    <n v="0"/>
    <n v="0"/>
    <n v="5"/>
    <m/>
    <m/>
    <m/>
    <m/>
    <s v="Estoque Conforme"/>
    <s v="SEM SOLICITACAO / FABBISOGNO'S"/>
    <m/>
  </r>
  <r>
    <n v="1247"/>
    <x v="1"/>
    <m/>
    <s v="ALM00798"/>
    <s v=""/>
    <x v="1"/>
    <s v="762741180486"/>
    <s v="180486"/>
    <x v="797"/>
    <m/>
    <m/>
    <m/>
    <m/>
    <m/>
    <s v="E2404"/>
    <s v="I3-4-2"/>
    <n v="0"/>
    <n v="1"/>
    <n v="4"/>
    <n v="313.7"/>
    <n v="0"/>
    <n v="313.7"/>
    <n v="1"/>
    <m/>
    <m/>
    <m/>
    <m/>
    <s v="Estoque Não Conforme"/>
    <s v="COM SOLICITACAO / EM PROCESSO DE COMPRAS"/>
    <s v="3374/19"/>
  </r>
  <r>
    <n v="1297"/>
    <x v="1"/>
    <m/>
    <s v="ALM00799"/>
    <s v=""/>
    <x v="1"/>
    <s v="762741179193"/>
    <s v="179193"/>
    <x v="798"/>
    <m/>
    <m/>
    <m/>
    <m/>
    <m/>
    <s v="E2404"/>
    <s v="I3-4-3"/>
    <n v="9"/>
    <n v="1"/>
    <n v="5"/>
    <n v="313.8"/>
    <n v="2824.2000000000003"/>
    <n v="313.8"/>
    <n v="1"/>
    <m/>
    <m/>
    <m/>
    <m/>
    <s v="Estoque Conforme"/>
    <s v="SEM SOLICITACAO / FABBISOGNO'S"/>
    <m/>
  </r>
  <r>
    <n v="675"/>
    <x v="1"/>
    <s v="A"/>
    <s v="ALM00800"/>
    <s v="F.FENDER - M06"/>
    <x v="2"/>
    <m/>
    <m/>
    <x v="799"/>
    <m/>
    <m/>
    <m/>
    <m/>
    <m/>
    <s v="C1103"/>
    <s v="I3-4-4"/>
    <n v="5"/>
    <n v="3"/>
    <n v="5"/>
    <n v="0"/>
    <n v="0"/>
    <n v="0"/>
    <n v="3"/>
    <m/>
    <m/>
    <m/>
    <m/>
    <s v="Estoque Conforme"/>
    <s v="SEM SOLICITACAO / FABBISOGNO'S"/>
    <m/>
  </r>
  <r>
    <n v="1298"/>
    <x v="1"/>
    <m/>
    <s v="ALM00801"/>
    <s v=""/>
    <x v="0"/>
    <s v="762741180994"/>
    <s v="180994"/>
    <x v="800"/>
    <m/>
    <m/>
    <m/>
    <m/>
    <m/>
    <s v="A2103"/>
    <s v="I3-4-5"/>
    <n v="2"/>
    <n v="1"/>
    <n v="2"/>
    <n v="0"/>
    <n v="0"/>
    <n v="0"/>
    <n v="1"/>
    <m/>
    <m/>
    <m/>
    <m/>
    <s v="Estoque Conforme"/>
    <s v="SEM SOLICITACAO / FABBISOGNO'S"/>
    <m/>
  </r>
  <r>
    <n v="1299"/>
    <x v="1"/>
    <m/>
    <s v="ALM00802"/>
    <s v="GERAL"/>
    <x v="1"/>
    <s v="755801164698"/>
    <s v="164698"/>
    <x v="801"/>
    <m/>
    <m/>
    <m/>
    <m/>
    <m/>
    <s v="E1203"/>
    <s v="I3-4-6"/>
    <n v="23"/>
    <n v="5"/>
    <n v="13"/>
    <n v="3.5"/>
    <n v="80.5"/>
    <n v="17.5"/>
    <n v="13"/>
    <m/>
    <m/>
    <m/>
    <m/>
    <s v="Estoque Conforme"/>
    <s v="SEM SOLICITACAO / FABBISOGNO'S"/>
    <m/>
  </r>
  <r>
    <n v="586"/>
    <x v="1"/>
    <m/>
    <s v="ALM00803"/>
    <s v=""/>
    <x v="2"/>
    <s v="755801180907"/>
    <s v="180907"/>
    <x v="802"/>
    <m/>
    <m/>
    <m/>
    <m/>
    <m/>
    <s v="C2203"/>
    <s v="I3-4-7"/>
    <n v="0"/>
    <n v="1"/>
    <n v="5"/>
    <n v="0"/>
    <n v="0"/>
    <n v="0"/>
    <n v="6"/>
    <m/>
    <m/>
    <m/>
    <m/>
    <s v="Estoque Não Conforme"/>
    <s v="COM SOLICITACAO / EM PROCESSO DE COMPRAS"/>
    <s v="3374/19"/>
  </r>
  <r>
    <n v="980"/>
    <x v="1"/>
    <s v="C"/>
    <s v="ALM00804"/>
    <s v="M17"/>
    <x v="2"/>
    <m/>
    <m/>
    <x v="803"/>
    <m/>
    <m/>
    <m/>
    <m/>
    <m/>
    <s v="C2203"/>
    <s v="I3-4-7"/>
    <n v="6"/>
    <n v="1"/>
    <n v="5"/>
    <n v="0"/>
    <n v="0"/>
    <n v="0"/>
    <n v="1"/>
    <m/>
    <m/>
    <m/>
    <m/>
    <s v="Estoque Conforme"/>
    <s v="SEM SOLICITACAO / FABBISOGNO'S"/>
    <m/>
  </r>
  <r>
    <n v="1266"/>
    <x v="1"/>
    <m/>
    <s v="ALM00805"/>
    <s v=""/>
    <x v="2"/>
    <s v="755943800140"/>
    <s v="800140"/>
    <x v="804"/>
    <m/>
    <m/>
    <m/>
    <m/>
    <m/>
    <s v="C2203"/>
    <s v="I3-4-7"/>
    <n v="2"/>
    <n v="2"/>
    <n v="10"/>
    <n v="0"/>
    <n v="0"/>
    <n v="0"/>
    <n v="4"/>
    <m/>
    <m/>
    <m/>
    <m/>
    <s v="Estoque Conforme"/>
    <s v="SEM SOLICITACAO / FABBISOGNO'S"/>
    <m/>
  </r>
  <r>
    <n v="383"/>
    <x v="1"/>
    <m/>
    <s v="ALM00806"/>
    <s v="GERAL"/>
    <x v="1"/>
    <m/>
    <m/>
    <x v="805"/>
    <m/>
    <m/>
    <m/>
    <m/>
    <m/>
    <s v="E1406"/>
    <s v="I3-5-1"/>
    <n v="41"/>
    <n v="10"/>
    <n v="30"/>
    <n v="12.6"/>
    <n v="516.6"/>
    <n v="126"/>
    <n v="13"/>
    <m/>
    <m/>
    <m/>
    <m/>
    <s v="Estoque Conforme"/>
    <s v="SEM SOLICITACAO / FABBISOGNO'S"/>
    <m/>
  </r>
  <r>
    <n v="760"/>
    <x v="1"/>
    <m/>
    <s v="ALM00807"/>
    <s v=""/>
    <x v="1"/>
    <s v="761418180541"/>
    <s v="180541"/>
    <x v="806"/>
    <m/>
    <m/>
    <m/>
    <m/>
    <m/>
    <s v="E1406"/>
    <s v="I3-5-2"/>
    <n v="3"/>
    <n v="3"/>
    <n v="10"/>
    <n v="20.48"/>
    <n v="61.44"/>
    <n v="61.44"/>
    <n v="5"/>
    <m/>
    <m/>
    <m/>
    <m/>
    <s v="Estoque Conforme"/>
    <s v="SEM SOLICITACAO / FABBISOGNO'S"/>
    <m/>
  </r>
  <r>
    <n v="761"/>
    <x v="1"/>
    <m/>
    <s v="ALM00808"/>
    <s v="MECANICO"/>
    <x v="1"/>
    <m/>
    <m/>
    <x v="807"/>
    <m/>
    <m/>
    <m/>
    <m/>
    <m/>
    <s v="E1406"/>
    <m/>
    <n v="0"/>
    <n v="1"/>
    <n v="3"/>
    <n v="218.75"/>
    <n v="0"/>
    <n v="218.75"/>
    <n v="3"/>
    <m/>
    <m/>
    <m/>
    <m/>
    <s v="Estoque Não Conforme"/>
    <s v="COM SOLICITACAO / EM PROCESSO DE COMPRAS"/>
    <s v="3374/19"/>
  </r>
  <r>
    <n v="1374"/>
    <x v="1"/>
    <m/>
    <s v="ALM00809"/>
    <s v="GERAL"/>
    <x v="1"/>
    <m/>
    <m/>
    <x v="808"/>
    <m/>
    <m/>
    <m/>
    <m/>
    <m/>
    <s v="E1406"/>
    <s v="I3-5-4"/>
    <n v="0"/>
    <m/>
    <n v="1"/>
    <n v="8.5"/>
    <n v="0"/>
    <n v="0"/>
    <n v="3"/>
    <n v="2"/>
    <m/>
    <m/>
    <m/>
    <s v="Estoque Não Conforme"/>
    <s v="COM SOLICITACAO / EM PROCESSO DE COMPRAS"/>
    <s v="3331/19"/>
  </r>
  <r>
    <n v="763"/>
    <x v="1"/>
    <m/>
    <s v="ALM00810"/>
    <s v=""/>
    <x v="0"/>
    <m/>
    <m/>
    <x v="809"/>
    <m/>
    <m/>
    <m/>
    <m/>
    <m/>
    <s v="C1203"/>
    <s v="I3-5-5"/>
    <n v="0"/>
    <n v="3"/>
    <n v="2"/>
    <n v="0"/>
    <n v="0"/>
    <n v="0"/>
    <n v="7"/>
    <m/>
    <m/>
    <m/>
    <m/>
    <s v="Estoque Não Conforme"/>
    <s v="COM SOLICITACAO / EM PROCESSO DE COMPRAS"/>
    <s v="3366/19"/>
  </r>
  <r>
    <n v="764"/>
    <x v="1"/>
    <m/>
    <s v="ALM00811"/>
    <s v=""/>
    <x v="1"/>
    <m/>
    <m/>
    <x v="810"/>
    <m/>
    <m/>
    <m/>
    <m/>
    <m/>
    <s v="E1406"/>
    <s v="I3-5-6"/>
    <n v="2"/>
    <n v="1"/>
    <n v="2"/>
    <n v="0"/>
    <n v="0"/>
    <n v="0"/>
    <n v="2"/>
    <m/>
    <m/>
    <m/>
    <m/>
    <s v="Estoque Conforme"/>
    <s v="SEM SOLICITACAO / FABBISOGNO'S"/>
    <m/>
  </r>
  <r>
    <n v="1256"/>
    <x v="1"/>
    <s v="A"/>
    <s v="ALM00812"/>
    <s v="TRUNCK LOAD - M27"/>
    <x v="1"/>
    <s v="757565177353"/>
    <s v="177353"/>
    <x v="811"/>
    <m/>
    <m/>
    <m/>
    <m/>
    <m/>
    <s v="C2104"/>
    <s v="I3-6-1"/>
    <n v="1"/>
    <n v="1"/>
    <n v="2"/>
    <n v="1900"/>
    <n v="1900"/>
    <n v="1900"/>
    <n v="0"/>
    <m/>
    <m/>
    <m/>
    <m/>
    <s v="Estoque Conforme"/>
    <s v="SEM SOLICITACAO / FABBISOGNO'S"/>
    <m/>
  </r>
  <r>
    <n v="1074"/>
    <x v="1"/>
    <s v="A"/>
    <s v="ALM00813"/>
    <s v="F.FENDER - M06"/>
    <x v="1"/>
    <m/>
    <m/>
    <x v="812"/>
    <m/>
    <m/>
    <m/>
    <m/>
    <m/>
    <s v="E2106"/>
    <s v="I3-6-2"/>
    <n v="2"/>
    <n v="1"/>
    <n v="2"/>
    <n v="0"/>
    <n v="0"/>
    <n v="0"/>
    <n v="1"/>
    <m/>
    <m/>
    <m/>
    <m/>
    <s v="Estoque Conforme"/>
    <s v="SEM SOLICITACAO / FABBISOGNO'S"/>
    <m/>
  </r>
  <r>
    <n v="1308"/>
    <x v="1"/>
    <m/>
    <s v="ALM00814"/>
    <s v="M-01"/>
    <x v="1"/>
    <s v="57041180245"/>
    <s v="180245"/>
    <x v="813"/>
    <m/>
    <m/>
    <m/>
    <m/>
    <m/>
    <s v="E2106"/>
    <s v="I3-6-3"/>
    <n v="11"/>
    <n v="1"/>
    <n v="2"/>
    <n v="0"/>
    <n v="0"/>
    <n v="0"/>
    <n v="1"/>
    <m/>
    <m/>
    <m/>
    <m/>
    <s v="Estoque Conforme"/>
    <s v="SEM SOLICITACAO / FABBISOGNO'S"/>
    <m/>
  </r>
  <r>
    <n v="1075"/>
    <x v="1"/>
    <m/>
    <s v="ALM00815"/>
    <s v=""/>
    <x v="1"/>
    <m/>
    <m/>
    <x v="814"/>
    <m/>
    <m/>
    <m/>
    <m/>
    <m/>
    <s v="F1203"/>
    <s v="I3-6-3"/>
    <n v="1"/>
    <n v="1"/>
    <n v="2"/>
    <n v="0"/>
    <n v="0"/>
    <n v="0"/>
    <n v="1"/>
    <m/>
    <m/>
    <m/>
    <m/>
    <s v="Estoque Conforme"/>
    <s v="SEM SOLICITACAO / FABBISOGNO'S"/>
    <m/>
  </r>
  <r>
    <n v="1250"/>
    <x v="1"/>
    <m/>
    <s v="ALM00816"/>
    <s v="BATE PE - M34"/>
    <x v="1"/>
    <m/>
    <m/>
    <x v="815"/>
    <m/>
    <m/>
    <m/>
    <m/>
    <m/>
    <s v="A2106"/>
    <s v="J1-2-1"/>
    <n v="20"/>
    <n v="5"/>
    <n v="25"/>
    <n v="0"/>
    <n v="0"/>
    <n v="0"/>
    <n v="31"/>
    <m/>
    <m/>
    <m/>
    <m/>
    <s v="Estoque Conforme"/>
    <s v="SEM SOLICITACAO / FABBISOGNO'S"/>
    <m/>
  </r>
  <r>
    <n v="1249"/>
    <x v="1"/>
    <m/>
    <s v="ALM00817"/>
    <s v="BATE PE - M35"/>
    <x v="1"/>
    <m/>
    <m/>
    <x v="816"/>
    <m/>
    <m/>
    <m/>
    <m/>
    <m/>
    <s v="A2106"/>
    <s v="J1-2-2"/>
    <n v="1"/>
    <n v="1"/>
    <n v="5"/>
    <n v="0"/>
    <n v="0"/>
    <n v="0"/>
    <n v="1"/>
    <m/>
    <m/>
    <m/>
    <m/>
    <s v="Estoque Conforme"/>
    <s v="SEM SOLICITACAO / FABBISOGNO'S"/>
    <m/>
  </r>
  <r>
    <n v="322"/>
    <x v="1"/>
    <s v="A"/>
    <s v="ALM00818"/>
    <s v="BATE PE - M36"/>
    <x v="0"/>
    <m/>
    <m/>
    <x v="817"/>
    <m/>
    <m/>
    <m/>
    <m/>
    <m/>
    <s v="A2106"/>
    <s v="J1-3-1"/>
    <n v="1"/>
    <n v="1"/>
    <n v="2"/>
    <n v="0"/>
    <n v="0"/>
    <n v="0"/>
    <n v="1"/>
    <m/>
    <m/>
    <m/>
    <m/>
    <s v="Estoque Conforme"/>
    <s v="SEM SOLICITACAO / FABBISOGNO'S"/>
    <m/>
  </r>
  <r>
    <n v="1244"/>
    <x v="1"/>
    <m/>
    <s v="ALM00819"/>
    <s v="BATE PE - M36"/>
    <x v="0"/>
    <m/>
    <m/>
    <x v="818"/>
    <m/>
    <m/>
    <m/>
    <m/>
    <m/>
    <s v="A1106"/>
    <s v="J1-3-2"/>
    <n v="1"/>
    <n v="1"/>
    <n v="5"/>
    <n v="0"/>
    <n v="0"/>
    <n v="0"/>
    <n v="1"/>
    <m/>
    <m/>
    <m/>
    <m/>
    <s v="Estoque Conforme"/>
    <s v="SEM SOLICITACAO / FABBISOGNO'S"/>
    <m/>
  </r>
  <r>
    <n v="1360"/>
    <x v="1"/>
    <m/>
    <s v="ALM00820"/>
    <s v=""/>
    <x v="0"/>
    <m/>
    <m/>
    <x v="819"/>
    <m/>
    <m/>
    <m/>
    <m/>
    <m/>
    <s v="A1106"/>
    <s v="J1-3-3"/>
    <n v="5"/>
    <m/>
    <n v="2"/>
    <n v="0"/>
    <n v="0"/>
    <n v="0"/>
    <n v="5"/>
    <n v="5"/>
    <m/>
    <m/>
    <m/>
    <s v="Estoque Conforme"/>
    <s v="SEM SOLICITACAO / FABBISOGNO'S"/>
    <m/>
  </r>
  <r>
    <n v="1243"/>
    <x v="1"/>
    <m/>
    <s v="ALM00821"/>
    <s v=""/>
    <x v="0"/>
    <m/>
    <m/>
    <x v="820"/>
    <m/>
    <m/>
    <m/>
    <m/>
    <m/>
    <s v="A1106"/>
    <s v="J1-3-4"/>
    <n v="5"/>
    <n v="2"/>
    <n v="10"/>
    <n v="0"/>
    <n v="0"/>
    <n v="0"/>
    <n v="6"/>
    <m/>
    <m/>
    <m/>
    <m/>
    <s v="Estoque Conforme"/>
    <s v="SEM SOLICITACAO / FABBISOGNO'S"/>
    <m/>
  </r>
  <r>
    <n v="1302"/>
    <x v="1"/>
    <m/>
    <s v="ALM00822"/>
    <s v="MOLDAGEM INNER"/>
    <x v="1"/>
    <s v="763482169938"/>
    <s v="169938"/>
    <x v="821"/>
    <m/>
    <m/>
    <m/>
    <m/>
    <m/>
    <s v="E2204"/>
    <s v="J1-4-0"/>
    <n v="2"/>
    <n v="1"/>
    <n v="5"/>
    <n v="0"/>
    <n v="0"/>
    <n v="0"/>
    <n v="2"/>
    <m/>
    <m/>
    <m/>
    <m/>
    <s v="Estoque Conforme"/>
    <s v="SEM SOLICITACAO / FABBISOGNO'S"/>
    <m/>
  </r>
  <r>
    <n v="1210"/>
    <x v="1"/>
    <s v="A"/>
    <s v="ALM00823"/>
    <s v="ROBO DE COLA - M17"/>
    <x v="1"/>
    <m/>
    <m/>
    <x v="822"/>
    <m/>
    <s v="SCHNEIDER"/>
    <m/>
    <m/>
    <m/>
    <s v="E2305"/>
    <s v="J1-4-1"/>
    <n v="1"/>
    <n v="1"/>
    <n v="5"/>
    <n v="0"/>
    <n v="0"/>
    <n v="0"/>
    <n v="1"/>
    <m/>
    <m/>
    <m/>
    <m/>
    <s v="Estoque Conforme"/>
    <s v="SEM SOLICITACAO / FABBISOGNO'S"/>
    <m/>
  </r>
  <r>
    <n v="787"/>
    <x v="1"/>
    <m/>
    <s v="ALM00824"/>
    <s v="WATER JET"/>
    <x v="1"/>
    <m/>
    <m/>
    <x v="823"/>
    <m/>
    <m/>
    <m/>
    <m/>
    <m/>
    <s v="E2405"/>
    <s v="J1-4-2"/>
    <n v="1"/>
    <n v="1"/>
    <n v="5"/>
    <n v="0"/>
    <n v="0"/>
    <n v="0"/>
    <n v="1"/>
    <m/>
    <m/>
    <m/>
    <m/>
    <s v="Estoque Conforme"/>
    <s v="SEM SOLICITACAO / FABBISOGNO'S"/>
    <m/>
  </r>
  <r>
    <n v="1318"/>
    <x v="1"/>
    <m/>
    <s v="ALM00825"/>
    <s v=""/>
    <x v="1"/>
    <m/>
    <m/>
    <x v="824"/>
    <m/>
    <m/>
    <m/>
    <m/>
    <m/>
    <s v="D2106"/>
    <s v="J1-4-3"/>
    <n v="6"/>
    <n v="2"/>
    <n v="6"/>
    <n v="0"/>
    <n v="0"/>
    <n v="0"/>
    <n v="6"/>
    <m/>
    <m/>
    <m/>
    <m/>
    <s v="Estoque Conforme"/>
    <s v="SEM SOLICITACAO / FABBISOGNO'S"/>
    <m/>
  </r>
  <r>
    <n v="329"/>
    <x v="1"/>
    <s v="A"/>
    <s v="ALM00826"/>
    <s v="BATE PE - M36"/>
    <x v="1"/>
    <m/>
    <m/>
    <x v="825"/>
    <m/>
    <m/>
    <m/>
    <m/>
    <m/>
    <s v="E2205"/>
    <s v="J1-5-1"/>
    <n v="1"/>
    <n v="5"/>
    <n v="10"/>
    <n v="0"/>
    <n v="0"/>
    <n v="0"/>
    <n v="8"/>
    <m/>
    <m/>
    <m/>
    <m/>
    <s v="Estoque em Nivel Minimo"/>
    <s v="SEM SOLICITACAO / FABBISOGNO'S"/>
    <m/>
  </r>
  <r>
    <n v="864"/>
    <x v="1"/>
    <m/>
    <s v="ALM00827"/>
    <s v=""/>
    <x v="0"/>
    <m/>
    <m/>
    <x v="826"/>
    <m/>
    <m/>
    <m/>
    <m/>
    <m/>
    <s v="E2205"/>
    <s v="J1-5-2"/>
    <n v="2"/>
    <n v="1"/>
    <n v="3"/>
    <n v="0"/>
    <n v="0"/>
    <n v="0"/>
    <n v="2"/>
    <m/>
    <m/>
    <m/>
    <m/>
    <s v="Estoque Conforme"/>
    <s v="SEM SOLICITACAO / FABBISOGNO'S"/>
    <m/>
  </r>
  <r>
    <n v="328"/>
    <x v="1"/>
    <s v="A"/>
    <s v="ALM00828"/>
    <s v="BATE PE - M36"/>
    <x v="1"/>
    <m/>
    <m/>
    <x v="827"/>
    <m/>
    <m/>
    <m/>
    <m/>
    <m/>
    <s v="E2205"/>
    <s v="J1-5-3"/>
    <n v="2"/>
    <n v="1"/>
    <n v="2"/>
    <n v="0"/>
    <n v="0"/>
    <n v="0"/>
    <n v="2"/>
    <m/>
    <m/>
    <m/>
    <m/>
    <s v="Estoque Conforme"/>
    <s v="SEM SOLICITACAO / FABBISOGNO'S"/>
    <m/>
  </r>
  <r>
    <n v="1277"/>
    <x v="1"/>
    <m/>
    <s v="ALM00829"/>
    <s v=""/>
    <x v="1"/>
    <m/>
    <m/>
    <x v="828"/>
    <m/>
    <m/>
    <m/>
    <s v="FIXAÇÕES/M.FERROSOS"/>
    <m/>
    <s v="F2102"/>
    <s v="J1-6-1"/>
    <n v="10"/>
    <n v="4"/>
    <n v="10"/>
    <n v="0"/>
    <n v="0"/>
    <n v="0"/>
    <n v="10"/>
    <m/>
    <m/>
    <m/>
    <m/>
    <s v="Estoque Conforme"/>
    <s v="SEM SOLICITACAO / FABBISOGNO'S"/>
    <m/>
  </r>
  <r>
    <n v="853"/>
    <x v="1"/>
    <s v="A"/>
    <s v="ALM00830"/>
    <s v="F.FENDER - M06"/>
    <x v="1"/>
    <m/>
    <m/>
    <x v="829"/>
    <m/>
    <m/>
    <m/>
    <m/>
    <m/>
    <s v="C2104"/>
    <s v="J2-1-1"/>
    <n v="1"/>
    <n v="1"/>
    <n v="2"/>
    <n v="0"/>
    <n v="0"/>
    <n v="0"/>
    <n v="1"/>
    <m/>
    <m/>
    <m/>
    <m/>
    <s v="Estoque Conforme"/>
    <s v="SEM SOLICITACAO / FABBISOGNO'S"/>
    <m/>
  </r>
  <r>
    <n v="1703"/>
    <x v="1"/>
    <s v="A"/>
    <s v="ALM00831"/>
    <s v="F.FENDER- M06"/>
    <x v="1"/>
    <m/>
    <m/>
    <x v="830"/>
    <m/>
    <m/>
    <m/>
    <m/>
    <m/>
    <s v="C2104"/>
    <s v="J2-1-2"/>
    <n v="2"/>
    <n v="1"/>
    <n v="3"/>
    <n v="0"/>
    <n v="0"/>
    <n v="0"/>
    <n v="3"/>
    <n v="2"/>
    <m/>
    <m/>
    <m/>
    <s v="Estoque Conforme"/>
    <s v="SEM SOLICITACAO / FABBISOGNO'S"/>
    <m/>
  </r>
  <r>
    <n v="1682"/>
    <x v="1"/>
    <s v="A"/>
    <s v="ALM00832"/>
    <s v="F.FENDER - M06"/>
    <x v="2"/>
    <m/>
    <m/>
    <x v="831"/>
    <m/>
    <m/>
    <m/>
    <m/>
    <m/>
    <s v="C2201"/>
    <s v="J2-1-3"/>
    <n v="2"/>
    <n v="1"/>
    <n v="3"/>
    <n v="500"/>
    <n v="1000"/>
    <n v="500"/>
    <n v="2"/>
    <n v="1"/>
    <m/>
    <m/>
    <m/>
    <s v="Estoque Conforme"/>
    <s v="SEM SOLICITACAO / FABBISOGNO'S"/>
    <m/>
  </r>
  <r>
    <n v="1143"/>
    <x v="1"/>
    <m/>
    <s v="ALM00833"/>
    <s v=""/>
    <x v="1"/>
    <m/>
    <m/>
    <x v="832"/>
    <m/>
    <m/>
    <m/>
    <m/>
    <m/>
    <s v="E2403"/>
    <s v="J2-2-1"/>
    <n v="4"/>
    <n v="2"/>
    <n v="5"/>
    <n v="0"/>
    <n v="0"/>
    <n v="0"/>
    <n v="4"/>
    <m/>
    <m/>
    <m/>
    <m/>
    <s v="Estoque Conforme"/>
    <s v="SEM SOLICITACAO / FABBISOGNO'S"/>
    <m/>
  </r>
  <r>
    <n v="1218"/>
    <x v="1"/>
    <s v="A"/>
    <s v="ALM00834"/>
    <s v="CORTE DO INNER - M08"/>
    <x v="1"/>
    <s v="762741172955"/>
    <s v="172955"/>
    <x v="833"/>
    <m/>
    <m/>
    <m/>
    <m/>
    <m/>
    <s v="C2105"/>
    <s v="J2-2-2"/>
    <n v="2"/>
    <n v="1"/>
    <n v="3"/>
    <n v="0"/>
    <n v="0"/>
    <n v="0"/>
    <n v="2"/>
    <m/>
    <m/>
    <m/>
    <m/>
    <s v="Estoque Conforme"/>
    <s v="SEM SOLICITACAO / FABBISOGNO'S"/>
    <m/>
  </r>
  <r>
    <n v="1145"/>
    <x v="1"/>
    <m/>
    <s v="ALM00835"/>
    <s v="CHINESA"/>
    <x v="0"/>
    <m/>
    <m/>
    <x v="834"/>
    <m/>
    <m/>
    <m/>
    <m/>
    <m/>
    <s v="F2102"/>
    <s v="J2-2-3"/>
    <n v="0"/>
    <n v="1"/>
    <n v="5"/>
    <n v="0"/>
    <n v="0"/>
    <n v="0"/>
    <n v="2"/>
    <m/>
    <m/>
    <m/>
    <m/>
    <s v="Estoque Não Conforme"/>
    <s v="SEM SOLICITACAO / FABBISOGNO'S"/>
    <m/>
  </r>
  <r>
    <n v="1228"/>
    <x v="1"/>
    <m/>
    <s v="ALM00836"/>
    <s v="COLEIRO"/>
    <x v="1"/>
    <s v="713631177353"/>
    <s v="177353"/>
    <x v="835"/>
    <m/>
    <s v="MAKMELT"/>
    <m/>
    <m/>
    <m/>
    <s v="F1206"/>
    <s v="J2-3-1"/>
    <n v="0"/>
    <n v="1"/>
    <n v="3"/>
    <n v="0"/>
    <n v="0"/>
    <n v="0"/>
    <n v="1"/>
    <m/>
    <m/>
    <m/>
    <m/>
    <s v="Estoque Não Conforme"/>
    <s v="SEM SOLICITACAO / FABBISOGNO'S"/>
    <m/>
  </r>
  <r>
    <n v="856"/>
    <x v="1"/>
    <m/>
    <s v="ALM00837"/>
    <s v="COLEIRO"/>
    <x v="1"/>
    <s v="713631170832"/>
    <s v="170832"/>
    <x v="836"/>
    <m/>
    <m/>
    <m/>
    <m/>
    <m/>
    <s v="E2303"/>
    <s v="J2-3-2"/>
    <n v="3"/>
    <n v="4"/>
    <n v="10"/>
    <n v="0"/>
    <n v="0"/>
    <n v="0"/>
    <n v="7"/>
    <m/>
    <m/>
    <m/>
    <m/>
    <s v="Estoque em Nivel Minimo"/>
    <s v="SEM SOLICITACAO / FABBISOGNO'S"/>
    <m/>
  </r>
  <r>
    <n v="860"/>
    <x v="1"/>
    <s v="B"/>
    <s v="ALM00838"/>
    <s v="COLEIRO"/>
    <x v="0"/>
    <s v="713632172809"/>
    <s v="172809"/>
    <x v="837"/>
    <m/>
    <m/>
    <m/>
    <m/>
    <m/>
    <s v="A2302"/>
    <s v="J2-3-3"/>
    <n v="2"/>
    <n v="3"/>
    <n v="8"/>
    <n v="0"/>
    <n v="0"/>
    <n v="0"/>
    <n v="3"/>
    <m/>
    <m/>
    <m/>
    <m/>
    <s v="Estoque em Nivel Minimo"/>
    <s v="SEM SOLICITACAO / FABBISOGNO'S"/>
    <m/>
  </r>
  <r>
    <n v="857"/>
    <x v="1"/>
    <m/>
    <s v="ALM00839"/>
    <s v="COLEIRO"/>
    <x v="1"/>
    <s v="713631164808"/>
    <s v="164808"/>
    <x v="838"/>
    <m/>
    <m/>
    <m/>
    <m/>
    <m/>
    <s v="E2303"/>
    <s v="J2-3-4"/>
    <n v="3"/>
    <n v="2"/>
    <n v="8"/>
    <n v="0"/>
    <n v="0"/>
    <n v="0"/>
    <n v="3"/>
    <m/>
    <m/>
    <m/>
    <m/>
    <s v="Estoque Conforme"/>
    <s v="SEM SOLICITACAO / FABBISOGNO'S"/>
    <m/>
  </r>
  <r>
    <n v="858"/>
    <x v="1"/>
    <m/>
    <s v="ALM00840"/>
    <s v="COLEIRO"/>
    <x v="1"/>
    <m/>
    <m/>
    <x v="839"/>
    <m/>
    <m/>
    <m/>
    <m/>
    <m/>
    <s v="E2404"/>
    <s v="J2-3-5"/>
    <n v="1"/>
    <n v="1"/>
    <n v="2"/>
    <n v="0"/>
    <n v="0"/>
    <n v="0"/>
    <n v="1"/>
    <m/>
    <m/>
    <m/>
    <m/>
    <s v="Estoque Conforme"/>
    <s v="SEM SOLICITACAO / FABBISOGNO'S"/>
    <m/>
  </r>
  <r>
    <n v="859"/>
    <x v="1"/>
    <m/>
    <s v="ALM00841"/>
    <s v="COLEIRO"/>
    <x v="0"/>
    <s v="713631171596"/>
    <s v="171596"/>
    <x v="840"/>
    <m/>
    <m/>
    <m/>
    <m/>
    <m/>
    <s v="A1104"/>
    <s v="J2-3-6"/>
    <n v="3"/>
    <n v="3"/>
    <n v="5"/>
    <n v="1000"/>
    <n v="3000"/>
    <n v="3000"/>
    <n v="3"/>
    <m/>
    <m/>
    <m/>
    <m/>
    <s v="Estoque Conforme"/>
    <s v="SEM SOLICITACAO / FABBISOGNO'S"/>
    <m/>
  </r>
  <r>
    <n v="758"/>
    <x v="1"/>
    <m/>
    <s v="ALM00842"/>
    <s v=""/>
    <x v="1"/>
    <m/>
    <m/>
    <x v="841"/>
    <m/>
    <m/>
    <m/>
    <m/>
    <m/>
    <s v="E2304"/>
    <s v="J2-4-1"/>
    <n v="2"/>
    <n v="1"/>
    <n v="3"/>
    <n v="0"/>
    <n v="0"/>
    <n v="0"/>
    <n v="1"/>
    <m/>
    <m/>
    <m/>
    <m/>
    <s v="Estoque Conforme"/>
    <s v="SEM SOLICITACAO / FABBISOGNO'S"/>
    <m/>
  </r>
  <r>
    <n v="850"/>
    <x v="1"/>
    <m/>
    <s v="ALM00843"/>
    <s v=""/>
    <x v="1"/>
    <m/>
    <m/>
    <x v="842"/>
    <m/>
    <m/>
    <m/>
    <m/>
    <m/>
    <s v="E2304"/>
    <s v="J2-4-2"/>
    <n v="1"/>
    <n v="1"/>
    <n v="2"/>
    <n v="0"/>
    <n v="0"/>
    <n v="0"/>
    <n v="1"/>
    <m/>
    <m/>
    <m/>
    <m/>
    <s v="Estoque Conforme"/>
    <s v="SEM SOLICITACAO / FABBISOGNO'S"/>
    <m/>
  </r>
  <r>
    <n v="743"/>
    <x v="1"/>
    <s v="B"/>
    <s v="ALM00844"/>
    <s v="F.FENDER - M06"/>
    <x v="1"/>
    <m/>
    <m/>
    <x v="843"/>
    <m/>
    <m/>
    <m/>
    <m/>
    <m/>
    <s v="C1406"/>
    <s v="J2-4-3"/>
    <n v="1"/>
    <n v="1"/>
    <n v="3"/>
    <n v="0"/>
    <n v="0"/>
    <n v="0"/>
    <n v="1"/>
    <m/>
    <m/>
    <m/>
    <m/>
    <s v="Estoque Conforme"/>
    <s v="SEM SOLICITACAO / FABBISOGNO'S"/>
    <m/>
  </r>
  <r>
    <n v="1148"/>
    <x v="1"/>
    <s v="A"/>
    <s v="ALM00845"/>
    <s v="GANTRY - M40"/>
    <x v="1"/>
    <m/>
    <m/>
    <x v="844"/>
    <m/>
    <m/>
    <m/>
    <m/>
    <m/>
    <s v="E2305"/>
    <s v="J2-5-1"/>
    <n v="4"/>
    <n v="2"/>
    <n v="5"/>
    <n v="950"/>
    <n v="3800"/>
    <n v="1900"/>
    <n v="4"/>
    <m/>
    <m/>
    <m/>
    <m/>
    <s v="Estoque Conforme"/>
    <s v="SEM SOLICITACAO / FABBISOGNO'S"/>
    <m/>
  </r>
  <r>
    <n v="1146"/>
    <x v="1"/>
    <s v="A"/>
    <s v="ALM00846"/>
    <s v="GANTRY - M40"/>
    <x v="1"/>
    <m/>
    <m/>
    <x v="845"/>
    <m/>
    <m/>
    <m/>
    <m/>
    <m/>
    <s v="E306"/>
    <s v="J2-5-2"/>
    <n v="0"/>
    <n v="1"/>
    <n v="3"/>
    <n v="0"/>
    <n v="0"/>
    <n v="0"/>
    <n v="0"/>
    <m/>
    <m/>
    <m/>
    <m/>
    <s v="Estoque Não Conforme"/>
    <s v="SEM SOLICITACAO / FABBISOGNO'S"/>
    <m/>
  </r>
  <r>
    <n v="1147"/>
    <x v="1"/>
    <s v="A"/>
    <s v="ALM00847"/>
    <s v="F.FENDER - M06/M40"/>
    <x v="1"/>
    <s v="756823125"/>
    <s v="125"/>
    <x v="846"/>
    <m/>
    <m/>
    <m/>
    <m/>
    <m/>
    <s v="E2305"/>
    <s v="J2-5-3"/>
    <n v="1"/>
    <n v="1"/>
    <n v="3"/>
    <n v="1000"/>
    <n v="1000"/>
    <n v="1000"/>
    <n v="0"/>
    <m/>
    <m/>
    <m/>
    <m/>
    <s v="Estoque Conforme"/>
    <s v="SEM SOLICITACAO / FABBISOGNO'S"/>
    <m/>
  </r>
  <r>
    <n v="732"/>
    <x v="1"/>
    <m/>
    <s v="ALM00848"/>
    <s v=""/>
    <x v="1"/>
    <s v="755943169782"/>
    <s v="169782"/>
    <x v="847"/>
    <m/>
    <m/>
    <m/>
    <m/>
    <m/>
    <s v="E2405"/>
    <s v="J2-5-5"/>
    <n v="1"/>
    <n v="1"/>
    <n v="2"/>
    <n v="0"/>
    <n v="0"/>
    <n v="0"/>
    <n v="1"/>
    <m/>
    <m/>
    <m/>
    <m/>
    <s v="Estoque Conforme"/>
    <s v="SEM SOLICITACAO / FABBISOGNO'S"/>
    <m/>
  </r>
  <r>
    <n v="768"/>
    <x v="1"/>
    <s v="A"/>
    <s v="ALM00849"/>
    <s v="PREN.HIDR. 300 TON-M15/M16/M30"/>
    <x v="1"/>
    <m/>
    <n v="183282"/>
    <x v="848"/>
    <m/>
    <m/>
    <m/>
    <m/>
    <m/>
    <s v="E2306"/>
    <s v="J2-6-1"/>
    <n v="1"/>
    <n v="1"/>
    <n v="4"/>
    <n v="1796.85"/>
    <n v="1796.85"/>
    <n v="1796.85"/>
    <n v="3"/>
    <n v="27000"/>
    <m/>
    <m/>
    <m/>
    <s v="Estoque Conforme"/>
    <s v="SEM SOLICITACAO / FABBISOGNO'S"/>
    <m/>
  </r>
  <r>
    <n v="851"/>
    <x v="1"/>
    <m/>
    <s v="ALM00850"/>
    <s v=""/>
    <x v="1"/>
    <m/>
    <m/>
    <x v="849"/>
    <m/>
    <m/>
    <m/>
    <m/>
    <m/>
    <s v="E2105"/>
    <s v="J2-6-2"/>
    <n v="0"/>
    <n v="1"/>
    <n v="3"/>
    <n v="0"/>
    <n v="0"/>
    <n v="0"/>
    <n v="2"/>
    <m/>
    <m/>
    <m/>
    <m/>
    <s v="Estoque Não Conforme"/>
    <s v="SEM SOLICITACAO / FABBISOGNO'S"/>
    <m/>
  </r>
  <r>
    <n v="852"/>
    <x v="1"/>
    <m/>
    <s v="ALM00851"/>
    <s v=""/>
    <x v="1"/>
    <m/>
    <m/>
    <x v="850"/>
    <m/>
    <m/>
    <m/>
    <m/>
    <m/>
    <s v="E2306"/>
    <s v="J2-6-3"/>
    <n v="1"/>
    <n v="1"/>
    <n v="2"/>
    <n v="1796.85"/>
    <n v="1796.85"/>
    <n v="1796.85"/>
    <n v="1"/>
    <m/>
    <m/>
    <m/>
    <m/>
    <s v="Estoque Conforme"/>
    <s v="SEM SOLICITACAO / FABBISOGNO'S"/>
    <m/>
  </r>
  <r>
    <n v="353"/>
    <x v="1"/>
    <s v="A"/>
    <s v="ALM00852"/>
    <s v="CHINESA - M02"/>
    <x v="1"/>
    <m/>
    <m/>
    <x v="851"/>
    <m/>
    <m/>
    <m/>
    <m/>
    <m/>
    <s v="F2"/>
    <s v="J3-1-1"/>
    <n v="1"/>
    <n v="1"/>
    <n v="3"/>
    <n v="0"/>
    <n v="0"/>
    <n v="0"/>
    <n v="1"/>
    <m/>
    <m/>
    <m/>
    <m/>
    <s v="Estoque Conforme"/>
    <s v="SEM SOLICITACAO / FABBISOGNO'S"/>
    <m/>
  </r>
  <r>
    <n v="854"/>
    <x v="1"/>
    <m/>
    <s v="ALM00853"/>
    <s v=""/>
    <x v="0"/>
    <s v="761298172030"/>
    <s v="172030"/>
    <x v="852"/>
    <m/>
    <m/>
    <m/>
    <m/>
    <m/>
    <s v="A1206"/>
    <s v="J3-2-1"/>
    <n v="1"/>
    <n v="1"/>
    <n v="3"/>
    <n v="0"/>
    <n v="0"/>
    <n v="0"/>
    <n v="2"/>
    <m/>
    <m/>
    <m/>
    <m/>
    <s v="Estoque Conforme"/>
    <s v="SEM SOLICITACAO / FABBISOGNO'S"/>
    <m/>
  </r>
  <r>
    <n v="1303"/>
    <x v="1"/>
    <m/>
    <s v="ALM00854"/>
    <s v=""/>
    <x v="1"/>
    <m/>
    <m/>
    <x v="853"/>
    <m/>
    <m/>
    <m/>
    <m/>
    <m/>
    <s v="F1104"/>
    <s v="J3-2-2"/>
    <n v="0"/>
    <n v="2"/>
    <n v="10"/>
    <n v="1000"/>
    <n v="0"/>
    <n v="2000"/>
    <n v="6"/>
    <m/>
    <m/>
    <m/>
    <m/>
    <s v="Estoque Não Conforme"/>
    <s v="SEM SOLICITACAO / FABBISOGNO'S"/>
    <m/>
  </r>
  <r>
    <n v="1304"/>
    <x v="1"/>
    <m/>
    <s v="ALM00855"/>
    <s v=""/>
    <x v="1"/>
    <m/>
    <m/>
    <x v="854"/>
    <m/>
    <m/>
    <m/>
    <m/>
    <m/>
    <s v="F1104"/>
    <s v="J3-2-2"/>
    <n v="0"/>
    <n v="2"/>
    <n v="10"/>
    <n v="0"/>
    <n v="0"/>
    <n v="0"/>
    <n v="5"/>
    <m/>
    <m/>
    <m/>
    <m/>
    <s v="Estoque Não Conforme"/>
    <s v="SEM SOLICITACAO / FABBISOGNO'S"/>
    <m/>
  </r>
  <r>
    <n v="1254"/>
    <x v="1"/>
    <m/>
    <s v="ALM00856"/>
    <s v="INJETORAS"/>
    <x v="0"/>
    <m/>
    <m/>
    <x v="855"/>
    <m/>
    <m/>
    <m/>
    <m/>
    <m/>
    <s v="A1206"/>
    <s v="J3-2-3"/>
    <n v="1"/>
    <n v="1"/>
    <n v="5"/>
    <n v="670.2"/>
    <n v="670.2"/>
    <n v="670.2"/>
    <n v="2"/>
    <m/>
    <m/>
    <m/>
    <m/>
    <s v="Estoque Conforme"/>
    <s v="SEM SOLICITACAO / FABBISOGNO'S"/>
    <m/>
  </r>
  <r>
    <n v="1284"/>
    <x v="1"/>
    <m/>
    <s v="ALM00857"/>
    <s v=""/>
    <x v="0"/>
    <m/>
    <m/>
    <x v="856"/>
    <m/>
    <m/>
    <m/>
    <m/>
    <m/>
    <s v="A1204"/>
    <s v="J3-3-0"/>
    <n v="4"/>
    <n v="1"/>
    <n v="3"/>
    <n v="0"/>
    <n v="0"/>
    <n v="0"/>
    <n v="2"/>
    <m/>
    <m/>
    <m/>
    <m/>
    <s v="Estoque Conforme"/>
    <s v="SEM SOLICITACAO / FABBISOGNO'S"/>
    <m/>
  </r>
  <r>
    <n v="873"/>
    <x v="1"/>
    <m/>
    <s v="ALM00858"/>
    <s v=""/>
    <x v="0"/>
    <m/>
    <m/>
    <x v="857"/>
    <m/>
    <m/>
    <m/>
    <m/>
    <m/>
    <s v="A1204"/>
    <s v="J3-3-1"/>
    <n v="2"/>
    <n v="2"/>
    <n v="3"/>
    <n v="950"/>
    <n v="1900"/>
    <n v="1900"/>
    <n v="1"/>
    <m/>
    <m/>
    <m/>
    <m/>
    <s v="Estoque Conforme"/>
    <s v="SEM SOLICITACAO / FABBISOGNO'S"/>
    <m/>
  </r>
  <r>
    <n v="1219"/>
    <x v="1"/>
    <s v="A"/>
    <s v="ALM00859"/>
    <s v="GANTRY - M40"/>
    <x v="0"/>
    <s v="762741173108"/>
    <s v="173108"/>
    <x v="858"/>
    <m/>
    <s v="TELEMAQUINIC"/>
    <m/>
    <m/>
    <m/>
    <m/>
    <s v="J3-3-2"/>
    <n v="1"/>
    <n v="1"/>
    <n v="3"/>
    <n v="660"/>
    <n v="660"/>
    <n v="660"/>
    <n v="1"/>
    <m/>
    <m/>
    <m/>
    <m/>
    <s v="Estoque Conforme"/>
    <s v="SEM SOLICITACAO / FABBISOGNO'S"/>
    <m/>
  </r>
  <r>
    <n v="874"/>
    <x v="1"/>
    <s v="A"/>
    <s v="ALM00860"/>
    <s v="TRUNCK LOAD - M27"/>
    <x v="1"/>
    <s v="757565173303"/>
    <s v="173303"/>
    <x v="859"/>
    <m/>
    <m/>
    <m/>
    <m/>
    <m/>
    <s v="E2403"/>
    <s v="J3-3-3"/>
    <n v="2"/>
    <n v="1"/>
    <n v="3"/>
    <n v="0"/>
    <n v="0"/>
    <n v="0"/>
    <n v="2"/>
    <m/>
    <m/>
    <m/>
    <m/>
    <s v="Estoque Conforme"/>
    <s v="SEM SOLICITACAO / FABBISOGNO'S"/>
    <m/>
  </r>
  <r>
    <n v="1220"/>
    <x v="1"/>
    <m/>
    <s v="ALM00861"/>
    <s v=""/>
    <x v="1"/>
    <m/>
    <m/>
    <x v="860"/>
    <m/>
    <m/>
    <m/>
    <m/>
    <m/>
    <m/>
    <s v="J3-3-4"/>
    <n v="3"/>
    <n v="2"/>
    <n v="5"/>
    <n v="0"/>
    <n v="0"/>
    <n v="0"/>
    <n v="4"/>
    <m/>
    <m/>
    <m/>
    <m/>
    <s v="Estoque Conforme"/>
    <s v="SEM SOLICITACAO / FABBISOGNO'S"/>
    <m/>
  </r>
  <r>
    <n v="875"/>
    <x v="1"/>
    <s v="A"/>
    <s v="ALM00862"/>
    <s v="CHINESA - M02"/>
    <x v="1"/>
    <m/>
    <m/>
    <x v="861"/>
    <m/>
    <m/>
    <m/>
    <m/>
    <m/>
    <s v="E2402"/>
    <s v="J3-3-5"/>
    <n v="3"/>
    <n v="2"/>
    <n v="3"/>
    <n v="0"/>
    <n v="0"/>
    <n v="0"/>
    <n v="3"/>
    <m/>
    <m/>
    <m/>
    <m/>
    <s v="Estoque Conforme"/>
    <s v="SEM SOLICITACAO / FABBISOGNO'S"/>
    <m/>
  </r>
  <r>
    <n v="876"/>
    <x v="1"/>
    <s v="A"/>
    <s v="ALM00863"/>
    <s v="CHINESA - M02"/>
    <x v="1"/>
    <m/>
    <m/>
    <x v="862"/>
    <m/>
    <m/>
    <m/>
    <m/>
    <m/>
    <m/>
    <s v="J3-3-6"/>
    <n v="1"/>
    <n v="2"/>
    <n v="3"/>
    <n v="0"/>
    <n v="0"/>
    <n v="0"/>
    <n v="1"/>
    <m/>
    <m/>
    <m/>
    <m/>
    <s v="Estoque em Nivel Minimo"/>
    <s v="COM SOLICITACAO / EM PROCESSO DE COMPRAS"/>
    <s v="3358/19"/>
  </r>
  <r>
    <n v="869"/>
    <x v="1"/>
    <m/>
    <s v="ALM00864"/>
    <s v=""/>
    <x v="1"/>
    <m/>
    <m/>
    <x v="863"/>
    <m/>
    <m/>
    <m/>
    <s v="FIXAÇÕES/M.FERROSOS"/>
    <m/>
    <s v="E2405"/>
    <s v="J3-4-1"/>
    <n v="7"/>
    <n v="5"/>
    <n v="20"/>
    <n v="0"/>
    <n v="0"/>
    <n v="0"/>
    <n v="15"/>
    <m/>
    <m/>
    <m/>
    <m/>
    <s v="Estoque Conforme"/>
    <s v="SEM SOLICITACAO / FABBISOGNO'S"/>
    <m/>
  </r>
  <r>
    <n v="866"/>
    <x v="1"/>
    <m/>
    <s v="ALM00865"/>
    <s v=""/>
    <x v="1"/>
    <m/>
    <m/>
    <x v="864"/>
    <m/>
    <m/>
    <m/>
    <s v="FIXAÇÕES/M.FERROSOS"/>
    <m/>
    <s v="E2405"/>
    <s v="J3-4-1.1"/>
    <n v="2"/>
    <n v="5"/>
    <n v="20"/>
    <n v="0"/>
    <n v="0"/>
    <n v="0"/>
    <n v="16"/>
    <m/>
    <m/>
    <m/>
    <m/>
    <s v="Estoque em Nivel Minimo"/>
    <s v="COM SOLICITACAO / EM PROCESSO DE COMPRAS"/>
    <s v="3375/19"/>
  </r>
  <r>
    <n v="372"/>
    <x v="1"/>
    <m/>
    <s v="ALM00866"/>
    <s v=""/>
    <x v="1"/>
    <m/>
    <m/>
    <x v="865"/>
    <m/>
    <m/>
    <m/>
    <s v="FIXAÇÕES/M.FERROSOS"/>
    <m/>
    <s v="E2405"/>
    <s v="J3-4-2"/>
    <n v="13"/>
    <n v="5"/>
    <n v="20"/>
    <n v="0"/>
    <n v="0"/>
    <n v="0"/>
    <n v="11"/>
    <m/>
    <m/>
    <m/>
    <m/>
    <s v="Estoque Conforme"/>
    <s v="SEM SOLICITACAO / FABBISOGNO'S"/>
    <m/>
  </r>
  <r>
    <n v="376"/>
    <x v="1"/>
    <m/>
    <s v="ALM00867"/>
    <s v=""/>
    <x v="1"/>
    <s v="761418180536"/>
    <s v="180536"/>
    <x v="866"/>
    <m/>
    <m/>
    <m/>
    <s v="FIXAÇÕES/M.FERROSOS"/>
    <m/>
    <s v="E2405"/>
    <s v="J3-4-2.1"/>
    <n v="3"/>
    <n v="5"/>
    <n v="20"/>
    <n v="0"/>
    <n v="0"/>
    <n v="0"/>
    <n v="7"/>
    <m/>
    <m/>
    <m/>
    <m/>
    <s v="Estoque em Nivel Minimo"/>
    <s v="COM SOLICITACAO / EM PROCESSO DE COMPRAS"/>
    <s v="3375/19"/>
  </r>
  <r>
    <n v="870"/>
    <x v="1"/>
    <m/>
    <s v="ALM00868"/>
    <s v=""/>
    <x v="1"/>
    <m/>
    <m/>
    <x v="867"/>
    <m/>
    <m/>
    <m/>
    <s v="FIXAÇÕES/M.FERROSOS"/>
    <m/>
    <s v="E2405"/>
    <s v="J3-4-3"/>
    <n v="0"/>
    <n v="5"/>
    <n v="20"/>
    <n v="0"/>
    <n v="0"/>
    <n v="0"/>
    <n v="8"/>
    <m/>
    <m/>
    <m/>
    <m/>
    <s v="Estoque Não Conforme"/>
    <s v="COM SOLICITACAO / EM PROCESSO DE COMPRAS"/>
    <s v="3375/19"/>
  </r>
  <r>
    <n v="868"/>
    <x v="1"/>
    <m/>
    <s v="ALM00869"/>
    <s v=""/>
    <x v="1"/>
    <m/>
    <m/>
    <x v="868"/>
    <m/>
    <m/>
    <m/>
    <s v="FIXAÇÕES/M.FERROSOS"/>
    <m/>
    <s v="E2405"/>
    <s v="J3-4-3.1"/>
    <n v="5"/>
    <n v="5"/>
    <n v="20"/>
    <n v="0"/>
    <n v="0"/>
    <n v="0"/>
    <n v="16"/>
    <m/>
    <m/>
    <m/>
    <m/>
    <s v="Estoque Conforme"/>
    <s v="SEM SOLICITACAO / FABBISOGNO'S"/>
    <m/>
  </r>
  <r>
    <n v="375"/>
    <x v="1"/>
    <m/>
    <s v="ALM00870"/>
    <s v=""/>
    <x v="1"/>
    <s v="761418180535"/>
    <s v="180535"/>
    <x v="869"/>
    <m/>
    <m/>
    <m/>
    <s v="FIXAÇÕES/M.FERROSOS"/>
    <m/>
    <s v="E2405"/>
    <s v="J3-4-4"/>
    <n v="1"/>
    <n v="5"/>
    <n v="20"/>
    <n v="0"/>
    <n v="0"/>
    <n v="0"/>
    <n v="5"/>
    <m/>
    <m/>
    <m/>
    <m/>
    <s v="Estoque em Nivel Minimo"/>
    <s v="COM SOLICITACAO / EM PROCESSO DE COMPRAS"/>
    <s v="3375/19"/>
  </r>
  <r>
    <n v="374"/>
    <x v="1"/>
    <m/>
    <s v="ALM00871"/>
    <s v=""/>
    <x v="1"/>
    <m/>
    <m/>
    <x v="870"/>
    <m/>
    <m/>
    <m/>
    <s v="FIXAÇÕES/M.FERROSOS"/>
    <m/>
    <s v="E2405"/>
    <s v="J3-4-4.1"/>
    <n v="0"/>
    <n v="5"/>
    <n v="20"/>
    <n v="0"/>
    <n v="0"/>
    <n v="0"/>
    <n v="4"/>
    <m/>
    <m/>
    <m/>
    <m/>
    <s v="Estoque Não Conforme"/>
    <s v="COM SOLICITACAO / EM PROCESSO DE COMPRAS"/>
    <s v="3375/19"/>
  </r>
  <r>
    <n v="871"/>
    <x v="1"/>
    <m/>
    <s v="ALM00872"/>
    <s v=""/>
    <x v="1"/>
    <s v="761418180538"/>
    <s v="180538"/>
    <x v="871"/>
    <m/>
    <m/>
    <m/>
    <s v="FIXAÇÕES/M.FERROSOS"/>
    <m/>
    <s v="E2405"/>
    <s v="J3-4-5"/>
    <n v="0"/>
    <n v="5"/>
    <n v="20"/>
    <n v="0"/>
    <n v="0"/>
    <n v="0"/>
    <n v="10"/>
    <m/>
    <m/>
    <m/>
    <m/>
    <s v="Estoque Não Conforme"/>
    <s v="COM SOLICITACAO / EM PROCESSO DE COMPRAS"/>
    <s v="3375/19"/>
  </r>
  <r>
    <n v="377"/>
    <x v="1"/>
    <m/>
    <s v="ALM00873"/>
    <s v=""/>
    <x v="1"/>
    <s v="761418180539"/>
    <s v="180539"/>
    <x v="872"/>
    <m/>
    <m/>
    <m/>
    <s v="FIXAÇÕES/M.FERROSOS"/>
    <m/>
    <s v="E2405"/>
    <s v="J3-4-5.1"/>
    <n v="0"/>
    <n v="5"/>
    <n v="20"/>
    <n v="0"/>
    <n v="0"/>
    <n v="0"/>
    <n v="6"/>
    <m/>
    <m/>
    <m/>
    <m/>
    <s v="Estoque Não Conforme"/>
    <s v="COM SOLICITACAO / EM PROCESSO DE COMPRAS"/>
    <s v="3375/19"/>
  </r>
  <r>
    <n v="867"/>
    <x v="1"/>
    <m/>
    <s v="ALM00874"/>
    <s v=""/>
    <x v="1"/>
    <m/>
    <m/>
    <x v="873"/>
    <m/>
    <m/>
    <m/>
    <s v="FIXAÇÕES/M.FERROSOS"/>
    <m/>
    <s v="E2405"/>
    <s v="J3-4-6"/>
    <n v="0"/>
    <n v="5"/>
    <n v="20"/>
    <n v="0"/>
    <n v="0"/>
    <n v="0"/>
    <n v="6"/>
    <m/>
    <m/>
    <m/>
    <m/>
    <s v="Estoque Não Conforme"/>
    <s v="COM SOLICITACAO / EM PROCESSO DE COMPRAS"/>
    <s v="3375/19"/>
  </r>
  <r>
    <n v="373"/>
    <x v="1"/>
    <m/>
    <s v="ALM00875"/>
    <s v=""/>
    <x v="1"/>
    <s v="761418180537"/>
    <s v="180537"/>
    <x v="874"/>
    <m/>
    <m/>
    <m/>
    <s v="FIXAÇÕES/M.FERROSOS"/>
    <m/>
    <s v="E2405"/>
    <s v="J3-4-6.1"/>
    <n v="0"/>
    <n v="5"/>
    <n v="20"/>
    <n v="0"/>
    <n v="0"/>
    <n v="0"/>
    <n v="12"/>
    <m/>
    <m/>
    <m/>
    <m/>
    <s v="Estoque Não Conforme"/>
    <s v="COM SOLICITACAO / EM PROCESSO DE COMPRAS"/>
    <s v="3375/19"/>
  </r>
  <r>
    <n v="872"/>
    <x v="1"/>
    <m/>
    <s v="ALM00876"/>
    <s v=""/>
    <x v="1"/>
    <m/>
    <m/>
    <x v="875"/>
    <m/>
    <m/>
    <m/>
    <s v="FIXAÇÕES/M.FERROSOS"/>
    <m/>
    <s v="E2405"/>
    <s v="J3-4-7"/>
    <n v="5"/>
    <n v="5"/>
    <n v="20"/>
    <n v="0"/>
    <n v="0"/>
    <n v="0"/>
    <n v="7"/>
    <m/>
    <m/>
    <m/>
    <m/>
    <s v="Estoque Conforme"/>
    <s v="SEM SOLICITACAO / FABBISOGNO'S"/>
    <m/>
  </r>
  <r>
    <n v="371"/>
    <x v="1"/>
    <m/>
    <s v="ALM00877"/>
    <s v=""/>
    <x v="1"/>
    <m/>
    <m/>
    <x v="864"/>
    <m/>
    <m/>
    <m/>
    <s v="FIXAÇÕES/M.FERROSOS"/>
    <m/>
    <s v="E2405"/>
    <s v="J3-4-7.1"/>
    <n v="1"/>
    <n v="5"/>
    <n v="20"/>
    <n v="0"/>
    <n v="0"/>
    <n v="0"/>
    <n v="18"/>
    <m/>
    <m/>
    <m/>
    <m/>
    <s v="Estoque em Nivel Minimo"/>
    <s v="COM SOLICITACAO / EM PROCESSO DE COMPRAS"/>
    <s v="3375/19"/>
  </r>
  <r>
    <n v="1211"/>
    <x v="1"/>
    <m/>
    <s v="ALM00878"/>
    <s v=""/>
    <x v="1"/>
    <m/>
    <m/>
    <x v="876"/>
    <m/>
    <m/>
    <m/>
    <m/>
    <m/>
    <s v="E2403"/>
    <s v="J3-4-8"/>
    <n v="0"/>
    <n v="1"/>
    <n v="5"/>
    <n v="0"/>
    <n v="0"/>
    <n v="0"/>
    <n v="1"/>
    <m/>
    <m/>
    <m/>
    <m/>
    <s v="Estoque Não Conforme"/>
    <s v="COM SOLICITACAO / EM PROCESSO DE COMPRAS"/>
    <s v="3374/19"/>
  </r>
  <r>
    <n v="733"/>
    <x v="1"/>
    <s v="C"/>
    <s v="ALM00879"/>
    <s v="GERAL"/>
    <x v="1"/>
    <m/>
    <m/>
    <x v="877"/>
    <m/>
    <m/>
    <m/>
    <m/>
    <m/>
    <s v="E2402"/>
    <s v="J3-5-1"/>
    <n v="8"/>
    <n v="1"/>
    <n v="4"/>
    <n v="17.059999999999999"/>
    <n v="136.47999999999999"/>
    <n v="17.059999999999999"/>
    <n v="1"/>
    <m/>
    <m/>
    <m/>
    <m/>
    <s v="Estoque Conforme"/>
    <s v="SEM SOLICITACAO / FABBISOGNO'S"/>
    <m/>
  </r>
  <r>
    <n v="801"/>
    <x v="1"/>
    <s v="C"/>
    <s v="ALM00880"/>
    <s v="GERAL"/>
    <x v="1"/>
    <m/>
    <m/>
    <x v="878"/>
    <m/>
    <m/>
    <m/>
    <s v="ÓLEOS/LUBRIF./GRAXA"/>
    <m/>
    <s v="E2402"/>
    <s v="J3-5-2"/>
    <n v="0"/>
    <n v="1"/>
    <n v="5"/>
    <n v="26.31"/>
    <n v="0"/>
    <n v="26.31"/>
    <n v="1"/>
    <m/>
    <m/>
    <m/>
    <m/>
    <s v="Estoque Não Conforme"/>
    <s v="COM SOLICITACAO / EM PROCESSO DE COMPRAS"/>
    <s v="3226/19"/>
  </r>
  <r>
    <n v="802"/>
    <x v="1"/>
    <s v="C"/>
    <s v="ALM00881"/>
    <s v="GERAL"/>
    <x v="1"/>
    <m/>
    <m/>
    <x v="879"/>
    <m/>
    <m/>
    <m/>
    <s v="ÓLEOS/LUBRIF./GRAXA"/>
    <m/>
    <s v="E2402"/>
    <s v="J3-5-3"/>
    <n v="0"/>
    <n v="1"/>
    <n v="4"/>
    <n v="20"/>
    <n v="0"/>
    <n v="20"/>
    <n v="2"/>
    <m/>
    <m/>
    <m/>
    <m/>
    <s v="Estoque Não Conforme"/>
    <s v="COM SOLICITACAO / EM PROCESSO DE COMPRAS"/>
    <s v="3226/19"/>
  </r>
  <r>
    <n v="847"/>
    <x v="1"/>
    <s v="C"/>
    <s v="ALM00882"/>
    <s v="MECANICO"/>
    <x v="1"/>
    <m/>
    <m/>
    <x v="880"/>
    <m/>
    <m/>
    <m/>
    <m/>
    <m/>
    <s v="E2402"/>
    <s v="J3-5-4"/>
    <n v="0"/>
    <n v="1"/>
    <n v="3"/>
    <n v="10"/>
    <n v="0"/>
    <n v="10"/>
    <n v="2"/>
    <m/>
    <m/>
    <m/>
    <m/>
    <s v="Estoque Não Conforme"/>
    <s v="COM SOLICITACAO / EM PROCESSO DE COMPRAS"/>
    <s v="3226/19"/>
  </r>
  <r>
    <n v="1709"/>
    <x v="1"/>
    <s v="C"/>
    <s v="ALM00883"/>
    <s v="GERAL"/>
    <x v="1"/>
    <m/>
    <m/>
    <x v="881"/>
    <m/>
    <m/>
    <m/>
    <m/>
    <m/>
    <s v="E2402"/>
    <s v="J3-5-5"/>
    <n v="0"/>
    <m/>
    <n v="1"/>
    <n v="35"/>
    <n v="0"/>
    <n v="0"/>
    <n v="2"/>
    <n v="1"/>
    <m/>
    <m/>
    <m/>
    <s v="Estoque Não Conforme"/>
    <s v="COM SOLICITACAO / EM PROCESSO DE COMPRAS"/>
    <s v="3226/19"/>
  </r>
  <r>
    <n v="1187"/>
    <x v="1"/>
    <m/>
    <s v="ALM00884"/>
    <s v=""/>
    <x v="1"/>
    <m/>
    <m/>
    <x v="882"/>
    <m/>
    <m/>
    <m/>
    <s v="ÓLEOS/LUBRIF./GRAXA"/>
    <m/>
    <s v="E2402"/>
    <s v="J3-5-5"/>
    <n v="0"/>
    <n v="1"/>
    <n v="5"/>
    <n v="36.4"/>
    <n v="0"/>
    <n v="36.4"/>
    <n v="1"/>
    <m/>
    <m/>
    <m/>
    <m/>
    <s v="Estoque Não Conforme"/>
    <s v="COM SOLICITACAO / EM PROCESSO DE COMPRAS"/>
    <s v="3376/19"/>
  </r>
  <r>
    <n v="848"/>
    <x v="1"/>
    <m/>
    <s v="ALM00885"/>
    <s v=""/>
    <x v="1"/>
    <s v="755943172038"/>
    <s v="172038"/>
    <x v="883"/>
    <m/>
    <m/>
    <m/>
    <m/>
    <m/>
    <s v="E2405"/>
    <s v="J3-5-6"/>
    <n v="6"/>
    <n v="5"/>
    <n v="10"/>
    <n v="0"/>
    <n v="0"/>
    <n v="0"/>
    <n v="8"/>
    <m/>
    <m/>
    <m/>
    <m/>
    <s v="Estoque Conforme"/>
    <s v="SEM SOLICITACAO / FABBISOGNO'S"/>
    <m/>
  </r>
  <r>
    <n v="1164"/>
    <x v="1"/>
    <m/>
    <s v="ALM00886"/>
    <s v="ELETRICO"/>
    <x v="0"/>
    <m/>
    <m/>
    <x v="884"/>
    <m/>
    <m/>
    <m/>
    <s v="ÓLEOS/LUBRIF./GRAXA"/>
    <m/>
    <s v="E2402"/>
    <s v="J3-5-7"/>
    <n v="1"/>
    <n v="1"/>
    <n v="5"/>
    <n v="26.31"/>
    <n v="26.31"/>
    <n v="26.31"/>
    <n v="1"/>
    <m/>
    <m/>
    <m/>
    <m/>
    <s v="Estoque Conforme"/>
    <s v="SEM SOLICITACAO / FABBISOGNO'S"/>
    <m/>
  </r>
  <r>
    <n v="1245"/>
    <x v="1"/>
    <m/>
    <s v="ALM00887"/>
    <s v="BATE PE - M36"/>
    <x v="0"/>
    <m/>
    <m/>
    <x v="885"/>
    <m/>
    <m/>
    <m/>
    <m/>
    <m/>
    <s v="A1102"/>
    <s v="JI-3-3"/>
    <n v="2"/>
    <n v="2"/>
    <n v="10"/>
    <n v="0"/>
    <n v="0"/>
    <n v="0"/>
    <n v="6"/>
    <m/>
    <m/>
    <m/>
    <m/>
    <s v="Estoque Conforme"/>
    <s v="SEM SOLICITACAO / FABBISOGNO'S"/>
    <m/>
  </r>
  <r>
    <n v="1679"/>
    <x v="1"/>
    <s v="A"/>
    <s v="ALM00888"/>
    <s v="F.FENDER - M06"/>
    <x v="1"/>
    <m/>
    <m/>
    <x v="886"/>
    <m/>
    <m/>
    <m/>
    <m/>
    <m/>
    <s v="E1105"/>
    <s v="B0-4-1"/>
    <n v="1"/>
    <n v="1"/>
    <n v="2"/>
    <n v="0"/>
    <n v="0"/>
    <n v="0"/>
    <n v="2"/>
    <n v="1"/>
    <m/>
    <m/>
    <m/>
    <s v="Estoque Conforme"/>
    <s v="SEM SOLICITACAO / FABBISOGNO'S"/>
    <m/>
  </r>
  <r>
    <n v="1680"/>
    <x v="1"/>
    <m/>
    <s v="ALM00889"/>
    <s v="F.FENDER - M07"/>
    <x v="1"/>
    <m/>
    <m/>
    <x v="887"/>
    <m/>
    <m/>
    <m/>
    <m/>
    <m/>
    <s v="E2104"/>
    <s v="K1-1-2"/>
    <n v="1"/>
    <m/>
    <n v="1"/>
    <n v="0"/>
    <n v="0"/>
    <n v="0"/>
    <n v="2"/>
    <n v="1"/>
    <m/>
    <m/>
    <m/>
    <s v="Estoque Conforme"/>
    <s v="SEM SOLICITACAO / FABBISOGNO'S"/>
    <m/>
  </r>
  <r>
    <n v="1683"/>
    <x v="1"/>
    <m/>
    <s v="ALM00890"/>
    <s v="F.FENDER - M08"/>
    <x v="1"/>
    <m/>
    <m/>
    <x v="888"/>
    <m/>
    <m/>
    <m/>
    <m/>
    <m/>
    <s v="F1105"/>
    <s v="K1-1-3"/>
    <n v="0"/>
    <m/>
    <n v="1"/>
    <n v="0"/>
    <n v="0"/>
    <n v="0"/>
    <n v="2"/>
    <n v="2"/>
    <m/>
    <m/>
    <m/>
    <s v="Estoque Não Conforme"/>
    <s v="SEM SOLICITACAO / FABBISOGNO'S"/>
    <m/>
  </r>
  <r>
    <n v="782"/>
    <x v="1"/>
    <m/>
    <s v="ALM00891"/>
    <s v=""/>
    <x v="1"/>
    <m/>
    <m/>
    <x v="889"/>
    <m/>
    <m/>
    <m/>
    <m/>
    <m/>
    <s v="F2202"/>
    <s v="L1-4-1/1"/>
    <n v="0"/>
    <n v="8"/>
    <n v="15"/>
    <n v="0"/>
    <n v="0"/>
    <n v="0"/>
    <n v="17"/>
    <m/>
    <m/>
    <m/>
    <m/>
    <s v="Estoque Não Conforme"/>
    <s v="COM SOLICITACAO / EM PROCESSO DE COMPRAS"/>
    <s v="3374/19"/>
  </r>
  <r>
    <n v="781"/>
    <x v="1"/>
    <m/>
    <s v="ALM00892"/>
    <s v=""/>
    <x v="1"/>
    <m/>
    <m/>
    <x v="890"/>
    <m/>
    <m/>
    <m/>
    <m/>
    <m/>
    <s v="F2202"/>
    <s v="L1-4-1/4"/>
    <n v="0"/>
    <n v="8"/>
    <n v="15"/>
    <n v="0"/>
    <n v="0"/>
    <n v="0"/>
    <n v="10"/>
    <m/>
    <m/>
    <m/>
    <m/>
    <s v="Estoque Não Conforme"/>
    <s v="COM SOLICITACAO / EM PROCESSO DE COMPRAS"/>
    <s v="3374/19"/>
  </r>
  <r>
    <n v="1693"/>
    <x v="1"/>
    <s v="A"/>
    <s v="ALM00893"/>
    <s v="F.FENDER - M06"/>
    <x v="2"/>
    <m/>
    <m/>
    <x v="891"/>
    <m/>
    <m/>
    <m/>
    <m/>
    <m/>
    <s v="C1103"/>
    <s v="L2-3-1"/>
    <n v="1"/>
    <m/>
    <n v="1"/>
    <n v="0"/>
    <n v="0"/>
    <n v="0"/>
    <n v="3"/>
    <n v="1"/>
    <m/>
    <m/>
    <m/>
    <s v="Estoque Conforme"/>
    <s v="SEM SOLICITACAO / FABBISOGNO'S"/>
    <m/>
  </r>
  <r>
    <n v="1692"/>
    <x v="1"/>
    <s v="A"/>
    <s v="ALM00894"/>
    <s v="F.FENDER - M06"/>
    <x v="2"/>
    <m/>
    <n v="186906"/>
    <x v="892"/>
    <m/>
    <m/>
    <m/>
    <m/>
    <m/>
    <s v="C1103"/>
    <s v="L2-3-1.1"/>
    <n v="1"/>
    <m/>
    <n v="1"/>
    <n v="144.17500000000001"/>
    <n v="144.17500000000001"/>
    <n v="0"/>
    <n v="2"/>
    <n v="1"/>
    <m/>
    <m/>
    <m/>
    <s v="Estoque Conforme"/>
    <s v="SEM SOLICITACAO / FABBISOGNO'S"/>
    <m/>
  </r>
  <r>
    <n v="1694"/>
    <x v="1"/>
    <s v="A"/>
    <s v="ALM00895"/>
    <s v="F.FENDER - M06"/>
    <x v="2"/>
    <m/>
    <m/>
    <x v="893"/>
    <m/>
    <m/>
    <m/>
    <m/>
    <m/>
    <s v="C1103"/>
    <s v="L2-3-2"/>
    <n v="4"/>
    <m/>
    <n v="1"/>
    <n v="0"/>
    <n v="0"/>
    <n v="0"/>
    <n v="3"/>
    <n v="3"/>
    <m/>
    <m/>
    <m/>
    <s v="Estoque Conforme"/>
    <s v="SEM SOLICITACAO / FABBISOGNO'S"/>
    <m/>
  </r>
  <r>
    <n v="1697"/>
    <x v="1"/>
    <s v="A"/>
    <s v="ALM00896"/>
    <s v="F.FENDER - M06"/>
    <x v="2"/>
    <m/>
    <m/>
    <x v="894"/>
    <m/>
    <m/>
    <m/>
    <m/>
    <m/>
    <s v="C1103"/>
    <s v="L2-3-2.1"/>
    <n v="1"/>
    <m/>
    <n v="1"/>
    <n v="0"/>
    <n v="0"/>
    <n v="0"/>
    <n v="3"/>
    <n v="1"/>
    <m/>
    <m/>
    <m/>
    <s v="Estoque Conforme"/>
    <s v="SEM SOLICITACAO / FABBISOGNO'S"/>
    <m/>
  </r>
  <r>
    <n v="1695"/>
    <x v="1"/>
    <s v="A"/>
    <s v="ALM00897"/>
    <s v="F.FENDER - M06"/>
    <x v="2"/>
    <m/>
    <m/>
    <x v="895"/>
    <m/>
    <m/>
    <m/>
    <m/>
    <m/>
    <s v="C1103"/>
    <s v="L2-3-3"/>
    <n v="1"/>
    <m/>
    <n v="1"/>
    <n v="0"/>
    <n v="0"/>
    <n v="0"/>
    <n v="2"/>
    <n v="1"/>
    <m/>
    <m/>
    <m/>
    <s v="Estoque Conforme"/>
    <s v="SEM SOLICITACAO / FABBISOGNO'S"/>
    <m/>
  </r>
  <r>
    <n v="1696"/>
    <x v="1"/>
    <s v="A"/>
    <s v="ALM00898"/>
    <s v="F.FENDER - M06"/>
    <x v="2"/>
    <m/>
    <m/>
    <x v="896"/>
    <m/>
    <m/>
    <m/>
    <m/>
    <m/>
    <s v="C1103"/>
    <s v="L2-3-3.1"/>
    <n v="2"/>
    <m/>
    <n v="1"/>
    <n v="586"/>
    <n v="1172"/>
    <n v="0"/>
    <n v="2"/>
    <n v="2"/>
    <m/>
    <m/>
    <m/>
    <s v="Estoque Conforme"/>
    <s v="SEM SOLICITACAO / FABBISOGNO'S"/>
    <m/>
  </r>
  <r>
    <n v="1698"/>
    <x v="1"/>
    <s v="A"/>
    <s v="ALM00899"/>
    <s v="F.FENDER - M06"/>
    <x v="2"/>
    <m/>
    <m/>
    <x v="897"/>
    <m/>
    <m/>
    <m/>
    <m/>
    <m/>
    <s v="C1103"/>
    <s v="L2-3-4"/>
    <n v="1"/>
    <m/>
    <n v="1"/>
    <n v="0"/>
    <n v="0"/>
    <n v="0"/>
    <n v="2"/>
    <n v="1"/>
    <m/>
    <m/>
    <m/>
    <s v="Estoque Conforme"/>
    <s v="SEM SOLICITACAO / FABBISOGNO'S"/>
    <m/>
  </r>
  <r>
    <n v="1700"/>
    <x v="1"/>
    <s v="A"/>
    <s v="ALM00900"/>
    <s v="F.FENDER - M06"/>
    <x v="2"/>
    <m/>
    <m/>
    <x v="898"/>
    <m/>
    <m/>
    <m/>
    <m/>
    <m/>
    <s v="C1103"/>
    <s v="L2-3-4.1"/>
    <n v="1"/>
    <m/>
    <n v="1"/>
    <n v="0"/>
    <n v="0"/>
    <n v="0"/>
    <n v="2"/>
    <n v="1"/>
    <m/>
    <m/>
    <m/>
    <s v="Estoque Conforme"/>
    <s v="SEM SOLICITACAO / FABBISOGNO'S"/>
    <m/>
  </r>
  <r>
    <n v="1701"/>
    <x v="1"/>
    <s v="A"/>
    <s v="ALM00901"/>
    <s v="F.FENDER - M06"/>
    <x v="2"/>
    <m/>
    <m/>
    <x v="899"/>
    <m/>
    <m/>
    <m/>
    <m/>
    <m/>
    <s v="C1103"/>
    <s v="L2-3-5"/>
    <n v="3"/>
    <m/>
    <n v="1"/>
    <n v="790"/>
    <n v="2370"/>
    <n v="0"/>
    <n v="3"/>
    <n v="3"/>
    <m/>
    <m/>
    <m/>
    <s v="Estoque Conforme"/>
    <s v="SEM SOLICITACAO / FABBISOGNO'S"/>
    <m/>
  </r>
  <r>
    <n v="1699"/>
    <x v="1"/>
    <s v="A"/>
    <s v="ALM00902"/>
    <s v="F.FENDER - M06"/>
    <x v="2"/>
    <m/>
    <m/>
    <x v="900"/>
    <m/>
    <m/>
    <m/>
    <m/>
    <m/>
    <s v="C1103"/>
    <s v="L2-3-5.1"/>
    <n v="1"/>
    <m/>
    <n v="1"/>
    <n v="0"/>
    <n v="0"/>
    <n v="0"/>
    <n v="2"/>
    <n v="1"/>
    <m/>
    <m/>
    <m/>
    <s v="Estoque Conforme"/>
    <s v="SEM SOLICITACAO / FABBISOGNO'S"/>
    <m/>
  </r>
  <r>
    <n v="1702"/>
    <x v="1"/>
    <s v="A"/>
    <s v="ALM00903"/>
    <s v="F.FENDER - M06"/>
    <x v="2"/>
    <m/>
    <m/>
    <x v="901"/>
    <m/>
    <m/>
    <m/>
    <m/>
    <m/>
    <s v="C1103"/>
    <s v="L2-3-6"/>
    <n v="1"/>
    <m/>
    <n v="1"/>
    <n v="0"/>
    <n v="0"/>
    <n v="0"/>
    <n v="3"/>
    <n v="1"/>
    <m/>
    <m/>
    <m/>
    <s v="Estoque Conforme"/>
    <s v="SEM SOLICITACAO / FABBISOGNO'S"/>
    <m/>
  </r>
  <r>
    <n v="1710"/>
    <x v="1"/>
    <s v="A"/>
    <s v="ALM00904"/>
    <s v="F.FENDER - M06"/>
    <x v="2"/>
    <m/>
    <m/>
    <x v="902"/>
    <m/>
    <m/>
    <m/>
    <m/>
    <m/>
    <s v="C1103"/>
    <s v="L2-3-6.1"/>
    <n v="6"/>
    <m/>
    <n v="1"/>
    <n v="0"/>
    <n v="0"/>
    <n v="0"/>
    <n v="3"/>
    <n v="3"/>
    <m/>
    <m/>
    <m/>
    <s v="Estoque Conforme"/>
    <s v="SEM SOLICITACAO / FABBISOGNO'S"/>
    <m/>
  </r>
  <r>
    <n v="1184"/>
    <x v="1"/>
    <s v="A"/>
    <s v="ALM00905"/>
    <s v="PREN.HIDR. 300 TON-M15/M16/M30"/>
    <x v="0"/>
    <m/>
    <m/>
    <x v="903"/>
    <m/>
    <m/>
    <m/>
    <m/>
    <m/>
    <s v="F1201"/>
    <s v="L3-1-1"/>
    <n v="2"/>
    <n v="1"/>
    <n v="3"/>
    <n v="0"/>
    <n v="0"/>
    <n v="0"/>
    <n v="2"/>
    <m/>
    <m/>
    <m/>
    <m/>
    <s v="Estoque Conforme"/>
    <s v="SEM SOLICITACAO / FABBISOGNO'S"/>
    <m/>
  </r>
  <r>
    <n v="1134"/>
    <x v="1"/>
    <m/>
    <s v="ALM00906"/>
    <s v="FORNO VERTICAL - M18"/>
    <x v="1"/>
    <m/>
    <m/>
    <x v="904"/>
    <m/>
    <m/>
    <m/>
    <m/>
    <m/>
    <s v="F1302"/>
    <s v="C3-2"/>
    <n v="6"/>
    <n v="3"/>
    <n v="8"/>
    <n v="0"/>
    <n v="0"/>
    <n v="0"/>
    <n v="6"/>
    <m/>
    <m/>
    <m/>
    <m/>
    <s v="Estoque Conforme"/>
    <s v="SEM SOLICITACAO / FABBISOGNO'S"/>
    <m/>
  </r>
  <r>
    <n v="1713"/>
    <x v="1"/>
    <m/>
    <s v="ALM00907"/>
    <s v=""/>
    <x v="1"/>
    <m/>
    <n v="900431"/>
    <x v="905"/>
    <m/>
    <m/>
    <m/>
    <s v="ÓLEOS/LUBRIF./GRAXA"/>
    <m/>
    <s v="QUIMICO"/>
    <s v="QUIMICO"/>
    <n v="1"/>
    <n v="10"/>
    <n v="20"/>
    <n v="18.285087719298247"/>
    <n v="18.285087719298247"/>
    <n v="182.85087719298247"/>
    <m/>
    <m/>
    <m/>
    <m/>
    <m/>
    <s v="Estoque em Nivel Minimo"/>
    <s v="COM SOLICITACAO / EM PROCESSO DE COMPRAS"/>
    <s v="3376/19"/>
  </r>
  <r>
    <n v="1714"/>
    <x v="1"/>
    <m/>
    <s v="ALM00908"/>
    <m/>
    <x v="1"/>
    <m/>
    <n v="183166"/>
    <x v="906"/>
    <m/>
    <m/>
    <m/>
    <s v="ÓLEOS/LUBRIF./GRAXA"/>
    <m/>
    <s v="QUIMICO"/>
    <s v="QUIMICO"/>
    <n v="815"/>
    <n v="400"/>
    <n v="800"/>
    <n v="5.61"/>
    <n v="4572.1500000000005"/>
    <n v="2244"/>
    <m/>
    <m/>
    <m/>
    <m/>
    <m/>
    <s v="Estoque Conforme"/>
    <s v="SEM SOLICITACAO / FABBISOGNO'S"/>
    <m/>
  </r>
  <r>
    <n v="1715"/>
    <x v="1"/>
    <m/>
    <s v="ALM00909"/>
    <m/>
    <x v="1"/>
    <m/>
    <s v="186951"/>
    <x v="907"/>
    <m/>
    <m/>
    <m/>
    <s v="ÓLEOS/LUBRIF./GRAXA"/>
    <m/>
    <s v="QUIMICO"/>
    <s v="QUIMICO"/>
    <n v="240"/>
    <n v="20"/>
    <n v="60"/>
    <n v="27.15"/>
    <n v="6516"/>
    <n v="543"/>
    <m/>
    <m/>
    <m/>
    <m/>
    <m/>
    <s v="Estoque Conforme"/>
    <s v="SEM SOLICITACAO / FABBISOGNO'S"/>
    <m/>
  </r>
  <r>
    <n v="1717"/>
    <x v="1"/>
    <m/>
    <s v="ALM00910"/>
    <m/>
    <x v="1"/>
    <m/>
    <m/>
    <x v="908"/>
    <m/>
    <m/>
    <m/>
    <s v="ÓLEOS/LUBRIF./GRAXA"/>
    <m/>
    <s v="QUIMICO"/>
    <s v="E0-2-2"/>
    <n v="19"/>
    <n v="10"/>
    <n v="20"/>
    <n v="27.15"/>
    <n v="515.85"/>
    <n v="271.5"/>
    <m/>
    <m/>
    <m/>
    <m/>
    <m/>
    <s v="Estoque Conforme"/>
    <s v="SEM SOLICITACAO / FABBISOGNO'S"/>
    <m/>
  </r>
  <r>
    <n v="1716"/>
    <x v="1"/>
    <m/>
    <s v="ALM00911"/>
    <m/>
    <x v="1"/>
    <m/>
    <n v="183167"/>
    <x v="909"/>
    <m/>
    <m/>
    <m/>
    <s v="ÓLEOS/LUBRIF./GRAXA"/>
    <m/>
    <s v="QUIMICO"/>
    <s v="QUIMICO"/>
    <n v="440"/>
    <n v="200"/>
    <n v="400"/>
    <n v="6.32"/>
    <n v="2780.8"/>
    <n v="1264"/>
    <m/>
    <m/>
    <m/>
    <m/>
    <m/>
    <s v="Estoque Conforme"/>
    <s v="SEM SOLICITACAO / FABBISOGNO'S"/>
    <m/>
  </r>
  <r>
    <n v="953"/>
    <x v="1"/>
    <m/>
    <s v="ALM00912"/>
    <s v=""/>
    <x v="2"/>
    <s v="755801800679"/>
    <s v="800679"/>
    <x v="910"/>
    <m/>
    <m/>
    <m/>
    <m/>
    <m/>
    <s v="S301"/>
    <s v="SUPORTE 1"/>
    <n v="10"/>
    <n v="10"/>
    <n v="200"/>
    <n v="0"/>
    <n v="0"/>
    <n v="0"/>
    <n v="106"/>
    <m/>
    <m/>
    <m/>
    <m/>
    <s v="Estoque Conforme"/>
    <s v="SEM SOLICITACAO / FABBISOGNO'S"/>
    <m/>
  </r>
  <r>
    <n v="1183"/>
    <x v="1"/>
    <m/>
    <s v="ALM00913"/>
    <s v=""/>
    <x v="2"/>
    <m/>
    <m/>
    <x v="911"/>
    <m/>
    <m/>
    <m/>
    <m/>
    <m/>
    <s v="S602"/>
    <s v="SUPORTE 10"/>
    <n v="0"/>
    <n v="1"/>
    <n v="2"/>
    <n v="0"/>
    <n v="0"/>
    <n v="0"/>
    <n v="1"/>
    <m/>
    <m/>
    <m/>
    <m/>
    <s v="Estoque Não Conforme"/>
    <s v="SEM SOLICITACAO / FABBISOGNO'S"/>
    <m/>
  </r>
  <r>
    <n v="1092"/>
    <x v="1"/>
    <m/>
    <s v="ALM00914"/>
    <s v=""/>
    <x v="2"/>
    <s v="755943172028"/>
    <s v="172028"/>
    <x v="912"/>
    <m/>
    <m/>
    <m/>
    <m/>
    <m/>
    <s v="S302"/>
    <s v="SUPORTE 10"/>
    <n v="20"/>
    <n v="10"/>
    <n v="200"/>
    <n v="0"/>
    <n v="0"/>
    <n v="0"/>
    <n v="40"/>
    <m/>
    <m/>
    <m/>
    <m/>
    <s v="Estoque Conforme"/>
    <s v="SEM SOLICITACAO / FABBISOGNO'S"/>
    <m/>
  </r>
  <r>
    <n v="1114"/>
    <x v="1"/>
    <m/>
    <s v="ALM00915"/>
    <s v=""/>
    <x v="1"/>
    <m/>
    <m/>
    <x v="913"/>
    <m/>
    <m/>
    <m/>
    <m/>
    <m/>
    <s v="S603"/>
    <s v="SUPORTE 11"/>
    <n v="0"/>
    <n v="2"/>
    <n v="4"/>
    <n v="400"/>
    <n v="0"/>
    <n v="800"/>
    <n v="2"/>
    <m/>
    <m/>
    <m/>
    <m/>
    <s v="Estoque Não Conforme"/>
    <s v="SEM SOLICITACAO / FABBISOGNO'S"/>
    <m/>
  </r>
  <r>
    <n v="1115"/>
    <x v="1"/>
    <m/>
    <s v="ALM00916"/>
    <s v=""/>
    <x v="1"/>
    <m/>
    <m/>
    <x v="914"/>
    <m/>
    <m/>
    <m/>
    <m/>
    <m/>
    <s v="S603"/>
    <s v="SUPORTE 11"/>
    <n v="0"/>
    <n v="1"/>
    <n v="4"/>
    <n v="0"/>
    <n v="0"/>
    <n v="0"/>
    <n v="2"/>
    <m/>
    <m/>
    <m/>
    <m/>
    <s v="Estoque Não Conforme"/>
    <s v="SEM SOLICITACAO / FABBISOGNO'S"/>
    <m/>
  </r>
  <r>
    <n v="1118"/>
    <x v="1"/>
    <m/>
    <s v="ALM00917"/>
    <s v="ROBO DE COLA - M16"/>
    <x v="2"/>
    <m/>
    <m/>
    <x v="915"/>
    <m/>
    <m/>
    <m/>
    <m/>
    <m/>
    <s v="S602"/>
    <s v="SUPORTE 12"/>
    <n v="10"/>
    <n v="2"/>
    <n v="4"/>
    <n v="0"/>
    <n v="0"/>
    <n v="0"/>
    <n v="2"/>
    <m/>
    <m/>
    <m/>
    <m/>
    <s v="Estoque Conforme"/>
    <s v="SEM SOLICITACAO / FABBISOGNO'S"/>
    <m/>
  </r>
  <r>
    <n v="1119"/>
    <x v="1"/>
    <s v="A"/>
    <s v="ALM00918"/>
    <s v="ROBO DE COLA - M17"/>
    <x v="2"/>
    <m/>
    <m/>
    <x v="916"/>
    <m/>
    <m/>
    <m/>
    <m/>
    <m/>
    <s v="S602"/>
    <s v="SUPORTE 12"/>
    <n v="0"/>
    <n v="2"/>
    <n v="4"/>
    <n v="0"/>
    <n v="0"/>
    <n v="0"/>
    <n v="2"/>
    <m/>
    <m/>
    <m/>
    <m/>
    <s v="Estoque Não Conforme"/>
    <s v="COM SOLICITACAO / EM PROCESSO DE COMPRAS"/>
    <s v=" FA-3225/19"/>
  </r>
  <r>
    <n v="1120"/>
    <x v="1"/>
    <s v="A"/>
    <s v="ALM00919"/>
    <s v="TRUNCK LOAD - M27"/>
    <x v="2"/>
    <m/>
    <m/>
    <x v="917"/>
    <m/>
    <m/>
    <m/>
    <m/>
    <m/>
    <s v="S602"/>
    <s v="SUPORTE 12"/>
    <n v="0"/>
    <n v="1"/>
    <n v="4"/>
    <n v="0"/>
    <n v="0"/>
    <n v="0"/>
    <n v="2"/>
    <m/>
    <m/>
    <m/>
    <m/>
    <s v="Estoque Não Conforme"/>
    <s v="COM SOLICITACAO / EM PROCESSO DE COMPRAS"/>
    <s v=" FA-3225/19"/>
  </r>
  <r>
    <n v="1122"/>
    <x v="1"/>
    <s v="A"/>
    <s v="ALM00920"/>
    <s v="TRUNCK LOAD - M27"/>
    <x v="2"/>
    <m/>
    <m/>
    <x v="918"/>
    <m/>
    <m/>
    <m/>
    <m/>
    <m/>
    <s v="S601"/>
    <s v="SUPORTE 12"/>
    <n v="0"/>
    <n v="1"/>
    <n v="4"/>
    <n v="0"/>
    <n v="0"/>
    <n v="0"/>
    <n v="2"/>
    <m/>
    <m/>
    <m/>
    <m/>
    <s v="Estoque Não Conforme"/>
    <s v="SEM SOLICITACAO / FABBISOGNO'S"/>
    <m/>
  </r>
  <r>
    <n v="1111"/>
    <x v="1"/>
    <m/>
    <s v="ALM00921"/>
    <s v="INNER DASH"/>
    <x v="1"/>
    <m/>
    <m/>
    <x v="919"/>
    <m/>
    <m/>
    <m/>
    <m/>
    <m/>
    <s v="CAIXA"/>
    <s v="SUPORTE 13"/>
    <n v="0"/>
    <n v="3"/>
    <n v="4"/>
    <n v="0"/>
    <n v="0"/>
    <n v="0"/>
    <n v="4"/>
    <m/>
    <m/>
    <m/>
    <m/>
    <s v="Estoque Não Conforme"/>
    <s v="SEM SOLICITACAO / FABBISOGNO'S"/>
    <m/>
  </r>
  <r>
    <n v="1112"/>
    <x v="1"/>
    <m/>
    <s v="ALM00922"/>
    <s v="INNER DASH"/>
    <x v="1"/>
    <m/>
    <m/>
    <x v="920"/>
    <m/>
    <m/>
    <m/>
    <m/>
    <m/>
    <s v="CAIXA"/>
    <s v="SUPORTE 13"/>
    <n v="0"/>
    <n v="2"/>
    <n v="4"/>
    <n v="0"/>
    <n v="0"/>
    <n v="0"/>
    <n v="3"/>
    <m/>
    <m/>
    <m/>
    <m/>
    <s v="Estoque Não Conforme"/>
    <s v="SEM SOLICITACAO / FABBISOGNO'S"/>
    <m/>
  </r>
  <r>
    <n v="1093"/>
    <x v="1"/>
    <m/>
    <s v="ALM00923"/>
    <s v="GERAL"/>
    <x v="2"/>
    <s v="755801800677"/>
    <s v="800677"/>
    <x v="921"/>
    <m/>
    <m/>
    <m/>
    <m/>
    <m/>
    <s v="S202"/>
    <s v="SUPORTE 15"/>
    <n v="160"/>
    <n v="20"/>
    <n v="200"/>
    <n v="0"/>
    <n v="0"/>
    <n v="0"/>
    <n v="172"/>
    <m/>
    <m/>
    <m/>
    <m/>
    <s v="Estoque Conforme"/>
    <s v="SEM SOLICITACAO / FABBISOGNO'S"/>
    <m/>
  </r>
  <r>
    <n v="1094"/>
    <x v="1"/>
    <m/>
    <s v="ALM00924"/>
    <s v="GERAL"/>
    <x v="2"/>
    <s v="755801800678"/>
    <s v="800678"/>
    <x v="922"/>
    <m/>
    <m/>
    <m/>
    <m/>
    <m/>
    <s v="S103"/>
    <s v="SUPORTE 16"/>
    <n v="210"/>
    <n v="20"/>
    <n v="200"/>
    <n v="0"/>
    <n v="0"/>
    <n v="0"/>
    <n v="35"/>
    <m/>
    <m/>
    <m/>
    <m/>
    <s v="Estoque Conforme"/>
    <s v="SEM SOLICITACAO / FABBISOGNO'S"/>
    <m/>
  </r>
  <r>
    <n v="1095"/>
    <x v="1"/>
    <m/>
    <s v="ALM00925"/>
    <s v=""/>
    <x v="2"/>
    <m/>
    <m/>
    <x v="923"/>
    <m/>
    <m/>
    <m/>
    <m/>
    <m/>
    <s v="S101"/>
    <s v="SUPORTE 17"/>
    <n v="110"/>
    <n v="20"/>
    <n v="200"/>
    <n v="0"/>
    <n v="0"/>
    <n v="0"/>
    <n v="48"/>
    <m/>
    <m/>
    <m/>
    <m/>
    <s v="Estoque Conforme"/>
    <s v="SEM SOLICITACAO / FABBISOGNO'S"/>
    <m/>
  </r>
  <r>
    <n v="1361"/>
    <x v="1"/>
    <m/>
    <s v="ALM00926"/>
    <s v=""/>
    <x v="2"/>
    <m/>
    <m/>
    <x v="924"/>
    <m/>
    <m/>
    <m/>
    <m/>
    <m/>
    <s v="CAIXA"/>
    <s v="SUPORTE 18"/>
    <n v="10"/>
    <m/>
    <n v="1"/>
    <n v="0"/>
    <n v="0"/>
    <n v="0"/>
    <n v="3"/>
    <n v="2"/>
    <m/>
    <m/>
    <m/>
    <s v="Estoque Conforme"/>
    <s v="SEM SOLICITACAO / FABBISOGNO'S"/>
    <m/>
  </r>
  <r>
    <n v="1100"/>
    <x v="1"/>
    <m/>
    <s v="ALM00927"/>
    <s v=""/>
    <x v="2"/>
    <m/>
    <m/>
    <x v="925"/>
    <m/>
    <m/>
    <m/>
    <m/>
    <m/>
    <s v="CAIXA"/>
    <s v="SUPORTE 19"/>
    <n v="10"/>
    <n v="1"/>
    <n v="4"/>
    <n v="0"/>
    <n v="0"/>
    <n v="0"/>
    <n v="2"/>
    <m/>
    <m/>
    <m/>
    <m/>
    <s v="Estoque Conforme"/>
    <s v="SEM SOLICITACAO / FABBISOGNO'S"/>
    <m/>
  </r>
  <r>
    <n v="1222"/>
    <x v="1"/>
    <m/>
    <s v="ALM00928"/>
    <s v="M33"/>
    <x v="1"/>
    <m/>
    <m/>
    <x v="926"/>
    <m/>
    <m/>
    <m/>
    <m/>
    <m/>
    <s v="CAIXA"/>
    <s v="SUPORTE 19"/>
    <n v="0"/>
    <n v="1"/>
    <n v="5"/>
    <n v="0"/>
    <n v="0"/>
    <n v="0"/>
    <n v="3"/>
    <m/>
    <m/>
    <m/>
    <m/>
    <s v="Estoque Não Conforme"/>
    <s v="SEM SOLICITACAO / FABBISOGNO'S"/>
    <m/>
  </r>
  <r>
    <n v="1099"/>
    <x v="1"/>
    <m/>
    <s v="ALM00929"/>
    <s v="ROBO DE COLA"/>
    <x v="2"/>
    <m/>
    <m/>
    <x v="927"/>
    <m/>
    <m/>
    <m/>
    <m/>
    <m/>
    <s v="CAIXA"/>
    <s v="SUPORTE 19"/>
    <n v="0"/>
    <n v="1"/>
    <n v="3"/>
    <n v="0"/>
    <n v="0"/>
    <n v="0"/>
    <n v="1"/>
    <m/>
    <m/>
    <m/>
    <m/>
    <s v="Estoque Não Conforme"/>
    <s v="SEM SOLICITACAO / FABBISOGNO'S"/>
    <m/>
  </r>
  <r>
    <n v="955"/>
    <x v="1"/>
    <m/>
    <s v="ALM00930"/>
    <s v="GERAL"/>
    <x v="2"/>
    <s v="755801165223"/>
    <s v="165223"/>
    <x v="928"/>
    <m/>
    <m/>
    <m/>
    <m/>
    <m/>
    <s v="CAIXA"/>
    <s v="SUPORTE 2"/>
    <n v="0"/>
    <n v="30"/>
    <n v="200"/>
    <n v="0"/>
    <n v="0"/>
    <n v="0"/>
    <n v="38"/>
    <m/>
    <m/>
    <m/>
    <m/>
    <s v="Estoque Não Conforme"/>
    <s v="SEM SOLICITACAO / FABBISOGNO'S"/>
    <m/>
  </r>
  <r>
    <n v="1101"/>
    <x v="1"/>
    <m/>
    <s v="ALM00931"/>
    <s v="AQUECEDORES"/>
    <x v="1"/>
    <m/>
    <m/>
    <x v="929"/>
    <m/>
    <m/>
    <m/>
    <m/>
    <m/>
    <s v="CAIXA"/>
    <s v="SUPORTE 20"/>
    <n v="3"/>
    <n v="5"/>
    <n v="6"/>
    <n v="0"/>
    <n v="0"/>
    <n v="0"/>
    <n v="5"/>
    <m/>
    <m/>
    <m/>
    <m/>
    <s v="Estoque em Nivel Minimo"/>
    <s v="SEM SOLICITACAO / FABBISOGNO'S"/>
    <m/>
  </r>
  <r>
    <n v="1102"/>
    <x v="1"/>
    <m/>
    <s v="ALM00932"/>
    <s v="AQUECEDORES"/>
    <x v="1"/>
    <m/>
    <m/>
    <x v="930"/>
    <m/>
    <m/>
    <m/>
    <m/>
    <m/>
    <s v="CAIXA"/>
    <s v="SUPORTE 20"/>
    <n v="5"/>
    <n v="5"/>
    <n v="6"/>
    <n v="0"/>
    <n v="0"/>
    <n v="0"/>
    <n v="7"/>
    <m/>
    <m/>
    <m/>
    <m/>
    <s v="Estoque Conforme"/>
    <s v="SEM SOLICITACAO / FABBISOGNO'S"/>
    <m/>
  </r>
  <r>
    <n v="1232"/>
    <x v="1"/>
    <m/>
    <s v="ALM00933"/>
    <s v=""/>
    <x v="1"/>
    <m/>
    <m/>
    <x v="931"/>
    <m/>
    <m/>
    <m/>
    <m/>
    <m/>
    <s v="CAIXA"/>
    <s v="SUPORTE 20"/>
    <n v="5"/>
    <n v="4"/>
    <n v="50"/>
    <n v="0"/>
    <n v="0"/>
    <n v="0"/>
    <n v="8"/>
    <m/>
    <m/>
    <m/>
    <m/>
    <s v="Estoque Conforme"/>
    <s v="SEM SOLICITACAO / FABBISOGNO'S"/>
    <m/>
  </r>
  <r>
    <n v="1104"/>
    <x v="1"/>
    <m/>
    <s v="ALM00934"/>
    <s v="AQUECEDORES"/>
    <x v="1"/>
    <s v="755943173327"/>
    <s v="173327"/>
    <x v="932"/>
    <m/>
    <m/>
    <m/>
    <m/>
    <m/>
    <s v="CAIXA"/>
    <s v="SUPORTE 20"/>
    <n v="10"/>
    <n v="5"/>
    <n v="70"/>
    <n v="0"/>
    <n v="0"/>
    <n v="0"/>
    <n v="21.5"/>
    <m/>
    <m/>
    <m/>
    <m/>
    <s v="Estoque Conforme"/>
    <s v="SEM SOLICITACAO / FABBISOGNO'S"/>
    <m/>
  </r>
  <r>
    <n v="1110"/>
    <x v="1"/>
    <m/>
    <s v="ALM00935"/>
    <s v=""/>
    <x v="1"/>
    <m/>
    <m/>
    <x v="933"/>
    <m/>
    <m/>
    <m/>
    <m/>
    <m/>
    <s v="CAIXA"/>
    <s v="SUPORTE 21"/>
    <n v="2"/>
    <n v="1"/>
    <n v="4"/>
    <n v="0"/>
    <n v="0"/>
    <n v="0"/>
    <n v="1"/>
    <m/>
    <m/>
    <m/>
    <m/>
    <s v="Estoque Conforme"/>
    <s v="SEM SOLICITACAO / FABBISOGNO'S"/>
    <m/>
  </r>
  <r>
    <n v="1107"/>
    <x v="1"/>
    <m/>
    <s v="ALM00936"/>
    <s v=""/>
    <x v="1"/>
    <m/>
    <m/>
    <x v="934"/>
    <m/>
    <m/>
    <m/>
    <m/>
    <m/>
    <s v="CAIXA"/>
    <s v="SUPORTE 21"/>
    <n v="0"/>
    <n v="2"/>
    <n v="4"/>
    <n v="0"/>
    <n v="0"/>
    <n v="0"/>
    <n v="2"/>
    <m/>
    <m/>
    <m/>
    <m/>
    <s v="Estoque Não Conforme"/>
    <s v="SEM SOLICITACAO / FABBISOGNO'S"/>
    <m/>
  </r>
  <r>
    <n v="1106"/>
    <x v="1"/>
    <m/>
    <s v="ALM00937"/>
    <s v=""/>
    <x v="1"/>
    <m/>
    <m/>
    <x v="935"/>
    <m/>
    <m/>
    <m/>
    <m/>
    <m/>
    <s v="CAIXA"/>
    <s v="SUPORTE 21"/>
    <n v="0"/>
    <n v="2"/>
    <n v="3"/>
    <n v="0"/>
    <n v="0"/>
    <n v="0"/>
    <n v="4"/>
    <m/>
    <m/>
    <m/>
    <m/>
    <s v="Estoque Não Conforme"/>
    <s v="SEM SOLICITACAO / FABBISOGNO'S"/>
    <m/>
  </r>
  <r>
    <n v="956"/>
    <x v="1"/>
    <m/>
    <s v="ALM00938"/>
    <s v=""/>
    <x v="2"/>
    <s v="758306800905"/>
    <s v="800905"/>
    <x v="936"/>
    <m/>
    <m/>
    <m/>
    <m/>
    <m/>
    <s v="SUPORTE"/>
    <s v="SUPORTE 3"/>
    <n v="100"/>
    <n v="10"/>
    <n v="200"/>
    <n v="0"/>
    <n v="0"/>
    <n v="0"/>
    <n v="27"/>
    <m/>
    <m/>
    <m/>
    <m/>
    <s v="Estoque Conforme"/>
    <s v="SEM SOLICITACAO / FABBISOGNO'S"/>
    <m/>
  </r>
  <r>
    <n v="957"/>
    <x v="1"/>
    <m/>
    <s v="ALM00939"/>
    <s v=""/>
    <x v="1"/>
    <m/>
    <m/>
    <x v="937"/>
    <m/>
    <m/>
    <m/>
    <m/>
    <m/>
    <s v="S602"/>
    <s v="SUPORTE 4"/>
    <n v="0"/>
    <n v="2"/>
    <n v="3"/>
    <n v="0"/>
    <n v="0"/>
    <n v="0"/>
    <n v="4"/>
    <m/>
    <m/>
    <m/>
    <m/>
    <s v="Estoque Não Conforme"/>
    <s v="SEM SOLICITACAO / FABBISOGNO'S"/>
    <m/>
  </r>
  <r>
    <n v="958"/>
    <x v="1"/>
    <m/>
    <s v="ALM00940"/>
    <s v=""/>
    <x v="1"/>
    <m/>
    <m/>
    <x v="938"/>
    <m/>
    <m/>
    <m/>
    <m/>
    <m/>
    <s v="S602"/>
    <s v="SUPORTE 4"/>
    <n v="0"/>
    <n v="2"/>
    <n v="3"/>
    <n v="0"/>
    <n v="0"/>
    <n v="0"/>
    <n v="2"/>
    <m/>
    <m/>
    <m/>
    <m/>
    <s v="Estoque Não Conforme"/>
    <s v="SEM SOLICITACAO / FABBISOGNO'S"/>
    <m/>
  </r>
  <r>
    <n v="1103"/>
    <x v="1"/>
    <m/>
    <s v="ALM00941"/>
    <s v="AQUECEDORES"/>
    <x v="1"/>
    <s v="755943170013"/>
    <s v="170013"/>
    <x v="939"/>
    <m/>
    <m/>
    <m/>
    <m/>
    <m/>
    <s v="CAIXA"/>
    <s v="SUPORTE 5"/>
    <n v="20"/>
    <n v="5"/>
    <n v="70"/>
    <n v="0"/>
    <n v="0"/>
    <n v="0"/>
    <n v="24"/>
    <m/>
    <m/>
    <m/>
    <m/>
    <s v="Estoque Conforme"/>
    <s v="SEM SOLICITACAO / FABBISOGNO'S"/>
    <m/>
  </r>
  <r>
    <n v="1077"/>
    <x v="1"/>
    <m/>
    <s v="ALM00942"/>
    <s v="GLASUTEC"/>
    <x v="1"/>
    <m/>
    <m/>
    <x v="940"/>
    <m/>
    <s v="CONTROLE POR NIVEL"/>
    <m/>
    <m/>
    <m/>
    <s v="S701"/>
    <s v="SUPORTE 6"/>
    <n v="1"/>
    <n v="1"/>
    <n v="3"/>
    <n v="0"/>
    <n v="0"/>
    <n v="0"/>
    <n v="1"/>
    <m/>
    <m/>
    <m/>
    <m/>
    <s v="Estoque Conforme"/>
    <s v="SEM SOLICITACAO / FABBISOGNO'S"/>
    <m/>
  </r>
  <r>
    <n v="1078"/>
    <x v="1"/>
    <m/>
    <s v="ALM00943"/>
    <s v="GLASUTEC"/>
    <x v="1"/>
    <m/>
    <m/>
    <x v="941"/>
    <m/>
    <s v="CONTROLE POR NIVEL"/>
    <m/>
    <m/>
    <m/>
    <s v="S703"/>
    <s v="SUPORTE 6"/>
    <n v="2"/>
    <n v="1"/>
    <n v="3"/>
    <n v="0"/>
    <n v="0"/>
    <n v="0"/>
    <n v="2"/>
    <m/>
    <m/>
    <m/>
    <m/>
    <s v="Estoque Conforme"/>
    <s v="SEM SOLICITACAO / FABBISOGNO'S"/>
    <m/>
  </r>
  <r>
    <n v="1079"/>
    <x v="1"/>
    <m/>
    <s v="ALM00944"/>
    <s v="GLASUTEC"/>
    <x v="1"/>
    <s v="702692165254"/>
    <s v="165254"/>
    <x v="942"/>
    <m/>
    <s v="CONTROLE POR NIVEL"/>
    <m/>
    <m/>
    <m/>
    <s v="S701"/>
    <s v="SUPORTE 6"/>
    <n v="1"/>
    <n v="1"/>
    <n v="3"/>
    <n v="0"/>
    <n v="0"/>
    <n v="0"/>
    <n v="1"/>
    <m/>
    <m/>
    <m/>
    <m/>
    <s v="Estoque Conforme"/>
    <s v="SEM SOLICITACAO / FABBISOGNO'S"/>
    <m/>
  </r>
  <r>
    <n v="1080"/>
    <x v="1"/>
    <m/>
    <s v="ALM00945"/>
    <s v="GLASUTEC"/>
    <x v="1"/>
    <s v="702692165252"/>
    <s v="165252"/>
    <x v="943"/>
    <m/>
    <s v="CONTROLE POR NIVEL"/>
    <m/>
    <m/>
    <m/>
    <s v="S701"/>
    <s v="SUPORTE 6"/>
    <n v="3"/>
    <n v="1"/>
    <n v="3"/>
    <n v="0"/>
    <n v="0"/>
    <n v="0"/>
    <n v="3"/>
    <m/>
    <m/>
    <m/>
    <m/>
    <s v="Estoque Conforme"/>
    <s v="SEM SOLICITACAO / FABBISOGNO'S"/>
    <m/>
  </r>
  <r>
    <n v="1081"/>
    <x v="1"/>
    <m/>
    <s v="ALM00946"/>
    <s v="GLASUTEC"/>
    <x v="1"/>
    <s v="702692165253"/>
    <s v="165253"/>
    <x v="944"/>
    <m/>
    <s v="CONTROLE POR NIVEL"/>
    <m/>
    <m/>
    <m/>
    <s v="S701"/>
    <s v="SUPORTE 6"/>
    <n v="1"/>
    <n v="1"/>
    <n v="3"/>
    <n v="0"/>
    <n v="0"/>
    <n v="0"/>
    <n v="3"/>
    <m/>
    <m/>
    <m/>
    <m/>
    <s v="Estoque Conforme"/>
    <s v="SEM SOLICITACAO / FABBISOGNO'S"/>
    <m/>
  </r>
  <r>
    <n v="1083"/>
    <x v="1"/>
    <m/>
    <s v="ALM00947"/>
    <s v="GLASUTEC"/>
    <x v="1"/>
    <m/>
    <m/>
    <x v="945"/>
    <m/>
    <s v="CONTROLE POR NIVEL"/>
    <m/>
    <m/>
    <m/>
    <s v="S703"/>
    <s v="SUPORTE 6"/>
    <n v="0"/>
    <n v="2"/>
    <n v="3"/>
    <n v="0"/>
    <n v="0"/>
    <n v="0"/>
    <n v="3"/>
    <m/>
    <m/>
    <m/>
    <m/>
    <s v="Estoque Não Conforme"/>
    <s v="COM SOLICITACAO / EM PROCESSO DE COMPRAS"/>
    <s v="3377/19"/>
  </r>
  <r>
    <n v="1084"/>
    <x v="1"/>
    <m/>
    <s v="ALM00948"/>
    <s v="AQUECEDOR"/>
    <x v="1"/>
    <s v="702692165255"/>
    <s v="165255"/>
    <x v="946"/>
    <m/>
    <s v="CONTROLE POR NIVEL"/>
    <m/>
    <m/>
    <m/>
    <s v="S703"/>
    <s v="SUPORTE 6"/>
    <n v="6"/>
    <n v="2"/>
    <n v="3"/>
    <n v="230"/>
    <n v="1380"/>
    <n v="460"/>
    <n v="2"/>
    <m/>
    <m/>
    <m/>
    <m/>
    <s v="Estoque Conforme"/>
    <s v="SEM SOLICITACAO / FABBISOGNO'S"/>
    <m/>
  </r>
  <r>
    <n v="1085"/>
    <x v="1"/>
    <m/>
    <s v="ALM00949"/>
    <s v="GLASUTEC"/>
    <x v="1"/>
    <s v="757510169964"/>
    <s v="169964"/>
    <x v="947"/>
    <m/>
    <s v="CONTROLE POR NIVEL"/>
    <m/>
    <m/>
    <m/>
    <s v="S704"/>
    <s v="SUPORTE 6"/>
    <n v="3"/>
    <n v="1"/>
    <n v="3"/>
    <n v="0"/>
    <n v="0"/>
    <n v="0"/>
    <n v="3"/>
    <m/>
    <m/>
    <m/>
    <m/>
    <s v="Estoque Conforme"/>
    <s v="SEM SOLICITACAO / FABBISOGNO'S"/>
    <m/>
  </r>
  <r>
    <n v="1086"/>
    <x v="1"/>
    <m/>
    <s v="ALM00950"/>
    <s v="CANNON - M00"/>
    <x v="1"/>
    <m/>
    <m/>
    <x v="948"/>
    <m/>
    <s v="CONTROLE POR NIVEL"/>
    <m/>
    <m/>
    <m/>
    <s v="S702"/>
    <s v="SUPORTE 6"/>
    <n v="1"/>
    <n v="2"/>
    <n v="3"/>
    <n v="0"/>
    <n v="0"/>
    <n v="0"/>
    <n v="4"/>
    <m/>
    <m/>
    <m/>
    <m/>
    <s v="Estoque em Nivel Minimo"/>
    <s v="COM SOLICITACAO / EM PROCESSO DE COMPRAS"/>
    <s v="3377/19"/>
  </r>
  <r>
    <n v="1087"/>
    <x v="1"/>
    <s v="A"/>
    <s v="ALM00951"/>
    <s v="CANNON - M01"/>
    <x v="1"/>
    <s v="757510169963"/>
    <s v="169963"/>
    <x v="949"/>
    <m/>
    <s v="CONTROLE POR NIVEL"/>
    <m/>
    <m/>
    <m/>
    <s v="S701"/>
    <s v="SUPORTE 6"/>
    <n v="3"/>
    <n v="2"/>
    <n v="3"/>
    <n v="0"/>
    <n v="0"/>
    <n v="0"/>
    <n v="3"/>
    <m/>
    <m/>
    <m/>
    <m/>
    <s v="Estoque Conforme"/>
    <s v="SEM SOLICITACAO / FABBISOGNO'S"/>
    <m/>
  </r>
  <r>
    <n v="1088"/>
    <x v="1"/>
    <m/>
    <s v="ALM00952"/>
    <s v="GLASUTEC"/>
    <x v="1"/>
    <s v="757510165252"/>
    <s v="165252"/>
    <x v="950"/>
    <m/>
    <s v="CONTROLE POR NIVEL"/>
    <m/>
    <m/>
    <m/>
    <s v="S703"/>
    <s v="SUPORTE 6"/>
    <n v="5"/>
    <n v="5"/>
    <n v="3"/>
    <n v="0"/>
    <n v="0"/>
    <n v="0"/>
    <n v="15"/>
    <m/>
    <m/>
    <m/>
    <m/>
    <s v="Estoque Conforme"/>
    <s v="SEM SOLICITACAO / FABBISOGNO'S"/>
    <m/>
  </r>
  <r>
    <n v="1082"/>
    <x v="1"/>
    <m/>
    <s v="ALM00953"/>
    <s v="GLASUTEC"/>
    <x v="1"/>
    <m/>
    <m/>
    <x v="951"/>
    <m/>
    <s v="CONTROLE POR NIVEL"/>
    <m/>
    <m/>
    <m/>
    <m/>
    <s v="SUPORTE 6"/>
    <n v="0"/>
    <n v="1"/>
    <n v="3"/>
    <n v="0"/>
    <n v="0"/>
    <n v="0"/>
    <n v="3"/>
    <m/>
    <m/>
    <m/>
    <m/>
    <s v="Estoque Não Conforme"/>
    <s v="COM SOLICITACAO / EM PROCESSO DE COMPRAS"/>
    <s v="3377/19"/>
  </r>
  <r>
    <n v="1105"/>
    <x v="1"/>
    <m/>
    <s v="ALM00954"/>
    <s v="AQUECEDORES"/>
    <x v="1"/>
    <s v="755943173328"/>
    <s v="173328"/>
    <x v="952"/>
    <m/>
    <m/>
    <m/>
    <m/>
    <m/>
    <s v="CAIXA"/>
    <s v="SUPORTE 7"/>
    <n v="0"/>
    <n v="5"/>
    <n v="70"/>
    <n v="0"/>
    <n v="0"/>
    <n v="0"/>
    <n v="18"/>
    <m/>
    <m/>
    <m/>
    <m/>
    <s v="Estoque Não Conforme"/>
    <s v="SEM SOLICITACAO / FABBISOGNO'S"/>
    <m/>
  </r>
  <r>
    <n v="1089"/>
    <x v="1"/>
    <m/>
    <s v="ALM00955"/>
    <s v="INJETORA CHINESA"/>
    <x v="1"/>
    <m/>
    <m/>
    <x v="953"/>
    <m/>
    <m/>
    <m/>
    <m/>
    <m/>
    <s v="E1105"/>
    <s v="SUPORTE 7"/>
    <n v="0"/>
    <n v="10"/>
    <n v="25"/>
    <n v="0"/>
    <n v="0"/>
    <n v="0"/>
    <n v="23"/>
    <m/>
    <m/>
    <m/>
    <m/>
    <s v="Estoque Não Conforme"/>
    <s v="SEM SOLICITACAO / FABBISOGNO'S"/>
    <m/>
  </r>
  <r>
    <n v="1090"/>
    <x v="1"/>
    <m/>
    <s v="ALM00956"/>
    <s v="GERAL"/>
    <x v="2"/>
    <s v="755801800676"/>
    <s v="800676"/>
    <x v="954"/>
    <m/>
    <m/>
    <m/>
    <m/>
    <m/>
    <s v="SUPORTE"/>
    <s v="SUPORTE 8"/>
    <n v="400"/>
    <n v="10"/>
    <n v="200"/>
    <n v="0"/>
    <n v="0"/>
    <n v="0"/>
    <n v="55"/>
    <m/>
    <m/>
    <m/>
    <m/>
    <s v="Estoque Conforme"/>
    <s v="SEM SOLICITACAO / FABBISOGNO'S"/>
    <m/>
  </r>
  <r>
    <n v="1091"/>
    <x v="1"/>
    <m/>
    <s v="ALM00957"/>
    <s v="GERAL"/>
    <x v="2"/>
    <s v="755943172029"/>
    <s v="172029"/>
    <x v="955"/>
    <m/>
    <m/>
    <m/>
    <m/>
    <m/>
    <s v="SUPORTE"/>
    <s v="SUPORTE 9"/>
    <n v="0"/>
    <n v="10"/>
    <n v="200"/>
    <m/>
    <n v="0"/>
    <n v="0"/>
    <n v="50"/>
    <m/>
    <m/>
    <m/>
    <m/>
    <s v="Estoque Não Conforme"/>
    <s v="SEM SOLICITACAO / FABBISOGNO'S"/>
    <m/>
  </r>
  <r>
    <s v="[vago]"/>
    <x v="1"/>
    <m/>
    <s v="ALM00958"/>
    <m/>
    <x v="0"/>
    <m/>
    <m/>
    <x v="956"/>
    <m/>
    <m/>
    <m/>
    <m/>
    <m/>
    <s v="B1105"/>
    <m/>
    <n v="0"/>
    <n v="1"/>
    <n v="3"/>
    <m/>
    <n v="0"/>
    <n v="0"/>
    <m/>
    <m/>
    <m/>
    <m/>
    <m/>
    <s v="Estoque Não Conforme"/>
    <s v="SEM SOLICITACAO / FABBISOGNO'S"/>
    <m/>
  </r>
  <r>
    <s v="[vago]"/>
    <x v="1"/>
    <m/>
    <s v="ALM00959"/>
    <s v="GERAL"/>
    <x v="1"/>
    <m/>
    <m/>
    <x v="957"/>
    <m/>
    <m/>
    <m/>
    <m/>
    <m/>
    <s v="E1101"/>
    <s v="E0-2-4"/>
    <n v="0"/>
    <n v="10"/>
    <n v="20"/>
    <m/>
    <n v="0"/>
    <n v="0"/>
    <m/>
    <m/>
    <m/>
    <m/>
    <m/>
    <s v="Estoque Não Conforme"/>
    <s v="COM SOLICITACAO / EM PROCESSO DE COMPRAS"/>
    <s v="3374/19"/>
  </r>
  <r>
    <s v="[vago]"/>
    <x v="1"/>
    <m/>
    <s v="ALM00960"/>
    <s v="ELETRICO"/>
    <x v="1"/>
    <m/>
    <m/>
    <x v="958"/>
    <m/>
    <m/>
    <m/>
    <m/>
    <m/>
    <s v="A2404"/>
    <s v="B3-4-2.1"/>
    <n v="6"/>
    <n v="5"/>
    <n v="15"/>
    <m/>
    <n v="0"/>
    <n v="0"/>
    <m/>
    <m/>
    <m/>
    <m/>
    <m/>
    <s v="Estoque Conforme"/>
    <s v="SEM SOLICITACAO / FABBISOGNO'S"/>
    <s v=""/>
  </r>
  <r>
    <s v="[vago]"/>
    <x v="1"/>
    <m/>
    <s v="ALM00961"/>
    <m/>
    <x v="1"/>
    <m/>
    <m/>
    <x v="959"/>
    <m/>
    <m/>
    <m/>
    <m/>
    <m/>
    <s v="C2402"/>
    <s v="F1-3-3"/>
    <n v="1"/>
    <n v="1"/>
    <n v="3"/>
    <m/>
    <n v="0"/>
    <n v="0"/>
    <m/>
    <m/>
    <m/>
    <m/>
    <m/>
    <s v="Estoque Conforme"/>
    <s v="COM SOLICITACAO / EM PROCESSO DE COMPRAS"/>
    <s v="3374/19"/>
  </r>
  <r>
    <s v="[vago]"/>
    <x v="1"/>
    <m/>
    <s v="ALM00962"/>
    <s v="W.J - M22/M41"/>
    <x v="1"/>
    <m/>
    <m/>
    <x v="960"/>
    <m/>
    <m/>
    <m/>
    <m/>
    <m/>
    <s v="D2203"/>
    <s v="H1-3-2.1"/>
    <n v="4"/>
    <n v="5"/>
    <n v="10"/>
    <m/>
    <n v="0"/>
    <n v="0"/>
    <m/>
    <m/>
    <m/>
    <m/>
    <m/>
    <s v="Estoque em Nivel Minimo"/>
    <s v="SEM SOLICITACAO / FABBISOGNO'S"/>
    <s v=""/>
  </r>
  <r>
    <s v="[vago]"/>
    <x v="1"/>
    <m/>
    <s v="ALM00963"/>
    <s v="M01"/>
    <x v="1"/>
    <m/>
    <m/>
    <x v="961"/>
    <m/>
    <m/>
    <m/>
    <m/>
    <m/>
    <s v="D2106"/>
    <s v="E1-2-1"/>
    <n v="6"/>
    <n v="5"/>
    <n v="10"/>
    <m/>
    <n v="0"/>
    <n v="0"/>
    <m/>
    <m/>
    <m/>
    <m/>
    <m/>
    <s v="Estoque Conforme"/>
    <s v="SEM SOLICITACAO / FABBISOGNO'S"/>
    <s v=""/>
  </r>
  <r>
    <s v="[vago]"/>
    <x v="1"/>
    <m/>
    <s v="ALM00964"/>
    <m/>
    <x v="1"/>
    <m/>
    <m/>
    <x v="962"/>
    <m/>
    <m/>
    <m/>
    <m/>
    <m/>
    <s v="C1403"/>
    <s v="E1-3-1"/>
    <n v="1"/>
    <n v="2"/>
    <n v="5"/>
    <m/>
    <n v="0"/>
    <n v="0"/>
    <m/>
    <m/>
    <m/>
    <m/>
    <m/>
    <s v="Estoque em Nivel Minimo"/>
    <s v="SEM SOLICITACAO / FABBISOGNO'S"/>
    <s v=""/>
  </r>
  <r>
    <s v="[vago]"/>
    <x v="1"/>
    <m/>
    <s v="ALM00965"/>
    <m/>
    <x v="2"/>
    <m/>
    <m/>
    <x v="963"/>
    <m/>
    <m/>
    <m/>
    <m/>
    <m/>
    <s v="C1404"/>
    <s v="E1-3-3.1"/>
    <n v="3"/>
    <n v="2"/>
    <n v="5"/>
    <m/>
    <n v="0"/>
    <n v="0"/>
    <m/>
    <m/>
    <m/>
    <m/>
    <m/>
    <s v="Estoque Conforme"/>
    <s v="SEM SOLICITACAO / FABBISOGNO'S"/>
    <s v=""/>
  </r>
  <r>
    <s v="[vago]"/>
    <x v="1"/>
    <m/>
    <s v="ALM00966"/>
    <s v="M21"/>
    <x v="1"/>
    <m/>
    <m/>
    <x v="964"/>
    <m/>
    <m/>
    <m/>
    <m/>
    <m/>
    <s v="D2202"/>
    <s v="H1-5-3"/>
    <n v="2"/>
    <n v="2"/>
    <n v="10"/>
    <m/>
    <n v="0"/>
    <n v="0"/>
    <m/>
    <m/>
    <m/>
    <m/>
    <m/>
    <s v="Estoque Conforme"/>
    <s v="SEM SOLICITACAO / FABBISOGNO'S"/>
    <s v=""/>
  </r>
  <r>
    <s v="[vago]"/>
    <x v="1"/>
    <m/>
    <s v="ALM00967"/>
    <s v="M17"/>
    <x v="1"/>
    <m/>
    <m/>
    <x v="965"/>
    <m/>
    <m/>
    <m/>
    <m/>
    <m/>
    <s v="F1203"/>
    <s v="F2-6"/>
    <n v="2"/>
    <n v="1"/>
    <n v="2"/>
    <m/>
    <n v="0"/>
    <n v="0"/>
    <m/>
    <m/>
    <m/>
    <m/>
    <m/>
    <s v="Estoque Conforme"/>
    <s v="SEM SOLICITACAO / FABBISOGNO'S"/>
    <s v=""/>
  </r>
  <r>
    <s v="[vago]"/>
    <x v="1"/>
    <m/>
    <s v="ALM00968"/>
    <m/>
    <x v="1"/>
    <m/>
    <m/>
    <x v="966"/>
    <m/>
    <m/>
    <m/>
    <m/>
    <m/>
    <m/>
    <s v="H3-5-5"/>
    <n v="3"/>
    <n v="2"/>
    <n v="6"/>
    <m/>
    <n v="0"/>
    <n v="0"/>
    <m/>
    <m/>
    <m/>
    <m/>
    <m/>
    <s v="Estoque Conforme"/>
    <s v="SEM SOLICITACAO / FABBISOGNO'S"/>
    <s v=""/>
  </r>
  <r>
    <s v="[vago]"/>
    <x v="1"/>
    <m/>
    <s v="ALM00969"/>
    <s v="MECANICO"/>
    <x v="1"/>
    <m/>
    <m/>
    <x v="967"/>
    <m/>
    <m/>
    <m/>
    <m/>
    <m/>
    <s v="D2404"/>
    <s v="H3-4-4.1"/>
    <n v="4"/>
    <n v="4"/>
    <n v="10"/>
    <m/>
    <n v="0"/>
    <n v="0"/>
    <m/>
    <m/>
    <m/>
    <m/>
    <m/>
    <s v="Estoque Conforme"/>
    <s v="COM SOLICITACAO / EM PROCESSO DE COMPRAS"/>
    <s v="3374/19"/>
  </r>
  <r>
    <s v="[vago]"/>
    <x v="1"/>
    <m/>
    <s v="ALM00970"/>
    <m/>
    <x v="1"/>
    <m/>
    <m/>
    <x v="968"/>
    <m/>
    <m/>
    <m/>
    <m/>
    <m/>
    <s v="E2102"/>
    <m/>
    <n v="1"/>
    <n v="1"/>
    <n v="2"/>
    <m/>
    <n v="0"/>
    <n v="0"/>
    <m/>
    <m/>
    <m/>
    <m/>
    <m/>
    <s v="Estoque Conforme"/>
    <s v="SEM SOLICITACAO / FABBISOGNO'S"/>
    <s v=""/>
  </r>
  <r>
    <s v="[vago]"/>
    <x v="1"/>
    <m/>
    <s v="ALM00971"/>
    <m/>
    <x v="1"/>
    <m/>
    <m/>
    <x v="969"/>
    <m/>
    <m/>
    <m/>
    <m/>
    <m/>
    <s v="E2404"/>
    <s v="D3-3-1.2"/>
    <n v="3"/>
    <n v="2"/>
    <n v="3"/>
    <m/>
    <n v="0"/>
    <n v="0"/>
    <m/>
    <m/>
    <m/>
    <m/>
    <m/>
    <s v="Estoque Conforme"/>
    <s v="SEM SOLICITACAO / FABBISOGNO'S"/>
    <s v=""/>
  </r>
  <r>
    <s v="[vago]"/>
    <x v="1"/>
    <m/>
    <s v="ALM00972"/>
    <m/>
    <x v="1"/>
    <m/>
    <m/>
    <x v="970"/>
    <m/>
    <m/>
    <m/>
    <m/>
    <m/>
    <s v="E2404"/>
    <s v="D3-3-2.3"/>
    <n v="1"/>
    <n v="2"/>
    <n v="3"/>
    <m/>
    <n v="0"/>
    <n v="0"/>
    <m/>
    <m/>
    <m/>
    <m/>
    <m/>
    <s v="Estoque em Nivel Minimo"/>
    <s v="SEM SOLICITACAO / FABBISOGNO'S"/>
    <s v=""/>
  </r>
  <r>
    <s v="[vago]"/>
    <x v="1"/>
    <m/>
    <s v="ALM00973"/>
    <m/>
    <x v="0"/>
    <m/>
    <m/>
    <x v="971"/>
    <m/>
    <m/>
    <m/>
    <m/>
    <m/>
    <s v="A2406"/>
    <s v="C0-4-1"/>
    <n v="9"/>
    <n v="5"/>
    <n v="10"/>
    <m/>
    <n v="0"/>
    <n v="0"/>
    <m/>
    <m/>
    <m/>
    <m/>
    <m/>
    <s v="Estoque Conforme"/>
    <s v="SEM SOLICITACAO / FABBISOGNO'S"/>
    <s v=""/>
  </r>
  <r>
    <s v="[vago]"/>
    <x v="1"/>
    <m/>
    <s v="ALM00974"/>
    <m/>
    <x v="0"/>
    <m/>
    <m/>
    <x v="972"/>
    <m/>
    <m/>
    <m/>
    <m/>
    <m/>
    <s v="A2406"/>
    <s v="C0-4-2"/>
    <n v="14"/>
    <n v="5"/>
    <n v="10"/>
    <m/>
    <n v="0"/>
    <n v="0"/>
    <m/>
    <m/>
    <m/>
    <m/>
    <m/>
    <s v="Estoque Conforme"/>
    <s v="SEM SOLICITACAO / FABBISOGNO'S"/>
    <s v=""/>
  </r>
  <r>
    <s v="[vago]"/>
    <x v="1"/>
    <m/>
    <s v="ALM00975"/>
    <m/>
    <x v="0"/>
    <m/>
    <m/>
    <x v="973"/>
    <m/>
    <m/>
    <m/>
    <m/>
    <m/>
    <s v="A2304"/>
    <s v="?"/>
    <n v="3"/>
    <n v="2"/>
    <n v="6"/>
    <m/>
    <n v="0"/>
    <n v="0"/>
    <m/>
    <m/>
    <m/>
    <m/>
    <m/>
    <s v="Estoque Conforme"/>
    <s v="SEM SOLICITACAO / FABBISOGNO'S"/>
    <s v=""/>
  </r>
  <r>
    <s v="[vago]"/>
    <x v="1"/>
    <m/>
    <s v="ALM00976"/>
    <m/>
    <x v="0"/>
    <m/>
    <m/>
    <x v="974"/>
    <m/>
    <s v="HARTING"/>
    <m/>
    <m/>
    <m/>
    <s v="A2406"/>
    <s v="C0-4-4"/>
    <n v="12"/>
    <n v="2"/>
    <n v="10"/>
    <m/>
    <n v="0"/>
    <n v="0"/>
    <m/>
    <m/>
    <m/>
    <m/>
    <m/>
    <s v="Estoque Conforme"/>
    <s v="SEM SOLICITACAO / FABBISOGNO'S"/>
    <s v=""/>
  </r>
  <r>
    <s v="[vago]"/>
    <x v="1"/>
    <s v="B"/>
    <s v="ALM00977"/>
    <m/>
    <x v="0"/>
    <m/>
    <m/>
    <x v="975"/>
    <m/>
    <m/>
    <m/>
    <m/>
    <m/>
    <s v="A1101"/>
    <s v="A0-1-1"/>
    <n v="1"/>
    <n v="1"/>
    <n v="2"/>
    <m/>
    <n v="0"/>
    <n v="0"/>
    <m/>
    <m/>
    <m/>
    <m/>
    <m/>
    <s v="Estoque Conforme"/>
    <s v="SEM SOLICITACAO / FABBISOGNO'S"/>
    <s v=""/>
  </r>
  <r>
    <s v="[vago]"/>
    <x v="1"/>
    <s v="B"/>
    <s v="ALM00978"/>
    <m/>
    <x v="0"/>
    <m/>
    <m/>
    <x v="976"/>
    <m/>
    <m/>
    <m/>
    <m/>
    <m/>
    <s v="A1102"/>
    <s v="A0-2-4"/>
    <n v="1"/>
    <n v="1"/>
    <n v="3"/>
    <m/>
    <n v="0"/>
    <n v="0"/>
    <m/>
    <m/>
    <m/>
    <m/>
    <m/>
    <s v="Estoque Conforme"/>
    <s v="SEM SOLICITACAO / FABBISOGNO'S"/>
    <s v=""/>
  </r>
  <r>
    <s v="[vago]"/>
    <x v="1"/>
    <m/>
    <s v="ALM00979"/>
    <m/>
    <x v="0"/>
    <m/>
    <m/>
    <x v="977"/>
    <m/>
    <m/>
    <m/>
    <m/>
    <m/>
    <s v="A1102"/>
    <s v="A0-2-2"/>
    <n v="0"/>
    <n v="1"/>
    <n v="2"/>
    <m/>
    <n v="0"/>
    <n v="0"/>
    <m/>
    <m/>
    <m/>
    <m/>
    <m/>
    <s v="Estoque Não Conforme"/>
    <s v="COM SOLICITACAO / EM PROCESSO DE COMPRAS"/>
    <s v="esta em reparo (flateck)"/>
  </r>
  <r>
    <s v="[vago]"/>
    <x v="1"/>
    <m/>
    <s v="ALM00980"/>
    <m/>
    <x v="1"/>
    <m/>
    <m/>
    <x v="978"/>
    <m/>
    <m/>
    <m/>
    <m/>
    <m/>
    <s v="D1103"/>
    <s v="D0-4-1"/>
    <n v="20"/>
    <n v="4"/>
    <n v="20"/>
    <m/>
    <n v="0"/>
    <n v="0"/>
    <m/>
    <m/>
    <m/>
    <m/>
    <m/>
    <s v="Estoque Conforme"/>
    <s v="SEM SOLICITACAO / FABBISOGNO'S"/>
    <s v=""/>
  </r>
  <r>
    <s v="[vago]"/>
    <x v="1"/>
    <s v="C"/>
    <s v="ALM00981"/>
    <m/>
    <x v="0"/>
    <m/>
    <m/>
    <x v="979"/>
    <m/>
    <m/>
    <m/>
    <m/>
    <m/>
    <s v="A1103"/>
    <s v="A0-3-1"/>
    <n v="18"/>
    <n v="1"/>
    <n v="10"/>
    <m/>
    <n v="0"/>
    <n v="0"/>
    <m/>
    <m/>
    <m/>
    <m/>
    <m/>
    <s v="Estoque Conforme"/>
    <s v="SEM SOLICITACAO / FABBISOGNO'S"/>
    <s v=""/>
  </r>
  <r>
    <s v="[vago]"/>
    <x v="1"/>
    <m/>
    <s v="ALM00982"/>
    <m/>
    <x v="1"/>
    <m/>
    <m/>
    <x v="980"/>
    <m/>
    <m/>
    <m/>
    <m/>
    <m/>
    <s v="D2204"/>
    <s v="B0-5-1"/>
    <n v="2"/>
    <m/>
    <m/>
    <m/>
    <n v="0"/>
    <n v="0"/>
    <m/>
    <m/>
    <m/>
    <m/>
    <m/>
    <s v="Estoque Conforme"/>
    <s v="SEM SOLICITACAO / FABBISOGNO'S"/>
    <s v=""/>
  </r>
  <r>
    <s v="[vago]"/>
    <x v="1"/>
    <s v="C"/>
    <s v="ALM00983"/>
    <s v="GERAL"/>
    <x v="1"/>
    <m/>
    <m/>
    <x v="981"/>
    <m/>
    <m/>
    <m/>
    <m/>
    <m/>
    <s v="D1302"/>
    <s v="D0-3-4"/>
    <n v="8"/>
    <n v="8"/>
    <n v="30"/>
    <m/>
    <n v="0"/>
    <n v="0"/>
    <m/>
    <m/>
    <m/>
    <m/>
    <m/>
    <s v="Estoque Conforme"/>
    <s v="COM SOLICITACAO / EM PROCESSO DE COMPRAS"/>
    <s v="3331/19"/>
  </r>
  <r>
    <s v="[vago]"/>
    <x v="1"/>
    <s v="C"/>
    <s v="ALM00984"/>
    <m/>
    <x v="1"/>
    <m/>
    <m/>
    <x v="982"/>
    <m/>
    <m/>
    <m/>
    <m/>
    <m/>
    <s v="D1302"/>
    <s v="D0-3-3"/>
    <n v="19"/>
    <n v="2"/>
    <n v="30"/>
    <m/>
    <n v="0"/>
    <n v="0"/>
    <m/>
    <m/>
    <m/>
    <m/>
    <m/>
    <s v="Estoque Conforme"/>
    <s v="COM SOLICITACAO / EM PROCESSO DE COMPRAS"/>
    <s v="3331/19"/>
  </r>
  <r>
    <s v="[vago]"/>
    <x v="1"/>
    <s v="C"/>
    <s v="ALM00985"/>
    <m/>
    <x v="1"/>
    <m/>
    <m/>
    <x v="983"/>
    <m/>
    <m/>
    <m/>
    <m/>
    <m/>
    <s v="D1302"/>
    <s v="D0-3-2"/>
    <n v="5"/>
    <n v="4"/>
    <n v="30"/>
    <m/>
    <n v="0"/>
    <n v="0"/>
    <m/>
    <m/>
    <m/>
    <m/>
    <m/>
    <s v="Estoque Conforme"/>
    <s v="COM SOLICITACAO / EM PROCESSO DE COMPRAS"/>
    <s v="3331/19"/>
  </r>
  <r>
    <s v="[vago]"/>
    <x v="1"/>
    <s v="B"/>
    <s v="ALM00986"/>
    <s v="GERAL"/>
    <x v="1"/>
    <m/>
    <m/>
    <x v="984"/>
    <m/>
    <m/>
    <m/>
    <m/>
    <m/>
    <s v="D1302"/>
    <s v="D0-3-1"/>
    <n v="13"/>
    <n v="4"/>
    <n v="30"/>
    <m/>
    <n v="0"/>
    <n v="0"/>
    <m/>
    <m/>
    <m/>
    <m/>
    <m/>
    <s v="Estoque Conforme"/>
    <s v="COM SOLICITACAO / EM PROCESSO DE COMPRAS"/>
    <s v="3331/19"/>
  </r>
  <r>
    <s v="[vago]"/>
    <x v="1"/>
    <s v="B"/>
    <s v="ALM00987"/>
    <m/>
    <x v="0"/>
    <m/>
    <m/>
    <x v="985"/>
    <m/>
    <m/>
    <m/>
    <m/>
    <m/>
    <s v="A1101"/>
    <s v="A0-1-2"/>
    <n v="0"/>
    <n v="1"/>
    <n v="2"/>
    <m/>
    <n v="0"/>
    <n v="0"/>
    <m/>
    <m/>
    <m/>
    <m/>
    <m/>
    <s v="Estoque Não Conforme"/>
    <s v="SEM SOLICITACAO / FABBISOGNO'S"/>
    <s v=""/>
  </r>
  <r>
    <s v="[vago]"/>
    <x v="1"/>
    <s v="C"/>
    <s v="ALM00988"/>
    <m/>
    <x v="1"/>
    <m/>
    <m/>
    <x v="986"/>
    <m/>
    <m/>
    <m/>
    <m/>
    <m/>
    <s v="E2203"/>
    <s v="A0-5-5"/>
    <n v="1"/>
    <n v="1"/>
    <n v="2"/>
    <m/>
    <n v="0"/>
    <n v="0"/>
    <m/>
    <m/>
    <m/>
    <m/>
    <m/>
    <s v="Estoque Conforme"/>
    <s v="COM SOLICITACAO / EM PROCESSO DE COMPRAS"/>
    <s v="3319/19"/>
  </r>
  <r>
    <s v="[vago]"/>
    <x v="1"/>
    <m/>
    <s v="ALM00989"/>
    <m/>
    <x v="0"/>
    <m/>
    <m/>
    <x v="987"/>
    <m/>
    <m/>
    <m/>
    <m/>
    <m/>
    <m/>
    <m/>
    <n v="10"/>
    <m/>
    <m/>
    <m/>
    <n v="0"/>
    <n v="0"/>
    <m/>
    <m/>
    <m/>
    <m/>
    <m/>
    <s v="Estoque Conforme"/>
    <s v="SEM SOLICITACAO / FABBISOGNO'S"/>
    <s v=""/>
  </r>
  <r>
    <s v="[vago]"/>
    <x v="1"/>
    <m/>
    <s v="ALM00990"/>
    <m/>
    <x v="1"/>
    <m/>
    <m/>
    <x v="988"/>
    <m/>
    <m/>
    <m/>
    <m/>
    <m/>
    <s v="F1303"/>
    <s v="A0-5-2"/>
    <n v="0"/>
    <m/>
    <m/>
    <m/>
    <n v="0"/>
    <n v="0"/>
    <m/>
    <m/>
    <m/>
    <m/>
    <m/>
    <s v="Estoque Não Conforme"/>
    <s v="SEM SOLICITACAO / FABBISOGNO'S"/>
    <s v=""/>
  </r>
  <r>
    <s v="[vago]"/>
    <x v="1"/>
    <m/>
    <s v="ALM00991"/>
    <m/>
    <x v="1"/>
    <m/>
    <m/>
    <x v="989"/>
    <m/>
    <m/>
    <m/>
    <m/>
    <m/>
    <s v="E2103"/>
    <s v="B0-5-2"/>
    <n v="1"/>
    <n v="1"/>
    <n v="2"/>
    <m/>
    <n v="0"/>
    <n v="0"/>
    <m/>
    <m/>
    <m/>
    <m/>
    <m/>
    <s v="Estoque Conforme"/>
    <s v="SEM SOLICITACAO / FABBISOGNO'S"/>
    <s v=""/>
  </r>
  <r>
    <s v="[vago]"/>
    <x v="1"/>
    <m/>
    <s v="ALM00992"/>
    <m/>
    <x v="1"/>
    <m/>
    <m/>
    <x v="990"/>
    <m/>
    <m/>
    <m/>
    <m/>
    <m/>
    <s v="E2103"/>
    <s v="B0-5-1"/>
    <n v="2"/>
    <n v="1"/>
    <n v="2"/>
    <m/>
    <n v="0"/>
    <n v="0"/>
    <m/>
    <m/>
    <m/>
    <m/>
    <m/>
    <s v="Estoque Conforme"/>
    <s v="SEM SOLICITACAO / FABBISOGNO'S"/>
    <s v=""/>
  </r>
  <r>
    <s v="[vago]"/>
    <x v="1"/>
    <s v="B"/>
    <s v="ALM00993"/>
    <m/>
    <x v="1"/>
    <m/>
    <m/>
    <x v="991"/>
    <m/>
    <m/>
    <m/>
    <m/>
    <m/>
    <s v="D1105"/>
    <s v="A0-5-1"/>
    <n v="2"/>
    <n v="2"/>
    <n v="5"/>
    <m/>
    <n v="0"/>
    <n v="0"/>
    <m/>
    <m/>
    <m/>
    <m/>
    <m/>
    <s v="Estoque Conforme"/>
    <s v="SEM SOLICITACAO / FABBISOGNO'S"/>
    <s v=""/>
  </r>
  <r>
    <s v="[vago]"/>
    <x v="1"/>
    <s v="A"/>
    <s v="ALM00994"/>
    <m/>
    <x v="1"/>
    <m/>
    <m/>
    <x v="992"/>
    <m/>
    <m/>
    <m/>
    <m/>
    <m/>
    <s v="E2103"/>
    <s v="A0-4-2"/>
    <n v="1"/>
    <n v="2"/>
    <n v="4"/>
    <m/>
    <n v="0"/>
    <n v="0"/>
    <m/>
    <m/>
    <m/>
    <m/>
    <m/>
    <s v="Estoque em Nivel Minimo"/>
    <s v="SEM SOLICITACAO / FABBISOGNO'S"/>
    <m/>
  </r>
  <r>
    <s v="[vago]"/>
    <x v="1"/>
    <s v="B"/>
    <s v="ALM00995"/>
    <m/>
    <x v="0"/>
    <m/>
    <m/>
    <x v="993"/>
    <m/>
    <m/>
    <m/>
    <m/>
    <m/>
    <s v="A1103"/>
    <s v="A0-3-4"/>
    <n v="8"/>
    <n v="4"/>
    <n v="10"/>
    <m/>
    <n v="0"/>
    <n v="0"/>
    <m/>
    <m/>
    <m/>
    <m/>
    <m/>
    <s v="Estoque Conforme"/>
    <s v="SEM SOLICITACAO / FABBISOGNO'S"/>
    <s v=""/>
  </r>
  <r>
    <s v="[vago]"/>
    <x v="1"/>
    <s v="C"/>
    <s v="ALM00996"/>
    <m/>
    <x v="0"/>
    <m/>
    <m/>
    <x v="994"/>
    <m/>
    <m/>
    <m/>
    <m/>
    <m/>
    <s v="A1103"/>
    <s v="A0-3-3"/>
    <n v="8"/>
    <n v="5"/>
    <n v="10"/>
    <m/>
    <n v="0"/>
    <n v="0"/>
    <m/>
    <m/>
    <m/>
    <m/>
    <m/>
    <s v="Estoque Conforme"/>
    <s v="SEM SOLICITACAO / FABBISOGNO'S"/>
    <s v=""/>
  </r>
  <r>
    <s v="[vago]"/>
    <x v="1"/>
    <s v="B"/>
    <s v="ALM00997"/>
    <m/>
    <x v="0"/>
    <m/>
    <m/>
    <x v="995"/>
    <m/>
    <m/>
    <m/>
    <m/>
    <m/>
    <s v="A1103"/>
    <s v="A0-3-2"/>
    <n v="1"/>
    <n v="1"/>
    <n v="2"/>
    <m/>
    <n v="0"/>
    <n v="0"/>
    <m/>
    <m/>
    <m/>
    <m/>
    <m/>
    <s v="Estoque Conforme"/>
    <s v="SEM SOLICITACAO / FABBISOGNO'S"/>
    <s v=""/>
  </r>
  <r>
    <s v="[vago]"/>
    <x v="1"/>
    <s v="B"/>
    <s v="ALM00998"/>
    <m/>
    <x v="1"/>
    <m/>
    <m/>
    <x v="996"/>
    <m/>
    <m/>
    <m/>
    <m/>
    <m/>
    <s v="E1103"/>
    <s v="A0-4-1"/>
    <n v="2"/>
    <n v="2"/>
    <n v="4"/>
    <m/>
    <n v="0"/>
    <n v="0"/>
    <m/>
    <m/>
    <m/>
    <m/>
    <m/>
    <s v="Estoque Conforme"/>
    <s v="SEM SOLICITACAO / FABBISOGNO'S"/>
    <m/>
  </r>
  <r>
    <s v="[vago]"/>
    <x v="1"/>
    <s v="C"/>
    <s v="ALM00999"/>
    <m/>
    <x v="0"/>
    <m/>
    <m/>
    <x v="997"/>
    <m/>
    <m/>
    <m/>
    <m/>
    <m/>
    <s v="A1103"/>
    <s v="A0-3-1.1"/>
    <n v="15"/>
    <n v="1"/>
    <n v="10"/>
    <m/>
    <n v="0"/>
    <n v="0"/>
    <m/>
    <m/>
    <m/>
    <m/>
    <m/>
    <s v="Estoque Conforme"/>
    <s v="SEM SOLICITACAO / FABBISOGNO'S"/>
    <s v=""/>
  </r>
  <r>
    <s v="[vago]"/>
    <x v="1"/>
    <m/>
    <s v="ALM01000"/>
    <m/>
    <x v="1"/>
    <m/>
    <m/>
    <x v="998"/>
    <m/>
    <m/>
    <m/>
    <m/>
    <m/>
    <s v="D2103"/>
    <s v="E3-3-1.1"/>
    <n v="5"/>
    <n v="4"/>
    <n v="15"/>
    <m/>
    <n v="0"/>
    <n v="0"/>
    <m/>
    <m/>
    <m/>
    <m/>
    <m/>
    <s v="Estoque Conforme"/>
    <s v="SEM SOLICITACAO / FABBISOGNO'S"/>
    <m/>
  </r>
  <r>
    <s v="[vago]"/>
    <x v="1"/>
    <m/>
    <s v="ALM01001"/>
    <m/>
    <x v="1"/>
    <m/>
    <m/>
    <x v="999"/>
    <m/>
    <m/>
    <m/>
    <m/>
    <m/>
    <s v="D2202"/>
    <s v="H1-2-2"/>
    <n v="7"/>
    <n v="4"/>
    <n v="6"/>
    <m/>
    <n v="0"/>
    <n v="0"/>
    <m/>
    <m/>
    <m/>
    <m/>
    <m/>
    <s v="Estoque Conforme"/>
    <s v="SEM SOLICITACAO / FABBISOGNO'S"/>
    <m/>
  </r>
  <r>
    <s v="[vago]"/>
    <x v="1"/>
    <m/>
    <s v="ALM01002"/>
    <m/>
    <x v="0"/>
    <m/>
    <m/>
    <x v="1000"/>
    <m/>
    <m/>
    <m/>
    <m/>
    <m/>
    <s v="A2103"/>
    <s v="B0-2-4"/>
    <n v="8"/>
    <n v="4"/>
    <n v="8"/>
    <m/>
    <n v="0"/>
    <n v="0"/>
    <m/>
    <m/>
    <m/>
    <m/>
    <m/>
    <s v="Estoque Conforme"/>
    <s v="SEM SOLICITACAO / FABBISOGNO'S"/>
    <m/>
  </r>
  <r>
    <s v="[vago]"/>
    <x v="1"/>
    <m/>
    <s v="ALM01003"/>
    <m/>
    <x v="0"/>
    <m/>
    <m/>
    <x v="1001"/>
    <m/>
    <m/>
    <m/>
    <m/>
    <m/>
    <s v="A2103"/>
    <s v="B0-2-4.1"/>
    <n v="7"/>
    <n v="4"/>
    <n v="8"/>
    <m/>
    <n v="0"/>
    <n v="0"/>
    <m/>
    <m/>
    <m/>
    <m/>
    <m/>
    <s v="Estoque Conforme"/>
    <s v="SEM SOLICITACAO / FABBISOGNO'S"/>
    <m/>
  </r>
  <r>
    <s v="[vago]"/>
    <x v="1"/>
    <m/>
    <s v="ALM01004"/>
    <s v="ELETRICO"/>
    <x v="0"/>
    <m/>
    <m/>
    <x v="1002"/>
    <m/>
    <m/>
    <m/>
    <m/>
    <m/>
    <s v="A1202"/>
    <s v="B0-2-2"/>
    <n v="8"/>
    <n v="10"/>
    <n v="30"/>
    <m/>
    <n v="0"/>
    <n v="0"/>
    <m/>
    <m/>
    <m/>
    <m/>
    <m/>
    <s v="Estoque em Nivel Minimo"/>
    <s v="SEM SOLICITACAO / FABBISOGNO'S"/>
    <m/>
  </r>
  <r>
    <m/>
    <x v="1"/>
    <m/>
    <s v="ALM01005"/>
    <s v="ELETRICO"/>
    <x v="0"/>
    <m/>
    <m/>
    <x v="1003"/>
    <m/>
    <s v="WGTZEL"/>
    <m/>
    <m/>
    <m/>
    <s v="A1202"/>
    <s v="B0-2-2.1"/>
    <n v="20"/>
    <n v="10"/>
    <n v="30"/>
    <m/>
    <n v="0"/>
    <n v="0"/>
    <m/>
    <m/>
    <m/>
    <m/>
    <m/>
    <s v="Estoque Conforme"/>
    <s v="SEM SOLICITACAO / FABBISOGNO'S"/>
    <m/>
  </r>
  <r>
    <m/>
    <x v="1"/>
    <m/>
    <s v="ALM01006"/>
    <s v="ELETRICO"/>
    <x v="0"/>
    <m/>
    <n v="186114"/>
    <x v="1004"/>
    <m/>
    <s v="STECK"/>
    <m/>
    <m/>
    <m/>
    <s v="A1202"/>
    <s v="B0-2-2.2"/>
    <n v="15"/>
    <n v="10"/>
    <n v="30"/>
    <n v="28.55"/>
    <n v="428.25"/>
    <n v="285.5"/>
    <m/>
    <m/>
    <m/>
    <m/>
    <m/>
    <s v="Estoque Conforme"/>
    <s v="SEM SOLICITACAO / FABBISOGNO'S"/>
    <m/>
  </r>
  <r>
    <m/>
    <x v="1"/>
    <m/>
    <s v="ALM01007"/>
    <m/>
    <x v="1"/>
    <m/>
    <m/>
    <x v="1005"/>
    <m/>
    <m/>
    <m/>
    <m/>
    <m/>
    <s v="D2304"/>
    <s v="C0-3-1"/>
    <n v="1"/>
    <n v="1"/>
    <n v="4"/>
    <m/>
    <n v="0"/>
    <n v="0"/>
    <m/>
    <m/>
    <m/>
    <m/>
    <m/>
    <s v="Estoque Conforme"/>
    <s v="SEM SOLICITACAO / FABBISOGNO'S"/>
    <m/>
  </r>
  <r>
    <m/>
    <x v="1"/>
    <s v="C"/>
    <s v="ALM01008"/>
    <m/>
    <x v="1"/>
    <m/>
    <m/>
    <x v="1006"/>
    <m/>
    <m/>
    <m/>
    <m/>
    <m/>
    <s v="E2303"/>
    <s v="C0-2-1"/>
    <n v="4"/>
    <n v="2"/>
    <n v="8"/>
    <m/>
    <n v="0"/>
    <n v="0"/>
    <m/>
    <m/>
    <m/>
    <m/>
    <m/>
    <s v="Estoque Conforme"/>
    <s v="SEM SOLICITACAO / FABBISOGNO'S"/>
    <m/>
  </r>
  <r>
    <m/>
    <x v="1"/>
    <m/>
    <s v="ALM01009"/>
    <m/>
    <x v="0"/>
    <m/>
    <m/>
    <x v="1007"/>
    <m/>
    <s v="UPUN"/>
    <m/>
    <m/>
    <m/>
    <s v="A20103"/>
    <s v="B0-2-5"/>
    <n v="4"/>
    <n v="5"/>
    <n v="20"/>
    <m/>
    <n v="0"/>
    <n v="0"/>
    <m/>
    <m/>
    <m/>
    <m/>
    <m/>
    <s v="Estoque em Nivel Minimo"/>
    <s v="SEM SOLICITACAO / FABBISOGNO'S"/>
    <m/>
  </r>
  <r>
    <m/>
    <x v="1"/>
    <m/>
    <s v="ALM01010"/>
    <m/>
    <x v="0"/>
    <m/>
    <m/>
    <x v="1008"/>
    <m/>
    <s v="LUOMA"/>
    <m/>
    <m/>
    <m/>
    <s v="A2103"/>
    <s v="B0-2-5.1"/>
    <n v="12"/>
    <n v="5"/>
    <n v="20"/>
    <m/>
    <n v="0"/>
    <n v="0"/>
    <m/>
    <m/>
    <m/>
    <m/>
    <m/>
    <s v="Estoque Conforme"/>
    <s v="SEM SOLICITACAO / FABBISOGNO'S"/>
    <m/>
  </r>
  <r>
    <m/>
    <x v="1"/>
    <m/>
    <s v="ALM01011"/>
    <m/>
    <x v="0"/>
    <m/>
    <m/>
    <x v="1009"/>
    <m/>
    <s v="LUOMA"/>
    <m/>
    <m/>
    <m/>
    <s v="A2103"/>
    <s v="B0-2-5-2"/>
    <n v="63"/>
    <n v="5"/>
    <n v="20"/>
    <m/>
    <n v="0"/>
    <n v="0"/>
    <m/>
    <m/>
    <m/>
    <m/>
    <m/>
    <s v="Estoque Conforme"/>
    <s v="SEM SOLICITACAO / FABBISOGNO'S"/>
    <m/>
  </r>
  <r>
    <m/>
    <x v="1"/>
    <m/>
    <s v="ALM01012"/>
    <m/>
    <x v="0"/>
    <m/>
    <m/>
    <x v="1010"/>
    <m/>
    <m/>
    <m/>
    <m/>
    <m/>
    <s v="A2103"/>
    <s v="B0-2-5-2.1"/>
    <n v="20"/>
    <n v="5"/>
    <n v="20"/>
    <m/>
    <n v="0"/>
    <n v="0"/>
    <m/>
    <m/>
    <m/>
    <m/>
    <m/>
    <s v="Estoque Conforme"/>
    <s v="SEM SOLICITACAO / FABBISOGNO'S"/>
    <m/>
  </r>
  <r>
    <m/>
    <x v="1"/>
    <m/>
    <s v="ALM01013"/>
    <m/>
    <x v="0"/>
    <m/>
    <m/>
    <x v="1011"/>
    <m/>
    <s v="CONEXEL"/>
    <m/>
    <m/>
    <m/>
    <s v="A2103"/>
    <s v="B0-2-5-2.2"/>
    <n v="8"/>
    <n v="5"/>
    <n v="20"/>
    <m/>
    <n v="0"/>
    <n v="0"/>
    <m/>
    <m/>
    <m/>
    <m/>
    <m/>
    <s v="Estoque Conforme"/>
    <s v="SEM SOLICITACAO / FABBISOGNO'S"/>
    <m/>
  </r>
  <r>
    <m/>
    <x v="1"/>
    <m/>
    <s v="ALM01014"/>
    <m/>
    <x v="0"/>
    <m/>
    <m/>
    <x v="1012"/>
    <m/>
    <s v="JNG"/>
    <m/>
    <m/>
    <m/>
    <s v="A1305"/>
    <s v="B2-5-6"/>
    <n v="74"/>
    <n v="10"/>
    <n v="20"/>
    <m/>
    <n v="0"/>
    <n v="0"/>
    <m/>
    <m/>
    <m/>
    <m/>
    <m/>
    <s v="Estoque Conforme"/>
    <s v="SEM SOLICITACAO / FABBISOGNO'S"/>
    <m/>
  </r>
  <r>
    <m/>
    <x v="1"/>
    <m/>
    <s v="ALM01015"/>
    <m/>
    <x v="1"/>
    <m/>
    <m/>
    <x v="1013"/>
    <m/>
    <m/>
    <m/>
    <m/>
    <m/>
    <s v="D2303"/>
    <s v="C0-2-2"/>
    <n v="1"/>
    <n v="1"/>
    <n v="4"/>
    <m/>
    <n v="0"/>
    <n v="0"/>
    <m/>
    <m/>
    <m/>
    <m/>
    <m/>
    <s v="Estoque Conforme"/>
    <s v="SEM SOLICITACAO / FABBISOGNO'S"/>
    <m/>
  </r>
  <r>
    <m/>
    <x v="1"/>
    <m/>
    <s v="ALM01016"/>
    <m/>
    <x v="1"/>
    <m/>
    <n v="900532"/>
    <x v="1014"/>
    <m/>
    <m/>
    <m/>
    <m/>
    <m/>
    <s v="D1105"/>
    <s v="C0-4-5"/>
    <n v="12"/>
    <n v="2"/>
    <n v="8"/>
    <n v="33.458125000000003"/>
    <n v="401.49750000000006"/>
    <n v="66.916250000000005"/>
    <m/>
    <m/>
    <m/>
    <m/>
    <m/>
    <s v="Estoque Conforme"/>
    <s v="SEM SOLICITACAO / FABBISOGNO'S"/>
    <m/>
  </r>
  <r>
    <m/>
    <x v="1"/>
    <m/>
    <s v="ALM01017"/>
    <s v="SERRALHERIA"/>
    <x v="1"/>
    <m/>
    <m/>
    <x v="1015"/>
    <m/>
    <m/>
    <m/>
    <m/>
    <m/>
    <s v="E2102"/>
    <m/>
    <n v="2"/>
    <n v="1"/>
    <n v="2"/>
    <n v="60"/>
    <n v="120"/>
    <n v="60"/>
    <m/>
    <m/>
    <m/>
    <m/>
    <m/>
    <s v="Estoque Conforme"/>
    <s v="SEM SOLICITACAO / FABBISOGNO'S"/>
    <m/>
  </r>
  <r>
    <m/>
    <x v="1"/>
    <m/>
    <s v="ALM01018"/>
    <m/>
    <x v="0"/>
    <m/>
    <m/>
    <x v="1016"/>
    <m/>
    <m/>
    <m/>
    <m/>
    <m/>
    <s v="A2302"/>
    <s v="B0-3-3"/>
    <n v="1"/>
    <n v="1"/>
    <n v="2"/>
    <m/>
    <n v="0"/>
    <n v="0"/>
    <m/>
    <m/>
    <m/>
    <m/>
    <m/>
    <s v="Estoque Conforme"/>
    <s v="SEM SOLICITACAO / FABBISOGNO'S"/>
    <m/>
  </r>
  <r>
    <m/>
    <x v="1"/>
    <m/>
    <s v="ALM01019"/>
    <s v="GERAL"/>
    <x v="1"/>
    <m/>
    <n v="186115"/>
    <x v="1017"/>
    <m/>
    <s v="FESMO"/>
    <m/>
    <m/>
    <m/>
    <s v="D1101"/>
    <s v="G0-1"/>
    <n v="2"/>
    <n v="1"/>
    <n v="2"/>
    <n v="155.22833333333332"/>
    <n v="310.45666666666665"/>
    <n v="155.22833333333332"/>
    <m/>
    <m/>
    <m/>
    <m/>
    <m/>
    <s v="Estoque Conforme"/>
    <s v="SEM SOLICITACAO / FABBISOGNO'S"/>
    <m/>
  </r>
  <r>
    <m/>
    <x v="1"/>
    <m/>
    <s v="ALM01020"/>
    <s v="SERRALHERIA"/>
    <x v="1"/>
    <m/>
    <m/>
    <x v="1018"/>
    <m/>
    <m/>
    <m/>
    <m/>
    <m/>
    <s v="E1106"/>
    <s v="C0-4-6"/>
    <n v="1"/>
    <n v="1"/>
    <n v="2"/>
    <m/>
    <n v="0"/>
    <n v="0"/>
    <m/>
    <m/>
    <m/>
    <m/>
    <m/>
    <s v="Estoque Conforme"/>
    <s v="SEM SOLICITACAO / FABBISOGNO'S"/>
    <m/>
  </r>
  <r>
    <m/>
    <x v="1"/>
    <m/>
    <s v="ALM01021"/>
    <s v="SERRALHERIA"/>
    <x v="1"/>
    <m/>
    <m/>
    <x v="1019"/>
    <m/>
    <s v="NORTON "/>
    <m/>
    <m/>
    <m/>
    <s v="E1106"/>
    <s v="D0-4-2"/>
    <n v="1"/>
    <n v="1"/>
    <n v="2"/>
    <m/>
    <n v="0"/>
    <n v="0"/>
    <m/>
    <m/>
    <m/>
    <m/>
    <m/>
    <s v="Estoque Conforme"/>
    <s v="SEM SOLICITACAO / FABBISOGNO'S"/>
    <m/>
  </r>
  <r>
    <m/>
    <x v="1"/>
    <m/>
    <s v="ALM01022"/>
    <s v="SERRALHERIA"/>
    <x v="1"/>
    <m/>
    <m/>
    <x v="1020"/>
    <m/>
    <m/>
    <m/>
    <m/>
    <m/>
    <s v="E1106"/>
    <s v="D0-4-1"/>
    <n v="1"/>
    <n v="1"/>
    <n v="2"/>
    <m/>
    <n v="0"/>
    <n v="0"/>
    <m/>
    <m/>
    <m/>
    <m/>
    <m/>
    <s v="Estoque Conforme"/>
    <s v="SEM SOLICITACAO / FABBISOGNO'S"/>
    <m/>
  </r>
  <r>
    <m/>
    <x v="1"/>
    <m/>
    <s v="ALM01023"/>
    <m/>
    <x v="1"/>
    <m/>
    <m/>
    <x v="1021"/>
    <m/>
    <m/>
    <m/>
    <m/>
    <m/>
    <s v="A1302"/>
    <s v="B2-4-5.2"/>
    <n v="1"/>
    <n v="2"/>
    <n v="4"/>
    <m/>
    <n v="0"/>
    <n v="0"/>
    <m/>
    <m/>
    <m/>
    <m/>
    <m/>
    <s v="Estoque em Nivel Minimo"/>
    <s v="COM SOLICITACAO / EM PROCESSO DE COMPRAS"/>
    <s v="3367/19"/>
  </r>
  <r>
    <m/>
    <x v="1"/>
    <m/>
    <s v="ALM01024"/>
    <m/>
    <x v="1"/>
    <m/>
    <m/>
    <x v="1022"/>
    <m/>
    <m/>
    <m/>
    <m/>
    <m/>
    <s v="D2103"/>
    <s v="E3-3-2.1"/>
    <n v="7"/>
    <n v="4"/>
    <n v="6"/>
    <m/>
    <n v="0"/>
    <n v="0"/>
    <m/>
    <m/>
    <m/>
    <m/>
    <m/>
    <s v="Estoque Conforme"/>
    <s v="SEM SOLICITACAO / FABBISOGNO'S"/>
    <m/>
  </r>
  <r>
    <m/>
    <x v="1"/>
    <s v="C"/>
    <s v="ALM01025"/>
    <s v="ELETRICO"/>
    <x v="0"/>
    <m/>
    <m/>
    <x v="1023"/>
    <m/>
    <m/>
    <m/>
    <m/>
    <m/>
    <s v="A1402"/>
    <s v="A3-2-3.1"/>
    <n v="2"/>
    <n v="5"/>
    <n v="10"/>
    <m/>
    <n v="0"/>
    <n v="0"/>
    <m/>
    <m/>
    <m/>
    <m/>
    <m/>
    <s v="Estoque em Nivel Minimo"/>
    <s v="COM SOLICITACAO / EM PROCESSO DE COMPRAS"/>
    <s v="3367/19"/>
  </r>
  <r>
    <m/>
    <x v="1"/>
    <m/>
    <s v="ALM01026"/>
    <m/>
    <x v="1"/>
    <m/>
    <m/>
    <x v="1024"/>
    <m/>
    <m/>
    <m/>
    <m/>
    <m/>
    <s v="D2203"/>
    <s v="H1-3-2.3"/>
    <n v="7"/>
    <m/>
    <m/>
    <m/>
    <n v="0"/>
    <n v="0"/>
    <m/>
    <m/>
    <m/>
    <m/>
    <m/>
    <s v="Estoque Conforme"/>
    <s v="SEM SOLICITACAO / FABBISOGNO'S"/>
    <m/>
  </r>
  <r>
    <m/>
    <x v="1"/>
    <m/>
    <s v="ALM01027"/>
    <m/>
    <x v="0"/>
    <m/>
    <m/>
    <x v="1025"/>
    <m/>
    <m/>
    <m/>
    <m/>
    <m/>
    <s v="A2202"/>
    <s v="B1-4-4.2"/>
    <n v="9"/>
    <n v="4"/>
    <n v="10"/>
    <m/>
    <n v="0"/>
    <n v="0"/>
    <m/>
    <m/>
    <m/>
    <m/>
    <m/>
    <s v="Estoque Conforme"/>
    <s v="SEM SOLICITACAO / FABBISOGNO'S"/>
    <m/>
  </r>
  <r>
    <m/>
    <x v="1"/>
    <m/>
    <s v="ALM01028"/>
    <m/>
    <x v="0"/>
    <m/>
    <m/>
    <x v="1026"/>
    <m/>
    <s v="SIEMENS "/>
    <m/>
    <m/>
    <m/>
    <s v="A2202"/>
    <s v="B1-2-4"/>
    <n v="2"/>
    <n v="1"/>
    <n v="2"/>
    <m/>
    <n v="0"/>
    <n v="0"/>
    <m/>
    <m/>
    <m/>
    <m/>
    <m/>
    <s v="Estoque Conforme"/>
    <s v="SEM SOLICITACAO / FABBISOGNO'S"/>
    <m/>
  </r>
  <r>
    <m/>
    <x v="1"/>
    <m/>
    <s v="ALM01029"/>
    <m/>
    <x v="0"/>
    <m/>
    <m/>
    <x v="1027"/>
    <m/>
    <m/>
    <m/>
    <m/>
    <m/>
    <s v="A1302"/>
    <s v="D0-3-2"/>
    <n v="1"/>
    <n v="1"/>
    <n v="2"/>
    <m/>
    <n v="0"/>
    <n v="0"/>
    <m/>
    <m/>
    <m/>
    <m/>
    <m/>
    <s v="Estoque Conforme"/>
    <s v="SEM SOLICITACAO / FABBISOGNO'S"/>
    <m/>
  </r>
  <r>
    <m/>
    <x v="1"/>
    <m/>
    <s v="ALM01030"/>
    <m/>
    <x v="0"/>
    <m/>
    <m/>
    <x v="1028"/>
    <m/>
    <m/>
    <m/>
    <m/>
    <m/>
    <s v="A1302"/>
    <s v="D0-3-3"/>
    <n v="1"/>
    <n v="1"/>
    <n v="2"/>
    <m/>
    <n v="0"/>
    <n v="0"/>
    <m/>
    <m/>
    <m/>
    <m/>
    <m/>
    <s v="Estoque Conforme"/>
    <s v="SEM SOLICITACAO / FABBISOGNO'S"/>
    <m/>
  </r>
  <r>
    <m/>
    <x v="1"/>
    <m/>
    <s v="ALM01031"/>
    <m/>
    <x v="3"/>
    <m/>
    <m/>
    <x v="1029"/>
    <m/>
    <s v="TECNOVITA"/>
    <m/>
    <m/>
    <m/>
    <m/>
    <s v="E0-1-2"/>
    <n v="1"/>
    <m/>
    <m/>
    <m/>
    <n v="0"/>
    <n v="0"/>
    <m/>
    <m/>
    <m/>
    <m/>
    <m/>
    <s v="Estoque Conforme"/>
    <s v="SEM SOLICITACAO / FABBISOGNO'S"/>
    <m/>
  </r>
  <r>
    <m/>
    <x v="1"/>
    <m/>
    <s v="ALM01032"/>
    <m/>
    <x v="1"/>
    <m/>
    <m/>
    <x v="1030"/>
    <m/>
    <m/>
    <m/>
    <m/>
    <m/>
    <s v="E2205"/>
    <s v="J1-5-1.1"/>
    <n v="1"/>
    <m/>
    <m/>
    <m/>
    <n v="0"/>
    <n v="0"/>
    <m/>
    <m/>
    <m/>
    <m/>
    <m/>
    <s v="Estoque Conforme"/>
    <s v="SEM SOLICITACAO / FABBISOGNO'S"/>
    <m/>
  </r>
  <r>
    <m/>
    <x v="1"/>
    <m/>
    <s v="ALM01033"/>
    <m/>
    <x v="1"/>
    <m/>
    <m/>
    <x v="1031"/>
    <m/>
    <m/>
    <m/>
    <m/>
    <m/>
    <s v="D1302"/>
    <s v="D0-2-2.1"/>
    <n v="1"/>
    <n v="1"/>
    <n v="2"/>
    <m/>
    <n v="0"/>
    <n v="0"/>
    <m/>
    <m/>
    <m/>
    <m/>
    <m/>
    <s v="Estoque Conforme"/>
    <s v="SEM SOLICITACAO / FABBISOGNO'S"/>
    <m/>
  </r>
  <r>
    <m/>
    <x v="1"/>
    <m/>
    <s v="ALM01034"/>
    <s v="MECANICO"/>
    <x v="1"/>
    <m/>
    <m/>
    <x v="1032"/>
    <m/>
    <m/>
    <m/>
    <m/>
    <m/>
    <s v="D103"/>
    <s v="D0-2-3.1"/>
    <n v="2"/>
    <n v="1"/>
    <n v="2"/>
    <m/>
    <n v="0"/>
    <n v="0"/>
    <m/>
    <m/>
    <m/>
    <m/>
    <m/>
    <s v="Estoque Conforme"/>
    <s v="SEM SOLICITACAO / FABBISOGNO'S"/>
    <m/>
  </r>
  <r>
    <m/>
    <x v="1"/>
    <m/>
    <s v="ALM01035"/>
    <s v="MECANICO"/>
    <x v="1"/>
    <m/>
    <m/>
    <x v="1033"/>
    <m/>
    <m/>
    <m/>
    <m/>
    <m/>
    <s v="D103"/>
    <s v="D0-2-4.1"/>
    <n v="4"/>
    <n v="1"/>
    <n v="2"/>
    <m/>
    <n v="0"/>
    <n v="0"/>
    <m/>
    <m/>
    <m/>
    <m/>
    <m/>
    <s v="Estoque Conforme"/>
    <s v="SEM SOLICITACAO / FABBISOGNO'S"/>
    <m/>
  </r>
  <r>
    <m/>
    <x v="1"/>
    <m/>
    <s v="ALM01036"/>
    <m/>
    <x v="0"/>
    <m/>
    <m/>
    <x v="1034"/>
    <m/>
    <m/>
    <m/>
    <m/>
    <m/>
    <s v="A1304"/>
    <s v="A2-4-3.2"/>
    <n v="0"/>
    <n v="10"/>
    <n v="20"/>
    <m/>
    <n v="0"/>
    <n v="0"/>
    <m/>
    <m/>
    <m/>
    <m/>
    <m/>
    <s v="Estoque Não Conforme"/>
    <s v="COM SOLICITACAO / EM PROCESSO DE COMPRAS"/>
    <s v="3367/19"/>
  </r>
  <r>
    <m/>
    <x v="1"/>
    <m/>
    <s v="ALM01037"/>
    <m/>
    <x v="0"/>
    <m/>
    <n v="186238"/>
    <x v="1035"/>
    <m/>
    <m/>
    <m/>
    <m/>
    <m/>
    <s v="A2204"/>
    <s v="B1-4-5.3"/>
    <n v="4"/>
    <n v="2"/>
    <n v="4"/>
    <n v="558.40333333333331"/>
    <n v="2233.6133333333332"/>
    <n v="1116.8066666666666"/>
    <m/>
    <m/>
    <m/>
    <m/>
    <m/>
    <s v="Estoque Conforme"/>
    <s v="SEM SOLICITACAO / FABBISOGNO'S"/>
    <m/>
  </r>
  <r>
    <m/>
    <x v="1"/>
    <m/>
    <s v="ALM01038"/>
    <m/>
    <x v="0"/>
    <m/>
    <m/>
    <x v="1036"/>
    <m/>
    <m/>
    <m/>
    <m/>
    <m/>
    <s v="A2204"/>
    <s v="B1-4-6.3"/>
    <n v="4"/>
    <n v="2"/>
    <n v="6"/>
    <m/>
    <n v="0"/>
    <n v="0"/>
    <m/>
    <m/>
    <m/>
    <m/>
    <m/>
    <s v="Estoque Conforme"/>
    <s v="SEM SOLICITACAO / FABBISOGNO'S"/>
    <m/>
  </r>
  <r>
    <m/>
    <x v="1"/>
    <m/>
    <s v="ALM01039"/>
    <m/>
    <x v="0"/>
    <m/>
    <m/>
    <x v="1037"/>
    <m/>
    <m/>
    <m/>
    <m/>
    <m/>
    <s v="A2103"/>
    <s v="B0-2-3"/>
    <n v="2"/>
    <n v="1"/>
    <n v="4"/>
    <m/>
    <n v="0"/>
    <n v="0"/>
    <m/>
    <m/>
    <m/>
    <m/>
    <m/>
    <s v="Estoque Conforme"/>
    <s v="SEM SOLICITACAO / FABBISOGNO'S"/>
    <m/>
  </r>
  <r>
    <m/>
    <x v="1"/>
    <m/>
    <s v="ALM01040"/>
    <m/>
    <x v="0"/>
    <m/>
    <m/>
    <x v="1038"/>
    <m/>
    <m/>
    <m/>
    <m/>
    <m/>
    <s v="C1203"/>
    <s v="D0-4-4"/>
    <n v="6"/>
    <n v="2"/>
    <n v="8"/>
    <m/>
    <n v="0"/>
    <n v="0"/>
    <m/>
    <m/>
    <m/>
    <m/>
    <m/>
    <s v="Estoque Conforme"/>
    <s v="SEM SOLICITACAO / FABBISOGNO'S"/>
    <m/>
  </r>
  <r>
    <m/>
    <x v="1"/>
    <m/>
    <s v="ALM01041"/>
    <m/>
    <x v="1"/>
    <m/>
    <m/>
    <x v="1039"/>
    <m/>
    <s v="SO VEDAÇÕES "/>
    <m/>
    <m/>
    <m/>
    <s v="D1203"/>
    <s v="E2-3-4.2"/>
    <n v="3"/>
    <m/>
    <m/>
    <m/>
    <n v="0"/>
    <n v="0"/>
    <m/>
    <m/>
    <m/>
    <m/>
    <m/>
    <s v="Estoque Conforme"/>
    <s v="SEM SOLICITACAO / FABBISOGNO'S"/>
    <m/>
  </r>
  <r>
    <m/>
    <x v="1"/>
    <s v="B"/>
    <s v="ALM01042"/>
    <m/>
    <x v="0"/>
    <m/>
    <m/>
    <x v="1040"/>
    <m/>
    <m/>
    <m/>
    <m/>
    <m/>
    <s v="B1402"/>
    <s v="A0-3-5"/>
    <n v="17"/>
    <n v="2"/>
    <n v="8"/>
    <m/>
    <n v="0"/>
    <n v="0"/>
    <m/>
    <m/>
    <m/>
    <m/>
    <m/>
    <s v="Estoque Conforme"/>
    <s v="SEM SOLICITACAO / FABBISOGNO'S"/>
    <m/>
  </r>
  <r>
    <m/>
    <x v="1"/>
    <m/>
    <s v="ALM01043"/>
    <m/>
    <x v="1"/>
    <m/>
    <m/>
    <x v="1041"/>
    <m/>
    <m/>
    <m/>
    <m/>
    <m/>
    <s v="D2204"/>
    <s v="H1-2-3.1"/>
    <n v="0"/>
    <n v="5"/>
    <n v="10"/>
    <m/>
    <n v="0"/>
    <n v="0"/>
    <m/>
    <m/>
    <m/>
    <m/>
    <m/>
    <s v="Estoque Não Conforme"/>
    <s v="COM SOLICITACAO / EM PROCESSO DE COMPRAS"/>
    <s v="3306/19"/>
  </r>
  <r>
    <m/>
    <x v="1"/>
    <m/>
    <s v="ALM01044"/>
    <m/>
    <x v="1"/>
    <m/>
    <m/>
    <x v="1042"/>
    <m/>
    <m/>
    <m/>
    <m/>
    <m/>
    <s v="D2204"/>
    <s v="H1-2-3.2"/>
    <n v="2"/>
    <n v="5"/>
    <n v="20"/>
    <m/>
    <n v="0"/>
    <n v="0"/>
    <m/>
    <m/>
    <m/>
    <m/>
    <m/>
    <s v="Estoque em Nivel Minimo"/>
    <s v="COM SOLICITACAO / EM PROCESSO DE COMPRAS"/>
    <s v="3372/19"/>
  </r>
  <r>
    <m/>
    <x v="1"/>
    <m/>
    <s v="ALM01045"/>
    <m/>
    <x v="1"/>
    <m/>
    <m/>
    <x v="1043"/>
    <m/>
    <m/>
    <m/>
    <m/>
    <m/>
    <s v="D2103"/>
    <s v="F3-4-1.2"/>
    <n v="4"/>
    <n v="2"/>
    <n v="6"/>
    <m/>
    <n v="0"/>
    <n v="0"/>
    <m/>
    <m/>
    <m/>
    <m/>
    <m/>
    <s v="Estoque Conforme"/>
    <s v="SEM SOLICITACAO / FABBISOGNO'S"/>
    <m/>
  </r>
  <r>
    <m/>
    <x v="1"/>
    <m/>
    <s v="ALM01046"/>
    <m/>
    <x v="1"/>
    <m/>
    <m/>
    <x v="1044"/>
    <m/>
    <m/>
    <m/>
    <m/>
    <m/>
    <s v="E1203"/>
    <s v="G0-2-1"/>
    <n v="1"/>
    <n v="5"/>
    <n v="10"/>
    <m/>
    <n v="0"/>
    <n v="0"/>
    <m/>
    <m/>
    <m/>
    <m/>
    <m/>
    <s v="Estoque em Nivel Minimo"/>
    <s v="COM SOLICITACAO / EM PROCESSO DE COMPRAS"/>
    <s v="3378/19"/>
  </r>
  <r>
    <m/>
    <x v="1"/>
    <m/>
    <s v="ALM01047"/>
    <m/>
    <x v="1"/>
    <m/>
    <m/>
    <x v="1045"/>
    <m/>
    <m/>
    <m/>
    <m/>
    <m/>
    <s v="E1203"/>
    <s v="G0-2-1.1"/>
    <n v="11"/>
    <n v="5"/>
    <n v="10"/>
    <m/>
    <n v="0"/>
    <n v="0"/>
    <m/>
    <m/>
    <m/>
    <m/>
    <m/>
    <s v="Estoque Conforme"/>
    <s v="SEM SOLICITACAO / FABBISOGNO'S"/>
    <m/>
  </r>
  <r>
    <m/>
    <x v="1"/>
    <m/>
    <s v="ALM01048"/>
    <m/>
    <x v="1"/>
    <m/>
    <m/>
    <x v="1046"/>
    <m/>
    <m/>
    <m/>
    <m/>
    <m/>
    <s v="E1203"/>
    <s v="G0-2-1.2"/>
    <n v="3"/>
    <n v="5"/>
    <n v="10"/>
    <m/>
    <n v="0"/>
    <n v="0"/>
    <m/>
    <m/>
    <m/>
    <m/>
    <m/>
    <s v="Estoque em Nivel Minimo"/>
    <s v="COM SOLICITACAO / EM PROCESSO DE COMPRAS"/>
    <s v="3378/19"/>
  </r>
  <r>
    <m/>
    <x v="1"/>
    <m/>
    <s v="ALM01049"/>
    <m/>
    <x v="1"/>
    <m/>
    <m/>
    <x v="1047"/>
    <m/>
    <m/>
    <m/>
    <m/>
    <m/>
    <s v="E1203"/>
    <s v="G0-2-1.3"/>
    <n v="4"/>
    <n v="5"/>
    <n v="10"/>
    <m/>
    <n v="0"/>
    <n v="0"/>
    <m/>
    <m/>
    <m/>
    <m/>
    <m/>
    <s v="Estoque em Nivel Minimo"/>
    <s v="COM SOLICITACAO / EM PROCESSO DE COMPRAS"/>
    <s v="3378/19"/>
  </r>
  <r>
    <m/>
    <x v="1"/>
    <m/>
    <s v="ALM01050"/>
    <m/>
    <x v="1"/>
    <m/>
    <m/>
    <x v="1048"/>
    <m/>
    <m/>
    <m/>
    <m/>
    <m/>
    <s v="E1203"/>
    <s v="G0-2-2"/>
    <n v="15"/>
    <n v="5"/>
    <n v="10"/>
    <m/>
    <n v="0"/>
    <n v="0"/>
    <m/>
    <m/>
    <m/>
    <m/>
    <m/>
    <s v="Estoque Conforme"/>
    <s v="SEM SOLICITACAO / FABBISOGNO'S"/>
    <m/>
  </r>
  <r>
    <m/>
    <x v="1"/>
    <m/>
    <s v="ALM01051"/>
    <m/>
    <x v="1"/>
    <m/>
    <m/>
    <x v="1049"/>
    <m/>
    <m/>
    <m/>
    <m/>
    <m/>
    <s v="E1203"/>
    <s v="G0-2-2.1"/>
    <n v="4"/>
    <n v="5"/>
    <n v="10"/>
    <m/>
    <n v="0"/>
    <n v="0"/>
    <m/>
    <m/>
    <m/>
    <m/>
    <m/>
    <s v="Estoque em Nivel Minimo"/>
    <s v="COM SOLICITACAO / EM PROCESSO DE COMPRAS"/>
    <s v="3378/19"/>
  </r>
  <r>
    <m/>
    <x v="1"/>
    <m/>
    <s v="ALM01052"/>
    <m/>
    <x v="1"/>
    <m/>
    <m/>
    <x v="1050"/>
    <m/>
    <m/>
    <m/>
    <m/>
    <m/>
    <s v="E1203"/>
    <s v="G0-2-2.2"/>
    <n v="3"/>
    <n v="5"/>
    <n v="10"/>
    <m/>
    <n v="0"/>
    <n v="0"/>
    <m/>
    <m/>
    <m/>
    <m/>
    <m/>
    <s v="Estoque em Nivel Minimo"/>
    <s v="COM SOLICITACAO / EM PROCESSO DE COMPRAS"/>
    <s v="3378/19"/>
  </r>
  <r>
    <m/>
    <x v="1"/>
    <m/>
    <s v="ALM01053"/>
    <m/>
    <x v="1"/>
    <m/>
    <m/>
    <x v="1051"/>
    <m/>
    <m/>
    <m/>
    <m/>
    <m/>
    <s v="E1203"/>
    <s v="G0-2-2.3"/>
    <n v="5"/>
    <n v="5"/>
    <n v="10"/>
    <m/>
    <n v="0"/>
    <n v="0"/>
    <m/>
    <m/>
    <m/>
    <m/>
    <m/>
    <s v="Estoque Conforme"/>
    <s v="SEM SOLICITACAO / FABBISOGNO'S"/>
    <m/>
  </r>
  <r>
    <m/>
    <x v="1"/>
    <m/>
    <s v="ALM01054"/>
    <m/>
    <x v="0"/>
    <m/>
    <m/>
    <x v="1052"/>
    <m/>
    <s v="BALLUFF"/>
    <m/>
    <m/>
    <m/>
    <s v="A2203"/>
    <s v="B1-3-2.2"/>
    <n v="3"/>
    <n v="5"/>
    <n v="10"/>
    <m/>
    <n v="0"/>
    <n v="0"/>
    <m/>
    <m/>
    <m/>
    <m/>
    <m/>
    <s v="Estoque em Nivel Minimo"/>
    <s v="SEM SOLICITACAO / FABBISOGNO'S"/>
    <m/>
  </r>
  <r>
    <m/>
    <x v="1"/>
    <m/>
    <s v="ALM01055"/>
    <s v="ELETRICO"/>
    <x v="0"/>
    <m/>
    <m/>
    <x v="1053"/>
    <m/>
    <m/>
    <m/>
    <m/>
    <m/>
    <s v="A2404"/>
    <s v="B3-4-2.3"/>
    <n v="2"/>
    <m/>
    <m/>
    <m/>
    <n v="0"/>
    <n v="0"/>
    <m/>
    <m/>
    <m/>
    <m/>
    <m/>
    <s v="Estoque Conforme"/>
    <s v="SEM SOLICITACAO / FABBISOGNO'S"/>
    <m/>
  </r>
  <r>
    <m/>
    <x v="1"/>
    <m/>
    <s v="ALM01056"/>
    <m/>
    <x v="1"/>
    <m/>
    <m/>
    <x v="1054"/>
    <m/>
    <m/>
    <m/>
    <m/>
    <m/>
    <s v="E1101"/>
    <s v="G0-5-2"/>
    <n v="6"/>
    <m/>
    <m/>
    <m/>
    <n v="0"/>
    <n v="0"/>
    <m/>
    <m/>
    <m/>
    <m/>
    <m/>
    <s v="Estoque Conforme"/>
    <s v="SEM SOLICITACAO / FABBISOGNO'S"/>
    <m/>
  </r>
  <r>
    <m/>
    <x v="1"/>
    <m/>
    <s v="ALM01057"/>
    <m/>
    <x v="1"/>
    <m/>
    <m/>
    <x v="1055"/>
    <m/>
    <m/>
    <m/>
    <m/>
    <m/>
    <s v="E1101"/>
    <s v="G0-5-3"/>
    <n v="3"/>
    <m/>
    <m/>
    <m/>
    <n v="0"/>
    <n v="0"/>
    <m/>
    <m/>
    <m/>
    <m/>
    <m/>
    <s v="Estoque Conforme"/>
    <s v="SEM SOLICITACAO / FABBISOGNO'S"/>
    <m/>
  </r>
  <r>
    <m/>
    <x v="1"/>
    <m/>
    <s v="ALM01058"/>
    <m/>
    <x v="0"/>
    <m/>
    <m/>
    <x v="1056"/>
    <m/>
    <m/>
    <m/>
    <m/>
    <m/>
    <s v="A2305"/>
    <s v="G0-3-1"/>
    <n v="3"/>
    <m/>
    <m/>
    <m/>
    <n v="0"/>
    <n v="0"/>
    <m/>
    <m/>
    <m/>
    <m/>
    <m/>
    <s v="Estoque Conforme"/>
    <s v="SEM SOLICITACAO / FABBISOGNO'S"/>
    <m/>
  </r>
  <r>
    <m/>
    <x v="1"/>
    <s v="B"/>
    <s v="ALM01059"/>
    <s v="ELETRICO"/>
    <x v="0"/>
    <m/>
    <m/>
    <x v="1057"/>
    <m/>
    <m/>
    <m/>
    <m/>
    <m/>
    <s v="A2305"/>
    <s v="?"/>
    <n v="3"/>
    <m/>
    <m/>
    <m/>
    <n v="0"/>
    <n v="0"/>
    <m/>
    <m/>
    <m/>
    <m/>
    <m/>
    <s v="Estoque Conforme"/>
    <s v="SEM SOLICITACAO / FABBISOGNO'S"/>
    <m/>
  </r>
  <r>
    <m/>
    <x v="1"/>
    <m/>
    <s v="ALM01060"/>
    <m/>
    <x v="0"/>
    <m/>
    <m/>
    <x v="1058"/>
    <m/>
    <m/>
    <m/>
    <m/>
    <m/>
    <s v="A1303"/>
    <s v="G0-3-3"/>
    <n v="1"/>
    <m/>
    <m/>
    <m/>
    <n v="0"/>
    <n v="0"/>
    <m/>
    <m/>
    <m/>
    <m/>
    <m/>
    <s v="Estoque Conforme"/>
    <s v="SEM SOLICITACAO / FABBISOGNO'S"/>
    <m/>
  </r>
  <r>
    <m/>
    <x v="1"/>
    <m/>
    <s v="ALM01061"/>
    <m/>
    <x v="0"/>
    <m/>
    <m/>
    <x v="1059"/>
    <m/>
    <m/>
    <m/>
    <m/>
    <m/>
    <s v="A1403"/>
    <s v="G0-3-4"/>
    <n v="1"/>
    <m/>
    <m/>
    <m/>
    <n v="0"/>
    <n v="0"/>
    <m/>
    <m/>
    <m/>
    <m/>
    <m/>
    <s v="Estoque Conforme"/>
    <s v="SEM SOLICITACAO / FABBISOGNO'S"/>
    <m/>
  </r>
  <r>
    <m/>
    <x v="1"/>
    <m/>
    <s v="ALM01062"/>
    <m/>
    <x v="1"/>
    <m/>
    <m/>
    <x v="1060"/>
    <m/>
    <m/>
    <m/>
    <m/>
    <m/>
    <s v="D2104"/>
    <s v="G0-3-5"/>
    <n v="1"/>
    <m/>
    <m/>
    <m/>
    <n v="0"/>
    <n v="0"/>
    <m/>
    <m/>
    <m/>
    <m/>
    <m/>
    <s v="Estoque Conforme"/>
    <s v="SEM SOLICITACAO / FABBISOGNO'S"/>
    <m/>
  </r>
  <r>
    <m/>
    <x v="1"/>
    <m/>
    <s v="ALM01063"/>
    <m/>
    <x v="1"/>
    <m/>
    <m/>
    <x v="1061"/>
    <m/>
    <m/>
    <m/>
    <m/>
    <m/>
    <s v="D2104"/>
    <s v="G0-3-6"/>
    <n v="8"/>
    <m/>
    <m/>
    <m/>
    <n v="0"/>
    <n v="0"/>
    <m/>
    <m/>
    <m/>
    <m/>
    <m/>
    <s v="Estoque Conforme"/>
    <s v="SEM SOLICITACAO / FABBISOGNO'S"/>
    <m/>
  </r>
  <r>
    <m/>
    <x v="1"/>
    <m/>
    <s v="ALM01064"/>
    <s v="GERAL"/>
    <x v="1"/>
    <m/>
    <m/>
    <x v="1062"/>
    <m/>
    <m/>
    <m/>
    <m/>
    <m/>
    <s v="D1104"/>
    <s v="G0-4-1"/>
    <n v="4"/>
    <n v="10"/>
    <n v="100"/>
    <m/>
    <n v="0"/>
    <n v="0"/>
    <m/>
    <m/>
    <m/>
    <m/>
    <m/>
    <s v="Estoque em Nivel Minimo"/>
    <s v="COM SOLICITACAO / EM PROCESSO DE COMPRAS"/>
    <s v="3374/19"/>
  </r>
  <r>
    <m/>
    <x v="1"/>
    <m/>
    <s v="ALM01065"/>
    <s v="GERAL"/>
    <x v="1"/>
    <m/>
    <m/>
    <x v="1063"/>
    <m/>
    <m/>
    <m/>
    <m/>
    <m/>
    <s v="D1104"/>
    <s v="G0-4-2"/>
    <n v="82"/>
    <n v="10"/>
    <n v="100"/>
    <m/>
    <n v="0"/>
    <n v="0"/>
    <m/>
    <m/>
    <m/>
    <m/>
    <m/>
    <s v="Estoque Conforme"/>
    <s v="SEM SOLICITACAO / FABBISOGNO'S"/>
    <m/>
  </r>
  <r>
    <m/>
    <x v="1"/>
    <m/>
    <s v="ALM01066"/>
    <s v="M10/11/12/15/16/37/38/39"/>
    <x v="1"/>
    <m/>
    <m/>
    <x v="1064"/>
    <m/>
    <m/>
    <m/>
    <m/>
    <m/>
    <s v="D1105"/>
    <s v="G0-3-7"/>
    <n v="0"/>
    <n v="1"/>
    <n v="5"/>
    <m/>
    <n v="0"/>
    <n v="0"/>
    <m/>
    <m/>
    <m/>
    <m/>
    <m/>
    <s v="Estoque Não Conforme"/>
    <s v="SEM SOLICITACAO / FABBISOGNO'S"/>
    <m/>
  </r>
  <r>
    <m/>
    <x v="1"/>
    <m/>
    <s v="ALM01067"/>
    <m/>
    <x v="1"/>
    <m/>
    <m/>
    <x v="1065"/>
    <m/>
    <m/>
    <m/>
    <m/>
    <m/>
    <s v="QUIMICO"/>
    <s v="QUIMICO"/>
    <n v="20"/>
    <n v="40"/>
    <n v="120"/>
    <n v="130"/>
    <n v="2600"/>
    <n v="5200"/>
    <m/>
    <m/>
    <m/>
    <m/>
    <m/>
    <s v="Estoque em Nivel Minimo"/>
    <s v="COM SOLICITACAO / EM PROCESSO DE COMPRAS"/>
    <s v="3376/19"/>
  </r>
  <r>
    <m/>
    <x v="1"/>
    <m/>
    <s v="ALM01068"/>
    <m/>
    <x v="1"/>
    <m/>
    <m/>
    <x v="1066"/>
    <m/>
    <m/>
    <m/>
    <m/>
    <m/>
    <s v="QUIMICO"/>
    <s v="QUIMICO"/>
    <n v="84"/>
    <n v="40"/>
    <n v="120"/>
    <n v="379.8"/>
    <n v="31903.200000000001"/>
    <n v="15192"/>
    <m/>
    <m/>
    <m/>
    <m/>
    <m/>
    <s v="Estoque Conforme"/>
    <s v="SEM SOLICITACAO / FABBISOGNO'S"/>
    <m/>
  </r>
  <r>
    <m/>
    <x v="1"/>
    <m/>
    <s v="ALM01069"/>
    <s v="EMPILHADEIRA"/>
    <x v="1"/>
    <m/>
    <m/>
    <x v="1067"/>
    <m/>
    <m/>
    <m/>
    <m/>
    <m/>
    <s v="QUIMICO"/>
    <s v="QUIMICO"/>
    <n v="7"/>
    <n v="80"/>
    <n v="140"/>
    <n v="2.2999999999999998"/>
    <n v="16.099999999999998"/>
    <n v="184"/>
    <m/>
    <m/>
    <m/>
    <m/>
    <m/>
    <s v="Estoque em Nivel Minimo"/>
    <s v="SEM SOLICITACAO / FABBISOGNO'S"/>
    <m/>
  </r>
  <r>
    <m/>
    <x v="1"/>
    <m/>
    <s v="ALM01070"/>
    <m/>
    <x v="1"/>
    <m/>
    <m/>
    <x v="1068"/>
    <m/>
    <m/>
    <m/>
    <m/>
    <m/>
    <s v="D2103"/>
    <s v="E3-3-1.2"/>
    <n v="6"/>
    <n v="4"/>
    <n v="10"/>
    <m/>
    <n v="0"/>
    <n v="0"/>
    <m/>
    <m/>
    <m/>
    <m/>
    <m/>
    <s v="Estoque Conforme"/>
    <s v="SEM SOLICITACAO / FABBISOGNO'S"/>
    <m/>
  </r>
  <r>
    <m/>
    <x v="1"/>
    <m/>
    <s v="ALM01071"/>
    <s v="ROBO DE COLA - M17"/>
    <x v="1"/>
    <m/>
    <m/>
    <x v="1069"/>
    <m/>
    <m/>
    <m/>
    <m/>
    <m/>
    <s v="E2303"/>
    <s v="AR. A1-1-1.1"/>
    <n v="0"/>
    <n v="2"/>
    <n v="4"/>
    <m/>
    <n v="0"/>
    <n v="0"/>
    <m/>
    <m/>
    <m/>
    <m/>
    <m/>
    <s v="Estoque Não Conforme"/>
    <s v="COM SOLICITACAO / EM PROCESSO DE COMPRAS"/>
    <s v="3221/19"/>
  </r>
  <r>
    <m/>
    <x v="1"/>
    <s v="B"/>
    <s v="ALM01072"/>
    <s v="ELETRICO"/>
    <x v="0"/>
    <m/>
    <m/>
    <x v="1070"/>
    <m/>
    <m/>
    <m/>
    <m/>
    <m/>
    <s v="A1304"/>
    <s v="A2-4-3.2"/>
    <n v="0"/>
    <n v="5"/>
    <n v="30"/>
    <m/>
    <n v="0"/>
    <n v="0"/>
    <m/>
    <m/>
    <m/>
    <m/>
    <m/>
    <s v="Estoque Não Conforme"/>
    <s v="COM SOLICITACAO / EM PROCESSO DE COMPRAS"/>
    <s v="3367/19"/>
  </r>
  <r>
    <m/>
    <x v="1"/>
    <m/>
    <s v="ALM01073"/>
    <s v="ELETRICO"/>
    <x v="0"/>
    <m/>
    <n v="900445"/>
    <x v="1071"/>
    <m/>
    <m/>
    <m/>
    <m/>
    <m/>
    <s v="A1304"/>
    <s v="A2-4-4.2"/>
    <n v="101"/>
    <n v="10"/>
    <n v="20"/>
    <n v="36.299999999999997"/>
    <n v="3666.2999999999997"/>
    <n v="363"/>
    <m/>
    <m/>
    <m/>
    <m/>
    <m/>
    <s v="Estoque Conforme"/>
    <s v="SEM SOLICITACAO / FABBISOGNO'S"/>
    <m/>
  </r>
  <r>
    <m/>
    <x v="1"/>
    <m/>
    <s v="ALM01074"/>
    <s v="MECANICO"/>
    <x v="1"/>
    <m/>
    <m/>
    <x v="1072"/>
    <m/>
    <m/>
    <m/>
    <m/>
    <m/>
    <s v="E2402"/>
    <s v="J3-5-8"/>
    <n v="0"/>
    <n v="2"/>
    <n v="10"/>
    <m/>
    <n v="0"/>
    <n v="0"/>
    <m/>
    <m/>
    <m/>
    <m/>
    <m/>
    <s v="Estoque Não Conforme"/>
    <s v="COM SOLICITACAO / EM PROCESSO DE COMPRAS"/>
    <s v="3376/19"/>
  </r>
  <r>
    <m/>
    <x v="1"/>
    <s v="B"/>
    <s v="ALM01075"/>
    <s v="MECANICO"/>
    <x v="1"/>
    <m/>
    <m/>
    <x v="1073"/>
    <m/>
    <m/>
    <m/>
    <m/>
    <m/>
    <s v="E2204"/>
    <s v="G0-4-3"/>
    <n v="0"/>
    <n v="10"/>
    <n v="20"/>
    <m/>
    <n v="0"/>
    <n v="0"/>
    <m/>
    <m/>
    <m/>
    <m/>
    <m/>
    <s v="Estoque Não Conforme"/>
    <s v="COM SOLICITACAO / EM PROCESSO DE COMPRAS"/>
    <s v="3254/19"/>
  </r>
  <r>
    <m/>
    <x v="1"/>
    <s v="B"/>
    <s v="ALM01076"/>
    <s v="GERAL"/>
    <x v="1"/>
    <m/>
    <m/>
    <x v="987"/>
    <m/>
    <m/>
    <m/>
    <m/>
    <m/>
    <m/>
    <s v="D0-2-1"/>
    <n v="3"/>
    <m/>
    <m/>
    <m/>
    <n v="0"/>
    <n v="0"/>
    <m/>
    <m/>
    <m/>
    <m/>
    <m/>
    <s v="Estoque Conforme"/>
    <s v="SEM SOLICITACAO / FABBISOGNO'S"/>
    <m/>
  </r>
  <r>
    <m/>
    <x v="1"/>
    <m/>
    <s v="ALM01077"/>
    <s v="ELETRICO"/>
    <x v="0"/>
    <m/>
    <m/>
    <x v="1074"/>
    <m/>
    <m/>
    <m/>
    <m/>
    <m/>
    <s v="A2102"/>
    <s v="B0-1-4"/>
    <n v="3"/>
    <n v="1"/>
    <n v="2"/>
    <m/>
    <n v="0"/>
    <n v="0"/>
    <m/>
    <m/>
    <m/>
    <m/>
    <m/>
    <s v="Estoque Conforme"/>
    <s v="SEM SOLICITACAO / FABBISOGNO'S"/>
    <m/>
  </r>
  <r>
    <m/>
    <x v="1"/>
    <m/>
    <s v="ALM01078"/>
    <m/>
    <x v="0"/>
    <m/>
    <m/>
    <x v="1075"/>
    <m/>
    <m/>
    <m/>
    <m/>
    <m/>
    <s v="A2102"/>
    <s v="B0-1-1"/>
    <n v="1"/>
    <n v="1"/>
    <n v="2"/>
    <n v="2400"/>
    <n v="2400"/>
    <n v="2400"/>
    <m/>
    <m/>
    <m/>
    <m/>
    <m/>
    <s v="Estoque Conforme"/>
    <s v="SEM SOLICITACAO / FABBISOGNO'S"/>
    <m/>
  </r>
  <r>
    <m/>
    <x v="1"/>
    <s v="B"/>
    <s v="ALM01079"/>
    <m/>
    <x v="1"/>
    <m/>
    <m/>
    <x v="1076"/>
    <m/>
    <m/>
    <m/>
    <m/>
    <m/>
    <s v="A2301"/>
    <s v="C0-1"/>
    <n v="7"/>
    <n v="2"/>
    <n v="10"/>
    <m/>
    <n v="0"/>
    <n v="0"/>
    <m/>
    <m/>
    <m/>
    <m/>
    <m/>
    <s v="Estoque Conforme"/>
    <s v="SEM SOLICITACAO / FABBISOGNO'S"/>
    <m/>
  </r>
  <r>
    <m/>
    <x v="1"/>
    <s v="B"/>
    <s v="ALM01080"/>
    <m/>
    <x v="0"/>
    <m/>
    <m/>
    <x v="1077"/>
    <m/>
    <m/>
    <m/>
    <m/>
    <m/>
    <s v="A2302"/>
    <s v="B2-2-5"/>
    <n v="15"/>
    <n v="5"/>
    <n v="10"/>
    <m/>
    <n v="0"/>
    <n v="0"/>
    <m/>
    <m/>
    <m/>
    <m/>
    <m/>
    <s v="Estoque Conforme"/>
    <s v="SEM SOLICITACAO / FABBISOGNO'S"/>
    <m/>
  </r>
  <r>
    <m/>
    <x v="1"/>
    <s v="C"/>
    <s v="ALM01081"/>
    <s v="GERAL"/>
    <x v="1"/>
    <m/>
    <m/>
    <x v="1078"/>
    <m/>
    <m/>
    <m/>
    <m/>
    <m/>
    <s v="CORREDOR"/>
    <s v="J5"/>
    <n v="1"/>
    <n v="1"/>
    <n v="2"/>
    <m/>
    <n v="0"/>
    <n v="0"/>
    <m/>
    <m/>
    <m/>
    <m/>
    <m/>
    <s v="Estoque Conforme"/>
    <s v="SEM SOLICITACAO / FABBISOGNO'S"/>
    <m/>
  </r>
  <r>
    <m/>
    <x v="1"/>
    <m/>
    <s v="ALM01082"/>
    <s v="MECANICO"/>
    <x v="1"/>
    <m/>
    <m/>
    <x v="1079"/>
    <m/>
    <m/>
    <m/>
    <m/>
    <m/>
    <s v="F2"/>
    <s v="M2-2"/>
    <n v="2"/>
    <n v="5"/>
    <n v="20"/>
    <m/>
    <n v="0"/>
    <n v="0"/>
    <m/>
    <m/>
    <m/>
    <m/>
    <m/>
    <s v="Estoque em Nivel Minimo"/>
    <s v="COM SOLICITACAO / EM PROCESSO DE COMPRAS"/>
    <s v="3374/19"/>
  </r>
  <r>
    <m/>
    <x v="1"/>
    <m/>
    <s v="ALM01083"/>
    <m/>
    <x v="0"/>
    <m/>
    <m/>
    <x v="1080"/>
    <m/>
    <m/>
    <m/>
    <m/>
    <m/>
    <s v="B1206"/>
    <s v="C0-1-3"/>
    <n v="1"/>
    <n v="1"/>
    <n v="2"/>
    <m/>
    <n v="0"/>
    <n v="0"/>
    <m/>
    <m/>
    <m/>
    <m/>
    <m/>
    <s v="Estoque Conforme"/>
    <s v="SEM SOLICITACAO / FABBISOGNO'S"/>
    <m/>
  </r>
  <r>
    <m/>
    <x v="1"/>
    <s v="C"/>
    <s v="ALM01084"/>
    <s v="GERAL"/>
    <x v="0"/>
    <m/>
    <m/>
    <x v="1081"/>
    <m/>
    <m/>
    <m/>
    <m/>
    <m/>
    <s v="A2301"/>
    <s v="C0-1-2"/>
    <n v="1"/>
    <n v="1"/>
    <n v="2"/>
    <m/>
    <n v="0"/>
    <n v="0"/>
    <m/>
    <m/>
    <m/>
    <m/>
    <m/>
    <s v="Estoque Conforme"/>
    <s v="SEM SOLICITACAO / FABBISOGNO'S"/>
    <m/>
  </r>
  <r>
    <m/>
    <x v="1"/>
    <m/>
    <s v="ALM01085"/>
    <m/>
    <x v="0"/>
    <m/>
    <m/>
    <x v="1082"/>
    <m/>
    <m/>
    <m/>
    <m/>
    <m/>
    <s v="A2304"/>
    <s v="C0-1-4"/>
    <n v="1"/>
    <n v="5"/>
    <n v="10"/>
    <m/>
    <n v="0"/>
    <n v="0"/>
    <m/>
    <m/>
    <m/>
    <m/>
    <m/>
    <s v="Estoque em Nivel Minimo"/>
    <s v="COM SOLICITACAO / EM PROCESSO DE COMPRAS"/>
    <s v="3367/19"/>
  </r>
  <r>
    <m/>
    <x v="1"/>
    <s v="C"/>
    <s v="ALM01086"/>
    <s v="SERRALHERIA"/>
    <x v="1"/>
    <m/>
    <n v="186086"/>
    <x v="1083"/>
    <m/>
    <m/>
    <m/>
    <m/>
    <m/>
    <s v="E2102"/>
    <s v="?"/>
    <n v="1"/>
    <n v="1"/>
    <n v="2"/>
    <n v="9.7183333333333337"/>
    <n v="9.7183333333333337"/>
    <n v="9.7183333333333337"/>
    <m/>
    <m/>
    <m/>
    <m/>
    <m/>
    <s v="Estoque Conforme"/>
    <s v="SEM SOLICITACAO / FABBISOGNO'S"/>
    <m/>
  </r>
  <r>
    <m/>
    <x v="1"/>
    <s v="B"/>
    <s v="ALM01087"/>
    <s v="M28"/>
    <x v="1"/>
    <m/>
    <s v="186084"/>
    <x v="1084"/>
    <m/>
    <m/>
    <m/>
    <m/>
    <m/>
    <s v="F2"/>
    <s v="?"/>
    <n v="0"/>
    <n v="100"/>
    <n v="200"/>
    <n v="4.375"/>
    <n v="0"/>
    <n v="437.5"/>
    <m/>
    <m/>
    <m/>
    <m/>
    <m/>
    <s v="Estoque Não Conforme"/>
    <s v="COM SOLICITACAO / EM PROCESSO DE COMPRAS"/>
    <s v="3374/19"/>
  </r>
  <r>
    <m/>
    <x v="1"/>
    <m/>
    <s v="ALM01088"/>
    <s v="SERRALHERIA"/>
    <x v="1"/>
    <m/>
    <n v="186186"/>
    <x v="1085"/>
    <m/>
    <m/>
    <m/>
    <m/>
    <m/>
    <s v="F2"/>
    <s v="?"/>
    <n v="-770"/>
    <n v="10"/>
    <n v="30"/>
    <n v="15.2005"/>
    <n v="-11704.385"/>
    <n v="152.005"/>
    <m/>
    <m/>
    <m/>
    <m/>
    <m/>
    <s v="Estoque em Nivel Minimo"/>
    <s v="COM SOLICITACAO / EM PROCESSO DE COMPRAS"/>
    <s v="3374/19"/>
  </r>
  <r>
    <m/>
    <x v="1"/>
    <s v="A"/>
    <s v="ALM01089"/>
    <s v="M28/M30/M32/M33"/>
    <x v="1"/>
    <m/>
    <n v="186328"/>
    <x v="1086"/>
    <m/>
    <m/>
    <m/>
    <m/>
    <m/>
    <s v="E2304"/>
    <s v="?"/>
    <n v="1"/>
    <n v="1"/>
    <n v="3"/>
    <m/>
    <n v="0"/>
    <n v="0"/>
    <m/>
    <m/>
    <m/>
    <m/>
    <m/>
    <s v="Estoque Conforme"/>
    <s v="SEM SOLICITACAO / FABBISOGNO'S"/>
    <m/>
  </r>
  <r>
    <m/>
    <x v="1"/>
    <m/>
    <s v="ALM01090"/>
    <m/>
    <x v="1"/>
    <m/>
    <m/>
    <x v="1087"/>
    <m/>
    <m/>
    <m/>
    <m/>
    <m/>
    <s v="E2402"/>
    <s v="J3-5-3.1"/>
    <n v="1"/>
    <n v="2"/>
    <n v="5"/>
    <m/>
    <n v="0"/>
    <n v="0"/>
    <m/>
    <m/>
    <m/>
    <m/>
    <m/>
    <s v="Estoque em Nivel Minimo"/>
    <s v="SEM SOLICITACAO / FABBISOGNO'S"/>
    <m/>
  </r>
  <r>
    <m/>
    <x v="1"/>
    <m/>
    <s v="ALM01091"/>
    <m/>
    <x v="1"/>
    <m/>
    <m/>
    <x v="1088"/>
    <m/>
    <m/>
    <m/>
    <m/>
    <m/>
    <s v="SUPORTE"/>
    <s v="SUPORTE 6"/>
    <n v="0"/>
    <n v="2"/>
    <n v="3"/>
    <m/>
    <n v="0"/>
    <n v="0"/>
    <m/>
    <m/>
    <m/>
    <m/>
    <m/>
    <s v="Estoque Não Conforme"/>
    <s v="SEM SOLICITACAO / FABBISOGNO'S"/>
    <m/>
  </r>
  <r>
    <m/>
    <x v="1"/>
    <m/>
    <s v="ALM01092"/>
    <m/>
    <x v="1"/>
    <m/>
    <m/>
    <x v="1089"/>
    <m/>
    <m/>
    <m/>
    <m/>
    <m/>
    <s v="SUPORTE"/>
    <s v="SUPORTE 6"/>
    <n v="3"/>
    <n v="2"/>
    <n v="3"/>
    <m/>
    <n v="0"/>
    <n v="0"/>
    <m/>
    <m/>
    <m/>
    <m/>
    <m/>
    <s v="Estoque Conforme"/>
    <s v="SEM SOLICITACAO / FABBISOGNO'S"/>
    <m/>
  </r>
  <r>
    <m/>
    <x v="1"/>
    <m/>
    <s v="ALM01093"/>
    <m/>
    <x v="1"/>
    <m/>
    <m/>
    <x v="1090"/>
    <m/>
    <m/>
    <m/>
    <m/>
    <m/>
    <s v="SUPORTE"/>
    <s v="SUPORTE 6"/>
    <n v="8"/>
    <n v="2"/>
    <n v="3"/>
    <m/>
    <n v="0"/>
    <n v="0"/>
    <m/>
    <m/>
    <m/>
    <m/>
    <m/>
    <s v="Estoque Conforme"/>
    <s v="SEM SOLICITACAO / FABBISOGNO'S"/>
    <m/>
  </r>
  <r>
    <m/>
    <x v="1"/>
    <m/>
    <s v="ALM01094"/>
    <m/>
    <x v="1"/>
    <m/>
    <m/>
    <x v="1091"/>
    <m/>
    <m/>
    <m/>
    <m/>
    <m/>
    <s v="SUPORTE"/>
    <s v="SUPORTE 6"/>
    <n v="4"/>
    <n v="2"/>
    <n v="3"/>
    <m/>
    <n v="0"/>
    <n v="0"/>
    <m/>
    <m/>
    <m/>
    <m/>
    <m/>
    <s v="Estoque Conforme"/>
    <s v="SEM SOLICITACAO / FABBISOGNO'S"/>
    <m/>
  </r>
  <r>
    <m/>
    <x v="1"/>
    <m/>
    <s v="ALM01095"/>
    <m/>
    <x v="1"/>
    <m/>
    <m/>
    <x v="1092"/>
    <m/>
    <m/>
    <m/>
    <m/>
    <m/>
    <s v="SUPORTE"/>
    <s v="SUPORTE 6"/>
    <n v="2"/>
    <n v="2"/>
    <n v="3"/>
    <m/>
    <n v="0"/>
    <n v="0"/>
    <m/>
    <m/>
    <m/>
    <m/>
    <m/>
    <s v="Estoque Conforme"/>
    <s v="SEM SOLICITACAO / FABBISOGNO'S"/>
    <m/>
  </r>
  <r>
    <m/>
    <x v="1"/>
    <m/>
    <s v="ALM01096"/>
    <m/>
    <x v="1"/>
    <m/>
    <m/>
    <x v="1093"/>
    <m/>
    <m/>
    <m/>
    <m/>
    <m/>
    <s v="SUPORTE"/>
    <s v="SUPORTE 6"/>
    <n v="1"/>
    <n v="2"/>
    <n v="3"/>
    <m/>
    <n v="0"/>
    <n v="0"/>
    <m/>
    <m/>
    <m/>
    <m/>
    <m/>
    <s v="Estoque em Nivel Minimo"/>
    <s v="SEM SOLICITACAO / FABBISOGNO'S"/>
    <m/>
  </r>
  <r>
    <m/>
    <x v="1"/>
    <m/>
    <s v="ALM01097"/>
    <m/>
    <x v="1"/>
    <m/>
    <m/>
    <x v="1094"/>
    <m/>
    <m/>
    <m/>
    <m/>
    <m/>
    <s v="SUPORTE"/>
    <s v="SUPORTE6"/>
    <n v="2"/>
    <n v="2"/>
    <n v="3"/>
    <m/>
    <n v="0"/>
    <n v="0"/>
    <m/>
    <m/>
    <m/>
    <m/>
    <m/>
    <s v="Estoque Conforme"/>
    <s v="SEM SOLICITACAO / FABBISOGNO'S"/>
    <m/>
  </r>
  <r>
    <m/>
    <x v="1"/>
    <s v="A"/>
    <s v="ALM01098"/>
    <s v="ELETRICO"/>
    <x v="0"/>
    <m/>
    <m/>
    <x v="1095"/>
    <m/>
    <m/>
    <m/>
    <m/>
    <m/>
    <s v="F2"/>
    <s v="?"/>
    <n v="8"/>
    <n v="2"/>
    <n v="6"/>
    <m/>
    <n v="0"/>
    <n v="0"/>
    <m/>
    <m/>
    <m/>
    <m/>
    <m/>
    <s v="Estoque Conforme"/>
    <s v="SEM SOLICITACAO / FABBISOGNO'S"/>
    <m/>
  </r>
  <r>
    <m/>
    <x v="1"/>
    <s v="A"/>
    <s v="ALM01099"/>
    <s v="ELETRICO"/>
    <x v="0"/>
    <m/>
    <m/>
    <x v="1096"/>
    <m/>
    <m/>
    <m/>
    <m/>
    <m/>
    <s v="F2"/>
    <s v="?"/>
    <n v="2"/>
    <n v="2"/>
    <n v="6"/>
    <m/>
    <n v="0"/>
    <n v="0"/>
    <m/>
    <m/>
    <m/>
    <m/>
    <m/>
    <s v="Estoque Conforme"/>
    <s v="SEM SOLICITACAO / FABBISOGNO'S"/>
    <m/>
  </r>
  <r>
    <m/>
    <x v="1"/>
    <s v="A"/>
    <s v="ALM01100"/>
    <s v="ELETRICO"/>
    <x v="0"/>
    <m/>
    <m/>
    <x v="1097"/>
    <m/>
    <m/>
    <m/>
    <m/>
    <m/>
    <s v="F2"/>
    <s v="?"/>
    <n v="11"/>
    <n v="4"/>
    <n v="12"/>
    <m/>
    <n v="0"/>
    <n v="0"/>
    <m/>
    <m/>
    <m/>
    <m/>
    <m/>
    <s v="Estoque Conforme"/>
    <s v="SEM SOLICITACAO / FABBISOGNO'S"/>
    <m/>
  </r>
  <r>
    <m/>
    <x v="1"/>
    <s v="A"/>
    <s v="ALM01101"/>
    <s v="ELETRICO"/>
    <x v="0"/>
    <m/>
    <m/>
    <x v="1098"/>
    <m/>
    <m/>
    <m/>
    <m/>
    <m/>
    <s v="F2"/>
    <s v="?"/>
    <n v="6"/>
    <n v="2"/>
    <n v="6"/>
    <m/>
    <n v="0"/>
    <n v="0"/>
    <m/>
    <m/>
    <m/>
    <m/>
    <m/>
    <s v="Estoque Conforme"/>
    <s v="SEM SOLICITACAO / FABBISOGNO'S"/>
    <m/>
  </r>
  <r>
    <m/>
    <x v="1"/>
    <s v="A"/>
    <s v="ALM01102"/>
    <s v="ELETRICO"/>
    <x v="0"/>
    <m/>
    <m/>
    <x v="1099"/>
    <m/>
    <m/>
    <m/>
    <m/>
    <m/>
    <s v="F2"/>
    <s v="?"/>
    <n v="2"/>
    <n v="2"/>
    <n v="8"/>
    <m/>
    <n v="0"/>
    <n v="0"/>
    <m/>
    <m/>
    <m/>
    <m/>
    <m/>
    <s v="Estoque Conforme"/>
    <s v="SEM SOLICITACAO / FABBISOGNO'S"/>
    <m/>
  </r>
  <r>
    <m/>
    <x v="1"/>
    <s v="A"/>
    <s v="ALM01103"/>
    <s v="ELETRICO"/>
    <x v="0"/>
    <m/>
    <m/>
    <x v="1100"/>
    <m/>
    <m/>
    <m/>
    <m/>
    <m/>
    <s v="F2"/>
    <s v="?"/>
    <n v="2"/>
    <n v="2"/>
    <n v="8"/>
    <m/>
    <n v="0"/>
    <n v="0"/>
    <m/>
    <m/>
    <m/>
    <m/>
    <m/>
    <s v="Estoque Conforme"/>
    <s v="SEM SOLICITACAO / FABBISOGNO'S"/>
    <m/>
  </r>
  <r>
    <m/>
    <x v="1"/>
    <s v="A"/>
    <s v="ALM01104"/>
    <s v="ELETRICO"/>
    <x v="0"/>
    <m/>
    <m/>
    <x v="1101"/>
    <m/>
    <m/>
    <m/>
    <m/>
    <m/>
    <s v="F2"/>
    <s v="?"/>
    <n v="2"/>
    <n v="2"/>
    <n v="6"/>
    <m/>
    <n v="0"/>
    <n v="0"/>
    <m/>
    <m/>
    <m/>
    <m/>
    <m/>
    <s v="Estoque Conforme"/>
    <s v="SEM SOLICITACAO / FABBISOGNO'S"/>
    <m/>
  </r>
  <r>
    <m/>
    <x v="1"/>
    <s v="A"/>
    <s v="ALM01105"/>
    <s v="ELETRICO"/>
    <x v="0"/>
    <m/>
    <m/>
    <x v="1102"/>
    <m/>
    <m/>
    <m/>
    <m/>
    <m/>
    <s v="F2"/>
    <s v="?"/>
    <n v="2"/>
    <n v="2"/>
    <n v="8"/>
    <m/>
    <n v="0"/>
    <n v="0"/>
    <m/>
    <m/>
    <m/>
    <m/>
    <m/>
    <s v="Estoque Conforme"/>
    <s v="SEM SOLICITACAO / FABBISOGNO'S"/>
    <m/>
  </r>
  <r>
    <m/>
    <x v="1"/>
    <s v="A"/>
    <s v="ALM01106"/>
    <s v="ELETRICO"/>
    <x v="0"/>
    <m/>
    <m/>
    <x v="1103"/>
    <m/>
    <m/>
    <m/>
    <m/>
    <m/>
    <s v="F2"/>
    <s v="?"/>
    <n v="1"/>
    <n v="2"/>
    <n v="8"/>
    <m/>
    <n v="0"/>
    <n v="0"/>
    <m/>
    <m/>
    <m/>
    <m/>
    <m/>
    <s v="Estoque em Nivel Minimo"/>
    <s v="SEM SOLICITACAO / FABBISOGNO'S"/>
    <m/>
  </r>
  <r>
    <m/>
    <x v="1"/>
    <s v="A"/>
    <s v="ALM01107"/>
    <s v="ELETRICO"/>
    <x v="0"/>
    <m/>
    <m/>
    <x v="1104"/>
    <m/>
    <m/>
    <m/>
    <m/>
    <m/>
    <s v="F2"/>
    <s v="?"/>
    <n v="1"/>
    <n v="2"/>
    <n v="6"/>
    <m/>
    <n v="0"/>
    <n v="0"/>
    <m/>
    <m/>
    <m/>
    <m/>
    <m/>
    <s v="Estoque em Nivel Minimo"/>
    <s v="SEM SOLICITACAO / FABBISOGNO'S"/>
    <m/>
  </r>
  <r>
    <m/>
    <x v="1"/>
    <s v="C"/>
    <s v="ALM01108"/>
    <s v="GERAL"/>
    <x v="1"/>
    <m/>
    <m/>
    <x v="1105"/>
    <m/>
    <m/>
    <m/>
    <m/>
    <m/>
    <s v="D1104"/>
    <s v="H0-3-1"/>
    <n v="87"/>
    <n v="3"/>
    <n v="100"/>
    <m/>
    <n v="0"/>
    <n v="0"/>
    <m/>
    <m/>
    <m/>
    <m/>
    <m/>
    <s v="Estoque Conforme"/>
    <s v="SEM SOLICITACAO / FABBISOGNO'S"/>
    <m/>
  </r>
  <r>
    <m/>
    <x v="1"/>
    <s v="C"/>
    <s v="ALM01109"/>
    <s v="GERAL"/>
    <x v="1"/>
    <m/>
    <m/>
    <x v="1106"/>
    <m/>
    <m/>
    <m/>
    <m/>
    <m/>
    <s v="D1104"/>
    <s v="H0-3-2"/>
    <n v="36"/>
    <n v="3"/>
    <n v="100"/>
    <m/>
    <n v="0"/>
    <n v="0"/>
    <m/>
    <m/>
    <m/>
    <m/>
    <m/>
    <s v="Estoque Conforme"/>
    <s v="SEM SOLICITACAO / FABBISOGNO'S"/>
    <m/>
  </r>
  <r>
    <m/>
    <x v="1"/>
    <s v="A"/>
    <s v="ALM01110"/>
    <s v="F.FENDER - M06"/>
    <x v="1"/>
    <m/>
    <m/>
    <x v="1107"/>
    <m/>
    <m/>
    <m/>
    <m/>
    <m/>
    <m/>
    <s v="J6"/>
    <n v="2"/>
    <n v="1"/>
    <n v="3"/>
    <m/>
    <n v="0"/>
    <n v="0"/>
    <m/>
    <m/>
    <m/>
    <m/>
    <m/>
    <s v="Estoque Conforme"/>
    <s v="SEM SOLICITACAO / FABBISOGNO'S"/>
    <m/>
  </r>
  <r>
    <m/>
    <x v="1"/>
    <s v="B"/>
    <s v="ALM01111"/>
    <s v="F.FENDER - M06"/>
    <x v="1"/>
    <m/>
    <m/>
    <x v="1108"/>
    <m/>
    <m/>
    <m/>
    <m/>
    <m/>
    <n v="41402"/>
    <s v="G3-2-2"/>
    <n v="0"/>
    <n v="5"/>
    <n v="10"/>
    <m/>
    <n v="0"/>
    <n v="0"/>
    <m/>
    <m/>
    <m/>
    <m/>
    <m/>
    <s v="Estoque Não Conforme"/>
    <s v="COM SOLICITACAO / EM PROCESSO DE COMPRAS"/>
    <s v="3374/19"/>
  </r>
  <r>
    <m/>
    <x v="1"/>
    <s v="A"/>
    <s v="ALM01112"/>
    <s v="F.FENDER - M06"/>
    <x v="0"/>
    <m/>
    <m/>
    <x v="1109"/>
    <m/>
    <m/>
    <m/>
    <m/>
    <m/>
    <s v="B1203"/>
    <s v="C1-3-8"/>
    <n v="0"/>
    <n v="1"/>
    <n v="3"/>
    <m/>
    <n v="0"/>
    <n v="0"/>
    <m/>
    <m/>
    <m/>
    <m/>
    <m/>
    <s v="Estoque Não Conforme"/>
    <s v="COM SOLICITACAO / EM PROCESSO DE COMPRAS"/>
    <s v="3367/19"/>
  </r>
  <r>
    <m/>
    <x v="1"/>
    <s v="A"/>
    <s v="ALM01113"/>
    <s v="F.FENDER - M06"/>
    <x v="0"/>
    <m/>
    <m/>
    <x v="1110"/>
    <m/>
    <m/>
    <m/>
    <m/>
    <m/>
    <s v="A1303"/>
    <s v="A2-4-2.2"/>
    <n v="0"/>
    <n v="2"/>
    <n v="4"/>
    <m/>
    <n v="0"/>
    <n v="0"/>
    <m/>
    <m/>
    <m/>
    <m/>
    <m/>
    <s v="Estoque Não Conforme"/>
    <s v="COM SOLICITACAO / EM PROCESSO DE COMPRAS"/>
    <s v="3367/19"/>
  </r>
  <r>
    <m/>
    <x v="1"/>
    <s v="B"/>
    <s v="ALM01114"/>
    <s v="F.FENDER - M06"/>
    <x v="0"/>
    <m/>
    <m/>
    <x v="1111"/>
    <m/>
    <m/>
    <m/>
    <m/>
    <m/>
    <s v="A24A06"/>
    <s v="E2-4-5.1"/>
    <n v="0"/>
    <n v="2"/>
    <n v="10"/>
    <m/>
    <n v="0"/>
    <n v="0"/>
    <m/>
    <m/>
    <m/>
    <m/>
    <m/>
    <s v="Estoque Não Conforme"/>
    <s v="COM SOLICITACAO / EM PROCESSO DE COMPRAS"/>
    <s v="3367/20"/>
  </r>
  <r>
    <m/>
    <x v="1"/>
    <s v="B"/>
    <s v="ALM01115"/>
    <s v="F.FENDER - M06"/>
    <x v="2"/>
    <m/>
    <m/>
    <x v="1112"/>
    <m/>
    <m/>
    <m/>
    <m/>
    <m/>
    <s v="C1205"/>
    <s v="D3-3-5.1"/>
    <n v="0"/>
    <n v="1"/>
    <n v="3"/>
    <m/>
    <n v="0"/>
    <n v="0"/>
    <m/>
    <m/>
    <m/>
    <m/>
    <m/>
    <s v="Estoque Não Conforme"/>
    <s v="COM SOLICITACAO / EM PROCESSO DE COMPRAS"/>
    <s v="3366/19"/>
  </r>
  <r>
    <m/>
    <x v="1"/>
    <s v="B"/>
    <s v="ALM01116"/>
    <s v="COLEIRO  VALCO MELTON "/>
    <x v="0"/>
    <m/>
    <m/>
    <x v="1113"/>
    <m/>
    <m/>
    <m/>
    <m/>
    <m/>
    <s v="A1102"/>
    <s v="A0-2-1"/>
    <n v="1"/>
    <n v="1"/>
    <n v="2"/>
    <m/>
    <n v="0"/>
    <n v="0"/>
    <m/>
    <m/>
    <m/>
    <m/>
    <m/>
    <s v="Estoque Conforme"/>
    <s v="SEM SOLICITACAO / FABBISOGNO'S"/>
    <m/>
  </r>
  <r>
    <m/>
    <x v="1"/>
    <s v="B"/>
    <s v="ALM01117"/>
    <s v="COLEIRO  VALCO MELTON "/>
    <x v="0"/>
    <m/>
    <m/>
    <x v="1114"/>
    <m/>
    <m/>
    <m/>
    <m/>
    <m/>
    <s v="A1102"/>
    <s v="A0-2-2"/>
    <n v="1"/>
    <n v="1"/>
    <n v="2"/>
    <m/>
    <n v="0"/>
    <n v="0"/>
    <m/>
    <m/>
    <m/>
    <m/>
    <m/>
    <s v="Estoque Conforme"/>
    <s v="SEM SOLICITACAO / FABBISOGNO'S"/>
    <m/>
  </r>
  <r>
    <m/>
    <x v="1"/>
    <s v="B"/>
    <s v="ALM01118"/>
    <s v="COLEIRO  VALCO MELTON "/>
    <x v="0"/>
    <m/>
    <m/>
    <x v="1115"/>
    <m/>
    <m/>
    <m/>
    <m/>
    <m/>
    <s v="A1102"/>
    <s v="A0-2-3"/>
    <n v="1"/>
    <n v="2"/>
    <n v="4"/>
    <m/>
    <n v="0"/>
    <n v="0"/>
    <m/>
    <m/>
    <m/>
    <m/>
    <m/>
    <s v="Estoque em Nivel Minimo"/>
    <s v="SEM SOLICITACAO / FABBISOGNO'S"/>
    <m/>
  </r>
  <r>
    <m/>
    <x v="1"/>
    <s v="B"/>
    <s v="ALM01119"/>
    <s v="COLEIRO  VALCO MELTON "/>
    <x v="1"/>
    <m/>
    <m/>
    <x v="1116"/>
    <m/>
    <m/>
    <m/>
    <m/>
    <m/>
    <s v="E1304"/>
    <s v="A0-3-3.1"/>
    <n v="1"/>
    <n v="2"/>
    <n v="6"/>
    <m/>
    <n v="0"/>
    <n v="0"/>
    <m/>
    <m/>
    <m/>
    <m/>
    <m/>
    <s v="Estoque em Nivel Minimo"/>
    <s v="COM SOLICITACAO / EM PROCESSO DE COMPRAS"/>
    <s v="3378/19"/>
  </r>
  <r>
    <m/>
    <x v="1"/>
    <s v="B"/>
    <s v="ALM01120"/>
    <s v="COLEIRO  VALCO MELTON "/>
    <x v="0"/>
    <m/>
    <m/>
    <x v="1117"/>
    <m/>
    <m/>
    <m/>
    <m/>
    <m/>
    <s v="A1103"/>
    <s v="A0-3-3.2"/>
    <n v="1"/>
    <n v="1"/>
    <n v="3"/>
    <m/>
    <n v="0"/>
    <n v="0"/>
    <m/>
    <m/>
    <m/>
    <m/>
    <m/>
    <s v="Estoque Conforme"/>
    <s v="SEM SOLICITACAO / FABBISOGNO'S"/>
    <m/>
  </r>
  <r>
    <m/>
    <x v="1"/>
    <s v="B"/>
    <s v="ALM01121"/>
    <s v="M28"/>
    <x v="0"/>
    <m/>
    <m/>
    <x v="1118"/>
    <m/>
    <m/>
    <m/>
    <m/>
    <m/>
    <s v="A2105"/>
    <s v="G0-2-3"/>
    <n v="-2"/>
    <n v="4"/>
    <n v="20"/>
    <m/>
    <n v="0"/>
    <n v="0"/>
    <m/>
    <m/>
    <m/>
    <m/>
    <m/>
    <s v="Estoque em Nivel Minimo"/>
    <s v="SEM SOLICITACAO / FABBISOGNO'S"/>
    <m/>
  </r>
  <r>
    <m/>
    <x v="1"/>
    <s v="B"/>
    <s v="ALM01122"/>
    <s v="ELETRICO"/>
    <x v="0"/>
    <m/>
    <m/>
    <x v="1119"/>
    <m/>
    <m/>
    <m/>
    <m/>
    <m/>
    <s v="A1304"/>
    <s v="A2-4-1.2"/>
    <n v="3"/>
    <n v="2"/>
    <n v="16"/>
    <m/>
    <n v="0"/>
    <n v="0"/>
    <m/>
    <m/>
    <m/>
    <m/>
    <m/>
    <s v="Estoque Conforme"/>
    <s v="SEM SOLICITACAO / FABBISOGNO'S"/>
    <m/>
  </r>
  <r>
    <m/>
    <x v="1"/>
    <s v="C"/>
    <s v="ALM01123"/>
    <s v="ELETRICO"/>
    <x v="0"/>
    <m/>
    <m/>
    <x v="1120"/>
    <m/>
    <m/>
    <m/>
    <m/>
    <m/>
    <s v="A1404"/>
    <s v="A3-4-5"/>
    <n v="4"/>
    <n v="2"/>
    <n v="8"/>
    <m/>
    <n v="0"/>
    <n v="0"/>
    <m/>
    <m/>
    <m/>
    <m/>
    <m/>
    <s v="Estoque Conforme"/>
    <s v="SEM SOLICITACAO / FABBISOGNO'S"/>
    <m/>
  </r>
  <r>
    <m/>
    <x v="1"/>
    <s v="B"/>
    <s v="ALM01124"/>
    <s v="ELETRICO"/>
    <x v="0"/>
    <m/>
    <m/>
    <x v="1121"/>
    <m/>
    <m/>
    <m/>
    <m/>
    <m/>
    <s v="A1204"/>
    <s v="A1-4-6.1"/>
    <n v="2"/>
    <n v="2"/>
    <n v="4"/>
    <m/>
    <n v="0"/>
    <n v="0"/>
    <m/>
    <m/>
    <m/>
    <m/>
    <m/>
    <s v="Estoque Conforme"/>
    <s v="SEM SOLICITACAO / FABBISOGNO'S"/>
    <m/>
  </r>
  <r>
    <m/>
    <x v="1"/>
    <s v="B"/>
    <s v="ALM01125"/>
    <s v="ELETRICO"/>
    <x v="0"/>
    <m/>
    <m/>
    <x v="1122"/>
    <m/>
    <m/>
    <m/>
    <m/>
    <m/>
    <s v="A1204"/>
    <s v="A1-4-6.2"/>
    <n v="1"/>
    <n v="2"/>
    <n v="4"/>
    <m/>
    <n v="0"/>
    <n v="0"/>
    <m/>
    <m/>
    <m/>
    <m/>
    <m/>
    <s v="Estoque em Nivel Minimo"/>
    <s v="COM SOLICITACAO / EM PROCESSO DE COMPRAS"/>
    <s v="3367/19"/>
  </r>
  <r>
    <m/>
    <x v="1"/>
    <s v="B"/>
    <s v="ALM01126"/>
    <s v="ELETRICO"/>
    <x v="0"/>
    <m/>
    <m/>
    <x v="1123"/>
    <m/>
    <m/>
    <m/>
    <m/>
    <m/>
    <s v="A1204"/>
    <s v="A1-4-6.3"/>
    <n v="2"/>
    <n v="2"/>
    <n v="4"/>
    <m/>
    <n v="0"/>
    <n v="0"/>
    <m/>
    <m/>
    <m/>
    <m/>
    <m/>
    <s v="Estoque Conforme"/>
    <s v="SEM SOLICITACAO / FABBISOGNO'S"/>
    <m/>
  </r>
  <r>
    <m/>
    <x v="1"/>
    <s v="B"/>
    <s v="ALM01127"/>
    <s v="ELETRICO"/>
    <x v="0"/>
    <m/>
    <m/>
    <x v="1124"/>
    <m/>
    <m/>
    <m/>
    <m/>
    <m/>
    <s v="A1204"/>
    <s v="A1-4-6.4"/>
    <n v="1"/>
    <n v="2"/>
    <n v="4"/>
    <m/>
    <n v="0"/>
    <n v="0"/>
    <m/>
    <m/>
    <m/>
    <m/>
    <m/>
    <s v="Estoque em Nivel Minimo"/>
    <s v="COM SOLICITACAO / EM PROCESSO DE COMPRAS"/>
    <s v="3367/19"/>
  </r>
  <r>
    <m/>
    <x v="1"/>
    <s v="B"/>
    <s v="ALM01128"/>
    <s v="ELETRICO"/>
    <x v="0"/>
    <m/>
    <m/>
    <x v="1125"/>
    <m/>
    <m/>
    <m/>
    <m/>
    <m/>
    <s v="A1401"/>
    <s v="A3-1-1"/>
    <n v="1"/>
    <n v="2"/>
    <n v="4"/>
    <m/>
    <n v="0"/>
    <n v="0"/>
    <m/>
    <m/>
    <m/>
    <m/>
    <m/>
    <s v="Estoque em Nivel Minimo"/>
    <s v="COM SOLICITACAO / EM PROCESSO DE COMPRAS"/>
    <s v="3367/19"/>
  </r>
  <r>
    <m/>
    <x v="1"/>
    <s v="B"/>
    <s v="ALM01129"/>
    <s v="ELETRICO"/>
    <x v="0"/>
    <m/>
    <m/>
    <x v="1126"/>
    <m/>
    <m/>
    <m/>
    <m/>
    <m/>
    <s v="A1401"/>
    <s v="A3-1-2"/>
    <n v="5"/>
    <n v="2"/>
    <n v="6"/>
    <m/>
    <n v="0"/>
    <n v="0"/>
    <m/>
    <m/>
    <m/>
    <m/>
    <m/>
    <s v="Estoque Conforme"/>
    <s v="SEM SOLICITACAO / FABBISOGNO'S"/>
    <m/>
  </r>
  <r>
    <m/>
    <x v="1"/>
    <s v="A"/>
    <s v="ALM01130"/>
    <s v="PREN.HIDR. 300 TON-M15/M16/M30"/>
    <x v="3"/>
    <m/>
    <s v="182127"/>
    <x v="1127"/>
    <m/>
    <m/>
    <m/>
    <m/>
    <m/>
    <m/>
    <s v="PISO A1"/>
    <n v="1"/>
    <n v="1"/>
    <n v="2"/>
    <n v="66325.75"/>
    <n v="66325.75"/>
    <n v="66325.75"/>
    <m/>
    <m/>
    <m/>
    <m/>
    <m/>
    <s v="Estoque Conforme"/>
    <s v="SEM SOLICITACAO / FABBISOGNO'S"/>
    <m/>
  </r>
  <r>
    <m/>
    <x v="1"/>
    <s v="A"/>
    <s v="ALM01131"/>
    <s v="PREN.HIDR. 300 TON-M15/M16/M30"/>
    <x v="3"/>
    <m/>
    <m/>
    <x v="1128"/>
    <m/>
    <m/>
    <m/>
    <m/>
    <m/>
    <m/>
    <s v="PISO A1"/>
    <n v="1"/>
    <n v="1"/>
    <n v="1"/>
    <n v="4800"/>
    <n v="4800"/>
    <n v="4800"/>
    <m/>
    <m/>
    <m/>
    <m/>
    <m/>
    <s v="Estoque Conforme"/>
    <s v="SEM SOLICITACAO / FABBISOGNO'S"/>
    <m/>
  </r>
  <r>
    <m/>
    <x v="1"/>
    <s v="A"/>
    <s v="ALM01132"/>
    <s v="LAMINADORA H. - M04"/>
    <x v="3"/>
    <m/>
    <s v="801646"/>
    <x v="1129"/>
    <m/>
    <m/>
    <m/>
    <m/>
    <m/>
    <m/>
    <s v="PISO A2"/>
    <n v="1"/>
    <n v="1"/>
    <n v="1"/>
    <n v="6846.701"/>
    <n v="6846.701"/>
    <n v="6846.701"/>
    <m/>
    <m/>
    <m/>
    <m/>
    <m/>
    <s v="Estoque Conforme"/>
    <s v="SEM SOLICITACAO / FABBISOGNO'S"/>
    <m/>
  </r>
  <r>
    <m/>
    <x v="1"/>
    <s v="A"/>
    <s v="ALM01133"/>
    <s v="LAMINADORA H. - M04"/>
    <x v="3"/>
    <m/>
    <s v="801645"/>
    <x v="1130"/>
    <m/>
    <m/>
    <m/>
    <m/>
    <m/>
    <m/>
    <s v="PISO A2"/>
    <n v="1"/>
    <n v="1"/>
    <n v="2"/>
    <n v="2903.453"/>
    <n v="2903.453"/>
    <n v="2903.453"/>
    <m/>
    <m/>
    <m/>
    <m/>
    <m/>
    <s v="Estoque Conforme"/>
    <s v="SEM SOLICITACAO / FABBISOGNO'S"/>
    <m/>
  </r>
  <r>
    <m/>
    <x v="1"/>
    <s v="A"/>
    <s v="ALM01134"/>
    <s v="LAMINADORA H. - M04"/>
    <x v="3"/>
    <m/>
    <s v="801644"/>
    <x v="1131"/>
    <m/>
    <m/>
    <m/>
    <m/>
    <m/>
    <m/>
    <s v="PISO A2"/>
    <n v="2"/>
    <n v="1"/>
    <n v="4"/>
    <n v="96.41"/>
    <n v="192.82"/>
    <n v="96.41"/>
    <m/>
    <m/>
    <m/>
    <m/>
    <m/>
    <s v="Estoque Conforme"/>
    <s v="SEM SOLICITACAO / FABBISOGNO'S"/>
    <m/>
  </r>
  <r>
    <m/>
    <x v="1"/>
    <s v="A"/>
    <s v="ALM01135"/>
    <s v="LAMINADORA H. - M04"/>
    <x v="3"/>
    <m/>
    <s v="801643"/>
    <x v="1132"/>
    <m/>
    <m/>
    <m/>
    <m/>
    <m/>
    <m/>
    <s v="PISO A2"/>
    <n v="4"/>
    <n v="1"/>
    <n v="2"/>
    <n v="99.903999999999996"/>
    <n v="399.61599999999999"/>
    <n v="99.903999999999996"/>
    <m/>
    <m/>
    <m/>
    <m/>
    <m/>
    <s v="Estoque Conforme"/>
    <s v="SEM SOLICITACAO / FABBISOGNO'S"/>
    <m/>
  </r>
  <r>
    <m/>
    <x v="1"/>
    <s v="A"/>
    <s v="ALM01136"/>
    <s v="LAMINADORA H. - M04"/>
    <x v="3"/>
    <m/>
    <s v="801642"/>
    <x v="1133"/>
    <m/>
    <m/>
    <m/>
    <m/>
    <m/>
    <m/>
    <s v="PISO A2"/>
    <n v="2"/>
    <n v="1"/>
    <n v="2"/>
    <n v="328.84100000000001"/>
    <n v="657.68200000000002"/>
    <n v="328.84100000000001"/>
    <m/>
    <m/>
    <m/>
    <m/>
    <m/>
    <s v="Estoque Conforme"/>
    <s v="SEM SOLICITACAO / FABBISOGNO'S"/>
    <m/>
  </r>
  <r>
    <m/>
    <x v="1"/>
    <s v="A"/>
    <s v="ALM01137"/>
    <s v="LAMINADORA H. - M04"/>
    <x v="3"/>
    <m/>
    <s v="801641"/>
    <x v="1134"/>
    <m/>
    <m/>
    <m/>
    <m/>
    <m/>
    <m/>
    <s v="PISO A2"/>
    <n v="2"/>
    <n v="1"/>
    <n v="2"/>
    <n v="368.07600000000002"/>
    <n v="736.15200000000004"/>
    <n v="368.07600000000002"/>
    <m/>
    <m/>
    <m/>
    <m/>
    <m/>
    <s v="Estoque Conforme"/>
    <s v="SEM SOLICITACAO / FABBISOGNO'S"/>
    <m/>
  </r>
  <r>
    <m/>
    <x v="1"/>
    <s v="B"/>
    <s v="ALM01138"/>
    <s v="LAMINADORA H. - M04"/>
    <x v="3"/>
    <m/>
    <s v="801640"/>
    <x v="1135"/>
    <m/>
    <m/>
    <m/>
    <m/>
    <m/>
    <s v="E1405"/>
    <s v="PISO A2"/>
    <n v="3"/>
    <n v="1"/>
    <n v="1"/>
    <n v="160.38399999999999"/>
    <n v="481.15199999999993"/>
    <n v="160.38399999999999"/>
    <m/>
    <m/>
    <m/>
    <m/>
    <m/>
    <s v="Estoque Conforme"/>
    <s v="SEM SOLICITACAO / FABBISOGNO'S"/>
    <m/>
  </r>
  <r>
    <m/>
    <x v="1"/>
    <s v="B"/>
    <s v="ALM01139"/>
    <s v="LAMINADORA H. - M04"/>
    <x v="3"/>
    <m/>
    <s v="801639"/>
    <x v="1136"/>
    <m/>
    <m/>
    <m/>
    <m/>
    <m/>
    <s v="E1405"/>
    <s v="PISO A2"/>
    <n v="2"/>
    <n v="1"/>
    <n v="1"/>
    <n v="478.649"/>
    <n v="957.298"/>
    <n v="478.649"/>
    <m/>
    <m/>
    <m/>
    <m/>
    <m/>
    <s v="Estoque Conforme"/>
    <s v="SEM SOLICITACAO / FABBISOGNO'S"/>
    <m/>
  </r>
  <r>
    <m/>
    <x v="1"/>
    <s v="A"/>
    <s v="ALM01140"/>
    <s v="LAMINADORA H. - M04"/>
    <x v="3"/>
    <m/>
    <s v="801638"/>
    <x v="1137"/>
    <m/>
    <m/>
    <m/>
    <m/>
    <m/>
    <m/>
    <s v="PISO A2"/>
    <n v="1"/>
    <n v="1"/>
    <n v="1"/>
    <n v="133.21799999999999"/>
    <n v="133.21799999999999"/>
    <n v="133.21799999999999"/>
    <m/>
    <m/>
    <m/>
    <m/>
    <m/>
    <s v="Estoque Conforme"/>
    <s v="SEM SOLICITACAO / FABBISOGNO'S"/>
    <m/>
  </r>
  <r>
    <m/>
    <x v="1"/>
    <s v="A"/>
    <s v="ALM01141"/>
    <s v="LAMINADORA H. - M04"/>
    <x v="3"/>
    <m/>
    <s v="801637"/>
    <x v="1138"/>
    <m/>
    <m/>
    <m/>
    <m/>
    <m/>
    <m/>
    <s v="PISO A2"/>
    <n v="1"/>
    <n v="1"/>
    <n v="1"/>
    <n v="360.99900000000002"/>
    <n v="360.99900000000002"/>
    <n v="360.99900000000002"/>
    <m/>
    <m/>
    <m/>
    <m/>
    <m/>
    <s v="Estoque Conforme"/>
    <s v="SEM SOLICITACAO / FABBISOGNO'S"/>
    <m/>
  </r>
  <r>
    <m/>
    <x v="1"/>
    <s v="A"/>
    <s v="ALM01142"/>
    <s v="LAMINADORA H. - M04"/>
    <x v="3"/>
    <m/>
    <s v="801636"/>
    <x v="1139"/>
    <m/>
    <m/>
    <m/>
    <m/>
    <m/>
    <m/>
    <s v="PISO A2"/>
    <n v="1"/>
    <n v="1"/>
    <n v="1"/>
    <n v="83.596130000000002"/>
    <n v="83.596130000000002"/>
    <n v="83.596130000000002"/>
    <m/>
    <m/>
    <m/>
    <m/>
    <m/>
    <s v="Estoque Conforme"/>
    <s v="SEM SOLICITACAO / FABBISOGNO'S"/>
    <m/>
  </r>
  <r>
    <m/>
    <x v="1"/>
    <s v="A"/>
    <s v="ALM01143"/>
    <s v="LAMINADORA H. - M04"/>
    <x v="3"/>
    <m/>
    <s v="801635"/>
    <x v="1140"/>
    <m/>
    <m/>
    <m/>
    <m/>
    <m/>
    <m/>
    <s v="PISO A2"/>
    <n v="1"/>
    <n v="1"/>
    <n v="1"/>
    <n v="8.0461080000000003"/>
    <n v="8.0461080000000003"/>
    <n v="8.0461080000000003"/>
    <m/>
    <m/>
    <m/>
    <m/>
    <m/>
    <s v="Estoque Conforme"/>
    <s v="SEM SOLICITACAO / FABBISOGNO'S"/>
    <m/>
  </r>
  <r>
    <m/>
    <x v="1"/>
    <s v="A"/>
    <s v="ALM01144"/>
    <s v="LAMINADORA H. - M04"/>
    <x v="3"/>
    <m/>
    <s v="801634"/>
    <x v="1141"/>
    <m/>
    <m/>
    <m/>
    <m/>
    <m/>
    <m/>
    <s v="PISO A2"/>
    <n v="1"/>
    <n v="1"/>
    <n v="1"/>
    <n v="56.591799999999999"/>
    <n v="56.591799999999999"/>
    <n v="56.591799999999999"/>
    <m/>
    <m/>
    <m/>
    <m/>
    <m/>
    <s v="Estoque Conforme"/>
    <s v="SEM SOLICITACAO / FABBISOGNO'S"/>
    <m/>
  </r>
  <r>
    <m/>
    <x v="1"/>
    <s v="A"/>
    <s v="ALM01145"/>
    <s v="LAMINADORA H. - M04"/>
    <x v="3"/>
    <m/>
    <s v="801633"/>
    <x v="1142"/>
    <m/>
    <m/>
    <m/>
    <m/>
    <m/>
    <m/>
    <s v="PISO A2"/>
    <n v="1"/>
    <n v="1"/>
    <n v="1"/>
    <n v="103.94"/>
    <n v="103.94"/>
    <n v="103.94"/>
    <m/>
    <m/>
    <m/>
    <m/>
    <m/>
    <s v="Estoque Conforme"/>
    <s v="SEM SOLICITACAO / FABBISOGNO'S"/>
    <m/>
  </r>
  <r>
    <m/>
    <x v="1"/>
    <s v="A"/>
    <s v="ALM01146"/>
    <s v="LAMINADORA H. - M04"/>
    <x v="3"/>
    <m/>
    <s v="801632"/>
    <x v="1143"/>
    <m/>
    <m/>
    <m/>
    <m/>
    <m/>
    <m/>
    <s v="PISO A2"/>
    <n v="1"/>
    <n v="1"/>
    <n v="1"/>
    <n v="5940.3985140000004"/>
    <n v="5940.3985140000004"/>
    <n v="5940.3985140000004"/>
    <m/>
    <m/>
    <m/>
    <m/>
    <m/>
    <s v="Estoque Conforme"/>
    <s v="SEM SOLICITACAO / FABBISOGNO'S"/>
    <m/>
  </r>
  <r>
    <m/>
    <x v="1"/>
    <s v="A"/>
    <s v="ALM01147"/>
    <s v="LAMINADORA H. - M04"/>
    <x v="3"/>
    <m/>
    <s v="801631"/>
    <x v="1144"/>
    <m/>
    <m/>
    <m/>
    <m/>
    <m/>
    <m/>
    <s v="PISO A2"/>
    <n v="0"/>
    <n v="1"/>
    <n v="2"/>
    <n v="1446.1468199999999"/>
    <n v="0"/>
    <n v="1446.1468199999999"/>
    <m/>
    <m/>
    <m/>
    <m/>
    <m/>
    <s v="Estoque Não Conforme"/>
    <s v="SEM SOLICITACAO / FABBISOGNO'S"/>
    <m/>
  </r>
  <r>
    <m/>
    <x v="1"/>
    <s v="A"/>
    <s v="ALM01148"/>
    <s v="LAMINADORA H. - M04"/>
    <x v="3"/>
    <m/>
    <s v="801630"/>
    <x v="1145"/>
    <m/>
    <m/>
    <m/>
    <m/>
    <m/>
    <m/>
    <s v="PISO A2"/>
    <n v="2"/>
    <n v="1"/>
    <n v="1"/>
    <n v="3498.3017089999998"/>
    <n v="6996.6034179999997"/>
    <n v="3498.3017089999998"/>
    <m/>
    <m/>
    <m/>
    <m/>
    <m/>
    <s v="Estoque Conforme"/>
    <s v="SEM SOLICITACAO / FABBISOGNO'S"/>
    <m/>
  </r>
  <r>
    <m/>
    <x v="1"/>
    <s v="A"/>
    <s v="ALM01149"/>
    <s v="LAMINADORA H. - M04"/>
    <x v="3"/>
    <m/>
    <s v="801619"/>
    <x v="1146"/>
    <m/>
    <m/>
    <m/>
    <m/>
    <m/>
    <m/>
    <s v="PISO A2"/>
    <n v="1"/>
    <n v="1"/>
    <n v="1"/>
    <n v="3649.2581260000002"/>
    <n v="3649.2581260000002"/>
    <n v="3649.2581260000002"/>
    <m/>
    <m/>
    <m/>
    <m/>
    <m/>
    <s v="Estoque Conforme"/>
    <s v="SEM SOLICITACAO / FABBISOGNO'S"/>
    <m/>
  </r>
  <r>
    <m/>
    <x v="1"/>
    <s v="A"/>
    <s v="ALM01150"/>
    <s v="LAMINADORA H. - M04"/>
    <x v="3"/>
    <m/>
    <s v="801618"/>
    <x v="1147"/>
    <m/>
    <m/>
    <m/>
    <m/>
    <m/>
    <m/>
    <s v="PISO A2"/>
    <n v="0"/>
    <n v="1"/>
    <n v="1"/>
    <n v="1175.6976529999999"/>
    <n v="0"/>
    <n v="1175.6976529999999"/>
    <m/>
    <m/>
    <m/>
    <m/>
    <m/>
    <s v="Estoque Não Conforme"/>
    <s v="SEM SOLICITACAO / FABBISOGNO'S"/>
    <m/>
  </r>
  <r>
    <m/>
    <x v="1"/>
    <s v="A"/>
    <s v="ALM01151"/>
    <s v="LAMINADORA H. - M04"/>
    <x v="3"/>
    <m/>
    <s v="801617"/>
    <x v="1148"/>
    <m/>
    <m/>
    <m/>
    <m/>
    <m/>
    <m/>
    <s v="PISO A2"/>
    <n v="0"/>
    <n v="1"/>
    <n v="1"/>
    <n v="1215.1209140000001"/>
    <n v="0"/>
    <n v="1215.1209140000001"/>
    <m/>
    <m/>
    <m/>
    <m/>
    <m/>
    <s v="Estoque Não Conforme"/>
    <s v="SEM SOLICITACAO / FABBISOGNO'S"/>
    <m/>
  </r>
  <r>
    <m/>
    <x v="1"/>
    <s v="A"/>
    <s v="ALM01152"/>
    <s v="LAMINADORA H. - M04"/>
    <x v="3"/>
    <m/>
    <s v="801616"/>
    <x v="1149"/>
    <m/>
    <m/>
    <m/>
    <m/>
    <m/>
    <m/>
    <s v="PISO A2"/>
    <n v="0"/>
    <n v="1"/>
    <n v="1"/>
    <n v="1014.372763"/>
    <n v="0"/>
    <n v="1014.372763"/>
    <m/>
    <m/>
    <m/>
    <m/>
    <m/>
    <s v="Estoque Não Conforme"/>
    <s v="SEM SOLICITACAO / FABBISOGNO'S"/>
    <m/>
  </r>
  <r>
    <m/>
    <x v="1"/>
    <s v="A"/>
    <s v="ALM01153"/>
    <s v="LAMINADORA H. - M04"/>
    <x v="3"/>
    <m/>
    <s v="801615"/>
    <x v="1150"/>
    <m/>
    <m/>
    <m/>
    <m/>
    <m/>
    <m/>
    <s v="PISO A2"/>
    <n v="1"/>
    <n v="1"/>
    <n v="1"/>
    <n v="6441.0459220000002"/>
    <n v="6441.0459220000002"/>
    <n v="6441.0459220000002"/>
    <m/>
    <m/>
    <m/>
    <m/>
    <m/>
    <s v="Estoque Conforme"/>
    <s v="SEM SOLICITACAO / FABBISOGNO'S"/>
    <m/>
  </r>
  <r>
    <m/>
    <x v="1"/>
    <s v="A"/>
    <s v="ALM01154"/>
    <s v="LAMINADORA H. - M04"/>
    <x v="3"/>
    <m/>
    <s v="801614"/>
    <x v="1151"/>
    <m/>
    <m/>
    <m/>
    <m/>
    <m/>
    <m/>
    <s v="PISO A2"/>
    <n v="0"/>
    <n v="1"/>
    <n v="1"/>
    <n v="2365.9227000000001"/>
    <n v="0"/>
    <n v="2365.9227000000001"/>
    <m/>
    <m/>
    <m/>
    <m/>
    <m/>
    <s v="Estoque Não Conforme"/>
    <s v="SEM SOLICITACAO / FABBISOGNO'S"/>
    <m/>
  </r>
  <r>
    <m/>
    <x v="1"/>
    <s v="B"/>
    <s v="ALM01155"/>
    <s v="F.FENDER - M06"/>
    <x v="3"/>
    <m/>
    <m/>
    <x v="1152"/>
    <m/>
    <m/>
    <m/>
    <m/>
    <m/>
    <s v="A1105"/>
    <s v="A0-5-2"/>
    <n v="1"/>
    <n v="2"/>
    <n v="5"/>
    <n v="165.44"/>
    <n v="165.44"/>
    <n v="330.88"/>
    <m/>
    <m/>
    <m/>
    <m/>
    <m/>
    <s v="Estoque em Nivel Minimo"/>
    <s v="COM SOLICITACAO / EM PROCESSO DE COMPRAS"/>
    <s v="3367/19"/>
  </r>
  <r>
    <m/>
    <x v="1"/>
    <s v="B"/>
    <s v="ALM01156"/>
    <s v="F.FENDER - M06"/>
    <x v="3"/>
    <m/>
    <m/>
    <x v="1153"/>
    <m/>
    <m/>
    <m/>
    <m/>
    <m/>
    <s v="A1105"/>
    <s v="A0-5-3"/>
    <n v="5"/>
    <n v="2"/>
    <n v="5"/>
    <n v="1003.34"/>
    <n v="5016.7"/>
    <n v="2006.68"/>
    <m/>
    <m/>
    <m/>
    <m/>
    <m/>
    <s v="Estoque Conforme"/>
    <s v="SEM SOLICITACAO / FABBISOGNO'S"/>
    <m/>
  </r>
  <r>
    <m/>
    <x v="1"/>
    <s v="B"/>
    <s v="ALM01157"/>
    <s v="F.FENDER - M06"/>
    <x v="3"/>
    <m/>
    <m/>
    <x v="1154"/>
    <m/>
    <m/>
    <m/>
    <m/>
    <m/>
    <s v="A1105"/>
    <s v="A0-5-4"/>
    <n v="2"/>
    <n v="1"/>
    <n v="3"/>
    <n v="95.96"/>
    <n v="191.92"/>
    <n v="95.96"/>
    <m/>
    <m/>
    <m/>
    <m/>
    <m/>
    <s v="Estoque Conforme"/>
    <s v="SEM SOLICITACAO / FABBISOGNO'S"/>
    <m/>
  </r>
  <r>
    <m/>
    <x v="1"/>
    <m/>
    <s v="ALM01158"/>
    <s v="F.FENDER - M06"/>
    <x v="3"/>
    <m/>
    <m/>
    <x v="1155"/>
    <m/>
    <m/>
    <m/>
    <m/>
    <m/>
    <s v="A1304"/>
    <s v="A2-4-5.2"/>
    <n v="3"/>
    <n v="2"/>
    <n v="6"/>
    <n v="32"/>
    <n v="96"/>
    <n v="64"/>
    <m/>
    <m/>
    <m/>
    <m/>
    <m/>
    <s v="Estoque Conforme"/>
    <s v="SEM SOLICITACAO / FABBISOGNO'S"/>
    <m/>
  </r>
  <r>
    <m/>
    <x v="1"/>
    <m/>
    <s v="ALM01159"/>
    <s v="F.FENDER - M06"/>
    <x v="3"/>
    <m/>
    <m/>
    <x v="1156"/>
    <m/>
    <m/>
    <m/>
    <m/>
    <m/>
    <s v="A2102"/>
    <s v="B0-1-5"/>
    <n v="1"/>
    <n v="1"/>
    <n v="4"/>
    <n v="245"/>
    <n v="245"/>
    <n v="245"/>
    <m/>
    <m/>
    <m/>
    <m/>
    <m/>
    <s v="Estoque Conforme"/>
    <s v="SEM SOLICITACAO / FABBISOGNO'S"/>
    <m/>
  </r>
  <r>
    <m/>
    <x v="1"/>
    <m/>
    <s v="ALM01160"/>
    <s v="F.FENDER - M06"/>
    <x v="3"/>
    <m/>
    <m/>
    <x v="1157"/>
    <m/>
    <m/>
    <m/>
    <m/>
    <m/>
    <s v="A2102"/>
    <s v="B0-1-2"/>
    <n v="2"/>
    <n v="1"/>
    <n v="3"/>
    <n v="170"/>
    <n v="340"/>
    <n v="170"/>
    <m/>
    <m/>
    <m/>
    <m/>
    <m/>
    <s v="Estoque Conforme"/>
    <s v="SEM SOLICITACAO / FABBISOGNO'S"/>
    <m/>
  </r>
  <r>
    <m/>
    <x v="1"/>
    <m/>
    <s v="ALM01161"/>
    <s v="F.FENDER - M06"/>
    <x v="3"/>
    <m/>
    <m/>
    <x v="1158"/>
    <m/>
    <m/>
    <m/>
    <m/>
    <m/>
    <s v="A2102"/>
    <s v="B0-1-3"/>
    <n v="1"/>
    <n v="1"/>
    <n v="2"/>
    <n v="190"/>
    <n v="190"/>
    <n v="190"/>
    <m/>
    <m/>
    <m/>
    <m/>
    <m/>
    <s v="Estoque Conforme"/>
    <s v="SEM SOLICITACAO / FABBISOGNO'S"/>
    <m/>
  </r>
  <r>
    <m/>
    <x v="1"/>
    <m/>
    <s v="ALM01162"/>
    <s v="W.J - M22/M41"/>
    <x v="3"/>
    <m/>
    <m/>
    <x v="1159"/>
    <m/>
    <m/>
    <m/>
    <m/>
    <m/>
    <s v="D1203"/>
    <s v="PISO 3"/>
    <n v="6"/>
    <m/>
    <m/>
    <m/>
    <n v="0"/>
    <n v="0"/>
    <m/>
    <m/>
    <m/>
    <m/>
    <m/>
    <s v="Estoque Conforme"/>
    <s v="SEM SOLICITACAO / FABBISOGNO'S"/>
    <m/>
  </r>
  <r>
    <m/>
    <x v="1"/>
    <s v="A"/>
    <s v="ALM01163"/>
    <s v="F.FENDER - M06"/>
    <x v="3"/>
    <m/>
    <m/>
    <x v="1160"/>
    <m/>
    <m/>
    <m/>
    <m/>
    <m/>
    <s v=" "/>
    <s v="PISO A3"/>
    <n v="0"/>
    <m/>
    <m/>
    <m/>
    <n v="0"/>
    <n v="0"/>
    <m/>
    <m/>
    <m/>
    <m/>
    <m/>
    <s v="Estoque Não Conforme"/>
    <s v="SEM SOLICITACAO / FABBISOGNO'S"/>
    <m/>
  </r>
  <r>
    <m/>
    <x v="1"/>
    <s v="A"/>
    <s v="ALM01164"/>
    <s v="F.FENDER - M06"/>
    <x v="3"/>
    <m/>
    <m/>
    <x v="1161"/>
    <m/>
    <m/>
    <m/>
    <m/>
    <m/>
    <m/>
    <s v="PISO A3"/>
    <n v="0"/>
    <m/>
    <m/>
    <m/>
    <n v="0"/>
    <n v="0"/>
    <m/>
    <m/>
    <m/>
    <m/>
    <m/>
    <s v="Estoque Não Conforme"/>
    <s v="SEM SOLICITACAO / FABBISOGNO'S"/>
    <m/>
  </r>
  <r>
    <m/>
    <x v="1"/>
    <s v="A"/>
    <s v="ALM01165"/>
    <s v="F.FENDER - M06"/>
    <x v="3"/>
    <m/>
    <m/>
    <x v="1162"/>
    <m/>
    <m/>
    <m/>
    <m/>
    <m/>
    <m/>
    <s v="PISO A3"/>
    <n v="0"/>
    <m/>
    <m/>
    <m/>
    <n v="0"/>
    <n v="0"/>
    <m/>
    <m/>
    <m/>
    <m/>
    <m/>
    <s v="Estoque Não Conforme"/>
    <s v="SEM SOLICITACAO / FABBISOGNO'S"/>
    <m/>
  </r>
  <r>
    <m/>
    <x v="1"/>
    <s v="A"/>
    <s v="ALM01166"/>
    <s v="F.FENDER - M06"/>
    <x v="3"/>
    <m/>
    <m/>
    <x v="1163"/>
    <m/>
    <m/>
    <m/>
    <m/>
    <m/>
    <m/>
    <s v="PISO A3"/>
    <n v="0"/>
    <m/>
    <m/>
    <m/>
    <n v="0"/>
    <n v="0"/>
    <m/>
    <m/>
    <m/>
    <m/>
    <m/>
    <s v="Estoque Não Conforme"/>
    <s v="SEM SOLICITACAO / FABBISOGNO'S"/>
    <m/>
  </r>
  <r>
    <m/>
    <x v="1"/>
    <s v="A"/>
    <s v="ALM01167"/>
    <s v="F.FENDER - M06"/>
    <x v="3"/>
    <m/>
    <m/>
    <x v="1164"/>
    <m/>
    <m/>
    <m/>
    <m/>
    <m/>
    <m/>
    <s v="PISO A3"/>
    <n v="0"/>
    <m/>
    <m/>
    <m/>
    <n v="0"/>
    <n v="0"/>
    <m/>
    <m/>
    <m/>
    <m/>
    <m/>
    <s v="Estoque Não Conforme"/>
    <s v="SEM SOLICITACAO / FABBISOGNO'S"/>
    <m/>
  </r>
  <r>
    <m/>
    <x v="1"/>
    <s v="A"/>
    <s v="ALM01168"/>
    <s v="F.FENDER - M06"/>
    <x v="3"/>
    <m/>
    <m/>
    <x v="1165"/>
    <m/>
    <m/>
    <m/>
    <m/>
    <m/>
    <m/>
    <s v="PISO A3"/>
    <n v="0"/>
    <m/>
    <m/>
    <m/>
    <n v="0"/>
    <n v="0"/>
    <m/>
    <m/>
    <m/>
    <m/>
    <m/>
    <s v="Estoque Não Conforme"/>
    <s v="SEM SOLICITACAO / FABBISOGNO'S"/>
    <m/>
  </r>
  <r>
    <m/>
    <x v="1"/>
    <s v="A"/>
    <s v="ALM01169"/>
    <s v="F.FENDER - M06"/>
    <x v="3"/>
    <m/>
    <m/>
    <x v="1166"/>
    <m/>
    <m/>
    <m/>
    <m/>
    <m/>
    <m/>
    <s v="PISO A3"/>
    <n v="0"/>
    <m/>
    <m/>
    <m/>
    <n v="0"/>
    <n v="0"/>
    <m/>
    <m/>
    <m/>
    <m/>
    <m/>
    <s v="Estoque Não Conforme"/>
    <s v="SEM SOLICITACAO / FABBISOGNO'S"/>
    <m/>
  </r>
  <r>
    <m/>
    <x v="1"/>
    <m/>
    <s v="ALM01170"/>
    <m/>
    <x v="3"/>
    <s v="M07/M35"/>
    <m/>
    <x v="1167"/>
    <m/>
    <m/>
    <m/>
    <m/>
    <m/>
    <s v="D1202"/>
    <s v="H0"/>
    <n v="0"/>
    <m/>
    <m/>
    <m/>
    <n v="0"/>
    <n v="0"/>
    <m/>
    <m/>
    <m/>
    <m/>
    <m/>
    <s v="Estoque Não Conforme"/>
    <s v="SEM SOLICITACAO / FABBISOGNO'S"/>
    <m/>
  </r>
  <r>
    <m/>
    <x v="1"/>
    <m/>
    <s v="ALM01171"/>
    <m/>
    <x v="2"/>
    <m/>
    <m/>
    <x v="1168"/>
    <m/>
    <m/>
    <m/>
    <m/>
    <m/>
    <s v="C1105"/>
    <s v="?"/>
    <n v="20"/>
    <n v="4"/>
    <n v="30"/>
    <m/>
    <n v="0"/>
    <n v="0"/>
    <m/>
    <m/>
    <m/>
    <m/>
    <m/>
    <s v="Estoque Conforme"/>
    <s v="SEM SOLICITACAO / FABBISOGNO'S"/>
    <m/>
  </r>
  <r>
    <m/>
    <x v="1"/>
    <m/>
    <s v="ALM01172"/>
    <m/>
    <x v="2"/>
    <m/>
    <m/>
    <x v="1169"/>
    <m/>
    <m/>
    <m/>
    <m/>
    <m/>
    <s v="C1106"/>
    <s v="?"/>
    <n v="52"/>
    <n v="1"/>
    <n v="2"/>
    <m/>
    <n v="0"/>
    <n v="0"/>
    <m/>
    <m/>
    <m/>
    <m/>
    <m/>
    <s v="Estoque Conforme"/>
    <s v="SEM SOLICITACAO / FABBISOGNO'S"/>
    <m/>
  </r>
  <r>
    <m/>
    <x v="1"/>
    <m/>
    <s v="ALM01173"/>
    <m/>
    <x v="0"/>
    <m/>
    <m/>
    <x v="1170"/>
    <m/>
    <m/>
    <m/>
    <m/>
    <m/>
    <s v="B1104"/>
    <m/>
    <n v="1"/>
    <n v="1"/>
    <n v="2"/>
    <m/>
    <n v="0"/>
    <n v="0"/>
    <m/>
    <m/>
    <m/>
    <m/>
    <m/>
    <s v="Estoque Conforme"/>
    <s v="SEM SOLICITACAO / FABBISOGNO'S"/>
    <m/>
  </r>
  <r>
    <m/>
    <x v="1"/>
    <m/>
    <s v="ALM01174"/>
    <m/>
    <x v="0"/>
    <m/>
    <m/>
    <x v="1171"/>
    <m/>
    <m/>
    <m/>
    <m/>
    <m/>
    <s v="A1203"/>
    <m/>
    <n v="300"/>
    <n v="10"/>
    <n v="100"/>
    <n v="0.15"/>
    <n v="45"/>
    <n v="1.5"/>
    <m/>
    <m/>
    <m/>
    <m/>
    <m/>
    <s v="Estoque Conforme"/>
    <s v="SEM SOLICITACAO / FABBISOGNO'S"/>
    <m/>
  </r>
  <r>
    <m/>
    <x v="1"/>
    <m/>
    <s v="ALM01175"/>
    <m/>
    <x v="0"/>
    <m/>
    <m/>
    <x v="1172"/>
    <m/>
    <m/>
    <m/>
    <m/>
    <m/>
    <s v="A1206"/>
    <m/>
    <n v="1"/>
    <n v="1"/>
    <n v="2"/>
    <m/>
    <n v="0"/>
    <n v="0"/>
    <m/>
    <m/>
    <m/>
    <m/>
    <m/>
    <s v="Estoque Conforme"/>
    <s v="SEM SOLICITACAO / FABBISOGNO'S"/>
    <m/>
  </r>
  <r>
    <m/>
    <x v="1"/>
    <m/>
    <s v="ALM01176"/>
    <m/>
    <x v="0"/>
    <m/>
    <m/>
    <x v="1173"/>
    <m/>
    <m/>
    <m/>
    <m/>
    <m/>
    <s v="A2302"/>
    <m/>
    <n v="1"/>
    <n v="1"/>
    <n v="2"/>
    <m/>
    <n v="0"/>
    <n v="0"/>
    <m/>
    <m/>
    <m/>
    <m/>
    <m/>
    <s v="Estoque Conforme"/>
    <s v="SEM SOLICITACAO / FABBISOGNO'S"/>
    <m/>
  </r>
  <r>
    <m/>
    <x v="1"/>
    <m/>
    <s v="ALM01177"/>
    <m/>
    <x v="0"/>
    <m/>
    <m/>
    <x v="1174"/>
    <m/>
    <m/>
    <m/>
    <m/>
    <m/>
    <s v="A2303"/>
    <m/>
    <n v="1"/>
    <n v="2"/>
    <n v="4"/>
    <m/>
    <n v="0"/>
    <n v="0"/>
    <m/>
    <m/>
    <m/>
    <m/>
    <m/>
    <s v="Estoque em Nivel Minimo"/>
    <s v="COM SOLICITACAO / EM PROCESSO DE COMPRAS"/>
    <s v="3367/19"/>
  </r>
  <r>
    <m/>
    <x v="1"/>
    <m/>
    <s v="ALM01178"/>
    <m/>
    <x v="0"/>
    <m/>
    <m/>
    <x v="1175"/>
    <m/>
    <m/>
    <m/>
    <m/>
    <m/>
    <s v="A2303"/>
    <m/>
    <n v="1"/>
    <n v="2"/>
    <n v="4"/>
    <m/>
    <n v="0"/>
    <n v="0"/>
    <m/>
    <m/>
    <m/>
    <m/>
    <m/>
    <s v="Estoque em Nivel Minimo"/>
    <s v="COM SOLICITACAO / EM PROCESSO DE COMPRAS"/>
    <s v="3367/19"/>
  </r>
  <r>
    <s v="A"/>
    <x v="1"/>
    <m/>
    <s v="ALM01179"/>
    <m/>
    <x v="0"/>
    <m/>
    <m/>
    <x v="1176"/>
    <m/>
    <m/>
    <m/>
    <m/>
    <m/>
    <s v="A1302"/>
    <m/>
    <n v="1"/>
    <n v="2"/>
    <n v="4"/>
    <m/>
    <n v="0"/>
    <n v="0"/>
    <m/>
    <m/>
    <m/>
    <m/>
    <m/>
    <s v="Estoque em Nivel Minimo"/>
    <s v="COM SOLICITACAO / EM PROCESSO DE COMPRAS"/>
    <s v="3367/19"/>
  </r>
  <r>
    <m/>
    <x v="1"/>
    <m/>
    <s v="ALM01180"/>
    <m/>
    <x v="0"/>
    <m/>
    <m/>
    <x v="1177"/>
    <m/>
    <m/>
    <m/>
    <m/>
    <m/>
    <s v="A1204"/>
    <m/>
    <n v="0"/>
    <n v="4"/>
    <n v="10"/>
    <m/>
    <n v="0"/>
    <n v="0"/>
    <m/>
    <m/>
    <m/>
    <m/>
    <m/>
    <s v="Estoque Não Conforme"/>
    <s v="COM SOLICITACAO / EM PROCESSO DE COMPRAS"/>
    <s v="3367/19"/>
  </r>
  <r>
    <m/>
    <x v="1"/>
    <m/>
    <s v="ALM01181"/>
    <m/>
    <x v="0"/>
    <m/>
    <m/>
    <x v="1178"/>
    <m/>
    <m/>
    <m/>
    <m/>
    <m/>
    <s v="A2204"/>
    <m/>
    <n v="9"/>
    <n v="4"/>
    <n v="12"/>
    <m/>
    <n v="0"/>
    <n v="0"/>
    <m/>
    <m/>
    <m/>
    <m/>
    <m/>
    <s v="Estoque Conforme"/>
    <s v="SEM SOLICITACAO / FABBISOGNO'S"/>
    <m/>
  </r>
  <r>
    <m/>
    <x v="1"/>
    <m/>
    <s v="ALM01182"/>
    <m/>
    <x v="0"/>
    <m/>
    <s v=" "/>
    <x v="1179"/>
    <m/>
    <m/>
    <m/>
    <m/>
    <m/>
    <s v="A2204"/>
    <m/>
    <n v="3"/>
    <m/>
    <m/>
    <m/>
    <n v="0"/>
    <n v="0"/>
    <m/>
    <m/>
    <m/>
    <m/>
    <m/>
    <s v="Estoque Conforme"/>
    <s v="SEM SOLICITACAO / FABBISOGNO'S"/>
    <m/>
  </r>
  <r>
    <m/>
    <x v="1"/>
    <m/>
    <s v="ALM01183"/>
    <m/>
    <x v="0"/>
    <m/>
    <m/>
    <x v="1180"/>
    <m/>
    <m/>
    <m/>
    <m/>
    <m/>
    <s v="A2103"/>
    <m/>
    <n v="8"/>
    <m/>
    <m/>
    <m/>
    <n v="0"/>
    <n v="0"/>
    <m/>
    <m/>
    <m/>
    <m/>
    <m/>
    <s v="Estoque Conforme"/>
    <s v="SEM SOLICITACAO / FABBISOGNO'S"/>
    <m/>
  </r>
  <r>
    <m/>
    <x v="1"/>
    <m/>
    <s v="ALM01184"/>
    <m/>
    <x v="0"/>
    <m/>
    <m/>
    <x v="1181"/>
    <m/>
    <m/>
    <m/>
    <m/>
    <m/>
    <s v="A2104"/>
    <m/>
    <n v="10"/>
    <m/>
    <m/>
    <m/>
    <n v="0"/>
    <n v="0"/>
    <m/>
    <m/>
    <m/>
    <m/>
    <m/>
    <s v="Estoque Conforme"/>
    <s v="SEM SOLICITACAO / FABBISOGNO'S"/>
    <m/>
  </r>
  <r>
    <m/>
    <x v="1"/>
    <m/>
    <s v="ALM01185"/>
    <m/>
    <x v="0"/>
    <m/>
    <m/>
    <x v="1182"/>
    <m/>
    <m/>
    <m/>
    <m/>
    <m/>
    <s v="B1202"/>
    <m/>
    <n v="2"/>
    <n v="2"/>
    <n v="6"/>
    <m/>
    <n v="0"/>
    <n v="0"/>
    <m/>
    <m/>
    <m/>
    <m/>
    <m/>
    <s v="Estoque Conforme"/>
    <s v="SEM SOLICITACAO / FABBISOGNO'S"/>
    <m/>
  </r>
  <r>
    <m/>
    <x v="1"/>
    <m/>
    <s v="ALM01186"/>
    <m/>
    <x v="0"/>
    <m/>
    <m/>
    <x v="1183"/>
    <m/>
    <m/>
    <m/>
    <m/>
    <m/>
    <s v="B1203"/>
    <m/>
    <n v="1"/>
    <n v="2"/>
    <n v="4"/>
    <m/>
    <n v="0"/>
    <n v="0"/>
    <m/>
    <m/>
    <m/>
    <m/>
    <m/>
    <s v="Estoque em Nivel Minimo"/>
    <s v="COM SOLICITACAO / EM PROCESSO DE COMPRAS"/>
    <s v="3367/19"/>
  </r>
  <r>
    <m/>
    <x v="1"/>
    <m/>
    <s v="ALM01187"/>
    <m/>
    <x v="0"/>
    <m/>
    <m/>
    <x v="1184"/>
    <m/>
    <m/>
    <m/>
    <m/>
    <m/>
    <s v="A1102"/>
    <m/>
    <n v="1"/>
    <n v="1"/>
    <n v="2"/>
    <m/>
    <n v="0"/>
    <n v="0"/>
    <m/>
    <m/>
    <m/>
    <m/>
    <m/>
    <s v="Estoque Conforme"/>
    <s v="SEM SOLICITACAO / FABBISOGNO'S"/>
    <m/>
  </r>
  <r>
    <m/>
    <x v="1"/>
    <m/>
    <s v="ALM01188"/>
    <m/>
    <x v="0"/>
    <m/>
    <m/>
    <x v="1185"/>
    <m/>
    <m/>
    <m/>
    <m/>
    <m/>
    <s v="B1105"/>
    <m/>
    <n v="2"/>
    <n v="1"/>
    <n v="2"/>
    <m/>
    <n v="0"/>
    <n v="0"/>
    <m/>
    <m/>
    <m/>
    <m/>
    <m/>
    <s v="Estoque Conforme"/>
    <s v="SEM SOLICITACAO / FABBISOGNO'S"/>
    <m/>
  </r>
  <r>
    <m/>
    <x v="1"/>
    <m/>
    <s v="ALM01189"/>
    <m/>
    <x v="0"/>
    <m/>
    <m/>
    <x v="1186"/>
    <m/>
    <m/>
    <m/>
    <m/>
    <m/>
    <s v="A2104"/>
    <m/>
    <n v="1"/>
    <n v="2"/>
    <n v="6"/>
    <m/>
    <n v="0"/>
    <n v="0"/>
    <m/>
    <m/>
    <m/>
    <m/>
    <m/>
    <s v="Estoque em Nivel Minimo"/>
    <s v="COM SOLICITACAO / EM PROCESSO DE COMPRAS"/>
    <s v="3367/19"/>
  </r>
  <r>
    <m/>
    <x v="1"/>
    <m/>
    <s v="ALM01190"/>
    <m/>
    <x v="0"/>
    <m/>
    <m/>
    <x v="1187"/>
    <m/>
    <m/>
    <m/>
    <m/>
    <m/>
    <s v="A2104"/>
    <m/>
    <n v="1"/>
    <n v="2"/>
    <n v="6"/>
    <m/>
    <n v="0"/>
    <n v="0"/>
    <m/>
    <m/>
    <m/>
    <m/>
    <m/>
    <s v="Estoque em Nivel Minimo"/>
    <s v="COM SOLICITACAO / EM PROCESSO DE COMPRAS"/>
    <s v="3380/19"/>
  </r>
  <r>
    <m/>
    <x v="1"/>
    <m/>
    <s v="ALM01191"/>
    <m/>
    <x v="0"/>
    <m/>
    <m/>
    <x v="1188"/>
    <m/>
    <m/>
    <m/>
    <m/>
    <m/>
    <s v="A2104"/>
    <m/>
    <n v="1"/>
    <n v="2"/>
    <n v="10"/>
    <m/>
    <n v="0"/>
    <n v="0"/>
    <m/>
    <m/>
    <m/>
    <m/>
    <m/>
    <s v="Estoque em Nivel Minimo"/>
    <s v="COM SOLICITACAO / EM PROCESSO DE COMPRAS"/>
    <s v="3380/19"/>
  </r>
  <r>
    <m/>
    <x v="1"/>
    <m/>
    <s v="ALM01192"/>
    <m/>
    <x v="1"/>
    <m/>
    <m/>
    <x v="1189"/>
    <m/>
    <m/>
    <m/>
    <m/>
    <m/>
    <s v="E1103"/>
    <m/>
    <n v="1"/>
    <m/>
    <m/>
    <m/>
    <n v="0"/>
    <n v="0"/>
    <m/>
    <m/>
    <m/>
    <m/>
    <m/>
    <s v="Estoque Conforme"/>
    <s v="SEM SOLICITACAO / FABBISOGNO'S"/>
    <m/>
  </r>
  <r>
    <m/>
    <x v="1"/>
    <m/>
    <s v="ALM01193"/>
    <m/>
    <x v="0"/>
    <m/>
    <m/>
    <x v="1190"/>
    <m/>
    <m/>
    <m/>
    <m/>
    <m/>
    <s v="A1301"/>
    <m/>
    <n v="2"/>
    <n v="1"/>
    <n v="4"/>
    <m/>
    <n v="0"/>
    <n v="0"/>
    <m/>
    <m/>
    <m/>
    <m/>
    <m/>
    <s v="Estoque Conforme"/>
    <s v="SEM SOLICITACAO / FABBISOGNO'S"/>
    <m/>
  </r>
  <r>
    <m/>
    <x v="1"/>
    <m/>
    <s v="ALM01194"/>
    <m/>
    <x v="0"/>
    <m/>
    <m/>
    <x v="1191"/>
    <m/>
    <m/>
    <m/>
    <m/>
    <m/>
    <s v="A1301"/>
    <m/>
    <n v="2"/>
    <n v="1"/>
    <n v="4"/>
    <m/>
    <n v="0"/>
    <n v="0"/>
    <m/>
    <m/>
    <m/>
    <m/>
    <m/>
    <s v="Estoque Conforme"/>
    <s v="SEM SOLICITACAO / FABBISOGNO'S"/>
    <m/>
  </r>
  <r>
    <m/>
    <x v="1"/>
    <m/>
    <s v="ALM01195"/>
    <m/>
    <x v="1"/>
    <m/>
    <m/>
    <x v="1192"/>
    <m/>
    <m/>
    <m/>
    <m/>
    <m/>
    <s v="D2102"/>
    <m/>
    <n v="25"/>
    <n v="4"/>
    <n v="20"/>
    <m/>
    <n v="0"/>
    <n v="0"/>
    <m/>
    <m/>
    <m/>
    <m/>
    <m/>
    <s v="Estoque Conforme"/>
    <s v="SEM SOLICITACAO / FABBISOGNO'S"/>
    <m/>
  </r>
  <r>
    <m/>
    <x v="1"/>
    <m/>
    <s v="ALM01196"/>
    <m/>
    <x v="1"/>
    <m/>
    <m/>
    <x v="1193"/>
    <m/>
    <m/>
    <m/>
    <m/>
    <m/>
    <s v="D2102"/>
    <m/>
    <n v="6"/>
    <n v="2"/>
    <n v="8"/>
    <m/>
    <n v="0"/>
    <n v="0"/>
    <m/>
    <m/>
    <m/>
    <m/>
    <m/>
    <s v="Estoque Conforme"/>
    <s v="SEM SOLICITACAO / FABBISOGNO'S"/>
    <m/>
  </r>
  <r>
    <m/>
    <x v="1"/>
    <m/>
    <s v="ALM01197"/>
    <m/>
    <x v="1"/>
    <m/>
    <m/>
    <x v="1194"/>
    <m/>
    <m/>
    <m/>
    <m/>
    <m/>
    <s v="D2102"/>
    <m/>
    <n v="6"/>
    <n v="2"/>
    <n v="8"/>
    <m/>
    <n v="0"/>
    <n v="0"/>
    <m/>
    <m/>
    <m/>
    <m/>
    <m/>
    <s v="Estoque Conforme"/>
    <s v="SEM SOLICITACAO / FABBISOGNO'S"/>
    <m/>
  </r>
  <r>
    <m/>
    <x v="1"/>
    <m/>
    <s v="ALM01198"/>
    <m/>
    <x v="2"/>
    <m/>
    <m/>
    <x v="1195"/>
    <m/>
    <m/>
    <m/>
    <m/>
    <m/>
    <s v="C2404"/>
    <m/>
    <n v="3"/>
    <n v="2"/>
    <n v="4"/>
    <m/>
    <n v="0"/>
    <n v="0"/>
    <m/>
    <m/>
    <m/>
    <m/>
    <m/>
    <s v="Estoque Conforme"/>
    <s v="SEM SOLICITACAO / FABBISOGNO'S"/>
    <m/>
  </r>
  <r>
    <m/>
    <x v="1"/>
    <m/>
    <s v="ALM01199"/>
    <m/>
    <x v="2"/>
    <m/>
    <m/>
    <x v="1196"/>
    <m/>
    <m/>
    <m/>
    <m/>
    <m/>
    <s v="C1405"/>
    <m/>
    <n v="1"/>
    <n v="2"/>
    <n v="4"/>
    <m/>
    <n v="0"/>
    <n v="0"/>
    <m/>
    <m/>
    <m/>
    <m/>
    <m/>
    <s v="Estoque em Nivel Minimo"/>
    <s v="COM SOLICITACAO / EM PROCESSO DE COMPRAS"/>
    <s v="3379/19"/>
  </r>
  <r>
    <m/>
    <x v="1"/>
    <m/>
    <s v="ALM01200"/>
    <m/>
    <x v="1"/>
    <m/>
    <m/>
    <x v="1197"/>
    <m/>
    <m/>
    <m/>
    <m/>
    <m/>
    <s v="E2101"/>
    <m/>
    <n v="12"/>
    <n v="4"/>
    <n v="10"/>
    <m/>
    <n v="0"/>
    <n v="0"/>
    <m/>
    <m/>
    <m/>
    <m/>
    <m/>
    <s v="Estoque Conforme"/>
    <s v="SEM SOLICITACAO / FABBISOGNO'S"/>
    <m/>
  </r>
  <r>
    <m/>
    <x v="1"/>
    <m/>
    <s v="ALM01201"/>
    <m/>
    <x v="2"/>
    <m/>
    <m/>
    <x v="1198"/>
    <m/>
    <m/>
    <m/>
    <m/>
    <m/>
    <s v="C2201"/>
    <m/>
    <n v="1"/>
    <n v="1"/>
    <n v="2"/>
    <m/>
    <n v="0"/>
    <n v="0"/>
    <m/>
    <m/>
    <m/>
    <m/>
    <m/>
    <s v="Estoque Conforme"/>
    <s v="SEM SOLICITACAO / FABBISOGNO'S"/>
    <m/>
  </r>
  <r>
    <m/>
    <x v="1"/>
    <m/>
    <s v="ALM01202"/>
    <m/>
    <x v="2"/>
    <m/>
    <m/>
    <x v="1199"/>
    <m/>
    <m/>
    <m/>
    <m/>
    <m/>
    <s v="C1103"/>
    <m/>
    <n v="1"/>
    <n v="1"/>
    <n v="2"/>
    <m/>
    <n v="0"/>
    <n v="0"/>
    <m/>
    <m/>
    <m/>
    <m/>
    <m/>
    <s v="Estoque Conforme"/>
    <s v="SEM SOLICITACAO / FABBISOGNO'S"/>
    <m/>
  </r>
  <r>
    <m/>
    <x v="1"/>
    <m/>
    <s v="ALM01203"/>
    <m/>
    <x v="2"/>
    <m/>
    <m/>
    <x v="1200"/>
    <m/>
    <m/>
    <m/>
    <m/>
    <m/>
    <s v="C1104"/>
    <m/>
    <n v="4"/>
    <n v="2"/>
    <n v="8"/>
    <m/>
    <n v="0"/>
    <n v="0"/>
    <m/>
    <m/>
    <m/>
    <m/>
    <m/>
    <s v="Estoque Conforme"/>
    <s v="SEM SOLICITACAO / FABBISOGNO'S"/>
    <m/>
  </r>
  <r>
    <m/>
    <x v="1"/>
    <m/>
    <s v="ALM01204"/>
    <m/>
    <x v="2"/>
    <m/>
    <m/>
    <x v="1201"/>
    <m/>
    <m/>
    <m/>
    <m/>
    <m/>
    <s v="C1204"/>
    <m/>
    <n v="5"/>
    <n v="2"/>
    <n v="10"/>
    <m/>
    <n v="0"/>
    <n v="0"/>
    <m/>
    <m/>
    <m/>
    <m/>
    <m/>
    <s v="Estoque Conforme"/>
    <s v="SEM SOLICITACAO / FABBISOGNO'S"/>
    <m/>
  </r>
  <r>
    <m/>
    <x v="1"/>
    <m/>
    <s v="ALM01205"/>
    <m/>
    <x v="2"/>
    <m/>
    <m/>
    <x v="1202"/>
    <m/>
    <m/>
    <m/>
    <m/>
    <m/>
    <s v="C1105"/>
    <m/>
    <n v="1"/>
    <n v="2"/>
    <n v="6"/>
    <m/>
    <n v="0"/>
    <n v="0"/>
    <m/>
    <m/>
    <m/>
    <m/>
    <m/>
    <s v="Estoque em Nivel Minimo"/>
    <s v="SEM SOLICITACAO / FABBISOGNO'S"/>
    <m/>
  </r>
  <r>
    <m/>
    <x v="1"/>
    <m/>
    <s v="ALM01206"/>
    <m/>
    <x v="1"/>
    <m/>
    <m/>
    <x v="1203"/>
    <m/>
    <m/>
    <m/>
    <m/>
    <m/>
    <s v="D2106"/>
    <m/>
    <n v="6"/>
    <n v="2"/>
    <n v="10"/>
    <m/>
    <n v="0"/>
    <n v="0"/>
    <m/>
    <m/>
    <m/>
    <m/>
    <m/>
    <s v="Estoque Conforme"/>
    <s v="SEM SOLICITACAO / FABBISOGNO'S"/>
    <m/>
  </r>
  <r>
    <m/>
    <x v="1"/>
    <m/>
    <s v="ALM01207"/>
    <m/>
    <x v="1"/>
    <m/>
    <m/>
    <x v="1204"/>
    <m/>
    <m/>
    <m/>
    <m/>
    <m/>
    <s v="E2404"/>
    <m/>
    <n v="7"/>
    <n v="2"/>
    <n v="8"/>
    <m/>
    <n v="0"/>
    <n v="0"/>
    <m/>
    <m/>
    <m/>
    <m/>
    <m/>
    <s v="Estoque Conforme"/>
    <s v="SEM SOLICITACAO / FABBISOGNO'S"/>
    <m/>
  </r>
  <r>
    <m/>
    <x v="1"/>
    <m/>
    <s v="ALM01208"/>
    <m/>
    <x v="1"/>
    <m/>
    <m/>
    <x v="1205"/>
    <m/>
    <m/>
    <m/>
    <m/>
    <m/>
    <s v="E2405"/>
    <m/>
    <n v="1"/>
    <n v="2"/>
    <n v="10"/>
    <m/>
    <n v="0"/>
    <n v="0"/>
    <m/>
    <m/>
    <m/>
    <m/>
    <m/>
    <s v="Estoque em Nivel Minimo"/>
    <s v="COM SOLICITACAO / EM PROCESSO DE COMPRAS"/>
    <s v="3375/19"/>
  </r>
  <r>
    <m/>
    <x v="1"/>
    <m/>
    <s v="ALM01209"/>
    <m/>
    <x v="1"/>
    <m/>
    <m/>
    <x v="1206"/>
    <m/>
    <m/>
    <m/>
    <m/>
    <m/>
    <s v="D1105"/>
    <m/>
    <n v="200"/>
    <n v="10"/>
    <n v="30"/>
    <m/>
    <n v="0"/>
    <n v="0"/>
    <m/>
    <m/>
    <m/>
    <m/>
    <m/>
    <s v="Estoque Conforme"/>
    <s v="SEM SOLICITACAO / FABBISOGNO'S"/>
    <m/>
  </r>
  <r>
    <m/>
    <x v="1"/>
    <m/>
    <s v="ALM01210"/>
    <m/>
    <x v="1"/>
    <m/>
    <m/>
    <x v="1207"/>
    <m/>
    <m/>
    <m/>
    <m/>
    <m/>
    <s v="C1406"/>
    <m/>
    <n v="1"/>
    <n v="1"/>
    <n v="2"/>
    <m/>
    <n v="0"/>
    <n v="0"/>
    <m/>
    <m/>
    <m/>
    <m/>
    <m/>
    <s v="Estoque Conforme"/>
    <s v="SEM SOLICITACAO / FABBISOGNO'S"/>
    <m/>
  </r>
  <r>
    <m/>
    <x v="1"/>
    <m/>
    <s v="ALM01211"/>
    <m/>
    <x v="1"/>
    <m/>
    <m/>
    <x v="1208"/>
    <m/>
    <m/>
    <m/>
    <m/>
    <m/>
    <s v="E1204"/>
    <m/>
    <n v="1"/>
    <n v="4"/>
    <n v="10"/>
    <m/>
    <n v="0"/>
    <n v="0"/>
    <m/>
    <m/>
    <m/>
    <m/>
    <m/>
    <s v="Estoque em Nivel Minimo"/>
    <s v="COM SOLICITACAO / EM PROCESSO DE COMPRAS"/>
    <s v="3378/19"/>
  </r>
  <r>
    <m/>
    <x v="1"/>
    <m/>
    <s v="ALM01212"/>
    <m/>
    <x v="1"/>
    <m/>
    <m/>
    <x v="433"/>
    <m/>
    <m/>
    <m/>
    <m/>
    <m/>
    <s v="E1303"/>
    <m/>
    <n v="15"/>
    <n v="4"/>
    <n v="10"/>
    <m/>
    <n v="0"/>
    <n v="0"/>
    <m/>
    <m/>
    <m/>
    <m/>
    <m/>
    <s v="Estoque Conforme"/>
    <s v="SEM SOLICITACAO / FABBISOGNO'S"/>
    <m/>
  </r>
  <r>
    <m/>
    <x v="1"/>
    <m/>
    <s v="ALM01213"/>
    <m/>
    <x v="3"/>
    <m/>
    <m/>
    <x v="431"/>
    <m/>
    <m/>
    <m/>
    <m/>
    <m/>
    <s v="E1303"/>
    <m/>
    <n v="14"/>
    <n v="4"/>
    <n v="10"/>
    <m/>
    <n v="0"/>
    <n v="0"/>
    <m/>
    <m/>
    <m/>
    <m/>
    <m/>
    <s v="Estoque Conforme"/>
    <s v="SEM SOLICITACAO / FABBISOGNO'S"/>
    <m/>
  </r>
  <r>
    <m/>
    <x v="1"/>
    <m/>
    <s v="ALM01214"/>
    <m/>
    <x v="3"/>
    <m/>
    <m/>
    <x v="429"/>
    <m/>
    <m/>
    <m/>
    <m/>
    <m/>
    <s v="E1303"/>
    <m/>
    <n v="15"/>
    <n v="4"/>
    <n v="10"/>
    <m/>
    <n v="0"/>
    <n v="0"/>
    <m/>
    <m/>
    <m/>
    <m/>
    <m/>
    <s v="Estoque Conforme"/>
    <s v="SEM SOLICITACAO / FABBISOGNO'S"/>
    <m/>
  </r>
  <r>
    <m/>
    <x v="1"/>
    <m/>
    <s v="ALM01215"/>
    <m/>
    <x v="3"/>
    <m/>
    <m/>
    <x v="432"/>
    <m/>
    <m/>
    <m/>
    <m/>
    <m/>
    <s v="E1303"/>
    <m/>
    <n v="12"/>
    <n v="4"/>
    <n v="10"/>
    <m/>
    <n v="0"/>
    <n v="0"/>
    <m/>
    <m/>
    <m/>
    <m/>
    <m/>
    <s v="Estoque Conforme"/>
    <s v="SEM SOLICITACAO / FABBISOGNO'S"/>
    <m/>
  </r>
  <r>
    <m/>
    <x v="1"/>
    <m/>
    <s v="ALM01216"/>
    <m/>
    <x v="3"/>
    <m/>
    <m/>
    <x v="1209"/>
    <m/>
    <m/>
    <m/>
    <m/>
    <m/>
    <s v="D2106"/>
    <m/>
    <n v="2"/>
    <n v="4"/>
    <n v="6"/>
    <n v="560"/>
    <n v="1120"/>
    <n v="2240"/>
    <m/>
    <m/>
    <m/>
    <m/>
    <m/>
    <s v="Estoque em Nivel Minimo"/>
    <s v="COM SOLICITACAO / EM PROCESSO DE COMPRAS"/>
    <s v="3329/19"/>
  </r>
  <r>
    <m/>
    <x v="1"/>
    <m/>
    <s v="ALM01217"/>
    <m/>
    <x v="3"/>
    <m/>
    <m/>
    <x v="1210"/>
    <m/>
    <m/>
    <m/>
    <m/>
    <m/>
    <s v="C1303"/>
    <m/>
    <n v="2"/>
    <n v="4"/>
    <n v="20"/>
    <m/>
    <n v="0"/>
    <n v="0"/>
    <m/>
    <m/>
    <m/>
    <m/>
    <m/>
    <s v="Estoque em Nivel Minimo"/>
    <s v="COM SOLICITACAO / EM PROCESSO DE COMPRAS"/>
    <s v="3366/19"/>
  </r>
  <r>
    <m/>
    <x v="1"/>
    <m/>
    <s v="ALM01218"/>
    <m/>
    <x v="3"/>
    <m/>
    <m/>
    <x v="1211"/>
    <m/>
    <m/>
    <m/>
    <m/>
    <m/>
    <s v="C1303"/>
    <m/>
    <n v="50"/>
    <m/>
    <m/>
    <m/>
    <n v="0"/>
    <n v="0"/>
    <m/>
    <m/>
    <m/>
    <m/>
    <m/>
    <s v="Estoque Conforme"/>
    <s v="SEM SOLICITACAO / FABBISOGNO'S"/>
    <m/>
  </r>
  <r>
    <m/>
    <x v="1"/>
    <m/>
    <s v="ALM01219"/>
    <m/>
    <x v="3"/>
    <m/>
    <m/>
    <x v="1212"/>
    <m/>
    <m/>
    <m/>
    <m/>
    <m/>
    <s v="C1305"/>
    <m/>
    <n v="10"/>
    <n v="4"/>
    <n v="20"/>
    <m/>
    <n v="0"/>
    <n v="0"/>
    <m/>
    <m/>
    <m/>
    <m/>
    <m/>
    <s v="Estoque Conforme"/>
    <s v="SEM SOLICITACAO / FABBISOGNO'S"/>
    <m/>
  </r>
  <r>
    <m/>
    <x v="1"/>
    <m/>
    <s v="ALM01220"/>
    <m/>
    <x v="3"/>
    <m/>
    <m/>
    <x v="1213"/>
    <m/>
    <m/>
    <m/>
    <m/>
    <m/>
    <s v="C1305"/>
    <m/>
    <n v="20"/>
    <n v="4"/>
    <n v="20"/>
    <m/>
    <n v="0"/>
    <n v="0"/>
    <m/>
    <m/>
    <m/>
    <m/>
    <m/>
    <s v="Estoque Conforme"/>
    <s v="SEM SOLICITACAO / FABBISOGNO'S"/>
    <m/>
  </r>
  <r>
    <m/>
    <x v="1"/>
    <m/>
    <s v="ALM01221"/>
    <m/>
    <x v="3"/>
    <m/>
    <m/>
    <x v="1214"/>
    <m/>
    <m/>
    <m/>
    <m/>
    <m/>
    <s v="C1305"/>
    <m/>
    <n v="20"/>
    <n v="4"/>
    <n v="20"/>
    <m/>
    <n v="0"/>
    <n v="0"/>
    <m/>
    <m/>
    <m/>
    <m/>
    <m/>
    <s v="Estoque Conforme"/>
    <s v="SEM SOLICITACAO / FABBISOGNO'S"/>
    <m/>
  </r>
  <r>
    <m/>
    <x v="1"/>
    <m/>
    <s v="ALM01222"/>
    <m/>
    <x v="3"/>
    <m/>
    <m/>
    <x v="1215"/>
    <m/>
    <m/>
    <m/>
    <m/>
    <m/>
    <s v="D1304"/>
    <m/>
    <n v="0"/>
    <n v="2"/>
    <n v="4"/>
    <m/>
    <n v="0"/>
    <n v="0"/>
    <m/>
    <m/>
    <m/>
    <m/>
    <m/>
    <s v="Estoque Não Conforme"/>
    <s v="SEM SOLICITACAO / FABBISOGNO'S"/>
    <m/>
  </r>
  <r>
    <m/>
    <x v="0"/>
    <s v="B"/>
    <s v="ALM01223"/>
    <m/>
    <x v="1"/>
    <m/>
    <m/>
    <x v="1216"/>
    <m/>
    <m/>
    <m/>
    <m/>
    <m/>
    <s v="E2405"/>
    <m/>
    <n v="2"/>
    <n v="2"/>
    <n v="8"/>
    <n v="220"/>
    <n v="440"/>
    <n v="440"/>
    <m/>
    <m/>
    <m/>
    <m/>
    <m/>
    <s v="Estoque Conforme"/>
    <s v="SEM SOLICITACAO / FABBISOGNO'S"/>
    <m/>
  </r>
  <r>
    <m/>
    <x v="0"/>
    <s v="B"/>
    <s v="ALM01224"/>
    <m/>
    <x v="1"/>
    <m/>
    <m/>
    <x v="1217"/>
    <m/>
    <m/>
    <m/>
    <m/>
    <m/>
    <s v="D1103"/>
    <m/>
    <n v="3"/>
    <n v="2"/>
    <n v="4"/>
    <n v="295"/>
    <n v="885"/>
    <n v="590"/>
    <m/>
    <m/>
    <m/>
    <m/>
    <m/>
    <s v="Estoque Conforme"/>
    <s v="SEM SOLICITACAO / FABBISOGNO'S"/>
    <m/>
  </r>
  <r>
    <m/>
    <x v="1"/>
    <m/>
    <s v="ALM01225"/>
    <m/>
    <x v="0"/>
    <m/>
    <m/>
    <x v="1218"/>
    <m/>
    <m/>
    <m/>
    <m/>
    <m/>
    <s v="B1102"/>
    <m/>
    <n v="6"/>
    <n v="2"/>
    <n v="6"/>
    <m/>
    <n v="0"/>
    <n v="0"/>
    <m/>
    <m/>
    <m/>
    <m/>
    <m/>
    <s v="Estoque Conforme"/>
    <s v="SEM SOLICITACAO / FABBISOGNO'S"/>
    <m/>
  </r>
  <r>
    <m/>
    <x v="1"/>
    <m/>
    <s v="ALM01226"/>
    <m/>
    <x v="1"/>
    <m/>
    <m/>
    <x v="1219"/>
    <m/>
    <m/>
    <m/>
    <m/>
    <m/>
    <s v="C1402"/>
    <m/>
    <n v="2"/>
    <n v="1"/>
    <n v="2"/>
    <m/>
    <n v="0"/>
    <n v="0"/>
    <m/>
    <m/>
    <m/>
    <m/>
    <m/>
    <s v="Estoque Conforme"/>
    <s v="SEM SOLICITACAO / FABBISOGNO'S"/>
    <m/>
  </r>
  <r>
    <m/>
    <x v="1"/>
    <m/>
    <s v="ALM01227"/>
    <m/>
    <x v="1"/>
    <m/>
    <m/>
    <x v="1220"/>
    <m/>
    <m/>
    <m/>
    <m/>
    <m/>
    <s v="C1402"/>
    <m/>
    <n v="4"/>
    <n v="2"/>
    <n v="8"/>
    <m/>
    <n v="0"/>
    <n v="0"/>
    <m/>
    <m/>
    <m/>
    <m/>
    <m/>
    <s v="Estoque Conforme"/>
    <s v="SEM SOLICITACAO / FABBISOGNO'S"/>
    <m/>
  </r>
  <r>
    <m/>
    <x v="1"/>
    <m/>
    <s v="ALM01228"/>
    <m/>
    <x v="1"/>
    <m/>
    <m/>
    <x v="1221"/>
    <m/>
    <m/>
    <m/>
    <m/>
    <m/>
    <s v="E1202"/>
    <m/>
    <n v="10"/>
    <n v="2"/>
    <n v="10"/>
    <m/>
    <n v="0"/>
    <n v="0"/>
    <m/>
    <m/>
    <m/>
    <m/>
    <m/>
    <s v="Estoque Conforme"/>
    <s v="SEM SOLICITACAO / FABBISOGNO'S"/>
    <m/>
  </r>
  <r>
    <m/>
    <x v="1"/>
    <m/>
    <s v="ALM01229"/>
    <m/>
    <x v="1"/>
    <m/>
    <m/>
    <x v="1222"/>
    <m/>
    <m/>
    <m/>
    <m/>
    <m/>
    <s v="E1202"/>
    <m/>
    <n v="13"/>
    <n v="2"/>
    <n v="10"/>
    <m/>
    <n v="0"/>
    <n v="0"/>
    <m/>
    <m/>
    <m/>
    <m/>
    <m/>
    <s v="Estoque Conforme"/>
    <s v="SEM SOLICITACAO / FABBISOGNO'S"/>
    <m/>
  </r>
  <r>
    <m/>
    <x v="1"/>
    <m/>
    <s v="ALM01230"/>
    <m/>
    <x v="1"/>
    <m/>
    <m/>
    <x v="1223"/>
    <m/>
    <m/>
    <m/>
    <m/>
    <m/>
    <s v="E1204"/>
    <m/>
    <n v="20"/>
    <n v="5"/>
    <n v="15"/>
    <m/>
    <n v="0"/>
    <n v="0"/>
    <m/>
    <m/>
    <m/>
    <m/>
    <m/>
    <s v="Estoque Conforme"/>
    <s v="SEM SOLICITACAO / FABBISOGNO'S"/>
    <m/>
  </r>
  <r>
    <m/>
    <x v="1"/>
    <m/>
    <s v="ALM01231"/>
    <m/>
    <x v="1"/>
    <m/>
    <m/>
    <x v="1224"/>
    <m/>
    <m/>
    <m/>
    <m/>
    <m/>
    <s v="E1204"/>
    <m/>
    <n v="20"/>
    <n v="4"/>
    <n v="20"/>
    <m/>
    <n v="0"/>
    <n v="0"/>
    <m/>
    <m/>
    <m/>
    <m/>
    <m/>
    <s v="Estoque Conforme"/>
    <s v="SEM SOLICITACAO / FABBISOGNO'S"/>
    <m/>
  </r>
  <r>
    <m/>
    <x v="1"/>
    <m/>
    <s v="ALM01232"/>
    <m/>
    <x v="3"/>
    <m/>
    <m/>
    <x v="1225"/>
    <m/>
    <m/>
    <m/>
    <m/>
    <m/>
    <s v="E1305"/>
    <m/>
    <n v="0"/>
    <m/>
    <m/>
    <m/>
    <n v="0"/>
    <n v="0"/>
    <m/>
    <m/>
    <m/>
    <m/>
    <m/>
    <s v="Estoque Não Conforme"/>
    <s v="SEM SOLICITACAO / FABBISOGNO'S"/>
    <m/>
  </r>
  <r>
    <m/>
    <x v="1"/>
    <m/>
    <s v="ALM01233"/>
    <m/>
    <x v="3"/>
    <m/>
    <m/>
    <x v="1226"/>
    <m/>
    <m/>
    <m/>
    <m/>
    <m/>
    <s v="E1305"/>
    <m/>
    <n v="1"/>
    <m/>
    <m/>
    <m/>
    <n v="0"/>
    <n v="0"/>
    <m/>
    <m/>
    <m/>
    <m/>
    <m/>
    <s v="Estoque Conforme"/>
    <s v="SEM SOLICITACAO / FABBISOGNO'S"/>
    <m/>
  </r>
  <r>
    <m/>
    <x v="1"/>
    <m/>
    <s v="ALM01234"/>
    <m/>
    <x v="3"/>
    <m/>
    <m/>
    <x v="1227"/>
    <m/>
    <m/>
    <m/>
    <m/>
    <m/>
    <s v="C1401"/>
    <m/>
    <n v="3"/>
    <n v="3"/>
    <n v="6"/>
    <m/>
    <n v="0"/>
    <n v="0"/>
    <m/>
    <m/>
    <m/>
    <m/>
    <m/>
    <s v="Estoque Conforme"/>
    <s v="SEM SOLICITACAO / FABBISOGNO'S"/>
    <m/>
  </r>
  <r>
    <m/>
    <x v="1"/>
    <m/>
    <s v="ALM01235"/>
    <m/>
    <x v="3"/>
    <m/>
    <m/>
    <x v="1228"/>
    <m/>
    <m/>
    <m/>
    <m/>
    <m/>
    <s v="E1302"/>
    <m/>
    <n v="2"/>
    <n v="2"/>
    <n v="4"/>
    <m/>
    <n v="0"/>
    <n v="0"/>
    <m/>
    <m/>
    <m/>
    <m/>
    <m/>
    <s v="Estoque Conforme"/>
    <s v="SEM SOLICITACAO / FABBISOGNO'S"/>
    <m/>
  </r>
  <r>
    <m/>
    <x v="1"/>
    <m/>
    <s v="ALM01236"/>
    <m/>
    <x v="3"/>
    <m/>
    <m/>
    <x v="1229"/>
    <m/>
    <m/>
    <m/>
    <m/>
    <m/>
    <s v="D2202"/>
    <m/>
    <n v="2"/>
    <m/>
    <m/>
    <m/>
    <n v="0"/>
    <n v="0"/>
    <m/>
    <m/>
    <m/>
    <m/>
    <m/>
    <s v="Estoque Conforme"/>
    <s v="SEM SOLICITACAO / FABBISOGNO'S"/>
    <m/>
  </r>
  <r>
    <m/>
    <x v="1"/>
    <s v="B"/>
    <s v="ALM01237"/>
    <m/>
    <x v="0"/>
    <m/>
    <m/>
    <x v="1230"/>
    <m/>
    <m/>
    <m/>
    <m/>
    <m/>
    <s v="A2405"/>
    <m/>
    <n v="8"/>
    <n v="2"/>
    <n v="10"/>
    <n v="150"/>
    <n v="1200"/>
    <n v="300"/>
    <m/>
    <m/>
    <m/>
    <m/>
    <m/>
    <s v="Estoque Conforme"/>
    <s v="SEM SOLICITACAO / FABBISOGNO'S"/>
    <m/>
  </r>
  <r>
    <m/>
    <x v="1"/>
    <m/>
    <s v="ALM01238"/>
    <m/>
    <x v="3"/>
    <m/>
    <m/>
    <x v="1231"/>
    <m/>
    <m/>
    <m/>
    <m/>
    <m/>
    <s v="C1206"/>
    <m/>
    <n v="0"/>
    <n v="1"/>
    <n v="2"/>
    <n v="21937.24"/>
    <n v="0"/>
    <n v="21937.24"/>
    <m/>
    <m/>
    <m/>
    <m/>
    <m/>
    <s v="Estoque Não Conforme"/>
    <s v="SEM SOLICITACAO / FABBISOGNO'S"/>
    <m/>
  </r>
  <r>
    <m/>
    <x v="1"/>
    <m/>
    <s v="ALM01239"/>
    <m/>
    <x v="3"/>
    <m/>
    <m/>
    <x v="1232"/>
    <m/>
    <m/>
    <m/>
    <m/>
    <m/>
    <s v="ARMARIO "/>
    <m/>
    <n v="2"/>
    <m/>
    <m/>
    <m/>
    <n v="0"/>
    <n v="0"/>
    <m/>
    <m/>
    <m/>
    <m/>
    <m/>
    <s v="Estoque Conforme"/>
    <s v="SEM SOLICITACAO / FABBISOGNO'S"/>
    <m/>
  </r>
  <r>
    <m/>
    <x v="1"/>
    <m/>
    <s v="ALM01240"/>
    <m/>
    <x v="3"/>
    <m/>
    <m/>
    <x v="1233"/>
    <m/>
    <m/>
    <m/>
    <m/>
    <m/>
    <s v="D1205"/>
    <m/>
    <n v="6"/>
    <m/>
    <m/>
    <m/>
    <n v="0"/>
    <n v="0"/>
    <m/>
    <m/>
    <m/>
    <m/>
    <m/>
    <s v="Estoque Conforme"/>
    <s v="SEM SOLICITACAO / FABBISOGNO'S"/>
    <m/>
  </r>
  <r>
    <m/>
    <x v="1"/>
    <m/>
    <s v="ALM01241"/>
    <m/>
    <x v="3"/>
    <m/>
    <m/>
    <x v="1234"/>
    <m/>
    <m/>
    <m/>
    <m/>
    <m/>
    <s v="D2105"/>
    <m/>
    <n v="4"/>
    <n v="2"/>
    <n v="8"/>
    <m/>
    <n v="0"/>
    <n v="0"/>
    <m/>
    <m/>
    <m/>
    <m/>
    <m/>
    <s v="Estoque Conforme"/>
    <s v="SEM SOLICITACAO / FABBISOGNO'S"/>
    <m/>
  </r>
  <r>
    <m/>
    <x v="1"/>
    <s v="B"/>
    <s v="ALM01242"/>
    <s v="TRUNK LOAD"/>
    <x v="1"/>
    <m/>
    <m/>
    <x v="1235"/>
    <m/>
    <m/>
    <m/>
    <m/>
    <m/>
    <s v="D1103"/>
    <m/>
    <n v="2"/>
    <n v="1"/>
    <n v="10"/>
    <n v="10"/>
    <n v="20"/>
    <n v="10"/>
    <m/>
    <m/>
    <m/>
    <m/>
    <m/>
    <s v="Estoque Conforme"/>
    <s v="SEM SOLICITACAO / FABBISOGNO'S"/>
    <m/>
  </r>
  <r>
    <m/>
    <x v="1"/>
    <s v="B"/>
    <s v="ALM01243"/>
    <s v="TETO"/>
    <x v="1"/>
    <m/>
    <m/>
    <x v="1236"/>
    <m/>
    <m/>
    <m/>
    <m/>
    <m/>
    <s v="D1103"/>
    <m/>
    <n v="8"/>
    <n v="2"/>
    <n v="10"/>
    <n v="13.35"/>
    <n v="106.8"/>
    <n v="26.7"/>
    <m/>
    <m/>
    <m/>
    <m/>
    <m/>
    <s v="Estoque Conforme"/>
    <s v="SEM SOLICITACAO / FABBISOGNO'S"/>
    <m/>
  </r>
  <r>
    <m/>
    <x v="1"/>
    <s v="B"/>
    <s v="ALM01244"/>
    <s v="TETO"/>
    <x v="1"/>
    <m/>
    <m/>
    <x v="1237"/>
    <m/>
    <m/>
    <m/>
    <m/>
    <m/>
    <s v="D1103"/>
    <m/>
    <n v="4"/>
    <n v="2"/>
    <n v="10"/>
    <n v="240"/>
    <n v="960"/>
    <n v="480"/>
    <m/>
    <m/>
    <m/>
    <m/>
    <m/>
    <s v="Estoque Conforme"/>
    <s v="SEM SOLICITACAO / FABBISOGNO'S"/>
    <m/>
  </r>
  <r>
    <m/>
    <x v="1"/>
    <s v="C"/>
    <s v="ALM01245"/>
    <m/>
    <x v="0"/>
    <m/>
    <m/>
    <x v="1238"/>
    <m/>
    <m/>
    <m/>
    <m/>
    <m/>
    <s v="B1102"/>
    <m/>
    <n v="10"/>
    <n v="2"/>
    <n v="10"/>
    <n v="67.8"/>
    <n v="678"/>
    <n v="135.6"/>
    <m/>
    <m/>
    <m/>
    <m/>
    <m/>
    <s v="Estoque Conforme"/>
    <s v="SEM SOLICITACAO / FABBISOGNO'S"/>
    <m/>
  </r>
  <r>
    <m/>
    <x v="1"/>
    <s v="B"/>
    <s v="ALM01246"/>
    <m/>
    <x v="0"/>
    <m/>
    <m/>
    <x v="1239"/>
    <m/>
    <m/>
    <m/>
    <m/>
    <m/>
    <s v="B2103"/>
    <m/>
    <n v="2"/>
    <n v="2"/>
    <n v="4"/>
    <n v="170"/>
    <n v="340"/>
    <n v="340"/>
    <m/>
    <m/>
    <m/>
    <m/>
    <m/>
    <s v="Estoque Conforme"/>
    <s v="SEM SOLICITACAO / FABBISOGNO'S"/>
    <m/>
  </r>
  <r>
    <m/>
    <x v="1"/>
    <s v="B"/>
    <s v="ALM01247"/>
    <m/>
    <x v="0"/>
    <m/>
    <m/>
    <x v="1240"/>
    <m/>
    <m/>
    <m/>
    <m/>
    <m/>
    <s v="B2103"/>
    <m/>
    <n v="2"/>
    <n v="2"/>
    <n v="4"/>
    <n v="185.65"/>
    <n v="371.3"/>
    <n v="371.3"/>
    <m/>
    <m/>
    <m/>
    <m/>
    <m/>
    <s v="Estoque Conforme"/>
    <s v="SEM SOLICITACAO / FABBISOGNO'S"/>
    <m/>
  </r>
  <r>
    <m/>
    <x v="1"/>
    <s v="C"/>
    <s v="ALM01248"/>
    <s v="M14"/>
    <x v="1"/>
    <m/>
    <m/>
    <x v="1241"/>
    <m/>
    <m/>
    <m/>
    <m/>
    <m/>
    <s v="E2203"/>
    <m/>
    <n v="3"/>
    <n v="1"/>
    <n v="4"/>
    <n v="1003.99"/>
    <n v="3011.9700000000003"/>
    <n v="1003.99"/>
    <m/>
    <m/>
    <m/>
    <m/>
    <m/>
    <s v="Estoque Conforme"/>
    <s v="SEM SOLICITACAO / FABBISOGNO'S"/>
    <m/>
  </r>
  <r>
    <m/>
    <x v="1"/>
    <s v="C"/>
    <s v="ALM01249"/>
    <s v="M14"/>
    <x v="1"/>
    <m/>
    <m/>
    <x v="1242"/>
    <m/>
    <m/>
    <m/>
    <m/>
    <m/>
    <s v="E2203"/>
    <m/>
    <n v="9"/>
    <n v="2"/>
    <n v="8"/>
    <n v="54.84"/>
    <n v="493.56000000000006"/>
    <n v="109.68"/>
    <m/>
    <m/>
    <m/>
    <m/>
    <m/>
    <s v="Estoque Conforme"/>
    <s v="SEM SOLICITACAO / FABBISOGNO'S"/>
    <m/>
  </r>
  <r>
    <m/>
    <x v="1"/>
    <s v="C"/>
    <s v="ALM01250"/>
    <s v="M14"/>
    <x v="1"/>
    <m/>
    <m/>
    <x v="1243"/>
    <m/>
    <m/>
    <m/>
    <m/>
    <m/>
    <s v="E2203"/>
    <m/>
    <n v="2"/>
    <n v="1"/>
    <n v="4"/>
    <n v="124.77"/>
    <n v="249.54"/>
    <n v="124.77"/>
    <m/>
    <m/>
    <m/>
    <m/>
    <m/>
    <s v="Estoque Conforme"/>
    <s v="SEM SOLICITACAO / FABBISOGNO'S"/>
    <m/>
  </r>
  <r>
    <m/>
    <x v="1"/>
    <s v="C"/>
    <s v="ALM01251"/>
    <s v="M14"/>
    <x v="1"/>
    <m/>
    <m/>
    <x v="1244"/>
    <m/>
    <m/>
    <m/>
    <m/>
    <m/>
    <s v="E2203"/>
    <m/>
    <n v="4"/>
    <n v="1"/>
    <n v="4"/>
    <n v="65.38"/>
    <n v="261.52"/>
    <n v="65.38"/>
    <m/>
    <m/>
    <m/>
    <m/>
    <m/>
    <s v="Estoque Conforme"/>
    <s v="SEM SOLICITACAO / FABBISOGNO'S"/>
    <m/>
  </r>
  <r>
    <m/>
    <x v="1"/>
    <s v="C"/>
    <s v="ALM01252"/>
    <s v="M14"/>
    <x v="1"/>
    <m/>
    <m/>
    <x v="1245"/>
    <m/>
    <m/>
    <m/>
    <m/>
    <m/>
    <s v="E2203"/>
    <m/>
    <n v="4"/>
    <n v="1"/>
    <n v="4"/>
    <n v="113.02"/>
    <n v="452.08"/>
    <n v="113.02"/>
    <m/>
    <m/>
    <m/>
    <m/>
    <m/>
    <s v="Estoque Conforme"/>
    <s v="SEM SOLICITACAO / FABBISOGNO'S"/>
    <m/>
  </r>
  <r>
    <m/>
    <x v="1"/>
    <s v="C"/>
    <s v="ALM01253"/>
    <s v="M14"/>
    <x v="1"/>
    <m/>
    <m/>
    <x v="1246"/>
    <m/>
    <m/>
    <m/>
    <m/>
    <m/>
    <s v="E2203"/>
    <m/>
    <n v="4"/>
    <n v="2"/>
    <n v="4"/>
    <n v="7.55"/>
    <n v="30.2"/>
    <n v="15.1"/>
    <m/>
    <m/>
    <m/>
    <m/>
    <m/>
    <s v="Estoque Conforme"/>
    <s v="SEM SOLICITACAO / FABBISOGNO'S"/>
    <m/>
  </r>
  <r>
    <m/>
    <x v="1"/>
    <s v="C"/>
    <s v="ALM01254"/>
    <s v="M14"/>
    <x v="1"/>
    <m/>
    <m/>
    <x v="1247"/>
    <m/>
    <m/>
    <m/>
    <m/>
    <m/>
    <s v="E2203"/>
    <m/>
    <n v="4"/>
    <n v="2"/>
    <n v="4"/>
    <n v="29.58"/>
    <n v="118.32"/>
    <n v="59.16"/>
    <m/>
    <m/>
    <m/>
    <m/>
    <m/>
    <s v="Estoque Conforme"/>
    <s v="SEM SOLICITACAO / FABBISOGNO'S"/>
    <m/>
  </r>
  <r>
    <m/>
    <x v="1"/>
    <s v="C"/>
    <s v="ALM01255"/>
    <s v="M14"/>
    <x v="1"/>
    <m/>
    <m/>
    <x v="1248"/>
    <m/>
    <m/>
    <m/>
    <m/>
    <m/>
    <s v="E2203"/>
    <m/>
    <n v="4"/>
    <n v="1"/>
    <n v="4"/>
    <n v="11.69"/>
    <n v="46.76"/>
    <n v="11.69"/>
    <m/>
    <m/>
    <m/>
    <m/>
    <m/>
    <s v="Estoque Conforme"/>
    <s v="SEM SOLICITACAO / FABBISOGNO'S"/>
    <m/>
  </r>
  <r>
    <m/>
    <x v="1"/>
    <s v="C"/>
    <s v="ALM01256"/>
    <s v="M14"/>
    <x v="1"/>
    <m/>
    <m/>
    <x v="1249"/>
    <m/>
    <m/>
    <m/>
    <m/>
    <m/>
    <s v="E2203"/>
    <m/>
    <n v="4"/>
    <n v="1"/>
    <n v="4"/>
    <n v="13.65"/>
    <n v="54.6"/>
    <n v="13.65"/>
    <m/>
    <m/>
    <m/>
    <m/>
    <m/>
    <s v="Estoque Conforme"/>
    <s v="SEM SOLICITACAO / FABBISOGNO'S"/>
    <m/>
  </r>
  <r>
    <m/>
    <x v="1"/>
    <s v="C"/>
    <s v="ALM01257"/>
    <s v="M14"/>
    <x v="1"/>
    <m/>
    <m/>
    <x v="1250"/>
    <m/>
    <m/>
    <m/>
    <m/>
    <m/>
    <s v="E2203"/>
    <m/>
    <n v="4"/>
    <n v="1"/>
    <n v="4"/>
    <n v="52.54"/>
    <n v="210.16"/>
    <n v="52.54"/>
    <m/>
    <m/>
    <m/>
    <m/>
    <m/>
    <s v="Estoque Conforme"/>
    <s v="SEM SOLICITACAO / FABBISOGNO'S"/>
    <m/>
  </r>
  <r>
    <m/>
    <x v="1"/>
    <s v="C"/>
    <s v="ALM01258"/>
    <s v="M14"/>
    <x v="1"/>
    <m/>
    <m/>
    <x v="1251"/>
    <m/>
    <m/>
    <m/>
    <m/>
    <m/>
    <s v="E2203"/>
    <m/>
    <n v="4"/>
    <n v="1"/>
    <n v="4"/>
    <n v="3.56"/>
    <n v="14.24"/>
    <n v="3.56"/>
    <m/>
    <m/>
    <m/>
    <m/>
    <m/>
    <s v="Estoque Conforme"/>
    <s v="SEM SOLICITACAO / FABBISOGNO'S"/>
    <m/>
  </r>
  <r>
    <m/>
    <x v="1"/>
    <s v="C"/>
    <s v="ALM01259"/>
    <s v="M14"/>
    <x v="1"/>
    <m/>
    <m/>
    <x v="1252"/>
    <m/>
    <m/>
    <m/>
    <m/>
    <m/>
    <s v="E2203"/>
    <m/>
    <n v="4"/>
    <n v="1"/>
    <n v="4"/>
    <n v="3.56"/>
    <n v="14.24"/>
    <n v="3.56"/>
    <m/>
    <m/>
    <m/>
    <m/>
    <m/>
    <s v="Estoque Conforme"/>
    <s v="SEM SOLICITACAO / FABBISOGNO'S"/>
    <m/>
  </r>
  <r>
    <m/>
    <x v="1"/>
    <m/>
    <s v="ALM01260"/>
    <m/>
    <x v="1"/>
    <m/>
    <m/>
    <x v="1253"/>
    <m/>
    <m/>
    <m/>
    <m/>
    <m/>
    <s v="E2303"/>
    <m/>
    <n v="4"/>
    <n v="1"/>
    <n v="4"/>
    <n v="647.37"/>
    <n v="2589.48"/>
    <n v="647.37"/>
    <m/>
    <m/>
    <m/>
    <m/>
    <m/>
    <s v="Estoque Conforme"/>
    <s v="SEM SOLICITACAO / FABBISOGNO'S"/>
    <m/>
  </r>
  <r>
    <m/>
    <x v="1"/>
    <s v="A"/>
    <s v="ALM01261"/>
    <s v="M10/11/12 "/>
    <x v="1"/>
    <m/>
    <m/>
    <x v="1254"/>
    <m/>
    <m/>
    <m/>
    <m/>
    <m/>
    <m/>
    <m/>
    <n v="2"/>
    <n v="1"/>
    <n v="2"/>
    <m/>
    <n v="0"/>
    <n v="0"/>
    <m/>
    <m/>
    <s v="REPAROS DOS CILINDROS "/>
    <n v="4500527405"/>
    <n v="5600"/>
    <s v="Estoque Conforme"/>
    <s v="SEM SOLICITACAO / FABBISOGNO'S"/>
    <m/>
  </r>
  <r>
    <m/>
    <x v="1"/>
    <s v="A"/>
    <s v="ALM01262"/>
    <s v="M14"/>
    <x v="1"/>
    <m/>
    <m/>
    <x v="1255"/>
    <m/>
    <m/>
    <m/>
    <m/>
    <m/>
    <s v="E1302"/>
    <m/>
    <n v="6"/>
    <n v="1"/>
    <n v="4"/>
    <m/>
    <n v="0"/>
    <n v="0"/>
    <m/>
    <m/>
    <m/>
    <m/>
    <m/>
    <s v="Estoque Conforme"/>
    <s v="SEM SOLICITACAO / FABBISOGNO'S"/>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Tabela dinâmica13"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DESCRIÇÃO">
  <location ref="G5:I22" firstHeaderRow="1" firstDataRow="1" firstDataCol="0"/>
  <pivotFields count="30">
    <pivotField showAll="0"/>
    <pivotField showAll="0"/>
    <pivotField showAll="0" defaultSubtotal="0"/>
    <pivotField showAll="0" defaultSubtotal="0"/>
    <pivotField showAll="0"/>
    <pivotField showAll="0" defaultSubtotal="0"/>
    <pivotField showAll="0" defaultSubtotal="0"/>
    <pivotField showAll="0"/>
    <pivotField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pivotField numFmtId="166" showAll="0" defaultSubtotal="0"/>
    <pivotField numFmtId="166" showAll="0"/>
    <pivotField showAll="0"/>
    <pivotField showAll="0"/>
    <pivotField showAll="0" defaultSubtotal="0"/>
    <pivotField showAll="0" defaultSubtotal="0"/>
    <pivotField showAll="0" defaultSubtotal="0"/>
    <pivotField showAll="0" defaultSubtotal="0"/>
    <pivotField showAll="0" defaultSubtota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ela dinâmica1"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DESCRIÇÃO">
  <location ref="B5:C8" firstHeaderRow="1" firstDataRow="1" firstDataCol="1"/>
  <pivotFields count="30">
    <pivotField showAll="0"/>
    <pivotField axis="axisRow" showAll="0">
      <items count="16">
        <item n="Estoque Conforme" sd="0" m="1" x="6"/>
        <item n="Estoque em nivel Minimo" m="1" x="5"/>
        <item n="Estoque em Zero " m="1" x="8"/>
        <item m="1" x="14"/>
        <item n="Estoque Conforme2" m="1" x="13"/>
        <item n="Estoque em Nivel Minimo2" m="1" x="10"/>
        <item x="1"/>
        <item x="0"/>
        <item m="1" x="9"/>
        <item m="1" x="11"/>
        <item m="1" x="4"/>
        <item m="1" x="2"/>
        <item m="1" x="3"/>
        <item m="1" x="12"/>
        <item m="1" x="7"/>
        <item t="default"/>
      </items>
    </pivotField>
    <pivotField showAll="0" defaultSubtotal="0"/>
    <pivotField showAll="0" defaultSubtotal="0"/>
    <pivotField showAll="0"/>
    <pivotField showAll="0" defaultSubtotal="0"/>
    <pivotField showAll="0" defaultSubtotal="0"/>
    <pivotField showAll="0"/>
    <pivotField multipleItemSelectionAllowed="1"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defaultSubtotal="0"/>
    <pivotField numFmtId="166" showAll="0" defaultSubtotal="0"/>
    <pivotField dataField="1" numFmtId="166"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1"/>
  </rowFields>
  <rowItems count="3">
    <i>
      <x v="6"/>
    </i>
    <i>
      <x v="7"/>
    </i>
    <i t="grand">
      <x/>
    </i>
  </rowItems>
  <colItems count="1">
    <i/>
  </colItems>
  <dataFields count="1">
    <dataField name="Investimento FO's" fld="21" baseField="23" baseItem="1" numFmtId="169"/>
  </dataFields>
  <formats count="6">
    <format dxfId="916">
      <pivotArea dataOnly="0" fieldPosition="0">
        <references count="1">
          <reference field="1" count="1">
            <x v="0"/>
          </reference>
        </references>
      </pivotArea>
    </format>
    <format dxfId="915">
      <pivotArea dataOnly="0" fieldPosition="0">
        <references count="1">
          <reference field="1" count="1">
            <x v="1"/>
          </reference>
        </references>
      </pivotArea>
    </format>
    <format dxfId="914">
      <pivotArea dataOnly="0" fieldPosition="0">
        <references count="1">
          <reference field="1" count="1">
            <x v="2"/>
          </reference>
        </references>
      </pivotArea>
    </format>
    <format dxfId="913">
      <pivotArea outline="0" collapsedLevelsAreSubtotals="1" fieldPosition="0"/>
    </format>
    <format dxfId="912">
      <pivotArea dataOnly="0" labelOnly="1" outline="0" axis="axisValues" fieldPosition="0"/>
    </format>
    <format dxfId="911">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Tabela dinâmica1" cacheId="0"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STATUS / AÇÃO">
  <location ref="B3:B12" firstHeaderRow="1" firstDataRow="1" firstDataCol="1"/>
  <pivotFields count="30">
    <pivotField showAll="0"/>
    <pivotField axis="axisRow" showAll="0" sortType="ascending">
      <items count="16">
        <item m="1" x="4"/>
        <item m="1" x="9"/>
        <item m="1" x="11"/>
        <item m="1" x="2"/>
        <item m="1" x="3"/>
        <item m="1" x="12"/>
        <item n="1 - Estoque Não Conforme" m="1" x="14"/>
        <item n="2 - Estoque em Nivel Minimo" m="1" x="10"/>
        <item n="3 - Estoque Conforme" m="1" x="13"/>
        <item m="1" x="6"/>
        <item m="1" x="5"/>
        <item m="1" x="8"/>
        <item m="1" x="7"/>
        <item x="0"/>
        <item x="1"/>
        <item t="default"/>
      </items>
    </pivotField>
    <pivotField showAll="0" defaultSubtotal="0"/>
    <pivotField showAll="0" defaultSubtotal="0"/>
    <pivotField showAll="0"/>
    <pivotField axis="axisRow" showAll="0">
      <items count="8">
        <item m="1" x="5"/>
        <item m="1" x="6"/>
        <item x="3"/>
        <item m="1" x="4"/>
        <item x="0"/>
        <item x="1"/>
        <item x="2"/>
        <item t="default"/>
      </items>
    </pivotField>
    <pivotField showAll="0" defaultSubtotal="0"/>
    <pivotField showAll="0"/>
    <pivotField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pivotField numFmtId="166" showAll="0" defaultSubtotal="0"/>
    <pivotField numFmtId="166" showAll="0"/>
    <pivotField showAll="0"/>
    <pivotField showAll="0"/>
    <pivotField showAll="0" defaultSubtotal="0"/>
    <pivotField showAll="0" defaultSubtotal="0"/>
    <pivotField showAll="0" defaultSubtotal="0"/>
    <pivotField showAll="0" defaultSubtotal="0"/>
    <pivotField showAll="0" defaultSubtotal="0"/>
    <pivotField showAll="0"/>
  </pivotFields>
  <rowFields count="2">
    <field x="1"/>
    <field x="5"/>
  </rowFields>
  <rowItems count="9">
    <i>
      <x v="13"/>
    </i>
    <i r="1">
      <x v="4"/>
    </i>
    <i r="1">
      <x v="5"/>
    </i>
    <i>
      <x v="14"/>
    </i>
    <i r="1">
      <x v="2"/>
    </i>
    <i r="1">
      <x v="4"/>
    </i>
    <i r="1">
      <x v="5"/>
    </i>
    <i r="1">
      <x v="6"/>
    </i>
    <i t="grand">
      <x/>
    </i>
  </rowItems>
  <colItems count="1">
    <i/>
  </colItems>
  <formats count="8">
    <format dxfId="8">
      <pivotArea dataOnly="0" labelOnly="1" fieldPosition="0">
        <references count="1">
          <reference field="1" count="1">
            <x v="8"/>
          </reference>
        </references>
      </pivotArea>
    </format>
    <format dxfId="7">
      <pivotArea dataOnly="0" labelOnly="1" fieldPosition="0">
        <references count="1">
          <reference field="1" count="1">
            <x v="7"/>
          </reference>
        </references>
      </pivotArea>
    </format>
    <format dxfId="6">
      <pivotArea dataOnly="0" fieldPosition="0">
        <references count="1">
          <reference field="5" count="1">
            <x v="1"/>
          </reference>
        </references>
      </pivotArea>
    </format>
    <format dxfId="5">
      <pivotArea dataOnly="0" fieldPosition="0">
        <references count="1">
          <reference field="5" count="1">
            <x v="0"/>
          </reference>
        </references>
      </pivotArea>
    </format>
    <format dxfId="4">
      <pivotArea dataOnly="0" fieldPosition="0">
        <references count="1">
          <reference field="5" count="1">
            <x v="1"/>
          </reference>
        </references>
      </pivotArea>
    </format>
    <format dxfId="3">
      <pivotArea dataOnly="0" fieldPosition="0">
        <references count="1">
          <reference field="1" count="1">
            <x v="6"/>
          </reference>
        </references>
      </pivotArea>
    </format>
    <format dxfId="2">
      <pivotArea dataOnly="0" fieldPosition="0">
        <references count="1">
          <reference field="1" count="1">
            <x v="8"/>
          </reference>
        </references>
      </pivotArea>
    </format>
    <format dxfId="1">
      <pivotArea dataOnly="0" fieldPosition="0">
        <references count="1">
          <reference field="1" count="1">
            <x v="7"/>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ela dinâmica2" cacheId="0" applyNumberFormats="0" applyBorderFormats="0" applyFontFormats="0" applyPatternFormats="0" applyAlignmentFormats="0" applyWidthHeightFormats="1" dataCaption="Valores" updatedVersion="5" minRefreshableVersion="3" useAutoFormatting="1" rowGrandTotals="0" colGrandTotals="0" itemPrintTitles="1" createdVersion="5" indent="0" outline="1" outlineData="1" multipleFieldFilters="0" rowHeaderCaption="DESCRIÇÃO ">
  <location ref="B4:B1260" firstHeaderRow="1" firstDataRow="1" firstDataCol="1" rowPageCount="1" colPageCount="1"/>
  <pivotFields count="30">
    <pivotField subtotalTop="0" showAll="0" defaultSubtotal="0"/>
    <pivotField subtotalTop="0" showAll="0" defaultSubtotal="0"/>
    <pivotField showAll="0" defaultSubtotal="0"/>
    <pivotField showAll="0" defaultSubtotal="0"/>
    <pivotField subtotalTop="0" showAll="0" defaultSubtotal="0"/>
    <pivotField axis="axisPage" subtotalTop="0" showAll="0" defaultSubtotal="0">
      <items count="7">
        <item m="1" x="5"/>
        <item m="1" x="6"/>
        <item x="3"/>
        <item m="1" x="4"/>
        <item x="0"/>
        <item x="1"/>
        <item x="2"/>
      </items>
    </pivotField>
    <pivotField showAll="0" defaultSubtotal="0"/>
    <pivotField subtotalTop="0" showAll="0" defaultSubtotal="0"/>
    <pivotField axis="axisRow" subtotalTop="0" showAll="0" defaultSubtotal="0">
      <items count="2080">
        <item x="1081"/>
        <item x="214"/>
        <item x="801"/>
        <item x="25"/>
        <item m="1" x="2028"/>
        <item m="1" x="2048"/>
        <item m="1" x="1816"/>
        <item m="1" x="1638"/>
        <item m="1" x="1630"/>
        <item m="1" x="1534"/>
        <item m="1" x="1605"/>
        <item x="622"/>
        <item x="821"/>
        <item x="1076"/>
        <item m="1" x="1950"/>
        <item m="1" x="1822"/>
        <item m="1" x="1292"/>
        <item m="1" x="1650"/>
        <item x="957"/>
        <item m="1" x="1262"/>
        <item x="1065"/>
        <item m="1" x="1562"/>
        <item m="1" x="1783"/>
        <item x="838"/>
        <item m="1" x="2032"/>
        <item x="1042"/>
        <item x="448"/>
        <item m="1" x="1623"/>
        <item x="17"/>
        <item m="1" x="1313"/>
        <item x="343"/>
        <item x="95"/>
        <item m="1" x="1885"/>
        <item m="1" x="1672"/>
        <item m="1" x="1555"/>
        <item m="1" x="1972"/>
        <item x="526"/>
        <item m="1" x="1753"/>
        <item m="1" x="1341"/>
        <item x="960"/>
        <item m="1" x="1584"/>
        <item m="1" x="1955"/>
        <item x="1072"/>
        <item x="453"/>
        <item x="888"/>
        <item x="527"/>
        <item m="1" x="1304"/>
        <item m="1" x="1897"/>
        <item m="1" x="2019"/>
        <item m="1" x="1976"/>
        <item m="1" x="1376"/>
        <item m="1" x="2001"/>
        <item m="1" x="1671"/>
        <item m="1" x="1586"/>
        <item m="1" x="1795"/>
        <item m="1" x="1664"/>
        <item m="1" x="1736"/>
        <item m="1" x="1320"/>
        <item m="1" x="1870"/>
        <item x="825"/>
        <item x="1030"/>
        <item m="1" x="1656"/>
        <item m="1" x="1658"/>
        <item m="1" x="1802"/>
        <item m="1" x="1385"/>
        <item m="1" x="1938"/>
        <item m="1" x="1662"/>
        <item m="1" x="1908"/>
        <item m="1" x="1703"/>
        <item m="1" x="1426"/>
        <item x="836"/>
        <item x="967"/>
        <item m="1" x="1740"/>
        <item m="1" x="1485"/>
        <item m="1" x="1509"/>
        <item m="1" x="1269"/>
        <item m="1" x="1282"/>
        <item x="690"/>
        <item m="1" x="1969"/>
        <item m="1" x="1449"/>
        <item m="1" x="1565"/>
        <item m="1" x="1372"/>
        <item m="1" x="1379"/>
        <item x="333"/>
        <item x="686"/>
        <item m="1" x="1483"/>
        <item m="1" x="1348"/>
        <item m="1" x="1739"/>
        <item x="1053"/>
        <item m="1" x="1634"/>
        <item x="822"/>
        <item m="1" x="1775"/>
        <item m="1" x="1328"/>
        <item m="1" x="1345"/>
        <item x="585"/>
        <item m="1" x="1917"/>
        <item m="1" x="2071"/>
        <item m="1" x="1829"/>
        <item x="849"/>
        <item x="353"/>
        <item m="1" x="1928"/>
        <item x="835"/>
        <item x="813"/>
        <item x="988"/>
        <item m="1" x="1624"/>
        <item m="1" x="1538"/>
        <item x="785"/>
        <item m="1" x="1289"/>
        <item m="1" x="1971"/>
        <item m="1" x="1301"/>
        <item m="1" x="1366"/>
        <item x="1010"/>
        <item m="1" x="1285"/>
        <item m="1" x="1490"/>
        <item x="545"/>
        <item m="1" x="1937"/>
        <item x="184"/>
        <item m="1" x="1503"/>
        <item m="1" x="1343"/>
        <item m="1" x="1986"/>
        <item m="1" x="1997"/>
        <item m="1" x="2067"/>
        <item x="1082"/>
        <item x="1056"/>
        <item m="1" x="1614"/>
        <item x="186"/>
        <item x="188"/>
        <item m="1" x="1609"/>
        <item m="1" x="1882"/>
        <item m="1" x="1550"/>
        <item m="1" x="1439"/>
        <item m="1" x="1504"/>
        <item x="693"/>
        <item m="1" x="1350"/>
        <item m="1" x="1275"/>
        <item m="1" x="1794"/>
        <item m="1" x="1901"/>
        <item m="1" x="1578"/>
        <item m="1" x="1789"/>
        <item m="1" x="1415"/>
        <item m="1" x="1281"/>
        <item m="1" x="1276"/>
        <item m="1" x="1820"/>
        <item x="245"/>
        <item m="1" x="1310"/>
        <item m="1" x="1862"/>
        <item x="300"/>
        <item x="301"/>
        <item m="1" x="1700"/>
        <item m="1" x="1323"/>
        <item m="1" x="1501"/>
        <item m="1" x="1436"/>
        <item m="1" x="1335"/>
        <item x="264"/>
        <item m="1" x="2061"/>
        <item m="1" x="1443"/>
        <item m="1" x="1981"/>
        <item m="1" x="1985"/>
        <item m="1" x="1434"/>
        <item x="302"/>
        <item x="303"/>
        <item m="1" x="1465"/>
        <item m="1" x="1962"/>
        <item x="1074"/>
        <item x="78"/>
        <item m="1" x="1286"/>
        <item x="72"/>
        <item m="1" x="2051"/>
        <item x="783"/>
        <item x="784"/>
        <item x="256"/>
        <item x="606"/>
        <item m="1" x="1767"/>
        <item m="1" x="1378"/>
        <item m="1" x="2057"/>
        <item m="1" x="1625"/>
        <item m="1" x="2024"/>
        <item m="1" x="1324"/>
        <item m="1" x="2035"/>
        <item m="1" x="1325"/>
        <item x="201"/>
        <item x="995"/>
        <item m="1" x="1367"/>
        <item m="1" x="1689"/>
        <item x="81"/>
        <item m="1" x="1688"/>
        <item m="1" x="2053"/>
        <item m="1" x="1900"/>
        <item m="1" x="1637"/>
        <item m="1" x="1750"/>
        <item x="986"/>
        <item x="1055"/>
        <item m="1" x="1704"/>
        <item m="1" x="2029"/>
        <item x="272"/>
        <item x="456"/>
        <item m="1" x="1398"/>
        <item x="965"/>
        <item m="1" x="1813"/>
        <item m="1" x="1770"/>
        <item m="1" x="1731"/>
        <item m="1" x="2023"/>
        <item m="1" x="1384"/>
        <item x="20"/>
        <item m="1" x="1848"/>
        <item x="130"/>
        <item m="1" x="1808"/>
        <item m="1" x="1417"/>
        <item m="1" x="1748"/>
        <item m="1" x="1893"/>
        <item x="383"/>
        <item m="1" x="1869"/>
        <item m="1" x="1877"/>
        <item m="1" x="1824"/>
        <item m="1" x="1772"/>
        <item m="1" x="1850"/>
        <item m="1" x="1732"/>
        <item m="1" x="1726"/>
        <item m="1" x="1883"/>
        <item m="1" x="1690"/>
        <item m="1" x="1489"/>
        <item m="1" x="1837"/>
        <item m="1" x="1785"/>
        <item x="286"/>
        <item x="285"/>
        <item m="1" x="1993"/>
        <item m="1" x="1272"/>
        <item m="1" x="2034"/>
        <item x="294"/>
        <item x="288"/>
        <item m="1" x="2038"/>
        <item m="1" x="1491"/>
        <item m="1" x="1842"/>
        <item x="289"/>
        <item x="296"/>
        <item x="297"/>
        <item m="1" x="1961"/>
        <item m="1" x="1278"/>
        <item x="295"/>
        <item x="291"/>
        <item m="1" x="1604"/>
        <item x="298"/>
        <item x="293"/>
        <item x="287"/>
        <item m="1" x="1371"/>
        <item m="1" x="1941"/>
        <item m="1" x="1853"/>
        <item m="1" x="2005"/>
        <item x="767"/>
        <item x="310"/>
        <item x="691"/>
        <item x="689"/>
        <item x="692"/>
        <item m="1" x="1447"/>
        <item m="1" x="1432"/>
        <item m="1" x="1473"/>
        <item x="694"/>
        <item m="1" x="1678"/>
        <item m="1" x="1318"/>
        <item x="551"/>
        <item m="1" x="1413"/>
        <item m="1" x="1453"/>
        <item m="1" x="1660"/>
        <item m="1" x="1389"/>
        <item m="1" x="1450"/>
        <item m="1" x="1279"/>
        <item m="1" x="1590"/>
        <item m="1" x="1738"/>
        <item m="1" x="1666"/>
        <item m="1" x="1668"/>
        <item x="994"/>
        <item m="1" x="1927"/>
        <item m="1" x="1260"/>
        <item m="1" x="1340"/>
        <item m="1" x="1825"/>
        <item m="1" x="1790"/>
        <item m="1" x="1452"/>
        <item m="1" x="2004"/>
        <item m="1" x="1763"/>
        <item m="1" x="1786"/>
        <item m="1" x="1299"/>
        <item m="1" x="1493"/>
        <item m="1" x="1567"/>
        <item m="1" x="1665"/>
        <item m="1" x="1769"/>
        <item x="981"/>
        <item m="1" x="1573"/>
        <item m="1" x="1468"/>
        <item m="1" x="1718"/>
        <item m="1" x="1856"/>
        <item m="1" x="1755"/>
        <item m="1" x="1393"/>
        <item m="1" x="1414"/>
        <item m="1" x="1715"/>
        <item m="1" x="1484"/>
        <item m="1" x="2049"/>
        <item m="1" x="1778"/>
        <item m="1" x="1613"/>
        <item m="1" x="1663"/>
        <item m="1" x="1472"/>
        <item x="204"/>
        <item x="207"/>
        <item x="208"/>
        <item m="1" x="1615"/>
        <item x="205"/>
        <item m="1" x="1264"/>
        <item m="1" x="2044"/>
        <item m="1" x="1256"/>
        <item m="1" x="1863"/>
        <item m="1" x="1642"/>
        <item m="1" x="1787"/>
        <item m="1" x="1906"/>
        <item m="1" x="1425"/>
        <item m="1" x="1721"/>
        <item m="1" x="1528"/>
        <item m="1" x="1782"/>
        <item x="106"/>
        <item x="481"/>
        <item m="1" x="1888"/>
        <item m="1" x="1410"/>
        <item x="781"/>
        <item m="1" x="1396"/>
        <item m="1" x="1474"/>
        <item m="1" x="1635"/>
        <item x="587"/>
        <item m="1" x="1737"/>
        <item m="1" x="2079"/>
        <item m="1" x="1761"/>
        <item m="1" x="1814"/>
        <item x="0"/>
        <item m="1" x="1388"/>
        <item m="1" x="1942"/>
        <item m="1" x="1821"/>
        <item x="656"/>
        <item m="1" x="1980"/>
        <item m="1" x="1953"/>
        <item m="1" x="1924"/>
        <item m="1" x="1999"/>
        <item m="1" x="1655"/>
        <item x="637"/>
        <item x="748"/>
        <item x="552"/>
        <item m="1" x="1326"/>
        <item x="1078"/>
        <item m="1" x="1616"/>
        <item m="1" x="1572"/>
        <item x="647"/>
        <item x="648"/>
        <item x="649"/>
        <item x="646"/>
        <item m="1" x="1611"/>
        <item x="742"/>
        <item x="738"/>
        <item m="1" x="1692"/>
        <item m="1" x="1309"/>
        <item x="739"/>
        <item m="1" x="1427"/>
        <item x="653"/>
        <item x="737"/>
        <item x="740"/>
        <item m="1" x="1804"/>
        <item m="1" x="1288"/>
        <item m="1" x="1675"/>
        <item x="611"/>
        <item m="1" x="1930"/>
        <item x="788"/>
        <item m="1" x="1307"/>
        <item m="1" x="1956"/>
        <item m="1" x="1989"/>
        <item m="1" x="1544"/>
        <item x="107"/>
        <item x="393"/>
        <item m="1" x="1476"/>
        <item m="1" x="1830"/>
        <item m="1" x="1798"/>
        <item m="1" x="1805"/>
        <item m="1" x="1533"/>
        <item m="1" x="1774"/>
        <item m="1" x="1984"/>
        <item m="1" x="1913"/>
        <item m="1" x="1791"/>
        <item m="1" x="1896"/>
        <item m="1" x="1746"/>
        <item m="1" x="1847"/>
        <item m="1" x="1400"/>
        <item m="1" x="1392"/>
        <item m="1" x="1964"/>
        <item x="1062"/>
        <item x="1063"/>
        <item m="1" x="1996"/>
        <item m="1" x="1687"/>
        <item m="1" x="1899"/>
        <item m="1" x="1526"/>
        <item m="1" x="1311"/>
        <item m="1" x="1727"/>
        <item x="820"/>
        <item m="1" x="1812"/>
        <item m="1" x="1943"/>
        <item m="1" x="1716"/>
        <item m="1" x="1768"/>
        <item x="174"/>
        <item x="173"/>
        <item x="540"/>
        <item m="1" x="1351"/>
        <item m="1" x="1713"/>
        <item m="1" x="1583"/>
        <item m="1" x="1872"/>
        <item m="1" x="2027"/>
        <item x="853"/>
        <item x="854"/>
        <item m="1" x="1397"/>
        <item x="324"/>
        <item m="1" x="1466"/>
        <item m="1" x="1280"/>
        <item m="1" x="1852"/>
        <item m="1" x="1667"/>
        <item x="971"/>
        <item x="972"/>
        <item x="977"/>
        <item m="1" x="1420"/>
        <item m="1" x="2052"/>
        <item m="1" x="1570"/>
        <item m="1" x="1784"/>
        <item m="1" x="1698"/>
        <item m="1" x="1563"/>
        <item m="1" x="1631"/>
        <item m="1" x="1840"/>
        <item x="1052"/>
        <item m="1" x="1677"/>
        <item m="1" x="1298"/>
        <item m="1" x="1494"/>
        <item m="1" x="1696"/>
        <item m="1" x="1970"/>
        <item m="1" x="1880"/>
        <item x="976"/>
        <item x="395"/>
        <item m="1" x="1669"/>
        <item m="1" x="1828"/>
        <item x="454"/>
        <item x="1069"/>
        <item x="1029"/>
        <item x="111"/>
        <item m="1" x="1523"/>
        <item m="1" x="1422"/>
        <item x="768"/>
        <item x="487"/>
        <item x="486"/>
        <item m="1" x="1948"/>
        <item m="1" x="2013"/>
        <item x="112"/>
        <item m="1" x="1518"/>
        <item x="1041"/>
        <item x="815"/>
        <item x="506"/>
        <item m="1" x="1926"/>
        <item m="1" x="1699"/>
        <item m="1" x="1881"/>
        <item m="1" x="1327"/>
        <item m="1" x="1754"/>
        <item m="1" x="1916"/>
        <item m="1" x="1647"/>
        <item m="1" x="1589"/>
        <item m="1" x="2010"/>
        <item m="1" x="1479"/>
        <item m="1" x="2014"/>
        <item m="1" x="1618"/>
        <item m="1" x="1818"/>
        <item m="1" x="1445"/>
        <item x="628"/>
        <item x="451"/>
        <item m="1" x="1498"/>
        <item m="1" x="1682"/>
        <item m="1" x="1944"/>
        <item x="933"/>
        <item x="929"/>
        <item m="1" x="1759"/>
        <item m="1" x="2011"/>
        <item m="1" x="1697"/>
        <item x="930"/>
        <item x="914"/>
        <item x="919"/>
        <item m="1" x="1332"/>
        <item x="934"/>
        <item m="1" x="1360"/>
        <item x="926"/>
        <item x="935"/>
        <item x="920"/>
        <item x="975"/>
        <item m="1" x="1730"/>
        <item m="1" x="1510"/>
        <item x="939"/>
        <item m="1" x="1838"/>
        <item x="937"/>
        <item x="938"/>
        <item m="1" x="1383"/>
        <item m="1" x="1815"/>
        <item m="1" x="1823"/>
        <item m="1" x="1459"/>
        <item m="1" x="1461"/>
        <item m="1" x="1693"/>
        <item x="955"/>
        <item m="1" x="1922"/>
        <item m="1" x="1723"/>
        <item m="1" x="2026"/>
        <item m="1" x="1519"/>
        <item m="1" x="1336"/>
        <item m="1" x="1561"/>
        <item m="1" x="1575"/>
        <item x="927"/>
        <item m="1" x="1346"/>
        <item m="1" x="1934"/>
        <item m="1" x="1719"/>
        <item m="1" x="1708"/>
        <item m="1" x="2074"/>
        <item m="1" x="1878"/>
        <item m="1" x="1810"/>
        <item m="1" x="1817"/>
        <item m="1" x="1403"/>
        <item m="1" x="1418"/>
        <item x="806"/>
        <item m="1" x="1559"/>
        <item x="826"/>
        <item m="1" x="1322"/>
        <item x="108"/>
        <item m="1" x="1554"/>
        <item m="1" x="1294"/>
        <item m="1" x="2033"/>
        <item m="1" x="1859"/>
        <item m="1" x="1480"/>
        <item m="1" x="1756"/>
        <item m="1" x="1507"/>
        <item m="1" x="1408"/>
        <item m="1" x="1912"/>
        <item m="1" x="1871"/>
        <item m="1" x="2040"/>
        <item m="1" x="1744"/>
        <item m="1" x="2030"/>
        <item m="1" x="2072"/>
        <item m="1" x="1633"/>
        <item m="1" x="1482"/>
        <item m="1" x="1437"/>
        <item m="1" x="1421"/>
        <item m="1" x="1601"/>
        <item m="1" x="2075"/>
        <item m="1" x="1306"/>
        <item x="234"/>
        <item x="992"/>
        <item x="990"/>
        <item m="1" x="1832"/>
        <item m="1" x="1898"/>
        <item m="1" x="1894"/>
        <item x="544"/>
        <item m="1" x="1626"/>
        <item x="978"/>
        <item m="1" x="1569"/>
        <item m="1" x="1845"/>
        <item m="1" x="1321"/>
        <item m="1" x="1430"/>
        <item x="355"/>
        <item x="764"/>
        <item x="814"/>
        <item x="749"/>
        <item x="356"/>
        <item x="904"/>
        <item x="271"/>
        <item x="625"/>
        <item x="357"/>
        <item m="1" x="1257"/>
        <item m="1" x="1363"/>
        <item x="890"/>
        <item x="889"/>
        <item m="1" x="1556"/>
        <item x="1067"/>
        <item m="1" x="2039"/>
        <item m="1" x="1551"/>
        <item x="1066"/>
        <item m="1" x="1537"/>
        <item m="1" x="1792"/>
        <item m="1" x="1446"/>
        <item x="1046"/>
        <item x="1045"/>
        <item x="1044"/>
        <item x="1048"/>
        <item x="1050"/>
        <item m="1" x="2031"/>
        <item m="1" x="1751"/>
        <item x="1049"/>
        <item x="1047"/>
        <item m="1" x="1909"/>
        <item x="532"/>
        <item x="1051"/>
        <item x="490"/>
        <item x="491"/>
        <item m="1" x="1353"/>
        <item x="592"/>
        <item m="1" x="1295"/>
        <item m="1" x="1444"/>
        <item m="1" x="2020"/>
        <item x="546"/>
        <item x="964"/>
        <item m="1" x="1679"/>
        <item m="1" x="1670"/>
        <item x="827"/>
        <item x="953"/>
        <item m="1" x="1373"/>
        <item m="1" x="1851"/>
        <item m="1" x="1982"/>
        <item x="773"/>
        <item m="1" x="1686"/>
        <item m="1" x="1316"/>
        <item m="1" x="1456"/>
        <item m="1" x="1512"/>
        <item m="1" x="1949"/>
        <item m="1" x="1380"/>
        <item x="753"/>
        <item x="113"/>
        <item m="1" x="1929"/>
        <item x="91"/>
        <item m="1" x="1557"/>
        <item x="258"/>
        <item m="1" x="1448"/>
        <item m="1" x="1462"/>
        <item m="1" x="1370"/>
        <item x="841"/>
        <item m="1" x="1582"/>
        <item m="1" x="2046"/>
        <item x="883"/>
        <item m="1" x="1680"/>
        <item m="1" x="1300"/>
        <item m="1" x="1781"/>
        <item m="1" x="1529"/>
        <item x="642"/>
        <item x="1079"/>
        <item m="1" x="1939"/>
        <item m="1" x="1520"/>
        <item x="752"/>
        <item m="1" x="2065"/>
        <item m="1" x="1481"/>
        <item m="1" x="1653"/>
        <item m="1" x="1876"/>
        <item m="1" x="1965"/>
        <item m="1" x="2064"/>
        <item m="1" x="1925"/>
        <item m="1" x="1374"/>
        <item m="1" x="1470"/>
        <item m="1" x="2041"/>
        <item m="1" x="1585"/>
        <item m="1" x="1886"/>
        <item x="4"/>
        <item x="989"/>
        <item m="1" x="1659"/>
        <item x="996"/>
        <item m="1" x="1809"/>
        <item m="1" x="1918"/>
        <item m="1" x="1873"/>
        <item x="630"/>
        <item m="1" x="1921"/>
        <item m="1" x="1404"/>
        <item m="1" x="1319"/>
        <item m="1" x="2000"/>
        <item m="1" x="1407"/>
        <item m="1" x="1522"/>
        <item m="1" x="1357"/>
        <item m="1" x="1293"/>
        <item m="1" x="1451"/>
        <item m="1" x="1463"/>
        <item m="1" x="1568"/>
        <item m="1" x="1502"/>
        <item x="1058"/>
        <item x="1071"/>
        <item m="1" x="1596"/>
        <item m="1" x="2022"/>
        <item m="1" x="1441"/>
        <item m="1" x="1602"/>
        <item m="1" x="1807"/>
        <item m="1" x="2060"/>
        <item m="1" x="1710"/>
        <item m="1" x="1643"/>
        <item x="852"/>
        <item x="855"/>
        <item x="834"/>
        <item x="770"/>
        <item m="1" x="1546"/>
        <item m="1" x="1475"/>
        <item m="1" x="1966"/>
        <item m="1" x="1603"/>
        <item m="1" x="1312"/>
        <item x="956"/>
        <item m="1" x="1270"/>
        <item m="1" x="1424"/>
        <item m="1" x="1959"/>
        <item x="1043"/>
        <item x="449"/>
        <item m="1" x="1265"/>
        <item m="1" x="1558"/>
        <item m="1" x="1745"/>
        <item m="1" x="1629"/>
        <item m="1" x="1762"/>
        <item m="1" x="1895"/>
        <item x="991"/>
        <item m="1" x="1399"/>
        <item x="1060"/>
        <item m="1" x="1701"/>
        <item x="1068"/>
        <item m="1" x="2007"/>
        <item m="1" x="1423"/>
        <item m="1" x="1369"/>
        <item m="1" x="2047"/>
        <item m="1" x="1987"/>
        <item m="1" x="1263"/>
        <item x="575"/>
        <item m="1" x="1846"/>
        <item m="1" x="1543"/>
        <item m="1" x="1735"/>
        <item m="1" x="1488"/>
        <item m="1" x="1419"/>
        <item m="1" x="1362"/>
        <item m="1" x="1477"/>
        <item m="1" x="1998"/>
        <item m="1" x="1617"/>
        <item m="1" x="1855"/>
        <item m="1" x="1771"/>
        <item x="837"/>
        <item m="1" x="1412"/>
        <item x="769"/>
        <item x="1077"/>
        <item m="1" x="1931"/>
        <item m="1" x="2037"/>
        <item m="1" x="1492"/>
        <item m="1" x="1945"/>
        <item m="1" x="1947"/>
        <item m="1" x="1433"/>
        <item m="1" x="1394"/>
        <item m="1" x="1779"/>
        <item m="1" x="1258"/>
        <item m="1" x="1291"/>
        <item m="1" x="1297"/>
        <item x="134"/>
        <item m="1" x="1683"/>
        <item m="1" x="2054"/>
        <item m="1" x="1386"/>
        <item m="1" x="1728"/>
        <item m="1" x="1564"/>
        <item m="1" x="1382"/>
        <item m="1" x="1797"/>
        <item m="1" x="1967"/>
        <item m="1" x="2036"/>
        <item m="1" x="1599"/>
        <item m="1" x="1495"/>
        <item m="1" x="1649"/>
        <item m="1" x="1936"/>
        <item m="1" x="1827"/>
        <item m="1" x="1515"/>
        <item x="1038"/>
        <item x="344"/>
        <item x="1037"/>
        <item x="974"/>
        <item x="198"/>
        <item x="743"/>
        <item m="1" x="1879"/>
        <item m="1" x="1914"/>
        <item m="1" x="1892"/>
        <item x="80"/>
        <item m="1" x="1811"/>
        <item m="1" x="1801"/>
        <item x="79"/>
        <item m="1" x="1854"/>
        <item m="1" x="1839"/>
        <item m="1" x="1365"/>
        <item m="1" x="1347"/>
        <item m="1" x="1571"/>
        <item m="1" x="1513"/>
        <item x="115"/>
        <item m="1" x="1865"/>
        <item m="1" x="1979"/>
        <item x="164"/>
        <item m="1" x="1734"/>
        <item x="840"/>
        <item x="203"/>
        <item x="997"/>
        <item x="979"/>
        <item x="3"/>
        <item m="1" x="1843"/>
        <item m="1" x="1375"/>
        <item m="1" x="1464"/>
        <item m="1" x="1722"/>
        <item m="1" x="1628"/>
        <item m="1" x="2078"/>
        <item m="1" x="1508"/>
        <item x="982"/>
        <item x="816"/>
        <item m="1" x="1639"/>
        <item x="800"/>
        <item m="1" x="1911"/>
        <item x="860"/>
        <item m="1" x="1800"/>
        <item m="1" x="1920"/>
        <item x="782"/>
        <item x="672"/>
        <item x="762"/>
        <item m="1" x="1717"/>
        <item m="1" x="1606"/>
        <item m="1" x="1411"/>
        <item m="1" x="1338"/>
        <item m="1" x="1359"/>
        <item m="1" x="1344"/>
        <item m="1" x="1354"/>
        <item x="766"/>
        <item m="1" x="1712"/>
        <item m="1" x="1645"/>
        <item x="775"/>
        <item m="1" x="1416"/>
        <item m="1" x="1368"/>
        <item m="1" x="1329"/>
        <item m="1" x="1339"/>
        <item m="1" x="1619"/>
        <item m="1" x="1621"/>
        <item m="1" x="2015"/>
        <item m="1" x="1933"/>
        <item m="1" x="1553"/>
        <item m="1" x="1314"/>
        <item m="1" x="1524"/>
        <item m="1" x="1497"/>
        <item m="1" x="1597"/>
        <item m="1" x="1788"/>
        <item m="1" x="2002"/>
        <item m="1" x="1819"/>
        <item m="1" x="1861"/>
        <item m="1" x="1273"/>
        <item m="1" x="1867"/>
        <item m="1" x="1674"/>
        <item x="984"/>
        <item m="1" x="1387"/>
        <item m="1" x="1705"/>
        <item m="1" x="1632"/>
        <item m="1" x="1749"/>
        <item m="1" x="2043"/>
        <item m="1" x="2059"/>
        <item m="1" x="1574"/>
        <item m="1" x="1521"/>
        <item x="347"/>
        <item m="1" x="1261"/>
        <item m="1" x="2063"/>
        <item m="1" x="1724"/>
        <item m="1" x="1968"/>
        <item m="1" x="1560"/>
        <item x="331"/>
        <item m="1" x="1442"/>
        <item m="1" x="1405"/>
        <item m="1" x="1478"/>
        <item m="1" x="2003"/>
        <item m="1" x="1305"/>
        <item m="1" x="1296"/>
        <item m="1" x="1429"/>
        <item m="1" x="1487"/>
        <item m="1" x="1266"/>
        <item m="1" x="1284"/>
        <item m="1" x="1874"/>
        <item m="1" x="1799"/>
        <item m="1" x="1963"/>
        <item m="1" x="2070"/>
        <item m="1" x="1308"/>
        <item m="1" x="1440"/>
        <item m="1" x="1352"/>
        <item x="792"/>
        <item m="1" x="1951"/>
        <item m="1" x="1752"/>
        <item m="1" x="1994"/>
        <item m="1" x="1592"/>
        <item m="1" x="1361"/>
        <item m="1" x="1648"/>
        <item m="1" x="1676"/>
        <item x="536"/>
        <item x="1039"/>
        <item x="415"/>
        <item m="1" x="1975"/>
        <item m="1" x="1836"/>
        <item m="1" x="1733"/>
        <item m="1" x="1720"/>
        <item m="1" x="1356"/>
        <item x="2"/>
        <item x="5"/>
        <item m="1" x="1685"/>
        <item x="7"/>
        <item x="8"/>
        <item x="9"/>
        <item x="10"/>
        <item x="11"/>
        <item x="12"/>
        <item x="13"/>
        <item x="14"/>
        <item x="15"/>
        <item x="16"/>
        <item m="1" x="1889"/>
        <item m="1" x="1532"/>
        <item x="21"/>
        <item x="22"/>
        <item x="24"/>
        <item m="1" x="1860"/>
        <item x="27"/>
        <item x="88"/>
        <item m="1" x="1409"/>
        <item m="1" x="1884"/>
        <item x="351"/>
        <item x="438"/>
        <item m="1" x="1511"/>
        <item x="442"/>
        <item m="1" x="1317"/>
        <item m="1" x="1334"/>
        <item m="1" x="1535"/>
        <item m="1" x="1620"/>
        <item m="1" x="1539"/>
        <item m="1" x="1598"/>
        <item m="1" x="1780"/>
        <item m="1" x="1486"/>
        <item m="1" x="1760"/>
        <item m="1" x="1641"/>
        <item m="1" x="1673"/>
        <item m="1" x="1364"/>
        <item m="1" x="1612"/>
        <item m="1" x="1954"/>
        <item m="1" x="1591"/>
        <item m="1" x="1776"/>
        <item m="1" x="1516"/>
        <item x="566"/>
        <item m="1" x="1381"/>
        <item m="1" x="1661"/>
        <item m="1" x="1428"/>
        <item m="1" x="1588"/>
        <item m="1" x="1471"/>
        <item m="1" x="1377"/>
        <item m="1" x="1640"/>
        <item x="961"/>
        <item m="1" x="1826"/>
        <item x="1022"/>
        <item x="1083"/>
        <item x="1084"/>
        <item x="1085"/>
        <item x="1086"/>
        <item m="1" x="1438"/>
        <item m="1" x="1627"/>
        <item m="1" x="1531"/>
        <item m="1" x="1902"/>
        <item m="1" x="1702"/>
        <item m="1" x="1940"/>
        <item m="1" x="1691"/>
        <item m="1" x="1907"/>
        <item x="98"/>
        <item m="1" x="1401"/>
        <item x="104"/>
        <item x="110"/>
        <item x="114"/>
        <item x="116"/>
        <item m="1" x="1496"/>
        <item x="122"/>
        <item x="123"/>
        <item m="1" x="1654"/>
        <item x="126"/>
        <item m="1" x="1905"/>
        <item m="1" x="1636"/>
        <item m="1" x="1915"/>
        <item x="155"/>
        <item m="1" x="2021"/>
        <item x="160"/>
        <item m="1" x="2042"/>
        <item x="179"/>
        <item x="216"/>
        <item x="220"/>
        <item x="221"/>
        <item m="1" x="1707"/>
        <item x="226"/>
        <item x="239"/>
        <item x="246"/>
        <item x="247"/>
        <item m="1" x="1747"/>
        <item x="265"/>
        <item x="266"/>
        <item x="267"/>
        <item x="268"/>
        <item x="269"/>
        <item x="270"/>
        <item x="273"/>
        <item m="1" x="1277"/>
        <item x="282"/>
        <item m="1" x="1991"/>
        <item x="284"/>
        <item x="290"/>
        <item m="1" x="1831"/>
        <item x="304"/>
        <item m="1" x="1849"/>
        <item m="1" x="1259"/>
        <item x="307"/>
        <item x="313"/>
        <item m="1" x="1793"/>
        <item x="320"/>
        <item x="321"/>
        <item x="322"/>
        <item x="323"/>
        <item x="345"/>
        <item x="348"/>
        <item x="349"/>
        <item x="350"/>
        <item x="352"/>
        <item x="354"/>
        <item m="1" x="1657"/>
        <item m="1" x="1866"/>
        <item m="1" x="1302"/>
        <item m="1" x="1904"/>
        <item m="1" x="1919"/>
        <item m="1" x="1766"/>
        <item m="1" x="1581"/>
        <item m="1" x="1646"/>
        <item m="1" x="2066"/>
        <item m="1" x="1706"/>
        <item x="391"/>
        <item x="397"/>
        <item x="414"/>
        <item x="418"/>
        <item m="1" x="1525"/>
        <item x="433"/>
        <item x="435"/>
        <item x="437"/>
        <item x="450"/>
        <item x="455"/>
        <item m="1" x="1505"/>
        <item m="1" x="1694"/>
        <item m="1" x="1469"/>
        <item x="488"/>
        <item m="1" x="1595"/>
        <item x="516"/>
        <item x="517"/>
        <item x="518"/>
        <item x="519"/>
        <item x="520"/>
        <item x="525"/>
        <item x="528"/>
        <item x="529"/>
        <item x="531"/>
        <item x="534"/>
        <item x="535"/>
        <item m="1" x="1499"/>
        <item x="556"/>
        <item x="578"/>
        <item m="1" x="1587"/>
        <item m="1" x="1835"/>
        <item m="1" x="2056"/>
        <item x="593"/>
        <item x="595"/>
        <item m="1" x="1974"/>
        <item x="605"/>
        <item x="609"/>
        <item x="623"/>
        <item x="624"/>
        <item x="627"/>
        <item m="1" x="1714"/>
        <item x="631"/>
        <item x="633"/>
        <item x="634"/>
        <item x="636"/>
        <item x="638"/>
        <item x="639"/>
        <item m="1" x="1358"/>
        <item m="1" x="1290"/>
        <item m="1" x="1841"/>
        <item x="661"/>
        <item m="1" x="2025"/>
        <item m="1" x="1773"/>
        <item x="664"/>
        <item x="665"/>
        <item x="666"/>
        <item x="668"/>
        <item x="670"/>
        <item x="673"/>
        <item x="678"/>
        <item m="1" x="1530"/>
        <item x="681"/>
        <item m="1" x="1757"/>
        <item x="685"/>
        <item x="695"/>
        <item x="696"/>
        <item x="697"/>
        <item x="698"/>
        <item x="700"/>
        <item x="701"/>
        <item x="702"/>
        <item x="707"/>
        <item m="1" x="1607"/>
        <item m="1" x="1988"/>
        <item x="724"/>
        <item x="728"/>
        <item x="731"/>
        <item x="732"/>
        <item x="734"/>
        <item x="744"/>
        <item x="745"/>
        <item x="746"/>
        <item x="750"/>
        <item m="1" x="1540"/>
        <item m="1" x="1858"/>
        <item m="1" x="1391"/>
        <item m="1" x="1536"/>
        <item m="1" x="1910"/>
        <item x="771"/>
        <item x="774"/>
        <item x="778"/>
        <item x="789"/>
        <item m="1" x="2050"/>
        <item x="804"/>
        <item x="811"/>
        <item m="1" x="1541"/>
        <item x="833"/>
        <item x="844"/>
        <item x="851"/>
        <item x="858"/>
        <item x="859"/>
        <item x="861"/>
        <item x="862"/>
        <item x="867"/>
        <item x="871"/>
        <item x="873"/>
        <item m="1" x="1576"/>
        <item x="876"/>
        <item m="1" x="1957"/>
        <item m="1" x="1517"/>
        <item m="1" x="1506"/>
        <item x="885"/>
        <item m="1" x="1333"/>
        <item x="906"/>
        <item x="907"/>
        <item x="908"/>
        <item x="912"/>
        <item x="915"/>
        <item x="924"/>
        <item x="925"/>
        <item x="931"/>
        <item x="932"/>
        <item x="940"/>
        <item x="941"/>
        <item x="942"/>
        <item x="943"/>
        <item x="944"/>
        <item x="945"/>
        <item x="946"/>
        <item x="947"/>
        <item x="948"/>
        <item x="949"/>
        <item m="1" x="1729"/>
        <item x="951"/>
        <item x="952"/>
        <item m="1" x="1460"/>
        <item x="968"/>
        <item x="1031"/>
        <item x="1087"/>
        <item x="987"/>
        <item x="1088"/>
        <item x="1089"/>
        <item x="1090"/>
        <item x="1091"/>
        <item x="1092"/>
        <item x="1093"/>
        <item x="1094"/>
        <item x="1018"/>
        <item x="1019"/>
        <item x="1020"/>
        <item x="1032"/>
        <item x="1033"/>
        <item x="1095"/>
        <item x="1096"/>
        <item x="1097"/>
        <item x="1098"/>
        <item x="1099"/>
        <item x="1100"/>
        <item x="1101"/>
        <item x="1102"/>
        <item x="1103"/>
        <item x="1104"/>
        <item x="1105"/>
        <item x="1106"/>
        <item x="18"/>
        <item m="1" x="1337"/>
        <item x="36"/>
        <item m="1" x="1960"/>
        <item m="1" x="1303"/>
        <item m="1" x="1711"/>
        <item m="1" x="1764"/>
        <item m="1" x="1834"/>
        <item x="44"/>
        <item m="1" x="1973"/>
        <item m="1" x="1608"/>
        <item m="1" x="1600"/>
        <item x="102"/>
        <item m="1" x="1777"/>
        <item m="1" x="1579"/>
        <item m="1" x="1395"/>
        <item x="599"/>
        <item m="1" x="1593"/>
        <item x="684"/>
        <item x="741"/>
        <item m="1" x="1891"/>
        <item m="1" x="1548"/>
        <item x="759"/>
        <item x="761"/>
        <item x="777"/>
        <item x="805"/>
        <item x="807"/>
        <item x="808"/>
        <item m="1" x="2045"/>
        <item x="878"/>
        <item m="1" x="1995"/>
        <item m="1" x="2073"/>
        <item x="881"/>
        <item x="884"/>
        <item x="909"/>
        <item m="1" x="1684"/>
        <item x="959"/>
        <item x="1002"/>
        <item x="1003"/>
        <item x="1004"/>
        <item x="1005"/>
        <item m="1" x="1594"/>
        <item x="1014"/>
        <item x="1015"/>
        <item x="1017"/>
        <item m="1" x="1709"/>
        <item x="1035"/>
        <item x="1036"/>
        <item m="1" x="1844"/>
        <item x="359"/>
        <item m="1" x="1455"/>
        <item x="30"/>
        <item m="1" x="1547"/>
        <item x="38"/>
        <item m="1" x="1958"/>
        <item x="40"/>
        <item m="1" x="2018"/>
        <item x="45"/>
        <item m="1" x="1274"/>
        <item m="1" x="1610"/>
        <item m="1" x="1431"/>
        <item m="1" x="2009"/>
        <item x="52"/>
        <item m="1" x="1349"/>
        <item m="1" x="1923"/>
        <item x="57"/>
        <item m="1" x="1990"/>
        <item x="59"/>
        <item x="61"/>
        <item m="1" x="1402"/>
        <item m="1" x="1315"/>
        <item m="1" x="2076"/>
        <item m="1" x="1330"/>
        <item m="1" x="1992"/>
        <item m="1" x="1946"/>
        <item m="1" x="1545"/>
        <item x="69"/>
        <item x="70"/>
        <item x="71"/>
        <item x="75"/>
        <item x="76"/>
        <item x="77"/>
        <item m="1" x="1806"/>
        <item m="1" x="1622"/>
        <item m="1" x="1457"/>
        <item m="1" x="2068"/>
        <item m="1" x="1681"/>
        <item m="1" x="1651"/>
        <item m="1" x="1857"/>
        <item m="1" x="2006"/>
        <item x="94"/>
        <item x="96"/>
        <item x="97"/>
        <item x="99"/>
        <item x="100"/>
        <item x="101"/>
        <item x="105"/>
        <item x="109"/>
        <item x="120"/>
        <item x="121"/>
        <item m="1" x="1283"/>
        <item x="125"/>
        <item x="127"/>
        <item x="128"/>
        <item x="129"/>
        <item x="131"/>
        <item m="1" x="1271"/>
        <item m="1" x="1406"/>
        <item x="135"/>
        <item m="1" x="2055"/>
        <item x="137"/>
        <item x="138"/>
        <item x="139"/>
        <item x="140"/>
        <item x="141"/>
        <item m="1" x="1514"/>
        <item x="143"/>
        <item x="144"/>
        <item x="145"/>
        <item x="146"/>
        <item x="147"/>
        <item m="1" x="1741"/>
        <item x="149"/>
        <item x="150"/>
        <item x="151"/>
        <item x="152"/>
        <item x="153"/>
        <item x="154"/>
        <item x="156"/>
        <item x="157"/>
        <item x="159"/>
        <item m="1" x="1935"/>
        <item x="162"/>
        <item x="163"/>
        <item m="1" x="1566"/>
        <item x="166"/>
        <item x="167"/>
        <item m="1" x="1267"/>
        <item m="1" x="1331"/>
        <item m="1" x="1577"/>
        <item x="171"/>
        <item x="172"/>
        <item x="175"/>
        <item x="176"/>
        <item x="177"/>
        <item x="178"/>
        <item x="180"/>
        <item x="181"/>
        <item x="182"/>
        <item x="183"/>
        <item m="1" x="1864"/>
        <item x="192"/>
        <item x="206"/>
        <item m="1" x="1458"/>
        <item x="240"/>
        <item x="244"/>
        <item x="248"/>
        <item m="1" x="1695"/>
        <item x="278"/>
        <item x="309"/>
        <item x="316"/>
        <item x="318"/>
        <item x="335"/>
        <item x="358"/>
        <item x="360"/>
        <item x="368"/>
        <item x="374"/>
        <item x="479"/>
        <item x="500"/>
        <item x="563"/>
        <item x="589"/>
        <item x="641"/>
        <item x="711"/>
        <item x="716"/>
        <item x="763"/>
        <item x="791"/>
        <item x="796"/>
        <item x="799"/>
        <item x="812"/>
        <item x="829"/>
        <item x="830"/>
        <item x="831"/>
        <item x="843"/>
        <item x="846"/>
        <item x="856"/>
        <item x="857"/>
        <item x="879"/>
        <item x="880"/>
        <item m="1" x="1580"/>
        <item x="891"/>
        <item x="892"/>
        <item x="893"/>
        <item x="894"/>
        <item m="1" x="1644"/>
        <item x="896"/>
        <item m="1" x="1868"/>
        <item m="1" x="1725"/>
        <item x="899"/>
        <item m="1" x="2017"/>
        <item x="901"/>
        <item x="902"/>
        <item x="1006"/>
        <item m="1" x="1552"/>
        <item m="1" x="2012"/>
        <item x="1107"/>
        <item x="1108"/>
        <item x="1109"/>
        <item x="1110"/>
        <item x="1111"/>
        <item x="1112"/>
        <item x="87"/>
        <item x="132"/>
        <item x="190"/>
        <item x="209"/>
        <item m="1" x="2008"/>
        <item m="1" x="1542"/>
        <item m="1" x="1268"/>
        <item m="1" x="1796"/>
        <item m="1" x="1652"/>
        <item m="1" x="1977"/>
        <item x="254"/>
        <item x="257"/>
        <item x="314"/>
        <item x="315"/>
        <item x="319"/>
        <item x="336"/>
        <item x="341"/>
        <item x="362"/>
        <item x="363"/>
        <item m="1" x="1758"/>
        <item m="1" x="2062"/>
        <item x="367"/>
        <item m="1" x="1875"/>
        <item m="1" x="1903"/>
        <item x="371"/>
        <item m="1" x="1833"/>
        <item x="373"/>
        <item x="375"/>
        <item m="1" x="2077"/>
        <item x="398"/>
        <item x="399"/>
        <item x="400"/>
        <item x="401"/>
        <item x="406"/>
        <item x="439"/>
        <item x="440"/>
        <item x="441"/>
        <item x="445"/>
        <item m="1" x="1887"/>
        <item x="459"/>
        <item m="1" x="1355"/>
        <item x="461"/>
        <item x="462"/>
        <item x="463"/>
        <item x="464"/>
        <item m="1" x="1803"/>
        <item x="466"/>
        <item x="467"/>
        <item x="468"/>
        <item x="469"/>
        <item x="470"/>
        <item x="471"/>
        <item x="472"/>
        <item x="474"/>
        <item x="475"/>
        <item x="476"/>
        <item x="477"/>
        <item m="1" x="1549"/>
        <item x="482"/>
        <item x="483"/>
        <item x="538"/>
        <item x="553"/>
        <item x="554"/>
        <item x="555"/>
        <item x="557"/>
        <item x="558"/>
        <item x="559"/>
        <item x="560"/>
        <item x="561"/>
        <item x="562"/>
        <item x="564"/>
        <item x="565"/>
        <item x="567"/>
        <item x="569"/>
        <item x="570"/>
        <item x="571"/>
        <item x="572"/>
        <item m="1" x="1500"/>
        <item x="574"/>
        <item x="576"/>
        <item x="577"/>
        <item x="579"/>
        <item x="580"/>
        <item x="582"/>
        <item x="583"/>
        <item x="584"/>
        <item x="590"/>
        <item x="601"/>
        <item x="617"/>
        <item x="626"/>
        <item x="632"/>
        <item x="635"/>
        <item x="643"/>
        <item x="658"/>
        <item x="667"/>
        <item x="669"/>
        <item x="682"/>
        <item x="758"/>
        <item x="765"/>
        <item x="776"/>
        <item x="794"/>
        <item x="802"/>
        <item x="803"/>
        <item x="817"/>
        <item x="818"/>
        <item x="819"/>
        <item m="1" x="1952"/>
        <item x="903"/>
        <item x="954"/>
        <item x="921"/>
        <item x="922"/>
        <item x="923"/>
        <item x="936"/>
        <item x="1013"/>
        <item x="1016"/>
        <item x="1024"/>
        <item x="1064"/>
        <item x="1073"/>
        <item m="1" x="1467"/>
        <item m="1" x="1978"/>
        <item m="1" x="1390"/>
        <item x="142"/>
        <item x="187"/>
        <item m="1" x="2016"/>
        <item x="211"/>
        <item x="213"/>
        <item x="241"/>
        <item x="260"/>
        <item x="261"/>
        <item x="274"/>
        <item m="1" x="1890"/>
        <item x="329"/>
        <item x="337"/>
        <item x="338"/>
        <item x="339"/>
        <item x="340"/>
        <item x="342"/>
        <item x="392"/>
        <item x="394"/>
        <item x="588"/>
        <item m="1" x="1287"/>
        <item x="610"/>
        <item x="612"/>
        <item x="613"/>
        <item x="614"/>
        <item x="615"/>
        <item x="616"/>
        <item x="618"/>
        <item x="619"/>
        <item x="620"/>
        <item x="621"/>
        <item x="662"/>
        <item x="674"/>
        <item x="680"/>
        <item x="687"/>
        <item x="699"/>
        <item x="703"/>
        <item x="704"/>
        <item x="705"/>
        <item x="706"/>
        <item x="709"/>
        <item x="710"/>
        <item x="712"/>
        <item x="713"/>
        <item x="714"/>
        <item x="715"/>
        <item x="717"/>
        <item x="718"/>
        <item x="725"/>
        <item x="726"/>
        <item x="727"/>
        <item x="729"/>
        <item x="756"/>
        <item x="760"/>
        <item x="790"/>
        <item x="832"/>
        <item x="845"/>
        <item x="847"/>
        <item x="886"/>
        <item x="985"/>
        <item x="1023"/>
        <item x="1040"/>
        <item x="1075"/>
        <item x="1113"/>
        <item x="1114"/>
        <item x="1115"/>
        <item x="1116"/>
        <item x="1117"/>
        <item x="1118"/>
        <item m="1" x="2069"/>
        <item m="1" x="2058"/>
        <item x="1121"/>
        <item x="1122"/>
        <item x="1123"/>
        <item x="1124"/>
        <item x="1125"/>
        <item x="1126"/>
        <item m="1" x="1983"/>
        <item m="1" x="1743"/>
        <item x="1129"/>
        <item x="1130"/>
        <item x="1131"/>
        <item x="1132"/>
        <item x="1133"/>
        <item x="1134"/>
        <item x="1135"/>
        <item x="1136"/>
        <item x="1137"/>
        <item x="1138"/>
        <item x="1139"/>
        <item x="1140"/>
        <item x="1141"/>
        <item x="1142"/>
        <item m="1" x="1435"/>
        <item x="1144"/>
        <item x="1145"/>
        <item m="1" x="1342"/>
        <item x="1147"/>
        <item x="1148"/>
        <item x="1149"/>
        <item m="1" x="1742"/>
        <item x="1151"/>
        <item x="1152"/>
        <item x="1153"/>
        <item x="1154"/>
        <item m="1" x="1765"/>
        <item x="1156"/>
        <item m="1" x="1454"/>
        <item x="1158"/>
        <item m="1" x="1527"/>
        <item x="1160"/>
        <item x="1161"/>
        <item x="1162"/>
        <item x="1163"/>
        <item x="1164"/>
        <item x="1165"/>
        <item x="1166"/>
        <item x="1"/>
        <item x="6"/>
        <item x="19"/>
        <item x="23"/>
        <item x="26"/>
        <item x="28"/>
        <item x="29"/>
        <item x="31"/>
        <item x="32"/>
        <item x="33"/>
        <item x="34"/>
        <item x="35"/>
        <item x="37"/>
        <item x="39"/>
        <item x="41"/>
        <item x="42"/>
        <item x="43"/>
        <item x="46"/>
        <item x="47"/>
        <item x="48"/>
        <item x="49"/>
        <item x="50"/>
        <item x="51"/>
        <item x="53"/>
        <item x="54"/>
        <item x="55"/>
        <item x="56"/>
        <item x="58"/>
        <item x="60"/>
        <item x="62"/>
        <item x="63"/>
        <item x="64"/>
        <item x="65"/>
        <item x="66"/>
        <item x="67"/>
        <item x="68"/>
        <item x="73"/>
        <item x="74"/>
        <item x="82"/>
        <item x="83"/>
        <item x="84"/>
        <item x="85"/>
        <item x="86"/>
        <item x="89"/>
        <item x="90"/>
        <item x="92"/>
        <item x="93"/>
        <item x="103"/>
        <item x="117"/>
        <item x="118"/>
        <item x="119"/>
        <item x="124"/>
        <item x="133"/>
        <item x="136"/>
        <item x="148"/>
        <item x="158"/>
        <item x="161"/>
        <item x="165"/>
        <item x="168"/>
        <item x="169"/>
        <item x="170"/>
        <item x="185"/>
        <item x="189"/>
        <item x="191"/>
        <item x="193"/>
        <item x="194"/>
        <item x="195"/>
        <item x="196"/>
        <item x="197"/>
        <item x="199"/>
        <item x="200"/>
        <item x="202"/>
        <item x="210"/>
        <item x="212"/>
        <item x="215"/>
        <item x="217"/>
        <item x="218"/>
        <item x="219"/>
        <item x="222"/>
        <item x="223"/>
        <item x="224"/>
        <item x="225"/>
        <item x="227"/>
        <item x="228"/>
        <item x="229"/>
        <item x="230"/>
        <item x="231"/>
        <item x="232"/>
        <item x="233"/>
        <item x="235"/>
        <item x="236"/>
        <item x="237"/>
        <item x="238"/>
        <item x="242"/>
        <item x="243"/>
        <item x="249"/>
        <item x="250"/>
        <item x="251"/>
        <item x="252"/>
        <item x="253"/>
        <item x="255"/>
        <item x="259"/>
        <item x="262"/>
        <item x="263"/>
        <item x="275"/>
        <item x="276"/>
        <item x="277"/>
        <item x="279"/>
        <item x="280"/>
        <item x="281"/>
        <item x="283"/>
        <item x="292"/>
        <item x="299"/>
        <item x="305"/>
        <item x="306"/>
        <item x="308"/>
        <item x="311"/>
        <item x="312"/>
        <item x="317"/>
        <item x="325"/>
        <item x="326"/>
        <item x="327"/>
        <item x="328"/>
        <item x="330"/>
        <item x="332"/>
        <item x="334"/>
        <item x="346"/>
        <item x="361"/>
        <item x="364"/>
        <item x="365"/>
        <item x="366"/>
        <item x="369"/>
        <item x="370"/>
        <item x="372"/>
        <item x="376"/>
        <item x="377"/>
        <item x="378"/>
        <item x="379"/>
        <item x="380"/>
        <item x="381"/>
        <item x="382"/>
        <item x="384"/>
        <item x="385"/>
        <item x="386"/>
        <item x="387"/>
        <item x="388"/>
        <item x="389"/>
        <item x="390"/>
        <item x="396"/>
        <item x="402"/>
        <item x="403"/>
        <item x="404"/>
        <item x="405"/>
        <item x="407"/>
        <item x="408"/>
        <item x="409"/>
        <item x="410"/>
        <item x="411"/>
        <item x="412"/>
        <item x="413"/>
        <item x="416"/>
        <item x="417"/>
        <item x="419"/>
        <item x="420"/>
        <item x="421"/>
        <item x="422"/>
        <item x="423"/>
        <item x="424"/>
        <item x="425"/>
        <item x="426"/>
        <item x="427"/>
        <item x="428"/>
        <item x="429"/>
        <item x="430"/>
        <item x="431"/>
        <item x="432"/>
        <item x="434"/>
        <item x="436"/>
        <item x="443"/>
        <item x="444"/>
        <item x="446"/>
        <item x="447"/>
        <item x="452"/>
        <item x="457"/>
        <item x="458"/>
        <item x="460"/>
        <item x="465"/>
        <item x="473"/>
        <item x="478"/>
        <item x="480"/>
        <item x="484"/>
        <item x="485"/>
        <item x="489"/>
        <item x="492"/>
        <item x="493"/>
        <item x="494"/>
        <item x="495"/>
        <item x="496"/>
        <item x="497"/>
        <item x="498"/>
        <item x="499"/>
        <item x="501"/>
        <item x="502"/>
        <item x="503"/>
        <item x="504"/>
        <item x="505"/>
        <item x="507"/>
        <item x="508"/>
        <item x="509"/>
        <item x="510"/>
        <item x="511"/>
        <item x="512"/>
        <item x="513"/>
        <item x="514"/>
        <item x="515"/>
        <item x="521"/>
        <item x="522"/>
        <item x="523"/>
        <item x="524"/>
        <item x="530"/>
        <item x="533"/>
        <item x="537"/>
        <item x="539"/>
        <item x="541"/>
        <item x="542"/>
        <item x="543"/>
        <item x="547"/>
        <item x="548"/>
        <item x="549"/>
        <item x="550"/>
        <item x="568"/>
        <item x="573"/>
        <item x="581"/>
        <item x="586"/>
        <item x="591"/>
        <item x="594"/>
        <item x="596"/>
        <item x="597"/>
        <item x="598"/>
        <item x="600"/>
        <item x="602"/>
        <item x="603"/>
        <item x="604"/>
        <item x="607"/>
        <item x="608"/>
        <item x="629"/>
        <item x="640"/>
        <item x="644"/>
        <item x="645"/>
        <item x="650"/>
        <item x="651"/>
        <item x="652"/>
        <item x="654"/>
        <item x="655"/>
        <item x="657"/>
        <item x="659"/>
        <item x="660"/>
        <item x="663"/>
        <item x="671"/>
        <item x="675"/>
        <item x="676"/>
        <item x="677"/>
        <item x="679"/>
        <item x="683"/>
        <item x="688"/>
        <item x="708"/>
        <item x="719"/>
        <item x="720"/>
        <item x="721"/>
        <item x="722"/>
        <item x="723"/>
        <item x="730"/>
        <item x="733"/>
        <item x="735"/>
        <item x="736"/>
        <item x="747"/>
        <item x="751"/>
        <item x="754"/>
        <item x="755"/>
        <item x="757"/>
        <item x="772"/>
        <item x="779"/>
        <item x="780"/>
        <item x="786"/>
        <item x="787"/>
        <item x="793"/>
        <item x="795"/>
        <item x="797"/>
        <item x="798"/>
        <item x="809"/>
        <item x="810"/>
        <item x="823"/>
        <item x="824"/>
        <item x="828"/>
        <item x="839"/>
        <item x="842"/>
        <item x="848"/>
        <item x="850"/>
        <item x="863"/>
        <item x="864"/>
        <item x="865"/>
        <item x="866"/>
        <item x="868"/>
        <item x="869"/>
        <item x="870"/>
        <item x="872"/>
        <item x="874"/>
        <item x="875"/>
        <item x="877"/>
        <item x="882"/>
        <item x="887"/>
        <item x="895"/>
        <item x="897"/>
        <item x="898"/>
        <item x="900"/>
        <item x="905"/>
        <item x="910"/>
        <item x="911"/>
        <item x="913"/>
        <item x="916"/>
        <item x="917"/>
        <item x="918"/>
        <item x="928"/>
        <item x="950"/>
        <item x="958"/>
        <item x="962"/>
        <item x="963"/>
        <item x="966"/>
        <item x="969"/>
        <item x="970"/>
        <item x="973"/>
        <item x="980"/>
        <item x="983"/>
        <item x="993"/>
        <item x="998"/>
        <item x="999"/>
        <item x="1000"/>
        <item x="1001"/>
        <item x="1007"/>
        <item x="1008"/>
        <item x="1009"/>
        <item x="1011"/>
        <item x="1012"/>
        <item x="1021"/>
        <item x="1025"/>
        <item x="1026"/>
        <item x="1027"/>
        <item x="1028"/>
        <item x="1034"/>
        <item x="1054"/>
        <item x="1057"/>
        <item x="1059"/>
        <item x="1061"/>
        <item x="1070"/>
        <item x="1080"/>
        <item x="1119"/>
        <item x="1120"/>
        <item x="1127"/>
        <item x="1128"/>
        <item x="1143"/>
        <item x="1146"/>
        <item x="1150"/>
        <item x="1155"/>
        <item x="1157"/>
        <item x="1159"/>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m="1" x="1932"/>
        <item x="1232"/>
        <item x="1233"/>
        <item x="1234"/>
        <item x="1235"/>
        <item x="1236"/>
        <item x="1237"/>
        <item x="1238"/>
        <item x="1239"/>
        <item x="1240"/>
        <item x="1241"/>
        <item x="1242"/>
        <item x="1243"/>
        <item x="1244"/>
        <item x="1245"/>
        <item x="1246"/>
        <item x="1247"/>
        <item x="1248"/>
        <item x="1249"/>
        <item x="1250"/>
        <item x="1251"/>
        <item x="1252"/>
        <item x="1253"/>
        <item x="1254"/>
        <item x="1231"/>
        <item x="1255"/>
      </items>
    </pivotField>
    <pivotField subtotalTop="0" showAll="0" defaultSubtotal="0"/>
    <pivotField subtotalTop="0" showAll="0" defaultSubtotal="0"/>
    <pivotField subtotalTop="0" showAll="0" defaultSubtotal="0"/>
    <pivotField subtotalTop="0" showAll="0" defaultSubtotal="0"/>
    <pivotField subtotalTop="0" showAll="0" defaultSubtotal="0"/>
    <pivotField showAll="0" defaultSubtotal="0"/>
    <pivotField showAll="0" defaultSubtotal="0"/>
    <pivotField showAll="0" defaultSubtotal="0"/>
    <pivotField subtotalTop="0" showAll="0" defaultSubtotal="0"/>
    <pivotField subtotalTop="0" showAll="0" defaultSubtotal="0"/>
    <pivotField subtotalTop="0" showAll="0" defaultSubtotal="0"/>
    <pivotField numFmtId="166" showAll="0" defaultSubtotal="0"/>
    <pivotField numFmtId="166" subtotalTop="0" showAll="0" defaultSubtotal="0"/>
    <pivotField subtotalTop="0" showAll="0" defaultSubtotal="0"/>
    <pivotField subtotalTop="0" showAll="0" defaultSubtotal="0"/>
    <pivotField showAll="0" defaultSubtotal="0"/>
    <pivotField showAll="0" defaultSubtotal="0"/>
    <pivotField showAll="0" defaultSubtotal="0"/>
    <pivotField showAll="0" defaultSubtotal="0"/>
    <pivotField showAll="0" defaultSubtotal="0"/>
    <pivotField subtotalTop="0" showAll="0" defaultSubtotal="0"/>
  </pivotFields>
  <rowFields count="1">
    <field x="8"/>
  </rowFields>
  <rowItems count="1256">
    <i>
      <x/>
    </i>
    <i>
      <x v="1"/>
    </i>
    <i>
      <x v="2"/>
    </i>
    <i>
      <x v="3"/>
    </i>
    <i>
      <x v="11"/>
    </i>
    <i>
      <x v="12"/>
    </i>
    <i>
      <x v="13"/>
    </i>
    <i>
      <x v="18"/>
    </i>
    <i>
      <x v="20"/>
    </i>
    <i>
      <x v="23"/>
    </i>
    <i>
      <x v="25"/>
    </i>
    <i>
      <x v="26"/>
    </i>
    <i>
      <x v="28"/>
    </i>
    <i>
      <x v="30"/>
    </i>
    <i>
      <x v="31"/>
    </i>
    <i>
      <x v="36"/>
    </i>
    <i>
      <x v="39"/>
    </i>
    <i>
      <x v="42"/>
    </i>
    <i>
      <x v="43"/>
    </i>
    <i>
      <x v="44"/>
    </i>
    <i>
      <x v="45"/>
    </i>
    <i>
      <x v="59"/>
    </i>
    <i>
      <x v="60"/>
    </i>
    <i>
      <x v="70"/>
    </i>
    <i>
      <x v="71"/>
    </i>
    <i>
      <x v="77"/>
    </i>
    <i>
      <x v="83"/>
    </i>
    <i>
      <x v="84"/>
    </i>
    <i>
      <x v="88"/>
    </i>
    <i>
      <x v="90"/>
    </i>
    <i>
      <x v="94"/>
    </i>
    <i>
      <x v="98"/>
    </i>
    <i>
      <x v="99"/>
    </i>
    <i>
      <x v="101"/>
    </i>
    <i>
      <x v="102"/>
    </i>
    <i>
      <x v="103"/>
    </i>
    <i>
      <x v="106"/>
    </i>
    <i>
      <x v="111"/>
    </i>
    <i>
      <x v="114"/>
    </i>
    <i>
      <x v="116"/>
    </i>
    <i>
      <x v="122"/>
    </i>
    <i>
      <x v="123"/>
    </i>
    <i>
      <x v="125"/>
    </i>
    <i>
      <x v="126"/>
    </i>
    <i>
      <x v="132"/>
    </i>
    <i>
      <x v="143"/>
    </i>
    <i>
      <x v="146"/>
    </i>
    <i>
      <x v="147"/>
    </i>
    <i>
      <x v="153"/>
    </i>
    <i>
      <x v="159"/>
    </i>
    <i>
      <x v="160"/>
    </i>
    <i>
      <x v="163"/>
    </i>
    <i>
      <x v="164"/>
    </i>
    <i>
      <x v="166"/>
    </i>
    <i>
      <x v="168"/>
    </i>
    <i>
      <x v="169"/>
    </i>
    <i>
      <x v="170"/>
    </i>
    <i>
      <x v="171"/>
    </i>
    <i>
      <x v="180"/>
    </i>
    <i>
      <x v="181"/>
    </i>
    <i>
      <x v="184"/>
    </i>
    <i>
      <x v="190"/>
    </i>
    <i>
      <x v="191"/>
    </i>
    <i>
      <x v="194"/>
    </i>
    <i>
      <x v="195"/>
    </i>
    <i>
      <x v="197"/>
    </i>
    <i>
      <x v="203"/>
    </i>
    <i>
      <x v="205"/>
    </i>
    <i>
      <x v="210"/>
    </i>
    <i>
      <x v="223"/>
    </i>
    <i>
      <x v="224"/>
    </i>
    <i>
      <x v="228"/>
    </i>
    <i>
      <x v="229"/>
    </i>
    <i>
      <x v="233"/>
    </i>
    <i>
      <x v="234"/>
    </i>
    <i>
      <x v="235"/>
    </i>
    <i>
      <x v="238"/>
    </i>
    <i>
      <x v="239"/>
    </i>
    <i>
      <x v="241"/>
    </i>
    <i>
      <x v="242"/>
    </i>
    <i>
      <x v="243"/>
    </i>
    <i>
      <x v="248"/>
    </i>
    <i>
      <x v="249"/>
    </i>
    <i>
      <x v="250"/>
    </i>
    <i>
      <x v="251"/>
    </i>
    <i>
      <x v="252"/>
    </i>
    <i>
      <x v="256"/>
    </i>
    <i>
      <x v="259"/>
    </i>
    <i>
      <x v="270"/>
    </i>
    <i>
      <x v="285"/>
    </i>
    <i>
      <x v="300"/>
    </i>
    <i>
      <x v="301"/>
    </i>
    <i>
      <x v="302"/>
    </i>
    <i>
      <x v="304"/>
    </i>
    <i>
      <x v="316"/>
    </i>
    <i>
      <x v="317"/>
    </i>
    <i>
      <x v="320"/>
    </i>
    <i>
      <x v="324"/>
    </i>
    <i>
      <x v="329"/>
    </i>
    <i>
      <x v="333"/>
    </i>
    <i>
      <x v="339"/>
    </i>
    <i>
      <x v="340"/>
    </i>
    <i>
      <x v="341"/>
    </i>
    <i>
      <x v="343"/>
    </i>
    <i>
      <x v="346"/>
    </i>
    <i>
      <x v="347"/>
    </i>
    <i>
      <x v="348"/>
    </i>
    <i>
      <x v="349"/>
    </i>
    <i>
      <x v="351"/>
    </i>
    <i>
      <x v="352"/>
    </i>
    <i>
      <x v="355"/>
    </i>
    <i>
      <x v="357"/>
    </i>
    <i>
      <x v="358"/>
    </i>
    <i>
      <x v="359"/>
    </i>
    <i>
      <x v="363"/>
    </i>
    <i>
      <x v="365"/>
    </i>
    <i>
      <x v="370"/>
    </i>
    <i>
      <x v="371"/>
    </i>
    <i>
      <x v="387"/>
    </i>
    <i>
      <x v="388"/>
    </i>
    <i>
      <x v="395"/>
    </i>
    <i>
      <x v="400"/>
    </i>
    <i>
      <x v="401"/>
    </i>
    <i>
      <x v="402"/>
    </i>
    <i>
      <x v="408"/>
    </i>
    <i>
      <x v="409"/>
    </i>
    <i>
      <x v="411"/>
    </i>
    <i>
      <x v="416"/>
    </i>
    <i>
      <x v="417"/>
    </i>
    <i>
      <x v="418"/>
    </i>
    <i>
      <x v="427"/>
    </i>
    <i>
      <x v="434"/>
    </i>
    <i>
      <x v="435"/>
    </i>
    <i>
      <x v="438"/>
    </i>
    <i>
      <x v="439"/>
    </i>
    <i>
      <x v="440"/>
    </i>
    <i>
      <x v="441"/>
    </i>
    <i>
      <x v="444"/>
    </i>
    <i>
      <x v="445"/>
    </i>
    <i>
      <x v="446"/>
    </i>
    <i>
      <x v="449"/>
    </i>
    <i>
      <x v="451"/>
    </i>
    <i>
      <x v="452"/>
    </i>
    <i>
      <x v="453"/>
    </i>
    <i>
      <x v="468"/>
    </i>
    <i>
      <x v="469"/>
    </i>
    <i>
      <x v="473"/>
    </i>
    <i>
      <x v="474"/>
    </i>
    <i>
      <x v="478"/>
    </i>
    <i>
      <x v="479"/>
    </i>
    <i>
      <x v="480"/>
    </i>
    <i>
      <x v="482"/>
    </i>
    <i>
      <x v="484"/>
    </i>
    <i>
      <x v="485"/>
    </i>
    <i>
      <x v="486"/>
    </i>
    <i>
      <x v="487"/>
    </i>
    <i>
      <x v="490"/>
    </i>
    <i>
      <x v="492"/>
    </i>
    <i>
      <x v="493"/>
    </i>
    <i>
      <x v="500"/>
    </i>
    <i>
      <x v="508"/>
    </i>
    <i>
      <x v="519"/>
    </i>
    <i>
      <x v="521"/>
    </i>
    <i>
      <x v="523"/>
    </i>
    <i>
      <x v="545"/>
    </i>
    <i>
      <x v="546"/>
    </i>
    <i>
      <x v="547"/>
    </i>
    <i>
      <x v="551"/>
    </i>
    <i>
      <x v="553"/>
    </i>
    <i>
      <x v="558"/>
    </i>
    <i>
      <x v="559"/>
    </i>
    <i>
      <x v="560"/>
    </i>
    <i>
      <x v="561"/>
    </i>
    <i>
      <x v="562"/>
    </i>
    <i>
      <x v="563"/>
    </i>
    <i>
      <x v="564"/>
    </i>
    <i>
      <x v="565"/>
    </i>
    <i>
      <x v="566"/>
    </i>
    <i>
      <x v="569"/>
    </i>
    <i>
      <x v="570"/>
    </i>
    <i>
      <x v="572"/>
    </i>
    <i>
      <x v="575"/>
    </i>
    <i>
      <x v="579"/>
    </i>
    <i>
      <x v="580"/>
    </i>
    <i>
      <x v="581"/>
    </i>
    <i>
      <x v="582"/>
    </i>
    <i>
      <x v="583"/>
    </i>
    <i>
      <x v="586"/>
    </i>
    <i>
      <x v="587"/>
    </i>
    <i>
      <x v="589"/>
    </i>
    <i>
      <x v="590"/>
    </i>
    <i>
      <x v="591"/>
    </i>
    <i>
      <x v="592"/>
    </i>
    <i>
      <x v="594"/>
    </i>
    <i>
      <x v="598"/>
    </i>
    <i>
      <x v="599"/>
    </i>
    <i>
      <x v="602"/>
    </i>
    <i>
      <x v="603"/>
    </i>
    <i>
      <x v="607"/>
    </i>
    <i>
      <x v="614"/>
    </i>
    <i>
      <x v="615"/>
    </i>
    <i>
      <x v="617"/>
    </i>
    <i>
      <x v="619"/>
    </i>
    <i>
      <x v="623"/>
    </i>
    <i>
      <x v="626"/>
    </i>
    <i>
      <x v="631"/>
    </i>
    <i>
      <x v="632"/>
    </i>
    <i>
      <x v="635"/>
    </i>
    <i>
      <x v="648"/>
    </i>
    <i>
      <x v="649"/>
    </i>
    <i>
      <x v="651"/>
    </i>
    <i>
      <x v="655"/>
    </i>
    <i>
      <x v="668"/>
    </i>
    <i>
      <x v="669"/>
    </i>
    <i>
      <x v="678"/>
    </i>
    <i>
      <x v="679"/>
    </i>
    <i>
      <x v="680"/>
    </i>
    <i>
      <x v="681"/>
    </i>
    <i>
      <x v="687"/>
    </i>
    <i>
      <x v="691"/>
    </i>
    <i>
      <x v="692"/>
    </i>
    <i>
      <x v="699"/>
    </i>
    <i>
      <x v="701"/>
    </i>
    <i>
      <x v="703"/>
    </i>
    <i>
      <x v="710"/>
    </i>
    <i>
      <x v="722"/>
    </i>
    <i>
      <x v="724"/>
    </i>
    <i>
      <x v="725"/>
    </i>
    <i>
      <x v="737"/>
    </i>
    <i>
      <x v="753"/>
    </i>
    <i>
      <x v="754"/>
    </i>
    <i>
      <x v="755"/>
    </i>
    <i>
      <x v="756"/>
    </i>
    <i>
      <x v="757"/>
    </i>
    <i>
      <x v="758"/>
    </i>
    <i>
      <x v="762"/>
    </i>
    <i>
      <x v="765"/>
    </i>
    <i>
      <x v="772"/>
    </i>
    <i>
      <x v="775"/>
    </i>
    <i>
      <x v="777"/>
    </i>
    <i>
      <x v="778"/>
    </i>
    <i>
      <x v="779"/>
    </i>
    <i>
      <x v="780"/>
    </i>
    <i>
      <x v="781"/>
    </i>
    <i>
      <x v="789"/>
    </i>
    <i>
      <x v="790"/>
    </i>
    <i>
      <x v="792"/>
    </i>
    <i>
      <x v="794"/>
    </i>
    <i>
      <x v="797"/>
    </i>
    <i>
      <x v="798"/>
    </i>
    <i>
      <x v="799"/>
    </i>
    <i>
      <x v="807"/>
    </i>
    <i>
      <x v="810"/>
    </i>
    <i>
      <x v="831"/>
    </i>
    <i>
      <x v="840"/>
    </i>
    <i>
      <x v="846"/>
    </i>
    <i>
      <x v="864"/>
    </i>
    <i>
      <x v="872"/>
    </i>
    <i>
      <x v="873"/>
    </i>
    <i>
      <x v="874"/>
    </i>
    <i>
      <x v="880"/>
    </i>
    <i>
      <x v="881"/>
    </i>
    <i>
      <x v="883"/>
    </i>
    <i>
      <x v="884"/>
    </i>
    <i>
      <x v="885"/>
    </i>
    <i>
      <x v="886"/>
    </i>
    <i>
      <x v="887"/>
    </i>
    <i>
      <x v="888"/>
    </i>
    <i>
      <x v="889"/>
    </i>
    <i>
      <x v="890"/>
    </i>
    <i>
      <x v="891"/>
    </i>
    <i>
      <x v="892"/>
    </i>
    <i>
      <x v="895"/>
    </i>
    <i>
      <x v="896"/>
    </i>
    <i>
      <x v="897"/>
    </i>
    <i>
      <x v="899"/>
    </i>
    <i>
      <x v="900"/>
    </i>
    <i>
      <x v="903"/>
    </i>
    <i>
      <x v="904"/>
    </i>
    <i>
      <x v="906"/>
    </i>
    <i>
      <x v="924"/>
    </i>
    <i>
      <x v="932"/>
    </i>
    <i>
      <x v="934"/>
    </i>
    <i>
      <x v="935"/>
    </i>
    <i>
      <x v="936"/>
    </i>
    <i>
      <x v="937"/>
    </i>
    <i>
      <x v="938"/>
    </i>
    <i>
      <x v="947"/>
    </i>
    <i>
      <x v="949"/>
    </i>
    <i>
      <x v="950"/>
    </i>
    <i>
      <x v="951"/>
    </i>
    <i>
      <x v="952"/>
    </i>
    <i>
      <x v="954"/>
    </i>
    <i>
      <x v="955"/>
    </i>
    <i>
      <x v="957"/>
    </i>
    <i>
      <x v="961"/>
    </i>
    <i>
      <x v="963"/>
    </i>
    <i>
      <x v="965"/>
    </i>
    <i>
      <x v="966"/>
    </i>
    <i>
      <x v="967"/>
    </i>
    <i>
      <x v="968"/>
    </i>
    <i>
      <x v="970"/>
    </i>
    <i>
      <x v="971"/>
    </i>
    <i>
      <x v="972"/>
    </i>
    <i>
      <x v="973"/>
    </i>
    <i>
      <x v="975"/>
    </i>
    <i>
      <x v="976"/>
    </i>
    <i>
      <x v="977"/>
    </i>
    <i>
      <x v="978"/>
    </i>
    <i>
      <x v="979"/>
    </i>
    <i>
      <x v="980"/>
    </i>
    <i>
      <x v="981"/>
    </i>
    <i>
      <x v="983"/>
    </i>
    <i>
      <x v="985"/>
    </i>
    <i>
      <x v="986"/>
    </i>
    <i>
      <x v="988"/>
    </i>
    <i>
      <x v="991"/>
    </i>
    <i>
      <x v="992"/>
    </i>
    <i>
      <x v="994"/>
    </i>
    <i>
      <x v="995"/>
    </i>
    <i>
      <x v="996"/>
    </i>
    <i>
      <x v="997"/>
    </i>
    <i>
      <x v="998"/>
    </i>
    <i>
      <x v="999"/>
    </i>
    <i>
      <x v="1000"/>
    </i>
    <i>
      <x v="1001"/>
    </i>
    <i>
      <x v="1002"/>
    </i>
    <i>
      <x v="1003"/>
    </i>
    <i>
      <x v="1014"/>
    </i>
    <i>
      <x v="1015"/>
    </i>
    <i>
      <x v="1016"/>
    </i>
    <i>
      <x v="1017"/>
    </i>
    <i>
      <x v="1019"/>
    </i>
    <i>
      <x v="1020"/>
    </i>
    <i>
      <x v="1021"/>
    </i>
    <i>
      <x v="1022"/>
    </i>
    <i>
      <x v="1023"/>
    </i>
    <i>
      <x v="1027"/>
    </i>
    <i>
      <x v="1029"/>
    </i>
    <i>
      <x v="1030"/>
    </i>
    <i>
      <x v="1031"/>
    </i>
    <i>
      <x v="1032"/>
    </i>
    <i>
      <x v="1033"/>
    </i>
    <i>
      <x v="1034"/>
    </i>
    <i>
      <x v="1035"/>
    </i>
    <i>
      <x v="1036"/>
    </i>
    <i>
      <x v="1037"/>
    </i>
    <i>
      <x v="1038"/>
    </i>
    <i>
      <x v="1039"/>
    </i>
    <i>
      <x v="1041"/>
    </i>
    <i>
      <x v="1042"/>
    </i>
    <i>
      <x v="1046"/>
    </i>
    <i>
      <x v="1047"/>
    </i>
    <i>
      <x v="1049"/>
    </i>
    <i>
      <x v="1050"/>
    </i>
    <i>
      <x v="1051"/>
    </i>
    <i>
      <x v="1052"/>
    </i>
    <i>
      <x v="1053"/>
    </i>
    <i>
      <x v="1055"/>
    </i>
    <i>
      <x v="1056"/>
    </i>
    <i>
      <x v="1057"/>
    </i>
    <i>
      <x v="1058"/>
    </i>
    <i>
      <x v="1059"/>
    </i>
    <i>
      <x v="1060"/>
    </i>
    <i>
      <x v="1064"/>
    </i>
    <i>
      <x v="1067"/>
    </i>
    <i>
      <x v="1068"/>
    </i>
    <i>
      <x v="1069"/>
    </i>
    <i>
      <x v="1070"/>
    </i>
    <i>
      <x v="1071"/>
    </i>
    <i>
      <x v="1072"/>
    </i>
    <i>
      <x v="1073"/>
    </i>
    <i>
      <x v="1075"/>
    </i>
    <i>
      <x v="1077"/>
    </i>
    <i>
      <x v="1078"/>
    </i>
    <i>
      <x v="1079"/>
    </i>
    <i>
      <x v="1080"/>
    </i>
    <i>
      <x v="1081"/>
    </i>
    <i>
      <x v="1082"/>
    </i>
    <i>
      <x v="1083"/>
    </i>
    <i>
      <x v="1084"/>
    </i>
    <i>
      <x v="1085"/>
    </i>
    <i>
      <x v="1088"/>
    </i>
    <i>
      <x v="1089"/>
    </i>
    <i>
      <x v="1090"/>
    </i>
    <i>
      <x v="1091"/>
    </i>
    <i>
      <x v="1092"/>
    </i>
    <i>
      <x v="1093"/>
    </i>
    <i>
      <x v="1094"/>
    </i>
    <i>
      <x v="1095"/>
    </i>
    <i>
      <x v="1096"/>
    </i>
    <i>
      <x v="1102"/>
    </i>
    <i>
      <x v="1103"/>
    </i>
    <i>
      <x v="1104"/>
    </i>
    <i>
      <x v="1105"/>
    </i>
    <i>
      <x v="1107"/>
    </i>
    <i>
      <x v="1108"/>
    </i>
    <i>
      <x v="1110"/>
    </i>
    <i>
      <x v="1111"/>
    </i>
    <i>
      <x v="1112"/>
    </i>
    <i>
      <x v="1113"/>
    </i>
    <i>
      <x v="1114"/>
    </i>
    <i>
      <x v="1115"/>
    </i>
    <i>
      <x v="1116"/>
    </i>
    <i>
      <x v="1117"/>
    </i>
    <i>
      <x v="1118"/>
    </i>
    <i>
      <x v="1119"/>
    </i>
    <i>
      <x v="1121"/>
    </i>
    <i>
      <x v="1125"/>
    </i>
    <i>
      <x v="1127"/>
    </i>
    <i>
      <x v="1128"/>
    </i>
    <i>
      <x v="1129"/>
    </i>
    <i>
      <x v="1130"/>
    </i>
    <i>
      <x v="1131"/>
    </i>
    <i>
      <x v="1132"/>
    </i>
    <i>
      <x v="1133"/>
    </i>
    <i>
      <x v="1134"/>
    </i>
    <i>
      <x v="1135"/>
    </i>
    <i>
      <x v="1136"/>
    </i>
    <i>
      <x v="1137"/>
    </i>
    <i>
      <x v="1138"/>
    </i>
    <i>
      <x v="1139"/>
    </i>
    <i>
      <x v="1140"/>
    </i>
    <i>
      <x v="1141"/>
    </i>
    <i>
      <x v="1142"/>
    </i>
    <i>
      <x v="1143"/>
    </i>
    <i>
      <x v="1144"/>
    </i>
    <i>
      <x v="1145"/>
    </i>
    <i>
      <x v="1147"/>
    </i>
    <i>
      <x v="1148"/>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80"/>
    </i>
    <i>
      <x v="1186"/>
    </i>
    <i>
      <x v="1190"/>
    </i>
    <i>
      <x v="1194"/>
    </i>
    <i>
      <x v="1196"/>
    </i>
    <i>
      <x v="1197"/>
    </i>
    <i>
      <x v="1200"/>
    </i>
    <i>
      <x v="1201"/>
    </i>
    <i>
      <x v="1202"/>
    </i>
    <i>
      <x v="1203"/>
    </i>
    <i>
      <x v="1204"/>
    </i>
    <i>
      <x v="1205"/>
    </i>
    <i>
      <x v="1207"/>
    </i>
    <i>
      <x v="1210"/>
    </i>
    <i>
      <x v="1211"/>
    </i>
    <i>
      <x v="1212"/>
    </i>
    <i>
      <x v="1214"/>
    </i>
    <i>
      <x v="1215"/>
    </i>
    <i>
      <x v="1216"/>
    </i>
    <i>
      <x v="1217"/>
    </i>
    <i>
      <x v="1218"/>
    </i>
    <i>
      <x v="1220"/>
    </i>
    <i>
      <x v="1221"/>
    </i>
    <i>
      <x v="1222"/>
    </i>
    <i>
      <x v="1224"/>
    </i>
    <i>
      <x v="1225"/>
    </i>
    <i>
      <x v="1227"/>
    </i>
    <i>
      <x v="1229"/>
    </i>
    <i>
      <x v="1231"/>
    </i>
    <i>
      <x v="1233"/>
    </i>
    <i>
      <x v="1235"/>
    </i>
    <i>
      <x v="1240"/>
    </i>
    <i>
      <x v="1243"/>
    </i>
    <i>
      <x v="1245"/>
    </i>
    <i>
      <x v="1246"/>
    </i>
    <i>
      <x v="1254"/>
    </i>
    <i>
      <x v="1255"/>
    </i>
    <i>
      <x v="1256"/>
    </i>
    <i>
      <x v="1257"/>
    </i>
    <i>
      <x v="1258"/>
    </i>
    <i>
      <x v="1259"/>
    </i>
    <i>
      <x v="1268"/>
    </i>
    <i>
      <x v="1269"/>
    </i>
    <i>
      <x v="1270"/>
    </i>
    <i>
      <x v="1271"/>
    </i>
    <i>
      <x v="1272"/>
    </i>
    <i>
      <x v="1273"/>
    </i>
    <i>
      <x v="1274"/>
    </i>
    <i>
      <x v="1275"/>
    </i>
    <i>
      <x v="1276"/>
    </i>
    <i>
      <x v="1277"/>
    </i>
    <i>
      <x v="1279"/>
    </i>
    <i>
      <x v="1280"/>
    </i>
    <i>
      <x v="1281"/>
    </i>
    <i>
      <x v="1282"/>
    </i>
    <i>
      <x v="1283"/>
    </i>
    <i>
      <x v="1286"/>
    </i>
    <i>
      <x v="1288"/>
    </i>
    <i>
      <x v="1289"/>
    </i>
    <i>
      <x v="1290"/>
    </i>
    <i>
      <x v="1291"/>
    </i>
    <i>
      <x v="1292"/>
    </i>
    <i>
      <x v="1294"/>
    </i>
    <i>
      <x v="1295"/>
    </i>
    <i>
      <x v="1296"/>
    </i>
    <i>
      <x v="1297"/>
    </i>
    <i>
      <x v="1298"/>
    </i>
    <i>
      <x v="1300"/>
    </i>
    <i>
      <x v="1301"/>
    </i>
    <i>
      <x v="1302"/>
    </i>
    <i>
      <x v="1303"/>
    </i>
    <i>
      <x v="1304"/>
    </i>
    <i>
      <x v="1305"/>
    </i>
    <i>
      <x v="1306"/>
    </i>
    <i>
      <x v="1307"/>
    </i>
    <i>
      <x v="1308"/>
    </i>
    <i>
      <x v="1310"/>
    </i>
    <i>
      <x v="1311"/>
    </i>
    <i>
      <x v="1313"/>
    </i>
    <i>
      <x v="1314"/>
    </i>
    <i>
      <x v="1318"/>
    </i>
    <i>
      <x v="1319"/>
    </i>
    <i>
      <x v="1320"/>
    </i>
    <i>
      <x v="1321"/>
    </i>
    <i>
      <x v="1322"/>
    </i>
    <i>
      <x v="1323"/>
    </i>
    <i>
      <x v="1324"/>
    </i>
    <i>
      <x v="1325"/>
    </i>
    <i>
      <x v="1326"/>
    </i>
    <i>
      <x v="1327"/>
    </i>
    <i>
      <x v="1329"/>
    </i>
    <i>
      <x v="1330"/>
    </i>
    <i>
      <x v="1332"/>
    </i>
    <i>
      <x v="1333"/>
    </i>
    <i>
      <x v="1334"/>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7"/>
    </i>
    <i>
      <x v="1368"/>
    </i>
    <i>
      <x v="1369"/>
    </i>
    <i>
      <x v="1370"/>
    </i>
    <i>
      <x v="1372"/>
    </i>
    <i>
      <x v="1375"/>
    </i>
    <i>
      <x v="1377"/>
    </i>
    <i>
      <x v="1378"/>
    </i>
    <i>
      <x v="1379"/>
    </i>
    <i>
      <x v="1382"/>
    </i>
    <i>
      <x v="1383"/>
    </i>
    <i>
      <x v="1384"/>
    </i>
    <i>
      <x v="1385"/>
    </i>
    <i>
      <x v="1386"/>
    </i>
    <i>
      <x v="1387"/>
    </i>
    <i>
      <x v="1388"/>
    </i>
    <i>
      <x v="1389"/>
    </i>
    <i>
      <x v="1390"/>
    </i>
    <i>
      <x v="1391"/>
    </i>
    <i>
      <x v="1398"/>
    </i>
    <i>
      <x v="1399"/>
    </i>
    <i>
      <x v="1400"/>
    </i>
    <i>
      <x v="1401"/>
    </i>
    <i>
      <x v="1402"/>
    </i>
    <i>
      <x v="1403"/>
    </i>
    <i>
      <x v="1404"/>
    </i>
    <i>
      <x v="1405"/>
    </i>
    <i>
      <x v="1406"/>
    </i>
    <i>
      <x v="1409"/>
    </i>
    <i>
      <x v="1412"/>
    </i>
    <i>
      <x v="1414"/>
    </i>
    <i>
      <x v="1415"/>
    </i>
    <i>
      <x v="1417"/>
    </i>
    <i>
      <x v="1418"/>
    </i>
    <i>
      <x v="1419"/>
    </i>
    <i>
      <x v="1420"/>
    </i>
    <i>
      <x v="1421"/>
    </i>
    <i>
      <x v="1422"/>
    </i>
    <i>
      <x v="1423"/>
    </i>
    <i>
      <x v="1424"/>
    </i>
    <i>
      <x v="1425"/>
    </i>
    <i>
      <x v="1427"/>
    </i>
    <i>
      <x v="1429"/>
    </i>
    <i>
      <x v="1430"/>
    </i>
    <i>
      <x v="1431"/>
    </i>
    <i>
      <x v="1432"/>
    </i>
    <i>
      <x v="1434"/>
    </i>
    <i>
      <x v="1435"/>
    </i>
    <i>
      <x v="1436"/>
    </i>
    <i>
      <x v="1437"/>
    </i>
    <i>
      <x v="1438"/>
    </i>
    <i>
      <x v="1439"/>
    </i>
    <i>
      <x v="1440"/>
    </i>
    <i>
      <x v="1441"/>
    </i>
    <i>
      <x v="1442"/>
    </i>
    <i>
      <x v="1443"/>
    </i>
    <i>
      <x v="1444"/>
    </i>
    <i>
      <x v="1446"/>
    </i>
    <i>
      <x v="1447"/>
    </i>
    <i>
      <x v="1448"/>
    </i>
    <i>
      <x v="1449"/>
    </i>
    <i>
      <x v="1450"/>
    </i>
    <i>
      <x v="1451"/>
    </i>
    <i>
      <x v="1452"/>
    </i>
    <i>
      <x v="1453"/>
    </i>
    <i>
      <x v="1454"/>
    </i>
    <i>
      <x v="1455"/>
    </i>
    <i>
      <x v="1456"/>
    </i>
    <i>
      <x v="1457"/>
    </i>
    <i>
      <x v="1458"/>
    </i>
    <i>
      <x v="1459"/>
    </i>
    <i>
      <x v="1460"/>
    </i>
    <i>
      <x v="1461"/>
    </i>
    <i>
      <x v="1462"/>
    </i>
    <i>
      <x v="1463"/>
    </i>
    <i>
      <x v="1464"/>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5"/>
    </i>
    <i>
      <x v="1496"/>
    </i>
    <i>
      <x v="1497"/>
    </i>
    <i>
      <x v="1498"/>
    </i>
    <i>
      <x v="1499"/>
    </i>
    <i>
      <x v="1500"/>
    </i>
    <i>
      <x v="1501"/>
    </i>
    <i>
      <x v="1502"/>
    </i>
    <i>
      <x v="1503"/>
    </i>
    <i>
      <x v="1504"/>
    </i>
    <i>
      <x v="1505"/>
    </i>
    <i>
      <x v="1509"/>
    </i>
    <i>
      <x v="1510"/>
    </i>
    <i>
      <x v="1512"/>
    </i>
    <i>
      <x v="1513"/>
    </i>
    <i>
      <x v="1514"/>
    </i>
    <i>
      <x v="1515"/>
    </i>
    <i>
      <x v="1516"/>
    </i>
    <i>
      <x v="1517"/>
    </i>
    <i>
      <x v="1519"/>
    </i>
    <i>
      <x v="1520"/>
    </i>
    <i>
      <x v="1521"/>
    </i>
    <i>
      <x v="1522"/>
    </i>
    <i>
      <x v="1523"/>
    </i>
    <i>
      <x v="1524"/>
    </i>
    <i>
      <x v="1525"/>
    </i>
    <i>
      <x v="1526"/>
    </i>
    <i>
      <x v="1527"/>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9"/>
    </i>
    <i>
      <x v="1580"/>
    </i>
    <i>
      <x v="1581"/>
    </i>
    <i>
      <x v="1582"/>
    </i>
    <i>
      <x v="1583"/>
    </i>
    <i>
      <x v="1584"/>
    </i>
    <i>
      <x v="1587"/>
    </i>
    <i>
      <x v="1588"/>
    </i>
    <i>
      <x v="1589"/>
    </i>
    <i>
      <x v="1590"/>
    </i>
    <i>
      <x v="1591"/>
    </i>
    <i>
      <x v="1592"/>
    </i>
    <i>
      <x v="1593"/>
    </i>
    <i>
      <x v="1594"/>
    </i>
    <i>
      <x v="1595"/>
    </i>
    <i>
      <x v="1596"/>
    </i>
    <i>
      <x v="1597"/>
    </i>
    <i>
      <x v="1598"/>
    </i>
    <i>
      <x v="1599"/>
    </i>
    <i>
      <x v="1600"/>
    </i>
    <i>
      <x v="1602"/>
    </i>
    <i>
      <x v="1603"/>
    </i>
    <i>
      <x v="1605"/>
    </i>
    <i>
      <x v="1606"/>
    </i>
    <i>
      <x v="1607"/>
    </i>
    <i>
      <x v="1609"/>
    </i>
    <i>
      <x v="1610"/>
    </i>
    <i>
      <x v="1611"/>
    </i>
    <i>
      <x v="1612"/>
    </i>
    <i>
      <x v="1614"/>
    </i>
    <i>
      <x v="1616"/>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rowItems>
  <colItems count="1">
    <i/>
  </colItems>
  <pageFields count="1">
    <pageField fld="5" hier="-1"/>
  </pageFields>
  <formats count="1">
    <format dxfId="0">
      <pivotArea dataOnly="0" labelOnly="1" fieldPosition="0">
        <references count="1">
          <reference field="8" count="0"/>
        </references>
      </pivotArea>
    </format>
  </formats>
  <pivotTableStyleInfo name="PivotStyleMedium4"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_ESTOQUE" displayName="TAB_ESTOQUE" ref="A2:AD1612" totalsRowShown="0" headerRowDxfId="904" dataDxfId="903">
  <autoFilter ref="A2:AD1612" xr:uid="{00000000-0009-0000-0100-000001000000}"/>
  <sortState xmlns:xlrd2="http://schemas.microsoft.com/office/spreadsheetml/2017/richdata2" ref="A3:AD1612">
    <sortCondition ref="O2:O1612"/>
  </sortState>
  <tableColumns count="30">
    <tableColumn id="1" xr3:uid="{00000000-0010-0000-0000-000001000000}" name="Código" dataDxfId="902"/>
    <tableColumn id="27" xr3:uid="{00000000-0010-0000-0000-00001B000000}" name="STATUS" dataDxfId="901"/>
    <tableColumn id="30" xr3:uid="{00000000-0010-0000-0000-00001E000000}" name="Classificação (ABC)" dataDxfId="900"/>
    <tableColumn id="12" xr3:uid="{00000000-0010-0000-0000-00000C000000}" name="Codigo" dataDxfId="899"/>
    <tableColumn id="3" xr3:uid="{00000000-0010-0000-0000-000003000000}" name="Maquina" dataDxfId="898"/>
    <tableColumn id="29" xr3:uid="{00000000-0010-0000-0000-00001D000000}" name="Classificação" dataDxfId="897"/>
    <tableColumn id="4" xr3:uid="{00000000-0010-0000-0000-000004000000}" name="Colunas2" dataDxfId="896"/>
    <tableColumn id="5" xr3:uid="{00000000-0010-0000-0000-000005000000}" name="Colunas3" dataDxfId="895"/>
    <tableColumn id="6" xr3:uid="{00000000-0010-0000-0000-000006000000}" name="Descrição Tecnica" dataDxfId="894"/>
    <tableColumn id="7" xr3:uid="{00000000-0010-0000-0000-000007000000}" name="Referência Tec" dataDxfId="893"/>
    <tableColumn id="13" xr3:uid="{00000000-0010-0000-0000-00000D000000}" name="Fornecedor" dataDxfId="892"/>
    <tableColumn id="8" xr3:uid="{00000000-0010-0000-0000-000008000000}" name="Observação" dataDxfId="891"/>
    <tableColumn id="9" xr3:uid="{00000000-0010-0000-0000-000009000000}" name="Tipo" dataDxfId="890"/>
    <tableColumn id="10" xr3:uid="{00000000-0010-0000-0000-00000A000000}" name="Classe / Equipamento" dataDxfId="889"/>
    <tableColumn id="28" xr3:uid="{00000000-0010-0000-0000-00001C000000}" name="ENDEREÇO" dataDxfId="888"/>
    <tableColumn id="11" xr3:uid="{00000000-0010-0000-0000-00000B000000}" name="Endereço2" dataDxfId="887"/>
    <tableColumn id="22" xr3:uid="{00000000-0010-0000-0000-000016000000}" name="Estoque" dataDxfId="886">
      <calculatedColumnFormula>VLOOKUP(TAB_ESTOQUE[[#This Row],[Codigo]],TAB_ENTRADA[[Cod_2_Entrada]:[TOTAL_ENTRADA]],5,FALSE)-VLOOKUP(TAB_ESTOQUE[[#This Row],[Codigo]],TAB_SAIDA[[COD_2_SAIDA]:[TOTAL_SAIDA]],5,FALSE)</calculatedColumnFormula>
    </tableColumn>
    <tableColumn id="14" xr3:uid="{00000000-0010-0000-0000-00000E000000}" name="Mínimo" dataDxfId="885"/>
    <tableColumn id="15" xr3:uid="{00000000-0010-0000-0000-00000F000000}" name="Maximo" dataDxfId="884"/>
    <tableColumn id="24" xr3:uid="{00000000-0010-0000-0000-000018000000}" name="Valor Unitario Estimado" dataDxfId="883" dataCellStyle="Moeda"/>
    <tableColumn id="25" xr3:uid="{00000000-0010-0000-0000-000019000000}" name="Valor Total Estimado" dataDxfId="882" dataCellStyle="Moeda">
      <calculatedColumnFormula>TAB_ESTOQUE[[#This Row],[Valor Unitario Estimado]]*TAB_ESTOQUE[[#This Row],[Estoque]]</calculatedColumnFormula>
    </tableColumn>
    <tableColumn id="26" xr3:uid="{00000000-0010-0000-0000-00001A000000}" name="Valor total Investimento FO's" dataDxfId="881" dataCellStyle="Moeda"/>
    <tableColumn id="16" xr3:uid="{00000000-0010-0000-0000-000010000000}" name="Estoque Atual (18-4-19)" dataDxfId="880"/>
    <tableColumn id="17" xr3:uid="{00000000-0010-0000-0000-000011000000}" name="Entrada(R$)" dataDxfId="879"/>
    <tableColumn id="19" xr3:uid="{00000000-0010-0000-0000-000013000000}" name="Ser. Realizado" dataDxfId="878"/>
    <tableColumn id="2" xr3:uid="{00000000-0010-0000-0000-000002000000}" name="Numero Nf" dataDxfId="877"/>
    <tableColumn id="18" xr3:uid="{00000000-0010-0000-0000-000012000000}" name="Valor Ser." dataDxfId="876"/>
    <tableColumn id="20" xr3:uid="{00000000-0010-0000-0000-000014000000}" name="Status Nivel Estoque " dataDxfId="875">
      <calculatedColumnFormula>IF(TAB_ESTOQUE[[#This Row],[Estoque]]=0,"Estoque Não Conforme",IF(TAB_ESTOQUE[[#This Row],[Estoque]]&gt;=TAB_ESTOQUE[[#This Row],[Mínimo]],"Estoque Conforme",IF(TAB_ESTOQUE[[#This Row],[Estoque]]&lt;TAB_ESTOQUE[[#This Row],[Mínimo]],"Estoque em Nivel Minimo")))</calculatedColumnFormula>
    </tableColumn>
    <tableColumn id="23" xr3:uid="{00000000-0010-0000-0000-000017000000}" name="status de solicitação" dataDxfId="874"/>
    <tableColumn id="21" xr3:uid="{00000000-0010-0000-0000-000015000000}" name="Nr - FABBISOGNO'S" dataDxfId="873"/>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_SAIDA" displayName="TAB_SAIDA" ref="A2:XG1612" totalsRowShown="0" headerRowDxfId="872" dataDxfId="871">
  <autoFilter ref="A2:XG1612" xr:uid="{00000000-0009-0000-0100-000003000000}">
    <filterColumn colId="1">
      <filters>
        <filter val="AGULHA DA PISTOLA DE COLA GRACO 24A690 K19A"/>
        <filter val="CORPO PISTOLA VALCO MELTON 912XX231"/>
        <filter val="KIT DA PISTOLA MANUAL MD 05 HVLP"/>
        <filter val="KIT PISTOLA DE COLA TS-2007B-14 (MSD)"/>
        <filter val="KIT REPARO PISTOLA VALCO MELTON 988XX344"/>
        <filter val="MANIFOLD PARA PISTOLA GRACO 288217"/>
        <filter val="MANIFOLD PARA PISTOLA WARNING FLUDO 7BAR DEVIBILLS"/>
        <filter val="PISTOLA AUTOMATICA AIR PRO 1.4 GRACO PART NO. 24A749  SERIES B22A"/>
        <filter val="PISTOLA AUTOMATICA DE PINTURA PICCOLA MDS 80mm"/>
        <filter val="PISTOLA DE AR COMPRIMIDO PARA LIMPEZA COM BICO LATÃO"/>
        <filter val="PISTOLA DE COLA DO ROBO DEVIBILLS HVLP AUTO 1,0MM AG362-TE40-10-L"/>
        <filter val="PISTOLA DESMOLDANTE - PD10"/>
        <filter val="PISTOLA HOT MELT P/N: XP-401-RS"/>
        <filter val="PISTOLA MAKMELT MODELO:020002N"/>
        <filter val="PISTOLA VALCO MELTON  P/N 983XX198 VOLTS: 250 WATTS: 150"/>
      </filters>
    </filterColumn>
  </autoFilter>
  <tableColumns count="631">
    <tableColumn id="10" xr3:uid="{00000000-0010-0000-0100-00000A000000}" name="COD_2_SAIDA" dataDxfId="870"/>
    <tableColumn id="2" xr3:uid="{00000000-0010-0000-0100-000002000000}" name="Descrição Tecnica" dataDxfId="869">
      <calculatedColumnFormula>VLOOKUP(TAB_SAIDA[[#This Row],[COD_2_SAIDA]],TAB_ESTOQUE[[Codigo]:[Descrição Tecnica]],6,FALSE)</calculatedColumnFormula>
    </tableColumn>
    <tableColumn id="3" xr3:uid="{00000000-0010-0000-0100-000003000000}" name="Referência Tec" dataDxfId="868">
      <calculatedColumnFormula>IFERROR(VLOOKUP(TAB_SAIDA[[#This Row],[COD_2_SAIDA]],TAB_ESTOQUE[[Codigo]:[Referência Tec]],7,FALSE),"")</calculatedColumnFormula>
    </tableColumn>
    <tableColumn id="1" xr3:uid="{00000000-0010-0000-0100-000001000000}" name="Localizador" dataDxfId="867">
      <calculatedColumnFormula>VLOOKUP(TAB_SAIDA[[#This Row],[COD_2_SAIDA]],TAB_ESTOQUE[[Codigo]:[Endereço2]],12,FALSE)</calculatedColumnFormula>
    </tableColumn>
    <tableColumn id="5" xr3:uid="{00000000-0010-0000-0100-000005000000}" name="TOTAL_SAIDA" dataDxfId="866">
      <calculatedColumnFormula>SUM(TAB_SAIDA[[#This Row],[20/05/2019]:[00/00/00]])</calculatedColumnFormula>
    </tableColumn>
    <tableColumn id="4" xr3:uid="{00000000-0010-0000-0100-000004000000}" name="20/05/2019" dataDxfId="865"/>
    <tableColumn id="6" xr3:uid="{00000000-0010-0000-0100-000006000000}" name="21/05/2019" dataDxfId="864"/>
    <tableColumn id="7" xr3:uid="{00000000-0010-0000-0100-000007000000}" name="22/05/2019" dataDxfId="863"/>
    <tableColumn id="8" xr3:uid="{00000000-0010-0000-0100-000008000000}" name="23/05/2019" dataDxfId="862"/>
    <tableColumn id="9" xr3:uid="{00000000-0010-0000-0100-000009000000}" name="24/05/2019" dataDxfId="861"/>
    <tableColumn id="11" xr3:uid="{00000000-0010-0000-0100-00000B000000}" name="25/05/2019" dataDxfId="860"/>
    <tableColumn id="12" xr3:uid="{00000000-0010-0000-0100-00000C000000}" name="27/05/2019" dataDxfId="859"/>
    <tableColumn id="529" xr3:uid="{00000000-0010-0000-0100-000011020000}" name="28/05/2019" dataDxfId="858"/>
    <tableColumn id="13" xr3:uid="{00000000-0010-0000-0100-00000D000000}" name="29/05/2019" dataDxfId="857"/>
    <tableColumn id="14" xr3:uid="{00000000-0010-0000-0100-00000E000000}" name="30/05/2019" dataDxfId="856"/>
    <tableColumn id="15" xr3:uid="{00000000-0010-0000-0100-00000F000000}" name="31/05/2019" dataDxfId="855"/>
    <tableColumn id="16" xr3:uid="{00000000-0010-0000-0100-000010000000}" name="01/05/2019" dataDxfId="854"/>
    <tableColumn id="17" xr3:uid="{00000000-0010-0000-0100-000011000000}" name="02/05/2019" dataDxfId="853"/>
    <tableColumn id="116" xr3:uid="{00000000-0010-0000-0100-000074000000}" name="03/05/2019" dataDxfId="852"/>
    <tableColumn id="119" xr3:uid="{00000000-0010-0000-0100-000077000000}" name="04/06/2019" dataDxfId="851"/>
    <tableColumn id="18" xr3:uid="{00000000-0010-0000-0100-000012000000}" name="05/06/2019" dataDxfId="850"/>
    <tableColumn id="19" xr3:uid="{00000000-0010-0000-0100-000013000000}" name="06/06/2019" dataDxfId="849"/>
    <tableColumn id="20" xr3:uid="{00000000-0010-0000-0100-000014000000}" name="07/06/2019" dataDxfId="848"/>
    <tableColumn id="21" xr3:uid="{00000000-0010-0000-0100-000015000000}" name="08/06/2019" dataDxfId="847"/>
    <tableColumn id="22" xr3:uid="{00000000-0010-0000-0100-000016000000}" name="09/06/2019" dataDxfId="846"/>
    <tableColumn id="23" xr3:uid="{00000000-0010-0000-0100-000017000000}" name="10/06/2019" dataDxfId="845"/>
    <tableColumn id="24" xr3:uid="{00000000-0010-0000-0100-000018000000}" name="11/06/2019" dataDxfId="844"/>
    <tableColumn id="25" xr3:uid="{00000000-0010-0000-0100-000019000000}" name="12/06/2019" dataDxfId="843"/>
    <tableColumn id="26" xr3:uid="{00000000-0010-0000-0100-00001A000000}" name="13/06/2109" dataDxfId="842"/>
    <tableColumn id="27" xr3:uid="{00000000-0010-0000-0100-00001B000000}" name="14/06/2019" dataDxfId="841"/>
    <tableColumn id="28" xr3:uid="{00000000-0010-0000-0100-00001C000000}" name="15/06/2019" dataDxfId="840"/>
    <tableColumn id="29" xr3:uid="{00000000-0010-0000-0100-00001D000000}" name="17/06/2019" dataDxfId="839"/>
    <tableColumn id="30" xr3:uid="{00000000-0010-0000-0100-00001E000000}" name="18/06/2019" dataDxfId="838"/>
    <tableColumn id="31" xr3:uid="{00000000-0010-0000-0100-00001F000000}" name="19/06/2019" dataDxfId="837"/>
    <tableColumn id="32" xr3:uid="{00000000-0010-0000-0100-000020000000}" name="20/06/2019" dataDxfId="836"/>
    <tableColumn id="33" xr3:uid="{00000000-0010-0000-0100-000021000000}" name="21/06/2019" dataDxfId="835"/>
    <tableColumn id="34" xr3:uid="{00000000-0010-0000-0100-000022000000}" name="22/06/2019" dataDxfId="834"/>
    <tableColumn id="35" xr3:uid="{00000000-0010-0000-0100-000023000000}" name="25/06/2019" dataDxfId="833"/>
    <tableColumn id="36" xr3:uid="{00000000-0010-0000-0100-000024000000}" name="26/06/2019" dataDxfId="832"/>
    <tableColumn id="37" xr3:uid="{00000000-0010-0000-0100-000025000000}" name="27/06/2019" dataDxfId="831"/>
    <tableColumn id="38" xr3:uid="{00000000-0010-0000-0100-000026000000}" name="28/06/2019" dataDxfId="830"/>
    <tableColumn id="39" xr3:uid="{00000000-0010-0000-0100-000027000000}" name="01/07/2019" dataDxfId="829"/>
    <tableColumn id="40" xr3:uid="{00000000-0010-0000-0100-000028000000}" name="02/07/2019" dataDxfId="828"/>
    <tableColumn id="41" xr3:uid="{00000000-0010-0000-0100-000029000000}" name="03/07/2019" dataDxfId="827"/>
    <tableColumn id="118" xr3:uid="{00000000-0010-0000-0100-000076000000}" name="04/07/2019" dataDxfId="826"/>
    <tableColumn id="42" xr3:uid="{00000000-0010-0000-0100-00002A000000}" name="05/07/2019" dataDxfId="825"/>
    <tableColumn id="43" xr3:uid="{00000000-0010-0000-0100-00002B000000}" name="06/07/2019" dataDxfId="824"/>
    <tableColumn id="44" xr3:uid="{00000000-0010-0000-0100-00002C000000}" name="08/07/2019" dataDxfId="823"/>
    <tableColumn id="45" xr3:uid="{00000000-0010-0000-0100-00002D000000}" name="10/07/2019" dataDxfId="822"/>
    <tableColumn id="46" xr3:uid="{00000000-0010-0000-0100-00002E000000}" name="11/07/2019" dataDxfId="821"/>
    <tableColumn id="47" xr3:uid="{00000000-0010-0000-0100-00002F000000}" name="15/07/2019" dataDxfId="820"/>
    <tableColumn id="48" xr3:uid="{00000000-0010-0000-0100-000030000000}" name="16/07/2019" dataDxfId="819"/>
    <tableColumn id="49" xr3:uid="{00000000-0010-0000-0100-000031000000}" name="17/07/2019" dataDxfId="818"/>
    <tableColumn id="50" xr3:uid="{00000000-0010-0000-0100-000032000000}" name="20/07/2019" dataDxfId="817"/>
    <tableColumn id="117" xr3:uid="{00000000-0010-0000-0100-000075000000}" name="23/07/2021" dataDxfId="816"/>
    <tableColumn id="120" xr3:uid="{00000000-0010-0000-0100-000078000000}" name="24/07/2022" dataDxfId="815"/>
    <tableColumn id="121" xr3:uid="{00000000-0010-0000-0100-000079000000}" name="25/07/2019" dataDxfId="814"/>
    <tableColumn id="115" xr3:uid="{00000000-0010-0000-0100-000073000000}" name="26/07/2019" dataDxfId="813"/>
    <tableColumn id="51" xr3:uid="{00000000-0010-0000-0100-000033000000}" name="30/07/2019" dataDxfId="812"/>
    <tableColumn id="52" xr3:uid="{00000000-0010-0000-0100-000034000000}" name="31/07/2019" dataDxfId="811"/>
    <tableColumn id="53" xr3:uid="{00000000-0010-0000-0100-000035000000}" name="01/08/2019" dataDxfId="810"/>
    <tableColumn id="54" xr3:uid="{00000000-0010-0000-0100-000036000000}" name="02/08/2019" dataDxfId="809"/>
    <tableColumn id="55" xr3:uid="{00000000-0010-0000-0100-000037000000}" name="05/08/2019" dataDxfId="808"/>
    <tableColumn id="56" xr3:uid="{00000000-0010-0000-0100-000038000000}" name="07/08/2019" dataDxfId="807"/>
    <tableColumn id="57" xr3:uid="{00000000-0010-0000-0100-000039000000}" name="08/08/2019" dataDxfId="806"/>
    <tableColumn id="58" xr3:uid="{00000000-0010-0000-0100-00003A000000}" name="09/08/2019" dataDxfId="805"/>
    <tableColumn id="59" xr3:uid="{00000000-0010-0000-0100-00003B000000}" name="11/08/2019" dataDxfId="804"/>
    <tableColumn id="124" xr3:uid="{00000000-0010-0000-0100-00007C000000}" name="12/08/2019" dataDxfId="803"/>
    <tableColumn id="125" xr3:uid="{00000000-0010-0000-0100-00007D000000}" name="13/08/2019" dataDxfId="802"/>
    <tableColumn id="126" xr3:uid="{00000000-0010-0000-0100-00007E000000}" name="14/08/2019" dataDxfId="801"/>
    <tableColumn id="127" xr3:uid="{00000000-0010-0000-0100-00007F000000}" name="15/08/2019" dataDxfId="800"/>
    <tableColumn id="128" xr3:uid="{00000000-0010-0000-0100-000080000000}" name="16/08/2019" dataDxfId="799"/>
    <tableColumn id="129" xr3:uid="{00000000-0010-0000-0100-000081000000}" name="17/08/2019" dataDxfId="798"/>
    <tableColumn id="130" xr3:uid="{00000000-0010-0000-0100-000082000000}" name="19/08/2019" dataDxfId="797"/>
    <tableColumn id="60" xr3:uid="{00000000-0010-0000-0100-00003C000000}" name="20/08/2019" dataDxfId="796"/>
    <tableColumn id="61" xr3:uid="{00000000-0010-0000-0100-00003D000000}" name="22/08/2019" dataDxfId="795"/>
    <tableColumn id="62" xr3:uid="{00000000-0010-0000-0100-00003E000000}" name="23/08/2019" dataDxfId="794"/>
    <tableColumn id="63" xr3:uid="{00000000-0010-0000-0100-00003F000000}" name="25/08/2019" dataDxfId="793"/>
    <tableColumn id="64" xr3:uid="{00000000-0010-0000-0100-000040000000}" name="26/08/2019" dataDxfId="792"/>
    <tableColumn id="65" xr3:uid="{00000000-0010-0000-0100-000041000000}" name="27/08/2019" dataDxfId="791"/>
    <tableColumn id="66" xr3:uid="{00000000-0010-0000-0100-000042000000}" name="28/08/2019" dataDxfId="790"/>
    <tableColumn id="67" xr3:uid="{00000000-0010-0000-0100-000043000000}" name="29/08/2019" dataDxfId="789"/>
    <tableColumn id="68" xr3:uid="{00000000-0010-0000-0100-000044000000}" name="30/08/2019" dataDxfId="788"/>
    <tableColumn id="69" xr3:uid="{00000000-0010-0000-0100-000045000000}" name="01/09/2019" dataDxfId="787"/>
    <tableColumn id="70" xr3:uid="{00000000-0010-0000-0100-000046000000}" name="02/09/2019" dataDxfId="786"/>
    <tableColumn id="71" xr3:uid="{00000000-0010-0000-0100-000047000000}" name="03/09/2019" dataDxfId="785"/>
    <tableColumn id="72" xr3:uid="{00000000-0010-0000-0100-000048000000}" name="04/09/2019" dataDxfId="784"/>
    <tableColumn id="73" xr3:uid="{00000000-0010-0000-0100-000049000000}" name="05/09/2019" dataDxfId="783"/>
    <tableColumn id="74" xr3:uid="{00000000-0010-0000-0100-00004A000000}" name="06/09/2019" dataDxfId="782"/>
    <tableColumn id="75" xr3:uid="{00000000-0010-0000-0100-00004B000000}" name="07/09/2019" dataDxfId="781"/>
    <tableColumn id="76" xr3:uid="{00000000-0010-0000-0100-00004C000000}" name="08/09/2019" dataDxfId="780"/>
    <tableColumn id="77" xr3:uid="{00000000-0010-0000-0100-00004D000000}" name="09/09/2019" dataDxfId="779"/>
    <tableColumn id="78" xr3:uid="{00000000-0010-0000-0100-00004E000000}" name="10/09/2019" dataDxfId="778"/>
    <tableColumn id="79" xr3:uid="{00000000-0010-0000-0100-00004F000000}" name="11/09/2019" dataDxfId="777"/>
    <tableColumn id="80" xr3:uid="{00000000-0010-0000-0100-000050000000}" name="12/09/2019" dataDxfId="776"/>
    <tableColumn id="81" xr3:uid="{00000000-0010-0000-0100-000051000000}" name="13/09/2019" dataDxfId="775"/>
    <tableColumn id="82" xr3:uid="{00000000-0010-0000-0100-000052000000}" name="16/09/2019" dataDxfId="774"/>
    <tableColumn id="83" xr3:uid="{00000000-0010-0000-0100-000053000000}" name="17/09/2019" dataDxfId="773"/>
    <tableColumn id="84" xr3:uid="{00000000-0010-0000-0100-000054000000}" name="18/09/2019" dataDxfId="772"/>
    <tableColumn id="85" xr3:uid="{00000000-0010-0000-0100-000055000000}" name="19/09/2019" dataDxfId="771"/>
    <tableColumn id="86" xr3:uid="{00000000-0010-0000-0100-000056000000}" name="20/09/2019" dataDxfId="770"/>
    <tableColumn id="87" xr3:uid="{00000000-0010-0000-0100-000057000000}" name="23/09/2019" dataDxfId="769"/>
    <tableColumn id="88" xr3:uid="{00000000-0010-0000-0100-000058000000}" name="24/09/2019" dataDxfId="768"/>
    <tableColumn id="89" xr3:uid="{00000000-0010-0000-0100-000059000000}" name="26/09/2019" dataDxfId="767"/>
    <tableColumn id="90" xr3:uid="{00000000-0010-0000-0100-00005A000000}" name="27/09/2019" dataDxfId="766"/>
    <tableColumn id="91" xr3:uid="{00000000-0010-0000-0100-00005B000000}" name="28/09/2019" dataDxfId="765"/>
    <tableColumn id="92" xr3:uid="{00000000-0010-0000-0100-00005C000000}" name="30/set" dataDxfId="764"/>
    <tableColumn id="93" xr3:uid="{00000000-0010-0000-0100-00005D000000}" name="01/out" dataDxfId="763"/>
    <tableColumn id="122" xr3:uid="{00000000-0010-0000-0100-00007A000000}" name="02/out" dataDxfId="762"/>
    <tableColumn id="123" xr3:uid="{00000000-0010-0000-0100-00007B000000}" name="03/out" dataDxfId="761"/>
    <tableColumn id="131" xr3:uid="{00000000-0010-0000-0100-000083000000}" name="08/out" dataDxfId="760"/>
    <tableColumn id="132" xr3:uid="{00000000-0010-0000-0100-000084000000}" name="09/out" dataDxfId="759"/>
    <tableColumn id="133" xr3:uid="{00000000-0010-0000-0100-000085000000}" name="10/out" dataDxfId="758"/>
    <tableColumn id="134" xr3:uid="{00000000-0010-0000-0100-000086000000}" name="11/10/2019" dataDxfId="757"/>
    <tableColumn id="94" xr3:uid="{00000000-0010-0000-0100-00005E000000}" name="14/10/2019" dataDxfId="756"/>
    <tableColumn id="95" xr3:uid="{00000000-0010-0000-0100-00005F000000}" name="15/10/2019" dataDxfId="755"/>
    <tableColumn id="96" xr3:uid="{00000000-0010-0000-0100-000060000000}" name="16/10/2019" dataDxfId="754"/>
    <tableColumn id="97" xr3:uid="{00000000-0010-0000-0100-000061000000}" name="18/10/2019" dataDxfId="753"/>
    <tableColumn id="98" xr3:uid="{00000000-0010-0000-0100-000062000000}" name="19/10/2019" dataDxfId="752"/>
    <tableColumn id="99" xr3:uid="{00000000-0010-0000-0100-000063000000}" name="31/10/2019" dataDxfId="751"/>
    <tableColumn id="100" xr3:uid="{00000000-0010-0000-0100-000064000000}" name="05/11/2019" dataDxfId="750"/>
    <tableColumn id="101" xr3:uid="{00000000-0010-0000-0100-000065000000}" name="14/11/2019" dataDxfId="749"/>
    <tableColumn id="135" xr3:uid="{00000000-0010-0000-0100-000087000000}" name="15/11/2019" dataDxfId="748"/>
    <tableColumn id="136" xr3:uid="{00000000-0010-0000-0100-000088000000}" name="19/11/2019" dataDxfId="747"/>
    <tableColumn id="137" xr3:uid="{00000000-0010-0000-0100-000089000000}" name="20/11/2019" dataDxfId="746"/>
    <tableColumn id="102" xr3:uid="{00000000-0010-0000-0100-000066000000}" name="23/11/2019" dataDxfId="745"/>
    <tableColumn id="103" xr3:uid="{00000000-0010-0000-0100-000067000000}" name="25/11/2019" dataDxfId="744"/>
    <tableColumn id="104" xr3:uid="{00000000-0010-0000-0100-000068000000}" name="26/11/2019" dataDxfId="743"/>
    <tableColumn id="105" xr3:uid="{00000000-0010-0000-0100-000069000000}" name="29/11/2019" dataDxfId="742"/>
    <tableColumn id="106" xr3:uid="{00000000-0010-0000-0100-00006A000000}" name="30/11/2019" dataDxfId="741"/>
    <tableColumn id="107" xr3:uid="{00000000-0010-0000-0100-00006B000000}" name="02/12/2019" dataDxfId="740"/>
    <tableColumn id="108" xr3:uid="{00000000-0010-0000-0100-00006C000000}" name="03/12/2019" dataDxfId="739"/>
    <tableColumn id="109" xr3:uid="{00000000-0010-0000-0100-00006D000000}" name="04/12/2019" dataDxfId="738"/>
    <tableColumn id="110" xr3:uid="{00000000-0010-0000-0100-00006E000000}" name="05/12/2019" dataDxfId="737"/>
    <tableColumn id="111" xr3:uid="{00000000-0010-0000-0100-00006F000000}" name="06/12/2019" dataDxfId="736"/>
    <tableColumn id="138" xr3:uid="{00000000-0010-0000-0100-00008A000000}" name="07/12/2019" dataDxfId="735"/>
    <tableColumn id="112" xr3:uid="{00000000-0010-0000-0100-000070000000}" name="09/12/2019" dataDxfId="734"/>
    <tableColumn id="113" xr3:uid="{00000000-0010-0000-0100-000071000000}" name="10/12/2019" dataDxfId="733"/>
    <tableColumn id="139" xr3:uid="{00000000-0010-0000-0100-00008B000000}" name="11/12/2019" dataDxfId="732"/>
    <tableColumn id="140" xr3:uid="{00000000-0010-0000-0100-00008C000000}" name="12/12/2019" dataDxfId="731"/>
    <tableColumn id="141" xr3:uid="{00000000-0010-0000-0100-00008D000000}" name="14/12/2019" dataDxfId="730"/>
    <tableColumn id="142" xr3:uid="{00000000-0010-0000-0100-00008E000000}" name="16/12/2019" dataDxfId="729"/>
    <tableColumn id="143" xr3:uid="{00000000-0010-0000-0100-00008F000000}" name="18/12/2019" dataDxfId="728"/>
    <tableColumn id="144" xr3:uid="{00000000-0010-0000-0100-000090000000}" name="20/12/2019" dataDxfId="727"/>
    <tableColumn id="145" xr3:uid="{00000000-0010-0000-0100-000091000000}" name="30/01/2020" dataDxfId="726"/>
    <tableColumn id="146" xr3:uid="{00000000-0010-0000-0100-000092000000}" name="04/02/2020" dataDxfId="725"/>
    <tableColumn id="150" xr3:uid="{00000000-0010-0000-0100-000096000000}" name="05/02/2020" dataDxfId="724"/>
    <tableColumn id="151" xr3:uid="{00000000-0010-0000-0100-000097000000}" name="06/02/2020" dataDxfId="723"/>
    <tableColumn id="152" xr3:uid="{00000000-0010-0000-0100-000098000000}" name="07/02/2020" dataDxfId="722"/>
    <tableColumn id="153" xr3:uid="{00000000-0010-0000-0100-000099000000}" name="08/02/2020" dataDxfId="721"/>
    <tableColumn id="154" xr3:uid="{00000000-0010-0000-0100-00009A000000}" name="09/02/20202" dataDxfId="720"/>
    <tableColumn id="147" xr3:uid="{00000000-0010-0000-0100-000093000000}" name="10/02/2020" dataDxfId="719"/>
    <tableColumn id="148" xr3:uid="{00000000-0010-0000-0100-000094000000}" name="11/02/2020" dataDxfId="718"/>
    <tableColumn id="155" xr3:uid="{00000000-0010-0000-0100-00009B000000}" name="13/02/2020" dataDxfId="717"/>
    <tableColumn id="149" xr3:uid="{00000000-0010-0000-0100-000095000000}" name="14/02/2020" dataDxfId="716"/>
    <tableColumn id="156" xr3:uid="{00000000-0010-0000-0100-00009C000000}" name="15/02/2020" dataDxfId="715"/>
    <tableColumn id="161" xr3:uid="{00000000-0010-0000-0100-0000A1000000}" name="16/02/2020" dataDxfId="714"/>
    <tableColumn id="157" xr3:uid="{00000000-0010-0000-0100-00009D000000}" name="17/02/2020" dataDxfId="713"/>
    <tableColumn id="158" xr3:uid="{00000000-0010-0000-0100-00009E000000}" name="18/02/2020" dataDxfId="712"/>
    <tableColumn id="159" xr3:uid="{00000000-0010-0000-0100-00009F000000}" name="19/02/2020" dataDxfId="711"/>
    <tableColumn id="173" xr3:uid="{00000000-0010-0000-0100-0000AD000000}" name="20/02/2020" dataDxfId="710"/>
    <tableColumn id="174" xr3:uid="{00000000-0010-0000-0100-0000AE000000}" name="21/02/2020" dataDxfId="709"/>
    <tableColumn id="175" xr3:uid="{00000000-0010-0000-0100-0000AF000000}" name="22/02/2020" dataDxfId="708"/>
    <tableColumn id="176" xr3:uid="{00000000-0010-0000-0100-0000B0000000}" name="05/03/2020" dataDxfId="707"/>
    <tableColumn id="177" xr3:uid="{00000000-0010-0000-0100-0000B1000000}" name="06/03/2020" dataDxfId="706"/>
    <tableColumn id="114" xr3:uid="{00000000-0010-0000-0100-000072000000}" name="07/03/2020" dataDxfId="705"/>
    <tableColumn id="179" xr3:uid="{00000000-0010-0000-0100-0000B3000000}" name="08/03/2020" dataDxfId="704"/>
    <tableColumn id="162" xr3:uid="{00000000-0010-0000-0100-0000A2000000}" name="09/03/2020" dataDxfId="703"/>
    <tableColumn id="160" xr3:uid="{00000000-0010-0000-0100-0000A0000000}" name="10/03/2020" dataDxfId="702"/>
    <tableColumn id="165" xr3:uid="{00000000-0010-0000-0100-0000A5000000}" name="11/03/2020" dataDxfId="701"/>
    <tableColumn id="167" xr3:uid="{00000000-0010-0000-0100-0000A7000000}" name="12/03/2020" dataDxfId="700"/>
    <tableColumn id="169" xr3:uid="{00000000-0010-0000-0100-0000A9000000}" name="13/03/2020" dataDxfId="699"/>
    <tableColumn id="170" xr3:uid="{00000000-0010-0000-0100-0000AA000000}" name="14/03/2020" dataDxfId="698"/>
    <tableColumn id="171" xr3:uid="{00000000-0010-0000-0100-0000AB000000}" name="16/03/2020" dataDxfId="697"/>
    <tableColumn id="180" xr3:uid="{00000000-0010-0000-0100-0000B4000000}" name="18/03/2020" dataDxfId="696"/>
    <tableColumn id="181" xr3:uid="{00000000-0010-0000-0100-0000B5000000}" name="19/03/2020" dataDxfId="695"/>
    <tableColumn id="182" xr3:uid="{00000000-0010-0000-0100-0000B6000000}" name="23/03/2020" dataDxfId="694"/>
    <tableColumn id="183" xr3:uid="{00000000-0010-0000-0100-0000B7000000}" name="24/03/2020" dataDxfId="693"/>
    <tableColumn id="172" xr3:uid="{00000000-0010-0000-0100-0000AC000000}" name="08/04/2020" dataDxfId="692"/>
    <tableColumn id="184" xr3:uid="{00000000-0010-0000-0100-0000B8000000}" name="09/04/2020" dataDxfId="691"/>
    <tableColumn id="163" xr3:uid="{00000000-0010-0000-0100-0000A3000000}" name="23/04/2020" dataDxfId="690"/>
    <tableColumn id="442" xr3:uid="{00000000-0010-0000-0100-0000BA010000}" name="24/04/2020" dataDxfId="689"/>
    <tableColumn id="185" xr3:uid="{00000000-0010-0000-0100-0000B9000000}" name="27/04/2020" dataDxfId="688"/>
    <tableColumn id="164" xr3:uid="{00000000-0010-0000-0100-0000A4000000}" name="05/05/2020" dataDxfId="687"/>
    <tableColumn id="187" xr3:uid="{00000000-0010-0000-0100-0000BB000000}" name="08/05/2020" dataDxfId="686"/>
    <tableColumn id="188" xr3:uid="{00000000-0010-0000-0100-0000BC000000}" name="12/05/2020" dataDxfId="685"/>
    <tableColumn id="189" xr3:uid="{00000000-0010-0000-0100-0000BD000000}" name="13/05/2020" dataDxfId="684"/>
    <tableColumn id="190" xr3:uid="{00000000-0010-0000-0100-0000BE000000}" name="14/05/2020" dataDxfId="683"/>
    <tableColumn id="191" xr3:uid="{00000000-0010-0000-0100-0000BF000000}" name="18/05/2020" dataDxfId="682"/>
    <tableColumn id="192" xr3:uid="{00000000-0010-0000-0100-0000C0000000}" name="25/05/2020" dataDxfId="681"/>
    <tableColumn id="193" xr3:uid="{00000000-0010-0000-0100-0000C1000000}" name="27/05/2020" dataDxfId="680"/>
    <tableColumn id="166" xr3:uid="{00000000-0010-0000-0100-0000A6000000}" name="03/06/2020" dataDxfId="679"/>
    <tableColumn id="168" xr3:uid="{00000000-0010-0000-0100-0000A8000000}" name="04/06/2020" dataDxfId="678"/>
    <tableColumn id="197" xr3:uid="{00000000-0010-0000-0100-0000C5000000}" name="05/06/2020" dataDxfId="677"/>
    <tableColumn id="199" xr3:uid="{00000000-0010-0000-0100-0000C7000000}" name="08/06/2020" dataDxfId="676"/>
    <tableColumn id="200" xr3:uid="{00000000-0010-0000-0100-0000C8000000}" name="10/06/2020" dataDxfId="675"/>
    <tableColumn id="201" xr3:uid="{00000000-0010-0000-0100-0000C9000000}" name="12/06/2020" dataDxfId="674"/>
    <tableColumn id="202" xr3:uid="{00000000-0010-0000-0100-0000CA000000}" name="15/06/2020" dataDxfId="673"/>
    <tableColumn id="203" xr3:uid="{00000000-0010-0000-0100-0000CB000000}" name="16/06/2020" dataDxfId="672"/>
    <tableColumn id="204" xr3:uid="{00000000-0010-0000-0100-0000CC000000}" name="17/06/2020" dataDxfId="671"/>
    <tableColumn id="205" xr3:uid="{00000000-0010-0000-0100-0000CD000000}" name="18/06/2020" dataDxfId="670"/>
    <tableColumn id="212" xr3:uid="{00000000-0010-0000-0100-0000D4000000}" name="19/06/2020" dataDxfId="669"/>
    <tableColumn id="206" xr3:uid="{00000000-0010-0000-0100-0000CE000000}" name="22/06/2020" dataDxfId="668"/>
    <tableColumn id="186" xr3:uid="{00000000-0010-0000-0100-0000BA000000}" name="26/06/2020" dataDxfId="667"/>
    <tableColumn id="207" xr3:uid="{00000000-0010-0000-0100-0000CF000000}" name="27/06/2020" dataDxfId="666"/>
    <tableColumn id="208" xr3:uid="{00000000-0010-0000-0100-0000D0000000}" name="29/06/2020" dataDxfId="665"/>
    <tableColumn id="209" xr3:uid="{00000000-0010-0000-0100-0000D1000000}" name="01/07/2020" dataDxfId="664"/>
    <tableColumn id="210" xr3:uid="{00000000-0010-0000-0100-0000D2000000}" name="02/07/2020" dataDxfId="663"/>
    <tableColumn id="194" xr3:uid="{00000000-0010-0000-0100-0000C2000000}" name="06/07/2020" dataDxfId="662"/>
    <tableColumn id="196" xr3:uid="{00000000-0010-0000-0100-0000C4000000}" name="07/07/2020" dataDxfId="661"/>
    <tableColumn id="195" xr3:uid="{00000000-0010-0000-0100-0000C3000000}" name="08/07/2020" dataDxfId="660"/>
    <tableColumn id="211" xr3:uid="{00000000-0010-0000-0100-0000D3000000}" name="13/07/2020" dataDxfId="659"/>
    <tableColumn id="214" xr3:uid="{00000000-0010-0000-0100-0000D6000000}" name="14/07/2020" dataDxfId="658"/>
    <tableColumn id="215" xr3:uid="{00000000-0010-0000-0100-0000D7000000}" name="15/07/2020" dataDxfId="657"/>
    <tableColumn id="216" xr3:uid="{00000000-0010-0000-0100-0000D8000000}" name="16/07/2020" dataDxfId="656"/>
    <tableColumn id="213" xr3:uid="{00000000-0010-0000-0100-0000D5000000}" name="20/07/2020" dataDxfId="655"/>
    <tableColumn id="217" xr3:uid="{00000000-0010-0000-0100-0000D9000000}" name="21/07/2020" dataDxfId="654"/>
    <tableColumn id="218" xr3:uid="{00000000-0010-0000-0100-0000DA000000}" name="22/07/2020" dataDxfId="653"/>
    <tableColumn id="219" xr3:uid="{00000000-0010-0000-0100-0000DB000000}" name="23/07/2020" dataDxfId="652"/>
    <tableColumn id="220" xr3:uid="{00000000-0010-0000-0100-0000DC000000}" name="27/07/2020" dataDxfId="651"/>
    <tableColumn id="221" xr3:uid="{00000000-0010-0000-0100-0000DD000000}" name="28/07/2020" dataDxfId="650"/>
    <tableColumn id="222" xr3:uid="{00000000-0010-0000-0100-0000DE000000}" name="29/07/2020" dataDxfId="649"/>
    <tableColumn id="223" xr3:uid="{00000000-0010-0000-0100-0000DF000000}" name="30/07/2020" dataDxfId="648"/>
    <tableColumn id="224" xr3:uid="{00000000-0010-0000-0100-0000E0000000}" name="02/08/2020" dataDxfId="647"/>
    <tableColumn id="178" xr3:uid="{00000000-0010-0000-0100-0000B2000000}" name="03/08/2020" dataDxfId="646"/>
    <tableColumn id="234" xr3:uid="{00000000-0010-0000-0100-0000EA000000}" name="04/08/2020" dataDxfId="645"/>
    <tableColumn id="233" xr3:uid="{00000000-0010-0000-0100-0000E9000000}" name="05/08/2020" dataDxfId="644"/>
    <tableColumn id="232" xr3:uid="{00000000-0010-0000-0100-0000E8000000}" name="06/08/2020" dataDxfId="643"/>
    <tableColumn id="231" xr3:uid="{00000000-0010-0000-0100-0000E7000000}" name="07/08/2020" dataDxfId="642"/>
    <tableColumn id="230" xr3:uid="{00000000-0010-0000-0100-0000E6000000}" name="08/08/2020" dataDxfId="641"/>
    <tableColumn id="229" xr3:uid="{00000000-0010-0000-0100-0000E5000000}" name="09/08/2020" dataDxfId="640"/>
    <tableColumn id="228" xr3:uid="{00000000-0010-0000-0100-0000E4000000}" name="10/08/2020" dataDxfId="639"/>
    <tableColumn id="227" xr3:uid="{00000000-0010-0000-0100-0000E3000000}" name="11/08/2020" dataDxfId="638"/>
    <tableColumn id="226" xr3:uid="{00000000-0010-0000-0100-0000E2000000}" name="12/08/2020" dataDxfId="637"/>
    <tableColumn id="225" xr3:uid="{00000000-0010-0000-0100-0000E1000000}" name="13/08/2020" dataDxfId="636"/>
    <tableColumn id="198" xr3:uid="{00000000-0010-0000-0100-0000C6000000}" name="14/08/2020" dataDxfId="635"/>
    <tableColumn id="236" xr3:uid="{00000000-0010-0000-0100-0000EC000000}" name="15/08/2020" dataDxfId="634"/>
    <tableColumn id="235" xr3:uid="{00000000-0010-0000-0100-0000EB000000}" name="17/08/2020" dataDxfId="633"/>
    <tableColumn id="237" xr3:uid="{00000000-0010-0000-0100-0000ED000000}" name="19/08/2020" dataDxfId="632"/>
    <tableColumn id="240" xr3:uid="{00000000-0010-0000-0100-0000F0000000}" name="21/08/2020" dataDxfId="631"/>
    <tableColumn id="239" xr3:uid="{00000000-0010-0000-0100-0000EF000000}" name="22/08/2020" dataDxfId="630"/>
    <tableColumn id="241" xr3:uid="{00000000-0010-0000-0100-0000F1000000}" name="25/08/2020" dataDxfId="629"/>
    <tableColumn id="242" xr3:uid="{00000000-0010-0000-0100-0000F2000000}" name="28/08/2020" dataDxfId="628"/>
    <tableColumn id="243" xr3:uid="{00000000-0010-0000-0100-0000F3000000}" name="02/09/2020" dataDxfId="627"/>
    <tableColumn id="244" xr3:uid="{00000000-0010-0000-0100-0000F4000000}" name="04/09/2020" dataDxfId="626"/>
    <tableColumn id="247" xr3:uid="{00000000-0010-0000-0100-0000F7000000}" name="07/09/2020" dataDxfId="625"/>
    <tableColumn id="248" xr3:uid="{00000000-0010-0000-0100-0000F8000000}" name="09/09/2020" dataDxfId="624"/>
    <tableColumn id="249" xr3:uid="{00000000-0010-0000-0100-0000F9000000}" name="10/09/2020" dataDxfId="623"/>
    <tableColumn id="250" xr3:uid="{00000000-0010-0000-0100-0000FA000000}" name="11/09/2020" dataDxfId="622"/>
    <tableColumn id="251" xr3:uid="{00000000-0010-0000-0100-0000FB000000}" name="18/09/2020" dataDxfId="621"/>
    <tableColumn id="252" xr3:uid="{00000000-0010-0000-0100-0000FC000000}" name="21/09/2020" dataDxfId="620"/>
    <tableColumn id="246" xr3:uid="{00000000-0010-0000-0100-0000F6000000}" name="23/09/2020" dataDxfId="619"/>
    <tableColumn id="238" xr3:uid="{00000000-0010-0000-0100-0000EE000000}" name="25/09/2020" dataDxfId="618"/>
    <tableColumn id="253" xr3:uid="{00000000-0010-0000-0100-0000FD000000}" name="29/09/2020" dataDxfId="617"/>
    <tableColumn id="254" xr3:uid="{00000000-0010-0000-0100-0000FE000000}" name="01/10/2020" dataDxfId="616"/>
    <tableColumn id="245" xr3:uid="{00000000-0010-0000-0100-0000F5000000}" name="02/10/2020" dataDxfId="615"/>
    <tableColumn id="257" xr3:uid="{00000000-0010-0000-0100-000001010000}" name="05/10/2020" dataDxfId="614"/>
    <tableColumn id="259" xr3:uid="{00000000-0010-0000-0100-000003010000}" name="06/10/2020" dataDxfId="613"/>
    <tableColumn id="263" xr3:uid="{00000000-0010-0000-0100-000007010000}" name="07/10/2020" dataDxfId="612"/>
    <tableColumn id="265" xr3:uid="{00000000-0010-0000-0100-000009010000}" name="08/10/2020" dataDxfId="611"/>
    <tableColumn id="264" xr3:uid="{00000000-0010-0000-0100-000008010000}" name="09/10/2020" dataDxfId="610"/>
    <tableColumn id="262" xr3:uid="{00000000-0010-0000-0100-000006010000}" name="10/10/2020" dataDxfId="609"/>
    <tableColumn id="258" xr3:uid="{00000000-0010-0000-0100-000002010000}" name="13/10/2020" dataDxfId="608"/>
    <tableColumn id="256" xr3:uid="{00000000-0010-0000-0100-000000010000}" name="14/10/2020" dataDxfId="607"/>
    <tableColumn id="260" xr3:uid="{00000000-0010-0000-0100-000004010000}" name="15/10/2020" dataDxfId="606"/>
    <tableColumn id="269" xr3:uid="{00000000-0010-0000-0100-00000D010000}" name="16/10/2020" dataDxfId="605"/>
    <tableColumn id="270" xr3:uid="{00000000-0010-0000-0100-00000E010000}" name="20/10/2020" dataDxfId="604"/>
    <tableColumn id="271" xr3:uid="{00000000-0010-0000-0100-00000F010000}" name="25/10/2020" dataDxfId="603"/>
    <tableColumn id="272" xr3:uid="{00000000-0010-0000-0100-000010010000}" name="27/10/2020" dataDxfId="602"/>
    <tableColumn id="273" xr3:uid="{00000000-0010-0000-0100-000011010000}" name="28/10/2020" dataDxfId="601"/>
    <tableColumn id="274" xr3:uid="{00000000-0010-0000-0100-000012010000}" name="29/10/2020" dataDxfId="600"/>
    <tableColumn id="261" xr3:uid="{00000000-0010-0000-0100-000005010000}" name="30/10/2020" dataDxfId="599"/>
    <tableColumn id="267" xr3:uid="{00000000-0010-0000-0100-00000B010000}" name="02/11/2020" dataDxfId="598"/>
    <tableColumn id="268" xr3:uid="{00000000-0010-0000-0100-00000C010000}" name="04/11/2020" dataDxfId="597"/>
    <tableColumn id="255" xr3:uid="{00000000-0010-0000-0100-0000FF000000}" name="05/11/2020" dataDxfId="596"/>
    <tableColumn id="275" xr3:uid="{00000000-0010-0000-0100-000013010000}" name="06/11/2020" dataDxfId="595"/>
    <tableColumn id="276" xr3:uid="{00000000-0010-0000-0100-000014010000}" name="07/11/2020" dataDxfId="594"/>
    <tableColumn id="277" xr3:uid="{00000000-0010-0000-0100-000015010000}" name="09/11/2020" dataDxfId="593"/>
    <tableColumn id="278" xr3:uid="{00000000-0010-0000-0100-000016010000}" name="10/11/2020" dataDxfId="592"/>
    <tableColumn id="279" xr3:uid="{00000000-0010-0000-0100-000017010000}" name="11/11/2020" dataDxfId="591"/>
    <tableColumn id="280" xr3:uid="{00000000-0010-0000-0100-000018010000}" name="12/11/2020" dataDxfId="590"/>
    <tableColumn id="281" xr3:uid="{00000000-0010-0000-0100-000019010000}" name="13/11/2020" dataDxfId="589"/>
    <tableColumn id="266" xr3:uid="{00000000-0010-0000-0100-00000A010000}" name="14/11/2020" dataDxfId="588"/>
    <tableColumn id="283" xr3:uid="{00000000-0010-0000-0100-00001B010000}" name="16/11/2020" dataDxfId="587"/>
    <tableColumn id="284" xr3:uid="{00000000-0010-0000-0100-00001C010000}" name="17/11/2020" dataDxfId="586"/>
    <tableColumn id="285" xr3:uid="{00000000-0010-0000-0100-00001D010000}" name="18/11/2020" dataDxfId="585"/>
    <tableColumn id="286" xr3:uid="{00000000-0010-0000-0100-00001E010000}" name="19/11/2020" dataDxfId="584"/>
    <tableColumn id="287" xr3:uid="{00000000-0010-0000-0100-00001F010000}" name="20/11/2020" dataDxfId="583"/>
    <tableColumn id="288" xr3:uid="{00000000-0010-0000-0100-000020010000}" name="21/11/2020" dataDxfId="582"/>
    <tableColumn id="289" xr3:uid="{00000000-0010-0000-0100-000021010000}" name="21/11/2021" dataDxfId="581"/>
    <tableColumn id="290" xr3:uid="{00000000-0010-0000-0100-000022010000}" name="26/11/2020" dataDxfId="580"/>
    <tableColumn id="321" xr3:uid="{00000000-0010-0000-0100-000041010000}" name="27/11/2020" dataDxfId="579"/>
    <tableColumn id="291" xr3:uid="{00000000-0010-0000-0100-000023010000}" name="01/12/2020" dataDxfId="578"/>
    <tableColumn id="292" xr3:uid="{00000000-0010-0000-0100-000024010000}" name="02/12/2020" dataDxfId="577"/>
    <tableColumn id="294" xr3:uid="{00000000-0010-0000-0100-000026010000}" name="03/12/2020" dataDxfId="576"/>
    <tableColumn id="296" xr3:uid="{00000000-0010-0000-0100-000028010000}" name="05/12/2020" dataDxfId="575"/>
    <tableColumn id="297" xr3:uid="{00000000-0010-0000-0100-000029010000}" name="08/12/2020" dataDxfId="574"/>
    <tableColumn id="298" xr3:uid="{00000000-0010-0000-0100-00002A010000}" name="09/12/2020" dataDxfId="573"/>
    <tableColumn id="299" xr3:uid="{00000000-0010-0000-0100-00002B010000}" name="10/12/2020" dataDxfId="572"/>
    <tableColumn id="300" xr3:uid="{00000000-0010-0000-0100-00002C010000}" name="11/12/2020" dataDxfId="571"/>
    <tableColumn id="301" xr3:uid="{00000000-0010-0000-0100-00002D010000}" name="12/12/2020" dataDxfId="570"/>
    <tableColumn id="302" xr3:uid="{00000000-0010-0000-0100-00002E010000}" name="13/12/2020" dataDxfId="569"/>
    <tableColumn id="319" xr3:uid="{00000000-0010-0000-0100-00003F010000}" name="14/12/2020" dataDxfId="568"/>
    <tableColumn id="337" xr3:uid="{00000000-0010-0000-0100-000051010000}" name="15/12/2020" dataDxfId="567"/>
    <tableColumn id="303" xr3:uid="{00000000-0010-0000-0100-00002F010000}" name="16/12/2020" dataDxfId="566"/>
    <tableColumn id="304" xr3:uid="{00000000-0010-0000-0100-000030010000}" name="18/12/2020" dataDxfId="565"/>
    <tableColumn id="305" xr3:uid="{00000000-0010-0000-0100-000031010000}" name="19/12/2020" dataDxfId="564"/>
    <tableColumn id="306" xr3:uid="{00000000-0010-0000-0100-000032010000}" name="20/12/2020" dataDxfId="563"/>
    <tableColumn id="307" xr3:uid="{00000000-0010-0000-0100-000033010000}" name="21/12/2020" dataDxfId="562"/>
    <tableColumn id="308" xr3:uid="{00000000-0010-0000-0100-000034010000}" name="28/12/2020" dataDxfId="561"/>
    <tableColumn id="309" xr3:uid="{00000000-0010-0000-0100-000035010000}" name="29/12/2020" dataDxfId="560"/>
    <tableColumn id="310" xr3:uid="{00000000-0010-0000-0100-000036010000}" name="30/12/2020" dataDxfId="559"/>
    <tableColumn id="312" xr3:uid="{00000000-0010-0000-0100-000038010000}" name="02/01/2021" dataDxfId="558"/>
    <tableColumn id="311" xr3:uid="{00000000-0010-0000-0100-000037010000}" name="03/01/2021" dataDxfId="557"/>
    <tableColumn id="316" xr3:uid="{00000000-0010-0000-0100-00003C010000}" name="05/01/2021" dataDxfId="556"/>
    <tableColumn id="317" xr3:uid="{00000000-0010-0000-0100-00003D010000}" name="07/01/2021" dataDxfId="555"/>
    <tableColumn id="334" xr3:uid="{00000000-0010-0000-0100-00004E010000}" name="08/01/2021" dataDxfId="554"/>
    <tableColumn id="335" xr3:uid="{00000000-0010-0000-0100-00004F010000}" name="09/01/2021" dataDxfId="553"/>
    <tableColumn id="313" xr3:uid="{00000000-0010-0000-0100-000039010000}" name="11/01/2021" dataDxfId="552"/>
    <tableColumn id="324" xr3:uid="{00000000-0010-0000-0100-000044010000}" name="14/01/20212" dataDxfId="551"/>
    <tableColumn id="314" xr3:uid="{00000000-0010-0000-0100-00003A010000}" name="15/01/2021" dataDxfId="550"/>
    <tableColumn id="329" xr3:uid="{00000000-0010-0000-0100-000049010000}" name="17/01/2021" dataDxfId="549"/>
    <tableColumn id="295" xr3:uid="{00000000-0010-0000-0100-000027010000}" name="18/01/2021" dataDxfId="548"/>
    <tableColumn id="333" xr3:uid="{00000000-0010-0000-0100-00004D010000}" name="19/01/2021" dataDxfId="547"/>
    <tableColumn id="327" xr3:uid="{00000000-0010-0000-0100-000047010000}" name="20/01/2021" dataDxfId="546"/>
    <tableColumn id="293" xr3:uid="{00000000-0010-0000-0100-000025010000}" name="22/01/2021" dataDxfId="545"/>
    <tableColumn id="328" xr3:uid="{00000000-0010-0000-0100-000048010000}" name="24/01/2021" dataDxfId="544"/>
    <tableColumn id="315" xr3:uid="{00000000-0010-0000-0100-00003B010000}" name="25/01/2021" dataDxfId="543"/>
    <tableColumn id="282" xr3:uid="{00000000-0010-0000-0100-00001A010000}" name="27/01/2021" dataDxfId="542"/>
    <tableColumn id="323" xr3:uid="{00000000-0010-0000-0100-000043010000}" name="29/01/2021" dataDxfId="541"/>
    <tableColumn id="331" xr3:uid="{00000000-0010-0000-0100-00004B010000}" name="30/01/2021" dataDxfId="540"/>
    <tableColumn id="332" xr3:uid="{00000000-0010-0000-0100-00004C010000}" name="01/02/2021" dataDxfId="539"/>
    <tableColumn id="326" xr3:uid="{00000000-0010-0000-0100-000046010000}" name="02/02/2021" dataDxfId="538"/>
    <tableColumn id="322" xr3:uid="{00000000-0010-0000-0100-000042010000}" name="03/02/2021" dataDxfId="537"/>
    <tableColumn id="340" xr3:uid="{00000000-0010-0000-0100-000054010000}" name="04/02/2021" dataDxfId="536"/>
    <tableColumn id="342" xr3:uid="{00000000-0010-0000-0100-000056010000}" name="05/02/2021" dataDxfId="535"/>
    <tableColumn id="348" xr3:uid="{00000000-0010-0000-0100-00005C010000}" name="08/02/2021" dataDxfId="534"/>
    <tableColumn id="341" xr3:uid="{00000000-0010-0000-0100-000055010000}" name="09/02/2021" dataDxfId="533"/>
    <tableColumn id="347" xr3:uid="{00000000-0010-0000-0100-00005B010000}" name="11/02/2021" dataDxfId="532"/>
    <tableColumn id="350" xr3:uid="{00000000-0010-0000-0100-00005E010000}" name="15/02/2021" dataDxfId="531"/>
    <tableColumn id="338" xr3:uid="{00000000-0010-0000-0100-000052010000}" name="16/02/2021" dataDxfId="530"/>
    <tableColumn id="351" xr3:uid="{00000000-0010-0000-0100-00005F010000}" name="18/02/2021" dataDxfId="529"/>
    <tableColumn id="336" xr3:uid="{00000000-0010-0000-0100-000050010000}" name="19/02/2021" dataDxfId="528"/>
    <tableColumn id="343" xr3:uid="{00000000-0010-0000-0100-000057010000}" name="22/02/2021" dataDxfId="527"/>
    <tableColumn id="346" xr3:uid="{00000000-0010-0000-0100-00005A010000}" name="23/02/2021" dataDxfId="526"/>
    <tableColumn id="344" xr3:uid="{00000000-0010-0000-0100-000058010000}" name="25/02/2021" dataDxfId="525"/>
    <tableColumn id="325" xr3:uid="{00000000-0010-0000-0100-000045010000}" name="26/02/2021" dataDxfId="524"/>
    <tableColumn id="345" xr3:uid="{00000000-0010-0000-0100-000059010000}" name="27/02/2021" dataDxfId="523"/>
    <tableColumn id="330" xr3:uid="{00000000-0010-0000-0100-00004A010000}" name="01/03/2021" dataDxfId="522"/>
    <tableColumn id="339" xr3:uid="{00000000-0010-0000-0100-000053010000}" name="02/03/2021" dataDxfId="521"/>
    <tableColumn id="359" xr3:uid="{00000000-0010-0000-0100-000067010000}" name="04/03/2021" dataDxfId="520"/>
    <tableColumn id="364" xr3:uid="{00000000-0010-0000-0100-00006C010000}" name="05/03/2021" dataDxfId="519"/>
    <tableColumn id="365" xr3:uid="{00000000-0010-0000-0100-00006D010000}" name="09/03/2021" dataDxfId="518"/>
    <tableColumn id="318" xr3:uid="{00000000-0010-0000-0100-00003E010000}" name="10/03/2021" dataDxfId="517"/>
    <tableColumn id="352" xr3:uid="{00000000-0010-0000-0100-000060010000}" name="15/03/2021" dataDxfId="516"/>
    <tableColumn id="349" xr3:uid="{00000000-0010-0000-0100-00005D010000}" name="16/03/2021" dataDxfId="515"/>
    <tableColumn id="353" xr3:uid="{00000000-0010-0000-0100-000061010000}" name="17/03/2021" dataDxfId="514"/>
    <tableColumn id="354" xr3:uid="{00000000-0010-0000-0100-000062010000}" name="18/03/2021" dataDxfId="513"/>
    <tableColumn id="358" xr3:uid="{00000000-0010-0000-0100-000066010000}" name="19/03/2021" dataDxfId="512"/>
    <tableColumn id="356" xr3:uid="{00000000-0010-0000-0100-000064010000}" name="20/03/2021" dataDxfId="511"/>
    <tableColumn id="355" xr3:uid="{00000000-0010-0000-0100-000063010000}" name="22/03/2021" dataDxfId="510"/>
    <tableColumn id="362" xr3:uid="{00000000-0010-0000-0100-00006A010000}" name="23/03/2021" dataDxfId="509"/>
    <tableColumn id="357" xr3:uid="{00000000-0010-0000-0100-000065010000}" name="24/03/2021" dataDxfId="508"/>
    <tableColumn id="366" xr3:uid="{00000000-0010-0000-0100-00006E010000}" name="25/03/2021" dataDxfId="507"/>
    <tableColumn id="360" xr3:uid="{00000000-0010-0000-0100-000068010000}" name="26/03/2021" dataDxfId="506"/>
    <tableColumn id="361" xr3:uid="{00000000-0010-0000-0100-000069010000}" name="27/03/2021" dataDxfId="505"/>
    <tableColumn id="363" xr3:uid="{00000000-0010-0000-0100-00006B010000}" name="29/03/2021" dataDxfId="504"/>
    <tableColumn id="367" xr3:uid="{00000000-0010-0000-0100-00006F010000}" name="01/04/2021" dataDxfId="503"/>
    <tableColumn id="368" xr3:uid="{00000000-0010-0000-0100-000070010000}" name="05/04/2021" dataDxfId="502"/>
    <tableColumn id="369" xr3:uid="{00000000-0010-0000-0100-000071010000}" name="06/04/2021" dataDxfId="501"/>
    <tableColumn id="370" xr3:uid="{00000000-0010-0000-0100-000072010000}" name="07/04/2021" dataDxfId="500"/>
    <tableColumn id="374" xr3:uid="{00000000-0010-0000-0100-000076010000}" name="08/04/2021" dataDxfId="499"/>
    <tableColumn id="373" xr3:uid="{00000000-0010-0000-0100-000075010000}" name="09/04/2021" dataDxfId="498"/>
    <tableColumn id="376" xr3:uid="{00000000-0010-0000-0100-000078010000}" name="10/04/2021" dataDxfId="497"/>
    <tableColumn id="375" xr3:uid="{00000000-0010-0000-0100-000077010000}" name="12/04/2021" dataDxfId="496"/>
    <tableColumn id="379" xr3:uid="{00000000-0010-0000-0100-00007B010000}" name="13/04/2021" dataDxfId="495"/>
    <tableColumn id="377" xr3:uid="{00000000-0010-0000-0100-000079010000}" name="14/04/2021" dataDxfId="494"/>
    <tableColumn id="380" xr3:uid="{00000000-0010-0000-0100-00007C010000}" name="15/04/2021" dataDxfId="493"/>
    <tableColumn id="378" xr3:uid="{00000000-0010-0000-0100-00007A010000}" name="16/04/2021" dataDxfId="492"/>
    <tableColumn id="371" xr3:uid="{00000000-0010-0000-0100-000073010000}" name="17/04/2021" dataDxfId="491"/>
    <tableColumn id="381" xr3:uid="{00000000-0010-0000-0100-00007D010000}" name="19/04/2021" dataDxfId="490"/>
    <tableColumn id="382" xr3:uid="{00000000-0010-0000-0100-00007E010000}" name="23/04/2021" dataDxfId="489"/>
    <tableColumn id="372" xr3:uid="{00000000-0010-0000-0100-000074010000}" name="24/04/2021" dataDxfId="488"/>
    <tableColumn id="384" xr3:uid="{00000000-0010-0000-0100-000080010000}" name="26/04/2021" dataDxfId="487"/>
    <tableColumn id="383" xr3:uid="{00000000-0010-0000-0100-00007F010000}" name="27/04/2021" dataDxfId="486"/>
    <tableColumn id="388" xr3:uid="{00000000-0010-0000-0100-000084010000}" name="30/04/2021" dataDxfId="485"/>
    <tableColumn id="387" xr3:uid="{00000000-0010-0000-0100-000083010000}" name="02/05/2021" dataDxfId="484"/>
    <tableColumn id="385" xr3:uid="{00000000-0010-0000-0100-000081010000}" name="03/05/2021" dataDxfId="483"/>
    <tableColumn id="395" xr3:uid="{00000000-0010-0000-0100-00008B010000}" name="04/05/2021" dataDxfId="482"/>
    <tableColumn id="396" xr3:uid="{00000000-0010-0000-0100-00008C010000}" name="05/05/2021" dataDxfId="481"/>
    <tableColumn id="397" xr3:uid="{00000000-0010-0000-0100-00008D010000}" name="06/05/2021" dataDxfId="480"/>
    <tableColumn id="386" xr3:uid="{00000000-0010-0000-0100-000082010000}" name="07/05/2021" dataDxfId="479"/>
    <tableColumn id="389" xr3:uid="{00000000-0010-0000-0100-000085010000}" name="10/05/2021" dataDxfId="478"/>
    <tableColumn id="391" xr3:uid="{00000000-0010-0000-0100-000087010000}" name="11/05/2021" dataDxfId="477"/>
    <tableColumn id="390" xr3:uid="{00000000-0010-0000-0100-000086010000}" name="12/05/2021" dataDxfId="476"/>
    <tableColumn id="392" xr3:uid="{00000000-0010-0000-0100-000088010000}" name="13/05/2021" dataDxfId="475"/>
    <tableColumn id="393" xr3:uid="{00000000-0010-0000-0100-000089010000}" name="14/05/2021" dataDxfId="474"/>
    <tableColumn id="394" xr3:uid="{00000000-0010-0000-0100-00008A010000}" name="15/05/2021" dataDxfId="473"/>
    <tableColumn id="398" xr3:uid="{00000000-0010-0000-0100-00008E010000}" name="17/05/2021" dataDxfId="472"/>
    <tableColumn id="399" xr3:uid="{00000000-0010-0000-0100-00008F010000}" name="18/05/2021" dataDxfId="471"/>
    <tableColumn id="400" xr3:uid="{00000000-0010-0000-0100-000090010000}" name="19/05/2021" dataDxfId="470"/>
    <tableColumn id="401" xr3:uid="{00000000-0010-0000-0100-000091010000}" name="20/05/2021" dataDxfId="469"/>
    <tableColumn id="402" xr3:uid="{00000000-0010-0000-0100-000092010000}" name="21/05/2021" dataDxfId="468"/>
    <tableColumn id="403" xr3:uid="{00000000-0010-0000-0100-000093010000}" name="22/05/2021" dataDxfId="467"/>
    <tableColumn id="404" xr3:uid="{00000000-0010-0000-0100-000094010000}" name="24/05/2021" dataDxfId="466"/>
    <tableColumn id="405" xr3:uid="{00000000-0010-0000-0100-000095010000}" name="26/05/2021" dataDxfId="465"/>
    <tableColumn id="406" xr3:uid="{00000000-0010-0000-0100-000096010000}" name="28/05/2021" dataDxfId="464"/>
    <tableColumn id="407" xr3:uid="{00000000-0010-0000-0100-000097010000}" name="29/05/2021" dataDxfId="463"/>
    <tableColumn id="408" xr3:uid="{00000000-0010-0000-0100-000098010000}" name="01/06/2021" dataDxfId="462"/>
    <tableColumn id="409" xr3:uid="{00000000-0010-0000-0100-000099010000}" name="03/06/2021" dataDxfId="461"/>
    <tableColumn id="427" xr3:uid="{00000000-0010-0000-0100-0000AB010000}" name="04/06/2021" dataDxfId="460"/>
    <tableColumn id="418" xr3:uid="{00000000-0010-0000-0100-0000A2010000}" name="07/06/2021" dataDxfId="459"/>
    <tableColumn id="420" xr3:uid="{00000000-0010-0000-0100-0000A4010000}" name="10/06/2021" dataDxfId="458"/>
    <tableColumn id="424" xr3:uid="{00000000-0010-0000-0100-0000A8010000}" name="11/06/2021" dataDxfId="457"/>
    <tableColumn id="410" xr3:uid="{00000000-0010-0000-0100-00009A010000}" name="13/06/2021" dataDxfId="456"/>
    <tableColumn id="411" xr3:uid="{00000000-0010-0000-0100-00009B010000}" name="14/06/2021" dataDxfId="455"/>
    <tableColumn id="425" xr3:uid="{00000000-0010-0000-0100-0000A9010000}" name="16/06/2021" dataDxfId="454"/>
    <tableColumn id="421" xr3:uid="{00000000-0010-0000-0100-0000A5010000}" name="15/06/2021" dataDxfId="453"/>
    <tableColumn id="320" xr3:uid="{00000000-0010-0000-0100-000040010000}" name="16/06/20212" dataDxfId="452"/>
    <tableColumn id="419" xr3:uid="{00000000-0010-0000-0100-0000A3010000}" name="18/06/2021" dataDxfId="451"/>
    <tableColumn id="422" xr3:uid="{00000000-0010-0000-0100-0000A6010000}" name="19/06/2021" dataDxfId="450"/>
    <tableColumn id="412" xr3:uid="{00000000-0010-0000-0100-00009C010000}" name="21/06/2021" dataDxfId="449"/>
    <tableColumn id="415" xr3:uid="{00000000-0010-0000-0100-00009F010000}" name="24/06/2021" dataDxfId="448"/>
    <tableColumn id="414" xr3:uid="{00000000-0010-0000-0100-00009E010000}" name="29/06/2021" dataDxfId="447"/>
    <tableColumn id="416" xr3:uid="{00000000-0010-0000-0100-0000A0010000}" name="30/06/2021" dataDxfId="446"/>
    <tableColumn id="423" xr3:uid="{00000000-0010-0000-0100-0000A7010000}" name="02/07/2021" dataDxfId="445"/>
    <tableColumn id="417" xr3:uid="{00000000-0010-0000-0100-0000A1010000}" name="03/07/2021" dataDxfId="444"/>
    <tableColumn id="452" xr3:uid="{00000000-0010-0000-0100-0000C4010000}" name="04/07/2021" dataDxfId="443"/>
    <tableColumn id="451" xr3:uid="{00000000-0010-0000-0100-0000C3010000}" name="05/07/2021" dataDxfId="442"/>
    <tableColumn id="450" xr3:uid="{00000000-0010-0000-0100-0000C2010000}" name="06/07/2021" dataDxfId="441"/>
    <tableColumn id="449" xr3:uid="{00000000-0010-0000-0100-0000C1010000}" name="07/07/20212" dataDxfId="440"/>
    <tableColumn id="448" xr3:uid="{00000000-0010-0000-0100-0000C0010000}" name="08/07/2021" dataDxfId="439"/>
    <tableColumn id="447" xr3:uid="{00000000-0010-0000-0100-0000BF010000}" name="09/07/2021" dataDxfId="438"/>
    <tableColumn id="434" xr3:uid="{00000000-0010-0000-0100-0000B2010000}" name="10/07/2021" dataDxfId="437"/>
    <tableColumn id="429" xr3:uid="{00000000-0010-0000-0100-0000AD010000}" name="12/07/2021" dataDxfId="436"/>
    <tableColumn id="426" xr3:uid="{00000000-0010-0000-0100-0000AA010000}" name="13/07/2021" dataDxfId="435"/>
    <tableColumn id="430" xr3:uid="{00000000-0010-0000-0100-0000AE010000}" name="14/07/2021" dataDxfId="434"/>
    <tableColumn id="428" xr3:uid="{00000000-0010-0000-0100-0000AC010000}" name="15/07/2021" dataDxfId="433"/>
    <tableColumn id="437" xr3:uid="{00000000-0010-0000-0100-0000B5010000}" name="16/07/2021" dataDxfId="432"/>
    <tableColumn id="433" xr3:uid="{00000000-0010-0000-0100-0000B1010000}" name="17/07/2021" dataDxfId="431"/>
    <tableColumn id="445" xr3:uid="{00000000-0010-0000-0100-0000BD010000}" name="19/07/2021" dataDxfId="430"/>
    <tableColumn id="436" xr3:uid="{00000000-0010-0000-0100-0000B4010000}" name="20/07/2021" dataDxfId="429"/>
    <tableColumn id="431" xr3:uid="{00000000-0010-0000-0100-0000AF010000}" name="21/07/2021" dataDxfId="428"/>
    <tableColumn id="444" xr3:uid="{00000000-0010-0000-0100-0000BC010000}" name="22/07/2021" dataDxfId="427"/>
    <tableColumn id="432" xr3:uid="{00000000-0010-0000-0100-0000B0010000}" name="24/07/2021" dataDxfId="426"/>
    <tableColumn id="443" xr3:uid="{00000000-0010-0000-0100-0000BB010000}" name="25/07/2021" dataDxfId="425"/>
    <tableColumn id="435" xr3:uid="{00000000-0010-0000-0100-0000B3010000}" name="27/07/2021" dataDxfId="424"/>
    <tableColumn id="441" xr3:uid="{00000000-0010-0000-0100-0000B9010000}" name="28/07/2021" dataDxfId="423"/>
    <tableColumn id="440" xr3:uid="{00000000-0010-0000-0100-0000B8010000}" name="29/07/2021" dataDxfId="422"/>
    <tableColumn id="439" xr3:uid="{00000000-0010-0000-0100-0000B7010000}" name="31/07/2021" dataDxfId="421"/>
    <tableColumn id="438" xr3:uid="{00000000-0010-0000-0100-0000B6010000}" name="02/08/2021" dataDxfId="420"/>
    <tableColumn id="446" xr3:uid="{00000000-0010-0000-0100-0000BE010000}" name="05/08/2021" dataDxfId="419"/>
    <tableColumn id="457" xr3:uid="{00000000-0010-0000-0100-0000C9010000}" name="06/08/2021" dataDxfId="418"/>
    <tableColumn id="461" xr3:uid="{00000000-0010-0000-0100-0000CD010000}" name="07/08/2021" dataDxfId="417"/>
    <tableColumn id="462" xr3:uid="{00000000-0010-0000-0100-0000CE010000}" name="10/08/2021" dataDxfId="416"/>
    <tableColumn id="458" xr3:uid="{00000000-0010-0000-0100-0000CA010000}" name="12/08/2021" dataDxfId="415"/>
    <tableColumn id="463" xr3:uid="{00000000-0010-0000-0100-0000CF010000}" name="13/08/2021" dataDxfId="414"/>
    <tableColumn id="460" xr3:uid="{00000000-0010-0000-0100-0000CC010000}" name="14/08/2021" dataDxfId="413"/>
    <tableColumn id="464" xr3:uid="{00000000-0010-0000-0100-0000D0010000}" name="15/08/2021" dataDxfId="412"/>
    <tableColumn id="467" xr3:uid="{00000000-0010-0000-0100-0000D3010000}" name="16/08/2021" dataDxfId="411"/>
    <tableColumn id="453" xr3:uid="{00000000-0010-0000-0100-0000C5010000}" name="17/08/2021" dataDxfId="410"/>
    <tableColumn id="459" xr3:uid="{00000000-0010-0000-0100-0000CB010000}" name="19/08/2021" dataDxfId="409"/>
    <tableColumn id="465" xr3:uid="{00000000-0010-0000-0100-0000D1010000}" name="20/08/2021" dataDxfId="408"/>
    <tableColumn id="466" xr3:uid="{00000000-0010-0000-0100-0000D2010000}" name="24/08/2021" dataDxfId="407"/>
    <tableColumn id="470" xr3:uid="{00000000-0010-0000-0100-0000D6010000}" name="26/08/2021" dataDxfId="406"/>
    <tableColumn id="455" xr3:uid="{00000000-0010-0000-0100-0000C7010000}" name="27/08/2021" dataDxfId="405"/>
    <tableColumn id="456" xr3:uid="{00000000-0010-0000-0100-0000C8010000}" name="28/08/2021" dataDxfId="404"/>
    <tableColumn id="472" xr3:uid="{00000000-0010-0000-0100-0000D8010000}" name="29/08/2021" dataDxfId="403"/>
    <tableColumn id="454" xr3:uid="{00000000-0010-0000-0100-0000C6010000}" name="31/08/2021" dataDxfId="402"/>
    <tableColumn id="471" xr3:uid="{00000000-0010-0000-0100-0000D7010000}" name="03/09/2021" dataDxfId="401"/>
    <tableColumn id="468" xr3:uid="{00000000-0010-0000-0100-0000D4010000}" name="06/09/2021" dataDxfId="400"/>
    <tableColumn id="469" xr3:uid="{00000000-0010-0000-0100-0000D5010000}" name="10/09/2021" dataDxfId="399"/>
    <tableColumn id="473" xr3:uid="{00000000-0010-0000-0100-0000D9010000}" name="30/09/2021" dataDxfId="398"/>
    <tableColumn id="474" xr3:uid="{00000000-0010-0000-0100-0000DA010000}" name="01/10/2021" dataDxfId="397"/>
    <tableColumn id="477" xr3:uid="{00000000-0010-0000-0100-0000DD010000}" name="02/10/2021" dataDxfId="396"/>
    <tableColumn id="491" xr3:uid="{00000000-0010-0000-0100-0000EB010000}" name="03/10/2021" dataDxfId="395"/>
    <tableColumn id="492" xr3:uid="{00000000-0010-0000-0100-0000EC010000}" name="05/10/2021" dataDxfId="394"/>
    <tableColumn id="493" xr3:uid="{00000000-0010-0000-0100-0000ED010000}" name="06/10/2021" dataDxfId="393"/>
    <tableColumn id="490" xr3:uid="{00000000-0010-0000-0100-0000EA010000}" name="07/10/2021" dataDxfId="392"/>
    <tableColumn id="489" xr3:uid="{00000000-0010-0000-0100-0000E9010000}" name="08/10/2021" dataDxfId="391"/>
    <tableColumn id="494" xr3:uid="{00000000-0010-0000-0100-0000EE010000}" name="09/10/2021" dataDxfId="390"/>
    <tableColumn id="488" xr3:uid="{00000000-0010-0000-0100-0000E8010000}" name="10/10/2021" dataDxfId="389"/>
    <tableColumn id="475" xr3:uid="{00000000-0010-0000-0100-0000DB010000}" name="13/10/2021" dataDxfId="388"/>
    <tableColumn id="487" xr3:uid="{00000000-0010-0000-0100-0000E7010000}" name="14/10/2021" dataDxfId="387"/>
    <tableColumn id="486" xr3:uid="{00000000-0010-0000-0100-0000E6010000}" name="18/10/2021" dataDxfId="386"/>
    <tableColumn id="485" xr3:uid="{00000000-0010-0000-0100-0000E5010000}" name="19/10/2021" dataDxfId="385"/>
    <tableColumn id="484" xr3:uid="{00000000-0010-0000-0100-0000E4010000}" name="21/10/2021" dataDxfId="384"/>
    <tableColumn id="483" xr3:uid="{00000000-0010-0000-0100-0000E3010000}" name="25/10/2021" dataDxfId="383"/>
    <tableColumn id="476" xr3:uid="{00000000-0010-0000-0100-0000DC010000}" name="26/10/2021" dataDxfId="382"/>
    <tableColumn id="482" xr3:uid="{00000000-0010-0000-0100-0000E2010000}" name="27/10/2021" dataDxfId="381"/>
    <tableColumn id="481" xr3:uid="{00000000-0010-0000-0100-0000E1010000}" name="28/10/2021" dataDxfId="380"/>
    <tableColumn id="480" xr3:uid="{00000000-0010-0000-0100-0000E0010000}" name="29/10/2021" dataDxfId="379"/>
    <tableColumn id="479" xr3:uid="{00000000-0010-0000-0100-0000DF010000}" name="30/10/2021" dataDxfId="378"/>
    <tableColumn id="478" xr3:uid="{00000000-0010-0000-0100-0000DE010000}" name="01/11/2021" dataDxfId="377"/>
    <tableColumn id="515" xr3:uid="{00000000-0010-0000-0100-000003020000}" name="03/11/2021" dataDxfId="376"/>
    <tableColumn id="513" xr3:uid="{00000000-0010-0000-0100-000001020000}" name="04/11/2021" dataDxfId="375"/>
    <tableColumn id="514" xr3:uid="{00000000-0010-0000-0100-000002020000}" name="05/11/2021" dataDxfId="374"/>
    <tableColumn id="495" xr3:uid="{00000000-0010-0000-0100-0000EF010000}" name="06/11/2021" dataDxfId="373"/>
    <tableColumn id="519" xr3:uid="{00000000-0010-0000-0100-000007020000}" name="07/11/2021" dataDxfId="372"/>
    <tableColumn id="518" xr3:uid="{00000000-0010-0000-0100-000006020000}" name="08/11/2021" dataDxfId="371"/>
    <tableColumn id="517" xr3:uid="{00000000-0010-0000-0100-000005020000}" name="09/11/2021" dataDxfId="370"/>
    <tableColumn id="516" xr3:uid="{00000000-0010-0000-0100-000004020000}" name="10/11/2021" dataDxfId="369"/>
    <tableColumn id="496" xr3:uid="{00000000-0010-0000-0100-0000F0010000}" name="11/11/2021" dataDxfId="368"/>
    <tableColumn id="498" xr3:uid="{00000000-0010-0000-0100-0000F2010000}" name="12/11/2021" dataDxfId="367"/>
    <tableColumn id="499" xr3:uid="{00000000-0010-0000-0100-0000F3010000}" name="13/11/2021" dataDxfId="366"/>
    <tableColumn id="500" xr3:uid="{00000000-0010-0000-0100-0000F4010000}" name="15/11/2021" dataDxfId="365"/>
    <tableColumn id="501" xr3:uid="{00000000-0010-0000-0100-0000F5010000}" name="16/11/2021" dataDxfId="364"/>
    <tableColumn id="502" xr3:uid="{00000000-0010-0000-0100-0000F6010000}" name="17/11/2021" dataDxfId="363"/>
    <tableColumn id="503" xr3:uid="{00000000-0010-0000-0100-0000F7010000}" name="18/11/2021" dataDxfId="362"/>
    <tableColumn id="504" xr3:uid="{00000000-0010-0000-0100-0000F8010000}" name="19/11/2021" dataDxfId="361"/>
    <tableColumn id="505" xr3:uid="{00000000-0010-0000-0100-0000F9010000}" name="20/11/2021" dataDxfId="360"/>
    <tableColumn id="506" xr3:uid="{00000000-0010-0000-0100-0000FA010000}" name="22/11/2021" dataDxfId="359"/>
    <tableColumn id="507" xr3:uid="{00000000-0010-0000-0100-0000FB010000}" name="23/11/2021" dataDxfId="358"/>
    <tableColumn id="508" xr3:uid="{00000000-0010-0000-0100-0000FC010000}" name="24/11/2021" dataDxfId="357"/>
    <tableColumn id="497" xr3:uid="{00000000-0010-0000-0100-0000F1010000}" name="25/11/2021" dataDxfId="356"/>
    <tableColumn id="509" xr3:uid="{00000000-0010-0000-0100-0000FD010000}" name="26/11/2021" dataDxfId="355"/>
    <tableColumn id="510" xr3:uid="{00000000-0010-0000-0100-0000FE010000}" name="27/11/2021" dataDxfId="354"/>
    <tableColumn id="511" xr3:uid="{00000000-0010-0000-0100-0000FF010000}" name="29/11/2021" dataDxfId="353"/>
    <tableColumn id="512" xr3:uid="{00000000-0010-0000-0100-000000020000}" name="30/11/2021" dataDxfId="352"/>
    <tableColumn id="522" xr3:uid="{00000000-0010-0000-0100-00000A020000}" name="01/12/2021" dataDxfId="351"/>
    <tableColumn id="539" xr3:uid="{00000000-0010-0000-0100-00001B020000}" name="02/12/2021" dataDxfId="350"/>
    <tableColumn id="538" xr3:uid="{00000000-0010-0000-0100-00001A020000}" name="03/12/2021" dataDxfId="349"/>
    <tableColumn id="537" xr3:uid="{00000000-0010-0000-0100-000019020000}" name="05/12/2021" dataDxfId="348"/>
    <tableColumn id="523" xr3:uid="{00000000-0010-0000-0100-00000B020000}" name="06/12/2021" dataDxfId="347"/>
    <tableColumn id="531" xr3:uid="{00000000-0010-0000-0100-000013020000}" name="08/12/2021" dataDxfId="346"/>
    <tableColumn id="530" xr3:uid="{00000000-0010-0000-0100-000012020000}" name="09/12/2021" dataDxfId="345"/>
    <tableColumn id="534" xr3:uid="{00000000-0010-0000-0100-000016020000}" name="10/12/2021" dataDxfId="344"/>
    <tableColumn id="536" xr3:uid="{00000000-0010-0000-0100-000018020000}" name="11/12/2022" dataDxfId="343"/>
    <tableColumn id="532" xr3:uid="{00000000-0010-0000-0100-000014020000}" name="12/12/2021" dataDxfId="342"/>
    <tableColumn id="533" xr3:uid="{00000000-0010-0000-0100-000015020000}" name="13/12/2021" dataDxfId="341"/>
    <tableColumn id="527" xr3:uid="{00000000-0010-0000-0100-00000F020000}" name="14/12/2021" dataDxfId="340"/>
    <tableColumn id="528" xr3:uid="{00000000-0010-0000-0100-000010020000}" name="15/12/2021" dataDxfId="339"/>
    <tableColumn id="521" xr3:uid="{00000000-0010-0000-0100-000009020000}" name="16/12/2021" dataDxfId="338"/>
    <tableColumn id="535" xr3:uid="{00000000-0010-0000-0100-000017020000}" name="21/12/2021" dataDxfId="337"/>
    <tableColumn id="526" xr3:uid="{00000000-0010-0000-0100-00000E020000}" name="22/12/2021" dataDxfId="336"/>
    <tableColumn id="525" xr3:uid="{00000000-0010-0000-0100-00000D020000}" name="23/12/2022" dataDxfId="335"/>
    <tableColumn id="524" xr3:uid="{00000000-0010-0000-0100-00000C020000}" name="24/12/2021" dataDxfId="334"/>
    <tableColumn id="540" xr3:uid="{00000000-0010-0000-0100-00001C020000}" name="27/12/2021" dataDxfId="333"/>
    <tableColumn id="542" xr3:uid="{00000000-0010-0000-0100-00001E020000}" name="03/01/2022" dataDxfId="332"/>
    <tableColumn id="552" xr3:uid="{00000000-0010-0000-0100-000028020000}" name="04/01/2022" dataDxfId="331"/>
    <tableColumn id="543" xr3:uid="{00000000-0010-0000-0100-00001F020000}" name="05/01/2022" dataDxfId="330"/>
    <tableColumn id="541" xr3:uid="{00000000-0010-0000-0100-00001D020000}" name="06/01/2022" dataDxfId="329"/>
    <tableColumn id="553" xr3:uid="{00000000-0010-0000-0100-000029020000}" name="07/01/2022" dataDxfId="328"/>
    <tableColumn id="554" xr3:uid="{00000000-0010-0000-0100-00002A020000}" name="08/01/2022" dataDxfId="327"/>
    <tableColumn id="546" xr3:uid="{00000000-0010-0000-0100-000022020000}" name="10/01/2022" dataDxfId="326"/>
    <tableColumn id="551" xr3:uid="{00000000-0010-0000-0100-000027020000}" name="11/01/2022" dataDxfId="325"/>
    <tableColumn id="544" xr3:uid="{00000000-0010-0000-0100-000020020000}" name="12/01/2022" dataDxfId="324"/>
    <tableColumn id="550" xr3:uid="{00000000-0010-0000-0100-000026020000}" name="13/01/2022" dataDxfId="323"/>
    <tableColumn id="547" xr3:uid="{00000000-0010-0000-0100-000023020000}" name="14/01/2022" dataDxfId="322"/>
    <tableColumn id="564" xr3:uid="{00000000-0010-0000-0100-000034020000}" name="16/01/2022" dataDxfId="321"/>
    <tableColumn id="545" xr3:uid="{00000000-0010-0000-0100-000021020000}" name="17/01/2022" dataDxfId="320"/>
    <tableColumn id="548" xr3:uid="{00000000-0010-0000-0100-000024020000}" name="18/01/2022" dataDxfId="319"/>
    <tableColumn id="549" xr3:uid="{00000000-0010-0000-0100-000025020000}" name="19/01/2022" dataDxfId="318"/>
    <tableColumn id="557" xr3:uid="{00000000-0010-0000-0100-00002D020000}" name="20/01/2022" dataDxfId="317"/>
    <tableColumn id="520" xr3:uid="{00000000-0010-0000-0100-000008020000}" name="21/01/2022" dataDxfId="316"/>
    <tableColumn id="559" xr3:uid="{00000000-0010-0000-0100-00002F020000}" name="22/01/2022" dataDxfId="315"/>
    <tableColumn id="563" xr3:uid="{00000000-0010-0000-0100-000033020000}" name="23/01/2022" dataDxfId="314"/>
    <tableColumn id="556" xr3:uid="{00000000-0010-0000-0100-00002C020000}" name="24/01/2022" dataDxfId="313"/>
    <tableColumn id="558" xr3:uid="{00000000-0010-0000-0100-00002E020000}" name="25/01/2022" dataDxfId="312"/>
    <tableColumn id="555" xr3:uid="{00000000-0010-0000-0100-00002B020000}" name="26/01/2022" dataDxfId="311"/>
    <tableColumn id="562" xr3:uid="{00000000-0010-0000-0100-000032020000}" name="30/01/2022" dataDxfId="310"/>
    <tableColumn id="570" xr3:uid="{00000000-0010-0000-0100-00003A020000}" name="02/02/2022" dataDxfId="309"/>
    <tableColumn id="561" xr3:uid="{00000000-0010-0000-0100-000031020000}" name="06/02/2022" dataDxfId="308"/>
    <tableColumn id="569" xr3:uid="{00000000-0010-0000-0100-000039020000}" name="09/02/2022" dataDxfId="307"/>
    <tableColumn id="571" xr3:uid="{00000000-0010-0000-0100-00003B020000}" name="11/02/2022" dataDxfId="306"/>
    <tableColumn id="581" xr3:uid="{00000000-0010-0000-0100-000045020000}" name="12/02/2022" dataDxfId="305"/>
    <tableColumn id="560" xr3:uid="{00000000-0010-0000-0100-000030020000}" name="13/02/2022" dataDxfId="304"/>
    <tableColumn id="572" xr3:uid="{00000000-0010-0000-0100-00003C020000}" name="14/02/2022" dataDxfId="303"/>
    <tableColumn id="573" xr3:uid="{00000000-0010-0000-0100-00003D020000}" name="15/02/2022" dataDxfId="302"/>
    <tableColumn id="574" xr3:uid="{00000000-0010-0000-0100-00003E020000}" name="16/02/2022" dataDxfId="301"/>
    <tableColumn id="575" xr3:uid="{00000000-0010-0000-0100-00003F020000}" name="17/02/2022" dataDxfId="300"/>
    <tableColumn id="576" xr3:uid="{00000000-0010-0000-0100-000040020000}" name="18/02/2022" dataDxfId="299"/>
    <tableColumn id="565" xr3:uid="{00000000-0010-0000-0100-000035020000}" name="19/02/2022" dataDxfId="298"/>
    <tableColumn id="583" xr3:uid="{00000000-0010-0000-0100-000047020000}" name="20/02/2022" dataDxfId="297"/>
    <tableColumn id="577" xr3:uid="{00000000-0010-0000-0100-000041020000}" name="21/02/2022" dataDxfId="296"/>
    <tableColumn id="568" xr3:uid="{00000000-0010-0000-0100-000038020000}" name="22/02/2022" dataDxfId="295"/>
    <tableColumn id="578" xr3:uid="{00000000-0010-0000-0100-000042020000}" name="23/02/2022" dataDxfId="294"/>
    <tableColumn id="580" xr3:uid="{00000000-0010-0000-0100-000044020000}" name="24/02/2022" dataDxfId="293"/>
    <tableColumn id="566" xr3:uid="{00000000-0010-0000-0100-000036020000}" name="25/02/2022" dataDxfId="292"/>
    <tableColumn id="567" xr3:uid="{00000000-0010-0000-0100-000037020000}" name="26/02/2022" dataDxfId="291"/>
    <tableColumn id="579" xr3:uid="{00000000-0010-0000-0100-000043020000}" name="28/02/2022" dataDxfId="290"/>
    <tableColumn id="584" xr3:uid="{00000000-0010-0000-0100-000048020000}" name="10/02/2022" dataDxfId="289"/>
    <tableColumn id="585" xr3:uid="{00000000-0010-0000-0100-000049020000}" name="01/03/2022" dataDxfId="288"/>
    <tableColumn id="590" xr3:uid="{00000000-0010-0000-0100-00004E020000}" name="02/03/2022" dataDxfId="287"/>
    <tableColumn id="592" xr3:uid="{00000000-0010-0000-0100-000050020000}" name="03/03/2022" dataDxfId="286"/>
    <tableColumn id="593" xr3:uid="{00000000-0010-0000-0100-000051020000}" name="04/03/2022" dataDxfId="285"/>
    <tableColumn id="586" xr3:uid="{00000000-0010-0000-0100-00004A020000}" name="05/03/2022" dataDxfId="284"/>
    <tableColumn id="604" xr3:uid="{00000000-0010-0000-0100-00005C020000}" name="06/03/2022" dataDxfId="283"/>
    <tableColumn id="601" xr3:uid="{00000000-0010-0000-0100-000059020000}" name="07/03/2022" dataDxfId="282"/>
    <tableColumn id="603" xr3:uid="{00000000-0010-0000-0100-00005B020000}" name="08/03/2022" dataDxfId="281"/>
    <tableColumn id="587" xr3:uid="{00000000-0010-0000-0100-00004B020000}" name="10/03/2022" dataDxfId="280"/>
    <tableColumn id="600" xr3:uid="{00000000-0010-0000-0100-000058020000}" name="11/03/2022" dataDxfId="279"/>
    <tableColumn id="597" xr3:uid="{00000000-0010-0000-0100-000055020000}" name="13/03/2022" dataDxfId="278"/>
    <tableColumn id="599" xr3:uid="{00000000-0010-0000-0100-000057020000}" name="14/03/2022" dataDxfId="277"/>
    <tableColumn id="596" xr3:uid="{00000000-0010-0000-0100-000054020000}" name="16/03/2022" dataDxfId="276"/>
    <tableColumn id="582" xr3:uid="{00000000-0010-0000-0100-000046020000}" name="17/03/2022" dataDxfId="275"/>
    <tableColumn id="588" xr3:uid="{00000000-0010-0000-0100-00004C020000}" name="18/03/2022" dataDxfId="274"/>
    <tableColumn id="595" xr3:uid="{00000000-0010-0000-0100-000053020000}" name="19/03/2022" dataDxfId="273"/>
    <tableColumn id="591" xr3:uid="{00000000-0010-0000-0100-00004F020000}" name="20/03/2022" dataDxfId="272"/>
    <tableColumn id="589" xr3:uid="{00000000-0010-0000-0100-00004D020000}" name="21/03/2022" dataDxfId="271"/>
    <tableColumn id="594" xr3:uid="{00000000-0010-0000-0100-000052020000}" name="22/03/2022" dataDxfId="270"/>
    <tableColumn id="609" xr3:uid="{00000000-0010-0000-0100-000061020000}" name="23/03/2022" dataDxfId="269"/>
    <tableColumn id="598" xr3:uid="{00000000-0010-0000-0100-000056020000}" name="29/03/2022" dataDxfId="268"/>
    <tableColumn id="602" xr3:uid="{00000000-0010-0000-0100-00005A020000}" name="30/03/2022" dataDxfId="267"/>
    <tableColumn id="605" xr3:uid="{00000000-0010-0000-0100-00005D020000}" name="01/04/2022" dataDxfId="266"/>
    <tableColumn id="610" xr3:uid="{00000000-0010-0000-0100-000062020000}" name="04/04/2022" dataDxfId="265"/>
    <tableColumn id="611" xr3:uid="{00000000-0010-0000-0100-000063020000}" name="08/04/2022" dataDxfId="264"/>
    <tableColumn id="606" xr3:uid="{00000000-0010-0000-0100-00005E020000}" name="09/04/2022" dataDxfId="263"/>
    <tableColumn id="608" xr3:uid="{00000000-0010-0000-0100-000060020000}" name="11/04/2022" dataDxfId="262"/>
    <tableColumn id="607" xr3:uid="{00000000-0010-0000-0100-00005F020000}" name="12/04/2022" dataDxfId="261"/>
    <tableColumn id="612" xr3:uid="{00000000-0010-0000-0100-000064020000}" name="17/04/2022" dataDxfId="260"/>
    <tableColumn id="613" xr3:uid="{00000000-0010-0000-0100-000065020000}" name="18/04/2022" dataDxfId="259"/>
    <tableColumn id="614" xr3:uid="{00000000-0010-0000-0100-000066020000}" name="19/04/2022" dataDxfId="258"/>
    <tableColumn id="615" xr3:uid="{00000000-0010-0000-0100-000067020000}" name="20/04/2022" dataDxfId="257"/>
    <tableColumn id="616" xr3:uid="{00000000-0010-0000-0100-000068020000}" name="21/04/2022" dataDxfId="256"/>
    <tableColumn id="617" xr3:uid="{00000000-0010-0000-0100-000069020000}" name="22/04/2022" dataDxfId="255"/>
    <tableColumn id="618" xr3:uid="{00000000-0010-0000-0100-00006A020000}" name="23/04/2022" dataDxfId="254"/>
    <tableColumn id="619" xr3:uid="{00000000-0010-0000-0100-00006B020000}" name="24/04/2022" dataDxfId="253"/>
    <tableColumn id="620" xr3:uid="{00000000-0010-0000-0100-00006C020000}" name="25/04/2022" dataDxfId="252"/>
    <tableColumn id="621" xr3:uid="{00000000-0010-0000-0100-00006D020000}" name="26/04/2022" dataDxfId="251"/>
    <tableColumn id="622" xr3:uid="{00000000-0010-0000-0100-00006E020000}" name="27/04/2022" dataDxfId="250"/>
    <tableColumn id="623" xr3:uid="{00000000-0010-0000-0100-00006F020000}" name="28/04/2022" dataDxfId="249"/>
    <tableColumn id="624" xr3:uid="{00000000-0010-0000-0100-000070020000}" name="29/04/2022" dataDxfId="248"/>
    <tableColumn id="625" xr3:uid="{00000000-0010-0000-0100-000071020000}" name="30/04/2022" dataDxfId="247"/>
    <tableColumn id="629" xr3:uid="{00000000-0010-0000-0100-000075020000}" name="02/05/2022" dataDxfId="246"/>
    <tableColumn id="630" xr3:uid="{00000000-0010-0000-0100-000076020000}" name="03/05/2022" dataDxfId="245"/>
    <tableColumn id="632" xr3:uid="{00000000-0010-0000-0100-000078020000}" name="04/05/2022" dataDxfId="244"/>
    <tableColumn id="626" xr3:uid="{00000000-0010-0000-0100-000072020000}" name="05/05/2022" dataDxfId="243"/>
    <tableColumn id="627" xr3:uid="{00000000-0010-0000-0100-000073020000}" name="06/05/2022" dataDxfId="242"/>
    <tableColumn id="628" xr3:uid="{00000000-0010-0000-0100-000074020000}" name="07/05/2022" dataDxfId="241"/>
    <tableColumn id="413" xr3:uid="{00000000-0010-0000-0100-00009D010000}" name="00/00/00" dataDxfId="24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_ENTRADA" displayName="TAB_ENTRADA" ref="A2:HH1612" totalsRowShown="0" headerRowDxfId="239" dataDxfId="238">
  <autoFilter ref="A2:HH1612" xr:uid="{00000000-0009-0000-0100-000002000000}"/>
  <tableColumns count="216">
    <tableColumn id="9" xr3:uid="{00000000-0010-0000-0200-000009000000}" name="Cod_2_Entrada" dataDxfId="237"/>
    <tableColumn id="2" xr3:uid="{00000000-0010-0000-0200-000002000000}" name="Descrição Tecnica" dataDxfId="236">
      <calculatedColumnFormula>VLOOKUP(TAB_ENTRADA[[#This Row],[Cod_2_Entrada]],TAB_ESTOQUE[[Codigo]:[Descrição Tecnica]],6,FALSE)</calculatedColumnFormula>
    </tableColumn>
    <tableColumn id="3" xr3:uid="{00000000-0010-0000-0200-000003000000}" name="Referência Tec" dataDxfId="235">
      <calculatedColumnFormula>IFERROR(VLOOKUP(TAB_ENTRADA[[#This Row],[Cod_2_Entrada]],TAB_ESTOQUE[[Codigo]:[Referência Tec]],7,FALSE),"")</calculatedColumnFormula>
    </tableColumn>
    <tableColumn id="1" xr3:uid="{00000000-0010-0000-0200-000001000000}" name="Localizador " dataDxfId="234">
      <calculatedColumnFormula>VLOOKUP(TAB_ENTRADA[[#This Row],[Cod_2_Entrada]],TAB_ESTOQUE[[Codigo]:[Endereço2]],12,FALSE)</calculatedColumnFormula>
    </tableColumn>
    <tableColumn id="5" xr3:uid="{00000000-0010-0000-0200-000005000000}" name="TOTAL_ENTRADA" dataDxfId="233">
      <calculatedColumnFormula>SUM(TAB_ENTRADA[[#This Row],[20/05/2019]:[Colunas1]])</calculatedColumnFormula>
    </tableColumn>
    <tableColumn id="4" xr3:uid="{00000000-0010-0000-0200-000004000000}" name="20/05/2019" dataDxfId="232"/>
    <tableColumn id="6" xr3:uid="{00000000-0010-0000-0200-000006000000}" name="21/05/2019" dataDxfId="231"/>
    <tableColumn id="7" xr3:uid="{00000000-0010-0000-0200-000007000000}" name="22/05/2019" dataDxfId="230"/>
    <tableColumn id="8" xr3:uid="{00000000-0010-0000-0200-000008000000}" name="23-mai-19" dataDxfId="229"/>
    <tableColumn id="10" xr3:uid="{00000000-0010-0000-0200-00000A000000}" name="24-mai-19" dataDxfId="228"/>
    <tableColumn id="11" xr3:uid="{00000000-0010-0000-0200-00000B000000}" name="27-mai-19" dataDxfId="227"/>
    <tableColumn id="12" xr3:uid="{00000000-0010-0000-0200-00000C000000}" name="28-mai-19" dataDxfId="226"/>
    <tableColumn id="13" xr3:uid="{00000000-0010-0000-0200-00000D000000}" name="29-mai-19" dataDxfId="225"/>
    <tableColumn id="14" xr3:uid="{00000000-0010-0000-0200-00000E000000}" name="30-mai-19" dataDxfId="224"/>
    <tableColumn id="15" xr3:uid="{00000000-0010-0000-0200-00000F000000}" name="31-mai-19" dataDxfId="223"/>
    <tableColumn id="16" xr3:uid="{00000000-0010-0000-0200-000010000000}" name="1-jun-19" dataDxfId="222"/>
    <tableColumn id="131" xr3:uid="{00000000-0010-0000-0200-000083000000}" name="3-jun-19" dataDxfId="221"/>
    <tableColumn id="17" xr3:uid="{00000000-0010-0000-0200-000011000000}" name="4-jun-19" dataDxfId="220"/>
    <tableColumn id="18" xr3:uid="{00000000-0010-0000-0200-000012000000}" name="6-jun-19" dataDxfId="219"/>
    <tableColumn id="19" xr3:uid="{00000000-0010-0000-0200-000013000000}" name="10-jun-19" dataDxfId="218"/>
    <tableColumn id="20" xr3:uid="{00000000-0010-0000-0200-000014000000}" name="11-jun-19" dataDxfId="217"/>
    <tableColumn id="21" xr3:uid="{00000000-0010-0000-0200-000015000000}" name="12-jun-19" dataDxfId="216"/>
    <tableColumn id="22" xr3:uid="{00000000-0010-0000-0200-000016000000}" name="18-jun-19" dataDxfId="215"/>
    <tableColumn id="23" xr3:uid="{00000000-0010-0000-0200-000017000000}" name="28-jun-19" dataDxfId="214"/>
    <tableColumn id="24" xr3:uid="{00000000-0010-0000-0200-000018000000}" name="2-jul-19" dataDxfId="213"/>
    <tableColumn id="25" xr3:uid="{00000000-0010-0000-0200-000019000000}" name="4-jul-19" dataDxfId="212"/>
    <tableColumn id="26" xr3:uid="{00000000-0010-0000-0200-00001A000000}" name="10-jul-19" dataDxfId="211"/>
    <tableColumn id="27" xr3:uid="{00000000-0010-0000-0200-00001B000000}" name="11-jul-19" dataDxfId="210"/>
    <tableColumn id="28" xr3:uid="{00000000-0010-0000-0200-00001C000000}" name="12-jul-19" dataDxfId="209"/>
    <tableColumn id="29" xr3:uid="{00000000-0010-0000-0200-00001D000000}" name="15-jul-19" dataDxfId="208"/>
    <tableColumn id="30" xr3:uid="{00000000-0010-0000-0200-00001E000000}" name="20-jul-19" dataDxfId="207"/>
    <tableColumn id="31" xr3:uid="{00000000-0010-0000-0200-00001F000000}" name="22-jul-19" dataDxfId="206"/>
    <tableColumn id="32" xr3:uid="{00000000-0010-0000-0200-000020000000}" name="25-jul-19" dataDxfId="205"/>
    <tableColumn id="33" xr3:uid="{00000000-0010-0000-0200-000021000000}" name="27-jul-19" dataDxfId="204"/>
    <tableColumn id="34" xr3:uid="{00000000-0010-0000-0200-000022000000}" name="5-ago-19" dataDxfId="203"/>
    <tableColumn id="35" xr3:uid="{00000000-0010-0000-0200-000023000000}" name="15-ago-19" dataDxfId="202"/>
    <tableColumn id="132" xr3:uid="{00000000-0010-0000-0200-000084000000}" name="16-ago-20" dataDxfId="201"/>
    <tableColumn id="36" xr3:uid="{00000000-0010-0000-0200-000024000000}" name="19-ago-19" dataDxfId="200"/>
    <tableColumn id="37" xr3:uid="{00000000-0010-0000-0200-000025000000}" name="20-ago-19" dataDxfId="199"/>
    <tableColumn id="38" xr3:uid="{00000000-0010-0000-0200-000026000000}" name="30-ago-19" dataDxfId="198"/>
    <tableColumn id="39" xr3:uid="{00000000-0010-0000-0200-000027000000}" name="17-set-19" dataDxfId="197"/>
    <tableColumn id="40" xr3:uid="{00000000-0010-0000-0200-000028000000}" name="18-set-19" dataDxfId="196"/>
    <tableColumn id="41" xr3:uid="{00000000-0010-0000-0200-000029000000}" name="3-out-19" dataDxfId="195"/>
    <tableColumn id="42" xr3:uid="{00000000-0010-0000-0200-00002A000000}" name="11-out-19" dataDxfId="194"/>
    <tableColumn id="43" xr3:uid="{00000000-0010-0000-0200-00002B000000}" name="14-out-19" dataDxfId="193"/>
    <tableColumn id="133" xr3:uid="{00000000-0010-0000-0200-000085000000}" name="18-out-19" dataDxfId="192"/>
    <tableColumn id="44" xr3:uid="{00000000-0010-0000-0200-00002C000000}" name="25-out-19" dataDxfId="191"/>
    <tableColumn id="45" xr3:uid="{00000000-0010-0000-0200-00002D000000}" name="31-out-19" dataDxfId="190"/>
    <tableColumn id="130" xr3:uid="{00000000-0010-0000-0200-000082000000}" name="15-nov-19" dataDxfId="189"/>
    <tableColumn id="46" xr3:uid="{00000000-0010-0000-0200-00002E000000}" name="19-nov-19" dataDxfId="188"/>
    <tableColumn id="47" xr3:uid="{00000000-0010-0000-0200-00002F000000}" name="21-nov-19" dataDxfId="187"/>
    <tableColumn id="48" xr3:uid="{00000000-0010-0000-0200-000030000000}" name="25-nov-19" dataDxfId="186"/>
    <tableColumn id="49" xr3:uid="{00000000-0010-0000-0200-000031000000}" name="28-nov-19" dataDxfId="185"/>
    <tableColumn id="50" xr3:uid="{00000000-0010-0000-0200-000032000000}" name="6-dez-19" dataDxfId="184"/>
    <tableColumn id="51" xr3:uid="{00000000-0010-0000-0200-000033000000}" name="15-dez-19" dataDxfId="183"/>
    <tableColumn id="52" xr3:uid="{00000000-0010-0000-0200-000034000000}" name="25-dez-19" dataDxfId="182"/>
    <tableColumn id="53" xr3:uid="{00000000-0010-0000-0200-000035000000}" name="30-jan-20" dataDxfId="181"/>
    <tableColumn id="54" xr3:uid="{00000000-0010-0000-0200-000036000000}" name="17-fev-20" dataDxfId="180"/>
    <tableColumn id="55" xr3:uid="{00000000-0010-0000-0200-000037000000}" name="21/02/2020" dataDxfId="179"/>
    <tableColumn id="56" xr3:uid="{00000000-0010-0000-0200-000038000000}" name="06/03/2020" dataDxfId="178"/>
    <tableColumn id="57" xr3:uid="{00000000-0010-0000-0200-000039000000}" name="10/03/2020" dataDxfId="177"/>
    <tableColumn id="58" xr3:uid="{00000000-0010-0000-0200-00003A000000}" name="20-mar-20" dataDxfId="176"/>
    <tableColumn id="59" xr3:uid="{00000000-0010-0000-0200-00003B000000}" name="23-mar-20" dataDxfId="175"/>
    <tableColumn id="60" xr3:uid="{00000000-0010-0000-0200-00003C000000}" name="25-mai-20" dataDxfId="174"/>
    <tableColumn id="61" xr3:uid="{00000000-0010-0000-0200-00003D000000}" name="29-mai-20" dataDxfId="173"/>
    <tableColumn id="62" xr3:uid="{00000000-0010-0000-0200-00003E000000}" name="22-jun-20" dataDxfId="172"/>
    <tableColumn id="63" xr3:uid="{00000000-0010-0000-0200-00003F000000}" name="15-jul-20" dataDxfId="171"/>
    <tableColumn id="64" xr3:uid="{00000000-0010-0000-0200-000040000000}" name="23-jul-20" dataDxfId="170"/>
    <tableColumn id="65" xr3:uid="{00000000-0010-0000-0200-000041000000}" name="29-jul-20" dataDxfId="169"/>
    <tableColumn id="66" xr3:uid="{00000000-0010-0000-0200-000042000000}" name="30-jul-20" dataDxfId="168"/>
    <tableColumn id="67" xr3:uid="{00000000-0010-0000-0200-000043000000}" name="5-ago-20" dataDxfId="167"/>
    <tableColumn id="68" xr3:uid="{00000000-0010-0000-0200-000044000000}" name="7-ago-20" dataDxfId="166"/>
    <tableColumn id="69" xr3:uid="{00000000-0010-0000-0200-000045000000}" name="10-ago-20" dataDxfId="165"/>
    <tableColumn id="70" xr3:uid="{00000000-0010-0000-0200-000046000000}" name="12-ago-20" dataDxfId="164"/>
    <tableColumn id="71" xr3:uid="{00000000-0010-0000-0200-000047000000}" name="14-ago-20" dataDxfId="163"/>
    <tableColumn id="72" xr3:uid="{00000000-0010-0000-0200-000048000000}" name="19-ago-20" dataDxfId="162"/>
    <tableColumn id="73" xr3:uid="{00000000-0010-0000-0200-000049000000}" name="24-ago-20" dataDxfId="161"/>
    <tableColumn id="74" xr3:uid="{00000000-0010-0000-0200-00004A000000}" name="4-set-20" dataDxfId="160"/>
    <tableColumn id="75" xr3:uid="{00000000-0010-0000-0200-00004B000000}" name="18-set-20" dataDxfId="159"/>
    <tableColumn id="76" xr3:uid="{00000000-0010-0000-0200-00004C000000}" name="22-set-20" dataDxfId="158"/>
    <tableColumn id="77" xr3:uid="{00000000-0010-0000-0200-00004D000000}" name="28-set-20" dataDxfId="157"/>
    <tableColumn id="78" xr3:uid="{00000000-0010-0000-0200-00004E000000}" name="5-out-20" dataDxfId="156"/>
    <tableColumn id="79" xr3:uid="{00000000-0010-0000-0200-00004F000000}" name="9-out-20" dataDxfId="155"/>
    <tableColumn id="80" xr3:uid="{00000000-0010-0000-0200-000050000000}" name="20-out-20" dataDxfId="154"/>
    <tableColumn id="81" xr3:uid="{00000000-0010-0000-0200-000051000000}" name="23-out-20" dataDxfId="153"/>
    <tableColumn id="82" xr3:uid="{00000000-0010-0000-0200-000052000000}" name="28-out-20" dataDxfId="152"/>
    <tableColumn id="83" xr3:uid="{00000000-0010-0000-0200-000053000000}" name="29-out-20" dataDxfId="151"/>
    <tableColumn id="121" xr3:uid="{00000000-0010-0000-0200-000079000000}" name="5-nov-20" dataDxfId="150"/>
    <tableColumn id="122" xr3:uid="{00000000-0010-0000-0200-00007A000000}" name="8-nov-20" dataDxfId="149"/>
    <tableColumn id="84" xr3:uid="{00000000-0010-0000-0200-000054000000}" name="12-nov-20" dataDxfId="148"/>
    <tableColumn id="85" xr3:uid="{00000000-0010-0000-0200-000055000000}" name="16-nov-20" dataDxfId="147"/>
    <tableColumn id="86" xr3:uid="{00000000-0010-0000-0200-000056000000}" name="17-nov-20" dataDxfId="146"/>
    <tableColumn id="87" xr3:uid="{00000000-0010-0000-0200-000057000000}" name="18-nov-20" dataDxfId="145"/>
    <tableColumn id="88" xr3:uid="{00000000-0010-0000-0200-000058000000}" name="24-nov-20" dataDxfId="144"/>
    <tableColumn id="89" xr3:uid="{00000000-0010-0000-0200-000059000000}" name="30-nov-20" dataDxfId="143"/>
    <tableColumn id="90" xr3:uid="{00000000-0010-0000-0200-00005A000000}" name="7-dez-20" dataDxfId="142"/>
    <tableColumn id="123" xr3:uid="{00000000-0010-0000-0200-00007B000000}" name="8-dez-20" dataDxfId="141"/>
    <tableColumn id="120" xr3:uid="{00000000-0010-0000-0200-000078000000}" name="10-dez-20" dataDxfId="140"/>
    <tableColumn id="124" xr3:uid="{00000000-0010-0000-0200-00007C000000}" name="12-dez-20" dataDxfId="139"/>
    <tableColumn id="91" xr3:uid="{00000000-0010-0000-0200-00005B000000}" name="29-dez-20" dataDxfId="138"/>
    <tableColumn id="134" xr3:uid="{00000000-0010-0000-0200-000086000000}" name="5-jan-21" dataDxfId="137"/>
    <tableColumn id="92" xr3:uid="{00000000-0010-0000-0200-00005C000000}" name="6-jan-21" dataDxfId="136"/>
    <tableColumn id="135" xr3:uid="{00000000-0010-0000-0200-000087000000}" name="14-jan-21" dataDxfId="135"/>
    <tableColumn id="93" xr3:uid="{00000000-0010-0000-0200-00005D000000}" name="18-jan-21" dataDxfId="134"/>
    <tableColumn id="137" xr3:uid="{00000000-0010-0000-0200-000089000000}" name="20-jan-21" dataDxfId="133"/>
    <tableColumn id="94" xr3:uid="{00000000-0010-0000-0200-00005E000000}" name="21-jan-21" dataDxfId="132"/>
    <tableColumn id="95" xr3:uid="{00000000-0010-0000-0200-00005F000000}" name="28-jan-21" dataDxfId="131"/>
    <tableColumn id="96" xr3:uid="{00000000-0010-0000-0200-000060000000}" name="29-jan-21" dataDxfId="130"/>
    <tableColumn id="97" xr3:uid="{00000000-0010-0000-0200-000061000000}" name="2-fev-21" dataDxfId="129"/>
    <tableColumn id="98" xr3:uid="{00000000-0010-0000-0200-000062000000}" name="5-fev-21" dataDxfId="128"/>
    <tableColumn id="99" xr3:uid="{00000000-0010-0000-0200-000063000000}" name="10-fev-21" dataDxfId="127"/>
    <tableColumn id="100" xr3:uid="{00000000-0010-0000-0200-000064000000}" name="11-fev-21" dataDxfId="126"/>
    <tableColumn id="101" xr3:uid="{00000000-0010-0000-0200-000065000000}" name="23-fev-21" dataDxfId="125"/>
    <tableColumn id="102" xr3:uid="{00000000-0010-0000-0200-000066000000}" name="26-fev-21" dataDxfId="124"/>
    <tableColumn id="103" xr3:uid="{00000000-0010-0000-0200-000067000000}" name="1-mar-21" dataDxfId="123"/>
    <tableColumn id="104" xr3:uid="{00000000-0010-0000-0200-000068000000}" name="4-mar-21" dataDxfId="122"/>
    <tableColumn id="136" xr3:uid="{00000000-0010-0000-0200-000088000000}" name="5-mar-22" dataDxfId="121"/>
    <tableColumn id="105" xr3:uid="{00000000-0010-0000-0200-000069000000}" name="9-mar-21" dataDxfId="120"/>
    <tableColumn id="106" xr3:uid="{00000000-0010-0000-0200-00006A000000}" name="10-mar-21" dataDxfId="119"/>
    <tableColumn id="138" xr3:uid="{00000000-0010-0000-0200-00008A000000}" name="13-mar-21" dataDxfId="118"/>
    <tableColumn id="107" xr3:uid="{00000000-0010-0000-0200-00006B000000}" name="15-mar-21" dataDxfId="117"/>
    <tableColumn id="108" xr3:uid="{00000000-0010-0000-0200-00006C000000}" name="18-mar-21" dataDxfId="116"/>
    <tableColumn id="109" xr3:uid="{00000000-0010-0000-0200-00006D000000}" name="19-mar-21" dataDxfId="115"/>
    <tableColumn id="139" xr3:uid="{00000000-0010-0000-0200-00008B000000}" name="25-mar-21" dataDxfId="114"/>
    <tableColumn id="110" xr3:uid="{00000000-0010-0000-0200-00006E000000}" name="30-mar-21" dataDxfId="113"/>
    <tableColumn id="111" xr3:uid="{00000000-0010-0000-0200-00006F000000}" name="1-abr-21" dataDxfId="112"/>
    <tableColumn id="112" xr3:uid="{00000000-0010-0000-0200-000070000000}" name="7-abr-21" dataDxfId="111"/>
    <tableColumn id="141" xr3:uid="{00000000-0010-0000-0200-00008D000000}" name="14-abr-21" dataDxfId="110"/>
    <tableColumn id="113" xr3:uid="{00000000-0010-0000-0200-000071000000}" name="15-abr-21" dataDxfId="109"/>
    <tableColumn id="140" xr3:uid="{00000000-0010-0000-0200-00008C000000}" name="17-abr-21" dataDxfId="108"/>
    <tableColumn id="114" xr3:uid="{00000000-0010-0000-0200-000072000000}" name="23-abr-21" dataDxfId="107"/>
    <tableColumn id="115" xr3:uid="{00000000-0010-0000-0200-000073000000}" name="28-abr-21" dataDxfId="106"/>
    <tableColumn id="116" xr3:uid="{00000000-0010-0000-0200-000074000000}" name="29-abr-21" dataDxfId="105"/>
    <tableColumn id="143" xr3:uid="{00000000-0010-0000-0200-00008F000000}" name="3-mai-21" dataDxfId="104"/>
    <tableColumn id="117" xr3:uid="{00000000-0010-0000-0200-000075000000}" name="5-mai-21" dataDxfId="103"/>
    <tableColumn id="118" xr3:uid="{00000000-0010-0000-0200-000076000000}" name="10-mai-21" dataDxfId="102"/>
    <tableColumn id="119" xr3:uid="{00000000-0010-0000-0200-000077000000}" name="11-mai-21" dataDxfId="101"/>
    <tableColumn id="125" xr3:uid="{00000000-0010-0000-0200-00007D000000}" name="13-mai-21" dataDxfId="100"/>
    <tableColumn id="142" xr3:uid="{00000000-0010-0000-0200-00008E000000}" name="18-mai-21" dataDxfId="99"/>
    <tableColumn id="126" xr3:uid="{00000000-0010-0000-0200-00007E000000}" name="21-mai-21" dataDxfId="98"/>
    <tableColumn id="127" xr3:uid="{00000000-0010-0000-0200-00007F000000}" name="25-mai-21" dataDxfId="97"/>
    <tableColumn id="128" xr3:uid="{00000000-0010-0000-0200-000080000000}" name="28-mai-21" dataDxfId="96"/>
    <tableColumn id="153" xr3:uid="{00000000-0010-0000-0200-000099000000}" name="1-mai-21" dataDxfId="95"/>
    <tableColumn id="144" xr3:uid="{00000000-0010-0000-0200-000090000000}" name="10-jun-21" dataDxfId="94"/>
    <tableColumn id="145" xr3:uid="{00000000-0010-0000-0200-000091000000}" name="11-jun-21" dataDxfId="93"/>
    <tableColumn id="146" xr3:uid="{00000000-0010-0000-0200-000092000000}" name="16-jun-21" dataDxfId="92"/>
    <tableColumn id="156" xr3:uid="{00000000-0010-0000-0200-00009C000000}" name="18-jun-21" dataDxfId="91"/>
    <tableColumn id="159" xr3:uid="{00000000-0010-0000-0200-00009F000000}" name="22-jun-21" dataDxfId="90"/>
    <tableColumn id="158" xr3:uid="{00000000-0010-0000-0200-00009E000000}" name="23-jun-21" dataDxfId="89"/>
    <tableColumn id="157" xr3:uid="{00000000-0010-0000-0200-00009D000000}" name="30-jun-21" dataDxfId="88"/>
    <tableColumn id="147" xr3:uid="{00000000-0010-0000-0200-000093000000}" name="1-jul-21" dataDxfId="87"/>
    <tableColumn id="149" xr3:uid="{00000000-0010-0000-0200-000095000000}" name="8-jul-21" dataDxfId="86"/>
    <tableColumn id="148" xr3:uid="{00000000-0010-0000-0200-000094000000}" name="20-jul-21" dataDxfId="85"/>
    <tableColumn id="150" xr3:uid="{00000000-0010-0000-0200-000096000000}" name="23-jul-21" dataDxfId="84"/>
    <tableColumn id="151" xr3:uid="{00000000-0010-0000-0200-000097000000}" name="24-jul-21" dataDxfId="83"/>
    <tableColumn id="152" xr3:uid="{00000000-0010-0000-0200-000098000000}" name="26-jul-21" dataDxfId="82"/>
    <tableColumn id="160" xr3:uid="{00000000-0010-0000-0200-0000A0000000}" name="13-jul-21" dataDxfId="81"/>
    <tableColumn id="164" xr3:uid="{00000000-0010-0000-0200-0000A4000000}" name="10-jul-21" dataDxfId="80"/>
    <tableColumn id="154" xr3:uid="{00000000-0010-0000-0200-00009A000000}" name="17-ago-21" dataDxfId="79"/>
    <tableColumn id="161" xr3:uid="{00000000-0010-0000-0200-0000A1000000}" name="26-ago-21" dataDxfId="78"/>
    <tableColumn id="162" xr3:uid="{00000000-0010-0000-0200-0000A2000000}" name="27-ago-21" dataDxfId="77"/>
    <tableColumn id="163" xr3:uid="{00000000-0010-0000-0200-0000A3000000}" name="30-ago-21" dataDxfId="76"/>
    <tableColumn id="166" xr3:uid="{00000000-0010-0000-0200-0000A6000000}" name="31-ago-21" dataDxfId="75"/>
    <tableColumn id="155" xr3:uid="{00000000-0010-0000-0200-00009B000000}" name="3-set-21" dataDxfId="74"/>
    <tableColumn id="165" xr3:uid="{00000000-0010-0000-0200-0000A5000000}" name="17-set-21" dataDxfId="73"/>
    <tableColumn id="167" xr3:uid="{00000000-0010-0000-0200-0000A7000000}" name="30-set-21" dataDxfId="72"/>
    <tableColumn id="168" xr3:uid="{00000000-0010-0000-0200-0000A8000000}" name="1-out-21" dataDxfId="71"/>
    <tableColumn id="169" xr3:uid="{00000000-0010-0000-0200-0000A9000000}" name="7-out-21" dataDxfId="70"/>
    <tableColumn id="170" xr3:uid="{00000000-0010-0000-0200-0000AA000000}" name="19-out-21" dataDxfId="69"/>
    <tableColumn id="171" xr3:uid="{00000000-0010-0000-0200-0000AB000000}" name="21-out-21" dataDxfId="68"/>
    <tableColumn id="172" xr3:uid="{00000000-0010-0000-0200-0000AC000000}" name="25-out-21" dataDxfId="67"/>
    <tableColumn id="173" xr3:uid="{00000000-0010-0000-0200-0000AD000000}" name="27-out-21" dataDxfId="66"/>
    <tableColumn id="174" xr3:uid="{00000000-0010-0000-0200-0000AE000000}" name="4-nov-21" dataDxfId="65"/>
    <tableColumn id="181" xr3:uid="{00000000-0010-0000-0200-0000B5000000}" name="5-nov-21" dataDxfId="64"/>
    <tableColumn id="183" xr3:uid="{00000000-0010-0000-0200-0000B7000000}" name="8-nov-21" dataDxfId="63"/>
    <tableColumn id="175" xr3:uid="{00000000-0010-0000-0200-0000AF000000}" name="10-nov-21" dataDxfId="62"/>
    <tableColumn id="176" xr3:uid="{00000000-0010-0000-0200-0000B0000000}" name="11-nov-21" dataDxfId="61"/>
    <tableColumn id="177" xr3:uid="{00000000-0010-0000-0200-0000B1000000}" name="19-nov-21" dataDxfId="60"/>
    <tableColumn id="179" xr3:uid="{00000000-0010-0000-0200-0000B3000000}" name="20-nov-21" dataDxfId="59"/>
    <tableColumn id="178" xr3:uid="{00000000-0010-0000-0200-0000B2000000}" name="23-nov-21" dataDxfId="58"/>
    <tableColumn id="180" xr3:uid="{00000000-0010-0000-0200-0000B4000000}" name="24-nov-21" dataDxfId="57"/>
    <tableColumn id="182" xr3:uid="{00000000-0010-0000-0200-0000B6000000}" name="25-nov-21" dataDxfId="56"/>
    <tableColumn id="185" xr3:uid="{00000000-0010-0000-0200-0000B9000000}" name="1-dez-21" dataDxfId="55"/>
    <tableColumn id="184" xr3:uid="{00000000-0010-0000-0200-0000B8000000}" name="3-dez-21" dataDxfId="54"/>
    <tableColumn id="186" xr3:uid="{00000000-0010-0000-0200-0000BA000000}" name="9-dez-21" dataDxfId="53"/>
    <tableColumn id="187" xr3:uid="{00000000-0010-0000-0200-0000BB000000}" name="16-dez-21" dataDxfId="52"/>
    <tableColumn id="188" xr3:uid="{00000000-0010-0000-0200-0000BC000000}" name="23-dez-21" dataDxfId="51"/>
    <tableColumn id="189" xr3:uid="{00000000-0010-0000-0200-0000BD000000}" name="20-jan-22" dataDxfId="50"/>
    <tableColumn id="190" xr3:uid="{00000000-0010-0000-0200-0000BE000000}" name="21-jan-22" dataDxfId="49"/>
    <tableColumn id="191" xr3:uid="{00000000-0010-0000-0200-0000BF000000}" name="26-jan-22" dataDxfId="48"/>
    <tableColumn id="192" xr3:uid="{00000000-0010-0000-0200-0000C0000000}" name="11-fev-22" dataDxfId="47"/>
    <tableColumn id="193" xr3:uid="{00000000-0010-0000-0200-0000C1000000}" name="18-fev-22" dataDxfId="46"/>
    <tableColumn id="194" xr3:uid="{00000000-0010-0000-0200-0000C2000000}" name="22-fev-22" dataDxfId="45"/>
    <tableColumn id="196" xr3:uid="{00000000-0010-0000-0200-0000C4000000}" name="23-fev-22" dataDxfId="44"/>
    <tableColumn id="195" xr3:uid="{00000000-0010-0000-0200-0000C3000000}" name="25-fev-22" dataDxfId="43"/>
    <tableColumn id="200" xr3:uid="{00000000-0010-0000-0200-0000C8000000}" name="1-mar-22" dataDxfId="42"/>
    <tableColumn id="198" xr3:uid="{00000000-0010-0000-0200-0000C6000000}" name="2-mar-22" dataDxfId="41"/>
    <tableColumn id="197" xr3:uid="{00000000-0010-0000-0200-0000C5000000}" name="15-mar-22" dataDxfId="40"/>
    <tableColumn id="199" xr3:uid="{00000000-0010-0000-0200-0000C7000000}" name="17-mar-22" dataDxfId="39"/>
    <tableColumn id="201" xr3:uid="{00000000-0010-0000-0200-0000C9000000}" name="21-mar-22" dataDxfId="38"/>
    <tableColumn id="203" xr3:uid="{00000000-0010-0000-0200-0000CB000000}" name="24-mar-22" dataDxfId="37"/>
    <tableColumn id="202" xr3:uid="{00000000-0010-0000-0200-0000CA000000}" name="25-mar-22" dataDxfId="36"/>
    <tableColumn id="208" xr3:uid="{00000000-0010-0000-0200-0000D0000000}" name="1-abr-22" dataDxfId="35"/>
    <tableColumn id="204" xr3:uid="{00000000-0010-0000-0200-0000CC000000}" name="4-abr-22" dataDxfId="34"/>
    <tableColumn id="205" xr3:uid="{00000000-0010-0000-0200-0000CD000000}" name="5-abr-22" dataDxfId="33"/>
    <tableColumn id="206" xr3:uid="{00000000-0010-0000-0200-0000CE000000}" name="6-abr-22" dataDxfId="32"/>
    <tableColumn id="207" xr3:uid="{00000000-0010-0000-0200-0000CF000000}" name="8-abr-22" dataDxfId="31"/>
    <tableColumn id="209" xr3:uid="{00000000-0010-0000-0200-0000D1000000}" name="11-abr-22" dataDxfId="30"/>
    <tableColumn id="210" xr3:uid="{00000000-0010-0000-0200-0000D2000000}" name="14-abr-22" dataDxfId="29"/>
    <tableColumn id="211" xr3:uid="{00000000-0010-0000-0200-0000D3000000}" name="21-abr-22" dataDxfId="28"/>
    <tableColumn id="212" xr3:uid="{00000000-0010-0000-0200-0000D4000000}" name="25-abr-22" dataDxfId="27"/>
    <tableColumn id="213" xr3:uid="{00000000-0010-0000-0200-0000D5000000}" name="2-mai-22" dataDxfId="26"/>
    <tableColumn id="216" xr3:uid="{00000000-0010-0000-0200-0000D8000000}" name="3-mai-22" dataDxfId="25"/>
    <tableColumn id="214" xr3:uid="{00000000-0010-0000-0200-0000D6000000}" name="5-mai-22" dataDxfId="24"/>
    <tableColumn id="215" xr3:uid="{00000000-0010-0000-0200-0000D7000000}" name="6-mai-22" dataDxfId="23"/>
    <tableColumn id="129" xr3:uid="{00000000-0010-0000-0200-000081000000}" name="Colunas1" dataDxfId="2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la5" displayName="Tabela5" ref="A2:H215" totalsRowShown="0">
  <autoFilter ref="A2:H215" xr:uid="{00000000-0009-0000-0100-000005000000}"/>
  <tableColumns count="8">
    <tableColumn id="9" xr3:uid="{00000000-0010-0000-0300-000009000000}" name="DATA" dataDxfId="21"/>
    <tableColumn id="1" xr3:uid="{00000000-0010-0000-0300-000001000000}" name="QTD" dataDxfId="20"/>
    <tableColumn id="2" xr3:uid="{00000000-0010-0000-0300-000002000000}" name="COD. ITEM" dataDxfId="19"/>
    <tableColumn id="7" xr3:uid="{00000000-0010-0000-0300-000007000000}" name="ENDEREÇO DO ITEM" dataDxfId="18"/>
    <tableColumn id="3" xr3:uid="{00000000-0010-0000-0300-000003000000}" name="DESCRIÇÃO TECNICA" dataDxfId="17"/>
    <tableColumn id="4" xr3:uid="{00000000-0010-0000-0300-000004000000}" name="Nr OS" dataDxfId="16"/>
    <tableColumn id="5" xr3:uid="{00000000-0010-0000-0300-000005000000}" name="TAG MAQ" dataDxfId="15"/>
    <tableColumn id="8" xr3:uid="{00000000-0010-0000-0300-000008000000}" name="SOLICITANTE " dataDxfId="14"/>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_VALORES" displayName="TAB_VALORES" ref="A2:C5107" totalsRowShown="0" headerRowDxfId="13" dataDxfId="12">
  <autoFilter ref="A2:C5107" xr:uid="{00000000-0009-0000-0100-000006000000}"/>
  <tableColumns count="3">
    <tableColumn id="1" xr3:uid="{00000000-0010-0000-0400-000001000000}" name="Código" dataDxfId="11"/>
    <tableColumn id="2" xr3:uid="{00000000-0010-0000-0400-000002000000}" name="Valor Uni" dataDxfId="10" dataCellStyle="Moeda"/>
    <tableColumn id="3" xr3:uid="{00000000-0010-0000-0400-000003000000}" name="OBS" dataDxfId="9"/>
  </tableColumns>
  <tableStyleInfo name="TableStyleLight1"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B36"/>
  <sheetViews>
    <sheetView showGridLines="0" showRowColHeaders="0" zoomScale="70" zoomScaleNormal="70" zoomScaleSheetLayoutView="100" workbookViewId="0">
      <selection activeCell="B6" sqref="B6"/>
    </sheetView>
  </sheetViews>
  <sheetFormatPr defaultColWidth="0" defaultRowHeight="15" x14ac:dyDescent="0.25"/>
  <cols>
    <col min="1" max="1" width="9.140625" customWidth="1"/>
    <col min="2" max="2" width="18.28515625" customWidth="1"/>
    <col min="3" max="4" width="22.140625" style="24" customWidth="1"/>
    <col min="5" max="5" width="11.7109375" style="26" customWidth="1"/>
    <col min="6" max="6" width="18" customWidth="1"/>
    <col min="7" max="8" width="29.5703125" customWidth="1"/>
    <col min="9" max="9" width="7.85546875" bestFit="1" customWidth="1"/>
    <col min="10" max="26" width="7.85546875" hidden="1" customWidth="1"/>
    <col min="27" max="27" width="7" hidden="1" customWidth="1"/>
    <col min="28" max="28" width="10.7109375" hidden="1" customWidth="1"/>
    <col min="29" max="16384" width="9.140625" hidden="1"/>
  </cols>
  <sheetData>
    <row r="1" spans="1:17" ht="48" customHeight="1" x14ac:dyDescent="0.25">
      <c r="A1" s="231" t="s">
        <v>1221</v>
      </c>
      <c r="B1" s="231"/>
      <c r="C1" s="231"/>
      <c r="D1" s="231"/>
      <c r="E1" s="231"/>
      <c r="F1" s="231"/>
      <c r="G1" s="231"/>
      <c r="H1" s="231"/>
      <c r="I1" s="231"/>
      <c r="J1" s="32"/>
      <c r="K1" s="32"/>
      <c r="L1" s="32"/>
      <c r="M1" s="32"/>
      <c r="N1" s="32"/>
      <c r="O1" s="32"/>
      <c r="P1" s="32"/>
      <c r="Q1" s="32"/>
    </row>
    <row r="2" spans="1:17" s="36" customFormat="1" ht="18.75" x14ac:dyDescent="0.3">
      <c r="A2" s="31"/>
      <c r="B2" s="230" t="s">
        <v>1225</v>
      </c>
      <c r="C2" s="230"/>
      <c r="D2" s="230"/>
      <c r="E2" s="230"/>
      <c r="F2" s="35"/>
      <c r="G2" s="230" t="s">
        <v>1224</v>
      </c>
      <c r="H2" s="230"/>
      <c r="I2" s="31"/>
      <c r="J2" s="31"/>
      <c r="K2" s="31"/>
      <c r="L2" s="31"/>
      <c r="M2" s="31"/>
      <c r="N2" s="31"/>
      <c r="O2" s="31"/>
      <c r="P2" s="31"/>
      <c r="Q2" s="31"/>
    </row>
    <row r="3" spans="1:17" x14ac:dyDescent="0.25">
      <c r="C3"/>
      <c r="D3" s="33"/>
    </row>
    <row r="4" spans="1:17" x14ac:dyDescent="0.25">
      <c r="C4"/>
      <c r="D4"/>
    </row>
    <row r="5" spans="1:17" x14ac:dyDescent="0.25">
      <c r="B5" s="23" t="s">
        <v>1213</v>
      </c>
      <c r="C5" s="24" t="s">
        <v>1223</v>
      </c>
      <c r="D5"/>
      <c r="E5" s="37"/>
      <c r="G5" s="126"/>
      <c r="H5" s="127"/>
      <c r="I5" s="128"/>
    </row>
    <row r="6" spans="1:17" x14ac:dyDescent="0.25">
      <c r="B6" s="7" t="s">
        <v>1433</v>
      </c>
      <c r="C6" s="34">
        <v>504986.64342904999</v>
      </c>
      <c r="D6"/>
      <c r="E6" s="38"/>
      <c r="G6" s="129"/>
      <c r="H6" s="130"/>
      <c r="I6" s="131"/>
    </row>
    <row r="7" spans="1:17" x14ac:dyDescent="0.25">
      <c r="B7" s="7" t="s">
        <v>1622</v>
      </c>
      <c r="C7" s="34">
        <v>1285</v>
      </c>
      <c r="D7"/>
      <c r="E7" s="39"/>
      <c r="F7" s="8"/>
      <c r="G7" s="129"/>
      <c r="H7" s="130"/>
      <c r="I7" s="131"/>
    </row>
    <row r="8" spans="1:17" x14ac:dyDescent="0.25">
      <c r="B8" s="7" t="s">
        <v>1212</v>
      </c>
      <c r="C8" s="34">
        <v>506271.64342904999</v>
      </c>
      <c r="D8"/>
      <c r="E8" s="39"/>
      <c r="F8" s="8"/>
      <c r="G8" s="129"/>
      <c r="H8" s="130"/>
      <c r="I8" s="131"/>
    </row>
    <row r="9" spans="1:17" x14ac:dyDescent="0.25">
      <c r="C9"/>
      <c r="D9"/>
      <c r="E9" s="39"/>
      <c r="F9" s="8"/>
      <c r="G9" s="129"/>
      <c r="H9" s="130"/>
      <c r="I9" s="131"/>
    </row>
    <row r="10" spans="1:17" x14ac:dyDescent="0.25">
      <c r="C10"/>
      <c r="D10"/>
      <c r="E10" s="39"/>
      <c r="F10" s="8"/>
      <c r="G10" s="129"/>
      <c r="H10" s="130"/>
      <c r="I10" s="131"/>
    </row>
    <row r="11" spans="1:17" x14ac:dyDescent="0.25">
      <c r="C11"/>
      <c r="D11"/>
      <c r="E11" s="38"/>
      <c r="F11" s="8"/>
      <c r="G11" s="129"/>
      <c r="H11" s="130"/>
      <c r="I11" s="131"/>
    </row>
    <row r="12" spans="1:17" x14ac:dyDescent="0.25">
      <c r="C12"/>
      <c r="D12"/>
      <c r="E12" s="39"/>
      <c r="F12" s="8"/>
      <c r="G12" s="129"/>
      <c r="H12" s="130"/>
      <c r="I12" s="131"/>
    </row>
    <row r="13" spans="1:17" x14ac:dyDescent="0.25">
      <c r="C13"/>
      <c r="D13"/>
      <c r="E13" s="39"/>
      <c r="F13" s="8"/>
      <c r="G13" s="129"/>
      <c r="H13" s="130"/>
      <c r="I13" s="131"/>
    </row>
    <row r="14" spans="1:17" x14ac:dyDescent="0.25">
      <c r="C14"/>
      <c r="D14"/>
      <c r="E14" s="39"/>
      <c r="F14" s="8"/>
      <c r="G14" s="129"/>
      <c r="H14" s="130"/>
      <c r="I14" s="131"/>
    </row>
    <row r="15" spans="1:17" x14ac:dyDescent="0.25">
      <c r="C15"/>
      <c r="D15"/>
      <c r="E15" s="39"/>
      <c r="F15" s="8"/>
      <c r="G15" s="129"/>
      <c r="H15" s="130"/>
      <c r="I15" s="131"/>
    </row>
    <row r="16" spans="1:17" x14ac:dyDescent="0.25">
      <c r="C16"/>
      <c r="D16"/>
      <c r="E16" s="39"/>
      <c r="G16" s="129"/>
      <c r="H16" s="130"/>
      <c r="I16" s="131"/>
    </row>
    <row r="17" spans="3:9" x14ac:dyDescent="0.25">
      <c r="C17"/>
      <c r="D17"/>
      <c r="E17" s="38"/>
      <c r="G17" s="129"/>
      <c r="H17" s="130"/>
      <c r="I17" s="131"/>
    </row>
    <row r="18" spans="3:9" x14ac:dyDescent="0.25">
      <c r="C18"/>
      <c r="D18"/>
      <c r="E18" s="39"/>
      <c r="G18" s="129"/>
      <c r="H18" s="130"/>
      <c r="I18" s="131"/>
    </row>
    <row r="19" spans="3:9" x14ac:dyDescent="0.25">
      <c r="C19"/>
      <c r="D19"/>
      <c r="E19" s="39"/>
      <c r="G19" s="129"/>
      <c r="H19" s="130"/>
      <c r="I19" s="131"/>
    </row>
    <row r="20" spans="3:9" x14ac:dyDescent="0.25">
      <c r="C20"/>
      <c r="D20"/>
      <c r="E20" s="39"/>
      <c r="G20" s="129"/>
      <c r="H20" s="130"/>
      <c r="I20" s="131"/>
    </row>
    <row r="21" spans="3:9" x14ac:dyDescent="0.25">
      <c r="C21"/>
      <c r="D21"/>
      <c r="E21" s="39"/>
      <c r="G21" s="129"/>
      <c r="H21" s="130"/>
      <c r="I21" s="131"/>
    </row>
    <row r="22" spans="3:9" x14ac:dyDescent="0.25">
      <c r="C22"/>
      <c r="D22"/>
      <c r="E22" s="38"/>
      <c r="G22" s="132"/>
      <c r="H22" s="133"/>
      <c r="I22" s="134"/>
    </row>
    <row r="23" spans="3:9" x14ac:dyDescent="0.25">
      <c r="C23"/>
      <c r="D23"/>
    </row>
    <row r="24" spans="3:9" x14ac:dyDescent="0.25">
      <c r="C24"/>
      <c r="D24"/>
    </row>
    <row r="25" spans="3:9" x14ac:dyDescent="0.25">
      <c r="C25"/>
      <c r="D25"/>
    </row>
    <row r="26" spans="3:9" x14ac:dyDescent="0.25">
      <c r="C26"/>
      <c r="D26"/>
    </row>
    <row r="27" spans="3:9" x14ac:dyDescent="0.25">
      <c r="C27"/>
      <c r="D27"/>
    </row>
    <row r="28" spans="3:9" x14ac:dyDescent="0.25">
      <c r="C28"/>
      <c r="D28"/>
    </row>
    <row r="29" spans="3:9" x14ac:dyDescent="0.25">
      <c r="C29"/>
      <c r="D29"/>
    </row>
    <row r="30" spans="3:9" x14ac:dyDescent="0.25">
      <c r="C30"/>
      <c r="D30"/>
    </row>
    <row r="31" spans="3:9" x14ac:dyDescent="0.25">
      <c r="C31"/>
      <c r="D31"/>
    </row>
    <row r="34" spans="6:6" x14ac:dyDescent="0.25">
      <c r="F34" s="8"/>
    </row>
    <row r="35" spans="6:6" x14ac:dyDescent="0.25">
      <c r="F35" s="8"/>
    </row>
    <row r="36" spans="6:6" x14ac:dyDescent="0.25">
      <c r="F36" s="8"/>
    </row>
  </sheetData>
  <mergeCells count="3">
    <mergeCell ref="B2:E2"/>
    <mergeCell ref="G2:H2"/>
    <mergeCell ref="A1:I1"/>
  </mergeCells>
  <conditionalFormatting sqref="B22 B24:B25 B27:B28 B30:B32 B34 B36 B38:B40 B42 B44:B45 B47:B48 B50 B52:B53 B55:B56 B58:B59 B61:B63 B65 B67:B68 B70 B72:B73 B75:B76 B78:B79 B81 B83:B84 B86:B87 B89 B91 B93 B95 B97 B99 B101 B103 B105 B107 B109 B111 B113 B115 B117 B119 B121 B123 B125 B127 B129 B131 B133 B135 B137 B139 B141 B143 B145 B147 B149 B151 B153 B155 B157 B159 B161">
    <cfRule type="containsText" dxfId="917" priority="1" operator="containsText" text="(vazio)">
      <formula>NOT(ISERROR(SEARCH("(vazio)",B22)))</formula>
    </cfRule>
  </conditionalFormatting>
  <pageMargins left="0.511811024" right="0.511811024" top="0.78740157499999996" bottom="0.78740157499999996" header="0.31496062000000002" footer="0.31496062000000002"/>
  <pageSetup paperSize="9" scale="64" orientation="portrait"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pageSetUpPr fitToPage="1"/>
  </sheetPr>
  <dimension ref="A1:AI1612"/>
  <sheetViews>
    <sheetView showGridLines="0" tabSelected="1" topLeftCell="D1" zoomScale="70" zoomScaleNormal="70" zoomScaleSheetLayoutView="40" workbookViewId="0">
      <pane ySplit="2" topLeftCell="A3" activePane="bottomLeft" state="frozen"/>
      <selection activeCell="B1" sqref="B1"/>
      <selection pane="bottomLeft" activeCell="I11" sqref="I11"/>
    </sheetView>
  </sheetViews>
  <sheetFormatPr defaultColWidth="15.85546875" defaultRowHeight="15" outlineLevelCol="1" x14ac:dyDescent="0.25"/>
  <cols>
    <col min="1" max="1" width="0.140625" style="45" hidden="1" customWidth="1"/>
    <col min="2" max="2" width="13.140625" style="45" hidden="1" customWidth="1"/>
    <col min="3" max="3" width="17.7109375" style="45" hidden="1" customWidth="1"/>
    <col min="4" max="4" width="14.140625" style="45" customWidth="1"/>
    <col min="5" max="5" width="27.28515625" style="45" customWidth="1"/>
    <col min="6" max="6" width="17.140625" style="45" customWidth="1"/>
    <col min="7" max="7" width="0.5703125" style="45" customWidth="1"/>
    <col min="8" max="8" width="0.140625" style="45" customWidth="1"/>
    <col min="9" max="9" width="155.140625" style="45" customWidth="1" outlineLevel="1"/>
    <col min="10" max="10" width="18.42578125" style="45" customWidth="1" outlineLevel="1"/>
    <col min="11" max="11" width="0.140625" style="45" hidden="1" customWidth="1"/>
    <col min="12" max="12" width="22.7109375" style="45" hidden="1" customWidth="1"/>
    <col min="13" max="13" width="13.5703125" style="45" customWidth="1" outlineLevel="1"/>
    <col min="14" max="14" width="11" style="45" customWidth="1" outlineLevel="1"/>
    <col min="15" max="15" width="19.42578125" style="46" customWidth="1" outlineLevel="1"/>
    <col min="16" max="16" width="0.42578125" style="45" customWidth="1" outlineLevel="1"/>
    <col min="17" max="17" width="13.5703125" style="54" customWidth="1"/>
    <col min="18" max="18" width="12.5703125" style="46" customWidth="1"/>
    <col min="19" max="19" width="12.42578125" style="45" customWidth="1"/>
    <col min="20" max="20" width="30.28515625" style="45" customWidth="1"/>
    <col min="21" max="21" width="28" style="54" customWidth="1"/>
    <col min="22" max="22" width="29.85546875" style="54" customWidth="1" outlineLevel="1"/>
    <col min="23" max="23" width="0.140625" style="54" customWidth="1" outlineLevel="1"/>
    <col min="24" max="24" width="0.28515625" style="54" customWidth="1" outlineLevel="1"/>
    <col min="25" max="25" width="25.140625" style="54" customWidth="1" outlineLevel="1"/>
    <col min="26" max="26" width="22.28515625" style="54" customWidth="1" outlineLevel="1"/>
    <col min="27" max="27" width="33.28515625" style="54" customWidth="1" outlineLevel="1"/>
    <col min="28" max="28" width="53" style="54" customWidth="1" outlineLevel="1"/>
    <col min="29" max="29" width="33.28515625" style="54" customWidth="1" outlineLevel="1"/>
    <col min="30" max="30" width="30.140625" style="45" hidden="1" customWidth="1"/>
    <col min="31" max="16384" width="15.85546875" style="45"/>
  </cols>
  <sheetData>
    <row r="1" spans="1:35" ht="42" customHeight="1" x14ac:dyDescent="0.25">
      <c r="B1" s="98" t="s">
        <v>6239</v>
      </c>
      <c r="C1" s="98"/>
      <c r="D1" s="98"/>
      <c r="E1" s="98"/>
      <c r="F1" s="98"/>
      <c r="G1" s="98"/>
      <c r="H1" s="98"/>
      <c r="I1" s="98"/>
      <c r="J1" s="98"/>
      <c r="K1" s="98"/>
      <c r="L1" s="98"/>
      <c r="M1" s="98"/>
      <c r="N1" s="98"/>
      <c r="O1" s="100"/>
      <c r="P1" s="98"/>
      <c r="Q1" s="98"/>
      <c r="R1" s="100"/>
      <c r="S1" s="84" t="s">
        <v>3118</v>
      </c>
      <c r="T1" s="86">
        <f>SUM(TAB_ESTOQUE[Valor Total Estimado])</f>
        <v>1108207.5865800625</v>
      </c>
      <c r="U1" s="85"/>
      <c r="V1" s="85"/>
      <c r="W1" s="85"/>
      <c r="X1" s="143"/>
      <c r="Y1" s="142"/>
      <c r="Z1" s="143"/>
      <c r="AA1" s="142"/>
      <c r="AF1" s="49"/>
      <c r="AG1" s="49"/>
      <c r="AI1" s="45" t="s">
        <v>1158</v>
      </c>
    </row>
    <row r="2" spans="1:35" x14ac:dyDescent="0.25">
      <c r="A2" s="45" t="s">
        <v>0</v>
      </c>
      <c r="B2" s="80" t="s">
        <v>6</v>
      </c>
      <c r="C2" s="80" t="s">
        <v>2771</v>
      </c>
      <c r="D2" s="80" t="s">
        <v>8768</v>
      </c>
      <c r="E2" s="46" t="s">
        <v>1</v>
      </c>
      <c r="F2" s="82" t="s">
        <v>9068</v>
      </c>
      <c r="G2" s="82" t="s">
        <v>8457</v>
      </c>
      <c r="H2" s="82" t="s">
        <v>8458</v>
      </c>
      <c r="I2" s="87" t="s">
        <v>1147</v>
      </c>
      <c r="J2" s="82" t="s">
        <v>1148</v>
      </c>
      <c r="K2" s="82" t="s">
        <v>2</v>
      </c>
      <c r="L2" s="82" t="s">
        <v>1143</v>
      </c>
      <c r="M2" s="82" t="s">
        <v>1144</v>
      </c>
      <c r="N2" s="88" t="s">
        <v>1145</v>
      </c>
      <c r="O2" s="218" t="s">
        <v>8446</v>
      </c>
      <c r="P2" s="82" t="s">
        <v>8447</v>
      </c>
      <c r="Q2" s="89" t="s">
        <v>6066</v>
      </c>
      <c r="R2" s="99" t="s">
        <v>3</v>
      </c>
      <c r="S2" s="99" t="s">
        <v>4</v>
      </c>
      <c r="T2" s="82" t="s">
        <v>8313</v>
      </c>
      <c r="U2" s="89" t="s">
        <v>8314</v>
      </c>
      <c r="V2" s="85" t="s">
        <v>1222</v>
      </c>
      <c r="W2" s="85" t="s">
        <v>1157</v>
      </c>
      <c r="X2" s="85" t="s">
        <v>5</v>
      </c>
      <c r="Y2" s="125" t="s">
        <v>6859</v>
      </c>
      <c r="Z2" s="83" t="s">
        <v>6860</v>
      </c>
      <c r="AA2" s="89" t="s">
        <v>6861</v>
      </c>
      <c r="AB2" s="83" t="s">
        <v>6240</v>
      </c>
      <c r="AC2" s="83" t="s">
        <v>6627</v>
      </c>
      <c r="AD2" s="82" t="s">
        <v>1214</v>
      </c>
      <c r="AE2" s="82"/>
      <c r="AF2" s="82"/>
    </row>
    <row r="3" spans="1:35" ht="15" customHeight="1" x14ac:dyDescent="0.25">
      <c r="A3" s="106">
        <v>1094</v>
      </c>
      <c r="B3" s="106"/>
      <c r="C3" s="116"/>
      <c r="D3" s="106" t="s">
        <v>2583</v>
      </c>
      <c r="E3" s="116"/>
      <c r="F3" s="118" t="s">
        <v>2833</v>
      </c>
      <c r="G3" s="95"/>
      <c r="H3" s="95"/>
      <c r="I3" s="95" t="s">
        <v>1204</v>
      </c>
      <c r="J3" s="95"/>
      <c r="K3" s="95"/>
      <c r="L3" s="95"/>
      <c r="M3" s="95"/>
      <c r="N3" s="95"/>
      <c r="O3" s="118" t="s">
        <v>6280</v>
      </c>
      <c r="P3" s="95" t="s">
        <v>827</v>
      </c>
      <c r="Q3" s="154">
        <f>VLOOKUP(TAB_ESTOQUE[[#This Row],[Codigo]],TAB_ENTRADA[[Cod_2_Entrada]:[TOTAL_ENTRADA]],5,FALSE)-VLOOKUP(TAB_ESTOQUE[[#This Row],[Codigo]],TAB_SAIDA[[COD_2_SAIDA]:[TOTAL_SAIDA]],5,FALSE)</f>
        <v>1</v>
      </c>
      <c r="R3" s="118"/>
      <c r="S3" s="118"/>
      <c r="T3" s="119">
        <v>2133</v>
      </c>
      <c r="U3" s="112">
        <f>TAB_ESTOQUE[[#This Row],[Valor Unitario Estimado]]*TAB_ESTOQUE[[#This Row],[Estoque]]</f>
        <v>2133</v>
      </c>
      <c r="V3" s="112"/>
      <c r="W3" s="120"/>
      <c r="X3" s="120"/>
      <c r="Y3" s="120"/>
      <c r="Z3" s="120"/>
      <c r="AA3" s="120"/>
      <c r="AB3" s="120" t="str">
        <f>IF(TAB_ESTOQUE[[#This Row],[Estoque]]=0,"Estoque Não Conforme",IF(TAB_ESTOQUE[[#This Row],[Estoque]]&gt;=TAB_ESTOQUE[[#This Row],[Mínimo]],"Estoque Conforme",IF(TAB_ESTOQUE[[#This Row],[Estoque]]&lt;TAB_ESTOQUE[[#This Row],[Mínimo]],"Estoque em Nivel Minimo")))</f>
        <v>Estoque Conforme</v>
      </c>
      <c r="AC3" s="120"/>
      <c r="AD3" s="95"/>
      <c r="AE3" s="82"/>
      <c r="AF3" s="82"/>
    </row>
    <row r="4" spans="1:35" ht="15" customHeight="1" x14ac:dyDescent="0.25">
      <c r="A4" s="45">
        <v>1104</v>
      </c>
      <c r="B4" s="47"/>
      <c r="C4" s="46"/>
      <c r="D4" s="45" t="s">
        <v>2593</v>
      </c>
      <c r="E4" s="46" t="s">
        <v>8108</v>
      </c>
      <c r="F4" s="87" t="s">
        <v>2833</v>
      </c>
      <c r="G4" s="82"/>
      <c r="H4" s="82"/>
      <c r="I4" s="82" t="s">
        <v>3075</v>
      </c>
      <c r="J4" s="82"/>
      <c r="K4" s="82"/>
      <c r="L4" s="82"/>
      <c r="M4" s="82"/>
      <c r="N4" s="82"/>
      <c r="O4" s="87" t="s">
        <v>6280</v>
      </c>
      <c r="P4" s="82" t="s">
        <v>833</v>
      </c>
      <c r="Q4" s="83">
        <f>VLOOKUP(TAB_ESTOQUE[[#This Row],[Codigo]],TAB_ENTRADA[[Cod_2_Entrada]:[TOTAL_ENTRADA]],5,FALSE)-VLOOKUP(TAB_ESTOQUE[[#This Row],[Codigo]],TAB_SAIDA[[COD_2_SAIDA]:[TOTAL_SAIDA]],5,FALSE)</f>
        <v>1</v>
      </c>
      <c r="R4" s="87"/>
      <c r="S4" s="87"/>
      <c r="T4" s="90">
        <v>8700</v>
      </c>
      <c r="U4" s="91">
        <f>TAB_ESTOQUE[[#This Row],[Valor Unitario Estimado]]*TAB_ESTOQUE[[#This Row],[Estoque]]</f>
        <v>8700</v>
      </c>
      <c r="V4" s="91"/>
      <c r="W4" s="85"/>
      <c r="X4" s="85"/>
      <c r="Y4" s="85"/>
      <c r="Z4" s="85"/>
      <c r="AA4" s="85"/>
      <c r="AB4" s="85" t="str">
        <f>IF(TAB_ESTOQUE[[#This Row],[Estoque]]=0,"Estoque Não Conforme",IF(TAB_ESTOQUE[[#This Row],[Estoque]]&gt;=TAB_ESTOQUE[[#This Row],[Mínimo]],"Estoque Conforme",IF(TAB_ESTOQUE[[#This Row],[Estoque]]&lt;TAB_ESTOQUE[[#This Row],[Mínimo]],"Estoque em Nivel Minimo")))</f>
        <v>Estoque Conforme</v>
      </c>
      <c r="AC4" s="85"/>
      <c r="AD4" s="82"/>
      <c r="AE4" s="82"/>
      <c r="AF4" s="82"/>
    </row>
    <row r="5" spans="1:35" ht="15" customHeight="1" x14ac:dyDescent="0.25">
      <c r="A5" s="45">
        <v>683</v>
      </c>
      <c r="B5" s="47"/>
      <c r="C5" s="46"/>
      <c r="D5" s="45" t="s">
        <v>2400</v>
      </c>
      <c r="E5" s="46" t="s">
        <v>8081</v>
      </c>
      <c r="F5" s="87"/>
      <c r="G5" s="82"/>
      <c r="H5" s="82"/>
      <c r="I5" s="82" t="s">
        <v>8020</v>
      </c>
      <c r="J5" s="82"/>
      <c r="K5" s="82"/>
      <c r="L5" s="82"/>
      <c r="M5" s="82"/>
      <c r="N5" s="82"/>
      <c r="O5" s="87" t="s">
        <v>6279</v>
      </c>
      <c r="P5" s="82" t="s">
        <v>467</v>
      </c>
      <c r="Q5" s="83">
        <f>VLOOKUP(TAB_ESTOQUE[[#This Row],[Codigo]],TAB_ENTRADA[[Cod_2_Entrada]:[TOTAL_ENTRADA]],5,FALSE)-VLOOKUP(TAB_ESTOQUE[[#This Row],[Codigo]],TAB_SAIDA[[COD_2_SAIDA]:[TOTAL_SAIDA]],5,FALSE)</f>
        <v>2</v>
      </c>
      <c r="R5" s="87"/>
      <c r="S5" s="87"/>
      <c r="T5" s="90">
        <v>620</v>
      </c>
      <c r="U5" s="91">
        <f>TAB_ESTOQUE[[#This Row],[Valor Unitario Estimado]]*TAB_ESTOQUE[[#This Row],[Estoque]]</f>
        <v>1240</v>
      </c>
      <c r="V5" s="91"/>
      <c r="W5" s="85"/>
      <c r="X5" s="85"/>
      <c r="Y5" s="85"/>
      <c r="Z5" s="85"/>
      <c r="AA5" s="85"/>
      <c r="AB5" s="85" t="str">
        <f>IF(TAB_ESTOQUE[[#This Row],[Estoque]]=0,"Estoque Não Conforme",IF(TAB_ESTOQUE[[#This Row],[Estoque]]&gt;=TAB_ESTOQUE[[#This Row],[Mínimo]],"Estoque Conforme",IF(TAB_ESTOQUE[[#This Row],[Estoque]]&lt;TAB_ESTOQUE[[#This Row],[Mínimo]],"Estoque em Nivel Minimo")))</f>
        <v>Estoque Conforme</v>
      </c>
      <c r="AC5" s="85"/>
      <c r="AD5" s="82"/>
      <c r="AE5" s="82"/>
      <c r="AF5" s="82"/>
    </row>
    <row r="6" spans="1:35" ht="15" customHeight="1" x14ac:dyDescent="0.25">
      <c r="A6" s="45">
        <v>850</v>
      </c>
      <c r="B6" s="47"/>
      <c r="C6" s="46"/>
      <c r="D6" s="45" t="s">
        <v>2502</v>
      </c>
      <c r="E6" s="46" t="s">
        <v>222</v>
      </c>
      <c r="F6" s="87" t="s">
        <v>2833</v>
      </c>
      <c r="G6" s="82"/>
      <c r="H6" s="82"/>
      <c r="I6" s="82" t="s">
        <v>1552</v>
      </c>
      <c r="J6" s="82"/>
      <c r="K6" s="82"/>
      <c r="L6" s="82"/>
      <c r="M6" s="82"/>
      <c r="N6" s="82"/>
      <c r="O6" s="87" t="s">
        <v>6279</v>
      </c>
      <c r="P6" s="82" t="s">
        <v>638</v>
      </c>
      <c r="Q6" s="83">
        <f>VLOOKUP(TAB_ESTOQUE[[#This Row],[Codigo]],TAB_ENTRADA[[Cod_2_Entrada]:[TOTAL_ENTRADA]],5,FALSE)-VLOOKUP(TAB_ESTOQUE[[#This Row],[Codigo]],TAB_SAIDA[[COD_2_SAIDA]:[TOTAL_SAIDA]],5,FALSE)</f>
        <v>0</v>
      </c>
      <c r="R6" s="87"/>
      <c r="S6" s="87"/>
      <c r="T6" s="90"/>
      <c r="U6" s="91">
        <f>TAB_ESTOQUE[[#This Row],[Valor Unitario Estimado]]*TAB_ESTOQUE[[#This Row],[Estoque]]</f>
        <v>0</v>
      </c>
      <c r="V6" s="91"/>
      <c r="W6" s="85"/>
      <c r="X6" s="85"/>
      <c r="Y6" s="85"/>
      <c r="Z6" s="85"/>
      <c r="AA6" s="85"/>
      <c r="AB6" s="85" t="str">
        <f>IF(TAB_ESTOQUE[[#This Row],[Estoque]]=0,"Estoque Não Conforme",IF(TAB_ESTOQUE[[#This Row],[Estoque]]&gt;=TAB_ESTOQUE[[#This Row],[Mínimo]],"Estoque Conforme",IF(TAB_ESTOQUE[[#This Row],[Estoque]]&lt;TAB_ESTOQUE[[#This Row],[Mínimo]],"Estoque em Nivel Minimo")))</f>
        <v>Estoque Não Conforme</v>
      </c>
      <c r="AC6" s="85"/>
      <c r="AD6" s="82"/>
      <c r="AE6" s="82"/>
      <c r="AF6" s="82"/>
    </row>
    <row r="7" spans="1:35" ht="15" customHeight="1" x14ac:dyDescent="0.25">
      <c r="B7" s="47"/>
      <c r="C7" s="46"/>
      <c r="D7" s="45" t="s">
        <v>2704</v>
      </c>
      <c r="E7" s="46" t="s">
        <v>3067</v>
      </c>
      <c r="F7" s="87"/>
      <c r="G7" s="82"/>
      <c r="H7" s="82"/>
      <c r="I7" s="82" t="s">
        <v>3079</v>
      </c>
      <c r="J7" s="82"/>
      <c r="K7" s="82"/>
      <c r="L7" s="82"/>
      <c r="M7" s="82"/>
      <c r="N7" s="82"/>
      <c r="O7" s="87" t="s">
        <v>6279</v>
      </c>
      <c r="P7" s="82" t="s">
        <v>1303</v>
      </c>
      <c r="Q7" s="83">
        <f>VLOOKUP(TAB_ESTOQUE[[#This Row],[Codigo]],TAB_ENTRADA[[Cod_2_Entrada]:[TOTAL_ENTRADA]],5,FALSE)-VLOOKUP(TAB_ESTOQUE[[#This Row],[Codigo]],TAB_SAIDA[[COD_2_SAIDA]:[TOTAL_SAIDA]],5,FALSE)</f>
        <v>1</v>
      </c>
      <c r="R7" s="87"/>
      <c r="S7" s="87"/>
      <c r="T7" s="90"/>
      <c r="U7" s="91">
        <f>TAB_ESTOQUE[[#This Row],[Valor Unitario Estimado]]*TAB_ESTOQUE[[#This Row],[Estoque]]</f>
        <v>0</v>
      </c>
      <c r="V7" s="91"/>
      <c r="W7" s="85"/>
      <c r="X7" s="85"/>
      <c r="Y7" s="85"/>
      <c r="Z7" s="85"/>
      <c r="AA7" s="85"/>
      <c r="AB7" s="96" t="str">
        <f>IF(TAB_ESTOQUE[[#This Row],[Estoque]]=0,"Estoque Não Conforme",IF(TAB_ESTOQUE[[#This Row],[Estoque]]&gt;=TAB_ESTOQUE[[#This Row],[Mínimo]],"Estoque Conforme",IF(TAB_ESTOQUE[[#This Row],[Estoque]]&lt;TAB_ESTOQUE[[#This Row],[Mínimo]],"Estoque em Nivel Minimo")))</f>
        <v>Estoque Conforme</v>
      </c>
      <c r="AC7" s="85"/>
      <c r="AD7" s="82"/>
      <c r="AE7" s="82"/>
      <c r="AF7" s="82"/>
    </row>
    <row r="8" spans="1:35" ht="15" customHeight="1" x14ac:dyDescent="0.25">
      <c r="B8" s="47"/>
      <c r="C8" s="53" t="s">
        <v>2838</v>
      </c>
      <c r="D8" s="45" t="s">
        <v>2881</v>
      </c>
      <c r="E8" s="46"/>
      <c r="F8" s="87" t="s">
        <v>2833</v>
      </c>
      <c r="G8" s="82"/>
      <c r="H8" s="82"/>
      <c r="I8" s="82" t="s">
        <v>6401</v>
      </c>
      <c r="J8" s="82"/>
      <c r="K8" s="82"/>
      <c r="L8" s="82"/>
      <c r="M8" s="82"/>
      <c r="N8" s="82"/>
      <c r="O8" s="87" t="s">
        <v>6279</v>
      </c>
      <c r="P8" s="82" t="s">
        <v>2895</v>
      </c>
      <c r="Q8" s="83">
        <f>VLOOKUP(TAB_ESTOQUE[[#This Row],[Codigo]],TAB_ENTRADA[[Cod_2_Entrada]:[TOTAL_ENTRADA]],5,FALSE)-VLOOKUP(TAB_ESTOQUE[[#This Row],[Codigo]],TAB_SAIDA[[COD_2_SAIDA]:[TOTAL_SAIDA]],5,FALSE)</f>
        <v>0</v>
      </c>
      <c r="R8" s="87"/>
      <c r="S8" s="87"/>
      <c r="T8" s="90"/>
      <c r="U8" s="91">
        <f>TAB_ESTOQUE[[#This Row],[Valor Unitario Estimado]]*TAB_ESTOQUE[[#This Row],[Estoque]]</f>
        <v>0</v>
      </c>
      <c r="V8" s="91"/>
      <c r="W8" s="85"/>
      <c r="X8" s="85"/>
      <c r="Y8" s="85"/>
      <c r="Z8" s="85"/>
      <c r="AA8" s="85"/>
      <c r="AB8" s="85" t="str">
        <f>IF(TAB_ESTOQUE[[#This Row],[Estoque]]=0,"Estoque Não Conforme",IF(TAB_ESTOQUE[[#This Row],[Estoque]]&gt;=TAB_ESTOQUE[[#This Row],[Mínimo]],"Estoque Conforme",IF(TAB_ESTOQUE[[#This Row],[Estoque]]&lt;TAB_ESTOQUE[[#This Row],[Mínimo]],"Estoque em Nivel Minimo")))</f>
        <v>Estoque Não Conforme</v>
      </c>
      <c r="AC8" s="96"/>
      <c r="AD8" s="82"/>
      <c r="AE8" s="82"/>
      <c r="AF8" s="82"/>
    </row>
    <row r="9" spans="1:35" ht="15" customHeight="1" x14ac:dyDescent="0.25">
      <c r="C9" s="48"/>
      <c r="D9" s="45" t="s">
        <v>7536</v>
      </c>
      <c r="E9" s="46" t="s">
        <v>8039</v>
      </c>
      <c r="F9" s="87"/>
      <c r="I9" s="45" t="s">
        <v>8043</v>
      </c>
      <c r="O9" s="116" t="s">
        <v>6279</v>
      </c>
      <c r="Q9" s="137">
        <f>VLOOKUP(TAB_ESTOQUE[[#This Row],[Codigo]],TAB_ENTRADA[[Cod_2_Entrada]:[TOTAL_ENTRADA]],5,FALSE)-VLOOKUP(TAB_ESTOQUE[[#This Row],[Codigo]],TAB_SAIDA[[COD_2_SAIDA]:[TOTAL_SAIDA]],5,FALSE)</f>
        <v>1</v>
      </c>
      <c r="S9" s="46"/>
      <c r="T9" s="102">
        <v>9600</v>
      </c>
      <c r="U9" s="103">
        <f>TAB_ESTOQUE[[#This Row],[Valor Unitario Estimado]]*TAB_ESTOQUE[[#This Row],[Estoque]]</f>
        <v>9600</v>
      </c>
      <c r="V9" s="103"/>
      <c r="AA9" s="138"/>
      <c r="AB9" s="104" t="str">
        <f>IF(TAB_ESTOQUE[[#This Row],[Estoque]]=0,"Estoque Não Conforme",IF(TAB_ESTOQUE[[#This Row],[Estoque]]&gt;=TAB_ESTOQUE[[#This Row],[Mínimo]],"Estoque Conforme",IF(TAB_ESTOQUE[[#This Row],[Estoque]]&lt;TAB_ESTOQUE[[#This Row],[Mínimo]],"Estoque em Nivel Minimo")))</f>
        <v>Estoque Conforme</v>
      </c>
      <c r="AC9" s="104"/>
      <c r="AE9" s="82"/>
      <c r="AF9" s="82"/>
    </row>
    <row r="10" spans="1:35" ht="15" customHeight="1" x14ac:dyDescent="0.25">
      <c r="A10" s="106">
        <v>1222</v>
      </c>
      <c r="B10" s="106"/>
      <c r="C10" s="116"/>
      <c r="D10" s="106" t="s">
        <v>2587</v>
      </c>
      <c r="E10" s="116"/>
      <c r="F10" s="87" t="s">
        <v>2833</v>
      </c>
      <c r="G10" s="95"/>
      <c r="H10" s="95"/>
      <c r="I10" s="95" t="s">
        <v>1196</v>
      </c>
      <c r="J10" s="95"/>
      <c r="K10" s="95"/>
      <c r="L10" s="95"/>
      <c r="M10" s="95"/>
      <c r="N10" s="95"/>
      <c r="O10" s="118" t="s">
        <v>6335</v>
      </c>
      <c r="P10" s="95" t="s">
        <v>830</v>
      </c>
      <c r="Q10" s="154">
        <f>VLOOKUP(TAB_ESTOQUE[[#This Row],[Codigo]],TAB_ENTRADA[[Cod_2_Entrada]:[TOTAL_ENTRADA]],5,FALSE)-VLOOKUP(TAB_ESTOQUE[[#This Row],[Codigo]],TAB_SAIDA[[COD_2_SAIDA]:[TOTAL_SAIDA]],5,FALSE)</f>
        <v>1</v>
      </c>
      <c r="R10" s="118"/>
      <c r="S10" s="118"/>
      <c r="T10" s="119">
        <v>12</v>
      </c>
      <c r="U10" s="112">
        <f>TAB_ESTOQUE[[#This Row],[Valor Unitario Estimado]]*TAB_ESTOQUE[[#This Row],[Estoque]]</f>
        <v>12</v>
      </c>
      <c r="V10" s="112"/>
      <c r="W10" s="120"/>
      <c r="X10" s="120"/>
      <c r="Y10" s="120"/>
      <c r="Z10" s="120"/>
      <c r="AA10" s="120"/>
      <c r="AB10" s="120" t="str">
        <f>IF(TAB_ESTOQUE[[#This Row],[Estoque]]=0,"Estoque Não Conforme",IF(TAB_ESTOQUE[[#This Row],[Estoque]]&gt;=TAB_ESTOQUE[[#This Row],[Mínimo]],"Estoque Conforme",IF(TAB_ESTOQUE[[#This Row],[Estoque]]&lt;TAB_ESTOQUE[[#This Row],[Mínimo]],"Estoque em Nivel Minimo")))</f>
        <v>Estoque Conforme</v>
      </c>
      <c r="AC10" s="120"/>
      <c r="AD10" s="95"/>
      <c r="AE10" s="82"/>
      <c r="AF10" s="82"/>
    </row>
    <row r="11" spans="1:35" ht="15" customHeight="1" x14ac:dyDescent="0.25">
      <c r="A11" s="45">
        <v>1077</v>
      </c>
      <c r="B11" s="47"/>
      <c r="C11" s="46"/>
      <c r="D11" s="45" t="s">
        <v>2601</v>
      </c>
      <c r="E11" s="46"/>
      <c r="F11" s="87"/>
      <c r="G11" s="82"/>
      <c r="H11" s="82"/>
      <c r="I11" s="82" t="s">
        <v>6624</v>
      </c>
      <c r="J11" s="82"/>
      <c r="K11" s="82" t="s">
        <v>35</v>
      </c>
      <c r="L11" s="82"/>
      <c r="M11" s="82"/>
      <c r="N11" s="82"/>
      <c r="O11" s="87" t="s">
        <v>6335</v>
      </c>
      <c r="P11" s="82" t="s">
        <v>817</v>
      </c>
      <c r="Q11" s="83">
        <f>VLOOKUP(TAB_ESTOQUE[[#This Row],[Codigo]],TAB_ENTRADA[[Cod_2_Entrada]:[TOTAL_ENTRADA]],5,FALSE)-VLOOKUP(TAB_ESTOQUE[[#This Row],[Codigo]],TAB_SAIDA[[COD_2_SAIDA]:[TOTAL_SAIDA]],5,FALSE)</f>
        <v>7</v>
      </c>
      <c r="R11" s="87"/>
      <c r="S11" s="87"/>
      <c r="T11" s="90"/>
      <c r="U11" s="91">
        <f>TAB_ESTOQUE[[#This Row],[Valor Unitario Estimado]]*TAB_ESTOQUE[[#This Row],[Estoque]]</f>
        <v>0</v>
      </c>
      <c r="V11" s="91"/>
      <c r="W11" s="85"/>
      <c r="X11" s="85"/>
      <c r="Y11" s="85"/>
      <c r="Z11" s="85"/>
      <c r="AA11" s="85"/>
      <c r="AB11" s="85" t="str">
        <f>IF(TAB_ESTOQUE[[#This Row],[Estoque]]=0,"Estoque Não Conforme",IF(TAB_ESTOQUE[[#This Row],[Estoque]]&gt;=TAB_ESTOQUE[[#This Row],[Mínimo]],"Estoque Conforme",IF(TAB_ESTOQUE[[#This Row],[Estoque]]&lt;TAB_ESTOQUE[[#This Row],[Mínimo]],"Estoque em Nivel Minimo")))</f>
        <v>Estoque Conforme</v>
      </c>
      <c r="AC11" s="85"/>
      <c r="AD11" s="82"/>
      <c r="AE11" s="82"/>
      <c r="AF11" s="82"/>
      <c r="AG11" s="46"/>
    </row>
    <row r="12" spans="1:35" ht="15" customHeight="1" x14ac:dyDescent="0.25">
      <c r="A12" s="45">
        <v>1079</v>
      </c>
      <c r="B12" s="47"/>
      <c r="C12" s="46"/>
      <c r="D12" s="45" t="s">
        <v>2603</v>
      </c>
      <c r="E12" s="46"/>
      <c r="F12" s="87" t="s">
        <v>2833</v>
      </c>
      <c r="G12" s="82"/>
      <c r="H12" s="82"/>
      <c r="I12" s="82" t="s">
        <v>1170</v>
      </c>
      <c r="J12" s="82"/>
      <c r="K12" s="82" t="s">
        <v>35</v>
      </c>
      <c r="L12" s="82"/>
      <c r="M12" s="82"/>
      <c r="N12" s="82"/>
      <c r="O12" s="87" t="s">
        <v>6335</v>
      </c>
      <c r="P12" s="82" t="s">
        <v>817</v>
      </c>
      <c r="Q12" s="83">
        <f>VLOOKUP(TAB_ESTOQUE[[#This Row],[Codigo]],TAB_ENTRADA[[Cod_2_Entrada]:[TOTAL_ENTRADA]],5,FALSE)-VLOOKUP(TAB_ESTOQUE[[#This Row],[Codigo]],TAB_SAIDA[[COD_2_SAIDA]:[TOTAL_SAIDA]],5,FALSE)</f>
        <v>2</v>
      </c>
      <c r="R12" s="87"/>
      <c r="S12" s="87"/>
      <c r="T12" s="90"/>
      <c r="U12" s="91">
        <f>TAB_ESTOQUE[[#This Row],[Valor Unitario Estimado]]*TAB_ESTOQUE[[#This Row],[Estoque]]</f>
        <v>0</v>
      </c>
      <c r="V12" s="91"/>
      <c r="W12" s="85"/>
      <c r="X12" s="85"/>
      <c r="Y12" s="85"/>
      <c r="Z12" s="85"/>
      <c r="AA12" s="85"/>
      <c r="AB12" s="85" t="str">
        <f>IF(TAB_ESTOQUE[[#This Row],[Estoque]]=0,"Estoque Não Conforme",IF(TAB_ESTOQUE[[#This Row],[Estoque]]&gt;=TAB_ESTOQUE[[#This Row],[Mínimo]],"Estoque Conforme",IF(TAB_ESTOQUE[[#This Row],[Estoque]]&lt;TAB_ESTOQUE[[#This Row],[Mínimo]],"Estoque em Nivel Minimo")))</f>
        <v>Estoque Conforme</v>
      </c>
      <c r="AC12" s="85"/>
      <c r="AD12" s="82"/>
      <c r="AE12" s="82"/>
      <c r="AF12" s="82"/>
    </row>
    <row r="13" spans="1:35" ht="15" customHeight="1" x14ac:dyDescent="0.25">
      <c r="A13" s="45">
        <v>1081</v>
      </c>
      <c r="B13" s="47"/>
      <c r="C13" s="46"/>
      <c r="D13" s="45" t="s">
        <v>2605</v>
      </c>
      <c r="E13" s="46"/>
      <c r="F13" s="87"/>
      <c r="G13" s="82"/>
      <c r="H13" s="82"/>
      <c r="I13" s="82" t="s">
        <v>1166</v>
      </c>
      <c r="J13" s="82"/>
      <c r="K13" s="82" t="s">
        <v>35</v>
      </c>
      <c r="L13" s="82"/>
      <c r="M13" s="82"/>
      <c r="N13" s="82"/>
      <c r="O13" s="87" t="s">
        <v>6335</v>
      </c>
      <c r="P13" s="82" t="s">
        <v>817</v>
      </c>
      <c r="Q13" s="83">
        <f>VLOOKUP(TAB_ESTOQUE[[#This Row],[Codigo]],TAB_ENTRADA[[Cod_2_Entrada]:[TOTAL_ENTRADA]],5,FALSE)-VLOOKUP(TAB_ESTOQUE[[#This Row],[Codigo]],TAB_SAIDA[[COD_2_SAIDA]:[TOTAL_SAIDA]],5,FALSE)</f>
        <v>9</v>
      </c>
      <c r="R13" s="87"/>
      <c r="S13" s="87"/>
      <c r="T13" s="90">
        <v>5.5</v>
      </c>
      <c r="U13" s="91">
        <f>TAB_ESTOQUE[[#This Row],[Valor Unitario Estimado]]*TAB_ESTOQUE[[#This Row],[Estoque]]</f>
        <v>49.5</v>
      </c>
      <c r="V13" s="91"/>
      <c r="W13" s="85"/>
      <c r="X13" s="85"/>
      <c r="Y13" s="85"/>
      <c r="Z13" s="85"/>
      <c r="AA13" s="85"/>
      <c r="AB13" s="85" t="str">
        <f>IF(TAB_ESTOQUE[[#This Row],[Estoque]]=0,"Estoque Não Conforme",IF(TAB_ESTOQUE[[#This Row],[Estoque]]&gt;=TAB_ESTOQUE[[#This Row],[Mínimo]],"Estoque Conforme",IF(TAB_ESTOQUE[[#This Row],[Estoque]]&lt;TAB_ESTOQUE[[#This Row],[Mínimo]],"Estoque em Nivel Minimo")))</f>
        <v>Estoque Conforme</v>
      </c>
      <c r="AC13" s="85"/>
      <c r="AD13" s="82"/>
      <c r="AE13" s="82"/>
      <c r="AF13" s="82"/>
    </row>
    <row r="14" spans="1:35" ht="15" customHeight="1" x14ac:dyDescent="0.25">
      <c r="B14" s="47"/>
      <c r="C14" s="46"/>
      <c r="D14" s="45" t="s">
        <v>2708</v>
      </c>
      <c r="E14" s="46" t="s">
        <v>3067</v>
      </c>
      <c r="F14" s="87" t="s">
        <v>2833</v>
      </c>
      <c r="G14" s="82"/>
      <c r="H14" s="82"/>
      <c r="I14" s="82" t="s">
        <v>3074</v>
      </c>
      <c r="J14" s="82"/>
      <c r="K14" s="82"/>
      <c r="L14" s="82"/>
      <c r="M14" s="82"/>
      <c r="N14" s="82"/>
      <c r="O14" s="87" t="s">
        <v>6335</v>
      </c>
      <c r="P14" s="82" t="s">
        <v>1306</v>
      </c>
      <c r="Q14" s="83">
        <f>VLOOKUP(TAB_ESTOQUE[[#This Row],[Codigo]],TAB_ENTRADA[[Cod_2_Entrada]:[TOTAL_ENTRADA]],5,FALSE)-VLOOKUP(TAB_ESTOQUE[[#This Row],[Codigo]],TAB_SAIDA[[COD_2_SAIDA]:[TOTAL_SAIDA]],5,FALSE)</f>
        <v>1</v>
      </c>
      <c r="R14" s="87"/>
      <c r="S14" s="87"/>
      <c r="T14" s="90"/>
      <c r="U14" s="91">
        <f>TAB_ESTOQUE[[#This Row],[Valor Unitario Estimado]]*TAB_ESTOQUE[[#This Row],[Estoque]]</f>
        <v>0</v>
      </c>
      <c r="V14" s="91"/>
      <c r="W14" s="85"/>
      <c r="X14" s="85"/>
      <c r="Y14" s="85"/>
      <c r="Z14" s="85"/>
      <c r="AA14" s="85"/>
      <c r="AB14" s="96" t="str">
        <f>IF(TAB_ESTOQUE[[#This Row],[Estoque]]=0,"Estoque Não Conforme",IF(TAB_ESTOQUE[[#This Row],[Estoque]]&gt;=TAB_ESTOQUE[[#This Row],[Mínimo]],"Estoque Conforme",IF(TAB_ESTOQUE[[#This Row],[Estoque]]&lt;TAB_ESTOQUE[[#This Row],[Mínimo]],"Estoque em Nivel Minimo")))</f>
        <v>Estoque Conforme</v>
      </c>
      <c r="AC14" s="85"/>
      <c r="AD14" s="82"/>
      <c r="AE14" s="82"/>
      <c r="AF14" s="82"/>
    </row>
    <row r="15" spans="1:35" ht="15" customHeight="1" x14ac:dyDescent="0.25">
      <c r="B15" s="47"/>
      <c r="C15" s="48"/>
      <c r="D15" s="45" t="s">
        <v>6487</v>
      </c>
      <c r="E15" s="87"/>
      <c r="F15" s="87"/>
      <c r="G15" s="82"/>
      <c r="H15" s="82"/>
      <c r="I15" s="82" t="s">
        <v>6965</v>
      </c>
      <c r="J15" s="82"/>
      <c r="K15" s="82"/>
      <c r="L15" s="82"/>
      <c r="M15" s="82"/>
      <c r="N15" s="82"/>
      <c r="O15" s="87" t="s">
        <v>6335</v>
      </c>
      <c r="P15" s="82"/>
      <c r="Q15" s="83">
        <f>VLOOKUP(TAB_ESTOQUE[[#This Row],[Codigo]],TAB_ENTRADA[[Cod_2_Entrada]:[TOTAL_ENTRADA]],5,FALSE)-VLOOKUP(TAB_ESTOQUE[[#This Row],[Codigo]],TAB_SAIDA[[COD_2_SAIDA]:[TOTAL_SAIDA]],5,FALSE)</f>
        <v>4</v>
      </c>
      <c r="R15" s="87"/>
      <c r="S15" s="87"/>
      <c r="T15" s="90"/>
      <c r="U15" s="91">
        <f>TAB_ESTOQUE[[#This Row],[Valor Unitario Estimado]]*TAB_ESTOQUE[[#This Row],[Estoque]]</f>
        <v>0</v>
      </c>
      <c r="V15" s="91"/>
      <c r="W15" s="85"/>
      <c r="X15" s="85"/>
      <c r="Y15" s="85"/>
      <c r="Z15" s="85"/>
      <c r="AA15" s="85"/>
      <c r="AB15" s="96" t="str">
        <f>IF(TAB_ESTOQUE[[#This Row],[Estoque]]=0,"Estoque Não Conforme",IF(TAB_ESTOQUE[[#This Row],[Estoque]]&gt;=TAB_ESTOQUE[[#This Row],[Mínimo]],"Estoque Conforme",IF(TAB_ESTOQUE[[#This Row],[Estoque]]&lt;TAB_ESTOQUE[[#This Row],[Mínimo]],"Estoque em Nivel Minimo")))</f>
        <v>Estoque Conforme</v>
      </c>
      <c r="AC15" s="96"/>
      <c r="AD15" s="82"/>
      <c r="AE15" s="82"/>
      <c r="AF15" s="82"/>
    </row>
    <row r="16" spans="1:35" ht="15" customHeight="1" x14ac:dyDescent="0.25">
      <c r="C16" s="48"/>
      <c r="D16" s="45" t="s">
        <v>6917</v>
      </c>
      <c r="E16" s="46" t="s">
        <v>7186</v>
      </c>
      <c r="F16" s="87" t="s">
        <v>2833</v>
      </c>
      <c r="I16" s="210" t="s">
        <v>7942</v>
      </c>
      <c r="O16" s="46" t="s">
        <v>6335</v>
      </c>
      <c r="Q16" s="137">
        <f>VLOOKUP(TAB_ESTOQUE[[#This Row],[Codigo]],TAB_ENTRADA[[Cod_2_Entrada]:[TOTAL_ENTRADA]],5,FALSE)-VLOOKUP(TAB_ESTOQUE[[#This Row],[Codigo]],TAB_SAIDA[[COD_2_SAIDA]:[TOTAL_SAIDA]],5,FALSE)</f>
        <v>3</v>
      </c>
      <c r="S16" s="46"/>
      <c r="T16" s="102">
        <v>368.45</v>
      </c>
      <c r="U16" s="103">
        <f>TAB_ESTOQUE[[#This Row],[Valor Unitario Estimado]]*TAB_ESTOQUE[[#This Row],[Estoque]]</f>
        <v>1105.3499999999999</v>
      </c>
      <c r="V16" s="103"/>
      <c r="AA16" s="138"/>
      <c r="AB16" s="104" t="str">
        <f>IF(TAB_ESTOQUE[[#This Row],[Estoque]]=0,"Estoque Não Conforme",IF(TAB_ESTOQUE[[#This Row],[Estoque]]&gt;=TAB_ESTOQUE[[#This Row],[Mínimo]],"Estoque Conforme",IF(TAB_ESTOQUE[[#This Row],[Estoque]]&lt;TAB_ESTOQUE[[#This Row],[Mínimo]],"Estoque em Nivel Minimo")))</f>
        <v>Estoque Conforme</v>
      </c>
      <c r="AC16" s="104"/>
      <c r="AE16" s="82"/>
      <c r="AF16" s="82"/>
    </row>
    <row r="17" spans="1:32" ht="15" customHeight="1" x14ac:dyDescent="0.25">
      <c r="C17" s="48"/>
      <c r="D17" s="45" t="s">
        <v>7538</v>
      </c>
      <c r="E17" s="46" t="s">
        <v>8039</v>
      </c>
      <c r="F17" s="87"/>
      <c r="I17" s="45" t="s">
        <v>8044</v>
      </c>
      <c r="O17" s="46" t="s">
        <v>6335</v>
      </c>
      <c r="Q17" s="137">
        <f>VLOOKUP(TAB_ESTOQUE[[#This Row],[Codigo]],TAB_ENTRADA[[Cod_2_Entrada]:[TOTAL_ENTRADA]],5,FALSE)-VLOOKUP(TAB_ESTOQUE[[#This Row],[Codigo]],TAB_SAIDA[[COD_2_SAIDA]:[TOTAL_SAIDA]],5,FALSE)</f>
        <v>1</v>
      </c>
      <c r="S17" s="46"/>
      <c r="T17" s="102">
        <v>2040</v>
      </c>
      <c r="U17" s="103">
        <f>TAB_ESTOQUE[[#This Row],[Valor Unitario Estimado]]*TAB_ESTOQUE[[#This Row],[Estoque]]</f>
        <v>2040</v>
      </c>
      <c r="V17" s="103"/>
      <c r="AA17" s="138"/>
      <c r="AB17" s="104" t="str">
        <f>IF(TAB_ESTOQUE[[#This Row],[Estoque]]=0,"Estoque Não Conforme",IF(TAB_ESTOQUE[[#This Row],[Estoque]]&gt;=TAB_ESTOQUE[[#This Row],[Mínimo]],"Estoque Conforme",IF(TAB_ESTOQUE[[#This Row],[Estoque]]&lt;TAB_ESTOQUE[[#This Row],[Mínimo]],"Estoque em Nivel Minimo")))</f>
        <v>Estoque Conforme</v>
      </c>
      <c r="AC17" s="104"/>
      <c r="AE17" s="82"/>
      <c r="AF17" s="82"/>
    </row>
    <row r="18" spans="1:32" ht="15" customHeight="1" x14ac:dyDescent="0.25">
      <c r="C18" s="48"/>
      <c r="D18" s="45" t="s">
        <v>7731</v>
      </c>
      <c r="E18" s="46"/>
      <c r="F18" s="87" t="s">
        <v>2833</v>
      </c>
      <c r="I18" s="45" t="s">
        <v>8445</v>
      </c>
      <c r="O18" s="46" t="s">
        <v>6335</v>
      </c>
      <c r="Q18" s="137">
        <f>VLOOKUP(TAB_ESTOQUE[[#This Row],[Codigo]],TAB_ENTRADA[[Cod_2_Entrada]:[TOTAL_ENTRADA]],5,FALSE)-VLOOKUP(TAB_ESTOQUE[[#This Row],[Codigo]],TAB_SAIDA[[COD_2_SAIDA]:[TOTAL_SAIDA]],5,FALSE)</f>
        <v>1</v>
      </c>
      <c r="S18" s="46"/>
      <c r="T18" s="102"/>
      <c r="U18" s="103">
        <f>TAB_ESTOQUE[[#This Row],[Valor Unitario Estimado]]*TAB_ESTOQUE[[#This Row],[Estoque]]</f>
        <v>0</v>
      </c>
      <c r="V18" s="103"/>
      <c r="AA18" s="138"/>
      <c r="AB18" s="104" t="str">
        <f>IF(TAB_ESTOQUE[[#This Row],[Estoque]]=0,"Estoque Não Conforme",IF(TAB_ESTOQUE[[#This Row],[Estoque]]&gt;=TAB_ESTOQUE[[#This Row],[Mínimo]],"Estoque Conforme",IF(TAB_ESTOQUE[[#This Row],[Estoque]]&lt;TAB_ESTOQUE[[#This Row],[Mínimo]],"Estoque em Nivel Minimo")))</f>
        <v>Estoque Conforme</v>
      </c>
      <c r="AC18" s="104"/>
      <c r="AE18" s="82"/>
      <c r="AF18" s="82"/>
    </row>
    <row r="19" spans="1:32" ht="16.5" customHeight="1" x14ac:dyDescent="0.25">
      <c r="A19" s="47">
        <v>1152</v>
      </c>
      <c r="B19" s="47"/>
      <c r="C19" s="51" t="s">
        <v>2833</v>
      </c>
      <c r="D19" s="47" t="s">
        <v>1768</v>
      </c>
      <c r="E19" s="51" t="s">
        <v>7</v>
      </c>
      <c r="F19" s="87"/>
      <c r="G19" s="94"/>
      <c r="H19" s="94"/>
      <c r="I19" s="94" t="s">
        <v>7959</v>
      </c>
      <c r="J19" s="94"/>
      <c r="K19" s="94"/>
      <c r="L19" s="94"/>
      <c r="M19" s="94"/>
      <c r="N19" s="94"/>
      <c r="O19" s="107" t="s">
        <v>6606</v>
      </c>
      <c r="P19" s="94" t="s">
        <v>850</v>
      </c>
      <c r="Q19" s="145">
        <f>VLOOKUP(TAB_ESTOQUE[[#This Row],[Codigo]],TAB_ENTRADA[[Cod_2_Entrada]:[TOTAL_ENTRADA]],5,FALSE)-VLOOKUP(TAB_ESTOQUE[[#This Row],[Codigo]],TAB_SAIDA[[COD_2_SAIDA]:[TOTAL_SAIDA]],5,FALSE)</f>
        <v>2</v>
      </c>
      <c r="R19" s="107"/>
      <c r="S19" s="107"/>
      <c r="T19" s="108">
        <v>4581.0200000000004</v>
      </c>
      <c r="U19" s="109">
        <f>TAB_ESTOQUE[[#This Row],[Valor Unitario Estimado]]*TAB_ESTOQUE[[#This Row],[Estoque]]</f>
        <v>9162.0400000000009</v>
      </c>
      <c r="V19" s="109"/>
      <c r="W19" s="110"/>
      <c r="X19" s="110"/>
      <c r="Y19" s="110"/>
      <c r="Z19" s="110"/>
      <c r="AA19" s="110"/>
      <c r="AB19" s="110" t="str">
        <f>IF(TAB_ESTOQUE[[#This Row],[Estoque]]=0,"Estoque Não Conforme",IF(TAB_ESTOQUE[[#This Row],[Estoque]]&gt;=TAB_ESTOQUE[[#This Row],[Mínimo]],"Estoque Conforme",IF(TAB_ESTOQUE[[#This Row],[Estoque]]&lt;TAB_ESTOQUE[[#This Row],[Mínimo]],"Estoque em Nivel Minimo")))</f>
        <v>Estoque Conforme</v>
      </c>
      <c r="AC19" s="110"/>
      <c r="AD19" s="94"/>
      <c r="AE19" s="82"/>
      <c r="AF19" s="82"/>
    </row>
    <row r="20" spans="1:32" ht="15" customHeight="1" x14ac:dyDescent="0.25">
      <c r="A20" s="45">
        <v>268</v>
      </c>
      <c r="B20" s="47"/>
      <c r="C20" s="46"/>
      <c r="D20" s="45" t="s">
        <v>2232</v>
      </c>
      <c r="E20" s="46" t="s">
        <v>7345</v>
      </c>
      <c r="F20" s="87" t="s">
        <v>2833</v>
      </c>
      <c r="G20" s="82"/>
      <c r="H20" s="82"/>
      <c r="I20" s="82" t="s">
        <v>2903</v>
      </c>
      <c r="J20" s="82"/>
      <c r="K20" s="82"/>
      <c r="L20" s="82"/>
      <c r="M20" s="82" t="s">
        <v>139</v>
      </c>
      <c r="N20" s="82"/>
      <c r="O20" s="87" t="s">
        <v>6606</v>
      </c>
      <c r="P20" s="82" t="s">
        <v>205</v>
      </c>
      <c r="Q20" s="83">
        <f>VLOOKUP(TAB_ESTOQUE[[#This Row],[Codigo]],TAB_ENTRADA[[Cod_2_Entrada]:[TOTAL_ENTRADA]],5,FALSE)-VLOOKUP(TAB_ESTOQUE[[#This Row],[Codigo]],TAB_SAIDA[[COD_2_SAIDA]:[TOTAL_SAIDA]],5,FALSE)</f>
        <v>1</v>
      </c>
      <c r="R20" s="87"/>
      <c r="S20" s="87"/>
      <c r="T20" s="90"/>
      <c r="U20" s="91">
        <f>TAB_ESTOQUE[[#This Row],[Valor Unitario Estimado]]*TAB_ESTOQUE[[#This Row],[Estoque]]</f>
        <v>0</v>
      </c>
      <c r="V20" s="91"/>
      <c r="W20" s="85"/>
      <c r="X20" s="85"/>
      <c r="Y20" s="85"/>
      <c r="Z20" s="85"/>
      <c r="AA20" s="85"/>
      <c r="AB20" s="85" t="str">
        <f>IF(TAB_ESTOQUE[[#This Row],[Estoque]]=0,"Estoque Não Conforme",IF(TAB_ESTOQUE[[#This Row],[Estoque]]&gt;=TAB_ESTOQUE[[#This Row],[Mínimo]],"Estoque Conforme",IF(TAB_ESTOQUE[[#This Row],[Estoque]]&lt;TAB_ESTOQUE[[#This Row],[Mínimo]],"Estoque em Nivel Minimo")))</f>
        <v>Estoque Conforme</v>
      </c>
      <c r="AC20" s="85"/>
      <c r="AD20" s="82"/>
      <c r="AE20" s="82"/>
      <c r="AF20" s="82"/>
    </row>
    <row r="21" spans="1:32" ht="15" customHeight="1" x14ac:dyDescent="0.25">
      <c r="A21" s="45">
        <v>265</v>
      </c>
      <c r="B21" s="47"/>
      <c r="C21" s="46"/>
      <c r="D21" s="45" t="s">
        <v>2233</v>
      </c>
      <c r="E21" s="46" t="s">
        <v>7</v>
      </c>
      <c r="F21" s="87"/>
      <c r="G21" s="82"/>
      <c r="H21" s="82"/>
      <c r="I21" s="82" t="s">
        <v>3005</v>
      </c>
      <c r="J21" s="82"/>
      <c r="K21" s="82"/>
      <c r="L21" s="82"/>
      <c r="M21" s="82" t="s">
        <v>139</v>
      </c>
      <c r="N21" s="82"/>
      <c r="O21" s="87" t="s">
        <v>6606</v>
      </c>
      <c r="P21" s="82" t="s">
        <v>203</v>
      </c>
      <c r="Q21" s="83">
        <f>VLOOKUP(TAB_ESTOQUE[[#This Row],[Codigo]],TAB_ENTRADA[[Cod_2_Entrada]:[TOTAL_ENTRADA]],5,FALSE)-VLOOKUP(TAB_ESTOQUE[[#This Row],[Codigo]],TAB_SAIDA[[COD_2_SAIDA]:[TOTAL_SAIDA]],5,FALSE)</f>
        <v>2</v>
      </c>
      <c r="R21" s="87"/>
      <c r="S21" s="87"/>
      <c r="T21" s="90"/>
      <c r="U21" s="91">
        <f>TAB_ESTOQUE[[#This Row],[Valor Unitario Estimado]]*TAB_ESTOQUE[[#This Row],[Estoque]]</f>
        <v>0</v>
      </c>
      <c r="V21" s="91"/>
      <c r="W21" s="85"/>
      <c r="X21" s="85"/>
      <c r="Y21" s="85"/>
      <c r="Z21" s="85"/>
      <c r="AA21" s="85"/>
      <c r="AB21" s="85" t="str">
        <f>IF(TAB_ESTOQUE[[#This Row],[Estoque]]=0,"Estoque Não Conforme",IF(TAB_ESTOQUE[[#This Row],[Estoque]]&gt;=TAB_ESTOQUE[[#This Row],[Mínimo]],"Estoque Conforme",IF(TAB_ESTOQUE[[#This Row],[Estoque]]&lt;TAB_ESTOQUE[[#This Row],[Mínimo]],"Estoque em Nivel Minimo")))</f>
        <v>Estoque Conforme</v>
      </c>
      <c r="AC21" s="85"/>
      <c r="AD21" s="82"/>
      <c r="AE21" s="82"/>
      <c r="AF21" s="82"/>
    </row>
    <row r="22" spans="1:32" ht="15" customHeight="1" x14ac:dyDescent="0.25">
      <c r="A22" s="45">
        <v>675</v>
      </c>
      <c r="B22" s="47"/>
      <c r="C22" s="46" t="s">
        <v>2833</v>
      </c>
      <c r="D22" s="45" t="s">
        <v>2459</v>
      </c>
      <c r="E22" s="46" t="s">
        <v>546</v>
      </c>
      <c r="F22" s="87" t="s">
        <v>2833</v>
      </c>
      <c r="G22" s="82"/>
      <c r="H22" s="82"/>
      <c r="I22" s="82" t="s">
        <v>7288</v>
      </c>
      <c r="J22" s="82"/>
      <c r="K22" s="82"/>
      <c r="L22" s="82"/>
      <c r="M22" s="82"/>
      <c r="N22" s="82"/>
      <c r="O22" s="87" t="s">
        <v>6606</v>
      </c>
      <c r="P22" s="82" t="s">
        <v>458</v>
      </c>
      <c r="Q22" s="83">
        <f>VLOOKUP(TAB_ESTOQUE[[#This Row],[Codigo]],TAB_ENTRADA[[Cod_2_Entrada]:[TOTAL_ENTRADA]],5,FALSE)-VLOOKUP(TAB_ESTOQUE[[#This Row],[Codigo]],TAB_SAIDA[[COD_2_SAIDA]:[TOTAL_SAIDA]],5,FALSE)</f>
        <v>20</v>
      </c>
      <c r="R22" s="87"/>
      <c r="S22" s="87"/>
      <c r="T22" s="90">
        <v>25.5</v>
      </c>
      <c r="U22" s="91">
        <f>TAB_ESTOQUE[[#This Row],[Valor Unitario Estimado]]*TAB_ESTOQUE[[#This Row],[Estoque]]</f>
        <v>510</v>
      </c>
      <c r="V22" s="91"/>
      <c r="W22" s="85"/>
      <c r="X22" s="85"/>
      <c r="Y22" s="85"/>
      <c r="Z22" s="85"/>
      <c r="AA22" s="85"/>
      <c r="AB22" s="85" t="str">
        <f>IF(TAB_ESTOQUE[[#This Row],[Estoque]]=0,"Estoque Não Conforme",IF(TAB_ESTOQUE[[#This Row],[Estoque]]&gt;=TAB_ESTOQUE[[#This Row],[Mínimo]],"Estoque Conforme",IF(TAB_ESTOQUE[[#This Row],[Estoque]]&lt;TAB_ESTOQUE[[#This Row],[Mínimo]],"Estoque em Nivel Minimo")))</f>
        <v>Estoque Conforme</v>
      </c>
      <c r="AC22" s="85"/>
      <c r="AD22" s="82"/>
      <c r="AE22" s="82"/>
      <c r="AF22" s="82"/>
    </row>
    <row r="23" spans="1:32" s="47" customFormat="1" ht="15" customHeight="1" x14ac:dyDescent="0.25">
      <c r="A23" s="45"/>
      <c r="B23" s="45"/>
      <c r="C23" s="48"/>
      <c r="D23" s="45" t="s">
        <v>6916</v>
      </c>
      <c r="E23" s="46" t="s">
        <v>6826</v>
      </c>
      <c r="F23" s="87"/>
      <c r="G23" s="45"/>
      <c r="H23" s="45"/>
      <c r="I23" s="45" t="s">
        <v>7941</v>
      </c>
      <c r="J23" s="45"/>
      <c r="K23" s="45"/>
      <c r="L23" s="45"/>
      <c r="M23" s="45"/>
      <c r="N23" s="45"/>
      <c r="O23" s="46" t="s">
        <v>6606</v>
      </c>
      <c r="P23" s="45"/>
      <c r="Q23" s="137">
        <f>VLOOKUP(TAB_ESTOQUE[[#This Row],[Codigo]],TAB_ENTRADA[[Cod_2_Entrada]:[TOTAL_ENTRADA]],5,FALSE)-VLOOKUP(TAB_ESTOQUE[[#This Row],[Codigo]],TAB_SAIDA[[COD_2_SAIDA]:[TOTAL_SAIDA]],5,FALSE)</f>
        <v>2</v>
      </c>
      <c r="R23" s="46"/>
      <c r="S23" s="46"/>
      <c r="T23" s="102">
        <v>3793.65</v>
      </c>
      <c r="U23" s="103">
        <f>TAB_ESTOQUE[[#This Row],[Valor Unitario Estimado]]*TAB_ESTOQUE[[#This Row],[Estoque]]</f>
        <v>7587.3</v>
      </c>
      <c r="V23" s="103"/>
      <c r="W23" s="54"/>
      <c r="X23" s="54"/>
      <c r="Y23" s="54"/>
      <c r="Z23" s="54"/>
      <c r="AA23" s="138"/>
      <c r="AB23" s="104" t="str">
        <f>IF(TAB_ESTOQUE[[#This Row],[Estoque]]=0,"Estoque Não Conforme",IF(TAB_ESTOQUE[[#This Row],[Estoque]]&gt;=TAB_ESTOQUE[[#This Row],[Mínimo]],"Estoque Conforme",IF(TAB_ESTOQUE[[#This Row],[Estoque]]&lt;TAB_ESTOQUE[[#This Row],[Mínimo]],"Estoque em Nivel Minimo")))</f>
        <v>Estoque Conforme</v>
      </c>
      <c r="AC23" s="104"/>
      <c r="AD23" s="45"/>
      <c r="AE23" s="94"/>
      <c r="AF23" s="94"/>
    </row>
    <row r="24" spans="1:32" ht="15" customHeight="1" x14ac:dyDescent="0.25">
      <c r="C24" s="48"/>
      <c r="D24" s="45" t="s">
        <v>7122</v>
      </c>
      <c r="E24" s="46" t="s">
        <v>7638</v>
      </c>
      <c r="F24" s="87" t="s">
        <v>2833</v>
      </c>
      <c r="I24" s="45" t="s">
        <v>7639</v>
      </c>
      <c r="O24" s="46" t="s">
        <v>6606</v>
      </c>
      <c r="Q24" s="137">
        <f>VLOOKUP(TAB_ESTOQUE[[#This Row],[Codigo]],TAB_ENTRADA[[Cod_2_Entrada]:[TOTAL_ENTRADA]],5,FALSE)-VLOOKUP(TAB_ESTOQUE[[#This Row],[Codigo]],TAB_SAIDA[[COD_2_SAIDA]:[TOTAL_SAIDA]],5,FALSE)</f>
        <v>2</v>
      </c>
      <c r="S24" s="46"/>
      <c r="T24" s="102">
        <v>2736</v>
      </c>
      <c r="U24" s="103">
        <f>TAB_ESTOQUE[[#This Row],[Valor Unitario Estimado]]*TAB_ESTOQUE[[#This Row],[Estoque]]</f>
        <v>5472</v>
      </c>
      <c r="V24" s="103"/>
      <c r="AA24" s="138"/>
      <c r="AB24" s="104" t="str">
        <f>IF(TAB_ESTOQUE[[#This Row],[Estoque]]=0,"Estoque Não Conforme",IF(TAB_ESTOQUE[[#This Row],[Estoque]]&gt;=TAB_ESTOQUE[[#This Row],[Mínimo]],"Estoque Conforme",IF(TAB_ESTOQUE[[#This Row],[Estoque]]&lt;TAB_ESTOQUE[[#This Row],[Mínimo]],"Estoque em Nivel Minimo")))</f>
        <v>Estoque Conforme</v>
      </c>
      <c r="AC24" s="104"/>
      <c r="AE24" s="82"/>
      <c r="AF24" s="82"/>
    </row>
    <row r="25" spans="1:32" ht="15" customHeight="1" x14ac:dyDescent="0.25">
      <c r="C25" s="48"/>
      <c r="D25" s="45" t="s">
        <v>7123</v>
      </c>
      <c r="E25" s="46" t="s">
        <v>7638</v>
      </c>
      <c r="F25" s="87"/>
      <c r="I25" s="45" t="s">
        <v>7943</v>
      </c>
      <c r="O25" s="46" t="s">
        <v>6606</v>
      </c>
      <c r="Q25" s="137">
        <f>VLOOKUP(TAB_ESTOQUE[[#This Row],[Codigo]],TAB_ENTRADA[[Cod_2_Entrada]:[TOTAL_ENTRADA]],5,FALSE)-VLOOKUP(TAB_ESTOQUE[[#This Row],[Codigo]],TAB_SAIDA[[COD_2_SAIDA]:[TOTAL_SAIDA]],5,FALSE)</f>
        <v>0</v>
      </c>
      <c r="S25" s="46"/>
      <c r="T25" s="102">
        <v>9637.2000000000007</v>
      </c>
      <c r="U25" s="103">
        <f>TAB_ESTOQUE[[#This Row],[Valor Unitario Estimado]]*TAB_ESTOQUE[[#This Row],[Estoque]]</f>
        <v>0</v>
      </c>
      <c r="V25" s="103"/>
      <c r="AA25" s="138"/>
      <c r="AB25" s="104" t="str">
        <f>IF(TAB_ESTOQUE[[#This Row],[Estoque]]=0,"Estoque Não Conforme",IF(TAB_ESTOQUE[[#This Row],[Estoque]]&gt;=TAB_ESTOQUE[[#This Row],[Mínimo]],"Estoque Conforme",IF(TAB_ESTOQUE[[#This Row],[Estoque]]&lt;TAB_ESTOQUE[[#This Row],[Mínimo]],"Estoque em Nivel Minimo")))</f>
        <v>Estoque Não Conforme</v>
      </c>
      <c r="AC25" s="104"/>
      <c r="AE25" s="82"/>
      <c r="AF25" s="82"/>
    </row>
    <row r="26" spans="1:32" ht="15" customHeight="1" x14ac:dyDescent="0.25">
      <c r="C26" s="48"/>
      <c r="D26" s="45" t="s">
        <v>7548</v>
      </c>
      <c r="E26" s="46" t="s">
        <v>8039</v>
      </c>
      <c r="F26" s="87" t="s">
        <v>2833</v>
      </c>
      <c r="I26" s="45" t="s">
        <v>8045</v>
      </c>
      <c r="O26" s="116" t="s">
        <v>6606</v>
      </c>
      <c r="Q26" s="137">
        <f>VLOOKUP(TAB_ESTOQUE[[#This Row],[Codigo]],TAB_ENTRADA[[Cod_2_Entrada]:[TOTAL_ENTRADA]],5,FALSE)-VLOOKUP(TAB_ESTOQUE[[#This Row],[Codigo]],TAB_SAIDA[[COD_2_SAIDA]:[TOTAL_SAIDA]],5,FALSE)</f>
        <v>2</v>
      </c>
      <c r="S26" s="46"/>
      <c r="T26" s="102">
        <v>2040</v>
      </c>
      <c r="U26" s="103">
        <f>TAB_ESTOQUE[[#This Row],[Valor Unitario Estimado]]*TAB_ESTOQUE[[#This Row],[Estoque]]</f>
        <v>4080</v>
      </c>
      <c r="V26" s="103"/>
      <c r="AA26" s="138"/>
      <c r="AB26" s="104" t="str">
        <f>IF(TAB_ESTOQUE[[#This Row],[Estoque]]=0,"Estoque Não Conforme",IF(TAB_ESTOQUE[[#This Row],[Estoque]]&gt;=TAB_ESTOQUE[[#This Row],[Mínimo]],"Estoque Conforme",IF(TAB_ESTOQUE[[#This Row],[Estoque]]&lt;TAB_ESTOQUE[[#This Row],[Mínimo]],"Estoque em Nivel Minimo")))</f>
        <v>Estoque Conforme</v>
      </c>
      <c r="AC26" s="104"/>
      <c r="AE26" s="82"/>
      <c r="AF26" s="82"/>
    </row>
    <row r="27" spans="1:32" s="47" customFormat="1" ht="15" customHeight="1" x14ac:dyDescent="0.25">
      <c r="A27" s="45"/>
      <c r="C27" s="46"/>
      <c r="D27" s="45" t="s">
        <v>2742</v>
      </c>
      <c r="E27" s="46" t="s">
        <v>116</v>
      </c>
      <c r="F27" s="87"/>
      <c r="G27" s="82"/>
      <c r="H27" s="82"/>
      <c r="I27" s="82" t="s">
        <v>6021</v>
      </c>
      <c r="J27" s="82"/>
      <c r="K27" s="82"/>
      <c r="L27" s="82"/>
      <c r="M27" s="82"/>
      <c r="N27" s="82"/>
      <c r="O27" s="87" t="s">
        <v>6337</v>
      </c>
      <c r="P27" s="82" t="s">
        <v>1388</v>
      </c>
      <c r="Q27" s="83">
        <f>VLOOKUP(TAB_ESTOQUE[[#This Row],[Codigo]],TAB_ENTRADA[[Cod_2_Entrada]:[TOTAL_ENTRADA]],5,FALSE)-VLOOKUP(TAB_ESTOQUE[[#This Row],[Codigo]],TAB_SAIDA[[COD_2_SAIDA]:[TOTAL_SAIDA]],5,FALSE)</f>
        <v>3</v>
      </c>
      <c r="R27" s="87"/>
      <c r="S27" s="87"/>
      <c r="T27" s="90">
        <v>165.44</v>
      </c>
      <c r="U27" s="91">
        <f>TAB_ESTOQUE[[#This Row],[Valor Unitario Estimado]]*TAB_ESTOQUE[[#This Row],[Estoque]]</f>
        <v>496.32</v>
      </c>
      <c r="V27" s="91"/>
      <c r="W27" s="85"/>
      <c r="X27" s="85"/>
      <c r="Y27" s="85"/>
      <c r="Z27" s="85"/>
      <c r="AA27" s="85"/>
      <c r="AB27" s="96" t="str">
        <f>IF(TAB_ESTOQUE[[#This Row],[Estoque]]=0,"Estoque Não Conforme",IF(TAB_ESTOQUE[[#This Row],[Estoque]]&gt;=TAB_ESTOQUE[[#This Row],[Mínimo]],"Estoque Conforme",IF(TAB_ESTOQUE[[#This Row],[Estoque]]&lt;TAB_ESTOQUE[[#This Row],[Mínimo]],"Estoque em Nivel Minimo")))</f>
        <v>Estoque Conforme</v>
      </c>
      <c r="AC27" s="85"/>
      <c r="AD27" s="82"/>
      <c r="AE27" s="94"/>
      <c r="AF27" s="94"/>
    </row>
    <row r="28" spans="1:32" s="106" customFormat="1" ht="15" customHeight="1" x14ac:dyDescent="0.25">
      <c r="A28" s="45"/>
      <c r="B28" s="47"/>
      <c r="C28" s="46" t="s">
        <v>2842</v>
      </c>
      <c r="D28" s="45" t="s">
        <v>2743</v>
      </c>
      <c r="E28" s="46" t="s">
        <v>116</v>
      </c>
      <c r="F28" s="87" t="s">
        <v>2833</v>
      </c>
      <c r="G28" s="82"/>
      <c r="H28" s="82"/>
      <c r="I28" s="82" t="s">
        <v>8963</v>
      </c>
      <c r="J28" s="82"/>
      <c r="K28" s="82"/>
      <c r="L28" s="82"/>
      <c r="M28" s="82"/>
      <c r="N28" s="82"/>
      <c r="O28" s="87" t="s">
        <v>6337</v>
      </c>
      <c r="P28" s="82" t="s">
        <v>1389</v>
      </c>
      <c r="Q28" s="83">
        <f>VLOOKUP(TAB_ESTOQUE[[#This Row],[Codigo]],TAB_ENTRADA[[Cod_2_Entrada]:[TOTAL_ENTRADA]],5,FALSE)-VLOOKUP(TAB_ESTOQUE[[#This Row],[Codigo]],TAB_SAIDA[[COD_2_SAIDA]:[TOTAL_SAIDA]],5,FALSE)</f>
        <v>1</v>
      </c>
      <c r="R28" s="87"/>
      <c r="S28" s="87"/>
      <c r="T28" s="90">
        <v>1003.34</v>
      </c>
      <c r="U28" s="91">
        <f>TAB_ESTOQUE[[#This Row],[Valor Unitario Estimado]]*TAB_ESTOQUE[[#This Row],[Estoque]]</f>
        <v>1003.34</v>
      </c>
      <c r="V28" s="91"/>
      <c r="W28" s="85"/>
      <c r="X28" s="85"/>
      <c r="Y28" s="85"/>
      <c r="Z28" s="85"/>
      <c r="AA28" s="85"/>
      <c r="AB28" s="96" t="str">
        <f>IF(TAB_ESTOQUE[[#This Row],[Estoque]]=0,"Estoque Não Conforme",IF(TAB_ESTOQUE[[#This Row],[Estoque]]&gt;=TAB_ESTOQUE[[#This Row],[Mínimo]],"Estoque Conforme",IF(TAB_ESTOQUE[[#This Row],[Estoque]]&lt;TAB_ESTOQUE[[#This Row],[Mínimo]],"Estoque em Nivel Minimo")))</f>
        <v>Estoque Conforme</v>
      </c>
      <c r="AC28" s="85"/>
      <c r="AD28" s="82"/>
      <c r="AE28" s="95"/>
      <c r="AF28" s="95"/>
    </row>
    <row r="29" spans="1:32" ht="15" customHeight="1" x14ac:dyDescent="0.25">
      <c r="B29" s="47"/>
      <c r="C29" s="46"/>
      <c r="D29" s="45" t="s">
        <v>2744</v>
      </c>
      <c r="E29" s="46" t="s">
        <v>116</v>
      </c>
      <c r="F29" s="87"/>
      <c r="G29" s="82"/>
      <c r="H29" s="82"/>
      <c r="I29" s="82" t="s">
        <v>7960</v>
      </c>
      <c r="J29" s="82"/>
      <c r="K29" s="82"/>
      <c r="L29" s="82"/>
      <c r="M29" s="82"/>
      <c r="N29" s="82"/>
      <c r="O29" s="87" t="s">
        <v>6337</v>
      </c>
      <c r="P29" s="82" t="s">
        <v>1391</v>
      </c>
      <c r="Q29" s="83">
        <f>VLOOKUP(TAB_ESTOQUE[[#This Row],[Codigo]],TAB_ENTRADA[[Cod_2_Entrada]:[TOTAL_ENTRADA]],5,FALSE)-VLOOKUP(TAB_ESTOQUE[[#This Row],[Codigo]],TAB_SAIDA[[COD_2_SAIDA]:[TOTAL_SAIDA]],5,FALSE)</f>
        <v>2</v>
      </c>
      <c r="R29" s="87"/>
      <c r="S29" s="87"/>
      <c r="T29" s="90">
        <v>95.96</v>
      </c>
      <c r="U29" s="91">
        <f>TAB_ESTOQUE[[#This Row],[Valor Unitario Estimado]]*TAB_ESTOQUE[[#This Row],[Estoque]]</f>
        <v>191.92</v>
      </c>
      <c r="V29" s="91"/>
      <c r="W29" s="85"/>
      <c r="X29" s="85"/>
      <c r="Y29" s="85"/>
      <c r="Z29" s="85"/>
      <c r="AA29" s="85"/>
      <c r="AB29" s="96" t="str">
        <f>IF(TAB_ESTOQUE[[#This Row],[Estoque]]=0,"Estoque Não Conforme",IF(TAB_ESTOQUE[[#This Row],[Estoque]]&gt;=TAB_ESTOQUE[[#This Row],[Mínimo]],"Estoque Conforme",IF(TAB_ESTOQUE[[#This Row],[Estoque]]&lt;TAB_ESTOQUE[[#This Row],[Mínimo]],"Estoque em Nivel Minimo")))</f>
        <v>Estoque Conforme</v>
      </c>
      <c r="AC29" s="85"/>
      <c r="AD29" s="82"/>
      <c r="AE29" s="82"/>
      <c r="AF29" s="82"/>
    </row>
    <row r="30" spans="1:32" ht="15" customHeight="1" x14ac:dyDescent="0.25">
      <c r="B30" s="47"/>
      <c r="C30" s="48"/>
      <c r="D30" s="45" t="s">
        <v>6567</v>
      </c>
      <c r="E30" s="46"/>
      <c r="F30" s="87"/>
      <c r="I30" s="45" t="s">
        <v>7026</v>
      </c>
      <c r="O30" s="46" t="s">
        <v>6337</v>
      </c>
      <c r="Q30" s="83">
        <f>VLOOKUP(TAB_ESTOQUE[[#This Row],[Codigo]],TAB_ENTRADA[[Cod_2_Entrada]:[TOTAL_ENTRADA]],5,FALSE)-VLOOKUP(TAB_ESTOQUE[[#This Row],[Codigo]],TAB_SAIDA[[COD_2_SAIDA]:[TOTAL_SAIDA]],5,FALSE)</f>
        <v>1</v>
      </c>
      <c r="S30" s="46"/>
      <c r="T30" s="102">
        <v>500</v>
      </c>
      <c r="U30" s="103">
        <f>TAB_ESTOQUE[[#This Row],[Valor Unitario Estimado]]*TAB_ESTOQUE[[#This Row],[Estoque]]</f>
        <v>500</v>
      </c>
      <c r="V30" s="103"/>
      <c r="AB30" s="104" t="str">
        <f>IF(TAB_ESTOQUE[[#This Row],[Estoque]]=0,"Estoque Não Conforme",IF(TAB_ESTOQUE[[#This Row],[Estoque]]&gt;=TAB_ESTOQUE[[#This Row],[Mínimo]],"Estoque Conforme",IF(TAB_ESTOQUE[[#This Row],[Estoque]]&lt;TAB_ESTOQUE[[#This Row],[Mínimo]],"Estoque em Nivel Minimo")))</f>
        <v>Estoque Conforme</v>
      </c>
      <c r="AC30" s="104"/>
      <c r="AE30" s="82"/>
      <c r="AF30" s="82"/>
    </row>
    <row r="31" spans="1:32" s="47" customFormat="1" ht="15" customHeight="1" x14ac:dyDescent="0.25">
      <c r="A31" s="45"/>
      <c r="B31" s="45"/>
      <c r="C31" s="48"/>
      <c r="D31" s="45" t="s">
        <v>7089</v>
      </c>
      <c r="E31" s="46" t="s">
        <v>7491</v>
      </c>
      <c r="F31" s="46"/>
      <c r="G31" s="45"/>
      <c r="H31" s="45"/>
      <c r="I31" s="45" t="s">
        <v>7492</v>
      </c>
      <c r="J31" s="45"/>
      <c r="K31" s="45"/>
      <c r="L31" s="45"/>
      <c r="M31" s="45"/>
      <c r="N31" s="45"/>
      <c r="O31" s="46" t="s">
        <v>6337</v>
      </c>
      <c r="P31" s="45"/>
      <c r="Q31" s="137">
        <f>VLOOKUP(TAB_ESTOQUE[[#This Row],[Codigo]],TAB_ENTRADA[[Cod_2_Entrada]:[TOTAL_ENTRADA]],5,FALSE)-VLOOKUP(TAB_ESTOQUE[[#This Row],[Codigo]],TAB_SAIDA[[COD_2_SAIDA]:[TOTAL_SAIDA]],5,FALSE)</f>
        <v>4</v>
      </c>
      <c r="R31" s="46"/>
      <c r="S31" s="46"/>
      <c r="T31" s="102">
        <v>14.5</v>
      </c>
      <c r="U31" s="103">
        <f>TAB_ESTOQUE[[#This Row],[Valor Unitario Estimado]]*TAB_ESTOQUE[[#This Row],[Estoque]]</f>
        <v>58</v>
      </c>
      <c r="V31" s="103"/>
      <c r="W31" s="54"/>
      <c r="X31" s="54"/>
      <c r="Y31" s="54"/>
      <c r="Z31" s="54"/>
      <c r="AA31" s="138"/>
      <c r="AB31" s="104" t="str">
        <f>IF(TAB_ESTOQUE[[#This Row],[Estoque]]=0,"Estoque Não Conforme",IF(TAB_ESTOQUE[[#This Row],[Estoque]]&gt;=TAB_ESTOQUE[[#This Row],[Mínimo]],"Estoque Conforme",IF(TAB_ESTOQUE[[#This Row],[Estoque]]&lt;TAB_ESTOQUE[[#This Row],[Mínimo]],"Estoque em Nivel Minimo")))</f>
        <v>Estoque Conforme</v>
      </c>
      <c r="AC31" s="104"/>
      <c r="AD31" s="45"/>
      <c r="AE31" s="94"/>
      <c r="AF31" s="94"/>
    </row>
    <row r="32" spans="1:32" s="106" customFormat="1" ht="15" customHeight="1" x14ac:dyDescent="0.25">
      <c r="A32" s="45"/>
      <c r="B32" s="45"/>
      <c r="C32" s="48"/>
      <c r="D32" s="45" t="s">
        <v>7489</v>
      </c>
      <c r="E32" s="46" t="s">
        <v>8108</v>
      </c>
      <c r="F32" s="46"/>
      <c r="G32" s="45"/>
      <c r="H32" s="45"/>
      <c r="I32" s="45" t="s">
        <v>8021</v>
      </c>
      <c r="J32" s="45"/>
      <c r="K32" s="45"/>
      <c r="L32" s="45"/>
      <c r="M32" s="45"/>
      <c r="N32" s="45"/>
      <c r="O32" s="51" t="s">
        <v>6337</v>
      </c>
      <c r="P32" s="45"/>
      <c r="Q32" s="137">
        <f>VLOOKUP(TAB_ESTOQUE[[#This Row],[Codigo]],TAB_ENTRADA[[Cod_2_Entrada]:[TOTAL_ENTRADA]],5,FALSE)-VLOOKUP(TAB_ESTOQUE[[#This Row],[Codigo]],TAB_SAIDA[[COD_2_SAIDA]:[TOTAL_SAIDA]],5,FALSE)</f>
        <v>0</v>
      </c>
      <c r="R32" s="46"/>
      <c r="S32" s="46"/>
      <c r="T32" s="102"/>
      <c r="U32" s="103">
        <f>TAB_ESTOQUE[[#This Row],[Valor Unitario Estimado]]*TAB_ESTOQUE[[#This Row],[Estoque]]</f>
        <v>0</v>
      </c>
      <c r="V32" s="103"/>
      <c r="W32" s="54"/>
      <c r="X32" s="54"/>
      <c r="Y32" s="54"/>
      <c r="Z32" s="54"/>
      <c r="AA32" s="138"/>
      <c r="AB32" s="104" t="str">
        <f>IF(TAB_ESTOQUE[[#This Row],[Estoque]]=0,"Estoque Não Conforme",IF(TAB_ESTOQUE[[#This Row],[Estoque]]&gt;=TAB_ESTOQUE[[#This Row],[Mínimo]],"Estoque Conforme",IF(TAB_ESTOQUE[[#This Row],[Estoque]]&lt;TAB_ESTOQUE[[#This Row],[Mínimo]],"Estoque em Nivel Minimo")))</f>
        <v>Estoque Não Conforme</v>
      </c>
      <c r="AC32" s="104"/>
      <c r="AD32" s="45"/>
      <c r="AE32" s="95"/>
      <c r="AF32" s="95"/>
    </row>
    <row r="33" spans="1:32" s="47" customFormat="1" ht="15" customHeight="1" x14ac:dyDescent="0.25">
      <c r="A33" s="45"/>
      <c r="B33" s="45"/>
      <c r="C33" s="48"/>
      <c r="D33" s="45" t="s">
        <v>7717</v>
      </c>
      <c r="E33" s="46" t="s">
        <v>7908</v>
      </c>
      <c r="F33" s="46"/>
      <c r="G33" s="45"/>
      <c r="H33" s="45"/>
      <c r="I33" s="45" t="s">
        <v>8386</v>
      </c>
      <c r="J33" s="45"/>
      <c r="K33" s="45"/>
      <c r="L33" s="45"/>
      <c r="M33" s="45"/>
      <c r="N33" s="45"/>
      <c r="O33" s="46" t="s">
        <v>6337</v>
      </c>
      <c r="P33" s="45"/>
      <c r="Q33" s="137">
        <f>VLOOKUP(TAB_ESTOQUE[[#This Row],[Codigo]],TAB_ENTRADA[[Cod_2_Entrada]:[TOTAL_ENTRADA]],5,FALSE)-VLOOKUP(TAB_ESTOQUE[[#This Row],[Codigo]],TAB_SAIDA[[COD_2_SAIDA]:[TOTAL_SAIDA]],5,FALSE)</f>
        <v>0</v>
      </c>
      <c r="R33" s="46"/>
      <c r="S33" s="46"/>
      <c r="T33" s="102">
        <v>2460</v>
      </c>
      <c r="U33" s="103">
        <f>TAB_ESTOQUE[[#This Row],[Valor Unitario Estimado]]*TAB_ESTOQUE[[#This Row],[Estoque]]</f>
        <v>0</v>
      </c>
      <c r="V33" s="103"/>
      <c r="W33" s="54"/>
      <c r="X33" s="54"/>
      <c r="Y33" s="54"/>
      <c r="Z33" s="54"/>
      <c r="AA33" s="138"/>
      <c r="AB33" s="104" t="str">
        <f>IF(TAB_ESTOQUE[[#This Row],[Estoque]]=0,"Estoque Não Conforme",IF(TAB_ESTOQUE[[#This Row],[Estoque]]&gt;=TAB_ESTOQUE[[#This Row],[Mínimo]],"Estoque Conforme",IF(TAB_ESTOQUE[[#This Row],[Estoque]]&lt;TAB_ESTOQUE[[#This Row],[Mínimo]],"Estoque em Nivel Minimo")))</f>
        <v>Estoque Não Conforme</v>
      </c>
      <c r="AC33" s="104"/>
      <c r="AD33" s="45"/>
      <c r="AE33" s="94"/>
      <c r="AF33" s="94"/>
    </row>
    <row r="34" spans="1:32" s="106" customFormat="1" ht="15" customHeight="1" x14ac:dyDescent="0.25">
      <c r="A34" s="45"/>
      <c r="B34" s="45"/>
      <c r="C34" s="48"/>
      <c r="D34" s="45" t="s">
        <v>7718</v>
      </c>
      <c r="E34" s="46" t="s">
        <v>7908</v>
      </c>
      <c r="F34" s="46"/>
      <c r="G34" s="45"/>
      <c r="H34" s="45"/>
      <c r="I34" s="45" t="s">
        <v>8387</v>
      </c>
      <c r="J34" s="45"/>
      <c r="K34" s="45"/>
      <c r="L34" s="45"/>
      <c r="M34" s="45"/>
      <c r="N34" s="45"/>
      <c r="O34" s="46" t="s">
        <v>6337</v>
      </c>
      <c r="P34" s="45"/>
      <c r="Q34" s="137">
        <f>VLOOKUP(TAB_ESTOQUE[[#This Row],[Codigo]],TAB_ENTRADA[[Cod_2_Entrada]:[TOTAL_ENTRADA]],5,FALSE)-VLOOKUP(TAB_ESTOQUE[[#This Row],[Codigo]],TAB_SAIDA[[COD_2_SAIDA]:[TOTAL_SAIDA]],5,FALSE)</f>
        <v>1</v>
      </c>
      <c r="R34" s="46"/>
      <c r="S34" s="46"/>
      <c r="T34" s="102">
        <v>4361.6000000000004</v>
      </c>
      <c r="U34" s="103">
        <f>TAB_ESTOQUE[[#This Row],[Valor Unitario Estimado]]*TAB_ESTOQUE[[#This Row],[Estoque]]</f>
        <v>4361.6000000000004</v>
      </c>
      <c r="V34" s="103"/>
      <c r="W34" s="54"/>
      <c r="X34" s="54"/>
      <c r="Y34" s="54"/>
      <c r="Z34" s="54"/>
      <c r="AA34" s="138"/>
      <c r="AB34" s="104" t="str">
        <f>IF(TAB_ESTOQUE[[#This Row],[Estoque]]=0,"Estoque Não Conforme",IF(TAB_ESTOQUE[[#This Row],[Estoque]]&gt;=TAB_ESTOQUE[[#This Row],[Mínimo]],"Estoque Conforme",IF(TAB_ESTOQUE[[#This Row],[Estoque]]&lt;TAB_ESTOQUE[[#This Row],[Mínimo]],"Estoque em Nivel Minimo")))</f>
        <v>Estoque Conforme</v>
      </c>
      <c r="AC34" s="104"/>
      <c r="AD34" s="45"/>
      <c r="AE34" s="95"/>
      <c r="AF34" s="95"/>
    </row>
    <row r="35" spans="1:32" ht="15" customHeight="1" x14ac:dyDescent="0.25">
      <c r="C35" s="48"/>
      <c r="D35" s="45" t="s">
        <v>7724</v>
      </c>
      <c r="E35" s="46" t="s">
        <v>7908</v>
      </c>
      <c r="F35" s="46"/>
      <c r="I35" s="213" t="s">
        <v>8427</v>
      </c>
      <c r="O35" s="46" t="s">
        <v>6337</v>
      </c>
      <c r="Q35" s="137">
        <f>VLOOKUP(TAB_ESTOQUE[[#This Row],[Codigo]],TAB_ENTRADA[[Cod_2_Entrada]:[TOTAL_ENTRADA]],5,FALSE)-VLOOKUP(TAB_ESTOQUE[[#This Row],[Codigo]],TAB_SAIDA[[COD_2_SAIDA]:[TOTAL_SAIDA]],5,FALSE)</f>
        <v>3</v>
      </c>
      <c r="S35" s="46"/>
      <c r="T35" s="102">
        <v>300</v>
      </c>
      <c r="U35" s="103">
        <f>TAB_ESTOQUE[[#This Row],[Valor Unitario Estimado]]*TAB_ESTOQUE[[#This Row],[Estoque]]</f>
        <v>900</v>
      </c>
      <c r="V35" s="103"/>
      <c r="AA35" s="138"/>
      <c r="AB35" s="104" t="str">
        <f>IF(TAB_ESTOQUE[[#This Row],[Estoque]]=0,"Estoque Não Conforme",IF(TAB_ESTOQUE[[#This Row],[Estoque]]&gt;=TAB_ESTOQUE[[#This Row],[Mínimo]],"Estoque Conforme",IF(TAB_ESTOQUE[[#This Row],[Estoque]]&lt;TAB_ESTOQUE[[#This Row],[Mínimo]],"Estoque em Nivel Minimo")))</f>
        <v>Estoque Conforme</v>
      </c>
      <c r="AC35" s="104"/>
      <c r="AE35" s="82"/>
      <c r="AF35" s="82"/>
    </row>
    <row r="36" spans="1:32" ht="15" customHeight="1" x14ac:dyDescent="0.25">
      <c r="A36" s="45">
        <v>1279</v>
      </c>
      <c r="B36" s="47"/>
      <c r="C36" s="46"/>
      <c r="D36" s="45" t="s">
        <v>2441</v>
      </c>
      <c r="E36" s="46" t="s">
        <v>7908</v>
      </c>
      <c r="F36" s="87"/>
      <c r="G36" s="82"/>
      <c r="H36" s="82"/>
      <c r="I36" s="82" t="s">
        <v>3001</v>
      </c>
      <c r="J36" s="82"/>
      <c r="K36" s="82"/>
      <c r="L36" s="82"/>
      <c r="M36" s="82" t="s">
        <v>139</v>
      </c>
      <c r="N36" s="82"/>
      <c r="O36" s="87" t="s">
        <v>6338</v>
      </c>
      <c r="P36" s="82" t="s">
        <v>1001</v>
      </c>
      <c r="Q36" s="83">
        <f>VLOOKUP(TAB_ESTOQUE[[#This Row],[Codigo]],TAB_ENTRADA[[Cod_2_Entrada]:[TOTAL_ENTRADA]],5,FALSE)-VLOOKUP(TAB_ESTOQUE[[#This Row],[Codigo]],TAB_SAIDA[[COD_2_SAIDA]:[TOTAL_SAIDA]],5,FALSE)</f>
        <v>1</v>
      </c>
      <c r="R36" s="87"/>
      <c r="S36" s="87"/>
      <c r="T36" s="90"/>
      <c r="U36" s="91">
        <f>TAB_ESTOQUE[[#This Row],[Valor Unitario Estimado]]*TAB_ESTOQUE[[#This Row],[Estoque]]</f>
        <v>0</v>
      </c>
      <c r="V36" s="91"/>
      <c r="W36" s="85"/>
      <c r="X36" s="85"/>
      <c r="Y36" s="85"/>
      <c r="Z36" s="85"/>
      <c r="AA36" s="85"/>
      <c r="AB36" s="85" t="str">
        <f>IF(TAB_ESTOQUE[[#This Row],[Estoque]]=0,"Estoque Não Conforme",IF(TAB_ESTOQUE[[#This Row],[Estoque]]&gt;=TAB_ESTOQUE[[#This Row],[Mínimo]],"Estoque Conforme",IF(TAB_ESTOQUE[[#This Row],[Estoque]]&lt;TAB_ESTOQUE[[#This Row],[Mínimo]],"Estoque em Nivel Minimo")))</f>
        <v>Estoque Conforme</v>
      </c>
      <c r="AC36" s="85"/>
      <c r="AD36" s="82"/>
      <c r="AE36" s="82"/>
      <c r="AF36" s="82"/>
    </row>
    <row r="37" spans="1:32" ht="15" customHeight="1" x14ac:dyDescent="0.25">
      <c r="A37" s="45">
        <v>1153</v>
      </c>
      <c r="B37" s="47"/>
      <c r="C37" s="46"/>
      <c r="D37" s="45" t="s">
        <v>2442</v>
      </c>
      <c r="E37" s="46" t="s">
        <v>7</v>
      </c>
      <c r="F37" s="87"/>
      <c r="G37" s="82"/>
      <c r="H37" s="82"/>
      <c r="I37" s="82" t="s">
        <v>3002</v>
      </c>
      <c r="J37" s="82"/>
      <c r="K37" s="82"/>
      <c r="L37" s="82"/>
      <c r="M37" s="82"/>
      <c r="N37" s="82"/>
      <c r="O37" s="87" t="s">
        <v>6338</v>
      </c>
      <c r="P37" s="82" t="s">
        <v>877</v>
      </c>
      <c r="Q37" s="83">
        <f>VLOOKUP(TAB_ESTOQUE[[#This Row],[Codigo]],TAB_ENTRADA[[Cod_2_Entrada]:[TOTAL_ENTRADA]],5,FALSE)-VLOOKUP(TAB_ESTOQUE[[#This Row],[Codigo]],TAB_SAIDA[[COD_2_SAIDA]:[TOTAL_SAIDA]],5,FALSE)</f>
        <v>3</v>
      </c>
      <c r="R37" s="87"/>
      <c r="S37" s="87"/>
      <c r="T37" s="90"/>
      <c r="U37" s="91">
        <f>TAB_ESTOQUE[[#This Row],[Valor Unitario Estimado]]*TAB_ESTOQUE[[#This Row],[Estoque]]</f>
        <v>0</v>
      </c>
      <c r="V37" s="91"/>
      <c r="W37" s="85"/>
      <c r="X37" s="85"/>
      <c r="Y37" s="85"/>
      <c r="Z37" s="85"/>
      <c r="AA37" s="85"/>
      <c r="AB37" s="85" t="str">
        <f>IF(TAB_ESTOQUE[[#This Row],[Estoque]]=0,"Estoque Não Conforme",IF(TAB_ESTOQUE[[#This Row],[Estoque]]&gt;=TAB_ESTOQUE[[#This Row],[Mínimo]],"Estoque Conforme",IF(TAB_ESTOQUE[[#This Row],[Estoque]]&lt;TAB_ESTOQUE[[#This Row],[Mínimo]],"Estoque em Nivel Minimo")))</f>
        <v>Estoque Conforme</v>
      </c>
      <c r="AC37" s="85"/>
      <c r="AD37" s="82"/>
      <c r="AE37" s="82"/>
      <c r="AF37" s="82"/>
    </row>
    <row r="38" spans="1:32" ht="15" customHeight="1" x14ac:dyDescent="0.25">
      <c r="A38" s="45">
        <v>1154</v>
      </c>
      <c r="B38" s="47"/>
      <c r="C38" s="46"/>
      <c r="D38" s="45" t="s">
        <v>2443</v>
      </c>
      <c r="E38" s="46" t="s">
        <v>7</v>
      </c>
      <c r="F38" s="87"/>
      <c r="G38" s="82"/>
      <c r="H38" s="82"/>
      <c r="I38" s="82" t="s">
        <v>7939</v>
      </c>
      <c r="J38" s="82"/>
      <c r="K38" s="82"/>
      <c r="L38" s="82"/>
      <c r="M38" s="82"/>
      <c r="N38" s="82"/>
      <c r="O38" s="87" t="s">
        <v>6338</v>
      </c>
      <c r="P38" s="82" t="s">
        <v>879</v>
      </c>
      <c r="Q38" s="83">
        <f>VLOOKUP(TAB_ESTOQUE[[#This Row],[Codigo]],TAB_ENTRADA[[Cod_2_Entrada]:[TOTAL_ENTRADA]],5,FALSE)-VLOOKUP(TAB_ESTOQUE[[#This Row],[Codigo]],TAB_SAIDA[[COD_2_SAIDA]:[TOTAL_SAIDA]],5,FALSE)</f>
        <v>0</v>
      </c>
      <c r="R38" s="87"/>
      <c r="S38" s="87"/>
      <c r="T38" s="90"/>
      <c r="U38" s="91">
        <f>TAB_ESTOQUE[[#This Row],[Valor Unitario Estimado]]*TAB_ESTOQUE[[#This Row],[Estoque]]</f>
        <v>0</v>
      </c>
      <c r="V38" s="91"/>
      <c r="W38" s="85"/>
      <c r="X38" s="85"/>
      <c r="Y38" s="85"/>
      <c r="Z38" s="85"/>
      <c r="AA38" s="85"/>
      <c r="AB38" s="85" t="str">
        <f>IF(TAB_ESTOQUE[[#This Row],[Estoque]]=0,"Estoque Não Conforme",IF(TAB_ESTOQUE[[#This Row],[Estoque]]&gt;=TAB_ESTOQUE[[#This Row],[Mínimo]],"Estoque Conforme",IF(TAB_ESTOQUE[[#This Row],[Estoque]]&lt;TAB_ESTOQUE[[#This Row],[Mínimo]],"Estoque em Nivel Minimo")))</f>
        <v>Estoque Não Conforme</v>
      </c>
      <c r="AC38" s="85"/>
      <c r="AD38" s="82"/>
      <c r="AE38" s="82"/>
      <c r="AF38" s="82"/>
    </row>
    <row r="39" spans="1:32" ht="15" customHeight="1" x14ac:dyDescent="0.25">
      <c r="A39" s="45">
        <v>1714</v>
      </c>
      <c r="B39" s="47"/>
      <c r="C39" s="46"/>
      <c r="D39" s="45" t="s">
        <v>2567</v>
      </c>
      <c r="E39" s="46" t="s">
        <v>7908</v>
      </c>
      <c r="F39" s="87"/>
      <c r="G39" s="82"/>
      <c r="H39" s="82"/>
      <c r="I39" s="82" t="s">
        <v>7976</v>
      </c>
      <c r="J39" s="82"/>
      <c r="K39" s="82"/>
      <c r="L39" s="82"/>
      <c r="M39" s="82" t="s">
        <v>515</v>
      </c>
      <c r="N39" s="82"/>
      <c r="O39" s="87" t="s">
        <v>6338</v>
      </c>
      <c r="P39" s="82" t="s">
        <v>1330</v>
      </c>
      <c r="Q39" s="83">
        <f>VLOOKUP(TAB_ESTOQUE[[#This Row],[Codigo]],TAB_ENTRADA[[Cod_2_Entrada]:[TOTAL_ENTRADA]],5,FALSE)-VLOOKUP(TAB_ESTOQUE[[#This Row],[Codigo]],TAB_SAIDA[[COD_2_SAIDA]:[TOTAL_SAIDA]],5,FALSE)</f>
        <v>5</v>
      </c>
      <c r="R39" s="87"/>
      <c r="S39" s="87"/>
      <c r="T39" s="90"/>
      <c r="U39" s="91">
        <f>TAB_ESTOQUE[[#This Row],[Valor Unitario Estimado]]*TAB_ESTOQUE[[#This Row],[Estoque]]</f>
        <v>0</v>
      </c>
      <c r="V39" s="91"/>
      <c r="W39" s="85"/>
      <c r="X39" s="85"/>
      <c r="Y39" s="85"/>
      <c r="Z39" s="85"/>
      <c r="AA39" s="85"/>
      <c r="AB39" s="85" t="str">
        <f>IF(TAB_ESTOQUE[[#This Row],[Estoque]]=0,"Estoque Não Conforme",IF(TAB_ESTOQUE[[#This Row],[Estoque]]&gt;=TAB_ESTOQUE[[#This Row],[Mínimo]],"Estoque Conforme",IF(TAB_ESTOQUE[[#This Row],[Estoque]]&lt;TAB_ESTOQUE[[#This Row],[Mínimo]],"Estoque em Nivel Minimo")))</f>
        <v>Estoque Conforme</v>
      </c>
      <c r="AC39" s="85"/>
      <c r="AD39" s="82"/>
      <c r="AE39" s="82"/>
      <c r="AF39" s="82"/>
    </row>
    <row r="40" spans="1:32" ht="15.75" customHeight="1" x14ac:dyDescent="0.25">
      <c r="A40" s="45" t="s">
        <v>1159</v>
      </c>
      <c r="B40" s="47"/>
      <c r="C40" s="46" t="s">
        <v>2838</v>
      </c>
      <c r="D40" s="45" t="s">
        <v>2645</v>
      </c>
      <c r="E40" s="46" t="s">
        <v>7908</v>
      </c>
      <c r="F40" s="87"/>
      <c r="G40" s="82"/>
      <c r="H40" s="82"/>
      <c r="I40" s="82" t="s">
        <v>7975</v>
      </c>
      <c r="J40" s="82"/>
      <c r="K40" s="82"/>
      <c r="L40" s="82"/>
      <c r="M40" s="82"/>
      <c r="N40" s="82"/>
      <c r="O40" s="87" t="s">
        <v>6338</v>
      </c>
      <c r="P40" s="82" t="s">
        <v>1190</v>
      </c>
      <c r="Q40" s="83">
        <f>VLOOKUP(TAB_ESTOQUE[[#This Row],[Codigo]],TAB_ENTRADA[[Cod_2_Entrada]:[TOTAL_ENTRADA]],5,FALSE)-VLOOKUP(TAB_ESTOQUE[[#This Row],[Codigo]],TAB_SAIDA[[COD_2_SAIDA]:[TOTAL_SAIDA]],5,FALSE)</f>
        <v>1</v>
      </c>
      <c r="R40" s="87"/>
      <c r="S40" s="87"/>
      <c r="T40" s="90"/>
      <c r="U40" s="91">
        <f>TAB_ESTOQUE[[#This Row],[Valor Unitario Estimado]]*TAB_ESTOQUE[[#This Row],[Estoque]]</f>
        <v>0</v>
      </c>
      <c r="V40" s="91"/>
      <c r="W40" s="85"/>
      <c r="X40" s="85"/>
      <c r="Y40" s="85"/>
      <c r="Z40" s="85"/>
      <c r="AA40" s="85"/>
      <c r="AB40" s="85" t="str">
        <f>IF(TAB_ESTOQUE[[#This Row],[Estoque]]=0,"Estoque Não Conforme",IF(TAB_ESTOQUE[[#This Row],[Estoque]]&gt;=TAB_ESTOQUE[[#This Row],[Mínimo]],"Estoque Conforme",IF(TAB_ESTOQUE[[#This Row],[Estoque]]&lt;TAB_ESTOQUE[[#This Row],[Mínimo]],"Estoque em Nivel Minimo")))</f>
        <v>Estoque Conforme</v>
      </c>
      <c r="AC40" s="85"/>
      <c r="AD40" s="82"/>
      <c r="AE40" s="82"/>
      <c r="AF40" s="82"/>
    </row>
    <row r="41" spans="1:32" ht="15" customHeight="1" x14ac:dyDescent="0.25">
      <c r="B41" s="47"/>
      <c r="C41" s="46"/>
      <c r="D41" s="45" t="s">
        <v>2706</v>
      </c>
      <c r="E41" s="46" t="s">
        <v>7908</v>
      </c>
      <c r="F41" s="87"/>
      <c r="G41" s="82"/>
      <c r="H41" s="82"/>
      <c r="I41" s="82" t="s">
        <v>7977</v>
      </c>
      <c r="J41" s="82"/>
      <c r="K41" s="82"/>
      <c r="L41" s="82"/>
      <c r="M41" s="82"/>
      <c r="N41" s="82"/>
      <c r="O41" s="87" t="s">
        <v>6338</v>
      </c>
      <c r="P41" s="82" t="s">
        <v>1305</v>
      </c>
      <c r="Q41" s="83">
        <f>VLOOKUP(TAB_ESTOQUE[[#This Row],[Codigo]],TAB_ENTRADA[[Cod_2_Entrada]:[TOTAL_ENTRADA]],5,FALSE)-VLOOKUP(TAB_ESTOQUE[[#This Row],[Codigo]],TAB_SAIDA[[COD_2_SAIDA]:[TOTAL_SAIDA]],5,FALSE)</f>
        <v>1</v>
      </c>
      <c r="R41" s="87"/>
      <c r="S41" s="87"/>
      <c r="T41" s="90"/>
      <c r="U41" s="91">
        <f>TAB_ESTOQUE[[#This Row],[Valor Unitario Estimado]]*TAB_ESTOQUE[[#This Row],[Estoque]]</f>
        <v>0</v>
      </c>
      <c r="V41" s="91"/>
      <c r="W41" s="85"/>
      <c r="X41" s="85"/>
      <c r="Y41" s="85"/>
      <c r="Z41" s="85"/>
      <c r="AA41" s="85"/>
      <c r="AB41" s="96" t="str">
        <f>IF(TAB_ESTOQUE[[#This Row],[Estoque]]=0,"Estoque Não Conforme",IF(TAB_ESTOQUE[[#This Row],[Estoque]]&gt;=TAB_ESTOQUE[[#This Row],[Mínimo]],"Estoque Conforme",IF(TAB_ESTOQUE[[#This Row],[Estoque]]&lt;TAB_ESTOQUE[[#This Row],[Mínimo]],"Estoque em Nivel Minimo")))</f>
        <v>Estoque Conforme</v>
      </c>
      <c r="AC41" s="85"/>
      <c r="AD41" s="82"/>
      <c r="AE41" s="82"/>
      <c r="AF41" s="82"/>
    </row>
    <row r="42" spans="1:32" ht="15" customHeight="1" x14ac:dyDescent="0.25">
      <c r="A42" s="106"/>
      <c r="B42" s="106"/>
      <c r="C42" s="106"/>
      <c r="D42" s="106" t="s">
        <v>6570</v>
      </c>
      <c r="E42" s="116"/>
      <c r="F42" s="116"/>
      <c r="G42" s="106"/>
      <c r="H42" s="106"/>
      <c r="I42" s="106" t="s">
        <v>7698</v>
      </c>
      <c r="J42" s="106"/>
      <c r="K42" s="106"/>
      <c r="L42" s="106"/>
      <c r="M42" s="106"/>
      <c r="N42" s="106"/>
      <c r="O42" s="116" t="s">
        <v>7031</v>
      </c>
      <c r="P42" s="106"/>
      <c r="Q42" s="154">
        <f>VLOOKUP(TAB_ESTOQUE[[#This Row],[Codigo]],TAB_ENTRADA[[Cod_2_Entrada]:[TOTAL_ENTRADA]],5,FALSE)-VLOOKUP(TAB_ESTOQUE[[#This Row],[Codigo]],TAB_SAIDA[[COD_2_SAIDA]:[TOTAL_SAIDA]],5,FALSE)</f>
        <v>0</v>
      </c>
      <c r="R42" s="116"/>
      <c r="S42" s="116"/>
      <c r="T42" s="163">
        <v>239.9</v>
      </c>
      <c r="U42" s="164">
        <f>TAB_ESTOQUE[[#This Row],[Valor Unitario Estimado]]*TAB_ESTOQUE[[#This Row],[Estoque]]</f>
        <v>0</v>
      </c>
      <c r="V42" s="164"/>
      <c r="W42" s="165"/>
      <c r="X42" s="165"/>
      <c r="Y42" s="165"/>
      <c r="Z42" s="165"/>
      <c r="AA42" s="165"/>
      <c r="AB42" s="166" t="str">
        <f>IF(TAB_ESTOQUE[[#This Row],[Estoque]]=0,"Estoque Não Conforme",IF(TAB_ESTOQUE[[#This Row],[Estoque]]&gt;=TAB_ESTOQUE[[#This Row],[Mínimo]],"Estoque Conforme",IF(TAB_ESTOQUE[[#This Row],[Estoque]]&lt;TAB_ESTOQUE[[#This Row],[Mínimo]],"Estoque em Nivel Minimo")))</f>
        <v>Estoque Não Conforme</v>
      </c>
      <c r="AC42" s="166"/>
      <c r="AD42" s="106"/>
      <c r="AE42" s="82"/>
      <c r="AF42" s="82"/>
    </row>
    <row r="43" spans="1:32" ht="15" customHeight="1" x14ac:dyDescent="0.25">
      <c r="C43" s="48"/>
      <c r="D43" s="45" t="s">
        <v>7552</v>
      </c>
      <c r="E43" s="46" t="s">
        <v>8039</v>
      </c>
      <c r="F43" s="46"/>
      <c r="I43" s="45" t="s">
        <v>8048</v>
      </c>
      <c r="O43" s="116" t="s">
        <v>7031</v>
      </c>
      <c r="Q43" s="137">
        <f>VLOOKUP(TAB_ESTOQUE[[#This Row],[Codigo]],TAB_ENTRADA[[Cod_2_Entrada]:[TOTAL_ENTRADA]],5,FALSE)-VLOOKUP(TAB_ESTOQUE[[#This Row],[Codigo]],TAB_SAIDA[[COD_2_SAIDA]:[TOTAL_SAIDA]],5,FALSE)</f>
        <v>0</v>
      </c>
      <c r="S43" s="46"/>
      <c r="T43" s="102">
        <v>3000</v>
      </c>
      <c r="U43" s="103">
        <f>TAB_ESTOQUE[[#This Row],[Valor Unitario Estimado]]*TAB_ESTOQUE[[#This Row],[Estoque]]</f>
        <v>0</v>
      </c>
      <c r="V43" s="103"/>
      <c r="AA43" s="138"/>
      <c r="AB43" s="104" t="str">
        <f>IF(TAB_ESTOQUE[[#This Row],[Estoque]]=0,"Estoque Não Conforme",IF(TAB_ESTOQUE[[#This Row],[Estoque]]&gt;=TAB_ESTOQUE[[#This Row],[Mínimo]],"Estoque Conforme",IF(TAB_ESTOQUE[[#This Row],[Estoque]]&lt;TAB_ESTOQUE[[#This Row],[Mínimo]],"Estoque em Nivel Minimo")))</f>
        <v>Estoque Não Conforme</v>
      </c>
      <c r="AC43" s="104"/>
      <c r="AE43" s="82"/>
      <c r="AF43" s="82"/>
    </row>
    <row r="44" spans="1:32" ht="15" customHeight="1" x14ac:dyDescent="0.25">
      <c r="C44" s="48"/>
      <c r="D44" s="45" t="s">
        <v>7554</v>
      </c>
      <c r="E44" s="46" t="s">
        <v>8039</v>
      </c>
      <c r="F44" s="46"/>
      <c r="I44" s="45" t="s">
        <v>8049</v>
      </c>
      <c r="O44" s="51" t="s">
        <v>7031</v>
      </c>
      <c r="Q44" s="137">
        <f>VLOOKUP(TAB_ESTOQUE[[#This Row],[Codigo]],TAB_ENTRADA[[Cod_2_Entrada]:[TOTAL_ENTRADA]],5,FALSE)-VLOOKUP(TAB_ESTOQUE[[#This Row],[Codigo]],TAB_SAIDA[[COD_2_SAIDA]:[TOTAL_SAIDA]],5,FALSE)</f>
        <v>0</v>
      </c>
      <c r="S44" s="46"/>
      <c r="T44" s="102">
        <v>1200</v>
      </c>
      <c r="U44" s="103">
        <f>TAB_ESTOQUE[[#This Row],[Valor Unitario Estimado]]*TAB_ESTOQUE[[#This Row],[Estoque]]</f>
        <v>0</v>
      </c>
      <c r="V44" s="103"/>
      <c r="AA44" s="138"/>
      <c r="AB44" s="104" t="str">
        <f>IF(TAB_ESTOQUE[[#This Row],[Estoque]]=0,"Estoque Não Conforme",IF(TAB_ESTOQUE[[#This Row],[Estoque]]&gt;=TAB_ESTOQUE[[#This Row],[Mínimo]],"Estoque Conforme",IF(TAB_ESTOQUE[[#This Row],[Estoque]]&lt;TAB_ESTOQUE[[#This Row],[Mínimo]],"Estoque em Nivel Minimo")))</f>
        <v>Estoque Não Conforme</v>
      </c>
      <c r="AC44" s="104"/>
      <c r="AE44" s="82"/>
      <c r="AF44" s="82"/>
    </row>
    <row r="45" spans="1:32" ht="15" customHeight="1" x14ac:dyDescent="0.25">
      <c r="A45" s="45">
        <v>1203</v>
      </c>
      <c r="B45" s="47"/>
      <c r="C45" s="51" t="s">
        <v>2833</v>
      </c>
      <c r="D45" s="45" t="s">
        <v>1754</v>
      </c>
      <c r="E45" s="46" t="s">
        <v>7</v>
      </c>
      <c r="F45" s="87"/>
      <c r="G45" s="82"/>
      <c r="H45" s="82"/>
      <c r="I45" s="82" t="s">
        <v>2786</v>
      </c>
      <c r="J45" s="82"/>
      <c r="K45" s="82"/>
      <c r="L45" s="82"/>
      <c r="M45" s="82"/>
      <c r="N45" s="82"/>
      <c r="O45" s="87" t="s">
        <v>6373</v>
      </c>
      <c r="P45" s="82" t="s">
        <v>1591</v>
      </c>
      <c r="Q45" s="83">
        <f>VLOOKUP(TAB_ESTOQUE[[#This Row],[Codigo]],TAB_ENTRADA[[Cod_2_Entrada]:[TOTAL_ENTRADA]],5,FALSE)-VLOOKUP(TAB_ESTOQUE[[#This Row],[Codigo]],TAB_SAIDA[[COD_2_SAIDA]:[TOTAL_SAIDA]],5,FALSE)</f>
        <v>10</v>
      </c>
      <c r="R45" s="87"/>
      <c r="S45" s="87"/>
      <c r="T45" s="90">
        <v>18.39</v>
      </c>
      <c r="U45" s="91">
        <f>TAB_ESTOQUE[[#This Row],[Valor Unitario Estimado]]*TAB_ESTOQUE[[#This Row],[Estoque]]</f>
        <v>183.9</v>
      </c>
      <c r="V45" s="91"/>
      <c r="W45" s="85"/>
      <c r="X45" s="85"/>
      <c r="Y45" s="85"/>
      <c r="Z45" s="85"/>
      <c r="AA45" s="85"/>
      <c r="AB45" s="85" t="str">
        <f>IF(TAB_ESTOQUE[[#This Row],[Estoque]]=0,"Estoque Não Conforme",IF(TAB_ESTOQUE[[#This Row],[Estoque]]&gt;=TAB_ESTOQUE[[#This Row],[Mínimo]],"Estoque Conforme",IF(TAB_ESTOQUE[[#This Row],[Estoque]]&lt;TAB_ESTOQUE[[#This Row],[Mínimo]],"Estoque em Nivel Minimo")))</f>
        <v>Estoque Conforme</v>
      </c>
      <c r="AC45" s="85"/>
      <c r="AD45" s="82"/>
      <c r="AE45" s="82"/>
      <c r="AF45" s="82"/>
    </row>
    <row r="46" spans="1:32" ht="15" customHeight="1" x14ac:dyDescent="0.25">
      <c r="A46" s="45">
        <v>1195</v>
      </c>
      <c r="B46" s="47"/>
      <c r="C46" s="46" t="s">
        <v>2838</v>
      </c>
      <c r="D46" s="45" t="s">
        <v>1755</v>
      </c>
      <c r="E46" s="46" t="s">
        <v>7</v>
      </c>
      <c r="F46" s="87"/>
      <c r="G46" s="82"/>
      <c r="H46" s="82"/>
      <c r="I46" s="82" t="s">
        <v>2787</v>
      </c>
      <c r="J46" s="82"/>
      <c r="K46" s="82"/>
      <c r="L46" s="82"/>
      <c r="M46" s="82"/>
      <c r="N46" s="82"/>
      <c r="O46" s="87" t="s">
        <v>6373</v>
      </c>
      <c r="P46" s="82" t="s">
        <v>917</v>
      </c>
      <c r="Q46" s="83">
        <f>VLOOKUP(TAB_ESTOQUE[[#This Row],[Codigo]],TAB_ENTRADA[[Cod_2_Entrada]:[TOTAL_ENTRADA]],5,FALSE)-VLOOKUP(TAB_ESTOQUE[[#This Row],[Codigo]],TAB_SAIDA[[COD_2_SAIDA]:[TOTAL_SAIDA]],5,FALSE)</f>
        <v>89</v>
      </c>
      <c r="R46" s="87"/>
      <c r="S46" s="87"/>
      <c r="T46" s="90">
        <v>3</v>
      </c>
      <c r="U46" s="91">
        <f>TAB_ESTOQUE[[#This Row],[Valor Unitario Estimado]]*TAB_ESTOQUE[[#This Row],[Estoque]]</f>
        <v>267</v>
      </c>
      <c r="V46" s="91"/>
      <c r="W46" s="85"/>
      <c r="X46" s="85"/>
      <c r="Y46" s="85"/>
      <c r="Z46" s="85"/>
      <c r="AA46" s="85"/>
      <c r="AB46" s="85" t="str">
        <f>IF(TAB_ESTOQUE[[#This Row],[Estoque]]=0,"Estoque Não Conforme",IF(TAB_ESTOQUE[[#This Row],[Estoque]]&gt;=TAB_ESTOQUE[[#This Row],[Mínimo]],"Estoque Conforme",IF(TAB_ESTOQUE[[#This Row],[Estoque]]&lt;TAB_ESTOQUE[[#This Row],[Mínimo]],"Estoque em Nivel Minimo")))</f>
        <v>Estoque Conforme</v>
      </c>
      <c r="AC46" s="85"/>
      <c r="AD46" s="82"/>
      <c r="AE46" s="82"/>
      <c r="AF46" s="82"/>
    </row>
    <row r="47" spans="1:32" ht="15" customHeight="1" x14ac:dyDescent="0.25">
      <c r="A47" s="45">
        <v>910</v>
      </c>
      <c r="B47" s="47"/>
      <c r="C47" s="46" t="s">
        <v>2842</v>
      </c>
      <c r="D47" s="45" t="s">
        <v>1756</v>
      </c>
      <c r="E47" s="46" t="s">
        <v>7</v>
      </c>
      <c r="F47" s="87"/>
      <c r="G47" s="82"/>
      <c r="H47" s="82"/>
      <c r="I47" s="82" t="s">
        <v>1492</v>
      </c>
      <c r="J47" s="82"/>
      <c r="K47" s="82"/>
      <c r="L47" s="82"/>
      <c r="M47" s="82"/>
      <c r="N47" s="82"/>
      <c r="O47" s="87" t="s">
        <v>6373</v>
      </c>
      <c r="P47" s="82" t="s">
        <v>6019</v>
      </c>
      <c r="Q47" s="83">
        <f>VLOOKUP(TAB_ESTOQUE[[#This Row],[Codigo]],TAB_ENTRADA[[Cod_2_Entrada]:[TOTAL_ENTRADA]],5,FALSE)-VLOOKUP(TAB_ESTOQUE[[#This Row],[Codigo]],TAB_SAIDA[[COD_2_SAIDA]:[TOTAL_SAIDA]],5,FALSE)</f>
        <v>26</v>
      </c>
      <c r="R47" s="87"/>
      <c r="S47" s="87"/>
      <c r="T47" s="90">
        <v>4.5</v>
      </c>
      <c r="U47" s="91">
        <f>TAB_ESTOQUE[[#This Row],[Valor Unitario Estimado]]*TAB_ESTOQUE[[#This Row],[Estoque]]</f>
        <v>117</v>
      </c>
      <c r="V47" s="91"/>
      <c r="W47" s="85"/>
      <c r="X47" s="85"/>
      <c r="Y47" s="85"/>
      <c r="Z47" s="85"/>
      <c r="AA47" s="85"/>
      <c r="AB47" s="85" t="str">
        <f>IF(TAB_ESTOQUE[[#This Row],[Estoque]]=0,"Estoque Não Conforme",IF(TAB_ESTOQUE[[#This Row],[Estoque]]&gt;=TAB_ESTOQUE[[#This Row],[Mínimo]],"Estoque Conforme",IF(TAB_ESTOQUE[[#This Row],[Estoque]]&lt;TAB_ESTOQUE[[#This Row],[Mínimo]],"Estoque em Nivel Minimo")))</f>
        <v>Estoque Conforme</v>
      </c>
      <c r="AC47" s="85"/>
      <c r="AD47" s="82"/>
      <c r="AE47" s="82"/>
      <c r="AF47" s="82"/>
    </row>
    <row r="48" spans="1:32" ht="15" customHeight="1" x14ac:dyDescent="0.25">
      <c r="A48" s="45">
        <v>912</v>
      </c>
      <c r="B48" s="47"/>
      <c r="C48" s="46" t="s">
        <v>2842</v>
      </c>
      <c r="D48" s="45" t="s">
        <v>1757</v>
      </c>
      <c r="E48" s="46" t="s">
        <v>7</v>
      </c>
      <c r="F48" s="87"/>
      <c r="G48" s="82"/>
      <c r="H48" s="82"/>
      <c r="I48" s="82" t="s">
        <v>2788</v>
      </c>
      <c r="J48" s="82"/>
      <c r="K48" s="82"/>
      <c r="L48" s="82"/>
      <c r="M48" s="82"/>
      <c r="N48" s="82"/>
      <c r="O48" s="87" t="s">
        <v>6373</v>
      </c>
      <c r="P48" s="82" t="s">
        <v>6019</v>
      </c>
      <c r="Q48" s="83">
        <f>VLOOKUP(TAB_ESTOQUE[[#This Row],[Codigo]],TAB_ENTRADA[[Cod_2_Entrada]:[TOTAL_ENTRADA]],5,FALSE)-VLOOKUP(TAB_ESTOQUE[[#This Row],[Codigo]],TAB_SAIDA[[COD_2_SAIDA]:[TOTAL_SAIDA]],5,FALSE)</f>
        <v>235</v>
      </c>
      <c r="R48" s="87"/>
      <c r="S48" s="87"/>
      <c r="T48" s="90">
        <v>8.9</v>
      </c>
      <c r="U48" s="91">
        <f>TAB_ESTOQUE[[#This Row],[Valor Unitario Estimado]]*TAB_ESTOQUE[[#This Row],[Estoque]]</f>
        <v>2091.5</v>
      </c>
      <c r="V48" s="91"/>
      <c r="W48" s="85"/>
      <c r="X48" s="85"/>
      <c r="Y48" s="85"/>
      <c r="Z48" s="85"/>
      <c r="AA48" s="85"/>
      <c r="AB48" s="85" t="str">
        <f>IF(TAB_ESTOQUE[[#This Row],[Estoque]]=0,"Estoque Não Conforme",IF(TAB_ESTOQUE[[#This Row],[Estoque]]&gt;=TAB_ESTOQUE[[#This Row],[Mínimo]],"Estoque Conforme",IF(TAB_ESTOQUE[[#This Row],[Estoque]]&lt;TAB_ESTOQUE[[#This Row],[Mínimo]],"Estoque em Nivel Minimo")))</f>
        <v>Estoque Conforme</v>
      </c>
      <c r="AC48" s="85"/>
      <c r="AD48" s="82"/>
      <c r="AE48" s="82"/>
      <c r="AF48" s="82"/>
    </row>
    <row r="49" spans="1:32" ht="15" customHeight="1" x14ac:dyDescent="0.25">
      <c r="A49" s="45">
        <v>913</v>
      </c>
      <c r="B49" s="47"/>
      <c r="C49" s="46" t="s">
        <v>2842</v>
      </c>
      <c r="D49" s="45" t="s">
        <v>1758</v>
      </c>
      <c r="E49" s="46" t="s">
        <v>7</v>
      </c>
      <c r="F49" s="87"/>
      <c r="G49" s="82"/>
      <c r="H49" s="82"/>
      <c r="I49" s="82" t="s">
        <v>7944</v>
      </c>
      <c r="J49" s="82"/>
      <c r="K49" s="82"/>
      <c r="L49" s="82"/>
      <c r="M49" s="82"/>
      <c r="N49" s="82"/>
      <c r="O49" s="87" t="s">
        <v>6373</v>
      </c>
      <c r="P49" s="82" t="s">
        <v>6019</v>
      </c>
      <c r="Q49" s="83">
        <f>VLOOKUP(TAB_ESTOQUE[[#This Row],[Codigo]],TAB_ENTRADA[[Cod_2_Entrada]:[TOTAL_ENTRADA]],5,FALSE)-VLOOKUP(TAB_ESTOQUE[[#This Row],[Codigo]],TAB_SAIDA[[COD_2_SAIDA]:[TOTAL_SAIDA]],5,FALSE)</f>
        <v>138</v>
      </c>
      <c r="R49" s="87"/>
      <c r="S49" s="87"/>
      <c r="T49" s="90">
        <v>9</v>
      </c>
      <c r="U49" s="91">
        <f>TAB_ESTOQUE[[#This Row],[Valor Unitario Estimado]]*TAB_ESTOQUE[[#This Row],[Estoque]]</f>
        <v>1242</v>
      </c>
      <c r="V49" s="91"/>
      <c r="W49" s="85"/>
      <c r="X49" s="85"/>
      <c r="Y49" s="85"/>
      <c r="Z49" s="85"/>
      <c r="AA49" s="85"/>
      <c r="AB49" s="85" t="str">
        <f>IF(TAB_ESTOQUE[[#This Row],[Estoque]]=0,"Estoque Não Conforme",IF(TAB_ESTOQUE[[#This Row],[Estoque]]&gt;=TAB_ESTOQUE[[#This Row],[Mínimo]],"Estoque Conforme",IF(TAB_ESTOQUE[[#This Row],[Estoque]]&lt;TAB_ESTOQUE[[#This Row],[Mínimo]],"Estoque em Nivel Minimo")))</f>
        <v>Estoque Conforme</v>
      </c>
      <c r="AC49" s="85"/>
      <c r="AD49" s="82"/>
      <c r="AE49" s="82"/>
      <c r="AF49" s="82"/>
    </row>
    <row r="50" spans="1:32" ht="15" customHeight="1" x14ac:dyDescent="0.25">
      <c r="A50" s="45">
        <v>914</v>
      </c>
      <c r="B50" s="47"/>
      <c r="C50" s="46" t="s">
        <v>2842</v>
      </c>
      <c r="D50" s="45" t="s">
        <v>1759</v>
      </c>
      <c r="E50" s="46" t="s">
        <v>7</v>
      </c>
      <c r="F50" s="87"/>
      <c r="G50" s="82"/>
      <c r="H50" s="82"/>
      <c r="I50" s="82" t="s">
        <v>2790</v>
      </c>
      <c r="J50" s="82"/>
      <c r="K50" s="82"/>
      <c r="L50" s="82"/>
      <c r="M50" s="82"/>
      <c r="N50" s="82"/>
      <c r="O50" s="87" t="s">
        <v>6373</v>
      </c>
      <c r="P50" s="82" t="s">
        <v>6019</v>
      </c>
      <c r="Q50" s="83">
        <f>VLOOKUP(TAB_ESTOQUE[[#This Row],[Codigo]],TAB_ENTRADA[[Cod_2_Entrada]:[TOTAL_ENTRADA]],5,FALSE)-VLOOKUP(TAB_ESTOQUE[[#This Row],[Codigo]],TAB_SAIDA[[COD_2_SAIDA]:[TOTAL_SAIDA]],5,FALSE)</f>
        <v>63</v>
      </c>
      <c r="R50" s="87"/>
      <c r="S50" s="87"/>
      <c r="T50" s="90">
        <v>11.2</v>
      </c>
      <c r="U50" s="91">
        <f>TAB_ESTOQUE[[#This Row],[Valor Unitario Estimado]]*TAB_ESTOQUE[[#This Row],[Estoque]]</f>
        <v>705.59999999999991</v>
      </c>
      <c r="V50" s="91"/>
      <c r="W50" s="85"/>
      <c r="X50" s="85"/>
      <c r="Y50" s="85"/>
      <c r="Z50" s="85"/>
      <c r="AA50" s="85"/>
      <c r="AB50" s="85" t="str">
        <f>IF(TAB_ESTOQUE[[#This Row],[Estoque]]=0,"Estoque Não Conforme",IF(TAB_ESTOQUE[[#This Row],[Estoque]]&gt;=TAB_ESTOQUE[[#This Row],[Mínimo]],"Estoque Conforme",IF(TAB_ESTOQUE[[#This Row],[Estoque]]&lt;TAB_ESTOQUE[[#This Row],[Mínimo]],"Estoque em Nivel Minimo")))</f>
        <v>Estoque Conforme</v>
      </c>
      <c r="AC50" s="85"/>
      <c r="AD50" s="82"/>
      <c r="AE50" s="82"/>
      <c r="AF50" s="82"/>
    </row>
    <row r="51" spans="1:32" ht="15" customHeight="1" x14ac:dyDescent="0.25">
      <c r="A51" s="106">
        <v>1124</v>
      </c>
      <c r="B51" s="106"/>
      <c r="C51" s="116" t="s">
        <v>2833</v>
      </c>
      <c r="D51" s="106" t="s">
        <v>1767</v>
      </c>
      <c r="E51" s="116"/>
      <c r="F51" s="118"/>
      <c r="G51" s="95"/>
      <c r="H51" s="95"/>
      <c r="I51" s="95" t="s">
        <v>7964</v>
      </c>
      <c r="J51" s="95"/>
      <c r="K51" s="95"/>
      <c r="L51" s="95"/>
      <c r="M51" s="95"/>
      <c r="N51" s="95"/>
      <c r="O51" s="118" t="s">
        <v>6373</v>
      </c>
      <c r="P51" s="95" t="s">
        <v>850</v>
      </c>
      <c r="Q51" s="154">
        <f>VLOOKUP(TAB_ESTOQUE[[#This Row],[Codigo]],TAB_ENTRADA[[Cod_2_Entrada]:[TOTAL_ENTRADA]],5,FALSE)-VLOOKUP(TAB_ESTOQUE[[#This Row],[Codigo]],TAB_SAIDA[[COD_2_SAIDA]:[TOTAL_SAIDA]],5,FALSE)</f>
        <v>75</v>
      </c>
      <c r="R51" s="118"/>
      <c r="S51" s="118"/>
      <c r="T51" s="119"/>
      <c r="U51" s="112">
        <f>TAB_ESTOQUE[[#This Row],[Valor Unitario Estimado]]*TAB_ESTOQUE[[#This Row],[Estoque]]</f>
        <v>0</v>
      </c>
      <c r="V51" s="112"/>
      <c r="W51" s="120"/>
      <c r="X51" s="120"/>
      <c r="Y51" s="120"/>
      <c r="Z51" s="120"/>
      <c r="AA51" s="120"/>
      <c r="AB51" s="120" t="str">
        <f>IF(TAB_ESTOQUE[[#This Row],[Estoque]]=0,"Estoque Não Conforme",IF(TAB_ESTOQUE[[#This Row],[Estoque]]&gt;=TAB_ESTOQUE[[#This Row],[Mínimo]],"Estoque Conforme",IF(TAB_ESTOQUE[[#This Row],[Estoque]]&lt;TAB_ESTOQUE[[#This Row],[Mínimo]],"Estoque em Nivel Minimo")))</f>
        <v>Estoque Conforme</v>
      </c>
      <c r="AC51" s="120"/>
      <c r="AD51" s="95"/>
      <c r="AE51" s="82"/>
      <c r="AF51" s="82"/>
    </row>
    <row r="52" spans="1:32" ht="15" customHeight="1" x14ac:dyDescent="0.25">
      <c r="A52" s="45">
        <v>1334</v>
      </c>
      <c r="B52" s="47"/>
      <c r="C52" s="46" t="s">
        <v>2833</v>
      </c>
      <c r="D52" s="45" t="s">
        <v>1780</v>
      </c>
      <c r="E52" s="46" t="s">
        <v>7</v>
      </c>
      <c r="F52" s="87"/>
      <c r="G52" s="82"/>
      <c r="H52" s="82"/>
      <c r="I52" s="170" t="s">
        <v>7965</v>
      </c>
      <c r="J52" s="82"/>
      <c r="K52" s="82"/>
      <c r="L52" s="82"/>
      <c r="M52" s="82"/>
      <c r="N52" s="82"/>
      <c r="O52" s="87" t="s">
        <v>6373</v>
      </c>
      <c r="P52" s="82" t="s">
        <v>1067</v>
      </c>
      <c r="Q52" s="83">
        <f>VLOOKUP(TAB_ESTOQUE[[#This Row],[Codigo]],TAB_ENTRADA[[Cod_2_Entrada]:[TOTAL_ENTRADA]],5,FALSE)-VLOOKUP(TAB_ESTOQUE[[#This Row],[Codigo]],TAB_SAIDA[[COD_2_SAIDA]:[TOTAL_SAIDA]],5,FALSE)</f>
        <v>23</v>
      </c>
      <c r="R52" s="87"/>
      <c r="S52" s="87"/>
      <c r="T52" s="90">
        <v>1000</v>
      </c>
      <c r="U52" s="91">
        <f>TAB_ESTOQUE[[#This Row],[Valor Unitario Estimado]]*TAB_ESTOQUE[[#This Row],[Estoque]]</f>
        <v>23000</v>
      </c>
      <c r="V52" s="91"/>
      <c r="W52" s="85"/>
      <c r="X52" s="85"/>
      <c r="Y52" s="85"/>
      <c r="Z52" s="85"/>
      <c r="AA52" s="85"/>
      <c r="AB52" s="85" t="str">
        <f>IF(TAB_ESTOQUE[[#This Row],[Estoque]]=0,"Estoque Não Conforme",IF(TAB_ESTOQUE[[#This Row],[Estoque]]&gt;=TAB_ESTOQUE[[#This Row],[Mínimo]],"Estoque Conforme",IF(TAB_ESTOQUE[[#This Row],[Estoque]]&lt;TAB_ESTOQUE[[#This Row],[Mínimo]],"Estoque em Nivel Minimo")))</f>
        <v>Estoque Conforme</v>
      </c>
      <c r="AC52" s="85"/>
      <c r="AD52" s="82"/>
      <c r="AE52" s="82"/>
      <c r="AF52" s="82"/>
    </row>
    <row r="53" spans="1:32" ht="15" customHeight="1" x14ac:dyDescent="0.25">
      <c r="A53" s="45">
        <v>92</v>
      </c>
      <c r="B53" s="47"/>
      <c r="C53" s="46"/>
      <c r="D53" s="45" t="s">
        <v>1870</v>
      </c>
      <c r="E53" s="46" t="s">
        <v>7</v>
      </c>
      <c r="F53" s="87"/>
      <c r="G53" s="82"/>
      <c r="H53" s="82"/>
      <c r="I53" s="82" t="s">
        <v>7948</v>
      </c>
      <c r="J53" s="82"/>
      <c r="K53" s="82"/>
      <c r="L53" s="82"/>
      <c r="M53" s="82"/>
      <c r="N53" s="82"/>
      <c r="O53" s="87" t="s">
        <v>6373</v>
      </c>
      <c r="P53" s="82" t="s">
        <v>60</v>
      </c>
      <c r="Q53" s="83">
        <f>VLOOKUP(TAB_ESTOQUE[[#This Row],[Codigo]],TAB_ENTRADA[[Cod_2_Entrada]:[TOTAL_ENTRADA]],5,FALSE)-VLOOKUP(TAB_ESTOQUE[[#This Row],[Codigo]],TAB_SAIDA[[COD_2_SAIDA]:[TOTAL_SAIDA]],5,FALSE)</f>
        <v>0</v>
      </c>
      <c r="R53" s="87"/>
      <c r="S53" s="87"/>
      <c r="T53" s="90"/>
      <c r="U53" s="91">
        <f>TAB_ESTOQUE[[#This Row],[Valor Unitario Estimado]]*TAB_ESTOQUE[[#This Row],[Estoque]]</f>
        <v>0</v>
      </c>
      <c r="V53" s="91"/>
      <c r="W53" s="85"/>
      <c r="X53" s="85"/>
      <c r="Y53" s="85"/>
      <c r="Z53" s="85"/>
      <c r="AA53" s="85"/>
      <c r="AB53" s="85" t="str">
        <f>IF(TAB_ESTOQUE[[#This Row],[Estoque]]=0,"Estoque Não Conforme",IF(TAB_ESTOQUE[[#This Row],[Estoque]]&gt;=TAB_ESTOQUE[[#This Row],[Mínimo]],"Estoque Conforme",IF(TAB_ESTOQUE[[#This Row],[Estoque]]&lt;TAB_ESTOQUE[[#This Row],[Mínimo]],"Estoque em Nivel Minimo")))</f>
        <v>Estoque Não Conforme</v>
      </c>
      <c r="AC53" s="85"/>
      <c r="AD53" s="82"/>
      <c r="AE53" s="82"/>
      <c r="AF53" s="82"/>
    </row>
    <row r="54" spans="1:32" ht="15" customHeight="1" x14ac:dyDescent="0.25">
      <c r="A54" s="45">
        <v>1711</v>
      </c>
      <c r="B54" s="47"/>
      <c r="C54" s="46"/>
      <c r="D54" s="45" t="s">
        <v>1871</v>
      </c>
      <c r="E54" s="46" t="s">
        <v>7</v>
      </c>
      <c r="F54" s="87"/>
      <c r="G54" s="82"/>
      <c r="H54" s="82"/>
      <c r="I54" s="82" t="s">
        <v>7966</v>
      </c>
      <c r="J54" s="82"/>
      <c r="K54" s="82"/>
      <c r="L54" s="82"/>
      <c r="M54" s="82"/>
      <c r="N54" s="82"/>
      <c r="O54" s="87" t="s">
        <v>6373</v>
      </c>
      <c r="P54" s="82" t="s">
        <v>1141</v>
      </c>
      <c r="Q54" s="83">
        <f>VLOOKUP(TAB_ESTOQUE[[#This Row],[Codigo]],TAB_ENTRADA[[Cod_2_Entrada]:[TOTAL_ENTRADA]],5,FALSE)-VLOOKUP(TAB_ESTOQUE[[#This Row],[Codigo]],TAB_SAIDA[[COD_2_SAIDA]:[TOTAL_SAIDA]],5,FALSE)</f>
        <v>15</v>
      </c>
      <c r="R54" s="87"/>
      <c r="S54" s="87"/>
      <c r="T54" s="90"/>
      <c r="U54" s="91">
        <f>TAB_ESTOQUE[[#This Row],[Valor Unitario Estimado]]*TAB_ESTOQUE[[#This Row],[Estoque]]</f>
        <v>0</v>
      </c>
      <c r="V54" s="91"/>
      <c r="W54" s="85"/>
      <c r="X54" s="85"/>
      <c r="Y54" s="85"/>
      <c r="Z54" s="85"/>
      <c r="AA54" s="85"/>
      <c r="AB54" s="85" t="str">
        <f>IF(TAB_ESTOQUE[[#This Row],[Estoque]]=0,"Estoque Não Conforme",IF(TAB_ESTOQUE[[#This Row],[Estoque]]&gt;=TAB_ESTOQUE[[#This Row],[Mínimo]],"Estoque Conforme",IF(TAB_ESTOQUE[[#This Row],[Estoque]]&lt;TAB_ESTOQUE[[#This Row],[Mínimo]],"Estoque em Nivel Minimo")))</f>
        <v>Estoque Conforme</v>
      </c>
      <c r="AC54" s="85"/>
      <c r="AD54" s="82"/>
      <c r="AE54" s="82"/>
      <c r="AF54" s="82"/>
    </row>
    <row r="55" spans="1:32" ht="15" customHeight="1" x14ac:dyDescent="0.25">
      <c r="A55" s="45">
        <v>1351</v>
      </c>
      <c r="B55" s="47"/>
      <c r="C55" s="46"/>
      <c r="D55" s="45" t="s">
        <v>1872</v>
      </c>
      <c r="E55" s="46" t="s">
        <v>7</v>
      </c>
      <c r="F55" s="87"/>
      <c r="G55" s="82"/>
      <c r="H55" s="82"/>
      <c r="I55" s="82" t="s">
        <v>7945</v>
      </c>
      <c r="J55" s="82"/>
      <c r="K55" s="82"/>
      <c r="L55" s="82"/>
      <c r="M55" s="82"/>
      <c r="N55" s="82"/>
      <c r="O55" s="87" t="s">
        <v>6373</v>
      </c>
      <c r="P55" s="82" t="s">
        <v>1085</v>
      </c>
      <c r="Q55" s="83">
        <f>VLOOKUP(TAB_ESTOQUE[[#This Row],[Codigo]],TAB_ENTRADA[[Cod_2_Entrada]:[TOTAL_ENTRADA]],5,FALSE)-VLOOKUP(TAB_ESTOQUE[[#This Row],[Codigo]],TAB_SAIDA[[COD_2_SAIDA]:[TOTAL_SAIDA]],5,FALSE)</f>
        <v>95</v>
      </c>
      <c r="R55" s="87"/>
      <c r="S55" s="87"/>
      <c r="T55" s="90"/>
      <c r="U55" s="91">
        <f>TAB_ESTOQUE[[#This Row],[Valor Unitario Estimado]]*TAB_ESTOQUE[[#This Row],[Estoque]]</f>
        <v>0</v>
      </c>
      <c r="V55" s="91"/>
      <c r="W55" s="85"/>
      <c r="X55" s="85"/>
      <c r="Y55" s="85"/>
      <c r="Z55" s="85"/>
      <c r="AA55" s="85"/>
      <c r="AB55" s="85" t="str">
        <f>IF(TAB_ESTOQUE[[#This Row],[Estoque]]=0,"Estoque Não Conforme",IF(TAB_ESTOQUE[[#This Row],[Estoque]]&gt;=TAB_ESTOQUE[[#This Row],[Mínimo]],"Estoque Conforme",IF(TAB_ESTOQUE[[#This Row],[Estoque]]&lt;TAB_ESTOQUE[[#This Row],[Mínimo]],"Estoque em Nivel Minimo")))</f>
        <v>Estoque Conforme</v>
      </c>
      <c r="AC55" s="85"/>
      <c r="AD55" s="82"/>
      <c r="AE55" s="82"/>
      <c r="AF55" s="82"/>
    </row>
    <row r="56" spans="1:32" ht="15" customHeight="1" x14ac:dyDescent="0.25">
      <c r="A56" s="45">
        <v>1196</v>
      </c>
      <c r="B56" s="47"/>
      <c r="C56" s="46"/>
      <c r="D56" s="45" t="s">
        <v>1873</v>
      </c>
      <c r="E56" s="46" t="s">
        <v>7</v>
      </c>
      <c r="F56" s="87"/>
      <c r="G56" s="82"/>
      <c r="H56" s="82"/>
      <c r="I56" s="82" t="s">
        <v>7946</v>
      </c>
      <c r="J56" s="82"/>
      <c r="K56" s="82"/>
      <c r="L56" s="82"/>
      <c r="M56" s="82"/>
      <c r="N56" s="82"/>
      <c r="O56" s="87" t="s">
        <v>6373</v>
      </c>
      <c r="P56" s="82" t="s">
        <v>918</v>
      </c>
      <c r="Q56" s="83">
        <f>VLOOKUP(TAB_ESTOQUE[[#This Row],[Codigo]],TAB_ENTRADA[[Cod_2_Entrada]:[TOTAL_ENTRADA]],5,FALSE)-VLOOKUP(TAB_ESTOQUE[[#This Row],[Codigo]],TAB_SAIDA[[COD_2_SAIDA]:[TOTAL_SAIDA]],5,FALSE)</f>
        <v>16</v>
      </c>
      <c r="R56" s="87"/>
      <c r="S56" s="87"/>
      <c r="T56" s="90"/>
      <c r="U56" s="91">
        <f>TAB_ESTOQUE[[#This Row],[Valor Unitario Estimado]]*TAB_ESTOQUE[[#This Row],[Estoque]]</f>
        <v>0</v>
      </c>
      <c r="V56" s="91"/>
      <c r="W56" s="85"/>
      <c r="X56" s="85"/>
      <c r="Y56" s="85"/>
      <c r="Z56" s="85"/>
      <c r="AA56" s="85"/>
      <c r="AB56" s="85" t="str">
        <f>IF(TAB_ESTOQUE[[#This Row],[Estoque]]=0,"Estoque Não Conforme",IF(TAB_ESTOQUE[[#This Row],[Estoque]]&gt;=TAB_ESTOQUE[[#This Row],[Mínimo]],"Estoque Conforme",IF(TAB_ESTOQUE[[#This Row],[Estoque]]&lt;TAB_ESTOQUE[[#This Row],[Mínimo]],"Estoque em Nivel Minimo")))</f>
        <v>Estoque Conforme</v>
      </c>
      <c r="AC56" s="85"/>
      <c r="AD56" s="82"/>
      <c r="AE56" s="82"/>
      <c r="AF56" s="82"/>
    </row>
    <row r="57" spans="1:32" ht="15" customHeight="1" x14ac:dyDescent="0.25">
      <c r="A57" s="45">
        <v>1198</v>
      </c>
      <c r="B57" s="47"/>
      <c r="C57" s="46"/>
      <c r="D57" s="45" t="s">
        <v>1874</v>
      </c>
      <c r="E57" s="46" t="s">
        <v>7</v>
      </c>
      <c r="F57" s="87"/>
      <c r="G57" s="82"/>
      <c r="H57" s="82"/>
      <c r="I57" s="82" t="s">
        <v>7947</v>
      </c>
      <c r="J57" s="82"/>
      <c r="K57" s="82"/>
      <c r="L57" s="82"/>
      <c r="M57" s="82"/>
      <c r="N57" s="82"/>
      <c r="O57" s="87" t="s">
        <v>6373</v>
      </c>
      <c r="P57" s="82" t="s">
        <v>920</v>
      </c>
      <c r="Q57" s="83">
        <f>VLOOKUP(TAB_ESTOQUE[[#This Row],[Codigo]],TAB_ENTRADA[[Cod_2_Entrada]:[TOTAL_ENTRADA]],5,FALSE)-VLOOKUP(TAB_ESTOQUE[[#This Row],[Codigo]],TAB_SAIDA[[COD_2_SAIDA]:[TOTAL_SAIDA]],5,FALSE)</f>
        <v>97</v>
      </c>
      <c r="R57" s="87"/>
      <c r="S57" s="87"/>
      <c r="T57" s="90">
        <v>10</v>
      </c>
      <c r="U57" s="91">
        <f>TAB_ESTOQUE[[#This Row],[Valor Unitario Estimado]]*TAB_ESTOQUE[[#This Row],[Estoque]]</f>
        <v>970</v>
      </c>
      <c r="V57" s="91"/>
      <c r="W57" s="85"/>
      <c r="X57" s="85"/>
      <c r="Y57" s="85"/>
      <c r="Z57" s="85"/>
      <c r="AA57" s="85"/>
      <c r="AB57" s="85" t="str">
        <f>IF(TAB_ESTOQUE[[#This Row],[Estoque]]=0,"Estoque Não Conforme",IF(TAB_ESTOQUE[[#This Row],[Estoque]]&gt;=TAB_ESTOQUE[[#This Row],[Mínimo]],"Estoque Conforme",IF(TAB_ESTOQUE[[#This Row],[Estoque]]&lt;TAB_ESTOQUE[[#This Row],[Mínimo]],"Estoque em Nivel Minimo")))</f>
        <v>Estoque Conforme</v>
      </c>
      <c r="AC57" s="85"/>
      <c r="AD57" s="82"/>
      <c r="AE57" s="82"/>
      <c r="AF57" s="82"/>
    </row>
    <row r="58" spans="1:32" ht="15" customHeight="1" x14ac:dyDescent="0.25">
      <c r="A58" s="45">
        <v>1088</v>
      </c>
      <c r="B58" s="47"/>
      <c r="C58" s="46"/>
      <c r="D58" s="45" t="s">
        <v>2611</v>
      </c>
      <c r="E58" s="46" t="s">
        <v>8</v>
      </c>
      <c r="F58" s="87"/>
      <c r="G58" s="82"/>
      <c r="H58" s="82"/>
      <c r="I58" s="82" t="s">
        <v>7962</v>
      </c>
      <c r="J58" s="82"/>
      <c r="K58" s="82" t="s">
        <v>35</v>
      </c>
      <c r="L58" s="82"/>
      <c r="M58" s="82"/>
      <c r="N58" s="82"/>
      <c r="O58" s="87" t="s">
        <v>6373</v>
      </c>
      <c r="P58" s="82" t="s">
        <v>817</v>
      </c>
      <c r="Q58" s="83">
        <f>VLOOKUP(TAB_ESTOQUE[[#This Row],[Codigo]],TAB_ENTRADA[[Cod_2_Entrada]:[TOTAL_ENTRADA]],5,FALSE)-VLOOKUP(TAB_ESTOQUE[[#This Row],[Codigo]],TAB_SAIDA[[COD_2_SAIDA]:[TOTAL_SAIDA]],5,FALSE)</f>
        <v>160</v>
      </c>
      <c r="R58" s="87"/>
      <c r="S58" s="87"/>
      <c r="T58" s="90"/>
      <c r="U58" s="91">
        <f>TAB_ESTOQUE[[#This Row],[Valor Unitario Estimado]]*TAB_ESTOQUE[[#This Row],[Estoque]]</f>
        <v>0</v>
      </c>
      <c r="V58" s="91"/>
      <c r="W58" s="85"/>
      <c r="X58" s="85"/>
      <c r="Y58" s="85"/>
      <c r="Z58" s="85"/>
      <c r="AA58" s="85"/>
      <c r="AB58" s="85" t="str">
        <f>IF(TAB_ESTOQUE[[#This Row],[Estoque]]=0,"Estoque Não Conforme",IF(TAB_ESTOQUE[[#This Row],[Estoque]]&gt;=TAB_ESTOQUE[[#This Row],[Mínimo]],"Estoque Conforme",IF(TAB_ESTOQUE[[#This Row],[Estoque]]&lt;TAB_ESTOQUE[[#This Row],[Mínimo]],"Estoque em Nivel Minimo")))</f>
        <v>Estoque Conforme</v>
      </c>
      <c r="AC58" s="85"/>
      <c r="AD58" s="82"/>
      <c r="AE58" s="82"/>
      <c r="AF58" s="82"/>
    </row>
    <row r="59" spans="1:32" ht="15" customHeight="1" x14ac:dyDescent="0.25">
      <c r="A59" s="45">
        <v>1082</v>
      </c>
      <c r="B59" s="47"/>
      <c r="C59" s="46"/>
      <c r="D59" s="45" t="s">
        <v>2612</v>
      </c>
      <c r="E59" s="46" t="s">
        <v>8</v>
      </c>
      <c r="F59" s="87"/>
      <c r="G59" s="82"/>
      <c r="H59" s="82"/>
      <c r="I59" s="82" t="s">
        <v>7963</v>
      </c>
      <c r="J59" s="82"/>
      <c r="K59" s="82" t="s">
        <v>35</v>
      </c>
      <c r="L59" s="82"/>
      <c r="M59" s="82"/>
      <c r="N59" s="82"/>
      <c r="O59" s="87" t="s">
        <v>6373</v>
      </c>
      <c r="P59" s="82" t="s">
        <v>817</v>
      </c>
      <c r="Q59" s="83">
        <f>VLOOKUP(TAB_ESTOQUE[[#This Row],[Codigo]],TAB_ENTRADA[[Cod_2_Entrada]:[TOTAL_ENTRADA]],5,FALSE)-VLOOKUP(TAB_ESTOQUE[[#This Row],[Codigo]],TAB_SAIDA[[COD_2_SAIDA]:[TOTAL_SAIDA]],5,FALSE)</f>
        <v>0</v>
      </c>
      <c r="R59" s="87"/>
      <c r="S59" s="87"/>
      <c r="T59" s="90">
        <v>28.55</v>
      </c>
      <c r="U59" s="91">
        <f>TAB_ESTOQUE[[#This Row],[Valor Unitario Estimado]]*TAB_ESTOQUE[[#This Row],[Estoque]]</f>
        <v>0</v>
      </c>
      <c r="V59" s="91"/>
      <c r="W59" s="85"/>
      <c r="X59" s="85"/>
      <c r="Y59" s="85"/>
      <c r="Z59" s="85"/>
      <c r="AA59" s="85"/>
      <c r="AB59" s="85" t="str">
        <f>IF(TAB_ESTOQUE[[#This Row],[Estoque]]=0,"Estoque Não Conforme",IF(TAB_ESTOQUE[[#This Row],[Estoque]]&gt;=TAB_ESTOQUE[[#This Row],[Mínimo]],"Estoque Conforme",IF(TAB_ESTOQUE[[#This Row],[Estoque]]&lt;TAB_ESTOQUE[[#This Row],[Mínimo]],"Estoque em Nivel Minimo")))</f>
        <v>Estoque Não Conforme</v>
      </c>
      <c r="AC59" s="85"/>
      <c r="AD59" s="82"/>
      <c r="AE59" s="82"/>
      <c r="AF59" s="82"/>
    </row>
    <row r="60" spans="1:32" ht="15" customHeight="1" x14ac:dyDescent="0.25">
      <c r="B60" s="47"/>
      <c r="C60" s="46" t="s">
        <v>2833</v>
      </c>
      <c r="D60" s="45" t="s">
        <v>2761</v>
      </c>
      <c r="E60" s="46"/>
      <c r="F60" s="87"/>
      <c r="G60" s="82"/>
      <c r="H60" s="82"/>
      <c r="I60" s="82" t="s">
        <v>6332</v>
      </c>
      <c r="J60" s="82"/>
      <c r="K60" s="82"/>
      <c r="L60" s="82"/>
      <c r="M60" s="82"/>
      <c r="N60" s="82"/>
      <c r="O60" s="87" t="s">
        <v>6333</v>
      </c>
      <c r="P60" s="82" t="s">
        <v>1591</v>
      </c>
      <c r="Q60" s="83">
        <f>VLOOKUP(TAB_ESTOQUE[[#This Row],[Codigo]],TAB_ENTRADA[[Cod_2_Entrada]:[TOTAL_ENTRADA]],5,FALSE)-VLOOKUP(TAB_ESTOQUE[[#This Row],[Codigo]],TAB_SAIDA[[COD_2_SAIDA]:[TOTAL_SAIDA]],5,FALSE)</f>
        <v>300</v>
      </c>
      <c r="R60" s="87"/>
      <c r="S60" s="87"/>
      <c r="T60" s="90">
        <v>0.15</v>
      </c>
      <c r="U60" s="91">
        <f>TAB_ESTOQUE[[#This Row],[Valor Unitario Estimado]]*TAB_ESTOQUE[[#This Row],[Estoque]]</f>
        <v>45</v>
      </c>
      <c r="V60" s="91"/>
      <c r="W60" s="85"/>
      <c r="X60" s="85"/>
      <c r="Y60" s="85"/>
      <c r="Z60" s="85"/>
      <c r="AA60" s="85"/>
      <c r="AB60" s="96" t="str">
        <f>IF(TAB_ESTOQUE[[#This Row],[Estoque]]=0,"Estoque Não Conforme",IF(TAB_ESTOQUE[[#This Row],[Estoque]]&gt;=TAB_ESTOQUE[[#This Row],[Mínimo]],"Estoque Conforme",IF(TAB_ESTOQUE[[#This Row],[Estoque]]&lt;TAB_ESTOQUE[[#This Row],[Mínimo]],"Estoque em Nivel Minimo")))</f>
        <v>Estoque Conforme</v>
      </c>
      <c r="AC60" s="96"/>
      <c r="AD60" s="82"/>
      <c r="AE60" s="82"/>
      <c r="AF60" s="82"/>
    </row>
    <row r="61" spans="1:32" ht="15" customHeight="1" x14ac:dyDescent="0.25">
      <c r="A61" s="45">
        <v>627</v>
      </c>
      <c r="B61" s="47"/>
      <c r="C61" s="46" t="s">
        <v>2838</v>
      </c>
      <c r="D61" s="45" t="s">
        <v>1667</v>
      </c>
      <c r="E61" s="46"/>
      <c r="F61" s="87"/>
      <c r="G61" s="82"/>
      <c r="H61" s="82"/>
      <c r="I61" s="82" t="s">
        <v>1416</v>
      </c>
      <c r="J61" s="82"/>
      <c r="K61" s="82"/>
      <c r="L61" s="82"/>
      <c r="M61" s="82"/>
      <c r="N61" s="82"/>
      <c r="O61" s="87" t="s">
        <v>6276</v>
      </c>
      <c r="P61" s="82" t="s">
        <v>405</v>
      </c>
      <c r="Q61" s="83">
        <f>VLOOKUP(TAB_ESTOQUE[[#This Row],[Codigo]],TAB_ENTRADA[[Cod_2_Entrada]:[TOTAL_ENTRADA]],5,FALSE)-VLOOKUP(TAB_ESTOQUE[[#This Row],[Codigo]],TAB_SAIDA[[COD_2_SAIDA]:[TOTAL_SAIDA]],5,FALSE)</f>
        <v>70</v>
      </c>
      <c r="R61" s="87"/>
      <c r="S61" s="87"/>
      <c r="T61" s="90">
        <v>15</v>
      </c>
      <c r="U61" s="91">
        <f>TAB_ESTOQUE[[#This Row],[Valor Unitario Estimado]]*TAB_ESTOQUE[[#This Row],[Estoque]]</f>
        <v>1050</v>
      </c>
      <c r="V61" s="91"/>
      <c r="W61" s="85"/>
      <c r="X61" s="85"/>
      <c r="Y61" s="85"/>
      <c r="Z61" s="85"/>
      <c r="AA61" s="85"/>
      <c r="AB61" s="85" t="str">
        <f>IF(TAB_ESTOQUE[[#This Row],[Estoque]]=0,"Estoque Não Conforme",IF(TAB_ESTOQUE[[#This Row],[Estoque]]&gt;=TAB_ESTOQUE[[#This Row],[Mínimo]],"Estoque Conforme",IF(TAB_ESTOQUE[[#This Row],[Estoque]]&lt;TAB_ESTOQUE[[#This Row],[Mínimo]],"Estoque em Nivel Minimo")))</f>
        <v>Estoque Conforme</v>
      </c>
      <c r="AC61" s="85"/>
      <c r="AD61" s="82"/>
      <c r="AE61" s="82"/>
      <c r="AF61" s="82"/>
    </row>
    <row r="62" spans="1:32" ht="15" customHeight="1" x14ac:dyDescent="0.25">
      <c r="A62" s="45">
        <v>622</v>
      </c>
      <c r="B62" s="47"/>
      <c r="C62" s="46" t="s">
        <v>2838</v>
      </c>
      <c r="D62" s="45" t="s">
        <v>1668</v>
      </c>
      <c r="E62" s="46"/>
      <c r="F62" s="87"/>
      <c r="G62" s="82"/>
      <c r="H62" s="82"/>
      <c r="I62" s="82" t="s">
        <v>1417</v>
      </c>
      <c r="J62" s="82"/>
      <c r="K62" s="82"/>
      <c r="L62" s="82"/>
      <c r="M62" s="82"/>
      <c r="N62" s="82"/>
      <c r="O62" s="87" t="s">
        <v>6276</v>
      </c>
      <c r="P62" s="82" t="s">
        <v>405</v>
      </c>
      <c r="Q62" s="83">
        <f>VLOOKUP(TAB_ESTOQUE[[#This Row],[Codigo]],TAB_ENTRADA[[Cod_2_Entrada]:[TOTAL_ENTRADA]],5,FALSE)-VLOOKUP(TAB_ESTOQUE[[#This Row],[Codigo]],TAB_SAIDA[[COD_2_SAIDA]:[TOTAL_SAIDA]],5,FALSE)</f>
        <v>0</v>
      </c>
      <c r="R62" s="87"/>
      <c r="S62" s="87"/>
      <c r="T62" s="90">
        <v>0.15</v>
      </c>
      <c r="U62" s="91">
        <f>TAB_ESTOQUE[[#This Row],[Valor Unitario Estimado]]*TAB_ESTOQUE[[#This Row],[Estoque]]</f>
        <v>0</v>
      </c>
      <c r="V62" s="91"/>
      <c r="W62" s="85"/>
      <c r="X62" s="85"/>
      <c r="Y62" s="85"/>
      <c r="Z62" s="85"/>
      <c r="AA62" s="85"/>
      <c r="AB62" s="85" t="str">
        <f>IF(TAB_ESTOQUE[[#This Row],[Estoque]]=0,"Estoque Não Conforme",IF(TAB_ESTOQUE[[#This Row],[Estoque]]&gt;=TAB_ESTOQUE[[#This Row],[Mínimo]],"Estoque Conforme",IF(TAB_ESTOQUE[[#This Row],[Estoque]]&lt;TAB_ESTOQUE[[#This Row],[Mínimo]],"Estoque em Nivel Minimo")))</f>
        <v>Estoque Não Conforme</v>
      </c>
      <c r="AC62" s="85"/>
      <c r="AD62" s="82"/>
      <c r="AE62" s="82"/>
      <c r="AF62" s="82"/>
    </row>
    <row r="63" spans="1:32" ht="15" customHeight="1" x14ac:dyDescent="0.25">
      <c r="A63" s="45">
        <v>623</v>
      </c>
      <c r="B63" s="47"/>
      <c r="C63" s="46" t="s">
        <v>2838</v>
      </c>
      <c r="D63" s="45" t="s">
        <v>1669</v>
      </c>
      <c r="E63" s="46"/>
      <c r="F63" s="87"/>
      <c r="G63" s="82"/>
      <c r="H63" s="82"/>
      <c r="I63" s="82" t="s">
        <v>1418</v>
      </c>
      <c r="J63" s="82"/>
      <c r="K63" s="82"/>
      <c r="L63" s="82"/>
      <c r="M63" s="82"/>
      <c r="N63" s="82"/>
      <c r="O63" s="87" t="s">
        <v>6276</v>
      </c>
      <c r="P63" s="82" t="s">
        <v>405</v>
      </c>
      <c r="Q63" s="83">
        <f>VLOOKUP(TAB_ESTOQUE[[#This Row],[Codigo]],TAB_ENTRADA[[Cod_2_Entrada]:[TOTAL_ENTRADA]],5,FALSE)-VLOOKUP(TAB_ESTOQUE[[#This Row],[Codigo]],TAB_SAIDA[[COD_2_SAIDA]:[TOTAL_SAIDA]],5,FALSE)</f>
        <v>0</v>
      </c>
      <c r="R63" s="87"/>
      <c r="S63" s="87"/>
      <c r="T63" s="90">
        <v>0.15</v>
      </c>
      <c r="U63" s="91">
        <f>TAB_ESTOQUE[[#This Row],[Valor Unitario Estimado]]*TAB_ESTOQUE[[#This Row],[Estoque]]</f>
        <v>0</v>
      </c>
      <c r="V63" s="91"/>
      <c r="W63" s="85"/>
      <c r="X63" s="85"/>
      <c r="Y63" s="85"/>
      <c r="Z63" s="85"/>
      <c r="AA63" s="85"/>
      <c r="AB63" s="85" t="str">
        <f>IF(TAB_ESTOQUE[[#This Row],[Estoque]]=0,"Estoque Não Conforme",IF(TAB_ESTOQUE[[#This Row],[Estoque]]&gt;=TAB_ESTOQUE[[#This Row],[Mínimo]],"Estoque Conforme",IF(TAB_ESTOQUE[[#This Row],[Estoque]]&lt;TAB_ESTOQUE[[#This Row],[Mínimo]],"Estoque em Nivel Minimo")))</f>
        <v>Estoque Não Conforme</v>
      </c>
      <c r="AC63" s="85"/>
      <c r="AD63" s="82"/>
      <c r="AE63" s="82"/>
      <c r="AF63" s="82"/>
    </row>
    <row r="64" spans="1:32" ht="15" customHeight="1" x14ac:dyDescent="0.25">
      <c r="A64" s="45">
        <v>624</v>
      </c>
      <c r="B64" s="47"/>
      <c r="C64" s="46" t="s">
        <v>2838</v>
      </c>
      <c r="D64" s="45" t="s">
        <v>1670</v>
      </c>
      <c r="E64" s="46"/>
      <c r="F64" s="87"/>
      <c r="G64" s="82"/>
      <c r="H64" s="82"/>
      <c r="I64" s="82" t="s">
        <v>1419</v>
      </c>
      <c r="J64" s="82"/>
      <c r="K64" s="82"/>
      <c r="L64" s="82"/>
      <c r="M64" s="82"/>
      <c r="N64" s="82"/>
      <c r="O64" s="87" t="s">
        <v>6276</v>
      </c>
      <c r="P64" s="82" t="s">
        <v>405</v>
      </c>
      <c r="Q64" s="83">
        <f>VLOOKUP(TAB_ESTOQUE[[#This Row],[Codigo]],TAB_ENTRADA[[Cod_2_Entrada]:[TOTAL_ENTRADA]],5,FALSE)-VLOOKUP(TAB_ESTOQUE[[#This Row],[Codigo]],TAB_SAIDA[[COD_2_SAIDA]:[TOTAL_SAIDA]],5,FALSE)</f>
        <v>0</v>
      </c>
      <c r="R64" s="87"/>
      <c r="S64" s="87"/>
      <c r="T64" s="90">
        <v>0.15</v>
      </c>
      <c r="U64" s="91">
        <f>TAB_ESTOQUE[[#This Row],[Valor Unitario Estimado]]*TAB_ESTOQUE[[#This Row],[Estoque]]</f>
        <v>0</v>
      </c>
      <c r="V64" s="91"/>
      <c r="W64" s="85"/>
      <c r="X64" s="85"/>
      <c r="Y64" s="85"/>
      <c r="Z64" s="85"/>
      <c r="AA64" s="85"/>
      <c r="AB64" s="85" t="str">
        <f>IF(TAB_ESTOQUE[[#This Row],[Estoque]]=0,"Estoque Não Conforme",IF(TAB_ESTOQUE[[#This Row],[Estoque]]&gt;=TAB_ESTOQUE[[#This Row],[Mínimo]],"Estoque Conforme",IF(TAB_ESTOQUE[[#This Row],[Estoque]]&lt;TAB_ESTOQUE[[#This Row],[Mínimo]],"Estoque em Nivel Minimo")))</f>
        <v>Estoque Não Conforme</v>
      </c>
      <c r="AC64" s="85"/>
      <c r="AD64" s="82"/>
      <c r="AE64" s="82"/>
      <c r="AF64" s="82"/>
    </row>
    <row r="65" spans="1:32" ht="15" customHeight="1" x14ac:dyDescent="0.25">
      <c r="A65" s="45">
        <v>625</v>
      </c>
      <c r="B65" s="47"/>
      <c r="C65" s="46" t="s">
        <v>2838</v>
      </c>
      <c r="D65" s="45" t="s">
        <v>1671</v>
      </c>
      <c r="E65" s="46"/>
      <c r="F65" s="87"/>
      <c r="G65" s="82"/>
      <c r="H65" s="82"/>
      <c r="I65" s="82" t="s">
        <v>7433</v>
      </c>
      <c r="J65" s="82"/>
      <c r="K65" s="82"/>
      <c r="L65" s="82"/>
      <c r="M65" s="82"/>
      <c r="N65" s="82"/>
      <c r="O65" s="87" t="s">
        <v>6276</v>
      </c>
      <c r="P65" s="82" t="s">
        <v>405</v>
      </c>
      <c r="Q65" s="83">
        <f>VLOOKUP(TAB_ESTOQUE[[#This Row],[Codigo]],TAB_ENTRADA[[Cod_2_Entrada]:[TOTAL_ENTRADA]],5,FALSE)-VLOOKUP(TAB_ESTOQUE[[#This Row],[Codigo]],TAB_SAIDA[[COD_2_SAIDA]:[TOTAL_SAIDA]],5,FALSE)</f>
        <v>12</v>
      </c>
      <c r="R65" s="87"/>
      <c r="S65" s="87"/>
      <c r="T65" s="90">
        <v>0.15</v>
      </c>
      <c r="U65" s="91">
        <f>TAB_ESTOQUE[[#This Row],[Valor Unitario Estimado]]*TAB_ESTOQUE[[#This Row],[Estoque]]</f>
        <v>1.7999999999999998</v>
      </c>
      <c r="V65" s="91"/>
      <c r="W65" s="85"/>
      <c r="X65" s="85"/>
      <c r="Y65" s="85"/>
      <c r="Z65" s="85"/>
      <c r="AA65" s="85"/>
      <c r="AB65" s="85" t="str">
        <f>IF(TAB_ESTOQUE[[#This Row],[Estoque]]=0,"Estoque Não Conforme",IF(TAB_ESTOQUE[[#This Row],[Estoque]]&gt;=TAB_ESTOQUE[[#This Row],[Mínimo]],"Estoque Conforme",IF(TAB_ESTOQUE[[#This Row],[Estoque]]&lt;TAB_ESTOQUE[[#This Row],[Mínimo]],"Estoque em Nivel Minimo")))</f>
        <v>Estoque Conforme</v>
      </c>
      <c r="AC65" s="85"/>
      <c r="AD65" s="82"/>
      <c r="AE65" s="82"/>
      <c r="AF65" s="82"/>
    </row>
    <row r="66" spans="1:32" ht="15" customHeight="1" x14ac:dyDescent="0.25">
      <c r="A66" s="45">
        <v>626</v>
      </c>
      <c r="B66" s="47"/>
      <c r="C66" s="46" t="s">
        <v>2838</v>
      </c>
      <c r="D66" s="45" t="s">
        <v>1672</v>
      </c>
      <c r="E66" s="46"/>
      <c r="F66" s="87"/>
      <c r="G66" s="82"/>
      <c r="H66" s="82"/>
      <c r="I66" s="82" t="s">
        <v>7685</v>
      </c>
      <c r="J66" s="82"/>
      <c r="K66" s="82"/>
      <c r="L66" s="82"/>
      <c r="M66" s="82"/>
      <c r="N66" s="82"/>
      <c r="O66" s="87" t="s">
        <v>6276</v>
      </c>
      <c r="P66" s="82" t="s">
        <v>405</v>
      </c>
      <c r="Q66" s="83">
        <f>VLOOKUP(TAB_ESTOQUE[[#This Row],[Codigo]],TAB_ENTRADA[[Cod_2_Entrada]:[TOTAL_ENTRADA]],5,FALSE)-VLOOKUP(TAB_ESTOQUE[[#This Row],[Codigo]],TAB_SAIDA[[COD_2_SAIDA]:[TOTAL_SAIDA]],5,FALSE)</f>
        <v>0</v>
      </c>
      <c r="R66" s="87"/>
      <c r="S66" s="87"/>
      <c r="T66" s="90">
        <v>0.15</v>
      </c>
      <c r="U66" s="91">
        <f>TAB_ESTOQUE[[#This Row],[Valor Unitario Estimado]]*TAB_ESTOQUE[[#This Row],[Estoque]]</f>
        <v>0</v>
      </c>
      <c r="V66" s="91"/>
      <c r="W66" s="85"/>
      <c r="X66" s="85"/>
      <c r="Y66" s="85"/>
      <c r="Z66" s="85"/>
      <c r="AA66" s="85"/>
      <c r="AB66" s="85" t="str">
        <f>IF(TAB_ESTOQUE[[#This Row],[Estoque]]=0,"Estoque Não Conforme",IF(TAB_ESTOQUE[[#This Row],[Estoque]]&gt;=TAB_ESTOQUE[[#This Row],[Mínimo]],"Estoque Conforme",IF(TAB_ESTOQUE[[#This Row],[Estoque]]&lt;TAB_ESTOQUE[[#This Row],[Mínimo]],"Estoque em Nivel Minimo")))</f>
        <v>Estoque Não Conforme</v>
      </c>
      <c r="AC66" s="85"/>
      <c r="AD66" s="82"/>
      <c r="AE66" s="82"/>
      <c r="AF66" s="82"/>
    </row>
    <row r="67" spans="1:32" ht="15" customHeight="1" x14ac:dyDescent="0.25">
      <c r="A67" s="45">
        <v>1269</v>
      </c>
      <c r="B67" s="47"/>
      <c r="C67" s="46" t="s">
        <v>2838</v>
      </c>
      <c r="D67" s="45" t="s">
        <v>1673</v>
      </c>
      <c r="E67" s="46"/>
      <c r="F67" s="87"/>
      <c r="G67" s="82"/>
      <c r="H67" s="82"/>
      <c r="I67" s="82" t="s">
        <v>1422</v>
      </c>
      <c r="J67" s="82"/>
      <c r="K67" s="82"/>
      <c r="L67" s="82"/>
      <c r="M67" s="82"/>
      <c r="N67" s="82"/>
      <c r="O67" s="87" t="s">
        <v>6276</v>
      </c>
      <c r="P67" s="82" t="s">
        <v>995</v>
      </c>
      <c r="Q67" s="83">
        <f>VLOOKUP(TAB_ESTOQUE[[#This Row],[Codigo]],TAB_ENTRADA[[Cod_2_Entrada]:[TOTAL_ENTRADA]],5,FALSE)-VLOOKUP(TAB_ESTOQUE[[#This Row],[Codigo]],TAB_SAIDA[[COD_2_SAIDA]:[TOTAL_SAIDA]],5,FALSE)</f>
        <v>1</v>
      </c>
      <c r="R67" s="87"/>
      <c r="S67" s="87"/>
      <c r="T67" s="90">
        <v>3.6</v>
      </c>
      <c r="U67" s="91">
        <f>TAB_ESTOQUE[[#This Row],[Valor Unitario Estimado]]*TAB_ESTOQUE[[#This Row],[Estoque]]</f>
        <v>3.6</v>
      </c>
      <c r="V67" s="91"/>
      <c r="W67" s="85"/>
      <c r="X67" s="85"/>
      <c r="Y67" s="85"/>
      <c r="Z67" s="85"/>
      <c r="AA67" s="85"/>
      <c r="AB67" s="85" t="str">
        <f>IF(TAB_ESTOQUE[[#This Row],[Estoque]]=0,"Estoque Não Conforme",IF(TAB_ESTOQUE[[#This Row],[Estoque]]&gt;=TAB_ESTOQUE[[#This Row],[Mínimo]],"Estoque Conforme",IF(TAB_ESTOQUE[[#This Row],[Estoque]]&lt;TAB_ESTOQUE[[#This Row],[Mínimo]],"Estoque em Nivel Minimo")))</f>
        <v>Estoque Conforme</v>
      </c>
      <c r="AC67" s="85"/>
      <c r="AD67" s="82"/>
      <c r="AE67" s="82"/>
      <c r="AF67" s="82"/>
    </row>
    <row r="68" spans="1:32" ht="15" customHeight="1" x14ac:dyDescent="0.25">
      <c r="A68" s="45">
        <v>1270</v>
      </c>
      <c r="B68" s="47"/>
      <c r="C68" s="46" t="s">
        <v>2838</v>
      </c>
      <c r="D68" s="45" t="s">
        <v>1674</v>
      </c>
      <c r="E68" s="46"/>
      <c r="F68" s="87"/>
      <c r="G68" s="82"/>
      <c r="H68" s="82"/>
      <c r="I68" s="82" t="s">
        <v>1423</v>
      </c>
      <c r="J68" s="82"/>
      <c r="K68" s="82"/>
      <c r="L68" s="82"/>
      <c r="M68" s="82"/>
      <c r="N68" s="82"/>
      <c r="O68" s="87" t="s">
        <v>6276</v>
      </c>
      <c r="P68" s="82" t="s">
        <v>995</v>
      </c>
      <c r="Q68" s="83">
        <f>VLOOKUP(TAB_ESTOQUE[[#This Row],[Codigo]],TAB_ENTRADA[[Cod_2_Entrada]:[TOTAL_ENTRADA]],5,FALSE)-VLOOKUP(TAB_ESTOQUE[[#This Row],[Codigo]],TAB_SAIDA[[COD_2_SAIDA]:[TOTAL_SAIDA]],5,FALSE)</f>
        <v>10</v>
      </c>
      <c r="R68" s="87"/>
      <c r="S68" s="87"/>
      <c r="T68" s="90">
        <v>3.6</v>
      </c>
      <c r="U68" s="91">
        <f>TAB_ESTOQUE[[#This Row],[Valor Unitario Estimado]]*TAB_ESTOQUE[[#This Row],[Estoque]]</f>
        <v>36</v>
      </c>
      <c r="V68" s="91"/>
      <c r="W68" s="85"/>
      <c r="X68" s="85"/>
      <c r="Y68" s="85"/>
      <c r="Z68" s="85"/>
      <c r="AA68" s="85"/>
      <c r="AB68" s="85" t="str">
        <f>IF(TAB_ESTOQUE[[#This Row],[Estoque]]=0,"Estoque Não Conforme",IF(TAB_ESTOQUE[[#This Row],[Estoque]]&gt;=TAB_ESTOQUE[[#This Row],[Mínimo]],"Estoque Conforme",IF(TAB_ESTOQUE[[#This Row],[Estoque]]&lt;TAB_ESTOQUE[[#This Row],[Mínimo]],"Estoque em Nivel Minimo")))</f>
        <v>Estoque Conforme</v>
      </c>
      <c r="AC68" s="85"/>
      <c r="AD68" s="82"/>
      <c r="AE68" s="82"/>
      <c r="AF68" s="82"/>
    </row>
    <row r="69" spans="1:32" ht="15" customHeight="1" x14ac:dyDescent="0.25">
      <c r="A69" s="45">
        <v>1271</v>
      </c>
      <c r="B69" s="47"/>
      <c r="C69" s="46" t="s">
        <v>2838</v>
      </c>
      <c r="D69" s="45" t="s">
        <v>1675</v>
      </c>
      <c r="E69" s="46"/>
      <c r="F69" s="87"/>
      <c r="G69" s="82"/>
      <c r="H69" s="82"/>
      <c r="I69" s="82" t="s">
        <v>1424</v>
      </c>
      <c r="J69" s="82"/>
      <c r="K69" s="82"/>
      <c r="L69" s="82"/>
      <c r="M69" s="82"/>
      <c r="N69" s="82"/>
      <c r="O69" s="87" t="s">
        <v>6276</v>
      </c>
      <c r="P69" s="82" t="s">
        <v>995</v>
      </c>
      <c r="Q69" s="83">
        <f>VLOOKUP(TAB_ESTOQUE[[#This Row],[Codigo]],TAB_ENTRADA[[Cod_2_Entrada]:[TOTAL_ENTRADA]],5,FALSE)-VLOOKUP(TAB_ESTOQUE[[#This Row],[Codigo]],TAB_SAIDA[[COD_2_SAIDA]:[TOTAL_SAIDA]],5,FALSE)</f>
        <v>2</v>
      </c>
      <c r="R69" s="87"/>
      <c r="S69" s="87"/>
      <c r="T69" s="90">
        <v>3.6</v>
      </c>
      <c r="U69" s="91">
        <f>TAB_ESTOQUE[[#This Row],[Valor Unitario Estimado]]*TAB_ESTOQUE[[#This Row],[Estoque]]</f>
        <v>7.2</v>
      </c>
      <c r="V69" s="91"/>
      <c r="W69" s="85"/>
      <c r="X69" s="85"/>
      <c r="Y69" s="85"/>
      <c r="Z69" s="85"/>
      <c r="AA69" s="85"/>
      <c r="AB69" s="85" t="str">
        <f>IF(TAB_ESTOQUE[[#This Row],[Estoque]]=0,"Estoque Não Conforme",IF(TAB_ESTOQUE[[#This Row],[Estoque]]&gt;=TAB_ESTOQUE[[#This Row],[Mínimo]],"Estoque Conforme",IF(TAB_ESTOQUE[[#This Row],[Estoque]]&lt;TAB_ESTOQUE[[#This Row],[Mínimo]],"Estoque em Nivel Minimo")))</f>
        <v>Estoque Conforme</v>
      </c>
      <c r="AC69" s="85"/>
      <c r="AD69" s="82"/>
      <c r="AE69" s="82"/>
      <c r="AF69" s="82"/>
    </row>
    <row r="70" spans="1:32" ht="15" customHeight="1" x14ac:dyDescent="0.25">
      <c r="A70" s="45">
        <v>1272</v>
      </c>
      <c r="B70" s="47"/>
      <c r="C70" s="46" t="s">
        <v>2838</v>
      </c>
      <c r="D70" s="45" t="s">
        <v>1676</v>
      </c>
      <c r="E70" s="46"/>
      <c r="F70" s="87"/>
      <c r="G70" s="82"/>
      <c r="H70" s="82"/>
      <c r="I70" s="82" t="s">
        <v>1425</v>
      </c>
      <c r="J70" s="82"/>
      <c r="K70" s="82"/>
      <c r="L70" s="82"/>
      <c r="M70" s="82"/>
      <c r="N70" s="82"/>
      <c r="O70" s="87" t="s">
        <v>6276</v>
      </c>
      <c r="P70" s="82" t="s">
        <v>995</v>
      </c>
      <c r="Q70" s="83">
        <f>VLOOKUP(TAB_ESTOQUE[[#This Row],[Codigo]],TAB_ENTRADA[[Cod_2_Entrada]:[TOTAL_ENTRADA]],5,FALSE)-VLOOKUP(TAB_ESTOQUE[[#This Row],[Codigo]],TAB_SAIDA[[COD_2_SAIDA]:[TOTAL_SAIDA]],5,FALSE)</f>
        <v>2</v>
      </c>
      <c r="R70" s="87"/>
      <c r="S70" s="87"/>
      <c r="T70" s="90">
        <v>3.6</v>
      </c>
      <c r="U70" s="91">
        <f>TAB_ESTOQUE[[#This Row],[Valor Unitario Estimado]]*TAB_ESTOQUE[[#This Row],[Estoque]]</f>
        <v>7.2</v>
      </c>
      <c r="V70" s="91"/>
      <c r="W70" s="85"/>
      <c r="X70" s="85"/>
      <c r="Y70" s="85"/>
      <c r="Z70" s="85"/>
      <c r="AA70" s="85"/>
      <c r="AB70" s="85" t="str">
        <f>IF(TAB_ESTOQUE[[#This Row],[Estoque]]=0,"Estoque Não Conforme",IF(TAB_ESTOQUE[[#This Row],[Estoque]]&gt;=TAB_ESTOQUE[[#This Row],[Mínimo]],"Estoque Conforme",IF(TAB_ESTOQUE[[#This Row],[Estoque]]&lt;TAB_ESTOQUE[[#This Row],[Mínimo]],"Estoque em Nivel Minimo")))</f>
        <v>Estoque Conforme</v>
      </c>
      <c r="AC70" s="85"/>
      <c r="AD70" s="82"/>
      <c r="AE70" s="82"/>
      <c r="AF70" s="82"/>
    </row>
    <row r="71" spans="1:32" ht="15" customHeight="1" x14ac:dyDescent="0.25">
      <c r="A71" s="45">
        <v>891</v>
      </c>
      <c r="B71" s="47"/>
      <c r="C71" s="46" t="s">
        <v>2838</v>
      </c>
      <c r="D71" s="45" t="s">
        <v>1678</v>
      </c>
      <c r="E71" s="46"/>
      <c r="F71" s="87"/>
      <c r="G71" s="82"/>
      <c r="H71" s="82"/>
      <c r="I71" s="82" t="s">
        <v>7688</v>
      </c>
      <c r="J71" s="82"/>
      <c r="K71" s="82"/>
      <c r="L71" s="82"/>
      <c r="M71" s="82"/>
      <c r="N71" s="82"/>
      <c r="O71" s="87" t="s">
        <v>6276</v>
      </c>
      <c r="P71" s="82" t="s">
        <v>693</v>
      </c>
      <c r="Q71" s="83">
        <f>VLOOKUP(TAB_ESTOQUE[[#This Row],[Codigo]],TAB_ENTRADA[[Cod_2_Entrada]:[TOTAL_ENTRADA]],5,FALSE)-VLOOKUP(TAB_ESTOQUE[[#This Row],[Codigo]],TAB_SAIDA[[COD_2_SAIDA]:[TOTAL_SAIDA]],5,FALSE)</f>
        <v>1</v>
      </c>
      <c r="R71" s="87"/>
      <c r="S71" s="87"/>
      <c r="T71" s="90">
        <v>80</v>
      </c>
      <c r="U71" s="91">
        <f>TAB_ESTOQUE[[#This Row],[Valor Unitario Estimado]]*TAB_ESTOQUE[[#This Row],[Estoque]]</f>
        <v>80</v>
      </c>
      <c r="V71" s="91"/>
      <c r="W71" s="85"/>
      <c r="X71" s="85"/>
      <c r="Y71" s="85"/>
      <c r="Z71" s="85"/>
      <c r="AA71" s="85"/>
      <c r="AB71" s="85" t="str">
        <f>IF(TAB_ESTOQUE[[#This Row],[Estoque]]=0,"Estoque Não Conforme",IF(TAB_ESTOQUE[[#This Row],[Estoque]]&gt;=TAB_ESTOQUE[[#This Row],[Mínimo]],"Estoque Conforme",IF(TAB_ESTOQUE[[#This Row],[Estoque]]&lt;TAB_ESTOQUE[[#This Row],[Mínimo]],"Estoque em Nivel Minimo")))</f>
        <v>Estoque Conforme</v>
      </c>
      <c r="AC71" s="85"/>
      <c r="AD71" s="82"/>
      <c r="AE71" s="82"/>
      <c r="AF71" s="82"/>
    </row>
    <row r="72" spans="1:32" ht="15" customHeight="1" x14ac:dyDescent="0.25">
      <c r="A72" s="106">
        <v>895</v>
      </c>
      <c r="B72" s="106"/>
      <c r="C72" s="116"/>
      <c r="D72" s="106" t="s">
        <v>1685</v>
      </c>
      <c r="E72" s="116" t="s">
        <v>7</v>
      </c>
      <c r="F72" s="118"/>
      <c r="G72" s="95"/>
      <c r="H72" s="95"/>
      <c r="I72" s="95" t="s">
        <v>7689</v>
      </c>
      <c r="J72" s="95"/>
      <c r="K72" s="95"/>
      <c r="L72" s="95"/>
      <c r="M72" s="95"/>
      <c r="N72" s="95"/>
      <c r="O72" s="118" t="s">
        <v>6276</v>
      </c>
      <c r="P72" s="95" t="s">
        <v>697</v>
      </c>
      <c r="Q72" s="154">
        <f>VLOOKUP(TAB_ESTOQUE[[#This Row],[Codigo]],TAB_ENTRADA[[Cod_2_Entrada]:[TOTAL_ENTRADA]],5,FALSE)-VLOOKUP(TAB_ESTOQUE[[#This Row],[Codigo]],TAB_SAIDA[[COD_2_SAIDA]:[TOTAL_SAIDA]],5,FALSE)</f>
        <v>2</v>
      </c>
      <c r="R72" s="118"/>
      <c r="S72" s="118"/>
      <c r="T72" s="119"/>
      <c r="U72" s="112">
        <f>TAB_ESTOQUE[[#This Row],[Valor Unitario Estimado]]*TAB_ESTOQUE[[#This Row],[Estoque]]</f>
        <v>0</v>
      </c>
      <c r="V72" s="112"/>
      <c r="W72" s="120"/>
      <c r="X72" s="120"/>
      <c r="Y72" s="120"/>
      <c r="Z72" s="120"/>
      <c r="AA72" s="120"/>
      <c r="AB72" s="120" t="str">
        <f>IF(TAB_ESTOQUE[[#This Row],[Estoque]]=0,"Estoque Não Conforme",IF(TAB_ESTOQUE[[#This Row],[Estoque]]&gt;=TAB_ESTOQUE[[#This Row],[Mínimo]],"Estoque Conforme",IF(TAB_ESTOQUE[[#This Row],[Estoque]]&lt;TAB_ESTOQUE[[#This Row],[Mínimo]],"Estoque em Nivel Minimo")))</f>
        <v>Estoque Conforme</v>
      </c>
      <c r="AC72" s="120"/>
      <c r="AD72" s="95"/>
      <c r="AE72" s="82"/>
      <c r="AF72" s="82"/>
    </row>
    <row r="73" spans="1:32" ht="15" customHeight="1" x14ac:dyDescent="0.25">
      <c r="A73" s="45">
        <v>69</v>
      </c>
      <c r="B73" s="47"/>
      <c r="C73" s="46" t="s">
        <v>2838</v>
      </c>
      <c r="D73" s="45" t="s">
        <v>1701</v>
      </c>
      <c r="E73" s="46"/>
      <c r="F73" s="87"/>
      <c r="G73" s="82"/>
      <c r="H73" s="82"/>
      <c r="I73" s="82" t="s">
        <v>6304</v>
      </c>
      <c r="J73" s="82"/>
      <c r="K73" s="82"/>
      <c r="L73" s="82"/>
      <c r="M73" s="82"/>
      <c r="N73" s="82"/>
      <c r="O73" s="87" t="s">
        <v>6276</v>
      </c>
      <c r="P73" s="82" t="s">
        <v>43</v>
      </c>
      <c r="Q73" s="83">
        <f>VLOOKUP(TAB_ESTOQUE[[#This Row],[Codigo]],TAB_ENTRADA[[Cod_2_Entrada]:[TOTAL_ENTRADA]],5,FALSE)-VLOOKUP(TAB_ESTOQUE[[#This Row],[Codigo]],TAB_SAIDA[[COD_2_SAIDA]:[TOTAL_SAIDA]],5,FALSE)</f>
        <v>5</v>
      </c>
      <c r="R73" s="87"/>
      <c r="S73" s="87"/>
      <c r="T73" s="90">
        <v>148.30000000000001</v>
      </c>
      <c r="U73" s="91">
        <f>TAB_ESTOQUE[[#This Row],[Valor Unitario Estimado]]*TAB_ESTOQUE[[#This Row],[Estoque]]</f>
        <v>741.5</v>
      </c>
      <c r="V73" s="91"/>
      <c r="W73" s="85"/>
      <c r="X73" s="85"/>
      <c r="Y73" s="85"/>
      <c r="Z73" s="85"/>
      <c r="AA73" s="85"/>
      <c r="AB73" s="85" t="str">
        <f>IF(TAB_ESTOQUE[[#This Row],[Estoque]]=0,"Estoque Não Conforme",IF(TAB_ESTOQUE[[#This Row],[Estoque]]&gt;=TAB_ESTOQUE[[#This Row],[Mínimo]],"Estoque Conforme",IF(TAB_ESTOQUE[[#This Row],[Estoque]]&lt;TAB_ESTOQUE[[#This Row],[Mínimo]],"Estoque em Nivel Minimo")))</f>
        <v>Estoque Conforme</v>
      </c>
      <c r="AC73" s="85"/>
      <c r="AD73" s="82"/>
      <c r="AE73" s="82"/>
      <c r="AF73" s="82"/>
    </row>
    <row r="74" spans="1:32" ht="15" customHeight="1" x14ac:dyDescent="0.25">
      <c r="A74" s="45">
        <v>83</v>
      </c>
      <c r="B74" s="47"/>
      <c r="C74" s="46" t="s">
        <v>2838</v>
      </c>
      <c r="D74" s="45" t="s">
        <v>1703</v>
      </c>
      <c r="E74" s="46"/>
      <c r="F74" s="87"/>
      <c r="G74" s="82"/>
      <c r="H74" s="82"/>
      <c r="I74" s="82" t="s">
        <v>7691</v>
      </c>
      <c r="J74" s="82"/>
      <c r="K74" s="82"/>
      <c r="L74" s="82"/>
      <c r="M74" s="82"/>
      <c r="N74" s="82"/>
      <c r="O74" s="87" t="s">
        <v>6276</v>
      </c>
      <c r="P74" s="82" t="s">
        <v>51</v>
      </c>
      <c r="Q74" s="83">
        <f>VLOOKUP(TAB_ESTOQUE[[#This Row],[Codigo]],TAB_ENTRADA[[Cod_2_Entrada]:[TOTAL_ENTRADA]],5,FALSE)-VLOOKUP(TAB_ESTOQUE[[#This Row],[Codigo]],TAB_SAIDA[[COD_2_SAIDA]:[TOTAL_SAIDA]],5,FALSE)</f>
        <v>2</v>
      </c>
      <c r="R74" s="87"/>
      <c r="S74" s="87"/>
      <c r="T74" s="90">
        <v>50.88</v>
      </c>
      <c r="U74" s="91">
        <f>TAB_ESTOQUE[[#This Row],[Valor Unitario Estimado]]*TAB_ESTOQUE[[#This Row],[Estoque]]</f>
        <v>101.76</v>
      </c>
      <c r="V74" s="91"/>
      <c r="W74" s="85"/>
      <c r="X74" s="85"/>
      <c r="Y74" s="85"/>
      <c r="Z74" s="85"/>
      <c r="AA74" s="85"/>
      <c r="AB74" s="85" t="str">
        <f>IF(TAB_ESTOQUE[[#This Row],[Estoque]]=0,"Estoque Não Conforme",IF(TAB_ESTOQUE[[#This Row],[Estoque]]&gt;=TAB_ESTOQUE[[#This Row],[Mínimo]],"Estoque Conforme",IF(TAB_ESTOQUE[[#This Row],[Estoque]]&lt;TAB_ESTOQUE[[#This Row],[Mínimo]],"Estoque em Nivel Minimo")))</f>
        <v>Estoque Conforme</v>
      </c>
      <c r="AC74" s="85"/>
      <c r="AD74" s="82"/>
      <c r="AE74" s="82"/>
      <c r="AF74" s="82"/>
    </row>
    <row r="75" spans="1:32" ht="15" customHeight="1" x14ac:dyDescent="0.25">
      <c r="A75" s="45">
        <v>939</v>
      </c>
      <c r="B75" s="47"/>
      <c r="C75" s="46" t="s">
        <v>2838</v>
      </c>
      <c r="D75" s="45" t="s">
        <v>1726</v>
      </c>
      <c r="E75" s="46" t="s">
        <v>7</v>
      </c>
      <c r="F75" s="87"/>
      <c r="G75" s="82"/>
      <c r="H75" s="82"/>
      <c r="I75" s="82" t="s">
        <v>6764</v>
      </c>
      <c r="J75" s="82"/>
      <c r="K75" s="82"/>
      <c r="L75" s="82"/>
      <c r="M75" s="82"/>
      <c r="N75" s="82"/>
      <c r="O75" s="87" t="s">
        <v>6276</v>
      </c>
      <c r="P75" s="82" t="s">
        <v>721</v>
      </c>
      <c r="Q75" s="83">
        <f>VLOOKUP(TAB_ESTOQUE[[#This Row],[Codigo]],TAB_ENTRADA[[Cod_2_Entrada]:[TOTAL_ENTRADA]],5,FALSE)-VLOOKUP(TAB_ESTOQUE[[#This Row],[Codigo]],TAB_SAIDA[[COD_2_SAIDA]:[TOTAL_SAIDA]],5,FALSE)</f>
        <v>17</v>
      </c>
      <c r="R75" s="87"/>
      <c r="S75" s="87"/>
      <c r="T75" s="90">
        <v>80</v>
      </c>
      <c r="U75" s="91">
        <f>TAB_ESTOQUE[[#This Row],[Valor Unitario Estimado]]*TAB_ESTOQUE[[#This Row],[Estoque]]</f>
        <v>1360</v>
      </c>
      <c r="V75" s="91"/>
      <c r="W75" s="85"/>
      <c r="X75" s="85"/>
      <c r="Y75" s="85"/>
      <c r="Z75" s="85"/>
      <c r="AA75" s="85"/>
      <c r="AB75" s="85" t="str">
        <f>IF(TAB_ESTOQUE[[#This Row],[Estoque]]=0,"Estoque Não Conforme",IF(TAB_ESTOQUE[[#This Row],[Estoque]]&gt;=TAB_ESTOQUE[[#This Row],[Mínimo]],"Estoque Conforme",IF(TAB_ESTOQUE[[#This Row],[Estoque]]&lt;TAB_ESTOQUE[[#This Row],[Mínimo]],"Estoque em Nivel Minimo")))</f>
        <v>Estoque Conforme</v>
      </c>
      <c r="AC75" s="85"/>
      <c r="AD75" s="82"/>
      <c r="AE75" s="82"/>
      <c r="AF75" s="82"/>
    </row>
    <row r="76" spans="1:32" ht="15" customHeight="1" x14ac:dyDescent="0.25">
      <c r="A76" s="45">
        <v>615</v>
      </c>
      <c r="B76" s="47"/>
      <c r="C76" s="46"/>
      <c r="D76" s="45" t="s">
        <v>1828</v>
      </c>
      <c r="E76" s="46" t="s">
        <v>7</v>
      </c>
      <c r="F76" s="87"/>
      <c r="G76" s="82"/>
      <c r="H76" s="82"/>
      <c r="I76" s="82" t="s">
        <v>74</v>
      </c>
      <c r="J76" s="82"/>
      <c r="K76" s="82"/>
      <c r="L76" s="82"/>
      <c r="M76" s="82"/>
      <c r="N76" s="82"/>
      <c r="O76" s="87" t="s">
        <v>6276</v>
      </c>
      <c r="P76" s="82" t="s">
        <v>396</v>
      </c>
      <c r="Q76" s="83">
        <f>VLOOKUP(TAB_ESTOQUE[[#This Row],[Codigo]],TAB_ENTRADA[[Cod_2_Entrada]:[TOTAL_ENTRADA]],5,FALSE)-VLOOKUP(TAB_ESTOQUE[[#This Row],[Codigo]],TAB_SAIDA[[COD_2_SAIDA]:[TOTAL_SAIDA]],5,FALSE)</f>
        <v>16</v>
      </c>
      <c r="R76" s="87"/>
      <c r="S76" s="87"/>
      <c r="T76" s="90"/>
      <c r="U76" s="91">
        <f>TAB_ESTOQUE[[#This Row],[Valor Unitario Estimado]]*TAB_ESTOQUE[[#This Row],[Estoque]]</f>
        <v>0</v>
      </c>
      <c r="V76" s="91"/>
      <c r="W76" s="85"/>
      <c r="X76" s="85"/>
      <c r="Y76" s="85"/>
      <c r="Z76" s="85"/>
      <c r="AA76" s="85"/>
      <c r="AB76" s="85" t="str">
        <f>IF(TAB_ESTOQUE[[#This Row],[Estoque]]=0,"Estoque Não Conforme",IF(TAB_ESTOQUE[[#This Row],[Estoque]]&gt;=TAB_ESTOQUE[[#This Row],[Mínimo]],"Estoque Conforme",IF(TAB_ESTOQUE[[#This Row],[Estoque]]&lt;TAB_ESTOQUE[[#This Row],[Mínimo]],"Estoque em Nivel Minimo")))</f>
        <v>Estoque Conforme</v>
      </c>
      <c r="AC76" s="85"/>
      <c r="AD76" s="82"/>
      <c r="AE76" s="82"/>
      <c r="AF76" s="82"/>
    </row>
    <row r="77" spans="1:32" ht="12.75" customHeight="1" x14ac:dyDescent="0.25">
      <c r="A77" s="45">
        <v>120</v>
      </c>
      <c r="B77" s="47"/>
      <c r="C77" s="46" t="s">
        <v>2838</v>
      </c>
      <c r="D77" s="45" t="s">
        <v>1829</v>
      </c>
      <c r="E77" s="46" t="s">
        <v>7</v>
      </c>
      <c r="F77" s="87"/>
      <c r="G77" s="82"/>
      <c r="H77" s="82"/>
      <c r="I77" s="82" t="s">
        <v>72</v>
      </c>
      <c r="J77" s="82"/>
      <c r="K77" s="82"/>
      <c r="L77" s="82"/>
      <c r="M77" s="82"/>
      <c r="N77" s="82"/>
      <c r="O77" s="87" t="s">
        <v>6276</v>
      </c>
      <c r="P77" s="82" t="s">
        <v>76</v>
      </c>
      <c r="Q77" s="83">
        <f>VLOOKUP(TAB_ESTOQUE[[#This Row],[Codigo]],TAB_ENTRADA[[Cod_2_Entrada]:[TOTAL_ENTRADA]],5,FALSE)-VLOOKUP(TAB_ESTOQUE[[#This Row],[Codigo]],TAB_SAIDA[[COD_2_SAIDA]:[TOTAL_SAIDA]],5,FALSE)</f>
        <v>6</v>
      </c>
      <c r="R77" s="87"/>
      <c r="S77" s="87"/>
      <c r="T77" s="90"/>
      <c r="U77" s="91">
        <f>TAB_ESTOQUE[[#This Row],[Valor Unitario Estimado]]*TAB_ESTOQUE[[#This Row],[Estoque]]</f>
        <v>0</v>
      </c>
      <c r="V77" s="91"/>
      <c r="W77" s="85"/>
      <c r="X77" s="85"/>
      <c r="Y77" s="85"/>
      <c r="Z77" s="85"/>
      <c r="AA77" s="85"/>
      <c r="AB77" s="85" t="str">
        <f>IF(TAB_ESTOQUE[[#This Row],[Estoque]]=0,"Estoque Não Conforme",IF(TAB_ESTOQUE[[#This Row],[Estoque]]&gt;=TAB_ESTOQUE[[#This Row],[Mínimo]],"Estoque Conforme",IF(TAB_ESTOQUE[[#This Row],[Estoque]]&lt;TAB_ESTOQUE[[#This Row],[Mínimo]],"Estoque em Nivel Minimo")))</f>
        <v>Estoque Conforme</v>
      </c>
      <c r="AC77" s="85"/>
      <c r="AD77" s="82"/>
      <c r="AE77" s="82"/>
      <c r="AF77" s="82"/>
    </row>
    <row r="78" spans="1:32" s="106" customFormat="1" ht="15.75" customHeight="1" x14ac:dyDescent="0.25">
      <c r="A78" s="45">
        <v>1681</v>
      </c>
      <c r="B78" s="47"/>
      <c r="C78" s="46" t="s">
        <v>2833</v>
      </c>
      <c r="D78" s="45" t="s">
        <v>1904</v>
      </c>
      <c r="E78" s="46" t="s">
        <v>7</v>
      </c>
      <c r="F78" s="87"/>
      <c r="G78" s="82"/>
      <c r="H78" s="82"/>
      <c r="I78" s="82" t="s">
        <v>7871</v>
      </c>
      <c r="J78" s="82"/>
      <c r="K78" s="82"/>
      <c r="L78" s="82"/>
      <c r="M78" s="82"/>
      <c r="N78" s="82"/>
      <c r="O78" s="87" t="s">
        <v>6276</v>
      </c>
      <c r="P78" s="82" t="s">
        <v>1112</v>
      </c>
      <c r="Q78" s="83">
        <f>VLOOKUP(TAB_ESTOQUE[[#This Row],[Codigo]],TAB_ENTRADA[[Cod_2_Entrada]:[TOTAL_ENTRADA]],5,FALSE)-VLOOKUP(TAB_ESTOQUE[[#This Row],[Codigo]],TAB_SAIDA[[COD_2_SAIDA]:[TOTAL_SAIDA]],5,FALSE)</f>
        <v>0</v>
      </c>
      <c r="R78" s="87"/>
      <c r="S78" s="87"/>
      <c r="T78" s="90">
        <v>80</v>
      </c>
      <c r="U78" s="91">
        <f>TAB_ESTOQUE[[#This Row],[Valor Unitario Estimado]]*TAB_ESTOQUE[[#This Row],[Estoque]]</f>
        <v>0</v>
      </c>
      <c r="V78" s="91"/>
      <c r="W78" s="85"/>
      <c r="X78" s="85"/>
      <c r="Y78" s="85"/>
      <c r="Z78" s="85"/>
      <c r="AA78" s="85"/>
      <c r="AB78" s="85" t="str">
        <f>IF(TAB_ESTOQUE[[#This Row],[Estoque]]=0,"Estoque Não Conforme",IF(TAB_ESTOQUE[[#This Row],[Estoque]]&gt;=TAB_ESTOQUE[[#This Row],[Mínimo]],"Estoque Conforme",IF(TAB_ESTOQUE[[#This Row],[Estoque]]&lt;TAB_ESTOQUE[[#This Row],[Mínimo]],"Estoque em Nivel Minimo")))</f>
        <v>Estoque Não Conforme</v>
      </c>
      <c r="AC78" s="85"/>
      <c r="AD78" s="82"/>
      <c r="AE78" s="95"/>
      <c r="AF78" s="95"/>
    </row>
    <row r="79" spans="1:32" s="47" customFormat="1" ht="15" customHeight="1" x14ac:dyDescent="0.25">
      <c r="A79" s="45">
        <v>1087</v>
      </c>
      <c r="C79" s="46" t="s">
        <v>2833</v>
      </c>
      <c r="D79" s="45" t="s">
        <v>2610</v>
      </c>
      <c r="E79" s="46" t="s">
        <v>8</v>
      </c>
      <c r="F79" s="87"/>
      <c r="G79" s="82"/>
      <c r="H79" s="82"/>
      <c r="I79" s="82" t="s">
        <v>7961</v>
      </c>
      <c r="J79" s="82"/>
      <c r="K79" s="82" t="s">
        <v>35</v>
      </c>
      <c r="L79" s="82"/>
      <c r="M79" s="82"/>
      <c r="N79" s="82"/>
      <c r="O79" s="87" t="s">
        <v>6276</v>
      </c>
      <c r="P79" s="82" t="s">
        <v>817</v>
      </c>
      <c r="Q79" s="83">
        <f>VLOOKUP(TAB_ESTOQUE[[#This Row],[Codigo]],TAB_ENTRADA[[Cod_2_Entrada]:[TOTAL_ENTRADA]],5,FALSE)-VLOOKUP(TAB_ESTOQUE[[#This Row],[Codigo]],TAB_SAIDA[[COD_2_SAIDA]:[TOTAL_SAIDA]],5,FALSE)</f>
        <v>1</v>
      </c>
      <c r="R79" s="87"/>
      <c r="S79" s="87"/>
      <c r="T79" s="90"/>
      <c r="U79" s="91">
        <f>TAB_ESTOQUE[[#This Row],[Valor Unitario Estimado]]*TAB_ESTOQUE[[#This Row],[Estoque]]</f>
        <v>0</v>
      </c>
      <c r="V79" s="91"/>
      <c r="W79" s="85"/>
      <c r="X79" s="85"/>
      <c r="Y79" s="85"/>
      <c r="Z79" s="85"/>
      <c r="AA79" s="85"/>
      <c r="AB79" s="85" t="str">
        <f>IF(TAB_ESTOQUE[[#This Row],[Estoque]]=0,"Estoque Não Conforme",IF(TAB_ESTOQUE[[#This Row],[Estoque]]&gt;=TAB_ESTOQUE[[#This Row],[Mínimo]],"Estoque Conforme",IF(TAB_ESTOQUE[[#This Row],[Estoque]]&lt;TAB_ESTOQUE[[#This Row],[Mínimo]],"Estoque em Nivel Minimo")))</f>
        <v>Estoque Conforme</v>
      </c>
      <c r="AC79" s="85"/>
      <c r="AD79" s="82"/>
      <c r="AE79" s="94"/>
      <c r="AF79" s="94"/>
    </row>
    <row r="80" spans="1:32" s="106" customFormat="1" ht="15" customHeight="1" x14ac:dyDescent="0.25">
      <c r="A80" s="45"/>
      <c r="B80" s="47"/>
      <c r="C80" s="46"/>
      <c r="D80" s="45" t="s">
        <v>2712</v>
      </c>
      <c r="E80" s="46" t="s">
        <v>8</v>
      </c>
      <c r="F80" s="87"/>
      <c r="G80" s="82"/>
      <c r="H80" s="82"/>
      <c r="I80" s="82" t="s">
        <v>7693</v>
      </c>
      <c r="J80" s="82"/>
      <c r="K80" s="82"/>
      <c r="L80" s="82"/>
      <c r="M80" s="82"/>
      <c r="N80" s="82"/>
      <c r="O80" s="87" t="s">
        <v>6276</v>
      </c>
      <c r="P80" s="82" t="s">
        <v>1312</v>
      </c>
      <c r="Q80" s="83">
        <f>VLOOKUP(TAB_ESTOQUE[[#This Row],[Codigo]],TAB_ENTRADA[[Cod_2_Entrada]:[TOTAL_ENTRADA]],5,FALSE)-VLOOKUP(TAB_ESTOQUE[[#This Row],[Codigo]],TAB_SAIDA[[COD_2_SAIDA]:[TOTAL_SAIDA]],5,FALSE)</f>
        <v>3</v>
      </c>
      <c r="R80" s="87"/>
      <c r="S80" s="87"/>
      <c r="T80" s="90"/>
      <c r="U80" s="91">
        <f>TAB_ESTOQUE[[#This Row],[Valor Unitario Estimado]]*TAB_ESTOQUE[[#This Row],[Estoque]]</f>
        <v>0</v>
      </c>
      <c r="V80" s="91"/>
      <c r="W80" s="85"/>
      <c r="X80" s="85"/>
      <c r="Y80" s="85"/>
      <c r="Z80" s="85"/>
      <c r="AA80" s="85"/>
      <c r="AB80" s="96" t="str">
        <f>IF(TAB_ESTOQUE[[#This Row],[Estoque]]=0,"Estoque Não Conforme",IF(TAB_ESTOQUE[[#This Row],[Estoque]]&gt;=TAB_ESTOQUE[[#This Row],[Mínimo]],"Estoque Conforme",IF(TAB_ESTOQUE[[#This Row],[Estoque]]&lt;TAB_ESTOQUE[[#This Row],[Mínimo]],"Estoque em Nivel Minimo")))</f>
        <v>Estoque Conforme</v>
      </c>
      <c r="AC80" s="85"/>
      <c r="AD80" s="82"/>
      <c r="AE80" s="95"/>
      <c r="AF80" s="95"/>
    </row>
    <row r="81" spans="1:32" s="47" customFormat="1" ht="15" customHeight="1" x14ac:dyDescent="0.25">
      <c r="A81" s="106"/>
      <c r="B81" s="106"/>
      <c r="C81" s="116"/>
      <c r="D81" s="106" t="s">
        <v>2713</v>
      </c>
      <c r="E81" s="116" t="s">
        <v>8</v>
      </c>
      <c r="F81" s="118"/>
      <c r="G81" s="95"/>
      <c r="H81" s="95"/>
      <c r="I81" s="204" t="s">
        <v>3100</v>
      </c>
      <c r="J81" s="95"/>
      <c r="K81" s="95" t="s">
        <v>1356</v>
      </c>
      <c r="L81" s="95"/>
      <c r="M81" s="95"/>
      <c r="N81" s="95"/>
      <c r="O81" s="118" t="s">
        <v>6276</v>
      </c>
      <c r="P81" s="95" t="s">
        <v>1313</v>
      </c>
      <c r="Q81" s="154">
        <f>VLOOKUP(TAB_ESTOQUE[[#This Row],[Codigo]],TAB_ENTRADA[[Cod_2_Entrada]:[TOTAL_ENTRADA]],5,FALSE)-VLOOKUP(TAB_ESTOQUE[[#This Row],[Codigo]],TAB_SAIDA[[COD_2_SAIDA]:[TOTAL_SAIDA]],5,FALSE)</f>
        <v>0</v>
      </c>
      <c r="R81" s="118"/>
      <c r="S81" s="118"/>
      <c r="T81" s="119"/>
      <c r="U81" s="112">
        <f>TAB_ESTOQUE[[#This Row],[Valor Unitario Estimado]]*TAB_ESTOQUE[[#This Row],[Estoque]]</f>
        <v>0</v>
      </c>
      <c r="V81" s="112"/>
      <c r="W81" s="120"/>
      <c r="X81" s="120"/>
      <c r="Y81" s="120"/>
      <c r="Z81" s="120"/>
      <c r="AA81" s="120"/>
      <c r="AB81" s="160" t="str">
        <f>IF(TAB_ESTOQUE[[#This Row],[Estoque]]=0,"Estoque Não Conforme",IF(TAB_ESTOQUE[[#This Row],[Estoque]]&gt;=TAB_ESTOQUE[[#This Row],[Mínimo]],"Estoque Conforme",IF(TAB_ESTOQUE[[#This Row],[Estoque]]&lt;TAB_ESTOQUE[[#This Row],[Mínimo]],"Estoque em Nivel Minimo")))</f>
        <v>Estoque Não Conforme</v>
      </c>
      <c r="AC81" s="120"/>
      <c r="AD81" s="95"/>
      <c r="AE81" s="94"/>
      <c r="AF81" s="94"/>
    </row>
    <row r="82" spans="1:32" ht="15" customHeight="1" x14ac:dyDescent="0.25">
      <c r="B82" s="47"/>
      <c r="C82" s="46"/>
      <c r="D82" s="45" t="s">
        <v>2714</v>
      </c>
      <c r="E82" s="46" t="s">
        <v>8</v>
      </c>
      <c r="F82" s="87"/>
      <c r="G82" s="82"/>
      <c r="H82" s="82"/>
      <c r="I82" s="82" t="s">
        <v>3102</v>
      </c>
      <c r="J82" s="82"/>
      <c r="K82" s="82"/>
      <c r="L82" s="82"/>
      <c r="M82" s="82"/>
      <c r="N82" s="82"/>
      <c r="O82" s="87" t="s">
        <v>6276</v>
      </c>
      <c r="P82" s="82" t="s">
        <v>1314</v>
      </c>
      <c r="Q82" s="83">
        <f>VLOOKUP(TAB_ESTOQUE[[#This Row],[Codigo]],TAB_ENTRADA[[Cod_2_Entrada]:[TOTAL_ENTRADA]],5,FALSE)-VLOOKUP(TAB_ESTOQUE[[#This Row],[Codigo]],TAB_SAIDA[[COD_2_SAIDA]:[TOTAL_SAIDA]],5,FALSE)</f>
        <v>1</v>
      </c>
      <c r="R82" s="87"/>
      <c r="S82" s="87"/>
      <c r="T82" s="90"/>
      <c r="U82" s="91">
        <f>TAB_ESTOQUE[[#This Row],[Valor Unitario Estimado]]*TAB_ESTOQUE[[#This Row],[Estoque]]</f>
        <v>0</v>
      </c>
      <c r="V82" s="91"/>
      <c r="W82" s="85"/>
      <c r="X82" s="85"/>
      <c r="Y82" s="85"/>
      <c r="Z82" s="85"/>
      <c r="AA82" s="85"/>
      <c r="AB82" s="96" t="str">
        <f>IF(TAB_ESTOQUE[[#This Row],[Estoque]]=0,"Estoque Não Conforme",IF(TAB_ESTOQUE[[#This Row],[Estoque]]&gt;=TAB_ESTOQUE[[#This Row],[Mínimo]],"Estoque Conforme",IF(TAB_ESTOQUE[[#This Row],[Estoque]]&lt;TAB_ESTOQUE[[#This Row],[Mínimo]],"Estoque em Nivel Minimo")))</f>
        <v>Estoque Conforme</v>
      </c>
      <c r="AC82" s="85"/>
      <c r="AD82" s="82"/>
      <c r="AE82" s="82"/>
      <c r="AF82" s="82"/>
    </row>
    <row r="83" spans="1:32" ht="15" customHeight="1" x14ac:dyDescent="0.25">
      <c r="B83" s="47"/>
      <c r="C83" s="46"/>
      <c r="D83" s="45" t="s">
        <v>2715</v>
      </c>
      <c r="E83" s="46" t="s">
        <v>8</v>
      </c>
      <c r="F83" s="87"/>
      <c r="G83" s="82"/>
      <c r="H83" s="82"/>
      <c r="I83" s="82" t="s">
        <v>7949</v>
      </c>
      <c r="J83" s="82"/>
      <c r="K83" s="82"/>
      <c r="L83" s="82"/>
      <c r="M83" s="82"/>
      <c r="N83" s="82"/>
      <c r="O83" s="87" t="s">
        <v>6276</v>
      </c>
      <c r="P83" s="82" t="s">
        <v>1315</v>
      </c>
      <c r="Q83" s="83">
        <f>VLOOKUP(TAB_ESTOQUE[[#This Row],[Codigo]],TAB_ENTRADA[[Cod_2_Entrada]:[TOTAL_ENTRADA]],5,FALSE)-VLOOKUP(TAB_ESTOQUE[[#This Row],[Codigo]],TAB_SAIDA[[COD_2_SAIDA]:[TOTAL_SAIDA]],5,FALSE)</f>
        <v>1</v>
      </c>
      <c r="R83" s="87"/>
      <c r="S83" s="87"/>
      <c r="T83" s="90"/>
      <c r="U83" s="91">
        <f>TAB_ESTOQUE[[#This Row],[Valor Unitario Estimado]]*TAB_ESTOQUE[[#This Row],[Estoque]]</f>
        <v>0</v>
      </c>
      <c r="V83" s="91"/>
      <c r="W83" s="85"/>
      <c r="X83" s="85"/>
      <c r="Y83" s="85"/>
      <c r="Z83" s="85"/>
      <c r="AA83" s="85"/>
      <c r="AB83" s="96" t="str">
        <f>IF(TAB_ESTOQUE[[#This Row],[Estoque]]=0,"Estoque Não Conforme",IF(TAB_ESTOQUE[[#This Row],[Estoque]]&gt;=TAB_ESTOQUE[[#This Row],[Mínimo]],"Estoque Conforme",IF(TAB_ESTOQUE[[#This Row],[Estoque]]&lt;TAB_ESTOQUE[[#This Row],[Mínimo]],"Estoque em Nivel Minimo")))</f>
        <v>Estoque Conforme</v>
      </c>
      <c r="AC83" s="85"/>
      <c r="AD83" s="82"/>
      <c r="AE83" s="82"/>
      <c r="AF83" s="82"/>
    </row>
    <row r="84" spans="1:32" ht="15" customHeight="1" x14ac:dyDescent="0.25">
      <c r="B84" s="47"/>
      <c r="C84" s="46" t="s">
        <v>2833</v>
      </c>
      <c r="D84" s="45" t="s">
        <v>2764</v>
      </c>
      <c r="E84" s="46"/>
      <c r="F84" s="87"/>
      <c r="G84" s="82"/>
      <c r="H84" s="82"/>
      <c r="I84" s="82" t="s">
        <v>6350</v>
      </c>
      <c r="J84" s="82"/>
      <c r="K84" s="82"/>
      <c r="L84" s="82"/>
      <c r="M84" s="82"/>
      <c r="N84" s="82"/>
      <c r="O84" s="87" t="s">
        <v>6276</v>
      </c>
      <c r="P84" s="82" t="s">
        <v>1591</v>
      </c>
      <c r="Q84" s="83">
        <f>VLOOKUP(TAB_ESTOQUE[[#This Row],[Codigo]],TAB_ENTRADA[[Cod_2_Entrada]:[TOTAL_ENTRADA]],5,FALSE)-VLOOKUP(TAB_ESTOQUE[[#This Row],[Codigo]],TAB_SAIDA[[COD_2_SAIDA]:[TOTAL_SAIDA]],5,FALSE)</f>
        <v>0</v>
      </c>
      <c r="R84" s="87"/>
      <c r="S84" s="87"/>
      <c r="T84" s="90"/>
      <c r="U84" s="91">
        <f>TAB_ESTOQUE[[#This Row],[Valor Unitario Estimado]]*TAB_ESTOQUE[[#This Row],[Estoque]]</f>
        <v>0</v>
      </c>
      <c r="V84" s="91"/>
      <c r="W84" s="85"/>
      <c r="X84" s="85"/>
      <c r="Y84" s="85"/>
      <c r="Z84" s="85"/>
      <c r="AA84" s="85"/>
      <c r="AB84" s="96" t="str">
        <f>IF(TAB_ESTOQUE[[#This Row],[Estoque]]=0,"Estoque Não Conforme",IF(TAB_ESTOQUE[[#This Row],[Estoque]]&gt;=TAB_ESTOQUE[[#This Row],[Mínimo]],"Estoque Conforme",IF(TAB_ESTOQUE[[#This Row],[Estoque]]&lt;TAB_ESTOQUE[[#This Row],[Mínimo]],"Estoque em Nivel Minimo")))</f>
        <v>Estoque Não Conforme</v>
      </c>
      <c r="AC84" s="96"/>
      <c r="AD84" s="82"/>
      <c r="AE84" s="82"/>
      <c r="AF84" s="82"/>
    </row>
    <row r="85" spans="1:32" ht="15" customHeight="1" x14ac:dyDescent="0.25">
      <c r="A85" s="106"/>
      <c r="B85" s="106"/>
      <c r="C85" s="116" t="s">
        <v>2833</v>
      </c>
      <c r="D85" s="106" t="s">
        <v>2765</v>
      </c>
      <c r="E85" s="116"/>
      <c r="F85" s="118"/>
      <c r="G85" s="95"/>
      <c r="H85" s="95"/>
      <c r="I85" s="95" t="s">
        <v>6351</v>
      </c>
      <c r="J85" s="95"/>
      <c r="K85" s="95"/>
      <c r="L85" s="95"/>
      <c r="M85" s="95"/>
      <c r="N85" s="95"/>
      <c r="O85" s="118" t="s">
        <v>6276</v>
      </c>
      <c r="P85" s="95" t="s">
        <v>1591</v>
      </c>
      <c r="Q85" s="154">
        <f>VLOOKUP(TAB_ESTOQUE[[#This Row],[Codigo]],TAB_ENTRADA[[Cod_2_Entrada]:[TOTAL_ENTRADA]],5,FALSE)-VLOOKUP(TAB_ESTOQUE[[#This Row],[Codigo]],TAB_SAIDA[[COD_2_SAIDA]:[TOTAL_SAIDA]],5,FALSE)</f>
        <v>0</v>
      </c>
      <c r="R85" s="118"/>
      <c r="S85" s="118"/>
      <c r="T85" s="119"/>
      <c r="U85" s="112">
        <f>TAB_ESTOQUE[[#This Row],[Valor Unitario Estimado]]*TAB_ESTOQUE[[#This Row],[Estoque]]</f>
        <v>0</v>
      </c>
      <c r="V85" s="112"/>
      <c r="W85" s="120"/>
      <c r="X85" s="120"/>
      <c r="Y85" s="120"/>
      <c r="Z85" s="120"/>
      <c r="AA85" s="120"/>
      <c r="AB85" s="160" t="str">
        <f>IF(TAB_ESTOQUE[[#This Row],[Estoque]]=0,"Estoque Não Conforme",IF(TAB_ESTOQUE[[#This Row],[Estoque]]&gt;=TAB_ESTOQUE[[#This Row],[Mínimo]],"Estoque Conforme",IF(TAB_ESTOQUE[[#This Row],[Estoque]]&lt;TAB_ESTOQUE[[#This Row],[Mínimo]],"Estoque em Nivel Minimo")))</f>
        <v>Estoque Não Conforme</v>
      </c>
      <c r="AC85" s="160"/>
      <c r="AD85" s="95"/>
      <c r="AE85" s="82"/>
      <c r="AF85" s="82"/>
    </row>
    <row r="86" spans="1:32" ht="15" customHeight="1" x14ac:dyDescent="0.25">
      <c r="B86" s="47"/>
      <c r="C86" s="46" t="s">
        <v>2842</v>
      </c>
      <c r="D86" s="45" t="s">
        <v>2767</v>
      </c>
      <c r="E86" s="46"/>
      <c r="F86" s="87"/>
      <c r="G86" s="82"/>
      <c r="H86" s="82"/>
      <c r="I86" s="82" t="s">
        <v>7697</v>
      </c>
      <c r="J86" s="82"/>
      <c r="K86" s="82"/>
      <c r="L86" s="82"/>
      <c r="M86" s="82"/>
      <c r="N86" s="82"/>
      <c r="O86" s="87" t="s">
        <v>6276</v>
      </c>
      <c r="P86" s="82" t="s">
        <v>1611</v>
      </c>
      <c r="Q86" s="83">
        <f>VLOOKUP(TAB_ESTOQUE[[#This Row],[Codigo]],TAB_ENTRADA[[Cod_2_Entrada]:[TOTAL_ENTRADA]],5,FALSE)-VLOOKUP(TAB_ESTOQUE[[#This Row],[Codigo]],TAB_SAIDA[[COD_2_SAIDA]:[TOTAL_SAIDA]],5,FALSE)</f>
        <v>9</v>
      </c>
      <c r="R86" s="87"/>
      <c r="S86" s="87"/>
      <c r="T86" s="90"/>
      <c r="U86" s="91">
        <f>TAB_ESTOQUE[[#This Row],[Valor Unitario Estimado]]*TAB_ESTOQUE[[#This Row],[Estoque]]</f>
        <v>0</v>
      </c>
      <c r="V86" s="91"/>
      <c r="W86" s="85"/>
      <c r="X86" s="85"/>
      <c r="Y86" s="85"/>
      <c r="Z86" s="85"/>
      <c r="AA86" s="85"/>
      <c r="AB86" s="96" t="str">
        <f>IF(TAB_ESTOQUE[[#This Row],[Estoque]]=0,"Estoque Não Conforme",IF(TAB_ESTOQUE[[#This Row],[Estoque]]&gt;=TAB_ESTOQUE[[#This Row],[Mínimo]],"Estoque Conforme",IF(TAB_ESTOQUE[[#This Row],[Estoque]]&lt;TAB_ESTOQUE[[#This Row],[Mínimo]],"Estoque em Nivel Minimo")))</f>
        <v>Estoque Conforme</v>
      </c>
      <c r="AC86" s="96"/>
      <c r="AD86" s="82"/>
      <c r="AE86" s="82"/>
      <c r="AF86" s="82"/>
    </row>
    <row r="87" spans="1:32" ht="15" customHeight="1" x14ac:dyDescent="0.25">
      <c r="B87" s="47"/>
      <c r="C87" s="48"/>
      <c r="D87" s="45" t="s">
        <v>6568</v>
      </c>
      <c r="E87" s="46"/>
      <c r="F87" s="87"/>
      <c r="I87" s="45" t="s">
        <v>7950</v>
      </c>
      <c r="O87" s="46" t="s">
        <v>6276</v>
      </c>
      <c r="Q87" s="83">
        <f>VLOOKUP(TAB_ESTOQUE[[#This Row],[Codigo]],TAB_ENTRADA[[Cod_2_Entrada]:[TOTAL_ENTRADA]],5,FALSE)-VLOOKUP(TAB_ESTOQUE[[#This Row],[Codigo]],TAB_SAIDA[[COD_2_SAIDA]:[TOTAL_SAIDA]],5,FALSE)</f>
        <v>2</v>
      </c>
      <c r="S87" s="46"/>
      <c r="T87" s="102">
        <v>375</v>
      </c>
      <c r="U87" s="103">
        <f>TAB_ESTOQUE[[#This Row],[Valor Unitario Estimado]]*TAB_ESTOQUE[[#This Row],[Estoque]]</f>
        <v>750</v>
      </c>
      <c r="V87" s="103"/>
      <c r="AB87" s="104" t="str">
        <f>IF(TAB_ESTOQUE[[#This Row],[Estoque]]=0,"Estoque Não Conforme",IF(TAB_ESTOQUE[[#This Row],[Estoque]]&gt;=TAB_ESTOQUE[[#This Row],[Mínimo]],"Estoque Conforme",IF(TAB_ESTOQUE[[#This Row],[Estoque]]&lt;TAB_ESTOQUE[[#This Row],[Mínimo]],"Estoque em Nivel Minimo")))</f>
        <v>Estoque Conforme</v>
      </c>
      <c r="AC87" s="104"/>
      <c r="AE87" s="82"/>
      <c r="AF87" s="82"/>
    </row>
    <row r="88" spans="1:32" ht="15" customHeight="1" x14ac:dyDescent="0.25">
      <c r="B88" s="47"/>
      <c r="C88" s="48"/>
      <c r="D88" s="45" t="s">
        <v>6569</v>
      </c>
      <c r="E88" s="46"/>
      <c r="F88" s="87"/>
      <c r="I88" s="47" t="s">
        <v>7030</v>
      </c>
      <c r="O88" s="46" t="s">
        <v>6276</v>
      </c>
      <c r="Q88" s="83">
        <f>VLOOKUP(TAB_ESTOQUE[[#This Row],[Codigo]],TAB_ENTRADA[[Cod_2_Entrada]:[TOTAL_ENTRADA]],5,FALSE)-VLOOKUP(TAB_ESTOQUE[[#This Row],[Codigo]],TAB_SAIDA[[COD_2_SAIDA]:[TOTAL_SAIDA]],5,FALSE)</f>
        <v>5</v>
      </c>
      <c r="S88" s="46"/>
      <c r="T88" s="102">
        <v>354</v>
      </c>
      <c r="U88" s="103">
        <f>TAB_ESTOQUE[[#This Row],[Valor Unitario Estimado]]*TAB_ESTOQUE[[#This Row],[Estoque]]</f>
        <v>1770</v>
      </c>
      <c r="V88" s="103"/>
      <c r="AB88" s="104" t="str">
        <f>IF(TAB_ESTOQUE[[#This Row],[Estoque]]=0,"Estoque Não Conforme",IF(TAB_ESTOQUE[[#This Row],[Estoque]]&gt;=TAB_ESTOQUE[[#This Row],[Mínimo]],"Estoque Conforme",IF(TAB_ESTOQUE[[#This Row],[Estoque]]&lt;TAB_ESTOQUE[[#This Row],[Mínimo]],"Estoque em Nivel Minimo")))</f>
        <v>Estoque Conforme</v>
      </c>
      <c r="AC88" s="104"/>
      <c r="AE88" s="82"/>
      <c r="AF88" s="82"/>
    </row>
    <row r="89" spans="1:32" ht="15" customHeight="1" x14ac:dyDescent="0.25">
      <c r="C89" s="48"/>
      <c r="D89" s="45" t="s">
        <v>6935</v>
      </c>
      <c r="E89" s="46" t="s">
        <v>3080</v>
      </c>
      <c r="F89" s="46"/>
      <c r="I89" s="45" t="s">
        <v>7259</v>
      </c>
      <c r="O89" s="46" t="s">
        <v>6276</v>
      </c>
      <c r="Q89" s="137">
        <f>VLOOKUP(TAB_ESTOQUE[[#This Row],[Codigo]],TAB_ENTRADA[[Cod_2_Entrada]:[TOTAL_ENTRADA]],5,FALSE)-VLOOKUP(TAB_ESTOQUE[[#This Row],[Codigo]],TAB_SAIDA[[COD_2_SAIDA]:[TOTAL_SAIDA]],5,FALSE)</f>
        <v>20</v>
      </c>
      <c r="S89" s="46"/>
      <c r="T89" s="102">
        <v>13.44</v>
      </c>
      <c r="U89" s="103">
        <f>TAB_ESTOQUE[[#This Row],[Valor Unitario Estimado]]*TAB_ESTOQUE[[#This Row],[Estoque]]</f>
        <v>268.8</v>
      </c>
      <c r="V89" s="103"/>
      <c r="AA89" s="138"/>
      <c r="AB89" s="104" t="str">
        <f>IF(TAB_ESTOQUE[[#This Row],[Estoque]]=0,"Estoque Não Conforme",IF(TAB_ESTOQUE[[#This Row],[Estoque]]&gt;=TAB_ESTOQUE[[#This Row],[Mínimo]],"Estoque Conforme",IF(TAB_ESTOQUE[[#This Row],[Estoque]]&lt;TAB_ESTOQUE[[#This Row],[Mínimo]],"Estoque em Nivel Minimo")))</f>
        <v>Estoque Conforme</v>
      </c>
      <c r="AC89" s="104"/>
      <c r="AE89" s="82"/>
      <c r="AF89" s="82"/>
    </row>
    <row r="90" spans="1:32" ht="15" customHeight="1" x14ac:dyDescent="0.25">
      <c r="C90" s="48"/>
      <c r="D90" s="45" t="s">
        <v>7086</v>
      </c>
      <c r="E90" s="46"/>
      <c r="F90" s="46"/>
      <c r="I90" s="45" t="s">
        <v>7465</v>
      </c>
      <c r="O90" s="46" t="s">
        <v>6276</v>
      </c>
      <c r="Q90" s="137">
        <f>VLOOKUP(TAB_ESTOQUE[[#This Row],[Codigo]],TAB_ENTRADA[[Cod_2_Entrada]:[TOTAL_ENTRADA]],5,FALSE)-VLOOKUP(TAB_ESTOQUE[[#This Row],[Codigo]],TAB_SAIDA[[COD_2_SAIDA]:[TOTAL_SAIDA]],5,FALSE)</f>
        <v>5</v>
      </c>
      <c r="S90" s="46"/>
      <c r="T90" s="102">
        <v>19.2</v>
      </c>
      <c r="U90" s="103">
        <f>TAB_ESTOQUE[[#This Row],[Valor Unitario Estimado]]*TAB_ESTOQUE[[#This Row],[Estoque]]</f>
        <v>96</v>
      </c>
      <c r="V90" s="103"/>
      <c r="AA90" s="138"/>
      <c r="AB90" s="104" t="str">
        <f>IF(TAB_ESTOQUE[[#This Row],[Estoque]]=0,"Estoque Não Conforme",IF(TAB_ESTOQUE[[#This Row],[Estoque]]&gt;=TAB_ESTOQUE[[#This Row],[Mínimo]],"Estoque Conforme",IF(TAB_ESTOQUE[[#This Row],[Estoque]]&lt;TAB_ESTOQUE[[#This Row],[Mínimo]],"Estoque em Nivel Minimo")))</f>
        <v>Estoque Conforme</v>
      </c>
      <c r="AC90" s="104"/>
      <c r="AE90" s="82"/>
      <c r="AF90" s="82"/>
    </row>
    <row r="91" spans="1:32" ht="15" customHeight="1" x14ac:dyDescent="0.25">
      <c r="C91" s="48"/>
      <c r="D91" s="45" t="s">
        <v>7195</v>
      </c>
      <c r="E91" s="46"/>
      <c r="F91" s="46"/>
      <c r="I91" s="45" t="s">
        <v>7701</v>
      </c>
      <c r="O91" s="46" t="s">
        <v>6276</v>
      </c>
      <c r="Q91" s="137">
        <f>VLOOKUP(TAB_ESTOQUE[[#This Row],[Codigo]],TAB_ENTRADA[[Cod_2_Entrada]:[TOTAL_ENTRADA]],5,FALSE)-VLOOKUP(TAB_ESTOQUE[[#This Row],[Codigo]],TAB_SAIDA[[COD_2_SAIDA]:[TOTAL_SAIDA]],5,FALSE)</f>
        <v>1</v>
      </c>
      <c r="S91" s="46"/>
      <c r="T91" s="102">
        <v>80</v>
      </c>
      <c r="U91" s="103">
        <f>TAB_ESTOQUE[[#This Row],[Valor Unitario Estimado]]*TAB_ESTOQUE[[#This Row],[Estoque]]</f>
        <v>80</v>
      </c>
      <c r="V91" s="103"/>
      <c r="AA91" s="138"/>
      <c r="AB91" s="104" t="str">
        <f>IF(TAB_ESTOQUE[[#This Row],[Estoque]]=0,"Estoque Não Conforme",IF(TAB_ESTOQUE[[#This Row],[Estoque]]&gt;=TAB_ESTOQUE[[#This Row],[Mínimo]],"Estoque Conforme",IF(TAB_ESTOQUE[[#This Row],[Estoque]]&lt;TAB_ESTOQUE[[#This Row],[Mínimo]],"Estoque em Nivel Minimo")))</f>
        <v>Estoque Conforme</v>
      </c>
      <c r="AC91" s="104"/>
      <c r="AE91" s="82"/>
      <c r="AF91" s="82"/>
    </row>
    <row r="92" spans="1:32" ht="15" customHeight="1" x14ac:dyDescent="0.25">
      <c r="C92" s="48"/>
      <c r="D92" s="45" t="s">
        <v>7196</v>
      </c>
      <c r="E92" s="46"/>
      <c r="F92" s="46"/>
      <c r="I92" s="21" t="s">
        <v>7702</v>
      </c>
      <c r="O92" s="46" t="s">
        <v>6276</v>
      </c>
      <c r="Q92" s="137">
        <f>VLOOKUP(TAB_ESTOQUE[[#This Row],[Codigo]],TAB_ENTRADA[[Cod_2_Entrada]:[TOTAL_ENTRADA]],5,FALSE)-VLOOKUP(TAB_ESTOQUE[[#This Row],[Codigo]],TAB_SAIDA[[COD_2_SAIDA]:[TOTAL_SAIDA]],5,FALSE)</f>
        <v>0</v>
      </c>
      <c r="S92" s="46"/>
      <c r="T92" s="102">
        <v>54.46</v>
      </c>
      <c r="U92" s="103">
        <f>TAB_ESTOQUE[[#This Row],[Valor Unitario Estimado]]*TAB_ESTOQUE[[#This Row],[Estoque]]</f>
        <v>0</v>
      </c>
      <c r="V92" s="103"/>
      <c r="AA92" s="138"/>
      <c r="AB92" s="104" t="str">
        <f>IF(TAB_ESTOQUE[[#This Row],[Estoque]]=0,"Estoque Não Conforme",IF(TAB_ESTOQUE[[#This Row],[Estoque]]&gt;=TAB_ESTOQUE[[#This Row],[Mínimo]],"Estoque Conforme",IF(TAB_ESTOQUE[[#This Row],[Estoque]]&lt;TAB_ESTOQUE[[#This Row],[Mínimo]],"Estoque em Nivel Minimo")))</f>
        <v>Estoque Não Conforme</v>
      </c>
      <c r="AC92" s="104"/>
      <c r="AE92" s="82"/>
      <c r="AF92" s="82"/>
    </row>
    <row r="93" spans="1:32" ht="15" customHeight="1" x14ac:dyDescent="0.25">
      <c r="C93" s="48"/>
      <c r="D93" s="45" t="s">
        <v>7621</v>
      </c>
      <c r="E93" s="46" t="s">
        <v>8108</v>
      </c>
      <c r="F93" s="46"/>
      <c r="I93" s="45" t="s">
        <v>8109</v>
      </c>
      <c r="O93" s="116" t="s">
        <v>6276</v>
      </c>
      <c r="Q93" s="137">
        <f>VLOOKUP(TAB_ESTOQUE[[#This Row],[Codigo]],TAB_ENTRADA[[Cod_2_Entrada]:[TOTAL_ENTRADA]],5,FALSE)-VLOOKUP(TAB_ESTOQUE[[#This Row],[Codigo]],TAB_SAIDA[[COD_2_SAIDA]:[TOTAL_SAIDA]],5,FALSE)</f>
        <v>20</v>
      </c>
      <c r="S93" s="46"/>
      <c r="T93" s="102">
        <v>2.5</v>
      </c>
      <c r="U93" s="103">
        <f>TAB_ESTOQUE[[#This Row],[Valor Unitario Estimado]]*TAB_ESTOQUE[[#This Row],[Estoque]]</f>
        <v>50</v>
      </c>
      <c r="V93" s="103"/>
      <c r="AA93" s="138"/>
      <c r="AB93" s="104" t="str">
        <f>IF(TAB_ESTOQUE[[#This Row],[Estoque]]=0,"Estoque Não Conforme",IF(TAB_ESTOQUE[[#This Row],[Estoque]]&gt;=TAB_ESTOQUE[[#This Row],[Mínimo]],"Estoque Conforme",IF(TAB_ESTOQUE[[#This Row],[Estoque]]&lt;TAB_ESTOQUE[[#This Row],[Mínimo]],"Estoque em Nivel Minimo")))</f>
        <v>Estoque Conforme</v>
      </c>
      <c r="AC93" s="104"/>
      <c r="AE93" s="82"/>
      <c r="AF93" s="82"/>
    </row>
    <row r="94" spans="1:32" ht="15" customHeight="1" x14ac:dyDescent="0.25">
      <c r="C94" s="48"/>
      <c r="D94" s="45" t="s">
        <v>7719</v>
      </c>
      <c r="E94" s="46" t="s">
        <v>3080</v>
      </c>
      <c r="F94" s="46"/>
      <c r="I94" s="45" t="s">
        <v>8418</v>
      </c>
      <c r="O94" s="46" t="s">
        <v>6276</v>
      </c>
      <c r="Q94" s="137">
        <f>VLOOKUP(TAB_ESTOQUE[[#This Row],[Codigo]],TAB_ENTRADA[[Cod_2_Entrada]:[TOTAL_ENTRADA]],5,FALSE)-VLOOKUP(TAB_ESTOQUE[[#This Row],[Codigo]],TAB_SAIDA[[COD_2_SAIDA]:[TOTAL_SAIDA]],5,FALSE)</f>
        <v>0</v>
      </c>
      <c r="S94" s="46"/>
      <c r="T94" s="102">
        <v>1.2</v>
      </c>
      <c r="U94" s="103">
        <f>TAB_ESTOQUE[[#This Row],[Valor Unitario Estimado]]*TAB_ESTOQUE[[#This Row],[Estoque]]</f>
        <v>0</v>
      </c>
      <c r="V94" s="103"/>
      <c r="AA94" s="138"/>
      <c r="AB94" s="104" t="str">
        <f>IF(TAB_ESTOQUE[[#This Row],[Estoque]]=0,"Estoque Não Conforme",IF(TAB_ESTOQUE[[#This Row],[Estoque]]&gt;=TAB_ESTOQUE[[#This Row],[Mínimo]],"Estoque Conforme",IF(TAB_ESTOQUE[[#This Row],[Estoque]]&lt;TAB_ESTOQUE[[#This Row],[Mínimo]],"Estoque em Nivel Minimo")))</f>
        <v>Estoque Não Conforme</v>
      </c>
      <c r="AC94" s="104"/>
      <c r="AE94" s="82"/>
      <c r="AF94" s="82"/>
    </row>
    <row r="95" spans="1:32" ht="15" customHeight="1" x14ac:dyDescent="0.25">
      <c r="C95" s="48"/>
      <c r="D95" s="45" t="s">
        <v>7720</v>
      </c>
      <c r="E95" s="46" t="s">
        <v>8108</v>
      </c>
      <c r="F95" s="46"/>
      <c r="I95" s="45" t="s">
        <v>8419</v>
      </c>
      <c r="O95" s="46" t="s">
        <v>6276</v>
      </c>
      <c r="Q95" s="137">
        <f>VLOOKUP(TAB_ESTOQUE[[#This Row],[Codigo]],TAB_ENTRADA[[Cod_2_Entrada]:[TOTAL_ENTRADA]],5,FALSE)-VLOOKUP(TAB_ESTOQUE[[#This Row],[Codigo]],TAB_SAIDA[[COD_2_SAIDA]:[TOTAL_SAIDA]],5,FALSE)</f>
        <v>30</v>
      </c>
      <c r="S95" s="46"/>
      <c r="T95" s="102">
        <v>4.3099999999999996</v>
      </c>
      <c r="U95" s="103">
        <f>TAB_ESTOQUE[[#This Row],[Valor Unitario Estimado]]*TAB_ESTOQUE[[#This Row],[Estoque]]</f>
        <v>129.29999999999998</v>
      </c>
      <c r="V95" s="103"/>
      <c r="AA95" s="138"/>
      <c r="AB95" s="104" t="str">
        <f>IF(TAB_ESTOQUE[[#This Row],[Estoque]]=0,"Estoque Não Conforme",IF(TAB_ESTOQUE[[#This Row],[Estoque]]&gt;=TAB_ESTOQUE[[#This Row],[Mínimo]],"Estoque Conforme",IF(TAB_ESTOQUE[[#This Row],[Estoque]]&lt;TAB_ESTOQUE[[#This Row],[Mínimo]],"Estoque em Nivel Minimo")))</f>
        <v>Estoque Conforme</v>
      </c>
      <c r="AC95" s="104"/>
      <c r="AE95" s="82"/>
      <c r="AF95" s="82"/>
    </row>
    <row r="96" spans="1:32" ht="15" customHeight="1" x14ac:dyDescent="0.25">
      <c r="C96" s="48"/>
      <c r="D96" s="45" t="s">
        <v>7721</v>
      </c>
      <c r="E96" s="46" t="s">
        <v>8108</v>
      </c>
      <c r="F96" s="46"/>
      <c r="I96" s="45" t="s">
        <v>8420</v>
      </c>
      <c r="O96" s="46" t="s">
        <v>6276</v>
      </c>
      <c r="Q96" s="137">
        <f>VLOOKUP(TAB_ESTOQUE[[#This Row],[Codigo]],TAB_ENTRADA[[Cod_2_Entrada]:[TOTAL_ENTRADA]],5,FALSE)-VLOOKUP(TAB_ESTOQUE[[#This Row],[Codigo]],TAB_SAIDA[[COD_2_SAIDA]:[TOTAL_SAIDA]],5,FALSE)</f>
        <v>0</v>
      </c>
      <c r="S96" s="46"/>
      <c r="T96" s="102">
        <v>4.05</v>
      </c>
      <c r="U96" s="103">
        <f>TAB_ESTOQUE[[#This Row],[Valor Unitario Estimado]]*TAB_ESTOQUE[[#This Row],[Estoque]]</f>
        <v>0</v>
      </c>
      <c r="V96" s="103"/>
      <c r="AA96" s="138"/>
      <c r="AB96" s="104" t="str">
        <f>IF(TAB_ESTOQUE[[#This Row],[Estoque]]=0,"Estoque Não Conforme",IF(TAB_ESTOQUE[[#This Row],[Estoque]]&gt;=TAB_ESTOQUE[[#This Row],[Mínimo]],"Estoque Conforme",IF(TAB_ESTOQUE[[#This Row],[Estoque]]&lt;TAB_ESTOQUE[[#This Row],[Mínimo]],"Estoque em Nivel Minimo")))</f>
        <v>Estoque Não Conforme</v>
      </c>
      <c r="AC96" s="104"/>
      <c r="AE96" s="82"/>
      <c r="AF96" s="82"/>
    </row>
    <row r="97" spans="1:32" ht="15" customHeight="1" x14ac:dyDescent="0.25">
      <c r="C97" s="48"/>
      <c r="D97" s="45" t="s">
        <v>7722</v>
      </c>
      <c r="E97" s="46" t="s">
        <v>8108</v>
      </c>
      <c r="F97" s="46"/>
      <c r="I97" s="45" t="s">
        <v>8421</v>
      </c>
      <c r="O97" s="46" t="s">
        <v>6276</v>
      </c>
      <c r="Q97" s="137">
        <f>VLOOKUP(TAB_ESTOQUE[[#This Row],[Codigo]],TAB_ENTRADA[[Cod_2_Entrada]:[TOTAL_ENTRADA]],5,FALSE)-VLOOKUP(TAB_ESTOQUE[[#This Row],[Codigo]],TAB_SAIDA[[COD_2_SAIDA]:[TOTAL_SAIDA]],5,FALSE)</f>
        <v>0</v>
      </c>
      <c r="S97" s="46"/>
      <c r="T97" s="102">
        <v>1.1499999999999999</v>
      </c>
      <c r="U97" s="103">
        <f>TAB_ESTOQUE[[#This Row],[Valor Unitario Estimado]]*TAB_ESTOQUE[[#This Row],[Estoque]]</f>
        <v>0</v>
      </c>
      <c r="V97" s="103"/>
      <c r="AA97" s="138"/>
      <c r="AB97" s="104" t="str">
        <f>IF(TAB_ESTOQUE[[#This Row],[Estoque]]=0,"Estoque Não Conforme",IF(TAB_ESTOQUE[[#This Row],[Estoque]]&gt;=TAB_ESTOQUE[[#This Row],[Mínimo]],"Estoque Conforme",IF(TAB_ESTOQUE[[#This Row],[Estoque]]&lt;TAB_ESTOQUE[[#This Row],[Mínimo]],"Estoque em Nivel Minimo")))</f>
        <v>Estoque Não Conforme</v>
      </c>
      <c r="AC97" s="104"/>
      <c r="AE97" s="82"/>
      <c r="AF97" s="82"/>
    </row>
    <row r="98" spans="1:32" ht="15" customHeight="1" x14ac:dyDescent="0.25">
      <c r="C98" s="48"/>
      <c r="D98" s="45" t="s">
        <v>7747</v>
      </c>
      <c r="E98" s="46"/>
      <c r="F98" s="46"/>
      <c r="I98" s="45" t="s">
        <v>8847</v>
      </c>
      <c r="O98" s="46" t="s">
        <v>6276</v>
      </c>
      <c r="Q98" s="137">
        <f>VLOOKUP(TAB_ESTOQUE[[#This Row],[Codigo]],TAB_ENTRADA[[Cod_2_Entrada]:[TOTAL_ENTRADA]],5,FALSE)-VLOOKUP(TAB_ESTOQUE[[#This Row],[Codigo]],TAB_SAIDA[[COD_2_SAIDA]:[TOTAL_SAIDA]],5,FALSE)</f>
        <v>50</v>
      </c>
      <c r="R98" s="46">
        <v>8</v>
      </c>
      <c r="S98" s="46">
        <v>20</v>
      </c>
      <c r="T98" s="102">
        <v>1.2</v>
      </c>
      <c r="U98" s="103">
        <f>TAB_ESTOQUE[[#This Row],[Valor Unitario Estimado]]*TAB_ESTOQUE[[#This Row],[Estoque]]</f>
        <v>60</v>
      </c>
      <c r="V98" s="103"/>
      <c r="AA98" s="138"/>
      <c r="AB98" s="104" t="str">
        <f>IF(TAB_ESTOQUE[[#This Row],[Estoque]]=0,"Estoque Não Conforme",IF(TAB_ESTOQUE[[#This Row],[Estoque]]&gt;=TAB_ESTOQUE[[#This Row],[Mínimo]],"Estoque Conforme",IF(TAB_ESTOQUE[[#This Row],[Estoque]]&lt;TAB_ESTOQUE[[#This Row],[Mínimo]],"Estoque em Nivel Minimo")))</f>
        <v>Estoque Conforme</v>
      </c>
      <c r="AC98" s="104"/>
      <c r="AE98" s="82"/>
      <c r="AF98" s="82"/>
    </row>
    <row r="99" spans="1:32" ht="15" customHeight="1" x14ac:dyDescent="0.25">
      <c r="A99" s="45">
        <v>633</v>
      </c>
      <c r="B99" s="47"/>
      <c r="C99" s="46" t="s">
        <v>2842</v>
      </c>
      <c r="D99" s="45" t="s">
        <v>1679</v>
      </c>
      <c r="E99" s="46" t="s">
        <v>7</v>
      </c>
      <c r="F99" s="87"/>
      <c r="G99" s="82"/>
      <c r="H99" s="82"/>
      <c r="I99" s="82" t="s">
        <v>6367</v>
      </c>
      <c r="J99" s="82"/>
      <c r="K99" s="82"/>
      <c r="L99" s="82"/>
      <c r="M99" s="82"/>
      <c r="N99" s="82"/>
      <c r="O99" s="87" t="s">
        <v>6334</v>
      </c>
      <c r="P99" s="82" t="s">
        <v>411</v>
      </c>
      <c r="Q99" s="83">
        <f>VLOOKUP(TAB_ESTOQUE[[#This Row],[Codigo]],TAB_ENTRADA[[Cod_2_Entrada]:[TOTAL_ENTRADA]],5,FALSE)-VLOOKUP(TAB_ESTOQUE[[#This Row],[Codigo]],TAB_SAIDA[[COD_2_SAIDA]:[TOTAL_SAIDA]],5,FALSE)</f>
        <v>4</v>
      </c>
      <c r="R99" s="87"/>
      <c r="S99" s="87"/>
      <c r="T99" s="90">
        <v>89</v>
      </c>
      <c r="U99" s="91">
        <f>TAB_ESTOQUE[[#This Row],[Valor Unitario Estimado]]*TAB_ESTOQUE[[#This Row],[Estoque]]</f>
        <v>356</v>
      </c>
      <c r="V99" s="91"/>
      <c r="W99" s="85"/>
      <c r="X99" s="85"/>
      <c r="Y99" s="85"/>
      <c r="Z99" s="85"/>
      <c r="AA99" s="85"/>
      <c r="AB99" s="85" t="str">
        <f>IF(TAB_ESTOQUE[[#This Row],[Estoque]]=0,"Estoque Não Conforme",IF(TAB_ESTOQUE[[#This Row],[Estoque]]&gt;=TAB_ESTOQUE[[#This Row],[Mínimo]],"Estoque Conforme",IF(TAB_ESTOQUE[[#This Row],[Estoque]]&lt;TAB_ESTOQUE[[#This Row],[Mínimo]],"Estoque em Nivel Minimo")))</f>
        <v>Estoque Conforme</v>
      </c>
      <c r="AC99" s="85"/>
      <c r="AD99" s="82"/>
      <c r="AE99" s="82"/>
      <c r="AF99" s="82"/>
    </row>
    <row r="100" spans="1:32" ht="15" customHeight="1" x14ac:dyDescent="0.25">
      <c r="A100" s="45">
        <v>896</v>
      </c>
      <c r="B100" s="47"/>
      <c r="C100" s="46" t="s">
        <v>2838</v>
      </c>
      <c r="D100" s="45" t="s">
        <v>1683</v>
      </c>
      <c r="E100" s="46" t="s">
        <v>8396</v>
      </c>
      <c r="F100" s="87"/>
      <c r="G100" s="82"/>
      <c r="H100" s="82"/>
      <c r="I100" s="82" t="s">
        <v>6741</v>
      </c>
      <c r="J100" s="82"/>
      <c r="K100" s="82"/>
      <c r="L100" s="82"/>
      <c r="M100" s="82"/>
      <c r="N100" s="82"/>
      <c r="O100" s="87" t="s">
        <v>6334</v>
      </c>
      <c r="P100" s="82" t="s">
        <v>698</v>
      </c>
      <c r="Q100" s="83">
        <f>VLOOKUP(TAB_ESTOQUE[[#This Row],[Codigo]],TAB_ENTRADA[[Cod_2_Entrada]:[TOTAL_ENTRADA]],5,FALSE)-VLOOKUP(TAB_ESTOQUE[[#This Row],[Codigo]],TAB_SAIDA[[COD_2_SAIDA]:[TOTAL_SAIDA]],5,FALSE)</f>
        <v>4</v>
      </c>
      <c r="R100" s="87"/>
      <c r="S100" s="87"/>
      <c r="T100" s="119"/>
      <c r="U100" s="112">
        <f>TAB_ESTOQUE[[#This Row],[Valor Unitario Estimado]]*TAB_ESTOQUE[[#This Row],[Estoque]]</f>
        <v>0</v>
      </c>
      <c r="V100" s="91"/>
      <c r="W100" s="85"/>
      <c r="X100" s="85"/>
      <c r="Y100" s="85"/>
      <c r="Z100" s="85"/>
      <c r="AA100" s="85"/>
      <c r="AB100" s="85" t="str">
        <f>IF(TAB_ESTOQUE[[#This Row],[Estoque]]=0,"Estoque Não Conforme",IF(TAB_ESTOQUE[[#This Row],[Estoque]]&gt;=TAB_ESTOQUE[[#This Row],[Mínimo]],"Estoque Conforme",IF(TAB_ESTOQUE[[#This Row],[Estoque]]&lt;TAB_ESTOQUE[[#This Row],[Mínimo]],"Estoque em Nivel Minimo")))</f>
        <v>Estoque Conforme</v>
      </c>
      <c r="AC100" s="85"/>
      <c r="AD100" s="82"/>
      <c r="AE100" s="82"/>
      <c r="AF100" s="82"/>
    </row>
    <row r="101" spans="1:32" ht="15" customHeight="1" x14ac:dyDescent="0.25">
      <c r="A101" s="47">
        <v>909</v>
      </c>
      <c r="B101" s="47"/>
      <c r="C101" s="51" t="s">
        <v>2838</v>
      </c>
      <c r="D101" s="47" t="s">
        <v>1684</v>
      </c>
      <c r="E101" s="51" t="s">
        <v>7</v>
      </c>
      <c r="F101" s="107"/>
      <c r="G101" s="94"/>
      <c r="H101" s="94"/>
      <c r="I101" s="94" t="s">
        <v>1428</v>
      </c>
      <c r="J101" s="94"/>
      <c r="K101" s="94"/>
      <c r="L101" s="94"/>
      <c r="M101" s="94"/>
      <c r="N101" s="94"/>
      <c r="O101" s="107" t="s">
        <v>6334</v>
      </c>
      <c r="P101" s="94" t="s">
        <v>702</v>
      </c>
      <c r="Q101" s="145">
        <f>VLOOKUP(TAB_ESTOQUE[[#This Row],[Codigo]],TAB_ENTRADA[[Cod_2_Entrada]:[TOTAL_ENTRADA]],5,FALSE)-VLOOKUP(TAB_ESTOQUE[[#This Row],[Codigo]],TAB_SAIDA[[COD_2_SAIDA]:[TOTAL_SAIDA]],5,FALSE)</f>
        <v>0</v>
      </c>
      <c r="R101" s="107"/>
      <c r="S101" s="107"/>
      <c r="T101" s="108">
        <v>48.8</v>
      </c>
      <c r="U101" s="109">
        <f>TAB_ESTOQUE[[#This Row],[Valor Unitario Estimado]]*TAB_ESTOQUE[[#This Row],[Estoque]]</f>
        <v>0</v>
      </c>
      <c r="V101" s="109"/>
      <c r="W101" s="110"/>
      <c r="X101" s="110"/>
      <c r="Y101" s="110"/>
      <c r="Z101" s="110"/>
      <c r="AA101" s="110"/>
      <c r="AB101" s="110" t="str">
        <f>IF(TAB_ESTOQUE[[#This Row],[Estoque]]=0,"Estoque Não Conforme",IF(TAB_ESTOQUE[[#This Row],[Estoque]]&gt;=TAB_ESTOQUE[[#This Row],[Mínimo]],"Estoque Conforme",IF(TAB_ESTOQUE[[#This Row],[Estoque]]&lt;TAB_ESTOQUE[[#This Row],[Mínimo]],"Estoque em Nivel Minimo")))</f>
        <v>Estoque Não Conforme</v>
      </c>
      <c r="AC101" s="110"/>
      <c r="AD101" s="94"/>
      <c r="AE101" s="82"/>
      <c r="AF101" s="82"/>
    </row>
    <row r="102" spans="1:32" ht="15" customHeight="1" x14ac:dyDescent="0.25">
      <c r="A102" s="45">
        <v>920</v>
      </c>
      <c r="B102" s="47"/>
      <c r="C102" s="46" t="s">
        <v>2833</v>
      </c>
      <c r="D102" s="45" t="s">
        <v>1687</v>
      </c>
      <c r="E102" s="46" t="s">
        <v>7</v>
      </c>
      <c r="F102" s="87"/>
      <c r="G102" s="82"/>
      <c r="H102" s="82"/>
      <c r="I102" s="82" t="s">
        <v>1429</v>
      </c>
      <c r="J102" s="82"/>
      <c r="K102" s="82"/>
      <c r="L102" s="82"/>
      <c r="M102" s="82"/>
      <c r="N102" s="82"/>
      <c r="O102" s="87" t="s">
        <v>6334</v>
      </c>
      <c r="P102" s="82" t="s">
        <v>705</v>
      </c>
      <c r="Q102" s="83">
        <f>VLOOKUP(TAB_ESTOQUE[[#This Row],[Codigo]],TAB_ENTRADA[[Cod_2_Entrada]:[TOTAL_ENTRADA]],5,FALSE)-VLOOKUP(TAB_ESTOQUE[[#This Row],[Codigo]],TAB_SAIDA[[COD_2_SAIDA]:[TOTAL_SAIDA]],5,FALSE)</f>
        <v>1</v>
      </c>
      <c r="R102" s="87"/>
      <c r="S102" s="87"/>
      <c r="T102" s="90">
        <v>400</v>
      </c>
      <c r="U102" s="91">
        <f>TAB_ESTOQUE[[#This Row],[Valor Unitario Estimado]]*TAB_ESTOQUE[[#This Row],[Estoque]]</f>
        <v>400</v>
      </c>
      <c r="V102" s="91"/>
      <c r="W102" s="85"/>
      <c r="X102" s="85"/>
      <c r="Y102" s="85"/>
      <c r="Z102" s="85"/>
      <c r="AA102" s="85"/>
      <c r="AB102" s="85" t="str">
        <f>IF(TAB_ESTOQUE[[#This Row],[Estoque]]=0,"Estoque Não Conforme",IF(TAB_ESTOQUE[[#This Row],[Estoque]]&gt;=TAB_ESTOQUE[[#This Row],[Mínimo]],"Estoque Conforme",IF(TAB_ESTOQUE[[#This Row],[Estoque]]&lt;TAB_ESTOQUE[[#This Row],[Mínimo]],"Estoque em Nivel Minimo")))</f>
        <v>Estoque Conforme</v>
      </c>
      <c r="AC102" s="85"/>
      <c r="AE102" s="82"/>
      <c r="AF102" s="82"/>
    </row>
    <row r="103" spans="1:32" ht="15" customHeight="1" x14ac:dyDescent="0.25">
      <c r="A103" s="45">
        <v>638</v>
      </c>
      <c r="B103" s="47"/>
      <c r="C103" s="46"/>
      <c r="D103" s="45" t="s">
        <v>1962</v>
      </c>
      <c r="E103" s="46" t="s">
        <v>8396</v>
      </c>
      <c r="F103" s="87"/>
      <c r="G103" s="82"/>
      <c r="H103" s="82"/>
      <c r="I103" s="82" t="s">
        <v>1447</v>
      </c>
      <c r="J103" s="82"/>
      <c r="K103" s="82" t="s">
        <v>35</v>
      </c>
      <c r="L103" s="82"/>
      <c r="M103" s="82"/>
      <c r="N103" s="82"/>
      <c r="O103" s="87" t="s">
        <v>6334</v>
      </c>
      <c r="P103" s="82" t="s">
        <v>414</v>
      </c>
      <c r="Q103" s="83">
        <f>VLOOKUP(TAB_ESTOQUE[[#This Row],[Codigo]],TAB_ENTRADA[[Cod_2_Entrada]:[TOTAL_ENTRADA]],5,FALSE)-VLOOKUP(TAB_ESTOQUE[[#This Row],[Codigo]],TAB_SAIDA[[COD_2_SAIDA]:[TOTAL_SAIDA]],5,FALSE)</f>
        <v>1</v>
      </c>
      <c r="R103" s="87"/>
      <c r="S103" s="87"/>
      <c r="T103" s="90">
        <v>1535.67</v>
      </c>
      <c r="U103" s="91">
        <f>TAB_ESTOQUE[[#This Row],[Valor Unitario Estimado]]*TAB_ESTOQUE[[#This Row],[Estoque]]</f>
        <v>1535.67</v>
      </c>
      <c r="V103" s="91"/>
      <c r="W103" s="85"/>
      <c r="X103" s="85"/>
      <c r="Y103" s="85"/>
      <c r="Z103" s="85"/>
      <c r="AA103" s="85"/>
      <c r="AB103" s="85" t="str">
        <f>IF(TAB_ESTOQUE[[#This Row],[Estoque]]=0,"Estoque Não Conforme",IF(TAB_ESTOQUE[[#This Row],[Estoque]]&gt;=TAB_ESTOQUE[[#This Row],[Mínimo]],"Estoque Conforme",IF(TAB_ESTOQUE[[#This Row],[Estoque]]&lt;TAB_ESTOQUE[[#This Row],[Mínimo]],"Estoque em Nivel Minimo")))</f>
        <v>Estoque Conforme</v>
      </c>
      <c r="AC103" s="85"/>
      <c r="AD103" s="82"/>
      <c r="AE103" s="82"/>
      <c r="AF103" s="82"/>
    </row>
    <row r="104" spans="1:32" ht="15" customHeight="1" x14ac:dyDescent="0.25">
      <c r="A104" s="106">
        <v>669</v>
      </c>
      <c r="B104" s="106"/>
      <c r="C104" s="116"/>
      <c r="D104" s="106" t="s">
        <v>2311</v>
      </c>
      <c r="E104" s="116" t="s">
        <v>1240</v>
      </c>
      <c r="F104" s="118"/>
      <c r="G104" s="95"/>
      <c r="H104" s="95"/>
      <c r="I104" s="95" t="s">
        <v>7692</v>
      </c>
      <c r="J104" s="95"/>
      <c r="K104" s="95"/>
      <c r="L104" s="95"/>
      <c r="M104" s="95"/>
      <c r="N104" s="95"/>
      <c r="O104" s="118" t="s">
        <v>6334</v>
      </c>
      <c r="P104" s="95" t="s">
        <v>452</v>
      </c>
      <c r="Q104" s="154">
        <f>VLOOKUP(TAB_ESTOQUE[[#This Row],[Codigo]],TAB_ENTRADA[[Cod_2_Entrada]:[TOTAL_ENTRADA]],5,FALSE)-VLOOKUP(TAB_ESTOQUE[[#This Row],[Codigo]],TAB_SAIDA[[COD_2_SAIDA]:[TOTAL_SAIDA]],5,FALSE)</f>
        <v>1</v>
      </c>
      <c r="R104" s="118"/>
      <c r="S104" s="118"/>
      <c r="T104" s="119"/>
      <c r="U104" s="112">
        <f>TAB_ESTOQUE[[#This Row],[Valor Unitario Estimado]]*TAB_ESTOQUE[[#This Row],[Estoque]]</f>
        <v>0</v>
      </c>
      <c r="V104" s="112"/>
      <c r="W104" s="120"/>
      <c r="X104" s="120"/>
      <c r="Y104" s="120"/>
      <c r="Z104" s="120"/>
      <c r="AA104" s="120"/>
      <c r="AB104" s="120" t="str">
        <f>IF(TAB_ESTOQUE[[#This Row],[Estoque]]=0,"Estoque Não Conforme",IF(TAB_ESTOQUE[[#This Row],[Estoque]]&gt;=TAB_ESTOQUE[[#This Row],[Mínimo]],"Estoque Conforme",IF(TAB_ESTOQUE[[#This Row],[Estoque]]&lt;TAB_ESTOQUE[[#This Row],[Mínimo]],"Estoque em Nivel Minimo")))</f>
        <v>Estoque Conforme</v>
      </c>
      <c r="AC104" s="120"/>
      <c r="AD104" s="95"/>
      <c r="AE104" s="82"/>
      <c r="AF104" s="82"/>
    </row>
    <row r="105" spans="1:32" ht="15" customHeight="1" x14ac:dyDescent="0.25">
      <c r="B105" s="47"/>
      <c r="C105" s="46" t="s">
        <v>2833</v>
      </c>
      <c r="D105" s="45" t="s">
        <v>2762</v>
      </c>
      <c r="E105" s="46"/>
      <c r="F105" s="87"/>
      <c r="G105" s="82"/>
      <c r="H105" s="82"/>
      <c r="I105" s="82" t="s">
        <v>7343</v>
      </c>
      <c r="J105" s="82"/>
      <c r="K105" s="82"/>
      <c r="L105" s="82"/>
      <c r="M105" s="82"/>
      <c r="N105" s="82"/>
      <c r="O105" s="87" t="s">
        <v>6334</v>
      </c>
      <c r="P105" s="82" t="s">
        <v>1591</v>
      </c>
      <c r="Q105" s="83">
        <f>VLOOKUP(TAB_ESTOQUE[[#This Row],[Codigo]],TAB_ENTRADA[[Cod_2_Entrada]:[TOTAL_ENTRADA]],5,FALSE)-VLOOKUP(TAB_ESTOQUE[[#This Row],[Codigo]],TAB_SAIDA[[COD_2_SAIDA]:[TOTAL_SAIDA]],5,FALSE)</f>
        <v>2</v>
      </c>
      <c r="R105" s="87"/>
      <c r="S105" s="87"/>
      <c r="T105" s="90">
        <v>1200</v>
      </c>
      <c r="U105" s="91">
        <f>TAB_ESTOQUE[[#This Row],[Valor Unitario Estimado]]*TAB_ESTOQUE[[#This Row],[Estoque]]</f>
        <v>2400</v>
      </c>
      <c r="V105" s="91"/>
      <c r="W105" s="85"/>
      <c r="X105" s="85"/>
      <c r="Y105" s="85"/>
      <c r="Z105" s="85"/>
      <c r="AA105" s="85"/>
      <c r="AB105" s="96" t="str">
        <f>IF(TAB_ESTOQUE[[#This Row],[Estoque]]=0,"Estoque Não Conforme",IF(TAB_ESTOQUE[[#This Row],[Estoque]]&gt;=TAB_ESTOQUE[[#This Row],[Mínimo]],"Estoque Conforme",IF(TAB_ESTOQUE[[#This Row],[Estoque]]&lt;TAB_ESTOQUE[[#This Row],[Mínimo]],"Estoque em Nivel Minimo")))</f>
        <v>Estoque Conforme</v>
      </c>
      <c r="AC105" s="96"/>
      <c r="AD105" s="82"/>
      <c r="AE105" s="82"/>
      <c r="AF105" s="82"/>
    </row>
    <row r="106" spans="1:32" ht="15" customHeight="1" x14ac:dyDescent="0.25">
      <c r="C106" s="48"/>
      <c r="D106" s="45" t="s">
        <v>7197</v>
      </c>
      <c r="E106" s="46"/>
      <c r="F106" s="46"/>
      <c r="I106" s="21" t="s">
        <v>7763</v>
      </c>
      <c r="O106" s="46" t="s">
        <v>6334</v>
      </c>
      <c r="Q106" s="137">
        <f>VLOOKUP(TAB_ESTOQUE[[#This Row],[Codigo]],TAB_ENTRADA[[Cod_2_Entrada]:[TOTAL_ENTRADA]],5,FALSE)-VLOOKUP(TAB_ESTOQUE[[#This Row],[Codigo]],TAB_SAIDA[[COD_2_SAIDA]:[TOTAL_SAIDA]],5,FALSE)</f>
        <v>4</v>
      </c>
      <c r="S106" s="46"/>
      <c r="T106" s="102">
        <v>52.44</v>
      </c>
      <c r="U106" s="103">
        <f>TAB_ESTOQUE[[#This Row],[Valor Unitario Estimado]]*TAB_ESTOQUE[[#This Row],[Estoque]]</f>
        <v>209.76</v>
      </c>
      <c r="V106" s="103"/>
      <c r="AA106" s="138"/>
      <c r="AB106" s="104" t="str">
        <f>IF(TAB_ESTOQUE[[#This Row],[Estoque]]=0,"Estoque Não Conforme",IF(TAB_ESTOQUE[[#This Row],[Estoque]]&gt;=TAB_ESTOQUE[[#This Row],[Mínimo]],"Estoque Conforme",IF(TAB_ESTOQUE[[#This Row],[Estoque]]&lt;TAB_ESTOQUE[[#This Row],[Mínimo]],"Estoque em Nivel Minimo")))</f>
        <v>Estoque Conforme</v>
      </c>
      <c r="AC106" s="104"/>
      <c r="AE106" s="82"/>
      <c r="AF106" s="82"/>
    </row>
    <row r="107" spans="1:32" ht="15" customHeight="1" x14ac:dyDescent="0.25">
      <c r="A107" s="45">
        <v>879</v>
      </c>
      <c r="B107" s="47"/>
      <c r="C107" s="46"/>
      <c r="D107" s="45" t="s">
        <v>2454</v>
      </c>
      <c r="E107" s="46" t="s">
        <v>21</v>
      </c>
      <c r="F107" s="87"/>
      <c r="G107" s="82"/>
      <c r="H107" s="82"/>
      <c r="I107" s="82" t="s">
        <v>7592</v>
      </c>
      <c r="J107" s="82"/>
      <c r="K107" s="82"/>
      <c r="L107" s="82"/>
      <c r="M107" s="82"/>
      <c r="N107" s="82"/>
      <c r="O107" s="87" t="s">
        <v>6278</v>
      </c>
      <c r="P107" s="82" t="s">
        <v>678</v>
      </c>
      <c r="Q107" s="83">
        <f>VLOOKUP(TAB_ESTOQUE[[#This Row],[Codigo]],TAB_ENTRADA[[Cod_2_Entrada]:[TOTAL_ENTRADA]],5,FALSE)-VLOOKUP(TAB_ESTOQUE[[#This Row],[Codigo]],TAB_SAIDA[[COD_2_SAIDA]:[TOTAL_SAIDA]],5,FALSE)</f>
        <v>1</v>
      </c>
      <c r="R107" s="87"/>
      <c r="S107" s="87"/>
      <c r="T107" s="90"/>
      <c r="U107" s="91">
        <f>TAB_ESTOQUE[[#This Row],[Valor Unitario Estimado]]*TAB_ESTOQUE[[#This Row],[Estoque]]</f>
        <v>0</v>
      </c>
      <c r="V107" s="91"/>
      <c r="W107" s="85"/>
      <c r="X107" s="85"/>
      <c r="Y107" s="85"/>
      <c r="Z107" s="85"/>
      <c r="AA107" s="85"/>
      <c r="AB107" s="85" t="str">
        <f>IF(TAB_ESTOQUE[[#This Row],[Estoque]]=0,"Estoque Não Conforme",IF(TAB_ESTOQUE[[#This Row],[Estoque]]&gt;=TAB_ESTOQUE[[#This Row],[Mínimo]],"Estoque Conforme",IF(TAB_ESTOQUE[[#This Row],[Estoque]]&lt;TAB_ESTOQUE[[#This Row],[Mínimo]],"Estoque em Nivel Minimo")))</f>
        <v>Estoque Conforme</v>
      </c>
      <c r="AC107" s="85"/>
      <c r="AD107" s="82"/>
      <c r="AE107" s="82"/>
      <c r="AF107" s="82"/>
    </row>
    <row r="108" spans="1:32" s="106" customFormat="1" ht="15" customHeight="1" x14ac:dyDescent="0.25">
      <c r="A108" s="45">
        <v>1374</v>
      </c>
      <c r="B108" s="47"/>
      <c r="C108" s="46"/>
      <c r="D108" s="45" t="s">
        <v>2468</v>
      </c>
      <c r="E108" s="46" t="s">
        <v>7387</v>
      </c>
      <c r="F108" s="87"/>
      <c r="G108" s="82"/>
      <c r="H108" s="82"/>
      <c r="I108" s="82" t="s">
        <v>7384</v>
      </c>
      <c r="J108" s="82"/>
      <c r="K108" s="82"/>
      <c r="L108" s="82"/>
      <c r="M108" s="82"/>
      <c r="N108" s="82"/>
      <c r="O108" s="87" t="s">
        <v>6278</v>
      </c>
      <c r="P108" s="82" t="s">
        <v>1108</v>
      </c>
      <c r="Q108" s="83">
        <f>VLOOKUP(TAB_ESTOQUE[[#This Row],[Codigo]],TAB_ENTRADA[[Cod_2_Entrada]:[TOTAL_ENTRADA]],5,FALSE)-VLOOKUP(TAB_ESTOQUE[[#This Row],[Codigo]],TAB_SAIDA[[COD_2_SAIDA]:[TOTAL_SAIDA]],5,FALSE)</f>
        <v>4</v>
      </c>
      <c r="R108" s="87"/>
      <c r="S108" s="87"/>
      <c r="T108" s="90">
        <v>1100</v>
      </c>
      <c r="U108" s="91">
        <f>TAB_ESTOQUE[[#This Row],[Valor Unitario Estimado]]*TAB_ESTOQUE[[#This Row],[Estoque]]</f>
        <v>4400</v>
      </c>
      <c r="V108" s="91"/>
      <c r="W108" s="85"/>
      <c r="X108" s="85"/>
      <c r="Y108" s="85"/>
      <c r="Z108" s="85"/>
      <c r="AA108" s="85"/>
      <c r="AB108" s="85" t="str">
        <f>IF(TAB_ESTOQUE[[#This Row],[Estoque]]=0,"Estoque Não Conforme",IF(TAB_ESTOQUE[[#This Row],[Estoque]]&gt;=TAB_ESTOQUE[[#This Row],[Mínimo]],"Estoque Conforme",IF(TAB_ESTOQUE[[#This Row],[Estoque]]&lt;TAB_ESTOQUE[[#This Row],[Mínimo]],"Estoque em Nivel Minimo")))</f>
        <v>Estoque Conforme</v>
      </c>
      <c r="AC108" s="85"/>
      <c r="AD108" s="82"/>
      <c r="AE108" s="95"/>
      <c r="AF108" s="95"/>
    </row>
    <row r="109" spans="1:32" s="47" customFormat="1" ht="15" customHeight="1" x14ac:dyDescent="0.25">
      <c r="A109" s="45">
        <v>1256</v>
      </c>
      <c r="C109" s="46" t="s">
        <v>2833</v>
      </c>
      <c r="D109" s="45" t="s">
        <v>2471</v>
      </c>
      <c r="E109" s="46" t="s">
        <v>7388</v>
      </c>
      <c r="F109" s="87"/>
      <c r="G109" s="82"/>
      <c r="H109" s="82"/>
      <c r="I109" s="82" t="s">
        <v>8639</v>
      </c>
      <c r="J109" s="82"/>
      <c r="K109" s="82"/>
      <c r="L109" s="82"/>
      <c r="M109" s="82"/>
      <c r="N109" s="82"/>
      <c r="O109" s="87" t="s">
        <v>6278</v>
      </c>
      <c r="P109" s="82" t="s">
        <v>977</v>
      </c>
      <c r="Q109" s="83">
        <f>VLOOKUP(TAB_ESTOQUE[[#This Row],[Codigo]],TAB_ENTRADA[[Cod_2_Entrada]:[TOTAL_ENTRADA]],5,FALSE)-VLOOKUP(TAB_ESTOQUE[[#This Row],[Codigo]],TAB_SAIDA[[COD_2_SAIDA]:[TOTAL_SAIDA]],5,FALSE)</f>
        <v>2</v>
      </c>
      <c r="R109" s="87"/>
      <c r="S109" s="87"/>
      <c r="T109" s="90">
        <v>670.2</v>
      </c>
      <c r="U109" s="91">
        <f>TAB_ESTOQUE[[#This Row],[Valor Unitario Estimado]]*TAB_ESTOQUE[[#This Row],[Estoque]]</f>
        <v>1340.4</v>
      </c>
      <c r="V109" s="91"/>
      <c r="W109" s="85"/>
      <c r="X109" s="85"/>
      <c r="Y109" s="85"/>
      <c r="Z109" s="85"/>
      <c r="AA109" s="85"/>
      <c r="AB109" s="85" t="str">
        <f>IF(TAB_ESTOQUE[[#This Row],[Estoque]]=0,"Estoque Não Conforme",IF(TAB_ESTOQUE[[#This Row],[Estoque]]&gt;=TAB_ESTOQUE[[#This Row],[Mínimo]],"Estoque Conforme",IF(TAB_ESTOQUE[[#This Row],[Estoque]]&lt;TAB_ESTOQUE[[#This Row],[Mínimo]],"Estoque em Nivel Minimo")))</f>
        <v>Estoque Conforme</v>
      </c>
      <c r="AC109" s="85"/>
      <c r="AD109" s="82"/>
      <c r="AE109" s="94"/>
      <c r="AF109" s="94"/>
    </row>
    <row r="110" spans="1:32" s="106" customFormat="1" ht="15" customHeight="1" x14ac:dyDescent="0.25">
      <c r="A110" s="45"/>
      <c r="B110" s="45"/>
      <c r="C110" s="48"/>
      <c r="D110" s="45" t="s">
        <v>7072</v>
      </c>
      <c r="E110" s="46" t="s">
        <v>7387</v>
      </c>
      <c r="F110" s="46"/>
      <c r="G110" s="45"/>
      <c r="H110" s="45"/>
      <c r="I110" s="45" t="s">
        <v>7386</v>
      </c>
      <c r="J110" s="45"/>
      <c r="K110" s="45"/>
      <c r="L110" s="45"/>
      <c r="M110" s="45"/>
      <c r="N110" s="45"/>
      <c r="O110" s="46" t="s">
        <v>6278</v>
      </c>
      <c r="P110" s="45"/>
      <c r="Q110" s="137">
        <f>VLOOKUP(TAB_ESTOQUE[[#This Row],[Codigo]],TAB_ENTRADA[[Cod_2_Entrada]:[TOTAL_ENTRADA]],5,FALSE)-VLOOKUP(TAB_ESTOQUE[[#This Row],[Codigo]],TAB_SAIDA[[COD_2_SAIDA]:[TOTAL_SAIDA]],5,FALSE)</f>
        <v>0</v>
      </c>
      <c r="R110" s="46"/>
      <c r="S110" s="46"/>
      <c r="T110" s="102">
        <v>1390</v>
      </c>
      <c r="U110" s="103">
        <f>TAB_ESTOQUE[[#This Row],[Valor Unitario Estimado]]*TAB_ESTOQUE[[#This Row],[Estoque]]</f>
        <v>0</v>
      </c>
      <c r="V110" s="103"/>
      <c r="W110" s="54"/>
      <c r="X110" s="54"/>
      <c r="Y110" s="54"/>
      <c r="Z110" s="54"/>
      <c r="AA110" s="138"/>
      <c r="AB110" s="104" t="str">
        <f>IF(TAB_ESTOQUE[[#This Row],[Estoque]]=0,"Estoque Não Conforme",IF(TAB_ESTOQUE[[#This Row],[Estoque]]&gt;=TAB_ESTOQUE[[#This Row],[Mínimo]],"Estoque Conforme",IF(TAB_ESTOQUE[[#This Row],[Estoque]]&lt;TAB_ESTOQUE[[#This Row],[Mínimo]],"Estoque em Nivel Minimo")))</f>
        <v>Estoque Não Conforme</v>
      </c>
      <c r="AC110" s="104"/>
      <c r="AD110" s="45"/>
      <c r="AE110" s="95"/>
      <c r="AF110" s="95"/>
    </row>
    <row r="111" spans="1:32" s="47" customFormat="1" ht="15" customHeight="1" x14ac:dyDescent="0.25">
      <c r="A111" s="45"/>
      <c r="B111" s="45"/>
      <c r="C111" s="48"/>
      <c r="D111" s="45" t="s">
        <v>7088</v>
      </c>
      <c r="E111" s="46" t="s">
        <v>7387</v>
      </c>
      <c r="F111" s="46"/>
      <c r="G111" s="45"/>
      <c r="H111" s="45"/>
      <c r="I111" s="45" t="s">
        <v>8724</v>
      </c>
      <c r="J111" s="45"/>
      <c r="K111" s="45"/>
      <c r="L111" s="45"/>
      <c r="M111" s="45"/>
      <c r="N111" s="45"/>
      <c r="O111" s="46" t="s">
        <v>6278</v>
      </c>
      <c r="P111" s="45"/>
      <c r="Q111" s="137">
        <f>VLOOKUP(TAB_ESTOQUE[[#This Row],[Codigo]],TAB_ENTRADA[[Cod_2_Entrada]:[TOTAL_ENTRADA]],5,FALSE)-VLOOKUP(TAB_ESTOQUE[[#This Row],[Codigo]],TAB_SAIDA[[COD_2_SAIDA]:[TOTAL_SAIDA]],5,FALSE)</f>
        <v>0</v>
      </c>
      <c r="R111" s="46"/>
      <c r="S111" s="46"/>
      <c r="T111" s="102">
        <v>1390</v>
      </c>
      <c r="U111" s="103">
        <f>TAB_ESTOQUE[[#This Row],[Valor Unitario Estimado]]*TAB_ESTOQUE[[#This Row],[Estoque]]</f>
        <v>0</v>
      </c>
      <c r="V111" s="103"/>
      <c r="W111" s="54"/>
      <c r="X111" s="54"/>
      <c r="Y111" s="54"/>
      <c r="Z111" s="54"/>
      <c r="AA111" s="138"/>
      <c r="AB111" s="104" t="str">
        <f>IF(TAB_ESTOQUE[[#This Row],[Estoque]]=0,"Estoque Não Conforme",IF(TAB_ESTOQUE[[#This Row],[Estoque]]&gt;=TAB_ESTOQUE[[#This Row],[Mínimo]],"Estoque Conforme",IF(TAB_ESTOQUE[[#This Row],[Estoque]]&lt;TAB_ESTOQUE[[#This Row],[Mínimo]],"Estoque em Nivel Minimo")))</f>
        <v>Estoque Não Conforme</v>
      </c>
      <c r="AC111" s="104"/>
      <c r="AD111" s="45"/>
      <c r="AE111" s="94"/>
      <c r="AF111" s="94"/>
    </row>
    <row r="112" spans="1:32" s="106" customFormat="1" ht="15" customHeight="1" x14ac:dyDescent="0.25">
      <c r="A112" s="45"/>
      <c r="B112" s="45"/>
      <c r="C112" s="48"/>
      <c r="D112" s="45" t="s">
        <v>7194</v>
      </c>
      <c r="E112" s="46" t="s">
        <v>1231</v>
      </c>
      <c r="F112" s="46"/>
      <c r="G112" s="45"/>
      <c r="H112" s="45"/>
      <c r="I112" s="45" t="s">
        <v>7700</v>
      </c>
      <c r="J112" s="45"/>
      <c r="K112" s="45"/>
      <c r="L112" s="45"/>
      <c r="M112" s="45"/>
      <c r="N112" s="45"/>
      <c r="O112" s="46" t="s">
        <v>6278</v>
      </c>
      <c r="P112" s="45"/>
      <c r="Q112" s="137">
        <f>VLOOKUP(TAB_ESTOQUE[[#This Row],[Codigo]],TAB_ENTRADA[[Cod_2_Entrada]:[TOTAL_ENTRADA]],5,FALSE)-VLOOKUP(TAB_ESTOQUE[[#This Row],[Codigo]],TAB_SAIDA[[COD_2_SAIDA]:[TOTAL_SAIDA]],5,FALSE)</f>
        <v>1</v>
      </c>
      <c r="R112" s="46"/>
      <c r="S112" s="46"/>
      <c r="T112" s="102">
        <v>1852</v>
      </c>
      <c r="U112" s="103">
        <f>TAB_ESTOQUE[[#This Row],[Valor Unitario Estimado]]*TAB_ESTOQUE[[#This Row],[Estoque]]</f>
        <v>1852</v>
      </c>
      <c r="V112" s="103"/>
      <c r="W112" s="54"/>
      <c r="X112" s="54"/>
      <c r="Y112" s="54"/>
      <c r="Z112" s="54"/>
      <c r="AA112" s="138"/>
      <c r="AB112" s="104" t="str">
        <f>IF(TAB_ESTOQUE[[#This Row],[Estoque]]=0,"Estoque Não Conforme",IF(TAB_ESTOQUE[[#This Row],[Estoque]]&gt;=TAB_ESTOQUE[[#This Row],[Mínimo]],"Estoque Conforme",IF(TAB_ESTOQUE[[#This Row],[Estoque]]&lt;TAB_ESTOQUE[[#This Row],[Mínimo]],"Estoque em Nivel Minimo")))</f>
        <v>Estoque Conforme</v>
      </c>
      <c r="AC112" s="104"/>
      <c r="AD112" s="45"/>
      <c r="AE112" s="95"/>
      <c r="AF112" s="95"/>
    </row>
    <row r="113" spans="1:32" s="47" customFormat="1" ht="15" customHeight="1" x14ac:dyDescent="0.25">
      <c r="A113" s="45"/>
      <c r="B113" s="45"/>
      <c r="C113" s="48"/>
      <c r="D113" s="45" t="s">
        <v>7755</v>
      </c>
      <c r="E113" s="46" t="s">
        <v>8944</v>
      </c>
      <c r="F113" s="46"/>
      <c r="G113" s="45"/>
      <c r="H113" s="45"/>
      <c r="I113" s="45" t="s">
        <v>8945</v>
      </c>
      <c r="J113" s="45"/>
      <c r="K113" s="45"/>
      <c r="L113" s="45"/>
      <c r="M113" s="45"/>
      <c r="N113" s="45"/>
      <c r="O113" s="46" t="s">
        <v>6278</v>
      </c>
      <c r="P113" s="45"/>
      <c r="Q113" s="137">
        <f>VLOOKUP(TAB_ESTOQUE[[#This Row],[Codigo]],TAB_ENTRADA[[Cod_2_Entrada]:[TOTAL_ENTRADA]],5,FALSE)-VLOOKUP(TAB_ESTOQUE[[#This Row],[Codigo]],TAB_SAIDA[[COD_2_SAIDA]:[TOTAL_SAIDA]],5,FALSE)</f>
        <v>2</v>
      </c>
      <c r="R113" s="46">
        <v>1</v>
      </c>
      <c r="S113" s="46">
        <v>2</v>
      </c>
      <c r="T113" s="102">
        <v>1390</v>
      </c>
      <c r="U113" s="103">
        <f>TAB_ESTOQUE[[#This Row],[Valor Unitario Estimado]]*TAB_ESTOQUE[[#This Row],[Estoque]]</f>
        <v>2780</v>
      </c>
      <c r="V113" s="103"/>
      <c r="W113" s="54"/>
      <c r="X113" s="54"/>
      <c r="Y113" s="54"/>
      <c r="Z113" s="54"/>
      <c r="AA113" s="138"/>
      <c r="AB113" s="104" t="str">
        <f>IF(TAB_ESTOQUE[[#This Row],[Estoque]]=0,"Estoque Não Conforme",IF(TAB_ESTOQUE[[#This Row],[Estoque]]&gt;=TAB_ESTOQUE[[#This Row],[Mínimo]],"Estoque Conforme",IF(TAB_ESTOQUE[[#This Row],[Estoque]]&lt;TAB_ESTOQUE[[#This Row],[Mínimo]],"Estoque em Nivel Minimo")))</f>
        <v>Estoque Conforme</v>
      </c>
      <c r="AC113" s="104"/>
      <c r="AD113" s="45"/>
      <c r="AE113" s="94"/>
      <c r="AF113" s="94"/>
    </row>
    <row r="114" spans="1:32" s="106" customFormat="1" ht="15" customHeight="1" x14ac:dyDescent="0.25">
      <c r="A114" s="45">
        <v>204</v>
      </c>
      <c r="B114" s="47"/>
      <c r="C114" s="46"/>
      <c r="D114" s="45" t="s">
        <v>2129</v>
      </c>
      <c r="E114" s="46" t="s">
        <v>7</v>
      </c>
      <c r="F114" s="87"/>
      <c r="G114" s="82"/>
      <c r="H114" s="82"/>
      <c r="I114" s="82" t="s">
        <v>7773</v>
      </c>
      <c r="J114" s="82"/>
      <c r="K114" s="82"/>
      <c r="L114" s="82"/>
      <c r="M114" s="82" t="s">
        <v>139</v>
      </c>
      <c r="N114" s="82"/>
      <c r="O114" s="87" t="s">
        <v>6425</v>
      </c>
      <c r="P114" s="82" t="s">
        <v>154</v>
      </c>
      <c r="Q114" s="83">
        <f>VLOOKUP(TAB_ESTOQUE[[#This Row],[Codigo]],TAB_ENTRADA[[Cod_2_Entrada]:[TOTAL_ENTRADA]],5,FALSE)-VLOOKUP(TAB_ESTOQUE[[#This Row],[Codigo]],TAB_SAIDA[[COD_2_SAIDA]:[TOTAL_SAIDA]],5,FALSE)</f>
        <v>0</v>
      </c>
      <c r="R114" s="87"/>
      <c r="S114" s="87"/>
      <c r="T114" s="90">
        <v>204.68</v>
      </c>
      <c r="U114" s="91">
        <f>TAB_ESTOQUE[[#This Row],[Valor Unitario Estimado]]*TAB_ESTOQUE[[#This Row],[Estoque]]</f>
        <v>0</v>
      </c>
      <c r="V114" s="91"/>
      <c r="W114" s="85"/>
      <c r="X114" s="85"/>
      <c r="Y114" s="85"/>
      <c r="Z114" s="85"/>
      <c r="AA114" s="85"/>
      <c r="AB114" s="85" t="str">
        <f>IF(TAB_ESTOQUE[[#This Row],[Estoque]]=0,"Estoque Não Conforme",IF(TAB_ESTOQUE[[#This Row],[Estoque]]&gt;=TAB_ESTOQUE[[#This Row],[Mínimo]],"Estoque Conforme",IF(TAB_ESTOQUE[[#This Row],[Estoque]]&lt;TAB_ESTOQUE[[#This Row],[Mínimo]],"Estoque em Nivel Minimo")))</f>
        <v>Estoque Não Conforme</v>
      </c>
      <c r="AC114" s="85"/>
      <c r="AD114" s="82"/>
      <c r="AE114" s="95"/>
      <c r="AF114" s="95"/>
    </row>
    <row r="115" spans="1:32" s="47" customFormat="1" ht="15" customHeight="1" x14ac:dyDescent="0.25">
      <c r="A115" s="45"/>
      <c r="C115" s="53" t="s">
        <v>2838</v>
      </c>
      <c r="D115" s="45" t="s">
        <v>3069</v>
      </c>
      <c r="E115" s="46"/>
      <c r="F115" s="87"/>
      <c r="G115" s="82"/>
      <c r="H115" s="82"/>
      <c r="I115" s="82" t="s">
        <v>7776</v>
      </c>
      <c r="J115" s="82"/>
      <c r="K115" s="82"/>
      <c r="L115" s="82"/>
      <c r="M115" s="82"/>
      <c r="N115" s="82"/>
      <c r="O115" s="87" t="s">
        <v>6425</v>
      </c>
      <c r="P115" s="82" t="s">
        <v>3082</v>
      </c>
      <c r="Q115" s="137">
        <f>VLOOKUP(TAB_ESTOQUE[[#This Row],[Codigo]],TAB_ENTRADA[[Cod_2_Entrada]:[TOTAL_ENTRADA]],5,FALSE)-VLOOKUP(TAB_ESTOQUE[[#This Row],[Codigo]],TAB_SAIDA[[COD_2_SAIDA]:[TOTAL_SAIDA]],5,FALSE)</f>
        <v>0</v>
      </c>
      <c r="R115" s="87"/>
      <c r="S115" s="87"/>
      <c r="T115" s="90">
        <v>57.9</v>
      </c>
      <c r="U115" s="91">
        <f>TAB_ESTOQUE[[#This Row],[Valor Unitario Estimado]]*TAB_ESTOQUE[[#This Row],[Estoque]]</f>
        <v>0</v>
      </c>
      <c r="V115" s="91"/>
      <c r="W115" s="85"/>
      <c r="X115" s="85"/>
      <c r="Y115" s="85"/>
      <c r="Z115" s="85"/>
      <c r="AA115" s="85"/>
      <c r="AB115" s="96" t="str">
        <f>IF(TAB_ESTOQUE[[#This Row],[Estoque]]=0,"Estoque Não Conforme",IF(TAB_ESTOQUE[[#This Row],[Estoque]]&gt;=TAB_ESTOQUE[[#This Row],[Mínimo]],"Estoque Conforme",IF(TAB_ESTOQUE[[#This Row],[Estoque]]&lt;TAB_ESTOQUE[[#This Row],[Mínimo]],"Estoque em Nivel Minimo")))</f>
        <v>Estoque Não Conforme</v>
      </c>
      <c r="AC115" s="96"/>
      <c r="AD115" s="82"/>
      <c r="AE115" s="94"/>
      <c r="AF115" s="94"/>
    </row>
    <row r="116" spans="1:32" ht="15" customHeight="1" x14ac:dyDescent="0.25">
      <c r="B116" s="47"/>
      <c r="C116" s="53" t="s">
        <v>2838</v>
      </c>
      <c r="D116" s="45" t="s">
        <v>3070</v>
      </c>
      <c r="E116" s="46"/>
      <c r="F116" s="87"/>
      <c r="G116" s="82"/>
      <c r="H116" s="82"/>
      <c r="I116" s="82" t="s">
        <v>7777</v>
      </c>
      <c r="J116" s="82"/>
      <c r="K116" s="82"/>
      <c r="L116" s="82"/>
      <c r="M116" s="82"/>
      <c r="N116" s="82"/>
      <c r="O116" s="87" t="s">
        <v>6425</v>
      </c>
      <c r="P116" s="82" t="s">
        <v>3091</v>
      </c>
      <c r="Q116" s="83">
        <f>VLOOKUP(TAB_ESTOQUE[[#This Row],[Codigo]],TAB_ENTRADA[[Cod_2_Entrada]:[TOTAL_ENTRADA]],5,FALSE)-VLOOKUP(TAB_ESTOQUE[[#This Row],[Codigo]],TAB_SAIDA[[COD_2_SAIDA]:[TOTAL_SAIDA]],5,FALSE)</f>
        <v>1</v>
      </c>
      <c r="R116" s="87"/>
      <c r="S116" s="87"/>
      <c r="T116" s="90"/>
      <c r="U116" s="91">
        <f>TAB_ESTOQUE[[#This Row],[Valor Unitario Estimado]]*TAB_ESTOQUE[[#This Row],[Estoque]]</f>
        <v>0</v>
      </c>
      <c r="V116" s="91"/>
      <c r="W116" s="85"/>
      <c r="X116" s="85"/>
      <c r="Y116" s="85"/>
      <c r="Z116" s="85"/>
      <c r="AA116" s="85"/>
      <c r="AB116" s="96" t="str">
        <f>IF(TAB_ESTOQUE[[#This Row],[Estoque]]=0,"Estoque Não Conforme",IF(TAB_ESTOQUE[[#This Row],[Estoque]]&gt;=TAB_ESTOQUE[[#This Row],[Mínimo]],"Estoque Conforme",IF(TAB_ESTOQUE[[#This Row],[Estoque]]&lt;TAB_ESTOQUE[[#This Row],[Mínimo]],"Estoque em Nivel Minimo")))</f>
        <v>Estoque Conforme</v>
      </c>
      <c r="AC116" s="96"/>
      <c r="AD116" s="82"/>
      <c r="AE116" s="82"/>
      <c r="AF116" s="82"/>
    </row>
    <row r="117" spans="1:32" s="47" customFormat="1" ht="15" customHeight="1" x14ac:dyDescent="0.25">
      <c r="A117" s="45"/>
      <c r="B117" s="45"/>
      <c r="C117" s="105" t="s">
        <v>2838</v>
      </c>
      <c r="D117" s="45" t="s">
        <v>6791</v>
      </c>
      <c r="E117" s="46" t="s">
        <v>116</v>
      </c>
      <c r="F117" s="46"/>
      <c r="G117" s="45"/>
      <c r="H117" s="45"/>
      <c r="I117" s="45" t="s">
        <v>7778</v>
      </c>
      <c r="J117" s="45"/>
      <c r="K117" s="45"/>
      <c r="L117" s="45"/>
      <c r="M117" s="45"/>
      <c r="N117" s="45"/>
      <c r="O117" s="46" t="s">
        <v>6425</v>
      </c>
      <c r="P117" s="45"/>
      <c r="Q117" s="83">
        <f>VLOOKUP(TAB_ESTOQUE[[#This Row],[Codigo]],TAB_ENTRADA[[Cod_2_Entrada]:[TOTAL_ENTRADA]],5,FALSE)-VLOOKUP(TAB_ESTOQUE[[#This Row],[Codigo]],TAB_SAIDA[[COD_2_SAIDA]:[TOTAL_SAIDA]],5,FALSE)</f>
        <v>0</v>
      </c>
      <c r="R117" s="46"/>
      <c r="S117" s="46"/>
      <c r="T117" s="102">
        <v>597.23</v>
      </c>
      <c r="U117" s="103">
        <f>TAB_ESTOQUE[[#This Row],[Valor Unitario Estimado]]*TAB_ESTOQUE[[#This Row],[Estoque]]</f>
        <v>0</v>
      </c>
      <c r="V117" s="103"/>
      <c r="W117" s="54"/>
      <c r="X117" s="54"/>
      <c r="Y117" s="54"/>
      <c r="Z117" s="54"/>
      <c r="AA117" s="54"/>
      <c r="AB117" s="104" t="str">
        <f>IF(TAB_ESTOQUE[[#This Row],[Estoque]]=0,"Estoque Não Conforme",IF(TAB_ESTOQUE[[#This Row],[Estoque]]&gt;=TAB_ESTOQUE[[#This Row],[Mínimo]],"Estoque Conforme",IF(TAB_ESTOQUE[[#This Row],[Estoque]]&lt;TAB_ESTOQUE[[#This Row],[Mínimo]],"Estoque em Nivel Minimo")))</f>
        <v>Estoque Não Conforme</v>
      </c>
      <c r="AC117" s="104"/>
      <c r="AD117" s="45"/>
      <c r="AE117" s="94"/>
      <c r="AF117" s="94"/>
    </row>
    <row r="118" spans="1:32" ht="15" customHeight="1" x14ac:dyDescent="0.25">
      <c r="A118" s="45">
        <v>606</v>
      </c>
      <c r="B118" s="47"/>
      <c r="C118" s="46" t="s">
        <v>2833</v>
      </c>
      <c r="D118" s="45" t="s">
        <v>1692</v>
      </c>
      <c r="E118" s="46" t="s">
        <v>7</v>
      </c>
      <c r="F118" s="87"/>
      <c r="G118" s="82"/>
      <c r="H118" s="82"/>
      <c r="I118" s="82" t="s">
        <v>6296</v>
      </c>
      <c r="J118" s="82"/>
      <c r="K118" s="82"/>
      <c r="L118" s="82"/>
      <c r="M118" s="82"/>
      <c r="N118" s="82"/>
      <c r="O118" s="87" t="s">
        <v>6252</v>
      </c>
      <c r="P118" s="82" t="s">
        <v>385</v>
      </c>
      <c r="Q118" s="83">
        <f>VLOOKUP(TAB_ESTOQUE[[#This Row],[Codigo]],TAB_ENTRADA[[Cod_2_Entrada]:[TOTAL_ENTRADA]],5,FALSE)-VLOOKUP(TAB_ESTOQUE[[#This Row],[Codigo]],TAB_SAIDA[[COD_2_SAIDA]:[TOTAL_SAIDA]],5,FALSE)</f>
        <v>0</v>
      </c>
      <c r="R118" s="87"/>
      <c r="S118" s="87"/>
      <c r="T118" s="90">
        <v>450</v>
      </c>
      <c r="U118" s="91">
        <f>TAB_ESTOQUE[[#This Row],[Valor Unitario Estimado]]*TAB_ESTOQUE[[#This Row],[Estoque]]</f>
        <v>0</v>
      </c>
      <c r="V118" s="91"/>
      <c r="W118" s="85"/>
      <c r="X118" s="85"/>
      <c r="Y118" s="85"/>
      <c r="Z118" s="85"/>
      <c r="AA118" s="85"/>
      <c r="AB118" s="85" t="str">
        <f>IF(TAB_ESTOQUE[[#This Row],[Estoque]]=0,"Estoque Não Conforme",IF(TAB_ESTOQUE[[#This Row],[Estoque]]&gt;=TAB_ESTOQUE[[#This Row],[Mínimo]],"Estoque Conforme",IF(TAB_ESTOQUE[[#This Row],[Estoque]]&lt;TAB_ESTOQUE[[#This Row],[Mínimo]],"Estoque em Nivel Minimo")))</f>
        <v>Estoque Não Conforme</v>
      </c>
      <c r="AC118" s="85"/>
      <c r="AD118" s="82"/>
      <c r="AE118" s="82"/>
      <c r="AF118" s="82"/>
    </row>
    <row r="119" spans="1:32" ht="15" customHeight="1" x14ac:dyDescent="0.25">
      <c r="A119" s="45">
        <v>60</v>
      </c>
      <c r="B119" s="47"/>
      <c r="C119" s="46" t="s">
        <v>2838</v>
      </c>
      <c r="D119" s="45" t="s">
        <v>1693</v>
      </c>
      <c r="E119" s="46"/>
      <c r="F119" s="87"/>
      <c r="G119" s="82"/>
      <c r="H119" s="82"/>
      <c r="I119" s="82" t="s">
        <v>7764</v>
      </c>
      <c r="J119" s="82"/>
      <c r="K119" s="82"/>
      <c r="L119" s="82"/>
      <c r="M119" s="82"/>
      <c r="N119" s="82"/>
      <c r="O119" s="87" t="s">
        <v>6252</v>
      </c>
      <c r="P119" s="82" t="s">
        <v>33</v>
      </c>
      <c r="Q119" s="83">
        <f>VLOOKUP(TAB_ESTOQUE[[#This Row],[Codigo]],TAB_ENTRADA[[Cod_2_Entrada]:[TOTAL_ENTRADA]],5,FALSE)-VLOOKUP(TAB_ESTOQUE[[#This Row],[Codigo]],TAB_SAIDA[[COD_2_SAIDA]:[TOTAL_SAIDA]],5,FALSE)</f>
        <v>2</v>
      </c>
      <c r="R119" s="87"/>
      <c r="S119" s="87"/>
      <c r="T119" s="90">
        <v>45.81</v>
      </c>
      <c r="U119" s="91">
        <f>TAB_ESTOQUE[[#This Row],[Valor Unitario Estimado]]*TAB_ESTOQUE[[#This Row],[Estoque]]</f>
        <v>91.62</v>
      </c>
      <c r="V119" s="91"/>
      <c r="W119" s="85"/>
      <c r="X119" s="85"/>
      <c r="Y119" s="85"/>
      <c r="Z119" s="85"/>
      <c r="AA119" s="85"/>
      <c r="AB119" s="85" t="str">
        <f>IF(TAB_ESTOQUE[[#This Row],[Estoque]]=0,"Estoque Não Conforme",IF(TAB_ESTOQUE[[#This Row],[Estoque]]&gt;=TAB_ESTOQUE[[#This Row],[Mínimo]],"Estoque Conforme",IF(TAB_ESTOQUE[[#This Row],[Estoque]]&lt;TAB_ESTOQUE[[#This Row],[Mínimo]],"Estoque em Nivel Minimo")))</f>
        <v>Estoque Conforme</v>
      </c>
      <c r="AC119" s="85"/>
      <c r="AD119" s="82"/>
      <c r="AE119" s="82"/>
      <c r="AF119" s="82"/>
    </row>
    <row r="120" spans="1:32" ht="15" customHeight="1" x14ac:dyDescent="0.25">
      <c r="A120" s="45">
        <v>107</v>
      </c>
      <c r="B120" s="47"/>
      <c r="C120" s="46" t="s">
        <v>2838</v>
      </c>
      <c r="D120" s="45" t="s">
        <v>1694</v>
      </c>
      <c r="E120" s="46"/>
      <c r="F120" s="87"/>
      <c r="G120" s="82"/>
      <c r="H120" s="82"/>
      <c r="I120" s="82" t="s">
        <v>7766</v>
      </c>
      <c r="J120" s="82"/>
      <c r="K120" s="82"/>
      <c r="L120" s="82"/>
      <c r="M120" s="82"/>
      <c r="N120" s="82"/>
      <c r="O120" s="87" t="s">
        <v>6252</v>
      </c>
      <c r="P120" s="82" t="s">
        <v>64</v>
      </c>
      <c r="Q120" s="83">
        <f>VLOOKUP(TAB_ESTOQUE[[#This Row],[Codigo]],TAB_ENTRADA[[Cod_2_Entrada]:[TOTAL_ENTRADA]],5,FALSE)-VLOOKUP(TAB_ESTOQUE[[#This Row],[Codigo]],TAB_SAIDA[[COD_2_SAIDA]:[TOTAL_SAIDA]],5,FALSE)</f>
        <v>6</v>
      </c>
      <c r="R120" s="87"/>
      <c r="S120" s="87"/>
      <c r="T120" s="90">
        <v>152.11000000000001</v>
      </c>
      <c r="U120" s="91">
        <f>TAB_ESTOQUE[[#This Row],[Valor Unitario Estimado]]*TAB_ESTOQUE[[#This Row],[Estoque]]</f>
        <v>912.66000000000008</v>
      </c>
      <c r="V120" s="91"/>
      <c r="W120" s="85"/>
      <c r="X120" s="85"/>
      <c r="Y120" s="85"/>
      <c r="Z120" s="85"/>
      <c r="AA120" s="85"/>
      <c r="AB120" s="85" t="str">
        <f>IF(TAB_ESTOQUE[[#This Row],[Estoque]]=0,"Estoque Não Conforme",IF(TAB_ESTOQUE[[#This Row],[Estoque]]&gt;=TAB_ESTOQUE[[#This Row],[Mínimo]],"Estoque Conforme",IF(TAB_ESTOQUE[[#This Row],[Estoque]]&lt;TAB_ESTOQUE[[#This Row],[Mínimo]],"Estoque em Nivel Minimo")))</f>
        <v>Estoque Conforme</v>
      </c>
      <c r="AC120" s="85"/>
      <c r="AD120" s="82"/>
      <c r="AE120" s="82"/>
      <c r="AF120" s="82"/>
    </row>
    <row r="121" spans="1:32" s="176" customFormat="1" ht="15" customHeight="1" x14ac:dyDescent="0.25">
      <c r="A121" s="45">
        <v>605</v>
      </c>
      <c r="B121" s="47"/>
      <c r="C121" s="46" t="s">
        <v>2838</v>
      </c>
      <c r="D121" s="45" t="s">
        <v>1695</v>
      </c>
      <c r="E121" s="46" t="s">
        <v>7</v>
      </c>
      <c r="F121" s="87"/>
      <c r="G121" s="82"/>
      <c r="H121" s="82"/>
      <c r="I121" s="82" t="s">
        <v>6301</v>
      </c>
      <c r="J121" s="82"/>
      <c r="K121" s="82"/>
      <c r="L121" s="82"/>
      <c r="M121" s="82"/>
      <c r="N121" s="82"/>
      <c r="O121" s="87" t="s">
        <v>6252</v>
      </c>
      <c r="P121" s="82" t="s">
        <v>384</v>
      </c>
      <c r="Q121" s="83">
        <f>VLOOKUP(TAB_ESTOQUE[[#This Row],[Codigo]],TAB_ENTRADA[[Cod_2_Entrada]:[TOTAL_ENTRADA]],5,FALSE)-VLOOKUP(TAB_ESTOQUE[[#This Row],[Codigo]],TAB_SAIDA[[COD_2_SAIDA]:[TOTAL_SAIDA]],5,FALSE)</f>
        <v>0</v>
      </c>
      <c r="R121" s="87"/>
      <c r="S121" s="87"/>
      <c r="T121" s="90">
        <v>41.33</v>
      </c>
      <c r="U121" s="91">
        <f>TAB_ESTOQUE[[#This Row],[Valor Unitario Estimado]]*TAB_ESTOQUE[[#This Row],[Estoque]]</f>
        <v>0</v>
      </c>
      <c r="V121" s="91"/>
      <c r="W121" s="85"/>
      <c r="X121" s="85"/>
      <c r="Y121" s="85"/>
      <c r="Z121" s="85"/>
      <c r="AA121" s="85"/>
      <c r="AB121" s="85" t="str">
        <f>IF(TAB_ESTOQUE[[#This Row],[Estoque]]=0,"Estoque Não Conforme",IF(TAB_ESTOQUE[[#This Row],[Estoque]]&gt;=TAB_ESTOQUE[[#This Row],[Mínimo]],"Estoque Conforme",IF(TAB_ESTOQUE[[#This Row],[Estoque]]&lt;TAB_ESTOQUE[[#This Row],[Mínimo]],"Estoque em Nivel Minimo")))</f>
        <v>Estoque Não Conforme</v>
      </c>
      <c r="AC121" s="85"/>
      <c r="AD121" s="82"/>
      <c r="AE121" s="178"/>
      <c r="AF121" s="178"/>
    </row>
    <row r="122" spans="1:32" ht="15" customHeight="1" x14ac:dyDescent="0.25">
      <c r="A122" s="45">
        <v>6</v>
      </c>
      <c r="B122" s="47"/>
      <c r="C122" s="46" t="s">
        <v>2838</v>
      </c>
      <c r="D122" s="45" t="s">
        <v>1696</v>
      </c>
      <c r="E122" s="46"/>
      <c r="F122" s="87"/>
      <c r="G122" s="82"/>
      <c r="H122" s="82"/>
      <c r="I122" s="82" t="s">
        <v>7768</v>
      </c>
      <c r="J122" s="82"/>
      <c r="K122" s="82"/>
      <c r="L122" s="82"/>
      <c r="M122" s="82"/>
      <c r="N122" s="82"/>
      <c r="O122" s="87" t="s">
        <v>6252</v>
      </c>
      <c r="P122" s="82" t="s">
        <v>12</v>
      </c>
      <c r="Q122" s="83">
        <f>VLOOKUP(TAB_ESTOQUE[[#This Row],[Codigo]],TAB_ENTRADA[[Cod_2_Entrada]:[TOTAL_ENTRADA]],5,FALSE)-VLOOKUP(TAB_ESTOQUE[[#This Row],[Codigo]],TAB_SAIDA[[COD_2_SAIDA]:[TOTAL_SAIDA]],5,FALSE)</f>
        <v>0</v>
      </c>
      <c r="R122" s="87"/>
      <c r="S122" s="87"/>
      <c r="T122" s="90">
        <v>50</v>
      </c>
      <c r="U122" s="91">
        <f>TAB_ESTOQUE[[#This Row],[Valor Unitario Estimado]]*TAB_ESTOQUE[[#This Row],[Estoque]]</f>
        <v>0</v>
      </c>
      <c r="V122" s="91"/>
      <c r="W122" s="85"/>
      <c r="X122" s="85"/>
      <c r="Y122" s="85"/>
      <c r="Z122" s="85"/>
      <c r="AA122" s="85"/>
      <c r="AB122" s="85" t="str">
        <f>IF(TAB_ESTOQUE[[#This Row],[Estoque]]=0,"Estoque Não Conforme",IF(TAB_ESTOQUE[[#This Row],[Estoque]]&gt;=TAB_ESTOQUE[[#This Row],[Mínimo]],"Estoque Conforme",IF(TAB_ESTOQUE[[#This Row],[Estoque]]&lt;TAB_ESTOQUE[[#This Row],[Mínimo]],"Estoque em Nivel Minimo")))</f>
        <v>Estoque Não Conforme</v>
      </c>
      <c r="AC122" s="85"/>
      <c r="AD122" s="82"/>
      <c r="AE122" s="82"/>
      <c r="AF122" s="82"/>
    </row>
    <row r="123" spans="1:32" ht="15" customHeight="1" x14ac:dyDescent="0.25">
      <c r="A123" s="45">
        <v>64</v>
      </c>
      <c r="B123" s="47"/>
      <c r="C123" s="46"/>
      <c r="D123" s="45" t="s">
        <v>1836</v>
      </c>
      <c r="E123" s="46" t="s">
        <v>7</v>
      </c>
      <c r="F123" s="87"/>
      <c r="G123" s="82"/>
      <c r="H123" s="82"/>
      <c r="I123" s="82" t="s">
        <v>7770</v>
      </c>
      <c r="J123" s="82"/>
      <c r="K123" s="82"/>
      <c r="L123" s="82"/>
      <c r="M123" s="82"/>
      <c r="N123" s="82"/>
      <c r="O123" s="87" t="s">
        <v>6252</v>
      </c>
      <c r="P123" s="82" t="s">
        <v>37</v>
      </c>
      <c r="Q123" s="83">
        <f>VLOOKUP(TAB_ESTOQUE[[#This Row],[Codigo]],TAB_ENTRADA[[Cod_2_Entrada]:[TOTAL_ENTRADA]],5,FALSE)-VLOOKUP(TAB_ESTOQUE[[#This Row],[Codigo]],TAB_SAIDA[[COD_2_SAIDA]:[TOTAL_SAIDA]],5,FALSE)</f>
        <v>0</v>
      </c>
      <c r="R123" s="87"/>
      <c r="S123" s="87"/>
      <c r="T123" s="90">
        <v>22</v>
      </c>
      <c r="U123" s="91">
        <f>TAB_ESTOQUE[[#This Row],[Valor Unitario Estimado]]*TAB_ESTOQUE[[#This Row],[Estoque]]</f>
        <v>0</v>
      </c>
      <c r="V123" s="91"/>
      <c r="W123" s="85"/>
      <c r="X123" s="85"/>
      <c r="Y123" s="85"/>
      <c r="Z123" s="85"/>
      <c r="AA123" s="85"/>
      <c r="AB123" s="85" t="str">
        <f>IF(TAB_ESTOQUE[[#This Row],[Estoque]]=0,"Estoque Não Conforme",IF(TAB_ESTOQUE[[#This Row],[Estoque]]&gt;=TAB_ESTOQUE[[#This Row],[Mínimo]],"Estoque Conforme",IF(TAB_ESTOQUE[[#This Row],[Estoque]]&lt;TAB_ESTOQUE[[#This Row],[Mínimo]],"Estoque em Nivel Minimo")))</f>
        <v>Estoque Não Conforme</v>
      </c>
      <c r="AC123" s="85"/>
      <c r="AD123" s="82"/>
      <c r="AE123" s="82"/>
      <c r="AF123" s="82"/>
    </row>
    <row r="124" spans="1:32" ht="15" customHeight="1" x14ac:dyDescent="0.25">
      <c r="A124" s="45" t="s">
        <v>1159</v>
      </c>
      <c r="B124" s="47"/>
      <c r="C124" s="46"/>
      <c r="D124" s="45" t="s">
        <v>2626</v>
      </c>
      <c r="E124" s="46"/>
      <c r="F124" s="87"/>
      <c r="G124" s="82"/>
      <c r="H124" s="82"/>
      <c r="I124" s="82" t="s">
        <v>7774</v>
      </c>
      <c r="J124" s="82"/>
      <c r="K124" s="82"/>
      <c r="L124" s="82"/>
      <c r="M124" s="82"/>
      <c r="N124" s="82"/>
      <c r="O124" s="87" t="s">
        <v>6252</v>
      </c>
      <c r="P124" s="82" t="s">
        <v>1239</v>
      </c>
      <c r="Q124" s="83">
        <f>VLOOKUP(TAB_ESTOQUE[[#This Row],[Codigo]],TAB_ENTRADA[[Cod_2_Entrada]:[TOTAL_ENTRADA]],5,FALSE)-VLOOKUP(TAB_ESTOQUE[[#This Row],[Codigo]],TAB_SAIDA[[COD_2_SAIDA]:[TOTAL_SAIDA]],5,FALSE)</f>
        <v>0</v>
      </c>
      <c r="R124" s="87"/>
      <c r="S124" s="87"/>
      <c r="T124" s="90">
        <v>49.9</v>
      </c>
      <c r="U124" s="91">
        <f>TAB_ESTOQUE[[#This Row],[Valor Unitario Estimado]]*TAB_ESTOQUE[[#This Row],[Estoque]]</f>
        <v>0</v>
      </c>
      <c r="V124" s="91"/>
      <c r="W124" s="85"/>
      <c r="X124" s="85"/>
      <c r="Y124" s="85"/>
      <c r="Z124" s="85"/>
      <c r="AA124" s="85"/>
      <c r="AB124" s="85" t="str">
        <f>IF(TAB_ESTOQUE[[#This Row],[Estoque]]=0,"Estoque Não Conforme",IF(TAB_ESTOQUE[[#This Row],[Estoque]]&gt;=TAB_ESTOQUE[[#This Row],[Mínimo]],"Estoque Conforme",IF(TAB_ESTOQUE[[#This Row],[Estoque]]&lt;TAB_ESTOQUE[[#This Row],[Mínimo]],"Estoque em Nivel Minimo")))</f>
        <v>Estoque Não Conforme</v>
      </c>
      <c r="AC124" s="85"/>
      <c r="AD124" s="82"/>
      <c r="AE124" s="82"/>
      <c r="AF124" s="82"/>
    </row>
    <row r="125" spans="1:32" ht="15" customHeight="1" x14ac:dyDescent="0.25">
      <c r="A125" s="45" t="s">
        <v>1159</v>
      </c>
      <c r="B125" s="47"/>
      <c r="C125" s="46"/>
      <c r="D125" s="45" t="s">
        <v>2632</v>
      </c>
      <c r="E125" s="46"/>
      <c r="F125" s="87"/>
      <c r="G125" s="82"/>
      <c r="H125" s="82"/>
      <c r="I125" s="82" t="s">
        <v>7969</v>
      </c>
      <c r="J125" s="82"/>
      <c r="K125" s="82"/>
      <c r="L125" s="82"/>
      <c r="M125" s="82"/>
      <c r="N125" s="82"/>
      <c r="O125" s="87" t="s">
        <v>6252</v>
      </c>
      <c r="P125" s="82" t="s">
        <v>1249</v>
      </c>
      <c r="Q125" s="83">
        <f>VLOOKUP(TAB_ESTOQUE[[#This Row],[Codigo]],TAB_ENTRADA[[Cod_2_Entrada]:[TOTAL_ENTRADA]],5,FALSE)-VLOOKUP(TAB_ESTOQUE[[#This Row],[Codigo]],TAB_SAIDA[[COD_2_SAIDA]:[TOTAL_SAIDA]],5,FALSE)</f>
        <v>1</v>
      </c>
      <c r="R125" s="87"/>
      <c r="S125" s="87"/>
      <c r="T125" s="90"/>
      <c r="U125" s="91">
        <f>TAB_ESTOQUE[[#This Row],[Valor Unitario Estimado]]*TAB_ESTOQUE[[#This Row],[Estoque]]</f>
        <v>0</v>
      </c>
      <c r="V125" s="91"/>
      <c r="W125" s="85"/>
      <c r="X125" s="85"/>
      <c r="Y125" s="85"/>
      <c r="Z125" s="85"/>
      <c r="AA125" s="85"/>
      <c r="AB125" s="85" t="str">
        <f>IF(TAB_ESTOQUE[[#This Row],[Estoque]]=0,"Estoque Não Conforme",IF(TAB_ESTOQUE[[#This Row],[Estoque]]&gt;=TAB_ESTOQUE[[#This Row],[Mínimo]],"Estoque Conforme",IF(TAB_ESTOQUE[[#This Row],[Estoque]]&lt;TAB_ESTOQUE[[#This Row],[Mínimo]],"Estoque em Nivel Minimo")))</f>
        <v>Estoque Conforme</v>
      </c>
      <c r="AC125" s="85"/>
      <c r="AD125" s="82"/>
      <c r="AE125" s="82"/>
      <c r="AF125" s="82"/>
    </row>
    <row r="126" spans="1:32" ht="15" customHeight="1" x14ac:dyDescent="0.25">
      <c r="A126" s="45" t="s">
        <v>1159</v>
      </c>
      <c r="B126" s="47"/>
      <c r="C126" s="46"/>
      <c r="D126" s="45" t="s">
        <v>2633</v>
      </c>
      <c r="E126" s="46"/>
      <c r="F126" s="87"/>
      <c r="G126" s="82"/>
      <c r="H126" s="82"/>
      <c r="I126" s="82" t="s">
        <v>7970</v>
      </c>
      <c r="J126" s="82"/>
      <c r="K126" s="82"/>
      <c r="L126" s="82"/>
      <c r="M126" s="82"/>
      <c r="N126" s="82"/>
      <c r="O126" s="87" t="s">
        <v>6252</v>
      </c>
      <c r="P126" s="82" t="s">
        <v>1251</v>
      </c>
      <c r="Q126" s="83">
        <f>VLOOKUP(TAB_ESTOQUE[[#This Row],[Codigo]],TAB_ENTRADA[[Cod_2_Entrada]:[TOTAL_ENTRADA]],5,FALSE)-VLOOKUP(TAB_ESTOQUE[[#This Row],[Codigo]],TAB_SAIDA[[COD_2_SAIDA]:[TOTAL_SAIDA]],5,FALSE)</f>
        <v>1</v>
      </c>
      <c r="R126" s="87"/>
      <c r="S126" s="87"/>
      <c r="T126" s="90"/>
      <c r="U126" s="91">
        <f>TAB_ESTOQUE[[#This Row],[Valor Unitario Estimado]]*TAB_ESTOQUE[[#This Row],[Estoque]]</f>
        <v>0</v>
      </c>
      <c r="V126" s="91"/>
      <c r="W126" s="85"/>
      <c r="X126" s="85"/>
      <c r="Y126" s="85"/>
      <c r="Z126" s="85"/>
      <c r="AA126" s="85"/>
      <c r="AB126" s="85" t="str">
        <f>IF(TAB_ESTOQUE[[#This Row],[Estoque]]=0,"Estoque Não Conforme",IF(TAB_ESTOQUE[[#This Row],[Estoque]]&gt;=TAB_ESTOQUE[[#This Row],[Mínimo]],"Estoque Conforme",IF(TAB_ESTOQUE[[#This Row],[Estoque]]&lt;TAB_ESTOQUE[[#This Row],[Mínimo]],"Estoque em Nivel Minimo")))</f>
        <v>Estoque Conforme</v>
      </c>
      <c r="AC126" s="85"/>
      <c r="AD126" s="82"/>
      <c r="AE126" s="82"/>
      <c r="AF126" s="82"/>
    </row>
    <row r="127" spans="1:32" ht="15" customHeight="1" x14ac:dyDescent="0.25">
      <c r="A127" s="47"/>
      <c r="B127" s="47"/>
      <c r="C127" s="51" t="s">
        <v>2833</v>
      </c>
      <c r="D127" s="47" t="s">
        <v>2766</v>
      </c>
      <c r="E127" s="51"/>
      <c r="F127" s="107"/>
      <c r="G127" s="94"/>
      <c r="H127" s="94"/>
      <c r="I127" s="94" t="s">
        <v>7775</v>
      </c>
      <c r="J127" s="94"/>
      <c r="K127" s="94"/>
      <c r="L127" s="94"/>
      <c r="M127" s="94"/>
      <c r="N127" s="94"/>
      <c r="O127" s="107" t="s">
        <v>6252</v>
      </c>
      <c r="P127" s="94" t="s">
        <v>1591</v>
      </c>
      <c r="Q127" s="145">
        <f>VLOOKUP(TAB_ESTOQUE[[#This Row],[Codigo]],TAB_ENTRADA[[Cod_2_Entrada]:[TOTAL_ENTRADA]],5,FALSE)-VLOOKUP(TAB_ESTOQUE[[#This Row],[Codigo]],TAB_SAIDA[[COD_2_SAIDA]:[TOTAL_SAIDA]],5,FALSE)</f>
        <v>0</v>
      </c>
      <c r="R127" s="107"/>
      <c r="S127" s="107"/>
      <c r="T127" s="108">
        <v>19.899999999999999</v>
      </c>
      <c r="U127" s="109">
        <f>TAB_ESTOQUE[[#This Row],[Valor Unitario Estimado]]*TAB_ESTOQUE[[#This Row],[Estoque]]</f>
        <v>0</v>
      </c>
      <c r="V127" s="109"/>
      <c r="W127" s="110"/>
      <c r="X127" s="110"/>
      <c r="Y127" s="110"/>
      <c r="Z127" s="110"/>
      <c r="AA127" s="110"/>
      <c r="AB127" s="155" t="str">
        <f>IF(TAB_ESTOQUE[[#This Row],[Estoque]]=0,"Estoque Não Conforme",IF(TAB_ESTOQUE[[#This Row],[Estoque]]&gt;=TAB_ESTOQUE[[#This Row],[Mínimo]],"Estoque Conforme",IF(TAB_ESTOQUE[[#This Row],[Estoque]]&lt;TAB_ESTOQUE[[#This Row],[Mínimo]],"Estoque em Nivel Minimo")))</f>
        <v>Estoque Não Conforme</v>
      </c>
      <c r="AC127" s="155"/>
      <c r="AD127" s="94"/>
      <c r="AE127" s="82"/>
      <c r="AF127" s="82"/>
    </row>
    <row r="128" spans="1:32" s="106" customFormat="1" ht="15" customHeight="1" x14ac:dyDescent="0.25">
      <c r="A128" s="45">
        <v>602</v>
      </c>
      <c r="B128" s="47"/>
      <c r="C128" s="46" t="s">
        <v>2833</v>
      </c>
      <c r="D128" s="45" t="s">
        <v>1697</v>
      </c>
      <c r="E128" s="46" t="s">
        <v>1240</v>
      </c>
      <c r="F128" s="87"/>
      <c r="G128" s="82"/>
      <c r="H128" s="82"/>
      <c r="I128" s="82" t="s">
        <v>6303</v>
      </c>
      <c r="J128" s="82"/>
      <c r="K128" s="82"/>
      <c r="L128" s="82"/>
      <c r="M128" s="82"/>
      <c r="N128" s="82"/>
      <c r="O128" s="87" t="s">
        <v>6251</v>
      </c>
      <c r="P128" s="82" t="s">
        <v>383</v>
      </c>
      <c r="Q128" s="83">
        <f>VLOOKUP(TAB_ESTOQUE[[#This Row],[Codigo]],TAB_ENTRADA[[Cod_2_Entrada]:[TOTAL_ENTRADA]],5,FALSE)-VLOOKUP(TAB_ESTOQUE[[#This Row],[Codigo]],TAB_SAIDA[[COD_2_SAIDA]:[TOTAL_SAIDA]],5,FALSE)</f>
        <v>1</v>
      </c>
      <c r="R128" s="87"/>
      <c r="S128" s="87"/>
      <c r="T128" s="90">
        <v>350</v>
      </c>
      <c r="U128" s="91">
        <f>TAB_ESTOQUE[[#This Row],[Valor Unitario Estimado]]*TAB_ESTOQUE[[#This Row],[Estoque]]</f>
        <v>350</v>
      </c>
      <c r="V128" s="91"/>
      <c r="W128" s="85"/>
      <c r="X128" s="85"/>
      <c r="Y128" s="85"/>
      <c r="Z128" s="85"/>
      <c r="AA128" s="85"/>
      <c r="AB128" s="85" t="str">
        <f>IF(TAB_ESTOQUE[[#This Row],[Estoque]]=0,"Estoque Não Conforme",IF(TAB_ESTOQUE[[#This Row],[Estoque]]&gt;=TAB_ESTOQUE[[#This Row],[Mínimo]],"Estoque Conforme",IF(TAB_ESTOQUE[[#This Row],[Estoque]]&lt;TAB_ESTOQUE[[#This Row],[Mínimo]],"Estoque em Nivel Minimo")))</f>
        <v>Estoque Conforme</v>
      </c>
      <c r="AC128" s="85"/>
      <c r="AD128" s="82"/>
      <c r="AE128" s="95"/>
      <c r="AF128" s="95"/>
    </row>
    <row r="129" spans="1:32" ht="15" customHeight="1" x14ac:dyDescent="0.25">
      <c r="A129" s="45">
        <v>360</v>
      </c>
      <c r="B129" s="47"/>
      <c r="C129" s="46" t="s">
        <v>2838</v>
      </c>
      <c r="D129" s="45" t="s">
        <v>1699</v>
      </c>
      <c r="E129" s="46" t="s">
        <v>7</v>
      </c>
      <c r="F129" s="87"/>
      <c r="G129" s="82"/>
      <c r="H129" s="82"/>
      <c r="I129" s="82" t="s">
        <v>6762</v>
      </c>
      <c r="J129" s="82"/>
      <c r="K129" s="82"/>
      <c r="L129" s="82"/>
      <c r="M129" s="82"/>
      <c r="N129" s="82"/>
      <c r="O129" s="87" t="s">
        <v>6251</v>
      </c>
      <c r="P129" s="82" t="s">
        <v>234</v>
      </c>
      <c r="Q129" s="83">
        <f>VLOOKUP(TAB_ESTOQUE[[#This Row],[Codigo]],TAB_ENTRADA[[Cod_2_Entrada]:[TOTAL_ENTRADA]],5,FALSE)-VLOOKUP(TAB_ESTOQUE[[#This Row],[Codigo]],TAB_SAIDA[[COD_2_SAIDA]:[TOTAL_SAIDA]],5,FALSE)</f>
        <v>1</v>
      </c>
      <c r="R129" s="87"/>
      <c r="S129" s="87"/>
      <c r="T129" s="90">
        <v>410</v>
      </c>
      <c r="U129" s="91">
        <f>TAB_ESTOQUE[[#This Row],[Valor Unitario Estimado]]*TAB_ESTOQUE[[#This Row],[Estoque]]</f>
        <v>410</v>
      </c>
      <c r="V129" s="91"/>
      <c r="W129" s="85"/>
      <c r="X129" s="85"/>
      <c r="Y129" s="85"/>
      <c r="Z129" s="85"/>
      <c r="AA129" s="85"/>
      <c r="AB129" s="85" t="str">
        <f>IF(TAB_ESTOQUE[[#This Row],[Estoque]]=0,"Estoque Não Conforme",IF(TAB_ESTOQUE[[#This Row],[Estoque]]&gt;=TAB_ESTOQUE[[#This Row],[Mínimo]],"Estoque Conforme",IF(TAB_ESTOQUE[[#This Row],[Estoque]]&lt;TAB_ESTOQUE[[#This Row],[Mínimo]],"Estoque em Nivel Minimo")))</f>
        <v>Estoque Conforme</v>
      </c>
      <c r="AC129" s="85"/>
      <c r="AD129" s="82"/>
      <c r="AE129" s="82"/>
      <c r="AF129" s="82"/>
    </row>
    <row r="130" spans="1:32" ht="15" customHeight="1" x14ac:dyDescent="0.25">
      <c r="A130" s="176">
        <v>595</v>
      </c>
      <c r="B130" s="176"/>
      <c r="C130" s="177"/>
      <c r="D130" s="176" t="s">
        <v>2114</v>
      </c>
      <c r="E130" s="177" t="s">
        <v>7431</v>
      </c>
      <c r="F130" s="180"/>
      <c r="G130" s="178"/>
      <c r="H130" s="178"/>
      <c r="I130" s="178" t="s">
        <v>7771</v>
      </c>
      <c r="J130" s="178"/>
      <c r="K130" s="178"/>
      <c r="L130" s="178"/>
      <c r="M130" s="178"/>
      <c r="N130" s="178"/>
      <c r="O130" s="180" t="s">
        <v>6251</v>
      </c>
      <c r="P130" s="178" t="s">
        <v>375</v>
      </c>
      <c r="Q130" s="179">
        <f>VLOOKUP(TAB_ESTOQUE[[#This Row],[Codigo]],TAB_ENTRADA[[Cod_2_Entrada]:[TOTAL_ENTRADA]],5,FALSE)-VLOOKUP(TAB_ESTOQUE[[#This Row],[Codigo]],TAB_SAIDA[[COD_2_SAIDA]:[TOTAL_SAIDA]],5,FALSE)</f>
        <v>5</v>
      </c>
      <c r="R130" s="180"/>
      <c r="S130" s="180"/>
      <c r="T130" s="108">
        <v>245.65</v>
      </c>
      <c r="U130" s="109">
        <f>TAB_ESTOQUE[[#This Row],[Valor Unitario Estimado]]*TAB_ESTOQUE[[#This Row],[Estoque]]</f>
        <v>1228.25</v>
      </c>
      <c r="V130" s="109"/>
      <c r="W130" s="181"/>
      <c r="X130" s="181"/>
      <c r="Y130" s="181"/>
      <c r="Z130" s="181"/>
      <c r="AA130" s="181"/>
      <c r="AB130" s="181" t="str">
        <f>IF(TAB_ESTOQUE[[#This Row],[Estoque]]=0,"Estoque Não Conforme",IF(TAB_ESTOQUE[[#This Row],[Estoque]]&gt;=TAB_ESTOQUE[[#This Row],[Mínimo]],"Estoque Conforme",IF(TAB_ESTOQUE[[#This Row],[Estoque]]&lt;TAB_ESTOQUE[[#This Row],[Mínimo]],"Estoque em Nivel Minimo")))</f>
        <v>Estoque Conforme</v>
      </c>
      <c r="AC130" s="181"/>
      <c r="AD130" s="178"/>
      <c r="AE130" s="82"/>
      <c r="AF130" s="82"/>
    </row>
    <row r="131" spans="1:32" ht="15" customHeight="1" x14ac:dyDescent="0.25">
      <c r="A131" s="106" t="s">
        <v>1159</v>
      </c>
      <c r="B131" s="106"/>
      <c r="C131" s="116" t="s">
        <v>2833</v>
      </c>
      <c r="D131" s="106" t="s">
        <v>2653</v>
      </c>
      <c r="E131" s="116"/>
      <c r="F131" s="118"/>
      <c r="G131" s="95"/>
      <c r="H131" s="95"/>
      <c r="I131" s="95" t="s">
        <v>1352</v>
      </c>
      <c r="J131" s="95"/>
      <c r="K131" s="95"/>
      <c r="L131" s="95"/>
      <c r="M131" s="95"/>
      <c r="N131" s="95"/>
      <c r="O131" s="118" t="s">
        <v>6251</v>
      </c>
      <c r="P131" s="95" t="s">
        <v>1177</v>
      </c>
      <c r="Q131" s="154">
        <f>VLOOKUP(TAB_ESTOQUE[[#This Row],[Codigo]],TAB_ENTRADA[[Cod_2_Entrada]:[TOTAL_ENTRADA]],5,FALSE)-VLOOKUP(TAB_ESTOQUE[[#This Row],[Codigo]],TAB_SAIDA[[COD_2_SAIDA]:[TOTAL_SAIDA]],5,FALSE)</f>
        <v>1</v>
      </c>
      <c r="R131" s="118"/>
      <c r="S131" s="118"/>
      <c r="T131" s="119"/>
      <c r="U131" s="112">
        <f>TAB_ESTOQUE[[#This Row],[Valor Unitario Estimado]]*TAB_ESTOQUE[[#This Row],[Estoque]]</f>
        <v>0</v>
      </c>
      <c r="V131" s="112"/>
      <c r="W131" s="120"/>
      <c r="X131" s="120"/>
      <c r="Y131" s="120"/>
      <c r="Z131" s="120"/>
      <c r="AA131" s="120"/>
      <c r="AB131" s="120" t="str">
        <f>IF(TAB_ESTOQUE[[#This Row],[Estoque]]=0,"Estoque Não Conforme",IF(TAB_ESTOQUE[[#This Row],[Estoque]]&gt;=TAB_ESTOQUE[[#This Row],[Mínimo]],"Estoque Conforme",IF(TAB_ESTOQUE[[#This Row],[Estoque]]&lt;TAB_ESTOQUE[[#This Row],[Mínimo]],"Estoque em Nivel Minimo")))</f>
        <v>Estoque Conforme</v>
      </c>
      <c r="AC131" s="120"/>
      <c r="AD131" s="95"/>
      <c r="AE131" s="82"/>
      <c r="AF131" s="82"/>
    </row>
    <row r="132" spans="1:32" s="106" customFormat="1" ht="15" customHeight="1" x14ac:dyDescent="0.25">
      <c r="A132" s="45"/>
      <c r="B132" s="47"/>
      <c r="C132" s="53" t="s">
        <v>2838</v>
      </c>
      <c r="D132" s="45" t="s">
        <v>2701</v>
      </c>
      <c r="E132" s="46" t="s">
        <v>116</v>
      </c>
      <c r="F132" s="87"/>
      <c r="G132" s="82"/>
      <c r="H132" s="82"/>
      <c r="I132" s="82" t="s">
        <v>2872</v>
      </c>
      <c r="J132" s="82"/>
      <c r="K132" s="82"/>
      <c r="L132" s="82"/>
      <c r="M132" s="82"/>
      <c r="N132" s="82"/>
      <c r="O132" s="87" t="s">
        <v>6251</v>
      </c>
      <c r="P132" s="95" t="s">
        <v>1175</v>
      </c>
      <c r="Q132" s="83">
        <f>VLOOKUP(TAB_ESTOQUE[[#This Row],[Codigo]],TAB_ENTRADA[[Cod_2_Entrada]:[TOTAL_ENTRADA]],5,FALSE)-VLOOKUP(TAB_ESTOQUE[[#This Row],[Codigo]],TAB_SAIDA[[COD_2_SAIDA]:[TOTAL_SAIDA]],5,FALSE)</f>
        <v>0</v>
      </c>
      <c r="R132" s="87"/>
      <c r="S132" s="87"/>
      <c r="T132" s="90">
        <v>280.3</v>
      </c>
      <c r="U132" s="91">
        <f>TAB_ESTOQUE[[#This Row],[Valor Unitario Estimado]]*TAB_ESTOQUE[[#This Row],[Estoque]]</f>
        <v>0</v>
      </c>
      <c r="V132" s="91"/>
      <c r="W132" s="85"/>
      <c r="X132" s="85"/>
      <c r="Y132" s="85"/>
      <c r="Z132" s="85"/>
      <c r="AA132" s="85"/>
      <c r="AB132" s="96" t="str">
        <f>IF(TAB_ESTOQUE[[#This Row],[Estoque]]=0,"Estoque Não Conforme",IF(TAB_ESTOQUE[[#This Row],[Estoque]]&gt;=TAB_ESTOQUE[[#This Row],[Mínimo]],"Estoque Conforme",IF(TAB_ESTOQUE[[#This Row],[Estoque]]&lt;TAB_ESTOQUE[[#This Row],[Mínimo]],"Estoque em Nivel Minimo")))</f>
        <v>Estoque Não Conforme</v>
      </c>
      <c r="AC132" s="85"/>
      <c r="AD132" s="82"/>
      <c r="AE132" s="95"/>
      <c r="AF132" s="95"/>
    </row>
    <row r="133" spans="1:32" ht="15" customHeight="1" x14ac:dyDescent="0.25">
      <c r="C133" s="121" t="s">
        <v>2833</v>
      </c>
      <c r="D133" s="45" t="s">
        <v>6811</v>
      </c>
      <c r="E133" s="46" t="s">
        <v>116</v>
      </c>
      <c r="F133" s="46"/>
      <c r="I133" s="45" t="s">
        <v>7129</v>
      </c>
      <c r="O133" s="46" t="s">
        <v>6251</v>
      </c>
      <c r="Q133" s="83">
        <f>VLOOKUP(TAB_ESTOQUE[[#This Row],[Codigo]],TAB_ENTRADA[[Cod_2_Entrada]:[TOTAL_ENTRADA]],5,FALSE)-VLOOKUP(TAB_ESTOQUE[[#This Row],[Codigo]],TAB_SAIDA[[COD_2_SAIDA]:[TOTAL_SAIDA]],5,FALSE)</f>
        <v>0</v>
      </c>
      <c r="S133" s="46"/>
      <c r="T133" s="102">
        <v>205.2</v>
      </c>
      <c r="U133" s="103">
        <f>TAB_ESTOQUE[[#This Row],[Valor Unitario Estimado]]*TAB_ESTOQUE[[#This Row],[Estoque]]</f>
        <v>0</v>
      </c>
      <c r="V133" s="103"/>
      <c r="Y133" s="123"/>
      <c r="Z133" s="136"/>
      <c r="AA133" s="135"/>
      <c r="AB133" s="104" t="str">
        <f>IF(TAB_ESTOQUE[[#This Row],[Estoque]]=0,"Estoque Não Conforme",IF(TAB_ESTOQUE[[#This Row],[Estoque]]&gt;=TAB_ESTOQUE[[#This Row],[Mínimo]],"Estoque Conforme",IF(TAB_ESTOQUE[[#This Row],[Estoque]]&lt;TAB_ESTOQUE[[#This Row],[Mínimo]],"Estoque em Nivel Minimo")))</f>
        <v>Estoque Não Conforme</v>
      </c>
      <c r="AC133" s="104"/>
      <c r="AE133" s="82"/>
      <c r="AF133" s="82"/>
    </row>
    <row r="134" spans="1:32" ht="15" customHeight="1" x14ac:dyDescent="0.25">
      <c r="C134" s="105" t="s">
        <v>2838</v>
      </c>
      <c r="D134" s="45" t="s">
        <v>6842</v>
      </c>
      <c r="E134" s="46"/>
      <c r="F134" s="46"/>
      <c r="I134" s="45" t="s">
        <v>7181</v>
      </c>
      <c r="O134" s="46" t="s">
        <v>6251</v>
      </c>
      <c r="Q134" s="137">
        <f>VLOOKUP(TAB_ESTOQUE[[#This Row],[Codigo]],TAB_ENTRADA[[Cod_2_Entrada]:[TOTAL_ENTRADA]],5,FALSE)-VLOOKUP(TAB_ESTOQUE[[#This Row],[Codigo]],TAB_SAIDA[[COD_2_SAIDA]:[TOTAL_SAIDA]],5,FALSE)</f>
        <v>0</v>
      </c>
      <c r="S134" s="46"/>
      <c r="T134" s="102">
        <v>287.3</v>
      </c>
      <c r="U134" s="103">
        <f>TAB_ESTOQUE[[#This Row],[Valor Unitario Estimado]]*TAB_ESTOQUE[[#This Row],[Estoque]]</f>
        <v>0</v>
      </c>
      <c r="V134" s="103"/>
      <c r="AA134" s="138"/>
      <c r="AB134" s="104" t="str">
        <f>IF(TAB_ESTOQUE[[#This Row],[Estoque]]=0,"Estoque Não Conforme",IF(TAB_ESTOQUE[[#This Row],[Estoque]]&gt;=TAB_ESTOQUE[[#This Row],[Mínimo]],"Estoque Conforme",IF(TAB_ESTOQUE[[#This Row],[Estoque]]&lt;TAB_ESTOQUE[[#This Row],[Mínimo]],"Estoque em Nivel Minimo")))</f>
        <v>Estoque Não Conforme</v>
      </c>
      <c r="AC134" s="104"/>
      <c r="AE134" s="82"/>
      <c r="AF134" s="82"/>
    </row>
    <row r="135" spans="1:32" ht="14.25" customHeight="1" x14ac:dyDescent="0.25">
      <c r="C135" s="48"/>
      <c r="D135" s="45" t="s">
        <v>6925</v>
      </c>
      <c r="E135" s="46"/>
      <c r="F135" s="46"/>
      <c r="I135" s="45" t="s">
        <v>7204</v>
      </c>
      <c r="O135" s="46" t="s">
        <v>6251</v>
      </c>
      <c r="Q135" s="137">
        <f>VLOOKUP(TAB_ESTOQUE[[#This Row],[Codigo]],TAB_ENTRADA[[Cod_2_Entrada]:[TOTAL_ENTRADA]],5,FALSE)-VLOOKUP(TAB_ESTOQUE[[#This Row],[Codigo]],TAB_SAIDA[[COD_2_SAIDA]:[TOTAL_SAIDA]],5,FALSE)</f>
        <v>0</v>
      </c>
      <c r="S135" s="46"/>
      <c r="T135" s="102">
        <v>116.89</v>
      </c>
      <c r="U135" s="103">
        <f>TAB_ESTOQUE[[#This Row],[Valor Unitario Estimado]]*TAB_ESTOQUE[[#This Row],[Estoque]]</f>
        <v>0</v>
      </c>
      <c r="V135" s="103"/>
      <c r="AA135" s="138"/>
      <c r="AB135" s="104" t="str">
        <f>IF(TAB_ESTOQUE[[#This Row],[Estoque]]=0,"Estoque Não Conforme",IF(TAB_ESTOQUE[[#This Row],[Estoque]]&gt;=TAB_ESTOQUE[[#This Row],[Mínimo]],"Estoque Conforme",IF(TAB_ESTOQUE[[#This Row],[Estoque]]&lt;TAB_ESTOQUE[[#This Row],[Mínimo]],"Estoque em Nivel Minimo")))</f>
        <v>Estoque Não Conforme</v>
      </c>
      <c r="AC135" s="104"/>
      <c r="AE135" s="82"/>
      <c r="AF135" s="82"/>
    </row>
    <row r="136" spans="1:32" ht="15" customHeight="1" x14ac:dyDescent="0.25">
      <c r="C136" s="48"/>
      <c r="D136" s="45" t="s">
        <v>6926</v>
      </c>
      <c r="E136" s="46"/>
      <c r="F136" s="46"/>
      <c r="I136" s="210" t="s">
        <v>7205</v>
      </c>
      <c r="O136" s="46" t="s">
        <v>6251</v>
      </c>
      <c r="Q136" s="137">
        <f>VLOOKUP(TAB_ESTOQUE[[#This Row],[Codigo]],TAB_ENTRADA[[Cod_2_Entrada]:[TOTAL_ENTRADA]],5,FALSE)-VLOOKUP(TAB_ESTOQUE[[#This Row],[Codigo]],TAB_SAIDA[[COD_2_SAIDA]:[TOTAL_SAIDA]],5,FALSE)</f>
        <v>1</v>
      </c>
      <c r="S136" s="46"/>
      <c r="T136" s="102">
        <v>783.3</v>
      </c>
      <c r="U136" s="103">
        <f>TAB_ESTOQUE[[#This Row],[Valor Unitario Estimado]]*TAB_ESTOQUE[[#This Row],[Estoque]]</f>
        <v>783.3</v>
      </c>
      <c r="V136" s="103"/>
      <c r="AA136" s="138"/>
      <c r="AB136" s="104" t="str">
        <f>IF(TAB_ESTOQUE[[#This Row],[Estoque]]=0,"Estoque Não Conforme",IF(TAB_ESTOQUE[[#This Row],[Estoque]]&gt;=TAB_ESTOQUE[[#This Row],[Mínimo]],"Estoque Conforme",IF(TAB_ESTOQUE[[#This Row],[Estoque]]&lt;TAB_ESTOQUE[[#This Row],[Mínimo]],"Estoque em Nivel Minimo")))</f>
        <v>Estoque Conforme</v>
      </c>
      <c r="AC136" s="104"/>
      <c r="AE136" s="82"/>
      <c r="AF136" s="82"/>
    </row>
    <row r="137" spans="1:32" ht="15" customHeight="1" x14ac:dyDescent="0.25">
      <c r="C137" s="48"/>
      <c r="D137" s="45" t="s">
        <v>7080</v>
      </c>
      <c r="E137" s="46"/>
      <c r="F137" s="46"/>
      <c r="I137" s="45" t="s">
        <v>7464</v>
      </c>
      <c r="O137" s="46" t="s">
        <v>6251</v>
      </c>
      <c r="Q137" s="137">
        <f>VLOOKUP(TAB_ESTOQUE[[#This Row],[Codigo]],TAB_ENTRADA[[Cod_2_Entrada]:[TOTAL_ENTRADA]],5,FALSE)-VLOOKUP(TAB_ESTOQUE[[#This Row],[Codigo]],TAB_SAIDA[[COD_2_SAIDA]:[TOTAL_SAIDA]],5,FALSE)</f>
        <v>3</v>
      </c>
      <c r="S137" s="46"/>
      <c r="T137" s="102">
        <v>320.89999999999998</v>
      </c>
      <c r="U137" s="103">
        <f>TAB_ESTOQUE[[#This Row],[Valor Unitario Estimado]]*TAB_ESTOQUE[[#This Row],[Estoque]]</f>
        <v>962.69999999999993</v>
      </c>
      <c r="V137" s="103"/>
      <c r="AA137" s="138"/>
      <c r="AB137" s="104" t="str">
        <f>IF(TAB_ESTOQUE[[#This Row],[Estoque]]=0,"Estoque Não Conforme",IF(TAB_ESTOQUE[[#This Row],[Estoque]]&gt;=TAB_ESTOQUE[[#This Row],[Mínimo]],"Estoque Conforme",IF(TAB_ESTOQUE[[#This Row],[Estoque]]&lt;TAB_ESTOQUE[[#This Row],[Mínimo]],"Estoque em Nivel Minimo")))</f>
        <v>Estoque Conforme</v>
      </c>
      <c r="AC137" s="104"/>
      <c r="AE137" s="82"/>
      <c r="AF137" s="82"/>
    </row>
    <row r="138" spans="1:32" ht="15" customHeight="1" x14ac:dyDescent="0.25">
      <c r="C138" s="48"/>
      <c r="D138" s="45" t="s">
        <v>7081</v>
      </c>
      <c r="E138" s="46"/>
      <c r="F138" s="46"/>
      <c r="I138" s="45" t="s">
        <v>7671</v>
      </c>
      <c r="O138" s="46" t="s">
        <v>6251</v>
      </c>
      <c r="Q138" s="137">
        <f>VLOOKUP(TAB_ESTOQUE[[#This Row],[Codigo]],TAB_ENTRADA[[Cod_2_Entrada]:[TOTAL_ENTRADA]],5,FALSE)-VLOOKUP(TAB_ESTOQUE[[#This Row],[Codigo]],TAB_SAIDA[[COD_2_SAIDA]:[TOTAL_SAIDA]],5,FALSE)</f>
        <v>4</v>
      </c>
      <c r="S138" s="46"/>
      <c r="T138" s="102">
        <v>215.82</v>
      </c>
      <c r="U138" s="103">
        <f>TAB_ESTOQUE[[#This Row],[Valor Unitario Estimado]]*TAB_ESTOQUE[[#This Row],[Estoque]]</f>
        <v>863.28</v>
      </c>
      <c r="V138" s="103"/>
      <c r="AA138" s="138"/>
      <c r="AB138" s="104" t="str">
        <f>IF(TAB_ESTOQUE[[#This Row],[Estoque]]=0,"Estoque Não Conforme",IF(TAB_ESTOQUE[[#This Row],[Estoque]]&gt;=TAB_ESTOQUE[[#This Row],[Mínimo]],"Estoque Conforme",IF(TAB_ESTOQUE[[#This Row],[Estoque]]&lt;TAB_ESTOQUE[[#This Row],[Mínimo]],"Estoque em Nivel Minimo")))</f>
        <v>Estoque Conforme</v>
      </c>
      <c r="AC138" s="104"/>
      <c r="AE138" s="82"/>
      <c r="AF138" s="82"/>
    </row>
    <row r="139" spans="1:32" ht="15" customHeight="1" x14ac:dyDescent="0.25">
      <c r="A139" s="45">
        <v>1310</v>
      </c>
      <c r="B139" s="47"/>
      <c r="C139" s="46" t="s">
        <v>2838</v>
      </c>
      <c r="D139" s="45" t="s">
        <v>1702</v>
      </c>
      <c r="E139" s="46"/>
      <c r="F139" s="87"/>
      <c r="G139" s="82"/>
      <c r="H139" s="82"/>
      <c r="I139" s="82" t="s">
        <v>6311</v>
      </c>
      <c r="J139" s="82"/>
      <c r="K139" s="82"/>
      <c r="L139" s="82"/>
      <c r="M139" s="82"/>
      <c r="N139" s="82"/>
      <c r="O139" s="87" t="s">
        <v>6306</v>
      </c>
      <c r="P139" s="82" t="s">
        <v>1038</v>
      </c>
      <c r="Q139" s="83">
        <f>VLOOKUP(TAB_ESTOQUE[[#This Row],[Codigo]],TAB_ENTRADA[[Cod_2_Entrada]:[TOTAL_ENTRADA]],5,FALSE)-VLOOKUP(TAB_ESTOQUE[[#This Row],[Codigo]],TAB_SAIDA[[COD_2_SAIDA]:[TOTAL_SAIDA]],5,FALSE)</f>
        <v>3</v>
      </c>
      <c r="R139" s="87"/>
      <c r="S139" s="87"/>
      <c r="T139" s="90">
        <v>214</v>
      </c>
      <c r="U139" s="91">
        <f>TAB_ESTOQUE[[#This Row],[Valor Unitario Estimado]]*TAB_ESTOQUE[[#This Row],[Estoque]]</f>
        <v>642</v>
      </c>
      <c r="V139" s="91"/>
      <c r="W139" s="85"/>
      <c r="X139" s="85"/>
      <c r="Y139" s="85"/>
      <c r="Z139" s="85"/>
      <c r="AA139" s="85"/>
      <c r="AB139" s="85" t="str">
        <f>IF(TAB_ESTOQUE[[#This Row],[Estoque]]=0,"Estoque Não Conforme",IF(TAB_ESTOQUE[[#This Row],[Estoque]]&gt;=TAB_ESTOQUE[[#This Row],[Mínimo]],"Estoque Conforme",IF(TAB_ESTOQUE[[#This Row],[Estoque]]&lt;TAB_ESTOQUE[[#This Row],[Mínimo]],"Estoque em Nivel Minimo")))</f>
        <v>Estoque Conforme</v>
      </c>
      <c r="AC139" s="85"/>
      <c r="AD139" s="82"/>
      <c r="AE139" s="82"/>
      <c r="AF139" s="82"/>
    </row>
    <row r="140" spans="1:32" s="106" customFormat="1" ht="15" customHeight="1" x14ac:dyDescent="0.25">
      <c r="A140" s="45">
        <v>1314</v>
      </c>
      <c r="B140" s="47"/>
      <c r="C140" s="46" t="s">
        <v>2838</v>
      </c>
      <c r="D140" s="45" t="s">
        <v>1704</v>
      </c>
      <c r="E140" s="46" t="s">
        <v>7</v>
      </c>
      <c r="F140" s="87"/>
      <c r="G140" s="82"/>
      <c r="H140" s="82"/>
      <c r="I140" s="82" t="s">
        <v>7767</v>
      </c>
      <c r="J140" s="82"/>
      <c r="K140" s="82"/>
      <c r="L140" s="82"/>
      <c r="M140" s="82"/>
      <c r="N140" s="82"/>
      <c r="O140" s="87" t="s">
        <v>6306</v>
      </c>
      <c r="P140" s="82" t="s">
        <v>1048</v>
      </c>
      <c r="Q140" s="83">
        <f>VLOOKUP(TAB_ESTOQUE[[#This Row],[Codigo]],TAB_ENTRADA[[Cod_2_Entrada]:[TOTAL_ENTRADA]],5,FALSE)-VLOOKUP(TAB_ESTOQUE[[#This Row],[Codigo]],TAB_SAIDA[[COD_2_SAIDA]:[TOTAL_SAIDA]],5,FALSE)</f>
        <v>1</v>
      </c>
      <c r="R140" s="87"/>
      <c r="S140" s="87"/>
      <c r="T140" s="90">
        <v>72</v>
      </c>
      <c r="U140" s="91">
        <f>TAB_ESTOQUE[[#This Row],[Valor Unitario Estimado]]*TAB_ESTOQUE[[#This Row],[Estoque]]</f>
        <v>72</v>
      </c>
      <c r="V140" s="91"/>
      <c r="W140" s="85"/>
      <c r="X140" s="85"/>
      <c r="Y140" s="85"/>
      <c r="Z140" s="85"/>
      <c r="AA140" s="85"/>
      <c r="AB140" s="85" t="str">
        <f>IF(TAB_ESTOQUE[[#This Row],[Estoque]]=0,"Estoque Não Conforme",IF(TAB_ESTOQUE[[#This Row],[Estoque]]&gt;=TAB_ESTOQUE[[#This Row],[Mínimo]],"Estoque Conforme",IF(TAB_ESTOQUE[[#This Row],[Estoque]]&lt;TAB_ESTOQUE[[#This Row],[Mínimo]],"Estoque em Nivel Minimo")))</f>
        <v>Estoque Conforme</v>
      </c>
      <c r="AC140" s="85"/>
      <c r="AD140" s="82"/>
      <c r="AE140" s="95"/>
      <c r="AF140" s="95"/>
    </row>
    <row r="141" spans="1:32" ht="14.25" customHeight="1" x14ac:dyDescent="0.25">
      <c r="A141" s="45">
        <v>1686</v>
      </c>
      <c r="B141" s="47"/>
      <c r="C141" s="46" t="s">
        <v>2833</v>
      </c>
      <c r="D141" s="45" t="s">
        <v>1706</v>
      </c>
      <c r="E141" s="46" t="s">
        <v>7</v>
      </c>
      <c r="F141" s="87"/>
      <c r="G141" s="82"/>
      <c r="H141" s="82"/>
      <c r="I141" s="82" t="s">
        <v>6309</v>
      </c>
      <c r="J141" s="82"/>
      <c r="K141" s="82"/>
      <c r="L141" s="82"/>
      <c r="M141" s="82"/>
      <c r="N141" s="82"/>
      <c r="O141" s="87" t="s">
        <v>6306</v>
      </c>
      <c r="P141" s="82" t="s">
        <v>1117</v>
      </c>
      <c r="Q141" s="83">
        <f>VLOOKUP(TAB_ESTOQUE[[#This Row],[Codigo]],TAB_ENTRADA[[Cod_2_Entrada]:[TOTAL_ENTRADA]],5,FALSE)-VLOOKUP(TAB_ESTOQUE[[#This Row],[Codigo]],TAB_SAIDA[[COD_2_SAIDA]:[TOTAL_SAIDA]],5,FALSE)</f>
        <v>10</v>
      </c>
      <c r="R141" s="87"/>
      <c r="S141" s="87"/>
      <c r="T141" s="90">
        <v>110</v>
      </c>
      <c r="U141" s="91">
        <f>TAB_ESTOQUE[[#This Row],[Valor Unitario Estimado]]*TAB_ESTOQUE[[#This Row],[Estoque]]</f>
        <v>1100</v>
      </c>
      <c r="V141" s="91"/>
      <c r="W141" s="85"/>
      <c r="X141" s="85"/>
      <c r="Y141" s="85"/>
      <c r="Z141" s="85"/>
      <c r="AA141" s="85"/>
      <c r="AB141" s="85" t="str">
        <f>IF(TAB_ESTOQUE[[#This Row],[Estoque]]=0,"Estoque Não Conforme",IF(TAB_ESTOQUE[[#This Row],[Estoque]]&gt;=TAB_ESTOQUE[[#This Row],[Mínimo]],"Estoque Conforme",IF(TAB_ESTOQUE[[#This Row],[Estoque]]&lt;TAB_ESTOQUE[[#This Row],[Mínimo]],"Estoque em Nivel Minimo")))</f>
        <v>Estoque Conforme</v>
      </c>
      <c r="AC141" s="85"/>
      <c r="AD141" s="82"/>
      <c r="AE141" s="82"/>
      <c r="AF141" s="82"/>
    </row>
    <row r="142" spans="1:32" ht="15" customHeight="1" x14ac:dyDescent="0.25">
      <c r="A142" s="45">
        <v>1688</v>
      </c>
      <c r="B142" s="47"/>
      <c r="C142" s="46" t="s">
        <v>2833</v>
      </c>
      <c r="D142" s="45" t="s">
        <v>1710</v>
      </c>
      <c r="E142" s="46"/>
      <c r="F142" s="87"/>
      <c r="G142" s="82"/>
      <c r="H142" s="82"/>
      <c r="I142" s="82" t="s">
        <v>7769</v>
      </c>
      <c r="J142" s="82"/>
      <c r="K142" s="82"/>
      <c r="L142" s="82"/>
      <c r="M142" s="82"/>
      <c r="N142" s="82"/>
      <c r="O142" s="87" t="s">
        <v>6306</v>
      </c>
      <c r="P142" s="82" t="s">
        <v>1119</v>
      </c>
      <c r="Q142" s="83">
        <f>VLOOKUP(TAB_ESTOQUE[[#This Row],[Codigo]],TAB_ENTRADA[[Cod_2_Entrada]:[TOTAL_ENTRADA]],5,FALSE)-VLOOKUP(TAB_ESTOQUE[[#This Row],[Codigo]],TAB_SAIDA[[COD_2_SAIDA]:[TOTAL_SAIDA]],5,FALSE)</f>
        <v>4</v>
      </c>
      <c r="R142" s="87"/>
      <c r="S142" s="87"/>
      <c r="T142" s="90">
        <v>180</v>
      </c>
      <c r="U142" s="91">
        <f>TAB_ESTOQUE[[#This Row],[Valor Unitario Estimado]]*TAB_ESTOQUE[[#This Row],[Estoque]]</f>
        <v>720</v>
      </c>
      <c r="V142" s="91"/>
      <c r="W142" s="85"/>
      <c r="X142" s="85"/>
      <c r="Y142" s="85"/>
      <c r="Z142" s="85"/>
      <c r="AA142" s="85"/>
      <c r="AB142" s="85" t="str">
        <f>IF(TAB_ESTOQUE[[#This Row],[Estoque]]=0,"Estoque Não Conforme",IF(TAB_ESTOQUE[[#This Row],[Estoque]]&gt;=TAB_ESTOQUE[[#This Row],[Mínimo]],"Estoque Conforme",IF(TAB_ESTOQUE[[#This Row],[Estoque]]&lt;TAB_ESTOQUE[[#This Row],[Mínimo]],"Estoque em Nivel Minimo")))</f>
        <v>Estoque Conforme</v>
      </c>
      <c r="AC142" s="85"/>
      <c r="AD142" s="82"/>
      <c r="AE142" s="82"/>
      <c r="AF142" s="82"/>
    </row>
    <row r="143" spans="1:32" ht="15" customHeight="1" x14ac:dyDescent="0.25">
      <c r="A143" s="45">
        <v>1689</v>
      </c>
      <c r="B143" s="47"/>
      <c r="C143" s="46" t="s">
        <v>2833</v>
      </c>
      <c r="D143" s="45" t="s">
        <v>1712</v>
      </c>
      <c r="E143" s="46"/>
      <c r="F143" s="87"/>
      <c r="G143" s="82"/>
      <c r="H143" s="82"/>
      <c r="I143" s="82" t="s">
        <v>6317</v>
      </c>
      <c r="J143" s="82"/>
      <c r="K143" s="82"/>
      <c r="L143" s="82"/>
      <c r="M143" s="82"/>
      <c r="N143" s="82"/>
      <c r="O143" s="87" t="s">
        <v>6306</v>
      </c>
      <c r="P143" s="82" t="s">
        <v>1120</v>
      </c>
      <c r="Q143" s="83">
        <f>VLOOKUP(TAB_ESTOQUE[[#This Row],[Codigo]],TAB_ENTRADA[[Cod_2_Entrada]:[TOTAL_ENTRADA]],5,FALSE)-VLOOKUP(TAB_ESTOQUE[[#This Row],[Codigo]],TAB_SAIDA[[COD_2_SAIDA]:[TOTAL_SAIDA]],5,FALSE)</f>
        <v>2</v>
      </c>
      <c r="R143" s="87"/>
      <c r="S143" s="87"/>
      <c r="T143" s="90">
        <v>85.75</v>
      </c>
      <c r="U143" s="91">
        <f>TAB_ESTOQUE[[#This Row],[Valor Unitario Estimado]]*TAB_ESTOQUE[[#This Row],[Estoque]]</f>
        <v>171.5</v>
      </c>
      <c r="V143" s="91"/>
      <c r="W143" s="85"/>
      <c r="X143" s="85"/>
      <c r="Y143" s="85"/>
      <c r="Z143" s="85"/>
      <c r="AA143" s="85"/>
      <c r="AB143" s="85" t="str">
        <f>IF(TAB_ESTOQUE[[#This Row],[Estoque]]=0,"Estoque Não Conforme",IF(TAB_ESTOQUE[[#This Row],[Estoque]]&gt;=TAB_ESTOQUE[[#This Row],[Mínimo]],"Estoque Conforme",IF(TAB_ESTOQUE[[#This Row],[Estoque]]&lt;TAB_ESTOQUE[[#This Row],[Mínimo]],"Estoque em Nivel Minimo")))</f>
        <v>Estoque Conforme</v>
      </c>
      <c r="AC143" s="85"/>
      <c r="AD143" s="82"/>
      <c r="AE143" s="82"/>
      <c r="AF143" s="82"/>
    </row>
    <row r="144" spans="1:32" ht="15" customHeight="1" x14ac:dyDescent="0.25">
      <c r="A144" s="45">
        <v>1690</v>
      </c>
      <c r="B144" s="47"/>
      <c r="C144" s="46" t="s">
        <v>2833</v>
      </c>
      <c r="D144" s="45" t="s">
        <v>1714</v>
      </c>
      <c r="E144" s="46"/>
      <c r="F144" s="87"/>
      <c r="G144" s="82"/>
      <c r="H144" s="82"/>
      <c r="I144" s="82" t="s">
        <v>6320</v>
      </c>
      <c r="J144" s="82"/>
      <c r="K144" s="82"/>
      <c r="L144" s="82"/>
      <c r="M144" s="82"/>
      <c r="N144" s="82"/>
      <c r="O144" s="87" t="s">
        <v>6306</v>
      </c>
      <c r="P144" s="82" t="s">
        <v>1121</v>
      </c>
      <c r="Q144" s="83">
        <f>VLOOKUP(TAB_ESTOQUE[[#This Row],[Codigo]],TAB_ENTRADA[[Cod_2_Entrada]:[TOTAL_ENTRADA]],5,FALSE)-VLOOKUP(TAB_ESTOQUE[[#This Row],[Codigo]],TAB_SAIDA[[COD_2_SAIDA]:[TOTAL_SAIDA]],5,FALSE)</f>
        <v>3</v>
      </c>
      <c r="R144" s="87"/>
      <c r="S144" s="87"/>
      <c r="T144" s="90">
        <v>150</v>
      </c>
      <c r="U144" s="91">
        <f>TAB_ESTOQUE[[#This Row],[Valor Unitario Estimado]]*TAB_ESTOQUE[[#This Row],[Estoque]]</f>
        <v>450</v>
      </c>
      <c r="V144" s="91"/>
      <c r="W144" s="85"/>
      <c r="X144" s="85"/>
      <c r="Y144" s="85"/>
      <c r="Z144" s="85"/>
      <c r="AA144" s="85"/>
      <c r="AB144" s="85" t="str">
        <f>IF(TAB_ESTOQUE[[#This Row],[Estoque]]=0,"Estoque Não Conforme",IF(TAB_ESTOQUE[[#This Row],[Estoque]]&gt;=TAB_ESTOQUE[[#This Row],[Mínimo]],"Estoque Conforme",IF(TAB_ESTOQUE[[#This Row],[Estoque]]&lt;TAB_ESTOQUE[[#This Row],[Mínimo]],"Estoque em Nivel Minimo")))</f>
        <v>Estoque Conforme</v>
      </c>
      <c r="AC144" s="85"/>
      <c r="AD144" s="82"/>
      <c r="AE144" s="82"/>
      <c r="AF144" s="82"/>
    </row>
    <row r="145" spans="1:32" ht="15" customHeight="1" x14ac:dyDescent="0.25">
      <c r="A145" s="45">
        <v>493</v>
      </c>
      <c r="B145" s="47"/>
      <c r="C145" s="46"/>
      <c r="D145" s="45" t="s">
        <v>2083</v>
      </c>
      <c r="E145" s="46" t="s">
        <v>7</v>
      </c>
      <c r="F145" s="87"/>
      <c r="G145" s="82"/>
      <c r="H145" s="82"/>
      <c r="I145" s="82" t="s">
        <v>7973</v>
      </c>
      <c r="J145" s="82"/>
      <c r="K145" s="82"/>
      <c r="L145" s="82"/>
      <c r="M145" s="82" t="s">
        <v>139</v>
      </c>
      <c r="N145" s="82"/>
      <c r="O145" s="87" t="s">
        <v>6306</v>
      </c>
      <c r="P145" s="82" t="s">
        <v>274</v>
      </c>
      <c r="Q145" s="83">
        <f>VLOOKUP(TAB_ESTOQUE[[#This Row],[Codigo]],TAB_ENTRADA[[Cod_2_Entrada]:[TOTAL_ENTRADA]],5,FALSE)-VLOOKUP(TAB_ESTOQUE[[#This Row],[Codigo]],TAB_SAIDA[[COD_2_SAIDA]:[TOTAL_SAIDA]],5,FALSE)</f>
        <v>3</v>
      </c>
      <c r="R145" s="87"/>
      <c r="S145" s="87"/>
      <c r="T145" s="90"/>
      <c r="U145" s="91">
        <f>TAB_ESTOQUE[[#This Row],[Valor Unitario Estimado]]*TAB_ESTOQUE[[#This Row],[Estoque]]</f>
        <v>0</v>
      </c>
      <c r="V145" s="91"/>
      <c r="W145" s="85"/>
      <c r="X145" s="85"/>
      <c r="Y145" s="85"/>
      <c r="Z145" s="85"/>
      <c r="AA145" s="85"/>
      <c r="AB145" s="85" t="str">
        <f>IF(TAB_ESTOQUE[[#This Row],[Estoque]]=0,"Estoque Não Conforme",IF(TAB_ESTOQUE[[#This Row],[Estoque]]&gt;=TAB_ESTOQUE[[#This Row],[Mínimo]],"Estoque Conforme",IF(TAB_ESTOQUE[[#This Row],[Estoque]]&lt;TAB_ESTOQUE[[#This Row],[Mínimo]],"Estoque em Nivel Minimo")))</f>
        <v>Estoque Conforme</v>
      </c>
      <c r="AC145" s="85"/>
      <c r="AD145" s="82"/>
      <c r="AE145" s="82"/>
      <c r="AF145" s="82"/>
    </row>
    <row r="146" spans="1:32" ht="15" customHeight="1" x14ac:dyDescent="0.25">
      <c r="A146" s="106">
        <v>1112</v>
      </c>
      <c r="B146" s="106"/>
      <c r="C146" s="116"/>
      <c r="D146" s="106" t="s">
        <v>2581</v>
      </c>
      <c r="E146" s="116"/>
      <c r="F146" s="118"/>
      <c r="G146" s="95"/>
      <c r="H146" s="95"/>
      <c r="I146" s="95" t="s">
        <v>7972</v>
      </c>
      <c r="J146" s="95"/>
      <c r="K146" s="95"/>
      <c r="L146" s="95"/>
      <c r="M146" s="95"/>
      <c r="N146" s="95"/>
      <c r="O146" s="118" t="s">
        <v>6306</v>
      </c>
      <c r="P146" s="95" t="s">
        <v>844</v>
      </c>
      <c r="Q146" s="154">
        <f>VLOOKUP(TAB_ESTOQUE[[#This Row],[Codigo]],TAB_ENTRADA[[Cod_2_Entrada]:[TOTAL_ENTRADA]],5,FALSE)-VLOOKUP(TAB_ESTOQUE[[#This Row],[Codigo]],TAB_SAIDA[[COD_2_SAIDA]:[TOTAL_SAIDA]],5,FALSE)</f>
        <v>2</v>
      </c>
      <c r="R146" s="118"/>
      <c r="S146" s="118"/>
      <c r="T146" s="119"/>
      <c r="U146" s="112">
        <f>TAB_ESTOQUE[[#This Row],[Valor Unitario Estimado]]*TAB_ESTOQUE[[#This Row],[Estoque]]</f>
        <v>0</v>
      </c>
      <c r="V146" s="112"/>
      <c r="W146" s="120"/>
      <c r="X146" s="120"/>
      <c r="Y146" s="120"/>
      <c r="Z146" s="120"/>
      <c r="AA146" s="120"/>
      <c r="AB146" s="120" t="str">
        <f>IF(TAB_ESTOQUE[[#This Row],[Estoque]]=0,"Estoque Não Conforme",IF(TAB_ESTOQUE[[#This Row],[Estoque]]&gt;=TAB_ESTOQUE[[#This Row],[Mínimo]],"Estoque Conforme",IF(TAB_ESTOQUE[[#This Row],[Estoque]]&lt;TAB_ESTOQUE[[#This Row],[Mínimo]],"Estoque em Nivel Minimo")))</f>
        <v>Estoque Conforme</v>
      </c>
      <c r="AC146" s="120"/>
      <c r="AD146" s="95"/>
      <c r="AE146" s="82"/>
      <c r="AF146" s="82"/>
    </row>
    <row r="147" spans="1:32" ht="15" customHeight="1" x14ac:dyDescent="0.25">
      <c r="A147" s="45" t="s">
        <v>1159</v>
      </c>
      <c r="B147" s="47"/>
      <c r="C147" s="46"/>
      <c r="D147" s="45" t="s">
        <v>2638</v>
      </c>
      <c r="E147" s="46"/>
      <c r="F147" s="87"/>
      <c r="G147" s="82"/>
      <c r="H147" s="82"/>
      <c r="I147" s="209" t="s">
        <v>6314</v>
      </c>
      <c r="J147" s="82"/>
      <c r="K147" s="82"/>
      <c r="L147" s="82"/>
      <c r="M147" s="82"/>
      <c r="N147" s="82"/>
      <c r="O147" s="87" t="s">
        <v>6306</v>
      </c>
      <c r="P147" s="94" t="s">
        <v>1200</v>
      </c>
      <c r="Q147" s="83">
        <f>VLOOKUP(TAB_ESTOQUE[[#This Row],[Codigo]],TAB_ENTRADA[[Cod_2_Entrada]:[TOTAL_ENTRADA]],5,FALSE)-VLOOKUP(TAB_ESTOQUE[[#This Row],[Codigo]],TAB_SAIDA[[COD_2_SAIDA]:[TOTAL_SAIDA]],5,FALSE)</f>
        <v>2</v>
      </c>
      <c r="R147" s="87"/>
      <c r="S147" s="87"/>
      <c r="T147" s="90"/>
      <c r="U147" s="91">
        <f>TAB_ESTOQUE[[#This Row],[Valor Unitario Estimado]]*TAB_ESTOQUE[[#This Row],[Estoque]]</f>
        <v>0</v>
      </c>
      <c r="V147" s="91"/>
      <c r="W147" s="85"/>
      <c r="X147" s="85"/>
      <c r="Y147" s="83"/>
      <c r="Z147" s="85"/>
      <c r="AA147" s="85"/>
      <c r="AB147" s="85" t="str">
        <f>IF(TAB_ESTOQUE[[#This Row],[Estoque]]=0,"Estoque Não Conforme",IF(TAB_ESTOQUE[[#This Row],[Estoque]]&gt;=TAB_ESTOQUE[[#This Row],[Mínimo]],"Estoque Conforme",IF(TAB_ESTOQUE[[#This Row],[Estoque]]&lt;TAB_ESTOQUE[[#This Row],[Mínimo]],"Estoque em Nivel Minimo")))</f>
        <v>Estoque Conforme</v>
      </c>
      <c r="AC147" s="85"/>
      <c r="AD147" s="122"/>
      <c r="AE147" s="82"/>
      <c r="AF147" s="82"/>
    </row>
    <row r="148" spans="1:32" ht="15" customHeight="1" x14ac:dyDescent="0.25">
      <c r="B148" s="47"/>
      <c r="C148" s="46"/>
      <c r="D148" s="45" t="s">
        <v>2665</v>
      </c>
      <c r="E148" s="46" t="s">
        <v>8</v>
      </c>
      <c r="F148" s="87"/>
      <c r="G148" s="82"/>
      <c r="H148" s="82"/>
      <c r="I148" s="82" t="s">
        <v>7615</v>
      </c>
      <c r="J148" s="82"/>
      <c r="K148" s="82" t="s">
        <v>13</v>
      </c>
      <c r="L148" s="82"/>
      <c r="M148" s="82"/>
      <c r="N148" s="82"/>
      <c r="O148" s="46" t="s">
        <v>6306</v>
      </c>
      <c r="P148" s="82" t="s">
        <v>1261</v>
      </c>
      <c r="Q148" s="83">
        <f>VLOOKUP(TAB_ESTOQUE[[#This Row],[Codigo]],TAB_ENTRADA[[Cod_2_Entrada]:[TOTAL_ENTRADA]],5,FALSE)-VLOOKUP(TAB_ESTOQUE[[#This Row],[Codigo]],TAB_SAIDA[[COD_2_SAIDA]:[TOTAL_SAIDA]],5,FALSE)</f>
        <v>9</v>
      </c>
      <c r="R148" s="87"/>
      <c r="S148" s="87"/>
      <c r="T148" s="90"/>
      <c r="U148" s="91">
        <f>TAB_ESTOQUE[[#This Row],[Valor Unitario Estimado]]*TAB_ESTOQUE[[#This Row],[Estoque]]</f>
        <v>0</v>
      </c>
      <c r="V148" s="91"/>
      <c r="W148" s="85"/>
      <c r="X148" s="85"/>
      <c r="Y148" s="85"/>
      <c r="Z148" s="85"/>
      <c r="AA148" s="85"/>
      <c r="AB148" s="96" t="str">
        <f>IF(TAB_ESTOQUE[[#This Row],[Estoque]]=0,"Estoque Não Conforme",IF(TAB_ESTOQUE[[#This Row],[Estoque]]&gt;=TAB_ESTOQUE[[#This Row],[Mínimo]],"Estoque Conforme",IF(TAB_ESTOQUE[[#This Row],[Estoque]]&lt;TAB_ESTOQUE[[#This Row],[Mínimo]],"Estoque em Nivel Minimo")))</f>
        <v>Estoque Conforme</v>
      </c>
      <c r="AC148" s="85"/>
      <c r="AD148" s="82"/>
      <c r="AE148" s="82"/>
      <c r="AF148" s="82"/>
    </row>
    <row r="149" spans="1:32" ht="15" customHeight="1" x14ac:dyDescent="0.25">
      <c r="B149" s="47"/>
      <c r="C149" s="46"/>
      <c r="D149" s="45" t="s">
        <v>2666</v>
      </c>
      <c r="E149" s="46" t="s">
        <v>116</v>
      </c>
      <c r="F149" s="87"/>
      <c r="G149" s="82"/>
      <c r="H149" s="82"/>
      <c r="I149" s="82" t="s">
        <v>1345</v>
      </c>
      <c r="J149" s="82"/>
      <c r="K149" s="82"/>
      <c r="L149" s="82"/>
      <c r="M149" s="82"/>
      <c r="N149" s="82"/>
      <c r="O149" s="87" t="s">
        <v>6306</v>
      </c>
      <c r="P149" s="82" t="s">
        <v>1276</v>
      </c>
      <c r="Q149" s="83">
        <f>VLOOKUP(TAB_ESTOQUE[[#This Row],[Codigo]],TAB_ENTRADA[[Cod_2_Entrada]:[TOTAL_ENTRADA]],5,FALSE)-VLOOKUP(TAB_ESTOQUE[[#This Row],[Codigo]],TAB_SAIDA[[COD_2_SAIDA]:[TOTAL_SAIDA]],5,FALSE)</f>
        <v>3</v>
      </c>
      <c r="R149" s="87"/>
      <c r="S149" s="87"/>
      <c r="T149" s="90">
        <v>78.7</v>
      </c>
      <c r="U149" s="91">
        <f>TAB_ESTOQUE[[#This Row],[Valor Unitario Estimado]]*TAB_ESTOQUE[[#This Row],[Estoque]]</f>
        <v>236.10000000000002</v>
      </c>
      <c r="V149" s="91"/>
      <c r="W149" s="85"/>
      <c r="X149" s="85"/>
      <c r="Y149" s="85"/>
      <c r="Z149" s="85"/>
      <c r="AA149" s="85"/>
      <c r="AB149" s="96" t="str">
        <f>IF(TAB_ESTOQUE[[#This Row],[Estoque]]=0,"Estoque Não Conforme",IF(TAB_ESTOQUE[[#This Row],[Estoque]]&gt;=TAB_ESTOQUE[[#This Row],[Mínimo]],"Estoque Conforme",IF(TAB_ESTOQUE[[#This Row],[Estoque]]&lt;TAB_ESTOQUE[[#This Row],[Mínimo]],"Estoque em Nivel Minimo")))</f>
        <v>Estoque Conforme</v>
      </c>
      <c r="AC149" s="85"/>
      <c r="AD149" s="82"/>
      <c r="AE149" s="82"/>
      <c r="AF149" s="82"/>
    </row>
    <row r="150" spans="1:32" ht="15" customHeight="1" x14ac:dyDescent="0.25">
      <c r="B150" s="47"/>
      <c r="C150" s="46"/>
      <c r="D150" s="45" t="s">
        <v>2710</v>
      </c>
      <c r="E150" s="46" t="s">
        <v>8</v>
      </c>
      <c r="F150" s="87"/>
      <c r="G150" s="82"/>
      <c r="H150" s="82"/>
      <c r="I150" s="82" t="s">
        <v>7614</v>
      </c>
      <c r="J150" s="82"/>
      <c r="K150" s="82"/>
      <c r="L150" s="82"/>
      <c r="M150" s="82"/>
      <c r="N150" s="82"/>
      <c r="O150" s="87" t="s">
        <v>6306</v>
      </c>
      <c r="P150" s="82" t="s">
        <v>1309</v>
      </c>
      <c r="Q150" s="83">
        <f>VLOOKUP(TAB_ESTOQUE[[#This Row],[Codigo]],TAB_ENTRADA[[Cod_2_Entrada]:[TOTAL_ENTRADA]],5,FALSE)-VLOOKUP(TAB_ESTOQUE[[#This Row],[Codigo]],TAB_SAIDA[[COD_2_SAIDA]:[TOTAL_SAIDA]],5,FALSE)</f>
        <v>9</v>
      </c>
      <c r="R150" s="87"/>
      <c r="S150" s="87"/>
      <c r="T150" s="90">
        <v>29.43</v>
      </c>
      <c r="U150" s="91">
        <f>TAB_ESTOQUE[[#This Row],[Valor Unitario Estimado]]*TAB_ESTOQUE[[#This Row],[Estoque]]</f>
        <v>264.87</v>
      </c>
      <c r="V150" s="91"/>
      <c r="W150" s="85"/>
      <c r="X150" s="85"/>
      <c r="Y150" s="85"/>
      <c r="Z150" s="85"/>
      <c r="AA150" s="85"/>
      <c r="AB150" s="96" t="str">
        <f>IF(TAB_ESTOQUE[[#This Row],[Estoque]]=0,"Estoque Não Conforme",IF(TAB_ESTOQUE[[#This Row],[Estoque]]&gt;=TAB_ESTOQUE[[#This Row],[Mínimo]],"Estoque Conforme",IF(TAB_ESTOQUE[[#This Row],[Estoque]]&lt;TAB_ESTOQUE[[#This Row],[Mínimo]],"Estoque em Nivel Minimo")))</f>
        <v>Estoque Conforme</v>
      </c>
      <c r="AC150" s="85"/>
      <c r="AD150" s="82"/>
      <c r="AE150" s="82"/>
      <c r="AF150" s="82"/>
    </row>
    <row r="151" spans="1:32" ht="15" customHeight="1" x14ac:dyDescent="0.25">
      <c r="B151" s="47"/>
      <c r="C151" s="46" t="s">
        <v>2842</v>
      </c>
      <c r="D151" s="45" t="s">
        <v>2745</v>
      </c>
      <c r="E151" s="46" t="s">
        <v>116</v>
      </c>
      <c r="F151" s="87"/>
      <c r="G151" s="82"/>
      <c r="H151" s="82"/>
      <c r="I151" s="82" t="s">
        <v>6319</v>
      </c>
      <c r="J151" s="82"/>
      <c r="K151" s="82"/>
      <c r="L151" s="82"/>
      <c r="M151" s="82"/>
      <c r="N151" s="82"/>
      <c r="O151" s="87" t="s">
        <v>6306</v>
      </c>
      <c r="P151" s="82" t="s">
        <v>1591</v>
      </c>
      <c r="Q151" s="83">
        <f>VLOOKUP(TAB_ESTOQUE[[#This Row],[Codigo]],TAB_ENTRADA[[Cod_2_Entrada]:[TOTAL_ENTRADA]],5,FALSE)-VLOOKUP(TAB_ESTOQUE[[#This Row],[Codigo]],TAB_SAIDA[[COD_2_SAIDA]:[TOTAL_SAIDA]],5,FALSE)</f>
        <v>0</v>
      </c>
      <c r="R151" s="87"/>
      <c r="S151" s="87"/>
      <c r="T151" s="90">
        <v>120</v>
      </c>
      <c r="U151" s="91">
        <f>TAB_ESTOQUE[[#This Row],[Valor Unitario Estimado]]*TAB_ESTOQUE[[#This Row],[Estoque]]</f>
        <v>0</v>
      </c>
      <c r="V151" s="91"/>
      <c r="W151" s="85"/>
      <c r="X151" s="85"/>
      <c r="Y151" s="85"/>
      <c r="Z151" s="85"/>
      <c r="AA151" s="85"/>
      <c r="AB151" s="85" t="str">
        <f>IF(TAB_ESTOQUE[[#This Row],[Estoque]]=0,"Estoque Não Conforme",IF(TAB_ESTOQUE[[#This Row],[Estoque]]&gt;=TAB_ESTOQUE[[#This Row],[Mínimo]],"Estoque Conforme",IF(TAB_ESTOQUE[[#This Row],[Estoque]]&lt;TAB_ESTOQUE[[#This Row],[Mínimo]],"Estoque em Nivel Minimo")))</f>
        <v>Estoque Não Conforme</v>
      </c>
      <c r="AC151" s="96"/>
      <c r="AD151" s="82"/>
      <c r="AE151" s="82"/>
      <c r="AF151" s="82"/>
    </row>
    <row r="152" spans="1:32" ht="15" customHeight="1" x14ac:dyDescent="0.25">
      <c r="C152" s="105" t="s">
        <v>2838</v>
      </c>
      <c r="D152" s="45" t="s">
        <v>6900</v>
      </c>
      <c r="E152" s="46"/>
      <c r="F152" s="46"/>
      <c r="I152" s="45" t="s">
        <v>7182</v>
      </c>
      <c r="O152" s="46" t="s">
        <v>6306</v>
      </c>
      <c r="Q152" s="137">
        <f>VLOOKUP(TAB_ESTOQUE[[#This Row],[Codigo]],TAB_ENTRADA[[Cod_2_Entrada]:[TOTAL_ENTRADA]],5,FALSE)-VLOOKUP(TAB_ESTOQUE[[#This Row],[Codigo]],TAB_SAIDA[[COD_2_SAIDA]:[TOTAL_SAIDA]],5,FALSE)</f>
        <v>1</v>
      </c>
      <c r="S152" s="46"/>
      <c r="T152" s="102">
        <v>313</v>
      </c>
      <c r="U152" s="103">
        <f>TAB_ESTOQUE[[#This Row],[Valor Unitario Estimado]]*TAB_ESTOQUE[[#This Row],[Estoque]]</f>
        <v>313</v>
      </c>
      <c r="V152" s="103"/>
      <c r="AA152" s="138"/>
      <c r="AB152" s="104" t="str">
        <f>IF(TAB_ESTOQUE[[#This Row],[Estoque]]=0,"Estoque Não Conforme",IF(TAB_ESTOQUE[[#This Row],[Estoque]]&gt;=TAB_ESTOQUE[[#This Row],[Mínimo]],"Estoque Conforme",IF(TAB_ESTOQUE[[#This Row],[Estoque]]&lt;TAB_ESTOQUE[[#This Row],[Mínimo]],"Estoque em Nivel Minimo")))</f>
        <v>Estoque Conforme</v>
      </c>
      <c r="AC152" s="104"/>
      <c r="AE152" s="82"/>
      <c r="AF152" s="82"/>
    </row>
    <row r="153" spans="1:32" ht="15" customHeight="1" x14ac:dyDescent="0.25">
      <c r="C153" s="48"/>
      <c r="D153" s="45" t="s">
        <v>6915</v>
      </c>
      <c r="E153" s="46" t="s">
        <v>7185</v>
      </c>
      <c r="F153" s="46"/>
      <c r="I153" s="45" t="s">
        <v>7184</v>
      </c>
      <c r="O153" s="46" t="s">
        <v>6306</v>
      </c>
      <c r="Q153" s="137">
        <f>VLOOKUP(TAB_ESTOQUE[[#This Row],[Codigo]],TAB_ENTRADA[[Cod_2_Entrada]:[TOTAL_ENTRADA]],5,FALSE)-VLOOKUP(TAB_ESTOQUE[[#This Row],[Codigo]],TAB_SAIDA[[COD_2_SAIDA]:[TOTAL_SAIDA]],5,FALSE)</f>
        <v>0</v>
      </c>
      <c r="S153" s="46"/>
      <c r="T153" s="102">
        <v>42.5</v>
      </c>
      <c r="U153" s="103">
        <f>TAB_ESTOQUE[[#This Row],[Valor Unitario Estimado]]*TAB_ESTOQUE[[#This Row],[Estoque]]</f>
        <v>0</v>
      </c>
      <c r="V153" s="103"/>
      <c r="AA153" s="138"/>
      <c r="AB153" s="104" t="str">
        <f>IF(TAB_ESTOQUE[[#This Row],[Estoque]]=0,"Estoque Não Conforme",IF(TAB_ESTOQUE[[#This Row],[Estoque]]&gt;=TAB_ESTOQUE[[#This Row],[Mínimo]],"Estoque Conforme",IF(TAB_ESTOQUE[[#This Row],[Estoque]]&lt;TAB_ESTOQUE[[#This Row],[Mínimo]],"Estoque em Nivel Minimo")))</f>
        <v>Estoque Não Conforme</v>
      </c>
      <c r="AC153" s="104"/>
      <c r="AE153" s="82"/>
      <c r="AF153" s="82"/>
    </row>
    <row r="154" spans="1:32" ht="15" customHeight="1" x14ac:dyDescent="0.25">
      <c r="C154" s="48"/>
      <c r="D154" s="45" t="s">
        <v>7118</v>
      </c>
      <c r="E154" s="46"/>
      <c r="F154" s="46"/>
      <c r="I154" s="45" t="s">
        <v>7971</v>
      </c>
      <c r="O154" s="46" t="s">
        <v>6306</v>
      </c>
      <c r="Q154" s="137">
        <f>VLOOKUP(TAB_ESTOQUE[[#This Row],[Codigo]],TAB_ENTRADA[[Cod_2_Entrada]:[TOTAL_ENTRADA]],5,FALSE)-VLOOKUP(TAB_ESTOQUE[[#This Row],[Codigo]],TAB_SAIDA[[COD_2_SAIDA]:[TOTAL_SAIDA]],5,FALSE)</f>
        <v>9</v>
      </c>
      <c r="S154" s="46"/>
      <c r="T154" s="102">
        <v>9.8000000000000007</v>
      </c>
      <c r="U154" s="103">
        <f>TAB_ESTOQUE[[#This Row],[Valor Unitario Estimado]]*TAB_ESTOQUE[[#This Row],[Estoque]]</f>
        <v>88.2</v>
      </c>
      <c r="V154" s="103"/>
      <c r="AA154" s="138"/>
      <c r="AB154" s="104" t="str">
        <f>IF(TAB_ESTOQUE[[#This Row],[Estoque]]=0,"Estoque Não Conforme",IF(TAB_ESTOQUE[[#This Row],[Estoque]]&gt;=TAB_ESTOQUE[[#This Row],[Mínimo]],"Estoque Conforme",IF(TAB_ESTOQUE[[#This Row],[Estoque]]&lt;TAB_ESTOQUE[[#This Row],[Mínimo]],"Estoque em Nivel Minimo")))</f>
        <v>Estoque Conforme</v>
      </c>
      <c r="AC154" s="104"/>
      <c r="AE154" s="82"/>
      <c r="AF154" s="82"/>
    </row>
    <row r="155" spans="1:32" ht="15" customHeight="1" x14ac:dyDescent="0.25">
      <c r="A155" s="45">
        <v>1691</v>
      </c>
      <c r="B155" s="47"/>
      <c r="C155" s="46" t="s">
        <v>2838</v>
      </c>
      <c r="D155" s="45" t="s">
        <v>1716</v>
      </c>
      <c r="E155" s="46" t="s">
        <v>7</v>
      </c>
      <c r="F155" s="87"/>
      <c r="G155" s="82"/>
      <c r="H155" s="82"/>
      <c r="I155" s="82" t="s">
        <v>2778</v>
      </c>
      <c r="J155" s="82"/>
      <c r="K155" s="82"/>
      <c r="L155" s="82"/>
      <c r="M155" s="82"/>
      <c r="N155" s="82"/>
      <c r="O155" s="87" t="s">
        <v>6277</v>
      </c>
      <c r="P155" s="82" t="s">
        <v>1122</v>
      </c>
      <c r="Q155" s="83">
        <f>VLOOKUP(TAB_ESTOQUE[[#This Row],[Codigo]],TAB_ENTRADA[[Cod_2_Entrada]:[TOTAL_ENTRADA]],5,FALSE)-VLOOKUP(TAB_ESTOQUE[[#This Row],[Codigo]],TAB_SAIDA[[COD_2_SAIDA]:[TOTAL_SAIDA]],5,FALSE)</f>
        <v>11</v>
      </c>
      <c r="R155" s="87"/>
      <c r="S155" s="87"/>
      <c r="T155" s="90">
        <v>41</v>
      </c>
      <c r="U155" s="91">
        <f>TAB_ESTOQUE[[#This Row],[Valor Unitario Estimado]]*TAB_ESTOQUE[[#This Row],[Estoque]]</f>
        <v>451</v>
      </c>
      <c r="V155" s="91"/>
      <c r="W155" s="85"/>
      <c r="X155" s="85"/>
      <c r="Y155" s="85"/>
      <c r="Z155" s="85"/>
      <c r="AA155" s="85"/>
      <c r="AB155" s="85" t="str">
        <f>IF(TAB_ESTOQUE[[#This Row],[Estoque]]=0,"Estoque Não Conforme",IF(TAB_ESTOQUE[[#This Row],[Estoque]]&gt;=TAB_ESTOQUE[[#This Row],[Mínimo]],"Estoque Conforme",IF(TAB_ESTOQUE[[#This Row],[Estoque]]&lt;TAB_ESTOQUE[[#This Row],[Mínimo]],"Estoque em Nivel Minimo")))</f>
        <v>Estoque Conforme</v>
      </c>
      <c r="AC155" s="85"/>
      <c r="AD155" s="82"/>
      <c r="AE155" s="82"/>
      <c r="AF155" s="82"/>
    </row>
    <row r="156" spans="1:32" ht="15" customHeight="1" x14ac:dyDescent="0.25">
      <c r="A156" s="45">
        <v>1231</v>
      </c>
      <c r="B156" s="47"/>
      <c r="C156" s="46" t="s">
        <v>2838</v>
      </c>
      <c r="D156" s="45" t="s">
        <v>1718</v>
      </c>
      <c r="E156" s="46"/>
      <c r="F156" s="87"/>
      <c r="G156" s="82"/>
      <c r="H156" s="82"/>
      <c r="I156" s="82" t="s">
        <v>2779</v>
      </c>
      <c r="J156" s="82"/>
      <c r="K156" s="82"/>
      <c r="L156" s="82"/>
      <c r="M156" s="82"/>
      <c r="N156" s="82"/>
      <c r="O156" s="87" t="s">
        <v>6277</v>
      </c>
      <c r="P156" s="82" t="s">
        <v>945</v>
      </c>
      <c r="Q156" s="83">
        <f>VLOOKUP(TAB_ESTOQUE[[#This Row],[Codigo]],TAB_ENTRADA[[Cod_2_Entrada]:[TOTAL_ENTRADA]],5,FALSE)-VLOOKUP(TAB_ESTOQUE[[#This Row],[Codigo]],TAB_SAIDA[[COD_2_SAIDA]:[TOTAL_SAIDA]],5,FALSE)</f>
        <v>4</v>
      </c>
      <c r="R156" s="87"/>
      <c r="S156" s="87"/>
      <c r="T156" s="90">
        <v>30.12</v>
      </c>
      <c r="U156" s="91">
        <f>TAB_ESTOQUE[[#This Row],[Valor Unitario Estimado]]*TAB_ESTOQUE[[#This Row],[Estoque]]</f>
        <v>120.48</v>
      </c>
      <c r="V156" s="91"/>
      <c r="W156" s="85"/>
      <c r="X156" s="85"/>
      <c r="Y156" s="85"/>
      <c r="Z156" s="85"/>
      <c r="AA156" s="85"/>
      <c r="AB156" s="85" t="str">
        <f>IF(TAB_ESTOQUE[[#This Row],[Estoque]]=0,"Estoque Não Conforme",IF(TAB_ESTOQUE[[#This Row],[Estoque]]&gt;=TAB_ESTOQUE[[#This Row],[Mínimo]],"Estoque Conforme",IF(TAB_ESTOQUE[[#This Row],[Estoque]]&lt;TAB_ESTOQUE[[#This Row],[Mínimo]],"Estoque em Nivel Minimo")))</f>
        <v>Estoque Conforme</v>
      </c>
      <c r="AC156" s="85"/>
      <c r="AD156" s="82"/>
      <c r="AE156" s="82"/>
      <c r="AF156" s="82"/>
    </row>
    <row r="157" spans="1:32" ht="15" customHeight="1" x14ac:dyDescent="0.25">
      <c r="A157" s="45">
        <v>75</v>
      </c>
      <c r="B157" s="47"/>
      <c r="C157" s="46" t="s">
        <v>2838</v>
      </c>
      <c r="D157" s="45" t="s">
        <v>1719</v>
      </c>
      <c r="E157" s="46" t="s">
        <v>7</v>
      </c>
      <c r="F157" s="87"/>
      <c r="G157" s="82"/>
      <c r="H157" s="82"/>
      <c r="I157" s="82" t="s">
        <v>6322</v>
      </c>
      <c r="J157" s="82"/>
      <c r="K157" s="82"/>
      <c r="L157" s="82"/>
      <c r="M157" s="82"/>
      <c r="N157" s="82"/>
      <c r="O157" s="87" t="s">
        <v>6277</v>
      </c>
      <c r="P157" s="82" t="s">
        <v>45</v>
      </c>
      <c r="Q157" s="83">
        <f>VLOOKUP(TAB_ESTOQUE[[#This Row],[Codigo]],TAB_ENTRADA[[Cod_2_Entrada]:[TOTAL_ENTRADA]],5,FALSE)-VLOOKUP(TAB_ESTOQUE[[#This Row],[Codigo]],TAB_SAIDA[[COD_2_SAIDA]:[TOTAL_SAIDA]],5,FALSE)</f>
        <v>1</v>
      </c>
      <c r="R157" s="87"/>
      <c r="S157" s="87"/>
      <c r="T157" s="90">
        <v>70</v>
      </c>
      <c r="U157" s="91">
        <f>TAB_ESTOQUE[[#This Row],[Valor Unitario Estimado]]*TAB_ESTOQUE[[#This Row],[Estoque]]</f>
        <v>70</v>
      </c>
      <c r="V157" s="91"/>
      <c r="W157" s="85"/>
      <c r="X157" s="85"/>
      <c r="Y157" s="85"/>
      <c r="Z157" s="85"/>
      <c r="AA157" s="85"/>
      <c r="AB157" s="85" t="str">
        <f>IF(TAB_ESTOQUE[[#This Row],[Estoque]]=0,"Estoque Não Conforme",IF(TAB_ESTOQUE[[#This Row],[Estoque]]&gt;=TAB_ESTOQUE[[#This Row],[Mínimo]],"Estoque Conforme",IF(TAB_ESTOQUE[[#This Row],[Estoque]]&lt;TAB_ESTOQUE[[#This Row],[Mínimo]],"Estoque em Nivel Minimo")))</f>
        <v>Estoque Conforme</v>
      </c>
      <c r="AC157" s="85"/>
      <c r="AD157" s="82"/>
      <c r="AE157" s="82"/>
      <c r="AF157" s="82"/>
    </row>
    <row r="158" spans="1:32" ht="15" customHeight="1" x14ac:dyDescent="0.25">
      <c r="A158" s="45">
        <v>902</v>
      </c>
      <c r="B158" s="47"/>
      <c r="C158" s="46" t="s">
        <v>2842</v>
      </c>
      <c r="D158" s="45" t="s">
        <v>1720</v>
      </c>
      <c r="E158" s="46"/>
      <c r="F158" s="87"/>
      <c r="G158" s="82"/>
      <c r="H158" s="82"/>
      <c r="I158" s="82" t="s">
        <v>2780</v>
      </c>
      <c r="J158" s="82"/>
      <c r="K158" s="82"/>
      <c r="L158" s="82"/>
      <c r="M158" s="82"/>
      <c r="N158" s="82"/>
      <c r="O158" s="87" t="s">
        <v>6277</v>
      </c>
      <c r="P158" s="82" t="s">
        <v>700</v>
      </c>
      <c r="Q158" s="83">
        <f>VLOOKUP(TAB_ESTOQUE[[#This Row],[Codigo]],TAB_ENTRADA[[Cod_2_Entrada]:[TOTAL_ENTRADA]],5,FALSE)-VLOOKUP(TAB_ESTOQUE[[#This Row],[Codigo]],TAB_SAIDA[[COD_2_SAIDA]:[TOTAL_SAIDA]],5,FALSE)</f>
        <v>4</v>
      </c>
      <c r="R158" s="87"/>
      <c r="S158" s="87"/>
      <c r="T158" s="90">
        <v>48.3</v>
      </c>
      <c r="U158" s="91">
        <f>TAB_ESTOQUE[[#This Row],[Valor Unitario Estimado]]*TAB_ESTOQUE[[#This Row],[Estoque]]</f>
        <v>193.2</v>
      </c>
      <c r="V158" s="91"/>
      <c r="W158" s="85"/>
      <c r="X158" s="85"/>
      <c r="Y158" s="85"/>
      <c r="Z158" s="85"/>
      <c r="AA158" s="85"/>
      <c r="AB158" s="85" t="str">
        <f>IF(TAB_ESTOQUE[[#This Row],[Estoque]]=0,"Estoque Não Conforme",IF(TAB_ESTOQUE[[#This Row],[Estoque]]&gt;=TAB_ESTOQUE[[#This Row],[Mínimo]],"Estoque Conforme",IF(TAB_ESTOQUE[[#This Row],[Estoque]]&lt;TAB_ESTOQUE[[#This Row],[Mínimo]],"Estoque em Nivel Minimo")))</f>
        <v>Estoque Conforme</v>
      </c>
      <c r="AC158" s="85"/>
      <c r="AD158" s="82"/>
      <c r="AE158" s="82"/>
      <c r="AF158" s="82"/>
    </row>
    <row r="159" spans="1:32" ht="15" customHeight="1" x14ac:dyDescent="0.25">
      <c r="A159" s="45">
        <v>76</v>
      </c>
      <c r="B159" s="47"/>
      <c r="C159" s="46" t="s">
        <v>2842</v>
      </c>
      <c r="D159" s="45" t="s">
        <v>1721</v>
      </c>
      <c r="E159" s="46" t="s">
        <v>7</v>
      </c>
      <c r="F159" s="87"/>
      <c r="G159" s="82"/>
      <c r="H159" s="82"/>
      <c r="I159" s="82" t="s">
        <v>6324</v>
      </c>
      <c r="J159" s="82"/>
      <c r="K159" s="82"/>
      <c r="L159" s="82"/>
      <c r="M159" s="82"/>
      <c r="N159" s="82"/>
      <c r="O159" s="87" t="s">
        <v>6277</v>
      </c>
      <c r="P159" s="82" t="s">
        <v>46</v>
      </c>
      <c r="Q159" s="83">
        <f>VLOOKUP(TAB_ESTOQUE[[#This Row],[Codigo]],TAB_ENTRADA[[Cod_2_Entrada]:[TOTAL_ENTRADA]],5,FALSE)-VLOOKUP(TAB_ESTOQUE[[#This Row],[Codigo]],TAB_SAIDA[[COD_2_SAIDA]:[TOTAL_SAIDA]],5,FALSE)</f>
        <v>2</v>
      </c>
      <c r="R159" s="87"/>
      <c r="S159" s="87"/>
      <c r="T159" s="90">
        <v>75</v>
      </c>
      <c r="U159" s="91">
        <f>TAB_ESTOQUE[[#This Row],[Valor Unitario Estimado]]*TAB_ESTOQUE[[#This Row],[Estoque]]</f>
        <v>150</v>
      </c>
      <c r="V159" s="91"/>
      <c r="W159" s="85"/>
      <c r="X159" s="85"/>
      <c r="Y159" s="85"/>
      <c r="Z159" s="85"/>
      <c r="AA159" s="85"/>
      <c r="AB159" s="85" t="str">
        <f>IF(TAB_ESTOQUE[[#This Row],[Estoque]]=0,"Estoque Não Conforme",IF(TAB_ESTOQUE[[#This Row],[Estoque]]&gt;=TAB_ESTOQUE[[#This Row],[Mínimo]],"Estoque Conforme",IF(TAB_ESTOQUE[[#This Row],[Estoque]]&lt;TAB_ESTOQUE[[#This Row],[Mínimo]],"Estoque em Nivel Minimo")))</f>
        <v>Estoque Conforme</v>
      </c>
      <c r="AC159" s="85"/>
      <c r="AD159" s="82"/>
      <c r="AE159" s="82"/>
      <c r="AF159" s="82"/>
    </row>
    <row r="160" spans="1:32" ht="15" customHeight="1" x14ac:dyDescent="0.25">
      <c r="A160" s="45">
        <v>905</v>
      </c>
      <c r="B160" s="47"/>
      <c r="C160" s="46" t="s">
        <v>2842</v>
      </c>
      <c r="D160" s="45" t="s">
        <v>1722</v>
      </c>
      <c r="E160" s="46" t="s">
        <v>7</v>
      </c>
      <c r="F160" s="87"/>
      <c r="G160" s="82"/>
      <c r="H160" s="82"/>
      <c r="I160" s="94" t="s">
        <v>6325</v>
      </c>
      <c r="J160" s="82"/>
      <c r="K160" s="82"/>
      <c r="L160" s="82"/>
      <c r="M160" s="82"/>
      <c r="N160" s="82"/>
      <c r="O160" s="87" t="s">
        <v>6277</v>
      </c>
      <c r="P160" s="82" t="s">
        <v>701</v>
      </c>
      <c r="Q160" s="83">
        <f>VLOOKUP(TAB_ESTOQUE[[#This Row],[Codigo]],TAB_ENTRADA[[Cod_2_Entrada]:[TOTAL_ENTRADA]],5,FALSE)-VLOOKUP(TAB_ESTOQUE[[#This Row],[Codigo]],TAB_SAIDA[[COD_2_SAIDA]:[TOTAL_SAIDA]],5,FALSE)</f>
        <v>1</v>
      </c>
      <c r="R160" s="87"/>
      <c r="S160" s="87"/>
      <c r="T160" s="90">
        <v>50</v>
      </c>
      <c r="U160" s="91">
        <f>TAB_ESTOQUE[[#This Row],[Valor Unitario Estimado]]*TAB_ESTOQUE[[#This Row],[Estoque]]</f>
        <v>50</v>
      </c>
      <c r="V160" s="91"/>
      <c r="W160" s="85"/>
      <c r="X160" s="85"/>
      <c r="Y160" s="85"/>
      <c r="Z160" s="85"/>
      <c r="AA160" s="85"/>
      <c r="AB160" s="85" t="str">
        <f>IF(TAB_ESTOQUE[[#This Row],[Estoque]]=0,"Estoque Não Conforme",IF(TAB_ESTOQUE[[#This Row],[Estoque]]&gt;=TAB_ESTOQUE[[#This Row],[Mínimo]],"Estoque Conforme",IF(TAB_ESTOQUE[[#This Row],[Estoque]]&lt;TAB_ESTOQUE[[#This Row],[Mínimo]],"Estoque em Nivel Minimo")))</f>
        <v>Estoque Conforme</v>
      </c>
      <c r="AC160" s="85"/>
      <c r="AD160" s="82"/>
      <c r="AE160" s="82"/>
      <c r="AF160" s="82"/>
    </row>
    <row r="161" spans="1:32" s="47" customFormat="1" ht="15" customHeight="1" x14ac:dyDescent="0.25">
      <c r="A161" s="45">
        <v>78</v>
      </c>
      <c r="C161" s="46" t="s">
        <v>2838</v>
      </c>
      <c r="D161" s="45" t="s">
        <v>1723</v>
      </c>
      <c r="E161" s="46" t="s">
        <v>7</v>
      </c>
      <c r="F161" s="87"/>
      <c r="G161" s="82"/>
      <c r="H161" s="82"/>
      <c r="I161" s="82" t="s">
        <v>6326</v>
      </c>
      <c r="J161" s="82"/>
      <c r="K161" s="82"/>
      <c r="L161" s="82"/>
      <c r="M161" s="82"/>
      <c r="N161" s="82"/>
      <c r="O161" s="87" t="s">
        <v>6277</v>
      </c>
      <c r="P161" s="82" t="s">
        <v>47</v>
      </c>
      <c r="Q161" s="83">
        <f>VLOOKUP(TAB_ESTOQUE[[#This Row],[Codigo]],TAB_ENTRADA[[Cod_2_Entrada]:[TOTAL_ENTRADA]],5,FALSE)-VLOOKUP(TAB_ESTOQUE[[#This Row],[Codigo]],TAB_SAIDA[[COD_2_SAIDA]:[TOTAL_SAIDA]],5,FALSE)</f>
        <v>8</v>
      </c>
      <c r="R161" s="87"/>
      <c r="S161" s="87"/>
      <c r="T161" s="90">
        <v>30</v>
      </c>
      <c r="U161" s="91">
        <f>TAB_ESTOQUE[[#This Row],[Valor Unitario Estimado]]*TAB_ESTOQUE[[#This Row],[Estoque]]</f>
        <v>240</v>
      </c>
      <c r="V161" s="91"/>
      <c r="W161" s="85"/>
      <c r="X161" s="85"/>
      <c r="Y161" s="85"/>
      <c r="Z161" s="85"/>
      <c r="AA161" s="85"/>
      <c r="AB161" s="85" t="str">
        <f>IF(TAB_ESTOQUE[[#This Row],[Estoque]]=0,"Estoque Não Conforme",IF(TAB_ESTOQUE[[#This Row],[Estoque]]&gt;=TAB_ESTOQUE[[#This Row],[Mínimo]],"Estoque Conforme",IF(TAB_ESTOQUE[[#This Row],[Estoque]]&lt;TAB_ESTOQUE[[#This Row],[Mínimo]],"Estoque em Nivel Minimo")))</f>
        <v>Estoque Conforme</v>
      </c>
      <c r="AC161" s="85"/>
      <c r="AD161" s="82"/>
      <c r="AE161" s="94"/>
      <c r="AF161" s="94"/>
    </row>
    <row r="162" spans="1:32" s="106" customFormat="1" ht="15" customHeight="1" x14ac:dyDescent="0.25">
      <c r="A162" s="45">
        <v>50</v>
      </c>
      <c r="B162" s="47"/>
      <c r="C162" s="46" t="s">
        <v>2838</v>
      </c>
      <c r="D162" s="45" t="s">
        <v>1724</v>
      </c>
      <c r="E162" s="46" t="s">
        <v>7</v>
      </c>
      <c r="F162" s="87"/>
      <c r="G162" s="82"/>
      <c r="H162" s="82"/>
      <c r="I162" s="82" t="s">
        <v>6327</v>
      </c>
      <c r="J162" s="82"/>
      <c r="K162" s="82"/>
      <c r="L162" s="82"/>
      <c r="M162" s="82"/>
      <c r="N162" s="82"/>
      <c r="O162" s="87" t="s">
        <v>6277</v>
      </c>
      <c r="P162" s="82" t="s">
        <v>28</v>
      </c>
      <c r="Q162" s="83">
        <f>VLOOKUP(TAB_ESTOQUE[[#This Row],[Codigo]],TAB_ENTRADA[[Cod_2_Entrada]:[TOTAL_ENTRADA]],5,FALSE)-VLOOKUP(TAB_ESTOQUE[[#This Row],[Codigo]],TAB_SAIDA[[COD_2_SAIDA]:[TOTAL_SAIDA]],5,FALSE)</f>
        <v>4</v>
      </c>
      <c r="R162" s="87"/>
      <c r="S162" s="87"/>
      <c r="T162" s="90">
        <v>120</v>
      </c>
      <c r="U162" s="91">
        <f>TAB_ESTOQUE[[#This Row],[Valor Unitario Estimado]]*TAB_ESTOQUE[[#This Row],[Estoque]]</f>
        <v>480</v>
      </c>
      <c r="V162" s="91"/>
      <c r="W162" s="85"/>
      <c r="X162" s="85"/>
      <c r="Y162" s="85"/>
      <c r="Z162" s="85"/>
      <c r="AA162" s="85"/>
      <c r="AB162" s="85" t="str">
        <f>IF(TAB_ESTOQUE[[#This Row],[Estoque]]=0,"Estoque Não Conforme",IF(TAB_ESTOQUE[[#This Row],[Estoque]]&gt;=TAB_ESTOQUE[[#This Row],[Mínimo]],"Estoque Conforme",IF(TAB_ESTOQUE[[#This Row],[Estoque]]&lt;TAB_ESTOQUE[[#This Row],[Mínimo]],"Estoque em Nivel Minimo")))</f>
        <v>Estoque Conforme</v>
      </c>
      <c r="AC162" s="85"/>
      <c r="AD162" s="82"/>
      <c r="AE162" s="95"/>
      <c r="AF162" s="95"/>
    </row>
    <row r="163" spans="1:32" s="47" customFormat="1" ht="15" customHeight="1" x14ac:dyDescent="0.25">
      <c r="A163" s="45">
        <v>81</v>
      </c>
      <c r="C163" s="46" t="s">
        <v>2838</v>
      </c>
      <c r="D163" s="45" t="s">
        <v>1725</v>
      </c>
      <c r="E163" s="46" t="s">
        <v>7</v>
      </c>
      <c r="F163" s="87"/>
      <c r="G163" s="82"/>
      <c r="H163" s="82"/>
      <c r="I163" s="82" t="s">
        <v>6328</v>
      </c>
      <c r="J163" s="82"/>
      <c r="K163" s="82"/>
      <c r="L163" s="82"/>
      <c r="M163" s="82"/>
      <c r="N163" s="82"/>
      <c r="O163" s="87" t="s">
        <v>6277</v>
      </c>
      <c r="P163" s="82" t="s">
        <v>49</v>
      </c>
      <c r="Q163" s="83">
        <f>VLOOKUP(TAB_ESTOQUE[[#This Row],[Codigo]],TAB_ENTRADA[[Cod_2_Entrada]:[TOTAL_ENTRADA]],5,FALSE)-VLOOKUP(TAB_ESTOQUE[[#This Row],[Codigo]],TAB_SAIDA[[COD_2_SAIDA]:[TOTAL_SAIDA]],5,FALSE)</f>
        <v>3</v>
      </c>
      <c r="R163" s="87"/>
      <c r="S163" s="87"/>
      <c r="T163" s="90">
        <v>550</v>
      </c>
      <c r="U163" s="91">
        <f>TAB_ESTOQUE[[#This Row],[Valor Unitario Estimado]]*TAB_ESTOQUE[[#This Row],[Estoque]]</f>
        <v>1650</v>
      </c>
      <c r="V163" s="91"/>
      <c r="W163" s="85"/>
      <c r="X163" s="85"/>
      <c r="Y163" s="85"/>
      <c r="Z163" s="85"/>
      <c r="AA163" s="85"/>
      <c r="AB163" s="85" t="str">
        <f>IF(TAB_ESTOQUE[[#This Row],[Estoque]]=0,"Estoque Não Conforme",IF(TAB_ESTOQUE[[#This Row],[Estoque]]&gt;=TAB_ESTOQUE[[#This Row],[Mínimo]],"Estoque Conforme",IF(TAB_ESTOQUE[[#This Row],[Estoque]]&lt;TAB_ESTOQUE[[#This Row],[Mínimo]],"Estoque em Nivel Minimo")))</f>
        <v>Estoque Conforme</v>
      </c>
      <c r="AC163" s="85"/>
      <c r="AD163" s="82"/>
      <c r="AE163" s="94"/>
      <c r="AF163" s="94"/>
    </row>
    <row r="164" spans="1:32" ht="15" customHeight="1" x14ac:dyDescent="0.25">
      <c r="A164" s="45">
        <v>18</v>
      </c>
      <c r="B164" s="47"/>
      <c r="C164" s="46" t="s">
        <v>2842</v>
      </c>
      <c r="D164" s="45" t="s">
        <v>1727</v>
      </c>
      <c r="E164" s="46" t="s">
        <v>7</v>
      </c>
      <c r="F164" s="87"/>
      <c r="G164" s="82"/>
      <c r="H164" s="82"/>
      <c r="I164" s="82" t="s">
        <v>6329</v>
      </c>
      <c r="J164" s="82"/>
      <c r="K164" s="82"/>
      <c r="L164" s="82"/>
      <c r="M164" s="82"/>
      <c r="N164" s="82"/>
      <c r="O164" s="87" t="s">
        <v>6277</v>
      </c>
      <c r="P164" s="82" t="s">
        <v>27</v>
      </c>
      <c r="Q164" s="83">
        <f>VLOOKUP(TAB_ESTOQUE[[#This Row],[Codigo]],TAB_ENTRADA[[Cod_2_Entrada]:[TOTAL_ENTRADA]],5,FALSE)-VLOOKUP(TAB_ESTOQUE[[#This Row],[Codigo]],TAB_SAIDA[[COD_2_SAIDA]:[TOTAL_SAIDA]],5,FALSE)</f>
        <v>14</v>
      </c>
      <c r="R164" s="87"/>
      <c r="S164" s="87"/>
      <c r="T164" s="90">
        <v>90</v>
      </c>
      <c r="U164" s="91">
        <f>TAB_ESTOQUE[[#This Row],[Valor Unitario Estimado]]*TAB_ESTOQUE[[#This Row],[Estoque]]</f>
        <v>1260</v>
      </c>
      <c r="V164" s="91"/>
      <c r="W164" s="85"/>
      <c r="X164" s="85"/>
      <c r="Y164" s="85"/>
      <c r="Z164" s="85"/>
      <c r="AA164" s="85"/>
      <c r="AB164" s="85" t="str">
        <f>IF(TAB_ESTOQUE[[#This Row],[Estoque]]=0,"Estoque Não Conforme",IF(TAB_ESTOQUE[[#This Row],[Estoque]]&gt;=TAB_ESTOQUE[[#This Row],[Mínimo]],"Estoque Conforme",IF(TAB_ESTOQUE[[#This Row],[Estoque]]&lt;TAB_ESTOQUE[[#This Row],[Mínimo]],"Estoque em Nivel Minimo")))</f>
        <v>Estoque Conforme</v>
      </c>
      <c r="AC164" s="85"/>
      <c r="AD164" s="82"/>
      <c r="AE164" s="82"/>
      <c r="AF164" s="82"/>
    </row>
    <row r="165" spans="1:32" ht="15" customHeight="1" x14ac:dyDescent="0.25">
      <c r="A165" s="45">
        <v>673</v>
      </c>
      <c r="B165" s="47"/>
      <c r="C165" s="46"/>
      <c r="D165" s="45" t="s">
        <v>2387</v>
      </c>
      <c r="E165" s="46" t="s">
        <v>7</v>
      </c>
      <c r="F165" s="87"/>
      <c r="G165" s="82"/>
      <c r="H165" s="82"/>
      <c r="I165" s="82" t="s">
        <v>7974</v>
      </c>
      <c r="J165" s="82"/>
      <c r="K165" s="82"/>
      <c r="L165" s="82"/>
      <c r="M165" s="82"/>
      <c r="N165" s="82"/>
      <c r="O165" s="87" t="s">
        <v>6277</v>
      </c>
      <c r="P165" s="82" t="s">
        <v>456</v>
      </c>
      <c r="Q165" s="83">
        <f>VLOOKUP(TAB_ESTOQUE[[#This Row],[Codigo]],TAB_ENTRADA[[Cod_2_Entrada]:[TOTAL_ENTRADA]],5,FALSE)-VLOOKUP(TAB_ESTOQUE[[#This Row],[Codigo]],TAB_SAIDA[[COD_2_SAIDA]:[TOTAL_SAIDA]],5,FALSE)</f>
        <v>10</v>
      </c>
      <c r="R165" s="87"/>
      <c r="S165" s="87"/>
      <c r="T165" s="90"/>
      <c r="U165" s="91">
        <f>TAB_ESTOQUE[[#This Row],[Valor Unitario Estimado]]*TAB_ESTOQUE[[#This Row],[Estoque]]</f>
        <v>0</v>
      </c>
      <c r="V165" s="91"/>
      <c r="W165" s="85"/>
      <c r="X165" s="85"/>
      <c r="Y165" s="85"/>
      <c r="Z165" s="85"/>
      <c r="AA165" s="85"/>
      <c r="AB165" s="85" t="str">
        <f>IF(TAB_ESTOQUE[[#This Row],[Estoque]]=0,"Estoque Não Conforme",IF(TAB_ESTOQUE[[#This Row],[Estoque]]&gt;=TAB_ESTOQUE[[#This Row],[Mínimo]],"Estoque Conforme",IF(TAB_ESTOQUE[[#This Row],[Estoque]]&lt;TAB_ESTOQUE[[#This Row],[Mínimo]],"Estoque em Nivel Minimo")))</f>
        <v>Estoque Conforme</v>
      </c>
      <c r="AC165" s="85"/>
      <c r="AD165" s="82"/>
      <c r="AE165" s="82"/>
      <c r="AF165" s="82"/>
    </row>
    <row r="166" spans="1:32" ht="15" customHeight="1" x14ac:dyDescent="0.25">
      <c r="A166" s="45" t="s">
        <v>1159</v>
      </c>
      <c r="B166" s="47"/>
      <c r="C166" s="46"/>
      <c r="D166" s="45" t="s">
        <v>2619</v>
      </c>
      <c r="E166" s="46"/>
      <c r="F166" s="87"/>
      <c r="G166" s="82"/>
      <c r="H166" s="82"/>
      <c r="I166" s="82" t="s">
        <v>7772</v>
      </c>
      <c r="J166" s="82"/>
      <c r="K166" s="82"/>
      <c r="L166" s="82"/>
      <c r="M166" s="82"/>
      <c r="N166" s="82"/>
      <c r="O166" s="87" t="s">
        <v>6277</v>
      </c>
      <c r="P166" s="82" t="s">
        <v>1227</v>
      </c>
      <c r="Q166" s="83">
        <f>VLOOKUP(TAB_ESTOQUE[[#This Row],[Codigo]],TAB_ENTRADA[[Cod_2_Entrada]:[TOTAL_ENTRADA]],5,FALSE)-VLOOKUP(TAB_ESTOQUE[[#This Row],[Codigo]],TAB_SAIDA[[COD_2_SAIDA]:[TOTAL_SAIDA]],5,FALSE)</f>
        <v>0</v>
      </c>
      <c r="R166" s="87"/>
      <c r="S166" s="87"/>
      <c r="T166" s="90">
        <v>52</v>
      </c>
      <c r="U166" s="91">
        <f>TAB_ESTOQUE[[#This Row],[Valor Unitario Estimado]]*TAB_ESTOQUE[[#This Row],[Estoque]]</f>
        <v>0</v>
      </c>
      <c r="V166" s="91"/>
      <c r="W166" s="85"/>
      <c r="X166" s="85"/>
      <c r="Y166" s="85"/>
      <c r="Z166" s="85"/>
      <c r="AA166" s="85"/>
      <c r="AB166" s="85" t="str">
        <f>IF(TAB_ESTOQUE[[#This Row],[Estoque]]=0,"Estoque Não Conforme",IF(TAB_ESTOQUE[[#This Row],[Estoque]]&gt;=TAB_ESTOQUE[[#This Row],[Mínimo]],"Estoque Conforme",IF(TAB_ESTOQUE[[#This Row],[Estoque]]&lt;TAB_ESTOQUE[[#This Row],[Mínimo]],"Estoque em Nivel Minimo")))</f>
        <v>Estoque Não Conforme</v>
      </c>
      <c r="AC166" s="85"/>
      <c r="AD166" s="82"/>
      <c r="AE166" s="82"/>
      <c r="AF166" s="82"/>
    </row>
    <row r="167" spans="1:32" ht="15" customHeight="1" x14ac:dyDescent="0.25">
      <c r="C167" s="48"/>
      <c r="D167" s="45" t="s">
        <v>7198</v>
      </c>
      <c r="E167" s="46"/>
      <c r="F167" s="46"/>
      <c r="I167" s="21" t="s">
        <v>7779</v>
      </c>
      <c r="O167" s="46" t="s">
        <v>6277</v>
      </c>
      <c r="Q167" s="137">
        <f>VLOOKUP(TAB_ESTOQUE[[#This Row],[Codigo]],TAB_ENTRADA[[Cod_2_Entrada]:[TOTAL_ENTRADA]],5,FALSE)-VLOOKUP(TAB_ESTOQUE[[#This Row],[Codigo]],TAB_SAIDA[[COD_2_SAIDA]:[TOTAL_SAIDA]],5,FALSE)</f>
        <v>1</v>
      </c>
      <c r="S167" s="46"/>
      <c r="T167" s="102">
        <v>108</v>
      </c>
      <c r="U167" s="103">
        <f>TAB_ESTOQUE[[#This Row],[Valor Unitario Estimado]]*TAB_ESTOQUE[[#This Row],[Estoque]]</f>
        <v>108</v>
      </c>
      <c r="V167" s="103"/>
      <c r="AA167" s="138"/>
      <c r="AB167" s="104" t="str">
        <f>IF(TAB_ESTOQUE[[#This Row],[Estoque]]=0,"Estoque Não Conforme",IF(TAB_ESTOQUE[[#This Row],[Estoque]]&gt;=TAB_ESTOQUE[[#This Row],[Mínimo]],"Estoque Conforme",IF(TAB_ESTOQUE[[#This Row],[Estoque]]&lt;TAB_ESTOQUE[[#This Row],[Mínimo]],"Estoque em Nivel Minimo")))</f>
        <v>Estoque Conforme</v>
      </c>
      <c r="AC167" s="104"/>
      <c r="AE167" s="82"/>
      <c r="AF167" s="82"/>
    </row>
    <row r="168" spans="1:32" ht="15" customHeight="1" x14ac:dyDescent="0.25">
      <c r="A168" s="45">
        <v>919</v>
      </c>
      <c r="B168" s="47"/>
      <c r="C168" s="46" t="s">
        <v>2833</v>
      </c>
      <c r="D168" s="45" t="s">
        <v>1729</v>
      </c>
      <c r="E168" s="46" t="s">
        <v>7</v>
      </c>
      <c r="F168" s="87"/>
      <c r="G168" s="82"/>
      <c r="H168" s="82"/>
      <c r="I168" s="82" t="s">
        <v>2781</v>
      </c>
      <c r="J168" s="82"/>
      <c r="K168" s="82"/>
      <c r="L168" s="82"/>
      <c r="M168" s="82"/>
      <c r="N168" s="82"/>
      <c r="O168" s="87" t="s">
        <v>6330</v>
      </c>
      <c r="P168" s="82" t="s">
        <v>704</v>
      </c>
      <c r="Q168" s="83">
        <f>VLOOKUP(TAB_ESTOQUE[[#This Row],[Codigo]],TAB_ENTRADA[[Cod_2_Entrada]:[TOTAL_ENTRADA]],5,FALSE)-VLOOKUP(TAB_ESTOQUE[[#This Row],[Codigo]],TAB_SAIDA[[COD_2_SAIDA]:[TOTAL_SAIDA]],5,FALSE)</f>
        <v>1</v>
      </c>
      <c r="R168" s="87"/>
      <c r="S168" s="87"/>
      <c r="T168" s="90">
        <v>300</v>
      </c>
      <c r="U168" s="91">
        <f>TAB_ESTOQUE[[#This Row],[Valor Unitario Estimado]]*TAB_ESTOQUE[[#This Row],[Estoque]]</f>
        <v>300</v>
      </c>
      <c r="V168" s="91"/>
      <c r="W168" s="85"/>
      <c r="X168" s="85"/>
      <c r="Y168" s="85"/>
      <c r="Z168" s="85"/>
      <c r="AA168" s="85"/>
      <c r="AB168" s="85" t="str">
        <f>IF(TAB_ESTOQUE[[#This Row],[Estoque]]=0,"Estoque Não Conforme",IF(TAB_ESTOQUE[[#This Row],[Estoque]]&gt;=TAB_ESTOQUE[[#This Row],[Mínimo]],"Estoque Conforme",IF(TAB_ESTOQUE[[#This Row],[Estoque]]&lt;TAB_ESTOQUE[[#This Row],[Mínimo]],"Estoque em Nivel Minimo")))</f>
        <v>Estoque Conforme</v>
      </c>
      <c r="AC168" s="85"/>
      <c r="AD168" s="82"/>
      <c r="AE168" s="82"/>
      <c r="AF168" s="82"/>
    </row>
    <row r="169" spans="1:32" ht="15" customHeight="1" x14ac:dyDescent="0.25">
      <c r="A169" s="45">
        <v>1224</v>
      </c>
      <c r="B169" s="47"/>
      <c r="C169" s="46" t="s">
        <v>2842</v>
      </c>
      <c r="D169" s="45" t="s">
        <v>1731</v>
      </c>
      <c r="E169" s="46" t="s">
        <v>7</v>
      </c>
      <c r="F169" s="87"/>
      <c r="G169" s="82"/>
      <c r="H169" s="82"/>
      <c r="I169" s="82" t="s">
        <v>52</v>
      </c>
      <c r="J169" s="82"/>
      <c r="K169" s="82"/>
      <c r="L169" s="82"/>
      <c r="M169" s="82"/>
      <c r="N169" s="82"/>
      <c r="O169" s="87" t="s">
        <v>6330</v>
      </c>
      <c r="P169" s="82" t="s">
        <v>936</v>
      </c>
      <c r="Q169" s="83">
        <f>VLOOKUP(TAB_ESTOQUE[[#This Row],[Codigo]],TAB_ENTRADA[[Cod_2_Entrada]:[TOTAL_ENTRADA]],5,FALSE)-VLOOKUP(TAB_ESTOQUE[[#This Row],[Codigo]],TAB_SAIDA[[COD_2_SAIDA]:[TOTAL_SAIDA]],5,FALSE)</f>
        <v>2</v>
      </c>
      <c r="R169" s="87"/>
      <c r="S169" s="87"/>
      <c r="T169" s="90">
        <v>205</v>
      </c>
      <c r="U169" s="91">
        <f>TAB_ESTOQUE[[#This Row],[Valor Unitario Estimado]]*TAB_ESTOQUE[[#This Row],[Estoque]]</f>
        <v>410</v>
      </c>
      <c r="V169" s="91"/>
      <c r="W169" s="85"/>
      <c r="X169" s="85"/>
      <c r="Y169" s="85"/>
      <c r="Z169" s="85"/>
      <c r="AA169" s="85"/>
      <c r="AB169" s="85" t="str">
        <f>IF(TAB_ESTOQUE[[#This Row],[Estoque]]=0,"Estoque Não Conforme",IF(TAB_ESTOQUE[[#This Row],[Estoque]]&gt;=TAB_ESTOQUE[[#This Row],[Mínimo]],"Estoque Conforme",IF(TAB_ESTOQUE[[#This Row],[Estoque]]&lt;TAB_ESTOQUE[[#This Row],[Mínimo]],"Estoque em Nivel Minimo")))</f>
        <v>Estoque Conforme</v>
      </c>
      <c r="AC169" s="85"/>
      <c r="AD169" s="82"/>
      <c r="AE169" s="82"/>
      <c r="AF169" s="82"/>
    </row>
    <row r="170" spans="1:32" ht="15" customHeight="1" x14ac:dyDescent="0.25">
      <c r="C170" s="53" t="s">
        <v>2842</v>
      </c>
      <c r="D170" s="45" t="s">
        <v>6807</v>
      </c>
      <c r="E170" s="46" t="s">
        <v>116</v>
      </c>
      <c r="F170" s="46"/>
      <c r="I170" s="45" t="s">
        <v>8973</v>
      </c>
      <c r="O170" s="46" t="s">
        <v>6330</v>
      </c>
      <c r="Q170" s="83">
        <f>VLOOKUP(TAB_ESTOQUE[[#This Row],[Codigo]],TAB_ENTRADA[[Cod_2_Entrada]:[TOTAL_ENTRADA]],5,FALSE)-VLOOKUP(TAB_ESTOQUE[[#This Row],[Codigo]],TAB_SAIDA[[COD_2_SAIDA]:[TOTAL_SAIDA]],5,FALSE)</f>
        <v>0</v>
      </c>
      <c r="S170" s="46"/>
      <c r="T170" s="102"/>
      <c r="U170" s="103">
        <f>TAB_ESTOQUE[[#This Row],[Valor Unitario Estimado]]*TAB_ESTOQUE[[#This Row],[Estoque]]</f>
        <v>0</v>
      </c>
      <c r="V170" s="103"/>
      <c r="AB170" s="104" t="str">
        <f>IF(TAB_ESTOQUE[[#This Row],[Estoque]]=0,"Estoque Não Conforme",IF(TAB_ESTOQUE[[#This Row],[Estoque]]&gt;=TAB_ESTOQUE[[#This Row],[Mínimo]],"Estoque Conforme",IF(TAB_ESTOQUE[[#This Row],[Estoque]]&lt;TAB_ESTOQUE[[#This Row],[Mínimo]],"Estoque em Nivel Minimo")))</f>
        <v>Estoque Não Conforme</v>
      </c>
      <c r="AC170" s="104"/>
      <c r="AE170" s="82"/>
      <c r="AF170" s="82"/>
    </row>
    <row r="171" spans="1:32" ht="15" customHeight="1" x14ac:dyDescent="0.25">
      <c r="C171" s="48"/>
      <c r="D171" s="45" t="s">
        <v>7551</v>
      </c>
      <c r="E171" s="46" t="s">
        <v>8039</v>
      </c>
      <c r="F171" s="46"/>
      <c r="I171" s="45" t="s">
        <v>8047</v>
      </c>
      <c r="O171" s="51" t="s">
        <v>6330</v>
      </c>
      <c r="Q171" s="137">
        <f>VLOOKUP(TAB_ESTOQUE[[#This Row],[Codigo]],TAB_ENTRADA[[Cod_2_Entrada]:[TOTAL_ENTRADA]],5,FALSE)-VLOOKUP(TAB_ESTOQUE[[#This Row],[Codigo]],TAB_SAIDA[[COD_2_SAIDA]:[TOTAL_SAIDA]],5,FALSE)</f>
        <v>1</v>
      </c>
      <c r="S171" s="46"/>
      <c r="T171" s="102">
        <v>1933.87</v>
      </c>
      <c r="U171" s="103">
        <f>TAB_ESTOQUE[[#This Row],[Valor Unitario Estimado]]*TAB_ESTOQUE[[#This Row],[Estoque]]</f>
        <v>1933.87</v>
      </c>
      <c r="V171" s="103"/>
      <c r="AA171" s="138"/>
      <c r="AB171" s="104" t="str">
        <f>IF(TAB_ESTOQUE[[#This Row],[Estoque]]=0,"Estoque Não Conforme",IF(TAB_ESTOQUE[[#This Row],[Estoque]]&gt;=TAB_ESTOQUE[[#This Row],[Mínimo]],"Estoque Conforme",IF(TAB_ESTOQUE[[#This Row],[Estoque]]&lt;TAB_ESTOQUE[[#This Row],[Mínimo]],"Estoque em Nivel Minimo")))</f>
        <v>Estoque Conforme</v>
      </c>
      <c r="AC171" s="104"/>
      <c r="AE171" s="82"/>
      <c r="AF171" s="82"/>
    </row>
    <row r="172" spans="1:32" ht="15" customHeight="1" x14ac:dyDescent="0.25">
      <c r="B172" s="47"/>
      <c r="C172" s="46"/>
      <c r="D172" s="45" t="s">
        <v>2716</v>
      </c>
      <c r="E172" s="46" t="s">
        <v>8</v>
      </c>
      <c r="F172" s="87"/>
      <c r="G172" s="82"/>
      <c r="H172" s="82"/>
      <c r="I172" s="82" t="s">
        <v>7780</v>
      </c>
      <c r="J172" s="82"/>
      <c r="K172" s="82"/>
      <c r="L172" s="82"/>
      <c r="M172" s="82"/>
      <c r="N172" s="82"/>
      <c r="O172" s="87" t="s">
        <v>6283</v>
      </c>
      <c r="P172" s="82" t="s">
        <v>1316</v>
      </c>
      <c r="Q172" s="83">
        <f>VLOOKUP(TAB_ESTOQUE[[#This Row],[Codigo]],TAB_ENTRADA[[Cod_2_Entrada]:[TOTAL_ENTRADA]],5,FALSE)-VLOOKUP(TAB_ESTOQUE[[#This Row],[Codigo]],TAB_SAIDA[[COD_2_SAIDA]:[TOTAL_SAIDA]],5,FALSE)</f>
        <v>4</v>
      </c>
      <c r="R172" s="87"/>
      <c r="S172" s="87"/>
      <c r="T172" s="90"/>
      <c r="U172" s="91">
        <f>TAB_ESTOQUE[[#This Row],[Valor Unitario Estimado]]*TAB_ESTOQUE[[#This Row],[Estoque]]</f>
        <v>0</v>
      </c>
      <c r="V172" s="91"/>
      <c r="W172" s="85"/>
      <c r="X172" s="85"/>
      <c r="Y172" s="85"/>
      <c r="Z172" s="85"/>
      <c r="AA172" s="85"/>
      <c r="AB172" s="96" t="str">
        <f>IF(TAB_ESTOQUE[[#This Row],[Estoque]]=0,"Estoque Não Conforme",IF(TAB_ESTOQUE[[#This Row],[Estoque]]&gt;=TAB_ESTOQUE[[#This Row],[Mínimo]],"Estoque Conforme",IF(TAB_ESTOQUE[[#This Row],[Estoque]]&lt;TAB_ESTOQUE[[#This Row],[Mínimo]],"Estoque em Nivel Minimo")))</f>
        <v>Estoque Conforme</v>
      </c>
      <c r="AC172" s="85"/>
      <c r="AD172" s="82"/>
      <c r="AE172" s="82"/>
      <c r="AF172" s="82"/>
    </row>
    <row r="173" spans="1:32" ht="15" customHeight="1" x14ac:dyDescent="0.25">
      <c r="B173" s="47"/>
      <c r="C173" s="46"/>
      <c r="D173" s="45" t="s">
        <v>2717</v>
      </c>
      <c r="E173" s="46" t="s">
        <v>8</v>
      </c>
      <c r="F173" s="87"/>
      <c r="G173" s="82"/>
      <c r="H173" s="82"/>
      <c r="I173" s="82" t="s">
        <v>7781</v>
      </c>
      <c r="J173" s="82"/>
      <c r="K173" s="82"/>
      <c r="L173" s="82"/>
      <c r="M173" s="82"/>
      <c r="N173" s="82"/>
      <c r="O173" s="87" t="s">
        <v>6283</v>
      </c>
      <c r="P173" s="82" t="s">
        <v>1317</v>
      </c>
      <c r="Q173" s="83">
        <f>VLOOKUP(TAB_ESTOQUE[[#This Row],[Codigo]],TAB_ENTRADA[[Cod_2_Entrada]:[TOTAL_ENTRADA]],5,FALSE)-VLOOKUP(TAB_ESTOQUE[[#This Row],[Codigo]],TAB_SAIDA[[COD_2_SAIDA]:[TOTAL_SAIDA]],5,FALSE)</f>
        <v>0</v>
      </c>
      <c r="R173" s="87"/>
      <c r="S173" s="87"/>
      <c r="T173" s="90"/>
      <c r="U173" s="91">
        <f>TAB_ESTOQUE[[#This Row],[Valor Unitario Estimado]]*TAB_ESTOQUE[[#This Row],[Estoque]]</f>
        <v>0</v>
      </c>
      <c r="V173" s="91"/>
      <c r="W173" s="85"/>
      <c r="X173" s="85"/>
      <c r="Y173" s="85"/>
      <c r="Z173" s="85"/>
      <c r="AA173" s="85"/>
      <c r="AB173" s="96" t="str">
        <f>IF(TAB_ESTOQUE[[#This Row],[Estoque]]=0,"Estoque Não Conforme",IF(TAB_ESTOQUE[[#This Row],[Estoque]]&gt;=TAB_ESTOQUE[[#This Row],[Mínimo]],"Estoque Conforme",IF(TAB_ESTOQUE[[#This Row],[Estoque]]&lt;TAB_ESTOQUE[[#This Row],[Mínimo]],"Estoque em Nivel Minimo")))</f>
        <v>Estoque Não Conforme</v>
      </c>
      <c r="AC173" s="85"/>
      <c r="AD173" s="82"/>
      <c r="AE173" s="82"/>
      <c r="AF173" s="82"/>
    </row>
    <row r="174" spans="1:32" ht="15" customHeight="1" x14ac:dyDescent="0.25">
      <c r="A174" s="45">
        <v>885</v>
      </c>
      <c r="B174" s="47"/>
      <c r="C174" s="53" t="s">
        <v>2842</v>
      </c>
      <c r="D174" s="45" t="s">
        <v>1663</v>
      </c>
      <c r="E174" s="46"/>
      <c r="F174" s="87"/>
      <c r="G174" s="82"/>
      <c r="H174" s="82"/>
      <c r="I174" s="82" t="s">
        <v>6913</v>
      </c>
      <c r="J174" s="82"/>
      <c r="K174" s="82"/>
      <c r="L174" s="82"/>
      <c r="M174" s="82"/>
      <c r="N174" s="82"/>
      <c r="O174" s="87" t="s">
        <v>6281</v>
      </c>
      <c r="P174" s="82" t="s">
        <v>683</v>
      </c>
      <c r="Q174" s="83">
        <f>VLOOKUP(TAB_ESTOQUE[[#This Row],[Codigo]],TAB_ENTRADA[[Cod_2_Entrada]:[TOTAL_ENTRADA]],5,FALSE)-VLOOKUP(TAB_ESTOQUE[[#This Row],[Codigo]],TAB_SAIDA[[COD_2_SAIDA]:[TOTAL_SAIDA]],5,FALSE)</f>
        <v>5</v>
      </c>
      <c r="R174" s="87"/>
      <c r="S174" s="87"/>
      <c r="T174" s="90">
        <v>16.440000000000001</v>
      </c>
      <c r="U174" s="91">
        <f>TAB_ESTOQUE[[#This Row],[Valor Unitario Estimado]]*TAB_ESTOQUE[[#This Row],[Estoque]]</f>
        <v>82.2</v>
      </c>
      <c r="V174" s="91"/>
      <c r="W174" s="85"/>
      <c r="X174" s="85"/>
      <c r="Y174" s="85"/>
      <c r="Z174" s="85"/>
      <c r="AA174" s="85"/>
      <c r="AB174" s="85" t="str">
        <f>IF(TAB_ESTOQUE[[#This Row],[Estoque]]=0,"Estoque Não Conforme",IF(TAB_ESTOQUE[[#This Row],[Estoque]]&gt;=TAB_ESTOQUE[[#This Row],[Mínimo]],"Estoque Conforme",IF(TAB_ESTOQUE[[#This Row],[Estoque]]&lt;TAB_ESTOQUE[[#This Row],[Mínimo]],"Estoque em Nivel Minimo")))</f>
        <v>Estoque Conforme</v>
      </c>
      <c r="AC174" s="85"/>
      <c r="AD174" s="82"/>
      <c r="AE174" s="82"/>
      <c r="AF174" s="82"/>
    </row>
    <row r="175" spans="1:32" ht="15" customHeight="1" x14ac:dyDescent="0.25">
      <c r="A175" s="45">
        <v>620</v>
      </c>
      <c r="B175" s="47"/>
      <c r="C175" s="53" t="s">
        <v>2842</v>
      </c>
      <c r="D175" s="45" t="s">
        <v>1665</v>
      </c>
      <c r="E175" s="46"/>
      <c r="F175" s="87"/>
      <c r="G175" s="82"/>
      <c r="H175" s="82"/>
      <c r="I175" s="82" t="s">
        <v>7783</v>
      </c>
      <c r="J175" s="82"/>
      <c r="K175" s="82"/>
      <c r="L175" s="82"/>
      <c r="M175" s="82"/>
      <c r="N175" s="82"/>
      <c r="O175" s="87" t="s">
        <v>6281</v>
      </c>
      <c r="P175" s="82" t="s">
        <v>403</v>
      </c>
      <c r="Q175" s="83">
        <f>VLOOKUP(TAB_ESTOQUE[[#This Row],[Codigo]],TAB_ENTRADA[[Cod_2_Entrada]:[TOTAL_ENTRADA]],5,FALSE)-VLOOKUP(TAB_ESTOQUE[[#This Row],[Codigo]],TAB_SAIDA[[COD_2_SAIDA]:[TOTAL_SAIDA]],5,FALSE)</f>
        <v>12</v>
      </c>
      <c r="R175" s="87"/>
      <c r="S175" s="87"/>
      <c r="T175" s="90">
        <v>12.3</v>
      </c>
      <c r="U175" s="91">
        <f>TAB_ESTOQUE[[#This Row],[Valor Unitario Estimado]]*TAB_ESTOQUE[[#This Row],[Estoque]]</f>
        <v>147.60000000000002</v>
      </c>
      <c r="V175" s="91"/>
      <c r="W175" s="85"/>
      <c r="X175" s="85"/>
      <c r="Y175" s="85"/>
      <c r="Z175" s="85"/>
      <c r="AA175" s="85"/>
      <c r="AB175" s="85" t="str">
        <f>IF(TAB_ESTOQUE[[#This Row],[Estoque]]=0,"Estoque Não Conforme",IF(TAB_ESTOQUE[[#This Row],[Estoque]]&gt;=TAB_ESTOQUE[[#This Row],[Mínimo]],"Estoque Conforme",IF(TAB_ESTOQUE[[#This Row],[Estoque]]&lt;TAB_ESTOQUE[[#This Row],[Mínimo]],"Estoque em Nivel Minimo")))</f>
        <v>Estoque Conforme</v>
      </c>
      <c r="AC175" s="85"/>
      <c r="AD175" s="82"/>
      <c r="AE175" s="82"/>
      <c r="AF175" s="82"/>
    </row>
    <row r="176" spans="1:32" ht="15" customHeight="1" x14ac:dyDescent="0.25">
      <c r="A176" s="47">
        <v>886</v>
      </c>
      <c r="B176" s="47"/>
      <c r="C176" s="51" t="s">
        <v>2838</v>
      </c>
      <c r="D176" s="47" t="s">
        <v>1738</v>
      </c>
      <c r="E176" s="51" t="s">
        <v>7</v>
      </c>
      <c r="F176" s="107"/>
      <c r="G176" s="94"/>
      <c r="H176" s="94"/>
      <c r="I176" s="94" t="s">
        <v>407</v>
      </c>
      <c r="J176" s="94"/>
      <c r="K176" s="94"/>
      <c r="L176" s="94"/>
      <c r="M176" s="94"/>
      <c r="N176" s="94"/>
      <c r="O176" s="107" t="s">
        <v>6281</v>
      </c>
      <c r="P176" s="94" t="s">
        <v>685</v>
      </c>
      <c r="Q176" s="145">
        <f>VLOOKUP(TAB_ESTOQUE[[#This Row],[Codigo]],TAB_ENTRADA[[Cod_2_Entrada]:[TOTAL_ENTRADA]],5,FALSE)-VLOOKUP(TAB_ESTOQUE[[#This Row],[Codigo]],TAB_SAIDA[[COD_2_SAIDA]:[TOTAL_SAIDA]],5,FALSE)</f>
        <v>44</v>
      </c>
      <c r="R176" s="107"/>
      <c r="S176" s="107"/>
      <c r="T176" s="108">
        <v>5</v>
      </c>
      <c r="U176" s="109">
        <f>TAB_ESTOQUE[[#This Row],[Valor Unitario Estimado]]*TAB_ESTOQUE[[#This Row],[Estoque]]</f>
        <v>220</v>
      </c>
      <c r="V176" s="109"/>
      <c r="W176" s="110"/>
      <c r="X176" s="110"/>
      <c r="Y176" s="110"/>
      <c r="Z176" s="110"/>
      <c r="AA176" s="110"/>
      <c r="AB176" s="110" t="str">
        <f>IF(TAB_ESTOQUE[[#This Row],[Estoque]]=0,"Estoque Não Conforme",IF(TAB_ESTOQUE[[#This Row],[Estoque]]&gt;=TAB_ESTOQUE[[#This Row],[Mínimo]],"Estoque Conforme",IF(TAB_ESTOQUE[[#This Row],[Estoque]]&lt;TAB_ESTOQUE[[#This Row],[Mínimo]],"Estoque em Nivel Minimo")))</f>
        <v>Estoque Conforme</v>
      </c>
      <c r="AC176" s="110"/>
      <c r="AD176" s="94"/>
      <c r="AE176" s="82"/>
      <c r="AF176" s="82"/>
    </row>
    <row r="177" spans="1:32" ht="15" customHeight="1" x14ac:dyDescent="0.25">
      <c r="A177" s="45">
        <v>629</v>
      </c>
      <c r="B177" s="47"/>
      <c r="C177" s="46" t="s">
        <v>2842</v>
      </c>
      <c r="D177" s="45" t="s">
        <v>1739</v>
      </c>
      <c r="E177" s="46" t="s">
        <v>7</v>
      </c>
      <c r="F177" s="87"/>
      <c r="G177" s="82"/>
      <c r="H177" s="82"/>
      <c r="I177" s="95" t="s">
        <v>7786</v>
      </c>
      <c r="J177" s="82"/>
      <c r="K177" s="82"/>
      <c r="L177" s="82"/>
      <c r="M177" s="82"/>
      <c r="N177" s="82"/>
      <c r="O177" s="87" t="s">
        <v>6281</v>
      </c>
      <c r="P177" s="82" t="s">
        <v>408</v>
      </c>
      <c r="Q177" s="83">
        <f>VLOOKUP(TAB_ESTOQUE[[#This Row],[Codigo]],TAB_ENTRADA[[Cod_2_Entrada]:[TOTAL_ENTRADA]],5,FALSE)-VLOOKUP(TAB_ESTOQUE[[#This Row],[Codigo]],TAB_SAIDA[[COD_2_SAIDA]:[TOTAL_SAIDA]],5,FALSE)</f>
        <v>2</v>
      </c>
      <c r="R177" s="87"/>
      <c r="S177" s="87"/>
      <c r="T177" s="90">
        <v>15</v>
      </c>
      <c r="U177" s="91">
        <f>TAB_ESTOQUE[[#This Row],[Valor Unitario Estimado]]*TAB_ESTOQUE[[#This Row],[Estoque]]</f>
        <v>30</v>
      </c>
      <c r="V177" s="91"/>
      <c r="W177" s="85"/>
      <c r="X177" s="85"/>
      <c r="Y177" s="85"/>
      <c r="Z177" s="85"/>
      <c r="AA177" s="85"/>
      <c r="AB177" s="85" t="str">
        <f>IF(TAB_ESTOQUE[[#This Row],[Estoque]]=0,"Estoque Não Conforme",IF(TAB_ESTOQUE[[#This Row],[Estoque]]&gt;=TAB_ESTOQUE[[#This Row],[Mínimo]],"Estoque Conforme",IF(TAB_ESTOQUE[[#This Row],[Estoque]]&lt;TAB_ESTOQUE[[#This Row],[Mínimo]],"Estoque em Nivel Minimo")))</f>
        <v>Estoque Conforme</v>
      </c>
      <c r="AC177" s="85"/>
      <c r="AD177" s="82"/>
      <c r="AE177" s="82"/>
      <c r="AF177" s="82"/>
    </row>
    <row r="178" spans="1:32" ht="15" customHeight="1" x14ac:dyDescent="0.25">
      <c r="A178" s="45" t="s">
        <v>1159</v>
      </c>
      <c r="B178" s="47"/>
      <c r="C178" s="46"/>
      <c r="D178" s="45" t="s">
        <v>2628</v>
      </c>
      <c r="E178" s="46" t="s">
        <v>8</v>
      </c>
      <c r="F178" s="87"/>
      <c r="G178" s="82"/>
      <c r="H178" s="82"/>
      <c r="I178" s="82" t="s">
        <v>3094</v>
      </c>
      <c r="J178" s="82"/>
      <c r="K178" s="82"/>
      <c r="L178" s="82"/>
      <c r="M178" s="82"/>
      <c r="N178" s="82"/>
      <c r="O178" s="87" t="s">
        <v>6281</v>
      </c>
      <c r="P178" s="82" t="s">
        <v>1243</v>
      </c>
      <c r="Q178" s="83">
        <f>VLOOKUP(TAB_ESTOQUE[[#This Row],[Codigo]],TAB_ENTRADA[[Cod_2_Entrada]:[TOTAL_ENTRADA]],5,FALSE)-VLOOKUP(TAB_ESTOQUE[[#This Row],[Codigo]],TAB_SAIDA[[COD_2_SAIDA]:[TOTAL_SAIDA]],5,FALSE)</f>
        <v>5</v>
      </c>
      <c r="R178" s="87"/>
      <c r="S178" s="87"/>
      <c r="T178" s="90"/>
      <c r="U178" s="91">
        <f>TAB_ESTOQUE[[#This Row],[Valor Unitario Estimado]]*TAB_ESTOQUE[[#This Row],[Estoque]]</f>
        <v>0</v>
      </c>
      <c r="V178" s="91"/>
      <c r="W178" s="85"/>
      <c r="X178" s="85"/>
      <c r="Y178" s="85"/>
      <c r="Z178" s="85"/>
      <c r="AA178" s="85"/>
      <c r="AB178" s="85" t="str">
        <f>IF(TAB_ESTOQUE[[#This Row],[Estoque]]=0,"Estoque Não Conforme",IF(TAB_ESTOQUE[[#This Row],[Estoque]]&gt;=TAB_ESTOQUE[[#This Row],[Mínimo]],"Estoque Conforme",IF(TAB_ESTOQUE[[#This Row],[Estoque]]&lt;TAB_ESTOQUE[[#This Row],[Mínimo]],"Estoque em Nivel Minimo")))</f>
        <v>Estoque Conforme</v>
      </c>
      <c r="AC178" s="85"/>
      <c r="AD178" s="82"/>
      <c r="AE178" s="82"/>
      <c r="AF178" s="82"/>
    </row>
    <row r="179" spans="1:32" ht="15" customHeight="1" x14ac:dyDescent="0.25">
      <c r="B179" s="47"/>
      <c r="C179" s="48"/>
      <c r="D179" s="45" t="s">
        <v>6430</v>
      </c>
      <c r="E179" s="46"/>
      <c r="F179" s="87"/>
      <c r="G179" s="82"/>
      <c r="H179" s="82"/>
      <c r="I179" s="82" t="s">
        <v>6914</v>
      </c>
      <c r="J179" s="82"/>
      <c r="K179" s="82"/>
      <c r="L179" s="82"/>
      <c r="M179" s="82"/>
      <c r="N179" s="82"/>
      <c r="O179" s="87" t="s">
        <v>6281</v>
      </c>
      <c r="P179" s="82"/>
      <c r="Q179" s="83">
        <f>VLOOKUP(TAB_ESTOQUE[[#This Row],[Codigo]],TAB_ENTRADA[[Cod_2_Entrada]:[TOTAL_ENTRADA]],5,FALSE)-VLOOKUP(TAB_ESTOQUE[[#This Row],[Codigo]],TAB_SAIDA[[COD_2_SAIDA]:[TOTAL_SAIDA]],5,FALSE)</f>
        <v>9</v>
      </c>
      <c r="R179" s="87"/>
      <c r="S179" s="87"/>
      <c r="T179" s="90">
        <v>12.3</v>
      </c>
      <c r="U179" s="91">
        <f>TAB_ESTOQUE[[#This Row],[Valor Unitario Estimado]]*TAB_ESTOQUE[[#This Row],[Estoque]]</f>
        <v>110.7</v>
      </c>
      <c r="V179" s="91"/>
      <c r="W179" s="85"/>
      <c r="X179" s="85"/>
      <c r="Y179" s="85"/>
      <c r="Z179" s="85"/>
      <c r="AA179" s="85"/>
      <c r="AB179" s="85" t="str">
        <f>IF(TAB_ESTOQUE[[#This Row],[Estoque]]=0,"Estoque Não Conforme",IF(TAB_ESTOQUE[[#This Row],[Estoque]]&gt;=TAB_ESTOQUE[[#This Row],[Mínimo]],"Estoque Conforme",IF(TAB_ESTOQUE[[#This Row],[Estoque]]&lt;TAB_ESTOQUE[[#This Row],[Mínimo]],"Estoque em Nivel Minimo")))</f>
        <v>Estoque Conforme</v>
      </c>
      <c r="AC179" s="96"/>
      <c r="AD179" s="82"/>
      <c r="AE179" s="82"/>
      <c r="AF179" s="82"/>
    </row>
    <row r="180" spans="1:32" ht="15" customHeight="1" x14ac:dyDescent="0.25">
      <c r="C180" s="48"/>
      <c r="D180" s="45" t="s">
        <v>7200</v>
      </c>
      <c r="E180" s="46"/>
      <c r="F180" s="46"/>
      <c r="I180" s="45" t="s">
        <v>7791</v>
      </c>
      <c r="O180" s="46" t="s">
        <v>6281</v>
      </c>
      <c r="Q180" s="137">
        <f>VLOOKUP(TAB_ESTOQUE[[#This Row],[Codigo]],TAB_ENTRADA[[Cod_2_Entrada]:[TOTAL_ENTRADA]],5,FALSE)-VLOOKUP(TAB_ESTOQUE[[#This Row],[Codigo]],TAB_SAIDA[[COD_2_SAIDA]:[TOTAL_SAIDA]],5,FALSE)</f>
        <v>2</v>
      </c>
      <c r="S180" s="46"/>
      <c r="T180" s="102"/>
      <c r="U180" s="103">
        <f>TAB_ESTOQUE[[#This Row],[Valor Unitario Estimado]]*TAB_ESTOQUE[[#This Row],[Estoque]]</f>
        <v>0</v>
      </c>
      <c r="V180" s="103"/>
      <c r="AA180" s="138"/>
      <c r="AB180" s="104" t="str">
        <f>IF(TAB_ESTOQUE[[#This Row],[Estoque]]=0,"Estoque Não Conforme",IF(TAB_ESTOQUE[[#This Row],[Estoque]]&gt;=TAB_ESTOQUE[[#This Row],[Mínimo]],"Estoque Conforme",IF(TAB_ESTOQUE[[#This Row],[Estoque]]&lt;TAB_ESTOQUE[[#This Row],[Mínimo]],"Estoque em Nivel Minimo")))</f>
        <v>Estoque Conforme</v>
      </c>
      <c r="AC180" s="104"/>
      <c r="AE180" s="82"/>
      <c r="AF180" s="82"/>
    </row>
    <row r="181" spans="1:32" ht="15" customHeight="1" x14ac:dyDescent="0.25">
      <c r="C181" s="48"/>
      <c r="D181" s="45" t="s">
        <v>7201</v>
      </c>
      <c r="E181" s="46"/>
      <c r="F181" s="46"/>
      <c r="I181" s="45" t="s">
        <v>7793</v>
      </c>
      <c r="O181" s="46" t="s">
        <v>6281</v>
      </c>
      <c r="Q181" s="137">
        <f>VLOOKUP(TAB_ESTOQUE[[#This Row],[Codigo]],TAB_ENTRADA[[Cod_2_Entrada]:[TOTAL_ENTRADA]],5,FALSE)-VLOOKUP(TAB_ESTOQUE[[#This Row],[Codigo]],TAB_SAIDA[[COD_2_SAIDA]:[TOTAL_SAIDA]],5,FALSE)</f>
        <v>2</v>
      </c>
      <c r="S181" s="46"/>
      <c r="T181" s="102"/>
      <c r="U181" s="103">
        <f>TAB_ESTOQUE[[#This Row],[Valor Unitario Estimado]]*TAB_ESTOQUE[[#This Row],[Estoque]]</f>
        <v>0</v>
      </c>
      <c r="V181" s="103"/>
      <c r="AA181" s="138"/>
      <c r="AB181" s="104" t="str">
        <f>IF(TAB_ESTOQUE[[#This Row],[Estoque]]=0,"Estoque Não Conforme",IF(TAB_ESTOQUE[[#This Row],[Estoque]]&gt;=TAB_ESTOQUE[[#This Row],[Mínimo]],"Estoque Conforme",IF(TAB_ESTOQUE[[#This Row],[Estoque]]&lt;TAB_ESTOQUE[[#This Row],[Mínimo]],"Estoque em Nivel Minimo")))</f>
        <v>Estoque Conforme</v>
      </c>
      <c r="AC181" s="104"/>
      <c r="AE181" s="82"/>
      <c r="AF181" s="82"/>
    </row>
    <row r="182" spans="1:32" ht="15" customHeight="1" x14ac:dyDescent="0.25">
      <c r="C182" s="48"/>
      <c r="D182" s="45" t="s">
        <v>7202</v>
      </c>
      <c r="E182" s="46"/>
      <c r="F182" s="46"/>
      <c r="I182" s="45" t="s">
        <v>7792</v>
      </c>
      <c r="O182" s="51" t="s">
        <v>6281</v>
      </c>
      <c r="Q182" s="137">
        <f>VLOOKUP(TAB_ESTOQUE[[#This Row],[Codigo]],TAB_ENTRADA[[Cod_2_Entrada]:[TOTAL_ENTRADA]],5,FALSE)-VLOOKUP(TAB_ESTOQUE[[#This Row],[Codigo]],TAB_SAIDA[[COD_2_SAIDA]:[TOTAL_SAIDA]],5,FALSE)</f>
        <v>1</v>
      </c>
      <c r="S182" s="46"/>
      <c r="T182" s="102"/>
      <c r="U182" s="103">
        <f>TAB_ESTOQUE[[#This Row],[Valor Unitario Estimado]]*TAB_ESTOQUE[[#This Row],[Estoque]]</f>
        <v>0</v>
      </c>
      <c r="V182" s="103"/>
      <c r="AA182" s="138"/>
      <c r="AB182" s="104" t="str">
        <f>IF(TAB_ESTOQUE[[#This Row],[Estoque]]=0,"Estoque Não Conforme",IF(TAB_ESTOQUE[[#This Row],[Estoque]]&gt;=TAB_ESTOQUE[[#This Row],[Mínimo]],"Estoque Conforme",IF(TAB_ESTOQUE[[#This Row],[Estoque]]&lt;TAB_ESTOQUE[[#This Row],[Mínimo]],"Estoque em Nivel Minimo")))</f>
        <v>Estoque Conforme</v>
      </c>
      <c r="AC182" s="104"/>
      <c r="AE182" s="82"/>
      <c r="AF182" s="82"/>
    </row>
    <row r="183" spans="1:32" ht="15" customHeight="1" x14ac:dyDescent="0.25">
      <c r="C183" s="48"/>
      <c r="D183" s="45" t="s">
        <v>7203</v>
      </c>
      <c r="E183" s="46"/>
      <c r="F183" s="46"/>
      <c r="I183" s="45" t="s">
        <v>7794</v>
      </c>
      <c r="O183" s="116" t="s">
        <v>6281</v>
      </c>
      <c r="Q183" s="137">
        <f>VLOOKUP(TAB_ESTOQUE[[#This Row],[Codigo]],TAB_ENTRADA[[Cod_2_Entrada]:[TOTAL_ENTRADA]],5,FALSE)-VLOOKUP(TAB_ESTOQUE[[#This Row],[Codigo]],TAB_SAIDA[[COD_2_SAIDA]:[TOTAL_SAIDA]],5,FALSE)</f>
        <v>0</v>
      </c>
      <c r="S183" s="46"/>
      <c r="T183" s="102"/>
      <c r="U183" s="103">
        <f>TAB_ESTOQUE[[#This Row],[Valor Unitario Estimado]]*TAB_ESTOQUE[[#This Row],[Estoque]]</f>
        <v>0</v>
      </c>
      <c r="V183" s="103"/>
      <c r="AA183" s="138"/>
      <c r="AB183" s="104" t="str">
        <f>IF(TAB_ESTOQUE[[#This Row],[Estoque]]=0,"Estoque Não Conforme",IF(TAB_ESTOQUE[[#This Row],[Estoque]]&gt;=TAB_ESTOQUE[[#This Row],[Mínimo]],"Estoque Conforme",IF(TAB_ESTOQUE[[#This Row],[Estoque]]&lt;TAB_ESTOQUE[[#This Row],[Mínimo]],"Estoque em Nivel Minimo")))</f>
        <v>Estoque Não Conforme</v>
      </c>
      <c r="AC183" s="104"/>
      <c r="AE183" s="82"/>
      <c r="AF183" s="82"/>
    </row>
    <row r="184" spans="1:32" ht="15" customHeight="1" x14ac:dyDescent="0.25">
      <c r="A184" s="45">
        <v>887</v>
      </c>
      <c r="B184" s="47"/>
      <c r="C184" s="46" t="s">
        <v>2842</v>
      </c>
      <c r="D184" s="45" t="s">
        <v>1740</v>
      </c>
      <c r="E184" s="46" t="s">
        <v>7</v>
      </c>
      <c r="F184" s="87"/>
      <c r="G184" s="82"/>
      <c r="H184" s="82"/>
      <c r="I184" s="82" t="s">
        <v>34</v>
      </c>
      <c r="J184" s="82"/>
      <c r="K184" s="82"/>
      <c r="L184" s="82"/>
      <c r="M184" s="82"/>
      <c r="N184" s="82"/>
      <c r="O184" s="87" t="s">
        <v>6250</v>
      </c>
      <c r="P184" s="82" t="s">
        <v>687</v>
      </c>
      <c r="Q184" s="83">
        <f>VLOOKUP(TAB_ESTOQUE[[#This Row],[Codigo]],TAB_ENTRADA[[Cod_2_Entrada]:[TOTAL_ENTRADA]],5,FALSE)-VLOOKUP(TAB_ESTOQUE[[#This Row],[Codigo]],TAB_SAIDA[[COD_2_SAIDA]:[TOTAL_SAIDA]],5,FALSE)</f>
        <v>2</v>
      </c>
      <c r="R184" s="87"/>
      <c r="S184" s="87"/>
      <c r="T184" s="90">
        <v>300</v>
      </c>
      <c r="U184" s="91">
        <f>TAB_ESTOQUE[[#This Row],[Valor Unitario Estimado]]*TAB_ESTOQUE[[#This Row],[Estoque]]</f>
        <v>600</v>
      </c>
      <c r="V184" s="91"/>
      <c r="W184" s="85"/>
      <c r="X184" s="85"/>
      <c r="Y184" s="85"/>
      <c r="Z184" s="85"/>
      <c r="AA184" s="85"/>
      <c r="AB184" s="85" t="str">
        <f>IF(TAB_ESTOQUE[[#This Row],[Estoque]]=0,"Estoque Não Conforme",IF(TAB_ESTOQUE[[#This Row],[Estoque]]&gt;=TAB_ESTOQUE[[#This Row],[Mínimo]],"Estoque Conforme",IF(TAB_ESTOQUE[[#This Row],[Estoque]]&lt;TAB_ESTOQUE[[#This Row],[Mínimo]],"Estoque em Nivel Minimo")))</f>
        <v>Estoque Conforme</v>
      </c>
      <c r="AC184" s="85"/>
      <c r="AD184" s="82"/>
      <c r="AE184" s="82"/>
      <c r="AF184" s="82"/>
    </row>
    <row r="185" spans="1:32" ht="15" customHeight="1" x14ac:dyDescent="0.25">
      <c r="A185" s="45">
        <v>62</v>
      </c>
      <c r="B185" s="47"/>
      <c r="C185" s="46" t="s">
        <v>2838</v>
      </c>
      <c r="D185" s="45" t="s">
        <v>1741</v>
      </c>
      <c r="E185" s="46" t="s">
        <v>7</v>
      </c>
      <c r="F185" s="87"/>
      <c r="G185" s="82"/>
      <c r="H185" s="82"/>
      <c r="I185" s="82" t="s">
        <v>7596</v>
      </c>
      <c r="J185" s="82"/>
      <c r="K185" s="82"/>
      <c r="L185" s="82"/>
      <c r="M185" s="82"/>
      <c r="N185" s="82"/>
      <c r="O185" s="87" t="s">
        <v>6250</v>
      </c>
      <c r="P185" s="82" t="s">
        <v>36</v>
      </c>
      <c r="Q185" s="83">
        <f>VLOOKUP(TAB_ESTOQUE[[#This Row],[Codigo]],TAB_ENTRADA[[Cod_2_Entrada]:[TOTAL_ENTRADA]],5,FALSE)-VLOOKUP(TAB_ESTOQUE[[#This Row],[Codigo]],TAB_SAIDA[[COD_2_SAIDA]:[TOTAL_SAIDA]],5,FALSE)</f>
        <v>3</v>
      </c>
      <c r="R185" s="87"/>
      <c r="S185" s="87"/>
      <c r="T185" s="90">
        <v>353</v>
      </c>
      <c r="U185" s="91">
        <f>TAB_ESTOQUE[[#This Row],[Valor Unitario Estimado]]*TAB_ESTOQUE[[#This Row],[Estoque]]</f>
        <v>1059</v>
      </c>
      <c r="V185" s="91"/>
      <c r="W185" s="85"/>
      <c r="X185" s="85"/>
      <c r="Y185" s="85"/>
      <c r="Z185" s="85"/>
      <c r="AA185" s="85"/>
      <c r="AB185" s="85" t="str">
        <f>IF(TAB_ESTOQUE[[#This Row],[Estoque]]=0,"Estoque Não Conforme",IF(TAB_ESTOQUE[[#This Row],[Estoque]]&gt;=TAB_ESTOQUE[[#This Row],[Mínimo]],"Estoque Conforme",IF(TAB_ESTOQUE[[#This Row],[Estoque]]&lt;TAB_ESTOQUE[[#This Row],[Mínimo]],"Estoque em Nivel Minimo")))</f>
        <v>Estoque Conforme</v>
      </c>
      <c r="AC185" s="85"/>
      <c r="AD185" s="82"/>
      <c r="AE185" s="82"/>
      <c r="AF185" s="82"/>
    </row>
    <row r="186" spans="1:32" ht="15" customHeight="1" x14ac:dyDescent="0.25">
      <c r="A186" s="45">
        <v>628</v>
      </c>
      <c r="B186" s="47"/>
      <c r="C186" s="46" t="s">
        <v>2838</v>
      </c>
      <c r="D186" s="45" t="s">
        <v>1742</v>
      </c>
      <c r="E186" s="46" t="s">
        <v>7</v>
      </c>
      <c r="F186" s="87"/>
      <c r="G186" s="82"/>
      <c r="H186" s="82"/>
      <c r="I186" s="208" t="s">
        <v>6286</v>
      </c>
      <c r="J186" s="82"/>
      <c r="K186" s="82"/>
      <c r="L186" s="82"/>
      <c r="M186" s="82"/>
      <c r="N186" s="82"/>
      <c r="O186" s="87" t="s">
        <v>6250</v>
      </c>
      <c r="P186" s="82" t="s">
        <v>406</v>
      </c>
      <c r="Q186" s="83">
        <f>VLOOKUP(TAB_ESTOQUE[[#This Row],[Codigo]],TAB_ENTRADA[[Cod_2_Entrada]:[TOTAL_ENTRADA]],5,FALSE)-VLOOKUP(TAB_ESTOQUE[[#This Row],[Codigo]],TAB_SAIDA[[COD_2_SAIDA]:[TOTAL_SAIDA]],5,FALSE)</f>
        <v>1</v>
      </c>
      <c r="R186" s="87"/>
      <c r="S186" s="87"/>
      <c r="T186" s="90">
        <v>107.73</v>
      </c>
      <c r="U186" s="91">
        <f>TAB_ESTOQUE[[#This Row],[Valor Unitario Estimado]]*TAB_ESTOQUE[[#This Row],[Estoque]]</f>
        <v>107.73</v>
      </c>
      <c r="V186" s="91"/>
      <c r="W186" s="85"/>
      <c r="X186" s="85"/>
      <c r="Y186" s="85"/>
      <c r="Z186" s="85"/>
      <c r="AA186" s="85"/>
      <c r="AB186" s="85" t="str">
        <f>IF(TAB_ESTOQUE[[#This Row],[Estoque]]=0,"Estoque Não Conforme",IF(TAB_ESTOQUE[[#This Row],[Estoque]]&gt;=TAB_ESTOQUE[[#This Row],[Mínimo]],"Estoque Conforme",IF(TAB_ESTOQUE[[#This Row],[Estoque]]&lt;TAB_ESTOQUE[[#This Row],[Mínimo]],"Estoque em Nivel Minimo")))</f>
        <v>Estoque Conforme</v>
      </c>
      <c r="AC186" s="85"/>
      <c r="AD186" s="82"/>
      <c r="AE186" s="82"/>
      <c r="AF186" s="82"/>
    </row>
    <row r="187" spans="1:32" ht="15" customHeight="1" x14ac:dyDescent="0.25">
      <c r="A187" s="45">
        <v>100</v>
      </c>
      <c r="B187" s="47"/>
      <c r="C187" s="46" t="s">
        <v>2838</v>
      </c>
      <c r="D187" s="45" t="s">
        <v>1743</v>
      </c>
      <c r="E187" s="46" t="s">
        <v>7</v>
      </c>
      <c r="F187" s="87"/>
      <c r="G187" s="82"/>
      <c r="H187" s="82"/>
      <c r="I187" s="82" t="s">
        <v>6287</v>
      </c>
      <c r="J187" s="82"/>
      <c r="K187" s="82"/>
      <c r="L187" s="82"/>
      <c r="M187" s="82"/>
      <c r="N187" s="82"/>
      <c r="O187" s="87" t="s">
        <v>6250</v>
      </c>
      <c r="P187" s="82" t="s">
        <v>63</v>
      </c>
      <c r="Q187" s="83">
        <f>VLOOKUP(TAB_ESTOQUE[[#This Row],[Codigo]],TAB_ENTRADA[[Cod_2_Entrada]:[TOTAL_ENTRADA]],5,FALSE)-VLOOKUP(TAB_ESTOQUE[[#This Row],[Codigo]],TAB_SAIDA[[COD_2_SAIDA]:[TOTAL_SAIDA]],5,FALSE)</f>
        <v>2</v>
      </c>
      <c r="R187" s="87"/>
      <c r="S187" s="87"/>
      <c r="T187" s="90">
        <v>90.54</v>
      </c>
      <c r="U187" s="91">
        <f>TAB_ESTOQUE[[#This Row],[Valor Unitario Estimado]]*TAB_ESTOQUE[[#This Row],[Estoque]]</f>
        <v>181.08</v>
      </c>
      <c r="V187" s="91"/>
      <c r="W187" s="85"/>
      <c r="X187" s="85"/>
      <c r="Y187" s="85"/>
      <c r="Z187" s="85"/>
      <c r="AA187" s="85"/>
      <c r="AB187" s="85" t="str">
        <f>IF(TAB_ESTOQUE[[#This Row],[Estoque]]=0,"Estoque Não Conforme",IF(TAB_ESTOQUE[[#This Row],[Estoque]]&gt;=TAB_ESTOQUE[[#This Row],[Mínimo]],"Estoque Conforme",IF(TAB_ESTOQUE[[#This Row],[Estoque]]&lt;TAB_ESTOQUE[[#This Row],[Mínimo]],"Estoque em Nivel Minimo")))</f>
        <v>Estoque Conforme</v>
      </c>
      <c r="AC187" s="85"/>
      <c r="AD187" s="82"/>
      <c r="AE187" s="82"/>
      <c r="AF187" s="82"/>
    </row>
    <row r="188" spans="1:32" ht="15" customHeight="1" x14ac:dyDescent="0.25">
      <c r="A188" s="45">
        <v>1311</v>
      </c>
      <c r="B188" s="47"/>
      <c r="C188" s="46" t="s">
        <v>2838</v>
      </c>
      <c r="D188" s="45" t="s">
        <v>1744</v>
      </c>
      <c r="E188" s="46" t="s">
        <v>7265</v>
      </c>
      <c r="F188" s="87"/>
      <c r="G188" s="82"/>
      <c r="H188" s="82"/>
      <c r="I188" s="82" t="s">
        <v>6289</v>
      </c>
      <c r="J188" s="82"/>
      <c r="K188" s="82"/>
      <c r="L188" s="82"/>
      <c r="M188" s="82"/>
      <c r="N188" s="82"/>
      <c r="O188" s="87" t="s">
        <v>6250</v>
      </c>
      <c r="P188" s="82" t="s">
        <v>1041</v>
      </c>
      <c r="Q188" s="83">
        <f>VLOOKUP(TAB_ESTOQUE[[#This Row],[Codigo]],TAB_ENTRADA[[Cod_2_Entrada]:[TOTAL_ENTRADA]],5,FALSE)-VLOOKUP(TAB_ESTOQUE[[#This Row],[Codigo]],TAB_SAIDA[[COD_2_SAIDA]:[TOTAL_SAIDA]],5,FALSE)</f>
        <v>2</v>
      </c>
      <c r="R188" s="87"/>
      <c r="S188" s="87"/>
      <c r="T188" s="90">
        <v>292</v>
      </c>
      <c r="U188" s="91">
        <f>TAB_ESTOQUE[[#This Row],[Valor Unitario Estimado]]*TAB_ESTOQUE[[#This Row],[Estoque]]</f>
        <v>584</v>
      </c>
      <c r="V188" s="91"/>
      <c r="W188" s="85"/>
      <c r="X188" s="85"/>
      <c r="Y188" s="85"/>
      <c r="Z188" s="85"/>
      <c r="AA188" s="85"/>
      <c r="AB188" s="85" t="str">
        <f>IF(TAB_ESTOQUE[[#This Row],[Estoque]]=0,"Estoque Não Conforme",IF(TAB_ESTOQUE[[#This Row],[Estoque]]&gt;=TAB_ESTOQUE[[#This Row],[Mínimo]],"Estoque Conforme",IF(TAB_ESTOQUE[[#This Row],[Estoque]]&lt;TAB_ESTOQUE[[#This Row],[Mínimo]],"Estoque em Nivel Minimo")))</f>
        <v>Estoque Conforme</v>
      </c>
      <c r="AC188" s="85"/>
      <c r="AD188" s="82"/>
      <c r="AE188" s="82"/>
      <c r="AF188" s="82"/>
    </row>
    <row r="189" spans="1:32" ht="15" customHeight="1" x14ac:dyDescent="0.25">
      <c r="A189" s="45">
        <v>1312</v>
      </c>
      <c r="B189" s="47"/>
      <c r="C189" s="46" t="s">
        <v>2838</v>
      </c>
      <c r="D189" s="45" t="s">
        <v>1745</v>
      </c>
      <c r="E189" s="46" t="s">
        <v>7</v>
      </c>
      <c r="F189" s="87"/>
      <c r="G189" s="82"/>
      <c r="H189" s="82"/>
      <c r="I189" s="82" t="s">
        <v>6288</v>
      </c>
      <c r="J189" s="82"/>
      <c r="K189" s="82"/>
      <c r="L189" s="82"/>
      <c r="M189" s="82"/>
      <c r="N189" s="82"/>
      <c r="O189" s="87" t="s">
        <v>6250</v>
      </c>
      <c r="P189" s="82" t="s">
        <v>1044</v>
      </c>
      <c r="Q189" s="83">
        <f>VLOOKUP(TAB_ESTOQUE[[#This Row],[Codigo]],TAB_ENTRADA[[Cod_2_Entrada]:[TOTAL_ENTRADA]],5,FALSE)-VLOOKUP(TAB_ESTOQUE[[#This Row],[Codigo]],TAB_SAIDA[[COD_2_SAIDA]:[TOTAL_SAIDA]],5,FALSE)</f>
        <v>2</v>
      </c>
      <c r="R189" s="87"/>
      <c r="S189" s="87"/>
      <c r="T189" s="90">
        <v>300</v>
      </c>
      <c r="U189" s="91">
        <f>TAB_ESTOQUE[[#This Row],[Valor Unitario Estimado]]*TAB_ESTOQUE[[#This Row],[Estoque]]</f>
        <v>600</v>
      </c>
      <c r="V189" s="91"/>
      <c r="W189" s="85"/>
      <c r="X189" s="85"/>
      <c r="Y189" s="85"/>
      <c r="Z189" s="85"/>
      <c r="AA189" s="85"/>
      <c r="AB189" s="85" t="str">
        <f>IF(TAB_ESTOQUE[[#This Row],[Estoque]]=0,"Estoque Não Conforme",IF(TAB_ESTOQUE[[#This Row],[Estoque]]&gt;=TAB_ESTOQUE[[#This Row],[Mínimo]],"Estoque Conforme",IF(TAB_ESTOQUE[[#This Row],[Estoque]]&lt;TAB_ESTOQUE[[#This Row],[Mínimo]],"Estoque em Nivel Minimo")))</f>
        <v>Estoque Conforme</v>
      </c>
      <c r="AC189" s="85"/>
      <c r="AD189" s="82"/>
      <c r="AE189" s="82"/>
      <c r="AF189" s="82"/>
    </row>
    <row r="190" spans="1:32" ht="15" customHeight="1" x14ac:dyDescent="0.25">
      <c r="A190" s="45" t="s">
        <v>1159</v>
      </c>
      <c r="B190" s="47"/>
      <c r="C190" s="46" t="s">
        <v>2838</v>
      </c>
      <c r="D190" s="45" t="s">
        <v>2654</v>
      </c>
      <c r="E190" s="46"/>
      <c r="F190" s="87"/>
      <c r="G190" s="82"/>
      <c r="H190" s="82"/>
      <c r="I190" s="82" t="s">
        <v>6249</v>
      </c>
      <c r="J190" s="82"/>
      <c r="K190" s="82"/>
      <c r="L190" s="82"/>
      <c r="M190" s="82"/>
      <c r="N190" s="82"/>
      <c r="O190" s="87" t="s">
        <v>6250</v>
      </c>
      <c r="P190" s="170" t="s">
        <v>1174</v>
      </c>
      <c r="Q190" s="83">
        <f>VLOOKUP(TAB_ESTOQUE[[#This Row],[Codigo]],TAB_ENTRADA[[Cod_2_Entrada]:[TOTAL_ENTRADA]],5,FALSE)-VLOOKUP(TAB_ESTOQUE[[#This Row],[Codigo]],TAB_SAIDA[[COD_2_SAIDA]:[TOTAL_SAIDA]],5,FALSE)</f>
        <v>0</v>
      </c>
      <c r="R190" s="87"/>
      <c r="S190" s="87"/>
      <c r="T190" s="90"/>
      <c r="U190" s="91">
        <f>TAB_ESTOQUE[[#This Row],[Valor Unitario Estimado]]*TAB_ESTOQUE[[#This Row],[Estoque]]</f>
        <v>0</v>
      </c>
      <c r="V190" s="91"/>
      <c r="W190" s="85"/>
      <c r="X190" s="85"/>
      <c r="Y190" s="85"/>
      <c r="Z190" s="85"/>
      <c r="AA190" s="85"/>
      <c r="AB190" s="85" t="str">
        <f>IF(TAB_ESTOQUE[[#This Row],[Estoque]]=0,"Estoque Não Conforme",IF(TAB_ESTOQUE[[#This Row],[Estoque]]&gt;=TAB_ESTOQUE[[#This Row],[Mínimo]],"Estoque Conforme",IF(TAB_ESTOQUE[[#This Row],[Estoque]]&lt;TAB_ESTOQUE[[#This Row],[Mínimo]],"Estoque em Nivel Minimo")))</f>
        <v>Estoque Não Conforme</v>
      </c>
      <c r="AC190" s="85"/>
      <c r="AD190" s="82"/>
      <c r="AE190" s="82"/>
      <c r="AF190" s="82"/>
    </row>
    <row r="191" spans="1:32" ht="15" customHeight="1" x14ac:dyDescent="0.25">
      <c r="C191" s="48"/>
      <c r="D191" s="45" t="s">
        <v>7729</v>
      </c>
      <c r="E191" s="46"/>
      <c r="F191" s="46"/>
      <c r="I191" s="45" t="s">
        <v>8443</v>
      </c>
      <c r="O191" s="46" t="s">
        <v>6250</v>
      </c>
      <c r="Q191" s="137">
        <f>VLOOKUP(TAB_ESTOQUE[[#This Row],[Codigo]],TAB_ENTRADA[[Cod_2_Entrada]:[TOTAL_ENTRADA]],5,FALSE)-VLOOKUP(TAB_ESTOQUE[[#This Row],[Codigo]],TAB_SAIDA[[COD_2_SAIDA]:[TOTAL_SAIDA]],5,FALSE)</f>
        <v>0</v>
      </c>
      <c r="S191" s="46"/>
      <c r="T191" s="102"/>
      <c r="U191" s="103">
        <f>TAB_ESTOQUE[[#This Row],[Valor Unitario Estimado]]*TAB_ESTOQUE[[#This Row],[Estoque]]</f>
        <v>0</v>
      </c>
      <c r="V191" s="103"/>
      <c r="AA191" s="138"/>
      <c r="AB191" s="104" t="str">
        <f>IF(TAB_ESTOQUE[[#This Row],[Estoque]]=0,"Estoque Não Conforme",IF(TAB_ESTOQUE[[#This Row],[Estoque]]&gt;=TAB_ESTOQUE[[#This Row],[Mínimo]],"Estoque Conforme",IF(TAB_ESTOQUE[[#This Row],[Estoque]]&lt;TAB_ESTOQUE[[#This Row],[Mínimo]],"Estoque em Nivel Minimo")))</f>
        <v>Estoque Não Conforme</v>
      </c>
      <c r="AC191" s="104"/>
      <c r="AE191" s="82"/>
      <c r="AF191" s="82"/>
    </row>
    <row r="192" spans="1:32" ht="15" customHeight="1" x14ac:dyDescent="0.25">
      <c r="C192" s="48"/>
      <c r="D192" s="45" t="s">
        <v>7744</v>
      </c>
      <c r="E192" s="46"/>
      <c r="F192" s="46"/>
      <c r="I192" s="45" t="s">
        <v>8840</v>
      </c>
      <c r="O192" s="46" t="s">
        <v>6250</v>
      </c>
      <c r="Q192" s="137">
        <f>VLOOKUP(TAB_ESTOQUE[[#This Row],[Codigo]],TAB_ENTRADA[[Cod_2_Entrada]:[TOTAL_ENTRADA]],5,FALSE)-VLOOKUP(TAB_ESTOQUE[[#This Row],[Codigo]],TAB_SAIDA[[COD_2_SAIDA]:[TOTAL_SAIDA]],5,FALSE)</f>
        <v>2</v>
      </c>
      <c r="R192" s="46">
        <v>2</v>
      </c>
      <c r="S192" s="46">
        <v>4</v>
      </c>
      <c r="T192" s="102">
        <v>215.26</v>
      </c>
      <c r="U192" s="103">
        <f>TAB_ESTOQUE[[#This Row],[Valor Unitario Estimado]]*TAB_ESTOQUE[[#This Row],[Estoque]]</f>
        <v>430.52</v>
      </c>
      <c r="V192" s="103"/>
      <c r="AA192" s="138"/>
      <c r="AB192" s="104" t="str">
        <f>IF(TAB_ESTOQUE[[#This Row],[Estoque]]=0,"Estoque Não Conforme",IF(TAB_ESTOQUE[[#This Row],[Estoque]]&gt;=TAB_ESTOQUE[[#This Row],[Mínimo]],"Estoque Conforme",IF(TAB_ESTOQUE[[#This Row],[Estoque]]&lt;TAB_ESTOQUE[[#This Row],[Mínimo]],"Estoque em Nivel Minimo")))</f>
        <v>Estoque Conforme</v>
      </c>
      <c r="AC192" s="104"/>
      <c r="AE192" s="82"/>
      <c r="AF192" s="82"/>
    </row>
    <row r="193" spans="1:32" ht="15" customHeight="1" x14ac:dyDescent="0.25">
      <c r="A193" s="45">
        <v>897</v>
      </c>
      <c r="B193" s="47"/>
      <c r="C193" s="46" t="s">
        <v>2842</v>
      </c>
      <c r="D193" s="45" t="s">
        <v>1747</v>
      </c>
      <c r="E193" s="46" t="s">
        <v>7</v>
      </c>
      <c r="F193" s="87"/>
      <c r="G193" s="82"/>
      <c r="H193" s="82"/>
      <c r="I193" s="82" t="s">
        <v>7787</v>
      </c>
      <c r="J193" s="82"/>
      <c r="K193" s="82"/>
      <c r="L193" s="82"/>
      <c r="M193" s="82"/>
      <c r="N193" s="82"/>
      <c r="O193" s="87" t="s">
        <v>6290</v>
      </c>
      <c r="P193" s="82" t="s">
        <v>699</v>
      </c>
      <c r="Q193" s="83">
        <f>VLOOKUP(TAB_ESTOQUE[[#This Row],[Codigo]],TAB_ENTRADA[[Cod_2_Entrada]:[TOTAL_ENTRADA]],5,FALSE)-VLOOKUP(TAB_ESTOQUE[[#This Row],[Codigo]],TAB_SAIDA[[COD_2_SAIDA]:[TOTAL_SAIDA]],5,FALSE)</f>
        <v>2</v>
      </c>
      <c r="R193" s="87"/>
      <c r="S193" s="87"/>
      <c r="T193" s="90">
        <v>88.5</v>
      </c>
      <c r="U193" s="91">
        <f>TAB_ESTOQUE[[#This Row],[Valor Unitario Estimado]]*TAB_ESTOQUE[[#This Row],[Estoque]]</f>
        <v>177</v>
      </c>
      <c r="V193" s="91"/>
      <c r="W193" s="85"/>
      <c r="X193" s="85"/>
      <c r="Y193" s="85"/>
      <c r="Z193" s="85"/>
      <c r="AA193" s="85"/>
      <c r="AB193" s="85" t="str">
        <f>IF(TAB_ESTOQUE[[#This Row],[Estoque]]=0,"Estoque Não Conforme",IF(TAB_ESTOQUE[[#This Row],[Estoque]]&gt;=TAB_ESTOQUE[[#This Row],[Mínimo]],"Estoque Conforme",IF(TAB_ESTOQUE[[#This Row],[Estoque]]&lt;TAB_ESTOQUE[[#This Row],[Mínimo]],"Estoque em Nivel Minimo")))</f>
        <v>Estoque Conforme</v>
      </c>
      <c r="AC193" s="85"/>
      <c r="AD193" s="82"/>
      <c r="AE193" s="82"/>
      <c r="AF193" s="82"/>
    </row>
    <row r="194" spans="1:32" ht="15" customHeight="1" x14ac:dyDescent="0.25">
      <c r="A194" s="45">
        <v>94</v>
      </c>
      <c r="B194" s="47"/>
      <c r="C194" s="46" t="s">
        <v>2842</v>
      </c>
      <c r="D194" s="45" t="s">
        <v>1748</v>
      </c>
      <c r="E194" s="46" t="s">
        <v>7</v>
      </c>
      <c r="F194" s="87"/>
      <c r="G194" s="82"/>
      <c r="H194" s="82"/>
      <c r="I194" s="82" t="s">
        <v>7788</v>
      </c>
      <c r="J194" s="82"/>
      <c r="K194" s="82"/>
      <c r="L194" s="82"/>
      <c r="M194" s="82"/>
      <c r="N194" s="82"/>
      <c r="O194" s="87" t="s">
        <v>6290</v>
      </c>
      <c r="P194" s="82" t="s">
        <v>62</v>
      </c>
      <c r="Q194" s="83">
        <f>VLOOKUP(TAB_ESTOQUE[[#This Row],[Codigo]],TAB_ENTRADA[[Cod_2_Entrada]:[TOTAL_ENTRADA]],5,FALSE)-VLOOKUP(TAB_ESTOQUE[[#This Row],[Codigo]],TAB_SAIDA[[COD_2_SAIDA]:[TOTAL_SAIDA]],5,FALSE)</f>
        <v>0</v>
      </c>
      <c r="R194" s="87"/>
      <c r="S194" s="87"/>
      <c r="T194" s="90">
        <v>59.9</v>
      </c>
      <c r="U194" s="91">
        <f>TAB_ESTOQUE[[#This Row],[Valor Unitario Estimado]]*TAB_ESTOQUE[[#This Row],[Estoque]]</f>
        <v>0</v>
      </c>
      <c r="V194" s="91"/>
      <c r="W194" s="85"/>
      <c r="X194" s="85"/>
      <c r="Y194" s="85"/>
      <c r="Z194" s="85"/>
      <c r="AA194" s="85"/>
      <c r="AB194" s="85" t="str">
        <f>IF(TAB_ESTOQUE[[#This Row],[Estoque]]=0,"Estoque Não Conforme",IF(TAB_ESTOQUE[[#This Row],[Estoque]]&gt;=TAB_ESTOQUE[[#This Row],[Mínimo]],"Estoque Conforme",IF(TAB_ESTOQUE[[#This Row],[Estoque]]&lt;TAB_ESTOQUE[[#This Row],[Mínimo]],"Estoque em Nivel Minimo")))</f>
        <v>Estoque Não Conforme</v>
      </c>
      <c r="AC194" s="85"/>
      <c r="AD194" s="82"/>
      <c r="AE194" s="82"/>
      <c r="AF194" s="82"/>
    </row>
    <row r="195" spans="1:32" ht="15" customHeight="1" x14ac:dyDescent="0.25">
      <c r="A195" s="45">
        <v>999</v>
      </c>
      <c r="B195" s="47"/>
      <c r="C195" s="46" t="s">
        <v>2842</v>
      </c>
      <c r="D195" s="45" t="s">
        <v>1749</v>
      </c>
      <c r="E195" s="46" t="s">
        <v>7</v>
      </c>
      <c r="F195" s="87"/>
      <c r="G195" s="82"/>
      <c r="H195" s="82"/>
      <c r="I195" s="82" t="s">
        <v>7789</v>
      </c>
      <c r="J195" s="82"/>
      <c r="K195" s="82"/>
      <c r="L195" s="82"/>
      <c r="M195" s="82"/>
      <c r="N195" s="82"/>
      <c r="O195" s="87" t="s">
        <v>6290</v>
      </c>
      <c r="P195" s="82" t="s">
        <v>59</v>
      </c>
      <c r="Q195" s="83">
        <f>VLOOKUP(TAB_ESTOQUE[[#This Row],[Codigo]],TAB_ENTRADA[[Cod_2_Entrada]:[TOTAL_ENTRADA]],5,FALSE)-VLOOKUP(TAB_ESTOQUE[[#This Row],[Codigo]],TAB_SAIDA[[COD_2_SAIDA]:[TOTAL_SAIDA]],5,FALSE)</f>
        <v>1</v>
      </c>
      <c r="R195" s="87"/>
      <c r="S195" s="87"/>
      <c r="T195" s="90">
        <v>68</v>
      </c>
      <c r="U195" s="91">
        <f>TAB_ESTOQUE[[#This Row],[Valor Unitario Estimado]]*TAB_ESTOQUE[[#This Row],[Estoque]]</f>
        <v>68</v>
      </c>
      <c r="V195" s="91"/>
      <c r="W195" s="85"/>
      <c r="X195" s="85"/>
      <c r="Y195" s="85"/>
      <c r="Z195" s="85"/>
      <c r="AA195" s="85"/>
      <c r="AB195" s="85" t="str">
        <f>IF(TAB_ESTOQUE[[#This Row],[Estoque]]=0,"Estoque Não Conforme",IF(TAB_ESTOQUE[[#This Row],[Estoque]]&gt;=TAB_ESTOQUE[[#This Row],[Mínimo]],"Estoque Conforme",IF(TAB_ESTOQUE[[#This Row],[Estoque]]&lt;TAB_ESTOQUE[[#This Row],[Mínimo]],"Estoque em Nivel Minimo")))</f>
        <v>Estoque Conforme</v>
      </c>
      <c r="AC195" s="85"/>
      <c r="AD195" s="82"/>
      <c r="AE195" s="82"/>
      <c r="AF195" s="82"/>
    </row>
    <row r="196" spans="1:32" ht="15" customHeight="1" x14ac:dyDescent="0.25">
      <c r="A196" s="45">
        <v>91</v>
      </c>
      <c r="B196" s="47"/>
      <c r="C196" s="46" t="s">
        <v>2842</v>
      </c>
      <c r="D196" s="45" t="s">
        <v>1751</v>
      </c>
      <c r="E196" s="46" t="s">
        <v>7</v>
      </c>
      <c r="F196" s="87"/>
      <c r="G196" s="82"/>
      <c r="H196" s="82"/>
      <c r="I196" s="95" t="s">
        <v>7790</v>
      </c>
      <c r="J196" s="82"/>
      <c r="K196" s="82"/>
      <c r="L196" s="82"/>
      <c r="M196" s="82"/>
      <c r="N196" s="82"/>
      <c r="O196" s="87" t="s">
        <v>6290</v>
      </c>
      <c r="P196" s="82" t="s">
        <v>1591</v>
      </c>
      <c r="Q196" s="83">
        <f>VLOOKUP(TAB_ESTOQUE[[#This Row],[Codigo]],TAB_ENTRADA[[Cod_2_Entrada]:[TOTAL_ENTRADA]],5,FALSE)-VLOOKUP(TAB_ESTOQUE[[#This Row],[Codigo]],TAB_SAIDA[[COD_2_SAIDA]:[TOTAL_SAIDA]],5,FALSE)</f>
        <v>3</v>
      </c>
      <c r="R196" s="87"/>
      <c r="S196" s="87"/>
      <c r="T196" s="90">
        <v>164.36</v>
      </c>
      <c r="U196" s="91">
        <f>TAB_ESTOQUE[[#This Row],[Valor Unitario Estimado]]*TAB_ESTOQUE[[#This Row],[Estoque]]</f>
        <v>493.08000000000004</v>
      </c>
      <c r="V196" s="91"/>
      <c r="W196" s="85"/>
      <c r="X196" s="85"/>
      <c r="Y196" s="85"/>
      <c r="Z196" s="85"/>
      <c r="AA196" s="85"/>
      <c r="AB196" s="85" t="str">
        <f>IF(TAB_ESTOQUE[[#This Row],[Estoque]]=0,"Estoque Não Conforme",IF(TAB_ESTOQUE[[#This Row],[Estoque]]&gt;=TAB_ESTOQUE[[#This Row],[Mínimo]],"Estoque Conforme",IF(TAB_ESTOQUE[[#This Row],[Estoque]]&lt;TAB_ESTOQUE[[#This Row],[Mínimo]],"Estoque em Nivel Minimo")))</f>
        <v>Estoque Conforme</v>
      </c>
      <c r="AC196" s="85"/>
      <c r="AD196" s="82"/>
      <c r="AE196" s="82"/>
      <c r="AF196" s="82"/>
    </row>
    <row r="197" spans="1:32" ht="15" customHeight="1" x14ac:dyDescent="0.25">
      <c r="A197" s="45">
        <v>88</v>
      </c>
      <c r="B197" s="47"/>
      <c r="C197" s="53" t="s">
        <v>2842</v>
      </c>
      <c r="D197" s="45" t="s">
        <v>1664</v>
      </c>
      <c r="E197" s="46"/>
      <c r="F197" s="87"/>
      <c r="G197" s="82"/>
      <c r="H197" s="82"/>
      <c r="I197" s="82" t="s">
        <v>55</v>
      </c>
      <c r="J197" s="82"/>
      <c r="K197" s="82"/>
      <c r="L197" s="82"/>
      <c r="M197" s="82"/>
      <c r="N197" s="82"/>
      <c r="O197" s="87" t="s">
        <v>6275</v>
      </c>
      <c r="P197" s="82" t="s">
        <v>6020</v>
      </c>
      <c r="Q197" s="83">
        <f>VLOOKUP(TAB_ESTOQUE[[#This Row],[Codigo]],TAB_ENTRADA[[Cod_2_Entrada]:[TOTAL_ENTRADA]],5,FALSE)-VLOOKUP(TAB_ESTOQUE[[#This Row],[Codigo]],TAB_SAIDA[[COD_2_SAIDA]:[TOTAL_SAIDA]],5,FALSE)</f>
        <v>2</v>
      </c>
      <c r="R197" s="87"/>
      <c r="S197" s="87"/>
      <c r="T197" s="90">
        <v>12</v>
      </c>
      <c r="U197" s="91">
        <f>TAB_ESTOQUE[[#This Row],[Valor Unitario Estimado]]*TAB_ESTOQUE[[#This Row],[Estoque]]</f>
        <v>24</v>
      </c>
      <c r="V197" s="91"/>
      <c r="W197" s="85"/>
      <c r="X197" s="85"/>
      <c r="Y197" s="85"/>
      <c r="Z197" s="85"/>
      <c r="AA197" s="85"/>
      <c r="AB197" s="85" t="str">
        <f>IF(TAB_ESTOQUE[[#This Row],[Estoque]]=0,"Estoque Não Conforme",IF(TAB_ESTOQUE[[#This Row],[Estoque]]&gt;=TAB_ESTOQUE[[#This Row],[Mínimo]],"Estoque Conforme",IF(TAB_ESTOQUE[[#This Row],[Estoque]]&lt;TAB_ESTOQUE[[#This Row],[Mínimo]],"Estoque em Nivel Minimo")))</f>
        <v>Estoque Conforme</v>
      </c>
      <c r="AC197" s="85"/>
      <c r="AD197" s="82"/>
      <c r="AE197" s="82"/>
      <c r="AF197" s="82"/>
    </row>
    <row r="198" spans="1:32" ht="15" customHeight="1" x14ac:dyDescent="0.25">
      <c r="A198" s="45">
        <v>621</v>
      </c>
      <c r="B198" s="47"/>
      <c r="C198" s="53" t="s">
        <v>2842</v>
      </c>
      <c r="D198" s="45" t="s">
        <v>1666</v>
      </c>
      <c r="E198" s="46" t="s">
        <v>7</v>
      </c>
      <c r="F198" s="87"/>
      <c r="G198" s="82"/>
      <c r="H198" s="82"/>
      <c r="I198" s="82" t="s">
        <v>7785</v>
      </c>
      <c r="J198" s="82"/>
      <c r="K198" s="82"/>
      <c r="L198" s="82"/>
      <c r="M198" s="82"/>
      <c r="N198" s="82"/>
      <c r="O198" s="87" t="s">
        <v>6275</v>
      </c>
      <c r="P198" s="82" t="s">
        <v>404</v>
      </c>
      <c r="Q198" s="83">
        <f>VLOOKUP(TAB_ESTOQUE[[#This Row],[Codigo]],TAB_ENTRADA[[Cod_2_Entrada]:[TOTAL_ENTRADA]],5,FALSE)-VLOOKUP(TAB_ESTOQUE[[#This Row],[Codigo]],TAB_SAIDA[[COD_2_SAIDA]:[TOTAL_SAIDA]],5,FALSE)</f>
        <v>5</v>
      </c>
      <c r="R198" s="87"/>
      <c r="S198" s="87"/>
      <c r="T198" s="90">
        <v>10.5</v>
      </c>
      <c r="U198" s="91">
        <f>TAB_ESTOQUE[[#This Row],[Valor Unitario Estimado]]*TAB_ESTOQUE[[#This Row],[Estoque]]</f>
        <v>52.5</v>
      </c>
      <c r="V198" s="91"/>
      <c r="W198" s="85"/>
      <c r="X198" s="85"/>
      <c r="Y198" s="85"/>
      <c r="Z198" s="85"/>
      <c r="AA198" s="85"/>
      <c r="AB198" s="85" t="str">
        <f>IF(TAB_ESTOQUE[[#This Row],[Estoque]]=0,"Estoque Não Conforme",IF(TAB_ESTOQUE[[#This Row],[Estoque]]&gt;=TAB_ESTOQUE[[#This Row],[Mínimo]],"Estoque Conforme",IF(TAB_ESTOQUE[[#This Row],[Estoque]]&lt;TAB_ESTOQUE[[#This Row],[Mínimo]],"Estoque em Nivel Minimo")))</f>
        <v>Estoque Conforme</v>
      </c>
      <c r="AC198" s="85"/>
      <c r="AD198" s="82"/>
      <c r="AE198" s="82"/>
      <c r="AF198" s="82"/>
    </row>
    <row r="199" spans="1:32" ht="15" customHeight="1" x14ac:dyDescent="0.25">
      <c r="B199" s="47"/>
      <c r="C199" s="46"/>
      <c r="D199" s="45" t="s">
        <v>2711</v>
      </c>
      <c r="E199" s="46" t="s">
        <v>8</v>
      </c>
      <c r="F199" s="87"/>
      <c r="G199" s="82"/>
      <c r="H199" s="82"/>
      <c r="I199" s="82" t="s">
        <v>7782</v>
      </c>
      <c r="J199" s="82"/>
      <c r="K199" s="82"/>
      <c r="L199" s="82"/>
      <c r="M199" s="82"/>
      <c r="N199" s="82"/>
      <c r="O199" s="87" t="s">
        <v>6275</v>
      </c>
      <c r="P199" s="82" t="s">
        <v>1310</v>
      </c>
      <c r="Q199" s="83">
        <f>VLOOKUP(TAB_ESTOQUE[[#This Row],[Codigo]],TAB_ENTRADA[[Cod_2_Entrada]:[TOTAL_ENTRADA]],5,FALSE)-VLOOKUP(TAB_ESTOQUE[[#This Row],[Codigo]],TAB_SAIDA[[COD_2_SAIDA]:[TOTAL_SAIDA]],5,FALSE)</f>
        <v>2</v>
      </c>
      <c r="R199" s="87"/>
      <c r="S199" s="87"/>
      <c r="T199" s="90"/>
      <c r="U199" s="91">
        <f>TAB_ESTOQUE[[#This Row],[Valor Unitario Estimado]]*TAB_ESTOQUE[[#This Row],[Estoque]]</f>
        <v>0</v>
      </c>
      <c r="V199" s="91"/>
      <c r="W199" s="85"/>
      <c r="X199" s="85"/>
      <c r="Y199" s="85"/>
      <c r="Z199" s="85"/>
      <c r="AA199" s="85"/>
      <c r="AB199" s="96" t="str">
        <f>IF(TAB_ESTOQUE[[#This Row],[Estoque]]=0,"Estoque Não Conforme",IF(TAB_ESTOQUE[[#This Row],[Estoque]]&gt;=TAB_ESTOQUE[[#This Row],[Mínimo]],"Estoque Conforme",IF(TAB_ESTOQUE[[#This Row],[Estoque]]&lt;TAB_ESTOQUE[[#This Row],[Mínimo]],"Estoque em Nivel Minimo")))</f>
        <v>Estoque Conforme</v>
      </c>
      <c r="AC199" s="85"/>
      <c r="AD199" s="82"/>
      <c r="AE199" s="82"/>
      <c r="AF199" s="82"/>
    </row>
    <row r="200" spans="1:32" ht="15" customHeight="1" x14ac:dyDescent="0.25">
      <c r="B200" s="47"/>
      <c r="C200" s="48"/>
      <c r="D200" s="45" t="s">
        <v>6482</v>
      </c>
      <c r="E200" s="46"/>
      <c r="F200" s="87"/>
      <c r="G200" s="82"/>
      <c r="H200" s="82"/>
      <c r="I200" s="82" t="s">
        <v>6948</v>
      </c>
      <c r="J200" s="82"/>
      <c r="K200" s="82"/>
      <c r="L200" s="82"/>
      <c r="M200" s="82"/>
      <c r="N200" s="82"/>
      <c r="O200" s="87" t="s">
        <v>6275</v>
      </c>
      <c r="P200" s="82"/>
      <c r="Q200" s="83">
        <f>VLOOKUP(TAB_ESTOQUE[[#This Row],[Codigo]],TAB_ENTRADA[[Cod_2_Entrada]:[TOTAL_ENTRADA]],5,FALSE)-VLOOKUP(TAB_ESTOQUE[[#This Row],[Codigo]],TAB_SAIDA[[COD_2_SAIDA]:[TOTAL_SAIDA]],5,FALSE)</f>
        <v>8</v>
      </c>
      <c r="R200" s="87"/>
      <c r="S200" s="87"/>
      <c r="T200" s="90"/>
      <c r="U200" s="91">
        <f>TAB_ESTOQUE[[#This Row],[Valor Unitario Estimado]]*TAB_ESTOQUE[[#This Row],[Estoque]]</f>
        <v>0</v>
      </c>
      <c r="V200" s="91"/>
      <c r="W200" s="85"/>
      <c r="X200" s="85"/>
      <c r="Y200" s="85"/>
      <c r="Z200" s="85"/>
      <c r="AA200" s="85"/>
      <c r="AB200" s="85" t="str">
        <f>IF(TAB_ESTOQUE[[#This Row],[Estoque]]=0,"Estoque Não Conforme",IF(TAB_ESTOQUE[[#This Row],[Estoque]]&gt;=TAB_ESTOQUE[[#This Row],[Mínimo]],"Estoque Conforme",IF(TAB_ESTOQUE[[#This Row],[Estoque]]&lt;TAB_ESTOQUE[[#This Row],[Mínimo]],"Estoque em Nivel Minimo")))</f>
        <v>Estoque Conforme</v>
      </c>
      <c r="AC200" s="96"/>
      <c r="AD200" s="82"/>
      <c r="AE200" s="82"/>
      <c r="AF200" s="82"/>
    </row>
    <row r="201" spans="1:32" s="47" customFormat="1" ht="15" customHeight="1" x14ac:dyDescent="0.25">
      <c r="A201" s="45"/>
      <c r="B201" s="45"/>
      <c r="C201" s="48"/>
      <c r="D201" s="45" t="s">
        <v>7199</v>
      </c>
      <c r="E201" s="46"/>
      <c r="F201" s="46"/>
      <c r="G201" s="45"/>
      <c r="H201" s="45"/>
      <c r="I201" s="45" t="s">
        <v>7795</v>
      </c>
      <c r="J201" s="45"/>
      <c r="K201" s="45"/>
      <c r="L201" s="45"/>
      <c r="M201" s="45"/>
      <c r="N201" s="45"/>
      <c r="O201" s="116" t="s">
        <v>6275</v>
      </c>
      <c r="P201" s="45"/>
      <c r="Q201" s="137">
        <f>VLOOKUP(TAB_ESTOQUE[[#This Row],[Codigo]],TAB_ENTRADA[[Cod_2_Entrada]:[TOTAL_ENTRADA]],5,FALSE)-VLOOKUP(TAB_ESTOQUE[[#This Row],[Codigo]],TAB_SAIDA[[COD_2_SAIDA]:[TOTAL_SAIDA]],5,FALSE)</f>
        <v>0</v>
      </c>
      <c r="R201" s="46"/>
      <c r="S201" s="46"/>
      <c r="T201" s="102"/>
      <c r="U201" s="103">
        <f>TAB_ESTOQUE[[#This Row],[Valor Unitario Estimado]]*TAB_ESTOQUE[[#This Row],[Estoque]]</f>
        <v>0</v>
      </c>
      <c r="V201" s="103"/>
      <c r="W201" s="54"/>
      <c r="X201" s="54"/>
      <c r="Y201" s="54"/>
      <c r="Z201" s="54"/>
      <c r="AA201" s="138"/>
      <c r="AB201" s="104" t="str">
        <f>IF(TAB_ESTOQUE[[#This Row],[Estoque]]=0,"Estoque Não Conforme",IF(TAB_ESTOQUE[[#This Row],[Estoque]]&gt;=TAB_ESTOQUE[[#This Row],[Mínimo]],"Estoque Conforme",IF(TAB_ESTOQUE[[#This Row],[Estoque]]&lt;TAB_ESTOQUE[[#This Row],[Mínimo]],"Estoque em Nivel Minimo")))</f>
        <v>Estoque Não Conforme</v>
      </c>
      <c r="AC201" s="104"/>
      <c r="AD201" s="45"/>
      <c r="AE201" s="94"/>
      <c r="AF201" s="94"/>
    </row>
    <row r="202" spans="1:32" ht="15" customHeight="1" x14ac:dyDescent="0.25">
      <c r="C202" s="48"/>
      <c r="D202" s="45" t="s">
        <v>7560</v>
      </c>
      <c r="E202" s="46" t="s">
        <v>8100</v>
      </c>
      <c r="F202" s="46"/>
      <c r="I202" s="45" t="s">
        <v>8729</v>
      </c>
      <c r="O202" s="51" t="s">
        <v>8079</v>
      </c>
      <c r="Q202" s="137">
        <f>VLOOKUP(TAB_ESTOQUE[[#This Row],[Codigo]],TAB_ENTRADA[[Cod_2_Entrada]:[TOTAL_ENTRADA]],5,FALSE)-VLOOKUP(TAB_ESTOQUE[[#This Row],[Codigo]],TAB_SAIDA[[COD_2_SAIDA]:[TOTAL_SAIDA]],5,FALSE)</f>
        <v>0</v>
      </c>
      <c r="S202" s="46"/>
      <c r="T202" s="102">
        <v>1552</v>
      </c>
      <c r="U202" s="103">
        <f>TAB_ESTOQUE[[#This Row],[Valor Unitario Estimado]]*TAB_ESTOQUE[[#This Row],[Estoque]]</f>
        <v>0</v>
      </c>
      <c r="V202" s="103"/>
      <c r="AA202" s="138"/>
      <c r="AB202" s="104" t="str">
        <f>IF(TAB_ESTOQUE[[#This Row],[Estoque]]=0,"Estoque Não Conforme",IF(TAB_ESTOQUE[[#This Row],[Estoque]]&gt;=TAB_ESTOQUE[[#This Row],[Mínimo]],"Estoque Conforme",IF(TAB_ESTOQUE[[#This Row],[Estoque]]&lt;TAB_ESTOQUE[[#This Row],[Mínimo]],"Estoque em Nivel Minimo")))</f>
        <v>Estoque Não Conforme</v>
      </c>
      <c r="AC202" s="104"/>
      <c r="AE202" s="82"/>
      <c r="AF202" s="82"/>
    </row>
    <row r="203" spans="1:32" ht="15" customHeight="1" x14ac:dyDescent="0.25">
      <c r="C203" s="48"/>
      <c r="D203" s="45" t="s">
        <v>7561</v>
      </c>
      <c r="E203" s="46" t="s">
        <v>8100</v>
      </c>
      <c r="F203" s="46"/>
      <c r="I203" s="106" t="s">
        <v>8136</v>
      </c>
      <c r="O203" s="116" t="s">
        <v>8079</v>
      </c>
      <c r="Q203" s="137">
        <f>VLOOKUP(TAB_ESTOQUE[[#This Row],[Codigo]],TAB_ENTRADA[[Cod_2_Entrada]:[TOTAL_ENTRADA]],5,FALSE)-VLOOKUP(TAB_ESTOQUE[[#This Row],[Codigo]],TAB_SAIDA[[COD_2_SAIDA]:[TOTAL_SAIDA]],5,FALSE)</f>
        <v>0</v>
      </c>
      <c r="S203" s="46"/>
      <c r="T203" s="102">
        <v>727.92</v>
      </c>
      <c r="U203" s="103">
        <f>TAB_ESTOQUE[[#This Row],[Valor Unitario Estimado]]*TAB_ESTOQUE[[#This Row],[Estoque]]</f>
        <v>0</v>
      </c>
      <c r="V203" s="103"/>
      <c r="AA203" s="138"/>
      <c r="AB203" s="104" t="str">
        <f>IF(TAB_ESTOQUE[[#This Row],[Estoque]]=0,"Estoque Não Conforme",IF(TAB_ESTOQUE[[#This Row],[Estoque]]&gt;=TAB_ESTOQUE[[#This Row],[Mínimo]],"Estoque Conforme",IF(TAB_ESTOQUE[[#This Row],[Estoque]]&lt;TAB_ESTOQUE[[#This Row],[Mínimo]],"Estoque em Nivel Minimo")))</f>
        <v>Estoque Não Conforme</v>
      </c>
      <c r="AC203" s="104"/>
      <c r="AE203" s="82"/>
      <c r="AF203" s="82"/>
    </row>
    <row r="204" spans="1:32" ht="15" customHeight="1" x14ac:dyDescent="0.25">
      <c r="A204" s="45">
        <v>565</v>
      </c>
      <c r="B204" s="47"/>
      <c r="C204" s="46"/>
      <c r="D204" s="45" t="s">
        <v>1993</v>
      </c>
      <c r="E204" s="46" t="s">
        <v>1658</v>
      </c>
      <c r="F204" s="87"/>
      <c r="G204" s="82"/>
      <c r="H204" s="82"/>
      <c r="I204" s="82" t="s">
        <v>7796</v>
      </c>
      <c r="J204" s="82"/>
      <c r="K204" s="82"/>
      <c r="L204" s="82"/>
      <c r="M204" s="82"/>
      <c r="N204" s="82"/>
      <c r="O204" s="87" t="s">
        <v>6254</v>
      </c>
      <c r="P204" s="82" t="s">
        <v>341</v>
      </c>
      <c r="Q204" s="83">
        <f>VLOOKUP(TAB_ESTOQUE[[#This Row],[Codigo]],TAB_ENTRADA[[Cod_2_Entrada]:[TOTAL_ENTRADA]],5,FALSE)-VLOOKUP(TAB_ESTOQUE[[#This Row],[Codigo]],TAB_SAIDA[[COD_2_SAIDA]:[TOTAL_SAIDA]],5,FALSE)</f>
        <v>1</v>
      </c>
      <c r="R204" s="87"/>
      <c r="S204" s="87"/>
      <c r="T204" s="90">
        <v>1232.5999999999999</v>
      </c>
      <c r="U204" s="91">
        <f>TAB_ESTOQUE[[#This Row],[Valor Unitario Estimado]]*TAB_ESTOQUE[[#This Row],[Estoque]]</f>
        <v>1232.5999999999999</v>
      </c>
      <c r="V204" s="91"/>
      <c r="W204" s="85"/>
      <c r="X204" s="85"/>
      <c r="Y204" s="85"/>
      <c r="Z204" s="85"/>
      <c r="AA204" s="85"/>
      <c r="AB204" s="85" t="str">
        <f>IF(TAB_ESTOQUE[[#This Row],[Estoque]]=0,"Estoque Não Conforme",IF(TAB_ESTOQUE[[#This Row],[Estoque]]&gt;=TAB_ESTOQUE[[#This Row],[Mínimo]],"Estoque Conforme",IF(TAB_ESTOQUE[[#This Row],[Estoque]]&lt;TAB_ESTOQUE[[#This Row],[Mínimo]],"Estoque em Nivel Minimo")))</f>
        <v>Estoque Conforme</v>
      </c>
      <c r="AC204" s="85"/>
      <c r="AD204" s="82"/>
      <c r="AE204" s="82"/>
      <c r="AF204" s="82"/>
    </row>
    <row r="205" spans="1:32" ht="15" customHeight="1" x14ac:dyDescent="0.25">
      <c r="B205" s="47"/>
      <c r="C205" s="46"/>
      <c r="D205" s="45" t="s">
        <v>2670</v>
      </c>
      <c r="E205" s="46"/>
      <c r="F205" s="87"/>
      <c r="G205" s="82"/>
      <c r="H205" s="82"/>
      <c r="I205" s="82" t="s">
        <v>7802</v>
      </c>
      <c r="J205" s="82"/>
      <c r="K205" s="82" t="s">
        <v>1267</v>
      </c>
      <c r="L205" s="82"/>
      <c r="M205" s="82"/>
      <c r="N205" s="82"/>
      <c r="O205" s="87" t="s">
        <v>6254</v>
      </c>
      <c r="P205" s="82" t="s">
        <v>1271</v>
      </c>
      <c r="Q205" s="83">
        <f>VLOOKUP(TAB_ESTOQUE[[#This Row],[Codigo]],TAB_ENTRADA[[Cod_2_Entrada]:[TOTAL_ENTRADA]],5,FALSE)-VLOOKUP(TAB_ESTOQUE[[#This Row],[Codigo]],TAB_SAIDA[[COD_2_SAIDA]:[TOTAL_SAIDA]],5,FALSE)</f>
        <v>3</v>
      </c>
      <c r="R205" s="87"/>
      <c r="S205" s="87"/>
      <c r="T205" s="90"/>
      <c r="U205" s="91">
        <f>TAB_ESTOQUE[[#This Row],[Valor Unitario Estimado]]*TAB_ESTOQUE[[#This Row],[Estoque]]</f>
        <v>0</v>
      </c>
      <c r="V205" s="91"/>
      <c r="W205" s="85"/>
      <c r="X205" s="85"/>
      <c r="Y205" s="85"/>
      <c r="Z205" s="85"/>
      <c r="AA205" s="85"/>
      <c r="AB205" s="96" t="str">
        <f>IF(TAB_ESTOQUE[[#This Row],[Estoque]]=0,"Estoque Não Conforme",IF(TAB_ESTOQUE[[#This Row],[Estoque]]&gt;=TAB_ESTOQUE[[#This Row],[Mínimo]],"Estoque Conforme",IF(TAB_ESTOQUE[[#This Row],[Estoque]]&lt;TAB_ESTOQUE[[#This Row],[Mínimo]],"Estoque em Nivel Minimo")))</f>
        <v>Estoque Conforme</v>
      </c>
      <c r="AC205" s="85"/>
      <c r="AD205" s="82"/>
      <c r="AE205" s="82"/>
      <c r="AF205" s="82"/>
    </row>
    <row r="206" spans="1:32" ht="15" customHeight="1" x14ac:dyDescent="0.25">
      <c r="B206" s="47"/>
      <c r="C206" s="46"/>
      <c r="D206" s="45" t="s">
        <v>2671</v>
      </c>
      <c r="E206" s="46"/>
      <c r="F206" s="87"/>
      <c r="G206" s="82"/>
      <c r="H206" s="82"/>
      <c r="I206" s="82" t="s">
        <v>6033</v>
      </c>
      <c r="J206" s="82"/>
      <c r="K206" s="82"/>
      <c r="L206" s="82"/>
      <c r="M206" s="82"/>
      <c r="N206" s="82"/>
      <c r="O206" s="87" t="s">
        <v>6254</v>
      </c>
      <c r="P206" s="82" t="s">
        <v>1272</v>
      </c>
      <c r="Q206" s="83">
        <f>VLOOKUP(TAB_ESTOQUE[[#This Row],[Codigo]],TAB_ENTRADA[[Cod_2_Entrada]:[TOTAL_ENTRADA]],5,FALSE)-VLOOKUP(TAB_ESTOQUE[[#This Row],[Codigo]],TAB_SAIDA[[COD_2_SAIDA]:[TOTAL_SAIDA]],5,FALSE)</f>
        <v>0</v>
      </c>
      <c r="R206" s="87"/>
      <c r="S206" s="87"/>
      <c r="T206" s="90">
        <v>2400</v>
      </c>
      <c r="U206" s="91">
        <f>TAB_ESTOQUE[[#This Row],[Valor Unitario Estimado]]*TAB_ESTOQUE[[#This Row],[Estoque]]</f>
        <v>0</v>
      </c>
      <c r="V206" s="91"/>
      <c r="W206" s="85"/>
      <c r="X206" s="85"/>
      <c r="Y206" s="85"/>
      <c r="Z206" s="85"/>
      <c r="AA206" s="85"/>
      <c r="AB206" s="96" t="str">
        <f>IF(TAB_ESTOQUE[[#This Row],[Estoque]]=0,"Estoque Não Conforme",IF(TAB_ESTOQUE[[#This Row],[Estoque]]&gt;=TAB_ESTOQUE[[#This Row],[Mínimo]],"Estoque Conforme",IF(TAB_ESTOQUE[[#This Row],[Estoque]]&lt;TAB_ESTOQUE[[#This Row],[Mínimo]],"Estoque em Nivel Minimo")))</f>
        <v>Estoque Não Conforme</v>
      </c>
      <c r="AC206" s="85"/>
      <c r="AD206" s="82"/>
      <c r="AE206" s="82"/>
      <c r="AF206" s="82"/>
    </row>
    <row r="207" spans="1:32" ht="15" customHeight="1" x14ac:dyDescent="0.25">
      <c r="B207" s="47"/>
      <c r="C207" s="46"/>
      <c r="D207" s="45" t="s">
        <v>2747</v>
      </c>
      <c r="E207" s="46" t="s">
        <v>116</v>
      </c>
      <c r="F207" s="87"/>
      <c r="G207" s="82"/>
      <c r="H207" s="82"/>
      <c r="I207" s="82" t="s">
        <v>6371</v>
      </c>
      <c r="J207" s="82"/>
      <c r="K207" s="82"/>
      <c r="L207" s="82"/>
      <c r="M207" s="82"/>
      <c r="N207" s="82"/>
      <c r="O207" s="87" t="s">
        <v>6254</v>
      </c>
      <c r="P207" s="82" t="s">
        <v>1591</v>
      </c>
      <c r="Q207" s="83">
        <f>VLOOKUP(TAB_ESTOQUE[[#This Row],[Codigo]],TAB_ENTRADA[[Cod_2_Entrada]:[TOTAL_ENTRADA]],5,FALSE)-VLOOKUP(TAB_ESTOQUE[[#This Row],[Codigo]],TAB_SAIDA[[COD_2_SAIDA]:[TOTAL_SAIDA]],5,FALSE)</f>
        <v>0</v>
      </c>
      <c r="R207" s="87"/>
      <c r="S207" s="87"/>
      <c r="T207" s="90">
        <v>170</v>
      </c>
      <c r="U207" s="91">
        <f>TAB_ESTOQUE[[#This Row],[Valor Unitario Estimado]]*TAB_ESTOQUE[[#This Row],[Estoque]]</f>
        <v>0</v>
      </c>
      <c r="V207" s="91"/>
      <c r="W207" s="85"/>
      <c r="X207" s="85"/>
      <c r="Y207" s="85"/>
      <c r="Z207" s="85"/>
      <c r="AA207" s="85"/>
      <c r="AB207" s="96" t="str">
        <f>IF(TAB_ESTOQUE[[#This Row],[Estoque]]=0,"Estoque Não Conforme",IF(TAB_ESTOQUE[[#This Row],[Estoque]]&gt;=TAB_ESTOQUE[[#This Row],[Mínimo]],"Estoque Conforme",IF(TAB_ESTOQUE[[#This Row],[Estoque]]&lt;TAB_ESTOQUE[[#This Row],[Mínimo]],"Estoque em Nivel Minimo")))</f>
        <v>Estoque Não Conforme</v>
      </c>
      <c r="AC207" s="96"/>
      <c r="AD207" s="82"/>
      <c r="AE207" s="82"/>
      <c r="AF207" s="82"/>
    </row>
    <row r="208" spans="1:32" ht="15" customHeight="1" x14ac:dyDescent="0.25">
      <c r="B208" s="47"/>
      <c r="C208" s="46" t="s">
        <v>2833</v>
      </c>
      <c r="D208" s="45" t="s">
        <v>2748</v>
      </c>
      <c r="E208" s="46" t="s">
        <v>116</v>
      </c>
      <c r="F208" s="87"/>
      <c r="G208" s="82"/>
      <c r="H208" s="82"/>
      <c r="I208" s="82" t="s">
        <v>6043</v>
      </c>
      <c r="J208" s="82"/>
      <c r="K208" s="82"/>
      <c r="L208" s="82"/>
      <c r="M208" s="82"/>
      <c r="N208" s="82"/>
      <c r="O208" s="87" t="s">
        <v>6254</v>
      </c>
      <c r="P208" s="82" t="s">
        <v>1591</v>
      </c>
      <c r="Q208" s="83">
        <f>VLOOKUP(TAB_ESTOQUE[[#This Row],[Codigo]],TAB_ENTRADA[[Cod_2_Entrada]:[TOTAL_ENTRADA]],5,FALSE)-VLOOKUP(TAB_ESTOQUE[[#This Row],[Codigo]],TAB_SAIDA[[COD_2_SAIDA]:[TOTAL_SAIDA]],5,FALSE)</f>
        <v>1</v>
      </c>
      <c r="R208" s="87"/>
      <c r="S208" s="87"/>
      <c r="T208" s="90">
        <v>190</v>
      </c>
      <c r="U208" s="91">
        <f>TAB_ESTOQUE[[#This Row],[Valor Unitario Estimado]]*TAB_ESTOQUE[[#This Row],[Estoque]]</f>
        <v>190</v>
      </c>
      <c r="V208" s="91"/>
      <c r="W208" s="85"/>
      <c r="X208" s="85"/>
      <c r="Y208" s="85"/>
      <c r="Z208" s="85"/>
      <c r="AA208" s="85"/>
      <c r="AB208" s="96" t="str">
        <f>IF(TAB_ESTOQUE[[#This Row],[Estoque]]=0,"Estoque Não Conforme",IF(TAB_ESTOQUE[[#This Row],[Estoque]]&gt;=TAB_ESTOQUE[[#This Row],[Mínimo]],"Estoque Conforme",IF(TAB_ESTOQUE[[#This Row],[Estoque]]&lt;TAB_ESTOQUE[[#This Row],[Mínimo]],"Estoque em Nivel Minimo")))</f>
        <v>Estoque Conforme</v>
      </c>
      <c r="AC208" s="96"/>
      <c r="AD208" s="82"/>
      <c r="AE208" s="82"/>
      <c r="AF208" s="82"/>
    </row>
    <row r="209" spans="1:32" ht="15" customHeight="1" x14ac:dyDescent="0.25">
      <c r="B209" s="47"/>
      <c r="C209" s="48"/>
      <c r="D209" s="45" t="s">
        <v>6474</v>
      </c>
      <c r="E209" s="46"/>
      <c r="F209" s="87"/>
      <c r="G209" s="82"/>
      <c r="H209" s="82"/>
      <c r="I209" s="82" t="s">
        <v>6924</v>
      </c>
      <c r="J209" s="82"/>
      <c r="K209" s="82"/>
      <c r="L209" s="82"/>
      <c r="M209" s="82"/>
      <c r="N209" s="82"/>
      <c r="O209" s="87" t="s">
        <v>6254</v>
      </c>
      <c r="P209" s="82"/>
      <c r="Q209" s="83">
        <f>VLOOKUP(TAB_ESTOQUE[[#This Row],[Codigo]],TAB_ENTRADA[[Cod_2_Entrada]:[TOTAL_ENTRADA]],5,FALSE)-VLOOKUP(TAB_ESTOQUE[[#This Row],[Codigo]],TAB_SAIDA[[COD_2_SAIDA]:[TOTAL_SAIDA]],5,FALSE)</f>
        <v>2</v>
      </c>
      <c r="R209" s="87"/>
      <c r="S209" s="87"/>
      <c r="T209" s="90">
        <v>630</v>
      </c>
      <c r="U209" s="91">
        <f>TAB_ESTOQUE[[#This Row],[Valor Unitario Estimado]]*TAB_ESTOQUE[[#This Row],[Estoque]]</f>
        <v>1260</v>
      </c>
      <c r="V209" s="91"/>
      <c r="W209" s="85"/>
      <c r="X209" s="85"/>
      <c r="Y209" s="85"/>
      <c r="Z209" s="85"/>
      <c r="AA209" s="85"/>
      <c r="AB209" s="85" t="str">
        <f>IF(TAB_ESTOQUE[[#This Row],[Estoque]]=0,"Estoque Não Conforme",IF(TAB_ESTOQUE[[#This Row],[Estoque]]&gt;=TAB_ESTOQUE[[#This Row],[Mínimo]],"Estoque Conforme",IF(TAB_ESTOQUE[[#This Row],[Estoque]]&lt;TAB_ESTOQUE[[#This Row],[Mínimo]],"Estoque em Nivel Minimo")))</f>
        <v>Estoque Conforme</v>
      </c>
      <c r="AC209" s="96"/>
      <c r="AD209" s="82"/>
      <c r="AE209" s="82"/>
      <c r="AF209" s="82"/>
    </row>
    <row r="210" spans="1:32" ht="15" customHeight="1" x14ac:dyDescent="0.25">
      <c r="C210" s="48"/>
      <c r="D210" s="45" t="s">
        <v>7495</v>
      </c>
      <c r="E210" s="46" t="s">
        <v>8039</v>
      </c>
      <c r="F210" s="46"/>
      <c r="I210" s="45" t="s">
        <v>8037</v>
      </c>
      <c r="O210" s="116" t="s">
        <v>6254</v>
      </c>
      <c r="Q210" s="137">
        <f>VLOOKUP(TAB_ESTOQUE[[#This Row],[Codigo]],TAB_ENTRADA[[Cod_2_Entrada]:[TOTAL_ENTRADA]],5,FALSE)-VLOOKUP(TAB_ESTOQUE[[#This Row],[Codigo]],TAB_SAIDA[[COD_2_SAIDA]:[TOTAL_SAIDA]],5,FALSE)</f>
        <v>1</v>
      </c>
      <c r="S210" s="46"/>
      <c r="T210" s="102">
        <v>11997</v>
      </c>
      <c r="U210" s="103">
        <f>TAB_ESTOQUE[[#This Row],[Valor Unitario Estimado]]*TAB_ESTOQUE[[#This Row],[Estoque]]</f>
        <v>11997</v>
      </c>
      <c r="V210" s="103"/>
      <c r="AA210" s="138"/>
      <c r="AB210" s="104" t="str">
        <f>IF(TAB_ESTOQUE[[#This Row],[Estoque]]=0,"Estoque Não Conforme",IF(TAB_ESTOQUE[[#This Row],[Estoque]]&gt;=TAB_ESTOQUE[[#This Row],[Mínimo]],"Estoque Conforme",IF(TAB_ESTOQUE[[#This Row],[Estoque]]&lt;TAB_ESTOQUE[[#This Row],[Mínimo]],"Estoque em Nivel Minimo")))</f>
        <v>Estoque Conforme</v>
      </c>
      <c r="AC210" s="104"/>
      <c r="AE210" s="82"/>
      <c r="AF210" s="82"/>
    </row>
    <row r="211" spans="1:32" ht="15" customHeight="1" x14ac:dyDescent="0.25">
      <c r="C211" s="48"/>
      <c r="D211" s="45" t="s">
        <v>7513</v>
      </c>
      <c r="E211" s="46" t="s">
        <v>8039</v>
      </c>
      <c r="F211" s="46"/>
      <c r="I211" s="45" t="s">
        <v>8040</v>
      </c>
      <c r="O211" s="116" t="s">
        <v>6254</v>
      </c>
      <c r="Q211" s="137">
        <f>VLOOKUP(TAB_ESTOQUE[[#This Row],[Codigo]],TAB_ENTRADA[[Cod_2_Entrada]:[TOTAL_ENTRADA]],5,FALSE)-VLOOKUP(TAB_ESTOQUE[[#This Row],[Codigo]],TAB_SAIDA[[COD_2_SAIDA]:[TOTAL_SAIDA]],5,FALSE)</f>
        <v>1</v>
      </c>
      <c r="S211" s="46"/>
      <c r="T211" s="102">
        <v>3900</v>
      </c>
      <c r="U211" s="103">
        <f>TAB_ESTOQUE[[#This Row],[Valor Unitario Estimado]]*TAB_ESTOQUE[[#This Row],[Estoque]]</f>
        <v>3900</v>
      </c>
      <c r="V211" s="103"/>
      <c r="AA211" s="138"/>
      <c r="AB211" s="104" t="str">
        <f>IF(TAB_ESTOQUE[[#This Row],[Estoque]]=0,"Estoque Não Conforme",IF(TAB_ESTOQUE[[#This Row],[Estoque]]&gt;=TAB_ESTOQUE[[#This Row],[Mínimo]],"Estoque Conforme",IF(TAB_ESTOQUE[[#This Row],[Estoque]]&lt;TAB_ESTOQUE[[#This Row],[Mínimo]],"Estoque em Nivel Minimo")))</f>
        <v>Estoque Conforme</v>
      </c>
      <c r="AC211" s="104"/>
      <c r="AE211" s="82"/>
      <c r="AF211" s="82"/>
    </row>
    <row r="212" spans="1:32" ht="15" customHeight="1" x14ac:dyDescent="0.25">
      <c r="A212" s="176">
        <v>810</v>
      </c>
      <c r="B212" s="176"/>
      <c r="C212" s="177"/>
      <c r="D212" s="176" t="s">
        <v>2426</v>
      </c>
      <c r="E212" s="177" t="s">
        <v>7</v>
      </c>
      <c r="F212" s="180"/>
      <c r="G212" s="178"/>
      <c r="H212" s="178"/>
      <c r="I212" s="178" t="s">
        <v>7799</v>
      </c>
      <c r="J212" s="178"/>
      <c r="K212" s="178"/>
      <c r="L212" s="178"/>
      <c r="M212" s="178"/>
      <c r="N212" s="178"/>
      <c r="O212" s="180" t="s">
        <v>6372</v>
      </c>
      <c r="P212" s="178" t="s">
        <v>598</v>
      </c>
      <c r="Q212" s="179">
        <f>VLOOKUP(TAB_ESTOQUE[[#This Row],[Codigo]],TAB_ENTRADA[[Cod_2_Entrada]:[TOTAL_ENTRADA]],5,FALSE)-VLOOKUP(TAB_ESTOQUE[[#This Row],[Codigo]],TAB_SAIDA[[COD_2_SAIDA]:[TOTAL_SAIDA]],5,FALSE)</f>
        <v>0</v>
      </c>
      <c r="R212" s="180"/>
      <c r="S212" s="180"/>
      <c r="T212" s="108">
        <v>854</v>
      </c>
      <c r="U212" s="109">
        <f>TAB_ESTOQUE[[#This Row],[Valor Unitario Estimado]]*TAB_ESTOQUE[[#This Row],[Estoque]]</f>
        <v>0</v>
      </c>
      <c r="V212" s="109"/>
      <c r="W212" s="181"/>
      <c r="X212" s="181"/>
      <c r="Y212" s="181"/>
      <c r="Z212" s="181"/>
      <c r="AA212" s="181"/>
      <c r="AB212" s="181" t="str">
        <f>IF(TAB_ESTOQUE[[#This Row],[Estoque]]=0,"Estoque Não Conforme",IF(TAB_ESTOQUE[[#This Row],[Estoque]]&gt;=TAB_ESTOQUE[[#This Row],[Mínimo]],"Estoque Conforme",IF(TAB_ESTOQUE[[#This Row],[Estoque]]&lt;TAB_ESTOQUE[[#This Row],[Mínimo]],"Estoque em Nivel Minimo")))</f>
        <v>Estoque Não Conforme</v>
      </c>
      <c r="AC212" s="181"/>
      <c r="AD212" s="178"/>
      <c r="AE212" s="82"/>
      <c r="AF212" s="82"/>
    </row>
    <row r="213" spans="1:32" ht="15" customHeight="1" x14ac:dyDescent="0.25">
      <c r="A213" s="45">
        <v>1085</v>
      </c>
      <c r="B213" s="47"/>
      <c r="C213" s="46"/>
      <c r="D213" s="45" t="s">
        <v>2608</v>
      </c>
      <c r="E213" s="46"/>
      <c r="F213" s="87"/>
      <c r="G213" s="82"/>
      <c r="H213" s="82"/>
      <c r="I213" s="82" t="s">
        <v>7800</v>
      </c>
      <c r="J213" s="82"/>
      <c r="K213" s="82" t="s">
        <v>35</v>
      </c>
      <c r="L213" s="82"/>
      <c r="M213" s="82"/>
      <c r="N213" s="82"/>
      <c r="O213" s="87" t="s">
        <v>6372</v>
      </c>
      <c r="P213" s="82" t="s">
        <v>817</v>
      </c>
      <c r="Q213" s="83">
        <f>VLOOKUP(TAB_ESTOQUE[[#This Row],[Codigo]],TAB_ENTRADA[[Cod_2_Entrada]:[TOTAL_ENTRADA]],5,FALSE)-VLOOKUP(TAB_ESTOQUE[[#This Row],[Codigo]],TAB_SAIDA[[COD_2_SAIDA]:[TOTAL_SAIDA]],5,FALSE)</f>
        <v>6</v>
      </c>
      <c r="R213" s="87"/>
      <c r="S213" s="87"/>
      <c r="T213" s="90"/>
      <c r="U213" s="91">
        <f>TAB_ESTOQUE[[#This Row],[Valor Unitario Estimado]]*TAB_ESTOQUE[[#This Row],[Estoque]]</f>
        <v>0</v>
      </c>
      <c r="V213" s="91"/>
      <c r="W213" s="85"/>
      <c r="X213" s="85"/>
      <c r="Y213" s="85"/>
      <c r="Z213" s="85"/>
      <c r="AA213" s="85"/>
      <c r="AB213" s="85" t="str">
        <f>IF(TAB_ESTOQUE[[#This Row],[Estoque]]=0,"Estoque Não Conforme",IF(TAB_ESTOQUE[[#This Row],[Estoque]]&gt;=TAB_ESTOQUE[[#This Row],[Mínimo]],"Estoque Conforme",IF(TAB_ESTOQUE[[#This Row],[Estoque]]&lt;TAB_ESTOQUE[[#This Row],[Mínimo]],"Estoque em Nivel Minimo")))</f>
        <v>Estoque Conforme</v>
      </c>
      <c r="AC213" s="85"/>
      <c r="AD213" s="82"/>
      <c r="AE213" s="82"/>
      <c r="AF213" s="82"/>
    </row>
    <row r="214" spans="1:32" ht="15" customHeight="1" x14ac:dyDescent="0.25">
      <c r="A214" s="45">
        <v>1086</v>
      </c>
      <c r="B214" s="47"/>
      <c r="C214" s="46"/>
      <c r="D214" s="45" t="s">
        <v>2609</v>
      </c>
      <c r="E214" s="46"/>
      <c r="F214" s="87"/>
      <c r="G214" s="82"/>
      <c r="H214" s="82"/>
      <c r="I214" s="82" t="s">
        <v>7801</v>
      </c>
      <c r="J214" s="82"/>
      <c r="K214" s="82" t="s">
        <v>35</v>
      </c>
      <c r="L214" s="82"/>
      <c r="M214" s="82"/>
      <c r="N214" s="82"/>
      <c r="O214" s="87" t="s">
        <v>6372</v>
      </c>
      <c r="P214" s="82" t="s">
        <v>817</v>
      </c>
      <c r="Q214" s="83">
        <f>VLOOKUP(TAB_ESTOQUE[[#This Row],[Codigo]],TAB_ENTRADA[[Cod_2_Entrada]:[TOTAL_ENTRADA]],5,FALSE)-VLOOKUP(TAB_ESTOQUE[[#This Row],[Codigo]],TAB_SAIDA[[COD_2_SAIDA]:[TOTAL_SAIDA]],5,FALSE)</f>
        <v>9</v>
      </c>
      <c r="R214" s="87"/>
      <c r="S214" s="87"/>
      <c r="T214" s="90"/>
      <c r="U214" s="91">
        <f>TAB_ESTOQUE[[#This Row],[Valor Unitario Estimado]]*TAB_ESTOQUE[[#This Row],[Estoque]]</f>
        <v>0</v>
      </c>
      <c r="V214" s="91"/>
      <c r="W214" s="85"/>
      <c r="X214" s="85"/>
      <c r="Y214" s="85"/>
      <c r="Z214" s="85"/>
      <c r="AA214" s="85"/>
      <c r="AB214" s="85" t="str">
        <f>IF(TAB_ESTOQUE[[#This Row],[Estoque]]=0,"Estoque Não Conforme",IF(TAB_ESTOQUE[[#This Row],[Estoque]]&gt;=TAB_ESTOQUE[[#This Row],[Mínimo]],"Estoque Conforme",IF(TAB_ESTOQUE[[#This Row],[Estoque]]&lt;TAB_ESTOQUE[[#This Row],[Mínimo]],"Estoque em Nivel Minimo")))</f>
        <v>Estoque Conforme</v>
      </c>
      <c r="AC214" s="85"/>
      <c r="AD214" s="82"/>
      <c r="AE214" s="82"/>
      <c r="AF214" s="82"/>
    </row>
    <row r="215" spans="1:32" ht="15" customHeight="1" x14ac:dyDescent="0.25">
      <c r="A215" s="45">
        <v>1090</v>
      </c>
      <c r="B215" s="47"/>
      <c r="C215" s="46"/>
      <c r="D215" s="45" t="s">
        <v>2615</v>
      </c>
      <c r="E215" s="46"/>
      <c r="F215" s="87"/>
      <c r="G215" s="82"/>
      <c r="H215" s="82"/>
      <c r="I215" s="82" t="s">
        <v>6227</v>
      </c>
      <c r="J215" s="82"/>
      <c r="K215" s="82"/>
      <c r="L215" s="82"/>
      <c r="M215" s="82"/>
      <c r="N215" s="82"/>
      <c r="O215" s="87" t="s">
        <v>6372</v>
      </c>
      <c r="P215" s="82" t="s">
        <v>822</v>
      </c>
      <c r="Q215" s="83">
        <f>VLOOKUP(TAB_ESTOQUE[[#This Row],[Codigo]],TAB_ENTRADA[[Cod_2_Entrada]:[TOTAL_ENTRADA]],5,FALSE)-VLOOKUP(TAB_ESTOQUE[[#This Row],[Codigo]],TAB_SAIDA[[COD_2_SAIDA]:[TOTAL_SAIDA]],5,FALSE)</f>
        <v>4</v>
      </c>
      <c r="R215" s="87"/>
      <c r="S215" s="87"/>
      <c r="T215" s="90"/>
      <c r="U215" s="91">
        <f>TAB_ESTOQUE[[#This Row],[Valor Unitario Estimado]]*TAB_ESTOQUE[[#This Row],[Estoque]]</f>
        <v>0</v>
      </c>
      <c r="V215" s="91"/>
      <c r="W215" s="85"/>
      <c r="X215" s="85"/>
      <c r="Y215" s="85"/>
      <c r="Z215" s="85"/>
      <c r="AA215" s="85"/>
      <c r="AB215" s="85" t="str">
        <f>IF(TAB_ESTOQUE[[#This Row],[Estoque]]=0,"Estoque Não Conforme",IF(TAB_ESTOQUE[[#This Row],[Estoque]]&gt;=TAB_ESTOQUE[[#This Row],[Mínimo]],"Estoque Conforme",IF(TAB_ESTOQUE[[#This Row],[Estoque]]&lt;TAB_ESTOQUE[[#This Row],[Mínimo]],"Estoque em Nivel Minimo")))</f>
        <v>Estoque Conforme</v>
      </c>
      <c r="AC215" s="85"/>
      <c r="AD215" s="82"/>
      <c r="AE215" s="82"/>
      <c r="AF215" s="82"/>
    </row>
    <row r="216" spans="1:32" ht="15" customHeight="1" x14ac:dyDescent="0.25">
      <c r="A216" s="47">
        <v>1091</v>
      </c>
      <c r="B216" s="47"/>
      <c r="C216" s="51"/>
      <c r="D216" s="47" t="s">
        <v>2616</v>
      </c>
      <c r="E216" s="51"/>
      <c r="F216" s="107"/>
      <c r="G216" s="94"/>
      <c r="H216" s="94"/>
      <c r="I216" s="94" t="s">
        <v>6228</v>
      </c>
      <c r="J216" s="94"/>
      <c r="K216" s="94"/>
      <c r="L216" s="94"/>
      <c r="M216" s="94"/>
      <c r="N216" s="94"/>
      <c r="O216" s="107" t="s">
        <v>6372</v>
      </c>
      <c r="P216" s="94" t="s">
        <v>824</v>
      </c>
      <c r="Q216" s="145">
        <f>VLOOKUP(TAB_ESTOQUE[[#This Row],[Codigo]],TAB_ENTRADA[[Cod_2_Entrada]:[TOTAL_ENTRADA]],5,FALSE)-VLOOKUP(TAB_ESTOQUE[[#This Row],[Codigo]],TAB_SAIDA[[COD_2_SAIDA]:[TOTAL_SAIDA]],5,FALSE)</f>
        <v>12</v>
      </c>
      <c r="R216" s="107"/>
      <c r="S216" s="107"/>
      <c r="T216" s="90"/>
      <c r="U216" s="109">
        <f>TAB_ESTOQUE[[#This Row],[Valor Unitario Estimado]]*TAB_ESTOQUE[[#This Row],[Estoque]]</f>
        <v>0</v>
      </c>
      <c r="V216" s="109"/>
      <c r="W216" s="110"/>
      <c r="X216" s="110"/>
      <c r="Y216" s="110"/>
      <c r="Z216" s="110"/>
      <c r="AA216" s="110"/>
      <c r="AB216" s="110" t="str">
        <f>IF(TAB_ESTOQUE[[#This Row],[Estoque]]=0,"Estoque Não Conforme",IF(TAB_ESTOQUE[[#This Row],[Estoque]]&gt;=TAB_ESTOQUE[[#This Row],[Mínimo]],"Estoque Conforme",IF(TAB_ESTOQUE[[#This Row],[Estoque]]&lt;TAB_ESTOQUE[[#This Row],[Mínimo]],"Estoque em Nivel Minimo")))</f>
        <v>Estoque Conforme</v>
      </c>
      <c r="AC216" s="110"/>
      <c r="AD216" s="94"/>
      <c r="AE216" s="82"/>
      <c r="AF216" s="82"/>
    </row>
    <row r="217" spans="1:32" ht="15" customHeight="1" x14ac:dyDescent="0.25">
      <c r="A217" s="113" t="s">
        <v>1159</v>
      </c>
      <c r="B217" s="113"/>
      <c r="C217" s="114"/>
      <c r="D217" s="106" t="s">
        <v>2617</v>
      </c>
      <c r="E217" s="116"/>
      <c r="F217" s="118"/>
      <c r="G217" s="95"/>
      <c r="H217" s="95"/>
      <c r="I217" s="95" t="s">
        <v>6229</v>
      </c>
      <c r="J217" s="95"/>
      <c r="K217" s="95"/>
      <c r="L217" s="95"/>
      <c r="M217" s="95"/>
      <c r="N217" s="95"/>
      <c r="O217" s="118" t="s">
        <v>6372</v>
      </c>
      <c r="P217" s="95"/>
      <c r="Q217" s="154">
        <f>VLOOKUP(TAB_ESTOQUE[[#This Row],[Codigo]],TAB_ENTRADA[[Cod_2_Entrada]:[TOTAL_ENTRADA]],5,FALSE)-VLOOKUP(TAB_ESTOQUE[[#This Row],[Codigo]],TAB_SAIDA[[COD_2_SAIDA]:[TOTAL_SAIDA]],5,FALSE)</f>
        <v>63</v>
      </c>
      <c r="R217" s="118"/>
      <c r="S217" s="118"/>
      <c r="T217" s="90"/>
      <c r="U217" s="112">
        <f>TAB_ESTOQUE[[#This Row],[Valor Unitario Estimado]]*TAB_ESTOQUE[[#This Row],[Estoque]]</f>
        <v>0</v>
      </c>
      <c r="V217" s="112"/>
      <c r="W217" s="120"/>
      <c r="X217" s="120"/>
      <c r="Y217" s="120"/>
      <c r="Z217" s="120"/>
      <c r="AA217" s="120"/>
      <c r="AB217" s="120" t="str">
        <f>IF(TAB_ESTOQUE[[#This Row],[Estoque]]=0,"Estoque Não Conforme",IF(TAB_ESTOQUE[[#This Row],[Estoque]]&gt;=TAB_ESTOQUE[[#This Row],[Mínimo]],"Estoque Conforme",IF(TAB_ESTOQUE[[#This Row],[Estoque]]&lt;TAB_ESTOQUE[[#This Row],[Mínimo]],"Estoque em Nivel Minimo")))</f>
        <v>Estoque Conforme</v>
      </c>
      <c r="AC217" s="120"/>
      <c r="AD217" s="95"/>
      <c r="AE217" s="82"/>
      <c r="AF217" s="82"/>
    </row>
    <row r="218" spans="1:32" ht="15" customHeight="1" x14ac:dyDescent="0.25">
      <c r="A218" s="45" t="s">
        <v>1159</v>
      </c>
      <c r="B218" s="47"/>
      <c r="C218" s="46"/>
      <c r="D218" s="45" t="s">
        <v>2618</v>
      </c>
      <c r="E218" s="46"/>
      <c r="F218" s="87"/>
      <c r="G218" s="82"/>
      <c r="H218" s="82"/>
      <c r="I218" s="82" t="s">
        <v>6230</v>
      </c>
      <c r="J218" s="82"/>
      <c r="K218" s="82"/>
      <c r="L218" s="82"/>
      <c r="M218" s="82"/>
      <c r="N218" s="82"/>
      <c r="O218" s="87" t="s">
        <v>6372</v>
      </c>
      <c r="P218" s="82" t="s">
        <v>1207</v>
      </c>
      <c r="Q218" s="83">
        <f>VLOOKUP(TAB_ESTOQUE[[#This Row],[Codigo]],TAB_ENTRADA[[Cod_2_Entrada]:[TOTAL_ENTRADA]],5,FALSE)-VLOOKUP(TAB_ESTOQUE[[#This Row],[Codigo]],TAB_SAIDA[[COD_2_SAIDA]:[TOTAL_SAIDA]],5,FALSE)</f>
        <v>8</v>
      </c>
      <c r="R218" s="87"/>
      <c r="S218" s="87"/>
      <c r="T218" s="90"/>
      <c r="U218" s="91">
        <f>TAB_ESTOQUE[[#This Row],[Valor Unitario Estimado]]*TAB_ESTOQUE[[#This Row],[Estoque]]</f>
        <v>0</v>
      </c>
      <c r="V218" s="91"/>
      <c r="W218" s="85"/>
      <c r="X218" s="85"/>
      <c r="Y218" s="85"/>
      <c r="Z218" s="85"/>
      <c r="AA218" s="85"/>
      <c r="AB218" s="85" t="str">
        <f>IF(TAB_ESTOQUE[[#This Row],[Estoque]]=0,"Estoque Não Conforme",IF(TAB_ESTOQUE[[#This Row],[Estoque]]&gt;=TAB_ESTOQUE[[#This Row],[Mínimo]],"Estoque Conforme",IF(TAB_ESTOQUE[[#This Row],[Estoque]]&lt;TAB_ESTOQUE[[#This Row],[Mínimo]],"Estoque em Nivel Minimo")))</f>
        <v>Estoque Conforme</v>
      </c>
      <c r="AC218" s="85"/>
      <c r="AD218" s="82"/>
      <c r="AE218" s="82"/>
      <c r="AF218" s="82"/>
    </row>
    <row r="219" spans="1:32" ht="15" customHeight="1" x14ac:dyDescent="0.25">
      <c r="A219" s="106" t="s">
        <v>1159</v>
      </c>
      <c r="B219" s="106"/>
      <c r="C219" s="116"/>
      <c r="D219" s="106" t="s">
        <v>2641</v>
      </c>
      <c r="E219" s="116"/>
      <c r="F219" s="118"/>
      <c r="G219" s="95"/>
      <c r="H219" s="95"/>
      <c r="I219" s="95" t="s">
        <v>1262</v>
      </c>
      <c r="J219" s="95"/>
      <c r="K219" s="95"/>
      <c r="L219" s="95"/>
      <c r="M219" s="95"/>
      <c r="N219" s="95"/>
      <c r="O219" s="118" t="s">
        <v>6372</v>
      </c>
      <c r="P219" s="95" t="s">
        <v>1181</v>
      </c>
      <c r="Q219" s="154">
        <f>VLOOKUP(TAB_ESTOQUE[[#This Row],[Codigo]],TAB_ENTRADA[[Cod_2_Entrada]:[TOTAL_ENTRADA]],5,FALSE)-VLOOKUP(TAB_ESTOQUE[[#This Row],[Codigo]],TAB_SAIDA[[COD_2_SAIDA]:[TOTAL_SAIDA]],5,FALSE)</f>
        <v>12</v>
      </c>
      <c r="R219" s="118"/>
      <c r="S219" s="118"/>
      <c r="T219" s="119"/>
      <c r="U219" s="112">
        <f>TAB_ESTOQUE[[#This Row],[Valor Unitario Estimado]]*TAB_ESTOQUE[[#This Row],[Estoque]]</f>
        <v>0</v>
      </c>
      <c r="V219" s="112"/>
      <c r="W219" s="120"/>
      <c r="X219" s="120"/>
      <c r="Y219" s="120"/>
      <c r="Z219" s="120"/>
      <c r="AA219" s="120"/>
      <c r="AB219" s="120" t="str">
        <f>IF(TAB_ESTOQUE[[#This Row],[Estoque]]=0,"Estoque Não Conforme",IF(TAB_ESTOQUE[[#This Row],[Estoque]]&gt;=TAB_ESTOQUE[[#This Row],[Mínimo]],"Estoque Conforme",IF(TAB_ESTOQUE[[#This Row],[Estoque]]&lt;TAB_ESTOQUE[[#This Row],[Mínimo]],"Estoque em Nivel Minimo")))</f>
        <v>Estoque Conforme</v>
      </c>
      <c r="AC219" s="120"/>
      <c r="AD219" s="95"/>
      <c r="AE219" s="82"/>
      <c r="AF219" s="82"/>
    </row>
    <row r="220" spans="1:32" ht="15" customHeight="1" x14ac:dyDescent="0.25">
      <c r="B220" s="47"/>
      <c r="C220" s="53" t="s">
        <v>2838</v>
      </c>
      <c r="D220" s="45" t="s">
        <v>2770</v>
      </c>
      <c r="E220" s="46"/>
      <c r="F220" s="87"/>
      <c r="G220" s="82"/>
      <c r="H220" s="82"/>
      <c r="I220" s="82" t="s">
        <v>6375</v>
      </c>
      <c r="J220" s="82"/>
      <c r="K220" s="82"/>
      <c r="L220" s="82"/>
      <c r="M220" s="82"/>
      <c r="N220" s="82"/>
      <c r="O220" s="87" t="s">
        <v>6372</v>
      </c>
      <c r="P220" s="82" t="s">
        <v>2862</v>
      </c>
      <c r="Q220" s="83">
        <f>VLOOKUP(TAB_ESTOQUE[[#This Row],[Codigo]],TAB_ENTRADA[[Cod_2_Entrada]:[TOTAL_ENTRADA]],5,FALSE)-VLOOKUP(TAB_ESTOQUE[[#This Row],[Codigo]],TAB_SAIDA[[COD_2_SAIDA]:[TOTAL_SAIDA]],5,FALSE)</f>
        <v>7</v>
      </c>
      <c r="R220" s="87"/>
      <c r="S220" s="87"/>
      <c r="T220" s="90"/>
      <c r="U220" s="91">
        <f>TAB_ESTOQUE[[#This Row],[Valor Unitario Estimado]]*TAB_ESTOQUE[[#This Row],[Estoque]]</f>
        <v>0</v>
      </c>
      <c r="V220" s="91"/>
      <c r="W220" s="85"/>
      <c r="X220" s="85"/>
      <c r="Y220" s="85"/>
      <c r="Z220" s="85"/>
      <c r="AA220" s="85"/>
      <c r="AB220" s="85" t="str">
        <f>IF(TAB_ESTOQUE[[#This Row],[Estoque]]=0,"Estoque Não Conforme",IF(TAB_ESTOQUE[[#This Row],[Estoque]]&gt;=TAB_ESTOQUE[[#This Row],[Mínimo]],"Estoque Conforme",IF(TAB_ESTOQUE[[#This Row],[Estoque]]&lt;TAB_ESTOQUE[[#This Row],[Mínimo]],"Estoque em Nivel Minimo")))</f>
        <v>Estoque Conforme</v>
      </c>
      <c r="AC220" s="96"/>
      <c r="AD220" s="82"/>
      <c r="AE220" s="82"/>
      <c r="AF220" s="82"/>
    </row>
    <row r="221" spans="1:32" ht="15" customHeight="1" x14ac:dyDescent="0.25">
      <c r="C221" s="48"/>
      <c r="D221" s="45" t="s">
        <v>7260</v>
      </c>
      <c r="E221" s="46"/>
      <c r="F221" s="46"/>
      <c r="I221" s="45" t="s">
        <v>7804</v>
      </c>
      <c r="O221" s="51" t="s">
        <v>6372</v>
      </c>
      <c r="Q221" s="137">
        <f>VLOOKUP(TAB_ESTOQUE[[#This Row],[Codigo]],TAB_ENTRADA[[Cod_2_Entrada]:[TOTAL_ENTRADA]],5,FALSE)-VLOOKUP(TAB_ESTOQUE[[#This Row],[Codigo]],TAB_SAIDA[[COD_2_SAIDA]:[TOTAL_SAIDA]],5,FALSE)</f>
        <v>1</v>
      </c>
      <c r="S221" s="46"/>
      <c r="T221" s="102"/>
      <c r="U221" s="103">
        <f>TAB_ESTOQUE[[#This Row],[Valor Unitario Estimado]]*TAB_ESTOQUE[[#This Row],[Estoque]]</f>
        <v>0</v>
      </c>
      <c r="V221" s="103"/>
      <c r="AA221" s="138"/>
      <c r="AB221" s="104" t="str">
        <f>IF(TAB_ESTOQUE[[#This Row],[Estoque]]=0,"Estoque Não Conforme",IF(TAB_ESTOQUE[[#This Row],[Estoque]]&gt;=TAB_ESTOQUE[[#This Row],[Mínimo]],"Estoque Conforme",IF(TAB_ESTOQUE[[#This Row],[Estoque]]&lt;TAB_ESTOQUE[[#This Row],[Mínimo]],"Estoque em Nivel Minimo")))</f>
        <v>Estoque Conforme</v>
      </c>
      <c r="AC221" s="104"/>
      <c r="AE221" s="82"/>
      <c r="AF221" s="82"/>
    </row>
    <row r="222" spans="1:32" ht="15" customHeight="1" x14ac:dyDescent="0.25">
      <c r="C222" s="48"/>
      <c r="D222" s="45" t="s">
        <v>7264</v>
      </c>
      <c r="E222" s="46" t="s">
        <v>6826</v>
      </c>
      <c r="F222" s="46"/>
      <c r="I222" s="94" t="s">
        <v>7843</v>
      </c>
      <c r="O222" s="107" t="s">
        <v>6372</v>
      </c>
      <c r="Q222" s="137">
        <f>VLOOKUP(TAB_ESTOQUE[[#This Row],[Codigo]],TAB_ENTRADA[[Cod_2_Entrada]:[TOTAL_ENTRADA]],5,FALSE)-VLOOKUP(TAB_ESTOQUE[[#This Row],[Codigo]],TAB_SAIDA[[COD_2_SAIDA]:[TOTAL_SAIDA]],5,FALSE)</f>
        <v>0</v>
      </c>
      <c r="S222" s="46"/>
      <c r="T222" s="102"/>
      <c r="U222" s="103">
        <f>TAB_ESTOQUE[[#This Row],[Valor Unitario Estimado]]*TAB_ESTOQUE[[#This Row],[Estoque]]</f>
        <v>0</v>
      </c>
      <c r="V222" s="103"/>
      <c r="AA222" s="138"/>
      <c r="AB222" s="104" t="str">
        <f>IF(TAB_ESTOQUE[[#This Row],[Estoque]]=0,"Estoque Não Conforme",IF(TAB_ESTOQUE[[#This Row],[Estoque]]&gt;=TAB_ESTOQUE[[#This Row],[Mínimo]],"Estoque Conforme",IF(TAB_ESTOQUE[[#This Row],[Estoque]]&lt;TAB_ESTOQUE[[#This Row],[Mínimo]],"Estoque em Nivel Minimo")))</f>
        <v>Estoque Não Conforme</v>
      </c>
      <c r="AC222" s="104"/>
      <c r="AE222" s="82"/>
      <c r="AF222" s="82"/>
    </row>
    <row r="223" spans="1:32" ht="15" customHeight="1" x14ac:dyDescent="0.25">
      <c r="C223" s="48"/>
      <c r="D223" s="45" t="s">
        <v>7462</v>
      </c>
      <c r="E223" s="46"/>
      <c r="F223" s="46"/>
      <c r="I223" s="45" t="s">
        <v>8011</v>
      </c>
      <c r="O223" s="116" t="s">
        <v>6372</v>
      </c>
      <c r="Q223" s="137">
        <f>VLOOKUP(TAB_ESTOQUE[[#This Row],[Codigo]],TAB_ENTRADA[[Cod_2_Entrada]:[TOTAL_ENTRADA]],5,FALSE)-VLOOKUP(TAB_ESTOQUE[[#This Row],[Codigo]],TAB_SAIDA[[COD_2_SAIDA]:[TOTAL_SAIDA]],5,FALSE)</f>
        <v>2</v>
      </c>
      <c r="S223" s="46"/>
      <c r="T223" s="102">
        <v>93.15</v>
      </c>
      <c r="U223" s="103">
        <f>TAB_ESTOQUE[[#This Row],[Valor Unitario Estimado]]*TAB_ESTOQUE[[#This Row],[Estoque]]</f>
        <v>186.3</v>
      </c>
      <c r="V223" s="103"/>
      <c r="AA223" s="138"/>
      <c r="AB223" s="104" t="str">
        <f>IF(TAB_ESTOQUE[[#This Row],[Estoque]]=0,"Estoque Não Conforme",IF(TAB_ESTOQUE[[#This Row],[Estoque]]&gt;=TAB_ESTOQUE[[#This Row],[Mínimo]],"Estoque Conforme",IF(TAB_ESTOQUE[[#This Row],[Estoque]]&lt;TAB_ESTOQUE[[#This Row],[Mínimo]],"Estoque em Nivel Minimo")))</f>
        <v>Estoque Conforme</v>
      </c>
      <c r="AC223" s="104"/>
      <c r="AE223" s="82"/>
      <c r="AF223" s="82"/>
    </row>
    <row r="224" spans="1:32" ht="15" customHeight="1" x14ac:dyDescent="0.25">
      <c r="A224" s="45">
        <v>182</v>
      </c>
      <c r="B224" s="47"/>
      <c r="C224" s="46"/>
      <c r="D224" s="45" t="s">
        <v>1968</v>
      </c>
      <c r="E224" s="46" t="s">
        <v>6766</v>
      </c>
      <c r="F224" s="87"/>
      <c r="G224" s="82"/>
      <c r="H224" s="82"/>
      <c r="I224" s="82" t="s">
        <v>1448</v>
      </c>
      <c r="J224" s="82"/>
      <c r="K224" s="82" t="s">
        <v>15</v>
      </c>
      <c r="L224" s="82"/>
      <c r="M224" s="82" t="s">
        <v>8</v>
      </c>
      <c r="N224" s="82"/>
      <c r="O224" s="87" t="s">
        <v>6246</v>
      </c>
      <c r="P224" s="82" t="s">
        <v>128</v>
      </c>
      <c r="Q224" s="83">
        <f>VLOOKUP(TAB_ESTOQUE[[#This Row],[Codigo]],TAB_ENTRADA[[Cod_2_Entrada]:[TOTAL_ENTRADA]],5,FALSE)-VLOOKUP(TAB_ESTOQUE[[#This Row],[Codigo]],TAB_SAIDA[[COD_2_SAIDA]:[TOTAL_SAIDA]],5,FALSE)</f>
        <v>1</v>
      </c>
      <c r="R224" s="87"/>
      <c r="S224" s="87"/>
      <c r="T224" s="90"/>
      <c r="U224" s="91">
        <f>TAB_ESTOQUE[[#This Row],[Valor Unitario Estimado]]*TAB_ESTOQUE[[#This Row],[Estoque]]</f>
        <v>0</v>
      </c>
      <c r="V224" s="91"/>
      <c r="W224" s="85"/>
      <c r="X224" s="85"/>
      <c r="Y224" s="85"/>
      <c r="Z224" s="85"/>
      <c r="AA224" s="85"/>
      <c r="AB224" s="85" t="str">
        <f>IF(TAB_ESTOQUE[[#This Row],[Estoque]]=0,"Estoque Não Conforme",IF(TAB_ESTOQUE[[#This Row],[Estoque]]&gt;=TAB_ESTOQUE[[#This Row],[Mínimo]],"Estoque Conforme",IF(TAB_ESTOQUE[[#This Row],[Estoque]]&lt;TAB_ESTOQUE[[#This Row],[Mínimo]],"Estoque em Nivel Minimo")))</f>
        <v>Estoque Conforme</v>
      </c>
      <c r="AC224" s="85"/>
      <c r="AD224" s="82"/>
      <c r="AE224" s="82"/>
      <c r="AF224" s="82"/>
    </row>
    <row r="225" spans="1:32" ht="15" customHeight="1" x14ac:dyDescent="0.25">
      <c r="A225" s="45">
        <v>1320</v>
      </c>
      <c r="B225" s="47"/>
      <c r="C225" s="46"/>
      <c r="D225" s="45" t="s">
        <v>1987</v>
      </c>
      <c r="E225" s="46" t="s">
        <v>7</v>
      </c>
      <c r="F225" s="87"/>
      <c r="G225" s="82"/>
      <c r="H225" s="82"/>
      <c r="I225" s="82" t="s">
        <v>6411</v>
      </c>
      <c r="J225" s="82"/>
      <c r="K225" s="82"/>
      <c r="L225" s="82"/>
      <c r="M225" s="82" t="s">
        <v>8</v>
      </c>
      <c r="N225" s="82"/>
      <c r="O225" s="87" t="s">
        <v>6246</v>
      </c>
      <c r="P225" s="82" t="s">
        <v>1054</v>
      </c>
      <c r="Q225" s="83">
        <f>VLOOKUP(TAB_ESTOQUE[[#This Row],[Codigo]],TAB_ENTRADA[[Cod_2_Entrada]:[TOTAL_ENTRADA]],5,FALSE)-VLOOKUP(TAB_ESTOQUE[[#This Row],[Codigo]],TAB_SAIDA[[COD_2_SAIDA]:[TOTAL_SAIDA]],5,FALSE)</f>
        <v>4</v>
      </c>
      <c r="R225" s="87"/>
      <c r="S225" s="87"/>
      <c r="T225" s="90">
        <v>280</v>
      </c>
      <c r="U225" s="91">
        <f>TAB_ESTOQUE[[#This Row],[Valor Unitario Estimado]]*TAB_ESTOQUE[[#This Row],[Estoque]]</f>
        <v>1120</v>
      </c>
      <c r="V225" s="91"/>
      <c r="W225" s="85"/>
      <c r="X225" s="85"/>
      <c r="Y225" s="85"/>
      <c r="Z225" s="85"/>
      <c r="AA225" s="85"/>
      <c r="AB225" s="85" t="str">
        <f>IF(TAB_ESTOQUE[[#This Row],[Estoque]]=0,"Estoque Não Conforme",IF(TAB_ESTOQUE[[#This Row],[Estoque]]&gt;=TAB_ESTOQUE[[#This Row],[Mínimo]],"Estoque Conforme",IF(TAB_ESTOQUE[[#This Row],[Estoque]]&lt;TAB_ESTOQUE[[#This Row],[Mínimo]],"Estoque em Nivel Minimo")))</f>
        <v>Estoque Conforme</v>
      </c>
      <c r="AC225" s="85"/>
      <c r="AD225" s="82"/>
      <c r="AE225" s="82"/>
      <c r="AF225" s="82"/>
    </row>
    <row r="226" spans="1:32" ht="15" customHeight="1" x14ac:dyDescent="0.25">
      <c r="A226" s="45">
        <v>676</v>
      </c>
      <c r="B226" s="47"/>
      <c r="C226" s="46"/>
      <c r="D226" s="45" t="s">
        <v>2383</v>
      </c>
      <c r="E226" s="46" t="s">
        <v>7908</v>
      </c>
      <c r="F226" s="87"/>
      <c r="G226" s="82"/>
      <c r="H226" s="82"/>
      <c r="I226" s="82" t="s">
        <v>7797</v>
      </c>
      <c r="J226" s="82"/>
      <c r="K226" s="82"/>
      <c r="L226" s="82"/>
      <c r="M226" s="82"/>
      <c r="N226" s="82"/>
      <c r="O226" s="87" t="s">
        <v>6246</v>
      </c>
      <c r="P226" s="82" t="s">
        <v>459</v>
      </c>
      <c r="Q226" s="83">
        <f>VLOOKUP(TAB_ESTOQUE[[#This Row],[Codigo]],TAB_ENTRADA[[Cod_2_Entrada]:[TOTAL_ENTRADA]],5,FALSE)-VLOOKUP(TAB_ESTOQUE[[#This Row],[Codigo]],TAB_SAIDA[[COD_2_SAIDA]:[TOTAL_SAIDA]],5,FALSE)</f>
        <v>0</v>
      </c>
      <c r="R226" s="87"/>
      <c r="S226" s="87"/>
      <c r="T226" s="90"/>
      <c r="U226" s="91">
        <f>TAB_ESTOQUE[[#This Row],[Valor Unitario Estimado]]*TAB_ESTOQUE[[#This Row],[Estoque]]</f>
        <v>0</v>
      </c>
      <c r="V226" s="91"/>
      <c r="W226" s="85"/>
      <c r="X226" s="85"/>
      <c r="Y226" s="85"/>
      <c r="Z226" s="85"/>
      <c r="AA226" s="85"/>
      <c r="AB226" s="85" t="str">
        <f>IF(TAB_ESTOQUE[[#This Row],[Estoque]]=0,"Estoque Não Conforme",IF(TAB_ESTOQUE[[#This Row],[Estoque]]&gt;=TAB_ESTOQUE[[#This Row],[Mínimo]],"Estoque Conforme",IF(TAB_ESTOQUE[[#This Row],[Estoque]]&lt;TAB_ESTOQUE[[#This Row],[Mínimo]],"Estoque em Nivel Minimo")))</f>
        <v>Estoque Não Conforme</v>
      </c>
      <c r="AC226" s="85"/>
      <c r="AD226" s="82"/>
      <c r="AE226" s="82"/>
      <c r="AF226" s="82"/>
    </row>
    <row r="227" spans="1:32" ht="15" customHeight="1" x14ac:dyDescent="0.25">
      <c r="A227" s="45">
        <v>671</v>
      </c>
      <c r="B227" s="47"/>
      <c r="C227" s="46"/>
      <c r="D227" s="45" t="s">
        <v>2385</v>
      </c>
      <c r="E227" s="46" t="s">
        <v>7</v>
      </c>
      <c r="F227" s="87"/>
      <c r="G227" s="82"/>
      <c r="H227" s="82"/>
      <c r="I227" s="82" t="s">
        <v>7798</v>
      </c>
      <c r="J227" s="82"/>
      <c r="K227" s="82"/>
      <c r="L227" s="82"/>
      <c r="M227" s="82"/>
      <c r="N227" s="82"/>
      <c r="O227" s="87" t="s">
        <v>6246</v>
      </c>
      <c r="P227" s="82" t="s">
        <v>454</v>
      </c>
      <c r="Q227" s="83">
        <f>VLOOKUP(TAB_ESTOQUE[[#This Row],[Codigo]],TAB_ENTRADA[[Cod_2_Entrada]:[TOTAL_ENTRADA]],5,FALSE)-VLOOKUP(TAB_ESTOQUE[[#This Row],[Codigo]],TAB_SAIDA[[COD_2_SAIDA]:[TOTAL_SAIDA]],5,FALSE)</f>
        <v>0</v>
      </c>
      <c r="R227" s="87"/>
      <c r="S227" s="87"/>
      <c r="T227" s="90">
        <v>847</v>
      </c>
      <c r="U227" s="91">
        <f>TAB_ESTOQUE[[#This Row],[Valor Unitario Estimado]]*TAB_ESTOQUE[[#This Row],[Estoque]]</f>
        <v>0</v>
      </c>
      <c r="V227" s="91"/>
      <c r="W227" s="85"/>
      <c r="X227" s="85"/>
      <c r="Y227" s="85"/>
      <c r="Z227" s="85"/>
      <c r="AA227" s="85"/>
      <c r="AB227" s="85" t="str">
        <f>IF(TAB_ESTOQUE[[#This Row],[Estoque]]=0,"Estoque Não Conforme",IF(TAB_ESTOQUE[[#This Row],[Estoque]]&gt;=TAB_ESTOQUE[[#This Row],[Mínimo]],"Estoque Conforme",IF(TAB_ESTOQUE[[#This Row],[Estoque]]&lt;TAB_ESTOQUE[[#This Row],[Mínimo]],"Estoque em Nivel Minimo")))</f>
        <v>Estoque Não Conforme</v>
      </c>
      <c r="AC227" s="85"/>
      <c r="AD227" s="82"/>
      <c r="AE227" s="82"/>
      <c r="AF227" s="82"/>
    </row>
    <row r="228" spans="1:32" ht="15" customHeight="1" x14ac:dyDescent="0.25">
      <c r="B228" s="47"/>
      <c r="C228" s="53" t="s">
        <v>2833</v>
      </c>
      <c r="D228" s="45" t="s">
        <v>2860</v>
      </c>
      <c r="E228" s="46" t="s">
        <v>1240</v>
      </c>
      <c r="F228" s="87"/>
      <c r="G228" s="82"/>
      <c r="H228" s="82"/>
      <c r="I228" s="82" t="s">
        <v>7020</v>
      </c>
      <c r="J228" s="82"/>
      <c r="K228" s="82"/>
      <c r="L228" s="82"/>
      <c r="M228" s="82"/>
      <c r="N228" s="82"/>
      <c r="O228" s="87" t="s">
        <v>6246</v>
      </c>
      <c r="P228" s="82" t="s">
        <v>2870</v>
      </c>
      <c r="Q228" s="83">
        <f>VLOOKUP(TAB_ESTOQUE[[#This Row],[Codigo]],TAB_ENTRADA[[Cod_2_Entrada]:[TOTAL_ENTRADA]],5,FALSE)-VLOOKUP(TAB_ESTOQUE[[#This Row],[Codigo]],TAB_SAIDA[[COD_2_SAIDA]:[TOTAL_SAIDA]],5,FALSE)</f>
        <v>0</v>
      </c>
      <c r="R228" s="87"/>
      <c r="S228" s="87"/>
      <c r="T228" s="90">
        <v>1840</v>
      </c>
      <c r="U228" s="91">
        <f>TAB_ESTOQUE[[#This Row],[Valor Unitario Estimado]]*TAB_ESTOQUE[[#This Row],[Estoque]]</f>
        <v>0</v>
      </c>
      <c r="V228" s="91"/>
      <c r="W228" s="85"/>
      <c r="X228" s="85"/>
      <c r="Y228" s="85"/>
      <c r="Z228" s="85"/>
      <c r="AA228" s="85"/>
      <c r="AB228" s="85" t="str">
        <f>IF(TAB_ESTOQUE[[#This Row],[Estoque]]=0,"Estoque Não Conforme",IF(TAB_ESTOQUE[[#This Row],[Estoque]]&gt;=TAB_ESTOQUE[[#This Row],[Mínimo]],"Estoque Conforme",IF(TAB_ESTOQUE[[#This Row],[Estoque]]&lt;TAB_ESTOQUE[[#This Row],[Mínimo]],"Estoque em Nivel Minimo")))</f>
        <v>Estoque Não Conforme</v>
      </c>
      <c r="AC228" s="96"/>
      <c r="AD228" s="82"/>
      <c r="AE228" s="82"/>
      <c r="AF228" s="82"/>
    </row>
    <row r="229" spans="1:32" ht="15" customHeight="1" x14ac:dyDescent="0.25">
      <c r="B229" s="47"/>
      <c r="C229" s="53" t="s">
        <v>2838</v>
      </c>
      <c r="D229" s="45" t="s">
        <v>3063</v>
      </c>
      <c r="E229" s="46"/>
      <c r="F229" s="87"/>
      <c r="G229" s="82"/>
      <c r="H229" s="82"/>
      <c r="I229" s="209" t="s">
        <v>7803</v>
      </c>
      <c r="J229" s="82"/>
      <c r="K229" s="82"/>
      <c r="L229" s="82"/>
      <c r="M229" s="82"/>
      <c r="N229" s="82"/>
      <c r="O229" s="87" t="s">
        <v>6246</v>
      </c>
      <c r="P229" s="82" t="s">
        <v>1200</v>
      </c>
      <c r="Q229" s="83">
        <f>VLOOKUP(TAB_ESTOQUE[[#This Row],[Codigo]],TAB_ENTRADA[[Cod_2_Entrada]:[TOTAL_ENTRADA]],5,FALSE)-VLOOKUP(TAB_ESTOQUE[[#This Row],[Codigo]],TAB_SAIDA[[COD_2_SAIDA]:[TOTAL_SAIDA]],5,FALSE)</f>
        <v>1</v>
      </c>
      <c r="R229" s="87"/>
      <c r="S229" s="87"/>
      <c r="T229" s="90"/>
      <c r="U229" s="91">
        <f>TAB_ESTOQUE[[#This Row],[Valor Unitario Estimado]]*TAB_ESTOQUE[[#This Row],[Estoque]]</f>
        <v>0</v>
      </c>
      <c r="V229" s="91"/>
      <c r="W229" s="85"/>
      <c r="X229" s="85"/>
      <c r="Y229" s="85"/>
      <c r="Z229" s="85"/>
      <c r="AA229" s="85"/>
      <c r="AB229" s="96" t="str">
        <f>IF(TAB_ESTOQUE[[#This Row],[Estoque]]=0,"Estoque Não Conforme",IF(TAB_ESTOQUE[[#This Row],[Estoque]]&gt;=TAB_ESTOQUE[[#This Row],[Mínimo]],"Estoque Conforme",IF(TAB_ESTOQUE[[#This Row],[Estoque]]&lt;TAB_ESTOQUE[[#This Row],[Mínimo]],"Estoque em Nivel Minimo")))</f>
        <v>Estoque Conforme</v>
      </c>
      <c r="AC229" s="96"/>
      <c r="AD229" s="82"/>
      <c r="AE229" s="82"/>
      <c r="AF229" s="82"/>
    </row>
    <row r="230" spans="1:32" ht="15" customHeight="1" x14ac:dyDescent="0.25">
      <c r="B230" s="47"/>
      <c r="C230" s="53" t="s">
        <v>2838</v>
      </c>
      <c r="D230" s="45" t="s">
        <v>3065</v>
      </c>
      <c r="E230" s="46"/>
      <c r="F230" s="87"/>
      <c r="G230" s="82"/>
      <c r="H230" s="82"/>
      <c r="I230" s="82" t="s">
        <v>6414</v>
      </c>
      <c r="J230" s="82"/>
      <c r="K230" s="82"/>
      <c r="L230" s="82"/>
      <c r="M230" s="82"/>
      <c r="N230" s="82"/>
      <c r="O230" s="87" t="s">
        <v>6246</v>
      </c>
      <c r="P230" s="82" t="s">
        <v>3071</v>
      </c>
      <c r="Q230" s="83">
        <f>VLOOKUP(TAB_ESTOQUE[[#This Row],[Codigo]],TAB_ENTRADA[[Cod_2_Entrada]:[TOTAL_ENTRADA]],5,FALSE)-VLOOKUP(TAB_ESTOQUE[[#This Row],[Codigo]],TAB_SAIDA[[COD_2_SAIDA]:[TOTAL_SAIDA]],5,FALSE)</f>
        <v>1</v>
      </c>
      <c r="R230" s="87"/>
      <c r="S230" s="87"/>
      <c r="T230" s="90"/>
      <c r="U230" s="91">
        <f>TAB_ESTOQUE[[#This Row],[Valor Unitario Estimado]]*TAB_ESTOQUE[[#This Row],[Estoque]]</f>
        <v>0</v>
      </c>
      <c r="V230" s="91"/>
      <c r="W230" s="85"/>
      <c r="X230" s="85"/>
      <c r="Y230" s="85"/>
      <c r="Z230" s="85"/>
      <c r="AA230" s="85"/>
      <c r="AB230" s="96" t="str">
        <f>IF(TAB_ESTOQUE[[#This Row],[Estoque]]=0,"Estoque Não Conforme",IF(TAB_ESTOQUE[[#This Row],[Estoque]]&gt;=TAB_ESTOQUE[[#This Row],[Mínimo]],"Estoque Conforme",IF(TAB_ESTOQUE[[#This Row],[Estoque]]&lt;TAB_ESTOQUE[[#This Row],[Mínimo]],"Estoque em Nivel Minimo")))</f>
        <v>Estoque Conforme</v>
      </c>
      <c r="AC230" s="96"/>
      <c r="AD230" s="82"/>
      <c r="AE230" s="82"/>
      <c r="AF230" s="82"/>
    </row>
    <row r="231" spans="1:32" ht="15" customHeight="1" x14ac:dyDescent="0.25">
      <c r="C231" s="48"/>
      <c r="D231" s="45" t="s">
        <v>7261</v>
      </c>
      <c r="E231" s="46"/>
      <c r="F231" s="46"/>
      <c r="I231" s="45" t="s">
        <v>7805</v>
      </c>
      <c r="O231" s="116" t="s">
        <v>6246</v>
      </c>
      <c r="Q231" s="137">
        <f>VLOOKUP(TAB_ESTOQUE[[#This Row],[Codigo]],TAB_ENTRADA[[Cod_2_Entrada]:[TOTAL_ENTRADA]],5,FALSE)-VLOOKUP(TAB_ESTOQUE[[#This Row],[Codigo]],TAB_SAIDA[[COD_2_SAIDA]:[TOTAL_SAIDA]],5,FALSE)</f>
        <v>1</v>
      </c>
      <c r="S231" s="46"/>
      <c r="T231" s="102"/>
      <c r="U231" s="103">
        <f>TAB_ESTOQUE[[#This Row],[Valor Unitario Estimado]]*TAB_ESTOQUE[[#This Row],[Estoque]]</f>
        <v>0</v>
      </c>
      <c r="V231" s="103"/>
      <c r="AA231" s="138"/>
      <c r="AB231" s="104" t="str">
        <f>IF(TAB_ESTOQUE[[#This Row],[Estoque]]=0,"Estoque Não Conforme",IF(TAB_ESTOQUE[[#This Row],[Estoque]]&gt;=TAB_ESTOQUE[[#This Row],[Mínimo]],"Estoque Conforme",IF(TAB_ESTOQUE[[#This Row],[Estoque]]&lt;TAB_ESTOQUE[[#This Row],[Mínimo]],"Estoque em Nivel Minimo")))</f>
        <v>Estoque Conforme</v>
      </c>
      <c r="AC231" s="104"/>
      <c r="AE231" s="82"/>
      <c r="AF231" s="82"/>
    </row>
    <row r="232" spans="1:32" ht="15" customHeight="1" x14ac:dyDescent="0.25">
      <c r="C232" s="48"/>
      <c r="D232" s="45" t="s">
        <v>7262</v>
      </c>
      <c r="E232" s="46"/>
      <c r="F232" s="46"/>
      <c r="I232" s="45" t="s">
        <v>7806</v>
      </c>
      <c r="O232" s="46" t="s">
        <v>6246</v>
      </c>
      <c r="Q232" s="137">
        <f>VLOOKUP(TAB_ESTOQUE[[#This Row],[Codigo]],TAB_ENTRADA[[Cod_2_Entrada]:[TOTAL_ENTRADA]],5,FALSE)-VLOOKUP(TAB_ESTOQUE[[#This Row],[Codigo]],TAB_SAIDA[[COD_2_SAIDA]:[TOTAL_SAIDA]],5,FALSE)</f>
        <v>1</v>
      </c>
      <c r="S232" s="46"/>
      <c r="T232" s="102"/>
      <c r="U232" s="103">
        <f>TAB_ESTOQUE[[#This Row],[Valor Unitario Estimado]]*TAB_ESTOQUE[[#This Row],[Estoque]]</f>
        <v>0</v>
      </c>
      <c r="V232" s="103"/>
      <c r="AA232" s="138"/>
      <c r="AB232" s="104" t="str">
        <f>IF(TAB_ESTOQUE[[#This Row],[Estoque]]=0,"Estoque Não Conforme",IF(TAB_ESTOQUE[[#This Row],[Estoque]]&gt;=TAB_ESTOQUE[[#This Row],[Mínimo]],"Estoque Conforme",IF(TAB_ESTOQUE[[#This Row],[Estoque]]&lt;TAB_ESTOQUE[[#This Row],[Mínimo]],"Estoque em Nivel Minimo")))</f>
        <v>Estoque Conforme</v>
      </c>
      <c r="AC232" s="104"/>
      <c r="AE232" s="82"/>
      <c r="AF232" s="82"/>
    </row>
    <row r="233" spans="1:32" ht="15" customHeight="1" x14ac:dyDescent="0.25">
      <c r="B233" s="47"/>
      <c r="C233" s="46"/>
      <c r="D233" s="45" t="s">
        <v>2709</v>
      </c>
      <c r="E233" s="46" t="s">
        <v>3080</v>
      </c>
      <c r="F233" s="87"/>
      <c r="G233" s="82"/>
      <c r="H233" s="82"/>
      <c r="I233" s="82" t="s">
        <v>8076</v>
      </c>
      <c r="J233" s="82"/>
      <c r="K233" s="82"/>
      <c r="L233" s="82"/>
      <c r="M233" s="82"/>
      <c r="N233" s="82"/>
      <c r="O233" s="87" t="s">
        <v>6376</v>
      </c>
      <c r="P233" s="82" t="s">
        <v>1308</v>
      </c>
      <c r="Q233" s="83">
        <f>VLOOKUP(TAB_ESTOQUE[[#This Row],[Codigo]],TAB_ENTRADA[[Cod_2_Entrada]:[TOTAL_ENTRADA]],5,FALSE)-VLOOKUP(TAB_ESTOQUE[[#This Row],[Codigo]],TAB_SAIDA[[COD_2_SAIDA]:[TOTAL_SAIDA]],5,FALSE)</f>
        <v>44</v>
      </c>
      <c r="R233" s="87"/>
      <c r="S233" s="87"/>
      <c r="T233" s="90">
        <v>143</v>
      </c>
      <c r="U233" s="91">
        <f>TAB_ESTOQUE[[#This Row],[Valor Unitario Estimado]]*TAB_ESTOQUE[[#This Row],[Estoque]]</f>
        <v>6292</v>
      </c>
      <c r="V233" s="91"/>
      <c r="W233" s="85"/>
      <c r="X233" s="85"/>
      <c r="Y233" s="85"/>
      <c r="Z233" s="85"/>
      <c r="AA233" s="85"/>
      <c r="AB233" s="96" t="str">
        <f>IF(TAB_ESTOQUE[[#This Row],[Estoque]]=0,"Estoque Não Conforme",IF(TAB_ESTOQUE[[#This Row],[Estoque]]&gt;=TAB_ESTOQUE[[#This Row],[Mínimo]],"Estoque Conforme",IF(TAB_ESTOQUE[[#This Row],[Estoque]]&lt;TAB_ESTOQUE[[#This Row],[Mínimo]],"Estoque em Nivel Minimo")))</f>
        <v>Estoque Conforme</v>
      </c>
      <c r="AC233" s="85"/>
      <c r="AD233" s="82"/>
      <c r="AE233" s="82"/>
      <c r="AF233" s="82"/>
    </row>
    <row r="234" spans="1:32" ht="15" customHeight="1" x14ac:dyDescent="0.25">
      <c r="A234" s="45">
        <v>1138</v>
      </c>
      <c r="B234" s="47"/>
      <c r="C234" s="46" t="s">
        <v>2833</v>
      </c>
      <c r="D234" s="45" t="s">
        <v>2438</v>
      </c>
      <c r="E234" s="46" t="s">
        <v>7908</v>
      </c>
      <c r="F234" s="87"/>
      <c r="G234" s="82"/>
      <c r="H234" s="82"/>
      <c r="I234" s="82" t="s">
        <v>8986</v>
      </c>
      <c r="J234" s="82"/>
      <c r="K234" s="82"/>
      <c r="L234" s="82"/>
      <c r="M234" s="82"/>
      <c r="N234" s="82"/>
      <c r="O234" s="87" t="s">
        <v>6374</v>
      </c>
      <c r="P234" s="82" t="s">
        <v>864</v>
      </c>
      <c r="Q234" s="83">
        <f>VLOOKUP(TAB_ESTOQUE[[#This Row],[Codigo]],TAB_ENTRADA[[Cod_2_Entrada]:[TOTAL_ENTRADA]],5,FALSE)-VLOOKUP(TAB_ESTOQUE[[#This Row],[Codigo]],TAB_SAIDA[[COD_2_SAIDA]:[TOTAL_SAIDA]],5,FALSE)</f>
        <v>1</v>
      </c>
      <c r="R234" s="87"/>
      <c r="S234" s="87"/>
      <c r="T234" s="90">
        <v>470</v>
      </c>
      <c r="U234" s="91">
        <f>TAB_ESTOQUE[[#This Row],[Valor Unitario Estimado]]*TAB_ESTOQUE[[#This Row],[Estoque]]</f>
        <v>470</v>
      </c>
      <c r="V234" s="91"/>
      <c r="W234" s="85"/>
      <c r="X234" s="85"/>
      <c r="Y234" s="85"/>
      <c r="Z234" s="85"/>
      <c r="AA234" s="85"/>
      <c r="AB234" s="85" t="str">
        <f>IF(TAB_ESTOQUE[[#This Row],[Estoque]]=0,"Estoque Não Conforme",IF(TAB_ESTOQUE[[#This Row],[Estoque]]&gt;=TAB_ESTOQUE[[#This Row],[Mínimo]],"Estoque Conforme",IF(TAB_ESTOQUE[[#This Row],[Estoque]]&lt;TAB_ESTOQUE[[#This Row],[Mínimo]],"Estoque em Nivel Minimo")))</f>
        <v>Estoque Conforme</v>
      </c>
      <c r="AC234" s="85"/>
      <c r="AD234" s="82"/>
      <c r="AE234" s="82"/>
      <c r="AF234" s="82"/>
    </row>
    <row r="235" spans="1:32" ht="15" customHeight="1" x14ac:dyDescent="0.25">
      <c r="A235" s="45">
        <v>1141</v>
      </c>
      <c r="B235" s="47"/>
      <c r="C235" s="46"/>
      <c r="D235" s="45" t="s">
        <v>2439</v>
      </c>
      <c r="E235" s="46" t="s">
        <v>7908</v>
      </c>
      <c r="F235" s="87"/>
      <c r="G235" s="82"/>
      <c r="H235" s="82"/>
      <c r="I235" s="82" t="s">
        <v>8381</v>
      </c>
      <c r="J235" s="82"/>
      <c r="K235" s="82"/>
      <c r="L235" s="82"/>
      <c r="M235" s="82"/>
      <c r="N235" s="82"/>
      <c r="O235" s="87" t="s">
        <v>6374</v>
      </c>
      <c r="P235" s="82" t="s">
        <v>865</v>
      </c>
      <c r="Q235" s="83">
        <f>VLOOKUP(TAB_ESTOQUE[[#This Row],[Codigo]],TAB_ENTRADA[[Cod_2_Entrada]:[TOTAL_ENTRADA]],5,FALSE)-VLOOKUP(TAB_ESTOQUE[[#This Row],[Codigo]],TAB_SAIDA[[COD_2_SAIDA]:[TOTAL_SAIDA]],5,FALSE)</f>
        <v>0</v>
      </c>
      <c r="R235" s="87"/>
      <c r="S235" s="87"/>
      <c r="T235" s="90">
        <v>20149.599999999999</v>
      </c>
      <c r="U235" s="91">
        <f>TAB_ESTOQUE[[#This Row],[Valor Unitario Estimado]]*TAB_ESTOQUE[[#This Row],[Estoque]]</f>
        <v>0</v>
      </c>
      <c r="V235" s="91"/>
      <c r="W235" s="85"/>
      <c r="X235" s="85"/>
      <c r="Y235" s="85"/>
      <c r="Z235" s="85"/>
      <c r="AA235" s="85"/>
      <c r="AB235" s="85" t="str">
        <f>IF(TAB_ESTOQUE[[#This Row],[Estoque]]=0,"Estoque Não Conforme",IF(TAB_ESTOQUE[[#This Row],[Estoque]]&gt;=TAB_ESTOQUE[[#This Row],[Mínimo]],"Estoque Conforme",IF(TAB_ESTOQUE[[#This Row],[Estoque]]&lt;TAB_ESTOQUE[[#This Row],[Mínimo]],"Estoque em Nivel Minimo")))</f>
        <v>Estoque Não Conforme</v>
      </c>
      <c r="AC235" s="85"/>
      <c r="AD235" s="82"/>
      <c r="AE235" s="82"/>
      <c r="AF235" s="82"/>
    </row>
    <row r="236" spans="1:32" ht="15.75" customHeight="1" x14ac:dyDescent="0.25">
      <c r="A236" s="45">
        <v>1150</v>
      </c>
      <c r="B236" s="47"/>
      <c r="C236" s="46"/>
      <c r="D236" s="45" t="s">
        <v>2440</v>
      </c>
      <c r="E236" s="46" t="s">
        <v>7908</v>
      </c>
      <c r="F236" s="87"/>
      <c r="G236" s="82"/>
      <c r="H236" s="82"/>
      <c r="I236" s="82" t="s">
        <v>8987</v>
      </c>
      <c r="J236" s="82"/>
      <c r="K236" s="82"/>
      <c r="L236" s="82"/>
      <c r="M236" s="82" t="s">
        <v>139</v>
      </c>
      <c r="N236" s="82"/>
      <c r="O236" s="87" t="s">
        <v>6374</v>
      </c>
      <c r="P236" s="82" t="s">
        <v>873</v>
      </c>
      <c r="Q236" s="83">
        <f>VLOOKUP(TAB_ESTOQUE[[#This Row],[Codigo]],TAB_ENTRADA[[Cod_2_Entrada]:[TOTAL_ENTRADA]],5,FALSE)-VLOOKUP(TAB_ESTOQUE[[#This Row],[Codigo]],TAB_SAIDA[[COD_2_SAIDA]:[TOTAL_SAIDA]],5,FALSE)</f>
        <v>1</v>
      </c>
      <c r="R236" s="87"/>
      <c r="S236" s="87"/>
      <c r="T236" s="90">
        <v>171.86</v>
      </c>
      <c r="U236" s="91">
        <f>TAB_ESTOQUE[[#This Row],[Valor Unitario Estimado]]*TAB_ESTOQUE[[#This Row],[Estoque]]</f>
        <v>171.86</v>
      </c>
      <c r="V236" s="91"/>
      <c r="W236" s="85"/>
      <c r="X236" s="85"/>
      <c r="Y236" s="85"/>
      <c r="Z236" s="85"/>
      <c r="AA236" s="85"/>
      <c r="AB236" s="85" t="str">
        <f>IF(TAB_ESTOQUE[[#This Row],[Estoque]]=0,"Estoque Não Conforme",IF(TAB_ESTOQUE[[#This Row],[Estoque]]&gt;=TAB_ESTOQUE[[#This Row],[Mínimo]],"Estoque Conforme",IF(TAB_ESTOQUE[[#This Row],[Estoque]]&lt;TAB_ESTOQUE[[#This Row],[Mínimo]],"Estoque em Nivel Minimo")))</f>
        <v>Estoque Conforme</v>
      </c>
      <c r="AC236" s="85"/>
      <c r="AD236" s="82"/>
      <c r="AE236" s="82"/>
      <c r="AF236" s="82"/>
    </row>
    <row r="237" spans="1:32" ht="15" customHeight="1" x14ac:dyDescent="0.25">
      <c r="C237" s="48"/>
      <c r="D237" s="45" t="s">
        <v>7263</v>
      </c>
      <c r="E237" s="46" t="s">
        <v>222</v>
      </c>
      <c r="F237" s="46"/>
      <c r="I237" s="45" t="s">
        <v>7807</v>
      </c>
      <c r="O237" s="116" t="s">
        <v>6374</v>
      </c>
      <c r="Q237" s="137">
        <f>VLOOKUP(TAB_ESTOQUE[[#This Row],[Codigo]],TAB_ENTRADA[[Cod_2_Entrada]:[TOTAL_ENTRADA]],5,FALSE)-VLOOKUP(TAB_ESTOQUE[[#This Row],[Codigo]],TAB_SAIDA[[COD_2_SAIDA]:[TOTAL_SAIDA]],5,FALSE)</f>
        <v>1</v>
      </c>
      <c r="S237" s="46"/>
      <c r="T237" s="102"/>
      <c r="U237" s="103">
        <f>TAB_ESTOQUE[[#This Row],[Valor Unitario Estimado]]*TAB_ESTOQUE[[#This Row],[Estoque]]</f>
        <v>0</v>
      </c>
      <c r="V237" s="103"/>
      <c r="AA237" s="138"/>
      <c r="AB237" s="104" t="str">
        <f>IF(TAB_ESTOQUE[[#This Row],[Estoque]]=0,"Estoque Não Conforme",IF(TAB_ESTOQUE[[#This Row],[Estoque]]&gt;=TAB_ESTOQUE[[#This Row],[Mínimo]],"Estoque Conforme",IF(TAB_ESTOQUE[[#This Row],[Estoque]]&lt;TAB_ESTOQUE[[#This Row],[Mínimo]],"Estoque em Nivel Minimo")))</f>
        <v>Estoque Conforme</v>
      </c>
      <c r="AC237" s="104"/>
      <c r="AE237" s="82"/>
      <c r="AF237" s="82"/>
    </row>
    <row r="238" spans="1:32" ht="15" customHeight="1" x14ac:dyDescent="0.25">
      <c r="A238" s="47">
        <v>1214</v>
      </c>
      <c r="B238" s="47"/>
      <c r="C238" s="51" t="s">
        <v>2833</v>
      </c>
      <c r="D238" s="47" t="s">
        <v>1770</v>
      </c>
      <c r="E238" s="51" t="s">
        <v>7185</v>
      </c>
      <c r="F238" s="107"/>
      <c r="G238" s="94"/>
      <c r="H238" s="94"/>
      <c r="I238" s="94" t="s">
        <v>7968</v>
      </c>
      <c r="J238" s="94"/>
      <c r="K238" s="94"/>
      <c r="L238" s="94"/>
      <c r="M238" s="94"/>
      <c r="N238" s="94"/>
      <c r="O238" s="107" t="s">
        <v>6361</v>
      </c>
      <c r="P238" s="94" t="s">
        <v>887</v>
      </c>
      <c r="Q238" s="145">
        <f>VLOOKUP(TAB_ESTOQUE[[#This Row],[Codigo]],TAB_ENTRADA[[Cod_2_Entrada]:[TOTAL_ENTRADA]],5,FALSE)-VLOOKUP(TAB_ESTOQUE[[#This Row],[Codigo]],TAB_SAIDA[[COD_2_SAIDA]:[TOTAL_SAIDA]],5,FALSE)</f>
        <v>2</v>
      </c>
      <c r="R238" s="107"/>
      <c r="S238" s="107"/>
      <c r="T238" s="108">
        <v>464.49</v>
      </c>
      <c r="U238" s="109">
        <f>TAB_ESTOQUE[[#This Row],[Valor Unitario Estimado]]*TAB_ESTOQUE[[#This Row],[Estoque]]</f>
        <v>928.98</v>
      </c>
      <c r="V238" s="109"/>
      <c r="W238" s="110"/>
      <c r="X238" s="110"/>
      <c r="Y238" s="110"/>
      <c r="Z238" s="110"/>
      <c r="AA238" s="110"/>
      <c r="AB238" s="110" t="str">
        <f>IF(TAB_ESTOQUE[[#This Row],[Estoque]]=0,"Estoque Não Conforme",IF(TAB_ESTOQUE[[#This Row],[Estoque]]&gt;=TAB_ESTOQUE[[#This Row],[Mínimo]],"Estoque Conforme",IF(TAB_ESTOQUE[[#This Row],[Estoque]]&lt;TAB_ESTOQUE[[#This Row],[Mínimo]],"Estoque em Nivel Minimo")))</f>
        <v>Estoque Conforme</v>
      </c>
      <c r="AC238" s="110"/>
      <c r="AD238" s="94"/>
      <c r="AE238" s="82"/>
      <c r="AF238" s="82"/>
    </row>
    <row r="239" spans="1:32" ht="15" customHeight="1" x14ac:dyDescent="0.25">
      <c r="C239" s="48"/>
      <c r="D239" s="45" t="s">
        <v>7730</v>
      </c>
      <c r="E239" s="46"/>
      <c r="F239" s="46"/>
      <c r="I239" s="210" t="s">
        <v>8444</v>
      </c>
      <c r="O239" s="46" t="s">
        <v>6361</v>
      </c>
      <c r="Q239" s="137">
        <f>VLOOKUP(TAB_ESTOQUE[[#This Row],[Codigo]],TAB_ENTRADA[[Cod_2_Entrada]:[TOTAL_ENTRADA]],5,FALSE)-VLOOKUP(TAB_ESTOQUE[[#This Row],[Codigo]],TAB_SAIDA[[COD_2_SAIDA]:[TOTAL_SAIDA]],5,FALSE)</f>
        <v>8</v>
      </c>
      <c r="S239" s="46"/>
      <c r="T239" s="102"/>
      <c r="U239" s="103">
        <f>TAB_ESTOQUE[[#This Row],[Valor Unitario Estimado]]*TAB_ESTOQUE[[#This Row],[Estoque]]</f>
        <v>0</v>
      </c>
      <c r="V239" s="103"/>
      <c r="AA239" s="138"/>
      <c r="AB239" s="104" t="str">
        <f>IF(TAB_ESTOQUE[[#This Row],[Estoque]]=0,"Estoque Não Conforme",IF(TAB_ESTOQUE[[#This Row],[Estoque]]&gt;=TAB_ESTOQUE[[#This Row],[Mínimo]],"Estoque Conforme",IF(TAB_ESTOQUE[[#This Row],[Estoque]]&lt;TAB_ESTOQUE[[#This Row],[Mínimo]],"Estoque em Nivel Minimo")))</f>
        <v>Estoque Conforme</v>
      </c>
      <c r="AC239" s="104"/>
      <c r="AE239" s="82"/>
      <c r="AF239" s="82"/>
    </row>
    <row r="240" spans="1:32" ht="15" customHeight="1" x14ac:dyDescent="0.25">
      <c r="A240" s="47">
        <v>1176</v>
      </c>
      <c r="B240" s="47"/>
      <c r="C240" s="51"/>
      <c r="D240" s="47" t="s">
        <v>1774</v>
      </c>
      <c r="E240" s="51" t="s">
        <v>6766</v>
      </c>
      <c r="F240" s="107"/>
      <c r="G240" s="94"/>
      <c r="H240" s="94"/>
      <c r="I240" s="94" t="s">
        <v>7810</v>
      </c>
      <c r="J240" s="94"/>
      <c r="K240" s="94"/>
      <c r="L240" s="94"/>
      <c r="M240" s="94"/>
      <c r="N240" s="94"/>
      <c r="O240" s="107" t="s">
        <v>6362</v>
      </c>
      <c r="P240" s="94" t="s">
        <v>898</v>
      </c>
      <c r="Q240" s="145">
        <f>VLOOKUP(TAB_ESTOQUE[[#This Row],[Codigo]],TAB_ENTRADA[[Cod_2_Entrada]:[TOTAL_ENTRADA]],5,FALSE)-VLOOKUP(TAB_ESTOQUE[[#This Row],[Codigo]],TAB_SAIDA[[COD_2_SAIDA]:[TOTAL_SAIDA]],5,FALSE)</f>
        <v>1</v>
      </c>
      <c r="R240" s="107"/>
      <c r="S240" s="107"/>
      <c r="T240" s="108">
        <v>5500</v>
      </c>
      <c r="U240" s="109">
        <f>TAB_ESTOQUE[[#This Row],[Valor Unitario Estimado]]*TAB_ESTOQUE[[#This Row],[Estoque]]</f>
        <v>5500</v>
      </c>
      <c r="V240" s="109"/>
      <c r="W240" s="110"/>
      <c r="X240" s="110"/>
      <c r="Y240" s="110"/>
      <c r="Z240" s="110"/>
      <c r="AA240" s="110"/>
      <c r="AB240" s="110" t="str">
        <f>IF(TAB_ESTOQUE[[#This Row],[Estoque]]=0,"Estoque Não Conforme",IF(TAB_ESTOQUE[[#This Row],[Estoque]]&gt;=TAB_ESTOQUE[[#This Row],[Mínimo]],"Estoque Conforme",IF(TAB_ESTOQUE[[#This Row],[Estoque]]&lt;TAB_ESTOQUE[[#This Row],[Mínimo]],"Estoque em Nivel Minimo")))</f>
        <v>Estoque Conforme</v>
      </c>
      <c r="AC240" s="110"/>
      <c r="AD240" s="94"/>
      <c r="AE240" s="82"/>
      <c r="AF240" s="82"/>
    </row>
    <row r="241" spans="1:32" ht="15" customHeight="1" x14ac:dyDescent="0.25">
      <c r="A241" s="45">
        <v>831</v>
      </c>
      <c r="B241" s="47"/>
      <c r="C241" s="46" t="s">
        <v>2838</v>
      </c>
      <c r="D241" s="45" t="s">
        <v>1775</v>
      </c>
      <c r="E241" s="46" t="s">
        <v>7265</v>
      </c>
      <c r="F241" s="87"/>
      <c r="G241" s="82"/>
      <c r="H241" s="82"/>
      <c r="I241" s="204" t="s">
        <v>2793</v>
      </c>
      <c r="J241" s="82"/>
      <c r="K241" s="82"/>
      <c r="L241" s="82"/>
      <c r="M241" s="82"/>
      <c r="N241" s="82"/>
      <c r="O241" s="87" t="s">
        <v>6362</v>
      </c>
      <c r="P241" s="82" t="s">
        <v>618</v>
      </c>
      <c r="Q241" s="83">
        <f>VLOOKUP(TAB_ESTOQUE[[#This Row],[Codigo]],TAB_ENTRADA[[Cod_2_Entrada]:[TOTAL_ENTRADA]],5,FALSE)-VLOOKUP(TAB_ESTOQUE[[#This Row],[Codigo]],TAB_SAIDA[[COD_2_SAIDA]:[TOTAL_SAIDA]],5,FALSE)</f>
        <v>2</v>
      </c>
      <c r="R241" s="87"/>
      <c r="S241" s="87"/>
      <c r="T241" s="90">
        <v>4035.09</v>
      </c>
      <c r="U241" s="91">
        <f>TAB_ESTOQUE[[#This Row],[Valor Unitario Estimado]]*TAB_ESTOQUE[[#This Row],[Estoque]]</f>
        <v>8070.18</v>
      </c>
      <c r="V241" s="91"/>
      <c r="W241" s="85"/>
      <c r="X241" s="85"/>
      <c r="Y241" s="85"/>
      <c r="Z241" s="85"/>
      <c r="AA241" s="85"/>
      <c r="AB241" s="85" t="str">
        <f>IF(TAB_ESTOQUE[[#This Row],[Estoque]]=0,"Estoque Não Conforme",IF(TAB_ESTOQUE[[#This Row],[Estoque]]&gt;=TAB_ESTOQUE[[#This Row],[Mínimo]],"Estoque Conforme",IF(TAB_ESTOQUE[[#This Row],[Estoque]]&lt;TAB_ESTOQUE[[#This Row],[Mínimo]],"Estoque em Nivel Minimo")))</f>
        <v>Estoque Conforme</v>
      </c>
      <c r="AC241" s="85"/>
      <c r="AD241" s="82"/>
      <c r="AE241" s="82"/>
      <c r="AF241" s="82"/>
    </row>
    <row r="242" spans="1:32" s="106" customFormat="1" ht="15" customHeight="1" x14ac:dyDescent="0.25">
      <c r="A242" s="45">
        <v>922</v>
      </c>
      <c r="B242" s="47"/>
      <c r="C242" s="46" t="s">
        <v>2842</v>
      </c>
      <c r="D242" s="45" t="s">
        <v>1776</v>
      </c>
      <c r="E242" s="46" t="s">
        <v>7</v>
      </c>
      <c r="F242" s="87"/>
      <c r="G242" s="82"/>
      <c r="H242" s="82"/>
      <c r="I242" s="94" t="s">
        <v>7808</v>
      </c>
      <c r="J242" s="82"/>
      <c r="K242" s="82"/>
      <c r="L242" s="82"/>
      <c r="M242" s="82"/>
      <c r="N242" s="82"/>
      <c r="O242" s="87" t="s">
        <v>6362</v>
      </c>
      <c r="P242" s="82" t="s">
        <v>619</v>
      </c>
      <c r="Q242" s="83">
        <f>VLOOKUP(TAB_ESTOQUE[[#This Row],[Codigo]],TAB_ENTRADA[[Cod_2_Entrada]:[TOTAL_ENTRADA]],5,FALSE)-VLOOKUP(TAB_ESTOQUE[[#This Row],[Codigo]],TAB_SAIDA[[COD_2_SAIDA]:[TOTAL_SAIDA]],5,FALSE)</f>
        <v>1</v>
      </c>
      <c r="R242" s="87"/>
      <c r="S242" s="87"/>
      <c r="T242" s="90">
        <v>3008.79</v>
      </c>
      <c r="U242" s="91">
        <f>TAB_ESTOQUE[[#This Row],[Valor Unitario Estimado]]*TAB_ESTOQUE[[#This Row],[Estoque]]</f>
        <v>3008.79</v>
      </c>
      <c r="V242" s="91"/>
      <c r="W242" s="85"/>
      <c r="X242" s="85"/>
      <c r="Y242" s="85"/>
      <c r="Z242" s="85"/>
      <c r="AA242" s="85"/>
      <c r="AB242" s="85" t="str">
        <f>IF(TAB_ESTOQUE[[#This Row],[Estoque]]=0,"Estoque Não Conforme",IF(TAB_ESTOQUE[[#This Row],[Estoque]]&gt;=TAB_ESTOQUE[[#This Row],[Mínimo]],"Estoque Conforme",IF(TAB_ESTOQUE[[#This Row],[Estoque]]&lt;TAB_ESTOQUE[[#This Row],[Mínimo]],"Estoque em Nivel Minimo")))</f>
        <v>Estoque Conforme</v>
      </c>
      <c r="AC242" s="85"/>
      <c r="AD242" s="82"/>
      <c r="AE242" s="95"/>
      <c r="AF242" s="95"/>
    </row>
    <row r="243" spans="1:32" s="47" customFormat="1" ht="15" customHeight="1" x14ac:dyDescent="0.25">
      <c r="A243" s="106">
        <v>930</v>
      </c>
      <c r="B243" s="106"/>
      <c r="C243" s="116"/>
      <c r="D243" s="106" t="s">
        <v>1789</v>
      </c>
      <c r="E243" s="116"/>
      <c r="F243" s="118"/>
      <c r="G243" s="95"/>
      <c r="H243" s="95"/>
      <c r="I243" s="204" t="s">
        <v>7816</v>
      </c>
      <c r="J243" s="95"/>
      <c r="K243" s="95"/>
      <c r="L243" s="95"/>
      <c r="M243" s="95"/>
      <c r="N243" s="95"/>
      <c r="O243" s="118" t="s">
        <v>6362</v>
      </c>
      <c r="P243" s="95" t="s">
        <v>711</v>
      </c>
      <c r="Q243" s="154">
        <f>VLOOKUP(TAB_ESTOQUE[[#This Row],[Codigo]],TAB_ENTRADA[[Cod_2_Entrada]:[TOTAL_ENTRADA]],5,FALSE)-VLOOKUP(TAB_ESTOQUE[[#This Row],[Codigo]],TAB_SAIDA[[COD_2_SAIDA]:[TOTAL_SAIDA]],5,FALSE)</f>
        <v>1</v>
      </c>
      <c r="R243" s="118"/>
      <c r="S243" s="118"/>
      <c r="T243" s="119">
        <v>2288.92</v>
      </c>
      <c r="U243" s="112">
        <f>TAB_ESTOQUE[[#This Row],[Valor Unitario Estimado]]*TAB_ESTOQUE[[#This Row],[Estoque]]</f>
        <v>2288.92</v>
      </c>
      <c r="V243" s="112"/>
      <c r="W243" s="120"/>
      <c r="X243" s="120"/>
      <c r="Y243" s="120"/>
      <c r="Z243" s="120"/>
      <c r="AA243" s="120"/>
      <c r="AB243" s="120" t="str">
        <f>IF(TAB_ESTOQUE[[#This Row],[Estoque]]=0,"Estoque Não Conforme",IF(TAB_ESTOQUE[[#This Row],[Estoque]]&gt;=TAB_ESTOQUE[[#This Row],[Mínimo]],"Estoque Conforme",IF(TAB_ESTOQUE[[#This Row],[Estoque]]&lt;TAB_ESTOQUE[[#This Row],[Mínimo]],"Estoque em Nivel Minimo")))</f>
        <v>Estoque Conforme</v>
      </c>
      <c r="AC243" s="120"/>
      <c r="AD243" s="95"/>
      <c r="AE243" s="94"/>
      <c r="AF243" s="94"/>
    </row>
    <row r="244" spans="1:32" ht="15" customHeight="1" x14ac:dyDescent="0.25">
      <c r="A244" s="45">
        <v>1172</v>
      </c>
      <c r="B244" s="47"/>
      <c r="C244" s="46"/>
      <c r="D244" s="45" t="s">
        <v>1970</v>
      </c>
      <c r="E244" s="46" t="s">
        <v>8400</v>
      </c>
      <c r="F244" s="87"/>
      <c r="G244" s="82"/>
      <c r="H244" s="82"/>
      <c r="I244" s="82" t="s">
        <v>7830</v>
      </c>
      <c r="J244" s="82"/>
      <c r="K244" s="82"/>
      <c r="L244" s="82"/>
      <c r="M244" s="82"/>
      <c r="N244" s="82"/>
      <c r="O244" s="87" t="s">
        <v>6362</v>
      </c>
      <c r="P244" s="82" t="s">
        <v>894</v>
      </c>
      <c r="Q244" s="83">
        <f>VLOOKUP(TAB_ESTOQUE[[#This Row],[Codigo]],TAB_ENTRADA[[Cod_2_Entrada]:[TOTAL_ENTRADA]],5,FALSE)-VLOOKUP(TAB_ESTOQUE[[#This Row],[Codigo]],TAB_SAIDA[[COD_2_SAIDA]:[TOTAL_SAIDA]],5,FALSE)</f>
        <v>1</v>
      </c>
      <c r="R244" s="87"/>
      <c r="S244" s="87"/>
      <c r="T244" s="90">
        <v>4035.09</v>
      </c>
      <c r="U244" s="91">
        <f>TAB_ESTOQUE[[#This Row],[Valor Unitario Estimado]]*TAB_ESTOQUE[[#This Row],[Estoque]]</f>
        <v>4035.09</v>
      </c>
      <c r="V244" s="91"/>
      <c r="W244" s="85"/>
      <c r="X244" s="85"/>
      <c r="Y244" s="85"/>
      <c r="Z244" s="85"/>
      <c r="AA244" s="85"/>
      <c r="AB244" s="85" t="str">
        <f>IF(TAB_ESTOQUE[[#This Row],[Estoque]]=0,"Estoque Não Conforme",IF(TAB_ESTOQUE[[#This Row],[Estoque]]&gt;=TAB_ESTOQUE[[#This Row],[Mínimo]],"Estoque Conforme",IF(TAB_ESTOQUE[[#This Row],[Estoque]]&lt;TAB_ESTOQUE[[#This Row],[Mínimo]],"Estoque em Nivel Minimo")))</f>
        <v>Estoque Conforme</v>
      </c>
      <c r="AC244" s="85"/>
      <c r="AD244" s="82"/>
      <c r="AE244" s="82"/>
      <c r="AF244" s="82"/>
    </row>
    <row r="245" spans="1:32" ht="15" customHeight="1" x14ac:dyDescent="0.25">
      <c r="A245" s="45">
        <v>1361</v>
      </c>
      <c r="B245" s="47"/>
      <c r="C245" s="46"/>
      <c r="D245" s="45" t="s">
        <v>2585</v>
      </c>
      <c r="E245" s="46"/>
      <c r="F245" s="87"/>
      <c r="G245" s="82"/>
      <c r="H245" s="82"/>
      <c r="I245" s="82" t="s">
        <v>7831</v>
      </c>
      <c r="J245" s="82"/>
      <c r="K245" s="82"/>
      <c r="L245" s="82"/>
      <c r="M245" s="82"/>
      <c r="N245" s="82"/>
      <c r="O245" s="87" t="s">
        <v>6362</v>
      </c>
      <c r="P245" s="82" t="s">
        <v>1095</v>
      </c>
      <c r="Q245" s="83">
        <f>VLOOKUP(TAB_ESTOQUE[[#This Row],[Codigo]],TAB_ENTRADA[[Cod_2_Entrada]:[TOTAL_ENTRADA]],5,FALSE)-VLOOKUP(TAB_ESTOQUE[[#This Row],[Codigo]],TAB_SAIDA[[COD_2_SAIDA]:[TOTAL_SAIDA]],5,FALSE)</f>
        <v>3</v>
      </c>
      <c r="R245" s="87"/>
      <c r="S245" s="87"/>
      <c r="T245" s="90">
        <v>2200</v>
      </c>
      <c r="U245" s="91">
        <f>TAB_ESTOQUE[[#This Row],[Valor Unitario Estimado]]*TAB_ESTOQUE[[#This Row],[Estoque]]</f>
        <v>6600</v>
      </c>
      <c r="V245" s="91"/>
      <c r="W245" s="85"/>
      <c r="X245" s="85"/>
      <c r="Y245" s="85"/>
      <c r="Z245" s="85"/>
      <c r="AA245" s="85"/>
      <c r="AB245" s="85" t="str">
        <f>IF(TAB_ESTOQUE[[#This Row],[Estoque]]=0,"Estoque Não Conforme",IF(TAB_ESTOQUE[[#This Row],[Estoque]]&gt;=TAB_ESTOQUE[[#This Row],[Mínimo]],"Estoque Conforme",IF(TAB_ESTOQUE[[#This Row],[Estoque]]&lt;TAB_ESTOQUE[[#This Row],[Mínimo]],"Estoque em Nivel Minimo")))</f>
        <v>Estoque Conforme</v>
      </c>
      <c r="AC245" s="85"/>
      <c r="AD245" s="82"/>
      <c r="AE245" s="82"/>
      <c r="AF245" s="82"/>
    </row>
    <row r="246" spans="1:32" ht="15" customHeight="1" x14ac:dyDescent="0.25">
      <c r="B246" s="47"/>
      <c r="C246" s="46"/>
      <c r="D246" s="45" t="s">
        <v>2705</v>
      </c>
      <c r="E246" s="46" t="s">
        <v>3067</v>
      </c>
      <c r="F246" s="87"/>
      <c r="G246" s="82"/>
      <c r="H246" s="82"/>
      <c r="I246" s="82" t="s">
        <v>3078</v>
      </c>
      <c r="J246" s="82"/>
      <c r="K246" s="82"/>
      <c r="L246" s="82"/>
      <c r="M246" s="82"/>
      <c r="N246" s="82"/>
      <c r="O246" s="87" t="s">
        <v>6362</v>
      </c>
      <c r="P246" s="82" t="s">
        <v>1304</v>
      </c>
      <c r="Q246" s="83">
        <f>VLOOKUP(TAB_ESTOQUE[[#This Row],[Codigo]],TAB_ENTRADA[[Cod_2_Entrada]:[TOTAL_ENTRADA]],5,FALSE)-VLOOKUP(TAB_ESTOQUE[[#This Row],[Codigo]],TAB_SAIDA[[COD_2_SAIDA]:[TOTAL_SAIDA]],5,FALSE)</f>
        <v>1</v>
      </c>
      <c r="R246" s="87"/>
      <c r="S246" s="87"/>
      <c r="T246" s="90">
        <v>1625</v>
      </c>
      <c r="U246" s="91">
        <f>TAB_ESTOQUE[[#This Row],[Valor Unitario Estimado]]*TAB_ESTOQUE[[#This Row],[Estoque]]</f>
        <v>1625</v>
      </c>
      <c r="V246" s="91"/>
      <c r="W246" s="85"/>
      <c r="X246" s="85"/>
      <c r="Y246" s="85"/>
      <c r="Z246" s="85"/>
      <c r="AA246" s="85"/>
      <c r="AB246" s="96" t="str">
        <f>IF(TAB_ESTOQUE[[#This Row],[Estoque]]=0,"Estoque Não Conforme",IF(TAB_ESTOQUE[[#This Row],[Estoque]]&gt;=TAB_ESTOQUE[[#This Row],[Mínimo]],"Estoque Conforme",IF(TAB_ESTOQUE[[#This Row],[Estoque]]&lt;TAB_ESTOQUE[[#This Row],[Mínimo]],"Estoque em Nivel Minimo")))</f>
        <v>Estoque Conforme</v>
      </c>
      <c r="AC246" s="85"/>
      <c r="AD246" s="82"/>
      <c r="AE246" s="82"/>
      <c r="AF246" s="82"/>
    </row>
    <row r="247" spans="1:32" ht="15" customHeight="1" x14ac:dyDescent="0.25">
      <c r="C247" s="48"/>
      <c r="D247" s="45" t="s">
        <v>7356</v>
      </c>
      <c r="E247" s="46"/>
      <c r="F247" s="46"/>
      <c r="I247" s="45" t="s">
        <v>7986</v>
      </c>
      <c r="O247" s="116" t="s">
        <v>6362</v>
      </c>
      <c r="Q247" s="137">
        <f>VLOOKUP(TAB_ESTOQUE[[#This Row],[Codigo]],TAB_ENTRADA[[Cod_2_Entrada]:[TOTAL_ENTRADA]],5,FALSE)-VLOOKUP(TAB_ESTOQUE[[#This Row],[Codigo]],TAB_SAIDA[[COD_2_SAIDA]:[TOTAL_SAIDA]],5,FALSE)</f>
        <v>1</v>
      </c>
      <c r="S247" s="46"/>
      <c r="T247" s="102"/>
      <c r="U247" s="103">
        <f>TAB_ESTOQUE[[#This Row],[Valor Unitario Estimado]]*TAB_ESTOQUE[[#This Row],[Estoque]]</f>
        <v>0</v>
      </c>
      <c r="V247" s="103"/>
      <c r="AA247" s="138"/>
      <c r="AB247" s="104" t="str">
        <f>IF(TAB_ESTOQUE[[#This Row],[Estoque]]=0,"Estoque Não Conforme",IF(TAB_ESTOQUE[[#This Row],[Estoque]]&gt;=TAB_ESTOQUE[[#This Row],[Mínimo]],"Estoque Conforme",IF(TAB_ESTOQUE[[#This Row],[Estoque]]&lt;TAB_ESTOQUE[[#This Row],[Mínimo]],"Estoque em Nivel Minimo")))</f>
        <v>Estoque Conforme</v>
      </c>
      <c r="AC247" s="104"/>
      <c r="AE247" s="82"/>
      <c r="AF247" s="82"/>
    </row>
    <row r="248" spans="1:32" ht="15" customHeight="1" x14ac:dyDescent="0.25">
      <c r="A248" s="45">
        <v>618</v>
      </c>
      <c r="B248" s="47"/>
      <c r="C248" s="46" t="s">
        <v>2833</v>
      </c>
      <c r="D248" s="45" t="s">
        <v>1779</v>
      </c>
      <c r="E248" s="46" t="s">
        <v>7</v>
      </c>
      <c r="F248" s="87"/>
      <c r="G248" s="82"/>
      <c r="H248" s="82"/>
      <c r="I248" s="204" t="s">
        <v>6368</v>
      </c>
      <c r="J248" s="82"/>
      <c r="K248" s="82"/>
      <c r="L248" s="82"/>
      <c r="M248" s="82"/>
      <c r="N248" s="82"/>
      <c r="O248" s="87" t="s">
        <v>6369</v>
      </c>
      <c r="P248" s="82" t="s">
        <v>400</v>
      </c>
      <c r="Q248" s="83">
        <f>VLOOKUP(TAB_ESTOQUE[[#This Row],[Codigo]],TAB_ENTRADA[[Cod_2_Entrada]:[TOTAL_ENTRADA]],5,FALSE)-VLOOKUP(TAB_ESTOQUE[[#This Row],[Codigo]],TAB_SAIDA[[COD_2_SAIDA]:[TOTAL_SAIDA]],5,FALSE)</f>
        <v>3</v>
      </c>
      <c r="R248" s="87"/>
      <c r="S248" s="87"/>
      <c r="T248" s="90">
        <v>150</v>
      </c>
      <c r="U248" s="91">
        <f>TAB_ESTOQUE[[#This Row],[Valor Unitario Estimado]]*TAB_ESTOQUE[[#This Row],[Estoque]]</f>
        <v>450</v>
      </c>
      <c r="V248" s="91"/>
      <c r="W248" s="85"/>
      <c r="X248" s="85"/>
      <c r="Y248" s="85"/>
      <c r="Z248" s="85"/>
      <c r="AA248" s="85"/>
      <c r="AB248" s="85" t="str">
        <f>IF(TAB_ESTOQUE[[#This Row],[Estoque]]=0,"Estoque Não Conforme",IF(TAB_ESTOQUE[[#This Row],[Estoque]]&gt;=TAB_ESTOQUE[[#This Row],[Mínimo]],"Estoque Conforme",IF(TAB_ESTOQUE[[#This Row],[Estoque]]&lt;TAB_ESTOQUE[[#This Row],[Mínimo]],"Estoque em Nivel Minimo")))</f>
        <v>Estoque Conforme</v>
      </c>
      <c r="AC248" s="85"/>
      <c r="AD248" s="82"/>
      <c r="AE248" s="82"/>
      <c r="AF248" s="82"/>
    </row>
    <row r="249" spans="1:32" ht="15" customHeight="1" x14ac:dyDescent="0.25">
      <c r="A249" s="45">
        <v>1335</v>
      </c>
      <c r="B249" s="47"/>
      <c r="C249" s="46" t="s">
        <v>2833</v>
      </c>
      <c r="D249" s="45" t="s">
        <v>1781</v>
      </c>
      <c r="E249" s="46" t="s">
        <v>7258</v>
      </c>
      <c r="F249" s="87"/>
      <c r="G249" s="82"/>
      <c r="H249" s="82"/>
      <c r="I249" s="204" t="s">
        <v>7811</v>
      </c>
      <c r="J249" s="82"/>
      <c r="K249" s="82"/>
      <c r="L249" s="82"/>
      <c r="M249" s="82"/>
      <c r="N249" s="82"/>
      <c r="O249" s="87" t="s">
        <v>6369</v>
      </c>
      <c r="P249" s="82" t="s">
        <v>1068</v>
      </c>
      <c r="Q249" s="83">
        <f>VLOOKUP(TAB_ESTOQUE[[#This Row],[Codigo]],TAB_ENTRADA[[Cod_2_Entrada]:[TOTAL_ENTRADA]],5,FALSE)-VLOOKUP(TAB_ESTOQUE[[#This Row],[Codigo]],TAB_SAIDA[[COD_2_SAIDA]:[TOTAL_SAIDA]],5,FALSE)</f>
        <v>1</v>
      </c>
      <c r="R249" s="87"/>
      <c r="S249" s="87"/>
      <c r="T249" s="90">
        <v>1442</v>
      </c>
      <c r="U249" s="91">
        <f>TAB_ESTOQUE[[#This Row],[Valor Unitario Estimado]]*TAB_ESTOQUE[[#This Row],[Estoque]]</f>
        <v>1442</v>
      </c>
      <c r="V249" s="91"/>
      <c r="W249" s="85"/>
      <c r="X249" s="85"/>
      <c r="Y249" s="85"/>
      <c r="Z249" s="85"/>
      <c r="AA249" s="85"/>
      <c r="AB249" s="85" t="str">
        <f>IF(TAB_ESTOQUE[[#This Row],[Estoque]]=0,"Estoque Não Conforme",IF(TAB_ESTOQUE[[#This Row],[Estoque]]&gt;=TAB_ESTOQUE[[#This Row],[Mínimo]],"Estoque Conforme",IF(TAB_ESTOQUE[[#This Row],[Estoque]]&lt;TAB_ESTOQUE[[#This Row],[Mínimo]],"Estoque em Nivel Minimo")))</f>
        <v>Estoque Conforme</v>
      </c>
      <c r="AC249" s="85"/>
      <c r="AD249" s="82"/>
      <c r="AE249" s="82"/>
      <c r="AF249" s="82"/>
    </row>
    <row r="250" spans="1:32" ht="15" customHeight="1" x14ac:dyDescent="0.25">
      <c r="A250" s="45">
        <v>934</v>
      </c>
      <c r="B250" s="47"/>
      <c r="C250" s="46" t="s">
        <v>2838</v>
      </c>
      <c r="D250" s="45" t="s">
        <v>1782</v>
      </c>
      <c r="E250" s="46" t="s">
        <v>8112</v>
      </c>
      <c r="F250" s="87"/>
      <c r="G250" s="82"/>
      <c r="H250" s="82"/>
      <c r="I250" s="82" t="s">
        <v>7603</v>
      </c>
      <c r="J250" s="82"/>
      <c r="K250" s="82"/>
      <c r="L250" s="82"/>
      <c r="M250" s="82"/>
      <c r="N250" s="82"/>
      <c r="O250" s="87" t="s">
        <v>6369</v>
      </c>
      <c r="P250" s="82" t="s">
        <v>713</v>
      </c>
      <c r="Q250" s="83">
        <f>VLOOKUP(TAB_ESTOQUE[[#This Row],[Codigo]],TAB_ENTRADA[[Cod_2_Entrada]:[TOTAL_ENTRADA]],5,FALSE)-VLOOKUP(TAB_ESTOQUE[[#This Row],[Codigo]],TAB_SAIDA[[COD_2_SAIDA]:[TOTAL_SAIDA]],5,FALSE)</f>
        <v>0</v>
      </c>
      <c r="R250" s="87"/>
      <c r="S250" s="87"/>
      <c r="T250" s="90">
        <v>285</v>
      </c>
      <c r="U250" s="91">
        <f>TAB_ESTOQUE[[#This Row],[Valor Unitario Estimado]]*TAB_ESTOQUE[[#This Row],[Estoque]]</f>
        <v>0</v>
      </c>
      <c r="V250" s="91"/>
      <c r="W250" s="85"/>
      <c r="X250" s="85"/>
      <c r="Y250" s="85"/>
      <c r="Z250" s="85"/>
      <c r="AA250" s="85"/>
      <c r="AB250" s="85" t="str">
        <f>IF(TAB_ESTOQUE[[#This Row],[Estoque]]=0,"Estoque Não Conforme",IF(TAB_ESTOQUE[[#This Row],[Estoque]]&gt;=TAB_ESTOQUE[[#This Row],[Mínimo]],"Estoque Conforme",IF(TAB_ESTOQUE[[#This Row],[Estoque]]&lt;TAB_ESTOQUE[[#This Row],[Mínimo]],"Estoque em Nivel Minimo")))</f>
        <v>Estoque Não Conforme</v>
      </c>
      <c r="AC250" s="85"/>
      <c r="AD250" s="82"/>
      <c r="AE250" s="82"/>
      <c r="AF250" s="82"/>
    </row>
    <row r="251" spans="1:32" ht="15" customHeight="1" x14ac:dyDescent="0.25">
      <c r="A251" s="45">
        <v>935</v>
      </c>
      <c r="B251" s="47"/>
      <c r="C251" s="46" t="s">
        <v>2833</v>
      </c>
      <c r="D251" s="45" t="s">
        <v>1788</v>
      </c>
      <c r="E251" s="46" t="s">
        <v>7</v>
      </c>
      <c r="F251" s="87"/>
      <c r="G251" s="82"/>
      <c r="H251" s="82"/>
      <c r="I251" s="170" t="s">
        <v>7815</v>
      </c>
      <c r="J251" s="82"/>
      <c r="K251" s="82"/>
      <c r="L251" s="82"/>
      <c r="M251" s="82"/>
      <c r="N251" s="82"/>
      <c r="O251" s="87" t="s">
        <v>6369</v>
      </c>
      <c r="P251" s="82" t="s">
        <v>714</v>
      </c>
      <c r="Q251" s="83">
        <f>VLOOKUP(TAB_ESTOQUE[[#This Row],[Codigo]],TAB_ENTRADA[[Cod_2_Entrada]:[TOTAL_ENTRADA]],5,FALSE)-VLOOKUP(TAB_ESTOQUE[[#This Row],[Codigo]],TAB_SAIDA[[COD_2_SAIDA]:[TOTAL_SAIDA]],5,FALSE)</f>
        <v>4</v>
      </c>
      <c r="R251" s="87"/>
      <c r="S251" s="87"/>
      <c r="T251" s="90">
        <v>162.88999999999999</v>
      </c>
      <c r="U251" s="91">
        <f>TAB_ESTOQUE[[#This Row],[Valor Unitario Estimado]]*TAB_ESTOQUE[[#This Row],[Estoque]]</f>
        <v>651.55999999999995</v>
      </c>
      <c r="V251" s="91"/>
      <c r="W251" s="85"/>
      <c r="X251" s="85"/>
      <c r="Y251" s="85"/>
      <c r="Z251" s="85"/>
      <c r="AA251" s="85"/>
      <c r="AB251" s="85" t="str">
        <f>IF(TAB_ESTOQUE[[#This Row],[Estoque]]=0,"Estoque Não Conforme",IF(TAB_ESTOQUE[[#This Row],[Estoque]]&gt;=TAB_ESTOQUE[[#This Row],[Mínimo]],"Estoque Conforme",IF(TAB_ESTOQUE[[#This Row],[Estoque]]&lt;TAB_ESTOQUE[[#This Row],[Mínimo]],"Estoque em Nivel Minimo")))</f>
        <v>Estoque Conforme</v>
      </c>
      <c r="AC251" s="85"/>
      <c r="AD251" s="82"/>
      <c r="AE251" s="82"/>
      <c r="AF251" s="82"/>
    </row>
    <row r="252" spans="1:32" ht="15" customHeight="1" x14ac:dyDescent="0.25">
      <c r="A252" s="45">
        <v>938</v>
      </c>
      <c r="B252" s="47"/>
      <c r="C252" s="46" t="s">
        <v>2838</v>
      </c>
      <c r="D252" s="45" t="s">
        <v>1794</v>
      </c>
      <c r="E252" s="46" t="s">
        <v>7431</v>
      </c>
      <c r="F252" s="87"/>
      <c r="G252" s="82"/>
      <c r="H252" s="82"/>
      <c r="I252" s="209" t="s">
        <v>7820</v>
      </c>
      <c r="J252" s="82"/>
      <c r="K252" s="82"/>
      <c r="L252" s="82"/>
      <c r="M252" s="82"/>
      <c r="N252" s="82"/>
      <c r="O252" s="87" t="s">
        <v>6369</v>
      </c>
      <c r="P252" s="82" t="s">
        <v>720</v>
      </c>
      <c r="Q252" s="83">
        <f>VLOOKUP(TAB_ESTOQUE[[#This Row],[Codigo]],TAB_ENTRADA[[Cod_2_Entrada]:[TOTAL_ENTRADA]],5,FALSE)-VLOOKUP(TAB_ESTOQUE[[#This Row],[Codigo]],TAB_SAIDA[[COD_2_SAIDA]:[TOTAL_SAIDA]],5,FALSE)</f>
        <v>2</v>
      </c>
      <c r="R252" s="87"/>
      <c r="S252" s="87"/>
      <c r="T252" s="90"/>
      <c r="U252" s="91">
        <f>TAB_ESTOQUE[[#This Row],[Valor Unitario Estimado]]*TAB_ESTOQUE[[#This Row],[Estoque]]</f>
        <v>0</v>
      </c>
      <c r="V252" s="91"/>
      <c r="W252" s="85"/>
      <c r="X252" s="85"/>
      <c r="Y252" s="85"/>
      <c r="Z252" s="85"/>
      <c r="AA252" s="85"/>
      <c r="AB252" s="85" t="str">
        <f>IF(TAB_ESTOQUE[[#This Row],[Estoque]]=0,"Estoque Não Conforme",IF(TAB_ESTOQUE[[#This Row],[Estoque]]&gt;=TAB_ESTOQUE[[#This Row],[Mínimo]],"Estoque Conforme",IF(TAB_ESTOQUE[[#This Row],[Estoque]]&lt;TAB_ESTOQUE[[#This Row],[Mínimo]],"Estoque em Nivel Minimo")))</f>
        <v>Estoque Conforme</v>
      </c>
      <c r="AC252" s="85"/>
      <c r="AD252" s="82"/>
      <c r="AE252" s="82"/>
      <c r="AF252" s="82"/>
    </row>
    <row r="253" spans="1:32" ht="15" customHeight="1" x14ac:dyDescent="0.25">
      <c r="A253" s="106">
        <v>945</v>
      </c>
      <c r="B253" s="106"/>
      <c r="C253" s="116"/>
      <c r="D253" s="106" t="s">
        <v>1797</v>
      </c>
      <c r="E253" s="116" t="s">
        <v>3089</v>
      </c>
      <c r="F253" s="118"/>
      <c r="G253" s="95"/>
      <c r="H253" s="95"/>
      <c r="I253" s="204" t="s">
        <v>3088</v>
      </c>
      <c r="J253" s="95"/>
      <c r="K253" s="95"/>
      <c r="L253" s="95"/>
      <c r="M253" s="95"/>
      <c r="N253" s="95"/>
      <c r="O253" s="118" t="s">
        <v>6369</v>
      </c>
      <c r="P253" s="95" t="s">
        <v>728</v>
      </c>
      <c r="Q253" s="154">
        <f>VLOOKUP(TAB_ESTOQUE[[#This Row],[Codigo]],TAB_ENTRADA[[Cod_2_Entrada]:[TOTAL_ENTRADA]],5,FALSE)-VLOOKUP(TAB_ESTOQUE[[#This Row],[Codigo]],TAB_SAIDA[[COD_2_SAIDA]:[TOTAL_SAIDA]],5,FALSE)</f>
        <v>2</v>
      </c>
      <c r="R253" s="118"/>
      <c r="S253" s="118"/>
      <c r="T253" s="119">
        <v>73</v>
      </c>
      <c r="U253" s="112">
        <f>TAB_ESTOQUE[[#This Row],[Valor Unitario Estimado]]*TAB_ESTOQUE[[#This Row],[Estoque]]</f>
        <v>146</v>
      </c>
      <c r="V253" s="112"/>
      <c r="W253" s="120"/>
      <c r="X253" s="120"/>
      <c r="Y253" s="120"/>
      <c r="Z253" s="120"/>
      <c r="AA253" s="120"/>
      <c r="AB253" s="120" t="str">
        <f>IF(TAB_ESTOQUE[[#This Row],[Estoque]]=0,"Estoque Não Conforme",IF(TAB_ESTOQUE[[#This Row],[Estoque]]&gt;=TAB_ESTOQUE[[#This Row],[Mínimo]],"Estoque Conforme",IF(TAB_ESTOQUE[[#This Row],[Estoque]]&lt;TAB_ESTOQUE[[#This Row],[Mínimo]],"Estoque em Nivel Minimo")))</f>
        <v>Estoque Conforme</v>
      </c>
      <c r="AC253" s="120"/>
      <c r="AD253" s="95"/>
      <c r="AE253" s="82"/>
      <c r="AF253" s="82"/>
    </row>
    <row r="254" spans="1:32" ht="15" customHeight="1" x14ac:dyDescent="0.25">
      <c r="A254" s="45">
        <v>952</v>
      </c>
      <c r="B254" s="47"/>
      <c r="C254" s="46"/>
      <c r="D254" s="45" t="s">
        <v>1806</v>
      </c>
      <c r="E254" s="46" t="s">
        <v>7</v>
      </c>
      <c r="F254" s="87"/>
      <c r="G254" s="82"/>
      <c r="H254" s="82"/>
      <c r="I254" s="209" t="s">
        <v>7828</v>
      </c>
      <c r="J254" s="82"/>
      <c r="K254" s="82"/>
      <c r="L254" s="82"/>
      <c r="M254" s="82"/>
      <c r="N254" s="82"/>
      <c r="O254" s="87" t="s">
        <v>6369</v>
      </c>
      <c r="P254" s="82" t="s">
        <v>735</v>
      </c>
      <c r="Q254" s="83">
        <f>VLOOKUP(TAB_ESTOQUE[[#This Row],[Codigo]],TAB_ENTRADA[[Cod_2_Entrada]:[TOTAL_ENTRADA]],5,FALSE)-VLOOKUP(TAB_ESTOQUE[[#This Row],[Codigo]],TAB_SAIDA[[COD_2_SAIDA]:[TOTAL_SAIDA]],5,FALSE)</f>
        <v>0</v>
      </c>
      <c r="R254" s="87"/>
      <c r="S254" s="87"/>
      <c r="T254" s="90"/>
      <c r="U254" s="91">
        <f>TAB_ESTOQUE[[#This Row],[Valor Unitario Estimado]]*TAB_ESTOQUE[[#This Row],[Estoque]]</f>
        <v>0</v>
      </c>
      <c r="V254" s="91"/>
      <c r="W254" s="85"/>
      <c r="X254" s="85"/>
      <c r="Y254" s="85"/>
      <c r="Z254" s="85"/>
      <c r="AA254" s="85"/>
      <c r="AB254" s="85" t="str">
        <f>IF(TAB_ESTOQUE[[#This Row],[Estoque]]=0,"Estoque Não Conforme",IF(TAB_ESTOQUE[[#This Row],[Estoque]]&gt;=TAB_ESTOQUE[[#This Row],[Mínimo]],"Estoque Conforme",IF(TAB_ESTOQUE[[#This Row],[Estoque]]&lt;TAB_ESTOQUE[[#This Row],[Mínimo]],"Estoque em Nivel Minimo")))</f>
        <v>Estoque Não Conforme</v>
      </c>
      <c r="AC254" s="85"/>
      <c r="AD254" s="82"/>
      <c r="AE254" s="82"/>
      <c r="AF254" s="82"/>
    </row>
    <row r="255" spans="1:32" ht="15" customHeight="1" x14ac:dyDescent="0.25">
      <c r="A255" s="45">
        <v>894</v>
      </c>
      <c r="B255" s="47"/>
      <c r="C255" s="46"/>
      <c r="D255" s="45" t="s">
        <v>1807</v>
      </c>
      <c r="E255" s="46" t="s">
        <v>7</v>
      </c>
      <c r="F255" s="87"/>
      <c r="G255" s="82"/>
      <c r="H255" s="82"/>
      <c r="I255" s="209" t="s">
        <v>7829</v>
      </c>
      <c r="J255" s="82"/>
      <c r="K255" s="82"/>
      <c r="L255" s="82"/>
      <c r="M255" s="82"/>
      <c r="N255" s="82"/>
      <c r="O255" s="87" t="s">
        <v>6369</v>
      </c>
      <c r="P255" s="82" t="s">
        <v>695</v>
      </c>
      <c r="Q255" s="83">
        <f>VLOOKUP(TAB_ESTOQUE[[#This Row],[Codigo]],TAB_ENTRADA[[Cod_2_Entrada]:[TOTAL_ENTRADA]],5,FALSE)-VLOOKUP(TAB_ESTOQUE[[#This Row],[Codigo]],TAB_SAIDA[[COD_2_SAIDA]:[TOTAL_SAIDA]],5,FALSE)</f>
        <v>1</v>
      </c>
      <c r="R255" s="87"/>
      <c r="S255" s="87"/>
      <c r="T255" s="90"/>
      <c r="U255" s="91">
        <f>TAB_ESTOQUE[[#This Row],[Valor Unitario Estimado]]*TAB_ESTOQUE[[#This Row],[Estoque]]</f>
        <v>0</v>
      </c>
      <c r="V255" s="91"/>
      <c r="W255" s="85"/>
      <c r="X255" s="85"/>
      <c r="Y255" s="85"/>
      <c r="Z255" s="85"/>
      <c r="AA255" s="85"/>
      <c r="AB255" s="85" t="str">
        <f>IF(TAB_ESTOQUE[[#This Row],[Estoque]]=0,"Estoque Não Conforme",IF(TAB_ESTOQUE[[#This Row],[Estoque]]&gt;=TAB_ESTOQUE[[#This Row],[Mínimo]],"Estoque Conforme",IF(TAB_ESTOQUE[[#This Row],[Estoque]]&lt;TAB_ESTOQUE[[#This Row],[Mínimo]],"Estoque em Nivel Minimo")))</f>
        <v>Estoque Conforme</v>
      </c>
      <c r="AC255" s="85"/>
      <c r="AD255" s="82"/>
      <c r="AE255" s="82"/>
      <c r="AF255" s="82"/>
    </row>
    <row r="256" spans="1:32" ht="15" customHeight="1" x14ac:dyDescent="0.25">
      <c r="A256" s="45">
        <v>140</v>
      </c>
      <c r="B256" s="47"/>
      <c r="C256" s="46" t="s">
        <v>2833</v>
      </c>
      <c r="D256" s="45" t="s">
        <v>1969</v>
      </c>
      <c r="E256" s="46" t="s">
        <v>7</v>
      </c>
      <c r="F256" s="87"/>
      <c r="G256" s="82"/>
      <c r="H256" s="82"/>
      <c r="I256" s="82" t="s">
        <v>2986</v>
      </c>
      <c r="J256" s="82"/>
      <c r="K256" s="82"/>
      <c r="L256" s="82"/>
      <c r="M256" s="82"/>
      <c r="N256" s="82"/>
      <c r="O256" s="87" t="s">
        <v>6369</v>
      </c>
      <c r="P256" s="82" t="s">
        <v>87</v>
      </c>
      <c r="Q256" s="83">
        <f>VLOOKUP(TAB_ESTOQUE[[#This Row],[Codigo]],TAB_ENTRADA[[Cod_2_Entrada]:[TOTAL_ENTRADA]],5,FALSE)-VLOOKUP(TAB_ESTOQUE[[#This Row],[Codigo]],TAB_SAIDA[[COD_2_SAIDA]:[TOTAL_SAIDA]],5,FALSE)</f>
        <v>0</v>
      </c>
      <c r="R256" s="87"/>
      <c r="S256" s="87"/>
      <c r="T256" s="90"/>
      <c r="U256" s="91">
        <f>TAB_ESTOQUE[[#This Row],[Valor Unitario Estimado]]*TAB_ESTOQUE[[#This Row],[Estoque]]</f>
        <v>0</v>
      </c>
      <c r="V256" s="91"/>
      <c r="W256" s="85"/>
      <c r="X256" s="85"/>
      <c r="Y256" s="85"/>
      <c r="Z256" s="85"/>
      <c r="AA256" s="85"/>
      <c r="AB256" s="85" t="str">
        <f>IF(TAB_ESTOQUE[[#This Row],[Estoque]]=0,"Estoque Não Conforme",IF(TAB_ESTOQUE[[#This Row],[Estoque]]&gt;=TAB_ESTOQUE[[#This Row],[Mínimo]],"Estoque Conforme",IF(TAB_ESTOQUE[[#This Row],[Estoque]]&lt;TAB_ESTOQUE[[#This Row],[Mínimo]],"Estoque em Nivel Minimo")))</f>
        <v>Estoque Não Conforme</v>
      </c>
      <c r="AC256" s="85"/>
      <c r="AD256" s="82"/>
      <c r="AE256" s="82"/>
      <c r="AF256" s="82"/>
    </row>
    <row r="257" spans="1:32" ht="15" customHeight="1" x14ac:dyDescent="0.25">
      <c r="A257" s="45">
        <v>1321</v>
      </c>
      <c r="B257" s="47"/>
      <c r="C257" s="46"/>
      <c r="D257" s="45" t="s">
        <v>1986</v>
      </c>
      <c r="E257" s="46" t="s">
        <v>7</v>
      </c>
      <c r="F257" s="87"/>
      <c r="G257" s="82"/>
      <c r="H257" s="82"/>
      <c r="I257" s="208" t="s">
        <v>6410</v>
      </c>
      <c r="J257" s="82"/>
      <c r="K257" s="82"/>
      <c r="L257" s="82"/>
      <c r="M257" s="82" t="s">
        <v>8</v>
      </c>
      <c r="N257" s="82"/>
      <c r="O257" s="87" t="s">
        <v>6369</v>
      </c>
      <c r="P257" s="82" t="s">
        <v>1055</v>
      </c>
      <c r="Q257" s="83">
        <f>VLOOKUP(TAB_ESTOQUE[[#This Row],[Codigo]],TAB_ENTRADA[[Cod_2_Entrada]:[TOTAL_ENTRADA]],5,FALSE)-VLOOKUP(TAB_ESTOQUE[[#This Row],[Codigo]],TAB_SAIDA[[COD_2_SAIDA]:[TOTAL_SAIDA]],5,FALSE)</f>
        <v>2</v>
      </c>
      <c r="R257" s="87"/>
      <c r="S257" s="87"/>
      <c r="T257" s="90"/>
      <c r="U257" s="91">
        <f>TAB_ESTOQUE[[#This Row],[Valor Unitario Estimado]]*TAB_ESTOQUE[[#This Row],[Estoque]]</f>
        <v>0</v>
      </c>
      <c r="V257" s="91"/>
      <c r="W257" s="85"/>
      <c r="X257" s="85"/>
      <c r="Y257" s="85"/>
      <c r="Z257" s="85"/>
      <c r="AA257" s="85"/>
      <c r="AB257" s="85" t="str">
        <f>IF(TAB_ESTOQUE[[#This Row],[Estoque]]=0,"Estoque Não Conforme",IF(TAB_ESTOQUE[[#This Row],[Estoque]]&gt;=TAB_ESTOQUE[[#This Row],[Mínimo]],"Estoque Conforme",IF(TAB_ESTOQUE[[#This Row],[Estoque]]&lt;TAB_ESTOQUE[[#This Row],[Mínimo]],"Estoque em Nivel Minimo")))</f>
        <v>Estoque Conforme</v>
      </c>
      <c r="AC257" s="85"/>
      <c r="AD257" s="82"/>
      <c r="AE257" s="82"/>
      <c r="AF257" s="82"/>
    </row>
    <row r="258" spans="1:32" ht="15" customHeight="1" x14ac:dyDescent="0.25">
      <c r="A258" s="45">
        <v>829</v>
      </c>
      <c r="B258" s="47"/>
      <c r="C258" s="46"/>
      <c r="D258" s="45" t="s">
        <v>2024</v>
      </c>
      <c r="E258" s="46" t="s">
        <v>7</v>
      </c>
      <c r="F258" s="87"/>
      <c r="G258" s="82"/>
      <c r="H258" s="82"/>
      <c r="I258" s="82" t="s">
        <v>6941</v>
      </c>
      <c r="J258" s="82"/>
      <c r="K258" s="82"/>
      <c r="L258" s="82"/>
      <c r="M258" s="82"/>
      <c r="N258" s="82"/>
      <c r="O258" s="87" t="s">
        <v>6369</v>
      </c>
      <c r="P258" s="82" t="s">
        <v>616</v>
      </c>
      <c r="Q258" s="83">
        <f>VLOOKUP(TAB_ESTOQUE[[#This Row],[Codigo]],TAB_ENTRADA[[Cod_2_Entrada]:[TOTAL_ENTRADA]],5,FALSE)-VLOOKUP(TAB_ESTOQUE[[#This Row],[Codigo]],TAB_SAIDA[[COD_2_SAIDA]:[TOTAL_SAIDA]],5,FALSE)</f>
        <v>0</v>
      </c>
      <c r="R258" s="87"/>
      <c r="S258" s="87"/>
      <c r="T258" s="90">
        <v>9</v>
      </c>
      <c r="U258" s="91">
        <f>TAB_ESTOQUE[[#This Row],[Valor Unitario Estimado]]*TAB_ESTOQUE[[#This Row],[Estoque]]</f>
        <v>0</v>
      </c>
      <c r="V258" s="91"/>
      <c r="W258" s="85"/>
      <c r="X258" s="85"/>
      <c r="Y258" s="85"/>
      <c r="Z258" s="85"/>
      <c r="AA258" s="85"/>
      <c r="AB258" s="85" t="str">
        <f>IF(TAB_ESTOQUE[[#This Row],[Estoque]]=0,"Estoque Não Conforme",IF(TAB_ESTOQUE[[#This Row],[Estoque]]&gt;=TAB_ESTOQUE[[#This Row],[Mínimo]],"Estoque Conforme",IF(TAB_ESTOQUE[[#This Row],[Estoque]]&lt;TAB_ESTOQUE[[#This Row],[Mínimo]],"Estoque em Nivel Minimo")))</f>
        <v>Estoque Não Conforme</v>
      </c>
      <c r="AC258" s="85"/>
      <c r="AD258" s="82"/>
      <c r="AE258" s="82"/>
      <c r="AF258" s="82"/>
    </row>
    <row r="259" spans="1:32" ht="15" customHeight="1" x14ac:dyDescent="0.25">
      <c r="A259" s="45" t="s">
        <v>1159</v>
      </c>
      <c r="B259" s="47"/>
      <c r="C259" s="46"/>
      <c r="D259" s="45" t="s">
        <v>2639</v>
      </c>
      <c r="E259" s="46"/>
      <c r="F259" s="87"/>
      <c r="G259" s="82"/>
      <c r="H259" s="82"/>
      <c r="I259" s="82" t="s">
        <v>7832</v>
      </c>
      <c r="J259" s="82"/>
      <c r="K259" s="82"/>
      <c r="L259" s="82"/>
      <c r="M259" s="82"/>
      <c r="N259" s="82"/>
      <c r="O259" s="87" t="s">
        <v>6369</v>
      </c>
      <c r="P259" s="82" t="s">
        <v>1198</v>
      </c>
      <c r="Q259" s="83">
        <f>VLOOKUP(TAB_ESTOQUE[[#This Row],[Codigo]],TAB_ENTRADA[[Cod_2_Entrada]:[TOTAL_ENTRADA]],5,FALSE)-VLOOKUP(TAB_ESTOQUE[[#This Row],[Codigo]],TAB_SAIDA[[COD_2_SAIDA]:[TOTAL_SAIDA]],5,FALSE)</f>
        <v>0</v>
      </c>
      <c r="R259" s="87"/>
      <c r="S259" s="87"/>
      <c r="T259" s="90">
        <v>558.40333333333331</v>
      </c>
      <c r="U259" s="91">
        <f>TAB_ESTOQUE[[#This Row],[Valor Unitario Estimado]]*TAB_ESTOQUE[[#This Row],[Estoque]]</f>
        <v>0</v>
      </c>
      <c r="V259" s="91"/>
      <c r="W259" s="85"/>
      <c r="X259" s="85"/>
      <c r="Y259" s="85"/>
      <c r="Z259" s="85"/>
      <c r="AA259" s="85"/>
      <c r="AB259" s="85" t="str">
        <f>IF(TAB_ESTOQUE[[#This Row],[Estoque]]=0,"Estoque Não Conforme",IF(TAB_ESTOQUE[[#This Row],[Estoque]]&gt;=TAB_ESTOQUE[[#This Row],[Mínimo]],"Estoque Conforme",IF(TAB_ESTOQUE[[#This Row],[Estoque]]&lt;TAB_ESTOQUE[[#This Row],[Mínimo]],"Estoque em Nivel Minimo")))</f>
        <v>Estoque Não Conforme</v>
      </c>
      <c r="AC259" s="85"/>
      <c r="AD259" s="82"/>
      <c r="AE259" s="82"/>
      <c r="AF259" s="82"/>
    </row>
    <row r="260" spans="1:32" ht="15" customHeight="1" x14ac:dyDescent="0.25">
      <c r="A260" s="106" t="s">
        <v>1159</v>
      </c>
      <c r="B260" s="106"/>
      <c r="C260" s="116" t="s">
        <v>2842</v>
      </c>
      <c r="D260" s="106" t="s">
        <v>2647</v>
      </c>
      <c r="E260" s="116"/>
      <c r="F260" s="118"/>
      <c r="G260" s="95"/>
      <c r="H260" s="95"/>
      <c r="I260" s="95" t="s">
        <v>7834</v>
      </c>
      <c r="J260" s="95"/>
      <c r="K260" s="95"/>
      <c r="L260" s="95"/>
      <c r="M260" s="95"/>
      <c r="N260" s="95"/>
      <c r="O260" s="118" t="s">
        <v>6369</v>
      </c>
      <c r="P260" s="95" t="s">
        <v>6022</v>
      </c>
      <c r="Q260" s="154">
        <f>VLOOKUP(TAB_ESTOQUE[[#This Row],[Codigo]],TAB_ENTRADA[[Cod_2_Entrada]:[TOTAL_ENTRADA]],5,FALSE)-VLOOKUP(TAB_ESTOQUE[[#This Row],[Codigo]],TAB_SAIDA[[COD_2_SAIDA]:[TOTAL_SAIDA]],5,FALSE)</f>
        <v>2</v>
      </c>
      <c r="R260" s="118"/>
      <c r="S260" s="118"/>
      <c r="T260" s="119"/>
      <c r="U260" s="112">
        <f>TAB_ESTOQUE[[#This Row],[Valor Unitario Estimado]]*TAB_ESTOQUE[[#This Row],[Estoque]]</f>
        <v>0</v>
      </c>
      <c r="V260" s="112"/>
      <c r="W260" s="120"/>
      <c r="X260" s="120"/>
      <c r="Y260" s="120"/>
      <c r="Z260" s="120"/>
      <c r="AA260" s="120"/>
      <c r="AB260" s="120" t="str">
        <f>IF(TAB_ESTOQUE[[#This Row],[Estoque]]=0,"Estoque Não Conforme",IF(TAB_ESTOQUE[[#This Row],[Estoque]]&gt;=TAB_ESTOQUE[[#This Row],[Mínimo]],"Estoque Conforme",IF(TAB_ESTOQUE[[#This Row],[Estoque]]&lt;TAB_ESTOQUE[[#This Row],[Mínimo]],"Estoque em Nivel Minimo")))</f>
        <v>Estoque Conforme</v>
      </c>
      <c r="AC260" s="120"/>
      <c r="AD260" s="95"/>
      <c r="AE260" s="82"/>
      <c r="AF260" s="82"/>
    </row>
    <row r="261" spans="1:32" ht="15" customHeight="1" x14ac:dyDescent="0.25">
      <c r="B261" s="47"/>
      <c r="C261" s="46" t="s">
        <v>2842</v>
      </c>
      <c r="D261" s="45" t="s">
        <v>2768</v>
      </c>
      <c r="E261" s="46"/>
      <c r="F261" s="87"/>
      <c r="G261" s="82"/>
      <c r="H261" s="82"/>
      <c r="I261" s="82" t="s">
        <v>7835</v>
      </c>
      <c r="J261" s="82"/>
      <c r="K261" s="82"/>
      <c r="L261" s="82"/>
      <c r="M261" s="82"/>
      <c r="N261" s="82"/>
      <c r="O261" s="87" t="s">
        <v>6369</v>
      </c>
      <c r="P261" s="82" t="s">
        <v>1613</v>
      </c>
      <c r="Q261" s="83">
        <f>VLOOKUP(TAB_ESTOQUE[[#This Row],[Codigo]],TAB_ENTRADA[[Cod_2_Entrada]:[TOTAL_ENTRADA]],5,FALSE)-VLOOKUP(TAB_ESTOQUE[[#This Row],[Codigo]],TAB_SAIDA[[COD_2_SAIDA]:[TOTAL_SAIDA]],5,FALSE)</f>
        <v>2</v>
      </c>
      <c r="R261" s="87"/>
      <c r="S261" s="87"/>
      <c r="T261" s="90"/>
      <c r="U261" s="91">
        <f>TAB_ESTOQUE[[#This Row],[Valor Unitario Estimado]]*TAB_ESTOQUE[[#This Row],[Estoque]]</f>
        <v>0</v>
      </c>
      <c r="V261" s="91"/>
      <c r="W261" s="85"/>
      <c r="X261" s="85"/>
      <c r="Y261" s="85"/>
      <c r="Z261" s="85"/>
      <c r="AA261" s="85"/>
      <c r="AB261" s="85" t="str">
        <f>IF(TAB_ESTOQUE[[#This Row],[Estoque]]=0,"Estoque Não Conforme",IF(TAB_ESTOQUE[[#This Row],[Estoque]]&gt;=TAB_ESTOQUE[[#This Row],[Mínimo]],"Estoque Conforme",IF(TAB_ESTOQUE[[#This Row],[Estoque]]&lt;TAB_ESTOQUE[[#This Row],[Mínimo]],"Estoque em Nivel Minimo")))</f>
        <v>Estoque Conforme</v>
      </c>
      <c r="AC261" s="96"/>
      <c r="AD261" s="82"/>
      <c r="AE261" s="82"/>
      <c r="AF261" s="82"/>
    </row>
    <row r="262" spans="1:32" ht="15" customHeight="1" x14ac:dyDescent="0.25">
      <c r="A262" s="106"/>
      <c r="B262" s="106"/>
      <c r="C262" s="116" t="s">
        <v>2838</v>
      </c>
      <c r="D262" s="106" t="s">
        <v>3064</v>
      </c>
      <c r="E262" s="116"/>
      <c r="F262" s="118"/>
      <c r="G262" s="95"/>
      <c r="H262" s="95"/>
      <c r="I262" s="95" t="s">
        <v>7340</v>
      </c>
      <c r="J262" s="95"/>
      <c r="K262" s="95"/>
      <c r="L262" s="95"/>
      <c r="M262" s="95"/>
      <c r="N262" s="95"/>
      <c r="O262" s="118" t="s">
        <v>6369</v>
      </c>
      <c r="P262" s="95" t="s">
        <v>3068</v>
      </c>
      <c r="Q262" s="154">
        <f>VLOOKUP(TAB_ESTOQUE[[#This Row],[Codigo]],TAB_ENTRADA[[Cod_2_Entrada]:[TOTAL_ENTRADA]],5,FALSE)-VLOOKUP(TAB_ESTOQUE[[#This Row],[Codigo]],TAB_SAIDA[[COD_2_SAIDA]:[TOTAL_SAIDA]],5,FALSE)</f>
        <v>2</v>
      </c>
      <c r="R262" s="118"/>
      <c r="S262" s="118"/>
      <c r="T262" s="119">
        <v>190</v>
      </c>
      <c r="U262" s="112">
        <f>TAB_ESTOQUE[[#This Row],[Valor Unitario Estimado]]*TAB_ESTOQUE[[#This Row],[Estoque]]</f>
        <v>380</v>
      </c>
      <c r="V262" s="112"/>
      <c r="W262" s="120"/>
      <c r="X262" s="120"/>
      <c r="Y262" s="120"/>
      <c r="Z262" s="120"/>
      <c r="AA262" s="120"/>
      <c r="AB262" s="120" t="str">
        <f>IF(TAB_ESTOQUE[[#This Row],[Estoque]]=0,"Estoque Não Conforme",IF(TAB_ESTOQUE[[#This Row],[Estoque]]&gt;=TAB_ESTOQUE[[#This Row],[Mínimo]],"Estoque Conforme",IF(TAB_ESTOQUE[[#This Row],[Estoque]]&lt;TAB_ESTOQUE[[#This Row],[Mínimo]],"Estoque em Nivel Minimo")))</f>
        <v>Estoque Conforme</v>
      </c>
      <c r="AC262" s="160"/>
      <c r="AD262" s="95"/>
      <c r="AE262" s="82"/>
      <c r="AF262" s="82"/>
    </row>
    <row r="263" spans="1:32" ht="15" customHeight="1" x14ac:dyDescent="0.25">
      <c r="A263" s="47"/>
      <c r="B263" s="47"/>
      <c r="C263" s="47"/>
      <c r="D263" s="47" t="s">
        <v>6480</v>
      </c>
      <c r="E263" s="51"/>
      <c r="F263" s="107"/>
      <c r="G263" s="94"/>
      <c r="H263" s="94"/>
      <c r="I263" s="94" t="s">
        <v>6942</v>
      </c>
      <c r="J263" s="94"/>
      <c r="K263" s="94"/>
      <c r="L263" s="94"/>
      <c r="M263" s="94"/>
      <c r="N263" s="94"/>
      <c r="O263" s="107" t="s">
        <v>6369</v>
      </c>
      <c r="P263" s="94"/>
      <c r="Q263" s="145">
        <f>VLOOKUP(TAB_ESTOQUE[[#This Row],[Codigo]],TAB_ENTRADA[[Cod_2_Entrada]:[TOTAL_ENTRADA]],5,FALSE)-VLOOKUP(TAB_ESTOQUE[[#This Row],[Codigo]],TAB_SAIDA[[COD_2_SAIDA]:[TOTAL_SAIDA]],5,FALSE)</f>
        <v>0</v>
      </c>
      <c r="R263" s="107"/>
      <c r="S263" s="107"/>
      <c r="T263" s="108"/>
      <c r="U263" s="109">
        <f>TAB_ESTOQUE[[#This Row],[Valor Unitario Estimado]]*TAB_ESTOQUE[[#This Row],[Estoque]]</f>
        <v>0</v>
      </c>
      <c r="V263" s="109"/>
      <c r="W263" s="110"/>
      <c r="X263" s="110"/>
      <c r="Y263" s="110"/>
      <c r="Z263" s="110"/>
      <c r="AA263" s="110"/>
      <c r="AB263" s="110" t="str">
        <f>IF(TAB_ESTOQUE[[#This Row],[Estoque]]=0,"Estoque Não Conforme",IF(TAB_ESTOQUE[[#This Row],[Estoque]]&gt;=TAB_ESTOQUE[[#This Row],[Mínimo]],"Estoque Conforme",IF(TAB_ESTOQUE[[#This Row],[Estoque]]&lt;TAB_ESTOQUE[[#This Row],[Mínimo]],"Estoque em Nivel Minimo")))</f>
        <v>Estoque Não Conforme</v>
      </c>
      <c r="AC263" s="155"/>
      <c r="AD263" s="94"/>
      <c r="AE263" s="82"/>
      <c r="AF263" s="82"/>
    </row>
    <row r="264" spans="1:32" ht="15" customHeight="1" x14ac:dyDescent="0.25">
      <c r="C264" s="48"/>
      <c r="D264" s="45" t="s">
        <v>6919</v>
      </c>
      <c r="E264" s="46"/>
      <c r="F264" s="46"/>
      <c r="I264" s="210" t="s">
        <v>8719</v>
      </c>
      <c r="O264" s="46" t="s">
        <v>6369</v>
      </c>
      <c r="Q264" s="137">
        <f>VLOOKUP(TAB_ESTOQUE[[#This Row],[Codigo]],TAB_ENTRADA[[Cod_2_Entrada]:[TOTAL_ENTRADA]],5,FALSE)-VLOOKUP(TAB_ESTOQUE[[#This Row],[Codigo]],TAB_SAIDA[[COD_2_SAIDA]:[TOTAL_SAIDA]],5,FALSE)</f>
        <v>3</v>
      </c>
      <c r="S264" s="46"/>
      <c r="T264" s="102">
        <v>136.04</v>
      </c>
      <c r="U264" s="103">
        <f>TAB_ESTOQUE[[#This Row],[Valor Unitario Estimado]]*TAB_ESTOQUE[[#This Row],[Estoque]]</f>
        <v>408.12</v>
      </c>
      <c r="V264" s="103"/>
      <c r="AA264" s="138"/>
      <c r="AB264" s="104" t="str">
        <f>IF(TAB_ESTOQUE[[#This Row],[Estoque]]=0,"Estoque Não Conforme",IF(TAB_ESTOQUE[[#This Row],[Estoque]]&gt;=TAB_ESTOQUE[[#This Row],[Mínimo]],"Estoque Conforme",IF(TAB_ESTOQUE[[#This Row],[Estoque]]&lt;TAB_ESTOQUE[[#This Row],[Mínimo]],"Estoque em Nivel Minimo")))</f>
        <v>Estoque Conforme</v>
      </c>
      <c r="AC264" s="104"/>
      <c r="AE264" s="82"/>
      <c r="AF264" s="82"/>
    </row>
    <row r="265" spans="1:32" ht="15" customHeight="1" x14ac:dyDescent="0.25">
      <c r="C265" s="48"/>
      <c r="D265" s="45" t="s">
        <v>7626</v>
      </c>
      <c r="E265" s="46" t="s">
        <v>8112</v>
      </c>
      <c r="F265" s="46"/>
      <c r="I265" s="45" t="s">
        <v>8114</v>
      </c>
      <c r="O265" s="51" t="s">
        <v>6369</v>
      </c>
      <c r="Q265" s="137">
        <f>VLOOKUP(TAB_ESTOQUE[[#This Row],[Codigo]],TAB_ENTRADA[[Cod_2_Entrada]:[TOTAL_ENTRADA]],5,FALSE)-VLOOKUP(TAB_ESTOQUE[[#This Row],[Codigo]],TAB_SAIDA[[COD_2_SAIDA]:[TOTAL_SAIDA]],5,FALSE)</f>
        <v>8</v>
      </c>
      <c r="S265" s="46"/>
      <c r="T265" s="102">
        <v>73</v>
      </c>
      <c r="U265" s="103">
        <f>TAB_ESTOQUE[[#This Row],[Valor Unitario Estimado]]*TAB_ESTOQUE[[#This Row],[Estoque]]</f>
        <v>584</v>
      </c>
      <c r="V265" s="103"/>
      <c r="AA265" s="138"/>
      <c r="AB265" s="104" t="str">
        <f>IF(TAB_ESTOQUE[[#This Row],[Estoque]]=0,"Estoque Não Conforme",IF(TAB_ESTOQUE[[#This Row],[Estoque]]&gt;=TAB_ESTOQUE[[#This Row],[Mínimo]],"Estoque Conforme",IF(TAB_ESTOQUE[[#This Row],[Estoque]]&lt;TAB_ESTOQUE[[#This Row],[Mínimo]],"Estoque em Nivel Minimo")))</f>
        <v>Estoque Conforme</v>
      </c>
      <c r="AC265" s="104"/>
      <c r="AE265" s="82"/>
      <c r="AF265" s="82"/>
    </row>
    <row r="266" spans="1:32" ht="15" customHeight="1" x14ac:dyDescent="0.25">
      <c r="C266" s="48"/>
      <c r="D266" s="45" t="s">
        <v>7746</v>
      </c>
      <c r="E266" s="46"/>
      <c r="F266" s="46"/>
      <c r="I266" s="45" t="s">
        <v>8845</v>
      </c>
      <c r="O266" s="46" t="s">
        <v>6369</v>
      </c>
      <c r="Q266" s="137">
        <f>VLOOKUP(TAB_ESTOQUE[[#This Row],[Codigo]],TAB_ENTRADA[[Cod_2_Entrada]:[TOTAL_ENTRADA]],5,FALSE)-VLOOKUP(TAB_ESTOQUE[[#This Row],[Codigo]],TAB_SAIDA[[COD_2_SAIDA]:[TOTAL_SAIDA]],5,FALSE)</f>
        <v>1</v>
      </c>
      <c r="R266" s="46">
        <v>2</v>
      </c>
      <c r="S266" s="46">
        <v>6</v>
      </c>
      <c r="T266" s="102">
        <v>195.3</v>
      </c>
      <c r="U266" s="103">
        <f>TAB_ESTOQUE[[#This Row],[Valor Unitario Estimado]]*TAB_ESTOQUE[[#This Row],[Estoque]]</f>
        <v>195.3</v>
      </c>
      <c r="V266" s="103"/>
      <c r="AA266" s="138"/>
      <c r="AB266" s="104" t="str">
        <f>IF(TAB_ESTOQUE[[#This Row],[Estoque]]=0,"Estoque Não Conforme",IF(TAB_ESTOQUE[[#This Row],[Estoque]]&gt;=TAB_ESTOQUE[[#This Row],[Mínimo]],"Estoque Conforme",IF(TAB_ESTOQUE[[#This Row],[Estoque]]&lt;TAB_ESTOQUE[[#This Row],[Mínimo]],"Estoque em Nivel Minimo")))</f>
        <v>Estoque em Nivel Minimo</v>
      </c>
      <c r="AC266" s="104"/>
      <c r="AE266" s="82"/>
      <c r="AF266" s="82"/>
    </row>
    <row r="267" spans="1:32" ht="15" customHeight="1" x14ac:dyDescent="0.25">
      <c r="A267" s="176">
        <v>833</v>
      </c>
      <c r="B267" s="176"/>
      <c r="C267" s="177" t="s">
        <v>2842</v>
      </c>
      <c r="D267" s="176" t="s">
        <v>1778</v>
      </c>
      <c r="E267" s="177" t="s">
        <v>7</v>
      </c>
      <c r="F267" s="180"/>
      <c r="G267" s="178"/>
      <c r="H267" s="178"/>
      <c r="I267" s="178" t="s">
        <v>7812</v>
      </c>
      <c r="J267" s="178"/>
      <c r="K267" s="178"/>
      <c r="L267" s="178"/>
      <c r="M267" s="178"/>
      <c r="N267" s="178"/>
      <c r="O267" s="180" t="s">
        <v>6363</v>
      </c>
      <c r="P267" s="178" t="s">
        <v>619</v>
      </c>
      <c r="Q267" s="145">
        <f>VLOOKUP(TAB_ESTOQUE[[#This Row],[Codigo]],TAB_ENTRADA[[Cod_2_Entrada]:[TOTAL_ENTRADA]],5,FALSE)-VLOOKUP(TAB_ESTOQUE[[#This Row],[Codigo]],TAB_SAIDA[[COD_2_SAIDA]:[TOTAL_SAIDA]],5,FALSE)</f>
        <v>3</v>
      </c>
      <c r="R267" s="180"/>
      <c r="S267" s="180"/>
      <c r="T267" s="108">
        <v>75</v>
      </c>
      <c r="U267" s="109">
        <f>TAB_ESTOQUE[[#This Row],[Valor Unitario Estimado]]*TAB_ESTOQUE[[#This Row],[Estoque]]</f>
        <v>225</v>
      </c>
      <c r="V267" s="109"/>
      <c r="W267" s="181"/>
      <c r="X267" s="181"/>
      <c r="Y267" s="181"/>
      <c r="Z267" s="181"/>
      <c r="AA267" s="181"/>
      <c r="AB267" s="181" t="str">
        <f>IF(TAB_ESTOQUE[[#This Row],[Estoque]]=0,"Estoque Não Conforme",IF(TAB_ESTOQUE[[#This Row],[Estoque]]&gt;=TAB_ESTOQUE[[#This Row],[Mínimo]],"Estoque Conforme",IF(TAB_ESTOQUE[[#This Row],[Estoque]]&lt;TAB_ESTOQUE[[#This Row],[Mínimo]],"Estoque em Nivel Minimo")))</f>
        <v>Estoque Conforme</v>
      </c>
      <c r="AC267" s="181"/>
      <c r="AD267" s="178"/>
      <c r="AE267" s="82"/>
      <c r="AF267" s="82"/>
    </row>
    <row r="268" spans="1:32" ht="15" customHeight="1" x14ac:dyDescent="0.25">
      <c r="A268" s="45">
        <v>933</v>
      </c>
      <c r="B268" s="47"/>
      <c r="C268" s="46" t="s">
        <v>2838</v>
      </c>
      <c r="D268" s="45" t="s">
        <v>1783</v>
      </c>
      <c r="E268" s="46" t="s">
        <v>7</v>
      </c>
      <c r="F268" s="87"/>
      <c r="G268" s="82"/>
      <c r="H268" s="82"/>
      <c r="I268" s="204" t="s">
        <v>7990</v>
      </c>
      <c r="J268" s="82"/>
      <c r="K268" s="82"/>
      <c r="L268" s="82"/>
      <c r="M268" s="82"/>
      <c r="N268" s="82"/>
      <c r="O268" s="87" t="s">
        <v>6363</v>
      </c>
      <c r="P268" s="82" t="s">
        <v>713</v>
      </c>
      <c r="Q268" s="83">
        <f>VLOOKUP(TAB_ESTOQUE[[#This Row],[Codigo]],TAB_ENTRADA[[Cod_2_Entrada]:[TOTAL_ENTRADA]],5,FALSE)-VLOOKUP(TAB_ESTOQUE[[#This Row],[Codigo]],TAB_SAIDA[[COD_2_SAIDA]:[TOTAL_SAIDA]],5,FALSE)</f>
        <v>5</v>
      </c>
      <c r="R268" s="87"/>
      <c r="S268" s="87"/>
      <c r="T268" s="90">
        <v>25</v>
      </c>
      <c r="U268" s="91">
        <f>TAB_ESTOQUE[[#This Row],[Valor Unitario Estimado]]*TAB_ESTOQUE[[#This Row],[Estoque]]</f>
        <v>125</v>
      </c>
      <c r="V268" s="91"/>
      <c r="W268" s="85"/>
      <c r="X268" s="85"/>
      <c r="Y268" s="85"/>
      <c r="Z268" s="85"/>
      <c r="AA268" s="85"/>
      <c r="AB268" s="85" t="str">
        <f>IF(TAB_ESTOQUE[[#This Row],[Estoque]]=0,"Estoque Não Conforme",IF(TAB_ESTOQUE[[#This Row],[Estoque]]&gt;=TAB_ESTOQUE[[#This Row],[Mínimo]],"Estoque Conforme",IF(TAB_ESTOQUE[[#This Row],[Estoque]]&lt;TAB_ESTOQUE[[#This Row],[Mínimo]],"Estoque em Nivel Minimo")))</f>
        <v>Estoque Conforme</v>
      </c>
      <c r="AC268" s="85"/>
      <c r="AD268" s="82"/>
      <c r="AE268" s="82"/>
      <c r="AF268" s="82"/>
    </row>
    <row r="269" spans="1:32" ht="15" customHeight="1" x14ac:dyDescent="0.25">
      <c r="A269" s="45">
        <v>932</v>
      </c>
      <c r="B269" s="47"/>
      <c r="C269" s="46" t="s">
        <v>2838</v>
      </c>
      <c r="D269" s="45" t="s">
        <v>1784</v>
      </c>
      <c r="E269" s="46" t="s">
        <v>7</v>
      </c>
      <c r="F269" s="87"/>
      <c r="G269" s="82"/>
      <c r="H269" s="82"/>
      <c r="I269" s="170" t="s">
        <v>7813</v>
      </c>
      <c r="J269" s="82"/>
      <c r="K269" s="82"/>
      <c r="L269" s="82"/>
      <c r="M269" s="82"/>
      <c r="N269" s="82"/>
      <c r="O269" s="87" t="s">
        <v>6363</v>
      </c>
      <c r="P269" s="82" t="s">
        <v>709</v>
      </c>
      <c r="Q269" s="83">
        <f>VLOOKUP(TAB_ESTOQUE[[#This Row],[Codigo]],TAB_ENTRADA[[Cod_2_Entrada]:[TOTAL_ENTRADA]],5,FALSE)-VLOOKUP(TAB_ESTOQUE[[#This Row],[Codigo]],TAB_SAIDA[[COD_2_SAIDA]:[TOTAL_SAIDA]],5,FALSE)</f>
        <v>8</v>
      </c>
      <c r="R269" s="87"/>
      <c r="S269" s="87"/>
      <c r="T269" s="90">
        <v>12</v>
      </c>
      <c r="U269" s="91">
        <f>TAB_ESTOQUE[[#This Row],[Valor Unitario Estimado]]*TAB_ESTOQUE[[#This Row],[Estoque]]</f>
        <v>96</v>
      </c>
      <c r="V269" s="91"/>
      <c r="W269" s="85"/>
      <c r="X269" s="85"/>
      <c r="Y269" s="85"/>
      <c r="Z269" s="85"/>
      <c r="AA269" s="85"/>
      <c r="AB269" s="85" t="str">
        <f>IF(TAB_ESTOQUE[[#This Row],[Estoque]]=0,"Estoque Não Conforme",IF(TAB_ESTOQUE[[#This Row],[Estoque]]&gt;=TAB_ESTOQUE[[#This Row],[Mínimo]],"Estoque Conforme",IF(TAB_ESTOQUE[[#This Row],[Estoque]]&lt;TAB_ESTOQUE[[#This Row],[Mínimo]],"Estoque em Nivel Minimo")))</f>
        <v>Estoque Conforme</v>
      </c>
      <c r="AC269" s="85"/>
      <c r="AD269" s="82"/>
      <c r="AE269" s="82"/>
      <c r="AF269" s="82"/>
    </row>
    <row r="270" spans="1:32" ht="15" customHeight="1" x14ac:dyDescent="0.25">
      <c r="A270" s="106">
        <v>927</v>
      </c>
      <c r="B270" s="106"/>
      <c r="C270" s="116" t="s">
        <v>2838</v>
      </c>
      <c r="D270" s="106" t="s">
        <v>1785</v>
      </c>
      <c r="E270" s="217" t="s">
        <v>716</v>
      </c>
      <c r="F270" s="118"/>
      <c r="G270" s="95"/>
      <c r="H270" s="95"/>
      <c r="I270" s="95" t="s">
        <v>7814</v>
      </c>
      <c r="J270" s="95"/>
      <c r="K270" s="95"/>
      <c r="L270" s="95"/>
      <c r="M270" s="95"/>
      <c r="N270" s="95"/>
      <c r="O270" s="118" t="s">
        <v>6363</v>
      </c>
      <c r="P270" s="95" t="s">
        <v>709</v>
      </c>
      <c r="Q270" s="154">
        <f>VLOOKUP(TAB_ESTOQUE[[#This Row],[Codigo]],TAB_ENTRADA[[Cod_2_Entrada]:[TOTAL_ENTRADA]],5,FALSE)-VLOOKUP(TAB_ESTOQUE[[#This Row],[Codigo]],TAB_SAIDA[[COD_2_SAIDA]:[TOTAL_SAIDA]],5,FALSE)</f>
        <v>0</v>
      </c>
      <c r="R270" s="118"/>
      <c r="S270" s="118"/>
      <c r="T270" s="119">
        <v>92</v>
      </c>
      <c r="U270" s="112">
        <f>TAB_ESTOQUE[[#This Row],[Valor Unitario Estimado]]*TAB_ESTOQUE[[#This Row],[Estoque]]</f>
        <v>0</v>
      </c>
      <c r="V270" s="112"/>
      <c r="W270" s="120"/>
      <c r="X270" s="120"/>
      <c r="Y270" s="120"/>
      <c r="Z270" s="120"/>
      <c r="AA270" s="120"/>
      <c r="AB270" s="120" t="str">
        <f>IF(TAB_ESTOQUE[[#This Row],[Estoque]]=0,"Estoque Não Conforme",IF(TAB_ESTOQUE[[#This Row],[Estoque]]&gt;=TAB_ESTOQUE[[#This Row],[Mínimo]],"Estoque Conforme",IF(TAB_ESTOQUE[[#This Row],[Estoque]]&lt;TAB_ESTOQUE[[#This Row],[Mínimo]],"Estoque em Nivel Minimo")))</f>
        <v>Estoque Não Conforme</v>
      </c>
      <c r="AC270" s="120"/>
      <c r="AD270" s="95"/>
      <c r="AE270" s="82"/>
      <c r="AF270" s="82"/>
    </row>
    <row r="271" spans="1:32" ht="15" customHeight="1" x14ac:dyDescent="0.25">
      <c r="A271" s="45">
        <v>936</v>
      </c>
      <c r="B271" s="47"/>
      <c r="C271" s="46" t="s">
        <v>2838</v>
      </c>
      <c r="D271" s="45" t="s">
        <v>1790</v>
      </c>
      <c r="E271" s="46" t="s">
        <v>7185</v>
      </c>
      <c r="F271" s="87"/>
      <c r="G271" s="82"/>
      <c r="H271" s="82"/>
      <c r="I271" s="209" t="s">
        <v>7817</v>
      </c>
      <c r="J271" s="82"/>
      <c r="K271" s="82"/>
      <c r="L271" s="82"/>
      <c r="M271" s="82"/>
      <c r="N271" s="82"/>
      <c r="O271" s="87" t="s">
        <v>6363</v>
      </c>
      <c r="P271" s="82" t="s">
        <v>717</v>
      </c>
      <c r="Q271" s="83">
        <f>VLOOKUP(TAB_ESTOQUE[[#This Row],[Codigo]],TAB_ENTRADA[[Cod_2_Entrada]:[TOTAL_ENTRADA]],5,FALSE)-VLOOKUP(TAB_ESTOQUE[[#This Row],[Codigo]],TAB_SAIDA[[COD_2_SAIDA]:[TOTAL_SAIDA]],5,FALSE)</f>
        <v>0</v>
      </c>
      <c r="R271" s="87"/>
      <c r="S271" s="87"/>
      <c r="T271" s="90">
        <v>85.6</v>
      </c>
      <c r="U271" s="91">
        <f>TAB_ESTOQUE[[#This Row],[Valor Unitario Estimado]]*TAB_ESTOQUE[[#This Row],[Estoque]]</f>
        <v>0</v>
      </c>
      <c r="V271" s="91"/>
      <c r="W271" s="85"/>
      <c r="X271" s="85"/>
      <c r="Y271" s="85"/>
      <c r="Z271" s="85"/>
      <c r="AA271" s="85"/>
      <c r="AB271" s="85" t="str">
        <f>IF(TAB_ESTOQUE[[#This Row],[Estoque]]=0,"Estoque Não Conforme",IF(TAB_ESTOQUE[[#This Row],[Estoque]]&gt;=TAB_ESTOQUE[[#This Row],[Mínimo]],"Estoque Conforme",IF(TAB_ESTOQUE[[#This Row],[Estoque]]&lt;TAB_ESTOQUE[[#This Row],[Mínimo]],"Estoque em Nivel Minimo")))</f>
        <v>Estoque Não Conforme</v>
      </c>
      <c r="AC271" s="85"/>
      <c r="AD271" s="82"/>
      <c r="AE271" s="82"/>
      <c r="AF271" s="82"/>
    </row>
    <row r="272" spans="1:32" ht="15" customHeight="1" x14ac:dyDescent="0.25">
      <c r="A272" s="45">
        <v>937</v>
      </c>
      <c r="B272" s="47"/>
      <c r="C272" s="46" t="s">
        <v>2833</v>
      </c>
      <c r="D272" s="45" t="s">
        <v>1791</v>
      </c>
      <c r="E272" s="46" t="s">
        <v>7</v>
      </c>
      <c r="F272" s="87"/>
      <c r="G272" s="82"/>
      <c r="H272" s="82"/>
      <c r="I272" s="209" t="s">
        <v>7818</v>
      </c>
      <c r="J272" s="82"/>
      <c r="K272" s="82"/>
      <c r="L272" s="82"/>
      <c r="M272" s="82"/>
      <c r="N272" s="82"/>
      <c r="O272" s="87" t="s">
        <v>6363</v>
      </c>
      <c r="P272" s="82" t="s">
        <v>718</v>
      </c>
      <c r="Q272" s="83">
        <f>VLOOKUP(TAB_ESTOQUE[[#This Row],[Codigo]],TAB_ENTRADA[[Cod_2_Entrada]:[TOTAL_ENTRADA]],5,FALSE)-VLOOKUP(TAB_ESTOQUE[[#This Row],[Codigo]],TAB_SAIDA[[COD_2_SAIDA]:[TOTAL_SAIDA]],5,FALSE)</f>
        <v>8</v>
      </c>
      <c r="R272" s="87"/>
      <c r="S272" s="87"/>
      <c r="T272" s="90">
        <v>25</v>
      </c>
      <c r="U272" s="91">
        <f>TAB_ESTOQUE[[#This Row],[Valor Unitario Estimado]]*TAB_ESTOQUE[[#This Row],[Estoque]]</f>
        <v>200</v>
      </c>
      <c r="V272" s="91"/>
      <c r="W272" s="85"/>
      <c r="X272" s="85"/>
      <c r="Y272" s="85"/>
      <c r="Z272" s="85"/>
      <c r="AA272" s="85"/>
      <c r="AB272" s="85" t="str">
        <f>IF(TAB_ESTOQUE[[#This Row],[Estoque]]=0,"Estoque Não Conforme",IF(TAB_ESTOQUE[[#This Row],[Estoque]]&gt;=TAB_ESTOQUE[[#This Row],[Mínimo]],"Estoque Conforme",IF(TAB_ESTOQUE[[#This Row],[Estoque]]&lt;TAB_ESTOQUE[[#This Row],[Mínimo]],"Estoque em Nivel Minimo")))</f>
        <v>Estoque Conforme</v>
      </c>
      <c r="AC272" s="85"/>
      <c r="AD272" s="82"/>
      <c r="AE272" s="82"/>
      <c r="AF272" s="82"/>
    </row>
    <row r="273" spans="1:32" ht="15" customHeight="1" x14ac:dyDescent="0.25">
      <c r="A273" s="45">
        <v>931</v>
      </c>
      <c r="B273" s="47"/>
      <c r="C273" s="46" t="s">
        <v>2838</v>
      </c>
      <c r="D273" s="45" t="s">
        <v>1792</v>
      </c>
      <c r="E273" s="46" t="s">
        <v>7</v>
      </c>
      <c r="F273" s="87"/>
      <c r="G273" s="82"/>
      <c r="H273" s="82"/>
      <c r="I273" s="209" t="s">
        <v>7819</v>
      </c>
      <c r="J273" s="82"/>
      <c r="K273" s="82"/>
      <c r="L273" s="82"/>
      <c r="M273" s="82"/>
      <c r="N273" s="82"/>
      <c r="O273" s="87" t="s">
        <v>6363</v>
      </c>
      <c r="P273" s="82" t="s">
        <v>712</v>
      </c>
      <c r="Q273" s="83">
        <f>VLOOKUP(TAB_ESTOQUE[[#This Row],[Codigo]],TAB_ENTRADA[[Cod_2_Entrada]:[TOTAL_ENTRADA]],5,FALSE)-VLOOKUP(TAB_ESTOQUE[[#This Row],[Codigo]],TAB_SAIDA[[COD_2_SAIDA]:[TOTAL_SAIDA]],5,FALSE)</f>
        <v>2</v>
      </c>
      <c r="R273" s="87"/>
      <c r="S273" s="87"/>
      <c r="T273" s="90"/>
      <c r="U273" s="91">
        <f>TAB_ESTOQUE[[#This Row],[Valor Unitario Estimado]]*TAB_ESTOQUE[[#This Row],[Estoque]]</f>
        <v>0</v>
      </c>
      <c r="V273" s="91"/>
      <c r="W273" s="85"/>
      <c r="X273" s="85"/>
      <c r="Y273" s="85"/>
      <c r="Z273" s="85"/>
      <c r="AA273" s="85"/>
      <c r="AB273" s="85" t="str">
        <f>IF(TAB_ESTOQUE[[#This Row],[Estoque]]=0,"Estoque Não Conforme",IF(TAB_ESTOQUE[[#This Row],[Estoque]]&gt;=TAB_ESTOQUE[[#This Row],[Mínimo]],"Estoque Conforme",IF(TAB_ESTOQUE[[#This Row],[Estoque]]&lt;TAB_ESTOQUE[[#This Row],[Mínimo]],"Estoque em Nivel Minimo")))</f>
        <v>Estoque Conforme</v>
      </c>
      <c r="AC273" s="85"/>
      <c r="AD273" s="82"/>
      <c r="AE273" s="82"/>
      <c r="AF273" s="82"/>
    </row>
    <row r="274" spans="1:32" s="106" customFormat="1" ht="15" customHeight="1" x14ac:dyDescent="0.25">
      <c r="A274" s="45">
        <v>975</v>
      </c>
      <c r="B274" s="47"/>
      <c r="C274" s="46" t="s">
        <v>2838</v>
      </c>
      <c r="D274" s="45" t="s">
        <v>1793</v>
      </c>
      <c r="E274" s="46" t="s">
        <v>7</v>
      </c>
      <c r="F274" s="87"/>
      <c r="G274" s="82"/>
      <c r="H274" s="82"/>
      <c r="I274" s="209" t="s">
        <v>7991</v>
      </c>
      <c r="J274" s="82"/>
      <c r="K274" s="82"/>
      <c r="L274" s="82"/>
      <c r="M274" s="82"/>
      <c r="N274" s="82"/>
      <c r="O274" s="87" t="s">
        <v>6363</v>
      </c>
      <c r="P274" s="82" t="s">
        <v>750</v>
      </c>
      <c r="Q274" s="83">
        <f>VLOOKUP(TAB_ESTOQUE[[#This Row],[Codigo]],TAB_ENTRADA[[Cod_2_Entrada]:[TOTAL_ENTRADA]],5,FALSE)-VLOOKUP(TAB_ESTOQUE[[#This Row],[Codigo]],TAB_SAIDA[[COD_2_SAIDA]:[TOTAL_SAIDA]],5,FALSE)</f>
        <v>4</v>
      </c>
      <c r="R274" s="87"/>
      <c r="S274" s="87"/>
      <c r="T274" s="90"/>
      <c r="U274" s="91">
        <f>TAB_ESTOQUE[[#This Row],[Valor Unitario Estimado]]*TAB_ESTOQUE[[#This Row],[Estoque]]</f>
        <v>0</v>
      </c>
      <c r="V274" s="91"/>
      <c r="W274" s="85"/>
      <c r="X274" s="85"/>
      <c r="Y274" s="85"/>
      <c r="Z274" s="85"/>
      <c r="AA274" s="85"/>
      <c r="AB274" s="85" t="str">
        <f>IF(TAB_ESTOQUE[[#This Row],[Estoque]]=0,"Estoque Não Conforme",IF(TAB_ESTOQUE[[#This Row],[Estoque]]&gt;=TAB_ESTOQUE[[#This Row],[Mínimo]],"Estoque Conforme",IF(TAB_ESTOQUE[[#This Row],[Estoque]]&lt;TAB_ESTOQUE[[#This Row],[Mínimo]],"Estoque em Nivel Minimo")))</f>
        <v>Estoque Conforme</v>
      </c>
      <c r="AC274" s="85"/>
      <c r="AD274" s="82"/>
      <c r="AE274" s="95"/>
      <c r="AF274" s="95"/>
    </row>
    <row r="275" spans="1:32" ht="15" customHeight="1" x14ac:dyDescent="0.25">
      <c r="A275" s="45">
        <v>946</v>
      </c>
      <c r="B275" s="47"/>
      <c r="C275" s="46" t="s">
        <v>2838</v>
      </c>
      <c r="D275" s="45" t="s">
        <v>1795</v>
      </c>
      <c r="E275" s="46" t="s">
        <v>7</v>
      </c>
      <c r="F275" s="87"/>
      <c r="G275" s="82"/>
      <c r="H275" s="82"/>
      <c r="I275" s="209" t="s">
        <v>7821</v>
      </c>
      <c r="J275" s="82"/>
      <c r="K275" s="82"/>
      <c r="L275" s="82"/>
      <c r="M275" s="82"/>
      <c r="N275" s="82"/>
      <c r="O275" s="87" t="s">
        <v>6363</v>
      </c>
      <c r="P275" s="82" t="s">
        <v>729</v>
      </c>
      <c r="Q275" s="83">
        <f>VLOOKUP(TAB_ESTOQUE[[#This Row],[Codigo]],TAB_ENTRADA[[Cod_2_Entrada]:[TOTAL_ENTRADA]],5,FALSE)-VLOOKUP(TAB_ESTOQUE[[#This Row],[Codigo]],TAB_SAIDA[[COD_2_SAIDA]:[TOTAL_SAIDA]],5,FALSE)</f>
        <v>2</v>
      </c>
      <c r="R275" s="87"/>
      <c r="S275" s="87"/>
      <c r="T275" s="90"/>
      <c r="U275" s="91">
        <f>TAB_ESTOQUE[[#This Row],[Valor Unitario Estimado]]*TAB_ESTOQUE[[#This Row],[Estoque]]</f>
        <v>0</v>
      </c>
      <c r="V275" s="91"/>
      <c r="W275" s="85"/>
      <c r="X275" s="85"/>
      <c r="Y275" s="85"/>
      <c r="Z275" s="85"/>
      <c r="AA275" s="85"/>
      <c r="AB275" s="85" t="str">
        <f>IF(TAB_ESTOQUE[[#This Row],[Estoque]]=0,"Estoque Não Conforme",IF(TAB_ESTOQUE[[#This Row],[Estoque]]&gt;=TAB_ESTOQUE[[#This Row],[Mínimo]],"Estoque Conforme",IF(TAB_ESTOQUE[[#This Row],[Estoque]]&lt;TAB_ESTOQUE[[#This Row],[Mínimo]],"Estoque em Nivel Minimo")))</f>
        <v>Estoque Conforme</v>
      </c>
      <c r="AC275" s="85"/>
      <c r="AD275" s="82"/>
      <c r="AE275" s="82"/>
      <c r="AF275" s="82"/>
    </row>
    <row r="276" spans="1:32" s="106" customFormat="1" ht="15" customHeight="1" x14ac:dyDescent="0.25">
      <c r="A276" s="45">
        <v>947</v>
      </c>
      <c r="B276" s="47"/>
      <c r="C276" s="46" t="s">
        <v>2842</v>
      </c>
      <c r="D276" s="45" t="s">
        <v>1796</v>
      </c>
      <c r="E276" s="46" t="s">
        <v>7</v>
      </c>
      <c r="F276" s="87"/>
      <c r="G276" s="82"/>
      <c r="H276" s="82"/>
      <c r="I276" s="209" t="s">
        <v>7992</v>
      </c>
      <c r="J276" s="82"/>
      <c r="K276" s="82"/>
      <c r="L276" s="82"/>
      <c r="M276" s="82"/>
      <c r="N276" s="82"/>
      <c r="O276" s="87" t="s">
        <v>6363</v>
      </c>
      <c r="P276" s="82" t="s">
        <v>730</v>
      </c>
      <c r="Q276" s="83">
        <f>VLOOKUP(TAB_ESTOQUE[[#This Row],[Codigo]],TAB_ENTRADA[[Cod_2_Entrada]:[TOTAL_ENTRADA]],5,FALSE)-VLOOKUP(TAB_ESTOQUE[[#This Row],[Codigo]],TAB_SAIDA[[COD_2_SAIDA]:[TOTAL_SAIDA]],5,FALSE)</f>
        <v>0</v>
      </c>
      <c r="R276" s="87"/>
      <c r="S276" s="87"/>
      <c r="T276" s="90">
        <v>120</v>
      </c>
      <c r="U276" s="91">
        <f>TAB_ESTOQUE[[#This Row],[Valor Unitario Estimado]]*TAB_ESTOQUE[[#This Row],[Estoque]]</f>
        <v>0</v>
      </c>
      <c r="V276" s="91"/>
      <c r="W276" s="85"/>
      <c r="X276" s="85"/>
      <c r="Y276" s="85"/>
      <c r="Z276" s="85"/>
      <c r="AA276" s="85"/>
      <c r="AB276" s="85" t="str">
        <f>IF(TAB_ESTOQUE[[#This Row],[Estoque]]=0,"Estoque Não Conforme",IF(TAB_ESTOQUE[[#This Row],[Estoque]]&gt;=TAB_ESTOQUE[[#This Row],[Mínimo]],"Estoque Conforme",IF(TAB_ESTOQUE[[#This Row],[Estoque]]&lt;TAB_ESTOQUE[[#This Row],[Mínimo]],"Estoque em Nivel Minimo")))</f>
        <v>Estoque Não Conforme</v>
      </c>
      <c r="AC276" s="85"/>
      <c r="AD276" s="82"/>
      <c r="AE276" s="95"/>
      <c r="AF276" s="95"/>
    </row>
    <row r="277" spans="1:32" ht="15" customHeight="1" x14ac:dyDescent="0.25">
      <c r="A277" s="45">
        <v>948</v>
      </c>
      <c r="B277" s="47"/>
      <c r="C277" s="46"/>
      <c r="D277" s="45" t="s">
        <v>1798</v>
      </c>
      <c r="E277" s="46"/>
      <c r="F277" s="87"/>
      <c r="G277" s="82"/>
      <c r="H277" s="82"/>
      <c r="I277" s="209" t="s">
        <v>7822</v>
      </c>
      <c r="J277" s="82"/>
      <c r="K277" s="82"/>
      <c r="L277" s="82"/>
      <c r="M277" s="82"/>
      <c r="N277" s="82"/>
      <c r="O277" s="87" t="s">
        <v>6363</v>
      </c>
      <c r="P277" s="82" t="s">
        <v>731</v>
      </c>
      <c r="Q277" s="83">
        <f>VLOOKUP(TAB_ESTOQUE[[#This Row],[Codigo]],TAB_ENTRADA[[Cod_2_Entrada]:[TOTAL_ENTRADA]],5,FALSE)-VLOOKUP(TAB_ESTOQUE[[#This Row],[Codigo]],TAB_SAIDA[[COD_2_SAIDA]:[TOTAL_SAIDA]],5,FALSE)</f>
        <v>2</v>
      </c>
      <c r="R277" s="87"/>
      <c r="S277" s="87"/>
      <c r="T277" s="90"/>
      <c r="U277" s="91">
        <f>TAB_ESTOQUE[[#This Row],[Valor Unitario Estimado]]*TAB_ESTOQUE[[#This Row],[Estoque]]</f>
        <v>0</v>
      </c>
      <c r="V277" s="91"/>
      <c r="W277" s="85"/>
      <c r="X277" s="85"/>
      <c r="Y277" s="85"/>
      <c r="Z277" s="85"/>
      <c r="AA277" s="85"/>
      <c r="AB277" s="85" t="str">
        <f>IF(TAB_ESTOQUE[[#This Row],[Estoque]]=0,"Estoque Não Conforme",IF(TAB_ESTOQUE[[#This Row],[Estoque]]&gt;=TAB_ESTOQUE[[#This Row],[Mínimo]],"Estoque Conforme",IF(TAB_ESTOQUE[[#This Row],[Estoque]]&lt;TAB_ESTOQUE[[#This Row],[Mínimo]],"Estoque em Nivel Minimo")))</f>
        <v>Estoque Conforme</v>
      </c>
      <c r="AC277" s="85"/>
      <c r="AD277" s="82"/>
      <c r="AE277" s="82"/>
      <c r="AF277" s="82"/>
    </row>
    <row r="278" spans="1:32" ht="15" customHeight="1" x14ac:dyDescent="0.25">
      <c r="A278" s="45">
        <v>944</v>
      </c>
      <c r="B278" s="47"/>
      <c r="C278" s="46"/>
      <c r="D278" s="45" t="s">
        <v>1799</v>
      </c>
      <c r="E278" s="46" t="s">
        <v>7</v>
      </c>
      <c r="F278" s="87"/>
      <c r="G278" s="82"/>
      <c r="H278" s="82"/>
      <c r="I278" s="209" t="s">
        <v>7823</v>
      </c>
      <c r="J278" s="82"/>
      <c r="K278" s="82"/>
      <c r="L278" s="82"/>
      <c r="M278" s="82"/>
      <c r="N278" s="82"/>
      <c r="O278" s="87" t="s">
        <v>6363</v>
      </c>
      <c r="P278" s="82" t="s">
        <v>726</v>
      </c>
      <c r="Q278" s="83">
        <f>VLOOKUP(TAB_ESTOQUE[[#This Row],[Codigo]],TAB_ENTRADA[[Cod_2_Entrada]:[TOTAL_ENTRADA]],5,FALSE)-VLOOKUP(TAB_ESTOQUE[[#This Row],[Codigo]],TAB_SAIDA[[COD_2_SAIDA]:[TOTAL_SAIDA]],5,FALSE)</f>
        <v>3</v>
      </c>
      <c r="R278" s="87"/>
      <c r="S278" s="87"/>
      <c r="T278" s="90"/>
      <c r="U278" s="91">
        <f>TAB_ESTOQUE[[#This Row],[Valor Unitario Estimado]]*TAB_ESTOQUE[[#This Row],[Estoque]]</f>
        <v>0</v>
      </c>
      <c r="V278" s="91"/>
      <c r="W278" s="85"/>
      <c r="X278" s="85"/>
      <c r="Y278" s="85"/>
      <c r="Z278" s="85"/>
      <c r="AA278" s="85"/>
      <c r="AB278" s="85" t="str">
        <f>IF(TAB_ESTOQUE[[#This Row],[Estoque]]=0,"Estoque Não Conforme",IF(TAB_ESTOQUE[[#This Row],[Estoque]]&gt;=TAB_ESTOQUE[[#This Row],[Mínimo]],"Estoque Conforme",IF(TAB_ESTOQUE[[#This Row],[Estoque]]&lt;TAB_ESTOQUE[[#This Row],[Mínimo]],"Estoque em Nivel Minimo")))</f>
        <v>Estoque Conforme</v>
      </c>
      <c r="AC278" s="85"/>
      <c r="AD278" s="82"/>
      <c r="AE278" s="82"/>
      <c r="AF278" s="82"/>
    </row>
    <row r="279" spans="1:32" ht="15" customHeight="1" x14ac:dyDescent="0.25">
      <c r="A279" s="45">
        <v>943</v>
      </c>
      <c r="B279" s="47"/>
      <c r="C279" s="46"/>
      <c r="D279" s="45" t="s">
        <v>1801</v>
      </c>
      <c r="E279" s="46" t="s">
        <v>7</v>
      </c>
      <c r="F279" s="87"/>
      <c r="G279" s="82"/>
      <c r="H279" s="82"/>
      <c r="I279" s="209" t="s">
        <v>2809</v>
      </c>
      <c r="J279" s="82"/>
      <c r="K279" s="82"/>
      <c r="L279" s="82"/>
      <c r="M279" s="82"/>
      <c r="N279" s="82"/>
      <c r="O279" s="87" t="s">
        <v>6363</v>
      </c>
      <c r="P279" s="82" t="s">
        <v>725</v>
      </c>
      <c r="Q279" s="83">
        <f>VLOOKUP(TAB_ESTOQUE[[#This Row],[Codigo]],TAB_ENTRADA[[Cod_2_Entrada]:[TOTAL_ENTRADA]],5,FALSE)-VLOOKUP(TAB_ESTOQUE[[#This Row],[Codigo]],TAB_SAIDA[[COD_2_SAIDA]:[TOTAL_SAIDA]],5,FALSE)</f>
        <v>3</v>
      </c>
      <c r="R279" s="87"/>
      <c r="S279" s="87"/>
      <c r="T279" s="90"/>
      <c r="U279" s="91">
        <f>TAB_ESTOQUE[[#This Row],[Valor Unitario Estimado]]*TAB_ESTOQUE[[#This Row],[Estoque]]</f>
        <v>0</v>
      </c>
      <c r="V279" s="91"/>
      <c r="W279" s="85"/>
      <c r="X279" s="85"/>
      <c r="Y279" s="85"/>
      <c r="Z279" s="85"/>
      <c r="AA279" s="85"/>
      <c r="AB279" s="85" t="str">
        <f>IF(TAB_ESTOQUE[[#This Row],[Estoque]]=0,"Estoque Não Conforme",IF(TAB_ESTOQUE[[#This Row],[Estoque]]&gt;=TAB_ESTOQUE[[#This Row],[Mínimo]],"Estoque Conforme",IF(TAB_ESTOQUE[[#This Row],[Estoque]]&lt;TAB_ESTOQUE[[#This Row],[Mínimo]],"Estoque em Nivel Minimo")))</f>
        <v>Estoque Conforme</v>
      </c>
      <c r="AC279" s="85"/>
      <c r="AD279" s="82"/>
      <c r="AE279" s="82"/>
      <c r="AF279" s="82"/>
    </row>
    <row r="280" spans="1:32" ht="15" customHeight="1" x14ac:dyDescent="0.25">
      <c r="A280" s="45" t="s">
        <v>1159</v>
      </c>
      <c r="B280" s="47"/>
      <c r="C280" s="46"/>
      <c r="D280" s="45" t="s">
        <v>2630</v>
      </c>
      <c r="E280" s="46"/>
      <c r="F280" s="87"/>
      <c r="G280" s="82"/>
      <c r="H280" s="82"/>
      <c r="I280" s="82" t="s">
        <v>7809</v>
      </c>
      <c r="J280" s="82"/>
      <c r="K280" s="82"/>
      <c r="L280" s="82"/>
      <c r="M280" s="82"/>
      <c r="N280" s="82"/>
      <c r="O280" s="87" t="s">
        <v>6363</v>
      </c>
      <c r="P280" s="82" t="s">
        <v>1246</v>
      </c>
      <c r="Q280" s="83">
        <f>VLOOKUP(TAB_ESTOQUE[[#This Row],[Codigo]],TAB_ENTRADA[[Cod_2_Entrada]:[TOTAL_ENTRADA]],5,FALSE)-VLOOKUP(TAB_ESTOQUE[[#This Row],[Codigo]],TAB_SAIDA[[COD_2_SAIDA]:[TOTAL_SAIDA]],5,FALSE)</f>
        <v>3</v>
      </c>
      <c r="R280" s="87"/>
      <c r="S280" s="87"/>
      <c r="T280" s="90"/>
      <c r="U280" s="91">
        <f>TAB_ESTOQUE[[#This Row],[Valor Unitario Estimado]]*TAB_ESTOQUE[[#This Row],[Estoque]]</f>
        <v>0</v>
      </c>
      <c r="V280" s="91"/>
      <c r="W280" s="85"/>
      <c r="X280" s="85"/>
      <c r="Y280" s="85"/>
      <c r="Z280" s="85"/>
      <c r="AA280" s="85"/>
      <c r="AB280" s="85" t="str">
        <f>IF(TAB_ESTOQUE[[#This Row],[Estoque]]=0,"Estoque Não Conforme",IF(TAB_ESTOQUE[[#This Row],[Estoque]]&gt;=TAB_ESTOQUE[[#This Row],[Mínimo]],"Estoque Conforme",IF(TAB_ESTOQUE[[#This Row],[Estoque]]&lt;TAB_ESTOQUE[[#This Row],[Mínimo]],"Estoque em Nivel Minimo")))</f>
        <v>Estoque Conforme</v>
      </c>
      <c r="AC280" s="85"/>
      <c r="AD280" s="82"/>
      <c r="AE280" s="82"/>
      <c r="AF280" s="82"/>
    </row>
    <row r="281" spans="1:32" ht="15" customHeight="1" x14ac:dyDescent="0.25">
      <c r="A281" s="106" t="s">
        <v>1159</v>
      </c>
      <c r="B281" s="106"/>
      <c r="C281" s="116"/>
      <c r="D281" s="106" t="s">
        <v>2631</v>
      </c>
      <c r="E281" s="116"/>
      <c r="F281" s="118"/>
      <c r="G281" s="95"/>
      <c r="H281" s="95"/>
      <c r="I281" s="95" t="s">
        <v>7842</v>
      </c>
      <c r="J281" s="95"/>
      <c r="K281" s="95"/>
      <c r="L281" s="95"/>
      <c r="M281" s="95"/>
      <c r="N281" s="95"/>
      <c r="O281" s="118" t="s">
        <v>6363</v>
      </c>
      <c r="P281" s="95" t="s">
        <v>1247</v>
      </c>
      <c r="Q281" s="154">
        <f>VLOOKUP(TAB_ESTOQUE[[#This Row],[Codigo]],TAB_ENTRADA[[Cod_2_Entrada]:[TOTAL_ENTRADA]],5,FALSE)-VLOOKUP(TAB_ESTOQUE[[#This Row],[Codigo]],TAB_SAIDA[[COD_2_SAIDA]:[TOTAL_SAIDA]],5,FALSE)</f>
        <v>6</v>
      </c>
      <c r="R281" s="118"/>
      <c r="S281" s="118"/>
      <c r="T281" s="119"/>
      <c r="U281" s="112">
        <f>TAB_ESTOQUE[[#This Row],[Valor Unitario Estimado]]*TAB_ESTOQUE[[#This Row],[Estoque]]</f>
        <v>0</v>
      </c>
      <c r="V281" s="112"/>
      <c r="W281" s="120"/>
      <c r="X281" s="120"/>
      <c r="Y281" s="120"/>
      <c r="Z281" s="120"/>
      <c r="AA281" s="120"/>
      <c r="AB281" s="120" t="str">
        <f>IF(TAB_ESTOQUE[[#This Row],[Estoque]]=0,"Estoque Não Conforme",IF(TAB_ESTOQUE[[#This Row],[Estoque]]&gt;=TAB_ESTOQUE[[#This Row],[Mínimo]],"Estoque Conforme",IF(TAB_ESTOQUE[[#This Row],[Estoque]]&lt;TAB_ESTOQUE[[#This Row],[Mínimo]],"Estoque em Nivel Minimo")))</f>
        <v>Estoque Conforme</v>
      </c>
      <c r="AC281" s="120"/>
      <c r="AD281" s="95"/>
      <c r="AE281" s="82"/>
      <c r="AF281" s="82"/>
    </row>
    <row r="282" spans="1:32" ht="15" customHeight="1" x14ac:dyDescent="0.25">
      <c r="A282" s="45" t="s">
        <v>1159</v>
      </c>
      <c r="B282" s="47"/>
      <c r="C282" s="46" t="s">
        <v>2842</v>
      </c>
      <c r="D282" s="45" t="s">
        <v>2640</v>
      </c>
      <c r="E282" s="46"/>
      <c r="F282" s="87"/>
      <c r="G282" s="82"/>
      <c r="H282" s="82"/>
      <c r="I282" s="82" t="s">
        <v>7833</v>
      </c>
      <c r="J282" s="82"/>
      <c r="K282" s="82"/>
      <c r="L282" s="82"/>
      <c r="M282" s="82"/>
      <c r="N282" s="82"/>
      <c r="O282" s="87" t="s">
        <v>6363</v>
      </c>
      <c r="P282" s="94" t="s">
        <v>1167</v>
      </c>
      <c r="Q282" s="83">
        <f>VLOOKUP(TAB_ESTOQUE[[#This Row],[Codigo]],TAB_ENTRADA[[Cod_2_Entrada]:[TOTAL_ENTRADA]],5,FALSE)-VLOOKUP(TAB_ESTOQUE[[#This Row],[Codigo]],TAB_SAIDA[[COD_2_SAIDA]:[TOTAL_SAIDA]],5,FALSE)</f>
        <v>0</v>
      </c>
      <c r="R282" s="87"/>
      <c r="S282" s="87"/>
      <c r="T282" s="90"/>
      <c r="U282" s="91">
        <f>TAB_ESTOQUE[[#This Row],[Valor Unitario Estimado]]*TAB_ESTOQUE[[#This Row],[Estoque]]</f>
        <v>0</v>
      </c>
      <c r="V282" s="91"/>
      <c r="W282" s="85"/>
      <c r="X282" s="85"/>
      <c r="Y282" s="85"/>
      <c r="Z282" s="85"/>
      <c r="AA282" s="85"/>
      <c r="AB282" s="85" t="str">
        <f>IF(TAB_ESTOQUE[[#This Row],[Estoque]]=0,"Estoque Não Conforme",IF(TAB_ESTOQUE[[#This Row],[Estoque]]&gt;=TAB_ESTOQUE[[#This Row],[Mínimo]],"Estoque Conforme",IF(TAB_ESTOQUE[[#This Row],[Estoque]]&lt;TAB_ESTOQUE[[#This Row],[Mínimo]],"Estoque em Nivel Minimo")))</f>
        <v>Estoque Não Conforme</v>
      </c>
      <c r="AC282" s="85"/>
      <c r="AD282" s="82"/>
      <c r="AE282" s="82"/>
      <c r="AF282" s="82"/>
    </row>
    <row r="283" spans="1:32" ht="15" customHeight="1" x14ac:dyDescent="0.25">
      <c r="B283" s="47"/>
      <c r="C283" s="46" t="s">
        <v>2833</v>
      </c>
      <c r="D283" s="45" t="s">
        <v>2769</v>
      </c>
      <c r="E283" s="46"/>
      <c r="F283" s="87"/>
      <c r="G283" s="82"/>
      <c r="H283" s="82"/>
      <c r="I283" s="82" t="s">
        <v>7836</v>
      </c>
      <c r="J283" s="82"/>
      <c r="K283" s="82"/>
      <c r="L283" s="82"/>
      <c r="M283" s="82"/>
      <c r="N283" s="82"/>
      <c r="O283" s="87" t="s">
        <v>6363</v>
      </c>
      <c r="P283" s="82" t="s">
        <v>2845</v>
      </c>
      <c r="Q283" s="83">
        <f>VLOOKUP(TAB_ESTOQUE[[#This Row],[Codigo]],TAB_ENTRADA[[Cod_2_Entrada]:[TOTAL_ENTRADA]],5,FALSE)-VLOOKUP(TAB_ESTOQUE[[#This Row],[Codigo]],TAB_SAIDA[[COD_2_SAIDA]:[TOTAL_SAIDA]],5,FALSE)</f>
        <v>1</v>
      </c>
      <c r="R283" s="87"/>
      <c r="S283" s="87"/>
      <c r="T283" s="90"/>
      <c r="U283" s="91">
        <f>TAB_ESTOQUE[[#This Row],[Valor Unitario Estimado]]*TAB_ESTOQUE[[#This Row],[Estoque]]</f>
        <v>0</v>
      </c>
      <c r="V283" s="91"/>
      <c r="W283" s="85"/>
      <c r="X283" s="85"/>
      <c r="Y283" s="85"/>
      <c r="Z283" s="85"/>
      <c r="AA283" s="85"/>
      <c r="AB283" s="85" t="str">
        <f>IF(TAB_ESTOQUE[[#This Row],[Estoque]]=0,"Estoque Não Conforme",IF(TAB_ESTOQUE[[#This Row],[Estoque]]&gt;=TAB_ESTOQUE[[#This Row],[Mínimo]],"Estoque Conforme",IF(TAB_ESTOQUE[[#This Row],[Estoque]]&lt;TAB_ESTOQUE[[#This Row],[Mínimo]],"Estoque em Nivel Minimo")))</f>
        <v>Estoque Conforme</v>
      </c>
      <c r="AC283" s="96"/>
      <c r="AD283" s="82"/>
      <c r="AE283" s="82"/>
      <c r="AF283" s="82"/>
    </row>
    <row r="284" spans="1:32" ht="15" customHeight="1" x14ac:dyDescent="0.25">
      <c r="B284" s="47"/>
      <c r="C284" s="48"/>
      <c r="D284" s="45" t="s">
        <v>6451</v>
      </c>
      <c r="E284" s="46"/>
      <c r="F284" s="87"/>
      <c r="G284" s="82"/>
      <c r="H284" s="82"/>
      <c r="I284" s="82" t="s">
        <v>7837</v>
      </c>
      <c r="J284" s="82"/>
      <c r="K284" s="82"/>
      <c r="L284" s="82"/>
      <c r="M284" s="82"/>
      <c r="N284" s="82"/>
      <c r="O284" s="87" t="s">
        <v>6363</v>
      </c>
      <c r="P284" s="82"/>
      <c r="Q284" s="83">
        <f>VLOOKUP(TAB_ESTOQUE[[#This Row],[Codigo]],TAB_ENTRADA[[Cod_2_Entrada]:[TOTAL_ENTRADA]],5,FALSE)-VLOOKUP(TAB_ESTOQUE[[#This Row],[Codigo]],TAB_SAIDA[[COD_2_SAIDA]:[TOTAL_SAIDA]],5,FALSE)</f>
        <v>0</v>
      </c>
      <c r="R284" s="87"/>
      <c r="S284" s="87"/>
      <c r="T284" s="90"/>
      <c r="U284" s="91">
        <f>TAB_ESTOQUE[[#This Row],[Valor Unitario Estimado]]*TAB_ESTOQUE[[#This Row],[Estoque]]</f>
        <v>0</v>
      </c>
      <c r="V284" s="91"/>
      <c r="W284" s="85"/>
      <c r="X284" s="85"/>
      <c r="Y284" s="85"/>
      <c r="Z284" s="85"/>
      <c r="AA284" s="85"/>
      <c r="AB284" s="85" t="str">
        <f>IF(TAB_ESTOQUE[[#This Row],[Estoque]]=0,"Estoque Não Conforme",IF(TAB_ESTOQUE[[#This Row],[Estoque]]&gt;=TAB_ESTOQUE[[#This Row],[Mínimo]],"Estoque Conforme",IF(TAB_ESTOQUE[[#This Row],[Estoque]]&lt;TAB_ESTOQUE[[#This Row],[Mínimo]],"Estoque em Nivel Minimo")))</f>
        <v>Estoque Não Conforme</v>
      </c>
      <c r="AC284" s="96"/>
      <c r="AD284" s="82"/>
      <c r="AE284" s="82"/>
      <c r="AF284" s="82"/>
    </row>
    <row r="285" spans="1:32" ht="15" customHeight="1" x14ac:dyDescent="0.25">
      <c r="B285" s="47"/>
      <c r="C285" s="48"/>
      <c r="D285" s="45" t="s">
        <v>6457</v>
      </c>
      <c r="E285" s="46"/>
      <c r="F285" s="87"/>
      <c r="G285" s="82"/>
      <c r="H285" s="82"/>
      <c r="I285" s="82" t="s">
        <v>7838</v>
      </c>
      <c r="J285" s="82"/>
      <c r="K285" s="82"/>
      <c r="L285" s="82"/>
      <c r="M285" s="82"/>
      <c r="N285" s="82"/>
      <c r="O285" s="87" t="s">
        <v>6363</v>
      </c>
      <c r="P285" s="82"/>
      <c r="Q285" s="83">
        <f>VLOOKUP(TAB_ESTOQUE[[#This Row],[Codigo]],TAB_ENTRADA[[Cod_2_Entrada]:[TOTAL_ENTRADA]],5,FALSE)-VLOOKUP(TAB_ESTOQUE[[#This Row],[Codigo]],TAB_SAIDA[[COD_2_SAIDA]:[TOTAL_SAIDA]],5,FALSE)</f>
        <v>1</v>
      </c>
      <c r="R285" s="87"/>
      <c r="S285" s="87"/>
      <c r="T285" s="90"/>
      <c r="U285" s="91">
        <f>TAB_ESTOQUE[[#This Row],[Valor Unitario Estimado]]*TAB_ESTOQUE[[#This Row],[Estoque]]</f>
        <v>0</v>
      </c>
      <c r="V285" s="91"/>
      <c r="W285" s="85"/>
      <c r="X285" s="85"/>
      <c r="Y285" s="85"/>
      <c r="Z285" s="85"/>
      <c r="AA285" s="85"/>
      <c r="AB285" s="85" t="str">
        <f>IF(TAB_ESTOQUE[[#This Row],[Estoque]]=0,"Estoque Não Conforme",IF(TAB_ESTOQUE[[#This Row],[Estoque]]&gt;=TAB_ESTOQUE[[#This Row],[Mínimo]],"Estoque Conforme",IF(TAB_ESTOQUE[[#This Row],[Estoque]]&lt;TAB_ESTOQUE[[#This Row],[Mínimo]],"Estoque em Nivel Minimo")))</f>
        <v>Estoque Conforme</v>
      </c>
      <c r="AC285" s="96"/>
      <c r="AD285" s="82"/>
      <c r="AE285" s="82"/>
      <c r="AF285" s="82"/>
    </row>
    <row r="286" spans="1:32" ht="15" customHeight="1" x14ac:dyDescent="0.25">
      <c r="A286" s="45">
        <v>928</v>
      </c>
      <c r="B286" s="47"/>
      <c r="C286" s="46" t="s">
        <v>2833</v>
      </c>
      <c r="D286" s="45" t="s">
        <v>1786</v>
      </c>
      <c r="E286" s="46" t="s">
        <v>7265</v>
      </c>
      <c r="F286" s="87"/>
      <c r="G286" s="82"/>
      <c r="H286" s="82"/>
      <c r="I286" s="170" t="s">
        <v>7985</v>
      </c>
      <c r="J286" s="82"/>
      <c r="K286" s="82"/>
      <c r="L286" s="82"/>
      <c r="M286" s="82"/>
      <c r="N286" s="82"/>
      <c r="O286" s="87" t="s">
        <v>6323</v>
      </c>
      <c r="P286" s="82" t="s">
        <v>710</v>
      </c>
      <c r="Q286" s="83">
        <f>VLOOKUP(TAB_ESTOQUE[[#This Row],[Codigo]],TAB_ENTRADA[[Cod_2_Entrada]:[TOTAL_ENTRADA]],5,FALSE)-VLOOKUP(TAB_ESTOQUE[[#This Row],[Codigo]],TAB_SAIDA[[COD_2_SAIDA]:[TOTAL_SAIDA]],5,FALSE)</f>
        <v>2</v>
      </c>
      <c r="R286" s="87"/>
      <c r="S286" s="87"/>
      <c r="T286" s="90">
        <v>96.99</v>
      </c>
      <c r="U286" s="91">
        <f>TAB_ESTOQUE[[#This Row],[Valor Unitario Estimado]]*TAB_ESTOQUE[[#This Row],[Estoque]]</f>
        <v>193.98</v>
      </c>
      <c r="V286" s="91"/>
      <c r="W286" s="85"/>
      <c r="X286" s="85"/>
      <c r="Y286" s="85"/>
      <c r="Z286" s="85"/>
      <c r="AA286" s="85"/>
      <c r="AB286" s="85" t="str">
        <f>IF(TAB_ESTOQUE[[#This Row],[Estoque]]=0,"Estoque Não Conforme",IF(TAB_ESTOQUE[[#This Row],[Estoque]]&gt;=TAB_ESTOQUE[[#This Row],[Mínimo]],"Estoque Conforme",IF(TAB_ESTOQUE[[#This Row],[Estoque]]&lt;TAB_ESTOQUE[[#This Row],[Mínimo]],"Estoque em Nivel Minimo")))</f>
        <v>Estoque Conforme</v>
      </c>
      <c r="AC286" s="85"/>
      <c r="AD286" s="82"/>
      <c r="AE286" s="82"/>
      <c r="AF286" s="82"/>
    </row>
    <row r="287" spans="1:32" ht="18" customHeight="1" x14ac:dyDescent="0.25">
      <c r="A287" s="45">
        <v>1370</v>
      </c>
      <c r="B287" s="47"/>
      <c r="C287" s="46" t="s">
        <v>2833</v>
      </c>
      <c r="D287" s="45" t="s">
        <v>1787</v>
      </c>
      <c r="E287" s="46" t="s">
        <v>7265</v>
      </c>
      <c r="F287" s="87"/>
      <c r="G287" s="82"/>
      <c r="H287" s="82"/>
      <c r="I287" s="204" t="s">
        <v>7984</v>
      </c>
      <c r="J287" s="82"/>
      <c r="K287" s="82"/>
      <c r="L287" s="82"/>
      <c r="M287" s="82"/>
      <c r="N287" s="82"/>
      <c r="O287" s="87" t="s">
        <v>6323</v>
      </c>
      <c r="P287" s="82" t="s">
        <v>1104</v>
      </c>
      <c r="Q287" s="83">
        <f>VLOOKUP(TAB_ESTOQUE[[#This Row],[Codigo]],TAB_ENTRADA[[Cod_2_Entrada]:[TOTAL_ENTRADA]],5,FALSE)-VLOOKUP(TAB_ESTOQUE[[#This Row],[Codigo]],TAB_SAIDA[[COD_2_SAIDA]:[TOTAL_SAIDA]],5,FALSE)</f>
        <v>0</v>
      </c>
      <c r="R287" s="87"/>
      <c r="S287" s="87"/>
      <c r="T287" s="90">
        <v>101.9</v>
      </c>
      <c r="U287" s="91">
        <f>TAB_ESTOQUE[[#This Row],[Valor Unitario Estimado]]*TAB_ESTOQUE[[#This Row],[Estoque]]</f>
        <v>0</v>
      </c>
      <c r="V287" s="91"/>
      <c r="W287" s="85"/>
      <c r="X287" s="85"/>
      <c r="Y287" s="85"/>
      <c r="Z287" s="85"/>
      <c r="AA287" s="85"/>
      <c r="AB287" s="85" t="str">
        <f>IF(TAB_ESTOQUE[[#This Row],[Estoque]]=0,"Estoque Não Conforme",IF(TAB_ESTOQUE[[#This Row],[Estoque]]&gt;=TAB_ESTOQUE[[#This Row],[Mínimo]],"Estoque Conforme",IF(TAB_ESTOQUE[[#This Row],[Estoque]]&lt;TAB_ESTOQUE[[#This Row],[Mínimo]],"Estoque em Nivel Minimo")))</f>
        <v>Estoque Não Conforme</v>
      </c>
      <c r="AC287" s="85"/>
      <c r="AD287" s="82"/>
      <c r="AE287" s="82"/>
      <c r="AF287" s="82"/>
    </row>
    <row r="288" spans="1:32" ht="15" customHeight="1" x14ac:dyDescent="0.25">
      <c r="A288" s="45">
        <v>950</v>
      </c>
      <c r="B288" s="47"/>
      <c r="C288" s="46" t="s">
        <v>2833</v>
      </c>
      <c r="D288" s="45" t="s">
        <v>1802</v>
      </c>
      <c r="E288" s="46" t="s">
        <v>7</v>
      </c>
      <c r="F288" s="87"/>
      <c r="G288" s="82"/>
      <c r="H288" s="82"/>
      <c r="I288" s="211" t="s">
        <v>7824</v>
      </c>
      <c r="J288" s="82"/>
      <c r="K288" s="82"/>
      <c r="L288" s="82"/>
      <c r="M288" s="82"/>
      <c r="N288" s="82"/>
      <c r="O288" s="87" t="s">
        <v>6323</v>
      </c>
      <c r="P288" s="82" t="s">
        <v>733</v>
      </c>
      <c r="Q288" s="83">
        <f>VLOOKUP(TAB_ESTOQUE[[#This Row],[Codigo]],TAB_ENTRADA[[Cod_2_Entrada]:[TOTAL_ENTRADA]],5,FALSE)-VLOOKUP(TAB_ESTOQUE[[#This Row],[Codigo]],TAB_SAIDA[[COD_2_SAIDA]:[TOTAL_SAIDA]],5,FALSE)</f>
        <v>2</v>
      </c>
      <c r="R288" s="87"/>
      <c r="S288" s="87"/>
      <c r="T288" s="90"/>
      <c r="U288" s="91">
        <f>TAB_ESTOQUE[[#This Row],[Valor Unitario Estimado]]*TAB_ESTOQUE[[#This Row],[Estoque]]</f>
        <v>0</v>
      </c>
      <c r="V288" s="91"/>
      <c r="W288" s="85"/>
      <c r="X288" s="85"/>
      <c r="Y288" s="85"/>
      <c r="Z288" s="85"/>
      <c r="AA288" s="85"/>
      <c r="AB288" s="85" t="str">
        <f>IF(TAB_ESTOQUE[[#This Row],[Estoque]]=0,"Estoque Não Conforme",IF(TAB_ESTOQUE[[#This Row],[Estoque]]&gt;=TAB_ESTOQUE[[#This Row],[Mínimo]],"Estoque Conforme",IF(TAB_ESTOQUE[[#This Row],[Estoque]]&lt;TAB_ESTOQUE[[#This Row],[Mínimo]],"Estoque em Nivel Minimo")))</f>
        <v>Estoque Conforme</v>
      </c>
      <c r="AC288" s="85"/>
      <c r="AD288" s="82"/>
      <c r="AE288" s="82"/>
      <c r="AF288" s="82"/>
    </row>
    <row r="289" spans="1:32" ht="15" customHeight="1" x14ac:dyDescent="0.25">
      <c r="A289" s="45">
        <v>942</v>
      </c>
      <c r="B289" s="47"/>
      <c r="C289" s="46"/>
      <c r="D289" s="45" t="s">
        <v>1803</v>
      </c>
      <c r="E289" s="46" t="s">
        <v>7</v>
      </c>
      <c r="F289" s="87"/>
      <c r="G289" s="82"/>
      <c r="H289" s="82"/>
      <c r="I289" s="209" t="s">
        <v>6366</v>
      </c>
      <c r="J289" s="82"/>
      <c r="K289" s="82"/>
      <c r="L289" s="82"/>
      <c r="M289" s="82"/>
      <c r="N289" s="82"/>
      <c r="O289" s="87" t="s">
        <v>6323</v>
      </c>
      <c r="P289" s="82" t="s">
        <v>724</v>
      </c>
      <c r="Q289" s="83">
        <f>VLOOKUP(TAB_ESTOQUE[[#This Row],[Codigo]],TAB_ENTRADA[[Cod_2_Entrada]:[TOTAL_ENTRADA]],5,FALSE)-VLOOKUP(TAB_ESTOQUE[[#This Row],[Codigo]],TAB_SAIDA[[COD_2_SAIDA]:[TOTAL_SAIDA]],5,FALSE)</f>
        <v>0</v>
      </c>
      <c r="R289" s="87"/>
      <c r="S289" s="87"/>
      <c r="T289" s="90">
        <v>390</v>
      </c>
      <c r="U289" s="91">
        <f>TAB_ESTOQUE[[#This Row],[Valor Unitario Estimado]]*TAB_ESTOQUE[[#This Row],[Estoque]]</f>
        <v>0</v>
      </c>
      <c r="V289" s="91"/>
      <c r="W289" s="85"/>
      <c r="X289" s="85"/>
      <c r="Y289" s="85"/>
      <c r="Z289" s="85"/>
      <c r="AA289" s="85"/>
      <c r="AB289" s="85" t="str">
        <f>IF(TAB_ESTOQUE[[#This Row],[Estoque]]=0,"Estoque Não Conforme",IF(TAB_ESTOQUE[[#This Row],[Estoque]]&gt;=TAB_ESTOQUE[[#This Row],[Mínimo]],"Estoque Conforme",IF(TAB_ESTOQUE[[#This Row],[Estoque]]&lt;TAB_ESTOQUE[[#This Row],[Mínimo]],"Estoque em Nivel Minimo")))</f>
        <v>Estoque Não Conforme</v>
      </c>
      <c r="AC289" s="85"/>
      <c r="AD289" s="82"/>
      <c r="AE289" s="82"/>
      <c r="AF289" s="82"/>
    </row>
    <row r="290" spans="1:32" ht="15" customHeight="1" x14ac:dyDescent="0.25">
      <c r="A290" s="45">
        <v>951</v>
      </c>
      <c r="B290" s="47"/>
      <c r="C290" s="46"/>
      <c r="D290" s="45" t="s">
        <v>1804</v>
      </c>
      <c r="E290" s="46" t="s">
        <v>7</v>
      </c>
      <c r="F290" s="87"/>
      <c r="G290" s="82"/>
      <c r="H290" s="82"/>
      <c r="I290" s="209" t="s">
        <v>7825</v>
      </c>
      <c r="J290" s="82"/>
      <c r="K290" s="82"/>
      <c r="L290" s="82"/>
      <c r="M290" s="82"/>
      <c r="N290" s="82"/>
      <c r="O290" s="87" t="s">
        <v>6323</v>
      </c>
      <c r="P290" s="82" t="s">
        <v>734</v>
      </c>
      <c r="Q290" s="83">
        <f>VLOOKUP(TAB_ESTOQUE[[#This Row],[Codigo]],TAB_ENTRADA[[Cod_2_Entrada]:[TOTAL_ENTRADA]],5,FALSE)-VLOOKUP(TAB_ESTOQUE[[#This Row],[Codigo]],TAB_SAIDA[[COD_2_SAIDA]:[TOTAL_SAIDA]],5,FALSE)</f>
        <v>0</v>
      </c>
      <c r="R290" s="87"/>
      <c r="S290" s="87"/>
      <c r="T290" s="90">
        <v>152</v>
      </c>
      <c r="U290" s="91">
        <f>TAB_ESTOQUE[[#This Row],[Valor Unitario Estimado]]*TAB_ESTOQUE[[#This Row],[Estoque]]</f>
        <v>0</v>
      </c>
      <c r="V290" s="91"/>
      <c r="W290" s="85"/>
      <c r="X290" s="85"/>
      <c r="Y290" s="85"/>
      <c r="Z290" s="85"/>
      <c r="AA290" s="85"/>
      <c r="AB290" s="85" t="str">
        <f>IF(TAB_ESTOQUE[[#This Row],[Estoque]]=0,"Estoque Não Conforme",IF(TAB_ESTOQUE[[#This Row],[Estoque]]&gt;=TAB_ESTOQUE[[#This Row],[Mínimo]],"Estoque Conforme",IF(TAB_ESTOQUE[[#This Row],[Estoque]]&lt;TAB_ESTOQUE[[#This Row],[Mínimo]],"Estoque em Nivel Minimo")))</f>
        <v>Estoque Não Conforme</v>
      </c>
      <c r="AC290" s="85"/>
      <c r="AD290" s="82"/>
      <c r="AE290" s="82"/>
      <c r="AF290" s="82"/>
    </row>
    <row r="291" spans="1:32" ht="15" customHeight="1" x14ac:dyDescent="0.25">
      <c r="A291" s="45">
        <v>941</v>
      </c>
      <c r="B291" s="47"/>
      <c r="C291" s="46" t="s">
        <v>2833</v>
      </c>
      <c r="D291" s="45" t="s">
        <v>1805</v>
      </c>
      <c r="E291" s="46" t="s">
        <v>7</v>
      </c>
      <c r="F291" s="87"/>
      <c r="G291" s="82"/>
      <c r="H291" s="82"/>
      <c r="I291" s="208" t="s">
        <v>7826</v>
      </c>
      <c r="J291" s="82"/>
      <c r="K291" s="82"/>
      <c r="L291" s="82"/>
      <c r="M291" s="82"/>
      <c r="N291" s="82"/>
      <c r="O291" s="87" t="s">
        <v>6323</v>
      </c>
      <c r="P291" s="82" t="s">
        <v>723</v>
      </c>
      <c r="Q291" s="83">
        <f>VLOOKUP(TAB_ESTOQUE[[#This Row],[Codigo]],TAB_ENTRADA[[Cod_2_Entrada]:[TOTAL_ENTRADA]],5,FALSE)-VLOOKUP(TAB_ESTOQUE[[#This Row],[Codigo]],TAB_SAIDA[[COD_2_SAIDA]:[TOTAL_SAIDA]],5,FALSE)</f>
        <v>2</v>
      </c>
      <c r="R291" s="87"/>
      <c r="S291" s="87"/>
      <c r="T291" s="90">
        <v>235</v>
      </c>
      <c r="U291" s="91">
        <f>TAB_ESTOQUE[[#This Row],[Valor Unitario Estimado]]*TAB_ESTOQUE[[#This Row],[Estoque]]</f>
        <v>470</v>
      </c>
      <c r="V291" s="91"/>
      <c r="W291" s="85"/>
      <c r="X291" s="85"/>
      <c r="Y291" s="85"/>
      <c r="Z291" s="85"/>
      <c r="AA291" s="85"/>
      <c r="AB291" s="85" t="str">
        <f>IF(TAB_ESTOQUE[[#This Row],[Estoque]]=0,"Estoque Não Conforme",IF(TAB_ESTOQUE[[#This Row],[Estoque]]&gt;=TAB_ESTOQUE[[#This Row],[Mínimo]],"Estoque Conforme",IF(TAB_ESTOQUE[[#This Row],[Estoque]]&lt;TAB_ESTOQUE[[#This Row],[Mínimo]],"Estoque em Nivel Minimo")))</f>
        <v>Estoque Conforme</v>
      </c>
      <c r="AC291" s="85"/>
      <c r="AD291" s="82"/>
      <c r="AE291" s="82"/>
      <c r="AF291" s="82"/>
    </row>
    <row r="292" spans="1:32" ht="15" customHeight="1" x14ac:dyDescent="0.25">
      <c r="A292" s="113">
        <v>1107</v>
      </c>
      <c r="B292" s="113"/>
      <c r="C292" s="114"/>
      <c r="D292" s="106" t="s">
        <v>2595</v>
      </c>
      <c r="E292" s="116"/>
      <c r="F292" s="118"/>
      <c r="G292" s="95"/>
      <c r="H292" s="95"/>
      <c r="I292" s="95" t="s">
        <v>7841</v>
      </c>
      <c r="J292" s="115"/>
      <c r="K292" s="95"/>
      <c r="L292" s="95"/>
      <c r="M292" s="95"/>
      <c r="N292" s="95"/>
      <c r="O292" s="118" t="s">
        <v>6323</v>
      </c>
      <c r="P292" s="95" t="s">
        <v>840</v>
      </c>
      <c r="Q292" s="154">
        <f>VLOOKUP(TAB_ESTOQUE[[#This Row],[Codigo]],TAB_ENTRADA[[Cod_2_Entrada]:[TOTAL_ENTRADA]],5,FALSE)-VLOOKUP(TAB_ESTOQUE[[#This Row],[Codigo]],TAB_SAIDA[[COD_2_SAIDA]:[TOTAL_SAIDA]],5,FALSE)</f>
        <v>1</v>
      </c>
      <c r="R292" s="118"/>
      <c r="S292" s="118"/>
      <c r="T292" s="119"/>
      <c r="U292" s="112">
        <f>TAB_ESTOQUE[[#This Row],[Valor Unitario Estimado]]*TAB_ESTOQUE[[#This Row],[Estoque]]</f>
        <v>0</v>
      </c>
      <c r="V292" s="112"/>
      <c r="W292" s="120"/>
      <c r="X292" s="120"/>
      <c r="Y292" s="120"/>
      <c r="Z292" s="120"/>
      <c r="AA292" s="120"/>
      <c r="AB292" s="120" t="str">
        <f>IF(TAB_ESTOQUE[[#This Row],[Estoque]]=0,"Estoque Não Conforme",IF(TAB_ESTOQUE[[#This Row],[Estoque]]&gt;=TAB_ESTOQUE[[#This Row],[Mínimo]],"Estoque Conforme",IF(TAB_ESTOQUE[[#This Row],[Estoque]]&lt;TAB_ESTOQUE[[#This Row],[Mínimo]],"Estoque em Nivel Minimo")))</f>
        <v>Estoque Conforme</v>
      </c>
      <c r="AC292" s="120"/>
      <c r="AD292" s="95"/>
      <c r="AE292" s="82"/>
      <c r="AF292" s="82"/>
    </row>
    <row r="293" spans="1:32" ht="15" customHeight="1" x14ac:dyDescent="0.25">
      <c r="B293" s="47"/>
      <c r="C293" s="48"/>
      <c r="D293" s="45" t="s">
        <v>6463</v>
      </c>
      <c r="E293" s="46"/>
      <c r="F293" s="87"/>
      <c r="G293" s="82"/>
      <c r="H293" s="82"/>
      <c r="I293" s="82" t="s">
        <v>7839</v>
      </c>
      <c r="J293" s="82"/>
      <c r="K293" s="82"/>
      <c r="L293" s="82"/>
      <c r="M293" s="82"/>
      <c r="N293" s="82"/>
      <c r="O293" s="87" t="s">
        <v>6323</v>
      </c>
      <c r="P293" s="82"/>
      <c r="Q293" s="83">
        <f>VLOOKUP(TAB_ESTOQUE[[#This Row],[Codigo]],TAB_ENTRADA[[Cod_2_Entrada]:[TOTAL_ENTRADA]],5,FALSE)-VLOOKUP(TAB_ESTOQUE[[#This Row],[Codigo]],TAB_SAIDA[[COD_2_SAIDA]:[TOTAL_SAIDA]],5,FALSE)</f>
        <v>2</v>
      </c>
      <c r="R293" s="87"/>
      <c r="S293" s="87"/>
      <c r="T293" s="90"/>
      <c r="U293" s="91">
        <f>TAB_ESTOQUE[[#This Row],[Valor Unitario Estimado]]*TAB_ESTOQUE[[#This Row],[Estoque]]</f>
        <v>0</v>
      </c>
      <c r="V293" s="91"/>
      <c r="W293" s="85"/>
      <c r="X293" s="85"/>
      <c r="Y293" s="85"/>
      <c r="Z293" s="85"/>
      <c r="AA293" s="85"/>
      <c r="AB293" s="85" t="str">
        <f>IF(TAB_ESTOQUE[[#This Row],[Estoque]]=0,"Estoque Não Conforme",IF(TAB_ESTOQUE[[#This Row],[Estoque]]&gt;=TAB_ESTOQUE[[#This Row],[Mínimo]],"Estoque Conforme",IF(TAB_ESTOQUE[[#This Row],[Estoque]]&lt;TAB_ESTOQUE[[#This Row],[Mínimo]],"Estoque em Nivel Minimo")))</f>
        <v>Estoque Conforme</v>
      </c>
      <c r="AC293" s="96"/>
      <c r="AD293" s="82"/>
      <c r="AE293" s="82"/>
      <c r="AF293" s="82"/>
    </row>
    <row r="294" spans="1:32" ht="15" customHeight="1" x14ac:dyDescent="0.25">
      <c r="B294" s="47"/>
      <c r="C294" s="48"/>
      <c r="D294" s="45" t="s">
        <v>6477</v>
      </c>
      <c r="E294" s="46"/>
      <c r="F294" s="87"/>
      <c r="G294" s="82"/>
      <c r="H294" s="82"/>
      <c r="I294" s="82" t="s">
        <v>7840</v>
      </c>
      <c r="J294" s="82"/>
      <c r="K294" s="82"/>
      <c r="L294" s="82"/>
      <c r="M294" s="82"/>
      <c r="N294" s="82"/>
      <c r="O294" s="87" t="s">
        <v>6323</v>
      </c>
      <c r="P294" s="82"/>
      <c r="Q294" s="83">
        <f>VLOOKUP(TAB_ESTOQUE[[#This Row],[Codigo]],TAB_ENTRADA[[Cod_2_Entrada]:[TOTAL_ENTRADA]],5,FALSE)-VLOOKUP(TAB_ESTOQUE[[#This Row],[Codigo]],TAB_SAIDA[[COD_2_SAIDA]:[TOTAL_SAIDA]],5,FALSE)</f>
        <v>4</v>
      </c>
      <c r="R294" s="87"/>
      <c r="S294" s="87"/>
      <c r="T294" s="90"/>
      <c r="U294" s="91">
        <f>TAB_ESTOQUE[[#This Row],[Valor Unitario Estimado]]*TAB_ESTOQUE[[#This Row],[Estoque]]</f>
        <v>0</v>
      </c>
      <c r="V294" s="91"/>
      <c r="W294" s="85"/>
      <c r="X294" s="85"/>
      <c r="Y294" s="85"/>
      <c r="Z294" s="85"/>
      <c r="AA294" s="85"/>
      <c r="AB294" s="85" t="str">
        <f>IF(TAB_ESTOQUE[[#This Row],[Estoque]]=0,"Estoque Não Conforme",IF(TAB_ESTOQUE[[#This Row],[Estoque]]&gt;=TAB_ESTOQUE[[#This Row],[Mínimo]],"Estoque Conforme",IF(TAB_ESTOQUE[[#This Row],[Estoque]]&lt;TAB_ESTOQUE[[#This Row],[Mínimo]],"Estoque em Nivel Minimo")))</f>
        <v>Estoque Conforme</v>
      </c>
      <c r="AC294" s="96"/>
      <c r="AD294" s="82"/>
      <c r="AE294" s="82"/>
      <c r="AF294" s="82"/>
    </row>
    <row r="295" spans="1:32" ht="15" customHeight="1" x14ac:dyDescent="0.25">
      <c r="C295" s="48"/>
      <c r="D295" s="45" t="s">
        <v>7297</v>
      </c>
      <c r="E295" s="46"/>
      <c r="F295" s="46"/>
      <c r="I295" s="188" t="s">
        <v>7935</v>
      </c>
      <c r="O295" s="51" t="s">
        <v>6323</v>
      </c>
      <c r="Q295" s="137">
        <f>VLOOKUP(TAB_ESTOQUE[[#This Row],[Codigo]],TAB_ENTRADA[[Cod_2_Entrada]:[TOTAL_ENTRADA]],5,FALSE)-VLOOKUP(TAB_ESTOQUE[[#This Row],[Codigo]],TAB_SAIDA[[COD_2_SAIDA]:[TOTAL_SAIDA]],5,FALSE)</f>
        <v>3</v>
      </c>
      <c r="S295" s="46"/>
      <c r="T295" s="102">
        <v>249.68</v>
      </c>
      <c r="U295" s="103">
        <f>TAB_ESTOQUE[[#This Row],[Valor Unitario Estimado]]*TAB_ESTOQUE[[#This Row],[Estoque]]</f>
        <v>749.04</v>
      </c>
      <c r="V295" s="103"/>
      <c r="AA295" s="138"/>
      <c r="AB295" s="104" t="str">
        <f>IF(TAB_ESTOQUE[[#This Row],[Estoque]]=0,"Estoque Não Conforme",IF(TAB_ESTOQUE[[#This Row],[Estoque]]&gt;=TAB_ESTOQUE[[#This Row],[Mínimo]],"Estoque Conforme",IF(TAB_ESTOQUE[[#This Row],[Estoque]]&lt;TAB_ESTOQUE[[#This Row],[Mínimo]],"Estoque em Nivel Minimo")))</f>
        <v>Estoque Conforme</v>
      </c>
      <c r="AC295" s="104"/>
      <c r="AE295" s="82"/>
      <c r="AF295" s="82"/>
    </row>
    <row r="296" spans="1:32" ht="15" customHeight="1" x14ac:dyDescent="0.25">
      <c r="A296" s="45">
        <v>968</v>
      </c>
      <c r="B296" s="47"/>
      <c r="C296" s="46"/>
      <c r="D296" s="45" t="s">
        <v>1811</v>
      </c>
      <c r="E296" s="46" t="s">
        <v>7</v>
      </c>
      <c r="F296" s="87"/>
      <c r="G296" s="82"/>
      <c r="H296" s="82"/>
      <c r="I296" s="204" t="s">
        <v>2817</v>
      </c>
      <c r="J296" s="82"/>
      <c r="K296" s="82"/>
      <c r="L296" s="82"/>
      <c r="M296" s="82"/>
      <c r="N296" s="82"/>
      <c r="O296" s="87" t="s">
        <v>6370</v>
      </c>
      <c r="P296" s="82" t="s">
        <v>748</v>
      </c>
      <c r="Q296" s="83">
        <f>VLOOKUP(TAB_ESTOQUE[[#This Row],[Codigo]],TAB_ENTRADA[[Cod_2_Entrada]:[TOTAL_ENTRADA]],5,FALSE)-VLOOKUP(TAB_ESTOQUE[[#This Row],[Codigo]],TAB_SAIDA[[COD_2_SAIDA]:[TOTAL_SAIDA]],5,FALSE)</f>
        <v>0</v>
      </c>
      <c r="R296" s="87"/>
      <c r="S296" s="87"/>
      <c r="T296" s="90">
        <v>1000</v>
      </c>
      <c r="U296" s="91">
        <f>TAB_ESTOQUE[[#This Row],[Valor Unitario Estimado]]*TAB_ESTOQUE[[#This Row],[Estoque]]</f>
        <v>0</v>
      </c>
      <c r="V296" s="91"/>
      <c r="W296" s="85"/>
      <c r="X296" s="85"/>
      <c r="Y296" s="85"/>
      <c r="Z296" s="85"/>
      <c r="AA296" s="85"/>
      <c r="AB296" s="85" t="str">
        <f>IF(TAB_ESTOQUE[[#This Row],[Estoque]]=0,"Estoque Não Conforme",IF(TAB_ESTOQUE[[#This Row],[Estoque]]&gt;=TAB_ESTOQUE[[#This Row],[Mínimo]],"Estoque Conforme",IF(TAB_ESTOQUE[[#This Row],[Estoque]]&lt;TAB_ESTOQUE[[#This Row],[Mínimo]],"Estoque em Nivel Minimo")))</f>
        <v>Estoque Não Conforme</v>
      </c>
      <c r="AC296" s="85"/>
      <c r="AD296" s="82"/>
      <c r="AE296" s="82"/>
      <c r="AF296" s="82"/>
    </row>
    <row r="297" spans="1:32" ht="15" customHeight="1" x14ac:dyDescent="0.25">
      <c r="A297" s="45">
        <v>969</v>
      </c>
      <c r="B297" s="47"/>
      <c r="C297" s="46"/>
      <c r="D297" s="45" t="s">
        <v>1812</v>
      </c>
      <c r="E297" s="46" t="s">
        <v>7</v>
      </c>
      <c r="F297" s="87"/>
      <c r="G297" s="82"/>
      <c r="H297" s="82"/>
      <c r="I297" s="209" t="s">
        <v>2818</v>
      </c>
      <c r="J297" s="82"/>
      <c r="K297" s="82"/>
      <c r="L297" s="82"/>
      <c r="M297" s="82"/>
      <c r="N297" s="82"/>
      <c r="O297" s="87" t="s">
        <v>6370</v>
      </c>
      <c r="P297" s="82" t="s">
        <v>749</v>
      </c>
      <c r="Q297" s="83">
        <f>VLOOKUP(TAB_ESTOQUE[[#This Row],[Codigo]],TAB_ENTRADA[[Cod_2_Entrada]:[TOTAL_ENTRADA]],5,FALSE)-VLOOKUP(TAB_ESTOQUE[[#This Row],[Codigo]],TAB_SAIDA[[COD_2_SAIDA]:[TOTAL_SAIDA]],5,FALSE)</f>
        <v>1</v>
      </c>
      <c r="R297" s="87"/>
      <c r="S297" s="87"/>
      <c r="T297" s="90">
        <v>3000</v>
      </c>
      <c r="U297" s="91">
        <f>TAB_ESTOQUE[[#This Row],[Valor Unitario Estimado]]*TAB_ESTOQUE[[#This Row],[Estoque]]</f>
        <v>3000</v>
      </c>
      <c r="V297" s="91"/>
      <c r="W297" s="85"/>
      <c r="X297" s="85"/>
      <c r="Y297" s="85"/>
      <c r="Z297" s="85"/>
      <c r="AA297" s="85"/>
      <c r="AB297" s="85" t="str">
        <f>IF(TAB_ESTOQUE[[#This Row],[Estoque]]=0,"Estoque Não Conforme",IF(TAB_ESTOQUE[[#This Row],[Estoque]]&gt;=TAB_ESTOQUE[[#This Row],[Mínimo]],"Estoque Conforme",IF(TAB_ESTOQUE[[#This Row],[Estoque]]&lt;TAB_ESTOQUE[[#This Row],[Mínimo]],"Estoque em Nivel Minimo")))</f>
        <v>Estoque Conforme</v>
      </c>
      <c r="AC297" s="85"/>
      <c r="AD297" s="82"/>
      <c r="AE297" s="82"/>
      <c r="AF297" s="82"/>
    </row>
    <row r="298" spans="1:32" ht="15" customHeight="1" x14ac:dyDescent="0.25">
      <c r="C298" s="48"/>
      <c r="D298" s="45" t="s">
        <v>7490</v>
      </c>
      <c r="E298" s="46" t="s">
        <v>8039</v>
      </c>
      <c r="F298" s="46"/>
      <c r="I298" s="45" t="s">
        <v>8029</v>
      </c>
      <c r="O298" s="116" t="s">
        <v>6370</v>
      </c>
      <c r="Q298" s="137">
        <f>VLOOKUP(TAB_ESTOQUE[[#This Row],[Codigo]],TAB_ENTRADA[[Cod_2_Entrada]:[TOTAL_ENTRADA]],5,FALSE)-VLOOKUP(TAB_ESTOQUE[[#This Row],[Codigo]],TAB_SAIDA[[COD_2_SAIDA]:[TOTAL_SAIDA]],5,FALSE)</f>
        <v>0</v>
      </c>
      <c r="S298" s="46"/>
      <c r="T298" s="102">
        <v>203.81</v>
      </c>
      <c r="U298" s="103">
        <f>TAB_ESTOQUE[[#This Row],[Valor Unitario Estimado]]*TAB_ESTOQUE[[#This Row],[Estoque]]</f>
        <v>0</v>
      </c>
      <c r="V298" s="103"/>
      <c r="AA298" s="138"/>
      <c r="AB298" s="104" t="str">
        <f>IF(TAB_ESTOQUE[[#This Row],[Estoque]]=0,"Estoque Não Conforme",IF(TAB_ESTOQUE[[#This Row],[Estoque]]&gt;=TAB_ESTOQUE[[#This Row],[Mínimo]],"Estoque Conforme",IF(TAB_ESTOQUE[[#This Row],[Estoque]]&lt;TAB_ESTOQUE[[#This Row],[Mínimo]],"Estoque em Nivel Minimo")))</f>
        <v>Estoque Não Conforme</v>
      </c>
      <c r="AC298" s="104"/>
      <c r="AE298" s="82"/>
      <c r="AF298" s="82"/>
    </row>
    <row r="299" spans="1:32" ht="15" customHeight="1" x14ac:dyDescent="0.25">
      <c r="C299" s="48"/>
      <c r="D299" s="45" t="s">
        <v>7616</v>
      </c>
      <c r="E299" s="46" t="s">
        <v>3080</v>
      </c>
      <c r="F299" s="46"/>
      <c r="I299" s="45" t="s">
        <v>8097</v>
      </c>
      <c r="O299" s="116" t="s">
        <v>6370</v>
      </c>
      <c r="Q299" s="137">
        <f>VLOOKUP(TAB_ESTOQUE[[#This Row],[Codigo]],TAB_ENTRADA[[Cod_2_Entrada]:[TOTAL_ENTRADA]],5,FALSE)-VLOOKUP(TAB_ESTOQUE[[#This Row],[Codigo]],TAB_SAIDA[[COD_2_SAIDA]:[TOTAL_SAIDA]],5,FALSE)</f>
        <v>3</v>
      </c>
      <c r="S299" s="46"/>
      <c r="T299" s="102">
        <v>350</v>
      </c>
      <c r="U299" s="103">
        <f>TAB_ESTOQUE[[#This Row],[Valor Unitario Estimado]]*TAB_ESTOQUE[[#This Row],[Estoque]]</f>
        <v>1050</v>
      </c>
      <c r="V299" s="103"/>
      <c r="AA299" s="138"/>
      <c r="AB299" s="104" t="str">
        <f>IF(TAB_ESTOQUE[[#This Row],[Estoque]]=0,"Estoque Não Conforme",IF(TAB_ESTOQUE[[#This Row],[Estoque]]&gt;=TAB_ESTOQUE[[#This Row],[Mínimo]],"Estoque Conforme",IF(TAB_ESTOQUE[[#This Row],[Estoque]]&lt;TAB_ESTOQUE[[#This Row],[Mínimo]],"Estoque em Nivel Minimo")))</f>
        <v>Estoque Conforme</v>
      </c>
      <c r="AC299" s="104"/>
      <c r="AE299" s="82"/>
      <c r="AF299" s="82"/>
    </row>
    <row r="300" spans="1:32" ht="15" customHeight="1" x14ac:dyDescent="0.25">
      <c r="C300" s="48"/>
      <c r="D300" s="45" t="s">
        <v>7734</v>
      </c>
      <c r="E300" s="46" t="s">
        <v>7618</v>
      </c>
      <c r="F300" s="46"/>
      <c r="I300" s="45" t="s">
        <v>8450</v>
      </c>
      <c r="O300" s="46" t="s">
        <v>6370</v>
      </c>
      <c r="Q300" s="137">
        <f>VLOOKUP(TAB_ESTOQUE[[#This Row],[Codigo]],TAB_ENTRADA[[Cod_2_Entrada]:[TOTAL_ENTRADA]],5,FALSE)-VLOOKUP(TAB_ESTOQUE[[#This Row],[Codigo]],TAB_SAIDA[[COD_2_SAIDA]:[TOTAL_SAIDA]],5,FALSE)</f>
        <v>2</v>
      </c>
      <c r="S300" s="46"/>
      <c r="T300" s="102">
        <v>823.41</v>
      </c>
      <c r="U300" s="103">
        <f>TAB_ESTOQUE[[#This Row],[Valor Unitario Estimado]]*TAB_ESTOQUE[[#This Row],[Estoque]]</f>
        <v>1646.82</v>
      </c>
      <c r="V300" s="103"/>
      <c r="AA300" s="138"/>
      <c r="AB300" s="104" t="str">
        <f>IF(TAB_ESTOQUE[[#This Row],[Estoque]]=0,"Estoque Não Conforme",IF(TAB_ESTOQUE[[#This Row],[Estoque]]&gt;=TAB_ESTOQUE[[#This Row],[Mínimo]],"Estoque Conforme",IF(TAB_ESTOQUE[[#This Row],[Estoque]]&lt;TAB_ESTOQUE[[#This Row],[Mínimo]],"Estoque em Nivel Minimo")))</f>
        <v>Estoque Conforme</v>
      </c>
      <c r="AC300" s="104"/>
      <c r="AE300" s="82"/>
      <c r="AF300" s="82"/>
    </row>
    <row r="301" spans="1:32" ht="15" customHeight="1" x14ac:dyDescent="0.25">
      <c r="C301" s="48"/>
      <c r="D301" s="45" t="s">
        <v>7751</v>
      </c>
      <c r="E301" s="46" t="s">
        <v>1658</v>
      </c>
      <c r="F301" s="46"/>
      <c r="I301" t="s">
        <v>8933</v>
      </c>
      <c r="O301" s="46" t="s">
        <v>6370</v>
      </c>
      <c r="Q301" s="137">
        <f>VLOOKUP(TAB_ESTOQUE[[#This Row],[Codigo]],TAB_ENTRADA[[Cod_2_Entrada]:[TOTAL_ENTRADA]],5,FALSE)-VLOOKUP(TAB_ESTOQUE[[#This Row],[Codigo]],TAB_SAIDA[[COD_2_SAIDA]:[TOTAL_SAIDA]],5,FALSE)</f>
        <v>4</v>
      </c>
      <c r="R301" s="46">
        <v>2</v>
      </c>
      <c r="S301" s="46">
        <v>4</v>
      </c>
      <c r="T301" s="102">
        <v>307.52999999999997</v>
      </c>
      <c r="U301" s="103">
        <f>TAB_ESTOQUE[[#This Row],[Valor Unitario Estimado]]*TAB_ESTOQUE[[#This Row],[Estoque]]</f>
        <v>1230.1199999999999</v>
      </c>
      <c r="V301" s="103"/>
      <c r="AA301" s="138"/>
      <c r="AB301" s="104" t="str">
        <f>IF(TAB_ESTOQUE[[#This Row],[Estoque]]=0,"Estoque Não Conforme",IF(TAB_ESTOQUE[[#This Row],[Estoque]]&gt;=TAB_ESTOQUE[[#This Row],[Mínimo]],"Estoque Conforme",IF(TAB_ESTOQUE[[#This Row],[Estoque]]&lt;TAB_ESTOQUE[[#This Row],[Mínimo]],"Estoque em Nivel Minimo")))</f>
        <v>Estoque Conforme</v>
      </c>
      <c r="AC301" s="104"/>
      <c r="AE301" s="82"/>
      <c r="AF301" s="82"/>
    </row>
    <row r="302" spans="1:32" ht="15" customHeight="1" x14ac:dyDescent="0.25">
      <c r="C302" s="48"/>
      <c r="D302" s="45" t="s">
        <v>7752</v>
      </c>
      <c r="E302" s="46" t="s">
        <v>1658</v>
      </c>
      <c r="F302" s="46"/>
      <c r="I302" s="45" t="s">
        <v>8934</v>
      </c>
      <c r="O302" s="46" t="s">
        <v>6370</v>
      </c>
      <c r="Q302" s="137">
        <f>VLOOKUP(TAB_ESTOQUE[[#This Row],[Codigo]],TAB_ENTRADA[[Cod_2_Entrada]:[TOTAL_ENTRADA]],5,FALSE)-VLOOKUP(TAB_ESTOQUE[[#This Row],[Codigo]],TAB_SAIDA[[COD_2_SAIDA]:[TOTAL_SAIDA]],5,FALSE)</f>
        <v>4</v>
      </c>
      <c r="R302" s="46">
        <v>2</v>
      </c>
      <c r="S302" s="46">
        <v>4</v>
      </c>
      <c r="T302" s="102">
        <v>41.58</v>
      </c>
      <c r="U302" s="103">
        <f>TAB_ESTOQUE[[#This Row],[Valor Unitario Estimado]]*TAB_ESTOQUE[[#This Row],[Estoque]]</f>
        <v>166.32</v>
      </c>
      <c r="V302" s="103"/>
      <c r="AA302" s="138"/>
      <c r="AB302" s="104" t="str">
        <f>IF(TAB_ESTOQUE[[#This Row],[Estoque]]=0,"Estoque Não Conforme",IF(TAB_ESTOQUE[[#This Row],[Estoque]]&gt;=TAB_ESTOQUE[[#This Row],[Mínimo]],"Estoque Conforme",IF(TAB_ESTOQUE[[#This Row],[Estoque]]&lt;TAB_ESTOQUE[[#This Row],[Mínimo]],"Estoque em Nivel Minimo")))</f>
        <v>Estoque Conforme</v>
      </c>
      <c r="AC302" s="104"/>
      <c r="AE302" s="82"/>
      <c r="AF302" s="82"/>
    </row>
    <row r="303" spans="1:32" ht="15" customHeight="1" x14ac:dyDescent="0.25">
      <c r="A303" s="106">
        <v>1166</v>
      </c>
      <c r="B303" s="106"/>
      <c r="C303" s="116" t="s">
        <v>2833</v>
      </c>
      <c r="D303" s="106" t="s">
        <v>1769</v>
      </c>
      <c r="E303" s="116" t="s">
        <v>7267</v>
      </c>
      <c r="F303" s="118"/>
      <c r="G303" s="95"/>
      <c r="H303" s="95"/>
      <c r="I303" s="95" t="s">
        <v>8467</v>
      </c>
      <c r="J303" s="95"/>
      <c r="K303" s="95"/>
      <c r="L303" s="95"/>
      <c r="M303" s="95"/>
      <c r="N303" s="95"/>
      <c r="O303" s="118" t="s">
        <v>6379</v>
      </c>
      <c r="P303" s="95" t="s">
        <v>887</v>
      </c>
      <c r="Q303" s="154">
        <f>VLOOKUP(TAB_ESTOQUE[[#This Row],[Codigo]],TAB_ENTRADA[[Cod_2_Entrada]:[TOTAL_ENTRADA]],5,FALSE)-VLOOKUP(TAB_ESTOQUE[[#This Row],[Codigo]],TAB_SAIDA[[COD_2_SAIDA]:[TOTAL_SAIDA]],5,FALSE)</f>
        <v>0</v>
      </c>
      <c r="R303" s="118"/>
      <c r="S303" s="118"/>
      <c r="T303" s="119"/>
      <c r="U303" s="112">
        <f>TAB_ESTOQUE[[#This Row],[Valor Unitario Estimado]]*TAB_ESTOQUE[[#This Row],[Estoque]]</f>
        <v>0</v>
      </c>
      <c r="V303" s="112"/>
      <c r="W303" s="120"/>
      <c r="X303" s="120"/>
      <c r="Y303" s="120"/>
      <c r="Z303" s="120"/>
      <c r="AA303" s="120"/>
      <c r="AB303" s="120" t="str">
        <f>IF(TAB_ESTOQUE[[#This Row],[Estoque]]=0,"Estoque Não Conforme",IF(TAB_ESTOQUE[[#This Row],[Estoque]]&gt;=TAB_ESTOQUE[[#This Row],[Mínimo]],"Estoque Conforme",IF(TAB_ESTOQUE[[#This Row],[Estoque]]&lt;TAB_ESTOQUE[[#This Row],[Mínimo]],"Estoque em Nivel Minimo")))</f>
        <v>Estoque Não Conforme</v>
      </c>
      <c r="AC303" s="120"/>
      <c r="AD303" s="95"/>
      <c r="AE303" s="82"/>
      <c r="AF303" s="82"/>
    </row>
    <row r="304" spans="1:32" ht="15" customHeight="1" x14ac:dyDescent="0.25">
      <c r="B304" s="47"/>
      <c r="C304" s="46"/>
      <c r="D304" s="45" t="s">
        <v>2672</v>
      </c>
      <c r="E304" s="46"/>
      <c r="F304" s="87"/>
      <c r="G304" s="82"/>
      <c r="H304" s="82"/>
      <c r="I304" s="82" t="s">
        <v>1339</v>
      </c>
      <c r="J304" s="82"/>
      <c r="K304" s="82" t="s">
        <v>1270</v>
      </c>
      <c r="L304" s="82"/>
      <c r="M304" s="82"/>
      <c r="N304" s="82"/>
      <c r="O304" s="87" t="s">
        <v>6379</v>
      </c>
      <c r="P304" s="82" t="s">
        <v>1273</v>
      </c>
      <c r="Q304" s="83">
        <f>VLOOKUP(TAB_ESTOQUE[[#This Row],[Codigo]],TAB_ENTRADA[[Cod_2_Entrada]:[TOTAL_ENTRADA]],5,FALSE)-VLOOKUP(TAB_ESTOQUE[[#This Row],[Codigo]],TAB_SAIDA[[COD_2_SAIDA]:[TOTAL_SAIDA]],5,FALSE)</f>
        <v>23</v>
      </c>
      <c r="R304" s="87"/>
      <c r="S304" s="87"/>
      <c r="T304" s="90"/>
      <c r="U304" s="91">
        <f>TAB_ESTOQUE[[#This Row],[Valor Unitario Estimado]]*TAB_ESTOQUE[[#This Row],[Estoque]]</f>
        <v>0</v>
      </c>
      <c r="V304" s="91"/>
      <c r="W304" s="85"/>
      <c r="X304" s="85"/>
      <c r="Y304" s="85"/>
      <c r="Z304" s="85"/>
      <c r="AA304" s="85"/>
      <c r="AB304" s="96" t="str">
        <f>IF(TAB_ESTOQUE[[#This Row],[Estoque]]=0,"Estoque Não Conforme",IF(TAB_ESTOQUE[[#This Row],[Estoque]]&gt;=TAB_ESTOQUE[[#This Row],[Mínimo]],"Estoque Conforme",IF(TAB_ESTOQUE[[#This Row],[Estoque]]&lt;TAB_ESTOQUE[[#This Row],[Mínimo]],"Estoque em Nivel Minimo")))</f>
        <v>Estoque Conforme</v>
      </c>
      <c r="AC304" s="85"/>
      <c r="AD304" s="82"/>
      <c r="AE304" s="82"/>
      <c r="AF304" s="82"/>
    </row>
    <row r="305" spans="1:32" ht="15" customHeight="1" x14ac:dyDescent="0.25">
      <c r="B305" s="47"/>
      <c r="C305" s="46"/>
      <c r="D305" s="45" t="s">
        <v>2673</v>
      </c>
      <c r="E305" s="46"/>
      <c r="F305" s="87"/>
      <c r="G305" s="82"/>
      <c r="H305" s="82"/>
      <c r="I305" s="82" t="s">
        <v>7874</v>
      </c>
      <c r="J305" s="82"/>
      <c r="K305" s="82" t="s">
        <v>1274</v>
      </c>
      <c r="L305" s="82"/>
      <c r="M305" s="82"/>
      <c r="N305" s="82"/>
      <c r="O305" s="87" t="s">
        <v>6379</v>
      </c>
      <c r="P305" s="82" t="s">
        <v>6018</v>
      </c>
      <c r="Q305" s="83">
        <f>VLOOKUP(TAB_ESTOQUE[[#This Row],[Codigo]],TAB_ENTRADA[[Cod_2_Entrada]:[TOTAL_ENTRADA]],5,FALSE)-VLOOKUP(TAB_ESTOQUE[[#This Row],[Codigo]],TAB_SAIDA[[COD_2_SAIDA]:[TOTAL_SAIDA]],5,FALSE)</f>
        <v>1</v>
      </c>
      <c r="R305" s="87"/>
      <c r="S305" s="87"/>
      <c r="T305" s="90">
        <v>244.15</v>
      </c>
      <c r="U305" s="91">
        <f>TAB_ESTOQUE[[#This Row],[Valor Unitario Estimado]]*TAB_ESTOQUE[[#This Row],[Estoque]]</f>
        <v>244.15</v>
      </c>
      <c r="V305" s="91"/>
      <c r="W305" s="85"/>
      <c r="X305" s="85"/>
      <c r="Y305" s="85"/>
      <c r="Z305" s="85"/>
      <c r="AA305" s="85"/>
      <c r="AB305" s="96" t="str">
        <f>IF(TAB_ESTOQUE[[#This Row],[Estoque]]=0,"Estoque Não Conforme",IF(TAB_ESTOQUE[[#This Row],[Estoque]]&gt;=TAB_ESTOQUE[[#This Row],[Mínimo]],"Estoque Conforme",IF(TAB_ESTOQUE[[#This Row],[Estoque]]&lt;TAB_ESTOQUE[[#This Row],[Mínimo]],"Estoque em Nivel Minimo")))</f>
        <v>Estoque Conforme</v>
      </c>
      <c r="AC305" s="85"/>
      <c r="AD305" s="82"/>
      <c r="AE305" s="82"/>
      <c r="AF305" s="82"/>
    </row>
    <row r="306" spans="1:32" ht="15" customHeight="1" x14ac:dyDescent="0.25">
      <c r="B306" s="47"/>
      <c r="C306" s="46"/>
      <c r="D306" s="45" t="s">
        <v>2676</v>
      </c>
      <c r="E306" s="46" t="s">
        <v>736</v>
      </c>
      <c r="F306" s="87"/>
      <c r="G306" s="82"/>
      <c r="H306" s="82"/>
      <c r="I306" s="82" t="s">
        <v>1386</v>
      </c>
      <c r="J306" s="82"/>
      <c r="K306" s="82"/>
      <c r="L306" s="82"/>
      <c r="M306" s="82"/>
      <c r="N306" s="82"/>
      <c r="O306" s="87" t="s">
        <v>6379</v>
      </c>
      <c r="P306" s="82"/>
      <c r="Q306" s="83">
        <f>VLOOKUP(TAB_ESTOQUE[[#This Row],[Codigo]],TAB_ENTRADA[[Cod_2_Entrada]:[TOTAL_ENTRADA]],5,FALSE)-VLOOKUP(TAB_ESTOQUE[[#This Row],[Codigo]],TAB_SAIDA[[COD_2_SAIDA]:[TOTAL_SAIDA]],5,FALSE)</f>
        <v>89</v>
      </c>
      <c r="R306" s="87"/>
      <c r="S306" s="87"/>
      <c r="T306" s="90"/>
      <c r="U306" s="91">
        <f>TAB_ESTOQUE[[#This Row],[Valor Unitario Estimado]]*TAB_ESTOQUE[[#This Row],[Estoque]]</f>
        <v>0</v>
      </c>
      <c r="V306" s="91"/>
      <c r="W306" s="85"/>
      <c r="X306" s="85"/>
      <c r="Y306" s="85"/>
      <c r="Z306" s="85"/>
      <c r="AA306" s="85"/>
      <c r="AB306" s="96" t="str">
        <f>IF(TAB_ESTOQUE[[#This Row],[Estoque]]=0,"Estoque Não Conforme",IF(TAB_ESTOQUE[[#This Row],[Estoque]]&gt;=TAB_ESTOQUE[[#This Row],[Mínimo]],"Estoque Conforme",IF(TAB_ESTOQUE[[#This Row],[Estoque]]&lt;TAB_ESTOQUE[[#This Row],[Mínimo]],"Estoque em Nivel Minimo")))</f>
        <v>Estoque Conforme</v>
      </c>
      <c r="AC306" s="85"/>
      <c r="AD306" s="82"/>
      <c r="AE306" s="82"/>
      <c r="AF306" s="82"/>
    </row>
    <row r="307" spans="1:32" ht="15" customHeight="1" x14ac:dyDescent="0.25">
      <c r="A307" s="45">
        <v>2</v>
      </c>
      <c r="B307" s="47"/>
      <c r="C307" s="46"/>
      <c r="D307" s="45" t="s">
        <v>1816</v>
      </c>
      <c r="E307" s="46" t="s">
        <v>7</v>
      </c>
      <c r="F307" s="87"/>
      <c r="G307" s="82"/>
      <c r="H307" s="82"/>
      <c r="I307" s="209" t="s">
        <v>6346</v>
      </c>
      <c r="J307" s="82"/>
      <c r="K307" s="82"/>
      <c r="L307" s="82"/>
      <c r="M307" s="82"/>
      <c r="N307" s="82"/>
      <c r="O307" s="87" t="s">
        <v>6345</v>
      </c>
      <c r="P307" s="82" t="s">
        <v>9</v>
      </c>
      <c r="Q307" s="83">
        <f>VLOOKUP(TAB_ESTOQUE[[#This Row],[Codigo]],TAB_ENTRADA[[Cod_2_Entrada]:[TOTAL_ENTRADA]],5,FALSE)-VLOOKUP(TAB_ESTOQUE[[#This Row],[Codigo]],TAB_SAIDA[[COD_2_SAIDA]:[TOTAL_SAIDA]],5,FALSE)</f>
        <v>1</v>
      </c>
      <c r="R307" s="87"/>
      <c r="S307" s="87"/>
      <c r="T307" s="90"/>
      <c r="U307" s="91">
        <f>TAB_ESTOQUE[[#This Row],[Valor Unitario Estimado]]*TAB_ESTOQUE[[#This Row],[Estoque]]</f>
        <v>0</v>
      </c>
      <c r="V307" s="91"/>
      <c r="W307" s="85"/>
      <c r="X307" s="85"/>
      <c r="Y307" s="85"/>
      <c r="Z307" s="85"/>
      <c r="AA307" s="85"/>
      <c r="AB307" s="85" t="str">
        <f>IF(TAB_ESTOQUE[[#This Row],[Estoque]]=0,"Estoque Não Conforme",IF(TAB_ESTOQUE[[#This Row],[Estoque]]&gt;=TAB_ESTOQUE[[#This Row],[Mínimo]],"Estoque Conforme",IF(TAB_ESTOQUE[[#This Row],[Estoque]]&lt;TAB_ESTOQUE[[#This Row],[Mínimo]],"Estoque em Nivel Minimo")))</f>
        <v>Estoque Conforme</v>
      </c>
      <c r="AC307" s="85"/>
      <c r="AD307" s="82"/>
      <c r="AE307" s="82"/>
      <c r="AF307" s="82"/>
    </row>
    <row r="308" spans="1:32" ht="15" customHeight="1" x14ac:dyDescent="0.25">
      <c r="A308" s="47">
        <v>924</v>
      </c>
      <c r="B308" s="47"/>
      <c r="C308" s="51"/>
      <c r="D308" s="47" t="s">
        <v>1818</v>
      </c>
      <c r="E308" s="51" t="s">
        <v>7185</v>
      </c>
      <c r="F308" s="107"/>
      <c r="G308" s="94"/>
      <c r="H308" s="94"/>
      <c r="I308" s="94" t="s">
        <v>2820</v>
      </c>
      <c r="J308" s="94"/>
      <c r="K308" s="94"/>
      <c r="L308" s="94"/>
      <c r="M308" s="94"/>
      <c r="N308" s="94"/>
      <c r="O308" s="107" t="s">
        <v>6345</v>
      </c>
      <c r="P308" s="94" t="s">
        <v>6553</v>
      </c>
      <c r="Q308" s="145">
        <f>VLOOKUP(TAB_ESTOQUE[[#This Row],[Codigo]],TAB_ENTRADA[[Cod_2_Entrada]:[TOTAL_ENTRADA]],5,FALSE)-VLOOKUP(TAB_ESTOQUE[[#This Row],[Codigo]],TAB_SAIDA[[COD_2_SAIDA]:[TOTAL_SAIDA]],5,FALSE)</f>
        <v>1</v>
      </c>
      <c r="R308" s="107"/>
      <c r="S308" s="107"/>
      <c r="T308" s="108">
        <v>1472.5</v>
      </c>
      <c r="U308" s="109">
        <f>TAB_ESTOQUE[[#This Row],[Valor Unitario Estimado]]*TAB_ESTOQUE[[#This Row],[Estoque]]</f>
        <v>1472.5</v>
      </c>
      <c r="V308" s="109"/>
      <c r="W308" s="110"/>
      <c r="X308" s="110"/>
      <c r="Y308" s="110"/>
      <c r="Z308" s="110"/>
      <c r="AA308" s="110"/>
      <c r="AB308" s="110" t="str">
        <f>IF(TAB_ESTOQUE[[#This Row],[Estoque]]=0,"Estoque Não Conforme",IF(TAB_ESTOQUE[[#This Row],[Estoque]]&gt;=TAB_ESTOQUE[[#This Row],[Mínimo]],"Estoque Conforme",IF(TAB_ESTOQUE[[#This Row],[Estoque]]&lt;TAB_ESTOQUE[[#This Row],[Mínimo]],"Estoque em Nivel Minimo")))</f>
        <v>Estoque Conforme</v>
      </c>
      <c r="AC308" s="110"/>
      <c r="AD308" s="94"/>
      <c r="AE308" s="82"/>
      <c r="AF308" s="82"/>
    </row>
    <row r="309" spans="1:32" ht="15" customHeight="1" x14ac:dyDescent="0.25">
      <c r="A309" s="106">
        <v>1192</v>
      </c>
      <c r="B309" s="106"/>
      <c r="C309" s="116"/>
      <c r="D309" s="106" t="s">
        <v>1819</v>
      </c>
      <c r="E309" s="116" t="s">
        <v>7</v>
      </c>
      <c r="F309" s="118"/>
      <c r="G309" s="95"/>
      <c r="H309" s="95"/>
      <c r="I309" s="95" t="s">
        <v>398</v>
      </c>
      <c r="J309" s="95"/>
      <c r="K309" s="95"/>
      <c r="L309" s="95"/>
      <c r="M309" s="95"/>
      <c r="N309" s="95"/>
      <c r="O309" s="118" t="s">
        <v>6345</v>
      </c>
      <c r="P309" s="95" t="s">
        <v>915</v>
      </c>
      <c r="Q309" s="154">
        <f>VLOOKUP(TAB_ESTOQUE[[#This Row],[Codigo]],TAB_ENTRADA[[Cod_2_Entrada]:[TOTAL_ENTRADA]],5,FALSE)-VLOOKUP(TAB_ESTOQUE[[#This Row],[Codigo]],TAB_SAIDA[[COD_2_SAIDA]:[TOTAL_SAIDA]],5,FALSE)</f>
        <v>5</v>
      </c>
      <c r="R309" s="118"/>
      <c r="S309" s="118"/>
      <c r="T309" s="119">
        <v>106.89428571428572</v>
      </c>
      <c r="U309" s="112">
        <f>TAB_ESTOQUE[[#This Row],[Valor Unitario Estimado]]*TAB_ESTOQUE[[#This Row],[Estoque]]</f>
        <v>534.47142857142853</v>
      </c>
      <c r="V309" s="112"/>
      <c r="W309" s="120"/>
      <c r="X309" s="120"/>
      <c r="Y309" s="120"/>
      <c r="Z309" s="120"/>
      <c r="AA309" s="120"/>
      <c r="AB309" s="120" t="str">
        <f>IF(TAB_ESTOQUE[[#This Row],[Estoque]]=0,"Estoque Não Conforme",IF(TAB_ESTOQUE[[#This Row],[Estoque]]&gt;=TAB_ESTOQUE[[#This Row],[Mínimo]],"Estoque Conforme",IF(TAB_ESTOQUE[[#This Row],[Estoque]]&lt;TAB_ESTOQUE[[#This Row],[Mínimo]],"Estoque em Nivel Minimo")))</f>
        <v>Estoque Conforme</v>
      </c>
      <c r="AC309" s="120"/>
      <c r="AD309" s="95"/>
      <c r="AE309" s="82"/>
      <c r="AF309" s="82"/>
    </row>
    <row r="310" spans="1:32" ht="15" customHeight="1" x14ac:dyDescent="0.25">
      <c r="A310" s="45">
        <v>1144</v>
      </c>
      <c r="B310" s="47"/>
      <c r="C310" s="46" t="s">
        <v>2842</v>
      </c>
      <c r="D310" s="45" t="s">
        <v>2456</v>
      </c>
      <c r="E310" s="46"/>
      <c r="F310" s="87"/>
      <c r="G310" s="82"/>
      <c r="H310" s="82"/>
      <c r="I310" s="82" t="s">
        <v>7872</v>
      </c>
      <c r="J310" s="82"/>
      <c r="K310" s="82"/>
      <c r="L310" s="82"/>
      <c r="M310" s="82"/>
      <c r="N310" s="82"/>
      <c r="O310" s="87" t="s">
        <v>6345</v>
      </c>
      <c r="P310" s="82" t="s">
        <v>867</v>
      </c>
      <c r="Q310" s="83">
        <f>VLOOKUP(TAB_ESTOQUE[[#This Row],[Codigo]],TAB_ENTRADA[[Cod_2_Entrada]:[TOTAL_ENTRADA]],5,FALSE)-VLOOKUP(TAB_ESTOQUE[[#This Row],[Codigo]],TAB_SAIDA[[COD_2_SAIDA]:[TOTAL_SAIDA]],5,FALSE)</f>
        <v>7</v>
      </c>
      <c r="R310" s="87"/>
      <c r="S310" s="87"/>
      <c r="T310" s="90">
        <v>300</v>
      </c>
      <c r="U310" s="91">
        <f>TAB_ESTOQUE[[#This Row],[Valor Unitario Estimado]]*TAB_ESTOQUE[[#This Row],[Estoque]]</f>
        <v>2100</v>
      </c>
      <c r="V310" s="91"/>
      <c r="W310" s="85"/>
      <c r="X310" s="85"/>
      <c r="Y310" s="85"/>
      <c r="Z310" s="85"/>
      <c r="AA310" s="85"/>
      <c r="AB310" s="85" t="str">
        <f>IF(TAB_ESTOQUE[[#This Row],[Estoque]]=0,"Estoque Não Conforme",IF(TAB_ESTOQUE[[#This Row],[Estoque]]&gt;=TAB_ESTOQUE[[#This Row],[Mínimo]],"Estoque Conforme",IF(TAB_ESTOQUE[[#This Row],[Estoque]]&lt;TAB_ESTOQUE[[#This Row],[Mínimo]],"Estoque em Nivel Minimo")))</f>
        <v>Estoque Conforme</v>
      </c>
      <c r="AC310" s="85"/>
      <c r="AD310" s="82"/>
      <c r="AE310" s="82"/>
      <c r="AF310" s="82"/>
    </row>
    <row r="311" spans="1:32" ht="15" customHeight="1" x14ac:dyDescent="0.25">
      <c r="A311" s="106" t="s">
        <v>1159</v>
      </c>
      <c r="B311" s="106"/>
      <c r="C311" s="116"/>
      <c r="D311" s="106" t="s">
        <v>2623</v>
      </c>
      <c r="E311" s="116" t="s">
        <v>7429</v>
      </c>
      <c r="F311" s="118"/>
      <c r="G311" s="95"/>
      <c r="H311" s="95"/>
      <c r="I311" s="95" t="s">
        <v>2998</v>
      </c>
      <c r="J311" s="95"/>
      <c r="K311" s="95"/>
      <c r="L311" s="95"/>
      <c r="M311" s="95"/>
      <c r="N311" s="95"/>
      <c r="O311" s="118" t="s">
        <v>6345</v>
      </c>
      <c r="P311" s="95" t="s">
        <v>1233</v>
      </c>
      <c r="Q311" s="154">
        <f>VLOOKUP(TAB_ESTOQUE[[#This Row],[Codigo]],TAB_ENTRADA[[Cod_2_Entrada]:[TOTAL_ENTRADA]],5,FALSE)-VLOOKUP(TAB_ESTOQUE[[#This Row],[Codigo]],TAB_SAIDA[[COD_2_SAIDA]:[TOTAL_SAIDA]],5,FALSE)</f>
        <v>1</v>
      </c>
      <c r="R311" s="118"/>
      <c r="S311" s="118"/>
      <c r="T311" s="119"/>
      <c r="U311" s="112">
        <f>TAB_ESTOQUE[[#This Row],[Valor Unitario Estimado]]*TAB_ESTOQUE[[#This Row],[Estoque]]</f>
        <v>0</v>
      </c>
      <c r="V311" s="112"/>
      <c r="W311" s="120"/>
      <c r="X311" s="120"/>
      <c r="Y311" s="120"/>
      <c r="Z311" s="120"/>
      <c r="AA311" s="120"/>
      <c r="AB311" s="120" t="str">
        <f>IF(TAB_ESTOQUE[[#This Row],[Estoque]]=0,"Estoque Não Conforme",IF(TAB_ESTOQUE[[#This Row],[Estoque]]&gt;=TAB_ESTOQUE[[#This Row],[Mínimo]],"Estoque Conforme",IF(TAB_ESTOQUE[[#This Row],[Estoque]]&lt;TAB_ESTOQUE[[#This Row],[Mínimo]],"Estoque em Nivel Minimo")))</f>
        <v>Estoque Conforme</v>
      </c>
      <c r="AC311" s="120"/>
      <c r="AD311" s="95"/>
      <c r="AE311" s="82"/>
      <c r="AF311" s="82"/>
    </row>
    <row r="312" spans="1:32" ht="15" customHeight="1" x14ac:dyDescent="0.25">
      <c r="B312" s="47"/>
      <c r="C312" s="46" t="s">
        <v>2833</v>
      </c>
      <c r="D312" s="45" t="s">
        <v>2763</v>
      </c>
      <c r="E312" s="46"/>
      <c r="F312" s="87"/>
      <c r="G312" s="82"/>
      <c r="H312" s="82"/>
      <c r="I312" s="82" t="s">
        <v>7873</v>
      </c>
      <c r="J312" s="82"/>
      <c r="K312" s="82"/>
      <c r="L312" s="82"/>
      <c r="M312" s="82"/>
      <c r="N312" s="82"/>
      <c r="O312" s="87" t="s">
        <v>6345</v>
      </c>
      <c r="P312" s="82" t="s">
        <v>1591</v>
      </c>
      <c r="Q312" s="83">
        <f>VLOOKUP(TAB_ESTOQUE[[#This Row],[Codigo]],TAB_ENTRADA[[Cod_2_Entrada]:[TOTAL_ENTRADA]],5,FALSE)-VLOOKUP(TAB_ESTOQUE[[#This Row],[Codigo]],TAB_SAIDA[[COD_2_SAIDA]:[TOTAL_SAIDA]],5,FALSE)</f>
        <v>1</v>
      </c>
      <c r="R312" s="87"/>
      <c r="S312" s="87"/>
      <c r="T312" s="90"/>
      <c r="U312" s="91">
        <f>TAB_ESTOQUE[[#This Row],[Valor Unitario Estimado]]*TAB_ESTOQUE[[#This Row],[Estoque]]</f>
        <v>0</v>
      </c>
      <c r="V312" s="91"/>
      <c r="W312" s="85"/>
      <c r="X312" s="85"/>
      <c r="Y312" s="85"/>
      <c r="Z312" s="85"/>
      <c r="AA312" s="85"/>
      <c r="AB312" s="96" t="str">
        <f>IF(TAB_ESTOQUE[[#This Row],[Estoque]]=0,"Estoque Não Conforme",IF(TAB_ESTOQUE[[#This Row],[Estoque]]&gt;=TAB_ESTOQUE[[#This Row],[Mínimo]],"Estoque Conforme",IF(TAB_ESTOQUE[[#This Row],[Estoque]]&lt;TAB_ESTOQUE[[#This Row],[Mínimo]],"Estoque em Nivel Minimo")))</f>
        <v>Estoque Conforme</v>
      </c>
      <c r="AC312" s="96"/>
      <c r="AD312" s="82"/>
      <c r="AE312" s="82"/>
      <c r="AF312" s="82"/>
    </row>
    <row r="313" spans="1:32" ht="15" customHeight="1" x14ac:dyDescent="0.25">
      <c r="C313" s="48"/>
      <c r="D313" s="45" t="s">
        <v>6927</v>
      </c>
      <c r="E313" s="46"/>
      <c r="F313" s="46"/>
      <c r="I313" s="45" t="s">
        <v>7206</v>
      </c>
      <c r="J313" s="228"/>
      <c r="L313" s="228"/>
      <c r="M313" s="228"/>
      <c r="N313" s="228"/>
      <c r="O313" s="46" t="s">
        <v>6345</v>
      </c>
      <c r="Q313" s="137">
        <f>VLOOKUP(TAB_ESTOQUE[[#This Row],[Codigo]],TAB_ENTRADA[[Cod_2_Entrada]:[TOTAL_ENTRADA]],5,FALSE)-VLOOKUP(TAB_ESTOQUE[[#This Row],[Codigo]],TAB_SAIDA[[COD_2_SAIDA]:[TOTAL_SAIDA]],5,FALSE)</f>
        <v>4</v>
      </c>
      <c r="S313" s="46"/>
      <c r="T313" s="163">
        <v>337.35</v>
      </c>
      <c r="U313" s="103">
        <f>TAB_ESTOQUE[[#This Row],[Valor Unitario Estimado]]*TAB_ESTOQUE[[#This Row],[Estoque]]</f>
        <v>1349.4</v>
      </c>
      <c r="V313" s="103"/>
      <c r="AA313" s="138"/>
      <c r="AB313" s="104" t="str">
        <f>IF(TAB_ESTOQUE[[#This Row],[Estoque]]=0,"Estoque Não Conforme",IF(TAB_ESTOQUE[[#This Row],[Estoque]]&gt;=TAB_ESTOQUE[[#This Row],[Mínimo]],"Estoque Conforme",IF(TAB_ESTOQUE[[#This Row],[Estoque]]&lt;TAB_ESTOQUE[[#This Row],[Mínimo]],"Estoque em Nivel Minimo")))</f>
        <v>Estoque Conforme</v>
      </c>
      <c r="AC313" s="104"/>
      <c r="AE313" s="82"/>
      <c r="AF313" s="82"/>
    </row>
    <row r="314" spans="1:32" ht="15" customHeight="1" x14ac:dyDescent="0.25">
      <c r="C314" s="48"/>
      <c r="D314" s="45" t="s">
        <v>7166</v>
      </c>
      <c r="E314" s="46"/>
      <c r="F314" s="46"/>
      <c r="I314" s="202" t="s">
        <v>7670</v>
      </c>
      <c r="O314" s="46" t="s">
        <v>6345</v>
      </c>
      <c r="Q314" s="137">
        <f>VLOOKUP(TAB_ESTOQUE[[#This Row],[Codigo]],TAB_ENTRADA[[Cod_2_Entrada]:[TOTAL_ENTRADA]],5,FALSE)-VLOOKUP(TAB_ESTOQUE[[#This Row],[Codigo]],TAB_SAIDA[[COD_2_SAIDA]:[TOTAL_SAIDA]],5,FALSE)</f>
        <v>2</v>
      </c>
      <c r="S314" s="46"/>
      <c r="T314" s="102">
        <v>857.51</v>
      </c>
      <c r="U314" s="103">
        <f>TAB_ESTOQUE[[#This Row],[Valor Unitario Estimado]]*TAB_ESTOQUE[[#This Row],[Estoque]]</f>
        <v>1715.02</v>
      </c>
      <c r="V314" s="103"/>
      <c r="AA314" s="138"/>
      <c r="AB314" s="104" t="str">
        <f>IF(TAB_ESTOQUE[[#This Row],[Estoque]]=0,"Estoque Não Conforme",IF(TAB_ESTOQUE[[#This Row],[Estoque]]&gt;=TAB_ESTOQUE[[#This Row],[Mínimo]],"Estoque Conforme",IF(TAB_ESTOQUE[[#This Row],[Estoque]]&lt;TAB_ESTOQUE[[#This Row],[Mínimo]],"Estoque em Nivel Minimo")))</f>
        <v>Estoque Conforme</v>
      </c>
      <c r="AC314" s="104"/>
      <c r="AE314" s="82"/>
      <c r="AF314" s="82"/>
    </row>
    <row r="315" spans="1:32" ht="15" customHeight="1" x14ac:dyDescent="0.25">
      <c r="A315" s="45">
        <v>1</v>
      </c>
      <c r="B315" s="47"/>
      <c r="C315" s="46"/>
      <c r="D315" s="45" t="s">
        <v>1817</v>
      </c>
      <c r="E315" s="46" t="s">
        <v>7265</v>
      </c>
      <c r="F315" s="87"/>
      <c r="G315" s="82"/>
      <c r="H315" s="82"/>
      <c r="I315" s="209" t="s">
        <v>2873</v>
      </c>
      <c r="J315" s="82"/>
      <c r="K315" s="82"/>
      <c r="L315" s="82"/>
      <c r="M315" s="82"/>
      <c r="N315" s="82"/>
      <c r="O315" s="87" t="s">
        <v>6348</v>
      </c>
      <c r="P315" s="82" t="s">
        <v>9</v>
      </c>
      <c r="Q315" s="83">
        <f>VLOOKUP(TAB_ESTOQUE[[#This Row],[Codigo]],TAB_ENTRADA[[Cod_2_Entrada]:[TOTAL_ENTRADA]],5,FALSE)-VLOOKUP(TAB_ESTOQUE[[#This Row],[Codigo]],TAB_SAIDA[[COD_2_SAIDA]:[TOTAL_SAIDA]],5,FALSE)</f>
        <v>0</v>
      </c>
      <c r="R315" s="87"/>
      <c r="S315" s="87"/>
      <c r="T315" s="90">
        <v>498</v>
      </c>
      <c r="U315" s="91">
        <f>TAB_ESTOQUE[[#This Row],[Valor Unitario Estimado]]*TAB_ESTOQUE[[#This Row],[Estoque]]</f>
        <v>0</v>
      </c>
      <c r="V315" s="91"/>
      <c r="W315" s="85"/>
      <c r="X315" s="85"/>
      <c r="Y315" s="85"/>
      <c r="Z315" s="85"/>
      <c r="AA315" s="85"/>
      <c r="AB315" s="85" t="str">
        <f>IF(TAB_ESTOQUE[[#This Row],[Estoque]]=0,"Estoque Não Conforme",IF(TAB_ESTOQUE[[#This Row],[Estoque]]&gt;=TAB_ESTOQUE[[#This Row],[Mínimo]],"Estoque Conforme",IF(TAB_ESTOQUE[[#This Row],[Estoque]]&lt;TAB_ESTOQUE[[#This Row],[Mínimo]],"Estoque em Nivel Minimo")))</f>
        <v>Estoque Não Conforme</v>
      </c>
      <c r="AC315" s="85"/>
      <c r="AD315" s="82"/>
      <c r="AE315" s="82"/>
      <c r="AF315" s="82"/>
    </row>
    <row r="316" spans="1:32" ht="15" customHeight="1" x14ac:dyDescent="0.25">
      <c r="A316" s="47">
        <v>1307</v>
      </c>
      <c r="B316" s="47"/>
      <c r="C316" s="51"/>
      <c r="D316" s="47" t="s">
        <v>1820</v>
      </c>
      <c r="E316" s="51" t="s">
        <v>7</v>
      </c>
      <c r="F316" s="107"/>
      <c r="G316" s="94"/>
      <c r="H316" s="94"/>
      <c r="I316" s="94" t="s">
        <v>7854</v>
      </c>
      <c r="J316" s="94"/>
      <c r="K316" s="94"/>
      <c r="L316" s="94"/>
      <c r="M316" s="94"/>
      <c r="N316" s="94"/>
      <c r="O316" s="107" t="s">
        <v>6348</v>
      </c>
      <c r="P316" s="94" t="s">
        <v>915</v>
      </c>
      <c r="Q316" s="145">
        <f>VLOOKUP(TAB_ESTOQUE[[#This Row],[Codigo]],TAB_ENTRADA[[Cod_2_Entrada]:[TOTAL_ENTRADA]],5,FALSE)-VLOOKUP(TAB_ESTOQUE[[#This Row],[Codigo]],TAB_SAIDA[[COD_2_SAIDA]:[TOTAL_SAIDA]],5,FALSE)</f>
        <v>0</v>
      </c>
      <c r="R316" s="107"/>
      <c r="S316" s="107"/>
      <c r="T316" s="108">
        <v>174.69</v>
      </c>
      <c r="U316" s="109">
        <f>TAB_ESTOQUE[[#This Row],[Valor Unitario Estimado]]*TAB_ESTOQUE[[#This Row],[Estoque]]</f>
        <v>0</v>
      </c>
      <c r="V316" s="109"/>
      <c r="W316" s="110"/>
      <c r="X316" s="110"/>
      <c r="Y316" s="110"/>
      <c r="Z316" s="110"/>
      <c r="AA316" s="110"/>
      <c r="AB316" s="110" t="str">
        <f>IF(TAB_ESTOQUE[[#This Row],[Estoque]]=0,"Estoque Não Conforme",IF(TAB_ESTOQUE[[#This Row],[Estoque]]&gt;=TAB_ESTOQUE[[#This Row],[Mínimo]],"Estoque Conforme",IF(TAB_ESTOQUE[[#This Row],[Estoque]]&lt;TAB_ESTOQUE[[#This Row],[Mínimo]],"Estoque em Nivel Minimo")))</f>
        <v>Estoque Não Conforme</v>
      </c>
      <c r="AC316" s="110"/>
      <c r="AD316" s="94"/>
      <c r="AE316" s="82"/>
      <c r="AF316" s="82"/>
    </row>
    <row r="317" spans="1:32" ht="15" customHeight="1" x14ac:dyDescent="0.25">
      <c r="A317" s="45">
        <v>1276</v>
      </c>
      <c r="B317" s="47"/>
      <c r="C317" s="46" t="s">
        <v>2833</v>
      </c>
      <c r="D317" s="45" t="s">
        <v>1822</v>
      </c>
      <c r="E317" s="46" t="s">
        <v>7</v>
      </c>
      <c r="F317" s="87"/>
      <c r="G317" s="82"/>
      <c r="H317" s="82"/>
      <c r="I317" s="82" t="s">
        <v>7021</v>
      </c>
      <c r="J317" s="82"/>
      <c r="K317" s="82"/>
      <c r="L317" s="82"/>
      <c r="M317" s="82"/>
      <c r="N317" s="82"/>
      <c r="O317" s="87" t="s">
        <v>6348</v>
      </c>
      <c r="P317" s="82" t="s">
        <v>997</v>
      </c>
      <c r="Q317" s="83">
        <f>VLOOKUP(TAB_ESTOQUE[[#This Row],[Codigo]],TAB_ENTRADA[[Cod_2_Entrada]:[TOTAL_ENTRADA]],5,FALSE)-VLOOKUP(TAB_ESTOQUE[[#This Row],[Codigo]],TAB_SAIDA[[COD_2_SAIDA]:[TOTAL_SAIDA]],5,FALSE)</f>
        <v>5</v>
      </c>
      <c r="R317" s="87"/>
      <c r="S317" s="87"/>
      <c r="T317" s="90"/>
      <c r="U317" s="91">
        <f>TAB_ESTOQUE[[#This Row],[Valor Unitario Estimado]]*TAB_ESTOQUE[[#This Row],[Estoque]]</f>
        <v>0</v>
      </c>
      <c r="V317" s="91"/>
      <c r="W317" s="85"/>
      <c r="X317" s="85"/>
      <c r="Y317" s="85"/>
      <c r="Z317" s="85"/>
      <c r="AA317" s="85"/>
      <c r="AB317" s="85" t="str">
        <f>IF(TAB_ESTOQUE[[#This Row],[Estoque]]=0,"Estoque Não Conforme",IF(TAB_ESTOQUE[[#This Row],[Estoque]]&gt;=TAB_ESTOQUE[[#This Row],[Mínimo]],"Estoque Conforme",IF(TAB_ESTOQUE[[#This Row],[Estoque]]&lt;TAB_ESTOQUE[[#This Row],[Mínimo]],"Estoque em Nivel Minimo")))</f>
        <v>Estoque Conforme</v>
      </c>
      <c r="AC317" s="85"/>
      <c r="AD317" s="82"/>
      <c r="AE317" s="82"/>
      <c r="AF317" s="82"/>
    </row>
    <row r="318" spans="1:32" ht="15" customHeight="1" x14ac:dyDescent="0.25">
      <c r="A318" s="45">
        <v>133</v>
      </c>
      <c r="B318" s="47"/>
      <c r="C318" s="46" t="s">
        <v>2833</v>
      </c>
      <c r="D318" s="45" t="s">
        <v>1823</v>
      </c>
      <c r="E318" s="46" t="s">
        <v>7</v>
      </c>
      <c r="F318" s="87"/>
      <c r="G318" s="82"/>
      <c r="H318" s="82"/>
      <c r="I318" s="82" t="s">
        <v>6352</v>
      </c>
      <c r="J318" s="82"/>
      <c r="K318" s="82"/>
      <c r="L318" s="82"/>
      <c r="M318" s="82"/>
      <c r="N318" s="82"/>
      <c r="O318" s="87" t="s">
        <v>6348</v>
      </c>
      <c r="P318" s="82" t="s">
        <v>85</v>
      </c>
      <c r="Q318" s="83">
        <f>VLOOKUP(TAB_ESTOQUE[[#This Row],[Codigo]],TAB_ENTRADA[[Cod_2_Entrada]:[TOTAL_ENTRADA]],5,FALSE)-VLOOKUP(TAB_ESTOQUE[[#This Row],[Codigo]],TAB_SAIDA[[COD_2_SAIDA]:[TOTAL_SAIDA]],5,FALSE)</f>
        <v>0</v>
      </c>
      <c r="R318" s="87"/>
      <c r="S318" s="87"/>
      <c r="T318" s="90">
        <v>849.97</v>
      </c>
      <c r="U318" s="91">
        <f>TAB_ESTOQUE[[#This Row],[Valor Unitario Estimado]]*TAB_ESTOQUE[[#This Row],[Estoque]]</f>
        <v>0</v>
      </c>
      <c r="V318" s="91"/>
      <c r="W318" s="85"/>
      <c r="X318" s="85"/>
      <c r="Y318" s="85"/>
      <c r="Z318" s="85"/>
      <c r="AA318" s="85"/>
      <c r="AB318" s="85" t="str">
        <f>IF(TAB_ESTOQUE[[#This Row],[Estoque]]=0,"Estoque Não Conforme",IF(TAB_ESTOQUE[[#This Row],[Estoque]]&gt;=TAB_ESTOQUE[[#This Row],[Mínimo]],"Estoque Conforme",IF(TAB_ESTOQUE[[#This Row],[Estoque]]&lt;TAB_ESTOQUE[[#This Row],[Mínimo]],"Estoque em Nivel Minimo")))</f>
        <v>Estoque Não Conforme</v>
      </c>
      <c r="AC318" s="85"/>
      <c r="AD318" s="82"/>
      <c r="AE318" s="82"/>
      <c r="AF318" s="82"/>
    </row>
    <row r="319" spans="1:32" ht="15" customHeight="1" x14ac:dyDescent="0.25">
      <c r="A319" s="45">
        <v>137</v>
      </c>
      <c r="B319" s="47"/>
      <c r="C319" s="46"/>
      <c r="D319" s="45" t="s">
        <v>1825</v>
      </c>
      <c r="E319" s="46" t="s">
        <v>7</v>
      </c>
      <c r="F319" s="87"/>
      <c r="G319" s="82"/>
      <c r="H319" s="82"/>
      <c r="I319" s="82" t="s">
        <v>7858</v>
      </c>
      <c r="J319" s="82"/>
      <c r="K319" s="82"/>
      <c r="L319" s="82"/>
      <c r="M319" s="82"/>
      <c r="N319" s="82"/>
      <c r="O319" s="87" t="s">
        <v>6348</v>
      </c>
      <c r="P319" s="82" t="s">
        <v>86</v>
      </c>
      <c r="Q319" s="83">
        <f>VLOOKUP(TAB_ESTOQUE[[#This Row],[Codigo]],TAB_ENTRADA[[Cod_2_Entrada]:[TOTAL_ENTRADA]],5,FALSE)-VLOOKUP(TAB_ESTOQUE[[#This Row],[Codigo]],TAB_SAIDA[[COD_2_SAIDA]:[TOTAL_SAIDA]],5,FALSE)</f>
        <v>0</v>
      </c>
      <c r="R319" s="87"/>
      <c r="S319" s="87"/>
      <c r="T319" s="90">
        <v>77.599999999999994</v>
      </c>
      <c r="U319" s="91">
        <f>TAB_ESTOQUE[[#This Row],[Valor Unitario Estimado]]*TAB_ESTOQUE[[#This Row],[Estoque]]</f>
        <v>0</v>
      </c>
      <c r="V319" s="91"/>
      <c r="W319" s="85"/>
      <c r="X319" s="85"/>
      <c r="Y319" s="85"/>
      <c r="Z319" s="85"/>
      <c r="AA319" s="85"/>
      <c r="AB319" s="85" t="str">
        <f>IF(TAB_ESTOQUE[[#This Row],[Estoque]]=0,"Estoque Não Conforme",IF(TAB_ESTOQUE[[#This Row],[Estoque]]&gt;=TAB_ESTOQUE[[#This Row],[Mínimo]],"Estoque Conforme",IF(TAB_ESTOQUE[[#This Row],[Estoque]]&lt;TAB_ESTOQUE[[#This Row],[Mínimo]],"Estoque em Nivel Minimo")))</f>
        <v>Estoque Não Conforme</v>
      </c>
      <c r="AC319" s="85"/>
      <c r="AD319" s="82"/>
      <c r="AE319" s="82"/>
      <c r="AF319" s="82"/>
    </row>
    <row r="320" spans="1:32" ht="15" customHeight="1" x14ac:dyDescent="0.25">
      <c r="A320" s="45">
        <v>1329</v>
      </c>
      <c r="B320" s="47"/>
      <c r="C320" s="46" t="s">
        <v>2838</v>
      </c>
      <c r="D320" s="45" t="s">
        <v>1826</v>
      </c>
      <c r="E320" s="46" t="s">
        <v>7</v>
      </c>
      <c r="F320" s="87"/>
      <c r="G320" s="82"/>
      <c r="H320" s="82"/>
      <c r="I320" s="82" t="s">
        <v>7862</v>
      </c>
      <c r="J320" s="82"/>
      <c r="K320" s="82"/>
      <c r="L320" s="82"/>
      <c r="M320" s="82"/>
      <c r="N320" s="82"/>
      <c r="O320" s="87" t="s">
        <v>6348</v>
      </c>
      <c r="P320" s="82" t="s">
        <v>1062</v>
      </c>
      <c r="Q320" s="83">
        <f>VLOOKUP(TAB_ESTOQUE[[#This Row],[Codigo]],TAB_ENTRADA[[Cod_2_Entrada]:[TOTAL_ENTRADA]],5,FALSE)-VLOOKUP(TAB_ESTOQUE[[#This Row],[Codigo]],TAB_SAIDA[[COD_2_SAIDA]:[TOTAL_SAIDA]],5,FALSE)</f>
        <v>0</v>
      </c>
      <c r="R320" s="87"/>
      <c r="S320" s="87"/>
      <c r="T320" s="90"/>
      <c r="U320" s="91">
        <f>TAB_ESTOQUE[[#This Row],[Valor Unitario Estimado]]*TAB_ESTOQUE[[#This Row],[Estoque]]</f>
        <v>0</v>
      </c>
      <c r="V320" s="91"/>
      <c r="W320" s="85"/>
      <c r="X320" s="85"/>
      <c r="Y320" s="85"/>
      <c r="Z320" s="85"/>
      <c r="AA320" s="85"/>
      <c r="AB320" s="85" t="str">
        <f>IF(TAB_ESTOQUE[[#This Row],[Estoque]]=0,"Estoque Não Conforme",IF(TAB_ESTOQUE[[#This Row],[Estoque]]&gt;=TAB_ESTOQUE[[#This Row],[Mínimo]],"Estoque Conforme",IF(TAB_ESTOQUE[[#This Row],[Estoque]]&lt;TAB_ESTOQUE[[#This Row],[Mínimo]],"Estoque em Nivel Minimo")))</f>
        <v>Estoque Não Conforme</v>
      </c>
      <c r="AC320" s="85"/>
      <c r="AD320" s="82"/>
      <c r="AE320" s="82"/>
      <c r="AF320" s="82"/>
    </row>
    <row r="321" spans="1:32" ht="15" customHeight="1" x14ac:dyDescent="0.25">
      <c r="B321" s="47"/>
      <c r="C321" s="46" t="s">
        <v>2838</v>
      </c>
      <c r="D321" s="45" t="s">
        <v>2746</v>
      </c>
      <c r="E321" s="46" t="s">
        <v>116</v>
      </c>
      <c r="F321" s="87"/>
      <c r="G321" s="82"/>
      <c r="H321" s="82"/>
      <c r="I321" s="82" t="s">
        <v>6038</v>
      </c>
      <c r="J321" s="82"/>
      <c r="K321" s="82"/>
      <c r="L321" s="82"/>
      <c r="M321" s="82"/>
      <c r="N321" s="82"/>
      <c r="O321" s="87" t="s">
        <v>6348</v>
      </c>
      <c r="P321" s="82" t="s">
        <v>1591</v>
      </c>
      <c r="Q321" s="83">
        <f>VLOOKUP(TAB_ESTOQUE[[#This Row],[Codigo]],TAB_ENTRADA[[Cod_2_Entrada]:[TOTAL_ENTRADA]],5,FALSE)-VLOOKUP(TAB_ESTOQUE[[#This Row],[Codigo]],TAB_SAIDA[[COD_2_SAIDA]:[TOTAL_SAIDA]],5,FALSE)</f>
        <v>1</v>
      </c>
      <c r="R321" s="87"/>
      <c r="S321" s="87"/>
      <c r="T321" s="90">
        <v>245</v>
      </c>
      <c r="U321" s="91">
        <f>TAB_ESTOQUE[[#This Row],[Valor Unitario Estimado]]*TAB_ESTOQUE[[#This Row],[Estoque]]</f>
        <v>245</v>
      </c>
      <c r="V321" s="91"/>
      <c r="W321" s="85"/>
      <c r="X321" s="85"/>
      <c r="Y321" s="85"/>
      <c r="Z321" s="85"/>
      <c r="AA321" s="85"/>
      <c r="AB321" s="85" t="str">
        <f>IF(TAB_ESTOQUE[[#This Row],[Estoque]]=0,"Estoque Não Conforme",IF(TAB_ESTOQUE[[#This Row],[Estoque]]&gt;=TAB_ESTOQUE[[#This Row],[Mínimo]],"Estoque Conforme",IF(TAB_ESTOQUE[[#This Row],[Estoque]]&lt;TAB_ESTOQUE[[#This Row],[Mínimo]],"Estoque em Nivel Minimo")))</f>
        <v>Estoque Conforme</v>
      </c>
      <c r="AC321" s="96"/>
      <c r="AD321" s="82"/>
      <c r="AE321" s="82"/>
      <c r="AF321" s="82"/>
    </row>
    <row r="322" spans="1:32" ht="15" customHeight="1" x14ac:dyDescent="0.25">
      <c r="C322" s="48"/>
      <c r="D322" s="45" t="s">
        <v>7357</v>
      </c>
      <c r="E322" s="46"/>
      <c r="F322" s="46"/>
      <c r="I322" s="45" t="s">
        <v>7994</v>
      </c>
      <c r="O322" s="51" t="s">
        <v>6348</v>
      </c>
      <c r="Q322" s="137">
        <f>VLOOKUP(TAB_ESTOQUE[[#This Row],[Codigo]],TAB_ENTRADA[[Cod_2_Entrada]:[TOTAL_ENTRADA]],5,FALSE)-VLOOKUP(TAB_ESTOQUE[[#This Row],[Codigo]],TAB_SAIDA[[COD_2_SAIDA]:[TOTAL_SAIDA]],5,FALSE)</f>
        <v>1</v>
      </c>
      <c r="S322" s="46"/>
      <c r="T322" s="102"/>
      <c r="U322" s="103">
        <f>TAB_ESTOQUE[[#This Row],[Valor Unitario Estimado]]*TAB_ESTOQUE[[#This Row],[Estoque]]</f>
        <v>0</v>
      </c>
      <c r="V322" s="103"/>
      <c r="AA322" s="138"/>
      <c r="AB322" s="104" t="str">
        <f>IF(TAB_ESTOQUE[[#This Row],[Estoque]]=0,"Estoque Não Conforme",IF(TAB_ESTOQUE[[#This Row],[Estoque]]&gt;=TAB_ESTOQUE[[#This Row],[Mínimo]],"Estoque Conforme",IF(TAB_ESTOQUE[[#This Row],[Estoque]]&lt;TAB_ESTOQUE[[#This Row],[Mínimo]],"Estoque em Nivel Minimo")))</f>
        <v>Estoque Conforme</v>
      </c>
      <c r="AC322" s="104"/>
      <c r="AE322" s="82"/>
      <c r="AF322" s="82"/>
    </row>
    <row r="323" spans="1:32" ht="15" customHeight="1" x14ac:dyDescent="0.25">
      <c r="C323" s="48"/>
      <c r="D323" s="45" t="s">
        <v>7463</v>
      </c>
      <c r="E323" s="46"/>
      <c r="F323" s="46"/>
      <c r="I323" s="45" t="s">
        <v>8012</v>
      </c>
      <c r="O323" s="51" t="s">
        <v>6348</v>
      </c>
      <c r="Q323" s="137">
        <f>VLOOKUP(TAB_ESTOQUE[[#This Row],[Codigo]],TAB_ENTRADA[[Cod_2_Entrada]:[TOTAL_ENTRADA]],5,FALSE)-VLOOKUP(TAB_ESTOQUE[[#This Row],[Codigo]],TAB_SAIDA[[COD_2_SAIDA]:[TOTAL_SAIDA]],5,FALSE)</f>
        <v>2</v>
      </c>
      <c r="S323" s="46"/>
      <c r="T323" s="102">
        <v>318</v>
      </c>
      <c r="U323" s="103">
        <f>TAB_ESTOQUE[[#This Row],[Valor Unitario Estimado]]*TAB_ESTOQUE[[#This Row],[Estoque]]</f>
        <v>636</v>
      </c>
      <c r="V323" s="103"/>
      <c r="AA323" s="138"/>
      <c r="AB323" s="104" t="str">
        <f>IF(TAB_ESTOQUE[[#This Row],[Estoque]]=0,"Estoque Não Conforme",IF(TAB_ESTOQUE[[#This Row],[Estoque]]&gt;=TAB_ESTOQUE[[#This Row],[Mínimo]],"Estoque Conforme",IF(TAB_ESTOQUE[[#This Row],[Estoque]]&lt;TAB_ESTOQUE[[#This Row],[Mínimo]],"Estoque em Nivel Minimo")))</f>
        <v>Estoque Conforme</v>
      </c>
      <c r="AC323" s="104"/>
      <c r="AE323" s="82"/>
      <c r="AF323" s="82"/>
    </row>
    <row r="324" spans="1:32" ht="15" customHeight="1" x14ac:dyDescent="0.25">
      <c r="C324" s="48"/>
      <c r="D324" s="45" t="s">
        <v>7470</v>
      </c>
      <c r="E324" s="46"/>
      <c r="F324" s="46"/>
      <c r="I324" s="45" t="s">
        <v>8013</v>
      </c>
      <c r="O324" s="116" t="s">
        <v>6348</v>
      </c>
      <c r="Q324" s="137">
        <f>VLOOKUP(TAB_ESTOQUE[[#This Row],[Codigo]],TAB_ENTRADA[[Cod_2_Entrada]:[TOTAL_ENTRADA]],5,FALSE)-VLOOKUP(TAB_ESTOQUE[[#This Row],[Codigo]],TAB_SAIDA[[COD_2_SAIDA]:[TOTAL_SAIDA]],5,FALSE)</f>
        <v>1</v>
      </c>
      <c r="S324" s="46"/>
      <c r="T324" s="102">
        <v>220.18</v>
      </c>
      <c r="U324" s="103">
        <f>TAB_ESTOQUE[[#This Row],[Valor Unitario Estimado]]*TAB_ESTOQUE[[#This Row],[Estoque]]</f>
        <v>220.18</v>
      </c>
      <c r="V324" s="103"/>
      <c r="AA324" s="138"/>
      <c r="AB324" s="104" t="str">
        <f>IF(TAB_ESTOQUE[[#This Row],[Estoque]]=0,"Estoque Não Conforme",IF(TAB_ESTOQUE[[#This Row],[Estoque]]&gt;=TAB_ESTOQUE[[#This Row],[Mínimo]],"Estoque Conforme",IF(TAB_ESTOQUE[[#This Row],[Estoque]]&lt;TAB_ESTOQUE[[#This Row],[Mínimo]],"Estoque em Nivel Minimo")))</f>
        <v>Estoque Conforme</v>
      </c>
      <c r="AC324" s="104"/>
      <c r="AE324" s="82"/>
      <c r="AF324" s="82"/>
    </row>
    <row r="325" spans="1:32" ht="15" customHeight="1" x14ac:dyDescent="0.25">
      <c r="A325" s="45">
        <v>949</v>
      </c>
      <c r="B325" s="47"/>
      <c r="C325" s="46"/>
      <c r="D325" s="45" t="s">
        <v>1800</v>
      </c>
      <c r="E325" s="46" t="s">
        <v>6826</v>
      </c>
      <c r="F325" s="87"/>
      <c r="G325" s="82"/>
      <c r="H325" s="82"/>
      <c r="I325" s="209" t="s">
        <v>2808</v>
      </c>
      <c r="J325" s="82"/>
      <c r="K325" s="82"/>
      <c r="L325" s="82"/>
      <c r="M325" s="82"/>
      <c r="N325" s="82"/>
      <c r="O325" s="87" t="s">
        <v>6355</v>
      </c>
      <c r="P325" s="82" t="s">
        <v>732</v>
      </c>
      <c r="Q325" s="83">
        <f>VLOOKUP(TAB_ESTOQUE[[#This Row],[Codigo]],TAB_ENTRADA[[Cod_2_Entrada]:[TOTAL_ENTRADA]],5,FALSE)-VLOOKUP(TAB_ESTOQUE[[#This Row],[Codigo]],TAB_SAIDA[[COD_2_SAIDA]:[TOTAL_SAIDA]],5,FALSE)</f>
        <v>3</v>
      </c>
      <c r="R325" s="87"/>
      <c r="S325" s="87"/>
      <c r="T325" s="90"/>
      <c r="U325" s="91">
        <f>TAB_ESTOQUE[[#This Row],[Valor Unitario Estimado]]*TAB_ESTOQUE[[#This Row],[Estoque]]</f>
        <v>0</v>
      </c>
      <c r="V325" s="91"/>
      <c r="W325" s="85"/>
      <c r="X325" s="85"/>
      <c r="Y325" s="85"/>
      <c r="Z325" s="85"/>
      <c r="AA325" s="85"/>
      <c r="AB325" s="85" t="str">
        <f>IF(TAB_ESTOQUE[[#This Row],[Estoque]]=0,"Estoque Não Conforme",IF(TAB_ESTOQUE[[#This Row],[Estoque]]&gt;=TAB_ESTOQUE[[#This Row],[Mínimo]],"Estoque Conforme",IF(TAB_ESTOQUE[[#This Row],[Estoque]]&lt;TAB_ESTOQUE[[#This Row],[Mínimo]],"Estoque em Nivel Minimo")))</f>
        <v>Estoque Conforme</v>
      </c>
      <c r="AC325" s="85"/>
      <c r="AD325" s="82"/>
      <c r="AE325" s="82"/>
      <c r="AF325" s="82"/>
    </row>
    <row r="326" spans="1:32" ht="15" customHeight="1" x14ac:dyDescent="0.25">
      <c r="A326" s="45">
        <v>14</v>
      </c>
      <c r="B326" s="47"/>
      <c r="C326" s="46"/>
      <c r="D326" s="45" t="s">
        <v>1827</v>
      </c>
      <c r="E326" s="46" t="s">
        <v>7</v>
      </c>
      <c r="F326" s="87"/>
      <c r="G326" s="82"/>
      <c r="H326" s="82"/>
      <c r="I326" s="82" t="s">
        <v>7863</v>
      </c>
      <c r="J326" s="82"/>
      <c r="K326" s="82"/>
      <c r="L326" s="82"/>
      <c r="M326" s="82"/>
      <c r="N326" s="82"/>
      <c r="O326" s="87" t="s">
        <v>6355</v>
      </c>
      <c r="P326" s="82" t="s">
        <v>24</v>
      </c>
      <c r="Q326" s="83">
        <f>VLOOKUP(TAB_ESTOQUE[[#This Row],[Codigo]],TAB_ENTRADA[[Cod_2_Entrada]:[TOTAL_ENTRADA]],5,FALSE)-VLOOKUP(TAB_ESTOQUE[[#This Row],[Codigo]],TAB_SAIDA[[COD_2_SAIDA]:[TOTAL_SAIDA]],5,FALSE)</f>
        <v>6</v>
      </c>
      <c r="R326" s="87"/>
      <c r="S326" s="87"/>
      <c r="T326" s="90">
        <v>587.92999999999995</v>
      </c>
      <c r="U326" s="91">
        <f>TAB_ESTOQUE[[#This Row],[Valor Unitario Estimado]]*TAB_ESTOQUE[[#This Row],[Estoque]]</f>
        <v>3527.58</v>
      </c>
      <c r="V326" s="91"/>
      <c r="W326" s="85"/>
      <c r="X326" s="85"/>
      <c r="Y326" s="85"/>
      <c r="Z326" s="85"/>
      <c r="AA326" s="85"/>
      <c r="AB326" s="85" t="str">
        <f>IF(TAB_ESTOQUE[[#This Row],[Estoque]]=0,"Estoque Não Conforme",IF(TAB_ESTOQUE[[#This Row],[Estoque]]&gt;=TAB_ESTOQUE[[#This Row],[Mínimo]],"Estoque Conforme",IF(TAB_ESTOQUE[[#This Row],[Estoque]]&lt;TAB_ESTOQUE[[#This Row],[Mínimo]],"Estoque em Nivel Minimo")))</f>
        <v>Estoque Conforme</v>
      </c>
      <c r="AC326" s="85"/>
      <c r="AD326" s="82"/>
      <c r="AE326" s="82"/>
      <c r="AF326" s="82"/>
    </row>
    <row r="327" spans="1:32" s="47" customFormat="1" ht="15" customHeight="1" x14ac:dyDescent="0.25">
      <c r="A327" s="45">
        <v>940</v>
      </c>
      <c r="C327" s="46"/>
      <c r="D327" s="45" t="s">
        <v>1831</v>
      </c>
      <c r="E327" s="46" t="s">
        <v>7</v>
      </c>
      <c r="F327" s="87"/>
      <c r="G327" s="82"/>
      <c r="H327" s="82"/>
      <c r="I327" s="82" t="s">
        <v>2826</v>
      </c>
      <c r="J327" s="82"/>
      <c r="K327" s="82"/>
      <c r="L327" s="82"/>
      <c r="M327" s="82"/>
      <c r="N327" s="82"/>
      <c r="O327" s="87" t="s">
        <v>6355</v>
      </c>
      <c r="P327" s="82" t="s">
        <v>722</v>
      </c>
      <c r="Q327" s="83">
        <f>VLOOKUP(TAB_ESTOQUE[[#This Row],[Codigo]],TAB_ENTRADA[[Cod_2_Entrada]:[TOTAL_ENTRADA]],5,FALSE)-VLOOKUP(TAB_ESTOQUE[[#This Row],[Codigo]],TAB_SAIDA[[COD_2_SAIDA]:[TOTAL_SAIDA]],5,FALSE)</f>
        <v>1</v>
      </c>
      <c r="R327" s="87"/>
      <c r="S327" s="87"/>
      <c r="T327" s="90">
        <v>59.3</v>
      </c>
      <c r="U327" s="91">
        <f>TAB_ESTOQUE[[#This Row],[Valor Unitario Estimado]]*TAB_ESTOQUE[[#This Row],[Estoque]]</f>
        <v>59.3</v>
      </c>
      <c r="V327" s="91"/>
      <c r="W327" s="85"/>
      <c r="X327" s="85"/>
      <c r="Y327" s="85"/>
      <c r="Z327" s="85"/>
      <c r="AA327" s="85"/>
      <c r="AB327" s="85" t="str">
        <f>IF(TAB_ESTOQUE[[#This Row],[Estoque]]=0,"Estoque Não Conforme",IF(TAB_ESTOQUE[[#This Row],[Estoque]]&gt;=TAB_ESTOQUE[[#This Row],[Mínimo]],"Estoque Conforme",IF(TAB_ESTOQUE[[#This Row],[Estoque]]&lt;TAB_ESTOQUE[[#This Row],[Mínimo]],"Estoque em Nivel Minimo")))</f>
        <v>Estoque Conforme</v>
      </c>
      <c r="AC327" s="85"/>
      <c r="AD327" s="82"/>
      <c r="AE327" s="94"/>
      <c r="AF327" s="94"/>
    </row>
    <row r="328" spans="1:32" ht="15" customHeight="1" x14ac:dyDescent="0.25">
      <c r="A328" s="45">
        <v>1332</v>
      </c>
      <c r="B328" s="47"/>
      <c r="C328" s="46"/>
      <c r="D328" s="45" t="s">
        <v>1832</v>
      </c>
      <c r="E328" s="46"/>
      <c r="F328" s="87"/>
      <c r="G328" s="82"/>
      <c r="H328" s="82"/>
      <c r="I328" s="82" t="s">
        <v>7867</v>
      </c>
      <c r="J328" s="82"/>
      <c r="K328" s="82"/>
      <c r="L328" s="82"/>
      <c r="M328" s="82"/>
      <c r="N328" s="82"/>
      <c r="O328" s="87" t="s">
        <v>6355</v>
      </c>
      <c r="P328" s="82" t="s">
        <v>1065</v>
      </c>
      <c r="Q328" s="83">
        <f>VLOOKUP(TAB_ESTOQUE[[#This Row],[Codigo]],TAB_ENTRADA[[Cod_2_Entrada]:[TOTAL_ENTRADA]],5,FALSE)-VLOOKUP(TAB_ESTOQUE[[#This Row],[Codigo]],TAB_SAIDA[[COD_2_SAIDA]:[TOTAL_SAIDA]],5,FALSE)</f>
        <v>4</v>
      </c>
      <c r="R328" s="87"/>
      <c r="S328" s="87"/>
      <c r="T328" s="90"/>
      <c r="U328" s="91">
        <f>TAB_ESTOQUE[[#This Row],[Valor Unitario Estimado]]*TAB_ESTOQUE[[#This Row],[Estoque]]</f>
        <v>0</v>
      </c>
      <c r="V328" s="91"/>
      <c r="W328" s="85"/>
      <c r="X328" s="85"/>
      <c r="Y328" s="85"/>
      <c r="Z328" s="85"/>
      <c r="AA328" s="85"/>
      <c r="AB328" s="85" t="str">
        <f>IF(TAB_ESTOQUE[[#This Row],[Estoque]]=0,"Estoque Não Conforme",IF(TAB_ESTOQUE[[#This Row],[Estoque]]&gt;=TAB_ESTOQUE[[#This Row],[Mínimo]],"Estoque Conforme",IF(TAB_ESTOQUE[[#This Row],[Estoque]]&lt;TAB_ESTOQUE[[#This Row],[Mínimo]],"Estoque em Nivel Minimo")))</f>
        <v>Estoque Conforme</v>
      </c>
      <c r="AC328" s="85"/>
      <c r="AD328" s="82"/>
      <c r="AE328" s="82"/>
      <c r="AF328" s="82"/>
    </row>
    <row r="329" spans="1:32" ht="15" customHeight="1" x14ac:dyDescent="0.25">
      <c r="A329" s="45">
        <v>117</v>
      </c>
      <c r="B329" s="47"/>
      <c r="C329" s="46"/>
      <c r="D329" s="45" t="s">
        <v>1833</v>
      </c>
      <c r="E329" s="46" t="s">
        <v>7</v>
      </c>
      <c r="F329" s="87"/>
      <c r="G329" s="82"/>
      <c r="H329" s="82"/>
      <c r="I329" s="82" t="s">
        <v>2828</v>
      </c>
      <c r="J329" s="82"/>
      <c r="K329" s="82"/>
      <c r="L329" s="82"/>
      <c r="M329" s="82"/>
      <c r="N329" s="82"/>
      <c r="O329" s="87" t="s">
        <v>6355</v>
      </c>
      <c r="P329" s="82" t="s">
        <v>75</v>
      </c>
      <c r="Q329" s="83">
        <f>VLOOKUP(TAB_ESTOQUE[[#This Row],[Codigo]],TAB_ENTRADA[[Cod_2_Entrada]:[TOTAL_ENTRADA]],5,FALSE)-VLOOKUP(TAB_ESTOQUE[[#This Row],[Codigo]],TAB_SAIDA[[COD_2_SAIDA]:[TOTAL_SAIDA]],5,FALSE)</f>
        <v>1</v>
      </c>
      <c r="R329" s="87"/>
      <c r="S329" s="87"/>
      <c r="T329" s="90"/>
      <c r="U329" s="91">
        <f>TAB_ESTOQUE[[#This Row],[Valor Unitario Estimado]]*TAB_ESTOQUE[[#This Row],[Estoque]]</f>
        <v>0</v>
      </c>
      <c r="V329" s="91"/>
      <c r="W329" s="85"/>
      <c r="X329" s="85"/>
      <c r="Y329" s="85"/>
      <c r="Z329" s="85"/>
      <c r="AA329" s="85"/>
      <c r="AB329" s="85" t="str">
        <f>IF(TAB_ESTOQUE[[#This Row],[Estoque]]=0,"Estoque Não Conforme",IF(TAB_ESTOQUE[[#This Row],[Estoque]]&gt;=TAB_ESTOQUE[[#This Row],[Mínimo]],"Estoque Conforme",IF(TAB_ESTOQUE[[#This Row],[Estoque]]&lt;TAB_ESTOQUE[[#This Row],[Mínimo]],"Estoque em Nivel Minimo")))</f>
        <v>Estoque Conforme</v>
      </c>
      <c r="AC329" s="85"/>
      <c r="AD329" s="82"/>
      <c r="AE329" s="82"/>
      <c r="AF329" s="82"/>
    </row>
    <row r="330" spans="1:32" ht="15" customHeight="1" x14ac:dyDescent="0.25">
      <c r="A330" s="45">
        <v>113</v>
      </c>
      <c r="B330" s="47"/>
      <c r="C330" s="46"/>
      <c r="D330" s="45" t="s">
        <v>1834</v>
      </c>
      <c r="E330" s="46" t="s">
        <v>8396</v>
      </c>
      <c r="F330" s="87"/>
      <c r="G330" s="82"/>
      <c r="H330" s="82"/>
      <c r="I330" s="82" t="s">
        <v>1441</v>
      </c>
      <c r="J330" s="82"/>
      <c r="K330" s="82"/>
      <c r="L330" s="82"/>
      <c r="M330" s="82"/>
      <c r="N330" s="82"/>
      <c r="O330" s="87" t="s">
        <v>6355</v>
      </c>
      <c r="P330" s="82" t="s">
        <v>73</v>
      </c>
      <c r="Q330" s="83">
        <f>VLOOKUP(TAB_ESTOQUE[[#This Row],[Codigo]],TAB_ENTRADA[[Cod_2_Entrada]:[TOTAL_ENTRADA]],5,FALSE)-VLOOKUP(TAB_ESTOQUE[[#This Row],[Codigo]],TAB_SAIDA[[COD_2_SAIDA]:[TOTAL_SAIDA]],5,FALSE)</f>
        <v>1</v>
      </c>
      <c r="R330" s="87"/>
      <c r="S330" s="87"/>
      <c r="T330" s="90"/>
      <c r="U330" s="91">
        <f>TAB_ESTOQUE[[#This Row],[Valor Unitario Estimado]]*TAB_ESTOQUE[[#This Row],[Estoque]]</f>
        <v>0</v>
      </c>
      <c r="V330" s="91"/>
      <c r="W330" s="85"/>
      <c r="X330" s="85"/>
      <c r="Y330" s="85"/>
      <c r="Z330" s="85"/>
      <c r="AA330" s="85"/>
      <c r="AB330" s="85" t="str">
        <f>IF(TAB_ESTOQUE[[#This Row],[Estoque]]=0,"Estoque Não Conforme",IF(TAB_ESTOQUE[[#This Row],[Estoque]]&gt;=TAB_ESTOQUE[[#This Row],[Mínimo]],"Estoque Conforme",IF(TAB_ESTOQUE[[#This Row],[Estoque]]&lt;TAB_ESTOQUE[[#This Row],[Mínimo]],"Estoque em Nivel Minimo")))</f>
        <v>Estoque Conforme</v>
      </c>
      <c r="AC330" s="85"/>
      <c r="AD330" s="82"/>
      <c r="AE330" s="82"/>
      <c r="AF330" s="82"/>
    </row>
    <row r="331" spans="1:32" ht="15" customHeight="1" x14ac:dyDescent="0.25">
      <c r="A331" s="45">
        <v>1005</v>
      </c>
      <c r="B331" s="47"/>
      <c r="C331" s="46"/>
      <c r="D331" s="45" t="s">
        <v>1835</v>
      </c>
      <c r="E331" s="46" t="s">
        <v>7</v>
      </c>
      <c r="F331" s="87"/>
      <c r="G331" s="82"/>
      <c r="H331" s="82"/>
      <c r="I331" s="82" t="s">
        <v>2829</v>
      </c>
      <c r="J331" s="82"/>
      <c r="K331" s="82"/>
      <c r="L331" s="82"/>
      <c r="M331" s="82"/>
      <c r="N331" s="82"/>
      <c r="O331" s="87" t="s">
        <v>6355</v>
      </c>
      <c r="P331" s="82" t="s">
        <v>774</v>
      </c>
      <c r="Q331" s="83">
        <f>VLOOKUP(TAB_ESTOQUE[[#This Row],[Codigo]],TAB_ENTRADA[[Cod_2_Entrada]:[TOTAL_ENTRADA]],5,FALSE)-VLOOKUP(TAB_ESTOQUE[[#This Row],[Codigo]],TAB_SAIDA[[COD_2_SAIDA]:[TOTAL_SAIDA]],5,FALSE)</f>
        <v>1</v>
      </c>
      <c r="R331" s="87"/>
      <c r="S331" s="87"/>
      <c r="T331" s="90"/>
      <c r="U331" s="91">
        <f>TAB_ESTOQUE[[#This Row],[Valor Unitario Estimado]]*TAB_ESTOQUE[[#This Row],[Estoque]]</f>
        <v>0</v>
      </c>
      <c r="V331" s="91"/>
      <c r="W331" s="85"/>
      <c r="X331" s="85"/>
      <c r="Y331" s="85"/>
      <c r="Z331" s="85"/>
      <c r="AA331" s="85"/>
      <c r="AB331" s="85" t="str">
        <f>IF(TAB_ESTOQUE[[#This Row],[Estoque]]=0,"Estoque Não Conforme",IF(TAB_ESTOQUE[[#This Row],[Estoque]]&gt;=TAB_ESTOQUE[[#This Row],[Mínimo]],"Estoque Conforme",IF(TAB_ESTOQUE[[#This Row],[Estoque]]&lt;TAB_ESTOQUE[[#This Row],[Mínimo]],"Estoque em Nivel Minimo")))</f>
        <v>Estoque Conforme</v>
      </c>
      <c r="AC331" s="85"/>
      <c r="AD331" s="82"/>
      <c r="AE331" s="82"/>
      <c r="AF331" s="82"/>
    </row>
    <row r="332" spans="1:32" ht="15" customHeight="1" x14ac:dyDescent="0.25">
      <c r="A332" s="45">
        <v>592</v>
      </c>
      <c r="B332" s="47"/>
      <c r="C332" s="46"/>
      <c r="D332" s="45" t="s">
        <v>1837</v>
      </c>
      <c r="E332" s="46" t="s">
        <v>7</v>
      </c>
      <c r="F332" s="87"/>
      <c r="G332" s="82"/>
      <c r="H332" s="82"/>
      <c r="I332" s="82" t="s">
        <v>7864</v>
      </c>
      <c r="J332" s="82"/>
      <c r="K332" s="82"/>
      <c r="L332" s="82"/>
      <c r="M332" s="82"/>
      <c r="N332" s="82"/>
      <c r="O332" s="87" t="s">
        <v>6355</v>
      </c>
      <c r="P332" s="82" t="s">
        <v>369</v>
      </c>
      <c r="Q332" s="83">
        <f>VLOOKUP(TAB_ESTOQUE[[#This Row],[Codigo]],TAB_ENTRADA[[Cod_2_Entrada]:[TOTAL_ENTRADA]],5,FALSE)-VLOOKUP(TAB_ESTOQUE[[#This Row],[Codigo]],TAB_SAIDA[[COD_2_SAIDA]:[TOTAL_SAIDA]],5,FALSE)</f>
        <v>3</v>
      </c>
      <c r="R332" s="87"/>
      <c r="S332" s="87"/>
      <c r="T332" s="90">
        <v>345</v>
      </c>
      <c r="U332" s="91">
        <f>TAB_ESTOQUE[[#This Row],[Valor Unitario Estimado]]*TAB_ESTOQUE[[#This Row],[Estoque]]</f>
        <v>1035</v>
      </c>
      <c r="V332" s="91"/>
      <c r="W332" s="85"/>
      <c r="X332" s="85"/>
      <c r="Y332" s="85"/>
      <c r="Z332" s="85"/>
      <c r="AA332" s="85"/>
      <c r="AB332" s="85" t="str">
        <f>IF(TAB_ESTOQUE[[#This Row],[Estoque]]=0,"Estoque Não Conforme",IF(TAB_ESTOQUE[[#This Row],[Estoque]]&gt;=TAB_ESTOQUE[[#This Row],[Mínimo]],"Estoque Conforme",IF(TAB_ESTOQUE[[#This Row],[Estoque]]&lt;TAB_ESTOQUE[[#This Row],[Mínimo]],"Estoque em Nivel Minimo")))</f>
        <v>Estoque Conforme</v>
      </c>
      <c r="AC332" s="85"/>
      <c r="AD332" s="82"/>
      <c r="AE332" s="82"/>
      <c r="AF332" s="82"/>
    </row>
    <row r="333" spans="1:32" ht="15" customHeight="1" x14ac:dyDescent="0.25">
      <c r="A333" s="45">
        <v>111</v>
      </c>
      <c r="B333" s="47"/>
      <c r="C333" s="46"/>
      <c r="D333" s="45" t="s">
        <v>1838</v>
      </c>
      <c r="E333" s="46" t="s">
        <v>7</v>
      </c>
      <c r="F333" s="87"/>
      <c r="G333" s="82"/>
      <c r="H333" s="82"/>
      <c r="I333" s="82" t="s">
        <v>7866</v>
      </c>
      <c r="J333" s="82"/>
      <c r="K333" s="82"/>
      <c r="L333" s="82"/>
      <c r="M333" s="82"/>
      <c r="N333" s="82"/>
      <c r="O333" s="87" t="s">
        <v>6355</v>
      </c>
      <c r="P333" s="82" t="s">
        <v>70</v>
      </c>
      <c r="Q333" s="83">
        <f>VLOOKUP(TAB_ESTOQUE[[#This Row],[Codigo]],TAB_ENTRADA[[Cod_2_Entrada]:[TOTAL_ENTRADA]],5,FALSE)-VLOOKUP(TAB_ESTOQUE[[#This Row],[Codigo]],TAB_SAIDA[[COD_2_SAIDA]:[TOTAL_SAIDA]],5,FALSE)</f>
        <v>1</v>
      </c>
      <c r="R333" s="87"/>
      <c r="S333" s="87"/>
      <c r="T333" s="90"/>
      <c r="U333" s="91">
        <f>TAB_ESTOQUE[[#This Row],[Valor Unitario Estimado]]*TAB_ESTOQUE[[#This Row],[Estoque]]</f>
        <v>0</v>
      </c>
      <c r="V333" s="91"/>
      <c r="W333" s="85"/>
      <c r="X333" s="85"/>
      <c r="Y333" s="85"/>
      <c r="Z333" s="85"/>
      <c r="AA333" s="85"/>
      <c r="AB333" s="85" t="str">
        <f>IF(TAB_ESTOQUE[[#This Row],[Estoque]]=0,"Estoque Não Conforme",IF(TAB_ESTOQUE[[#This Row],[Estoque]]&gt;=TAB_ESTOQUE[[#This Row],[Mínimo]],"Estoque Conforme",IF(TAB_ESTOQUE[[#This Row],[Estoque]]&lt;TAB_ESTOQUE[[#This Row],[Mínimo]],"Estoque em Nivel Minimo")))</f>
        <v>Estoque Conforme</v>
      </c>
      <c r="AC333" s="85"/>
      <c r="AD333" s="82"/>
      <c r="AE333" s="82"/>
      <c r="AF333" s="82"/>
    </row>
    <row r="334" spans="1:32" ht="15" customHeight="1" x14ac:dyDescent="0.25">
      <c r="A334" s="45">
        <v>1368</v>
      </c>
      <c r="B334" s="47"/>
      <c r="C334" s="46"/>
      <c r="D334" s="45" t="s">
        <v>1842</v>
      </c>
      <c r="E334" s="46" t="s">
        <v>7</v>
      </c>
      <c r="F334" s="87"/>
      <c r="G334" s="82"/>
      <c r="H334" s="82"/>
      <c r="I334" s="82" t="s">
        <v>3059</v>
      </c>
      <c r="J334" s="82"/>
      <c r="K334" s="82"/>
      <c r="L334" s="82"/>
      <c r="M334" s="82"/>
      <c r="N334" s="82"/>
      <c r="O334" s="87" t="s">
        <v>6355</v>
      </c>
      <c r="P334" s="82" t="s">
        <v>1102</v>
      </c>
      <c r="Q334" s="83">
        <f>VLOOKUP(TAB_ESTOQUE[[#This Row],[Codigo]],TAB_ENTRADA[[Cod_2_Entrada]:[TOTAL_ENTRADA]],5,FALSE)-VLOOKUP(TAB_ESTOQUE[[#This Row],[Codigo]],TAB_SAIDA[[COD_2_SAIDA]:[TOTAL_SAIDA]],5,FALSE)</f>
        <v>1</v>
      </c>
      <c r="R334" s="87"/>
      <c r="S334" s="87"/>
      <c r="T334" s="90"/>
      <c r="U334" s="91">
        <f>TAB_ESTOQUE[[#This Row],[Valor Unitario Estimado]]*TAB_ESTOQUE[[#This Row],[Estoque]]</f>
        <v>0</v>
      </c>
      <c r="V334" s="91"/>
      <c r="W334" s="85"/>
      <c r="X334" s="85"/>
      <c r="Y334" s="85"/>
      <c r="Z334" s="85"/>
      <c r="AA334" s="85"/>
      <c r="AB334" s="85" t="str">
        <f>IF(TAB_ESTOQUE[[#This Row],[Estoque]]=0,"Estoque Não Conforme",IF(TAB_ESTOQUE[[#This Row],[Estoque]]&gt;=TAB_ESTOQUE[[#This Row],[Mínimo]],"Estoque Conforme",IF(TAB_ESTOQUE[[#This Row],[Estoque]]&lt;TAB_ESTOQUE[[#This Row],[Mínimo]],"Estoque em Nivel Minimo")))</f>
        <v>Estoque Conforme</v>
      </c>
      <c r="AC334" s="85"/>
      <c r="AD334" s="82"/>
      <c r="AE334" s="82"/>
      <c r="AF334" s="82"/>
    </row>
    <row r="335" spans="1:32" ht="15" customHeight="1" x14ac:dyDescent="0.25">
      <c r="B335" s="47"/>
      <c r="C335" s="46"/>
      <c r="D335" s="45" t="s">
        <v>2677</v>
      </c>
      <c r="E335" s="46"/>
      <c r="F335" s="87"/>
      <c r="G335" s="82"/>
      <c r="H335" s="82"/>
      <c r="I335" s="82" t="s">
        <v>1390</v>
      </c>
      <c r="J335" s="82"/>
      <c r="K335" s="82"/>
      <c r="L335" s="82"/>
      <c r="M335" s="82"/>
      <c r="N335" s="82"/>
      <c r="O335" s="87" t="s">
        <v>6355</v>
      </c>
      <c r="P335" s="82" t="s">
        <v>1279</v>
      </c>
      <c r="Q335" s="83">
        <f>VLOOKUP(TAB_ESTOQUE[[#This Row],[Codigo]],TAB_ENTRADA[[Cod_2_Entrada]:[TOTAL_ENTRADA]],5,FALSE)-VLOOKUP(TAB_ESTOQUE[[#This Row],[Codigo]],TAB_SAIDA[[COD_2_SAIDA]:[TOTAL_SAIDA]],5,FALSE)</f>
        <v>0</v>
      </c>
      <c r="R335" s="87"/>
      <c r="S335" s="87"/>
      <c r="T335" s="90"/>
      <c r="U335" s="91">
        <f>TAB_ESTOQUE[[#This Row],[Valor Unitario Estimado]]*TAB_ESTOQUE[[#This Row],[Estoque]]</f>
        <v>0</v>
      </c>
      <c r="V335" s="91"/>
      <c r="W335" s="85"/>
      <c r="X335" s="85"/>
      <c r="Y335" s="85"/>
      <c r="Z335" s="85"/>
      <c r="AA335" s="85"/>
      <c r="AB335" s="96" t="str">
        <f>IF(TAB_ESTOQUE[[#This Row],[Estoque]]=0,"Estoque Não Conforme",IF(TAB_ESTOQUE[[#This Row],[Estoque]]&gt;=TAB_ESTOQUE[[#This Row],[Mínimo]],"Estoque Conforme",IF(TAB_ESTOQUE[[#This Row],[Estoque]]&lt;TAB_ESTOQUE[[#This Row],[Mínimo]],"Estoque em Nivel Minimo")))</f>
        <v>Estoque Não Conforme</v>
      </c>
      <c r="AC335" s="85"/>
      <c r="AD335" s="82"/>
      <c r="AE335" s="82"/>
      <c r="AF335" s="82"/>
    </row>
    <row r="336" spans="1:32" ht="15" customHeight="1" x14ac:dyDescent="0.25">
      <c r="C336" s="48"/>
      <c r="D336" s="45" t="s">
        <v>7033</v>
      </c>
      <c r="E336" s="46" t="s">
        <v>6826</v>
      </c>
      <c r="F336" s="46"/>
      <c r="I336" s="45" t="s">
        <v>7298</v>
      </c>
      <c r="O336" s="46" t="s">
        <v>6355</v>
      </c>
      <c r="Q336" s="137">
        <f>VLOOKUP(TAB_ESTOQUE[[#This Row],[Codigo]],TAB_ENTRADA[[Cod_2_Entrada]:[TOTAL_ENTRADA]],5,FALSE)-VLOOKUP(TAB_ESTOQUE[[#This Row],[Codigo]],TAB_SAIDA[[COD_2_SAIDA]:[TOTAL_SAIDA]],5,FALSE)</f>
        <v>0</v>
      </c>
      <c r="S336" s="46"/>
      <c r="T336" s="102">
        <v>22.5</v>
      </c>
      <c r="U336" s="103">
        <f>TAB_ESTOQUE[[#This Row],[Valor Unitario Estimado]]*TAB_ESTOQUE[[#This Row],[Estoque]]</f>
        <v>0</v>
      </c>
      <c r="V336" s="103"/>
      <c r="AA336" s="138"/>
      <c r="AB336" s="104" t="str">
        <f>IF(TAB_ESTOQUE[[#This Row],[Estoque]]=0,"Estoque Não Conforme",IF(TAB_ESTOQUE[[#This Row],[Estoque]]&gt;=TAB_ESTOQUE[[#This Row],[Mínimo]],"Estoque Conforme",IF(TAB_ESTOQUE[[#This Row],[Estoque]]&lt;TAB_ESTOQUE[[#This Row],[Mínimo]],"Estoque em Nivel Minimo")))</f>
        <v>Estoque Não Conforme</v>
      </c>
      <c r="AC336" s="104"/>
      <c r="AE336" s="82"/>
      <c r="AF336" s="82"/>
    </row>
    <row r="337" spans="1:32" ht="15" customHeight="1" x14ac:dyDescent="0.25">
      <c r="C337" s="48"/>
      <c r="D337" s="45" t="s">
        <v>7090</v>
      </c>
      <c r="E337" s="46" t="s">
        <v>7387</v>
      </c>
      <c r="F337" s="46"/>
      <c r="I337" s="45" t="s">
        <v>7995</v>
      </c>
      <c r="O337" s="46" t="s">
        <v>6355</v>
      </c>
      <c r="Q337" s="137">
        <f>VLOOKUP(TAB_ESTOQUE[[#This Row],[Codigo]],TAB_ENTRADA[[Cod_2_Entrada]:[TOTAL_ENTRADA]],5,FALSE)-VLOOKUP(TAB_ESTOQUE[[#This Row],[Codigo]],TAB_SAIDA[[COD_2_SAIDA]:[TOTAL_SAIDA]],5,FALSE)</f>
        <v>0</v>
      </c>
      <c r="S337" s="46"/>
      <c r="T337" s="102">
        <v>643.9</v>
      </c>
      <c r="U337" s="103">
        <f>TAB_ESTOQUE[[#This Row],[Valor Unitario Estimado]]*TAB_ESTOQUE[[#This Row],[Estoque]]</f>
        <v>0</v>
      </c>
      <c r="V337" s="103"/>
      <c r="AA337" s="138"/>
      <c r="AB337" s="104" t="str">
        <f>IF(TAB_ESTOQUE[[#This Row],[Estoque]]=0,"Estoque Não Conforme",IF(TAB_ESTOQUE[[#This Row],[Estoque]]&gt;=TAB_ESTOQUE[[#This Row],[Mínimo]],"Estoque Conforme",IF(TAB_ESTOQUE[[#This Row],[Estoque]]&lt;TAB_ESTOQUE[[#This Row],[Mínimo]],"Estoque em Nivel Minimo")))</f>
        <v>Estoque Não Conforme</v>
      </c>
      <c r="AC337" s="104"/>
      <c r="AE337" s="82"/>
      <c r="AF337" s="82"/>
    </row>
    <row r="338" spans="1:32" ht="15" customHeight="1" x14ac:dyDescent="0.25">
      <c r="C338" s="48"/>
      <c r="D338" s="45" t="s">
        <v>7515</v>
      </c>
      <c r="E338" s="46" t="s">
        <v>8039</v>
      </c>
      <c r="F338" s="46"/>
      <c r="I338" s="45" t="s">
        <v>8042</v>
      </c>
      <c r="O338" s="51" t="s">
        <v>6355</v>
      </c>
      <c r="Q338" s="137">
        <f>VLOOKUP(TAB_ESTOQUE[[#This Row],[Codigo]],TAB_ENTRADA[[Cod_2_Entrada]:[TOTAL_ENTRADA]],5,FALSE)-VLOOKUP(TAB_ESTOQUE[[#This Row],[Codigo]],TAB_SAIDA[[COD_2_SAIDA]:[TOTAL_SAIDA]],5,FALSE)</f>
        <v>1</v>
      </c>
      <c r="S338" s="46"/>
      <c r="T338" s="102">
        <v>720</v>
      </c>
      <c r="U338" s="103">
        <f>TAB_ESTOQUE[[#This Row],[Valor Unitario Estimado]]*TAB_ESTOQUE[[#This Row],[Estoque]]</f>
        <v>720</v>
      </c>
      <c r="V338" s="103"/>
      <c r="AA338" s="138"/>
      <c r="AB338" s="104" t="str">
        <f>IF(TAB_ESTOQUE[[#This Row],[Estoque]]=0,"Estoque Não Conforme",IF(TAB_ESTOQUE[[#This Row],[Estoque]]&gt;=TAB_ESTOQUE[[#This Row],[Mínimo]],"Estoque Conforme",IF(TAB_ESTOQUE[[#This Row],[Estoque]]&lt;TAB_ESTOQUE[[#This Row],[Mínimo]],"Estoque em Nivel Minimo")))</f>
        <v>Estoque Conforme</v>
      </c>
      <c r="AC338" s="104"/>
      <c r="AE338" s="82"/>
      <c r="AF338" s="82"/>
    </row>
    <row r="339" spans="1:32" ht="15" customHeight="1" x14ac:dyDescent="0.25">
      <c r="A339" s="45">
        <v>12</v>
      </c>
      <c r="B339" s="47"/>
      <c r="C339" s="46" t="s">
        <v>2833</v>
      </c>
      <c r="D339" s="45" t="s">
        <v>1839</v>
      </c>
      <c r="E339" s="46" t="s">
        <v>7</v>
      </c>
      <c r="F339" s="87"/>
      <c r="G339" s="82"/>
      <c r="H339" s="82"/>
      <c r="I339" s="82" t="s">
        <v>7993</v>
      </c>
      <c r="J339" s="82"/>
      <c r="K339" s="82"/>
      <c r="L339" s="82"/>
      <c r="M339" s="82"/>
      <c r="N339" s="82"/>
      <c r="O339" s="87" t="s">
        <v>6247</v>
      </c>
      <c r="P339" s="82" t="s">
        <v>22</v>
      </c>
      <c r="Q339" s="83">
        <f>VLOOKUP(TAB_ESTOQUE[[#This Row],[Codigo]],TAB_ENTRADA[[Cod_2_Entrada]:[TOTAL_ENTRADA]],5,FALSE)-VLOOKUP(TAB_ESTOQUE[[#This Row],[Codigo]],TAB_SAIDA[[COD_2_SAIDA]:[TOTAL_SAIDA]],5,FALSE)</f>
        <v>0</v>
      </c>
      <c r="R339" s="87"/>
      <c r="S339" s="87"/>
      <c r="T339" s="90"/>
      <c r="U339" s="91">
        <f>TAB_ESTOQUE[[#This Row],[Valor Unitario Estimado]]*TAB_ESTOQUE[[#This Row],[Estoque]]</f>
        <v>0</v>
      </c>
      <c r="V339" s="91"/>
      <c r="W339" s="85"/>
      <c r="X339" s="85"/>
      <c r="Y339" s="85"/>
      <c r="Z339" s="85"/>
      <c r="AA339" s="85"/>
      <c r="AB339" s="85" t="str">
        <f>IF(TAB_ESTOQUE[[#This Row],[Estoque]]=0,"Estoque Não Conforme",IF(TAB_ESTOQUE[[#This Row],[Estoque]]&gt;=TAB_ESTOQUE[[#This Row],[Mínimo]],"Estoque Conforme",IF(TAB_ESTOQUE[[#This Row],[Estoque]]&lt;TAB_ESTOQUE[[#This Row],[Mínimo]],"Estoque em Nivel Minimo")))</f>
        <v>Estoque Não Conforme</v>
      </c>
      <c r="AC339" s="85"/>
      <c r="AD339" s="82"/>
      <c r="AE339" s="82"/>
      <c r="AF339" s="82"/>
    </row>
    <row r="340" spans="1:32" ht="15" customHeight="1" x14ac:dyDescent="0.25">
      <c r="A340" s="45">
        <v>110</v>
      </c>
      <c r="B340" s="47"/>
      <c r="C340" s="46"/>
      <c r="D340" s="45" t="s">
        <v>1840</v>
      </c>
      <c r="E340" s="46" t="s">
        <v>1240</v>
      </c>
      <c r="F340" s="87"/>
      <c r="G340" s="82"/>
      <c r="H340" s="82"/>
      <c r="I340" s="82" t="s">
        <v>6359</v>
      </c>
      <c r="J340" s="82"/>
      <c r="K340" s="82"/>
      <c r="L340" s="82"/>
      <c r="M340" s="82"/>
      <c r="N340" s="82"/>
      <c r="O340" s="87" t="s">
        <v>6247</v>
      </c>
      <c r="P340" s="82" t="s">
        <v>69</v>
      </c>
      <c r="Q340" s="83">
        <f>VLOOKUP(TAB_ESTOQUE[[#This Row],[Codigo]],TAB_ENTRADA[[Cod_2_Entrada]:[TOTAL_ENTRADA]],5,FALSE)-VLOOKUP(TAB_ESTOQUE[[#This Row],[Codigo]],TAB_SAIDA[[COD_2_SAIDA]:[TOTAL_SAIDA]],5,FALSE)</f>
        <v>2</v>
      </c>
      <c r="R340" s="87"/>
      <c r="S340" s="87"/>
      <c r="T340" s="90"/>
      <c r="U340" s="91">
        <f>TAB_ESTOQUE[[#This Row],[Valor Unitario Estimado]]*TAB_ESTOQUE[[#This Row],[Estoque]]</f>
        <v>0</v>
      </c>
      <c r="V340" s="91"/>
      <c r="W340" s="85"/>
      <c r="X340" s="85"/>
      <c r="Y340" s="85"/>
      <c r="Z340" s="85"/>
      <c r="AA340" s="85"/>
      <c r="AB340" s="85" t="str">
        <f>IF(TAB_ESTOQUE[[#This Row],[Estoque]]=0,"Estoque Não Conforme",IF(TAB_ESTOQUE[[#This Row],[Estoque]]&gt;=TAB_ESTOQUE[[#This Row],[Mínimo]],"Estoque Conforme",IF(TAB_ESTOQUE[[#This Row],[Estoque]]&lt;TAB_ESTOQUE[[#This Row],[Mínimo]],"Estoque em Nivel Minimo")))</f>
        <v>Estoque Conforme</v>
      </c>
      <c r="AC340" s="85"/>
      <c r="AD340" s="82"/>
      <c r="AE340" s="82"/>
      <c r="AF340" s="82"/>
    </row>
    <row r="341" spans="1:32" ht="15" customHeight="1" x14ac:dyDescent="0.25">
      <c r="A341" s="45">
        <v>1333</v>
      </c>
      <c r="B341" s="47"/>
      <c r="C341" s="46"/>
      <c r="D341" s="45" t="s">
        <v>1841</v>
      </c>
      <c r="E341" s="46"/>
      <c r="F341" s="87"/>
      <c r="G341" s="82"/>
      <c r="H341" s="82"/>
      <c r="I341" s="82" t="s">
        <v>80</v>
      </c>
      <c r="J341" s="82"/>
      <c r="K341" s="82"/>
      <c r="L341" s="82"/>
      <c r="M341" s="82"/>
      <c r="N341" s="82"/>
      <c r="O341" s="87" t="s">
        <v>6247</v>
      </c>
      <c r="P341" s="82" t="s">
        <v>1066</v>
      </c>
      <c r="Q341" s="83">
        <f>VLOOKUP(TAB_ESTOQUE[[#This Row],[Codigo]],TAB_ENTRADA[[Cod_2_Entrada]:[TOTAL_ENTRADA]],5,FALSE)-VLOOKUP(TAB_ESTOQUE[[#This Row],[Codigo]],TAB_SAIDA[[COD_2_SAIDA]:[TOTAL_SAIDA]],5,FALSE)</f>
        <v>3</v>
      </c>
      <c r="R341" s="87"/>
      <c r="S341" s="87"/>
      <c r="T341" s="90"/>
      <c r="U341" s="91">
        <f>TAB_ESTOQUE[[#This Row],[Valor Unitario Estimado]]*TAB_ESTOQUE[[#This Row],[Estoque]]</f>
        <v>0</v>
      </c>
      <c r="V341" s="91"/>
      <c r="W341" s="85"/>
      <c r="X341" s="85"/>
      <c r="Y341" s="85"/>
      <c r="Z341" s="85"/>
      <c r="AA341" s="85"/>
      <c r="AB341" s="85" t="str">
        <f>IF(TAB_ESTOQUE[[#This Row],[Estoque]]=0,"Estoque Não Conforme",IF(TAB_ESTOQUE[[#This Row],[Estoque]]&gt;=TAB_ESTOQUE[[#This Row],[Mínimo]],"Estoque Conforme",IF(TAB_ESTOQUE[[#This Row],[Estoque]]&lt;TAB_ESTOQUE[[#This Row],[Mínimo]],"Estoque em Nivel Minimo")))</f>
        <v>Estoque Conforme</v>
      </c>
      <c r="AC341" s="85"/>
      <c r="AD341" s="82"/>
      <c r="AE341" s="82"/>
      <c r="AF341" s="82"/>
    </row>
    <row r="342" spans="1:32" ht="15" customHeight="1" x14ac:dyDescent="0.25">
      <c r="A342" s="45">
        <v>1367</v>
      </c>
      <c r="B342" s="47"/>
      <c r="C342" s="46"/>
      <c r="D342" s="45" t="s">
        <v>1843</v>
      </c>
      <c r="E342" s="46"/>
      <c r="F342" s="87"/>
      <c r="G342" s="82"/>
      <c r="H342" s="82"/>
      <c r="I342" s="82" t="s">
        <v>82</v>
      </c>
      <c r="J342" s="82"/>
      <c r="K342" s="82"/>
      <c r="L342" s="82"/>
      <c r="M342" s="82"/>
      <c r="N342" s="82"/>
      <c r="O342" s="87" t="s">
        <v>6247</v>
      </c>
      <c r="P342" s="82" t="s">
        <v>1101</v>
      </c>
      <c r="Q342" s="83">
        <f>VLOOKUP(TAB_ESTOQUE[[#This Row],[Codigo]],TAB_ENTRADA[[Cod_2_Entrada]:[TOTAL_ENTRADA]],5,FALSE)-VLOOKUP(TAB_ESTOQUE[[#This Row],[Codigo]],TAB_SAIDA[[COD_2_SAIDA]:[TOTAL_SAIDA]],5,FALSE)</f>
        <v>0</v>
      </c>
      <c r="R342" s="87"/>
      <c r="S342" s="87"/>
      <c r="T342" s="90">
        <v>30</v>
      </c>
      <c r="U342" s="91">
        <f>TAB_ESTOQUE[[#This Row],[Valor Unitario Estimado]]*TAB_ESTOQUE[[#This Row],[Estoque]]</f>
        <v>0</v>
      </c>
      <c r="V342" s="91"/>
      <c r="W342" s="85"/>
      <c r="X342" s="85"/>
      <c r="Y342" s="85"/>
      <c r="Z342" s="85"/>
      <c r="AA342" s="85"/>
      <c r="AB342" s="85" t="str">
        <f>IF(TAB_ESTOQUE[[#This Row],[Estoque]]=0,"Estoque Não Conforme",IF(TAB_ESTOQUE[[#This Row],[Estoque]]&gt;=TAB_ESTOQUE[[#This Row],[Mínimo]],"Estoque Conforme",IF(TAB_ESTOQUE[[#This Row],[Estoque]]&lt;TAB_ESTOQUE[[#This Row],[Mínimo]],"Estoque em Nivel Minimo")))</f>
        <v>Estoque Não Conforme</v>
      </c>
      <c r="AC342" s="85"/>
      <c r="AD342" s="82"/>
      <c r="AE342" s="82"/>
      <c r="AF342" s="82"/>
    </row>
    <row r="343" spans="1:32" ht="15" customHeight="1" x14ac:dyDescent="0.25">
      <c r="A343" s="45">
        <v>1239</v>
      </c>
      <c r="B343" s="47"/>
      <c r="C343" s="46"/>
      <c r="D343" s="45" t="s">
        <v>1845</v>
      </c>
      <c r="E343" s="46" t="s">
        <v>7</v>
      </c>
      <c r="F343" s="87"/>
      <c r="G343" s="82"/>
      <c r="H343" s="82"/>
      <c r="I343" s="82" t="s">
        <v>2927</v>
      </c>
      <c r="J343" s="82"/>
      <c r="K343" s="82"/>
      <c r="L343" s="82"/>
      <c r="M343" s="82"/>
      <c r="N343" s="82"/>
      <c r="O343" s="87" t="s">
        <v>6247</v>
      </c>
      <c r="P343" s="82" t="s">
        <v>957</v>
      </c>
      <c r="Q343" s="83">
        <f>VLOOKUP(TAB_ESTOQUE[[#This Row],[Codigo]],TAB_ENTRADA[[Cod_2_Entrada]:[TOTAL_ENTRADA]],5,FALSE)-VLOOKUP(TAB_ESTOQUE[[#This Row],[Codigo]],TAB_SAIDA[[COD_2_SAIDA]:[TOTAL_SAIDA]],5,FALSE)</f>
        <v>0</v>
      </c>
      <c r="R343" s="87"/>
      <c r="S343" s="87"/>
      <c r="T343" s="90">
        <v>18.899999999999999</v>
      </c>
      <c r="U343" s="91">
        <f>TAB_ESTOQUE[[#This Row],[Valor Unitario Estimado]]*TAB_ESTOQUE[[#This Row],[Estoque]]</f>
        <v>0</v>
      </c>
      <c r="V343" s="91"/>
      <c r="W343" s="85"/>
      <c r="X343" s="85"/>
      <c r="Y343" s="85"/>
      <c r="Z343" s="85"/>
      <c r="AA343" s="85"/>
      <c r="AB343" s="85" t="str">
        <f>IF(TAB_ESTOQUE[[#This Row],[Estoque]]=0,"Estoque Não Conforme",IF(TAB_ESTOQUE[[#This Row],[Estoque]]&gt;=TAB_ESTOQUE[[#This Row],[Mínimo]],"Estoque Conforme",IF(TAB_ESTOQUE[[#This Row],[Estoque]]&lt;TAB_ESTOQUE[[#This Row],[Mínimo]],"Estoque em Nivel Minimo")))</f>
        <v>Estoque Não Conforme</v>
      </c>
      <c r="AC343" s="85"/>
      <c r="AD343" s="82"/>
      <c r="AE343" s="82"/>
      <c r="AF343" s="82"/>
    </row>
    <row r="344" spans="1:32" ht="15" customHeight="1" x14ac:dyDescent="0.25">
      <c r="A344" s="45">
        <v>124</v>
      </c>
      <c r="B344" s="47"/>
      <c r="C344" s="46"/>
      <c r="D344" s="45" t="s">
        <v>1846</v>
      </c>
      <c r="E344" s="46" t="s">
        <v>7</v>
      </c>
      <c r="F344" s="87"/>
      <c r="G344" s="82"/>
      <c r="H344" s="82"/>
      <c r="I344" s="82" t="s">
        <v>6071</v>
      </c>
      <c r="J344" s="82"/>
      <c r="K344" s="82"/>
      <c r="L344" s="82"/>
      <c r="M344" s="82"/>
      <c r="N344" s="82"/>
      <c r="O344" s="87" t="s">
        <v>6247</v>
      </c>
      <c r="P344" s="82" t="s">
        <v>81</v>
      </c>
      <c r="Q344" s="83">
        <f>VLOOKUP(TAB_ESTOQUE[[#This Row],[Codigo]],TAB_ENTRADA[[Cod_2_Entrada]:[TOTAL_ENTRADA]],5,FALSE)-VLOOKUP(TAB_ESTOQUE[[#This Row],[Codigo]],TAB_SAIDA[[COD_2_SAIDA]:[TOTAL_SAIDA]],5,FALSE)</f>
        <v>1</v>
      </c>
      <c r="R344" s="87"/>
      <c r="S344" s="87"/>
      <c r="T344" s="90"/>
      <c r="U344" s="91">
        <f>TAB_ESTOQUE[[#This Row],[Valor Unitario Estimado]]*TAB_ESTOQUE[[#This Row],[Estoque]]</f>
        <v>0</v>
      </c>
      <c r="V344" s="91"/>
      <c r="W344" s="85"/>
      <c r="X344" s="85"/>
      <c r="Y344" s="85"/>
      <c r="Z344" s="85"/>
      <c r="AA344" s="85"/>
      <c r="AB344" s="85" t="str">
        <f>IF(TAB_ESTOQUE[[#This Row],[Estoque]]=0,"Estoque Não Conforme",IF(TAB_ESTOQUE[[#This Row],[Estoque]]&gt;=TAB_ESTOQUE[[#This Row],[Mínimo]],"Estoque Conforme",IF(TAB_ESTOQUE[[#This Row],[Estoque]]&lt;TAB_ESTOQUE[[#This Row],[Mínimo]],"Estoque em Nivel Minimo")))</f>
        <v>Estoque Conforme</v>
      </c>
      <c r="AC344" s="85"/>
      <c r="AD344" s="82"/>
      <c r="AE344" s="82"/>
      <c r="AF344" s="82"/>
    </row>
    <row r="345" spans="1:32" ht="15" customHeight="1" x14ac:dyDescent="0.25">
      <c r="A345" s="45">
        <v>112</v>
      </c>
      <c r="B345" s="47"/>
      <c r="C345" s="46"/>
      <c r="D345" s="45" t="s">
        <v>1847</v>
      </c>
      <c r="E345" s="46"/>
      <c r="F345" s="87"/>
      <c r="G345" s="82"/>
      <c r="H345" s="82"/>
      <c r="I345" s="82" t="s">
        <v>2880</v>
      </c>
      <c r="J345" s="82"/>
      <c r="K345" s="82"/>
      <c r="L345" s="82"/>
      <c r="M345" s="82"/>
      <c r="N345" s="82"/>
      <c r="O345" s="87" t="s">
        <v>6247</v>
      </c>
      <c r="P345" s="82" t="s">
        <v>71</v>
      </c>
      <c r="Q345" s="83">
        <f>VLOOKUP(TAB_ESTOQUE[[#This Row],[Codigo]],TAB_ENTRADA[[Cod_2_Entrada]:[TOTAL_ENTRADA]],5,FALSE)-VLOOKUP(TAB_ESTOQUE[[#This Row],[Codigo]],TAB_SAIDA[[COD_2_SAIDA]:[TOTAL_SAIDA]],5,FALSE)</f>
        <v>18</v>
      </c>
      <c r="R345" s="87"/>
      <c r="S345" s="87"/>
      <c r="T345" s="90"/>
      <c r="U345" s="91">
        <f>TAB_ESTOQUE[[#This Row],[Valor Unitario Estimado]]*TAB_ESTOQUE[[#This Row],[Estoque]]</f>
        <v>0</v>
      </c>
      <c r="V345" s="91"/>
      <c r="W345" s="85"/>
      <c r="X345" s="85"/>
      <c r="Y345" s="85"/>
      <c r="Z345" s="85"/>
      <c r="AA345" s="85"/>
      <c r="AB345" s="85" t="str">
        <f>IF(TAB_ESTOQUE[[#This Row],[Estoque]]=0,"Estoque Não Conforme",IF(TAB_ESTOQUE[[#This Row],[Estoque]]&gt;=TAB_ESTOQUE[[#This Row],[Mínimo]],"Estoque Conforme",IF(TAB_ESTOQUE[[#This Row],[Estoque]]&lt;TAB_ESTOQUE[[#This Row],[Mínimo]],"Estoque em Nivel Minimo")))</f>
        <v>Estoque Conforme</v>
      </c>
      <c r="AC345" s="85"/>
      <c r="AD345" s="82"/>
      <c r="AE345" s="82"/>
      <c r="AF345" s="82"/>
    </row>
    <row r="346" spans="1:32" ht="15" customHeight="1" x14ac:dyDescent="0.25">
      <c r="A346" s="45">
        <v>125</v>
      </c>
      <c r="B346" s="47"/>
      <c r="C346" s="46" t="s">
        <v>2838</v>
      </c>
      <c r="D346" s="45" t="s">
        <v>1848</v>
      </c>
      <c r="E346" s="46" t="s">
        <v>7</v>
      </c>
      <c r="F346" s="87"/>
      <c r="G346" s="82"/>
      <c r="H346" s="82"/>
      <c r="I346" s="82" t="s">
        <v>6072</v>
      </c>
      <c r="J346" s="82"/>
      <c r="K346" s="82"/>
      <c r="L346" s="82"/>
      <c r="M346" s="82"/>
      <c r="N346" s="82"/>
      <c r="O346" s="87" t="s">
        <v>6247</v>
      </c>
      <c r="P346" s="82" t="s">
        <v>83</v>
      </c>
      <c r="Q346" s="83">
        <f>VLOOKUP(TAB_ESTOQUE[[#This Row],[Codigo]],TAB_ENTRADA[[Cod_2_Entrada]:[TOTAL_ENTRADA]],5,FALSE)-VLOOKUP(TAB_ESTOQUE[[#This Row],[Codigo]],TAB_SAIDA[[COD_2_SAIDA]:[TOTAL_SAIDA]],5,FALSE)</f>
        <v>0</v>
      </c>
      <c r="R346" s="87"/>
      <c r="S346" s="87"/>
      <c r="T346" s="90"/>
      <c r="U346" s="91">
        <f>TAB_ESTOQUE[[#This Row],[Valor Unitario Estimado]]*TAB_ESTOQUE[[#This Row],[Estoque]]</f>
        <v>0</v>
      </c>
      <c r="V346" s="91"/>
      <c r="W346" s="85"/>
      <c r="X346" s="85"/>
      <c r="Y346" s="85"/>
      <c r="Z346" s="85"/>
      <c r="AA346" s="85"/>
      <c r="AB346" s="85" t="str">
        <f>IF(TAB_ESTOQUE[[#This Row],[Estoque]]=0,"Estoque Não Conforme",IF(TAB_ESTOQUE[[#This Row],[Estoque]]&gt;=TAB_ESTOQUE[[#This Row],[Mínimo]],"Estoque Conforme",IF(TAB_ESTOQUE[[#This Row],[Estoque]]&lt;TAB_ESTOQUE[[#This Row],[Mínimo]],"Estoque em Nivel Minimo")))</f>
        <v>Estoque Não Conforme</v>
      </c>
      <c r="AC346" s="85"/>
      <c r="AD346" s="82"/>
      <c r="AE346" s="82"/>
      <c r="AF346" s="82"/>
    </row>
    <row r="347" spans="1:32" ht="15" customHeight="1" x14ac:dyDescent="0.25">
      <c r="A347" s="45">
        <v>1240</v>
      </c>
      <c r="B347" s="47"/>
      <c r="C347" s="46"/>
      <c r="D347" s="45" t="s">
        <v>1849</v>
      </c>
      <c r="E347" s="46" t="s">
        <v>7</v>
      </c>
      <c r="F347" s="87"/>
      <c r="G347" s="82"/>
      <c r="H347" s="82"/>
      <c r="I347" s="82" t="s">
        <v>7870</v>
      </c>
      <c r="J347" s="82"/>
      <c r="K347" s="82"/>
      <c r="L347" s="82"/>
      <c r="M347" s="82"/>
      <c r="N347" s="82"/>
      <c r="O347" s="87" t="s">
        <v>6247</v>
      </c>
      <c r="P347" s="82" t="s">
        <v>958</v>
      </c>
      <c r="Q347" s="83">
        <f>VLOOKUP(TAB_ESTOQUE[[#This Row],[Codigo]],TAB_ENTRADA[[Cod_2_Entrada]:[TOTAL_ENTRADA]],5,FALSE)-VLOOKUP(TAB_ESTOQUE[[#This Row],[Codigo]],TAB_SAIDA[[COD_2_SAIDA]:[TOTAL_SAIDA]],5,FALSE)</f>
        <v>0</v>
      </c>
      <c r="R347" s="87"/>
      <c r="S347" s="87"/>
      <c r="T347" s="90"/>
      <c r="U347" s="91">
        <f>TAB_ESTOQUE[[#This Row],[Valor Unitario Estimado]]*TAB_ESTOQUE[[#This Row],[Estoque]]</f>
        <v>0</v>
      </c>
      <c r="V347" s="91"/>
      <c r="W347" s="85"/>
      <c r="X347" s="85"/>
      <c r="Y347" s="85"/>
      <c r="Z347" s="85"/>
      <c r="AA347" s="85"/>
      <c r="AB347" s="85" t="str">
        <f>IF(TAB_ESTOQUE[[#This Row],[Estoque]]=0,"Estoque Não Conforme",IF(TAB_ESTOQUE[[#This Row],[Estoque]]&gt;=TAB_ESTOQUE[[#This Row],[Mínimo]],"Estoque Conforme",IF(TAB_ESTOQUE[[#This Row],[Estoque]]&lt;TAB_ESTOQUE[[#This Row],[Mínimo]],"Estoque em Nivel Minimo")))</f>
        <v>Estoque Não Conforme</v>
      </c>
      <c r="AC347" s="85"/>
      <c r="AD347" s="82"/>
      <c r="AE347" s="82"/>
      <c r="AF347" s="82"/>
    </row>
    <row r="348" spans="1:32" ht="15" customHeight="1" x14ac:dyDescent="0.25">
      <c r="A348" s="106" t="s">
        <v>1159</v>
      </c>
      <c r="B348" s="106"/>
      <c r="C348" s="116"/>
      <c r="D348" s="106" t="s">
        <v>2651</v>
      </c>
      <c r="E348" s="116"/>
      <c r="F348" s="118"/>
      <c r="G348" s="95"/>
      <c r="H348" s="95"/>
      <c r="I348" s="95" t="s">
        <v>1353</v>
      </c>
      <c r="J348" s="95"/>
      <c r="K348" s="95"/>
      <c r="L348" s="95"/>
      <c r="M348" s="95"/>
      <c r="N348" s="95"/>
      <c r="O348" s="118" t="s">
        <v>6247</v>
      </c>
      <c r="P348" s="95" t="s">
        <v>1181</v>
      </c>
      <c r="Q348" s="154">
        <f>VLOOKUP(TAB_ESTOQUE[[#This Row],[Codigo]],TAB_ENTRADA[[Cod_2_Entrada]:[TOTAL_ENTRADA]],5,FALSE)-VLOOKUP(TAB_ESTOQUE[[#This Row],[Codigo]],TAB_SAIDA[[COD_2_SAIDA]:[TOTAL_SAIDA]],5,FALSE)</f>
        <v>0</v>
      </c>
      <c r="R348" s="118"/>
      <c r="S348" s="118"/>
      <c r="T348" s="119"/>
      <c r="U348" s="112">
        <f>TAB_ESTOQUE[[#This Row],[Valor Unitario Estimado]]*TAB_ESTOQUE[[#This Row],[Estoque]]</f>
        <v>0</v>
      </c>
      <c r="V348" s="112"/>
      <c r="W348" s="120"/>
      <c r="X348" s="120"/>
      <c r="Y348" s="120"/>
      <c r="Z348" s="120"/>
      <c r="AA348" s="120"/>
      <c r="AB348" s="120" t="str">
        <f>IF(TAB_ESTOQUE[[#This Row],[Estoque]]=0,"Estoque Não Conforme",IF(TAB_ESTOQUE[[#This Row],[Estoque]]&gt;=TAB_ESTOQUE[[#This Row],[Mínimo]],"Estoque Conforme",IF(TAB_ESTOQUE[[#This Row],[Estoque]]&lt;TAB_ESTOQUE[[#This Row],[Mínimo]],"Estoque em Nivel Minimo")))</f>
        <v>Estoque Não Conforme</v>
      </c>
      <c r="AC348" s="120"/>
      <c r="AD348" s="95"/>
      <c r="AE348" s="82"/>
      <c r="AF348" s="82"/>
    </row>
    <row r="349" spans="1:32" ht="15" customHeight="1" x14ac:dyDescent="0.25">
      <c r="A349" s="47" t="s">
        <v>1159</v>
      </c>
      <c r="B349" s="47"/>
      <c r="C349" s="51" t="s">
        <v>2838</v>
      </c>
      <c r="D349" s="47" t="s">
        <v>2652</v>
      </c>
      <c r="E349" s="51" t="s">
        <v>8</v>
      </c>
      <c r="F349" s="107"/>
      <c r="G349" s="94"/>
      <c r="H349" s="94"/>
      <c r="I349" s="94" t="s">
        <v>7022</v>
      </c>
      <c r="J349" s="94"/>
      <c r="K349" s="94"/>
      <c r="L349" s="94"/>
      <c r="M349" s="94"/>
      <c r="N349" s="94"/>
      <c r="O349" s="107" t="s">
        <v>6247</v>
      </c>
      <c r="P349" s="94" t="s">
        <v>1179</v>
      </c>
      <c r="Q349" s="145">
        <f>VLOOKUP(TAB_ESTOQUE[[#This Row],[Codigo]],TAB_ENTRADA[[Cod_2_Entrada]:[TOTAL_ENTRADA]],5,FALSE)-VLOOKUP(TAB_ESTOQUE[[#This Row],[Codigo]],TAB_SAIDA[[COD_2_SAIDA]:[TOTAL_SAIDA]],5,FALSE)</f>
        <v>0</v>
      </c>
      <c r="R349" s="107"/>
      <c r="S349" s="107"/>
      <c r="T349" s="108"/>
      <c r="U349" s="109">
        <f>TAB_ESTOQUE[[#This Row],[Valor Unitario Estimado]]*TAB_ESTOQUE[[#This Row],[Estoque]]</f>
        <v>0</v>
      </c>
      <c r="V349" s="109"/>
      <c r="W349" s="110"/>
      <c r="X349" s="110"/>
      <c r="Y349" s="110"/>
      <c r="Z349" s="110"/>
      <c r="AA349" s="110"/>
      <c r="AB349" s="110" t="str">
        <f>IF(TAB_ESTOQUE[[#This Row],[Estoque]]=0,"Estoque Não Conforme",IF(TAB_ESTOQUE[[#This Row],[Estoque]]&gt;=TAB_ESTOQUE[[#This Row],[Mínimo]],"Estoque Conforme",IF(TAB_ESTOQUE[[#This Row],[Estoque]]&lt;TAB_ESTOQUE[[#This Row],[Mínimo]],"Estoque em Nivel Minimo")))</f>
        <v>Estoque Não Conforme</v>
      </c>
      <c r="AC349" s="110"/>
      <c r="AD349" s="94"/>
      <c r="AE349" s="82"/>
      <c r="AF349" s="82"/>
    </row>
    <row r="350" spans="1:32" s="106" customFormat="1" ht="15" customHeight="1" x14ac:dyDescent="0.25">
      <c r="A350" s="45"/>
      <c r="B350" s="53" t="s">
        <v>1622</v>
      </c>
      <c r="C350" s="105" t="s">
        <v>2838</v>
      </c>
      <c r="D350" s="45" t="s">
        <v>6571</v>
      </c>
      <c r="E350" s="46" t="s">
        <v>116</v>
      </c>
      <c r="F350" s="46"/>
      <c r="G350" s="45"/>
      <c r="H350" s="45"/>
      <c r="I350" s="45" t="s">
        <v>7901</v>
      </c>
      <c r="J350" s="45"/>
      <c r="K350" s="45"/>
      <c r="L350" s="45"/>
      <c r="M350" s="45"/>
      <c r="N350" s="45"/>
      <c r="O350" s="46" t="s">
        <v>6247</v>
      </c>
      <c r="P350" s="45"/>
      <c r="Q350" s="83">
        <f>VLOOKUP(TAB_ESTOQUE[[#This Row],[Codigo]],TAB_ENTRADA[[Cod_2_Entrada]:[TOTAL_ENTRADA]],5,FALSE)-VLOOKUP(TAB_ESTOQUE[[#This Row],[Codigo]],TAB_SAIDA[[COD_2_SAIDA]:[TOTAL_SAIDA]],5,FALSE)</f>
        <v>1</v>
      </c>
      <c r="R350" s="46"/>
      <c r="S350" s="46"/>
      <c r="T350" s="102">
        <v>265</v>
      </c>
      <c r="U350" s="103">
        <f>TAB_ESTOQUE[[#This Row],[Valor Unitario Estimado]]*TAB_ESTOQUE[[#This Row],[Estoque]]</f>
        <v>265</v>
      </c>
      <c r="V350" s="103"/>
      <c r="W350" s="54"/>
      <c r="X350" s="54"/>
      <c r="Y350" s="54"/>
      <c r="Z350" s="54"/>
      <c r="AA350" s="54"/>
      <c r="AB350" s="104" t="str">
        <f>IF(TAB_ESTOQUE[[#This Row],[Estoque]]=0,"Estoque Não Conforme",IF(TAB_ESTOQUE[[#This Row],[Estoque]]&gt;=TAB_ESTOQUE[[#This Row],[Mínimo]],"Estoque Conforme",IF(TAB_ESTOQUE[[#This Row],[Estoque]]&lt;TAB_ESTOQUE[[#This Row],[Mínimo]],"Estoque em Nivel Minimo")))</f>
        <v>Estoque Conforme</v>
      </c>
      <c r="AC350" s="104"/>
      <c r="AD350" s="45"/>
      <c r="AE350" s="95"/>
      <c r="AF350" s="95"/>
    </row>
    <row r="351" spans="1:32" ht="15" customHeight="1" x14ac:dyDescent="0.25">
      <c r="B351" s="47"/>
      <c r="C351" s="48"/>
      <c r="D351" s="45" t="s">
        <v>6573</v>
      </c>
      <c r="E351" s="46"/>
      <c r="F351" s="46"/>
      <c r="I351" s="45" t="s">
        <v>7046</v>
      </c>
      <c r="O351" s="46" t="s">
        <v>6247</v>
      </c>
      <c r="Q351" s="83">
        <f>VLOOKUP(TAB_ESTOQUE[[#This Row],[Codigo]],TAB_ENTRADA[[Cod_2_Entrada]:[TOTAL_ENTRADA]],5,FALSE)-VLOOKUP(TAB_ESTOQUE[[#This Row],[Codigo]],TAB_SAIDA[[COD_2_SAIDA]:[TOTAL_SAIDA]],5,FALSE)</f>
        <v>0</v>
      </c>
      <c r="S351" s="46"/>
      <c r="T351" s="102">
        <v>89.9</v>
      </c>
      <c r="U351" s="103">
        <f>TAB_ESTOQUE[[#This Row],[Valor Unitario Estimado]]*TAB_ESTOQUE[[#This Row],[Estoque]]</f>
        <v>0</v>
      </c>
      <c r="V351" s="103"/>
      <c r="AB351" s="104" t="str">
        <f>IF(TAB_ESTOQUE[[#This Row],[Estoque]]=0,"Estoque Não Conforme",IF(TAB_ESTOQUE[[#This Row],[Estoque]]&gt;=TAB_ESTOQUE[[#This Row],[Mínimo]],"Estoque Conforme",IF(TAB_ESTOQUE[[#This Row],[Estoque]]&lt;TAB_ESTOQUE[[#This Row],[Mínimo]],"Estoque em Nivel Minimo")))</f>
        <v>Estoque Não Conforme</v>
      </c>
      <c r="AC351" s="104"/>
      <c r="AE351" s="82"/>
      <c r="AF351" s="82"/>
    </row>
    <row r="352" spans="1:32" ht="15" customHeight="1" x14ac:dyDescent="0.25">
      <c r="C352" s="48"/>
      <c r="D352" s="45" t="s">
        <v>6655</v>
      </c>
      <c r="E352" s="46"/>
      <c r="F352" s="46"/>
      <c r="I352" s="45" t="s">
        <v>7069</v>
      </c>
      <c r="O352" s="46" t="s">
        <v>6247</v>
      </c>
      <c r="Q352" s="83">
        <f>VLOOKUP(TAB_ESTOQUE[[#This Row],[Codigo]],TAB_ENTRADA[[Cod_2_Entrada]:[TOTAL_ENTRADA]],5,FALSE)-VLOOKUP(TAB_ESTOQUE[[#This Row],[Codigo]],TAB_SAIDA[[COD_2_SAIDA]:[TOTAL_SAIDA]],5,FALSE)</f>
        <v>4</v>
      </c>
      <c r="S352" s="46"/>
      <c r="T352" s="102"/>
      <c r="U352" s="103">
        <f>TAB_ESTOQUE[[#This Row],[Valor Unitario Estimado]]*TAB_ESTOQUE[[#This Row],[Estoque]]</f>
        <v>0</v>
      </c>
      <c r="V352" s="103"/>
      <c r="AB352" s="104" t="str">
        <f>IF(TAB_ESTOQUE[[#This Row],[Estoque]]=0,"Estoque Não Conforme",IF(TAB_ESTOQUE[[#This Row],[Estoque]]&gt;=TAB_ESTOQUE[[#This Row],[Mínimo]],"Estoque Conforme",IF(TAB_ESTOQUE[[#This Row],[Estoque]]&lt;TAB_ESTOQUE[[#This Row],[Mínimo]],"Estoque em Nivel Minimo")))</f>
        <v>Estoque Conforme</v>
      </c>
      <c r="AC352" s="104"/>
      <c r="AE352" s="82"/>
      <c r="AF352" s="82"/>
    </row>
    <row r="353" spans="1:32" ht="15" customHeight="1" x14ac:dyDescent="0.25">
      <c r="C353" s="48"/>
      <c r="D353" s="45" t="s">
        <v>6920</v>
      </c>
      <c r="E353" s="46"/>
      <c r="F353" s="46"/>
      <c r="I353" s="45" t="s">
        <v>7189</v>
      </c>
      <c r="O353" s="46" t="s">
        <v>6247</v>
      </c>
      <c r="Q353" s="137">
        <f>VLOOKUP(TAB_ESTOQUE[[#This Row],[Codigo]],TAB_ENTRADA[[Cod_2_Entrada]:[TOTAL_ENTRADA]],5,FALSE)-VLOOKUP(TAB_ESTOQUE[[#This Row],[Codigo]],TAB_SAIDA[[COD_2_SAIDA]:[TOTAL_SAIDA]],5,FALSE)</f>
        <v>5</v>
      </c>
      <c r="S353" s="46"/>
      <c r="T353" s="102">
        <v>15</v>
      </c>
      <c r="U353" s="103">
        <f>TAB_ESTOQUE[[#This Row],[Valor Unitario Estimado]]*TAB_ESTOQUE[[#This Row],[Estoque]]</f>
        <v>75</v>
      </c>
      <c r="V353" s="103"/>
      <c r="AA353" s="138"/>
      <c r="AB353" s="104" t="str">
        <f>IF(TAB_ESTOQUE[[#This Row],[Estoque]]=0,"Estoque Não Conforme",IF(TAB_ESTOQUE[[#This Row],[Estoque]]&gt;=TAB_ESTOQUE[[#This Row],[Mínimo]],"Estoque Conforme",IF(TAB_ESTOQUE[[#This Row],[Estoque]]&lt;TAB_ESTOQUE[[#This Row],[Mínimo]],"Estoque em Nivel Minimo")))</f>
        <v>Estoque Conforme</v>
      </c>
      <c r="AC353" s="104"/>
      <c r="AE353" s="82"/>
      <c r="AF353" s="82"/>
    </row>
    <row r="354" spans="1:32" ht="15" customHeight="1" x14ac:dyDescent="0.25">
      <c r="C354" s="48"/>
      <c r="D354" s="45" t="s">
        <v>6921</v>
      </c>
      <c r="E354" s="46"/>
      <c r="F354" s="46"/>
      <c r="I354" s="210" t="s">
        <v>7190</v>
      </c>
      <c r="O354" s="46" t="s">
        <v>6247</v>
      </c>
      <c r="Q354" s="137">
        <f>VLOOKUP(TAB_ESTOQUE[[#This Row],[Codigo]],TAB_ENTRADA[[Cod_2_Entrada]:[TOTAL_ENTRADA]],5,FALSE)-VLOOKUP(TAB_ESTOQUE[[#This Row],[Codigo]],TAB_SAIDA[[COD_2_SAIDA]:[TOTAL_SAIDA]],5,FALSE)</f>
        <v>2</v>
      </c>
      <c r="S354" s="46"/>
      <c r="T354" s="102">
        <v>19.440000000000001</v>
      </c>
      <c r="U354" s="103">
        <f>TAB_ESTOQUE[[#This Row],[Valor Unitario Estimado]]*TAB_ESTOQUE[[#This Row],[Estoque]]</f>
        <v>38.880000000000003</v>
      </c>
      <c r="V354" s="103"/>
      <c r="AA354" s="138"/>
      <c r="AB354" s="104" t="str">
        <f>IF(TAB_ESTOQUE[[#This Row],[Estoque]]=0,"Estoque Não Conforme",IF(TAB_ESTOQUE[[#This Row],[Estoque]]&gt;=TAB_ESTOQUE[[#This Row],[Mínimo]],"Estoque Conforme",IF(TAB_ESTOQUE[[#This Row],[Estoque]]&lt;TAB_ESTOQUE[[#This Row],[Mínimo]],"Estoque em Nivel Minimo")))</f>
        <v>Estoque Conforme</v>
      </c>
      <c r="AC354" s="104"/>
      <c r="AE354" s="82"/>
      <c r="AF354" s="82"/>
    </row>
    <row r="355" spans="1:32" ht="15" customHeight="1" x14ac:dyDescent="0.25">
      <c r="A355" s="45">
        <v>129</v>
      </c>
      <c r="B355" s="47"/>
      <c r="C355" s="46"/>
      <c r="D355" s="45" t="s">
        <v>1850</v>
      </c>
      <c r="E355" s="46" t="s">
        <v>7</v>
      </c>
      <c r="F355" s="87"/>
      <c r="G355" s="82"/>
      <c r="H355" s="82"/>
      <c r="I355" s="82" t="s">
        <v>7876</v>
      </c>
      <c r="J355" s="82"/>
      <c r="K355" s="82"/>
      <c r="L355" s="82"/>
      <c r="M355" s="82"/>
      <c r="N355" s="82"/>
      <c r="O355" s="87" t="s">
        <v>6360</v>
      </c>
      <c r="P355" s="82" t="s">
        <v>84</v>
      </c>
      <c r="Q355" s="83">
        <f>VLOOKUP(TAB_ESTOQUE[[#This Row],[Codigo]],TAB_ENTRADA[[Cod_2_Entrada]:[TOTAL_ENTRADA]],5,FALSE)-VLOOKUP(TAB_ESTOQUE[[#This Row],[Codigo]],TAB_SAIDA[[COD_2_SAIDA]:[TOTAL_SAIDA]],5,FALSE)</f>
        <v>6</v>
      </c>
      <c r="R355" s="87"/>
      <c r="S355" s="87"/>
      <c r="T355" s="90"/>
      <c r="U355" s="91">
        <f>TAB_ESTOQUE[[#This Row],[Valor Unitario Estimado]]*TAB_ESTOQUE[[#This Row],[Estoque]]</f>
        <v>0</v>
      </c>
      <c r="V355" s="91"/>
      <c r="W355" s="85"/>
      <c r="X355" s="85"/>
      <c r="Y355" s="85"/>
      <c r="Z355" s="85"/>
      <c r="AA355" s="85"/>
      <c r="AB355" s="85" t="str">
        <f>IF(TAB_ESTOQUE[[#This Row],[Estoque]]=0,"Estoque Não Conforme",IF(TAB_ESTOQUE[[#This Row],[Estoque]]&gt;=TAB_ESTOQUE[[#This Row],[Mínimo]],"Estoque Conforme",IF(TAB_ESTOQUE[[#This Row],[Estoque]]&lt;TAB_ESTOQUE[[#This Row],[Mínimo]],"Estoque em Nivel Minimo")))</f>
        <v>Estoque Conforme</v>
      </c>
      <c r="AC355" s="85"/>
      <c r="AD355" s="82"/>
      <c r="AE355" s="82"/>
      <c r="AF355" s="82"/>
    </row>
    <row r="356" spans="1:32" ht="15" customHeight="1" x14ac:dyDescent="0.25">
      <c r="C356" s="48"/>
      <c r="D356" s="45" t="s">
        <v>7271</v>
      </c>
      <c r="E356" s="46"/>
      <c r="F356" s="46"/>
      <c r="I356" s="95" t="s">
        <v>7879</v>
      </c>
      <c r="O356" s="118" t="s">
        <v>6360</v>
      </c>
      <c r="Q356" s="137">
        <f>VLOOKUP(TAB_ESTOQUE[[#This Row],[Codigo]],TAB_ENTRADA[[Cod_2_Entrada]:[TOTAL_ENTRADA]],5,FALSE)-VLOOKUP(TAB_ESTOQUE[[#This Row],[Codigo]],TAB_SAIDA[[COD_2_SAIDA]:[TOTAL_SAIDA]],5,FALSE)</f>
        <v>5</v>
      </c>
      <c r="S356" s="46"/>
      <c r="T356" s="102"/>
      <c r="U356" s="103">
        <f>TAB_ESTOQUE[[#This Row],[Valor Unitario Estimado]]*TAB_ESTOQUE[[#This Row],[Estoque]]</f>
        <v>0</v>
      </c>
      <c r="V356" s="103"/>
      <c r="AA356" s="138"/>
      <c r="AB356" s="104" t="str">
        <f>IF(TAB_ESTOQUE[[#This Row],[Estoque]]=0,"Estoque Não Conforme",IF(TAB_ESTOQUE[[#This Row],[Estoque]]&gt;=TAB_ESTOQUE[[#This Row],[Mínimo]],"Estoque Conforme",IF(TAB_ESTOQUE[[#This Row],[Estoque]]&lt;TAB_ESTOQUE[[#This Row],[Mínimo]],"Estoque em Nivel Minimo")))</f>
        <v>Estoque Conforme</v>
      </c>
      <c r="AC356" s="104"/>
      <c r="AE356" s="82"/>
      <c r="AF356" s="82"/>
    </row>
    <row r="357" spans="1:32" s="47" customFormat="1" ht="15" customHeight="1" x14ac:dyDescent="0.25">
      <c r="A357" s="45"/>
      <c r="B357" s="45"/>
      <c r="C357" s="48"/>
      <c r="D357" s="45" t="s">
        <v>7272</v>
      </c>
      <c r="E357" s="46"/>
      <c r="F357" s="46"/>
      <c r="G357" s="45"/>
      <c r="H357" s="45"/>
      <c r="I357" s="45" t="s">
        <v>7880</v>
      </c>
      <c r="J357" s="45"/>
      <c r="K357" s="45"/>
      <c r="L357" s="45"/>
      <c r="M357" s="45"/>
      <c r="N357" s="45"/>
      <c r="O357" s="46" t="s">
        <v>6360</v>
      </c>
      <c r="P357" s="45"/>
      <c r="Q357" s="137">
        <f>VLOOKUP(TAB_ESTOQUE[[#This Row],[Codigo]],TAB_ENTRADA[[Cod_2_Entrada]:[TOTAL_ENTRADA]],5,FALSE)-VLOOKUP(TAB_ESTOQUE[[#This Row],[Codigo]],TAB_SAIDA[[COD_2_SAIDA]:[TOTAL_SAIDA]],5,FALSE)</f>
        <v>6</v>
      </c>
      <c r="R357" s="46"/>
      <c r="S357" s="46"/>
      <c r="T357" s="102"/>
      <c r="U357" s="103">
        <f>TAB_ESTOQUE[[#This Row],[Valor Unitario Estimado]]*TAB_ESTOQUE[[#This Row],[Estoque]]</f>
        <v>0</v>
      </c>
      <c r="V357" s="103"/>
      <c r="W357" s="54"/>
      <c r="X357" s="54"/>
      <c r="Y357" s="54"/>
      <c r="Z357" s="54"/>
      <c r="AA357" s="138"/>
      <c r="AB357" s="104" t="str">
        <f>IF(TAB_ESTOQUE[[#This Row],[Estoque]]=0,"Estoque Não Conforme",IF(TAB_ESTOQUE[[#This Row],[Estoque]]&gt;=TAB_ESTOQUE[[#This Row],[Mínimo]],"Estoque Conforme",IF(TAB_ESTOQUE[[#This Row],[Estoque]]&lt;TAB_ESTOQUE[[#This Row],[Mínimo]],"Estoque em Nivel Minimo")))</f>
        <v>Estoque Conforme</v>
      </c>
      <c r="AC357" s="104"/>
      <c r="AD357" s="45"/>
      <c r="AE357" s="94"/>
      <c r="AF357" s="94"/>
    </row>
    <row r="358" spans="1:32" s="106" customFormat="1" ht="15" customHeight="1" x14ac:dyDescent="0.25">
      <c r="A358" s="45"/>
      <c r="B358" s="45"/>
      <c r="C358" s="48"/>
      <c r="D358" s="45" t="s">
        <v>7273</v>
      </c>
      <c r="E358" s="46"/>
      <c r="F358" s="46"/>
      <c r="G358" s="45"/>
      <c r="H358" s="45"/>
      <c r="I358" s="45" t="s">
        <v>7880</v>
      </c>
      <c r="J358" s="45"/>
      <c r="K358" s="45"/>
      <c r="L358" s="45"/>
      <c r="M358" s="45"/>
      <c r="N358" s="45"/>
      <c r="O358" s="46" t="s">
        <v>6360</v>
      </c>
      <c r="P358" s="45"/>
      <c r="Q358" s="137">
        <f>VLOOKUP(TAB_ESTOQUE[[#This Row],[Codigo]],TAB_ENTRADA[[Cod_2_Entrada]:[TOTAL_ENTRADA]],5,FALSE)-VLOOKUP(TAB_ESTOQUE[[#This Row],[Codigo]],TAB_SAIDA[[COD_2_SAIDA]:[TOTAL_SAIDA]],5,FALSE)</f>
        <v>2</v>
      </c>
      <c r="R358" s="46"/>
      <c r="S358" s="46"/>
      <c r="T358" s="102"/>
      <c r="U358" s="103">
        <f>TAB_ESTOQUE[[#This Row],[Valor Unitario Estimado]]*TAB_ESTOQUE[[#This Row],[Estoque]]</f>
        <v>0</v>
      </c>
      <c r="V358" s="103"/>
      <c r="W358" s="54"/>
      <c r="X358" s="54"/>
      <c r="Y358" s="54"/>
      <c r="Z358" s="54"/>
      <c r="AA358" s="138"/>
      <c r="AB358" s="104" t="str">
        <f>IF(TAB_ESTOQUE[[#This Row],[Estoque]]=0,"Estoque Não Conforme",IF(TAB_ESTOQUE[[#This Row],[Estoque]]&gt;=TAB_ESTOQUE[[#This Row],[Mínimo]],"Estoque Conforme",IF(TAB_ESTOQUE[[#This Row],[Estoque]]&lt;TAB_ESTOQUE[[#This Row],[Mínimo]],"Estoque em Nivel Minimo")))</f>
        <v>Estoque Conforme</v>
      </c>
      <c r="AC358" s="104"/>
      <c r="AD358" s="45"/>
      <c r="AE358" s="95"/>
      <c r="AF358" s="95"/>
    </row>
    <row r="359" spans="1:32" s="47" customFormat="1" ht="15" customHeight="1" x14ac:dyDescent="0.25">
      <c r="A359" s="45"/>
      <c r="B359" s="45"/>
      <c r="C359" s="48"/>
      <c r="D359" s="45" t="s">
        <v>7274</v>
      </c>
      <c r="E359" s="46"/>
      <c r="F359" s="46"/>
      <c r="G359" s="45"/>
      <c r="H359" s="45"/>
      <c r="I359" s="45" t="s">
        <v>7880</v>
      </c>
      <c r="J359" s="45"/>
      <c r="K359" s="45"/>
      <c r="L359" s="45"/>
      <c r="M359" s="45"/>
      <c r="N359" s="45"/>
      <c r="O359" s="51" t="s">
        <v>6360</v>
      </c>
      <c r="P359" s="45"/>
      <c r="Q359" s="137">
        <f>VLOOKUP(TAB_ESTOQUE[[#This Row],[Codigo]],TAB_ENTRADA[[Cod_2_Entrada]:[TOTAL_ENTRADA]],5,FALSE)-VLOOKUP(TAB_ESTOQUE[[#This Row],[Codigo]],TAB_SAIDA[[COD_2_SAIDA]:[TOTAL_SAIDA]],5,FALSE)</f>
        <v>4</v>
      </c>
      <c r="R359" s="46"/>
      <c r="S359" s="46"/>
      <c r="T359" s="102"/>
      <c r="U359" s="103">
        <f>TAB_ESTOQUE[[#This Row],[Valor Unitario Estimado]]*TAB_ESTOQUE[[#This Row],[Estoque]]</f>
        <v>0</v>
      </c>
      <c r="V359" s="103"/>
      <c r="W359" s="54"/>
      <c r="X359" s="54"/>
      <c r="Y359" s="54"/>
      <c r="Z359" s="54"/>
      <c r="AA359" s="138"/>
      <c r="AB359" s="104" t="str">
        <f>IF(TAB_ESTOQUE[[#This Row],[Estoque]]=0,"Estoque Não Conforme",IF(TAB_ESTOQUE[[#This Row],[Estoque]]&gt;=TAB_ESTOQUE[[#This Row],[Mínimo]],"Estoque Conforme",IF(TAB_ESTOQUE[[#This Row],[Estoque]]&lt;TAB_ESTOQUE[[#This Row],[Mínimo]],"Estoque em Nivel Minimo")))</f>
        <v>Estoque Conforme</v>
      </c>
      <c r="AC359" s="104"/>
      <c r="AD359" s="45"/>
      <c r="AE359" s="94"/>
      <c r="AF359" s="94"/>
    </row>
    <row r="360" spans="1:32" s="106" customFormat="1" ht="15" customHeight="1" x14ac:dyDescent="0.25">
      <c r="A360" s="45"/>
      <c r="B360" s="45"/>
      <c r="C360" s="48"/>
      <c r="D360" s="45" t="s">
        <v>7275</v>
      </c>
      <c r="E360" s="46"/>
      <c r="F360" s="46"/>
      <c r="G360" s="45"/>
      <c r="H360" s="45"/>
      <c r="I360" s="45" t="s">
        <v>7880</v>
      </c>
      <c r="J360" s="45"/>
      <c r="K360" s="45"/>
      <c r="L360" s="45"/>
      <c r="M360" s="45"/>
      <c r="N360" s="45"/>
      <c r="O360" s="116" t="s">
        <v>6360</v>
      </c>
      <c r="P360" s="45"/>
      <c r="Q360" s="137">
        <f>VLOOKUP(TAB_ESTOQUE[[#This Row],[Codigo]],TAB_ENTRADA[[Cod_2_Entrada]:[TOTAL_ENTRADA]],5,FALSE)-VLOOKUP(TAB_ESTOQUE[[#This Row],[Codigo]],TAB_SAIDA[[COD_2_SAIDA]:[TOTAL_SAIDA]],5,FALSE)</f>
        <v>6</v>
      </c>
      <c r="R360" s="46"/>
      <c r="S360" s="46"/>
      <c r="T360" s="102"/>
      <c r="U360" s="103">
        <f>TAB_ESTOQUE[[#This Row],[Valor Unitario Estimado]]*TAB_ESTOQUE[[#This Row],[Estoque]]</f>
        <v>0</v>
      </c>
      <c r="V360" s="103"/>
      <c r="W360" s="54"/>
      <c r="X360" s="54"/>
      <c r="Y360" s="54"/>
      <c r="Z360" s="54"/>
      <c r="AA360" s="138"/>
      <c r="AB360" s="104" t="str">
        <f>IF(TAB_ESTOQUE[[#This Row],[Estoque]]=0,"Estoque Não Conforme",IF(TAB_ESTOQUE[[#This Row],[Estoque]]&gt;=TAB_ESTOQUE[[#This Row],[Mínimo]],"Estoque Conforme",IF(TAB_ESTOQUE[[#This Row],[Estoque]]&lt;TAB_ESTOQUE[[#This Row],[Mínimo]],"Estoque em Nivel Minimo")))</f>
        <v>Estoque Conforme</v>
      </c>
      <c r="AC360" s="104"/>
      <c r="AD360" s="45"/>
      <c r="AE360" s="95"/>
      <c r="AF360" s="95"/>
    </row>
    <row r="361" spans="1:32" s="47" customFormat="1" ht="15" customHeight="1" x14ac:dyDescent="0.25">
      <c r="A361" s="45"/>
      <c r="B361" s="45"/>
      <c r="C361" s="48"/>
      <c r="D361" s="45" t="s">
        <v>7280</v>
      </c>
      <c r="E361" s="46"/>
      <c r="F361" s="46"/>
      <c r="G361" s="45"/>
      <c r="H361" s="45"/>
      <c r="I361" s="94" t="s">
        <v>7881</v>
      </c>
      <c r="J361" s="45"/>
      <c r="K361" s="45"/>
      <c r="L361" s="45"/>
      <c r="M361" s="45"/>
      <c r="N361" s="45"/>
      <c r="O361" s="51" t="s">
        <v>6360</v>
      </c>
      <c r="P361" s="45"/>
      <c r="Q361" s="137">
        <f>VLOOKUP(TAB_ESTOQUE[[#This Row],[Codigo]],TAB_ENTRADA[[Cod_2_Entrada]:[TOTAL_ENTRADA]],5,FALSE)-VLOOKUP(TAB_ESTOQUE[[#This Row],[Codigo]],TAB_SAIDA[[COD_2_SAIDA]:[TOTAL_SAIDA]],5,FALSE)</f>
        <v>2</v>
      </c>
      <c r="R361" s="46"/>
      <c r="S361" s="46"/>
      <c r="T361" s="102"/>
      <c r="U361" s="103">
        <f>TAB_ESTOQUE[[#This Row],[Valor Unitario Estimado]]*TAB_ESTOQUE[[#This Row],[Estoque]]</f>
        <v>0</v>
      </c>
      <c r="V361" s="103"/>
      <c r="W361" s="54"/>
      <c r="X361" s="54"/>
      <c r="Y361" s="54"/>
      <c r="Z361" s="54"/>
      <c r="AA361" s="138"/>
      <c r="AB361" s="104" t="str">
        <f>IF(TAB_ESTOQUE[[#This Row],[Estoque]]=0,"Estoque Não Conforme",IF(TAB_ESTOQUE[[#This Row],[Estoque]]&gt;=TAB_ESTOQUE[[#This Row],[Mínimo]],"Estoque Conforme",IF(TAB_ESTOQUE[[#This Row],[Estoque]]&lt;TAB_ESTOQUE[[#This Row],[Mínimo]],"Estoque em Nivel Minimo")))</f>
        <v>Estoque Conforme</v>
      </c>
      <c r="AC361" s="104"/>
      <c r="AD361" s="45"/>
      <c r="AE361" s="94"/>
      <c r="AF361" s="94"/>
    </row>
    <row r="362" spans="1:32" s="106" customFormat="1" ht="15" customHeight="1" x14ac:dyDescent="0.25">
      <c r="A362" s="45"/>
      <c r="B362" s="45"/>
      <c r="C362" s="48"/>
      <c r="D362" s="45" t="s">
        <v>7283</v>
      </c>
      <c r="E362" s="46"/>
      <c r="F362" s="46"/>
      <c r="G362" s="45"/>
      <c r="H362" s="45"/>
      <c r="I362" s="45" t="s">
        <v>7882</v>
      </c>
      <c r="J362" s="45"/>
      <c r="K362" s="45"/>
      <c r="L362" s="45"/>
      <c r="M362" s="45"/>
      <c r="N362" s="45"/>
      <c r="O362" s="116" t="s">
        <v>6360</v>
      </c>
      <c r="P362" s="45"/>
      <c r="Q362" s="137">
        <f>VLOOKUP(TAB_ESTOQUE[[#This Row],[Codigo]],TAB_ENTRADA[[Cod_2_Entrada]:[TOTAL_ENTRADA]],5,FALSE)-VLOOKUP(TAB_ESTOQUE[[#This Row],[Codigo]],TAB_SAIDA[[COD_2_SAIDA]:[TOTAL_SAIDA]],5,FALSE)</f>
        <v>10</v>
      </c>
      <c r="R362" s="46"/>
      <c r="S362" s="46"/>
      <c r="T362" s="102">
        <v>197</v>
      </c>
      <c r="U362" s="103">
        <f>TAB_ESTOQUE[[#This Row],[Valor Unitario Estimado]]*TAB_ESTOQUE[[#This Row],[Estoque]]</f>
        <v>1970</v>
      </c>
      <c r="V362" s="103"/>
      <c r="W362" s="54"/>
      <c r="X362" s="54"/>
      <c r="Y362" s="54"/>
      <c r="Z362" s="54"/>
      <c r="AA362" s="138"/>
      <c r="AB362" s="104" t="str">
        <f>IF(TAB_ESTOQUE[[#This Row],[Estoque]]=0,"Estoque Não Conforme",IF(TAB_ESTOQUE[[#This Row],[Estoque]]&gt;=TAB_ESTOQUE[[#This Row],[Mínimo]],"Estoque Conforme",IF(TAB_ESTOQUE[[#This Row],[Estoque]]&lt;TAB_ESTOQUE[[#This Row],[Mínimo]],"Estoque em Nivel Minimo")))</f>
        <v>Estoque Conforme</v>
      </c>
      <c r="AC362" s="104"/>
      <c r="AD362" s="45"/>
      <c r="AE362" s="95"/>
      <c r="AF362" s="95"/>
    </row>
    <row r="363" spans="1:32" ht="15" customHeight="1" x14ac:dyDescent="0.25">
      <c r="A363" s="45">
        <v>632</v>
      </c>
      <c r="B363" s="47"/>
      <c r="C363" s="46"/>
      <c r="D363" s="45" t="s">
        <v>1808</v>
      </c>
      <c r="E363" s="46" t="s">
        <v>7431</v>
      </c>
      <c r="F363" s="87"/>
      <c r="G363" s="82"/>
      <c r="H363" s="82"/>
      <c r="I363" s="209" t="s">
        <v>2815</v>
      </c>
      <c r="J363" s="82"/>
      <c r="K363" s="82"/>
      <c r="L363" s="82"/>
      <c r="M363" s="82"/>
      <c r="N363" s="82"/>
      <c r="O363" s="87" t="s">
        <v>6302</v>
      </c>
      <c r="P363" s="82" t="s">
        <v>410</v>
      </c>
      <c r="Q363" s="83">
        <f>VLOOKUP(TAB_ESTOQUE[[#This Row],[Codigo]],TAB_ENTRADA[[Cod_2_Entrada]:[TOTAL_ENTRADA]],5,FALSE)-VLOOKUP(TAB_ESTOQUE[[#This Row],[Codigo]],TAB_SAIDA[[COD_2_SAIDA]:[TOTAL_SAIDA]],5,FALSE)</f>
        <v>0</v>
      </c>
      <c r="R363" s="87"/>
      <c r="S363" s="87"/>
      <c r="T363" s="90"/>
      <c r="U363" s="91">
        <f>TAB_ESTOQUE[[#This Row],[Valor Unitario Estimado]]*TAB_ESTOQUE[[#This Row],[Estoque]]</f>
        <v>0</v>
      </c>
      <c r="V363" s="91"/>
      <c r="W363" s="85"/>
      <c r="X363" s="85"/>
      <c r="Y363" s="85"/>
      <c r="Z363" s="85"/>
      <c r="AA363" s="85"/>
      <c r="AB363" s="85" t="str">
        <f>IF(TAB_ESTOQUE[[#This Row],[Estoque]]=0,"Estoque Não Conforme",IF(TAB_ESTOQUE[[#This Row],[Estoque]]&gt;=TAB_ESTOQUE[[#This Row],[Mínimo]],"Estoque Conforme",IF(TAB_ESTOQUE[[#This Row],[Estoque]]&lt;TAB_ESTOQUE[[#This Row],[Mínimo]],"Estoque em Nivel Minimo")))</f>
        <v>Estoque Não Conforme</v>
      </c>
      <c r="AC363" s="85"/>
      <c r="AD363" s="82"/>
      <c r="AE363" s="82"/>
      <c r="AF363" s="82"/>
    </row>
    <row r="364" spans="1:32" ht="15" customHeight="1" x14ac:dyDescent="0.25">
      <c r="A364" s="45">
        <v>1371</v>
      </c>
      <c r="B364" s="47"/>
      <c r="C364" s="46"/>
      <c r="D364" s="45" t="s">
        <v>1854</v>
      </c>
      <c r="E364" s="46" t="s">
        <v>7</v>
      </c>
      <c r="F364" s="87"/>
      <c r="G364" s="82"/>
      <c r="H364" s="82"/>
      <c r="I364" s="82" t="s">
        <v>8015</v>
      </c>
      <c r="J364" s="82"/>
      <c r="K364" s="82"/>
      <c r="L364" s="82"/>
      <c r="M364" s="82"/>
      <c r="N364" s="82"/>
      <c r="O364" s="87" t="s">
        <v>6302</v>
      </c>
      <c r="P364" s="82" t="s">
        <v>1105</v>
      </c>
      <c r="Q364" s="83">
        <f>VLOOKUP(TAB_ESTOQUE[[#This Row],[Codigo]],TAB_ENTRADA[[Cod_2_Entrada]:[TOTAL_ENTRADA]],5,FALSE)-VLOOKUP(TAB_ESTOQUE[[#This Row],[Codigo]],TAB_SAIDA[[COD_2_SAIDA]:[TOTAL_SAIDA]],5,FALSE)</f>
        <v>2</v>
      </c>
      <c r="R364" s="87"/>
      <c r="S364" s="87"/>
      <c r="T364" s="90"/>
      <c r="U364" s="91">
        <f>TAB_ESTOQUE[[#This Row],[Valor Unitario Estimado]]*TAB_ESTOQUE[[#This Row],[Estoque]]</f>
        <v>0</v>
      </c>
      <c r="V364" s="91"/>
      <c r="W364" s="85"/>
      <c r="X364" s="85"/>
      <c r="Y364" s="85"/>
      <c r="Z364" s="85"/>
      <c r="AA364" s="85"/>
      <c r="AB364" s="85" t="str">
        <f>IF(TAB_ESTOQUE[[#This Row],[Estoque]]=0,"Estoque Não Conforme",IF(TAB_ESTOQUE[[#This Row],[Estoque]]&gt;=TAB_ESTOQUE[[#This Row],[Mínimo]],"Estoque Conforme",IF(TAB_ESTOQUE[[#This Row],[Estoque]]&lt;TAB_ESTOQUE[[#This Row],[Mínimo]],"Estoque em Nivel Minimo")))</f>
        <v>Estoque Conforme</v>
      </c>
      <c r="AC364" s="85"/>
      <c r="AD364" s="82"/>
      <c r="AE364" s="82"/>
      <c r="AF364" s="82"/>
    </row>
    <row r="365" spans="1:32" ht="15" customHeight="1" x14ac:dyDescent="0.25">
      <c r="A365" s="45">
        <v>963</v>
      </c>
      <c r="B365" s="47"/>
      <c r="C365" s="46"/>
      <c r="D365" s="45" t="s">
        <v>1855</v>
      </c>
      <c r="E365" s="46" t="s">
        <v>6826</v>
      </c>
      <c r="F365" s="87"/>
      <c r="G365" s="82"/>
      <c r="H365" s="82"/>
      <c r="I365" s="82" t="s">
        <v>7888</v>
      </c>
      <c r="J365" s="82"/>
      <c r="K365" s="82"/>
      <c r="L365" s="82"/>
      <c r="M365" s="82"/>
      <c r="N365" s="82"/>
      <c r="O365" s="87" t="s">
        <v>6302</v>
      </c>
      <c r="P365" s="82" t="s">
        <v>746</v>
      </c>
      <c r="Q365" s="83">
        <f>VLOOKUP(TAB_ESTOQUE[[#This Row],[Codigo]],TAB_ENTRADA[[Cod_2_Entrada]:[TOTAL_ENTRADA]],5,FALSE)-VLOOKUP(TAB_ESTOQUE[[#This Row],[Codigo]],TAB_SAIDA[[COD_2_SAIDA]:[TOTAL_SAIDA]],5,FALSE)</f>
        <v>2</v>
      </c>
      <c r="R365" s="87"/>
      <c r="S365" s="87"/>
      <c r="T365" s="90"/>
      <c r="U365" s="91">
        <f>TAB_ESTOQUE[[#This Row],[Valor Unitario Estimado]]*TAB_ESTOQUE[[#This Row],[Estoque]]</f>
        <v>0</v>
      </c>
      <c r="V365" s="91"/>
      <c r="W365" s="85"/>
      <c r="X365" s="85"/>
      <c r="Y365" s="85"/>
      <c r="Z365" s="85"/>
      <c r="AA365" s="85"/>
      <c r="AB365" s="85" t="str">
        <f>IF(TAB_ESTOQUE[[#This Row],[Estoque]]=0,"Estoque Não Conforme",IF(TAB_ESTOQUE[[#This Row],[Estoque]]&gt;=TAB_ESTOQUE[[#This Row],[Mínimo]],"Estoque Conforme",IF(TAB_ESTOQUE[[#This Row],[Estoque]]&lt;TAB_ESTOQUE[[#This Row],[Mínimo]],"Estoque em Nivel Minimo")))</f>
        <v>Estoque Conforme</v>
      </c>
      <c r="AC365" s="85"/>
      <c r="AD365" s="82"/>
      <c r="AE365" s="82"/>
      <c r="AF365" s="82"/>
    </row>
    <row r="366" spans="1:32" ht="15" customHeight="1" x14ac:dyDescent="0.25">
      <c r="A366" s="45">
        <v>1706</v>
      </c>
      <c r="B366" s="47"/>
      <c r="C366" s="46"/>
      <c r="D366" s="45" t="s">
        <v>2396</v>
      </c>
      <c r="E366" s="46" t="s">
        <v>7</v>
      </c>
      <c r="F366" s="87"/>
      <c r="G366" s="82"/>
      <c r="H366" s="82"/>
      <c r="I366" s="82" t="s">
        <v>7894</v>
      </c>
      <c r="J366" s="82"/>
      <c r="K366" s="82"/>
      <c r="L366" s="82"/>
      <c r="M366" s="82"/>
      <c r="N366" s="82"/>
      <c r="O366" s="87" t="s">
        <v>6302</v>
      </c>
      <c r="P366" s="82" t="s">
        <v>1137</v>
      </c>
      <c r="Q366" s="83">
        <f>VLOOKUP(TAB_ESTOQUE[[#This Row],[Codigo]],TAB_ENTRADA[[Cod_2_Entrada]:[TOTAL_ENTRADA]],5,FALSE)-VLOOKUP(TAB_ESTOQUE[[#This Row],[Codigo]],TAB_SAIDA[[COD_2_SAIDA]:[TOTAL_SAIDA]],5,FALSE)</f>
        <v>8</v>
      </c>
      <c r="R366" s="87"/>
      <c r="S366" s="87"/>
      <c r="T366" s="90"/>
      <c r="U366" s="91">
        <f>TAB_ESTOQUE[[#This Row],[Valor Unitario Estimado]]*TAB_ESTOQUE[[#This Row],[Estoque]]</f>
        <v>0</v>
      </c>
      <c r="V366" s="91"/>
      <c r="W366" s="85"/>
      <c r="X366" s="85"/>
      <c r="Y366" s="85"/>
      <c r="Z366" s="85"/>
      <c r="AA366" s="85"/>
      <c r="AB366" s="85" t="str">
        <f>IF(TAB_ESTOQUE[[#This Row],[Estoque]]=0,"Estoque Não Conforme",IF(TAB_ESTOQUE[[#This Row],[Estoque]]&gt;=TAB_ESTOQUE[[#This Row],[Mínimo]],"Estoque Conforme",IF(TAB_ESTOQUE[[#This Row],[Estoque]]&lt;TAB_ESTOQUE[[#This Row],[Mínimo]],"Estoque em Nivel Minimo")))</f>
        <v>Estoque Conforme</v>
      </c>
      <c r="AC366" s="85"/>
      <c r="AD366" s="82"/>
      <c r="AE366" s="82"/>
      <c r="AF366" s="82"/>
    </row>
    <row r="367" spans="1:32" ht="15" customHeight="1" x14ac:dyDescent="0.25">
      <c r="A367" s="45">
        <v>687</v>
      </c>
      <c r="B367" s="47"/>
      <c r="C367" s="46"/>
      <c r="D367" s="45" t="s">
        <v>2397</v>
      </c>
      <c r="E367" s="46" t="s">
        <v>546</v>
      </c>
      <c r="F367" s="87"/>
      <c r="G367" s="82"/>
      <c r="H367" s="82"/>
      <c r="I367" s="82" t="s">
        <v>7895</v>
      </c>
      <c r="J367" s="82"/>
      <c r="K367" s="82"/>
      <c r="L367" s="82"/>
      <c r="M367" s="82"/>
      <c r="N367" s="82"/>
      <c r="O367" s="87" t="s">
        <v>6302</v>
      </c>
      <c r="P367" s="82" t="s">
        <v>474</v>
      </c>
      <c r="Q367" s="83">
        <f>VLOOKUP(TAB_ESTOQUE[[#This Row],[Codigo]],TAB_ENTRADA[[Cod_2_Entrada]:[TOTAL_ENTRADA]],5,FALSE)-VLOOKUP(TAB_ESTOQUE[[#This Row],[Codigo]],TAB_SAIDA[[COD_2_SAIDA]:[TOTAL_SAIDA]],5,FALSE)</f>
        <v>2</v>
      </c>
      <c r="R367" s="87"/>
      <c r="S367" s="87"/>
      <c r="T367" s="90"/>
      <c r="U367" s="91">
        <f>TAB_ESTOQUE[[#This Row],[Valor Unitario Estimado]]*TAB_ESTOQUE[[#This Row],[Estoque]]</f>
        <v>0</v>
      </c>
      <c r="V367" s="91"/>
      <c r="W367" s="85"/>
      <c r="X367" s="85"/>
      <c r="Y367" s="85"/>
      <c r="Z367" s="85"/>
      <c r="AA367" s="85"/>
      <c r="AB367" s="85" t="str">
        <f>IF(TAB_ESTOQUE[[#This Row],[Estoque]]=0,"Estoque Não Conforme",IF(TAB_ESTOQUE[[#This Row],[Estoque]]&gt;=TAB_ESTOQUE[[#This Row],[Mínimo]],"Estoque Conforme",IF(TAB_ESTOQUE[[#This Row],[Estoque]]&lt;TAB_ESTOQUE[[#This Row],[Mínimo]],"Estoque em Nivel Minimo")))</f>
        <v>Estoque Conforme</v>
      </c>
      <c r="AC367" s="85"/>
      <c r="AD367" s="82"/>
      <c r="AE367" s="82"/>
      <c r="AF367" s="82"/>
    </row>
    <row r="368" spans="1:32" ht="15" customHeight="1" x14ac:dyDescent="0.25">
      <c r="A368" s="45">
        <v>685</v>
      </c>
      <c r="B368" s="47"/>
      <c r="C368" s="46"/>
      <c r="D368" s="45" t="s">
        <v>2398</v>
      </c>
      <c r="E368" s="46" t="s">
        <v>935</v>
      </c>
      <c r="F368" s="87"/>
      <c r="G368" s="82"/>
      <c r="H368" s="82"/>
      <c r="I368" s="82" t="s">
        <v>7896</v>
      </c>
      <c r="J368" s="82"/>
      <c r="K368" s="82"/>
      <c r="L368" s="82"/>
      <c r="M368" s="82"/>
      <c r="N368" s="82"/>
      <c r="O368" s="87" t="s">
        <v>6302</v>
      </c>
      <c r="P368" s="82" t="s">
        <v>471</v>
      </c>
      <c r="Q368" s="83">
        <f>VLOOKUP(TAB_ESTOQUE[[#This Row],[Codigo]],TAB_ENTRADA[[Cod_2_Entrada]:[TOTAL_ENTRADA]],5,FALSE)-VLOOKUP(TAB_ESTOQUE[[#This Row],[Codigo]],TAB_SAIDA[[COD_2_SAIDA]:[TOTAL_SAIDA]],5,FALSE)</f>
        <v>1</v>
      </c>
      <c r="R368" s="87"/>
      <c r="S368" s="87"/>
      <c r="T368" s="90"/>
      <c r="U368" s="91">
        <f>TAB_ESTOQUE[[#This Row],[Valor Unitario Estimado]]*TAB_ESTOQUE[[#This Row],[Estoque]]</f>
        <v>0</v>
      </c>
      <c r="V368" s="91"/>
      <c r="W368" s="85"/>
      <c r="X368" s="85"/>
      <c r="Y368" s="85"/>
      <c r="Z368" s="85"/>
      <c r="AA368" s="85"/>
      <c r="AB368" s="85" t="str">
        <f>IF(TAB_ESTOQUE[[#This Row],[Estoque]]=0,"Estoque Não Conforme",IF(TAB_ESTOQUE[[#This Row],[Estoque]]&gt;=TAB_ESTOQUE[[#This Row],[Mínimo]],"Estoque Conforme",IF(TAB_ESTOQUE[[#This Row],[Estoque]]&lt;TAB_ESTOQUE[[#This Row],[Mínimo]],"Estoque em Nivel Minimo")))</f>
        <v>Estoque Conforme</v>
      </c>
      <c r="AC368" s="85"/>
      <c r="AD368" s="82"/>
      <c r="AE368" s="82"/>
      <c r="AF368" s="82"/>
    </row>
    <row r="369" spans="1:32" ht="15" customHeight="1" x14ac:dyDescent="0.25">
      <c r="A369" s="45">
        <v>962</v>
      </c>
      <c r="B369" s="47"/>
      <c r="C369" s="46"/>
      <c r="D369" s="45" t="s">
        <v>1856</v>
      </c>
      <c r="E369" s="46" t="s">
        <v>7</v>
      </c>
      <c r="F369" s="87"/>
      <c r="G369" s="82"/>
      <c r="H369" s="82"/>
      <c r="I369" s="82" t="s">
        <v>25</v>
      </c>
      <c r="J369" s="82"/>
      <c r="K369" s="82"/>
      <c r="L369" s="82"/>
      <c r="M369" s="82"/>
      <c r="N369" s="82"/>
      <c r="O369" s="87" t="s">
        <v>6339</v>
      </c>
      <c r="P369" s="82" t="s">
        <v>745</v>
      </c>
      <c r="Q369" s="83">
        <f>VLOOKUP(TAB_ESTOQUE[[#This Row],[Codigo]],TAB_ENTRADA[[Cod_2_Entrada]:[TOTAL_ENTRADA]],5,FALSE)-VLOOKUP(TAB_ESTOQUE[[#This Row],[Codigo]],TAB_SAIDA[[COD_2_SAIDA]:[TOTAL_SAIDA]],5,FALSE)</f>
        <v>3</v>
      </c>
      <c r="R369" s="87"/>
      <c r="S369" s="87"/>
      <c r="T369" s="90"/>
      <c r="U369" s="91">
        <f>TAB_ESTOQUE[[#This Row],[Valor Unitario Estimado]]*TAB_ESTOQUE[[#This Row],[Estoque]]</f>
        <v>0</v>
      </c>
      <c r="V369" s="91"/>
      <c r="W369" s="85"/>
      <c r="X369" s="85"/>
      <c r="Y369" s="85"/>
      <c r="Z369" s="85"/>
      <c r="AA369" s="85"/>
      <c r="AB369" s="85" t="str">
        <f>IF(TAB_ESTOQUE[[#This Row],[Estoque]]=0,"Estoque Não Conforme",IF(TAB_ESTOQUE[[#This Row],[Estoque]]&gt;=TAB_ESTOQUE[[#This Row],[Mínimo]],"Estoque Conforme",IF(TAB_ESTOQUE[[#This Row],[Estoque]]&lt;TAB_ESTOQUE[[#This Row],[Mínimo]],"Estoque em Nivel Minimo")))</f>
        <v>Estoque Conforme</v>
      </c>
      <c r="AC369" s="85"/>
      <c r="AD369" s="82"/>
      <c r="AE369" s="82"/>
      <c r="AF369" s="82"/>
    </row>
    <row r="370" spans="1:32" ht="15" customHeight="1" x14ac:dyDescent="0.25">
      <c r="A370" s="45">
        <v>961</v>
      </c>
      <c r="B370" s="47"/>
      <c r="C370" s="46"/>
      <c r="D370" s="45" t="s">
        <v>1857</v>
      </c>
      <c r="E370" s="46" t="s">
        <v>7</v>
      </c>
      <c r="F370" s="87"/>
      <c r="G370" s="82"/>
      <c r="H370" s="82"/>
      <c r="I370" s="82" t="s">
        <v>6079</v>
      </c>
      <c r="J370" s="82"/>
      <c r="K370" s="82"/>
      <c r="L370" s="82"/>
      <c r="M370" s="82"/>
      <c r="N370" s="82"/>
      <c r="O370" s="87" t="s">
        <v>6339</v>
      </c>
      <c r="P370" s="82" t="s">
        <v>744</v>
      </c>
      <c r="Q370" s="83">
        <f>VLOOKUP(TAB_ESTOQUE[[#This Row],[Codigo]],TAB_ENTRADA[[Cod_2_Entrada]:[TOTAL_ENTRADA]],5,FALSE)-VLOOKUP(TAB_ESTOQUE[[#This Row],[Codigo]],TAB_SAIDA[[COD_2_SAIDA]:[TOTAL_SAIDA]],5,FALSE)</f>
        <v>2</v>
      </c>
      <c r="R370" s="87"/>
      <c r="S370" s="87"/>
      <c r="T370" s="90"/>
      <c r="U370" s="91">
        <f>TAB_ESTOQUE[[#This Row],[Valor Unitario Estimado]]*TAB_ESTOQUE[[#This Row],[Estoque]]</f>
        <v>0</v>
      </c>
      <c r="V370" s="91"/>
      <c r="W370" s="85"/>
      <c r="X370" s="85"/>
      <c r="Y370" s="85"/>
      <c r="Z370" s="85"/>
      <c r="AA370" s="85"/>
      <c r="AB370" s="85" t="str">
        <f>IF(TAB_ESTOQUE[[#This Row],[Estoque]]=0,"Estoque Não Conforme",IF(TAB_ESTOQUE[[#This Row],[Estoque]]&gt;=TAB_ESTOQUE[[#This Row],[Mínimo]],"Estoque Conforme",IF(TAB_ESTOQUE[[#This Row],[Estoque]]&lt;TAB_ESTOQUE[[#This Row],[Mínimo]],"Estoque em Nivel Minimo")))</f>
        <v>Estoque Conforme</v>
      </c>
      <c r="AC370" s="85"/>
      <c r="AD370" s="82"/>
      <c r="AE370" s="82"/>
      <c r="AF370" s="82"/>
    </row>
    <row r="371" spans="1:32" ht="15" customHeight="1" x14ac:dyDescent="0.25">
      <c r="A371" s="45">
        <v>1369</v>
      </c>
      <c r="B371" s="47"/>
      <c r="C371" s="46"/>
      <c r="D371" s="45" t="s">
        <v>1859</v>
      </c>
      <c r="E371" s="46"/>
      <c r="F371" s="87"/>
      <c r="G371" s="82"/>
      <c r="H371" s="82"/>
      <c r="I371" s="82" t="s">
        <v>601</v>
      </c>
      <c r="J371" s="82"/>
      <c r="K371" s="82"/>
      <c r="L371" s="82"/>
      <c r="M371" s="82"/>
      <c r="N371" s="82"/>
      <c r="O371" s="87" t="s">
        <v>6339</v>
      </c>
      <c r="P371" s="82" t="s">
        <v>1103</v>
      </c>
      <c r="Q371" s="83">
        <f>VLOOKUP(TAB_ESTOQUE[[#This Row],[Codigo]],TAB_ENTRADA[[Cod_2_Entrada]:[TOTAL_ENTRADA]],5,FALSE)-VLOOKUP(TAB_ESTOQUE[[#This Row],[Codigo]],TAB_SAIDA[[COD_2_SAIDA]:[TOTAL_SAIDA]],5,FALSE)</f>
        <v>0</v>
      </c>
      <c r="R371" s="87"/>
      <c r="S371" s="87"/>
      <c r="T371" s="90">
        <v>216</v>
      </c>
      <c r="U371" s="91">
        <f>TAB_ESTOQUE[[#This Row],[Valor Unitario Estimado]]*TAB_ESTOQUE[[#This Row],[Estoque]]</f>
        <v>0</v>
      </c>
      <c r="V371" s="91"/>
      <c r="W371" s="85"/>
      <c r="X371" s="85"/>
      <c r="Y371" s="85"/>
      <c r="Z371" s="85"/>
      <c r="AA371" s="85"/>
      <c r="AB371" s="85" t="str">
        <f>IF(TAB_ESTOQUE[[#This Row],[Estoque]]=0,"Estoque Não Conforme",IF(TAB_ESTOQUE[[#This Row],[Estoque]]&gt;=TAB_ESTOQUE[[#This Row],[Mínimo]],"Estoque Conforme",IF(TAB_ESTOQUE[[#This Row],[Estoque]]&lt;TAB_ESTOQUE[[#This Row],[Mínimo]],"Estoque em Nivel Minimo")))</f>
        <v>Estoque Não Conforme</v>
      </c>
      <c r="AC371" s="85"/>
      <c r="AD371" s="82"/>
      <c r="AE371" s="82"/>
      <c r="AF371" s="82"/>
    </row>
    <row r="372" spans="1:32" s="106" customFormat="1" ht="15" customHeight="1" x14ac:dyDescent="0.25">
      <c r="A372" s="45">
        <v>823</v>
      </c>
      <c r="B372" s="47"/>
      <c r="C372" s="46"/>
      <c r="D372" s="45" t="s">
        <v>1860</v>
      </c>
      <c r="E372" s="46"/>
      <c r="F372" s="87"/>
      <c r="G372" s="82"/>
      <c r="H372" s="82"/>
      <c r="I372" s="82" t="s">
        <v>389</v>
      </c>
      <c r="J372" s="82"/>
      <c r="K372" s="82"/>
      <c r="L372" s="82"/>
      <c r="M372" s="82"/>
      <c r="N372" s="82"/>
      <c r="O372" s="87" t="s">
        <v>6339</v>
      </c>
      <c r="P372" s="82" t="s">
        <v>609</v>
      </c>
      <c r="Q372" s="83">
        <f>VLOOKUP(TAB_ESTOQUE[[#This Row],[Codigo]],TAB_ENTRADA[[Cod_2_Entrada]:[TOTAL_ENTRADA]],5,FALSE)-VLOOKUP(TAB_ESTOQUE[[#This Row],[Codigo]],TAB_SAIDA[[COD_2_SAIDA]:[TOTAL_SAIDA]],5,FALSE)</f>
        <v>0</v>
      </c>
      <c r="R372" s="87"/>
      <c r="S372" s="87"/>
      <c r="T372" s="90"/>
      <c r="U372" s="91">
        <f>TAB_ESTOQUE[[#This Row],[Valor Unitario Estimado]]*TAB_ESTOQUE[[#This Row],[Estoque]]</f>
        <v>0</v>
      </c>
      <c r="V372" s="91"/>
      <c r="W372" s="85"/>
      <c r="X372" s="85"/>
      <c r="Y372" s="85"/>
      <c r="Z372" s="85"/>
      <c r="AA372" s="85"/>
      <c r="AB372" s="85" t="str">
        <f>IF(TAB_ESTOQUE[[#This Row],[Estoque]]=0,"Estoque Não Conforme",IF(TAB_ESTOQUE[[#This Row],[Estoque]]&gt;=TAB_ESTOQUE[[#This Row],[Mínimo]],"Estoque Conforme",IF(TAB_ESTOQUE[[#This Row],[Estoque]]&lt;TAB_ESTOQUE[[#This Row],[Mínimo]],"Estoque em Nivel Minimo")))</f>
        <v>Estoque Não Conforme</v>
      </c>
      <c r="AC372" s="85"/>
      <c r="AD372" s="82"/>
      <c r="AE372" s="95"/>
      <c r="AF372" s="95"/>
    </row>
    <row r="373" spans="1:32" ht="15" customHeight="1" x14ac:dyDescent="0.25">
      <c r="A373" s="45">
        <v>1170</v>
      </c>
      <c r="B373" s="47"/>
      <c r="C373" s="46"/>
      <c r="D373" s="45" t="s">
        <v>1862</v>
      </c>
      <c r="E373" s="46" t="s">
        <v>7265</v>
      </c>
      <c r="F373" s="87"/>
      <c r="G373" s="82"/>
      <c r="H373" s="82"/>
      <c r="I373" s="82" t="s">
        <v>599</v>
      </c>
      <c r="J373" s="82"/>
      <c r="K373" s="82"/>
      <c r="L373" s="82"/>
      <c r="M373" s="82"/>
      <c r="N373" s="82"/>
      <c r="O373" s="87" t="s">
        <v>6339</v>
      </c>
      <c r="P373" s="82" t="s">
        <v>892</v>
      </c>
      <c r="Q373" s="83">
        <f>VLOOKUP(TAB_ESTOQUE[[#This Row],[Codigo]],TAB_ENTRADA[[Cod_2_Entrada]:[TOTAL_ENTRADA]],5,FALSE)-VLOOKUP(TAB_ESTOQUE[[#This Row],[Codigo]],TAB_SAIDA[[COD_2_SAIDA]:[TOTAL_SAIDA]],5,FALSE)</f>
        <v>0</v>
      </c>
      <c r="R373" s="87"/>
      <c r="S373" s="87"/>
      <c r="T373" s="90">
        <v>240</v>
      </c>
      <c r="U373" s="91">
        <f>TAB_ESTOQUE[[#This Row],[Valor Unitario Estimado]]*TAB_ESTOQUE[[#This Row],[Estoque]]</f>
        <v>0</v>
      </c>
      <c r="V373" s="91"/>
      <c r="W373" s="85"/>
      <c r="X373" s="85"/>
      <c r="Y373" s="85"/>
      <c r="Z373" s="85"/>
      <c r="AA373" s="85"/>
      <c r="AB373" s="85" t="str">
        <f>IF(TAB_ESTOQUE[[#This Row],[Estoque]]=0,"Estoque Não Conforme",IF(TAB_ESTOQUE[[#This Row],[Estoque]]&gt;=TAB_ESTOQUE[[#This Row],[Mínimo]],"Estoque Conforme",IF(TAB_ESTOQUE[[#This Row],[Estoque]]&lt;TAB_ESTOQUE[[#This Row],[Mínimo]],"Estoque em Nivel Minimo")))</f>
        <v>Estoque Não Conforme</v>
      </c>
      <c r="AC373" s="85"/>
      <c r="AD373" s="82"/>
      <c r="AE373" s="82"/>
      <c r="AF373" s="82"/>
    </row>
    <row r="374" spans="1:32" ht="15" customHeight="1" x14ac:dyDescent="0.25">
      <c r="A374" s="45">
        <v>614</v>
      </c>
      <c r="B374" s="47"/>
      <c r="C374" s="46"/>
      <c r="D374" s="45" t="s">
        <v>1863</v>
      </c>
      <c r="E374" s="46"/>
      <c r="F374" s="87"/>
      <c r="G374" s="82"/>
      <c r="H374" s="82"/>
      <c r="I374" s="82" t="s">
        <v>392</v>
      </c>
      <c r="J374" s="82"/>
      <c r="K374" s="82"/>
      <c r="L374" s="82"/>
      <c r="M374" s="82"/>
      <c r="N374" s="82"/>
      <c r="O374" s="87" t="s">
        <v>6339</v>
      </c>
      <c r="P374" s="82" t="s">
        <v>395</v>
      </c>
      <c r="Q374" s="83">
        <f>VLOOKUP(TAB_ESTOQUE[[#This Row],[Codigo]],TAB_ENTRADA[[Cod_2_Entrada]:[TOTAL_ENTRADA]],5,FALSE)-VLOOKUP(TAB_ESTOQUE[[#This Row],[Codigo]],TAB_SAIDA[[COD_2_SAIDA]:[TOTAL_SAIDA]],5,FALSE)</f>
        <v>0</v>
      </c>
      <c r="R374" s="87"/>
      <c r="S374" s="87"/>
      <c r="T374" s="90">
        <v>190</v>
      </c>
      <c r="U374" s="91">
        <f>TAB_ESTOQUE[[#This Row],[Valor Unitario Estimado]]*TAB_ESTOQUE[[#This Row],[Estoque]]</f>
        <v>0</v>
      </c>
      <c r="V374" s="91"/>
      <c r="W374" s="85"/>
      <c r="X374" s="85"/>
      <c r="Y374" s="85"/>
      <c r="Z374" s="85"/>
      <c r="AA374" s="85"/>
      <c r="AB374" s="85" t="str">
        <f>IF(TAB_ESTOQUE[[#This Row],[Estoque]]=0,"Estoque Não Conforme",IF(TAB_ESTOQUE[[#This Row],[Estoque]]&gt;=TAB_ESTOQUE[[#This Row],[Mínimo]],"Estoque Conforme",IF(TAB_ESTOQUE[[#This Row],[Estoque]]&lt;TAB_ESTOQUE[[#This Row],[Mínimo]],"Estoque em Nivel Minimo")))</f>
        <v>Estoque Não Conforme</v>
      </c>
      <c r="AC374" s="85"/>
      <c r="AD374" s="82"/>
      <c r="AE374" s="82"/>
      <c r="AF374" s="82"/>
    </row>
    <row r="375" spans="1:32" ht="15" customHeight="1" x14ac:dyDescent="0.25">
      <c r="C375" s="48"/>
      <c r="D375" s="45" t="s">
        <v>7094</v>
      </c>
      <c r="E375" s="46" t="s">
        <v>7387</v>
      </c>
      <c r="F375" s="46"/>
      <c r="I375" s="45" t="s">
        <v>7516</v>
      </c>
      <c r="O375" s="46" t="s">
        <v>6339</v>
      </c>
      <c r="Q375" s="137">
        <f>VLOOKUP(TAB_ESTOQUE[[#This Row],[Codigo]],TAB_ENTRADA[[Cod_2_Entrada]:[TOTAL_ENTRADA]],5,FALSE)-VLOOKUP(TAB_ESTOQUE[[#This Row],[Codigo]],TAB_SAIDA[[COD_2_SAIDA]:[TOTAL_SAIDA]],5,FALSE)</f>
        <v>2</v>
      </c>
      <c r="S375" s="46"/>
      <c r="T375" s="102">
        <v>118</v>
      </c>
      <c r="U375" s="103">
        <f>TAB_ESTOQUE[[#This Row],[Valor Unitario Estimado]]*TAB_ESTOQUE[[#This Row],[Estoque]]</f>
        <v>236</v>
      </c>
      <c r="V375" s="103"/>
      <c r="AA375" s="138"/>
      <c r="AB375" s="104" t="str">
        <f>IF(TAB_ESTOQUE[[#This Row],[Estoque]]=0,"Estoque Não Conforme",IF(TAB_ESTOQUE[[#This Row],[Estoque]]&gt;=TAB_ESTOQUE[[#This Row],[Mínimo]],"Estoque Conforme",IF(TAB_ESTOQUE[[#This Row],[Estoque]]&lt;TAB_ESTOQUE[[#This Row],[Mínimo]],"Estoque em Nivel Minimo")))</f>
        <v>Estoque Conforme</v>
      </c>
      <c r="AC375" s="104"/>
      <c r="AE375" s="82"/>
      <c r="AF375" s="82"/>
    </row>
    <row r="376" spans="1:32" ht="15" customHeight="1" x14ac:dyDescent="0.25">
      <c r="C376" s="48"/>
      <c r="D376" s="45" t="s">
        <v>7287</v>
      </c>
      <c r="E376" s="46"/>
      <c r="F376" s="46"/>
      <c r="I376" s="45" t="s">
        <v>7886</v>
      </c>
      <c r="O376" s="51" t="s">
        <v>6339</v>
      </c>
      <c r="Q376" s="137">
        <f>VLOOKUP(TAB_ESTOQUE[[#This Row],[Codigo]],TAB_ENTRADA[[Cod_2_Entrada]:[TOTAL_ENTRADA]],5,FALSE)-VLOOKUP(TAB_ESTOQUE[[#This Row],[Codigo]],TAB_SAIDA[[COD_2_SAIDA]:[TOTAL_SAIDA]],5,FALSE)</f>
        <v>0</v>
      </c>
      <c r="S376" s="46"/>
      <c r="T376" s="102">
        <v>133.25</v>
      </c>
      <c r="U376" s="103">
        <f>TAB_ESTOQUE[[#This Row],[Valor Unitario Estimado]]*TAB_ESTOQUE[[#This Row],[Estoque]]</f>
        <v>0</v>
      </c>
      <c r="V376" s="103"/>
      <c r="AA376" s="138"/>
      <c r="AB376" s="104" t="str">
        <f>IF(TAB_ESTOQUE[[#This Row],[Estoque]]=0,"Estoque Não Conforme",IF(TAB_ESTOQUE[[#This Row],[Estoque]]&gt;=TAB_ESTOQUE[[#This Row],[Mínimo]],"Estoque Conforme",IF(TAB_ESTOQUE[[#This Row],[Estoque]]&lt;TAB_ESTOQUE[[#This Row],[Mínimo]],"Estoque em Nivel Minimo")))</f>
        <v>Estoque Não Conforme</v>
      </c>
      <c r="AC376" s="104"/>
      <c r="AE376" s="82"/>
      <c r="AF376" s="82"/>
    </row>
    <row r="377" spans="1:32" ht="15" customHeight="1" x14ac:dyDescent="0.25">
      <c r="C377" s="48"/>
      <c r="D377" s="45" t="s">
        <v>7727</v>
      </c>
      <c r="E377" s="46"/>
      <c r="F377" s="46"/>
      <c r="I377" s="210" t="s">
        <v>8441</v>
      </c>
      <c r="O377" s="46" t="s">
        <v>6339</v>
      </c>
      <c r="Q377" s="137">
        <f>VLOOKUP(TAB_ESTOQUE[[#This Row],[Codigo]],TAB_ENTRADA[[Cod_2_Entrada]:[TOTAL_ENTRADA]],5,FALSE)-VLOOKUP(TAB_ESTOQUE[[#This Row],[Codigo]],TAB_SAIDA[[COD_2_SAIDA]:[TOTAL_SAIDA]],5,FALSE)</f>
        <v>0</v>
      </c>
      <c r="S377" s="46"/>
      <c r="T377" s="102"/>
      <c r="U377" s="103">
        <f>TAB_ESTOQUE[[#This Row],[Valor Unitario Estimado]]*TAB_ESTOQUE[[#This Row],[Estoque]]</f>
        <v>0</v>
      </c>
      <c r="V377" s="103"/>
      <c r="AA377" s="138"/>
      <c r="AB377" s="104" t="str">
        <f>IF(TAB_ESTOQUE[[#This Row],[Estoque]]=0,"Estoque Não Conforme",IF(TAB_ESTOQUE[[#This Row],[Estoque]]&gt;=TAB_ESTOQUE[[#This Row],[Mínimo]],"Estoque Conforme",IF(TAB_ESTOQUE[[#This Row],[Estoque]]&lt;TAB_ESTOQUE[[#This Row],[Mínimo]],"Estoque em Nivel Minimo")))</f>
        <v>Estoque Não Conforme</v>
      </c>
      <c r="AC377" s="104"/>
      <c r="AE377" s="82"/>
      <c r="AF377" s="82"/>
    </row>
    <row r="378" spans="1:32" ht="15" customHeight="1" x14ac:dyDescent="0.25">
      <c r="C378" s="48"/>
      <c r="D378" s="45" t="s">
        <v>7728</v>
      </c>
      <c r="E378" s="46"/>
      <c r="F378" s="46"/>
      <c r="I378" s="45" t="s">
        <v>8442</v>
      </c>
      <c r="O378" s="46" t="s">
        <v>6339</v>
      </c>
      <c r="Q378" s="137">
        <f>VLOOKUP(TAB_ESTOQUE[[#This Row],[Codigo]],TAB_ENTRADA[[Cod_2_Entrada]:[TOTAL_ENTRADA]],5,FALSE)-VLOOKUP(TAB_ESTOQUE[[#This Row],[Codigo]],TAB_SAIDA[[COD_2_SAIDA]:[TOTAL_SAIDA]],5,FALSE)</f>
        <v>0</v>
      </c>
      <c r="S378" s="46"/>
      <c r="T378" s="102"/>
      <c r="U378" s="103">
        <f>TAB_ESTOQUE[[#This Row],[Valor Unitario Estimado]]*TAB_ESTOQUE[[#This Row],[Estoque]]</f>
        <v>0</v>
      </c>
      <c r="V378" s="103"/>
      <c r="AA378" s="138"/>
      <c r="AB378" s="104" t="str">
        <f>IF(TAB_ESTOQUE[[#This Row],[Estoque]]=0,"Estoque Não Conforme",IF(TAB_ESTOQUE[[#This Row],[Estoque]]&gt;=TAB_ESTOQUE[[#This Row],[Mínimo]],"Estoque Conforme",IF(TAB_ESTOQUE[[#This Row],[Estoque]]&lt;TAB_ESTOQUE[[#This Row],[Mínimo]],"Estoque em Nivel Minimo")))</f>
        <v>Estoque Não Conforme</v>
      </c>
      <c r="AC378" s="104"/>
      <c r="AE378" s="82"/>
      <c r="AF378" s="82"/>
    </row>
    <row r="379" spans="1:32" ht="15" customHeight="1" x14ac:dyDescent="0.25">
      <c r="A379" s="45">
        <v>610</v>
      </c>
      <c r="B379" s="47"/>
      <c r="C379" s="46" t="s">
        <v>2842</v>
      </c>
      <c r="D379" s="45" t="s">
        <v>1750</v>
      </c>
      <c r="E379" s="46" t="s">
        <v>7</v>
      </c>
      <c r="F379" s="87"/>
      <c r="G379" s="82"/>
      <c r="H379" s="82"/>
      <c r="I379" s="82" t="s">
        <v>7890</v>
      </c>
      <c r="J379" s="82"/>
      <c r="K379" s="82"/>
      <c r="L379" s="82"/>
      <c r="M379" s="82"/>
      <c r="N379" s="82"/>
      <c r="O379" s="87" t="s">
        <v>6340</v>
      </c>
      <c r="P379" s="82" t="s">
        <v>58</v>
      </c>
      <c r="Q379" s="83">
        <f>VLOOKUP(TAB_ESTOQUE[[#This Row],[Codigo]],TAB_ENTRADA[[Cod_2_Entrada]:[TOTAL_ENTRADA]],5,FALSE)-VLOOKUP(TAB_ESTOQUE[[#This Row],[Codigo]],TAB_SAIDA[[COD_2_SAIDA]:[TOTAL_SAIDA]],5,FALSE)</f>
        <v>0</v>
      </c>
      <c r="R379" s="87"/>
      <c r="S379" s="87"/>
      <c r="T379" s="90">
        <v>80.5</v>
      </c>
      <c r="U379" s="91">
        <f>TAB_ESTOQUE[[#This Row],[Valor Unitario Estimado]]*TAB_ESTOQUE[[#This Row],[Estoque]]</f>
        <v>0</v>
      </c>
      <c r="V379" s="91"/>
      <c r="W379" s="85"/>
      <c r="X379" s="85"/>
      <c r="Y379" s="85"/>
      <c r="Z379" s="85"/>
      <c r="AA379" s="85"/>
      <c r="AB379" s="85" t="str">
        <f>IF(TAB_ESTOQUE[[#This Row],[Estoque]]=0,"Estoque Não Conforme",IF(TAB_ESTOQUE[[#This Row],[Estoque]]&gt;=TAB_ESTOQUE[[#This Row],[Mínimo]],"Estoque Conforme",IF(TAB_ESTOQUE[[#This Row],[Estoque]]&lt;TAB_ESTOQUE[[#This Row],[Mínimo]],"Estoque em Nivel Minimo")))</f>
        <v>Estoque Não Conforme</v>
      </c>
      <c r="AC379" s="85"/>
      <c r="AD379" s="82"/>
      <c r="AE379" s="82"/>
      <c r="AF379" s="82"/>
    </row>
    <row r="380" spans="1:32" ht="15" customHeight="1" x14ac:dyDescent="0.25">
      <c r="A380" s="47">
        <v>925</v>
      </c>
      <c r="B380" s="47"/>
      <c r="C380" s="51"/>
      <c r="D380" s="47" t="s">
        <v>1858</v>
      </c>
      <c r="E380" s="51" t="s">
        <v>7</v>
      </c>
      <c r="F380" s="107"/>
      <c r="G380" s="94"/>
      <c r="H380" s="94"/>
      <c r="I380" s="94" t="s">
        <v>7889</v>
      </c>
      <c r="J380" s="94"/>
      <c r="K380" s="94"/>
      <c r="L380" s="94"/>
      <c r="M380" s="94"/>
      <c r="N380" s="94"/>
      <c r="O380" s="107" t="s">
        <v>6340</v>
      </c>
      <c r="P380" s="94" t="s">
        <v>707</v>
      </c>
      <c r="Q380" s="145">
        <f>VLOOKUP(TAB_ESTOQUE[[#This Row],[Codigo]],TAB_ENTRADA[[Cod_2_Entrada]:[TOTAL_ENTRADA]],5,FALSE)-VLOOKUP(TAB_ESTOQUE[[#This Row],[Codigo]],TAB_SAIDA[[COD_2_SAIDA]:[TOTAL_SAIDA]],5,FALSE)</f>
        <v>3</v>
      </c>
      <c r="R380" s="107"/>
      <c r="S380" s="107"/>
      <c r="T380" s="108">
        <v>88.5</v>
      </c>
      <c r="U380" s="109">
        <f>TAB_ESTOQUE[[#This Row],[Valor Unitario Estimado]]*TAB_ESTOQUE[[#This Row],[Estoque]]</f>
        <v>265.5</v>
      </c>
      <c r="V380" s="109"/>
      <c r="W380" s="110"/>
      <c r="X380" s="110"/>
      <c r="Y380" s="110"/>
      <c r="Z380" s="110"/>
      <c r="AA380" s="110"/>
      <c r="AB380" s="110" t="str">
        <f>IF(TAB_ESTOQUE[[#This Row],[Estoque]]=0,"Estoque Não Conforme",IF(TAB_ESTOQUE[[#This Row],[Estoque]]&gt;=TAB_ESTOQUE[[#This Row],[Mínimo]],"Estoque Conforme",IF(TAB_ESTOQUE[[#This Row],[Estoque]]&lt;TAB_ESTOQUE[[#This Row],[Mínimo]],"Estoque em Nivel Minimo")))</f>
        <v>Estoque Conforme</v>
      </c>
      <c r="AC380" s="110"/>
      <c r="AD380" s="94"/>
      <c r="AE380" s="82"/>
      <c r="AF380" s="82"/>
    </row>
    <row r="381" spans="1:32" ht="15" customHeight="1" x14ac:dyDescent="0.25">
      <c r="A381" s="45">
        <v>812</v>
      </c>
      <c r="B381" s="47"/>
      <c r="C381" s="46" t="s">
        <v>2838</v>
      </c>
      <c r="D381" s="45" t="s">
        <v>1864</v>
      </c>
      <c r="E381" s="46" t="s">
        <v>7</v>
      </c>
      <c r="F381" s="87"/>
      <c r="G381" s="82"/>
      <c r="H381" s="82"/>
      <c r="I381" s="82" t="s">
        <v>8977</v>
      </c>
      <c r="J381" s="82"/>
      <c r="K381" s="82"/>
      <c r="L381" s="82"/>
      <c r="M381" s="82"/>
      <c r="N381" s="82"/>
      <c r="O381" s="87" t="s">
        <v>6340</v>
      </c>
      <c r="P381" s="82" t="s">
        <v>602</v>
      </c>
      <c r="Q381" s="83">
        <f>VLOOKUP(TAB_ESTOQUE[[#This Row],[Codigo]],TAB_ENTRADA[[Cod_2_Entrada]:[TOTAL_ENTRADA]],5,FALSE)-VLOOKUP(TAB_ESTOQUE[[#This Row],[Codigo]],TAB_SAIDA[[COD_2_SAIDA]:[TOTAL_SAIDA]],5,FALSE)</f>
        <v>0</v>
      </c>
      <c r="R381" s="87"/>
      <c r="S381" s="87"/>
      <c r="T381" s="90">
        <v>80.5</v>
      </c>
      <c r="U381" s="91">
        <f>TAB_ESTOQUE[[#This Row],[Valor Unitario Estimado]]*TAB_ESTOQUE[[#This Row],[Estoque]]</f>
        <v>0</v>
      </c>
      <c r="V381" s="91"/>
      <c r="W381" s="85"/>
      <c r="X381" s="85"/>
      <c r="Y381" s="85"/>
      <c r="Z381" s="85"/>
      <c r="AA381" s="85"/>
      <c r="AB381" s="85" t="str">
        <f>IF(TAB_ESTOQUE[[#This Row],[Estoque]]=0,"Estoque Não Conforme",IF(TAB_ESTOQUE[[#This Row],[Estoque]]&gt;=TAB_ESTOQUE[[#This Row],[Mínimo]],"Estoque Conforme",IF(TAB_ESTOQUE[[#This Row],[Estoque]]&lt;TAB_ESTOQUE[[#This Row],[Mínimo]],"Estoque em Nivel Minimo")))</f>
        <v>Estoque Não Conforme</v>
      </c>
      <c r="AC381" s="85"/>
      <c r="AD381" s="82"/>
      <c r="AE381" s="82"/>
      <c r="AF381" s="82"/>
    </row>
    <row r="382" spans="1:32" ht="15" customHeight="1" x14ac:dyDescent="0.25">
      <c r="A382" s="45">
        <v>611</v>
      </c>
      <c r="B382" s="47"/>
      <c r="C382" s="46" t="s">
        <v>2838</v>
      </c>
      <c r="D382" s="45" t="s">
        <v>1865</v>
      </c>
      <c r="E382" s="46" t="s">
        <v>7</v>
      </c>
      <c r="F382" s="87"/>
      <c r="G382" s="82"/>
      <c r="H382" s="82"/>
      <c r="I382" s="82" t="s">
        <v>7891</v>
      </c>
      <c r="J382" s="82"/>
      <c r="K382" s="82"/>
      <c r="L382" s="82"/>
      <c r="M382" s="82"/>
      <c r="N382" s="82"/>
      <c r="O382" s="87" t="s">
        <v>6340</v>
      </c>
      <c r="P382" s="82" t="s">
        <v>390</v>
      </c>
      <c r="Q382" s="83">
        <f>VLOOKUP(TAB_ESTOQUE[[#This Row],[Codigo]],TAB_ENTRADA[[Cod_2_Entrada]:[TOTAL_ENTRADA]],5,FALSE)-VLOOKUP(TAB_ESTOQUE[[#This Row],[Codigo]],TAB_SAIDA[[COD_2_SAIDA]:[TOTAL_SAIDA]],5,FALSE)</f>
        <v>3</v>
      </c>
      <c r="R382" s="87"/>
      <c r="S382" s="87"/>
      <c r="T382" s="90">
        <v>50.16</v>
      </c>
      <c r="U382" s="91">
        <f>TAB_ESTOQUE[[#This Row],[Valor Unitario Estimado]]*TAB_ESTOQUE[[#This Row],[Estoque]]</f>
        <v>150.47999999999999</v>
      </c>
      <c r="V382" s="91"/>
      <c r="W382" s="85"/>
      <c r="X382" s="85"/>
      <c r="Y382" s="85"/>
      <c r="Z382" s="85"/>
      <c r="AA382" s="85"/>
      <c r="AB382" s="85" t="str">
        <f>IF(TAB_ESTOQUE[[#This Row],[Estoque]]=0,"Estoque Não Conforme",IF(TAB_ESTOQUE[[#This Row],[Estoque]]&gt;=TAB_ESTOQUE[[#This Row],[Mínimo]],"Estoque Conforme",IF(TAB_ESTOQUE[[#This Row],[Estoque]]&lt;TAB_ESTOQUE[[#This Row],[Mínimo]],"Estoque em Nivel Minimo")))</f>
        <v>Estoque Conforme</v>
      </c>
      <c r="AC382" s="85"/>
      <c r="AD382" s="82"/>
      <c r="AE382" s="82"/>
      <c r="AF382" s="82"/>
    </row>
    <row r="383" spans="1:32" ht="15" customHeight="1" x14ac:dyDescent="0.25">
      <c r="A383" s="47" t="s">
        <v>1159</v>
      </c>
      <c r="B383" s="47"/>
      <c r="C383" s="51"/>
      <c r="D383" s="47" t="s">
        <v>2648</v>
      </c>
      <c r="E383" s="51" t="s">
        <v>8</v>
      </c>
      <c r="F383" s="107"/>
      <c r="G383" s="94"/>
      <c r="H383" s="94"/>
      <c r="I383" s="170" t="s">
        <v>7897</v>
      </c>
      <c r="J383" s="94"/>
      <c r="K383" s="94"/>
      <c r="L383" s="94"/>
      <c r="M383" s="94"/>
      <c r="N383" s="94"/>
      <c r="O383" s="107" t="s">
        <v>6340</v>
      </c>
      <c r="P383" s="94"/>
      <c r="Q383" s="145">
        <f>VLOOKUP(TAB_ESTOQUE[[#This Row],[Codigo]],TAB_ENTRADA[[Cod_2_Entrada]:[TOTAL_ENTRADA]],5,FALSE)-VLOOKUP(TAB_ESTOQUE[[#This Row],[Codigo]],TAB_SAIDA[[COD_2_SAIDA]:[TOTAL_SAIDA]],5,FALSE)</f>
        <v>0</v>
      </c>
      <c r="R383" s="107"/>
      <c r="S383" s="107"/>
      <c r="T383" s="108"/>
      <c r="U383" s="109">
        <f>TAB_ESTOQUE[[#This Row],[Valor Unitario Estimado]]*TAB_ESTOQUE[[#This Row],[Estoque]]</f>
        <v>0</v>
      </c>
      <c r="V383" s="109"/>
      <c r="W383" s="110"/>
      <c r="X383" s="110"/>
      <c r="Y383" s="110"/>
      <c r="Z383" s="110"/>
      <c r="AA383" s="110"/>
      <c r="AB383" s="110" t="str">
        <f>IF(TAB_ESTOQUE[[#This Row],[Estoque]]=0,"Estoque Não Conforme",IF(TAB_ESTOQUE[[#This Row],[Estoque]]&gt;=TAB_ESTOQUE[[#This Row],[Mínimo]],"Estoque Conforme",IF(TAB_ESTOQUE[[#This Row],[Estoque]]&lt;TAB_ESTOQUE[[#This Row],[Mínimo]],"Estoque em Nivel Minimo")))</f>
        <v>Estoque Não Conforme</v>
      </c>
      <c r="AC383" s="110"/>
      <c r="AD383" s="94"/>
      <c r="AE383" s="82"/>
      <c r="AF383" s="82"/>
    </row>
    <row r="384" spans="1:32" ht="15" customHeight="1" x14ac:dyDescent="0.25">
      <c r="B384" s="47"/>
      <c r="C384" s="46"/>
      <c r="D384" s="45" t="s">
        <v>2669</v>
      </c>
      <c r="E384" s="46"/>
      <c r="F384" s="87"/>
      <c r="G384" s="82"/>
      <c r="H384" s="82"/>
      <c r="I384" s="82" t="s">
        <v>7887</v>
      </c>
      <c r="J384" s="82"/>
      <c r="K384" s="82" t="s">
        <v>1267</v>
      </c>
      <c r="L384" s="82"/>
      <c r="M384" s="82"/>
      <c r="N384" s="82"/>
      <c r="O384" s="87" t="s">
        <v>6340</v>
      </c>
      <c r="P384" s="82" t="s">
        <v>1268</v>
      </c>
      <c r="Q384" s="83">
        <f>VLOOKUP(TAB_ESTOQUE[[#This Row],[Codigo]],TAB_ENTRADA[[Cod_2_Entrada]:[TOTAL_ENTRADA]],5,FALSE)-VLOOKUP(TAB_ESTOQUE[[#This Row],[Codigo]],TAB_SAIDA[[COD_2_SAIDA]:[TOTAL_SAIDA]],5,FALSE)</f>
        <v>0</v>
      </c>
      <c r="R384" s="87"/>
      <c r="S384" s="87"/>
      <c r="T384" s="90">
        <v>41.9</v>
      </c>
      <c r="U384" s="91">
        <f>TAB_ESTOQUE[[#This Row],[Valor Unitario Estimado]]*TAB_ESTOQUE[[#This Row],[Estoque]]</f>
        <v>0</v>
      </c>
      <c r="V384" s="91"/>
      <c r="W384" s="85"/>
      <c r="X384" s="85"/>
      <c r="Y384" s="85"/>
      <c r="Z384" s="85"/>
      <c r="AA384" s="85"/>
      <c r="AB384" s="96" t="str">
        <f>IF(TAB_ESTOQUE[[#This Row],[Estoque]]=0,"Estoque Não Conforme",IF(TAB_ESTOQUE[[#This Row],[Estoque]]&gt;=TAB_ESTOQUE[[#This Row],[Mínimo]],"Estoque Conforme",IF(TAB_ESTOQUE[[#This Row],[Estoque]]&lt;TAB_ESTOQUE[[#This Row],[Mínimo]],"Estoque em Nivel Minimo")))</f>
        <v>Estoque Não Conforme</v>
      </c>
      <c r="AC384" s="85"/>
      <c r="AD384" s="82"/>
      <c r="AE384" s="82"/>
      <c r="AF384" s="82"/>
    </row>
    <row r="385" spans="1:32" ht="15" customHeight="1" x14ac:dyDescent="0.25">
      <c r="A385" s="106">
        <v>1182</v>
      </c>
      <c r="B385" s="106"/>
      <c r="C385" s="116" t="s">
        <v>2838</v>
      </c>
      <c r="D385" s="106" t="s">
        <v>1691</v>
      </c>
      <c r="E385" s="116" t="s">
        <v>7</v>
      </c>
      <c r="F385" s="118"/>
      <c r="G385" s="95"/>
      <c r="H385" s="95"/>
      <c r="I385" s="95" t="s">
        <v>8016</v>
      </c>
      <c r="J385" s="95"/>
      <c r="K385" s="95"/>
      <c r="L385" s="95"/>
      <c r="M385" s="95"/>
      <c r="N385" s="95"/>
      <c r="O385" s="118" t="s">
        <v>6342</v>
      </c>
      <c r="P385" s="95" t="s">
        <v>690</v>
      </c>
      <c r="Q385" s="83">
        <f>VLOOKUP(TAB_ESTOQUE[[#This Row],[Codigo]],TAB_ENTRADA[[Cod_2_Entrada]:[TOTAL_ENTRADA]],5,FALSE)-VLOOKUP(TAB_ESTOQUE[[#This Row],[Codigo]],TAB_SAIDA[[COD_2_SAIDA]:[TOTAL_SAIDA]],5,FALSE)</f>
        <v>0</v>
      </c>
      <c r="R385" s="118"/>
      <c r="S385" s="118"/>
      <c r="T385" s="119"/>
      <c r="U385" s="112">
        <f>TAB_ESTOQUE[[#This Row],[Valor Unitario Estimado]]*TAB_ESTOQUE[[#This Row],[Estoque]]</f>
        <v>0</v>
      </c>
      <c r="V385" s="112"/>
      <c r="W385" s="120"/>
      <c r="X385" s="120"/>
      <c r="Y385" s="120"/>
      <c r="Z385" s="120"/>
      <c r="AA385" s="120"/>
      <c r="AB385" s="120" t="str">
        <f>IF(TAB_ESTOQUE[[#This Row],[Estoque]]=0,"Estoque Não Conforme",IF(TAB_ESTOQUE[[#This Row],[Estoque]]&gt;=TAB_ESTOQUE[[#This Row],[Mínimo]],"Estoque Conforme",IF(TAB_ESTOQUE[[#This Row],[Estoque]]&lt;TAB_ESTOQUE[[#This Row],[Mínimo]],"Estoque em Nivel Minimo")))</f>
        <v>Estoque Não Conforme</v>
      </c>
      <c r="AC385" s="120"/>
      <c r="AD385" s="95"/>
      <c r="AE385" s="82"/>
      <c r="AF385" s="82"/>
    </row>
    <row r="386" spans="1:32" ht="15" customHeight="1" x14ac:dyDescent="0.25">
      <c r="A386" s="45">
        <v>612</v>
      </c>
      <c r="B386" s="47"/>
      <c r="C386" s="46" t="s">
        <v>2833</v>
      </c>
      <c r="D386" s="45" t="s">
        <v>1866</v>
      </c>
      <c r="E386" s="46" t="s">
        <v>7</v>
      </c>
      <c r="F386" s="87"/>
      <c r="G386" s="82"/>
      <c r="H386" s="82"/>
      <c r="I386" s="82" t="s">
        <v>3056</v>
      </c>
      <c r="J386" s="82"/>
      <c r="K386" s="82"/>
      <c r="L386" s="82"/>
      <c r="M386" s="82"/>
      <c r="N386" s="82"/>
      <c r="O386" s="87" t="s">
        <v>6342</v>
      </c>
      <c r="P386" s="82" t="s">
        <v>391</v>
      </c>
      <c r="Q386" s="83">
        <f>VLOOKUP(TAB_ESTOQUE[[#This Row],[Codigo]],TAB_ENTRADA[[Cod_2_Entrada]:[TOTAL_ENTRADA]],5,FALSE)-VLOOKUP(TAB_ESTOQUE[[#This Row],[Codigo]],TAB_SAIDA[[COD_2_SAIDA]:[TOTAL_SAIDA]],5,FALSE)</f>
        <v>9</v>
      </c>
      <c r="R386" s="87"/>
      <c r="S386" s="87"/>
      <c r="T386" s="90">
        <v>280</v>
      </c>
      <c r="U386" s="91">
        <f>TAB_ESTOQUE[[#This Row],[Valor Unitario Estimado]]*TAB_ESTOQUE[[#This Row],[Estoque]]</f>
        <v>2520</v>
      </c>
      <c r="V386" s="91"/>
      <c r="W386" s="85"/>
      <c r="X386" s="85"/>
      <c r="Y386" s="85"/>
      <c r="Z386" s="85"/>
      <c r="AA386" s="85"/>
      <c r="AB386" s="85" t="str">
        <f>IF(TAB_ESTOQUE[[#This Row],[Estoque]]=0,"Estoque Não Conforme",IF(TAB_ESTOQUE[[#This Row],[Estoque]]&gt;=TAB_ESTOQUE[[#This Row],[Mínimo]],"Estoque Conforme",IF(TAB_ESTOQUE[[#This Row],[Estoque]]&lt;TAB_ESTOQUE[[#This Row],[Mínimo]],"Estoque em Nivel Minimo")))</f>
        <v>Estoque Conforme</v>
      </c>
      <c r="AC386" s="85"/>
      <c r="AD386" s="82"/>
      <c r="AE386" s="82"/>
      <c r="AF386" s="82"/>
    </row>
    <row r="387" spans="1:32" ht="15" customHeight="1" x14ac:dyDescent="0.25">
      <c r="A387" s="45">
        <v>811</v>
      </c>
      <c r="B387" s="47"/>
      <c r="C387" s="46" t="s">
        <v>2833</v>
      </c>
      <c r="D387" s="45" t="s">
        <v>1867</v>
      </c>
      <c r="E387" s="46" t="s">
        <v>7</v>
      </c>
      <c r="F387" s="87"/>
      <c r="G387" s="82"/>
      <c r="H387" s="82"/>
      <c r="I387" s="82" t="s">
        <v>7892</v>
      </c>
      <c r="J387" s="82"/>
      <c r="K387" s="82"/>
      <c r="L387" s="82"/>
      <c r="M387" s="82"/>
      <c r="N387" s="82"/>
      <c r="O387" s="87" t="s">
        <v>6342</v>
      </c>
      <c r="P387" s="82" t="s">
        <v>600</v>
      </c>
      <c r="Q387" s="83">
        <f>VLOOKUP(TAB_ESTOQUE[[#This Row],[Codigo]],TAB_ENTRADA[[Cod_2_Entrada]:[TOTAL_ENTRADA]],5,FALSE)-VLOOKUP(TAB_ESTOQUE[[#This Row],[Codigo]],TAB_SAIDA[[COD_2_SAIDA]:[TOTAL_SAIDA]],5,FALSE)</f>
        <v>1</v>
      </c>
      <c r="R387" s="87"/>
      <c r="S387" s="87"/>
      <c r="T387" s="90"/>
      <c r="U387" s="91">
        <f>TAB_ESTOQUE[[#This Row],[Valor Unitario Estimado]]*TAB_ESTOQUE[[#This Row],[Estoque]]</f>
        <v>0</v>
      </c>
      <c r="V387" s="91"/>
      <c r="W387" s="85"/>
      <c r="X387" s="85"/>
      <c r="Y387" s="85"/>
      <c r="Z387" s="85"/>
      <c r="AA387" s="85"/>
      <c r="AB387" s="85" t="str">
        <f>IF(TAB_ESTOQUE[[#This Row],[Estoque]]=0,"Estoque Não Conforme",IF(TAB_ESTOQUE[[#This Row],[Estoque]]&gt;=TAB_ESTOQUE[[#This Row],[Mínimo]],"Estoque Conforme",IF(TAB_ESTOQUE[[#This Row],[Estoque]]&lt;TAB_ESTOQUE[[#This Row],[Mínimo]],"Estoque em Nivel Minimo")))</f>
        <v>Estoque Conforme</v>
      </c>
      <c r="AC387" s="85"/>
      <c r="AD387" s="82"/>
      <c r="AE387" s="82"/>
      <c r="AF387" s="82"/>
    </row>
    <row r="388" spans="1:32" ht="15" customHeight="1" x14ac:dyDescent="0.25">
      <c r="B388" s="47"/>
      <c r="C388" s="48"/>
      <c r="D388" s="45" t="s">
        <v>6039</v>
      </c>
      <c r="E388" s="46"/>
      <c r="F388" s="87"/>
      <c r="G388" s="82"/>
      <c r="H388" s="82"/>
      <c r="I388" s="82" t="s">
        <v>6705</v>
      </c>
      <c r="J388" s="82"/>
      <c r="K388" s="82"/>
      <c r="L388" s="82"/>
      <c r="M388" s="82"/>
      <c r="N388" s="82"/>
      <c r="O388" s="87" t="s">
        <v>6342</v>
      </c>
      <c r="P388" s="82" t="s">
        <v>6036</v>
      </c>
      <c r="Q388" s="83">
        <f>VLOOKUP(TAB_ESTOQUE[[#This Row],[Codigo]],TAB_ENTRADA[[Cod_2_Entrada]:[TOTAL_ENTRADA]],5,FALSE)-VLOOKUP(TAB_ESTOQUE[[#This Row],[Codigo]],TAB_SAIDA[[COD_2_SAIDA]:[TOTAL_SAIDA]],5,FALSE)</f>
        <v>4</v>
      </c>
      <c r="R388" s="87"/>
      <c r="S388" s="87"/>
      <c r="T388" s="90">
        <v>150</v>
      </c>
      <c r="U388" s="91">
        <f>TAB_ESTOQUE[[#This Row],[Valor Unitario Estimado]]*TAB_ESTOQUE[[#This Row],[Estoque]]</f>
        <v>600</v>
      </c>
      <c r="V388" s="91"/>
      <c r="W388" s="85"/>
      <c r="X388" s="85"/>
      <c r="Y388" s="85"/>
      <c r="Z388" s="85"/>
      <c r="AA388" s="85"/>
      <c r="AB388" s="96" t="str">
        <f>IF(TAB_ESTOQUE[[#This Row],[Estoque]]=0,"Estoque Não Conforme",IF(TAB_ESTOQUE[[#This Row],[Estoque]]&gt;=TAB_ESTOQUE[[#This Row],[Mínimo]],"Estoque Conforme",IF(TAB_ESTOQUE[[#This Row],[Estoque]]&lt;TAB_ESTOQUE[[#This Row],[Mínimo]],"Estoque em Nivel Minimo")))</f>
        <v>Estoque Conforme</v>
      </c>
      <c r="AC388" s="96"/>
      <c r="AD388" s="82"/>
      <c r="AE388" s="82"/>
      <c r="AF388" s="82"/>
    </row>
    <row r="389" spans="1:32" ht="15" customHeight="1" x14ac:dyDescent="0.25">
      <c r="C389" s="48"/>
      <c r="D389" s="45" t="s">
        <v>7029</v>
      </c>
      <c r="E389" s="46" t="s">
        <v>6826</v>
      </c>
      <c r="F389" s="46"/>
      <c r="I389" s="45" t="s">
        <v>7292</v>
      </c>
      <c r="O389" s="46" t="s">
        <v>6342</v>
      </c>
      <c r="Q389" s="137">
        <f>VLOOKUP(TAB_ESTOQUE[[#This Row],[Codigo]],TAB_ENTRADA[[Cod_2_Entrada]:[TOTAL_ENTRADA]],5,FALSE)-VLOOKUP(TAB_ESTOQUE[[#This Row],[Codigo]],TAB_SAIDA[[COD_2_SAIDA]:[TOTAL_SAIDA]],5,FALSE)</f>
        <v>0</v>
      </c>
      <c r="S389" s="46"/>
      <c r="T389" s="102">
        <v>273</v>
      </c>
      <c r="U389" s="103">
        <f>TAB_ESTOQUE[[#This Row],[Valor Unitario Estimado]]*TAB_ESTOQUE[[#This Row],[Estoque]]</f>
        <v>0</v>
      </c>
      <c r="V389" s="103"/>
      <c r="AA389" s="138"/>
      <c r="AB389" s="104" t="str">
        <f>IF(TAB_ESTOQUE[[#This Row],[Estoque]]=0,"Estoque Não Conforme",IF(TAB_ESTOQUE[[#This Row],[Estoque]]&gt;=TAB_ESTOQUE[[#This Row],[Mínimo]],"Estoque Conforme",IF(TAB_ESTOQUE[[#This Row],[Estoque]]&lt;TAB_ESTOQUE[[#This Row],[Mínimo]],"Estoque em Nivel Minimo")))</f>
        <v>Estoque Não Conforme</v>
      </c>
      <c r="AC389" s="104"/>
      <c r="AE389" s="82"/>
      <c r="AF389" s="82"/>
    </row>
    <row r="390" spans="1:32" s="106" customFormat="1" ht="15" customHeight="1" x14ac:dyDescent="0.25">
      <c r="A390" s="45"/>
      <c r="B390" s="45"/>
      <c r="C390" s="48"/>
      <c r="D390" s="45" t="s">
        <v>7032</v>
      </c>
      <c r="E390" s="46" t="s">
        <v>6826</v>
      </c>
      <c r="F390" s="46"/>
      <c r="G390" s="45"/>
      <c r="H390" s="45"/>
      <c r="I390" s="45" t="s">
        <v>7293</v>
      </c>
      <c r="J390" s="45"/>
      <c r="K390" s="45"/>
      <c r="L390" s="45"/>
      <c r="M390" s="45"/>
      <c r="N390" s="45"/>
      <c r="O390" s="46" t="s">
        <v>6342</v>
      </c>
      <c r="P390" s="45"/>
      <c r="Q390" s="137">
        <f>VLOOKUP(TAB_ESTOQUE[[#This Row],[Codigo]],TAB_ENTRADA[[Cod_2_Entrada]:[TOTAL_ENTRADA]],5,FALSE)-VLOOKUP(TAB_ESTOQUE[[#This Row],[Codigo]],TAB_SAIDA[[COD_2_SAIDA]:[TOTAL_SAIDA]],5,FALSE)</f>
        <v>0</v>
      </c>
      <c r="R390" s="46"/>
      <c r="S390" s="46"/>
      <c r="T390" s="102">
        <v>48.2</v>
      </c>
      <c r="U390" s="103">
        <f>TAB_ESTOQUE[[#This Row],[Valor Unitario Estimado]]*TAB_ESTOQUE[[#This Row],[Estoque]]</f>
        <v>0</v>
      </c>
      <c r="V390" s="103"/>
      <c r="W390" s="54"/>
      <c r="X390" s="54"/>
      <c r="Y390" s="54"/>
      <c r="Z390" s="54"/>
      <c r="AA390" s="138"/>
      <c r="AB390" s="104" t="str">
        <f>IF(TAB_ESTOQUE[[#This Row],[Estoque]]=0,"Estoque Não Conforme",IF(TAB_ESTOQUE[[#This Row],[Estoque]]&gt;=TAB_ESTOQUE[[#This Row],[Mínimo]],"Estoque Conforme",IF(TAB_ESTOQUE[[#This Row],[Estoque]]&lt;TAB_ESTOQUE[[#This Row],[Mínimo]],"Estoque em Nivel Minimo")))</f>
        <v>Estoque Não Conforme</v>
      </c>
      <c r="AC390" s="104"/>
      <c r="AD390" s="45"/>
      <c r="AE390" s="95"/>
      <c r="AF390" s="95"/>
    </row>
    <row r="391" spans="1:32" ht="15" customHeight="1" x14ac:dyDescent="0.25">
      <c r="A391" s="45">
        <v>108</v>
      </c>
      <c r="B391" s="47"/>
      <c r="C391" s="46"/>
      <c r="D391" s="45" t="s">
        <v>1851</v>
      </c>
      <c r="E391" s="46" t="s">
        <v>7</v>
      </c>
      <c r="F391" s="87"/>
      <c r="G391" s="82"/>
      <c r="H391" s="82"/>
      <c r="I391" s="82" t="s">
        <v>7877</v>
      </c>
      <c r="J391" s="82"/>
      <c r="K391" s="82"/>
      <c r="L391" s="82"/>
      <c r="M391" s="82"/>
      <c r="N391" s="82"/>
      <c r="O391" s="87" t="s">
        <v>6344</v>
      </c>
      <c r="P391" s="82" t="s">
        <v>65</v>
      </c>
      <c r="Q391" s="83">
        <f>VLOOKUP(TAB_ESTOQUE[[#This Row],[Codigo]],TAB_ENTRADA[[Cod_2_Entrada]:[TOTAL_ENTRADA]],5,FALSE)-VLOOKUP(TAB_ESTOQUE[[#This Row],[Codigo]],TAB_SAIDA[[COD_2_SAIDA]:[TOTAL_SAIDA]],5,FALSE)</f>
        <v>8</v>
      </c>
      <c r="R391" s="87"/>
      <c r="S391" s="87"/>
      <c r="T391" s="90">
        <v>155</v>
      </c>
      <c r="U391" s="91">
        <f>TAB_ESTOQUE[[#This Row],[Valor Unitario Estimado]]*TAB_ESTOQUE[[#This Row],[Estoque]]</f>
        <v>1240</v>
      </c>
      <c r="V391" s="91"/>
      <c r="W391" s="85"/>
      <c r="X391" s="85"/>
      <c r="Y391" s="85"/>
      <c r="Z391" s="85"/>
      <c r="AA391" s="85"/>
      <c r="AB391" s="85" t="str">
        <f>IF(TAB_ESTOQUE[[#This Row],[Estoque]]=0,"Estoque Não Conforme",IF(TAB_ESTOQUE[[#This Row],[Estoque]]&gt;=TAB_ESTOQUE[[#This Row],[Mínimo]],"Estoque Conforme",IF(TAB_ESTOQUE[[#This Row],[Estoque]]&lt;TAB_ESTOQUE[[#This Row],[Mínimo]],"Estoque em Nivel Minimo")))</f>
        <v>Estoque Conforme</v>
      </c>
      <c r="AC391" s="85"/>
      <c r="AD391" s="82"/>
      <c r="AE391" s="82"/>
      <c r="AF391" s="82"/>
    </row>
    <row r="392" spans="1:32" ht="15" customHeight="1" x14ac:dyDescent="0.25">
      <c r="A392" s="45">
        <v>82</v>
      </c>
      <c r="B392" s="47"/>
      <c r="C392" s="46" t="s">
        <v>2838</v>
      </c>
      <c r="D392" s="45" t="s">
        <v>1852</v>
      </c>
      <c r="E392" s="46" t="s">
        <v>7</v>
      </c>
      <c r="F392" s="87"/>
      <c r="G392" s="82"/>
      <c r="H392" s="82"/>
      <c r="I392" s="82" t="s">
        <v>7878</v>
      </c>
      <c r="J392" s="82"/>
      <c r="K392" s="82"/>
      <c r="L392" s="82"/>
      <c r="M392" s="82"/>
      <c r="N392" s="82"/>
      <c r="O392" s="87" t="s">
        <v>6344</v>
      </c>
      <c r="P392" s="82" t="s">
        <v>50</v>
      </c>
      <c r="Q392" s="83">
        <f>VLOOKUP(TAB_ESTOQUE[[#This Row],[Codigo]],TAB_ENTRADA[[Cod_2_Entrada]:[TOTAL_ENTRADA]],5,FALSE)-VLOOKUP(TAB_ESTOQUE[[#This Row],[Codigo]],TAB_SAIDA[[COD_2_SAIDA]:[TOTAL_SAIDA]],5,FALSE)</f>
        <v>9</v>
      </c>
      <c r="R392" s="87"/>
      <c r="S392" s="87"/>
      <c r="T392" s="90">
        <v>150</v>
      </c>
      <c r="U392" s="91">
        <f>TAB_ESTOQUE[[#This Row],[Valor Unitario Estimado]]*TAB_ESTOQUE[[#This Row],[Estoque]]</f>
        <v>1350</v>
      </c>
      <c r="V392" s="91"/>
      <c r="W392" s="85"/>
      <c r="X392" s="85"/>
      <c r="Y392" s="85"/>
      <c r="Z392" s="85"/>
      <c r="AA392" s="85"/>
      <c r="AB392" s="85" t="str">
        <f>IF(TAB_ESTOQUE[[#This Row],[Estoque]]=0,"Estoque Não Conforme",IF(TAB_ESTOQUE[[#This Row],[Estoque]]&gt;=TAB_ESTOQUE[[#This Row],[Mínimo]],"Estoque Conforme",IF(TAB_ESTOQUE[[#This Row],[Estoque]]&lt;TAB_ESTOQUE[[#This Row],[Mínimo]],"Estoque em Nivel Minimo")))</f>
        <v>Estoque Conforme</v>
      </c>
      <c r="AC392" s="85"/>
      <c r="AD392" s="82"/>
      <c r="AE392" s="82"/>
      <c r="AF392" s="82"/>
    </row>
    <row r="393" spans="1:32" ht="15" customHeight="1" x14ac:dyDescent="0.25">
      <c r="A393" s="45">
        <v>507</v>
      </c>
      <c r="B393" s="47"/>
      <c r="C393" s="46"/>
      <c r="D393" s="45" t="s">
        <v>2093</v>
      </c>
      <c r="E393" s="46" t="s">
        <v>7</v>
      </c>
      <c r="F393" s="87"/>
      <c r="G393" s="82"/>
      <c r="H393" s="82"/>
      <c r="I393" s="92" t="s">
        <v>7893</v>
      </c>
      <c r="J393" s="82"/>
      <c r="K393" s="82"/>
      <c r="L393" s="82"/>
      <c r="M393" s="82"/>
      <c r="N393" s="82"/>
      <c r="O393" s="87" t="s">
        <v>6344</v>
      </c>
      <c r="P393" s="82" t="s">
        <v>282</v>
      </c>
      <c r="Q393" s="83">
        <f>VLOOKUP(TAB_ESTOQUE[[#This Row],[Codigo]],TAB_ENTRADA[[Cod_2_Entrada]:[TOTAL_ENTRADA]],5,FALSE)-VLOOKUP(TAB_ESTOQUE[[#This Row],[Codigo]],TAB_SAIDA[[COD_2_SAIDA]:[TOTAL_SAIDA]],5,FALSE)</f>
        <v>19</v>
      </c>
      <c r="R393" s="87"/>
      <c r="S393" s="87"/>
      <c r="T393" s="90">
        <v>70.25</v>
      </c>
      <c r="U393" s="91">
        <f>TAB_ESTOQUE[[#This Row],[Valor Unitario Estimado]]*TAB_ESTOQUE[[#This Row],[Estoque]]</f>
        <v>1334.75</v>
      </c>
      <c r="V393" s="91"/>
      <c r="W393" s="85"/>
      <c r="X393" s="85"/>
      <c r="Y393" s="85"/>
      <c r="Z393" s="85"/>
      <c r="AA393" s="85"/>
      <c r="AB393" s="85" t="str">
        <f>IF(TAB_ESTOQUE[[#This Row],[Estoque]]=0,"Estoque Não Conforme",IF(TAB_ESTOQUE[[#This Row],[Estoque]]&gt;=TAB_ESTOQUE[[#This Row],[Mínimo]],"Estoque Conforme",IF(TAB_ESTOQUE[[#This Row],[Estoque]]&lt;TAB_ESTOQUE[[#This Row],[Mínimo]],"Estoque em Nivel Minimo")))</f>
        <v>Estoque Conforme</v>
      </c>
      <c r="AC393" s="85"/>
      <c r="AD393" s="82"/>
      <c r="AE393" s="82"/>
      <c r="AF393" s="82"/>
    </row>
    <row r="394" spans="1:32" ht="15" customHeight="1" x14ac:dyDescent="0.25">
      <c r="A394" s="106">
        <v>1122</v>
      </c>
      <c r="B394" s="106"/>
      <c r="C394" s="116" t="s">
        <v>2833</v>
      </c>
      <c r="D394" s="106" t="s">
        <v>2579</v>
      </c>
      <c r="E394" s="116"/>
      <c r="F394" s="118"/>
      <c r="G394" s="95"/>
      <c r="H394" s="95"/>
      <c r="I394" s="95" t="s">
        <v>8026</v>
      </c>
      <c r="J394" s="95"/>
      <c r="K394" s="95"/>
      <c r="L394" s="95"/>
      <c r="M394" s="95"/>
      <c r="N394" s="95"/>
      <c r="O394" s="118" t="s">
        <v>6344</v>
      </c>
      <c r="P394" s="95" t="s">
        <v>848</v>
      </c>
      <c r="Q394" s="154">
        <f>VLOOKUP(TAB_ESTOQUE[[#This Row],[Codigo]],TAB_ENTRADA[[Cod_2_Entrada]:[TOTAL_ENTRADA]],5,FALSE)-VLOOKUP(TAB_ESTOQUE[[#This Row],[Codigo]],TAB_SAIDA[[COD_2_SAIDA]:[TOTAL_SAIDA]],5,FALSE)</f>
        <v>0</v>
      </c>
      <c r="R394" s="118"/>
      <c r="S394" s="118"/>
      <c r="T394" s="119">
        <v>150</v>
      </c>
      <c r="U394" s="112">
        <f>TAB_ESTOQUE[[#This Row],[Valor Unitario Estimado]]*TAB_ESTOQUE[[#This Row],[Estoque]]</f>
        <v>0</v>
      </c>
      <c r="V394" s="112"/>
      <c r="W394" s="120"/>
      <c r="X394" s="120"/>
      <c r="Y394" s="120"/>
      <c r="Z394" s="120"/>
      <c r="AA394" s="120"/>
      <c r="AB394" s="120" t="str">
        <f>IF(TAB_ESTOQUE[[#This Row],[Estoque]]=0,"Estoque Não Conforme",IF(TAB_ESTOQUE[[#This Row],[Estoque]]&gt;=TAB_ESTOQUE[[#This Row],[Mínimo]],"Estoque Conforme",IF(TAB_ESTOQUE[[#This Row],[Estoque]]&lt;TAB_ESTOQUE[[#This Row],[Mínimo]],"Estoque em Nivel Minimo")))</f>
        <v>Estoque Não Conforme</v>
      </c>
      <c r="AC394" s="120"/>
      <c r="AD394" s="95"/>
      <c r="AE394" s="82"/>
      <c r="AF394" s="82"/>
    </row>
    <row r="395" spans="1:32" ht="15" customHeight="1" x14ac:dyDescent="0.25">
      <c r="A395" s="47">
        <v>1111</v>
      </c>
      <c r="B395" s="47"/>
      <c r="C395" s="51"/>
      <c r="D395" s="47" t="s">
        <v>2580</v>
      </c>
      <c r="E395" s="51"/>
      <c r="F395" s="107"/>
      <c r="G395" s="94"/>
      <c r="H395" s="94"/>
      <c r="I395" s="94" t="s">
        <v>8027</v>
      </c>
      <c r="J395" s="94"/>
      <c r="K395" s="94"/>
      <c r="L395" s="94"/>
      <c r="M395" s="94"/>
      <c r="N395" s="94"/>
      <c r="O395" s="107" t="s">
        <v>6344</v>
      </c>
      <c r="P395" s="94" t="s">
        <v>844</v>
      </c>
      <c r="Q395" s="145">
        <f>VLOOKUP(TAB_ESTOQUE[[#This Row],[Codigo]],TAB_ENTRADA[[Cod_2_Entrada]:[TOTAL_ENTRADA]],5,FALSE)-VLOOKUP(TAB_ESTOQUE[[#This Row],[Codigo]],TAB_SAIDA[[COD_2_SAIDA]:[TOTAL_SAIDA]],5,FALSE)</f>
        <v>10</v>
      </c>
      <c r="R395" s="107"/>
      <c r="S395" s="107"/>
      <c r="T395" s="108"/>
      <c r="U395" s="109">
        <f>TAB_ESTOQUE[[#This Row],[Valor Unitario Estimado]]*TAB_ESTOQUE[[#This Row],[Estoque]]</f>
        <v>0</v>
      </c>
      <c r="V395" s="109"/>
      <c r="W395" s="110"/>
      <c r="X395" s="110"/>
      <c r="Y395" s="110"/>
      <c r="Z395" s="110"/>
      <c r="AA395" s="110"/>
      <c r="AB395" s="110" t="str">
        <f>IF(TAB_ESTOQUE[[#This Row],[Estoque]]=0,"Estoque Não Conforme",IF(TAB_ESTOQUE[[#This Row],[Estoque]]&gt;=TAB_ESTOQUE[[#This Row],[Mínimo]],"Estoque Conforme",IF(TAB_ESTOQUE[[#This Row],[Estoque]]&lt;TAB_ESTOQUE[[#This Row],[Mínimo]],"Estoque em Nivel Minimo")))</f>
        <v>Estoque Conforme</v>
      </c>
      <c r="AC395" s="110"/>
      <c r="AD395" s="94"/>
      <c r="AE395" s="82"/>
      <c r="AF395" s="82"/>
    </row>
    <row r="396" spans="1:32" ht="15" customHeight="1" x14ac:dyDescent="0.25">
      <c r="A396" s="47">
        <v>1093</v>
      </c>
      <c r="B396" s="47"/>
      <c r="C396" s="51"/>
      <c r="D396" s="47" t="s">
        <v>2582</v>
      </c>
      <c r="E396" s="51"/>
      <c r="F396" s="107"/>
      <c r="G396" s="94"/>
      <c r="H396" s="94"/>
      <c r="I396" s="94" t="s">
        <v>7883</v>
      </c>
      <c r="J396" s="94"/>
      <c r="K396" s="94"/>
      <c r="L396" s="94"/>
      <c r="M396" s="94"/>
      <c r="N396" s="94"/>
      <c r="O396" s="107" t="s">
        <v>6344</v>
      </c>
      <c r="P396" s="94" t="s">
        <v>826</v>
      </c>
      <c r="Q396" s="145">
        <f>VLOOKUP(TAB_ESTOQUE[[#This Row],[Codigo]],TAB_ENTRADA[[Cod_2_Entrada]:[TOTAL_ENTRADA]],5,FALSE)-VLOOKUP(TAB_ESTOQUE[[#This Row],[Codigo]],TAB_SAIDA[[COD_2_SAIDA]:[TOTAL_SAIDA]],5,FALSE)</f>
        <v>1</v>
      </c>
      <c r="R396" s="107"/>
      <c r="S396" s="107"/>
      <c r="T396" s="108"/>
      <c r="U396" s="109">
        <f>TAB_ESTOQUE[[#This Row],[Valor Unitario Estimado]]*TAB_ESTOQUE[[#This Row],[Estoque]]</f>
        <v>0</v>
      </c>
      <c r="V396" s="109"/>
      <c r="W396" s="110"/>
      <c r="X396" s="110"/>
      <c r="Y396" s="110"/>
      <c r="Z396" s="110"/>
      <c r="AA396" s="110"/>
      <c r="AB396" s="110" t="str">
        <f>IF(TAB_ESTOQUE[[#This Row],[Estoque]]=0,"Estoque Não Conforme",IF(TAB_ESTOQUE[[#This Row],[Estoque]]&gt;=TAB_ESTOQUE[[#This Row],[Mínimo]],"Estoque Conforme",IF(TAB_ESTOQUE[[#This Row],[Estoque]]&lt;TAB_ESTOQUE[[#This Row],[Mínimo]],"Estoque em Nivel Minimo")))</f>
        <v>Estoque Conforme</v>
      </c>
      <c r="AC396" s="110"/>
      <c r="AD396" s="94"/>
      <c r="AE396" s="82"/>
      <c r="AF396" s="82"/>
    </row>
    <row r="397" spans="1:32" ht="15" customHeight="1" x14ac:dyDescent="0.25">
      <c r="A397" s="47"/>
      <c r="B397" s="47"/>
      <c r="C397" s="51"/>
      <c r="D397" s="47" t="s">
        <v>2702</v>
      </c>
      <c r="E397" s="51" t="s">
        <v>116</v>
      </c>
      <c r="F397" s="107"/>
      <c r="G397" s="94"/>
      <c r="H397" s="94"/>
      <c r="I397" s="94" t="s">
        <v>2882</v>
      </c>
      <c r="J397" s="94"/>
      <c r="K397" s="94"/>
      <c r="L397" s="94"/>
      <c r="M397" s="94"/>
      <c r="N397" s="94"/>
      <c r="O397" s="107" t="s">
        <v>6344</v>
      </c>
      <c r="P397" s="94" t="s">
        <v>1301</v>
      </c>
      <c r="Q397" s="145">
        <f>VLOOKUP(TAB_ESTOQUE[[#This Row],[Codigo]],TAB_ENTRADA[[Cod_2_Entrada]:[TOTAL_ENTRADA]],5,FALSE)-VLOOKUP(TAB_ESTOQUE[[#This Row],[Codigo]],TAB_SAIDA[[COD_2_SAIDA]:[TOTAL_SAIDA]],5,FALSE)</f>
        <v>0</v>
      </c>
      <c r="R397" s="107"/>
      <c r="S397" s="107"/>
      <c r="T397" s="108"/>
      <c r="U397" s="109">
        <f>TAB_ESTOQUE[[#This Row],[Valor Unitario Estimado]]*TAB_ESTOQUE[[#This Row],[Estoque]]</f>
        <v>0</v>
      </c>
      <c r="V397" s="109"/>
      <c r="W397" s="110"/>
      <c r="X397" s="110"/>
      <c r="Y397" s="110"/>
      <c r="Z397" s="110"/>
      <c r="AA397" s="110"/>
      <c r="AB397" s="155" t="str">
        <f>IF(TAB_ESTOQUE[[#This Row],[Estoque]]=0,"Estoque Não Conforme",IF(TAB_ESTOQUE[[#This Row],[Estoque]]&gt;=TAB_ESTOQUE[[#This Row],[Mínimo]],"Estoque Conforme",IF(TAB_ESTOQUE[[#This Row],[Estoque]]&lt;TAB_ESTOQUE[[#This Row],[Mínimo]],"Estoque em Nivel Minimo")))</f>
        <v>Estoque Não Conforme</v>
      </c>
      <c r="AC397" s="110"/>
      <c r="AD397" s="94"/>
      <c r="AE397" s="82"/>
      <c r="AF397" s="82"/>
    </row>
    <row r="398" spans="1:32" s="106" customFormat="1" ht="15" customHeight="1" x14ac:dyDescent="0.25">
      <c r="A398" s="45"/>
      <c r="B398" s="45"/>
      <c r="C398" s="48"/>
      <c r="D398" s="45" t="s">
        <v>7285</v>
      </c>
      <c r="E398" s="46"/>
      <c r="F398" s="46"/>
      <c r="G398" s="45"/>
      <c r="H398" s="45"/>
      <c r="I398" s="45" t="s">
        <v>7884</v>
      </c>
      <c r="J398" s="45"/>
      <c r="K398" s="45"/>
      <c r="L398" s="45"/>
      <c r="M398" s="45"/>
      <c r="N398" s="45"/>
      <c r="O398" s="51" t="s">
        <v>6344</v>
      </c>
      <c r="P398" s="45"/>
      <c r="Q398" s="137">
        <f>VLOOKUP(TAB_ESTOQUE[[#This Row],[Codigo]],TAB_ENTRADA[[Cod_2_Entrada]:[TOTAL_ENTRADA]],5,FALSE)-VLOOKUP(TAB_ESTOQUE[[#This Row],[Codigo]],TAB_SAIDA[[COD_2_SAIDA]:[TOTAL_SAIDA]],5,FALSE)</f>
        <v>0</v>
      </c>
      <c r="R398" s="46"/>
      <c r="S398" s="46"/>
      <c r="T398" s="102"/>
      <c r="U398" s="103">
        <f>TAB_ESTOQUE[[#This Row],[Valor Unitario Estimado]]*TAB_ESTOQUE[[#This Row],[Estoque]]</f>
        <v>0</v>
      </c>
      <c r="V398" s="103"/>
      <c r="W398" s="54"/>
      <c r="X398" s="54"/>
      <c r="Y398" s="54"/>
      <c r="Z398" s="54"/>
      <c r="AA398" s="138"/>
      <c r="AB398" s="104" t="str">
        <f>IF(TAB_ESTOQUE[[#This Row],[Estoque]]=0,"Estoque Não Conforme",IF(TAB_ESTOQUE[[#This Row],[Estoque]]&gt;=TAB_ESTOQUE[[#This Row],[Mínimo]],"Estoque Conforme",IF(TAB_ESTOQUE[[#This Row],[Estoque]]&lt;TAB_ESTOQUE[[#This Row],[Mínimo]],"Estoque em Nivel Minimo")))</f>
        <v>Estoque Não Conforme</v>
      </c>
      <c r="AC398" s="104"/>
      <c r="AD398" s="45"/>
      <c r="AE398" s="95"/>
      <c r="AF398" s="95"/>
    </row>
    <row r="399" spans="1:32" ht="15" customHeight="1" x14ac:dyDescent="0.25">
      <c r="C399" s="48"/>
      <c r="D399" s="45" t="s">
        <v>7286</v>
      </c>
      <c r="E399" s="46"/>
      <c r="F399" s="46"/>
      <c r="I399" s="45" t="s">
        <v>7885</v>
      </c>
      <c r="O399" s="116" t="s">
        <v>6344</v>
      </c>
      <c r="Q399" s="137">
        <f>VLOOKUP(TAB_ESTOQUE[[#This Row],[Codigo]],TAB_ENTRADA[[Cod_2_Entrada]:[TOTAL_ENTRADA]],5,FALSE)-VLOOKUP(TAB_ESTOQUE[[#This Row],[Codigo]],TAB_SAIDA[[COD_2_SAIDA]:[TOTAL_SAIDA]],5,FALSE)</f>
        <v>0</v>
      </c>
      <c r="S399" s="46"/>
      <c r="T399" s="102"/>
      <c r="U399" s="103">
        <f>TAB_ESTOQUE[[#This Row],[Valor Unitario Estimado]]*TAB_ESTOQUE[[#This Row],[Estoque]]</f>
        <v>0</v>
      </c>
      <c r="V399" s="103"/>
      <c r="AA399" s="138"/>
      <c r="AB399" s="104" t="str">
        <f>IF(TAB_ESTOQUE[[#This Row],[Estoque]]=0,"Estoque Não Conforme",IF(TAB_ESTOQUE[[#This Row],[Estoque]]&gt;=TAB_ESTOQUE[[#This Row],[Mínimo]],"Estoque Conforme",IF(TAB_ESTOQUE[[#This Row],[Estoque]]&lt;TAB_ESTOQUE[[#This Row],[Mínimo]],"Estoque em Nivel Minimo")))</f>
        <v>Estoque Não Conforme</v>
      </c>
      <c r="AC399" s="104"/>
      <c r="AE399" s="82"/>
      <c r="AF399" s="82"/>
    </row>
    <row r="400" spans="1:32" ht="15" customHeight="1" x14ac:dyDescent="0.25">
      <c r="C400" s="48"/>
      <c r="D400" s="45" t="s">
        <v>7108</v>
      </c>
      <c r="E400" s="46" t="s">
        <v>7569</v>
      </c>
      <c r="F400" s="46"/>
      <c r="I400" s="45" t="s">
        <v>7570</v>
      </c>
      <c r="O400" s="46" t="s">
        <v>7602</v>
      </c>
      <c r="Q400" s="137">
        <f>VLOOKUP(TAB_ESTOQUE[[#This Row],[Codigo]],TAB_ENTRADA[[Cod_2_Entrada]:[TOTAL_ENTRADA]],5,FALSE)-VLOOKUP(TAB_ESTOQUE[[#This Row],[Codigo]],TAB_SAIDA[[COD_2_SAIDA]:[TOTAL_SAIDA]],5,FALSE)</f>
        <v>0</v>
      </c>
      <c r="S400" s="46"/>
      <c r="T400" s="102">
        <v>119.86</v>
      </c>
      <c r="U400" s="103">
        <f>TAB_ESTOQUE[[#This Row],[Valor Unitario Estimado]]*TAB_ESTOQUE[[#This Row],[Estoque]]</f>
        <v>0</v>
      </c>
      <c r="V400" s="103"/>
      <c r="AA400" s="138"/>
      <c r="AB400" s="104" t="str">
        <f>IF(TAB_ESTOQUE[[#This Row],[Estoque]]=0,"Estoque Não Conforme",IF(TAB_ESTOQUE[[#This Row],[Estoque]]&gt;=TAB_ESTOQUE[[#This Row],[Mínimo]],"Estoque Conforme",IF(TAB_ESTOQUE[[#This Row],[Estoque]]&lt;TAB_ESTOQUE[[#This Row],[Mínimo]],"Estoque em Nivel Minimo")))</f>
        <v>Estoque Não Conforme</v>
      </c>
      <c r="AC400" s="104"/>
      <c r="AE400" s="82"/>
      <c r="AF400" s="82"/>
    </row>
    <row r="401" spans="1:32" ht="15" customHeight="1" x14ac:dyDescent="0.25">
      <c r="C401" s="48"/>
      <c r="D401" s="45" t="s">
        <v>7109</v>
      </c>
      <c r="E401" s="46" t="s">
        <v>7569</v>
      </c>
      <c r="F401" s="46"/>
      <c r="I401" s="45" t="s">
        <v>7571</v>
      </c>
      <c r="O401" s="46" t="s">
        <v>7602</v>
      </c>
      <c r="Q401" s="137">
        <f>VLOOKUP(TAB_ESTOQUE[[#This Row],[Codigo]],TAB_ENTRADA[[Cod_2_Entrada]:[TOTAL_ENTRADA]],5,FALSE)-VLOOKUP(TAB_ESTOQUE[[#This Row],[Codigo]],TAB_SAIDA[[COD_2_SAIDA]:[TOTAL_SAIDA]],5,FALSE)</f>
        <v>0</v>
      </c>
      <c r="S401" s="46"/>
      <c r="T401" s="102">
        <v>83.7</v>
      </c>
      <c r="U401" s="103">
        <f>TAB_ESTOQUE[[#This Row],[Valor Unitario Estimado]]*TAB_ESTOQUE[[#This Row],[Estoque]]</f>
        <v>0</v>
      </c>
      <c r="V401" s="103"/>
      <c r="AA401" s="138"/>
      <c r="AB401" s="104" t="str">
        <f>IF(TAB_ESTOQUE[[#This Row],[Estoque]]=0,"Estoque Não Conforme",IF(TAB_ESTOQUE[[#This Row],[Estoque]]&gt;=TAB_ESTOQUE[[#This Row],[Mínimo]],"Estoque Conforme",IF(TAB_ESTOQUE[[#This Row],[Estoque]]&lt;TAB_ESTOQUE[[#This Row],[Mínimo]],"Estoque em Nivel Minimo")))</f>
        <v>Estoque Não Conforme</v>
      </c>
      <c r="AC401" s="104"/>
      <c r="AE401" s="82"/>
      <c r="AF401" s="82"/>
    </row>
    <row r="402" spans="1:32" ht="15" customHeight="1" x14ac:dyDescent="0.25">
      <c r="C402" s="48"/>
      <c r="D402" s="45" t="s">
        <v>7110</v>
      </c>
      <c r="E402" s="46" t="s">
        <v>7569</v>
      </c>
      <c r="F402" s="46"/>
      <c r="I402" s="45" t="s">
        <v>7573</v>
      </c>
      <c r="O402" s="46" t="s">
        <v>7602</v>
      </c>
      <c r="Q402" s="137">
        <f>VLOOKUP(TAB_ESTOQUE[[#This Row],[Codigo]],TAB_ENTRADA[[Cod_2_Entrada]:[TOTAL_ENTRADA]],5,FALSE)-VLOOKUP(TAB_ESTOQUE[[#This Row],[Codigo]],TAB_SAIDA[[COD_2_SAIDA]:[TOTAL_SAIDA]],5,FALSE)</f>
        <v>0</v>
      </c>
      <c r="S402" s="46"/>
      <c r="T402" s="102">
        <v>116</v>
      </c>
      <c r="U402" s="103">
        <f>TAB_ESTOQUE[[#This Row],[Valor Unitario Estimado]]*TAB_ESTOQUE[[#This Row],[Estoque]]</f>
        <v>0</v>
      </c>
      <c r="V402" s="103"/>
      <c r="AA402" s="138"/>
      <c r="AB402" s="104" t="str">
        <f>IF(TAB_ESTOQUE[[#This Row],[Estoque]]=0,"Estoque Não Conforme",IF(TAB_ESTOQUE[[#This Row],[Estoque]]&gt;=TAB_ESTOQUE[[#This Row],[Mínimo]],"Estoque Conforme",IF(TAB_ESTOQUE[[#This Row],[Estoque]]&lt;TAB_ESTOQUE[[#This Row],[Mínimo]],"Estoque em Nivel Minimo")))</f>
        <v>Estoque Não Conforme</v>
      </c>
      <c r="AC402" s="104"/>
      <c r="AE402" s="82"/>
      <c r="AF402" s="82"/>
    </row>
    <row r="403" spans="1:32" ht="15" customHeight="1" x14ac:dyDescent="0.25">
      <c r="C403" s="48"/>
      <c r="D403" s="45" t="s">
        <v>7111</v>
      </c>
      <c r="E403" s="46" t="s">
        <v>7569</v>
      </c>
      <c r="F403" s="46"/>
      <c r="I403" s="45" t="s">
        <v>7572</v>
      </c>
      <c r="O403" s="46" t="s">
        <v>7602</v>
      </c>
      <c r="Q403" s="137">
        <f>VLOOKUP(TAB_ESTOQUE[[#This Row],[Codigo]],TAB_ENTRADA[[Cod_2_Entrada]:[TOTAL_ENTRADA]],5,FALSE)-VLOOKUP(TAB_ESTOQUE[[#This Row],[Codigo]],TAB_SAIDA[[COD_2_SAIDA]:[TOTAL_SAIDA]],5,FALSE)</f>
        <v>0</v>
      </c>
      <c r="S403" s="46"/>
      <c r="T403" s="102">
        <v>614.4</v>
      </c>
      <c r="U403" s="103">
        <f>TAB_ESTOQUE[[#This Row],[Valor Unitario Estimado]]*TAB_ESTOQUE[[#This Row],[Estoque]]</f>
        <v>0</v>
      </c>
      <c r="V403" s="103"/>
      <c r="AA403" s="138"/>
      <c r="AB403" s="104" t="str">
        <f>IF(TAB_ESTOQUE[[#This Row],[Estoque]]=0,"Estoque Não Conforme",IF(TAB_ESTOQUE[[#This Row],[Estoque]]&gt;=TAB_ESTOQUE[[#This Row],[Mínimo]],"Estoque Conforme",IF(TAB_ESTOQUE[[#This Row],[Estoque]]&lt;TAB_ESTOQUE[[#This Row],[Mínimo]],"Estoque em Nivel Minimo")))</f>
        <v>Estoque Não Conforme</v>
      </c>
      <c r="AC403" s="104"/>
      <c r="AE403" s="82"/>
      <c r="AF403" s="82"/>
    </row>
    <row r="404" spans="1:32" ht="15" customHeight="1" x14ac:dyDescent="0.25">
      <c r="C404" s="48"/>
      <c r="D404" s="45" t="s">
        <v>7112</v>
      </c>
      <c r="E404" s="46" t="s">
        <v>7569</v>
      </c>
      <c r="F404" s="46"/>
      <c r="I404" s="45" t="s">
        <v>7574</v>
      </c>
      <c r="O404" s="46" t="s">
        <v>7602</v>
      </c>
      <c r="Q404" s="137">
        <f>VLOOKUP(TAB_ESTOQUE[[#This Row],[Codigo]],TAB_ENTRADA[[Cod_2_Entrada]:[TOTAL_ENTRADA]],5,FALSE)-VLOOKUP(TAB_ESTOQUE[[#This Row],[Codigo]],TAB_SAIDA[[COD_2_SAIDA]:[TOTAL_SAIDA]],5,FALSE)</f>
        <v>0</v>
      </c>
      <c r="S404" s="46"/>
      <c r="T404" s="102">
        <v>148.38999999999999</v>
      </c>
      <c r="U404" s="103">
        <f>TAB_ESTOQUE[[#This Row],[Valor Unitario Estimado]]*TAB_ESTOQUE[[#This Row],[Estoque]]</f>
        <v>0</v>
      </c>
      <c r="V404" s="103"/>
      <c r="AA404" s="138"/>
      <c r="AB404" s="104" t="str">
        <f>IF(TAB_ESTOQUE[[#This Row],[Estoque]]=0,"Estoque Não Conforme",IF(TAB_ESTOQUE[[#This Row],[Estoque]]&gt;=TAB_ESTOQUE[[#This Row],[Mínimo]],"Estoque Conforme",IF(TAB_ESTOQUE[[#This Row],[Estoque]]&lt;TAB_ESTOQUE[[#This Row],[Mínimo]],"Estoque em Nivel Minimo")))</f>
        <v>Estoque Não Conforme</v>
      </c>
      <c r="AC404" s="104"/>
      <c r="AE404" s="82"/>
      <c r="AF404" s="82"/>
    </row>
    <row r="405" spans="1:32" ht="15" customHeight="1" x14ac:dyDescent="0.25">
      <c r="C405" s="48"/>
      <c r="D405" s="45" t="s">
        <v>7113</v>
      </c>
      <c r="E405" s="46" t="s">
        <v>7569</v>
      </c>
      <c r="F405" s="46"/>
      <c r="I405" s="45" t="s">
        <v>7575</v>
      </c>
      <c r="O405" s="46" t="s">
        <v>7602</v>
      </c>
      <c r="Q405" s="137">
        <f>VLOOKUP(TAB_ESTOQUE[[#This Row],[Codigo]],TAB_ENTRADA[[Cod_2_Entrada]:[TOTAL_ENTRADA]],5,FALSE)-VLOOKUP(TAB_ESTOQUE[[#This Row],[Codigo]],TAB_SAIDA[[COD_2_SAIDA]:[TOTAL_SAIDA]],5,FALSE)</f>
        <v>0</v>
      </c>
      <c r="S405" s="46"/>
      <c r="T405" s="102">
        <v>109.09</v>
      </c>
      <c r="U405" s="103">
        <f>TAB_ESTOQUE[[#This Row],[Valor Unitario Estimado]]*TAB_ESTOQUE[[#This Row],[Estoque]]</f>
        <v>0</v>
      </c>
      <c r="V405" s="103"/>
      <c r="AA405" s="138"/>
      <c r="AB405" s="104" t="str">
        <f>IF(TAB_ESTOQUE[[#This Row],[Estoque]]=0,"Estoque Não Conforme",IF(TAB_ESTOQUE[[#This Row],[Estoque]]&gt;=TAB_ESTOQUE[[#This Row],[Mínimo]],"Estoque Conforme",IF(TAB_ESTOQUE[[#This Row],[Estoque]]&lt;TAB_ESTOQUE[[#This Row],[Mínimo]],"Estoque em Nivel Minimo")))</f>
        <v>Estoque Não Conforme</v>
      </c>
      <c r="AC405" s="104"/>
      <c r="AE405" s="82"/>
      <c r="AF405" s="82"/>
    </row>
    <row r="406" spans="1:32" ht="15" customHeight="1" x14ac:dyDescent="0.25">
      <c r="C406" s="48"/>
      <c r="D406" s="45" t="s">
        <v>7114</v>
      </c>
      <c r="E406" s="46" t="s">
        <v>7569</v>
      </c>
      <c r="F406" s="46"/>
      <c r="I406" s="45" t="s">
        <v>7576</v>
      </c>
      <c r="O406" s="46" t="s">
        <v>7602</v>
      </c>
      <c r="Q406" s="137">
        <f>VLOOKUP(TAB_ESTOQUE[[#This Row],[Codigo]],TAB_ENTRADA[[Cod_2_Entrada]:[TOTAL_ENTRADA]],5,FALSE)-VLOOKUP(TAB_ESTOQUE[[#This Row],[Codigo]],TAB_SAIDA[[COD_2_SAIDA]:[TOTAL_SAIDA]],5,FALSE)</f>
        <v>0</v>
      </c>
      <c r="S406" s="46"/>
      <c r="T406" s="102">
        <v>142.68</v>
      </c>
      <c r="U406" s="103">
        <f>TAB_ESTOQUE[[#This Row],[Valor Unitario Estimado]]*TAB_ESTOQUE[[#This Row],[Estoque]]</f>
        <v>0</v>
      </c>
      <c r="V406" s="103"/>
      <c r="AA406" s="138"/>
      <c r="AB406" s="104" t="str">
        <f>IF(TAB_ESTOQUE[[#This Row],[Estoque]]=0,"Estoque Não Conforme",IF(TAB_ESTOQUE[[#This Row],[Estoque]]&gt;=TAB_ESTOQUE[[#This Row],[Mínimo]],"Estoque Conforme",IF(TAB_ESTOQUE[[#This Row],[Estoque]]&lt;TAB_ESTOQUE[[#This Row],[Mínimo]],"Estoque em Nivel Minimo")))</f>
        <v>Estoque Não Conforme</v>
      </c>
      <c r="AC406" s="104"/>
      <c r="AE406" s="82"/>
      <c r="AF406" s="82"/>
    </row>
    <row r="407" spans="1:32" ht="15" customHeight="1" x14ac:dyDescent="0.25">
      <c r="C407" s="48"/>
      <c r="D407" s="45" t="s">
        <v>7115</v>
      </c>
      <c r="E407" s="46" t="s">
        <v>7569</v>
      </c>
      <c r="F407" s="46"/>
      <c r="I407" s="45" t="s">
        <v>7577</v>
      </c>
      <c r="O407" s="46" t="s">
        <v>7602</v>
      </c>
      <c r="Q407" s="137">
        <f>VLOOKUP(TAB_ESTOQUE[[#This Row],[Codigo]],TAB_ENTRADA[[Cod_2_Entrada]:[TOTAL_ENTRADA]],5,FALSE)-VLOOKUP(TAB_ESTOQUE[[#This Row],[Codigo]],TAB_SAIDA[[COD_2_SAIDA]:[TOTAL_SAIDA]],5,FALSE)</f>
        <v>0</v>
      </c>
      <c r="S407" s="46"/>
      <c r="T407" s="102">
        <v>682.44</v>
      </c>
      <c r="U407" s="103">
        <f>TAB_ESTOQUE[[#This Row],[Valor Unitario Estimado]]*TAB_ESTOQUE[[#This Row],[Estoque]]</f>
        <v>0</v>
      </c>
      <c r="V407" s="103"/>
      <c r="AA407" s="138"/>
      <c r="AB407" s="104" t="str">
        <f>IF(TAB_ESTOQUE[[#This Row],[Estoque]]=0,"Estoque Não Conforme",IF(TAB_ESTOQUE[[#This Row],[Estoque]]&gt;=TAB_ESTOQUE[[#This Row],[Mínimo]],"Estoque Conforme",IF(TAB_ESTOQUE[[#This Row],[Estoque]]&lt;TAB_ESTOQUE[[#This Row],[Mínimo]],"Estoque em Nivel Minimo")))</f>
        <v>Estoque Não Conforme</v>
      </c>
      <c r="AC407" s="104"/>
      <c r="AE407" s="82"/>
      <c r="AF407" s="82"/>
    </row>
    <row r="408" spans="1:32" ht="15" customHeight="1" x14ac:dyDescent="0.25">
      <c r="C408" s="48"/>
      <c r="D408" s="45" t="s">
        <v>7116</v>
      </c>
      <c r="E408" s="46" t="s">
        <v>7569</v>
      </c>
      <c r="F408" s="46"/>
      <c r="I408" s="45" t="s">
        <v>7606</v>
      </c>
      <c r="O408" s="46" t="s">
        <v>7602</v>
      </c>
      <c r="Q408" s="137">
        <f>VLOOKUP(TAB_ESTOQUE[[#This Row],[Codigo]],TAB_ENTRADA[[Cod_2_Entrada]:[TOTAL_ENTRADA]],5,FALSE)-VLOOKUP(TAB_ESTOQUE[[#This Row],[Codigo]],TAB_SAIDA[[COD_2_SAIDA]:[TOTAL_SAIDA]],5,FALSE)</f>
        <v>0</v>
      </c>
      <c r="S408" s="46"/>
      <c r="T408" s="102">
        <v>730.44</v>
      </c>
      <c r="U408" s="103">
        <f>TAB_ESTOQUE[[#This Row],[Valor Unitario Estimado]]*TAB_ESTOQUE[[#This Row],[Estoque]]</f>
        <v>0</v>
      </c>
      <c r="V408" s="103"/>
      <c r="AA408" s="138"/>
      <c r="AB408" s="104" t="str">
        <f>IF(TAB_ESTOQUE[[#This Row],[Estoque]]=0,"Estoque Não Conforme",IF(TAB_ESTOQUE[[#This Row],[Estoque]]&gt;=TAB_ESTOQUE[[#This Row],[Mínimo]],"Estoque Conforme",IF(TAB_ESTOQUE[[#This Row],[Estoque]]&lt;TAB_ESTOQUE[[#This Row],[Mínimo]],"Estoque em Nivel Minimo")))</f>
        <v>Estoque Não Conforme</v>
      </c>
      <c r="AC408" s="104"/>
      <c r="AE408" s="82"/>
      <c r="AF408" s="82"/>
    </row>
    <row r="409" spans="1:32" ht="15" customHeight="1" x14ac:dyDescent="0.25">
      <c r="C409" s="48"/>
      <c r="D409" s="45" t="s">
        <v>7117</v>
      </c>
      <c r="E409" s="46" t="s">
        <v>7569</v>
      </c>
      <c r="F409" s="46"/>
      <c r="I409" s="45" t="s">
        <v>7605</v>
      </c>
      <c r="O409" s="46" t="s">
        <v>7602</v>
      </c>
      <c r="Q409" s="137">
        <f>VLOOKUP(TAB_ESTOQUE[[#This Row],[Codigo]],TAB_ENTRADA[[Cod_2_Entrada]:[TOTAL_ENTRADA]],5,FALSE)-VLOOKUP(TAB_ESTOQUE[[#This Row],[Codigo]],TAB_SAIDA[[COD_2_SAIDA]:[TOTAL_SAIDA]],5,FALSE)</f>
        <v>0</v>
      </c>
      <c r="S409" s="46"/>
      <c r="T409" s="102">
        <v>562.98</v>
      </c>
      <c r="U409" s="103">
        <f>TAB_ESTOQUE[[#This Row],[Valor Unitario Estimado]]*TAB_ESTOQUE[[#This Row],[Estoque]]</f>
        <v>0</v>
      </c>
      <c r="V409" s="103"/>
      <c r="AA409" s="138"/>
      <c r="AB409" s="104" t="str">
        <f>IF(TAB_ESTOQUE[[#This Row],[Estoque]]=0,"Estoque Não Conforme",IF(TAB_ESTOQUE[[#This Row],[Estoque]]&gt;=TAB_ESTOQUE[[#This Row],[Mínimo]],"Estoque Conforme",IF(TAB_ESTOQUE[[#This Row],[Estoque]]&lt;TAB_ESTOQUE[[#This Row],[Mínimo]],"Estoque em Nivel Minimo")))</f>
        <v>Estoque Não Conforme</v>
      </c>
      <c r="AC409" s="104"/>
      <c r="AE409" s="82"/>
      <c r="AF409" s="82"/>
    </row>
    <row r="410" spans="1:32" ht="15" customHeight="1" x14ac:dyDescent="0.25">
      <c r="A410" s="45">
        <v>53</v>
      </c>
      <c r="B410" s="47"/>
      <c r="C410" s="53" t="s">
        <v>2842</v>
      </c>
      <c r="D410" s="45" t="s">
        <v>1661</v>
      </c>
      <c r="E410" s="46"/>
      <c r="F410" s="87"/>
      <c r="G410" s="82"/>
      <c r="H410" s="82"/>
      <c r="I410" s="82" t="s">
        <v>6756</v>
      </c>
      <c r="J410" s="82"/>
      <c r="K410" s="82"/>
      <c r="L410" s="82"/>
      <c r="M410" s="82"/>
      <c r="N410" s="82"/>
      <c r="O410" s="87" t="s">
        <v>7400</v>
      </c>
      <c r="P410" s="82" t="s">
        <v>31</v>
      </c>
      <c r="Q410" s="83">
        <f>VLOOKUP(TAB_ESTOQUE[[#This Row],[Codigo]],TAB_ENTRADA[[Cod_2_Entrada]:[TOTAL_ENTRADA]],5,FALSE)-VLOOKUP(TAB_ESTOQUE[[#This Row],[Codigo]],TAB_SAIDA[[COD_2_SAIDA]:[TOTAL_SAIDA]],5,FALSE)</f>
        <v>25</v>
      </c>
      <c r="R410" s="87"/>
      <c r="S410" s="87"/>
      <c r="T410" s="90">
        <v>26.39</v>
      </c>
      <c r="U410" s="91">
        <f>TAB_ESTOQUE[[#This Row],[Valor Unitario Estimado]]*TAB_ESTOQUE[[#This Row],[Estoque]]</f>
        <v>659.75</v>
      </c>
      <c r="V410" s="91"/>
      <c r="W410" s="85"/>
      <c r="X410" s="85"/>
      <c r="Y410" s="85"/>
      <c r="Z410" s="85"/>
      <c r="AA410" s="85"/>
      <c r="AB410" s="85" t="str">
        <f>IF(TAB_ESTOQUE[[#This Row],[Estoque]]=0,"Estoque Não Conforme",IF(TAB_ESTOQUE[[#This Row],[Estoque]]&gt;=TAB_ESTOQUE[[#This Row],[Mínimo]],"Estoque Conforme",IF(TAB_ESTOQUE[[#This Row],[Estoque]]&lt;TAB_ESTOQUE[[#This Row],[Mínimo]],"Estoque em Nivel Minimo")))</f>
        <v>Estoque Conforme</v>
      </c>
      <c r="AC410" s="85"/>
      <c r="AD410" s="82"/>
      <c r="AE410" s="82"/>
      <c r="AF410" s="82"/>
    </row>
    <row r="411" spans="1:32" ht="15" customHeight="1" x14ac:dyDescent="0.25">
      <c r="A411" s="45">
        <v>56</v>
      </c>
      <c r="B411" s="47"/>
      <c r="C411" s="53" t="s">
        <v>2842</v>
      </c>
      <c r="D411" s="45" t="s">
        <v>1662</v>
      </c>
      <c r="E411" s="46"/>
      <c r="F411" s="87"/>
      <c r="G411" s="82"/>
      <c r="H411" s="82"/>
      <c r="I411" s="82" t="s">
        <v>1415</v>
      </c>
      <c r="J411" s="82"/>
      <c r="K411" s="82"/>
      <c r="L411" s="82"/>
      <c r="M411" s="82"/>
      <c r="N411" s="82"/>
      <c r="O411" s="87" t="s">
        <v>7400</v>
      </c>
      <c r="P411" s="82" t="s">
        <v>32</v>
      </c>
      <c r="Q411" s="83">
        <f>VLOOKUP(TAB_ESTOQUE[[#This Row],[Codigo]],TAB_ENTRADA[[Cod_2_Entrada]:[TOTAL_ENTRADA]],5,FALSE)-VLOOKUP(TAB_ESTOQUE[[#This Row],[Codigo]],TAB_SAIDA[[COD_2_SAIDA]:[TOTAL_SAIDA]],5,FALSE)</f>
        <v>37</v>
      </c>
      <c r="R411" s="87"/>
      <c r="S411" s="87"/>
      <c r="T411" s="90">
        <v>23.9</v>
      </c>
      <c r="U411" s="91">
        <f>TAB_ESTOQUE[[#This Row],[Valor Unitario Estimado]]*TAB_ESTOQUE[[#This Row],[Estoque]]</f>
        <v>884.3</v>
      </c>
      <c r="V411" s="91"/>
      <c r="W411" s="85"/>
      <c r="X411" s="85"/>
      <c r="Y411" s="85"/>
      <c r="Z411" s="85"/>
      <c r="AA411" s="85"/>
      <c r="AB411" s="85" t="str">
        <f>IF(TAB_ESTOQUE[[#This Row],[Estoque]]=0,"Estoque Não Conforme",IF(TAB_ESTOQUE[[#This Row],[Estoque]]&gt;=TAB_ESTOQUE[[#This Row],[Mínimo]],"Estoque Conforme",IF(TAB_ESTOQUE[[#This Row],[Estoque]]&lt;TAB_ESTOQUE[[#This Row],[Mínimo]],"Estoque em Nivel Minimo")))</f>
        <v>Estoque Conforme</v>
      </c>
      <c r="AC411" s="85"/>
      <c r="AD411" s="82"/>
      <c r="AE411" s="82"/>
      <c r="AF411" s="82"/>
    </row>
    <row r="412" spans="1:32" ht="15" customHeight="1" x14ac:dyDescent="0.25">
      <c r="A412" s="45">
        <v>1248</v>
      </c>
      <c r="B412" s="47"/>
      <c r="C412" s="46"/>
      <c r="D412" s="45" t="s">
        <v>1813</v>
      </c>
      <c r="E412" s="46" t="s">
        <v>7345</v>
      </c>
      <c r="F412" s="87"/>
      <c r="G412" s="82"/>
      <c r="H412" s="82"/>
      <c r="I412" s="82" t="s">
        <v>7210</v>
      </c>
      <c r="J412" s="82"/>
      <c r="K412" s="82"/>
      <c r="L412" s="82"/>
      <c r="M412" s="82"/>
      <c r="N412" s="82"/>
      <c r="O412" s="87" t="s">
        <v>7400</v>
      </c>
      <c r="P412" s="82" t="s">
        <v>967</v>
      </c>
      <c r="Q412" s="83">
        <f>VLOOKUP(TAB_ESTOQUE[[#This Row],[Codigo]],TAB_ENTRADA[[Cod_2_Entrada]:[TOTAL_ENTRADA]],5,FALSE)-VLOOKUP(TAB_ESTOQUE[[#This Row],[Codigo]],TAB_SAIDA[[COD_2_SAIDA]:[TOTAL_SAIDA]],5,FALSE)</f>
        <v>7</v>
      </c>
      <c r="R412" s="87"/>
      <c r="S412" s="87"/>
      <c r="T412" s="90">
        <v>1138.6400000000001</v>
      </c>
      <c r="U412" s="91">
        <f>TAB_ESTOQUE[[#This Row],[Valor Unitario Estimado]]*TAB_ESTOQUE[[#This Row],[Estoque]]</f>
        <v>7970.4800000000005</v>
      </c>
      <c r="V412" s="91"/>
      <c r="W412" s="85"/>
      <c r="X412" s="85"/>
      <c r="Y412" s="85"/>
      <c r="Z412" s="85"/>
      <c r="AA412" s="85"/>
      <c r="AB412" s="85" t="str">
        <f>IF(TAB_ESTOQUE[[#This Row],[Estoque]]=0,"Estoque Não Conforme",IF(TAB_ESTOQUE[[#This Row],[Estoque]]&gt;=TAB_ESTOQUE[[#This Row],[Mínimo]],"Estoque Conforme",IF(TAB_ESTOQUE[[#This Row],[Estoque]]&lt;TAB_ESTOQUE[[#This Row],[Mínimo]],"Estoque em Nivel Minimo")))</f>
        <v>Estoque Conforme</v>
      </c>
      <c r="AC412" s="85"/>
      <c r="AD412" s="82"/>
      <c r="AE412" s="82"/>
      <c r="AF412" s="82"/>
    </row>
    <row r="413" spans="1:32" ht="15" customHeight="1" x14ac:dyDescent="0.25">
      <c r="A413" s="45">
        <v>1031</v>
      </c>
      <c r="B413" s="47"/>
      <c r="C413" s="46"/>
      <c r="D413" s="45" t="s">
        <v>2176</v>
      </c>
      <c r="E413" s="46" t="s">
        <v>8405</v>
      </c>
      <c r="F413" s="87"/>
      <c r="G413" s="82"/>
      <c r="H413" s="82"/>
      <c r="I413" s="82" t="s">
        <v>911</v>
      </c>
      <c r="J413" s="82"/>
      <c r="K413" s="82"/>
      <c r="L413" s="82"/>
      <c r="M413" s="82" t="s">
        <v>139</v>
      </c>
      <c r="N413" s="82"/>
      <c r="O413" s="87" t="s">
        <v>7400</v>
      </c>
      <c r="P413" s="82" t="s">
        <v>789</v>
      </c>
      <c r="Q413" s="83">
        <f>VLOOKUP(TAB_ESTOQUE[[#This Row],[Codigo]],TAB_ENTRADA[[Cod_2_Entrada]:[TOTAL_ENTRADA]],5,FALSE)-VLOOKUP(TAB_ESTOQUE[[#This Row],[Codigo]],TAB_SAIDA[[COD_2_SAIDA]:[TOTAL_SAIDA]],5,FALSE)</f>
        <v>0</v>
      </c>
      <c r="R413" s="87"/>
      <c r="S413" s="87"/>
      <c r="T413" s="90"/>
      <c r="U413" s="91">
        <f>TAB_ESTOQUE[[#This Row],[Valor Unitario Estimado]]*TAB_ESTOQUE[[#This Row],[Estoque]]</f>
        <v>0</v>
      </c>
      <c r="V413" s="91"/>
      <c r="W413" s="85"/>
      <c r="X413" s="85"/>
      <c r="Y413" s="85"/>
      <c r="Z413" s="85"/>
      <c r="AA413" s="85"/>
      <c r="AB413" s="85" t="str">
        <f>IF(TAB_ESTOQUE[[#This Row],[Estoque]]=0,"Estoque Não Conforme",IF(TAB_ESTOQUE[[#This Row],[Estoque]]&gt;=TAB_ESTOQUE[[#This Row],[Mínimo]],"Estoque Conforme",IF(TAB_ESTOQUE[[#This Row],[Estoque]]&lt;TAB_ESTOQUE[[#This Row],[Mínimo]],"Estoque em Nivel Minimo")))</f>
        <v>Estoque Não Conforme</v>
      </c>
      <c r="AC413" s="85"/>
      <c r="AD413" s="82"/>
      <c r="AE413" s="82"/>
      <c r="AF413" s="82"/>
    </row>
    <row r="414" spans="1:32" ht="15" customHeight="1" x14ac:dyDescent="0.25">
      <c r="A414" s="45">
        <v>1033</v>
      </c>
      <c r="B414" s="47"/>
      <c r="C414" s="46"/>
      <c r="D414" s="45" t="s">
        <v>2177</v>
      </c>
      <c r="E414" s="46" t="s">
        <v>7</v>
      </c>
      <c r="F414" s="87"/>
      <c r="G414" s="82"/>
      <c r="H414" s="82"/>
      <c r="I414" s="82" t="s">
        <v>6161</v>
      </c>
      <c r="J414" s="82"/>
      <c r="K414" s="82"/>
      <c r="L414" s="82"/>
      <c r="M414" s="82" t="s">
        <v>139</v>
      </c>
      <c r="N414" s="82"/>
      <c r="O414" s="87" t="s">
        <v>7400</v>
      </c>
      <c r="P414" s="82" t="s">
        <v>789</v>
      </c>
      <c r="Q414" s="83">
        <f>VLOOKUP(TAB_ESTOQUE[[#This Row],[Codigo]],TAB_ENTRADA[[Cod_2_Entrada]:[TOTAL_ENTRADA]],5,FALSE)-VLOOKUP(TAB_ESTOQUE[[#This Row],[Codigo]],TAB_SAIDA[[COD_2_SAIDA]:[TOTAL_SAIDA]],5,FALSE)</f>
        <v>0</v>
      </c>
      <c r="R414" s="87"/>
      <c r="S414" s="87"/>
      <c r="T414" s="90"/>
      <c r="U414" s="91">
        <f>TAB_ESTOQUE[[#This Row],[Valor Unitario Estimado]]*TAB_ESTOQUE[[#This Row],[Estoque]]</f>
        <v>0</v>
      </c>
      <c r="V414" s="91"/>
      <c r="W414" s="85"/>
      <c r="X414" s="85"/>
      <c r="Y414" s="85"/>
      <c r="Z414" s="85"/>
      <c r="AA414" s="85"/>
      <c r="AB414" s="85" t="str">
        <f>IF(TAB_ESTOQUE[[#This Row],[Estoque]]=0,"Estoque Não Conforme",IF(TAB_ESTOQUE[[#This Row],[Estoque]]&gt;=TAB_ESTOQUE[[#This Row],[Mínimo]],"Estoque Conforme",IF(TAB_ESTOQUE[[#This Row],[Estoque]]&lt;TAB_ESTOQUE[[#This Row],[Mínimo]],"Estoque em Nivel Minimo")))</f>
        <v>Estoque Não Conforme</v>
      </c>
      <c r="AC414" s="85"/>
      <c r="AD414" s="82"/>
      <c r="AE414" s="82"/>
      <c r="AF414" s="82"/>
    </row>
    <row r="415" spans="1:32" ht="15" customHeight="1" x14ac:dyDescent="0.25">
      <c r="A415" s="45">
        <v>1034</v>
      </c>
      <c r="B415" s="47"/>
      <c r="C415" s="46"/>
      <c r="D415" s="45" t="s">
        <v>2178</v>
      </c>
      <c r="E415" s="46" t="s">
        <v>7</v>
      </c>
      <c r="F415" s="87"/>
      <c r="G415" s="82"/>
      <c r="H415" s="82"/>
      <c r="I415" s="82" t="s">
        <v>1530</v>
      </c>
      <c r="J415" s="82"/>
      <c r="K415" s="82"/>
      <c r="L415" s="82"/>
      <c r="M415" s="82" t="s">
        <v>139</v>
      </c>
      <c r="N415" s="82"/>
      <c r="O415" s="87" t="s">
        <v>7400</v>
      </c>
      <c r="P415" s="82" t="s">
        <v>789</v>
      </c>
      <c r="Q415" s="83">
        <f>VLOOKUP(TAB_ESTOQUE[[#This Row],[Codigo]],TAB_ENTRADA[[Cod_2_Entrada]:[TOTAL_ENTRADA]],5,FALSE)-VLOOKUP(TAB_ESTOQUE[[#This Row],[Codigo]],TAB_SAIDA[[COD_2_SAIDA]:[TOTAL_SAIDA]],5,FALSE)</f>
        <v>0</v>
      </c>
      <c r="R415" s="87"/>
      <c r="S415" s="87"/>
      <c r="T415" s="90"/>
      <c r="U415" s="91">
        <f>TAB_ESTOQUE[[#This Row],[Valor Unitario Estimado]]*TAB_ESTOQUE[[#This Row],[Estoque]]</f>
        <v>0</v>
      </c>
      <c r="V415" s="91"/>
      <c r="W415" s="85"/>
      <c r="X415" s="85"/>
      <c r="Y415" s="85"/>
      <c r="Z415" s="85"/>
      <c r="AA415" s="85"/>
      <c r="AB415" s="85" t="str">
        <f>IF(TAB_ESTOQUE[[#This Row],[Estoque]]=0,"Estoque Não Conforme",IF(TAB_ESTOQUE[[#This Row],[Estoque]]&gt;=TAB_ESTOQUE[[#This Row],[Mínimo]],"Estoque Conforme",IF(TAB_ESTOQUE[[#This Row],[Estoque]]&lt;TAB_ESTOQUE[[#This Row],[Mínimo]],"Estoque em Nivel Minimo")))</f>
        <v>Estoque Não Conforme</v>
      </c>
      <c r="AC415" s="85"/>
      <c r="AD415" s="82"/>
      <c r="AE415" s="82"/>
      <c r="AF415" s="82"/>
    </row>
    <row r="416" spans="1:32" ht="15" customHeight="1" x14ac:dyDescent="0.25">
      <c r="A416" s="45">
        <v>1035</v>
      </c>
      <c r="B416" s="47"/>
      <c r="C416" s="46"/>
      <c r="D416" s="45" t="s">
        <v>2179</v>
      </c>
      <c r="E416" s="46" t="s">
        <v>7</v>
      </c>
      <c r="F416" s="87"/>
      <c r="G416" s="82"/>
      <c r="H416" s="82"/>
      <c r="I416" s="82" t="s">
        <v>1531</v>
      </c>
      <c r="J416" s="82"/>
      <c r="K416" s="82"/>
      <c r="L416" s="82"/>
      <c r="M416" s="82" t="s">
        <v>139</v>
      </c>
      <c r="N416" s="82"/>
      <c r="O416" s="87" t="s">
        <v>7400</v>
      </c>
      <c r="P416" s="82" t="s">
        <v>789</v>
      </c>
      <c r="Q416" s="83">
        <f>VLOOKUP(TAB_ESTOQUE[[#This Row],[Codigo]],TAB_ENTRADA[[Cod_2_Entrada]:[TOTAL_ENTRADA]],5,FALSE)-VLOOKUP(TAB_ESTOQUE[[#This Row],[Codigo]],TAB_SAIDA[[COD_2_SAIDA]:[TOTAL_SAIDA]],5,FALSE)</f>
        <v>0</v>
      </c>
      <c r="R416" s="87"/>
      <c r="S416" s="87"/>
      <c r="T416" s="90"/>
      <c r="U416" s="91">
        <f>TAB_ESTOQUE[[#This Row],[Valor Unitario Estimado]]*TAB_ESTOQUE[[#This Row],[Estoque]]</f>
        <v>0</v>
      </c>
      <c r="V416" s="91"/>
      <c r="W416" s="85"/>
      <c r="X416" s="85"/>
      <c r="Y416" s="85"/>
      <c r="Z416" s="85"/>
      <c r="AA416" s="85"/>
      <c r="AB416" s="85" t="str">
        <f>IF(TAB_ESTOQUE[[#This Row],[Estoque]]=0,"Estoque Não Conforme",IF(TAB_ESTOQUE[[#This Row],[Estoque]]&gt;=TAB_ESTOQUE[[#This Row],[Mínimo]],"Estoque Conforme",IF(TAB_ESTOQUE[[#This Row],[Estoque]]&lt;TAB_ESTOQUE[[#This Row],[Mínimo]],"Estoque em Nivel Minimo")))</f>
        <v>Estoque Não Conforme</v>
      </c>
      <c r="AC416" s="85"/>
      <c r="AD416" s="82"/>
      <c r="AE416" s="82"/>
      <c r="AF416" s="82"/>
    </row>
    <row r="417" spans="1:32" ht="15" customHeight="1" x14ac:dyDescent="0.25">
      <c r="A417" s="45">
        <v>1223</v>
      </c>
      <c r="B417" s="47"/>
      <c r="C417" s="46"/>
      <c r="D417" s="45" t="s">
        <v>2180</v>
      </c>
      <c r="E417" s="46" t="s">
        <v>7</v>
      </c>
      <c r="F417" s="87"/>
      <c r="G417" s="82"/>
      <c r="H417" s="82"/>
      <c r="I417" s="82" t="s">
        <v>263</v>
      </c>
      <c r="J417" s="82"/>
      <c r="K417" s="82"/>
      <c r="L417" s="82"/>
      <c r="M417" s="82" t="s">
        <v>139</v>
      </c>
      <c r="N417" s="82"/>
      <c r="O417" s="87" t="s">
        <v>7400</v>
      </c>
      <c r="P417" s="82" t="s">
        <v>789</v>
      </c>
      <c r="Q417" s="83">
        <f>VLOOKUP(TAB_ESTOQUE[[#This Row],[Codigo]],TAB_ENTRADA[[Cod_2_Entrada]:[TOTAL_ENTRADA]],5,FALSE)-VLOOKUP(TAB_ESTOQUE[[#This Row],[Codigo]],TAB_SAIDA[[COD_2_SAIDA]:[TOTAL_SAIDA]],5,FALSE)</f>
        <v>0</v>
      </c>
      <c r="R417" s="87"/>
      <c r="S417" s="87"/>
      <c r="T417" s="90"/>
      <c r="U417" s="91">
        <f>TAB_ESTOQUE[[#This Row],[Valor Unitario Estimado]]*TAB_ESTOQUE[[#This Row],[Estoque]]</f>
        <v>0</v>
      </c>
      <c r="V417" s="91"/>
      <c r="W417" s="85"/>
      <c r="X417" s="85"/>
      <c r="Y417" s="85"/>
      <c r="Z417" s="85"/>
      <c r="AA417" s="85"/>
      <c r="AB417" s="85" t="str">
        <f>IF(TAB_ESTOQUE[[#This Row],[Estoque]]=0,"Estoque Não Conforme",IF(TAB_ESTOQUE[[#This Row],[Estoque]]&gt;=TAB_ESTOQUE[[#This Row],[Mínimo]],"Estoque Conforme",IF(TAB_ESTOQUE[[#This Row],[Estoque]]&lt;TAB_ESTOQUE[[#This Row],[Mínimo]],"Estoque em Nivel Minimo")))</f>
        <v>Estoque Não Conforme</v>
      </c>
      <c r="AC417" s="85"/>
      <c r="AD417" s="82"/>
      <c r="AE417" s="82"/>
      <c r="AF417" s="82"/>
    </row>
    <row r="418" spans="1:32" s="106" customFormat="1" ht="15" customHeight="1" x14ac:dyDescent="0.25">
      <c r="A418" s="45">
        <v>734</v>
      </c>
      <c r="B418" s="47"/>
      <c r="C418" s="46"/>
      <c r="D418" s="45" t="s">
        <v>2244</v>
      </c>
      <c r="E418" s="46" t="s">
        <v>7345</v>
      </c>
      <c r="F418" s="87"/>
      <c r="G418" s="82"/>
      <c r="H418" s="82"/>
      <c r="I418" s="94" t="s">
        <v>7523</v>
      </c>
      <c r="J418" s="82"/>
      <c r="K418" s="82"/>
      <c r="L418" s="82"/>
      <c r="M418" s="82"/>
      <c r="N418" s="82"/>
      <c r="O418" s="87" t="s">
        <v>7400</v>
      </c>
      <c r="P418" s="82" t="s">
        <v>210</v>
      </c>
      <c r="Q418" s="83">
        <f>VLOOKUP(TAB_ESTOQUE[[#This Row],[Codigo]],TAB_ENTRADA[[Cod_2_Entrada]:[TOTAL_ENTRADA]],5,FALSE)-VLOOKUP(TAB_ESTOQUE[[#This Row],[Codigo]],TAB_SAIDA[[COD_2_SAIDA]:[TOTAL_SAIDA]],5,FALSE)</f>
        <v>5</v>
      </c>
      <c r="R418" s="87"/>
      <c r="S418" s="87"/>
      <c r="T418" s="90">
        <v>1884.56</v>
      </c>
      <c r="U418" s="91">
        <f>TAB_ESTOQUE[[#This Row],[Valor Unitario Estimado]]*TAB_ESTOQUE[[#This Row],[Estoque]]</f>
        <v>9422.7999999999993</v>
      </c>
      <c r="V418" s="91"/>
      <c r="W418" s="85"/>
      <c r="X418" s="85"/>
      <c r="Y418" s="85"/>
      <c r="Z418" s="85"/>
      <c r="AA418" s="85"/>
      <c r="AB418" s="85" t="str">
        <f>IF(TAB_ESTOQUE[[#This Row],[Estoque]]=0,"Estoque Não Conforme",IF(TAB_ESTOQUE[[#This Row],[Estoque]]&gt;=TAB_ESTOQUE[[#This Row],[Mínimo]],"Estoque Conforme",IF(TAB_ESTOQUE[[#This Row],[Estoque]]&lt;TAB_ESTOQUE[[#This Row],[Mínimo]],"Estoque em Nivel Minimo")))</f>
        <v>Estoque Conforme</v>
      </c>
      <c r="AC418" s="85"/>
      <c r="AD418" s="82"/>
      <c r="AE418" s="95"/>
      <c r="AF418" s="95"/>
    </row>
    <row r="419" spans="1:32" ht="15" customHeight="1" x14ac:dyDescent="0.25">
      <c r="A419" s="45">
        <v>650</v>
      </c>
      <c r="B419" s="47"/>
      <c r="C419" s="46" t="s">
        <v>2838</v>
      </c>
      <c r="D419" s="45" t="s">
        <v>2303</v>
      </c>
      <c r="E419" s="46" t="s">
        <v>7345</v>
      </c>
      <c r="F419" s="87"/>
      <c r="G419" s="82"/>
      <c r="H419" s="82"/>
      <c r="I419" s="82" t="s">
        <v>1459</v>
      </c>
      <c r="J419" s="82"/>
      <c r="K419" s="82"/>
      <c r="L419" s="82"/>
      <c r="M419" s="82"/>
      <c r="N419" s="82"/>
      <c r="O419" s="87" t="s">
        <v>7400</v>
      </c>
      <c r="P419" s="82" t="s">
        <v>431</v>
      </c>
      <c r="Q419" s="83">
        <f>VLOOKUP(TAB_ESTOQUE[[#This Row],[Codigo]],TAB_ENTRADA[[Cod_2_Entrada]:[TOTAL_ENTRADA]],5,FALSE)-VLOOKUP(TAB_ESTOQUE[[#This Row],[Codigo]],TAB_SAIDA[[COD_2_SAIDA]:[TOTAL_SAIDA]],5,FALSE)</f>
        <v>34</v>
      </c>
      <c r="R419" s="87"/>
      <c r="S419" s="87"/>
      <c r="T419" s="90">
        <v>120</v>
      </c>
      <c r="U419" s="91">
        <f>TAB_ESTOQUE[[#This Row],[Valor Unitario Estimado]]*TAB_ESTOQUE[[#This Row],[Estoque]]</f>
        <v>4080</v>
      </c>
      <c r="V419" s="91"/>
      <c r="W419" s="85"/>
      <c r="X419" s="85"/>
      <c r="Y419" s="85"/>
      <c r="Z419" s="85"/>
      <c r="AA419" s="85"/>
      <c r="AB419" s="85" t="str">
        <f>IF(TAB_ESTOQUE[[#This Row],[Estoque]]=0,"Estoque Não Conforme",IF(TAB_ESTOQUE[[#This Row],[Estoque]]&gt;=TAB_ESTOQUE[[#This Row],[Mínimo]],"Estoque Conforme",IF(TAB_ESTOQUE[[#This Row],[Estoque]]&lt;TAB_ESTOQUE[[#This Row],[Mínimo]],"Estoque em Nivel Minimo")))</f>
        <v>Estoque Conforme</v>
      </c>
      <c r="AC419" s="85"/>
      <c r="AD419" s="82"/>
      <c r="AE419" s="82"/>
      <c r="AF419" s="82"/>
    </row>
    <row r="420" spans="1:32" ht="15" customHeight="1" x14ac:dyDescent="0.25">
      <c r="A420" s="45">
        <v>723</v>
      </c>
      <c r="B420" s="47"/>
      <c r="C420" s="46"/>
      <c r="D420" s="45" t="s">
        <v>2304</v>
      </c>
      <c r="E420" s="46" t="s">
        <v>7345</v>
      </c>
      <c r="F420" s="87"/>
      <c r="G420" s="82"/>
      <c r="H420" s="82"/>
      <c r="I420" s="82" t="s">
        <v>1460</v>
      </c>
      <c r="J420" s="82"/>
      <c r="K420" s="82"/>
      <c r="L420" s="82"/>
      <c r="M420" s="82"/>
      <c r="N420" s="82"/>
      <c r="O420" s="87" t="s">
        <v>7400</v>
      </c>
      <c r="P420" s="82" t="s">
        <v>503</v>
      </c>
      <c r="Q420" s="83">
        <f>VLOOKUP(TAB_ESTOQUE[[#This Row],[Codigo]],TAB_ENTRADA[[Cod_2_Entrada]:[TOTAL_ENTRADA]],5,FALSE)-VLOOKUP(TAB_ESTOQUE[[#This Row],[Codigo]],TAB_SAIDA[[COD_2_SAIDA]:[TOTAL_SAIDA]],5,FALSE)</f>
        <v>10</v>
      </c>
      <c r="R420" s="87"/>
      <c r="S420" s="87"/>
      <c r="T420" s="90">
        <v>120</v>
      </c>
      <c r="U420" s="91">
        <f>TAB_ESTOQUE[[#This Row],[Valor Unitario Estimado]]*TAB_ESTOQUE[[#This Row],[Estoque]]</f>
        <v>1200</v>
      </c>
      <c r="V420" s="91"/>
      <c r="W420" s="85"/>
      <c r="X420" s="85"/>
      <c r="Y420" s="85"/>
      <c r="Z420" s="85"/>
      <c r="AA420" s="85"/>
      <c r="AB420" s="85" t="str">
        <f>IF(TAB_ESTOQUE[[#This Row],[Estoque]]=0,"Estoque Não Conforme",IF(TAB_ESTOQUE[[#This Row],[Estoque]]&gt;=TAB_ESTOQUE[[#This Row],[Mínimo]],"Estoque Conforme",IF(TAB_ESTOQUE[[#This Row],[Estoque]]&lt;TAB_ESTOQUE[[#This Row],[Mínimo]],"Estoque em Nivel Minimo")))</f>
        <v>Estoque Conforme</v>
      </c>
      <c r="AC420" s="85"/>
      <c r="AD420" s="82"/>
      <c r="AE420" s="82"/>
      <c r="AF420" s="82"/>
    </row>
    <row r="421" spans="1:32" ht="15" customHeight="1" x14ac:dyDescent="0.25">
      <c r="A421" s="47">
        <v>667</v>
      </c>
      <c r="B421" s="47"/>
      <c r="C421" s="51"/>
      <c r="D421" s="47" t="s">
        <v>2316</v>
      </c>
      <c r="E421" s="51" t="s">
        <v>7345</v>
      </c>
      <c r="F421" s="107"/>
      <c r="G421" s="94"/>
      <c r="H421" s="94"/>
      <c r="I421" s="94" t="s">
        <v>1464</v>
      </c>
      <c r="J421" s="94"/>
      <c r="K421" s="94"/>
      <c r="L421" s="94"/>
      <c r="M421" s="94"/>
      <c r="N421" s="94"/>
      <c r="O421" s="107" t="s">
        <v>7400</v>
      </c>
      <c r="P421" s="94" t="s">
        <v>450</v>
      </c>
      <c r="Q421" s="145">
        <f>VLOOKUP(TAB_ESTOQUE[[#This Row],[Codigo]],TAB_ENTRADA[[Cod_2_Entrada]:[TOTAL_ENTRADA]],5,FALSE)-VLOOKUP(TAB_ESTOQUE[[#This Row],[Codigo]],TAB_SAIDA[[COD_2_SAIDA]:[TOTAL_SAIDA]],5,FALSE)</f>
        <v>0</v>
      </c>
      <c r="R421" s="107"/>
      <c r="S421" s="107"/>
      <c r="T421" s="108">
        <v>1602.32</v>
      </c>
      <c r="U421" s="109">
        <f>TAB_ESTOQUE[[#This Row],[Valor Unitario Estimado]]*TAB_ESTOQUE[[#This Row],[Estoque]]</f>
        <v>0</v>
      </c>
      <c r="V421" s="109"/>
      <c r="W421" s="110"/>
      <c r="X421" s="110"/>
      <c r="Y421" s="110"/>
      <c r="Z421" s="110"/>
      <c r="AA421" s="110"/>
      <c r="AB421" s="110" t="str">
        <f>IF(TAB_ESTOQUE[[#This Row],[Estoque]]=0,"Estoque Não Conforme",IF(TAB_ESTOQUE[[#This Row],[Estoque]]&gt;=TAB_ESTOQUE[[#This Row],[Mínimo]],"Estoque Conforme",IF(TAB_ESTOQUE[[#This Row],[Estoque]]&lt;TAB_ESTOQUE[[#This Row],[Mínimo]],"Estoque em Nivel Minimo")))</f>
        <v>Estoque Não Conforme</v>
      </c>
      <c r="AC421" s="110"/>
      <c r="AD421" s="94"/>
      <c r="AE421" s="82"/>
      <c r="AF421" s="82"/>
    </row>
    <row r="422" spans="1:32" ht="15" customHeight="1" x14ac:dyDescent="0.25">
      <c r="A422" s="45">
        <v>1061</v>
      </c>
      <c r="B422" s="47"/>
      <c r="C422" s="46"/>
      <c r="D422" s="45" t="s">
        <v>2319</v>
      </c>
      <c r="E422" s="46" t="s">
        <v>7345</v>
      </c>
      <c r="F422" s="87"/>
      <c r="G422" s="82"/>
      <c r="H422" s="82"/>
      <c r="I422" s="82" t="s">
        <v>1465</v>
      </c>
      <c r="J422" s="82"/>
      <c r="L422" s="82"/>
      <c r="M422" s="82" t="s">
        <v>209</v>
      </c>
      <c r="N422" s="82"/>
      <c r="O422" s="87" t="s">
        <v>7400</v>
      </c>
      <c r="P422" s="82" t="s">
        <v>804</v>
      </c>
      <c r="Q422" s="83">
        <f>VLOOKUP(TAB_ESTOQUE[[#This Row],[Codigo]],TAB_ENTRADA[[Cod_2_Entrada]:[TOTAL_ENTRADA]],5,FALSE)-VLOOKUP(TAB_ESTOQUE[[#This Row],[Codigo]],TAB_SAIDA[[COD_2_SAIDA]:[TOTAL_SAIDA]],5,FALSE)</f>
        <v>2</v>
      </c>
      <c r="R422" s="87"/>
      <c r="S422" s="87"/>
      <c r="T422" s="90">
        <v>1602.32</v>
      </c>
      <c r="U422" s="91">
        <f>TAB_ESTOQUE[[#This Row],[Valor Unitario Estimado]]*TAB_ESTOQUE[[#This Row],[Estoque]]</f>
        <v>3204.64</v>
      </c>
      <c r="V422" s="91"/>
      <c r="W422" s="85"/>
      <c r="X422" s="85"/>
      <c r="Y422" s="85"/>
      <c r="Z422" s="85"/>
      <c r="AA422" s="85"/>
      <c r="AB422" s="85" t="str">
        <f>IF(TAB_ESTOQUE[[#This Row],[Estoque]]=0,"Estoque Não Conforme",IF(TAB_ESTOQUE[[#This Row],[Estoque]]&gt;=TAB_ESTOQUE[[#This Row],[Mínimo]],"Estoque Conforme",IF(TAB_ESTOQUE[[#This Row],[Estoque]]&lt;TAB_ESTOQUE[[#This Row],[Mínimo]],"Estoque em Nivel Minimo")))</f>
        <v>Estoque Conforme</v>
      </c>
      <c r="AC422" s="85"/>
      <c r="AD422" s="82"/>
      <c r="AE422" s="82"/>
      <c r="AF422" s="82"/>
    </row>
    <row r="423" spans="1:32" ht="15" customHeight="1" x14ac:dyDescent="0.25">
      <c r="A423" s="106">
        <v>688</v>
      </c>
      <c r="B423" s="106"/>
      <c r="C423" s="116"/>
      <c r="D423" s="106" t="s">
        <v>2403</v>
      </c>
      <c r="E423" s="116" t="s">
        <v>7</v>
      </c>
      <c r="F423" s="118"/>
      <c r="G423" s="95"/>
      <c r="H423" s="95"/>
      <c r="I423" s="95" t="s">
        <v>8613</v>
      </c>
      <c r="J423" s="95"/>
      <c r="K423" s="95"/>
      <c r="L423" s="95"/>
      <c r="M423" s="95"/>
      <c r="N423" s="95"/>
      <c r="O423" s="118" t="s">
        <v>7400</v>
      </c>
      <c r="P423" s="95" t="s">
        <v>476</v>
      </c>
      <c r="Q423" s="154">
        <f>VLOOKUP(TAB_ESTOQUE[[#This Row],[Codigo]],TAB_ENTRADA[[Cod_2_Entrada]:[TOTAL_ENTRADA]],5,FALSE)-VLOOKUP(TAB_ESTOQUE[[#This Row],[Codigo]],TAB_SAIDA[[COD_2_SAIDA]:[TOTAL_SAIDA]],5,FALSE)</f>
        <v>1</v>
      </c>
      <c r="R423" s="118"/>
      <c r="S423" s="118"/>
      <c r="T423" s="119">
        <v>386</v>
      </c>
      <c r="U423" s="112">
        <f>TAB_ESTOQUE[[#This Row],[Valor Unitario Estimado]]*TAB_ESTOQUE[[#This Row],[Estoque]]</f>
        <v>386</v>
      </c>
      <c r="V423" s="112"/>
      <c r="W423" s="120"/>
      <c r="X423" s="120"/>
      <c r="Y423" s="120"/>
      <c r="Z423" s="120"/>
      <c r="AA423" s="120"/>
      <c r="AB423" s="120" t="str">
        <f>IF(TAB_ESTOQUE[[#This Row],[Estoque]]=0,"Estoque Não Conforme",IF(TAB_ESTOQUE[[#This Row],[Estoque]]&gt;=TAB_ESTOQUE[[#This Row],[Mínimo]],"Estoque Conforme",IF(TAB_ESTOQUE[[#This Row],[Estoque]]&lt;TAB_ESTOQUE[[#This Row],[Mínimo]],"Estoque em Nivel Minimo")))</f>
        <v>Estoque Conforme</v>
      </c>
      <c r="AC423" s="120"/>
      <c r="AD423" s="95"/>
      <c r="AE423" s="82"/>
      <c r="AF423" s="82"/>
    </row>
    <row r="424" spans="1:32" ht="15" customHeight="1" x14ac:dyDescent="0.25">
      <c r="A424" s="47">
        <v>664</v>
      </c>
      <c r="B424" s="47"/>
      <c r="C424" s="51"/>
      <c r="D424" s="47" t="s">
        <v>2404</v>
      </c>
      <c r="E424" s="51" t="s">
        <v>736</v>
      </c>
      <c r="F424" s="107"/>
      <c r="G424" s="94"/>
      <c r="H424" s="94"/>
      <c r="I424" s="94" t="s">
        <v>8614</v>
      </c>
      <c r="J424" s="94"/>
      <c r="K424" s="94"/>
      <c r="L424" s="94"/>
      <c r="M424" s="94"/>
      <c r="N424" s="94"/>
      <c r="O424" s="107" t="s">
        <v>7400</v>
      </c>
      <c r="P424" s="94" t="s">
        <v>447</v>
      </c>
      <c r="Q424" s="145">
        <f>VLOOKUP(TAB_ESTOQUE[[#This Row],[Codigo]],TAB_ENTRADA[[Cod_2_Entrada]:[TOTAL_ENTRADA]],5,FALSE)-VLOOKUP(TAB_ESTOQUE[[#This Row],[Codigo]],TAB_SAIDA[[COD_2_SAIDA]:[TOTAL_SAIDA]],5,FALSE)</f>
        <v>5</v>
      </c>
      <c r="R424" s="107"/>
      <c r="S424" s="107"/>
      <c r="T424" s="108">
        <v>9.9</v>
      </c>
      <c r="U424" s="109">
        <f>TAB_ESTOQUE[[#This Row],[Valor Unitario Estimado]]*TAB_ESTOQUE[[#This Row],[Estoque]]</f>
        <v>49.5</v>
      </c>
      <c r="V424" s="109"/>
      <c r="W424" s="110"/>
      <c r="X424" s="110"/>
      <c r="Y424" s="110"/>
      <c r="Z424" s="110"/>
      <c r="AA424" s="110"/>
      <c r="AB424" s="110" t="str">
        <f>IF(TAB_ESTOQUE[[#This Row],[Estoque]]=0,"Estoque Não Conforme",IF(TAB_ESTOQUE[[#This Row],[Estoque]]&gt;=TAB_ESTOQUE[[#This Row],[Mínimo]],"Estoque Conforme",IF(TAB_ESTOQUE[[#This Row],[Estoque]]&lt;TAB_ESTOQUE[[#This Row],[Mínimo]],"Estoque em Nivel Minimo")))</f>
        <v>Estoque Conforme</v>
      </c>
      <c r="AC424" s="110"/>
      <c r="AD424" s="94"/>
      <c r="AE424" s="82"/>
      <c r="AF424" s="82"/>
    </row>
    <row r="425" spans="1:32" ht="15" customHeight="1" x14ac:dyDescent="0.25">
      <c r="A425" s="45">
        <v>863</v>
      </c>
      <c r="B425" s="47"/>
      <c r="C425" s="46"/>
      <c r="D425" s="45" t="s">
        <v>2429</v>
      </c>
      <c r="E425" s="46"/>
      <c r="F425" s="87"/>
      <c r="G425" s="82"/>
      <c r="H425" s="82"/>
      <c r="I425" s="82" t="s">
        <v>1627</v>
      </c>
      <c r="J425" s="82"/>
      <c r="K425" s="82"/>
      <c r="L425" s="82"/>
      <c r="M425" s="82"/>
      <c r="N425" s="82"/>
      <c r="O425" s="87" t="s">
        <v>7400</v>
      </c>
      <c r="P425" s="82" t="s">
        <v>659</v>
      </c>
      <c r="Q425" s="83">
        <f>VLOOKUP(TAB_ESTOQUE[[#This Row],[Codigo]],TAB_ENTRADA[[Cod_2_Entrada]:[TOTAL_ENTRADA]],5,FALSE)-VLOOKUP(TAB_ESTOQUE[[#This Row],[Codigo]],TAB_SAIDA[[COD_2_SAIDA]:[TOTAL_SAIDA]],5,FALSE)</f>
        <v>50</v>
      </c>
      <c r="R425" s="87"/>
      <c r="S425" s="87"/>
      <c r="T425" s="90">
        <v>12.6</v>
      </c>
      <c r="U425" s="91">
        <f>TAB_ESTOQUE[[#This Row],[Valor Unitario Estimado]]*TAB_ESTOQUE[[#This Row],[Estoque]]</f>
        <v>630</v>
      </c>
      <c r="V425" s="91"/>
      <c r="W425" s="85"/>
      <c r="X425" s="85"/>
      <c r="Y425" s="85"/>
      <c r="Z425" s="85"/>
      <c r="AA425" s="85"/>
      <c r="AB425" s="85" t="str">
        <f>IF(TAB_ESTOQUE[[#This Row],[Estoque]]=0,"Estoque Não Conforme",IF(TAB_ESTOQUE[[#This Row],[Estoque]]&gt;=TAB_ESTOQUE[[#This Row],[Mínimo]],"Estoque Conforme",IF(TAB_ESTOQUE[[#This Row],[Estoque]]&lt;TAB_ESTOQUE[[#This Row],[Mínimo]],"Estoque em Nivel Minimo")))</f>
        <v>Estoque Conforme</v>
      </c>
      <c r="AC425" s="85"/>
      <c r="AD425" s="82"/>
      <c r="AE425" s="82"/>
      <c r="AF425" s="82"/>
    </row>
    <row r="426" spans="1:32" ht="15" customHeight="1" x14ac:dyDescent="0.25">
      <c r="A426" s="45">
        <v>862</v>
      </c>
      <c r="B426" s="47"/>
      <c r="C426" s="46"/>
      <c r="D426" s="45" t="s">
        <v>2430</v>
      </c>
      <c r="E426" s="46" t="s">
        <v>7</v>
      </c>
      <c r="F426" s="87"/>
      <c r="G426" s="82"/>
      <c r="H426" s="82"/>
      <c r="I426" s="82" t="s">
        <v>554</v>
      </c>
      <c r="J426" s="82"/>
      <c r="K426" s="82"/>
      <c r="L426" s="82"/>
      <c r="M426" s="82"/>
      <c r="N426" s="82"/>
      <c r="O426" s="87" t="s">
        <v>7400</v>
      </c>
      <c r="P426" s="82" t="s">
        <v>657</v>
      </c>
      <c r="Q426" s="83">
        <f>VLOOKUP(TAB_ESTOQUE[[#This Row],[Codigo]],TAB_ENTRADA[[Cod_2_Entrada]:[TOTAL_ENTRADA]],5,FALSE)-VLOOKUP(TAB_ESTOQUE[[#This Row],[Codigo]],TAB_SAIDA[[COD_2_SAIDA]:[TOTAL_SAIDA]],5,FALSE)</f>
        <v>2</v>
      </c>
      <c r="R426" s="87"/>
      <c r="S426" s="87"/>
      <c r="T426" s="90">
        <v>20.48</v>
      </c>
      <c r="U426" s="91">
        <f>TAB_ESTOQUE[[#This Row],[Valor Unitario Estimado]]*TAB_ESTOQUE[[#This Row],[Estoque]]</f>
        <v>40.96</v>
      </c>
      <c r="V426" s="91"/>
      <c r="W426" s="85"/>
      <c r="X426" s="85"/>
      <c r="Y426" s="85"/>
      <c r="Z426" s="85"/>
      <c r="AA426" s="85"/>
      <c r="AB426" s="85" t="str">
        <f>IF(TAB_ESTOQUE[[#This Row],[Estoque]]=0,"Estoque Não Conforme",IF(TAB_ESTOQUE[[#This Row],[Estoque]]&gt;=TAB_ESTOQUE[[#This Row],[Mínimo]],"Estoque Conforme",IF(TAB_ESTOQUE[[#This Row],[Estoque]]&lt;TAB_ESTOQUE[[#This Row],[Mínimo]],"Estoque em Nivel Minimo")))</f>
        <v>Estoque Conforme</v>
      </c>
      <c r="AC426" s="85"/>
      <c r="AD426" s="82"/>
      <c r="AE426" s="82"/>
      <c r="AF426" s="82"/>
    </row>
    <row r="427" spans="1:32" ht="15" customHeight="1" x14ac:dyDescent="0.25">
      <c r="A427" s="45">
        <v>1227</v>
      </c>
      <c r="B427" s="47"/>
      <c r="C427" s="46" t="s">
        <v>2838</v>
      </c>
      <c r="D427" s="45" t="s">
        <v>2431</v>
      </c>
      <c r="E427" s="46" t="s">
        <v>1641</v>
      </c>
      <c r="F427" s="87"/>
      <c r="G427" s="82"/>
      <c r="H427" s="82"/>
      <c r="I427" s="82" t="s">
        <v>1654</v>
      </c>
      <c r="J427" s="82"/>
      <c r="K427" s="82"/>
      <c r="L427" s="82"/>
      <c r="M427" s="82"/>
      <c r="N427" s="82"/>
      <c r="O427" s="87" t="s">
        <v>7400</v>
      </c>
      <c r="P427" s="82" t="s">
        <v>657</v>
      </c>
      <c r="Q427" s="83">
        <f>VLOOKUP(TAB_ESTOQUE[[#This Row],[Codigo]],TAB_ENTRADA[[Cod_2_Entrada]:[TOTAL_ENTRADA]],5,FALSE)-VLOOKUP(TAB_ESTOQUE[[#This Row],[Codigo]],TAB_SAIDA[[COD_2_SAIDA]:[TOTAL_SAIDA]],5,FALSE)</f>
        <v>0</v>
      </c>
      <c r="R427" s="87"/>
      <c r="S427" s="87"/>
      <c r="T427" s="90">
        <v>218.75</v>
      </c>
      <c r="U427" s="91">
        <f>TAB_ESTOQUE[[#This Row],[Valor Unitario Estimado]]*TAB_ESTOQUE[[#This Row],[Estoque]]</f>
        <v>0</v>
      </c>
      <c r="V427" s="91"/>
      <c r="W427" s="85"/>
      <c r="X427" s="85"/>
      <c r="Y427" s="85"/>
      <c r="Z427" s="85"/>
      <c r="AA427" s="85"/>
      <c r="AB427" s="85" t="str">
        <f>IF(TAB_ESTOQUE[[#This Row],[Estoque]]=0,"Estoque Não Conforme",IF(TAB_ESTOQUE[[#This Row],[Estoque]]&gt;=TAB_ESTOQUE[[#This Row],[Mínimo]],"Estoque Conforme",IF(TAB_ESTOQUE[[#This Row],[Estoque]]&lt;TAB_ESTOQUE[[#This Row],[Mínimo]],"Estoque em Nivel Minimo")))</f>
        <v>Estoque Não Conforme</v>
      </c>
      <c r="AC427" s="85"/>
      <c r="AD427" s="82"/>
      <c r="AE427" s="82"/>
      <c r="AF427" s="82"/>
    </row>
    <row r="428" spans="1:32" ht="15" customHeight="1" x14ac:dyDescent="0.25">
      <c r="A428" s="45">
        <v>1292</v>
      </c>
      <c r="B428" s="47"/>
      <c r="C428" s="46"/>
      <c r="D428" s="45" t="s">
        <v>2432</v>
      </c>
      <c r="E428" s="46"/>
      <c r="F428" s="87"/>
      <c r="G428" s="82"/>
      <c r="H428" s="82"/>
      <c r="I428" s="82" t="s">
        <v>1655</v>
      </c>
      <c r="J428" s="82"/>
      <c r="K428" s="82"/>
      <c r="L428" s="82"/>
      <c r="M428" s="82"/>
      <c r="N428" s="82"/>
      <c r="O428" s="87" t="s">
        <v>7400</v>
      </c>
      <c r="P428" s="82" t="s">
        <v>1013</v>
      </c>
      <c r="Q428" s="83">
        <f>VLOOKUP(TAB_ESTOQUE[[#This Row],[Codigo]],TAB_ENTRADA[[Cod_2_Entrada]:[TOTAL_ENTRADA]],5,FALSE)-VLOOKUP(TAB_ESTOQUE[[#This Row],[Codigo]],TAB_SAIDA[[COD_2_SAIDA]:[TOTAL_SAIDA]],5,FALSE)</f>
        <v>0</v>
      </c>
      <c r="R428" s="87"/>
      <c r="S428" s="87"/>
      <c r="T428" s="90">
        <v>8.5</v>
      </c>
      <c r="U428" s="91">
        <f>TAB_ESTOQUE[[#This Row],[Valor Unitario Estimado]]*TAB_ESTOQUE[[#This Row],[Estoque]]</f>
        <v>0</v>
      </c>
      <c r="V428" s="91"/>
      <c r="W428" s="85"/>
      <c r="X428" s="85"/>
      <c r="Y428" s="85"/>
      <c r="Z428" s="85"/>
      <c r="AA428" s="85"/>
      <c r="AB428" s="85" t="str">
        <f>IF(TAB_ESTOQUE[[#This Row],[Estoque]]=0,"Estoque Não Conforme",IF(TAB_ESTOQUE[[#This Row],[Estoque]]&gt;=TAB_ESTOQUE[[#This Row],[Mínimo]],"Estoque Conforme",IF(TAB_ESTOQUE[[#This Row],[Estoque]]&lt;TAB_ESTOQUE[[#This Row],[Mínimo]],"Estoque em Nivel Minimo")))</f>
        <v>Estoque Não Conforme</v>
      </c>
      <c r="AC428" s="85"/>
      <c r="AD428" s="82"/>
      <c r="AE428" s="82"/>
      <c r="AF428" s="82"/>
    </row>
    <row r="429" spans="1:32" ht="15" customHeight="1" x14ac:dyDescent="0.25">
      <c r="A429" s="47">
        <v>1145</v>
      </c>
      <c r="B429" s="47"/>
      <c r="C429" s="51"/>
      <c r="D429" s="47" t="s">
        <v>2494</v>
      </c>
      <c r="E429" s="51" t="s">
        <v>736</v>
      </c>
      <c r="F429" s="107"/>
      <c r="G429" s="94"/>
      <c r="H429" s="94"/>
      <c r="I429" s="94" t="s">
        <v>7158</v>
      </c>
      <c r="J429" s="94"/>
      <c r="K429" s="94"/>
      <c r="L429" s="94"/>
      <c r="M429" s="94"/>
      <c r="N429" s="94"/>
      <c r="O429" s="107" t="s">
        <v>7400</v>
      </c>
      <c r="P429" s="94" t="s">
        <v>869</v>
      </c>
      <c r="Q429" s="145">
        <f>VLOOKUP(TAB_ESTOQUE[[#This Row],[Codigo]],TAB_ENTRADA[[Cod_2_Entrada]:[TOTAL_ENTRADA]],5,FALSE)-VLOOKUP(TAB_ESTOQUE[[#This Row],[Codigo]],TAB_SAIDA[[COD_2_SAIDA]:[TOTAL_SAIDA]],5,FALSE)</f>
        <v>31</v>
      </c>
      <c r="R429" s="107"/>
      <c r="S429" s="107"/>
      <c r="T429" s="108">
        <v>17.8</v>
      </c>
      <c r="U429" s="109">
        <f>TAB_ESTOQUE[[#This Row],[Valor Unitario Estimado]]*TAB_ESTOQUE[[#This Row],[Estoque]]</f>
        <v>551.80000000000007</v>
      </c>
      <c r="V429" s="109"/>
      <c r="W429" s="110"/>
      <c r="X429" s="110"/>
      <c r="Y429" s="110"/>
      <c r="Z429" s="110"/>
      <c r="AA429" s="110"/>
      <c r="AB429" s="110" t="str">
        <f>IF(TAB_ESTOQUE[[#This Row],[Estoque]]=0,"Estoque Não Conforme",IF(TAB_ESTOQUE[[#This Row],[Estoque]]&gt;=TAB_ESTOQUE[[#This Row],[Mínimo]],"Estoque Conforme",IF(TAB_ESTOQUE[[#This Row],[Estoque]]&lt;TAB_ESTOQUE[[#This Row],[Mínimo]],"Estoque em Nivel Minimo")))</f>
        <v>Estoque Conforme</v>
      </c>
      <c r="AC429" s="110"/>
      <c r="AD429" s="94"/>
      <c r="AE429" s="82"/>
      <c r="AF429" s="82"/>
    </row>
    <row r="430" spans="1:32" ht="15" customHeight="1" x14ac:dyDescent="0.25">
      <c r="A430" s="106">
        <v>1228</v>
      </c>
      <c r="B430" s="106"/>
      <c r="C430" s="116"/>
      <c r="D430" s="106" t="s">
        <v>2495</v>
      </c>
      <c r="E430" s="116" t="s">
        <v>736</v>
      </c>
      <c r="F430" s="118"/>
      <c r="G430" s="95"/>
      <c r="H430" s="95"/>
      <c r="I430" s="95" t="s">
        <v>1653</v>
      </c>
      <c r="J430" s="95"/>
      <c r="K430" s="95" t="s">
        <v>942</v>
      </c>
      <c r="L430" s="95"/>
      <c r="M430" s="95"/>
      <c r="N430" s="95"/>
      <c r="O430" s="118" t="s">
        <v>7400</v>
      </c>
      <c r="P430" s="95" t="s">
        <v>941</v>
      </c>
      <c r="Q430" s="154">
        <f>VLOOKUP(TAB_ESTOQUE[[#This Row],[Codigo]],TAB_ENTRADA[[Cod_2_Entrada]:[TOTAL_ENTRADA]],5,FALSE)-VLOOKUP(TAB_ESTOQUE[[#This Row],[Codigo]],TAB_SAIDA[[COD_2_SAIDA]:[TOTAL_SAIDA]],5,FALSE)</f>
        <v>0</v>
      </c>
      <c r="R430" s="118"/>
      <c r="S430" s="118"/>
      <c r="T430" s="119">
        <v>26.31</v>
      </c>
      <c r="U430" s="112">
        <f>TAB_ESTOQUE[[#This Row],[Valor Unitario Estimado]]*TAB_ESTOQUE[[#This Row],[Estoque]]</f>
        <v>0</v>
      </c>
      <c r="V430" s="112"/>
      <c r="W430" s="120"/>
      <c r="X430" s="120"/>
      <c r="Y430" s="120"/>
      <c r="Z430" s="120"/>
      <c r="AA430" s="120"/>
      <c r="AB430" s="120" t="str">
        <f>IF(TAB_ESTOQUE[[#This Row],[Estoque]]=0,"Estoque Não Conforme",IF(TAB_ESTOQUE[[#This Row],[Estoque]]&gt;=TAB_ESTOQUE[[#This Row],[Mínimo]],"Estoque Conforme",IF(TAB_ESTOQUE[[#This Row],[Estoque]]&lt;TAB_ESTOQUE[[#This Row],[Mínimo]],"Estoque em Nivel Minimo")))</f>
        <v>Estoque Não Conforme</v>
      </c>
      <c r="AC430" s="120"/>
      <c r="AD430" s="95"/>
      <c r="AE430" s="82"/>
      <c r="AF430" s="82"/>
    </row>
    <row r="431" spans="1:32" ht="15" customHeight="1" x14ac:dyDescent="0.25">
      <c r="A431" s="161">
        <v>856</v>
      </c>
      <c r="B431" s="161"/>
      <c r="C431" s="169"/>
      <c r="D431" s="161" t="s">
        <v>2496</v>
      </c>
      <c r="E431" s="169" t="s">
        <v>736</v>
      </c>
      <c r="F431" s="172"/>
      <c r="G431" s="170"/>
      <c r="H431" s="170"/>
      <c r="I431" s="170" t="s">
        <v>2899</v>
      </c>
      <c r="J431" s="170"/>
      <c r="K431" s="170"/>
      <c r="L431" s="170"/>
      <c r="M431" s="170"/>
      <c r="N431" s="170"/>
      <c r="O431" s="172" t="s">
        <v>7400</v>
      </c>
      <c r="P431" s="170" t="s">
        <v>648</v>
      </c>
      <c r="Q431" s="171">
        <f>VLOOKUP(TAB_ESTOQUE[[#This Row],[Codigo]],TAB_ENTRADA[[Cod_2_Entrada]:[TOTAL_ENTRADA]],5,FALSE)-VLOOKUP(TAB_ESTOQUE[[#This Row],[Codigo]],TAB_SAIDA[[COD_2_SAIDA]:[TOTAL_SAIDA]],5,FALSE)</f>
        <v>0</v>
      </c>
      <c r="R431" s="172"/>
      <c r="S431" s="172"/>
      <c r="T431" s="173">
        <v>20</v>
      </c>
      <c r="U431" s="174">
        <f>TAB_ESTOQUE[[#This Row],[Valor Unitario Estimado]]*TAB_ESTOQUE[[#This Row],[Estoque]]</f>
        <v>0</v>
      </c>
      <c r="V431" s="174"/>
      <c r="W431" s="175"/>
      <c r="X431" s="175"/>
      <c r="Y431" s="175"/>
      <c r="Z431" s="175"/>
      <c r="AA431" s="175"/>
      <c r="AB431" s="175" t="str">
        <f>IF(TAB_ESTOQUE[[#This Row],[Estoque]]=0,"Estoque Não Conforme",IF(TAB_ESTOQUE[[#This Row],[Estoque]]&gt;=TAB_ESTOQUE[[#This Row],[Mínimo]],"Estoque Conforme",IF(TAB_ESTOQUE[[#This Row],[Estoque]]&lt;TAB_ESTOQUE[[#This Row],[Mínimo]],"Estoque em Nivel Minimo")))</f>
        <v>Estoque Não Conforme</v>
      </c>
      <c r="AC431" s="175"/>
      <c r="AD431" s="170"/>
      <c r="AE431" s="82"/>
      <c r="AF431" s="82"/>
    </row>
    <row r="432" spans="1:32" ht="15" customHeight="1" x14ac:dyDescent="0.25">
      <c r="A432" s="106">
        <v>860</v>
      </c>
      <c r="B432" s="106"/>
      <c r="C432" s="116" t="s">
        <v>2838</v>
      </c>
      <c r="D432" s="106" t="s">
        <v>2497</v>
      </c>
      <c r="E432" s="116" t="s">
        <v>1641</v>
      </c>
      <c r="F432" s="118"/>
      <c r="G432" s="95"/>
      <c r="H432" s="95"/>
      <c r="I432" s="95" t="s">
        <v>2900</v>
      </c>
      <c r="J432" s="95"/>
      <c r="K432" s="95"/>
      <c r="L432" s="95"/>
      <c r="M432" s="95"/>
      <c r="N432" s="95"/>
      <c r="O432" s="118" t="s">
        <v>7400</v>
      </c>
      <c r="P432" s="95" t="s">
        <v>655</v>
      </c>
      <c r="Q432" s="154">
        <f>VLOOKUP(TAB_ESTOQUE[[#This Row],[Codigo]],TAB_ENTRADA[[Cod_2_Entrada]:[TOTAL_ENTRADA]],5,FALSE)-VLOOKUP(TAB_ESTOQUE[[#This Row],[Codigo]],TAB_SAIDA[[COD_2_SAIDA]:[TOTAL_SAIDA]],5,FALSE)</f>
        <v>10</v>
      </c>
      <c r="R432" s="118"/>
      <c r="S432" s="118"/>
      <c r="T432" s="119">
        <v>19.8</v>
      </c>
      <c r="U432" s="112">
        <f>TAB_ESTOQUE[[#This Row],[Valor Unitario Estimado]]*TAB_ESTOQUE[[#This Row],[Estoque]]</f>
        <v>198</v>
      </c>
      <c r="V432" s="112"/>
      <c r="W432" s="120"/>
      <c r="X432" s="120"/>
      <c r="Y432" s="120"/>
      <c r="Z432" s="120"/>
      <c r="AA432" s="120"/>
      <c r="AB432" s="120" t="str">
        <f>IF(TAB_ESTOQUE[[#This Row],[Estoque]]=0,"Estoque Não Conforme",IF(TAB_ESTOQUE[[#This Row],[Estoque]]&gt;=TAB_ESTOQUE[[#This Row],[Mínimo]],"Estoque Conforme",IF(TAB_ESTOQUE[[#This Row],[Estoque]]&lt;TAB_ESTOQUE[[#This Row],[Mínimo]],"Estoque em Nivel Minimo")))</f>
        <v>Estoque Conforme</v>
      </c>
      <c r="AC432" s="120"/>
      <c r="AD432" s="95"/>
      <c r="AE432" s="82"/>
      <c r="AF432" s="82"/>
    </row>
    <row r="433" spans="1:32" ht="15" customHeight="1" x14ac:dyDescent="0.25">
      <c r="A433" s="45">
        <v>857</v>
      </c>
      <c r="B433" s="47"/>
      <c r="C433" s="46"/>
      <c r="D433" s="45" t="s">
        <v>2498</v>
      </c>
      <c r="E433" s="46" t="s">
        <v>736</v>
      </c>
      <c r="F433" s="87"/>
      <c r="G433" s="82"/>
      <c r="H433" s="82"/>
      <c r="I433" s="82" t="s">
        <v>1652</v>
      </c>
      <c r="J433" s="82"/>
      <c r="K433" s="82"/>
      <c r="L433" s="82"/>
      <c r="M433" s="82"/>
      <c r="N433" s="82"/>
      <c r="O433" s="87" t="s">
        <v>7400</v>
      </c>
      <c r="P433" s="82" t="s">
        <v>650</v>
      </c>
      <c r="Q433" s="83">
        <f>VLOOKUP(TAB_ESTOQUE[[#This Row],[Codigo]],TAB_ENTRADA[[Cod_2_Entrada]:[TOTAL_ENTRADA]],5,FALSE)-VLOOKUP(TAB_ESTOQUE[[#This Row],[Codigo]],TAB_SAIDA[[COD_2_SAIDA]:[TOTAL_SAIDA]],5,FALSE)</f>
        <v>0</v>
      </c>
      <c r="R433" s="87"/>
      <c r="S433" s="87"/>
      <c r="T433" s="90">
        <v>35</v>
      </c>
      <c r="U433" s="91">
        <f>TAB_ESTOQUE[[#This Row],[Valor Unitario Estimado]]*TAB_ESTOQUE[[#This Row],[Estoque]]</f>
        <v>0</v>
      </c>
      <c r="V433" s="91"/>
      <c r="W433" s="85"/>
      <c r="X433" s="85"/>
      <c r="Y433" s="85"/>
      <c r="Z433" s="85"/>
      <c r="AA433" s="85"/>
      <c r="AB433" s="85" t="str">
        <f>IF(TAB_ESTOQUE[[#This Row],[Estoque]]=0,"Estoque Não Conforme",IF(TAB_ESTOQUE[[#This Row],[Estoque]]&gt;=TAB_ESTOQUE[[#This Row],[Mínimo]],"Estoque Conforme",IF(TAB_ESTOQUE[[#This Row],[Estoque]]&lt;TAB_ESTOQUE[[#This Row],[Mínimo]],"Estoque em Nivel Minimo")))</f>
        <v>Estoque Não Conforme</v>
      </c>
      <c r="AC433" s="85"/>
      <c r="AD433" s="82"/>
      <c r="AE433" s="82"/>
      <c r="AF433" s="82"/>
    </row>
    <row r="434" spans="1:32" ht="15" customHeight="1" x14ac:dyDescent="0.25">
      <c r="A434" s="45">
        <v>858</v>
      </c>
      <c r="B434" s="47"/>
      <c r="C434" s="46"/>
      <c r="D434" s="45" t="s">
        <v>2499</v>
      </c>
      <c r="E434" s="46" t="s">
        <v>7</v>
      </c>
      <c r="F434" s="87"/>
      <c r="G434" s="82"/>
      <c r="H434" s="82"/>
      <c r="I434" s="82" t="s">
        <v>6516</v>
      </c>
      <c r="J434" s="82"/>
      <c r="K434" s="82"/>
      <c r="L434" s="82"/>
      <c r="M434" s="82"/>
      <c r="N434" s="82"/>
      <c r="O434" s="87" t="s">
        <v>7400</v>
      </c>
      <c r="P434" s="82" t="s">
        <v>651</v>
      </c>
      <c r="Q434" s="83">
        <f>VLOOKUP(TAB_ESTOQUE[[#This Row],[Codigo]],TAB_ENTRADA[[Cod_2_Entrada]:[TOTAL_ENTRADA]],5,FALSE)-VLOOKUP(TAB_ESTOQUE[[#This Row],[Codigo]],TAB_SAIDA[[COD_2_SAIDA]:[TOTAL_SAIDA]],5,FALSE)</f>
        <v>11</v>
      </c>
      <c r="R434" s="87"/>
      <c r="S434" s="87"/>
      <c r="T434" s="90">
        <v>36.4</v>
      </c>
      <c r="U434" s="91">
        <f>TAB_ESTOQUE[[#This Row],[Valor Unitario Estimado]]*TAB_ESTOQUE[[#This Row],[Estoque]]</f>
        <v>400.4</v>
      </c>
      <c r="V434" s="91"/>
      <c r="W434" s="85"/>
      <c r="X434" s="85"/>
      <c r="Y434" s="85"/>
      <c r="Z434" s="85"/>
      <c r="AA434" s="85"/>
      <c r="AB434" s="85" t="str">
        <f>IF(TAB_ESTOQUE[[#This Row],[Estoque]]=0,"Estoque Não Conforme",IF(TAB_ESTOQUE[[#This Row],[Estoque]]&gt;=TAB_ESTOQUE[[#This Row],[Mínimo]],"Estoque Conforme",IF(TAB_ESTOQUE[[#This Row],[Estoque]]&lt;TAB_ESTOQUE[[#This Row],[Mínimo]],"Estoque em Nivel Minimo")))</f>
        <v>Estoque Conforme</v>
      </c>
      <c r="AC434" s="85"/>
      <c r="AD434" s="82"/>
      <c r="AE434" s="82"/>
      <c r="AF434" s="82"/>
    </row>
    <row r="435" spans="1:32" ht="15" customHeight="1" x14ac:dyDescent="0.25">
      <c r="A435" s="45">
        <v>758</v>
      </c>
      <c r="B435" s="47"/>
      <c r="C435" s="46"/>
      <c r="D435" s="45" t="s">
        <v>2501</v>
      </c>
      <c r="E435" s="46" t="s">
        <v>8</v>
      </c>
      <c r="F435" s="87"/>
      <c r="G435" s="82"/>
      <c r="H435" s="82"/>
      <c r="I435" s="82" t="s">
        <v>1651</v>
      </c>
      <c r="J435" s="82"/>
      <c r="K435" s="82"/>
      <c r="L435" s="82"/>
      <c r="M435" s="82"/>
      <c r="N435" s="82"/>
      <c r="O435" s="87" t="s">
        <v>7400</v>
      </c>
      <c r="P435" s="82" t="s">
        <v>553</v>
      </c>
      <c r="Q435" s="83">
        <f>VLOOKUP(TAB_ESTOQUE[[#This Row],[Codigo]],TAB_ENTRADA[[Cod_2_Entrada]:[TOTAL_ENTRADA]],5,FALSE)-VLOOKUP(TAB_ESTOQUE[[#This Row],[Codigo]],TAB_SAIDA[[COD_2_SAIDA]:[TOTAL_SAIDA]],5,FALSE)</f>
        <v>33</v>
      </c>
      <c r="R435" s="87"/>
      <c r="S435" s="87"/>
      <c r="T435" s="90">
        <v>30.9</v>
      </c>
      <c r="U435" s="91">
        <f>TAB_ESTOQUE[[#This Row],[Valor Unitario Estimado]]*TAB_ESTOQUE[[#This Row],[Estoque]]</f>
        <v>1019.6999999999999</v>
      </c>
      <c r="V435" s="91"/>
      <c r="W435" s="85"/>
      <c r="X435" s="85"/>
      <c r="Y435" s="85"/>
      <c r="Z435" s="85"/>
      <c r="AA435" s="85"/>
      <c r="AB435" s="85" t="str">
        <f>IF(TAB_ESTOQUE[[#This Row],[Estoque]]=0,"Estoque Não Conforme",IF(TAB_ESTOQUE[[#This Row],[Estoque]]&gt;=TAB_ESTOQUE[[#This Row],[Mínimo]],"Estoque Conforme",IF(TAB_ESTOQUE[[#This Row],[Estoque]]&lt;TAB_ESTOQUE[[#This Row],[Mínimo]],"Estoque em Nivel Minimo")))</f>
        <v>Estoque Conforme</v>
      </c>
      <c r="AC435" s="85"/>
      <c r="AD435" s="82"/>
      <c r="AE435" s="82"/>
      <c r="AF435" s="82"/>
    </row>
    <row r="436" spans="1:32" ht="15" customHeight="1" x14ac:dyDescent="0.25">
      <c r="A436" s="45">
        <v>1092</v>
      </c>
      <c r="B436" s="47"/>
      <c r="C436" s="46"/>
      <c r="D436" s="45" t="s">
        <v>2573</v>
      </c>
      <c r="E436" s="46"/>
      <c r="F436" s="87"/>
      <c r="G436" s="82"/>
      <c r="H436" s="82"/>
      <c r="I436" s="82" t="s">
        <v>1238</v>
      </c>
      <c r="J436" s="82"/>
      <c r="K436" s="82"/>
      <c r="L436" s="82"/>
      <c r="M436" s="82"/>
      <c r="N436" s="82"/>
      <c r="O436" s="87" t="s">
        <v>7400</v>
      </c>
      <c r="P436" s="82" t="s">
        <v>825</v>
      </c>
      <c r="Q436" s="83">
        <f>VLOOKUP(TAB_ESTOQUE[[#This Row],[Codigo]],TAB_ENTRADA[[Cod_2_Entrada]:[TOTAL_ENTRADA]],5,FALSE)-VLOOKUP(TAB_ESTOQUE[[#This Row],[Codigo]],TAB_SAIDA[[COD_2_SAIDA]:[TOTAL_SAIDA]],5,FALSE)</f>
        <v>2</v>
      </c>
      <c r="R436" s="87"/>
      <c r="S436" s="87"/>
      <c r="T436" s="90">
        <v>99.9</v>
      </c>
      <c r="U436" s="91">
        <f>TAB_ESTOQUE[[#This Row],[Valor Unitario Estimado]]*TAB_ESTOQUE[[#This Row],[Estoque]]</f>
        <v>199.8</v>
      </c>
      <c r="V436" s="91"/>
      <c r="W436" s="85"/>
      <c r="X436" s="85"/>
      <c r="Y436" s="85"/>
      <c r="Z436" s="85"/>
      <c r="AA436" s="85"/>
      <c r="AB436" s="85" t="str">
        <f>IF(TAB_ESTOQUE[[#This Row],[Estoque]]=0,"Estoque Não Conforme",IF(TAB_ESTOQUE[[#This Row],[Estoque]]&gt;=TAB_ESTOQUE[[#This Row],[Mínimo]],"Estoque Conforme",IF(TAB_ESTOQUE[[#This Row],[Estoque]]&lt;TAB_ESTOQUE[[#This Row],[Mínimo]],"Estoque em Nivel Minimo")))</f>
        <v>Estoque Conforme</v>
      </c>
      <c r="AC436" s="85"/>
      <c r="AD436" s="82"/>
      <c r="AE436" s="82"/>
      <c r="AF436" s="82"/>
    </row>
    <row r="437" spans="1:32" ht="15" customHeight="1" x14ac:dyDescent="0.25">
      <c r="B437" s="47"/>
      <c r="C437" s="46" t="s">
        <v>2842</v>
      </c>
      <c r="D437" s="45" t="s">
        <v>2667</v>
      </c>
      <c r="E437" s="46"/>
      <c r="F437" s="87"/>
      <c r="G437" s="82"/>
      <c r="H437" s="82"/>
      <c r="I437" s="82" t="s">
        <v>1346</v>
      </c>
      <c r="J437" s="82"/>
      <c r="K437" s="82"/>
      <c r="L437" s="82"/>
      <c r="M437" s="82"/>
      <c r="N437" s="82"/>
      <c r="O437" s="87" t="s">
        <v>7400</v>
      </c>
      <c r="P437" s="82" t="s">
        <v>1264</v>
      </c>
      <c r="Q437" s="83">
        <f>VLOOKUP(TAB_ESTOQUE[[#This Row],[Codigo]],TAB_ENTRADA[[Cod_2_Entrada]:[TOTAL_ENTRADA]],5,FALSE)-VLOOKUP(TAB_ESTOQUE[[#This Row],[Codigo]],TAB_SAIDA[[COD_2_SAIDA]:[TOTAL_SAIDA]],5,FALSE)</f>
        <v>0</v>
      </c>
      <c r="R437" s="87"/>
      <c r="S437" s="87"/>
      <c r="T437" s="90"/>
      <c r="U437" s="91">
        <f>TAB_ESTOQUE[[#This Row],[Valor Unitario Estimado]]*TAB_ESTOQUE[[#This Row],[Estoque]]</f>
        <v>0</v>
      </c>
      <c r="V437" s="91"/>
      <c r="W437" s="85"/>
      <c r="X437" s="85"/>
      <c r="Y437" s="85"/>
      <c r="Z437" s="85"/>
      <c r="AA437" s="85"/>
      <c r="AB437" s="96" t="str">
        <f>IF(TAB_ESTOQUE[[#This Row],[Estoque]]=0,"Estoque Não Conforme",IF(TAB_ESTOQUE[[#This Row],[Estoque]]&gt;=TAB_ESTOQUE[[#This Row],[Mínimo]],"Estoque Conforme",IF(TAB_ESTOQUE[[#This Row],[Estoque]]&lt;TAB_ESTOQUE[[#This Row],[Mínimo]],"Estoque em Nivel Minimo")))</f>
        <v>Estoque Não Conforme</v>
      </c>
      <c r="AC437" s="85"/>
      <c r="AD437" s="82"/>
      <c r="AE437" s="82"/>
      <c r="AF437" s="82"/>
    </row>
    <row r="438" spans="1:32" ht="15" customHeight="1" x14ac:dyDescent="0.25">
      <c r="B438" s="47"/>
      <c r="C438" s="46"/>
      <c r="D438" s="45" t="s">
        <v>2682</v>
      </c>
      <c r="E438" s="46"/>
      <c r="F438" s="87"/>
      <c r="G438" s="82"/>
      <c r="H438" s="82"/>
      <c r="I438" s="82" t="s">
        <v>1483</v>
      </c>
      <c r="J438" s="82"/>
      <c r="K438" s="82"/>
      <c r="L438" s="82"/>
      <c r="M438" s="82"/>
      <c r="N438" s="82"/>
      <c r="O438" s="87" t="s">
        <v>7400</v>
      </c>
      <c r="P438" s="82" t="s">
        <v>1284</v>
      </c>
      <c r="Q438" s="83">
        <f>VLOOKUP(TAB_ESTOQUE[[#This Row],[Codigo]],TAB_ENTRADA[[Cod_2_Entrada]:[TOTAL_ENTRADA]],5,FALSE)-VLOOKUP(TAB_ESTOQUE[[#This Row],[Codigo]],TAB_SAIDA[[COD_2_SAIDA]:[TOTAL_SAIDA]],5,FALSE)</f>
        <v>0</v>
      </c>
      <c r="R438" s="87"/>
      <c r="S438" s="87"/>
      <c r="T438" s="90">
        <v>25</v>
      </c>
      <c r="U438" s="91">
        <f>TAB_ESTOQUE[[#This Row],[Valor Unitario Estimado]]*TAB_ESTOQUE[[#This Row],[Estoque]]</f>
        <v>0</v>
      </c>
      <c r="V438" s="91"/>
      <c r="W438" s="85"/>
      <c r="X438" s="85"/>
      <c r="Y438" s="85"/>
      <c r="Z438" s="85"/>
      <c r="AA438" s="85"/>
      <c r="AB438" s="96" t="str">
        <f>IF(TAB_ESTOQUE[[#This Row],[Estoque]]=0,"Estoque Não Conforme",IF(TAB_ESTOQUE[[#This Row],[Estoque]]&gt;=TAB_ESTOQUE[[#This Row],[Mínimo]],"Estoque Conforme",IF(TAB_ESTOQUE[[#This Row],[Estoque]]&lt;TAB_ESTOQUE[[#This Row],[Mínimo]],"Estoque em Nivel Minimo")))</f>
        <v>Estoque Não Conforme</v>
      </c>
      <c r="AC438" s="85"/>
      <c r="AD438" s="82"/>
      <c r="AE438" s="82"/>
      <c r="AF438" s="82"/>
    </row>
    <row r="439" spans="1:32" ht="15" customHeight="1" x14ac:dyDescent="0.25">
      <c r="C439" s="48"/>
      <c r="D439" s="45" t="s">
        <v>7124</v>
      </c>
      <c r="E439" s="46" t="s">
        <v>7638</v>
      </c>
      <c r="F439" s="46"/>
      <c r="I439" s="45" t="s">
        <v>7640</v>
      </c>
      <c r="O439" s="46" t="s">
        <v>6738</v>
      </c>
      <c r="Q439" s="137">
        <f>VLOOKUP(TAB_ESTOQUE[[#This Row],[Codigo]],TAB_ENTRADA[[Cod_2_Entrada]:[TOTAL_ENTRADA]],5,FALSE)-VLOOKUP(TAB_ESTOQUE[[#This Row],[Codigo]],TAB_SAIDA[[COD_2_SAIDA]:[TOTAL_SAIDA]],5,FALSE)</f>
        <v>9</v>
      </c>
      <c r="S439" s="46"/>
      <c r="T439" s="102">
        <v>311</v>
      </c>
      <c r="U439" s="103">
        <f>TAB_ESTOQUE[[#This Row],[Valor Unitario Estimado]]*TAB_ESTOQUE[[#This Row],[Estoque]]</f>
        <v>2799</v>
      </c>
      <c r="V439" s="103"/>
      <c r="AA439" s="138"/>
      <c r="AB439" s="104" t="str">
        <f>IF(TAB_ESTOQUE[[#This Row],[Estoque]]=0,"Estoque Não Conforme",IF(TAB_ESTOQUE[[#This Row],[Estoque]]&gt;=TAB_ESTOQUE[[#This Row],[Mínimo]],"Estoque Conforme",IF(TAB_ESTOQUE[[#This Row],[Estoque]]&lt;TAB_ESTOQUE[[#This Row],[Mínimo]],"Estoque em Nivel Minimo")))</f>
        <v>Estoque Conforme</v>
      </c>
      <c r="AC439" s="104"/>
      <c r="AE439" s="82"/>
      <c r="AF439" s="82"/>
    </row>
    <row r="440" spans="1:32" ht="15" customHeight="1" x14ac:dyDescent="0.25">
      <c r="C440" s="48"/>
      <c r="D440" s="45" t="s">
        <v>7130</v>
      </c>
      <c r="E440" s="46" t="s">
        <v>7638</v>
      </c>
      <c r="F440" s="46"/>
      <c r="I440" s="183" t="s">
        <v>7641</v>
      </c>
      <c r="O440" s="46" t="s">
        <v>6738</v>
      </c>
      <c r="Q440" s="137">
        <f>VLOOKUP(TAB_ESTOQUE[[#This Row],[Codigo]],TAB_ENTRADA[[Cod_2_Entrada]:[TOTAL_ENTRADA]],5,FALSE)-VLOOKUP(TAB_ESTOQUE[[#This Row],[Codigo]],TAB_SAIDA[[COD_2_SAIDA]:[TOTAL_SAIDA]],5,FALSE)</f>
        <v>13</v>
      </c>
      <c r="S440" s="46"/>
      <c r="T440" s="102">
        <v>246.86</v>
      </c>
      <c r="U440" s="103">
        <f>TAB_ESTOQUE[[#This Row],[Valor Unitario Estimado]]*TAB_ESTOQUE[[#This Row],[Estoque]]</f>
        <v>3209.1800000000003</v>
      </c>
      <c r="V440" s="103"/>
      <c r="AA440" s="138"/>
      <c r="AB440" s="104" t="str">
        <f>IF(TAB_ESTOQUE[[#This Row],[Estoque]]=0,"Estoque Não Conforme",IF(TAB_ESTOQUE[[#This Row],[Estoque]]&gt;=TAB_ESTOQUE[[#This Row],[Mínimo]],"Estoque Conforme",IF(TAB_ESTOQUE[[#This Row],[Estoque]]&lt;TAB_ESTOQUE[[#This Row],[Mínimo]],"Estoque em Nivel Minimo")))</f>
        <v>Estoque Conforme</v>
      </c>
      <c r="AC440" s="104"/>
      <c r="AE440" s="82"/>
      <c r="AF440" s="82"/>
    </row>
    <row r="441" spans="1:32" ht="15" customHeight="1" x14ac:dyDescent="0.25">
      <c r="C441" s="48"/>
      <c r="D441" s="45" t="s">
        <v>7131</v>
      </c>
      <c r="E441" s="46" t="s">
        <v>7638</v>
      </c>
      <c r="F441" s="46"/>
      <c r="I441" s="45" t="s">
        <v>7642</v>
      </c>
      <c r="O441" s="46" t="s">
        <v>6738</v>
      </c>
      <c r="Q441" s="137">
        <f>VLOOKUP(TAB_ESTOQUE[[#This Row],[Codigo]],TAB_ENTRADA[[Cod_2_Entrada]:[TOTAL_ENTRADA]],5,FALSE)-VLOOKUP(TAB_ESTOQUE[[#This Row],[Codigo]],TAB_SAIDA[[COD_2_SAIDA]:[TOTAL_SAIDA]],5,FALSE)</f>
        <v>0</v>
      </c>
      <c r="S441" s="46"/>
      <c r="T441" s="102">
        <v>215.7</v>
      </c>
      <c r="U441" s="103">
        <f>TAB_ESTOQUE[[#This Row],[Valor Unitario Estimado]]*TAB_ESTOQUE[[#This Row],[Estoque]]</f>
        <v>0</v>
      </c>
      <c r="V441" s="103"/>
      <c r="AA441" s="138"/>
      <c r="AB441" s="104" t="str">
        <f>IF(TAB_ESTOQUE[[#This Row],[Estoque]]=0,"Estoque Não Conforme",IF(TAB_ESTOQUE[[#This Row],[Estoque]]&gt;=TAB_ESTOQUE[[#This Row],[Mínimo]],"Estoque Conforme",IF(TAB_ESTOQUE[[#This Row],[Estoque]]&lt;TAB_ESTOQUE[[#This Row],[Mínimo]],"Estoque em Nivel Minimo")))</f>
        <v>Estoque Não Conforme</v>
      </c>
      <c r="AC441" s="104"/>
      <c r="AE441" s="82"/>
      <c r="AF441" s="82"/>
    </row>
    <row r="442" spans="1:32" ht="15" customHeight="1" x14ac:dyDescent="0.25">
      <c r="C442" s="48"/>
      <c r="D442" s="45" t="s">
        <v>7132</v>
      </c>
      <c r="E442" s="46" t="s">
        <v>7638</v>
      </c>
      <c r="F442" s="46"/>
      <c r="I442" s="45" t="s">
        <v>7643</v>
      </c>
      <c r="O442" s="46" t="s">
        <v>6738</v>
      </c>
      <c r="Q442" s="137">
        <f>VLOOKUP(TAB_ESTOQUE[[#This Row],[Codigo]],TAB_ENTRADA[[Cod_2_Entrada]:[TOTAL_ENTRADA]],5,FALSE)-VLOOKUP(TAB_ESTOQUE[[#This Row],[Codigo]],TAB_SAIDA[[COD_2_SAIDA]:[TOTAL_SAIDA]],5,FALSE)</f>
        <v>0</v>
      </c>
      <c r="S442" s="46"/>
      <c r="T442" s="102">
        <v>943.43</v>
      </c>
      <c r="U442" s="103">
        <f>TAB_ESTOQUE[[#This Row],[Valor Unitario Estimado]]*TAB_ESTOQUE[[#This Row],[Estoque]]</f>
        <v>0</v>
      </c>
      <c r="V442" s="103"/>
      <c r="AA442" s="138"/>
      <c r="AB442" s="104" t="str">
        <f>IF(TAB_ESTOQUE[[#This Row],[Estoque]]=0,"Estoque Não Conforme",IF(TAB_ESTOQUE[[#This Row],[Estoque]]&gt;=TAB_ESTOQUE[[#This Row],[Mínimo]],"Estoque Conforme",IF(TAB_ESTOQUE[[#This Row],[Estoque]]&lt;TAB_ESTOQUE[[#This Row],[Mínimo]],"Estoque em Nivel Minimo")))</f>
        <v>Estoque Não Conforme</v>
      </c>
      <c r="AC442" s="104"/>
      <c r="AE442" s="82"/>
      <c r="AF442" s="82"/>
    </row>
    <row r="443" spans="1:32" ht="15" customHeight="1" x14ac:dyDescent="0.25">
      <c r="C443" s="48"/>
      <c r="D443" s="45" t="s">
        <v>7133</v>
      </c>
      <c r="E443" s="46" t="s">
        <v>7638</v>
      </c>
      <c r="F443" s="46"/>
      <c r="I443" s="45" t="s">
        <v>7644</v>
      </c>
      <c r="O443" s="46" t="s">
        <v>6738</v>
      </c>
      <c r="Q443" s="137">
        <f>VLOOKUP(TAB_ESTOQUE[[#This Row],[Codigo]],TAB_ENTRADA[[Cod_2_Entrada]:[TOTAL_ENTRADA]],5,FALSE)-VLOOKUP(TAB_ESTOQUE[[#This Row],[Codigo]],TAB_SAIDA[[COD_2_SAIDA]:[TOTAL_SAIDA]],5,FALSE)</f>
        <v>8</v>
      </c>
      <c r="S443" s="46"/>
      <c r="T443" s="102">
        <v>845.92</v>
      </c>
      <c r="U443" s="103">
        <f>TAB_ESTOQUE[[#This Row],[Valor Unitario Estimado]]*TAB_ESTOQUE[[#This Row],[Estoque]]</f>
        <v>6767.36</v>
      </c>
      <c r="V443" s="103"/>
      <c r="AA443" s="138"/>
      <c r="AB443" s="104" t="str">
        <f>IF(TAB_ESTOQUE[[#This Row],[Estoque]]=0,"Estoque Não Conforme",IF(TAB_ESTOQUE[[#This Row],[Estoque]]&gt;=TAB_ESTOQUE[[#This Row],[Mínimo]],"Estoque Conforme",IF(TAB_ESTOQUE[[#This Row],[Estoque]]&lt;TAB_ESTOQUE[[#This Row],[Mínimo]],"Estoque em Nivel Minimo")))</f>
        <v>Estoque Conforme</v>
      </c>
      <c r="AC443" s="104"/>
      <c r="AE443" s="82"/>
      <c r="AF443" s="82"/>
    </row>
    <row r="444" spans="1:32" ht="15" customHeight="1" x14ac:dyDescent="0.25">
      <c r="C444" s="48"/>
      <c r="D444" s="45" t="s">
        <v>7134</v>
      </c>
      <c r="E444" s="46" t="s">
        <v>7638</v>
      </c>
      <c r="F444" s="46"/>
      <c r="I444" s="45" t="s">
        <v>7661</v>
      </c>
      <c r="O444" s="46" t="s">
        <v>6738</v>
      </c>
      <c r="Q444" s="137">
        <f>VLOOKUP(TAB_ESTOQUE[[#This Row],[Codigo]],TAB_ENTRADA[[Cod_2_Entrada]:[TOTAL_ENTRADA]],5,FALSE)-VLOOKUP(TAB_ESTOQUE[[#This Row],[Codigo]],TAB_SAIDA[[COD_2_SAIDA]:[TOTAL_SAIDA]],5,FALSE)</f>
        <v>2</v>
      </c>
      <c r="S444" s="46"/>
      <c r="T444" s="102">
        <v>5.98</v>
      </c>
      <c r="U444" s="103">
        <f>TAB_ESTOQUE[[#This Row],[Valor Unitario Estimado]]*TAB_ESTOQUE[[#This Row],[Estoque]]</f>
        <v>11.96</v>
      </c>
      <c r="V444" s="103"/>
      <c r="AA444" s="138"/>
      <c r="AB444" s="104" t="str">
        <f>IF(TAB_ESTOQUE[[#This Row],[Estoque]]=0,"Estoque Não Conforme",IF(TAB_ESTOQUE[[#This Row],[Estoque]]&gt;=TAB_ESTOQUE[[#This Row],[Mínimo]],"Estoque Conforme",IF(TAB_ESTOQUE[[#This Row],[Estoque]]&lt;TAB_ESTOQUE[[#This Row],[Mínimo]],"Estoque em Nivel Minimo")))</f>
        <v>Estoque Conforme</v>
      </c>
      <c r="AC444" s="104"/>
      <c r="AE444" s="82"/>
      <c r="AF444" s="82"/>
    </row>
    <row r="445" spans="1:32" ht="15" customHeight="1" x14ac:dyDescent="0.25">
      <c r="C445" s="48"/>
      <c r="D445" s="45" t="s">
        <v>7159</v>
      </c>
      <c r="E445" s="46" t="s">
        <v>7638</v>
      </c>
      <c r="F445" s="46"/>
      <c r="I445" s="45" t="s">
        <v>7662</v>
      </c>
      <c r="O445" s="46" t="s">
        <v>6738</v>
      </c>
      <c r="Q445" s="137">
        <f>VLOOKUP(TAB_ESTOQUE[[#This Row],[Codigo]],TAB_ENTRADA[[Cod_2_Entrada]:[TOTAL_ENTRADA]],5,FALSE)-VLOOKUP(TAB_ESTOQUE[[#This Row],[Codigo]],TAB_SAIDA[[COD_2_SAIDA]:[TOTAL_SAIDA]],5,FALSE)</f>
        <v>2</v>
      </c>
      <c r="S445" s="46"/>
      <c r="T445" s="102">
        <v>66.62</v>
      </c>
      <c r="U445" s="103">
        <f>TAB_ESTOQUE[[#This Row],[Valor Unitario Estimado]]*TAB_ESTOQUE[[#This Row],[Estoque]]</f>
        <v>133.24</v>
      </c>
      <c r="V445" s="103"/>
      <c r="AA445" s="138"/>
      <c r="AB445" s="104" t="str">
        <f>IF(TAB_ESTOQUE[[#This Row],[Estoque]]=0,"Estoque Não Conforme",IF(TAB_ESTOQUE[[#This Row],[Estoque]]&gt;=TAB_ESTOQUE[[#This Row],[Mínimo]],"Estoque Conforme",IF(TAB_ESTOQUE[[#This Row],[Estoque]]&lt;TAB_ESTOQUE[[#This Row],[Mínimo]],"Estoque em Nivel Minimo")))</f>
        <v>Estoque Conforme</v>
      </c>
      <c r="AC445" s="104"/>
      <c r="AE445" s="82"/>
      <c r="AF445" s="82"/>
    </row>
    <row r="446" spans="1:32" ht="15" customHeight="1" x14ac:dyDescent="0.25">
      <c r="C446" s="48"/>
      <c r="D446" s="45" t="s">
        <v>7160</v>
      </c>
      <c r="E446" s="46" t="s">
        <v>7638</v>
      </c>
      <c r="F446" s="46"/>
      <c r="I446" s="45" t="s">
        <v>7663</v>
      </c>
      <c r="O446" s="46" t="s">
        <v>6738</v>
      </c>
      <c r="Q446" s="137">
        <f>VLOOKUP(TAB_ESTOQUE[[#This Row],[Codigo]],TAB_ENTRADA[[Cod_2_Entrada]:[TOTAL_ENTRADA]],5,FALSE)-VLOOKUP(TAB_ESTOQUE[[#This Row],[Codigo]],TAB_SAIDA[[COD_2_SAIDA]:[TOTAL_SAIDA]],5,FALSE)</f>
        <v>1</v>
      </c>
      <c r="S446" s="46"/>
      <c r="T446" s="102">
        <v>8.98</v>
      </c>
      <c r="U446" s="103">
        <f>TAB_ESTOQUE[[#This Row],[Valor Unitario Estimado]]*TAB_ESTOQUE[[#This Row],[Estoque]]</f>
        <v>8.98</v>
      </c>
      <c r="V446" s="103"/>
      <c r="AA446" s="138"/>
      <c r="AB446" s="104" t="str">
        <f>IF(TAB_ESTOQUE[[#This Row],[Estoque]]=0,"Estoque Não Conforme",IF(TAB_ESTOQUE[[#This Row],[Estoque]]&gt;=TAB_ESTOQUE[[#This Row],[Mínimo]],"Estoque Conforme",IF(TAB_ESTOQUE[[#This Row],[Estoque]]&lt;TAB_ESTOQUE[[#This Row],[Mínimo]],"Estoque em Nivel Minimo")))</f>
        <v>Estoque Conforme</v>
      </c>
      <c r="AC446" s="104"/>
      <c r="AE446" s="82"/>
      <c r="AF446" s="82"/>
    </row>
    <row r="447" spans="1:32" ht="15" customHeight="1" x14ac:dyDescent="0.25">
      <c r="C447" s="48"/>
      <c r="D447" s="45" t="s">
        <v>7161</v>
      </c>
      <c r="E447" s="46" t="s">
        <v>7638</v>
      </c>
      <c r="F447" s="46"/>
      <c r="I447" s="45" t="s">
        <v>7664</v>
      </c>
      <c r="O447" s="46" t="s">
        <v>6738</v>
      </c>
      <c r="Q447" s="137">
        <f>VLOOKUP(TAB_ESTOQUE[[#This Row],[Codigo]],TAB_ENTRADA[[Cod_2_Entrada]:[TOTAL_ENTRADA]],5,FALSE)-VLOOKUP(TAB_ESTOQUE[[#This Row],[Codigo]],TAB_SAIDA[[COD_2_SAIDA]:[TOTAL_SAIDA]],5,FALSE)</f>
        <v>1</v>
      </c>
      <c r="S447" s="46"/>
      <c r="T447" s="102">
        <v>598.45000000000005</v>
      </c>
      <c r="U447" s="103">
        <f>TAB_ESTOQUE[[#This Row],[Valor Unitario Estimado]]*TAB_ESTOQUE[[#This Row],[Estoque]]</f>
        <v>598.45000000000005</v>
      </c>
      <c r="V447" s="103"/>
      <c r="AA447" s="138"/>
      <c r="AB447" s="104" t="str">
        <f>IF(TAB_ESTOQUE[[#This Row],[Estoque]]=0,"Estoque Não Conforme",IF(TAB_ESTOQUE[[#This Row],[Estoque]]&gt;=TAB_ESTOQUE[[#This Row],[Mínimo]],"Estoque Conforme",IF(TAB_ESTOQUE[[#This Row],[Estoque]]&lt;TAB_ESTOQUE[[#This Row],[Mínimo]],"Estoque em Nivel Minimo")))</f>
        <v>Estoque Conforme</v>
      </c>
      <c r="AC447" s="104"/>
      <c r="AE447" s="82"/>
      <c r="AF447" s="82"/>
    </row>
    <row r="448" spans="1:32" ht="15" customHeight="1" x14ac:dyDescent="0.25">
      <c r="C448" s="48"/>
      <c r="D448" s="45" t="s">
        <v>7162</v>
      </c>
      <c r="E448" s="46" t="s">
        <v>7638</v>
      </c>
      <c r="F448" s="46"/>
      <c r="I448" s="45" t="s">
        <v>7665</v>
      </c>
      <c r="O448" s="46" t="s">
        <v>6738</v>
      </c>
      <c r="Q448" s="137">
        <f>VLOOKUP(TAB_ESTOQUE[[#This Row],[Codigo]],TAB_ENTRADA[[Cod_2_Entrada]:[TOTAL_ENTRADA]],5,FALSE)-VLOOKUP(TAB_ESTOQUE[[#This Row],[Codigo]],TAB_SAIDA[[COD_2_SAIDA]:[TOTAL_SAIDA]],5,FALSE)</f>
        <v>2</v>
      </c>
      <c r="S448" s="46"/>
      <c r="T448" s="102">
        <v>83.33</v>
      </c>
      <c r="U448" s="103">
        <f>TAB_ESTOQUE[[#This Row],[Valor Unitario Estimado]]*TAB_ESTOQUE[[#This Row],[Estoque]]</f>
        <v>166.66</v>
      </c>
      <c r="V448" s="103"/>
      <c r="AA448" s="138"/>
      <c r="AB448" s="104" t="str">
        <f>IF(TAB_ESTOQUE[[#This Row],[Estoque]]=0,"Estoque Não Conforme",IF(TAB_ESTOQUE[[#This Row],[Estoque]]&gt;=TAB_ESTOQUE[[#This Row],[Mínimo]],"Estoque Conforme",IF(TAB_ESTOQUE[[#This Row],[Estoque]]&lt;TAB_ESTOQUE[[#This Row],[Mínimo]],"Estoque em Nivel Minimo")))</f>
        <v>Estoque Conforme</v>
      </c>
      <c r="AC448" s="104"/>
      <c r="AE448" s="82"/>
      <c r="AF448" s="82"/>
    </row>
    <row r="449" spans="1:32" ht="15" customHeight="1" x14ac:dyDescent="0.25">
      <c r="C449" s="48"/>
      <c r="D449" s="45" t="s">
        <v>7163</v>
      </c>
      <c r="E449" s="46" t="s">
        <v>7638</v>
      </c>
      <c r="F449" s="46"/>
      <c r="I449" s="45" t="s">
        <v>7666</v>
      </c>
      <c r="O449" s="46" t="s">
        <v>6738</v>
      </c>
      <c r="Q449" s="137">
        <f>VLOOKUP(TAB_ESTOQUE[[#This Row],[Codigo]],TAB_ENTRADA[[Cod_2_Entrada]:[TOTAL_ENTRADA]],5,FALSE)-VLOOKUP(TAB_ESTOQUE[[#This Row],[Codigo]],TAB_SAIDA[[COD_2_SAIDA]:[TOTAL_SAIDA]],5,FALSE)</f>
        <v>1</v>
      </c>
      <c r="S449" s="46"/>
      <c r="T449" s="102">
        <v>2394</v>
      </c>
      <c r="U449" s="103">
        <f>TAB_ESTOQUE[[#This Row],[Valor Unitario Estimado]]*TAB_ESTOQUE[[#This Row],[Estoque]]</f>
        <v>2394</v>
      </c>
      <c r="V449" s="103"/>
      <c r="AA449" s="138"/>
      <c r="AB449" s="104" t="str">
        <f>IF(TAB_ESTOQUE[[#This Row],[Estoque]]=0,"Estoque Não Conforme",IF(TAB_ESTOQUE[[#This Row],[Estoque]]&gt;=TAB_ESTOQUE[[#This Row],[Mínimo]],"Estoque Conforme",IF(TAB_ESTOQUE[[#This Row],[Estoque]]&lt;TAB_ESTOQUE[[#This Row],[Mínimo]],"Estoque em Nivel Minimo")))</f>
        <v>Estoque Conforme</v>
      </c>
      <c r="AC449" s="104"/>
      <c r="AE449" s="82"/>
      <c r="AF449" s="82"/>
    </row>
    <row r="450" spans="1:32" ht="15" customHeight="1" x14ac:dyDescent="0.25">
      <c r="C450" s="48"/>
      <c r="D450" s="45" t="s">
        <v>7563</v>
      </c>
      <c r="E450" s="46" t="s">
        <v>8039</v>
      </c>
      <c r="F450" s="46"/>
      <c r="I450" s="45" t="s">
        <v>8090</v>
      </c>
      <c r="O450" s="116" t="s">
        <v>6738</v>
      </c>
      <c r="Q450" s="137">
        <f>VLOOKUP(TAB_ESTOQUE[[#This Row],[Codigo]],TAB_ENTRADA[[Cod_2_Entrada]:[TOTAL_ENTRADA]],5,FALSE)-VLOOKUP(TAB_ESTOQUE[[#This Row],[Codigo]],TAB_SAIDA[[COD_2_SAIDA]:[TOTAL_SAIDA]],5,FALSE)</f>
        <v>1</v>
      </c>
      <c r="S450" s="46"/>
      <c r="T450" s="102">
        <v>504</v>
      </c>
      <c r="U450" s="103">
        <f>TAB_ESTOQUE[[#This Row],[Valor Unitario Estimado]]*TAB_ESTOQUE[[#This Row],[Estoque]]</f>
        <v>504</v>
      </c>
      <c r="V450" s="103"/>
      <c r="AA450" s="138"/>
      <c r="AB450" s="104" t="str">
        <f>IF(TAB_ESTOQUE[[#This Row],[Estoque]]=0,"Estoque Não Conforme",IF(TAB_ESTOQUE[[#This Row],[Estoque]]&gt;=TAB_ESTOQUE[[#This Row],[Mínimo]],"Estoque Conforme",IF(TAB_ESTOQUE[[#This Row],[Estoque]]&lt;TAB_ESTOQUE[[#This Row],[Mínimo]],"Estoque em Nivel Minimo")))</f>
        <v>Estoque Conforme</v>
      </c>
      <c r="AC450" s="104"/>
      <c r="AE450" s="82"/>
      <c r="AF450" s="82"/>
    </row>
    <row r="451" spans="1:32" ht="15" customHeight="1" x14ac:dyDescent="0.25">
      <c r="C451" s="48"/>
      <c r="D451" s="45" t="s">
        <v>7564</v>
      </c>
      <c r="E451" s="46" t="s">
        <v>8039</v>
      </c>
      <c r="F451" s="46"/>
      <c r="I451" s="176" t="s">
        <v>8087</v>
      </c>
      <c r="O451" s="51" t="s">
        <v>6738</v>
      </c>
      <c r="Q451" s="137">
        <f>VLOOKUP(TAB_ESTOQUE[[#This Row],[Codigo]],TAB_ENTRADA[[Cod_2_Entrada]:[TOTAL_ENTRADA]],5,FALSE)-VLOOKUP(TAB_ESTOQUE[[#This Row],[Codigo]],TAB_SAIDA[[COD_2_SAIDA]:[TOTAL_SAIDA]],5,FALSE)</f>
        <v>1</v>
      </c>
      <c r="S451" s="46"/>
      <c r="T451" s="102">
        <v>519</v>
      </c>
      <c r="U451" s="103">
        <f>TAB_ESTOQUE[[#This Row],[Valor Unitario Estimado]]*TAB_ESTOQUE[[#This Row],[Estoque]]</f>
        <v>519</v>
      </c>
      <c r="V451" s="103"/>
      <c r="AA451" s="138"/>
      <c r="AB451" s="104" t="str">
        <f>IF(TAB_ESTOQUE[[#This Row],[Estoque]]=0,"Estoque Não Conforme",IF(TAB_ESTOQUE[[#This Row],[Estoque]]&gt;=TAB_ESTOQUE[[#This Row],[Mínimo]],"Estoque Conforme",IF(TAB_ESTOQUE[[#This Row],[Estoque]]&lt;TAB_ESTOQUE[[#This Row],[Mínimo]],"Estoque em Nivel Minimo")))</f>
        <v>Estoque Conforme</v>
      </c>
      <c r="AC451" s="104"/>
      <c r="AE451" s="82"/>
      <c r="AF451" s="82"/>
    </row>
    <row r="452" spans="1:32" ht="15" customHeight="1" x14ac:dyDescent="0.25">
      <c r="C452" s="48"/>
      <c r="D452" s="45" t="s">
        <v>7565</v>
      </c>
      <c r="E452" s="46" t="s">
        <v>8039</v>
      </c>
      <c r="F452" s="46"/>
      <c r="I452" s="106" t="s">
        <v>8088</v>
      </c>
      <c r="O452" s="116" t="s">
        <v>6738</v>
      </c>
      <c r="Q452" s="137">
        <f>VLOOKUP(TAB_ESTOQUE[[#This Row],[Codigo]],TAB_ENTRADA[[Cod_2_Entrada]:[TOTAL_ENTRADA]],5,FALSE)-VLOOKUP(TAB_ESTOQUE[[#This Row],[Codigo]],TAB_SAIDA[[COD_2_SAIDA]:[TOTAL_SAIDA]],5,FALSE)</f>
        <v>1</v>
      </c>
      <c r="S452" s="46"/>
      <c r="T452" s="102">
        <v>907.2</v>
      </c>
      <c r="U452" s="103">
        <f>TAB_ESTOQUE[[#This Row],[Valor Unitario Estimado]]*TAB_ESTOQUE[[#This Row],[Estoque]]</f>
        <v>907.2</v>
      </c>
      <c r="V452" s="103"/>
      <c r="AA452" s="138"/>
      <c r="AB452" s="104" t="str">
        <f>IF(TAB_ESTOQUE[[#This Row],[Estoque]]=0,"Estoque Não Conforme",IF(TAB_ESTOQUE[[#This Row],[Estoque]]&gt;=TAB_ESTOQUE[[#This Row],[Mínimo]],"Estoque Conforme",IF(TAB_ESTOQUE[[#This Row],[Estoque]]&lt;TAB_ESTOQUE[[#This Row],[Mínimo]],"Estoque em Nivel Minimo")))</f>
        <v>Estoque Conforme</v>
      </c>
      <c r="AC452" s="104"/>
      <c r="AE452" s="82"/>
      <c r="AF452" s="82"/>
    </row>
    <row r="453" spans="1:32" s="47" customFormat="1" ht="15" customHeight="1" x14ac:dyDescent="0.25">
      <c r="A453" s="45"/>
      <c r="B453" s="45"/>
      <c r="C453" s="48"/>
      <c r="D453" s="45" t="s">
        <v>7566</v>
      </c>
      <c r="E453" s="46" t="s">
        <v>8039</v>
      </c>
      <c r="F453" s="46"/>
      <c r="G453" s="45"/>
      <c r="H453" s="45"/>
      <c r="I453" s="45" t="s">
        <v>8089</v>
      </c>
      <c r="J453" s="45"/>
      <c r="K453" s="45"/>
      <c r="L453" s="45"/>
      <c r="M453" s="45"/>
      <c r="N453" s="45"/>
      <c r="O453" s="51" t="s">
        <v>6738</v>
      </c>
      <c r="P453" s="45"/>
      <c r="Q453" s="137">
        <f>VLOOKUP(TAB_ESTOQUE[[#This Row],[Codigo]],TAB_ENTRADA[[Cod_2_Entrada]:[TOTAL_ENTRADA]],5,FALSE)-VLOOKUP(TAB_ESTOQUE[[#This Row],[Codigo]],TAB_SAIDA[[COD_2_SAIDA]:[TOTAL_SAIDA]],5,FALSE)</f>
        <v>1</v>
      </c>
      <c r="R453" s="46"/>
      <c r="S453" s="46"/>
      <c r="T453" s="102">
        <v>3720</v>
      </c>
      <c r="U453" s="103">
        <f>TAB_ESTOQUE[[#This Row],[Valor Unitario Estimado]]*TAB_ESTOQUE[[#This Row],[Estoque]]</f>
        <v>3720</v>
      </c>
      <c r="V453" s="103"/>
      <c r="W453" s="54"/>
      <c r="X453" s="54"/>
      <c r="Y453" s="54"/>
      <c r="Z453" s="54"/>
      <c r="AA453" s="138"/>
      <c r="AB453" s="104" t="str">
        <f>IF(TAB_ESTOQUE[[#This Row],[Estoque]]=0,"Estoque Não Conforme",IF(TAB_ESTOQUE[[#This Row],[Estoque]]&gt;=TAB_ESTOQUE[[#This Row],[Mínimo]],"Estoque Conforme",IF(TAB_ESTOQUE[[#This Row],[Estoque]]&lt;TAB_ESTOQUE[[#This Row],[Mínimo]],"Estoque em Nivel Minimo")))</f>
        <v>Estoque Conforme</v>
      </c>
      <c r="AC453" s="104"/>
      <c r="AD453" s="45"/>
      <c r="AE453" s="94"/>
      <c r="AF453" s="94"/>
    </row>
    <row r="454" spans="1:32" ht="15" customHeight="1" x14ac:dyDescent="0.25">
      <c r="C454" s="48"/>
      <c r="D454" s="45" t="s">
        <v>7739</v>
      </c>
      <c r="E454" s="46"/>
      <c r="F454" s="46"/>
      <c r="I454" s="45" t="s">
        <v>8806</v>
      </c>
      <c r="O454" s="46" t="s">
        <v>6738</v>
      </c>
      <c r="Q454" s="137">
        <f>VLOOKUP(TAB_ESTOQUE[[#This Row],[Codigo]],TAB_ENTRADA[[Cod_2_Entrada]:[TOTAL_ENTRADA]],5,FALSE)-VLOOKUP(TAB_ESTOQUE[[#This Row],[Codigo]],TAB_SAIDA[[COD_2_SAIDA]:[TOTAL_SAIDA]],5,FALSE)</f>
        <v>100</v>
      </c>
      <c r="S454" s="46"/>
      <c r="T454" s="102">
        <v>16</v>
      </c>
      <c r="U454" s="103">
        <f>TAB_ESTOQUE[[#This Row],[Valor Unitario Estimado]]*TAB_ESTOQUE[[#This Row],[Estoque]]</f>
        <v>1600</v>
      </c>
      <c r="V454" s="103"/>
      <c r="AA454" s="138"/>
      <c r="AB454" s="104" t="str">
        <f>IF(TAB_ESTOQUE[[#This Row],[Estoque]]=0,"Estoque Não Conforme",IF(TAB_ESTOQUE[[#This Row],[Estoque]]&gt;=TAB_ESTOQUE[[#This Row],[Mínimo]],"Estoque Conforme",IF(TAB_ESTOQUE[[#This Row],[Estoque]]&lt;TAB_ESTOQUE[[#This Row],[Mínimo]],"Estoque em Nivel Minimo")))</f>
        <v>Estoque Conforme</v>
      </c>
      <c r="AC454" s="104"/>
      <c r="AE454" s="82"/>
      <c r="AF454" s="82"/>
    </row>
    <row r="455" spans="1:32" ht="15" customHeight="1" x14ac:dyDescent="0.25">
      <c r="C455" s="48"/>
      <c r="D455" s="45" t="s">
        <v>7740</v>
      </c>
      <c r="E455" s="46"/>
      <c r="F455" s="46"/>
      <c r="I455" s="45" t="s">
        <v>8807</v>
      </c>
      <c r="O455" s="46" t="s">
        <v>6738</v>
      </c>
      <c r="Q455" s="137">
        <f>VLOOKUP(TAB_ESTOQUE[[#This Row],[Codigo]],TAB_ENTRADA[[Cod_2_Entrada]:[TOTAL_ENTRADA]],5,FALSE)-VLOOKUP(TAB_ESTOQUE[[#This Row],[Codigo]],TAB_SAIDA[[COD_2_SAIDA]:[TOTAL_SAIDA]],5,FALSE)</f>
        <v>99</v>
      </c>
      <c r="S455" s="46"/>
      <c r="T455" s="102">
        <v>13</v>
      </c>
      <c r="U455" s="103">
        <f>TAB_ESTOQUE[[#This Row],[Valor Unitario Estimado]]*TAB_ESTOQUE[[#This Row],[Estoque]]</f>
        <v>1287</v>
      </c>
      <c r="V455" s="103"/>
      <c r="AA455" s="138"/>
      <c r="AB455" s="104" t="str">
        <f>IF(TAB_ESTOQUE[[#This Row],[Estoque]]=0,"Estoque Não Conforme",IF(TAB_ESTOQUE[[#This Row],[Estoque]]&gt;=TAB_ESTOQUE[[#This Row],[Mínimo]],"Estoque Conforme",IF(TAB_ESTOQUE[[#This Row],[Estoque]]&lt;TAB_ESTOQUE[[#This Row],[Mínimo]],"Estoque em Nivel Minimo")))</f>
        <v>Estoque Conforme</v>
      </c>
      <c r="AC455" s="104"/>
      <c r="AE455" s="82"/>
      <c r="AF455" s="82"/>
    </row>
    <row r="456" spans="1:32" ht="15" customHeight="1" x14ac:dyDescent="0.25">
      <c r="C456" s="48"/>
      <c r="D456" s="45" t="s">
        <v>7742</v>
      </c>
      <c r="E456" s="46"/>
      <c r="F456" s="46"/>
      <c r="I456" s="45" t="s">
        <v>8810</v>
      </c>
      <c r="O456" s="46" t="s">
        <v>6738</v>
      </c>
      <c r="Q456" s="137">
        <f>VLOOKUP(TAB_ESTOQUE[[#This Row],[Codigo]],TAB_ENTRADA[[Cod_2_Entrada]:[TOTAL_ENTRADA]],5,FALSE)-VLOOKUP(TAB_ESTOQUE[[#This Row],[Codigo]],TAB_SAIDA[[COD_2_SAIDA]:[TOTAL_SAIDA]],5,FALSE)</f>
        <v>4</v>
      </c>
      <c r="S456" s="46"/>
      <c r="T456" s="102">
        <v>52</v>
      </c>
      <c r="U456" s="103">
        <f>TAB_ESTOQUE[[#This Row],[Valor Unitario Estimado]]*TAB_ESTOQUE[[#This Row],[Estoque]]</f>
        <v>208</v>
      </c>
      <c r="V456" s="103"/>
      <c r="AA456" s="138"/>
      <c r="AB456" s="104" t="str">
        <f>IF(TAB_ESTOQUE[[#This Row],[Estoque]]=0,"Estoque Não Conforme",IF(TAB_ESTOQUE[[#This Row],[Estoque]]&gt;=TAB_ESTOQUE[[#This Row],[Mínimo]],"Estoque Conforme",IF(TAB_ESTOQUE[[#This Row],[Estoque]]&lt;TAB_ESTOQUE[[#This Row],[Mínimo]],"Estoque em Nivel Minimo")))</f>
        <v>Estoque Conforme</v>
      </c>
      <c r="AC456" s="104"/>
      <c r="AE456" s="82"/>
      <c r="AF456" s="82"/>
    </row>
    <row r="457" spans="1:32" s="176" customFormat="1" ht="15" customHeight="1" x14ac:dyDescent="0.25">
      <c r="A457" s="45"/>
      <c r="B457" s="45"/>
      <c r="C457" s="48"/>
      <c r="D457" s="45" t="s">
        <v>8095</v>
      </c>
      <c r="E457" s="46" t="s">
        <v>7638</v>
      </c>
      <c r="F457" s="46"/>
      <c r="G457" s="45"/>
      <c r="H457" s="45"/>
      <c r="I457" s="47" t="s">
        <v>9019</v>
      </c>
      <c r="J457" s="45"/>
      <c r="K457" s="45"/>
      <c r="L457" s="45"/>
      <c r="M457" s="45"/>
      <c r="N457" s="45"/>
      <c r="O457" s="46" t="s">
        <v>6738</v>
      </c>
      <c r="P457" s="45"/>
      <c r="Q457" s="137">
        <f>VLOOKUP(TAB_ESTOQUE[[#This Row],[Codigo]],TAB_ENTRADA[[Cod_2_Entrada]:[TOTAL_ENTRADA]],5,FALSE)-VLOOKUP(TAB_ESTOQUE[[#This Row],[Codigo]],TAB_SAIDA[[COD_2_SAIDA]:[TOTAL_SAIDA]],5,FALSE)</f>
        <v>4</v>
      </c>
      <c r="R457" s="46">
        <v>2</v>
      </c>
      <c r="S457" s="46">
        <v>8</v>
      </c>
      <c r="T457" s="102">
        <v>4.5</v>
      </c>
      <c r="U457" s="103">
        <f>TAB_ESTOQUE[[#This Row],[Valor Unitario Estimado]]*TAB_ESTOQUE[[#This Row],[Estoque]]</f>
        <v>18</v>
      </c>
      <c r="V457" s="103"/>
      <c r="W457" s="54"/>
      <c r="X457" s="54"/>
      <c r="Y457" s="54"/>
      <c r="Z457" s="54"/>
      <c r="AA457" s="138"/>
      <c r="AB457" s="104" t="str">
        <f>IF(TAB_ESTOQUE[[#This Row],[Estoque]]=0,"Estoque Não Conforme",IF(TAB_ESTOQUE[[#This Row],[Estoque]]&gt;=TAB_ESTOQUE[[#This Row],[Mínimo]],"Estoque Conforme",IF(TAB_ESTOQUE[[#This Row],[Estoque]]&lt;TAB_ESTOQUE[[#This Row],[Mínimo]],"Estoque em Nivel Minimo")))</f>
        <v>Estoque Conforme</v>
      </c>
      <c r="AC457" s="104"/>
      <c r="AD457" s="45"/>
      <c r="AE457" s="178"/>
      <c r="AF457" s="178"/>
    </row>
    <row r="458" spans="1:32" s="106" customFormat="1" ht="15" customHeight="1" x14ac:dyDescent="0.25">
      <c r="A458" s="45"/>
      <c r="B458" s="45"/>
      <c r="C458" s="48"/>
      <c r="D458" s="45" t="s">
        <v>8098</v>
      </c>
      <c r="E458" s="46" t="s">
        <v>7638</v>
      </c>
      <c r="F458" s="46"/>
      <c r="G458" s="45"/>
      <c r="H458" s="45"/>
      <c r="I458" s="45" t="s">
        <v>9020</v>
      </c>
      <c r="J458" s="45"/>
      <c r="K458" s="45"/>
      <c r="L458" s="45"/>
      <c r="M458" s="45"/>
      <c r="N458" s="45"/>
      <c r="O458" s="46" t="s">
        <v>6738</v>
      </c>
      <c r="P458" s="45"/>
      <c r="Q458" s="137">
        <f>VLOOKUP(TAB_ESTOQUE[[#This Row],[Codigo]],TAB_ENTRADA[[Cod_2_Entrada]:[TOTAL_ENTRADA]],5,FALSE)-VLOOKUP(TAB_ESTOQUE[[#This Row],[Codigo]],TAB_SAIDA[[COD_2_SAIDA]:[TOTAL_SAIDA]],5,FALSE)</f>
        <v>4</v>
      </c>
      <c r="R458" s="46">
        <v>2</v>
      </c>
      <c r="S458" s="46">
        <v>8</v>
      </c>
      <c r="T458" s="102">
        <v>46.2</v>
      </c>
      <c r="U458" s="103">
        <f>TAB_ESTOQUE[[#This Row],[Valor Unitario Estimado]]*TAB_ESTOQUE[[#This Row],[Estoque]]</f>
        <v>184.8</v>
      </c>
      <c r="V458" s="103"/>
      <c r="W458" s="54"/>
      <c r="X458" s="54"/>
      <c r="Y458" s="54"/>
      <c r="Z458" s="54"/>
      <c r="AA458" s="138"/>
      <c r="AB458" s="104" t="str">
        <f>IF(TAB_ESTOQUE[[#This Row],[Estoque]]=0,"Estoque Não Conforme",IF(TAB_ESTOQUE[[#This Row],[Estoque]]&gt;=TAB_ESTOQUE[[#This Row],[Mínimo]],"Estoque Conforme",IF(TAB_ESTOQUE[[#This Row],[Estoque]]&lt;TAB_ESTOQUE[[#This Row],[Mínimo]],"Estoque em Nivel Minimo")))</f>
        <v>Estoque Conforme</v>
      </c>
      <c r="AC458" s="104"/>
      <c r="AD458" s="45"/>
      <c r="AE458" s="95"/>
      <c r="AF458" s="95"/>
    </row>
    <row r="459" spans="1:32" s="47" customFormat="1" ht="15" customHeight="1" x14ac:dyDescent="0.25">
      <c r="A459" s="45"/>
      <c r="B459" s="45"/>
      <c r="C459" s="48"/>
      <c r="D459" s="45" t="s">
        <v>8107</v>
      </c>
      <c r="E459" s="46" t="s">
        <v>7638</v>
      </c>
      <c r="F459" s="46"/>
      <c r="G459" s="45"/>
      <c r="H459" s="45"/>
      <c r="I459" s="226" t="s">
        <v>9021</v>
      </c>
      <c r="J459" s="45"/>
      <c r="K459" s="45"/>
      <c r="L459" s="45"/>
      <c r="M459" s="45"/>
      <c r="N459" s="45"/>
      <c r="O459" s="46" t="s">
        <v>6738</v>
      </c>
      <c r="P459" s="45"/>
      <c r="Q459" s="137">
        <f>VLOOKUP(TAB_ESTOQUE[[#This Row],[Codigo]],TAB_ENTRADA[[Cod_2_Entrada]:[TOTAL_ENTRADA]],5,FALSE)-VLOOKUP(TAB_ESTOQUE[[#This Row],[Codigo]],TAB_SAIDA[[COD_2_SAIDA]:[TOTAL_SAIDA]],5,FALSE)</f>
        <v>4</v>
      </c>
      <c r="R459" s="46">
        <v>2</v>
      </c>
      <c r="S459" s="46">
        <v>8</v>
      </c>
      <c r="T459" s="102">
        <v>62</v>
      </c>
      <c r="U459" s="103">
        <f>TAB_ESTOQUE[[#This Row],[Valor Unitario Estimado]]*TAB_ESTOQUE[[#This Row],[Estoque]]</f>
        <v>248</v>
      </c>
      <c r="V459" s="103"/>
      <c r="W459" s="54"/>
      <c r="X459" s="54"/>
      <c r="Y459" s="54"/>
      <c r="Z459" s="54"/>
      <c r="AA459" s="138"/>
      <c r="AB459" s="104" t="str">
        <f>IF(TAB_ESTOQUE[[#This Row],[Estoque]]=0,"Estoque Não Conforme",IF(TAB_ESTOQUE[[#This Row],[Estoque]]&gt;=TAB_ESTOQUE[[#This Row],[Mínimo]],"Estoque Conforme",IF(TAB_ESTOQUE[[#This Row],[Estoque]]&lt;TAB_ESTOQUE[[#This Row],[Mínimo]],"Estoque em Nivel Minimo")))</f>
        <v>Estoque Conforme</v>
      </c>
      <c r="AC459" s="104"/>
      <c r="AD459" s="45"/>
      <c r="AE459" s="94"/>
      <c r="AF459" s="94"/>
    </row>
    <row r="460" spans="1:32" ht="15" customHeight="1" x14ac:dyDescent="0.25">
      <c r="C460" s="48"/>
      <c r="D460" s="45" t="s">
        <v>8182</v>
      </c>
      <c r="F460" s="46"/>
      <c r="I460" s="45" t="s">
        <v>9063</v>
      </c>
      <c r="O460" s="46" t="s">
        <v>6738</v>
      </c>
      <c r="P460" s="46" t="s">
        <v>6738</v>
      </c>
      <c r="Q460" s="137">
        <f>VLOOKUP(TAB_ESTOQUE[[#This Row],[Codigo]],TAB_ENTRADA[[Cod_2_Entrada]:[TOTAL_ENTRADA]],5,FALSE)-VLOOKUP(TAB_ESTOQUE[[#This Row],[Codigo]],TAB_SAIDA[[COD_2_SAIDA]:[TOTAL_SAIDA]],5,FALSE)</f>
        <v>982</v>
      </c>
      <c r="R460" s="46">
        <v>50</v>
      </c>
      <c r="S460" s="46">
        <v>1000</v>
      </c>
      <c r="T460" s="102">
        <v>0.43</v>
      </c>
      <c r="U460" s="103">
        <f>TAB_ESTOQUE[[#This Row],[Valor Unitario Estimado]]*TAB_ESTOQUE[[#This Row],[Estoque]]</f>
        <v>422.26</v>
      </c>
      <c r="V460" s="103"/>
      <c r="AA460" s="138"/>
      <c r="AB460" s="104" t="str">
        <f>IF(TAB_ESTOQUE[[#This Row],[Estoque]]=0,"Estoque Não Conforme",IF(TAB_ESTOQUE[[#This Row],[Estoque]]&gt;=TAB_ESTOQUE[[#This Row],[Mínimo]],"Estoque Conforme",IF(TAB_ESTOQUE[[#This Row],[Estoque]]&lt;TAB_ESTOQUE[[#This Row],[Mínimo]],"Estoque em Nivel Minimo")))</f>
        <v>Estoque Conforme</v>
      </c>
      <c r="AC460" s="104"/>
      <c r="AE460" s="82"/>
      <c r="AF460" s="82"/>
    </row>
    <row r="461" spans="1:32" ht="15" customHeight="1" x14ac:dyDescent="0.25">
      <c r="C461" s="48"/>
      <c r="D461" s="45" t="s">
        <v>8209</v>
      </c>
      <c r="F461" s="46"/>
      <c r="I461" s="45" t="s">
        <v>9064</v>
      </c>
      <c r="O461" s="46" t="s">
        <v>6738</v>
      </c>
      <c r="Q461" s="137">
        <f>VLOOKUP(TAB_ESTOQUE[[#This Row],[Codigo]],TAB_ENTRADA[[Cod_2_Entrada]:[TOTAL_ENTRADA]],5,FALSE)-VLOOKUP(TAB_ESTOQUE[[#This Row],[Codigo]],TAB_SAIDA[[COD_2_SAIDA]:[TOTAL_SAIDA]],5,FALSE)</f>
        <v>1000</v>
      </c>
      <c r="R461" s="46">
        <v>50</v>
      </c>
      <c r="S461" s="46">
        <v>1000</v>
      </c>
      <c r="T461" s="102">
        <v>0.28999999999999998</v>
      </c>
      <c r="U461" s="103">
        <f>TAB_ESTOQUE[[#This Row],[Valor Unitario Estimado]]*TAB_ESTOQUE[[#This Row],[Estoque]]</f>
        <v>290</v>
      </c>
      <c r="V461" s="103"/>
      <c r="AA461" s="138"/>
      <c r="AB461" s="104" t="str">
        <f>IF(TAB_ESTOQUE[[#This Row],[Estoque]]=0,"Estoque Não Conforme",IF(TAB_ESTOQUE[[#This Row],[Estoque]]&gt;=TAB_ESTOQUE[[#This Row],[Mínimo]],"Estoque Conforme",IF(TAB_ESTOQUE[[#This Row],[Estoque]]&lt;TAB_ESTOQUE[[#This Row],[Mínimo]],"Estoque em Nivel Minimo")))</f>
        <v>Estoque Conforme</v>
      </c>
      <c r="AC461" s="104"/>
      <c r="AE461" s="82"/>
      <c r="AF461" s="82"/>
    </row>
    <row r="462" spans="1:32" ht="15" customHeight="1" x14ac:dyDescent="0.25">
      <c r="A462" s="45">
        <v>1220</v>
      </c>
      <c r="B462" s="47"/>
      <c r="C462" s="46"/>
      <c r="D462" s="45" t="s">
        <v>2520</v>
      </c>
      <c r="E462" s="46"/>
      <c r="F462" s="87"/>
      <c r="G462" s="82"/>
      <c r="H462" s="82"/>
      <c r="I462" s="82" t="s">
        <v>8644</v>
      </c>
      <c r="J462" s="82"/>
      <c r="K462" s="82"/>
      <c r="L462" s="82"/>
      <c r="M462" s="82"/>
      <c r="N462" s="82"/>
      <c r="O462" s="87" t="s">
        <v>8061</v>
      </c>
      <c r="P462" s="82" t="s">
        <v>933</v>
      </c>
      <c r="Q462" s="83">
        <f>VLOOKUP(TAB_ESTOQUE[[#This Row],[Codigo]],TAB_ENTRADA[[Cod_2_Entrada]:[TOTAL_ENTRADA]],5,FALSE)-VLOOKUP(TAB_ESTOQUE[[#This Row],[Codigo]],TAB_SAIDA[[COD_2_SAIDA]:[TOTAL_SAIDA]],5,FALSE)</f>
        <v>1</v>
      </c>
      <c r="R462" s="87"/>
      <c r="S462" s="87"/>
      <c r="T462" s="90"/>
      <c r="U462" s="91">
        <f>TAB_ESTOQUE[[#This Row],[Valor Unitario Estimado]]*TAB_ESTOQUE[[#This Row],[Estoque]]</f>
        <v>0</v>
      </c>
      <c r="V462" s="91"/>
      <c r="W462" s="85"/>
      <c r="X462" s="85"/>
      <c r="Y462" s="85"/>
      <c r="Z462" s="85"/>
      <c r="AA462" s="85"/>
      <c r="AB462" s="85" t="str">
        <f>IF(TAB_ESTOQUE[[#This Row],[Estoque]]=0,"Estoque Não Conforme",IF(TAB_ESTOQUE[[#This Row],[Estoque]]&gt;=TAB_ESTOQUE[[#This Row],[Mínimo]],"Estoque Conforme",IF(TAB_ESTOQUE[[#This Row],[Estoque]]&lt;TAB_ESTOQUE[[#This Row],[Mínimo]],"Estoque em Nivel Minimo")))</f>
        <v>Estoque Conforme</v>
      </c>
      <c r="AC462" s="85"/>
      <c r="AD462" s="82"/>
      <c r="AE462" s="82"/>
      <c r="AF462" s="82"/>
    </row>
    <row r="463" spans="1:32" ht="15" customHeight="1" x14ac:dyDescent="0.25">
      <c r="C463" s="53" t="s">
        <v>2842</v>
      </c>
      <c r="D463" s="45" t="s">
        <v>6801</v>
      </c>
      <c r="E463" s="46" t="s">
        <v>116</v>
      </c>
      <c r="F463" s="46"/>
      <c r="I463" s="45" t="s">
        <v>7104</v>
      </c>
      <c r="O463" s="46" t="s">
        <v>8061</v>
      </c>
      <c r="Q463" s="83">
        <f>VLOOKUP(TAB_ESTOQUE[[#This Row],[Codigo]],TAB_ENTRADA[[Cod_2_Entrada]:[TOTAL_ENTRADA]],5,FALSE)-VLOOKUP(TAB_ESTOQUE[[#This Row],[Codigo]],TAB_SAIDA[[COD_2_SAIDA]:[TOTAL_SAIDA]],5,FALSE)</f>
        <v>0</v>
      </c>
      <c r="S463" s="46"/>
      <c r="T463" s="102"/>
      <c r="U463" s="103">
        <f>TAB_ESTOQUE[[#This Row],[Valor Unitario Estimado]]*TAB_ESTOQUE[[#This Row],[Estoque]]</f>
        <v>0</v>
      </c>
      <c r="V463" s="103"/>
      <c r="AB463" s="104" t="str">
        <f>IF(TAB_ESTOQUE[[#This Row],[Estoque]]=0,"Estoque Não Conforme",IF(TAB_ESTOQUE[[#This Row],[Estoque]]&gt;=TAB_ESTOQUE[[#This Row],[Mínimo]],"Estoque Conforme",IF(TAB_ESTOQUE[[#This Row],[Estoque]]&lt;TAB_ESTOQUE[[#This Row],[Mínimo]],"Estoque em Nivel Minimo")))</f>
        <v>Estoque Não Conforme</v>
      </c>
      <c r="AC463" s="104"/>
      <c r="AE463" s="82"/>
      <c r="AF463" s="82"/>
    </row>
    <row r="464" spans="1:32" ht="15" customHeight="1" x14ac:dyDescent="0.25">
      <c r="A464" s="106"/>
      <c r="B464" s="106"/>
      <c r="C464" s="116" t="s">
        <v>2833</v>
      </c>
      <c r="D464" s="106" t="s">
        <v>6008</v>
      </c>
      <c r="E464" s="116"/>
      <c r="F464" s="118"/>
      <c r="G464" s="95"/>
      <c r="H464" s="95"/>
      <c r="I464" s="95" t="s">
        <v>6635</v>
      </c>
      <c r="J464" s="95"/>
      <c r="K464" s="95"/>
      <c r="L464" s="95"/>
      <c r="M464" s="95"/>
      <c r="N464" s="95"/>
      <c r="O464" s="118" t="s">
        <v>6636</v>
      </c>
      <c r="P464" s="95" t="s">
        <v>6015</v>
      </c>
      <c r="Q464" s="154">
        <f>VLOOKUP(TAB_ESTOQUE[[#This Row],[Codigo]],TAB_ENTRADA[[Cod_2_Entrada]:[TOTAL_ENTRADA]],5,FALSE)-VLOOKUP(TAB_ESTOQUE[[#This Row],[Codigo]],TAB_SAIDA[[COD_2_SAIDA]:[TOTAL_SAIDA]],5,FALSE)</f>
        <v>2</v>
      </c>
      <c r="R464" s="118"/>
      <c r="S464" s="118"/>
      <c r="T464" s="119"/>
      <c r="U464" s="112">
        <f>TAB_ESTOQUE[[#This Row],[Valor Unitario Estimado]]*TAB_ESTOQUE[[#This Row],[Estoque]]</f>
        <v>0</v>
      </c>
      <c r="V464" s="112"/>
      <c r="W464" s="120"/>
      <c r="X464" s="120"/>
      <c r="Y464" s="120"/>
      <c r="Z464" s="120"/>
      <c r="AA464" s="120"/>
      <c r="AB464" s="160" t="str">
        <f>IF(TAB_ESTOQUE[[#This Row],[Estoque]]=0,"Estoque Não Conforme",IF(TAB_ESTOQUE[[#This Row],[Estoque]]&gt;=TAB_ESTOQUE[[#This Row],[Mínimo]],"Estoque Conforme",IF(TAB_ESTOQUE[[#This Row],[Estoque]]&lt;TAB_ESTOQUE[[#This Row],[Mínimo]],"Estoque em Nivel Minimo")))</f>
        <v>Estoque Conforme</v>
      </c>
      <c r="AC464" s="160"/>
      <c r="AD464" s="95"/>
      <c r="AE464" s="82"/>
      <c r="AF464" s="82"/>
    </row>
    <row r="465" spans="1:32" ht="15" customHeight="1" x14ac:dyDescent="0.25">
      <c r="A465" s="106"/>
      <c r="B465" s="106"/>
      <c r="C465" s="116" t="s">
        <v>2833</v>
      </c>
      <c r="D465" s="106" t="s">
        <v>6259</v>
      </c>
      <c r="E465" s="116"/>
      <c r="F465" s="118"/>
      <c r="G465" s="95"/>
      <c r="H465" s="95"/>
      <c r="I465" s="95" t="s">
        <v>6822</v>
      </c>
      <c r="J465" s="95"/>
      <c r="K465" s="95"/>
      <c r="L465" s="95"/>
      <c r="M465" s="95"/>
      <c r="N465" s="95"/>
      <c r="O465" s="118" t="s">
        <v>6636</v>
      </c>
      <c r="P465" s="95" t="s">
        <v>6046</v>
      </c>
      <c r="Q465" s="154">
        <f>VLOOKUP(TAB_ESTOQUE[[#This Row],[Codigo]],TAB_ENTRADA[[Cod_2_Entrada]:[TOTAL_ENTRADA]],5,FALSE)-VLOOKUP(TAB_ESTOQUE[[#This Row],[Codigo]],TAB_SAIDA[[COD_2_SAIDA]:[TOTAL_SAIDA]],5,FALSE)</f>
        <v>0</v>
      </c>
      <c r="R465" s="118"/>
      <c r="S465" s="118"/>
      <c r="T465" s="119">
        <v>67.8</v>
      </c>
      <c r="U465" s="112">
        <f>TAB_ESTOQUE[[#This Row],[Valor Unitario Estimado]]*TAB_ESTOQUE[[#This Row],[Estoque]]</f>
        <v>0</v>
      </c>
      <c r="V465" s="112"/>
      <c r="W465" s="120"/>
      <c r="X465" s="120"/>
      <c r="Y465" s="120"/>
      <c r="Z465" s="120"/>
      <c r="AA465" s="120"/>
      <c r="AB465" s="120" t="str">
        <f>IF(TAB_ESTOQUE[[#This Row],[Estoque]]=0,"Estoque Não Conforme",IF(TAB_ESTOQUE[[#This Row],[Estoque]]&gt;=TAB_ESTOQUE[[#This Row],[Mínimo]],"Estoque Conforme",IF(TAB_ESTOQUE[[#This Row],[Estoque]]&lt;TAB_ESTOQUE[[#This Row],[Mínimo]],"Estoque em Nivel Minimo")))</f>
        <v>Estoque Não Conforme</v>
      </c>
      <c r="AC465" s="160"/>
      <c r="AD465" s="95"/>
      <c r="AE465" s="82"/>
      <c r="AF465" s="82"/>
    </row>
    <row r="466" spans="1:32" ht="15" customHeight="1" x14ac:dyDescent="0.25">
      <c r="A466" s="45">
        <v>888</v>
      </c>
      <c r="B466" s="47" t="s">
        <v>1622</v>
      </c>
      <c r="C466" s="53" t="s">
        <v>2842</v>
      </c>
      <c r="D466" s="45" t="s">
        <v>1660</v>
      </c>
      <c r="E466" s="46"/>
      <c r="F466" s="87"/>
      <c r="G466" s="82"/>
      <c r="H466" s="82"/>
      <c r="I466" s="94" t="s">
        <v>8130</v>
      </c>
      <c r="J466" s="82"/>
      <c r="K466" s="82"/>
      <c r="L466" s="82"/>
      <c r="M466" s="82"/>
      <c r="N466" s="82"/>
      <c r="O466" s="87" t="s">
        <v>6416</v>
      </c>
      <c r="P466" s="82" t="s">
        <v>689</v>
      </c>
      <c r="Q466" s="83">
        <f>VLOOKUP(TAB_ESTOQUE[[#This Row],[Codigo]],TAB_ENTRADA[[Cod_2_Entrada]:[TOTAL_ENTRADA]],5,FALSE)-VLOOKUP(TAB_ESTOQUE[[#This Row],[Codigo]],TAB_SAIDA[[COD_2_SAIDA]:[TOTAL_SAIDA]],5,FALSE)</f>
        <v>0</v>
      </c>
      <c r="R466" s="87"/>
      <c r="S466" s="87"/>
      <c r="T466" s="90">
        <v>200</v>
      </c>
      <c r="U466" s="91">
        <f>TAB_ESTOQUE[[#This Row],[Valor Unitario Estimado]]*TAB_ESTOQUE[[#This Row],[Estoque]]</f>
        <v>0</v>
      </c>
      <c r="V466" s="91"/>
      <c r="W466" s="85"/>
      <c r="X466" s="85"/>
      <c r="Y466" s="85"/>
      <c r="Z466" s="85"/>
      <c r="AA466" s="85"/>
      <c r="AB466" s="85" t="str">
        <f>IF(TAB_ESTOQUE[[#This Row],[Estoque]]=0,"Estoque Não Conforme",IF(TAB_ESTOQUE[[#This Row],[Estoque]]&gt;=TAB_ESTOQUE[[#This Row],[Mínimo]],"Estoque Conforme",IF(TAB_ESTOQUE[[#This Row],[Estoque]]&lt;TAB_ESTOQUE[[#This Row],[Mínimo]],"Estoque em Nivel Minimo")))</f>
        <v>Estoque Não Conforme</v>
      </c>
      <c r="AC466" s="85"/>
      <c r="AD466" s="82"/>
      <c r="AE466" s="82"/>
      <c r="AF466" s="82"/>
    </row>
    <row r="467" spans="1:32" ht="15" customHeight="1" x14ac:dyDescent="0.25">
      <c r="A467" s="45">
        <v>177</v>
      </c>
      <c r="B467" s="47"/>
      <c r="C467" s="46"/>
      <c r="D467" s="45" t="s">
        <v>1887</v>
      </c>
      <c r="E467" s="46" t="s">
        <v>1240</v>
      </c>
      <c r="F467" s="87"/>
      <c r="G467" s="82"/>
      <c r="H467" s="82"/>
      <c r="I467" s="208" t="s">
        <v>6235</v>
      </c>
      <c r="J467" s="82"/>
      <c r="K467" s="82"/>
      <c r="L467" s="82"/>
      <c r="M467" s="82"/>
      <c r="N467" s="82"/>
      <c r="O467" s="87" t="s">
        <v>6416</v>
      </c>
      <c r="P467" s="82" t="s">
        <v>124</v>
      </c>
      <c r="Q467" s="83">
        <f>VLOOKUP(TAB_ESTOQUE[[#This Row],[Codigo]],TAB_ENTRADA[[Cod_2_Entrada]:[TOTAL_ENTRADA]],5,FALSE)-VLOOKUP(TAB_ESTOQUE[[#This Row],[Codigo]],TAB_SAIDA[[COD_2_SAIDA]:[TOTAL_SAIDA]],5,FALSE)</f>
        <v>1</v>
      </c>
      <c r="R467" s="87"/>
      <c r="S467" s="87"/>
      <c r="T467" s="90"/>
      <c r="U467" s="91">
        <f>TAB_ESTOQUE[[#This Row],[Valor Unitario Estimado]]*TAB_ESTOQUE[[#This Row],[Estoque]]</f>
        <v>0</v>
      </c>
      <c r="V467" s="91"/>
      <c r="W467" s="85"/>
      <c r="X467" s="85"/>
      <c r="Y467" s="85"/>
      <c r="Z467" s="85"/>
      <c r="AA467" s="85"/>
      <c r="AB467" s="85" t="str">
        <f>IF(TAB_ESTOQUE[[#This Row],[Estoque]]=0,"Estoque Não Conforme",IF(TAB_ESTOQUE[[#This Row],[Estoque]]&gt;=TAB_ESTOQUE[[#This Row],[Mínimo]],"Estoque Conforme",IF(TAB_ESTOQUE[[#This Row],[Estoque]]&lt;TAB_ESTOQUE[[#This Row],[Mínimo]],"Estoque em Nivel Minimo")))</f>
        <v>Estoque Conforme</v>
      </c>
      <c r="AC467" s="85"/>
      <c r="AD467" s="82"/>
      <c r="AE467" s="82"/>
      <c r="AF467" s="82"/>
    </row>
    <row r="468" spans="1:32" ht="15" customHeight="1" x14ac:dyDescent="0.25">
      <c r="A468" s="45">
        <v>1006</v>
      </c>
      <c r="B468" s="47"/>
      <c r="C468" s="46"/>
      <c r="D468" s="45" t="s">
        <v>1980</v>
      </c>
      <c r="E468" s="46" t="s">
        <v>7</v>
      </c>
      <c r="F468" s="87"/>
      <c r="G468" s="82"/>
      <c r="H468" s="82"/>
      <c r="I468" s="82" t="s">
        <v>6105</v>
      </c>
      <c r="J468" s="82"/>
      <c r="K468" s="82" t="s">
        <v>15</v>
      </c>
      <c r="L468" s="82"/>
      <c r="M468" s="82"/>
      <c r="N468" s="82"/>
      <c r="O468" s="87" t="s">
        <v>6416</v>
      </c>
      <c r="P468" s="82" t="s">
        <v>775</v>
      </c>
      <c r="Q468" s="83">
        <f>VLOOKUP(TAB_ESTOQUE[[#This Row],[Codigo]],TAB_ENTRADA[[Cod_2_Entrada]:[TOTAL_ENTRADA]],5,FALSE)-VLOOKUP(TAB_ESTOQUE[[#This Row],[Codigo]],TAB_SAIDA[[COD_2_SAIDA]:[TOTAL_SAIDA]],5,FALSE)</f>
        <v>0</v>
      </c>
      <c r="R468" s="87"/>
      <c r="S468" s="87"/>
      <c r="T468" s="90"/>
      <c r="U468" s="91">
        <f>TAB_ESTOQUE[[#This Row],[Valor Unitario Estimado]]*TAB_ESTOQUE[[#This Row],[Estoque]]</f>
        <v>0</v>
      </c>
      <c r="V468" s="91"/>
      <c r="W468" s="85"/>
      <c r="X468" s="85"/>
      <c r="Y468" s="85"/>
      <c r="Z468" s="85"/>
      <c r="AA468" s="85"/>
      <c r="AB468" s="85" t="str">
        <f>IF(TAB_ESTOQUE[[#This Row],[Estoque]]=0,"Estoque Não Conforme",IF(TAB_ESTOQUE[[#This Row],[Estoque]]&gt;=TAB_ESTOQUE[[#This Row],[Mínimo]],"Estoque Conforme",IF(TAB_ESTOQUE[[#This Row],[Estoque]]&lt;TAB_ESTOQUE[[#This Row],[Mínimo]],"Estoque em Nivel Minimo")))</f>
        <v>Estoque Não Conforme</v>
      </c>
      <c r="AC468" s="85"/>
      <c r="AD468" s="82"/>
      <c r="AE468" s="82"/>
      <c r="AF468" s="82"/>
    </row>
    <row r="469" spans="1:32" ht="15" customHeight="1" x14ac:dyDescent="0.25">
      <c r="A469" s="45">
        <v>1346</v>
      </c>
      <c r="B469" s="47"/>
      <c r="C469" s="46"/>
      <c r="D469" s="45" t="s">
        <v>1982</v>
      </c>
      <c r="E469" s="46" t="s">
        <v>7</v>
      </c>
      <c r="F469" s="87"/>
      <c r="G469" s="82"/>
      <c r="H469" s="82"/>
      <c r="I469" s="82" t="s">
        <v>6106</v>
      </c>
      <c r="J469" s="82"/>
      <c r="K469" s="82"/>
      <c r="L469" s="82"/>
      <c r="M469" s="82"/>
      <c r="N469" s="82"/>
      <c r="O469" s="87" t="s">
        <v>6416</v>
      </c>
      <c r="P469" s="82" t="s">
        <v>1082</v>
      </c>
      <c r="Q469" s="83">
        <f>VLOOKUP(TAB_ESTOQUE[[#This Row],[Codigo]],TAB_ENTRADA[[Cod_2_Entrada]:[TOTAL_ENTRADA]],5,FALSE)-VLOOKUP(TAB_ESTOQUE[[#This Row],[Codigo]],TAB_SAIDA[[COD_2_SAIDA]:[TOTAL_SAIDA]],5,FALSE)</f>
        <v>2</v>
      </c>
      <c r="R469" s="87"/>
      <c r="S469" s="87"/>
      <c r="T469" s="90"/>
      <c r="U469" s="91">
        <f>TAB_ESTOQUE[[#This Row],[Valor Unitario Estimado]]*TAB_ESTOQUE[[#This Row],[Estoque]]</f>
        <v>0</v>
      </c>
      <c r="V469" s="91"/>
      <c r="W469" s="85"/>
      <c r="X469" s="85"/>
      <c r="Y469" s="85"/>
      <c r="Z469" s="85"/>
      <c r="AA469" s="85"/>
      <c r="AB469" s="85" t="str">
        <f>IF(TAB_ESTOQUE[[#This Row],[Estoque]]=0,"Estoque Não Conforme",IF(TAB_ESTOQUE[[#This Row],[Estoque]]&gt;=TAB_ESTOQUE[[#This Row],[Mínimo]],"Estoque Conforme",IF(TAB_ESTOQUE[[#This Row],[Estoque]]&lt;TAB_ESTOQUE[[#This Row],[Mínimo]],"Estoque em Nivel Minimo")))</f>
        <v>Estoque Conforme</v>
      </c>
      <c r="AC469" s="85"/>
      <c r="AD469" s="82"/>
      <c r="AE469" s="82"/>
      <c r="AF469" s="82"/>
    </row>
    <row r="470" spans="1:32" ht="15" customHeight="1" x14ac:dyDescent="0.25">
      <c r="A470" s="45">
        <v>1134</v>
      </c>
      <c r="B470" s="47"/>
      <c r="C470" s="46"/>
      <c r="D470" s="45" t="s">
        <v>2565</v>
      </c>
      <c r="E470" s="46" t="s">
        <v>7907</v>
      </c>
      <c r="F470" s="87"/>
      <c r="G470" s="82"/>
      <c r="H470" s="82"/>
      <c r="I470" s="82" t="s">
        <v>7682</v>
      </c>
      <c r="J470" s="82"/>
      <c r="K470" s="82"/>
      <c r="L470" s="82"/>
      <c r="M470" s="82"/>
      <c r="N470" s="82"/>
      <c r="O470" s="87" t="s">
        <v>6416</v>
      </c>
      <c r="P470" s="82" t="s">
        <v>1477</v>
      </c>
      <c r="Q470" s="83">
        <f>VLOOKUP(TAB_ESTOQUE[[#This Row],[Codigo]],TAB_ENTRADA[[Cod_2_Entrada]:[TOTAL_ENTRADA]],5,FALSE)-VLOOKUP(TAB_ESTOQUE[[#This Row],[Codigo]],TAB_SAIDA[[COD_2_SAIDA]:[TOTAL_SAIDA]],5,FALSE)</f>
        <v>0</v>
      </c>
      <c r="R470" s="87"/>
      <c r="S470" s="87"/>
      <c r="T470" s="90"/>
      <c r="U470" s="91">
        <f>TAB_ESTOQUE[[#This Row],[Valor Unitario Estimado]]*TAB_ESTOQUE[[#This Row],[Estoque]]</f>
        <v>0</v>
      </c>
      <c r="V470" s="91"/>
      <c r="W470" s="85"/>
      <c r="X470" s="85"/>
      <c r="Y470" s="85"/>
      <c r="Z470" s="85"/>
      <c r="AA470" s="85"/>
      <c r="AB470" s="85" t="str">
        <f>IF(TAB_ESTOQUE[[#This Row],[Estoque]]=0,"Estoque Não Conforme",IF(TAB_ESTOQUE[[#This Row],[Estoque]]&gt;=TAB_ESTOQUE[[#This Row],[Mínimo]],"Estoque Conforme",IF(TAB_ESTOQUE[[#This Row],[Estoque]]&lt;TAB_ESTOQUE[[#This Row],[Mínimo]],"Estoque em Nivel Minimo")))</f>
        <v>Estoque Não Conforme</v>
      </c>
      <c r="AC470" s="85"/>
      <c r="AD470" s="82"/>
      <c r="AE470" s="82"/>
      <c r="AF470" s="82"/>
    </row>
    <row r="471" spans="1:32" ht="15" customHeight="1" x14ac:dyDescent="0.25">
      <c r="C471" s="48"/>
      <c r="D471" s="45" t="s">
        <v>6759</v>
      </c>
      <c r="E471" s="46"/>
      <c r="F471" s="46"/>
      <c r="I471" s="45" t="s">
        <v>7902</v>
      </c>
      <c r="O471" s="46" t="s">
        <v>6416</v>
      </c>
      <c r="Q471" s="83">
        <f>VLOOKUP(TAB_ESTOQUE[[#This Row],[Codigo]],TAB_ENTRADA[[Cod_2_Entrada]:[TOTAL_ENTRADA]],5,FALSE)-VLOOKUP(TAB_ESTOQUE[[#This Row],[Codigo]],TAB_SAIDA[[COD_2_SAIDA]:[TOTAL_SAIDA]],5,FALSE)</f>
        <v>3</v>
      </c>
      <c r="S471" s="46"/>
      <c r="T471" s="102"/>
      <c r="U471" s="103">
        <f>TAB_ESTOQUE[[#This Row],[Valor Unitario Estimado]]*TAB_ESTOQUE[[#This Row],[Estoque]]</f>
        <v>0</v>
      </c>
      <c r="V471" s="103"/>
      <c r="AB471" s="104" t="str">
        <f>IF(TAB_ESTOQUE[[#This Row],[Estoque]]=0,"Estoque Não Conforme",IF(TAB_ESTOQUE[[#This Row],[Estoque]]&gt;=TAB_ESTOQUE[[#This Row],[Mínimo]],"Estoque Conforme",IF(TAB_ESTOQUE[[#This Row],[Estoque]]&lt;TAB_ESTOQUE[[#This Row],[Mínimo]],"Estoque em Nivel Minimo")))</f>
        <v>Estoque Conforme</v>
      </c>
      <c r="AC471" s="104"/>
      <c r="AE471" s="82"/>
      <c r="AF471" s="82"/>
    </row>
    <row r="472" spans="1:32" ht="15" customHeight="1" x14ac:dyDescent="0.25">
      <c r="C472" s="105" t="s">
        <v>2838</v>
      </c>
      <c r="D472" s="45" t="s">
        <v>6790</v>
      </c>
      <c r="E472" s="46"/>
      <c r="F472" s="46"/>
      <c r="I472" s="45" t="s">
        <v>7903</v>
      </c>
      <c r="O472" s="46" t="s">
        <v>6416</v>
      </c>
      <c r="Q472" s="83">
        <f>VLOOKUP(TAB_ESTOQUE[[#This Row],[Codigo]],TAB_ENTRADA[[Cod_2_Entrada]:[TOTAL_ENTRADA]],5,FALSE)-VLOOKUP(TAB_ESTOQUE[[#This Row],[Codigo]],TAB_SAIDA[[COD_2_SAIDA]:[TOTAL_SAIDA]],5,FALSE)</f>
        <v>1</v>
      </c>
      <c r="S472" s="46"/>
      <c r="T472" s="102"/>
      <c r="U472" s="103">
        <f>TAB_ESTOQUE[[#This Row],[Valor Unitario Estimado]]*TAB_ESTOQUE[[#This Row],[Estoque]]</f>
        <v>0</v>
      </c>
      <c r="V472" s="103"/>
      <c r="AB472" s="104" t="str">
        <f>IF(TAB_ESTOQUE[[#This Row],[Estoque]]=0,"Estoque Não Conforme",IF(TAB_ESTOQUE[[#This Row],[Estoque]]&gt;=TAB_ESTOQUE[[#This Row],[Mínimo]],"Estoque Conforme",IF(TAB_ESTOQUE[[#This Row],[Estoque]]&lt;TAB_ESTOQUE[[#This Row],[Mínimo]],"Estoque em Nivel Minimo")))</f>
        <v>Estoque Conforme</v>
      </c>
      <c r="AC472" s="104"/>
      <c r="AE472" s="82"/>
      <c r="AF472" s="82"/>
    </row>
    <row r="473" spans="1:32" ht="15" customHeight="1" x14ac:dyDescent="0.25">
      <c r="C473" s="48"/>
      <c r="D473" s="45" t="s">
        <v>7054</v>
      </c>
      <c r="E473" s="46" t="s">
        <v>7185</v>
      </c>
      <c r="F473" s="46"/>
      <c r="I473" s="45" t="s">
        <v>7360</v>
      </c>
      <c r="O473" s="46" t="s">
        <v>6416</v>
      </c>
      <c r="Q473" s="137">
        <f>VLOOKUP(TAB_ESTOQUE[[#This Row],[Codigo]],TAB_ENTRADA[[Cod_2_Entrada]:[TOTAL_ENTRADA]],5,FALSE)-VLOOKUP(TAB_ESTOQUE[[#This Row],[Codigo]],TAB_SAIDA[[COD_2_SAIDA]:[TOTAL_SAIDA]],5,FALSE)</f>
        <v>0</v>
      </c>
      <c r="S473" s="46"/>
      <c r="T473" s="102">
        <v>2929.62</v>
      </c>
      <c r="U473" s="103">
        <f>TAB_ESTOQUE[[#This Row],[Valor Unitario Estimado]]*TAB_ESTOQUE[[#This Row],[Estoque]]</f>
        <v>0</v>
      </c>
      <c r="V473" s="103"/>
      <c r="AA473" s="138"/>
      <c r="AB473" s="104" t="str">
        <f>IF(TAB_ESTOQUE[[#This Row],[Estoque]]=0,"Estoque Não Conforme",IF(TAB_ESTOQUE[[#This Row],[Estoque]]&gt;=TAB_ESTOQUE[[#This Row],[Mínimo]],"Estoque Conforme",IF(TAB_ESTOQUE[[#This Row],[Estoque]]&lt;TAB_ESTOQUE[[#This Row],[Mínimo]],"Estoque em Nivel Minimo")))</f>
        <v>Estoque Não Conforme</v>
      </c>
      <c r="AC473" s="104"/>
      <c r="AE473" s="82"/>
      <c r="AF473" s="82"/>
    </row>
    <row r="474" spans="1:32" ht="15" customHeight="1" x14ac:dyDescent="0.25">
      <c r="A474" s="45">
        <v>640</v>
      </c>
      <c r="B474" s="47"/>
      <c r="C474" s="46"/>
      <c r="D474" s="45" t="s">
        <v>1960</v>
      </c>
      <c r="E474" s="46" t="s">
        <v>1658</v>
      </c>
      <c r="F474" s="87"/>
      <c r="G474" s="82"/>
      <c r="H474" s="82"/>
      <c r="I474" s="82" t="s">
        <v>6381</v>
      </c>
      <c r="J474" s="82"/>
      <c r="K474" s="82"/>
      <c r="L474" s="82"/>
      <c r="M474" s="82"/>
      <c r="N474" s="82"/>
      <c r="O474" s="87" t="s">
        <v>6274</v>
      </c>
      <c r="P474" s="82" t="s">
        <v>419</v>
      </c>
      <c r="Q474" s="83">
        <f>VLOOKUP(TAB_ESTOQUE[[#This Row],[Codigo]],TAB_ENTRADA[[Cod_2_Entrada]:[TOTAL_ENTRADA]],5,FALSE)-VLOOKUP(TAB_ESTOQUE[[#This Row],[Codigo]],TAB_SAIDA[[COD_2_SAIDA]:[TOTAL_SAIDA]],5,FALSE)</f>
        <v>2</v>
      </c>
      <c r="R474" s="87"/>
      <c r="S474" s="87"/>
      <c r="T474" s="90">
        <v>1752</v>
      </c>
      <c r="U474" s="91">
        <f>TAB_ESTOQUE[[#This Row],[Valor Unitario Estimado]]*TAB_ESTOQUE[[#This Row],[Estoque]]</f>
        <v>3504</v>
      </c>
      <c r="V474" s="91"/>
      <c r="W474" s="85"/>
      <c r="X474" s="85"/>
      <c r="Y474" s="85"/>
      <c r="Z474" s="85"/>
      <c r="AA474" s="85"/>
      <c r="AB474" s="85" t="str">
        <f>IF(TAB_ESTOQUE[[#This Row],[Estoque]]=0,"Estoque Não Conforme",IF(TAB_ESTOQUE[[#This Row],[Estoque]]&gt;=TAB_ESTOQUE[[#This Row],[Mínimo]],"Estoque Conforme",IF(TAB_ESTOQUE[[#This Row],[Estoque]]&lt;TAB_ESTOQUE[[#This Row],[Mínimo]],"Estoque em Nivel Minimo")))</f>
        <v>Estoque Conforme</v>
      </c>
      <c r="AC474" s="85"/>
      <c r="AD474" s="82"/>
      <c r="AE474" s="82"/>
      <c r="AF474" s="82"/>
    </row>
    <row r="475" spans="1:32" ht="15" customHeight="1" x14ac:dyDescent="0.25">
      <c r="A475" s="45">
        <v>639</v>
      </c>
      <c r="B475" s="47"/>
      <c r="C475" s="46"/>
      <c r="D475" s="45" t="s">
        <v>1961</v>
      </c>
      <c r="E475" s="46" t="s">
        <v>7185</v>
      </c>
      <c r="F475" s="87"/>
      <c r="G475" s="82"/>
      <c r="H475" s="82"/>
      <c r="I475" s="82" t="s">
        <v>6383</v>
      </c>
      <c r="J475" s="82"/>
      <c r="K475" s="82" t="s">
        <v>35</v>
      </c>
      <c r="L475" s="82"/>
      <c r="M475" s="82"/>
      <c r="N475" s="82"/>
      <c r="O475" s="87" t="s">
        <v>6274</v>
      </c>
      <c r="P475" s="82" t="s">
        <v>417</v>
      </c>
      <c r="Q475" s="83">
        <f>VLOOKUP(TAB_ESTOQUE[[#This Row],[Codigo]],TAB_ENTRADA[[Cod_2_Entrada]:[TOTAL_ENTRADA]],5,FALSE)-VLOOKUP(TAB_ESTOQUE[[#This Row],[Codigo]],TAB_SAIDA[[COD_2_SAIDA]:[TOTAL_SAIDA]],5,FALSE)</f>
        <v>1</v>
      </c>
      <c r="R475" s="87"/>
      <c r="S475" s="87"/>
      <c r="T475" s="90"/>
      <c r="U475" s="91">
        <f>TAB_ESTOQUE[[#This Row],[Valor Unitario Estimado]]*TAB_ESTOQUE[[#This Row],[Estoque]]</f>
        <v>0</v>
      </c>
      <c r="V475" s="91"/>
      <c r="W475" s="85"/>
      <c r="X475" s="85"/>
      <c r="Y475" s="85"/>
      <c r="Z475" s="85"/>
      <c r="AA475" s="85"/>
      <c r="AB475" s="85" t="str">
        <f>IF(TAB_ESTOQUE[[#This Row],[Estoque]]=0,"Estoque Não Conforme",IF(TAB_ESTOQUE[[#This Row],[Estoque]]&gt;=TAB_ESTOQUE[[#This Row],[Mínimo]],"Estoque Conforme",IF(TAB_ESTOQUE[[#This Row],[Estoque]]&lt;TAB_ESTOQUE[[#This Row],[Mínimo]],"Estoque em Nivel Minimo")))</f>
        <v>Estoque Conforme</v>
      </c>
      <c r="AC475" s="85"/>
      <c r="AD475" s="82"/>
      <c r="AE475" s="82"/>
      <c r="AF475" s="82"/>
    </row>
    <row r="476" spans="1:32" ht="15" customHeight="1" x14ac:dyDescent="0.25">
      <c r="A476" s="45">
        <v>859</v>
      </c>
      <c r="B476" s="47"/>
      <c r="C476" s="46"/>
      <c r="D476" s="45" t="s">
        <v>2500</v>
      </c>
      <c r="E476" s="46" t="s">
        <v>1240</v>
      </c>
      <c r="F476" s="87"/>
      <c r="G476" s="82"/>
      <c r="H476" s="82"/>
      <c r="I476" s="82" t="s">
        <v>8085</v>
      </c>
      <c r="J476" s="82"/>
      <c r="K476" s="82"/>
      <c r="L476" s="82"/>
      <c r="M476" s="82"/>
      <c r="N476" s="82"/>
      <c r="O476" s="87" t="s">
        <v>6274</v>
      </c>
      <c r="P476" s="82" t="s">
        <v>653</v>
      </c>
      <c r="Q476" s="83">
        <f>VLOOKUP(TAB_ESTOQUE[[#This Row],[Codigo]],TAB_ENTRADA[[Cod_2_Entrada]:[TOTAL_ENTRADA]],5,FALSE)-VLOOKUP(TAB_ESTOQUE[[#This Row],[Codigo]],TAB_SAIDA[[COD_2_SAIDA]:[TOTAL_SAIDA]],5,FALSE)</f>
        <v>2</v>
      </c>
      <c r="R476" s="87"/>
      <c r="S476" s="87"/>
      <c r="T476" s="90">
        <v>1559.95</v>
      </c>
      <c r="U476" s="91">
        <f>TAB_ESTOQUE[[#This Row],[Valor Unitario Estimado]]*TAB_ESTOQUE[[#This Row],[Estoque]]</f>
        <v>3119.9</v>
      </c>
      <c r="V476" s="91"/>
      <c r="W476" s="85"/>
      <c r="X476" s="85"/>
      <c r="Y476" s="85"/>
      <c r="Z476" s="85"/>
      <c r="AA476" s="85"/>
      <c r="AB476" s="85" t="str">
        <f>IF(TAB_ESTOQUE[[#This Row],[Estoque]]=0,"Estoque Não Conforme",IF(TAB_ESTOQUE[[#This Row],[Estoque]]&gt;=TAB_ESTOQUE[[#This Row],[Mínimo]],"Estoque Conforme",IF(TAB_ESTOQUE[[#This Row],[Estoque]]&lt;TAB_ESTOQUE[[#This Row],[Mínimo]],"Estoque em Nivel Minimo")))</f>
        <v>Estoque Conforme</v>
      </c>
      <c r="AC476" s="85"/>
      <c r="AD476" s="82"/>
      <c r="AE476" s="82"/>
      <c r="AF476" s="82"/>
    </row>
    <row r="477" spans="1:32" ht="15" customHeight="1" x14ac:dyDescent="0.25">
      <c r="B477" s="47"/>
      <c r="C477" s="46" t="s">
        <v>2833</v>
      </c>
      <c r="D477" s="45" t="s">
        <v>2760</v>
      </c>
      <c r="E477" s="46"/>
      <c r="F477" s="87"/>
      <c r="G477" s="82"/>
      <c r="H477" s="82"/>
      <c r="I477" s="82" t="s">
        <v>6382</v>
      </c>
      <c r="J477" s="82"/>
      <c r="K477" s="82"/>
      <c r="L477" s="82"/>
      <c r="M477" s="82"/>
      <c r="N477" s="82"/>
      <c r="O477" s="87" t="s">
        <v>6274</v>
      </c>
      <c r="P477" s="82" t="s">
        <v>1591</v>
      </c>
      <c r="Q477" s="83">
        <f>VLOOKUP(TAB_ESTOQUE[[#This Row],[Codigo]],TAB_ENTRADA[[Cod_2_Entrada]:[TOTAL_ENTRADA]],5,FALSE)-VLOOKUP(TAB_ESTOQUE[[#This Row],[Codigo]],TAB_SAIDA[[COD_2_SAIDA]:[TOTAL_SAIDA]],5,FALSE)</f>
        <v>2</v>
      </c>
      <c r="R477" s="87"/>
      <c r="S477" s="87"/>
      <c r="T477" s="90"/>
      <c r="U477" s="91">
        <f>TAB_ESTOQUE[[#This Row],[Valor Unitario Estimado]]*TAB_ESTOQUE[[#This Row],[Estoque]]</f>
        <v>0</v>
      </c>
      <c r="V477" s="91"/>
      <c r="W477" s="85"/>
      <c r="X477" s="85"/>
      <c r="Y477" s="85"/>
      <c r="Z477" s="85"/>
      <c r="AA477" s="85"/>
      <c r="AB477" s="96" t="str">
        <f>IF(TAB_ESTOQUE[[#This Row],[Estoque]]=0,"Estoque Não Conforme",IF(TAB_ESTOQUE[[#This Row],[Estoque]]&gt;=TAB_ESTOQUE[[#This Row],[Mínimo]],"Estoque Conforme",IF(TAB_ESTOQUE[[#This Row],[Estoque]]&lt;TAB_ESTOQUE[[#This Row],[Mínimo]],"Estoque em Nivel Minimo")))</f>
        <v>Estoque Conforme</v>
      </c>
      <c r="AC477" s="96"/>
      <c r="AD477" s="82"/>
      <c r="AE477" s="82"/>
      <c r="AF477" s="82"/>
    </row>
    <row r="478" spans="1:32" ht="15" customHeight="1" x14ac:dyDescent="0.25">
      <c r="A478" s="45">
        <v>593</v>
      </c>
      <c r="B478" s="47"/>
      <c r="C478" s="46" t="s">
        <v>2833</v>
      </c>
      <c r="D478" s="45" t="s">
        <v>1966</v>
      </c>
      <c r="E478" s="46"/>
      <c r="F478" s="87"/>
      <c r="G478" s="82"/>
      <c r="H478" s="82"/>
      <c r="I478" s="82" t="s">
        <v>7904</v>
      </c>
      <c r="J478" s="82"/>
      <c r="K478" s="82"/>
      <c r="L478" s="82"/>
      <c r="M478" s="82" t="s">
        <v>8</v>
      </c>
      <c r="N478" s="82"/>
      <c r="O478" s="87" t="s">
        <v>6403</v>
      </c>
      <c r="P478" s="82" t="s">
        <v>372</v>
      </c>
      <c r="Q478" s="83">
        <f>VLOOKUP(TAB_ESTOQUE[[#This Row],[Codigo]],TAB_ENTRADA[[Cod_2_Entrada]:[TOTAL_ENTRADA]],5,FALSE)-VLOOKUP(TAB_ESTOQUE[[#This Row],[Codigo]],TAB_SAIDA[[COD_2_SAIDA]:[TOTAL_SAIDA]],5,FALSE)</f>
        <v>0</v>
      </c>
      <c r="R478" s="87"/>
      <c r="S478" s="87"/>
      <c r="T478" s="90"/>
      <c r="U478" s="91">
        <f>TAB_ESTOQUE[[#This Row],[Valor Unitario Estimado]]*TAB_ESTOQUE[[#This Row],[Estoque]]</f>
        <v>0</v>
      </c>
      <c r="V478" s="91"/>
      <c r="W478" s="85"/>
      <c r="X478" s="85"/>
      <c r="Y478" s="85"/>
      <c r="Z478" s="85"/>
      <c r="AA478" s="85"/>
      <c r="AB478" s="85" t="str">
        <f>IF(TAB_ESTOQUE[[#This Row],[Estoque]]=0,"Estoque Não Conforme",IF(TAB_ESTOQUE[[#This Row],[Estoque]]&gt;=TAB_ESTOQUE[[#This Row],[Mínimo]],"Estoque Conforme",IF(TAB_ESTOQUE[[#This Row],[Estoque]]&lt;TAB_ESTOQUE[[#This Row],[Mínimo]],"Estoque em Nivel Minimo")))</f>
        <v>Estoque Não Conforme</v>
      </c>
      <c r="AC478" s="85"/>
      <c r="AD478" s="82"/>
      <c r="AE478" s="82"/>
      <c r="AF478" s="82"/>
    </row>
    <row r="479" spans="1:32" ht="15" customHeight="1" x14ac:dyDescent="0.25">
      <c r="A479" s="45">
        <v>1678</v>
      </c>
      <c r="B479" s="47"/>
      <c r="C479" s="46"/>
      <c r="D479" s="45" t="s">
        <v>1979</v>
      </c>
      <c r="E479" s="46" t="s">
        <v>7</v>
      </c>
      <c r="F479" s="87"/>
      <c r="G479" s="82"/>
      <c r="H479" s="82"/>
      <c r="I479" s="209" t="s">
        <v>762</v>
      </c>
      <c r="J479" s="82"/>
      <c r="K479" s="82"/>
      <c r="L479" s="82"/>
      <c r="M479" s="82"/>
      <c r="N479" s="82"/>
      <c r="O479" s="87" t="s">
        <v>6403</v>
      </c>
      <c r="P479" s="82" t="s">
        <v>1110</v>
      </c>
      <c r="Q479" s="83">
        <f>VLOOKUP(TAB_ESTOQUE[[#This Row],[Codigo]],TAB_ENTRADA[[Cod_2_Entrada]:[TOTAL_ENTRADA]],5,FALSE)-VLOOKUP(TAB_ESTOQUE[[#This Row],[Codigo]],TAB_SAIDA[[COD_2_SAIDA]:[TOTAL_SAIDA]],5,FALSE)</f>
        <v>0</v>
      </c>
      <c r="R479" s="87"/>
      <c r="S479" s="87"/>
      <c r="T479" s="90"/>
      <c r="U479" s="91">
        <f>TAB_ESTOQUE[[#This Row],[Valor Unitario Estimado]]*TAB_ESTOQUE[[#This Row],[Estoque]]</f>
        <v>0</v>
      </c>
      <c r="V479" s="91"/>
      <c r="W479" s="85"/>
      <c r="X479" s="85"/>
      <c r="Y479" s="85"/>
      <c r="Z479" s="85"/>
      <c r="AA479" s="85"/>
      <c r="AB479" s="85" t="str">
        <f>IF(TAB_ESTOQUE[[#This Row],[Estoque]]=0,"Estoque Não Conforme",IF(TAB_ESTOQUE[[#This Row],[Estoque]]&gt;=TAB_ESTOQUE[[#This Row],[Mínimo]],"Estoque Conforme",IF(TAB_ESTOQUE[[#This Row],[Estoque]]&lt;TAB_ESTOQUE[[#This Row],[Mínimo]],"Estoque em Nivel Minimo")))</f>
        <v>Estoque Não Conforme</v>
      </c>
      <c r="AC479" s="85"/>
      <c r="AD479" s="82"/>
      <c r="AE479" s="82"/>
      <c r="AF479" s="82"/>
    </row>
    <row r="480" spans="1:32" ht="15" customHeight="1" x14ac:dyDescent="0.25">
      <c r="B480" s="47"/>
      <c r="C480" s="53" t="s">
        <v>2838</v>
      </c>
      <c r="D480" s="45" t="s">
        <v>2894</v>
      </c>
      <c r="E480" s="46"/>
      <c r="F480" s="87"/>
      <c r="G480" s="82"/>
      <c r="H480" s="82"/>
      <c r="I480" s="82" t="s">
        <v>7909</v>
      </c>
      <c r="J480" s="82"/>
      <c r="K480" s="82"/>
      <c r="L480" s="82"/>
      <c r="M480" s="82"/>
      <c r="N480" s="82"/>
      <c r="O480" s="87" t="s">
        <v>6403</v>
      </c>
      <c r="P480" s="82" t="s">
        <v>1188</v>
      </c>
      <c r="Q480" s="83">
        <f>VLOOKUP(TAB_ESTOQUE[[#This Row],[Codigo]],TAB_ENTRADA[[Cod_2_Entrada]:[TOTAL_ENTRADA]],5,FALSE)-VLOOKUP(TAB_ESTOQUE[[#This Row],[Codigo]],TAB_SAIDA[[COD_2_SAIDA]:[TOTAL_SAIDA]],5,FALSE)</f>
        <v>0</v>
      </c>
      <c r="R480" s="87"/>
      <c r="S480" s="87"/>
      <c r="T480" s="90"/>
      <c r="U480" s="91">
        <f>TAB_ESTOQUE[[#This Row],[Valor Unitario Estimado]]*TAB_ESTOQUE[[#This Row],[Estoque]]</f>
        <v>0</v>
      </c>
      <c r="V480" s="91"/>
      <c r="W480" s="85"/>
      <c r="X480" s="85"/>
      <c r="Y480" s="85"/>
      <c r="Z480" s="85"/>
      <c r="AA480" s="85"/>
      <c r="AB480" s="96" t="str">
        <f>IF(TAB_ESTOQUE[[#This Row],[Estoque]]=0,"Estoque Não Conforme",IF(TAB_ESTOQUE[[#This Row],[Estoque]]&gt;=TAB_ESTOQUE[[#This Row],[Mínimo]],"Estoque Conforme",IF(TAB_ESTOQUE[[#This Row],[Estoque]]&lt;TAB_ESTOQUE[[#This Row],[Mínimo]],"Estoque em Nivel Minimo")))</f>
        <v>Estoque Não Conforme</v>
      </c>
      <c r="AC480" s="96"/>
      <c r="AD480" s="82"/>
      <c r="AE480" s="82"/>
      <c r="AF480" s="82"/>
    </row>
    <row r="481" spans="1:32" ht="15" customHeight="1" x14ac:dyDescent="0.25">
      <c r="B481" s="53" t="s">
        <v>1622</v>
      </c>
      <c r="C481" s="105" t="s">
        <v>2838</v>
      </c>
      <c r="D481" s="45" t="s">
        <v>6572</v>
      </c>
      <c r="E481" s="46"/>
      <c r="F481" s="46"/>
      <c r="I481" s="45" t="s">
        <v>7045</v>
      </c>
      <c r="O481" s="46" t="s">
        <v>6403</v>
      </c>
      <c r="Q481" s="83">
        <f>VLOOKUP(TAB_ESTOQUE[[#This Row],[Codigo]],TAB_ENTRADA[[Cod_2_Entrada]:[TOTAL_ENTRADA]],5,FALSE)-VLOOKUP(TAB_ESTOQUE[[#This Row],[Codigo]],TAB_SAIDA[[COD_2_SAIDA]:[TOTAL_SAIDA]],5,FALSE)</f>
        <v>1</v>
      </c>
      <c r="S481" s="46"/>
      <c r="T481" s="102">
        <v>520.35</v>
      </c>
      <c r="U481" s="103">
        <f>TAB_ESTOQUE[[#This Row],[Valor Unitario Estimado]]*TAB_ESTOQUE[[#This Row],[Estoque]]</f>
        <v>520.35</v>
      </c>
      <c r="V481" s="103"/>
      <c r="AB481" s="104" t="str">
        <f>IF(TAB_ESTOQUE[[#This Row],[Estoque]]=0,"Estoque Não Conforme",IF(TAB_ESTOQUE[[#This Row],[Estoque]]&gt;=TAB_ESTOQUE[[#This Row],[Mínimo]],"Estoque Conforme",IF(TAB_ESTOQUE[[#This Row],[Estoque]]&lt;TAB_ESTOQUE[[#This Row],[Mínimo]],"Estoque em Nivel Minimo")))</f>
        <v>Estoque Conforme</v>
      </c>
      <c r="AC481" s="104"/>
      <c r="AE481" s="82"/>
      <c r="AF481" s="82"/>
    </row>
    <row r="482" spans="1:32" ht="15" customHeight="1" x14ac:dyDescent="0.25">
      <c r="A482" s="47">
        <v>884</v>
      </c>
      <c r="B482" s="47"/>
      <c r="C482" s="51"/>
      <c r="D482" s="47" t="s">
        <v>1680</v>
      </c>
      <c r="E482" s="51"/>
      <c r="F482" s="107"/>
      <c r="G482" s="94"/>
      <c r="H482" s="94"/>
      <c r="I482" s="94" t="s">
        <v>8459</v>
      </c>
      <c r="J482" s="94"/>
      <c r="K482" s="94"/>
      <c r="L482" s="94"/>
      <c r="M482" s="94"/>
      <c r="N482" s="94"/>
      <c r="O482" s="107" t="s">
        <v>7900</v>
      </c>
      <c r="P482" s="94" t="s">
        <v>682</v>
      </c>
      <c r="Q482" s="145">
        <f>VLOOKUP(TAB_ESTOQUE[[#This Row],[Codigo]],TAB_ENTRADA[[Cod_2_Entrada]:[TOTAL_ENTRADA]],5,FALSE)-VLOOKUP(TAB_ESTOQUE[[#This Row],[Codigo]],TAB_SAIDA[[COD_2_SAIDA]:[TOTAL_SAIDA]],5,FALSE)</f>
        <v>5</v>
      </c>
      <c r="R482" s="107"/>
      <c r="S482" s="107"/>
      <c r="T482" s="108">
        <v>107</v>
      </c>
      <c r="U482" s="109">
        <f>TAB_ESTOQUE[[#This Row],[Valor Unitario Estimado]]*TAB_ESTOQUE[[#This Row],[Estoque]]</f>
        <v>535</v>
      </c>
      <c r="V482" s="109"/>
      <c r="W482" s="110"/>
      <c r="X482" s="110"/>
      <c r="Y482" s="110"/>
      <c r="Z482" s="110"/>
      <c r="AA482" s="110"/>
      <c r="AB482" s="110" t="str">
        <f>IF(TAB_ESTOQUE[[#This Row],[Estoque]]=0,"Estoque Não Conforme",IF(TAB_ESTOQUE[[#This Row],[Estoque]]&gt;=TAB_ESTOQUE[[#This Row],[Mínimo]],"Estoque Conforme",IF(TAB_ESTOQUE[[#This Row],[Estoque]]&lt;TAB_ESTOQUE[[#This Row],[Mínimo]],"Estoque em Nivel Minimo")))</f>
        <v>Estoque Conforme</v>
      </c>
      <c r="AC482" s="110"/>
      <c r="AD482" s="94"/>
      <c r="AE482" s="82"/>
      <c r="AF482" s="82"/>
    </row>
    <row r="483" spans="1:32" ht="15" customHeight="1" x14ac:dyDescent="0.25">
      <c r="A483" s="45">
        <v>74</v>
      </c>
      <c r="B483" s="47"/>
      <c r="C483" s="46" t="s">
        <v>2842</v>
      </c>
      <c r="D483" s="45" t="s">
        <v>1717</v>
      </c>
      <c r="E483" s="46" t="s">
        <v>7265</v>
      </c>
      <c r="F483" s="87"/>
      <c r="G483" s="82"/>
      <c r="H483" s="82"/>
      <c r="I483" s="82" t="s">
        <v>7899</v>
      </c>
      <c r="J483" s="82"/>
      <c r="K483" s="82"/>
      <c r="L483" s="82"/>
      <c r="M483" s="82"/>
      <c r="N483" s="82"/>
      <c r="O483" s="87" t="s">
        <v>7900</v>
      </c>
      <c r="P483" s="82" t="s">
        <v>44</v>
      </c>
      <c r="Q483" s="83">
        <f>VLOOKUP(TAB_ESTOQUE[[#This Row],[Codigo]],TAB_ENTRADA[[Cod_2_Entrada]:[TOTAL_ENTRADA]],5,FALSE)-VLOOKUP(TAB_ESTOQUE[[#This Row],[Codigo]],TAB_SAIDA[[COD_2_SAIDA]:[TOTAL_SAIDA]],5,FALSE)</f>
        <v>0</v>
      </c>
      <c r="R483" s="87"/>
      <c r="S483" s="87"/>
      <c r="T483" s="90">
        <v>250</v>
      </c>
      <c r="U483" s="91">
        <f>TAB_ESTOQUE[[#This Row],[Valor Unitario Estimado]]*TAB_ESTOQUE[[#This Row],[Estoque]]</f>
        <v>0</v>
      </c>
      <c r="V483" s="91"/>
      <c r="W483" s="85"/>
      <c r="X483" s="85"/>
      <c r="Y483" s="85"/>
      <c r="Z483" s="85"/>
      <c r="AA483" s="85"/>
      <c r="AB483" s="85" t="str">
        <f>IF(TAB_ESTOQUE[[#This Row],[Estoque]]=0,"Estoque Não Conforme",IF(TAB_ESTOQUE[[#This Row],[Estoque]]&gt;=TAB_ESTOQUE[[#This Row],[Mínimo]],"Estoque Conforme",IF(TAB_ESTOQUE[[#This Row],[Estoque]]&lt;TAB_ESTOQUE[[#This Row],[Mínimo]],"Estoque em Nivel Minimo")))</f>
        <v>Estoque Não Conforme</v>
      </c>
      <c r="AC483" s="85"/>
      <c r="AD483" s="82"/>
      <c r="AE483" s="82"/>
      <c r="AF483" s="82"/>
    </row>
    <row r="484" spans="1:32" ht="15" customHeight="1" x14ac:dyDescent="0.25">
      <c r="A484" s="45">
        <v>1340</v>
      </c>
      <c r="B484" s="47"/>
      <c r="C484" s="46"/>
      <c r="D484" s="45" t="s">
        <v>2100</v>
      </c>
      <c r="E484" s="46"/>
      <c r="F484" s="87"/>
      <c r="G484" s="82"/>
      <c r="H484" s="82"/>
      <c r="I484" s="82" t="s">
        <v>7898</v>
      </c>
      <c r="J484" s="82"/>
      <c r="K484" s="82"/>
      <c r="L484" s="82"/>
      <c r="M484" s="82" t="s">
        <v>139</v>
      </c>
      <c r="N484" s="82"/>
      <c r="O484" s="87" t="s">
        <v>7900</v>
      </c>
      <c r="P484" s="82" t="s">
        <v>1074</v>
      </c>
      <c r="Q484" s="83">
        <f>VLOOKUP(TAB_ESTOQUE[[#This Row],[Codigo]],TAB_ENTRADA[[Cod_2_Entrada]:[TOTAL_ENTRADA]],5,FALSE)-VLOOKUP(TAB_ESTOQUE[[#This Row],[Codigo]],TAB_SAIDA[[COD_2_SAIDA]:[TOTAL_SAIDA]],5,FALSE)</f>
        <v>0</v>
      </c>
      <c r="R484" s="87"/>
      <c r="S484" s="87"/>
      <c r="T484" s="90"/>
      <c r="U484" s="91">
        <f>TAB_ESTOQUE[[#This Row],[Valor Unitario Estimado]]*TAB_ESTOQUE[[#This Row],[Estoque]]</f>
        <v>0</v>
      </c>
      <c r="V484" s="91"/>
      <c r="W484" s="85"/>
      <c r="X484" s="85"/>
      <c r="Y484" s="85"/>
      <c r="Z484" s="85"/>
      <c r="AA484" s="85"/>
      <c r="AB484" s="85" t="str">
        <f>IF(TAB_ESTOQUE[[#This Row],[Estoque]]=0,"Estoque Não Conforme",IF(TAB_ESTOQUE[[#This Row],[Estoque]]&gt;=TAB_ESTOQUE[[#This Row],[Mínimo]],"Estoque Conforme",IF(TAB_ESTOQUE[[#This Row],[Estoque]]&lt;TAB_ESTOQUE[[#This Row],[Mínimo]],"Estoque em Nivel Minimo")))</f>
        <v>Estoque Não Conforme</v>
      </c>
      <c r="AC484" s="85"/>
      <c r="AD484" s="82"/>
      <c r="AE484" s="82"/>
      <c r="AF484" s="82"/>
    </row>
    <row r="485" spans="1:32" ht="15" customHeight="1" x14ac:dyDescent="0.25">
      <c r="C485" s="48"/>
      <c r="D485" s="45" t="s">
        <v>7732</v>
      </c>
      <c r="E485" s="46"/>
      <c r="F485" s="46"/>
      <c r="I485" s="45" t="s">
        <v>8448</v>
      </c>
      <c r="O485" s="46" t="s">
        <v>7900</v>
      </c>
      <c r="Q485" s="137">
        <f>VLOOKUP(TAB_ESTOQUE[[#This Row],[Codigo]],TAB_ENTRADA[[Cod_2_Entrada]:[TOTAL_ENTRADA]],5,FALSE)-VLOOKUP(TAB_ESTOQUE[[#This Row],[Codigo]],TAB_SAIDA[[COD_2_SAIDA]:[TOTAL_SAIDA]],5,FALSE)</f>
        <v>2</v>
      </c>
      <c r="S485" s="46"/>
      <c r="T485" s="102"/>
      <c r="U485" s="103">
        <f>TAB_ESTOQUE[[#This Row],[Valor Unitario Estimado]]*TAB_ESTOQUE[[#This Row],[Estoque]]</f>
        <v>0</v>
      </c>
      <c r="V485" s="103"/>
      <c r="AA485" s="138"/>
      <c r="AB485" s="104" t="str">
        <f>IF(TAB_ESTOQUE[[#This Row],[Estoque]]=0,"Estoque Não Conforme",IF(TAB_ESTOQUE[[#This Row],[Estoque]]&gt;=TAB_ESTOQUE[[#This Row],[Mínimo]],"Estoque Conforme",IF(TAB_ESTOQUE[[#This Row],[Estoque]]&lt;TAB_ESTOQUE[[#This Row],[Mínimo]],"Estoque em Nivel Minimo")))</f>
        <v>Estoque Conforme</v>
      </c>
      <c r="AC485" s="104"/>
      <c r="AE485" s="82"/>
      <c r="AF485" s="82"/>
    </row>
    <row r="486" spans="1:32" ht="15" customHeight="1" x14ac:dyDescent="0.25">
      <c r="C486" s="48"/>
      <c r="D486" s="45" t="s">
        <v>7733</v>
      </c>
      <c r="E486" s="46"/>
      <c r="F486" s="46"/>
      <c r="I486" s="45" t="s">
        <v>8449</v>
      </c>
      <c r="O486" s="46" t="s">
        <v>7900</v>
      </c>
      <c r="Q486" s="137">
        <f>VLOOKUP(TAB_ESTOQUE[[#This Row],[Codigo]],TAB_ENTRADA[[Cod_2_Entrada]:[TOTAL_ENTRADA]],5,FALSE)-VLOOKUP(TAB_ESTOQUE[[#This Row],[Codigo]],TAB_SAIDA[[COD_2_SAIDA]:[TOTAL_SAIDA]],5,FALSE)</f>
        <v>2</v>
      </c>
      <c r="S486" s="46"/>
      <c r="T486" s="102"/>
      <c r="U486" s="103">
        <f>TAB_ESTOQUE[[#This Row],[Valor Unitario Estimado]]*TAB_ESTOQUE[[#This Row],[Estoque]]</f>
        <v>0</v>
      </c>
      <c r="V486" s="103"/>
      <c r="AA486" s="138"/>
      <c r="AB486" s="104" t="str">
        <f>IF(TAB_ESTOQUE[[#This Row],[Estoque]]=0,"Estoque Não Conforme",IF(TAB_ESTOQUE[[#This Row],[Estoque]]&gt;=TAB_ESTOQUE[[#This Row],[Mínimo]],"Estoque Conforme",IF(TAB_ESTOQUE[[#This Row],[Estoque]]&lt;TAB_ESTOQUE[[#This Row],[Mínimo]],"Estoque em Nivel Minimo")))</f>
        <v>Estoque Conforme</v>
      </c>
      <c r="AC486" s="104"/>
      <c r="AE486" s="82"/>
      <c r="AF486" s="82"/>
    </row>
    <row r="487" spans="1:32" s="47" customFormat="1" ht="15" customHeight="1" x14ac:dyDescent="0.25">
      <c r="A487" s="45">
        <v>533</v>
      </c>
      <c r="C487" s="46"/>
      <c r="D487" s="45" t="s">
        <v>1959</v>
      </c>
      <c r="E487" s="46" t="s">
        <v>7431</v>
      </c>
      <c r="F487" s="87"/>
      <c r="G487" s="82"/>
      <c r="H487" s="82"/>
      <c r="I487" s="82" t="s">
        <v>8479</v>
      </c>
      <c r="J487" s="82"/>
      <c r="K487" s="82"/>
      <c r="L487" s="82"/>
      <c r="M487" s="82" t="s">
        <v>94</v>
      </c>
      <c r="N487" s="82"/>
      <c r="O487" s="87" t="s">
        <v>6386</v>
      </c>
      <c r="P487" s="82" t="s">
        <v>307</v>
      </c>
      <c r="Q487" s="83">
        <f>VLOOKUP(TAB_ESTOQUE[[#This Row],[Codigo]],TAB_ENTRADA[[Cod_2_Entrada]:[TOTAL_ENTRADA]],5,FALSE)-VLOOKUP(TAB_ESTOQUE[[#This Row],[Codigo]],TAB_SAIDA[[COD_2_SAIDA]:[TOTAL_SAIDA]],5,FALSE)</f>
        <v>3</v>
      </c>
      <c r="R487" s="87"/>
      <c r="S487" s="87"/>
      <c r="T487" s="90"/>
      <c r="U487" s="91">
        <f>TAB_ESTOQUE[[#This Row],[Valor Unitario Estimado]]*TAB_ESTOQUE[[#This Row],[Estoque]]</f>
        <v>0</v>
      </c>
      <c r="V487" s="91"/>
      <c r="W487" s="85"/>
      <c r="X487" s="85"/>
      <c r="Y487" s="85"/>
      <c r="Z487" s="85"/>
      <c r="AA487" s="85"/>
      <c r="AB487" s="85" t="str">
        <f>IF(TAB_ESTOQUE[[#This Row],[Estoque]]=0,"Estoque Não Conforme",IF(TAB_ESTOQUE[[#This Row],[Estoque]]&gt;=TAB_ESTOQUE[[#This Row],[Mínimo]],"Estoque Conforme",IF(TAB_ESTOQUE[[#This Row],[Estoque]]&lt;TAB_ESTOQUE[[#This Row],[Mínimo]],"Estoque em Nivel Minimo")))</f>
        <v>Estoque Conforme</v>
      </c>
      <c r="AC487" s="85"/>
      <c r="AD487" s="82"/>
      <c r="AE487" s="94"/>
      <c r="AF487" s="94"/>
    </row>
    <row r="488" spans="1:32" ht="15" customHeight="1" x14ac:dyDescent="0.25">
      <c r="A488" s="45">
        <v>821</v>
      </c>
      <c r="B488" s="47"/>
      <c r="C488" s="46"/>
      <c r="D488" s="45" t="s">
        <v>1876</v>
      </c>
      <c r="E488" s="46" t="s">
        <v>7</v>
      </c>
      <c r="F488" s="87"/>
      <c r="G488" s="82"/>
      <c r="H488" s="82"/>
      <c r="I488" s="82" t="s">
        <v>7913</v>
      </c>
      <c r="J488" s="82"/>
      <c r="K488" s="82"/>
      <c r="L488" s="82"/>
      <c r="M488" s="82"/>
      <c r="N488" s="82"/>
      <c r="O488" s="87" t="s">
        <v>6387</v>
      </c>
      <c r="P488" s="82" t="s">
        <v>6019</v>
      </c>
      <c r="Q488" s="83">
        <f>VLOOKUP(TAB_ESTOQUE[[#This Row],[Codigo]],TAB_ENTRADA[[Cod_2_Entrada]:[TOTAL_ENTRADA]],5,FALSE)-VLOOKUP(TAB_ESTOQUE[[#This Row],[Codigo]],TAB_SAIDA[[COD_2_SAIDA]:[TOTAL_SAIDA]],5,FALSE)</f>
        <v>1</v>
      </c>
      <c r="R488" s="87"/>
      <c r="S488" s="87"/>
      <c r="T488" s="90"/>
      <c r="U488" s="91">
        <f>TAB_ESTOQUE[[#This Row],[Valor Unitario Estimado]]*TAB_ESTOQUE[[#This Row],[Estoque]]</f>
        <v>0</v>
      </c>
      <c r="V488" s="91"/>
      <c r="W488" s="85"/>
      <c r="X488" s="85"/>
      <c r="Y488" s="85"/>
      <c r="Z488" s="85"/>
      <c r="AA488" s="85"/>
      <c r="AB488" s="85" t="str">
        <f>IF(TAB_ESTOQUE[[#This Row],[Estoque]]=0,"Estoque Não Conforme",IF(TAB_ESTOQUE[[#This Row],[Estoque]]&gt;=TAB_ESTOQUE[[#This Row],[Mínimo]],"Estoque Conforme",IF(TAB_ESTOQUE[[#This Row],[Estoque]]&lt;TAB_ESTOQUE[[#This Row],[Mínimo]],"Estoque em Nivel Minimo")))</f>
        <v>Estoque Conforme</v>
      </c>
      <c r="AC488" s="85"/>
      <c r="AD488" s="82"/>
      <c r="AE488" s="82"/>
      <c r="AF488" s="82"/>
    </row>
    <row r="489" spans="1:32" ht="15" customHeight="1" x14ac:dyDescent="0.25">
      <c r="A489" s="45">
        <v>972</v>
      </c>
      <c r="B489" s="47"/>
      <c r="C489" s="46"/>
      <c r="D489" s="45" t="s">
        <v>1877</v>
      </c>
      <c r="E489" s="46" t="s">
        <v>7</v>
      </c>
      <c r="F489" s="87"/>
      <c r="G489" s="82"/>
      <c r="H489" s="82"/>
      <c r="I489" s="82" t="s">
        <v>7914</v>
      </c>
      <c r="J489" s="82"/>
      <c r="K489" s="82"/>
      <c r="L489" s="82"/>
      <c r="M489" s="82"/>
      <c r="N489" s="82"/>
      <c r="O489" s="87" t="s">
        <v>6387</v>
      </c>
      <c r="P489" s="82" t="s">
        <v>6019</v>
      </c>
      <c r="Q489" s="83">
        <f>VLOOKUP(TAB_ESTOQUE[[#This Row],[Codigo]],TAB_ENTRADA[[Cod_2_Entrada]:[TOTAL_ENTRADA]],5,FALSE)-VLOOKUP(TAB_ESTOQUE[[#This Row],[Codigo]],TAB_SAIDA[[COD_2_SAIDA]:[TOTAL_SAIDA]],5,FALSE)</f>
        <v>1</v>
      </c>
      <c r="R489" s="87"/>
      <c r="S489" s="87"/>
      <c r="T489" s="90"/>
      <c r="U489" s="91">
        <f>TAB_ESTOQUE[[#This Row],[Valor Unitario Estimado]]*TAB_ESTOQUE[[#This Row],[Estoque]]</f>
        <v>0</v>
      </c>
      <c r="V489" s="91"/>
      <c r="W489" s="85"/>
      <c r="X489" s="85"/>
      <c r="Y489" s="85"/>
      <c r="Z489" s="85"/>
      <c r="AA489" s="85"/>
      <c r="AB489" s="85" t="str">
        <f>IF(TAB_ESTOQUE[[#This Row],[Estoque]]=0,"Estoque Não Conforme",IF(TAB_ESTOQUE[[#This Row],[Estoque]]&gt;=TAB_ESTOQUE[[#This Row],[Mínimo]],"Estoque Conforme",IF(TAB_ESTOQUE[[#This Row],[Estoque]]&lt;TAB_ESTOQUE[[#This Row],[Mínimo]],"Estoque em Nivel Minimo")))</f>
        <v>Estoque Conforme</v>
      </c>
      <c r="AC489" s="85"/>
      <c r="AD489" s="82"/>
      <c r="AE489" s="82"/>
      <c r="AF489" s="82"/>
    </row>
    <row r="490" spans="1:32" ht="15" customHeight="1" x14ac:dyDescent="0.25">
      <c r="A490" s="45">
        <v>974</v>
      </c>
      <c r="B490" s="47"/>
      <c r="C490" s="46"/>
      <c r="D490" s="45" t="s">
        <v>1878</v>
      </c>
      <c r="E490" s="46" t="s">
        <v>7</v>
      </c>
      <c r="F490" s="87"/>
      <c r="G490" s="82"/>
      <c r="H490" s="82"/>
      <c r="I490" s="82" t="s">
        <v>6390</v>
      </c>
      <c r="J490" s="82"/>
      <c r="K490" s="82"/>
      <c r="L490" s="82"/>
      <c r="M490" s="82"/>
      <c r="N490" s="82"/>
      <c r="O490" s="87" t="s">
        <v>6387</v>
      </c>
      <c r="P490" s="82" t="s">
        <v>6019</v>
      </c>
      <c r="Q490" s="83">
        <f>VLOOKUP(TAB_ESTOQUE[[#This Row],[Codigo]],TAB_ENTRADA[[Cod_2_Entrada]:[TOTAL_ENTRADA]],5,FALSE)-VLOOKUP(TAB_ESTOQUE[[#This Row],[Codigo]],TAB_SAIDA[[COD_2_SAIDA]:[TOTAL_SAIDA]],5,FALSE)</f>
        <v>1</v>
      </c>
      <c r="R490" s="87"/>
      <c r="S490" s="87"/>
      <c r="T490" s="90">
        <v>281.52</v>
      </c>
      <c r="U490" s="91">
        <f>TAB_ESTOQUE[[#This Row],[Valor Unitario Estimado]]*TAB_ESTOQUE[[#This Row],[Estoque]]</f>
        <v>281.52</v>
      </c>
      <c r="V490" s="91"/>
      <c r="W490" s="85"/>
      <c r="X490" s="85"/>
      <c r="Y490" s="85"/>
      <c r="Z490" s="85"/>
      <c r="AA490" s="85"/>
      <c r="AB490" s="85" t="str">
        <f>IF(TAB_ESTOQUE[[#This Row],[Estoque]]=0,"Estoque Não Conforme",IF(TAB_ESTOQUE[[#This Row],[Estoque]]&gt;=TAB_ESTOQUE[[#This Row],[Mínimo]],"Estoque Conforme",IF(TAB_ESTOQUE[[#This Row],[Estoque]]&lt;TAB_ESTOQUE[[#This Row],[Mínimo]],"Estoque em Nivel Minimo")))</f>
        <v>Estoque Conforme</v>
      </c>
      <c r="AC490" s="85"/>
      <c r="AD490" s="82"/>
      <c r="AE490" s="82"/>
      <c r="AF490" s="82"/>
    </row>
    <row r="491" spans="1:32" ht="15" customHeight="1" x14ac:dyDescent="0.25">
      <c r="A491" s="45">
        <v>180</v>
      </c>
      <c r="B491" s="47"/>
      <c r="C491" s="46" t="s">
        <v>2833</v>
      </c>
      <c r="D491" s="45" t="s">
        <v>1880</v>
      </c>
      <c r="E491" s="46" t="s">
        <v>7345</v>
      </c>
      <c r="F491" s="87"/>
      <c r="G491" s="82"/>
      <c r="H491" s="82"/>
      <c r="I491" s="82" t="s">
        <v>6085</v>
      </c>
      <c r="J491" s="82"/>
      <c r="K491" s="82"/>
      <c r="L491" s="82"/>
      <c r="M491" s="82"/>
      <c r="N491" s="82"/>
      <c r="O491" s="87" t="s">
        <v>6387</v>
      </c>
      <c r="P491" s="82" t="s">
        <v>127</v>
      </c>
      <c r="Q491" s="83">
        <f>VLOOKUP(TAB_ESTOQUE[[#This Row],[Codigo]],TAB_ENTRADA[[Cod_2_Entrada]:[TOTAL_ENTRADA]],5,FALSE)-VLOOKUP(TAB_ESTOQUE[[#This Row],[Codigo]],TAB_SAIDA[[COD_2_SAIDA]:[TOTAL_SAIDA]],5,FALSE)</f>
        <v>1</v>
      </c>
      <c r="R491" s="87"/>
      <c r="S491" s="87"/>
      <c r="T491" s="90"/>
      <c r="U491" s="91">
        <f>TAB_ESTOQUE[[#This Row],[Valor Unitario Estimado]]*TAB_ESTOQUE[[#This Row],[Estoque]]</f>
        <v>0</v>
      </c>
      <c r="V491" s="91"/>
      <c r="W491" s="85"/>
      <c r="X491" s="85"/>
      <c r="Y491" s="85"/>
      <c r="Z491" s="85"/>
      <c r="AA491" s="85"/>
      <c r="AB491" s="85" t="str">
        <f>IF(TAB_ESTOQUE[[#This Row],[Estoque]]=0,"Estoque Não Conforme",IF(TAB_ESTOQUE[[#This Row],[Estoque]]&gt;=TAB_ESTOQUE[[#This Row],[Mínimo]],"Estoque Conforme",IF(TAB_ESTOQUE[[#This Row],[Estoque]]&lt;TAB_ESTOQUE[[#This Row],[Mínimo]],"Estoque em Nivel Minimo")))</f>
        <v>Estoque Conforme</v>
      </c>
      <c r="AC491" s="85"/>
      <c r="AD491" s="82"/>
      <c r="AE491" s="82"/>
      <c r="AF491" s="82"/>
    </row>
    <row r="492" spans="1:32" ht="15" customHeight="1" x14ac:dyDescent="0.25">
      <c r="A492" s="45">
        <v>979</v>
      </c>
      <c r="B492" s="47"/>
      <c r="C492" s="46"/>
      <c r="D492" s="45" t="s">
        <v>1881</v>
      </c>
      <c r="E492" s="46" t="s">
        <v>8396</v>
      </c>
      <c r="F492" s="87"/>
      <c r="G492" s="82"/>
      <c r="H492" s="82"/>
      <c r="I492" s="82" t="s">
        <v>7916</v>
      </c>
      <c r="J492" s="82"/>
      <c r="K492" s="82"/>
      <c r="L492" s="82"/>
      <c r="M492" s="82"/>
      <c r="N492" s="82"/>
      <c r="O492" s="87" t="s">
        <v>6387</v>
      </c>
      <c r="P492" s="82" t="s">
        <v>29</v>
      </c>
      <c r="Q492" s="83">
        <f>VLOOKUP(TAB_ESTOQUE[[#This Row],[Codigo]],TAB_ENTRADA[[Cod_2_Entrada]:[TOTAL_ENTRADA]],5,FALSE)-VLOOKUP(TAB_ESTOQUE[[#This Row],[Codigo]],TAB_SAIDA[[COD_2_SAIDA]:[TOTAL_SAIDA]],5,FALSE)</f>
        <v>1</v>
      </c>
      <c r="R492" s="87"/>
      <c r="S492" s="87"/>
      <c r="T492" s="90"/>
      <c r="U492" s="91">
        <f>TAB_ESTOQUE[[#This Row],[Valor Unitario Estimado]]*TAB_ESTOQUE[[#This Row],[Estoque]]</f>
        <v>0</v>
      </c>
      <c r="V492" s="91"/>
      <c r="W492" s="85"/>
      <c r="X492" s="85"/>
      <c r="Y492" s="85"/>
      <c r="Z492" s="85"/>
      <c r="AA492" s="85"/>
      <c r="AB492" s="85" t="str">
        <f>IF(TAB_ESTOQUE[[#This Row],[Estoque]]=0,"Estoque Não Conforme",IF(TAB_ESTOQUE[[#This Row],[Estoque]]&gt;=TAB_ESTOQUE[[#This Row],[Mínimo]],"Estoque Conforme",IF(TAB_ESTOQUE[[#This Row],[Estoque]]&lt;TAB_ESTOQUE[[#This Row],[Mínimo]],"Estoque em Nivel Minimo")))</f>
        <v>Estoque Conforme</v>
      </c>
      <c r="AC492" s="85"/>
      <c r="AD492" s="82"/>
      <c r="AE492" s="82"/>
      <c r="AF492" s="82"/>
    </row>
    <row r="493" spans="1:32" s="47" customFormat="1" ht="15" customHeight="1" x14ac:dyDescent="0.25">
      <c r="A493" s="45"/>
      <c r="C493" s="53" t="s">
        <v>2833</v>
      </c>
      <c r="D493" s="45" t="s">
        <v>2868</v>
      </c>
      <c r="E493" s="46"/>
      <c r="F493" s="87"/>
      <c r="G493" s="82"/>
      <c r="H493" s="82"/>
      <c r="I493" s="82" t="s">
        <v>6391</v>
      </c>
      <c r="J493" s="82"/>
      <c r="K493" s="82"/>
      <c r="L493" s="82"/>
      <c r="M493" s="82"/>
      <c r="N493" s="82"/>
      <c r="O493" s="87" t="s">
        <v>6387</v>
      </c>
      <c r="P493" s="82" t="s">
        <v>7041</v>
      </c>
      <c r="Q493" s="83">
        <f>VLOOKUP(TAB_ESTOQUE[[#This Row],[Codigo]],TAB_ENTRADA[[Cod_2_Entrada]:[TOTAL_ENTRADA]],5,FALSE)-VLOOKUP(TAB_ESTOQUE[[#This Row],[Codigo]],TAB_SAIDA[[COD_2_SAIDA]:[TOTAL_SAIDA]],5,FALSE)</f>
        <v>1</v>
      </c>
      <c r="R493" s="87"/>
      <c r="S493" s="87"/>
      <c r="T493" s="90"/>
      <c r="U493" s="91">
        <f>TAB_ESTOQUE[[#This Row],[Valor Unitario Estimado]]*TAB_ESTOQUE[[#This Row],[Estoque]]</f>
        <v>0</v>
      </c>
      <c r="V493" s="91"/>
      <c r="W493" s="85"/>
      <c r="X493" s="85"/>
      <c r="Y493" s="85"/>
      <c r="Z493" s="85"/>
      <c r="AA493" s="85"/>
      <c r="AB493" s="85" t="str">
        <f>IF(TAB_ESTOQUE[[#This Row],[Estoque]]=0,"Estoque Não Conforme",IF(TAB_ESTOQUE[[#This Row],[Estoque]]&gt;=TAB_ESTOQUE[[#This Row],[Mínimo]],"Estoque Conforme",IF(TAB_ESTOQUE[[#This Row],[Estoque]]&lt;TAB_ESTOQUE[[#This Row],[Mínimo]],"Estoque em Nivel Minimo")))</f>
        <v>Estoque Conforme</v>
      </c>
      <c r="AC493" s="96"/>
      <c r="AD493" s="82"/>
      <c r="AE493" s="94"/>
      <c r="AF493" s="94"/>
    </row>
    <row r="494" spans="1:32" s="106" customFormat="1" ht="15" customHeight="1" x14ac:dyDescent="0.25">
      <c r="A494" s="45"/>
      <c r="B494" s="45"/>
      <c r="C494" s="48"/>
      <c r="D494" s="45" t="s">
        <v>7760</v>
      </c>
      <c r="E494" s="46" t="s">
        <v>8990</v>
      </c>
      <c r="F494" s="46"/>
      <c r="G494" s="45"/>
      <c r="H494" s="45"/>
      <c r="I494" s="45" t="s">
        <v>8989</v>
      </c>
      <c r="J494" s="45"/>
      <c r="K494" s="45"/>
      <c r="L494" s="45"/>
      <c r="M494" s="45"/>
      <c r="N494" s="45"/>
      <c r="O494" s="46" t="s">
        <v>6387</v>
      </c>
      <c r="P494" s="45"/>
      <c r="Q494" s="137">
        <f>VLOOKUP(TAB_ESTOQUE[[#This Row],[Codigo]],TAB_ENTRADA[[Cod_2_Entrada]:[TOTAL_ENTRADA]],5,FALSE)-VLOOKUP(TAB_ESTOQUE[[#This Row],[Codigo]],TAB_SAIDA[[COD_2_SAIDA]:[TOTAL_SAIDA]],5,FALSE)</f>
        <v>2</v>
      </c>
      <c r="R494" s="46">
        <v>2</v>
      </c>
      <c r="S494" s="46">
        <v>4</v>
      </c>
      <c r="T494" s="102">
        <v>21.5</v>
      </c>
      <c r="U494" s="103">
        <f>TAB_ESTOQUE[[#This Row],[Valor Unitario Estimado]]*TAB_ESTOQUE[[#This Row],[Estoque]]</f>
        <v>43</v>
      </c>
      <c r="V494" s="103"/>
      <c r="W494" s="54"/>
      <c r="X494" s="54"/>
      <c r="Y494" s="54"/>
      <c r="Z494" s="54"/>
      <c r="AA494" s="138"/>
      <c r="AB494" s="104" t="str">
        <f>IF(TAB_ESTOQUE[[#This Row],[Estoque]]=0,"Estoque Não Conforme",IF(TAB_ESTOQUE[[#This Row],[Estoque]]&gt;=TAB_ESTOQUE[[#This Row],[Mínimo]],"Estoque Conforme",IF(TAB_ESTOQUE[[#This Row],[Estoque]]&lt;TAB_ESTOQUE[[#This Row],[Mínimo]],"Estoque em Nivel Minimo")))</f>
        <v>Estoque Conforme</v>
      </c>
      <c r="AC494" s="104"/>
      <c r="AD494" s="45"/>
      <c r="AE494" s="95"/>
      <c r="AF494" s="95"/>
    </row>
    <row r="495" spans="1:32" ht="15" customHeight="1" x14ac:dyDescent="0.25">
      <c r="A495" s="45">
        <v>51</v>
      </c>
      <c r="B495" s="47"/>
      <c r="C495" s="46"/>
      <c r="D495" s="45" t="s">
        <v>1882</v>
      </c>
      <c r="E495" s="46" t="s">
        <v>7</v>
      </c>
      <c r="F495" s="87"/>
      <c r="G495" s="82"/>
      <c r="H495" s="82"/>
      <c r="I495" s="82" t="s">
        <v>6086</v>
      </c>
      <c r="J495" s="82"/>
      <c r="K495" s="82"/>
      <c r="L495" s="82"/>
      <c r="M495" s="82"/>
      <c r="N495" s="82"/>
      <c r="O495" s="87" t="s">
        <v>6394</v>
      </c>
      <c r="P495" s="82" t="s">
        <v>29</v>
      </c>
      <c r="Q495" s="83">
        <f>VLOOKUP(TAB_ESTOQUE[[#This Row],[Codigo]],TAB_ENTRADA[[Cod_2_Entrada]:[TOTAL_ENTRADA]],5,FALSE)-VLOOKUP(TAB_ESTOQUE[[#This Row],[Codigo]],TAB_SAIDA[[COD_2_SAIDA]:[TOTAL_SAIDA]],5,FALSE)</f>
        <v>1</v>
      </c>
      <c r="R495" s="87"/>
      <c r="S495" s="87"/>
      <c r="T495" s="90">
        <v>3983.35</v>
      </c>
      <c r="U495" s="91">
        <f>TAB_ESTOQUE[[#This Row],[Valor Unitario Estimado]]*TAB_ESTOQUE[[#This Row],[Estoque]]</f>
        <v>3983.35</v>
      </c>
      <c r="V495" s="91"/>
      <c r="W495" s="85"/>
      <c r="X495" s="85"/>
      <c r="Y495" s="85"/>
      <c r="Z495" s="85"/>
      <c r="AA495" s="85"/>
      <c r="AB495" s="85" t="str">
        <f>IF(TAB_ESTOQUE[[#This Row],[Estoque]]=0,"Estoque Não Conforme",IF(TAB_ESTOQUE[[#This Row],[Estoque]]&gt;=TAB_ESTOQUE[[#This Row],[Mínimo]],"Estoque Conforme",IF(TAB_ESTOQUE[[#This Row],[Estoque]]&lt;TAB_ESTOQUE[[#This Row],[Mínimo]],"Estoque em Nivel Minimo")))</f>
        <v>Estoque Conforme</v>
      </c>
      <c r="AC495" s="85"/>
      <c r="AD495" s="82"/>
      <c r="AE495" s="82"/>
      <c r="AF495" s="82"/>
    </row>
    <row r="496" spans="1:32" ht="15" customHeight="1" x14ac:dyDescent="0.25">
      <c r="A496" s="45">
        <v>978</v>
      </c>
      <c r="B496" s="47"/>
      <c r="C496" s="46"/>
      <c r="D496" s="45" t="s">
        <v>1883</v>
      </c>
      <c r="E496" s="46" t="s">
        <v>7</v>
      </c>
      <c r="F496" s="87"/>
      <c r="G496" s="82"/>
      <c r="H496" s="82"/>
      <c r="I496" s="82" t="s">
        <v>6087</v>
      </c>
      <c r="J496" s="82"/>
      <c r="K496" s="82"/>
      <c r="L496" s="82"/>
      <c r="M496" s="82"/>
      <c r="N496" s="82"/>
      <c r="O496" s="87" t="s">
        <v>6394</v>
      </c>
      <c r="P496" s="82" t="s">
        <v>752</v>
      </c>
      <c r="Q496" s="83">
        <f>VLOOKUP(TAB_ESTOQUE[[#This Row],[Codigo]],TAB_ENTRADA[[Cod_2_Entrada]:[TOTAL_ENTRADA]],5,FALSE)-VLOOKUP(TAB_ESTOQUE[[#This Row],[Codigo]],TAB_SAIDA[[COD_2_SAIDA]:[TOTAL_SAIDA]],5,FALSE)</f>
        <v>1</v>
      </c>
      <c r="R496" s="87"/>
      <c r="S496" s="87"/>
      <c r="T496" s="90"/>
      <c r="U496" s="91">
        <f>TAB_ESTOQUE[[#This Row],[Valor Unitario Estimado]]*TAB_ESTOQUE[[#This Row],[Estoque]]</f>
        <v>0</v>
      </c>
      <c r="V496" s="91"/>
      <c r="W496" s="85"/>
      <c r="X496" s="85"/>
      <c r="Y496" s="85"/>
      <c r="Z496" s="85"/>
      <c r="AA496" s="85"/>
      <c r="AB496" s="85" t="str">
        <f>IF(TAB_ESTOQUE[[#This Row],[Estoque]]=0,"Estoque Não Conforme",IF(TAB_ESTOQUE[[#This Row],[Estoque]]&gt;=TAB_ESTOQUE[[#This Row],[Mínimo]],"Estoque Conforme",IF(TAB_ESTOQUE[[#This Row],[Estoque]]&lt;TAB_ESTOQUE[[#This Row],[Mínimo]],"Estoque em Nivel Minimo")))</f>
        <v>Estoque Conforme</v>
      </c>
      <c r="AC496" s="85"/>
      <c r="AD496" s="82"/>
      <c r="AE496" s="82"/>
      <c r="AF496" s="82"/>
    </row>
    <row r="497" spans="1:32" ht="15" customHeight="1" x14ac:dyDescent="0.25">
      <c r="A497" s="45">
        <v>109</v>
      </c>
      <c r="B497" s="47"/>
      <c r="C497" s="46" t="s">
        <v>2833</v>
      </c>
      <c r="D497" s="45" t="s">
        <v>1884</v>
      </c>
      <c r="E497" s="46" t="s">
        <v>7</v>
      </c>
      <c r="F497" s="87"/>
      <c r="G497" s="82"/>
      <c r="H497" s="82"/>
      <c r="I497" s="82" t="s">
        <v>6088</v>
      </c>
      <c r="J497" s="82"/>
      <c r="K497" s="82"/>
      <c r="L497" s="82"/>
      <c r="M497" s="82"/>
      <c r="N497" s="82"/>
      <c r="O497" s="87" t="s">
        <v>6394</v>
      </c>
      <c r="P497" s="82" t="s">
        <v>67</v>
      </c>
      <c r="Q497" s="83">
        <f>VLOOKUP(TAB_ESTOQUE[[#This Row],[Codigo]],TAB_ENTRADA[[Cod_2_Entrada]:[TOTAL_ENTRADA]],5,FALSE)-VLOOKUP(TAB_ESTOQUE[[#This Row],[Codigo]],TAB_SAIDA[[COD_2_SAIDA]:[TOTAL_SAIDA]],5,FALSE)</f>
        <v>1</v>
      </c>
      <c r="R497" s="87"/>
      <c r="S497" s="87"/>
      <c r="T497" s="90"/>
      <c r="U497" s="91">
        <f>TAB_ESTOQUE[[#This Row],[Valor Unitario Estimado]]*TAB_ESTOQUE[[#This Row],[Estoque]]</f>
        <v>0</v>
      </c>
      <c r="V497" s="91"/>
      <c r="W497" s="85"/>
      <c r="X497" s="85"/>
      <c r="Y497" s="85"/>
      <c r="Z497" s="85"/>
      <c r="AA497" s="85"/>
      <c r="AB497" s="85" t="str">
        <f>IF(TAB_ESTOQUE[[#This Row],[Estoque]]=0,"Estoque Não Conforme",IF(TAB_ESTOQUE[[#This Row],[Estoque]]&gt;=TAB_ESTOQUE[[#This Row],[Mínimo]],"Estoque Conforme",IF(TAB_ESTOQUE[[#This Row],[Estoque]]&lt;TAB_ESTOQUE[[#This Row],[Mínimo]],"Estoque em Nivel Minimo")))</f>
        <v>Estoque Conforme</v>
      </c>
      <c r="AC497" s="85"/>
      <c r="AD497" s="82"/>
      <c r="AE497" s="82"/>
      <c r="AF497" s="82"/>
    </row>
    <row r="498" spans="1:32" ht="15" customHeight="1" x14ac:dyDescent="0.25">
      <c r="A498" s="45">
        <v>597</v>
      </c>
      <c r="B498" s="47"/>
      <c r="C498" s="46"/>
      <c r="D498" s="45" t="s">
        <v>1885</v>
      </c>
      <c r="E498" s="46" t="s">
        <v>7</v>
      </c>
      <c r="F498" s="87"/>
      <c r="G498" s="82"/>
      <c r="H498" s="82"/>
      <c r="I498" s="82" t="s">
        <v>7917</v>
      </c>
      <c r="J498" s="82"/>
      <c r="K498" s="82"/>
      <c r="L498" s="82"/>
      <c r="M498" s="82"/>
      <c r="N498" s="82"/>
      <c r="O498" s="87" t="s">
        <v>6394</v>
      </c>
      <c r="P498" s="82" t="s">
        <v>377</v>
      </c>
      <c r="Q498" s="83">
        <f>VLOOKUP(TAB_ESTOQUE[[#This Row],[Codigo]],TAB_ENTRADA[[Cod_2_Entrada]:[TOTAL_ENTRADA]],5,FALSE)-VLOOKUP(TAB_ESTOQUE[[#This Row],[Codigo]],TAB_SAIDA[[COD_2_SAIDA]:[TOTAL_SAIDA]],5,FALSE)</f>
        <v>5</v>
      </c>
      <c r="R498" s="87"/>
      <c r="S498" s="87"/>
      <c r="T498" s="90"/>
      <c r="U498" s="91">
        <f>TAB_ESTOQUE[[#This Row],[Valor Unitario Estimado]]*TAB_ESTOQUE[[#This Row],[Estoque]]</f>
        <v>0</v>
      </c>
      <c r="V498" s="91"/>
      <c r="W498" s="85"/>
      <c r="X498" s="85"/>
      <c r="Y498" s="85"/>
      <c r="Z498" s="85"/>
      <c r="AA498" s="85"/>
      <c r="AB498" s="85" t="str">
        <f>IF(TAB_ESTOQUE[[#This Row],[Estoque]]=0,"Estoque Não Conforme",IF(TAB_ESTOQUE[[#This Row],[Estoque]]&gt;=TAB_ESTOQUE[[#This Row],[Mínimo]],"Estoque Conforme",IF(TAB_ESTOQUE[[#This Row],[Estoque]]&lt;TAB_ESTOQUE[[#This Row],[Mínimo]],"Estoque em Nivel Minimo")))</f>
        <v>Estoque Conforme</v>
      </c>
      <c r="AC498" s="85"/>
      <c r="AD498" s="82"/>
      <c r="AE498" s="82"/>
      <c r="AF498" s="82"/>
    </row>
    <row r="499" spans="1:32" ht="15" customHeight="1" x14ac:dyDescent="0.25">
      <c r="A499" s="45">
        <v>598</v>
      </c>
      <c r="B499" s="47"/>
      <c r="C499" s="46" t="s">
        <v>2833</v>
      </c>
      <c r="D499" s="45" t="s">
        <v>1886</v>
      </c>
      <c r="E499" s="46" t="s">
        <v>7</v>
      </c>
      <c r="F499" s="87"/>
      <c r="G499" s="82"/>
      <c r="H499" s="82"/>
      <c r="I499" s="82" t="s">
        <v>6090</v>
      </c>
      <c r="J499" s="82"/>
      <c r="K499" s="82"/>
      <c r="L499" s="82"/>
      <c r="M499" s="82"/>
      <c r="N499" s="82"/>
      <c r="O499" s="87" t="s">
        <v>6394</v>
      </c>
      <c r="P499" s="82" t="s">
        <v>378</v>
      </c>
      <c r="Q499" s="83">
        <f>VLOOKUP(TAB_ESTOQUE[[#This Row],[Codigo]],TAB_ENTRADA[[Cod_2_Entrada]:[TOTAL_ENTRADA]],5,FALSE)-VLOOKUP(TAB_ESTOQUE[[#This Row],[Codigo]],TAB_SAIDA[[COD_2_SAIDA]:[TOTAL_SAIDA]],5,FALSE)</f>
        <v>7</v>
      </c>
      <c r="R499" s="87"/>
      <c r="S499" s="87"/>
      <c r="T499" s="90">
        <v>555.34</v>
      </c>
      <c r="U499" s="91">
        <f>TAB_ESTOQUE[[#This Row],[Valor Unitario Estimado]]*TAB_ESTOQUE[[#This Row],[Estoque]]</f>
        <v>3887.38</v>
      </c>
      <c r="V499" s="91"/>
      <c r="W499" s="85"/>
      <c r="X499" s="85"/>
      <c r="Y499" s="85"/>
      <c r="Z499" s="85"/>
      <c r="AA499" s="85"/>
      <c r="AB499" s="85" t="str">
        <f>IF(TAB_ESTOQUE[[#This Row],[Estoque]]=0,"Estoque Não Conforme",IF(TAB_ESTOQUE[[#This Row],[Estoque]]&gt;=TAB_ESTOQUE[[#This Row],[Mínimo]],"Estoque Conforme",IF(TAB_ESTOQUE[[#This Row],[Estoque]]&lt;TAB_ESTOQUE[[#This Row],[Mínimo]],"Estoque em Nivel Minimo")))</f>
        <v>Estoque Conforme</v>
      </c>
      <c r="AC499" s="85"/>
      <c r="AD499" s="82"/>
      <c r="AE499" s="82"/>
      <c r="AF499" s="82"/>
    </row>
    <row r="500" spans="1:32" ht="15" customHeight="1" x14ac:dyDescent="0.25">
      <c r="A500" s="45">
        <v>9</v>
      </c>
      <c r="B500" s="47"/>
      <c r="C500" s="46"/>
      <c r="D500" s="45" t="s">
        <v>1897</v>
      </c>
      <c r="E500" s="46" t="s">
        <v>7</v>
      </c>
      <c r="F500" s="87"/>
      <c r="G500" s="82"/>
      <c r="H500" s="82"/>
      <c r="I500" s="209" t="s">
        <v>6095</v>
      </c>
      <c r="J500" s="82"/>
      <c r="K500" s="82" t="s">
        <v>15</v>
      </c>
      <c r="L500" s="82"/>
      <c r="M500" s="82"/>
      <c r="N500" s="82"/>
      <c r="O500" s="87" t="s">
        <v>6394</v>
      </c>
      <c r="P500" s="82" t="s">
        <v>17</v>
      </c>
      <c r="Q500" s="83">
        <f>VLOOKUP(TAB_ESTOQUE[[#This Row],[Codigo]],TAB_ENTRADA[[Cod_2_Entrada]:[TOTAL_ENTRADA]],5,FALSE)-VLOOKUP(TAB_ESTOQUE[[#This Row],[Codigo]],TAB_SAIDA[[COD_2_SAIDA]:[TOTAL_SAIDA]],5,FALSE)</f>
        <v>1</v>
      </c>
      <c r="R500" s="87"/>
      <c r="S500" s="87"/>
      <c r="T500" s="90"/>
      <c r="U500" s="91">
        <f>TAB_ESTOQUE[[#This Row],[Valor Unitario Estimado]]*TAB_ESTOQUE[[#This Row],[Estoque]]</f>
        <v>0</v>
      </c>
      <c r="V500" s="91"/>
      <c r="W500" s="85"/>
      <c r="X500" s="85"/>
      <c r="Y500" s="85"/>
      <c r="Z500" s="85"/>
      <c r="AA500" s="85"/>
      <c r="AB500" s="85" t="str">
        <f>IF(TAB_ESTOQUE[[#This Row],[Estoque]]=0,"Estoque Não Conforme",IF(TAB_ESTOQUE[[#This Row],[Estoque]]&gt;=TAB_ESTOQUE[[#This Row],[Mínimo]],"Estoque Conforme",IF(TAB_ESTOQUE[[#This Row],[Estoque]]&lt;TAB_ESTOQUE[[#This Row],[Mínimo]],"Estoque em Nivel Minimo")))</f>
        <v>Estoque Conforme</v>
      </c>
      <c r="AC500" s="85"/>
      <c r="AD500" s="82"/>
      <c r="AE500" s="82"/>
      <c r="AF500" s="82"/>
    </row>
    <row r="501" spans="1:32" ht="15" customHeight="1" x14ac:dyDescent="0.25">
      <c r="A501" s="45">
        <v>1345</v>
      </c>
      <c r="B501" s="47"/>
      <c r="C501" s="46"/>
      <c r="D501" s="45" t="s">
        <v>1981</v>
      </c>
      <c r="E501" s="46" t="s">
        <v>7</v>
      </c>
      <c r="F501" s="87"/>
      <c r="G501" s="82"/>
      <c r="H501" s="82"/>
      <c r="I501" s="82" t="s">
        <v>7920</v>
      </c>
      <c r="J501" s="82"/>
      <c r="K501" s="82"/>
      <c r="L501" s="82"/>
      <c r="M501" s="82"/>
      <c r="N501" s="82"/>
      <c r="O501" s="87" t="s">
        <v>6394</v>
      </c>
      <c r="P501" s="82" t="s">
        <v>1081</v>
      </c>
      <c r="Q501" s="83">
        <f>VLOOKUP(TAB_ESTOQUE[[#This Row],[Codigo]],TAB_ENTRADA[[Cod_2_Entrada]:[TOTAL_ENTRADA]],5,FALSE)-VLOOKUP(TAB_ESTOQUE[[#This Row],[Codigo]],TAB_SAIDA[[COD_2_SAIDA]:[TOTAL_SAIDA]],5,FALSE)</f>
        <v>0</v>
      </c>
      <c r="R501" s="87"/>
      <c r="S501" s="87"/>
      <c r="T501" s="90">
        <v>1235.5</v>
      </c>
      <c r="U501" s="91">
        <f>TAB_ESTOQUE[[#This Row],[Valor Unitario Estimado]]*TAB_ESTOQUE[[#This Row],[Estoque]]</f>
        <v>0</v>
      </c>
      <c r="V501" s="91"/>
      <c r="W501" s="85"/>
      <c r="X501" s="85"/>
      <c r="Y501" s="85"/>
      <c r="Z501" s="85"/>
      <c r="AA501" s="85"/>
      <c r="AB501" s="85" t="str">
        <f>IF(TAB_ESTOQUE[[#This Row],[Estoque]]=0,"Estoque Não Conforme",IF(TAB_ESTOQUE[[#This Row],[Estoque]]&gt;=TAB_ESTOQUE[[#This Row],[Mínimo]],"Estoque Conforme",IF(TAB_ESTOQUE[[#This Row],[Estoque]]&lt;TAB_ESTOQUE[[#This Row],[Mínimo]],"Estoque em Nivel Minimo")))</f>
        <v>Estoque Não Conforme</v>
      </c>
      <c r="AC501" s="85"/>
      <c r="AD501" s="82"/>
      <c r="AE501" s="82"/>
      <c r="AF501" s="82"/>
    </row>
    <row r="502" spans="1:32" ht="15" customHeight="1" x14ac:dyDescent="0.25">
      <c r="B502" s="47"/>
      <c r="C502" s="53" t="s">
        <v>2838</v>
      </c>
      <c r="D502" s="45" t="s">
        <v>2871</v>
      </c>
      <c r="E502" s="46"/>
      <c r="F502" s="87"/>
      <c r="G502" s="82"/>
      <c r="H502" s="82"/>
      <c r="I502" s="82" t="s">
        <v>6396</v>
      </c>
      <c r="J502" s="82"/>
      <c r="K502" s="82"/>
      <c r="L502" s="82"/>
      <c r="M502" s="82"/>
      <c r="N502" s="82"/>
      <c r="O502" s="87" t="s">
        <v>6394</v>
      </c>
      <c r="P502" s="82" t="s">
        <v>2883</v>
      </c>
      <c r="Q502" s="83">
        <f>VLOOKUP(TAB_ESTOQUE[[#This Row],[Codigo]],TAB_ENTRADA[[Cod_2_Entrada]:[TOTAL_ENTRADA]],5,FALSE)-VLOOKUP(TAB_ESTOQUE[[#This Row],[Codigo]],TAB_SAIDA[[COD_2_SAIDA]:[TOTAL_SAIDA]],5,FALSE)</f>
        <v>3</v>
      </c>
      <c r="R502" s="87"/>
      <c r="S502" s="87"/>
      <c r="T502" s="90">
        <v>5794.5450000000001</v>
      </c>
      <c r="U502" s="91">
        <f>TAB_ESTOQUE[[#This Row],[Valor Unitario Estimado]]*TAB_ESTOQUE[[#This Row],[Estoque]]</f>
        <v>17383.635000000002</v>
      </c>
      <c r="V502" s="91"/>
      <c r="W502" s="85"/>
      <c r="X502" s="85"/>
      <c r="Y502" s="85"/>
      <c r="Z502" s="85"/>
      <c r="AA502" s="85"/>
      <c r="AB502" s="85" t="str">
        <f>IF(TAB_ESTOQUE[[#This Row],[Estoque]]=0,"Estoque Não Conforme",IF(TAB_ESTOQUE[[#This Row],[Estoque]]&gt;=TAB_ESTOQUE[[#This Row],[Mínimo]],"Estoque Conforme",IF(TAB_ESTOQUE[[#This Row],[Estoque]]&lt;TAB_ESTOQUE[[#This Row],[Mínimo]],"Estoque em Nivel Minimo")))</f>
        <v>Estoque Conforme</v>
      </c>
      <c r="AC502" s="96"/>
      <c r="AD502" s="82"/>
      <c r="AE502" s="82"/>
      <c r="AF502" s="82"/>
    </row>
    <row r="503" spans="1:32" ht="15" customHeight="1" x14ac:dyDescent="0.25">
      <c r="C503" s="48"/>
      <c r="D503" s="45" t="s">
        <v>7294</v>
      </c>
      <c r="E503" s="46"/>
      <c r="F503" s="46"/>
      <c r="I503" s="45" t="s">
        <v>7921</v>
      </c>
      <c r="O503" s="116" t="s">
        <v>6394</v>
      </c>
      <c r="Q503" s="137">
        <f>VLOOKUP(TAB_ESTOQUE[[#This Row],[Codigo]],TAB_ENTRADA[[Cod_2_Entrada]:[TOTAL_ENTRADA]],5,FALSE)-VLOOKUP(TAB_ESTOQUE[[#This Row],[Codigo]],TAB_SAIDA[[COD_2_SAIDA]:[TOTAL_SAIDA]],5,FALSE)</f>
        <v>0</v>
      </c>
      <c r="S503" s="46"/>
      <c r="T503" s="102">
        <v>356.9</v>
      </c>
      <c r="U503" s="103">
        <f>TAB_ESTOQUE[[#This Row],[Valor Unitario Estimado]]*TAB_ESTOQUE[[#This Row],[Estoque]]</f>
        <v>0</v>
      </c>
      <c r="V503" s="103"/>
      <c r="AA503" s="138"/>
      <c r="AB503" s="104" t="str">
        <f>IF(TAB_ESTOQUE[[#This Row],[Estoque]]=0,"Estoque Não Conforme",IF(TAB_ESTOQUE[[#This Row],[Estoque]]&gt;=TAB_ESTOQUE[[#This Row],[Mínimo]],"Estoque Conforme",IF(TAB_ESTOQUE[[#This Row],[Estoque]]&lt;TAB_ESTOQUE[[#This Row],[Mínimo]],"Estoque em Nivel Minimo")))</f>
        <v>Estoque Não Conforme</v>
      </c>
      <c r="AC503" s="104"/>
      <c r="AE503" s="82"/>
      <c r="AF503" s="82"/>
    </row>
    <row r="504" spans="1:32" ht="15" customHeight="1" x14ac:dyDescent="0.25">
      <c r="A504" s="45">
        <v>183</v>
      </c>
      <c r="B504" s="47"/>
      <c r="C504" s="46"/>
      <c r="D504" s="45" t="s">
        <v>1889</v>
      </c>
      <c r="E504" s="46" t="s">
        <v>7</v>
      </c>
      <c r="F504" s="87"/>
      <c r="G504" s="82"/>
      <c r="H504" s="82"/>
      <c r="I504" s="208" t="s">
        <v>121</v>
      </c>
      <c r="J504" s="82"/>
      <c r="K504" s="82"/>
      <c r="L504" s="82"/>
      <c r="M504" s="82"/>
      <c r="N504" s="82"/>
      <c r="O504" s="87" t="s">
        <v>6395</v>
      </c>
      <c r="P504" s="82" t="s">
        <v>129</v>
      </c>
      <c r="Q504" s="83">
        <f>VLOOKUP(TAB_ESTOQUE[[#This Row],[Codigo]],TAB_ENTRADA[[Cod_2_Entrada]:[TOTAL_ENTRADA]],5,FALSE)-VLOOKUP(TAB_ESTOQUE[[#This Row],[Codigo]],TAB_SAIDA[[COD_2_SAIDA]:[TOTAL_SAIDA]],5,FALSE)</f>
        <v>1</v>
      </c>
      <c r="R504" s="87"/>
      <c r="S504" s="87"/>
      <c r="T504" s="90"/>
      <c r="U504" s="91">
        <f>TAB_ESTOQUE[[#This Row],[Valor Unitario Estimado]]*TAB_ESTOQUE[[#This Row],[Estoque]]</f>
        <v>0</v>
      </c>
      <c r="V504" s="91"/>
      <c r="W504" s="85"/>
      <c r="X504" s="85"/>
      <c r="Y504" s="85"/>
      <c r="Z504" s="85"/>
      <c r="AA504" s="85"/>
      <c r="AB504" s="85" t="str">
        <f>IF(TAB_ESTOQUE[[#This Row],[Estoque]]=0,"Estoque Não Conforme",IF(TAB_ESTOQUE[[#This Row],[Estoque]]&gt;=TAB_ESTOQUE[[#This Row],[Mínimo]],"Estoque Conforme",IF(TAB_ESTOQUE[[#This Row],[Estoque]]&lt;TAB_ESTOQUE[[#This Row],[Mínimo]],"Estoque em Nivel Minimo")))</f>
        <v>Estoque Conforme</v>
      </c>
      <c r="AC504" s="85"/>
      <c r="AD504" s="82"/>
      <c r="AE504" s="82"/>
      <c r="AF504" s="82"/>
    </row>
    <row r="505" spans="1:32" ht="15" customHeight="1" x14ac:dyDescent="0.25">
      <c r="A505" s="45">
        <v>7</v>
      </c>
      <c r="B505" s="47"/>
      <c r="C505" s="46"/>
      <c r="D505" s="45" t="s">
        <v>1890</v>
      </c>
      <c r="E505" s="46" t="s">
        <v>7</v>
      </c>
      <c r="F505" s="87"/>
      <c r="G505" s="82"/>
      <c r="H505" s="82"/>
      <c r="I505" s="208" t="s">
        <v>6091</v>
      </c>
      <c r="J505" s="82"/>
      <c r="K505" s="82"/>
      <c r="L505" s="82"/>
      <c r="M505" s="82"/>
      <c r="N505" s="82"/>
      <c r="O505" s="87" t="s">
        <v>6395</v>
      </c>
      <c r="P505" s="82" t="s">
        <v>14</v>
      </c>
      <c r="Q505" s="83">
        <f>VLOOKUP(TAB_ESTOQUE[[#This Row],[Codigo]],TAB_ENTRADA[[Cod_2_Entrada]:[TOTAL_ENTRADA]],5,FALSE)-VLOOKUP(TAB_ESTOQUE[[#This Row],[Codigo]],TAB_SAIDA[[COD_2_SAIDA]:[TOTAL_SAIDA]],5,FALSE)</f>
        <v>0</v>
      </c>
      <c r="R505" s="87"/>
      <c r="S505" s="87"/>
      <c r="T505" s="90"/>
      <c r="U505" s="91">
        <f>TAB_ESTOQUE[[#This Row],[Valor Unitario Estimado]]*TAB_ESTOQUE[[#This Row],[Estoque]]</f>
        <v>0</v>
      </c>
      <c r="V505" s="91"/>
      <c r="W505" s="85"/>
      <c r="X505" s="85"/>
      <c r="Y505" s="85"/>
      <c r="Z505" s="85"/>
      <c r="AA505" s="85"/>
      <c r="AB505" s="85" t="str">
        <f>IF(TAB_ESTOQUE[[#This Row],[Estoque]]=0,"Estoque Não Conforme",IF(TAB_ESTOQUE[[#This Row],[Estoque]]&gt;=TAB_ESTOQUE[[#This Row],[Mínimo]],"Estoque Conforme",IF(TAB_ESTOQUE[[#This Row],[Estoque]]&lt;TAB_ESTOQUE[[#This Row],[Mínimo]],"Estoque em Nivel Minimo")))</f>
        <v>Estoque Não Conforme</v>
      </c>
      <c r="AC505" s="85"/>
      <c r="AD505" s="82"/>
      <c r="AE505" s="82"/>
      <c r="AF505" s="82"/>
    </row>
    <row r="506" spans="1:32" ht="15" customHeight="1" x14ac:dyDescent="0.25">
      <c r="A506" s="45">
        <v>8</v>
      </c>
      <c r="B506" s="47"/>
      <c r="C506" s="46"/>
      <c r="D506" s="45" t="s">
        <v>1891</v>
      </c>
      <c r="E506" s="46" t="s">
        <v>7</v>
      </c>
      <c r="F506" s="87"/>
      <c r="G506" s="82"/>
      <c r="H506" s="82"/>
      <c r="I506" s="208" t="s">
        <v>6092</v>
      </c>
      <c r="J506" s="82"/>
      <c r="K506" s="82"/>
      <c r="L506" s="82"/>
      <c r="M506" s="82"/>
      <c r="N506" s="82"/>
      <c r="O506" s="87" t="s">
        <v>6395</v>
      </c>
      <c r="P506" s="82" t="s">
        <v>16</v>
      </c>
      <c r="Q506" s="83">
        <f>VLOOKUP(TAB_ESTOQUE[[#This Row],[Codigo]],TAB_ENTRADA[[Cod_2_Entrada]:[TOTAL_ENTRADA]],5,FALSE)-VLOOKUP(TAB_ESTOQUE[[#This Row],[Codigo]],TAB_SAIDA[[COD_2_SAIDA]:[TOTAL_SAIDA]],5,FALSE)</f>
        <v>5</v>
      </c>
      <c r="R506" s="87"/>
      <c r="S506" s="87"/>
      <c r="T506" s="90">
        <v>993.25</v>
      </c>
      <c r="U506" s="91">
        <f>TAB_ESTOQUE[[#This Row],[Valor Unitario Estimado]]*TAB_ESTOQUE[[#This Row],[Estoque]]</f>
        <v>4966.25</v>
      </c>
      <c r="V506" s="91"/>
      <c r="W506" s="85"/>
      <c r="X506" s="85"/>
      <c r="Y506" s="85"/>
      <c r="Z506" s="85"/>
      <c r="AA506" s="85"/>
      <c r="AB506" s="85" t="str">
        <f>IF(TAB_ESTOQUE[[#This Row],[Estoque]]=0,"Estoque Não Conforme",IF(TAB_ESTOQUE[[#This Row],[Estoque]]&gt;=TAB_ESTOQUE[[#This Row],[Mínimo]],"Estoque Conforme",IF(TAB_ESTOQUE[[#This Row],[Estoque]]&lt;TAB_ESTOQUE[[#This Row],[Mínimo]],"Estoque em Nivel Minimo")))</f>
        <v>Estoque Conforme</v>
      </c>
      <c r="AC506" s="85"/>
      <c r="AD506" s="82"/>
      <c r="AE506" s="82"/>
      <c r="AF506" s="82"/>
    </row>
    <row r="507" spans="1:32" ht="15" customHeight="1" x14ac:dyDescent="0.25">
      <c r="A507" s="45">
        <v>1236</v>
      </c>
      <c r="B507" s="47"/>
      <c r="C507" s="46"/>
      <c r="D507" s="45" t="s">
        <v>1892</v>
      </c>
      <c r="E507" s="46" t="s">
        <v>7</v>
      </c>
      <c r="F507" s="87"/>
      <c r="G507" s="82"/>
      <c r="H507" s="82"/>
      <c r="I507" s="82" t="s">
        <v>6093</v>
      </c>
      <c r="J507" s="82" t="s">
        <v>2772</v>
      </c>
      <c r="K507" s="82"/>
      <c r="L507" s="82"/>
      <c r="M507" s="82"/>
      <c r="N507" s="82"/>
      <c r="O507" s="87" t="s">
        <v>6395</v>
      </c>
      <c r="P507" s="82" t="s">
        <v>953</v>
      </c>
      <c r="Q507" s="83">
        <f>VLOOKUP(TAB_ESTOQUE[[#This Row],[Codigo]],TAB_ENTRADA[[Cod_2_Entrada]:[TOTAL_ENTRADA]],5,FALSE)-VLOOKUP(TAB_ESTOQUE[[#This Row],[Codigo]],TAB_SAIDA[[COD_2_SAIDA]:[TOTAL_SAIDA]],5,FALSE)</f>
        <v>6</v>
      </c>
      <c r="R507" s="87"/>
      <c r="S507" s="87"/>
      <c r="T507" s="90">
        <v>96.79</v>
      </c>
      <c r="U507" s="91">
        <f>TAB_ESTOQUE[[#This Row],[Valor Unitario Estimado]]*TAB_ESTOQUE[[#This Row],[Estoque]]</f>
        <v>580.74</v>
      </c>
      <c r="V507" s="91"/>
      <c r="W507" s="85"/>
      <c r="X507" s="85"/>
      <c r="Y507" s="85"/>
      <c r="Z507" s="85"/>
      <c r="AA507" s="85"/>
      <c r="AB507" s="85" t="str">
        <f>IF(TAB_ESTOQUE[[#This Row],[Estoque]]=0,"Estoque Não Conforme",IF(TAB_ESTOQUE[[#This Row],[Estoque]]&gt;=TAB_ESTOQUE[[#This Row],[Mínimo]],"Estoque Conforme",IF(TAB_ESTOQUE[[#This Row],[Estoque]]&lt;TAB_ESTOQUE[[#This Row],[Mínimo]],"Estoque em Nivel Minimo")))</f>
        <v>Estoque Conforme</v>
      </c>
      <c r="AC507" s="85"/>
      <c r="AD507" s="82"/>
      <c r="AE507" s="82"/>
      <c r="AF507" s="82"/>
    </row>
    <row r="508" spans="1:32" ht="15" customHeight="1" x14ac:dyDescent="0.25">
      <c r="A508" s="45">
        <v>1677</v>
      </c>
      <c r="B508" s="47"/>
      <c r="C508" s="46" t="s">
        <v>2833</v>
      </c>
      <c r="D508" s="45" t="s">
        <v>1893</v>
      </c>
      <c r="E508" s="46" t="s">
        <v>1240</v>
      </c>
      <c r="F508" s="87"/>
      <c r="G508" s="82"/>
      <c r="H508" s="82"/>
      <c r="I508" s="82" t="s">
        <v>6094</v>
      </c>
      <c r="J508" s="82"/>
      <c r="K508" s="82"/>
      <c r="L508" s="82"/>
      <c r="M508" s="82"/>
      <c r="N508" s="82"/>
      <c r="O508" s="87" t="s">
        <v>6395</v>
      </c>
      <c r="P508" s="82" t="s">
        <v>1109</v>
      </c>
      <c r="Q508" s="83">
        <f>VLOOKUP(TAB_ESTOQUE[[#This Row],[Codigo]],TAB_ENTRADA[[Cod_2_Entrada]:[TOTAL_ENTRADA]],5,FALSE)-VLOOKUP(TAB_ESTOQUE[[#This Row],[Codigo]],TAB_SAIDA[[COD_2_SAIDA]:[TOTAL_SAIDA]],5,FALSE)</f>
        <v>4</v>
      </c>
      <c r="R508" s="87"/>
      <c r="S508" s="87"/>
      <c r="T508" s="90"/>
      <c r="U508" s="91">
        <f>TAB_ESTOQUE[[#This Row],[Valor Unitario Estimado]]*TAB_ESTOQUE[[#This Row],[Estoque]]</f>
        <v>0</v>
      </c>
      <c r="V508" s="91"/>
      <c r="W508" s="85"/>
      <c r="X508" s="85"/>
      <c r="Y508" s="85"/>
      <c r="Z508" s="85"/>
      <c r="AA508" s="85"/>
      <c r="AB508" s="85" t="str">
        <f>IF(TAB_ESTOQUE[[#This Row],[Estoque]]=0,"Estoque Não Conforme",IF(TAB_ESTOQUE[[#This Row],[Estoque]]&gt;=TAB_ESTOQUE[[#This Row],[Mínimo]],"Estoque Conforme",IF(TAB_ESTOQUE[[#This Row],[Estoque]]&lt;TAB_ESTOQUE[[#This Row],[Mínimo]],"Estoque em Nivel Minimo")))</f>
        <v>Estoque Conforme</v>
      </c>
      <c r="AC508" s="85"/>
      <c r="AD508" s="82"/>
      <c r="AE508" s="82"/>
      <c r="AF508" s="82"/>
    </row>
    <row r="509" spans="1:32" ht="15" customHeight="1" x14ac:dyDescent="0.25">
      <c r="A509" s="45">
        <v>1237</v>
      </c>
      <c r="B509" s="47"/>
      <c r="C509" s="46"/>
      <c r="D509" s="45" t="s">
        <v>1898</v>
      </c>
      <c r="E509" s="46" t="s">
        <v>1240</v>
      </c>
      <c r="F509" s="87"/>
      <c r="G509" s="82"/>
      <c r="H509" s="82"/>
      <c r="I509" s="209" t="s">
        <v>7919</v>
      </c>
      <c r="J509" s="82"/>
      <c r="K509" s="82" t="s">
        <v>954</v>
      </c>
      <c r="L509" s="82"/>
      <c r="M509" s="82"/>
      <c r="N509" s="82"/>
      <c r="O509" s="87" t="s">
        <v>6395</v>
      </c>
      <c r="P509" s="82" t="s">
        <v>955</v>
      </c>
      <c r="Q509" s="83">
        <f>VLOOKUP(TAB_ESTOQUE[[#This Row],[Codigo]],TAB_ENTRADA[[Cod_2_Entrada]:[TOTAL_ENTRADA]],5,FALSE)-VLOOKUP(TAB_ESTOQUE[[#This Row],[Codigo]],TAB_SAIDA[[COD_2_SAIDA]:[TOTAL_SAIDA]],5,FALSE)</f>
        <v>2</v>
      </c>
      <c r="R509" s="87"/>
      <c r="S509" s="87"/>
      <c r="T509" s="90"/>
      <c r="U509" s="91">
        <f>TAB_ESTOQUE[[#This Row],[Valor Unitario Estimado]]*TAB_ESTOQUE[[#This Row],[Estoque]]</f>
        <v>0</v>
      </c>
      <c r="V509" s="91"/>
      <c r="W509" s="85"/>
      <c r="X509" s="85"/>
      <c r="Y509" s="85"/>
      <c r="Z509" s="85"/>
      <c r="AA509" s="85"/>
      <c r="AB509" s="85" t="str">
        <f>IF(TAB_ESTOQUE[[#This Row],[Estoque]]=0,"Estoque Não Conforme",IF(TAB_ESTOQUE[[#This Row],[Estoque]]&gt;=TAB_ESTOQUE[[#This Row],[Mínimo]],"Estoque Conforme",IF(TAB_ESTOQUE[[#This Row],[Estoque]]&lt;TAB_ESTOQUE[[#This Row],[Mínimo]],"Estoque em Nivel Minimo")))</f>
        <v>Estoque Conforme</v>
      </c>
      <c r="AC509" s="85"/>
      <c r="AD509" s="82"/>
      <c r="AE509" s="82"/>
      <c r="AF509" s="82"/>
    </row>
    <row r="510" spans="1:32" ht="15" customHeight="1" x14ac:dyDescent="0.25">
      <c r="A510" s="45">
        <v>590</v>
      </c>
      <c r="B510" s="47"/>
      <c r="C510" s="46"/>
      <c r="D510" s="45" t="s">
        <v>1974</v>
      </c>
      <c r="E510" s="46"/>
      <c r="F510" s="87"/>
      <c r="G510" s="82"/>
      <c r="H510" s="82"/>
      <c r="I510" s="209" t="s">
        <v>2987</v>
      </c>
      <c r="J510" s="82"/>
      <c r="K510" s="82"/>
      <c r="L510" s="82"/>
      <c r="M510" s="82"/>
      <c r="N510" s="82"/>
      <c r="O510" s="87" t="s">
        <v>6395</v>
      </c>
      <c r="P510" s="82" t="s">
        <v>367</v>
      </c>
      <c r="Q510" s="83">
        <f>VLOOKUP(TAB_ESTOQUE[[#This Row],[Codigo]],TAB_ENTRADA[[Cod_2_Entrada]:[TOTAL_ENTRADA]],5,FALSE)-VLOOKUP(TAB_ESTOQUE[[#This Row],[Codigo]],TAB_SAIDA[[COD_2_SAIDA]:[TOTAL_SAIDA]],5,FALSE)</f>
        <v>6</v>
      </c>
      <c r="R510" s="87"/>
      <c r="S510" s="87"/>
      <c r="T510" s="90">
        <v>355.89</v>
      </c>
      <c r="U510" s="91">
        <f>TAB_ESTOQUE[[#This Row],[Valor Unitario Estimado]]*TAB_ESTOQUE[[#This Row],[Estoque]]</f>
        <v>2135.34</v>
      </c>
      <c r="V510" s="91"/>
      <c r="W510" s="85"/>
      <c r="X510" s="85"/>
      <c r="Y510" s="85"/>
      <c r="Z510" s="85"/>
      <c r="AA510" s="85"/>
      <c r="AB510" s="85" t="str">
        <f>IF(TAB_ESTOQUE[[#This Row],[Estoque]]=0,"Estoque Não Conforme",IF(TAB_ESTOQUE[[#This Row],[Estoque]]&gt;=TAB_ESTOQUE[[#This Row],[Mínimo]],"Estoque Conforme",IF(TAB_ESTOQUE[[#This Row],[Estoque]]&lt;TAB_ESTOQUE[[#This Row],[Mínimo]],"Estoque em Nivel Minimo")))</f>
        <v>Estoque Conforme</v>
      </c>
      <c r="AC510" s="85"/>
      <c r="AD510" s="82"/>
      <c r="AE510" s="82"/>
      <c r="AF510" s="82"/>
    </row>
    <row r="511" spans="1:32" ht="15" customHeight="1" x14ac:dyDescent="0.25">
      <c r="C511" s="48"/>
      <c r="D511" s="45" t="s">
        <v>7295</v>
      </c>
      <c r="E511" s="46"/>
      <c r="F511" s="46"/>
      <c r="I511" s="45" t="s">
        <v>7922</v>
      </c>
      <c r="O511" s="51" t="s">
        <v>6395</v>
      </c>
      <c r="Q511" s="137">
        <f>VLOOKUP(TAB_ESTOQUE[[#This Row],[Codigo]],TAB_ENTRADA[[Cod_2_Entrada]:[TOTAL_ENTRADA]],5,FALSE)-VLOOKUP(TAB_ESTOQUE[[#This Row],[Codigo]],TAB_SAIDA[[COD_2_SAIDA]:[TOTAL_SAIDA]],5,FALSE)</f>
        <v>1</v>
      </c>
      <c r="S511" s="46"/>
      <c r="T511" s="102">
        <v>154.54</v>
      </c>
      <c r="U511" s="103">
        <f>TAB_ESTOQUE[[#This Row],[Valor Unitario Estimado]]*TAB_ESTOQUE[[#This Row],[Estoque]]</f>
        <v>154.54</v>
      </c>
      <c r="V511" s="103"/>
      <c r="AA511" s="138"/>
      <c r="AB511" s="104" t="str">
        <f>IF(TAB_ESTOQUE[[#This Row],[Estoque]]=0,"Estoque Não Conforme",IF(TAB_ESTOQUE[[#This Row],[Estoque]]&gt;=TAB_ESTOQUE[[#This Row],[Mínimo]],"Estoque Conforme",IF(TAB_ESTOQUE[[#This Row],[Estoque]]&lt;TAB_ESTOQUE[[#This Row],[Mínimo]],"Estoque em Nivel Minimo")))</f>
        <v>Estoque Conforme</v>
      </c>
      <c r="AC511" s="104"/>
      <c r="AE511" s="82"/>
      <c r="AF511" s="82"/>
    </row>
    <row r="512" spans="1:32" ht="15" customHeight="1" x14ac:dyDescent="0.25">
      <c r="A512" s="45">
        <v>971</v>
      </c>
      <c r="B512" s="47"/>
      <c r="C512" s="46"/>
      <c r="D512" s="45" t="s">
        <v>1879</v>
      </c>
      <c r="E512" s="46" t="s">
        <v>7185</v>
      </c>
      <c r="F512" s="87"/>
      <c r="G512" s="82"/>
      <c r="H512" s="82"/>
      <c r="I512" s="82" t="s">
        <v>7915</v>
      </c>
      <c r="J512" s="82"/>
      <c r="K512" s="82"/>
      <c r="L512" s="82"/>
      <c r="M512" s="82"/>
      <c r="N512" s="82"/>
      <c r="O512" s="87" t="s">
        <v>6398</v>
      </c>
      <c r="P512" s="82" t="s">
        <v>6019</v>
      </c>
      <c r="Q512" s="83">
        <f>VLOOKUP(TAB_ESTOQUE[[#This Row],[Codigo]],TAB_ENTRADA[[Cod_2_Entrada]:[TOTAL_ENTRADA]],5,FALSE)-VLOOKUP(TAB_ESTOQUE[[#This Row],[Codigo]],TAB_SAIDA[[COD_2_SAIDA]:[TOTAL_SAIDA]],5,FALSE)</f>
        <v>1</v>
      </c>
      <c r="R512" s="87"/>
      <c r="S512" s="87"/>
      <c r="T512" s="90"/>
      <c r="U512" s="91">
        <f>TAB_ESTOQUE[[#This Row],[Valor Unitario Estimado]]*TAB_ESTOQUE[[#This Row],[Estoque]]</f>
        <v>0</v>
      </c>
      <c r="V512" s="91"/>
      <c r="W512" s="85"/>
      <c r="X512" s="85"/>
      <c r="Y512" s="85"/>
      <c r="Z512" s="85"/>
      <c r="AA512" s="85"/>
      <c r="AB512" s="85" t="str">
        <f>IF(TAB_ESTOQUE[[#This Row],[Estoque]]=0,"Estoque Não Conforme",IF(TAB_ESTOQUE[[#This Row],[Estoque]]&gt;=TAB_ESTOQUE[[#This Row],[Mínimo]],"Estoque Conforme",IF(TAB_ESTOQUE[[#This Row],[Estoque]]&lt;TAB_ESTOQUE[[#This Row],[Mínimo]],"Estoque em Nivel Minimo")))</f>
        <v>Estoque Conforme</v>
      </c>
      <c r="AC512" s="85"/>
      <c r="AD512" s="82"/>
      <c r="AE512" s="82"/>
      <c r="AF512" s="82"/>
    </row>
    <row r="513" spans="1:32" ht="15" customHeight="1" x14ac:dyDescent="0.25">
      <c r="A513" s="45">
        <v>174</v>
      </c>
      <c r="B513" s="47"/>
      <c r="C513" s="46"/>
      <c r="D513" s="45" t="s">
        <v>1894</v>
      </c>
      <c r="E513" s="46" t="s">
        <v>7185</v>
      </c>
      <c r="F513" s="87"/>
      <c r="G513" s="82"/>
      <c r="H513" s="82"/>
      <c r="I513" s="209" t="s">
        <v>1442</v>
      </c>
      <c r="J513" s="82"/>
      <c r="K513" s="82" t="s">
        <v>15</v>
      </c>
      <c r="L513" s="82"/>
      <c r="M513" s="82"/>
      <c r="N513" s="82"/>
      <c r="O513" s="87" t="s">
        <v>6398</v>
      </c>
      <c r="P513" s="82" t="s">
        <v>122</v>
      </c>
      <c r="Q513" s="83">
        <f>VLOOKUP(TAB_ESTOQUE[[#This Row],[Codigo]],TAB_ENTRADA[[Cod_2_Entrada]:[TOTAL_ENTRADA]],5,FALSE)-VLOOKUP(TAB_ESTOQUE[[#This Row],[Codigo]],TAB_SAIDA[[COD_2_SAIDA]:[TOTAL_SAIDA]],5,FALSE)</f>
        <v>0</v>
      </c>
      <c r="R513" s="87"/>
      <c r="S513" s="87"/>
      <c r="T513" s="90">
        <v>4500</v>
      </c>
      <c r="U513" s="91">
        <f>TAB_ESTOQUE[[#This Row],[Valor Unitario Estimado]]*TAB_ESTOQUE[[#This Row],[Estoque]]</f>
        <v>0</v>
      </c>
      <c r="V513" s="91"/>
      <c r="W513" s="85"/>
      <c r="X513" s="85"/>
      <c r="Y513" s="85"/>
      <c r="Z513" s="85"/>
      <c r="AA513" s="85"/>
      <c r="AB513" s="85" t="str">
        <f>IF(TAB_ESTOQUE[[#This Row],[Estoque]]=0,"Estoque Não Conforme",IF(TAB_ESTOQUE[[#This Row],[Estoque]]&gt;=TAB_ESTOQUE[[#This Row],[Mínimo]],"Estoque Conforme",IF(TAB_ESTOQUE[[#This Row],[Estoque]]&lt;TAB_ESTOQUE[[#This Row],[Mínimo]],"Estoque em Nivel Minimo")))</f>
        <v>Estoque Não Conforme</v>
      </c>
      <c r="AC513" s="85"/>
      <c r="AD513" s="82"/>
      <c r="AE513" s="82"/>
      <c r="AF513" s="82"/>
    </row>
    <row r="514" spans="1:32" ht="15" customHeight="1" x14ac:dyDescent="0.25">
      <c r="A514" s="45">
        <v>10</v>
      </c>
      <c r="B514" s="47"/>
      <c r="C514" s="46"/>
      <c r="D514" s="45" t="s">
        <v>1896</v>
      </c>
      <c r="E514" s="46" t="s">
        <v>7</v>
      </c>
      <c r="F514" s="87"/>
      <c r="G514" s="82"/>
      <c r="H514" s="82"/>
      <c r="I514" s="209" t="s">
        <v>3057</v>
      </c>
      <c r="J514" s="82"/>
      <c r="K514" s="82" t="s">
        <v>15</v>
      </c>
      <c r="L514" s="82"/>
      <c r="M514" s="82"/>
      <c r="N514" s="82"/>
      <c r="O514" s="87" t="s">
        <v>6398</v>
      </c>
      <c r="P514" s="82" t="s">
        <v>18</v>
      </c>
      <c r="Q514" s="83">
        <f>VLOOKUP(TAB_ESTOQUE[[#This Row],[Codigo]],TAB_ENTRADA[[Cod_2_Entrada]:[TOTAL_ENTRADA]],5,FALSE)-VLOOKUP(TAB_ESTOQUE[[#This Row],[Codigo]],TAB_SAIDA[[COD_2_SAIDA]:[TOTAL_SAIDA]],5,FALSE)</f>
        <v>1</v>
      </c>
      <c r="R514" s="87"/>
      <c r="S514" s="87"/>
      <c r="T514" s="90"/>
      <c r="U514" s="91">
        <f>TAB_ESTOQUE[[#This Row],[Valor Unitario Estimado]]*TAB_ESTOQUE[[#This Row],[Estoque]]</f>
        <v>0</v>
      </c>
      <c r="V514" s="91"/>
      <c r="W514" s="85"/>
      <c r="X514" s="85"/>
      <c r="Y514" s="85"/>
      <c r="Z514" s="85"/>
      <c r="AA514" s="85"/>
      <c r="AB514" s="85" t="str">
        <f>IF(TAB_ESTOQUE[[#This Row],[Estoque]]=0,"Estoque Não Conforme",IF(TAB_ESTOQUE[[#This Row],[Estoque]]&gt;=TAB_ESTOQUE[[#This Row],[Mínimo]],"Estoque Conforme",IF(TAB_ESTOQUE[[#This Row],[Estoque]]&lt;TAB_ESTOQUE[[#This Row],[Mínimo]],"Estoque em Nivel Minimo")))</f>
        <v>Estoque Conforme</v>
      </c>
      <c r="AC514" s="85"/>
      <c r="AD514" s="82"/>
      <c r="AE514" s="82"/>
      <c r="AF514" s="82"/>
    </row>
    <row r="515" spans="1:32" ht="15" customHeight="1" x14ac:dyDescent="0.25">
      <c r="A515" s="45">
        <v>637</v>
      </c>
      <c r="B515" s="47"/>
      <c r="C515" s="46"/>
      <c r="D515" s="45" t="s">
        <v>1963</v>
      </c>
      <c r="E515" s="46" t="s">
        <v>7</v>
      </c>
      <c r="F515" s="87"/>
      <c r="G515" s="82"/>
      <c r="H515" s="82"/>
      <c r="I515" s="82" t="s">
        <v>6102</v>
      </c>
      <c r="J515" s="82"/>
      <c r="K515" s="82" t="s">
        <v>35</v>
      </c>
      <c r="L515" s="82"/>
      <c r="M515" s="82"/>
      <c r="N515" s="82"/>
      <c r="O515" s="87" t="s">
        <v>6398</v>
      </c>
      <c r="P515" s="82" t="s">
        <v>414</v>
      </c>
      <c r="Q515" s="83">
        <f>VLOOKUP(TAB_ESTOQUE[[#This Row],[Codigo]],TAB_ENTRADA[[Cod_2_Entrada]:[TOTAL_ENTRADA]],5,FALSE)-VLOOKUP(TAB_ESTOQUE[[#This Row],[Codigo]],TAB_SAIDA[[COD_2_SAIDA]:[TOTAL_SAIDA]],5,FALSE)</f>
        <v>7</v>
      </c>
      <c r="R515" s="87"/>
      <c r="S515" s="87"/>
      <c r="T515" s="90"/>
      <c r="U515" s="91">
        <f>TAB_ESTOQUE[[#This Row],[Valor Unitario Estimado]]*TAB_ESTOQUE[[#This Row],[Estoque]]</f>
        <v>0</v>
      </c>
      <c r="V515" s="91"/>
      <c r="W515" s="85"/>
      <c r="X515" s="85"/>
      <c r="Y515" s="85"/>
      <c r="Z515" s="85"/>
      <c r="AA515" s="85"/>
      <c r="AB515" s="85" t="str">
        <f>IF(TAB_ESTOQUE[[#This Row],[Estoque]]=0,"Estoque Não Conforme",IF(TAB_ESTOQUE[[#This Row],[Estoque]]&gt;=TAB_ESTOQUE[[#This Row],[Mínimo]],"Estoque Conforme",IF(TAB_ESTOQUE[[#This Row],[Estoque]]&lt;TAB_ESTOQUE[[#This Row],[Mínimo]],"Estoque em Nivel Minimo")))</f>
        <v>Estoque Conforme</v>
      </c>
      <c r="AC515" s="85"/>
      <c r="AD515" s="82"/>
      <c r="AE515" s="82"/>
      <c r="AF515" s="82"/>
    </row>
    <row r="516" spans="1:32" ht="15" customHeight="1" x14ac:dyDescent="0.25">
      <c r="B516" s="47"/>
      <c r="C516" s="46"/>
      <c r="D516" s="45" t="s">
        <v>2675</v>
      </c>
      <c r="E516" s="46"/>
      <c r="F516" s="87"/>
      <c r="G516" s="82"/>
      <c r="H516" s="82"/>
      <c r="I516" s="82" t="s">
        <v>8035</v>
      </c>
      <c r="J516" s="82"/>
      <c r="K516" s="82"/>
      <c r="L516" s="82"/>
      <c r="M516" s="82"/>
      <c r="N516" s="82"/>
      <c r="O516" s="87" t="s">
        <v>6398</v>
      </c>
      <c r="P516" s="82" t="s">
        <v>1277</v>
      </c>
      <c r="Q516" s="83">
        <f>VLOOKUP(TAB_ESTOQUE[[#This Row],[Codigo]],TAB_ENTRADA[[Cod_2_Entrada]:[TOTAL_ENTRADA]],5,FALSE)-VLOOKUP(TAB_ESTOQUE[[#This Row],[Codigo]],TAB_SAIDA[[COD_2_SAIDA]:[TOTAL_SAIDA]],5,FALSE)</f>
        <v>1</v>
      </c>
      <c r="R516" s="87"/>
      <c r="S516" s="87"/>
      <c r="T516" s="90"/>
      <c r="U516" s="91">
        <f>TAB_ESTOQUE[[#This Row],[Valor Unitario Estimado]]*TAB_ESTOQUE[[#This Row],[Estoque]]</f>
        <v>0</v>
      </c>
      <c r="V516" s="91"/>
      <c r="W516" s="85"/>
      <c r="X516" s="85"/>
      <c r="Y516" s="85"/>
      <c r="Z516" s="85"/>
      <c r="AA516" s="85"/>
      <c r="AB516" s="96" t="str">
        <f>IF(TAB_ESTOQUE[[#This Row],[Estoque]]=0,"Estoque Não Conforme",IF(TAB_ESTOQUE[[#This Row],[Estoque]]&gt;=TAB_ESTOQUE[[#This Row],[Mínimo]],"Estoque Conforme",IF(TAB_ESTOQUE[[#This Row],[Estoque]]&lt;TAB_ESTOQUE[[#This Row],[Mínimo]],"Estoque em Nivel Minimo")))</f>
        <v>Estoque Conforme</v>
      </c>
      <c r="AC516" s="85"/>
      <c r="AD516" s="82"/>
      <c r="AE516" s="82"/>
      <c r="AF516" s="82"/>
    </row>
    <row r="517" spans="1:32" ht="15" customHeight="1" x14ac:dyDescent="0.25">
      <c r="C517" s="48"/>
      <c r="D517" s="45" t="s">
        <v>7091</v>
      </c>
      <c r="E517" s="46" t="s">
        <v>7496</v>
      </c>
      <c r="F517" s="46"/>
      <c r="I517" s="45" t="s">
        <v>7497</v>
      </c>
      <c r="O517" s="46" t="s">
        <v>6398</v>
      </c>
      <c r="Q517" s="137">
        <f>VLOOKUP(TAB_ESTOQUE[[#This Row],[Codigo]],TAB_ENTRADA[[Cod_2_Entrada]:[TOTAL_ENTRADA]],5,FALSE)-VLOOKUP(TAB_ESTOQUE[[#This Row],[Codigo]],TAB_SAIDA[[COD_2_SAIDA]:[TOTAL_SAIDA]],5,FALSE)</f>
        <v>0</v>
      </c>
      <c r="S517" s="46"/>
      <c r="T517" s="102">
        <v>2599</v>
      </c>
      <c r="U517" s="103">
        <f>TAB_ESTOQUE[[#This Row],[Valor Unitario Estimado]]*TAB_ESTOQUE[[#This Row],[Estoque]]</f>
        <v>0</v>
      </c>
      <c r="V517" s="103"/>
      <c r="AA517" s="138"/>
      <c r="AB517" s="104" t="str">
        <f>IF(TAB_ESTOQUE[[#This Row],[Estoque]]=0,"Estoque Não Conforme",IF(TAB_ESTOQUE[[#This Row],[Estoque]]&gt;=TAB_ESTOQUE[[#This Row],[Mínimo]],"Estoque Conforme",IF(TAB_ESTOQUE[[#This Row],[Estoque]]&lt;TAB_ESTOQUE[[#This Row],[Mínimo]],"Estoque em Nivel Minimo")))</f>
        <v>Estoque Não Conforme</v>
      </c>
      <c r="AC517" s="104"/>
      <c r="AE517" s="82"/>
      <c r="AF517" s="82"/>
    </row>
    <row r="518" spans="1:32" ht="15" customHeight="1" x14ac:dyDescent="0.25">
      <c r="C518" s="48"/>
      <c r="D518" s="45" t="s">
        <v>7097</v>
      </c>
      <c r="E518" s="46" t="s">
        <v>7345</v>
      </c>
      <c r="F518" s="46"/>
      <c r="I518" s="45" t="s">
        <v>7549</v>
      </c>
      <c r="O518" s="46" t="s">
        <v>6398</v>
      </c>
      <c r="Q518" s="137">
        <f>VLOOKUP(TAB_ESTOQUE[[#This Row],[Codigo]],TAB_ENTRADA[[Cod_2_Entrada]:[TOTAL_ENTRADA]],5,FALSE)-VLOOKUP(TAB_ESTOQUE[[#This Row],[Codigo]],TAB_SAIDA[[COD_2_SAIDA]:[TOTAL_SAIDA]],5,FALSE)</f>
        <v>1</v>
      </c>
      <c r="S518" s="46"/>
      <c r="T518" s="102">
        <v>2885</v>
      </c>
      <c r="U518" s="103">
        <f>TAB_ESTOQUE[[#This Row],[Valor Unitario Estimado]]*TAB_ESTOQUE[[#This Row],[Estoque]]</f>
        <v>2885</v>
      </c>
      <c r="V518" s="103"/>
      <c r="AA518" s="138"/>
      <c r="AB518" s="104" t="str">
        <f>IF(TAB_ESTOQUE[[#This Row],[Estoque]]=0,"Estoque Não Conforme",IF(TAB_ESTOQUE[[#This Row],[Estoque]]&gt;=TAB_ESTOQUE[[#This Row],[Mínimo]],"Estoque Conforme",IF(TAB_ESTOQUE[[#This Row],[Estoque]]&lt;TAB_ESTOQUE[[#This Row],[Mínimo]],"Estoque em Nivel Minimo")))</f>
        <v>Estoque Conforme</v>
      </c>
      <c r="AC518" s="104"/>
      <c r="AE518" s="82"/>
      <c r="AF518" s="82"/>
    </row>
    <row r="519" spans="1:32" ht="15" customHeight="1" x14ac:dyDescent="0.25">
      <c r="C519" s="48"/>
      <c r="D519" s="45" t="s">
        <v>7296</v>
      </c>
      <c r="E519" s="46"/>
      <c r="F519" s="46"/>
      <c r="I519" s="45" t="s">
        <v>7923</v>
      </c>
      <c r="O519" s="116" t="s">
        <v>6398</v>
      </c>
      <c r="Q519" s="137">
        <f>VLOOKUP(TAB_ESTOQUE[[#This Row],[Codigo]],TAB_ENTRADA[[Cod_2_Entrada]:[TOTAL_ENTRADA]],5,FALSE)-VLOOKUP(TAB_ESTOQUE[[#This Row],[Codigo]],TAB_SAIDA[[COD_2_SAIDA]:[TOTAL_SAIDA]],5,FALSE)</f>
        <v>2</v>
      </c>
      <c r="S519" s="46"/>
      <c r="T519" s="102"/>
      <c r="U519" s="103">
        <f>TAB_ESTOQUE[[#This Row],[Valor Unitario Estimado]]*TAB_ESTOQUE[[#This Row],[Estoque]]</f>
        <v>0</v>
      </c>
      <c r="V519" s="103"/>
      <c r="AA519" s="138"/>
      <c r="AB519" s="104" t="str">
        <f>IF(TAB_ESTOQUE[[#This Row],[Estoque]]=0,"Estoque Não Conforme",IF(TAB_ESTOQUE[[#This Row],[Estoque]]&gt;=TAB_ESTOQUE[[#This Row],[Mínimo]],"Estoque Conforme",IF(TAB_ESTOQUE[[#This Row],[Estoque]]&lt;TAB_ESTOQUE[[#This Row],[Mínimo]],"Estoque em Nivel Minimo")))</f>
        <v>Estoque Conforme</v>
      </c>
      <c r="AC519" s="104"/>
      <c r="AE519" s="82"/>
      <c r="AF519" s="82"/>
    </row>
    <row r="520" spans="1:32" ht="15" customHeight="1" x14ac:dyDescent="0.25">
      <c r="C520" s="48"/>
      <c r="D520" s="45" t="s">
        <v>7494</v>
      </c>
      <c r="E520" s="46" t="s">
        <v>8039</v>
      </c>
      <c r="F520" s="46"/>
      <c r="I520" s="45" t="s">
        <v>8036</v>
      </c>
      <c r="O520" s="51" t="s">
        <v>6398</v>
      </c>
      <c r="Q520" s="137">
        <f>VLOOKUP(TAB_ESTOQUE[[#This Row],[Codigo]],TAB_ENTRADA[[Cod_2_Entrada]:[TOTAL_ENTRADA]],5,FALSE)-VLOOKUP(TAB_ESTOQUE[[#This Row],[Codigo]],TAB_SAIDA[[COD_2_SAIDA]:[TOTAL_SAIDA]],5,FALSE)</f>
        <v>1</v>
      </c>
      <c r="S520" s="46"/>
      <c r="T520" s="102">
        <v>790</v>
      </c>
      <c r="U520" s="103">
        <f>TAB_ESTOQUE[[#This Row],[Valor Unitario Estimado]]*TAB_ESTOQUE[[#This Row],[Estoque]]</f>
        <v>790</v>
      </c>
      <c r="V520" s="103"/>
      <c r="AA520" s="138"/>
      <c r="AB520" s="104" t="str">
        <f>IF(TAB_ESTOQUE[[#This Row],[Estoque]]=0,"Estoque Não Conforme",IF(TAB_ESTOQUE[[#This Row],[Estoque]]&gt;=TAB_ESTOQUE[[#This Row],[Mínimo]],"Estoque Conforme",IF(TAB_ESTOQUE[[#This Row],[Estoque]]&lt;TAB_ESTOQUE[[#This Row],[Mínimo]],"Estoque em Nivel Minimo")))</f>
        <v>Estoque Conforme</v>
      </c>
      <c r="AC520" s="104"/>
      <c r="AE520" s="82"/>
      <c r="AF520" s="82"/>
    </row>
    <row r="521" spans="1:32" ht="15" customHeight="1" x14ac:dyDescent="0.25">
      <c r="A521" s="45">
        <v>973</v>
      </c>
      <c r="B521" s="47"/>
      <c r="C521" s="46"/>
      <c r="D521" s="45" t="s">
        <v>1875</v>
      </c>
      <c r="E521" s="46"/>
      <c r="F521" s="87"/>
      <c r="G521" s="82"/>
      <c r="H521" s="82"/>
      <c r="I521" s="82" t="s">
        <v>8470</v>
      </c>
      <c r="J521" s="82"/>
      <c r="K521" s="82"/>
      <c r="L521" s="82"/>
      <c r="M521" s="82"/>
      <c r="N521" s="82"/>
      <c r="O521" s="87" t="s">
        <v>7912</v>
      </c>
      <c r="P521" s="82" t="s">
        <v>6019</v>
      </c>
      <c r="Q521" s="83">
        <f>VLOOKUP(TAB_ESTOQUE[[#This Row],[Codigo]],TAB_ENTRADA[[Cod_2_Entrada]:[TOTAL_ENTRADA]],5,FALSE)-VLOOKUP(TAB_ESTOQUE[[#This Row],[Codigo]],TAB_SAIDA[[COD_2_SAIDA]:[TOTAL_SAIDA]],5,FALSE)</f>
        <v>2</v>
      </c>
      <c r="R521" s="87"/>
      <c r="S521" s="87"/>
      <c r="T521" s="90"/>
      <c r="U521" s="91">
        <f>TAB_ESTOQUE[[#This Row],[Valor Unitario Estimado]]*TAB_ESTOQUE[[#This Row],[Estoque]]</f>
        <v>0</v>
      </c>
      <c r="V521" s="91"/>
      <c r="W521" s="85"/>
      <c r="X521" s="85"/>
      <c r="Y521" s="85"/>
      <c r="Z521" s="85"/>
      <c r="AA521" s="85"/>
      <c r="AB521" s="85" t="str">
        <f>IF(TAB_ESTOQUE[[#This Row],[Estoque]]=0,"Estoque Não Conforme",IF(TAB_ESTOQUE[[#This Row],[Estoque]]&gt;=TAB_ESTOQUE[[#This Row],[Mínimo]],"Estoque Conforme",IF(TAB_ESTOQUE[[#This Row],[Estoque]]&lt;TAB_ESTOQUE[[#This Row],[Mínimo]],"Estoque em Nivel Minimo")))</f>
        <v>Estoque Conforme</v>
      </c>
      <c r="AC521" s="85"/>
      <c r="AD521" s="82"/>
      <c r="AE521" s="82"/>
      <c r="AF521" s="82"/>
    </row>
    <row r="522" spans="1:32" ht="15" customHeight="1" x14ac:dyDescent="0.2">
      <c r="A522" s="45">
        <v>123</v>
      </c>
      <c r="B522" s="47"/>
      <c r="C522" s="46"/>
      <c r="D522" s="45" t="s">
        <v>1844</v>
      </c>
      <c r="E522" s="46" t="s">
        <v>7</v>
      </c>
      <c r="F522" s="87"/>
      <c r="G522" s="82"/>
      <c r="H522" s="82"/>
      <c r="I522" s="207" t="s">
        <v>6233</v>
      </c>
      <c r="J522" s="82"/>
      <c r="K522" s="82"/>
      <c r="L522" s="82"/>
      <c r="M522" s="82"/>
      <c r="N522" s="82"/>
      <c r="O522" s="87" t="s">
        <v>6358</v>
      </c>
      <c r="P522" s="82" t="s">
        <v>79</v>
      </c>
      <c r="Q522" s="83">
        <f>VLOOKUP(TAB_ESTOQUE[[#This Row],[Codigo]],TAB_ENTRADA[[Cod_2_Entrada]:[TOTAL_ENTRADA]],5,FALSE)-VLOOKUP(TAB_ESTOQUE[[#This Row],[Codigo]],TAB_SAIDA[[COD_2_SAIDA]:[TOTAL_SAIDA]],5,FALSE)</f>
        <v>1</v>
      </c>
      <c r="R522" s="87"/>
      <c r="S522" s="87"/>
      <c r="T522" s="90"/>
      <c r="U522" s="91">
        <f>TAB_ESTOQUE[[#This Row],[Valor Unitario Estimado]]*TAB_ESTOQUE[[#This Row],[Estoque]]</f>
        <v>0</v>
      </c>
      <c r="V522" s="91"/>
      <c r="W522" s="85"/>
      <c r="X522" s="85"/>
      <c r="Y522" s="85"/>
      <c r="Z522" s="85"/>
      <c r="AA522" s="85"/>
      <c r="AB522" s="85" t="str">
        <f>IF(TAB_ESTOQUE[[#This Row],[Estoque]]=0,"Estoque Não Conforme",IF(TAB_ESTOQUE[[#This Row],[Estoque]]&gt;=TAB_ESTOQUE[[#This Row],[Mínimo]],"Estoque Conforme",IF(TAB_ESTOQUE[[#This Row],[Estoque]]&lt;TAB_ESTOQUE[[#This Row],[Mínimo]],"Estoque em Nivel Minimo")))</f>
        <v>Estoque Conforme</v>
      </c>
      <c r="AC522" s="85"/>
      <c r="AD522" s="82"/>
      <c r="AE522" s="82"/>
      <c r="AF522" s="82"/>
    </row>
    <row r="523" spans="1:32" ht="15" customHeight="1" x14ac:dyDescent="0.25">
      <c r="A523" s="45">
        <v>143</v>
      </c>
      <c r="B523" s="47"/>
      <c r="C523" s="46"/>
      <c r="D523" s="45" t="s">
        <v>1901</v>
      </c>
      <c r="E523" s="46" t="s">
        <v>8396</v>
      </c>
      <c r="F523" s="87"/>
      <c r="G523" s="82"/>
      <c r="H523" s="82"/>
      <c r="I523" s="82" t="s">
        <v>1443</v>
      </c>
      <c r="J523" s="82"/>
      <c r="K523" s="82"/>
      <c r="L523" s="82"/>
      <c r="M523" s="82"/>
      <c r="N523" s="82"/>
      <c r="O523" s="87" t="s">
        <v>6358</v>
      </c>
      <c r="P523" s="82" t="s">
        <v>90</v>
      </c>
      <c r="Q523" s="83">
        <f>VLOOKUP(TAB_ESTOQUE[[#This Row],[Codigo]],TAB_ENTRADA[[Cod_2_Entrada]:[TOTAL_ENTRADA]],5,FALSE)-VLOOKUP(TAB_ESTOQUE[[#This Row],[Codigo]],TAB_SAIDA[[COD_2_SAIDA]:[TOTAL_SAIDA]],5,FALSE)</f>
        <v>2</v>
      </c>
      <c r="R523" s="87"/>
      <c r="S523" s="87"/>
      <c r="T523" s="90"/>
      <c r="U523" s="91">
        <f>TAB_ESTOQUE[[#This Row],[Valor Unitario Estimado]]*TAB_ESTOQUE[[#This Row],[Estoque]]</f>
        <v>0</v>
      </c>
      <c r="V523" s="91"/>
      <c r="W523" s="85"/>
      <c r="X523" s="85"/>
      <c r="Y523" s="85"/>
      <c r="Z523" s="85"/>
      <c r="AA523" s="85"/>
      <c r="AB523" s="85" t="str">
        <f>IF(TAB_ESTOQUE[[#This Row],[Estoque]]=0,"Estoque Não Conforme",IF(TAB_ESTOQUE[[#This Row],[Estoque]]&gt;=TAB_ESTOQUE[[#This Row],[Mínimo]],"Estoque Conforme",IF(TAB_ESTOQUE[[#This Row],[Estoque]]&lt;TAB_ESTOQUE[[#This Row],[Mínimo]],"Estoque em Nivel Minimo")))</f>
        <v>Estoque Conforme</v>
      </c>
      <c r="AC523" s="85"/>
      <c r="AD523" s="82"/>
      <c r="AE523" s="82"/>
      <c r="AF523" s="82"/>
    </row>
    <row r="524" spans="1:32" ht="15" customHeight="1" x14ac:dyDescent="0.25">
      <c r="A524" s="45">
        <v>179</v>
      </c>
      <c r="B524" s="47"/>
      <c r="C524" s="46"/>
      <c r="D524" s="45" t="s">
        <v>1902</v>
      </c>
      <c r="E524" s="46" t="s">
        <v>8396</v>
      </c>
      <c r="F524" s="87"/>
      <c r="G524" s="82"/>
      <c r="H524" s="82"/>
      <c r="I524" s="208" t="s">
        <v>1444</v>
      </c>
      <c r="J524" s="82"/>
      <c r="K524" s="82" t="s">
        <v>15</v>
      </c>
      <c r="L524" s="82"/>
      <c r="M524" s="82"/>
      <c r="N524" s="82"/>
      <c r="O524" s="87" t="s">
        <v>6358</v>
      </c>
      <c r="P524" s="82" t="s">
        <v>126</v>
      </c>
      <c r="Q524" s="83">
        <f>VLOOKUP(TAB_ESTOQUE[[#This Row],[Codigo]],TAB_ENTRADA[[Cod_2_Entrada]:[TOTAL_ENTRADA]],5,FALSE)-VLOOKUP(TAB_ESTOQUE[[#This Row],[Codigo]],TAB_SAIDA[[COD_2_SAIDA]:[TOTAL_SAIDA]],5,FALSE)</f>
        <v>1</v>
      </c>
      <c r="R524" s="87"/>
      <c r="S524" s="87"/>
      <c r="T524" s="90"/>
      <c r="U524" s="91">
        <f>TAB_ESTOQUE[[#This Row],[Valor Unitario Estimado]]*TAB_ESTOQUE[[#This Row],[Estoque]]</f>
        <v>0</v>
      </c>
      <c r="V524" s="91"/>
      <c r="W524" s="85"/>
      <c r="X524" s="85"/>
      <c r="Y524" s="85"/>
      <c r="Z524" s="85"/>
      <c r="AA524" s="85"/>
      <c r="AB524" s="85" t="str">
        <f>IF(TAB_ESTOQUE[[#This Row],[Estoque]]=0,"Estoque Não Conforme",IF(TAB_ESTOQUE[[#This Row],[Estoque]]&gt;=TAB_ESTOQUE[[#This Row],[Mínimo]],"Estoque Conforme",IF(TAB_ESTOQUE[[#This Row],[Estoque]]&lt;TAB_ESTOQUE[[#This Row],[Mínimo]],"Estoque em Nivel Minimo")))</f>
        <v>Estoque Conforme</v>
      </c>
      <c r="AC524" s="85"/>
      <c r="AD524" s="82"/>
      <c r="AE524" s="82"/>
      <c r="AF524" s="82"/>
    </row>
    <row r="525" spans="1:32" ht="15" customHeight="1" x14ac:dyDescent="0.25">
      <c r="A525" s="45">
        <v>1135</v>
      </c>
      <c r="B525" s="47"/>
      <c r="C525" s="46" t="s">
        <v>2833</v>
      </c>
      <c r="D525" s="45" t="s">
        <v>1967</v>
      </c>
      <c r="E525" s="46" t="s">
        <v>7265</v>
      </c>
      <c r="F525" s="87"/>
      <c r="G525" s="82"/>
      <c r="H525" s="82"/>
      <c r="I525" s="82" t="s">
        <v>7911</v>
      </c>
      <c r="J525" s="82"/>
      <c r="K525" s="82"/>
      <c r="L525" s="82"/>
      <c r="M525" s="82"/>
      <c r="N525" s="82"/>
      <c r="O525" s="87" t="s">
        <v>7191</v>
      </c>
      <c r="P525" s="82" t="s">
        <v>861</v>
      </c>
      <c r="Q525" s="83">
        <f>VLOOKUP(TAB_ESTOQUE[[#This Row],[Codigo]],TAB_ENTRADA[[Cod_2_Entrada]:[TOTAL_ENTRADA]],5,FALSE)-VLOOKUP(TAB_ESTOQUE[[#This Row],[Codigo]],TAB_SAIDA[[COD_2_SAIDA]:[TOTAL_SAIDA]],5,FALSE)</f>
        <v>2</v>
      </c>
      <c r="R525" s="87"/>
      <c r="S525" s="87"/>
      <c r="T525" s="90">
        <v>3000</v>
      </c>
      <c r="U525" s="91">
        <f>TAB_ESTOQUE[[#This Row],[Valor Unitario Estimado]]*TAB_ESTOQUE[[#This Row],[Estoque]]</f>
        <v>6000</v>
      </c>
      <c r="V525" s="91"/>
      <c r="W525" s="85"/>
      <c r="X525" s="85"/>
      <c r="Y525" s="85"/>
      <c r="Z525" s="85"/>
      <c r="AA525" s="85"/>
      <c r="AB525" s="85" t="str">
        <f>IF(TAB_ESTOQUE[[#This Row],[Estoque]]=0,"Estoque Não Conforme",IF(TAB_ESTOQUE[[#This Row],[Estoque]]&gt;=TAB_ESTOQUE[[#This Row],[Mínimo]],"Estoque Conforme",IF(TAB_ESTOQUE[[#This Row],[Estoque]]&lt;TAB_ESTOQUE[[#This Row],[Mínimo]],"Estoque em Nivel Minimo")))</f>
        <v>Estoque Conforme</v>
      </c>
      <c r="AC525" s="85"/>
      <c r="AD525" s="82"/>
      <c r="AE525" s="82"/>
      <c r="AF525" s="82"/>
    </row>
    <row r="526" spans="1:32" ht="15" customHeight="1" x14ac:dyDescent="0.25">
      <c r="A526" s="45">
        <v>1095</v>
      </c>
      <c r="B526" s="47"/>
      <c r="C526" s="46"/>
      <c r="D526" s="45" t="s">
        <v>2584</v>
      </c>
      <c r="E526" s="46"/>
      <c r="F526" s="87"/>
      <c r="G526" s="82"/>
      <c r="H526" s="82"/>
      <c r="I526" s="82" t="s">
        <v>1203</v>
      </c>
      <c r="J526" s="82"/>
      <c r="K526" s="82"/>
      <c r="L526" s="82"/>
      <c r="M526" s="82"/>
      <c r="N526" s="82"/>
      <c r="O526" s="87" t="s">
        <v>7191</v>
      </c>
      <c r="P526" s="82" t="s">
        <v>828</v>
      </c>
      <c r="Q526" s="83">
        <f>VLOOKUP(TAB_ESTOQUE[[#This Row],[Codigo]],TAB_ENTRADA[[Cod_2_Entrada]:[TOTAL_ENTRADA]],5,FALSE)-VLOOKUP(TAB_ESTOQUE[[#This Row],[Codigo]],TAB_SAIDA[[COD_2_SAIDA]:[TOTAL_SAIDA]],5,FALSE)</f>
        <v>0</v>
      </c>
      <c r="R526" s="87"/>
      <c r="S526" s="87"/>
      <c r="T526" s="90"/>
      <c r="U526" s="91">
        <f>TAB_ESTOQUE[[#This Row],[Valor Unitario Estimado]]*TAB_ESTOQUE[[#This Row],[Estoque]]</f>
        <v>0</v>
      </c>
      <c r="V526" s="91"/>
      <c r="W526" s="85"/>
      <c r="X526" s="85"/>
      <c r="Y526" s="85"/>
      <c r="Z526" s="85"/>
      <c r="AA526" s="85"/>
      <c r="AB526" s="85" t="str">
        <f>IF(TAB_ESTOQUE[[#This Row],[Estoque]]=0,"Estoque Não Conforme",IF(TAB_ESTOQUE[[#This Row],[Estoque]]&gt;=TAB_ESTOQUE[[#This Row],[Mínimo]],"Estoque Conforme",IF(TAB_ESTOQUE[[#This Row],[Estoque]]&lt;TAB_ESTOQUE[[#This Row],[Mínimo]],"Estoque em Nivel Minimo")))</f>
        <v>Estoque Não Conforme</v>
      </c>
      <c r="AC526" s="85"/>
      <c r="AD526" s="82"/>
      <c r="AE526" s="82"/>
      <c r="AF526" s="82"/>
    </row>
    <row r="527" spans="1:32" ht="15" customHeight="1" x14ac:dyDescent="0.25">
      <c r="A527" s="45">
        <v>1078</v>
      </c>
      <c r="B527" s="47"/>
      <c r="C527" s="46"/>
      <c r="D527" s="45" t="s">
        <v>2602</v>
      </c>
      <c r="E527" s="46" t="s">
        <v>3067</v>
      </c>
      <c r="F527" s="87"/>
      <c r="G527" s="82"/>
      <c r="H527" s="82"/>
      <c r="I527" s="82" t="s">
        <v>7940</v>
      </c>
      <c r="J527" s="82"/>
      <c r="K527" s="82" t="s">
        <v>35</v>
      </c>
      <c r="L527" s="82"/>
      <c r="M527" s="82"/>
      <c r="N527" s="82"/>
      <c r="O527" s="87" t="s">
        <v>7191</v>
      </c>
      <c r="P527" s="82" t="s">
        <v>817</v>
      </c>
      <c r="Q527" s="83">
        <f>VLOOKUP(TAB_ESTOQUE[[#This Row],[Codigo]],TAB_ENTRADA[[Cod_2_Entrada]:[TOTAL_ENTRADA]],5,FALSE)-VLOOKUP(TAB_ESTOQUE[[#This Row],[Codigo]],TAB_SAIDA[[COD_2_SAIDA]:[TOTAL_SAIDA]],5,FALSE)</f>
        <v>1</v>
      </c>
      <c r="R527" s="87"/>
      <c r="S527" s="87"/>
      <c r="T527" s="90"/>
      <c r="U527" s="91">
        <f>TAB_ESTOQUE[[#This Row],[Valor Unitario Estimado]]*TAB_ESTOQUE[[#This Row],[Estoque]]</f>
        <v>0</v>
      </c>
      <c r="V527" s="91"/>
      <c r="W527" s="85"/>
      <c r="X527" s="85"/>
      <c r="Y527" s="85"/>
      <c r="Z527" s="85"/>
      <c r="AA527" s="85"/>
      <c r="AB527" s="85" t="str">
        <f>IF(TAB_ESTOQUE[[#This Row],[Estoque]]=0,"Estoque Não Conforme",IF(TAB_ESTOQUE[[#This Row],[Estoque]]&gt;=TAB_ESTOQUE[[#This Row],[Mínimo]],"Estoque Conforme",IF(TAB_ESTOQUE[[#This Row],[Estoque]]&lt;TAB_ESTOQUE[[#This Row],[Mínimo]],"Estoque em Nivel Minimo")))</f>
        <v>Estoque Conforme</v>
      </c>
      <c r="AC527" s="85"/>
      <c r="AD527" s="82"/>
      <c r="AE527" s="82"/>
      <c r="AF527" s="82"/>
    </row>
    <row r="528" spans="1:32" ht="15" customHeight="1" x14ac:dyDescent="0.25">
      <c r="C528" s="48"/>
      <c r="D528" s="45" t="s">
        <v>7077</v>
      </c>
      <c r="E528" s="46" t="s">
        <v>7431</v>
      </c>
      <c r="F528" s="46"/>
      <c r="I528" s="45" t="s">
        <v>7432</v>
      </c>
      <c r="O528" s="46" t="s">
        <v>7191</v>
      </c>
      <c r="Q528" s="137">
        <f>VLOOKUP(TAB_ESTOQUE[[#This Row],[Codigo]],TAB_ENTRADA[[Cod_2_Entrada]:[TOTAL_ENTRADA]],5,FALSE)-VLOOKUP(TAB_ESTOQUE[[#This Row],[Codigo]],TAB_SAIDA[[COD_2_SAIDA]:[TOTAL_SAIDA]],5,FALSE)</f>
        <v>1</v>
      </c>
      <c r="S528" s="46"/>
      <c r="T528" s="102">
        <v>4300.4399999999996</v>
      </c>
      <c r="U528" s="103">
        <f>TAB_ESTOQUE[[#This Row],[Valor Unitario Estimado]]*TAB_ESTOQUE[[#This Row],[Estoque]]</f>
        <v>4300.4399999999996</v>
      </c>
      <c r="V528" s="103"/>
      <c r="AA528" s="138"/>
      <c r="AB528" s="104" t="str">
        <f>IF(TAB_ESTOQUE[[#This Row],[Estoque]]=0,"Estoque Não Conforme",IF(TAB_ESTOQUE[[#This Row],[Estoque]]&gt;=TAB_ESTOQUE[[#This Row],[Mínimo]],"Estoque Conforme",IF(TAB_ESTOQUE[[#This Row],[Estoque]]&lt;TAB_ESTOQUE[[#This Row],[Mínimo]],"Estoque em Nivel Minimo")))</f>
        <v>Estoque Conforme</v>
      </c>
      <c r="AC528" s="104"/>
      <c r="AE528" s="82"/>
      <c r="AF528" s="82"/>
    </row>
    <row r="529" spans="1:32" ht="15" customHeight="1" x14ac:dyDescent="0.25">
      <c r="C529" s="48"/>
      <c r="D529" s="45" t="s">
        <v>7509</v>
      </c>
      <c r="E529" s="46" t="s">
        <v>8039</v>
      </c>
      <c r="F529" s="46"/>
      <c r="I529" s="45" t="s">
        <v>8038</v>
      </c>
      <c r="O529" s="51" t="s">
        <v>7191</v>
      </c>
      <c r="Q529" s="137">
        <f>VLOOKUP(TAB_ESTOQUE[[#This Row],[Codigo]],TAB_ENTRADA[[Cod_2_Entrada]:[TOTAL_ENTRADA]],5,FALSE)-VLOOKUP(TAB_ESTOQUE[[#This Row],[Codigo]],TAB_SAIDA[[COD_2_SAIDA]:[TOTAL_SAIDA]],5,FALSE)</f>
        <v>1</v>
      </c>
      <c r="S529" s="46"/>
      <c r="T529" s="102">
        <v>2860</v>
      </c>
      <c r="U529" s="103">
        <f>TAB_ESTOQUE[[#This Row],[Valor Unitario Estimado]]*TAB_ESTOQUE[[#This Row],[Estoque]]</f>
        <v>2860</v>
      </c>
      <c r="V529" s="103"/>
      <c r="AA529" s="138"/>
      <c r="AB529" s="104" t="str">
        <f>IF(TAB_ESTOQUE[[#This Row],[Estoque]]=0,"Estoque Não Conforme",IF(TAB_ESTOQUE[[#This Row],[Estoque]]&gt;=TAB_ESTOQUE[[#This Row],[Mínimo]],"Estoque Conforme",IF(TAB_ESTOQUE[[#This Row],[Estoque]]&lt;TAB_ESTOQUE[[#This Row],[Mínimo]],"Estoque em Nivel Minimo")))</f>
        <v>Estoque Conforme</v>
      </c>
      <c r="AC529" s="104"/>
      <c r="AE529" s="82"/>
      <c r="AF529" s="82"/>
    </row>
    <row r="530" spans="1:32" ht="15" customHeight="1" x14ac:dyDescent="0.25">
      <c r="A530" s="45">
        <v>634</v>
      </c>
      <c r="B530" s="47"/>
      <c r="C530" s="46" t="s">
        <v>2842</v>
      </c>
      <c r="D530" s="45" t="s">
        <v>1682</v>
      </c>
      <c r="E530" s="46" t="s">
        <v>7</v>
      </c>
      <c r="F530" s="87"/>
      <c r="G530" s="82"/>
      <c r="H530" s="82"/>
      <c r="I530" s="82" t="s">
        <v>1427</v>
      </c>
      <c r="J530" s="82"/>
      <c r="K530" s="82"/>
      <c r="L530" s="82"/>
      <c r="M530" s="82"/>
      <c r="N530" s="82"/>
      <c r="O530" s="87" t="s">
        <v>6400</v>
      </c>
      <c r="P530" s="82" t="s">
        <v>412</v>
      </c>
      <c r="Q530" s="83">
        <f>VLOOKUP(TAB_ESTOQUE[[#This Row],[Codigo]],TAB_ENTRADA[[Cod_2_Entrada]:[TOTAL_ENTRADA]],5,FALSE)-VLOOKUP(TAB_ESTOQUE[[#This Row],[Codigo]],TAB_SAIDA[[COD_2_SAIDA]:[TOTAL_SAIDA]],5,FALSE)</f>
        <v>0</v>
      </c>
      <c r="R530" s="87"/>
      <c r="S530" s="87"/>
      <c r="T530" s="90">
        <v>70</v>
      </c>
      <c r="U530" s="91">
        <f>TAB_ESTOQUE[[#This Row],[Valor Unitario Estimado]]*TAB_ESTOQUE[[#This Row],[Estoque]]</f>
        <v>0</v>
      </c>
      <c r="V530" s="91"/>
      <c r="W530" s="85"/>
      <c r="X530" s="85"/>
      <c r="Y530" s="85"/>
      <c r="Z530" s="85"/>
      <c r="AA530" s="85"/>
      <c r="AB530" s="85" t="str">
        <f>IF(TAB_ESTOQUE[[#This Row],[Estoque]]=0,"Estoque Não Conforme",IF(TAB_ESTOQUE[[#This Row],[Estoque]]&gt;=TAB_ESTOQUE[[#This Row],[Mínimo]],"Estoque Conforme",IF(TAB_ESTOQUE[[#This Row],[Estoque]]&lt;TAB_ESTOQUE[[#This Row],[Mínimo]],"Estoque em Nivel Minimo")))</f>
        <v>Estoque Não Conforme</v>
      </c>
      <c r="AC530" s="85"/>
      <c r="AD530" s="82"/>
      <c r="AE530" s="82"/>
      <c r="AF530" s="82"/>
    </row>
    <row r="531" spans="1:32" ht="15" customHeight="1" x14ac:dyDescent="0.25">
      <c r="A531" s="45">
        <v>1313</v>
      </c>
      <c r="B531" s="47"/>
      <c r="C531" s="46" t="s">
        <v>2838</v>
      </c>
      <c r="D531" s="45" t="s">
        <v>1746</v>
      </c>
      <c r="E531" s="46" t="s">
        <v>7</v>
      </c>
      <c r="F531" s="87"/>
      <c r="G531" s="82"/>
      <c r="H531" s="82"/>
      <c r="I531" s="82" t="s">
        <v>2928</v>
      </c>
      <c r="J531" s="82"/>
      <c r="K531" s="82"/>
      <c r="L531" s="82"/>
      <c r="M531" s="82"/>
      <c r="N531" s="82"/>
      <c r="O531" s="87" t="s">
        <v>6400</v>
      </c>
      <c r="P531" s="82" t="s">
        <v>1047</v>
      </c>
      <c r="Q531" s="83">
        <f>VLOOKUP(TAB_ESTOQUE[[#This Row],[Codigo]],TAB_ENTRADA[[Cod_2_Entrada]:[TOTAL_ENTRADA]],5,FALSE)-VLOOKUP(TAB_ESTOQUE[[#This Row],[Codigo]],TAB_SAIDA[[COD_2_SAIDA]:[TOTAL_SAIDA]],5,FALSE)</f>
        <v>1</v>
      </c>
      <c r="R531" s="87"/>
      <c r="S531" s="87"/>
      <c r="T531" s="90">
        <v>42.5</v>
      </c>
      <c r="U531" s="91">
        <f>TAB_ESTOQUE[[#This Row],[Valor Unitario Estimado]]*TAB_ESTOQUE[[#This Row],[Estoque]]</f>
        <v>42.5</v>
      </c>
      <c r="V531" s="91"/>
      <c r="W531" s="85"/>
      <c r="X531" s="85"/>
      <c r="Y531" s="85"/>
      <c r="Z531" s="85"/>
      <c r="AA531" s="85"/>
      <c r="AB531" s="85" t="str">
        <f>IF(TAB_ESTOQUE[[#This Row],[Estoque]]=0,"Estoque Não Conforme",IF(TAB_ESTOQUE[[#This Row],[Estoque]]&gt;=TAB_ESTOQUE[[#This Row],[Mínimo]],"Estoque Conforme",IF(TAB_ESTOQUE[[#This Row],[Estoque]]&lt;TAB_ESTOQUE[[#This Row],[Mínimo]],"Estoque em Nivel Minimo")))</f>
        <v>Estoque Conforme</v>
      </c>
      <c r="AC531" s="85"/>
      <c r="AD531" s="82"/>
      <c r="AE531" s="82"/>
      <c r="AF531" s="82"/>
    </row>
    <row r="532" spans="1:32" ht="15" customHeight="1" x14ac:dyDescent="0.25">
      <c r="A532" s="45">
        <v>562</v>
      </c>
      <c r="B532" s="47"/>
      <c r="C532" s="46" t="s">
        <v>2833</v>
      </c>
      <c r="D532" s="45" t="s">
        <v>1911</v>
      </c>
      <c r="E532" s="46" t="s">
        <v>7</v>
      </c>
      <c r="F532" s="87"/>
      <c r="G532" s="82"/>
      <c r="H532" s="82"/>
      <c r="I532" s="82" t="s">
        <v>7926</v>
      </c>
      <c r="J532" s="82"/>
      <c r="K532" s="82"/>
      <c r="L532" s="82"/>
      <c r="M532" s="82"/>
      <c r="N532" s="82"/>
      <c r="O532" s="87" t="s">
        <v>6400</v>
      </c>
      <c r="P532" s="82" t="s">
        <v>336</v>
      </c>
      <c r="Q532" s="83">
        <f>VLOOKUP(TAB_ESTOQUE[[#This Row],[Codigo]],TAB_ENTRADA[[Cod_2_Entrada]:[TOTAL_ENTRADA]],5,FALSE)-VLOOKUP(TAB_ESTOQUE[[#This Row],[Codigo]],TAB_SAIDA[[COD_2_SAIDA]:[TOTAL_SAIDA]],5,FALSE)</f>
        <v>1</v>
      </c>
      <c r="R532" s="87"/>
      <c r="S532" s="87"/>
      <c r="T532" s="90"/>
      <c r="U532" s="91">
        <f>TAB_ESTOQUE[[#This Row],[Valor Unitario Estimado]]*TAB_ESTOQUE[[#This Row],[Estoque]]</f>
        <v>0</v>
      </c>
      <c r="V532" s="91"/>
      <c r="W532" s="85"/>
      <c r="X532" s="85"/>
      <c r="Y532" s="85"/>
      <c r="Z532" s="85"/>
      <c r="AA532" s="85"/>
      <c r="AB532" s="85" t="str">
        <f>IF(TAB_ESTOQUE[[#This Row],[Estoque]]=0,"Estoque Não Conforme",IF(TAB_ESTOQUE[[#This Row],[Estoque]]&gt;=TAB_ESTOQUE[[#This Row],[Mínimo]],"Estoque Conforme",IF(TAB_ESTOQUE[[#This Row],[Estoque]]&lt;TAB_ESTOQUE[[#This Row],[Mínimo]],"Estoque em Nivel Minimo")))</f>
        <v>Estoque Conforme</v>
      </c>
      <c r="AC532" s="85"/>
      <c r="AD532" s="82"/>
      <c r="AE532" s="82"/>
      <c r="AF532" s="82"/>
    </row>
    <row r="533" spans="1:32" ht="15" customHeight="1" x14ac:dyDescent="0.25">
      <c r="A533" s="45">
        <v>561</v>
      </c>
      <c r="B533" s="47"/>
      <c r="C533" s="46"/>
      <c r="D533" s="45" t="s">
        <v>1912</v>
      </c>
      <c r="E533" s="46" t="s">
        <v>7</v>
      </c>
      <c r="F533" s="87"/>
      <c r="G533" s="82"/>
      <c r="H533" s="82"/>
      <c r="I533" s="82" t="s">
        <v>7927</v>
      </c>
      <c r="J533" s="82"/>
      <c r="K533" s="82"/>
      <c r="L533" s="82"/>
      <c r="M533" s="82"/>
      <c r="N533" s="82"/>
      <c r="O533" s="87" t="s">
        <v>6400</v>
      </c>
      <c r="P533" s="82" t="s">
        <v>335</v>
      </c>
      <c r="Q533" s="83">
        <f>VLOOKUP(TAB_ESTOQUE[[#This Row],[Codigo]],TAB_ENTRADA[[Cod_2_Entrada]:[TOTAL_ENTRADA]],5,FALSE)-VLOOKUP(TAB_ESTOQUE[[#This Row],[Codigo]],TAB_SAIDA[[COD_2_SAIDA]:[TOTAL_SAIDA]],5,FALSE)</f>
        <v>4</v>
      </c>
      <c r="R533" s="87"/>
      <c r="S533" s="87"/>
      <c r="T533" s="90"/>
      <c r="U533" s="91">
        <f>TAB_ESTOQUE[[#This Row],[Valor Unitario Estimado]]*TAB_ESTOQUE[[#This Row],[Estoque]]</f>
        <v>0</v>
      </c>
      <c r="V533" s="91"/>
      <c r="W533" s="85"/>
      <c r="X533" s="85"/>
      <c r="Y533" s="85"/>
      <c r="Z533" s="85"/>
      <c r="AA533" s="85"/>
      <c r="AB533" s="85" t="str">
        <f>IF(TAB_ESTOQUE[[#This Row],[Estoque]]=0,"Estoque Não Conforme",IF(TAB_ESTOQUE[[#This Row],[Estoque]]&gt;=TAB_ESTOQUE[[#This Row],[Mínimo]],"Estoque Conforme",IF(TAB_ESTOQUE[[#This Row],[Estoque]]&lt;TAB_ESTOQUE[[#This Row],[Mínimo]],"Estoque em Nivel Minimo")))</f>
        <v>Estoque Conforme</v>
      </c>
      <c r="AC533" s="85"/>
      <c r="AD533" s="82"/>
      <c r="AE533" s="82"/>
      <c r="AF533" s="82"/>
    </row>
    <row r="534" spans="1:32" ht="15" customHeight="1" x14ac:dyDescent="0.25">
      <c r="A534" s="45">
        <v>1215</v>
      </c>
      <c r="B534" s="47"/>
      <c r="C534" s="46"/>
      <c r="D534" s="45" t="s">
        <v>1914</v>
      </c>
      <c r="E534" s="46" t="s">
        <v>7</v>
      </c>
      <c r="F534" s="87"/>
      <c r="G534" s="82"/>
      <c r="H534" s="82"/>
      <c r="I534" s="82" t="s">
        <v>6098</v>
      </c>
      <c r="J534" s="82"/>
      <c r="K534" s="82"/>
      <c r="L534" s="82"/>
      <c r="M534" s="82"/>
      <c r="N534" s="82"/>
      <c r="O534" s="87" t="s">
        <v>6400</v>
      </c>
      <c r="P534" s="82" t="s">
        <v>928</v>
      </c>
      <c r="Q534" s="83">
        <f>VLOOKUP(TAB_ESTOQUE[[#This Row],[Codigo]],TAB_ENTRADA[[Cod_2_Entrada]:[TOTAL_ENTRADA]],5,FALSE)-VLOOKUP(TAB_ESTOQUE[[#This Row],[Codigo]],TAB_SAIDA[[COD_2_SAIDA]:[TOTAL_SAIDA]],5,FALSE)</f>
        <v>1</v>
      </c>
      <c r="R534" s="87"/>
      <c r="S534" s="87"/>
      <c r="T534" s="90"/>
      <c r="U534" s="91">
        <f>TAB_ESTOQUE[[#This Row],[Valor Unitario Estimado]]*TAB_ESTOQUE[[#This Row],[Estoque]]</f>
        <v>0</v>
      </c>
      <c r="V534" s="91"/>
      <c r="W534" s="85"/>
      <c r="X534" s="85"/>
      <c r="Y534" s="85"/>
      <c r="Z534" s="85"/>
      <c r="AA534" s="85"/>
      <c r="AB534" s="85" t="str">
        <f>IF(TAB_ESTOQUE[[#This Row],[Estoque]]=0,"Estoque Não Conforme",IF(TAB_ESTOQUE[[#This Row],[Estoque]]&gt;=TAB_ESTOQUE[[#This Row],[Mínimo]],"Estoque Conforme",IF(TAB_ESTOQUE[[#This Row],[Estoque]]&lt;TAB_ESTOQUE[[#This Row],[Mínimo]],"Estoque em Nivel Minimo")))</f>
        <v>Estoque Conforme</v>
      </c>
      <c r="AC534" s="85"/>
      <c r="AD534" s="82"/>
      <c r="AE534" s="82"/>
      <c r="AF534" s="82"/>
    </row>
    <row r="535" spans="1:32" ht="15" customHeight="1" x14ac:dyDescent="0.25">
      <c r="A535" s="45">
        <v>786</v>
      </c>
      <c r="B535" s="47"/>
      <c r="C535" s="46" t="s">
        <v>2833</v>
      </c>
      <c r="D535" s="45" t="s">
        <v>2410</v>
      </c>
      <c r="E535" s="46" t="s">
        <v>7</v>
      </c>
      <c r="F535" s="87"/>
      <c r="G535" s="82"/>
      <c r="H535" s="82"/>
      <c r="I535" s="82" t="s">
        <v>7928</v>
      </c>
      <c r="J535" s="82"/>
      <c r="K535" s="82"/>
      <c r="L535" s="82"/>
      <c r="M535" s="82"/>
      <c r="N535" s="82"/>
      <c r="O535" s="87" t="s">
        <v>6400</v>
      </c>
      <c r="P535" s="82" t="s">
        <v>571</v>
      </c>
      <c r="Q535" s="83">
        <f>VLOOKUP(TAB_ESTOQUE[[#This Row],[Codigo]],TAB_ENTRADA[[Cod_2_Entrada]:[TOTAL_ENTRADA]],5,FALSE)-VLOOKUP(TAB_ESTOQUE[[#This Row],[Codigo]],TAB_SAIDA[[COD_2_SAIDA]:[TOTAL_SAIDA]],5,FALSE)</f>
        <v>1</v>
      </c>
      <c r="R535" s="87"/>
      <c r="S535" s="87"/>
      <c r="T535" s="90"/>
      <c r="U535" s="91">
        <f>TAB_ESTOQUE[[#This Row],[Valor Unitario Estimado]]*TAB_ESTOQUE[[#This Row],[Estoque]]</f>
        <v>0</v>
      </c>
      <c r="V535" s="91"/>
      <c r="W535" s="85"/>
      <c r="X535" s="85"/>
      <c r="Y535" s="85"/>
      <c r="Z535" s="85"/>
      <c r="AA535" s="85"/>
      <c r="AB535" s="85" t="str">
        <f>IF(TAB_ESTOQUE[[#This Row],[Estoque]]=0,"Estoque Não Conforme",IF(TAB_ESTOQUE[[#This Row],[Estoque]]&gt;=TAB_ESTOQUE[[#This Row],[Mínimo]],"Estoque Conforme",IF(TAB_ESTOQUE[[#This Row],[Estoque]]&lt;TAB_ESTOQUE[[#This Row],[Mínimo]],"Estoque em Nivel Minimo")))</f>
        <v>Estoque Conforme</v>
      </c>
      <c r="AC535" s="85"/>
      <c r="AD535" s="82"/>
      <c r="AE535" s="82"/>
      <c r="AF535" s="82"/>
    </row>
    <row r="536" spans="1:32" ht="15" customHeight="1" x14ac:dyDescent="0.25">
      <c r="A536" s="45">
        <v>842</v>
      </c>
      <c r="B536" s="47"/>
      <c r="C536" s="46"/>
      <c r="D536" s="45" t="s">
        <v>2411</v>
      </c>
      <c r="E536" s="46" t="s">
        <v>7</v>
      </c>
      <c r="F536" s="87"/>
      <c r="G536" s="82"/>
      <c r="H536" s="82"/>
      <c r="I536" s="82" t="s">
        <v>7929</v>
      </c>
      <c r="J536" s="82"/>
      <c r="K536" s="82"/>
      <c r="L536" s="82"/>
      <c r="M536" s="82"/>
      <c r="N536" s="82"/>
      <c r="O536" s="87" t="s">
        <v>6400</v>
      </c>
      <c r="P536" s="82" t="s">
        <v>632</v>
      </c>
      <c r="Q536" s="83">
        <f>VLOOKUP(TAB_ESTOQUE[[#This Row],[Codigo]],TAB_ENTRADA[[Cod_2_Entrada]:[TOTAL_ENTRADA]],5,FALSE)-VLOOKUP(TAB_ESTOQUE[[#This Row],[Codigo]],TAB_SAIDA[[COD_2_SAIDA]:[TOTAL_SAIDA]],5,FALSE)</f>
        <v>1</v>
      </c>
      <c r="R536" s="87"/>
      <c r="S536" s="87"/>
      <c r="T536" s="90"/>
      <c r="U536" s="91">
        <f>TAB_ESTOQUE[[#This Row],[Valor Unitario Estimado]]*TAB_ESTOQUE[[#This Row],[Estoque]]</f>
        <v>0</v>
      </c>
      <c r="V536" s="91"/>
      <c r="W536" s="85"/>
      <c r="X536" s="85"/>
      <c r="Y536" s="85"/>
      <c r="Z536" s="85"/>
      <c r="AA536" s="85"/>
      <c r="AB536" s="85" t="str">
        <f>IF(TAB_ESTOQUE[[#This Row],[Estoque]]=0,"Estoque Não Conforme",IF(TAB_ESTOQUE[[#This Row],[Estoque]]&gt;=TAB_ESTOQUE[[#This Row],[Mínimo]],"Estoque Conforme",IF(TAB_ESTOQUE[[#This Row],[Estoque]]&lt;TAB_ESTOQUE[[#This Row],[Mínimo]],"Estoque em Nivel Minimo")))</f>
        <v>Estoque Conforme</v>
      </c>
      <c r="AC536" s="85"/>
      <c r="AD536" s="82"/>
      <c r="AE536" s="82"/>
      <c r="AF536" s="82"/>
    </row>
    <row r="537" spans="1:32" s="47" customFormat="1" ht="15" customHeight="1" x14ac:dyDescent="0.25">
      <c r="A537" s="45"/>
      <c r="B537" s="45"/>
      <c r="C537" s="48"/>
      <c r="D537" s="45" t="s">
        <v>7753</v>
      </c>
      <c r="E537" s="46"/>
      <c r="F537" s="46"/>
      <c r="G537" s="45"/>
      <c r="H537" s="45"/>
      <c r="I537" s="45" t="s">
        <v>8935</v>
      </c>
      <c r="J537" s="45"/>
      <c r="K537" s="45"/>
      <c r="L537" s="45"/>
      <c r="M537" s="45"/>
      <c r="N537" s="45"/>
      <c r="O537" s="46" t="s">
        <v>6400</v>
      </c>
      <c r="P537" s="45"/>
      <c r="Q537" s="137">
        <f>VLOOKUP(TAB_ESTOQUE[[#This Row],[Codigo]],TAB_ENTRADA[[Cod_2_Entrada]:[TOTAL_ENTRADA]],5,FALSE)-VLOOKUP(TAB_ESTOQUE[[#This Row],[Codigo]],TAB_SAIDA[[COD_2_SAIDA]:[TOTAL_SAIDA]],5,FALSE)</f>
        <v>2</v>
      </c>
      <c r="R537" s="46">
        <v>1</v>
      </c>
      <c r="S537" s="46">
        <v>2</v>
      </c>
      <c r="T537" s="102"/>
      <c r="U537" s="103">
        <f>TAB_ESTOQUE[[#This Row],[Valor Unitario Estimado]]*TAB_ESTOQUE[[#This Row],[Estoque]]</f>
        <v>0</v>
      </c>
      <c r="V537" s="103"/>
      <c r="W537" s="54"/>
      <c r="X537" s="54"/>
      <c r="Y537" s="54"/>
      <c r="Z537" s="54"/>
      <c r="AA537" s="138"/>
      <c r="AB537" s="104" t="str">
        <f>IF(TAB_ESTOQUE[[#This Row],[Estoque]]=0,"Estoque Não Conforme",IF(TAB_ESTOQUE[[#This Row],[Estoque]]&gt;=TAB_ESTOQUE[[#This Row],[Mínimo]],"Estoque Conforme",IF(TAB_ESTOQUE[[#This Row],[Estoque]]&lt;TAB_ESTOQUE[[#This Row],[Mínimo]],"Estoque em Nivel Minimo")))</f>
        <v>Estoque Conforme</v>
      </c>
      <c r="AC537" s="104"/>
      <c r="AD537" s="45"/>
      <c r="AE537" s="94"/>
      <c r="AF537" s="94"/>
    </row>
    <row r="538" spans="1:32" s="106" customFormat="1" ht="15" customHeight="1" x14ac:dyDescent="0.25">
      <c r="A538" s="45">
        <v>560</v>
      </c>
      <c r="B538" s="47"/>
      <c r="C538" s="46"/>
      <c r="D538" s="45" t="s">
        <v>1913</v>
      </c>
      <c r="E538" s="46" t="s">
        <v>7</v>
      </c>
      <c r="F538" s="87"/>
      <c r="G538" s="82"/>
      <c r="H538" s="82"/>
      <c r="I538" s="82" t="s">
        <v>7930</v>
      </c>
      <c r="J538" s="82"/>
      <c r="K538" s="82"/>
      <c r="L538" s="82"/>
      <c r="M538" s="82"/>
      <c r="N538" s="82"/>
      <c r="O538" s="87" t="s">
        <v>7931</v>
      </c>
      <c r="P538" s="82" t="s">
        <v>334</v>
      </c>
      <c r="Q538" s="83">
        <f>VLOOKUP(TAB_ESTOQUE[[#This Row],[Codigo]],TAB_ENTRADA[[Cod_2_Entrada]:[TOTAL_ENTRADA]],5,FALSE)-VLOOKUP(TAB_ESTOQUE[[#This Row],[Codigo]],TAB_SAIDA[[COD_2_SAIDA]:[TOTAL_SAIDA]],5,FALSE)</f>
        <v>800</v>
      </c>
      <c r="R538" s="87"/>
      <c r="S538" s="87"/>
      <c r="T538" s="90"/>
      <c r="U538" s="91">
        <f>TAB_ESTOQUE[[#This Row],[Valor Unitario Estimado]]*TAB_ESTOQUE[[#This Row],[Estoque]]</f>
        <v>0</v>
      </c>
      <c r="V538" s="91"/>
      <c r="W538" s="85"/>
      <c r="X538" s="85"/>
      <c r="Y538" s="85"/>
      <c r="Z538" s="85"/>
      <c r="AA538" s="85"/>
      <c r="AB538" s="85" t="str">
        <f>IF(TAB_ESTOQUE[[#This Row],[Estoque]]=0,"Estoque Não Conforme",IF(TAB_ESTOQUE[[#This Row],[Estoque]]&gt;=TAB_ESTOQUE[[#This Row],[Mínimo]],"Estoque Conforme",IF(TAB_ESTOQUE[[#This Row],[Estoque]]&lt;TAB_ESTOQUE[[#This Row],[Mínimo]],"Estoque em Nivel Minimo")))</f>
        <v>Estoque Conforme</v>
      </c>
      <c r="AC538" s="85"/>
      <c r="AD538" s="82"/>
      <c r="AE538" s="95"/>
      <c r="AF538" s="95"/>
    </row>
    <row r="539" spans="1:32" ht="15" customHeight="1" x14ac:dyDescent="0.25">
      <c r="A539" s="47">
        <v>338</v>
      </c>
      <c r="B539" s="47"/>
      <c r="C539" s="51" t="s">
        <v>2833</v>
      </c>
      <c r="D539" s="47" t="s">
        <v>1900</v>
      </c>
      <c r="E539" s="51" t="s">
        <v>7</v>
      </c>
      <c r="F539" s="107"/>
      <c r="G539" s="94"/>
      <c r="H539" s="94"/>
      <c r="I539" s="94" t="s">
        <v>7934</v>
      </c>
      <c r="J539" s="94"/>
      <c r="K539" s="94"/>
      <c r="L539" s="94"/>
      <c r="M539" s="94"/>
      <c r="N539" s="94"/>
      <c r="O539" s="107" t="s">
        <v>7933</v>
      </c>
      <c r="P539" s="94" t="s">
        <v>230</v>
      </c>
      <c r="Q539" s="145">
        <f>VLOOKUP(TAB_ESTOQUE[[#This Row],[Codigo]],TAB_ENTRADA[[Cod_2_Entrada]:[TOTAL_ENTRADA]],5,FALSE)-VLOOKUP(TAB_ESTOQUE[[#This Row],[Codigo]],TAB_SAIDA[[COD_2_SAIDA]:[TOTAL_SAIDA]],5,FALSE)</f>
        <v>100</v>
      </c>
      <c r="R539" s="107"/>
      <c r="S539" s="107"/>
      <c r="T539" s="108"/>
      <c r="U539" s="109">
        <f>TAB_ESTOQUE[[#This Row],[Valor Unitario Estimado]]*TAB_ESTOQUE[[#This Row],[Estoque]]</f>
        <v>0</v>
      </c>
      <c r="V539" s="109"/>
      <c r="W539" s="110"/>
      <c r="X539" s="110"/>
      <c r="Y539" s="110"/>
      <c r="Z539" s="110"/>
      <c r="AA539" s="110"/>
      <c r="AB539" s="110" t="str">
        <f>IF(TAB_ESTOQUE[[#This Row],[Estoque]]=0,"Estoque Não Conforme",IF(TAB_ESTOQUE[[#This Row],[Estoque]]&gt;=TAB_ESTOQUE[[#This Row],[Mínimo]],"Estoque Conforme",IF(TAB_ESTOQUE[[#This Row],[Estoque]]&lt;TAB_ESTOQUE[[#This Row],[Mínimo]],"Estoque em Nivel Minimo")))</f>
        <v>Estoque Conforme</v>
      </c>
      <c r="AC539" s="110"/>
      <c r="AD539" s="94"/>
      <c r="AE539" s="82"/>
      <c r="AF539" s="82"/>
    </row>
    <row r="540" spans="1:32" ht="15" customHeight="1" x14ac:dyDescent="0.25">
      <c r="A540" s="45">
        <v>619</v>
      </c>
      <c r="B540" s="47"/>
      <c r="C540" s="46" t="s">
        <v>2833</v>
      </c>
      <c r="D540" s="45" t="s">
        <v>1965</v>
      </c>
      <c r="E540" s="46" t="s">
        <v>7</v>
      </c>
      <c r="F540" s="87"/>
      <c r="G540" s="82"/>
      <c r="H540" s="82"/>
      <c r="I540" s="82" t="s">
        <v>7932</v>
      </c>
      <c r="J540" s="82"/>
      <c r="K540" s="82"/>
      <c r="L540" s="82"/>
      <c r="M540" s="82" t="s">
        <v>8</v>
      </c>
      <c r="N540" s="82"/>
      <c r="O540" s="87" t="s">
        <v>7933</v>
      </c>
      <c r="P540" s="82" t="s">
        <v>402</v>
      </c>
      <c r="Q540" s="83">
        <f>VLOOKUP(TAB_ESTOQUE[[#This Row],[Codigo]],TAB_ENTRADA[[Cod_2_Entrada]:[TOTAL_ENTRADA]],5,FALSE)-VLOOKUP(TAB_ESTOQUE[[#This Row],[Codigo]],TAB_SAIDA[[COD_2_SAIDA]:[TOTAL_SAIDA]],5,FALSE)</f>
        <v>800</v>
      </c>
      <c r="R540" s="87"/>
      <c r="S540" s="87"/>
      <c r="T540" s="90">
        <v>17</v>
      </c>
      <c r="U540" s="91">
        <f>TAB_ESTOQUE[[#This Row],[Valor Unitario Estimado]]*TAB_ESTOQUE[[#This Row],[Estoque]]</f>
        <v>13600</v>
      </c>
      <c r="V540" s="91"/>
      <c r="W540" s="85"/>
      <c r="X540" s="85"/>
      <c r="Y540" s="85"/>
      <c r="Z540" s="85"/>
      <c r="AA540" s="85"/>
      <c r="AB540" s="85" t="str">
        <f>IF(TAB_ESTOQUE[[#This Row],[Estoque]]=0,"Estoque Não Conforme",IF(TAB_ESTOQUE[[#This Row],[Estoque]]&gt;=TAB_ESTOQUE[[#This Row],[Mínimo]],"Estoque Conforme",IF(TAB_ESTOQUE[[#This Row],[Estoque]]&lt;TAB_ESTOQUE[[#This Row],[Mínimo]],"Estoque em Nivel Minimo")))</f>
        <v>Estoque Conforme</v>
      </c>
      <c r="AC540" s="85"/>
      <c r="AD540" s="82"/>
      <c r="AE540" s="82"/>
      <c r="AF540" s="82"/>
    </row>
    <row r="541" spans="1:32" ht="15" customHeight="1" x14ac:dyDescent="0.25">
      <c r="A541" s="106">
        <v>1169</v>
      </c>
      <c r="B541" s="106"/>
      <c r="C541" s="116" t="s">
        <v>2833</v>
      </c>
      <c r="D541" s="106" t="s">
        <v>1771</v>
      </c>
      <c r="E541" s="116"/>
      <c r="F541" s="118"/>
      <c r="G541" s="95"/>
      <c r="H541" s="95"/>
      <c r="I541" s="95" t="s">
        <v>8141</v>
      </c>
      <c r="J541" s="95"/>
      <c r="K541" s="95"/>
      <c r="L541" s="95"/>
      <c r="M541" s="95"/>
      <c r="N541" s="95"/>
      <c r="O541" s="118" t="s">
        <v>6408</v>
      </c>
      <c r="P541" s="95" t="s">
        <v>891</v>
      </c>
      <c r="Q541" s="154">
        <f>VLOOKUP(TAB_ESTOQUE[[#This Row],[Codigo]],TAB_ENTRADA[[Cod_2_Entrada]:[TOTAL_ENTRADA]],5,FALSE)-VLOOKUP(TAB_ESTOQUE[[#This Row],[Codigo]],TAB_SAIDA[[COD_2_SAIDA]:[TOTAL_SAIDA]],5,FALSE)</f>
        <v>75</v>
      </c>
      <c r="R541" s="118"/>
      <c r="S541" s="118"/>
      <c r="T541" s="119">
        <v>14.65</v>
      </c>
      <c r="U541" s="112">
        <f>TAB_ESTOQUE[[#This Row],[Valor Unitario Estimado]]*TAB_ESTOQUE[[#This Row],[Estoque]]</f>
        <v>1098.75</v>
      </c>
      <c r="V541" s="112"/>
      <c r="W541" s="120"/>
      <c r="X541" s="120"/>
      <c r="Y541" s="120"/>
      <c r="Z541" s="120"/>
      <c r="AA541" s="120"/>
      <c r="AB541" s="120" t="str">
        <f>IF(TAB_ESTOQUE[[#This Row],[Estoque]]=0,"Estoque Não Conforme",IF(TAB_ESTOQUE[[#This Row],[Estoque]]&gt;=TAB_ESTOQUE[[#This Row],[Mínimo]],"Estoque Conforme",IF(TAB_ESTOQUE[[#This Row],[Estoque]]&lt;TAB_ESTOQUE[[#This Row],[Mínimo]],"Estoque em Nivel Minimo")))</f>
        <v>Estoque Conforme</v>
      </c>
      <c r="AC541" s="120"/>
      <c r="AD541" s="95"/>
      <c r="AE541" s="82"/>
      <c r="AF541" s="82"/>
    </row>
    <row r="542" spans="1:32" ht="15" customHeight="1" x14ac:dyDescent="0.25">
      <c r="A542" s="47">
        <v>1167</v>
      </c>
      <c r="B542" s="47"/>
      <c r="C542" s="51" t="s">
        <v>2833</v>
      </c>
      <c r="D542" s="47" t="s">
        <v>1772</v>
      </c>
      <c r="E542" s="51"/>
      <c r="F542" s="107"/>
      <c r="G542" s="94"/>
      <c r="H542" s="94"/>
      <c r="I542" s="94" t="s">
        <v>8142</v>
      </c>
      <c r="J542" s="94"/>
      <c r="K542" s="94"/>
      <c r="L542" s="94"/>
      <c r="M542" s="94"/>
      <c r="N542" s="94"/>
      <c r="O542" s="107" t="s">
        <v>6408</v>
      </c>
      <c r="P542" s="94" t="s">
        <v>889</v>
      </c>
      <c r="Q542" s="145">
        <f>VLOOKUP(TAB_ESTOQUE[[#This Row],[Codigo]],TAB_ENTRADA[[Cod_2_Entrada]:[TOTAL_ENTRADA]],5,FALSE)-VLOOKUP(TAB_ESTOQUE[[#This Row],[Codigo]],TAB_SAIDA[[COD_2_SAIDA]:[TOTAL_SAIDA]],5,FALSE)</f>
        <v>50</v>
      </c>
      <c r="R542" s="107"/>
      <c r="S542" s="107"/>
      <c r="T542" s="108">
        <v>14.65</v>
      </c>
      <c r="U542" s="109">
        <f>TAB_ESTOQUE[[#This Row],[Valor Unitario Estimado]]*TAB_ESTOQUE[[#This Row],[Estoque]]</f>
        <v>732.5</v>
      </c>
      <c r="V542" s="109"/>
      <c r="W542" s="110"/>
      <c r="X542" s="110"/>
      <c r="Y542" s="110"/>
      <c r="Z542" s="110"/>
      <c r="AA542" s="110"/>
      <c r="AB542" s="110" t="str">
        <f>IF(TAB_ESTOQUE[[#This Row],[Estoque]]=0,"Estoque Não Conforme",IF(TAB_ESTOQUE[[#This Row],[Estoque]]&gt;=TAB_ESTOQUE[[#This Row],[Mínimo]],"Estoque Conforme",IF(TAB_ESTOQUE[[#This Row],[Estoque]]&lt;TAB_ESTOQUE[[#This Row],[Mínimo]],"Estoque em Nivel Minimo")))</f>
        <v>Estoque Conforme</v>
      </c>
      <c r="AC542" s="110"/>
      <c r="AD542" s="94"/>
      <c r="AE542" s="82"/>
      <c r="AF542" s="82"/>
    </row>
    <row r="543" spans="1:32" ht="15" customHeight="1" x14ac:dyDescent="0.25">
      <c r="A543" s="45">
        <v>1173</v>
      </c>
      <c r="B543" s="47"/>
      <c r="C543" s="46" t="s">
        <v>2833</v>
      </c>
      <c r="D543" s="45" t="s">
        <v>1773</v>
      </c>
      <c r="E543" s="46" t="s">
        <v>7</v>
      </c>
      <c r="F543" s="87"/>
      <c r="G543" s="82"/>
      <c r="H543" s="82"/>
      <c r="I543" s="82" t="s">
        <v>8143</v>
      </c>
      <c r="J543" s="82"/>
      <c r="K543" s="82"/>
      <c r="L543" s="82"/>
      <c r="M543" s="82"/>
      <c r="N543" s="82"/>
      <c r="O543" s="87" t="s">
        <v>6408</v>
      </c>
      <c r="P543" s="82" t="s">
        <v>896</v>
      </c>
      <c r="Q543" s="83">
        <f>VLOOKUP(TAB_ESTOQUE[[#This Row],[Codigo]],TAB_ENTRADA[[Cod_2_Entrada]:[TOTAL_ENTRADA]],5,FALSE)-VLOOKUP(TAB_ESTOQUE[[#This Row],[Codigo]],TAB_SAIDA[[COD_2_SAIDA]:[TOTAL_SAIDA]],5,FALSE)</f>
        <v>1</v>
      </c>
      <c r="R543" s="87"/>
      <c r="S543" s="87"/>
      <c r="T543" s="90">
        <v>12</v>
      </c>
      <c r="U543" s="91">
        <f>TAB_ESTOQUE[[#This Row],[Valor Unitario Estimado]]*TAB_ESTOQUE[[#This Row],[Estoque]]</f>
        <v>12</v>
      </c>
      <c r="V543" s="91"/>
      <c r="W543" s="85"/>
      <c r="X543" s="85"/>
      <c r="Y543" s="85"/>
      <c r="Z543" s="85"/>
      <c r="AA543" s="85"/>
      <c r="AB543" s="85" t="str">
        <f>IF(TAB_ESTOQUE[[#This Row],[Estoque]]=0,"Estoque Não Conforme",IF(TAB_ESTOQUE[[#This Row],[Estoque]]&gt;=TAB_ESTOQUE[[#This Row],[Mínimo]],"Estoque Conforme",IF(TAB_ESTOQUE[[#This Row],[Estoque]]&lt;TAB_ESTOQUE[[#This Row],[Mínimo]],"Estoque em Nivel Minimo")))</f>
        <v>Estoque Conforme</v>
      </c>
      <c r="AC543" s="85"/>
      <c r="AD543" s="82"/>
      <c r="AE543" s="82"/>
      <c r="AF543" s="82"/>
    </row>
    <row r="544" spans="1:32" ht="15" customHeight="1" x14ac:dyDescent="0.25">
      <c r="A544" s="45">
        <v>1217</v>
      </c>
      <c r="B544" s="47"/>
      <c r="C544" s="46"/>
      <c r="D544" s="45" t="s">
        <v>1920</v>
      </c>
      <c r="E544" s="46" t="s">
        <v>7</v>
      </c>
      <c r="F544" s="87"/>
      <c r="G544" s="82"/>
      <c r="H544" s="82"/>
      <c r="I544" s="82" t="s">
        <v>8144</v>
      </c>
      <c r="J544" s="82"/>
      <c r="K544" s="82"/>
      <c r="L544" s="82"/>
      <c r="M544" s="82"/>
      <c r="N544" s="82"/>
      <c r="O544" s="87" t="s">
        <v>6625</v>
      </c>
      <c r="P544" s="82" t="s">
        <v>929</v>
      </c>
      <c r="Q544" s="83">
        <f>VLOOKUP(TAB_ESTOQUE[[#This Row],[Codigo]],TAB_ENTRADA[[Cod_2_Entrada]:[TOTAL_ENTRADA]],5,FALSE)-VLOOKUP(TAB_ESTOQUE[[#This Row],[Codigo]],TAB_SAIDA[[COD_2_SAIDA]:[TOTAL_SAIDA]],5,FALSE)</f>
        <v>3</v>
      </c>
      <c r="R544" s="87"/>
      <c r="S544" s="87"/>
      <c r="T544" s="90"/>
      <c r="U544" s="91">
        <f>TAB_ESTOQUE[[#This Row],[Valor Unitario Estimado]]*TAB_ESTOQUE[[#This Row],[Estoque]]</f>
        <v>0</v>
      </c>
      <c r="V544" s="91"/>
      <c r="W544" s="85"/>
      <c r="X544" s="85"/>
      <c r="Y544" s="85"/>
      <c r="Z544" s="85"/>
      <c r="AA544" s="85"/>
      <c r="AB544" s="85" t="str">
        <f>IF(TAB_ESTOQUE[[#This Row],[Estoque]]=0,"Estoque Não Conforme",IF(TAB_ESTOQUE[[#This Row],[Estoque]]&gt;=TAB_ESTOQUE[[#This Row],[Mínimo]],"Estoque Conforme",IF(TAB_ESTOQUE[[#This Row],[Estoque]]&lt;TAB_ESTOQUE[[#This Row],[Mínimo]],"Estoque em Nivel Minimo")))</f>
        <v>Estoque Conforme</v>
      </c>
      <c r="AC544" s="85"/>
      <c r="AD544" s="82"/>
      <c r="AE544" s="82"/>
      <c r="AF544" s="82"/>
    </row>
    <row r="545" spans="1:32" ht="15" customHeight="1" x14ac:dyDescent="0.25">
      <c r="A545" s="45">
        <v>1209</v>
      </c>
      <c r="B545" s="47"/>
      <c r="C545" s="46"/>
      <c r="D545" s="45" t="s">
        <v>1921</v>
      </c>
      <c r="E545" s="46" t="s">
        <v>7</v>
      </c>
      <c r="F545" s="87"/>
      <c r="G545" s="82"/>
      <c r="H545" s="82"/>
      <c r="I545" s="82" t="s">
        <v>8145</v>
      </c>
      <c r="J545" s="82"/>
      <c r="K545" s="82"/>
      <c r="L545" s="82"/>
      <c r="M545" s="82"/>
      <c r="N545" s="82"/>
      <c r="O545" s="87" t="s">
        <v>6625</v>
      </c>
      <c r="P545" s="82" t="s">
        <v>923</v>
      </c>
      <c r="Q545" s="83">
        <f>VLOOKUP(TAB_ESTOQUE[[#This Row],[Codigo]],TAB_ENTRADA[[Cod_2_Entrada]:[TOTAL_ENTRADA]],5,FALSE)-VLOOKUP(TAB_ESTOQUE[[#This Row],[Codigo]],TAB_SAIDA[[COD_2_SAIDA]:[TOTAL_SAIDA]],5,FALSE)</f>
        <v>1</v>
      </c>
      <c r="R545" s="87"/>
      <c r="S545" s="87"/>
      <c r="T545" s="90"/>
      <c r="U545" s="91">
        <f>TAB_ESTOQUE[[#This Row],[Valor Unitario Estimado]]*TAB_ESTOQUE[[#This Row],[Estoque]]</f>
        <v>0</v>
      </c>
      <c r="V545" s="91"/>
      <c r="W545" s="85"/>
      <c r="X545" s="85"/>
      <c r="Y545" s="85"/>
      <c r="Z545" s="85"/>
      <c r="AA545" s="85"/>
      <c r="AB545" s="85" t="str">
        <f>IF(TAB_ESTOQUE[[#This Row],[Estoque]]=0,"Estoque Não Conforme",IF(TAB_ESTOQUE[[#This Row],[Estoque]]&gt;=TAB_ESTOQUE[[#This Row],[Mínimo]],"Estoque Conforme",IF(TAB_ESTOQUE[[#This Row],[Estoque]]&lt;TAB_ESTOQUE[[#This Row],[Mínimo]],"Estoque em Nivel Minimo")))</f>
        <v>Estoque Conforme</v>
      </c>
      <c r="AC545" s="85"/>
      <c r="AD545" s="82"/>
      <c r="AE545" s="82"/>
      <c r="AF545" s="82"/>
    </row>
    <row r="546" spans="1:32" ht="15" customHeight="1" x14ac:dyDescent="0.25">
      <c r="A546" s="45">
        <v>984</v>
      </c>
      <c r="B546" s="47"/>
      <c r="C546" s="46"/>
      <c r="D546" s="45" t="s">
        <v>1922</v>
      </c>
      <c r="E546" s="46" t="s">
        <v>7</v>
      </c>
      <c r="F546" s="87"/>
      <c r="G546" s="82"/>
      <c r="H546" s="82"/>
      <c r="I546" s="82" t="s">
        <v>8146</v>
      </c>
      <c r="J546" s="82"/>
      <c r="K546" s="82"/>
      <c r="L546" s="82"/>
      <c r="M546" s="82"/>
      <c r="N546" s="82"/>
      <c r="O546" s="87" t="s">
        <v>6625</v>
      </c>
      <c r="P546" s="82" t="s">
        <v>755</v>
      </c>
      <c r="Q546" s="83">
        <f>VLOOKUP(TAB_ESTOQUE[[#This Row],[Codigo]],TAB_ENTRADA[[Cod_2_Entrada]:[TOTAL_ENTRADA]],5,FALSE)-VLOOKUP(TAB_ESTOQUE[[#This Row],[Codigo]],TAB_SAIDA[[COD_2_SAIDA]:[TOTAL_SAIDA]],5,FALSE)</f>
        <v>1</v>
      </c>
      <c r="R546" s="87"/>
      <c r="S546" s="87"/>
      <c r="T546" s="90"/>
      <c r="U546" s="91">
        <f>TAB_ESTOQUE[[#This Row],[Valor Unitario Estimado]]*TAB_ESTOQUE[[#This Row],[Estoque]]</f>
        <v>0</v>
      </c>
      <c r="V546" s="91"/>
      <c r="W546" s="85"/>
      <c r="X546" s="85"/>
      <c r="Y546" s="85"/>
      <c r="Z546" s="85"/>
      <c r="AA546" s="85"/>
      <c r="AB546" s="85" t="str">
        <f>IF(TAB_ESTOQUE[[#This Row],[Estoque]]=0,"Estoque Não Conforme",IF(TAB_ESTOQUE[[#This Row],[Estoque]]&gt;=TAB_ESTOQUE[[#This Row],[Mínimo]],"Estoque Conforme",IF(TAB_ESTOQUE[[#This Row],[Estoque]]&lt;TAB_ESTOQUE[[#This Row],[Mínimo]],"Estoque em Nivel Minimo")))</f>
        <v>Estoque Conforme</v>
      </c>
      <c r="AC546" s="85"/>
      <c r="AD546" s="82"/>
      <c r="AE546" s="82"/>
      <c r="AF546" s="82"/>
    </row>
    <row r="547" spans="1:32" s="47" customFormat="1" ht="15" customHeight="1" x14ac:dyDescent="0.25">
      <c r="A547" s="45">
        <v>1337</v>
      </c>
      <c r="C547" s="46"/>
      <c r="D547" s="45" t="s">
        <v>1923</v>
      </c>
      <c r="E547" s="46" t="s">
        <v>7</v>
      </c>
      <c r="F547" s="87"/>
      <c r="G547" s="82"/>
      <c r="H547" s="82"/>
      <c r="I547" s="82" t="s">
        <v>8147</v>
      </c>
      <c r="J547" s="82"/>
      <c r="K547" s="82"/>
      <c r="L547" s="82"/>
      <c r="M547" s="82"/>
      <c r="N547" s="82"/>
      <c r="O547" s="87" t="s">
        <v>6625</v>
      </c>
      <c r="P547" s="82" t="s">
        <v>1070</v>
      </c>
      <c r="Q547" s="83">
        <f>VLOOKUP(TAB_ESTOQUE[[#This Row],[Codigo]],TAB_ENTRADA[[Cod_2_Entrada]:[TOTAL_ENTRADA]],5,FALSE)-VLOOKUP(TAB_ESTOQUE[[#This Row],[Codigo]],TAB_SAIDA[[COD_2_SAIDA]:[TOTAL_SAIDA]],5,FALSE)</f>
        <v>4</v>
      </c>
      <c r="R547" s="87"/>
      <c r="S547" s="87"/>
      <c r="T547" s="90"/>
      <c r="U547" s="91">
        <f>TAB_ESTOQUE[[#This Row],[Valor Unitario Estimado]]*TAB_ESTOQUE[[#This Row],[Estoque]]</f>
        <v>0</v>
      </c>
      <c r="V547" s="91"/>
      <c r="W547" s="85"/>
      <c r="X547" s="85"/>
      <c r="Y547" s="85"/>
      <c r="Z547" s="85"/>
      <c r="AA547" s="85"/>
      <c r="AB547" s="85" t="str">
        <f>IF(TAB_ESTOQUE[[#This Row],[Estoque]]=0,"Estoque Não Conforme",IF(TAB_ESTOQUE[[#This Row],[Estoque]]&gt;=TAB_ESTOQUE[[#This Row],[Mínimo]],"Estoque Conforme",IF(TAB_ESTOQUE[[#This Row],[Estoque]]&lt;TAB_ESTOQUE[[#This Row],[Mínimo]],"Estoque em Nivel Minimo")))</f>
        <v>Estoque Conforme</v>
      </c>
      <c r="AC547" s="85"/>
      <c r="AD547" s="82"/>
      <c r="AE547" s="94"/>
      <c r="AF547" s="94"/>
    </row>
    <row r="548" spans="1:32" ht="15" customHeight="1" x14ac:dyDescent="0.25">
      <c r="C548" s="48"/>
      <c r="D548" s="45" t="s">
        <v>7628</v>
      </c>
      <c r="E548" s="46"/>
      <c r="F548" s="46"/>
      <c r="I548" s="161" t="s">
        <v>8149</v>
      </c>
      <c r="O548" s="51" t="s">
        <v>6625</v>
      </c>
      <c r="Q548" s="137">
        <f>VLOOKUP(TAB_ESTOQUE[[#This Row],[Codigo]],TAB_ENTRADA[[Cod_2_Entrada]:[TOTAL_ENTRADA]],5,FALSE)-VLOOKUP(TAB_ESTOQUE[[#This Row],[Codigo]],TAB_SAIDA[[COD_2_SAIDA]:[TOTAL_SAIDA]],5,FALSE)</f>
        <v>1</v>
      </c>
      <c r="S548" s="46"/>
      <c r="T548" s="102"/>
      <c r="U548" s="103">
        <f>TAB_ESTOQUE[[#This Row],[Valor Unitario Estimado]]*TAB_ESTOQUE[[#This Row],[Estoque]]</f>
        <v>0</v>
      </c>
      <c r="V548" s="103"/>
      <c r="AA548" s="138"/>
      <c r="AB548" s="104" t="str">
        <f>IF(TAB_ESTOQUE[[#This Row],[Estoque]]=0,"Estoque Não Conforme",IF(TAB_ESTOQUE[[#This Row],[Estoque]]&gt;=TAB_ESTOQUE[[#This Row],[Mínimo]],"Estoque Conforme",IF(TAB_ESTOQUE[[#This Row],[Estoque]]&lt;TAB_ESTOQUE[[#This Row],[Mínimo]],"Estoque em Nivel Minimo")))</f>
        <v>Estoque Conforme</v>
      </c>
      <c r="AC548" s="104"/>
      <c r="AE548" s="82"/>
      <c r="AF548" s="82"/>
    </row>
    <row r="549" spans="1:32" ht="15" customHeight="1" x14ac:dyDescent="0.25">
      <c r="A549" s="45">
        <v>170</v>
      </c>
      <c r="B549" s="47"/>
      <c r="C549" s="46"/>
      <c r="D549" s="45" t="s">
        <v>1955</v>
      </c>
      <c r="E549" s="46" t="s">
        <v>7</v>
      </c>
      <c r="F549" s="87"/>
      <c r="G549" s="82"/>
      <c r="H549" s="82"/>
      <c r="I549" s="82" t="s">
        <v>8150</v>
      </c>
      <c r="J549" s="82"/>
      <c r="K549" s="82"/>
      <c r="L549" s="82"/>
      <c r="M549" s="82" t="s">
        <v>94</v>
      </c>
      <c r="N549" s="82"/>
      <c r="O549" s="87" t="s">
        <v>7034</v>
      </c>
      <c r="P549" s="82" t="s">
        <v>113</v>
      </c>
      <c r="Q549" s="83">
        <f>VLOOKUP(TAB_ESTOQUE[[#This Row],[Codigo]],TAB_ENTRADA[[Cod_2_Entrada]:[TOTAL_ENTRADA]],5,FALSE)-VLOOKUP(TAB_ESTOQUE[[#This Row],[Codigo]],TAB_SAIDA[[COD_2_SAIDA]:[TOTAL_SAIDA]],5,FALSE)</f>
        <v>9</v>
      </c>
      <c r="R549" s="87"/>
      <c r="S549" s="87"/>
      <c r="T549" s="90">
        <v>73.36</v>
      </c>
      <c r="U549" s="91">
        <f>TAB_ESTOQUE[[#This Row],[Valor Unitario Estimado]]*TAB_ESTOQUE[[#This Row],[Estoque]]</f>
        <v>660.24</v>
      </c>
      <c r="V549" s="91"/>
      <c r="W549" s="85"/>
      <c r="X549" s="85"/>
      <c r="Y549" s="85"/>
      <c r="Z549" s="85"/>
      <c r="AA549" s="85"/>
      <c r="AB549" s="85" t="str">
        <f>IF(TAB_ESTOQUE[[#This Row],[Estoque]]=0,"Estoque Não Conforme",IF(TAB_ESTOQUE[[#This Row],[Estoque]]&gt;=TAB_ESTOQUE[[#This Row],[Mínimo]],"Estoque Conforme",IF(TAB_ESTOQUE[[#This Row],[Estoque]]&lt;TAB_ESTOQUE[[#This Row],[Mínimo]],"Estoque em Nivel Minimo")))</f>
        <v>Estoque Conforme</v>
      </c>
      <c r="AC549" s="85"/>
      <c r="AD549" s="82"/>
      <c r="AE549" s="82"/>
      <c r="AF549" s="82"/>
    </row>
    <row r="550" spans="1:32" ht="15" customHeight="1" x14ac:dyDescent="0.25">
      <c r="A550" s="45">
        <v>161</v>
      </c>
      <c r="B550" s="47"/>
      <c r="C550" s="46"/>
      <c r="D550" s="45" t="s">
        <v>1956</v>
      </c>
      <c r="E550" s="46" t="s">
        <v>7</v>
      </c>
      <c r="F550" s="87"/>
      <c r="G550" s="82"/>
      <c r="H550" s="82"/>
      <c r="I550" s="82" t="s">
        <v>8151</v>
      </c>
      <c r="J550" s="82"/>
      <c r="K550" s="82"/>
      <c r="L550" s="82"/>
      <c r="M550" s="82" t="s">
        <v>94</v>
      </c>
      <c r="N550" s="82"/>
      <c r="O550" s="87" t="s">
        <v>7034</v>
      </c>
      <c r="P550" s="82" t="s">
        <v>98</v>
      </c>
      <c r="Q550" s="83">
        <f>VLOOKUP(TAB_ESTOQUE[[#This Row],[Codigo]],TAB_ENTRADA[[Cod_2_Entrada]:[TOTAL_ENTRADA]],5,FALSE)-VLOOKUP(TAB_ESTOQUE[[#This Row],[Codigo]],TAB_SAIDA[[COD_2_SAIDA]:[TOTAL_SAIDA]],5,FALSE)</f>
        <v>2</v>
      </c>
      <c r="R550" s="87"/>
      <c r="S550" s="87"/>
      <c r="T550" s="90"/>
      <c r="U550" s="91">
        <f>TAB_ESTOQUE[[#This Row],[Valor Unitario Estimado]]*TAB_ESTOQUE[[#This Row],[Estoque]]</f>
        <v>0</v>
      </c>
      <c r="V550" s="91"/>
      <c r="W550" s="85"/>
      <c r="X550" s="85"/>
      <c r="Y550" s="85"/>
      <c r="Z550" s="85"/>
      <c r="AA550" s="85"/>
      <c r="AB550" s="85" t="str">
        <f>IF(TAB_ESTOQUE[[#This Row],[Estoque]]=0,"Estoque Não Conforme",IF(TAB_ESTOQUE[[#This Row],[Estoque]]&gt;=TAB_ESTOQUE[[#This Row],[Mínimo]],"Estoque Conforme",IF(TAB_ESTOQUE[[#This Row],[Estoque]]&lt;TAB_ESTOQUE[[#This Row],[Mínimo]],"Estoque em Nivel Minimo")))</f>
        <v>Estoque Conforme</v>
      </c>
      <c r="AC550" s="85"/>
      <c r="AD550" s="82"/>
      <c r="AE550" s="82"/>
      <c r="AF550" s="82"/>
    </row>
    <row r="551" spans="1:32" ht="15" customHeight="1" x14ac:dyDescent="0.25">
      <c r="A551" s="45">
        <v>162</v>
      </c>
      <c r="B551" s="47"/>
      <c r="C551" s="46"/>
      <c r="D551" s="45" t="s">
        <v>1957</v>
      </c>
      <c r="E551" s="46" t="s">
        <v>7</v>
      </c>
      <c r="F551" s="87"/>
      <c r="G551" s="82"/>
      <c r="H551" s="82"/>
      <c r="I551" s="82" t="s">
        <v>8152</v>
      </c>
      <c r="J551" s="82"/>
      <c r="K551" s="82"/>
      <c r="L551" s="82"/>
      <c r="M551" s="82" t="s">
        <v>94</v>
      </c>
      <c r="N551" s="82"/>
      <c r="O551" s="87" t="s">
        <v>7034</v>
      </c>
      <c r="P551" s="82" t="s">
        <v>100</v>
      </c>
      <c r="Q551" s="83">
        <f>VLOOKUP(TAB_ESTOQUE[[#This Row],[Codigo]],TAB_ENTRADA[[Cod_2_Entrada]:[TOTAL_ENTRADA]],5,FALSE)-VLOOKUP(TAB_ESTOQUE[[#This Row],[Codigo]],TAB_SAIDA[[COD_2_SAIDA]:[TOTAL_SAIDA]],5,FALSE)</f>
        <v>0</v>
      </c>
      <c r="R551" s="87"/>
      <c r="S551" s="87"/>
      <c r="T551" s="90"/>
      <c r="U551" s="91">
        <f>TAB_ESTOQUE[[#This Row],[Valor Unitario Estimado]]*TAB_ESTOQUE[[#This Row],[Estoque]]</f>
        <v>0</v>
      </c>
      <c r="V551" s="91"/>
      <c r="W551" s="85"/>
      <c r="X551" s="85"/>
      <c r="Y551" s="85"/>
      <c r="Z551" s="85"/>
      <c r="AA551" s="85"/>
      <c r="AB551" s="85" t="str">
        <f>IF(TAB_ESTOQUE[[#This Row],[Estoque]]=0,"Estoque Não Conforme",IF(TAB_ESTOQUE[[#This Row],[Estoque]]&gt;=TAB_ESTOQUE[[#This Row],[Mínimo]],"Estoque Conforme",IF(TAB_ESTOQUE[[#This Row],[Estoque]]&lt;TAB_ESTOQUE[[#This Row],[Mínimo]],"Estoque em Nivel Minimo")))</f>
        <v>Estoque Não Conforme</v>
      </c>
      <c r="AC551" s="85"/>
      <c r="AD551" s="82"/>
      <c r="AE551" s="82"/>
      <c r="AF551" s="82"/>
    </row>
    <row r="552" spans="1:32" ht="15" customHeight="1" x14ac:dyDescent="0.25">
      <c r="A552" s="45">
        <v>167</v>
      </c>
      <c r="B552" s="47"/>
      <c r="C552" s="46"/>
      <c r="D552" s="45" t="s">
        <v>1958</v>
      </c>
      <c r="E552" s="46" t="s">
        <v>7</v>
      </c>
      <c r="F552" s="87"/>
      <c r="G552" s="82"/>
      <c r="H552" s="82"/>
      <c r="I552" s="82" t="s">
        <v>8153</v>
      </c>
      <c r="J552" s="82"/>
      <c r="K552" s="82"/>
      <c r="L552" s="82"/>
      <c r="M552" s="82" t="s">
        <v>94</v>
      </c>
      <c r="N552" s="82"/>
      <c r="O552" s="87" t="s">
        <v>7034</v>
      </c>
      <c r="P552" s="82" t="s">
        <v>108</v>
      </c>
      <c r="Q552" s="83">
        <f>VLOOKUP(TAB_ESTOQUE[[#This Row],[Codigo]],TAB_ENTRADA[[Cod_2_Entrada]:[TOTAL_ENTRADA]],5,FALSE)-VLOOKUP(TAB_ESTOQUE[[#This Row],[Codigo]],TAB_SAIDA[[COD_2_SAIDA]:[TOTAL_SAIDA]],5,FALSE)</f>
        <v>4</v>
      </c>
      <c r="R552" s="87"/>
      <c r="S552" s="87"/>
      <c r="T552" s="90"/>
      <c r="U552" s="91">
        <f>TAB_ESTOQUE[[#This Row],[Valor Unitario Estimado]]*TAB_ESTOQUE[[#This Row],[Estoque]]</f>
        <v>0</v>
      </c>
      <c r="V552" s="91"/>
      <c r="W552" s="85"/>
      <c r="X552" s="85"/>
      <c r="Y552" s="85"/>
      <c r="Z552" s="85"/>
      <c r="AA552" s="85"/>
      <c r="AB552" s="85" t="str">
        <f>IF(TAB_ESTOQUE[[#This Row],[Estoque]]=0,"Estoque Não Conforme",IF(TAB_ESTOQUE[[#This Row],[Estoque]]&gt;=TAB_ESTOQUE[[#This Row],[Mínimo]],"Estoque Conforme",IF(TAB_ESTOQUE[[#This Row],[Estoque]]&lt;TAB_ESTOQUE[[#This Row],[Mínimo]],"Estoque em Nivel Minimo")))</f>
        <v>Estoque Conforme</v>
      </c>
      <c r="AC552" s="85"/>
      <c r="AD552" s="82"/>
      <c r="AE552" s="82"/>
      <c r="AF552" s="82"/>
    </row>
    <row r="553" spans="1:32" ht="15" customHeight="1" x14ac:dyDescent="0.25">
      <c r="A553" s="45">
        <v>547</v>
      </c>
      <c r="B553" s="47"/>
      <c r="C553" s="46"/>
      <c r="D553" s="45" t="s">
        <v>2038</v>
      </c>
      <c r="E553" s="46" t="s">
        <v>7</v>
      </c>
      <c r="F553" s="87"/>
      <c r="G553" s="82"/>
      <c r="H553" s="82"/>
      <c r="I553" s="82" t="s">
        <v>8154</v>
      </c>
      <c r="J553" s="82"/>
      <c r="K553" s="82"/>
      <c r="L553" s="82"/>
      <c r="M553" s="82" t="s">
        <v>94</v>
      </c>
      <c r="N553" s="82"/>
      <c r="O553" s="87" t="s">
        <v>7034</v>
      </c>
      <c r="P553" s="82" t="s">
        <v>321</v>
      </c>
      <c r="Q553" s="83">
        <f>VLOOKUP(TAB_ESTOQUE[[#This Row],[Codigo]],TAB_ENTRADA[[Cod_2_Entrada]:[TOTAL_ENTRADA]],5,FALSE)-VLOOKUP(TAB_ESTOQUE[[#This Row],[Codigo]],TAB_SAIDA[[COD_2_SAIDA]:[TOTAL_SAIDA]],5,FALSE)</f>
        <v>0</v>
      </c>
      <c r="R553" s="87"/>
      <c r="S553" s="87"/>
      <c r="T553" s="90"/>
      <c r="U553" s="91">
        <f>TAB_ESTOQUE[[#This Row],[Valor Unitario Estimado]]*TAB_ESTOQUE[[#This Row],[Estoque]]</f>
        <v>0</v>
      </c>
      <c r="V553" s="91"/>
      <c r="W553" s="85"/>
      <c r="X553" s="85"/>
      <c r="Y553" s="85"/>
      <c r="Z553" s="85"/>
      <c r="AA553" s="85"/>
      <c r="AB553" s="85" t="str">
        <f>IF(TAB_ESTOQUE[[#This Row],[Estoque]]=0,"Estoque Não Conforme",IF(TAB_ESTOQUE[[#This Row],[Estoque]]&gt;=TAB_ESTOQUE[[#This Row],[Mínimo]],"Estoque Conforme",IF(TAB_ESTOQUE[[#This Row],[Estoque]]&lt;TAB_ESTOQUE[[#This Row],[Mínimo]],"Estoque em Nivel Minimo")))</f>
        <v>Estoque Não Conforme</v>
      </c>
      <c r="AC553" s="85"/>
      <c r="AD553" s="82"/>
      <c r="AE553" s="82"/>
      <c r="AF553" s="82"/>
    </row>
    <row r="554" spans="1:32" ht="15" customHeight="1" x14ac:dyDescent="0.25">
      <c r="A554" s="45" t="s">
        <v>1159</v>
      </c>
      <c r="B554" s="47"/>
      <c r="C554" s="46" t="s">
        <v>2842</v>
      </c>
      <c r="D554" s="45" t="s">
        <v>2644</v>
      </c>
      <c r="E554" s="46"/>
      <c r="F554" s="87"/>
      <c r="G554" s="82"/>
      <c r="H554" s="82"/>
      <c r="I554" s="82" t="s">
        <v>8155</v>
      </c>
      <c r="J554" s="82"/>
      <c r="K554" s="82"/>
      <c r="L554" s="82"/>
      <c r="M554" s="82"/>
      <c r="N554" s="82"/>
      <c r="O554" s="87" t="s">
        <v>7034</v>
      </c>
      <c r="P554" s="82" t="s">
        <v>1191</v>
      </c>
      <c r="Q554" s="83">
        <f>VLOOKUP(TAB_ESTOQUE[[#This Row],[Codigo]],TAB_ENTRADA[[Cod_2_Entrada]:[TOTAL_ENTRADA]],5,FALSE)-VLOOKUP(TAB_ESTOQUE[[#This Row],[Codigo]],TAB_SAIDA[[COD_2_SAIDA]:[TOTAL_SAIDA]],5,FALSE)</f>
        <v>2</v>
      </c>
      <c r="R554" s="87"/>
      <c r="S554" s="87"/>
      <c r="T554" s="90"/>
      <c r="U554" s="91">
        <f>TAB_ESTOQUE[[#This Row],[Valor Unitario Estimado]]*TAB_ESTOQUE[[#This Row],[Estoque]]</f>
        <v>0</v>
      </c>
      <c r="V554" s="91"/>
      <c r="W554" s="85"/>
      <c r="X554" s="85"/>
      <c r="Y554" s="85"/>
      <c r="Z554" s="85"/>
      <c r="AA554" s="85"/>
      <c r="AB554" s="85" t="str">
        <f>IF(TAB_ESTOQUE[[#This Row],[Estoque]]=0,"Estoque Não Conforme",IF(TAB_ESTOQUE[[#This Row],[Estoque]]&gt;=TAB_ESTOQUE[[#This Row],[Mínimo]],"Estoque Conforme",IF(TAB_ESTOQUE[[#This Row],[Estoque]]&lt;TAB_ESTOQUE[[#This Row],[Mínimo]],"Estoque em Nivel Minimo")))</f>
        <v>Estoque Conforme</v>
      </c>
      <c r="AC554" s="85"/>
      <c r="AD554" s="82"/>
      <c r="AE554" s="82"/>
      <c r="AF554" s="82"/>
    </row>
    <row r="555" spans="1:32" s="47" customFormat="1" ht="15" customHeight="1" x14ac:dyDescent="0.25">
      <c r="A555" s="106">
        <v>86</v>
      </c>
      <c r="B555" s="106"/>
      <c r="C555" s="116" t="s">
        <v>2838</v>
      </c>
      <c r="D555" s="106" t="s">
        <v>1737</v>
      </c>
      <c r="E555" s="116" t="s">
        <v>7</v>
      </c>
      <c r="F555" s="118"/>
      <c r="G555" s="95"/>
      <c r="H555" s="95"/>
      <c r="I555" s="95" t="s">
        <v>8156</v>
      </c>
      <c r="J555" s="95"/>
      <c r="K555" s="95"/>
      <c r="L555" s="95"/>
      <c r="M555" s="95"/>
      <c r="N555" s="95"/>
      <c r="O555" s="118" t="s">
        <v>7037</v>
      </c>
      <c r="P555" s="95" t="s">
        <v>54</v>
      </c>
      <c r="Q555" s="154">
        <f>VLOOKUP(TAB_ESTOQUE[[#This Row],[Codigo]],TAB_ENTRADA[[Cod_2_Entrada]:[TOTAL_ENTRADA]],5,FALSE)-VLOOKUP(TAB_ESTOQUE[[#This Row],[Codigo]],TAB_SAIDA[[COD_2_SAIDA]:[TOTAL_SAIDA]],5,FALSE)</f>
        <v>1</v>
      </c>
      <c r="R555" s="118"/>
      <c r="S555" s="118"/>
      <c r="T555" s="119">
        <v>371.35</v>
      </c>
      <c r="U555" s="112">
        <f>TAB_ESTOQUE[[#This Row],[Valor Unitario Estimado]]*TAB_ESTOQUE[[#This Row],[Estoque]]</f>
        <v>371.35</v>
      </c>
      <c r="V555" s="112"/>
      <c r="W555" s="120"/>
      <c r="X555" s="120"/>
      <c r="Y555" s="120"/>
      <c r="Z555" s="120"/>
      <c r="AA555" s="120"/>
      <c r="AB555" s="120" t="str">
        <f>IF(TAB_ESTOQUE[[#This Row],[Estoque]]=0,"Estoque Não Conforme",IF(TAB_ESTOQUE[[#This Row],[Estoque]]&gt;=TAB_ESTOQUE[[#This Row],[Mínimo]],"Estoque Conforme",IF(TAB_ESTOQUE[[#This Row],[Estoque]]&lt;TAB_ESTOQUE[[#This Row],[Mínimo]],"Estoque em Nivel Minimo")))</f>
        <v>Estoque Conforme</v>
      </c>
      <c r="AC555" s="120"/>
      <c r="AD555" s="95"/>
      <c r="AE555" s="94"/>
      <c r="AF555" s="94"/>
    </row>
    <row r="556" spans="1:32" ht="15" customHeight="1" x14ac:dyDescent="0.25">
      <c r="A556" s="45">
        <v>832</v>
      </c>
      <c r="B556" s="47"/>
      <c r="C556" s="46" t="s">
        <v>2842</v>
      </c>
      <c r="D556" s="45" t="s">
        <v>1777</v>
      </c>
      <c r="E556" s="46" t="s">
        <v>7</v>
      </c>
      <c r="F556" s="87"/>
      <c r="G556" s="82"/>
      <c r="H556" s="82"/>
      <c r="I556" s="95" t="s">
        <v>8157</v>
      </c>
      <c r="J556" s="82"/>
      <c r="K556" s="82"/>
      <c r="L556" s="82"/>
      <c r="M556" s="82"/>
      <c r="N556" s="82"/>
      <c r="O556" s="87" t="s">
        <v>7037</v>
      </c>
      <c r="P556" s="82" t="s">
        <v>619</v>
      </c>
      <c r="Q556" s="83">
        <f>VLOOKUP(TAB_ESTOQUE[[#This Row],[Codigo]],TAB_ENTRADA[[Cod_2_Entrada]:[TOTAL_ENTRADA]],5,FALSE)-VLOOKUP(TAB_ESTOQUE[[#This Row],[Codigo]],TAB_SAIDA[[COD_2_SAIDA]:[TOTAL_SAIDA]],5,FALSE)</f>
        <v>1</v>
      </c>
      <c r="R556" s="87"/>
      <c r="S556" s="87"/>
      <c r="T556" s="90">
        <v>80</v>
      </c>
      <c r="U556" s="91">
        <f>TAB_ESTOQUE[[#This Row],[Valor Unitario Estimado]]*TAB_ESTOQUE[[#This Row],[Estoque]]</f>
        <v>80</v>
      </c>
      <c r="V556" s="91"/>
      <c r="W556" s="85"/>
      <c r="X556" s="85"/>
      <c r="Y556" s="85"/>
      <c r="Z556" s="85"/>
      <c r="AA556" s="85"/>
      <c r="AB556" s="85" t="str">
        <f>IF(TAB_ESTOQUE[[#This Row],[Estoque]]=0,"Estoque Não Conforme",IF(TAB_ESTOQUE[[#This Row],[Estoque]]&gt;=TAB_ESTOQUE[[#This Row],[Mínimo]],"Estoque Conforme",IF(TAB_ESTOQUE[[#This Row],[Estoque]]&lt;TAB_ESTOQUE[[#This Row],[Mínimo]],"Estoque em Nivel Minimo")))</f>
        <v>Estoque Conforme</v>
      </c>
      <c r="AC556" s="85"/>
      <c r="AD556" s="82"/>
      <c r="AE556" s="82"/>
      <c r="AF556" s="82"/>
    </row>
    <row r="557" spans="1:32" ht="15" customHeight="1" x14ac:dyDescent="0.25">
      <c r="A557" s="45">
        <v>967</v>
      </c>
      <c r="B557" s="47"/>
      <c r="C557" s="46"/>
      <c r="D557" s="45" t="s">
        <v>1810</v>
      </c>
      <c r="E557" s="46" t="s">
        <v>7</v>
      </c>
      <c r="F557" s="87"/>
      <c r="G557" s="82"/>
      <c r="H557" s="82"/>
      <c r="I557" s="209" t="s">
        <v>8158</v>
      </c>
      <c r="J557" s="82"/>
      <c r="K557" s="82"/>
      <c r="L557" s="82"/>
      <c r="M557" s="82"/>
      <c r="N557" s="82"/>
      <c r="O557" s="87" t="s">
        <v>7037</v>
      </c>
      <c r="P557" s="82" t="s">
        <v>747</v>
      </c>
      <c r="Q557" s="83">
        <f>VLOOKUP(TAB_ESTOQUE[[#This Row],[Codigo]],TAB_ENTRADA[[Cod_2_Entrada]:[TOTAL_ENTRADA]],5,FALSE)-VLOOKUP(TAB_ESTOQUE[[#This Row],[Codigo]],TAB_SAIDA[[COD_2_SAIDA]:[TOTAL_SAIDA]],5,FALSE)</f>
        <v>2</v>
      </c>
      <c r="R557" s="87"/>
      <c r="S557" s="87"/>
      <c r="T557" s="90"/>
      <c r="U557" s="91">
        <f>TAB_ESTOQUE[[#This Row],[Valor Unitario Estimado]]*TAB_ESTOQUE[[#This Row],[Estoque]]</f>
        <v>0</v>
      </c>
      <c r="V557" s="91"/>
      <c r="W557" s="85"/>
      <c r="X557" s="85"/>
      <c r="Y557" s="85"/>
      <c r="Z557" s="85"/>
      <c r="AA557" s="85"/>
      <c r="AB557" s="85" t="str">
        <f>IF(TAB_ESTOQUE[[#This Row],[Estoque]]=0,"Estoque Não Conforme",IF(TAB_ESTOQUE[[#This Row],[Estoque]]&gt;=TAB_ESTOQUE[[#This Row],[Mínimo]],"Estoque Conforme",IF(TAB_ESTOQUE[[#This Row],[Estoque]]&lt;TAB_ESTOQUE[[#This Row],[Mínimo]],"Estoque em Nivel Minimo")))</f>
        <v>Estoque Conforme</v>
      </c>
      <c r="AC557" s="85"/>
      <c r="AD557" s="82"/>
      <c r="AE557" s="82"/>
      <c r="AF557" s="82"/>
    </row>
    <row r="558" spans="1:32" ht="15" customHeight="1" x14ac:dyDescent="0.25">
      <c r="A558" s="45">
        <v>616</v>
      </c>
      <c r="B558" s="47"/>
      <c r="C558" s="46"/>
      <c r="D558" s="45" t="s">
        <v>1830</v>
      </c>
      <c r="E558" s="46" t="s">
        <v>7</v>
      </c>
      <c r="F558" s="87"/>
      <c r="G558" s="82"/>
      <c r="H558" s="82"/>
      <c r="I558" s="82" t="s">
        <v>8159</v>
      </c>
      <c r="J558" s="82"/>
      <c r="K558" s="82"/>
      <c r="L558" s="82"/>
      <c r="M558" s="82"/>
      <c r="N558" s="82"/>
      <c r="O558" s="87" t="s">
        <v>7037</v>
      </c>
      <c r="P558" s="82" t="s">
        <v>397</v>
      </c>
      <c r="Q558" s="83">
        <f>VLOOKUP(TAB_ESTOQUE[[#This Row],[Codigo]],TAB_ENTRADA[[Cod_2_Entrada]:[TOTAL_ENTRADA]],5,FALSE)-VLOOKUP(TAB_ESTOQUE[[#This Row],[Codigo]],TAB_SAIDA[[COD_2_SAIDA]:[TOTAL_SAIDA]],5,FALSE)</f>
        <v>1</v>
      </c>
      <c r="R558" s="87"/>
      <c r="S558" s="87"/>
      <c r="T558" s="90">
        <v>83.16</v>
      </c>
      <c r="U558" s="91">
        <f>TAB_ESTOQUE[[#This Row],[Valor Unitario Estimado]]*TAB_ESTOQUE[[#This Row],[Estoque]]</f>
        <v>83.16</v>
      </c>
      <c r="V558" s="91"/>
      <c r="W558" s="85"/>
      <c r="X558" s="85"/>
      <c r="Y558" s="85"/>
      <c r="Z558" s="85"/>
      <c r="AA558" s="85"/>
      <c r="AB558" s="85" t="str">
        <f>IF(TAB_ESTOQUE[[#This Row],[Estoque]]=0,"Estoque Não Conforme",IF(TAB_ESTOQUE[[#This Row],[Estoque]]&gt;=TAB_ESTOQUE[[#This Row],[Mínimo]],"Estoque Conforme",IF(TAB_ESTOQUE[[#This Row],[Estoque]]&lt;TAB_ESTOQUE[[#This Row],[Mínimo]],"Estoque em Nivel Minimo")))</f>
        <v>Estoque Conforme</v>
      </c>
      <c r="AC558" s="85"/>
      <c r="AD558" s="82"/>
      <c r="AE558" s="82"/>
      <c r="AF558" s="82"/>
    </row>
    <row r="559" spans="1:32" ht="15" customHeight="1" x14ac:dyDescent="0.25">
      <c r="A559" s="45">
        <v>995</v>
      </c>
      <c r="B559" s="47"/>
      <c r="C559" s="46"/>
      <c r="D559" s="45" t="s">
        <v>1918</v>
      </c>
      <c r="E559" s="46" t="s">
        <v>7</v>
      </c>
      <c r="F559" s="87"/>
      <c r="G559" s="82"/>
      <c r="H559" s="82"/>
      <c r="I559" s="82" t="s">
        <v>6100</v>
      </c>
      <c r="J559" s="82"/>
      <c r="K559" s="82"/>
      <c r="L559" s="82"/>
      <c r="M559" s="82"/>
      <c r="N559" s="82"/>
      <c r="O559" s="87" t="s">
        <v>7037</v>
      </c>
      <c r="P559" s="82" t="s">
        <v>766</v>
      </c>
      <c r="Q559" s="83">
        <f>VLOOKUP(TAB_ESTOQUE[[#This Row],[Codigo]],TAB_ENTRADA[[Cod_2_Entrada]:[TOTAL_ENTRADA]],5,FALSE)-VLOOKUP(TAB_ESTOQUE[[#This Row],[Codigo]],TAB_SAIDA[[COD_2_SAIDA]:[TOTAL_SAIDA]],5,FALSE)</f>
        <v>0</v>
      </c>
      <c r="R559" s="87"/>
      <c r="S559" s="87"/>
      <c r="T559" s="90"/>
      <c r="U559" s="91">
        <f>TAB_ESTOQUE[[#This Row],[Valor Unitario Estimado]]*TAB_ESTOQUE[[#This Row],[Estoque]]</f>
        <v>0</v>
      </c>
      <c r="V559" s="91"/>
      <c r="W559" s="85"/>
      <c r="X559" s="85"/>
      <c r="Y559" s="85"/>
      <c r="Z559" s="85"/>
      <c r="AA559" s="85"/>
      <c r="AB559" s="85" t="str">
        <f>IF(TAB_ESTOQUE[[#This Row],[Estoque]]=0,"Estoque Não Conforme",IF(TAB_ESTOQUE[[#This Row],[Estoque]]&gt;=TAB_ESTOQUE[[#This Row],[Mínimo]],"Estoque Conforme",IF(TAB_ESTOQUE[[#This Row],[Estoque]]&lt;TAB_ESTOQUE[[#This Row],[Mínimo]],"Estoque em Nivel Minimo")))</f>
        <v>Estoque Não Conforme</v>
      </c>
      <c r="AC559" s="85"/>
      <c r="AD559" s="82"/>
      <c r="AE559" s="82"/>
      <c r="AF559" s="82"/>
    </row>
    <row r="560" spans="1:32" ht="15" customHeight="1" x14ac:dyDescent="0.25">
      <c r="C560" s="48"/>
      <c r="D560" s="45" t="s">
        <v>7629</v>
      </c>
      <c r="E560" s="46"/>
      <c r="F560" s="46"/>
      <c r="I560" s="45" t="s">
        <v>8162</v>
      </c>
      <c r="O560" s="116" t="s">
        <v>7037</v>
      </c>
      <c r="Q560" s="137">
        <f>VLOOKUP(TAB_ESTOQUE[[#This Row],[Codigo]],TAB_ENTRADA[[Cod_2_Entrada]:[TOTAL_ENTRADA]],5,FALSE)-VLOOKUP(TAB_ESTOQUE[[#This Row],[Codigo]],TAB_SAIDA[[COD_2_SAIDA]:[TOTAL_SAIDA]],5,FALSE)</f>
        <v>1</v>
      </c>
      <c r="S560" s="46"/>
      <c r="T560" s="102"/>
      <c r="U560" s="103">
        <f>TAB_ESTOQUE[[#This Row],[Valor Unitario Estimado]]*TAB_ESTOQUE[[#This Row],[Estoque]]</f>
        <v>0</v>
      </c>
      <c r="V560" s="103"/>
      <c r="AA560" s="138"/>
      <c r="AB560" s="104" t="str">
        <f>IF(TAB_ESTOQUE[[#This Row],[Estoque]]=0,"Estoque Não Conforme",IF(TAB_ESTOQUE[[#This Row],[Estoque]]&gt;=TAB_ESTOQUE[[#This Row],[Mínimo]],"Estoque Conforme",IF(TAB_ESTOQUE[[#This Row],[Estoque]]&lt;TAB_ESTOQUE[[#This Row],[Mínimo]],"Estoque em Nivel Minimo")))</f>
        <v>Estoque Conforme</v>
      </c>
      <c r="AC560" s="104"/>
      <c r="AE560" s="82"/>
      <c r="AF560" s="82"/>
    </row>
    <row r="561" spans="1:32" ht="15" customHeight="1" x14ac:dyDescent="0.25">
      <c r="C561" s="48"/>
      <c r="D561" s="45" t="s">
        <v>7630</v>
      </c>
      <c r="E561" s="46"/>
      <c r="F561" s="46"/>
      <c r="I561" s="45" t="s">
        <v>8163</v>
      </c>
      <c r="O561" s="51" t="s">
        <v>7037</v>
      </c>
      <c r="Q561" s="137">
        <f>VLOOKUP(TAB_ESTOQUE[[#This Row],[Codigo]],TAB_ENTRADA[[Cod_2_Entrada]:[TOTAL_ENTRADA]],5,FALSE)-VLOOKUP(TAB_ESTOQUE[[#This Row],[Codigo]],TAB_SAIDA[[COD_2_SAIDA]:[TOTAL_SAIDA]],5,FALSE)</f>
        <v>3</v>
      </c>
      <c r="S561" s="46"/>
      <c r="T561" s="102"/>
      <c r="U561" s="103">
        <f>TAB_ESTOQUE[[#This Row],[Valor Unitario Estimado]]*TAB_ESTOQUE[[#This Row],[Estoque]]</f>
        <v>0</v>
      </c>
      <c r="V561" s="103"/>
      <c r="AA561" s="138"/>
      <c r="AB561" s="104" t="str">
        <f>IF(TAB_ESTOQUE[[#This Row],[Estoque]]=0,"Estoque Não Conforme",IF(TAB_ESTOQUE[[#This Row],[Estoque]]&gt;=TAB_ESTOQUE[[#This Row],[Mínimo]],"Estoque Conforme",IF(TAB_ESTOQUE[[#This Row],[Estoque]]&lt;TAB_ESTOQUE[[#This Row],[Mínimo]],"Estoque em Nivel Minimo")))</f>
        <v>Estoque Conforme</v>
      </c>
      <c r="AC561" s="104"/>
      <c r="AE561" s="82"/>
      <c r="AF561" s="82"/>
    </row>
    <row r="562" spans="1:32" ht="15" customHeight="1" x14ac:dyDescent="0.25">
      <c r="A562" s="45">
        <v>921</v>
      </c>
      <c r="B562" s="47"/>
      <c r="C562" s="46" t="s">
        <v>2838</v>
      </c>
      <c r="D562" s="45" t="s">
        <v>1686</v>
      </c>
      <c r="E562" s="46"/>
      <c r="F562" s="87"/>
      <c r="G562" s="82"/>
      <c r="H562" s="82"/>
      <c r="I562" s="82" t="s">
        <v>8137</v>
      </c>
      <c r="J562" s="82"/>
      <c r="K562" s="82"/>
      <c r="L562" s="82"/>
      <c r="M562" s="82"/>
      <c r="N562" s="82"/>
      <c r="O562" s="87" t="s">
        <v>7036</v>
      </c>
      <c r="P562" s="82" t="s">
        <v>706</v>
      </c>
      <c r="Q562" s="83">
        <f>VLOOKUP(TAB_ESTOQUE[[#This Row],[Codigo]],TAB_ENTRADA[[Cod_2_Entrada]:[TOTAL_ENTRADA]],5,FALSE)-VLOOKUP(TAB_ESTOQUE[[#This Row],[Codigo]],TAB_SAIDA[[COD_2_SAIDA]:[TOTAL_SAIDA]],5,FALSE)</f>
        <v>5</v>
      </c>
      <c r="R562" s="87"/>
      <c r="S562" s="87"/>
      <c r="T562" s="108"/>
      <c r="U562" s="91">
        <f>TAB_ESTOQUE[[#This Row],[Valor Unitario Estimado]]*TAB_ESTOQUE[[#This Row],[Estoque]]</f>
        <v>0</v>
      </c>
      <c r="V562" s="91"/>
      <c r="W562" s="85"/>
      <c r="X562" s="85"/>
      <c r="Y562" s="85"/>
      <c r="Z562" s="85"/>
      <c r="AA562" s="85"/>
      <c r="AB562" s="85" t="str">
        <f>IF(TAB_ESTOQUE[[#This Row],[Estoque]]=0,"Estoque Não Conforme",IF(TAB_ESTOQUE[[#This Row],[Estoque]]&gt;=TAB_ESTOQUE[[#This Row],[Mínimo]],"Estoque Conforme",IF(TAB_ESTOQUE[[#This Row],[Estoque]]&lt;TAB_ESTOQUE[[#This Row],[Mínimo]],"Estoque em Nivel Minimo")))</f>
        <v>Estoque Conforme</v>
      </c>
      <c r="AC562" s="85"/>
      <c r="AD562" s="82"/>
      <c r="AE562" s="82"/>
      <c r="AF562" s="82"/>
    </row>
    <row r="563" spans="1:32" ht="15" customHeight="1" x14ac:dyDescent="0.25">
      <c r="A563" s="45">
        <v>65</v>
      </c>
      <c r="B563" s="47"/>
      <c r="C563" s="46"/>
      <c r="D563" s="45" t="s">
        <v>1853</v>
      </c>
      <c r="E563" s="46" t="s">
        <v>7</v>
      </c>
      <c r="F563" s="87"/>
      <c r="G563" s="82"/>
      <c r="H563" s="82"/>
      <c r="I563" s="82" t="s">
        <v>8138</v>
      </c>
      <c r="J563" s="82"/>
      <c r="K563" s="82"/>
      <c r="L563" s="82"/>
      <c r="M563" s="82"/>
      <c r="N563" s="82"/>
      <c r="O563" s="87" t="s">
        <v>7036</v>
      </c>
      <c r="P563" s="82" t="s">
        <v>40</v>
      </c>
      <c r="Q563" s="83">
        <f>VLOOKUP(TAB_ESTOQUE[[#This Row],[Codigo]],TAB_ENTRADA[[Cod_2_Entrada]:[TOTAL_ENTRADA]],5,FALSE)-VLOOKUP(TAB_ESTOQUE[[#This Row],[Codigo]],TAB_SAIDA[[COD_2_SAIDA]:[TOTAL_SAIDA]],5,FALSE)</f>
        <v>3</v>
      </c>
      <c r="R563" s="87"/>
      <c r="S563" s="87"/>
      <c r="T563" s="90"/>
      <c r="U563" s="91">
        <f>TAB_ESTOQUE[[#This Row],[Valor Unitario Estimado]]*TAB_ESTOQUE[[#This Row],[Estoque]]</f>
        <v>0</v>
      </c>
      <c r="V563" s="91"/>
      <c r="W563" s="85"/>
      <c r="X563" s="85"/>
      <c r="Y563" s="85"/>
      <c r="Z563" s="85"/>
      <c r="AA563" s="85"/>
      <c r="AB563" s="85" t="str">
        <f>IF(TAB_ESTOQUE[[#This Row],[Estoque]]=0,"Estoque Não Conforme",IF(TAB_ESTOQUE[[#This Row],[Estoque]]&gt;=TAB_ESTOQUE[[#This Row],[Mínimo]],"Estoque Conforme",IF(TAB_ESTOQUE[[#This Row],[Estoque]]&lt;TAB_ESTOQUE[[#This Row],[Mínimo]],"Estoque em Nivel Minimo")))</f>
        <v>Estoque Conforme</v>
      </c>
      <c r="AC563" s="85"/>
      <c r="AD563" s="82"/>
      <c r="AE563" s="82"/>
      <c r="AF563" s="82"/>
    </row>
    <row r="564" spans="1:32" ht="15" customHeight="1" x14ac:dyDescent="0.25">
      <c r="A564" s="45">
        <v>1289</v>
      </c>
      <c r="B564" s="47"/>
      <c r="C564" s="46"/>
      <c r="D564" s="45" t="s">
        <v>1917</v>
      </c>
      <c r="E564" s="46" t="s">
        <v>7</v>
      </c>
      <c r="F564" s="87"/>
      <c r="G564" s="82"/>
      <c r="H564" s="82"/>
      <c r="I564" s="82" t="s">
        <v>8139</v>
      </c>
      <c r="J564" s="82"/>
      <c r="K564" s="82"/>
      <c r="L564" s="82"/>
      <c r="M564" s="82"/>
      <c r="N564" s="82"/>
      <c r="O564" s="87" t="s">
        <v>7036</v>
      </c>
      <c r="P564" s="82" t="s">
        <v>1011</v>
      </c>
      <c r="Q564" s="83">
        <f>VLOOKUP(TAB_ESTOQUE[[#This Row],[Codigo]],TAB_ENTRADA[[Cod_2_Entrada]:[TOTAL_ENTRADA]],5,FALSE)-VLOOKUP(TAB_ESTOQUE[[#This Row],[Codigo]],TAB_SAIDA[[COD_2_SAIDA]:[TOTAL_SAIDA]],5,FALSE)</f>
        <v>40</v>
      </c>
      <c r="R564" s="87"/>
      <c r="S564" s="87"/>
      <c r="T564" s="90"/>
      <c r="U564" s="91">
        <f>TAB_ESTOQUE[[#This Row],[Valor Unitario Estimado]]*TAB_ESTOQUE[[#This Row],[Estoque]]</f>
        <v>0</v>
      </c>
      <c r="V564" s="91"/>
      <c r="W564" s="85"/>
      <c r="X564" s="85"/>
      <c r="Y564" s="85"/>
      <c r="Z564" s="85"/>
      <c r="AA564" s="85"/>
      <c r="AB564" s="85" t="str">
        <f>IF(TAB_ESTOQUE[[#This Row],[Estoque]]=0,"Estoque Não Conforme",IF(TAB_ESTOQUE[[#This Row],[Estoque]]&gt;=TAB_ESTOQUE[[#This Row],[Mínimo]],"Estoque Conforme",IF(TAB_ESTOQUE[[#This Row],[Estoque]]&lt;TAB_ESTOQUE[[#This Row],[Mínimo]],"Estoque em Nivel Minimo")))</f>
        <v>Estoque Conforme</v>
      </c>
      <c r="AC564" s="85"/>
      <c r="AD564" s="82"/>
      <c r="AE564" s="82"/>
      <c r="AF564" s="82"/>
    </row>
    <row r="565" spans="1:32" ht="15" customHeight="1" x14ac:dyDescent="0.25">
      <c r="A565" s="45">
        <v>1171</v>
      </c>
      <c r="B565" s="47"/>
      <c r="C565" s="46"/>
      <c r="D565" s="45" t="s">
        <v>1919</v>
      </c>
      <c r="E565" s="46" t="s">
        <v>1240</v>
      </c>
      <c r="F565" s="87"/>
      <c r="G565" s="82"/>
      <c r="H565" s="82"/>
      <c r="I565" s="82" t="s">
        <v>8140</v>
      </c>
      <c r="J565" s="82"/>
      <c r="K565" s="82" t="s">
        <v>727</v>
      </c>
      <c r="L565" s="82"/>
      <c r="M565" s="82" t="s">
        <v>8</v>
      </c>
      <c r="N565" s="82"/>
      <c r="O565" s="87" t="s">
        <v>7035</v>
      </c>
      <c r="P565" s="82" t="s">
        <v>893</v>
      </c>
      <c r="Q565" s="83">
        <f>VLOOKUP(TAB_ESTOQUE[[#This Row],[Codigo]],TAB_ENTRADA[[Cod_2_Entrada]:[TOTAL_ENTRADA]],5,FALSE)-VLOOKUP(TAB_ESTOQUE[[#This Row],[Codigo]],TAB_SAIDA[[COD_2_SAIDA]:[TOTAL_SAIDA]],5,FALSE)</f>
        <v>50</v>
      </c>
      <c r="R565" s="87"/>
      <c r="S565" s="87"/>
      <c r="T565" s="90"/>
      <c r="U565" s="91">
        <f>TAB_ESTOQUE[[#This Row],[Valor Unitario Estimado]]*TAB_ESTOQUE[[#This Row],[Estoque]]</f>
        <v>0</v>
      </c>
      <c r="V565" s="91"/>
      <c r="W565" s="85"/>
      <c r="X565" s="85"/>
      <c r="Y565" s="85"/>
      <c r="Z565" s="85"/>
      <c r="AA565" s="85"/>
      <c r="AB565" s="85" t="str">
        <f>IF(TAB_ESTOQUE[[#This Row],[Estoque]]=0,"Estoque Não Conforme",IF(TAB_ESTOQUE[[#This Row],[Estoque]]&gt;=TAB_ESTOQUE[[#This Row],[Mínimo]],"Estoque Conforme",IF(TAB_ESTOQUE[[#This Row],[Estoque]]&lt;TAB_ESTOQUE[[#This Row],[Mínimo]],"Estoque em Nivel Minimo")))</f>
        <v>Estoque Conforme</v>
      </c>
      <c r="AC565" s="85"/>
      <c r="AD565" s="82"/>
      <c r="AE565" s="82"/>
      <c r="AF565" s="82"/>
    </row>
    <row r="566" spans="1:32" ht="15" customHeight="1" x14ac:dyDescent="0.25">
      <c r="A566" s="45">
        <v>186</v>
      </c>
      <c r="B566" s="47"/>
      <c r="C566" s="46" t="s">
        <v>2833</v>
      </c>
      <c r="D566" s="45" t="s">
        <v>1975</v>
      </c>
      <c r="E566" s="46" t="s">
        <v>7</v>
      </c>
      <c r="F566" s="87"/>
      <c r="G566" s="82"/>
      <c r="H566" s="82"/>
      <c r="I566" s="209" t="s">
        <v>8228</v>
      </c>
      <c r="J566" s="82"/>
      <c r="K566" s="82"/>
      <c r="L566" s="82"/>
      <c r="M566" s="82"/>
      <c r="N566" s="82"/>
      <c r="O566" s="87" t="s">
        <v>7035</v>
      </c>
      <c r="P566" s="82" t="s">
        <v>131</v>
      </c>
      <c r="Q566" s="83">
        <f>VLOOKUP(TAB_ESTOQUE[[#This Row],[Codigo]],TAB_ENTRADA[[Cod_2_Entrada]:[TOTAL_ENTRADA]],5,FALSE)-VLOOKUP(TAB_ESTOQUE[[#This Row],[Codigo]],TAB_SAIDA[[COD_2_SAIDA]:[TOTAL_SAIDA]],5,FALSE)</f>
        <v>100</v>
      </c>
      <c r="R566" s="87"/>
      <c r="S566" s="87"/>
      <c r="T566" s="90">
        <v>31.54</v>
      </c>
      <c r="U566" s="91">
        <f>TAB_ESTOQUE[[#This Row],[Valor Unitario Estimado]]*TAB_ESTOQUE[[#This Row],[Estoque]]</f>
        <v>3154</v>
      </c>
      <c r="V566" s="91"/>
      <c r="W566" s="85"/>
      <c r="X566" s="85"/>
      <c r="Y566" s="85"/>
      <c r="Z566" s="85"/>
      <c r="AA566" s="85"/>
      <c r="AB566" s="85" t="str">
        <f>IF(TAB_ESTOQUE[[#This Row],[Estoque]]=0,"Estoque Não Conforme",IF(TAB_ESTOQUE[[#This Row],[Estoque]]&gt;=TAB_ESTOQUE[[#This Row],[Mínimo]],"Estoque Conforme",IF(TAB_ESTOQUE[[#This Row],[Estoque]]&lt;TAB_ESTOQUE[[#This Row],[Mínimo]],"Estoque em Nivel Minimo")))</f>
        <v>Estoque Conforme</v>
      </c>
      <c r="AC566" s="85"/>
      <c r="AD566" s="82"/>
      <c r="AE566" s="82"/>
      <c r="AF566" s="82"/>
    </row>
    <row r="567" spans="1:32" ht="15" customHeight="1" x14ac:dyDescent="0.25">
      <c r="C567" s="48"/>
      <c r="D567" s="45" t="s">
        <v>7649</v>
      </c>
      <c r="E567" s="46"/>
      <c r="F567" s="46"/>
      <c r="I567" s="45" t="s">
        <v>8269</v>
      </c>
      <c r="O567" s="51" t="s">
        <v>7035</v>
      </c>
      <c r="Q567" s="137">
        <f>VLOOKUP(TAB_ESTOQUE[[#This Row],[Codigo]],TAB_ENTRADA[[Cod_2_Entrada]:[TOTAL_ENTRADA]],5,FALSE)-VLOOKUP(TAB_ESTOQUE[[#This Row],[Codigo]],TAB_SAIDA[[COD_2_SAIDA]:[TOTAL_SAIDA]],5,FALSE)</f>
        <v>100</v>
      </c>
      <c r="S567" s="46"/>
      <c r="T567" s="102">
        <v>32.96</v>
      </c>
      <c r="U567" s="103">
        <f>TAB_ESTOQUE[[#This Row],[Valor Unitario Estimado]]*TAB_ESTOQUE[[#This Row],[Estoque]]</f>
        <v>3296</v>
      </c>
      <c r="V567" s="103"/>
      <c r="AA567" s="138"/>
      <c r="AB567" s="104" t="str">
        <f>IF(TAB_ESTOQUE[[#This Row],[Estoque]]=0,"Estoque Não Conforme",IF(TAB_ESTOQUE[[#This Row],[Estoque]]&gt;=TAB_ESTOQUE[[#This Row],[Mínimo]],"Estoque Conforme",IF(TAB_ESTOQUE[[#This Row],[Estoque]]&lt;TAB_ESTOQUE[[#This Row],[Mínimo]],"Estoque em Nivel Minimo")))</f>
        <v>Estoque Conforme</v>
      </c>
      <c r="AC567" s="104"/>
      <c r="AE567" s="82"/>
      <c r="AF567" s="82"/>
    </row>
    <row r="568" spans="1:32" ht="15" customHeight="1" x14ac:dyDescent="0.25">
      <c r="A568" s="45">
        <v>594</v>
      </c>
      <c r="B568" s="47"/>
      <c r="C568" s="46"/>
      <c r="D568" s="45" t="s">
        <v>2006</v>
      </c>
      <c r="E568" s="46"/>
      <c r="F568" s="87"/>
      <c r="G568" s="82"/>
      <c r="H568" s="82"/>
      <c r="I568" s="82" t="s">
        <v>8487</v>
      </c>
      <c r="J568" s="82"/>
      <c r="K568" s="82" t="s">
        <v>8255</v>
      </c>
      <c r="L568" s="82"/>
      <c r="M568" s="82"/>
      <c r="N568" s="82"/>
      <c r="O568" s="87" t="s">
        <v>8743</v>
      </c>
      <c r="P568" s="82" t="s">
        <v>373</v>
      </c>
      <c r="Q568" s="83">
        <f>VLOOKUP(TAB_ESTOQUE[[#This Row],[Codigo]],TAB_ENTRADA[[Cod_2_Entrada]:[TOTAL_ENTRADA]],5,FALSE)-VLOOKUP(TAB_ESTOQUE[[#This Row],[Codigo]],TAB_SAIDA[[COD_2_SAIDA]:[TOTAL_SAIDA]],5,FALSE)</f>
        <v>1</v>
      </c>
      <c r="R568" s="87"/>
      <c r="S568" s="87"/>
      <c r="T568" s="90">
        <v>6355.79</v>
      </c>
      <c r="U568" s="91">
        <f>TAB_ESTOQUE[[#This Row],[Valor Unitario Estimado]]*TAB_ESTOQUE[[#This Row],[Estoque]]</f>
        <v>6355.79</v>
      </c>
      <c r="V568" s="91"/>
      <c r="W568" s="85"/>
      <c r="X568" s="85"/>
      <c r="Y568" s="85"/>
      <c r="Z568" s="85"/>
      <c r="AA568" s="85"/>
      <c r="AB568" s="85" t="str">
        <f>IF(TAB_ESTOQUE[[#This Row],[Estoque]]=0,"Estoque Não Conforme",IF(TAB_ESTOQUE[[#This Row],[Estoque]]&gt;=TAB_ESTOQUE[[#This Row],[Mínimo]],"Estoque Conforme",IF(TAB_ESTOQUE[[#This Row],[Estoque]]&lt;TAB_ESTOQUE[[#This Row],[Mínimo]],"Estoque em Nivel Minimo")))</f>
        <v>Estoque Conforme</v>
      </c>
      <c r="AC568" s="85"/>
      <c r="AD568" s="82"/>
      <c r="AE568" s="82"/>
      <c r="AF568" s="82"/>
    </row>
    <row r="569" spans="1:32" ht="15" customHeight="1" x14ac:dyDescent="0.25">
      <c r="C569" s="48"/>
      <c r="D569" s="45" t="s">
        <v>7750</v>
      </c>
      <c r="E569" s="46"/>
      <c r="F569" s="46"/>
      <c r="I569" s="45" t="s">
        <v>8902</v>
      </c>
      <c r="O569" s="46" t="s">
        <v>8743</v>
      </c>
      <c r="Q569" s="137">
        <f>VLOOKUP(TAB_ESTOQUE[[#This Row],[Codigo]],TAB_ENTRADA[[Cod_2_Entrada]:[TOTAL_ENTRADA]],5,FALSE)-VLOOKUP(TAB_ESTOQUE[[#This Row],[Codigo]],TAB_SAIDA[[COD_2_SAIDA]:[TOTAL_SAIDA]],5,FALSE)</f>
        <v>1</v>
      </c>
      <c r="R569" s="46">
        <v>1</v>
      </c>
      <c r="S569" s="46">
        <v>2</v>
      </c>
      <c r="T569" s="102">
        <v>6355.79</v>
      </c>
      <c r="U569" s="103">
        <f>TAB_ESTOQUE[[#This Row],[Valor Unitario Estimado]]*TAB_ESTOQUE[[#This Row],[Estoque]]</f>
        <v>6355.79</v>
      </c>
      <c r="V569" s="103"/>
      <c r="AA569" s="138"/>
      <c r="AB569" s="104" t="str">
        <f>IF(TAB_ESTOQUE[[#This Row],[Estoque]]=0,"Estoque Não Conforme",IF(TAB_ESTOQUE[[#This Row],[Estoque]]&gt;=TAB_ESTOQUE[[#This Row],[Mínimo]],"Estoque Conforme",IF(TAB_ESTOQUE[[#This Row],[Estoque]]&lt;TAB_ESTOQUE[[#This Row],[Mínimo]],"Estoque em Nivel Minimo")))</f>
        <v>Estoque Conforme</v>
      </c>
      <c r="AC569" s="104"/>
      <c r="AE569" s="82"/>
      <c r="AF569" s="82"/>
    </row>
    <row r="570" spans="1:32" ht="15" customHeight="1" x14ac:dyDescent="0.25">
      <c r="C570" s="48"/>
      <c r="D570" s="45" t="s">
        <v>7028</v>
      </c>
      <c r="E570" s="46"/>
      <c r="F570" s="46"/>
      <c r="I570" s="45" t="s">
        <v>7291</v>
      </c>
      <c r="O570" s="46" t="s">
        <v>8166</v>
      </c>
      <c r="Q570" s="137">
        <f>VLOOKUP(TAB_ESTOQUE[[#This Row],[Codigo]],TAB_ENTRADA[[Cod_2_Entrada]:[TOTAL_ENTRADA]],5,FALSE)-VLOOKUP(TAB_ESTOQUE[[#This Row],[Codigo]],TAB_SAIDA[[COD_2_SAIDA]:[TOTAL_SAIDA]],5,FALSE)</f>
        <v>5</v>
      </c>
      <c r="S570" s="46"/>
      <c r="T570" s="102">
        <v>39</v>
      </c>
      <c r="U570" s="103">
        <f>TAB_ESTOQUE[[#This Row],[Valor Unitario Estimado]]*TAB_ESTOQUE[[#This Row],[Estoque]]</f>
        <v>195</v>
      </c>
      <c r="V570" s="103"/>
      <c r="AA570" s="138"/>
      <c r="AB570" s="104" t="str">
        <f>IF(TAB_ESTOQUE[[#This Row],[Estoque]]=0,"Estoque Não Conforme",IF(TAB_ESTOQUE[[#This Row],[Estoque]]&gt;=TAB_ESTOQUE[[#This Row],[Mínimo]],"Estoque Conforme",IF(TAB_ESTOQUE[[#This Row],[Estoque]]&lt;TAB_ESTOQUE[[#This Row],[Mínimo]],"Estoque em Nivel Minimo")))</f>
        <v>Estoque Conforme</v>
      </c>
      <c r="AC570" s="104"/>
      <c r="AE570" s="82"/>
      <c r="AF570" s="82"/>
    </row>
    <row r="571" spans="1:32" ht="15" customHeight="1" x14ac:dyDescent="0.25">
      <c r="C571" s="48"/>
      <c r="D571" s="45" t="s">
        <v>8052</v>
      </c>
      <c r="E571" s="46"/>
      <c r="F571" s="46"/>
      <c r="I571" s="45" t="s">
        <v>8996</v>
      </c>
      <c r="O571" s="46" t="s">
        <v>8166</v>
      </c>
      <c r="Q571" s="137">
        <f>VLOOKUP(TAB_ESTOQUE[[#This Row],[Codigo]],TAB_ENTRADA[[Cod_2_Entrada]:[TOTAL_ENTRADA]],5,FALSE)-VLOOKUP(TAB_ESTOQUE[[#This Row],[Codigo]],TAB_SAIDA[[COD_2_SAIDA]:[TOTAL_SAIDA]],5,FALSE)</f>
        <v>1</v>
      </c>
      <c r="R571" s="46">
        <v>2</v>
      </c>
      <c r="S571" s="46">
        <v>4</v>
      </c>
      <c r="T571" s="102">
        <v>1680</v>
      </c>
      <c r="U571" s="103">
        <f>TAB_ESTOQUE[[#This Row],[Valor Unitario Estimado]]*TAB_ESTOQUE[[#This Row],[Estoque]]</f>
        <v>1680</v>
      </c>
      <c r="V571" s="103"/>
      <c r="AA571" s="138"/>
      <c r="AB571" s="104" t="str">
        <f>IF(TAB_ESTOQUE[[#This Row],[Estoque]]=0,"Estoque Não Conforme",IF(TAB_ESTOQUE[[#This Row],[Estoque]]&gt;=TAB_ESTOQUE[[#This Row],[Mínimo]],"Estoque Conforme",IF(TAB_ESTOQUE[[#This Row],[Estoque]]&lt;TAB_ESTOQUE[[#This Row],[Mínimo]],"Estoque em Nivel Minimo")))</f>
        <v>Estoque em Nivel Minimo</v>
      </c>
      <c r="AC571" s="104"/>
      <c r="AE571" s="82"/>
      <c r="AF571" s="82"/>
    </row>
    <row r="572" spans="1:32" ht="15" customHeight="1" x14ac:dyDescent="0.25">
      <c r="C572" s="48"/>
      <c r="D572" s="45" t="s">
        <v>8053</v>
      </c>
      <c r="E572" s="46"/>
      <c r="F572" s="46"/>
      <c r="I572" s="45" t="s">
        <v>8997</v>
      </c>
      <c r="O572" s="46" t="s">
        <v>8166</v>
      </c>
      <c r="Q572" s="137">
        <f>VLOOKUP(TAB_ESTOQUE[[#This Row],[Codigo]],TAB_ENTRADA[[Cod_2_Entrada]:[TOTAL_ENTRADA]],5,FALSE)-VLOOKUP(TAB_ESTOQUE[[#This Row],[Codigo]],TAB_SAIDA[[COD_2_SAIDA]:[TOTAL_SAIDA]],5,FALSE)</f>
        <v>0</v>
      </c>
      <c r="R572" s="46">
        <v>2</v>
      </c>
      <c r="S572" s="46">
        <v>4</v>
      </c>
      <c r="T572" s="102">
        <v>440</v>
      </c>
      <c r="U572" s="103">
        <f>TAB_ESTOQUE[[#This Row],[Valor Unitario Estimado]]*TAB_ESTOQUE[[#This Row],[Estoque]]</f>
        <v>0</v>
      </c>
      <c r="V572" s="103"/>
      <c r="AA572" s="138"/>
      <c r="AB572" s="104" t="str">
        <f>IF(TAB_ESTOQUE[[#This Row],[Estoque]]=0,"Estoque Não Conforme",IF(TAB_ESTOQUE[[#This Row],[Estoque]]&gt;=TAB_ESTOQUE[[#This Row],[Mínimo]],"Estoque Conforme",IF(TAB_ESTOQUE[[#This Row],[Estoque]]&lt;TAB_ESTOQUE[[#This Row],[Mínimo]],"Estoque em Nivel Minimo")))</f>
        <v>Estoque Não Conforme</v>
      </c>
      <c r="AC572" s="104"/>
      <c r="AE572" s="82"/>
      <c r="AF572" s="82"/>
    </row>
    <row r="573" spans="1:32" ht="15" customHeight="1" x14ac:dyDescent="0.25">
      <c r="A573" s="45">
        <v>1238</v>
      </c>
      <c r="B573" s="47"/>
      <c r="C573" s="46"/>
      <c r="D573" s="45" t="s">
        <v>1903</v>
      </c>
      <c r="E573" s="46" t="s">
        <v>2901</v>
      </c>
      <c r="F573" s="87"/>
      <c r="G573" s="82"/>
      <c r="H573" s="82"/>
      <c r="I573" s="82" t="s">
        <v>8175</v>
      </c>
      <c r="J573" s="82"/>
      <c r="K573" s="82" t="s">
        <v>954</v>
      </c>
      <c r="L573" s="82"/>
      <c r="M573" s="82"/>
      <c r="N573" s="82"/>
      <c r="O573" s="87" t="s">
        <v>6823</v>
      </c>
      <c r="P573" s="82" t="s">
        <v>956</v>
      </c>
      <c r="Q573" s="83">
        <f>VLOOKUP(TAB_ESTOQUE[[#This Row],[Codigo]],TAB_ENTRADA[[Cod_2_Entrada]:[TOTAL_ENTRADA]],5,FALSE)-VLOOKUP(TAB_ESTOQUE[[#This Row],[Codigo]],TAB_SAIDA[[COD_2_SAIDA]:[TOTAL_SAIDA]],5,FALSE)</f>
        <v>1</v>
      </c>
      <c r="R573" s="87"/>
      <c r="S573" s="87"/>
      <c r="T573" s="90">
        <v>1576.2</v>
      </c>
      <c r="U573" s="91">
        <f>TAB_ESTOQUE[[#This Row],[Valor Unitario Estimado]]*TAB_ESTOQUE[[#This Row],[Estoque]]</f>
        <v>1576.2</v>
      </c>
      <c r="V573" s="91"/>
      <c r="W573" s="85"/>
      <c r="X573" s="85"/>
      <c r="Y573" s="85"/>
      <c r="Z573" s="85"/>
      <c r="AA573" s="85"/>
      <c r="AB573" s="85" t="str">
        <f>IF(TAB_ESTOQUE[[#This Row],[Estoque]]=0,"Estoque Não Conforme",IF(TAB_ESTOQUE[[#This Row],[Estoque]]&gt;=TAB_ESTOQUE[[#This Row],[Mínimo]],"Estoque Conforme",IF(TAB_ESTOQUE[[#This Row],[Estoque]]&lt;TAB_ESTOQUE[[#This Row],[Mínimo]],"Estoque em Nivel Minimo")))</f>
        <v>Estoque Conforme</v>
      </c>
      <c r="AC573" s="85"/>
      <c r="AD573" s="82"/>
      <c r="AE573" s="82"/>
      <c r="AF573" s="82"/>
    </row>
    <row r="574" spans="1:32" ht="15" customHeight="1" x14ac:dyDescent="0.25">
      <c r="A574" s="47"/>
      <c r="B574" s="47"/>
      <c r="C574" s="51" t="s">
        <v>2833</v>
      </c>
      <c r="D574" s="47" t="s">
        <v>6260</v>
      </c>
      <c r="E574" s="51"/>
      <c r="F574" s="107"/>
      <c r="G574" s="94"/>
      <c r="H574" s="94"/>
      <c r="I574" s="94" t="s">
        <v>6943</v>
      </c>
      <c r="J574" s="94"/>
      <c r="K574" s="94"/>
      <c r="L574" s="94"/>
      <c r="M574" s="94"/>
      <c r="N574" s="94"/>
      <c r="O574" s="107" t="s">
        <v>6823</v>
      </c>
      <c r="P574" s="94" t="s">
        <v>6046</v>
      </c>
      <c r="Q574" s="145">
        <f>VLOOKUP(TAB_ESTOQUE[[#This Row],[Codigo]],TAB_ENTRADA[[Cod_2_Entrada]:[TOTAL_ENTRADA]],5,FALSE)-VLOOKUP(TAB_ESTOQUE[[#This Row],[Codigo]],TAB_SAIDA[[COD_2_SAIDA]:[TOTAL_SAIDA]],5,FALSE)</f>
        <v>1</v>
      </c>
      <c r="R574" s="107"/>
      <c r="S574" s="107"/>
      <c r="T574" s="108">
        <v>170</v>
      </c>
      <c r="U574" s="109">
        <f>TAB_ESTOQUE[[#This Row],[Valor Unitario Estimado]]*TAB_ESTOQUE[[#This Row],[Estoque]]</f>
        <v>170</v>
      </c>
      <c r="V574" s="109"/>
      <c r="W574" s="110"/>
      <c r="X574" s="110"/>
      <c r="Y574" s="110"/>
      <c r="Z574" s="110"/>
      <c r="AA574" s="110"/>
      <c r="AB574" s="110" t="str">
        <f>IF(TAB_ESTOQUE[[#This Row],[Estoque]]=0,"Estoque Não Conforme",IF(TAB_ESTOQUE[[#This Row],[Estoque]]&gt;=TAB_ESTOQUE[[#This Row],[Mínimo]],"Estoque Conforme",IF(TAB_ESTOQUE[[#This Row],[Estoque]]&lt;TAB_ESTOQUE[[#This Row],[Mínimo]],"Estoque em Nivel Minimo")))</f>
        <v>Estoque Conforme</v>
      </c>
      <c r="AC574" s="155"/>
      <c r="AD574" s="94"/>
      <c r="AE574" s="82"/>
      <c r="AF574" s="82"/>
    </row>
    <row r="575" spans="1:32" ht="15" customHeight="1" x14ac:dyDescent="0.25">
      <c r="A575" s="106"/>
      <c r="B575" s="106"/>
      <c r="C575" s="116"/>
      <c r="D575" s="106" t="s">
        <v>6261</v>
      </c>
      <c r="E575" s="116"/>
      <c r="F575" s="118"/>
      <c r="G575" s="95"/>
      <c r="H575" s="95"/>
      <c r="I575" s="95" t="s">
        <v>6824</v>
      </c>
      <c r="J575" s="95"/>
      <c r="K575" s="95"/>
      <c r="L575" s="95"/>
      <c r="M575" s="95"/>
      <c r="N575" s="95"/>
      <c r="O575" s="118" t="s">
        <v>6823</v>
      </c>
      <c r="P575" s="95" t="s">
        <v>6070</v>
      </c>
      <c r="Q575" s="154">
        <f>VLOOKUP(TAB_ESTOQUE[[#This Row],[Codigo]],TAB_ENTRADA[[Cod_2_Entrada]:[TOTAL_ENTRADA]],5,FALSE)-VLOOKUP(TAB_ESTOQUE[[#This Row],[Codigo]],TAB_SAIDA[[COD_2_SAIDA]:[TOTAL_SAIDA]],5,FALSE)</f>
        <v>1</v>
      </c>
      <c r="R575" s="118"/>
      <c r="S575" s="118"/>
      <c r="T575" s="119">
        <v>185.65</v>
      </c>
      <c r="U575" s="112">
        <f>TAB_ESTOQUE[[#This Row],[Valor Unitario Estimado]]*TAB_ESTOQUE[[#This Row],[Estoque]]</f>
        <v>185.65</v>
      </c>
      <c r="V575" s="112"/>
      <c r="W575" s="120"/>
      <c r="X575" s="120"/>
      <c r="Y575" s="120"/>
      <c r="Z575" s="120"/>
      <c r="AA575" s="120"/>
      <c r="AB575" s="120" t="str">
        <f>IF(TAB_ESTOQUE[[#This Row],[Estoque]]=0,"Estoque Não Conforme",IF(TAB_ESTOQUE[[#This Row],[Estoque]]&gt;=TAB_ESTOQUE[[#This Row],[Mínimo]],"Estoque Conforme",IF(TAB_ESTOQUE[[#This Row],[Estoque]]&lt;TAB_ESTOQUE[[#This Row],[Mínimo]],"Estoque em Nivel Minimo")))</f>
        <v>Estoque Conforme</v>
      </c>
      <c r="AC575" s="160"/>
      <c r="AD575" s="95"/>
      <c r="AE575" s="82"/>
      <c r="AF575" s="82"/>
    </row>
    <row r="576" spans="1:32" ht="15" customHeight="1" x14ac:dyDescent="0.25">
      <c r="B576" s="47"/>
      <c r="C576" s="48"/>
      <c r="D576" s="45" t="s">
        <v>6488</v>
      </c>
      <c r="E576" s="87"/>
      <c r="F576" s="87"/>
      <c r="G576" s="82"/>
      <c r="H576" s="82"/>
      <c r="I576" s="82" t="s">
        <v>8165</v>
      </c>
      <c r="J576" s="82"/>
      <c r="K576" s="82"/>
      <c r="L576" s="82"/>
      <c r="M576" s="82"/>
      <c r="N576" s="82"/>
      <c r="O576" s="87" t="s">
        <v>6823</v>
      </c>
      <c r="P576" s="82"/>
      <c r="Q576" s="83">
        <f>VLOOKUP(TAB_ESTOQUE[[#This Row],[Codigo]],TAB_ENTRADA[[Cod_2_Entrada]:[TOTAL_ENTRADA]],5,FALSE)-VLOOKUP(TAB_ESTOQUE[[#This Row],[Codigo]],TAB_SAIDA[[COD_2_SAIDA]:[TOTAL_SAIDA]],5,FALSE)</f>
        <v>0</v>
      </c>
      <c r="R576" s="87"/>
      <c r="S576" s="87"/>
      <c r="T576" s="90"/>
      <c r="U576" s="91">
        <f>TAB_ESTOQUE[[#This Row],[Valor Unitario Estimado]]*TAB_ESTOQUE[[#This Row],[Estoque]]</f>
        <v>0</v>
      </c>
      <c r="V576" s="91"/>
      <c r="W576" s="85"/>
      <c r="X576" s="85"/>
      <c r="Y576" s="85"/>
      <c r="Z576" s="85"/>
      <c r="AA576" s="85"/>
      <c r="AB576" s="96" t="str">
        <f>IF(TAB_ESTOQUE[[#This Row],[Estoque]]=0,"Estoque Não Conforme",IF(TAB_ESTOQUE[[#This Row],[Estoque]]&gt;=TAB_ESTOQUE[[#This Row],[Mínimo]],"Estoque Conforme",IF(TAB_ESTOQUE[[#This Row],[Estoque]]&lt;TAB_ESTOQUE[[#This Row],[Mínimo]],"Estoque em Nivel Minimo")))</f>
        <v>Estoque Não Conforme</v>
      </c>
      <c r="AC576" s="96"/>
      <c r="AD576" s="82"/>
      <c r="AE576" s="82"/>
      <c r="AF576" s="82"/>
    </row>
    <row r="577" spans="2:32" ht="15" customHeight="1" x14ac:dyDescent="0.25">
      <c r="B577" s="47"/>
      <c r="C577" s="48"/>
      <c r="D577" s="45" t="s">
        <v>6544</v>
      </c>
      <c r="E577" s="87"/>
      <c r="F577" s="87"/>
      <c r="G577" s="82"/>
      <c r="H577" s="82"/>
      <c r="I577" s="82" t="s">
        <v>8168</v>
      </c>
      <c r="J577" s="82"/>
      <c r="K577" s="82"/>
      <c r="L577" s="82"/>
      <c r="M577" s="82"/>
      <c r="N577" s="82"/>
      <c r="O577" s="87" t="s">
        <v>6823</v>
      </c>
      <c r="P577" s="82"/>
      <c r="Q577" s="83">
        <f>VLOOKUP(TAB_ESTOQUE[[#This Row],[Codigo]],TAB_ENTRADA[[Cod_2_Entrada]:[TOTAL_ENTRADA]],5,FALSE)-VLOOKUP(TAB_ESTOQUE[[#This Row],[Codigo]],TAB_SAIDA[[COD_2_SAIDA]:[TOTAL_SAIDA]],5,FALSE)</f>
        <v>2</v>
      </c>
      <c r="R577" s="87"/>
      <c r="S577" s="87"/>
      <c r="T577" s="90"/>
      <c r="U577" s="91">
        <f>TAB_ESTOQUE[[#This Row],[Valor Unitario Estimado]]*TAB_ESTOQUE[[#This Row],[Estoque]]</f>
        <v>0</v>
      </c>
      <c r="V577" s="91"/>
      <c r="W577" s="85"/>
      <c r="X577" s="85"/>
      <c r="Y577" s="85"/>
      <c r="Z577" s="85"/>
      <c r="AA577" s="85"/>
      <c r="AB577" s="96" t="str">
        <f>IF(TAB_ESTOQUE[[#This Row],[Estoque]]=0,"Estoque Não Conforme",IF(TAB_ESTOQUE[[#This Row],[Estoque]]&gt;=TAB_ESTOQUE[[#This Row],[Mínimo]],"Estoque Conforme",IF(TAB_ESTOQUE[[#This Row],[Estoque]]&lt;TAB_ESTOQUE[[#This Row],[Mínimo]],"Estoque em Nivel Minimo")))</f>
        <v>Estoque Conforme</v>
      </c>
      <c r="AC577" s="96"/>
      <c r="AD577" s="82"/>
      <c r="AE577" s="82"/>
      <c r="AF577" s="82"/>
    </row>
    <row r="578" spans="2:32" ht="15" customHeight="1" x14ac:dyDescent="0.25">
      <c r="C578" s="48"/>
      <c r="D578" s="45" t="s">
        <v>7050</v>
      </c>
      <c r="E578" s="46" t="s">
        <v>7345</v>
      </c>
      <c r="F578" s="46"/>
      <c r="I578" s="45" t="s">
        <v>7346</v>
      </c>
      <c r="O578" s="46" t="s">
        <v>6823</v>
      </c>
      <c r="Q578" s="137">
        <f>VLOOKUP(TAB_ESTOQUE[[#This Row],[Codigo]],TAB_ENTRADA[[Cod_2_Entrada]:[TOTAL_ENTRADA]],5,FALSE)-VLOOKUP(TAB_ESTOQUE[[#This Row],[Codigo]],TAB_SAIDA[[COD_2_SAIDA]:[TOTAL_SAIDA]],5,FALSE)</f>
        <v>4</v>
      </c>
      <c r="S578" s="46"/>
      <c r="T578" s="102">
        <v>189</v>
      </c>
      <c r="U578" s="103">
        <f>TAB_ESTOQUE[[#This Row],[Valor Unitario Estimado]]*TAB_ESTOQUE[[#This Row],[Estoque]]</f>
        <v>756</v>
      </c>
      <c r="V578" s="103"/>
      <c r="AA578" s="138"/>
      <c r="AB578" s="104" t="str">
        <f>IF(TAB_ESTOQUE[[#This Row],[Estoque]]=0,"Estoque Não Conforme",IF(TAB_ESTOQUE[[#This Row],[Estoque]]&gt;=TAB_ESTOQUE[[#This Row],[Mínimo]],"Estoque Conforme",IF(TAB_ESTOQUE[[#This Row],[Estoque]]&lt;TAB_ESTOQUE[[#This Row],[Mínimo]],"Estoque em Nivel Minimo")))</f>
        <v>Estoque Conforme</v>
      </c>
      <c r="AC578" s="104"/>
      <c r="AE578" s="82"/>
      <c r="AF578" s="82"/>
    </row>
    <row r="579" spans="2:32" ht="15" customHeight="1" x14ac:dyDescent="0.25">
      <c r="C579" s="48"/>
      <c r="D579" s="45" t="s">
        <v>7631</v>
      </c>
      <c r="E579" s="46"/>
      <c r="F579" s="46"/>
      <c r="I579" s="45" t="s">
        <v>8172</v>
      </c>
      <c r="O579" s="116" t="s">
        <v>6823</v>
      </c>
      <c r="Q579" s="137">
        <f>VLOOKUP(TAB_ESTOQUE[[#This Row],[Codigo]],TAB_ENTRADA[[Cod_2_Entrada]:[TOTAL_ENTRADA]],5,FALSE)-VLOOKUP(TAB_ESTOQUE[[#This Row],[Codigo]],TAB_SAIDA[[COD_2_SAIDA]:[TOTAL_SAIDA]],5,FALSE)</f>
        <v>1</v>
      </c>
      <c r="S579" s="46"/>
      <c r="T579" s="102"/>
      <c r="U579" s="103">
        <f>TAB_ESTOQUE[[#This Row],[Valor Unitario Estimado]]*TAB_ESTOQUE[[#This Row],[Estoque]]</f>
        <v>0</v>
      </c>
      <c r="V579" s="103"/>
      <c r="AA579" s="138"/>
      <c r="AB579" s="104" t="str">
        <f>IF(TAB_ESTOQUE[[#This Row],[Estoque]]=0,"Estoque Não Conforme",IF(TAB_ESTOQUE[[#This Row],[Estoque]]&gt;=TAB_ESTOQUE[[#This Row],[Mínimo]],"Estoque Conforme",IF(TAB_ESTOQUE[[#This Row],[Estoque]]&lt;TAB_ESTOQUE[[#This Row],[Mínimo]],"Estoque em Nivel Minimo")))</f>
        <v>Estoque Conforme</v>
      </c>
      <c r="AC579" s="104"/>
      <c r="AE579" s="82"/>
      <c r="AF579" s="82"/>
    </row>
    <row r="580" spans="2:32" ht="15" customHeight="1" x14ac:dyDescent="0.25">
      <c r="C580" s="48"/>
      <c r="D580" s="45" t="s">
        <v>7632</v>
      </c>
      <c r="E580" s="46"/>
      <c r="F580" s="46"/>
      <c r="I580" s="45" t="s">
        <v>8173</v>
      </c>
      <c r="O580" s="51" t="s">
        <v>6823</v>
      </c>
      <c r="Q580" s="137">
        <f>VLOOKUP(TAB_ESTOQUE[[#This Row],[Codigo]],TAB_ENTRADA[[Cod_2_Entrada]:[TOTAL_ENTRADA]],5,FALSE)-VLOOKUP(TAB_ESTOQUE[[#This Row],[Codigo]],TAB_SAIDA[[COD_2_SAIDA]:[TOTAL_SAIDA]],5,FALSE)</f>
        <v>1</v>
      </c>
      <c r="S580" s="46"/>
      <c r="T580" s="102"/>
      <c r="U580" s="103">
        <f>TAB_ESTOQUE[[#This Row],[Valor Unitario Estimado]]*TAB_ESTOQUE[[#This Row],[Estoque]]</f>
        <v>0</v>
      </c>
      <c r="V580" s="103"/>
      <c r="AA580" s="138"/>
      <c r="AB580" s="104" t="str">
        <f>IF(TAB_ESTOQUE[[#This Row],[Estoque]]=0,"Estoque Não Conforme",IF(TAB_ESTOQUE[[#This Row],[Estoque]]&gt;=TAB_ESTOQUE[[#This Row],[Mínimo]],"Estoque Conforme",IF(TAB_ESTOQUE[[#This Row],[Estoque]]&lt;TAB_ESTOQUE[[#This Row],[Mínimo]],"Estoque em Nivel Minimo")))</f>
        <v>Estoque Conforme</v>
      </c>
      <c r="AC580" s="104"/>
      <c r="AE580" s="82"/>
      <c r="AF580" s="82"/>
    </row>
    <row r="581" spans="2:32" ht="15" customHeight="1" x14ac:dyDescent="0.25">
      <c r="C581" s="105" t="s">
        <v>2838</v>
      </c>
      <c r="D581" s="45" t="s">
        <v>6841</v>
      </c>
      <c r="E581" s="46"/>
      <c r="F581" s="46"/>
      <c r="I581" s="45" t="s">
        <v>8176</v>
      </c>
      <c r="O581" s="46" t="s">
        <v>6966</v>
      </c>
      <c r="Q581" s="137">
        <f>VLOOKUP(TAB_ESTOQUE[[#This Row],[Codigo]],TAB_ENTRADA[[Cod_2_Entrada]:[TOTAL_ENTRADA]],5,FALSE)-VLOOKUP(TAB_ESTOQUE[[#This Row],[Codigo]],TAB_SAIDA[[COD_2_SAIDA]:[TOTAL_SAIDA]],5,FALSE)</f>
        <v>30</v>
      </c>
      <c r="S581" s="46"/>
      <c r="T581" s="102">
        <v>7.35</v>
      </c>
      <c r="U581" s="103">
        <f>TAB_ESTOQUE[[#This Row],[Valor Unitario Estimado]]*TAB_ESTOQUE[[#This Row],[Estoque]]</f>
        <v>220.5</v>
      </c>
      <c r="V581" s="103"/>
      <c r="AA581" s="138"/>
      <c r="AB581" s="104" t="str">
        <f>IF(TAB_ESTOQUE[[#This Row],[Estoque]]=0,"Estoque Não Conforme",IF(TAB_ESTOQUE[[#This Row],[Estoque]]&gt;=TAB_ESTOQUE[[#This Row],[Mínimo]],"Estoque Conforme",IF(TAB_ESTOQUE[[#This Row],[Estoque]]&lt;TAB_ESTOQUE[[#This Row],[Mínimo]],"Estoque em Nivel Minimo")))</f>
        <v>Estoque Conforme</v>
      </c>
      <c r="AC581" s="104"/>
      <c r="AE581" s="82"/>
      <c r="AF581" s="82"/>
    </row>
    <row r="582" spans="2:32" ht="15" customHeight="1" x14ac:dyDescent="0.25">
      <c r="C582" s="48"/>
      <c r="D582" s="45" t="s">
        <v>7051</v>
      </c>
      <c r="E582" s="46" t="s">
        <v>7349</v>
      </c>
      <c r="F582" s="46"/>
      <c r="I582" s="45" t="s">
        <v>8167</v>
      </c>
      <c r="O582" s="46" t="s">
        <v>6966</v>
      </c>
      <c r="Q582" s="137">
        <f>VLOOKUP(TAB_ESTOQUE[[#This Row],[Codigo]],TAB_ENTRADA[[Cod_2_Entrada]:[TOTAL_ENTRADA]],5,FALSE)-VLOOKUP(TAB_ESTOQUE[[#This Row],[Codigo]],TAB_SAIDA[[COD_2_SAIDA]:[TOTAL_SAIDA]],5,FALSE)</f>
        <v>2</v>
      </c>
      <c r="S582" s="46"/>
      <c r="T582" s="102">
        <v>82.5</v>
      </c>
      <c r="U582" s="103">
        <f>TAB_ESTOQUE[[#This Row],[Valor Unitario Estimado]]*TAB_ESTOQUE[[#This Row],[Estoque]]</f>
        <v>165</v>
      </c>
      <c r="V582" s="103"/>
      <c r="AA582" s="138"/>
      <c r="AB582" s="104" t="str">
        <f>IF(TAB_ESTOQUE[[#This Row],[Estoque]]=0,"Estoque Não Conforme",IF(TAB_ESTOQUE[[#This Row],[Estoque]]&gt;=TAB_ESTOQUE[[#This Row],[Mínimo]],"Estoque Conforme",IF(TAB_ESTOQUE[[#This Row],[Estoque]]&lt;TAB_ESTOQUE[[#This Row],[Mínimo]],"Estoque em Nivel Minimo")))</f>
        <v>Estoque Conforme</v>
      </c>
      <c r="AC582" s="104"/>
      <c r="AE582" s="82"/>
      <c r="AF582" s="82"/>
    </row>
    <row r="583" spans="2:32" ht="15" customHeight="1" x14ac:dyDescent="0.25">
      <c r="C583" s="48"/>
      <c r="D583" s="45" t="s">
        <v>7055</v>
      </c>
      <c r="E583" s="46" t="s">
        <v>1240</v>
      </c>
      <c r="F583" s="46"/>
      <c r="I583" s="45" t="s">
        <v>7365</v>
      </c>
      <c r="O583" s="46" t="s">
        <v>6966</v>
      </c>
      <c r="Q583" s="137">
        <f>VLOOKUP(TAB_ESTOQUE[[#This Row],[Codigo]],TAB_ENTRADA[[Cod_2_Entrada]:[TOTAL_ENTRADA]],5,FALSE)-VLOOKUP(TAB_ESTOQUE[[#This Row],[Codigo]],TAB_SAIDA[[COD_2_SAIDA]:[TOTAL_SAIDA]],5,FALSE)</f>
        <v>1</v>
      </c>
      <c r="S583" s="46"/>
      <c r="T583" s="102">
        <v>4535.87</v>
      </c>
      <c r="U583" s="103">
        <f>TAB_ESTOQUE[[#This Row],[Valor Unitario Estimado]]*TAB_ESTOQUE[[#This Row],[Estoque]]</f>
        <v>4535.87</v>
      </c>
      <c r="V583" s="103"/>
      <c r="AA583" s="138"/>
      <c r="AB583" s="104" t="str">
        <f>IF(TAB_ESTOQUE[[#This Row],[Estoque]]=0,"Estoque Não Conforme",IF(TAB_ESTOQUE[[#This Row],[Estoque]]&gt;=TAB_ESTOQUE[[#This Row],[Mínimo]],"Estoque Conforme",IF(TAB_ESTOQUE[[#This Row],[Estoque]]&lt;TAB_ESTOQUE[[#This Row],[Mínimo]],"Estoque em Nivel Minimo")))</f>
        <v>Estoque Conforme</v>
      </c>
      <c r="AC583" s="104"/>
      <c r="AE583" s="82"/>
      <c r="AF583" s="82"/>
    </row>
    <row r="584" spans="2:32" ht="15" customHeight="1" x14ac:dyDescent="0.25">
      <c r="C584" s="48"/>
      <c r="D584" s="45" t="s">
        <v>7070</v>
      </c>
      <c r="E584" s="46" t="s">
        <v>1240</v>
      </c>
      <c r="F584" s="46"/>
      <c r="I584" s="45" t="s">
        <v>7382</v>
      </c>
      <c r="O584" s="46" t="s">
        <v>6966</v>
      </c>
      <c r="Q584" s="137">
        <f>VLOOKUP(TAB_ESTOQUE[[#This Row],[Codigo]],TAB_ENTRADA[[Cod_2_Entrada]:[TOTAL_ENTRADA]],5,FALSE)-VLOOKUP(TAB_ESTOQUE[[#This Row],[Codigo]],TAB_SAIDA[[COD_2_SAIDA]:[TOTAL_SAIDA]],5,FALSE)</f>
        <v>1</v>
      </c>
      <c r="S584" s="46"/>
      <c r="T584" s="102">
        <v>7138.7</v>
      </c>
      <c r="U584" s="103">
        <f>TAB_ESTOQUE[[#This Row],[Valor Unitario Estimado]]*TAB_ESTOQUE[[#This Row],[Estoque]]</f>
        <v>7138.7</v>
      </c>
      <c r="V584" s="103"/>
      <c r="AA584" s="138"/>
      <c r="AB584" s="104" t="str">
        <f>IF(TAB_ESTOQUE[[#This Row],[Estoque]]=0,"Estoque Não Conforme",IF(TAB_ESTOQUE[[#This Row],[Estoque]]&gt;=TAB_ESTOQUE[[#This Row],[Mínimo]],"Estoque Conforme",IF(TAB_ESTOQUE[[#This Row],[Estoque]]&lt;TAB_ESTOQUE[[#This Row],[Mínimo]],"Estoque em Nivel Minimo")))</f>
        <v>Estoque Conforme</v>
      </c>
      <c r="AC584" s="104"/>
      <c r="AE584" s="82"/>
      <c r="AF584" s="82"/>
    </row>
    <row r="585" spans="2:32" ht="15" customHeight="1" x14ac:dyDescent="0.25">
      <c r="C585" s="48"/>
      <c r="D585" s="45" t="s">
        <v>7071</v>
      </c>
      <c r="E585" s="46" t="s">
        <v>1240</v>
      </c>
      <c r="F585" s="46"/>
      <c r="I585" s="45" t="s">
        <v>7383</v>
      </c>
      <c r="O585" s="46" t="s">
        <v>6966</v>
      </c>
      <c r="Q585" s="137">
        <f>VLOOKUP(TAB_ESTOQUE[[#This Row],[Codigo]],TAB_ENTRADA[[Cod_2_Entrada]:[TOTAL_ENTRADA]],5,FALSE)-VLOOKUP(TAB_ESTOQUE[[#This Row],[Codigo]],TAB_SAIDA[[COD_2_SAIDA]:[TOTAL_SAIDA]],5,FALSE)</f>
        <v>1</v>
      </c>
      <c r="S585" s="46"/>
      <c r="T585" s="102">
        <v>3815.78</v>
      </c>
      <c r="U585" s="103">
        <f>TAB_ESTOQUE[[#This Row],[Valor Unitario Estimado]]*TAB_ESTOQUE[[#This Row],[Estoque]]</f>
        <v>3815.78</v>
      </c>
      <c r="V585" s="103"/>
      <c r="AA585" s="138"/>
      <c r="AB585" s="104" t="str">
        <f>IF(TAB_ESTOQUE[[#This Row],[Estoque]]=0,"Estoque Não Conforme",IF(TAB_ESTOQUE[[#This Row],[Estoque]]&gt;=TAB_ESTOQUE[[#This Row],[Mínimo]],"Estoque Conforme",IF(TAB_ESTOQUE[[#This Row],[Estoque]]&lt;TAB_ESTOQUE[[#This Row],[Mínimo]],"Estoque em Nivel Minimo")))</f>
        <v>Estoque Conforme</v>
      </c>
      <c r="AC585" s="104"/>
      <c r="AE585" s="82"/>
      <c r="AF585" s="82"/>
    </row>
    <row r="586" spans="2:32" ht="15" customHeight="1" x14ac:dyDescent="0.25">
      <c r="C586" s="48"/>
      <c r="D586" s="45" t="s">
        <v>7079</v>
      </c>
      <c r="E586" s="46"/>
      <c r="F586" s="46"/>
      <c r="I586" s="45" t="s">
        <v>7437</v>
      </c>
      <c r="O586" s="46" t="s">
        <v>6966</v>
      </c>
      <c r="Q586" s="137">
        <f>VLOOKUP(TAB_ESTOQUE[[#This Row],[Codigo]],TAB_ENTRADA[[Cod_2_Entrada]:[TOTAL_ENTRADA]],5,FALSE)-VLOOKUP(TAB_ESTOQUE[[#This Row],[Codigo]],TAB_SAIDA[[COD_2_SAIDA]:[TOTAL_SAIDA]],5,FALSE)</f>
        <v>3</v>
      </c>
      <c r="S586" s="46"/>
      <c r="T586" s="102">
        <v>152</v>
      </c>
      <c r="U586" s="103">
        <f>TAB_ESTOQUE[[#This Row],[Valor Unitario Estimado]]*TAB_ESTOQUE[[#This Row],[Estoque]]</f>
        <v>456</v>
      </c>
      <c r="V586" s="103"/>
      <c r="AA586" s="138"/>
      <c r="AB586" s="104" t="str">
        <f>IF(TAB_ESTOQUE[[#This Row],[Estoque]]=0,"Estoque Não Conforme",IF(TAB_ESTOQUE[[#This Row],[Estoque]]&gt;=TAB_ESTOQUE[[#This Row],[Mínimo]],"Estoque Conforme",IF(TAB_ESTOQUE[[#This Row],[Estoque]]&lt;TAB_ESTOQUE[[#This Row],[Mínimo]],"Estoque em Nivel Minimo")))</f>
        <v>Estoque Conforme</v>
      </c>
      <c r="AC586" s="104"/>
      <c r="AE586" s="82"/>
      <c r="AF586" s="82"/>
    </row>
    <row r="587" spans="2:32" ht="15" customHeight="1" x14ac:dyDescent="0.25">
      <c r="C587" s="48"/>
      <c r="D587" s="45" t="s">
        <v>7633</v>
      </c>
      <c r="E587" s="46"/>
      <c r="F587" s="46"/>
      <c r="I587" s="45" t="s">
        <v>8174</v>
      </c>
      <c r="O587" s="116" t="s">
        <v>6966</v>
      </c>
      <c r="Q587" s="137">
        <f>VLOOKUP(TAB_ESTOQUE[[#This Row],[Codigo]],TAB_ENTRADA[[Cod_2_Entrada]:[TOTAL_ENTRADA]],5,FALSE)-VLOOKUP(TAB_ESTOQUE[[#This Row],[Codigo]],TAB_SAIDA[[COD_2_SAIDA]:[TOTAL_SAIDA]],5,FALSE)</f>
        <v>1</v>
      </c>
      <c r="S587" s="46"/>
      <c r="T587" s="102"/>
      <c r="U587" s="103">
        <f>TAB_ESTOQUE[[#This Row],[Valor Unitario Estimado]]*TAB_ESTOQUE[[#This Row],[Estoque]]</f>
        <v>0</v>
      </c>
      <c r="V587" s="103"/>
      <c r="AA587" s="138"/>
      <c r="AB587" s="104" t="str">
        <f>IF(TAB_ESTOQUE[[#This Row],[Estoque]]=0,"Estoque Não Conforme",IF(TAB_ESTOQUE[[#This Row],[Estoque]]&gt;=TAB_ESTOQUE[[#This Row],[Mínimo]],"Estoque Conforme",IF(TAB_ESTOQUE[[#This Row],[Estoque]]&lt;TAB_ESTOQUE[[#This Row],[Mínimo]],"Estoque em Nivel Minimo")))</f>
        <v>Estoque Conforme</v>
      </c>
      <c r="AC587" s="104"/>
      <c r="AE587" s="82"/>
      <c r="AF587" s="82"/>
    </row>
    <row r="588" spans="2:32" ht="15" customHeight="1" x14ac:dyDescent="0.25">
      <c r="C588" s="48"/>
      <c r="D588" s="45" t="s">
        <v>7634</v>
      </c>
      <c r="E588" s="46"/>
      <c r="F588" s="46"/>
      <c r="I588" s="45" t="s">
        <v>8183</v>
      </c>
      <c r="O588" s="51" t="s">
        <v>8184</v>
      </c>
      <c r="Q588" s="137">
        <f>VLOOKUP(TAB_ESTOQUE[[#This Row],[Codigo]],TAB_ENTRADA[[Cod_2_Entrada]:[TOTAL_ENTRADA]],5,FALSE)-VLOOKUP(TAB_ESTOQUE[[#This Row],[Codigo]],TAB_SAIDA[[COD_2_SAIDA]:[TOTAL_SAIDA]],5,FALSE)</f>
        <v>1</v>
      </c>
      <c r="S588" s="46"/>
      <c r="T588" s="102"/>
      <c r="U588" s="103">
        <f>TAB_ESTOQUE[[#This Row],[Valor Unitario Estimado]]*TAB_ESTOQUE[[#This Row],[Estoque]]</f>
        <v>0</v>
      </c>
      <c r="V588" s="103"/>
      <c r="AA588" s="138"/>
      <c r="AB588" s="104" t="str">
        <f>IF(TAB_ESTOQUE[[#This Row],[Estoque]]=0,"Estoque Não Conforme",IF(TAB_ESTOQUE[[#This Row],[Estoque]]&gt;=TAB_ESTOQUE[[#This Row],[Mínimo]],"Estoque Conforme",IF(TAB_ESTOQUE[[#This Row],[Estoque]]&lt;TAB_ESTOQUE[[#This Row],[Mínimo]],"Estoque em Nivel Minimo")))</f>
        <v>Estoque Conforme</v>
      </c>
      <c r="AC588" s="104"/>
      <c r="AE588" s="82"/>
      <c r="AF588" s="82"/>
    </row>
    <row r="589" spans="2:32" ht="15" customHeight="1" x14ac:dyDescent="0.25">
      <c r="C589" s="48"/>
      <c r="D589" s="45" t="s">
        <v>7635</v>
      </c>
      <c r="E589" s="46"/>
      <c r="F589" s="46"/>
      <c r="I589" s="45" t="s">
        <v>8185</v>
      </c>
      <c r="O589" s="116" t="s">
        <v>8184</v>
      </c>
      <c r="Q589" s="137">
        <f>VLOOKUP(TAB_ESTOQUE[[#This Row],[Codigo]],TAB_ENTRADA[[Cod_2_Entrada]:[TOTAL_ENTRADA]],5,FALSE)-VLOOKUP(TAB_ESTOQUE[[#This Row],[Codigo]],TAB_SAIDA[[COD_2_SAIDA]:[TOTAL_SAIDA]],5,FALSE)</f>
        <v>1</v>
      </c>
      <c r="S589" s="46"/>
      <c r="T589" s="102"/>
      <c r="U589" s="103">
        <f>TAB_ESTOQUE[[#This Row],[Valor Unitario Estimado]]*TAB_ESTOQUE[[#This Row],[Estoque]]</f>
        <v>0</v>
      </c>
      <c r="V589" s="103"/>
      <c r="AA589" s="138"/>
      <c r="AB589" s="104" t="str">
        <f>IF(TAB_ESTOQUE[[#This Row],[Estoque]]=0,"Estoque Não Conforme",IF(TAB_ESTOQUE[[#This Row],[Estoque]]&gt;=TAB_ESTOQUE[[#This Row],[Mínimo]],"Estoque Conforme",IF(TAB_ESTOQUE[[#This Row],[Estoque]]&lt;TAB_ESTOQUE[[#This Row],[Mínimo]],"Estoque em Nivel Minimo")))</f>
        <v>Estoque Conforme</v>
      </c>
      <c r="AC589" s="104"/>
      <c r="AE589" s="82"/>
      <c r="AF589" s="82"/>
    </row>
    <row r="590" spans="2:32" ht="15" customHeight="1" x14ac:dyDescent="0.25">
      <c r="C590" s="48"/>
      <c r="D590" s="45" t="s">
        <v>7645</v>
      </c>
      <c r="E590" s="46"/>
      <c r="F590" s="46"/>
      <c r="I590" s="45" t="s">
        <v>8732</v>
      </c>
      <c r="O590" s="51" t="s">
        <v>8184</v>
      </c>
      <c r="Q590" s="137">
        <f>VLOOKUP(TAB_ESTOQUE[[#This Row],[Codigo]],TAB_ENTRADA[[Cod_2_Entrada]:[TOTAL_ENTRADA]],5,FALSE)-VLOOKUP(TAB_ESTOQUE[[#This Row],[Codigo]],TAB_SAIDA[[COD_2_SAIDA]:[TOTAL_SAIDA]],5,FALSE)</f>
        <v>1</v>
      </c>
      <c r="S590" s="46"/>
      <c r="T590" s="102"/>
      <c r="U590" s="103">
        <f>TAB_ESTOQUE[[#This Row],[Valor Unitario Estimado]]*TAB_ESTOQUE[[#This Row],[Estoque]]</f>
        <v>0</v>
      </c>
      <c r="V590" s="103"/>
      <c r="AA590" s="138"/>
      <c r="AB590" s="104" t="str">
        <f>IF(TAB_ESTOQUE[[#This Row],[Estoque]]=0,"Estoque Não Conforme",IF(TAB_ESTOQUE[[#This Row],[Estoque]]&gt;=TAB_ESTOQUE[[#This Row],[Mínimo]],"Estoque Conforme",IF(TAB_ESTOQUE[[#This Row],[Estoque]]&lt;TAB_ESTOQUE[[#This Row],[Mínimo]],"Estoque em Nivel Minimo")))</f>
        <v>Estoque Conforme</v>
      </c>
      <c r="AC590" s="104"/>
      <c r="AE590" s="82"/>
      <c r="AF590" s="82"/>
    </row>
    <row r="591" spans="2:32" ht="15" customHeight="1" x14ac:dyDescent="0.25">
      <c r="C591" s="48"/>
      <c r="D591" s="45" t="s">
        <v>7646</v>
      </c>
      <c r="E591" s="46"/>
      <c r="F591" s="46"/>
      <c r="I591" s="45" t="s">
        <v>8186</v>
      </c>
      <c r="O591" s="116" t="s">
        <v>8184</v>
      </c>
      <c r="Q591" s="137">
        <f>VLOOKUP(TAB_ESTOQUE[[#This Row],[Codigo]],TAB_ENTRADA[[Cod_2_Entrada]:[TOTAL_ENTRADA]],5,FALSE)-VLOOKUP(TAB_ESTOQUE[[#This Row],[Codigo]],TAB_SAIDA[[COD_2_SAIDA]:[TOTAL_SAIDA]],5,FALSE)</f>
        <v>1</v>
      </c>
      <c r="S591" s="46"/>
      <c r="T591" s="102"/>
      <c r="U591" s="103">
        <f>TAB_ESTOQUE[[#This Row],[Valor Unitario Estimado]]*TAB_ESTOQUE[[#This Row],[Estoque]]</f>
        <v>0</v>
      </c>
      <c r="V591" s="103"/>
      <c r="AA591" s="138"/>
      <c r="AB591" s="104" t="str">
        <f>IF(TAB_ESTOQUE[[#This Row],[Estoque]]=0,"Estoque Não Conforme",IF(TAB_ESTOQUE[[#This Row],[Estoque]]&gt;=TAB_ESTOQUE[[#This Row],[Mínimo]],"Estoque Conforme",IF(TAB_ESTOQUE[[#This Row],[Estoque]]&lt;TAB_ESTOQUE[[#This Row],[Mínimo]],"Estoque em Nivel Minimo")))</f>
        <v>Estoque Conforme</v>
      </c>
      <c r="AC591" s="104"/>
      <c r="AE591" s="82"/>
      <c r="AF591" s="82"/>
    </row>
    <row r="592" spans="2:32" ht="15" customHeight="1" x14ac:dyDescent="0.25">
      <c r="C592" s="48"/>
      <c r="D592" s="45" t="s">
        <v>7756</v>
      </c>
      <c r="E592" s="46" t="s">
        <v>8954</v>
      </c>
      <c r="F592" s="46"/>
      <c r="I592" s="45" t="s">
        <v>8955</v>
      </c>
      <c r="O592" s="46" t="s">
        <v>8960</v>
      </c>
      <c r="Q592" s="137">
        <f>VLOOKUP(TAB_ESTOQUE[[#This Row],[Codigo]],TAB_ENTRADA[[Cod_2_Entrada]:[TOTAL_ENTRADA]],5,FALSE)-VLOOKUP(TAB_ESTOQUE[[#This Row],[Codigo]],TAB_SAIDA[[COD_2_SAIDA]:[TOTAL_SAIDA]],5,FALSE)</f>
        <v>1</v>
      </c>
      <c r="S592" s="46"/>
      <c r="T592" s="102">
        <v>3804.4</v>
      </c>
      <c r="U592" s="103">
        <f>TAB_ESTOQUE[[#This Row],[Valor Unitario Estimado]]*TAB_ESTOQUE[[#This Row],[Estoque]]</f>
        <v>3804.4</v>
      </c>
      <c r="V592" s="103"/>
      <c r="AA592" s="138"/>
      <c r="AB592" s="104" t="str">
        <f>IF(TAB_ESTOQUE[[#This Row],[Estoque]]=0,"Estoque Não Conforme",IF(TAB_ESTOQUE[[#This Row],[Estoque]]&gt;=TAB_ESTOQUE[[#This Row],[Mínimo]],"Estoque Conforme",IF(TAB_ESTOQUE[[#This Row],[Estoque]]&lt;TAB_ESTOQUE[[#This Row],[Mínimo]],"Estoque em Nivel Minimo")))</f>
        <v>Estoque Conforme</v>
      </c>
      <c r="AC592" s="104"/>
      <c r="AE592" s="82"/>
      <c r="AF592" s="82"/>
    </row>
    <row r="593" spans="1:32" ht="15" customHeight="1" x14ac:dyDescent="0.25">
      <c r="C593" s="48"/>
      <c r="D593" s="45" t="s">
        <v>7757</v>
      </c>
      <c r="E593" s="46" t="s">
        <v>8954</v>
      </c>
      <c r="F593" s="46"/>
      <c r="I593" s="45" t="s">
        <v>8956</v>
      </c>
      <c r="O593" s="46" t="s">
        <v>8960</v>
      </c>
      <c r="Q593" s="137">
        <f>VLOOKUP(TAB_ESTOQUE[[#This Row],[Codigo]],TAB_ENTRADA[[Cod_2_Entrada]:[TOTAL_ENTRADA]],5,FALSE)-VLOOKUP(TAB_ESTOQUE[[#This Row],[Codigo]],TAB_SAIDA[[COD_2_SAIDA]:[TOTAL_SAIDA]],5,FALSE)</f>
        <v>1</v>
      </c>
      <c r="S593" s="46"/>
      <c r="T593" s="102">
        <v>4110.78</v>
      </c>
      <c r="U593" s="103">
        <f>TAB_ESTOQUE[[#This Row],[Valor Unitario Estimado]]*TAB_ESTOQUE[[#This Row],[Estoque]]</f>
        <v>4110.78</v>
      </c>
      <c r="V593" s="103"/>
      <c r="AA593" s="138"/>
      <c r="AB593" s="104" t="str">
        <f>IF(TAB_ESTOQUE[[#This Row],[Estoque]]=0,"Estoque Não Conforme",IF(TAB_ESTOQUE[[#This Row],[Estoque]]&gt;=TAB_ESTOQUE[[#This Row],[Mínimo]],"Estoque Conforme",IF(TAB_ESTOQUE[[#This Row],[Estoque]]&lt;TAB_ESTOQUE[[#This Row],[Mínimo]],"Estoque em Nivel Minimo")))</f>
        <v>Estoque Conforme</v>
      </c>
      <c r="AC593" s="104"/>
      <c r="AE593" s="82"/>
      <c r="AF593" s="82"/>
    </row>
    <row r="594" spans="1:32" s="213" customFormat="1" ht="15" customHeight="1" x14ac:dyDescent="0.25">
      <c r="A594" s="45"/>
      <c r="B594" s="45"/>
      <c r="C594" s="48"/>
      <c r="D594" s="45" t="s">
        <v>7758</v>
      </c>
      <c r="E594" s="46" t="s">
        <v>8954</v>
      </c>
      <c r="F594" s="46"/>
      <c r="G594" s="45"/>
      <c r="H594" s="45"/>
      <c r="I594" s="45" t="s">
        <v>8957</v>
      </c>
      <c r="J594" s="45"/>
      <c r="K594" s="45" t="s">
        <v>8046</v>
      </c>
      <c r="L594" s="45"/>
      <c r="M594" s="45"/>
      <c r="N594" s="45"/>
      <c r="O594" s="46" t="s">
        <v>8959</v>
      </c>
      <c r="P594" s="45"/>
      <c r="Q594" s="137">
        <f>VLOOKUP(TAB_ESTOQUE[[#This Row],[Codigo]],TAB_ENTRADA[[Cod_2_Entrada]:[TOTAL_ENTRADA]],5,FALSE)-VLOOKUP(TAB_ESTOQUE[[#This Row],[Codigo]],TAB_SAIDA[[COD_2_SAIDA]:[TOTAL_SAIDA]],5,FALSE)</f>
        <v>2</v>
      </c>
      <c r="R594" s="46"/>
      <c r="S594" s="46"/>
      <c r="T594" s="102">
        <v>653.5</v>
      </c>
      <c r="U594" s="103">
        <f>TAB_ESTOQUE[[#This Row],[Valor Unitario Estimado]]*TAB_ESTOQUE[[#This Row],[Estoque]]</f>
        <v>1307</v>
      </c>
      <c r="V594" s="103"/>
      <c r="W594" s="54"/>
      <c r="X594" s="54"/>
      <c r="Y594" s="54"/>
      <c r="Z594" s="54"/>
      <c r="AA594" s="138"/>
      <c r="AB594" s="104" t="str">
        <f>IF(TAB_ESTOQUE[[#This Row],[Estoque]]=0,"Estoque Não Conforme",IF(TAB_ESTOQUE[[#This Row],[Estoque]]&gt;=TAB_ESTOQUE[[#This Row],[Mínimo]],"Estoque Conforme",IF(TAB_ESTOQUE[[#This Row],[Estoque]]&lt;TAB_ESTOQUE[[#This Row],[Mínimo]],"Estoque em Nivel Minimo")))</f>
        <v>Estoque Conforme</v>
      </c>
      <c r="AC594" s="104"/>
      <c r="AD594" s="45"/>
      <c r="AE594" s="208"/>
      <c r="AF594" s="208"/>
    </row>
    <row r="595" spans="1:32" ht="15" customHeight="1" x14ac:dyDescent="0.25">
      <c r="C595" s="48"/>
      <c r="D595" s="45" t="s">
        <v>7759</v>
      </c>
      <c r="E595" s="46" t="s">
        <v>8954</v>
      </c>
      <c r="F595" s="46"/>
      <c r="I595" s="45" t="s">
        <v>8958</v>
      </c>
      <c r="O595" s="46" t="s">
        <v>8959</v>
      </c>
      <c r="Q595" s="137">
        <f>VLOOKUP(TAB_ESTOQUE[[#This Row],[Codigo]],TAB_ENTRADA[[Cod_2_Entrada]:[TOTAL_ENTRADA]],5,FALSE)-VLOOKUP(TAB_ESTOQUE[[#This Row],[Codigo]],TAB_SAIDA[[COD_2_SAIDA]:[TOTAL_SAIDA]],5,FALSE)</f>
        <v>2</v>
      </c>
      <c r="S595" s="46"/>
      <c r="T595" s="102">
        <v>250.59</v>
      </c>
      <c r="U595" s="103">
        <f>TAB_ESTOQUE[[#This Row],[Valor Unitario Estimado]]*TAB_ESTOQUE[[#This Row],[Estoque]]</f>
        <v>501.18</v>
      </c>
      <c r="V595" s="103"/>
      <c r="AA595" s="138"/>
      <c r="AB595" s="104" t="str">
        <f>IF(TAB_ESTOQUE[[#This Row],[Estoque]]=0,"Estoque Não Conforme",IF(TAB_ESTOQUE[[#This Row],[Estoque]]&gt;=TAB_ESTOQUE[[#This Row],[Mínimo]],"Estoque Conforme",IF(TAB_ESTOQUE[[#This Row],[Estoque]]&lt;TAB_ESTOQUE[[#This Row],[Mínimo]],"Estoque em Nivel Minimo")))</f>
        <v>Estoque Conforme</v>
      </c>
      <c r="AC595" s="104"/>
      <c r="AE595" s="82"/>
      <c r="AF595" s="82"/>
    </row>
    <row r="596" spans="1:32" s="106" customFormat="1" ht="15" customHeight="1" x14ac:dyDescent="0.25">
      <c r="A596" s="45"/>
      <c r="B596" s="45"/>
      <c r="C596" s="48"/>
      <c r="D596" s="45" t="s">
        <v>7704</v>
      </c>
      <c r="E596" s="46" t="s">
        <v>7185</v>
      </c>
      <c r="F596" s="46"/>
      <c r="G596" s="45"/>
      <c r="H596" s="45"/>
      <c r="I596" s="45" t="s">
        <v>8310</v>
      </c>
      <c r="J596" s="45"/>
      <c r="K596" s="45"/>
      <c r="L596" s="45"/>
      <c r="M596" s="45"/>
      <c r="N596" s="45"/>
      <c r="O596" s="46" t="s">
        <v>8312</v>
      </c>
      <c r="P596" s="45"/>
      <c r="Q596" s="137">
        <f>VLOOKUP(TAB_ESTOQUE[[#This Row],[Codigo]],TAB_ENTRADA[[Cod_2_Entrada]:[TOTAL_ENTRADA]],5,FALSE)-VLOOKUP(TAB_ESTOQUE[[#This Row],[Codigo]],TAB_SAIDA[[COD_2_SAIDA]:[TOTAL_SAIDA]],5,FALSE)</f>
        <v>2</v>
      </c>
      <c r="R596" s="46"/>
      <c r="S596" s="46"/>
      <c r="T596" s="102">
        <v>3150</v>
      </c>
      <c r="U596" s="103">
        <f>TAB_ESTOQUE[[#This Row],[Valor Unitario Estimado]]*TAB_ESTOQUE[[#This Row],[Estoque]]</f>
        <v>6300</v>
      </c>
      <c r="V596" s="103"/>
      <c r="W596" s="54"/>
      <c r="X596" s="54"/>
      <c r="Y596" s="54"/>
      <c r="Z596" s="54"/>
      <c r="AA596" s="138"/>
      <c r="AB596" s="104" t="str">
        <f>IF(TAB_ESTOQUE[[#This Row],[Estoque]]=0,"Estoque Não Conforme",IF(TAB_ESTOQUE[[#This Row],[Estoque]]&gt;=TAB_ESTOQUE[[#This Row],[Mínimo]],"Estoque Conforme",IF(TAB_ESTOQUE[[#This Row],[Estoque]]&lt;TAB_ESTOQUE[[#This Row],[Mínimo]],"Estoque em Nivel Minimo")))</f>
        <v>Estoque Conforme</v>
      </c>
      <c r="AC596" s="104"/>
      <c r="AD596" s="45"/>
      <c r="AE596" s="95"/>
      <c r="AF596" s="95"/>
    </row>
    <row r="597" spans="1:32" ht="15" customHeight="1" x14ac:dyDescent="0.25">
      <c r="C597" s="48"/>
      <c r="D597" s="45" t="s">
        <v>7707</v>
      </c>
      <c r="E597" s="46" t="s">
        <v>7258</v>
      </c>
      <c r="F597" s="46"/>
      <c r="I597" s="45" t="s">
        <v>8337</v>
      </c>
      <c r="O597" s="46" t="s">
        <v>8312</v>
      </c>
      <c r="Q597" s="137">
        <f>VLOOKUP(TAB_ESTOQUE[[#This Row],[Codigo]],TAB_ENTRADA[[Cod_2_Entrada]:[TOTAL_ENTRADA]],5,FALSE)-VLOOKUP(TAB_ESTOQUE[[#This Row],[Codigo]],TAB_SAIDA[[COD_2_SAIDA]:[TOTAL_SAIDA]],5,FALSE)</f>
        <v>2</v>
      </c>
      <c r="S597" s="46"/>
      <c r="T597" s="102">
        <v>3058.33</v>
      </c>
      <c r="U597" s="103">
        <f>TAB_ESTOQUE[[#This Row],[Valor Unitario Estimado]]*TAB_ESTOQUE[[#This Row],[Estoque]]</f>
        <v>6116.66</v>
      </c>
      <c r="V597" s="103"/>
      <c r="AA597" s="138"/>
      <c r="AB597" s="104" t="str">
        <f>IF(TAB_ESTOQUE[[#This Row],[Estoque]]=0,"Estoque Não Conforme",IF(TAB_ESTOQUE[[#This Row],[Estoque]]&gt;=TAB_ESTOQUE[[#This Row],[Mínimo]],"Estoque Conforme",IF(TAB_ESTOQUE[[#This Row],[Estoque]]&lt;TAB_ESTOQUE[[#This Row],[Mínimo]],"Estoque em Nivel Minimo")))</f>
        <v>Estoque Conforme</v>
      </c>
      <c r="AC597" s="104"/>
      <c r="AE597" s="82"/>
      <c r="AF597" s="82"/>
    </row>
    <row r="598" spans="1:32" s="106" customFormat="1" ht="15" customHeight="1" x14ac:dyDescent="0.25">
      <c r="A598" s="45"/>
      <c r="B598" s="45"/>
      <c r="C598" s="48"/>
      <c r="D598" s="45" t="s">
        <v>8056</v>
      </c>
      <c r="E598" s="46" t="s">
        <v>7345</v>
      </c>
      <c r="F598" s="46"/>
      <c r="G598" s="45"/>
      <c r="H598" s="45"/>
      <c r="I598" s="45" t="s">
        <v>9012</v>
      </c>
      <c r="J598" s="45"/>
      <c r="K598" s="45"/>
      <c r="L598" s="45"/>
      <c r="M598" s="45"/>
      <c r="N598" s="45"/>
      <c r="O598" s="46" t="s">
        <v>8312</v>
      </c>
      <c r="P598" s="45"/>
      <c r="Q598" s="137">
        <f>VLOOKUP(TAB_ESTOQUE[[#This Row],[Codigo]],TAB_ENTRADA[[Cod_2_Entrada]:[TOTAL_ENTRADA]],5,FALSE)-VLOOKUP(TAB_ESTOQUE[[#This Row],[Codigo]],TAB_SAIDA[[COD_2_SAIDA]:[TOTAL_SAIDA]],5,FALSE)</f>
        <v>1</v>
      </c>
      <c r="R598" s="46">
        <v>2</v>
      </c>
      <c r="S598" s="46">
        <v>4</v>
      </c>
      <c r="T598" s="102">
        <v>155</v>
      </c>
      <c r="U598" s="103">
        <f>TAB_ESTOQUE[[#This Row],[Valor Unitario Estimado]]*TAB_ESTOQUE[[#This Row],[Estoque]]</f>
        <v>155</v>
      </c>
      <c r="V598" s="103"/>
      <c r="W598" s="54"/>
      <c r="X598" s="54"/>
      <c r="Y598" s="54"/>
      <c r="Z598" s="54"/>
      <c r="AA598" s="138"/>
      <c r="AB598" s="104" t="str">
        <f>IF(TAB_ESTOQUE[[#This Row],[Estoque]]=0,"Estoque Não Conforme",IF(TAB_ESTOQUE[[#This Row],[Estoque]]&gt;=TAB_ESTOQUE[[#This Row],[Mínimo]],"Estoque Conforme",IF(TAB_ESTOQUE[[#This Row],[Estoque]]&lt;TAB_ESTOQUE[[#This Row],[Mínimo]],"Estoque em Nivel Minimo")))</f>
        <v>Estoque em Nivel Minimo</v>
      </c>
      <c r="AC598" s="104"/>
      <c r="AD598" s="45"/>
      <c r="AE598" s="95"/>
      <c r="AF598" s="95"/>
    </row>
    <row r="599" spans="1:32" ht="15" customHeight="1" x14ac:dyDescent="0.25">
      <c r="C599" s="48"/>
      <c r="D599" s="45" t="s">
        <v>8057</v>
      </c>
      <c r="E599" s="46" t="s">
        <v>7345</v>
      </c>
      <c r="F599" s="46"/>
      <c r="I599" s="45" t="s">
        <v>9013</v>
      </c>
      <c r="O599" s="46" t="s">
        <v>8312</v>
      </c>
      <c r="Q599" s="137">
        <f>VLOOKUP(TAB_ESTOQUE[[#This Row],[Codigo]],TAB_ENTRADA[[Cod_2_Entrada]:[TOTAL_ENTRADA]],5,FALSE)-VLOOKUP(TAB_ESTOQUE[[#This Row],[Codigo]],TAB_SAIDA[[COD_2_SAIDA]:[TOTAL_SAIDA]],5,FALSE)</f>
        <v>2</v>
      </c>
      <c r="R599" s="46">
        <v>2</v>
      </c>
      <c r="S599" s="46">
        <v>4</v>
      </c>
      <c r="T599" s="102">
        <v>180.9</v>
      </c>
      <c r="U599" s="103">
        <f>TAB_ESTOQUE[[#This Row],[Valor Unitario Estimado]]*TAB_ESTOQUE[[#This Row],[Estoque]]</f>
        <v>361.8</v>
      </c>
      <c r="V599" s="103"/>
      <c r="AA599" s="138"/>
      <c r="AB599" s="104" t="str">
        <f>IF(TAB_ESTOQUE[[#This Row],[Estoque]]=0,"Estoque Não Conforme",IF(TAB_ESTOQUE[[#This Row],[Estoque]]&gt;=TAB_ESTOQUE[[#This Row],[Mínimo]],"Estoque Conforme",IF(TAB_ESTOQUE[[#This Row],[Estoque]]&lt;TAB_ESTOQUE[[#This Row],[Mínimo]],"Estoque em Nivel Minimo")))</f>
        <v>Estoque Conforme</v>
      </c>
      <c r="AC599" s="104"/>
      <c r="AE599" s="82"/>
      <c r="AF599" s="82"/>
    </row>
    <row r="600" spans="1:32" ht="15" customHeight="1" x14ac:dyDescent="0.25">
      <c r="C600" s="48"/>
      <c r="D600" s="45" t="s">
        <v>8148</v>
      </c>
      <c r="E600" s="46" t="s">
        <v>9045</v>
      </c>
      <c r="F600" s="46"/>
      <c r="I600" s="45" t="s">
        <v>9044</v>
      </c>
      <c r="O600" s="46" t="s">
        <v>8312</v>
      </c>
      <c r="Q600" s="137">
        <f>VLOOKUP(TAB_ESTOQUE[[#This Row],[Codigo]],TAB_ENTRADA[[Cod_2_Entrada]:[TOTAL_ENTRADA]],5,FALSE)-VLOOKUP(TAB_ESTOQUE[[#This Row],[Codigo]],TAB_SAIDA[[COD_2_SAIDA]:[TOTAL_SAIDA]],5,FALSE)</f>
        <v>1</v>
      </c>
      <c r="R600" s="46">
        <v>1</v>
      </c>
      <c r="S600" s="46">
        <v>3</v>
      </c>
      <c r="T600" s="102">
        <v>5717.12</v>
      </c>
      <c r="U600" s="103">
        <f>TAB_ESTOQUE[[#This Row],[Valor Unitario Estimado]]*TAB_ESTOQUE[[#This Row],[Estoque]]</f>
        <v>5717.12</v>
      </c>
      <c r="V600" s="103"/>
      <c r="AA600" s="138"/>
      <c r="AB600" s="104" t="str">
        <f>IF(TAB_ESTOQUE[[#This Row],[Estoque]]=0,"Estoque Não Conforme",IF(TAB_ESTOQUE[[#This Row],[Estoque]]&gt;=TAB_ESTOQUE[[#This Row],[Mínimo]],"Estoque Conforme",IF(TAB_ESTOQUE[[#This Row],[Estoque]]&lt;TAB_ESTOQUE[[#This Row],[Mínimo]],"Estoque em Nivel Minimo")))</f>
        <v>Estoque Conforme</v>
      </c>
      <c r="AC600" s="104"/>
      <c r="AE600" s="82"/>
      <c r="AF600" s="82"/>
    </row>
    <row r="601" spans="1:32" ht="15" customHeight="1" x14ac:dyDescent="0.25">
      <c r="C601" s="53" t="s">
        <v>2842</v>
      </c>
      <c r="D601" s="45" t="s">
        <v>6802</v>
      </c>
      <c r="E601" s="46"/>
      <c r="F601" s="46"/>
      <c r="I601" s="45" t="s">
        <v>8187</v>
      </c>
      <c r="O601" s="46" t="s">
        <v>7040</v>
      </c>
      <c r="Q601" s="83">
        <f>VLOOKUP(TAB_ESTOQUE[[#This Row],[Codigo]],TAB_ENTRADA[[Cod_2_Entrada]:[TOTAL_ENTRADA]],5,FALSE)-VLOOKUP(TAB_ESTOQUE[[#This Row],[Codigo]],TAB_SAIDA[[COD_2_SAIDA]:[TOTAL_SAIDA]],5,FALSE)</f>
        <v>3</v>
      </c>
      <c r="S601" s="46"/>
      <c r="T601" s="102"/>
      <c r="U601" s="103">
        <f>TAB_ESTOQUE[[#This Row],[Valor Unitario Estimado]]*TAB_ESTOQUE[[#This Row],[Estoque]]</f>
        <v>0</v>
      </c>
      <c r="V601" s="103"/>
      <c r="AB601" s="104" t="str">
        <f>IF(TAB_ESTOQUE[[#This Row],[Estoque]]=0,"Estoque Não Conforme",IF(TAB_ESTOQUE[[#This Row],[Estoque]]&gt;=TAB_ESTOQUE[[#This Row],[Mínimo]],"Estoque Conforme",IF(TAB_ESTOQUE[[#This Row],[Estoque]]&lt;TAB_ESTOQUE[[#This Row],[Mínimo]],"Estoque em Nivel Minimo")))</f>
        <v>Estoque Conforme</v>
      </c>
      <c r="AC601" s="104"/>
      <c r="AE601" s="82"/>
      <c r="AF601" s="82"/>
    </row>
    <row r="602" spans="1:32" ht="15" customHeight="1" x14ac:dyDescent="0.25">
      <c r="A602" s="45">
        <v>569</v>
      </c>
      <c r="B602" s="47"/>
      <c r="C602" s="46"/>
      <c r="D602" s="45" t="s">
        <v>2000</v>
      </c>
      <c r="E602" s="46" t="s">
        <v>7</v>
      </c>
      <c r="F602" s="87"/>
      <c r="G602" s="82"/>
      <c r="H602" s="82"/>
      <c r="I602" s="82" t="s">
        <v>8188</v>
      </c>
      <c r="J602" s="82"/>
      <c r="K602" s="82"/>
      <c r="L602" s="82"/>
      <c r="M602" s="82"/>
      <c r="N602" s="82"/>
      <c r="O602" s="87" t="s">
        <v>8189</v>
      </c>
      <c r="P602" s="82" t="s">
        <v>345</v>
      </c>
      <c r="Q602" s="83">
        <f>VLOOKUP(TAB_ESTOQUE[[#This Row],[Codigo]],TAB_ENTRADA[[Cod_2_Entrada]:[TOTAL_ENTRADA]],5,FALSE)-VLOOKUP(TAB_ESTOQUE[[#This Row],[Codigo]],TAB_SAIDA[[COD_2_SAIDA]:[TOTAL_SAIDA]],5,FALSE)</f>
        <v>10</v>
      </c>
      <c r="R602" s="87"/>
      <c r="S602" s="87"/>
      <c r="T602" s="90"/>
      <c r="U602" s="91">
        <f>TAB_ESTOQUE[[#This Row],[Valor Unitario Estimado]]*TAB_ESTOQUE[[#This Row],[Estoque]]</f>
        <v>0</v>
      </c>
      <c r="V602" s="91"/>
      <c r="W602" s="85"/>
      <c r="X602" s="85"/>
      <c r="Y602" s="85"/>
      <c r="Z602" s="85"/>
      <c r="AA602" s="85"/>
      <c r="AB602" s="85" t="str">
        <f>IF(TAB_ESTOQUE[[#This Row],[Estoque]]=0,"Estoque Não Conforme",IF(TAB_ESTOQUE[[#This Row],[Estoque]]&gt;=TAB_ESTOQUE[[#This Row],[Mínimo]],"Estoque Conforme",IF(TAB_ESTOQUE[[#This Row],[Estoque]]&lt;TAB_ESTOQUE[[#This Row],[Mínimo]],"Estoque em Nivel Minimo")))</f>
        <v>Estoque Conforme</v>
      </c>
      <c r="AC602" s="85"/>
      <c r="AD602" s="82"/>
      <c r="AE602" s="82"/>
      <c r="AF602" s="82"/>
    </row>
    <row r="603" spans="1:32" ht="15" customHeight="1" x14ac:dyDescent="0.25">
      <c r="A603" s="45">
        <v>141</v>
      </c>
      <c r="B603" s="47"/>
      <c r="C603" s="46" t="s">
        <v>2833</v>
      </c>
      <c r="D603" s="45" t="s">
        <v>1976</v>
      </c>
      <c r="E603" s="46" t="s">
        <v>7</v>
      </c>
      <c r="F603" s="87"/>
      <c r="G603" s="82"/>
      <c r="H603" s="82"/>
      <c r="I603" s="82" t="s">
        <v>1511</v>
      </c>
      <c r="J603" s="82"/>
      <c r="K603" s="82"/>
      <c r="L603" s="82"/>
      <c r="M603" s="82"/>
      <c r="N603" s="82"/>
      <c r="O603" s="87" t="s">
        <v>7038</v>
      </c>
      <c r="P603" s="82" t="s">
        <v>88</v>
      </c>
      <c r="Q603" s="83">
        <f>VLOOKUP(TAB_ESTOQUE[[#This Row],[Codigo]],TAB_ENTRADA[[Cod_2_Entrada]:[TOTAL_ENTRADA]],5,FALSE)-VLOOKUP(TAB_ESTOQUE[[#This Row],[Codigo]],TAB_SAIDA[[COD_2_SAIDA]:[TOTAL_SAIDA]],5,FALSE)</f>
        <v>0</v>
      </c>
      <c r="R603" s="87"/>
      <c r="S603" s="87"/>
      <c r="T603" s="90"/>
      <c r="U603" s="91">
        <f>TAB_ESTOQUE[[#This Row],[Valor Unitario Estimado]]*TAB_ESTOQUE[[#This Row],[Estoque]]</f>
        <v>0</v>
      </c>
      <c r="V603" s="91"/>
      <c r="W603" s="85"/>
      <c r="X603" s="85"/>
      <c r="Y603" s="85"/>
      <c r="Z603" s="85"/>
      <c r="AA603" s="85"/>
      <c r="AB603" s="85" t="str">
        <f>IF(TAB_ESTOQUE[[#This Row],[Estoque]]=0,"Estoque Não Conforme",IF(TAB_ESTOQUE[[#This Row],[Estoque]]&gt;=TAB_ESTOQUE[[#This Row],[Mínimo]],"Estoque Conforme",IF(TAB_ESTOQUE[[#This Row],[Estoque]]&lt;TAB_ESTOQUE[[#This Row],[Mínimo]],"Estoque em Nivel Minimo")))</f>
        <v>Estoque Não Conforme</v>
      </c>
      <c r="AC603" s="85"/>
      <c r="AD603" s="82"/>
      <c r="AE603" s="82"/>
      <c r="AF603" s="82"/>
    </row>
    <row r="604" spans="1:32" ht="15" customHeight="1" x14ac:dyDescent="0.25">
      <c r="A604" s="45">
        <v>568</v>
      </c>
      <c r="B604" s="47"/>
      <c r="C604" s="46"/>
      <c r="D604" s="45" t="s">
        <v>1999</v>
      </c>
      <c r="E604" s="46" t="s">
        <v>7</v>
      </c>
      <c r="F604" s="87"/>
      <c r="G604" s="82"/>
      <c r="H604" s="82"/>
      <c r="I604" s="82" t="s">
        <v>1514</v>
      </c>
      <c r="J604" s="82"/>
      <c r="K604" s="82"/>
      <c r="L604" s="82"/>
      <c r="M604" s="82"/>
      <c r="N604" s="82"/>
      <c r="O604" s="87" t="s">
        <v>7038</v>
      </c>
      <c r="P604" s="82" t="s">
        <v>344</v>
      </c>
      <c r="Q604" s="83">
        <f>VLOOKUP(TAB_ESTOQUE[[#This Row],[Codigo]],TAB_ENTRADA[[Cod_2_Entrada]:[TOTAL_ENTRADA]],5,FALSE)-VLOOKUP(TAB_ESTOQUE[[#This Row],[Codigo]],TAB_SAIDA[[COD_2_SAIDA]:[TOTAL_SAIDA]],5,FALSE)</f>
        <v>0</v>
      </c>
      <c r="R604" s="87"/>
      <c r="S604" s="87"/>
      <c r="T604" s="90"/>
      <c r="U604" s="91">
        <f>TAB_ESTOQUE[[#This Row],[Valor Unitario Estimado]]*TAB_ESTOQUE[[#This Row],[Estoque]]</f>
        <v>0</v>
      </c>
      <c r="V604" s="91"/>
      <c r="W604" s="85"/>
      <c r="X604" s="85"/>
      <c r="Y604" s="85"/>
      <c r="Z604" s="85"/>
      <c r="AA604" s="85"/>
      <c r="AB604" s="85" t="str">
        <f>IF(TAB_ESTOQUE[[#This Row],[Estoque]]=0,"Estoque Não Conforme",IF(TAB_ESTOQUE[[#This Row],[Estoque]]&gt;=TAB_ESTOQUE[[#This Row],[Mínimo]],"Estoque Conforme",IF(TAB_ESTOQUE[[#This Row],[Estoque]]&lt;TAB_ESTOQUE[[#This Row],[Mínimo]],"Estoque em Nivel Minimo")))</f>
        <v>Estoque Não Conforme</v>
      </c>
      <c r="AC604" s="85"/>
      <c r="AD604" s="82"/>
      <c r="AE604" s="82"/>
      <c r="AF604" s="82"/>
    </row>
    <row r="605" spans="1:32" ht="15" customHeight="1" x14ac:dyDescent="0.25">
      <c r="A605" s="45">
        <v>1255</v>
      </c>
      <c r="B605" s="47"/>
      <c r="C605" s="46"/>
      <c r="D605" s="45" t="s">
        <v>2001</v>
      </c>
      <c r="E605" s="46" t="s">
        <v>7</v>
      </c>
      <c r="F605" s="87"/>
      <c r="G605" s="82"/>
      <c r="H605" s="82"/>
      <c r="I605" s="82" t="s">
        <v>1516</v>
      </c>
      <c r="J605" s="82"/>
      <c r="K605" s="82"/>
      <c r="L605" s="82"/>
      <c r="M605" s="82"/>
      <c r="N605" s="82"/>
      <c r="O605" s="87" t="s">
        <v>7038</v>
      </c>
      <c r="P605" s="82" t="s">
        <v>976</v>
      </c>
      <c r="Q605" s="83">
        <f>VLOOKUP(TAB_ESTOQUE[[#This Row],[Codigo]],TAB_ENTRADA[[Cod_2_Entrada]:[TOTAL_ENTRADA]],5,FALSE)-VLOOKUP(TAB_ESTOQUE[[#This Row],[Codigo]],TAB_SAIDA[[COD_2_SAIDA]:[TOTAL_SAIDA]],5,FALSE)</f>
        <v>0</v>
      </c>
      <c r="R605" s="87"/>
      <c r="S605" s="87"/>
      <c r="T605" s="90"/>
      <c r="U605" s="91">
        <f>TAB_ESTOQUE[[#This Row],[Valor Unitario Estimado]]*TAB_ESTOQUE[[#This Row],[Estoque]]</f>
        <v>0</v>
      </c>
      <c r="V605" s="91"/>
      <c r="W605" s="85"/>
      <c r="X605" s="85"/>
      <c r="Y605" s="85"/>
      <c r="Z605" s="85"/>
      <c r="AA605" s="85"/>
      <c r="AB605" s="85" t="str">
        <f>IF(TAB_ESTOQUE[[#This Row],[Estoque]]=0,"Estoque Não Conforme",IF(TAB_ESTOQUE[[#This Row],[Estoque]]&gt;=TAB_ESTOQUE[[#This Row],[Mínimo]],"Estoque Conforme",IF(TAB_ESTOQUE[[#This Row],[Estoque]]&lt;TAB_ESTOQUE[[#This Row],[Mínimo]],"Estoque em Nivel Minimo")))</f>
        <v>Estoque Não Conforme</v>
      </c>
      <c r="AC605" s="85"/>
      <c r="AD605" s="82"/>
      <c r="AE605" s="82"/>
      <c r="AF605" s="82"/>
    </row>
    <row r="606" spans="1:32" ht="15" customHeight="1" x14ac:dyDescent="0.25">
      <c r="A606" s="45">
        <v>994</v>
      </c>
      <c r="B606" s="47"/>
      <c r="C606" s="46"/>
      <c r="D606" s="45" t="s">
        <v>2002</v>
      </c>
      <c r="E606" s="46" t="s">
        <v>7</v>
      </c>
      <c r="F606" s="87"/>
      <c r="G606" s="82"/>
      <c r="H606" s="82"/>
      <c r="I606" s="82" t="s">
        <v>1407</v>
      </c>
      <c r="J606" s="82"/>
      <c r="K606" s="82"/>
      <c r="L606" s="82"/>
      <c r="M606" s="82"/>
      <c r="N606" s="82"/>
      <c r="O606" s="87" t="s">
        <v>7038</v>
      </c>
      <c r="P606" s="82" t="s">
        <v>764</v>
      </c>
      <c r="Q606" s="83">
        <f>VLOOKUP(TAB_ESTOQUE[[#This Row],[Codigo]],TAB_ENTRADA[[Cod_2_Entrada]:[TOTAL_ENTRADA]],5,FALSE)-VLOOKUP(TAB_ESTOQUE[[#This Row],[Codigo]],TAB_SAIDA[[COD_2_SAIDA]:[TOTAL_SAIDA]],5,FALSE)</f>
        <v>0</v>
      </c>
      <c r="R606" s="87"/>
      <c r="S606" s="87"/>
      <c r="T606" s="90"/>
      <c r="U606" s="91">
        <f>TAB_ESTOQUE[[#This Row],[Valor Unitario Estimado]]*TAB_ESTOQUE[[#This Row],[Estoque]]</f>
        <v>0</v>
      </c>
      <c r="V606" s="91"/>
      <c r="W606" s="85"/>
      <c r="X606" s="85"/>
      <c r="Y606" s="85"/>
      <c r="Z606" s="85"/>
      <c r="AA606" s="85"/>
      <c r="AB606" s="85" t="str">
        <f>IF(TAB_ESTOQUE[[#This Row],[Estoque]]=0,"Estoque Não Conforme",IF(TAB_ESTOQUE[[#This Row],[Estoque]]&gt;=TAB_ESTOQUE[[#This Row],[Mínimo]],"Estoque Conforme",IF(TAB_ESTOQUE[[#This Row],[Estoque]]&lt;TAB_ESTOQUE[[#This Row],[Mínimo]],"Estoque em Nivel Minimo")))</f>
        <v>Estoque Não Conforme</v>
      </c>
      <c r="AC606" s="85"/>
      <c r="AD606" s="82"/>
      <c r="AE606" s="82"/>
      <c r="AF606" s="82"/>
    </row>
    <row r="607" spans="1:32" ht="15" customHeight="1" x14ac:dyDescent="0.25">
      <c r="C607" s="48"/>
      <c r="D607" s="45" t="s">
        <v>7703</v>
      </c>
      <c r="E607" s="46"/>
      <c r="F607" s="46"/>
      <c r="I607" s="45" t="s">
        <v>8307</v>
      </c>
      <c r="O607" s="46" t="s">
        <v>8311</v>
      </c>
      <c r="Q607" s="137">
        <f>VLOOKUP(TAB_ESTOQUE[[#This Row],[Codigo]],TAB_ENTRADA[[Cod_2_Entrada]:[TOTAL_ENTRADA]],5,FALSE)-VLOOKUP(TAB_ESTOQUE[[#This Row],[Codigo]],TAB_SAIDA[[COD_2_SAIDA]:[TOTAL_SAIDA]],5,FALSE)</f>
        <v>100</v>
      </c>
      <c r="S607" s="46"/>
      <c r="T607" s="102">
        <v>16.5</v>
      </c>
      <c r="U607" s="103">
        <f>TAB_ESTOQUE[[#This Row],[Valor Unitario Estimado]]*TAB_ESTOQUE[[#This Row],[Estoque]]</f>
        <v>1650</v>
      </c>
      <c r="V607" s="103"/>
      <c r="AA607" s="138"/>
      <c r="AB607" s="104" t="str">
        <f>IF(TAB_ESTOQUE[[#This Row],[Estoque]]=0,"Estoque Não Conforme",IF(TAB_ESTOQUE[[#This Row],[Estoque]]&gt;=TAB_ESTOQUE[[#This Row],[Mínimo]],"Estoque Conforme",IF(TAB_ESTOQUE[[#This Row],[Estoque]]&lt;TAB_ESTOQUE[[#This Row],[Mínimo]],"Estoque em Nivel Minimo")))</f>
        <v>Estoque Conforme</v>
      </c>
      <c r="AC607" s="104"/>
      <c r="AE607" s="82"/>
      <c r="AF607" s="82"/>
    </row>
    <row r="608" spans="1:32" ht="15" customHeight="1" x14ac:dyDescent="0.25">
      <c r="A608" s="45">
        <v>890</v>
      </c>
      <c r="B608" s="47"/>
      <c r="C608" s="51" t="s">
        <v>2833</v>
      </c>
      <c r="D608" s="45" t="s">
        <v>1734</v>
      </c>
      <c r="E608" s="46" t="s">
        <v>7</v>
      </c>
      <c r="F608" s="87"/>
      <c r="G608" s="82"/>
      <c r="H608" s="82"/>
      <c r="I608" s="82" t="s">
        <v>2783</v>
      </c>
      <c r="J608" s="82"/>
      <c r="K608" s="82"/>
      <c r="L608" s="82"/>
      <c r="M608" s="82"/>
      <c r="N608" s="82"/>
      <c r="O608" s="87" t="s">
        <v>7039</v>
      </c>
      <c r="P608" s="82" t="s">
        <v>1436</v>
      </c>
      <c r="Q608" s="83">
        <f>VLOOKUP(TAB_ESTOQUE[[#This Row],[Codigo]],TAB_ENTRADA[[Cod_2_Entrada]:[TOTAL_ENTRADA]],5,FALSE)-VLOOKUP(TAB_ESTOQUE[[#This Row],[Codigo]],TAB_SAIDA[[COD_2_SAIDA]:[TOTAL_SAIDA]],5,FALSE)</f>
        <v>0</v>
      </c>
      <c r="R608" s="87"/>
      <c r="S608" s="87"/>
      <c r="T608" s="90">
        <v>500</v>
      </c>
      <c r="U608" s="91">
        <f>TAB_ESTOQUE[[#This Row],[Valor Unitario Estimado]]*TAB_ESTOQUE[[#This Row],[Estoque]]</f>
        <v>0</v>
      </c>
      <c r="V608" s="91"/>
      <c r="W608" s="85"/>
      <c r="X608" s="85"/>
      <c r="Y608" s="85"/>
      <c r="Z608" s="85"/>
      <c r="AA608" s="85"/>
      <c r="AB608" s="85" t="str">
        <f>IF(TAB_ESTOQUE[[#This Row],[Estoque]]=0,"Estoque Não Conforme",IF(TAB_ESTOQUE[[#This Row],[Estoque]]&gt;=TAB_ESTOQUE[[#This Row],[Mínimo]],"Estoque Conforme",IF(TAB_ESTOQUE[[#This Row],[Estoque]]&lt;TAB_ESTOQUE[[#This Row],[Mínimo]],"Estoque em Nivel Minimo")))</f>
        <v>Estoque Não Conforme</v>
      </c>
      <c r="AC608" s="85"/>
      <c r="AD608" s="82"/>
      <c r="AE608" s="82"/>
      <c r="AF608" s="82"/>
    </row>
    <row r="609" spans="1:32" ht="15" customHeight="1" x14ac:dyDescent="0.25">
      <c r="A609" s="106">
        <v>85</v>
      </c>
      <c r="B609" s="106"/>
      <c r="C609" s="116" t="s">
        <v>2838</v>
      </c>
      <c r="D609" s="106" t="s">
        <v>1735</v>
      </c>
      <c r="E609" s="116" t="s">
        <v>7</v>
      </c>
      <c r="F609" s="118"/>
      <c r="G609" s="95"/>
      <c r="H609" s="95"/>
      <c r="I609" s="95" t="s">
        <v>6995</v>
      </c>
      <c r="J609" s="95"/>
      <c r="K609" s="95"/>
      <c r="L609" s="95"/>
      <c r="M609" s="95"/>
      <c r="N609" s="95"/>
      <c r="O609" s="118" t="s">
        <v>7039</v>
      </c>
      <c r="P609" s="95" t="s">
        <v>54</v>
      </c>
      <c r="Q609" s="154">
        <f>VLOOKUP(TAB_ESTOQUE[[#This Row],[Codigo]],TAB_ENTRADA[[Cod_2_Entrada]:[TOTAL_ENTRADA]],5,FALSE)-VLOOKUP(TAB_ESTOQUE[[#This Row],[Codigo]],TAB_SAIDA[[COD_2_SAIDA]:[TOTAL_SAIDA]],5,FALSE)</f>
        <v>0</v>
      </c>
      <c r="R609" s="118"/>
      <c r="S609" s="118"/>
      <c r="T609" s="119">
        <v>480.6</v>
      </c>
      <c r="U609" s="112">
        <f>TAB_ESTOQUE[[#This Row],[Valor Unitario Estimado]]*TAB_ESTOQUE[[#This Row],[Estoque]]</f>
        <v>0</v>
      </c>
      <c r="V609" s="112"/>
      <c r="W609" s="120"/>
      <c r="X609" s="120"/>
      <c r="Y609" s="120"/>
      <c r="Z609" s="120"/>
      <c r="AA609" s="120"/>
      <c r="AB609" s="120" t="str">
        <f>IF(TAB_ESTOQUE[[#This Row],[Estoque]]=0,"Estoque Não Conforme",IF(TAB_ESTOQUE[[#This Row],[Estoque]]&gt;=TAB_ESTOQUE[[#This Row],[Mínimo]],"Estoque Conforme",IF(TAB_ESTOQUE[[#This Row],[Estoque]]&lt;TAB_ESTOQUE[[#This Row],[Mínimo]],"Estoque em Nivel Minimo")))</f>
        <v>Estoque Não Conforme</v>
      </c>
      <c r="AC609" s="120"/>
      <c r="AD609" s="95"/>
      <c r="AE609" s="82"/>
      <c r="AF609" s="82"/>
    </row>
    <row r="610" spans="1:32" ht="15" customHeight="1" x14ac:dyDescent="0.25">
      <c r="A610" s="47">
        <v>87</v>
      </c>
      <c r="B610" s="47"/>
      <c r="C610" s="116" t="s">
        <v>2838</v>
      </c>
      <c r="D610" s="47" t="s">
        <v>1736</v>
      </c>
      <c r="E610" s="51" t="s">
        <v>7</v>
      </c>
      <c r="F610" s="107"/>
      <c r="G610" s="94"/>
      <c r="H610" s="94"/>
      <c r="I610" s="94" t="s">
        <v>2784</v>
      </c>
      <c r="J610" s="94"/>
      <c r="K610" s="94"/>
      <c r="L610" s="94"/>
      <c r="M610" s="94"/>
      <c r="N610" s="94"/>
      <c r="O610" s="107" t="s">
        <v>7039</v>
      </c>
      <c r="P610" s="94" t="s">
        <v>54</v>
      </c>
      <c r="Q610" s="145">
        <f>VLOOKUP(TAB_ESTOQUE[[#This Row],[Codigo]],TAB_ENTRADA[[Cod_2_Entrada]:[TOTAL_ENTRADA]],5,FALSE)-VLOOKUP(TAB_ESTOQUE[[#This Row],[Codigo]],TAB_SAIDA[[COD_2_SAIDA]:[TOTAL_SAIDA]],5,FALSE)</f>
        <v>0</v>
      </c>
      <c r="R610" s="107"/>
      <c r="S610" s="107"/>
      <c r="T610" s="108">
        <v>480</v>
      </c>
      <c r="U610" s="109">
        <f>TAB_ESTOQUE[[#This Row],[Valor Unitario Estimado]]*TAB_ESTOQUE[[#This Row],[Estoque]]</f>
        <v>0</v>
      </c>
      <c r="V610" s="109"/>
      <c r="W610" s="110"/>
      <c r="X610" s="110"/>
      <c r="Y610" s="110"/>
      <c r="Z610" s="110"/>
      <c r="AA610" s="110"/>
      <c r="AB610" s="110" t="str">
        <f>IF(TAB_ESTOQUE[[#This Row],[Estoque]]=0,"Estoque Não Conforme",IF(TAB_ESTOQUE[[#This Row],[Estoque]]&gt;=TAB_ESTOQUE[[#This Row],[Mínimo]],"Estoque Conforme",IF(TAB_ESTOQUE[[#This Row],[Estoque]]&lt;TAB_ESTOQUE[[#This Row],[Mínimo]],"Estoque em Nivel Minimo")))</f>
        <v>Estoque Não Conforme</v>
      </c>
      <c r="AC610" s="110"/>
      <c r="AD610" s="95"/>
      <c r="AE610" s="82"/>
      <c r="AF610" s="82"/>
    </row>
    <row r="611" spans="1:32" s="47" customFormat="1" ht="15" customHeight="1" x14ac:dyDescent="0.25">
      <c r="A611" s="45">
        <v>142</v>
      </c>
      <c r="C611" s="46"/>
      <c r="D611" s="45" t="s">
        <v>1977</v>
      </c>
      <c r="E611" s="46" t="s">
        <v>7</v>
      </c>
      <c r="F611" s="87"/>
      <c r="G611" s="82"/>
      <c r="H611" s="82"/>
      <c r="I611" s="82" t="s">
        <v>1512</v>
      </c>
      <c r="J611" s="82"/>
      <c r="K611" s="82" t="s">
        <v>15</v>
      </c>
      <c r="L611" s="82"/>
      <c r="M611" s="82" t="s">
        <v>8</v>
      </c>
      <c r="N611" s="82"/>
      <c r="O611" s="87" t="s">
        <v>7039</v>
      </c>
      <c r="P611" s="82" t="s">
        <v>89</v>
      </c>
      <c r="Q611" s="83">
        <f>VLOOKUP(TAB_ESTOQUE[[#This Row],[Codigo]],TAB_ENTRADA[[Cod_2_Entrada]:[TOTAL_ENTRADA]],5,FALSE)-VLOOKUP(TAB_ESTOQUE[[#This Row],[Codigo]],TAB_SAIDA[[COD_2_SAIDA]:[TOTAL_SAIDA]],5,FALSE)</f>
        <v>0</v>
      </c>
      <c r="R611" s="87"/>
      <c r="S611" s="87"/>
      <c r="T611" s="90"/>
      <c r="U611" s="91">
        <f>TAB_ESTOQUE[[#This Row],[Valor Unitario Estimado]]*TAB_ESTOQUE[[#This Row],[Estoque]]</f>
        <v>0</v>
      </c>
      <c r="V611" s="91"/>
      <c r="W611" s="85"/>
      <c r="X611" s="85"/>
      <c r="Y611" s="85"/>
      <c r="Z611" s="85"/>
      <c r="AA611" s="85"/>
      <c r="AB611" s="85" t="str">
        <f>IF(TAB_ESTOQUE[[#This Row],[Estoque]]=0,"Estoque Não Conforme",IF(TAB_ESTOQUE[[#This Row],[Estoque]]&gt;=TAB_ESTOQUE[[#This Row],[Mínimo]],"Estoque Conforme",IF(TAB_ESTOQUE[[#This Row],[Estoque]]&lt;TAB_ESTOQUE[[#This Row],[Mínimo]],"Estoque em Nivel Minimo")))</f>
        <v>Estoque Não Conforme</v>
      </c>
      <c r="AC611" s="85"/>
      <c r="AD611" s="82"/>
      <c r="AE611" s="94"/>
      <c r="AF611" s="94"/>
    </row>
    <row r="612" spans="1:32" s="106" customFormat="1" ht="15" customHeight="1" x14ac:dyDescent="0.25">
      <c r="A612" s="45">
        <v>144</v>
      </c>
      <c r="B612" s="47"/>
      <c r="C612" s="46" t="s">
        <v>2833</v>
      </c>
      <c r="D612" s="45" t="s">
        <v>1978</v>
      </c>
      <c r="E612" s="46" t="s">
        <v>7</v>
      </c>
      <c r="F612" s="87"/>
      <c r="G612" s="82"/>
      <c r="H612" s="82"/>
      <c r="I612" s="82" t="s">
        <v>8190</v>
      </c>
      <c r="J612" s="82"/>
      <c r="K612" s="82"/>
      <c r="L612" s="82"/>
      <c r="M612" s="82"/>
      <c r="N612" s="82"/>
      <c r="O612" s="87" t="s">
        <v>7039</v>
      </c>
      <c r="P612" s="82" t="s">
        <v>91</v>
      </c>
      <c r="Q612" s="83">
        <f>VLOOKUP(TAB_ESTOQUE[[#This Row],[Codigo]],TAB_ENTRADA[[Cod_2_Entrada]:[TOTAL_ENTRADA]],5,FALSE)-VLOOKUP(TAB_ESTOQUE[[#This Row],[Codigo]],TAB_SAIDA[[COD_2_SAIDA]:[TOTAL_SAIDA]],5,FALSE)</f>
        <v>0</v>
      </c>
      <c r="R612" s="87"/>
      <c r="S612" s="87"/>
      <c r="T612" s="90"/>
      <c r="U612" s="91">
        <f>TAB_ESTOQUE[[#This Row],[Valor Unitario Estimado]]*TAB_ESTOQUE[[#This Row],[Estoque]]</f>
        <v>0</v>
      </c>
      <c r="V612" s="91"/>
      <c r="W612" s="85"/>
      <c r="X612" s="85"/>
      <c r="Y612" s="85"/>
      <c r="Z612" s="85"/>
      <c r="AA612" s="85"/>
      <c r="AB612" s="85" t="str">
        <f>IF(TAB_ESTOQUE[[#This Row],[Estoque]]=0,"Estoque Não Conforme",IF(TAB_ESTOQUE[[#This Row],[Estoque]]&gt;=TAB_ESTOQUE[[#This Row],[Mínimo]],"Estoque Conforme",IF(TAB_ESTOQUE[[#This Row],[Estoque]]&lt;TAB_ESTOQUE[[#This Row],[Mínimo]],"Estoque em Nivel Minimo")))</f>
        <v>Estoque Não Conforme</v>
      </c>
      <c r="AC612" s="85"/>
      <c r="AD612" s="82"/>
      <c r="AE612" s="95"/>
      <c r="AF612" s="95"/>
    </row>
    <row r="613" spans="1:32" s="47" customFormat="1" ht="15" customHeight="1" x14ac:dyDescent="0.25">
      <c r="A613" s="45"/>
      <c r="C613" s="46"/>
      <c r="D613" s="45" t="s">
        <v>2719</v>
      </c>
      <c r="E613" s="46" t="s">
        <v>130</v>
      </c>
      <c r="F613" s="87"/>
      <c r="G613" s="82"/>
      <c r="H613" s="82"/>
      <c r="I613" s="82" t="s">
        <v>6699</v>
      </c>
      <c r="J613" s="82"/>
      <c r="K613" s="82"/>
      <c r="L613" s="82"/>
      <c r="M613" s="82"/>
      <c r="N613" s="82"/>
      <c r="O613" s="87" t="s">
        <v>8000</v>
      </c>
      <c r="P613" s="82" t="s">
        <v>1318</v>
      </c>
      <c r="Q613" s="83">
        <f>VLOOKUP(TAB_ESTOQUE[[#This Row],[Codigo]],TAB_ENTRADA[[Cod_2_Entrada]:[TOTAL_ENTRADA]],5,FALSE)-VLOOKUP(TAB_ESTOQUE[[#This Row],[Codigo]],TAB_SAIDA[[COD_2_SAIDA]:[TOTAL_SAIDA]],5,FALSE)</f>
        <v>1</v>
      </c>
      <c r="R613" s="87"/>
      <c r="S613" s="87"/>
      <c r="T613" s="90">
        <v>4800</v>
      </c>
      <c r="U613" s="91">
        <f>TAB_ESTOQUE[[#This Row],[Valor Unitario Estimado]]*TAB_ESTOQUE[[#This Row],[Estoque]]</f>
        <v>4800</v>
      </c>
      <c r="V613" s="91"/>
      <c r="W613" s="85"/>
      <c r="X613" s="85"/>
      <c r="Y613" s="85"/>
      <c r="Z613" s="85"/>
      <c r="AA613" s="85"/>
      <c r="AB613" s="96" t="str">
        <f>IF(TAB_ESTOQUE[[#This Row],[Estoque]]=0,"Estoque Não Conforme",IF(TAB_ESTOQUE[[#This Row],[Estoque]]&gt;=TAB_ESTOQUE[[#This Row],[Mínimo]],"Estoque Conforme",IF(TAB_ESTOQUE[[#This Row],[Estoque]]&lt;TAB_ESTOQUE[[#This Row],[Mínimo]],"Estoque em Nivel Minimo")))</f>
        <v>Estoque Conforme</v>
      </c>
      <c r="AC613" s="85"/>
      <c r="AD613" s="82"/>
      <c r="AE613" s="94"/>
      <c r="AF613" s="94"/>
    </row>
    <row r="614" spans="1:32" s="106" customFormat="1" ht="15" customHeight="1" x14ac:dyDescent="0.25">
      <c r="A614" s="45"/>
      <c r="B614" s="47"/>
      <c r="C614" s="46"/>
      <c r="D614" s="45" t="s">
        <v>2720</v>
      </c>
      <c r="E614" s="46" t="s">
        <v>135</v>
      </c>
      <c r="F614" s="87"/>
      <c r="G614" s="82"/>
      <c r="H614" s="82"/>
      <c r="I614" s="82" t="s">
        <v>3689</v>
      </c>
      <c r="J614" s="82"/>
      <c r="K614" s="82"/>
      <c r="L614" s="82"/>
      <c r="M614" s="82"/>
      <c r="N614" s="82"/>
      <c r="O614" s="87" t="s">
        <v>8000</v>
      </c>
      <c r="P614" s="82" t="s">
        <v>1319</v>
      </c>
      <c r="Q614" s="83">
        <f>VLOOKUP(TAB_ESTOQUE[[#This Row],[Codigo]],TAB_ENTRADA[[Cod_2_Entrada]:[TOTAL_ENTRADA]],5,FALSE)-VLOOKUP(TAB_ESTOQUE[[#This Row],[Codigo]],TAB_SAIDA[[COD_2_SAIDA]:[TOTAL_SAIDA]],5,FALSE)</f>
        <v>1</v>
      </c>
      <c r="R614" s="87"/>
      <c r="S614" s="87"/>
      <c r="T614" s="90">
        <v>6846.701</v>
      </c>
      <c r="U614" s="91">
        <f>TAB_ESTOQUE[[#This Row],[Valor Unitario Estimado]]*TAB_ESTOQUE[[#This Row],[Estoque]]</f>
        <v>6846.701</v>
      </c>
      <c r="V614" s="91"/>
      <c r="W614" s="85"/>
      <c r="X614" s="85"/>
      <c r="Y614" s="85"/>
      <c r="Z614" s="85"/>
      <c r="AA614" s="85"/>
      <c r="AB614" s="96" t="str">
        <f>IF(TAB_ESTOQUE[[#This Row],[Estoque]]=0,"Estoque Não Conforme",IF(TAB_ESTOQUE[[#This Row],[Estoque]]&gt;=TAB_ESTOQUE[[#This Row],[Mínimo]],"Estoque Conforme",IF(TAB_ESTOQUE[[#This Row],[Estoque]]&lt;TAB_ESTOQUE[[#This Row],[Mínimo]],"Estoque em Nivel Minimo")))</f>
        <v>Estoque Conforme</v>
      </c>
      <c r="AC614" s="85"/>
      <c r="AD614" s="82"/>
      <c r="AE614" s="95"/>
      <c r="AF614" s="95"/>
    </row>
    <row r="615" spans="1:32" ht="15" customHeight="1" x14ac:dyDescent="0.25">
      <c r="B615" s="47"/>
      <c r="C615" s="46"/>
      <c r="D615" s="45" t="s">
        <v>2737</v>
      </c>
      <c r="E615" s="46" t="s">
        <v>135</v>
      </c>
      <c r="F615" s="87"/>
      <c r="G615" s="82"/>
      <c r="H615" s="82"/>
      <c r="I615" s="82" t="s">
        <v>3635</v>
      </c>
      <c r="J615" s="82"/>
      <c r="K615" s="82"/>
      <c r="L615" s="82"/>
      <c r="M615" s="82"/>
      <c r="N615" s="82"/>
      <c r="O615" s="87" t="s">
        <v>8000</v>
      </c>
      <c r="P615" s="82" t="s">
        <v>6034</v>
      </c>
      <c r="Q615" s="83">
        <f>VLOOKUP(TAB_ESTOQUE[[#This Row],[Codigo]],TAB_ENTRADA[[Cod_2_Entrada]:[TOTAL_ENTRADA]],5,FALSE)-VLOOKUP(TAB_ESTOQUE[[#This Row],[Codigo]],TAB_SAIDA[[COD_2_SAIDA]:[TOTAL_SAIDA]],5,FALSE)</f>
        <v>0</v>
      </c>
      <c r="R615" s="87"/>
      <c r="S615" s="87"/>
      <c r="T615" s="90">
        <v>1175.6976529999999</v>
      </c>
      <c r="U615" s="91">
        <f>TAB_ESTOQUE[[#This Row],[Valor Unitario Estimado]]*TAB_ESTOQUE[[#This Row],[Estoque]]</f>
        <v>0</v>
      </c>
      <c r="V615" s="91"/>
      <c r="W615" s="85"/>
      <c r="X615" s="85"/>
      <c r="Y615" s="85"/>
      <c r="Z615" s="85"/>
      <c r="AA615" s="85"/>
      <c r="AB615" s="96" t="str">
        <f>IF(TAB_ESTOQUE[[#This Row],[Estoque]]=0,"Estoque Não Conforme",IF(TAB_ESTOQUE[[#This Row],[Estoque]]&gt;=TAB_ESTOQUE[[#This Row],[Mínimo]],"Estoque Conforme",IF(TAB_ESTOQUE[[#This Row],[Estoque]]&lt;TAB_ESTOQUE[[#This Row],[Mínimo]],"Estoque em Nivel Minimo")))</f>
        <v>Estoque Não Conforme</v>
      </c>
      <c r="AC615" s="85"/>
      <c r="AD615" s="82"/>
      <c r="AE615" s="82"/>
      <c r="AF615" s="82"/>
    </row>
    <row r="616" spans="1:32" ht="15" customHeight="1" x14ac:dyDescent="0.25">
      <c r="B616" s="47"/>
      <c r="C616" s="46" t="s">
        <v>2838</v>
      </c>
      <c r="D616" s="45" t="s">
        <v>2738</v>
      </c>
      <c r="E616" s="46" t="s">
        <v>135</v>
      </c>
      <c r="F616" s="87"/>
      <c r="G616" s="82"/>
      <c r="H616" s="82"/>
      <c r="I616" s="82" t="s">
        <v>3632</v>
      </c>
      <c r="J616" s="82"/>
      <c r="K616" s="82"/>
      <c r="L616" s="82"/>
      <c r="M616" s="82"/>
      <c r="N616" s="82"/>
      <c r="O616" s="87" t="s">
        <v>8000</v>
      </c>
      <c r="P616" s="82" t="s">
        <v>1340</v>
      </c>
      <c r="Q616" s="83">
        <f>VLOOKUP(TAB_ESTOQUE[[#This Row],[Codigo]],TAB_ENTRADA[[Cod_2_Entrada]:[TOTAL_ENTRADA]],5,FALSE)-VLOOKUP(TAB_ESTOQUE[[#This Row],[Codigo]],TAB_SAIDA[[COD_2_SAIDA]:[TOTAL_SAIDA]],5,FALSE)</f>
        <v>0</v>
      </c>
      <c r="R616" s="87"/>
      <c r="S616" s="87"/>
      <c r="T616" s="90">
        <v>1215.1209140000001</v>
      </c>
      <c r="U616" s="91">
        <f>TAB_ESTOQUE[[#This Row],[Valor Unitario Estimado]]*TAB_ESTOQUE[[#This Row],[Estoque]]</f>
        <v>0</v>
      </c>
      <c r="V616" s="91"/>
      <c r="W616" s="85"/>
      <c r="X616" s="85"/>
      <c r="Y616" s="85"/>
      <c r="Z616" s="85"/>
      <c r="AA616" s="85"/>
      <c r="AB616" s="85" t="str">
        <f>IF(TAB_ESTOQUE[[#This Row],[Estoque]]=0,"Estoque Não Conforme",IF(TAB_ESTOQUE[[#This Row],[Estoque]]&gt;=TAB_ESTOQUE[[#This Row],[Mínimo]],"Estoque Conforme",IF(TAB_ESTOQUE[[#This Row],[Estoque]]&lt;TAB_ESTOQUE[[#This Row],[Mínimo]],"Estoque em Nivel Minimo")))</f>
        <v>Estoque Não Conforme</v>
      </c>
      <c r="AC616" s="85"/>
      <c r="AD616" s="82"/>
      <c r="AE616" s="82"/>
      <c r="AF616" s="82"/>
    </row>
    <row r="617" spans="1:32" ht="15" customHeight="1" x14ac:dyDescent="0.25">
      <c r="B617" s="47"/>
      <c r="C617" s="46" t="s">
        <v>2838</v>
      </c>
      <c r="D617" s="45" t="s">
        <v>2739</v>
      </c>
      <c r="E617" s="46" t="s">
        <v>135</v>
      </c>
      <c r="F617" s="87"/>
      <c r="G617" s="101"/>
      <c r="H617" s="82"/>
      <c r="I617" s="82" t="s">
        <v>3629</v>
      </c>
      <c r="J617" s="82"/>
      <c r="K617" s="82"/>
      <c r="L617" s="82"/>
      <c r="M617" s="82"/>
      <c r="N617" s="82"/>
      <c r="O617" s="87" t="s">
        <v>8000</v>
      </c>
      <c r="P617" s="82" t="s">
        <v>399</v>
      </c>
      <c r="Q617" s="83">
        <f>VLOOKUP(TAB_ESTOQUE[[#This Row],[Codigo]],TAB_ENTRADA[[Cod_2_Entrada]:[TOTAL_ENTRADA]],5,FALSE)-VLOOKUP(TAB_ESTOQUE[[#This Row],[Codigo]],TAB_SAIDA[[COD_2_SAIDA]:[TOTAL_SAIDA]],5,FALSE)</f>
        <v>0</v>
      </c>
      <c r="R617" s="87"/>
      <c r="S617" s="87"/>
      <c r="T617" s="90">
        <v>1014.372763</v>
      </c>
      <c r="U617" s="91">
        <f>TAB_ESTOQUE[[#This Row],[Valor Unitario Estimado]]*TAB_ESTOQUE[[#This Row],[Estoque]]</f>
        <v>0</v>
      </c>
      <c r="V617" s="91"/>
      <c r="W617" s="85"/>
      <c r="X617" s="85"/>
      <c r="Y617" s="85"/>
      <c r="Z617" s="85"/>
      <c r="AA617" s="85"/>
      <c r="AB617" s="85" t="str">
        <f>IF(TAB_ESTOQUE[[#This Row],[Estoque]]=0,"Estoque Não Conforme",IF(TAB_ESTOQUE[[#This Row],[Estoque]]&gt;=TAB_ESTOQUE[[#This Row],[Mínimo]],"Estoque Conforme",IF(TAB_ESTOQUE[[#This Row],[Estoque]]&lt;TAB_ESTOQUE[[#This Row],[Mínimo]],"Estoque em Nivel Minimo")))</f>
        <v>Estoque Não Conforme</v>
      </c>
      <c r="AC617" s="85"/>
      <c r="AD617" s="82"/>
      <c r="AE617" s="82"/>
      <c r="AF617" s="82"/>
    </row>
    <row r="618" spans="1:32" ht="15" customHeight="1" x14ac:dyDescent="0.25">
      <c r="B618" s="47"/>
      <c r="C618" s="46" t="s">
        <v>2842</v>
      </c>
      <c r="D618" s="45" t="s">
        <v>2740</v>
      </c>
      <c r="E618" s="46" t="s">
        <v>135</v>
      </c>
      <c r="F618" s="87"/>
      <c r="G618" s="82"/>
      <c r="H618" s="82"/>
      <c r="I618" s="82" t="s">
        <v>6694</v>
      </c>
      <c r="J618" s="82"/>
      <c r="K618" s="82"/>
      <c r="L618" s="82"/>
      <c r="M618" s="82"/>
      <c r="N618" s="82"/>
      <c r="O618" s="87" t="s">
        <v>8000</v>
      </c>
      <c r="P618" s="82" t="s">
        <v>1376</v>
      </c>
      <c r="Q618" s="83">
        <f>VLOOKUP(TAB_ESTOQUE[[#This Row],[Codigo]],TAB_ENTRADA[[Cod_2_Entrada]:[TOTAL_ENTRADA]],5,FALSE)-VLOOKUP(TAB_ESTOQUE[[#This Row],[Codigo]],TAB_SAIDA[[COD_2_SAIDA]:[TOTAL_SAIDA]],5,FALSE)</f>
        <v>1</v>
      </c>
      <c r="R618" s="87"/>
      <c r="S618" s="87"/>
      <c r="T618" s="90">
        <v>6441.0459220000002</v>
      </c>
      <c r="U618" s="91">
        <f>TAB_ESTOQUE[[#This Row],[Valor Unitario Estimado]]*TAB_ESTOQUE[[#This Row],[Estoque]]</f>
        <v>6441.0459220000002</v>
      </c>
      <c r="V618" s="91"/>
      <c r="W618" s="85"/>
      <c r="X618" s="85"/>
      <c r="Y618" s="85"/>
      <c r="Z618" s="85"/>
      <c r="AA618" s="85"/>
      <c r="AB618" s="96" t="str">
        <f>IF(TAB_ESTOQUE[[#This Row],[Estoque]]=0,"Estoque Não Conforme",IF(TAB_ESTOQUE[[#This Row],[Estoque]]&gt;=TAB_ESTOQUE[[#This Row],[Mínimo]],"Estoque Conforme",IF(TAB_ESTOQUE[[#This Row],[Estoque]]&lt;TAB_ESTOQUE[[#This Row],[Mínimo]],"Estoque em Nivel Minimo")))</f>
        <v>Estoque Conforme</v>
      </c>
      <c r="AC618" s="85"/>
      <c r="AD618" s="82"/>
      <c r="AE618" s="82"/>
      <c r="AF618" s="82"/>
    </row>
    <row r="619" spans="1:32" ht="15" customHeight="1" x14ac:dyDescent="0.25">
      <c r="C619" s="48"/>
      <c r="D619" s="45" t="s">
        <v>7368</v>
      </c>
      <c r="E619" s="46"/>
      <c r="F619" s="46"/>
      <c r="I619" s="45" t="s">
        <v>7997</v>
      </c>
      <c r="O619" s="116" t="s">
        <v>8000</v>
      </c>
      <c r="Q619" s="137">
        <f>VLOOKUP(TAB_ESTOQUE[[#This Row],[Codigo]],TAB_ENTRADA[[Cod_2_Entrada]:[TOTAL_ENTRADA]],5,FALSE)-VLOOKUP(TAB_ESTOQUE[[#This Row],[Codigo]],TAB_SAIDA[[COD_2_SAIDA]:[TOTAL_SAIDA]],5,FALSE)</f>
        <v>6</v>
      </c>
      <c r="S619" s="46"/>
      <c r="T619" s="102">
        <v>75.7</v>
      </c>
      <c r="U619" s="103">
        <f>TAB_ESTOQUE[[#This Row],[Valor Unitario Estimado]]*TAB_ESTOQUE[[#This Row],[Estoque]]</f>
        <v>454.20000000000005</v>
      </c>
      <c r="V619" s="103"/>
      <c r="AA619" s="138"/>
      <c r="AB619" s="104" t="str">
        <f>IF(TAB_ESTOQUE[[#This Row],[Estoque]]=0,"Estoque Não Conforme",IF(TAB_ESTOQUE[[#This Row],[Estoque]]&gt;=TAB_ESTOQUE[[#This Row],[Mínimo]],"Estoque Conforme",IF(TAB_ESTOQUE[[#This Row],[Estoque]]&lt;TAB_ESTOQUE[[#This Row],[Mínimo]],"Estoque em Nivel Minimo")))</f>
        <v>Estoque Conforme</v>
      </c>
      <c r="AC619" s="104"/>
      <c r="AE619" s="82"/>
      <c r="AF619" s="82"/>
    </row>
    <row r="620" spans="1:32" ht="15" customHeight="1" x14ac:dyDescent="0.25">
      <c r="C620" s="48"/>
      <c r="D620" s="45" t="s">
        <v>7380</v>
      </c>
      <c r="E620" s="46"/>
      <c r="F620" s="46"/>
      <c r="I620" s="45" t="s">
        <v>7998</v>
      </c>
      <c r="O620" s="51" t="s">
        <v>8000</v>
      </c>
      <c r="Q620" s="137">
        <f>VLOOKUP(TAB_ESTOQUE[[#This Row],[Codigo]],TAB_ENTRADA[[Cod_2_Entrada]:[TOTAL_ENTRADA]],5,FALSE)-VLOOKUP(TAB_ESTOQUE[[#This Row],[Codigo]],TAB_SAIDA[[COD_2_SAIDA]:[TOTAL_SAIDA]],5,FALSE)</f>
        <v>6</v>
      </c>
      <c r="S620" s="46"/>
      <c r="T620" s="102">
        <v>89</v>
      </c>
      <c r="U620" s="103">
        <f>TAB_ESTOQUE[[#This Row],[Valor Unitario Estimado]]*TAB_ESTOQUE[[#This Row],[Estoque]]</f>
        <v>534</v>
      </c>
      <c r="V620" s="103"/>
      <c r="AA620" s="138"/>
      <c r="AB620" s="104" t="str">
        <f>IF(TAB_ESTOQUE[[#This Row],[Estoque]]=0,"Estoque Não Conforme",IF(TAB_ESTOQUE[[#This Row],[Estoque]]&gt;=TAB_ESTOQUE[[#This Row],[Mínimo]],"Estoque Conforme",IF(TAB_ESTOQUE[[#This Row],[Estoque]]&lt;TAB_ESTOQUE[[#This Row],[Mínimo]],"Estoque em Nivel Minimo")))</f>
        <v>Estoque Conforme</v>
      </c>
      <c r="AC620" s="104"/>
      <c r="AE620" s="82"/>
      <c r="AF620" s="82"/>
    </row>
    <row r="621" spans="1:32" ht="15" customHeight="1" x14ac:dyDescent="0.25">
      <c r="C621" s="48"/>
      <c r="D621" s="45" t="s">
        <v>7381</v>
      </c>
      <c r="E621" s="46"/>
      <c r="F621" s="46"/>
      <c r="I621" s="45" t="s">
        <v>7999</v>
      </c>
      <c r="O621" s="116" t="s">
        <v>8000</v>
      </c>
      <c r="Q621" s="137">
        <f>VLOOKUP(TAB_ESTOQUE[[#This Row],[Codigo]],TAB_ENTRADA[[Cod_2_Entrada]:[TOTAL_ENTRADA]],5,FALSE)-VLOOKUP(TAB_ESTOQUE[[#This Row],[Codigo]],TAB_SAIDA[[COD_2_SAIDA]:[TOTAL_SAIDA]],5,FALSE)</f>
        <v>6</v>
      </c>
      <c r="S621" s="46"/>
      <c r="T621" s="102">
        <v>98</v>
      </c>
      <c r="U621" s="103">
        <f>TAB_ESTOQUE[[#This Row],[Valor Unitario Estimado]]*TAB_ESTOQUE[[#This Row],[Estoque]]</f>
        <v>588</v>
      </c>
      <c r="V621" s="103"/>
      <c r="AA621" s="138"/>
      <c r="AB621" s="104" t="str">
        <f>IF(TAB_ESTOQUE[[#This Row],[Estoque]]=0,"Estoque Não Conforme",IF(TAB_ESTOQUE[[#This Row],[Estoque]]&gt;=TAB_ESTOQUE[[#This Row],[Mínimo]],"Estoque Conforme",IF(TAB_ESTOQUE[[#This Row],[Estoque]]&lt;TAB_ESTOQUE[[#This Row],[Mínimo]],"Estoque em Nivel Minimo")))</f>
        <v>Estoque Conforme</v>
      </c>
      <c r="AC621" s="104"/>
      <c r="AE621" s="82"/>
      <c r="AF621" s="82"/>
    </row>
    <row r="622" spans="1:32" ht="15" customHeight="1" x14ac:dyDescent="0.25">
      <c r="A622" s="45">
        <v>1336</v>
      </c>
      <c r="B622" s="47"/>
      <c r="C622" s="46"/>
      <c r="D622" s="45" t="s">
        <v>1927</v>
      </c>
      <c r="E622" s="46"/>
      <c r="F622" s="87"/>
      <c r="G622" s="82"/>
      <c r="H622" s="82"/>
      <c r="I622" s="82" t="s">
        <v>8192</v>
      </c>
      <c r="J622" s="82"/>
      <c r="K622" s="82" t="s">
        <v>1069</v>
      </c>
      <c r="L622" s="82"/>
      <c r="M622" s="82"/>
      <c r="N622" s="82"/>
      <c r="O622" s="87" t="s">
        <v>6496</v>
      </c>
      <c r="P622" s="82" t="s">
        <v>760</v>
      </c>
      <c r="Q622" s="83">
        <f>VLOOKUP(TAB_ESTOQUE[[#This Row],[Codigo]],TAB_ENTRADA[[Cod_2_Entrada]:[TOTAL_ENTRADA]],5,FALSE)-VLOOKUP(TAB_ESTOQUE[[#This Row],[Codigo]],TAB_SAIDA[[COD_2_SAIDA]:[TOTAL_SAIDA]],5,FALSE)</f>
        <v>1</v>
      </c>
      <c r="R622" s="87"/>
      <c r="S622" s="87"/>
      <c r="T622" s="90"/>
      <c r="U622" s="91">
        <f>TAB_ESTOQUE[[#This Row],[Valor Unitario Estimado]]*TAB_ESTOQUE[[#This Row],[Estoque]]</f>
        <v>0</v>
      </c>
      <c r="V622" s="91"/>
      <c r="W622" s="85"/>
      <c r="X622" s="85"/>
      <c r="Y622" s="85"/>
      <c r="Z622" s="85"/>
      <c r="AA622" s="85"/>
      <c r="AB622" s="85" t="str">
        <f>IF(TAB_ESTOQUE[[#This Row],[Estoque]]=0,"Estoque Não Conforme",IF(TAB_ESTOQUE[[#This Row],[Estoque]]&gt;=TAB_ESTOQUE[[#This Row],[Mínimo]],"Estoque Conforme",IF(TAB_ESTOQUE[[#This Row],[Estoque]]&lt;TAB_ESTOQUE[[#This Row],[Mínimo]],"Estoque em Nivel Minimo")))</f>
        <v>Estoque Conforme</v>
      </c>
      <c r="AC622" s="85"/>
      <c r="AD622" s="82"/>
      <c r="AE622" s="82"/>
      <c r="AF622" s="82"/>
    </row>
    <row r="623" spans="1:32" ht="15" customHeight="1" x14ac:dyDescent="0.25">
      <c r="A623" s="45">
        <v>989</v>
      </c>
      <c r="B623" s="47"/>
      <c r="C623" s="46"/>
      <c r="D623" s="45" t="s">
        <v>1928</v>
      </c>
      <c r="E623" s="46" t="s">
        <v>1658</v>
      </c>
      <c r="F623" s="87"/>
      <c r="G623" s="82"/>
      <c r="H623" s="82"/>
      <c r="I623" s="82" t="s">
        <v>8204</v>
      </c>
      <c r="J623" s="82"/>
      <c r="K623" s="82" t="s">
        <v>68</v>
      </c>
      <c r="L623" s="82"/>
      <c r="M623" s="82"/>
      <c r="N623" s="82"/>
      <c r="O623" s="87" t="s">
        <v>6496</v>
      </c>
      <c r="P623" s="82" t="s">
        <v>760</v>
      </c>
      <c r="Q623" s="83">
        <f>VLOOKUP(TAB_ESTOQUE[[#This Row],[Codigo]],TAB_ENTRADA[[Cod_2_Entrada]:[TOTAL_ENTRADA]],5,FALSE)-VLOOKUP(TAB_ESTOQUE[[#This Row],[Codigo]],TAB_SAIDA[[COD_2_SAIDA]:[TOTAL_SAIDA]],5,FALSE)</f>
        <v>0</v>
      </c>
      <c r="R623" s="87"/>
      <c r="S623" s="87"/>
      <c r="T623" s="90">
        <v>200</v>
      </c>
      <c r="U623" s="91">
        <f>TAB_ESTOQUE[[#This Row],[Valor Unitario Estimado]]*TAB_ESTOQUE[[#This Row],[Estoque]]</f>
        <v>0</v>
      </c>
      <c r="V623" s="91"/>
      <c r="W623" s="85"/>
      <c r="X623" s="85"/>
      <c r="Y623" s="85"/>
      <c r="Z623" s="85"/>
      <c r="AA623" s="85"/>
      <c r="AB623" s="85" t="str">
        <f>IF(TAB_ESTOQUE[[#This Row],[Estoque]]=0,"Estoque Não Conforme",IF(TAB_ESTOQUE[[#This Row],[Estoque]]&gt;=TAB_ESTOQUE[[#This Row],[Mínimo]],"Estoque Conforme",IF(TAB_ESTOQUE[[#This Row],[Estoque]]&lt;TAB_ESTOQUE[[#This Row],[Mínimo]],"Estoque em Nivel Minimo")))</f>
        <v>Estoque Não Conforme</v>
      </c>
      <c r="AC623" s="85"/>
      <c r="AD623" s="82"/>
      <c r="AE623" s="82"/>
      <c r="AF623" s="82"/>
    </row>
    <row r="624" spans="1:32" ht="15" customHeight="1" x14ac:dyDescent="0.25">
      <c r="A624" s="45">
        <v>846</v>
      </c>
      <c r="B624" s="47"/>
      <c r="C624" s="46"/>
      <c r="D624" s="45" t="s">
        <v>2450</v>
      </c>
      <c r="E624" s="46" t="s">
        <v>2875</v>
      </c>
      <c r="F624" s="87"/>
      <c r="G624" s="82"/>
      <c r="H624" s="82"/>
      <c r="I624" s="82" t="s">
        <v>2886</v>
      </c>
      <c r="J624" s="82"/>
      <c r="K624" s="82"/>
      <c r="L624" s="82"/>
      <c r="M624" s="82"/>
      <c r="N624" s="82"/>
      <c r="O624" s="87" t="s">
        <v>8754</v>
      </c>
      <c r="P624" s="82" t="s">
        <v>634</v>
      </c>
      <c r="Q624" s="83">
        <f>VLOOKUP(TAB_ESTOQUE[[#This Row],[Codigo]],TAB_ENTRADA[[Cod_2_Entrada]:[TOTAL_ENTRADA]],5,FALSE)-VLOOKUP(TAB_ESTOQUE[[#This Row],[Codigo]],TAB_SAIDA[[COD_2_SAIDA]:[TOTAL_SAIDA]],5,FALSE)</f>
        <v>0</v>
      </c>
      <c r="R624" s="87"/>
      <c r="S624" s="87"/>
      <c r="T624" s="90"/>
      <c r="U624" s="91">
        <f>TAB_ESTOQUE[[#This Row],[Valor Unitario Estimado]]*TAB_ESTOQUE[[#This Row],[Estoque]]</f>
        <v>0</v>
      </c>
      <c r="V624" s="91"/>
      <c r="W624" s="85"/>
      <c r="X624" s="85"/>
      <c r="Y624" s="85"/>
      <c r="Z624" s="85"/>
      <c r="AA624" s="85"/>
      <c r="AB624" s="85" t="str">
        <f>IF(TAB_ESTOQUE[[#This Row],[Estoque]]=0,"Estoque Não Conforme",IF(TAB_ESTOQUE[[#This Row],[Estoque]]&gt;=TAB_ESTOQUE[[#This Row],[Mínimo]],"Estoque Conforme",IF(TAB_ESTOQUE[[#This Row],[Estoque]]&lt;TAB_ESTOQUE[[#This Row],[Mínimo]],"Estoque em Nivel Minimo")))</f>
        <v>Estoque Não Conforme</v>
      </c>
      <c r="AC624" s="85"/>
      <c r="AD624" s="82"/>
      <c r="AE624" s="82"/>
      <c r="AF624" s="82"/>
    </row>
    <row r="625" spans="1:32" s="47" customFormat="1" ht="15" customHeight="1" x14ac:dyDescent="0.25">
      <c r="A625" s="45"/>
      <c r="B625" s="45"/>
      <c r="C625" s="48"/>
      <c r="D625" s="45" t="s">
        <v>8124</v>
      </c>
      <c r="E625" s="46" t="s">
        <v>3080</v>
      </c>
      <c r="F625" s="46"/>
      <c r="G625" s="45"/>
      <c r="H625" s="45"/>
      <c r="I625" s="47" t="s">
        <v>9043</v>
      </c>
      <c r="J625" s="45"/>
      <c r="K625" s="45"/>
      <c r="L625" s="45"/>
      <c r="M625" s="45"/>
      <c r="N625" s="45"/>
      <c r="O625" s="46" t="s">
        <v>8754</v>
      </c>
      <c r="P625" s="45"/>
      <c r="Q625" s="137">
        <f>VLOOKUP(TAB_ESTOQUE[[#This Row],[Codigo]],TAB_ENTRADA[[Cod_2_Entrada]:[TOTAL_ENTRADA]],5,FALSE)-VLOOKUP(TAB_ESTOQUE[[#This Row],[Codigo]],TAB_SAIDA[[COD_2_SAIDA]:[TOTAL_SAIDA]],5,FALSE)</f>
        <v>5</v>
      </c>
      <c r="R625" s="46">
        <v>2</v>
      </c>
      <c r="S625" s="46">
        <v>10</v>
      </c>
      <c r="T625" s="102">
        <v>498.9</v>
      </c>
      <c r="U625" s="103">
        <f>TAB_ESTOQUE[[#This Row],[Valor Unitario Estimado]]*TAB_ESTOQUE[[#This Row],[Estoque]]</f>
        <v>2494.5</v>
      </c>
      <c r="V625" s="103"/>
      <c r="W625" s="54"/>
      <c r="X625" s="54"/>
      <c r="Y625" s="54"/>
      <c r="Z625" s="54"/>
      <c r="AA625" s="138"/>
      <c r="AB625" s="104" t="str">
        <f>IF(TAB_ESTOQUE[[#This Row],[Estoque]]=0,"Estoque Não Conforme",IF(TAB_ESTOQUE[[#This Row],[Estoque]]&gt;=TAB_ESTOQUE[[#This Row],[Mínimo]],"Estoque Conforme",IF(TAB_ESTOQUE[[#This Row],[Estoque]]&lt;TAB_ESTOQUE[[#This Row],[Mínimo]],"Estoque em Nivel Minimo")))</f>
        <v>Estoque Conforme</v>
      </c>
      <c r="AC625" s="104"/>
      <c r="AD625" s="45"/>
      <c r="AE625" s="94"/>
      <c r="AF625" s="94"/>
    </row>
    <row r="626" spans="1:32" ht="15" customHeight="1" x14ac:dyDescent="0.25">
      <c r="A626" s="45">
        <v>1162</v>
      </c>
      <c r="B626" s="47"/>
      <c r="C626" s="46"/>
      <c r="D626" s="45" t="s">
        <v>1916</v>
      </c>
      <c r="E626" s="46" t="s">
        <v>7</v>
      </c>
      <c r="F626" s="87"/>
      <c r="G626" s="82"/>
      <c r="H626" s="82"/>
      <c r="I626" s="82" t="s">
        <v>8191</v>
      </c>
      <c r="J626" s="82"/>
      <c r="K626" s="82"/>
      <c r="L626" s="82"/>
      <c r="M626" s="82"/>
      <c r="N626" s="82"/>
      <c r="O626" s="87" t="s">
        <v>6464</v>
      </c>
      <c r="P626" s="82" t="s">
        <v>885</v>
      </c>
      <c r="Q626" s="83">
        <f>VLOOKUP(TAB_ESTOQUE[[#This Row],[Codigo]],TAB_ENTRADA[[Cod_2_Entrada]:[TOTAL_ENTRADA]],5,FALSE)-VLOOKUP(TAB_ESTOQUE[[#This Row],[Codigo]],TAB_SAIDA[[COD_2_SAIDA]:[TOTAL_SAIDA]],5,FALSE)</f>
        <v>0</v>
      </c>
      <c r="R626" s="87"/>
      <c r="S626" s="87"/>
      <c r="T626" s="90">
        <v>482</v>
      </c>
      <c r="U626" s="91">
        <f>TAB_ESTOQUE[[#This Row],[Valor Unitario Estimado]]*TAB_ESTOQUE[[#This Row],[Estoque]]</f>
        <v>0</v>
      </c>
      <c r="V626" s="91"/>
      <c r="W626" s="85"/>
      <c r="X626" s="85"/>
      <c r="Y626" s="85"/>
      <c r="Z626" s="85"/>
      <c r="AA626" s="85"/>
      <c r="AB626" s="85" t="str">
        <f>IF(TAB_ESTOQUE[[#This Row],[Estoque]]=0,"Estoque Não Conforme",IF(TAB_ESTOQUE[[#This Row],[Estoque]]&gt;=TAB_ESTOQUE[[#This Row],[Mínimo]],"Estoque Conforme",IF(TAB_ESTOQUE[[#This Row],[Estoque]]&lt;TAB_ESTOQUE[[#This Row],[Mínimo]],"Estoque em Nivel Minimo")))</f>
        <v>Estoque Não Conforme</v>
      </c>
      <c r="AC626" s="85"/>
      <c r="AD626" s="82"/>
      <c r="AE626" s="82"/>
      <c r="AF626" s="82"/>
    </row>
    <row r="627" spans="1:32" ht="15" customHeight="1" x14ac:dyDescent="0.25">
      <c r="A627" s="45">
        <v>9999</v>
      </c>
      <c r="B627" s="47"/>
      <c r="C627" s="46"/>
      <c r="D627" s="45" t="s">
        <v>2010</v>
      </c>
      <c r="E627" s="46" t="s">
        <v>7</v>
      </c>
      <c r="F627" s="87"/>
      <c r="G627" s="82"/>
      <c r="H627" s="82"/>
      <c r="I627" s="82" t="s">
        <v>8195</v>
      </c>
      <c r="J627" s="82"/>
      <c r="K627" s="82"/>
      <c r="L627" s="82"/>
      <c r="M627" s="82"/>
      <c r="N627" s="82"/>
      <c r="O627" s="87" t="s">
        <v>6464</v>
      </c>
      <c r="P627" s="82" t="s">
        <v>769</v>
      </c>
      <c r="Q627" s="83">
        <f>VLOOKUP(TAB_ESTOQUE[[#This Row],[Codigo]],TAB_ENTRADA[[Cod_2_Entrada]:[TOTAL_ENTRADA]],5,FALSE)-VLOOKUP(TAB_ESTOQUE[[#This Row],[Codigo]],TAB_SAIDA[[COD_2_SAIDA]:[TOTAL_SAIDA]],5,FALSE)</f>
        <v>4</v>
      </c>
      <c r="R627" s="87"/>
      <c r="S627" s="87"/>
      <c r="T627" s="90"/>
      <c r="U627" s="91">
        <f>TAB_ESTOQUE[[#This Row],[Valor Unitario Estimado]]*TAB_ESTOQUE[[#This Row],[Estoque]]</f>
        <v>0</v>
      </c>
      <c r="V627" s="91"/>
      <c r="W627" s="85"/>
      <c r="X627" s="85"/>
      <c r="Y627" s="85"/>
      <c r="Z627" s="85"/>
      <c r="AA627" s="85"/>
      <c r="AB627" s="85" t="str">
        <f>IF(TAB_ESTOQUE[[#This Row],[Estoque]]=0,"Estoque Não Conforme",IF(TAB_ESTOQUE[[#This Row],[Estoque]]&gt;=TAB_ESTOQUE[[#This Row],[Mínimo]],"Estoque Conforme",IF(TAB_ESTOQUE[[#This Row],[Estoque]]&lt;TAB_ESTOQUE[[#This Row],[Mínimo]],"Estoque em Nivel Minimo")))</f>
        <v>Estoque Conforme</v>
      </c>
      <c r="AC627" s="85"/>
      <c r="AD627" s="82"/>
      <c r="AE627" s="82"/>
      <c r="AF627" s="82"/>
    </row>
    <row r="628" spans="1:32" ht="15" customHeight="1" x14ac:dyDescent="0.25">
      <c r="A628" s="45">
        <v>1004</v>
      </c>
      <c r="B628" s="47"/>
      <c r="C628" s="46"/>
      <c r="D628" s="45" t="s">
        <v>2011</v>
      </c>
      <c r="E628" s="46" t="s">
        <v>7</v>
      </c>
      <c r="F628" s="87"/>
      <c r="G628" s="82"/>
      <c r="H628" s="82"/>
      <c r="I628" s="82" t="s">
        <v>8196</v>
      </c>
      <c r="J628" s="82"/>
      <c r="K628" s="82"/>
      <c r="L628" s="82"/>
      <c r="M628" s="82"/>
      <c r="N628" s="82"/>
      <c r="O628" s="87" t="s">
        <v>6464</v>
      </c>
      <c r="P628" s="82" t="s">
        <v>773</v>
      </c>
      <c r="Q628" s="83">
        <f>VLOOKUP(TAB_ESTOQUE[[#This Row],[Codigo]],TAB_ENTRADA[[Cod_2_Entrada]:[TOTAL_ENTRADA]],5,FALSE)-VLOOKUP(TAB_ESTOQUE[[#This Row],[Codigo]],TAB_SAIDA[[COD_2_SAIDA]:[TOTAL_SAIDA]],5,FALSE)</f>
        <v>5</v>
      </c>
      <c r="R628" s="87"/>
      <c r="S628" s="87"/>
      <c r="T628" s="90"/>
      <c r="U628" s="91">
        <f>TAB_ESTOQUE[[#This Row],[Valor Unitario Estimado]]*TAB_ESTOQUE[[#This Row],[Estoque]]</f>
        <v>0</v>
      </c>
      <c r="V628" s="91"/>
      <c r="W628" s="85"/>
      <c r="X628" s="85"/>
      <c r="Y628" s="85"/>
      <c r="Z628" s="85"/>
      <c r="AA628" s="85"/>
      <c r="AB628" s="85" t="str">
        <f>IF(TAB_ESTOQUE[[#This Row],[Estoque]]=0,"Estoque Não Conforme",IF(TAB_ESTOQUE[[#This Row],[Estoque]]&gt;=TAB_ESTOQUE[[#This Row],[Mínimo]],"Estoque Conforme",IF(TAB_ESTOQUE[[#This Row],[Estoque]]&lt;TAB_ESTOQUE[[#This Row],[Mínimo]],"Estoque em Nivel Minimo")))</f>
        <v>Estoque Conforme</v>
      </c>
      <c r="AC628" s="85"/>
      <c r="AD628" s="82"/>
      <c r="AE628" s="82"/>
      <c r="AF628" s="82"/>
    </row>
    <row r="629" spans="1:32" ht="15" customHeight="1" x14ac:dyDescent="0.25">
      <c r="A629" s="45">
        <v>1339</v>
      </c>
      <c r="B629" s="47"/>
      <c r="C629" s="46"/>
      <c r="D629" s="45" t="s">
        <v>2102</v>
      </c>
      <c r="E629" s="46"/>
      <c r="F629" s="87"/>
      <c r="G629" s="82"/>
      <c r="H629" s="82"/>
      <c r="I629" s="82" t="s">
        <v>8198</v>
      </c>
      <c r="J629" s="82"/>
      <c r="K629" s="82"/>
      <c r="L629" s="82"/>
      <c r="M629" s="82" t="s">
        <v>139</v>
      </c>
      <c r="N629" s="82"/>
      <c r="O629" s="87" t="s">
        <v>6464</v>
      </c>
      <c r="P629" s="82" t="s">
        <v>1073</v>
      </c>
      <c r="Q629" s="83">
        <f>VLOOKUP(TAB_ESTOQUE[[#This Row],[Codigo]],TAB_ENTRADA[[Cod_2_Entrada]:[TOTAL_ENTRADA]],5,FALSE)-VLOOKUP(TAB_ESTOQUE[[#This Row],[Codigo]],TAB_SAIDA[[COD_2_SAIDA]:[TOTAL_SAIDA]],5,FALSE)</f>
        <v>0</v>
      </c>
      <c r="R629" s="87"/>
      <c r="S629" s="87"/>
      <c r="T629" s="90"/>
      <c r="U629" s="91">
        <f>TAB_ESTOQUE[[#This Row],[Valor Unitario Estimado]]*TAB_ESTOQUE[[#This Row],[Estoque]]</f>
        <v>0</v>
      </c>
      <c r="V629" s="91"/>
      <c r="W629" s="85"/>
      <c r="X629" s="85"/>
      <c r="Y629" s="85"/>
      <c r="Z629" s="85"/>
      <c r="AA629" s="85"/>
      <c r="AB629" s="85" t="str">
        <f>IF(TAB_ESTOQUE[[#This Row],[Estoque]]=0,"Estoque Não Conforme",IF(TAB_ESTOQUE[[#This Row],[Estoque]]&gt;=TAB_ESTOQUE[[#This Row],[Mínimo]],"Estoque Conforme",IF(TAB_ESTOQUE[[#This Row],[Estoque]]&lt;TAB_ESTOQUE[[#This Row],[Mínimo]],"Estoque em Nivel Minimo")))</f>
        <v>Estoque Não Conforme</v>
      </c>
      <c r="AC629" s="85"/>
      <c r="AD629" s="82"/>
      <c r="AE629" s="82"/>
      <c r="AF629" s="82"/>
    </row>
    <row r="630" spans="1:32" s="106" customFormat="1" ht="15" customHeight="1" x14ac:dyDescent="0.25">
      <c r="A630" s="45">
        <v>752</v>
      </c>
      <c r="B630" s="47"/>
      <c r="C630" s="46" t="s">
        <v>2833</v>
      </c>
      <c r="D630" s="45" t="s">
        <v>2259</v>
      </c>
      <c r="E630" s="46" t="s">
        <v>7</v>
      </c>
      <c r="F630" s="87"/>
      <c r="G630" s="82"/>
      <c r="H630" s="82"/>
      <c r="I630" s="82" t="s">
        <v>8201</v>
      </c>
      <c r="J630" s="82"/>
      <c r="K630" s="82"/>
      <c r="L630" s="82"/>
      <c r="M630" s="82" t="s">
        <v>209</v>
      </c>
      <c r="N630" s="82"/>
      <c r="O630" s="87" t="s">
        <v>6464</v>
      </c>
      <c r="P630" s="82" t="s">
        <v>6063</v>
      </c>
      <c r="Q630" s="83">
        <f>VLOOKUP(TAB_ESTOQUE[[#This Row],[Codigo]],TAB_ENTRADA[[Cod_2_Entrada]:[TOTAL_ENTRADA]],5,FALSE)-VLOOKUP(TAB_ESTOQUE[[#This Row],[Codigo]],TAB_SAIDA[[COD_2_SAIDA]:[TOTAL_SAIDA]],5,FALSE)</f>
        <v>0</v>
      </c>
      <c r="R630" s="87"/>
      <c r="S630" s="87"/>
      <c r="T630" s="90"/>
      <c r="U630" s="91">
        <f>TAB_ESTOQUE[[#This Row],[Valor Unitario Estimado]]*TAB_ESTOQUE[[#This Row],[Estoque]]</f>
        <v>0</v>
      </c>
      <c r="V630" s="91"/>
      <c r="W630" s="85"/>
      <c r="X630" s="85"/>
      <c r="Y630" s="85"/>
      <c r="Z630" s="85"/>
      <c r="AA630" s="85"/>
      <c r="AB630" s="85" t="str">
        <f>IF(TAB_ESTOQUE[[#This Row],[Estoque]]=0,"Estoque Não Conforme",IF(TAB_ESTOQUE[[#This Row],[Estoque]]&gt;=TAB_ESTOQUE[[#This Row],[Mínimo]],"Estoque Conforme",IF(TAB_ESTOQUE[[#This Row],[Estoque]]&lt;TAB_ESTOQUE[[#This Row],[Mínimo]],"Estoque em Nivel Minimo")))</f>
        <v>Estoque Não Conforme</v>
      </c>
      <c r="AC630" s="85"/>
      <c r="AD630" s="82"/>
      <c r="AE630" s="95"/>
      <c r="AF630" s="95"/>
    </row>
    <row r="631" spans="1:32" s="47" customFormat="1" ht="15" customHeight="1" x14ac:dyDescent="0.25">
      <c r="A631" s="45">
        <v>737</v>
      </c>
      <c r="C631" s="46"/>
      <c r="D631" s="45" t="s">
        <v>2260</v>
      </c>
      <c r="E631" s="46" t="s">
        <v>7</v>
      </c>
      <c r="F631" s="87"/>
      <c r="G631" s="82"/>
      <c r="H631" s="82"/>
      <c r="I631" s="82" t="s">
        <v>8202</v>
      </c>
      <c r="J631" s="82"/>
      <c r="K631" s="82"/>
      <c r="L631" s="82"/>
      <c r="M631" s="82" t="s">
        <v>209</v>
      </c>
      <c r="N631" s="82"/>
      <c r="O631" s="87" t="s">
        <v>6464</v>
      </c>
      <c r="P631" s="82" t="s">
        <v>520</v>
      </c>
      <c r="Q631" s="83">
        <f>VLOOKUP(TAB_ESTOQUE[[#This Row],[Codigo]],TAB_ENTRADA[[Cod_2_Entrada]:[TOTAL_ENTRADA]],5,FALSE)-VLOOKUP(TAB_ESTOQUE[[#This Row],[Codigo]],TAB_SAIDA[[COD_2_SAIDA]:[TOTAL_SAIDA]],5,FALSE)</f>
        <v>2</v>
      </c>
      <c r="R631" s="87"/>
      <c r="S631" s="87"/>
      <c r="T631" s="90"/>
      <c r="U631" s="91">
        <f>TAB_ESTOQUE[[#This Row],[Valor Unitario Estimado]]*TAB_ESTOQUE[[#This Row],[Estoque]]</f>
        <v>0</v>
      </c>
      <c r="V631" s="91"/>
      <c r="W631" s="85"/>
      <c r="X631" s="85"/>
      <c r="Y631" s="85"/>
      <c r="Z631" s="85"/>
      <c r="AA631" s="85"/>
      <c r="AB631" s="85" t="str">
        <f>IF(TAB_ESTOQUE[[#This Row],[Estoque]]=0,"Estoque Não Conforme",IF(TAB_ESTOQUE[[#This Row],[Estoque]]&gt;=TAB_ESTOQUE[[#This Row],[Mínimo]],"Estoque Conforme",IF(TAB_ESTOQUE[[#This Row],[Estoque]]&lt;TAB_ESTOQUE[[#This Row],[Mínimo]],"Estoque em Nivel Minimo")))</f>
        <v>Estoque Conforme</v>
      </c>
      <c r="AC631" s="85"/>
      <c r="AD631" s="82"/>
      <c r="AE631" s="94"/>
      <c r="AF631" s="94"/>
    </row>
    <row r="632" spans="1:32" ht="15" customHeight="1" x14ac:dyDescent="0.25">
      <c r="A632" s="45">
        <v>1366</v>
      </c>
      <c r="B632" s="47"/>
      <c r="C632" s="46"/>
      <c r="D632" s="45" t="s">
        <v>2417</v>
      </c>
      <c r="E632" s="46" t="s">
        <v>7265</v>
      </c>
      <c r="F632" s="87"/>
      <c r="G632" s="82"/>
      <c r="H632" s="82"/>
      <c r="I632" s="82" t="s">
        <v>8203</v>
      </c>
      <c r="J632" s="82"/>
      <c r="K632" s="82"/>
      <c r="L632" s="82"/>
      <c r="M632" s="82"/>
      <c r="N632" s="82"/>
      <c r="O632" s="87" t="s">
        <v>6464</v>
      </c>
      <c r="P632" s="82" t="s">
        <v>1100</v>
      </c>
      <c r="Q632" s="83">
        <f>VLOOKUP(TAB_ESTOQUE[[#This Row],[Codigo]],TAB_ENTRADA[[Cod_2_Entrada]:[TOTAL_ENTRADA]],5,FALSE)-VLOOKUP(TAB_ESTOQUE[[#This Row],[Codigo]],TAB_SAIDA[[COD_2_SAIDA]:[TOTAL_SAIDA]],5,FALSE)</f>
        <v>4</v>
      </c>
      <c r="R632" s="87"/>
      <c r="S632" s="87"/>
      <c r="T632" s="90"/>
      <c r="U632" s="91">
        <f>TAB_ESTOQUE[[#This Row],[Valor Unitario Estimado]]*TAB_ESTOQUE[[#This Row],[Estoque]]</f>
        <v>0</v>
      </c>
      <c r="V632" s="91"/>
      <c r="W632" s="85"/>
      <c r="X632" s="85"/>
      <c r="Y632" s="85"/>
      <c r="Z632" s="85"/>
      <c r="AA632" s="85"/>
      <c r="AB632" s="85" t="str">
        <f>IF(TAB_ESTOQUE[[#This Row],[Estoque]]=0,"Estoque Não Conforme",IF(TAB_ESTOQUE[[#This Row],[Estoque]]&gt;=TAB_ESTOQUE[[#This Row],[Mínimo]],"Estoque Conforme",IF(TAB_ESTOQUE[[#This Row],[Estoque]]&lt;TAB_ESTOQUE[[#This Row],[Mínimo]],"Estoque em Nivel Minimo")))</f>
        <v>Estoque Conforme</v>
      </c>
      <c r="AC632" s="85"/>
      <c r="AD632" s="82"/>
      <c r="AE632" s="82"/>
      <c r="AF632" s="82"/>
    </row>
    <row r="633" spans="1:32" ht="15" customHeight="1" x14ac:dyDescent="0.25">
      <c r="C633" s="48"/>
      <c r="D633" s="45" t="s">
        <v>6749</v>
      </c>
      <c r="E633" s="46"/>
      <c r="F633" s="46"/>
      <c r="I633" s="45" t="s">
        <v>8205</v>
      </c>
      <c r="O633" s="46" t="s">
        <v>6464</v>
      </c>
      <c r="Q633" s="83">
        <f>VLOOKUP(TAB_ESTOQUE[[#This Row],[Codigo]],TAB_ENTRADA[[Cod_2_Entrada]:[TOTAL_ENTRADA]],5,FALSE)-VLOOKUP(TAB_ESTOQUE[[#This Row],[Codigo]],TAB_SAIDA[[COD_2_SAIDA]:[TOTAL_SAIDA]],5,FALSE)</f>
        <v>2</v>
      </c>
      <c r="S633" s="46"/>
      <c r="T633" s="102"/>
      <c r="U633" s="103">
        <f>TAB_ESTOQUE[[#This Row],[Valor Unitario Estimado]]*TAB_ESTOQUE[[#This Row],[Estoque]]</f>
        <v>0</v>
      </c>
      <c r="V633" s="103"/>
      <c r="AB633" s="104" t="str">
        <f>IF(TAB_ESTOQUE[[#This Row],[Estoque]]=0,"Estoque Não Conforme",IF(TAB_ESTOQUE[[#This Row],[Estoque]]&gt;=TAB_ESTOQUE[[#This Row],[Mínimo]],"Estoque Conforme",IF(TAB_ESTOQUE[[#This Row],[Estoque]]&lt;TAB_ESTOQUE[[#This Row],[Mínimo]],"Estoque em Nivel Minimo")))</f>
        <v>Estoque Conforme</v>
      </c>
      <c r="AC633" s="104"/>
      <c r="AE633" s="82"/>
      <c r="AF633" s="82"/>
    </row>
    <row r="634" spans="1:32" ht="15" customHeight="1" x14ac:dyDescent="0.25">
      <c r="A634" s="45">
        <v>985</v>
      </c>
      <c r="B634" s="47"/>
      <c r="C634" s="46"/>
      <c r="D634" s="45" t="s">
        <v>1924</v>
      </c>
      <c r="E634" s="46" t="s">
        <v>7</v>
      </c>
      <c r="F634" s="87"/>
      <c r="G634" s="82"/>
      <c r="H634" s="82"/>
      <c r="I634" s="82" t="s">
        <v>8212</v>
      </c>
      <c r="J634" s="82"/>
      <c r="K634" s="82"/>
      <c r="L634" s="82"/>
      <c r="M634" s="82"/>
      <c r="N634" s="82"/>
      <c r="O634" s="87" t="s">
        <v>6294</v>
      </c>
      <c r="P634" s="82" t="s">
        <v>757</v>
      </c>
      <c r="Q634" s="83">
        <f>VLOOKUP(TAB_ESTOQUE[[#This Row],[Codigo]],TAB_ENTRADA[[Cod_2_Entrada]:[TOTAL_ENTRADA]],5,FALSE)-VLOOKUP(TAB_ESTOQUE[[#This Row],[Codigo]],TAB_SAIDA[[COD_2_SAIDA]:[TOTAL_SAIDA]],5,FALSE)</f>
        <v>2</v>
      </c>
      <c r="R634" s="87"/>
      <c r="S634" s="87"/>
      <c r="T634" s="90"/>
      <c r="U634" s="91">
        <f>TAB_ESTOQUE[[#This Row],[Valor Unitario Estimado]]*TAB_ESTOQUE[[#This Row],[Estoque]]</f>
        <v>0</v>
      </c>
      <c r="V634" s="91"/>
      <c r="W634" s="85"/>
      <c r="X634" s="85"/>
      <c r="Y634" s="85"/>
      <c r="Z634" s="85"/>
      <c r="AA634" s="85"/>
      <c r="AB634" s="85" t="str">
        <f>IF(TAB_ESTOQUE[[#This Row],[Estoque]]=0,"Estoque Não Conforme",IF(TAB_ESTOQUE[[#This Row],[Estoque]]&gt;=TAB_ESTOQUE[[#This Row],[Mínimo]],"Estoque Conforme",IF(TAB_ESTOQUE[[#This Row],[Estoque]]&lt;TAB_ESTOQUE[[#This Row],[Mínimo]],"Estoque em Nivel Minimo")))</f>
        <v>Estoque Conforme</v>
      </c>
      <c r="AC634" s="85"/>
      <c r="AD634" s="82"/>
      <c r="AE634" s="82"/>
      <c r="AF634" s="82"/>
    </row>
    <row r="635" spans="1:32" ht="15" customHeight="1" x14ac:dyDescent="0.25">
      <c r="A635" s="45">
        <v>893</v>
      </c>
      <c r="B635" s="47"/>
      <c r="C635" s="46"/>
      <c r="D635" s="45" t="s">
        <v>1809</v>
      </c>
      <c r="E635" s="46" t="s">
        <v>7</v>
      </c>
      <c r="F635" s="87"/>
      <c r="G635" s="82"/>
      <c r="H635" s="82"/>
      <c r="I635" s="209" t="s">
        <v>8207</v>
      </c>
      <c r="J635" s="82"/>
      <c r="K635" s="82"/>
      <c r="L635" s="82"/>
      <c r="M635" s="82"/>
      <c r="N635" s="82"/>
      <c r="O635" s="87" t="s">
        <v>6294</v>
      </c>
      <c r="P635" s="82" t="s">
        <v>694</v>
      </c>
      <c r="Q635" s="83">
        <f>VLOOKUP(TAB_ESTOQUE[[#This Row],[Codigo]],TAB_ENTRADA[[Cod_2_Entrada]:[TOTAL_ENTRADA]],5,FALSE)-VLOOKUP(TAB_ESTOQUE[[#This Row],[Codigo]],TAB_SAIDA[[COD_2_SAIDA]:[TOTAL_SAIDA]],5,FALSE)</f>
        <v>3</v>
      </c>
      <c r="R635" s="87"/>
      <c r="S635" s="87"/>
      <c r="T635" s="90">
        <v>195</v>
      </c>
      <c r="U635" s="91">
        <f>TAB_ESTOQUE[[#This Row],[Valor Unitario Estimado]]*TAB_ESTOQUE[[#This Row],[Estoque]]</f>
        <v>585</v>
      </c>
      <c r="V635" s="91"/>
      <c r="W635" s="85"/>
      <c r="X635" s="85"/>
      <c r="Y635" s="85"/>
      <c r="Z635" s="85"/>
      <c r="AA635" s="85"/>
      <c r="AB635" s="85" t="str">
        <f>IF(TAB_ESTOQUE[[#This Row],[Estoque]]=0,"Estoque Não Conforme",IF(TAB_ESTOQUE[[#This Row],[Estoque]]&gt;=TAB_ESTOQUE[[#This Row],[Mínimo]],"Estoque Conforme",IF(TAB_ESTOQUE[[#This Row],[Estoque]]&lt;TAB_ESTOQUE[[#This Row],[Mínimo]],"Estoque em Nivel Minimo")))</f>
        <v>Estoque Conforme</v>
      </c>
      <c r="AC635" s="85"/>
      <c r="AD635" s="82"/>
      <c r="AE635" s="82"/>
      <c r="AF635" s="82"/>
    </row>
    <row r="636" spans="1:32" s="106" customFormat="1" ht="15" customHeight="1" x14ac:dyDescent="0.25">
      <c r="A636" s="45">
        <v>1208</v>
      </c>
      <c r="B636" s="47"/>
      <c r="C636" s="46"/>
      <c r="D636" s="45" t="s">
        <v>1996</v>
      </c>
      <c r="E636" s="46" t="s">
        <v>1240</v>
      </c>
      <c r="F636" s="87"/>
      <c r="G636" s="82"/>
      <c r="H636" s="82"/>
      <c r="I636" s="82" t="s">
        <v>8193</v>
      </c>
      <c r="J636" s="82"/>
      <c r="K636" s="82"/>
      <c r="L636" s="82"/>
      <c r="M636" s="82"/>
      <c r="N636" s="82"/>
      <c r="O636" s="87" t="s">
        <v>6294</v>
      </c>
      <c r="P636" s="82" t="s">
        <v>922</v>
      </c>
      <c r="Q636" s="83">
        <f>VLOOKUP(TAB_ESTOQUE[[#This Row],[Codigo]],TAB_ENTRADA[[Cod_2_Entrada]:[TOTAL_ENTRADA]],5,FALSE)-VLOOKUP(TAB_ESTOQUE[[#This Row],[Codigo]],TAB_SAIDA[[COD_2_SAIDA]:[TOTAL_SAIDA]],5,FALSE)</f>
        <v>1</v>
      </c>
      <c r="R636" s="87"/>
      <c r="S636" s="87"/>
      <c r="T636" s="90"/>
      <c r="U636" s="91">
        <f>TAB_ESTOQUE[[#This Row],[Valor Unitario Estimado]]*TAB_ESTOQUE[[#This Row],[Estoque]]</f>
        <v>0</v>
      </c>
      <c r="V636" s="91"/>
      <c r="W636" s="85"/>
      <c r="X636" s="85"/>
      <c r="Y636" s="85"/>
      <c r="Z636" s="85"/>
      <c r="AA636" s="85"/>
      <c r="AB636" s="85" t="str">
        <f>IF(TAB_ESTOQUE[[#This Row],[Estoque]]=0,"Estoque Não Conforme",IF(TAB_ESTOQUE[[#This Row],[Estoque]]&gt;=TAB_ESTOQUE[[#This Row],[Mínimo]],"Estoque Conforme",IF(TAB_ESTOQUE[[#This Row],[Estoque]]&lt;TAB_ESTOQUE[[#This Row],[Mínimo]],"Estoque em Nivel Minimo")))</f>
        <v>Estoque Conforme</v>
      </c>
      <c r="AC636" s="85"/>
      <c r="AD636" s="82"/>
      <c r="AE636" s="95"/>
      <c r="AF636" s="95"/>
    </row>
    <row r="637" spans="1:32" ht="15" customHeight="1" x14ac:dyDescent="0.25">
      <c r="A637" s="45">
        <v>575</v>
      </c>
      <c r="B637" s="47"/>
      <c r="C637" s="46"/>
      <c r="D637" s="45" t="s">
        <v>2003</v>
      </c>
      <c r="E637" s="46" t="s">
        <v>7</v>
      </c>
      <c r="F637" s="87"/>
      <c r="G637" s="82"/>
      <c r="H637" s="82"/>
      <c r="I637" s="82" t="s">
        <v>8208</v>
      </c>
      <c r="J637" s="82"/>
      <c r="K637" s="82"/>
      <c r="L637" s="82"/>
      <c r="M637" s="82"/>
      <c r="N637" s="82"/>
      <c r="O637" s="87" t="s">
        <v>6294</v>
      </c>
      <c r="P637" s="82" t="s">
        <v>350</v>
      </c>
      <c r="Q637" s="83">
        <f>VLOOKUP(TAB_ESTOQUE[[#This Row],[Codigo]],TAB_ENTRADA[[Cod_2_Entrada]:[TOTAL_ENTRADA]],5,FALSE)-VLOOKUP(TAB_ESTOQUE[[#This Row],[Codigo]],TAB_SAIDA[[COD_2_SAIDA]:[TOTAL_SAIDA]],5,FALSE)</f>
        <v>5</v>
      </c>
      <c r="R637" s="87"/>
      <c r="S637" s="87"/>
      <c r="T637" s="90"/>
      <c r="U637" s="91">
        <f>TAB_ESTOQUE[[#This Row],[Valor Unitario Estimado]]*TAB_ESTOQUE[[#This Row],[Estoque]]</f>
        <v>0</v>
      </c>
      <c r="V637" s="91"/>
      <c r="W637" s="85"/>
      <c r="X637" s="85"/>
      <c r="Y637" s="85"/>
      <c r="Z637" s="85"/>
      <c r="AA637" s="85"/>
      <c r="AB637" s="85" t="str">
        <f>IF(TAB_ESTOQUE[[#This Row],[Estoque]]=0,"Estoque Não Conforme",IF(TAB_ESTOQUE[[#This Row],[Estoque]]&gt;=TAB_ESTOQUE[[#This Row],[Mínimo]],"Estoque Conforme",IF(TAB_ESTOQUE[[#This Row],[Estoque]]&lt;TAB_ESTOQUE[[#This Row],[Mínimo]],"Estoque em Nivel Minimo")))</f>
        <v>Estoque Conforme</v>
      </c>
      <c r="AC637" s="85"/>
      <c r="AD637" s="82"/>
      <c r="AE637" s="82"/>
      <c r="AF637" s="82"/>
    </row>
    <row r="638" spans="1:32" ht="15" customHeight="1" x14ac:dyDescent="0.25">
      <c r="A638" s="45">
        <v>726</v>
      </c>
      <c r="B638" s="47"/>
      <c r="C638" s="46"/>
      <c r="D638" s="45" t="s">
        <v>2302</v>
      </c>
      <c r="E638" s="46"/>
      <c r="F638" s="87"/>
      <c r="G638" s="82"/>
      <c r="H638" s="82"/>
      <c r="I638" s="82" t="s">
        <v>8210</v>
      </c>
      <c r="J638" s="82"/>
      <c r="K638" s="82"/>
      <c r="L638" s="82"/>
      <c r="M638" s="82"/>
      <c r="N638" s="82"/>
      <c r="O638" s="87" t="s">
        <v>6294</v>
      </c>
      <c r="P638" s="82" t="s">
        <v>508</v>
      </c>
      <c r="Q638" s="83">
        <f>VLOOKUP(TAB_ESTOQUE[[#This Row],[Codigo]],TAB_ENTRADA[[Cod_2_Entrada]:[TOTAL_ENTRADA]],5,FALSE)-VLOOKUP(TAB_ESTOQUE[[#This Row],[Codigo]],TAB_SAIDA[[COD_2_SAIDA]:[TOTAL_SAIDA]],5,FALSE)</f>
        <v>1</v>
      </c>
      <c r="R638" s="87"/>
      <c r="S638" s="87"/>
      <c r="T638" s="90"/>
      <c r="U638" s="91">
        <f>TAB_ESTOQUE[[#This Row],[Valor Unitario Estimado]]*TAB_ESTOQUE[[#This Row],[Estoque]]</f>
        <v>0</v>
      </c>
      <c r="V638" s="91"/>
      <c r="W638" s="85"/>
      <c r="X638" s="85"/>
      <c r="Y638" s="85"/>
      <c r="Z638" s="85"/>
      <c r="AA638" s="85"/>
      <c r="AB638" s="85" t="str">
        <f>IF(TAB_ESTOQUE[[#This Row],[Estoque]]=0,"Estoque Não Conforme",IF(TAB_ESTOQUE[[#This Row],[Estoque]]&gt;=TAB_ESTOQUE[[#This Row],[Mínimo]],"Estoque Conforme",IF(TAB_ESTOQUE[[#This Row],[Estoque]]&lt;TAB_ESTOQUE[[#This Row],[Mínimo]],"Estoque em Nivel Minimo")))</f>
        <v>Estoque Conforme</v>
      </c>
      <c r="AC638" s="85"/>
      <c r="AD638" s="82"/>
      <c r="AE638" s="82"/>
      <c r="AF638" s="82"/>
    </row>
    <row r="639" spans="1:32" ht="15" customHeight="1" x14ac:dyDescent="0.25">
      <c r="C639" s="48"/>
      <c r="D639" s="45" t="s">
        <v>7107</v>
      </c>
      <c r="E639" s="46"/>
      <c r="F639" s="46"/>
      <c r="I639" s="45" t="s">
        <v>7555</v>
      </c>
      <c r="O639" s="46" t="s">
        <v>6294</v>
      </c>
      <c r="Q639" s="137">
        <f>VLOOKUP(TAB_ESTOQUE[[#This Row],[Codigo]],TAB_ENTRADA[[Cod_2_Entrada]:[TOTAL_ENTRADA]],5,FALSE)-VLOOKUP(TAB_ESTOQUE[[#This Row],[Codigo]],TAB_SAIDA[[COD_2_SAIDA]:[TOTAL_SAIDA]],5,FALSE)</f>
        <v>5</v>
      </c>
      <c r="S639" s="46"/>
      <c r="T639" s="102">
        <v>152</v>
      </c>
      <c r="U639" s="103">
        <f>TAB_ESTOQUE[[#This Row],[Valor Unitario Estimado]]*TAB_ESTOQUE[[#This Row],[Estoque]]</f>
        <v>760</v>
      </c>
      <c r="V639" s="103"/>
      <c r="AA639" s="138"/>
      <c r="AB639" s="104" t="str">
        <f>IF(TAB_ESTOQUE[[#This Row],[Estoque]]=0,"Estoque Não Conforme",IF(TAB_ESTOQUE[[#This Row],[Estoque]]&gt;=TAB_ESTOQUE[[#This Row],[Mínimo]],"Estoque Conforme",IF(TAB_ESTOQUE[[#This Row],[Estoque]]&lt;TAB_ESTOQUE[[#This Row],[Mínimo]],"Estoque em Nivel Minimo")))</f>
        <v>Estoque Conforme</v>
      </c>
      <c r="AC639" s="104"/>
      <c r="AE639" s="82"/>
      <c r="AF639" s="82"/>
    </row>
    <row r="640" spans="1:32" ht="15" customHeight="1" x14ac:dyDescent="0.25">
      <c r="C640" s="48"/>
      <c r="D640" s="45" t="s">
        <v>7647</v>
      </c>
      <c r="E640" s="46"/>
      <c r="F640" s="46"/>
      <c r="I640" s="45" t="s">
        <v>8211</v>
      </c>
      <c r="O640" s="51" t="s">
        <v>6294</v>
      </c>
      <c r="Q640" s="137">
        <f>VLOOKUP(TAB_ESTOQUE[[#This Row],[Codigo]],TAB_ENTRADA[[Cod_2_Entrada]:[TOTAL_ENTRADA]],5,FALSE)-VLOOKUP(TAB_ESTOQUE[[#This Row],[Codigo]],TAB_SAIDA[[COD_2_SAIDA]:[TOTAL_SAIDA]],5,FALSE)</f>
        <v>1</v>
      </c>
      <c r="S640" s="46"/>
      <c r="T640" s="102"/>
      <c r="U640" s="103">
        <f>TAB_ESTOQUE[[#This Row],[Valor Unitario Estimado]]*TAB_ESTOQUE[[#This Row],[Estoque]]</f>
        <v>0</v>
      </c>
      <c r="V640" s="103"/>
      <c r="AA640" s="138"/>
      <c r="AB640" s="104" t="str">
        <f>IF(TAB_ESTOQUE[[#This Row],[Estoque]]=0,"Estoque Não Conforme",IF(TAB_ESTOQUE[[#This Row],[Estoque]]&gt;=TAB_ESTOQUE[[#This Row],[Mínimo]],"Estoque Conforme",IF(TAB_ESTOQUE[[#This Row],[Estoque]]&lt;TAB_ESTOQUE[[#This Row],[Mínimo]],"Estoque em Nivel Minimo")))</f>
        <v>Estoque Conforme</v>
      </c>
      <c r="AC640" s="104"/>
      <c r="AE640" s="82"/>
      <c r="AF640" s="82"/>
    </row>
    <row r="641" spans="1:32" ht="15" customHeight="1" x14ac:dyDescent="0.25">
      <c r="C641" s="48"/>
      <c r="D641" s="45" t="s">
        <v>8113</v>
      </c>
      <c r="E641" s="46"/>
      <c r="F641" s="46"/>
      <c r="I641" s="106" t="s">
        <v>9022</v>
      </c>
      <c r="O641" s="46" t="s">
        <v>6294</v>
      </c>
      <c r="Q641" s="137">
        <f>VLOOKUP(TAB_ESTOQUE[[#This Row],[Codigo]],TAB_ENTRADA[[Cod_2_Entrada]:[TOTAL_ENTRADA]],5,FALSE)-VLOOKUP(TAB_ESTOQUE[[#This Row],[Codigo]],TAB_SAIDA[[COD_2_SAIDA]:[TOTAL_SAIDA]],5,FALSE)</f>
        <v>4</v>
      </c>
      <c r="R641" s="46">
        <v>2</v>
      </c>
      <c r="S641" s="46">
        <v>4</v>
      </c>
      <c r="T641" s="102">
        <v>221.15</v>
      </c>
      <c r="U641" s="103">
        <f>TAB_ESTOQUE[[#This Row],[Valor Unitario Estimado]]*TAB_ESTOQUE[[#This Row],[Estoque]]</f>
        <v>884.6</v>
      </c>
      <c r="V641" s="103"/>
      <c r="AA641" s="138"/>
      <c r="AB641" s="104" t="str">
        <f>IF(TAB_ESTOQUE[[#This Row],[Estoque]]=0,"Estoque Não Conforme",IF(TAB_ESTOQUE[[#This Row],[Estoque]]&gt;=TAB_ESTOQUE[[#This Row],[Mínimo]],"Estoque Conforme",IF(TAB_ESTOQUE[[#This Row],[Estoque]]&lt;TAB_ESTOQUE[[#This Row],[Mínimo]],"Estoque em Nivel Minimo")))</f>
        <v>Estoque Conforme</v>
      </c>
      <c r="AC641" s="104"/>
      <c r="AE641" s="82"/>
      <c r="AF641" s="82"/>
    </row>
    <row r="642" spans="1:32" ht="15" customHeight="1" x14ac:dyDescent="0.25">
      <c r="A642" s="45">
        <v>996</v>
      </c>
      <c r="B642" s="47"/>
      <c r="C642" s="46"/>
      <c r="D642" s="45" t="s">
        <v>2009</v>
      </c>
      <c r="E642" s="46" t="s">
        <v>7</v>
      </c>
      <c r="F642" s="87"/>
      <c r="G642" s="82"/>
      <c r="H642" s="82"/>
      <c r="I642" s="82" t="s">
        <v>8194</v>
      </c>
      <c r="J642" s="82"/>
      <c r="K642" s="82"/>
      <c r="L642" s="82"/>
      <c r="M642" s="82"/>
      <c r="N642" s="82"/>
      <c r="O642" s="87" t="s">
        <v>6378</v>
      </c>
      <c r="P642" s="82" t="s">
        <v>767</v>
      </c>
      <c r="Q642" s="83">
        <f>VLOOKUP(TAB_ESTOQUE[[#This Row],[Codigo]],TAB_ENTRADA[[Cod_2_Entrada]:[TOTAL_ENTRADA]],5,FALSE)-VLOOKUP(TAB_ESTOQUE[[#This Row],[Codigo]],TAB_SAIDA[[COD_2_SAIDA]:[TOTAL_SAIDA]],5,FALSE)</f>
        <v>0</v>
      </c>
      <c r="R642" s="87"/>
      <c r="S642" s="87"/>
      <c r="T642" s="90"/>
      <c r="U642" s="91">
        <f>TAB_ESTOQUE[[#This Row],[Valor Unitario Estimado]]*TAB_ESTOQUE[[#This Row],[Estoque]]</f>
        <v>0</v>
      </c>
      <c r="V642" s="91"/>
      <c r="W642" s="85"/>
      <c r="X642" s="85"/>
      <c r="Y642" s="85"/>
      <c r="Z642" s="85"/>
      <c r="AA642" s="85"/>
      <c r="AB642" s="85" t="str">
        <f>IF(TAB_ESTOQUE[[#This Row],[Estoque]]=0,"Estoque Não Conforme",IF(TAB_ESTOQUE[[#This Row],[Estoque]]&gt;=TAB_ESTOQUE[[#This Row],[Mínimo]],"Estoque Conforme",IF(TAB_ESTOQUE[[#This Row],[Estoque]]&lt;TAB_ESTOQUE[[#This Row],[Mínimo]],"Estoque em Nivel Minimo")))</f>
        <v>Estoque Não Conforme</v>
      </c>
      <c r="AC642" s="85"/>
      <c r="AD642" s="82"/>
      <c r="AE642" s="82"/>
      <c r="AF642" s="82"/>
    </row>
    <row r="643" spans="1:32" ht="15" customHeight="1" x14ac:dyDescent="0.25">
      <c r="A643" s="45">
        <v>1003</v>
      </c>
      <c r="B643" s="47"/>
      <c r="C643" s="46"/>
      <c r="D643" s="45" t="s">
        <v>2012</v>
      </c>
      <c r="E643" s="46" t="s">
        <v>7</v>
      </c>
      <c r="F643" s="87"/>
      <c r="G643" s="82"/>
      <c r="H643" s="82"/>
      <c r="I643" s="82" t="s">
        <v>8197</v>
      </c>
      <c r="J643" s="82"/>
      <c r="K643" s="82"/>
      <c r="L643" s="82"/>
      <c r="M643" s="82"/>
      <c r="N643" s="82"/>
      <c r="O643" s="87" t="s">
        <v>6378</v>
      </c>
      <c r="P643" s="82" t="s">
        <v>772</v>
      </c>
      <c r="Q643" s="83">
        <f>VLOOKUP(TAB_ESTOQUE[[#This Row],[Codigo]],TAB_ENTRADA[[Cod_2_Entrada]:[TOTAL_ENTRADA]],5,FALSE)-VLOOKUP(TAB_ESTOQUE[[#This Row],[Codigo]],TAB_SAIDA[[COD_2_SAIDA]:[TOTAL_SAIDA]],5,FALSE)</f>
        <v>1</v>
      </c>
      <c r="R643" s="87"/>
      <c r="S643" s="87"/>
      <c r="T643" s="90"/>
      <c r="U643" s="91">
        <f>TAB_ESTOQUE[[#This Row],[Valor Unitario Estimado]]*TAB_ESTOQUE[[#This Row],[Estoque]]</f>
        <v>0</v>
      </c>
      <c r="V643" s="91"/>
      <c r="W643" s="85"/>
      <c r="X643" s="85"/>
      <c r="Y643" s="85"/>
      <c r="Z643" s="85"/>
      <c r="AA643" s="85"/>
      <c r="AB643" s="85" t="str">
        <f>IF(TAB_ESTOQUE[[#This Row],[Estoque]]=0,"Estoque Não Conforme",IF(TAB_ESTOQUE[[#This Row],[Estoque]]&gt;=TAB_ESTOQUE[[#This Row],[Mínimo]],"Estoque Conforme",IF(TAB_ESTOQUE[[#This Row],[Estoque]]&lt;TAB_ESTOQUE[[#This Row],[Mínimo]],"Estoque em Nivel Minimo")))</f>
        <v>Estoque Conforme</v>
      </c>
      <c r="AC643" s="85"/>
      <c r="AD643" s="82"/>
      <c r="AE643" s="82"/>
      <c r="AF643" s="82"/>
    </row>
    <row r="644" spans="1:32" ht="15" customHeight="1" x14ac:dyDescent="0.25">
      <c r="A644" s="45">
        <v>516</v>
      </c>
      <c r="B644" s="47"/>
      <c r="C644" s="46"/>
      <c r="D644" s="45" t="s">
        <v>2103</v>
      </c>
      <c r="E644" s="46" t="s">
        <v>7</v>
      </c>
      <c r="F644" s="87"/>
      <c r="G644" s="82"/>
      <c r="H644" s="82"/>
      <c r="I644" s="82" t="s">
        <v>8199</v>
      </c>
      <c r="J644" s="82"/>
      <c r="K644" s="82"/>
      <c r="L644" s="82"/>
      <c r="M644" s="82" t="s">
        <v>139</v>
      </c>
      <c r="N644" s="82"/>
      <c r="O644" s="87" t="s">
        <v>6378</v>
      </c>
      <c r="P644" s="82" t="s">
        <v>295</v>
      </c>
      <c r="Q644" s="83">
        <f>VLOOKUP(TAB_ESTOQUE[[#This Row],[Codigo]],TAB_ENTRADA[[Cod_2_Entrada]:[TOTAL_ENTRADA]],5,FALSE)-VLOOKUP(TAB_ESTOQUE[[#This Row],[Codigo]],TAB_SAIDA[[COD_2_SAIDA]:[TOTAL_SAIDA]],5,FALSE)</f>
        <v>2</v>
      </c>
      <c r="R644" s="87"/>
      <c r="S644" s="87"/>
      <c r="T644" s="90"/>
      <c r="U644" s="91">
        <f>TAB_ESTOQUE[[#This Row],[Valor Unitario Estimado]]*TAB_ESTOQUE[[#This Row],[Estoque]]</f>
        <v>0</v>
      </c>
      <c r="V644" s="91"/>
      <c r="W644" s="85"/>
      <c r="X644" s="85"/>
      <c r="Y644" s="85"/>
      <c r="Z644" s="85"/>
      <c r="AA644" s="85"/>
      <c r="AB644" s="85" t="str">
        <f>IF(TAB_ESTOQUE[[#This Row],[Estoque]]=0,"Estoque Não Conforme",IF(TAB_ESTOQUE[[#This Row],[Estoque]]&gt;=TAB_ESTOQUE[[#This Row],[Mínimo]],"Estoque Conforme",IF(TAB_ESTOQUE[[#This Row],[Estoque]]&lt;TAB_ESTOQUE[[#This Row],[Mínimo]],"Estoque em Nivel Minimo")))</f>
        <v>Estoque Conforme</v>
      </c>
      <c r="AC644" s="85"/>
      <c r="AD644" s="82"/>
      <c r="AE644" s="82"/>
      <c r="AF644" s="82"/>
    </row>
    <row r="645" spans="1:32" ht="15" customHeight="1" x14ac:dyDescent="0.25">
      <c r="A645" s="45">
        <v>1016</v>
      </c>
      <c r="B645" s="47"/>
      <c r="C645" s="46"/>
      <c r="D645" s="45" t="s">
        <v>2104</v>
      </c>
      <c r="E645" s="46"/>
      <c r="F645" s="87"/>
      <c r="G645" s="82"/>
      <c r="H645" s="82"/>
      <c r="I645" s="82" t="s">
        <v>8200</v>
      </c>
      <c r="J645" s="82"/>
      <c r="K645" s="82"/>
      <c r="L645" s="82"/>
      <c r="M645" s="82" t="s">
        <v>139</v>
      </c>
      <c r="N645" s="82"/>
      <c r="O645" s="87" t="s">
        <v>6378</v>
      </c>
      <c r="P645" s="82" t="s">
        <v>779</v>
      </c>
      <c r="Q645" s="83">
        <f>VLOOKUP(TAB_ESTOQUE[[#This Row],[Codigo]],TAB_ENTRADA[[Cod_2_Entrada]:[TOTAL_ENTRADA]],5,FALSE)-VLOOKUP(TAB_ESTOQUE[[#This Row],[Codigo]],TAB_SAIDA[[COD_2_SAIDA]:[TOTAL_SAIDA]],5,FALSE)</f>
        <v>0</v>
      </c>
      <c r="R645" s="87"/>
      <c r="S645" s="87"/>
      <c r="T645" s="90"/>
      <c r="U645" s="91">
        <f>TAB_ESTOQUE[[#This Row],[Valor Unitario Estimado]]*TAB_ESTOQUE[[#This Row],[Estoque]]</f>
        <v>0</v>
      </c>
      <c r="V645" s="91"/>
      <c r="W645" s="85"/>
      <c r="X645" s="85"/>
      <c r="Y645" s="85"/>
      <c r="Z645" s="85"/>
      <c r="AA645" s="85"/>
      <c r="AB645" s="85" t="str">
        <f>IF(TAB_ESTOQUE[[#This Row],[Estoque]]=0,"Estoque Não Conforme",IF(TAB_ESTOQUE[[#This Row],[Estoque]]&gt;=TAB_ESTOQUE[[#This Row],[Mínimo]],"Estoque Conforme",IF(TAB_ESTOQUE[[#This Row],[Estoque]]&lt;TAB_ESTOQUE[[#This Row],[Mínimo]],"Estoque em Nivel Minimo")))</f>
        <v>Estoque Não Conforme</v>
      </c>
      <c r="AC645" s="85"/>
      <c r="AD645" s="82"/>
      <c r="AE645" s="82"/>
      <c r="AF645" s="82"/>
    </row>
    <row r="646" spans="1:32" ht="15" customHeight="1" x14ac:dyDescent="0.25">
      <c r="B646" s="47"/>
      <c r="C646" s="53" t="s">
        <v>2838</v>
      </c>
      <c r="D646" s="45" t="s">
        <v>3105</v>
      </c>
      <c r="E646" s="46"/>
      <c r="F646" s="87"/>
      <c r="G646" s="82"/>
      <c r="H646" s="82"/>
      <c r="I646" s="82" t="s">
        <v>6478</v>
      </c>
      <c r="J646" s="82"/>
      <c r="K646" s="82"/>
      <c r="L646" s="82"/>
      <c r="M646" s="82"/>
      <c r="N646" s="82"/>
      <c r="O646" s="87" t="s">
        <v>6378</v>
      </c>
      <c r="P646" s="82" t="s">
        <v>3111</v>
      </c>
      <c r="Q646" s="83">
        <f>VLOOKUP(TAB_ESTOQUE[[#This Row],[Codigo]],TAB_ENTRADA[[Cod_2_Entrada]:[TOTAL_ENTRADA]],5,FALSE)-VLOOKUP(TAB_ESTOQUE[[#This Row],[Codigo]],TAB_SAIDA[[COD_2_SAIDA]:[TOTAL_SAIDA]],5,FALSE)</f>
        <v>3</v>
      </c>
      <c r="R646" s="87"/>
      <c r="S646" s="87"/>
      <c r="T646" s="90"/>
      <c r="U646" s="91">
        <f>TAB_ESTOQUE[[#This Row],[Valor Unitario Estimado]]*TAB_ESTOQUE[[#This Row],[Estoque]]</f>
        <v>0</v>
      </c>
      <c r="V646" s="91"/>
      <c r="W646" s="85"/>
      <c r="X646" s="85"/>
      <c r="Y646" s="85"/>
      <c r="Z646" s="85"/>
      <c r="AA646" s="85"/>
      <c r="AB646" s="96" t="str">
        <f>IF(TAB_ESTOQUE[[#This Row],[Estoque]]=0,"Estoque Não Conforme",IF(TAB_ESTOQUE[[#This Row],[Estoque]]&gt;=TAB_ESTOQUE[[#This Row],[Mínimo]],"Estoque Conforme",IF(TAB_ESTOQUE[[#This Row],[Estoque]]&lt;TAB_ESTOQUE[[#This Row],[Mínimo]],"Estoque em Nivel Minimo")))</f>
        <v>Estoque Conforme</v>
      </c>
      <c r="AC646" s="96"/>
      <c r="AD646" s="82"/>
      <c r="AE646" s="82"/>
      <c r="AF646" s="82"/>
    </row>
    <row r="647" spans="1:32" ht="15" customHeight="1" x14ac:dyDescent="0.25">
      <c r="B647" s="47"/>
      <c r="C647" s="53" t="s">
        <v>2833</v>
      </c>
      <c r="D647" s="45" t="s">
        <v>5989</v>
      </c>
      <c r="E647" s="46" t="s">
        <v>7265</v>
      </c>
      <c r="F647" s="87"/>
      <c r="G647" s="82"/>
      <c r="H647" s="82"/>
      <c r="I647" s="82" t="s">
        <v>2891</v>
      </c>
      <c r="J647" s="82"/>
      <c r="K647" s="82"/>
      <c r="L647" s="82"/>
      <c r="M647" s="82"/>
      <c r="N647" s="82"/>
      <c r="O647" s="87" t="s">
        <v>6378</v>
      </c>
      <c r="P647" s="82" t="s">
        <v>6014</v>
      </c>
      <c r="Q647" s="83">
        <f>VLOOKUP(TAB_ESTOQUE[[#This Row],[Codigo]],TAB_ENTRADA[[Cod_2_Entrada]:[TOTAL_ENTRADA]],5,FALSE)-VLOOKUP(TAB_ESTOQUE[[#This Row],[Codigo]],TAB_SAIDA[[COD_2_SAIDA]:[TOTAL_SAIDA]],5,FALSE)</f>
        <v>8</v>
      </c>
      <c r="R647" s="87"/>
      <c r="S647" s="87"/>
      <c r="T647" s="90"/>
      <c r="U647" s="91">
        <f>TAB_ESTOQUE[[#This Row],[Valor Unitario Estimado]]*TAB_ESTOQUE[[#This Row],[Estoque]]</f>
        <v>0</v>
      </c>
      <c r="V647" s="91"/>
      <c r="W647" s="85"/>
      <c r="X647" s="85"/>
      <c r="Y647" s="85"/>
      <c r="Z647" s="85"/>
      <c r="AA647" s="85"/>
      <c r="AB647" s="96" t="str">
        <f>IF(TAB_ESTOQUE[[#This Row],[Estoque]]=0,"Estoque Não Conforme",IF(TAB_ESTOQUE[[#This Row],[Estoque]]&gt;=TAB_ESTOQUE[[#This Row],[Mínimo]],"Estoque Conforme",IF(TAB_ESTOQUE[[#This Row],[Estoque]]&lt;TAB_ESTOQUE[[#This Row],[Mínimo]],"Estoque em Nivel Minimo")))</f>
        <v>Estoque Conforme</v>
      </c>
      <c r="AC647" s="96"/>
      <c r="AD647" s="82"/>
      <c r="AE647" s="82"/>
      <c r="AF647" s="82"/>
    </row>
    <row r="648" spans="1:32" ht="15" customHeight="1" x14ac:dyDescent="0.25">
      <c r="C648" s="48"/>
      <c r="D648" s="45" t="s">
        <v>7049</v>
      </c>
      <c r="E648" s="46" t="s">
        <v>1324</v>
      </c>
      <c r="F648" s="46"/>
      <c r="I648" s="45" t="s">
        <v>8206</v>
      </c>
      <c r="O648" s="46" t="s">
        <v>6378</v>
      </c>
      <c r="Q648" s="137">
        <f>VLOOKUP(TAB_ESTOQUE[[#This Row],[Codigo]],TAB_ENTRADA[[Cod_2_Entrada]:[TOTAL_ENTRADA]],5,FALSE)-VLOOKUP(TAB_ESTOQUE[[#This Row],[Codigo]],TAB_SAIDA[[COD_2_SAIDA]:[TOTAL_SAIDA]],5,FALSE)</f>
        <v>0</v>
      </c>
      <c r="S648" s="46"/>
      <c r="T648" s="102">
        <v>490</v>
      </c>
      <c r="U648" s="103">
        <f>TAB_ESTOQUE[[#This Row],[Valor Unitario Estimado]]*TAB_ESTOQUE[[#This Row],[Estoque]]</f>
        <v>0</v>
      </c>
      <c r="V648" s="103"/>
      <c r="AA648" s="138"/>
      <c r="AB648" s="104" t="str">
        <f>IF(TAB_ESTOQUE[[#This Row],[Estoque]]=0,"Estoque Não Conforme",IF(TAB_ESTOQUE[[#This Row],[Estoque]]&gt;=TAB_ESTOQUE[[#This Row],[Mínimo]],"Estoque Conforme",IF(TAB_ESTOQUE[[#This Row],[Estoque]]&lt;TAB_ESTOQUE[[#This Row],[Mínimo]],"Estoque em Nivel Minimo")))</f>
        <v>Estoque Não Conforme</v>
      </c>
      <c r="AC648" s="104"/>
      <c r="AE648" s="82"/>
      <c r="AF648" s="82"/>
    </row>
    <row r="649" spans="1:32" ht="15" customHeight="1" x14ac:dyDescent="0.25">
      <c r="C649" s="48"/>
      <c r="D649" s="45" t="s">
        <v>7093</v>
      </c>
      <c r="E649" s="46" t="s">
        <v>1324</v>
      </c>
      <c r="F649" s="46"/>
      <c r="I649" s="45" t="s">
        <v>7514</v>
      </c>
      <c r="O649" s="46" t="s">
        <v>6378</v>
      </c>
      <c r="Q649" s="137">
        <f>VLOOKUP(TAB_ESTOQUE[[#This Row],[Codigo]],TAB_ENTRADA[[Cod_2_Entrada]:[TOTAL_ENTRADA]],5,FALSE)-VLOOKUP(TAB_ESTOQUE[[#This Row],[Codigo]],TAB_SAIDA[[COD_2_SAIDA]:[TOTAL_SAIDA]],5,FALSE)</f>
        <v>2</v>
      </c>
      <c r="S649" s="46"/>
      <c r="T649" s="102">
        <v>243</v>
      </c>
      <c r="U649" s="103">
        <f>TAB_ESTOQUE[[#This Row],[Valor Unitario Estimado]]*TAB_ESTOQUE[[#This Row],[Estoque]]</f>
        <v>486</v>
      </c>
      <c r="V649" s="103"/>
      <c r="AA649" s="138"/>
      <c r="AB649" s="104" t="str">
        <f>IF(TAB_ESTOQUE[[#This Row],[Estoque]]=0,"Estoque Não Conforme",IF(TAB_ESTOQUE[[#This Row],[Estoque]]&gt;=TAB_ESTOQUE[[#This Row],[Mínimo]],"Estoque Conforme",IF(TAB_ESTOQUE[[#This Row],[Estoque]]&lt;TAB_ESTOQUE[[#This Row],[Mínimo]],"Estoque em Nivel Minimo")))</f>
        <v>Estoque Conforme</v>
      </c>
      <c r="AC649" s="104"/>
      <c r="AE649" s="82"/>
      <c r="AF649" s="82"/>
    </row>
    <row r="650" spans="1:32" ht="15" customHeight="1" x14ac:dyDescent="0.25">
      <c r="C650" s="48"/>
      <c r="D650" s="45" t="s">
        <v>7723</v>
      </c>
      <c r="E650" s="46" t="s">
        <v>1324</v>
      </c>
      <c r="F650" s="46"/>
      <c r="I650" s="45" t="s">
        <v>8424</v>
      </c>
      <c r="O650" s="46" t="s">
        <v>6378</v>
      </c>
      <c r="Q650" s="137">
        <f>VLOOKUP(TAB_ESTOQUE[[#This Row],[Codigo]],TAB_ENTRADA[[Cod_2_Entrada]:[TOTAL_ENTRADA]],5,FALSE)-VLOOKUP(TAB_ESTOQUE[[#This Row],[Codigo]],TAB_SAIDA[[COD_2_SAIDA]:[TOTAL_SAIDA]],5,FALSE)</f>
        <v>2</v>
      </c>
      <c r="S650" s="46"/>
      <c r="T650" s="102">
        <v>930.55</v>
      </c>
      <c r="U650" s="103">
        <f>TAB_ESTOQUE[[#This Row],[Valor Unitario Estimado]]*TAB_ESTOQUE[[#This Row],[Estoque]]</f>
        <v>1861.1</v>
      </c>
      <c r="V650" s="103"/>
      <c r="AA650" s="138"/>
      <c r="AB650" s="104" t="str">
        <f>IF(TAB_ESTOQUE[[#This Row],[Estoque]]=0,"Estoque Não Conforme",IF(TAB_ESTOQUE[[#This Row],[Estoque]]&gt;=TAB_ESTOQUE[[#This Row],[Mínimo]],"Estoque Conforme",IF(TAB_ESTOQUE[[#This Row],[Estoque]]&lt;TAB_ESTOQUE[[#This Row],[Mínimo]],"Estoque em Nivel Minimo")))</f>
        <v>Estoque Conforme</v>
      </c>
      <c r="AC650" s="104"/>
      <c r="AE650" s="82"/>
      <c r="AF650" s="82"/>
    </row>
    <row r="651" spans="1:32" ht="15" customHeight="1" x14ac:dyDescent="0.25">
      <c r="C651" s="48"/>
      <c r="D651" s="45" t="s">
        <v>7725</v>
      </c>
      <c r="E651" s="46"/>
      <c r="F651" s="46"/>
      <c r="I651" s="210" t="s">
        <v>8439</v>
      </c>
      <c r="O651" s="46" t="s">
        <v>6378</v>
      </c>
      <c r="Q651" s="137">
        <f>VLOOKUP(TAB_ESTOQUE[[#This Row],[Codigo]],TAB_ENTRADA[[Cod_2_Entrada]:[TOTAL_ENTRADA]],5,FALSE)-VLOOKUP(TAB_ESTOQUE[[#This Row],[Codigo]],TAB_SAIDA[[COD_2_SAIDA]:[TOTAL_SAIDA]],5,FALSE)</f>
        <v>1</v>
      </c>
      <c r="S651" s="46"/>
      <c r="T651" s="102"/>
      <c r="U651" s="103">
        <f>TAB_ESTOQUE[[#This Row],[Valor Unitario Estimado]]*TAB_ESTOQUE[[#This Row],[Estoque]]</f>
        <v>0</v>
      </c>
      <c r="V651" s="103"/>
      <c r="AA651" s="138"/>
      <c r="AB651" s="104" t="str">
        <f>IF(TAB_ESTOQUE[[#This Row],[Estoque]]=0,"Estoque Não Conforme",IF(TAB_ESTOQUE[[#This Row],[Estoque]]&gt;=TAB_ESTOQUE[[#This Row],[Mínimo]],"Estoque Conforme",IF(TAB_ESTOQUE[[#This Row],[Estoque]]&lt;TAB_ESTOQUE[[#This Row],[Mínimo]],"Estoque em Nivel Minimo")))</f>
        <v>Estoque Conforme</v>
      </c>
      <c r="AC651" s="104"/>
      <c r="AE651" s="82"/>
      <c r="AF651" s="82"/>
    </row>
    <row r="652" spans="1:32" ht="15" customHeight="1" x14ac:dyDescent="0.25">
      <c r="C652" s="48"/>
      <c r="D652" s="45" t="s">
        <v>7726</v>
      </c>
      <c r="E652" s="46"/>
      <c r="F652" s="46"/>
      <c r="I652" s="45" t="s">
        <v>8440</v>
      </c>
      <c r="O652" s="46" t="s">
        <v>6378</v>
      </c>
      <c r="Q652" s="137">
        <f>VLOOKUP(TAB_ESTOQUE[[#This Row],[Codigo]],TAB_ENTRADA[[Cod_2_Entrada]:[TOTAL_ENTRADA]],5,FALSE)-VLOOKUP(TAB_ESTOQUE[[#This Row],[Codigo]],TAB_SAIDA[[COD_2_SAIDA]:[TOTAL_SAIDA]],5,FALSE)</f>
        <v>1</v>
      </c>
      <c r="S652" s="46"/>
      <c r="T652" s="102"/>
      <c r="U652" s="103">
        <f>TAB_ESTOQUE[[#This Row],[Valor Unitario Estimado]]*TAB_ESTOQUE[[#This Row],[Estoque]]</f>
        <v>0</v>
      </c>
      <c r="V652" s="103"/>
      <c r="AA652" s="138"/>
      <c r="AB652" s="104" t="str">
        <f>IF(TAB_ESTOQUE[[#This Row],[Estoque]]=0,"Estoque Não Conforme",IF(TAB_ESTOQUE[[#This Row],[Estoque]]&gt;=TAB_ESTOQUE[[#This Row],[Mínimo]],"Estoque Conforme",IF(TAB_ESTOQUE[[#This Row],[Estoque]]&lt;TAB_ESTOQUE[[#This Row],[Mínimo]],"Estoque em Nivel Minimo")))</f>
        <v>Estoque Conforme</v>
      </c>
      <c r="AC652" s="104"/>
      <c r="AE652" s="82"/>
      <c r="AF652" s="82"/>
    </row>
    <row r="653" spans="1:32" ht="15" customHeight="1" x14ac:dyDescent="0.25">
      <c r="B653" s="47"/>
      <c r="C653" s="46" t="s">
        <v>2833</v>
      </c>
      <c r="D653" s="45" t="s">
        <v>2758</v>
      </c>
      <c r="E653" s="46"/>
      <c r="F653" s="87"/>
      <c r="G653" s="82"/>
      <c r="H653" s="82"/>
      <c r="I653" s="82" t="s">
        <v>6747</v>
      </c>
      <c r="J653" s="82"/>
      <c r="K653" s="82"/>
      <c r="L653" s="82"/>
      <c r="M653" s="82"/>
      <c r="N653" s="82"/>
      <c r="O653" s="87" t="s">
        <v>6614</v>
      </c>
      <c r="P653" s="82" t="s">
        <v>1591</v>
      </c>
      <c r="Q653" s="83">
        <f>VLOOKUP(TAB_ESTOQUE[[#This Row],[Codigo]],TAB_ENTRADA[[Cod_2_Entrada]:[TOTAL_ENTRADA]],5,FALSE)-VLOOKUP(TAB_ESTOQUE[[#This Row],[Codigo]],TAB_SAIDA[[COD_2_SAIDA]:[TOTAL_SAIDA]],5,FALSE)</f>
        <v>17</v>
      </c>
      <c r="R653" s="87"/>
      <c r="S653" s="87"/>
      <c r="T653" s="90">
        <v>17.5</v>
      </c>
      <c r="U653" s="91">
        <f>TAB_ESTOQUE[[#This Row],[Valor Unitario Estimado]]*TAB_ESTOQUE[[#This Row],[Estoque]]</f>
        <v>297.5</v>
      </c>
      <c r="V653" s="91"/>
      <c r="W653" s="85"/>
      <c r="X653" s="85"/>
      <c r="Y653" s="85"/>
      <c r="Z653" s="85"/>
      <c r="AA653" s="85"/>
      <c r="AB653" s="96" t="str">
        <f>IF(TAB_ESTOQUE[[#This Row],[Estoque]]=0,"Estoque Não Conforme",IF(TAB_ESTOQUE[[#This Row],[Estoque]]&gt;=TAB_ESTOQUE[[#This Row],[Mínimo]],"Estoque Conforme",IF(TAB_ESTOQUE[[#This Row],[Estoque]]&lt;TAB_ESTOQUE[[#This Row],[Mínimo]],"Estoque em Nivel Minimo")))</f>
        <v>Estoque Conforme</v>
      </c>
      <c r="AC653" s="96"/>
      <c r="AD653" s="82"/>
      <c r="AE653" s="82"/>
      <c r="AF653" s="82"/>
    </row>
    <row r="654" spans="1:32" s="106" customFormat="1" ht="15" customHeight="1" x14ac:dyDescent="0.25">
      <c r="A654" s="45"/>
      <c r="B654" s="47"/>
      <c r="C654" s="46" t="s">
        <v>2833</v>
      </c>
      <c r="D654" s="45" t="s">
        <v>2759</v>
      </c>
      <c r="E654" s="46"/>
      <c r="F654" s="87"/>
      <c r="G654" s="82"/>
      <c r="H654" s="82"/>
      <c r="I654" s="82" t="s">
        <v>6885</v>
      </c>
      <c r="J654" s="82"/>
      <c r="K654" s="82"/>
      <c r="L654" s="82"/>
      <c r="M654" s="82"/>
      <c r="N654" s="82"/>
      <c r="O654" s="87" t="s">
        <v>6614</v>
      </c>
      <c r="P654" s="82" t="s">
        <v>1591</v>
      </c>
      <c r="Q654" s="83">
        <f>VLOOKUP(TAB_ESTOQUE[[#This Row],[Codigo]],TAB_ENTRADA[[Cod_2_Entrada]:[TOTAL_ENTRADA]],5,FALSE)-VLOOKUP(TAB_ESTOQUE[[#This Row],[Codigo]],TAB_SAIDA[[COD_2_SAIDA]:[TOTAL_SAIDA]],5,FALSE)</f>
        <v>20</v>
      </c>
      <c r="R654" s="87"/>
      <c r="S654" s="87"/>
      <c r="T654" s="90"/>
      <c r="U654" s="91">
        <f>TAB_ESTOQUE[[#This Row],[Valor Unitario Estimado]]*TAB_ESTOQUE[[#This Row],[Estoque]]</f>
        <v>0</v>
      </c>
      <c r="V654" s="91"/>
      <c r="W654" s="85"/>
      <c r="X654" s="85"/>
      <c r="Y654" s="85"/>
      <c r="Z654" s="85"/>
      <c r="AA654" s="85"/>
      <c r="AB654" s="96" t="str">
        <f>IF(TAB_ESTOQUE[[#This Row],[Estoque]]=0,"Estoque Não Conforme",IF(TAB_ESTOQUE[[#This Row],[Estoque]]&gt;=TAB_ESTOQUE[[#This Row],[Mínimo]],"Estoque Conforme",IF(TAB_ESTOQUE[[#This Row],[Estoque]]&lt;TAB_ESTOQUE[[#This Row],[Mínimo]],"Estoque em Nivel Minimo")))</f>
        <v>Estoque Conforme</v>
      </c>
      <c r="AC654" s="96"/>
      <c r="AD654" s="82"/>
      <c r="AE654" s="95"/>
      <c r="AF654" s="95"/>
    </row>
    <row r="655" spans="1:32" ht="15" customHeight="1" x14ac:dyDescent="0.25">
      <c r="A655" s="45">
        <v>986</v>
      </c>
      <c r="B655" s="47"/>
      <c r="C655" s="46"/>
      <c r="D655" s="45" t="s">
        <v>1925</v>
      </c>
      <c r="E655" s="46" t="s">
        <v>1240</v>
      </c>
      <c r="F655" s="87"/>
      <c r="G655" s="82"/>
      <c r="H655" s="82"/>
      <c r="I655" s="82" t="s">
        <v>8800</v>
      </c>
      <c r="J655" s="82"/>
      <c r="K655" s="82"/>
      <c r="L655" s="82"/>
      <c r="M655" s="82"/>
      <c r="N655" s="82"/>
      <c r="O655" s="87" t="s">
        <v>7623</v>
      </c>
      <c r="P655" s="82" t="s">
        <v>758</v>
      </c>
      <c r="Q655" s="83">
        <f>VLOOKUP(TAB_ESTOQUE[[#This Row],[Codigo]],TAB_ENTRADA[[Cod_2_Entrada]:[TOTAL_ENTRADA]],5,FALSE)-VLOOKUP(TAB_ESTOQUE[[#This Row],[Codigo]],TAB_SAIDA[[COD_2_SAIDA]:[TOTAL_SAIDA]],5,FALSE)</f>
        <v>2</v>
      </c>
      <c r="R655" s="87"/>
      <c r="S655" s="87"/>
      <c r="T655" s="90">
        <v>3899.57</v>
      </c>
      <c r="U655" s="91">
        <f>TAB_ESTOQUE[[#This Row],[Valor Unitario Estimado]]*TAB_ESTOQUE[[#This Row],[Estoque]]</f>
        <v>7799.14</v>
      </c>
      <c r="V655" s="91"/>
      <c r="W655" s="85"/>
      <c r="X655" s="85"/>
      <c r="Y655" s="85"/>
      <c r="Z655" s="85"/>
      <c r="AA655" s="85"/>
      <c r="AB655" s="85" t="str">
        <f>IF(TAB_ESTOQUE[[#This Row],[Estoque]]=0,"Estoque Não Conforme",IF(TAB_ESTOQUE[[#This Row],[Estoque]]&gt;=TAB_ESTOQUE[[#This Row],[Mínimo]],"Estoque Conforme",IF(TAB_ESTOQUE[[#This Row],[Estoque]]&lt;TAB_ESTOQUE[[#This Row],[Mínimo]],"Estoque em Nivel Minimo")))</f>
        <v>Estoque Conforme</v>
      </c>
      <c r="AC655" s="85"/>
      <c r="AD655" s="82"/>
      <c r="AE655" s="82"/>
      <c r="AF655" s="82"/>
    </row>
    <row r="656" spans="1:32" ht="15" customHeight="1" x14ac:dyDescent="0.25">
      <c r="A656" s="45">
        <v>826</v>
      </c>
      <c r="B656" s="47"/>
      <c r="C656" s="46"/>
      <c r="D656" s="45" t="s">
        <v>2021</v>
      </c>
      <c r="E656" s="46"/>
      <c r="F656" s="87"/>
      <c r="G656" s="82"/>
      <c r="H656" s="82"/>
      <c r="I656" s="82" t="s">
        <v>8216</v>
      </c>
      <c r="J656" s="82"/>
      <c r="K656" s="82"/>
      <c r="L656" s="82"/>
      <c r="M656" s="82"/>
      <c r="N656" s="82"/>
      <c r="O656" s="87" t="s">
        <v>6559</v>
      </c>
      <c r="P656" s="82" t="s">
        <v>612</v>
      </c>
      <c r="Q656" s="83">
        <f>VLOOKUP(TAB_ESTOQUE[[#This Row],[Codigo]],TAB_ENTRADA[[Cod_2_Entrada]:[TOTAL_ENTRADA]],5,FALSE)-VLOOKUP(TAB_ESTOQUE[[#This Row],[Codigo]],TAB_SAIDA[[COD_2_SAIDA]:[TOTAL_SAIDA]],5,FALSE)</f>
        <v>0</v>
      </c>
      <c r="R656" s="87"/>
      <c r="S656" s="87"/>
      <c r="T656" s="90"/>
      <c r="U656" s="91">
        <f>TAB_ESTOQUE[[#This Row],[Valor Unitario Estimado]]*TAB_ESTOQUE[[#This Row],[Estoque]]</f>
        <v>0</v>
      </c>
      <c r="V656" s="91"/>
      <c r="W656" s="85"/>
      <c r="X656" s="85"/>
      <c r="Y656" s="85"/>
      <c r="Z656" s="85"/>
      <c r="AA656" s="85"/>
      <c r="AB656" s="85" t="str">
        <f>IF(TAB_ESTOQUE[[#This Row],[Estoque]]=0,"Estoque Não Conforme",IF(TAB_ESTOQUE[[#This Row],[Estoque]]&gt;=TAB_ESTOQUE[[#This Row],[Mínimo]],"Estoque Conforme",IF(TAB_ESTOQUE[[#This Row],[Estoque]]&lt;TAB_ESTOQUE[[#This Row],[Mínimo]],"Estoque em Nivel Minimo")))</f>
        <v>Estoque Não Conforme</v>
      </c>
      <c r="AC656" s="85"/>
      <c r="AD656" s="82"/>
      <c r="AE656" s="82"/>
      <c r="AF656" s="82"/>
    </row>
    <row r="657" spans="1:32" s="47" customFormat="1" ht="15" customHeight="1" x14ac:dyDescent="0.25">
      <c r="A657" s="45">
        <v>827</v>
      </c>
      <c r="C657" s="46"/>
      <c r="D657" s="45" t="s">
        <v>2022</v>
      </c>
      <c r="E657" s="46"/>
      <c r="F657" s="87"/>
      <c r="G657" s="82"/>
      <c r="H657" s="82"/>
      <c r="I657" s="82" t="s">
        <v>8217</v>
      </c>
      <c r="J657" s="82"/>
      <c r="K657" s="82"/>
      <c r="L657" s="82"/>
      <c r="M657" s="82"/>
      <c r="N657" s="82"/>
      <c r="O657" s="87" t="s">
        <v>6559</v>
      </c>
      <c r="P657" s="82" t="s">
        <v>614</v>
      </c>
      <c r="Q657" s="83">
        <f>VLOOKUP(TAB_ESTOQUE[[#This Row],[Codigo]],TAB_ENTRADA[[Cod_2_Entrada]:[TOTAL_ENTRADA]],5,FALSE)-VLOOKUP(TAB_ESTOQUE[[#This Row],[Codigo]],TAB_SAIDA[[COD_2_SAIDA]:[TOTAL_SAIDA]],5,FALSE)</f>
        <v>0</v>
      </c>
      <c r="R657" s="87"/>
      <c r="S657" s="87"/>
      <c r="T657" s="90">
        <v>860.33</v>
      </c>
      <c r="U657" s="91">
        <f>TAB_ESTOQUE[[#This Row],[Valor Unitario Estimado]]*TAB_ESTOQUE[[#This Row],[Estoque]]</f>
        <v>0</v>
      </c>
      <c r="V657" s="91"/>
      <c r="W657" s="85"/>
      <c r="X657" s="85"/>
      <c r="Y657" s="85"/>
      <c r="Z657" s="85"/>
      <c r="AA657" s="85"/>
      <c r="AB657" s="85" t="str">
        <f>IF(TAB_ESTOQUE[[#This Row],[Estoque]]=0,"Estoque Não Conforme",IF(TAB_ESTOQUE[[#This Row],[Estoque]]&gt;=TAB_ESTOQUE[[#This Row],[Mínimo]],"Estoque Conforme",IF(TAB_ESTOQUE[[#This Row],[Estoque]]&lt;TAB_ESTOQUE[[#This Row],[Mínimo]],"Estoque em Nivel Minimo")))</f>
        <v>Estoque Não Conforme</v>
      </c>
      <c r="AC657" s="85"/>
      <c r="AD657" s="82"/>
      <c r="AE657" s="94"/>
      <c r="AF657" s="94"/>
    </row>
    <row r="658" spans="1:32" s="106" customFormat="1" ht="15" customHeight="1" x14ac:dyDescent="0.25">
      <c r="A658" s="45">
        <v>554</v>
      </c>
      <c r="B658" s="47"/>
      <c r="C658" s="46"/>
      <c r="D658" s="45" t="s">
        <v>2045</v>
      </c>
      <c r="E658" s="46" t="s">
        <v>7</v>
      </c>
      <c r="F658" s="87"/>
      <c r="G658" s="82"/>
      <c r="H658" s="82"/>
      <c r="I658" s="82" t="s">
        <v>8218</v>
      </c>
      <c r="J658" s="82"/>
      <c r="K658" s="82"/>
      <c r="L658" s="82"/>
      <c r="M658" s="82" t="s">
        <v>94</v>
      </c>
      <c r="N658" s="82"/>
      <c r="O658" s="87" t="s">
        <v>6559</v>
      </c>
      <c r="P658" s="82" t="s">
        <v>330</v>
      </c>
      <c r="Q658" s="83">
        <f>VLOOKUP(TAB_ESTOQUE[[#This Row],[Codigo]],TAB_ENTRADA[[Cod_2_Entrada]:[TOTAL_ENTRADA]],5,FALSE)-VLOOKUP(TAB_ESTOQUE[[#This Row],[Codigo]],TAB_SAIDA[[COD_2_SAIDA]:[TOTAL_SAIDA]],5,FALSE)</f>
        <v>0</v>
      </c>
      <c r="R658" s="87"/>
      <c r="S658" s="87"/>
      <c r="T658" s="90">
        <v>204</v>
      </c>
      <c r="U658" s="91">
        <f>TAB_ESTOQUE[[#This Row],[Valor Unitario Estimado]]*TAB_ESTOQUE[[#This Row],[Estoque]]</f>
        <v>0</v>
      </c>
      <c r="V658" s="91"/>
      <c r="W658" s="85"/>
      <c r="X658" s="85"/>
      <c r="Y658" s="85"/>
      <c r="Z658" s="85"/>
      <c r="AA658" s="85"/>
      <c r="AB658" s="85" t="str">
        <f>IF(TAB_ESTOQUE[[#This Row],[Estoque]]=0,"Estoque Não Conforme",IF(TAB_ESTOQUE[[#This Row],[Estoque]]&gt;=TAB_ESTOQUE[[#This Row],[Mínimo]],"Estoque Conforme",IF(TAB_ESTOQUE[[#This Row],[Estoque]]&lt;TAB_ESTOQUE[[#This Row],[Mínimo]],"Estoque em Nivel Minimo")))</f>
        <v>Estoque Não Conforme</v>
      </c>
      <c r="AC658" s="85"/>
      <c r="AD658" s="82"/>
      <c r="AE658" s="95"/>
      <c r="AF658" s="95"/>
    </row>
    <row r="659" spans="1:32" s="47" customFormat="1" ht="15" customHeight="1" x14ac:dyDescent="0.25">
      <c r="A659" s="45">
        <v>1212</v>
      </c>
      <c r="C659" s="46"/>
      <c r="D659" s="45" t="s">
        <v>2052</v>
      </c>
      <c r="E659" s="46" t="s">
        <v>7</v>
      </c>
      <c r="F659" s="87"/>
      <c r="G659" s="82"/>
      <c r="H659" s="82"/>
      <c r="I659" s="82" t="s">
        <v>8219</v>
      </c>
      <c r="J659" s="82"/>
      <c r="K659" s="82" t="s">
        <v>927</v>
      </c>
      <c r="L659" s="82"/>
      <c r="M659" s="82"/>
      <c r="N659" s="82"/>
      <c r="O659" s="87" t="s">
        <v>6559</v>
      </c>
      <c r="P659" s="82" t="s">
        <v>926</v>
      </c>
      <c r="Q659" s="83">
        <f>VLOOKUP(TAB_ESTOQUE[[#This Row],[Codigo]],TAB_ENTRADA[[Cod_2_Entrada]:[TOTAL_ENTRADA]],5,FALSE)-VLOOKUP(TAB_ESTOQUE[[#This Row],[Codigo]],TAB_SAIDA[[COD_2_SAIDA]:[TOTAL_SAIDA]],5,FALSE)</f>
        <v>1</v>
      </c>
      <c r="R659" s="87"/>
      <c r="S659" s="87"/>
      <c r="T659" s="90">
        <v>321</v>
      </c>
      <c r="U659" s="91">
        <f>TAB_ESTOQUE[[#This Row],[Valor Unitario Estimado]]*TAB_ESTOQUE[[#This Row],[Estoque]]</f>
        <v>321</v>
      </c>
      <c r="V659" s="91"/>
      <c r="W659" s="85"/>
      <c r="X659" s="85"/>
      <c r="Y659" s="85"/>
      <c r="Z659" s="85"/>
      <c r="AA659" s="85"/>
      <c r="AB659" s="85" t="str">
        <f>IF(TAB_ESTOQUE[[#This Row],[Estoque]]=0,"Estoque Não Conforme",IF(TAB_ESTOQUE[[#This Row],[Estoque]]&gt;=TAB_ESTOQUE[[#This Row],[Mínimo]],"Estoque Conforme",IF(TAB_ESTOQUE[[#This Row],[Estoque]]&lt;TAB_ESTOQUE[[#This Row],[Mínimo]],"Estoque em Nivel Minimo")))</f>
        <v>Estoque Conforme</v>
      </c>
      <c r="AC659" s="85"/>
      <c r="AD659" s="82"/>
      <c r="AE659" s="94"/>
      <c r="AF659" s="94"/>
    </row>
    <row r="660" spans="1:32" s="106" customFormat="1" ht="14.25" customHeight="1" x14ac:dyDescent="0.25">
      <c r="A660" s="106">
        <v>1229</v>
      </c>
      <c r="C660" s="116" t="s">
        <v>2833</v>
      </c>
      <c r="D660" s="106" t="s">
        <v>2409</v>
      </c>
      <c r="E660" s="116" t="s">
        <v>7</v>
      </c>
      <c r="F660" s="118"/>
      <c r="G660" s="95"/>
      <c r="H660" s="95"/>
      <c r="I660" s="95" t="s">
        <v>8220</v>
      </c>
      <c r="J660" s="95"/>
      <c r="K660" s="95" t="s">
        <v>48</v>
      </c>
      <c r="L660" s="95"/>
      <c r="M660" s="95"/>
      <c r="N660" s="95"/>
      <c r="O660" s="118" t="s">
        <v>6559</v>
      </c>
      <c r="P660" s="95" t="s">
        <v>944</v>
      </c>
      <c r="Q660" s="154">
        <f>VLOOKUP(TAB_ESTOQUE[[#This Row],[Codigo]],TAB_ENTRADA[[Cod_2_Entrada]:[TOTAL_ENTRADA]],5,FALSE)-VLOOKUP(TAB_ESTOQUE[[#This Row],[Codigo]],TAB_SAIDA[[COD_2_SAIDA]:[TOTAL_SAIDA]],5,FALSE)</f>
        <v>3</v>
      </c>
      <c r="R660" s="118"/>
      <c r="S660" s="118"/>
      <c r="T660" s="119"/>
      <c r="U660" s="112">
        <f>TAB_ESTOQUE[[#This Row],[Valor Unitario Estimado]]*TAB_ESTOQUE[[#This Row],[Estoque]]</f>
        <v>0</v>
      </c>
      <c r="V660" s="112"/>
      <c r="W660" s="120"/>
      <c r="X660" s="120"/>
      <c r="Y660" s="120"/>
      <c r="Z660" s="120"/>
      <c r="AA660" s="120"/>
      <c r="AB660" s="120" t="str">
        <f>IF(TAB_ESTOQUE[[#This Row],[Estoque]]=0,"Estoque Não Conforme",IF(TAB_ESTOQUE[[#This Row],[Estoque]]&gt;=TAB_ESTOQUE[[#This Row],[Mínimo]],"Estoque Conforme",IF(TAB_ESTOQUE[[#This Row],[Estoque]]&lt;TAB_ESTOQUE[[#This Row],[Mínimo]],"Estoque em Nivel Minimo")))</f>
        <v>Estoque Conforme</v>
      </c>
      <c r="AC660" s="120"/>
      <c r="AD660" s="95"/>
      <c r="AE660" s="95"/>
      <c r="AF660" s="95"/>
    </row>
    <row r="661" spans="1:32" ht="15" customHeight="1" x14ac:dyDescent="0.25">
      <c r="A661" s="45">
        <v>987</v>
      </c>
      <c r="B661" s="47"/>
      <c r="C661" s="46"/>
      <c r="D661" s="45" t="s">
        <v>1929</v>
      </c>
      <c r="E661" s="46" t="s">
        <v>7</v>
      </c>
      <c r="F661" s="87"/>
      <c r="G661" s="82"/>
      <c r="H661" s="82"/>
      <c r="I661" s="82" t="s">
        <v>8213</v>
      </c>
      <c r="J661" s="82"/>
      <c r="K661" s="82"/>
      <c r="L661" s="82"/>
      <c r="M661" s="82"/>
      <c r="N661" s="82"/>
      <c r="O661" s="87" t="s">
        <v>6490</v>
      </c>
      <c r="P661" s="82" t="s">
        <v>759</v>
      </c>
      <c r="Q661" s="83">
        <f>VLOOKUP(TAB_ESTOQUE[[#This Row],[Codigo]],TAB_ENTRADA[[Cod_2_Entrada]:[TOTAL_ENTRADA]],5,FALSE)-VLOOKUP(TAB_ESTOQUE[[#This Row],[Codigo]],TAB_SAIDA[[COD_2_SAIDA]:[TOTAL_SAIDA]],5,FALSE)</f>
        <v>4</v>
      </c>
      <c r="R661" s="87"/>
      <c r="S661" s="87"/>
      <c r="T661" s="90"/>
      <c r="U661" s="91">
        <f>TAB_ESTOQUE[[#This Row],[Valor Unitario Estimado]]*TAB_ESTOQUE[[#This Row],[Estoque]]</f>
        <v>0</v>
      </c>
      <c r="V661" s="91"/>
      <c r="W661" s="85"/>
      <c r="X661" s="85"/>
      <c r="Y661" s="85"/>
      <c r="Z661" s="85"/>
      <c r="AA661" s="85"/>
      <c r="AB661" s="85" t="str">
        <f>IF(TAB_ESTOQUE[[#This Row],[Estoque]]=0,"Estoque Não Conforme",IF(TAB_ESTOQUE[[#This Row],[Estoque]]&gt;=TAB_ESTOQUE[[#This Row],[Mínimo]],"Estoque Conforme",IF(TAB_ESTOQUE[[#This Row],[Estoque]]&lt;TAB_ESTOQUE[[#This Row],[Mínimo]],"Estoque em Nivel Minimo")))</f>
        <v>Estoque Conforme</v>
      </c>
      <c r="AC661" s="85"/>
      <c r="AD661" s="82"/>
      <c r="AE661" s="82"/>
      <c r="AF661" s="82"/>
    </row>
    <row r="662" spans="1:32" ht="15" customHeight="1" x14ac:dyDescent="0.25">
      <c r="A662" s="106">
        <v>1257</v>
      </c>
      <c r="B662" s="106"/>
      <c r="C662" s="116"/>
      <c r="D662" s="106" t="s">
        <v>1931</v>
      </c>
      <c r="E662" s="116" t="s">
        <v>7</v>
      </c>
      <c r="F662" s="118"/>
      <c r="G662" s="95"/>
      <c r="H662" s="95"/>
      <c r="I662" s="95" t="s">
        <v>8214</v>
      </c>
      <c r="J662" s="95"/>
      <c r="K662" s="95"/>
      <c r="L662" s="95"/>
      <c r="M662" s="95"/>
      <c r="N662" s="95"/>
      <c r="O662" s="118" t="s">
        <v>6490</v>
      </c>
      <c r="P662" s="95" t="s">
        <v>376</v>
      </c>
      <c r="Q662" s="154">
        <f>VLOOKUP(TAB_ESTOQUE[[#This Row],[Codigo]],TAB_ENTRADA[[Cod_2_Entrada]:[TOTAL_ENTRADA]],5,FALSE)-VLOOKUP(TAB_ESTOQUE[[#This Row],[Codigo]],TAB_SAIDA[[COD_2_SAIDA]:[TOTAL_SAIDA]],5,FALSE)</f>
        <v>1</v>
      </c>
      <c r="R662" s="118"/>
      <c r="S662" s="118"/>
      <c r="T662" s="119">
        <v>426</v>
      </c>
      <c r="U662" s="112">
        <f>TAB_ESTOQUE[[#This Row],[Valor Unitario Estimado]]*TAB_ESTOQUE[[#This Row],[Estoque]]</f>
        <v>426</v>
      </c>
      <c r="V662" s="112"/>
      <c r="W662" s="120"/>
      <c r="X662" s="120"/>
      <c r="Y662" s="120"/>
      <c r="Z662" s="120"/>
      <c r="AA662" s="120"/>
      <c r="AB662" s="120" t="str">
        <f>IF(TAB_ESTOQUE[[#This Row],[Estoque]]=0,"Estoque Não Conforme",IF(TAB_ESTOQUE[[#This Row],[Estoque]]&gt;=TAB_ESTOQUE[[#This Row],[Mínimo]],"Estoque Conforme",IF(TAB_ESTOQUE[[#This Row],[Estoque]]&lt;TAB_ESTOQUE[[#This Row],[Mínimo]],"Estoque em Nivel Minimo")))</f>
        <v>Estoque Conforme</v>
      </c>
      <c r="AC662" s="120"/>
      <c r="AD662" s="95"/>
      <c r="AE662" s="82"/>
      <c r="AF662" s="82"/>
    </row>
    <row r="663" spans="1:32" ht="15" customHeight="1" x14ac:dyDescent="0.25">
      <c r="A663" s="47">
        <v>992</v>
      </c>
      <c r="B663" s="47"/>
      <c r="C663" s="51"/>
      <c r="D663" s="47" t="s">
        <v>1984</v>
      </c>
      <c r="E663" s="51"/>
      <c r="F663" s="107"/>
      <c r="G663" s="94"/>
      <c r="H663" s="94"/>
      <c r="I663" s="94" t="s">
        <v>8215</v>
      </c>
      <c r="J663" s="94"/>
      <c r="K663" s="94"/>
      <c r="L663" s="94"/>
      <c r="M663" s="94"/>
      <c r="N663" s="94"/>
      <c r="O663" s="107" t="s">
        <v>6490</v>
      </c>
      <c r="P663" s="94" t="s">
        <v>763</v>
      </c>
      <c r="Q663" s="145">
        <f>VLOOKUP(TAB_ESTOQUE[[#This Row],[Codigo]],TAB_ENTRADA[[Cod_2_Entrada]:[TOTAL_ENTRADA]],5,FALSE)-VLOOKUP(TAB_ESTOQUE[[#This Row],[Codigo]],TAB_SAIDA[[COD_2_SAIDA]:[TOTAL_SAIDA]],5,FALSE)</f>
        <v>2</v>
      </c>
      <c r="R663" s="107"/>
      <c r="S663" s="107"/>
      <c r="T663" s="108">
        <v>526.53</v>
      </c>
      <c r="U663" s="109">
        <f>TAB_ESTOQUE[[#This Row],[Valor Unitario Estimado]]*TAB_ESTOQUE[[#This Row],[Estoque]]</f>
        <v>1053.06</v>
      </c>
      <c r="V663" s="109"/>
      <c r="W663" s="110"/>
      <c r="X663" s="110"/>
      <c r="Y663" s="110"/>
      <c r="Z663" s="110"/>
      <c r="AA663" s="110"/>
      <c r="AB663" s="110" t="str">
        <f>IF(TAB_ESTOQUE[[#This Row],[Estoque]]=0,"Estoque Não Conforme",IF(TAB_ESTOQUE[[#This Row],[Estoque]]&gt;=TAB_ESTOQUE[[#This Row],[Mínimo]],"Estoque Conforme",IF(TAB_ESTOQUE[[#This Row],[Estoque]]&lt;TAB_ESTOQUE[[#This Row],[Mínimo]],"Estoque em Nivel Minimo")))</f>
        <v>Estoque Conforme</v>
      </c>
      <c r="AC663" s="110"/>
      <c r="AD663" s="94"/>
      <c r="AE663" s="82"/>
      <c r="AF663" s="82"/>
    </row>
    <row r="664" spans="1:32" ht="15" customHeight="1" x14ac:dyDescent="0.25">
      <c r="A664" s="45">
        <v>1343</v>
      </c>
      <c r="B664" s="47"/>
      <c r="C664" s="46"/>
      <c r="D664" s="45" t="s">
        <v>1994</v>
      </c>
      <c r="E664" s="46" t="s">
        <v>7</v>
      </c>
      <c r="F664" s="87"/>
      <c r="G664" s="82"/>
      <c r="H664" s="82"/>
      <c r="I664" s="82" t="s">
        <v>8230</v>
      </c>
      <c r="J664" s="82"/>
      <c r="K664" s="82"/>
      <c r="L664" s="82"/>
      <c r="M664" s="82" t="s">
        <v>8</v>
      </c>
      <c r="N664" s="82"/>
      <c r="O664" s="87" t="s">
        <v>6490</v>
      </c>
      <c r="P664" s="82" t="s">
        <v>1077</v>
      </c>
      <c r="Q664" s="83">
        <f>VLOOKUP(TAB_ESTOQUE[[#This Row],[Codigo]],TAB_ENTRADA[[Cod_2_Entrada]:[TOTAL_ENTRADA]],5,FALSE)-VLOOKUP(TAB_ESTOQUE[[#This Row],[Codigo]],TAB_SAIDA[[COD_2_SAIDA]:[TOTAL_SAIDA]],5,FALSE)</f>
        <v>0</v>
      </c>
      <c r="R664" s="87"/>
      <c r="S664" s="87"/>
      <c r="T664" s="90">
        <v>4500</v>
      </c>
      <c r="U664" s="91">
        <f>TAB_ESTOQUE[[#This Row],[Valor Unitario Estimado]]*TAB_ESTOQUE[[#This Row],[Estoque]]</f>
        <v>0</v>
      </c>
      <c r="V664" s="91"/>
      <c r="W664" s="85"/>
      <c r="X664" s="85"/>
      <c r="Y664" s="85"/>
      <c r="Z664" s="85"/>
      <c r="AA664" s="85"/>
      <c r="AB664" s="85" t="str">
        <f>IF(TAB_ESTOQUE[[#This Row],[Estoque]]=0,"Estoque Não Conforme",IF(TAB_ESTOQUE[[#This Row],[Estoque]]&gt;=TAB_ESTOQUE[[#This Row],[Mínimo]],"Estoque Conforme",IF(TAB_ESTOQUE[[#This Row],[Estoque]]&lt;TAB_ESTOQUE[[#This Row],[Mínimo]],"Estoque em Nivel Minimo")))</f>
        <v>Estoque Não Conforme</v>
      </c>
      <c r="AC664" s="85"/>
      <c r="AD664" s="82"/>
      <c r="AE664" s="82"/>
      <c r="AF664" s="82"/>
    </row>
    <row r="665" spans="1:32" s="47" customFormat="1" ht="15" customHeight="1" x14ac:dyDescent="0.25">
      <c r="A665" s="45">
        <v>1133</v>
      </c>
      <c r="C665" s="46" t="s">
        <v>2833</v>
      </c>
      <c r="D665" s="45" t="s">
        <v>2433</v>
      </c>
      <c r="E665" s="46" t="s">
        <v>7</v>
      </c>
      <c r="F665" s="87"/>
      <c r="G665" s="82"/>
      <c r="H665" s="82"/>
      <c r="I665" s="82" t="s">
        <v>8221</v>
      </c>
      <c r="J665" s="82"/>
      <c r="K665" s="82" t="s">
        <v>561</v>
      </c>
      <c r="L665" s="82"/>
      <c r="M665" s="82"/>
      <c r="N665" s="82"/>
      <c r="O665" s="87" t="s">
        <v>6490</v>
      </c>
      <c r="P665" s="82" t="s">
        <v>859</v>
      </c>
      <c r="Q665" s="83">
        <f>VLOOKUP(TAB_ESTOQUE[[#This Row],[Codigo]],TAB_ENTRADA[[Cod_2_Entrada]:[TOTAL_ENTRADA]],5,FALSE)-VLOOKUP(TAB_ESTOQUE[[#This Row],[Codigo]],TAB_SAIDA[[COD_2_SAIDA]:[TOTAL_SAIDA]],5,FALSE)</f>
        <v>3</v>
      </c>
      <c r="R665" s="87"/>
      <c r="S665" s="87"/>
      <c r="T665" s="90"/>
      <c r="U665" s="91">
        <f>TAB_ESTOQUE[[#This Row],[Valor Unitario Estimado]]*TAB_ESTOQUE[[#This Row],[Estoque]]</f>
        <v>0</v>
      </c>
      <c r="V665" s="91"/>
      <c r="W665" s="85"/>
      <c r="X665" s="85"/>
      <c r="Y665" s="85"/>
      <c r="Z665" s="85"/>
      <c r="AA665" s="85"/>
      <c r="AB665" s="85" t="str">
        <f>IF(TAB_ESTOQUE[[#This Row],[Estoque]]=0,"Estoque Não Conforme",IF(TAB_ESTOQUE[[#This Row],[Estoque]]&gt;=TAB_ESTOQUE[[#This Row],[Mínimo]],"Estoque Conforme",IF(TAB_ESTOQUE[[#This Row],[Estoque]]&lt;TAB_ESTOQUE[[#This Row],[Mínimo]],"Estoque em Nivel Minimo")))</f>
        <v>Estoque Conforme</v>
      </c>
      <c r="AC665" s="85"/>
      <c r="AD665" s="82"/>
      <c r="AE665" s="94"/>
      <c r="AF665" s="94"/>
    </row>
    <row r="666" spans="1:32" ht="15" customHeight="1" x14ac:dyDescent="0.25">
      <c r="A666" s="106">
        <v>824</v>
      </c>
      <c r="B666" s="106"/>
      <c r="C666" s="116" t="s">
        <v>2833</v>
      </c>
      <c r="D666" s="106" t="s">
        <v>1933</v>
      </c>
      <c r="E666" s="116"/>
      <c r="F666" s="118"/>
      <c r="G666" s="95"/>
      <c r="H666" s="95"/>
      <c r="I666" s="95" t="s">
        <v>8478</v>
      </c>
      <c r="J666" s="95"/>
      <c r="K666" s="95"/>
      <c r="L666" s="95"/>
      <c r="M666" s="95"/>
      <c r="N666" s="95"/>
      <c r="O666" s="118" t="s">
        <v>6495</v>
      </c>
      <c r="P666" s="95" t="s">
        <v>751</v>
      </c>
      <c r="Q666" s="154">
        <f>VLOOKUP(TAB_ESTOQUE[[#This Row],[Codigo]],TAB_ENTRADA[[Cod_2_Entrada]:[TOTAL_ENTRADA]],5,FALSE)-VLOOKUP(TAB_ESTOQUE[[#This Row],[Codigo]],TAB_SAIDA[[COD_2_SAIDA]:[TOTAL_SAIDA]],5,FALSE)</f>
        <v>1</v>
      </c>
      <c r="R666" s="118"/>
      <c r="S666" s="118"/>
      <c r="T666" s="119"/>
      <c r="U666" s="112">
        <f>TAB_ESTOQUE[[#This Row],[Valor Unitario Estimado]]*TAB_ESTOQUE[[#This Row],[Estoque]]</f>
        <v>0</v>
      </c>
      <c r="V666" s="112"/>
      <c r="W666" s="120"/>
      <c r="X666" s="120"/>
      <c r="Y666" s="120"/>
      <c r="Z666" s="120"/>
      <c r="AA666" s="120"/>
      <c r="AB666" s="120" t="str">
        <f>IF(TAB_ESTOQUE[[#This Row],[Estoque]]=0,"Estoque Não Conforme",IF(TAB_ESTOQUE[[#This Row],[Estoque]]&gt;=TAB_ESTOQUE[[#This Row],[Mínimo]],"Estoque Conforme",IF(TAB_ESTOQUE[[#This Row],[Estoque]]&lt;TAB_ESTOQUE[[#This Row],[Mínimo]],"Estoque em Nivel Minimo")))</f>
        <v>Estoque Conforme</v>
      </c>
      <c r="AC666" s="120"/>
      <c r="AD666" s="95"/>
      <c r="AE666" s="82"/>
      <c r="AF666" s="82"/>
    </row>
    <row r="667" spans="1:32" ht="15" customHeight="1" x14ac:dyDescent="0.25">
      <c r="A667" s="45" t="s">
        <v>1159</v>
      </c>
      <c r="B667" s="47"/>
      <c r="C667" s="46" t="s">
        <v>2842</v>
      </c>
      <c r="D667" s="45" t="s">
        <v>2642</v>
      </c>
      <c r="E667" s="46"/>
      <c r="F667" s="87"/>
      <c r="G667" s="82"/>
      <c r="H667" s="82"/>
      <c r="I667" s="82" t="s">
        <v>8222</v>
      </c>
      <c r="J667" s="82"/>
      <c r="K667" s="82"/>
      <c r="L667" s="82"/>
      <c r="M667" s="82"/>
      <c r="N667" s="82"/>
      <c r="O667" s="87" t="s">
        <v>6495</v>
      </c>
      <c r="P667" s="82" t="s">
        <v>1195</v>
      </c>
      <c r="Q667" s="83">
        <f>VLOOKUP(TAB_ESTOQUE[[#This Row],[Codigo]],TAB_ENTRADA[[Cod_2_Entrada]:[TOTAL_ENTRADA]],5,FALSE)-VLOOKUP(TAB_ESTOQUE[[#This Row],[Codigo]],TAB_SAIDA[[COD_2_SAIDA]:[TOTAL_SAIDA]],5,FALSE)</f>
        <v>0</v>
      </c>
      <c r="R667" s="87"/>
      <c r="S667" s="87"/>
      <c r="T667" s="90"/>
      <c r="U667" s="91">
        <f>TAB_ESTOQUE[[#This Row],[Valor Unitario Estimado]]*TAB_ESTOQUE[[#This Row],[Estoque]]</f>
        <v>0</v>
      </c>
      <c r="V667" s="91"/>
      <c r="W667" s="85"/>
      <c r="X667" s="85"/>
      <c r="Y667" s="85"/>
      <c r="Z667" s="85"/>
      <c r="AA667" s="85"/>
      <c r="AB667" s="85" t="str">
        <f>IF(TAB_ESTOQUE[[#This Row],[Estoque]]=0,"Estoque Não Conforme",IF(TAB_ESTOQUE[[#This Row],[Estoque]]&gt;=TAB_ESTOQUE[[#This Row],[Mínimo]],"Estoque Conforme",IF(TAB_ESTOQUE[[#This Row],[Estoque]]&lt;TAB_ESTOQUE[[#This Row],[Mínimo]],"Estoque em Nivel Minimo")))</f>
        <v>Estoque Não Conforme</v>
      </c>
      <c r="AC667" s="85"/>
      <c r="AD667" s="82"/>
      <c r="AE667" s="82"/>
      <c r="AF667" s="82"/>
    </row>
    <row r="668" spans="1:32" ht="15" customHeight="1" x14ac:dyDescent="0.25">
      <c r="B668" s="47"/>
      <c r="C668" s="46"/>
      <c r="D668" s="45" t="s">
        <v>2703</v>
      </c>
      <c r="E668" s="46"/>
      <c r="F668" s="87"/>
      <c r="G668" s="82"/>
      <c r="H668" s="82"/>
      <c r="I668" s="82" t="s">
        <v>8223</v>
      </c>
      <c r="J668" s="82"/>
      <c r="K668" s="82"/>
      <c r="L668" s="82"/>
      <c r="M668" s="82"/>
      <c r="N668" s="82"/>
      <c r="O668" s="87" t="s">
        <v>6495</v>
      </c>
      <c r="P668" s="82" t="s">
        <v>1302</v>
      </c>
      <c r="Q668" s="83">
        <f>VLOOKUP(TAB_ESTOQUE[[#This Row],[Codigo]],TAB_ENTRADA[[Cod_2_Entrada]:[TOTAL_ENTRADA]],5,FALSE)-VLOOKUP(TAB_ESTOQUE[[#This Row],[Codigo]],TAB_SAIDA[[COD_2_SAIDA]:[TOTAL_SAIDA]],5,FALSE)</f>
        <v>3</v>
      </c>
      <c r="R668" s="87"/>
      <c r="S668" s="87"/>
      <c r="T668" s="90"/>
      <c r="U668" s="91">
        <f>TAB_ESTOQUE[[#This Row],[Valor Unitario Estimado]]*TAB_ESTOQUE[[#This Row],[Estoque]]</f>
        <v>0</v>
      </c>
      <c r="V668" s="91"/>
      <c r="W668" s="85"/>
      <c r="X668" s="85"/>
      <c r="Y668" s="85"/>
      <c r="Z668" s="85"/>
      <c r="AA668" s="85"/>
      <c r="AB668" s="96" t="str">
        <f>IF(TAB_ESTOQUE[[#This Row],[Estoque]]=0,"Estoque Não Conforme",IF(TAB_ESTOQUE[[#This Row],[Estoque]]&gt;=TAB_ESTOQUE[[#This Row],[Mínimo]],"Estoque Conforme",IF(TAB_ESTOQUE[[#This Row],[Estoque]]&lt;TAB_ESTOQUE[[#This Row],[Mínimo]],"Estoque em Nivel Minimo")))</f>
        <v>Estoque Conforme</v>
      </c>
      <c r="AC668" s="85"/>
      <c r="AD668" s="82"/>
      <c r="AE668" s="82"/>
      <c r="AF668" s="82"/>
    </row>
    <row r="669" spans="1:32" ht="15" customHeight="1" x14ac:dyDescent="0.25">
      <c r="C669" s="48"/>
      <c r="D669" s="45" t="s">
        <v>7559</v>
      </c>
      <c r="E669" s="46" t="s">
        <v>8039</v>
      </c>
      <c r="F669" s="46"/>
      <c r="I669" s="45" t="s">
        <v>8060</v>
      </c>
      <c r="O669" s="116" t="s">
        <v>6495</v>
      </c>
      <c r="Q669" s="137">
        <f>VLOOKUP(TAB_ESTOQUE[[#This Row],[Codigo]],TAB_ENTRADA[[Cod_2_Entrada]:[TOTAL_ENTRADA]],5,FALSE)-VLOOKUP(TAB_ESTOQUE[[#This Row],[Codigo]],TAB_SAIDA[[COD_2_SAIDA]:[TOTAL_SAIDA]],5,FALSE)</f>
        <v>2</v>
      </c>
      <c r="S669" s="46"/>
      <c r="T669" s="102">
        <v>1338</v>
      </c>
      <c r="U669" s="103">
        <f>TAB_ESTOQUE[[#This Row],[Valor Unitario Estimado]]*TAB_ESTOQUE[[#This Row],[Estoque]]</f>
        <v>2676</v>
      </c>
      <c r="V669" s="103"/>
      <c r="AA669" s="138"/>
      <c r="AB669" s="104" t="str">
        <f>IF(TAB_ESTOQUE[[#This Row],[Estoque]]=0,"Estoque Não Conforme",IF(TAB_ESTOQUE[[#This Row],[Estoque]]&gt;=TAB_ESTOQUE[[#This Row],[Mínimo]],"Estoque Conforme",IF(TAB_ESTOQUE[[#This Row],[Estoque]]&lt;TAB_ESTOQUE[[#This Row],[Mínimo]],"Estoque em Nivel Minimo")))</f>
        <v>Estoque Conforme</v>
      </c>
      <c r="AC669" s="104"/>
      <c r="AE669" s="82"/>
      <c r="AF669" s="82"/>
    </row>
    <row r="670" spans="1:32" ht="15" customHeight="1" x14ac:dyDescent="0.25">
      <c r="B670" s="47"/>
      <c r="C670" s="53" t="s">
        <v>2833</v>
      </c>
      <c r="D670" s="45" t="s">
        <v>3106</v>
      </c>
      <c r="E670" s="46"/>
      <c r="F670" s="87"/>
      <c r="G670" s="82"/>
      <c r="H670" s="82"/>
      <c r="I670" s="82" t="s">
        <v>8224</v>
      </c>
      <c r="J670" s="82"/>
      <c r="K670" s="82"/>
      <c r="L670" s="82"/>
      <c r="M670" s="82"/>
      <c r="N670" s="82"/>
      <c r="O670" s="87" t="s">
        <v>6504</v>
      </c>
      <c r="P670" s="82" t="s">
        <v>6014</v>
      </c>
      <c r="Q670" s="83">
        <f>VLOOKUP(TAB_ESTOQUE[[#This Row],[Codigo]],TAB_ENTRADA[[Cod_2_Entrada]:[TOTAL_ENTRADA]],5,FALSE)-VLOOKUP(TAB_ESTOQUE[[#This Row],[Codigo]],TAB_SAIDA[[COD_2_SAIDA]:[TOTAL_SAIDA]],5,FALSE)</f>
        <v>1</v>
      </c>
      <c r="R670" s="87"/>
      <c r="S670" s="87"/>
      <c r="T670" s="90"/>
      <c r="U670" s="91">
        <f>TAB_ESTOQUE[[#This Row],[Valor Unitario Estimado]]*TAB_ESTOQUE[[#This Row],[Estoque]]</f>
        <v>0</v>
      </c>
      <c r="V670" s="91"/>
      <c r="W670" s="85"/>
      <c r="X670" s="85"/>
      <c r="Y670" s="85"/>
      <c r="Z670" s="85"/>
      <c r="AA670" s="85"/>
      <c r="AB670" s="96" t="str">
        <f>IF(TAB_ESTOQUE[[#This Row],[Estoque]]=0,"Estoque Não Conforme",IF(TAB_ESTOQUE[[#This Row],[Estoque]]&gt;=TAB_ESTOQUE[[#This Row],[Mínimo]],"Estoque Conforme",IF(TAB_ESTOQUE[[#This Row],[Estoque]]&lt;TAB_ESTOQUE[[#This Row],[Mínimo]],"Estoque em Nivel Minimo")))</f>
        <v>Estoque Conforme</v>
      </c>
      <c r="AC670" s="96"/>
      <c r="AD670" s="82"/>
      <c r="AE670" s="82"/>
      <c r="AF670" s="82"/>
    </row>
    <row r="671" spans="1:32" ht="15" customHeight="1" x14ac:dyDescent="0.25">
      <c r="C671" s="48"/>
      <c r="D671" s="45" t="s">
        <v>7073</v>
      </c>
      <c r="E671" s="46"/>
      <c r="F671" s="46"/>
      <c r="I671" s="45" t="s">
        <v>8860</v>
      </c>
      <c r="O671" s="46" t="s">
        <v>6504</v>
      </c>
      <c r="Q671" s="137">
        <f>VLOOKUP(TAB_ESTOQUE[[#This Row],[Codigo]],TAB_ENTRADA[[Cod_2_Entrada]:[TOTAL_ENTRADA]],5,FALSE)-VLOOKUP(TAB_ESTOQUE[[#This Row],[Codigo]],TAB_SAIDA[[COD_2_SAIDA]:[TOTAL_SAIDA]],5,FALSE)</f>
        <v>4</v>
      </c>
      <c r="S671" s="46"/>
      <c r="T671" s="102">
        <v>730</v>
      </c>
      <c r="U671" s="103">
        <f>TAB_ESTOQUE[[#This Row],[Valor Unitario Estimado]]*TAB_ESTOQUE[[#This Row],[Estoque]]</f>
        <v>2920</v>
      </c>
      <c r="V671" s="103"/>
      <c r="AA671" s="138"/>
      <c r="AB671" s="104" t="str">
        <f>IF(TAB_ESTOQUE[[#This Row],[Estoque]]=0,"Estoque Não Conforme",IF(TAB_ESTOQUE[[#This Row],[Estoque]]&gt;=TAB_ESTOQUE[[#This Row],[Mínimo]],"Estoque Conforme",IF(TAB_ESTOQUE[[#This Row],[Estoque]]&lt;TAB_ESTOQUE[[#This Row],[Mínimo]],"Estoque em Nivel Minimo")))</f>
        <v>Estoque Conforme</v>
      </c>
      <c r="AC671" s="104"/>
      <c r="AE671" s="82"/>
      <c r="AF671" s="82"/>
    </row>
    <row r="672" spans="1:32" ht="15" customHeight="1" x14ac:dyDescent="0.25">
      <c r="C672" s="48"/>
      <c r="D672" s="45" t="s">
        <v>7648</v>
      </c>
      <c r="E672" s="46"/>
      <c r="F672" s="46"/>
      <c r="I672" s="45" t="s">
        <v>8226</v>
      </c>
      <c r="O672" s="116" t="s">
        <v>6504</v>
      </c>
      <c r="Q672" s="137">
        <f>VLOOKUP(TAB_ESTOQUE[[#This Row],[Codigo]],TAB_ENTRADA[[Cod_2_Entrada]:[TOTAL_ENTRADA]],5,FALSE)-VLOOKUP(TAB_ESTOQUE[[#This Row],[Codigo]],TAB_SAIDA[[COD_2_SAIDA]:[TOTAL_SAIDA]],5,FALSE)</f>
        <v>1</v>
      </c>
      <c r="R672" s="46">
        <v>2</v>
      </c>
      <c r="S672" s="46">
        <v>4</v>
      </c>
      <c r="T672" s="102">
        <v>738.49</v>
      </c>
      <c r="U672" s="103">
        <f>TAB_ESTOQUE[[#This Row],[Valor Unitario Estimado]]*TAB_ESTOQUE[[#This Row],[Estoque]]</f>
        <v>738.49</v>
      </c>
      <c r="V672" s="103"/>
      <c r="AA672" s="138"/>
      <c r="AB672" s="104" t="str">
        <f>IF(TAB_ESTOQUE[[#This Row],[Estoque]]=0,"Estoque Não Conforme",IF(TAB_ESTOQUE[[#This Row],[Estoque]]&gt;=TAB_ESTOQUE[[#This Row],[Mínimo]],"Estoque Conforme",IF(TAB_ESTOQUE[[#This Row],[Estoque]]&lt;TAB_ESTOQUE[[#This Row],[Mínimo]],"Estoque em Nivel Minimo")))</f>
        <v>Estoque em Nivel Minimo</v>
      </c>
      <c r="AC672" s="104"/>
      <c r="AE672" s="82"/>
      <c r="AF672" s="82"/>
    </row>
    <row r="673" spans="1:32" s="161" customFormat="1" ht="15" customHeight="1" x14ac:dyDescent="0.25">
      <c r="A673" s="45">
        <v>916</v>
      </c>
      <c r="B673" s="47"/>
      <c r="C673" s="46" t="s">
        <v>2842</v>
      </c>
      <c r="D673" s="45" t="s">
        <v>1761</v>
      </c>
      <c r="E673" s="46" t="s">
        <v>8395</v>
      </c>
      <c r="F673" s="87"/>
      <c r="G673" s="82"/>
      <c r="H673" s="82"/>
      <c r="I673" s="82" t="s">
        <v>7608</v>
      </c>
      <c r="J673" s="82"/>
      <c r="K673" s="82"/>
      <c r="L673" s="82"/>
      <c r="M673" s="82"/>
      <c r="N673" s="82"/>
      <c r="O673" s="87" t="s">
        <v>6676</v>
      </c>
      <c r="P673" s="82" t="s">
        <v>6019</v>
      </c>
      <c r="Q673" s="83">
        <f>VLOOKUP(TAB_ESTOQUE[[#This Row],[Codigo]],TAB_ENTRADA[[Cod_2_Entrada]:[TOTAL_ENTRADA]],5,FALSE)-VLOOKUP(TAB_ESTOQUE[[#This Row],[Codigo]],TAB_SAIDA[[COD_2_SAIDA]:[TOTAL_SAIDA]],5,FALSE)</f>
        <v>12</v>
      </c>
      <c r="R673" s="87"/>
      <c r="S673" s="87"/>
      <c r="T673" s="90">
        <v>73.38</v>
      </c>
      <c r="U673" s="91">
        <f>TAB_ESTOQUE[[#This Row],[Valor Unitario Estimado]]*TAB_ESTOQUE[[#This Row],[Estoque]]</f>
        <v>880.56</v>
      </c>
      <c r="V673" s="91"/>
      <c r="W673" s="85"/>
      <c r="X673" s="85"/>
      <c r="Y673" s="85"/>
      <c r="Z673" s="85"/>
      <c r="AA673" s="85"/>
      <c r="AB673" s="85" t="str">
        <f>IF(TAB_ESTOQUE[[#This Row],[Estoque]]=0,"Estoque Não Conforme",IF(TAB_ESTOQUE[[#This Row],[Estoque]]&gt;=TAB_ESTOQUE[[#This Row],[Mínimo]],"Estoque Conforme",IF(TAB_ESTOQUE[[#This Row],[Estoque]]&lt;TAB_ESTOQUE[[#This Row],[Mínimo]],"Estoque em Nivel Minimo")))</f>
        <v>Estoque Conforme</v>
      </c>
      <c r="AC673" s="85"/>
      <c r="AD673" s="82"/>
      <c r="AE673" s="170"/>
      <c r="AF673" s="170"/>
    </row>
    <row r="674" spans="1:32" ht="15" customHeight="1" x14ac:dyDescent="0.25">
      <c r="C674" s="48"/>
      <c r="D674" s="45" t="s">
        <v>7120</v>
      </c>
      <c r="E674" s="46"/>
      <c r="F674" s="46"/>
      <c r="I674" s="45" t="s">
        <v>7622</v>
      </c>
      <c r="O674" s="46" t="s">
        <v>6676</v>
      </c>
      <c r="Q674" s="137">
        <f>VLOOKUP(TAB_ESTOQUE[[#This Row],[Codigo]],TAB_ENTRADA[[Cod_2_Entrada]:[TOTAL_ENTRADA]],5,FALSE)-VLOOKUP(TAB_ESTOQUE[[#This Row],[Codigo]],TAB_SAIDA[[COD_2_SAIDA]:[TOTAL_SAIDA]],5,FALSE)</f>
        <v>25</v>
      </c>
      <c r="S674" s="46"/>
      <c r="T674" s="102">
        <v>145</v>
      </c>
      <c r="U674" s="103">
        <f>TAB_ESTOQUE[[#This Row],[Valor Unitario Estimado]]*TAB_ESTOQUE[[#This Row],[Estoque]]</f>
        <v>3625</v>
      </c>
      <c r="V674" s="103"/>
      <c r="AA674" s="138"/>
      <c r="AB674" s="104" t="str">
        <f>IF(TAB_ESTOQUE[[#This Row],[Estoque]]=0,"Estoque Não Conforme",IF(TAB_ESTOQUE[[#This Row],[Estoque]]&gt;=TAB_ESTOQUE[[#This Row],[Mínimo]],"Estoque Conforme",IF(TAB_ESTOQUE[[#This Row],[Estoque]]&lt;TAB_ESTOQUE[[#This Row],[Mínimo]],"Estoque em Nivel Minimo")))</f>
        <v>Estoque Conforme</v>
      </c>
      <c r="AC674" s="104"/>
      <c r="AE674" s="82"/>
      <c r="AF674" s="82"/>
    </row>
    <row r="675" spans="1:32" ht="15" customHeight="1" x14ac:dyDescent="0.25">
      <c r="A675" s="45">
        <v>981</v>
      </c>
      <c r="B675" s="47"/>
      <c r="C675" s="46"/>
      <c r="D675" s="45" t="s">
        <v>1937</v>
      </c>
      <c r="E675" s="46" t="s">
        <v>7</v>
      </c>
      <c r="F675" s="87"/>
      <c r="G675" s="82"/>
      <c r="H675" s="82"/>
      <c r="I675" s="82" t="s">
        <v>8235</v>
      </c>
      <c r="J675" s="82"/>
      <c r="K675" s="82"/>
      <c r="L675" s="82"/>
      <c r="M675" s="82"/>
      <c r="N675" s="82"/>
      <c r="O675" s="87" t="s">
        <v>8236</v>
      </c>
      <c r="P675" s="82" t="s">
        <v>753</v>
      </c>
      <c r="Q675" s="83">
        <f>VLOOKUP(TAB_ESTOQUE[[#This Row],[Codigo]],TAB_ENTRADA[[Cod_2_Entrada]:[TOTAL_ENTRADA]],5,FALSE)-VLOOKUP(TAB_ESTOQUE[[#This Row],[Codigo]],TAB_SAIDA[[COD_2_SAIDA]:[TOTAL_SAIDA]],5,FALSE)</f>
        <v>14</v>
      </c>
      <c r="R675" s="87"/>
      <c r="S675" s="87"/>
      <c r="T675" s="90"/>
      <c r="U675" s="91">
        <f>TAB_ESTOQUE[[#This Row],[Valor Unitario Estimado]]*TAB_ESTOQUE[[#This Row],[Estoque]]</f>
        <v>0</v>
      </c>
      <c r="V675" s="91"/>
      <c r="W675" s="85"/>
      <c r="X675" s="85"/>
      <c r="Y675" s="85"/>
      <c r="Z675" s="85"/>
      <c r="AA675" s="85"/>
      <c r="AB675" s="85" t="str">
        <f>IF(TAB_ESTOQUE[[#This Row],[Estoque]]=0,"Estoque Não Conforme",IF(TAB_ESTOQUE[[#This Row],[Estoque]]&gt;=TAB_ESTOQUE[[#This Row],[Mínimo]],"Estoque Conforme",IF(TAB_ESTOQUE[[#This Row],[Estoque]]&lt;TAB_ESTOQUE[[#This Row],[Mínimo]],"Estoque em Nivel Minimo")))</f>
        <v>Estoque Conforme</v>
      </c>
      <c r="AC675" s="85"/>
      <c r="AD675" s="82"/>
      <c r="AE675" s="82"/>
      <c r="AF675" s="82"/>
    </row>
    <row r="676" spans="1:32" ht="15" customHeight="1" x14ac:dyDescent="0.25">
      <c r="A676" s="45">
        <v>538</v>
      </c>
      <c r="B676" s="47"/>
      <c r="C676" s="46"/>
      <c r="D676" s="45" t="s">
        <v>1940</v>
      </c>
      <c r="E676" s="46" t="s">
        <v>7</v>
      </c>
      <c r="F676" s="87"/>
      <c r="G676" s="82"/>
      <c r="H676" s="82"/>
      <c r="I676" s="94" t="s">
        <v>8240</v>
      </c>
      <c r="J676" s="82"/>
      <c r="K676" s="82"/>
      <c r="L676" s="82"/>
      <c r="M676" s="82" t="s">
        <v>94</v>
      </c>
      <c r="N676" s="82"/>
      <c r="O676" s="87" t="s">
        <v>8236</v>
      </c>
      <c r="P676" s="82" t="s">
        <v>312</v>
      </c>
      <c r="Q676" s="83">
        <f>VLOOKUP(TAB_ESTOQUE[[#This Row],[Codigo]],TAB_ENTRADA[[Cod_2_Entrada]:[TOTAL_ENTRADA]],5,FALSE)-VLOOKUP(TAB_ESTOQUE[[#This Row],[Codigo]],TAB_SAIDA[[COD_2_SAIDA]:[TOTAL_SAIDA]],5,FALSE)</f>
        <v>23</v>
      </c>
      <c r="R676" s="87"/>
      <c r="S676" s="87"/>
      <c r="T676" s="90">
        <v>9</v>
      </c>
      <c r="U676" s="91">
        <f>TAB_ESTOQUE[[#This Row],[Valor Unitario Estimado]]*TAB_ESTOQUE[[#This Row],[Estoque]]</f>
        <v>207</v>
      </c>
      <c r="V676" s="91"/>
      <c r="W676" s="85"/>
      <c r="X676" s="85"/>
      <c r="Y676" s="85"/>
      <c r="Z676" s="85"/>
      <c r="AA676" s="85"/>
      <c r="AB676" s="85" t="str">
        <f>IF(TAB_ESTOQUE[[#This Row],[Estoque]]=0,"Estoque Não Conforme",IF(TAB_ESTOQUE[[#This Row],[Estoque]]&gt;=TAB_ESTOQUE[[#This Row],[Mínimo]],"Estoque Conforme",IF(TAB_ESTOQUE[[#This Row],[Estoque]]&lt;TAB_ESTOQUE[[#This Row],[Mínimo]],"Estoque em Nivel Minimo")))</f>
        <v>Estoque Conforme</v>
      </c>
      <c r="AC676" s="85"/>
      <c r="AD676" s="82"/>
      <c r="AE676" s="82"/>
      <c r="AF676" s="82"/>
    </row>
    <row r="677" spans="1:32" ht="15" customHeight="1" x14ac:dyDescent="0.25">
      <c r="A677" s="45">
        <v>982</v>
      </c>
      <c r="B677" s="47"/>
      <c r="C677" s="46"/>
      <c r="D677" s="45" t="s">
        <v>1941</v>
      </c>
      <c r="E677" s="46" t="s">
        <v>7</v>
      </c>
      <c r="F677" s="87"/>
      <c r="G677" s="82"/>
      <c r="H677" s="82"/>
      <c r="I677" s="82" t="s">
        <v>8241</v>
      </c>
      <c r="J677" s="82"/>
      <c r="K677" s="82"/>
      <c r="L677" s="82"/>
      <c r="M677" s="82" t="s">
        <v>94</v>
      </c>
      <c r="N677" s="82"/>
      <c r="O677" s="87" t="s">
        <v>8236</v>
      </c>
      <c r="P677" s="82" t="s">
        <v>754</v>
      </c>
      <c r="Q677" s="83">
        <f>VLOOKUP(TAB_ESTOQUE[[#This Row],[Codigo]],TAB_ENTRADA[[Cod_2_Entrada]:[TOTAL_ENTRADA]],5,FALSE)-VLOOKUP(TAB_ESTOQUE[[#This Row],[Codigo]],TAB_SAIDA[[COD_2_SAIDA]:[TOTAL_SAIDA]],5,FALSE)</f>
        <v>4</v>
      </c>
      <c r="R677" s="87"/>
      <c r="S677" s="87"/>
      <c r="T677" s="90"/>
      <c r="U677" s="91">
        <f>TAB_ESTOQUE[[#This Row],[Valor Unitario Estimado]]*TAB_ESTOQUE[[#This Row],[Estoque]]</f>
        <v>0</v>
      </c>
      <c r="V677" s="91"/>
      <c r="W677" s="85"/>
      <c r="X677" s="85"/>
      <c r="Y677" s="85"/>
      <c r="Z677" s="85"/>
      <c r="AA677" s="85"/>
      <c r="AB677" s="85" t="str">
        <f>IF(TAB_ESTOQUE[[#This Row],[Estoque]]=0,"Estoque Não Conforme",IF(TAB_ESTOQUE[[#This Row],[Estoque]]&gt;=TAB_ESTOQUE[[#This Row],[Mínimo]],"Estoque Conforme",IF(TAB_ESTOQUE[[#This Row],[Estoque]]&lt;TAB_ESTOQUE[[#This Row],[Mínimo]],"Estoque em Nivel Minimo")))</f>
        <v>Estoque Conforme</v>
      </c>
      <c r="AC677" s="85"/>
      <c r="AD677" s="82"/>
      <c r="AE677" s="82"/>
      <c r="AF677" s="82"/>
    </row>
    <row r="678" spans="1:32" ht="15" customHeight="1" x14ac:dyDescent="0.25">
      <c r="A678" s="45">
        <v>164</v>
      </c>
      <c r="B678" s="47"/>
      <c r="C678" s="46"/>
      <c r="D678" s="45" t="s">
        <v>1943</v>
      </c>
      <c r="E678" s="46" t="s">
        <v>7</v>
      </c>
      <c r="F678" s="87"/>
      <c r="G678" s="82"/>
      <c r="H678" s="82"/>
      <c r="I678" s="82" t="s">
        <v>8245</v>
      </c>
      <c r="J678" s="82"/>
      <c r="K678" s="82"/>
      <c r="L678" s="82"/>
      <c r="M678" s="82"/>
      <c r="N678" s="82"/>
      <c r="O678" s="87" t="s">
        <v>8236</v>
      </c>
      <c r="P678" s="82" t="s">
        <v>103</v>
      </c>
      <c r="Q678" s="83">
        <f>VLOOKUP(TAB_ESTOQUE[[#This Row],[Codigo]],TAB_ENTRADA[[Cod_2_Entrada]:[TOTAL_ENTRADA]],5,FALSE)-VLOOKUP(TAB_ESTOQUE[[#This Row],[Codigo]],TAB_SAIDA[[COD_2_SAIDA]:[TOTAL_SAIDA]],5,FALSE)</f>
        <v>0</v>
      </c>
      <c r="R678" s="87"/>
      <c r="S678" s="87"/>
      <c r="T678" s="90"/>
      <c r="U678" s="91">
        <f>TAB_ESTOQUE[[#This Row],[Valor Unitario Estimado]]*TAB_ESTOQUE[[#This Row],[Estoque]]</f>
        <v>0</v>
      </c>
      <c r="V678" s="91"/>
      <c r="W678" s="85"/>
      <c r="X678" s="85"/>
      <c r="Y678" s="85"/>
      <c r="Z678" s="85"/>
      <c r="AA678" s="85"/>
      <c r="AB678" s="85" t="str">
        <f>IF(TAB_ESTOQUE[[#This Row],[Estoque]]=0,"Estoque Não Conforme",IF(TAB_ESTOQUE[[#This Row],[Estoque]]&gt;=TAB_ESTOQUE[[#This Row],[Mínimo]],"Estoque Conforme",IF(TAB_ESTOQUE[[#This Row],[Estoque]]&lt;TAB_ESTOQUE[[#This Row],[Mínimo]],"Estoque em Nivel Minimo")))</f>
        <v>Estoque Não Conforme</v>
      </c>
      <c r="AC678" s="85"/>
      <c r="AD678" s="82"/>
      <c r="AE678" s="82"/>
      <c r="AF678" s="82"/>
    </row>
    <row r="679" spans="1:32" ht="15" customHeight="1" x14ac:dyDescent="0.25">
      <c r="A679" s="45">
        <v>171</v>
      </c>
      <c r="B679" s="47"/>
      <c r="C679" s="46"/>
      <c r="D679" s="45" t="s">
        <v>1949</v>
      </c>
      <c r="E679" s="46" t="s">
        <v>7</v>
      </c>
      <c r="F679" s="87"/>
      <c r="G679" s="82"/>
      <c r="H679" s="82"/>
      <c r="I679" s="82" t="s">
        <v>8250</v>
      </c>
      <c r="J679" s="82"/>
      <c r="K679" s="82"/>
      <c r="L679" s="82"/>
      <c r="M679" s="82" t="s">
        <v>94</v>
      </c>
      <c r="N679" s="82"/>
      <c r="O679" s="87" t="s">
        <v>8236</v>
      </c>
      <c r="P679" s="82" t="s">
        <v>115</v>
      </c>
      <c r="Q679" s="83">
        <f>VLOOKUP(TAB_ESTOQUE[[#This Row],[Codigo]],TAB_ENTRADA[[Cod_2_Entrada]:[TOTAL_ENTRADA]],5,FALSE)-VLOOKUP(TAB_ESTOQUE[[#This Row],[Codigo]],TAB_SAIDA[[COD_2_SAIDA]:[TOTAL_SAIDA]],5,FALSE)</f>
        <v>3</v>
      </c>
      <c r="R679" s="87"/>
      <c r="S679" s="87"/>
      <c r="T679" s="90">
        <v>6</v>
      </c>
      <c r="U679" s="91">
        <f>TAB_ESTOQUE[[#This Row],[Valor Unitario Estimado]]*TAB_ESTOQUE[[#This Row],[Estoque]]</f>
        <v>18</v>
      </c>
      <c r="V679" s="91"/>
      <c r="W679" s="85"/>
      <c r="X679" s="85"/>
      <c r="Y679" s="85"/>
      <c r="Z679" s="85"/>
      <c r="AA679" s="85"/>
      <c r="AB679" s="85" t="str">
        <f>IF(TAB_ESTOQUE[[#This Row],[Estoque]]=0,"Estoque Não Conforme",IF(TAB_ESTOQUE[[#This Row],[Estoque]]&gt;=TAB_ESTOQUE[[#This Row],[Mínimo]],"Estoque Conforme",IF(TAB_ESTOQUE[[#This Row],[Estoque]]&lt;TAB_ESTOQUE[[#This Row],[Mínimo]],"Estoque em Nivel Minimo")))</f>
        <v>Estoque Conforme</v>
      </c>
      <c r="AC679" s="85"/>
      <c r="AD679" s="82"/>
      <c r="AE679" s="82"/>
      <c r="AF679" s="82"/>
    </row>
    <row r="680" spans="1:32" ht="15" customHeight="1" x14ac:dyDescent="0.25">
      <c r="A680" s="45">
        <v>553</v>
      </c>
      <c r="B680" s="47"/>
      <c r="C680" s="46"/>
      <c r="D680" s="45" t="s">
        <v>1954</v>
      </c>
      <c r="E680" s="46" t="s">
        <v>7</v>
      </c>
      <c r="F680" s="87"/>
      <c r="G680" s="82"/>
      <c r="H680" s="82"/>
      <c r="I680" s="82" t="s">
        <v>8254</v>
      </c>
      <c r="J680" s="82"/>
      <c r="K680" s="82"/>
      <c r="L680" s="82"/>
      <c r="M680" s="82" t="s">
        <v>94</v>
      </c>
      <c r="N680" s="82"/>
      <c r="O680" s="87" t="s">
        <v>8236</v>
      </c>
      <c r="P680" s="82" t="s">
        <v>329</v>
      </c>
      <c r="Q680" s="83">
        <f>VLOOKUP(TAB_ESTOQUE[[#This Row],[Codigo]],TAB_ENTRADA[[Cod_2_Entrada]:[TOTAL_ENTRADA]],5,FALSE)-VLOOKUP(TAB_ESTOQUE[[#This Row],[Codigo]],TAB_SAIDA[[COD_2_SAIDA]:[TOTAL_SAIDA]],5,FALSE)</f>
        <v>23</v>
      </c>
      <c r="R680" s="87"/>
      <c r="S680" s="87"/>
      <c r="T680" s="90"/>
      <c r="U680" s="91">
        <f>TAB_ESTOQUE[[#This Row],[Valor Unitario Estimado]]*TAB_ESTOQUE[[#This Row],[Estoque]]</f>
        <v>0</v>
      </c>
      <c r="V680" s="91"/>
      <c r="W680" s="85"/>
      <c r="X680" s="85"/>
      <c r="Y680" s="85"/>
      <c r="Z680" s="85"/>
      <c r="AA680" s="85"/>
      <c r="AB680" s="85" t="str">
        <f>IF(TAB_ESTOQUE[[#This Row],[Estoque]]=0,"Estoque Não Conforme",IF(TAB_ESTOQUE[[#This Row],[Estoque]]&gt;=TAB_ESTOQUE[[#This Row],[Mínimo]],"Estoque Conforme",IF(TAB_ESTOQUE[[#This Row],[Estoque]]&lt;TAB_ESTOQUE[[#This Row],[Mínimo]],"Estoque em Nivel Minimo")))</f>
        <v>Estoque Conforme</v>
      </c>
      <c r="AC680" s="85"/>
      <c r="AD680" s="82"/>
      <c r="AE680" s="82"/>
      <c r="AF680" s="82"/>
    </row>
    <row r="681" spans="1:32" s="47" customFormat="1" ht="15" customHeight="1" x14ac:dyDescent="0.25">
      <c r="A681" s="45">
        <v>570</v>
      </c>
      <c r="C681" s="46"/>
      <c r="D681" s="45" t="s">
        <v>1997</v>
      </c>
      <c r="E681" s="46" t="s">
        <v>7</v>
      </c>
      <c r="F681" s="87"/>
      <c r="G681" s="82"/>
      <c r="H681" s="82"/>
      <c r="I681" s="82" t="s">
        <v>8256</v>
      </c>
      <c r="J681" s="82"/>
      <c r="K681" s="82"/>
      <c r="L681" s="82"/>
      <c r="M681" s="82"/>
      <c r="N681" s="82"/>
      <c r="O681" s="87" t="s">
        <v>8236</v>
      </c>
      <c r="P681" s="82" t="s">
        <v>346</v>
      </c>
      <c r="Q681" s="83">
        <f>VLOOKUP(TAB_ESTOQUE[[#This Row],[Codigo]],TAB_ENTRADA[[Cod_2_Entrada]:[TOTAL_ENTRADA]],5,FALSE)-VLOOKUP(TAB_ESTOQUE[[#This Row],[Codigo]],TAB_SAIDA[[COD_2_SAIDA]:[TOTAL_SAIDA]],5,FALSE)</f>
        <v>20</v>
      </c>
      <c r="R681" s="87"/>
      <c r="S681" s="87"/>
      <c r="T681" s="90"/>
      <c r="U681" s="91">
        <f>TAB_ESTOQUE[[#This Row],[Valor Unitario Estimado]]*TAB_ESTOQUE[[#This Row],[Estoque]]</f>
        <v>0</v>
      </c>
      <c r="V681" s="91"/>
      <c r="W681" s="85"/>
      <c r="X681" s="85"/>
      <c r="Y681" s="85"/>
      <c r="Z681" s="85"/>
      <c r="AA681" s="85"/>
      <c r="AB681" s="85" t="str">
        <f>IF(TAB_ESTOQUE[[#This Row],[Estoque]]=0,"Estoque Não Conforme",IF(TAB_ESTOQUE[[#This Row],[Estoque]]&gt;=TAB_ESTOQUE[[#This Row],[Mínimo]],"Estoque Conforme",IF(TAB_ESTOQUE[[#This Row],[Estoque]]&lt;TAB_ESTOQUE[[#This Row],[Mínimo]],"Estoque em Nivel Minimo")))</f>
        <v>Estoque Conforme</v>
      </c>
      <c r="AC681" s="85"/>
      <c r="AD681" s="82"/>
      <c r="AE681" s="94"/>
      <c r="AF681" s="94"/>
    </row>
    <row r="682" spans="1:32" ht="15" customHeight="1" x14ac:dyDescent="0.25">
      <c r="A682" s="45">
        <v>828</v>
      </c>
      <c r="B682" s="47"/>
      <c r="C682" s="46"/>
      <c r="D682" s="45" t="s">
        <v>2023</v>
      </c>
      <c r="E682" s="46" t="s">
        <v>7</v>
      </c>
      <c r="F682" s="87"/>
      <c r="G682" s="82"/>
      <c r="H682" s="82"/>
      <c r="I682" s="82" t="s">
        <v>8300</v>
      </c>
      <c r="J682" s="82"/>
      <c r="K682" s="82"/>
      <c r="L682" s="82"/>
      <c r="M682" s="82"/>
      <c r="N682" s="82"/>
      <c r="O682" s="87" t="s">
        <v>8236</v>
      </c>
      <c r="P682" s="82" t="s">
        <v>615</v>
      </c>
      <c r="Q682" s="83">
        <f>VLOOKUP(TAB_ESTOQUE[[#This Row],[Codigo]],TAB_ENTRADA[[Cod_2_Entrada]:[TOTAL_ENTRADA]],5,FALSE)-VLOOKUP(TAB_ESTOQUE[[#This Row],[Codigo]],TAB_SAIDA[[COD_2_SAIDA]:[TOTAL_SAIDA]],5,FALSE)</f>
        <v>2</v>
      </c>
      <c r="R682" s="87"/>
      <c r="S682" s="87"/>
      <c r="T682" s="90"/>
      <c r="U682" s="91">
        <f>TAB_ESTOQUE[[#This Row],[Valor Unitario Estimado]]*TAB_ESTOQUE[[#This Row],[Estoque]]</f>
        <v>0</v>
      </c>
      <c r="V682" s="91"/>
      <c r="W682" s="85"/>
      <c r="X682" s="85"/>
      <c r="Y682" s="85"/>
      <c r="Z682" s="85"/>
      <c r="AA682" s="85"/>
      <c r="AB682" s="85" t="str">
        <f>IF(TAB_ESTOQUE[[#This Row],[Estoque]]=0,"Estoque Não Conforme",IF(TAB_ESTOQUE[[#This Row],[Estoque]]&gt;=TAB_ESTOQUE[[#This Row],[Mínimo]],"Estoque Conforme",IF(TAB_ESTOQUE[[#This Row],[Estoque]]&lt;TAB_ESTOQUE[[#This Row],[Mínimo]],"Estoque em Nivel Minimo")))</f>
        <v>Estoque Conforme</v>
      </c>
      <c r="AC682" s="85"/>
      <c r="AD682" s="82"/>
      <c r="AE682" s="82"/>
      <c r="AF682" s="82"/>
    </row>
    <row r="683" spans="1:32" ht="15" customHeight="1" x14ac:dyDescent="0.25">
      <c r="A683" s="45">
        <v>1288</v>
      </c>
      <c r="B683" s="47"/>
      <c r="C683" s="46"/>
      <c r="D683" s="45" t="s">
        <v>2026</v>
      </c>
      <c r="E683" s="46" t="s">
        <v>7</v>
      </c>
      <c r="F683" s="87"/>
      <c r="G683" s="82"/>
      <c r="H683" s="82"/>
      <c r="I683" s="82" t="s">
        <v>8258</v>
      </c>
      <c r="J683" s="82"/>
      <c r="K683" s="82"/>
      <c r="L683" s="82"/>
      <c r="M683" s="82"/>
      <c r="N683" s="82"/>
      <c r="O683" s="87" t="s">
        <v>8236</v>
      </c>
      <c r="P683" s="82" t="s">
        <v>1008</v>
      </c>
      <c r="Q683" s="83">
        <f>VLOOKUP(TAB_ESTOQUE[[#This Row],[Codigo]],TAB_ENTRADA[[Cod_2_Entrada]:[TOTAL_ENTRADA]],5,FALSE)-VLOOKUP(TAB_ESTOQUE[[#This Row],[Codigo]],TAB_SAIDA[[COD_2_SAIDA]:[TOTAL_SAIDA]],5,FALSE)</f>
        <v>30</v>
      </c>
      <c r="R683" s="87"/>
      <c r="S683" s="87"/>
      <c r="T683" s="90"/>
      <c r="U683" s="91">
        <f>TAB_ESTOQUE[[#This Row],[Valor Unitario Estimado]]*TAB_ESTOQUE[[#This Row],[Estoque]]</f>
        <v>0</v>
      </c>
      <c r="V683" s="91"/>
      <c r="W683" s="85"/>
      <c r="X683" s="85"/>
      <c r="Y683" s="85"/>
      <c r="Z683" s="85"/>
      <c r="AA683" s="85"/>
      <c r="AB683" s="85" t="str">
        <f>IF(TAB_ESTOQUE[[#This Row],[Estoque]]=0,"Estoque Não Conforme",IF(TAB_ESTOQUE[[#This Row],[Estoque]]&gt;=TAB_ESTOQUE[[#This Row],[Mínimo]],"Estoque Conforme",IF(TAB_ESTOQUE[[#This Row],[Estoque]]&lt;TAB_ESTOQUE[[#This Row],[Mínimo]],"Estoque em Nivel Minimo")))</f>
        <v>Estoque Conforme</v>
      </c>
      <c r="AC683" s="85"/>
      <c r="AD683" s="82"/>
      <c r="AE683" s="82"/>
      <c r="AF683" s="82"/>
    </row>
    <row r="684" spans="1:32" ht="15" customHeight="1" x14ac:dyDescent="0.25">
      <c r="A684" s="45">
        <v>1294</v>
      </c>
      <c r="B684" s="47"/>
      <c r="C684" s="46"/>
      <c r="D684" s="45" t="s">
        <v>2030</v>
      </c>
      <c r="E684" s="46" t="s">
        <v>7</v>
      </c>
      <c r="F684" s="87"/>
      <c r="G684" s="82"/>
      <c r="H684" s="82"/>
      <c r="I684" s="82" t="s">
        <v>8261</v>
      </c>
      <c r="J684" s="82"/>
      <c r="K684" s="82"/>
      <c r="L684" s="82"/>
      <c r="M684" s="82"/>
      <c r="N684" s="82"/>
      <c r="O684" s="87" t="s">
        <v>8236</v>
      </c>
      <c r="P684" s="82" t="s">
        <v>1016</v>
      </c>
      <c r="Q684" s="83">
        <f>VLOOKUP(TAB_ESTOQUE[[#This Row],[Codigo]],TAB_ENTRADA[[Cod_2_Entrada]:[TOTAL_ENTRADA]],5,FALSE)-VLOOKUP(TAB_ESTOQUE[[#This Row],[Codigo]],TAB_SAIDA[[COD_2_SAIDA]:[TOTAL_SAIDA]],5,FALSE)</f>
        <v>19</v>
      </c>
      <c r="R684" s="87"/>
      <c r="S684" s="87"/>
      <c r="T684" s="90"/>
      <c r="U684" s="91">
        <f>TAB_ESTOQUE[[#This Row],[Valor Unitario Estimado]]*TAB_ESTOQUE[[#This Row],[Estoque]]</f>
        <v>0</v>
      </c>
      <c r="V684" s="91"/>
      <c r="W684" s="85"/>
      <c r="X684" s="85"/>
      <c r="Y684" s="85"/>
      <c r="Z684" s="85"/>
      <c r="AA684" s="85"/>
      <c r="AB684" s="85" t="str">
        <f>IF(TAB_ESTOQUE[[#This Row],[Estoque]]=0,"Estoque Não Conforme",IF(TAB_ESTOQUE[[#This Row],[Estoque]]&gt;=TAB_ESTOQUE[[#This Row],[Mínimo]],"Estoque Conforme",IF(TAB_ESTOQUE[[#This Row],[Estoque]]&lt;TAB_ESTOQUE[[#This Row],[Mínimo]],"Estoque em Nivel Minimo")))</f>
        <v>Estoque Conforme</v>
      </c>
      <c r="AC684" s="85"/>
      <c r="AD684" s="82"/>
      <c r="AE684" s="82"/>
      <c r="AF684" s="82"/>
    </row>
    <row r="685" spans="1:32" ht="15" customHeight="1" x14ac:dyDescent="0.25">
      <c r="A685" s="45">
        <v>579</v>
      </c>
      <c r="B685" s="47"/>
      <c r="C685" s="46"/>
      <c r="D685" s="45" t="s">
        <v>2032</v>
      </c>
      <c r="E685" s="46" t="s">
        <v>7</v>
      </c>
      <c r="F685" s="87"/>
      <c r="G685" s="82"/>
      <c r="H685" s="82"/>
      <c r="I685" s="82" t="s">
        <v>8262</v>
      </c>
      <c r="J685" s="82"/>
      <c r="K685" s="82"/>
      <c r="L685" s="82"/>
      <c r="M685" s="82"/>
      <c r="N685" s="82"/>
      <c r="O685" s="87" t="s">
        <v>8236</v>
      </c>
      <c r="P685" s="82" t="s">
        <v>354</v>
      </c>
      <c r="Q685" s="83">
        <f>VLOOKUP(TAB_ESTOQUE[[#This Row],[Codigo]],TAB_ENTRADA[[Cod_2_Entrada]:[TOTAL_ENTRADA]],5,FALSE)-VLOOKUP(TAB_ESTOQUE[[#This Row],[Codigo]],TAB_SAIDA[[COD_2_SAIDA]:[TOTAL_SAIDA]],5,FALSE)</f>
        <v>14</v>
      </c>
      <c r="R685" s="87"/>
      <c r="S685" s="87"/>
      <c r="T685" s="90">
        <v>9.25</v>
      </c>
      <c r="U685" s="91">
        <f>TAB_ESTOQUE[[#This Row],[Valor Unitario Estimado]]*TAB_ESTOQUE[[#This Row],[Estoque]]</f>
        <v>129.5</v>
      </c>
      <c r="V685" s="91"/>
      <c r="W685" s="85"/>
      <c r="X685" s="85"/>
      <c r="Y685" s="85"/>
      <c r="Z685" s="85"/>
      <c r="AA685" s="85"/>
      <c r="AB685" s="85" t="str">
        <f>IF(TAB_ESTOQUE[[#This Row],[Estoque]]=0,"Estoque Não Conforme",IF(TAB_ESTOQUE[[#This Row],[Estoque]]&gt;=TAB_ESTOQUE[[#This Row],[Mínimo]],"Estoque Conforme",IF(TAB_ESTOQUE[[#This Row],[Estoque]]&lt;TAB_ESTOQUE[[#This Row],[Mínimo]],"Estoque em Nivel Minimo")))</f>
        <v>Estoque Conforme</v>
      </c>
      <c r="AC685" s="85"/>
      <c r="AD685" s="82"/>
      <c r="AE685" s="82"/>
      <c r="AF685" s="82"/>
    </row>
    <row r="686" spans="1:32" ht="15" customHeight="1" x14ac:dyDescent="0.25">
      <c r="B686" s="47"/>
      <c r="C686" s="53" t="s">
        <v>2833</v>
      </c>
      <c r="D686" s="45" t="s">
        <v>6001</v>
      </c>
      <c r="E686" s="46"/>
      <c r="F686" s="87"/>
      <c r="G686" s="82"/>
      <c r="H686" s="82"/>
      <c r="I686" s="82" t="s">
        <v>8265</v>
      </c>
      <c r="J686" s="82"/>
      <c r="K686" s="82"/>
      <c r="L686" s="82"/>
      <c r="M686" s="82"/>
      <c r="N686" s="82"/>
      <c r="O686" s="87" t="s">
        <v>8236</v>
      </c>
      <c r="P686" s="82" t="s">
        <v>6015</v>
      </c>
      <c r="Q686" s="83">
        <f>VLOOKUP(TAB_ESTOQUE[[#This Row],[Codigo]],TAB_ENTRADA[[Cod_2_Entrada]:[TOTAL_ENTRADA]],5,FALSE)-VLOOKUP(TAB_ESTOQUE[[#This Row],[Codigo]],TAB_SAIDA[[COD_2_SAIDA]:[TOTAL_SAIDA]],5,FALSE)</f>
        <v>20</v>
      </c>
      <c r="R686" s="87"/>
      <c r="S686" s="87"/>
      <c r="T686" s="90"/>
      <c r="U686" s="91">
        <f>TAB_ESTOQUE[[#This Row],[Valor Unitario Estimado]]*TAB_ESTOQUE[[#This Row],[Estoque]]</f>
        <v>0</v>
      </c>
      <c r="V686" s="91"/>
      <c r="W686" s="85"/>
      <c r="X686" s="85"/>
      <c r="Y686" s="85"/>
      <c r="Z686" s="85"/>
      <c r="AA686" s="85"/>
      <c r="AB686" s="96" t="str">
        <f>IF(TAB_ESTOQUE[[#This Row],[Estoque]]=0,"Estoque Não Conforme",IF(TAB_ESTOQUE[[#This Row],[Estoque]]&gt;=TAB_ESTOQUE[[#This Row],[Mínimo]],"Estoque Conforme",IF(TAB_ESTOQUE[[#This Row],[Estoque]]&lt;TAB_ESTOQUE[[#This Row],[Mínimo]],"Estoque em Nivel Minimo")))</f>
        <v>Estoque Conforme</v>
      </c>
      <c r="AC686" s="96"/>
      <c r="AD686" s="82"/>
      <c r="AE686" s="82"/>
      <c r="AF686" s="82"/>
    </row>
    <row r="687" spans="1:32" ht="15" customHeight="1" x14ac:dyDescent="0.25">
      <c r="B687" s="47"/>
      <c r="C687" s="53" t="s">
        <v>2833</v>
      </c>
      <c r="D687" s="45" t="s">
        <v>6003</v>
      </c>
      <c r="E687" s="46"/>
      <c r="F687" s="87"/>
      <c r="G687" s="82"/>
      <c r="H687" s="82"/>
      <c r="I687" s="82" t="s">
        <v>8266</v>
      </c>
      <c r="J687" s="82"/>
      <c r="K687" s="82"/>
      <c r="L687" s="82"/>
      <c r="M687" s="82"/>
      <c r="N687" s="82"/>
      <c r="O687" s="87" t="s">
        <v>8236</v>
      </c>
      <c r="P687" s="82" t="s">
        <v>6015</v>
      </c>
      <c r="Q687" s="83">
        <f>VLOOKUP(TAB_ESTOQUE[[#This Row],[Codigo]],TAB_ENTRADA[[Cod_2_Entrada]:[TOTAL_ENTRADA]],5,FALSE)-VLOOKUP(TAB_ESTOQUE[[#This Row],[Codigo]],TAB_SAIDA[[COD_2_SAIDA]:[TOTAL_SAIDA]],5,FALSE)</f>
        <v>20</v>
      </c>
      <c r="R687" s="87"/>
      <c r="S687" s="87"/>
      <c r="T687" s="90"/>
      <c r="U687" s="91">
        <f>TAB_ESTOQUE[[#This Row],[Valor Unitario Estimado]]*TAB_ESTOQUE[[#This Row],[Estoque]]</f>
        <v>0</v>
      </c>
      <c r="V687" s="91"/>
      <c r="W687" s="85"/>
      <c r="X687" s="85"/>
      <c r="Y687" s="85"/>
      <c r="Z687" s="85"/>
      <c r="AA687" s="85"/>
      <c r="AB687" s="96" t="str">
        <f>IF(TAB_ESTOQUE[[#This Row],[Estoque]]=0,"Estoque Não Conforme",IF(TAB_ESTOQUE[[#This Row],[Estoque]]&gt;=TAB_ESTOQUE[[#This Row],[Mínimo]],"Estoque Conforme",IF(TAB_ESTOQUE[[#This Row],[Estoque]]&lt;TAB_ESTOQUE[[#This Row],[Mínimo]],"Estoque em Nivel Minimo")))</f>
        <v>Estoque Conforme</v>
      </c>
      <c r="AC687" s="96"/>
      <c r="AD687" s="82"/>
      <c r="AE687" s="82"/>
      <c r="AF687" s="82"/>
    </row>
    <row r="688" spans="1:32" ht="15" customHeight="1" x14ac:dyDescent="0.25">
      <c r="B688" s="47"/>
      <c r="C688" s="53" t="s">
        <v>2833</v>
      </c>
      <c r="D688" s="45" t="s">
        <v>6004</v>
      </c>
      <c r="E688" s="46"/>
      <c r="F688" s="87"/>
      <c r="G688" s="82"/>
      <c r="H688" s="82"/>
      <c r="I688" s="82" t="s">
        <v>8267</v>
      </c>
      <c r="J688" s="82"/>
      <c r="K688" s="82"/>
      <c r="L688" s="82"/>
      <c r="M688" s="82"/>
      <c r="N688" s="82"/>
      <c r="O688" s="87" t="s">
        <v>8236</v>
      </c>
      <c r="P688" s="82" t="s">
        <v>6015</v>
      </c>
      <c r="Q688" s="83">
        <f>VLOOKUP(TAB_ESTOQUE[[#This Row],[Codigo]],TAB_ENTRADA[[Cod_2_Entrada]:[TOTAL_ENTRADA]],5,FALSE)-VLOOKUP(TAB_ESTOQUE[[#This Row],[Codigo]],TAB_SAIDA[[COD_2_SAIDA]:[TOTAL_SAIDA]],5,FALSE)</f>
        <v>0</v>
      </c>
      <c r="R688" s="87"/>
      <c r="S688" s="87"/>
      <c r="T688" s="90"/>
      <c r="U688" s="91">
        <f>TAB_ESTOQUE[[#This Row],[Valor Unitario Estimado]]*TAB_ESTOQUE[[#This Row],[Estoque]]</f>
        <v>0</v>
      </c>
      <c r="V688" s="91"/>
      <c r="W688" s="85"/>
      <c r="X688" s="85"/>
      <c r="Y688" s="85"/>
      <c r="Z688" s="85"/>
      <c r="AA688" s="85"/>
      <c r="AB688" s="96" t="str">
        <f>IF(TAB_ESTOQUE[[#This Row],[Estoque]]=0,"Estoque Não Conforme",IF(TAB_ESTOQUE[[#This Row],[Estoque]]&gt;=TAB_ESTOQUE[[#This Row],[Mínimo]],"Estoque Conforme",IF(TAB_ESTOQUE[[#This Row],[Estoque]]&lt;TAB_ESTOQUE[[#This Row],[Mínimo]],"Estoque em Nivel Minimo")))</f>
        <v>Estoque Não Conforme</v>
      </c>
      <c r="AC688" s="96"/>
      <c r="AD688" s="82"/>
      <c r="AE688" s="82"/>
      <c r="AF688" s="82"/>
    </row>
    <row r="689" spans="1:32" ht="15" customHeight="1" x14ac:dyDescent="0.25">
      <c r="A689" s="106"/>
      <c r="B689" s="106"/>
      <c r="C689" s="106"/>
      <c r="D689" s="106" t="s">
        <v>6657</v>
      </c>
      <c r="E689" s="116"/>
      <c r="F689" s="116"/>
      <c r="G689" s="106"/>
      <c r="H689" s="106"/>
      <c r="I689" s="106" t="s">
        <v>8268</v>
      </c>
      <c r="J689" s="106"/>
      <c r="K689" s="106"/>
      <c r="L689" s="106"/>
      <c r="M689" s="106"/>
      <c r="N689" s="106"/>
      <c r="O689" s="116" t="s">
        <v>8236</v>
      </c>
      <c r="P689" s="106"/>
      <c r="Q689" s="154">
        <f>VLOOKUP(TAB_ESTOQUE[[#This Row],[Codigo]],TAB_ENTRADA[[Cod_2_Entrada]:[TOTAL_ENTRADA]],5,FALSE)-VLOOKUP(TAB_ESTOQUE[[#This Row],[Codigo]],TAB_SAIDA[[COD_2_SAIDA]:[TOTAL_SAIDA]],5,FALSE)</f>
        <v>0</v>
      </c>
      <c r="R689" s="116"/>
      <c r="S689" s="116"/>
      <c r="T689" s="163"/>
      <c r="U689" s="164">
        <f>TAB_ESTOQUE[[#This Row],[Valor Unitario Estimado]]*TAB_ESTOQUE[[#This Row],[Estoque]]</f>
        <v>0</v>
      </c>
      <c r="V689" s="164"/>
      <c r="W689" s="165"/>
      <c r="X689" s="165"/>
      <c r="Y689" s="165"/>
      <c r="Z689" s="165"/>
      <c r="AA689" s="165"/>
      <c r="AB689" s="166" t="str">
        <f>IF(TAB_ESTOQUE[[#This Row],[Estoque]]=0,"Estoque Não Conforme",IF(TAB_ESTOQUE[[#This Row],[Estoque]]&gt;=TAB_ESTOQUE[[#This Row],[Mínimo]],"Estoque Conforme",IF(TAB_ESTOQUE[[#This Row],[Estoque]]&lt;TAB_ESTOQUE[[#This Row],[Mínimo]],"Estoque em Nivel Minimo")))</f>
        <v>Estoque Não Conforme</v>
      </c>
      <c r="AC689" s="166"/>
      <c r="AD689" s="106"/>
      <c r="AE689" s="82"/>
      <c r="AF689" s="82"/>
    </row>
    <row r="690" spans="1:32" ht="15" customHeight="1" x14ac:dyDescent="0.25">
      <c r="A690" s="45">
        <v>587</v>
      </c>
      <c r="B690" s="47"/>
      <c r="C690" s="46" t="s">
        <v>2833</v>
      </c>
      <c r="D690" s="45" t="s">
        <v>1938</v>
      </c>
      <c r="E690" s="46" t="s">
        <v>7</v>
      </c>
      <c r="F690" s="87"/>
      <c r="G690" s="82"/>
      <c r="H690" s="82"/>
      <c r="I690" s="82" t="s">
        <v>8243</v>
      </c>
      <c r="J690" s="82"/>
      <c r="K690" s="82"/>
      <c r="L690" s="82"/>
      <c r="M690" s="82"/>
      <c r="N690" s="82"/>
      <c r="O690" s="87" t="s">
        <v>6558</v>
      </c>
      <c r="P690" s="82" t="s">
        <v>365</v>
      </c>
      <c r="Q690" s="83">
        <f>VLOOKUP(TAB_ESTOQUE[[#This Row],[Codigo]],TAB_ENTRADA[[Cod_2_Entrada]:[TOTAL_ENTRADA]],5,FALSE)-VLOOKUP(TAB_ESTOQUE[[#This Row],[Codigo]],TAB_SAIDA[[COD_2_SAIDA]:[TOTAL_SAIDA]],5,FALSE)</f>
        <v>23</v>
      </c>
      <c r="R690" s="87"/>
      <c r="S690" s="87"/>
      <c r="T690" s="90">
        <v>10</v>
      </c>
      <c r="U690" s="91">
        <f>TAB_ESTOQUE[[#This Row],[Valor Unitario Estimado]]*TAB_ESTOQUE[[#This Row],[Estoque]]</f>
        <v>230</v>
      </c>
      <c r="V690" s="91"/>
      <c r="W690" s="85"/>
      <c r="X690" s="85"/>
      <c r="Y690" s="85"/>
      <c r="Z690" s="85"/>
      <c r="AA690" s="85"/>
      <c r="AB690" s="85" t="str">
        <f>IF(TAB_ESTOQUE[[#This Row],[Estoque]]=0,"Estoque Não Conforme",IF(TAB_ESTOQUE[[#This Row],[Estoque]]&gt;=TAB_ESTOQUE[[#This Row],[Mínimo]],"Estoque Conforme",IF(TAB_ESTOQUE[[#This Row],[Estoque]]&lt;TAB_ESTOQUE[[#This Row],[Mínimo]],"Estoque em Nivel Minimo")))</f>
        <v>Estoque Conforme</v>
      </c>
      <c r="AC690" s="85"/>
      <c r="AD690" s="82"/>
      <c r="AE690" s="82"/>
      <c r="AF690" s="82"/>
    </row>
    <row r="691" spans="1:32" s="47" customFormat="1" ht="15" customHeight="1" x14ac:dyDescent="0.25">
      <c r="A691" s="45">
        <v>539</v>
      </c>
      <c r="C691" s="46"/>
      <c r="D691" s="45" t="s">
        <v>1939</v>
      </c>
      <c r="E691" s="46" t="s">
        <v>7</v>
      </c>
      <c r="F691" s="87"/>
      <c r="G691" s="82"/>
      <c r="H691" s="82"/>
      <c r="I691" s="82" t="s">
        <v>8239</v>
      </c>
      <c r="J691" s="82"/>
      <c r="K691" s="82"/>
      <c r="L691" s="82"/>
      <c r="M691" s="82"/>
      <c r="N691" s="82"/>
      <c r="O691" s="87" t="s">
        <v>6558</v>
      </c>
      <c r="P691" s="82" t="s">
        <v>313</v>
      </c>
      <c r="Q691" s="83">
        <f>VLOOKUP(TAB_ESTOQUE[[#This Row],[Codigo]],TAB_ENTRADA[[Cod_2_Entrada]:[TOTAL_ENTRADA]],5,FALSE)-VLOOKUP(TAB_ESTOQUE[[#This Row],[Codigo]],TAB_SAIDA[[COD_2_SAIDA]:[TOTAL_SAIDA]],5,FALSE)</f>
        <v>28</v>
      </c>
      <c r="R691" s="87"/>
      <c r="S691" s="87"/>
      <c r="T691" s="90"/>
      <c r="U691" s="91">
        <f>TAB_ESTOQUE[[#This Row],[Valor Unitario Estimado]]*TAB_ESTOQUE[[#This Row],[Estoque]]</f>
        <v>0</v>
      </c>
      <c r="V691" s="91"/>
      <c r="W691" s="85"/>
      <c r="X691" s="85"/>
      <c r="Y691" s="85"/>
      <c r="Z691" s="85"/>
      <c r="AA691" s="85"/>
      <c r="AB691" s="85" t="str">
        <f>IF(TAB_ESTOQUE[[#This Row],[Estoque]]=0,"Estoque Não Conforme",IF(TAB_ESTOQUE[[#This Row],[Estoque]]&gt;=TAB_ESTOQUE[[#This Row],[Mínimo]],"Estoque Conforme",IF(TAB_ESTOQUE[[#This Row],[Estoque]]&lt;TAB_ESTOQUE[[#This Row],[Mínimo]],"Estoque em Nivel Minimo")))</f>
        <v>Estoque Conforme</v>
      </c>
      <c r="AC691" s="85"/>
      <c r="AD691" s="82"/>
      <c r="AE691" s="94"/>
      <c r="AF691" s="94"/>
    </row>
    <row r="692" spans="1:32" s="106" customFormat="1" ht="14.25" customHeight="1" x14ac:dyDescent="0.25">
      <c r="A692" s="45">
        <v>983</v>
      </c>
      <c r="B692" s="47"/>
      <c r="C692" s="46"/>
      <c r="D692" s="45" t="s">
        <v>1942</v>
      </c>
      <c r="E692" s="46" t="s">
        <v>7</v>
      </c>
      <c r="F692" s="87"/>
      <c r="G692" s="82"/>
      <c r="H692" s="82"/>
      <c r="I692" s="82" t="s">
        <v>8244</v>
      </c>
      <c r="J692" s="82"/>
      <c r="K692" s="82"/>
      <c r="L692" s="82"/>
      <c r="M692" s="82" t="s">
        <v>94</v>
      </c>
      <c r="N692" s="82"/>
      <c r="O692" s="87" t="s">
        <v>6558</v>
      </c>
      <c r="P692" s="82" t="s">
        <v>754</v>
      </c>
      <c r="Q692" s="83">
        <f>VLOOKUP(TAB_ESTOQUE[[#This Row],[Codigo]],TAB_ENTRADA[[Cod_2_Entrada]:[TOTAL_ENTRADA]],5,FALSE)-VLOOKUP(TAB_ESTOQUE[[#This Row],[Codigo]],TAB_SAIDA[[COD_2_SAIDA]:[TOTAL_SAIDA]],5,FALSE)</f>
        <v>0</v>
      </c>
      <c r="R692" s="87"/>
      <c r="S692" s="87"/>
      <c r="T692" s="90">
        <v>10</v>
      </c>
      <c r="U692" s="91">
        <f>TAB_ESTOQUE[[#This Row],[Valor Unitario Estimado]]*TAB_ESTOQUE[[#This Row],[Estoque]]</f>
        <v>0</v>
      </c>
      <c r="V692" s="91"/>
      <c r="W692" s="85"/>
      <c r="X692" s="85"/>
      <c r="Y692" s="85"/>
      <c r="Z692" s="85"/>
      <c r="AA692" s="85"/>
      <c r="AB692" s="85" t="str">
        <f>IF(TAB_ESTOQUE[[#This Row],[Estoque]]=0,"Estoque Não Conforme",IF(TAB_ESTOQUE[[#This Row],[Estoque]]&gt;=TAB_ESTOQUE[[#This Row],[Mínimo]],"Estoque Conforme",IF(TAB_ESTOQUE[[#This Row],[Estoque]]&lt;TAB_ESTOQUE[[#This Row],[Mínimo]],"Estoque em Nivel Minimo")))</f>
        <v>Estoque Não Conforme</v>
      </c>
      <c r="AC692" s="85"/>
      <c r="AD692" s="82"/>
      <c r="AE692" s="95"/>
      <c r="AF692" s="95"/>
    </row>
    <row r="693" spans="1:32" s="47" customFormat="1" ht="15" customHeight="1" x14ac:dyDescent="0.25">
      <c r="A693" s="45">
        <v>169</v>
      </c>
      <c r="C693" s="46"/>
      <c r="D693" s="45" t="s">
        <v>1944</v>
      </c>
      <c r="E693" s="46" t="s">
        <v>7</v>
      </c>
      <c r="F693" s="87"/>
      <c r="G693" s="82"/>
      <c r="H693" s="82"/>
      <c r="I693" s="82" t="s">
        <v>114</v>
      </c>
      <c r="J693" s="82"/>
      <c r="K693" s="82"/>
      <c r="L693" s="82"/>
      <c r="M693" s="82" t="s">
        <v>94</v>
      </c>
      <c r="N693" s="82"/>
      <c r="O693" s="87" t="s">
        <v>6558</v>
      </c>
      <c r="P693" s="82" t="s">
        <v>111</v>
      </c>
      <c r="Q693" s="83">
        <f>VLOOKUP(TAB_ESTOQUE[[#This Row],[Codigo]],TAB_ENTRADA[[Cod_2_Entrada]:[TOTAL_ENTRADA]],5,FALSE)-VLOOKUP(TAB_ESTOQUE[[#This Row],[Codigo]],TAB_SAIDA[[COD_2_SAIDA]:[TOTAL_SAIDA]],5,FALSE)</f>
        <v>28</v>
      </c>
      <c r="R693" s="87"/>
      <c r="S693" s="87"/>
      <c r="T693" s="90"/>
      <c r="U693" s="91">
        <f>TAB_ESTOQUE[[#This Row],[Valor Unitario Estimado]]*TAB_ESTOQUE[[#This Row],[Estoque]]</f>
        <v>0</v>
      </c>
      <c r="V693" s="91"/>
      <c r="W693" s="85"/>
      <c r="X693" s="85"/>
      <c r="Y693" s="85"/>
      <c r="Z693" s="85"/>
      <c r="AA693" s="85"/>
      <c r="AB693" s="85" t="str">
        <f>IF(TAB_ESTOQUE[[#This Row],[Estoque]]=0,"Estoque Não Conforme",IF(TAB_ESTOQUE[[#This Row],[Estoque]]&gt;=TAB_ESTOQUE[[#This Row],[Mínimo]],"Estoque Conforme",IF(TAB_ESTOQUE[[#This Row],[Estoque]]&lt;TAB_ESTOQUE[[#This Row],[Mínimo]],"Estoque em Nivel Minimo")))</f>
        <v>Estoque Conforme</v>
      </c>
      <c r="AC693" s="85"/>
      <c r="AD693" s="82"/>
      <c r="AE693" s="94"/>
      <c r="AF693" s="94"/>
    </row>
    <row r="694" spans="1:32" s="106" customFormat="1" ht="15" customHeight="1" x14ac:dyDescent="0.25">
      <c r="A694" s="45">
        <v>534</v>
      </c>
      <c r="B694" s="47"/>
      <c r="C694" s="46"/>
      <c r="D694" s="45" t="s">
        <v>1945</v>
      </c>
      <c r="E694" s="46" t="s">
        <v>7</v>
      </c>
      <c r="F694" s="87"/>
      <c r="G694" s="82"/>
      <c r="H694" s="82"/>
      <c r="I694" s="82" t="s">
        <v>8246</v>
      </c>
      <c r="J694" s="82"/>
      <c r="K694" s="82"/>
      <c r="L694" s="82"/>
      <c r="M694" s="82" t="s">
        <v>94</v>
      </c>
      <c r="N694" s="82"/>
      <c r="O694" s="87" t="s">
        <v>6558</v>
      </c>
      <c r="P694" s="82" t="s">
        <v>308</v>
      </c>
      <c r="Q694" s="83">
        <f>VLOOKUP(TAB_ESTOQUE[[#This Row],[Codigo]],TAB_ENTRADA[[Cod_2_Entrada]:[TOTAL_ENTRADA]],5,FALSE)-VLOOKUP(TAB_ESTOQUE[[#This Row],[Codigo]],TAB_SAIDA[[COD_2_SAIDA]:[TOTAL_SAIDA]],5,FALSE)</f>
        <v>2</v>
      </c>
      <c r="R694" s="87"/>
      <c r="S694" s="87"/>
      <c r="T694" s="90"/>
      <c r="U694" s="91">
        <f>TAB_ESTOQUE[[#This Row],[Valor Unitario Estimado]]*TAB_ESTOQUE[[#This Row],[Estoque]]</f>
        <v>0</v>
      </c>
      <c r="V694" s="91"/>
      <c r="W694" s="85"/>
      <c r="X694" s="85"/>
      <c r="Y694" s="85"/>
      <c r="Z694" s="85"/>
      <c r="AA694" s="85"/>
      <c r="AB694" s="85" t="str">
        <f>IF(TAB_ESTOQUE[[#This Row],[Estoque]]=0,"Estoque Não Conforme",IF(TAB_ESTOQUE[[#This Row],[Estoque]]&gt;=TAB_ESTOQUE[[#This Row],[Mínimo]],"Estoque Conforme",IF(TAB_ESTOQUE[[#This Row],[Estoque]]&lt;TAB_ESTOQUE[[#This Row],[Mínimo]],"Estoque em Nivel Minimo")))</f>
        <v>Estoque Conforme</v>
      </c>
      <c r="AC694" s="85"/>
      <c r="AD694" s="82"/>
      <c r="AE694" s="95"/>
      <c r="AF694" s="95"/>
    </row>
    <row r="695" spans="1:32" s="47" customFormat="1" ht="15" customHeight="1" x14ac:dyDescent="0.25">
      <c r="A695" s="45">
        <v>556</v>
      </c>
      <c r="C695" s="46"/>
      <c r="D695" s="45" t="s">
        <v>1946</v>
      </c>
      <c r="E695" s="46" t="s">
        <v>7</v>
      </c>
      <c r="F695" s="87"/>
      <c r="G695" s="82"/>
      <c r="H695" s="82"/>
      <c r="I695" s="82" t="s">
        <v>8247</v>
      </c>
      <c r="J695" s="82"/>
      <c r="K695" s="82"/>
      <c r="L695" s="82"/>
      <c r="M695" s="82" t="s">
        <v>94</v>
      </c>
      <c r="N695" s="82"/>
      <c r="O695" s="87" t="s">
        <v>6558</v>
      </c>
      <c r="P695" s="82" t="s">
        <v>331</v>
      </c>
      <c r="Q695" s="83">
        <f>VLOOKUP(TAB_ESTOQUE[[#This Row],[Codigo]],TAB_ENTRADA[[Cod_2_Entrada]:[TOTAL_ENTRADA]],5,FALSE)-VLOOKUP(TAB_ESTOQUE[[#This Row],[Codigo]],TAB_SAIDA[[COD_2_SAIDA]:[TOTAL_SAIDA]],5,FALSE)</f>
        <v>8</v>
      </c>
      <c r="R695" s="87"/>
      <c r="S695" s="87"/>
      <c r="T695" s="90">
        <v>6</v>
      </c>
      <c r="U695" s="91">
        <f>TAB_ESTOQUE[[#This Row],[Valor Unitario Estimado]]*TAB_ESTOQUE[[#This Row],[Estoque]]</f>
        <v>48</v>
      </c>
      <c r="V695" s="91"/>
      <c r="W695" s="85"/>
      <c r="X695" s="85"/>
      <c r="Y695" s="85"/>
      <c r="Z695" s="85"/>
      <c r="AA695" s="85"/>
      <c r="AB695" s="85" t="str">
        <f>IF(TAB_ESTOQUE[[#This Row],[Estoque]]=0,"Estoque Não Conforme",IF(TAB_ESTOQUE[[#This Row],[Estoque]]&gt;=TAB_ESTOQUE[[#This Row],[Mínimo]],"Estoque Conforme",IF(TAB_ESTOQUE[[#This Row],[Estoque]]&lt;TAB_ESTOQUE[[#This Row],[Mínimo]],"Estoque em Nivel Minimo")))</f>
        <v>Estoque Conforme</v>
      </c>
      <c r="AC695" s="85"/>
      <c r="AD695" s="82"/>
      <c r="AE695" s="94"/>
      <c r="AF695" s="94"/>
    </row>
    <row r="696" spans="1:32" s="106" customFormat="1" ht="15" customHeight="1" x14ac:dyDescent="0.25">
      <c r="A696" s="45">
        <v>166</v>
      </c>
      <c r="B696" s="47"/>
      <c r="C696" s="46"/>
      <c r="D696" s="45" t="s">
        <v>1947</v>
      </c>
      <c r="E696" s="46" t="s">
        <v>7</v>
      </c>
      <c r="F696" s="87"/>
      <c r="G696" s="82"/>
      <c r="H696" s="82"/>
      <c r="I696" s="82" t="s">
        <v>6561</v>
      </c>
      <c r="J696" s="82"/>
      <c r="K696" s="82"/>
      <c r="L696" s="82"/>
      <c r="M696" s="82" t="s">
        <v>94</v>
      </c>
      <c r="N696" s="82"/>
      <c r="O696" s="87" t="s">
        <v>6558</v>
      </c>
      <c r="P696" s="82" t="s">
        <v>106</v>
      </c>
      <c r="Q696" s="83">
        <f>VLOOKUP(TAB_ESTOQUE[[#This Row],[Codigo]],TAB_ENTRADA[[Cod_2_Entrada]:[TOTAL_ENTRADA]],5,FALSE)-VLOOKUP(TAB_ESTOQUE[[#This Row],[Codigo]],TAB_SAIDA[[COD_2_SAIDA]:[TOTAL_SAIDA]],5,FALSE)</f>
        <v>14</v>
      </c>
      <c r="R696" s="87"/>
      <c r="S696" s="87"/>
      <c r="T696" s="90"/>
      <c r="U696" s="91">
        <f>TAB_ESTOQUE[[#This Row],[Valor Unitario Estimado]]*TAB_ESTOQUE[[#This Row],[Estoque]]</f>
        <v>0</v>
      </c>
      <c r="V696" s="91"/>
      <c r="W696" s="85"/>
      <c r="X696" s="85"/>
      <c r="Y696" s="85"/>
      <c r="Z696" s="85"/>
      <c r="AA696" s="85"/>
      <c r="AB696" s="85" t="str">
        <f>IF(TAB_ESTOQUE[[#This Row],[Estoque]]=0,"Estoque Não Conforme",IF(TAB_ESTOQUE[[#This Row],[Estoque]]&gt;=TAB_ESTOQUE[[#This Row],[Mínimo]],"Estoque Conforme",IF(TAB_ESTOQUE[[#This Row],[Estoque]]&lt;TAB_ESTOQUE[[#This Row],[Mínimo]],"Estoque em Nivel Minimo")))</f>
        <v>Estoque Conforme</v>
      </c>
      <c r="AC696" s="85"/>
      <c r="AD696" s="82"/>
      <c r="AE696" s="95"/>
      <c r="AF696" s="95"/>
    </row>
    <row r="697" spans="1:32" s="47" customFormat="1" ht="15" customHeight="1" x14ac:dyDescent="0.25">
      <c r="A697" s="45">
        <v>552</v>
      </c>
      <c r="C697" s="46"/>
      <c r="D697" s="45" t="s">
        <v>1948</v>
      </c>
      <c r="E697" s="46" t="s">
        <v>7</v>
      </c>
      <c r="F697" s="87"/>
      <c r="G697" s="82"/>
      <c r="H697" s="82"/>
      <c r="I697" s="82" t="s">
        <v>8249</v>
      </c>
      <c r="J697" s="82"/>
      <c r="K697" s="82"/>
      <c r="L697" s="82"/>
      <c r="M697" s="82" t="s">
        <v>94</v>
      </c>
      <c r="N697" s="82"/>
      <c r="O697" s="87" t="s">
        <v>6558</v>
      </c>
      <c r="P697" s="82" t="s">
        <v>326</v>
      </c>
      <c r="Q697" s="83">
        <f>VLOOKUP(TAB_ESTOQUE[[#This Row],[Codigo]],TAB_ENTRADA[[Cod_2_Entrada]:[TOTAL_ENTRADA]],5,FALSE)-VLOOKUP(TAB_ESTOQUE[[#This Row],[Codigo]],TAB_SAIDA[[COD_2_SAIDA]:[TOTAL_SAIDA]],5,FALSE)</f>
        <v>0</v>
      </c>
      <c r="R697" s="87"/>
      <c r="S697" s="87"/>
      <c r="T697" s="90"/>
      <c r="U697" s="91">
        <f>TAB_ESTOQUE[[#This Row],[Valor Unitario Estimado]]*TAB_ESTOQUE[[#This Row],[Estoque]]</f>
        <v>0</v>
      </c>
      <c r="V697" s="91"/>
      <c r="W697" s="85"/>
      <c r="X697" s="85"/>
      <c r="Y697" s="85"/>
      <c r="Z697" s="85"/>
      <c r="AA697" s="85"/>
      <c r="AB697" s="85" t="str">
        <f>IF(TAB_ESTOQUE[[#This Row],[Estoque]]=0,"Estoque Não Conforme",IF(TAB_ESTOQUE[[#This Row],[Estoque]]&gt;=TAB_ESTOQUE[[#This Row],[Mínimo]],"Estoque Conforme",IF(TAB_ESTOQUE[[#This Row],[Estoque]]&lt;TAB_ESTOQUE[[#This Row],[Mínimo]],"Estoque em Nivel Minimo")))</f>
        <v>Estoque Não Conforme</v>
      </c>
      <c r="AC697" s="85"/>
      <c r="AD697" s="82"/>
      <c r="AE697" s="94"/>
      <c r="AF697" s="94"/>
    </row>
    <row r="698" spans="1:32" s="106" customFormat="1" ht="15" customHeight="1" x14ac:dyDescent="0.25">
      <c r="A698" s="45">
        <v>165</v>
      </c>
      <c r="B698" s="47"/>
      <c r="C698" s="46"/>
      <c r="D698" s="45" t="s">
        <v>1950</v>
      </c>
      <c r="E698" s="46" t="s">
        <v>7</v>
      </c>
      <c r="F698" s="87"/>
      <c r="G698" s="82"/>
      <c r="H698" s="82"/>
      <c r="I698" s="82" t="s">
        <v>8251</v>
      </c>
      <c r="J698" s="82"/>
      <c r="K698" s="82"/>
      <c r="L698" s="82"/>
      <c r="M698" s="82" t="s">
        <v>94</v>
      </c>
      <c r="N698" s="82"/>
      <c r="O698" s="87" t="s">
        <v>6558</v>
      </c>
      <c r="P698" s="82" t="s">
        <v>104</v>
      </c>
      <c r="Q698" s="83">
        <f>VLOOKUP(TAB_ESTOQUE[[#This Row],[Codigo]],TAB_ENTRADA[[Cod_2_Entrada]:[TOTAL_ENTRADA]],5,FALSE)-VLOOKUP(TAB_ESTOQUE[[#This Row],[Codigo]],TAB_SAIDA[[COD_2_SAIDA]:[TOTAL_SAIDA]],5,FALSE)</f>
        <v>12</v>
      </c>
      <c r="R698" s="87"/>
      <c r="S698" s="87"/>
      <c r="T698" s="90">
        <v>6</v>
      </c>
      <c r="U698" s="91">
        <f>TAB_ESTOQUE[[#This Row],[Valor Unitario Estimado]]*TAB_ESTOQUE[[#This Row],[Estoque]]</f>
        <v>72</v>
      </c>
      <c r="V698" s="91"/>
      <c r="W698" s="85"/>
      <c r="X698" s="85"/>
      <c r="Y698" s="85"/>
      <c r="Z698" s="85"/>
      <c r="AA698" s="85"/>
      <c r="AB698" s="85" t="str">
        <f>IF(TAB_ESTOQUE[[#This Row],[Estoque]]=0,"Estoque Não Conforme",IF(TAB_ESTOQUE[[#This Row],[Estoque]]&gt;=TAB_ESTOQUE[[#This Row],[Mínimo]],"Estoque Conforme",IF(TAB_ESTOQUE[[#This Row],[Estoque]]&lt;TAB_ESTOQUE[[#This Row],[Mínimo]],"Estoque em Nivel Minimo")))</f>
        <v>Estoque Conforme</v>
      </c>
      <c r="AC698" s="85"/>
      <c r="AD698" s="82"/>
      <c r="AE698" s="95"/>
      <c r="AF698" s="95"/>
    </row>
    <row r="699" spans="1:32" ht="15" customHeight="1" x14ac:dyDescent="0.25">
      <c r="A699" s="45">
        <v>168</v>
      </c>
      <c r="B699" s="47"/>
      <c r="C699" s="46"/>
      <c r="D699" s="45" t="s">
        <v>1951</v>
      </c>
      <c r="E699" s="46" t="s">
        <v>7</v>
      </c>
      <c r="F699" s="87"/>
      <c r="G699" s="82"/>
      <c r="H699" s="82"/>
      <c r="I699" s="82" t="s">
        <v>8290</v>
      </c>
      <c r="J699" s="82"/>
      <c r="K699" s="82"/>
      <c r="L699" s="82"/>
      <c r="M699" s="82" t="s">
        <v>94</v>
      </c>
      <c r="N699" s="82"/>
      <c r="O699" s="87" t="s">
        <v>6558</v>
      </c>
      <c r="P699" s="82" t="s">
        <v>110</v>
      </c>
      <c r="Q699" s="83">
        <f>VLOOKUP(TAB_ESTOQUE[[#This Row],[Codigo]],TAB_ENTRADA[[Cod_2_Entrada]:[TOTAL_ENTRADA]],5,FALSE)-VLOOKUP(TAB_ESTOQUE[[#This Row],[Codigo]],TAB_SAIDA[[COD_2_SAIDA]:[TOTAL_SAIDA]],5,FALSE)</f>
        <v>18</v>
      </c>
      <c r="R699" s="87"/>
      <c r="S699" s="87"/>
      <c r="T699" s="90"/>
      <c r="U699" s="91">
        <f>TAB_ESTOQUE[[#This Row],[Valor Unitario Estimado]]*TAB_ESTOQUE[[#This Row],[Estoque]]</f>
        <v>0</v>
      </c>
      <c r="V699" s="91"/>
      <c r="W699" s="85"/>
      <c r="X699" s="85"/>
      <c r="Y699" s="85"/>
      <c r="Z699" s="85"/>
      <c r="AA699" s="85"/>
      <c r="AB699" s="85" t="str">
        <f>IF(TAB_ESTOQUE[[#This Row],[Estoque]]=0,"Estoque Não Conforme",IF(TAB_ESTOQUE[[#This Row],[Estoque]]&gt;=TAB_ESTOQUE[[#This Row],[Mínimo]],"Estoque Conforme",IF(TAB_ESTOQUE[[#This Row],[Estoque]]&lt;TAB_ESTOQUE[[#This Row],[Mínimo]],"Estoque em Nivel Minimo")))</f>
        <v>Estoque Conforme</v>
      </c>
      <c r="AC699" s="85"/>
      <c r="AD699" s="82"/>
      <c r="AE699" s="82"/>
      <c r="AF699" s="82"/>
    </row>
    <row r="700" spans="1:32" ht="15" customHeight="1" x14ac:dyDescent="0.25">
      <c r="A700" s="45">
        <v>159</v>
      </c>
      <c r="B700" s="47"/>
      <c r="C700" s="46"/>
      <c r="D700" s="45" t="s">
        <v>1952</v>
      </c>
      <c r="E700" s="46" t="s">
        <v>7</v>
      </c>
      <c r="F700" s="87"/>
      <c r="G700" s="82"/>
      <c r="H700" s="82"/>
      <c r="I700" s="82" t="s">
        <v>8291</v>
      </c>
      <c r="J700" s="82"/>
      <c r="K700" s="82"/>
      <c r="L700" s="82"/>
      <c r="M700" s="82" t="s">
        <v>94</v>
      </c>
      <c r="N700" s="82"/>
      <c r="O700" s="87" t="s">
        <v>6558</v>
      </c>
      <c r="P700" s="82" t="s">
        <v>96</v>
      </c>
      <c r="Q700" s="83">
        <f>VLOOKUP(TAB_ESTOQUE[[#This Row],[Codigo]],TAB_ENTRADA[[Cod_2_Entrada]:[TOTAL_ENTRADA]],5,FALSE)-VLOOKUP(TAB_ESTOQUE[[#This Row],[Codigo]],TAB_SAIDA[[COD_2_SAIDA]:[TOTAL_SAIDA]],5,FALSE)</f>
        <v>10</v>
      </c>
      <c r="R700" s="87"/>
      <c r="S700" s="87"/>
      <c r="T700" s="90">
        <v>6</v>
      </c>
      <c r="U700" s="91">
        <f>TAB_ESTOQUE[[#This Row],[Valor Unitario Estimado]]*TAB_ESTOQUE[[#This Row],[Estoque]]</f>
        <v>60</v>
      </c>
      <c r="V700" s="91"/>
      <c r="W700" s="85"/>
      <c r="X700" s="85"/>
      <c r="Y700" s="85"/>
      <c r="Z700" s="85"/>
      <c r="AA700" s="85"/>
      <c r="AB700" s="85" t="str">
        <f>IF(TAB_ESTOQUE[[#This Row],[Estoque]]=0,"Estoque Não Conforme",IF(TAB_ESTOQUE[[#This Row],[Estoque]]&gt;=TAB_ESTOQUE[[#This Row],[Mínimo]],"Estoque Conforme",IF(TAB_ESTOQUE[[#This Row],[Estoque]]&lt;TAB_ESTOQUE[[#This Row],[Mínimo]],"Estoque em Nivel Minimo")))</f>
        <v>Estoque Conforme</v>
      </c>
      <c r="AC700" s="85"/>
      <c r="AD700" s="82"/>
      <c r="AE700" s="82"/>
      <c r="AF700" s="82"/>
    </row>
    <row r="701" spans="1:32" ht="15" customHeight="1" x14ac:dyDescent="0.25">
      <c r="A701" s="45">
        <v>163</v>
      </c>
      <c r="B701" s="47"/>
      <c r="C701" s="46"/>
      <c r="D701" s="45" t="s">
        <v>1953</v>
      </c>
      <c r="E701" s="46" t="s">
        <v>7</v>
      </c>
      <c r="F701" s="87"/>
      <c r="G701" s="82"/>
      <c r="H701" s="82"/>
      <c r="I701" s="82" t="s">
        <v>8253</v>
      </c>
      <c r="J701" s="82"/>
      <c r="K701" s="82"/>
      <c r="L701" s="82"/>
      <c r="M701" s="82" t="s">
        <v>94</v>
      </c>
      <c r="N701" s="82"/>
      <c r="O701" s="87" t="s">
        <v>6558</v>
      </c>
      <c r="P701" s="82" t="s">
        <v>102</v>
      </c>
      <c r="Q701" s="83">
        <f>VLOOKUP(TAB_ESTOQUE[[#This Row],[Codigo]],TAB_ENTRADA[[Cod_2_Entrada]:[TOTAL_ENTRADA]],5,FALSE)-VLOOKUP(TAB_ESTOQUE[[#This Row],[Codigo]],TAB_SAIDA[[COD_2_SAIDA]:[TOTAL_SAIDA]],5,FALSE)</f>
        <v>2</v>
      </c>
      <c r="R701" s="87"/>
      <c r="S701" s="87"/>
      <c r="T701" s="90">
        <v>6.5</v>
      </c>
      <c r="U701" s="91">
        <f>TAB_ESTOQUE[[#This Row],[Valor Unitario Estimado]]*TAB_ESTOQUE[[#This Row],[Estoque]]</f>
        <v>13</v>
      </c>
      <c r="V701" s="91"/>
      <c r="W701" s="85"/>
      <c r="X701" s="85"/>
      <c r="Y701" s="85"/>
      <c r="Z701" s="85"/>
      <c r="AA701" s="85"/>
      <c r="AB701" s="85" t="str">
        <f>IF(TAB_ESTOQUE[[#This Row],[Estoque]]=0,"Estoque Não Conforme",IF(TAB_ESTOQUE[[#This Row],[Estoque]]&gt;=TAB_ESTOQUE[[#This Row],[Mínimo]],"Estoque Conforme",IF(TAB_ESTOQUE[[#This Row],[Estoque]]&lt;TAB_ESTOQUE[[#This Row],[Mínimo]],"Estoque em Nivel Minimo")))</f>
        <v>Estoque Conforme</v>
      </c>
      <c r="AC701" s="85"/>
      <c r="AD701" s="82"/>
      <c r="AE701" s="82"/>
      <c r="AF701" s="82"/>
    </row>
    <row r="702" spans="1:32" ht="15" customHeight="1" x14ac:dyDescent="0.25">
      <c r="A702" s="45">
        <v>582</v>
      </c>
      <c r="B702" s="47"/>
      <c r="C702" s="46"/>
      <c r="D702" s="45" t="s">
        <v>1934</v>
      </c>
      <c r="E702" s="46" t="s">
        <v>7</v>
      </c>
      <c r="F702" s="87"/>
      <c r="G702" s="82"/>
      <c r="H702" s="82"/>
      <c r="I702" s="82" t="s">
        <v>8232</v>
      </c>
      <c r="J702" s="82"/>
      <c r="K702" s="82"/>
      <c r="L702" s="82"/>
      <c r="M702" s="82"/>
      <c r="N702" s="82"/>
      <c r="O702" s="87" t="s">
        <v>7083</v>
      </c>
      <c r="P702" s="82" t="s">
        <v>358</v>
      </c>
      <c r="Q702" s="83">
        <f>VLOOKUP(TAB_ESTOQUE[[#This Row],[Codigo]],TAB_ENTRADA[[Cod_2_Entrada]:[TOTAL_ENTRADA]],5,FALSE)-VLOOKUP(TAB_ESTOQUE[[#This Row],[Codigo]],TAB_SAIDA[[COD_2_SAIDA]:[TOTAL_SAIDA]],5,FALSE)</f>
        <v>21</v>
      </c>
      <c r="R702" s="87"/>
      <c r="S702" s="87"/>
      <c r="T702" s="90">
        <v>5.8</v>
      </c>
      <c r="U702" s="91">
        <f>TAB_ESTOQUE[[#This Row],[Valor Unitario Estimado]]*TAB_ESTOQUE[[#This Row],[Estoque]]</f>
        <v>121.8</v>
      </c>
      <c r="V702" s="91"/>
      <c r="W702" s="85"/>
      <c r="X702" s="85"/>
      <c r="Y702" s="85"/>
      <c r="Z702" s="85"/>
      <c r="AA702" s="85"/>
      <c r="AB702" s="85" t="str">
        <f>IF(TAB_ESTOQUE[[#This Row],[Estoque]]=0,"Estoque Não Conforme",IF(TAB_ESTOQUE[[#This Row],[Estoque]]&gt;=TAB_ESTOQUE[[#This Row],[Mínimo]],"Estoque Conforme",IF(TAB_ESTOQUE[[#This Row],[Estoque]]&lt;TAB_ESTOQUE[[#This Row],[Mínimo]],"Estoque em Nivel Minimo")))</f>
        <v>Estoque Conforme</v>
      </c>
      <c r="AC702" s="85"/>
      <c r="AD702" s="82"/>
      <c r="AE702" s="82"/>
      <c r="AF702" s="82"/>
    </row>
    <row r="703" spans="1:32" ht="15" customHeight="1" x14ac:dyDescent="0.25">
      <c r="A703" s="45">
        <v>585</v>
      </c>
      <c r="B703" s="47"/>
      <c r="C703" s="46"/>
      <c r="D703" s="45" t="s">
        <v>1935</v>
      </c>
      <c r="E703" s="46" t="s">
        <v>7</v>
      </c>
      <c r="F703" s="87"/>
      <c r="G703" s="82"/>
      <c r="H703" s="82"/>
      <c r="I703" s="82" t="s">
        <v>8304</v>
      </c>
      <c r="J703" s="82"/>
      <c r="K703" s="82"/>
      <c r="L703" s="82"/>
      <c r="M703" s="82"/>
      <c r="N703" s="82"/>
      <c r="O703" s="87" t="s">
        <v>7083</v>
      </c>
      <c r="P703" s="82" t="s">
        <v>361</v>
      </c>
      <c r="Q703" s="83">
        <f>VLOOKUP(TAB_ESTOQUE[[#This Row],[Codigo]],TAB_ENTRADA[[Cod_2_Entrada]:[TOTAL_ENTRADA]],5,FALSE)-VLOOKUP(TAB_ESTOQUE[[#This Row],[Codigo]],TAB_SAIDA[[COD_2_SAIDA]:[TOTAL_SAIDA]],5,FALSE)</f>
        <v>21</v>
      </c>
      <c r="R703" s="87"/>
      <c r="S703" s="87"/>
      <c r="T703" s="90">
        <v>4.8</v>
      </c>
      <c r="U703" s="91">
        <f>TAB_ESTOQUE[[#This Row],[Valor Unitario Estimado]]*TAB_ESTOQUE[[#This Row],[Estoque]]</f>
        <v>100.8</v>
      </c>
      <c r="V703" s="91"/>
      <c r="W703" s="85"/>
      <c r="X703" s="85"/>
      <c r="Y703" s="85"/>
      <c r="Z703" s="85"/>
      <c r="AA703" s="85"/>
      <c r="AB703" s="85" t="str">
        <f>IF(TAB_ESTOQUE[[#This Row],[Estoque]]=0,"Estoque Não Conforme",IF(TAB_ESTOQUE[[#This Row],[Estoque]]&gt;=TAB_ESTOQUE[[#This Row],[Mínimo]],"Estoque Conforme",IF(TAB_ESTOQUE[[#This Row],[Estoque]]&lt;TAB_ESTOQUE[[#This Row],[Mínimo]],"Estoque em Nivel Minimo")))</f>
        <v>Estoque Conforme</v>
      </c>
      <c r="AC703" s="85"/>
      <c r="AD703" s="82"/>
      <c r="AE703" s="82"/>
      <c r="AF703" s="82"/>
    </row>
    <row r="704" spans="1:32" ht="15" customHeight="1" x14ac:dyDescent="0.25">
      <c r="A704" s="45">
        <v>589</v>
      </c>
      <c r="B704" s="47"/>
      <c r="C704" s="46"/>
      <c r="D704" s="45" t="s">
        <v>1936</v>
      </c>
      <c r="E704" s="46" t="s">
        <v>7</v>
      </c>
      <c r="F704" s="87"/>
      <c r="G704" s="82"/>
      <c r="H704" s="82"/>
      <c r="I704" s="82" t="s">
        <v>8234</v>
      </c>
      <c r="J704" s="82"/>
      <c r="K704" s="82"/>
      <c r="L704" s="82"/>
      <c r="M704" s="82" t="s">
        <v>94</v>
      </c>
      <c r="N704" s="82"/>
      <c r="O704" s="87" t="s">
        <v>7083</v>
      </c>
      <c r="P704" s="82" t="s">
        <v>366</v>
      </c>
      <c r="Q704" s="83">
        <f>VLOOKUP(TAB_ESTOQUE[[#This Row],[Codigo]],TAB_ENTRADA[[Cod_2_Entrada]:[TOTAL_ENTRADA]],5,FALSE)-VLOOKUP(TAB_ESTOQUE[[#This Row],[Codigo]],TAB_SAIDA[[COD_2_SAIDA]:[TOTAL_SAIDA]],5,FALSE)</f>
        <v>26</v>
      </c>
      <c r="R704" s="87"/>
      <c r="S704" s="87"/>
      <c r="T704" s="90">
        <v>6</v>
      </c>
      <c r="U704" s="91">
        <f>TAB_ESTOQUE[[#This Row],[Valor Unitario Estimado]]*TAB_ESTOQUE[[#This Row],[Estoque]]</f>
        <v>156</v>
      </c>
      <c r="V704" s="91"/>
      <c r="W704" s="85"/>
      <c r="X704" s="85"/>
      <c r="Y704" s="85"/>
      <c r="Z704" s="85"/>
      <c r="AA704" s="85"/>
      <c r="AB704" s="85" t="str">
        <f>IF(TAB_ESTOQUE[[#This Row],[Estoque]]=0,"Estoque Não Conforme",IF(TAB_ESTOQUE[[#This Row],[Estoque]]&gt;=TAB_ESTOQUE[[#This Row],[Mínimo]],"Estoque Conforme",IF(TAB_ESTOQUE[[#This Row],[Estoque]]&lt;TAB_ESTOQUE[[#This Row],[Mínimo]],"Estoque em Nivel Minimo")))</f>
        <v>Estoque Conforme</v>
      </c>
      <c r="AC704" s="85"/>
      <c r="AD704" s="82"/>
      <c r="AE704" s="82"/>
      <c r="AF704" s="82"/>
    </row>
    <row r="705" spans="1:32" ht="15" customHeight="1" x14ac:dyDescent="0.25">
      <c r="A705" s="45">
        <v>1273</v>
      </c>
      <c r="B705" s="47"/>
      <c r="C705" s="46"/>
      <c r="D705" s="45" t="s">
        <v>2025</v>
      </c>
      <c r="E705" s="46" t="s">
        <v>7</v>
      </c>
      <c r="F705" s="87"/>
      <c r="G705" s="82"/>
      <c r="H705" s="82"/>
      <c r="I705" s="82" t="s">
        <v>8257</v>
      </c>
      <c r="J705" s="82"/>
      <c r="K705" s="82"/>
      <c r="L705" s="82"/>
      <c r="M705" s="82"/>
      <c r="N705" s="82"/>
      <c r="O705" s="87" t="s">
        <v>7083</v>
      </c>
      <c r="P705" s="82" t="s">
        <v>996</v>
      </c>
      <c r="Q705" s="83">
        <f>VLOOKUP(TAB_ESTOQUE[[#This Row],[Codigo]],TAB_ENTRADA[[Cod_2_Entrada]:[TOTAL_ENTRADA]],5,FALSE)-VLOOKUP(TAB_ESTOQUE[[#This Row],[Codigo]],TAB_SAIDA[[COD_2_SAIDA]:[TOTAL_SAIDA]],5,FALSE)</f>
        <v>1</v>
      </c>
      <c r="R705" s="87"/>
      <c r="S705" s="87"/>
      <c r="T705" s="90">
        <v>4.8</v>
      </c>
      <c r="U705" s="91">
        <f>TAB_ESTOQUE[[#This Row],[Valor Unitario Estimado]]*TAB_ESTOQUE[[#This Row],[Estoque]]</f>
        <v>4.8</v>
      </c>
      <c r="V705" s="91"/>
      <c r="W705" s="85"/>
      <c r="X705" s="85"/>
      <c r="Y705" s="85"/>
      <c r="Z705" s="85"/>
      <c r="AA705" s="85"/>
      <c r="AB705" s="85" t="str">
        <f>IF(TAB_ESTOQUE[[#This Row],[Estoque]]=0,"Estoque Não Conforme",IF(TAB_ESTOQUE[[#This Row],[Estoque]]&gt;=TAB_ESTOQUE[[#This Row],[Mínimo]],"Estoque Conforme",IF(TAB_ESTOQUE[[#This Row],[Estoque]]&lt;TAB_ESTOQUE[[#This Row],[Mínimo]],"Estoque em Nivel Minimo")))</f>
        <v>Estoque Conforme</v>
      </c>
      <c r="AC705" s="85"/>
      <c r="AD705" s="82"/>
      <c r="AE705" s="82"/>
      <c r="AF705" s="82"/>
    </row>
    <row r="706" spans="1:32" ht="15" customHeight="1" x14ac:dyDescent="0.25">
      <c r="A706" s="45">
        <v>1281</v>
      </c>
      <c r="B706" s="47"/>
      <c r="C706" s="46"/>
      <c r="D706" s="45" t="s">
        <v>2027</v>
      </c>
      <c r="E706" s="46" t="s">
        <v>7</v>
      </c>
      <c r="F706" s="87"/>
      <c r="G706" s="82"/>
      <c r="H706" s="82"/>
      <c r="I706" s="82" t="s">
        <v>8299</v>
      </c>
      <c r="J706" s="82"/>
      <c r="K706" s="82"/>
      <c r="L706" s="82"/>
      <c r="M706" s="82"/>
      <c r="N706" s="82"/>
      <c r="O706" s="87" t="s">
        <v>7083</v>
      </c>
      <c r="P706" s="82" t="s">
        <v>1003</v>
      </c>
      <c r="Q706" s="83">
        <f>VLOOKUP(TAB_ESTOQUE[[#This Row],[Codigo]],TAB_ENTRADA[[Cod_2_Entrada]:[TOTAL_ENTRADA]],5,FALSE)-VLOOKUP(TAB_ESTOQUE[[#This Row],[Codigo]],TAB_SAIDA[[COD_2_SAIDA]:[TOTAL_SAIDA]],5,FALSE)</f>
        <v>0</v>
      </c>
      <c r="R706" s="87"/>
      <c r="S706" s="87"/>
      <c r="T706" s="90"/>
      <c r="U706" s="91">
        <f>TAB_ESTOQUE[[#This Row],[Valor Unitario Estimado]]*TAB_ESTOQUE[[#This Row],[Estoque]]</f>
        <v>0</v>
      </c>
      <c r="V706" s="91"/>
      <c r="W706" s="85"/>
      <c r="X706" s="85"/>
      <c r="Y706" s="85"/>
      <c r="Z706" s="85"/>
      <c r="AA706" s="85"/>
      <c r="AB706" s="85" t="str">
        <f>IF(TAB_ESTOQUE[[#This Row],[Estoque]]=0,"Estoque Não Conforme",IF(TAB_ESTOQUE[[#This Row],[Estoque]]&gt;=TAB_ESTOQUE[[#This Row],[Mínimo]],"Estoque Conforme",IF(TAB_ESTOQUE[[#This Row],[Estoque]]&lt;TAB_ESTOQUE[[#This Row],[Mínimo]],"Estoque em Nivel Minimo")))</f>
        <v>Estoque Não Conforme</v>
      </c>
      <c r="AC706" s="85"/>
      <c r="AD706" s="82"/>
      <c r="AE706" s="82"/>
      <c r="AF706" s="82"/>
    </row>
    <row r="707" spans="1:32" ht="15" customHeight="1" x14ac:dyDescent="0.25">
      <c r="A707" s="45">
        <v>578</v>
      </c>
      <c r="B707" s="47"/>
      <c r="C707" s="46"/>
      <c r="D707" s="45" t="s">
        <v>2028</v>
      </c>
      <c r="E707" s="46" t="s">
        <v>7</v>
      </c>
      <c r="F707" s="87"/>
      <c r="G707" s="82"/>
      <c r="H707" s="82"/>
      <c r="I707" s="82" t="s">
        <v>8259</v>
      </c>
      <c r="J707" s="82"/>
      <c r="K707" s="82"/>
      <c r="L707" s="82"/>
      <c r="M707" s="82"/>
      <c r="N707" s="82"/>
      <c r="O707" s="87" t="s">
        <v>7083</v>
      </c>
      <c r="P707" s="82" t="s">
        <v>353</v>
      </c>
      <c r="Q707" s="83">
        <f>VLOOKUP(TAB_ESTOQUE[[#This Row],[Codigo]],TAB_ENTRADA[[Cod_2_Entrada]:[TOTAL_ENTRADA]],5,FALSE)-VLOOKUP(TAB_ESTOQUE[[#This Row],[Codigo]],TAB_SAIDA[[COD_2_SAIDA]:[TOTAL_SAIDA]],5,FALSE)</f>
        <v>8</v>
      </c>
      <c r="R707" s="87"/>
      <c r="S707" s="87"/>
      <c r="T707" s="90">
        <v>10.199999999999999</v>
      </c>
      <c r="U707" s="91">
        <f>TAB_ESTOQUE[[#This Row],[Valor Unitario Estimado]]*TAB_ESTOQUE[[#This Row],[Estoque]]</f>
        <v>81.599999999999994</v>
      </c>
      <c r="V707" s="91"/>
      <c r="W707" s="85"/>
      <c r="X707" s="85"/>
      <c r="Y707" s="85"/>
      <c r="Z707" s="85"/>
      <c r="AA707" s="85"/>
      <c r="AB707" s="85" t="str">
        <f>IF(TAB_ESTOQUE[[#This Row],[Estoque]]=0,"Estoque Não Conforme",IF(TAB_ESTOQUE[[#This Row],[Estoque]]&gt;=TAB_ESTOQUE[[#This Row],[Mínimo]],"Estoque Conforme",IF(TAB_ESTOQUE[[#This Row],[Estoque]]&lt;TAB_ESTOQUE[[#This Row],[Mínimo]],"Estoque em Nivel Minimo")))</f>
        <v>Estoque Conforme</v>
      </c>
      <c r="AC707" s="85"/>
      <c r="AD707" s="82"/>
      <c r="AE707" s="82"/>
      <c r="AF707" s="82"/>
    </row>
    <row r="708" spans="1:32" ht="15" customHeight="1" x14ac:dyDescent="0.25">
      <c r="A708" s="106">
        <v>580</v>
      </c>
      <c r="B708" s="106"/>
      <c r="C708" s="116"/>
      <c r="D708" s="106" t="s">
        <v>2029</v>
      </c>
      <c r="E708" s="116" t="s">
        <v>7</v>
      </c>
      <c r="F708" s="118"/>
      <c r="G708" s="95"/>
      <c r="H708" s="95"/>
      <c r="I708" s="95" t="s">
        <v>8260</v>
      </c>
      <c r="J708" s="95"/>
      <c r="K708" s="95"/>
      <c r="L708" s="95"/>
      <c r="M708" s="95"/>
      <c r="N708" s="95"/>
      <c r="O708" s="118" t="s">
        <v>7083</v>
      </c>
      <c r="P708" s="95" t="s">
        <v>355</v>
      </c>
      <c r="Q708" s="154">
        <f>VLOOKUP(TAB_ESTOQUE[[#This Row],[Codigo]],TAB_ENTRADA[[Cod_2_Entrada]:[TOTAL_ENTRADA]],5,FALSE)-VLOOKUP(TAB_ESTOQUE[[#This Row],[Codigo]],TAB_SAIDA[[COD_2_SAIDA]:[TOTAL_SAIDA]],5,FALSE)</f>
        <v>0</v>
      </c>
      <c r="R708" s="118"/>
      <c r="S708" s="118"/>
      <c r="T708" s="119"/>
      <c r="U708" s="112">
        <f>TAB_ESTOQUE[[#This Row],[Valor Unitario Estimado]]*TAB_ESTOQUE[[#This Row],[Estoque]]</f>
        <v>0</v>
      </c>
      <c r="V708" s="112"/>
      <c r="W708" s="120"/>
      <c r="X708" s="120"/>
      <c r="Y708" s="120"/>
      <c r="Z708" s="120"/>
      <c r="AA708" s="120"/>
      <c r="AB708" s="120" t="str">
        <f>IF(TAB_ESTOQUE[[#This Row],[Estoque]]=0,"Estoque Não Conforme",IF(TAB_ESTOQUE[[#This Row],[Estoque]]&gt;=TAB_ESTOQUE[[#This Row],[Mínimo]],"Estoque Conforme",IF(TAB_ESTOQUE[[#This Row],[Estoque]]&lt;TAB_ESTOQUE[[#This Row],[Mínimo]],"Estoque em Nivel Minimo")))</f>
        <v>Estoque Não Conforme</v>
      </c>
      <c r="AC708" s="120"/>
      <c r="AD708" s="95"/>
      <c r="AE708" s="82"/>
      <c r="AF708" s="82"/>
    </row>
    <row r="709" spans="1:32" ht="15" customHeight="1" x14ac:dyDescent="0.25">
      <c r="A709" s="45">
        <v>1295</v>
      </c>
      <c r="B709" s="47"/>
      <c r="C709" s="46"/>
      <c r="D709" s="45" t="s">
        <v>2031</v>
      </c>
      <c r="E709" s="46" t="s">
        <v>7</v>
      </c>
      <c r="F709" s="87"/>
      <c r="G709" s="82"/>
      <c r="H709" s="82"/>
      <c r="I709" s="82" t="s">
        <v>8301</v>
      </c>
      <c r="J709" s="82"/>
      <c r="K709" s="82"/>
      <c r="L709" s="82"/>
      <c r="M709" s="82"/>
      <c r="N709" s="82"/>
      <c r="O709" s="87" t="s">
        <v>7083</v>
      </c>
      <c r="P709" s="82" t="s">
        <v>1017</v>
      </c>
      <c r="Q709" s="83">
        <f>VLOOKUP(TAB_ESTOQUE[[#This Row],[Codigo]],TAB_ENTRADA[[Cod_2_Entrada]:[TOTAL_ENTRADA]],5,FALSE)-VLOOKUP(TAB_ESTOQUE[[#This Row],[Codigo]],TAB_SAIDA[[COD_2_SAIDA]:[TOTAL_SAIDA]],5,FALSE)</f>
        <v>12</v>
      </c>
      <c r="R709" s="87"/>
      <c r="S709" s="87"/>
      <c r="T709" s="90">
        <v>19.899999999999999</v>
      </c>
      <c r="U709" s="91">
        <f>TAB_ESTOQUE[[#This Row],[Valor Unitario Estimado]]*TAB_ESTOQUE[[#This Row],[Estoque]]</f>
        <v>238.79999999999998</v>
      </c>
      <c r="V709" s="91"/>
      <c r="W709" s="85"/>
      <c r="X709" s="85"/>
      <c r="Y709" s="85"/>
      <c r="Z709" s="85"/>
      <c r="AA709" s="85"/>
      <c r="AB709" s="85" t="str">
        <f>IF(TAB_ESTOQUE[[#This Row],[Estoque]]=0,"Estoque Não Conforme",IF(TAB_ESTOQUE[[#This Row],[Estoque]]&gt;=TAB_ESTOQUE[[#This Row],[Mínimo]],"Estoque Conforme",IF(TAB_ESTOQUE[[#This Row],[Estoque]]&lt;TAB_ESTOQUE[[#This Row],[Mínimo]],"Estoque em Nivel Minimo")))</f>
        <v>Estoque Conforme</v>
      </c>
      <c r="AC709" s="85"/>
      <c r="AD709" s="82"/>
      <c r="AE709" s="82"/>
      <c r="AF709" s="82"/>
    </row>
    <row r="710" spans="1:32" ht="15" customHeight="1" x14ac:dyDescent="0.25">
      <c r="A710" s="45">
        <v>800</v>
      </c>
      <c r="B710" s="47"/>
      <c r="C710" s="46"/>
      <c r="D710" s="45" t="s">
        <v>2033</v>
      </c>
      <c r="E710" s="46" t="s">
        <v>7</v>
      </c>
      <c r="F710" s="87"/>
      <c r="G710" s="82"/>
      <c r="H710" s="82"/>
      <c r="I710" s="82" t="s">
        <v>8263</v>
      </c>
      <c r="J710" s="82"/>
      <c r="K710" s="82"/>
      <c r="L710" s="82"/>
      <c r="M710" s="82"/>
      <c r="N710" s="82"/>
      <c r="O710" s="87" t="s">
        <v>7083</v>
      </c>
      <c r="P710" s="82" t="s">
        <v>586</v>
      </c>
      <c r="Q710" s="83">
        <f>VLOOKUP(TAB_ESTOQUE[[#This Row],[Codigo]],TAB_ENTRADA[[Cod_2_Entrada]:[TOTAL_ENTRADA]],5,FALSE)-VLOOKUP(TAB_ESTOQUE[[#This Row],[Codigo]],TAB_SAIDA[[COD_2_SAIDA]:[TOTAL_SAIDA]],5,FALSE)</f>
        <v>0</v>
      </c>
      <c r="R710" s="87"/>
      <c r="S710" s="87"/>
      <c r="T710" s="90"/>
      <c r="U710" s="91">
        <f>TAB_ESTOQUE[[#This Row],[Valor Unitario Estimado]]*TAB_ESTOQUE[[#This Row],[Estoque]]</f>
        <v>0</v>
      </c>
      <c r="V710" s="91"/>
      <c r="W710" s="85"/>
      <c r="X710" s="85"/>
      <c r="Y710" s="85"/>
      <c r="Z710" s="85"/>
      <c r="AA710" s="85"/>
      <c r="AB710" s="85" t="str">
        <f>IF(TAB_ESTOQUE[[#This Row],[Estoque]]=0,"Estoque Não Conforme",IF(TAB_ESTOQUE[[#This Row],[Estoque]]&gt;=TAB_ESTOQUE[[#This Row],[Mínimo]],"Estoque Conforme",IF(TAB_ESTOQUE[[#This Row],[Estoque]]&lt;TAB_ESTOQUE[[#This Row],[Mínimo]],"Estoque em Nivel Minimo")))</f>
        <v>Estoque Não Conforme</v>
      </c>
      <c r="AC710" s="85"/>
      <c r="AD710" s="82"/>
      <c r="AE710" s="82"/>
      <c r="AF710" s="82"/>
    </row>
    <row r="711" spans="1:32" ht="15" customHeight="1" x14ac:dyDescent="0.25">
      <c r="A711" s="45">
        <v>583</v>
      </c>
      <c r="B711" s="47"/>
      <c r="C711" s="46" t="s">
        <v>2838</v>
      </c>
      <c r="D711" s="45" t="s">
        <v>2034</v>
      </c>
      <c r="E711" s="46" t="s">
        <v>7</v>
      </c>
      <c r="F711" s="87"/>
      <c r="G711" s="82"/>
      <c r="H711" s="82"/>
      <c r="I711" s="82" t="s">
        <v>8302</v>
      </c>
      <c r="J711" s="82"/>
      <c r="K711" s="82"/>
      <c r="L711" s="82"/>
      <c r="M711" s="82"/>
      <c r="N711" s="82"/>
      <c r="O711" s="87" t="s">
        <v>7083</v>
      </c>
      <c r="P711" s="82" t="s">
        <v>359</v>
      </c>
      <c r="Q711" s="83">
        <f>VLOOKUP(TAB_ESTOQUE[[#This Row],[Codigo]],TAB_ENTRADA[[Cod_2_Entrada]:[TOTAL_ENTRADA]],5,FALSE)-VLOOKUP(TAB_ESTOQUE[[#This Row],[Codigo]],TAB_SAIDA[[COD_2_SAIDA]:[TOTAL_SAIDA]],5,FALSE)</f>
        <v>25</v>
      </c>
      <c r="R711" s="87"/>
      <c r="S711" s="87"/>
      <c r="T711" s="90"/>
      <c r="U711" s="91">
        <f>TAB_ESTOQUE[[#This Row],[Valor Unitario Estimado]]*TAB_ESTOQUE[[#This Row],[Estoque]]</f>
        <v>0</v>
      </c>
      <c r="V711" s="91"/>
      <c r="W711" s="85"/>
      <c r="X711" s="85"/>
      <c r="Y711" s="85"/>
      <c r="Z711" s="85"/>
      <c r="AA711" s="85"/>
      <c r="AB711" s="85" t="str">
        <f>IF(TAB_ESTOQUE[[#This Row],[Estoque]]=0,"Estoque Não Conforme",IF(TAB_ESTOQUE[[#This Row],[Estoque]]&gt;=TAB_ESTOQUE[[#This Row],[Mínimo]],"Estoque Conforme",IF(TAB_ESTOQUE[[#This Row],[Estoque]]&lt;TAB_ESTOQUE[[#This Row],[Mínimo]],"Estoque em Nivel Minimo")))</f>
        <v>Estoque Conforme</v>
      </c>
      <c r="AC711" s="85"/>
      <c r="AD711" s="82"/>
      <c r="AE711" s="82"/>
      <c r="AF711" s="82"/>
    </row>
    <row r="712" spans="1:32" ht="15" customHeight="1" x14ac:dyDescent="0.25">
      <c r="A712" s="45">
        <v>540</v>
      </c>
      <c r="B712" s="47"/>
      <c r="C712" s="46"/>
      <c r="D712" s="45" t="s">
        <v>2036</v>
      </c>
      <c r="E712" s="46" t="s">
        <v>7</v>
      </c>
      <c r="F712" s="87"/>
      <c r="G712" s="82"/>
      <c r="H712" s="82"/>
      <c r="I712" s="94" t="s">
        <v>8264</v>
      </c>
      <c r="J712" s="82"/>
      <c r="K712" s="82"/>
      <c r="L712" s="82"/>
      <c r="M712" s="82"/>
      <c r="N712" s="82"/>
      <c r="O712" s="87" t="s">
        <v>7083</v>
      </c>
      <c r="P712" s="82" t="s">
        <v>314</v>
      </c>
      <c r="Q712" s="83">
        <f>VLOOKUP(TAB_ESTOQUE[[#This Row],[Codigo]],TAB_ENTRADA[[Cod_2_Entrada]:[TOTAL_ENTRADA]],5,FALSE)-VLOOKUP(TAB_ESTOQUE[[#This Row],[Codigo]],TAB_SAIDA[[COD_2_SAIDA]:[TOTAL_SAIDA]],5,FALSE)</f>
        <v>20</v>
      </c>
      <c r="R712" s="87"/>
      <c r="S712" s="87"/>
      <c r="T712" s="90"/>
      <c r="U712" s="91">
        <f>TAB_ESTOQUE[[#This Row],[Valor Unitario Estimado]]*TAB_ESTOQUE[[#This Row],[Estoque]]</f>
        <v>0</v>
      </c>
      <c r="V712" s="91"/>
      <c r="W712" s="85"/>
      <c r="X712" s="85"/>
      <c r="Y712" s="85"/>
      <c r="Z712" s="85"/>
      <c r="AA712" s="85"/>
      <c r="AB712" s="85" t="str">
        <f>IF(TAB_ESTOQUE[[#This Row],[Estoque]]=0,"Estoque Não Conforme",IF(TAB_ESTOQUE[[#This Row],[Estoque]]&gt;=TAB_ESTOQUE[[#This Row],[Mínimo]],"Estoque Conforme",IF(TAB_ESTOQUE[[#This Row],[Estoque]]&lt;TAB_ESTOQUE[[#This Row],[Mínimo]],"Estoque em Nivel Minimo")))</f>
        <v>Estoque Conforme</v>
      </c>
      <c r="AC712" s="85"/>
      <c r="AD712" s="82"/>
      <c r="AE712" s="82"/>
      <c r="AF712" s="82"/>
    </row>
    <row r="713" spans="1:32" ht="15" customHeight="1" x14ac:dyDescent="0.25">
      <c r="A713" s="45">
        <v>546</v>
      </c>
      <c r="B713" s="47"/>
      <c r="C713" s="46"/>
      <c r="D713" s="45" t="s">
        <v>2037</v>
      </c>
      <c r="E713" s="46" t="s">
        <v>7</v>
      </c>
      <c r="F713" s="87"/>
      <c r="G713" s="82"/>
      <c r="H713" s="82"/>
      <c r="I713" s="209" t="s">
        <v>8305</v>
      </c>
      <c r="J713" s="82"/>
      <c r="K713" s="82"/>
      <c r="L713" s="82"/>
      <c r="M713" s="82" t="s">
        <v>94</v>
      </c>
      <c r="N713" s="82"/>
      <c r="O713" s="87" t="s">
        <v>7083</v>
      </c>
      <c r="P713" s="82" t="s">
        <v>320</v>
      </c>
      <c r="Q713" s="83">
        <f>VLOOKUP(TAB_ESTOQUE[[#This Row],[Codigo]],TAB_ENTRADA[[Cod_2_Entrada]:[TOTAL_ENTRADA]],5,FALSE)-VLOOKUP(TAB_ESTOQUE[[#This Row],[Codigo]],TAB_SAIDA[[COD_2_SAIDA]:[TOTAL_SAIDA]],5,FALSE)</f>
        <v>30</v>
      </c>
      <c r="R713" s="87"/>
      <c r="S713" s="87"/>
      <c r="T713" s="90"/>
      <c r="U713" s="91">
        <f>TAB_ESTOQUE[[#This Row],[Valor Unitario Estimado]]*TAB_ESTOQUE[[#This Row],[Estoque]]</f>
        <v>0</v>
      </c>
      <c r="V713" s="91"/>
      <c r="W713" s="85"/>
      <c r="X713" s="85"/>
      <c r="Y713" s="85"/>
      <c r="Z713" s="85"/>
      <c r="AA713" s="85"/>
      <c r="AB713" s="85" t="str">
        <f>IF(TAB_ESTOQUE[[#This Row],[Estoque]]=0,"Estoque Não Conforme",IF(TAB_ESTOQUE[[#This Row],[Estoque]]&gt;=TAB_ESTOQUE[[#This Row],[Mínimo]],"Estoque Conforme",IF(TAB_ESTOQUE[[#This Row],[Estoque]]&lt;TAB_ESTOQUE[[#This Row],[Mínimo]],"Estoque em Nivel Minimo")))</f>
        <v>Estoque Conforme</v>
      </c>
      <c r="AC713" s="85"/>
      <c r="AD713" s="82"/>
      <c r="AE713" s="82"/>
      <c r="AF713" s="82"/>
    </row>
    <row r="714" spans="1:32" ht="15" customHeight="1" x14ac:dyDescent="0.25">
      <c r="B714" s="47"/>
      <c r="C714" s="53" t="s">
        <v>2833</v>
      </c>
      <c r="D714" s="45" t="s">
        <v>6002</v>
      </c>
      <c r="E714" s="46"/>
      <c r="F714" s="87"/>
      <c r="G714" s="82"/>
      <c r="H714" s="82"/>
      <c r="I714" s="82" t="s">
        <v>8303</v>
      </c>
      <c r="J714" s="82"/>
      <c r="K714" s="82"/>
      <c r="L714" s="82"/>
      <c r="M714" s="82"/>
      <c r="N714" s="82"/>
      <c r="O714" s="87" t="s">
        <v>7083</v>
      </c>
      <c r="P714" s="82" t="s">
        <v>6015</v>
      </c>
      <c r="Q714" s="83">
        <f>VLOOKUP(TAB_ESTOQUE[[#This Row],[Codigo]],TAB_ENTRADA[[Cod_2_Entrada]:[TOTAL_ENTRADA]],5,FALSE)-VLOOKUP(TAB_ESTOQUE[[#This Row],[Codigo]],TAB_SAIDA[[COD_2_SAIDA]:[TOTAL_SAIDA]],5,FALSE)</f>
        <v>18</v>
      </c>
      <c r="R714" s="87"/>
      <c r="S714" s="87"/>
      <c r="T714" s="90"/>
      <c r="U714" s="91">
        <f>TAB_ESTOQUE[[#This Row],[Valor Unitario Estimado]]*TAB_ESTOQUE[[#This Row],[Estoque]]</f>
        <v>0</v>
      </c>
      <c r="V714" s="91"/>
      <c r="W714" s="85"/>
      <c r="X714" s="85"/>
      <c r="Y714" s="85"/>
      <c r="Z714" s="85"/>
      <c r="AA714" s="85"/>
      <c r="AB714" s="96" t="str">
        <f>IF(TAB_ESTOQUE[[#This Row],[Estoque]]=0,"Estoque Não Conforme",IF(TAB_ESTOQUE[[#This Row],[Estoque]]&gt;=TAB_ESTOQUE[[#This Row],[Mínimo]],"Estoque Conforme",IF(TAB_ESTOQUE[[#This Row],[Estoque]]&lt;TAB_ESTOQUE[[#This Row],[Mínimo]],"Estoque em Nivel Minimo")))</f>
        <v>Estoque Conforme</v>
      </c>
      <c r="AC714" s="96"/>
      <c r="AD714" s="82"/>
      <c r="AE714" s="82"/>
      <c r="AF714" s="82"/>
    </row>
    <row r="715" spans="1:32" ht="15" customHeight="1" x14ac:dyDescent="0.25">
      <c r="A715" s="47"/>
      <c r="B715" s="47"/>
      <c r="C715" s="51" t="s">
        <v>2833</v>
      </c>
      <c r="D715" s="47" t="s">
        <v>6005</v>
      </c>
      <c r="E715" s="51"/>
      <c r="F715" s="107"/>
      <c r="G715" s="94"/>
      <c r="H715" s="94"/>
      <c r="I715" s="94" t="s">
        <v>8298</v>
      </c>
      <c r="J715" s="94"/>
      <c r="K715" s="94"/>
      <c r="L715" s="94"/>
      <c r="M715" s="94"/>
      <c r="N715" s="94"/>
      <c r="O715" s="107" t="s">
        <v>6592</v>
      </c>
      <c r="P715" s="94" t="s">
        <v>6015</v>
      </c>
      <c r="Q715" s="145">
        <f>VLOOKUP(TAB_ESTOQUE[[#This Row],[Codigo]],TAB_ENTRADA[[Cod_2_Entrada]:[TOTAL_ENTRADA]],5,FALSE)-VLOOKUP(TAB_ESTOQUE[[#This Row],[Codigo]],TAB_SAIDA[[COD_2_SAIDA]:[TOTAL_SAIDA]],5,FALSE)</f>
        <v>0</v>
      </c>
      <c r="R715" s="107"/>
      <c r="S715" s="107"/>
      <c r="T715" s="108"/>
      <c r="U715" s="109">
        <f>TAB_ESTOQUE[[#This Row],[Valor Unitario Estimado]]*TAB_ESTOQUE[[#This Row],[Estoque]]</f>
        <v>0</v>
      </c>
      <c r="V715" s="109"/>
      <c r="W715" s="110"/>
      <c r="X715" s="110"/>
      <c r="Y715" s="110"/>
      <c r="Z715" s="110"/>
      <c r="AA715" s="110"/>
      <c r="AB715" s="155" t="str">
        <f>IF(TAB_ESTOQUE[[#This Row],[Estoque]]=0,"Estoque Não Conforme",IF(TAB_ESTOQUE[[#This Row],[Estoque]]&gt;=TAB_ESTOQUE[[#This Row],[Mínimo]],"Estoque Conforme",IF(TAB_ESTOQUE[[#This Row],[Estoque]]&lt;TAB_ESTOQUE[[#This Row],[Mínimo]],"Estoque em Nivel Minimo")))</f>
        <v>Estoque Não Conforme</v>
      </c>
      <c r="AC715" s="155"/>
      <c r="AD715" s="94"/>
      <c r="AE715" s="82"/>
      <c r="AF715" s="82"/>
    </row>
    <row r="716" spans="1:32" ht="15" customHeight="1" x14ac:dyDescent="0.25">
      <c r="C716" s="48"/>
      <c r="D716" s="45" t="s">
        <v>7074</v>
      </c>
      <c r="E716" s="46"/>
      <c r="F716" s="46"/>
      <c r="I716" s="45" t="s">
        <v>8297</v>
      </c>
      <c r="O716" s="46" t="s">
        <v>6592</v>
      </c>
      <c r="Q716" s="137">
        <f>VLOOKUP(TAB_ESTOQUE[[#This Row],[Codigo]],TAB_ENTRADA[[Cod_2_Entrada]:[TOTAL_ENTRADA]],5,FALSE)-VLOOKUP(TAB_ESTOQUE[[#This Row],[Codigo]],TAB_SAIDA[[COD_2_SAIDA]:[TOTAL_SAIDA]],5,FALSE)</f>
        <v>3</v>
      </c>
      <c r="S716" s="46"/>
      <c r="T716" s="102">
        <v>528</v>
      </c>
      <c r="U716" s="103">
        <f>TAB_ESTOQUE[[#This Row],[Valor Unitario Estimado]]*TAB_ESTOQUE[[#This Row],[Estoque]]</f>
        <v>1584</v>
      </c>
      <c r="V716" s="103"/>
      <c r="AA716" s="138"/>
      <c r="AB716" s="104" t="str">
        <f>IF(TAB_ESTOQUE[[#This Row],[Estoque]]=0,"Estoque Não Conforme",IF(TAB_ESTOQUE[[#This Row],[Estoque]]&gt;=TAB_ESTOQUE[[#This Row],[Mínimo]],"Estoque Conforme",IF(TAB_ESTOQUE[[#This Row],[Estoque]]&lt;TAB_ESTOQUE[[#This Row],[Mínimo]],"Estoque em Nivel Minimo")))</f>
        <v>Estoque Conforme</v>
      </c>
      <c r="AC716" s="104"/>
      <c r="AE716" s="82"/>
      <c r="AF716" s="82"/>
    </row>
    <row r="717" spans="1:32" ht="15" customHeight="1" x14ac:dyDescent="0.25">
      <c r="C717" s="48"/>
      <c r="D717" s="45" t="s">
        <v>7650</v>
      </c>
      <c r="E717" s="46"/>
      <c r="F717" s="46"/>
      <c r="I717" s="45" t="s">
        <v>8294</v>
      </c>
      <c r="O717" s="116" t="s">
        <v>6592</v>
      </c>
      <c r="Q717" s="137">
        <f>VLOOKUP(TAB_ESTOQUE[[#This Row],[Codigo]],TAB_ENTRADA[[Cod_2_Entrada]:[TOTAL_ENTRADA]],5,FALSE)-VLOOKUP(TAB_ESTOQUE[[#This Row],[Codigo]],TAB_SAIDA[[COD_2_SAIDA]:[TOTAL_SAIDA]],5,FALSE)</f>
        <v>0</v>
      </c>
      <c r="S717" s="46"/>
      <c r="T717" s="102"/>
      <c r="U717" s="103">
        <f>TAB_ESTOQUE[[#This Row],[Valor Unitario Estimado]]*TAB_ESTOQUE[[#This Row],[Estoque]]</f>
        <v>0</v>
      </c>
      <c r="V717" s="103"/>
      <c r="AA717" s="138"/>
      <c r="AB717" s="104" t="str">
        <f>IF(TAB_ESTOQUE[[#This Row],[Estoque]]=0,"Estoque Não Conforme",IF(TAB_ESTOQUE[[#This Row],[Estoque]]&gt;=TAB_ESTOQUE[[#This Row],[Mínimo]],"Estoque Conforme",IF(TAB_ESTOQUE[[#This Row],[Estoque]]&lt;TAB_ESTOQUE[[#This Row],[Mínimo]],"Estoque em Nivel Minimo")))</f>
        <v>Estoque Não Conforme</v>
      </c>
      <c r="AC717" s="104"/>
      <c r="AE717" s="82"/>
      <c r="AF717" s="82"/>
    </row>
    <row r="718" spans="1:32" ht="15" customHeight="1" x14ac:dyDescent="0.25">
      <c r="C718" s="48"/>
      <c r="D718" s="45" t="s">
        <v>7651</v>
      </c>
      <c r="E718" s="46"/>
      <c r="F718" s="46"/>
      <c r="I718" s="45" t="s">
        <v>8296</v>
      </c>
      <c r="O718" s="51" t="s">
        <v>6592</v>
      </c>
      <c r="Q718" s="137">
        <f>VLOOKUP(TAB_ESTOQUE[[#This Row],[Codigo]],TAB_ENTRADA[[Cod_2_Entrada]:[TOTAL_ENTRADA]],5,FALSE)-VLOOKUP(TAB_ESTOQUE[[#This Row],[Codigo]],TAB_SAIDA[[COD_2_SAIDA]:[TOTAL_SAIDA]],5,FALSE)</f>
        <v>38</v>
      </c>
      <c r="S718" s="46"/>
      <c r="T718" s="102"/>
      <c r="U718" s="103">
        <f>TAB_ESTOQUE[[#This Row],[Valor Unitario Estimado]]*TAB_ESTOQUE[[#This Row],[Estoque]]</f>
        <v>0</v>
      </c>
      <c r="V718" s="103"/>
      <c r="AA718" s="138"/>
      <c r="AB718" s="104" t="str">
        <f>IF(TAB_ESTOQUE[[#This Row],[Estoque]]=0,"Estoque Não Conforme",IF(TAB_ESTOQUE[[#This Row],[Estoque]]&gt;=TAB_ESTOQUE[[#This Row],[Mínimo]],"Estoque Conforme",IF(TAB_ESTOQUE[[#This Row],[Estoque]]&lt;TAB_ESTOQUE[[#This Row],[Mínimo]],"Estoque em Nivel Minimo")))</f>
        <v>Estoque Conforme</v>
      </c>
      <c r="AC718" s="104"/>
      <c r="AE718" s="82"/>
      <c r="AF718" s="82"/>
    </row>
    <row r="719" spans="1:32" ht="15" customHeight="1" x14ac:dyDescent="0.25">
      <c r="C719" s="48"/>
      <c r="D719" s="45" t="s">
        <v>7652</v>
      </c>
      <c r="E719" s="46"/>
      <c r="F719" s="46"/>
      <c r="I719" s="45" t="s">
        <v>8295</v>
      </c>
      <c r="O719" s="116" t="s">
        <v>6592</v>
      </c>
      <c r="Q719" s="137">
        <f>VLOOKUP(TAB_ESTOQUE[[#This Row],[Codigo]],TAB_ENTRADA[[Cod_2_Entrada]:[TOTAL_ENTRADA]],5,FALSE)-VLOOKUP(TAB_ESTOQUE[[#This Row],[Codigo]],TAB_SAIDA[[COD_2_SAIDA]:[TOTAL_SAIDA]],5,FALSE)</f>
        <v>36</v>
      </c>
      <c r="S719" s="46"/>
      <c r="T719" s="102"/>
      <c r="U719" s="103">
        <f>TAB_ESTOQUE[[#This Row],[Valor Unitario Estimado]]*TAB_ESTOQUE[[#This Row],[Estoque]]</f>
        <v>0</v>
      </c>
      <c r="V719" s="103"/>
      <c r="AA719" s="138"/>
      <c r="AB719" s="104" t="str">
        <f>IF(TAB_ESTOQUE[[#This Row],[Estoque]]=0,"Estoque Não Conforme",IF(TAB_ESTOQUE[[#This Row],[Estoque]]&gt;=TAB_ESTOQUE[[#This Row],[Mínimo]],"Estoque Conforme",IF(TAB_ESTOQUE[[#This Row],[Estoque]]&lt;TAB_ESTOQUE[[#This Row],[Mínimo]],"Estoque em Nivel Minimo")))</f>
        <v>Estoque Conforme</v>
      </c>
      <c r="AC719" s="104"/>
      <c r="AE719" s="82"/>
      <c r="AF719" s="82"/>
    </row>
    <row r="720" spans="1:32" ht="15" customHeight="1" x14ac:dyDescent="0.25">
      <c r="C720" s="48"/>
      <c r="D720" s="45" t="s">
        <v>7653</v>
      </c>
      <c r="E720" s="46"/>
      <c r="F720" s="46"/>
      <c r="I720" s="45" t="s">
        <v>8286</v>
      </c>
      <c r="O720" s="46" t="s">
        <v>6592</v>
      </c>
      <c r="Q720" s="137">
        <f>VLOOKUP(TAB_ESTOQUE[[#This Row],[Codigo]],TAB_ENTRADA[[Cod_2_Entrada]:[TOTAL_ENTRADA]],5,FALSE)-VLOOKUP(TAB_ESTOQUE[[#This Row],[Codigo]],TAB_SAIDA[[COD_2_SAIDA]:[TOTAL_SAIDA]],5,FALSE)</f>
        <v>20</v>
      </c>
      <c r="S720" s="46"/>
      <c r="T720" s="102"/>
      <c r="U720" s="103">
        <f>TAB_ESTOQUE[[#This Row],[Valor Unitario Estimado]]*TAB_ESTOQUE[[#This Row],[Estoque]]</f>
        <v>0</v>
      </c>
      <c r="V720" s="103"/>
      <c r="AA720" s="138"/>
      <c r="AB720" s="104" t="str">
        <f>IF(TAB_ESTOQUE[[#This Row],[Estoque]]=0,"Estoque Não Conforme",IF(TAB_ESTOQUE[[#This Row],[Estoque]]&gt;=TAB_ESTOQUE[[#This Row],[Mínimo]],"Estoque Conforme",IF(TAB_ESTOQUE[[#This Row],[Estoque]]&lt;TAB_ESTOQUE[[#This Row],[Mínimo]],"Estoque em Nivel Minimo")))</f>
        <v>Estoque Conforme</v>
      </c>
      <c r="AC720" s="104"/>
      <c r="AE720" s="82"/>
      <c r="AF720" s="82"/>
    </row>
    <row r="721" spans="1:32" ht="15" customHeight="1" x14ac:dyDescent="0.25">
      <c r="C721" s="48"/>
      <c r="D721" s="45" t="s">
        <v>7654</v>
      </c>
      <c r="E721" s="46"/>
      <c r="F721" s="46"/>
      <c r="I721" s="45" t="s">
        <v>8287</v>
      </c>
      <c r="O721" s="46" t="s">
        <v>6592</v>
      </c>
      <c r="Q721" s="137">
        <f>VLOOKUP(TAB_ESTOQUE[[#This Row],[Codigo]],TAB_ENTRADA[[Cod_2_Entrada]:[TOTAL_ENTRADA]],5,FALSE)-VLOOKUP(TAB_ESTOQUE[[#This Row],[Codigo]],TAB_SAIDA[[COD_2_SAIDA]:[TOTAL_SAIDA]],5,FALSE)</f>
        <v>20</v>
      </c>
      <c r="S721" s="46"/>
      <c r="T721" s="102"/>
      <c r="U721" s="103">
        <f>TAB_ESTOQUE[[#This Row],[Valor Unitario Estimado]]*TAB_ESTOQUE[[#This Row],[Estoque]]</f>
        <v>0</v>
      </c>
      <c r="V721" s="103"/>
      <c r="AA721" s="138"/>
      <c r="AB721" s="104" t="str">
        <f>IF(TAB_ESTOQUE[[#This Row],[Estoque]]=0,"Estoque Não Conforme",IF(TAB_ESTOQUE[[#This Row],[Estoque]]&gt;=TAB_ESTOQUE[[#This Row],[Mínimo]],"Estoque Conforme",IF(TAB_ESTOQUE[[#This Row],[Estoque]]&lt;TAB_ESTOQUE[[#This Row],[Mínimo]],"Estoque em Nivel Minimo")))</f>
        <v>Estoque Conforme</v>
      </c>
      <c r="AC721" s="104"/>
      <c r="AE721" s="82"/>
      <c r="AF721" s="82"/>
    </row>
    <row r="722" spans="1:32" ht="15" customHeight="1" x14ac:dyDescent="0.25">
      <c r="C722" s="48"/>
      <c r="D722" s="45" t="s">
        <v>7655</v>
      </c>
      <c r="E722" s="46"/>
      <c r="F722" s="46"/>
      <c r="I722" s="45" t="s">
        <v>8288</v>
      </c>
      <c r="O722" s="46" t="s">
        <v>6592</v>
      </c>
      <c r="Q722" s="137">
        <f>VLOOKUP(TAB_ESTOQUE[[#This Row],[Codigo]],TAB_ENTRADA[[Cod_2_Entrada]:[TOTAL_ENTRADA]],5,FALSE)-VLOOKUP(TAB_ESTOQUE[[#This Row],[Codigo]],TAB_SAIDA[[COD_2_SAIDA]:[TOTAL_SAIDA]],5,FALSE)</f>
        <v>20</v>
      </c>
      <c r="S722" s="46"/>
      <c r="T722" s="102"/>
      <c r="U722" s="103">
        <f>TAB_ESTOQUE[[#This Row],[Valor Unitario Estimado]]*TAB_ESTOQUE[[#This Row],[Estoque]]</f>
        <v>0</v>
      </c>
      <c r="V722" s="103"/>
      <c r="AA722" s="138"/>
      <c r="AB722" s="104" t="str">
        <f>IF(TAB_ESTOQUE[[#This Row],[Estoque]]=0,"Estoque Não Conforme",IF(TAB_ESTOQUE[[#This Row],[Estoque]]&gt;=TAB_ESTOQUE[[#This Row],[Mínimo]],"Estoque Conforme",IF(TAB_ESTOQUE[[#This Row],[Estoque]]&lt;TAB_ESTOQUE[[#This Row],[Mínimo]],"Estoque em Nivel Minimo")))</f>
        <v>Estoque Conforme</v>
      </c>
      <c r="AC722" s="104"/>
      <c r="AE722" s="82"/>
      <c r="AF722" s="82"/>
    </row>
    <row r="723" spans="1:32" ht="15" customHeight="1" x14ac:dyDescent="0.25">
      <c r="C723" s="48"/>
      <c r="D723" s="45" t="s">
        <v>7656</v>
      </c>
      <c r="E723" s="46"/>
      <c r="F723" s="46"/>
      <c r="I723" s="45" t="s">
        <v>8289</v>
      </c>
      <c r="O723" s="46" t="s">
        <v>6592</v>
      </c>
      <c r="Q723" s="137">
        <f>VLOOKUP(TAB_ESTOQUE[[#This Row],[Codigo]],TAB_ENTRADA[[Cod_2_Entrada]:[TOTAL_ENTRADA]],5,FALSE)-VLOOKUP(TAB_ESTOQUE[[#This Row],[Codigo]],TAB_SAIDA[[COD_2_SAIDA]:[TOTAL_SAIDA]],5,FALSE)</f>
        <v>20</v>
      </c>
      <c r="S723" s="46"/>
      <c r="T723" s="102"/>
      <c r="U723" s="103">
        <f>TAB_ESTOQUE[[#This Row],[Valor Unitario Estimado]]*TAB_ESTOQUE[[#This Row],[Estoque]]</f>
        <v>0</v>
      </c>
      <c r="V723" s="103"/>
      <c r="AA723" s="138"/>
      <c r="AB723" s="104" t="str">
        <f>IF(TAB_ESTOQUE[[#This Row],[Estoque]]=0,"Estoque Não Conforme",IF(TAB_ESTOQUE[[#This Row],[Estoque]]&gt;=TAB_ESTOQUE[[#This Row],[Mínimo]],"Estoque Conforme",IF(TAB_ESTOQUE[[#This Row],[Estoque]]&lt;TAB_ESTOQUE[[#This Row],[Mínimo]],"Estoque em Nivel Minimo")))</f>
        <v>Estoque Conforme</v>
      </c>
      <c r="AC723" s="104"/>
      <c r="AE723" s="82"/>
      <c r="AF723" s="82"/>
    </row>
    <row r="724" spans="1:32" ht="15" customHeight="1" x14ac:dyDescent="0.25">
      <c r="C724" s="48"/>
      <c r="D724" s="45" t="s">
        <v>7657</v>
      </c>
      <c r="E724" s="46"/>
      <c r="F724" s="46"/>
      <c r="I724" s="45" t="s">
        <v>8285</v>
      </c>
      <c r="O724" s="46" t="s">
        <v>6592</v>
      </c>
      <c r="Q724" s="137">
        <f>VLOOKUP(TAB_ESTOQUE[[#This Row],[Codigo]],TAB_ENTRADA[[Cod_2_Entrada]:[TOTAL_ENTRADA]],5,FALSE)-VLOOKUP(TAB_ESTOQUE[[#This Row],[Codigo]],TAB_SAIDA[[COD_2_SAIDA]:[TOTAL_SAIDA]],5,FALSE)</f>
        <v>20</v>
      </c>
      <c r="S724" s="46"/>
      <c r="T724" s="102"/>
      <c r="U724" s="103">
        <f>TAB_ESTOQUE[[#This Row],[Valor Unitario Estimado]]*TAB_ESTOQUE[[#This Row],[Estoque]]</f>
        <v>0</v>
      </c>
      <c r="V724" s="103"/>
      <c r="AA724" s="138"/>
      <c r="AB724" s="104" t="str">
        <f>IF(TAB_ESTOQUE[[#This Row],[Estoque]]=0,"Estoque Não Conforme",IF(TAB_ESTOQUE[[#This Row],[Estoque]]&gt;=TAB_ESTOQUE[[#This Row],[Mínimo]],"Estoque Conforme",IF(TAB_ESTOQUE[[#This Row],[Estoque]]&lt;TAB_ESTOQUE[[#This Row],[Mínimo]],"Estoque em Nivel Minimo")))</f>
        <v>Estoque Conforme</v>
      </c>
      <c r="AC724" s="104"/>
      <c r="AE724" s="82"/>
      <c r="AF724" s="82"/>
    </row>
    <row r="725" spans="1:32" ht="15" customHeight="1" x14ac:dyDescent="0.25">
      <c r="C725" s="48"/>
      <c r="D725" s="45" t="s">
        <v>7658</v>
      </c>
      <c r="E725" s="46"/>
      <c r="F725" s="46"/>
      <c r="I725" s="45" t="s">
        <v>8284</v>
      </c>
      <c r="O725" s="46" t="s">
        <v>8281</v>
      </c>
      <c r="Q725" s="137">
        <f>VLOOKUP(TAB_ESTOQUE[[#This Row],[Codigo]],TAB_ENTRADA[[Cod_2_Entrada]:[TOTAL_ENTRADA]],5,FALSE)-VLOOKUP(TAB_ESTOQUE[[#This Row],[Codigo]],TAB_SAIDA[[COD_2_SAIDA]:[TOTAL_SAIDA]],5,FALSE)</f>
        <v>30</v>
      </c>
      <c r="S725" s="46"/>
      <c r="T725" s="102"/>
      <c r="U725" s="103">
        <f>TAB_ESTOQUE[[#This Row],[Valor Unitario Estimado]]*TAB_ESTOQUE[[#This Row],[Estoque]]</f>
        <v>0</v>
      </c>
      <c r="V725" s="103"/>
      <c r="AA725" s="138"/>
      <c r="AB725" s="104" t="str">
        <f>IF(TAB_ESTOQUE[[#This Row],[Estoque]]=0,"Estoque Não Conforme",IF(TAB_ESTOQUE[[#This Row],[Estoque]]&gt;=TAB_ESTOQUE[[#This Row],[Mínimo]],"Estoque Conforme",IF(TAB_ESTOQUE[[#This Row],[Estoque]]&lt;TAB_ESTOQUE[[#This Row],[Mínimo]],"Estoque em Nivel Minimo")))</f>
        <v>Estoque Conforme</v>
      </c>
      <c r="AC725" s="104"/>
      <c r="AE725" s="82"/>
      <c r="AF725" s="82"/>
    </row>
    <row r="726" spans="1:32" ht="15" customHeight="1" x14ac:dyDescent="0.25">
      <c r="C726" s="48"/>
      <c r="D726" s="45" t="s">
        <v>7659</v>
      </c>
      <c r="E726" s="46"/>
      <c r="F726" s="46"/>
      <c r="I726" s="45" t="s">
        <v>8283</v>
      </c>
      <c r="O726" s="46" t="s">
        <v>8281</v>
      </c>
      <c r="Q726" s="137">
        <f>VLOOKUP(TAB_ESTOQUE[[#This Row],[Codigo]],TAB_ENTRADA[[Cod_2_Entrada]:[TOTAL_ENTRADA]],5,FALSE)-VLOOKUP(TAB_ESTOQUE[[#This Row],[Codigo]],TAB_SAIDA[[COD_2_SAIDA]:[TOTAL_SAIDA]],5,FALSE)</f>
        <v>30</v>
      </c>
      <c r="S726" s="46"/>
      <c r="T726" s="102"/>
      <c r="U726" s="103">
        <f>TAB_ESTOQUE[[#This Row],[Valor Unitario Estimado]]*TAB_ESTOQUE[[#This Row],[Estoque]]</f>
        <v>0</v>
      </c>
      <c r="V726" s="103"/>
      <c r="AA726" s="138"/>
      <c r="AB726" s="104" t="str">
        <f>IF(TAB_ESTOQUE[[#This Row],[Estoque]]=0,"Estoque Não Conforme",IF(TAB_ESTOQUE[[#This Row],[Estoque]]&gt;=TAB_ESTOQUE[[#This Row],[Mínimo]],"Estoque Conforme",IF(TAB_ESTOQUE[[#This Row],[Estoque]]&lt;TAB_ESTOQUE[[#This Row],[Mínimo]],"Estoque em Nivel Minimo")))</f>
        <v>Estoque Conforme</v>
      </c>
      <c r="AC726" s="104"/>
      <c r="AE726" s="82"/>
      <c r="AF726" s="82"/>
    </row>
    <row r="727" spans="1:32" ht="15" customHeight="1" x14ac:dyDescent="0.25">
      <c r="C727" s="48"/>
      <c r="D727" s="45" t="s">
        <v>7660</v>
      </c>
      <c r="E727" s="46"/>
      <c r="F727" s="46"/>
      <c r="I727" s="45" t="s">
        <v>8282</v>
      </c>
      <c r="O727" s="46" t="s">
        <v>8281</v>
      </c>
      <c r="Q727" s="137">
        <f>VLOOKUP(TAB_ESTOQUE[[#This Row],[Codigo]],TAB_ENTRADA[[Cod_2_Entrada]:[TOTAL_ENTRADA]],5,FALSE)-VLOOKUP(TAB_ESTOQUE[[#This Row],[Codigo]],TAB_SAIDA[[COD_2_SAIDA]:[TOTAL_SAIDA]],5,FALSE)</f>
        <v>13</v>
      </c>
      <c r="S727" s="46"/>
      <c r="T727" s="102"/>
      <c r="U727" s="103">
        <f>TAB_ESTOQUE[[#This Row],[Valor Unitario Estimado]]*TAB_ESTOQUE[[#This Row],[Estoque]]</f>
        <v>0</v>
      </c>
      <c r="V727" s="103"/>
      <c r="AA727" s="138"/>
      <c r="AB727" s="104" t="str">
        <f>IF(TAB_ESTOQUE[[#This Row],[Estoque]]=0,"Estoque Não Conforme",IF(TAB_ESTOQUE[[#This Row],[Estoque]]&gt;=TAB_ESTOQUE[[#This Row],[Mínimo]],"Estoque Conforme",IF(TAB_ESTOQUE[[#This Row],[Estoque]]&lt;TAB_ESTOQUE[[#This Row],[Mínimo]],"Estoque em Nivel Minimo")))</f>
        <v>Estoque Conforme</v>
      </c>
      <c r="AC727" s="104"/>
      <c r="AE727" s="82"/>
      <c r="AF727" s="82"/>
    </row>
    <row r="728" spans="1:32" ht="14.25" customHeight="1" x14ac:dyDescent="0.25">
      <c r="A728" s="45">
        <v>1355</v>
      </c>
      <c r="B728" s="47"/>
      <c r="C728" s="46"/>
      <c r="D728" s="45" t="s">
        <v>2130</v>
      </c>
      <c r="E728" s="46" t="s">
        <v>7</v>
      </c>
      <c r="F728" s="87"/>
      <c r="G728" s="82"/>
      <c r="H728" s="82"/>
      <c r="I728" s="82" t="s">
        <v>8338</v>
      </c>
      <c r="J728" s="82"/>
      <c r="K728" s="82"/>
      <c r="L728" s="82"/>
      <c r="M728" s="82" t="s">
        <v>139</v>
      </c>
      <c r="N728" s="82"/>
      <c r="O728" s="87" t="s">
        <v>6666</v>
      </c>
      <c r="P728" s="82" t="s">
        <v>1089</v>
      </c>
      <c r="Q728" s="83">
        <f>VLOOKUP(TAB_ESTOQUE[[#This Row],[Codigo]],TAB_ENTRADA[[Cod_2_Entrada]:[TOTAL_ENTRADA]],5,FALSE)-VLOOKUP(TAB_ESTOQUE[[#This Row],[Codigo]],TAB_SAIDA[[COD_2_SAIDA]:[TOTAL_SAIDA]],5,FALSE)</f>
        <v>1</v>
      </c>
      <c r="R728" s="87"/>
      <c r="S728" s="87"/>
      <c r="T728" s="90">
        <v>960</v>
      </c>
      <c r="U728" s="91">
        <f>TAB_ESTOQUE[[#This Row],[Valor Unitario Estimado]]*TAB_ESTOQUE[[#This Row],[Estoque]]</f>
        <v>960</v>
      </c>
      <c r="V728" s="91"/>
      <c r="W728" s="85"/>
      <c r="X728" s="85"/>
      <c r="Y728" s="85"/>
      <c r="Z728" s="85"/>
      <c r="AA728" s="85"/>
      <c r="AB728" s="85" t="str">
        <f>IF(TAB_ESTOQUE[[#This Row],[Estoque]]=0,"Estoque Não Conforme",IF(TAB_ESTOQUE[[#This Row],[Estoque]]&gt;=TAB_ESTOQUE[[#This Row],[Mínimo]],"Estoque Conforme",IF(TAB_ESTOQUE[[#This Row],[Estoque]]&lt;TAB_ESTOQUE[[#This Row],[Mínimo]],"Estoque em Nivel Minimo")))</f>
        <v>Estoque Conforme</v>
      </c>
      <c r="AC728" s="85"/>
      <c r="AD728" s="82"/>
      <c r="AE728" s="82"/>
      <c r="AF728" s="82"/>
    </row>
    <row r="729" spans="1:32" ht="15" customHeight="1" x14ac:dyDescent="0.25">
      <c r="A729" s="45">
        <v>548</v>
      </c>
      <c r="B729" s="47"/>
      <c r="C729" s="46" t="s">
        <v>2833</v>
      </c>
      <c r="D729" s="45" t="s">
        <v>2239</v>
      </c>
      <c r="E729" s="46" t="s">
        <v>7345</v>
      </c>
      <c r="F729" s="87"/>
      <c r="G729" s="82"/>
      <c r="H729" s="82"/>
      <c r="I729" s="82" t="s">
        <v>8368</v>
      </c>
      <c r="J729" s="82"/>
      <c r="K729" s="82"/>
      <c r="L729" s="82"/>
      <c r="M729" s="82"/>
      <c r="N729" s="82"/>
      <c r="O729" s="87" t="s">
        <v>6666</v>
      </c>
      <c r="P729" s="82" t="s">
        <v>322</v>
      </c>
      <c r="Q729" s="83">
        <f>VLOOKUP(TAB_ESTOQUE[[#This Row],[Codigo]],TAB_ENTRADA[[Cod_2_Entrada]:[TOTAL_ENTRADA]],5,FALSE)-VLOOKUP(TAB_ESTOQUE[[#This Row],[Codigo]],TAB_SAIDA[[COD_2_SAIDA]:[TOTAL_SAIDA]],5,FALSE)</f>
        <v>3</v>
      </c>
      <c r="R729" s="87"/>
      <c r="S729" s="87"/>
      <c r="T729" s="90">
        <v>263.3</v>
      </c>
      <c r="U729" s="91">
        <f>TAB_ESTOQUE[[#This Row],[Valor Unitario Estimado]]*TAB_ESTOQUE[[#This Row],[Estoque]]</f>
        <v>789.90000000000009</v>
      </c>
      <c r="V729" s="91"/>
      <c r="W729" s="85"/>
      <c r="X729" s="85"/>
      <c r="Y729" s="85"/>
      <c r="Z729" s="85"/>
      <c r="AA729" s="85"/>
      <c r="AB729" s="85" t="str">
        <f>IF(TAB_ESTOQUE[[#This Row],[Estoque]]=0,"Estoque Não Conforme",IF(TAB_ESTOQUE[[#This Row],[Estoque]]&gt;=TAB_ESTOQUE[[#This Row],[Mínimo]],"Estoque Conforme",IF(TAB_ESTOQUE[[#This Row],[Estoque]]&lt;TAB_ESTOQUE[[#This Row],[Mínimo]],"Estoque em Nivel Minimo")))</f>
        <v>Estoque Conforme</v>
      </c>
      <c r="AC729" s="85"/>
      <c r="AD729" s="82"/>
      <c r="AE729" s="82"/>
      <c r="AF729" s="82"/>
    </row>
    <row r="730" spans="1:32" ht="15" customHeight="1" x14ac:dyDescent="0.25">
      <c r="C730" s="48"/>
      <c r="D730" s="45" t="s">
        <v>8181</v>
      </c>
      <c r="F730" s="46"/>
      <c r="I730" s="45" t="s">
        <v>9060</v>
      </c>
      <c r="O730" s="46" t="s">
        <v>6666</v>
      </c>
      <c r="Q730" s="137">
        <f>VLOOKUP(TAB_ESTOQUE[[#This Row],[Codigo]],TAB_ENTRADA[[Cod_2_Entrada]:[TOTAL_ENTRADA]],5,FALSE)-VLOOKUP(TAB_ESTOQUE[[#This Row],[Codigo]],TAB_SAIDA[[COD_2_SAIDA]:[TOTAL_SAIDA]],5,FALSE)</f>
        <v>2</v>
      </c>
      <c r="R730" s="46">
        <v>2</v>
      </c>
      <c r="S730" s="46">
        <v>5</v>
      </c>
      <c r="T730" s="102">
        <v>915</v>
      </c>
      <c r="U730" s="103">
        <f>TAB_ESTOQUE[[#This Row],[Valor Unitario Estimado]]*TAB_ESTOQUE[[#This Row],[Estoque]]</f>
        <v>1830</v>
      </c>
      <c r="V730" s="103"/>
      <c r="AA730" s="138"/>
      <c r="AB730" s="104" t="str">
        <f>IF(TAB_ESTOQUE[[#This Row],[Estoque]]=0,"Estoque Não Conforme",IF(TAB_ESTOQUE[[#This Row],[Estoque]]&gt;=TAB_ESTOQUE[[#This Row],[Mínimo]],"Estoque Conforme",IF(TAB_ESTOQUE[[#This Row],[Estoque]]&lt;TAB_ESTOQUE[[#This Row],[Mínimo]],"Estoque em Nivel Minimo")))</f>
        <v>Estoque Conforme</v>
      </c>
      <c r="AC730" s="104"/>
      <c r="AE730" s="82"/>
      <c r="AF730" s="82"/>
    </row>
    <row r="731" spans="1:32" ht="15" customHeight="1" x14ac:dyDescent="0.25">
      <c r="A731" s="45">
        <v>1291</v>
      </c>
      <c r="B731" s="47"/>
      <c r="C731" s="46"/>
      <c r="D731" s="45" t="s">
        <v>2415</v>
      </c>
      <c r="E731" s="46" t="s">
        <v>7345</v>
      </c>
      <c r="F731" s="87"/>
      <c r="G731" s="82"/>
      <c r="H731" s="82"/>
      <c r="I731" s="82" t="s">
        <v>7673</v>
      </c>
      <c r="J731" s="82"/>
      <c r="K731" s="82"/>
      <c r="L731" s="82"/>
      <c r="M731" s="82"/>
      <c r="N731" s="82"/>
      <c r="O731" s="87" t="s">
        <v>6607</v>
      </c>
      <c r="P731" s="82" t="s">
        <v>1012</v>
      </c>
      <c r="Q731" s="83">
        <f>VLOOKUP(TAB_ESTOQUE[[#This Row],[Codigo]],TAB_ENTRADA[[Cod_2_Entrada]:[TOTAL_ENTRADA]],5,FALSE)-VLOOKUP(TAB_ESTOQUE[[#This Row],[Codigo]],TAB_SAIDA[[COD_2_SAIDA]:[TOTAL_SAIDA]],5,FALSE)</f>
        <v>0</v>
      </c>
      <c r="R731" s="87"/>
      <c r="S731" s="87"/>
      <c r="T731" s="90">
        <v>135.15</v>
      </c>
      <c r="U731" s="91">
        <f>TAB_ESTOQUE[[#This Row],[Valor Unitario Estimado]]*TAB_ESTOQUE[[#This Row],[Estoque]]</f>
        <v>0</v>
      </c>
      <c r="V731" s="91"/>
      <c r="W731" s="85"/>
      <c r="X731" s="85"/>
      <c r="Y731" s="85"/>
      <c r="Z731" s="85"/>
      <c r="AA731" s="85"/>
      <c r="AB731" s="85" t="str">
        <f>IF(TAB_ESTOQUE[[#This Row],[Estoque]]=0,"Estoque Não Conforme",IF(TAB_ESTOQUE[[#This Row],[Estoque]]&gt;=TAB_ESTOQUE[[#This Row],[Mínimo]],"Estoque Conforme",IF(TAB_ESTOQUE[[#This Row],[Estoque]]&lt;TAB_ESTOQUE[[#This Row],[Mínimo]],"Estoque em Nivel Minimo")))</f>
        <v>Estoque Não Conforme</v>
      </c>
      <c r="AC731" s="85"/>
      <c r="AD731" s="82"/>
      <c r="AE731" s="82"/>
      <c r="AF731" s="82"/>
    </row>
    <row r="732" spans="1:32" s="106" customFormat="1" ht="15" customHeight="1" x14ac:dyDescent="0.25">
      <c r="A732" s="47"/>
      <c r="B732" s="47"/>
      <c r="C732" s="51" t="s">
        <v>2833</v>
      </c>
      <c r="D732" s="47" t="s">
        <v>6009</v>
      </c>
      <c r="E732" s="51" t="s">
        <v>7908</v>
      </c>
      <c r="F732" s="107"/>
      <c r="G732" s="94"/>
      <c r="H732" s="94"/>
      <c r="I732" s="94" t="s">
        <v>7395</v>
      </c>
      <c r="J732" s="94"/>
      <c r="K732" s="94"/>
      <c r="L732" s="94"/>
      <c r="M732" s="94"/>
      <c r="N732" s="94"/>
      <c r="O732" s="107" t="s">
        <v>6607</v>
      </c>
      <c r="P732" s="94" t="s">
        <v>6015</v>
      </c>
      <c r="Q732" s="145">
        <f>VLOOKUP(TAB_ESTOQUE[[#This Row],[Codigo]],TAB_ENTRADA[[Cod_2_Entrada]:[TOTAL_ENTRADA]],5,FALSE)-VLOOKUP(TAB_ESTOQUE[[#This Row],[Codigo]],TAB_SAIDA[[COD_2_SAIDA]:[TOTAL_SAIDA]],5,FALSE)</f>
        <v>1</v>
      </c>
      <c r="R732" s="107"/>
      <c r="S732" s="107"/>
      <c r="T732" s="108">
        <v>629.39</v>
      </c>
      <c r="U732" s="109">
        <f>TAB_ESTOQUE[[#This Row],[Valor Unitario Estimado]]*TAB_ESTOQUE[[#This Row],[Estoque]]</f>
        <v>629.39</v>
      </c>
      <c r="V732" s="109"/>
      <c r="W732" s="110"/>
      <c r="X732" s="110"/>
      <c r="Y732" s="110"/>
      <c r="Z732" s="110"/>
      <c r="AA732" s="110"/>
      <c r="AB732" s="155" t="str">
        <f>IF(TAB_ESTOQUE[[#This Row],[Estoque]]=0,"Estoque Não Conforme",IF(TAB_ESTOQUE[[#This Row],[Estoque]]&gt;=TAB_ESTOQUE[[#This Row],[Mínimo]],"Estoque Conforme",IF(TAB_ESTOQUE[[#This Row],[Estoque]]&lt;TAB_ESTOQUE[[#This Row],[Mínimo]],"Estoque em Nivel Minimo")))</f>
        <v>Estoque Conforme</v>
      </c>
      <c r="AC732" s="155"/>
      <c r="AD732" s="94"/>
      <c r="AE732" s="95"/>
      <c r="AF732" s="95"/>
    </row>
    <row r="733" spans="1:32" ht="15" customHeight="1" x14ac:dyDescent="0.25">
      <c r="A733" s="106"/>
      <c r="B733" s="106"/>
      <c r="C733" s="116" t="s">
        <v>2833</v>
      </c>
      <c r="D733" s="106" t="s">
        <v>6010</v>
      </c>
      <c r="E733" s="116" t="s">
        <v>7908</v>
      </c>
      <c r="F733" s="118"/>
      <c r="G733" s="95"/>
      <c r="H733" s="95"/>
      <c r="I733" s="95" t="s">
        <v>8370</v>
      </c>
      <c r="J733" s="95"/>
      <c r="K733" s="95"/>
      <c r="L733" s="95"/>
      <c r="M733" s="95"/>
      <c r="N733" s="95"/>
      <c r="O733" s="118" t="s">
        <v>6607</v>
      </c>
      <c r="P733" s="95" t="s">
        <v>6015</v>
      </c>
      <c r="Q733" s="154">
        <f>VLOOKUP(TAB_ESTOQUE[[#This Row],[Codigo]],TAB_ENTRADA[[Cod_2_Entrada]:[TOTAL_ENTRADA]],5,FALSE)-VLOOKUP(TAB_ESTOQUE[[#This Row],[Codigo]],TAB_SAIDA[[COD_2_SAIDA]:[TOTAL_SAIDA]],5,FALSE)</f>
        <v>1</v>
      </c>
      <c r="R733" s="118"/>
      <c r="S733" s="118"/>
      <c r="T733" s="119">
        <v>87.67</v>
      </c>
      <c r="U733" s="112">
        <f>TAB_ESTOQUE[[#This Row],[Valor Unitario Estimado]]*TAB_ESTOQUE[[#This Row],[Estoque]]</f>
        <v>87.67</v>
      </c>
      <c r="V733" s="112"/>
      <c r="W733" s="120"/>
      <c r="X733" s="120"/>
      <c r="Y733" s="120"/>
      <c r="Z733" s="120"/>
      <c r="AA733" s="120"/>
      <c r="AB733" s="160" t="str">
        <f>IF(TAB_ESTOQUE[[#This Row],[Estoque]]=0,"Estoque Não Conforme",IF(TAB_ESTOQUE[[#This Row],[Estoque]]&gt;=TAB_ESTOQUE[[#This Row],[Mínimo]],"Estoque Conforme",IF(TAB_ESTOQUE[[#This Row],[Estoque]]&lt;TAB_ESTOQUE[[#This Row],[Mínimo]],"Estoque em Nivel Minimo")))</f>
        <v>Estoque Conforme</v>
      </c>
      <c r="AC733" s="160"/>
      <c r="AD733" s="95"/>
      <c r="AE733" s="82"/>
      <c r="AF733" s="82"/>
    </row>
    <row r="734" spans="1:32" ht="15" customHeight="1" x14ac:dyDescent="0.25">
      <c r="C734" s="48"/>
      <c r="D734" s="45" t="s">
        <v>7168</v>
      </c>
      <c r="E734" s="46" t="s">
        <v>7618</v>
      </c>
      <c r="F734" s="46"/>
      <c r="I734" s="45" t="s">
        <v>7675</v>
      </c>
      <c r="O734" s="46" t="s">
        <v>6607</v>
      </c>
      <c r="Q734" s="137">
        <f>VLOOKUP(TAB_ESTOQUE[[#This Row],[Codigo]],TAB_ENTRADA[[Cod_2_Entrada]:[TOTAL_ENTRADA]],5,FALSE)-VLOOKUP(TAB_ESTOQUE[[#This Row],[Codigo]],TAB_SAIDA[[COD_2_SAIDA]:[TOTAL_SAIDA]],5,FALSE)</f>
        <v>3</v>
      </c>
      <c r="S734" s="46"/>
      <c r="T734" s="102">
        <v>270</v>
      </c>
      <c r="U734" s="103">
        <f>TAB_ESTOQUE[[#This Row],[Valor Unitario Estimado]]*TAB_ESTOQUE[[#This Row],[Estoque]]</f>
        <v>810</v>
      </c>
      <c r="V734" s="103"/>
      <c r="AA734" s="138"/>
      <c r="AB734" s="104" t="str">
        <f>IF(TAB_ESTOQUE[[#This Row],[Estoque]]=0,"Estoque Não Conforme",IF(TAB_ESTOQUE[[#This Row],[Estoque]]&gt;=TAB_ESTOQUE[[#This Row],[Mínimo]],"Estoque Conforme",IF(TAB_ESTOQUE[[#This Row],[Estoque]]&lt;TAB_ESTOQUE[[#This Row],[Mínimo]],"Estoque em Nivel Minimo")))</f>
        <v>Estoque Conforme</v>
      </c>
      <c r="AC734" s="104"/>
      <c r="AE734" s="82"/>
      <c r="AF734" s="82"/>
    </row>
    <row r="735" spans="1:32" s="47" customFormat="1" ht="15" customHeight="1" x14ac:dyDescent="0.25">
      <c r="A735" s="45"/>
      <c r="B735" s="45"/>
      <c r="C735" s="48"/>
      <c r="D735" s="45" t="s">
        <v>7169</v>
      </c>
      <c r="E735" s="46" t="s">
        <v>7618</v>
      </c>
      <c r="F735" s="46"/>
      <c r="G735" s="45"/>
      <c r="H735" s="45"/>
      <c r="I735" s="45" t="s">
        <v>7676</v>
      </c>
      <c r="J735" s="45"/>
      <c r="K735" s="45"/>
      <c r="L735" s="45"/>
      <c r="M735" s="45"/>
      <c r="N735" s="45"/>
      <c r="O735" s="46" t="s">
        <v>6607</v>
      </c>
      <c r="P735" s="45"/>
      <c r="Q735" s="137">
        <f>VLOOKUP(TAB_ESTOQUE[[#This Row],[Codigo]],TAB_ENTRADA[[Cod_2_Entrada]:[TOTAL_ENTRADA]],5,FALSE)-VLOOKUP(TAB_ESTOQUE[[#This Row],[Codigo]],TAB_SAIDA[[COD_2_SAIDA]:[TOTAL_SAIDA]],5,FALSE)</f>
        <v>4</v>
      </c>
      <c r="R735" s="46"/>
      <c r="S735" s="46"/>
      <c r="T735" s="102">
        <v>270</v>
      </c>
      <c r="U735" s="103">
        <f>TAB_ESTOQUE[[#This Row],[Valor Unitario Estimado]]*TAB_ESTOQUE[[#This Row],[Estoque]]</f>
        <v>1080</v>
      </c>
      <c r="V735" s="103"/>
      <c r="W735" s="54"/>
      <c r="X735" s="54"/>
      <c r="Y735" s="54"/>
      <c r="Z735" s="54"/>
      <c r="AA735" s="138"/>
      <c r="AB735" s="104" t="str">
        <f>IF(TAB_ESTOQUE[[#This Row],[Estoque]]=0,"Estoque Não Conforme",IF(TAB_ESTOQUE[[#This Row],[Estoque]]&gt;=TAB_ESTOQUE[[#This Row],[Mínimo]],"Estoque Conforme",IF(TAB_ESTOQUE[[#This Row],[Estoque]]&lt;TAB_ESTOQUE[[#This Row],[Mínimo]],"Estoque em Nivel Minimo")))</f>
        <v>Estoque Conforme</v>
      </c>
      <c r="AC735" s="104"/>
      <c r="AD735" s="45"/>
      <c r="AE735" s="94"/>
      <c r="AF735" s="94"/>
    </row>
    <row r="736" spans="1:32" ht="15" customHeight="1" x14ac:dyDescent="0.25">
      <c r="C736" s="48"/>
      <c r="D736" s="45" t="s">
        <v>7192</v>
      </c>
      <c r="E736" s="46" t="s">
        <v>7618</v>
      </c>
      <c r="F736" s="46"/>
      <c r="I736" s="185" t="s">
        <v>7678</v>
      </c>
      <c r="O736" s="46" t="s">
        <v>6607</v>
      </c>
      <c r="Q736" s="137">
        <f>VLOOKUP(TAB_ESTOQUE[[#This Row],[Codigo]],TAB_ENTRADA[[Cod_2_Entrada]:[TOTAL_ENTRADA]],5,FALSE)-VLOOKUP(TAB_ESTOQUE[[#This Row],[Codigo]],TAB_SAIDA[[COD_2_SAIDA]:[TOTAL_SAIDA]],5,FALSE)</f>
        <v>3</v>
      </c>
      <c r="S736" s="46"/>
      <c r="T736" s="102">
        <v>270</v>
      </c>
      <c r="U736" s="103">
        <f>TAB_ESTOQUE[[#This Row],[Valor Unitario Estimado]]*TAB_ESTOQUE[[#This Row],[Estoque]]</f>
        <v>810</v>
      </c>
      <c r="V736" s="103"/>
      <c r="AA736" s="138"/>
      <c r="AB736" s="104" t="str">
        <f>IF(TAB_ESTOQUE[[#This Row],[Estoque]]=0,"Estoque Não Conforme",IF(TAB_ESTOQUE[[#This Row],[Estoque]]&gt;=TAB_ESTOQUE[[#This Row],[Mínimo]],"Estoque Conforme",IF(TAB_ESTOQUE[[#This Row],[Estoque]]&lt;TAB_ESTOQUE[[#This Row],[Mínimo]],"Estoque em Nivel Minimo")))</f>
        <v>Estoque Conforme</v>
      </c>
      <c r="AC736" s="104"/>
      <c r="AE736" s="82"/>
      <c r="AF736" s="82"/>
    </row>
    <row r="737" spans="1:32" ht="15" customHeight="1" x14ac:dyDescent="0.25">
      <c r="C737" s="48"/>
      <c r="D737" s="45" t="s">
        <v>7193</v>
      </c>
      <c r="E737" s="46" t="s">
        <v>7618</v>
      </c>
      <c r="F737" s="46"/>
      <c r="I737" s="45" t="s">
        <v>7677</v>
      </c>
      <c r="O737" s="46" t="s">
        <v>6607</v>
      </c>
      <c r="Q737" s="137">
        <f>VLOOKUP(TAB_ESTOQUE[[#This Row],[Codigo]],TAB_ENTRADA[[Cod_2_Entrada]:[TOTAL_ENTRADA]],5,FALSE)-VLOOKUP(TAB_ESTOQUE[[#This Row],[Codigo]],TAB_SAIDA[[COD_2_SAIDA]:[TOTAL_SAIDA]],5,FALSE)</f>
        <v>4</v>
      </c>
      <c r="S737" s="46"/>
      <c r="T737" s="102">
        <v>270</v>
      </c>
      <c r="U737" s="103">
        <f>TAB_ESTOQUE[[#This Row],[Valor Unitario Estimado]]*TAB_ESTOQUE[[#This Row],[Estoque]]</f>
        <v>1080</v>
      </c>
      <c r="V737" s="103"/>
      <c r="AA737" s="138"/>
      <c r="AB737" s="104" t="str">
        <f>IF(TAB_ESTOQUE[[#This Row],[Estoque]]=0,"Estoque Não Conforme",IF(TAB_ESTOQUE[[#This Row],[Estoque]]&gt;=TAB_ESTOQUE[[#This Row],[Mínimo]],"Estoque Conforme",IF(TAB_ESTOQUE[[#This Row],[Estoque]]&lt;TAB_ESTOQUE[[#This Row],[Mínimo]],"Estoque em Nivel Minimo")))</f>
        <v>Estoque Conforme</v>
      </c>
      <c r="AC737" s="104"/>
      <c r="AE737" s="82"/>
      <c r="AF737" s="82"/>
    </row>
    <row r="738" spans="1:32" ht="15" customHeight="1" x14ac:dyDescent="0.25">
      <c r="A738" s="45">
        <v>584</v>
      </c>
      <c r="B738" s="47"/>
      <c r="C738" s="46" t="s">
        <v>2838</v>
      </c>
      <c r="D738" s="45" t="s">
        <v>2035</v>
      </c>
      <c r="E738" s="46" t="s">
        <v>7</v>
      </c>
      <c r="F738" s="87"/>
      <c r="G738" s="82"/>
      <c r="H738" s="82"/>
      <c r="I738" s="82" t="s">
        <v>8340</v>
      </c>
      <c r="J738" s="82"/>
      <c r="K738" s="82"/>
      <c r="L738" s="82"/>
      <c r="M738" s="82"/>
      <c r="N738" s="82"/>
      <c r="O738" s="87" t="s">
        <v>6452</v>
      </c>
      <c r="P738" s="82" t="s">
        <v>360</v>
      </c>
      <c r="Q738" s="83">
        <f>VLOOKUP(TAB_ESTOQUE[[#This Row],[Codigo]],TAB_ENTRADA[[Cod_2_Entrada]:[TOTAL_ENTRADA]],5,FALSE)-VLOOKUP(TAB_ESTOQUE[[#This Row],[Codigo]],TAB_SAIDA[[COD_2_SAIDA]:[TOTAL_SAIDA]],5,FALSE)</f>
        <v>3</v>
      </c>
      <c r="R738" s="87"/>
      <c r="S738" s="87"/>
      <c r="T738" s="90"/>
      <c r="U738" s="91">
        <f>TAB_ESTOQUE[[#This Row],[Valor Unitario Estimado]]*TAB_ESTOQUE[[#This Row],[Estoque]]</f>
        <v>0</v>
      </c>
      <c r="V738" s="91"/>
      <c r="W738" s="85"/>
      <c r="X738" s="85"/>
      <c r="Y738" s="85"/>
      <c r="Z738" s="85"/>
      <c r="AA738" s="85"/>
      <c r="AB738" s="85" t="str">
        <f>IF(TAB_ESTOQUE[[#This Row],[Estoque]]=0,"Estoque Não Conforme",IF(TAB_ESTOQUE[[#This Row],[Estoque]]&gt;=TAB_ESTOQUE[[#This Row],[Mínimo]],"Estoque Conforme",IF(TAB_ESTOQUE[[#This Row],[Estoque]]&lt;TAB_ESTOQUE[[#This Row],[Mínimo]],"Estoque em Nivel Minimo")))</f>
        <v>Estoque Conforme</v>
      </c>
      <c r="AC738" s="85"/>
      <c r="AD738" s="82"/>
      <c r="AE738" s="82"/>
      <c r="AF738" s="82"/>
    </row>
    <row r="739" spans="1:32" ht="15" customHeight="1" x14ac:dyDescent="0.25">
      <c r="A739" s="45">
        <v>208</v>
      </c>
      <c r="B739" s="47"/>
      <c r="C739" s="46"/>
      <c r="D739" s="45" t="s">
        <v>2138</v>
      </c>
      <c r="E739" s="46" t="s">
        <v>7</v>
      </c>
      <c r="F739" s="87"/>
      <c r="G739" s="82"/>
      <c r="H739" s="82"/>
      <c r="I739" s="82" t="s">
        <v>8346</v>
      </c>
      <c r="J739" s="82"/>
      <c r="K739" s="82"/>
      <c r="L739" s="82"/>
      <c r="M739" s="82" t="s">
        <v>139</v>
      </c>
      <c r="N739" s="82"/>
      <c r="O739" s="87" t="s">
        <v>6452</v>
      </c>
      <c r="P739" s="82" t="s">
        <v>157</v>
      </c>
      <c r="Q739" s="83">
        <f>VLOOKUP(TAB_ESTOQUE[[#This Row],[Codigo]],TAB_ENTRADA[[Cod_2_Entrada]:[TOTAL_ENTRADA]],5,FALSE)-VLOOKUP(TAB_ESTOQUE[[#This Row],[Codigo]],TAB_SAIDA[[COD_2_SAIDA]:[TOTAL_SAIDA]],5,FALSE)</f>
        <v>1</v>
      </c>
      <c r="R739" s="87"/>
      <c r="S739" s="87"/>
      <c r="T739" s="90">
        <v>170</v>
      </c>
      <c r="U739" s="91">
        <f>TAB_ESTOQUE[[#This Row],[Valor Unitario Estimado]]*TAB_ESTOQUE[[#This Row],[Estoque]]</f>
        <v>170</v>
      </c>
      <c r="V739" s="91"/>
      <c r="W739" s="85"/>
      <c r="X739" s="85"/>
      <c r="Y739" s="85"/>
      <c r="Z739" s="85"/>
      <c r="AA739" s="85"/>
      <c r="AB739" s="85" t="str">
        <f>IF(TAB_ESTOQUE[[#This Row],[Estoque]]=0,"Estoque Não Conforme",IF(TAB_ESTOQUE[[#This Row],[Estoque]]&gt;=TAB_ESTOQUE[[#This Row],[Mínimo]],"Estoque Conforme",IF(TAB_ESTOQUE[[#This Row],[Estoque]]&lt;TAB_ESTOQUE[[#This Row],[Mínimo]],"Estoque em Nivel Minimo")))</f>
        <v>Estoque Conforme</v>
      </c>
      <c r="AC739" s="85"/>
      <c r="AD739" s="82"/>
      <c r="AE739" s="82"/>
      <c r="AF739" s="82"/>
    </row>
    <row r="740" spans="1:32" ht="15" customHeight="1" x14ac:dyDescent="0.25">
      <c r="A740" s="45">
        <v>212</v>
      </c>
      <c r="B740" s="47"/>
      <c r="C740" s="46"/>
      <c r="D740" s="45" t="s">
        <v>2141</v>
      </c>
      <c r="E740" s="46" t="s">
        <v>7</v>
      </c>
      <c r="F740" s="87"/>
      <c r="G740" s="82"/>
      <c r="H740" s="82"/>
      <c r="I740" s="82" t="s">
        <v>8343</v>
      </c>
      <c r="J740" s="82"/>
      <c r="K740" s="82"/>
      <c r="L740" s="82"/>
      <c r="M740" s="82"/>
      <c r="N740" s="82"/>
      <c r="O740" s="87" t="s">
        <v>6452</v>
      </c>
      <c r="P740" s="82" t="s">
        <v>162</v>
      </c>
      <c r="Q740" s="83">
        <f>VLOOKUP(TAB_ESTOQUE[[#This Row],[Codigo]],TAB_ENTRADA[[Cod_2_Entrada]:[TOTAL_ENTRADA]],5,FALSE)-VLOOKUP(TAB_ESTOQUE[[#This Row],[Codigo]],TAB_SAIDA[[COD_2_SAIDA]:[TOTAL_SAIDA]],5,FALSE)</f>
        <v>2</v>
      </c>
      <c r="R740" s="87"/>
      <c r="S740" s="87"/>
      <c r="T740" s="90">
        <v>687.76</v>
      </c>
      <c r="U740" s="91">
        <f>TAB_ESTOQUE[[#This Row],[Valor Unitario Estimado]]*TAB_ESTOQUE[[#This Row],[Estoque]]</f>
        <v>1375.52</v>
      </c>
      <c r="V740" s="91"/>
      <c r="W740" s="85"/>
      <c r="X740" s="85"/>
      <c r="Y740" s="85"/>
      <c r="Z740" s="85"/>
      <c r="AA740" s="85"/>
      <c r="AB740" s="85" t="str">
        <f>IF(TAB_ESTOQUE[[#This Row],[Estoque]]=0,"Estoque Não Conforme",IF(TAB_ESTOQUE[[#This Row],[Estoque]]&gt;=TAB_ESTOQUE[[#This Row],[Mínimo]],"Estoque Conforme",IF(TAB_ESTOQUE[[#This Row],[Estoque]]&lt;TAB_ESTOQUE[[#This Row],[Mínimo]],"Estoque em Nivel Minimo")))</f>
        <v>Estoque Conforme</v>
      </c>
      <c r="AC740" s="85"/>
      <c r="AD740" s="82"/>
      <c r="AE740" s="82"/>
      <c r="AF740" s="82"/>
    </row>
    <row r="741" spans="1:32" ht="15" customHeight="1" x14ac:dyDescent="0.25">
      <c r="A741" s="45">
        <v>271</v>
      </c>
      <c r="B741" s="47"/>
      <c r="C741" s="46"/>
      <c r="D741" s="45" t="s">
        <v>2142</v>
      </c>
      <c r="E741" s="46" t="s">
        <v>7</v>
      </c>
      <c r="F741" s="87"/>
      <c r="G741" s="82"/>
      <c r="H741" s="82"/>
      <c r="I741" s="82" t="s">
        <v>8339</v>
      </c>
      <c r="J741" s="82"/>
      <c r="K741" s="82"/>
      <c r="L741" s="82"/>
      <c r="M741" s="82" t="s">
        <v>139</v>
      </c>
      <c r="N741" s="82"/>
      <c r="O741" s="87" t="s">
        <v>6452</v>
      </c>
      <c r="P741" s="82" t="s">
        <v>208</v>
      </c>
      <c r="Q741" s="83">
        <f>VLOOKUP(TAB_ESTOQUE[[#This Row],[Codigo]],TAB_ENTRADA[[Cod_2_Entrada]:[TOTAL_ENTRADA]],5,FALSE)-VLOOKUP(TAB_ESTOQUE[[#This Row],[Codigo]],TAB_SAIDA[[COD_2_SAIDA]:[TOTAL_SAIDA]],5,FALSE)</f>
        <v>1</v>
      </c>
      <c r="R741" s="87"/>
      <c r="S741" s="87"/>
      <c r="T741" s="90"/>
      <c r="U741" s="91">
        <f>TAB_ESTOQUE[[#This Row],[Valor Unitario Estimado]]*TAB_ESTOQUE[[#This Row],[Estoque]]</f>
        <v>0</v>
      </c>
      <c r="V741" s="91"/>
      <c r="W741" s="85"/>
      <c r="X741" s="85"/>
      <c r="Y741" s="85"/>
      <c r="Z741" s="85"/>
      <c r="AA741" s="85"/>
      <c r="AB741" s="85" t="str">
        <f>IF(TAB_ESTOQUE[[#This Row],[Estoque]]=0,"Estoque Não Conforme",IF(TAB_ESTOQUE[[#This Row],[Estoque]]&gt;=TAB_ESTOQUE[[#This Row],[Mínimo]],"Estoque Conforme",IF(TAB_ESTOQUE[[#This Row],[Estoque]]&lt;TAB_ESTOQUE[[#This Row],[Mínimo]],"Estoque em Nivel Minimo")))</f>
        <v>Estoque Conforme</v>
      </c>
      <c r="AC741" s="85"/>
      <c r="AD741" s="82"/>
      <c r="AE741" s="82"/>
      <c r="AF741" s="82"/>
    </row>
    <row r="742" spans="1:32" ht="15" customHeight="1" x14ac:dyDescent="0.25">
      <c r="A742" s="47">
        <v>1352</v>
      </c>
      <c r="B742" s="47"/>
      <c r="C742" s="51"/>
      <c r="D742" s="47" t="s">
        <v>2144</v>
      </c>
      <c r="E742" s="51"/>
      <c r="F742" s="107"/>
      <c r="G742" s="94"/>
      <c r="H742" s="94"/>
      <c r="I742" s="94" t="s">
        <v>8344</v>
      </c>
      <c r="J742" s="94"/>
      <c r="K742" s="94"/>
      <c r="L742" s="94"/>
      <c r="M742" s="94"/>
      <c r="N742" s="94"/>
      <c r="O742" s="107" t="s">
        <v>6452</v>
      </c>
      <c r="P742" s="94" t="s">
        <v>1086</v>
      </c>
      <c r="Q742" s="145">
        <f>VLOOKUP(TAB_ESTOQUE[[#This Row],[Codigo]],TAB_ENTRADA[[Cod_2_Entrada]:[TOTAL_ENTRADA]],5,FALSE)-VLOOKUP(TAB_ESTOQUE[[#This Row],[Codigo]],TAB_SAIDA[[COD_2_SAIDA]:[TOTAL_SAIDA]],5,FALSE)</f>
        <v>1</v>
      </c>
      <c r="R742" s="107"/>
      <c r="S742" s="107"/>
      <c r="T742" s="108">
        <v>1140</v>
      </c>
      <c r="U742" s="109">
        <f>TAB_ESTOQUE[[#This Row],[Valor Unitario Estimado]]*TAB_ESTOQUE[[#This Row],[Estoque]]</f>
        <v>1140</v>
      </c>
      <c r="V742" s="109"/>
      <c r="W742" s="110"/>
      <c r="X742" s="110"/>
      <c r="Y742" s="110"/>
      <c r="Z742" s="110"/>
      <c r="AA742" s="110"/>
      <c r="AB742" s="110" t="str">
        <f>IF(TAB_ESTOQUE[[#This Row],[Estoque]]=0,"Estoque Não Conforme",IF(TAB_ESTOQUE[[#This Row],[Estoque]]&gt;=TAB_ESTOQUE[[#This Row],[Mínimo]],"Estoque Conforme",IF(TAB_ESTOQUE[[#This Row],[Estoque]]&lt;TAB_ESTOQUE[[#This Row],[Mínimo]],"Estoque em Nivel Minimo")))</f>
        <v>Estoque Conforme</v>
      </c>
      <c r="AC742" s="110"/>
      <c r="AD742" s="94"/>
      <c r="AE742" s="82"/>
      <c r="AF742" s="82"/>
    </row>
    <row r="743" spans="1:32" ht="15" customHeight="1" x14ac:dyDescent="0.25">
      <c r="A743" s="45">
        <v>576</v>
      </c>
      <c r="B743" s="47"/>
      <c r="C743" s="46"/>
      <c r="D743" s="45" t="s">
        <v>2149</v>
      </c>
      <c r="E743" s="46" t="s">
        <v>7</v>
      </c>
      <c r="F743" s="87"/>
      <c r="G743" s="82"/>
      <c r="H743" s="82"/>
      <c r="I743" s="82" t="s">
        <v>8345</v>
      </c>
      <c r="J743" s="82"/>
      <c r="K743" s="82"/>
      <c r="L743" s="82"/>
      <c r="M743" s="82" t="s">
        <v>163</v>
      </c>
      <c r="N743" s="82"/>
      <c r="O743" s="87" t="s">
        <v>6452</v>
      </c>
      <c r="P743" s="82" t="s">
        <v>351</v>
      </c>
      <c r="Q743" s="83">
        <f>VLOOKUP(TAB_ESTOQUE[[#This Row],[Codigo]],TAB_ENTRADA[[Cod_2_Entrada]:[TOTAL_ENTRADA]],5,FALSE)-VLOOKUP(TAB_ESTOQUE[[#This Row],[Codigo]],TAB_SAIDA[[COD_2_SAIDA]:[TOTAL_SAIDA]],5,FALSE)</f>
        <v>2</v>
      </c>
      <c r="R743" s="87"/>
      <c r="S743" s="87"/>
      <c r="T743" s="90"/>
      <c r="U743" s="91">
        <f>TAB_ESTOQUE[[#This Row],[Valor Unitario Estimado]]*TAB_ESTOQUE[[#This Row],[Estoque]]</f>
        <v>0</v>
      </c>
      <c r="V743" s="91"/>
      <c r="W743" s="85"/>
      <c r="X743" s="85"/>
      <c r="Y743" s="85"/>
      <c r="Z743" s="85"/>
      <c r="AA743" s="85"/>
      <c r="AB743" s="85" t="str">
        <f>IF(TAB_ESTOQUE[[#This Row],[Estoque]]=0,"Estoque Não Conforme",IF(TAB_ESTOQUE[[#This Row],[Estoque]]&gt;=TAB_ESTOQUE[[#This Row],[Mínimo]],"Estoque Conforme",IF(TAB_ESTOQUE[[#This Row],[Estoque]]&lt;TAB_ESTOQUE[[#This Row],[Mínimo]],"Estoque em Nivel Minimo")))</f>
        <v>Estoque Conforme</v>
      </c>
      <c r="AC743" s="85"/>
      <c r="AD743" s="82"/>
      <c r="AE743" s="82"/>
      <c r="AF743" s="82"/>
    </row>
    <row r="744" spans="1:32" ht="15" customHeight="1" x14ac:dyDescent="0.25">
      <c r="C744" s="48"/>
      <c r="D744" s="45" t="s">
        <v>7708</v>
      </c>
      <c r="E744" s="46"/>
      <c r="F744" s="46"/>
      <c r="I744" s="45" t="s">
        <v>8342</v>
      </c>
      <c r="O744" s="46" t="s">
        <v>6452</v>
      </c>
      <c r="Q744" s="137">
        <f>VLOOKUP(TAB_ESTOQUE[[#This Row],[Codigo]],TAB_ENTRADA[[Cod_2_Entrada]:[TOTAL_ENTRADA]],5,FALSE)-VLOOKUP(TAB_ESTOQUE[[#This Row],[Codigo]],TAB_SAIDA[[COD_2_SAIDA]:[TOTAL_SAIDA]],5,FALSE)</f>
        <v>2</v>
      </c>
      <c r="S744" s="46"/>
      <c r="T744" s="102"/>
      <c r="U744" s="103">
        <f>TAB_ESTOQUE[[#This Row],[Valor Unitario Estimado]]*TAB_ESTOQUE[[#This Row],[Estoque]]</f>
        <v>0</v>
      </c>
      <c r="V744" s="103"/>
      <c r="AA744" s="138"/>
      <c r="AB744" s="104" t="str">
        <f>IF(TAB_ESTOQUE[[#This Row],[Estoque]]=0,"Estoque Não Conforme",IF(TAB_ESTOQUE[[#This Row],[Estoque]]&gt;=TAB_ESTOQUE[[#This Row],[Mínimo]],"Estoque Conforme",IF(TAB_ESTOQUE[[#This Row],[Estoque]]&lt;TAB_ESTOQUE[[#This Row],[Mínimo]],"Estoque em Nivel Minimo")))</f>
        <v>Estoque Conforme</v>
      </c>
      <c r="AC744" s="104"/>
      <c r="AE744" s="82"/>
      <c r="AF744" s="82"/>
    </row>
    <row r="745" spans="1:32" ht="15" customHeight="1" x14ac:dyDescent="0.25">
      <c r="C745" s="48"/>
      <c r="D745" s="45" t="s">
        <v>7709</v>
      </c>
      <c r="E745" s="46"/>
      <c r="F745" s="46"/>
      <c r="I745" s="45" t="s">
        <v>8349</v>
      </c>
      <c r="O745" s="46" t="s">
        <v>6452</v>
      </c>
      <c r="Q745" s="137">
        <f>VLOOKUP(TAB_ESTOQUE[[#This Row],[Codigo]],TAB_ENTRADA[[Cod_2_Entrada]:[TOTAL_ENTRADA]],5,FALSE)-VLOOKUP(TAB_ESTOQUE[[#This Row],[Codigo]],TAB_SAIDA[[COD_2_SAIDA]:[TOTAL_SAIDA]],5,FALSE)</f>
        <v>1</v>
      </c>
      <c r="S745" s="46"/>
      <c r="T745" s="102"/>
      <c r="U745" s="103">
        <f>TAB_ESTOQUE[[#This Row],[Valor Unitario Estimado]]*TAB_ESTOQUE[[#This Row],[Estoque]]</f>
        <v>0</v>
      </c>
      <c r="V745" s="103"/>
      <c r="AA745" s="138"/>
      <c r="AB745" s="104" t="str">
        <f>IF(TAB_ESTOQUE[[#This Row],[Estoque]]=0,"Estoque Não Conforme",IF(TAB_ESTOQUE[[#This Row],[Estoque]]&gt;=TAB_ESTOQUE[[#This Row],[Mínimo]],"Estoque Conforme",IF(TAB_ESTOQUE[[#This Row],[Estoque]]&lt;TAB_ESTOQUE[[#This Row],[Mínimo]],"Estoque em Nivel Minimo")))</f>
        <v>Estoque Conforme</v>
      </c>
      <c r="AC745" s="104"/>
      <c r="AE745" s="82"/>
      <c r="AF745" s="82"/>
    </row>
    <row r="746" spans="1:32" s="106" customFormat="1" ht="15" customHeight="1" x14ac:dyDescent="0.25">
      <c r="A746" s="45">
        <v>543</v>
      </c>
      <c r="B746" s="47"/>
      <c r="C746" s="46"/>
      <c r="D746" s="45" t="s">
        <v>2042</v>
      </c>
      <c r="E746" s="46" t="s">
        <v>7</v>
      </c>
      <c r="F746" s="87"/>
      <c r="G746" s="82"/>
      <c r="H746" s="82"/>
      <c r="I746" s="82" t="s">
        <v>8498</v>
      </c>
      <c r="J746" s="82"/>
      <c r="K746" s="82"/>
      <c r="L746" s="82"/>
      <c r="M746" s="82" t="s">
        <v>94</v>
      </c>
      <c r="N746" s="82"/>
      <c r="O746" s="87" t="s">
        <v>6453</v>
      </c>
      <c r="P746" s="82" t="s">
        <v>317</v>
      </c>
      <c r="Q746" s="83">
        <f>VLOOKUP(TAB_ESTOQUE[[#This Row],[Codigo]],TAB_ENTRADA[[Cod_2_Entrada]:[TOTAL_ENTRADA]],5,FALSE)-VLOOKUP(TAB_ESTOQUE[[#This Row],[Codigo]],TAB_SAIDA[[COD_2_SAIDA]:[TOTAL_SAIDA]],5,FALSE)</f>
        <v>2</v>
      </c>
      <c r="R746" s="87"/>
      <c r="S746" s="87"/>
      <c r="T746" s="90"/>
      <c r="U746" s="91">
        <f>TAB_ESTOQUE[[#This Row],[Valor Unitario Estimado]]*TAB_ESTOQUE[[#This Row],[Estoque]]</f>
        <v>0</v>
      </c>
      <c r="V746" s="91"/>
      <c r="W746" s="85"/>
      <c r="X746" s="85"/>
      <c r="Y746" s="85"/>
      <c r="Z746" s="85"/>
      <c r="AA746" s="85"/>
      <c r="AB746" s="85" t="str">
        <f>IF(TAB_ESTOQUE[[#This Row],[Estoque]]=0,"Estoque Não Conforme",IF(TAB_ESTOQUE[[#This Row],[Estoque]]&gt;=TAB_ESTOQUE[[#This Row],[Mínimo]],"Estoque Conforme",IF(TAB_ESTOQUE[[#This Row],[Estoque]]&lt;TAB_ESTOQUE[[#This Row],[Mínimo]],"Estoque em Nivel Minimo")))</f>
        <v>Estoque Conforme</v>
      </c>
      <c r="AC746" s="85"/>
      <c r="AD746" s="82"/>
      <c r="AE746" s="95"/>
      <c r="AF746" s="95"/>
    </row>
    <row r="747" spans="1:32" s="47" customFormat="1" ht="15" customHeight="1" x14ac:dyDescent="0.25">
      <c r="A747" s="45">
        <v>551</v>
      </c>
      <c r="C747" s="46"/>
      <c r="D747" s="45" t="s">
        <v>2050</v>
      </c>
      <c r="E747" s="46" t="s">
        <v>7</v>
      </c>
      <c r="F747" s="87"/>
      <c r="G747" s="82"/>
      <c r="H747" s="82"/>
      <c r="I747" s="94" t="s">
        <v>8357</v>
      </c>
      <c r="J747" s="82"/>
      <c r="K747" s="82"/>
      <c r="L747" s="82"/>
      <c r="M747" s="82" t="s">
        <v>94</v>
      </c>
      <c r="N747" s="82"/>
      <c r="O747" s="87" t="s">
        <v>6453</v>
      </c>
      <c r="P747" s="82" t="s">
        <v>325</v>
      </c>
      <c r="Q747" s="83">
        <f>VLOOKUP(TAB_ESTOQUE[[#This Row],[Codigo]],TAB_ENTRADA[[Cod_2_Entrada]:[TOTAL_ENTRADA]],5,FALSE)-VLOOKUP(TAB_ESTOQUE[[#This Row],[Codigo]],TAB_SAIDA[[COD_2_SAIDA]:[TOTAL_SAIDA]],5,FALSE)</f>
        <v>3</v>
      </c>
      <c r="R747" s="87"/>
      <c r="S747" s="87"/>
      <c r="T747" s="90">
        <v>648.70000000000005</v>
      </c>
      <c r="U747" s="91">
        <f>TAB_ESTOQUE[[#This Row],[Valor Unitario Estimado]]*TAB_ESTOQUE[[#This Row],[Estoque]]</f>
        <v>1946.1000000000001</v>
      </c>
      <c r="V747" s="91"/>
      <c r="W747" s="85"/>
      <c r="X747" s="85"/>
      <c r="Y747" s="85"/>
      <c r="Z747" s="85"/>
      <c r="AA747" s="85"/>
      <c r="AB747" s="85" t="str">
        <f>IF(TAB_ESTOQUE[[#This Row],[Estoque]]=0,"Estoque Não Conforme",IF(TAB_ESTOQUE[[#This Row],[Estoque]]&gt;=TAB_ESTOQUE[[#This Row],[Mínimo]],"Estoque Conforme",IF(TAB_ESTOQUE[[#This Row],[Estoque]]&lt;TAB_ESTOQUE[[#This Row],[Mínimo]],"Estoque em Nivel Minimo")))</f>
        <v>Estoque Conforme</v>
      </c>
      <c r="AC747" s="85"/>
      <c r="AD747" s="82"/>
      <c r="AE747" s="94"/>
      <c r="AF747" s="94"/>
    </row>
    <row r="748" spans="1:32" s="106" customFormat="1" ht="15" customHeight="1" x14ac:dyDescent="0.25">
      <c r="A748" s="45">
        <v>1007</v>
      </c>
      <c r="B748" s="47"/>
      <c r="C748" s="46"/>
      <c r="D748" s="45" t="s">
        <v>2053</v>
      </c>
      <c r="E748" s="46" t="s">
        <v>7</v>
      </c>
      <c r="F748" s="87"/>
      <c r="G748" s="82"/>
      <c r="H748" s="82"/>
      <c r="I748" s="82" t="s">
        <v>8353</v>
      </c>
      <c r="J748" s="82"/>
      <c r="K748" s="82"/>
      <c r="L748" s="82"/>
      <c r="M748" s="82"/>
      <c r="N748" s="82"/>
      <c r="O748" s="87" t="s">
        <v>6453</v>
      </c>
      <c r="P748" s="82" t="s">
        <v>777</v>
      </c>
      <c r="Q748" s="83">
        <f>VLOOKUP(TAB_ESTOQUE[[#This Row],[Codigo]],TAB_ENTRADA[[Cod_2_Entrada]:[TOTAL_ENTRADA]],5,FALSE)-VLOOKUP(TAB_ESTOQUE[[#This Row],[Codigo]],TAB_SAIDA[[COD_2_SAIDA]:[TOTAL_SAIDA]],5,FALSE)</f>
        <v>4</v>
      </c>
      <c r="R748" s="87"/>
      <c r="S748" s="87"/>
      <c r="T748" s="90"/>
      <c r="U748" s="91">
        <f>TAB_ESTOQUE[[#This Row],[Valor Unitario Estimado]]*TAB_ESTOQUE[[#This Row],[Estoque]]</f>
        <v>0</v>
      </c>
      <c r="V748" s="91"/>
      <c r="W748" s="85"/>
      <c r="X748" s="85"/>
      <c r="Y748" s="85"/>
      <c r="Z748" s="85"/>
      <c r="AA748" s="85"/>
      <c r="AB748" s="85" t="str">
        <f>IF(TAB_ESTOQUE[[#This Row],[Estoque]]=0,"Estoque Não Conforme",IF(TAB_ESTOQUE[[#This Row],[Estoque]]&gt;=TAB_ESTOQUE[[#This Row],[Mínimo]],"Estoque Conforme",IF(TAB_ESTOQUE[[#This Row],[Estoque]]&lt;TAB_ESTOQUE[[#This Row],[Mínimo]],"Estoque em Nivel Minimo")))</f>
        <v>Estoque Conforme</v>
      </c>
      <c r="AC748" s="85"/>
      <c r="AD748" s="82"/>
      <c r="AE748" s="95"/>
      <c r="AF748" s="95"/>
    </row>
    <row r="749" spans="1:32" s="47" customFormat="1" ht="15" customHeight="1" x14ac:dyDescent="0.25">
      <c r="A749" s="45">
        <v>209</v>
      </c>
      <c r="C749" s="46"/>
      <c r="D749" s="45" t="s">
        <v>2143</v>
      </c>
      <c r="E749" s="46" t="s">
        <v>7</v>
      </c>
      <c r="F749" s="87"/>
      <c r="G749" s="82"/>
      <c r="H749" s="82"/>
      <c r="I749" s="82" t="s">
        <v>8354</v>
      </c>
      <c r="J749" s="82"/>
      <c r="K749" s="82"/>
      <c r="L749" s="82"/>
      <c r="M749" s="82" t="s">
        <v>139</v>
      </c>
      <c r="N749" s="82"/>
      <c r="O749" s="87" t="s">
        <v>6453</v>
      </c>
      <c r="P749" s="82" t="s">
        <v>158</v>
      </c>
      <c r="Q749" s="83">
        <f>VLOOKUP(TAB_ESTOQUE[[#This Row],[Codigo]],TAB_ENTRADA[[Cod_2_Entrada]:[TOTAL_ENTRADA]],5,FALSE)-VLOOKUP(TAB_ESTOQUE[[#This Row],[Codigo]],TAB_SAIDA[[COD_2_SAIDA]:[TOTAL_SAIDA]],5,FALSE)</f>
        <v>1</v>
      </c>
      <c r="R749" s="87"/>
      <c r="S749" s="87"/>
      <c r="T749" s="90">
        <v>560</v>
      </c>
      <c r="U749" s="91">
        <f>TAB_ESTOQUE[[#This Row],[Valor Unitario Estimado]]*TAB_ESTOQUE[[#This Row],[Estoque]]</f>
        <v>560</v>
      </c>
      <c r="V749" s="91"/>
      <c r="W749" s="85"/>
      <c r="X749" s="85"/>
      <c r="Y749" s="85"/>
      <c r="Z749" s="85"/>
      <c r="AA749" s="85"/>
      <c r="AB749" s="85" t="str">
        <f>IF(TAB_ESTOQUE[[#This Row],[Estoque]]=0,"Estoque Não Conforme",IF(TAB_ESTOQUE[[#This Row],[Estoque]]&gt;=TAB_ESTOQUE[[#This Row],[Mínimo]],"Estoque Conforme",IF(TAB_ESTOQUE[[#This Row],[Estoque]]&lt;TAB_ESTOQUE[[#This Row],[Mínimo]],"Estoque em Nivel Minimo")))</f>
        <v>Estoque Conforme</v>
      </c>
      <c r="AC749" s="85"/>
      <c r="AD749" s="82"/>
      <c r="AE749" s="94"/>
      <c r="AF749" s="94"/>
    </row>
    <row r="750" spans="1:32" s="106" customFormat="1" ht="15" customHeight="1" x14ac:dyDescent="0.25">
      <c r="A750" s="45">
        <v>1715</v>
      </c>
      <c r="B750" s="47"/>
      <c r="C750" s="46"/>
      <c r="D750" s="45" t="s">
        <v>2568</v>
      </c>
      <c r="E750" s="46"/>
      <c r="F750" s="87"/>
      <c r="G750" s="82"/>
      <c r="H750" s="82"/>
      <c r="I750" s="82" t="s">
        <v>8358</v>
      </c>
      <c r="J750" s="82"/>
      <c r="K750" s="82"/>
      <c r="L750" s="82"/>
      <c r="M750" s="82" t="s">
        <v>515</v>
      </c>
      <c r="N750" s="82"/>
      <c r="O750" s="87" t="s">
        <v>6453</v>
      </c>
      <c r="P750" s="82" t="s">
        <v>1330</v>
      </c>
      <c r="Q750" s="83">
        <f>VLOOKUP(TAB_ESTOQUE[[#This Row],[Codigo]],TAB_ENTRADA[[Cod_2_Entrada]:[TOTAL_ENTRADA]],5,FALSE)-VLOOKUP(TAB_ESTOQUE[[#This Row],[Codigo]],TAB_SAIDA[[COD_2_SAIDA]:[TOTAL_SAIDA]],5,FALSE)</f>
        <v>1</v>
      </c>
      <c r="R750" s="87"/>
      <c r="S750" s="87"/>
      <c r="T750" s="90"/>
      <c r="U750" s="91">
        <f>TAB_ESTOQUE[[#This Row],[Valor Unitario Estimado]]*TAB_ESTOQUE[[#This Row],[Estoque]]</f>
        <v>0</v>
      </c>
      <c r="V750" s="91"/>
      <c r="W750" s="85"/>
      <c r="X750" s="85"/>
      <c r="Y750" s="85"/>
      <c r="Z750" s="85"/>
      <c r="AA750" s="85"/>
      <c r="AB750" s="85" t="str">
        <f>IF(TAB_ESTOQUE[[#This Row],[Estoque]]=0,"Estoque Não Conforme",IF(TAB_ESTOQUE[[#This Row],[Estoque]]&gt;=TAB_ESTOQUE[[#This Row],[Mínimo]],"Estoque Conforme",IF(TAB_ESTOQUE[[#This Row],[Estoque]]&lt;TAB_ESTOQUE[[#This Row],[Mínimo]],"Estoque em Nivel Minimo")))</f>
        <v>Estoque Conforme</v>
      </c>
      <c r="AC750" s="85"/>
      <c r="AD750" s="82"/>
      <c r="AE750" s="95"/>
      <c r="AF750" s="95"/>
    </row>
    <row r="751" spans="1:32" s="47" customFormat="1" ht="15" customHeight="1" x14ac:dyDescent="0.25">
      <c r="A751" s="45"/>
      <c r="C751" s="53" t="s">
        <v>2833</v>
      </c>
      <c r="D751" s="45" t="s">
        <v>5994</v>
      </c>
      <c r="E751" s="46"/>
      <c r="F751" s="87"/>
      <c r="G751" s="82"/>
      <c r="H751" s="82"/>
      <c r="I751" s="82" t="s">
        <v>8369</v>
      </c>
      <c r="J751" s="82"/>
      <c r="K751" s="82"/>
      <c r="L751" s="82"/>
      <c r="M751" s="82"/>
      <c r="N751" s="82"/>
      <c r="O751" s="87" t="s">
        <v>6453</v>
      </c>
      <c r="P751" s="82" t="s">
        <v>6015</v>
      </c>
      <c r="Q751" s="83">
        <f>VLOOKUP(TAB_ESTOQUE[[#This Row],[Codigo]],TAB_ENTRADA[[Cod_2_Entrada]:[TOTAL_ENTRADA]],5,FALSE)-VLOOKUP(TAB_ESTOQUE[[#This Row],[Codigo]],TAB_SAIDA[[COD_2_SAIDA]:[TOTAL_SAIDA]],5,FALSE)</f>
        <v>1</v>
      </c>
      <c r="R751" s="87"/>
      <c r="S751" s="87"/>
      <c r="T751" s="90"/>
      <c r="U751" s="91">
        <f>TAB_ESTOQUE[[#This Row],[Valor Unitario Estimado]]*TAB_ESTOQUE[[#This Row],[Estoque]]</f>
        <v>0</v>
      </c>
      <c r="V751" s="91"/>
      <c r="W751" s="85"/>
      <c r="X751" s="85"/>
      <c r="Y751" s="85"/>
      <c r="Z751" s="85"/>
      <c r="AA751" s="85"/>
      <c r="AB751" s="96" t="str">
        <f>IF(TAB_ESTOQUE[[#This Row],[Estoque]]=0,"Estoque Não Conforme",IF(TAB_ESTOQUE[[#This Row],[Estoque]]&gt;=TAB_ESTOQUE[[#This Row],[Mínimo]],"Estoque Conforme",IF(TAB_ESTOQUE[[#This Row],[Estoque]]&lt;TAB_ESTOQUE[[#This Row],[Mínimo]],"Estoque em Nivel Minimo")))</f>
        <v>Estoque Conforme</v>
      </c>
      <c r="AC751" s="96"/>
      <c r="AD751" s="82"/>
      <c r="AE751" s="94"/>
      <c r="AF751" s="94"/>
    </row>
    <row r="752" spans="1:32" s="106" customFormat="1" ht="15" customHeight="1" x14ac:dyDescent="0.25">
      <c r="A752" s="45"/>
      <c r="B752" s="45"/>
      <c r="C752" s="48"/>
      <c r="D752" s="45" t="s">
        <v>7710</v>
      </c>
      <c r="E752" s="46"/>
      <c r="F752" s="46"/>
      <c r="G752" s="45"/>
      <c r="H752" s="45"/>
      <c r="I752" s="45" t="s">
        <v>8352</v>
      </c>
      <c r="J752" s="45"/>
      <c r="K752" s="45"/>
      <c r="L752" s="45"/>
      <c r="M752" s="45"/>
      <c r="N752" s="45"/>
      <c r="O752" s="46" t="s">
        <v>6453</v>
      </c>
      <c r="P752" s="45"/>
      <c r="Q752" s="137">
        <f>VLOOKUP(TAB_ESTOQUE[[#This Row],[Codigo]],TAB_ENTRADA[[Cod_2_Entrada]:[TOTAL_ENTRADA]],5,FALSE)-VLOOKUP(TAB_ESTOQUE[[#This Row],[Codigo]],TAB_SAIDA[[COD_2_SAIDA]:[TOTAL_SAIDA]],5,FALSE)</f>
        <v>2</v>
      </c>
      <c r="R752" s="46"/>
      <c r="S752" s="46"/>
      <c r="T752" s="102"/>
      <c r="U752" s="103">
        <f>TAB_ESTOQUE[[#This Row],[Valor Unitario Estimado]]*TAB_ESTOQUE[[#This Row],[Estoque]]</f>
        <v>0</v>
      </c>
      <c r="V752" s="103"/>
      <c r="W752" s="54"/>
      <c r="X752" s="54"/>
      <c r="Y752" s="54"/>
      <c r="Z752" s="54"/>
      <c r="AA752" s="138"/>
      <c r="AB752" s="104" t="str">
        <f>IF(TAB_ESTOQUE[[#This Row],[Estoque]]=0,"Estoque Não Conforme",IF(TAB_ESTOQUE[[#This Row],[Estoque]]&gt;=TAB_ESTOQUE[[#This Row],[Mínimo]],"Estoque Conforme",IF(TAB_ESTOQUE[[#This Row],[Estoque]]&lt;TAB_ESTOQUE[[#This Row],[Mínimo]],"Estoque em Nivel Minimo")))</f>
        <v>Estoque Conforme</v>
      </c>
      <c r="AC752" s="104"/>
      <c r="AD752" s="45"/>
      <c r="AE752" s="95"/>
      <c r="AF752" s="95"/>
    </row>
    <row r="753" spans="1:32" ht="15" customHeight="1" x14ac:dyDescent="0.25">
      <c r="C753" s="48"/>
      <c r="D753" s="45" t="s">
        <v>7711</v>
      </c>
      <c r="E753" s="46"/>
      <c r="F753" s="46"/>
      <c r="I753" s="45" t="s">
        <v>8356</v>
      </c>
      <c r="O753" s="46" t="s">
        <v>6453</v>
      </c>
      <c r="Q753" s="137">
        <f>VLOOKUP(TAB_ESTOQUE[[#This Row],[Codigo]],TAB_ENTRADA[[Cod_2_Entrada]:[TOTAL_ENTRADA]],5,FALSE)-VLOOKUP(TAB_ESTOQUE[[#This Row],[Codigo]],TAB_SAIDA[[COD_2_SAIDA]:[TOTAL_SAIDA]],5,FALSE)</f>
        <v>1</v>
      </c>
      <c r="S753" s="46"/>
      <c r="T753" s="102"/>
      <c r="U753" s="103">
        <f>TAB_ESTOQUE[[#This Row],[Valor Unitario Estimado]]*TAB_ESTOQUE[[#This Row],[Estoque]]</f>
        <v>0</v>
      </c>
      <c r="V753" s="103"/>
      <c r="AA753" s="138"/>
      <c r="AB753" s="104" t="str">
        <f>IF(TAB_ESTOQUE[[#This Row],[Estoque]]=0,"Estoque Não Conforme",IF(TAB_ESTOQUE[[#This Row],[Estoque]]&gt;=TAB_ESTOQUE[[#This Row],[Mínimo]],"Estoque Conforme",IF(TAB_ESTOQUE[[#This Row],[Estoque]]&lt;TAB_ESTOQUE[[#This Row],[Mínimo]],"Estoque em Nivel Minimo")))</f>
        <v>Estoque Conforme</v>
      </c>
      <c r="AC753" s="104"/>
      <c r="AE753" s="82"/>
      <c r="AF753" s="82"/>
    </row>
    <row r="754" spans="1:32" ht="15" customHeight="1" x14ac:dyDescent="0.25">
      <c r="A754" s="45">
        <v>549</v>
      </c>
      <c r="B754" s="47"/>
      <c r="C754" s="46"/>
      <c r="D754" s="45" t="s">
        <v>2049</v>
      </c>
      <c r="E754" s="46" t="s">
        <v>7</v>
      </c>
      <c r="F754" s="87"/>
      <c r="G754" s="82"/>
      <c r="H754" s="82"/>
      <c r="I754" s="82" t="s">
        <v>8360</v>
      </c>
      <c r="J754" s="82"/>
      <c r="K754" s="82"/>
      <c r="L754" s="82"/>
      <c r="M754" s="82" t="s">
        <v>94</v>
      </c>
      <c r="N754" s="82"/>
      <c r="O754" s="87" t="s">
        <v>6456</v>
      </c>
      <c r="P754" s="82" t="s">
        <v>323</v>
      </c>
      <c r="Q754" s="83">
        <f>VLOOKUP(TAB_ESTOQUE[[#This Row],[Codigo]],TAB_ENTRADA[[Cod_2_Entrada]:[TOTAL_ENTRADA]],5,FALSE)-VLOOKUP(TAB_ESTOQUE[[#This Row],[Codigo]],TAB_SAIDA[[COD_2_SAIDA]:[TOTAL_SAIDA]],5,FALSE)</f>
        <v>5</v>
      </c>
      <c r="R754" s="87"/>
      <c r="S754" s="87"/>
      <c r="T754" s="90"/>
      <c r="U754" s="91">
        <f>TAB_ESTOQUE[[#This Row],[Valor Unitario Estimado]]*TAB_ESTOQUE[[#This Row],[Estoque]]</f>
        <v>0</v>
      </c>
      <c r="V754" s="91"/>
      <c r="W754" s="85"/>
      <c r="X754" s="85"/>
      <c r="Y754" s="85"/>
      <c r="Z754" s="85"/>
      <c r="AA754" s="85"/>
      <c r="AB754" s="85" t="str">
        <f>IF(TAB_ESTOQUE[[#This Row],[Estoque]]=0,"Estoque Não Conforme",IF(TAB_ESTOQUE[[#This Row],[Estoque]]&gt;=TAB_ESTOQUE[[#This Row],[Mínimo]],"Estoque Conforme",IF(TAB_ESTOQUE[[#This Row],[Estoque]]&lt;TAB_ESTOQUE[[#This Row],[Mínimo]],"Estoque em Nivel Minimo")))</f>
        <v>Estoque Conforme</v>
      </c>
      <c r="AC754" s="85"/>
      <c r="AD754" s="82"/>
      <c r="AE754" s="82"/>
      <c r="AF754" s="82"/>
    </row>
    <row r="755" spans="1:32" ht="15" customHeight="1" x14ac:dyDescent="0.25">
      <c r="A755" s="45">
        <v>1264</v>
      </c>
      <c r="B755" s="47"/>
      <c r="C755" s="46"/>
      <c r="D755" s="45" t="s">
        <v>2054</v>
      </c>
      <c r="E755" s="46" t="s">
        <v>7</v>
      </c>
      <c r="F755" s="87"/>
      <c r="G755" s="82"/>
      <c r="H755" s="82"/>
      <c r="I755" s="82" t="s">
        <v>8350</v>
      </c>
      <c r="J755" s="82"/>
      <c r="K755" s="82"/>
      <c r="L755" s="82"/>
      <c r="M755" s="82"/>
      <c r="N755" s="82"/>
      <c r="O755" s="87" t="s">
        <v>6456</v>
      </c>
      <c r="P755" s="82" t="s">
        <v>990</v>
      </c>
      <c r="Q755" s="83">
        <f>VLOOKUP(TAB_ESTOQUE[[#This Row],[Codigo]],TAB_ENTRADA[[Cod_2_Entrada]:[TOTAL_ENTRADA]],5,FALSE)-VLOOKUP(TAB_ESTOQUE[[#This Row],[Codigo]],TAB_SAIDA[[COD_2_SAIDA]:[TOTAL_SAIDA]],5,FALSE)</f>
        <v>0</v>
      </c>
      <c r="R755" s="87"/>
      <c r="S755" s="87"/>
      <c r="T755" s="90">
        <v>571</v>
      </c>
      <c r="U755" s="91">
        <f>TAB_ESTOQUE[[#This Row],[Valor Unitario Estimado]]*TAB_ESTOQUE[[#This Row],[Estoque]]</f>
        <v>0</v>
      </c>
      <c r="V755" s="91"/>
      <c r="W755" s="85"/>
      <c r="X755" s="85"/>
      <c r="Y755" s="85"/>
      <c r="Z755" s="85"/>
      <c r="AA755" s="85"/>
      <c r="AB755" s="85" t="str">
        <f>IF(TAB_ESTOQUE[[#This Row],[Estoque]]=0,"Estoque Não Conforme",IF(TAB_ESTOQUE[[#This Row],[Estoque]]&gt;=TAB_ESTOQUE[[#This Row],[Mínimo]],"Estoque Conforme",IF(TAB_ESTOQUE[[#This Row],[Estoque]]&lt;TAB_ESTOQUE[[#This Row],[Mínimo]],"Estoque em Nivel Minimo")))</f>
        <v>Estoque Não Conforme</v>
      </c>
      <c r="AC755" s="85"/>
      <c r="AD755" s="82"/>
      <c r="AE755" s="82"/>
      <c r="AF755" s="82"/>
    </row>
    <row r="756" spans="1:32" ht="15" customHeight="1" x14ac:dyDescent="0.25">
      <c r="A756" s="45">
        <v>1708</v>
      </c>
      <c r="B756" s="47"/>
      <c r="C756" s="46"/>
      <c r="D756" s="45" t="s">
        <v>2133</v>
      </c>
      <c r="E756" s="46" t="s">
        <v>8400</v>
      </c>
      <c r="F756" s="87"/>
      <c r="G756" s="82"/>
      <c r="H756" s="82"/>
      <c r="I756" s="82" t="s">
        <v>8359</v>
      </c>
      <c r="J756" s="82"/>
      <c r="K756" s="82"/>
      <c r="L756" s="82"/>
      <c r="M756" s="82" t="s">
        <v>139</v>
      </c>
      <c r="N756" s="82"/>
      <c r="O756" s="87" t="s">
        <v>6456</v>
      </c>
      <c r="P756" s="82" t="s">
        <v>1139</v>
      </c>
      <c r="Q756" s="83">
        <f>VLOOKUP(TAB_ESTOQUE[[#This Row],[Codigo]],TAB_ENTRADA[[Cod_2_Entrada]:[TOTAL_ENTRADA]],5,FALSE)-VLOOKUP(TAB_ESTOQUE[[#This Row],[Codigo]],TAB_SAIDA[[COD_2_SAIDA]:[TOTAL_SAIDA]],5,FALSE)</f>
        <v>4</v>
      </c>
      <c r="R756" s="87"/>
      <c r="S756" s="87"/>
      <c r="T756" s="90">
        <v>1197</v>
      </c>
      <c r="U756" s="91">
        <f>TAB_ESTOQUE[[#This Row],[Valor Unitario Estimado]]*TAB_ESTOQUE[[#This Row],[Estoque]]</f>
        <v>4788</v>
      </c>
      <c r="V756" s="91"/>
      <c r="W756" s="85"/>
      <c r="X756" s="85"/>
      <c r="Y756" s="85"/>
      <c r="Z756" s="85"/>
      <c r="AA756" s="85"/>
      <c r="AB756" s="85" t="str">
        <f>IF(TAB_ESTOQUE[[#This Row],[Estoque]]=0,"Estoque Não Conforme",IF(TAB_ESTOQUE[[#This Row],[Estoque]]&gt;=TAB_ESTOQUE[[#This Row],[Mínimo]],"Estoque Conforme",IF(TAB_ESTOQUE[[#This Row],[Estoque]]&lt;TAB_ESTOQUE[[#This Row],[Mínimo]],"Estoque em Nivel Minimo")))</f>
        <v>Estoque Conforme</v>
      </c>
      <c r="AC756" s="85"/>
      <c r="AD756" s="82"/>
      <c r="AE756" s="82"/>
      <c r="AF756" s="82"/>
    </row>
    <row r="757" spans="1:32" ht="15" customHeight="1" x14ac:dyDescent="0.25">
      <c r="A757" s="45">
        <v>199</v>
      </c>
      <c r="B757" s="47"/>
      <c r="C757" s="46"/>
      <c r="D757" s="45" t="s">
        <v>2137</v>
      </c>
      <c r="E757" s="46" t="s">
        <v>7</v>
      </c>
      <c r="F757" s="87"/>
      <c r="G757" s="82"/>
      <c r="H757" s="82"/>
      <c r="I757" s="82" t="s">
        <v>8363</v>
      </c>
      <c r="J757" s="82"/>
      <c r="K757" s="82"/>
      <c r="L757" s="82"/>
      <c r="M757" s="82" t="s">
        <v>139</v>
      </c>
      <c r="N757" s="82"/>
      <c r="O757" s="87" t="s">
        <v>6456</v>
      </c>
      <c r="P757" s="82" t="s">
        <v>148</v>
      </c>
      <c r="Q757" s="83">
        <f>VLOOKUP(TAB_ESTOQUE[[#This Row],[Codigo]],TAB_ENTRADA[[Cod_2_Entrada]:[TOTAL_ENTRADA]],5,FALSE)-VLOOKUP(TAB_ESTOQUE[[#This Row],[Codigo]],TAB_SAIDA[[COD_2_SAIDA]:[TOTAL_SAIDA]],5,FALSE)</f>
        <v>0</v>
      </c>
      <c r="R757" s="87"/>
      <c r="S757" s="87"/>
      <c r="T757" s="90"/>
      <c r="U757" s="91">
        <f>TAB_ESTOQUE[[#This Row],[Valor Unitario Estimado]]*TAB_ESTOQUE[[#This Row],[Estoque]]</f>
        <v>0</v>
      </c>
      <c r="V757" s="91"/>
      <c r="W757" s="85"/>
      <c r="X757" s="85"/>
      <c r="Y757" s="85"/>
      <c r="Z757" s="85"/>
      <c r="AA757" s="85"/>
      <c r="AB757" s="85" t="str">
        <f>IF(TAB_ESTOQUE[[#This Row],[Estoque]]=0,"Estoque Não Conforme",IF(TAB_ESTOQUE[[#This Row],[Estoque]]&gt;=TAB_ESTOQUE[[#This Row],[Mínimo]],"Estoque Conforme",IF(TAB_ESTOQUE[[#This Row],[Estoque]]&lt;TAB_ESTOQUE[[#This Row],[Mínimo]],"Estoque em Nivel Minimo")))</f>
        <v>Estoque Não Conforme</v>
      </c>
      <c r="AC757" s="85"/>
      <c r="AD757" s="82"/>
      <c r="AE757" s="82"/>
      <c r="AF757" s="82"/>
    </row>
    <row r="758" spans="1:32" ht="15" customHeight="1" x14ac:dyDescent="0.25">
      <c r="A758" s="45">
        <v>214</v>
      </c>
      <c r="B758" s="47"/>
      <c r="C758" s="46" t="s">
        <v>2833</v>
      </c>
      <c r="D758" s="45" t="s">
        <v>2148</v>
      </c>
      <c r="E758" s="46" t="s">
        <v>7</v>
      </c>
      <c r="F758" s="87"/>
      <c r="G758" s="82"/>
      <c r="H758" s="82"/>
      <c r="I758" s="94" t="s">
        <v>8347</v>
      </c>
      <c r="J758" s="82"/>
      <c r="K758" s="82" t="s">
        <v>30</v>
      </c>
      <c r="L758" s="82"/>
      <c r="M758" s="82" t="s">
        <v>163</v>
      </c>
      <c r="N758" s="82"/>
      <c r="O758" s="87" t="s">
        <v>6456</v>
      </c>
      <c r="P758" s="82" t="s">
        <v>166</v>
      </c>
      <c r="Q758" s="83">
        <f>VLOOKUP(TAB_ESTOQUE[[#This Row],[Codigo]],TAB_ENTRADA[[Cod_2_Entrada]:[TOTAL_ENTRADA]],5,FALSE)-VLOOKUP(TAB_ESTOQUE[[#This Row],[Codigo]],TAB_SAIDA[[COD_2_SAIDA]:[TOTAL_SAIDA]],5,FALSE)</f>
        <v>0</v>
      </c>
      <c r="R758" s="87"/>
      <c r="S758" s="87"/>
      <c r="T758" s="90">
        <v>150</v>
      </c>
      <c r="U758" s="91">
        <f>TAB_ESTOQUE[[#This Row],[Valor Unitario Estimado]]*TAB_ESTOQUE[[#This Row],[Estoque]]</f>
        <v>0</v>
      </c>
      <c r="V758" s="91"/>
      <c r="W758" s="85"/>
      <c r="X758" s="85"/>
      <c r="Y758" s="85"/>
      <c r="Z758" s="85"/>
      <c r="AA758" s="85"/>
      <c r="AB758" s="85" t="str">
        <f>IF(TAB_ESTOQUE[[#This Row],[Estoque]]=0,"Estoque Não Conforme",IF(TAB_ESTOQUE[[#This Row],[Estoque]]&gt;=TAB_ESTOQUE[[#This Row],[Mínimo]],"Estoque Conforme",IF(TAB_ESTOQUE[[#This Row],[Estoque]]&lt;TAB_ESTOQUE[[#This Row],[Mínimo]],"Estoque em Nivel Minimo")))</f>
        <v>Estoque Não Conforme</v>
      </c>
      <c r="AC758" s="85"/>
      <c r="AD758" s="82"/>
      <c r="AE758" s="82"/>
      <c r="AF758" s="82"/>
    </row>
    <row r="759" spans="1:32" ht="15" customHeight="1" x14ac:dyDescent="0.25">
      <c r="A759" s="45">
        <v>269</v>
      </c>
      <c r="B759" s="47"/>
      <c r="C759" s="46" t="s">
        <v>2833</v>
      </c>
      <c r="D759" s="45" t="s">
        <v>2230</v>
      </c>
      <c r="E759" s="46" t="s">
        <v>7345</v>
      </c>
      <c r="F759" s="87"/>
      <c r="G759" s="82"/>
      <c r="H759" s="82"/>
      <c r="I759" s="82" t="s">
        <v>6166</v>
      </c>
      <c r="J759" s="82"/>
      <c r="K759" s="82"/>
      <c r="L759" s="82"/>
      <c r="M759" s="82"/>
      <c r="N759" s="82"/>
      <c r="O759" s="87" t="s">
        <v>6456</v>
      </c>
      <c r="P759" s="82" t="s">
        <v>206</v>
      </c>
      <c r="Q759" s="83">
        <f>VLOOKUP(TAB_ESTOQUE[[#This Row],[Codigo]],TAB_ENTRADA[[Cod_2_Entrada]:[TOTAL_ENTRADA]],5,FALSE)-VLOOKUP(TAB_ESTOQUE[[#This Row],[Codigo]],TAB_SAIDA[[COD_2_SAIDA]:[TOTAL_SAIDA]],5,FALSE)</f>
        <v>1</v>
      </c>
      <c r="R759" s="87"/>
      <c r="S759" s="87"/>
      <c r="T759" s="90"/>
      <c r="U759" s="91">
        <f>TAB_ESTOQUE[[#This Row],[Valor Unitario Estimado]]*TAB_ESTOQUE[[#This Row],[Estoque]]</f>
        <v>0</v>
      </c>
      <c r="V759" s="91"/>
      <c r="W759" s="85"/>
      <c r="X759" s="85"/>
      <c r="Y759" s="85"/>
      <c r="Z759" s="85"/>
      <c r="AA759" s="85"/>
      <c r="AB759" s="85" t="str">
        <f>IF(TAB_ESTOQUE[[#This Row],[Estoque]]=0,"Estoque Não Conforme",IF(TAB_ESTOQUE[[#This Row],[Estoque]]&gt;=TAB_ESTOQUE[[#This Row],[Mínimo]],"Estoque Conforme",IF(TAB_ESTOQUE[[#This Row],[Estoque]]&lt;TAB_ESTOQUE[[#This Row],[Mínimo]],"Estoque em Nivel Minimo")))</f>
        <v>Estoque Conforme</v>
      </c>
      <c r="AC759" s="85"/>
      <c r="AD759" s="82"/>
      <c r="AE759" s="82"/>
      <c r="AF759" s="82"/>
    </row>
    <row r="760" spans="1:32" ht="15" customHeight="1" x14ac:dyDescent="0.25">
      <c r="A760" s="45">
        <v>1260</v>
      </c>
      <c r="B760" s="47"/>
      <c r="C760" s="46"/>
      <c r="D760" s="45" t="s">
        <v>2147</v>
      </c>
      <c r="E760" s="46" t="s">
        <v>7</v>
      </c>
      <c r="F760" s="87"/>
      <c r="G760" s="82"/>
      <c r="H760" s="82"/>
      <c r="I760" s="82" t="s">
        <v>8365</v>
      </c>
      <c r="J760" s="82"/>
      <c r="K760" s="82"/>
      <c r="L760" s="82"/>
      <c r="M760" s="82"/>
      <c r="N760" s="82"/>
      <c r="O760" s="87" t="s">
        <v>6538</v>
      </c>
      <c r="P760" s="82" t="s">
        <v>983</v>
      </c>
      <c r="Q760" s="83">
        <f>VLOOKUP(TAB_ESTOQUE[[#This Row],[Codigo]],TAB_ENTRADA[[Cod_2_Entrada]:[TOTAL_ENTRADA]],5,FALSE)-VLOOKUP(TAB_ESTOQUE[[#This Row],[Codigo]],TAB_SAIDA[[COD_2_SAIDA]:[TOTAL_SAIDA]],5,FALSE)</f>
        <v>1</v>
      </c>
      <c r="R760" s="87"/>
      <c r="S760" s="87"/>
      <c r="T760" s="90"/>
      <c r="U760" s="91">
        <f>TAB_ESTOQUE[[#This Row],[Valor Unitario Estimado]]*TAB_ESTOQUE[[#This Row],[Estoque]]</f>
        <v>0</v>
      </c>
      <c r="V760" s="91"/>
      <c r="W760" s="85"/>
      <c r="X760" s="85"/>
      <c r="Y760" s="85"/>
      <c r="Z760" s="85"/>
      <c r="AA760" s="85"/>
      <c r="AB760" s="85" t="str">
        <f>IF(TAB_ESTOQUE[[#This Row],[Estoque]]=0,"Estoque Não Conforme",IF(TAB_ESTOQUE[[#This Row],[Estoque]]&gt;=TAB_ESTOQUE[[#This Row],[Mínimo]],"Estoque Conforme",IF(TAB_ESTOQUE[[#This Row],[Estoque]]&lt;TAB_ESTOQUE[[#This Row],[Mínimo]],"Estoque em Nivel Minimo")))</f>
        <v>Estoque Conforme</v>
      </c>
      <c r="AC760" s="85"/>
      <c r="AD760" s="82"/>
      <c r="AE760" s="82"/>
      <c r="AF760" s="82"/>
    </row>
    <row r="761" spans="1:32" ht="15" customHeight="1" x14ac:dyDescent="0.25">
      <c r="C761" s="48"/>
      <c r="D761" s="45" t="s">
        <v>7712</v>
      </c>
      <c r="E761" s="46"/>
      <c r="F761" s="46"/>
      <c r="I761" s="45" t="s">
        <v>8362</v>
      </c>
      <c r="O761" s="46" t="s">
        <v>6538</v>
      </c>
      <c r="Q761" s="137">
        <f>VLOOKUP(TAB_ESTOQUE[[#This Row],[Codigo]],TAB_ENTRADA[[Cod_2_Entrada]:[TOTAL_ENTRADA]],5,FALSE)-VLOOKUP(TAB_ESTOQUE[[#This Row],[Codigo]],TAB_SAIDA[[COD_2_SAIDA]:[TOTAL_SAIDA]],5,FALSE)</f>
        <v>1</v>
      </c>
      <c r="S761" s="46"/>
      <c r="T761" s="102"/>
      <c r="U761" s="103">
        <f>TAB_ESTOQUE[[#This Row],[Valor Unitario Estimado]]*TAB_ESTOQUE[[#This Row],[Estoque]]</f>
        <v>0</v>
      </c>
      <c r="V761" s="103"/>
      <c r="AA761" s="138"/>
      <c r="AB761" s="104" t="str">
        <f>IF(TAB_ESTOQUE[[#This Row],[Estoque]]=0,"Estoque Não Conforme",IF(TAB_ESTOQUE[[#This Row],[Estoque]]&gt;=TAB_ESTOQUE[[#This Row],[Mínimo]],"Estoque Conforme",IF(TAB_ESTOQUE[[#This Row],[Estoque]]&lt;TAB_ESTOQUE[[#This Row],[Mínimo]],"Estoque em Nivel Minimo")))</f>
        <v>Estoque Conforme</v>
      </c>
      <c r="AC761" s="104"/>
      <c r="AE761" s="82"/>
      <c r="AF761" s="82"/>
    </row>
    <row r="762" spans="1:32" ht="15" customHeight="1" x14ac:dyDescent="0.25">
      <c r="C762" s="48"/>
      <c r="D762" s="45" t="s">
        <v>7713</v>
      </c>
      <c r="E762" s="46"/>
      <c r="F762" s="46"/>
      <c r="I762" s="45" t="s">
        <v>8734</v>
      </c>
      <c r="O762" s="46" t="s">
        <v>6538</v>
      </c>
      <c r="Q762" s="137">
        <f>VLOOKUP(TAB_ESTOQUE[[#This Row],[Codigo]],TAB_ENTRADA[[Cod_2_Entrada]:[TOTAL_ENTRADA]],5,FALSE)-VLOOKUP(TAB_ESTOQUE[[#This Row],[Codigo]],TAB_SAIDA[[COD_2_SAIDA]:[TOTAL_SAIDA]],5,FALSE)</f>
        <v>4</v>
      </c>
      <c r="S762" s="46"/>
      <c r="T762" s="102"/>
      <c r="U762" s="103">
        <f>TAB_ESTOQUE[[#This Row],[Valor Unitario Estimado]]*TAB_ESTOQUE[[#This Row],[Estoque]]</f>
        <v>0</v>
      </c>
      <c r="V762" s="103"/>
      <c r="AA762" s="138"/>
      <c r="AB762" s="104" t="str">
        <f>IF(TAB_ESTOQUE[[#This Row],[Estoque]]=0,"Estoque Não Conforme",IF(TAB_ESTOQUE[[#This Row],[Estoque]]&gt;=TAB_ESTOQUE[[#This Row],[Mínimo]],"Estoque Conforme",IF(TAB_ESTOQUE[[#This Row],[Estoque]]&lt;TAB_ESTOQUE[[#This Row],[Mínimo]],"Estoque em Nivel Minimo")))</f>
        <v>Estoque Conforme</v>
      </c>
      <c r="AC762" s="104"/>
      <c r="AE762" s="82"/>
      <c r="AF762" s="82"/>
    </row>
    <row r="763" spans="1:32" ht="15" customHeight="1" x14ac:dyDescent="0.25">
      <c r="C763" s="48"/>
      <c r="D763" s="45" t="s">
        <v>7714</v>
      </c>
      <c r="E763" s="46"/>
      <c r="F763" s="46"/>
      <c r="I763" s="45" t="s">
        <v>8735</v>
      </c>
      <c r="O763" s="46" t="s">
        <v>6538</v>
      </c>
      <c r="Q763" s="137">
        <f>VLOOKUP(TAB_ESTOQUE[[#This Row],[Codigo]],TAB_ENTRADA[[Cod_2_Entrada]:[TOTAL_ENTRADA]],5,FALSE)-VLOOKUP(TAB_ESTOQUE[[#This Row],[Codigo]],TAB_SAIDA[[COD_2_SAIDA]:[TOTAL_SAIDA]],5,FALSE)</f>
        <v>3</v>
      </c>
      <c r="S763" s="46"/>
      <c r="T763" s="102"/>
      <c r="U763" s="103">
        <f>TAB_ESTOQUE[[#This Row],[Valor Unitario Estimado]]*TAB_ESTOQUE[[#This Row],[Estoque]]</f>
        <v>0</v>
      </c>
      <c r="V763" s="103"/>
      <c r="AA763" s="138"/>
      <c r="AB763" s="104" t="str">
        <f>IF(TAB_ESTOQUE[[#This Row],[Estoque]]=0,"Estoque Não Conforme",IF(TAB_ESTOQUE[[#This Row],[Estoque]]&gt;=TAB_ESTOQUE[[#This Row],[Mínimo]],"Estoque Conforme",IF(TAB_ESTOQUE[[#This Row],[Estoque]]&lt;TAB_ESTOQUE[[#This Row],[Mínimo]],"Estoque em Nivel Minimo")))</f>
        <v>Estoque Conforme</v>
      </c>
      <c r="AC763" s="104"/>
      <c r="AE763" s="82"/>
      <c r="AF763" s="82"/>
    </row>
    <row r="764" spans="1:32" ht="15" customHeight="1" x14ac:dyDescent="0.25">
      <c r="C764" s="48"/>
      <c r="D764" s="45" t="s">
        <v>7748</v>
      </c>
      <c r="E764" s="46" t="s">
        <v>1236</v>
      </c>
      <c r="F764" s="46"/>
      <c r="I764" s="45" t="s">
        <v>8848</v>
      </c>
      <c r="O764" s="46" t="s">
        <v>6538</v>
      </c>
      <c r="Q764" s="137">
        <f>VLOOKUP(TAB_ESTOQUE[[#This Row],[Codigo]],TAB_ENTRADA[[Cod_2_Entrada]:[TOTAL_ENTRADA]],5,FALSE)-VLOOKUP(TAB_ESTOQUE[[#This Row],[Codigo]],TAB_SAIDA[[COD_2_SAIDA]:[TOTAL_SAIDA]],5,FALSE)</f>
        <v>1</v>
      </c>
      <c r="R764" s="46">
        <v>2</v>
      </c>
      <c r="S764" s="46">
        <v>6</v>
      </c>
      <c r="T764" s="102">
        <v>1250.2</v>
      </c>
      <c r="U764" s="103">
        <f>TAB_ESTOQUE[[#This Row],[Valor Unitario Estimado]]*TAB_ESTOQUE[[#This Row],[Estoque]]</f>
        <v>1250.2</v>
      </c>
      <c r="V764" s="103"/>
      <c r="AA764" s="138"/>
      <c r="AB764" s="104" t="str">
        <f>IF(TAB_ESTOQUE[[#This Row],[Estoque]]=0,"Estoque Não Conforme",IF(TAB_ESTOQUE[[#This Row],[Estoque]]&gt;=TAB_ESTOQUE[[#This Row],[Mínimo]],"Estoque Conforme",IF(TAB_ESTOQUE[[#This Row],[Estoque]]&lt;TAB_ESTOQUE[[#This Row],[Mínimo]],"Estoque em Nivel Minimo")))</f>
        <v>Estoque em Nivel Minimo</v>
      </c>
      <c r="AC764" s="104"/>
      <c r="AE764" s="82"/>
      <c r="AF764" s="82"/>
    </row>
    <row r="765" spans="1:32" ht="15" customHeight="1" x14ac:dyDescent="0.25">
      <c r="A765" s="45">
        <v>753</v>
      </c>
      <c r="B765" s="47"/>
      <c r="C765" s="46"/>
      <c r="D765" s="45" t="s">
        <v>2256</v>
      </c>
      <c r="E765" s="46" t="s">
        <v>7</v>
      </c>
      <c r="F765" s="87"/>
      <c r="G765" s="82"/>
      <c r="H765" s="82"/>
      <c r="I765" s="94" t="s">
        <v>8555</v>
      </c>
      <c r="J765" s="82"/>
      <c r="K765" s="82"/>
      <c r="L765" s="82"/>
      <c r="M765" s="82" t="s">
        <v>209</v>
      </c>
      <c r="N765" s="82"/>
      <c r="O765" s="87" t="s">
        <v>8749</v>
      </c>
      <c r="P765" s="82" t="s">
        <v>548</v>
      </c>
      <c r="Q765" s="83">
        <f>VLOOKUP(TAB_ESTOQUE[[#This Row],[Codigo]],TAB_ENTRADA[[Cod_2_Entrada]:[TOTAL_ENTRADA]],5,FALSE)-VLOOKUP(TAB_ESTOQUE[[#This Row],[Codigo]],TAB_SAIDA[[COD_2_SAIDA]:[TOTAL_SAIDA]],5,FALSE)</f>
        <v>1</v>
      </c>
      <c r="R765" s="87"/>
      <c r="S765" s="87"/>
      <c r="T765" s="90"/>
      <c r="U765" s="91">
        <f>TAB_ESTOQUE[[#This Row],[Valor Unitario Estimado]]*TAB_ESTOQUE[[#This Row],[Estoque]]</f>
        <v>0</v>
      </c>
      <c r="V765" s="91"/>
      <c r="W765" s="85"/>
      <c r="X765" s="85"/>
      <c r="Y765" s="85"/>
      <c r="Z765" s="85"/>
      <c r="AA765" s="85"/>
      <c r="AB765" s="85" t="str">
        <f>IF(TAB_ESTOQUE[[#This Row],[Estoque]]=0,"Estoque Não Conforme",IF(TAB_ESTOQUE[[#This Row],[Estoque]]&gt;=TAB_ESTOQUE[[#This Row],[Mínimo]],"Estoque Conforme",IF(TAB_ESTOQUE[[#This Row],[Estoque]]&lt;TAB_ESTOQUE[[#This Row],[Mínimo]],"Estoque em Nivel Minimo")))</f>
        <v>Estoque Conforme</v>
      </c>
      <c r="AC765" s="85"/>
      <c r="AD765" s="82"/>
      <c r="AE765" s="82"/>
      <c r="AF765" s="82"/>
    </row>
    <row r="766" spans="1:32" ht="15" customHeight="1" x14ac:dyDescent="0.25">
      <c r="A766" s="45">
        <v>806</v>
      </c>
      <c r="B766" s="47"/>
      <c r="C766" s="46"/>
      <c r="D766" s="45" t="s">
        <v>2257</v>
      </c>
      <c r="E766" s="46" t="s">
        <v>7</v>
      </c>
      <c r="F766" s="87"/>
      <c r="G766" s="82"/>
      <c r="H766" s="82"/>
      <c r="I766" s="82" t="s">
        <v>8556</v>
      </c>
      <c r="J766" s="82"/>
      <c r="K766" s="82"/>
      <c r="L766" s="82"/>
      <c r="M766" s="82" t="s">
        <v>209</v>
      </c>
      <c r="N766" s="82"/>
      <c r="O766" s="87" t="s">
        <v>6469</v>
      </c>
      <c r="P766" s="82" t="s">
        <v>592</v>
      </c>
      <c r="Q766" s="83">
        <f>VLOOKUP(TAB_ESTOQUE[[#This Row],[Codigo]],TAB_ENTRADA[[Cod_2_Entrada]:[TOTAL_ENTRADA]],5,FALSE)-VLOOKUP(TAB_ESTOQUE[[#This Row],[Codigo]],TAB_SAIDA[[COD_2_SAIDA]:[TOTAL_SAIDA]],5,FALSE)</f>
        <v>2</v>
      </c>
      <c r="R766" s="87"/>
      <c r="S766" s="87"/>
      <c r="T766" s="90"/>
      <c r="U766" s="91">
        <f>TAB_ESTOQUE[[#This Row],[Valor Unitario Estimado]]*TAB_ESTOQUE[[#This Row],[Estoque]]</f>
        <v>0</v>
      </c>
      <c r="V766" s="91"/>
      <c r="W766" s="85"/>
      <c r="X766" s="85"/>
      <c r="Y766" s="85"/>
      <c r="Z766" s="85"/>
      <c r="AA766" s="85"/>
      <c r="AB766" s="85" t="str">
        <f>IF(TAB_ESTOQUE[[#This Row],[Estoque]]=0,"Estoque Não Conforme",IF(TAB_ESTOQUE[[#This Row],[Estoque]]&gt;=TAB_ESTOQUE[[#This Row],[Mínimo]],"Estoque Conforme",IF(TAB_ESTOQUE[[#This Row],[Estoque]]&lt;TAB_ESTOQUE[[#This Row],[Mínimo]],"Estoque em Nivel Minimo")))</f>
        <v>Estoque Conforme</v>
      </c>
      <c r="AC766" s="85"/>
      <c r="AD766" s="82"/>
      <c r="AE766" s="82"/>
      <c r="AF766" s="82"/>
    </row>
    <row r="767" spans="1:32" ht="15" customHeight="1" x14ac:dyDescent="0.25">
      <c r="A767" s="45">
        <v>790</v>
      </c>
      <c r="B767" s="47"/>
      <c r="C767" s="46"/>
      <c r="D767" s="45" t="s">
        <v>2258</v>
      </c>
      <c r="E767" s="46" t="s">
        <v>7</v>
      </c>
      <c r="F767" s="87"/>
      <c r="G767" s="82"/>
      <c r="H767" s="82"/>
      <c r="I767" s="82" t="s">
        <v>8557</v>
      </c>
      <c r="J767" s="82"/>
      <c r="K767" s="82"/>
      <c r="L767" s="82"/>
      <c r="M767" s="82" t="s">
        <v>209</v>
      </c>
      <c r="N767" s="82"/>
      <c r="O767" s="87" t="s">
        <v>6470</v>
      </c>
      <c r="P767" s="82" t="s">
        <v>575</v>
      </c>
      <c r="Q767" s="83">
        <f>VLOOKUP(TAB_ESTOQUE[[#This Row],[Codigo]],TAB_ENTRADA[[Cod_2_Entrada]:[TOTAL_ENTRADA]],5,FALSE)-VLOOKUP(TAB_ESTOQUE[[#This Row],[Codigo]],TAB_SAIDA[[COD_2_SAIDA]:[TOTAL_SAIDA]],5,FALSE)</f>
        <v>1</v>
      </c>
      <c r="R767" s="87"/>
      <c r="S767" s="87"/>
      <c r="T767" s="90"/>
      <c r="U767" s="91">
        <f>TAB_ESTOQUE[[#This Row],[Valor Unitario Estimado]]*TAB_ESTOQUE[[#This Row],[Estoque]]</f>
        <v>0</v>
      </c>
      <c r="V767" s="91"/>
      <c r="W767" s="85"/>
      <c r="X767" s="85"/>
      <c r="Y767" s="85"/>
      <c r="Z767" s="85"/>
      <c r="AA767" s="85"/>
      <c r="AB767" s="85" t="str">
        <f>IF(TAB_ESTOQUE[[#This Row],[Estoque]]=0,"Estoque Não Conforme",IF(TAB_ESTOQUE[[#This Row],[Estoque]]&gt;=TAB_ESTOQUE[[#This Row],[Mínimo]],"Estoque Conforme",IF(TAB_ESTOQUE[[#This Row],[Estoque]]&lt;TAB_ESTOQUE[[#This Row],[Mínimo]],"Estoque em Nivel Minimo")))</f>
        <v>Estoque Conforme</v>
      </c>
      <c r="AC767" s="85"/>
      <c r="AD767" s="82"/>
      <c r="AE767" s="82"/>
      <c r="AF767" s="82"/>
    </row>
    <row r="768" spans="1:32" ht="15" customHeight="1" x14ac:dyDescent="0.25">
      <c r="A768" s="45">
        <v>1056</v>
      </c>
      <c r="B768" s="47"/>
      <c r="C768" s="46"/>
      <c r="D768" s="45" t="s">
        <v>2329</v>
      </c>
      <c r="E768" s="46" t="s">
        <v>7</v>
      </c>
      <c r="F768" s="87"/>
      <c r="G768" s="82"/>
      <c r="H768" s="82"/>
      <c r="I768" s="82" t="s">
        <v>8582</v>
      </c>
      <c r="J768" s="82"/>
      <c r="K768" s="82"/>
      <c r="L768" s="82"/>
      <c r="M768" s="82"/>
      <c r="N768" s="82"/>
      <c r="O768" s="87" t="s">
        <v>6470</v>
      </c>
      <c r="P768" s="82" t="s">
        <v>803</v>
      </c>
      <c r="Q768" s="83">
        <f>VLOOKUP(TAB_ESTOQUE[[#This Row],[Codigo]],TAB_ENTRADA[[Cod_2_Entrada]:[TOTAL_ENTRADA]],5,FALSE)-VLOOKUP(TAB_ESTOQUE[[#This Row],[Codigo]],TAB_SAIDA[[COD_2_SAIDA]:[TOTAL_SAIDA]],5,FALSE)</f>
        <v>1</v>
      </c>
      <c r="R768" s="87"/>
      <c r="S768" s="87"/>
      <c r="T768" s="90">
        <v>381</v>
      </c>
      <c r="U768" s="91">
        <f>TAB_ESTOQUE[[#This Row],[Valor Unitario Estimado]]*TAB_ESTOQUE[[#This Row],[Estoque]]</f>
        <v>381</v>
      </c>
      <c r="V768" s="91"/>
      <c r="W768" s="85"/>
      <c r="X768" s="85"/>
      <c r="Y768" s="85"/>
      <c r="Z768" s="85"/>
      <c r="AA768" s="85"/>
      <c r="AB768" s="85" t="str">
        <f>IF(TAB_ESTOQUE[[#This Row],[Estoque]]=0,"Estoque Não Conforme",IF(TAB_ESTOQUE[[#This Row],[Estoque]]&gt;=TAB_ESTOQUE[[#This Row],[Mínimo]],"Estoque Conforme",IF(TAB_ESTOQUE[[#This Row],[Estoque]]&lt;TAB_ESTOQUE[[#This Row],[Mínimo]],"Estoque em Nivel Minimo")))</f>
        <v>Estoque Conforme</v>
      </c>
      <c r="AC768" s="85"/>
      <c r="AD768" s="82"/>
      <c r="AE768" s="82"/>
      <c r="AF768" s="82"/>
    </row>
    <row r="769" spans="1:32" s="176" customFormat="1" ht="15" customHeight="1" x14ac:dyDescent="0.25">
      <c r="A769" s="45">
        <v>275</v>
      </c>
      <c r="B769" s="47"/>
      <c r="C769" s="46"/>
      <c r="D769" s="45" t="s">
        <v>2337</v>
      </c>
      <c r="E769" s="46" t="s">
        <v>7</v>
      </c>
      <c r="F769" s="87"/>
      <c r="G769" s="82"/>
      <c r="H769" s="82"/>
      <c r="I769" s="82" t="s">
        <v>8586</v>
      </c>
      <c r="J769" s="82"/>
      <c r="K769" s="82" t="s">
        <v>214</v>
      </c>
      <c r="L769" s="82"/>
      <c r="M769" s="82" t="s">
        <v>209</v>
      </c>
      <c r="N769" s="82"/>
      <c r="O769" s="87" t="s">
        <v>6470</v>
      </c>
      <c r="P769" s="82" t="s">
        <v>213</v>
      </c>
      <c r="Q769" s="83">
        <f>VLOOKUP(TAB_ESTOQUE[[#This Row],[Codigo]],TAB_ENTRADA[[Cod_2_Entrada]:[TOTAL_ENTRADA]],5,FALSE)-VLOOKUP(TAB_ESTOQUE[[#This Row],[Codigo]],TAB_SAIDA[[COD_2_SAIDA]:[TOTAL_SAIDA]],5,FALSE)</f>
        <v>2</v>
      </c>
      <c r="R769" s="87"/>
      <c r="S769" s="87"/>
      <c r="T769" s="90">
        <v>680</v>
      </c>
      <c r="U769" s="91">
        <f>TAB_ESTOQUE[[#This Row],[Valor Unitario Estimado]]*TAB_ESTOQUE[[#This Row],[Estoque]]</f>
        <v>1360</v>
      </c>
      <c r="V769" s="91"/>
      <c r="W769" s="85"/>
      <c r="X769" s="85"/>
      <c r="Y769" s="85"/>
      <c r="Z769" s="85"/>
      <c r="AA769" s="85"/>
      <c r="AB769" s="85" t="str">
        <f>IF(TAB_ESTOQUE[[#This Row],[Estoque]]=0,"Estoque Não Conforme",IF(TAB_ESTOQUE[[#This Row],[Estoque]]&gt;=TAB_ESTOQUE[[#This Row],[Mínimo]],"Estoque Conforme",IF(TAB_ESTOQUE[[#This Row],[Estoque]]&lt;TAB_ESTOQUE[[#This Row],[Mínimo]],"Estoque em Nivel Minimo")))</f>
        <v>Estoque Conforme</v>
      </c>
      <c r="AC769" s="85"/>
      <c r="AD769" s="82"/>
      <c r="AE769" s="178"/>
      <c r="AF769" s="178"/>
    </row>
    <row r="770" spans="1:32" ht="15" customHeight="1" x14ac:dyDescent="0.25">
      <c r="A770" s="45">
        <v>741</v>
      </c>
      <c r="B770" s="47"/>
      <c r="C770" s="46" t="s">
        <v>2833</v>
      </c>
      <c r="D770" s="45" t="s">
        <v>2341</v>
      </c>
      <c r="E770" s="46" t="s">
        <v>7</v>
      </c>
      <c r="F770" s="87"/>
      <c r="G770" s="82"/>
      <c r="H770" s="82"/>
      <c r="I770" s="82" t="s">
        <v>2857</v>
      </c>
      <c r="J770" s="82"/>
      <c r="K770" s="82"/>
      <c r="L770" s="82"/>
      <c r="M770" s="82" t="s">
        <v>209</v>
      </c>
      <c r="N770" s="82"/>
      <c r="O770" s="87" t="s">
        <v>6470</v>
      </c>
      <c r="P770" s="82" t="s">
        <v>530</v>
      </c>
      <c r="Q770" s="83">
        <f>VLOOKUP(TAB_ESTOQUE[[#This Row],[Codigo]],TAB_ENTRADA[[Cod_2_Entrada]:[TOTAL_ENTRADA]],5,FALSE)-VLOOKUP(TAB_ESTOQUE[[#This Row],[Codigo]],TAB_SAIDA[[COD_2_SAIDA]:[TOTAL_SAIDA]],5,FALSE)</f>
        <v>0</v>
      </c>
      <c r="R770" s="87"/>
      <c r="S770" s="87"/>
      <c r="T770" s="90">
        <v>950</v>
      </c>
      <c r="U770" s="91">
        <f>TAB_ESTOQUE[[#This Row],[Valor Unitario Estimado]]*TAB_ESTOQUE[[#This Row],[Estoque]]</f>
        <v>0</v>
      </c>
      <c r="V770" s="91"/>
      <c r="W770" s="85"/>
      <c r="X770" s="85"/>
      <c r="Y770" s="85"/>
      <c r="Z770" s="85"/>
      <c r="AA770" s="85"/>
      <c r="AB770" s="85" t="str">
        <f>IF(TAB_ESTOQUE[[#This Row],[Estoque]]=0,"Estoque Não Conforme",IF(TAB_ESTOQUE[[#This Row],[Estoque]]&gt;=TAB_ESTOQUE[[#This Row],[Mínimo]],"Estoque Conforme",IF(TAB_ESTOQUE[[#This Row],[Estoque]]&lt;TAB_ESTOQUE[[#This Row],[Mínimo]],"Estoque em Nivel Minimo")))</f>
        <v>Estoque Não Conforme</v>
      </c>
      <c r="AC770" s="85"/>
      <c r="AD770" s="82"/>
      <c r="AE770" s="82"/>
      <c r="AF770" s="82"/>
    </row>
    <row r="771" spans="1:32" s="47" customFormat="1" ht="15" customHeight="1" x14ac:dyDescent="0.25">
      <c r="A771" s="45">
        <v>1358</v>
      </c>
      <c r="C771" s="46"/>
      <c r="D771" s="45" t="s">
        <v>2343</v>
      </c>
      <c r="E771" s="46" t="s">
        <v>7</v>
      </c>
      <c r="F771" s="87"/>
      <c r="G771" s="82"/>
      <c r="H771" s="82"/>
      <c r="I771" s="82" t="s">
        <v>8591</v>
      </c>
      <c r="J771" s="82"/>
      <c r="K771" s="82"/>
      <c r="L771" s="82"/>
      <c r="M771" s="82" t="s">
        <v>209</v>
      </c>
      <c r="N771" s="82"/>
      <c r="O771" s="87" t="s">
        <v>6470</v>
      </c>
      <c r="P771" s="82" t="s">
        <v>1093</v>
      </c>
      <c r="Q771" s="83">
        <f>VLOOKUP(TAB_ESTOQUE[[#This Row],[Codigo]],TAB_ENTRADA[[Cod_2_Entrada]:[TOTAL_ENTRADA]],5,FALSE)-VLOOKUP(TAB_ESTOQUE[[#This Row],[Codigo]],TAB_SAIDA[[COD_2_SAIDA]:[TOTAL_SAIDA]],5,FALSE)</f>
        <v>2</v>
      </c>
      <c r="R771" s="87"/>
      <c r="S771" s="87"/>
      <c r="T771" s="90">
        <v>699</v>
      </c>
      <c r="U771" s="91">
        <f>TAB_ESTOQUE[[#This Row],[Valor Unitario Estimado]]*TAB_ESTOQUE[[#This Row],[Estoque]]</f>
        <v>1398</v>
      </c>
      <c r="V771" s="91"/>
      <c r="W771" s="85"/>
      <c r="X771" s="85"/>
      <c r="Y771" s="85"/>
      <c r="Z771" s="85"/>
      <c r="AA771" s="85"/>
      <c r="AB771" s="85" t="str">
        <f>IF(TAB_ESTOQUE[[#This Row],[Estoque]]=0,"Estoque Não Conforme",IF(TAB_ESTOQUE[[#This Row],[Estoque]]&gt;=TAB_ESTOQUE[[#This Row],[Mínimo]],"Estoque Conforme",IF(TAB_ESTOQUE[[#This Row],[Estoque]]&lt;TAB_ESTOQUE[[#This Row],[Mínimo]],"Estoque em Nivel Minimo")))</f>
        <v>Estoque Conforme</v>
      </c>
      <c r="AC771" s="85"/>
      <c r="AD771" s="82"/>
      <c r="AE771" s="94"/>
      <c r="AF771" s="94"/>
    </row>
    <row r="772" spans="1:32" ht="15" customHeight="1" x14ac:dyDescent="0.25">
      <c r="A772" s="45">
        <v>1234</v>
      </c>
      <c r="B772" s="47"/>
      <c r="C772" s="46" t="s">
        <v>2833</v>
      </c>
      <c r="D772" s="45" t="s">
        <v>2344</v>
      </c>
      <c r="E772" s="46" t="s">
        <v>7</v>
      </c>
      <c r="F772" s="87"/>
      <c r="G772" s="82"/>
      <c r="H772" s="82"/>
      <c r="I772" s="82" t="s">
        <v>8592</v>
      </c>
      <c r="J772" s="82"/>
      <c r="K772" s="82" t="s">
        <v>854</v>
      </c>
      <c r="L772" s="82"/>
      <c r="M772" s="82" t="s">
        <v>536</v>
      </c>
      <c r="N772" s="82"/>
      <c r="O772" s="87" t="s">
        <v>6470</v>
      </c>
      <c r="P772" s="82" t="s">
        <v>951</v>
      </c>
      <c r="Q772" s="83">
        <f>VLOOKUP(TAB_ESTOQUE[[#This Row],[Codigo]],TAB_ENTRADA[[Cod_2_Entrada]:[TOTAL_ENTRADA]],5,FALSE)-VLOOKUP(TAB_ESTOQUE[[#This Row],[Codigo]],TAB_SAIDA[[COD_2_SAIDA]:[TOTAL_SAIDA]],5,FALSE)</f>
        <v>1</v>
      </c>
      <c r="R772" s="87"/>
      <c r="S772" s="87"/>
      <c r="T772" s="90"/>
      <c r="U772" s="91">
        <f>TAB_ESTOQUE[[#This Row],[Valor Unitario Estimado]]*TAB_ESTOQUE[[#This Row],[Estoque]]</f>
        <v>0</v>
      </c>
      <c r="V772" s="91"/>
      <c r="W772" s="85"/>
      <c r="X772" s="85"/>
      <c r="Y772" s="85"/>
      <c r="Z772" s="85"/>
      <c r="AA772" s="85"/>
      <c r="AB772" s="85" t="str">
        <f>IF(TAB_ESTOQUE[[#This Row],[Estoque]]=0,"Estoque Não Conforme",IF(TAB_ESTOQUE[[#This Row],[Estoque]]&gt;=TAB_ESTOQUE[[#This Row],[Mínimo]],"Estoque Conforme",IF(TAB_ESTOQUE[[#This Row],[Estoque]]&lt;TAB_ESTOQUE[[#This Row],[Mínimo]],"Estoque em Nivel Minimo")))</f>
        <v>Estoque Conforme</v>
      </c>
      <c r="AC772" s="85"/>
      <c r="AD772" s="82"/>
      <c r="AE772" s="82"/>
      <c r="AF772" s="82"/>
    </row>
    <row r="773" spans="1:32" ht="15" customHeight="1" x14ac:dyDescent="0.25">
      <c r="A773" s="45">
        <v>1233</v>
      </c>
      <c r="B773" s="47"/>
      <c r="C773" s="46" t="s">
        <v>2833</v>
      </c>
      <c r="D773" s="45" t="s">
        <v>2345</v>
      </c>
      <c r="E773" s="46" t="s">
        <v>7</v>
      </c>
      <c r="F773" s="87"/>
      <c r="G773" s="82"/>
      <c r="H773" s="82"/>
      <c r="I773" s="82" t="s">
        <v>8593</v>
      </c>
      <c r="J773" s="82"/>
      <c r="K773" s="82" t="s">
        <v>854</v>
      </c>
      <c r="L773" s="82"/>
      <c r="M773" s="82" t="s">
        <v>536</v>
      </c>
      <c r="N773" s="82"/>
      <c r="O773" s="87" t="s">
        <v>6470</v>
      </c>
      <c r="P773" s="82" t="s">
        <v>948</v>
      </c>
      <c r="Q773" s="83">
        <f>VLOOKUP(TAB_ESTOQUE[[#This Row],[Codigo]],TAB_ENTRADA[[Cod_2_Entrada]:[TOTAL_ENTRADA]],5,FALSE)-VLOOKUP(TAB_ESTOQUE[[#This Row],[Codigo]],TAB_SAIDA[[COD_2_SAIDA]:[TOTAL_SAIDA]],5,FALSE)</f>
        <v>3</v>
      </c>
      <c r="R773" s="87"/>
      <c r="S773" s="87"/>
      <c r="T773" s="90"/>
      <c r="U773" s="91">
        <f>TAB_ESTOQUE[[#This Row],[Valor Unitario Estimado]]*TAB_ESTOQUE[[#This Row],[Estoque]]</f>
        <v>0</v>
      </c>
      <c r="V773" s="91"/>
      <c r="W773" s="85"/>
      <c r="X773" s="85"/>
      <c r="Y773" s="85"/>
      <c r="Z773" s="85"/>
      <c r="AA773" s="85"/>
      <c r="AB773" s="85" t="str">
        <f>IF(TAB_ESTOQUE[[#This Row],[Estoque]]=0,"Estoque Não Conforme",IF(TAB_ESTOQUE[[#This Row],[Estoque]]&gt;=TAB_ESTOQUE[[#This Row],[Mínimo]],"Estoque Conforme",IF(TAB_ESTOQUE[[#This Row],[Estoque]]&lt;TAB_ESTOQUE[[#This Row],[Mínimo]],"Estoque em Nivel Minimo")))</f>
        <v>Estoque Conforme</v>
      </c>
      <c r="AC773" s="85"/>
      <c r="AD773" s="82"/>
      <c r="AE773" s="82"/>
      <c r="AF773" s="82"/>
    </row>
    <row r="774" spans="1:32" ht="15" customHeight="1" x14ac:dyDescent="0.25">
      <c r="A774" s="45">
        <v>1049</v>
      </c>
      <c r="B774" s="47"/>
      <c r="C774" s="46" t="s">
        <v>2833</v>
      </c>
      <c r="D774" s="45" t="s">
        <v>2346</v>
      </c>
      <c r="E774" s="46" t="s">
        <v>7</v>
      </c>
      <c r="F774" s="87"/>
      <c r="G774" s="82"/>
      <c r="H774" s="82"/>
      <c r="I774" s="82" t="s">
        <v>8594</v>
      </c>
      <c r="J774" s="82"/>
      <c r="K774" s="82"/>
      <c r="L774" s="82"/>
      <c r="M774" s="82"/>
      <c r="N774" s="82"/>
      <c r="O774" s="87" t="s">
        <v>6470</v>
      </c>
      <c r="P774" s="82" t="s">
        <v>801</v>
      </c>
      <c r="Q774" s="83">
        <f>VLOOKUP(TAB_ESTOQUE[[#This Row],[Codigo]],TAB_ENTRADA[[Cod_2_Entrada]:[TOTAL_ENTRADA]],5,FALSE)-VLOOKUP(TAB_ESTOQUE[[#This Row],[Codigo]],TAB_SAIDA[[COD_2_SAIDA]:[TOTAL_SAIDA]],5,FALSE)</f>
        <v>2</v>
      </c>
      <c r="R774" s="87"/>
      <c r="S774" s="87"/>
      <c r="T774" s="90"/>
      <c r="U774" s="91">
        <f>TAB_ESTOQUE[[#This Row],[Valor Unitario Estimado]]*TAB_ESTOQUE[[#This Row],[Estoque]]</f>
        <v>0</v>
      </c>
      <c r="V774" s="91"/>
      <c r="W774" s="85"/>
      <c r="X774" s="85"/>
      <c r="Y774" s="85"/>
      <c r="Z774" s="85"/>
      <c r="AA774" s="85"/>
      <c r="AB774" s="85" t="str">
        <f>IF(TAB_ESTOQUE[[#This Row],[Estoque]]=0,"Estoque Não Conforme",IF(TAB_ESTOQUE[[#This Row],[Estoque]]&gt;=TAB_ESTOQUE[[#This Row],[Mínimo]],"Estoque Conforme",IF(TAB_ESTOQUE[[#This Row],[Estoque]]&lt;TAB_ESTOQUE[[#This Row],[Mínimo]],"Estoque em Nivel Minimo")))</f>
        <v>Estoque Conforme</v>
      </c>
      <c r="AC774" s="85"/>
      <c r="AD774" s="82"/>
      <c r="AE774" s="82"/>
      <c r="AF774" s="82"/>
    </row>
    <row r="775" spans="1:32" ht="15" customHeight="1" x14ac:dyDescent="0.25">
      <c r="A775" s="45">
        <v>1151</v>
      </c>
      <c r="B775" s="47"/>
      <c r="C775" s="46"/>
      <c r="D775" s="45" t="s">
        <v>2453</v>
      </c>
      <c r="E775" s="46" t="s">
        <v>480</v>
      </c>
      <c r="F775" s="87"/>
      <c r="G775" s="82"/>
      <c r="H775" s="82"/>
      <c r="I775" s="82" t="s">
        <v>7278</v>
      </c>
      <c r="J775" s="82"/>
      <c r="K775" s="82"/>
      <c r="L775" s="82"/>
      <c r="M775" s="82"/>
      <c r="N775" s="82"/>
      <c r="O775" s="87" t="s">
        <v>6470</v>
      </c>
      <c r="P775" s="82" t="s">
        <v>874</v>
      </c>
      <c r="Q775" s="83">
        <f>VLOOKUP(TAB_ESTOQUE[[#This Row],[Codigo]],TAB_ENTRADA[[Cod_2_Entrada]:[TOTAL_ENTRADA]],5,FALSE)-VLOOKUP(TAB_ESTOQUE[[#This Row],[Codigo]],TAB_SAIDA[[COD_2_SAIDA]:[TOTAL_SAIDA]],5,FALSE)</f>
        <v>0</v>
      </c>
      <c r="R775" s="87"/>
      <c r="S775" s="87"/>
      <c r="T775" s="90"/>
      <c r="U775" s="91">
        <f>TAB_ESTOQUE[[#This Row],[Valor Unitario Estimado]]*TAB_ESTOQUE[[#This Row],[Estoque]]</f>
        <v>0</v>
      </c>
      <c r="V775" s="91"/>
      <c r="W775" s="85"/>
      <c r="X775" s="85"/>
      <c r="Y775" s="85"/>
      <c r="Z775" s="85"/>
      <c r="AA775" s="85"/>
      <c r="AB775" s="85" t="str">
        <f>IF(TAB_ESTOQUE[[#This Row],[Estoque]]=0,"Estoque Não Conforme",IF(TAB_ESTOQUE[[#This Row],[Estoque]]&gt;=TAB_ESTOQUE[[#This Row],[Mínimo]],"Estoque Conforme",IF(TAB_ESTOQUE[[#This Row],[Estoque]]&lt;TAB_ESTOQUE[[#This Row],[Mínimo]],"Estoque em Nivel Minimo")))</f>
        <v>Estoque Não Conforme</v>
      </c>
      <c r="AC775" s="85"/>
      <c r="AD775" s="82"/>
      <c r="AE775" s="82"/>
      <c r="AF775" s="82"/>
    </row>
    <row r="776" spans="1:32" ht="15" customHeight="1" x14ac:dyDescent="0.25">
      <c r="A776" s="45">
        <v>794</v>
      </c>
      <c r="B776" s="47"/>
      <c r="C776" s="46"/>
      <c r="D776" s="45" t="s">
        <v>2339</v>
      </c>
      <c r="E776" s="46" t="s">
        <v>8372</v>
      </c>
      <c r="F776" s="87"/>
      <c r="G776" s="82"/>
      <c r="H776" s="82"/>
      <c r="I776" s="82" t="s">
        <v>8588</v>
      </c>
      <c r="J776" s="82"/>
      <c r="K776" s="82"/>
      <c r="L776" s="82"/>
      <c r="M776" s="82" t="s">
        <v>209</v>
      </c>
      <c r="N776" s="82"/>
      <c r="O776" s="87" t="s">
        <v>6471</v>
      </c>
      <c r="P776" s="82" t="s">
        <v>578</v>
      </c>
      <c r="Q776" s="83">
        <f>VLOOKUP(TAB_ESTOQUE[[#This Row],[Codigo]],TAB_ENTRADA[[Cod_2_Entrada]:[TOTAL_ENTRADA]],5,FALSE)-VLOOKUP(TAB_ESTOQUE[[#This Row],[Codigo]],TAB_SAIDA[[COD_2_SAIDA]:[TOTAL_SAIDA]],5,FALSE)</f>
        <v>7</v>
      </c>
      <c r="R776" s="87"/>
      <c r="S776" s="87"/>
      <c r="T776" s="90">
        <v>1000</v>
      </c>
      <c r="U776" s="91">
        <f>TAB_ESTOQUE[[#This Row],[Valor Unitario Estimado]]*TAB_ESTOQUE[[#This Row],[Estoque]]</f>
        <v>7000</v>
      </c>
      <c r="V776" s="91"/>
      <c r="W776" s="85"/>
      <c r="X776" s="85"/>
      <c r="Y776" s="85"/>
      <c r="Z776" s="85"/>
      <c r="AA776" s="85"/>
      <c r="AB776" s="85" t="str">
        <f>IF(TAB_ESTOQUE[[#This Row],[Estoque]]=0,"Estoque Não Conforme",IF(TAB_ESTOQUE[[#This Row],[Estoque]]&gt;=TAB_ESTOQUE[[#This Row],[Mínimo]],"Estoque Conforme",IF(TAB_ESTOQUE[[#This Row],[Estoque]]&lt;TAB_ESTOQUE[[#This Row],[Mínimo]],"Estoque em Nivel Minimo")))</f>
        <v>Estoque Conforme</v>
      </c>
      <c r="AC776" s="85"/>
      <c r="AD776" s="82"/>
      <c r="AE776" s="82"/>
      <c r="AF776" s="82"/>
    </row>
    <row r="777" spans="1:32" ht="15" customHeight="1" x14ac:dyDescent="0.25">
      <c r="A777" s="47">
        <v>1357</v>
      </c>
      <c r="B777" s="47"/>
      <c r="C777" s="51"/>
      <c r="D777" s="47" t="s">
        <v>2348</v>
      </c>
      <c r="E777" s="51" t="s">
        <v>7</v>
      </c>
      <c r="F777" s="107"/>
      <c r="G777" s="94"/>
      <c r="H777" s="94"/>
      <c r="I777" s="94" t="s">
        <v>8596</v>
      </c>
      <c r="J777" s="94"/>
      <c r="K777" s="94"/>
      <c r="L777" s="94"/>
      <c r="M777" s="94" t="s">
        <v>209</v>
      </c>
      <c r="N777" s="94"/>
      <c r="O777" s="107" t="s">
        <v>6471</v>
      </c>
      <c r="P777" s="94" t="s">
        <v>1092</v>
      </c>
      <c r="Q777" s="145">
        <f>VLOOKUP(TAB_ESTOQUE[[#This Row],[Codigo]],TAB_ENTRADA[[Cod_2_Entrada]:[TOTAL_ENTRADA]],5,FALSE)-VLOOKUP(TAB_ESTOQUE[[#This Row],[Codigo]],TAB_SAIDA[[COD_2_SAIDA]:[TOTAL_SAIDA]],5,FALSE)</f>
        <v>1</v>
      </c>
      <c r="R777" s="107"/>
      <c r="S777" s="107"/>
      <c r="T777" s="108"/>
      <c r="U777" s="109">
        <f>TAB_ESTOQUE[[#This Row],[Valor Unitario Estimado]]*TAB_ESTOQUE[[#This Row],[Estoque]]</f>
        <v>0</v>
      </c>
      <c r="V777" s="109"/>
      <c r="W777" s="110"/>
      <c r="X777" s="110"/>
      <c r="Y777" s="110"/>
      <c r="Z777" s="110"/>
      <c r="AA777" s="110"/>
      <c r="AB777" s="110" t="str">
        <f>IF(TAB_ESTOQUE[[#This Row],[Estoque]]=0,"Estoque Não Conforme",IF(TAB_ESTOQUE[[#This Row],[Estoque]]&gt;=TAB_ESTOQUE[[#This Row],[Mínimo]],"Estoque Conforme",IF(TAB_ESTOQUE[[#This Row],[Estoque]]&lt;TAB_ESTOQUE[[#This Row],[Mínimo]],"Estoque em Nivel Minimo")))</f>
        <v>Estoque Conforme</v>
      </c>
      <c r="AC777" s="110"/>
      <c r="AD777" s="94"/>
      <c r="AE777" s="82"/>
      <c r="AF777" s="82"/>
    </row>
    <row r="778" spans="1:32" ht="15" customHeight="1" x14ac:dyDescent="0.25">
      <c r="A778" s="45">
        <v>680</v>
      </c>
      <c r="B778" s="47"/>
      <c r="C778" s="46"/>
      <c r="D778" s="45" t="s">
        <v>2401</v>
      </c>
      <c r="E778" s="46" t="s">
        <v>8372</v>
      </c>
      <c r="F778" s="87"/>
      <c r="G778" s="82"/>
      <c r="H778" s="82"/>
      <c r="I778" s="82" t="s">
        <v>8611</v>
      </c>
      <c r="J778" s="82"/>
      <c r="K778" s="82"/>
      <c r="L778" s="82"/>
      <c r="M778" s="82"/>
      <c r="N778" s="82"/>
      <c r="O778" s="87" t="s">
        <v>6471</v>
      </c>
      <c r="P778" s="82" t="s">
        <v>463</v>
      </c>
      <c r="Q778" s="83">
        <f>VLOOKUP(TAB_ESTOQUE[[#This Row],[Codigo]],TAB_ENTRADA[[Cod_2_Entrada]:[TOTAL_ENTRADA]],5,FALSE)-VLOOKUP(TAB_ESTOQUE[[#This Row],[Codigo]],TAB_SAIDA[[COD_2_SAIDA]:[TOTAL_SAIDA]],5,FALSE)</f>
        <v>2</v>
      </c>
      <c r="R778" s="87"/>
      <c r="S778" s="87"/>
      <c r="T778" s="90"/>
      <c r="U778" s="91">
        <f>TAB_ESTOQUE[[#This Row],[Valor Unitario Estimado]]*TAB_ESTOQUE[[#This Row],[Estoque]]</f>
        <v>0</v>
      </c>
      <c r="V778" s="91"/>
      <c r="W778" s="85"/>
      <c r="X778" s="85"/>
      <c r="Y778" s="85"/>
      <c r="Z778" s="85"/>
      <c r="AA778" s="85"/>
      <c r="AB778" s="85" t="str">
        <f>IF(TAB_ESTOQUE[[#This Row],[Estoque]]=0,"Estoque Não Conforme",IF(TAB_ESTOQUE[[#This Row],[Estoque]]&gt;=TAB_ESTOQUE[[#This Row],[Mínimo]],"Estoque Conforme",IF(TAB_ESTOQUE[[#This Row],[Estoque]]&lt;TAB_ESTOQUE[[#This Row],[Mínimo]],"Estoque em Nivel Minimo")))</f>
        <v>Estoque Conforme</v>
      </c>
      <c r="AC778" s="85"/>
      <c r="AD778" s="82"/>
      <c r="AE778" s="82"/>
      <c r="AF778" s="82"/>
    </row>
    <row r="779" spans="1:32" ht="15" customHeight="1" x14ac:dyDescent="0.25">
      <c r="B779" s="47"/>
      <c r="C779" s="53"/>
      <c r="D779" s="45" t="s">
        <v>6042</v>
      </c>
      <c r="E779" s="46"/>
      <c r="F779" s="87"/>
      <c r="G779" s="82"/>
      <c r="H779" s="82"/>
      <c r="I779" s="82" t="s">
        <v>8690</v>
      </c>
      <c r="J779" s="82"/>
      <c r="K779" s="82"/>
      <c r="L779" s="82"/>
      <c r="M779" s="82"/>
      <c r="N779" s="82"/>
      <c r="O779" s="87" t="s">
        <v>6471</v>
      </c>
      <c r="P779" s="82" t="s">
        <v>6044</v>
      </c>
      <c r="Q779" s="83">
        <f>VLOOKUP(TAB_ESTOQUE[[#This Row],[Codigo]],TAB_ENTRADA[[Cod_2_Entrada]:[TOTAL_ENTRADA]],5,FALSE)-VLOOKUP(TAB_ESTOQUE[[#This Row],[Codigo]],TAB_SAIDA[[COD_2_SAIDA]:[TOTAL_SAIDA]],5,FALSE)</f>
        <v>2</v>
      </c>
      <c r="R779" s="87"/>
      <c r="S779" s="87"/>
      <c r="T779" s="90">
        <v>21937.24</v>
      </c>
      <c r="U779" s="91">
        <f>TAB_ESTOQUE[[#This Row],[Valor Unitario Estimado]]*TAB_ESTOQUE[[#This Row],[Estoque]]</f>
        <v>43874.48</v>
      </c>
      <c r="V779" s="91"/>
      <c r="W779" s="85"/>
      <c r="X779" s="85"/>
      <c r="Y779" s="85"/>
      <c r="Z779" s="85"/>
      <c r="AA779" s="85"/>
      <c r="AB779" s="85" t="str">
        <f>IF(TAB_ESTOQUE[[#This Row],[Estoque]]=0,"Estoque Não Conforme",IF(TAB_ESTOQUE[[#This Row],[Estoque]]&gt;=TAB_ESTOQUE[[#This Row],[Mínimo]],"Estoque Conforme",IF(TAB_ESTOQUE[[#This Row],[Estoque]]&lt;TAB_ESTOQUE[[#This Row],[Mínimo]],"Estoque em Nivel Minimo")))</f>
        <v>Estoque Conforme</v>
      </c>
      <c r="AC779" s="96"/>
      <c r="AD779" s="82"/>
      <c r="AE779" s="82"/>
      <c r="AF779" s="82"/>
    </row>
    <row r="780" spans="1:32" ht="15" customHeight="1" x14ac:dyDescent="0.25">
      <c r="C780" s="48"/>
      <c r="D780" s="45" t="s">
        <v>7052</v>
      </c>
      <c r="E780" s="46" t="s">
        <v>7258</v>
      </c>
      <c r="F780" s="46"/>
      <c r="I780" s="45" t="s">
        <v>8722</v>
      </c>
      <c r="O780" s="46" t="s">
        <v>6471</v>
      </c>
      <c r="Q780" s="137">
        <f>VLOOKUP(TAB_ESTOQUE[[#This Row],[Codigo]],TAB_ENTRADA[[Cod_2_Entrada]:[TOTAL_ENTRADA]],5,FALSE)-VLOOKUP(TAB_ESTOQUE[[#This Row],[Codigo]],TAB_SAIDA[[COD_2_SAIDA]:[TOTAL_SAIDA]],5,FALSE)</f>
        <v>1</v>
      </c>
      <c r="S780" s="46"/>
      <c r="T780" s="102">
        <v>699</v>
      </c>
      <c r="U780" s="103">
        <f>TAB_ESTOQUE[[#This Row],[Valor Unitario Estimado]]*TAB_ESTOQUE[[#This Row],[Estoque]]</f>
        <v>699</v>
      </c>
      <c r="V780" s="103"/>
      <c r="AA780" s="138"/>
      <c r="AB780" s="104" t="str">
        <f>IF(TAB_ESTOQUE[[#This Row],[Estoque]]=0,"Estoque Não Conforme",IF(TAB_ESTOQUE[[#This Row],[Estoque]]&gt;=TAB_ESTOQUE[[#This Row],[Mínimo]],"Estoque Conforme",IF(TAB_ESTOQUE[[#This Row],[Estoque]]&lt;TAB_ESTOQUE[[#This Row],[Mínimo]],"Estoque em Nivel Minimo")))</f>
        <v>Estoque Conforme</v>
      </c>
      <c r="AC780" s="104"/>
      <c r="AE780" s="82"/>
      <c r="AF780" s="82"/>
    </row>
    <row r="781" spans="1:32" ht="15" customHeight="1" x14ac:dyDescent="0.25">
      <c r="C781" s="48"/>
      <c r="D781" s="45" t="s">
        <v>7121</v>
      </c>
      <c r="E781" s="46" t="s">
        <v>7638</v>
      </c>
      <c r="F781" s="46"/>
      <c r="I781" s="45" t="s">
        <v>8727</v>
      </c>
      <c r="O781" s="46" t="s">
        <v>6475</v>
      </c>
      <c r="Q781" s="137">
        <f>VLOOKUP(TAB_ESTOQUE[[#This Row],[Codigo]],TAB_ENTRADA[[Cod_2_Entrada]:[TOTAL_ENTRADA]],5,FALSE)-VLOOKUP(TAB_ESTOQUE[[#This Row],[Codigo]],TAB_SAIDA[[COD_2_SAIDA]:[TOTAL_SAIDA]],5,FALSE)</f>
        <v>1</v>
      </c>
      <c r="S781" s="46"/>
      <c r="T781" s="102">
        <v>9408</v>
      </c>
      <c r="U781" s="103">
        <f>TAB_ESTOQUE[[#This Row],[Valor Unitario Estimado]]*TAB_ESTOQUE[[#This Row],[Estoque]]</f>
        <v>9408</v>
      </c>
      <c r="V781" s="103"/>
      <c r="AA781" s="138"/>
      <c r="AB781" s="104" t="str">
        <f>IF(TAB_ESTOQUE[[#This Row],[Estoque]]=0,"Estoque Não Conforme",IF(TAB_ESTOQUE[[#This Row],[Estoque]]&gt;=TAB_ESTOQUE[[#This Row],[Mínimo]],"Estoque Conforme",IF(TAB_ESTOQUE[[#This Row],[Estoque]]&lt;TAB_ESTOQUE[[#This Row],[Mínimo]],"Estoque em Nivel Minimo")))</f>
        <v>Estoque Conforme</v>
      </c>
      <c r="AC781" s="104"/>
      <c r="AE781" s="82"/>
      <c r="AF781" s="82"/>
    </row>
    <row r="782" spans="1:32" ht="17.25" customHeight="1" x14ac:dyDescent="0.25">
      <c r="C782" s="48"/>
      <c r="D782" s="45" t="s">
        <v>7568</v>
      </c>
      <c r="E782" s="46" t="s">
        <v>7185</v>
      </c>
      <c r="F782" s="46"/>
      <c r="I782" s="45" t="s">
        <v>8730</v>
      </c>
      <c r="O782" s="51" t="s">
        <v>6475</v>
      </c>
      <c r="Q782" s="137">
        <f>VLOOKUP(TAB_ESTOQUE[[#This Row],[Codigo]],TAB_ENTRADA[[Cod_2_Entrada]:[TOTAL_ENTRADA]],5,FALSE)-VLOOKUP(TAB_ESTOQUE[[#This Row],[Codigo]],TAB_SAIDA[[COD_2_SAIDA]:[TOTAL_SAIDA]],5,FALSE)</f>
        <v>2</v>
      </c>
      <c r="S782" s="46"/>
      <c r="T782" s="102">
        <v>2125.0300000000002</v>
      </c>
      <c r="U782" s="103">
        <f>TAB_ESTOQUE[[#This Row],[Valor Unitario Estimado]]*TAB_ESTOQUE[[#This Row],[Estoque]]</f>
        <v>4250.0600000000004</v>
      </c>
      <c r="V782" s="103"/>
      <c r="AA782" s="138"/>
      <c r="AB782" s="104" t="str">
        <f>IF(TAB_ESTOQUE[[#This Row],[Estoque]]=0,"Estoque Não Conforme",IF(TAB_ESTOQUE[[#This Row],[Estoque]]&gt;=TAB_ESTOQUE[[#This Row],[Mínimo]],"Estoque Conforme",IF(TAB_ESTOQUE[[#This Row],[Estoque]]&lt;TAB_ESTOQUE[[#This Row],[Mínimo]],"Estoque em Nivel Minimo")))</f>
        <v>Estoque Conforme</v>
      </c>
      <c r="AC782" s="104"/>
      <c r="AE782" s="82"/>
      <c r="AF782" s="82"/>
    </row>
    <row r="783" spans="1:32" ht="15" customHeight="1" x14ac:dyDescent="0.25">
      <c r="C783" s="48"/>
      <c r="D783" s="45" t="s">
        <v>7716</v>
      </c>
      <c r="E783" s="46"/>
      <c r="F783" s="46"/>
      <c r="I783" s="45" t="s">
        <v>8736</v>
      </c>
      <c r="O783" s="46" t="s">
        <v>6475</v>
      </c>
      <c r="Q783" s="137">
        <f>VLOOKUP(TAB_ESTOQUE[[#This Row],[Codigo]],TAB_ENTRADA[[Cod_2_Entrada]:[TOTAL_ENTRADA]],5,FALSE)-VLOOKUP(TAB_ESTOQUE[[#This Row],[Codigo]],TAB_SAIDA[[COD_2_SAIDA]:[TOTAL_SAIDA]],5,FALSE)</f>
        <v>1</v>
      </c>
      <c r="S783" s="46"/>
      <c r="T783" s="102"/>
      <c r="U783" s="103">
        <f>TAB_ESTOQUE[[#This Row],[Valor Unitario Estimado]]*TAB_ESTOQUE[[#This Row],[Estoque]]</f>
        <v>0</v>
      </c>
      <c r="V783" s="103"/>
      <c r="AA783" s="138"/>
      <c r="AB783" s="104" t="str">
        <f>IF(TAB_ESTOQUE[[#This Row],[Estoque]]=0,"Estoque Não Conforme",IF(TAB_ESTOQUE[[#This Row],[Estoque]]&gt;=TAB_ESTOQUE[[#This Row],[Mínimo]],"Estoque Conforme",IF(TAB_ESTOQUE[[#This Row],[Estoque]]&lt;TAB_ESTOQUE[[#This Row],[Mínimo]],"Estoque em Nivel Minimo")))</f>
        <v>Estoque Conforme</v>
      </c>
      <c r="AC783" s="104"/>
      <c r="AE783" s="82"/>
      <c r="AF783" s="82"/>
    </row>
    <row r="784" spans="1:32" ht="15" customHeight="1" x14ac:dyDescent="0.25">
      <c r="A784" s="106">
        <v>663</v>
      </c>
      <c r="B784" s="106"/>
      <c r="C784" s="116"/>
      <c r="D784" s="106" t="s">
        <v>2405</v>
      </c>
      <c r="E784" s="116" t="s">
        <v>66</v>
      </c>
      <c r="F784" s="118"/>
      <c r="G784" s="95"/>
      <c r="H784" s="95"/>
      <c r="I784" s="95" t="s">
        <v>1472</v>
      </c>
      <c r="J784" s="95"/>
      <c r="K784" s="95"/>
      <c r="L784" s="95"/>
      <c r="M784" s="95"/>
      <c r="N784" s="95"/>
      <c r="O784" s="118" t="s">
        <v>6473</v>
      </c>
      <c r="P784" s="95" t="s">
        <v>446</v>
      </c>
      <c r="Q784" s="154">
        <f>VLOOKUP(TAB_ESTOQUE[[#This Row],[Codigo]],TAB_ENTRADA[[Cod_2_Entrada]:[TOTAL_ENTRADA]],5,FALSE)-VLOOKUP(TAB_ESTOQUE[[#This Row],[Codigo]],TAB_SAIDA[[COD_2_SAIDA]:[TOTAL_SAIDA]],5,FALSE)</f>
        <v>0</v>
      </c>
      <c r="R784" s="118"/>
      <c r="S784" s="118"/>
      <c r="T784" s="119">
        <v>500</v>
      </c>
      <c r="U784" s="112">
        <f>TAB_ESTOQUE[[#This Row],[Valor Unitario Estimado]]*TAB_ESTOQUE[[#This Row],[Estoque]]</f>
        <v>0</v>
      </c>
      <c r="V784" s="112"/>
      <c r="W784" s="120"/>
      <c r="X784" s="120"/>
      <c r="Y784" s="120"/>
      <c r="Z784" s="120"/>
      <c r="AA784" s="120"/>
      <c r="AB784" s="120" t="str">
        <f>IF(TAB_ESTOQUE[[#This Row],[Estoque]]=0,"Estoque Não Conforme",IF(TAB_ESTOQUE[[#This Row],[Estoque]]&gt;=TAB_ESTOQUE[[#This Row],[Mínimo]],"Estoque Conforme",IF(TAB_ESTOQUE[[#This Row],[Estoque]]&lt;TAB_ESTOQUE[[#This Row],[Mínimo]],"Estoque em Nivel Minimo")))</f>
        <v>Estoque Não Conforme</v>
      </c>
      <c r="AC784" s="120"/>
      <c r="AD784" s="95"/>
      <c r="AE784" s="82"/>
      <c r="AF784" s="82"/>
    </row>
    <row r="785" spans="1:32" ht="15" customHeight="1" x14ac:dyDescent="0.25">
      <c r="B785" s="47"/>
      <c r="C785" s="53" t="s">
        <v>2838</v>
      </c>
      <c r="D785" s="45" t="s">
        <v>3099</v>
      </c>
      <c r="E785" s="46"/>
      <c r="F785" s="87"/>
      <c r="G785" s="82"/>
      <c r="H785" s="82"/>
      <c r="I785" s="82" t="s">
        <v>6472</v>
      </c>
      <c r="J785" s="82"/>
      <c r="K785" s="82"/>
      <c r="L785" s="82"/>
      <c r="M785" s="82"/>
      <c r="N785" s="82"/>
      <c r="O785" s="87" t="s">
        <v>6473</v>
      </c>
      <c r="P785" s="82" t="s">
        <v>3107</v>
      </c>
      <c r="Q785" s="83">
        <f>VLOOKUP(TAB_ESTOQUE[[#This Row],[Codigo]],TAB_ENTRADA[[Cod_2_Entrada]:[TOTAL_ENTRADA]],5,FALSE)-VLOOKUP(TAB_ESTOQUE[[#This Row],[Codigo]],TAB_SAIDA[[COD_2_SAIDA]:[TOTAL_SAIDA]],5,FALSE)</f>
        <v>1</v>
      </c>
      <c r="R785" s="87"/>
      <c r="S785" s="87"/>
      <c r="T785" s="90"/>
      <c r="U785" s="91">
        <f>TAB_ESTOQUE[[#This Row],[Valor Unitario Estimado]]*TAB_ESTOQUE[[#This Row],[Estoque]]</f>
        <v>0</v>
      </c>
      <c r="V785" s="91"/>
      <c r="W785" s="85"/>
      <c r="X785" s="85"/>
      <c r="Y785" s="85"/>
      <c r="Z785" s="85"/>
      <c r="AA785" s="85"/>
      <c r="AB785" s="85" t="str">
        <f>IF(TAB_ESTOQUE[[#This Row],[Estoque]]=0,"Estoque Não Conforme",IF(TAB_ESTOQUE[[#This Row],[Estoque]]&gt;=TAB_ESTOQUE[[#This Row],[Mínimo]],"Estoque Conforme",IF(TAB_ESTOQUE[[#This Row],[Estoque]]&lt;TAB_ESTOQUE[[#This Row],[Mínimo]],"Estoque em Nivel Minimo")))</f>
        <v>Estoque Conforme</v>
      </c>
      <c r="AC785" s="96"/>
      <c r="AD785" s="82"/>
      <c r="AE785" s="82"/>
      <c r="AF785" s="82"/>
    </row>
    <row r="786" spans="1:32" ht="15" customHeight="1" x14ac:dyDescent="0.25">
      <c r="C786" s="48"/>
      <c r="D786" s="45" t="s">
        <v>8161</v>
      </c>
      <c r="F786" s="46"/>
      <c r="I786" s="45" t="s">
        <v>9049</v>
      </c>
      <c r="O786" s="46" t="s">
        <v>9050</v>
      </c>
      <c r="Q786" s="137">
        <f>VLOOKUP(TAB_ESTOQUE[[#This Row],[Codigo]],TAB_ENTRADA[[Cod_2_Entrada]:[TOTAL_ENTRADA]],5,FALSE)-VLOOKUP(TAB_ESTOQUE[[#This Row],[Codigo]],TAB_SAIDA[[COD_2_SAIDA]:[TOTAL_SAIDA]],5,FALSE)</f>
        <v>1</v>
      </c>
      <c r="R786" s="46">
        <v>1</v>
      </c>
      <c r="S786" s="46">
        <v>2</v>
      </c>
      <c r="T786" s="102">
        <v>9013.1200000000008</v>
      </c>
      <c r="U786" s="103">
        <f>TAB_ESTOQUE[[#This Row],[Valor Unitario Estimado]]*TAB_ESTOQUE[[#This Row],[Estoque]]</f>
        <v>9013.1200000000008</v>
      </c>
      <c r="V786" s="103"/>
      <c r="AA786" s="138"/>
      <c r="AB786" s="104" t="str">
        <f>IF(TAB_ESTOQUE[[#This Row],[Estoque]]=0,"Estoque Não Conforme",IF(TAB_ESTOQUE[[#This Row],[Estoque]]&gt;=TAB_ESTOQUE[[#This Row],[Mínimo]],"Estoque Conforme",IF(TAB_ESTOQUE[[#This Row],[Estoque]]&lt;TAB_ESTOQUE[[#This Row],[Mínimo]],"Estoque em Nivel Minimo")))</f>
        <v>Estoque Conforme</v>
      </c>
      <c r="AC786" s="104"/>
      <c r="AE786" s="82"/>
      <c r="AF786" s="82"/>
    </row>
    <row r="787" spans="1:32" ht="15" customHeight="1" x14ac:dyDescent="0.25">
      <c r="A787" s="45">
        <v>1338</v>
      </c>
      <c r="B787" s="47"/>
      <c r="C787" s="46"/>
      <c r="D787" s="45" t="s">
        <v>1905</v>
      </c>
      <c r="E787" s="46" t="s">
        <v>7</v>
      </c>
      <c r="F787" s="87"/>
      <c r="G787" s="82"/>
      <c r="H787" s="82"/>
      <c r="I787" s="82" t="s">
        <v>8471</v>
      </c>
      <c r="J787" s="82"/>
      <c r="K787" s="82"/>
      <c r="L787" s="82"/>
      <c r="M787" s="82"/>
      <c r="N787" s="82"/>
      <c r="O787" s="87" t="s">
        <v>6601</v>
      </c>
      <c r="P787" s="82" t="s">
        <v>1072</v>
      </c>
      <c r="Q787" s="83">
        <f>VLOOKUP(TAB_ESTOQUE[[#This Row],[Codigo]],TAB_ENTRADA[[Cod_2_Entrada]:[TOTAL_ENTRADA]],5,FALSE)-VLOOKUP(TAB_ESTOQUE[[#This Row],[Codigo]],TAB_SAIDA[[COD_2_SAIDA]:[TOTAL_SAIDA]],5,FALSE)</f>
        <v>1</v>
      </c>
      <c r="R787" s="87"/>
      <c r="S787" s="87"/>
      <c r="T787" s="90">
        <v>342.15</v>
      </c>
      <c r="U787" s="91">
        <f>TAB_ESTOQUE[[#This Row],[Valor Unitario Estimado]]*TAB_ESTOQUE[[#This Row],[Estoque]]</f>
        <v>342.15</v>
      </c>
      <c r="V787" s="91"/>
      <c r="W787" s="85"/>
      <c r="X787" s="85"/>
      <c r="Y787" s="85"/>
      <c r="Z787" s="85"/>
      <c r="AA787" s="85"/>
      <c r="AB787" s="85" t="str">
        <f>IF(TAB_ESTOQUE[[#This Row],[Estoque]]=0,"Estoque Não Conforme",IF(TAB_ESTOQUE[[#This Row],[Estoque]]&gt;=TAB_ESTOQUE[[#This Row],[Mínimo]],"Estoque Conforme",IF(TAB_ESTOQUE[[#This Row],[Estoque]]&lt;TAB_ESTOQUE[[#This Row],[Mínimo]],"Estoque em Nivel Minimo")))</f>
        <v>Estoque Conforme</v>
      </c>
      <c r="AC787" s="85"/>
      <c r="AD787" s="82"/>
      <c r="AE787" s="82"/>
      <c r="AF787" s="82"/>
    </row>
    <row r="788" spans="1:32" ht="15" customHeight="1" x14ac:dyDescent="0.25">
      <c r="A788" s="45">
        <v>146</v>
      </c>
      <c r="B788" s="47"/>
      <c r="C788" s="46" t="s">
        <v>2833</v>
      </c>
      <c r="D788" s="45" t="s">
        <v>1907</v>
      </c>
      <c r="E788" s="46" t="s">
        <v>7</v>
      </c>
      <c r="F788" s="87"/>
      <c r="G788" s="82"/>
      <c r="H788" s="82"/>
      <c r="I788" s="82" t="s">
        <v>8473</v>
      </c>
      <c r="J788" s="82"/>
      <c r="K788" s="82" t="s">
        <v>15</v>
      </c>
      <c r="L788" s="82"/>
      <c r="M788" s="82"/>
      <c r="N788" s="82"/>
      <c r="O788" s="87" t="s">
        <v>6601</v>
      </c>
      <c r="P788" s="82" t="s">
        <v>93</v>
      </c>
      <c r="Q788" s="83">
        <f>VLOOKUP(TAB_ESTOQUE[[#This Row],[Codigo]],TAB_ENTRADA[[Cod_2_Entrada]:[TOTAL_ENTRADA]],5,FALSE)-VLOOKUP(TAB_ESTOQUE[[#This Row],[Codigo]],TAB_SAIDA[[COD_2_SAIDA]:[TOTAL_SAIDA]],5,FALSE)</f>
        <v>2</v>
      </c>
      <c r="R788" s="87"/>
      <c r="S788" s="87"/>
      <c r="T788" s="90">
        <v>491.35</v>
      </c>
      <c r="U788" s="91">
        <f>TAB_ESTOQUE[[#This Row],[Valor Unitario Estimado]]*TAB_ESTOQUE[[#This Row],[Estoque]]</f>
        <v>982.7</v>
      </c>
      <c r="V788" s="91"/>
      <c r="W788" s="85"/>
      <c r="X788" s="85"/>
      <c r="Y788" s="85"/>
      <c r="Z788" s="85"/>
      <c r="AA788" s="85"/>
      <c r="AB788" s="85" t="str">
        <f>IF(TAB_ESTOQUE[[#This Row],[Estoque]]=0,"Estoque Não Conforme",IF(TAB_ESTOQUE[[#This Row],[Estoque]]&gt;=TAB_ESTOQUE[[#This Row],[Mínimo]],"Estoque Conforme",IF(TAB_ESTOQUE[[#This Row],[Estoque]]&lt;TAB_ESTOQUE[[#This Row],[Mínimo]],"Estoque em Nivel Minimo")))</f>
        <v>Estoque Conforme</v>
      </c>
      <c r="AC788" s="85"/>
      <c r="AD788" s="82"/>
      <c r="AE788" s="82"/>
      <c r="AF788" s="82"/>
    </row>
    <row r="789" spans="1:32" ht="15" customHeight="1" x14ac:dyDescent="0.25">
      <c r="A789" s="45">
        <v>1280</v>
      </c>
      <c r="B789" s="47"/>
      <c r="C789" s="46" t="s">
        <v>2838</v>
      </c>
      <c r="D789" s="45" t="s">
        <v>1908</v>
      </c>
      <c r="E789" s="46" t="s">
        <v>7</v>
      </c>
      <c r="F789" s="87"/>
      <c r="G789" s="82"/>
      <c r="H789" s="82"/>
      <c r="I789" s="82" t="s">
        <v>8474</v>
      </c>
      <c r="J789" s="82"/>
      <c r="K789" s="82"/>
      <c r="L789" s="82"/>
      <c r="M789" s="82"/>
      <c r="N789" s="82"/>
      <c r="O789" s="107" t="s">
        <v>6601</v>
      </c>
      <c r="P789" s="82" t="s">
        <v>1002</v>
      </c>
      <c r="Q789" s="83">
        <f>VLOOKUP(TAB_ESTOQUE[[#This Row],[Codigo]],TAB_ENTRADA[[Cod_2_Entrada]:[TOTAL_ENTRADA]],5,FALSE)-VLOOKUP(TAB_ESTOQUE[[#This Row],[Codigo]],TAB_SAIDA[[COD_2_SAIDA]:[TOTAL_SAIDA]],5,FALSE)</f>
        <v>3</v>
      </c>
      <c r="R789" s="87"/>
      <c r="S789" s="87"/>
      <c r="T789" s="90">
        <v>355</v>
      </c>
      <c r="U789" s="91">
        <f>TAB_ESTOQUE[[#This Row],[Valor Unitario Estimado]]*TAB_ESTOQUE[[#This Row],[Estoque]]</f>
        <v>1065</v>
      </c>
      <c r="V789" s="91"/>
      <c r="W789" s="85"/>
      <c r="X789" s="85"/>
      <c r="Y789" s="85"/>
      <c r="Z789" s="85"/>
      <c r="AA789" s="85"/>
      <c r="AB789" s="85" t="str">
        <f>IF(TAB_ESTOQUE[[#This Row],[Estoque]]=0,"Estoque Não Conforme",IF(TAB_ESTOQUE[[#This Row],[Estoque]]&gt;=TAB_ESTOQUE[[#This Row],[Mínimo]],"Estoque Conforme",IF(TAB_ESTOQUE[[#This Row],[Estoque]]&lt;TAB_ESTOQUE[[#This Row],[Mínimo]],"Estoque em Nivel Minimo")))</f>
        <v>Estoque Conforme</v>
      </c>
      <c r="AC789" s="85"/>
      <c r="AD789" s="82"/>
      <c r="AE789" s="82"/>
      <c r="AF789" s="82"/>
    </row>
    <row r="790" spans="1:32" ht="15" customHeight="1" x14ac:dyDescent="0.25">
      <c r="A790" s="106">
        <v>777</v>
      </c>
      <c r="B790" s="106"/>
      <c r="C790" s="116" t="s">
        <v>2833</v>
      </c>
      <c r="D790" s="106" t="s">
        <v>2253</v>
      </c>
      <c r="E790" s="116" t="s">
        <v>7</v>
      </c>
      <c r="F790" s="118"/>
      <c r="G790" s="95"/>
      <c r="H790" s="95"/>
      <c r="I790" s="95" t="s">
        <v>8552</v>
      </c>
      <c r="J790" s="95"/>
      <c r="K790" s="95"/>
      <c r="L790" s="95"/>
      <c r="M790" s="95"/>
      <c r="N790" s="95"/>
      <c r="O790" s="118" t="s">
        <v>6601</v>
      </c>
      <c r="P790" s="95" t="s">
        <v>562</v>
      </c>
      <c r="Q790" s="154">
        <f>VLOOKUP(TAB_ESTOQUE[[#This Row],[Codigo]],TAB_ENTRADA[[Cod_2_Entrada]:[TOTAL_ENTRADA]],5,FALSE)-VLOOKUP(TAB_ESTOQUE[[#This Row],[Codigo]],TAB_SAIDA[[COD_2_SAIDA]:[TOTAL_SAIDA]],5,FALSE)</f>
        <v>3</v>
      </c>
      <c r="R790" s="118"/>
      <c r="S790" s="118"/>
      <c r="T790" s="119">
        <v>560</v>
      </c>
      <c r="U790" s="112">
        <f>TAB_ESTOQUE[[#This Row],[Valor Unitario Estimado]]*TAB_ESTOQUE[[#This Row],[Estoque]]</f>
        <v>1680</v>
      </c>
      <c r="V790" s="112"/>
      <c r="W790" s="120"/>
      <c r="X790" s="120"/>
      <c r="Y790" s="120"/>
      <c r="Z790" s="120"/>
      <c r="AA790" s="120"/>
      <c r="AB790" s="120" t="str">
        <f>IF(TAB_ESTOQUE[[#This Row],[Estoque]]=0,"Estoque Não Conforme",IF(TAB_ESTOQUE[[#This Row],[Estoque]]&gt;=TAB_ESTOQUE[[#This Row],[Mínimo]],"Estoque Conforme",IF(TAB_ESTOQUE[[#This Row],[Estoque]]&lt;TAB_ESTOQUE[[#This Row],[Mínimo]],"Estoque em Nivel Minimo")))</f>
        <v>Estoque Conforme</v>
      </c>
      <c r="AC790" s="120"/>
      <c r="AD790" s="95"/>
      <c r="AE790" s="82"/>
      <c r="AF790" s="82"/>
    </row>
    <row r="791" spans="1:32" ht="15" customHeight="1" x14ac:dyDescent="0.25">
      <c r="A791" s="45">
        <v>1063</v>
      </c>
      <c r="B791" s="47"/>
      <c r="C791" s="46"/>
      <c r="D791" s="45" t="s">
        <v>2321</v>
      </c>
      <c r="E791" s="46" t="s">
        <v>7</v>
      </c>
      <c r="F791" s="87"/>
      <c r="G791" s="82"/>
      <c r="H791" s="82"/>
      <c r="I791" s="82" t="s">
        <v>8576</v>
      </c>
      <c r="J791" s="82"/>
      <c r="K791" s="82"/>
      <c r="L791" s="82"/>
      <c r="M791" s="82" t="s">
        <v>209</v>
      </c>
      <c r="N791" s="82"/>
      <c r="O791" s="87" t="s">
        <v>6601</v>
      </c>
      <c r="P791" s="82" t="s">
        <v>806</v>
      </c>
      <c r="Q791" s="83">
        <f>VLOOKUP(TAB_ESTOQUE[[#This Row],[Codigo]],TAB_ENTRADA[[Cod_2_Entrada]:[TOTAL_ENTRADA]],5,FALSE)-VLOOKUP(TAB_ESTOQUE[[#This Row],[Codigo]],TAB_SAIDA[[COD_2_SAIDA]:[TOTAL_SAIDA]],5,FALSE)</f>
        <v>2</v>
      </c>
      <c r="R791" s="87"/>
      <c r="S791" s="87"/>
      <c r="T791" s="90"/>
      <c r="U791" s="91">
        <f>TAB_ESTOQUE[[#This Row],[Valor Unitario Estimado]]*TAB_ESTOQUE[[#This Row],[Estoque]]</f>
        <v>0</v>
      </c>
      <c r="V791" s="91"/>
      <c r="W791" s="85"/>
      <c r="X791" s="85"/>
      <c r="Y791" s="85"/>
      <c r="Z791" s="85"/>
      <c r="AA791" s="85"/>
      <c r="AB791" s="85" t="str">
        <f>IF(TAB_ESTOQUE[[#This Row],[Estoque]]=0,"Estoque Não Conforme",IF(TAB_ESTOQUE[[#This Row],[Estoque]]&gt;=TAB_ESTOQUE[[#This Row],[Mínimo]],"Estoque Conforme",IF(TAB_ESTOQUE[[#This Row],[Estoque]]&lt;TAB_ESTOQUE[[#This Row],[Mínimo]],"Estoque em Nivel Minimo")))</f>
        <v>Estoque Conforme</v>
      </c>
      <c r="AC791" s="85"/>
      <c r="AD791" s="82"/>
      <c r="AE791" s="82"/>
      <c r="AF791" s="82"/>
    </row>
    <row r="792" spans="1:32" ht="15" customHeight="1" x14ac:dyDescent="0.25">
      <c r="A792" s="45">
        <v>306</v>
      </c>
      <c r="B792" s="47"/>
      <c r="C792" s="46"/>
      <c r="D792" s="45" t="s">
        <v>2335</v>
      </c>
      <c r="E792" s="46" t="s">
        <v>7</v>
      </c>
      <c r="F792" s="87"/>
      <c r="G792" s="82"/>
      <c r="H792" s="82"/>
      <c r="I792" s="82" t="s">
        <v>8584</v>
      </c>
      <c r="J792" s="82"/>
      <c r="K792" s="82" t="s">
        <v>220</v>
      </c>
      <c r="L792" s="82"/>
      <c r="M792" s="82" t="s">
        <v>209</v>
      </c>
      <c r="N792" s="82"/>
      <c r="O792" s="87" t="s">
        <v>6601</v>
      </c>
      <c r="P792" s="82" t="s">
        <v>219</v>
      </c>
      <c r="Q792" s="83">
        <f>VLOOKUP(TAB_ESTOQUE[[#This Row],[Codigo]],TAB_ENTRADA[[Cod_2_Entrada]:[TOTAL_ENTRADA]],5,FALSE)-VLOOKUP(TAB_ESTOQUE[[#This Row],[Codigo]],TAB_SAIDA[[COD_2_SAIDA]:[TOTAL_SAIDA]],5,FALSE)</f>
        <v>2</v>
      </c>
      <c r="R792" s="87"/>
      <c r="S792" s="87"/>
      <c r="T792" s="90"/>
      <c r="U792" s="91">
        <f>TAB_ESTOQUE[[#This Row],[Valor Unitario Estimado]]*TAB_ESTOQUE[[#This Row],[Estoque]]</f>
        <v>0</v>
      </c>
      <c r="V792" s="91"/>
      <c r="W792" s="85"/>
      <c r="X792" s="85"/>
      <c r="Y792" s="85"/>
      <c r="Z792" s="85"/>
      <c r="AA792" s="85"/>
      <c r="AB792" s="85" t="str">
        <f>IF(TAB_ESTOQUE[[#This Row],[Estoque]]=0,"Estoque Não Conforme",IF(TAB_ESTOQUE[[#This Row],[Estoque]]&gt;=TAB_ESTOQUE[[#This Row],[Mínimo]],"Estoque Conforme",IF(TAB_ESTOQUE[[#This Row],[Estoque]]&lt;TAB_ESTOQUE[[#This Row],[Mínimo]],"Estoque em Nivel Minimo")))</f>
        <v>Estoque Conforme</v>
      </c>
      <c r="AC792" s="85"/>
      <c r="AD792" s="82"/>
      <c r="AE792" s="82"/>
      <c r="AF792" s="82"/>
    </row>
    <row r="793" spans="1:32" ht="15" customHeight="1" x14ac:dyDescent="0.25">
      <c r="A793" s="45">
        <v>682</v>
      </c>
      <c r="B793" s="47"/>
      <c r="C793" s="46"/>
      <c r="D793" s="45" t="s">
        <v>2393</v>
      </c>
      <c r="E793" s="46" t="s">
        <v>7</v>
      </c>
      <c r="F793" s="87"/>
      <c r="G793" s="82"/>
      <c r="H793" s="82"/>
      <c r="I793" s="82" t="s">
        <v>8608</v>
      </c>
      <c r="J793" s="82"/>
      <c r="K793" s="82"/>
      <c r="L793" s="82"/>
      <c r="M793" s="82"/>
      <c r="N793" s="82"/>
      <c r="O793" s="87" t="s">
        <v>6601</v>
      </c>
      <c r="P793" s="82" t="s">
        <v>465</v>
      </c>
      <c r="Q793" s="83">
        <f>VLOOKUP(TAB_ESTOQUE[[#This Row],[Codigo]],TAB_ENTRADA[[Cod_2_Entrada]:[TOTAL_ENTRADA]],5,FALSE)-VLOOKUP(TAB_ESTOQUE[[#This Row],[Codigo]],TAB_SAIDA[[COD_2_SAIDA]:[TOTAL_SAIDA]],5,FALSE)</f>
        <v>2</v>
      </c>
      <c r="R793" s="87"/>
      <c r="S793" s="87"/>
      <c r="T793" s="90">
        <v>157</v>
      </c>
      <c r="U793" s="91">
        <f>TAB_ESTOQUE[[#This Row],[Valor Unitario Estimado]]*TAB_ESTOQUE[[#This Row],[Estoque]]</f>
        <v>314</v>
      </c>
      <c r="V793" s="91"/>
      <c r="W793" s="85"/>
      <c r="X793" s="85"/>
      <c r="Y793" s="85"/>
      <c r="Z793" s="85"/>
      <c r="AA793" s="85"/>
      <c r="AB793" s="85" t="str">
        <f>IF(TAB_ESTOQUE[[#This Row],[Estoque]]=0,"Estoque Não Conforme",IF(TAB_ESTOQUE[[#This Row],[Estoque]]&gt;=TAB_ESTOQUE[[#This Row],[Mínimo]],"Estoque Conforme",IF(TAB_ESTOQUE[[#This Row],[Estoque]]&lt;TAB_ESTOQUE[[#This Row],[Mínimo]],"Estoque em Nivel Minimo")))</f>
        <v>Estoque Conforme</v>
      </c>
      <c r="AC793" s="85"/>
      <c r="AD793" s="82"/>
      <c r="AE793" s="82"/>
      <c r="AF793" s="82"/>
    </row>
    <row r="794" spans="1:32" ht="15" customHeight="1" x14ac:dyDescent="0.25">
      <c r="A794" s="45">
        <v>243</v>
      </c>
      <c r="B794" s="47"/>
      <c r="C794" s="46"/>
      <c r="D794" s="45" t="s">
        <v>2207</v>
      </c>
      <c r="E794" s="46"/>
      <c r="F794" s="87"/>
      <c r="G794" s="82"/>
      <c r="H794" s="82"/>
      <c r="I794" s="82" t="s">
        <v>8540</v>
      </c>
      <c r="J794" s="82"/>
      <c r="K794" s="82"/>
      <c r="L794" s="82"/>
      <c r="M794" s="82" t="s">
        <v>139</v>
      </c>
      <c r="N794" s="82"/>
      <c r="O794" s="87" t="s">
        <v>6704</v>
      </c>
      <c r="P794" s="82" t="s">
        <v>187</v>
      </c>
      <c r="Q794" s="83">
        <f>VLOOKUP(TAB_ESTOQUE[[#This Row],[Codigo]],TAB_ENTRADA[[Cod_2_Entrada]:[TOTAL_ENTRADA]],5,FALSE)-VLOOKUP(TAB_ESTOQUE[[#This Row],[Codigo]],TAB_SAIDA[[COD_2_SAIDA]:[TOTAL_SAIDA]],5,FALSE)</f>
        <v>2</v>
      </c>
      <c r="R794" s="87"/>
      <c r="S794" s="87"/>
      <c r="T794" s="90"/>
      <c r="U794" s="91">
        <f>TAB_ESTOQUE[[#This Row],[Valor Unitario Estimado]]*TAB_ESTOQUE[[#This Row],[Estoque]]</f>
        <v>0</v>
      </c>
      <c r="V794" s="91"/>
      <c r="W794" s="85"/>
      <c r="X794" s="85"/>
      <c r="Y794" s="85"/>
      <c r="Z794" s="85"/>
      <c r="AA794" s="85"/>
      <c r="AB794" s="85" t="str">
        <f>IF(TAB_ESTOQUE[[#This Row],[Estoque]]=0,"Estoque Não Conforme",IF(TAB_ESTOQUE[[#This Row],[Estoque]]&gt;=TAB_ESTOQUE[[#This Row],[Mínimo]],"Estoque Conforme",IF(TAB_ESTOQUE[[#This Row],[Estoque]]&lt;TAB_ESTOQUE[[#This Row],[Mínimo]],"Estoque em Nivel Minimo")))</f>
        <v>Estoque Conforme</v>
      </c>
      <c r="AC794" s="85"/>
      <c r="AD794" s="82"/>
      <c r="AE794" s="82"/>
      <c r="AF794" s="82"/>
    </row>
    <row r="795" spans="1:32" ht="15" customHeight="1" x14ac:dyDescent="0.25">
      <c r="A795" s="45">
        <v>1707</v>
      </c>
      <c r="B795" s="47"/>
      <c r="C795" s="46"/>
      <c r="D795" s="45" t="s">
        <v>2390</v>
      </c>
      <c r="E795" s="46" t="s">
        <v>1231</v>
      </c>
      <c r="F795" s="87"/>
      <c r="G795" s="82"/>
      <c r="H795" s="82"/>
      <c r="I795" s="82" t="s">
        <v>3051</v>
      </c>
      <c r="J795" s="82"/>
      <c r="K795" s="82"/>
      <c r="L795" s="82"/>
      <c r="M795" s="82"/>
      <c r="N795" s="82"/>
      <c r="O795" s="87" t="s">
        <v>6704</v>
      </c>
      <c r="P795" s="82" t="s">
        <v>1138</v>
      </c>
      <c r="Q795" s="83">
        <f>VLOOKUP(TAB_ESTOQUE[[#This Row],[Codigo]],TAB_ENTRADA[[Cod_2_Entrada]:[TOTAL_ENTRADA]],5,FALSE)-VLOOKUP(TAB_ESTOQUE[[#This Row],[Codigo]],TAB_SAIDA[[COD_2_SAIDA]:[TOTAL_SAIDA]],5,FALSE)</f>
        <v>0</v>
      </c>
      <c r="R795" s="87"/>
      <c r="S795" s="87"/>
      <c r="T795" s="90"/>
      <c r="U795" s="91">
        <f>TAB_ESTOQUE[[#This Row],[Valor Unitario Estimado]]*TAB_ESTOQUE[[#This Row],[Estoque]]</f>
        <v>0</v>
      </c>
      <c r="V795" s="91"/>
      <c r="W795" s="85"/>
      <c r="X795" s="85"/>
      <c r="Y795" s="85"/>
      <c r="Z795" s="85"/>
      <c r="AA795" s="85"/>
      <c r="AB795" s="85" t="str">
        <f>IF(TAB_ESTOQUE[[#This Row],[Estoque]]=0,"Estoque Não Conforme",IF(TAB_ESTOQUE[[#This Row],[Estoque]]&gt;=TAB_ESTOQUE[[#This Row],[Mínimo]],"Estoque Conforme",IF(TAB_ESTOQUE[[#This Row],[Estoque]]&lt;TAB_ESTOQUE[[#This Row],[Mínimo]],"Estoque em Nivel Minimo")))</f>
        <v>Estoque Não Conforme</v>
      </c>
      <c r="AC795" s="85"/>
      <c r="AD795" s="82"/>
      <c r="AE795" s="82"/>
      <c r="AF795" s="82"/>
    </row>
    <row r="796" spans="1:32" ht="15" customHeight="1" x14ac:dyDescent="0.25">
      <c r="A796" s="47">
        <v>751</v>
      </c>
      <c r="B796" s="47"/>
      <c r="C796" s="51"/>
      <c r="D796" s="47" t="s">
        <v>2428</v>
      </c>
      <c r="E796" s="51" t="s">
        <v>7</v>
      </c>
      <c r="F796" s="107"/>
      <c r="G796" s="94"/>
      <c r="H796" s="94"/>
      <c r="I796" s="94" t="s">
        <v>8626</v>
      </c>
      <c r="J796" s="94"/>
      <c r="K796" s="94"/>
      <c r="L796" s="94"/>
      <c r="M796" s="94"/>
      <c r="N796" s="94"/>
      <c r="O796" s="107" t="s">
        <v>6704</v>
      </c>
      <c r="P796" s="94" t="s">
        <v>547</v>
      </c>
      <c r="Q796" s="145">
        <f>VLOOKUP(TAB_ESTOQUE[[#This Row],[Codigo]],TAB_ENTRADA[[Cod_2_Entrada]:[TOTAL_ENTRADA]],5,FALSE)-VLOOKUP(TAB_ESTOQUE[[#This Row],[Codigo]],TAB_SAIDA[[COD_2_SAIDA]:[TOTAL_SAIDA]],5,FALSE)</f>
        <v>2</v>
      </c>
      <c r="R796" s="107"/>
      <c r="S796" s="107"/>
      <c r="T796" s="108"/>
      <c r="U796" s="109">
        <f>TAB_ESTOQUE[[#This Row],[Valor Unitario Estimado]]*TAB_ESTOQUE[[#This Row],[Estoque]]</f>
        <v>0</v>
      </c>
      <c r="V796" s="109"/>
      <c r="W796" s="110"/>
      <c r="X796" s="110"/>
      <c r="Y796" s="110"/>
      <c r="Z796" s="110"/>
      <c r="AA796" s="110"/>
      <c r="AB796" s="110" t="str">
        <f>IF(TAB_ESTOQUE[[#This Row],[Estoque]]=0,"Estoque Não Conforme",IF(TAB_ESTOQUE[[#This Row],[Estoque]]&gt;=TAB_ESTOQUE[[#This Row],[Mínimo]],"Estoque Conforme",IF(TAB_ESTOQUE[[#This Row],[Estoque]]&lt;TAB_ESTOQUE[[#This Row],[Mínimo]],"Estoque em Nivel Minimo")))</f>
        <v>Estoque Conforme</v>
      </c>
      <c r="AC796" s="110"/>
      <c r="AD796" s="94"/>
      <c r="AE796" s="82"/>
      <c r="AF796" s="82"/>
    </row>
    <row r="797" spans="1:32" ht="15" customHeight="1" x14ac:dyDescent="0.25">
      <c r="A797" s="45">
        <v>563</v>
      </c>
      <c r="B797" s="47"/>
      <c r="C797" s="46"/>
      <c r="D797" s="45" t="s">
        <v>1910</v>
      </c>
      <c r="E797" s="46" t="s">
        <v>7</v>
      </c>
      <c r="F797" s="87"/>
      <c r="G797" s="82"/>
      <c r="H797" s="82"/>
      <c r="I797" s="82" t="s">
        <v>8476</v>
      </c>
      <c r="J797" s="82"/>
      <c r="K797" s="82"/>
      <c r="L797" s="82"/>
      <c r="M797" s="82"/>
      <c r="N797" s="82"/>
      <c r="O797" s="87" t="s">
        <v>6497</v>
      </c>
      <c r="P797" s="82" t="s">
        <v>337</v>
      </c>
      <c r="Q797" s="83">
        <f>VLOOKUP(TAB_ESTOQUE[[#This Row],[Codigo]],TAB_ENTRADA[[Cod_2_Entrada]:[TOTAL_ENTRADA]],5,FALSE)-VLOOKUP(TAB_ESTOQUE[[#This Row],[Codigo]],TAB_SAIDA[[COD_2_SAIDA]:[TOTAL_SAIDA]],5,FALSE)</f>
        <v>2</v>
      </c>
      <c r="R797" s="87"/>
      <c r="S797" s="87"/>
      <c r="T797" s="90">
        <v>213.8</v>
      </c>
      <c r="U797" s="91">
        <f>TAB_ESTOQUE[[#This Row],[Valor Unitario Estimado]]*TAB_ESTOQUE[[#This Row],[Estoque]]</f>
        <v>427.6</v>
      </c>
      <c r="V797" s="91"/>
      <c r="W797" s="85"/>
      <c r="X797" s="85"/>
      <c r="Y797" s="85"/>
      <c r="Z797" s="85"/>
      <c r="AA797" s="85"/>
      <c r="AB797" s="85" t="str">
        <f>IF(TAB_ESTOQUE[[#This Row],[Estoque]]=0,"Estoque Não Conforme",IF(TAB_ESTOQUE[[#This Row],[Estoque]]&gt;=TAB_ESTOQUE[[#This Row],[Mínimo]],"Estoque Conforme",IF(TAB_ESTOQUE[[#This Row],[Estoque]]&lt;TAB_ESTOQUE[[#This Row],[Mínimo]],"Estoque em Nivel Minimo")))</f>
        <v>Estoque Conforme</v>
      </c>
      <c r="AC797" s="85"/>
      <c r="AD797" s="82"/>
      <c r="AE797" s="82"/>
      <c r="AF797" s="82"/>
    </row>
    <row r="798" spans="1:32" ht="15" customHeight="1" x14ac:dyDescent="0.25">
      <c r="B798" s="47"/>
      <c r="C798" s="53" t="s">
        <v>2833</v>
      </c>
      <c r="D798" s="45" t="s">
        <v>6065</v>
      </c>
      <c r="E798" s="46"/>
      <c r="F798" s="107"/>
      <c r="G798" s="82"/>
      <c r="H798" s="82"/>
      <c r="I798" s="82" t="s">
        <v>6751</v>
      </c>
      <c r="J798" s="82"/>
      <c r="K798" s="82"/>
      <c r="L798" s="82"/>
      <c r="M798" s="82"/>
      <c r="N798" s="82"/>
      <c r="O798" s="87" t="s">
        <v>8762</v>
      </c>
      <c r="P798" s="82" t="s">
        <v>6046</v>
      </c>
      <c r="Q798" s="83">
        <f>VLOOKUP(TAB_ESTOQUE[[#This Row],[Codigo]],TAB_ENTRADA[[Cod_2_Entrada]:[TOTAL_ENTRADA]],5,FALSE)-VLOOKUP(TAB_ESTOQUE[[#This Row],[Codigo]],TAB_SAIDA[[COD_2_SAIDA]:[TOTAL_SAIDA]],5,FALSE)</f>
        <v>3</v>
      </c>
      <c r="R798" s="87"/>
      <c r="S798" s="87"/>
      <c r="T798" s="90"/>
      <c r="U798" s="91">
        <f>TAB_ESTOQUE[[#This Row],[Valor Unitario Estimado]]*TAB_ESTOQUE[[#This Row],[Estoque]]</f>
        <v>0</v>
      </c>
      <c r="V798" s="91"/>
      <c r="W798" s="85"/>
      <c r="X798" s="85"/>
      <c r="Y798" s="85"/>
      <c r="Z798" s="85"/>
      <c r="AA798" s="85"/>
      <c r="AB798" s="85" t="str">
        <f>IF(TAB_ESTOQUE[[#This Row],[Estoque]]=0,"Estoque Não Conforme",IF(TAB_ESTOQUE[[#This Row],[Estoque]]&gt;=TAB_ESTOQUE[[#This Row],[Mínimo]],"Estoque Conforme",IF(TAB_ESTOQUE[[#This Row],[Estoque]]&lt;TAB_ESTOQUE[[#This Row],[Mínimo]],"Estoque em Nivel Minimo")))</f>
        <v>Estoque Conforme</v>
      </c>
      <c r="AC798" s="96"/>
      <c r="AD798" s="82"/>
      <c r="AE798" s="82"/>
      <c r="AF798" s="82"/>
    </row>
    <row r="799" spans="1:32" ht="15" customHeight="1" x14ac:dyDescent="0.25">
      <c r="A799" s="45">
        <v>535</v>
      </c>
      <c r="B799" s="47"/>
      <c r="C799" s="46"/>
      <c r="D799" s="45" t="s">
        <v>2043</v>
      </c>
      <c r="E799" s="46" t="s">
        <v>7</v>
      </c>
      <c r="F799" s="87"/>
      <c r="G799" s="82"/>
      <c r="H799" s="82"/>
      <c r="I799" s="82" t="s">
        <v>8499</v>
      </c>
      <c r="J799" s="82"/>
      <c r="K799" s="82"/>
      <c r="L799" s="82"/>
      <c r="M799" s="82" t="s">
        <v>94</v>
      </c>
      <c r="N799" s="82"/>
      <c r="O799" s="87" t="s">
        <v>6455</v>
      </c>
      <c r="P799" s="82" t="s">
        <v>310</v>
      </c>
      <c r="Q799" s="83">
        <f>VLOOKUP(TAB_ESTOQUE[[#This Row],[Codigo]],TAB_ENTRADA[[Cod_2_Entrada]:[TOTAL_ENTRADA]],5,FALSE)-VLOOKUP(TAB_ESTOQUE[[#This Row],[Codigo]],TAB_SAIDA[[COD_2_SAIDA]:[TOTAL_SAIDA]],5,FALSE)</f>
        <v>1</v>
      </c>
      <c r="R799" s="87"/>
      <c r="S799" s="87"/>
      <c r="T799" s="90"/>
      <c r="U799" s="91">
        <f>TAB_ESTOQUE[[#This Row],[Valor Unitario Estimado]]*TAB_ESTOQUE[[#This Row],[Estoque]]</f>
        <v>0</v>
      </c>
      <c r="V799" s="91"/>
      <c r="W799" s="85"/>
      <c r="X799" s="85"/>
      <c r="Y799" s="85"/>
      <c r="Z799" s="85"/>
      <c r="AA799" s="85"/>
      <c r="AB799" s="85" t="str">
        <f>IF(TAB_ESTOQUE[[#This Row],[Estoque]]=0,"Estoque Não Conforme",IF(TAB_ESTOQUE[[#This Row],[Estoque]]&gt;=TAB_ESTOQUE[[#This Row],[Mínimo]],"Estoque Conforme",IF(TAB_ESTOQUE[[#This Row],[Estoque]]&lt;TAB_ESTOQUE[[#This Row],[Mínimo]],"Estoque em Nivel Minimo")))</f>
        <v>Estoque Conforme</v>
      </c>
      <c r="AC799" s="85"/>
      <c r="AD799" s="82"/>
      <c r="AE799" s="82"/>
      <c r="AF799" s="82"/>
    </row>
    <row r="800" spans="1:32" s="106" customFormat="1" ht="15" customHeight="1" x14ac:dyDescent="0.25">
      <c r="A800" s="45">
        <v>953</v>
      </c>
      <c r="B800" s="47"/>
      <c r="C800" s="46"/>
      <c r="D800" s="45" t="s">
        <v>2571</v>
      </c>
      <c r="E800" s="46"/>
      <c r="F800" s="87"/>
      <c r="G800" s="82"/>
      <c r="H800" s="82"/>
      <c r="I800" s="82" t="s">
        <v>6220</v>
      </c>
      <c r="J800" s="82"/>
      <c r="K800" s="82"/>
      <c r="L800" s="82"/>
      <c r="M800" s="82"/>
      <c r="N800" s="82"/>
      <c r="O800" s="87" t="s">
        <v>6455</v>
      </c>
      <c r="P800" s="82" t="s">
        <v>737</v>
      </c>
      <c r="Q800" s="83">
        <f>VLOOKUP(TAB_ESTOQUE[[#This Row],[Codigo]],TAB_ENTRADA[[Cod_2_Entrada]:[TOTAL_ENTRADA]],5,FALSE)-VLOOKUP(TAB_ESTOQUE[[#This Row],[Codigo]],TAB_SAIDA[[COD_2_SAIDA]:[TOTAL_SAIDA]],5,FALSE)</f>
        <v>0</v>
      </c>
      <c r="R800" s="87"/>
      <c r="S800" s="87"/>
      <c r="T800" s="90">
        <v>3785.4</v>
      </c>
      <c r="U800" s="91">
        <f>TAB_ESTOQUE[[#This Row],[Valor Unitario Estimado]]*TAB_ESTOQUE[[#This Row],[Estoque]]</f>
        <v>0</v>
      </c>
      <c r="V800" s="91"/>
      <c r="W800" s="85"/>
      <c r="X800" s="85"/>
      <c r="Y800" s="85"/>
      <c r="Z800" s="85"/>
      <c r="AA800" s="85"/>
      <c r="AB800" s="85" t="str">
        <f>IF(TAB_ESTOQUE[[#This Row],[Estoque]]=0,"Estoque Não Conforme",IF(TAB_ESTOQUE[[#This Row],[Estoque]]&gt;=TAB_ESTOQUE[[#This Row],[Mínimo]],"Estoque Conforme",IF(TAB_ESTOQUE[[#This Row],[Estoque]]&lt;TAB_ESTOQUE[[#This Row],[Mínimo]],"Estoque em Nivel Minimo")))</f>
        <v>Estoque Não Conforme</v>
      </c>
      <c r="AC800" s="85"/>
      <c r="AD800" s="82"/>
      <c r="AE800" s="95"/>
      <c r="AF800" s="95"/>
    </row>
    <row r="801" spans="1:32" s="47" customFormat="1" ht="15" customHeight="1" x14ac:dyDescent="0.25">
      <c r="A801" s="45">
        <v>544</v>
      </c>
      <c r="C801" s="46"/>
      <c r="D801" s="45" t="s">
        <v>2044</v>
      </c>
      <c r="E801" s="46" t="s">
        <v>7</v>
      </c>
      <c r="F801" s="87"/>
      <c r="G801" s="82"/>
      <c r="H801" s="82"/>
      <c r="I801" s="94" t="s">
        <v>8500</v>
      </c>
      <c r="J801" s="82"/>
      <c r="K801" s="82"/>
      <c r="L801" s="82"/>
      <c r="M801" s="82" t="s">
        <v>94</v>
      </c>
      <c r="N801" s="82"/>
      <c r="O801" s="87" t="s">
        <v>6446</v>
      </c>
      <c r="P801" s="82" t="s">
        <v>318</v>
      </c>
      <c r="Q801" s="83">
        <f>VLOOKUP(TAB_ESTOQUE[[#This Row],[Codigo]],TAB_ENTRADA[[Cod_2_Entrada]:[TOTAL_ENTRADA]],5,FALSE)-VLOOKUP(TAB_ESTOQUE[[#This Row],[Codigo]],TAB_SAIDA[[COD_2_SAIDA]:[TOTAL_SAIDA]],5,FALSE)</f>
        <v>1</v>
      </c>
      <c r="R801" s="87"/>
      <c r="S801" s="87"/>
      <c r="T801" s="90"/>
      <c r="U801" s="91">
        <f>TAB_ESTOQUE[[#This Row],[Valor Unitario Estimado]]*TAB_ESTOQUE[[#This Row],[Estoque]]</f>
        <v>0</v>
      </c>
      <c r="V801" s="91"/>
      <c r="W801" s="85"/>
      <c r="X801" s="85"/>
      <c r="Y801" s="85"/>
      <c r="Z801" s="85"/>
      <c r="AA801" s="85"/>
      <c r="AB801" s="85" t="str">
        <f>IF(TAB_ESTOQUE[[#This Row],[Estoque]]=0,"Estoque Não Conforme",IF(TAB_ESTOQUE[[#This Row],[Estoque]]&gt;=TAB_ESTOQUE[[#This Row],[Mínimo]],"Estoque Conforme",IF(TAB_ESTOQUE[[#This Row],[Estoque]]&lt;TAB_ESTOQUE[[#This Row],[Mínimo]],"Estoque em Nivel Minimo")))</f>
        <v>Estoque Conforme</v>
      </c>
      <c r="AC801" s="85"/>
      <c r="AD801" s="82"/>
      <c r="AE801" s="94"/>
      <c r="AF801" s="94"/>
    </row>
    <row r="802" spans="1:32" ht="15" customHeight="1" x14ac:dyDescent="0.25">
      <c r="A802" s="45">
        <v>545</v>
      </c>
      <c r="B802" s="47"/>
      <c r="C802" s="46"/>
      <c r="D802" s="45" t="s">
        <v>2046</v>
      </c>
      <c r="E802" s="46" t="s">
        <v>7</v>
      </c>
      <c r="F802" s="87"/>
      <c r="G802" s="82"/>
      <c r="H802" s="82"/>
      <c r="I802" s="82" t="s">
        <v>8501</v>
      </c>
      <c r="J802" s="82"/>
      <c r="K802" s="82"/>
      <c r="L802" s="82"/>
      <c r="M802" s="82" t="s">
        <v>94</v>
      </c>
      <c r="N802" s="82"/>
      <c r="O802" s="87" t="s">
        <v>6446</v>
      </c>
      <c r="P802" s="82" t="s">
        <v>319</v>
      </c>
      <c r="Q802" s="83">
        <f>VLOOKUP(TAB_ESTOQUE[[#This Row],[Codigo]],TAB_ENTRADA[[Cod_2_Entrada]:[TOTAL_ENTRADA]],5,FALSE)-VLOOKUP(TAB_ESTOQUE[[#This Row],[Codigo]],TAB_SAIDA[[COD_2_SAIDA]:[TOTAL_SAIDA]],5,FALSE)</f>
        <v>2</v>
      </c>
      <c r="R802" s="87"/>
      <c r="S802" s="87"/>
      <c r="T802" s="90">
        <v>343.85</v>
      </c>
      <c r="U802" s="91">
        <f>TAB_ESTOQUE[[#This Row],[Valor Unitario Estimado]]*TAB_ESTOQUE[[#This Row],[Estoque]]</f>
        <v>687.7</v>
      </c>
      <c r="V802" s="91"/>
      <c r="W802" s="85"/>
      <c r="X802" s="85"/>
      <c r="Y802" s="85"/>
      <c r="Z802" s="85"/>
      <c r="AA802" s="85"/>
      <c r="AB802" s="85" t="str">
        <f>IF(TAB_ESTOQUE[[#This Row],[Estoque]]=0,"Estoque Não Conforme",IF(TAB_ESTOQUE[[#This Row],[Estoque]]&gt;=TAB_ESTOQUE[[#This Row],[Mínimo]],"Estoque Conforme",IF(TAB_ESTOQUE[[#This Row],[Estoque]]&lt;TAB_ESTOQUE[[#This Row],[Mínimo]],"Estoque em Nivel Minimo")))</f>
        <v>Estoque Conforme</v>
      </c>
      <c r="AC802" s="85"/>
      <c r="AD802" s="82"/>
      <c r="AE802" s="82"/>
      <c r="AF802" s="82"/>
    </row>
    <row r="803" spans="1:32" ht="15" customHeight="1" x14ac:dyDescent="0.25">
      <c r="A803" s="45">
        <v>550</v>
      </c>
      <c r="B803" s="47"/>
      <c r="C803" s="46"/>
      <c r="D803" s="45" t="s">
        <v>2048</v>
      </c>
      <c r="E803" s="46" t="s">
        <v>7</v>
      </c>
      <c r="F803" s="87"/>
      <c r="G803" s="82"/>
      <c r="H803" s="82"/>
      <c r="I803" s="182" t="s">
        <v>8502</v>
      </c>
      <c r="J803" s="82"/>
      <c r="K803" s="82"/>
      <c r="L803" s="82"/>
      <c r="M803" s="82" t="s">
        <v>94</v>
      </c>
      <c r="N803" s="82"/>
      <c r="O803" s="87" t="s">
        <v>6446</v>
      </c>
      <c r="P803" s="82" t="s">
        <v>324</v>
      </c>
      <c r="Q803" s="83">
        <f>VLOOKUP(TAB_ESTOQUE[[#This Row],[Codigo]],TAB_ENTRADA[[Cod_2_Entrada]:[TOTAL_ENTRADA]],5,FALSE)-VLOOKUP(TAB_ESTOQUE[[#This Row],[Codigo]],TAB_SAIDA[[COD_2_SAIDA]:[TOTAL_SAIDA]],5,FALSE)</f>
        <v>1</v>
      </c>
      <c r="R803" s="87"/>
      <c r="S803" s="87"/>
      <c r="T803" s="90">
        <v>266.2</v>
      </c>
      <c r="U803" s="91">
        <f>TAB_ESTOQUE[[#This Row],[Valor Unitario Estimado]]*TAB_ESTOQUE[[#This Row],[Estoque]]</f>
        <v>266.2</v>
      </c>
      <c r="V803" s="91"/>
      <c r="W803" s="85"/>
      <c r="X803" s="85"/>
      <c r="Y803" s="85"/>
      <c r="Z803" s="85"/>
      <c r="AA803" s="85"/>
      <c r="AB803" s="85" t="str">
        <f>IF(TAB_ESTOQUE[[#This Row],[Estoque]]=0,"Estoque Não Conforme",IF(TAB_ESTOQUE[[#This Row],[Estoque]]&gt;=TAB_ESTOQUE[[#This Row],[Mínimo]],"Estoque Conforme",IF(TAB_ESTOQUE[[#This Row],[Estoque]]&lt;TAB_ESTOQUE[[#This Row],[Mínimo]],"Estoque em Nivel Minimo")))</f>
        <v>Estoque Conforme</v>
      </c>
      <c r="AC803" s="85"/>
      <c r="AD803" s="82"/>
      <c r="AE803" s="82"/>
      <c r="AF803" s="82"/>
    </row>
    <row r="804" spans="1:32" ht="15" customHeight="1" x14ac:dyDescent="0.25">
      <c r="A804" s="45">
        <v>494</v>
      </c>
      <c r="B804" s="47"/>
      <c r="C804" s="46"/>
      <c r="D804" s="45" t="s">
        <v>2087</v>
      </c>
      <c r="E804" s="46" t="s">
        <v>7</v>
      </c>
      <c r="F804" s="87"/>
      <c r="G804" s="82"/>
      <c r="H804" s="82"/>
      <c r="I804" s="82" t="s">
        <v>8509</v>
      </c>
      <c r="J804" s="82"/>
      <c r="K804" s="82"/>
      <c r="L804" s="82"/>
      <c r="M804" s="82" t="s">
        <v>139</v>
      </c>
      <c r="N804" s="82"/>
      <c r="O804" s="87" t="s">
        <v>6446</v>
      </c>
      <c r="P804" s="82" t="s">
        <v>276</v>
      </c>
      <c r="Q804" s="83">
        <f>VLOOKUP(TAB_ESTOQUE[[#This Row],[Codigo]],TAB_ENTRADA[[Cod_2_Entrada]:[TOTAL_ENTRADA]],5,FALSE)-VLOOKUP(TAB_ESTOQUE[[#This Row],[Codigo]],TAB_SAIDA[[COD_2_SAIDA]:[TOTAL_SAIDA]],5,FALSE)</f>
        <v>2</v>
      </c>
      <c r="R804" s="87"/>
      <c r="S804" s="87"/>
      <c r="T804" s="90"/>
      <c r="U804" s="91">
        <f>TAB_ESTOQUE[[#This Row],[Valor Unitario Estimado]]*TAB_ESTOQUE[[#This Row],[Estoque]]</f>
        <v>0</v>
      </c>
      <c r="V804" s="91"/>
      <c r="W804" s="85"/>
      <c r="X804" s="85"/>
      <c r="Y804" s="85"/>
      <c r="Z804" s="85"/>
      <c r="AA804" s="85"/>
      <c r="AB804" s="85" t="str">
        <f>IF(TAB_ESTOQUE[[#This Row],[Estoque]]=0,"Estoque Não Conforme",IF(TAB_ESTOQUE[[#This Row],[Estoque]]&gt;=TAB_ESTOQUE[[#This Row],[Mínimo]],"Estoque Conforme",IF(TAB_ESTOQUE[[#This Row],[Estoque]]&lt;TAB_ESTOQUE[[#This Row],[Mínimo]],"Estoque em Nivel Minimo")))</f>
        <v>Estoque Conforme</v>
      </c>
      <c r="AC804" s="85"/>
      <c r="AD804" s="82"/>
      <c r="AE804" s="82"/>
      <c r="AF804" s="82"/>
    </row>
    <row r="805" spans="1:32" ht="15" customHeight="1" x14ac:dyDescent="0.25">
      <c r="A805" s="45">
        <v>1309</v>
      </c>
      <c r="B805" s="47"/>
      <c r="C805" s="46"/>
      <c r="D805" s="45" t="s">
        <v>2094</v>
      </c>
      <c r="E805" s="46" t="s">
        <v>7</v>
      </c>
      <c r="F805" s="87"/>
      <c r="G805" s="82"/>
      <c r="H805" s="82"/>
      <c r="I805" s="82" t="s">
        <v>8513</v>
      </c>
      <c r="J805" s="82"/>
      <c r="K805" s="82"/>
      <c r="L805" s="82"/>
      <c r="M805" s="82" t="s">
        <v>139</v>
      </c>
      <c r="N805" s="82"/>
      <c r="O805" s="87" t="s">
        <v>6446</v>
      </c>
      <c r="P805" s="82" t="s">
        <v>1037</v>
      </c>
      <c r="Q805" s="83">
        <f>VLOOKUP(TAB_ESTOQUE[[#This Row],[Codigo]],TAB_ENTRADA[[Cod_2_Entrada]:[TOTAL_ENTRADA]],5,FALSE)-VLOOKUP(TAB_ESTOQUE[[#This Row],[Codigo]],TAB_SAIDA[[COD_2_SAIDA]:[TOTAL_SAIDA]],5,FALSE)</f>
        <v>1</v>
      </c>
      <c r="R805" s="87"/>
      <c r="S805" s="87"/>
      <c r="T805" s="90"/>
      <c r="U805" s="91">
        <f>TAB_ESTOQUE[[#This Row],[Valor Unitario Estimado]]*TAB_ESTOQUE[[#This Row],[Estoque]]</f>
        <v>0</v>
      </c>
      <c r="V805" s="91"/>
      <c r="W805" s="85"/>
      <c r="X805" s="85"/>
      <c r="Y805" s="85"/>
      <c r="Z805" s="85"/>
      <c r="AA805" s="85"/>
      <c r="AB805" s="85" t="str">
        <f>IF(TAB_ESTOQUE[[#This Row],[Estoque]]=0,"Estoque Não Conforme",IF(TAB_ESTOQUE[[#This Row],[Estoque]]&gt;=TAB_ESTOQUE[[#This Row],[Mínimo]],"Estoque Conforme",IF(TAB_ESTOQUE[[#This Row],[Estoque]]&lt;TAB_ESTOQUE[[#This Row],[Mínimo]],"Estoque em Nivel Minimo")))</f>
        <v>Estoque Conforme</v>
      </c>
      <c r="AC805" s="85"/>
      <c r="AD805" s="82"/>
      <c r="AE805" s="82"/>
      <c r="AF805" s="82"/>
    </row>
    <row r="806" spans="1:32" ht="15" customHeight="1" x14ac:dyDescent="0.25">
      <c r="A806" s="45">
        <v>201</v>
      </c>
      <c r="B806" s="47"/>
      <c r="C806" s="46"/>
      <c r="D806" s="45" t="s">
        <v>2134</v>
      </c>
      <c r="E806" s="46" t="s">
        <v>7</v>
      </c>
      <c r="F806" s="87"/>
      <c r="G806" s="82"/>
      <c r="H806" s="82"/>
      <c r="I806" s="82" t="s">
        <v>8519</v>
      </c>
      <c r="J806" s="82"/>
      <c r="K806" s="82"/>
      <c r="L806" s="82"/>
      <c r="M806" s="82" t="s">
        <v>139</v>
      </c>
      <c r="N806" s="82"/>
      <c r="O806" s="87" t="s">
        <v>6446</v>
      </c>
      <c r="P806" s="82" t="s">
        <v>150</v>
      </c>
      <c r="Q806" s="83">
        <f>VLOOKUP(TAB_ESTOQUE[[#This Row],[Codigo]],TAB_ENTRADA[[Cod_2_Entrada]:[TOTAL_ENTRADA]],5,FALSE)-VLOOKUP(TAB_ESTOQUE[[#This Row],[Codigo]],TAB_SAIDA[[COD_2_SAIDA]:[TOTAL_SAIDA]],5,FALSE)</f>
        <v>1</v>
      </c>
      <c r="R806" s="87"/>
      <c r="S806" s="87"/>
      <c r="T806" s="90">
        <v>840</v>
      </c>
      <c r="U806" s="91">
        <f>TAB_ESTOQUE[[#This Row],[Valor Unitario Estimado]]*TAB_ESTOQUE[[#This Row],[Estoque]]</f>
        <v>840</v>
      </c>
      <c r="V806" s="91"/>
      <c r="W806" s="85"/>
      <c r="X806" s="85"/>
      <c r="Y806" s="85"/>
      <c r="Z806" s="85"/>
      <c r="AA806" s="85"/>
      <c r="AB806" s="85" t="str">
        <f>IF(TAB_ESTOQUE[[#This Row],[Estoque]]=0,"Estoque Não Conforme",IF(TAB_ESTOQUE[[#This Row],[Estoque]]&gt;=TAB_ESTOQUE[[#This Row],[Mínimo]],"Estoque Conforme",IF(TAB_ESTOQUE[[#This Row],[Estoque]]&lt;TAB_ESTOQUE[[#This Row],[Mínimo]],"Estoque em Nivel Minimo")))</f>
        <v>Estoque Conforme</v>
      </c>
      <c r="AC806" s="85"/>
      <c r="AD806" s="82"/>
      <c r="AE806" s="82"/>
      <c r="AF806" s="82"/>
    </row>
    <row r="807" spans="1:32" ht="15" customHeight="1" x14ac:dyDescent="0.25">
      <c r="A807" s="45">
        <v>210</v>
      </c>
      <c r="B807" s="47"/>
      <c r="C807" s="46" t="s">
        <v>2833</v>
      </c>
      <c r="D807" s="45" t="s">
        <v>2139</v>
      </c>
      <c r="E807" s="46" t="s">
        <v>7</v>
      </c>
      <c r="F807" s="87"/>
      <c r="G807" s="82"/>
      <c r="H807" s="82"/>
      <c r="I807" s="82" t="s">
        <v>8522</v>
      </c>
      <c r="J807" s="82"/>
      <c r="K807" s="82"/>
      <c r="L807" s="82"/>
      <c r="M807" s="82"/>
      <c r="N807" s="82"/>
      <c r="O807" s="87" t="s">
        <v>6446</v>
      </c>
      <c r="P807" s="82" t="s">
        <v>159</v>
      </c>
      <c r="Q807" s="83">
        <f>VLOOKUP(TAB_ESTOQUE[[#This Row],[Codigo]],TAB_ENTRADA[[Cod_2_Entrada]:[TOTAL_ENTRADA]],5,FALSE)-VLOOKUP(TAB_ESTOQUE[[#This Row],[Codigo]],TAB_SAIDA[[COD_2_SAIDA]:[TOTAL_SAIDA]],5,FALSE)</f>
        <v>2</v>
      </c>
      <c r="R807" s="87"/>
      <c r="S807" s="87"/>
      <c r="T807" s="90"/>
      <c r="U807" s="91">
        <f>TAB_ESTOQUE[[#This Row],[Valor Unitario Estimado]]*TAB_ESTOQUE[[#This Row],[Estoque]]</f>
        <v>0</v>
      </c>
      <c r="V807" s="91"/>
      <c r="W807" s="85"/>
      <c r="X807" s="85"/>
      <c r="Y807" s="85"/>
      <c r="Z807" s="85"/>
      <c r="AA807" s="85"/>
      <c r="AB807" s="85" t="str">
        <f>IF(TAB_ESTOQUE[[#This Row],[Estoque]]=0,"Estoque Não Conforme",IF(TAB_ESTOQUE[[#This Row],[Estoque]]&gt;=TAB_ESTOQUE[[#This Row],[Mínimo]],"Estoque Conforme",IF(TAB_ESTOQUE[[#This Row],[Estoque]]&lt;TAB_ESTOQUE[[#This Row],[Mínimo]],"Estoque em Nivel Minimo")))</f>
        <v>Estoque Conforme</v>
      </c>
      <c r="AC807" s="85"/>
      <c r="AD807" s="82"/>
      <c r="AE807" s="82"/>
      <c r="AF807" s="82"/>
    </row>
    <row r="808" spans="1:32" ht="15" customHeight="1" x14ac:dyDescent="0.25">
      <c r="A808" s="45">
        <v>211</v>
      </c>
      <c r="B808" s="47"/>
      <c r="C808" s="46"/>
      <c r="D808" s="45" t="s">
        <v>2140</v>
      </c>
      <c r="E808" s="46" t="s">
        <v>7</v>
      </c>
      <c r="F808" s="87"/>
      <c r="G808" s="82"/>
      <c r="H808" s="82"/>
      <c r="I808" s="82" t="s">
        <v>8523</v>
      </c>
      <c r="J808" s="82"/>
      <c r="K808" s="82"/>
      <c r="L808" s="82"/>
      <c r="M808" s="82"/>
      <c r="N808" s="82"/>
      <c r="O808" s="87" t="s">
        <v>6446</v>
      </c>
      <c r="P808" s="82" t="s">
        <v>160</v>
      </c>
      <c r="Q808" s="83">
        <f>VLOOKUP(TAB_ESTOQUE[[#This Row],[Codigo]],TAB_ENTRADA[[Cod_2_Entrada]:[TOTAL_ENTRADA]],5,FALSE)-VLOOKUP(TAB_ESTOQUE[[#This Row],[Codigo]],TAB_SAIDA[[COD_2_SAIDA]:[TOTAL_SAIDA]],5,FALSE)</f>
        <v>2</v>
      </c>
      <c r="R808" s="87"/>
      <c r="S808" s="87"/>
      <c r="T808" s="90">
        <v>205.8</v>
      </c>
      <c r="U808" s="91">
        <f>TAB_ESTOQUE[[#This Row],[Valor Unitario Estimado]]*TAB_ESTOQUE[[#This Row],[Estoque]]</f>
        <v>411.6</v>
      </c>
      <c r="V808" s="91"/>
      <c r="W808" s="85"/>
      <c r="X808" s="85"/>
      <c r="Y808" s="85"/>
      <c r="Z808" s="85"/>
      <c r="AA808" s="85"/>
      <c r="AB808" s="85" t="str">
        <f>IF(TAB_ESTOQUE[[#This Row],[Estoque]]=0,"Estoque Não Conforme",IF(TAB_ESTOQUE[[#This Row],[Estoque]]&gt;=TAB_ESTOQUE[[#This Row],[Mínimo]],"Estoque Conforme",IF(TAB_ESTOQUE[[#This Row],[Estoque]]&lt;TAB_ESTOQUE[[#This Row],[Mínimo]],"Estoque em Nivel Minimo")))</f>
        <v>Estoque Conforme</v>
      </c>
      <c r="AC808" s="85"/>
      <c r="AD808" s="82"/>
      <c r="AE808" s="82"/>
      <c r="AF808" s="82"/>
    </row>
    <row r="809" spans="1:32" ht="15" customHeight="1" x14ac:dyDescent="0.25">
      <c r="A809" s="45">
        <v>213</v>
      </c>
      <c r="B809" s="47"/>
      <c r="C809" s="46"/>
      <c r="D809" s="45" t="s">
        <v>2145</v>
      </c>
      <c r="E809" s="46" t="s">
        <v>7</v>
      </c>
      <c r="F809" s="87"/>
      <c r="G809" s="82"/>
      <c r="H809" s="82"/>
      <c r="I809" s="95" t="s">
        <v>8524</v>
      </c>
      <c r="J809" s="82"/>
      <c r="K809" s="82" t="s">
        <v>165</v>
      </c>
      <c r="L809" s="82"/>
      <c r="M809" s="82" t="s">
        <v>163</v>
      </c>
      <c r="N809" s="82"/>
      <c r="O809" s="87" t="s">
        <v>6446</v>
      </c>
      <c r="P809" s="82" t="s">
        <v>164</v>
      </c>
      <c r="Q809" s="83">
        <f>VLOOKUP(TAB_ESTOQUE[[#This Row],[Codigo]],TAB_ENTRADA[[Cod_2_Entrada]:[TOTAL_ENTRADA]],5,FALSE)-VLOOKUP(TAB_ESTOQUE[[#This Row],[Codigo]],TAB_SAIDA[[COD_2_SAIDA]:[TOTAL_SAIDA]],5,FALSE)</f>
        <v>0</v>
      </c>
      <c r="R809" s="87"/>
      <c r="S809" s="87"/>
      <c r="T809" s="90">
        <v>711</v>
      </c>
      <c r="U809" s="91">
        <f>TAB_ESTOQUE[[#This Row],[Valor Unitario Estimado]]*TAB_ESTOQUE[[#This Row],[Estoque]]</f>
        <v>0</v>
      </c>
      <c r="V809" s="91"/>
      <c r="W809" s="85"/>
      <c r="X809" s="85"/>
      <c r="Y809" s="85"/>
      <c r="Z809" s="85"/>
      <c r="AA809" s="85"/>
      <c r="AB809" s="85" t="str">
        <f>IF(TAB_ESTOQUE[[#This Row],[Estoque]]=0,"Estoque Não Conforme",IF(TAB_ESTOQUE[[#This Row],[Estoque]]&gt;=TAB_ESTOQUE[[#This Row],[Mínimo]],"Estoque Conforme",IF(TAB_ESTOQUE[[#This Row],[Estoque]]&lt;TAB_ESTOQUE[[#This Row],[Mínimo]],"Estoque em Nivel Minimo")))</f>
        <v>Estoque Não Conforme</v>
      </c>
      <c r="AC809" s="85"/>
      <c r="AD809" s="82"/>
      <c r="AE809" s="82"/>
      <c r="AF809" s="82"/>
    </row>
    <row r="810" spans="1:32" ht="15" customHeight="1" x14ac:dyDescent="0.25">
      <c r="A810" s="45">
        <v>1259</v>
      </c>
      <c r="B810" s="47"/>
      <c r="C810" s="46"/>
      <c r="D810" s="45" t="s">
        <v>2146</v>
      </c>
      <c r="E810" s="46" t="s">
        <v>7</v>
      </c>
      <c r="F810" s="87"/>
      <c r="G810" s="82"/>
      <c r="H810" s="82"/>
      <c r="I810" s="82" t="s">
        <v>8525</v>
      </c>
      <c r="J810" s="82"/>
      <c r="K810" s="82"/>
      <c r="L810" s="82"/>
      <c r="M810" s="82"/>
      <c r="N810" s="82"/>
      <c r="O810" s="87" t="s">
        <v>6446</v>
      </c>
      <c r="P810" s="82" t="s">
        <v>981</v>
      </c>
      <c r="Q810" s="83">
        <f>VLOOKUP(TAB_ESTOQUE[[#This Row],[Codigo]],TAB_ENTRADA[[Cod_2_Entrada]:[TOTAL_ENTRADA]],5,FALSE)-VLOOKUP(TAB_ESTOQUE[[#This Row],[Codigo]],TAB_SAIDA[[COD_2_SAIDA]:[TOTAL_SAIDA]],5,FALSE)</f>
        <v>1</v>
      </c>
      <c r="R810" s="87"/>
      <c r="S810" s="87"/>
      <c r="T810" s="90"/>
      <c r="U810" s="91">
        <f>TAB_ESTOQUE[[#This Row],[Valor Unitario Estimado]]*TAB_ESTOQUE[[#This Row],[Estoque]]</f>
        <v>0</v>
      </c>
      <c r="V810" s="91"/>
      <c r="W810" s="85"/>
      <c r="X810" s="85"/>
      <c r="Y810" s="85"/>
      <c r="Z810" s="85"/>
      <c r="AA810" s="85"/>
      <c r="AB810" s="85" t="str">
        <f>IF(TAB_ESTOQUE[[#This Row],[Estoque]]=0,"Estoque Não Conforme",IF(TAB_ESTOQUE[[#This Row],[Estoque]]&gt;=TAB_ESTOQUE[[#This Row],[Mínimo]],"Estoque Conforme",IF(TAB_ESTOQUE[[#This Row],[Estoque]]&lt;TAB_ESTOQUE[[#This Row],[Mínimo]],"Estoque em Nivel Minimo")))</f>
        <v>Estoque Conforme</v>
      </c>
      <c r="AC810" s="85"/>
      <c r="AD810" s="82"/>
      <c r="AE810" s="82"/>
      <c r="AF810" s="82"/>
    </row>
    <row r="811" spans="1:32" ht="15" customHeight="1" x14ac:dyDescent="0.25">
      <c r="A811" s="45">
        <v>1299</v>
      </c>
      <c r="B811" s="47"/>
      <c r="C811" s="46"/>
      <c r="D811" s="45" t="s">
        <v>2461</v>
      </c>
      <c r="E811" s="46" t="s">
        <v>8405</v>
      </c>
      <c r="F811" s="87"/>
      <c r="G811" s="82"/>
      <c r="H811" s="82"/>
      <c r="I811" s="82" t="s">
        <v>7398</v>
      </c>
      <c r="J811" s="82"/>
      <c r="K811" s="82"/>
      <c r="L811" s="82"/>
      <c r="M811" s="82"/>
      <c r="N811" s="82"/>
      <c r="O811" s="87" t="s">
        <v>6446</v>
      </c>
      <c r="P811" s="82" t="s">
        <v>1023</v>
      </c>
      <c r="Q811" s="83">
        <f>VLOOKUP(TAB_ESTOQUE[[#This Row],[Codigo]],TAB_ENTRADA[[Cod_2_Entrada]:[TOTAL_ENTRADA]],5,FALSE)-VLOOKUP(TAB_ESTOQUE[[#This Row],[Codigo]],TAB_SAIDA[[COD_2_SAIDA]:[TOTAL_SAIDA]],5,FALSE)</f>
        <v>0</v>
      </c>
      <c r="R811" s="87"/>
      <c r="S811" s="87"/>
      <c r="T811" s="90">
        <v>779</v>
      </c>
      <c r="U811" s="91">
        <f>TAB_ESTOQUE[[#This Row],[Valor Unitario Estimado]]*TAB_ESTOQUE[[#This Row],[Estoque]]</f>
        <v>0</v>
      </c>
      <c r="V811" s="91"/>
      <c r="W811" s="85"/>
      <c r="X811" s="85"/>
      <c r="Y811" s="85"/>
      <c r="Z811" s="85"/>
      <c r="AA811" s="85"/>
      <c r="AB811" s="85" t="str">
        <f>IF(TAB_ESTOQUE[[#This Row],[Estoque]]=0,"Estoque Não Conforme",IF(TAB_ESTOQUE[[#This Row],[Estoque]]&gt;=TAB_ESTOQUE[[#This Row],[Mínimo]],"Estoque Conforme",IF(TAB_ESTOQUE[[#This Row],[Estoque]]&lt;TAB_ESTOQUE[[#This Row],[Mínimo]],"Estoque em Nivel Minimo")))</f>
        <v>Estoque Não Conforme</v>
      </c>
      <c r="AC811" s="85"/>
      <c r="AD811" s="82"/>
      <c r="AE811" s="82"/>
      <c r="AF811" s="82"/>
    </row>
    <row r="812" spans="1:32" ht="15" customHeight="1" x14ac:dyDescent="0.25">
      <c r="A812" s="49">
        <v>8888</v>
      </c>
      <c r="B812" s="49"/>
      <c r="C812" s="52"/>
      <c r="D812" s="106" t="s">
        <v>2047</v>
      </c>
      <c r="E812" s="116" t="s">
        <v>7265</v>
      </c>
      <c r="F812" s="118"/>
      <c r="G812" s="95"/>
      <c r="H812" s="95"/>
      <c r="I812" s="95" t="s">
        <v>2924</v>
      </c>
      <c r="J812" s="162"/>
      <c r="K812" s="95"/>
      <c r="L812" s="95"/>
      <c r="M812" s="162" t="s">
        <v>94</v>
      </c>
      <c r="N812" s="95"/>
      <c r="O812" s="118" t="s">
        <v>6448</v>
      </c>
      <c r="P812" s="95" t="s">
        <v>770</v>
      </c>
      <c r="Q812" s="154">
        <f>VLOOKUP(TAB_ESTOQUE[[#This Row],[Codigo]],TAB_ENTRADA[[Cod_2_Entrada]:[TOTAL_ENTRADA]],5,FALSE)-VLOOKUP(TAB_ESTOQUE[[#This Row],[Codigo]],TAB_SAIDA[[COD_2_SAIDA]:[TOTAL_SAIDA]],5,FALSE)</f>
        <v>0</v>
      </c>
      <c r="R812" s="118"/>
      <c r="S812" s="118"/>
      <c r="T812" s="119">
        <v>587.62</v>
      </c>
      <c r="U812" s="112">
        <f>TAB_ESTOQUE[[#This Row],[Valor Unitario Estimado]]*TAB_ESTOQUE[[#This Row],[Estoque]]</f>
        <v>0</v>
      </c>
      <c r="V812" s="112"/>
      <c r="W812" s="120"/>
      <c r="X812" s="120"/>
      <c r="Y812" s="120"/>
      <c r="Z812" s="120"/>
      <c r="AA812" s="120"/>
      <c r="AB812" s="120" t="str">
        <f>IF(TAB_ESTOQUE[[#This Row],[Estoque]]=0,"Estoque Não Conforme",IF(TAB_ESTOQUE[[#This Row],[Estoque]]&gt;=TAB_ESTOQUE[[#This Row],[Mínimo]],"Estoque Conforme",IF(TAB_ESTOQUE[[#This Row],[Estoque]]&lt;TAB_ESTOQUE[[#This Row],[Mínimo]],"Estoque em Nivel Minimo")))</f>
        <v>Estoque Não Conforme</v>
      </c>
      <c r="AC812" s="120"/>
      <c r="AD812" s="95"/>
      <c r="AE812" s="82"/>
      <c r="AF812" s="82"/>
    </row>
    <row r="813" spans="1:32" ht="15" customHeight="1" x14ac:dyDescent="0.25">
      <c r="A813" s="45">
        <v>307</v>
      </c>
      <c r="B813" s="47"/>
      <c r="C813" s="46" t="s">
        <v>2833</v>
      </c>
      <c r="D813" s="45" t="s">
        <v>2266</v>
      </c>
      <c r="E813" s="46" t="s">
        <v>7</v>
      </c>
      <c r="F813" s="87"/>
      <c r="G813" s="82"/>
      <c r="H813" s="82"/>
      <c r="I813" s="82" t="s">
        <v>8562</v>
      </c>
      <c r="J813" s="82"/>
      <c r="K813" s="82" t="s">
        <v>214</v>
      </c>
      <c r="L813" s="82"/>
      <c r="M813" s="82" t="s">
        <v>209</v>
      </c>
      <c r="N813" s="82"/>
      <c r="O813" s="87" t="s">
        <v>6448</v>
      </c>
      <c r="P813" s="82" t="s">
        <v>221</v>
      </c>
      <c r="Q813" s="83">
        <f>VLOOKUP(TAB_ESTOQUE[[#This Row],[Codigo]],TAB_ENTRADA[[Cod_2_Entrada]:[TOTAL_ENTRADA]],5,FALSE)-VLOOKUP(TAB_ESTOQUE[[#This Row],[Codigo]],TAB_SAIDA[[COD_2_SAIDA]:[TOTAL_SAIDA]],5,FALSE)</f>
        <v>0</v>
      </c>
      <c r="R813" s="87"/>
      <c r="S813" s="87"/>
      <c r="T813" s="90"/>
      <c r="U813" s="91">
        <f>TAB_ESTOQUE[[#This Row],[Valor Unitario Estimado]]*TAB_ESTOQUE[[#This Row],[Estoque]]</f>
        <v>0</v>
      </c>
      <c r="V813" s="91"/>
      <c r="W813" s="85"/>
      <c r="X813" s="85"/>
      <c r="Y813" s="85"/>
      <c r="Z813" s="85"/>
      <c r="AA813" s="85"/>
      <c r="AB813" s="85" t="str">
        <f>IF(TAB_ESTOQUE[[#This Row],[Estoque]]=0,"Estoque Não Conforme",IF(TAB_ESTOQUE[[#This Row],[Estoque]]&gt;=TAB_ESTOQUE[[#This Row],[Mínimo]],"Estoque Conforme",IF(TAB_ESTOQUE[[#This Row],[Estoque]]&lt;TAB_ESTOQUE[[#This Row],[Mínimo]],"Estoque em Nivel Minimo")))</f>
        <v>Estoque Não Conforme</v>
      </c>
      <c r="AC813" s="85"/>
      <c r="AD813" s="82"/>
      <c r="AE813" s="82"/>
      <c r="AF813" s="82"/>
    </row>
    <row r="814" spans="1:32" ht="15" customHeight="1" x14ac:dyDescent="0.25">
      <c r="A814" s="45">
        <v>691</v>
      </c>
      <c r="B814" s="47"/>
      <c r="C814" s="46"/>
      <c r="D814" s="45" t="s">
        <v>2382</v>
      </c>
      <c r="E814" s="46" t="s">
        <v>7</v>
      </c>
      <c r="F814" s="87"/>
      <c r="G814" s="82"/>
      <c r="H814" s="82"/>
      <c r="I814" s="82" t="s">
        <v>8604</v>
      </c>
      <c r="J814" s="82"/>
      <c r="K814" s="82"/>
      <c r="L814" s="82"/>
      <c r="M814" s="82" t="s">
        <v>139</v>
      </c>
      <c r="N814" s="82"/>
      <c r="O814" s="87" t="s">
        <v>6448</v>
      </c>
      <c r="P814" s="82" t="s">
        <v>477</v>
      </c>
      <c r="Q814" s="83">
        <f>VLOOKUP(TAB_ESTOQUE[[#This Row],[Codigo]],TAB_ENTRADA[[Cod_2_Entrada]:[TOTAL_ENTRADA]],5,FALSE)-VLOOKUP(TAB_ESTOQUE[[#This Row],[Codigo]],TAB_SAIDA[[COD_2_SAIDA]:[TOTAL_SAIDA]],5,FALSE)</f>
        <v>1</v>
      </c>
      <c r="R814" s="87"/>
      <c r="S814" s="87"/>
      <c r="T814" s="90"/>
      <c r="U814" s="91">
        <f>TAB_ESTOQUE[[#This Row],[Valor Unitario Estimado]]*TAB_ESTOQUE[[#This Row],[Estoque]]</f>
        <v>0</v>
      </c>
      <c r="V814" s="91"/>
      <c r="W814" s="85"/>
      <c r="X814" s="85"/>
      <c r="Y814" s="85"/>
      <c r="Z814" s="85"/>
      <c r="AA814" s="85"/>
      <c r="AB814" s="85" t="str">
        <f>IF(TAB_ESTOQUE[[#This Row],[Estoque]]=0,"Estoque Não Conforme",IF(TAB_ESTOQUE[[#This Row],[Estoque]]&gt;=TAB_ESTOQUE[[#This Row],[Mínimo]],"Estoque Conforme",IF(TAB_ESTOQUE[[#This Row],[Estoque]]&lt;TAB_ESTOQUE[[#This Row],[Mínimo]],"Estoque em Nivel Minimo")))</f>
        <v>Estoque Conforme</v>
      </c>
      <c r="AC814" s="85"/>
      <c r="AD814" s="82"/>
      <c r="AE814" s="82"/>
      <c r="AF814" s="82"/>
    </row>
    <row r="815" spans="1:32" ht="15" customHeight="1" x14ac:dyDescent="0.25">
      <c r="C815" s="48"/>
      <c r="D815" s="45" t="s">
        <v>7761</v>
      </c>
      <c r="E815" s="46"/>
      <c r="F815" s="46"/>
      <c r="I815" s="45" t="s">
        <v>8992</v>
      </c>
      <c r="O815" s="46" t="s">
        <v>6448</v>
      </c>
      <c r="Q815" s="137">
        <f>VLOOKUP(TAB_ESTOQUE[[#This Row],[Codigo]],TAB_ENTRADA[[Cod_2_Entrada]:[TOTAL_ENTRADA]],5,FALSE)-VLOOKUP(TAB_ESTOQUE[[#This Row],[Codigo]],TAB_SAIDA[[COD_2_SAIDA]:[TOTAL_SAIDA]],5,FALSE)</f>
        <v>2</v>
      </c>
      <c r="R815" s="46">
        <v>1</v>
      </c>
      <c r="S815" s="46">
        <v>2</v>
      </c>
      <c r="T815" s="102">
        <v>985</v>
      </c>
      <c r="U815" s="103">
        <f>TAB_ESTOQUE[[#This Row],[Valor Unitario Estimado]]*TAB_ESTOQUE[[#This Row],[Estoque]]</f>
        <v>1970</v>
      </c>
      <c r="V815" s="103"/>
      <c r="AA815" s="138"/>
      <c r="AB815" s="104" t="str">
        <f>IF(TAB_ESTOQUE[[#This Row],[Estoque]]=0,"Estoque Não Conforme",IF(TAB_ESTOQUE[[#This Row],[Estoque]]&gt;=TAB_ESTOQUE[[#This Row],[Mínimo]],"Estoque Conforme",IF(TAB_ESTOQUE[[#This Row],[Estoque]]&lt;TAB_ESTOQUE[[#This Row],[Mínimo]],"Estoque em Nivel Minimo")))</f>
        <v>Estoque Conforme</v>
      </c>
      <c r="AC815" s="104"/>
      <c r="AE815" s="82"/>
      <c r="AF815" s="82"/>
    </row>
    <row r="816" spans="1:32" ht="15" customHeight="1" x14ac:dyDescent="0.25">
      <c r="B816" s="47"/>
      <c r="C816" s="48"/>
      <c r="D816" s="45" t="s">
        <v>6420</v>
      </c>
      <c r="E816" s="46"/>
      <c r="F816" s="87"/>
      <c r="G816" s="82"/>
      <c r="H816" s="82"/>
      <c r="I816" s="82" t="s">
        <v>8703</v>
      </c>
      <c r="J816" s="82"/>
      <c r="K816" s="82"/>
      <c r="L816" s="82"/>
      <c r="M816" s="82"/>
      <c r="N816" s="82"/>
      <c r="O816" s="87" t="s">
        <v>6449</v>
      </c>
      <c r="P816" s="82"/>
      <c r="Q816" s="83">
        <f>VLOOKUP(TAB_ESTOQUE[[#This Row],[Codigo]],TAB_ENTRADA[[Cod_2_Entrada]:[TOTAL_ENTRADA]],5,FALSE)-VLOOKUP(TAB_ESTOQUE[[#This Row],[Codigo]],TAB_SAIDA[[COD_2_SAIDA]:[TOTAL_SAIDA]],5,FALSE)</f>
        <v>1</v>
      </c>
      <c r="R816" s="87"/>
      <c r="S816" s="87"/>
      <c r="T816" s="90"/>
      <c r="U816" s="91">
        <f>TAB_ESTOQUE[[#This Row],[Valor Unitario Estimado]]*TAB_ESTOQUE[[#This Row],[Estoque]]</f>
        <v>0</v>
      </c>
      <c r="V816" s="91"/>
      <c r="W816" s="85"/>
      <c r="X816" s="85"/>
      <c r="Y816" s="85"/>
      <c r="Z816" s="85"/>
      <c r="AA816" s="85"/>
      <c r="AB816" s="85" t="str">
        <f>IF(TAB_ESTOQUE[[#This Row],[Estoque]]=0,"Estoque Não Conforme",IF(TAB_ESTOQUE[[#This Row],[Estoque]]&gt;=TAB_ESTOQUE[[#This Row],[Mínimo]],"Estoque Conforme",IF(TAB_ESTOQUE[[#This Row],[Estoque]]&lt;TAB_ESTOQUE[[#This Row],[Mínimo]],"Estoque em Nivel Minimo")))</f>
        <v>Estoque Conforme</v>
      </c>
      <c r="AC816" s="96"/>
      <c r="AD816" s="82"/>
      <c r="AE816" s="82"/>
      <c r="AF816" s="82"/>
    </row>
    <row r="817" spans="1:32" ht="15" customHeight="1" x14ac:dyDescent="0.25">
      <c r="B817" s="47"/>
      <c r="C817" s="48"/>
      <c r="D817" s="45" t="s">
        <v>6486</v>
      </c>
      <c r="E817" s="87"/>
      <c r="F817" s="87"/>
      <c r="G817" s="82"/>
      <c r="H817" s="82"/>
      <c r="I817" s="82" t="s">
        <v>8707</v>
      </c>
      <c r="J817" s="82"/>
      <c r="K817" s="82"/>
      <c r="L817" s="82"/>
      <c r="M817" s="82"/>
      <c r="N817" s="82"/>
      <c r="O817" s="87" t="s">
        <v>6449</v>
      </c>
      <c r="P817" s="82"/>
      <c r="Q817" s="83">
        <f>VLOOKUP(TAB_ESTOQUE[[#This Row],[Codigo]],TAB_ENTRADA[[Cod_2_Entrada]:[TOTAL_ENTRADA]],5,FALSE)-VLOOKUP(TAB_ESTOQUE[[#This Row],[Codigo]],TAB_SAIDA[[COD_2_SAIDA]:[TOTAL_SAIDA]],5,FALSE)</f>
        <v>10</v>
      </c>
      <c r="R817" s="87"/>
      <c r="S817" s="87"/>
      <c r="T817" s="90">
        <v>320</v>
      </c>
      <c r="U817" s="91">
        <f>TAB_ESTOQUE[[#This Row],[Valor Unitario Estimado]]*TAB_ESTOQUE[[#This Row],[Estoque]]</f>
        <v>3200</v>
      </c>
      <c r="V817" s="91"/>
      <c r="W817" s="85"/>
      <c r="X817" s="85"/>
      <c r="Y817" s="85"/>
      <c r="Z817" s="85"/>
      <c r="AA817" s="85"/>
      <c r="AB817" s="85" t="str">
        <f>IF(TAB_ESTOQUE[[#This Row],[Estoque]]=0,"Estoque Não Conforme",IF(TAB_ESTOQUE[[#This Row],[Estoque]]&gt;=TAB_ESTOQUE[[#This Row],[Mínimo]],"Estoque Conforme",IF(TAB_ESTOQUE[[#This Row],[Estoque]]&lt;TAB_ESTOQUE[[#This Row],[Mínimo]],"Estoque em Nivel Minimo")))</f>
        <v>Estoque Conforme</v>
      </c>
      <c r="AC817" s="96"/>
      <c r="AD817" s="82"/>
      <c r="AE817" s="82"/>
      <c r="AF817" s="82"/>
    </row>
    <row r="818" spans="1:32" ht="15" customHeight="1" x14ac:dyDescent="0.25">
      <c r="C818" s="48"/>
      <c r="D818" s="45" t="s">
        <v>7749</v>
      </c>
      <c r="E818" s="46" t="s">
        <v>1236</v>
      </c>
      <c r="F818" s="46"/>
      <c r="I818" s="45" t="s">
        <v>8849</v>
      </c>
      <c r="O818" s="46" t="s">
        <v>8850</v>
      </c>
      <c r="Q818" s="137">
        <f>VLOOKUP(TAB_ESTOQUE[[#This Row],[Codigo]],TAB_ENTRADA[[Cod_2_Entrada]:[TOTAL_ENTRADA]],5,FALSE)-VLOOKUP(TAB_ESTOQUE[[#This Row],[Codigo]],TAB_SAIDA[[COD_2_SAIDA]:[TOTAL_SAIDA]],5,FALSE)</f>
        <v>3</v>
      </c>
      <c r="R818" s="46">
        <v>4</v>
      </c>
      <c r="S818" s="46">
        <v>8</v>
      </c>
      <c r="T818" s="102">
        <v>494</v>
      </c>
      <c r="U818" s="103">
        <f>TAB_ESTOQUE[[#This Row],[Valor Unitario Estimado]]*TAB_ESTOQUE[[#This Row],[Estoque]]</f>
        <v>1482</v>
      </c>
      <c r="V818" s="103"/>
      <c r="AA818" s="138"/>
      <c r="AB818" s="104" t="str">
        <f>IF(TAB_ESTOQUE[[#This Row],[Estoque]]=0,"Estoque Não Conforme",IF(TAB_ESTOQUE[[#This Row],[Estoque]]&gt;=TAB_ESTOQUE[[#This Row],[Mínimo]],"Estoque Conforme",IF(TAB_ESTOQUE[[#This Row],[Estoque]]&lt;TAB_ESTOQUE[[#This Row],[Mínimo]],"Estoque em Nivel Minimo")))</f>
        <v>Estoque em Nivel Minimo</v>
      </c>
      <c r="AC818" s="104"/>
      <c r="AE818" s="82"/>
      <c r="AF818" s="82"/>
    </row>
    <row r="819" spans="1:32" ht="15" customHeight="1" x14ac:dyDescent="0.25">
      <c r="A819" s="45">
        <v>801</v>
      </c>
      <c r="B819" s="47"/>
      <c r="C819" s="46" t="s">
        <v>2842</v>
      </c>
      <c r="D819" s="45" t="s">
        <v>2539</v>
      </c>
      <c r="E819" s="46" t="s">
        <v>7</v>
      </c>
      <c r="F819" s="87"/>
      <c r="G819" s="82"/>
      <c r="H819" s="82"/>
      <c r="I819" s="82" t="s">
        <v>1555</v>
      </c>
      <c r="J819" s="82"/>
      <c r="K819" s="82"/>
      <c r="L819" s="82"/>
      <c r="M819" s="82" t="s">
        <v>515</v>
      </c>
      <c r="N819" s="82"/>
      <c r="O819" s="87" t="s">
        <v>6730</v>
      </c>
      <c r="P819" s="82" t="s">
        <v>587</v>
      </c>
      <c r="Q819" s="83">
        <f>VLOOKUP(TAB_ESTOQUE[[#This Row],[Codigo]],TAB_ENTRADA[[Cod_2_Entrada]:[TOTAL_ENTRADA]],5,FALSE)-VLOOKUP(TAB_ESTOQUE[[#This Row],[Codigo]],TAB_SAIDA[[COD_2_SAIDA]:[TOTAL_SAIDA]],5,FALSE)</f>
        <v>10</v>
      </c>
      <c r="R819" s="87"/>
      <c r="S819" s="87"/>
      <c r="T819" s="90"/>
      <c r="U819" s="91">
        <f>TAB_ESTOQUE[[#This Row],[Valor Unitario Estimado]]*TAB_ESTOQUE[[#This Row],[Estoque]]</f>
        <v>0</v>
      </c>
      <c r="V819" s="91"/>
      <c r="W819" s="85"/>
      <c r="X819" s="85"/>
      <c r="Y819" s="85"/>
      <c r="Z819" s="85"/>
      <c r="AA819" s="85"/>
      <c r="AB819" s="85" t="str">
        <f>IF(TAB_ESTOQUE[[#This Row],[Estoque]]=0,"Estoque Não Conforme",IF(TAB_ESTOQUE[[#This Row],[Estoque]]&gt;=TAB_ESTOQUE[[#This Row],[Mínimo]],"Estoque Conforme",IF(TAB_ESTOQUE[[#This Row],[Estoque]]&lt;TAB_ESTOQUE[[#This Row],[Mínimo]],"Estoque em Nivel Minimo")))</f>
        <v>Estoque Conforme</v>
      </c>
      <c r="AC819" s="85"/>
      <c r="AD819" s="82"/>
      <c r="AE819" s="82"/>
      <c r="AF819" s="82"/>
    </row>
    <row r="820" spans="1:32" ht="15.75" customHeight="1" x14ac:dyDescent="0.25">
      <c r="A820" s="45">
        <v>802</v>
      </c>
      <c r="B820" s="47"/>
      <c r="C820" s="46" t="s">
        <v>2842</v>
      </c>
      <c r="D820" s="45" t="s">
        <v>2540</v>
      </c>
      <c r="E820" s="46" t="s">
        <v>7</v>
      </c>
      <c r="F820" s="87"/>
      <c r="G820" s="82"/>
      <c r="H820" s="82"/>
      <c r="I820" s="82" t="s">
        <v>1556</v>
      </c>
      <c r="J820" s="82"/>
      <c r="K820" s="82"/>
      <c r="L820" s="82"/>
      <c r="M820" s="82" t="s">
        <v>515</v>
      </c>
      <c r="N820" s="82"/>
      <c r="O820" s="87" t="s">
        <v>6730</v>
      </c>
      <c r="P820" s="82" t="s">
        <v>588</v>
      </c>
      <c r="Q820" s="83">
        <f>VLOOKUP(TAB_ESTOQUE[[#This Row],[Codigo]],TAB_ENTRADA[[Cod_2_Entrada]:[TOTAL_ENTRADA]],5,FALSE)-VLOOKUP(TAB_ESTOQUE[[#This Row],[Codigo]],TAB_SAIDA[[COD_2_SAIDA]:[TOTAL_SAIDA]],5,FALSE)</f>
        <v>9</v>
      </c>
      <c r="R820" s="87"/>
      <c r="S820" s="87"/>
      <c r="T820" s="90"/>
      <c r="U820" s="91">
        <f>TAB_ESTOQUE[[#This Row],[Valor Unitario Estimado]]*TAB_ESTOQUE[[#This Row],[Estoque]]</f>
        <v>0</v>
      </c>
      <c r="V820" s="91"/>
      <c r="W820" s="85"/>
      <c r="X820" s="85"/>
      <c r="Y820" s="85"/>
      <c r="Z820" s="85"/>
      <c r="AA820" s="85"/>
      <c r="AB820" s="85" t="str">
        <f>IF(TAB_ESTOQUE[[#This Row],[Estoque]]=0,"Estoque Não Conforme",IF(TAB_ESTOQUE[[#This Row],[Estoque]]&gt;=TAB_ESTOQUE[[#This Row],[Mínimo]],"Estoque Conforme",IF(TAB_ESTOQUE[[#This Row],[Estoque]]&lt;TAB_ESTOQUE[[#This Row],[Mínimo]],"Estoque em Nivel Minimo")))</f>
        <v>Estoque Conforme</v>
      </c>
      <c r="AC820" s="85"/>
      <c r="AD820" s="82"/>
      <c r="AE820" s="82"/>
      <c r="AF820" s="82"/>
    </row>
    <row r="821" spans="1:32" ht="15" customHeight="1" x14ac:dyDescent="0.25">
      <c r="A821" s="45">
        <v>847</v>
      </c>
      <c r="B821" s="47"/>
      <c r="C821" s="46" t="s">
        <v>2842</v>
      </c>
      <c r="D821" s="45" t="s">
        <v>2541</v>
      </c>
      <c r="E821" s="46" t="s">
        <v>3089</v>
      </c>
      <c r="F821" s="87"/>
      <c r="G821" s="82"/>
      <c r="H821" s="82"/>
      <c r="I821" s="82" t="s">
        <v>934</v>
      </c>
      <c r="J821" s="82"/>
      <c r="K821" s="82"/>
      <c r="L821" s="82"/>
      <c r="M821" s="82"/>
      <c r="N821" s="82"/>
      <c r="O821" s="87" t="s">
        <v>6730</v>
      </c>
      <c r="P821" s="82" t="s">
        <v>635</v>
      </c>
      <c r="Q821" s="83">
        <f>VLOOKUP(TAB_ESTOQUE[[#This Row],[Codigo]],TAB_ENTRADA[[Cod_2_Entrada]:[TOTAL_ENTRADA]],5,FALSE)-VLOOKUP(TAB_ESTOQUE[[#This Row],[Codigo]],TAB_SAIDA[[COD_2_SAIDA]:[TOTAL_SAIDA]],5,FALSE)</f>
        <v>0</v>
      </c>
      <c r="R821" s="87"/>
      <c r="S821" s="87"/>
      <c r="T821" s="90"/>
      <c r="U821" s="91">
        <f>TAB_ESTOQUE[[#This Row],[Valor Unitario Estimado]]*TAB_ESTOQUE[[#This Row],[Estoque]]</f>
        <v>0</v>
      </c>
      <c r="V821" s="91"/>
      <c r="W821" s="85"/>
      <c r="X821" s="85"/>
      <c r="Y821" s="85"/>
      <c r="Z821" s="85"/>
      <c r="AA821" s="85"/>
      <c r="AB821" s="85" t="str">
        <f>IF(TAB_ESTOQUE[[#This Row],[Estoque]]=0,"Estoque Não Conforme",IF(TAB_ESTOQUE[[#This Row],[Estoque]]&gt;=TAB_ESTOQUE[[#This Row],[Mínimo]],"Estoque Conforme",IF(TAB_ESTOQUE[[#This Row],[Estoque]]&lt;TAB_ESTOQUE[[#This Row],[Mínimo]],"Estoque em Nivel Minimo")))</f>
        <v>Estoque Não Conforme</v>
      </c>
      <c r="AC821" s="85"/>
      <c r="AD821" s="82"/>
      <c r="AE821" s="82"/>
      <c r="AF821" s="82"/>
    </row>
    <row r="822" spans="1:32" ht="15" customHeight="1" x14ac:dyDescent="0.25">
      <c r="A822" s="45">
        <v>1709</v>
      </c>
      <c r="B822" s="47"/>
      <c r="C822" s="46" t="s">
        <v>2842</v>
      </c>
      <c r="D822" s="45" t="s">
        <v>2542</v>
      </c>
      <c r="E822" s="46" t="s">
        <v>832</v>
      </c>
      <c r="F822" s="87"/>
      <c r="G822" s="82"/>
      <c r="H822" s="82"/>
      <c r="I822" s="82" t="s">
        <v>831</v>
      </c>
      <c r="J822" s="82"/>
      <c r="K822" s="82"/>
      <c r="L822" s="82"/>
      <c r="M822" s="82"/>
      <c r="N822" s="82"/>
      <c r="O822" s="87" t="s">
        <v>6730</v>
      </c>
      <c r="P822" s="82" t="s">
        <v>910</v>
      </c>
      <c r="Q822" s="83">
        <f>VLOOKUP(TAB_ESTOQUE[[#This Row],[Codigo]],TAB_ENTRADA[[Cod_2_Entrada]:[TOTAL_ENTRADA]],5,FALSE)-VLOOKUP(TAB_ESTOQUE[[#This Row],[Codigo]],TAB_SAIDA[[COD_2_SAIDA]:[TOTAL_SAIDA]],5,FALSE)</f>
        <v>3</v>
      </c>
      <c r="R822" s="87"/>
      <c r="S822" s="87"/>
      <c r="T822" s="90"/>
      <c r="U822" s="91">
        <f>TAB_ESTOQUE[[#This Row],[Valor Unitario Estimado]]*TAB_ESTOQUE[[#This Row],[Estoque]]</f>
        <v>0</v>
      </c>
      <c r="V822" s="91"/>
      <c r="W822" s="85"/>
      <c r="X822" s="85"/>
      <c r="Y822" s="85"/>
      <c r="Z822" s="85"/>
      <c r="AA822" s="85"/>
      <c r="AB822" s="85" t="str">
        <f>IF(TAB_ESTOQUE[[#This Row],[Estoque]]=0,"Estoque Não Conforme",IF(TAB_ESTOQUE[[#This Row],[Estoque]]&gt;=TAB_ESTOQUE[[#This Row],[Mínimo]],"Estoque Conforme",IF(TAB_ESTOQUE[[#This Row],[Estoque]]&lt;TAB_ESTOQUE[[#This Row],[Mínimo]],"Estoque em Nivel Minimo")))</f>
        <v>Estoque Conforme</v>
      </c>
      <c r="AC822" s="85"/>
      <c r="AD822" s="82"/>
      <c r="AE822" s="82"/>
      <c r="AF822" s="82"/>
    </row>
    <row r="823" spans="1:32" ht="15" customHeight="1" x14ac:dyDescent="0.25">
      <c r="A823" s="45">
        <v>1187</v>
      </c>
      <c r="B823" s="47"/>
      <c r="C823" s="46"/>
      <c r="D823" s="45" t="s">
        <v>2543</v>
      </c>
      <c r="E823" s="46" t="s">
        <v>832</v>
      </c>
      <c r="F823" s="87"/>
      <c r="G823" s="82"/>
      <c r="H823" s="82"/>
      <c r="I823" s="82" t="s">
        <v>1558</v>
      </c>
      <c r="J823" s="82"/>
      <c r="K823" s="82"/>
      <c r="L823" s="82"/>
      <c r="M823" s="82" t="s">
        <v>515</v>
      </c>
      <c r="N823" s="82"/>
      <c r="O823" s="87" t="s">
        <v>6730</v>
      </c>
      <c r="P823" s="82" t="s">
        <v>910</v>
      </c>
      <c r="Q823" s="83">
        <f>VLOOKUP(TAB_ESTOQUE[[#This Row],[Codigo]],TAB_ENTRADA[[Cod_2_Entrada]:[TOTAL_ENTRADA]],5,FALSE)-VLOOKUP(TAB_ESTOQUE[[#This Row],[Codigo]],TAB_SAIDA[[COD_2_SAIDA]:[TOTAL_SAIDA]],5,FALSE)</f>
        <v>40</v>
      </c>
      <c r="R823" s="87"/>
      <c r="S823" s="87"/>
      <c r="T823" s="90">
        <v>42</v>
      </c>
      <c r="U823" s="91">
        <f>TAB_ESTOQUE[[#This Row],[Valor Unitario Estimado]]*TAB_ESTOQUE[[#This Row],[Estoque]]</f>
        <v>1680</v>
      </c>
      <c r="V823" s="91"/>
      <c r="W823" s="85"/>
      <c r="X823" s="85"/>
      <c r="Y823" s="85"/>
      <c r="Z823" s="85"/>
      <c r="AA823" s="85"/>
      <c r="AB823" s="85" t="str">
        <f>IF(TAB_ESTOQUE[[#This Row],[Estoque]]=0,"Estoque Não Conforme",IF(TAB_ESTOQUE[[#This Row],[Estoque]]&gt;=TAB_ESTOQUE[[#This Row],[Mínimo]],"Estoque Conforme",IF(TAB_ESTOQUE[[#This Row],[Estoque]]&lt;TAB_ESTOQUE[[#This Row],[Mínimo]],"Estoque em Nivel Minimo")))</f>
        <v>Estoque Conforme</v>
      </c>
      <c r="AC823" s="85"/>
      <c r="AD823" s="82"/>
      <c r="AE823" s="82"/>
      <c r="AF823" s="82"/>
    </row>
    <row r="824" spans="1:32" ht="15" customHeight="1" x14ac:dyDescent="0.25">
      <c r="A824" s="47">
        <v>848</v>
      </c>
      <c r="B824" s="47"/>
      <c r="C824" s="51"/>
      <c r="D824" s="47" t="s">
        <v>2544</v>
      </c>
      <c r="E824" s="51" t="s">
        <v>7</v>
      </c>
      <c r="F824" s="107"/>
      <c r="G824" s="94"/>
      <c r="H824" s="94"/>
      <c r="I824" s="94" t="s">
        <v>841</v>
      </c>
      <c r="J824" s="94"/>
      <c r="K824" s="94"/>
      <c r="L824" s="94"/>
      <c r="M824" s="94"/>
      <c r="N824" s="94"/>
      <c r="O824" s="107" t="s">
        <v>6730</v>
      </c>
      <c r="P824" s="94" t="s">
        <v>637</v>
      </c>
      <c r="Q824" s="145">
        <f>VLOOKUP(TAB_ESTOQUE[[#This Row],[Codigo]],TAB_ENTRADA[[Cod_2_Entrada]:[TOTAL_ENTRADA]],5,FALSE)-VLOOKUP(TAB_ESTOQUE[[#This Row],[Codigo]],TAB_SAIDA[[COD_2_SAIDA]:[TOTAL_SAIDA]],5,FALSE)</f>
        <v>0</v>
      </c>
      <c r="R824" s="107"/>
      <c r="S824" s="107"/>
      <c r="T824" s="108"/>
      <c r="U824" s="109">
        <f>TAB_ESTOQUE[[#This Row],[Valor Unitario Estimado]]*TAB_ESTOQUE[[#This Row],[Estoque]]</f>
        <v>0</v>
      </c>
      <c r="V824" s="109"/>
      <c r="W824" s="110"/>
      <c r="X824" s="110"/>
      <c r="Y824" s="110"/>
      <c r="Z824" s="110"/>
      <c r="AA824" s="110"/>
      <c r="AB824" s="110" t="str">
        <f>IF(TAB_ESTOQUE[[#This Row],[Estoque]]=0,"Estoque Não Conforme",IF(TAB_ESTOQUE[[#This Row],[Estoque]]&gt;=TAB_ESTOQUE[[#This Row],[Mínimo]],"Estoque Conforme",IF(TAB_ESTOQUE[[#This Row],[Estoque]]&lt;TAB_ESTOQUE[[#This Row],[Mínimo]],"Estoque em Nivel Minimo")))</f>
        <v>Estoque Não Conforme</v>
      </c>
      <c r="AC824" s="110"/>
      <c r="AD824" s="94"/>
      <c r="AE824" s="82"/>
      <c r="AF824" s="82"/>
    </row>
    <row r="825" spans="1:32" ht="15" customHeight="1" x14ac:dyDescent="0.25">
      <c r="A825" s="45">
        <v>1164</v>
      </c>
      <c r="B825" s="47"/>
      <c r="C825" s="46"/>
      <c r="D825" s="45" t="s">
        <v>2545</v>
      </c>
      <c r="E825" s="46" t="s">
        <v>7</v>
      </c>
      <c r="F825" s="87"/>
      <c r="G825" s="82"/>
      <c r="H825" s="82"/>
      <c r="I825" s="82" t="s">
        <v>839</v>
      </c>
      <c r="J825" s="82"/>
      <c r="K825" s="82"/>
      <c r="L825" s="82"/>
      <c r="M825" s="82" t="s">
        <v>515</v>
      </c>
      <c r="N825" s="82"/>
      <c r="O825" s="87" t="s">
        <v>6730</v>
      </c>
      <c r="P825" s="82" t="s">
        <v>886</v>
      </c>
      <c r="Q825" s="83">
        <f>VLOOKUP(TAB_ESTOQUE[[#This Row],[Codigo]],TAB_ENTRADA[[Cod_2_Entrada]:[TOTAL_ENTRADA]],5,FALSE)-VLOOKUP(TAB_ESTOQUE[[#This Row],[Codigo]],TAB_SAIDA[[COD_2_SAIDA]:[TOTAL_SAIDA]],5,FALSE)</f>
        <v>0</v>
      </c>
      <c r="R825" s="87"/>
      <c r="S825" s="87"/>
      <c r="T825" s="90"/>
      <c r="U825" s="91">
        <f>TAB_ESTOQUE[[#This Row],[Valor Unitario Estimado]]*TAB_ESTOQUE[[#This Row],[Estoque]]</f>
        <v>0</v>
      </c>
      <c r="V825" s="91"/>
      <c r="W825" s="85"/>
      <c r="X825" s="85"/>
      <c r="Y825" s="85"/>
      <c r="Z825" s="85"/>
      <c r="AA825" s="85"/>
      <c r="AB825" s="85" t="str">
        <f>IF(TAB_ESTOQUE[[#This Row],[Estoque]]=0,"Estoque Não Conforme",IF(TAB_ESTOQUE[[#This Row],[Estoque]]&gt;=TAB_ESTOQUE[[#This Row],[Mínimo]],"Estoque Conforme",IF(TAB_ESTOQUE[[#This Row],[Estoque]]&lt;TAB_ESTOQUE[[#This Row],[Mínimo]],"Estoque em Nivel Minimo")))</f>
        <v>Estoque Não Conforme</v>
      </c>
      <c r="AC825" s="85"/>
      <c r="AD825" s="82"/>
      <c r="AE825" s="82"/>
      <c r="AF825" s="82"/>
    </row>
    <row r="826" spans="1:32" ht="15" customHeight="1" x14ac:dyDescent="0.25">
      <c r="A826" s="45">
        <v>1702</v>
      </c>
      <c r="B826" s="47"/>
      <c r="C826" s="46" t="s">
        <v>2833</v>
      </c>
      <c r="D826" s="45" t="s">
        <v>2562</v>
      </c>
      <c r="E826" s="46" t="s">
        <v>832</v>
      </c>
      <c r="F826" s="87"/>
      <c r="G826" s="82"/>
      <c r="H826" s="82"/>
      <c r="I826" s="82" t="s">
        <v>1569</v>
      </c>
      <c r="J826" s="82"/>
      <c r="K826" s="82"/>
      <c r="L826" s="82"/>
      <c r="M826" s="82"/>
      <c r="N826" s="82"/>
      <c r="O826" s="87" t="s">
        <v>6730</v>
      </c>
      <c r="P826" s="82" t="s">
        <v>1133</v>
      </c>
      <c r="Q826" s="83">
        <f>VLOOKUP(TAB_ESTOQUE[[#This Row],[Codigo]],TAB_ENTRADA[[Cod_2_Entrada]:[TOTAL_ENTRADA]],5,FALSE)-VLOOKUP(TAB_ESTOQUE[[#This Row],[Codigo]],TAB_SAIDA[[COD_2_SAIDA]:[TOTAL_SAIDA]],5,FALSE)</f>
        <v>0</v>
      </c>
      <c r="R826" s="87"/>
      <c r="S826" s="87"/>
      <c r="T826" s="90"/>
      <c r="U826" s="91">
        <f>TAB_ESTOQUE[[#This Row],[Valor Unitario Estimado]]*TAB_ESTOQUE[[#This Row],[Estoque]]</f>
        <v>0</v>
      </c>
      <c r="V826" s="91"/>
      <c r="W826" s="85"/>
      <c r="X826" s="85"/>
      <c r="Y826" s="85"/>
      <c r="Z826" s="85"/>
      <c r="AA826" s="85"/>
      <c r="AB826" s="85" t="str">
        <f>IF(TAB_ESTOQUE[[#This Row],[Estoque]]=0,"Estoque Não Conforme",IF(TAB_ESTOQUE[[#This Row],[Estoque]]&gt;=TAB_ESTOQUE[[#This Row],[Mínimo]],"Estoque Conforme",IF(TAB_ESTOQUE[[#This Row],[Estoque]]&lt;TAB_ESTOQUE[[#This Row],[Mínimo]],"Estoque em Nivel Minimo")))</f>
        <v>Estoque Não Conforme</v>
      </c>
      <c r="AC826" s="85"/>
      <c r="AD826" s="82"/>
      <c r="AE826" s="82"/>
      <c r="AF826" s="82"/>
    </row>
    <row r="827" spans="1:32" ht="15" customHeight="1" x14ac:dyDescent="0.25">
      <c r="C827" s="48"/>
      <c r="D827" s="45" t="s">
        <v>7627</v>
      </c>
      <c r="E827" s="46" t="s">
        <v>1236</v>
      </c>
      <c r="F827" s="46"/>
      <c r="I827" s="45" t="s">
        <v>8125</v>
      </c>
      <c r="O827" s="116" t="s">
        <v>6730</v>
      </c>
      <c r="Q827" s="137">
        <f>VLOOKUP(TAB_ESTOQUE[[#This Row],[Codigo]],TAB_ENTRADA[[Cod_2_Entrada]:[TOTAL_ENTRADA]],5,FALSE)-VLOOKUP(TAB_ESTOQUE[[#This Row],[Codigo]],TAB_SAIDA[[COD_2_SAIDA]:[TOTAL_SAIDA]],5,FALSE)</f>
        <v>1</v>
      </c>
      <c r="S827" s="46"/>
      <c r="T827" s="102">
        <v>53700</v>
      </c>
      <c r="U827" s="103">
        <f>TAB_ESTOQUE[[#This Row],[Valor Unitario Estimado]]*TAB_ESTOQUE[[#This Row],[Estoque]]</f>
        <v>53700</v>
      </c>
      <c r="V827" s="103"/>
      <c r="AA827" s="138"/>
      <c r="AB827" s="104" t="str">
        <f>IF(TAB_ESTOQUE[[#This Row],[Estoque]]=0,"Estoque Não Conforme",IF(TAB_ESTOQUE[[#This Row],[Estoque]]&gt;=TAB_ESTOQUE[[#This Row],[Mínimo]],"Estoque Conforme",IF(TAB_ESTOQUE[[#This Row],[Estoque]]&lt;TAB_ESTOQUE[[#This Row],[Mínimo]],"Estoque em Nivel Minimo")))</f>
        <v>Estoque Conforme</v>
      </c>
      <c r="AC827" s="104"/>
      <c r="AE827" s="82"/>
      <c r="AF827" s="82"/>
    </row>
    <row r="828" spans="1:32" s="106" customFormat="1" ht="15" customHeight="1" x14ac:dyDescent="0.25">
      <c r="A828" s="106">
        <v>889</v>
      </c>
      <c r="C828" s="116" t="s">
        <v>2842</v>
      </c>
      <c r="D828" s="106" t="s">
        <v>1689</v>
      </c>
      <c r="E828" s="116" t="s">
        <v>7</v>
      </c>
      <c r="F828" s="118"/>
      <c r="G828" s="95"/>
      <c r="H828" s="95"/>
      <c r="I828" s="117" t="s">
        <v>6770</v>
      </c>
      <c r="J828" s="95"/>
      <c r="K828" s="95"/>
      <c r="L828" s="95"/>
      <c r="M828" s="95"/>
      <c r="N828" s="95"/>
      <c r="O828" s="118" t="s">
        <v>8738</v>
      </c>
      <c r="P828" s="95" t="s">
        <v>690</v>
      </c>
      <c r="Q828" s="83">
        <f>VLOOKUP(TAB_ESTOQUE[[#This Row],[Codigo]],TAB_ENTRADA[[Cod_2_Entrada]:[TOTAL_ENTRADA]],5,FALSE)-VLOOKUP(TAB_ESTOQUE[[#This Row],[Codigo]],TAB_SAIDA[[COD_2_SAIDA]:[TOTAL_SAIDA]],5,FALSE)</f>
        <v>0</v>
      </c>
      <c r="R828" s="118"/>
      <c r="S828" s="118"/>
      <c r="T828" s="119">
        <v>2535</v>
      </c>
      <c r="U828" s="112">
        <f>TAB_ESTOQUE[[#This Row],[Valor Unitario Estimado]]*TAB_ESTOQUE[[#This Row],[Estoque]]</f>
        <v>0</v>
      </c>
      <c r="V828" s="112"/>
      <c r="W828" s="120"/>
      <c r="X828" s="120"/>
      <c r="Y828" s="120"/>
      <c r="Z828" s="120"/>
      <c r="AA828" s="120"/>
      <c r="AB828" s="120" t="str">
        <f>IF(TAB_ESTOQUE[[#This Row],[Estoque]]=0,"Estoque Não Conforme",IF(TAB_ESTOQUE[[#This Row],[Estoque]]&gt;=TAB_ESTOQUE[[#This Row],[Mínimo]],"Estoque Conforme",IF(TAB_ESTOQUE[[#This Row],[Estoque]]&lt;TAB_ESTOQUE[[#This Row],[Mínimo]],"Estoque em Nivel Minimo")))</f>
        <v>Estoque Não Conforme</v>
      </c>
      <c r="AC828" s="120"/>
      <c r="AD828" s="95"/>
      <c r="AE828" s="95"/>
      <c r="AF828" s="95"/>
    </row>
    <row r="829" spans="1:32" ht="15" customHeight="1" x14ac:dyDescent="0.25">
      <c r="A829" s="47">
        <v>1349</v>
      </c>
      <c r="B829" s="47"/>
      <c r="C829" s="51" t="s">
        <v>2838</v>
      </c>
      <c r="D829" s="47" t="s">
        <v>1690</v>
      </c>
      <c r="E829" s="51" t="s">
        <v>7</v>
      </c>
      <c r="F829" s="107"/>
      <c r="G829" s="94"/>
      <c r="H829" s="94"/>
      <c r="I829" s="94" t="s">
        <v>2776</v>
      </c>
      <c r="J829" s="94"/>
      <c r="K829" s="94"/>
      <c r="L829" s="94"/>
      <c r="M829" s="94"/>
      <c r="N829" s="94"/>
      <c r="O829" s="107" t="s">
        <v>8738</v>
      </c>
      <c r="P829" s="94" t="s">
        <v>3109</v>
      </c>
      <c r="Q829" s="145">
        <f>VLOOKUP(TAB_ESTOQUE[[#This Row],[Codigo]],TAB_ENTRADA[[Cod_2_Entrada]:[TOTAL_ENTRADA]],5,FALSE)-VLOOKUP(TAB_ESTOQUE[[#This Row],[Codigo]],TAB_SAIDA[[COD_2_SAIDA]:[TOTAL_SAIDA]],5,FALSE)</f>
        <v>0</v>
      </c>
      <c r="R829" s="107"/>
      <c r="S829" s="107"/>
      <c r="T829" s="108"/>
      <c r="U829" s="109">
        <f>TAB_ESTOQUE[[#This Row],[Valor Unitario Estimado]]*TAB_ESTOQUE[[#This Row],[Estoque]]</f>
        <v>0</v>
      </c>
      <c r="V829" s="109"/>
      <c r="W829" s="110"/>
      <c r="X829" s="110"/>
      <c r="Y829" s="110"/>
      <c r="Z829" s="110"/>
      <c r="AA829" s="110"/>
      <c r="AB829" s="110" t="str">
        <f>IF(TAB_ESTOQUE[[#This Row],[Estoque]]=0,"Estoque Não Conforme",IF(TAB_ESTOQUE[[#This Row],[Estoque]]&gt;=TAB_ESTOQUE[[#This Row],[Mínimo]],"Estoque Conforme",IF(TAB_ESTOQUE[[#This Row],[Estoque]]&lt;TAB_ESTOQUE[[#This Row],[Mínimo]],"Estoque em Nivel Minimo")))</f>
        <v>Estoque Não Conforme</v>
      </c>
      <c r="AC829" s="110"/>
      <c r="AD829" s="94"/>
      <c r="AE829" s="82"/>
      <c r="AF829" s="82"/>
    </row>
    <row r="830" spans="1:32" ht="15" customHeight="1" x14ac:dyDescent="0.25">
      <c r="A830" s="45">
        <v>631</v>
      </c>
      <c r="B830" s="47"/>
      <c r="C830" s="46"/>
      <c r="D830" s="45" t="s">
        <v>1814</v>
      </c>
      <c r="E830" s="46" t="s">
        <v>1324</v>
      </c>
      <c r="F830" s="87"/>
      <c r="G830" s="82"/>
      <c r="H830" s="82"/>
      <c r="I830" s="82" t="s">
        <v>8398</v>
      </c>
      <c r="J830" s="82"/>
      <c r="K830" s="82"/>
      <c r="L830" s="82"/>
      <c r="M830" s="82"/>
      <c r="N830" s="82"/>
      <c r="O830" s="87" t="s">
        <v>8739</v>
      </c>
      <c r="P830" s="82" t="s">
        <v>409</v>
      </c>
      <c r="Q830" s="83">
        <f>VLOOKUP(TAB_ESTOQUE[[#This Row],[Codigo]],TAB_ENTRADA[[Cod_2_Entrada]:[TOTAL_ENTRADA]],5,FALSE)-VLOOKUP(TAB_ESTOQUE[[#This Row],[Codigo]],TAB_SAIDA[[COD_2_SAIDA]:[TOTAL_SAIDA]],5,FALSE)</f>
        <v>1</v>
      </c>
      <c r="R830" s="87"/>
      <c r="S830" s="87"/>
      <c r="T830" s="90">
        <v>4918.6499999999996</v>
      </c>
      <c r="U830" s="91">
        <f>TAB_ESTOQUE[[#This Row],[Valor Unitario Estimado]]*TAB_ESTOQUE[[#This Row],[Estoque]]</f>
        <v>4918.6499999999996</v>
      </c>
      <c r="V830" s="91"/>
      <c r="W830" s="85"/>
      <c r="X830" s="85"/>
      <c r="Y830" s="85"/>
      <c r="Z830" s="85"/>
      <c r="AA830" s="85"/>
      <c r="AB830" s="85" t="str">
        <f>IF(TAB_ESTOQUE[[#This Row],[Estoque]]=0,"Estoque Não Conforme",IF(TAB_ESTOQUE[[#This Row],[Estoque]]&gt;=TAB_ESTOQUE[[#This Row],[Mínimo]],"Estoque Conforme",IF(TAB_ESTOQUE[[#This Row],[Estoque]]&lt;TAB_ESTOQUE[[#This Row],[Mínimo]],"Estoque em Nivel Minimo")))</f>
        <v>Estoque Conforme</v>
      </c>
      <c r="AC830" s="85"/>
      <c r="AD830" s="82"/>
      <c r="AE830" s="82"/>
      <c r="AF830" s="82"/>
    </row>
    <row r="831" spans="1:32" ht="15" customHeight="1" x14ac:dyDescent="0.25">
      <c r="A831" s="45">
        <v>742</v>
      </c>
      <c r="B831" s="47"/>
      <c r="C831" s="46" t="s">
        <v>2833</v>
      </c>
      <c r="D831" s="45" t="s">
        <v>2326</v>
      </c>
      <c r="E831" s="46" t="s">
        <v>7</v>
      </c>
      <c r="F831" s="87"/>
      <c r="G831" s="82"/>
      <c r="H831" s="82"/>
      <c r="I831" s="82" t="s">
        <v>7951</v>
      </c>
      <c r="J831" s="82"/>
      <c r="K831" s="82"/>
      <c r="L831" s="82"/>
      <c r="M831" s="82" t="s">
        <v>209</v>
      </c>
      <c r="N831" s="82"/>
      <c r="O831" s="87" t="s">
        <v>8739</v>
      </c>
      <c r="P831" s="82" t="s">
        <v>533</v>
      </c>
      <c r="Q831" s="83">
        <f>VLOOKUP(TAB_ESTOQUE[[#This Row],[Codigo]],TAB_ENTRADA[[Cod_2_Entrada]:[TOTAL_ENTRADA]],5,FALSE)-VLOOKUP(TAB_ESTOQUE[[#This Row],[Codigo]],TAB_SAIDA[[COD_2_SAIDA]:[TOTAL_SAIDA]],5,FALSE)</f>
        <v>10</v>
      </c>
      <c r="R831" s="87"/>
      <c r="S831" s="87"/>
      <c r="T831" s="90">
        <v>164</v>
      </c>
      <c r="U831" s="91">
        <f>TAB_ESTOQUE[[#This Row],[Valor Unitario Estimado]]*TAB_ESTOQUE[[#This Row],[Estoque]]</f>
        <v>1640</v>
      </c>
      <c r="V831" s="91"/>
      <c r="W831" s="85"/>
      <c r="X831" s="85"/>
      <c r="Y831" s="85"/>
      <c r="Z831" s="85"/>
      <c r="AA831" s="85"/>
      <c r="AB831" s="85" t="str">
        <f>IF(TAB_ESTOQUE[[#This Row],[Estoque]]=0,"Estoque Não Conforme",IF(TAB_ESTOQUE[[#This Row],[Estoque]]&gt;=TAB_ESTOQUE[[#This Row],[Mínimo]],"Estoque Conforme",IF(TAB_ESTOQUE[[#This Row],[Estoque]]&lt;TAB_ESTOQUE[[#This Row],[Mínimo]],"Estoque em Nivel Minimo")))</f>
        <v>Estoque Conforme</v>
      </c>
      <c r="AC831" s="85"/>
      <c r="AD831" s="82"/>
      <c r="AE831" s="82"/>
      <c r="AF831" s="82"/>
    </row>
    <row r="832" spans="1:32" ht="15" customHeight="1" x14ac:dyDescent="0.25">
      <c r="A832" s="45">
        <v>1363</v>
      </c>
      <c r="B832" s="47"/>
      <c r="C832" s="46"/>
      <c r="D832" s="45" t="s">
        <v>2327</v>
      </c>
      <c r="E832" s="46" t="s">
        <v>7</v>
      </c>
      <c r="F832" s="87"/>
      <c r="G832" s="82"/>
      <c r="H832" s="82"/>
      <c r="I832" s="82" t="s">
        <v>7952</v>
      </c>
      <c r="J832" s="82"/>
      <c r="K832" s="82"/>
      <c r="L832" s="82"/>
      <c r="M832" s="82"/>
      <c r="N832" s="82"/>
      <c r="O832" s="87" t="s">
        <v>8739</v>
      </c>
      <c r="P832" s="82" t="s">
        <v>1097</v>
      </c>
      <c r="Q832" s="83">
        <f>VLOOKUP(TAB_ESTOQUE[[#This Row],[Codigo]],TAB_ENTRADA[[Cod_2_Entrada]:[TOTAL_ENTRADA]],5,FALSE)-VLOOKUP(TAB_ESTOQUE[[#This Row],[Codigo]],TAB_SAIDA[[COD_2_SAIDA]:[TOTAL_SAIDA]],5,FALSE)</f>
        <v>20</v>
      </c>
      <c r="R832" s="87"/>
      <c r="S832" s="87"/>
      <c r="T832" s="90">
        <v>178.5</v>
      </c>
      <c r="U832" s="91">
        <f>TAB_ESTOQUE[[#This Row],[Valor Unitario Estimado]]*TAB_ESTOQUE[[#This Row],[Estoque]]</f>
        <v>3570</v>
      </c>
      <c r="V832" s="91"/>
      <c r="W832" s="85"/>
      <c r="X832" s="85"/>
      <c r="Y832" s="85"/>
      <c r="Z832" s="85"/>
      <c r="AA832" s="85"/>
      <c r="AB832" s="85" t="str">
        <f>IF(TAB_ESTOQUE[[#This Row],[Estoque]]=0,"Estoque Não Conforme",IF(TAB_ESTOQUE[[#This Row],[Estoque]]&gt;=TAB_ESTOQUE[[#This Row],[Mínimo]],"Estoque Conforme",IF(TAB_ESTOQUE[[#This Row],[Estoque]]&lt;TAB_ESTOQUE[[#This Row],[Mínimo]],"Estoque em Nivel Minimo")))</f>
        <v>Estoque Conforme</v>
      </c>
      <c r="AC832" s="85"/>
      <c r="AD832" s="82"/>
      <c r="AE832" s="82"/>
      <c r="AF832" s="82"/>
    </row>
    <row r="833" spans="1:32" ht="15" customHeight="1" x14ac:dyDescent="0.25">
      <c r="A833" s="47">
        <v>809</v>
      </c>
      <c r="B833" s="47"/>
      <c r="C833" s="51"/>
      <c r="D833" s="47" t="s">
        <v>2350</v>
      </c>
      <c r="E833" s="51" t="s">
        <v>7</v>
      </c>
      <c r="F833" s="107"/>
      <c r="G833" s="94"/>
      <c r="H833" s="94"/>
      <c r="I833" s="94" t="s">
        <v>6194</v>
      </c>
      <c r="J833" s="94"/>
      <c r="K833" s="94"/>
      <c r="L833" s="94"/>
      <c r="M833" s="94"/>
      <c r="N833" s="94"/>
      <c r="O833" s="107" t="s">
        <v>8752</v>
      </c>
      <c r="P833" s="94" t="s">
        <v>596</v>
      </c>
      <c r="Q833" s="145">
        <f>VLOOKUP(TAB_ESTOQUE[[#This Row],[Codigo]],TAB_ENTRADA[[Cod_2_Entrada]:[TOTAL_ENTRADA]],5,FALSE)-VLOOKUP(TAB_ESTOQUE[[#This Row],[Codigo]],TAB_SAIDA[[COD_2_SAIDA]:[TOTAL_SAIDA]],5,FALSE)</f>
        <v>0.2</v>
      </c>
      <c r="R833" s="107"/>
      <c r="S833" s="107"/>
      <c r="T833" s="108"/>
      <c r="U833" s="109">
        <f>TAB_ESTOQUE[[#This Row],[Valor Unitario Estimado]]*TAB_ESTOQUE[[#This Row],[Estoque]]</f>
        <v>0</v>
      </c>
      <c r="V833" s="109"/>
      <c r="W833" s="110"/>
      <c r="X833" s="110"/>
      <c r="Y833" s="110"/>
      <c r="Z833" s="110"/>
      <c r="AA833" s="110"/>
      <c r="AB833" s="110" t="str">
        <f>IF(TAB_ESTOQUE[[#This Row],[Estoque]]=0,"Estoque Não Conforme",IF(TAB_ESTOQUE[[#This Row],[Estoque]]&gt;=TAB_ESTOQUE[[#This Row],[Mínimo]],"Estoque Conforme",IF(TAB_ESTOQUE[[#This Row],[Estoque]]&lt;TAB_ESTOQUE[[#This Row],[Mínimo]],"Estoque em Nivel Minimo")))</f>
        <v>Estoque Conforme</v>
      </c>
      <c r="AC833" s="110"/>
      <c r="AD833" s="94"/>
      <c r="AE833" s="82"/>
      <c r="AF833" s="82"/>
    </row>
    <row r="834" spans="1:32" ht="15" customHeight="1" x14ac:dyDescent="0.25">
      <c r="A834" s="106">
        <v>778</v>
      </c>
      <c r="B834" s="106"/>
      <c r="C834" s="116"/>
      <c r="D834" s="106" t="s">
        <v>2351</v>
      </c>
      <c r="E834" s="116" t="s">
        <v>7</v>
      </c>
      <c r="F834" s="118"/>
      <c r="G834" s="95"/>
      <c r="H834" s="95"/>
      <c r="I834" s="95" t="s">
        <v>6195</v>
      </c>
      <c r="J834" s="95"/>
      <c r="K834" s="95"/>
      <c r="L834" s="95"/>
      <c r="M834" s="95"/>
      <c r="N834" s="95"/>
      <c r="O834" s="118" t="s">
        <v>8752</v>
      </c>
      <c r="P834" s="95" t="s">
        <v>564</v>
      </c>
      <c r="Q834" s="154">
        <f>VLOOKUP(TAB_ESTOQUE[[#This Row],[Codigo]],TAB_ENTRADA[[Cod_2_Entrada]:[TOTAL_ENTRADA]],5,FALSE)-VLOOKUP(TAB_ESTOQUE[[#This Row],[Codigo]],TAB_SAIDA[[COD_2_SAIDA]:[TOTAL_SAIDA]],5,FALSE)</f>
        <v>0.2</v>
      </c>
      <c r="R834" s="118"/>
      <c r="S834" s="118"/>
      <c r="T834" s="119"/>
      <c r="U834" s="112">
        <f>TAB_ESTOQUE[[#This Row],[Valor Unitario Estimado]]*TAB_ESTOQUE[[#This Row],[Estoque]]</f>
        <v>0</v>
      </c>
      <c r="V834" s="112"/>
      <c r="W834" s="120"/>
      <c r="X834" s="120"/>
      <c r="Y834" s="120"/>
      <c r="Z834" s="120"/>
      <c r="AA834" s="120"/>
      <c r="AB834" s="120" t="str">
        <f>IF(TAB_ESTOQUE[[#This Row],[Estoque]]=0,"Estoque Não Conforme",IF(TAB_ESTOQUE[[#This Row],[Estoque]]&gt;=TAB_ESTOQUE[[#This Row],[Mínimo]],"Estoque Conforme",IF(TAB_ESTOQUE[[#This Row],[Estoque]]&lt;TAB_ESTOQUE[[#This Row],[Mínimo]],"Estoque em Nivel Minimo")))</f>
        <v>Estoque Conforme</v>
      </c>
      <c r="AC834" s="120"/>
      <c r="AD834" s="95"/>
      <c r="AE834" s="82"/>
      <c r="AF834" s="82"/>
    </row>
    <row r="835" spans="1:32" ht="15" customHeight="1" x14ac:dyDescent="0.25">
      <c r="A835" s="47">
        <v>840</v>
      </c>
      <c r="B835" s="47"/>
      <c r="C835" s="51"/>
      <c r="D835" s="47" t="s">
        <v>2352</v>
      </c>
      <c r="E835" s="51" t="s">
        <v>7</v>
      </c>
      <c r="F835" s="107"/>
      <c r="G835" s="94"/>
      <c r="H835" s="94"/>
      <c r="I835" s="94" t="s">
        <v>6196</v>
      </c>
      <c r="J835" s="94"/>
      <c r="K835" s="94"/>
      <c r="L835" s="94"/>
      <c r="M835" s="94"/>
      <c r="N835" s="94"/>
      <c r="O835" s="107" t="s">
        <v>8752</v>
      </c>
      <c r="P835" s="94" t="s">
        <v>629</v>
      </c>
      <c r="Q835" s="145">
        <f>VLOOKUP(TAB_ESTOQUE[[#This Row],[Codigo]],TAB_ENTRADA[[Cod_2_Entrada]:[TOTAL_ENTRADA]],5,FALSE)-VLOOKUP(TAB_ESTOQUE[[#This Row],[Codigo]],TAB_SAIDA[[COD_2_SAIDA]:[TOTAL_SAIDA]],5,FALSE)</f>
        <v>0</v>
      </c>
      <c r="R835" s="107"/>
      <c r="S835" s="107"/>
      <c r="T835" s="108"/>
      <c r="U835" s="109">
        <f>TAB_ESTOQUE[[#This Row],[Valor Unitario Estimado]]*TAB_ESTOQUE[[#This Row],[Estoque]]</f>
        <v>0</v>
      </c>
      <c r="V835" s="109"/>
      <c r="W835" s="110"/>
      <c r="X835" s="110"/>
      <c r="Y835" s="110"/>
      <c r="Z835" s="110"/>
      <c r="AA835" s="110"/>
      <c r="AB835" s="110" t="str">
        <f>IF(TAB_ESTOQUE[[#This Row],[Estoque]]=0,"Estoque Não Conforme",IF(TAB_ESTOQUE[[#This Row],[Estoque]]&gt;=TAB_ESTOQUE[[#This Row],[Mínimo]],"Estoque Conforme",IF(TAB_ESTOQUE[[#This Row],[Estoque]]&lt;TAB_ESTOQUE[[#This Row],[Mínimo]],"Estoque em Nivel Minimo")))</f>
        <v>Estoque Não Conforme</v>
      </c>
      <c r="AC835" s="110"/>
      <c r="AD835" s="94"/>
      <c r="AE835" s="82"/>
      <c r="AF835" s="82"/>
    </row>
    <row r="836" spans="1:32" s="106" customFormat="1" ht="15" customHeight="1" x14ac:dyDescent="0.25">
      <c r="A836" s="45"/>
      <c r="B836" s="47"/>
      <c r="C836" s="46"/>
      <c r="D836" s="45" t="s">
        <v>2732</v>
      </c>
      <c r="E836" s="46" t="s">
        <v>135</v>
      </c>
      <c r="F836" s="87"/>
      <c r="G836" s="82"/>
      <c r="H836" s="82"/>
      <c r="I836" s="82" t="s">
        <v>3650</v>
      </c>
      <c r="J836" s="82"/>
      <c r="K836" s="82"/>
      <c r="L836" s="82"/>
      <c r="M836" s="82"/>
      <c r="N836" s="82"/>
      <c r="O836" s="87" t="s">
        <v>8752</v>
      </c>
      <c r="P836" s="82" t="s">
        <v>2775</v>
      </c>
      <c r="Q836" s="83">
        <f>VLOOKUP(TAB_ESTOQUE[[#This Row],[Codigo]],TAB_ENTRADA[[Cod_2_Entrada]:[TOTAL_ENTRADA]],5,FALSE)-VLOOKUP(TAB_ESTOQUE[[#This Row],[Codigo]],TAB_SAIDA[[COD_2_SAIDA]:[TOTAL_SAIDA]],5,FALSE)</f>
        <v>1</v>
      </c>
      <c r="R836" s="87"/>
      <c r="S836" s="87"/>
      <c r="T836" s="90">
        <v>103.94</v>
      </c>
      <c r="U836" s="91">
        <f>TAB_ESTOQUE[[#This Row],[Valor Unitario Estimado]]*TAB_ESTOQUE[[#This Row],[Estoque]]</f>
        <v>103.94</v>
      </c>
      <c r="V836" s="91"/>
      <c r="W836" s="85"/>
      <c r="X836" s="85"/>
      <c r="Y836" s="85"/>
      <c r="Z836" s="85"/>
      <c r="AA836" s="85"/>
      <c r="AB836" s="96" t="str">
        <f>IF(TAB_ESTOQUE[[#This Row],[Estoque]]=0,"Estoque Não Conforme",IF(TAB_ESTOQUE[[#This Row],[Estoque]]&gt;=TAB_ESTOQUE[[#This Row],[Mínimo]],"Estoque Conforme",IF(TAB_ESTOQUE[[#This Row],[Estoque]]&lt;TAB_ESTOQUE[[#This Row],[Mínimo]],"Estoque em Nivel Minimo")))</f>
        <v>Estoque Conforme</v>
      </c>
      <c r="AC836" s="85"/>
      <c r="AD836" s="82"/>
      <c r="AE836" s="95"/>
      <c r="AF836" s="95"/>
    </row>
    <row r="837" spans="1:32" s="47" customFormat="1" ht="15" customHeight="1" x14ac:dyDescent="0.25">
      <c r="A837" s="45"/>
      <c r="C837" s="46"/>
      <c r="D837" s="45" t="s">
        <v>2733</v>
      </c>
      <c r="E837" s="46" t="s">
        <v>135</v>
      </c>
      <c r="F837" s="87"/>
      <c r="G837" s="82"/>
      <c r="H837" s="82"/>
      <c r="I837" s="97" t="s">
        <v>6692</v>
      </c>
      <c r="J837" s="82"/>
      <c r="K837" s="82"/>
      <c r="L837" s="82"/>
      <c r="M837" s="82"/>
      <c r="N837" s="82"/>
      <c r="O837" s="87" t="s">
        <v>8752</v>
      </c>
      <c r="P837" s="82" t="s">
        <v>1334</v>
      </c>
      <c r="Q837" s="83">
        <f>VLOOKUP(TAB_ESTOQUE[[#This Row],[Codigo]],TAB_ENTRADA[[Cod_2_Entrada]:[TOTAL_ENTRADA]],5,FALSE)-VLOOKUP(TAB_ESTOQUE[[#This Row],[Codigo]],TAB_SAIDA[[COD_2_SAIDA]:[TOTAL_SAIDA]],5,FALSE)</f>
        <v>1</v>
      </c>
      <c r="R837" s="87"/>
      <c r="S837" s="87"/>
      <c r="T837" s="90">
        <v>5940.3985140000004</v>
      </c>
      <c r="U837" s="91">
        <f>TAB_ESTOQUE[[#This Row],[Valor Unitario Estimado]]*TAB_ESTOQUE[[#This Row],[Estoque]]</f>
        <v>5940.3985140000004</v>
      </c>
      <c r="V837" s="91"/>
      <c r="W837" s="85"/>
      <c r="X837" s="85"/>
      <c r="Y837" s="85"/>
      <c r="Z837" s="85"/>
      <c r="AA837" s="85"/>
      <c r="AB837" s="85" t="str">
        <f>IF(TAB_ESTOQUE[[#This Row],[Estoque]]=0,"Estoque Não Conforme",IF(TAB_ESTOQUE[[#This Row],[Estoque]]&gt;=TAB_ESTOQUE[[#This Row],[Mínimo]],"Estoque Conforme",IF(TAB_ESTOQUE[[#This Row],[Estoque]]&lt;TAB_ESTOQUE[[#This Row],[Mínimo]],"Estoque em Nivel Minimo")))</f>
        <v>Estoque Conforme</v>
      </c>
      <c r="AC837" s="85"/>
      <c r="AD837" s="82"/>
      <c r="AE837" s="94"/>
      <c r="AF837" s="94"/>
    </row>
    <row r="838" spans="1:32" s="106" customFormat="1" ht="15" customHeight="1" x14ac:dyDescent="0.25">
      <c r="A838" s="45">
        <v>542</v>
      </c>
      <c r="B838" s="47"/>
      <c r="C838" s="46"/>
      <c r="D838" s="45" t="s">
        <v>2040</v>
      </c>
      <c r="E838" s="46" t="s">
        <v>1240</v>
      </c>
      <c r="F838" s="87"/>
      <c r="G838" s="82"/>
      <c r="H838" s="82"/>
      <c r="I838" s="94" t="s">
        <v>8497</v>
      </c>
      <c r="J838" s="82"/>
      <c r="K838" s="82"/>
      <c r="L838" s="82"/>
      <c r="M838" s="82"/>
      <c r="N838" s="82"/>
      <c r="O838" s="87" t="s">
        <v>8745</v>
      </c>
      <c r="P838" s="82" t="s">
        <v>316</v>
      </c>
      <c r="Q838" s="83">
        <f>VLOOKUP(TAB_ESTOQUE[[#This Row],[Codigo]],TAB_ENTRADA[[Cod_2_Entrada]:[TOTAL_ENTRADA]],5,FALSE)-VLOOKUP(TAB_ESTOQUE[[#This Row],[Codigo]],TAB_SAIDA[[COD_2_SAIDA]:[TOTAL_SAIDA]],5,FALSE)</f>
        <v>1</v>
      </c>
      <c r="R838" s="87"/>
      <c r="S838" s="87"/>
      <c r="T838" s="90"/>
      <c r="U838" s="91">
        <f>TAB_ESTOQUE[[#This Row],[Valor Unitario Estimado]]*TAB_ESTOQUE[[#This Row],[Estoque]]</f>
        <v>0</v>
      </c>
      <c r="V838" s="91"/>
      <c r="W838" s="85"/>
      <c r="X838" s="85"/>
      <c r="Y838" s="85"/>
      <c r="Z838" s="85"/>
      <c r="AA838" s="85"/>
      <c r="AB838" s="85" t="str">
        <f>IF(TAB_ESTOQUE[[#This Row],[Estoque]]=0,"Estoque Não Conforme",IF(TAB_ESTOQUE[[#This Row],[Estoque]]&gt;=TAB_ESTOQUE[[#This Row],[Mínimo]],"Estoque Conforme",IF(TAB_ESTOQUE[[#This Row],[Estoque]]&lt;TAB_ESTOQUE[[#This Row],[Mínimo]],"Estoque em Nivel Minimo")))</f>
        <v>Estoque Conforme</v>
      </c>
      <c r="AC838" s="85"/>
      <c r="AD838" s="82"/>
      <c r="AE838" s="95"/>
      <c r="AF838" s="95"/>
    </row>
    <row r="839" spans="1:32" s="161" customFormat="1" ht="14.25" customHeight="1" x14ac:dyDescent="0.25">
      <c r="A839" s="106"/>
      <c r="B839" s="106"/>
      <c r="C839" s="106"/>
      <c r="D839" s="106" t="s">
        <v>6272</v>
      </c>
      <c r="E839" s="116" t="s">
        <v>6858</v>
      </c>
      <c r="F839" s="118"/>
      <c r="G839" s="95"/>
      <c r="H839" s="95"/>
      <c r="I839" s="95" t="s">
        <v>6857</v>
      </c>
      <c r="J839" s="95"/>
      <c r="K839" s="95"/>
      <c r="L839" s="95"/>
      <c r="M839" s="95"/>
      <c r="N839" s="95"/>
      <c r="O839" s="118" t="s">
        <v>8745</v>
      </c>
      <c r="P839" s="95"/>
      <c r="Q839" s="154">
        <f>VLOOKUP(TAB_ESTOQUE[[#This Row],[Codigo]],TAB_ENTRADA[[Cod_2_Entrada]:[TOTAL_ENTRADA]],5,FALSE)-VLOOKUP(TAB_ESTOQUE[[#This Row],[Codigo]],TAB_SAIDA[[COD_2_SAIDA]:[TOTAL_SAIDA]],5,FALSE)</f>
        <v>2</v>
      </c>
      <c r="R839" s="118"/>
      <c r="S839" s="118"/>
      <c r="T839" s="119"/>
      <c r="U839" s="112">
        <f>TAB_ESTOQUE[[#This Row],[Valor Unitario Estimado]]*TAB_ESTOQUE[[#This Row],[Estoque]]</f>
        <v>0</v>
      </c>
      <c r="V839" s="112"/>
      <c r="W839" s="120"/>
      <c r="X839" s="120"/>
      <c r="Y839" s="120"/>
      <c r="Z839" s="120"/>
      <c r="AA839" s="120"/>
      <c r="AB839" s="120" t="str">
        <f>IF(TAB_ESTOQUE[[#This Row],[Estoque]]=0,"Estoque Não Conforme",IF(TAB_ESTOQUE[[#This Row],[Estoque]]&gt;=TAB_ESTOQUE[[#This Row],[Mínimo]],"Estoque Conforme",IF(TAB_ESTOQUE[[#This Row],[Estoque]]&lt;TAB_ESTOQUE[[#This Row],[Mínimo]],"Estoque em Nivel Minimo")))</f>
        <v>Estoque Conforme</v>
      </c>
      <c r="AC839" s="160"/>
      <c r="AD839" s="95"/>
      <c r="AE839" s="170"/>
      <c r="AF839" s="170"/>
    </row>
    <row r="840" spans="1:32" s="106" customFormat="1" ht="15" customHeight="1" x14ac:dyDescent="0.25">
      <c r="A840" s="106">
        <v>1146</v>
      </c>
      <c r="C840" s="116" t="s">
        <v>2833</v>
      </c>
      <c r="D840" s="106" t="s">
        <v>2505</v>
      </c>
      <c r="E840" s="116"/>
      <c r="F840" s="118"/>
      <c r="G840" s="95"/>
      <c r="H840" s="95"/>
      <c r="I840" s="95" t="s">
        <v>7281</v>
      </c>
      <c r="J840" s="95"/>
      <c r="K840" s="95"/>
      <c r="L840" s="95"/>
      <c r="M840" s="95"/>
      <c r="N840" s="95"/>
      <c r="O840" s="118" t="s">
        <v>8755</v>
      </c>
      <c r="P840" s="95" t="s">
        <v>870</v>
      </c>
      <c r="Q840" s="154">
        <f>VLOOKUP(TAB_ESTOQUE[[#This Row],[Codigo]],TAB_ENTRADA[[Cod_2_Entrada]:[TOTAL_ENTRADA]],5,FALSE)-VLOOKUP(TAB_ESTOQUE[[#This Row],[Codigo]],TAB_SAIDA[[COD_2_SAIDA]:[TOTAL_SAIDA]],5,FALSE)</f>
        <v>0</v>
      </c>
      <c r="R840" s="118"/>
      <c r="S840" s="118"/>
      <c r="T840" s="119">
        <v>16595</v>
      </c>
      <c r="U840" s="112">
        <f>TAB_ESTOQUE[[#This Row],[Valor Unitario Estimado]]*TAB_ESTOQUE[[#This Row],[Estoque]]</f>
        <v>0</v>
      </c>
      <c r="V840" s="112"/>
      <c r="W840" s="120"/>
      <c r="X840" s="120"/>
      <c r="Y840" s="120"/>
      <c r="Z840" s="120"/>
      <c r="AA840" s="120"/>
      <c r="AB840" s="120" t="str">
        <f>IF(TAB_ESTOQUE[[#This Row],[Estoque]]=0,"Estoque Não Conforme",IF(TAB_ESTOQUE[[#This Row],[Estoque]]&gt;=TAB_ESTOQUE[[#This Row],[Mínimo]],"Estoque Conforme",IF(TAB_ESTOQUE[[#This Row],[Estoque]]&lt;TAB_ESTOQUE[[#This Row],[Mínimo]],"Estoque em Nivel Minimo")))</f>
        <v>Estoque Não Conforme</v>
      </c>
      <c r="AC840" s="120"/>
      <c r="AD840" s="95"/>
      <c r="AE840" s="95"/>
      <c r="AF840" s="95"/>
    </row>
    <row r="841" spans="1:32" ht="15" customHeight="1" x14ac:dyDescent="0.25">
      <c r="C841" s="53" t="s">
        <v>2842</v>
      </c>
      <c r="D841" s="45" t="s">
        <v>6809</v>
      </c>
      <c r="E841" s="46"/>
      <c r="F841" s="46"/>
      <c r="I841" s="45" t="s">
        <v>7128</v>
      </c>
      <c r="O841" s="46" t="s">
        <v>8764</v>
      </c>
      <c r="Q841" s="83">
        <f>VLOOKUP(TAB_ESTOQUE[[#This Row],[Codigo]],TAB_ENTRADA[[Cod_2_Entrada]:[TOTAL_ENTRADA]],5,FALSE)-VLOOKUP(TAB_ESTOQUE[[#This Row],[Codigo]],TAB_SAIDA[[COD_2_SAIDA]:[TOTAL_SAIDA]],5,FALSE)</f>
        <v>0</v>
      </c>
      <c r="S841" s="46"/>
      <c r="T841" s="102"/>
      <c r="U841" s="103">
        <f>TAB_ESTOQUE[[#This Row],[Valor Unitario Estimado]]*TAB_ESTOQUE[[#This Row],[Estoque]]</f>
        <v>0</v>
      </c>
      <c r="V841" s="103"/>
      <c r="AB841" s="104" t="str">
        <f>IF(TAB_ESTOQUE[[#This Row],[Estoque]]=0,"Estoque Não Conforme",IF(TAB_ESTOQUE[[#This Row],[Estoque]]&gt;=TAB_ESTOQUE[[#This Row],[Mínimo]],"Estoque Conforme",IF(TAB_ESTOQUE[[#This Row],[Estoque]]&lt;TAB_ESTOQUE[[#This Row],[Mínimo]],"Estoque em Nivel Minimo")))</f>
        <v>Estoque Não Conforme</v>
      </c>
      <c r="AC841" s="104"/>
      <c r="AE841" s="82"/>
      <c r="AF841" s="82"/>
    </row>
    <row r="842" spans="1:32" ht="15" customHeight="1" x14ac:dyDescent="0.25">
      <c r="A842" s="45" t="s">
        <v>1159</v>
      </c>
      <c r="B842" s="47"/>
      <c r="C842" s="46"/>
      <c r="D842" s="45" t="s">
        <v>2624</v>
      </c>
      <c r="E842" s="46" t="s">
        <v>736</v>
      </c>
      <c r="F842" s="87"/>
      <c r="G842" s="82"/>
      <c r="H842" s="82"/>
      <c r="I842" s="82" t="s">
        <v>1626</v>
      </c>
      <c r="J842" s="82"/>
      <c r="K842" s="82"/>
      <c r="L842" s="82"/>
      <c r="M842" s="82"/>
      <c r="N842" s="82"/>
      <c r="O842" s="87" t="s">
        <v>6617</v>
      </c>
      <c r="P842" s="82" t="s">
        <v>1234</v>
      </c>
      <c r="Q842" s="83">
        <f>VLOOKUP(TAB_ESTOQUE[[#This Row],[Codigo]],TAB_ENTRADA[[Cod_2_Entrada]:[TOTAL_ENTRADA]],5,FALSE)-VLOOKUP(TAB_ESTOQUE[[#This Row],[Codigo]],TAB_SAIDA[[COD_2_SAIDA]:[TOTAL_SAIDA]],5,FALSE)</f>
        <v>1</v>
      </c>
      <c r="R842" s="87"/>
      <c r="S842" s="87"/>
      <c r="T842" s="90">
        <v>288.7</v>
      </c>
      <c r="U842" s="91">
        <f>TAB_ESTOQUE[[#This Row],[Valor Unitario Estimado]]*TAB_ESTOQUE[[#This Row],[Estoque]]</f>
        <v>288.7</v>
      </c>
      <c r="V842" s="91"/>
      <c r="W842" s="85"/>
      <c r="X842" s="85"/>
      <c r="Y842" s="85"/>
      <c r="Z842" s="85"/>
      <c r="AA842" s="85"/>
      <c r="AB842" s="85" t="str">
        <f>IF(TAB_ESTOQUE[[#This Row],[Estoque]]=0,"Estoque Não Conforme",IF(TAB_ESTOQUE[[#This Row],[Estoque]]&gt;=TAB_ESTOQUE[[#This Row],[Mínimo]],"Estoque Conforme",IF(TAB_ESTOQUE[[#This Row],[Estoque]]&lt;TAB_ESTOQUE[[#This Row],[Mínimo]],"Estoque em Nivel Minimo")))</f>
        <v>Estoque Conforme</v>
      </c>
      <c r="AC842" s="85"/>
      <c r="AD842" s="82"/>
      <c r="AE842" s="82"/>
      <c r="AF842" s="82"/>
    </row>
    <row r="843" spans="1:32" ht="15" customHeight="1" x14ac:dyDescent="0.25">
      <c r="B843" s="47"/>
      <c r="C843" s="48"/>
      <c r="D843" s="45" t="s">
        <v>6608</v>
      </c>
      <c r="E843" s="46"/>
      <c r="F843" s="46"/>
      <c r="I843" s="45" t="s">
        <v>7057</v>
      </c>
      <c r="O843" s="46" t="s">
        <v>6617</v>
      </c>
      <c r="Q843" s="83">
        <f>VLOOKUP(TAB_ESTOQUE[[#This Row],[Codigo]],TAB_ENTRADA[[Cod_2_Entrada]:[TOTAL_ENTRADA]],5,FALSE)-VLOOKUP(TAB_ESTOQUE[[#This Row],[Codigo]],TAB_SAIDA[[COD_2_SAIDA]:[TOTAL_SAIDA]],5,FALSE)</f>
        <v>0</v>
      </c>
      <c r="R843" s="46">
        <v>1</v>
      </c>
      <c r="S843" s="46">
        <v>2</v>
      </c>
      <c r="T843" s="102"/>
      <c r="U843" s="103">
        <f>TAB_ESTOQUE[[#This Row],[Valor Unitario Estimado]]*TAB_ESTOQUE[[#This Row],[Estoque]]</f>
        <v>0</v>
      </c>
      <c r="V843" s="103"/>
      <c r="AB843" s="104" t="str">
        <f>IF(TAB_ESTOQUE[[#This Row],[Estoque]]=0,"Estoque Não Conforme",IF(TAB_ESTOQUE[[#This Row],[Estoque]]&gt;=TAB_ESTOQUE[[#This Row],[Mínimo]],"Estoque Conforme",IF(TAB_ESTOQUE[[#This Row],[Estoque]]&lt;TAB_ESTOQUE[[#This Row],[Mínimo]],"Estoque em Nivel Minimo")))</f>
        <v>Estoque Não Conforme</v>
      </c>
      <c r="AC843" s="104"/>
      <c r="AE843" s="82"/>
      <c r="AF843" s="82"/>
    </row>
    <row r="844" spans="1:32" ht="15" customHeight="1" x14ac:dyDescent="0.25">
      <c r="C844" s="48"/>
      <c r="D844" s="45" t="s">
        <v>6652</v>
      </c>
      <c r="E844" s="46"/>
      <c r="F844" s="46"/>
      <c r="I844" s="45" t="s">
        <v>7063</v>
      </c>
      <c r="O844" s="46" t="s">
        <v>6617</v>
      </c>
      <c r="Q844" s="83">
        <f>VLOOKUP(TAB_ESTOQUE[[#This Row],[Codigo]],TAB_ENTRADA[[Cod_2_Entrada]:[TOTAL_ENTRADA]],5,FALSE)-VLOOKUP(TAB_ESTOQUE[[#This Row],[Codigo]],TAB_SAIDA[[COD_2_SAIDA]:[TOTAL_SAIDA]],5,FALSE)</f>
        <v>0</v>
      </c>
      <c r="R844" s="46">
        <v>1</v>
      </c>
      <c r="S844" s="46">
        <v>2</v>
      </c>
      <c r="T844" s="102"/>
      <c r="U844" s="103">
        <f>TAB_ESTOQUE[[#This Row],[Valor Unitario Estimado]]*TAB_ESTOQUE[[#This Row],[Estoque]]</f>
        <v>0</v>
      </c>
      <c r="V844" s="103"/>
      <c r="AB844" s="104" t="str">
        <f>IF(TAB_ESTOQUE[[#This Row],[Estoque]]=0,"Estoque Não Conforme",IF(TAB_ESTOQUE[[#This Row],[Estoque]]&gt;=TAB_ESTOQUE[[#This Row],[Mínimo]],"Estoque Conforme",IF(TAB_ESTOQUE[[#This Row],[Estoque]]&lt;TAB_ESTOQUE[[#This Row],[Mínimo]],"Estoque em Nivel Minimo")))</f>
        <v>Estoque Não Conforme</v>
      </c>
      <c r="AC844" s="104"/>
      <c r="AE844" s="82"/>
      <c r="AF844" s="82"/>
    </row>
    <row r="845" spans="1:32" ht="15" customHeight="1" x14ac:dyDescent="0.25">
      <c r="A845" s="45">
        <v>197</v>
      </c>
      <c r="B845" s="47"/>
      <c r="C845" s="46"/>
      <c r="D845" s="45" t="s">
        <v>2126</v>
      </c>
      <c r="E845" s="46" t="s">
        <v>7258</v>
      </c>
      <c r="F845" s="87"/>
      <c r="G845" s="82"/>
      <c r="H845" s="82"/>
      <c r="I845" s="82" t="s">
        <v>161</v>
      </c>
      <c r="J845" s="82"/>
      <c r="K845" s="82"/>
      <c r="L845" s="82"/>
      <c r="M845" s="82" t="s">
        <v>139</v>
      </c>
      <c r="N845" s="82"/>
      <c r="O845" s="87" t="s">
        <v>7058</v>
      </c>
      <c r="P845" s="82" t="s">
        <v>147</v>
      </c>
      <c r="Q845" s="83">
        <f>VLOOKUP(TAB_ESTOQUE[[#This Row],[Codigo]],TAB_ENTRADA[[Cod_2_Entrada]:[TOTAL_ENTRADA]],5,FALSE)-VLOOKUP(TAB_ESTOQUE[[#This Row],[Codigo]],TAB_SAIDA[[COD_2_SAIDA]:[TOTAL_SAIDA]],5,FALSE)</f>
        <v>3</v>
      </c>
      <c r="R845" s="87"/>
      <c r="S845" s="87"/>
      <c r="T845" s="90">
        <v>650</v>
      </c>
      <c r="U845" s="91">
        <f>TAB_ESTOQUE[[#This Row],[Valor Unitario Estimado]]*TAB_ESTOQUE[[#This Row],[Estoque]]</f>
        <v>1950</v>
      </c>
      <c r="V845" s="91"/>
      <c r="W845" s="85"/>
      <c r="X845" s="85"/>
      <c r="Y845" s="85"/>
      <c r="Z845" s="85"/>
      <c r="AA845" s="85"/>
      <c r="AB845" s="85" t="str">
        <f>IF(TAB_ESTOQUE[[#This Row],[Estoque]]=0,"Estoque Não Conforme",IF(TAB_ESTOQUE[[#This Row],[Estoque]]&gt;=TAB_ESTOQUE[[#This Row],[Mínimo]],"Estoque Conforme",IF(TAB_ESTOQUE[[#This Row],[Estoque]]&lt;TAB_ESTOQUE[[#This Row],[Mínimo]],"Estoque em Nivel Minimo")))</f>
        <v>Estoque Conforme</v>
      </c>
      <c r="AC845" s="85"/>
      <c r="AD845" s="82"/>
      <c r="AE845" s="82"/>
      <c r="AF845" s="82"/>
    </row>
    <row r="846" spans="1:32" ht="15" customHeight="1" x14ac:dyDescent="0.25">
      <c r="A846" s="45">
        <v>203</v>
      </c>
      <c r="B846" s="47"/>
      <c r="C846" s="46"/>
      <c r="D846" s="45" t="s">
        <v>2127</v>
      </c>
      <c r="E846" s="46" t="s">
        <v>7</v>
      </c>
      <c r="F846" s="87"/>
      <c r="G846" s="82"/>
      <c r="H846" s="82"/>
      <c r="I846" s="82" t="s">
        <v>8517</v>
      </c>
      <c r="J846" s="82"/>
      <c r="K846" s="82"/>
      <c r="L846" s="82"/>
      <c r="M846" s="82" t="s">
        <v>139</v>
      </c>
      <c r="N846" s="82"/>
      <c r="O846" s="87" t="s">
        <v>7058</v>
      </c>
      <c r="P846" s="82" t="s">
        <v>153</v>
      </c>
      <c r="Q846" s="83">
        <f>VLOOKUP(TAB_ESTOQUE[[#This Row],[Codigo]],TAB_ENTRADA[[Cod_2_Entrada]:[TOTAL_ENTRADA]],5,FALSE)-VLOOKUP(TAB_ESTOQUE[[#This Row],[Codigo]],TAB_SAIDA[[COD_2_SAIDA]:[TOTAL_SAIDA]],5,FALSE)</f>
        <v>42</v>
      </c>
      <c r="R846" s="87"/>
      <c r="S846" s="87"/>
      <c r="T846" s="90">
        <v>360</v>
      </c>
      <c r="U846" s="91">
        <f>TAB_ESTOQUE[[#This Row],[Valor Unitario Estimado]]*TAB_ESTOQUE[[#This Row],[Estoque]]</f>
        <v>15120</v>
      </c>
      <c r="V846" s="91"/>
      <c r="W846" s="85"/>
      <c r="X846" s="85"/>
      <c r="Y846" s="85"/>
      <c r="Z846" s="85"/>
      <c r="AA846" s="85"/>
      <c r="AB846" s="85" t="str">
        <f>IF(TAB_ESTOQUE[[#This Row],[Estoque]]=0,"Estoque Não Conforme",IF(TAB_ESTOQUE[[#This Row],[Estoque]]&gt;=TAB_ESTOQUE[[#This Row],[Mínimo]],"Estoque Conforme",IF(TAB_ESTOQUE[[#This Row],[Estoque]]&lt;TAB_ESTOQUE[[#This Row],[Mínimo]],"Estoque em Nivel Minimo")))</f>
        <v>Estoque Conforme</v>
      </c>
      <c r="AC846" s="85"/>
      <c r="AD846" s="82"/>
      <c r="AE846" s="82"/>
      <c r="AF846" s="82"/>
    </row>
    <row r="847" spans="1:32" ht="15" customHeight="1" x14ac:dyDescent="0.25">
      <c r="A847" s="45">
        <v>1685</v>
      </c>
      <c r="B847" s="47"/>
      <c r="C847" s="46"/>
      <c r="D847" s="45" t="s">
        <v>2128</v>
      </c>
      <c r="E847" s="46" t="s">
        <v>8408</v>
      </c>
      <c r="F847" s="87"/>
      <c r="G847" s="82"/>
      <c r="H847" s="82"/>
      <c r="I847" s="82" t="s">
        <v>8518</v>
      </c>
      <c r="J847" s="82"/>
      <c r="K847" s="82"/>
      <c r="L847" s="82"/>
      <c r="M847" s="82"/>
      <c r="N847" s="82"/>
      <c r="O847" s="87" t="s">
        <v>7058</v>
      </c>
      <c r="P847" s="82" t="s">
        <v>1116</v>
      </c>
      <c r="Q847" s="83">
        <f>VLOOKUP(TAB_ESTOQUE[[#This Row],[Codigo]],TAB_ENTRADA[[Cod_2_Entrada]:[TOTAL_ENTRADA]],5,FALSE)-VLOOKUP(TAB_ESTOQUE[[#This Row],[Codigo]],TAB_SAIDA[[COD_2_SAIDA]:[TOTAL_SAIDA]],5,FALSE)</f>
        <v>22</v>
      </c>
      <c r="R847" s="87"/>
      <c r="S847" s="87"/>
      <c r="T847" s="90"/>
      <c r="U847" s="91">
        <f>TAB_ESTOQUE[[#This Row],[Valor Unitario Estimado]]*TAB_ESTOQUE[[#This Row],[Estoque]]</f>
        <v>0</v>
      </c>
      <c r="V847" s="91"/>
      <c r="W847" s="85"/>
      <c r="X847" s="85"/>
      <c r="Y847" s="85"/>
      <c r="Z847" s="85"/>
      <c r="AA847" s="85"/>
      <c r="AB847" s="85" t="str">
        <f>IF(TAB_ESTOQUE[[#This Row],[Estoque]]=0,"Estoque Não Conforme",IF(TAB_ESTOQUE[[#This Row],[Estoque]]&gt;=TAB_ESTOQUE[[#This Row],[Mínimo]],"Estoque Conforme",IF(TAB_ESTOQUE[[#This Row],[Estoque]]&lt;TAB_ESTOQUE[[#This Row],[Mínimo]],"Estoque em Nivel Minimo")))</f>
        <v>Estoque Conforme</v>
      </c>
      <c r="AC847" s="85"/>
      <c r="AD847" s="82"/>
      <c r="AE847" s="82"/>
      <c r="AF847" s="82"/>
    </row>
    <row r="848" spans="1:32" s="106" customFormat="1" ht="15" customHeight="1" x14ac:dyDescent="0.25">
      <c r="A848" s="106" t="s">
        <v>1159</v>
      </c>
      <c r="C848" s="116"/>
      <c r="D848" s="106" t="s">
        <v>2621</v>
      </c>
      <c r="E848" s="116"/>
      <c r="F848" s="118"/>
      <c r="G848" s="95"/>
      <c r="H848" s="95"/>
      <c r="I848" s="95" t="s">
        <v>1644</v>
      </c>
      <c r="J848" s="95"/>
      <c r="K848" s="95"/>
      <c r="L848" s="95"/>
      <c r="M848" s="95"/>
      <c r="N848" s="95"/>
      <c r="O848" s="118" t="s">
        <v>7058</v>
      </c>
      <c r="P848" s="95" t="s">
        <v>1230</v>
      </c>
      <c r="Q848" s="154">
        <f>VLOOKUP(TAB_ESTOQUE[[#This Row],[Codigo]],TAB_ENTRADA[[Cod_2_Entrada]:[TOTAL_ENTRADA]],5,FALSE)-VLOOKUP(TAB_ESTOQUE[[#This Row],[Codigo]],TAB_SAIDA[[COD_2_SAIDA]:[TOTAL_SAIDA]],5,FALSE)</f>
        <v>7</v>
      </c>
      <c r="R848" s="118"/>
      <c r="S848" s="118"/>
      <c r="T848" s="119">
        <v>33.458125000000003</v>
      </c>
      <c r="U848" s="112">
        <f>TAB_ESTOQUE[[#This Row],[Valor Unitario Estimado]]*TAB_ESTOQUE[[#This Row],[Estoque]]</f>
        <v>234.20687500000003</v>
      </c>
      <c r="V848" s="112"/>
      <c r="W848" s="120"/>
      <c r="X848" s="120"/>
      <c r="Y848" s="120"/>
      <c r="Z848" s="120"/>
      <c r="AA848" s="120"/>
      <c r="AB848" s="120" t="str">
        <f>IF(TAB_ESTOQUE[[#This Row],[Estoque]]=0,"Estoque Não Conforme",IF(TAB_ESTOQUE[[#This Row],[Estoque]]&gt;=TAB_ESTOQUE[[#This Row],[Mínimo]],"Estoque Conforme",IF(TAB_ESTOQUE[[#This Row],[Estoque]]&lt;TAB_ESTOQUE[[#This Row],[Mínimo]],"Estoque em Nivel Minimo")))</f>
        <v>Estoque Conforme</v>
      </c>
      <c r="AC848" s="120"/>
      <c r="AD848" s="95"/>
      <c r="AE848" s="95"/>
      <c r="AF848" s="95"/>
    </row>
    <row r="849" spans="1:32" ht="15" customHeight="1" x14ac:dyDescent="0.25">
      <c r="C849" s="48"/>
      <c r="D849" s="45" t="s">
        <v>8050</v>
      </c>
      <c r="E849" s="46" t="s">
        <v>7638</v>
      </c>
      <c r="F849" s="46"/>
      <c r="I849" s="225" t="s">
        <v>9001</v>
      </c>
      <c r="O849" s="46" t="s">
        <v>7058</v>
      </c>
      <c r="Q849" s="137">
        <f>VLOOKUP(TAB_ESTOQUE[[#This Row],[Codigo]],TAB_ENTRADA[[Cod_2_Entrada]:[TOTAL_ENTRADA]],5,FALSE)-VLOOKUP(TAB_ESTOQUE[[#This Row],[Codigo]],TAB_SAIDA[[COD_2_SAIDA]:[TOTAL_SAIDA]],5,FALSE)</f>
        <v>2</v>
      </c>
      <c r="R849" s="46">
        <v>2</v>
      </c>
      <c r="S849" s="46">
        <v>6</v>
      </c>
      <c r="T849" s="102">
        <v>329.28</v>
      </c>
      <c r="U849" s="103">
        <f>TAB_ESTOQUE[[#This Row],[Valor Unitario Estimado]]*TAB_ESTOQUE[[#This Row],[Estoque]]</f>
        <v>658.56</v>
      </c>
      <c r="V849" s="103"/>
      <c r="AA849" s="138"/>
      <c r="AB849" s="104" t="str">
        <f>IF(TAB_ESTOQUE[[#This Row],[Estoque]]=0,"Estoque Não Conforme",IF(TAB_ESTOQUE[[#This Row],[Estoque]]&gt;=TAB_ESTOQUE[[#This Row],[Mínimo]],"Estoque Conforme",IF(TAB_ESTOQUE[[#This Row],[Estoque]]&lt;TAB_ESTOQUE[[#This Row],[Mínimo]],"Estoque em Nivel Minimo")))</f>
        <v>Estoque Conforme</v>
      </c>
      <c r="AC849" s="104"/>
      <c r="AE849" s="82"/>
      <c r="AF849" s="82"/>
    </row>
    <row r="850" spans="1:32" ht="15" customHeight="1" x14ac:dyDescent="0.25">
      <c r="C850" s="48"/>
      <c r="D850" s="45" t="s">
        <v>8051</v>
      </c>
      <c r="E850" s="46" t="s">
        <v>7638</v>
      </c>
      <c r="F850" s="46"/>
      <c r="I850" s="45" t="s">
        <v>8995</v>
      </c>
      <c r="O850" s="46" t="s">
        <v>7058</v>
      </c>
      <c r="Q850" s="137">
        <f>VLOOKUP(TAB_ESTOQUE[[#This Row],[Codigo]],TAB_ENTRADA[[Cod_2_Entrada]:[TOTAL_ENTRADA]],5,FALSE)-VLOOKUP(TAB_ESTOQUE[[#This Row],[Codigo]],TAB_SAIDA[[COD_2_SAIDA]:[TOTAL_SAIDA]],5,FALSE)</f>
        <v>4</v>
      </c>
      <c r="R850" s="46">
        <v>4</v>
      </c>
      <c r="S850" s="46">
        <v>8</v>
      </c>
      <c r="T850" s="102">
        <v>18.350000000000001</v>
      </c>
      <c r="U850" s="103">
        <f>TAB_ESTOQUE[[#This Row],[Valor Unitario Estimado]]*TAB_ESTOQUE[[#This Row],[Estoque]]</f>
        <v>73.400000000000006</v>
      </c>
      <c r="V850" s="103"/>
      <c r="AA850" s="138"/>
      <c r="AB850" s="104" t="str">
        <f>IF(TAB_ESTOQUE[[#This Row],[Estoque]]=0,"Estoque Não Conforme",IF(TAB_ESTOQUE[[#This Row],[Estoque]]&gt;=TAB_ESTOQUE[[#This Row],[Mínimo]],"Estoque Conforme",IF(TAB_ESTOQUE[[#This Row],[Estoque]]&lt;TAB_ESTOQUE[[#This Row],[Mínimo]],"Estoque em Nivel Minimo")))</f>
        <v>Estoque Conforme</v>
      </c>
      <c r="AC850" s="104"/>
      <c r="AE850" s="82"/>
      <c r="AF850" s="82"/>
    </row>
    <row r="851" spans="1:32" ht="15" customHeight="1" x14ac:dyDescent="0.25">
      <c r="A851" s="45">
        <v>1356</v>
      </c>
      <c r="B851" s="47"/>
      <c r="C851" s="46"/>
      <c r="D851" s="45" t="s">
        <v>2332</v>
      </c>
      <c r="E851" s="46" t="s">
        <v>7</v>
      </c>
      <c r="F851" s="87"/>
      <c r="G851" s="82"/>
      <c r="H851" s="82"/>
      <c r="I851" s="82" t="s">
        <v>8583</v>
      </c>
      <c r="J851" s="82"/>
      <c r="K851" s="82"/>
      <c r="L851" s="82"/>
      <c r="M851" s="82"/>
      <c r="N851" s="82"/>
      <c r="O851" s="87" t="s">
        <v>6602</v>
      </c>
      <c r="P851" s="82" t="s">
        <v>1091</v>
      </c>
      <c r="Q851" s="83">
        <f>VLOOKUP(TAB_ESTOQUE[[#This Row],[Codigo]],TAB_ENTRADA[[Cod_2_Entrada]:[TOTAL_ENTRADA]],5,FALSE)-VLOOKUP(TAB_ESTOQUE[[#This Row],[Codigo]],TAB_SAIDA[[COD_2_SAIDA]:[TOTAL_SAIDA]],5,FALSE)</f>
        <v>102</v>
      </c>
      <c r="R851" s="87"/>
      <c r="S851" s="87"/>
      <c r="T851" s="90"/>
      <c r="U851" s="91">
        <f>TAB_ESTOQUE[[#This Row],[Valor Unitario Estimado]]*TAB_ESTOQUE[[#This Row],[Estoque]]</f>
        <v>0</v>
      </c>
      <c r="V851" s="91"/>
      <c r="W851" s="85"/>
      <c r="X851" s="85"/>
      <c r="Y851" s="85"/>
      <c r="Z851" s="85"/>
      <c r="AA851" s="85"/>
      <c r="AB851" s="85" t="str">
        <f>IF(TAB_ESTOQUE[[#This Row],[Estoque]]=0,"Estoque Não Conforme",IF(TAB_ESTOQUE[[#This Row],[Estoque]]&gt;=TAB_ESTOQUE[[#This Row],[Mínimo]],"Estoque Conforme",IF(TAB_ESTOQUE[[#This Row],[Estoque]]&lt;TAB_ESTOQUE[[#This Row],[Mínimo]],"Estoque em Nivel Minimo")))</f>
        <v>Estoque Conforme</v>
      </c>
      <c r="AC851" s="85"/>
      <c r="AD851" s="82"/>
      <c r="AE851" s="82"/>
      <c r="AF851" s="82"/>
    </row>
    <row r="852" spans="1:32" s="106" customFormat="1" ht="15" customHeight="1" x14ac:dyDescent="0.25">
      <c r="A852" s="45" t="s">
        <v>1159</v>
      </c>
      <c r="B852" s="47"/>
      <c r="C852" s="46"/>
      <c r="D852" s="45" t="s">
        <v>2659</v>
      </c>
      <c r="E852" s="46" t="s">
        <v>1633</v>
      </c>
      <c r="F852" s="87"/>
      <c r="G852" s="82"/>
      <c r="H852" s="82"/>
      <c r="I852" s="82" t="s">
        <v>8662</v>
      </c>
      <c r="J852" s="82"/>
      <c r="K852" s="82"/>
      <c r="L852" s="82"/>
      <c r="M852" s="82"/>
      <c r="N852" s="82"/>
      <c r="O852" s="87" t="s">
        <v>6602</v>
      </c>
      <c r="P852" s="82" t="s">
        <v>1255</v>
      </c>
      <c r="Q852" s="83">
        <f>VLOOKUP(TAB_ESTOQUE[[#This Row],[Codigo]],TAB_ENTRADA[[Cod_2_Entrada]:[TOTAL_ENTRADA]],5,FALSE)-VLOOKUP(TAB_ESTOQUE[[#This Row],[Codigo]],TAB_SAIDA[[COD_2_SAIDA]:[TOTAL_SAIDA]],5,FALSE)</f>
        <v>8</v>
      </c>
      <c r="R852" s="87"/>
      <c r="S852" s="87"/>
      <c r="T852" s="90"/>
      <c r="U852" s="91">
        <f>TAB_ESTOQUE[[#This Row],[Valor Unitario Estimado]]*TAB_ESTOQUE[[#This Row],[Estoque]]</f>
        <v>0</v>
      </c>
      <c r="V852" s="91"/>
      <c r="W852" s="85"/>
      <c r="X852" s="85"/>
      <c r="Y852" s="85"/>
      <c r="Z852" s="85"/>
      <c r="AA852" s="85"/>
      <c r="AB852" s="85" t="str">
        <f>IF(TAB_ESTOQUE[[#This Row],[Estoque]]=0,"Estoque Não Conforme",IF(TAB_ESTOQUE[[#This Row],[Estoque]]&gt;=TAB_ESTOQUE[[#This Row],[Mínimo]],"Estoque Conforme",IF(TAB_ESTOQUE[[#This Row],[Estoque]]&lt;TAB_ESTOQUE[[#This Row],[Mínimo]],"Estoque em Nivel Minimo")))</f>
        <v>Estoque Conforme</v>
      </c>
      <c r="AC852" s="85"/>
      <c r="AD852" s="82"/>
      <c r="AE852" s="95"/>
      <c r="AF852" s="95"/>
    </row>
    <row r="853" spans="1:32" ht="15" customHeight="1" x14ac:dyDescent="0.25">
      <c r="C853" s="48"/>
      <c r="D853" s="45" t="s">
        <v>8160</v>
      </c>
      <c r="E853" s="46" t="s">
        <v>9048</v>
      </c>
      <c r="F853" s="46"/>
      <c r="I853" s="45" t="s">
        <v>9047</v>
      </c>
      <c r="O853" s="46" t="s">
        <v>6602</v>
      </c>
      <c r="Q853" s="137">
        <f>VLOOKUP(TAB_ESTOQUE[[#This Row],[Codigo]],TAB_ENTRADA[[Cod_2_Entrada]:[TOTAL_ENTRADA]],5,FALSE)-VLOOKUP(TAB_ESTOQUE[[#This Row],[Codigo]],TAB_SAIDA[[COD_2_SAIDA]:[TOTAL_SAIDA]],5,FALSE)</f>
        <v>1</v>
      </c>
      <c r="R853" s="46">
        <v>1</v>
      </c>
      <c r="S853" s="46">
        <v>3</v>
      </c>
      <c r="T853" s="102">
        <v>3500</v>
      </c>
      <c r="U853" s="103">
        <f>TAB_ESTOQUE[[#This Row],[Valor Unitario Estimado]]*TAB_ESTOQUE[[#This Row],[Estoque]]</f>
        <v>3500</v>
      </c>
      <c r="V853" s="103"/>
      <c r="AA853" s="138"/>
      <c r="AB853" s="104" t="str">
        <f>IF(TAB_ESTOQUE[[#This Row],[Estoque]]=0,"Estoque Não Conforme",IF(TAB_ESTOQUE[[#This Row],[Estoque]]&gt;=TAB_ESTOQUE[[#This Row],[Mínimo]],"Estoque Conforme",IF(TAB_ESTOQUE[[#This Row],[Estoque]]&lt;TAB_ESTOQUE[[#This Row],[Mínimo]],"Estoque em Nivel Minimo")))</f>
        <v>Estoque Conforme</v>
      </c>
      <c r="AC853" s="104"/>
      <c r="AE853" s="82"/>
      <c r="AF853" s="82"/>
    </row>
    <row r="854" spans="1:32" ht="15" customHeight="1" x14ac:dyDescent="0.25">
      <c r="A854" s="45">
        <v>1114</v>
      </c>
      <c r="B854" s="47"/>
      <c r="C854" s="46"/>
      <c r="D854" s="45" t="s">
        <v>2574</v>
      </c>
      <c r="E854" s="46"/>
      <c r="F854" s="87"/>
      <c r="G854" s="82"/>
      <c r="H854" s="82"/>
      <c r="I854" s="82" t="s">
        <v>6221</v>
      </c>
      <c r="J854" s="82"/>
      <c r="K854" s="82"/>
      <c r="L854" s="82"/>
      <c r="M854" s="82"/>
      <c r="N854" s="82"/>
      <c r="O854" s="87" t="s">
        <v>6615</v>
      </c>
      <c r="P854" s="82" t="s">
        <v>846</v>
      </c>
      <c r="Q854" s="83">
        <f>VLOOKUP(TAB_ESTOQUE[[#This Row],[Codigo]],TAB_ENTRADA[[Cod_2_Entrada]:[TOTAL_ENTRADA]],5,FALSE)-VLOOKUP(TAB_ESTOQUE[[#This Row],[Codigo]],TAB_SAIDA[[COD_2_SAIDA]:[TOTAL_SAIDA]],5,FALSE)</f>
        <v>0</v>
      </c>
      <c r="R854" s="87"/>
      <c r="S854" s="87"/>
      <c r="T854" s="90"/>
      <c r="U854" s="91">
        <f>TAB_ESTOQUE[[#This Row],[Valor Unitario Estimado]]*TAB_ESTOQUE[[#This Row],[Estoque]]</f>
        <v>0</v>
      </c>
      <c r="V854" s="91"/>
      <c r="W854" s="85"/>
      <c r="X854" s="85"/>
      <c r="Y854" s="85"/>
      <c r="Z854" s="85"/>
      <c r="AA854" s="85"/>
      <c r="AB854" s="85" t="str">
        <f>IF(TAB_ESTOQUE[[#This Row],[Estoque]]=0,"Estoque Não Conforme",IF(TAB_ESTOQUE[[#This Row],[Estoque]]&gt;=TAB_ESTOQUE[[#This Row],[Mínimo]],"Estoque Conforme",IF(TAB_ESTOQUE[[#This Row],[Estoque]]&lt;TAB_ESTOQUE[[#This Row],[Mínimo]],"Estoque em Nivel Minimo")))</f>
        <v>Estoque Não Conforme</v>
      </c>
      <c r="AC854" s="85"/>
      <c r="AD854" s="82"/>
      <c r="AE854" s="82"/>
      <c r="AF854" s="82"/>
    </row>
    <row r="855" spans="1:32" ht="14.25" customHeight="1" x14ac:dyDescent="0.25">
      <c r="A855" s="45" t="s">
        <v>1159</v>
      </c>
      <c r="B855" s="47"/>
      <c r="C855" s="46" t="s">
        <v>2838</v>
      </c>
      <c r="D855" s="45" t="s">
        <v>2657</v>
      </c>
      <c r="E855" s="46" t="s">
        <v>736</v>
      </c>
      <c r="F855" s="87"/>
      <c r="G855" s="82"/>
      <c r="H855" s="82"/>
      <c r="I855" s="82" t="s">
        <v>8660</v>
      </c>
      <c r="J855" s="82"/>
      <c r="K855" s="82"/>
      <c r="L855" s="82"/>
      <c r="M855" s="82"/>
      <c r="N855" s="82"/>
      <c r="O855" s="87" t="s">
        <v>6615</v>
      </c>
      <c r="P855" s="95" t="s">
        <v>1168</v>
      </c>
      <c r="Q855" s="83">
        <f>VLOOKUP(TAB_ESTOQUE[[#This Row],[Codigo]],TAB_ENTRADA[[Cod_2_Entrada]:[TOTAL_ENTRADA]],5,FALSE)-VLOOKUP(TAB_ESTOQUE[[#This Row],[Codigo]],TAB_SAIDA[[COD_2_SAIDA]:[TOTAL_SAIDA]],5,FALSE)</f>
        <v>17</v>
      </c>
      <c r="R855" s="87"/>
      <c r="S855" s="87"/>
      <c r="T855" s="90"/>
      <c r="U855" s="91">
        <f>TAB_ESTOQUE[[#This Row],[Valor Unitario Estimado]]*TAB_ESTOQUE[[#This Row],[Estoque]]</f>
        <v>0</v>
      </c>
      <c r="V855" s="91"/>
      <c r="W855" s="85"/>
      <c r="X855" s="85"/>
      <c r="Y855" s="85"/>
      <c r="Z855" s="85"/>
      <c r="AA855" s="85"/>
      <c r="AB855" s="85" t="str">
        <f>IF(TAB_ESTOQUE[[#This Row],[Estoque]]=0,"Estoque Não Conforme",IF(TAB_ESTOQUE[[#This Row],[Estoque]]&gt;=TAB_ESTOQUE[[#This Row],[Mínimo]],"Estoque Conforme",IF(TAB_ESTOQUE[[#This Row],[Estoque]]&lt;TAB_ESTOQUE[[#This Row],[Mínimo]],"Estoque em Nivel Minimo")))</f>
        <v>Estoque Conforme</v>
      </c>
      <c r="AC855" s="85"/>
      <c r="AD855" s="82"/>
      <c r="AE855" s="82"/>
      <c r="AF855" s="82"/>
    </row>
    <row r="856" spans="1:32" s="106" customFormat="1" ht="15" customHeight="1" x14ac:dyDescent="0.25">
      <c r="A856" s="45" t="s">
        <v>1159</v>
      </c>
      <c r="B856" s="47"/>
      <c r="C856" s="46" t="s">
        <v>2842</v>
      </c>
      <c r="D856" s="45" t="s">
        <v>2658</v>
      </c>
      <c r="E856" s="46" t="s">
        <v>736</v>
      </c>
      <c r="F856" s="87"/>
      <c r="G856" s="82"/>
      <c r="H856" s="82"/>
      <c r="I856" s="82" t="s">
        <v>8661</v>
      </c>
      <c r="J856" s="82"/>
      <c r="K856" s="82"/>
      <c r="L856" s="82"/>
      <c r="M856" s="82"/>
      <c r="N856" s="82"/>
      <c r="O856" s="87" t="s">
        <v>6615</v>
      </c>
      <c r="P856" s="94" t="s">
        <v>3061</v>
      </c>
      <c r="Q856" s="83">
        <f>VLOOKUP(TAB_ESTOQUE[[#This Row],[Codigo]],TAB_ENTRADA[[Cod_2_Entrada]:[TOTAL_ENTRADA]],5,FALSE)-VLOOKUP(TAB_ESTOQUE[[#This Row],[Codigo]],TAB_SAIDA[[COD_2_SAIDA]:[TOTAL_SAIDA]],5,FALSE)</f>
        <v>34</v>
      </c>
      <c r="R856" s="87"/>
      <c r="S856" s="87"/>
      <c r="T856" s="90"/>
      <c r="U856" s="91">
        <f>TAB_ESTOQUE[[#This Row],[Valor Unitario Estimado]]*TAB_ESTOQUE[[#This Row],[Estoque]]</f>
        <v>0</v>
      </c>
      <c r="V856" s="91"/>
      <c r="W856" s="85"/>
      <c r="X856" s="85"/>
      <c r="Y856" s="85"/>
      <c r="Z856" s="85"/>
      <c r="AA856" s="85"/>
      <c r="AB856" s="85" t="str">
        <f>IF(TAB_ESTOQUE[[#This Row],[Estoque]]=0,"Estoque Não Conforme",IF(TAB_ESTOQUE[[#This Row],[Estoque]]&gt;=TAB_ESTOQUE[[#This Row],[Mínimo]],"Estoque Conforme",IF(TAB_ESTOQUE[[#This Row],[Estoque]]&lt;TAB_ESTOQUE[[#This Row],[Mínimo]],"Estoque em Nivel Minimo")))</f>
        <v>Estoque Conforme</v>
      </c>
      <c r="AC856" s="85"/>
      <c r="AD856" s="82"/>
      <c r="AE856" s="95"/>
      <c r="AF856" s="95"/>
    </row>
    <row r="857" spans="1:32" s="47" customFormat="1" ht="15" customHeight="1" x14ac:dyDescent="0.25">
      <c r="C857" s="51"/>
      <c r="D857" s="47" t="s">
        <v>2696</v>
      </c>
      <c r="E857" s="51" t="s">
        <v>736</v>
      </c>
      <c r="F857" s="107"/>
      <c r="G857" s="94"/>
      <c r="H857" s="94"/>
      <c r="I857" s="170" t="s">
        <v>1610</v>
      </c>
      <c r="J857" s="94"/>
      <c r="K857" s="94"/>
      <c r="L857" s="94"/>
      <c r="M857" s="94"/>
      <c r="N857" s="94"/>
      <c r="O857" s="107" t="s">
        <v>6615</v>
      </c>
      <c r="P857" s="94" t="s">
        <v>1298</v>
      </c>
      <c r="Q857" s="145">
        <f>VLOOKUP(TAB_ESTOQUE[[#This Row],[Codigo]],TAB_ENTRADA[[Cod_2_Entrada]:[TOTAL_ENTRADA]],5,FALSE)-VLOOKUP(TAB_ESTOQUE[[#This Row],[Codigo]],TAB_SAIDA[[COD_2_SAIDA]:[TOTAL_SAIDA]],5,FALSE)</f>
        <v>125</v>
      </c>
      <c r="R857" s="107"/>
      <c r="S857" s="107"/>
      <c r="T857" s="108"/>
      <c r="U857" s="109">
        <f>TAB_ESTOQUE[[#This Row],[Valor Unitario Estimado]]*TAB_ESTOQUE[[#This Row],[Estoque]]</f>
        <v>0</v>
      </c>
      <c r="V857" s="109"/>
      <c r="W857" s="110"/>
      <c r="X857" s="110"/>
      <c r="Y857" s="110"/>
      <c r="Z857" s="110"/>
      <c r="AA857" s="110"/>
      <c r="AB857" s="155" t="str">
        <f>IF(TAB_ESTOQUE[[#This Row],[Estoque]]=0,"Estoque Não Conforme",IF(TAB_ESTOQUE[[#This Row],[Estoque]]&gt;=TAB_ESTOQUE[[#This Row],[Mínimo]],"Estoque Conforme",IF(TAB_ESTOQUE[[#This Row],[Estoque]]&lt;TAB_ESTOQUE[[#This Row],[Mínimo]],"Estoque em Nivel Minimo")))</f>
        <v>Estoque Conforme</v>
      </c>
      <c r="AC857" s="110"/>
      <c r="AD857" s="94"/>
      <c r="AE857" s="94"/>
      <c r="AF857" s="94"/>
    </row>
    <row r="858" spans="1:32" ht="15" customHeight="1" x14ac:dyDescent="0.25">
      <c r="B858" s="47"/>
      <c r="C858" s="46"/>
      <c r="D858" s="45" t="s">
        <v>2697</v>
      </c>
      <c r="E858" s="46" t="s">
        <v>736</v>
      </c>
      <c r="F858" s="87"/>
      <c r="G858" s="82"/>
      <c r="H858" s="82"/>
      <c r="I858" s="209" t="s">
        <v>1612</v>
      </c>
      <c r="J858" s="82"/>
      <c r="K858" s="82"/>
      <c r="L858" s="82"/>
      <c r="M858" s="82"/>
      <c r="N858" s="82"/>
      <c r="O858" s="87" t="s">
        <v>6615</v>
      </c>
      <c r="P858" s="82" t="s">
        <v>1299</v>
      </c>
      <c r="Q858" s="83">
        <f>VLOOKUP(TAB_ESTOQUE[[#This Row],[Codigo]],TAB_ENTRADA[[Cod_2_Entrada]:[TOTAL_ENTRADA]],5,FALSE)-VLOOKUP(TAB_ESTOQUE[[#This Row],[Codigo]],TAB_SAIDA[[COD_2_SAIDA]:[TOTAL_SAIDA]],5,FALSE)</f>
        <v>5</v>
      </c>
      <c r="R858" s="87"/>
      <c r="S858" s="87"/>
      <c r="T858" s="90"/>
      <c r="U858" s="91">
        <f>TAB_ESTOQUE[[#This Row],[Valor Unitario Estimado]]*TAB_ESTOQUE[[#This Row],[Estoque]]</f>
        <v>0</v>
      </c>
      <c r="V858" s="91"/>
      <c r="W858" s="85"/>
      <c r="X858" s="85"/>
      <c r="Y858" s="85"/>
      <c r="Z858" s="85"/>
      <c r="AA858" s="85"/>
      <c r="AB858" s="96" t="str">
        <f>IF(TAB_ESTOQUE[[#This Row],[Estoque]]=0,"Estoque Não Conforme",IF(TAB_ESTOQUE[[#This Row],[Estoque]]&gt;=TAB_ESTOQUE[[#This Row],[Mínimo]],"Estoque Conforme",IF(TAB_ESTOQUE[[#This Row],[Estoque]]&lt;TAB_ESTOQUE[[#This Row],[Mínimo]],"Estoque em Nivel Minimo")))</f>
        <v>Estoque Conforme</v>
      </c>
      <c r="AC858" s="85"/>
      <c r="AD858" s="82"/>
      <c r="AE858" s="82"/>
      <c r="AF858" s="82"/>
    </row>
    <row r="859" spans="1:32" ht="15" customHeight="1" x14ac:dyDescent="0.25">
      <c r="B859" s="47"/>
      <c r="C859" s="48"/>
      <c r="D859" s="45" t="s">
        <v>6484</v>
      </c>
      <c r="E859" s="46" t="s">
        <v>1324</v>
      </c>
      <c r="F859" s="87"/>
      <c r="G859" s="82"/>
      <c r="H859" s="82"/>
      <c r="I859" s="82" t="s">
        <v>8705</v>
      </c>
      <c r="J859" s="82"/>
      <c r="K859" s="82"/>
      <c r="L859" s="82"/>
      <c r="M859" s="82"/>
      <c r="N859" s="82"/>
      <c r="O859" s="87" t="s">
        <v>6615</v>
      </c>
      <c r="P859" s="82"/>
      <c r="Q859" s="83">
        <f>VLOOKUP(TAB_ESTOQUE[[#This Row],[Codigo]],TAB_ENTRADA[[Cod_2_Entrada]:[TOTAL_ENTRADA]],5,FALSE)-VLOOKUP(TAB_ESTOQUE[[#This Row],[Codigo]],TAB_SAIDA[[COD_2_SAIDA]:[TOTAL_SAIDA]],5,FALSE)</f>
        <v>144</v>
      </c>
      <c r="R859" s="87"/>
      <c r="S859" s="87"/>
      <c r="T859" s="90">
        <v>1.25</v>
      </c>
      <c r="U859" s="91">
        <f>TAB_ESTOQUE[[#This Row],[Valor Unitario Estimado]]*TAB_ESTOQUE[[#This Row],[Estoque]]</f>
        <v>180</v>
      </c>
      <c r="V859" s="91"/>
      <c r="W859" s="85"/>
      <c r="X859" s="85"/>
      <c r="Y859" s="85"/>
      <c r="Z859" s="85"/>
      <c r="AA859" s="85"/>
      <c r="AB859" s="85" t="str">
        <f>IF(TAB_ESTOQUE[[#This Row],[Estoque]]=0,"Estoque Não Conforme",IF(TAB_ESTOQUE[[#This Row],[Estoque]]&gt;=TAB_ESTOQUE[[#This Row],[Mínimo]],"Estoque Conforme",IF(TAB_ESTOQUE[[#This Row],[Estoque]]&lt;TAB_ESTOQUE[[#This Row],[Mínimo]],"Estoque em Nivel Minimo")))</f>
        <v>Estoque Conforme</v>
      </c>
      <c r="AC859" s="96"/>
      <c r="AD859" s="82"/>
      <c r="AE859" s="82"/>
      <c r="AF859" s="82"/>
    </row>
    <row r="860" spans="1:32" ht="15" customHeight="1" x14ac:dyDescent="0.25">
      <c r="A860" s="45">
        <v>486</v>
      </c>
      <c r="B860" s="47"/>
      <c r="C860" s="46"/>
      <c r="D860" s="45" t="s">
        <v>2190</v>
      </c>
      <c r="E860" s="46" t="s">
        <v>6826</v>
      </c>
      <c r="F860" s="87"/>
      <c r="G860" s="82"/>
      <c r="H860" s="82"/>
      <c r="I860" s="82" t="s">
        <v>8539</v>
      </c>
      <c r="J860" s="82"/>
      <c r="K860" s="82"/>
      <c r="L860" s="82"/>
      <c r="M860" s="82" t="s">
        <v>139</v>
      </c>
      <c r="N860" s="82"/>
      <c r="O860" s="87" t="s">
        <v>6529</v>
      </c>
      <c r="P860" s="82" t="s">
        <v>268</v>
      </c>
      <c r="Q860" s="83">
        <f>VLOOKUP(TAB_ESTOQUE[[#This Row],[Codigo]],TAB_ENTRADA[[Cod_2_Entrada]:[TOTAL_ENTRADA]],5,FALSE)-VLOOKUP(TAB_ESTOQUE[[#This Row],[Codigo]],TAB_SAIDA[[COD_2_SAIDA]:[TOTAL_SAIDA]],5,FALSE)</f>
        <v>10</v>
      </c>
      <c r="R860" s="87"/>
      <c r="S860" s="87"/>
      <c r="T860" s="90"/>
      <c r="U860" s="91">
        <f>TAB_ESTOQUE[[#This Row],[Valor Unitario Estimado]]*TAB_ESTOQUE[[#This Row],[Estoque]]</f>
        <v>0</v>
      </c>
      <c r="V860" s="91"/>
      <c r="W860" s="85"/>
      <c r="X860" s="85"/>
      <c r="Y860" s="85"/>
      <c r="Z860" s="85"/>
      <c r="AA860" s="85"/>
      <c r="AB860" s="85" t="str">
        <f>IF(TAB_ESTOQUE[[#This Row],[Estoque]]=0,"Estoque Não Conforme",IF(TAB_ESTOQUE[[#This Row],[Estoque]]&gt;=TAB_ESTOQUE[[#This Row],[Mínimo]],"Estoque Conforme",IF(TAB_ESTOQUE[[#This Row],[Estoque]]&lt;TAB_ESTOQUE[[#This Row],[Mínimo]],"Estoque em Nivel Minimo")))</f>
        <v>Estoque Conforme</v>
      </c>
      <c r="AC860" s="85"/>
      <c r="AD860" s="82"/>
      <c r="AE860" s="82"/>
      <c r="AF860" s="82"/>
    </row>
    <row r="861" spans="1:32" ht="15" customHeight="1" x14ac:dyDescent="0.25">
      <c r="A861" s="113">
        <v>958</v>
      </c>
      <c r="B861" s="113"/>
      <c r="C861" s="114"/>
      <c r="D861" s="106" t="s">
        <v>2599</v>
      </c>
      <c r="E861" s="116"/>
      <c r="F861" s="118"/>
      <c r="G861" s="95"/>
      <c r="H861" s="95"/>
      <c r="I861" s="95" t="s">
        <v>8654</v>
      </c>
      <c r="J861" s="115"/>
      <c r="K861" s="95"/>
      <c r="L861" s="95"/>
      <c r="M861" s="95"/>
      <c r="N861" s="95"/>
      <c r="O861" s="118" t="s">
        <v>6529</v>
      </c>
      <c r="P861" s="95" t="s">
        <v>741</v>
      </c>
      <c r="Q861" s="154">
        <f>VLOOKUP(TAB_ESTOQUE[[#This Row],[Codigo]],TAB_ENTRADA[[Cod_2_Entrada]:[TOTAL_ENTRADA]],5,FALSE)-VLOOKUP(TAB_ESTOQUE[[#This Row],[Codigo]],TAB_SAIDA[[COD_2_SAIDA]:[TOTAL_SAIDA]],5,FALSE)</f>
        <v>2</v>
      </c>
      <c r="R861" s="118">
        <v>2</v>
      </c>
      <c r="S861" s="118">
        <v>8</v>
      </c>
      <c r="T861" s="119"/>
      <c r="U861" s="112">
        <f>TAB_ESTOQUE[[#This Row],[Valor Unitario Estimado]]*TAB_ESTOQUE[[#This Row],[Estoque]]</f>
        <v>0</v>
      </c>
      <c r="V861" s="112"/>
      <c r="W861" s="120"/>
      <c r="X861" s="120"/>
      <c r="Y861" s="120"/>
      <c r="Z861" s="120"/>
      <c r="AA861" s="120"/>
      <c r="AB861" s="120" t="str">
        <f>IF(TAB_ESTOQUE[[#This Row],[Estoque]]=0,"Estoque Não Conforme",IF(TAB_ESTOQUE[[#This Row],[Estoque]]&gt;=TAB_ESTOQUE[[#This Row],[Mínimo]],"Estoque Conforme",IF(TAB_ESTOQUE[[#This Row],[Estoque]]&lt;TAB_ESTOQUE[[#This Row],[Mínimo]],"Estoque em Nivel Minimo")))</f>
        <v>Estoque Conforme</v>
      </c>
      <c r="AC861" s="120"/>
      <c r="AD861" s="95"/>
      <c r="AE861" s="82"/>
      <c r="AF861" s="82"/>
    </row>
    <row r="862" spans="1:32" ht="15" customHeight="1" x14ac:dyDescent="0.25">
      <c r="B862" s="47"/>
      <c r="C862" s="46"/>
      <c r="D862" s="45" t="s">
        <v>2722</v>
      </c>
      <c r="E862" s="46" t="s">
        <v>135</v>
      </c>
      <c r="F862" s="87"/>
      <c r="G862" s="82"/>
      <c r="H862" s="82"/>
      <c r="I862" s="82" t="s">
        <v>3680</v>
      </c>
      <c r="J862" s="82"/>
      <c r="K862" s="82"/>
      <c r="L862" s="82"/>
      <c r="M862" s="82"/>
      <c r="N862" s="82"/>
      <c r="O862" s="87" t="s">
        <v>6529</v>
      </c>
      <c r="P862" s="82" t="s">
        <v>1321</v>
      </c>
      <c r="Q862" s="83">
        <f>VLOOKUP(TAB_ESTOQUE[[#This Row],[Codigo]],TAB_ENTRADA[[Cod_2_Entrada]:[TOTAL_ENTRADA]],5,FALSE)-VLOOKUP(TAB_ESTOQUE[[#This Row],[Codigo]],TAB_SAIDA[[COD_2_SAIDA]:[TOTAL_SAIDA]],5,FALSE)</f>
        <v>0</v>
      </c>
      <c r="R862" s="87"/>
      <c r="S862" s="87"/>
      <c r="T862" s="90">
        <v>99.903999999999996</v>
      </c>
      <c r="U862" s="91">
        <f>TAB_ESTOQUE[[#This Row],[Valor Unitario Estimado]]*TAB_ESTOQUE[[#This Row],[Estoque]]</f>
        <v>0</v>
      </c>
      <c r="V862" s="91"/>
      <c r="W862" s="85"/>
      <c r="X862" s="85"/>
      <c r="Y862" s="85"/>
      <c r="Z862" s="85"/>
      <c r="AA862" s="85"/>
      <c r="AB862" s="96" t="str">
        <f>IF(TAB_ESTOQUE[[#This Row],[Estoque]]=0,"Estoque Não Conforme",IF(TAB_ESTOQUE[[#This Row],[Estoque]]&gt;=TAB_ESTOQUE[[#This Row],[Mínimo]],"Estoque Conforme",IF(TAB_ESTOQUE[[#This Row],[Estoque]]&lt;TAB_ESTOQUE[[#This Row],[Mínimo]],"Estoque em Nivel Minimo")))</f>
        <v>Estoque Não Conforme</v>
      </c>
      <c r="AC862" s="85"/>
      <c r="AD862" s="82"/>
      <c r="AE862" s="82"/>
      <c r="AF862" s="82"/>
    </row>
    <row r="863" spans="1:32" ht="15" customHeight="1" x14ac:dyDescent="0.25">
      <c r="B863" s="47"/>
      <c r="C863" s="53" t="s">
        <v>2833</v>
      </c>
      <c r="D863" s="45" t="s">
        <v>5993</v>
      </c>
      <c r="E863" s="46" t="s">
        <v>7680</v>
      </c>
      <c r="F863" s="87"/>
      <c r="G863" s="82"/>
      <c r="H863" s="82"/>
      <c r="I863" s="82" t="s">
        <v>6528</v>
      </c>
      <c r="J863" s="82"/>
      <c r="K863" s="82"/>
      <c r="L863" s="82"/>
      <c r="M863" s="82"/>
      <c r="N863" s="82"/>
      <c r="O863" s="87" t="s">
        <v>6529</v>
      </c>
      <c r="P863" s="82" t="s">
        <v>6015</v>
      </c>
      <c r="Q863" s="83">
        <f>VLOOKUP(TAB_ESTOQUE[[#This Row],[Codigo]],TAB_ENTRADA[[Cod_2_Entrada]:[TOTAL_ENTRADA]],5,FALSE)-VLOOKUP(TAB_ESTOQUE[[#This Row],[Codigo]],TAB_SAIDA[[COD_2_SAIDA]:[TOTAL_SAIDA]],5,FALSE)</f>
        <v>7</v>
      </c>
      <c r="R863" s="87"/>
      <c r="S863" s="87"/>
      <c r="T863" s="90">
        <v>88</v>
      </c>
      <c r="U863" s="91">
        <f>TAB_ESTOQUE[[#This Row],[Valor Unitario Estimado]]*TAB_ESTOQUE[[#This Row],[Estoque]]</f>
        <v>616</v>
      </c>
      <c r="V863" s="91"/>
      <c r="W863" s="85"/>
      <c r="X863" s="85"/>
      <c r="Y863" s="85"/>
      <c r="Z863" s="85"/>
      <c r="AA863" s="85"/>
      <c r="AB863" s="96" t="str">
        <f>IF(TAB_ESTOQUE[[#This Row],[Estoque]]=0,"Estoque Não Conforme",IF(TAB_ESTOQUE[[#This Row],[Estoque]]&gt;=TAB_ESTOQUE[[#This Row],[Mínimo]],"Estoque Conforme",IF(TAB_ESTOQUE[[#This Row],[Estoque]]&lt;TAB_ESTOQUE[[#This Row],[Mínimo]],"Estoque em Nivel Minimo")))</f>
        <v>Estoque Conforme</v>
      </c>
      <c r="AC863" s="96"/>
      <c r="AD863" s="82"/>
      <c r="AE863" s="82"/>
      <c r="AF863" s="82"/>
    </row>
    <row r="864" spans="1:32" ht="15" customHeight="1" x14ac:dyDescent="0.25">
      <c r="B864" s="47"/>
      <c r="C864" s="53" t="s">
        <v>2833</v>
      </c>
      <c r="D864" s="45" t="s">
        <v>6007</v>
      </c>
      <c r="E864" s="46"/>
      <c r="F864" s="87"/>
      <c r="G864" s="82"/>
      <c r="H864" s="82"/>
      <c r="I864" s="82" t="s">
        <v>6632</v>
      </c>
      <c r="J864" s="82"/>
      <c r="K864" s="82"/>
      <c r="L864" s="82"/>
      <c r="M864" s="82"/>
      <c r="N864" s="82"/>
      <c r="O864" s="87" t="s">
        <v>6529</v>
      </c>
      <c r="P864" s="82" t="s">
        <v>6015</v>
      </c>
      <c r="Q864" s="83">
        <f>VLOOKUP(TAB_ESTOQUE[[#This Row],[Codigo]],TAB_ENTRADA[[Cod_2_Entrada]:[TOTAL_ENTRADA]],5,FALSE)-VLOOKUP(TAB_ESTOQUE[[#This Row],[Codigo]],TAB_SAIDA[[COD_2_SAIDA]:[TOTAL_SAIDA]],5,FALSE)</f>
        <v>3</v>
      </c>
      <c r="R864" s="87"/>
      <c r="S864" s="87"/>
      <c r="T864" s="90">
        <v>295</v>
      </c>
      <c r="U864" s="91">
        <f>TAB_ESTOQUE[[#This Row],[Valor Unitario Estimado]]*TAB_ESTOQUE[[#This Row],[Estoque]]</f>
        <v>885</v>
      </c>
      <c r="V864" s="91"/>
      <c r="W864" s="85"/>
      <c r="X864" s="85"/>
      <c r="Y864" s="85"/>
      <c r="Z864" s="85"/>
      <c r="AA864" s="85"/>
      <c r="AB864" s="96" t="str">
        <f>IF(TAB_ESTOQUE[[#This Row],[Estoque]]=0,"Estoque Não Conforme",IF(TAB_ESTOQUE[[#This Row],[Estoque]]&gt;=TAB_ESTOQUE[[#This Row],[Mínimo]],"Estoque Conforme",IF(TAB_ESTOQUE[[#This Row],[Estoque]]&lt;TAB_ESTOQUE[[#This Row],[Mínimo]],"Estoque em Nivel Minimo")))</f>
        <v>Estoque Conforme</v>
      </c>
      <c r="AC864" s="96"/>
      <c r="AD864" s="82"/>
      <c r="AE864" s="82"/>
      <c r="AF864" s="82"/>
    </row>
    <row r="865" spans="1:32" ht="15" customHeight="1" x14ac:dyDescent="0.25">
      <c r="A865" s="47"/>
      <c r="B865" s="47"/>
      <c r="C865" s="51" t="s">
        <v>2833</v>
      </c>
      <c r="D865" s="47" t="s">
        <v>6256</v>
      </c>
      <c r="E865" s="51" t="s">
        <v>6796</v>
      </c>
      <c r="F865" s="107"/>
      <c r="G865" s="94"/>
      <c r="H865" s="94"/>
      <c r="I865" s="94" t="s">
        <v>6795</v>
      </c>
      <c r="J865" s="94"/>
      <c r="K865" s="94"/>
      <c r="L865" s="94"/>
      <c r="M865" s="94"/>
      <c r="N865" s="94"/>
      <c r="O865" s="107" t="s">
        <v>6529</v>
      </c>
      <c r="P865" s="94" t="s">
        <v>6046</v>
      </c>
      <c r="Q865" s="145">
        <f>VLOOKUP(TAB_ESTOQUE[[#This Row],[Codigo]],TAB_ENTRADA[[Cod_2_Entrada]:[TOTAL_ENTRADA]],5,FALSE)-VLOOKUP(TAB_ESTOQUE[[#This Row],[Codigo]],TAB_SAIDA[[COD_2_SAIDA]:[TOTAL_SAIDA]],5,FALSE)</f>
        <v>7</v>
      </c>
      <c r="R865" s="107"/>
      <c r="S865" s="107"/>
      <c r="T865" s="108">
        <v>11.9</v>
      </c>
      <c r="U865" s="109">
        <f>TAB_ESTOQUE[[#This Row],[Valor Unitario Estimado]]*TAB_ESTOQUE[[#This Row],[Estoque]]</f>
        <v>83.3</v>
      </c>
      <c r="V865" s="109"/>
      <c r="W865" s="110"/>
      <c r="X865" s="110"/>
      <c r="Y865" s="110"/>
      <c r="Z865" s="110"/>
      <c r="AA865" s="110"/>
      <c r="AB865" s="110" t="str">
        <f>IF(TAB_ESTOQUE[[#This Row],[Estoque]]=0,"Estoque Não Conforme",IF(TAB_ESTOQUE[[#This Row],[Estoque]]&gt;=TAB_ESTOQUE[[#This Row],[Mínimo]],"Estoque Conforme",IF(TAB_ESTOQUE[[#This Row],[Estoque]]&lt;TAB_ESTOQUE[[#This Row],[Mínimo]],"Estoque em Nivel Minimo")))</f>
        <v>Estoque Conforme</v>
      </c>
      <c r="AC865" s="155"/>
      <c r="AD865" s="94"/>
      <c r="AE865" s="82"/>
      <c r="AF865" s="82"/>
    </row>
    <row r="866" spans="1:32" ht="15" customHeight="1" x14ac:dyDescent="0.25">
      <c r="A866" s="106"/>
      <c r="B866" s="106"/>
      <c r="C866" s="116" t="s">
        <v>2833</v>
      </c>
      <c r="D866" s="106" t="s">
        <v>6257</v>
      </c>
      <c r="E866" s="116" t="s">
        <v>6819</v>
      </c>
      <c r="F866" s="118"/>
      <c r="G866" s="95"/>
      <c r="H866" s="95"/>
      <c r="I866" s="95" t="s">
        <v>6820</v>
      </c>
      <c r="J866" s="95"/>
      <c r="K866" s="95"/>
      <c r="L866" s="95"/>
      <c r="M866" s="95"/>
      <c r="N866" s="95"/>
      <c r="O866" s="118" t="s">
        <v>6529</v>
      </c>
      <c r="P866" s="95" t="s">
        <v>6046</v>
      </c>
      <c r="Q866" s="154">
        <f>VLOOKUP(TAB_ESTOQUE[[#This Row],[Codigo]],TAB_ENTRADA[[Cod_2_Entrada]:[TOTAL_ENTRADA]],5,FALSE)-VLOOKUP(TAB_ESTOQUE[[#This Row],[Codigo]],TAB_SAIDA[[COD_2_SAIDA]:[TOTAL_SAIDA]],5,FALSE)</f>
        <v>6</v>
      </c>
      <c r="R866" s="118"/>
      <c r="S866" s="118"/>
      <c r="T866" s="119">
        <v>40</v>
      </c>
      <c r="U866" s="112">
        <f>TAB_ESTOQUE[[#This Row],[Valor Unitario Estimado]]*TAB_ESTOQUE[[#This Row],[Estoque]]</f>
        <v>240</v>
      </c>
      <c r="V866" s="112"/>
      <c r="W866" s="120"/>
      <c r="X866" s="120"/>
      <c r="Y866" s="120"/>
      <c r="Z866" s="120"/>
      <c r="AA866" s="120"/>
      <c r="AB866" s="120" t="str">
        <f>IF(TAB_ESTOQUE[[#This Row],[Estoque]]=0,"Estoque Não Conforme",IF(TAB_ESTOQUE[[#This Row],[Estoque]]&gt;=TAB_ESTOQUE[[#This Row],[Mínimo]],"Estoque Conforme",IF(TAB_ESTOQUE[[#This Row],[Estoque]]&lt;TAB_ESTOQUE[[#This Row],[Mínimo]],"Estoque em Nivel Minimo")))</f>
        <v>Estoque Conforme</v>
      </c>
      <c r="AC866" s="160"/>
      <c r="AD866" s="95"/>
      <c r="AE866" s="82"/>
      <c r="AF866" s="82"/>
    </row>
    <row r="867" spans="1:32" ht="15" customHeight="1" x14ac:dyDescent="0.25">
      <c r="A867" s="47"/>
      <c r="B867" s="47"/>
      <c r="C867" s="51" t="s">
        <v>2833</v>
      </c>
      <c r="D867" s="47" t="s">
        <v>6258</v>
      </c>
      <c r="E867" s="51" t="s">
        <v>6819</v>
      </c>
      <c r="F867" s="107"/>
      <c r="G867" s="94"/>
      <c r="H867" s="94"/>
      <c r="I867" s="94" t="s">
        <v>6821</v>
      </c>
      <c r="J867" s="94"/>
      <c r="K867" s="94"/>
      <c r="L867" s="94"/>
      <c r="M867" s="94"/>
      <c r="N867" s="94"/>
      <c r="O867" s="107" t="s">
        <v>6529</v>
      </c>
      <c r="P867" s="94" t="s">
        <v>6046</v>
      </c>
      <c r="Q867" s="145">
        <f>VLOOKUP(TAB_ESTOQUE[[#This Row],[Codigo]],TAB_ENTRADA[[Cod_2_Entrada]:[TOTAL_ENTRADA]],5,FALSE)-VLOOKUP(TAB_ESTOQUE[[#This Row],[Codigo]],TAB_SAIDA[[COD_2_SAIDA]:[TOTAL_SAIDA]],5,FALSE)</f>
        <v>0</v>
      </c>
      <c r="R867" s="107"/>
      <c r="S867" s="107"/>
      <c r="T867" s="108">
        <v>240</v>
      </c>
      <c r="U867" s="109">
        <f>TAB_ESTOQUE[[#This Row],[Valor Unitario Estimado]]*TAB_ESTOQUE[[#This Row],[Estoque]]</f>
        <v>0</v>
      </c>
      <c r="V867" s="109"/>
      <c r="W867" s="110"/>
      <c r="X867" s="110"/>
      <c r="Y867" s="110"/>
      <c r="Z867" s="110"/>
      <c r="AA867" s="110"/>
      <c r="AB867" s="110" t="str">
        <f>IF(TAB_ESTOQUE[[#This Row],[Estoque]]=0,"Estoque Não Conforme",IF(TAB_ESTOQUE[[#This Row],[Estoque]]&gt;=TAB_ESTOQUE[[#This Row],[Mínimo]],"Estoque Conforme",IF(TAB_ESTOQUE[[#This Row],[Estoque]]&lt;TAB_ESTOQUE[[#This Row],[Mínimo]],"Estoque em Nivel Minimo")))</f>
        <v>Estoque Não Conforme</v>
      </c>
      <c r="AC867" s="155"/>
      <c r="AD867" s="94"/>
      <c r="AE867" s="82"/>
      <c r="AF867" s="82"/>
    </row>
    <row r="868" spans="1:32" ht="15" customHeight="1" x14ac:dyDescent="0.25">
      <c r="B868" s="47"/>
      <c r="C868" s="48"/>
      <c r="D868" s="45" t="s">
        <v>6485</v>
      </c>
      <c r="E868" s="46" t="s">
        <v>1324</v>
      </c>
      <c r="F868" s="87"/>
      <c r="G868" s="82"/>
      <c r="H868" s="82"/>
      <c r="I868" s="95" t="s">
        <v>8706</v>
      </c>
      <c r="J868" s="82"/>
      <c r="K868" s="82"/>
      <c r="L868" s="82"/>
      <c r="M868" s="82"/>
      <c r="N868" s="82"/>
      <c r="O868" s="87" t="s">
        <v>6529</v>
      </c>
      <c r="P868" s="82"/>
      <c r="Q868" s="83">
        <f>VLOOKUP(TAB_ESTOQUE[[#This Row],[Codigo]],TAB_ENTRADA[[Cod_2_Entrada]:[TOTAL_ENTRADA]],5,FALSE)-VLOOKUP(TAB_ESTOQUE[[#This Row],[Codigo]],TAB_SAIDA[[COD_2_SAIDA]:[TOTAL_SAIDA]],5,FALSE)</f>
        <v>4</v>
      </c>
      <c r="R868" s="87"/>
      <c r="S868" s="87"/>
      <c r="T868" s="90"/>
      <c r="U868" s="91">
        <f>TAB_ESTOQUE[[#This Row],[Valor Unitario Estimado]]*TAB_ESTOQUE[[#This Row],[Estoque]]</f>
        <v>0</v>
      </c>
      <c r="V868" s="91"/>
      <c r="W868" s="85"/>
      <c r="X868" s="85"/>
      <c r="Y868" s="85"/>
      <c r="Z868" s="85"/>
      <c r="AA868" s="85"/>
      <c r="AB868" s="85" t="str">
        <f>IF(TAB_ESTOQUE[[#This Row],[Estoque]]=0,"Estoque Não Conforme",IF(TAB_ESTOQUE[[#This Row],[Estoque]]&gt;=TAB_ESTOQUE[[#This Row],[Mínimo]],"Estoque Conforme",IF(TAB_ESTOQUE[[#This Row],[Estoque]]&lt;TAB_ESTOQUE[[#This Row],[Mínimo]],"Estoque em Nivel Minimo")))</f>
        <v>Estoque Conforme</v>
      </c>
      <c r="AC868" s="96"/>
      <c r="AD868" s="82"/>
      <c r="AE868" s="82"/>
      <c r="AF868" s="82"/>
    </row>
    <row r="869" spans="1:32" ht="15" customHeight="1" x14ac:dyDescent="0.25">
      <c r="C869" s="48"/>
      <c r="D869" s="45" t="s">
        <v>7076</v>
      </c>
      <c r="E869" s="46" t="s">
        <v>7424</v>
      </c>
      <c r="F869" s="46"/>
      <c r="I869" s="45" t="s">
        <v>7426</v>
      </c>
      <c r="O869" s="46" t="s">
        <v>6529</v>
      </c>
      <c r="Q869" s="137">
        <f>VLOOKUP(TAB_ESTOQUE[[#This Row],[Codigo]],TAB_ENTRADA[[Cod_2_Entrada]:[TOTAL_ENTRADA]],5,FALSE)-VLOOKUP(TAB_ESTOQUE[[#This Row],[Codigo]],TAB_SAIDA[[COD_2_SAIDA]:[TOTAL_SAIDA]],5,FALSE)</f>
        <v>2</v>
      </c>
      <c r="S869" s="46"/>
      <c r="T869" s="102">
        <v>356</v>
      </c>
      <c r="U869" s="103">
        <f>TAB_ESTOQUE[[#This Row],[Valor Unitario Estimado]]*TAB_ESTOQUE[[#This Row],[Estoque]]</f>
        <v>712</v>
      </c>
      <c r="V869" s="103"/>
      <c r="AA869" s="138"/>
      <c r="AB869" s="104" t="str">
        <f>IF(TAB_ESTOQUE[[#This Row],[Estoque]]=0,"Estoque Não Conforme",IF(TAB_ESTOQUE[[#This Row],[Estoque]]&gt;=TAB_ESTOQUE[[#This Row],[Mínimo]],"Estoque Conforme",IF(TAB_ESTOQUE[[#This Row],[Estoque]]&lt;TAB_ESTOQUE[[#This Row],[Mínimo]],"Estoque em Nivel Minimo")))</f>
        <v>Estoque Conforme</v>
      </c>
      <c r="AC869" s="104"/>
      <c r="AE869" s="82"/>
      <c r="AF869" s="82"/>
    </row>
    <row r="870" spans="1:32" ht="15" customHeight="1" x14ac:dyDescent="0.25">
      <c r="C870" s="48"/>
      <c r="D870" s="45" t="s">
        <v>8054</v>
      </c>
      <c r="E870" s="46" t="s">
        <v>7185</v>
      </c>
      <c r="F870" s="46"/>
      <c r="I870" s="45" t="s">
        <v>9006</v>
      </c>
      <c r="O870" s="46" t="s">
        <v>6529</v>
      </c>
      <c r="Q870" s="137">
        <f>VLOOKUP(TAB_ESTOQUE[[#This Row],[Codigo]],TAB_ENTRADA[[Cod_2_Entrada]:[TOTAL_ENTRADA]],5,FALSE)-VLOOKUP(TAB_ESTOQUE[[#This Row],[Codigo]],TAB_SAIDA[[COD_2_SAIDA]:[TOTAL_SAIDA]],5,FALSE)</f>
        <v>1</v>
      </c>
      <c r="R870" s="46">
        <v>2</v>
      </c>
      <c r="S870" s="46">
        <v>8</v>
      </c>
      <c r="T870" s="102">
        <v>607.5</v>
      </c>
      <c r="U870" s="103">
        <f>TAB_ESTOQUE[[#This Row],[Valor Unitario Estimado]]*TAB_ESTOQUE[[#This Row],[Estoque]]</f>
        <v>607.5</v>
      </c>
      <c r="V870" s="103"/>
      <c r="AA870" s="138"/>
      <c r="AB870" s="104" t="str">
        <f>IF(TAB_ESTOQUE[[#This Row],[Estoque]]=0,"Estoque Não Conforme",IF(TAB_ESTOQUE[[#This Row],[Estoque]]&gt;=TAB_ESTOQUE[[#This Row],[Mínimo]],"Estoque Conforme",IF(TAB_ESTOQUE[[#This Row],[Estoque]]&lt;TAB_ESTOQUE[[#This Row],[Mínimo]],"Estoque em Nivel Minimo")))</f>
        <v>Estoque em Nivel Minimo</v>
      </c>
      <c r="AC870" s="104"/>
      <c r="AE870" s="82"/>
      <c r="AF870" s="82"/>
    </row>
    <row r="871" spans="1:32" ht="15" customHeight="1" x14ac:dyDescent="0.25">
      <c r="C871" s="48"/>
      <c r="D871" s="45" t="s">
        <v>8055</v>
      </c>
      <c r="E871" s="46" t="s">
        <v>9007</v>
      </c>
      <c r="F871" s="46"/>
      <c r="I871" s="45" t="s">
        <v>9008</v>
      </c>
      <c r="O871" s="46" t="s">
        <v>6529</v>
      </c>
      <c r="Q871" s="137">
        <f>VLOOKUP(TAB_ESTOQUE[[#This Row],[Codigo]],TAB_ENTRADA[[Cod_2_Entrada]:[TOTAL_ENTRADA]],5,FALSE)-VLOOKUP(TAB_ESTOQUE[[#This Row],[Codigo]],TAB_SAIDA[[COD_2_SAIDA]:[TOTAL_SAIDA]],5,FALSE)</f>
        <v>8</v>
      </c>
      <c r="R871" s="46">
        <v>2</v>
      </c>
      <c r="S871" s="46">
        <v>8</v>
      </c>
      <c r="T871" s="102">
        <v>950</v>
      </c>
      <c r="U871" s="103">
        <f>TAB_ESTOQUE[[#This Row],[Valor Unitario Estimado]]*TAB_ESTOQUE[[#This Row],[Estoque]]</f>
        <v>7600</v>
      </c>
      <c r="V871" s="103"/>
      <c r="AA871" s="138"/>
      <c r="AB871" s="104" t="str">
        <f>IF(TAB_ESTOQUE[[#This Row],[Estoque]]=0,"Estoque Não Conforme",IF(TAB_ESTOQUE[[#This Row],[Estoque]]&gt;=TAB_ESTOQUE[[#This Row],[Mínimo]],"Estoque Conforme",IF(TAB_ESTOQUE[[#This Row],[Estoque]]&lt;TAB_ESTOQUE[[#This Row],[Mínimo]],"Estoque em Nivel Minimo")))</f>
        <v>Estoque Conforme</v>
      </c>
      <c r="AC871" s="104"/>
      <c r="AE871" s="82"/>
      <c r="AF871" s="82"/>
    </row>
    <row r="872" spans="1:32" ht="15" customHeight="1" x14ac:dyDescent="0.25">
      <c r="A872" s="45">
        <v>1186</v>
      </c>
      <c r="B872" s="47"/>
      <c r="C872" s="46"/>
      <c r="D872" s="45" t="s">
        <v>2252</v>
      </c>
      <c r="E872" s="46"/>
      <c r="F872" s="87"/>
      <c r="G872" s="82"/>
      <c r="H872" s="82"/>
      <c r="I872" s="82" t="s">
        <v>8551</v>
      </c>
      <c r="J872" s="82"/>
      <c r="K872" s="82" t="s">
        <v>214</v>
      </c>
      <c r="L872" s="82"/>
      <c r="M872" s="82"/>
      <c r="N872" s="82"/>
      <c r="O872" s="87" t="s">
        <v>7619</v>
      </c>
      <c r="P872" s="82" t="s">
        <v>909</v>
      </c>
      <c r="Q872" s="83">
        <f>VLOOKUP(TAB_ESTOQUE[[#This Row],[Codigo]],TAB_ENTRADA[[Cod_2_Entrada]:[TOTAL_ENTRADA]],5,FALSE)-VLOOKUP(TAB_ESTOQUE[[#This Row],[Codigo]],TAB_SAIDA[[COD_2_SAIDA]:[TOTAL_SAIDA]],5,FALSE)</f>
        <v>2</v>
      </c>
      <c r="R872" s="87">
        <v>2</v>
      </c>
      <c r="S872" s="87">
        <v>8</v>
      </c>
      <c r="T872" s="90"/>
      <c r="U872" s="91">
        <f>TAB_ESTOQUE[[#This Row],[Valor Unitario Estimado]]*TAB_ESTOQUE[[#This Row],[Estoque]]</f>
        <v>0</v>
      </c>
      <c r="V872" s="91"/>
      <c r="W872" s="85"/>
      <c r="X872" s="85"/>
      <c r="Y872" s="85"/>
      <c r="Z872" s="85"/>
      <c r="AA872" s="85"/>
      <c r="AB872" s="85" t="str">
        <f>IF(TAB_ESTOQUE[[#This Row],[Estoque]]=0,"Estoque Não Conforme",IF(TAB_ESTOQUE[[#This Row],[Estoque]]&gt;=TAB_ESTOQUE[[#This Row],[Mínimo]],"Estoque Conforme",IF(TAB_ESTOQUE[[#This Row],[Estoque]]&lt;TAB_ESTOQUE[[#This Row],[Mínimo]],"Estoque em Nivel Minimo")))</f>
        <v>Estoque Conforme</v>
      </c>
      <c r="AC872" s="85"/>
      <c r="AD872" s="82"/>
      <c r="AE872" s="82"/>
      <c r="AF872" s="82"/>
    </row>
    <row r="873" spans="1:32" ht="15" customHeight="1" x14ac:dyDescent="0.25">
      <c r="A873" s="45">
        <v>690</v>
      </c>
      <c r="B873" s="47"/>
      <c r="C873" s="46"/>
      <c r="D873" s="45" t="s">
        <v>2381</v>
      </c>
      <c r="E873" s="46" t="s">
        <v>7908</v>
      </c>
      <c r="F873" s="87"/>
      <c r="G873" s="82"/>
      <c r="H873" s="82"/>
      <c r="I873" s="82" t="s">
        <v>7905</v>
      </c>
      <c r="J873" s="82"/>
      <c r="K873" s="82"/>
      <c r="L873" s="82"/>
      <c r="M873" s="82" t="s">
        <v>139</v>
      </c>
      <c r="N873" s="82"/>
      <c r="O873" s="87" t="s">
        <v>7619</v>
      </c>
      <c r="P873" s="82" t="s">
        <v>477</v>
      </c>
      <c r="Q873" s="83">
        <f>VLOOKUP(TAB_ESTOQUE[[#This Row],[Codigo]],TAB_ENTRADA[[Cod_2_Entrada]:[TOTAL_ENTRADA]],5,FALSE)-VLOOKUP(TAB_ESTOQUE[[#This Row],[Codigo]],TAB_SAIDA[[COD_2_SAIDA]:[TOTAL_SAIDA]],5,FALSE)</f>
        <v>6</v>
      </c>
      <c r="R873" s="87"/>
      <c r="S873" s="87"/>
      <c r="T873" s="90">
        <v>682</v>
      </c>
      <c r="U873" s="91">
        <f>TAB_ESTOQUE[[#This Row],[Valor Unitario Estimado]]*TAB_ESTOQUE[[#This Row],[Estoque]]</f>
        <v>4092</v>
      </c>
      <c r="V873" s="91"/>
      <c r="W873" s="85"/>
      <c r="X873" s="85"/>
      <c r="Y873" s="85"/>
      <c r="Z873" s="85"/>
      <c r="AA873" s="85"/>
      <c r="AB873" s="85" t="str">
        <f>IF(TAB_ESTOQUE[[#This Row],[Estoque]]=0,"Estoque Não Conforme",IF(TAB_ESTOQUE[[#This Row],[Estoque]]&gt;=TAB_ESTOQUE[[#This Row],[Mínimo]],"Estoque Conforme",IF(TAB_ESTOQUE[[#This Row],[Estoque]]&lt;TAB_ESTOQUE[[#This Row],[Mínimo]],"Estoque em Nivel Minimo")))</f>
        <v>Estoque Conforme</v>
      </c>
      <c r="AC873" s="85"/>
      <c r="AD873" s="82"/>
      <c r="AE873" s="82"/>
      <c r="AF873" s="82"/>
    </row>
    <row r="874" spans="1:32" ht="15" customHeight="1" x14ac:dyDescent="0.25">
      <c r="A874" s="47">
        <v>1100</v>
      </c>
      <c r="B874" s="47"/>
      <c r="C874" s="51"/>
      <c r="D874" s="47" t="s">
        <v>2586</v>
      </c>
      <c r="E874" s="51"/>
      <c r="F874" s="107"/>
      <c r="G874" s="94"/>
      <c r="H874" s="94"/>
      <c r="I874" s="94" t="s">
        <v>1197</v>
      </c>
      <c r="J874" s="94"/>
      <c r="K874" s="94"/>
      <c r="L874" s="94"/>
      <c r="M874" s="94"/>
      <c r="N874" s="94"/>
      <c r="O874" s="107" t="s">
        <v>7619</v>
      </c>
      <c r="P874" s="94" t="s">
        <v>830</v>
      </c>
      <c r="Q874" s="145">
        <f>VLOOKUP(TAB_ESTOQUE[[#This Row],[Codigo]],TAB_ENTRADA[[Cod_2_Entrada]:[TOTAL_ENTRADA]],5,FALSE)-VLOOKUP(TAB_ESTOQUE[[#This Row],[Codigo]],TAB_SAIDA[[COD_2_SAIDA]:[TOTAL_SAIDA]],5,FALSE)</f>
        <v>8</v>
      </c>
      <c r="R874" s="107"/>
      <c r="S874" s="107"/>
      <c r="T874" s="108"/>
      <c r="U874" s="109">
        <f>TAB_ESTOQUE[[#This Row],[Valor Unitario Estimado]]*TAB_ESTOQUE[[#This Row],[Estoque]]</f>
        <v>0</v>
      </c>
      <c r="V874" s="109"/>
      <c r="W874" s="110"/>
      <c r="X874" s="110"/>
      <c r="Y874" s="110"/>
      <c r="Z874" s="110"/>
      <c r="AA874" s="110"/>
      <c r="AB874" s="110" t="str">
        <f>IF(TAB_ESTOQUE[[#This Row],[Estoque]]=0,"Estoque Não Conforme",IF(TAB_ESTOQUE[[#This Row],[Estoque]]&gt;=TAB_ESTOQUE[[#This Row],[Mínimo]],"Estoque Conforme",IF(TAB_ESTOQUE[[#This Row],[Estoque]]&lt;TAB_ESTOQUE[[#This Row],[Mínimo]],"Estoque em Nivel Minimo")))</f>
        <v>Estoque Conforme</v>
      </c>
      <c r="AC874" s="110"/>
      <c r="AD874" s="94"/>
      <c r="AE874" s="82"/>
      <c r="AF874" s="82"/>
    </row>
    <row r="875" spans="1:32" ht="15" customHeight="1" x14ac:dyDescent="0.25">
      <c r="B875" s="47"/>
      <c r="C875" s="53" t="s">
        <v>2833</v>
      </c>
      <c r="D875" s="45" t="s">
        <v>6000</v>
      </c>
      <c r="E875" s="46" t="s">
        <v>7185</v>
      </c>
      <c r="F875" s="87"/>
      <c r="G875" s="82"/>
      <c r="H875" s="82"/>
      <c r="I875" s="82" t="s">
        <v>6549</v>
      </c>
      <c r="J875" s="82"/>
      <c r="K875" s="82"/>
      <c r="L875" s="82"/>
      <c r="M875" s="82"/>
      <c r="N875" s="82"/>
      <c r="O875" s="87" t="s">
        <v>7619</v>
      </c>
      <c r="P875" s="82" t="s">
        <v>6015</v>
      </c>
      <c r="Q875" s="83">
        <f>VLOOKUP(TAB_ESTOQUE[[#This Row],[Codigo]],TAB_ENTRADA[[Cod_2_Entrada]:[TOTAL_ENTRADA]],5,FALSE)-VLOOKUP(TAB_ESTOQUE[[#This Row],[Codigo]],TAB_SAIDA[[COD_2_SAIDA]:[TOTAL_SAIDA]],5,FALSE)</f>
        <v>10</v>
      </c>
      <c r="R875" s="87">
        <v>2</v>
      </c>
      <c r="S875" s="87">
        <v>8</v>
      </c>
      <c r="T875" s="90">
        <v>607.5</v>
      </c>
      <c r="U875" s="91">
        <f>TAB_ESTOQUE[[#This Row],[Valor Unitario Estimado]]*TAB_ESTOQUE[[#This Row],[Estoque]]</f>
        <v>6075</v>
      </c>
      <c r="V875" s="91"/>
      <c r="W875" s="85"/>
      <c r="X875" s="85"/>
      <c r="Y875" s="85"/>
      <c r="Z875" s="85"/>
      <c r="AA875" s="85"/>
      <c r="AB875" s="96" t="str">
        <f>IF(TAB_ESTOQUE[[#This Row],[Estoque]]=0,"Estoque Não Conforme",IF(TAB_ESTOQUE[[#This Row],[Estoque]]&gt;=TAB_ESTOQUE[[#This Row],[Mínimo]],"Estoque Conforme",IF(TAB_ESTOQUE[[#This Row],[Estoque]]&lt;TAB_ESTOQUE[[#This Row],[Mínimo]],"Estoque em Nivel Minimo")))</f>
        <v>Estoque Conforme</v>
      </c>
      <c r="AC875" s="96"/>
      <c r="AD875" s="82"/>
      <c r="AE875" s="82"/>
      <c r="AF875" s="82"/>
    </row>
    <row r="876" spans="1:32" ht="15" customHeight="1" x14ac:dyDescent="0.25">
      <c r="C876" s="53" t="s">
        <v>2842</v>
      </c>
      <c r="D876" s="45" t="s">
        <v>6793</v>
      </c>
      <c r="E876" s="46"/>
      <c r="F876" s="46"/>
      <c r="I876" s="45" t="s">
        <v>8713</v>
      </c>
      <c r="O876" s="46" t="s">
        <v>7619</v>
      </c>
      <c r="Q876" s="83">
        <f>VLOOKUP(TAB_ESTOQUE[[#This Row],[Codigo]],TAB_ENTRADA[[Cod_2_Entrada]:[TOTAL_ENTRADA]],5,FALSE)-VLOOKUP(TAB_ESTOQUE[[#This Row],[Codigo]],TAB_SAIDA[[COD_2_SAIDA]:[TOTAL_SAIDA]],5,FALSE)</f>
        <v>2</v>
      </c>
      <c r="S876" s="46"/>
      <c r="T876" s="102"/>
      <c r="U876" s="103">
        <f>TAB_ESTOQUE[[#This Row],[Valor Unitario Estimado]]*TAB_ESTOQUE[[#This Row],[Estoque]]</f>
        <v>0</v>
      </c>
      <c r="V876" s="103"/>
      <c r="AB876" s="104" t="str">
        <f>IF(TAB_ESTOQUE[[#This Row],[Estoque]]=0,"Estoque Não Conforme",IF(TAB_ESTOQUE[[#This Row],[Estoque]]&gt;=TAB_ESTOQUE[[#This Row],[Mínimo]],"Estoque Conforme",IF(TAB_ESTOQUE[[#This Row],[Estoque]]&lt;TAB_ESTOQUE[[#This Row],[Mínimo]],"Estoque em Nivel Minimo")))</f>
        <v>Estoque Conforme</v>
      </c>
      <c r="AC876" s="104"/>
      <c r="AE876" s="82"/>
      <c r="AF876" s="82"/>
    </row>
    <row r="877" spans="1:32" ht="15" customHeight="1" x14ac:dyDescent="0.25">
      <c r="C877" s="48"/>
      <c r="D877" s="45" t="s">
        <v>7119</v>
      </c>
      <c r="E877" s="46" t="s">
        <v>7618</v>
      </c>
      <c r="F877" s="46"/>
      <c r="I877" s="184" t="s">
        <v>8726</v>
      </c>
      <c r="O877" s="46" t="s">
        <v>7619</v>
      </c>
      <c r="Q877" s="137">
        <f>VLOOKUP(TAB_ESTOQUE[[#This Row],[Codigo]],TAB_ENTRADA[[Cod_2_Entrada]:[TOTAL_ENTRADA]],5,FALSE)-VLOOKUP(TAB_ESTOQUE[[#This Row],[Codigo]],TAB_SAIDA[[COD_2_SAIDA]:[TOTAL_SAIDA]],5,FALSE)</f>
        <v>8</v>
      </c>
      <c r="S877" s="46"/>
      <c r="T877" s="102">
        <v>229.4</v>
      </c>
      <c r="U877" s="103">
        <f>TAB_ESTOQUE[[#This Row],[Valor Unitario Estimado]]*TAB_ESTOQUE[[#This Row],[Estoque]]</f>
        <v>1835.2</v>
      </c>
      <c r="V877" s="103"/>
      <c r="AA877" s="138"/>
      <c r="AB877" s="104" t="str">
        <f>IF(TAB_ESTOQUE[[#This Row],[Estoque]]=0,"Estoque Não Conforme",IF(TAB_ESTOQUE[[#This Row],[Estoque]]&gt;=TAB_ESTOQUE[[#This Row],[Mínimo]],"Estoque Conforme",IF(TAB_ESTOQUE[[#This Row],[Estoque]]&lt;TAB_ESTOQUE[[#This Row],[Mínimo]],"Estoque em Nivel Minimo")))</f>
        <v>Estoque Conforme</v>
      </c>
      <c r="AC877" s="104"/>
      <c r="AE877" s="82"/>
      <c r="AF877" s="82"/>
    </row>
    <row r="878" spans="1:32" ht="15" customHeight="1" x14ac:dyDescent="0.25">
      <c r="C878" s="48"/>
      <c r="D878" s="45" t="s">
        <v>7617</v>
      </c>
      <c r="E878" s="46"/>
      <c r="F878" s="46"/>
      <c r="I878" s="45" t="s">
        <v>8731</v>
      </c>
      <c r="O878" s="51" t="s">
        <v>7619</v>
      </c>
      <c r="Q878" s="137">
        <f>VLOOKUP(TAB_ESTOQUE[[#This Row],[Codigo]],TAB_ENTRADA[[Cod_2_Entrada]:[TOTAL_ENTRADA]],5,FALSE)-VLOOKUP(TAB_ESTOQUE[[#This Row],[Codigo]],TAB_SAIDA[[COD_2_SAIDA]:[TOTAL_SAIDA]],5,FALSE)</f>
        <v>4</v>
      </c>
      <c r="R878" s="46">
        <v>2</v>
      </c>
      <c r="S878" s="46">
        <v>8</v>
      </c>
      <c r="T878" s="102">
        <v>326.5</v>
      </c>
      <c r="U878" s="103">
        <f>TAB_ESTOQUE[[#This Row],[Valor Unitario Estimado]]*TAB_ESTOQUE[[#This Row],[Estoque]]</f>
        <v>1306</v>
      </c>
      <c r="V878" s="103"/>
      <c r="AA878" s="138"/>
      <c r="AB878" s="104" t="str">
        <f>IF(TAB_ESTOQUE[[#This Row],[Estoque]]=0,"Estoque Não Conforme",IF(TAB_ESTOQUE[[#This Row],[Estoque]]&gt;=TAB_ESTOQUE[[#This Row],[Mínimo]],"Estoque Conforme",IF(TAB_ESTOQUE[[#This Row],[Estoque]]&lt;TAB_ESTOQUE[[#This Row],[Mínimo]],"Estoque em Nivel Minimo")))</f>
        <v>Estoque Conforme</v>
      </c>
      <c r="AC878" s="104"/>
      <c r="AE878" s="82"/>
      <c r="AF878" s="82"/>
    </row>
    <row r="879" spans="1:32" ht="15" customHeight="1" x14ac:dyDescent="0.25">
      <c r="C879" s="48"/>
      <c r="D879" s="45" t="s">
        <v>7737</v>
      </c>
      <c r="E879" s="46" t="s">
        <v>7618</v>
      </c>
      <c r="F879" s="46"/>
      <c r="I879" s="45" t="s">
        <v>8778</v>
      </c>
      <c r="O879" s="46" t="s">
        <v>7619</v>
      </c>
      <c r="Q879" s="137">
        <f>VLOOKUP(TAB_ESTOQUE[[#This Row],[Codigo]],TAB_ENTRADA[[Cod_2_Entrada]:[TOTAL_ENTRADA]],5,FALSE)-VLOOKUP(TAB_ESTOQUE[[#This Row],[Codigo]],TAB_SAIDA[[COD_2_SAIDA]:[TOTAL_SAIDA]],5,FALSE)</f>
        <v>1</v>
      </c>
      <c r="S879" s="46"/>
      <c r="T879" s="102">
        <v>662.02</v>
      </c>
      <c r="U879" s="103">
        <f>TAB_ESTOQUE[[#This Row],[Valor Unitario Estimado]]*TAB_ESTOQUE[[#This Row],[Estoque]]</f>
        <v>662.02</v>
      </c>
      <c r="V879" s="103"/>
      <c r="AA879" s="138"/>
      <c r="AB879" s="104" t="str">
        <f>IF(TAB_ESTOQUE[[#This Row],[Estoque]]=0,"Estoque Não Conforme",IF(TAB_ESTOQUE[[#This Row],[Estoque]]&gt;=TAB_ESTOQUE[[#This Row],[Mínimo]],"Estoque Conforme",IF(TAB_ESTOQUE[[#This Row],[Estoque]]&lt;TAB_ESTOQUE[[#This Row],[Mínimo]],"Estoque em Nivel Minimo")))</f>
        <v>Estoque Conforme</v>
      </c>
      <c r="AC879" s="104"/>
      <c r="AE879" s="82"/>
      <c r="AF879" s="82"/>
    </row>
    <row r="880" spans="1:32" ht="15" customHeight="1" x14ac:dyDescent="0.25">
      <c r="A880" s="45">
        <v>496</v>
      </c>
      <c r="B880" s="47"/>
      <c r="C880" s="46"/>
      <c r="D880" s="45" t="s">
        <v>2096</v>
      </c>
      <c r="E880" s="46" t="s">
        <v>7185</v>
      </c>
      <c r="F880" s="87"/>
      <c r="G880" s="82"/>
      <c r="H880" s="82"/>
      <c r="I880" s="82" t="s">
        <v>1451</v>
      </c>
      <c r="J880" s="82"/>
      <c r="K880" s="82"/>
      <c r="L880" s="82"/>
      <c r="M880" s="82" t="s">
        <v>139</v>
      </c>
      <c r="N880" s="82"/>
      <c r="O880" s="87" t="s">
        <v>6605</v>
      </c>
      <c r="P880" s="82" t="s">
        <v>278</v>
      </c>
      <c r="Q880" s="83">
        <f>VLOOKUP(TAB_ESTOQUE[[#This Row],[Codigo]],TAB_ENTRADA[[Cod_2_Entrada]:[TOTAL_ENTRADA]],5,FALSE)-VLOOKUP(TAB_ESTOQUE[[#This Row],[Codigo]],TAB_SAIDA[[COD_2_SAIDA]:[TOTAL_SAIDA]],5,FALSE)</f>
        <v>0</v>
      </c>
      <c r="R880" s="87"/>
      <c r="S880" s="87"/>
      <c r="T880" s="90"/>
      <c r="U880" s="91">
        <f>TAB_ESTOQUE[[#This Row],[Valor Unitario Estimado]]*TAB_ESTOQUE[[#This Row],[Estoque]]</f>
        <v>0</v>
      </c>
      <c r="V880" s="91"/>
      <c r="W880" s="85"/>
      <c r="X880" s="85"/>
      <c r="Y880" s="85"/>
      <c r="Z880" s="85"/>
      <c r="AA880" s="85"/>
      <c r="AB880" s="85" t="str">
        <f>IF(TAB_ESTOQUE[[#This Row],[Estoque]]=0,"Estoque Não Conforme",IF(TAB_ESTOQUE[[#This Row],[Estoque]]&gt;=TAB_ESTOQUE[[#This Row],[Mínimo]],"Estoque Conforme",IF(TAB_ESTOQUE[[#This Row],[Estoque]]&lt;TAB_ESTOQUE[[#This Row],[Mínimo]],"Estoque em Nivel Minimo")))</f>
        <v>Estoque Não Conforme</v>
      </c>
      <c r="AC880" s="85"/>
      <c r="AD880" s="82"/>
      <c r="AE880" s="82"/>
      <c r="AF880" s="82"/>
    </row>
    <row r="881" spans="1:32" ht="15" customHeight="1" x14ac:dyDescent="0.25">
      <c r="A881" s="47">
        <v>527</v>
      </c>
      <c r="B881" s="47"/>
      <c r="C881" s="51" t="s">
        <v>2833</v>
      </c>
      <c r="D881" s="47" t="s">
        <v>2110</v>
      </c>
      <c r="E881" s="51" t="s">
        <v>7</v>
      </c>
      <c r="F881" s="107"/>
      <c r="G881" s="94"/>
      <c r="H881" s="94"/>
      <c r="I881" s="94" t="s">
        <v>8515</v>
      </c>
      <c r="J881" s="94"/>
      <c r="K881" s="94"/>
      <c r="L881" s="94"/>
      <c r="M881" s="94"/>
      <c r="N881" s="94"/>
      <c r="O881" s="107" t="s">
        <v>6605</v>
      </c>
      <c r="P881" s="94" t="s">
        <v>305</v>
      </c>
      <c r="Q881" s="145">
        <f>VLOOKUP(TAB_ESTOQUE[[#This Row],[Codigo]],TAB_ENTRADA[[Cod_2_Entrada]:[TOTAL_ENTRADA]],5,FALSE)-VLOOKUP(TAB_ESTOQUE[[#This Row],[Codigo]],TAB_SAIDA[[COD_2_SAIDA]:[TOTAL_SAIDA]],5,FALSE)</f>
        <v>2</v>
      </c>
      <c r="R881" s="107"/>
      <c r="S881" s="107"/>
      <c r="T881" s="108">
        <v>190</v>
      </c>
      <c r="U881" s="109">
        <f>TAB_ESTOQUE[[#This Row],[Valor Unitario Estimado]]*TAB_ESTOQUE[[#This Row],[Estoque]]</f>
        <v>380</v>
      </c>
      <c r="V881" s="109"/>
      <c r="W881" s="110"/>
      <c r="X881" s="110"/>
      <c r="Y881" s="110"/>
      <c r="Z881" s="110"/>
      <c r="AA881" s="110"/>
      <c r="AB881" s="110" t="str">
        <f>IF(TAB_ESTOQUE[[#This Row],[Estoque]]=0,"Estoque Não Conforme",IF(TAB_ESTOQUE[[#This Row],[Estoque]]&gt;=TAB_ESTOQUE[[#This Row],[Mínimo]],"Estoque Conforme",IF(TAB_ESTOQUE[[#This Row],[Estoque]]&lt;TAB_ESTOQUE[[#This Row],[Mínimo]],"Estoque em Nivel Minimo")))</f>
        <v>Estoque Conforme</v>
      </c>
      <c r="AC881" s="110"/>
      <c r="AD881" s="94"/>
      <c r="AE881" s="82"/>
      <c r="AF881" s="82"/>
    </row>
    <row r="882" spans="1:32" ht="15" customHeight="1" x14ac:dyDescent="0.25">
      <c r="A882" s="45">
        <v>250</v>
      </c>
      <c r="B882" s="47"/>
      <c r="C882" s="46"/>
      <c r="D882" s="45" t="s">
        <v>2219</v>
      </c>
      <c r="E882" s="46" t="s">
        <v>255</v>
      </c>
      <c r="F882" s="87"/>
      <c r="G882" s="82"/>
      <c r="H882" s="82"/>
      <c r="I882" s="82" t="s">
        <v>8542</v>
      </c>
      <c r="J882" s="82"/>
      <c r="K882" s="82"/>
      <c r="L882" s="82"/>
      <c r="M882" s="82" t="s">
        <v>139</v>
      </c>
      <c r="N882" s="82"/>
      <c r="O882" s="87" t="s">
        <v>6605</v>
      </c>
      <c r="P882" s="82" t="s">
        <v>193</v>
      </c>
      <c r="Q882" s="83">
        <f>VLOOKUP(TAB_ESTOQUE[[#This Row],[Codigo]],TAB_ENTRADA[[Cod_2_Entrada]:[TOTAL_ENTRADA]],5,FALSE)-VLOOKUP(TAB_ESTOQUE[[#This Row],[Codigo]],TAB_SAIDA[[COD_2_SAIDA]:[TOTAL_SAIDA]],5,FALSE)</f>
        <v>3</v>
      </c>
      <c r="R882" s="87"/>
      <c r="S882" s="87"/>
      <c r="T882" s="90">
        <v>1050</v>
      </c>
      <c r="U882" s="91">
        <f>TAB_ESTOQUE[[#This Row],[Valor Unitario Estimado]]*TAB_ESTOQUE[[#This Row],[Estoque]]</f>
        <v>3150</v>
      </c>
      <c r="V882" s="91"/>
      <c r="W882" s="85"/>
      <c r="X882" s="85"/>
      <c r="Y882" s="85"/>
      <c r="Z882" s="85"/>
      <c r="AA882" s="85"/>
      <c r="AB882" s="85" t="str">
        <f>IF(TAB_ESTOQUE[[#This Row],[Estoque]]=0,"Estoque Não Conforme",IF(TAB_ESTOQUE[[#This Row],[Estoque]]&gt;=TAB_ESTOQUE[[#This Row],[Mínimo]],"Estoque Conforme",IF(TAB_ESTOQUE[[#This Row],[Estoque]]&lt;TAB_ESTOQUE[[#This Row],[Mínimo]],"Estoque em Nivel Minimo")))</f>
        <v>Estoque Conforme</v>
      </c>
      <c r="AC882" s="85"/>
      <c r="AD882" s="82"/>
      <c r="AE882" s="82"/>
      <c r="AF882" s="82"/>
    </row>
    <row r="883" spans="1:32" ht="15" customHeight="1" x14ac:dyDescent="0.25">
      <c r="A883" s="45">
        <v>263</v>
      </c>
      <c r="B883" s="47"/>
      <c r="C883" s="46"/>
      <c r="D883" s="45" t="s">
        <v>2229</v>
      </c>
      <c r="E883" s="46" t="s">
        <v>7345</v>
      </c>
      <c r="F883" s="87"/>
      <c r="G883" s="82"/>
      <c r="H883" s="82"/>
      <c r="I883" s="82" t="s">
        <v>8543</v>
      </c>
      <c r="J883" s="82"/>
      <c r="K883" s="82"/>
      <c r="L883" s="82"/>
      <c r="M883" s="82" t="s">
        <v>139</v>
      </c>
      <c r="N883" s="82"/>
      <c r="O883" s="87" t="s">
        <v>6605</v>
      </c>
      <c r="P883" s="82" t="s">
        <v>201</v>
      </c>
      <c r="Q883" s="83">
        <f>VLOOKUP(TAB_ESTOQUE[[#This Row],[Codigo]],TAB_ENTRADA[[Cod_2_Entrada]:[TOTAL_ENTRADA]],5,FALSE)-VLOOKUP(TAB_ESTOQUE[[#This Row],[Codigo]],TAB_SAIDA[[COD_2_SAIDA]:[TOTAL_SAIDA]],5,FALSE)</f>
        <v>3</v>
      </c>
      <c r="R883" s="87"/>
      <c r="S883" s="87"/>
      <c r="T883" s="90"/>
      <c r="U883" s="91">
        <f>TAB_ESTOQUE[[#This Row],[Valor Unitario Estimado]]*TAB_ESTOQUE[[#This Row],[Estoque]]</f>
        <v>0</v>
      </c>
      <c r="V883" s="91"/>
      <c r="W883" s="85"/>
      <c r="X883" s="85"/>
      <c r="Y883" s="85"/>
      <c r="Z883" s="85"/>
      <c r="AA883" s="85"/>
      <c r="AB883" s="85" t="str">
        <f>IF(TAB_ESTOQUE[[#This Row],[Estoque]]=0,"Estoque Não Conforme",IF(TAB_ESTOQUE[[#This Row],[Estoque]]&gt;=TAB_ESTOQUE[[#This Row],[Mínimo]],"Estoque Conforme",IF(TAB_ESTOQUE[[#This Row],[Estoque]]&lt;TAB_ESTOQUE[[#This Row],[Mínimo]],"Estoque em Nivel Minimo")))</f>
        <v>Estoque Conforme</v>
      </c>
      <c r="AC883" s="85"/>
      <c r="AD883" s="82"/>
      <c r="AE883" s="82"/>
      <c r="AF883" s="82"/>
    </row>
    <row r="884" spans="1:32" ht="15" customHeight="1" x14ac:dyDescent="0.25">
      <c r="A884" s="45">
        <v>264</v>
      </c>
      <c r="B884" s="47"/>
      <c r="C884" s="46"/>
      <c r="D884" s="45" t="s">
        <v>2231</v>
      </c>
      <c r="E884" s="46" t="s">
        <v>7345</v>
      </c>
      <c r="F884" s="87"/>
      <c r="G884" s="82"/>
      <c r="H884" s="82"/>
      <c r="I884" s="82" t="s">
        <v>8544</v>
      </c>
      <c r="J884" s="82"/>
      <c r="K884" s="82"/>
      <c r="L884" s="82"/>
      <c r="M884" s="82" t="s">
        <v>139</v>
      </c>
      <c r="N884" s="82"/>
      <c r="O884" s="87" t="s">
        <v>6605</v>
      </c>
      <c r="P884" s="82" t="s">
        <v>202</v>
      </c>
      <c r="Q884" s="83">
        <f>VLOOKUP(TAB_ESTOQUE[[#This Row],[Codigo]],TAB_ENTRADA[[Cod_2_Entrada]:[TOTAL_ENTRADA]],5,FALSE)-VLOOKUP(TAB_ESTOQUE[[#This Row],[Codigo]],TAB_SAIDA[[COD_2_SAIDA]:[TOTAL_SAIDA]],5,FALSE)</f>
        <v>5</v>
      </c>
      <c r="R884" s="87"/>
      <c r="S884" s="87"/>
      <c r="T884" s="90"/>
      <c r="U884" s="91">
        <f>TAB_ESTOQUE[[#This Row],[Valor Unitario Estimado]]*TAB_ESTOQUE[[#This Row],[Estoque]]</f>
        <v>0</v>
      </c>
      <c r="V884" s="91"/>
      <c r="W884" s="85"/>
      <c r="X884" s="85"/>
      <c r="Y884" s="85"/>
      <c r="Z884" s="85"/>
      <c r="AA884" s="85"/>
      <c r="AB884" s="85" t="str">
        <f>IF(TAB_ESTOQUE[[#This Row],[Estoque]]=0,"Estoque Não Conforme",IF(TAB_ESTOQUE[[#This Row],[Estoque]]&gt;=TAB_ESTOQUE[[#This Row],[Mínimo]],"Estoque Conforme",IF(TAB_ESTOQUE[[#This Row],[Estoque]]&lt;TAB_ESTOQUE[[#This Row],[Mínimo]],"Estoque em Nivel Minimo")))</f>
        <v>Estoque Conforme</v>
      </c>
      <c r="AC884" s="85"/>
      <c r="AD884" s="82"/>
      <c r="AE884" s="82"/>
      <c r="AF884" s="82"/>
    </row>
    <row r="885" spans="1:32" ht="15" customHeight="1" x14ac:dyDescent="0.25">
      <c r="A885" s="45" t="s">
        <v>1159</v>
      </c>
      <c r="B885" s="47"/>
      <c r="C885" s="46" t="s">
        <v>2842</v>
      </c>
      <c r="D885" s="45" t="s">
        <v>2643</v>
      </c>
      <c r="E885" s="46"/>
      <c r="F885" s="87"/>
      <c r="G885" s="82"/>
      <c r="H885" s="82"/>
      <c r="I885" s="82" t="s">
        <v>8658</v>
      </c>
      <c r="J885" s="82"/>
      <c r="K885" s="82"/>
      <c r="L885" s="82"/>
      <c r="M885" s="82"/>
      <c r="N885" s="82"/>
      <c r="O885" s="87" t="s">
        <v>6605</v>
      </c>
      <c r="P885" s="82" t="s">
        <v>1193</v>
      </c>
      <c r="Q885" s="83">
        <f>VLOOKUP(TAB_ESTOQUE[[#This Row],[Codigo]],TAB_ENTRADA[[Cod_2_Entrada]:[TOTAL_ENTRADA]],5,FALSE)-VLOOKUP(TAB_ESTOQUE[[#This Row],[Codigo]],TAB_SAIDA[[COD_2_SAIDA]:[TOTAL_SAIDA]],5,FALSE)</f>
        <v>5</v>
      </c>
      <c r="R885" s="87"/>
      <c r="S885" s="87"/>
      <c r="T885" s="90"/>
      <c r="U885" s="91">
        <f>TAB_ESTOQUE[[#This Row],[Valor Unitario Estimado]]*TAB_ESTOQUE[[#This Row],[Estoque]]</f>
        <v>0</v>
      </c>
      <c r="V885" s="91"/>
      <c r="W885" s="85"/>
      <c r="X885" s="85"/>
      <c r="Y885" s="85"/>
      <c r="Z885" s="85"/>
      <c r="AA885" s="85"/>
      <c r="AB885" s="85" t="str">
        <f>IF(TAB_ESTOQUE[[#This Row],[Estoque]]=0,"Estoque Não Conforme",IF(TAB_ESTOQUE[[#This Row],[Estoque]]&gt;=TAB_ESTOQUE[[#This Row],[Mínimo]],"Estoque Conforme",IF(TAB_ESTOQUE[[#This Row],[Estoque]]&lt;TAB_ESTOQUE[[#This Row],[Mínimo]],"Estoque em Nivel Minimo")))</f>
        <v>Estoque Conforme</v>
      </c>
      <c r="AC885" s="85"/>
      <c r="AD885" s="82"/>
      <c r="AE885" s="82"/>
      <c r="AF885" s="82"/>
    </row>
    <row r="886" spans="1:32" ht="15" customHeight="1" x14ac:dyDescent="0.25">
      <c r="A886" s="45">
        <v>1246</v>
      </c>
      <c r="B886" s="47"/>
      <c r="C886" s="46"/>
      <c r="D886" s="45" t="s">
        <v>1989</v>
      </c>
      <c r="E886" s="46" t="s">
        <v>7</v>
      </c>
      <c r="F886" s="87"/>
      <c r="G886" s="82"/>
      <c r="H886" s="82"/>
      <c r="I886" s="82" t="s">
        <v>8481</v>
      </c>
      <c r="J886" s="82"/>
      <c r="K886" s="82"/>
      <c r="L886" s="82"/>
      <c r="M886" s="82"/>
      <c r="N886" s="82"/>
      <c r="O886" s="87" t="s">
        <v>6621</v>
      </c>
      <c r="P886" s="82" t="s">
        <v>965</v>
      </c>
      <c r="Q886" s="83">
        <f>VLOOKUP(TAB_ESTOQUE[[#This Row],[Codigo]],TAB_ENTRADA[[Cod_2_Entrada]:[TOTAL_ENTRADA]],5,FALSE)-VLOOKUP(TAB_ESTOQUE[[#This Row],[Codigo]],TAB_SAIDA[[COD_2_SAIDA]:[TOTAL_SAIDA]],5,FALSE)</f>
        <v>3</v>
      </c>
      <c r="R886" s="87"/>
      <c r="S886" s="87"/>
      <c r="T886" s="90">
        <v>11680</v>
      </c>
      <c r="U886" s="91">
        <f>TAB_ESTOQUE[[#This Row],[Valor Unitario Estimado]]*TAB_ESTOQUE[[#This Row],[Estoque]]</f>
        <v>35040</v>
      </c>
      <c r="V886" s="91"/>
      <c r="W886" s="85"/>
      <c r="X886" s="85"/>
      <c r="Y886" s="85"/>
      <c r="Z886" s="85"/>
      <c r="AA886" s="85"/>
      <c r="AB886" s="85" t="str">
        <f>IF(TAB_ESTOQUE[[#This Row],[Estoque]]=0,"Estoque Não Conforme",IF(TAB_ESTOQUE[[#This Row],[Estoque]]&gt;=TAB_ESTOQUE[[#This Row],[Mínimo]],"Estoque Conforme",IF(TAB_ESTOQUE[[#This Row],[Estoque]]&lt;TAB_ESTOQUE[[#This Row],[Mínimo]],"Estoque em Nivel Minimo")))</f>
        <v>Estoque Conforme</v>
      </c>
      <c r="AC886" s="85"/>
      <c r="AD886" s="82"/>
      <c r="AE886" s="82"/>
      <c r="AF886" s="82"/>
    </row>
    <row r="887" spans="1:32" s="47" customFormat="1" ht="15" customHeight="1" x14ac:dyDescent="0.25">
      <c r="A887" s="45">
        <v>205</v>
      </c>
      <c r="C887" s="46"/>
      <c r="D887" s="45" t="s">
        <v>2131</v>
      </c>
      <c r="E887" s="46" t="s">
        <v>1240</v>
      </c>
      <c r="F887" s="87"/>
      <c r="G887" s="82"/>
      <c r="H887" s="82"/>
      <c r="I887" s="82" t="s">
        <v>980</v>
      </c>
      <c r="J887" s="82"/>
      <c r="K887" s="82"/>
      <c r="L887" s="82"/>
      <c r="M887" s="82" t="s">
        <v>139</v>
      </c>
      <c r="N887" s="82"/>
      <c r="O887" s="87" t="s">
        <v>6621</v>
      </c>
      <c r="P887" s="82" t="s">
        <v>155</v>
      </c>
      <c r="Q887" s="83">
        <f>VLOOKUP(TAB_ESTOQUE[[#This Row],[Codigo]],TAB_ENTRADA[[Cod_2_Entrada]:[TOTAL_ENTRADA]],5,FALSE)-VLOOKUP(TAB_ESTOQUE[[#This Row],[Codigo]],TAB_SAIDA[[COD_2_SAIDA]:[TOTAL_SAIDA]],5,FALSE)</f>
        <v>10</v>
      </c>
      <c r="R887" s="87"/>
      <c r="S887" s="87"/>
      <c r="T887" s="90">
        <v>718.21</v>
      </c>
      <c r="U887" s="91">
        <f>TAB_ESTOQUE[[#This Row],[Valor Unitario Estimado]]*TAB_ESTOQUE[[#This Row],[Estoque]]</f>
        <v>7182.1</v>
      </c>
      <c r="V887" s="91"/>
      <c r="W887" s="85"/>
      <c r="X887" s="85"/>
      <c r="Y887" s="85"/>
      <c r="Z887" s="85"/>
      <c r="AA887" s="85"/>
      <c r="AB887" s="85" t="str">
        <f>IF(TAB_ESTOQUE[[#This Row],[Estoque]]=0,"Estoque Não Conforme",IF(TAB_ESTOQUE[[#This Row],[Estoque]]&gt;=TAB_ESTOQUE[[#This Row],[Mínimo]],"Estoque Conforme",IF(TAB_ESTOQUE[[#This Row],[Estoque]]&lt;TAB_ESTOQUE[[#This Row],[Mínimo]],"Estoque em Nivel Minimo")))</f>
        <v>Estoque Conforme</v>
      </c>
      <c r="AC887" s="85"/>
      <c r="AD887" s="82"/>
      <c r="AE887" s="94"/>
      <c r="AF887" s="94"/>
    </row>
    <row r="888" spans="1:32" ht="15" customHeight="1" x14ac:dyDescent="0.25">
      <c r="A888" s="45">
        <v>200</v>
      </c>
      <c r="B888" s="47"/>
      <c r="C888" s="46"/>
      <c r="D888" s="45" t="s">
        <v>2132</v>
      </c>
      <c r="E888" s="46" t="s">
        <v>1240</v>
      </c>
      <c r="F888" s="87"/>
      <c r="G888" s="82"/>
      <c r="H888" s="82"/>
      <c r="I888" s="82" t="s">
        <v>982</v>
      </c>
      <c r="J888" s="82"/>
      <c r="K888" s="82"/>
      <c r="L888" s="82"/>
      <c r="M888" s="82" t="s">
        <v>139</v>
      </c>
      <c r="N888" s="82"/>
      <c r="O888" s="87" t="s">
        <v>6621</v>
      </c>
      <c r="P888" s="82" t="s">
        <v>149</v>
      </c>
      <c r="Q888" s="83">
        <f>VLOOKUP(TAB_ESTOQUE[[#This Row],[Codigo]],TAB_ENTRADA[[Cod_2_Entrada]:[TOTAL_ENTRADA]],5,FALSE)-VLOOKUP(TAB_ESTOQUE[[#This Row],[Codigo]],TAB_SAIDA[[COD_2_SAIDA]:[TOTAL_SAIDA]],5,FALSE)</f>
        <v>10</v>
      </c>
      <c r="R888" s="87"/>
      <c r="S888" s="87"/>
      <c r="T888" s="90">
        <v>718.1</v>
      </c>
      <c r="U888" s="91">
        <f>TAB_ESTOQUE[[#This Row],[Valor Unitario Estimado]]*TAB_ESTOQUE[[#This Row],[Estoque]]</f>
        <v>7181</v>
      </c>
      <c r="V888" s="91"/>
      <c r="W888" s="85"/>
      <c r="X888" s="85"/>
      <c r="Y888" s="85"/>
      <c r="Z888" s="85"/>
      <c r="AA888" s="85"/>
      <c r="AB888" s="85" t="str">
        <f>IF(TAB_ESTOQUE[[#This Row],[Estoque]]=0,"Estoque Não Conforme",IF(TAB_ESTOQUE[[#This Row],[Estoque]]&gt;=TAB_ESTOQUE[[#This Row],[Mínimo]],"Estoque Conforme",IF(TAB_ESTOQUE[[#This Row],[Estoque]]&lt;TAB_ESTOQUE[[#This Row],[Mínimo]],"Estoque em Nivel Minimo")))</f>
        <v>Estoque Conforme</v>
      </c>
      <c r="AC888" s="85"/>
      <c r="AD888" s="82"/>
      <c r="AE888" s="82"/>
      <c r="AF888" s="82"/>
    </row>
    <row r="889" spans="1:32" ht="15" customHeight="1" x14ac:dyDescent="0.25">
      <c r="B889" s="47"/>
      <c r="C889" s="48"/>
      <c r="D889" s="45" t="s">
        <v>6575</v>
      </c>
      <c r="E889" s="46"/>
      <c r="F889" s="46"/>
      <c r="I889" s="45" t="s">
        <v>8708</v>
      </c>
      <c r="O889" s="46" t="s">
        <v>6621</v>
      </c>
      <c r="Q889" s="83">
        <f>VLOOKUP(TAB_ESTOQUE[[#This Row],[Codigo]],TAB_ENTRADA[[Cod_2_Entrada]:[TOTAL_ENTRADA]],5,FALSE)-VLOOKUP(TAB_ESTOQUE[[#This Row],[Codigo]],TAB_SAIDA[[COD_2_SAIDA]:[TOTAL_SAIDA]],5,FALSE)</f>
        <v>2</v>
      </c>
      <c r="S889" s="46"/>
      <c r="T889" s="102">
        <v>9680</v>
      </c>
      <c r="U889" s="103">
        <f>TAB_ESTOQUE[[#This Row],[Valor Unitario Estimado]]*TAB_ESTOQUE[[#This Row],[Estoque]]</f>
        <v>19360</v>
      </c>
      <c r="V889" s="103"/>
      <c r="AB889" s="104" t="str">
        <f>IF(TAB_ESTOQUE[[#This Row],[Estoque]]=0,"Estoque Não Conforme",IF(TAB_ESTOQUE[[#This Row],[Estoque]]&gt;=TAB_ESTOQUE[[#This Row],[Mínimo]],"Estoque Conforme",IF(TAB_ESTOQUE[[#This Row],[Estoque]]&lt;TAB_ESTOQUE[[#This Row],[Mínimo]],"Estoque em Nivel Minimo")))</f>
        <v>Estoque Conforme</v>
      </c>
      <c r="AC889" s="104"/>
      <c r="AE889" s="82"/>
      <c r="AF889" s="82"/>
    </row>
    <row r="890" spans="1:32" ht="15" customHeight="1" x14ac:dyDescent="0.25">
      <c r="C890" s="48"/>
      <c r="D890" s="45" t="s">
        <v>7027</v>
      </c>
      <c r="E890" s="46" t="s">
        <v>1240</v>
      </c>
      <c r="F890" s="46"/>
      <c r="I890" s="45" t="s">
        <v>7284</v>
      </c>
      <c r="O890" s="46" t="s">
        <v>6621</v>
      </c>
      <c r="Q890" s="137">
        <f>VLOOKUP(TAB_ESTOQUE[[#This Row],[Codigo]],TAB_ENTRADA[[Cod_2_Entrada]:[TOTAL_ENTRADA]],5,FALSE)-VLOOKUP(TAB_ESTOQUE[[#This Row],[Codigo]],TAB_SAIDA[[COD_2_SAIDA]:[TOTAL_SAIDA]],5,FALSE)</f>
        <v>0</v>
      </c>
      <c r="S890" s="46"/>
      <c r="T890" s="102">
        <v>24.9</v>
      </c>
      <c r="U890" s="103">
        <f>TAB_ESTOQUE[[#This Row],[Valor Unitario Estimado]]*TAB_ESTOQUE[[#This Row],[Estoque]]</f>
        <v>0</v>
      </c>
      <c r="V890" s="103"/>
      <c r="AA890" s="138"/>
      <c r="AB890" s="104" t="str">
        <f>IF(TAB_ESTOQUE[[#This Row],[Estoque]]=0,"Estoque Não Conforme",IF(TAB_ESTOQUE[[#This Row],[Estoque]]&gt;=TAB_ESTOQUE[[#This Row],[Mínimo]],"Estoque Conforme",IF(TAB_ESTOQUE[[#This Row],[Estoque]]&lt;TAB_ESTOQUE[[#This Row],[Mínimo]],"Estoque em Nivel Minimo")))</f>
        <v>Estoque Não Conforme</v>
      </c>
      <c r="AC890" s="104"/>
      <c r="AE890" s="82"/>
      <c r="AF890" s="82"/>
    </row>
    <row r="891" spans="1:32" ht="15" customHeight="1" x14ac:dyDescent="0.25">
      <c r="C891" s="48"/>
      <c r="D891" s="45" t="s">
        <v>8171</v>
      </c>
      <c r="E891" s="46" t="s">
        <v>7349</v>
      </c>
      <c r="F891" s="46"/>
      <c r="I891" s="45" t="s">
        <v>9056</v>
      </c>
      <c r="O891" s="46" t="s">
        <v>6621</v>
      </c>
      <c r="Q891" s="137">
        <f>VLOOKUP(TAB_ESTOQUE[[#This Row],[Codigo]],TAB_ENTRADA[[Cod_2_Entrada]:[TOTAL_ENTRADA]],5,FALSE)-VLOOKUP(TAB_ESTOQUE[[#This Row],[Codigo]],TAB_SAIDA[[COD_2_SAIDA]:[TOTAL_SAIDA]],5,FALSE)</f>
        <v>2</v>
      </c>
      <c r="R891" s="46">
        <v>1</v>
      </c>
      <c r="S891" s="46">
        <v>4</v>
      </c>
      <c r="T891" s="102">
        <v>351</v>
      </c>
      <c r="U891" s="103">
        <f>TAB_ESTOQUE[[#This Row],[Valor Unitario Estimado]]*TAB_ESTOQUE[[#This Row],[Estoque]]</f>
        <v>702</v>
      </c>
      <c r="V891" s="103"/>
      <c r="AA891" s="138"/>
      <c r="AB891" s="104" t="str">
        <f>IF(TAB_ESTOQUE[[#This Row],[Estoque]]=0,"Estoque Não Conforme",IF(TAB_ESTOQUE[[#This Row],[Estoque]]&gt;=TAB_ESTOQUE[[#This Row],[Mínimo]],"Estoque Conforme",IF(TAB_ESTOQUE[[#This Row],[Estoque]]&lt;TAB_ESTOQUE[[#This Row],[Mínimo]],"Estoque em Nivel Minimo")))</f>
        <v>Estoque Conforme</v>
      </c>
      <c r="AC891" s="104"/>
      <c r="AE891" s="82"/>
      <c r="AF891" s="82"/>
    </row>
    <row r="892" spans="1:32" s="106" customFormat="1" ht="15" customHeight="1" x14ac:dyDescent="0.25">
      <c r="A892" s="45"/>
      <c r="B892" s="45"/>
      <c r="C892" s="48"/>
      <c r="D892" s="45" t="s">
        <v>8179</v>
      </c>
      <c r="E892" s="46" t="s">
        <v>6826</v>
      </c>
      <c r="F892" s="46"/>
      <c r="G892" s="45"/>
      <c r="H892" s="45"/>
      <c r="I892" s="45" t="s">
        <v>9057</v>
      </c>
      <c r="J892" s="45"/>
      <c r="K892" s="45"/>
      <c r="L892" s="45"/>
      <c r="M892" s="45"/>
      <c r="N892" s="45"/>
      <c r="O892" s="46" t="s">
        <v>6621</v>
      </c>
      <c r="P892" s="45"/>
      <c r="Q892" s="137">
        <f>VLOOKUP(TAB_ESTOQUE[[#This Row],[Codigo]],TAB_ENTRADA[[Cod_2_Entrada]:[TOTAL_ENTRADA]],5,FALSE)-VLOOKUP(TAB_ESTOQUE[[#This Row],[Codigo]],TAB_SAIDA[[COD_2_SAIDA]:[TOTAL_SAIDA]],5,FALSE)</f>
        <v>1</v>
      </c>
      <c r="R892" s="46">
        <v>1</v>
      </c>
      <c r="S892" s="46">
        <v>2</v>
      </c>
      <c r="T892" s="102">
        <v>3802.4</v>
      </c>
      <c r="U892" s="103">
        <f>TAB_ESTOQUE[[#This Row],[Valor Unitario Estimado]]*TAB_ESTOQUE[[#This Row],[Estoque]]</f>
        <v>3802.4</v>
      </c>
      <c r="V892" s="103"/>
      <c r="W892" s="54"/>
      <c r="X892" s="54"/>
      <c r="Y892" s="54"/>
      <c r="Z892" s="54"/>
      <c r="AA892" s="138"/>
      <c r="AB892" s="104" t="str">
        <f>IF(TAB_ESTOQUE[[#This Row],[Estoque]]=0,"Estoque Não Conforme",IF(TAB_ESTOQUE[[#This Row],[Estoque]]&gt;=TAB_ESTOQUE[[#This Row],[Mínimo]],"Estoque Conforme",IF(TAB_ESTOQUE[[#This Row],[Estoque]]&lt;TAB_ESTOQUE[[#This Row],[Mínimo]],"Estoque em Nivel Minimo")))</f>
        <v>Estoque Conforme</v>
      </c>
      <c r="AC892" s="104"/>
      <c r="AD892" s="45"/>
      <c r="AE892" s="95"/>
      <c r="AF892" s="95"/>
    </row>
    <row r="893" spans="1:32" ht="15" customHeight="1" x14ac:dyDescent="0.25">
      <c r="A893" s="45">
        <v>1341</v>
      </c>
      <c r="B893" s="47"/>
      <c r="C893" s="46"/>
      <c r="D893" s="45" t="s">
        <v>1990</v>
      </c>
      <c r="E893" s="46" t="s">
        <v>7</v>
      </c>
      <c r="F893" s="87"/>
      <c r="G893" s="82"/>
      <c r="H893" s="82"/>
      <c r="I893" s="82" t="s">
        <v>8482</v>
      </c>
      <c r="J893" s="82"/>
      <c r="K893" s="82"/>
      <c r="L893" s="82"/>
      <c r="M893" s="82" t="s">
        <v>299</v>
      </c>
      <c r="N893" s="82"/>
      <c r="O893" s="87" t="s">
        <v>6752</v>
      </c>
      <c r="P893" s="82" t="s">
        <v>1075</v>
      </c>
      <c r="Q893" s="83">
        <f>VLOOKUP(TAB_ESTOQUE[[#This Row],[Codigo]],TAB_ENTRADA[[Cod_2_Entrada]:[TOTAL_ENTRADA]],5,FALSE)-VLOOKUP(TAB_ESTOQUE[[#This Row],[Codigo]],TAB_SAIDA[[COD_2_SAIDA]:[TOTAL_SAIDA]],5,FALSE)</f>
        <v>1</v>
      </c>
      <c r="R893" s="87"/>
      <c r="S893" s="87"/>
      <c r="T893" s="90"/>
      <c r="U893" s="91">
        <f>TAB_ESTOQUE[[#This Row],[Valor Unitario Estimado]]*TAB_ESTOQUE[[#This Row],[Estoque]]</f>
        <v>0</v>
      </c>
      <c r="V893" s="91"/>
      <c r="W893" s="85"/>
      <c r="X893" s="85"/>
      <c r="Y893" s="85"/>
      <c r="Z893" s="85"/>
      <c r="AA893" s="85"/>
      <c r="AB893" s="85" t="str">
        <f>IF(TAB_ESTOQUE[[#This Row],[Estoque]]=0,"Estoque Não Conforme",IF(TAB_ESTOQUE[[#This Row],[Estoque]]&gt;=TAB_ESTOQUE[[#This Row],[Mínimo]],"Estoque Conforme",IF(TAB_ESTOQUE[[#This Row],[Estoque]]&lt;TAB_ESTOQUE[[#This Row],[Mínimo]],"Estoque em Nivel Minimo")))</f>
        <v>Estoque Conforme</v>
      </c>
      <c r="AC893" s="85"/>
      <c r="AD893" s="82"/>
      <c r="AE893" s="82"/>
      <c r="AF893" s="82"/>
    </row>
    <row r="894" spans="1:32" ht="15" customHeight="1" x14ac:dyDescent="0.25">
      <c r="A894" s="45">
        <v>564</v>
      </c>
      <c r="B894" s="47"/>
      <c r="C894" s="46"/>
      <c r="D894" s="45" t="s">
        <v>1991</v>
      </c>
      <c r="E894" s="46" t="s">
        <v>7</v>
      </c>
      <c r="F894" s="87"/>
      <c r="G894" s="82"/>
      <c r="H894" s="82"/>
      <c r="I894" s="82" t="s">
        <v>8483</v>
      </c>
      <c r="J894" s="82"/>
      <c r="K894" s="82"/>
      <c r="L894" s="82"/>
      <c r="M894" s="82"/>
      <c r="N894" s="82"/>
      <c r="O894" s="87" t="s">
        <v>6752</v>
      </c>
      <c r="P894" s="82" t="s">
        <v>339</v>
      </c>
      <c r="Q894" s="83">
        <f>VLOOKUP(TAB_ESTOQUE[[#This Row],[Codigo]],TAB_ENTRADA[[Cod_2_Entrada]:[TOTAL_ENTRADA]],5,FALSE)-VLOOKUP(TAB_ESTOQUE[[#This Row],[Codigo]],TAB_SAIDA[[COD_2_SAIDA]:[TOTAL_SAIDA]],5,FALSE)</f>
        <v>1</v>
      </c>
      <c r="R894" s="87"/>
      <c r="S894" s="87"/>
      <c r="T894" s="90"/>
      <c r="U894" s="91">
        <f>TAB_ESTOQUE[[#This Row],[Valor Unitario Estimado]]*TAB_ESTOQUE[[#This Row],[Estoque]]</f>
        <v>0</v>
      </c>
      <c r="V894" s="91"/>
      <c r="W894" s="85"/>
      <c r="X894" s="85"/>
      <c r="Y894" s="85"/>
      <c r="Z894" s="85"/>
      <c r="AA894" s="85"/>
      <c r="AB894" s="85" t="str">
        <f>IF(TAB_ESTOQUE[[#This Row],[Estoque]]=0,"Estoque Não Conforme",IF(TAB_ESTOQUE[[#This Row],[Estoque]]&gt;=TAB_ESTOQUE[[#This Row],[Mínimo]],"Estoque Conforme",IF(TAB_ESTOQUE[[#This Row],[Estoque]]&lt;TAB_ESTOQUE[[#This Row],[Mínimo]],"Estoque em Nivel Minimo")))</f>
        <v>Estoque Conforme</v>
      </c>
      <c r="AC894" s="85"/>
      <c r="AD894" s="82"/>
      <c r="AE894" s="82"/>
      <c r="AF894" s="82"/>
    </row>
    <row r="895" spans="1:32" ht="15" customHeight="1" x14ac:dyDescent="0.25">
      <c r="A895" s="45">
        <v>1342</v>
      </c>
      <c r="B895" s="47"/>
      <c r="C895" s="46"/>
      <c r="D895" s="45" t="s">
        <v>1992</v>
      </c>
      <c r="E895" s="46" t="s">
        <v>7</v>
      </c>
      <c r="F895" s="87"/>
      <c r="G895" s="82"/>
      <c r="H895" s="82"/>
      <c r="I895" s="209" t="s">
        <v>8484</v>
      </c>
      <c r="J895" s="82"/>
      <c r="K895" s="82"/>
      <c r="L895" s="82"/>
      <c r="M895" s="82"/>
      <c r="N895" s="82"/>
      <c r="O895" s="87" t="s">
        <v>6752</v>
      </c>
      <c r="P895" s="82" t="s">
        <v>1076</v>
      </c>
      <c r="Q895" s="83">
        <f>VLOOKUP(TAB_ESTOQUE[[#This Row],[Codigo]],TAB_ENTRADA[[Cod_2_Entrada]:[TOTAL_ENTRADA]],5,FALSE)-VLOOKUP(TAB_ESTOQUE[[#This Row],[Codigo]],TAB_SAIDA[[COD_2_SAIDA]:[TOTAL_SAIDA]],5,FALSE)</f>
        <v>1</v>
      </c>
      <c r="R895" s="87"/>
      <c r="S895" s="87"/>
      <c r="T895" s="90"/>
      <c r="U895" s="91">
        <f>TAB_ESTOQUE[[#This Row],[Valor Unitario Estimado]]*TAB_ESTOQUE[[#This Row],[Estoque]]</f>
        <v>0</v>
      </c>
      <c r="V895" s="91"/>
      <c r="W895" s="85"/>
      <c r="X895" s="85"/>
      <c r="Y895" s="85"/>
      <c r="Z895" s="85"/>
      <c r="AA895" s="85"/>
      <c r="AB895" s="85" t="str">
        <f>IF(TAB_ESTOQUE[[#This Row],[Estoque]]=0,"Estoque Não Conforme",IF(TAB_ESTOQUE[[#This Row],[Estoque]]&gt;=TAB_ESTOQUE[[#This Row],[Mínimo]],"Estoque Conforme",IF(TAB_ESTOQUE[[#This Row],[Estoque]]&lt;TAB_ESTOQUE[[#This Row],[Mínimo]],"Estoque em Nivel Minimo")))</f>
        <v>Estoque Conforme</v>
      </c>
      <c r="AC895" s="85"/>
      <c r="AD895" s="82"/>
      <c r="AE895" s="82"/>
      <c r="AF895" s="82"/>
    </row>
    <row r="896" spans="1:32" ht="15" customHeight="1" x14ac:dyDescent="0.25">
      <c r="B896" s="47"/>
      <c r="C896" s="46" t="s">
        <v>2833</v>
      </c>
      <c r="D896" s="45" t="s">
        <v>2757</v>
      </c>
      <c r="E896" s="46"/>
      <c r="F896" s="87"/>
      <c r="G896" s="82"/>
      <c r="H896" s="82"/>
      <c r="I896" s="82" t="s">
        <v>8676</v>
      </c>
      <c r="J896" s="82"/>
      <c r="K896" s="82"/>
      <c r="L896" s="82"/>
      <c r="M896" s="82"/>
      <c r="N896" s="82"/>
      <c r="O896" s="87" t="s">
        <v>6752</v>
      </c>
      <c r="P896" s="82" t="s">
        <v>1591</v>
      </c>
      <c r="Q896" s="83">
        <f>VLOOKUP(TAB_ESTOQUE[[#This Row],[Codigo]],TAB_ENTRADA[[Cod_2_Entrada]:[TOTAL_ENTRADA]],5,FALSE)-VLOOKUP(TAB_ESTOQUE[[#This Row],[Codigo]],TAB_SAIDA[[COD_2_SAIDA]:[TOTAL_SAIDA]],5,FALSE)</f>
        <v>1</v>
      </c>
      <c r="R896" s="87"/>
      <c r="S896" s="87"/>
      <c r="T896" s="90"/>
      <c r="U896" s="91">
        <f>TAB_ESTOQUE[[#This Row],[Valor Unitario Estimado]]*TAB_ESTOQUE[[#This Row],[Estoque]]</f>
        <v>0</v>
      </c>
      <c r="V896" s="91"/>
      <c r="W896" s="85"/>
      <c r="X896" s="85"/>
      <c r="Y896" s="85"/>
      <c r="Z896" s="85"/>
      <c r="AA896" s="85"/>
      <c r="AB896" s="96" t="str">
        <f>IF(TAB_ESTOQUE[[#This Row],[Estoque]]=0,"Estoque Não Conforme",IF(TAB_ESTOQUE[[#This Row],[Estoque]]&gt;=TAB_ESTOQUE[[#This Row],[Mínimo]],"Estoque Conforme",IF(TAB_ESTOQUE[[#This Row],[Estoque]]&lt;TAB_ESTOQUE[[#This Row],[Mínimo]],"Estoque em Nivel Minimo")))</f>
        <v>Estoque Conforme</v>
      </c>
      <c r="AC896" s="96"/>
      <c r="AD896" s="82"/>
      <c r="AE896" s="82"/>
      <c r="AF896" s="82"/>
    </row>
    <row r="897" spans="1:32" ht="15" customHeight="1" x14ac:dyDescent="0.25">
      <c r="C897" s="105" t="s">
        <v>2838</v>
      </c>
      <c r="D897" s="45" t="s">
        <v>6658</v>
      </c>
      <c r="E897" s="46"/>
      <c r="F897" s="46"/>
      <c r="I897" s="45" t="s">
        <v>8712</v>
      </c>
      <c r="O897" s="46" t="s">
        <v>8763</v>
      </c>
      <c r="Q897" s="83">
        <f>VLOOKUP(TAB_ESTOQUE[[#This Row],[Codigo]],TAB_ENTRADA[[Cod_2_Entrada]:[TOTAL_ENTRADA]],5,FALSE)-VLOOKUP(TAB_ESTOQUE[[#This Row],[Codigo]],TAB_SAIDA[[COD_2_SAIDA]:[TOTAL_SAIDA]],5,FALSE)</f>
        <v>1</v>
      </c>
      <c r="S897" s="46"/>
      <c r="T897" s="102"/>
      <c r="U897" s="103">
        <f>TAB_ESTOQUE[[#This Row],[Valor Unitario Estimado]]*TAB_ESTOQUE[[#This Row],[Estoque]]</f>
        <v>0</v>
      </c>
      <c r="V897" s="103"/>
      <c r="AB897" s="104" t="str">
        <f>IF(TAB_ESTOQUE[[#This Row],[Estoque]]=0,"Estoque Não Conforme",IF(TAB_ESTOQUE[[#This Row],[Estoque]]&gt;=TAB_ESTOQUE[[#This Row],[Mínimo]],"Estoque Conforme",IF(TAB_ESTOQUE[[#This Row],[Estoque]]&lt;TAB_ESTOQUE[[#This Row],[Mínimo]],"Estoque em Nivel Minimo")))</f>
        <v>Estoque Conforme</v>
      </c>
      <c r="AC897" s="104"/>
      <c r="AE897" s="82"/>
      <c r="AF897" s="82"/>
    </row>
    <row r="898" spans="1:32" ht="15" customHeight="1" x14ac:dyDescent="0.25">
      <c r="A898" s="45">
        <v>730</v>
      </c>
      <c r="B898" s="47"/>
      <c r="C898" s="46"/>
      <c r="D898" s="45" t="s">
        <v>2347</v>
      </c>
      <c r="E898" s="46" t="s">
        <v>7</v>
      </c>
      <c r="F898" s="87"/>
      <c r="G898" s="82"/>
      <c r="H898" s="82"/>
      <c r="I898" s="82" t="s">
        <v>8595</v>
      </c>
      <c r="J898" s="82"/>
      <c r="K898" s="82"/>
      <c r="L898" s="82"/>
      <c r="M898" s="82"/>
      <c r="N898" s="82"/>
      <c r="O898" s="87" t="s">
        <v>6604</v>
      </c>
      <c r="P898" s="82" t="s">
        <v>512</v>
      </c>
      <c r="Q898" s="83">
        <f>VLOOKUP(TAB_ESTOQUE[[#This Row],[Codigo]],TAB_ENTRADA[[Cod_2_Entrada]:[TOTAL_ENTRADA]],5,FALSE)-VLOOKUP(TAB_ESTOQUE[[#This Row],[Codigo]],TAB_SAIDA[[COD_2_SAIDA]:[TOTAL_SAIDA]],5,FALSE)</f>
        <v>11</v>
      </c>
      <c r="R898" s="87"/>
      <c r="S898" s="87"/>
      <c r="T898" s="90"/>
      <c r="U898" s="91">
        <f>TAB_ESTOQUE[[#This Row],[Valor Unitario Estimado]]*TAB_ESTOQUE[[#This Row],[Estoque]]</f>
        <v>0</v>
      </c>
      <c r="V898" s="91"/>
      <c r="W898" s="85"/>
      <c r="X898" s="85"/>
      <c r="Y898" s="85"/>
      <c r="Z898" s="85"/>
      <c r="AA898" s="85"/>
      <c r="AB898" s="85" t="str">
        <f>IF(TAB_ESTOQUE[[#This Row],[Estoque]]=0,"Estoque Não Conforme",IF(TAB_ESTOQUE[[#This Row],[Estoque]]&gt;=TAB_ESTOQUE[[#This Row],[Mínimo]],"Estoque Conforme",IF(TAB_ESTOQUE[[#This Row],[Estoque]]&lt;TAB_ESTOQUE[[#This Row],[Mínimo]],"Estoque em Nivel Minimo")))</f>
        <v>Estoque Conforme</v>
      </c>
      <c r="AC898" s="85"/>
      <c r="AD898" s="82"/>
      <c r="AE898" s="82"/>
      <c r="AF898" s="82"/>
    </row>
    <row r="899" spans="1:32" ht="15" customHeight="1" x14ac:dyDescent="0.25">
      <c r="A899" s="106">
        <v>955</v>
      </c>
      <c r="B899" s="106"/>
      <c r="C899" s="116"/>
      <c r="D899" s="106" t="s">
        <v>2589</v>
      </c>
      <c r="E899" s="116" t="s">
        <v>736</v>
      </c>
      <c r="F899" s="118"/>
      <c r="G899" s="95"/>
      <c r="H899" s="95"/>
      <c r="I899" s="95" t="s">
        <v>1194</v>
      </c>
      <c r="J899" s="95"/>
      <c r="K899" s="95"/>
      <c r="L899" s="95"/>
      <c r="M899" s="95"/>
      <c r="N899" s="95"/>
      <c r="O899" s="118" t="s">
        <v>6604</v>
      </c>
      <c r="P899" s="95" t="s">
        <v>738</v>
      </c>
      <c r="Q899" s="154">
        <f>VLOOKUP(TAB_ESTOQUE[[#This Row],[Codigo]],TAB_ENTRADA[[Cod_2_Entrada]:[TOTAL_ENTRADA]],5,FALSE)-VLOOKUP(TAB_ESTOQUE[[#This Row],[Codigo]],TAB_SAIDA[[COD_2_SAIDA]:[TOTAL_SAIDA]],5,FALSE)</f>
        <v>21</v>
      </c>
      <c r="R899" s="118"/>
      <c r="S899" s="118"/>
      <c r="T899" s="119">
        <v>1.5</v>
      </c>
      <c r="U899" s="112">
        <f>TAB_ESTOQUE[[#This Row],[Valor Unitario Estimado]]*TAB_ESTOQUE[[#This Row],[Estoque]]</f>
        <v>31.5</v>
      </c>
      <c r="V899" s="112"/>
      <c r="W899" s="120"/>
      <c r="X899" s="120"/>
      <c r="Y899" s="120"/>
      <c r="Z899" s="120"/>
      <c r="AA899" s="120"/>
      <c r="AB899" s="120" t="str">
        <f>IF(TAB_ESTOQUE[[#This Row],[Estoque]]=0,"Estoque Não Conforme",IF(TAB_ESTOQUE[[#This Row],[Estoque]]&gt;=TAB_ESTOQUE[[#This Row],[Mínimo]],"Estoque Conforme",IF(TAB_ESTOQUE[[#This Row],[Estoque]]&lt;TAB_ESTOQUE[[#This Row],[Mínimo]],"Estoque em Nivel Minimo")))</f>
        <v>Estoque Conforme</v>
      </c>
      <c r="AC899" s="120"/>
      <c r="AD899" s="95"/>
      <c r="AE899" s="82"/>
      <c r="AF899" s="82"/>
    </row>
    <row r="900" spans="1:32" ht="15" customHeight="1" x14ac:dyDescent="0.25">
      <c r="A900" s="47">
        <v>1101</v>
      </c>
      <c r="B900" s="47"/>
      <c r="C900" s="51"/>
      <c r="D900" s="47" t="s">
        <v>2590</v>
      </c>
      <c r="E900" s="51"/>
      <c r="F900" s="107"/>
      <c r="G900" s="94"/>
      <c r="H900" s="94"/>
      <c r="I900" s="94" t="s">
        <v>8652</v>
      </c>
      <c r="J900" s="94"/>
      <c r="K900" s="94"/>
      <c r="L900" s="94"/>
      <c r="M900" s="94"/>
      <c r="N900" s="94"/>
      <c r="O900" s="107" t="s">
        <v>6604</v>
      </c>
      <c r="P900" s="94" t="s">
        <v>833</v>
      </c>
      <c r="Q900" s="145">
        <f>VLOOKUP(TAB_ESTOQUE[[#This Row],[Codigo]],TAB_ENTRADA[[Cod_2_Entrada]:[TOTAL_ENTRADA]],5,FALSE)-VLOOKUP(TAB_ESTOQUE[[#This Row],[Codigo]],TAB_SAIDA[[COD_2_SAIDA]:[TOTAL_SAIDA]],5,FALSE)</f>
        <v>3</v>
      </c>
      <c r="R900" s="107"/>
      <c r="S900" s="107"/>
      <c r="T900" s="108"/>
      <c r="U900" s="109">
        <f>TAB_ESTOQUE[[#This Row],[Valor Unitario Estimado]]*TAB_ESTOQUE[[#This Row],[Estoque]]</f>
        <v>0</v>
      </c>
      <c r="V900" s="109"/>
      <c r="W900" s="110"/>
      <c r="X900" s="110"/>
      <c r="Y900" s="110"/>
      <c r="Z900" s="110"/>
      <c r="AA900" s="110"/>
      <c r="AB900" s="110" t="str">
        <f>IF(TAB_ESTOQUE[[#This Row],[Estoque]]=0,"Estoque Não Conforme",IF(TAB_ESTOQUE[[#This Row],[Estoque]]&gt;=TAB_ESTOQUE[[#This Row],[Mínimo]],"Estoque Conforme",IF(TAB_ESTOQUE[[#This Row],[Estoque]]&lt;TAB_ESTOQUE[[#This Row],[Mínimo]],"Estoque em Nivel Minimo")))</f>
        <v>Estoque Conforme</v>
      </c>
      <c r="AC900" s="110"/>
      <c r="AD900" s="94"/>
      <c r="AE900" s="82"/>
      <c r="AF900" s="82"/>
    </row>
    <row r="901" spans="1:32" ht="15" customHeight="1" x14ac:dyDescent="0.25">
      <c r="A901" s="45">
        <v>1102</v>
      </c>
      <c r="B901" s="47"/>
      <c r="C901" s="46"/>
      <c r="D901" s="45" t="s">
        <v>2591</v>
      </c>
      <c r="E901" s="46"/>
      <c r="F901" s="87"/>
      <c r="G901" s="82"/>
      <c r="H901" s="82"/>
      <c r="I901" s="82" t="s">
        <v>6603</v>
      </c>
      <c r="J901" s="82"/>
      <c r="K901" s="82"/>
      <c r="L901" s="82"/>
      <c r="M901" s="82"/>
      <c r="N901" s="82"/>
      <c r="O901" s="87" t="s">
        <v>6604</v>
      </c>
      <c r="P901" s="82" t="s">
        <v>833</v>
      </c>
      <c r="Q901" s="83">
        <f>VLOOKUP(TAB_ESTOQUE[[#This Row],[Codigo]],TAB_ENTRADA[[Cod_2_Entrada]:[TOTAL_ENTRADA]],5,FALSE)-VLOOKUP(TAB_ESTOQUE[[#This Row],[Codigo]],TAB_SAIDA[[COD_2_SAIDA]:[TOTAL_SAIDA]],5,FALSE)</f>
        <v>2</v>
      </c>
      <c r="R901" s="87"/>
      <c r="S901" s="87"/>
      <c r="T901" s="90"/>
      <c r="U901" s="91">
        <f>TAB_ESTOQUE[[#This Row],[Valor Unitario Estimado]]*TAB_ESTOQUE[[#This Row],[Estoque]]</f>
        <v>0</v>
      </c>
      <c r="V901" s="91"/>
      <c r="W901" s="85"/>
      <c r="X901" s="85"/>
      <c r="Y901" s="85"/>
      <c r="Z901" s="85"/>
      <c r="AA901" s="85"/>
      <c r="AB901" s="85" t="str">
        <f>IF(TAB_ESTOQUE[[#This Row],[Estoque]]=0,"Estoque Não Conforme",IF(TAB_ESTOQUE[[#This Row],[Estoque]]&gt;=TAB_ESTOQUE[[#This Row],[Mínimo]],"Estoque Conforme",IF(TAB_ESTOQUE[[#This Row],[Estoque]]&lt;TAB_ESTOQUE[[#This Row],[Mínimo]],"Estoque em Nivel Minimo")))</f>
        <v>Estoque Conforme</v>
      </c>
      <c r="AC901" s="85"/>
      <c r="AD901" s="82"/>
      <c r="AE901" s="82"/>
      <c r="AF901" s="82"/>
    </row>
    <row r="902" spans="1:32" ht="15" customHeight="1" x14ac:dyDescent="0.25">
      <c r="A902" s="45">
        <v>1232</v>
      </c>
      <c r="B902" s="47"/>
      <c r="C902" s="46"/>
      <c r="D902" s="45" t="s">
        <v>2592</v>
      </c>
      <c r="E902" s="46" t="s">
        <v>736</v>
      </c>
      <c r="F902" s="87"/>
      <c r="G902" s="82"/>
      <c r="H902" s="82"/>
      <c r="I902" s="82" t="s">
        <v>1189</v>
      </c>
      <c r="J902" s="82"/>
      <c r="K902" s="82"/>
      <c r="L902" s="82"/>
      <c r="M902" s="82"/>
      <c r="N902" s="82"/>
      <c r="O902" s="87" t="s">
        <v>6604</v>
      </c>
      <c r="P902" s="82" t="s">
        <v>833</v>
      </c>
      <c r="Q902" s="83">
        <f>VLOOKUP(TAB_ESTOQUE[[#This Row],[Codigo]],TAB_ENTRADA[[Cod_2_Entrada]:[TOTAL_ENTRADA]],5,FALSE)-VLOOKUP(TAB_ESTOQUE[[#This Row],[Codigo]],TAB_SAIDA[[COD_2_SAIDA]:[TOTAL_SAIDA]],5,FALSE)</f>
        <v>0</v>
      </c>
      <c r="R902" s="87"/>
      <c r="S902" s="87"/>
      <c r="T902" s="90">
        <v>9.9</v>
      </c>
      <c r="U902" s="91">
        <f>TAB_ESTOQUE[[#This Row],[Valor Unitario Estimado]]*TAB_ESTOQUE[[#This Row],[Estoque]]</f>
        <v>0</v>
      </c>
      <c r="V902" s="91"/>
      <c r="W902" s="85"/>
      <c r="X902" s="85"/>
      <c r="Y902" s="85"/>
      <c r="Z902" s="85"/>
      <c r="AA902" s="85"/>
      <c r="AB902" s="85" t="str">
        <f>IF(TAB_ESTOQUE[[#This Row],[Estoque]]=0,"Estoque Não Conforme",IF(TAB_ESTOQUE[[#This Row],[Estoque]]&gt;=TAB_ESTOQUE[[#This Row],[Mínimo]],"Estoque Conforme",IF(TAB_ESTOQUE[[#This Row],[Estoque]]&lt;TAB_ESTOQUE[[#This Row],[Mínimo]],"Estoque em Nivel Minimo")))</f>
        <v>Estoque Não Conforme</v>
      </c>
      <c r="AC902" s="85"/>
      <c r="AD902" s="82"/>
      <c r="AE902" s="82"/>
      <c r="AF902" s="82"/>
    </row>
    <row r="903" spans="1:32" ht="15" customHeight="1" x14ac:dyDescent="0.25">
      <c r="A903" s="45" t="s">
        <v>1159</v>
      </c>
      <c r="B903" s="47"/>
      <c r="C903" s="46"/>
      <c r="D903" s="45" t="s">
        <v>2635</v>
      </c>
      <c r="E903" s="46"/>
      <c r="F903" s="87"/>
      <c r="G903" s="82"/>
      <c r="H903" s="82"/>
      <c r="I903" s="82" t="s">
        <v>1571</v>
      </c>
      <c r="J903" s="82"/>
      <c r="K903" s="82" t="s">
        <v>1254</v>
      </c>
      <c r="L903" s="82"/>
      <c r="M903" s="82"/>
      <c r="N903" s="82"/>
      <c r="O903" s="87" t="s">
        <v>6604</v>
      </c>
      <c r="P903" s="82" t="s">
        <v>1252</v>
      </c>
      <c r="Q903" s="83">
        <f>VLOOKUP(TAB_ESTOQUE[[#This Row],[Codigo]],TAB_ENTRADA[[Cod_2_Entrada]:[TOTAL_ENTRADA]],5,FALSE)-VLOOKUP(TAB_ESTOQUE[[#This Row],[Codigo]],TAB_SAIDA[[COD_2_SAIDA]:[TOTAL_SAIDA]],5,FALSE)</f>
        <v>2</v>
      </c>
      <c r="R903" s="87"/>
      <c r="S903" s="87"/>
      <c r="T903" s="90"/>
      <c r="U903" s="91">
        <f>TAB_ESTOQUE[[#This Row],[Valor Unitario Estimado]]*TAB_ESTOQUE[[#This Row],[Estoque]]</f>
        <v>0</v>
      </c>
      <c r="V903" s="91"/>
      <c r="W903" s="85"/>
      <c r="X903" s="85"/>
      <c r="Y903" s="85"/>
      <c r="Z903" s="85"/>
      <c r="AA903" s="85"/>
      <c r="AB903" s="85" t="str">
        <f>IF(TAB_ESTOQUE[[#This Row],[Estoque]]=0,"Estoque Não Conforme",IF(TAB_ESTOQUE[[#This Row],[Estoque]]&gt;=TAB_ESTOQUE[[#This Row],[Mínimo]],"Estoque Conforme",IF(TAB_ESTOQUE[[#This Row],[Estoque]]&lt;TAB_ESTOQUE[[#This Row],[Mínimo]],"Estoque em Nivel Minimo")))</f>
        <v>Estoque Conforme</v>
      </c>
      <c r="AC903" s="85"/>
      <c r="AD903" s="82"/>
      <c r="AE903" s="82"/>
      <c r="AF903" s="82"/>
    </row>
    <row r="904" spans="1:32" ht="15" customHeight="1" x14ac:dyDescent="0.25">
      <c r="A904" s="45" t="s">
        <v>1159</v>
      </c>
      <c r="B904" s="47"/>
      <c r="C904" s="46" t="s">
        <v>2838</v>
      </c>
      <c r="D904" s="45" t="s">
        <v>2636</v>
      </c>
      <c r="E904" s="46" t="s">
        <v>1641</v>
      </c>
      <c r="F904" s="87"/>
      <c r="G904" s="82"/>
      <c r="H904" s="82"/>
      <c r="I904" s="82" t="s">
        <v>1615</v>
      </c>
      <c r="J904" s="82"/>
      <c r="K904" s="82"/>
      <c r="L904" s="82"/>
      <c r="M904" s="82"/>
      <c r="N904" s="82"/>
      <c r="O904" s="87" t="s">
        <v>6604</v>
      </c>
      <c r="P904" s="94" t="s">
        <v>1205</v>
      </c>
      <c r="Q904" s="83">
        <f>VLOOKUP(TAB_ESTOQUE[[#This Row],[Codigo]],TAB_ENTRADA[[Cod_2_Entrada]:[TOTAL_ENTRADA]],5,FALSE)-VLOOKUP(TAB_ESTOQUE[[#This Row],[Codigo]],TAB_SAIDA[[COD_2_SAIDA]:[TOTAL_SAIDA]],5,FALSE)</f>
        <v>2</v>
      </c>
      <c r="R904" s="87"/>
      <c r="S904" s="87"/>
      <c r="T904" s="90">
        <v>7.8</v>
      </c>
      <c r="U904" s="91">
        <f>TAB_ESTOQUE[[#This Row],[Valor Unitario Estimado]]*TAB_ESTOQUE[[#This Row],[Estoque]]</f>
        <v>15.6</v>
      </c>
      <c r="V904" s="91"/>
      <c r="W904" s="85"/>
      <c r="X904" s="85"/>
      <c r="Y904" s="85"/>
      <c r="Z904" s="85"/>
      <c r="AA904" s="85"/>
      <c r="AB904" s="85" t="str">
        <f>IF(TAB_ESTOQUE[[#This Row],[Estoque]]=0,"Estoque Não Conforme",IF(TAB_ESTOQUE[[#This Row],[Estoque]]&gt;=TAB_ESTOQUE[[#This Row],[Mínimo]],"Estoque Conforme",IF(TAB_ESTOQUE[[#This Row],[Estoque]]&lt;TAB_ESTOQUE[[#This Row],[Mínimo]],"Estoque em Nivel Minimo")))</f>
        <v>Estoque Conforme</v>
      </c>
      <c r="AC904" s="85"/>
      <c r="AD904" s="82"/>
      <c r="AE904" s="82"/>
      <c r="AF904" s="82"/>
    </row>
    <row r="905" spans="1:32" ht="15" customHeight="1" x14ac:dyDescent="0.25">
      <c r="A905" s="45" t="s">
        <v>1159</v>
      </c>
      <c r="B905" s="47"/>
      <c r="C905" s="46" t="s">
        <v>2838</v>
      </c>
      <c r="D905" s="45" t="s">
        <v>2637</v>
      </c>
      <c r="E905" s="46" t="s">
        <v>1641</v>
      </c>
      <c r="F905" s="87"/>
      <c r="G905" s="82"/>
      <c r="H905" s="82"/>
      <c r="I905" s="82" t="s">
        <v>1616</v>
      </c>
      <c r="J905" s="82"/>
      <c r="K905" s="82"/>
      <c r="L905" s="82"/>
      <c r="M905" s="82"/>
      <c r="N905" s="82"/>
      <c r="O905" s="87" t="s">
        <v>6604</v>
      </c>
      <c r="P905" s="95" t="s">
        <v>3060</v>
      </c>
      <c r="Q905" s="83">
        <f>VLOOKUP(TAB_ESTOQUE[[#This Row],[Codigo]],TAB_ENTRADA[[Cod_2_Entrada]:[TOTAL_ENTRADA]],5,FALSE)-VLOOKUP(TAB_ESTOQUE[[#This Row],[Codigo]],TAB_SAIDA[[COD_2_SAIDA]:[TOTAL_SAIDA]],5,FALSE)</f>
        <v>2</v>
      </c>
      <c r="R905" s="87"/>
      <c r="S905" s="87"/>
      <c r="T905" s="90"/>
      <c r="U905" s="91">
        <f>TAB_ESTOQUE[[#This Row],[Valor Unitario Estimado]]*TAB_ESTOQUE[[#This Row],[Estoque]]</f>
        <v>0</v>
      </c>
      <c r="V905" s="91"/>
      <c r="W905" s="85"/>
      <c r="X905" s="85"/>
      <c r="Y905" s="85"/>
      <c r="Z905" s="85"/>
      <c r="AA905" s="85"/>
      <c r="AB905" s="85" t="str">
        <f>IF(TAB_ESTOQUE[[#This Row],[Estoque]]=0,"Estoque Não Conforme",IF(TAB_ESTOQUE[[#This Row],[Estoque]]&gt;=TAB_ESTOQUE[[#This Row],[Mínimo]],"Estoque Conforme",IF(TAB_ESTOQUE[[#This Row],[Estoque]]&lt;TAB_ESTOQUE[[#This Row],[Mínimo]],"Estoque em Nivel Minimo")))</f>
        <v>Estoque Conforme</v>
      </c>
      <c r="AC905" s="85"/>
      <c r="AD905" s="82"/>
      <c r="AE905" s="82"/>
      <c r="AF905" s="82"/>
    </row>
    <row r="906" spans="1:32" ht="15" customHeight="1" x14ac:dyDescent="0.25">
      <c r="A906" s="45">
        <v>882</v>
      </c>
      <c r="B906" s="47"/>
      <c r="C906" s="46"/>
      <c r="D906" s="45" t="s">
        <v>1985</v>
      </c>
      <c r="E906" s="46" t="s">
        <v>7</v>
      </c>
      <c r="F906" s="87"/>
      <c r="G906" s="82"/>
      <c r="H906" s="82"/>
      <c r="I906" s="82" t="s">
        <v>6107</v>
      </c>
      <c r="J906" s="82"/>
      <c r="K906" s="82" t="s">
        <v>15</v>
      </c>
      <c r="L906" s="82"/>
      <c r="M906" s="82" t="s">
        <v>8</v>
      </c>
      <c r="N906" s="82"/>
      <c r="O906" s="87" t="s">
        <v>6551</v>
      </c>
      <c r="P906" s="82" t="s">
        <v>679</v>
      </c>
      <c r="Q906" s="83">
        <f>VLOOKUP(TAB_ESTOQUE[[#This Row],[Codigo]],TAB_ENTRADA[[Cod_2_Entrada]:[TOTAL_ENTRADA]],5,FALSE)-VLOOKUP(TAB_ESTOQUE[[#This Row],[Codigo]],TAB_SAIDA[[COD_2_SAIDA]:[TOTAL_SAIDA]],5,FALSE)</f>
        <v>1</v>
      </c>
      <c r="R906" s="87"/>
      <c r="S906" s="87"/>
      <c r="T906" s="90"/>
      <c r="U906" s="91">
        <f>TAB_ESTOQUE[[#This Row],[Valor Unitario Estimado]]*TAB_ESTOQUE[[#This Row],[Estoque]]</f>
        <v>0</v>
      </c>
      <c r="V906" s="91"/>
      <c r="W906" s="85"/>
      <c r="X906" s="85"/>
      <c r="Y906" s="85"/>
      <c r="Z906" s="85"/>
      <c r="AA906" s="85"/>
      <c r="AB906" s="85" t="str">
        <f>IF(TAB_ESTOQUE[[#This Row],[Estoque]]=0,"Estoque Não Conforme",IF(TAB_ESTOQUE[[#This Row],[Estoque]]&gt;=TAB_ESTOQUE[[#This Row],[Mínimo]],"Estoque Conforme",IF(TAB_ESTOQUE[[#This Row],[Estoque]]&lt;TAB_ESTOQUE[[#This Row],[Mínimo]],"Estoque em Nivel Minimo")))</f>
        <v>Estoque Conforme</v>
      </c>
      <c r="AC906" s="85"/>
      <c r="AD906" s="82"/>
      <c r="AE906" s="82"/>
      <c r="AF906" s="82"/>
    </row>
    <row r="907" spans="1:32" ht="15" customHeight="1" x14ac:dyDescent="0.25">
      <c r="A907" s="45">
        <v>1712</v>
      </c>
      <c r="B907" s="47"/>
      <c r="C907" s="46" t="s">
        <v>2833</v>
      </c>
      <c r="D907" s="45" t="s">
        <v>1988</v>
      </c>
      <c r="E907" s="46" t="s">
        <v>7</v>
      </c>
      <c r="F907" s="87"/>
      <c r="G907" s="82"/>
      <c r="H907" s="82"/>
      <c r="I907" s="82" t="s">
        <v>8480</v>
      </c>
      <c r="J907" s="82"/>
      <c r="K907" s="82"/>
      <c r="L907" s="82"/>
      <c r="M907" s="82"/>
      <c r="N907" s="82"/>
      <c r="O907" s="87" t="s">
        <v>6551</v>
      </c>
      <c r="P907" s="82" t="s">
        <v>1142</v>
      </c>
      <c r="Q907" s="83">
        <f>VLOOKUP(TAB_ESTOQUE[[#This Row],[Codigo]],TAB_ENTRADA[[Cod_2_Entrada]:[TOTAL_ENTRADA]],5,FALSE)-VLOOKUP(TAB_ESTOQUE[[#This Row],[Codigo]],TAB_SAIDA[[COD_2_SAIDA]:[TOTAL_SAIDA]],5,FALSE)</f>
        <v>4</v>
      </c>
      <c r="R907" s="87"/>
      <c r="S907" s="87"/>
      <c r="T907" s="90"/>
      <c r="U907" s="91">
        <f>TAB_ESTOQUE[[#This Row],[Valor Unitario Estimado]]*TAB_ESTOQUE[[#This Row],[Estoque]]</f>
        <v>0</v>
      </c>
      <c r="V907" s="91"/>
      <c r="W907" s="85"/>
      <c r="X907" s="85"/>
      <c r="Y907" s="85"/>
      <c r="Z907" s="85"/>
      <c r="AA907" s="85"/>
      <c r="AB907" s="85" t="str">
        <f>IF(TAB_ESTOQUE[[#This Row],[Estoque]]=0,"Estoque Não Conforme",IF(TAB_ESTOQUE[[#This Row],[Estoque]]&gt;=TAB_ESTOQUE[[#This Row],[Mínimo]],"Estoque Conforme",IF(TAB_ESTOQUE[[#This Row],[Estoque]]&lt;TAB_ESTOQUE[[#This Row],[Mínimo]],"Estoque em Nivel Minimo")))</f>
        <v>Estoque Conforme</v>
      </c>
      <c r="AC907" s="85"/>
      <c r="AD907" s="82"/>
      <c r="AE907" s="82"/>
      <c r="AF907" s="82"/>
    </row>
    <row r="908" spans="1:32" ht="15" customHeight="1" x14ac:dyDescent="0.25">
      <c r="A908" s="45">
        <v>807</v>
      </c>
      <c r="B908" s="47"/>
      <c r="C908" s="46"/>
      <c r="D908" s="45" t="s">
        <v>2254</v>
      </c>
      <c r="E908" s="46" t="s">
        <v>7</v>
      </c>
      <c r="F908" s="87"/>
      <c r="G908" s="82"/>
      <c r="H908" s="82"/>
      <c r="I908" s="82" t="s">
        <v>8553</v>
      </c>
      <c r="J908" s="82"/>
      <c r="K908" s="82"/>
      <c r="L908" s="82"/>
      <c r="M908" s="82" t="s">
        <v>209</v>
      </c>
      <c r="N908" s="82"/>
      <c r="O908" s="87" t="s">
        <v>6551</v>
      </c>
      <c r="P908" s="82" t="s">
        <v>593</v>
      </c>
      <c r="Q908" s="83">
        <f>VLOOKUP(TAB_ESTOQUE[[#This Row],[Codigo]],TAB_ENTRADA[[Cod_2_Entrada]:[TOTAL_ENTRADA]],5,FALSE)-VLOOKUP(TAB_ESTOQUE[[#This Row],[Codigo]],TAB_SAIDA[[COD_2_SAIDA]:[TOTAL_SAIDA]],5,FALSE)</f>
        <v>2</v>
      </c>
      <c r="R908" s="87"/>
      <c r="S908" s="87"/>
      <c r="T908" s="90"/>
      <c r="U908" s="91">
        <f>TAB_ESTOQUE[[#This Row],[Valor Unitario Estimado]]*TAB_ESTOQUE[[#This Row],[Estoque]]</f>
        <v>0</v>
      </c>
      <c r="V908" s="91"/>
      <c r="W908" s="85"/>
      <c r="X908" s="85"/>
      <c r="Y908" s="85"/>
      <c r="Z908" s="85"/>
      <c r="AA908" s="85"/>
      <c r="AB908" s="85" t="str">
        <f>IF(TAB_ESTOQUE[[#This Row],[Estoque]]=0,"Estoque Não Conforme",IF(TAB_ESTOQUE[[#This Row],[Estoque]]&gt;=TAB_ESTOQUE[[#This Row],[Mínimo]],"Estoque Conforme",IF(TAB_ESTOQUE[[#This Row],[Estoque]]&lt;TAB_ESTOQUE[[#This Row],[Mínimo]],"Estoque em Nivel Minimo")))</f>
        <v>Estoque Conforme</v>
      </c>
      <c r="AC908" s="85"/>
      <c r="AD908" s="82"/>
      <c r="AE908" s="82"/>
      <c r="AF908" s="82"/>
    </row>
    <row r="909" spans="1:32" ht="15" customHeight="1" x14ac:dyDescent="0.25">
      <c r="A909" s="106">
        <v>776</v>
      </c>
      <c r="B909" s="106"/>
      <c r="C909" s="116"/>
      <c r="D909" s="106" t="s">
        <v>2255</v>
      </c>
      <c r="E909" s="116" t="s">
        <v>7</v>
      </c>
      <c r="F909" s="118"/>
      <c r="G909" s="95"/>
      <c r="H909" s="95"/>
      <c r="I909" s="95" t="s">
        <v>8554</v>
      </c>
      <c r="J909" s="95"/>
      <c r="K909" s="95"/>
      <c r="L909" s="95"/>
      <c r="M909" s="95"/>
      <c r="N909" s="95"/>
      <c r="O909" s="118" t="s">
        <v>6551</v>
      </c>
      <c r="P909" s="95" t="s">
        <v>560</v>
      </c>
      <c r="Q909" s="154">
        <f>VLOOKUP(TAB_ESTOQUE[[#This Row],[Codigo]],TAB_ENTRADA[[Cod_2_Entrada]:[TOTAL_ENTRADA]],5,FALSE)-VLOOKUP(TAB_ESTOQUE[[#This Row],[Codigo]],TAB_SAIDA[[COD_2_SAIDA]:[TOTAL_SAIDA]],5,FALSE)</f>
        <v>2</v>
      </c>
      <c r="R909" s="118"/>
      <c r="S909" s="118"/>
      <c r="T909" s="119"/>
      <c r="U909" s="112">
        <f>TAB_ESTOQUE[[#This Row],[Valor Unitario Estimado]]*TAB_ESTOQUE[[#This Row],[Estoque]]</f>
        <v>0</v>
      </c>
      <c r="V909" s="112"/>
      <c r="W909" s="120"/>
      <c r="X909" s="120"/>
      <c r="Y909" s="120"/>
      <c r="Z909" s="120"/>
      <c r="AA909" s="120"/>
      <c r="AB909" s="120" t="str">
        <f>IF(TAB_ESTOQUE[[#This Row],[Estoque]]=0,"Estoque Não Conforme",IF(TAB_ESTOQUE[[#This Row],[Estoque]]&gt;=TAB_ESTOQUE[[#This Row],[Mínimo]],"Estoque Conforme",IF(TAB_ESTOQUE[[#This Row],[Estoque]]&lt;TAB_ESTOQUE[[#This Row],[Mínimo]],"Estoque em Nivel Minimo")))</f>
        <v>Estoque Conforme</v>
      </c>
      <c r="AC909" s="120"/>
      <c r="AD909" s="95"/>
      <c r="AE909" s="82"/>
      <c r="AF909" s="82"/>
    </row>
    <row r="910" spans="1:32" ht="15" customHeight="1" x14ac:dyDescent="0.25">
      <c r="A910" s="45">
        <v>791</v>
      </c>
      <c r="B910" s="47"/>
      <c r="C910" s="46"/>
      <c r="D910" s="45" t="s">
        <v>2261</v>
      </c>
      <c r="E910" s="46" t="s">
        <v>7</v>
      </c>
      <c r="F910" s="87"/>
      <c r="G910" s="82"/>
      <c r="H910" s="82"/>
      <c r="I910" s="82" t="s">
        <v>8558</v>
      </c>
      <c r="J910" s="82"/>
      <c r="K910" s="82"/>
      <c r="L910" s="82"/>
      <c r="M910" s="82"/>
      <c r="N910" s="82"/>
      <c r="O910" s="87" t="s">
        <v>6551</v>
      </c>
      <c r="P910" s="82" t="s">
        <v>576</v>
      </c>
      <c r="Q910" s="83">
        <f>VLOOKUP(TAB_ESTOQUE[[#This Row],[Codigo]],TAB_ENTRADA[[Cod_2_Entrada]:[TOTAL_ENTRADA]],5,FALSE)-VLOOKUP(TAB_ESTOQUE[[#This Row],[Codigo]],TAB_SAIDA[[COD_2_SAIDA]:[TOTAL_SAIDA]],5,FALSE)</f>
        <v>1</v>
      </c>
      <c r="R910" s="87"/>
      <c r="S910" s="87"/>
      <c r="T910" s="90"/>
      <c r="U910" s="91">
        <f>TAB_ESTOQUE[[#This Row],[Valor Unitario Estimado]]*TAB_ESTOQUE[[#This Row],[Estoque]]</f>
        <v>0</v>
      </c>
      <c r="V910" s="91"/>
      <c r="W910" s="85"/>
      <c r="X910" s="85"/>
      <c r="Y910" s="85"/>
      <c r="Z910" s="85"/>
      <c r="AA910" s="85"/>
      <c r="AB910" s="85" t="str">
        <f>IF(TAB_ESTOQUE[[#This Row],[Estoque]]=0,"Estoque Não Conforme",IF(TAB_ESTOQUE[[#This Row],[Estoque]]&gt;=TAB_ESTOQUE[[#This Row],[Mínimo]],"Estoque Conforme",IF(TAB_ESTOQUE[[#This Row],[Estoque]]&lt;TAB_ESTOQUE[[#This Row],[Mínimo]],"Estoque em Nivel Minimo")))</f>
        <v>Estoque Conforme</v>
      </c>
      <c r="AC910" s="85"/>
      <c r="AD910" s="82"/>
      <c r="AE910" s="82"/>
      <c r="AF910" s="82"/>
    </row>
    <row r="911" spans="1:32" ht="15" customHeight="1" x14ac:dyDescent="0.25">
      <c r="A911" s="45">
        <v>792</v>
      </c>
      <c r="B911" s="47"/>
      <c r="C911" s="46"/>
      <c r="D911" s="45" t="s">
        <v>2342</v>
      </c>
      <c r="E911" s="46" t="s">
        <v>7</v>
      </c>
      <c r="F911" s="87"/>
      <c r="G911" s="82"/>
      <c r="H911" s="82"/>
      <c r="I911" s="82" t="s">
        <v>8590</v>
      </c>
      <c r="J911" s="82"/>
      <c r="K911" s="82"/>
      <c r="L911" s="82"/>
      <c r="M911" s="82"/>
      <c r="N911" s="82"/>
      <c r="O911" s="87" t="s">
        <v>6551</v>
      </c>
      <c r="P911" s="82" t="s">
        <v>577</v>
      </c>
      <c r="Q911" s="83">
        <f>VLOOKUP(TAB_ESTOQUE[[#This Row],[Codigo]],TAB_ENTRADA[[Cod_2_Entrada]:[TOTAL_ENTRADA]],5,FALSE)-VLOOKUP(TAB_ESTOQUE[[#This Row],[Codigo]],TAB_SAIDA[[COD_2_SAIDA]:[TOTAL_SAIDA]],5,FALSE)</f>
        <v>1</v>
      </c>
      <c r="R911" s="87"/>
      <c r="S911" s="87"/>
      <c r="T911" s="90"/>
      <c r="U911" s="91">
        <f>TAB_ESTOQUE[[#This Row],[Valor Unitario Estimado]]*TAB_ESTOQUE[[#This Row],[Estoque]]</f>
        <v>0</v>
      </c>
      <c r="V911" s="91"/>
      <c r="W911" s="85"/>
      <c r="X911" s="85"/>
      <c r="Y911" s="85"/>
      <c r="Z911" s="85"/>
      <c r="AA911" s="85"/>
      <c r="AB911" s="85" t="str">
        <f>IF(TAB_ESTOQUE[[#This Row],[Estoque]]=0,"Estoque Não Conforme",IF(TAB_ESTOQUE[[#This Row],[Estoque]]&gt;=TAB_ESTOQUE[[#This Row],[Mínimo]],"Estoque Conforme",IF(TAB_ESTOQUE[[#This Row],[Estoque]]&lt;TAB_ESTOQUE[[#This Row],[Mínimo]],"Estoque em Nivel Minimo")))</f>
        <v>Estoque Conforme</v>
      </c>
      <c r="AC911" s="85"/>
      <c r="AD911" s="82"/>
      <c r="AE911" s="82"/>
      <c r="AF911" s="82"/>
    </row>
    <row r="912" spans="1:32" ht="15" customHeight="1" x14ac:dyDescent="0.25">
      <c r="C912" s="48"/>
      <c r="D912" s="45" t="s">
        <v>7078</v>
      </c>
      <c r="E912" s="46" t="s">
        <v>7258</v>
      </c>
      <c r="F912" s="46"/>
      <c r="I912" s="45" t="s">
        <v>8723</v>
      </c>
      <c r="O912" s="46" t="s">
        <v>6551</v>
      </c>
      <c r="Q912" s="137">
        <f>VLOOKUP(TAB_ESTOQUE[[#This Row],[Codigo]],TAB_ENTRADA[[Cod_2_Entrada]:[TOTAL_ENTRADA]],5,FALSE)-VLOOKUP(TAB_ESTOQUE[[#This Row],[Codigo]],TAB_SAIDA[[COD_2_SAIDA]:[TOTAL_SAIDA]],5,FALSE)</f>
        <v>1</v>
      </c>
      <c r="S912" s="46"/>
      <c r="T912" s="102">
        <v>262</v>
      </c>
      <c r="U912" s="103">
        <f>TAB_ESTOQUE[[#This Row],[Valor Unitario Estimado]]*TAB_ESTOQUE[[#This Row],[Estoque]]</f>
        <v>262</v>
      </c>
      <c r="V912" s="103"/>
      <c r="AA912" s="138"/>
      <c r="AB912" s="104" t="str">
        <f>IF(TAB_ESTOQUE[[#This Row],[Estoque]]=0,"Estoque Não Conforme",IF(TAB_ESTOQUE[[#This Row],[Estoque]]&gt;=TAB_ESTOQUE[[#This Row],[Mínimo]],"Estoque Conforme",IF(TAB_ESTOQUE[[#This Row],[Estoque]]&lt;TAB_ESTOQUE[[#This Row],[Mínimo]],"Estoque em Nivel Minimo")))</f>
        <v>Estoque Conforme</v>
      </c>
      <c r="AC912" s="104"/>
      <c r="AE912" s="82"/>
      <c r="AF912" s="82"/>
    </row>
    <row r="913" spans="1:32" ht="15" customHeight="1" x14ac:dyDescent="0.25">
      <c r="C913" s="48"/>
      <c r="D913" s="45" t="s">
        <v>7762</v>
      </c>
      <c r="E913" s="46"/>
      <c r="F913" s="46"/>
      <c r="I913" s="106" t="s">
        <v>8993</v>
      </c>
      <c r="O913" s="46" t="s">
        <v>6551</v>
      </c>
      <c r="Q913" s="137">
        <f>VLOOKUP(TAB_ESTOQUE[[#This Row],[Codigo]],TAB_ENTRADA[[Cod_2_Entrada]:[TOTAL_ENTRADA]],5,FALSE)-VLOOKUP(TAB_ESTOQUE[[#This Row],[Codigo]],TAB_SAIDA[[COD_2_SAIDA]:[TOTAL_SAIDA]],5,FALSE)</f>
        <v>1</v>
      </c>
      <c r="R913" s="46">
        <v>1</v>
      </c>
      <c r="S913" s="46">
        <v>4</v>
      </c>
      <c r="T913" s="102">
        <v>54.6</v>
      </c>
      <c r="U913" s="103">
        <f>TAB_ESTOQUE[[#This Row],[Valor Unitario Estimado]]*TAB_ESTOQUE[[#This Row],[Estoque]]</f>
        <v>54.6</v>
      </c>
      <c r="V913" s="103"/>
      <c r="AA913" s="138"/>
      <c r="AB913" s="104" t="str">
        <f>IF(TAB_ESTOQUE[[#This Row],[Estoque]]=0,"Estoque Não Conforme",IF(TAB_ESTOQUE[[#This Row],[Estoque]]&gt;=TAB_ESTOQUE[[#This Row],[Mínimo]],"Estoque Conforme",IF(TAB_ESTOQUE[[#This Row],[Estoque]]&lt;TAB_ESTOQUE[[#This Row],[Mínimo]],"Estoque em Nivel Minimo")))</f>
        <v>Estoque Conforme</v>
      </c>
      <c r="AC913" s="104"/>
      <c r="AE913" s="82"/>
      <c r="AF913" s="82"/>
    </row>
    <row r="914" spans="1:32" ht="15" customHeight="1" x14ac:dyDescent="0.25">
      <c r="A914" s="45">
        <v>796</v>
      </c>
      <c r="B914" s="47"/>
      <c r="C914" s="46"/>
      <c r="D914" s="45" t="s">
        <v>2262</v>
      </c>
      <c r="E914" s="46" t="s">
        <v>7</v>
      </c>
      <c r="F914" s="87"/>
      <c r="G914" s="82"/>
      <c r="H914" s="82"/>
      <c r="I914" s="82" t="s">
        <v>8559</v>
      </c>
      <c r="J914" s="82"/>
      <c r="K914" s="82"/>
      <c r="L914" s="82"/>
      <c r="M914" s="82" t="s">
        <v>209</v>
      </c>
      <c r="N914" s="82"/>
      <c r="O914" s="87" t="s">
        <v>6595</v>
      </c>
      <c r="P914" s="82" t="s">
        <v>580</v>
      </c>
      <c r="Q914" s="83">
        <f>VLOOKUP(TAB_ESTOQUE[[#This Row],[Codigo]],TAB_ENTRADA[[Cod_2_Entrada]:[TOTAL_ENTRADA]],5,FALSE)-VLOOKUP(TAB_ESTOQUE[[#This Row],[Codigo]],TAB_SAIDA[[COD_2_SAIDA]:[TOTAL_SAIDA]],5,FALSE)</f>
        <v>3</v>
      </c>
      <c r="R914" s="87"/>
      <c r="S914" s="87"/>
      <c r="T914" s="90"/>
      <c r="U914" s="91">
        <f>TAB_ESTOQUE[[#This Row],[Valor Unitario Estimado]]*TAB_ESTOQUE[[#This Row],[Estoque]]</f>
        <v>0</v>
      </c>
      <c r="V914" s="91"/>
      <c r="W914" s="85"/>
      <c r="X914" s="85"/>
      <c r="Y914" s="85"/>
      <c r="Z914" s="85"/>
      <c r="AA914" s="85"/>
      <c r="AB914" s="85" t="str">
        <f>IF(TAB_ESTOQUE[[#This Row],[Estoque]]=0,"Estoque Não Conforme",IF(TAB_ESTOQUE[[#This Row],[Estoque]]&gt;=TAB_ESTOQUE[[#This Row],[Mínimo]],"Estoque Conforme",IF(TAB_ESTOQUE[[#This Row],[Estoque]]&lt;TAB_ESTOQUE[[#This Row],[Mínimo]],"Estoque em Nivel Minimo")))</f>
        <v>Estoque Conforme</v>
      </c>
      <c r="AC914" s="85"/>
      <c r="AD914" s="82"/>
      <c r="AE914" s="82"/>
      <c r="AF914" s="82"/>
    </row>
    <row r="915" spans="1:32" ht="15" customHeight="1" x14ac:dyDescent="0.25">
      <c r="A915" s="45">
        <v>795</v>
      </c>
      <c r="B915" s="47"/>
      <c r="C915" s="46"/>
      <c r="D915" s="45" t="s">
        <v>2263</v>
      </c>
      <c r="E915" s="46" t="s">
        <v>7</v>
      </c>
      <c r="F915" s="87"/>
      <c r="G915" s="82"/>
      <c r="H915" s="82"/>
      <c r="I915" s="95" t="s">
        <v>8560</v>
      </c>
      <c r="J915" s="82"/>
      <c r="K915" s="82"/>
      <c r="L915" s="82"/>
      <c r="M915" s="82" t="s">
        <v>209</v>
      </c>
      <c r="N915" s="82"/>
      <c r="O915" s="87" t="s">
        <v>6595</v>
      </c>
      <c r="P915" s="82" t="s">
        <v>579</v>
      </c>
      <c r="Q915" s="83">
        <f>VLOOKUP(TAB_ESTOQUE[[#This Row],[Codigo]],TAB_ENTRADA[[Cod_2_Entrada]:[TOTAL_ENTRADA]],5,FALSE)-VLOOKUP(TAB_ESTOQUE[[#This Row],[Codigo]],TAB_SAIDA[[COD_2_SAIDA]:[TOTAL_SAIDA]],5,FALSE)</f>
        <v>1</v>
      </c>
      <c r="R915" s="87"/>
      <c r="S915" s="87"/>
      <c r="T915" s="90"/>
      <c r="U915" s="91">
        <f>TAB_ESTOQUE[[#This Row],[Valor Unitario Estimado]]*TAB_ESTOQUE[[#This Row],[Estoque]]</f>
        <v>0</v>
      </c>
      <c r="V915" s="91"/>
      <c r="W915" s="85"/>
      <c r="X915" s="85"/>
      <c r="Y915" s="85"/>
      <c r="Z915" s="85"/>
      <c r="AA915" s="85"/>
      <c r="AB915" s="85" t="str">
        <f>IF(TAB_ESTOQUE[[#This Row],[Estoque]]=0,"Estoque Não Conforme",IF(TAB_ESTOQUE[[#This Row],[Estoque]]&gt;=TAB_ESTOQUE[[#This Row],[Mínimo]],"Estoque Conforme",IF(TAB_ESTOQUE[[#This Row],[Estoque]]&lt;TAB_ESTOQUE[[#This Row],[Mínimo]],"Estoque em Nivel Minimo")))</f>
        <v>Estoque Conforme</v>
      </c>
      <c r="AC915" s="85"/>
      <c r="AD915" s="82"/>
      <c r="AE915" s="82"/>
      <c r="AF915" s="82"/>
    </row>
    <row r="916" spans="1:32" ht="15" customHeight="1" x14ac:dyDescent="0.25">
      <c r="A916" s="45">
        <v>799</v>
      </c>
      <c r="B916" s="47"/>
      <c r="C916" s="46"/>
      <c r="D916" s="45" t="s">
        <v>2264</v>
      </c>
      <c r="E916" s="46" t="s">
        <v>7</v>
      </c>
      <c r="F916" s="87"/>
      <c r="G916" s="82"/>
      <c r="H916" s="82"/>
      <c r="I916" s="82" t="s">
        <v>8561</v>
      </c>
      <c r="J916" s="82"/>
      <c r="K916" s="82"/>
      <c r="L916" s="82"/>
      <c r="M916" s="82" t="s">
        <v>209</v>
      </c>
      <c r="N916" s="82"/>
      <c r="O916" s="87" t="s">
        <v>6595</v>
      </c>
      <c r="P916" s="82" t="s">
        <v>585</v>
      </c>
      <c r="Q916" s="83">
        <f>VLOOKUP(TAB_ESTOQUE[[#This Row],[Codigo]],TAB_ENTRADA[[Cod_2_Entrada]:[TOTAL_ENTRADA]],5,FALSE)-VLOOKUP(TAB_ESTOQUE[[#This Row],[Codigo]],TAB_SAIDA[[COD_2_SAIDA]:[TOTAL_SAIDA]],5,FALSE)</f>
        <v>4</v>
      </c>
      <c r="R916" s="87"/>
      <c r="S916" s="87"/>
      <c r="T916" s="90"/>
      <c r="U916" s="91">
        <f>TAB_ESTOQUE[[#This Row],[Valor Unitario Estimado]]*TAB_ESTOQUE[[#This Row],[Estoque]]</f>
        <v>0</v>
      </c>
      <c r="V916" s="91"/>
      <c r="W916" s="85"/>
      <c r="X916" s="85"/>
      <c r="Y916" s="85"/>
      <c r="Z916" s="85"/>
      <c r="AA916" s="85"/>
      <c r="AB916" s="85" t="str">
        <f>IF(TAB_ESTOQUE[[#This Row],[Estoque]]=0,"Estoque Não Conforme",IF(TAB_ESTOQUE[[#This Row],[Estoque]]&gt;=TAB_ESTOQUE[[#This Row],[Mínimo]],"Estoque Conforme",IF(TAB_ESTOQUE[[#This Row],[Estoque]]&lt;TAB_ESTOQUE[[#This Row],[Mínimo]],"Estoque em Nivel Minimo")))</f>
        <v>Estoque Conforme</v>
      </c>
      <c r="AC916" s="85"/>
      <c r="AD916" s="82"/>
      <c r="AE916" s="82"/>
      <c r="AF916" s="82"/>
    </row>
    <row r="917" spans="1:32" ht="15" customHeight="1" x14ac:dyDescent="0.25">
      <c r="A917" s="106">
        <v>1047</v>
      </c>
      <c r="B917" s="106"/>
      <c r="C917" s="116"/>
      <c r="D917" s="106" t="s">
        <v>2349</v>
      </c>
      <c r="E917" s="116" t="s">
        <v>7</v>
      </c>
      <c r="F917" s="118"/>
      <c r="G917" s="95"/>
      <c r="H917" s="95"/>
      <c r="I917" s="95" t="s">
        <v>6193</v>
      </c>
      <c r="J917" s="95"/>
      <c r="K917" s="95"/>
      <c r="L917" s="95"/>
      <c r="M917" s="95"/>
      <c r="N917" s="95"/>
      <c r="O917" s="118" t="s">
        <v>6595</v>
      </c>
      <c r="P917" s="95" t="s">
        <v>798</v>
      </c>
      <c r="Q917" s="154">
        <f>VLOOKUP(TAB_ESTOQUE[[#This Row],[Codigo]],TAB_ENTRADA[[Cod_2_Entrada]:[TOTAL_ENTRADA]],5,FALSE)-VLOOKUP(TAB_ESTOQUE[[#This Row],[Codigo]],TAB_SAIDA[[COD_2_SAIDA]:[TOTAL_SAIDA]],5,FALSE)</f>
        <v>10</v>
      </c>
      <c r="R917" s="118"/>
      <c r="S917" s="118"/>
      <c r="T917" s="119"/>
      <c r="U917" s="112">
        <f>TAB_ESTOQUE[[#This Row],[Valor Unitario Estimado]]*TAB_ESTOQUE[[#This Row],[Estoque]]</f>
        <v>0</v>
      </c>
      <c r="V917" s="112"/>
      <c r="W917" s="120"/>
      <c r="X917" s="120"/>
      <c r="Y917" s="120"/>
      <c r="Z917" s="120"/>
      <c r="AA917" s="120"/>
      <c r="AB917" s="120" t="str">
        <f>IF(TAB_ESTOQUE[[#This Row],[Estoque]]=0,"Estoque Não Conforme",IF(TAB_ESTOQUE[[#This Row],[Estoque]]&gt;=TAB_ESTOQUE[[#This Row],[Mínimo]],"Estoque Conforme",IF(TAB_ESTOQUE[[#This Row],[Estoque]]&lt;TAB_ESTOQUE[[#This Row],[Mínimo]],"Estoque em Nivel Minimo")))</f>
        <v>Estoque Conforme</v>
      </c>
      <c r="AC917" s="120"/>
      <c r="AD917" s="95"/>
      <c r="AE917" s="82"/>
      <c r="AF917" s="82"/>
    </row>
    <row r="918" spans="1:32" ht="15" customHeight="1" x14ac:dyDescent="0.25">
      <c r="C918" s="105" t="s">
        <v>2838</v>
      </c>
      <c r="D918" s="45" t="s">
        <v>6794</v>
      </c>
      <c r="E918" s="46" t="s">
        <v>116</v>
      </c>
      <c r="F918" s="46"/>
      <c r="I918" s="45" t="s">
        <v>7099</v>
      </c>
      <c r="O918" s="46" t="s">
        <v>6595</v>
      </c>
      <c r="Q918" s="83">
        <f>VLOOKUP(TAB_ESTOQUE[[#This Row],[Codigo]],TAB_ENTRADA[[Cod_2_Entrada]:[TOTAL_ENTRADA]],5,FALSE)-VLOOKUP(TAB_ESTOQUE[[#This Row],[Codigo]],TAB_SAIDA[[COD_2_SAIDA]:[TOTAL_SAIDA]],5,FALSE)</f>
        <v>0</v>
      </c>
      <c r="S918" s="46"/>
      <c r="T918" s="102"/>
      <c r="U918" s="103">
        <f>TAB_ESTOQUE[[#This Row],[Valor Unitario Estimado]]*TAB_ESTOQUE[[#This Row],[Estoque]]</f>
        <v>0</v>
      </c>
      <c r="V918" s="103"/>
      <c r="AB918" s="104" t="str">
        <f>IF(TAB_ESTOQUE[[#This Row],[Estoque]]=0,"Estoque Não Conforme",IF(TAB_ESTOQUE[[#This Row],[Estoque]]&gt;=TAB_ESTOQUE[[#This Row],[Mínimo]],"Estoque Conforme",IF(TAB_ESTOQUE[[#This Row],[Estoque]]&lt;TAB_ESTOQUE[[#This Row],[Mínimo]],"Estoque em Nivel Minimo")))</f>
        <v>Estoque Não Conforme</v>
      </c>
      <c r="AC918" s="104"/>
      <c r="AE918" s="82"/>
      <c r="AF918" s="82"/>
    </row>
    <row r="919" spans="1:32" ht="15" customHeight="1" x14ac:dyDescent="0.25">
      <c r="C919" s="105" t="s">
        <v>2838</v>
      </c>
      <c r="D919" s="45" t="s">
        <v>6797</v>
      </c>
      <c r="E919" s="46" t="s">
        <v>116</v>
      </c>
      <c r="F919" s="46"/>
      <c r="I919" s="45" t="s">
        <v>7100</v>
      </c>
      <c r="O919" s="46" t="s">
        <v>6595</v>
      </c>
      <c r="Q919" s="83">
        <f>VLOOKUP(TAB_ESTOQUE[[#This Row],[Codigo]],TAB_ENTRADA[[Cod_2_Entrada]:[TOTAL_ENTRADA]],5,FALSE)-VLOOKUP(TAB_ESTOQUE[[#This Row],[Codigo]],TAB_SAIDA[[COD_2_SAIDA]:[TOTAL_SAIDA]],5,FALSE)</f>
        <v>0</v>
      </c>
      <c r="S919" s="46"/>
      <c r="T919" s="102"/>
      <c r="U919" s="103">
        <f>TAB_ESTOQUE[[#This Row],[Valor Unitario Estimado]]*TAB_ESTOQUE[[#This Row],[Estoque]]</f>
        <v>0</v>
      </c>
      <c r="V919" s="103"/>
      <c r="AB919" s="104" t="str">
        <f>IF(TAB_ESTOQUE[[#This Row],[Estoque]]=0,"Estoque Não Conforme",IF(TAB_ESTOQUE[[#This Row],[Estoque]]&gt;=TAB_ESTOQUE[[#This Row],[Mínimo]],"Estoque Conforme",IF(TAB_ESTOQUE[[#This Row],[Estoque]]&lt;TAB_ESTOQUE[[#This Row],[Mínimo]],"Estoque em Nivel Minimo")))</f>
        <v>Estoque Não Conforme</v>
      </c>
      <c r="AC919" s="104"/>
      <c r="AE919" s="82"/>
      <c r="AF919" s="82"/>
    </row>
    <row r="920" spans="1:32" s="106" customFormat="1" ht="15" customHeight="1" x14ac:dyDescent="0.25">
      <c r="A920" s="47">
        <v>789</v>
      </c>
      <c r="B920" s="47"/>
      <c r="C920" s="51"/>
      <c r="D920" s="47" t="s">
        <v>2268</v>
      </c>
      <c r="E920" s="46" t="s">
        <v>7</v>
      </c>
      <c r="F920" s="107"/>
      <c r="G920" s="94"/>
      <c r="H920" s="94"/>
      <c r="I920" s="94" t="s">
        <v>8563</v>
      </c>
      <c r="J920" s="94"/>
      <c r="K920" s="94"/>
      <c r="L920" s="94"/>
      <c r="M920" s="94" t="s">
        <v>209</v>
      </c>
      <c r="N920" s="94"/>
      <c r="O920" s="107" t="s">
        <v>6597</v>
      </c>
      <c r="P920" s="94" t="s">
        <v>574</v>
      </c>
      <c r="Q920" s="145">
        <f>VLOOKUP(TAB_ESTOQUE[[#This Row],[Codigo]],TAB_ENTRADA[[Cod_2_Entrada]:[TOTAL_ENTRADA]],5,FALSE)-VLOOKUP(TAB_ESTOQUE[[#This Row],[Codigo]],TAB_SAIDA[[COD_2_SAIDA]:[TOTAL_SAIDA]],5,FALSE)</f>
        <v>1</v>
      </c>
      <c r="R920" s="107"/>
      <c r="S920" s="107"/>
      <c r="T920" s="108"/>
      <c r="U920" s="109">
        <f>TAB_ESTOQUE[[#This Row],[Valor Unitario Estimado]]*TAB_ESTOQUE[[#This Row],[Estoque]]</f>
        <v>0</v>
      </c>
      <c r="V920" s="109"/>
      <c r="W920" s="110"/>
      <c r="X920" s="110"/>
      <c r="Y920" s="110"/>
      <c r="Z920" s="110"/>
      <c r="AA920" s="110"/>
      <c r="AB920" s="110" t="str">
        <f>IF(TAB_ESTOQUE[[#This Row],[Estoque]]=0,"Estoque Não Conforme",IF(TAB_ESTOQUE[[#This Row],[Estoque]]&gt;=TAB_ESTOQUE[[#This Row],[Mínimo]],"Estoque Conforme",IF(TAB_ESTOQUE[[#This Row],[Estoque]]&lt;TAB_ESTOQUE[[#This Row],[Mínimo]],"Estoque em Nivel Minimo")))</f>
        <v>Estoque Conforme</v>
      </c>
      <c r="AC920" s="110"/>
      <c r="AD920" s="94"/>
      <c r="AE920" s="95"/>
      <c r="AF920" s="95"/>
    </row>
    <row r="921" spans="1:32" s="47" customFormat="1" ht="15" customHeight="1" x14ac:dyDescent="0.25">
      <c r="A921" s="47">
        <v>740</v>
      </c>
      <c r="C921" s="51" t="s">
        <v>2833</v>
      </c>
      <c r="D921" s="47" t="s">
        <v>2338</v>
      </c>
      <c r="E921" s="46" t="s">
        <v>1240</v>
      </c>
      <c r="F921" s="107"/>
      <c r="G921" s="94"/>
      <c r="H921" s="94"/>
      <c r="I921" s="94" t="s">
        <v>8587</v>
      </c>
      <c r="J921" s="94"/>
      <c r="K921" s="94"/>
      <c r="L921" s="94"/>
      <c r="M921" s="94" t="s">
        <v>209</v>
      </c>
      <c r="N921" s="94"/>
      <c r="O921" s="107" t="s">
        <v>6597</v>
      </c>
      <c r="P921" s="94" t="s">
        <v>527</v>
      </c>
      <c r="Q921" s="145">
        <f>VLOOKUP(TAB_ESTOQUE[[#This Row],[Codigo]],TAB_ENTRADA[[Cod_2_Entrada]:[TOTAL_ENTRADA]],5,FALSE)-VLOOKUP(TAB_ESTOQUE[[#This Row],[Codigo]],TAB_SAIDA[[COD_2_SAIDA]:[TOTAL_SAIDA]],5,FALSE)</f>
        <v>1</v>
      </c>
      <c r="R921" s="107"/>
      <c r="S921" s="107"/>
      <c r="T921" s="108"/>
      <c r="U921" s="109">
        <f>TAB_ESTOQUE[[#This Row],[Valor Unitario Estimado]]*TAB_ESTOQUE[[#This Row],[Estoque]]</f>
        <v>0</v>
      </c>
      <c r="V921" s="109"/>
      <c r="W921" s="110"/>
      <c r="X921" s="110"/>
      <c r="Y921" s="110"/>
      <c r="Z921" s="110"/>
      <c r="AA921" s="110"/>
      <c r="AB921" s="110" t="str">
        <f>IF(TAB_ESTOQUE[[#This Row],[Estoque]]=0,"Estoque Não Conforme",IF(TAB_ESTOQUE[[#This Row],[Estoque]]&gt;=TAB_ESTOQUE[[#This Row],[Mínimo]],"Estoque Conforme",IF(TAB_ESTOQUE[[#This Row],[Estoque]]&lt;TAB_ESTOQUE[[#This Row],[Mínimo]],"Estoque em Nivel Minimo")))</f>
        <v>Estoque Conforme</v>
      </c>
      <c r="AC921" s="110"/>
      <c r="AD921" s="94"/>
      <c r="AE921" s="94"/>
      <c r="AF921" s="94"/>
    </row>
    <row r="922" spans="1:32" s="106" customFormat="1" ht="14.25" customHeight="1" x14ac:dyDescent="0.25">
      <c r="A922" s="45">
        <v>797</v>
      </c>
      <c r="B922" s="47"/>
      <c r="C922" s="46" t="s">
        <v>2833</v>
      </c>
      <c r="D922" s="45" t="s">
        <v>2340</v>
      </c>
      <c r="E922" s="46" t="s">
        <v>7</v>
      </c>
      <c r="F922" s="87"/>
      <c r="G922" s="82"/>
      <c r="H922" s="82"/>
      <c r="I922" s="82" t="s">
        <v>8589</v>
      </c>
      <c r="J922" s="82"/>
      <c r="K922" s="82"/>
      <c r="L922" s="82"/>
      <c r="M922" s="82"/>
      <c r="N922" s="82"/>
      <c r="O922" s="87" t="s">
        <v>6597</v>
      </c>
      <c r="P922" s="82" t="s">
        <v>581</v>
      </c>
      <c r="Q922" s="83">
        <f>VLOOKUP(TAB_ESTOQUE[[#This Row],[Codigo]],TAB_ENTRADA[[Cod_2_Entrada]:[TOTAL_ENTRADA]],5,FALSE)-VLOOKUP(TAB_ESTOQUE[[#This Row],[Codigo]],TAB_SAIDA[[COD_2_SAIDA]:[TOTAL_SAIDA]],5,FALSE)</f>
        <v>1</v>
      </c>
      <c r="R922" s="87"/>
      <c r="S922" s="87"/>
      <c r="T922" s="90"/>
      <c r="U922" s="91">
        <f>TAB_ESTOQUE[[#This Row],[Valor Unitario Estimado]]*TAB_ESTOQUE[[#This Row],[Estoque]]</f>
        <v>0</v>
      </c>
      <c r="V922" s="91"/>
      <c r="W922" s="85"/>
      <c r="X922" s="85"/>
      <c r="Y922" s="85"/>
      <c r="Z922" s="85"/>
      <c r="AA922" s="85"/>
      <c r="AB922" s="85" t="str">
        <f>IF(TAB_ESTOQUE[[#This Row],[Estoque]]=0,"Estoque Não Conforme",IF(TAB_ESTOQUE[[#This Row],[Estoque]]&gt;=TAB_ESTOQUE[[#This Row],[Mínimo]],"Estoque Conforme",IF(TAB_ESTOQUE[[#This Row],[Estoque]]&lt;TAB_ESTOQUE[[#This Row],[Mínimo]],"Estoque em Nivel Minimo")))</f>
        <v>Estoque Conforme</v>
      </c>
      <c r="AC922" s="85"/>
      <c r="AD922" s="82"/>
      <c r="AE922" s="95"/>
      <c r="AF922" s="95"/>
    </row>
    <row r="923" spans="1:32" s="47" customFormat="1" ht="15" customHeight="1" x14ac:dyDescent="0.25">
      <c r="A923" s="45">
        <v>702</v>
      </c>
      <c r="C923" s="46"/>
      <c r="D923" s="45" t="s">
        <v>2279</v>
      </c>
      <c r="E923" s="46"/>
      <c r="F923" s="87"/>
      <c r="G923" s="82"/>
      <c r="H923" s="82"/>
      <c r="I923" s="82" t="s">
        <v>8567</v>
      </c>
      <c r="J923" s="82"/>
      <c r="K923" s="82"/>
      <c r="L923" s="82"/>
      <c r="M923" s="82"/>
      <c r="N923" s="82"/>
      <c r="O923" s="87" t="s">
        <v>8750</v>
      </c>
      <c r="P923" s="82" t="s">
        <v>488</v>
      </c>
      <c r="Q923" s="83">
        <f>VLOOKUP(TAB_ESTOQUE[[#This Row],[Codigo]],TAB_ENTRADA[[Cod_2_Entrada]:[TOTAL_ENTRADA]],5,FALSE)-VLOOKUP(TAB_ESTOQUE[[#This Row],[Codigo]],TAB_SAIDA[[COD_2_SAIDA]:[TOTAL_SAIDA]],5,FALSE)</f>
        <v>1</v>
      </c>
      <c r="R923" s="87"/>
      <c r="S923" s="87"/>
      <c r="T923" s="90"/>
      <c r="U923" s="91">
        <f>TAB_ESTOQUE[[#This Row],[Valor Unitario Estimado]]*TAB_ESTOQUE[[#This Row],[Estoque]]</f>
        <v>0</v>
      </c>
      <c r="V923" s="91"/>
      <c r="W923" s="85"/>
      <c r="X923" s="85"/>
      <c r="Y923" s="85"/>
      <c r="Z923" s="85"/>
      <c r="AA923" s="85"/>
      <c r="AB923" s="85" t="str">
        <f>IF(TAB_ESTOQUE[[#This Row],[Estoque]]=0,"Estoque Não Conforme",IF(TAB_ESTOQUE[[#This Row],[Estoque]]&gt;=TAB_ESTOQUE[[#This Row],[Mínimo]],"Estoque Conforme",IF(TAB_ESTOQUE[[#This Row],[Estoque]]&lt;TAB_ESTOQUE[[#This Row],[Mínimo]],"Estoque em Nivel Minimo")))</f>
        <v>Estoque Conforme</v>
      </c>
      <c r="AC923" s="85"/>
      <c r="AD923" s="82"/>
      <c r="AE923" s="94"/>
      <c r="AF923" s="94"/>
    </row>
    <row r="924" spans="1:32" s="106" customFormat="1" ht="15" customHeight="1" x14ac:dyDescent="0.25">
      <c r="A924" s="45">
        <v>761</v>
      </c>
      <c r="B924" s="47"/>
      <c r="C924" s="46"/>
      <c r="D924" s="45" t="s">
        <v>2467</v>
      </c>
      <c r="E924" s="46" t="s">
        <v>20</v>
      </c>
      <c r="F924" s="87"/>
      <c r="G924" s="82"/>
      <c r="H924" s="82"/>
      <c r="I924" s="82" t="s">
        <v>1476</v>
      </c>
      <c r="J924" s="82"/>
      <c r="K924" s="82"/>
      <c r="L924" s="82"/>
      <c r="M924" s="82"/>
      <c r="N924" s="82"/>
      <c r="O924" s="87" t="s">
        <v>8750</v>
      </c>
      <c r="P924" s="82"/>
      <c r="Q924" s="83">
        <f>VLOOKUP(TAB_ESTOQUE[[#This Row],[Codigo]],TAB_ENTRADA[[Cod_2_Entrada]:[TOTAL_ENTRADA]],5,FALSE)-VLOOKUP(TAB_ESTOQUE[[#This Row],[Codigo]],TAB_SAIDA[[COD_2_SAIDA]:[TOTAL_SAIDA]],5,FALSE)</f>
        <v>1</v>
      </c>
      <c r="R924" s="87"/>
      <c r="S924" s="87"/>
      <c r="T924" s="90"/>
      <c r="U924" s="91">
        <f>TAB_ESTOQUE[[#This Row],[Valor Unitario Estimado]]*TAB_ESTOQUE[[#This Row],[Estoque]]</f>
        <v>0</v>
      </c>
      <c r="V924" s="91"/>
      <c r="W924" s="85"/>
      <c r="X924" s="85"/>
      <c r="Y924" s="85"/>
      <c r="Z924" s="85"/>
      <c r="AA924" s="85"/>
      <c r="AB924" s="85" t="str">
        <f>IF(TAB_ESTOQUE[[#This Row],[Estoque]]=0,"Estoque Não Conforme",IF(TAB_ESTOQUE[[#This Row],[Estoque]]&gt;=TAB_ESTOQUE[[#This Row],[Mínimo]],"Estoque Conforme",IF(TAB_ESTOQUE[[#This Row],[Estoque]]&lt;TAB_ESTOQUE[[#This Row],[Mínimo]],"Estoque em Nivel Minimo")))</f>
        <v>Estoque Conforme</v>
      </c>
      <c r="AC924" s="85"/>
      <c r="AD924" s="82"/>
      <c r="AE924" s="95"/>
      <c r="AF924" s="95"/>
    </row>
    <row r="925" spans="1:32" s="47" customFormat="1" ht="15" customHeight="1" x14ac:dyDescent="0.25">
      <c r="A925" s="45">
        <v>1002</v>
      </c>
      <c r="C925" s="46"/>
      <c r="D925" s="45" t="s">
        <v>2051</v>
      </c>
      <c r="E925" s="46" t="s">
        <v>7</v>
      </c>
      <c r="F925" s="87"/>
      <c r="G925" s="82"/>
      <c r="H925" s="82"/>
      <c r="I925" s="82" t="s">
        <v>6113</v>
      </c>
      <c r="J925" s="82"/>
      <c r="K925" s="82"/>
      <c r="L925" s="82"/>
      <c r="M925" s="82"/>
      <c r="N925" s="82"/>
      <c r="O925" s="87" t="s">
        <v>6682</v>
      </c>
      <c r="P925" s="82" t="s">
        <v>771</v>
      </c>
      <c r="Q925" s="83">
        <f>VLOOKUP(TAB_ESTOQUE[[#This Row],[Codigo]],TAB_ENTRADA[[Cod_2_Entrada]:[TOTAL_ENTRADA]],5,FALSE)-VLOOKUP(TAB_ESTOQUE[[#This Row],[Codigo]],TAB_SAIDA[[COD_2_SAIDA]:[TOTAL_SAIDA]],5,FALSE)</f>
        <v>2</v>
      </c>
      <c r="R925" s="87"/>
      <c r="S925" s="87"/>
      <c r="T925" s="90">
        <v>208.7</v>
      </c>
      <c r="U925" s="91">
        <f>TAB_ESTOQUE[[#This Row],[Valor Unitario Estimado]]*TAB_ESTOQUE[[#This Row],[Estoque]]</f>
        <v>417.4</v>
      </c>
      <c r="V925" s="91"/>
      <c r="W925" s="85"/>
      <c r="X925" s="85"/>
      <c r="Y925" s="85"/>
      <c r="Z925" s="85"/>
      <c r="AA925" s="85"/>
      <c r="AB925" s="85" t="str">
        <f>IF(TAB_ESTOQUE[[#This Row],[Estoque]]=0,"Estoque Não Conforme",IF(TAB_ESTOQUE[[#This Row],[Estoque]]&gt;=TAB_ESTOQUE[[#This Row],[Mínimo]],"Estoque Conforme",IF(TAB_ESTOQUE[[#This Row],[Estoque]]&lt;TAB_ESTOQUE[[#This Row],[Mínimo]],"Estoque em Nivel Minimo")))</f>
        <v>Estoque Conforme</v>
      </c>
      <c r="AC925" s="85"/>
      <c r="AD925" s="82"/>
      <c r="AE925" s="94"/>
      <c r="AF925" s="94"/>
    </row>
    <row r="926" spans="1:32" s="106" customFormat="1" ht="15" customHeight="1" x14ac:dyDescent="0.25">
      <c r="A926" s="106">
        <v>1179</v>
      </c>
      <c r="C926" s="116"/>
      <c r="D926" s="106" t="s">
        <v>2271</v>
      </c>
      <c r="E926" s="116" t="s">
        <v>7</v>
      </c>
      <c r="F926" s="118"/>
      <c r="G926" s="95"/>
      <c r="H926" s="95"/>
      <c r="I926" s="95" t="s">
        <v>420</v>
      </c>
      <c r="J926" s="95"/>
      <c r="K926" s="95"/>
      <c r="L926" s="95"/>
      <c r="M926" s="95"/>
      <c r="N926" s="95"/>
      <c r="O926" s="118" t="s">
        <v>6682</v>
      </c>
      <c r="P926" s="95" t="s">
        <v>902</v>
      </c>
      <c r="Q926" s="154">
        <f>VLOOKUP(TAB_ESTOQUE[[#This Row],[Codigo]],TAB_ENTRADA[[Cod_2_Entrada]:[TOTAL_ENTRADA]],5,FALSE)-VLOOKUP(TAB_ESTOQUE[[#This Row],[Codigo]],TAB_SAIDA[[COD_2_SAIDA]:[TOTAL_SAIDA]],5,FALSE)</f>
        <v>36</v>
      </c>
      <c r="R926" s="118"/>
      <c r="S926" s="118"/>
      <c r="T926" s="119"/>
      <c r="U926" s="112">
        <f>TAB_ESTOQUE[[#This Row],[Valor Unitario Estimado]]*TAB_ESTOQUE[[#This Row],[Estoque]]</f>
        <v>0</v>
      </c>
      <c r="V926" s="112"/>
      <c r="W926" s="120"/>
      <c r="X926" s="120"/>
      <c r="Y926" s="120"/>
      <c r="Z926" s="120"/>
      <c r="AA926" s="120"/>
      <c r="AB926" s="120" t="str">
        <f>IF(TAB_ESTOQUE[[#This Row],[Estoque]]=0,"Estoque Não Conforme",IF(TAB_ESTOQUE[[#This Row],[Estoque]]&gt;=TAB_ESTOQUE[[#This Row],[Mínimo]],"Estoque Conforme",IF(TAB_ESTOQUE[[#This Row],[Estoque]]&lt;TAB_ESTOQUE[[#This Row],[Mínimo]],"Estoque em Nivel Minimo")))</f>
        <v>Estoque Conforme</v>
      </c>
      <c r="AC926" s="120"/>
      <c r="AD926" s="95"/>
      <c r="AE926" s="95"/>
      <c r="AF926" s="95"/>
    </row>
    <row r="927" spans="1:32" ht="15" customHeight="1" x14ac:dyDescent="0.25">
      <c r="A927" s="45">
        <v>839</v>
      </c>
      <c r="B927" s="47"/>
      <c r="C927" s="46"/>
      <c r="D927" s="45" t="s">
        <v>2272</v>
      </c>
      <c r="E927" s="46" t="s">
        <v>7</v>
      </c>
      <c r="F927" s="87"/>
      <c r="G927" s="82"/>
      <c r="H927" s="82"/>
      <c r="I927" s="82" t="s">
        <v>8565</v>
      </c>
      <c r="J927" s="82"/>
      <c r="K927" s="82"/>
      <c r="L927" s="82"/>
      <c r="M927" s="82"/>
      <c r="N927" s="82"/>
      <c r="O927" s="87" t="s">
        <v>6682</v>
      </c>
      <c r="P927" s="82" t="s">
        <v>627</v>
      </c>
      <c r="Q927" s="83">
        <f>VLOOKUP(TAB_ESTOQUE[[#This Row],[Codigo]],TAB_ENTRADA[[Cod_2_Entrada]:[TOTAL_ENTRADA]],5,FALSE)-VLOOKUP(TAB_ESTOQUE[[#This Row],[Codigo]],TAB_SAIDA[[COD_2_SAIDA]:[TOTAL_SAIDA]],5,FALSE)</f>
        <v>0</v>
      </c>
      <c r="R927" s="87"/>
      <c r="S927" s="87"/>
      <c r="T927" s="90"/>
      <c r="U927" s="91">
        <f>TAB_ESTOQUE[[#This Row],[Valor Unitario Estimado]]*TAB_ESTOQUE[[#This Row],[Estoque]]</f>
        <v>0</v>
      </c>
      <c r="V927" s="91"/>
      <c r="W927" s="85"/>
      <c r="X927" s="85"/>
      <c r="Y927" s="85"/>
      <c r="Z927" s="85"/>
      <c r="AA927" s="85"/>
      <c r="AB927" s="85" t="str">
        <f>IF(TAB_ESTOQUE[[#This Row],[Estoque]]=0,"Estoque Não Conforme",IF(TAB_ESTOQUE[[#This Row],[Estoque]]&gt;=TAB_ESTOQUE[[#This Row],[Mínimo]],"Estoque Conforme",IF(TAB_ESTOQUE[[#This Row],[Estoque]]&lt;TAB_ESTOQUE[[#This Row],[Mínimo]],"Estoque em Nivel Minimo")))</f>
        <v>Estoque Não Conforme</v>
      </c>
      <c r="AC927" s="85"/>
      <c r="AD927" s="82"/>
      <c r="AE927" s="82"/>
      <c r="AF927" s="82"/>
    </row>
    <row r="928" spans="1:32" ht="15" customHeight="1" x14ac:dyDescent="0.25">
      <c r="A928" s="45">
        <v>837</v>
      </c>
      <c r="B928" s="47"/>
      <c r="C928" s="46"/>
      <c r="D928" s="45" t="s">
        <v>2273</v>
      </c>
      <c r="E928" s="46"/>
      <c r="F928" s="87"/>
      <c r="G928" s="82"/>
      <c r="H928" s="82"/>
      <c r="I928" s="82" t="s">
        <v>1537</v>
      </c>
      <c r="J928" s="82"/>
      <c r="K928" s="82"/>
      <c r="L928" s="82"/>
      <c r="M928" s="82"/>
      <c r="N928" s="82"/>
      <c r="O928" s="87" t="s">
        <v>6682</v>
      </c>
      <c r="P928" s="82" t="s">
        <v>625</v>
      </c>
      <c r="Q928" s="83">
        <f>VLOOKUP(TAB_ESTOQUE[[#This Row],[Codigo]],TAB_ENTRADA[[Cod_2_Entrada]:[TOTAL_ENTRADA]],5,FALSE)-VLOOKUP(TAB_ESTOQUE[[#This Row],[Codigo]],TAB_SAIDA[[COD_2_SAIDA]:[TOTAL_SAIDA]],5,FALSE)</f>
        <v>8</v>
      </c>
      <c r="R928" s="87"/>
      <c r="S928" s="87"/>
      <c r="T928" s="90">
        <v>136</v>
      </c>
      <c r="U928" s="91">
        <f>TAB_ESTOQUE[[#This Row],[Valor Unitario Estimado]]*TAB_ESTOQUE[[#This Row],[Estoque]]</f>
        <v>1088</v>
      </c>
      <c r="V928" s="91"/>
      <c r="W928" s="85"/>
      <c r="X928" s="85"/>
      <c r="Y928" s="85"/>
      <c r="Z928" s="85"/>
      <c r="AA928" s="85"/>
      <c r="AB928" s="85" t="str">
        <f>IF(TAB_ESTOQUE[[#This Row],[Estoque]]=0,"Estoque Não Conforme",IF(TAB_ESTOQUE[[#This Row],[Estoque]]&gt;=TAB_ESTOQUE[[#This Row],[Mínimo]],"Estoque Conforme",IF(TAB_ESTOQUE[[#This Row],[Estoque]]&lt;TAB_ESTOQUE[[#This Row],[Mínimo]],"Estoque em Nivel Minimo")))</f>
        <v>Estoque Conforme</v>
      </c>
      <c r="AC928" s="85"/>
      <c r="AD928" s="82"/>
      <c r="AE928" s="82"/>
      <c r="AF928" s="82"/>
    </row>
    <row r="929" spans="1:32" s="47" customFormat="1" ht="15" customHeight="1" x14ac:dyDescent="0.25">
      <c r="A929" s="45">
        <v>1041</v>
      </c>
      <c r="C929" s="46"/>
      <c r="D929" s="45" t="s">
        <v>2274</v>
      </c>
      <c r="E929" s="46"/>
      <c r="F929" s="87"/>
      <c r="G929" s="82"/>
      <c r="H929" s="82"/>
      <c r="I929" s="82" t="s">
        <v>2978</v>
      </c>
      <c r="J929" s="82"/>
      <c r="K929" s="82"/>
      <c r="L929" s="82"/>
      <c r="M929" s="82"/>
      <c r="N929" s="82"/>
      <c r="O929" s="87" t="s">
        <v>6682</v>
      </c>
      <c r="P929" s="82" t="s">
        <v>791</v>
      </c>
      <c r="Q929" s="83">
        <f>VLOOKUP(TAB_ESTOQUE[[#This Row],[Codigo]],TAB_ENTRADA[[Cod_2_Entrada]:[TOTAL_ENTRADA]],5,FALSE)-VLOOKUP(TAB_ESTOQUE[[#This Row],[Codigo]],TAB_SAIDA[[COD_2_SAIDA]:[TOTAL_SAIDA]],5,FALSE)</f>
        <v>0</v>
      </c>
      <c r="R929" s="87"/>
      <c r="S929" s="87"/>
      <c r="T929" s="90"/>
      <c r="U929" s="91">
        <f>TAB_ESTOQUE[[#This Row],[Valor Unitario Estimado]]*TAB_ESTOQUE[[#This Row],[Estoque]]</f>
        <v>0</v>
      </c>
      <c r="V929" s="91"/>
      <c r="W929" s="85"/>
      <c r="X929" s="85"/>
      <c r="Y929" s="85"/>
      <c r="Z929" s="85"/>
      <c r="AA929" s="85"/>
      <c r="AB929" s="85" t="str">
        <f>IF(TAB_ESTOQUE[[#This Row],[Estoque]]=0,"Estoque Não Conforme",IF(TAB_ESTOQUE[[#This Row],[Estoque]]&gt;=TAB_ESTOQUE[[#This Row],[Mínimo]],"Estoque Conforme",IF(TAB_ESTOQUE[[#This Row],[Estoque]]&lt;TAB_ESTOQUE[[#This Row],[Mínimo]],"Estoque em Nivel Minimo")))</f>
        <v>Estoque Não Conforme</v>
      </c>
      <c r="AC929" s="85"/>
      <c r="AD929" s="82"/>
      <c r="AE929" s="94"/>
      <c r="AF929" s="94"/>
    </row>
    <row r="930" spans="1:32" s="106" customFormat="1" ht="15" customHeight="1" x14ac:dyDescent="0.25">
      <c r="A930" s="45">
        <v>708</v>
      </c>
      <c r="B930" s="47"/>
      <c r="C930" s="46"/>
      <c r="D930" s="45" t="s">
        <v>2276</v>
      </c>
      <c r="E930" s="46"/>
      <c r="F930" s="87"/>
      <c r="G930" s="82"/>
      <c r="H930" s="82"/>
      <c r="I930" s="82" t="s">
        <v>8566</v>
      </c>
      <c r="J930" s="82"/>
      <c r="K930" s="82"/>
      <c r="L930" s="82"/>
      <c r="M930" s="82"/>
      <c r="N930" s="82"/>
      <c r="O930" s="87" t="s">
        <v>6683</v>
      </c>
      <c r="P930" s="82" t="s">
        <v>493</v>
      </c>
      <c r="Q930" s="83">
        <f>VLOOKUP(TAB_ESTOQUE[[#This Row],[Codigo]],TAB_ENTRADA[[Cod_2_Entrada]:[TOTAL_ENTRADA]],5,FALSE)-VLOOKUP(TAB_ESTOQUE[[#This Row],[Codigo]],TAB_SAIDA[[COD_2_SAIDA]:[TOTAL_SAIDA]],5,FALSE)</f>
        <v>2</v>
      </c>
      <c r="R930" s="87"/>
      <c r="S930" s="87"/>
      <c r="T930" s="90"/>
      <c r="U930" s="91">
        <f>TAB_ESTOQUE[[#This Row],[Valor Unitario Estimado]]*TAB_ESTOQUE[[#This Row],[Estoque]]</f>
        <v>0</v>
      </c>
      <c r="V930" s="91"/>
      <c r="W930" s="85"/>
      <c r="X930" s="85"/>
      <c r="Y930" s="85"/>
      <c r="Z930" s="85"/>
      <c r="AA930" s="85"/>
      <c r="AB930" s="85" t="str">
        <f>IF(TAB_ESTOQUE[[#This Row],[Estoque]]=0,"Estoque Não Conforme",IF(TAB_ESTOQUE[[#This Row],[Estoque]]&gt;=TAB_ESTOQUE[[#This Row],[Mínimo]],"Estoque Conforme",IF(TAB_ESTOQUE[[#This Row],[Estoque]]&lt;TAB_ESTOQUE[[#This Row],[Mínimo]],"Estoque em Nivel Minimo")))</f>
        <v>Estoque Conforme</v>
      </c>
      <c r="AC930" s="85"/>
      <c r="AD930" s="82"/>
      <c r="AE930" s="95"/>
      <c r="AF930" s="95"/>
    </row>
    <row r="931" spans="1:32" s="47" customFormat="1" ht="15" customHeight="1" x14ac:dyDescent="0.25">
      <c r="A931" s="45">
        <v>728</v>
      </c>
      <c r="C931" s="46" t="s">
        <v>2833</v>
      </c>
      <c r="D931" s="45" t="s">
        <v>2289</v>
      </c>
      <c r="E931" s="46" t="s">
        <v>7</v>
      </c>
      <c r="F931" s="87"/>
      <c r="G931" s="82"/>
      <c r="H931" s="82"/>
      <c r="I931" s="82" t="s">
        <v>6599</v>
      </c>
      <c r="J931" s="82"/>
      <c r="K931" s="82"/>
      <c r="L931" s="82"/>
      <c r="M931" s="82"/>
      <c r="N931" s="82"/>
      <c r="O931" s="87" t="s">
        <v>6683</v>
      </c>
      <c r="P931" s="82" t="s">
        <v>510</v>
      </c>
      <c r="Q931" s="83">
        <f>VLOOKUP(TAB_ESTOQUE[[#This Row],[Codigo]],TAB_ENTRADA[[Cod_2_Entrada]:[TOTAL_ENTRADA]],5,FALSE)-VLOOKUP(TAB_ESTOQUE[[#This Row],[Codigo]],TAB_SAIDA[[COD_2_SAIDA]:[TOTAL_SAIDA]],5,FALSE)</f>
        <v>0</v>
      </c>
      <c r="R931" s="87"/>
      <c r="S931" s="87"/>
      <c r="T931" s="90">
        <v>917</v>
      </c>
      <c r="U931" s="91">
        <f>TAB_ESTOQUE[[#This Row],[Valor Unitario Estimado]]*TAB_ESTOQUE[[#This Row],[Estoque]]</f>
        <v>0</v>
      </c>
      <c r="V931" s="91"/>
      <c r="W931" s="85"/>
      <c r="X931" s="85"/>
      <c r="Y931" s="85"/>
      <c r="Z931" s="85"/>
      <c r="AA931" s="85"/>
      <c r="AB931" s="85" t="str">
        <f>IF(TAB_ESTOQUE[[#This Row],[Estoque]]=0,"Estoque Não Conforme",IF(TAB_ESTOQUE[[#This Row],[Estoque]]&gt;=TAB_ESTOQUE[[#This Row],[Mínimo]],"Estoque Conforme",IF(TAB_ESTOQUE[[#This Row],[Estoque]]&lt;TAB_ESTOQUE[[#This Row],[Mínimo]],"Estoque em Nivel Minimo")))</f>
        <v>Estoque Não Conforme</v>
      </c>
      <c r="AC931" s="85"/>
      <c r="AD931" s="82"/>
      <c r="AE931" s="94"/>
      <c r="AF931" s="94"/>
    </row>
    <row r="932" spans="1:32" s="106" customFormat="1" ht="15" customHeight="1" x14ac:dyDescent="0.25">
      <c r="A932" s="45">
        <v>641</v>
      </c>
      <c r="B932" s="47"/>
      <c r="C932" s="46"/>
      <c r="D932" s="45" t="s">
        <v>2290</v>
      </c>
      <c r="E932" s="46" t="s">
        <v>7</v>
      </c>
      <c r="F932" s="87"/>
      <c r="G932" s="82"/>
      <c r="H932" s="82"/>
      <c r="I932" s="82" t="s">
        <v>6179</v>
      </c>
      <c r="J932" s="82"/>
      <c r="K932" s="82"/>
      <c r="L932" s="82"/>
      <c r="M932" s="82"/>
      <c r="N932" s="82"/>
      <c r="O932" s="87" t="s">
        <v>6683</v>
      </c>
      <c r="P932" s="82" t="s">
        <v>421</v>
      </c>
      <c r="Q932" s="83">
        <f>VLOOKUP(TAB_ESTOQUE[[#This Row],[Codigo]],TAB_ENTRADA[[Cod_2_Entrada]:[TOTAL_ENTRADA]],5,FALSE)-VLOOKUP(TAB_ESTOQUE[[#This Row],[Codigo]],TAB_SAIDA[[COD_2_SAIDA]:[TOTAL_SAIDA]],5,FALSE)</f>
        <v>1</v>
      </c>
      <c r="R932" s="87"/>
      <c r="S932" s="87"/>
      <c r="T932" s="90">
        <v>2085</v>
      </c>
      <c r="U932" s="91">
        <f>TAB_ESTOQUE[[#This Row],[Valor Unitario Estimado]]*TAB_ESTOQUE[[#This Row],[Estoque]]</f>
        <v>2085</v>
      </c>
      <c r="V932" s="91"/>
      <c r="W932" s="85"/>
      <c r="X932" s="85"/>
      <c r="Y932" s="85"/>
      <c r="Z932" s="85"/>
      <c r="AA932" s="85"/>
      <c r="AB932" s="85" t="str">
        <f>IF(TAB_ESTOQUE[[#This Row],[Estoque]]=0,"Estoque Não Conforme",IF(TAB_ESTOQUE[[#This Row],[Estoque]]&gt;=TAB_ESTOQUE[[#This Row],[Mínimo]],"Estoque Conforme",IF(TAB_ESTOQUE[[#This Row],[Estoque]]&lt;TAB_ESTOQUE[[#This Row],[Mínimo]],"Estoque em Nivel Minimo")))</f>
        <v>Estoque Conforme</v>
      </c>
      <c r="AC932" s="85"/>
      <c r="AD932" s="82"/>
      <c r="AE932" s="95"/>
      <c r="AF932" s="95"/>
    </row>
    <row r="933" spans="1:32" s="47" customFormat="1" ht="15" customHeight="1" x14ac:dyDescent="0.25">
      <c r="A933" s="45">
        <v>644</v>
      </c>
      <c r="C933" s="46"/>
      <c r="D933" s="45" t="s">
        <v>2291</v>
      </c>
      <c r="E933" s="46" t="s">
        <v>7</v>
      </c>
      <c r="F933" s="87"/>
      <c r="G933" s="82"/>
      <c r="H933" s="82"/>
      <c r="I933" s="82" t="s">
        <v>8570</v>
      </c>
      <c r="J933" s="82"/>
      <c r="K933" s="82"/>
      <c r="L933" s="82"/>
      <c r="M933" s="82"/>
      <c r="N933" s="82"/>
      <c r="O933" s="87" t="s">
        <v>6683</v>
      </c>
      <c r="P933" s="82" t="s">
        <v>423</v>
      </c>
      <c r="Q933" s="83">
        <f>VLOOKUP(TAB_ESTOQUE[[#This Row],[Codigo]],TAB_ENTRADA[[Cod_2_Entrada]:[TOTAL_ENTRADA]],5,FALSE)-VLOOKUP(TAB_ESTOQUE[[#This Row],[Codigo]],TAB_SAIDA[[COD_2_SAIDA]:[TOTAL_SAIDA]],5,FALSE)</f>
        <v>3</v>
      </c>
      <c r="R933" s="87"/>
      <c r="S933" s="87"/>
      <c r="T933" s="90">
        <v>65</v>
      </c>
      <c r="U933" s="91">
        <f>TAB_ESTOQUE[[#This Row],[Valor Unitario Estimado]]*TAB_ESTOQUE[[#This Row],[Estoque]]</f>
        <v>195</v>
      </c>
      <c r="V933" s="91"/>
      <c r="W933" s="85"/>
      <c r="X933" s="85"/>
      <c r="Y933" s="85"/>
      <c r="Z933" s="85"/>
      <c r="AA933" s="85"/>
      <c r="AB933" s="85" t="str">
        <f>IF(TAB_ESTOQUE[[#This Row],[Estoque]]=0,"Estoque Não Conforme",IF(TAB_ESTOQUE[[#This Row],[Estoque]]&gt;=TAB_ESTOQUE[[#This Row],[Mínimo]],"Estoque Conforme",IF(TAB_ESTOQUE[[#This Row],[Estoque]]&lt;TAB_ESTOQUE[[#This Row],[Mínimo]],"Estoque em Nivel Minimo")))</f>
        <v>Estoque Conforme</v>
      </c>
      <c r="AC933" s="85"/>
      <c r="AD933" s="82"/>
      <c r="AE933" s="94"/>
      <c r="AF933" s="94"/>
    </row>
    <row r="934" spans="1:32" ht="15" customHeight="1" x14ac:dyDescent="0.25">
      <c r="A934" s="45">
        <v>1039</v>
      </c>
      <c r="B934" s="47"/>
      <c r="C934" s="46"/>
      <c r="D934" s="45" t="s">
        <v>2292</v>
      </c>
      <c r="E934" s="46" t="s">
        <v>7</v>
      </c>
      <c r="F934" s="87"/>
      <c r="G934" s="82"/>
      <c r="H934" s="82"/>
      <c r="I934" s="82" t="s">
        <v>8571</v>
      </c>
      <c r="J934" s="82"/>
      <c r="K934" s="82"/>
      <c r="L934" s="82"/>
      <c r="M934" s="82"/>
      <c r="N934" s="82"/>
      <c r="O934" s="87" t="s">
        <v>6683</v>
      </c>
      <c r="P934" s="82" t="s">
        <v>423</v>
      </c>
      <c r="Q934" s="83">
        <f>VLOOKUP(TAB_ESTOQUE[[#This Row],[Codigo]],TAB_ENTRADA[[Cod_2_Entrada]:[TOTAL_ENTRADA]],5,FALSE)-VLOOKUP(TAB_ESTOQUE[[#This Row],[Codigo]],TAB_SAIDA[[COD_2_SAIDA]:[TOTAL_SAIDA]],5,FALSE)</f>
        <v>1</v>
      </c>
      <c r="R934" s="87"/>
      <c r="S934" s="87"/>
      <c r="T934" s="90"/>
      <c r="U934" s="91">
        <f>TAB_ESTOQUE[[#This Row],[Valor Unitario Estimado]]*TAB_ESTOQUE[[#This Row],[Estoque]]</f>
        <v>0</v>
      </c>
      <c r="V934" s="91"/>
      <c r="W934" s="85"/>
      <c r="X934" s="85"/>
      <c r="Y934" s="85"/>
      <c r="Z934" s="85"/>
      <c r="AA934" s="85"/>
      <c r="AB934" s="85" t="str">
        <f>IF(TAB_ESTOQUE[[#This Row],[Estoque]]=0,"Estoque Não Conforme",IF(TAB_ESTOQUE[[#This Row],[Estoque]]&gt;=TAB_ESTOQUE[[#This Row],[Mínimo]],"Estoque Conforme",IF(TAB_ESTOQUE[[#This Row],[Estoque]]&lt;TAB_ESTOQUE[[#This Row],[Mínimo]],"Estoque em Nivel Minimo")))</f>
        <v>Estoque Conforme</v>
      </c>
      <c r="AC934" s="85"/>
      <c r="AD934" s="82"/>
      <c r="AE934" s="82"/>
      <c r="AF934" s="82"/>
    </row>
    <row r="935" spans="1:32" ht="15" customHeight="1" x14ac:dyDescent="0.25">
      <c r="A935" s="106">
        <v>643</v>
      </c>
      <c r="B935" s="106"/>
      <c r="C935" s="116"/>
      <c r="D935" s="106" t="s">
        <v>2293</v>
      </c>
      <c r="E935" s="116" t="s">
        <v>7</v>
      </c>
      <c r="F935" s="118"/>
      <c r="G935" s="95"/>
      <c r="H935" s="95"/>
      <c r="I935" s="95" t="s">
        <v>8572</v>
      </c>
      <c r="J935" s="95"/>
      <c r="K935" s="95"/>
      <c r="L935" s="95"/>
      <c r="M935" s="95"/>
      <c r="N935" s="95"/>
      <c r="O935" s="118" t="s">
        <v>6683</v>
      </c>
      <c r="P935" s="95" t="s">
        <v>422</v>
      </c>
      <c r="Q935" s="154">
        <f>VLOOKUP(TAB_ESTOQUE[[#This Row],[Codigo]],TAB_ENTRADA[[Cod_2_Entrada]:[TOTAL_ENTRADA]],5,FALSE)-VLOOKUP(TAB_ESTOQUE[[#This Row],[Codigo]],TAB_SAIDA[[COD_2_SAIDA]:[TOTAL_SAIDA]],5,FALSE)</f>
        <v>2</v>
      </c>
      <c r="R935" s="118"/>
      <c r="S935" s="118"/>
      <c r="T935" s="119">
        <v>88.46</v>
      </c>
      <c r="U935" s="112">
        <f>TAB_ESTOQUE[[#This Row],[Valor Unitario Estimado]]*TAB_ESTOQUE[[#This Row],[Estoque]]</f>
        <v>176.92</v>
      </c>
      <c r="V935" s="112"/>
      <c r="W935" s="120"/>
      <c r="X935" s="120"/>
      <c r="Y935" s="120"/>
      <c r="Z935" s="120"/>
      <c r="AA935" s="120"/>
      <c r="AB935" s="120" t="str">
        <f>IF(TAB_ESTOQUE[[#This Row],[Estoque]]=0,"Estoque Não Conforme",IF(TAB_ESTOQUE[[#This Row],[Estoque]]&gt;=TAB_ESTOQUE[[#This Row],[Mínimo]],"Estoque Conforme",IF(TAB_ESTOQUE[[#This Row],[Estoque]]&lt;TAB_ESTOQUE[[#This Row],[Mínimo]],"Estoque em Nivel Minimo")))</f>
        <v>Estoque Conforme</v>
      </c>
      <c r="AC935" s="120"/>
      <c r="AD935" s="95"/>
      <c r="AE935" s="82"/>
      <c r="AF935" s="82"/>
    </row>
    <row r="936" spans="1:32" ht="15" customHeight="1" x14ac:dyDescent="0.25">
      <c r="A936" s="45">
        <v>645</v>
      </c>
      <c r="B936" s="47"/>
      <c r="C936" s="46" t="s">
        <v>2838</v>
      </c>
      <c r="D936" s="45" t="s">
        <v>2294</v>
      </c>
      <c r="E936" s="46" t="s">
        <v>7</v>
      </c>
      <c r="F936" s="87"/>
      <c r="G936" s="82"/>
      <c r="H936" s="82"/>
      <c r="I936" s="82" t="s">
        <v>8573</v>
      </c>
      <c r="J936" s="82"/>
      <c r="K936" s="82"/>
      <c r="L936" s="82"/>
      <c r="M936" s="82"/>
      <c r="N936" s="82"/>
      <c r="O936" s="87" t="s">
        <v>6683</v>
      </c>
      <c r="P936" s="82" t="s">
        <v>424</v>
      </c>
      <c r="Q936" s="83">
        <f>VLOOKUP(TAB_ESTOQUE[[#This Row],[Codigo]],TAB_ENTRADA[[Cod_2_Entrada]:[TOTAL_ENTRADA]],5,FALSE)-VLOOKUP(TAB_ESTOQUE[[#This Row],[Codigo]],TAB_SAIDA[[COD_2_SAIDA]:[TOTAL_SAIDA]],5,FALSE)</f>
        <v>2</v>
      </c>
      <c r="R936" s="87"/>
      <c r="S936" s="87"/>
      <c r="T936" s="90">
        <v>36</v>
      </c>
      <c r="U936" s="91">
        <f>TAB_ESTOQUE[[#This Row],[Valor Unitario Estimado]]*TAB_ESTOQUE[[#This Row],[Estoque]]</f>
        <v>72</v>
      </c>
      <c r="V936" s="91"/>
      <c r="W936" s="85"/>
      <c r="X936" s="85"/>
      <c r="Y936" s="85"/>
      <c r="Z936" s="85"/>
      <c r="AA936" s="85"/>
      <c r="AB936" s="85" t="str">
        <f>IF(TAB_ESTOQUE[[#This Row],[Estoque]]=0,"Estoque Não Conforme",IF(TAB_ESTOQUE[[#This Row],[Estoque]]&gt;=TAB_ESTOQUE[[#This Row],[Mínimo]],"Estoque Conforme",IF(TAB_ESTOQUE[[#This Row],[Estoque]]&lt;TAB_ESTOQUE[[#This Row],[Mínimo]],"Estoque em Nivel Minimo")))</f>
        <v>Estoque Conforme</v>
      </c>
      <c r="AC936" s="85"/>
      <c r="AD936" s="82"/>
      <c r="AE936" s="82"/>
      <c r="AF936" s="82"/>
    </row>
    <row r="937" spans="1:32" ht="15" customHeight="1" x14ac:dyDescent="0.25">
      <c r="A937" s="45">
        <v>835</v>
      </c>
      <c r="B937" s="47"/>
      <c r="C937" s="46" t="s">
        <v>2838</v>
      </c>
      <c r="D937" s="45" t="s">
        <v>2295</v>
      </c>
      <c r="E937" s="46" t="s">
        <v>7</v>
      </c>
      <c r="F937" s="87"/>
      <c r="G937" s="82"/>
      <c r="H937" s="82"/>
      <c r="I937" s="82" t="s">
        <v>8574</v>
      </c>
      <c r="J937" s="82"/>
      <c r="K937" s="82"/>
      <c r="L937" s="82"/>
      <c r="M937" s="82"/>
      <c r="N937" s="82"/>
      <c r="O937" s="87" t="s">
        <v>6683</v>
      </c>
      <c r="P937" s="82" t="s">
        <v>623</v>
      </c>
      <c r="Q937" s="83">
        <f>VLOOKUP(TAB_ESTOQUE[[#This Row],[Codigo]],TAB_ENTRADA[[Cod_2_Entrada]:[TOTAL_ENTRADA]],5,FALSE)-VLOOKUP(TAB_ESTOQUE[[#This Row],[Codigo]],TAB_SAIDA[[COD_2_SAIDA]:[TOTAL_SAIDA]],5,FALSE)</f>
        <v>3</v>
      </c>
      <c r="R937" s="87"/>
      <c r="S937" s="87"/>
      <c r="T937" s="90"/>
      <c r="U937" s="91">
        <f>TAB_ESTOQUE[[#This Row],[Valor Unitario Estimado]]*TAB_ESTOQUE[[#This Row],[Estoque]]</f>
        <v>0</v>
      </c>
      <c r="V937" s="91"/>
      <c r="W937" s="85"/>
      <c r="X937" s="85"/>
      <c r="Y937" s="85"/>
      <c r="Z937" s="85"/>
      <c r="AA937" s="85"/>
      <c r="AB937" s="85" t="str">
        <f>IF(TAB_ESTOQUE[[#This Row],[Estoque]]=0,"Estoque Não Conforme",IF(TAB_ESTOQUE[[#This Row],[Estoque]]&gt;=TAB_ESTOQUE[[#This Row],[Mínimo]],"Estoque Conforme",IF(TAB_ESTOQUE[[#This Row],[Estoque]]&lt;TAB_ESTOQUE[[#This Row],[Mínimo]],"Estoque em Nivel Minimo")))</f>
        <v>Estoque Conforme</v>
      </c>
      <c r="AC937" s="85"/>
      <c r="AD937" s="82"/>
      <c r="AE937" s="82"/>
      <c r="AF937" s="82"/>
    </row>
    <row r="938" spans="1:32" s="106" customFormat="1" ht="15" customHeight="1" x14ac:dyDescent="0.25">
      <c r="A938" s="45">
        <v>646</v>
      </c>
      <c r="B938" s="47"/>
      <c r="C938" s="46" t="s">
        <v>2838</v>
      </c>
      <c r="D938" s="45" t="s">
        <v>2296</v>
      </c>
      <c r="E938" s="46" t="s">
        <v>7</v>
      </c>
      <c r="F938" s="87"/>
      <c r="G938" s="82"/>
      <c r="H938" s="82"/>
      <c r="I938" s="82" t="s">
        <v>8575</v>
      </c>
      <c r="J938" s="82"/>
      <c r="K938" s="82"/>
      <c r="L938" s="82"/>
      <c r="M938" s="82"/>
      <c r="N938" s="82"/>
      <c r="O938" s="87" t="s">
        <v>6683</v>
      </c>
      <c r="P938" s="82" t="s">
        <v>427</v>
      </c>
      <c r="Q938" s="83">
        <f>VLOOKUP(TAB_ESTOQUE[[#This Row],[Codigo]],TAB_ENTRADA[[Cod_2_Entrada]:[TOTAL_ENTRADA]],5,FALSE)-VLOOKUP(TAB_ESTOQUE[[#This Row],[Codigo]],TAB_SAIDA[[COD_2_SAIDA]:[TOTAL_SAIDA]],5,FALSE)</f>
        <v>6</v>
      </c>
      <c r="R938" s="87"/>
      <c r="S938" s="87"/>
      <c r="T938" s="90"/>
      <c r="U938" s="91">
        <f>TAB_ESTOQUE[[#This Row],[Valor Unitario Estimado]]*TAB_ESTOQUE[[#This Row],[Estoque]]</f>
        <v>0</v>
      </c>
      <c r="V938" s="91"/>
      <c r="W938" s="85"/>
      <c r="X938" s="85"/>
      <c r="Y938" s="85"/>
      <c r="Z938" s="85"/>
      <c r="AA938" s="85"/>
      <c r="AB938" s="85" t="str">
        <f>IF(TAB_ESTOQUE[[#This Row],[Estoque]]=0,"Estoque Não Conforme",IF(TAB_ESTOQUE[[#This Row],[Estoque]]&gt;=TAB_ESTOQUE[[#This Row],[Mínimo]],"Estoque Conforme",IF(TAB_ESTOQUE[[#This Row],[Estoque]]&lt;TAB_ESTOQUE[[#This Row],[Mínimo]],"Estoque em Nivel Minimo")))</f>
        <v>Estoque Conforme</v>
      </c>
      <c r="AC938" s="85"/>
      <c r="AD938" s="82"/>
      <c r="AE938" s="95"/>
      <c r="AF938" s="95"/>
    </row>
    <row r="939" spans="1:32" s="47" customFormat="1" ht="15" customHeight="1" x14ac:dyDescent="0.25">
      <c r="A939" s="45">
        <v>697</v>
      </c>
      <c r="C939" s="46"/>
      <c r="D939" s="45" t="s">
        <v>2374</v>
      </c>
      <c r="E939" s="46" t="s">
        <v>7</v>
      </c>
      <c r="F939" s="87"/>
      <c r="G939" s="82"/>
      <c r="H939" s="82"/>
      <c r="I939" s="82" t="s">
        <v>8598</v>
      </c>
      <c r="J939" s="82"/>
      <c r="K939" s="82"/>
      <c r="L939" s="82"/>
      <c r="M939" s="82"/>
      <c r="N939" s="82"/>
      <c r="O939" s="87" t="s">
        <v>6683</v>
      </c>
      <c r="P939" s="82" t="s">
        <v>483</v>
      </c>
      <c r="Q939" s="83">
        <f>VLOOKUP(TAB_ESTOQUE[[#This Row],[Codigo]],TAB_ENTRADA[[Cod_2_Entrada]:[TOTAL_ENTRADA]],5,FALSE)-VLOOKUP(TAB_ESTOQUE[[#This Row],[Codigo]],TAB_SAIDA[[COD_2_SAIDA]:[TOTAL_SAIDA]],5,FALSE)</f>
        <v>3</v>
      </c>
      <c r="R939" s="87"/>
      <c r="S939" s="87"/>
      <c r="T939" s="90">
        <v>42.3</v>
      </c>
      <c r="U939" s="91">
        <f>TAB_ESTOQUE[[#This Row],[Valor Unitario Estimado]]*TAB_ESTOQUE[[#This Row],[Estoque]]</f>
        <v>126.89999999999999</v>
      </c>
      <c r="V939" s="91"/>
      <c r="W939" s="85"/>
      <c r="X939" s="85"/>
      <c r="Y939" s="85"/>
      <c r="Z939" s="85"/>
      <c r="AA939" s="85"/>
      <c r="AB939" s="85" t="str">
        <f>IF(TAB_ESTOQUE[[#This Row],[Estoque]]=0,"Estoque Não Conforme",IF(TAB_ESTOQUE[[#This Row],[Estoque]]&gt;=TAB_ESTOQUE[[#This Row],[Mínimo]],"Estoque Conforme",IF(TAB_ESTOQUE[[#This Row],[Estoque]]&lt;TAB_ESTOQUE[[#This Row],[Mínimo]],"Estoque em Nivel Minimo")))</f>
        <v>Estoque Conforme</v>
      </c>
      <c r="AC939" s="85"/>
      <c r="AD939" s="82"/>
      <c r="AE939" s="94"/>
      <c r="AF939" s="94"/>
    </row>
    <row r="940" spans="1:32" ht="15" customHeight="1" x14ac:dyDescent="0.25">
      <c r="A940" s="45">
        <v>698</v>
      </c>
      <c r="B940" s="47"/>
      <c r="C940" s="46"/>
      <c r="D940" s="45" t="s">
        <v>2375</v>
      </c>
      <c r="E940" s="46" t="s">
        <v>7</v>
      </c>
      <c r="F940" s="87"/>
      <c r="G940" s="82"/>
      <c r="H940" s="82"/>
      <c r="I940" s="82" t="s">
        <v>8599</v>
      </c>
      <c r="J940" s="82"/>
      <c r="K940" s="82"/>
      <c r="L940" s="82"/>
      <c r="M940" s="82"/>
      <c r="N940" s="82"/>
      <c r="O940" s="87" t="s">
        <v>6683</v>
      </c>
      <c r="P940" s="82" t="s">
        <v>484</v>
      </c>
      <c r="Q940" s="83">
        <f>VLOOKUP(TAB_ESTOQUE[[#This Row],[Codigo]],TAB_ENTRADA[[Cod_2_Entrada]:[TOTAL_ENTRADA]],5,FALSE)-VLOOKUP(TAB_ESTOQUE[[#This Row],[Codigo]],TAB_SAIDA[[COD_2_SAIDA]:[TOTAL_SAIDA]],5,FALSE)</f>
        <v>7</v>
      </c>
      <c r="R940" s="87"/>
      <c r="S940" s="87"/>
      <c r="T940" s="90">
        <v>132</v>
      </c>
      <c r="U940" s="91">
        <f>TAB_ESTOQUE[[#This Row],[Valor Unitario Estimado]]*TAB_ESTOQUE[[#This Row],[Estoque]]</f>
        <v>924</v>
      </c>
      <c r="V940" s="91"/>
      <c r="W940" s="85"/>
      <c r="X940" s="85"/>
      <c r="Y940" s="85"/>
      <c r="Z940" s="85"/>
      <c r="AA940" s="85"/>
      <c r="AB940" s="85" t="str">
        <f>IF(TAB_ESTOQUE[[#This Row],[Estoque]]=0,"Estoque Não Conforme",IF(TAB_ESTOQUE[[#This Row],[Estoque]]&gt;=TAB_ESTOQUE[[#This Row],[Mínimo]],"Estoque Conforme",IF(TAB_ESTOQUE[[#This Row],[Estoque]]&lt;TAB_ESTOQUE[[#This Row],[Mínimo]],"Estoque em Nivel Minimo")))</f>
        <v>Estoque Conforme</v>
      </c>
      <c r="AC940" s="85"/>
      <c r="AD940" s="82"/>
      <c r="AE940" s="82"/>
      <c r="AF940" s="82"/>
    </row>
    <row r="941" spans="1:32" s="47" customFormat="1" ht="15" customHeight="1" x14ac:dyDescent="0.25">
      <c r="A941" s="45">
        <v>699</v>
      </c>
      <c r="C941" s="46"/>
      <c r="D941" s="45" t="s">
        <v>2376</v>
      </c>
      <c r="E941" s="46" t="s">
        <v>7</v>
      </c>
      <c r="F941" s="87"/>
      <c r="G941" s="82"/>
      <c r="H941" s="82"/>
      <c r="I941" s="82" t="s">
        <v>8600</v>
      </c>
      <c r="J941" s="82"/>
      <c r="K941" s="82"/>
      <c r="L941" s="82"/>
      <c r="M941" s="82"/>
      <c r="N941" s="82"/>
      <c r="O941" s="87" t="s">
        <v>6683</v>
      </c>
      <c r="P941" s="82" t="s">
        <v>485</v>
      </c>
      <c r="Q941" s="83">
        <f>VLOOKUP(TAB_ESTOQUE[[#This Row],[Codigo]],TAB_ENTRADA[[Cod_2_Entrada]:[TOTAL_ENTRADA]],5,FALSE)-VLOOKUP(TAB_ESTOQUE[[#This Row],[Codigo]],TAB_SAIDA[[COD_2_SAIDA]:[TOTAL_SAIDA]],5,FALSE)</f>
        <v>6</v>
      </c>
      <c r="R941" s="87"/>
      <c r="S941" s="87"/>
      <c r="T941" s="90">
        <v>100</v>
      </c>
      <c r="U941" s="91">
        <f>TAB_ESTOQUE[[#This Row],[Valor Unitario Estimado]]*TAB_ESTOQUE[[#This Row],[Estoque]]</f>
        <v>600</v>
      </c>
      <c r="V941" s="91"/>
      <c r="W941" s="85"/>
      <c r="X941" s="85"/>
      <c r="Y941" s="85"/>
      <c r="Z941" s="85"/>
      <c r="AA941" s="85"/>
      <c r="AB941" s="85" t="str">
        <f>IF(TAB_ESTOQUE[[#This Row],[Estoque]]=0,"Estoque Não Conforme",IF(TAB_ESTOQUE[[#This Row],[Estoque]]&gt;=TAB_ESTOQUE[[#This Row],[Mínimo]],"Estoque Conforme",IF(TAB_ESTOQUE[[#This Row],[Estoque]]&lt;TAB_ESTOQUE[[#This Row],[Mínimo]],"Estoque em Nivel Minimo")))</f>
        <v>Estoque Conforme</v>
      </c>
      <c r="AC941" s="85"/>
      <c r="AD941" s="82"/>
      <c r="AE941" s="94"/>
      <c r="AF941" s="94"/>
    </row>
    <row r="942" spans="1:32" s="106" customFormat="1" ht="15" customHeight="1" x14ac:dyDescent="0.25">
      <c r="A942" s="45">
        <v>1322</v>
      </c>
      <c r="B942" s="47"/>
      <c r="C942" s="46"/>
      <c r="D942" s="45" t="s">
        <v>2378</v>
      </c>
      <c r="E942" s="46" t="s">
        <v>7</v>
      </c>
      <c r="F942" s="87"/>
      <c r="G942" s="82"/>
      <c r="H942" s="82"/>
      <c r="I942" s="82" t="s">
        <v>8601</v>
      </c>
      <c r="J942" s="82"/>
      <c r="K942" s="82"/>
      <c r="L942" s="82"/>
      <c r="M942" s="82"/>
      <c r="N942" s="82"/>
      <c r="O942" s="87" t="s">
        <v>6683</v>
      </c>
      <c r="P942" s="82" t="s">
        <v>1056</v>
      </c>
      <c r="Q942" s="83">
        <f>VLOOKUP(TAB_ESTOQUE[[#This Row],[Codigo]],TAB_ENTRADA[[Cod_2_Entrada]:[TOTAL_ENTRADA]],5,FALSE)-VLOOKUP(TAB_ESTOQUE[[#This Row],[Codigo]],TAB_SAIDA[[COD_2_SAIDA]:[TOTAL_SAIDA]],5,FALSE)</f>
        <v>10</v>
      </c>
      <c r="R942" s="87"/>
      <c r="S942" s="87"/>
      <c r="T942" s="90"/>
      <c r="U942" s="91">
        <f>TAB_ESTOQUE[[#This Row],[Valor Unitario Estimado]]*TAB_ESTOQUE[[#This Row],[Estoque]]</f>
        <v>0</v>
      </c>
      <c r="V942" s="91"/>
      <c r="W942" s="85"/>
      <c r="X942" s="85"/>
      <c r="Y942" s="85"/>
      <c r="Z942" s="85"/>
      <c r="AA942" s="85"/>
      <c r="AB942" s="85" t="str">
        <f>IF(TAB_ESTOQUE[[#This Row],[Estoque]]=0,"Estoque Não Conforme",IF(TAB_ESTOQUE[[#This Row],[Estoque]]&gt;=TAB_ESTOQUE[[#This Row],[Mínimo]],"Estoque Conforme",IF(TAB_ESTOQUE[[#This Row],[Estoque]]&lt;TAB_ESTOQUE[[#This Row],[Mínimo]],"Estoque em Nivel Minimo")))</f>
        <v>Estoque Conforme</v>
      </c>
      <c r="AC942" s="85"/>
      <c r="AD942" s="82"/>
      <c r="AE942" s="95"/>
      <c r="AF942" s="95"/>
    </row>
    <row r="943" spans="1:32" ht="15" customHeight="1" x14ac:dyDescent="0.25">
      <c r="A943" s="106">
        <v>674</v>
      </c>
      <c r="B943" s="106"/>
      <c r="C943" s="116"/>
      <c r="D943" s="106" t="s">
        <v>2389</v>
      </c>
      <c r="E943" s="116"/>
      <c r="F943" s="118"/>
      <c r="G943" s="95"/>
      <c r="H943" s="95"/>
      <c r="I943" s="95" t="s">
        <v>8606</v>
      </c>
      <c r="J943" s="95"/>
      <c r="K943" s="95"/>
      <c r="L943" s="95"/>
      <c r="M943" s="95"/>
      <c r="N943" s="95"/>
      <c r="O943" s="118" t="s">
        <v>6683</v>
      </c>
      <c r="P943" s="95" t="s">
        <v>457</v>
      </c>
      <c r="Q943" s="154">
        <f>VLOOKUP(TAB_ESTOQUE[[#This Row],[Codigo]],TAB_ENTRADA[[Cod_2_Entrada]:[TOTAL_ENTRADA]],5,FALSE)-VLOOKUP(TAB_ESTOQUE[[#This Row],[Codigo]],TAB_SAIDA[[COD_2_SAIDA]:[TOTAL_SAIDA]],5,FALSE)</f>
        <v>1</v>
      </c>
      <c r="R943" s="118"/>
      <c r="S943" s="118"/>
      <c r="T943" s="119">
        <v>15</v>
      </c>
      <c r="U943" s="112">
        <f>TAB_ESTOQUE[[#This Row],[Valor Unitario Estimado]]*TAB_ESTOQUE[[#This Row],[Estoque]]</f>
        <v>15</v>
      </c>
      <c r="V943" s="112"/>
      <c r="W943" s="120"/>
      <c r="X943" s="120"/>
      <c r="Y943" s="120"/>
      <c r="Z943" s="120"/>
      <c r="AA943" s="120"/>
      <c r="AB943" s="120" t="str">
        <f>IF(TAB_ESTOQUE[[#This Row],[Estoque]]=0,"Estoque Não Conforme",IF(TAB_ESTOQUE[[#This Row],[Estoque]]&gt;=TAB_ESTOQUE[[#This Row],[Mínimo]],"Estoque Conforme",IF(TAB_ESTOQUE[[#This Row],[Estoque]]&lt;TAB_ESTOQUE[[#This Row],[Mínimo]],"Estoque em Nivel Minimo")))</f>
        <v>Estoque Conforme</v>
      </c>
      <c r="AC943" s="120"/>
      <c r="AD943" s="95"/>
      <c r="AE943" s="82"/>
      <c r="AF943" s="82"/>
    </row>
    <row r="944" spans="1:32" ht="15" customHeight="1" x14ac:dyDescent="0.25">
      <c r="B944" s="47"/>
      <c r="C944" s="46"/>
      <c r="D944" s="45" t="s">
        <v>2699</v>
      </c>
      <c r="E944" s="46"/>
      <c r="F944" s="87"/>
      <c r="G944" s="82"/>
      <c r="H944" s="82"/>
      <c r="I944" s="82" t="s">
        <v>8673</v>
      </c>
      <c r="J944" s="82"/>
      <c r="K944" s="82"/>
      <c r="L944" s="82"/>
      <c r="M944" s="82"/>
      <c r="N944" s="82"/>
      <c r="O944" s="87" t="s">
        <v>6683</v>
      </c>
      <c r="P944" s="82" t="s">
        <v>1370</v>
      </c>
      <c r="Q944" s="83">
        <f>VLOOKUP(TAB_ESTOQUE[[#This Row],[Codigo]],TAB_ENTRADA[[Cod_2_Entrada]:[TOTAL_ENTRADA]],5,FALSE)-VLOOKUP(TAB_ESTOQUE[[#This Row],[Codigo]],TAB_SAIDA[[COD_2_SAIDA]:[TOTAL_SAIDA]],5,FALSE)</f>
        <v>3</v>
      </c>
      <c r="R944" s="87"/>
      <c r="S944" s="87"/>
      <c r="T944" s="90"/>
      <c r="U944" s="91">
        <f>TAB_ESTOQUE[[#This Row],[Valor Unitario Estimado]]*TAB_ESTOQUE[[#This Row],[Estoque]]</f>
        <v>0</v>
      </c>
      <c r="V944" s="91"/>
      <c r="W944" s="85"/>
      <c r="X944" s="85"/>
      <c r="Y944" s="85"/>
      <c r="Z944" s="85"/>
      <c r="AA944" s="85"/>
      <c r="AB944" s="96" t="str">
        <f>IF(TAB_ESTOQUE[[#This Row],[Estoque]]=0,"Estoque Não Conforme",IF(TAB_ESTOQUE[[#This Row],[Estoque]]&gt;=TAB_ESTOQUE[[#This Row],[Mínimo]],"Estoque Conforme",IF(TAB_ESTOQUE[[#This Row],[Estoque]]&lt;TAB_ESTOQUE[[#This Row],[Mínimo]],"Estoque em Nivel Minimo")))</f>
        <v>Estoque Conforme</v>
      </c>
      <c r="AC944" s="85"/>
      <c r="AD944" s="82"/>
      <c r="AE944" s="82"/>
      <c r="AF944" s="82"/>
    </row>
    <row r="945" spans="1:32" ht="15" customHeight="1" x14ac:dyDescent="0.25">
      <c r="C945" s="53" t="s">
        <v>2842</v>
      </c>
      <c r="D945" s="45" t="s">
        <v>6805</v>
      </c>
      <c r="E945" s="46"/>
      <c r="F945" s="46"/>
      <c r="I945" s="45" t="s">
        <v>8715</v>
      </c>
      <c r="O945" s="46" t="s">
        <v>6683</v>
      </c>
      <c r="Q945" s="83">
        <f>VLOOKUP(TAB_ESTOQUE[[#This Row],[Codigo]],TAB_ENTRADA[[Cod_2_Entrada]:[TOTAL_ENTRADA]],5,FALSE)-VLOOKUP(TAB_ESTOQUE[[#This Row],[Codigo]],TAB_SAIDA[[COD_2_SAIDA]:[TOTAL_SAIDA]],5,FALSE)</f>
        <v>26</v>
      </c>
      <c r="S945" s="46"/>
      <c r="T945" s="102"/>
      <c r="U945" s="103">
        <f>TAB_ESTOQUE[[#This Row],[Valor Unitario Estimado]]*TAB_ESTOQUE[[#This Row],[Estoque]]</f>
        <v>0</v>
      </c>
      <c r="V945" s="103"/>
      <c r="AB945" s="104" t="str">
        <f>IF(TAB_ESTOQUE[[#This Row],[Estoque]]=0,"Estoque Não Conforme",IF(TAB_ESTOQUE[[#This Row],[Estoque]]&gt;=TAB_ESTOQUE[[#This Row],[Mínimo]],"Estoque Conforme",IF(TAB_ESTOQUE[[#This Row],[Estoque]]&lt;TAB_ESTOQUE[[#This Row],[Mínimo]],"Estoque em Nivel Minimo")))</f>
        <v>Estoque Conforme</v>
      </c>
      <c r="AC945" s="104"/>
      <c r="AE945" s="82"/>
      <c r="AF945" s="82"/>
    </row>
    <row r="946" spans="1:32" ht="15" customHeight="1" x14ac:dyDescent="0.25">
      <c r="C946" s="53" t="s">
        <v>2842</v>
      </c>
      <c r="D946" s="45" t="s">
        <v>6839</v>
      </c>
      <c r="E946" s="46"/>
      <c r="F946" s="46"/>
      <c r="I946" s="45" t="s">
        <v>8718</v>
      </c>
      <c r="O946" s="46" t="s">
        <v>6686</v>
      </c>
      <c r="Q946" s="137">
        <f>VLOOKUP(TAB_ESTOQUE[[#This Row],[Codigo]],TAB_ENTRADA[[Cod_2_Entrada]:[TOTAL_ENTRADA]],5,FALSE)-VLOOKUP(TAB_ESTOQUE[[#This Row],[Codigo]],TAB_SAIDA[[COD_2_SAIDA]:[TOTAL_SAIDA]],5,FALSE)</f>
        <v>59</v>
      </c>
      <c r="S946" s="46"/>
      <c r="T946" s="102">
        <v>36</v>
      </c>
      <c r="U946" s="103">
        <f>TAB_ESTOQUE[[#This Row],[Valor Unitario Estimado]]*TAB_ESTOQUE[[#This Row],[Estoque]]</f>
        <v>2124</v>
      </c>
      <c r="V946" s="103"/>
      <c r="AA946" s="138"/>
      <c r="AB946" s="104" t="str">
        <f>IF(TAB_ESTOQUE[[#This Row],[Estoque]]=0,"Estoque Não Conforme",IF(TAB_ESTOQUE[[#This Row],[Estoque]]&gt;=TAB_ESTOQUE[[#This Row],[Mínimo]],"Estoque Conforme",IF(TAB_ESTOQUE[[#This Row],[Estoque]]&lt;TAB_ESTOQUE[[#This Row],[Mínimo]],"Estoque em Nivel Minimo")))</f>
        <v>Estoque Conforme</v>
      </c>
      <c r="AC946" s="104"/>
      <c r="AE946" s="82"/>
      <c r="AF946" s="82"/>
    </row>
    <row r="947" spans="1:32" ht="15" customHeight="1" x14ac:dyDescent="0.25">
      <c r="C947" s="48"/>
      <c r="D947" s="45" t="s">
        <v>6938</v>
      </c>
      <c r="E947" s="46" t="s">
        <v>7267</v>
      </c>
      <c r="F947" s="46"/>
      <c r="I947" s="45" t="s">
        <v>8721</v>
      </c>
      <c r="O947" s="46" t="s">
        <v>6686</v>
      </c>
      <c r="Q947" s="137">
        <f>VLOOKUP(TAB_ESTOQUE[[#This Row],[Codigo]],TAB_ENTRADA[[Cod_2_Entrada]:[TOTAL_ENTRADA]],5,FALSE)-VLOOKUP(TAB_ESTOQUE[[#This Row],[Codigo]],TAB_SAIDA[[COD_2_SAIDA]:[TOTAL_SAIDA]],5,FALSE)</f>
        <v>2</v>
      </c>
      <c r="S947" s="46"/>
      <c r="T947" s="102">
        <v>32</v>
      </c>
      <c r="U947" s="103">
        <f>TAB_ESTOQUE[[#This Row],[Valor Unitario Estimado]]*TAB_ESTOQUE[[#This Row],[Estoque]]</f>
        <v>64</v>
      </c>
      <c r="V947" s="103"/>
      <c r="AA947" s="138"/>
      <c r="AB947" s="104" t="str">
        <f>IF(TAB_ESTOQUE[[#This Row],[Estoque]]=0,"Estoque Não Conforme",IF(TAB_ESTOQUE[[#This Row],[Estoque]]&gt;=TAB_ESTOQUE[[#This Row],[Mínimo]],"Estoque Conforme",IF(TAB_ESTOQUE[[#This Row],[Estoque]]&lt;TAB_ESTOQUE[[#This Row],[Mínimo]],"Estoque em Nivel Minimo")))</f>
        <v>Estoque Conforme</v>
      </c>
      <c r="AC947" s="104"/>
      <c r="AE947" s="82"/>
      <c r="AF947" s="82"/>
    </row>
    <row r="948" spans="1:32" ht="15" customHeight="1" x14ac:dyDescent="0.25">
      <c r="C948" s="48"/>
      <c r="D948" s="45" t="s">
        <v>7738</v>
      </c>
      <c r="E948" s="46"/>
      <c r="F948" s="46"/>
      <c r="I948" s="45" t="s">
        <v>8782</v>
      </c>
      <c r="O948" s="46" t="s">
        <v>6686</v>
      </c>
      <c r="Q948" s="137">
        <f>VLOOKUP(TAB_ESTOQUE[[#This Row],[Codigo]],TAB_ENTRADA[[Cod_2_Entrada]:[TOTAL_ENTRADA]],5,FALSE)-VLOOKUP(TAB_ESTOQUE[[#This Row],[Codigo]],TAB_SAIDA[[COD_2_SAIDA]:[TOTAL_SAIDA]],5,FALSE)</f>
        <v>3</v>
      </c>
      <c r="S948" s="46"/>
      <c r="T948" s="102">
        <v>432.75</v>
      </c>
      <c r="U948" s="103">
        <f>TAB_ESTOQUE[[#This Row],[Valor Unitario Estimado]]*TAB_ESTOQUE[[#This Row],[Estoque]]</f>
        <v>1298.25</v>
      </c>
      <c r="V948" s="103"/>
      <c r="AA948" s="138"/>
      <c r="AB948" s="104" t="str">
        <f>IF(TAB_ESTOQUE[[#This Row],[Estoque]]=0,"Estoque Não Conforme",IF(TAB_ESTOQUE[[#This Row],[Estoque]]&gt;=TAB_ESTOQUE[[#This Row],[Mínimo]],"Estoque Conforme",IF(TAB_ESTOQUE[[#This Row],[Estoque]]&lt;TAB_ESTOQUE[[#This Row],[Mínimo]],"Estoque em Nivel Minimo")))</f>
        <v>Estoque Conforme</v>
      </c>
      <c r="AC948" s="104"/>
      <c r="AE948" s="82"/>
      <c r="AF948" s="82"/>
    </row>
    <row r="949" spans="1:32" ht="15" customHeight="1" x14ac:dyDescent="0.25">
      <c r="C949" s="48"/>
      <c r="D949" s="45" t="s">
        <v>7106</v>
      </c>
      <c r="E949" s="46"/>
      <c r="F949" s="46"/>
      <c r="I949" s="45" t="s">
        <v>7553</v>
      </c>
      <c r="O949" s="46" t="s">
        <v>6684</v>
      </c>
      <c r="Q949" s="137">
        <f>VLOOKUP(TAB_ESTOQUE[[#This Row],[Codigo]],TAB_ENTRADA[[Cod_2_Entrada]:[TOTAL_ENTRADA]],5,FALSE)-VLOOKUP(TAB_ESTOQUE[[#This Row],[Codigo]],TAB_SAIDA[[COD_2_SAIDA]:[TOTAL_SAIDA]],5,FALSE)</f>
        <v>2</v>
      </c>
      <c r="S949" s="46"/>
      <c r="T949" s="102">
        <v>391</v>
      </c>
      <c r="U949" s="103">
        <f>TAB_ESTOQUE[[#This Row],[Valor Unitario Estimado]]*TAB_ESTOQUE[[#This Row],[Estoque]]</f>
        <v>782</v>
      </c>
      <c r="V949" s="103"/>
      <c r="AA949" s="138"/>
      <c r="AB949" s="104" t="str">
        <f>IF(TAB_ESTOQUE[[#This Row],[Estoque]]=0,"Estoque Não Conforme",IF(TAB_ESTOQUE[[#This Row],[Estoque]]&gt;=TAB_ESTOQUE[[#This Row],[Mínimo]],"Estoque Conforme",IF(TAB_ESTOQUE[[#This Row],[Estoque]]&lt;TAB_ESTOQUE[[#This Row],[Mínimo]],"Estoque em Nivel Minimo")))</f>
        <v>Estoque Conforme</v>
      </c>
      <c r="AC949" s="104"/>
      <c r="AE949" s="82"/>
      <c r="AF949" s="82"/>
    </row>
    <row r="950" spans="1:32" ht="15" customHeight="1" x14ac:dyDescent="0.25">
      <c r="A950" s="45">
        <v>1365</v>
      </c>
      <c r="B950" s="47"/>
      <c r="C950" s="46"/>
      <c r="D950" s="45" t="s">
        <v>2388</v>
      </c>
      <c r="E950" s="46" t="s">
        <v>7</v>
      </c>
      <c r="F950" s="87"/>
      <c r="G950" s="82"/>
      <c r="H950" s="82"/>
      <c r="I950" s="82" t="s">
        <v>2999</v>
      </c>
      <c r="J950" s="82"/>
      <c r="K950" s="82"/>
      <c r="L950" s="82"/>
      <c r="M950" s="82"/>
      <c r="N950" s="82"/>
      <c r="O950" s="87" t="s">
        <v>6600</v>
      </c>
      <c r="P950" s="82" t="s">
        <v>1099</v>
      </c>
      <c r="Q950" s="83">
        <f>VLOOKUP(TAB_ESTOQUE[[#This Row],[Codigo]],TAB_ENTRADA[[Cod_2_Entrada]:[TOTAL_ENTRADA]],5,FALSE)-VLOOKUP(TAB_ESTOQUE[[#This Row],[Codigo]],TAB_SAIDA[[COD_2_SAIDA]:[TOTAL_SAIDA]],5,FALSE)</f>
        <v>1</v>
      </c>
      <c r="R950" s="87"/>
      <c r="S950" s="87"/>
      <c r="T950" s="90"/>
      <c r="U950" s="91">
        <f>TAB_ESTOQUE[[#This Row],[Valor Unitario Estimado]]*TAB_ESTOQUE[[#This Row],[Estoque]]</f>
        <v>0</v>
      </c>
      <c r="V950" s="91"/>
      <c r="W950" s="85"/>
      <c r="X950" s="85"/>
      <c r="Y950" s="85"/>
      <c r="Z950" s="85"/>
      <c r="AA950" s="85"/>
      <c r="AB950" s="85" t="str">
        <f>IF(TAB_ESTOQUE[[#This Row],[Estoque]]=0,"Estoque Não Conforme",IF(TAB_ESTOQUE[[#This Row],[Estoque]]&gt;=TAB_ESTOQUE[[#This Row],[Mínimo]],"Estoque Conforme",IF(TAB_ESTOQUE[[#This Row],[Estoque]]&lt;TAB_ESTOQUE[[#This Row],[Mínimo]],"Estoque em Nivel Minimo")))</f>
        <v>Estoque Conforme</v>
      </c>
      <c r="AC950" s="85"/>
      <c r="AD950" s="82"/>
      <c r="AE950" s="82"/>
      <c r="AF950" s="82"/>
    </row>
    <row r="951" spans="1:32" ht="15" customHeight="1" x14ac:dyDescent="0.25">
      <c r="A951" s="45">
        <v>501</v>
      </c>
      <c r="B951" s="47"/>
      <c r="C951" s="46"/>
      <c r="D951" s="45" t="s">
        <v>2095</v>
      </c>
      <c r="E951" s="46" t="s">
        <v>7</v>
      </c>
      <c r="F951" s="87"/>
      <c r="G951" s="82"/>
      <c r="H951" s="82"/>
      <c r="I951" s="82" t="s">
        <v>991</v>
      </c>
      <c r="J951" s="82"/>
      <c r="K951" s="82"/>
      <c r="L951" s="82"/>
      <c r="M951" s="82" t="s">
        <v>139</v>
      </c>
      <c r="N951" s="82"/>
      <c r="O951" s="87" t="s">
        <v>6428</v>
      </c>
      <c r="P951" s="82" t="s">
        <v>283</v>
      </c>
      <c r="Q951" s="83">
        <f>VLOOKUP(TAB_ESTOQUE[[#This Row],[Codigo]],TAB_ENTRADA[[Cod_2_Entrada]:[TOTAL_ENTRADA]],5,FALSE)-VLOOKUP(TAB_ESTOQUE[[#This Row],[Codigo]],TAB_SAIDA[[COD_2_SAIDA]:[TOTAL_SAIDA]],5,FALSE)</f>
        <v>14</v>
      </c>
      <c r="R951" s="87"/>
      <c r="S951" s="87"/>
      <c r="T951" s="90"/>
      <c r="U951" s="91">
        <f>TAB_ESTOQUE[[#This Row],[Valor Unitario Estimado]]*TAB_ESTOQUE[[#This Row],[Estoque]]</f>
        <v>0</v>
      </c>
      <c r="V951" s="91"/>
      <c r="W951" s="85"/>
      <c r="X951" s="85"/>
      <c r="Y951" s="85"/>
      <c r="Z951" s="85"/>
      <c r="AA951" s="85"/>
      <c r="AB951" s="85" t="str">
        <f>IF(TAB_ESTOQUE[[#This Row],[Estoque]]=0,"Estoque Não Conforme",IF(TAB_ESTOQUE[[#This Row],[Estoque]]&gt;=TAB_ESTOQUE[[#This Row],[Mínimo]],"Estoque Conforme",IF(TAB_ESTOQUE[[#This Row],[Estoque]]&lt;TAB_ESTOQUE[[#This Row],[Mínimo]],"Estoque em Nivel Minimo")))</f>
        <v>Estoque Conforme</v>
      </c>
      <c r="AC951" s="85"/>
      <c r="AD951" s="82"/>
      <c r="AE951" s="82"/>
      <c r="AF951" s="82"/>
    </row>
    <row r="952" spans="1:32" ht="15" customHeight="1" x14ac:dyDescent="0.25">
      <c r="A952" s="45">
        <v>481</v>
      </c>
      <c r="B952" s="47"/>
      <c r="C952" s="46"/>
      <c r="D952" s="45" t="s">
        <v>2111</v>
      </c>
      <c r="E952" s="46" t="s">
        <v>7</v>
      </c>
      <c r="F952" s="87"/>
      <c r="G952" s="82"/>
      <c r="H952" s="82"/>
      <c r="I952" s="82" t="s">
        <v>6427</v>
      </c>
      <c r="J952" s="82"/>
      <c r="K952" s="82"/>
      <c r="L952" s="82"/>
      <c r="M952" s="82" t="s">
        <v>139</v>
      </c>
      <c r="N952" s="82"/>
      <c r="O952" s="87" t="s">
        <v>6428</v>
      </c>
      <c r="P952" s="82" t="s">
        <v>262</v>
      </c>
      <c r="Q952" s="83">
        <f>VLOOKUP(TAB_ESTOQUE[[#This Row],[Codigo]],TAB_ENTRADA[[Cod_2_Entrada]:[TOTAL_ENTRADA]],5,FALSE)-VLOOKUP(TAB_ESTOQUE[[#This Row],[Codigo]],TAB_SAIDA[[COD_2_SAIDA]:[TOTAL_SAIDA]],5,FALSE)</f>
        <v>26</v>
      </c>
      <c r="R952" s="87"/>
      <c r="S952" s="87"/>
      <c r="T952" s="90"/>
      <c r="U952" s="91">
        <f>TAB_ESTOQUE[[#This Row],[Valor Unitario Estimado]]*TAB_ESTOQUE[[#This Row],[Estoque]]</f>
        <v>0</v>
      </c>
      <c r="V952" s="91"/>
      <c r="W952" s="85"/>
      <c r="X952" s="85"/>
      <c r="Y952" s="85"/>
      <c r="Z952" s="85"/>
      <c r="AA952" s="85"/>
      <c r="AB952" s="85" t="str">
        <f>IF(TAB_ESTOQUE[[#This Row],[Estoque]]=0,"Estoque Não Conforme",IF(TAB_ESTOQUE[[#This Row],[Estoque]]&gt;=TAB_ESTOQUE[[#This Row],[Mínimo]],"Estoque Conforme",IF(TAB_ESTOQUE[[#This Row],[Estoque]]&lt;TAB_ESTOQUE[[#This Row],[Mínimo]],"Estoque em Nivel Minimo")))</f>
        <v>Estoque Conforme</v>
      </c>
      <c r="AC952" s="85"/>
      <c r="AD952" s="82"/>
      <c r="AE952" s="82"/>
      <c r="AF952" s="82"/>
    </row>
    <row r="953" spans="1:32" ht="15" customHeight="1" x14ac:dyDescent="0.25">
      <c r="A953" s="45">
        <v>189</v>
      </c>
      <c r="B953" s="47"/>
      <c r="C953" s="46" t="s">
        <v>2833</v>
      </c>
      <c r="D953" s="45" t="s">
        <v>2119</v>
      </c>
      <c r="E953" s="46" t="s">
        <v>1324</v>
      </c>
      <c r="F953" s="87"/>
      <c r="G953" s="82"/>
      <c r="H953" s="82"/>
      <c r="I953" s="82" t="s">
        <v>6439</v>
      </c>
      <c r="J953" s="82"/>
      <c r="K953" s="82"/>
      <c r="L953" s="82"/>
      <c r="M953" s="82"/>
      <c r="N953" s="82"/>
      <c r="O953" s="87" t="s">
        <v>6428</v>
      </c>
      <c r="P953" s="82" t="s">
        <v>138</v>
      </c>
      <c r="Q953" s="83">
        <f>VLOOKUP(TAB_ESTOQUE[[#This Row],[Codigo]],TAB_ENTRADA[[Cod_2_Entrada]:[TOTAL_ENTRADA]],5,FALSE)-VLOOKUP(TAB_ESTOQUE[[#This Row],[Codigo]],TAB_SAIDA[[COD_2_SAIDA]:[TOTAL_SAIDA]],5,FALSE)</f>
        <v>4</v>
      </c>
      <c r="R953" s="87"/>
      <c r="S953" s="87"/>
      <c r="T953" s="90"/>
      <c r="U953" s="91">
        <f>TAB_ESTOQUE[[#This Row],[Valor Unitario Estimado]]*TAB_ESTOQUE[[#This Row],[Estoque]]</f>
        <v>0</v>
      </c>
      <c r="V953" s="91"/>
      <c r="W953" s="85"/>
      <c r="X953" s="85"/>
      <c r="Y953" s="85"/>
      <c r="Z953" s="85"/>
      <c r="AA953" s="85"/>
      <c r="AB953" s="85" t="str">
        <f>IF(TAB_ESTOQUE[[#This Row],[Estoque]]=0,"Estoque Não Conforme",IF(TAB_ESTOQUE[[#This Row],[Estoque]]&gt;=TAB_ESTOQUE[[#This Row],[Mínimo]],"Estoque Conforme",IF(TAB_ESTOQUE[[#This Row],[Estoque]]&lt;TAB_ESTOQUE[[#This Row],[Mínimo]],"Estoque em Nivel Minimo")))</f>
        <v>Estoque Conforme</v>
      </c>
      <c r="AC953" s="85"/>
      <c r="AD953" s="82"/>
      <c r="AE953" s="82"/>
      <c r="AF953" s="82"/>
    </row>
    <row r="954" spans="1:32" ht="15" customHeight="1" x14ac:dyDescent="0.25">
      <c r="A954" s="45">
        <v>193</v>
      </c>
      <c r="B954" s="47"/>
      <c r="C954" s="46"/>
      <c r="D954" s="45" t="s">
        <v>2122</v>
      </c>
      <c r="E954" s="46" t="s">
        <v>6826</v>
      </c>
      <c r="F954" s="87"/>
      <c r="G954" s="82"/>
      <c r="H954" s="82"/>
      <c r="I954" s="82" t="s">
        <v>2942</v>
      </c>
      <c r="J954" s="82"/>
      <c r="K954" s="82"/>
      <c r="L954" s="82"/>
      <c r="M954" s="82" t="s">
        <v>139</v>
      </c>
      <c r="N954" s="82"/>
      <c r="O954" s="87" t="s">
        <v>6428</v>
      </c>
      <c r="P954" s="82" t="s">
        <v>142</v>
      </c>
      <c r="Q954" s="83">
        <f>VLOOKUP(TAB_ESTOQUE[[#This Row],[Codigo]],TAB_ENTRADA[[Cod_2_Entrada]:[TOTAL_ENTRADA]],5,FALSE)-VLOOKUP(TAB_ESTOQUE[[#This Row],[Codigo]],TAB_SAIDA[[COD_2_SAIDA]:[TOTAL_SAIDA]],5,FALSE)</f>
        <v>11</v>
      </c>
      <c r="R954" s="87"/>
      <c r="S954" s="87"/>
      <c r="T954" s="90">
        <v>82</v>
      </c>
      <c r="U954" s="91">
        <f>TAB_ESTOQUE[[#This Row],[Valor Unitario Estimado]]*TAB_ESTOQUE[[#This Row],[Estoque]]</f>
        <v>902</v>
      </c>
      <c r="V954" s="91"/>
      <c r="W954" s="85"/>
      <c r="X954" s="85"/>
      <c r="Y954" s="85"/>
      <c r="Z954" s="85"/>
      <c r="AA954" s="85"/>
      <c r="AB954" s="85" t="str">
        <f>IF(TAB_ESTOQUE[[#This Row],[Estoque]]=0,"Estoque Não Conforme",IF(TAB_ESTOQUE[[#This Row],[Estoque]]&gt;=TAB_ESTOQUE[[#This Row],[Mínimo]],"Estoque Conforme",IF(TAB_ESTOQUE[[#This Row],[Estoque]]&lt;TAB_ESTOQUE[[#This Row],[Mínimo]],"Estoque em Nivel Minimo")))</f>
        <v>Estoque Conforme</v>
      </c>
      <c r="AC954" s="85"/>
      <c r="AD954" s="82"/>
      <c r="AE954" s="82"/>
      <c r="AF954" s="82"/>
    </row>
    <row r="955" spans="1:32" ht="15" customHeight="1" x14ac:dyDescent="0.25">
      <c r="A955" s="45">
        <v>195</v>
      </c>
      <c r="B955" s="47"/>
      <c r="C955" s="46"/>
      <c r="D955" s="45" t="s">
        <v>2124</v>
      </c>
      <c r="E955" s="46" t="s">
        <v>6826</v>
      </c>
      <c r="F955" s="87"/>
      <c r="G955" s="82"/>
      <c r="H955" s="82"/>
      <c r="I955" s="82" t="s">
        <v>6440</v>
      </c>
      <c r="J955" s="82"/>
      <c r="K955" s="82"/>
      <c r="L955" s="82"/>
      <c r="M955" s="82"/>
      <c r="N955" s="82"/>
      <c r="O955" s="87" t="s">
        <v>6428</v>
      </c>
      <c r="P955" s="82" t="s">
        <v>145</v>
      </c>
      <c r="Q955" s="83">
        <f>VLOOKUP(TAB_ESTOQUE[[#This Row],[Codigo]],TAB_ENTRADA[[Cod_2_Entrada]:[TOTAL_ENTRADA]],5,FALSE)-VLOOKUP(TAB_ESTOQUE[[#This Row],[Codigo]],TAB_SAIDA[[COD_2_SAIDA]:[TOTAL_SAIDA]],5,FALSE)</f>
        <v>9</v>
      </c>
      <c r="R955" s="87"/>
      <c r="S955" s="87"/>
      <c r="T955" s="90">
        <v>132</v>
      </c>
      <c r="U955" s="91">
        <f>TAB_ESTOQUE[[#This Row],[Valor Unitario Estimado]]*TAB_ESTOQUE[[#This Row],[Estoque]]</f>
        <v>1188</v>
      </c>
      <c r="V955" s="91"/>
      <c r="W955" s="85"/>
      <c r="X955" s="85"/>
      <c r="Y955" s="85"/>
      <c r="Z955" s="85"/>
      <c r="AA955" s="85"/>
      <c r="AB955" s="85" t="str">
        <f>IF(TAB_ESTOQUE[[#This Row],[Estoque]]=0,"Estoque Não Conforme",IF(TAB_ESTOQUE[[#This Row],[Estoque]]&gt;=TAB_ESTOQUE[[#This Row],[Mínimo]],"Estoque Conforme",IF(TAB_ESTOQUE[[#This Row],[Estoque]]&lt;TAB_ESTOQUE[[#This Row],[Mínimo]],"Estoque em Nivel Minimo")))</f>
        <v>Estoque Conforme</v>
      </c>
      <c r="AC955" s="85"/>
      <c r="AD955" s="82"/>
      <c r="AE955" s="82"/>
      <c r="AF955" s="82"/>
    </row>
    <row r="956" spans="1:32" s="106" customFormat="1" ht="15" customHeight="1" x14ac:dyDescent="0.25">
      <c r="A956" s="45">
        <v>251</v>
      </c>
      <c r="B956" s="47"/>
      <c r="C956" s="46"/>
      <c r="D956" s="45" t="s">
        <v>2220</v>
      </c>
      <c r="E956" s="46" t="s">
        <v>6826</v>
      </c>
      <c r="F956" s="87"/>
      <c r="G956" s="82"/>
      <c r="H956" s="82"/>
      <c r="I956" s="82" t="s">
        <v>2964</v>
      </c>
      <c r="J956" s="82"/>
      <c r="K956" s="82"/>
      <c r="L956" s="82"/>
      <c r="M956" s="82" t="s">
        <v>139</v>
      </c>
      <c r="N956" s="82"/>
      <c r="O956" s="87" t="s">
        <v>6428</v>
      </c>
      <c r="P956" s="82" t="s">
        <v>194</v>
      </c>
      <c r="Q956" s="83">
        <f>VLOOKUP(TAB_ESTOQUE[[#This Row],[Codigo]],TAB_ENTRADA[[Cod_2_Entrada]:[TOTAL_ENTRADA]],5,FALSE)-VLOOKUP(TAB_ESTOQUE[[#This Row],[Codigo]],TAB_SAIDA[[COD_2_SAIDA]:[TOTAL_SAIDA]],5,FALSE)</f>
        <v>24</v>
      </c>
      <c r="R956" s="87"/>
      <c r="S956" s="87"/>
      <c r="T956" s="90">
        <v>192</v>
      </c>
      <c r="U956" s="91">
        <f>TAB_ESTOQUE[[#This Row],[Valor Unitario Estimado]]*TAB_ESTOQUE[[#This Row],[Estoque]]</f>
        <v>4608</v>
      </c>
      <c r="V956" s="91"/>
      <c r="W956" s="85"/>
      <c r="X956" s="85"/>
      <c r="Y956" s="85"/>
      <c r="Z956" s="85"/>
      <c r="AA956" s="85"/>
      <c r="AB956" s="85" t="str">
        <f>IF(TAB_ESTOQUE[[#This Row],[Estoque]]=0,"Estoque Não Conforme",IF(TAB_ESTOQUE[[#This Row],[Estoque]]&gt;=TAB_ESTOQUE[[#This Row],[Mínimo]],"Estoque Conforme",IF(TAB_ESTOQUE[[#This Row],[Estoque]]&lt;TAB_ESTOQUE[[#This Row],[Mínimo]],"Estoque em Nivel Minimo")))</f>
        <v>Estoque Conforme</v>
      </c>
      <c r="AC956" s="85"/>
      <c r="AD956" s="82"/>
      <c r="AE956" s="95"/>
      <c r="AF956" s="95"/>
    </row>
    <row r="957" spans="1:32" s="47" customFormat="1" ht="15" customHeight="1" x14ac:dyDescent="0.25">
      <c r="A957" s="45"/>
      <c r="C957" s="53" t="s">
        <v>2842</v>
      </c>
      <c r="D957" s="45" t="s">
        <v>3090</v>
      </c>
      <c r="E957" s="46"/>
      <c r="F957" s="87"/>
      <c r="G957" s="82"/>
      <c r="H957" s="82"/>
      <c r="I957" s="82" t="s">
        <v>6429</v>
      </c>
      <c r="J957" s="82"/>
      <c r="K957" s="82"/>
      <c r="L957" s="82"/>
      <c r="M957" s="82"/>
      <c r="N957" s="82"/>
      <c r="O957" s="87" t="s">
        <v>6428</v>
      </c>
      <c r="P957" s="82" t="s">
        <v>3093</v>
      </c>
      <c r="Q957" s="83">
        <f>VLOOKUP(TAB_ESTOQUE[[#This Row],[Codigo]],TAB_ENTRADA[[Cod_2_Entrada]:[TOTAL_ENTRADA]],5,FALSE)-VLOOKUP(TAB_ESTOQUE[[#This Row],[Codigo]],TAB_SAIDA[[COD_2_SAIDA]:[TOTAL_SAIDA]],5,FALSE)</f>
        <v>21</v>
      </c>
      <c r="R957" s="87"/>
      <c r="S957" s="87"/>
      <c r="T957" s="90"/>
      <c r="U957" s="91">
        <f>TAB_ESTOQUE[[#This Row],[Valor Unitario Estimado]]*TAB_ESTOQUE[[#This Row],[Estoque]]</f>
        <v>0</v>
      </c>
      <c r="V957" s="91"/>
      <c r="W957" s="85"/>
      <c r="X957" s="85"/>
      <c r="Y957" s="85"/>
      <c r="Z957" s="85"/>
      <c r="AA957" s="85"/>
      <c r="AB957" s="85" t="str">
        <f>IF(TAB_ESTOQUE[[#This Row],[Estoque]]=0,"Estoque Não Conforme",IF(TAB_ESTOQUE[[#This Row],[Estoque]]&gt;=TAB_ESTOQUE[[#This Row],[Mínimo]],"Estoque Conforme",IF(TAB_ESTOQUE[[#This Row],[Estoque]]&lt;TAB_ESTOQUE[[#This Row],[Mínimo]],"Estoque em Nivel Minimo")))</f>
        <v>Estoque Conforme</v>
      </c>
      <c r="AC957" s="96"/>
      <c r="AD957" s="82"/>
      <c r="AE957" s="94"/>
      <c r="AF957" s="94"/>
    </row>
    <row r="958" spans="1:32" ht="15" customHeight="1" x14ac:dyDescent="0.25">
      <c r="B958" s="47"/>
      <c r="C958" s="53" t="s">
        <v>2838</v>
      </c>
      <c r="D958" s="45" t="s">
        <v>3092</v>
      </c>
      <c r="E958" s="46"/>
      <c r="F958" s="87"/>
      <c r="G958" s="82"/>
      <c r="H958" s="82"/>
      <c r="I958" s="82" t="s">
        <v>6431</v>
      </c>
      <c r="J958" s="82"/>
      <c r="K958" s="82"/>
      <c r="L958" s="82"/>
      <c r="M958" s="82"/>
      <c r="N958" s="82"/>
      <c r="O958" s="87" t="s">
        <v>6428</v>
      </c>
      <c r="P958" s="82" t="s">
        <v>3096</v>
      </c>
      <c r="Q958" s="83">
        <f>VLOOKUP(TAB_ESTOQUE[[#This Row],[Codigo]],TAB_ENTRADA[[Cod_2_Entrada]:[TOTAL_ENTRADA]],5,FALSE)-VLOOKUP(TAB_ESTOQUE[[#This Row],[Codigo]],TAB_SAIDA[[COD_2_SAIDA]:[TOTAL_SAIDA]],5,FALSE)</f>
        <v>6</v>
      </c>
      <c r="R958" s="87"/>
      <c r="S958" s="87"/>
      <c r="T958" s="90"/>
      <c r="U958" s="91">
        <f>TAB_ESTOQUE[[#This Row],[Valor Unitario Estimado]]*TAB_ESTOQUE[[#This Row],[Estoque]]</f>
        <v>0</v>
      </c>
      <c r="V958" s="91"/>
      <c r="W958" s="85"/>
      <c r="X958" s="85"/>
      <c r="Y958" s="85"/>
      <c r="Z958" s="85"/>
      <c r="AA958" s="85"/>
      <c r="AB958" s="96" t="str">
        <f>IF(TAB_ESTOQUE[[#This Row],[Estoque]]=0,"Estoque Não Conforme",IF(TAB_ESTOQUE[[#This Row],[Estoque]]&gt;=TAB_ESTOQUE[[#This Row],[Mínimo]],"Estoque Conforme",IF(TAB_ESTOQUE[[#This Row],[Estoque]]&lt;TAB_ESTOQUE[[#This Row],[Mínimo]],"Estoque em Nivel Minimo")))</f>
        <v>Estoque Conforme</v>
      </c>
      <c r="AC958" s="96"/>
      <c r="AD958" s="82"/>
      <c r="AE958" s="82"/>
      <c r="AF958" s="82"/>
    </row>
    <row r="959" spans="1:32" s="47" customFormat="1" ht="15" customHeight="1" x14ac:dyDescent="0.25">
      <c r="A959" s="45">
        <v>499</v>
      </c>
      <c r="C959" s="46"/>
      <c r="D959" s="45" t="s">
        <v>2106</v>
      </c>
      <c r="E959" s="46" t="s">
        <v>7</v>
      </c>
      <c r="F959" s="87"/>
      <c r="G959" s="82"/>
      <c r="H959" s="82"/>
      <c r="I959" s="82" t="s">
        <v>6433</v>
      </c>
      <c r="J959" s="82"/>
      <c r="K959" s="82"/>
      <c r="L959" s="82"/>
      <c r="M959" s="82" t="s">
        <v>139</v>
      </c>
      <c r="N959" s="82"/>
      <c r="O959" s="87" t="s">
        <v>6421</v>
      </c>
      <c r="P959" s="82" t="s">
        <v>281</v>
      </c>
      <c r="Q959" s="83">
        <f>VLOOKUP(TAB_ESTOQUE[[#This Row],[Codigo]],TAB_ENTRADA[[Cod_2_Entrada]:[TOTAL_ENTRADA]],5,FALSE)-VLOOKUP(TAB_ESTOQUE[[#This Row],[Codigo]],TAB_SAIDA[[COD_2_SAIDA]:[TOTAL_SAIDA]],5,FALSE)</f>
        <v>3</v>
      </c>
      <c r="R959" s="87"/>
      <c r="S959" s="87"/>
      <c r="T959" s="90"/>
      <c r="U959" s="91">
        <f>TAB_ESTOQUE[[#This Row],[Valor Unitario Estimado]]*TAB_ESTOQUE[[#This Row],[Estoque]]</f>
        <v>0</v>
      </c>
      <c r="V959" s="91"/>
      <c r="W959" s="85"/>
      <c r="X959" s="85"/>
      <c r="Y959" s="85"/>
      <c r="Z959" s="85"/>
      <c r="AA959" s="85"/>
      <c r="AB959" s="85" t="str">
        <f>IF(TAB_ESTOQUE[[#This Row],[Estoque]]=0,"Estoque Não Conforme",IF(TAB_ESTOQUE[[#This Row],[Estoque]]&gt;=TAB_ESTOQUE[[#This Row],[Mínimo]],"Estoque Conforme",IF(TAB_ESTOQUE[[#This Row],[Estoque]]&lt;TAB_ESTOQUE[[#This Row],[Mínimo]],"Estoque em Nivel Minimo")))</f>
        <v>Estoque Conforme</v>
      </c>
      <c r="AC959" s="85"/>
      <c r="AD959" s="82"/>
      <c r="AE959" s="94"/>
      <c r="AF959" s="94"/>
    </row>
    <row r="960" spans="1:32" s="106" customFormat="1" ht="15" customHeight="1" x14ac:dyDescent="0.25">
      <c r="A960" s="45">
        <v>1684</v>
      </c>
      <c r="B960" s="47"/>
      <c r="C960" s="46"/>
      <c r="D960" s="45" t="s">
        <v>2107</v>
      </c>
      <c r="E960" s="46" t="s">
        <v>7</v>
      </c>
      <c r="F960" s="87"/>
      <c r="G960" s="82"/>
      <c r="H960" s="82"/>
      <c r="I960" s="82" t="s">
        <v>2931</v>
      </c>
      <c r="J960" s="82"/>
      <c r="K960" s="82"/>
      <c r="L960" s="82"/>
      <c r="M960" s="82"/>
      <c r="N960" s="82"/>
      <c r="O960" s="87" t="s">
        <v>6421</v>
      </c>
      <c r="P960" s="82" t="s">
        <v>1398</v>
      </c>
      <c r="Q960" s="83">
        <f>VLOOKUP(TAB_ESTOQUE[[#This Row],[Codigo]],TAB_ENTRADA[[Cod_2_Entrada]:[TOTAL_ENTRADA]],5,FALSE)-VLOOKUP(TAB_ESTOQUE[[#This Row],[Codigo]],TAB_SAIDA[[COD_2_SAIDA]:[TOTAL_SAIDA]],5,FALSE)</f>
        <v>4</v>
      </c>
      <c r="R960" s="87"/>
      <c r="S960" s="87"/>
      <c r="T960" s="90">
        <v>100</v>
      </c>
      <c r="U960" s="91">
        <f>TAB_ESTOQUE[[#This Row],[Valor Unitario Estimado]]*TAB_ESTOQUE[[#This Row],[Estoque]]</f>
        <v>400</v>
      </c>
      <c r="V960" s="91"/>
      <c r="W960" s="85"/>
      <c r="X960" s="85"/>
      <c r="Y960" s="85"/>
      <c r="Z960" s="85"/>
      <c r="AA960" s="85"/>
      <c r="AB960" s="85" t="str">
        <f>IF(TAB_ESTOQUE[[#This Row],[Estoque]]=0,"Estoque Não Conforme",IF(TAB_ESTOQUE[[#This Row],[Estoque]]&gt;=TAB_ESTOQUE[[#This Row],[Mínimo]],"Estoque Conforme",IF(TAB_ESTOQUE[[#This Row],[Estoque]]&lt;TAB_ESTOQUE[[#This Row],[Mínimo]],"Estoque em Nivel Minimo")))</f>
        <v>Estoque Conforme</v>
      </c>
      <c r="AC960" s="85"/>
      <c r="AD960" s="82"/>
      <c r="AE960" s="95"/>
      <c r="AF960" s="95"/>
    </row>
    <row r="961" spans="1:32" ht="15" customHeight="1" x14ac:dyDescent="0.25">
      <c r="A961" s="45">
        <v>813</v>
      </c>
      <c r="B961" s="47"/>
      <c r="C961" s="46"/>
      <c r="D961" s="45" t="s">
        <v>2108</v>
      </c>
      <c r="E961" s="46" t="s">
        <v>7</v>
      </c>
      <c r="F961" s="87"/>
      <c r="G961" s="82"/>
      <c r="H961" s="82"/>
      <c r="I961" s="82" t="s">
        <v>8514</v>
      </c>
      <c r="J961" s="82"/>
      <c r="K961" s="82"/>
      <c r="L961" s="82"/>
      <c r="M961" s="82"/>
      <c r="N961" s="82"/>
      <c r="O961" s="87" t="s">
        <v>6421</v>
      </c>
      <c r="P961" s="82" t="s">
        <v>604</v>
      </c>
      <c r="Q961" s="83">
        <f>VLOOKUP(TAB_ESTOQUE[[#This Row],[Codigo]],TAB_ENTRADA[[Cod_2_Entrada]:[TOTAL_ENTRADA]],5,FALSE)-VLOOKUP(TAB_ESTOQUE[[#This Row],[Codigo]],TAB_SAIDA[[COD_2_SAIDA]:[TOTAL_SAIDA]],5,FALSE)</f>
        <v>2</v>
      </c>
      <c r="R961" s="87"/>
      <c r="S961" s="87"/>
      <c r="T961" s="90">
        <v>105.15</v>
      </c>
      <c r="U961" s="91">
        <f>TAB_ESTOQUE[[#This Row],[Valor Unitario Estimado]]*TAB_ESTOQUE[[#This Row],[Estoque]]</f>
        <v>210.3</v>
      </c>
      <c r="V961" s="91"/>
      <c r="W961" s="85"/>
      <c r="X961" s="85"/>
      <c r="Y961" s="85"/>
      <c r="Z961" s="85"/>
      <c r="AA961" s="85"/>
      <c r="AB961" s="85" t="str">
        <f>IF(TAB_ESTOQUE[[#This Row],[Estoque]]=0,"Estoque Não Conforme",IF(TAB_ESTOQUE[[#This Row],[Estoque]]&gt;=TAB_ESTOQUE[[#This Row],[Mínimo]],"Estoque Conforme",IF(TAB_ESTOQUE[[#This Row],[Estoque]]&lt;TAB_ESTOQUE[[#This Row],[Mínimo]],"Estoque em Nivel Minimo")))</f>
        <v>Estoque Conforme</v>
      </c>
      <c r="AC961" s="85"/>
      <c r="AD961" s="82"/>
      <c r="AE961" s="82"/>
      <c r="AF961" s="82"/>
    </row>
    <row r="962" spans="1:32" ht="15" customHeight="1" x14ac:dyDescent="0.25">
      <c r="A962" s="45">
        <v>1265</v>
      </c>
      <c r="B962" s="47"/>
      <c r="C962" s="46"/>
      <c r="D962" s="45" t="s">
        <v>2109</v>
      </c>
      <c r="E962" s="46" t="s">
        <v>1324</v>
      </c>
      <c r="F962" s="87"/>
      <c r="G962" s="82"/>
      <c r="H962" s="82"/>
      <c r="I962" s="82" t="s">
        <v>8103</v>
      </c>
      <c r="J962" s="82"/>
      <c r="K962" s="82"/>
      <c r="L962" s="82"/>
      <c r="M962" s="82" t="s">
        <v>139</v>
      </c>
      <c r="N962" s="82"/>
      <c r="O962" s="87" t="s">
        <v>6421</v>
      </c>
      <c r="P962" s="82" t="s">
        <v>992</v>
      </c>
      <c r="Q962" s="83">
        <f>VLOOKUP(TAB_ESTOQUE[[#This Row],[Codigo]],TAB_ENTRADA[[Cod_2_Entrada]:[TOTAL_ENTRADA]],5,FALSE)-VLOOKUP(TAB_ESTOQUE[[#This Row],[Codigo]],TAB_SAIDA[[COD_2_SAIDA]:[TOTAL_SAIDA]],5,FALSE)</f>
        <v>6</v>
      </c>
      <c r="R962" s="87"/>
      <c r="S962" s="87"/>
      <c r="T962" s="90">
        <v>34</v>
      </c>
      <c r="U962" s="91">
        <f>TAB_ESTOQUE[[#This Row],[Valor Unitario Estimado]]*TAB_ESTOQUE[[#This Row],[Estoque]]</f>
        <v>204</v>
      </c>
      <c r="V962" s="91"/>
      <c r="W962" s="85"/>
      <c r="X962" s="85"/>
      <c r="Y962" s="85"/>
      <c r="Z962" s="85"/>
      <c r="AA962" s="85"/>
      <c r="AB962" s="85" t="str">
        <f>IF(TAB_ESTOQUE[[#This Row],[Estoque]]=0,"Estoque Não Conforme",IF(TAB_ESTOQUE[[#This Row],[Estoque]]&gt;=TAB_ESTOQUE[[#This Row],[Mínimo]],"Estoque Conforme",IF(TAB_ESTOQUE[[#This Row],[Estoque]]&lt;TAB_ESTOQUE[[#This Row],[Mínimo]],"Estoque em Nivel Minimo")))</f>
        <v>Estoque Conforme</v>
      </c>
      <c r="AC962" s="85"/>
      <c r="AD962" s="82"/>
      <c r="AE962" s="82"/>
      <c r="AF962" s="82"/>
    </row>
    <row r="963" spans="1:32" ht="15" customHeight="1" x14ac:dyDescent="0.25">
      <c r="A963" s="45">
        <v>489</v>
      </c>
      <c r="B963" s="47"/>
      <c r="C963" s="46"/>
      <c r="D963" s="45" t="s">
        <v>2197</v>
      </c>
      <c r="E963" s="46" t="s">
        <v>7</v>
      </c>
      <c r="F963" s="87"/>
      <c r="G963" s="82"/>
      <c r="H963" s="82"/>
      <c r="I963" s="82" t="s">
        <v>2947</v>
      </c>
      <c r="J963" s="82"/>
      <c r="K963" s="82"/>
      <c r="L963" s="82"/>
      <c r="M963" s="82" t="s">
        <v>139</v>
      </c>
      <c r="N963" s="82"/>
      <c r="O963" s="87" t="s">
        <v>6421</v>
      </c>
      <c r="P963" s="82" t="s">
        <v>271</v>
      </c>
      <c r="Q963" s="83">
        <f>VLOOKUP(TAB_ESTOQUE[[#This Row],[Codigo]],TAB_ENTRADA[[Cod_2_Entrada]:[TOTAL_ENTRADA]],5,FALSE)-VLOOKUP(TAB_ESTOQUE[[#This Row],[Codigo]],TAB_SAIDA[[COD_2_SAIDA]:[TOTAL_SAIDA]],5,FALSE)</f>
        <v>12</v>
      </c>
      <c r="R963" s="87"/>
      <c r="S963" s="87"/>
      <c r="T963" s="90">
        <v>50</v>
      </c>
      <c r="U963" s="91">
        <f>TAB_ESTOQUE[[#This Row],[Valor Unitario Estimado]]*TAB_ESTOQUE[[#This Row],[Estoque]]</f>
        <v>600</v>
      </c>
      <c r="V963" s="91"/>
      <c r="W963" s="85"/>
      <c r="X963" s="85"/>
      <c r="Y963" s="85"/>
      <c r="Z963" s="85"/>
      <c r="AA963" s="85"/>
      <c r="AB963" s="85" t="str">
        <f>IF(TAB_ESTOQUE[[#This Row],[Estoque]]=0,"Estoque Não Conforme",IF(TAB_ESTOQUE[[#This Row],[Estoque]]&gt;=TAB_ESTOQUE[[#This Row],[Mínimo]],"Estoque Conforme",IF(TAB_ESTOQUE[[#This Row],[Estoque]]&lt;TAB_ESTOQUE[[#This Row],[Mínimo]],"Estoque em Nivel Minimo")))</f>
        <v>Estoque Conforme</v>
      </c>
      <c r="AC963" s="85"/>
      <c r="AD963" s="82"/>
      <c r="AE963" s="82"/>
      <c r="AF963" s="82"/>
    </row>
    <row r="964" spans="1:32" s="106" customFormat="1" ht="15" customHeight="1" x14ac:dyDescent="0.25">
      <c r="A964" s="45">
        <v>479</v>
      </c>
      <c r="B964" s="47"/>
      <c r="C964" s="46"/>
      <c r="D964" s="45" t="s">
        <v>2209</v>
      </c>
      <c r="E964" s="46" t="s">
        <v>1324</v>
      </c>
      <c r="F964" s="87"/>
      <c r="G964" s="82"/>
      <c r="H964" s="82"/>
      <c r="I964" s="82" t="s">
        <v>2957</v>
      </c>
      <c r="J964" s="82"/>
      <c r="K964" s="82"/>
      <c r="L964" s="82"/>
      <c r="M964" s="82" t="s">
        <v>139</v>
      </c>
      <c r="N964" s="82"/>
      <c r="O964" s="87" t="s">
        <v>6421</v>
      </c>
      <c r="P964" s="82" t="s">
        <v>258</v>
      </c>
      <c r="Q964" s="83">
        <f>VLOOKUP(TAB_ESTOQUE[[#This Row],[Codigo]],TAB_ENTRADA[[Cod_2_Entrada]:[TOTAL_ENTRADA]],5,FALSE)-VLOOKUP(TAB_ESTOQUE[[#This Row],[Codigo]],TAB_SAIDA[[COD_2_SAIDA]:[TOTAL_SAIDA]],5,FALSE)</f>
        <v>13</v>
      </c>
      <c r="R964" s="87"/>
      <c r="S964" s="87"/>
      <c r="T964" s="90"/>
      <c r="U964" s="91">
        <f>TAB_ESTOQUE[[#This Row],[Valor Unitario Estimado]]*TAB_ESTOQUE[[#This Row],[Estoque]]</f>
        <v>0</v>
      </c>
      <c r="V964" s="91"/>
      <c r="W964" s="85"/>
      <c r="X964" s="85"/>
      <c r="Y964" s="85"/>
      <c r="Z964" s="85"/>
      <c r="AA964" s="85"/>
      <c r="AB964" s="85" t="str">
        <f>IF(TAB_ESTOQUE[[#This Row],[Estoque]]=0,"Estoque Não Conforme",IF(TAB_ESTOQUE[[#This Row],[Estoque]]&gt;=TAB_ESTOQUE[[#This Row],[Mínimo]],"Estoque Conforme",IF(TAB_ESTOQUE[[#This Row],[Estoque]]&lt;TAB_ESTOQUE[[#This Row],[Mínimo]],"Estoque em Nivel Minimo")))</f>
        <v>Estoque Conforme</v>
      </c>
      <c r="AC964" s="85"/>
      <c r="AD964" s="82"/>
      <c r="AE964" s="95"/>
      <c r="AF964" s="95"/>
    </row>
    <row r="965" spans="1:32" ht="15" customHeight="1" x14ac:dyDescent="0.25">
      <c r="A965" s="45">
        <v>246</v>
      </c>
      <c r="B965" s="47"/>
      <c r="C965" s="46"/>
      <c r="D965" s="45" t="s">
        <v>2210</v>
      </c>
      <c r="E965" s="46" t="s">
        <v>7</v>
      </c>
      <c r="F965" s="87"/>
      <c r="G965" s="82"/>
      <c r="H965" s="82"/>
      <c r="I965" s="82" t="s">
        <v>8541</v>
      </c>
      <c r="J965" s="82"/>
      <c r="K965" s="82"/>
      <c r="L965" s="82"/>
      <c r="M965" s="82" t="s">
        <v>139</v>
      </c>
      <c r="N965" s="82"/>
      <c r="O965" s="87" t="s">
        <v>6421</v>
      </c>
      <c r="P965" s="82" t="s">
        <v>190</v>
      </c>
      <c r="Q965" s="83">
        <f>VLOOKUP(TAB_ESTOQUE[[#This Row],[Codigo]],TAB_ENTRADA[[Cod_2_Entrada]:[TOTAL_ENTRADA]],5,FALSE)-VLOOKUP(TAB_ESTOQUE[[#This Row],[Codigo]],TAB_SAIDA[[COD_2_SAIDA]:[TOTAL_SAIDA]],5,FALSE)</f>
        <v>11</v>
      </c>
      <c r="R965" s="87"/>
      <c r="S965" s="87"/>
      <c r="T965" s="90"/>
      <c r="U965" s="91">
        <f>TAB_ESTOQUE[[#This Row],[Valor Unitario Estimado]]*TAB_ESTOQUE[[#This Row],[Estoque]]</f>
        <v>0</v>
      </c>
      <c r="V965" s="91"/>
      <c r="W965" s="85"/>
      <c r="X965" s="85"/>
      <c r="Y965" s="85"/>
      <c r="Z965" s="85"/>
      <c r="AA965" s="85"/>
      <c r="AB965" s="85" t="str">
        <f>IF(TAB_ESTOQUE[[#This Row],[Estoque]]=0,"Estoque Não Conforme",IF(TAB_ESTOQUE[[#This Row],[Estoque]]&gt;=TAB_ESTOQUE[[#This Row],[Mínimo]],"Estoque Conforme",IF(TAB_ESTOQUE[[#This Row],[Estoque]]&lt;TAB_ESTOQUE[[#This Row],[Mínimo]],"Estoque em Nivel Minimo")))</f>
        <v>Estoque Conforme</v>
      </c>
      <c r="AC965" s="85"/>
      <c r="AD965" s="82"/>
      <c r="AE965" s="82"/>
      <c r="AF965" s="82"/>
    </row>
    <row r="966" spans="1:32" s="106" customFormat="1" ht="15" customHeight="1" x14ac:dyDescent="0.25">
      <c r="A966" s="45">
        <v>7777</v>
      </c>
      <c r="B966" s="47"/>
      <c r="C966" s="46"/>
      <c r="D966" s="45" t="s">
        <v>2211</v>
      </c>
      <c r="E966" s="46" t="s">
        <v>7</v>
      </c>
      <c r="F966" s="87"/>
      <c r="G966" s="82"/>
      <c r="H966" s="82"/>
      <c r="I966" s="82" t="s">
        <v>2958</v>
      </c>
      <c r="J966" s="82"/>
      <c r="K966" s="82"/>
      <c r="L966" s="82"/>
      <c r="M966" s="82"/>
      <c r="N966" s="82"/>
      <c r="O966" s="87" t="s">
        <v>6421</v>
      </c>
      <c r="P966" s="82" t="s">
        <v>622</v>
      </c>
      <c r="Q966" s="83">
        <f>VLOOKUP(TAB_ESTOQUE[[#This Row],[Codigo]],TAB_ENTRADA[[Cod_2_Entrada]:[TOTAL_ENTRADA]],5,FALSE)-VLOOKUP(TAB_ESTOQUE[[#This Row],[Codigo]],TAB_SAIDA[[COD_2_SAIDA]:[TOTAL_SAIDA]],5,FALSE)</f>
        <v>15</v>
      </c>
      <c r="R966" s="87"/>
      <c r="S966" s="87"/>
      <c r="T966" s="90"/>
      <c r="U966" s="91">
        <f>TAB_ESTOQUE[[#This Row],[Valor Unitario Estimado]]*TAB_ESTOQUE[[#This Row],[Estoque]]</f>
        <v>0</v>
      </c>
      <c r="V966" s="91"/>
      <c r="W966" s="85"/>
      <c r="X966" s="85"/>
      <c r="Y966" s="85"/>
      <c r="Z966" s="85"/>
      <c r="AA966" s="85"/>
      <c r="AB966" s="85" t="str">
        <f>IF(TAB_ESTOQUE[[#This Row],[Estoque]]=0,"Estoque Não Conforme",IF(TAB_ESTOQUE[[#This Row],[Estoque]]&gt;=TAB_ESTOQUE[[#This Row],[Mínimo]],"Estoque Conforme",IF(TAB_ESTOQUE[[#This Row],[Estoque]]&lt;TAB_ESTOQUE[[#This Row],[Mínimo]],"Estoque em Nivel Minimo")))</f>
        <v>Estoque Conforme</v>
      </c>
      <c r="AC966" s="85"/>
      <c r="AD966" s="82"/>
      <c r="AE966" s="95"/>
      <c r="AF966" s="95"/>
    </row>
    <row r="967" spans="1:32" ht="15" customHeight="1" x14ac:dyDescent="0.25">
      <c r="A967" s="47">
        <v>1137</v>
      </c>
      <c r="B967" s="47"/>
      <c r="C967" s="51"/>
      <c r="D967" s="47" t="s">
        <v>2212</v>
      </c>
      <c r="E967" s="51" t="s">
        <v>7</v>
      </c>
      <c r="F967" s="107"/>
      <c r="G967" s="94"/>
      <c r="H967" s="94"/>
      <c r="I967" s="94" t="s">
        <v>6436</v>
      </c>
      <c r="J967" s="94"/>
      <c r="K967" s="94"/>
      <c r="L967" s="94"/>
      <c r="M967" s="94"/>
      <c r="N967" s="94"/>
      <c r="O967" s="107" t="s">
        <v>6421</v>
      </c>
      <c r="P967" s="94" t="s">
        <v>622</v>
      </c>
      <c r="Q967" s="145">
        <f>VLOOKUP(TAB_ESTOQUE[[#This Row],[Codigo]],TAB_ENTRADA[[Cod_2_Entrada]:[TOTAL_ENTRADA]],5,FALSE)-VLOOKUP(TAB_ESTOQUE[[#This Row],[Codigo]],TAB_SAIDA[[COD_2_SAIDA]:[TOTAL_SAIDA]],5,FALSE)</f>
        <v>4</v>
      </c>
      <c r="R967" s="107"/>
      <c r="S967" s="107"/>
      <c r="T967" s="108"/>
      <c r="U967" s="109">
        <f>TAB_ESTOQUE[[#This Row],[Valor Unitario Estimado]]*TAB_ESTOQUE[[#This Row],[Estoque]]</f>
        <v>0</v>
      </c>
      <c r="V967" s="109"/>
      <c r="W967" s="110"/>
      <c r="X967" s="110"/>
      <c r="Y967" s="110"/>
      <c r="Z967" s="110"/>
      <c r="AA967" s="110"/>
      <c r="AB967" s="110" t="str">
        <f>IF(TAB_ESTOQUE[[#This Row],[Estoque]]=0,"Estoque Não Conforme",IF(TAB_ESTOQUE[[#This Row],[Estoque]]&gt;=TAB_ESTOQUE[[#This Row],[Mínimo]],"Estoque Conforme",IF(TAB_ESTOQUE[[#This Row],[Estoque]]&lt;TAB_ESTOQUE[[#This Row],[Mínimo]],"Estoque em Nivel Minimo")))</f>
        <v>Estoque Conforme</v>
      </c>
      <c r="AC967" s="110"/>
      <c r="AD967" s="94"/>
      <c r="AE967" s="82"/>
      <c r="AF967" s="82"/>
    </row>
    <row r="968" spans="1:32" s="106" customFormat="1" ht="15" customHeight="1" x14ac:dyDescent="0.25">
      <c r="A968" s="45">
        <v>1019</v>
      </c>
      <c r="B968" s="47"/>
      <c r="C968" s="46"/>
      <c r="D968" s="45" t="s">
        <v>2213</v>
      </c>
      <c r="E968" s="46" t="s">
        <v>7</v>
      </c>
      <c r="F968" s="87"/>
      <c r="G968" s="82"/>
      <c r="H968" s="82"/>
      <c r="I968" s="82" t="s">
        <v>2959</v>
      </c>
      <c r="J968" s="82"/>
      <c r="K968" s="82"/>
      <c r="L968" s="82"/>
      <c r="M968" s="82" t="s">
        <v>139</v>
      </c>
      <c r="N968" s="82"/>
      <c r="O968" s="87" t="s">
        <v>6421</v>
      </c>
      <c r="P968" s="82" t="s">
        <v>783</v>
      </c>
      <c r="Q968" s="83">
        <f>VLOOKUP(TAB_ESTOQUE[[#This Row],[Codigo]],TAB_ENTRADA[[Cod_2_Entrada]:[TOTAL_ENTRADA]],5,FALSE)-VLOOKUP(TAB_ESTOQUE[[#This Row],[Codigo]],TAB_SAIDA[[COD_2_SAIDA]:[TOTAL_SAIDA]],5,FALSE)</f>
        <v>5</v>
      </c>
      <c r="R968" s="87"/>
      <c r="S968" s="87"/>
      <c r="T968" s="90">
        <v>50</v>
      </c>
      <c r="U968" s="91">
        <f>TAB_ESTOQUE[[#This Row],[Valor Unitario Estimado]]*TAB_ESTOQUE[[#This Row],[Estoque]]</f>
        <v>250</v>
      </c>
      <c r="V968" s="91"/>
      <c r="W968" s="85"/>
      <c r="X968" s="85"/>
      <c r="Y968" s="85"/>
      <c r="Z968" s="85"/>
      <c r="AA968" s="85"/>
      <c r="AB968" s="85" t="str">
        <f>IF(TAB_ESTOQUE[[#This Row],[Estoque]]=0,"Estoque Não Conforme",IF(TAB_ESTOQUE[[#This Row],[Estoque]]&gt;=TAB_ESTOQUE[[#This Row],[Mínimo]],"Estoque Conforme",IF(TAB_ESTOQUE[[#This Row],[Estoque]]&lt;TAB_ESTOQUE[[#This Row],[Mínimo]],"Estoque em Nivel Minimo")))</f>
        <v>Estoque Conforme</v>
      </c>
      <c r="AC968" s="85"/>
      <c r="AD968" s="82"/>
      <c r="AE968" s="95"/>
      <c r="AF968" s="95"/>
    </row>
    <row r="969" spans="1:32" ht="15" customHeight="1" x14ac:dyDescent="0.25">
      <c r="A969" s="45">
        <v>1021</v>
      </c>
      <c r="B969" s="47"/>
      <c r="C969" s="46"/>
      <c r="D969" s="45" t="s">
        <v>2215</v>
      </c>
      <c r="E969" s="46" t="s">
        <v>7</v>
      </c>
      <c r="F969" s="87"/>
      <c r="G969" s="82"/>
      <c r="H969" s="82"/>
      <c r="I969" s="82" t="s">
        <v>2961</v>
      </c>
      <c r="J969" s="82"/>
      <c r="K969" s="82"/>
      <c r="L969" s="82"/>
      <c r="M969" s="82" t="s">
        <v>139</v>
      </c>
      <c r="N969" s="82"/>
      <c r="O969" s="87" t="s">
        <v>6421</v>
      </c>
      <c r="P969" s="82" t="s">
        <v>785</v>
      </c>
      <c r="Q969" s="83">
        <f>VLOOKUP(TAB_ESTOQUE[[#This Row],[Codigo]],TAB_ENTRADA[[Cod_2_Entrada]:[TOTAL_ENTRADA]],5,FALSE)-VLOOKUP(TAB_ESTOQUE[[#This Row],[Codigo]],TAB_SAIDA[[COD_2_SAIDA]:[TOTAL_SAIDA]],5,FALSE)</f>
        <v>6</v>
      </c>
      <c r="R969" s="87"/>
      <c r="S969" s="87"/>
      <c r="T969" s="90"/>
      <c r="U969" s="91">
        <f>TAB_ESTOQUE[[#This Row],[Valor Unitario Estimado]]*TAB_ESTOQUE[[#This Row],[Estoque]]</f>
        <v>0</v>
      </c>
      <c r="V969" s="91"/>
      <c r="W969" s="85"/>
      <c r="X969" s="85"/>
      <c r="Y969" s="85"/>
      <c r="Z969" s="85"/>
      <c r="AA969" s="85"/>
      <c r="AB969" s="85" t="str">
        <f>IF(TAB_ESTOQUE[[#This Row],[Estoque]]=0,"Estoque Não Conforme",IF(TAB_ESTOQUE[[#This Row],[Estoque]]&gt;=TAB_ESTOQUE[[#This Row],[Mínimo]],"Estoque Conforme",IF(TAB_ESTOQUE[[#This Row],[Estoque]]&lt;TAB_ESTOQUE[[#This Row],[Mínimo]],"Estoque em Nivel Minimo")))</f>
        <v>Estoque Conforme</v>
      </c>
      <c r="AC969" s="85"/>
      <c r="AD969" s="82"/>
      <c r="AE969" s="82"/>
      <c r="AF969" s="82"/>
    </row>
    <row r="970" spans="1:32" s="106" customFormat="1" ht="15" customHeight="1" x14ac:dyDescent="0.25">
      <c r="A970" s="45">
        <v>1022</v>
      </c>
      <c r="B970" s="47"/>
      <c r="C970" s="46"/>
      <c r="D970" s="45" t="s">
        <v>2216</v>
      </c>
      <c r="E970" s="46" t="s">
        <v>7</v>
      </c>
      <c r="F970" s="87"/>
      <c r="G970" s="82"/>
      <c r="H970" s="82"/>
      <c r="I970" s="82" t="s">
        <v>2962</v>
      </c>
      <c r="J970" s="82"/>
      <c r="K970" s="82"/>
      <c r="L970" s="82"/>
      <c r="M970" s="82" t="s">
        <v>139</v>
      </c>
      <c r="N970" s="82"/>
      <c r="O970" s="87" t="s">
        <v>6421</v>
      </c>
      <c r="P970" s="82" t="s">
        <v>786</v>
      </c>
      <c r="Q970" s="83">
        <f>VLOOKUP(TAB_ESTOQUE[[#This Row],[Codigo]],TAB_ENTRADA[[Cod_2_Entrada]:[TOTAL_ENTRADA]],5,FALSE)-VLOOKUP(TAB_ESTOQUE[[#This Row],[Codigo]],TAB_SAIDA[[COD_2_SAIDA]:[TOTAL_SAIDA]],5,FALSE)</f>
        <v>4</v>
      </c>
      <c r="R970" s="87"/>
      <c r="S970" s="87"/>
      <c r="T970" s="90"/>
      <c r="U970" s="91">
        <f>TAB_ESTOQUE[[#This Row],[Valor Unitario Estimado]]*TAB_ESTOQUE[[#This Row],[Estoque]]</f>
        <v>0</v>
      </c>
      <c r="V970" s="91"/>
      <c r="W970" s="85"/>
      <c r="X970" s="85"/>
      <c r="Y970" s="85"/>
      <c r="Z970" s="85"/>
      <c r="AA970" s="85"/>
      <c r="AB970" s="85" t="str">
        <f>IF(TAB_ESTOQUE[[#This Row],[Estoque]]=0,"Estoque Não Conforme",IF(TAB_ESTOQUE[[#This Row],[Estoque]]&gt;=TAB_ESTOQUE[[#This Row],[Mínimo]],"Estoque Conforme",IF(TAB_ESTOQUE[[#This Row],[Estoque]]&lt;TAB_ESTOQUE[[#This Row],[Mínimo]],"Estoque em Nivel Minimo")))</f>
        <v>Estoque Conforme</v>
      </c>
      <c r="AC970" s="85"/>
      <c r="AD970" s="82"/>
      <c r="AE970" s="95"/>
      <c r="AF970" s="95"/>
    </row>
    <row r="971" spans="1:32" ht="15" customHeight="1" x14ac:dyDescent="0.25">
      <c r="A971" s="45">
        <v>1024</v>
      </c>
      <c r="B971" s="47"/>
      <c r="C971" s="46"/>
      <c r="D971" s="45" t="s">
        <v>2218</v>
      </c>
      <c r="E971" s="46" t="s">
        <v>7</v>
      </c>
      <c r="F971" s="87"/>
      <c r="G971" s="82"/>
      <c r="H971" s="82"/>
      <c r="I971" s="82" t="s">
        <v>2963</v>
      </c>
      <c r="J971" s="82"/>
      <c r="K971" s="82"/>
      <c r="L971" s="82"/>
      <c r="M971" s="82" t="s">
        <v>139</v>
      </c>
      <c r="N971" s="82"/>
      <c r="O971" s="87" t="s">
        <v>6421</v>
      </c>
      <c r="P971" s="82" t="s">
        <v>788</v>
      </c>
      <c r="Q971" s="83">
        <f>VLOOKUP(TAB_ESTOQUE[[#This Row],[Codigo]],TAB_ENTRADA[[Cod_2_Entrada]:[TOTAL_ENTRADA]],5,FALSE)-VLOOKUP(TAB_ESTOQUE[[#This Row],[Codigo]],TAB_SAIDA[[COD_2_SAIDA]:[TOTAL_SAIDA]],5,FALSE)</f>
        <v>14</v>
      </c>
      <c r="R971" s="87"/>
      <c r="S971" s="87"/>
      <c r="T971" s="90"/>
      <c r="U971" s="91">
        <f>TAB_ESTOQUE[[#This Row],[Valor Unitario Estimado]]*TAB_ESTOQUE[[#This Row],[Estoque]]</f>
        <v>0</v>
      </c>
      <c r="V971" s="91"/>
      <c r="W971" s="85"/>
      <c r="X971" s="85"/>
      <c r="Y971" s="85"/>
      <c r="Z971" s="85"/>
      <c r="AA971" s="85"/>
      <c r="AB971" s="85" t="str">
        <f>IF(TAB_ESTOQUE[[#This Row],[Estoque]]=0,"Estoque Não Conforme",IF(TAB_ESTOQUE[[#This Row],[Estoque]]&gt;=TAB_ESTOQUE[[#This Row],[Mínimo]],"Estoque Conforme",IF(TAB_ESTOQUE[[#This Row],[Estoque]]&lt;TAB_ESTOQUE[[#This Row],[Mínimo]],"Estoque em Nivel Minimo")))</f>
        <v>Estoque Conforme</v>
      </c>
      <c r="AC971" s="85"/>
      <c r="AD971" s="82"/>
      <c r="AE971" s="82"/>
      <c r="AF971" s="82"/>
    </row>
    <row r="972" spans="1:32" ht="15" customHeight="1" x14ac:dyDescent="0.25">
      <c r="A972" s="106" t="s">
        <v>1159</v>
      </c>
      <c r="B972" s="106"/>
      <c r="C972" s="116"/>
      <c r="D972" s="106" t="s">
        <v>2627</v>
      </c>
      <c r="E972" s="116"/>
      <c r="F972" s="118"/>
      <c r="G972" s="95"/>
      <c r="H972" s="95"/>
      <c r="I972" s="95" t="s">
        <v>1414</v>
      </c>
      <c r="J972" s="95"/>
      <c r="K972" s="95"/>
      <c r="L972" s="95"/>
      <c r="M972" s="95"/>
      <c r="N972" s="95"/>
      <c r="O972" s="118" t="s">
        <v>6421</v>
      </c>
      <c r="P972" s="95" t="s">
        <v>1241</v>
      </c>
      <c r="Q972" s="154">
        <f>VLOOKUP(TAB_ESTOQUE[[#This Row],[Codigo]],TAB_ENTRADA[[Cod_2_Entrada]:[TOTAL_ENTRADA]],5,FALSE)-VLOOKUP(TAB_ESTOQUE[[#This Row],[Codigo]],TAB_SAIDA[[COD_2_SAIDA]:[TOTAL_SAIDA]],5,FALSE)</f>
        <v>0</v>
      </c>
      <c r="R972" s="118"/>
      <c r="S972" s="118"/>
      <c r="T972" s="119"/>
      <c r="U972" s="112">
        <f>TAB_ESTOQUE[[#This Row],[Valor Unitario Estimado]]*TAB_ESTOQUE[[#This Row],[Estoque]]</f>
        <v>0</v>
      </c>
      <c r="V972" s="112"/>
      <c r="W972" s="120"/>
      <c r="X972" s="120"/>
      <c r="Y972" s="120"/>
      <c r="Z972" s="120"/>
      <c r="AA972" s="120"/>
      <c r="AB972" s="120" t="str">
        <f>IF(TAB_ESTOQUE[[#This Row],[Estoque]]=0,"Estoque Não Conforme",IF(TAB_ESTOQUE[[#This Row],[Estoque]]&gt;=TAB_ESTOQUE[[#This Row],[Mínimo]],"Estoque Conforme",IF(TAB_ESTOQUE[[#This Row],[Estoque]]&lt;TAB_ESTOQUE[[#This Row],[Mínimo]],"Estoque em Nivel Minimo")))</f>
        <v>Estoque Não Conforme</v>
      </c>
      <c r="AC972" s="120"/>
      <c r="AD972" s="95"/>
      <c r="AE972" s="82"/>
      <c r="AF972" s="82"/>
    </row>
    <row r="973" spans="1:32" ht="15" customHeight="1" x14ac:dyDescent="0.25">
      <c r="A973" s="47" t="s">
        <v>1159</v>
      </c>
      <c r="B973" s="47"/>
      <c r="C973" s="51" t="s">
        <v>2838</v>
      </c>
      <c r="D973" s="176" t="s">
        <v>2646</v>
      </c>
      <c r="E973" s="177"/>
      <c r="F973" s="180"/>
      <c r="G973" s="178"/>
      <c r="H973" s="178"/>
      <c r="I973" s="178" t="s">
        <v>1365</v>
      </c>
      <c r="J973" s="178"/>
      <c r="K973" s="178"/>
      <c r="L973" s="178"/>
      <c r="M973" s="178"/>
      <c r="N973" s="178"/>
      <c r="O973" s="180" t="s">
        <v>6421</v>
      </c>
      <c r="P973" s="178" t="s">
        <v>3062</v>
      </c>
      <c r="Q973" s="145">
        <f>VLOOKUP(TAB_ESTOQUE[[#This Row],[Codigo]],TAB_ENTRADA[[Cod_2_Entrada]:[TOTAL_ENTRADA]],5,FALSE)-VLOOKUP(TAB_ESTOQUE[[#This Row],[Codigo]],TAB_SAIDA[[COD_2_SAIDA]:[TOTAL_SAIDA]],5,FALSE)</f>
        <v>0</v>
      </c>
      <c r="R973" s="107"/>
      <c r="S973" s="107"/>
      <c r="T973" s="108"/>
      <c r="U973" s="109">
        <f>TAB_ESTOQUE[[#This Row],[Valor Unitario Estimado]]*TAB_ESTOQUE[[#This Row],[Estoque]]</f>
        <v>0</v>
      </c>
      <c r="V973" s="109"/>
      <c r="W973" s="110"/>
      <c r="X973" s="110"/>
      <c r="Y973" s="110"/>
      <c r="Z973" s="110"/>
      <c r="AA973" s="110"/>
      <c r="AB973" s="110" t="str">
        <f>IF(TAB_ESTOQUE[[#This Row],[Estoque]]=0,"Estoque Não Conforme",IF(TAB_ESTOQUE[[#This Row],[Estoque]]&gt;=TAB_ESTOQUE[[#This Row],[Mínimo]],"Estoque Conforme",IF(TAB_ESTOQUE[[#This Row],[Estoque]]&lt;TAB_ESTOQUE[[#This Row],[Mínimo]],"Estoque em Nivel Minimo")))</f>
        <v>Estoque Não Conforme</v>
      </c>
      <c r="AC973" s="110"/>
      <c r="AD973" s="94"/>
      <c r="AE973" s="82"/>
      <c r="AF973" s="82"/>
    </row>
    <row r="974" spans="1:32" s="106" customFormat="1" ht="15" customHeight="1" x14ac:dyDescent="0.25">
      <c r="A974" s="45" t="s">
        <v>1159</v>
      </c>
      <c r="B974" s="47"/>
      <c r="C974" s="46" t="s">
        <v>2838</v>
      </c>
      <c r="D974" s="45" t="s">
        <v>2656</v>
      </c>
      <c r="E974" s="46"/>
      <c r="F974" s="87"/>
      <c r="G974" s="82"/>
      <c r="H974" s="82"/>
      <c r="I974" s="82" t="s">
        <v>7471</v>
      </c>
      <c r="J974" s="82"/>
      <c r="K974" s="82"/>
      <c r="L974" s="82"/>
      <c r="M974" s="82"/>
      <c r="N974" s="82"/>
      <c r="O974" s="87" t="s">
        <v>6421</v>
      </c>
      <c r="P974" s="94" t="s">
        <v>1171</v>
      </c>
      <c r="Q974" s="83">
        <f>VLOOKUP(TAB_ESTOQUE[[#This Row],[Codigo]],TAB_ENTRADA[[Cod_2_Entrada]:[TOTAL_ENTRADA]],5,FALSE)-VLOOKUP(TAB_ESTOQUE[[#This Row],[Codigo]],TAB_SAIDA[[COD_2_SAIDA]:[TOTAL_SAIDA]],5,FALSE)</f>
        <v>12</v>
      </c>
      <c r="R974" s="87"/>
      <c r="S974" s="87"/>
      <c r="T974" s="90"/>
      <c r="U974" s="91">
        <f>TAB_ESTOQUE[[#This Row],[Valor Unitario Estimado]]*TAB_ESTOQUE[[#This Row],[Estoque]]</f>
        <v>0</v>
      </c>
      <c r="V974" s="91"/>
      <c r="W974" s="85"/>
      <c r="X974" s="85"/>
      <c r="Y974" s="85"/>
      <c r="Z974" s="85"/>
      <c r="AA974" s="85"/>
      <c r="AB974" s="85" t="str">
        <f>IF(TAB_ESTOQUE[[#This Row],[Estoque]]=0,"Estoque Não Conforme",IF(TAB_ESTOQUE[[#This Row],[Estoque]]&gt;=TAB_ESTOQUE[[#This Row],[Mínimo]],"Estoque Conforme",IF(TAB_ESTOQUE[[#This Row],[Estoque]]&lt;TAB_ESTOQUE[[#This Row],[Mínimo]],"Estoque em Nivel Minimo")))</f>
        <v>Estoque Conforme</v>
      </c>
      <c r="AC974" s="85"/>
      <c r="AD974" s="82"/>
      <c r="AE974" s="95"/>
      <c r="AF974" s="95"/>
    </row>
    <row r="975" spans="1:32" ht="15" customHeight="1" x14ac:dyDescent="0.25">
      <c r="A975" s="45" t="s">
        <v>1159</v>
      </c>
      <c r="B975" s="47"/>
      <c r="C975" s="46"/>
      <c r="D975" s="45" t="s">
        <v>2663</v>
      </c>
      <c r="E975" s="46"/>
      <c r="F975" s="87"/>
      <c r="G975" s="82"/>
      <c r="H975" s="82"/>
      <c r="I975" s="82" t="s">
        <v>1344</v>
      </c>
      <c r="J975" s="82"/>
      <c r="K975" s="82"/>
      <c r="L975" s="82"/>
      <c r="M975" s="82"/>
      <c r="N975" s="82"/>
      <c r="O975" s="87" t="s">
        <v>6421</v>
      </c>
      <c r="P975" s="82" t="s">
        <v>1259</v>
      </c>
      <c r="Q975" s="83">
        <f>VLOOKUP(TAB_ESTOQUE[[#This Row],[Codigo]],TAB_ENTRADA[[Cod_2_Entrada]:[TOTAL_ENTRADA]],5,FALSE)-VLOOKUP(TAB_ESTOQUE[[#This Row],[Codigo]],TAB_SAIDA[[COD_2_SAIDA]:[TOTAL_SAIDA]],5,FALSE)</f>
        <v>6</v>
      </c>
      <c r="R975" s="87"/>
      <c r="S975" s="87"/>
      <c r="T975" s="90"/>
      <c r="U975" s="91">
        <f>TAB_ESTOQUE[[#This Row],[Valor Unitario Estimado]]*TAB_ESTOQUE[[#This Row],[Estoque]]</f>
        <v>0</v>
      </c>
      <c r="V975" s="91"/>
      <c r="W975" s="85"/>
      <c r="X975" s="85"/>
      <c r="Y975" s="85"/>
      <c r="Z975" s="85"/>
      <c r="AA975" s="85"/>
      <c r="AB975" s="96" t="str">
        <f>IF(TAB_ESTOQUE[[#This Row],[Estoque]]=0,"Estoque Não Conforme",IF(TAB_ESTOQUE[[#This Row],[Estoque]]&gt;=TAB_ESTOQUE[[#This Row],[Mínimo]],"Estoque Conforme",IF(TAB_ESTOQUE[[#This Row],[Estoque]]&lt;TAB_ESTOQUE[[#This Row],[Mínimo]],"Estoque em Nivel Minimo")))</f>
        <v>Estoque Conforme</v>
      </c>
      <c r="AC975" s="85"/>
      <c r="AD975" s="82"/>
      <c r="AE975" s="82"/>
      <c r="AF975" s="82"/>
    </row>
    <row r="976" spans="1:32" ht="15" customHeight="1" x14ac:dyDescent="0.25">
      <c r="C976" s="48"/>
      <c r="D976" s="45" t="s">
        <v>7087</v>
      </c>
      <c r="E976" s="46"/>
      <c r="F976" s="46"/>
      <c r="I976" s="45" t="s">
        <v>7471</v>
      </c>
      <c r="O976" s="46" t="s">
        <v>6421</v>
      </c>
      <c r="Q976" s="137">
        <f>VLOOKUP(TAB_ESTOQUE[[#This Row],[Codigo]],TAB_ENTRADA[[Cod_2_Entrada]:[TOTAL_ENTRADA]],5,FALSE)-VLOOKUP(TAB_ESTOQUE[[#This Row],[Codigo]],TAB_SAIDA[[COD_2_SAIDA]:[TOTAL_SAIDA]],5,FALSE)</f>
        <v>12</v>
      </c>
      <c r="S976" s="46"/>
      <c r="T976" s="102">
        <v>11.25</v>
      </c>
      <c r="U976" s="103">
        <f>TAB_ESTOQUE[[#This Row],[Valor Unitario Estimado]]*TAB_ESTOQUE[[#This Row],[Estoque]]</f>
        <v>135</v>
      </c>
      <c r="V976" s="103"/>
      <c r="AA976" s="138"/>
      <c r="AB976" s="104" t="str">
        <f>IF(TAB_ESTOQUE[[#This Row],[Estoque]]=0,"Estoque Não Conforme",IF(TAB_ESTOQUE[[#This Row],[Estoque]]&gt;=TAB_ESTOQUE[[#This Row],[Mínimo]],"Estoque Conforme",IF(TAB_ESTOQUE[[#This Row],[Estoque]]&lt;TAB_ESTOQUE[[#This Row],[Mínimo]],"Estoque em Nivel Minimo")))</f>
        <v>Estoque Conforme</v>
      </c>
      <c r="AC976" s="104"/>
      <c r="AE976" s="82"/>
      <c r="AF976" s="82"/>
    </row>
    <row r="977" spans="1:32" ht="15" customHeight="1" x14ac:dyDescent="0.25">
      <c r="A977" s="45">
        <v>497</v>
      </c>
      <c r="B977" s="47"/>
      <c r="C977" s="46"/>
      <c r="D977" s="45" t="s">
        <v>2084</v>
      </c>
      <c r="E977" s="46" t="s">
        <v>7</v>
      </c>
      <c r="F977" s="87"/>
      <c r="G977" s="82"/>
      <c r="H977" s="82"/>
      <c r="I977" s="82" t="s">
        <v>1410</v>
      </c>
      <c r="J977" s="82"/>
      <c r="K977" s="82"/>
      <c r="L977" s="82"/>
      <c r="M977" s="82" t="s">
        <v>139</v>
      </c>
      <c r="N977" s="82"/>
      <c r="O977" s="87" t="s">
        <v>6438</v>
      </c>
      <c r="P977" s="82" t="s">
        <v>279</v>
      </c>
      <c r="Q977" s="83">
        <f>VLOOKUP(TAB_ESTOQUE[[#This Row],[Codigo]],TAB_ENTRADA[[Cod_2_Entrada]:[TOTAL_ENTRADA]],5,FALSE)-VLOOKUP(TAB_ESTOQUE[[#This Row],[Codigo]],TAB_SAIDA[[COD_2_SAIDA]:[TOTAL_SAIDA]],5,FALSE)</f>
        <v>4</v>
      </c>
      <c r="R977" s="87"/>
      <c r="S977" s="87"/>
      <c r="T977" s="90"/>
      <c r="U977" s="91">
        <f>TAB_ESTOQUE[[#This Row],[Valor Unitario Estimado]]*TAB_ESTOQUE[[#This Row],[Estoque]]</f>
        <v>0</v>
      </c>
      <c r="V977" s="91"/>
      <c r="W977" s="85"/>
      <c r="X977" s="85"/>
      <c r="Y977" s="85"/>
      <c r="Z977" s="85"/>
      <c r="AA977" s="85"/>
      <c r="AB977" s="85" t="str">
        <f>IF(TAB_ESTOQUE[[#This Row],[Estoque]]=0,"Estoque Não Conforme",IF(TAB_ESTOQUE[[#This Row],[Estoque]]&gt;=TAB_ESTOQUE[[#This Row],[Mínimo]],"Estoque Conforme",IF(TAB_ESTOQUE[[#This Row],[Estoque]]&lt;TAB_ESTOQUE[[#This Row],[Mínimo]],"Estoque em Nivel Minimo")))</f>
        <v>Estoque Conforme</v>
      </c>
      <c r="AC977" s="85"/>
      <c r="AD977" s="82"/>
      <c r="AE977" s="82"/>
      <c r="AF977" s="82"/>
    </row>
    <row r="978" spans="1:32" ht="15" customHeight="1" x14ac:dyDescent="0.25">
      <c r="A978" s="45">
        <v>495</v>
      </c>
      <c r="B978" s="47"/>
      <c r="C978" s="46"/>
      <c r="D978" s="45" t="s">
        <v>2085</v>
      </c>
      <c r="E978" s="46" t="s">
        <v>6826</v>
      </c>
      <c r="F978" s="87"/>
      <c r="G978" s="82"/>
      <c r="H978" s="82"/>
      <c r="I978" s="82" t="s">
        <v>2929</v>
      </c>
      <c r="J978" s="82"/>
      <c r="K978" s="82"/>
      <c r="L978" s="82"/>
      <c r="M978" s="82" t="s">
        <v>139</v>
      </c>
      <c r="N978" s="82"/>
      <c r="O978" s="87" t="s">
        <v>6438</v>
      </c>
      <c r="P978" s="82" t="s">
        <v>277</v>
      </c>
      <c r="Q978" s="83">
        <f>VLOOKUP(TAB_ESTOQUE[[#This Row],[Codigo]],TAB_ENTRADA[[Cod_2_Entrada]:[TOTAL_ENTRADA]],5,FALSE)-VLOOKUP(TAB_ESTOQUE[[#This Row],[Codigo]],TAB_SAIDA[[COD_2_SAIDA]:[TOTAL_SAIDA]],5,FALSE)</f>
        <v>11</v>
      </c>
      <c r="R978" s="87"/>
      <c r="S978" s="87"/>
      <c r="T978" s="90"/>
      <c r="U978" s="91">
        <f>TAB_ESTOQUE[[#This Row],[Valor Unitario Estimado]]*TAB_ESTOQUE[[#This Row],[Estoque]]</f>
        <v>0</v>
      </c>
      <c r="V978" s="91"/>
      <c r="W978" s="85"/>
      <c r="X978" s="85"/>
      <c r="Y978" s="85"/>
      <c r="Z978" s="85"/>
      <c r="AA978" s="85"/>
      <c r="AB978" s="85" t="str">
        <f>IF(TAB_ESTOQUE[[#This Row],[Estoque]]=0,"Estoque Não Conforme",IF(TAB_ESTOQUE[[#This Row],[Estoque]]&gt;=TAB_ESTOQUE[[#This Row],[Mínimo]],"Estoque Conforme",IF(TAB_ESTOQUE[[#This Row],[Estoque]]&lt;TAB_ESTOQUE[[#This Row],[Mínimo]],"Estoque em Nivel Minimo")))</f>
        <v>Estoque Conforme</v>
      </c>
      <c r="AC978" s="85"/>
      <c r="AD978" s="82"/>
      <c r="AE978" s="82"/>
      <c r="AF978" s="82"/>
    </row>
    <row r="979" spans="1:32" ht="15" customHeight="1" x14ac:dyDescent="0.25">
      <c r="A979" s="45">
        <v>245</v>
      </c>
      <c r="B979" s="47"/>
      <c r="C979" s="46"/>
      <c r="D979" s="45" t="s">
        <v>2112</v>
      </c>
      <c r="E979" s="46" t="s">
        <v>7</v>
      </c>
      <c r="F979" s="87"/>
      <c r="G979" s="82"/>
      <c r="H979" s="82"/>
      <c r="I979" s="82" t="s">
        <v>2934</v>
      </c>
      <c r="J979" s="82"/>
      <c r="K979" s="82"/>
      <c r="L979" s="82"/>
      <c r="M979" s="82" t="s">
        <v>139</v>
      </c>
      <c r="N979" s="82"/>
      <c r="O979" s="87" t="s">
        <v>6438</v>
      </c>
      <c r="P979" s="82" t="s">
        <v>189</v>
      </c>
      <c r="Q979" s="83">
        <f>VLOOKUP(TAB_ESTOQUE[[#This Row],[Codigo]],TAB_ENTRADA[[Cod_2_Entrada]:[TOTAL_ENTRADA]],5,FALSE)-VLOOKUP(TAB_ESTOQUE[[#This Row],[Codigo]],TAB_SAIDA[[COD_2_SAIDA]:[TOTAL_SAIDA]],5,FALSE)</f>
        <v>0</v>
      </c>
      <c r="R979" s="87"/>
      <c r="S979" s="87"/>
      <c r="T979" s="90"/>
      <c r="U979" s="91">
        <f>TAB_ESTOQUE[[#This Row],[Valor Unitario Estimado]]*TAB_ESTOQUE[[#This Row],[Estoque]]</f>
        <v>0</v>
      </c>
      <c r="V979" s="91"/>
      <c r="W979" s="85"/>
      <c r="X979" s="85"/>
      <c r="Y979" s="85"/>
      <c r="Z979" s="85"/>
      <c r="AA979" s="85"/>
      <c r="AB979" s="85" t="str">
        <f>IF(TAB_ESTOQUE[[#This Row],[Estoque]]=0,"Estoque Não Conforme",IF(TAB_ESTOQUE[[#This Row],[Estoque]]&gt;=TAB_ESTOQUE[[#This Row],[Mínimo]],"Estoque Conforme",IF(TAB_ESTOQUE[[#This Row],[Estoque]]&lt;TAB_ESTOQUE[[#This Row],[Mínimo]],"Estoque em Nivel Minimo")))</f>
        <v>Estoque Não Conforme</v>
      </c>
      <c r="AC979" s="85"/>
      <c r="AD979" s="82"/>
      <c r="AE979" s="82"/>
      <c r="AF979" s="82"/>
    </row>
    <row r="980" spans="1:32" ht="15" customHeight="1" x14ac:dyDescent="0.25">
      <c r="A980" s="45">
        <v>814</v>
      </c>
      <c r="B980" s="47"/>
      <c r="C980" s="46"/>
      <c r="D980" s="45" t="s">
        <v>2113</v>
      </c>
      <c r="E980" s="46" t="s">
        <v>7</v>
      </c>
      <c r="F980" s="87"/>
      <c r="G980" s="82"/>
      <c r="H980" s="82"/>
      <c r="I980" s="82" t="s">
        <v>2935</v>
      </c>
      <c r="J980" s="82"/>
      <c r="K980" s="82"/>
      <c r="L980" s="82"/>
      <c r="M980" s="82"/>
      <c r="N980" s="82"/>
      <c r="O980" s="87" t="s">
        <v>6438</v>
      </c>
      <c r="P980" s="82" t="s">
        <v>606</v>
      </c>
      <c r="Q980" s="83">
        <f>VLOOKUP(TAB_ESTOQUE[[#This Row],[Codigo]],TAB_ENTRADA[[Cod_2_Entrada]:[TOTAL_ENTRADA]],5,FALSE)-VLOOKUP(TAB_ESTOQUE[[#This Row],[Codigo]],TAB_SAIDA[[COD_2_SAIDA]:[TOTAL_SAIDA]],5,FALSE)</f>
        <v>2</v>
      </c>
      <c r="R980" s="87"/>
      <c r="S980" s="87"/>
      <c r="T980" s="90"/>
      <c r="U980" s="91">
        <f>TAB_ESTOQUE[[#This Row],[Valor Unitario Estimado]]*TAB_ESTOQUE[[#This Row],[Estoque]]</f>
        <v>0</v>
      </c>
      <c r="V980" s="91"/>
      <c r="W980" s="85"/>
      <c r="X980" s="85"/>
      <c r="Y980" s="85"/>
      <c r="Z980" s="85"/>
      <c r="AA980" s="85"/>
      <c r="AB980" s="85" t="str">
        <f>IF(TAB_ESTOQUE[[#This Row],[Estoque]]=0,"Estoque Não Conforme",IF(TAB_ESTOQUE[[#This Row],[Estoque]]&gt;=TAB_ESTOQUE[[#This Row],[Mínimo]],"Estoque Conforme",IF(TAB_ESTOQUE[[#This Row],[Estoque]]&lt;TAB_ESTOQUE[[#This Row],[Mínimo]],"Estoque em Nivel Minimo")))</f>
        <v>Estoque Conforme</v>
      </c>
      <c r="AC980" s="85"/>
      <c r="AD980" s="82"/>
      <c r="AE980" s="82"/>
      <c r="AF980" s="82"/>
    </row>
    <row r="981" spans="1:32" ht="15" customHeight="1" x14ac:dyDescent="0.25">
      <c r="A981" s="106">
        <v>188</v>
      </c>
      <c r="B981" s="106"/>
      <c r="C981" s="116" t="s">
        <v>2833</v>
      </c>
      <c r="D981" s="106" t="s">
        <v>2115</v>
      </c>
      <c r="E981" s="116" t="s">
        <v>7</v>
      </c>
      <c r="F981" s="118"/>
      <c r="G981" s="95"/>
      <c r="H981" s="95"/>
      <c r="I981" s="95" t="s">
        <v>2936</v>
      </c>
      <c r="J981" s="95"/>
      <c r="K981" s="95" t="s">
        <v>136</v>
      </c>
      <c r="L981" s="95"/>
      <c r="M981" s="95"/>
      <c r="N981" s="95"/>
      <c r="O981" s="118" t="s">
        <v>6438</v>
      </c>
      <c r="P981" s="95" t="s">
        <v>6029</v>
      </c>
      <c r="Q981" s="154">
        <f>VLOOKUP(TAB_ESTOQUE[[#This Row],[Codigo]],TAB_ENTRADA[[Cod_2_Entrada]:[TOTAL_ENTRADA]],5,FALSE)-VLOOKUP(TAB_ESTOQUE[[#This Row],[Codigo]],TAB_SAIDA[[COD_2_SAIDA]:[TOTAL_SAIDA]],5,FALSE)</f>
        <v>0</v>
      </c>
      <c r="R981" s="118"/>
      <c r="S981" s="118"/>
      <c r="T981" s="119"/>
      <c r="U981" s="112">
        <f>TAB_ESTOQUE[[#This Row],[Valor Unitario Estimado]]*TAB_ESTOQUE[[#This Row],[Estoque]]</f>
        <v>0</v>
      </c>
      <c r="V981" s="112"/>
      <c r="W981" s="120"/>
      <c r="X981" s="120"/>
      <c r="Y981" s="120"/>
      <c r="Z981" s="120"/>
      <c r="AA981" s="120"/>
      <c r="AB981" s="120" t="str">
        <f>IF(TAB_ESTOQUE[[#This Row],[Estoque]]=0,"Estoque Não Conforme",IF(TAB_ESTOQUE[[#This Row],[Estoque]]&gt;=TAB_ESTOQUE[[#This Row],[Mínimo]],"Estoque Conforme",IF(TAB_ESTOQUE[[#This Row],[Estoque]]&lt;TAB_ESTOQUE[[#This Row],[Mínimo]],"Estoque em Nivel Minimo")))</f>
        <v>Estoque Não Conforme</v>
      </c>
      <c r="AC981" s="120"/>
      <c r="AD981" s="95"/>
      <c r="AE981" s="82"/>
      <c r="AF981" s="82"/>
    </row>
    <row r="982" spans="1:32" ht="15" customHeight="1" x14ac:dyDescent="0.25">
      <c r="A982" s="47">
        <v>803</v>
      </c>
      <c r="B982" s="47"/>
      <c r="C982" s="51"/>
      <c r="D982" s="47" t="s">
        <v>2116</v>
      </c>
      <c r="E982" s="51" t="s">
        <v>7</v>
      </c>
      <c r="F982" s="107"/>
      <c r="G982" s="94"/>
      <c r="H982" s="94"/>
      <c r="I982" s="94" t="s">
        <v>2937</v>
      </c>
      <c r="J982" s="94"/>
      <c r="K982" s="94"/>
      <c r="L982" s="94"/>
      <c r="M982" s="94" t="s">
        <v>94</v>
      </c>
      <c r="N982" s="94"/>
      <c r="O982" s="107" t="s">
        <v>6438</v>
      </c>
      <c r="P982" s="94" t="s">
        <v>590</v>
      </c>
      <c r="Q982" s="145">
        <f>VLOOKUP(TAB_ESTOQUE[[#This Row],[Codigo]],TAB_ENTRADA[[Cod_2_Entrada]:[TOTAL_ENTRADA]],5,FALSE)-VLOOKUP(TAB_ESTOQUE[[#This Row],[Codigo]],TAB_SAIDA[[COD_2_SAIDA]:[TOTAL_SAIDA]],5,FALSE)</f>
        <v>8</v>
      </c>
      <c r="R982" s="107"/>
      <c r="S982" s="107"/>
      <c r="T982" s="108"/>
      <c r="U982" s="109">
        <f>TAB_ESTOQUE[[#This Row],[Valor Unitario Estimado]]*TAB_ESTOQUE[[#This Row],[Estoque]]</f>
        <v>0</v>
      </c>
      <c r="V982" s="109"/>
      <c r="W982" s="110"/>
      <c r="X982" s="110"/>
      <c r="Y982" s="110"/>
      <c r="Z982" s="110"/>
      <c r="AA982" s="110"/>
      <c r="AB982" s="110" t="str">
        <f>IF(TAB_ESTOQUE[[#This Row],[Estoque]]=0,"Estoque Não Conforme",IF(TAB_ESTOQUE[[#This Row],[Estoque]]&gt;=TAB_ESTOQUE[[#This Row],[Mínimo]],"Estoque Conforme",IF(TAB_ESTOQUE[[#This Row],[Estoque]]&lt;TAB_ESTOQUE[[#This Row],[Mínimo]],"Estoque em Nivel Minimo")))</f>
        <v>Estoque Conforme</v>
      </c>
      <c r="AC982" s="110"/>
      <c r="AD982" s="94"/>
      <c r="AE982" s="82"/>
      <c r="AF982" s="82"/>
    </row>
    <row r="983" spans="1:32" ht="15" customHeight="1" x14ac:dyDescent="0.25">
      <c r="A983" s="45">
        <v>1296</v>
      </c>
      <c r="B983" s="47"/>
      <c r="C983" s="46"/>
      <c r="D983" s="45" t="s">
        <v>2117</v>
      </c>
      <c r="E983" s="46" t="s">
        <v>7</v>
      </c>
      <c r="F983" s="87"/>
      <c r="G983" s="82"/>
      <c r="H983" s="82"/>
      <c r="I983" s="82" t="s">
        <v>2938</v>
      </c>
      <c r="J983" s="82"/>
      <c r="K983" s="82"/>
      <c r="L983" s="82"/>
      <c r="M983" s="82" t="s">
        <v>94</v>
      </c>
      <c r="N983" s="82"/>
      <c r="O983" s="87" t="s">
        <v>6438</v>
      </c>
      <c r="P983" s="82" t="s">
        <v>1018</v>
      </c>
      <c r="Q983" s="83">
        <f>VLOOKUP(TAB_ESTOQUE[[#This Row],[Codigo]],TAB_ENTRADA[[Cod_2_Entrada]:[TOTAL_ENTRADA]],5,FALSE)-VLOOKUP(TAB_ESTOQUE[[#This Row],[Codigo]],TAB_SAIDA[[COD_2_SAIDA]:[TOTAL_SAIDA]],5,FALSE)</f>
        <v>16</v>
      </c>
      <c r="R983" s="87"/>
      <c r="S983" s="87"/>
      <c r="T983" s="90"/>
      <c r="U983" s="91">
        <f>TAB_ESTOQUE[[#This Row],[Valor Unitario Estimado]]*TAB_ESTOQUE[[#This Row],[Estoque]]</f>
        <v>0</v>
      </c>
      <c r="V983" s="91"/>
      <c r="W983" s="85"/>
      <c r="X983" s="85"/>
      <c r="Y983" s="85"/>
      <c r="Z983" s="85"/>
      <c r="AA983" s="85"/>
      <c r="AB983" s="85" t="str">
        <f>IF(TAB_ESTOQUE[[#This Row],[Estoque]]=0,"Estoque Não Conforme",IF(TAB_ESTOQUE[[#This Row],[Estoque]]&gt;=TAB_ESTOQUE[[#This Row],[Mínimo]],"Estoque Conforme",IF(TAB_ESTOQUE[[#This Row],[Estoque]]&lt;TAB_ESTOQUE[[#This Row],[Mínimo]],"Estoque em Nivel Minimo")))</f>
        <v>Estoque Conforme</v>
      </c>
      <c r="AC983" s="85"/>
      <c r="AD983" s="82"/>
      <c r="AE983" s="82"/>
      <c r="AF983" s="82"/>
    </row>
    <row r="984" spans="1:32" s="106" customFormat="1" ht="15" customHeight="1" x14ac:dyDescent="0.25">
      <c r="A984" s="45">
        <v>804</v>
      </c>
      <c r="B984" s="47"/>
      <c r="C984" s="46"/>
      <c r="D984" s="45" t="s">
        <v>2118</v>
      </c>
      <c r="E984" s="46" t="s">
        <v>7</v>
      </c>
      <c r="F984" s="87"/>
      <c r="G984" s="82"/>
      <c r="H984" s="82"/>
      <c r="I984" s="82" t="s">
        <v>2939</v>
      </c>
      <c r="J984" s="82"/>
      <c r="K984" s="82"/>
      <c r="L984" s="82"/>
      <c r="M984" s="82" t="s">
        <v>94</v>
      </c>
      <c r="N984" s="82"/>
      <c r="O984" s="87" t="s">
        <v>6438</v>
      </c>
      <c r="P984" s="82" t="s">
        <v>591</v>
      </c>
      <c r="Q984" s="83">
        <f>VLOOKUP(TAB_ESTOQUE[[#This Row],[Codigo]],TAB_ENTRADA[[Cod_2_Entrada]:[TOTAL_ENTRADA]],5,FALSE)-VLOOKUP(TAB_ESTOQUE[[#This Row],[Codigo]],TAB_SAIDA[[COD_2_SAIDA]:[TOTAL_SAIDA]],5,FALSE)</f>
        <v>4</v>
      </c>
      <c r="R984" s="87"/>
      <c r="S984" s="87"/>
      <c r="T984" s="90">
        <v>50</v>
      </c>
      <c r="U984" s="91">
        <f>TAB_ESTOQUE[[#This Row],[Valor Unitario Estimado]]*TAB_ESTOQUE[[#This Row],[Estoque]]</f>
        <v>200</v>
      </c>
      <c r="V984" s="91"/>
      <c r="W984" s="85"/>
      <c r="X984" s="85"/>
      <c r="Y984" s="85"/>
      <c r="Z984" s="85"/>
      <c r="AA984" s="85"/>
      <c r="AB984" s="85" t="str">
        <f>IF(TAB_ESTOQUE[[#This Row],[Estoque]]=0,"Estoque Não Conforme",IF(TAB_ESTOQUE[[#This Row],[Estoque]]&gt;=TAB_ESTOQUE[[#This Row],[Mínimo]],"Estoque Conforme",IF(TAB_ESTOQUE[[#This Row],[Estoque]]&lt;TAB_ESTOQUE[[#This Row],[Mínimo]],"Estoque em Nivel Minimo")))</f>
        <v>Estoque Conforme</v>
      </c>
      <c r="AC984" s="85"/>
      <c r="AD984" s="82"/>
      <c r="AE984" s="95"/>
      <c r="AF984" s="95"/>
    </row>
    <row r="985" spans="1:32" ht="15" customHeight="1" x14ac:dyDescent="0.25">
      <c r="A985" s="45">
        <v>191</v>
      </c>
      <c r="B985" s="47"/>
      <c r="C985" s="46"/>
      <c r="D985" s="45" t="s">
        <v>2120</v>
      </c>
      <c r="E985" s="46" t="s">
        <v>7</v>
      </c>
      <c r="F985" s="87"/>
      <c r="G985" s="82"/>
      <c r="H985" s="82"/>
      <c r="I985" s="82" t="s">
        <v>2940</v>
      </c>
      <c r="J985" s="82"/>
      <c r="K985" s="82"/>
      <c r="L985" s="82"/>
      <c r="M985" s="82" t="s">
        <v>139</v>
      </c>
      <c r="N985" s="82"/>
      <c r="O985" s="87" t="s">
        <v>6438</v>
      </c>
      <c r="P985" s="82" t="s">
        <v>140</v>
      </c>
      <c r="Q985" s="83">
        <f>VLOOKUP(TAB_ESTOQUE[[#This Row],[Codigo]],TAB_ENTRADA[[Cod_2_Entrada]:[TOTAL_ENTRADA]],5,FALSE)-VLOOKUP(TAB_ESTOQUE[[#This Row],[Codigo]],TAB_SAIDA[[COD_2_SAIDA]:[TOTAL_SAIDA]],5,FALSE)</f>
        <v>17</v>
      </c>
      <c r="R985" s="87"/>
      <c r="S985" s="87"/>
      <c r="T985" s="90">
        <v>32.5</v>
      </c>
      <c r="U985" s="91">
        <f>TAB_ESTOQUE[[#This Row],[Valor Unitario Estimado]]*TAB_ESTOQUE[[#This Row],[Estoque]]</f>
        <v>552.5</v>
      </c>
      <c r="V985" s="91"/>
      <c r="W985" s="85"/>
      <c r="X985" s="85"/>
      <c r="Y985" s="85"/>
      <c r="Z985" s="85"/>
      <c r="AA985" s="85"/>
      <c r="AB985" s="85" t="str">
        <f>IF(TAB_ESTOQUE[[#This Row],[Estoque]]=0,"Estoque Não Conforme",IF(TAB_ESTOQUE[[#This Row],[Estoque]]&gt;=TAB_ESTOQUE[[#This Row],[Mínimo]],"Estoque Conforme",IF(TAB_ESTOQUE[[#This Row],[Estoque]]&lt;TAB_ESTOQUE[[#This Row],[Mínimo]],"Estoque em Nivel Minimo")))</f>
        <v>Estoque Conforme</v>
      </c>
      <c r="AC985" s="85"/>
      <c r="AD985" s="82"/>
      <c r="AE985" s="82"/>
      <c r="AF985" s="82"/>
    </row>
    <row r="986" spans="1:32" ht="15" customHeight="1" x14ac:dyDescent="0.25">
      <c r="A986" s="45">
        <v>192</v>
      </c>
      <c r="B986" s="47"/>
      <c r="C986" s="46"/>
      <c r="D986" s="45" t="s">
        <v>2121</v>
      </c>
      <c r="E986" s="46" t="s">
        <v>7</v>
      </c>
      <c r="F986" s="87"/>
      <c r="G986" s="82"/>
      <c r="H986" s="82"/>
      <c r="I986" s="82" t="s">
        <v>2941</v>
      </c>
      <c r="J986" s="82"/>
      <c r="K986" s="82"/>
      <c r="L986" s="82"/>
      <c r="M986" s="82" t="s">
        <v>139</v>
      </c>
      <c r="N986" s="82"/>
      <c r="O986" s="87" t="s">
        <v>6438</v>
      </c>
      <c r="P986" s="82" t="s">
        <v>141</v>
      </c>
      <c r="Q986" s="83">
        <f>VLOOKUP(TAB_ESTOQUE[[#This Row],[Codigo]],TAB_ENTRADA[[Cod_2_Entrada]:[TOTAL_ENTRADA]],5,FALSE)-VLOOKUP(TAB_ESTOQUE[[#This Row],[Codigo]],TAB_SAIDA[[COD_2_SAIDA]:[TOTAL_SAIDA]],5,FALSE)</f>
        <v>5</v>
      </c>
      <c r="R986" s="87"/>
      <c r="S986" s="87"/>
      <c r="T986" s="90">
        <v>160</v>
      </c>
      <c r="U986" s="91">
        <f>TAB_ESTOQUE[[#This Row],[Valor Unitario Estimado]]*TAB_ESTOQUE[[#This Row],[Estoque]]</f>
        <v>800</v>
      </c>
      <c r="V986" s="91"/>
      <c r="W986" s="85"/>
      <c r="X986" s="85"/>
      <c r="Y986" s="85"/>
      <c r="Z986" s="85"/>
      <c r="AA986" s="85"/>
      <c r="AB986" s="85" t="str">
        <f>IF(TAB_ESTOQUE[[#This Row],[Estoque]]=0,"Estoque Não Conforme",IF(TAB_ESTOQUE[[#This Row],[Estoque]]&gt;=TAB_ESTOQUE[[#This Row],[Mínimo]],"Estoque Conforme",IF(TAB_ESTOQUE[[#This Row],[Estoque]]&lt;TAB_ESTOQUE[[#This Row],[Mínimo]],"Estoque em Nivel Minimo")))</f>
        <v>Estoque Conforme</v>
      </c>
      <c r="AC986" s="85"/>
      <c r="AD986" s="82"/>
      <c r="AE986" s="82"/>
      <c r="AF986" s="82"/>
    </row>
    <row r="987" spans="1:32" ht="15" customHeight="1" x14ac:dyDescent="0.25">
      <c r="A987" s="45">
        <v>194</v>
      </c>
      <c r="B987" s="47"/>
      <c r="C987" s="46"/>
      <c r="D987" s="45" t="s">
        <v>2123</v>
      </c>
      <c r="E987" s="46" t="s">
        <v>7</v>
      </c>
      <c r="F987" s="87"/>
      <c r="G987" s="82"/>
      <c r="H987" s="82"/>
      <c r="I987" s="82" t="s">
        <v>2943</v>
      </c>
      <c r="J987" s="82"/>
      <c r="K987" s="82"/>
      <c r="L987" s="82"/>
      <c r="M987" s="82" t="s">
        <v>139</v>
      </c>
      <c r="N987" s="82"/>
      <c r="O987" s="87" t="s">
        <v>6438</v>
      </c>
      <c r="P987" s="82" t="s">
        <v>143</v>
      </c>
      <c r="Q987" s="83">
        <f>VLOOKUP(TAB_ESTOQUE[[#This Row],[Codigo]],TAB_ENTRADA[[Cod_2_Entrada]:[TOTAL_ENTRADA]],5,FALSE)-VLOOKUP(TAB_ESTOQUE[[#This Row],[Codigo]],TAB_SAIDA[[COD_2_SAIDA]:[TOTAL_SAIDA]],5,FALSE)</f>
        <v>11</v>
      </c>
      <c r="R987" s="87"/>
      <c r="S987" s="87"/>
      <c r="T987" s="90"/>
      <c r="U987" s="91">
        <f>TAB_ESTOQUE[[#This Row],[Valor Unitario Estimado]]*TAB_ESTOQUE[[#This Row],[Estoque]]</f>
        <v>0</v>
      </c>
      <c r="V987" s="91"/>
      <c r="W987" s="85"/>
      <c r="X987" s="85"/>
      <c r="Y987" s="85"/>
      <c r="Z987" s="85"/>
      <c r="AA987" s="85"/>
      <c r="AB987" s="85" t="str">
        <f>IF(TAB_ESTOQUE[[#This Row],[Estoque]]=0,"Estoque Não Conforme",IF(TAB_ESTOQUE[[#This Row],[Estoque]]&gt;=TAB_ESTOQUE[[#This Row],[Mínimo]],"Estoque Conforme",IF(TAB_ESTOQUE[[#This Row],[Estoque]]&lt;TAB_ESTOQUE[[#This Row],[Mínimo]],"Estoque em Nivel Minimo")))</f>
        <v>Estoque Conforme</v>
      </c>
      <c r="AC987" s="85"/>
      <c r="AD987" s="82"/>
      <c r="AE987" s="82"/>
      <c r="AF987" s="82"/>
    </row>
    <row r="988" spans="1:32" ht="15" customHeight="1" x14ac:dyDescent="0.25">
      <c r="A988" s="45">
        <v>1285</v>
      </c>
      <c r="B988" s="47"/>
      <c r="C988" s="46"/>
      <c r="D988" s="45" t="s">
        <v>2198</v>
      </c>
      <c r="E988" s="46" t="s">
        <v>7</v>
      </c>
      <c r="F988" s="87"/>
      <c r="G988" s="82"/>
      <c r="H988" s="82"/>
      <c r="I988" s="82" t="s">
        <v>2948</v>
      </c>
      <c r="J988" s="82"/>
      <c r="K988" s="82"/>
      <c r="L988" s="82"/>
      <c r="M988" s="82" t="s">
        <v>139</v>
      </c>
      <c r="N988" s="82"/>
      <c r="O988" s="87" t="s">
        <v>6438</v>
      </c>
      <c r="P988" s="82" t="s">
        <v>1005</v>
      </c>
      <c r="Q988" s="83">
        <f>VLOOKUP(TAB_ESTOQUE[[#This Row],[Codigo]],TAB_ENTRADA[[Cod_2_Entrada]:[TOTAL_ENTRADA]],5,FALSE)-VLOOKUP(TAB_ESTOQUE[[#This Row],[Codigo]],TAB_SAIDA[[COD_2_SAIDA]:[TOTAL_SAIDA]],5,FALSE)</f>
        <v>0</v>
      </c>
      <c r="R988" s="87"/>
      <c r="S988" s="87"/>
      <c r="T988" s="90">
        <v>60</v>
      </c>
      <c r="U988" s="91">
        <f>TAB_ESTOQUE[[#This Row],[Valor Unitario Estimado]]*TAB_ESTOQUE[[#This Row],[Estoque]]</f>
        <v>0</v>
      </c>
      <c r="V988" s="91"/>
      <c r="W988" s="85"/>
      <c r="X988" s="85"/>
      <c r="Y988" s="85"/>
      <c r="Z988" s="85"/>
      <c r="AA988" s="85"/>
      <c r="AB988" s="85" t="str">
        <f>IF(TAB_ESTOQUE[[#This Row],[Estoque]]=0,"Estoque Não Conforme",IF(TAB_ESTOQUE[[#This Row],[Estoque]]&gt;=TAB_ESTOQUE[[#This Row],[Mínimo]],"Estoque Conforme",IF(TAB_ESTOQUE[[#This Row],[Estoque]]&lt;TAB_ESTOQUE[[#This Row],[Mínimo]],"Estoque em Nivel Minimo")))</f>
        <v>Estoque Não Conforme</v>
      </c>
      <c r="AC988" s="85"/>
      <c r="AD988" s="82"/>
      <c r="AE988" s="82"/>
      <c r="AF988" s="82"/>
    </row>
    <row r="989" spans="1:32" s="47" customFormat="1" ht="15" customHeight="1" x14ac:dyDescent="0.25">
      <c r="A989" s="45">
        <v>503</v>
      </c>
      <c r="C989" s="46"/>
      <c r="D989" s="45" t="s">
        <v>2199</v>
      </c>
      <c r="E989" s="46" t="s">
        <v>7</v>
      </c>
      <c r="F989" s="87"/>
      <c r="G989" s="82"/>
      <c r="H989" s="82"/>
      <c r="I989" s="82" t="s">
        <v>2949</v>
      </c>
      <c r="J989" s="82"/>
      <c r="K989" s="82"/>
      <c r="L989" s="82"/>
      <c r="M989" s="82"/>
      <c r="N989" s="82"/>
      <c r="O989" s="87" t="s">
        <v>6438</v>
      </c>
      <c r="P989" s="82" t="s">
        <v>284</v>
      </c>
      <c r="Q989" s="83">
        <f>VLOOKUP(TAB_ESTOQUE[[#This Row],[Codigo]],TAB_ENTRADA[[Cod_2_Entrada]:[TOTAL_ENTRADA]],5,FALSE)-VLOOKUP(TAB_ESTOQUE[[#This Row],[Codigo]],TAB_SAIDA[[COD_2_SAIDA]:[TOTAL_SAIDA]],5,FALSE)</f>
        <v>13</v>
      </c>
      <c r="R989" s="87"/>
      <c r="S989" s="87"/>
      <c r="T989" s="90">
        <v>76.8</v>
      </c>
      <c r="U989" s="91">
        <f>TAB_ESTOQUE[[#This Row],[Valor Unitario Estimado]]*TAB_ESTOQUE[[#This Row],[Estoque]]</f>
        <v>998.4</v>
      </c>
      <c r="V989" s="91"/>
      <c r="W989" s="85"/>
      <c r="X989" s="85"/>
      <c r="Y989" s="85"/>
      <c r="Z989" s="85"/>
      <c r="AA989" s="85"/>
      <c r="AB989" s="85" t="str">
        <f>IF(TAB_ESTOQUE[[#This Row],[Estoque]]=0,"Estoque Não Conforme",IF(TAB_ESTOQUE[[#This Row],[Estoque]]&gt;=TAB_ESTOQUE[[#This Row],[Mínimo]],"Estoque Conforme",IF(TAB_ESTOQUE[[#This Row],[Estoque]]&lt;TAB_ESTOQUE[[#This Row],[Mínimo]],"Estoque em Nivel Minimo")))</f>
        <v>Estoque Conforme</v>
      </c>
      <c r="AC989" s="85"/>
      <c r="AD989" s="82"/>
      <c r="AE989" s="94"/>
      <c r="AF989" s="94"/>
    </row>
    <row r="990" spans="1:32" s="106" customFormat="1" ht="17.25" customHeight="1" x14ac:dyDescent="0.25">
      <c r="A990" s="45">
        <v>514</v>
      </c>
      <c r="B990" s="47"/>
      <c r="C990" s="46"/>
      <c r="D990" s="45" t="s">
        <v>2203</v>
      </c>
      <c r="E990" s="46" t="s">
        <v>7</v>
      </c>
      <c r="F990" s="87"/>
      <c r="G990" s="82"/>
      <c r="H990" s="82"/>
      <c r="I990" s="82" t="s">
        <v>2952</v>
      </c>
      <c r="J990" s="82"/>
      <c r="K990" s="82"/>
      <c r="L990" s="82"/>
      <c r="M990" s="82"/>
      <c r="N990" s="82"/>
      <c r="O990" s="87" t="s">
        <v>6438</v>
      </c>
      <c r="P990" s="82" t="s">
        <v>292</v>
      </c>
      <c r="Q990" s="83">
        <f>VLOOKUP(TAB_ESTOQUE[[#This Row],[Codigo]],TAB_ENTRADA[[Cod_2_Entrada]:[TOTAL_ENTRADA]],5,FALSE)-VLOOKUP(TAB_ESTOQUE[[#This Row],[Codigo]],TAB_SAIDA[[COD_2_SAIDA]:[TOTAL_SAIDA]],5,FALSE)</f>
        <v>16</v>
      </c>
      <c r="R990" s="87"/>
      <c r="S990" s="87"/>
      <c r="T990" s="90"/>
      <c r="U990" s="91">
        <f>TAB_ESTOQUE[[#This Row],[Valor Unitario Estimado]]*TAB_ESTOQUE[[#This Row],[Estoque]]</f>
        <v>0</v>
      </c>
      <c r="V990" s="91"/>
      <c r="W990" s="85"/>
      <c r="X990" s="85"/>
      <c r="Y990" s="85"/>
      <c r="Z990" s="85"/>
      <c r="AA990" s="85"/>
      <c r="AB990" s="85" t="str">
        <f>IF(TAB_ESTOQUE[[#This Row],[Estoque]]=0,"Estoque Não Conforme",IF(TAB_ESTOQUE[[#This Row],[Estoque]]&gt;=TAB_ESTOQUE[[#This Row],[Mínimo]],"Estoque Conforme",IF(TAB_ESTOQUE[[#This Row],[Estoque]]&lt;TAB_ESTOQUE[[#This Row],[Mínimo]],"Estoque em Nivel Minimo")))</f>
        <v>Estoque Conforme</v>
      </c>
      <c r="AC990" s="85"/>
      <c r="AD990" s="82"/>
      <c r="AE990" s="95"/>
      <c r="AF990" s="95"/>
    </row>
    <row r="991" spans="1:32" s="47" customFormat="1" ht="14.25" customHeight="1" x14ac:dyDescent="0.25">
      <c r="A991" s="45">
        <v>1023</v>
      </c>
      <c r="C991" s="46"/>
      <c r="D991" s="45" t="s">
        <v>2217</v>
      </c>
      <c r="E991" s="46" t="s">
        <v>7</v>
      </c>
      <c r="F991" s="87"/>
      <c r="G991" s="82"/>
      <c r="H991" s="82"/>
      <c r="I991" s="82" t="s">
        <v>6437</v>
      </c>
      <c r="J991" s="82"/>
      <c r="K991" s="82"/>
      <c r="L991" s="82"/>
      <c r="M991" s="82" t="s">
        <v>139</v>
      </c>
      <c r="N991" s="82"/>
      <c r="O991" s="87" t="s">
        <v>6438</v>
      </c>
      <c r="P991" s="82" t="s">
        <v>787</v>
      </c>
      <c r="Q991" s="83">
        <f>VLOOKUP(TAB_ESTOQUE[[#This Row],[Codigo]],TAB_ENTRADA[[Cod_2_Entrada]:[TOTAL_ENTRADA]],5,FALSE)-VLOOKUP(TAB_ESTOQUE[[#This Row],[Codigo]],TAB_SAIDA[[COD_2_SAIDA]:[TOTAL_SAIDA]],5,FALSE)</f>
        <v>7</v>
      </c>
      <c r="R991" s="87"/>
      <c r="S991" s="87"/>
      <c r="T991" s="90"/>
      <c r="U991" s="91">
        <f>TAB_ESTOQUE[[#This Row],[Valor Unitario Estimado]]*TAB_ESTOQUE[[#This Row],[Estoque]]</f>
        <v>0</v>
      </c>
      <c r="V991" s="91"/>
      <c r="W991" s="85"/>
      <c r="X991" s="85"/>
      <c r="Y991" s="85"/>
      <c r="Z991" s="85"/>
      <c r="AA991" s="85"/>
      <c r="AB991" s="85" t="str">
        <f>IF(TAB_ESTOQUE[[#This Row],[Estoque]]=0,"Estoque Não Conforme",IF(TAB_ESTOQUE[[#This Row],[Estoque]]&gt;=TAB_ESTOQUE[[#This Row],[Mínimo]],"Estoque Conforme",IF(TAB_ESTOQUE[[#This Row],[Estoque]]&lt;TAB_ESTOQUE[[#This Row],[Mínimo]],"Estoque em Nivel Minimo")))</f>
        <v>Estoque Conforme</v>
      </c>
      <c r="AC991" s="85"/>
      <c r="AD991" s="82"/>
      <c r="AE991" s="94"/>
      <c r="AF991" s="94"/>
    </row>
    <row r="992" spans="1:32" s="106" customFormat="1" ht="15" customHeight="1" x14ac:dyDescent="0.25">
      <c r="A992" s="45">
        <v>1183</v>
      </c>
      <c r="B992" s="47"/>
      <c r="C992" s="46"/>
      <c r="D992" s="45" t="s">
        <v>2572</v>
      </c>
      <c r="E992" s="46"/>
      <c r="F992" s="87"/>
      <c r="G992" s="82"/>
      <c r="H992" s="82"/>
      <c r="I992" s="82" t="s">
        <v>8648</v>
      </c>
      <c r="J992" s="82"/>
      <c r="K992" s="82"/>
      <c r="L992" s="82"/>
      <c r="M992" s="82"/>
      <c r="N992" s="82"/>
      <c r="O992" s="87" t="s">
        <v>6438</v>
      </c>
      <c r="P992" s="82" t="s">
        <v>825</v>
      </c>
      <c r="Q992" s="83">
        <f>VLOOKUP(TAB_ESTOQUE[[#This Row],[Codigo]],TAB_ENTRADA[[Cod_2_Entrada]:[TOTAL_ENTRADA]],5,FALSE)-VLOOKUP(TAB_ESTOQUE[[#This Row],[Codigo]],TAB_SAIDA[[COD_2_SAIDA]:[TOTAL_SAIDA]],5,FALSE)</f>
        <v>11</v>
      </c>
      <c r="R992" s="87"/>
      <c r="S992" s="87"/>
      <c r="T992" s="90"/>
      <c r="U992" s="91">
        <f>TAB_ESTOQUE[[#This Row],[Valor Unitario Estimado]]*TAB_ESTOQUE[[#This Row],[Estoque]]</f>
        <v>0</v>
      </c>
      <c r="V992" s="91"/>
      <c r="W992" s="85"/>
      <c r="X992" s="85"/>
      <c r="Y992" s="85"/>
      <c r="Z992" s="85"/>
      <c r="AA992" s="85"/>
      <c r="AB992" s="85" t="str">
        <f>IF(TAB_ESTOQUE[[#This Row],[Estoque]]=0,"Estoque Não Conforme",IF(TAB_ESTOQUE[[#This Row],[Estoque]]&gt;=TAB_ESTOQUE[[#This Row],[Mínimo]],"Estoque Conforme",IF(TAB_ESTOQUE[[#This Row],[Estoque]]&lt;TAB_ESTOQUE[[#This Row],[Mínimo]],"Estoque em Nivel Minimo")))</f>
        <v>Estoque Conforme</v>
      </c>
      <c r="AC992" s="85"/>
      <c r="AD992" s="82"/>
      <c r="AE992" s="95"/>
      <c r="AF992" s="95"/>
    </row>
    <row r="993" spans="1:32" s="47" customFormat="1" ht="15" customHeight="1" x14ac:dyDescent="0.25">
      <c r="A993" s="45">
        <v>1083</v>
      </c>
      <c r="C993" s="46"/>
      <c r="D993" s="45" t="s">
        <v>2606</v>
      </c>
      <c r="E993" s="46"/>
      <c r="F993" s="87"/>
      <c r="G993" s="82"/>
      <c r="H993" s="82"/>
      <c r="I993" s="82" t="s">
        <v>6434</v>
      </c>
      <c r="J993" s="82"/>
      <c r="K993" s="82" t="s">
        <v>35</v>
      </c>
      <c r="L993" s="82"/>
      <c r="M993" s="82"/>
      <c r="N993" s="82"/>
      <c r="O993" s="87" t="s">
        <v>6438</v>
      </c>
      <c r="P993" s="82" t="s">
        <v>817</v>
      </c>
      <c r="Q993" s="83">
        <f>VLOOKUP(TAB_ESTOQUE[[#This Row],[Codigo]],TAB_ENTRADA[[Cod_2_Entrada]:[TOTAL_ENTRADA]],5,FALSE)-VLOOKUP(TAB_ESTOQUE[[#This Row],[Codigo]],TAB_SAIDA[[COD_2_SAIDA]:[TOTAL_SAIDA]],5,FALSE)</f>
        <v>35</v>
      </c>
      <c r="R993" s="87"/>
      <c r="S993" s="87"/>
      <c r="T993" s="90"/>
      <c r="U993" s="91">
        <f>TAB_ESTOQUE[[#This Row],[Valor Unitario Estimado]]*TAB_ESTOQUE[[#This Row],[Estoque]]</f>
        <v>0</v>
      </c>
      <c r="V993" s="91"/>
      <c r="W993" s="85"/>
      <c r="X993" s="85"/>
      <c r="Y993" s="85"/>
      <c r="Z993" s="85"/>
      <c r="AA993" s="85"/>
      <c r="AB993" s="85" t="str">
        <f>IF(TAB_ESTOQUE[[#This Row],[Estoque]]=0,"Estoque Não Conforme",IF(TAB_ESTOQUE[[#This Row],[Estoque]]&gt;=TAB_ESTOQUE[[#This Row],[Mínimo]],"Estoque Conforme",IF(TAB_ESTOQUE[[#This Row],[Estoque]]&lt;TAB_ESTOQUE[[#This Row],[Mínimo]],"Estoque em Nivel Minimo")))</f>
        <v>Estoque Conforme</v>
      </c>
      <c r="AC993" s="85"/>
      <c r="AD993" s="82"/>
      <c r="AE993" s="94"/>
      <c r="AF993" s="94"/>
    </row>
    <row r="994" spans="1:32" s="106" customFormat="1" ht="15" customHeight="1" x14ac:dyDescent="0.25">
      <c r="A994" s="45" t="s">
        <v>1159</v>
      </c>
      <c r="B994" s="47"/>
      <c r="C994" s="46" t="s">
        <v>2842</v>
      </c>
      <c r="D994" s="45" t="s">
        <v>2655</v>
      </c>
      <c r="E994" s="46"/>
      <c r="F994" s="87"/>
      <c r="G994" s="82"/>
      <c r="H994" s="82"/>
      <c r="I994" s="82" t="s">
        <v>1351</v>
      </c>
      <c r="J994" s="82"/>
      <c r="K994" s="82"/>
      <c r="L994" s="82"/>
      <c r="M994" s="82"/>
      <c r="N994" s="82"/>
      <c r="O994" s="87" t="s">
        <v>6438</v>
      </c>
      <c r="P994" s="95" t="s">
        <v>1173</v>
      </c>
      <c r="Q994" s="83">
        <f>VLOOKUP(TAB_ESTOQUE[[#This Row],[Codigo]],TAB_ENTRADA[[Cod_2_Entrada]:[TOTAL_ENTRADA]],5,FALSE)-VLOOKUP(TAB_ESTOQUE[[#This Row],[Codigo]],TAB_SAIDA[[COD_2_SAIDA]:[TOTAL_SAIDA]],5,FALSE)</f>
        <v>0</v>
      </c>
      <c r="R994" s="87"/>
      <c r="S994" s="87"/>
      <c r="T994" s="90"/>
      <c r="U994" s="91">
        <f>TAB_ESTOQUE[[#This Row],[Valor Unitario Estimado]]*TAB_ESTOQUE[[#This Row],[Estoque]]</f>
        <v>0</v>
      </c>
      <c r="V994" s="91"/>
      <c r="W994" s="85"/>
      <c r="X994" s="85"/>
      <c r="Y994" s="85"/>
      <c r="Z994" s="85"/>
      <c r="AA994" s="85"/>
      <c r="AB994" s="85" t="str">
        <f>IF(TAB_ESTOQUE[[#This Row],[Estoque]]=0,"Estoque Não Conforme",IF(TAB_ESTOQUE[[#This Row],[Estoque]]&gt;=TAB_ESTOQUE[[#This Row],[Mínimo]],"Estoque Conforme",IF(TAB_ESTOQUE[[#This Row],[Estoque]]&lt;TAB_ESTOQUE[[#This Row],[Mínimo]],"Estoque em Nivel Minimo")))</f>
        <v>Estoque Não Conforme</v>
      </c>
      <c r="AC994" s="85"/>
      <c r="AD994" s="82"/>
      <c r="AE994" s="95"/>
      <c r="AF994" s="95"/>
    </row>
    <row r="995" spans="1:32" s="47" customFormat="1" ht="15.75" customHeight="1" x14ac:dyDescent="0.25">
      <c r="A995" s="45"/>
      <c r="C995" s="46"/>
      <c r="D995" s="45" t="s">
        <v>2721</v>
      </c>
      <c r="E995" s="46" t="s">
        <v>135</v>
      </c>
      <c r="F995" s="87"/>
      <c r="G995" s="82"/>
      <c r="H995" s="82"/>
      <c r="I995" s="82" t="s">
        <v>3683</v>
      </c>
      <c r="J995" s="82"/>
      <c r="K995" s="82"/>
      <c r="L995" s="82"/>
      <c r="M995" s="82"/>
      <c r="N995" s="82"/>
      <c r="O995" s="87" t="s">
        <v>6438</v>
      </c>
      <c r="P995" s="82" t="s">
        <v>1320</v>
      </c>
      <c r="Q995" s="83">
        <f>VLOOKUP(TAB_ESTOQUE[[#This Row],[Codigo]],TAB_ENTRADA[[Cod_2_Entrada]:[TOTAL_ENTRADA]],5,FALSE)-VLOOKUP(TAB_ESTOQUE[[#This Row],[Codigo]],TAB_SAIDA[[COD_2_SAIDA]:[TOTAL_SAIDA]],5,FALSE)</f>
        <v>6</v>
      </c>
      <c r="R995" s="87"/>
      <c r="S995" s="87"/>
      <c r="T995" s="90">
        <v>96.41</v>
      </c>
      <c r="U995" s="91">
        <f>TAB_ESTOQUE[[#This Row],[Valor Unitario Estimado]]*TAB_ESTOQUE[[#This Row],[Estoque]]</f>
        <v>578.46</v>
      </c>
      <c r="V995" s="91"/>
      <c r="W995" s="85"/>
      <c r="X995" s="85"/>
      <c r="Y995" s="85"/>
      <c r="Z995" s="85"/>
      <c r="AA995" s="85"/>
      <c r="AB995" s="96" t="str">
        <f>IF(TAB_ESTOQUE[[#This Row],[Estoque]]=0,"Estoque Não Conforme",IF(TAB_ESTOQUE[[#This Row],[Estoque]]&gt;=TAB_ESTOQUE[[#This Row],[Mínimo]],"Estoque Conforme",IF(TAB_ESTOQUE[[#This Row],[Estoque]]&lt;TAB_ESTOQUE[[#This Row],[Mínimo]],"Estoque em Nivel Minimo")))</f>
        <v>Estoque Conforme</v>
      </c>
      <c r="AC995" s="85"/>
      <c r="AD995" s="82"/>
      <c r="AE995" s="94"/>
      <c r="AF995" s="94"/>
    </row>
    <row r="996" spans="1:32" s="106" customFormat="1" ht="17.25" customHeight="1" x14ac:dyDescent="0.25">
      <c r="A996" s="45"/>
      <c r="B996" s="47"/>
      <c r="C996" s="53" t="s">
        <v>2838</v>
      </c>
      <c r="D996" s="45" t="s">
        <v>3097</v>
      </c>
      <c r="E996" s="46"/>
      <c r="F996" s="87"/>
      <c r="G996" s="82"/>
      <c r="H996" s="82"/>
      <c r="I996" s="82" t="s">
        <v>8677</v>
      </c>
      <c r="J996" s="82"/>
      <c r="K996" s="82"/>
      <c r="L996" s="82"/>
      <c r="M996" s="82"/>
      <c r="N996" s="82"/>
      <c r="O996" s="87" t="s">
        <v>6438</v>
      </c>
      <c r="P996" s="82" t="s">
        <v>3101</v>
      </c>
      <c r="Q996" s="83">
        <f>VLOOKUP(TAB_ESTOQUE[[#This Row],[Codigo]],TAB_ENTRADA[[Cod_2_Entrada]:[TOTAL_ENTRADA]],5,FALSE)-VLOOKUP(TAB_ESTOQUE[[#This Row],[Codigo]],TAB_SAIDA[[COD_2_SAIDA]:[TOTAL_SAIDA]],5,FALSE)</f>
        <v>12</v>
      </c>
      <c r="R996" s="87"/>
      <c r="S996" s="87"/>
      <c r="T996" s="90"/>
      <c r="U996" s="91">
        <f>TAB_ESTOQUE[[#This Row],[Valor Unitario Estimado]]*TAB_ESTOQUE[[#This Row],[Estoque]]</f>
        <v>0</v>
      </c>
      <c r="V996" s="91"/>
      <c r="W996" s="85"/>
      <c r="X996" s="85"/>
      <c r="Y996" s="85"/>
      <c r="Z996" s="85"/>
      <c r="AA996" s="85"/>
      <c r="AB996" s="96" t="str">
        <f>IF(TAB_ESTOQUE[[#This Row],[Estoque]]=0,"Estoque Não Conforme",IF(TAB_ESTOQUE[[#This Row],[Estoque]]&gt;=TAB_ESTOQUE[[#This Row],[Mínimo]],"Estoque Conforme",IF(TAB_ESTOQUE[[#This Row],[Estoque]]&lt;TAB_ESTOQUE[[#This Row],[Mínimo]],"Estoque em Nivel Minimo")))</f>
        <v>Estoque Conforme</v>
      </c>
      <c r="AC996" s="96"/>
      <c r="AD996" s="82"/>
      <c r="AE996" s="95"/>
      <c r="AF996" s="95"/>
    </row>
    <row r="997" spans="1:32" ht="15" customHeight="1" x14ac:dyDescent="0.25">
      <c r="B997" s="47"/>
      <c r="C997" s="48"/>
      <c r="D997" s="45" t="s">
        <v>6037</v>
      </c>
      <c r="E997" s="46"/>
      <c r="F997" s="87"/>
      <c r="G997" s="82"/>
      <c r="H997" s="82"/>
      <c r="I997" s="82" t="s">
        <v>8689</v>
      </c>
      <c r="J997" s="82"/>
      <c r="K997" s="82"/>
      <c r="L997" s="82"/>
      <c r="M997" s="82"/>
      <c r="N997" s="82"/>
      <c r="O997" s="87" t="s">
        <v>6438</v>
      </c>
      <c r="P997" s="82" t="s">
        <v>6040</v>
      </c>
      <c r="Q997" s="83">
        <f>VLOOKUP(TAB_ESTOQUE[[#This Row],[Codigo]],TAB_ENTRADA[[Cod_2_Entrada]:[TOTAL_ENTRADA]],5,FALSE)-VLOOKUP(TAB_ESTOQUE[[#This Row],[Codigo]],TAB_SAIDA[[COD_2_SAIDA]:[TOTAL_SAIDA]],5,FALSE)</f>
        <v>2</v>
      </c>
      <c r="R997" s="87"/>
      <c r="S997" s="87"/>
      <c r="T997" s="90"/>
      <c r="U997" s="91">
        <f>TAB_ESTOQUE[[#This Row],[Valor Unitario Estimado]]*TAB_ESTOQUE[[#This Row],[Estoque]]</f>
        <v>0</v>
      </c>
      <c r="V997" s="91"/>
      <c r="W997" s="85"/>
      <c r="X997" s="85"/>
      <c r="Y997" s="85"/>
      <c r="Z997" s="85"/>
      <c r="AA997" s="85"/>
      <c r="AB997" s="96" t="str">
        <f>IF(TAB_ESTOQUE[[#This Row],[Estoque]]=0,"Estoque Não Conforme",IF(TAB_ESTOQUE[[#This Row],[Estoque]]&gt;=TAB_ESTOQUE[[#This Row],[Mínimo]],"Estoque Conforme",IF(TAB_ESTOQUE[[#This Row],[Estoque]]&lt;TAB_ESTOQUE[[#This Row],[Mínimo]],"Estoque em Nivel Minimo")))</f>
        <v>Estoque Conforme</v>
      </c>
      <c r="AC997" s="96"/>
      <c r="AD997" s="82"/>
      <c r="AE997" s="82"/>
      <c r="AF997" s="82"/>
    </row>
    <row r="998" spans="1:32" ht="15" customHeight="1" x14ac:dyDescent="0.25">
      <c r="C998" s="48"/>
      <c r="D998" s="45" t="s">
        <v>6936</v>
      </c>
      <c r="E998" s="46"/>
      <c r="F998" s="46"/>
      <c r="I998" s="45" t="s">
        <v>8720</v>
      </c>
      <c r="O998" s="46" t="s">
        <v>6438</v>
      </c>
      <c r="Q998" s="137">
        <f>VLOOKUP(TAB_ESTOQUE[[#This Row],[Codigo]],TAB_ENTRADA[[Cod_2_Entrada]:[TOTAL_ENTRADA]],5,FALSE)-VLOOKUP(TAB_ESTOQUE[[#This Row],[Codigo]],TAB_SAIDA[[COD_2_SAIDA]:[TOTAL_SAIDA]],5,FALSE)</f>
        <v>10</v>
      </c>
      <c r="S998" s="46"/>
      <c r="T998" s="102">
        <v>20</v>
      </c>
      <c r="U998" s="103">
        <f>TAB_ESTOQUE[[#This Row],[Valor Unitario Estimado]]*TAB_ESTOQUE[[#This Row],[Estoque]]</f>
        <v>200</v>
      </c>
      <c r="V998" s="103"/>
      <c r="AA998" s="138"/>
      <c r="AB998" s="104" t="str">
        <f>IF(TAB_ESTOQUE[[#This Row],[Estoque]]=0,"Estoque Não Conforme",IF(TAB_ESTOQUE[[#This Row],[Estoque]]&gt;=TAB_ESTOQUE[[#This Row],[Mínimo]],"Estoque Conforme",IF(TAB_ESTOQUE[[#This Row],[Estoque]]&lt;TAB_ESTOQUE[[#This Row],[Mínimo]],"Estoque em Nivel Minimo")))</f>
        <v>Estoque Conforme</v>
      </c>
      <c r="AC998" s="104"/>
      <c r="AE998" s="82"/>
      <c r="AF998" s="82"/>
    </row>
    <row r="999" spans="1:32" ht="15" customHeight="1" x14ac:dyDescent="0.25">
      <c r="A999" s="45">
        <v>601</v>
      </c>
      <c r="B999" s="47"/>
      <c r="C999" s="46"/>
      <c r="D999" s="45" t="s">
        <v>2086</v>
      </c>
      <c r="E999" s="46" t="s">
        <v>7</v>
      </c>
      <c r="F999" s="87"/>
      <c r="G999" s="82"/>
      <c r="H999" s="82"/>
      <c r="I999" s="82" t="s">
        <v>2930</v>
      </c>
      <c r="J999" s="82"/>
      <c r="K999" s="82"/>
      <c r="L999" s="82"/>
      <c r="M999" s="82" t="s">
        <v>139</v>
      </c>
      <c r="N999" s="82"/>
      <c r="O999" s="87" t="s">
        <v>6443</v>
      </c>
      <c r="P999" s="82" t="s">
        <v>382</v>
      </c>
      <c r="Q999" s="83">
        <f>VLOOKUP(TAB_ESTOQUE[[#This Row],[Codigo]],TAB_ENTRADA[[Cod_2_Entrada]:[TOTAL_ENTRADA]],5,FALSE)-VLOOKUP(TAB_ESTOQUE[[#This Row],[Codigo]],TAB_SAIDA[[COD_2_SAIDA]:[TOTAL_SAIDA]],5,FALSE)</f>
        <v>2</v>
      </c>
      <c r="R999" s="87"/>
      <c r="S999" s="87"/>
      <c r="T999" s="90">
        <v>2210.98</v>
      </c>
      <c r="U999" s="91">
        <f>TAB_ESTOQUE[[#This Row],[Valor Unitario Estimado]]*TAB_ESTOQUE[[#This Row],[Estoque]]</f>
        <v>4421.96</v>
      </c>
      <c r="V999" s="91"/>
      <c r="W999" s="85"/>
      <c r="X999" s="85"/>
      <c r="Y999" s="85"/>
      <c r="Z999" s="85"/>
      <c r="AA999" s="85"/>
      <c r="AB999" s="85" t="str">
        <f>IF(TAB_ESTOQUE[[#This Row],[Estoque]]=0,"Estoque Não Conforme",IF(TAB_ESTOQUE[[#This Row],[Estoque]]&gt;=TAB_ESTOQUE[[#This Row],[Mínimo]],"Estoque Conforme",IF(TAB_ESTOQUE[[#This Row],[Estoque]]&lt;TAB_ESTOQUE[[#This Row],[Mínimo]],"Estoque em Nivel Minimo")))</f>
        <v>Estoque Conforme</v>
      </c>
      <c r="AC999" s="85"/>
      <c r="AD999" s="82"/>
      <c r="AE999" s="82"/>
      <c r="AF999" s="82"/>
    </row>
    <row r="1000" spans="1:32" ht="15" customHeight="1" x14ac:dyDescent="0.25">
      <c r="A1000" s="45">
        <v>513</v>
      </c>
      <c r="B1000" s="47"/>
      <c r="C1000" s="46"/>
      <c r="D1000" s="45" t="s">
        <v>2088</v>
      </c>
      <c r="E1000" s="46" t="s">
        <v>7</v>
      </c>
      <c r="F1000" s="87"/>
      <c r="G1000" s="82"/>
      <c r="H1000" s="82"/>
      <c r="I1000" s="82" t="s">
        <v>1411</v>
      </c>
      <c r="J1000" s="82"/>
      <c r="K1000" s="82"/>
      <c r="L1000" s="82"/>
      <c r="M1000" s="82" t="s">
        <v>139</v>
      </c>
      <c r="N1000" s="82"/>
      <c r="O1000" s="87" t="s">
        <v>6443</v>
      </c>
      <c r="P1000" s="82" t="s">
        <v>291</v>
      </c>
      <c r="Q1000" s="83">
        <f>VLOOKUP(TAB_ESTOQUE[[#This Row],[Codigo]],TAB_ENTRADA[[Cod_2_Entrada]:[TOTAL_ENTRADA]],5,FALSE)-VLOOKUP(TAB_ESTOQUE[[#This Row],[Codigo]],TAB_SAIDA[[COD_2_SAIDA]:[TOTAL_SAIDA]],5,FALSE)</f>
        <v>14</v>
      </c>
      <c r="R1000" s="87"/>
      <c r="S1000" s="87"/>
      <c r="T1000" s="90"/>
      <c r="U1000" s="91">
        <f>TAB_ESTOQUE[[#This Row],[Valor Unitario Estimado]]*TAB_ESTOQUE[[#This Row],[Estoque]]</f>
        <v>0</v>
      </c>
      <c r="V1000" s="91"/>
      <c r="W1000" s="85"/>
      <c r="X1000" s="85"/>
      <c r="Y1000" s="85"/>
      <c r="Z1000" s="85"/>
      <c r="AA1000" s="85"/>
      <c r="AB1000" s="85" t="str">
        <f>IF(TAB_ESTOQUE[[#This Row],[Estoque]]=0,"Estoque Não Conforme",IF(TAB_ESTOQUE[[#This Row],[Estoque]]&gt;=TAB_ESTOQUE[[#This Row],[Mínimo]],"Estoque Conforme",IF(TAB_ESTOQUE[[#This Row],[Estoque]]&lt;TAB_ESTOQUE[[#This Row],[Mínimo]],"Estoque em Nivel Minimo")))</f>
        <v>Estoque Conforme</v>
      </c>
      <c r="AC1000" s="85"/>
      <c r="AD1000" s="82"/>
      <c r="AE1000" s="82"/>
      <c r="AF1000" s="82"/>
    </row>
    <row r="1001" spans="1:32" ht="15" customHeight="1" x14ac:dyDescent="0.25">
      <c r="A1001" s="47">
        <v>1344</v>
      </c>
      <c r="B1001" s="47"/>
      <c r="C1001" s="51"/>
      <c r="D1001" s="47" t="s">
        <v>2204</v>
      </c>
      <c r="E1001" s="51" t="s">
        <v>7</v>
      </c>
      <c r="F1001" s="107"/>
      <c r="G1001" s="94"/>
      <c r="H1001" s="94"/>
      <c r="I1001" s="94" t="s">
        <v>2953</v>
      </c>
      <c r="J1001" s="94"/>
      <c r="K1001" s="94"/>
      <c r="L1001" s="94"/>
      <c r="M1001" s="94"/>
      <c r="N1001" s="94"/>
      <c r="O1001" s="107" t="s">
        <v>6443</v>
      </c>
      <c r="P1001" s="94" t="s">
        <v>1080</v>
      </c>
      <c r="Q1001" s="145">
        <f>VLOOKUP(TAB_ESTOQUE[[#This Row],[Codigo]],TAB_ENTRADA[[Cod_2_Entrada]:[TOTAL_ENTRADA]],5,FALSE)-VLOOKUP(TAB_ESTOQUE[[#This Row],[Codigo]],TAB_SAIDA[[COD_2_SAIDA]:[TOTAL_SAIDA]],5,FALSE)</f>
        <v>7</v>
      </c>
      <c r="R1001" s="107"/>
      <c r="S1001" s="107"/>
      <c r="T1001" s="108">
        <v>130.46</v>
      </c>
      <c r="U1001" s="109">
        <f>TAB_ESTOQUE[[#This Row],[Valor Unitario Estimado]]*TAB_ESTOQUE[[#This Row],[Estoque]]</f>
        <v>913.22</v>
      </c>
      <c r="V1001" s="109"/>
      <c r="W1001" s="110"/>
      <c r="X1001" s="110"/>
      <c r="Y1001" s="110"/>
      <c r="Z1001" s="110"/>
      <c r="AA1001" s="110"/>
      <c r="AB1001" s="110" t="str">
        <f>IF(TAB_ESTOQUE[[#This Row],[Estoque]]=0,"Estoque Não Conforme",IF(TAB_ESTOQUE[[#This Row],[Estoque]]&gt;=TAB_ESTOQUE[[#This Row],[Mínimo]],"Estoque Conforme",IF(TAB_ESTOQUE[[#This Row],[Estoque]]&lt;TAB_ESTOQUE[[#This Row],[Mínimo]],"Estoque em Nivel Minimo")))</f>
        <v>Estoque Conforme</v>
      </c>
      <c r="AC1001" s="110"/>
      <c r="AD1001" s="94"/>
      <c r="AE1001" s="82"/>
      <c r="AF1001" s="82"/>
    </row>
    <row r="1002" spans="1:32" ht="15" customHeight="1" x14ac:dyDescent="0.25">
      <c r="A1002" s="45">
        <v>515</v>
      </c>
      <c r="B1002" s="47"/>
      <c r="C1002" s="46"/>
      <c r="D1002" s="45" t="s">
        <v>2205</v>
      </c>
      <c r="E1002" s="46" t="s">
        <v>7</v>
      </c>
      <c r="F1002" s="87"/>
      <c r="G1002" s="82"/>
      <c r="H1002" s="82"/>
      <c r="I1002" s="82" t="s">
        <v>2954</v>
      </c>
      <c r="J1002" s="82"/>
      <c r="K1002" s="82"/>
      <c r="L1002" s="82"/>
      <c r="M1002" s="82"/>
      <c r="N1002" s="82"/>
      <c r="O1002" s="87" t="s">
        <v>6443</v>
      </c>
      <c r="P1002" s="82" t="s">
        <v>294</v>
      </c>
      <c r="Q1002" s="83">
        <f>VLOOKUP(TAB_ESTOQUE[[#This Row],[Codigo]],TAB_ENTRADA[[Cod_2_Entrada]:[TOTAL_ENTRADA]],5,FALSE)-VLOOKUP(TAB_ESTOQUE[[#This Row],[Codigo]],TAB_SAIDA[[COD_2_SAIDA]:[TOTAL_SAIDA]],5,FALSE)</f>
        <v>3</v>
      </c>
      <c r="R1002" s="87"/>
      <c r="S1002" s="87"/>
      <c r="T1002" s="90">
        <v>141</v>
      </c>
      <c r="U1002" s="91">
        <f>TAB_ESTOQUE[[#This Row],[Valor Unitario Estimado]]*TAB_ESTOQUE[[#This Row],[Estoque]]</f>
        <v>423</v>
      </c>
      <c r="V1002" s="91"/>
      <c r="W1002" s="85"/>
      <c r="X1002" s="85"/>
      <c r="Y1002" s="85"/>
      <c r="Z1002" s="85"/>
      <c r="AA1002" s="85"/>
      <c r="AB1002" s="85" t="str">
        <f>IF(TAB_ESTOQUE[[#This Row],[Estoque]]=0,"Estoque Não Conforme",IF(TAB_ESTOQUE[[#This Row],[Estoque]]&gt;=TAB_ESTOQUE[[#This Row],[Mínimo]],"Estoque Conforme",IF(TAB_ESTOQUE[[#This Row],[Estoque]]&lt;TAB_ESTOQUE[[#This Row],[Mínimo]],"Estoque em Nivel Minimo")))</f>
        <v>Estoque Conforme</v>
      </c>
      <c r="AC1002" s="85"/>
      <c r="AD1002" s="82"/>
      <c r="AE1002" s="82"/>
      <c r="AF1002" s="82"/>
    </row>
    <row r="1003" spans="1:32" ht="15" customHeight="1" x14ac:dyDescent="0.25">
      <c r="A1003" s="45">
        <v>480</v>
      </c>
      <c r="B1003" s="47"/>
      <c r="C1003" s="46"/>
      <c r="D1003" s="45" t="s">
        <v>2206</v>
      </c>
      <c r="E1003" s="46" t="s">
        <v>8093</v>
      </c>
      <c r="F1003" s="87"/>
      <c r="G1003" s="82"/>
      <c r="H1003" s="82"/>
      <c r="I1003" s="82" t="s">
        <v>2955</v>
      </c>
      <c r="J1003" s="82"/>
      <c r="K1003" s="82"/>
      <c r="L1003" s="82"/>
      <c r="M1003" s="82"/>
      <c r="N1003" s="82"/>
      <c r="O1003" s="87" t="s">
        <v>6443</v>
      </c>
      <c r="P1003" s="82" t="s">
        <v>260</v>
      </c>
      <c r="Q1003" s="83">
        <f>VLOOKUP(TAB_ESTOQUE[[#This Row],[Codigo]],TAB_ENTRADA[[Cod_2_Entrada]:[TOTAL_ENTRADA]],5,FALSE)-VLOOKUP(TAB_ESTOQUE[[#This Row],[Codigo]],TAB_SAIDA[[COD_2_SAIDA]:[TOTAL_SAIDA]],5,FALSE)</f>
        <v>1</v>
      </c>
      <c r="R1003" s="87"/>
      <c r="S1003" s="87"/>
      <c r="T1003" s="90">
        <v>63.24</v>
      </c>
      <c r="U1003" s="91">
        <f>TAB_ESTOQUE[[#This Row],[Valor Unitario Estimado]]*TAB_ESTOQUE[[#This Row],[Estoque]]</f>
        <v>63.24</v>
      </c>
      <c r="V1003" s="91"/>
      <c r="W1003" s="85"/>
      <c r="X1003" s="85"/>
      <c r="Y1003" s="85"/>
      <c r="Z1003" s="85"/>
      <c r="AA1003" s="85"/>
      <c r="AB1003" s="85" t="str">
        <f>IF(TAB_ESTOQUE[[#This Row],[Estoque]]=0,"Estoque Não Conforme",IF(TAB_ESTOQUE[[#This Row],[Estoque]]&gt;=TAB_ESTOQUE[[#This Row],[Mínimo]],"Estoque Conforme",IF(TAB_ESTOQUE[[#This Row],[Estoque]]&lt;TAB_ESTOQUE[[#This Row],[Mínimo]],"Estoque em Nivel Minimo")))</f>
        <v>Estoque Conforme</v>
      </c>
      <c r="AC1003" s="85"/>
      <c r="AD1003" s="82"/>
      <c r="AE1003" s="82"/>
      <c r="AF1003" s="82"/>
    </row>
    <row r="1004" spans="1:32" ht="15" customHeight="1" x14ac:dyDescent="0.25">
      <c r="A1004" s="45">
        <v>244</v>
      </c>
      <c r="B1004" s="47"/>
      <c r="C1004" s="46"/>
      <c r="D1004" s="45" t="s">
        <v>2208</v>
      </c>
      <c r="E1004" s="46" t="s">
        <v>7</v>
      </c>
      <c r="F1004" s="87"/>
      <c r="G1004" s="82"/>
      <c r="H1004" s="82"/>
      <c r="I1004" s="82" t="s">
        <v>2956</v>
      </c>
      <c r="J1004" s="82"/>
      <c r="K1004" s="82"/>
      <c r="L1004" s="82"/>
      <c r="M1004" s="82" t="s">
        <v>139</v>
      </c>
      <c r="N1004" s="82"/>
      <c r="O1004" s="87" t="s">
        <v>6443</v>
      </c>
      <c r="P1004" s="82" t="s">
        <v>188</v>
      </c>
      <c r="Q1004" s="83">
        <f>VLOOKUP(TAB_ESTOQUE[[#This Row],[Codigo]],TAB_ENTRADA[[Cod_2_Entrada]:[TOTAL_ENTRADA]],5,FALSE)-VLOOKUP(TAB_ESTOQUE[[#This Row],[Codigo]],TAB_SAIDA[[COD_2_SAIDA]:[TOTAL_SAIDA]],5,FALSE)</f>
        <v>6</v>
      </c>
      <c r="R1004" s="87"/>
      <c r="S1004" s="87"/>
      <c r="T1004" s="90"/>
      <c r="U1004" s="91">
        <f>TAB_ESTOQUE[[#This Row],[Valor Unitario Estimado]]*TAB_ESTOQUE[[#This Row],[Estoque]]</f>
        <v>0</v>
      </c>
      <c r="V1004" s="91"/>
      <c r="W1004" s="85"/>
      <c r="X1004" s="85"/>
      <c r="Y1004" s="85"/>
      <c r="Z1004" s="85"/>
      <c r="AA1004" s="85"/>
      <c r="AB1004" s="85" t="str">
        <f>IF(TAB_ESTOQUE[[#This Row],[Estoque]]=0,"Estoque Não Conforme",IF(TAB_ESTOQUE[[#This Row],[Estoque]]&gt;=TAB_ESTOQUE[[#This Row],[Mínimo]],"Estoque Conforme",IF(TAB_ESTOQUE[[#This Row],[Estoque]]&lt;TAB_ESTOQUE[[#This Row],[Mínimo]],"Estoque em Nivel Minimo")))</f>
        <v>Estoque Conforme</v>
      </c>
      <c r="AC1004" s="85"/>
      <c r="AD1004" s="82"/>
      <c r="AE1004" s="82"/>
      <c r="AF1004" s="82"/>
    </row>
    <row r="1005" spans="1:32" ht="15" customHeight="1" x14ac:dyDescent="0.25">
      <c r="A1005" s="45">
        <v>1065</v>
      </c>
      <c r="B1005" s="47"/>
      <c r="C1005" s="46"/>
      <c r="D1005" s="45" t="s">
        <v>2323</v>
      </c>
      <c r="E1005" s="46" t="s">
        <v>7</v>
      </c>
      <c r="F1005" s="87"/>
      <c r="G1005" s="82"/>
      <c r="H1005" s="82"/>
      <c r="I1005" s="82" t="s">
        <v>8578</v>
      </c>
      <c r="J1005" s="82"/>
      <c r="K1005" s="82"/>
      <c r="L1005" s="82"/>
      <c r="M1005" s="82" t="s">
        <v>209</v>
      </c>
      <c r="N1005" s="82"/>
      <c r="O1005" s="87" t="s">
        <v>6443</v>
      </c>
      <c r="P1005" s="82" t="s">
        <v>808</v>
      </c>
      <c r="Q1005" s="83">
        <f>VLOOKUP(TAB_ESTOQUE[[#This Row],[Codigo]],TAB_ENTRADA[[Cod_2_Entrada]:[TOTAL_ENTRADA]],5,FALSE)-VLOOKUP(TAB_ESTOQUE[[#This Row],[Codigo]],TAB_SAIDA[[COD_2_SAIDA]:[TOTAL_SAIDA]],5,FALSE)</f>
        <v>8</v>
      </c>
      <c r="R1005" s="87"/>
      <c r="S1005" s="87"/>
      <c r="T1005" s="90"/>
      <c r="U1005" s="91">
        <f>TAB_ESTOQUE[[#This Row],[Valor Unitario Estimado]]*TAB_ESTOQUE[[#This Row],[Estoque]]</f>
        <v>0</v>
      </c>
      <c r="V1005" s="91"/>
      <c r="W1005" s="85"/>
      <c r="X1005" s="85"/>
      <c r="Y1005" s="85"/>
      <c r="Z1005" s="85"/>
      <c r="AA1005" s="85"/>
      <c r="AB1005" s="85" t="str">
        <f>IF(TAB_ESTOQUE[[#This Row],[Estoque]]=0,"Estoque Não Conforme",IF(TAB_ESTOQUE[[#This Row],[Estoque]]&gt;=TAB_ESTOQUE[[#This Row],[Mínimo]],"Estoque Conforme",IF(TAB_ESTOQUE[[#This Row],[Estoque]]&lt;TAB_ESTOQUE[[#This Row],[Mínimo]],"Estoque em Nivel Minimo")))</f>
        <v>Estoque Conforme</v>
      </c>
      <c r="AC1005" s="85"/>
      <c r="AD1005" s="82"/>
      <c r="AE1005" s="82"/>
      <c r="AF1005" s="82"/>
    </row>
    <row r="1006" spans="1:32" ht="15" customHeight="1" x14ac:dyDescent="0.25">
      <c r="A1006" s="45">
        <v>278</v>
      </c>
      <c r="B1006" s="47"/>
      <c r="C1006" s="46" t="s">
        <v>2833</v>
      </c>
      <c r="D1006" s="45" t="s">
        <v>2324</v>
      </c>
      <c r="E1006" s="46" t="s">
        <v>7</v>
      </c>
      <c r="F1006" s="87"/>
      <c r="G1006" s="82"/>
      <c r="H1006" s="82"/>
      <c r="I1006" s="82" t="s">
        <v>8579</v>
      </c>
      <c r="J1006" s="82"/>
      <c r="K1006" s="82" t="s">
        <v>217</v>
      </c>
      <c r="L1006" s="82"/>
      <c r="M1006" s="82" t="s">
        <v>209</v>
      </c>
      <c r="N1006" s="82"/>
      <c r="O1006" s="87" t="s">
        <v>6443</v>
      </c>
      <c r="P1006" s="82" t="s">
        <v>216</v>
      </c>
      <c r="Q1006" s="83">
        <f>VLOOKUP(TAB_ESTOQUE[[#This Row],[Codigo]],TAB_ENTRADA[[Cod_2_Entrada]:[TOTAL_ENTRADA]],5,FALSE)-VLOOKUP(TAB_ESTOQUE[[#This Row],[Codigo]],TAB_SAIDA[[COD_2_SAIDA]:[TOTAL_SAIDA]],5,FALSE)</f>
        <v>4</v>
      </c>
      <c r="R1006" s="87"/>
      <c r="S1006" s="87"/>
      <c r="T1006" s="90"/>
      <c r="U1006" s="91">
        <f>TAB_ESTOQUE[[#This Row],[Valor Unitario Estimado]]*TAB_ESTOQUE[[#This Row],[Estoque]]</f>
        <v>0</v>
      </c>
      <c r="V1006" s="91"/>
      <c r="W1006" s="85"/>
      <c r="X1006" s="85"/>
      <c r="Y1006" s="85"/>
      <c r="Z1006" s="85"/>
      <c r="AA1006" s="85"/>
      <c r="AB1006" s="85" t="str">
        <f>IF(TAB_ESTOQUE[[#This Row],[Estoque]]=0,"Estoque Não Conforme",IF(TAB_ESTOQUE[[#This Row],[Estoque]]&gt;=TAB_ESTOQUE[[#This Row],[Mínimo]],"Estoque Conforme",IF(TAB_ESTOQUE[[#This Row],[Estoque]]&lt;TAB_ESTOQUE[[#This Row],[Mínimo]],"Estoque em Nivel Minimo")))</f>
        <v>Estoque Conforme</v>
      </c>
      <c r="AC1006" s="85"/>
      <c r="AD1006" s="82"/>
      <c r="AE1006" s="82"/>
      <c r="AF1006" s="82"/>
    </row>
    <row r="1007" spans="1:32" ht="15" customHeight="1" x14ac:dyDescent="0.25">
      <c r="A1007" s="106"/>
      <c r="B1007" s="106"/>
      <c r="C1007" s="116" t="s">
        <v>2833</v>
      </c>
      <c r="D1007" s="106" t="s">
        <v>6255</v>
      </c>
      <c r="E1007" s="116"/>
      <c r="F1007" s="118"/>
      <c r="G1007" s="95"/>
      <c r="H1007" s="95"/>
      <c r="I1007" s="95" t="s">
        <v>6760</v>
      </c>
      <c r="J1007" s="95"/>
      <c r="K1007" s="95"/>
      <c r="L1007" s="95"/>
      <c r="M1007" s="95"/>
      <c r="N1007" s="95"/>
      <c r="O1007" s="118" t="s">
        <v>6443</v>
      </c>
      <c r="P1007" s="95" t="s">
        <v>6046</v>
      </c>
      <c r="Q1007" s="154">
        <f>VLOOKUP(TAB_ESTOQUE[[#This Row],[Codigo]],TAB_ENTRADA[[Cod_2_Entrada]:[TOTAL_ENTRADA]],5,FALSE)-VLOOKUP(TAB_ESTOQUE[[#This Row],[Codigo]],TAB_SAIDA[[COD_2_SAIDA]:[TOTAL_SAIDA]],5,FALSE)</f>
        <v>5</v>
      </c>
      <c r="R1007" s="118"/>
      <c r="S1007" s="118"/>
      <c r="T1007" s="119"/>
      <c r="U1007" s="112">
        <f>TAB_ESTOQUE[[#This Row],[Valor Unitario Estimado]]*TAB_ESTOQUE[[#This Row],[Estoque]]</f>
        <v>0</v>
      </c>
      <c r="V1007" s="112"/>
      <c r="W1007" s="120"/>
      <c r="X1007" s="120"/>
      <c r="Y1007" s="120"/>
      <c r="Z1007" s="120"/>
      <c r="AA1007" s="120"/>
      <c r="AB1007" s="120" t="str">
        <f>IF(TAB_ESTOQUE[[#This Row],[Estoque]]=0,"Estoque Não Conforme",IF(TAB_ESTOQUE[[#This Row],[Estoque]]&gt;=TAB_ESTOQUE[[#This Row],[Mínimo]],"Estoque Conforme",IF(TAB_ESTOQUE[[#This Row],[Estoque]]&lt;TAB_ESTOQUE[[#This Row],[Mínimo]],"Estoque em Nivel Minimo")))</f>
        <v>Estoque Conforme</v>
      </c>
      <c r="AC1007" s="160"/>
      <c r="AD1007" s="95"/>
      <c r="AE1007" s="82"/>
      <c r="AF1007" s="82"/>
    </row>
    <row r="1008" spans="1:32" ht="15" customHeight="1" x14ac:dyDescent="0.25">
      <c r="A1008" s="45">
        <v>492</v>
      </c>
      <c r="B1008" s="47"/>
      <c r="C1008" s="46"/>
      <c r="D1008" s="45" t="s">
        <v>2182</v>
      </c>
      <c r="E1008" s="46" t="s">
        <v>7</v>
      </c>
      <c r="F1008" s="87"/>
      <c r="G1008" s="82"/>
      <c r="H1008" s="82"/>
      <c r="I1008" s="82" t="s">
        <v>2946</v>
      </c>
      <c r="J1008" s="82"/>
      <c r="K1008" s="82"/>
      <c r="L1008" s="82"/>
      <c r="M1008" s="82" t="s">
        <v>139</v>
      </c>
      <c r="N1008" s="82"/>
      <c r="O1008" s="87" t="s">
        <v>6444</v>
      </c>
      <c r="P1008" s="82" t="s">
        <v>273</v>
      </c>
      <c r="Q1008" s="83">
        <f>VLOOKUP(TAB_ESTOQUE[[#This Row],[Codigo]],TAB_ENTRADA[[Cod_2_Entrada]:[TOTAL_ENTRADA]],5,FALSE)-VLOOKUP(TAB_ESTOQUE[[#This Row],[Codigo]],TAB_SAIDA[[COD_2_SAIDA]:[TOTAL_SAIDA]],5,FALSE)</f>
        <v>7</v>
      </c>
      <c r="R1008" s="87"/>
      <c r="S1008" s="87"/>
      <c r="T1008" s="90"/>
      <c r="U1008" s="91">
        <f>TAB_ESTOQUE[[#This Row],[Valor Unitario Estimado]]*TAB_ESTOQUE[[#This Row],[Estoque]]</f>
        <v>0</v>
      </c>
      <c r="V1008" s="91"/>
      <c r="W1008" s="85"/>
      <c r="X1008" s="85"/>
      <c r="Y1008" s="85"/>
      <c r="Z1008" s="85"/>
      <c r="AA1008" s="85"/>
      <c r="AB1008" s="85" t="str">
        <f>IF(TAB_ESTOQUE[[#This Row],[Estoque]]=0,"Estoque Não Conforme",IF(TAB_ESTOQUE[[#This Row],[Estoque]]&gt;=TAB_ESTOQUE[[#This Row],[Mínimo]],"Estoque Conforme",IF(TAB_ESTOQUE[[#This Row],[Estoque]]&lt;TAB_ESTOQUE[[#This Row],[Mínimo]],"Estoque em Nivel Minimo")))</f>
        <v>Estoque Conforme</v>
      </c>
      <c r="AC1008" s="85"/>
      <c r="AD1008" s="82"/>
      <c r="AE1008" s="82"/>
      <c r="AF1008" s="82"/>
    </row>
    <row r="1009" spans="1:32" ht="15" customHeight="1" x14ac:dyDescent="0.25">
      <c r="A1009" s="45">
        <v>855</v>
      </c>
      <c r="B1009" s="47"/>
      <c r="C1009" s="46"/>
      <c r="D1009" s="45" t="s">
        <v>2200</v>
      </c>
      <c r="E1009" s="46" t="s">
        <v>7</v>
      </c>
      <c r="F1009" s="87"/>
      <c r="G1009" s="82"/>
      <c r="H1009" s="82"/>
      <c r="I1009" s="82" t="s">
        <v>1577</v>
      </c>
      <c r="J1009" s="82"/>
      <c r="K1009" s="82"/>
      <c r="L1009" s="82"/>
      <c r="M1009" s="82"/>
      <c r="N1009" s="82"/>
      <c r="O1009" s="87" t="s">
        <v>6444</v>
      </c>
      <c r="P1009" s="82" t="s">
        <v>646</v>
      </c>
      <c r="Q1009" s="83">
        <f>VLOOKUP(TAB_ESTOQUE[[#This Row],[Codigo]],TAB_ENTRADA[[Cod_2_Entrada]:[TOTAL_ENTRADA]],5,FALSE)-VLOOKUP(TAB_ESTOQUE[[#This Row],[Codigo]],TAB_SAIDA[[COD_2_SAIDA]:[TOTAL_SAIDA]],5,FALSE)</f>
        <v>1</v>
      </c>
      <c r="R1009" s="87"/>
      <c r="S1009" s="87"/>
      <c r="T1009" s="90">
        <v>50</v>
      </c>
      <c r="U1009" s="91">
        <f>TAB_ESTOQUE[[#This Row],[Valor Unitario Estimado]]*TAB_ESTOQUE[[#This Row],[Estoque]]</f>
        <v>50</v>
      </c>
      <c r="V1009" s="91"/>
      <c r="W1009" s="85"/>
      <c r="X1009" s="85"/>
      <c r="Y1009" s="85"/>
      <c r="Z1009" s="85"/>
      <c r="AA1009" s="85"/>
      <c r="AB1009" s="85" t="str">
        <f>IF(TAB_ESTOQUE[[#This Row],[Estoque]]=0,"Estoque Não Conforme",IF(TAB_ESTOQUE[[#This Row],[Estoque]]&gt;=TAB_ESTOQUE[[#This Row],[Mínimo]],"Estoque Conforme",IF(TAB_ESTOQUE[[#This Row],[Estoque]]&lt;TAB_ESTOQUE[[#This Row],[Mínimo]],"Estoque em Nivel Minimo")))</f>
        <v>Estoque Conforme</v>
      </c>
      <c r="AC1009" s="85"/>
      <c r="AD1009" s="82"/>
      <c r="AE1009" s="82"/>
      <c r="AF1009" s="82"/>
    </row>
    <row r="1010" spans="1:32" ht="15" customHeight="1" x14ac:dyDescent="0.25">
      <c r="A1010" s="45">
        <v>1017</v>
      </c>
      <c r="B1010" s="47"/>
      <c r="C1010" s="46"/>
      <c r="D1010" s="45" t="s">
        <v>2201</v>
      </c>
      <c r="E1010" s="46" t="s">
        <v>7</v>
      </c>
      <c r="F1010" s="87"/>
      <c r="G1010" s="82"/>
      <c r="H1010" s="82"/>
      <c r="I1010" s="82" t="s">
        <v>2950</v>
      </c>
      <c r="J1010" s="82"/>
      <c r="K1010" s="82"/>
      <c r="L1010" s="82"/>
      <c r="M1010" s="82" t="s">
        <v>139</v>
      </c>
      <c r="N1010" s="82"/>
      <c r="O1010" s="87" t="s">
        <v>6444</v>
      </c>
      <c r="P1010" s="82" t="s">
        <v>781</v>
      </c>
      <c r="Q1010" s="83">
        <f>VLOOKUP(TAB_ESTOQUE[[#This Row],[Codigo]],TAB_ENTRADA[[Cod_2_Entrada]:[TOTAL_ENTRADA]],5,FALSE)-VLOOKUP(TAB_ESTOQUE[[#This Row],[Codigo]],TAB_SAIDA[[COD_2_SAIDA]:[TOTAL_SAIDA]],5,FALSE)</f>
        <v>5</v>
      </c>
      <c r="R1010" s="87"/>
      <c r="S1010" s="87"/>
      <c r="T1010" s="90">
        <v>80</v>
      </c>
      <c r="U1010" s="91">
        <f>TAB_ESTOQUE[[#This Row],[Valor Unitario Estimado]]*TAB_ESTOQUE[[#This Row],[Estoque]]</f>
        <v>400</v>
      </c>
      <c r="V1010" s="91"/>
      <c r="W1010" s="85"/>
      <c r="X1010" s="85"/>
      <c r="Y1010" s="85"/>
      <c r="Z1010" s="85"/>
      <c r="AA1010" s="85"/>
      <c r="AB1010" s="85" t="str">
        <f>IF(TAB_ESTOQUE[[#This Row],[Estoque]]=0,"Estoque Não Conforme",IF(TAB_ESTOQUE[[#This Row],[Estoque]]&gt;=TAB_ESTOQUE[[#This Row],[Mínimo]],"Estoque Conforme",IF(TAB_ESTOQUE[[#This Row],[Estoque]]&lt;TAB_ESTOQUE[[#This Row],[Mínimo]],"Estoque em Nivel Minimo")))</f>
        <v>Estoque Conforme</v>
      </c>
      <c r="AC1010" s="85"/>
      <c r="AD1010" s="82"/>
      <c r="AE1010" s="82"/>
      <c r="AF1010" s="82"/>
    </row>
    <row r="1011" spans="1:32" ht="15" customHeight="1" x14ac:dyDescent="0.25">
      <c r="A1011" s="45">
        <v>1353</v>
      </c>
      <c r="B1011" s="47"/>
      <c r="C1011" s="46"/>
      <c r="D1011" s="45" t="s">
        <v>2202</v>
      </c>
      <c r="E1011" s="46" t="s">
        <v>8405</v>
      </c>
      <c r="F1011" s="87"/>
      <c r="G1011" s="82"/>
      <c r="H1011" s="82"/>
      <c r="I1011" s="82" t="s">
        <v>2951</v>
      </c>
      <c r="J1011" s="82"/>
      <c r="K1011" s="82"/>
      <c r="L1011" s="82"/>
      <c r="M1011" s="82"/>
      <c r="N1011" s="82"/>
      <c r="O1011" s="87" t="s">
        <v>6444</v>
      </c>
      <c r="P1011" s="82" t="s">
        <v>1087</v>
      </c>
      <c r="Q1011" s="83">
        <f>VLOOKUP(TAB_ESTOQUE[[#This Row],[Codigo]],TAB_ENTRADA[[Cod_2_Entrada]:[TOTAL_ENTRADA]],5,FALSE)-VLOOKUP(TAB_ESTOQUE[[#This Row],[Codigo]],TAB_SAIDA[[COD_2_SAIDA]:[TOTAL_SAIDA]],5,FALSE)</f>
        <v>8</v>
      </c>
      <c r="R1011" s="87"/>
      <c r="S1011" s="87"/>
      <c r="T1011" s="90">
        <v>30</v>
      </c>
      <c r="U1011" s="91">
        <f>TAB_ESTOQUE[[#This Row],[Valor Unitario Estimado]]*TAB_ESTOQUE[[#This Row],[Estoque]]</f>
        <v>240</v>
      </c>
      <c r="V1011" s="91"/>
      <c r="W1011" s="85"/>
      <c r="X1011" s="85"/>
      <c r="Y1011" s="85"/>
      <c r="Z1011" s="85"/>
      <c r="AA1011" s="85"/>
      <c r="AB1011" s="85" t="str">
        <f>IF(TAB_ESTOQUE[[#This Row],[Estoque]]=0,"Estoque Não Conforme",IF(TAB_ESTOQUE[[#This Row],[Estoque]]&gt;=TAB_ESTOQUE[[#This Row],[Mínimo]],"Estoque Conforme",IF(TAB_ESTOQUE[[#This Row],[Estoque]]&lt;TAB_ESTOQUE[[#This Row],[Mínimo]],"Estoque em Nivel Minimo")))</f>
        <v>Estoque Conforme</v>
      </c>
      <c r="AC1011" s="85"/>
      <c r="AD1011" s="82"/>
      <c r="AE1011" s="82"/>
      <c r="AF1011" s="82"/>
    </row>
    <row r="1012" spans="1:32" ht="15" customHeight="1" x14ac:dyDescent="0.25">
      <c r="A1012" s="45">
        <v>252</v>
      </c>
      <c r="B1012" s="47"/>
      <c r="C1012" s="46"/>
      <c r="D1012" s="45" t="s">
        <v>2221</v>
      </c>
      <c r="E1012" s="46" t="s">
        <v>7</v>
      </c>
      <c r="F1012" s="87"/>
      <c r="G1012" s="82"/>
      <c r="H1012" s="82"/>
      <c r="I1012" s="82" t="s">
        <v>2965</v>
      </c>
      <c r="J1012" s="82"/>
      <c r="K1012" s="82"/>
      <c r="L1012" s="82"/>
      <c r="M1012" s="82" t="s">
        <v>139</v>
      </c>
      <c r="N1012" s="82"/>
      <c r="O1012" s="87" t="s">
        <v>6444</v>
      </c>
      <c r="P1012" s="82" t="s">
        <v>195</v>
      </c>
      <c r="Q1012" s="83">
        <f>VLOOKUP(TAB_ESTOQUE[[#This Row],[Codigo]],TAB_ENTRADA[[Cod_2_Entrada]:[TOTAL_ENTRADA]],5,FALSE)-VLOOKUP(TAB_ESTOQUE[[#This Row],[Codigo]],TAB_SAIDA[[COD_2_SAIDA]:[TOTAL_SAIDA]],5,FALSE)</f>
        <v>4</v>
      </c>
      <c r="R1012" s="87"/>
      <c r="S1012" s="87"/>
      <c r="T1012" s="90"/>
      <c r="U1012" s="91">
        <f>TAB_ESTOQUE[[#This Row],[Valor Unitario Estimado]]*TAB_ESTOQUE[[#This Row],[Estoque]]</f>
        <v>0</v>
      </c>
      <c r="V1012" s="91"/>
      <c r="W1012" s="85"/>
      <c r="X1012" s="85"/>
      <c r="Y1012" s="85"/>
      <c r="Z1012" s="85"/>
      <c r="AA1012" s="85"/>
      <c r="AB1012" s="85" t="str">
        <f>IF(TAB_ESTOQUE[[#This Row],[Estoque]]=0,"Estoque Não Conforme",IF(TAB_ESTOQUE[[#This Row],[Estoque]]&gt;=TAB_ESTOQUE[[#This Row],[Mínimo]],"Estoque Conforme",IF(TAB_ESTOQUE[[#This Row],[Estoque]]&lt;TAB_ESTOQUE[[#This Row],[Mínimo]],"Estoque em Nivel Minimo")))</f>
        <v>Estoque Conforme</v>
      </c>
      <c r="AC1012" s="85"/>
      <c r="AD1012" s="82"/>
      <c r="AE1012" s="82"/>
      <c r="AF1012" s="82"/>
    </row>
    <row r="1013" spans="1:32" ht="15" customHeight="1" x14ac:dyDescent="0.25">
      <c r="A1013" s="47">
        <v>1064</v>
      </c>
      <c r="B1013" s="47"/>
      <c r="C1013" s="51" t="s">
        <v>2833</v>
      </c>
      <c r="D1013" s="47" t="s">
        <v>2322</v>
      </c>
      <c r="E1013" s="51"/>
      <c r="F1013" s="107"/>
      <c r="G1013" s="94"/>
      <c r="H1013" s="94"/>
      <c r="I1013" s="94" t="s">
        <v>8577</v>
      </c>
      <c r="J1013" s="94"/>
      <c r="K1013" s="94"/>
      <c r="L1013" s="94"/>
      <c r="M1013" s="94"/>
      <c r="N1013" s="94"/>
      <c r="O1013" s="107" t="s">
        <v>6444</v>
      </c>
      <c r="P1013" s="94" t="s">
        <v>807</v>
      </c>
      <c r="Q1013" s="145">
        <f>VLOOKUP(TAB_ESTOQUE[[#This Row],[Codigo]],TAB_ENTRADA[[Cod_2_Entrada]:[TOTAL_ENTRADA]],5,FALSE)-VLOOKUP(TAB_ESTOQUE[[#This Row],[Codigo]],TAB_SAIDA[[COD_2_SAIDA]:[TOTAL_SAIDA]],5,FALSE)</f>
        <v>4</v>
      </c>
      <c r="R1013" s="107"/>
      <c r="S1013" s="107"/>
      <c r="T1013" s="108"/>
      <c r="U1013" s="109">
        <f>TAB_ESTOQUE[[#This Row],[Valor Unitario Estimado]]*TAB_ESTOQUE[[#This Row],[Estoque]]</f>
        <v>0</v>
      </c>
      <c r="V1013" s="109"/>
      <c r="W1013" s="110"/>
      <c r="X1013" s="110"/>
      <c r="Y1013" s="110"/>
      <c r="Z1013" s="110"/>
      <c r="AA1013" s="110"/>
      <c r="AB1013" s="110" t="str">
        <f>IF(TAB_ESTOQUE[[#This Row],[Estoque]]=0,"Estoque Não Conforme",IF(TAB_ESTOQUE[[#This Row],[Estoque]]&gt;=TAB_ESTOQUE[[#This Row],[Mínimo]],"Estoque Conforme",IF(TAB_ESTOQUE[[#This Row],[Estoque]]&lt;TAB_ESTOQUE[[#This Row],[Mínimo]],"Estoque em Nivel Minimo")))</f>
        <v>Estoque Conforme</v>
      </c>
      <c r="AC1013" s="110"/>
      <c r="AD1013" s="94"/>
      <c r="AE1013" s="82"/>
      <c r="AF1013" s="82"/>
    </row>
    <row r="1014" spans="1:32" ht="15" customHeight="1" x14ac:dyDescent="0.25">
      <c r="A1014" s="45">
        <v>1070</v>
      </c>
      <c r="B1014" s="47"/>
      <c r="C1014" s="46"/>
      <c r="D1014" s="45" t="s">
        <v>2447</v>
      </c>
      <c r="E1014" s="46" t="s">
        <v>7</v>
      </c>
      <c r="F1014" s="87"/>
      <c r="G1014" s="82"/>
      <c r="H1014" s="82"/>
      <c r="I1014" s="82" t="s">
        <v>6550</v>
      </c>
      <c r="J1014" s="82"/>
      <c r="K1014" s="82" t="s">
        <v>30</v>
      </c>
      <c r="L1014" s="82"/>
      <c r="M1014" s="82"/>
      <c r="N1014" s="82"/>
      <c r="O1014" s="87" t="s">
        <v>6444</v>
      </c>
      <c r="P1014" s="82" t="s">
        <v>810</v>
      </c>
      <c r="Q1014" s="83">
        <f>VLOOKUP(TAB_ESTOQUE[[#This Row],[Codigo]],TAB_ENTRADA[[Cod_2_Entrada]:[TOTAL_ENTRADA]],5,FALSE)-VLOOKUP(TAB_ESTOQUE[[#This Row],[Codigo]],TAB_SAIDA[[COD_2_SAIDA]:[TOTAL_SAIDA]],5,FALSE)</f>
        <v>5</v>
      </c>
      <c r="R1014" s="87">
        <v>2</v>
      </c>
      <c r="S1014" s="87">
        <v>8</v>
      </c>
      <c r="T1014" s="90"/>
      <c r="U1014" s="91">
        <f>TAB_ESTOQUE[[#This Row],[Valor Unitario Estimado]]*TAB_ESTOQUE[[#This Row],[Estoque]]</f>
        <v>0</v>
      </c>
      <c r="V1014" s="91"/>
      <c r="W1014" s="85"/>
      <c r="X1014" s="85"/>
      <c r="Y1014" s="85"/>
      <c r="Z1014" s="85"/>
      <c r="AA1014" s="85"/>
      <c r="AB1014" s="85" t="str">
        <f>IF(TAB_ESTOQUE[[#This Row],[Estoque]]=0,"Estoque Não Conforme",IF(TAB_ESTOQUE[[#This Row],[Estoque]]&gt;=TAB_ESTOQUE[[#This Row],[Mínimo]],"Estoque Conforme",IF(TAB_ESTOQUE[[#This Row],[Estoque]]&lt;TAB_ESTOQUE[[#This Row],[Mínimo]],"Estoque em Nivel Minimo")))</f>
        <v>Estoque Conforme</v>
      </c>
      <c r="AC1014" s="85"/>
      <c r="AD1014" s="82"/>
      <c r="AE1014" s="82"/>
      <c r="AF1014" s="82"/>
    </row>
    <row r="1015" spans="1:32" ht="15" customHeight="1" x14ac:dyDescent="0.25">
      <c r="A1015" s="45">
        <v>1716</v>
      </c>
      <c r="B1015" s="47"/>
      <c r="C1015" s="46"/>
      <c r="D1015" s="45" t="s">
        <v>2570</v>
      </c>
      <c r="E1015" s="46" t="s">
        <v>1231</v>
      </c>
      <c r="F1015" s="87"/>
      <c r="G1015" s="82"/>
      <c r="H1015" s="82"/>
      <c r="I1015" s="82" t="s">
        <v>1413</v>
      </c>
      <c r="J1015" s="82"/>
      <c r="K1015" s="82"/>
      <c r="L1015" s="82"/>
      <c r="M1015" s="82" t="s">
        <v>515</v>
      </c>
      <c r="N1015" s="82"/>
      <c r="O1015" s="87" t="s">
        <v>6444</v>
      </c>
      <c r="P1015" s="82" t="s">
        <v>1330</v>
      </c>
      <c r="Q1015" s="83">
        <f>VLOOKUP(TAB_ESTOQUE[[#This Row],[Codigo]],TAB_ENTRADA[[Cod_2_Entrada]:[TOTAL_ENTRADA]],5,FALSE)-VLOOKUP(TAB_ESTOQUE[[#This Row],[Codigo]],TAB_SAIDA[[COD_2_SAIDA]:[TOTAL_SAIDA]],5,FALSE)</f>
        <v>1</v>
      </c>
      <c r="R1015" s="87"/>
      <c r="S1015" s="87"/>
      <c r="T1015" s="90"/>
      <c r="U1015" s="91">
        <f>TAB_ESTOQUE[[#This Row],[Valor Unitario Estimado]]*TAB_ESTOQUE[[#This Row],[Estoque]]</f>
        <v>0</v>
      </c>
      <c r="V1015" s="91"/>
      <c r="W1015" s="85"/>
      <c r="X1015" s="85"/>
      <c r="Y1015" s="85"/>
      <c r="Z1015" s="85"/>
      <c r="AA1015" s="85"/>
      <c r="AB1015" s="85" t="str">
        <f>IF(TAB_ESTOQUE[[#This Row],[Estoque]]=0,"Estoque Não Conforme",IF(TAB_ESTOQUE[[#This Row],[Estoque]]&gt;=TAB_ESTOQUE[[#This Row],[Mínimo]],"Estoque Conforme",IF(TAB_ESTOQUE[[#This Row],[Estoque]]&lt;TAB_ESTOQUE[[#This Row],[Mínimo]],"Estoque em Nivel Minimo")))</f>
        <v>Estoque Conforme</v>
      </c>
      <c r="AC1015" s="85"/>
      <c r="AD1015" s="82"/>
      <c r="AE1015" s="82"/>
      <c r="AF1015" s="82"/>
    </row>
    <row r="1016" spans="1:32" ht="15" customHeight="1" x14ac:dyDescent="0.25">
      <c r="B1016" s="47"/>
      <c r="C1016" s="53" t="s">
        <v>2833</v>
      </c>
      <c r="D1016" s="45" t="s">
        <v>5990</v>
      </c>
      <c r="E1016" s="46"/>
      <c r="F1016" s="87"/>
      <c r="G1016" s="82"/>
      <c r="H1016" s="82"/>
      <c r="I1016" s="82" t="s">
        <v>6502</v>
      </c>
      <c r="J1016" s="82"/>
      <c r="K1016" s="82"/>
      <c r="L1016" s="82"/>
      <c r="M1016" s="82"/>
      <c r="N1016" s="82"/>
      <c r="O1016" s="87" t="s">
        <v>6444</v>
      </c>
      <c r="P1016" s="82" t="s">
        <v>6015</v>
      </c>
      <c r="Q1016" s="83">
        <f>VLOOKUP(TAB_ESTOQUE[[#This Row],[Codigo]],TAB_ENTRADA[[Cod_2_Entrada]:[TOTAL_ENTRADA]],5,FALSE)-VLOOKUP(TAB_ESTOQUE[[#This Row],[Codigo]],TAB_SAIDA[[COD_2_SAIDA]:[TOTAL_SAIDA]],5,FALSE)</f>
        <v>2</v>
      </c>
      <c r="R1016" s="87"/>
      <c r="S1016" s="87"/>
      <c r="T1016" s="90"/>
      <c r="U1016" s="91">
        <f>TAB_ESTOQUE[[#This Row],[Valor Unitario Estimado]]*TAB_ESTOQUE[[#This Row],[Estoque]]</f>
        <v>0</v>
      </c>
      <c r="V1016" s="91"/>
      <c r="W1016" s="85"/>
      <c r="X1016" s="85"/>
      <c r="Y1016" s="85"/>
      <c r="Z1016" s="85"/>
      <c r="AA1016" s="85"/>
      <c r="AB1016" s="96" t="str">
        <f>IF(TAB_ESTOQUE[[#This Row],[Estoque]]=0,"Estoque Não Conforme",IF(TAB_ESTOQUE[[#This Row],[Estoque]]&gt;=TAB_ESTOQUE[[#This Row],[Mínimo]],"Estoque Conforme",IF(TAB_ESTOQUE[[#This Row],[Estoque]]&lt;TAB_ESTOQUE[[#This Row],[Mínimo]],"Estoque em Nivel Minimo")))</f>
        <v>Estoque Conforme</v>
      </c>
      <c r="AC1016" s="96"/>
      <c r="AD1016" s="82"/>
      <c r="AE1016" s="82"/>
      <c r="AF1016" s="82"/>
    </row>
    <row r="1017" spans="1:32" ht="15" customHeight="1" x14ac:dyDescent="0.25">
      <c r="A1017" s="45">
        <v>1287</v>
      </c>
      <c r="B1017" s="47"/>
      <c r="C1017" s="46"/>
      <c r="D1017" s="45" t="s">
        <v>2226</v>
      </c>
      <c r="E1017" s="46" t="s">
        <v>7345</v>
      </c>
      <c r="F1017" s="87"/>
      <c r="G1017" s="82"/>
      <c r="H1017" s="82"/>
      <c r="I1017" s="82" t="s">
        <v>2990</v>
      </c>
      <c r="J1017" s="82"/>
      <c r="K1017" s="82"/>
      <c r="L1017" s="82"/>
      <c r="M1017" s="82" t="s">
        <v>139</v>
      </c>
      <c r="N1017" s="82"/>
      <c r="O1017" s="87" t="s">
        <v>8747</v>
      </c>
      <c r="P1017" s="82" t="s">
        <v>1007</v>
      </c>
      <c r="Q1017" s="83">
        <f>VLOOKUP(TAB_ESTOQUE[[#This Row],[Codigo]],TAB_ENTRADA[[Cod_2_Entrada]:[TOTAL_ENTRADA]],5,FALSE)-VLOOKUP(TAB_ESTOQUE[[#This Row],[Codigo]],TAB_SAIDA[[COD_2_SAIDA]:[TOTAL_SAIDA]],5,FALSE)</f>
        <v>0</v>
      </c>
      <c r="R1017" s="87"/>
      <c r="S1017" s="87"/>
      <c r="T1017" s="90">
        <v>916</v>
      </c>
      <c r="U1017" s="91">
        <f>TAB_ESTOQUE[[#This Row],[Valor Unitario Estimado]]*TAB_ESTOQUE[[#This Row],[Estoque]]</f>
        <v>0</v>
      </c>
      <c r="V1017" s="91"/>
      <c r="W1017" s="85"/>
      <c r="X1017" s="85"/>
      <c r="Y1017" s="85"/>
      <c r="Z1017" s="85"/>
      <c r="AA1017" s="85"/>
      <c r="AB1017" s="85" t="str">
        <f>IF(TAB_ESTOQUE[[#This Row],[Estoque]]=0,"Estoque Não Conforme",IF(TAB_ESTOQUE[[#This Row],[Estoque]]&gt;=TAB_ESTOQUE[[#This Row],[Mínimo]],"Estoque Conforme",IF(TAB_ESTOQUE[[#This Row],[Estoque]]&lt;TAB_ESTOQUE[[#This Row],[Mínimo]],"Estoque em Nivel Minimo")))</f>
        <v>Estoque Não Conforme</v>
      </c>
      <c r="AC1017" s="85"/>
      <c r="AD1017" s="82"/>
      <c r="AE1017" s="82"/>
      <c r="AF1017" s="82"/>
    </row>
    <row r="1018" spans="1:32" ht="15" customHeight="1" x14ac:dyDescent="0.25">
      <c r="A1018" s="45">
        <v>262</v>
      </c>
      <c r="B1018" s="47"/>
      <c r="C1018" s="46"/>
      <c r="D1018" s="45" t="s">
        <v>2227</v>
      </c>
      <c r="E1018" s="46" t="s">
        <v>7345</v>
      </c>
      <c r="F1018" s="87"/>
      <c r="G1018" s="82"/>
      <c r="H1018" s="82"/>
      <c r="I1018" s="82" t="s">
        <v>2991</v>
      </c>
      <c r="J1018" s="82"/>
      <c r="K1018" s="82"/>
      <c r="L1018" s="82"/>
      <c r="M1018" s="82" t="s">
        <v>139</v>
      </c>
      <c r="N1018" s="82"/>
      <c r="O1018" s="87" t="s">
        <v>8747</v>
      </c>
      <c r="P1018" s="82" t="s">
        <v>200</v>
      </c>
      <c r="Q1018" s="83">
        <f>VLOOKUP(TAB_ESTOQUE[[#This Row],[Codigo]],TAB_ENTRADA[[Cod_2_Entrada]:[TOTAL_ENTRADA]],5,FALSE)-VLOOKUP(TAB_ESTOQUE[[#This Row],[Codigo]],TAB_SAIDA[[COD_2_SAIDA]:[TOTAL_SAIDA]],5,FALSE)</f>
        <v>0</v>
      </c>
      <c r="R1018" s="87"/>
      <c r="S1018" s="87"/>
      <c r="T1018" s="90">
        <v>1000</v>
      </c>
      <c r="U1018" s="91">
        <f>TAB_ESTOQUE[[#This Row],[Valor Unitario Estimado]]*TAB_ESTOQUE[[#This Row],[Estoque]]</f>
        <v>0</v>
      </c>
      <c r="V1018" s="91"/>
      <c r="W1018" s="85"/>
      <c r="X1018" s="85"/>
      <c r="Y1018" s="85"/>
      <c r="Z1018" s="85"/>
      <c r="AA1018" s="85"/>
      <c r="AB1018" s="85" t="str">
        <f>IF(TAB_ESTOQUE[[#This Row],[Estoque]]=0,"Estoque Não Conforme",IF(TAB_ESTOQUE[[#This Row],[Estoque]]&gt;=TAB_ESTOQUE[[#This Row],[Mínimo]],"Estoque Conforme",IF(TAB_ESTOQUE[[#This Row],[Estoque]]&lt;TAB_ESTOQUE[[#This Row],[Mínimo]],"Estoque em Nivel Minimo")))</f>
        <v>Estoque Não Conforme</v>
      </c>
      <c r="AC1018" s="85"/>
      <c r="AD1018" s="82"/>
      <c r="AE1018" s="82"/>
      <c r="AF1018" s="82"/>
    </row>
    <row r="1019" spans="1:32" ht="15" customHeight="1" x14ac:dyDescent="0.25">
      <c r="A1019" s="45">
        <v>1286</v>
      </c>
      <c r="B1019" s="47"/>
      <c r="C1019" s="46"/>
      <c r="D1019" s="45" t="s">
        <v>2228</v>
      </c>
      <c r="E1019" s="46" t="s">
        <v>7345</v>
      </c>
      <c r="F1019" s="87"/>
      <c r="G1019" s="82"/>
      <c r="H1019" s="82"/>
      <c r="I1019" s="82" t="s">
        <v>2992</v>
      </c>
      <c r="J1019" s="82"/>
      <c r="K1019" s="82"/>
      <c r="L1019" s="82"/>
      <c r="M1019" s="82" t="s">
        <v>139</v>
      </c>
      <c r="N1019" s="82"/>
      <c r="O1019" s="87" t="s">
        <v>8747</v>
      </c>
      <c r="P1019" s="82" t="s">
        <v>1006</v>
      </c>
      <c r="Q1019" s="83">
        <f>VLOOKUP(TAB_ESTOQUE[[#This Row],[Codigo]],TAB_ENTRADA[[Cod_2_Entrada]:[TOTAL_ENTRADA]],5,FALSE)-VLOOKUP(TAB_ESTOQUE[[#This Row],[Codigo]],TAB_SAIDA[[COD_2_SAIDA]:[TOTAL_SAIDA]],5,FALSE)</f>
        <v>1</v>
      </c>
      <c r="R1019" s="87"/>
      <c r="S1019" s="87"/>
      <c r="T1019" s="90">
        <v>995</v>
      </c>
      <c r="U1019" s="91">
        <f>TAB_ESTOQUE[[#This Row],[Valor Unitario Estimado]]*TAB_ESTOQUE[[#This Row],[Estoque]]</f>
        <v>995</v>
      </c>
      <c r="V1019" s="91"/>
      <c r="W1019" s="85"/>
      <c r="X1019" s="85"/>
      <c r="Y1019" s="85"/>
      <c r="Z1019" s="85"/>
      <c r="AA1019" s="85"/>
      <c r="AB1019" s="85" t="str">
        <f>IF(TAB_ESTOQUE[[#This Row],[Estoque]]=0,"Estoque Não Conforme",IF(TAB_ESTOQUE[[#This Row],[Estoque]]&gt;=TAB_ESTOQUE[[#This Row],[Mínimo]],"Estoque Conforme",IF(TAB_ESTOQUE[[#This Row],[Estoque]]&lt;TAB_ESTOQUE[[#This Row],[Mínimo]],"Estoque em Nivel Minimo")))</f>
        <v>Estoque Conforme</v>
      </c>
      <c r="AC1019" s="85"/>
      <c r="AD1019" s="82"/>
      <c r="AE1019" s="82"/>
      <c r="AF1019" s="82"/>
    </row>
    <row r="1020" spans="1:32" ht="15" customHeight="1" x14ac:dyDescent="0.25">
      <c r="A1020" s="45">
        <v>656</v>
      </c>
      <c r="B1020" s="47"/>
      <c r="C1020" s="46"/>
      <c r="D1020" s="45" t="s">
        <v>2297</v>
      </c>
      <c r="E1020" s="46" t="s">
        <v>8409</v>
      </c>
      <c r="F1020" s="87"/>
      <c r="G1020" s="82"/>
      <c r="H1020" s="82"/>
      <c r="I1020" s="82" t="s">
        <v>2993</v>
      </c>
      <c r="J1020" s="82"/>
      <c r="K1020" s="82"/>
      <c r="L1020" s="82"/>
      <c r="M1020" s="82"/>
      <c r="N1020" s="82"/>
      <c r="O1020" s="87" t="s">
        <v>8747</v>
      </c>
      <c r="P1020" s="82" t="s">
        <v>442</v>
      </c>
      <c r="Q1020" s="83">
        <f>VLOOKUP(TAB_ESTOQUE[[#This Row],[Codigo]],TAB_ENTRADA[[Cod_2_Entrada]:[TOTAL_ENTRADA]],5,FALSE)-VLOOKUP(TAB_ESTOQUE[[#This Row],[Codigo]],TAB_SAIDA[[COD_2_SAIDA]:[TOTAL_SAIDA]],5,FALSE)</f>
        <v>0</v>
      </c>
      <c r="R1020" s="87"/>
      <c r="S1020" s="87"/>
      <c r="T1020" s="90">
        <v>4000</v>
      </c>
      <c r="U1020" s="91">
        <f>TAB_ESTOQUE[[#This Row],[Valor Unitario Estimado]]*TAB_ESTOQUE[[#This Row],[Estoque]]</f>
        <v>0</v>
      </c>
      <c r="V1020" s="91"/>
      <c r="W1020" s="85"/>
      <c r="X1020" s="85"/>
      <c r="Y1020" s="85"/>
      <c r="Z1020" s="85"/>
      <c r="AA1020" s="85"/>
      <c r="AB1020" s="85" t="str">
        <f>IF(TAB_ESTOQUE[[#This Row],[Estoque]]=0,"Estoque Não Conforme",IF(TAB_ESTOQUE[[#This Row],[Estoque]]&gt;=TAB_ESTOQUE[[#This Row],[Mínimo]],"Estoque Conforme",IF(TAB_ESTOQUE[[#This Row],[Estoque]]&lt;TAB_ESTOQUE[[#This Row],[Mínimo]],"Estoque em Nivel Minimo")))</f>
        <v>Estoque Não Conforme</v>
      </c>
      <c r="AC1020" s="85"/>
      <c r="AD1020" s="82"/>
      <c r="AE1020" s="82"/>
      <c r="AF1020" s="82"/>
    </row>
    <row r="1021" spans="1:32" ht="15" customHeight="1" x14ac:dyDescent="0.25">
      <c r="A1021" s="45">
        <v>647</v>
      </c>
      <c r="B1021" s="47"/>
      <c r="C1021" s="46" t="s">
        <v>2842</v>
      </c>
      <c r="D1021" s="45" t="s">
        <v>2298</v>
      </c>
      <c r="E1021" s="46" t="s">
        <v>8409</v>
      </c>
      <c r="F1021" s="87"/>
      <c r="G1021" s="82"/>
      <c r="H1021" s="82"/>
      <c r="I1021" s="82" t="s">
        <v>6184</v>
      </c>
      <c r="J1021" s="82"/>
      <c r="K1021" s="82"/>
      <c r="L1021" s="82"/>
      <c r="M1021" s="82"/>
      <c r="N1021" s="82"/>
      <c r="O1021" s="87" t="s">
        <v>6609</v>
      </c>
      <c r="P1021" s="82" t="s">
        <v>428</v>
      </c>
      <c r="Q1021" s="83">
        <f>VLOOKUP(TAB_ESTOQUE[[#This Row],[Codigo]],TAB_ENTRADA[[Cod_2_Entrada]:[TOTAL_ENTRADA]],5,FALSE)-VLOOKUP(TAB_ESTOQUE[[#This Row],[Codigo]],TAB_SAIDA[[COD_2_SAIDA]:[TOTAL_SAIDA]],5,FALSE)</f>
        <v>13</v>
      </c>
      <c r="R1021" s="87"/>
      <c r="S1021" s="87"/>
      <c r="T1021" s="90">
        <v>19.36</v>
      </c>
      <c r="U1021" s="91">
        <f>TAB_ESTOQUE[[#This Row],[Valor Unitario Estimado]]*TAB_ESTOQUE[[#This Row],[Estoque]]</f>
        <v>251.68</v>
      </c>
      <c r="V1021" s="91"/>
      <c r="W1021" s="85"/>
      <c r="X1021" s="85"/>
      <c r="Y1021" s="85"/>
      <c r="Z1021" s="85"/>
      <c r="AA1021" s="85"/>
      <c r="AB1021" s="85" t="str">
        <f>IF(TAB_ESTOQUE[[#This Row],[Estoque]]=0,"Estoque Não Conforme",IF(TAB_ESTOQUE[[#This Row],[Estoque]]&gt;=TAB_ESTOQUE[[#This Row],[Mínimo]],"Estoque Conforme",IF(TAB_ESTOQUE[[#This Row],[Estoque]]&lt;TAB_ESTOQUE[[#This Row],[Mínimo]],"Estoque em Nivel Minimo")))</f>
        <v>Estoque Conforme</v>
      </c>
      <c r="AC1021" s="85"/>
      <c r="AD1021" s="82"/>
      <c r="AE1021" s="82"/>
      <c r="AF1021" s="82"/>
    </row>
    <row r="1022" spans="1:32" ht="15" customHeight="1" x14ac:dyDescent="0.25">
      <c r="A1022" s="45">
        <v>648</v>
      </c>
      <c r="B1022" s="47"/>
      <c r="C1022" s="46" t="s">
        <v>2838</v>
      </c>
      <c r="D1022" s="45" t="s">
        <v>2299</v>
      </c>
      <c r="E1022" s="46" t="s">
        <v>8409</v>
      </c>
      <c r="F1022" s="87"/>
      <c r="G1022" s="82"/>
      <c r="H1022" s="82"/>
      <c r="I1022" s="82" t="s">
        <v>6612</v>
      </c>
      <c r="J1022" s="82"/>
      <c r="K1022" s="82"/>
      <c r="L1022" s="82"/>
      <c r="M1022" s="82"/>
      <c r="N1022" s="82"/>
      <c r="O1022" s="87" t="s">
        <v>6609</v>
      </c>
      <c r="P1022" s="82" t="s">
        <v>429</v>
      </c>
      <c r="Q1022" s="83">
        <f>VLOOKUP(TAB_ESTOQUE[[#This Row],[Codigo]],TAB_ENTRADA[[Cod_2_Entrada]:[TOTAL_ENTRADA]],5,FALSE)-VLOOKUP(TAB_ESTOQUE[[#This Row],[Codigo]],TAB_SAIDA[[COD_2_SAIDA]:[TOTAL_SAIDA]],5,FALSE)</f>
        <v>7</v>
      </c>
      <c r="R1022" s="87"/>
      <c r="S1022" s="87"/>
      <c r="T1022" s="90">
        <v>15.98</v>
      </c>
      <c r="U1022" s="91">
        <f>TAB_ESTOQUE[[#This Row],[Valor Unitario Estimado]]*TAB_ESTOQUE[[#This Row],[Estoque]]</f>
        <v>111.86</v>
      </c>
      <c r="V1022" s="91"/>
      <c r="W1022" s="85"/>
      <c r="X1022" s="85"/>
      <c r="Y1022" s="85"/>
      <c r="Z1022" s="85"/>
      <c r="AA1022" s="85"/>
      <c r="AB1022" s="85" t="str">
        <f>IF(TAB_ESTOQUE[[#This Row],[Estoque]]=0,"Estoque Não Conforme",IF(TAB_ESTOQUE[[#This Row],[Estoque]]&gt;=TAB_ESTOQUE[[#This Row],[Mínimo]],"Estoque Conforme",IF(TAB_ESTOQUE[[#This Row],[Estoque]]&lt;TAB_ESTOQUE[[#This Row],[Mínimo]],"Estoque em Nivel Minimo")))</f>
        <v>Estoque Conforme</v>
      </c>
      <c r="AC1022" s="85"/>
      <c r="AD1022" s="82"/>
      <c r="AE1022" s="82"/>
      <c r="AF1022" s="82"/>
    </row>
    <row r="1023" spans="1:32" ht="15" customHeight="1" x14ac:dyDescent="0.25">
      <c r="A1023" s="45">
        <v>724</v>
      </c>
      <c r="B1023" s="47"/>
      <c r="C1023" s="46"/>
      <c r="D1023" s="45" t="s">
        <v>2300</v>
      </c>
      <c r="E1023" s="46" t="s">
        <v>8409</v>
      </c>
      <c r="F1023" s="87"/>
      <c r="G1023" s="82"/>
      <c r="H1023" s="82"/>
      <c r="I1023" s="82" t="s">
        <v>6874</v>
      </c>
      <c r="J1023" s="82"/>
      <c r="K1023" s="82"/>
      <c r="L1023" s="82"/>
      <c r="M1023" s="82"/>
      <c r="N1023" s="82"/>
      <c r="O1023" s="87" t="s">
        <v>6609</v>
      </c>
      <c r="P1023" s="82" t="s">
        <v>504</v>
      </c>
      <c r="Q1023" s="83">
        <f>VLOOKUP(TAB_ESTOQUE[[#This Row],[Codigo]],TAB_ENTRADA[[Cod_2_Entrada]:[TOTAL_ENTRADA]],5,FALSE)-VLOOKUP(TAB_ESTOQUE[[#This Row],[Codigo]],TAB_SAIDA[[COD_2_SAIDA]:[TOTAL_SAIDA]],5,FALSE)</f>
        <v>0</v>
      </c>
      <c r="R1023" s="87"/>
      <c r="S1023" s="87"/>
      <c r="T1023" s="90">
        <v>200</v>
      </c>
      <c r="U1023" s="91">
        <f>TAB_ESTOQUE[[#This Row],[Valor Unitario Estimado]]*TAB_ESTOQUE[[#This Row],[Estoque]]</f>
        <v>0</v>
      </c>
      <c r="V1023" s="91"/>
      <c r="W1023" s="85"/>
      <c r="X1023" s="85"/>
      <c r="Y1023" s="85"/>
      <c r="Z1023" s="85"/>
      <c r="AA1023" s="85"/>
      <c r="AB1023" s="85" t="str">
        <f>IF(TAB_ESTOQUE[[#This Row],[Estoque]]=0,"Estoque Não Conforme",IF(TAB_ESTOQUE[[#This Row],[Estoque]]&gt;=TAB_ESTOQUE[[#This Row],[Mínimo]],"Estoque Conforme",IF(TAB_ESTOQUE[[#This Row],[Estoque]]&lt;TAB_ESTOQUE[[#This Row],[Mínimo]],"Estoque em Nivel Minimo")))</f>
        <v>Estoque Não Conforme</v>
      </c>
      <c r="AC1023" s="85"/>
      <c r="AD1023" s="82"/>
      <c r="AE1023" s="82"/>
      <c r="AF1023" s="82"/>
    </row>
    <row r="1024" spans="1:32" ht="15" customHeight="1" x14ac:dyDescent="0.25">
      <c r="A1024" s="45">
        <v>649</v>
      </c>
      <c r="B1024" s="47"/>
      <c r="C1024" s="46" t="s">
        <v>2838</v>
      </c>
      <c r="D1024" s="45" t="s">
        <v>2301</v>
      </c>
      <c r="E1024" s="46" t="s">
        <v>1240</v>
      </c>
      <c r="F1024" s="87"/>
      <c r="G1024" s="82"/>
      <c r="H1024" s="82"/>
      <c r="I1024" s="82" t="s">
        <v>3030</v>
      </c>
      <c r="J1024" s="82"/>
      <c r="K1024" s="82"/>
      <c r="L1024" s="82"/>
      <c r="M1024" s="82"/>
      <c r="N1024" s="82"/>
      <c r="O1024" s="87" t="s">
        <v>6609</v>
      </c>
      <c r="P1024" s="82" t="s">
        <v>430</v>
      </c>
      <c r="Q1024" s="83">
        <f>VLOOKUP(TAB_ESTOQUE[[#This Row],[Codigo]],TAB_ENTRADA[[Cod_2_Entrada]:[TOTAL_ENTRADA]],5,FALSE)-VLOOKUP(TAB_ESTOQUE[[#This Row],[Codigo]],TAB_SAIDA[[COD_2_SAIDA]:[TOTAL_SAIDA]],5,FALSE)</f>
        <v>2</v>
      </c>
      <c r="R1024" s="87"/>
      <c r="S1024" s="87"/>
      <c r="T1024" s="90">
        <v>3976</v>
      </c>
      <c r="U1024" s="91">
        <f>TAB_ESTOQUE[[#This Row],[Valor Unitario Estimado]]*TAB_ESTOQUE[[#This Row],[Estoque]]</f>
        <v>7952</v>
      </c>
      <c r="V1024" s="91"/>
      <c r="W1024" s="85"/>
      <c r="X1024" s="85"/>
      <c r="Y1024" s="85"/>
      <c r="Z1024" s="85"/>
      <c r="AA1024" s="85"/>
      <c r="AB1024" s="85" t="str">
        <f>IF(TAB_ESTOQUE[[#This Row],[Estoque]]=0,"Estoque Não Conforme",IF(TAB_ESTOQUE[[#This Row],[Estoque]]&gt;=TAB_ESTOQUE[[#This Row],[Mínimo]],"Estoque Conforme",IF(TAB_ESTOQUE[[#This Row],[Estoque]]&lt;TAB_ESTOQUE[[#This Row],[Mínimo]],"Estoque em Nivel Minimo")))</f>
        <v>Estoque Conforme</v>
      </c>
      <c r="AC1024" s="85"/>
      <c r="AD1024" s="82"/>
      <c r="AE1024" s="82"/>
      <c r="AF1024" s="82"/>
    </row>
    <row r="1025" spans="1:32" ht="15" customHeight="1" x14ac:dyDescent="0.25">
      <c r="A1025" s="45">
        <v>248</v>
      </c>
      <c r="B1025" s="47"/>
      <c r="C1025" s="46"/>
      <c r="D1025" s="45" t="s">
        <v>2241</v>
      </c>
      <c r="E1025" s="46" t="s">
        <v>7345</v>
      </c>
      <c r="F1025" s="87"/>
      <c r="G1025" s="82"/>
      <c r="H1025" s="82"/>
      <c r="I1025" s="82" t="s">
        <v>6170</v>
      </c>
      <c r="J1025" s="82"/>
      <c r="K1025" s="82"/>
      <c r="L1025" s="82"/>
      <c r="M1025" s="82" t="s">
        <v>139</v>
      </c>
      <c r="N1025" s="82"/>
      <c r="O1025" s="87" t="s">
        <v>6610</v>
      </c>
      <c r="P1025" s="82" t="s">
        <v>192</v>
      </c>
      <c r="Q1025" s="83">
        <f>VLOOKUP(TAB_ESTOQUE[[#This Row],[Codigo]],TAB_ENTRADA[[Cod_2_Entrada]:[TOTAL_ENTRADA]],5,FALSE)-VLOOKUP(TAB_ESTOQUE[[#This Row],[Codigo]],TAB_SAIDA[[COD_2_SAIDA]:[TOTAL_SAIDA]],5,FALSE)</f>
        <v>0</v>
      </c>
      <c r="R1025" s="87"/>
      <c r="S1025" s="87"/>
      <c r="T1025" s="90">
        <v>1500</v>
      </c>
      <c r="U1025" s="91">
        <f>TAB_ESTOQUE[[#This Row],[Valor Unitario Estimado]]*TAB_ESTOQUE[[#This Row],[Estoque]]</f>
        <v>0</v>
      </c>
      <c r="V1025" s="91"/>
      <c r="W1025" s="85"/>
      <c r="X1025" s="85"/>
      <c r="Y1025" s="85"/>
      <c r="Z1025" s="85"/>
      <c r="AA1025" s="85"/>
      <c r="AB1025" s="85" t="str">
        <f>IF(TAB_ESTOQUE[[#This Row],[Estoque]]=0,"Estoque Não Conforme",IF(TAB_ESTOQUE[[#This Row],[Estoque]]&gt;=TAB_ESTOQUE[[#This Row],[Mínimo]],"Estoque Conforme",IF(TAB_ESTOQUE[[#This Row],[Estoque]]&lt;TAB_ESTOQUE[[#This Row],[Mínimo]],"Estoque em Nivel Minimo")))</f>
        <v>Estoque Não Conforme</v>
      </c>
      <c r="AC1025" s="85"/>
      <c r="AD1025" s="82"/>
      <c r="AE1025" s="82"/>
      <c r="AF1025" s="82"/>
    </row>
    <row r="1026" spans="1:32" ht="15" customHeight="1" x14ac:dyDescent="0.25">
      <c r="A1026" s="45">
        <v>735</v>
      </c>
      <c r="B1026" s="47"/>
      <c r="C1026" s="46"/>
      <c r="D1026" s="45" t="s">
        <v>2245</v>
      </c>
      <c r="E1026" s="46" t="s">
        <v>7345</v>
      </c>
      <c r="F1026" s="87"/>
      <c r="G1026" s="82"/>
      <c r="H1026" s="82"/>
      <c r="I1026" s="82" t="s">
        <v>6172</v>
      </c>
      <c r="J1026" s="82"/>
      <c r="K1026" s="82"/>
      <c r="L1026" s="82"/>
      <c r="M1026" s="82"/>
      <c r="N1026" s="82"/>
      <c r="O1026" s="87" t="s">
        <v>6610</v>
      </c>
      <c r="P1026" s="82" t="s">
        <v>518</v>
      </c>
      <c r="Q1026" s="83">
        <f>VLOOKUP(TAB_ESTOQUE[[#This Row],[Codigo]],TAB_ENTRADA[[Cod_2_Entrada]:[TOTAL_ENTRADA]],5,FALSE)-VLOOKUP(TAB_ESTOQUE[[#This Row],[Codigo]],TAB_SAIDA[[COD_2_SAIDA]:[TOTAL_SAIDA]],5,FALSE)</f>
        <v>23</v>
      </c>
      <c r="R1026" s="87"/>
      <c r="S1026" s="87"/>
      <c r="T1026" s="90">
        <v>167</v>
      </c>
      <c r="U1026" s="91">
        <f>TAB_ESTOQUE[[#This Row],[Valor Unitario Estimado]]*TAB_ESTOQUE[[#This Row],[Estoque]]</f>
        <v>3841</v>
      </c>
      <c r="V1026" s="91"/>
      <c r="W1026" s="85"/>
      <c r="X1026" s="85"/>
      <c r="Y1026" s="85"/>
      <c r="Z1026" s="85"/>
      <c r="AA1026" s="85"/>
      <c r="AB1026" s="85" t="str">
        <f>IF(TAB_ESTOQUE[[#This Row],[Estoque]]=0,"Estoque Não Conforme",IF(TAB_ESTOQUE[[#This Row],[Estoque]]&gt;=TAB_ESTOQUE[[#This Row],[Mínimo]],"Estoque Conforme",IF(TAB_ESTOQUE[[#This Row],[Estoque]]&lt;TAB_ESTOQUE[[#This Row],[Mínimo]],"Estoque em Nivel Minimo")))</f>
        <v>Estoque Conforme</v>
      </c>
      <c r="AC1026" s="85"/>
      <c r="AD1026" s="82"/>
      <c r="AE1026" s="82"/>
      <c r="AF1026" s="82"/>
    </row>
    <row r="1027" spans="1:32" ht="15" customHeight="1" x14ac:dyDescent="0.25">
      <c r="A1027" s="45">
        <v>736</v>
      </c>
      <c r="B1027" s="47"/>
      <c r="C1027" s="46"/>
      <c r="D1027" s="45" t="s">
        <v>2246</v>
      </c>
      <c r="E1027" s="46" t="s">
        <v>7345</v>
      </c>
      <c r="F1027" s="87"/>
      <c r="G1027" s="82"/>
      <c r="H1027" s="82"/>
      <c r="I1027" s="82" t="s">
        <v>6173</v>
      </c>
      <c r="J1027" s="82"/>
      <c r="K1027" s="82"/>
      <c r="L1027" s="82"/>
      <c r="M1027" s="82" t="s">
        <v>209</v>
      </c>
      <c r="N1027" s="82"/>
      <c r="O1027" s="87" t="s">
        <v>6610</v>
      </c>
      <c r="P1027" s="82" t="s">
        <v>519</v>
      </c>
      <c r="Q1027" s="83">
        <f>VLOOKUP(TAB_ESTOQUE[[#This Row],[Codigo]],TAB_ENTRADA[[Cod_2_Entrada]:[TOTAL_ENTRADA]],5,FALSE)-VLOOKUP(TAB_ESTOQUE[[#This Row],[Codigo]],TAB_SAIDA[[COD_2_SAIDA]:[TOTAL_SAIDA]],5,FALSE)</f>
        <v>0</v>
      </c>
      <c r="R1027" s="87"/>
      <c r="S1027" s="87"/>
      <c r="T1027" s="90">
        <v>171</v>
      </c>
      <c r="U1027" s="91">
        <f>TAB_ESTOQUE[[#This Row],[Valor Unitario Estimado]]*TAB_ESTOQUE[[#This Row],[Estoque]]</f>
        <v>0</v>
      </c>
      <c r="V1027" s="91"/>
      <c r="W1027" s="85"/>
      <c r="X1027" s="85"/>
      <c r="Y1027" s="85"/>
      <c r="Z1027" s="85"/>
      <c r="AA1027" s="85"/>
      <c r="AB1027" s="85" t="str">
        <f>IF(TAB_ESTOQUE[[#This Row],[Estoque]]=0,"Estoque Não Conforme",IF(TAB_ESTOQUE[[#This Row],[Estoque]]&gt;=TAB_ESTOQUE[[#This Row],[Mínimo]],"Estoque Conforme",IF(TAB_ESTOQUE[[#This Row],[Estoque]]&lt;TAB_ESTOQUE[[#This Row],[Mínimo]],"Estoque em Nivel Minimo")))</f>
        <v>Estoque Não Conforme</v>
      </c>
      <c r="AC1027" s="85"/>
      <c r="AD1027" s="82"/>
      <c r="AE1027" s="82"/>
      <c r="AF1027" s="82"/>
    </row>
    <row r="1028" spans="1:32" s="106" customFormat="1" ht="14.25" customHeight="1" x14ac:dyDescent="0.25">
      <c r="A1028" s="45">
        <v>1066</v>
      </c>
      <c r="B1028" s="47"/>
      <c r="C1028" s="46" t="s">
        <v>2833</v>
      </c>
      <c r="D1028" s="45" t="s">
        <v>2248</v>
      </c>
      <c r="E1028" s="46" t="s">
        <v>7345</v>
      </c>
      <c r="F1028" s="87"/>
      <c r="G1028" s="82"/>
      <c r="H1028" s="82"/>
      <c r="I1028" s="82" t="s">
        <v>1456</v>
      </c>
      <c r="J1028" s="82"/>
      <c r="K1028" s="82"/>
      <c r="L1028" s="82"/>
      <c r="M1028" s="82"/>
      <c r="N1028" s="82"/>
      <c r="O1028" s="87" t="s">
        <v>6610</v>
      </c>
      <c r="P1028" s="82" t="s">
        <v>809</v>
      </c>
      <c r="Q1028" s="83">
        <f>VLOOKUP(TAB_ESTOQUE[[#This Row],[Codigo]],TAB_ENTRADA[[Cod_2_Entrada]:[TOTAL_ENTRADA]],5,FALSE)-VLOOKUP(TAB_ESTOQUE[[#This Row],[Codigo]],TAB_SAIDA[[COD_2_SAIDA]:[TOTAL_SAIDA]],5,FALSE)</f>
        <v>18</v>
      </c>
      <c r="R1028" s="87"/>
      <c r="S1028" s="87"/>
      <c r="T1028" s="90">
        <v>317.31</v>
      </c>
      <c r="U1028" s="91">
        <f>TAB_ESTOQUE[[#This Row],[Valor Unitario Estimado]]*TAB_ESTOQUE[[#This Row],[Estoque]]</f>
        <v>5711.58</v>
      </c>
      <c r="V1028" s="91"/>
      <c r="W1028" s="85"/>
      <c r="X1028" s="85"/>
      <c r="Y1028" s="85"/>
      <c r="Z1028" s="85"/>
      <c r="AA1028" s="85"/>
      <c r="AB1028" s="85" t="str">
        <f>IF(TAB_ESTOQUE[[#This Row],[Estoque]]=0,"Estoque Não Conforme",IF(TAB_ESTOQUE[[#This Row],[Estoque]]&gt;=TAB_ESTOQUE[[#This Row],[Mínimo]],"Estoque Conforme",IF(TAB_ESTOQUE[[#This Row],[Estoque]]&lt;TAB_ESTOQUE[[#This Row],[Mínimo]],"Estoque em Nivel Minimo")))</f>
        <v>Estoque Conforme</v>
      </c>
      <c r="AC1028" s="85"/>
      <c r="AD1028" s="82"/>
      <c r="AE1028" s="95"/>
      <c r="AF1028" s="95"/>
    </row>
    <row r="1029" spans="1:32" s="47" customFormat="1" ht="15" customHeight="1" x14ac:dyDescent="0.25">
      <c r="A1029" s="45">
        <v>1177</v>
      </c>
      <c r="C1029" s="46" t="s">
        <v>2833</v>
      </c>
      <c r="D1029" s="45" t="s">
        <v>2249</v>
      </c>
      <c r="E1029" s="46" t="s">
        <v>7345</v>
      </c>
      <c r="F1029" s="87"/>
      <c r="G1029" s="82"/>
      <c r="H1029" s="82"/>
      <c r="I1029" s="82" t="s">
        <v>1377</v>
      </c>
      <c r="J1029" s="82"/>
      <c r="K1029" s="82"/>
      <c r="L1029" s="82"/>
      <c r="M1029" s="82"/>
      <c r="N1029" s="82"/>
      <c r="O1029" s="87" t="s">
        <v>6610</v>
      </c>
      <c r="P1029" s="82" t="s">
        <v>899</v>
      </c>
      <c r="Q1029" s="83">
        <f>VLOOKUP(TAB_ESTOQUE[[#This Row],[Codigo]],TAB_ENTRADA[[Cod_2_Entrada]:[TOTAL_ENTRADA]],5,FALSE)-VLOOKUP(TAB_ESTOQUE[[#This Row],[Codigo]],TAB_SAIDA[[COD_2_SAIDA]:[TOTAL_SAIDA]],5,FALSE)</f>
        <v>5</v>
      </c>
      <c r="R1029" s="87"/>
      <c r="S1029" s="87"/>
      <c r="T1029" s="90">
        <v>1520</v>
      </c>
      <c r="U1029" s="91">
        <f>TAB_ESTOQUE[[#This Row],[Valor Unitario Estimado]]*TAB_ESTOQUE[[#This Row],[Estoque]]</f>
        <v>7600</v>
      </c>
      <c r="V1029" s="91"/>
      <c r="W1029" s="85"/>
      <c r="X1029" s="85"/>
      <c r="Y1029" s="85"/>
      <c r="Z1029" s="85"/>
      <c r="AA1029" s="85"/>
      <c r="AB1029" s="85" t="str">
        <f>IF(TAB_ESTOQUE[[#This Row],[Estoque]]=0,"Estoque Não Conforme",IF(TAB_ESTOQUE[[#This Row],[Estoque]]&gt;=TAB_ESTOQUE[[#This Row],[Mínimo]],"Estoque Conforme",IF(TAB_ESTOQUE[[#This Row],[Estoque]]&lt;TAB_ESTOQUE[[#This Row],[Mínimo]],"Estoque em Nivel Minimo")))</f>
        <v>Estoque Conforme</v>
      </c>
      <c r="AC1029" s="85"/>
      <c r="AD1029" s="82"/>
      <c r="AE1029" s="94"/>
      <c r="AF1029" s="94"/>
    </row>
    <row r="1030" spans="1:32" ht="15" customHeight="1" x14ac:dyDescent="0.25">
      <c r="A1030" s="45">
        <v>1178</v>
      </c>
      <c r="B1030" s="47"/>
      <c r="C1030" s="46"/>
      <c r="D1030" s="45" t="s">
        <v>2250</v>
      </c>
      <c r="E1030" s="46" t="s">
        <v>7345</v>
      </c>
      <c r="F1030" s="87"/>
      <c r="G1030" s="82"/>
      <c r="H1030" s="82"/>
      <c r="I1030" s="82" t="s">
        <v>6175</v>
      </c>
      <c r="J1030" s="82"/>
      <c r="K1030" s="82"/>
      <c r="L1030" s="82"/>
      <c r="M1030" s="82"/>
      <c r="N1030" s="82"/>
      <c r="O1030" s="87" t="s">
        <v>6610</v>
      </c>
      <c r="P1030" s="82" t="s">
        <v>900</v>
      </c>
      <c r="Q1030" s="83">
        <f>VLOOKUP(TAB_ESTOQUE[[#This Row],[Codigo]],TAB_ENTRADA[[Cod_2_Entrada]:[TOTAL_ENTRADA]],5,FALSE)-VLOOKUP(TAB_ESTOQUE[[#This Row],[Codigo]],TAB_SAIDA[[COD_2_SAIDA]:[TOTAL_SAIDA]],5,FALSE)</f>
        <v>14</v>
      </c>
      <c r="R1030" s="87"/>
      <c r="S1030" s="87"/>
      <c r="T1030" s="90">
        <v>230</v>
      </c>
      <c r="U1030" s="91">
        <f>TAB_ESTOQUE[[#This Row],[Valor Unitario Estimado]]*TAB_ESTOQUE[[#This Row],[Estoque]]</f>
        <v>3220</v>
      </c>
      <c r="V1030" s="91"/>
      <c r="W1030" s="85"/>
      <c r="X1030" s="85"/>
      <c r="Y1030" s="85"/>
      <c r="Z1030" s="85"/>
      <c r="AA1030" s="85"/>
      <c r="AB1030" s="85" t="str">
        <f>IF(TAB_ESTOQUE[[#This Row],[Estoque]]=0,"Estoque Não Conforme",IF(TAB_ESTOQUE[[#This Row],[Estoque]]&gt;=TAB_ESTOQUE[[#This Row],[Mínimo]],"Estoque Conforme",IF(TAB_ESTOQUE[[#This Row],[Estoque]]&lt;TAB_ESTOQUE[[#This Row],[Mínimo]],"Estoque em Nivel Minimo")))</f>
        <v>Estoque Conforme</v>
      </c>
      <c r="AC1030" s="85"/>
      <c r="AD1030" s="82"/>
      <c r="AE1030" s="82"/>
      <c r="AF1030" s="82"/>
    </row>
    <row r="1031" spans="1:32" ht="15" customHeight="1" x14ac:dyDescent="0.25">
      <c r="A1031" s="45">
        <v>651</v>
      </c>
      <c r="B1031" s="47"/>
      <c r="C1031" s="46"/>
      <c r="D1031" s="45" t="s">
        <v>2305</v>
      </c>
      <c r="E1031" s="46" t="s">
        <v>7345</v>
      </c>
      <c r="F1031" s="87"/>
      <c r="G1031" s="82"/>
      <c r="H1031" s="82"/>
      <c r="I1031" s="82" t="s">
        <v>1461</v>
      </c>
      <c r="J1031" s="82"/>
      <c r="K1031" s="82"/>
      <c r="L1031" s="82"/>
      <c r="M1031" s="82"/>
      <c r="N1031" s="82"/>
      <c r="O1031" s="87" t="s">
        <v>6610</v>
      </c>
      <c r="P1031" s="82" t="s">
        <v>432</v>
      </c>
      <c r="Q1031" s="83">
        <f>VLOOKUP(TAB_ESTOQUE[[#This Row],[Codigo]],TAB_ENTRADA[[Cod_2_Entrada]:[TOTAL_ENTRADA]],5,FALSE)-VLOOKUP(TAB_ESTOQUE[[#This Row],[Codigo]],TAB_SAIDA[[COD_2_SAIDA]:[TOTAL_SAIDA]],5,FALSE)</f>
        <v>39</v>
      </c>
      <c r="R1031" s="87"/>
      <c r="S1031" s="87"/>
      <c r="T1031" s="90">
        <v>128</v>
      </c>
      <c r="U1031" s="91">
        <f>TAB_ESTOQUE[[#This Row],[Valor Unitario Estimado]]*TAB_ESTOQUE[[#This Row],[Estoque]]</f>
        <v>4992</v>
      </c>
      <c r="V1031" s="91"/>
      <c r="W1031" s="85"/>
      <c r="X1031" s="85"/>
      <c r="Y1031" s="85"/>
      <c r="Z1031" s="85"/>
      <c r="AA1031" s="85"/>
      <c r="AB1031" s="85" t="str">
        <f>IF(TAB_ESTOQUE[[#This Row],[Estoque]]=0,"Estoque Não Conforme",IF(TAB_ESTOQUE[[#This Row],[Estoque]]&gt;=TAB_ESTOQUE[[#This Row],[Mínimo]],"Estoque Conforme",IF(TAB_ESTOQUE[[#This Row],[Estoque]]&lt;TAB_ESTOQUE[[#This Row],[Mínimo]],"Estoque em Nivel Minimo")))</f>
        <v>Estoque Conforme</v>
      </c>
      <c r="AC1031" s="85"/>
      <c r="AD1031" s="82"/>
      <c r="AE1031" s="82"/>
      <c r="AF1031" s="82"/>
    </row>
    <row r="1032" spans="1:32" ht="15" customHeight="1" x14ac:dyDescent="0.25">
      <c r="A1032" s="45">
        <v>652</v>
      </c>
      <c r="B1032" s="47"/>
      <c r="C1032" s="46"/>
      <c r="D1032" s="45" t="s">
        <v>2306</v>
      </c>
      <c r="E1032" s="46" t="s">
        <v>7</v>
      </c>
      <c r="F1032" s="87"/>
      <c r="G1032" s="82"/>
      <c r="H1032" s="82"/>
      <c r="I1032" s="82" t="s">
        <v>2994</v>
      </c>
      <c r="J1032" s="82"/>
      <c r="K1032" s="82"/>
      <c r="L1032" s="82"/>
      <c r="M1032" s="82"/>
      <c r="N1032" s="82"/>
      <c r="O1032" s="87" t="s">
        <v>6610</v>
      </c>
      <c r="P1032" s="82" t="s">
        <v>434</v>
      </c>
      <c r="Q1032" s="83">
        <f>VLOOKUP(TAB_ESTOQUE[[#This Row],[Codigo]],TAB_ENTRADA[[Cod_2_Entrada]:[TOTAL_ENTRADA]],5,FALSE)-VLOOKUP(TAB_ESTOQUE[[#This Row],[Codigo]],TAB_SAIDA[[COD_2_SAIDA]:[TOTAL_SAIDA]],5,FALSE)</f>
        <v>6</v>
      </c>
      <c r="R1032" s="87"/>
      <c r="S1032" s="87"/>
      <c r="T1032" s="90">
        <v>21.9</v>
      </c>
      <c r="U1032" s="91">
        <f>TAB_ESTOQUE[[#This Row],[Valor Unitario Estimado]]*TAB_ESTOQUE[[#This Row],[Estoque]]</f>
        <v>131.39999999999998</v>
      </c>
      <c r="V1032" s="91"/>
      <c r="W1032" s="85"/>
      <c r="X1032" s="85"/>
      <c r="Y1032" s="85"/>
      <c r="Z1032" s="85"/>
      <c r="AA1032" s="85"/>
      <c r="AB1032" s="85" t="str">
        <f>IF(TAB_ESTOQUE[[#This Row],[Estoque]]=0,"Estoque Não Conforme",IF(TAB_ESTOQUE[[#This Row],[Estoque]]&gt;=TAB_ESTOQUE[[#This Row],[Mínimo]],"Estoque Conforme",IF(TAB_ESTOQUE[[#This Row],[Estoque]]&lt;TAB_ESTOQUE[[#This Row],[Mínimo]],"Estoque em Nivel Minimo")))</f>
        <v>Estoque Conforme</v>
      </c>
      <c r="AC1032" s="85"/>
      <c r="AD1032" s="82"/>
      <c r="AE1032" s="82"/>
      <c r="AF1032" s="82"/>
    </row>
    <row r="1033" spans="1:32" s="161" customFormat="1" ht="15.75" customHeight="1" x14ac:dyDescent="0.25">
      <c r="A1033" s="45">
        <v>653</v>
      </c>
      <c r="B1033" s="47"/>
      <c r="C1033" s="46"/>
      <c r="D1033" s="45" t="s">
        <v>2307</v>
      </c>
      <c r="E1033" s="46" t="s">
        <v>7345</v>
      </c>
      <c r="F1033" s="87"/>
      <c r="G1033" s="82"/>
      <c r="H1033" s="82"/>
      <c r="I1033" s="82" t="s">
        <v>1462</v>
      </c>
      <c r="J1033" s="82"/>
      <c r="K1033" s="82"/>
      <c r="L1033" s="82"/>
      <c r="M1033" s="82"/>
      <c r="N1033" s="82"/>
      <c r="O1033" s="87" t="s">
        <v>6610</v>
      </c>
      <c r="P1033" s="82" t="s">
        <v>436</v>
      </c>
      <c r="Q1033" s="83">
        <f>VLOOKUP(TAB_ESTOQUE[[#This Row],[Codigo]],TAB_ENTRADA[[Cod_2_Entrada]:[TOTAL_ENTRADA]],5,FALSE)-VLOOKUP(TAB_ESTOQUE[[#This Row],[Codigo]],TAB_SAIDA[[COD_2_SAIDA]:[TOTAL_SAIDA]],5,FALSE)</f>
        <v>0</v>
      </c>
      <c r="R1033" s="87"/>
      <c r="S1033" s="87"/>
      <c r="T1033" s="90">
        <v>147.19999999999999</v>
      </c>
      <c r="U1033" s="91">
        <f>TAB_ESTOQUE[[#This Row],[Valor Unitario Estimado]]*TAB_ESTOQUE[[#This Row],[Estoque]]</f>
        <v>0</v>
      </c>
      <c r="V1033" s="91"/>
      <c r="W1033" s="85"/>
      <c r="X1033" s="85"/>
      <c r="Y1033" s="85"/>
      <c r="Z1033" s="85"/>
      <c r="AA1033" s="85"/>
      <c r="AB1033" s="85" t="str">
        <f>IF(TAB_ESTOQUE[[#This Row],[Estoque]]=0,"Estoque Não Conforme",IF(TAB_ESTOQUE[[#This Row],[Estoque]]&gt;=TAB_ESTOQUE[[#This Row],[Mínimo]],"Estoque Conforme",IF(TAB_ESTOQUE[[#This Row],[Estoque]]&lt;TAB_ESTOQUE[[#This Row],[Mínimo]],"Estoque em Nivel Minimo")))</f>
        <v>Estoque Não Conforme</v>
      </c>
      <c r="AC1033" s="85"/>
      <c r="AD1033" s="82"/>
      <c r="AE1033" s="170"/>
      <c r="AF1033" s="170"/>
    </row>
    <row r="1034" spans="1:32" s="106" customFormat="1" ht="15" customHeight="1" x14ac:dyDescent="0.25">
      <c r="A1034" s="45">
        <v>654</v>
      </c>
      <c r="B1034" s="47"/>
      <c r="C1034" s="46"/>
      <c r="D1034" s="45" t="s">
        <v>2308</v>
      </c>
      <c r="E1034" s="46"/>
      <c r="F1034" s="87"/>
      <c r="G1034" s="82"/>
      <c r="H1034" s="82"/>
      <c r="I1034" s="82" t="s">
        <v>2996</v>
      </c>
      <c r="J1034" s="82"/>
      <c r="K1034" s="82"/>
      <c r="L1034" s="82"/>
      <c r="M1034" s="82"/>
      <c r="N1034" s="82"/>
      <c r="O1034" s="87" t="s">
        <v>6610</v>
      </c>
      <c r="P1034" s="82" t="s">
        <v>438</v>
      </c>
      <c r="Q1034" s="83">
        <f>VLOOKUP(TAB_ESTOQUE[[#This Row],[Codigo]],TAB_ENTRADA[[Cod_2_Entrada]:[TOTAL_ENTRADA]],5,FALSE)-VLOOKUP(TAB_ESTOQUE[[#This Row],[Codigo]],TAB_SAIDA[[COD_2_SAIDA]:[TOTAL_SAIDA]],5,FALSE)</f>
        <v>2</v>
      </c>
      <c r="R1034" s="87"/>
      <c r="S1034" s="87"/>
      <c r="T1034" s="90">
        <v>23.3</v>
      </c>
      <c r="U1034" s="91">
        <f>TAB_ESTOQUE[[#This Row],[Valor Unitario Estimado]]*TAB_ESTOQUE[[#This Row],[Estoque]]</f>
        <v>46.6</v>
      </c>
      <c r="V1034" s="91"/>
      <c r="W1034" s="85"/>
      <c r="X1034" s="85"/>
      <c r="Y1034" s="85"/>
      <c r="Z1034" s="85"/>
      <c r="AA1034" s="85"/>
      <c r="AB1034" s="85" t="str">
        <f>IF(TAB_ESTOQUE[[#This Row],[Estoque]]=0,"Estoque Não Conforme",IF(TAB_ESTOQUE[[#This Row],[Estoque]]&gt;=TAB_ESTOQUE[[#This Row],[Mínimo]],"Estoque Conforme",IF(TAB_ESTOQUE[[#This Row],[Estoque]]&lt;TAB_ESTOQUE[[#This Row],[Mínimo]],"Estoque em Nivel Minimo")))</f>
        <v>Estoque Conforme</v>
      </c>
      <c r="AC1034" s="85"/>
      <c r="AD1034" s="82"/>
      <c r="AE1034" s="95"/>
      <c r="AF1034" s="95"/>
    </row>
    <row r="1035" spans="1:32" ht="15" customHeight="1" x14ac:dyDescent="0.25">
      <c r="A1035" s="45">
        <v>655</v>
      </c>
      <c r="B1035" s="47"/>
      <c r="C1035" s="46"/>
      <c r="D1035" s="45" t="s">
        <v>2309</v>
      </c>
      <c r="E1035" s="46" t="s">
        <v>7345</v>
      </c>
      <c r="F1035" s="87"/>
      <c r="G1035" s="82"/>
      <c r="H1035" s="82"/>
      <c r="I1035" s="82" t="s">
        <v>6185</v>
      </c>
      <c r="J1035" s="82"/>
      <c r="K1035" s="82"/>
      <c r="L1035" s="82"/>
      <c r="M1035" s="82"/>
      <c r="N1035" s="82"/>
      <c r="O1035" s="87" t="s">
        <v>6610</v>
      </c>
      <c r="P1035" s="82" t="s">
        <v>440</v>
      </c>
      <c r="Q1035" s="83">
        <f>VLOOKUP(TAB_ESTOQUE[[#This Row],[Codigo]],TAB_ENTRADA[[Cod_2_Entrada]:[TOTAL_ENTRADA]],5,FALSE)-VLOOKUP(TAB_ESTOQUE[[#This Row],[Codigo]],TAB_SAIDA[[COD_2_SAIDA]:[TOTAL_SAIDA]],5,FALSE)</f>
        <v>3</v>
      </c>
      <c r="R1035" s="87"/>
      <c r="S1035" s="87"/>
      <c r="T1035" s="90">
        <v>1785</v>
      </c>
      <c r="U1035" s="91">
        <f>TAB_ESTOQUE[[#This Row],[Valor Unitario Estimado]]*TAB_ESTOQUE[[#This Row],[Estoque]]</f>
        <v>5355</v>
      </c>
      <c r="V1035" s="91"/>
      <c r="W1035" s="85"/>
      <c r="X1035" s="85"/>
      <c r="Y1035" s="85"/>
      <c r="Z1035" s="85"/>
      <c r="AA1035" s="85"/>
      <c r="AB1035" s="85" t="str">
        <f>IF(TAB_ESTOQUE[[#This Row],[Estoque]]=0,"Estoque Não Conforme",IF(TAB_ESTOQUE[[#This Row],[Estoque]]&gt;=TAB_ESTOQUE[[#This Row],[Mínimo]],"Estoque Conforme",IF(TAB_ESTOQUE[[#This Row],[Estoque]]&lt;TAB_ESTOQUE[[#This Row],[Mínimo]],"Estoque em Nivel Minimo")))</f>
        <v>Estoque Conforme</v>
      </c>
      <c r="AC1035" s="85"/>
      <c r="AD1035" s="82"/>
      <c r="AE1035" s="82"/>
      <c r="AF1035" s="82"/>
    </row>
    <row r="1036" spans="1:32" ht="15" customHeight="1" x14ac:dyDescent="0.25">
      <c r="A1036" s="45">
        <v>670</v>
      </c>
      <c r="B1036" s="47"/>
      <c r="C1036" s="46"/>
      <c r="D1036" s="45" t="s">
        <v>2310</v>
      </c>
      <c r="E1036" s="46" t="s">
        <v>7345</v>
      </c>
      <c r="F1036" s="87"/>
      <c r="G1036" s="82"/>
      <c r="H1036" s="82"/>
      <c r="I1036" s="82" t="s">
        <v>1090</v>
      </c>
      <c r="J1036" s="82"/>
      <c r="K1036" s="82"/>
      <c r="L1036" s="82"/>
      <c r="M1036" s="82"/>
      <c r="N1036" s="82"/>
      <c r="O1036" s="87" t="s">
        <v>6610</v>
      </c>
      <c r="P1036" s="82" t="s">
        <v>453</v>
      </c>
      <c r="Q1036" s="83">
        <f>VLOOKUP(TAB_ESTOQUE[[#This Row],[Codigo]],TAB_ENTRADA[[Cod_2_Entrada]:[TOTAL_ENTRADA]],5,FALSE)-VLOOKUP(TAB_ESTOQUE[[#This Row],[Codigo]],TAB_SAIDA[[COD_2_SAIDA]:[TOTAL_SAIDA]],5,FALSE)</f>
        <v>3</v>
      </c>
      <c r="R1036" s="87"/>
      <c r="S1036" s="87"/>
      <c r="T1036" s="90">
        <v>1199</v>
      </c>
      <c r="U1036" s="91">
        <f>TAB_ESTOQUE[[#This Row],[Valor Unitario Estimado]]*TAB_ESTOQUE[[#This Row],[Estoque]]</f>
        <v>3597</v>
      </c>
      <c r="V1036" s="91"/>
      <c r="W1036" s="85"/>
      <c r="X1036" s="85"/>
      <c r="Y1036" s="85"/>
      <c r="Z1036" s="85"/>
      <c r="AA1036" s="85"/>
      <c r="AB1036" s="85" t="str">
        <f>IF(TAB_ESTOQUE[[#This Row],[Estoque]]=0,"Estoque Não Conforme",IF(TAB_ESTOQUE[[#This Row],[Estoque]]&gt;=TAB_ESTOQUE[[#This Row],[Mínimo]],"Estoque Conforme",IF(TAB_ESTOQUE[[#This Row],[Estoque]]&lt;TAB_ESTOQUE[[#This Row],[Mínimo]],"Estoque em Nivel Minimo")))</f>
        <v>Estoque Conforme</v>
      </c>
      <c r="AC1036" s="85"/>
      <c r="AD1036" s="82"/>
      <c r="AE1036" s="82"/>
      <c r="AF1036" s="82"/>
    </row>
    <row r="1037" spans="1:32" ht="15" customHeight="1" x14ac:dyDescent="0.25">
      <c r="A1037" s="45">
        <v>1048</v>
      </c>
      <c r="B1037" s="47"/>
      <c r="C1037" s="46"/>
      <c r="D1037" s="45" t="s">
        <v>2312</v>
      </c>
      <c r="E1037" s="46" t="s">
        <v>7345</v>
      </c>
      <c r="F1037" s="87"/>
      <c r="G1037" s="82"/>
      <c r="H1037" s="82"/>
      <c r="I1037" s="82" t="s">
        <v>3029</v>
      </c>
      <c r="J1037" s="82"/>
      <c r="K1037" s="82"/>
      <c r="L1037" s="82"/>
      <c r="M1037" s="82"/>
      <c r="N1037" s="82"/>
      <c r="O1037" s="87" t="s">
        <v>6610</v>
      </c>
      <c r="P1037" s="82" t="s">
        <v>799</v>
      </c>
      <c r="Q1037" s="83">
        <f>VLOOKUP(TAB_ESTOQUE[[#This Row],[Codigo]],TAB_ENTRADA[[Cod_2_Entrada]:[TOTAL_ENTRADA]],5,FALSE)-VLOOKUP(TAB_ESTOQUE[[#This Row],[Codigo]],TAB_SAIDA[[COD_2_SAIDA]:[TOTAL_SAIDA]],5,FALSE)</f>
        <v>10</v>
      </c>
      <c r="R1037" s="87"/>
      <c r="S1037" s="87"/>
      <c r="T1037" s="90">
        <v>58.66</v>
      </c>
      <c r="U1037" s="91">
        <f>TAB_ESTOQUE[[#This Row],[Valor Unitario Estimado]]*TAB_ESTOQUE[[#This Row],[Estoque]]</f>
        <v>586.59999999999991</v>
      </c>
      <c r="V1037" s="91"/>
      <c r="W1037" s="85"/>
      <c r="X1037" s="85"/>
      <c r="Y1037" s="85"/>
      <c r="Z1037" s="85"/>
      <c r="AA1037" s="85"/>
      <c r="AB1037" s="85" t="str">
        <f>IF(TAB_ESTOQUE[[#This Row],[Estoque]]=0,"Estoque Não Conforme",IF(TAB_ESTOQUE[[#This Row],[Estoque]]&gt;=TAB_ESTOQUE[[#This Row],[Mínimo]],"Estoque Conforme",IF(TAB_ESTOQUE[[#This Row],[Estoque]]&lt;TAB_ESTOQUE[[#This Row],[Mínimo]],"Estoque em Nivel Minimo")))</f>
        <v>Estoque Conforme</v>
      </c>
      <c r="AC1037" s="85"/>
      <c r="AD1037" s="82"/>
      <c r="AE1037" s="82"/>
      <c r="AF1037" s="82"/>
    </row>
    <row r="1038" spans="1:32" ht="15" customHeight="1" x14ac:dyDescent="0.25">
      <c r="A1038" s="106">
        <v>668</v>
      </c>
      <c r="B1038" s="106"/>
      <c r="C1038" s="116"/>
      <c r="D1038" s="106" t="s">
        <v>2317</v>
      </c>
      <c r="E1038" s="116" t="s">
        <v>7345</v>
      </c>
      <c r="F1038" s="118"/>
      <c r="G1038" s="95"/>
      <c r="H1038" s="95"/>
      <c r="I1038" s="95" t="s">
        <v>6189</v>
      </c>
      <c r="J1038" s="95"/>
      <c r="K1038" s="95"/>
      <c r="L1038" s="95"/>
      <c r="M1038" s="95"/>
      <c r="N1038" s="95"/>
      <c r="O1038" s="118" t="s">
        <v>6610</v>
      </c>
      <c r="P1038" s="95" t="s">
        <v>451</v>
      </c>
      <c r="Q1038" s="154">
        <f>VLOOKUP(TAB_ESTOQUE[[#This Row],[Codigo]],TAB_ENTRADA[[Cod_2_Entrada]:[TOTAL_ENTRADA]],5,FALSE)-VLOOKUP(TAB_ESTOQUE[[#This Row],[Codigo]],TAB_SAIDA[[COD_2_SAIDA]:[TOTAL_SAIDA]],5,FALSE)</f>
        <v>18</v>
      </c>
      <c r="R1038" s="118"/>
      <c r="S1038" s="118"/>
      <c r="T1038" s="119">
        <v>50.15</v>
      </c>
      <c r="U1038" s="112">
        <f>TAB_ESTOQUE[[#This Row],[Valor Unitario Estimado]]*TAB_ESTOQUE[[#This Row],[Estoque]]</f>
        <v>902.69999999999993</v>
      </c>
      <c r="V1038" s="112"/>
      <c r="W1038" s="120"/>
      <c r="X1038" s="120"/>
      <c r="Y1038" s="120"/>
      <c r="Z1038" s="120"/>
      <c r="AA1038" s="120"/>
      <c r="AB1038" s="120" t="str">
        <f>IF(TAB_ESTOQUE[[#This Row],[Estoque]]=0,"Estoque Não Conforme",IF(TAB_ESTOQUE[[#This Row],[Estoque]]&gt;=TAB_ESTOQUE[[#This Row],[Mínimo]],"Estoque Conforme",IF(TAB_ESTOQUE[[#This Row],[Estoque]]&lt;TAB_ESTOQUE[[#This Row],[Mínimo]],"Estoque em Nivel Minimo")))</f>
        <v>Estoque Conforme</v>
      </c>
      <c r="AC1038" s="120"/>
      <c r="AD1038" s="95"/>
      <c r="AE1038" s="82"/>
      <c r="AF1038" s="82"/>
    </row>
    <row r="1039" spans="1:32" s="47" customFormat="1" ht="15" customHeight="1" x14ac:dyDescent="0.25">
      <c r="A1039" s="45">
        <v>1059</v>
      </c>
      <c r="C1039" s="46" t="s">
        <v>2833</v>
      </c>
      <c r="D1039" s="45" t="s">
        <v>2318</v>
      </c>
      <c r="E1039" s="46" t="s">
        <v>7345</v>
      </c>
      <c r="F1039" s="87"/>
      <c r="G1039" s="82"/>
      <c r="H1039" s="82"/>
      <c r="I1039" s="82" t="s">
        <v>3031</v>
      </c>
      <c r="J1039" s="93"/>
      <c r="K1039" s="82"/>
      <c r="L1039" s="82"/>
      <c r="M1039" s="82"/>
      <c r="N1039" s="82"/>
      <c r="O1039" s="87" t="s">
        <v>6610</v>
      </c>
      <c r="P1039" s="82" t="s">
        <v>6058</v>
      </c>
      <c r="Q1039" s="83">
        <f>VLOOKUP(TAB_ESTOQUE[[#This Row],[Codigo]],TAB_ENTRADA[[Cod_2_Entrada]:[TOTAL_ENTRADA]],5,FALSE)-VLOOKUP(TAB_ESTOQUE[[#This Row],[Codigo]],TAB_SAIDA[[COD_2_SAIDA]:[TOTAL_SAIDA]],5,FALSE)</f>
        <v>9</v>
      </c>
      <c r="R1039" s="87"/>
      <c r="S1039" s="87"/>
      <c r="T1039" s="90">
        <v>70</v>
      </c>
      <c r="U1039" s="91">
        <f>TAB_ESTOQUE[[#This Row],[Valor Unitario Estimado]]*TAB_ESTOQUE[[#This Row],[Estoque]]</f>
        <v>630</v>
      </c>
      <c r="V1039" s="91"/>
      <c r="W1039" s="85"/>
      <c r="X1039" s="85"/>
      <c r="Y1039" s="85"/>
      <c r="Z1039" s="85"/>
      <c r="AA1039" s="85"/>
      <c r="AB1039" s="85" t="str">
        <f>IF(TAB_ESTOQUE[[#This Row],[Estoque]]=0,"Estoque Não Conforme",IF(TAB_ESTOQUE[[#This Row],[Estoque]]&gt;=TAB_ESTOQUE[[#This Row],[Mínimo]],"Estoque Conforme",IF(TAB_ESTOQUE[[#This Row],[Estoque]]&lt;TAB_ESTOQUE[[#This Row],[Mínimo]],"Estoque em Nivel Minimo")))</f>
        <v>Estoque Conforme</v>
      </c>
      <c r="AC1039" s="85"/>
      <c r="AD1039" s="82"/>
      <c r="AE1039" s="94"/>
      <c r="AF1039" s="94"/>
    </row>
    <row r="1040" spans="1:32" ht="15" customHeight="1" x14ac:dyDescent="0.25">
      <c r="A1040" s="45">
        <v>1062</v>
      </c>
      <c r="B1040" s="47"/>
      <c r="C1040" s="46"/>
      <c r="D1040" s="45" t="s">
        <v>2320</v>
      </c>
      <c r="E1040" s="46" t="s">
        <v>7</v>
      </c>
      <c r="F1040" s="87"/>
      <c r="G1040" s="82"/>
      <c r="H1040" s="82"/>
      <c r="I1040" s="82" t="s">
        <v>2997</v>
      </c>
      <c r="J1040" s="82"/>
      <c r="K1040" s="82"/>
      <c r="L1040" s="82"/>
      <c r="M1040" s="82" t="s">
        <v>209</v>
      </c>
      <c r="N1040" s="82"/>
      <c r="O1040" s="87" t="s">
        <v>6610</v>
      </c>
      <c r="P1040" s="82" t="s">
        <v>805</v>
      </c>
      <c r="Q1040" s="83">
        <f>VLOOKUP(TAB_ESTOQUE[[#This Row],[Codigo]],TAB_ENTRADA[[Cod_2_Entrada]:[TOTAL_ENTRADA]],5,FALSE)-VLOOKUP(TAB_ESTOQUE[[#This Row],[Codigo]],TAB_SAIDA[[COD_2_SAIDA]:[TOTAL_SAIDA]],5,FALSE)</f>
        <v>5</v>
      </c>
      <c r="R1040" s="87"/>
      <c r="S1040" s="87"/>
      <c r="T1040" s="90">
        <v>355</v>
      </c>
      <c r="U1040" s="91">
        <f>TAB_ESTOQUE[[#This Row],[Valor Unitario Estimado]]*TAB_ESTOQUE[[#This Row],[Estoque]]</f>
        <v>1775</v>
      </c>
      <c r="V1040" s="91"/>
      <c r="W1040" s="85"/>
      <c r="X1040" s="85"/>
      <c r="Y1040" s="85"/>
      <c r="Z1040" s="85"/>
      <c r="AA1040" s="85"/>
      <c r="AB1040" s="85" t="str">
        <f>IF(TAB_ESTOQUE[[#This Row],[Estoque]]=0,"Estoque Não Conforme",IF(TAB_ESTOQUE[[#This Row],[Estoque]]&gt;=TAB_ESTOQUE[[#This Row],[Mínimo]],"Estoque Conforme",IF(TAB_ESTOQUE[[#This Row],[Estoque]]&lt;TAB_ESTOQUE[[#This Row],[Mínimo]],"Estoque em Nivel Minimo")))</f>
        <v>Estoque Conforme</v>
      </c>
      <c r="AC1040" s="85"/>
      <c r="AD1040" s="82"/>
      <c r="AE1040" s="82"/>
      <c r="AF1040" s="82"/>
    </row>
    <row r="1041" spans="1:32" ht="15" customHeight="1" x14ac:dyDescent="0.25">
      <c r="A1041" s="45">
        <v>1717</v>
      </c>
      <c r="B1041" s="47"/>
      <c r="C1041" s="46"/>
      <c r="D1041" s="45" t="s">
        <v>2569</v>
      </c>
      <c r="E1041" s="46" t="s">
        <v>215</v>
      </c>
      <c r="F1041" s="87"/>
      <c r="G1041" s="82"/>
      <c r="H1041" s="82"/>
      <c r="I1041" s="82" t="s">
        <v>8983</v>
      </c>
      <c r="J1041" s="82"/>
      <c r="K1041" s="82"/>
      <c r="L1041" s="82"/>
      <c r="M1041" s="82" t="s">
        <v>515</v>
      </c>
      <c r="N1041" s="82"/>
      <c r="O1041" s="87" t="s">
        <v>6610</v>
      </c>
      <c r="P1041" s="82" t="s">
        <v>1620</v>
      </c>
      <c r="Q1041" s="83">
        <f>VLOOKUP(TAB_ESTOQUE[[#This Row],[Codigo]],TAB_ENTRADA[[Cod_2_Entrada]:[TOTAL_ENTRADA]],5,FALSE)-VLOOKUP(TAB_ESTOQUE[[#This Row],[Codigo]],TAB_SAIDA[[COD_2_SAIDA]:[TOTAL_SAIDA]],5,FALSE)</f>
        <v>15</v>
      </c>
      <c r="R1041" s="87"/>
      <c r="S1041" s="87"/>
      <c r="T1041" s="90">
        <v>28.1</v>
      </c>
      <c r="U1041" s="91">
        <f>TAB_ESTOQUE[[#This Row],[Valor Unitario Estimado]]*TAB_ESTOQUE[[#This Row],[Estoque]]</f>
        <v>421.5</v>
      </c>
      <c r="V1041" s="91"/>
      <c r="W1041" s="85"/>
      <c r="X1041" s="85"/>
      <c r="Y1041" s="85"/>
      <c r="Z1041" s="85"/>
      <c r="AA1041" s="85"/>
      <c r="AB1041" s="85" t="str">
        <f>IF(TAB_ESTOQUE[[#This Row],[Estoque]]=0,"Estoque Não Conforme",IF(TAB_ESTOQUE[[#This Row],[Estoque]]&gt;=TAB_ESTOQUE[[#This Row],[Mínimo]],"Estoque Conforme",IF(TAB_ESTOQUE[[#This Row],[Estoque]]&lt;TAB_ESTOQUE[[#This Row],[Mínimo]],"Estoque em Nivel Minimo")))</f>
        <v>Estoque Conforme</v>
      </c>
      <c r="AC1041" s="85"/>
      <c r="AD1041" s="82"/>
      <c r="AE1041" s="82"/>
      <c r="AF1041" s="82"/>
    </row>
    <row r="1042" spans="1:32" ht="15" customHeight="1" x14ac:dyDescent="0.25">
      <c r="A1042" s="45">
        <v>1084</v>
      </c>
      <c r="B1042" s="47"/>
      <c r="C1042" s="46"/>
      <c r="D1042" s="45" t="s">
        <v>2607</v>
      </c>
      <c r="E1042" s="46"/>
      <c r="F1042" s="87"/>
      <c r="G1042" s="82"/>
      <c r="H1042" s="82"/>
      <c r="I1042" s="82" t="s">
        <v>6224</v>
      </c>
      <c r="J1042" s="82"/>
      <c r="K1042" s="82" t="s">
        <v>35</v>
      </c>
      <c r="L1042" s="82"/>
      <c r="M1042" s="82"/>
      <c r="N1042" s="82"/>
      <c r="O1042" s="87" t="s">
        <v>6610</v>
      </c>
      <c r="P1042" s="82" t="s">
        <v>817</v>
      </c>
      <c r="Q1042" s="83">
        <f>VLOOKUP(TAB_ESTOQUE[[#This Row],[Codigo]],TAB_ENTRADA[[Cod_2_Entrada]:[TOTAL_ENTRADA]],5,FALSE)-VLOOKUP(TAB_ESTOQUE[[#This Row],[Codigo]],TAB_SAIDA[[COD_2_SAIDA]:[TOTAL_SAIDA]],5,FALSE)</f>
        <v>3</v>
      </c>
      <c r="R1042" s="87"/>
      <c r="S1042" s="87"/>
      <c r="T1042" s="90">
        <v>560</v>
      </c>
      <c r="U1042" s="91">
        <f>TAB_ESTOQUE[[#This Row],[Valor Unitario Estimado]]*TAB_ESTOQUE[[#This Row],[Estoque]]</f>
        <v>1680</v>
      </c>
      <c r="V1042" s="91"/>
      <c r="W1042" s="85"/>
      <c r="X1042" s="85"/>
      <c r="Y1042" s="85"/>
      <c r="Z1042" s="85"/>
      <c r="AA1042" s="85"/>
      <c r="AB1042" s="85" t="str">
        <f>IF(TAB_ESTOQUE[[#This Row],[Estoque]]=0,"Estoque Não Conforme",IF(TAB_ESTOQUE[[#This Row],[Estoque]]&gt;=TAB_ESTOQUE[[#This Row],[Mínimo]],"Estoque Conforme",IF(TAB_ESTOQUE[[#This Row],[Estoque]]&lt;TAB_ESTOQUE[[#This Row],[Mínimo]],"Estoque em Nivel Minimo")))</f>
        <v>Estoque Conforme</v>
      </c>
      <c r="AC1042" s="85"/>
      <c r="AD1042" s="82"/>
      <c r="AE1042" s="82"/>
      <c r="AF1042" s="82"/>
    </row>
    <row r="1043" spans="1:32" s="47" customFormat="1" ht="15" customHeight="1" x14ac:dyDescent="0.25">
      <c r="A1043" s="45" t="s">
        <v>1159</v>
      </c>
      <c r="C1043" s="46"/>
      <c r="D1043" s="45" t="s">
        <v>2629</v>
      </c>
      <c r="E1043" s="46"/>
      <c r="F1043" s="87"/>
      <c r="G1043" s="82"/>
      <c r="H1043" s="82"/>
      <c r="I1043" s="82" t="s">
        <v>2995</v>
      </c>
      <c r="J1043" s="82"/>
      <c r="K1043" s="82"/>
      <c r="L1043" s="82"/>
      <c r="M1043" s="82"/>
      <c r="N1043" s="82"/>
      <c r="O1043" s="87" t="s">
        <v>6610</v>
      </c>
      <c r="P1043" s="82"/>
      <c r="Q1043" s="83">
        <f>VLOOKUP(TAB_ESTOQUE[[#This Row],[Codigo]],TAB_ENTRADA[[Cod_2_Entrada]:[TOTAL_ENTRADA]],5,FALSE)-VLOOKUP(TAB_ESTOQUE[[#This Row],[Codigo]],TAB_SAIDA[[COD_2_SAIDA]:[TOTAL_SAIDA]],5,FALSE)</f>
        <v>0</v>
      </c>
      <c r="R1043" s="87"/>
      <c r="S1043" s="87"/>
      <c r="T1043" s="90"/>
      <c r="U1043" s="91">
        <f>TAB_ESTOQUE[[#This Row],[Valor Unitario Estimado]]*TAB_ESTOQUE[[#This Row],[Estoque]]</f>
        <v>0</v>
      </c>
      <c r="V1043" s="91"/>
      <c r="W1043" s="85"/>
      <c r="X1043" s="85"/>
      <c r="Y1043" s="85"/>
      <c r="Z1043" s="85"/>
      <c r="AA1043" s="85"/>
      <c r="AB1043" s="85" t="str">
        <f>IF(TAB_ESTOQUE[[#This Row],[Estoque]]=0,"Estoque Não Conforme",IF(TAB_ESTOQUE[[#This Row],[Estoque]]&gt;=TAB_ESTOQUE[[#This Row],[Mínimo]],"Estoque Conforme",IF(TAB_ESTOQUE[[#This Row],[Estoque]]&lt;TAB_ESTOQUE[[#This Row],[Mínimo]],"Estoque em Nivel Minimo")))</f>
        <v>Estoque Não Conforme</v>
      </c>
      <c r="AC1043" s="85"/>
      <c r="AD1043" s="82"/>
      <c r="AE1043" s="94"/>
      <c r="AF1043" s="94"/>
    </row>
    <row r="1044" spans="1:32" ht="15" customHeight="1" x14ac:dyDescent="0.25">
      <c r="A1044" s="45">
        <v>272</v>
      </c>
      <c r="B1044" s="47"/>
      <c r="C1044" s="46" t="s">
        <v>2833</v>
      </c>
      <c r="D1044" s="45" t="s">
        <v>2243</v>
      </c>
      <c r="E1044" s="46" t="s">
        <v>7345</v>
      </c>
      <c r="F1044" s="87"/>
      <c r="G1044" s="82"/>
      <c r="H1044" s="82"/>
      <c r="I1044" s="82" t="s">
        <v>6171</v>
      </c>
      <c r="J1044" s="93"/>
      <c r="K1044" s="82"/>
      <c r="L1044" s="82"/>
      <c r="M1044" s="82"/>
      <c r="N1044" s="82"/>
      <c r="O1044" s="87" t="s">
        <v>6616</v>
      </c>
      <c r="P1044" s="82" t="s">
        <v>211</v>
      </c>
      <c r="Q1044" s="83">
        <f>VLOOKUP(TAB_ESTOQUE[[#This Row],[Codigo]],TAB_ENTRADA[[Cod_2_Entrada]:[TOTAL_ENTRADA]],5,FALSE)-VLOOKUP(TAB_ESTOQUE[[#This Row],[Codigo]],TAB_SAIDA[[COD_2_SAIDA]:[TOTAL_SAIDA]],5,FALSE)</f>
        <v>2</v>
      </c>
      <c r="R1044" s="87"/>
      <c r="S1044" s="87"/>
      <c r="T1044" s="90"/>
      <c r="U1044" s="91">
        <f>TAB_ESTOQUE[[#This Row],[Valor Unitario Estimado]]*TAB_ESTOQUE[[#This Row],[Estoque]]</f>
        <v>0</v>
      </c>
      <c r="V1044" s="91"/>
      <c r="W1044" s="85"/>
      <c r="X1044" s="85"/>
      <c r="Y1044" s="85"/>
      <c r="Z1044" s="85"/>
      <c r="AA1044" s="85"/>
      <c r="AB1044" s="85" t="str">
        <f>IF(TAB_ESTOQUE[[#This Row],[Estoque]]=0,"Estoque Não Conforme",IF(TAB_ESTOQUE[[#This Row],[Estoque]]&gt;=TAB_ESTOQUE[[#This Row],[Mínimo]],"Estoque Conforme",IF(TAB_ESTOQUE[[#This Row],[Estoque]]&lt;TAB_ESTOQUE[[#This Row],[Mínimo]],"Estoque em Nivel Minimo")))</f>
        <v>Estoque Conforme</v>
      </c>
      <c r="AC1044" s="85"/>
      <c r="AD1044" s="82"/>
      <c r="AE1044" s="82"/>
      <c r="AF1044" s="82"/>
    </row>
    <row r="1045" spans="1:32" s="47" customFormat="1" ht="15" customHeight="1" x14ac:dyDescent="0.25">
      <c r="A1045" s="45">
        <v>1129</v>
      </c>
      <c r="C1045" s="46" t="s">
        <v>2833</v>
      </c>
      <c r="D1045" s="45" t="s">
        <v>2247</v>
      </c>
      <c r="E1045" s="46" t="s">
        <v>7345</v>
      </c>
      <c r="F1045" s="87"/>
      <c r="G1045" s="82"/>
      <c r="H1045" s="82"/>
      <c r="I1045" s="82" t="s">
        <v>6174</v>
      </c>
      <c r="J1045" s="82"/>
      <c r="K1045" s="82"/>
      <c r="L1045" s="82"/>
      <c r="M1045" s="82" t="s">
        <v>536</v>
      </c>
      <c r="N1045" s="82"/>
      <c r="O1045" s="87" t="s">
        <v>6616</v>
      </c>
      <c r="P1045" s="82" t="s">
        <v>853</v>
      </c>
      <c r="Q1045" s="83">
        <f>VLOOKUP(TAB_ESTOQUE[[#This Row],[Codigo]],TAB_ENTRADA[[Cod_2_Entrada]:[TOTAL_ENTRADA]],5,FALSE)-VLOOKUP(TAB_ESTOQUE[[#This Row],[Codigo]],TAB_SAIDA[[COD_2_SAIDA]:[TOTAL_SAIDA]],5,FALSE)</f>
        <v>7</v>
      </c>
      <c r="R1045" s="87"/>
      <c r="S1045" s="87"/>
      <c r="T1045" s="90">
        <v>388.82</v>
      </c>
      <c r="U1045" s="91">
        <f>TAB_ESTOQUE[[#This Row],[Valor Unitario Estimado]]*TAB_ESTOQUE[[#This Row],[Estoque]]</f>
        <v>2721.74</v>
      </c>
      <c r="V1045" s="91"/>
      <c r="W1045" s="85"/>
      <c r="X1045" s="85"/>
      <c r="Y1045" s="85"/>
      <c r="Z1045" s="85"/>
      <c r="AA1045" s="85"/>
      <c r="AB1045" s="85" t="str">
        <f>IF(TAB_ESTOQUE[[#This Row],[Estoque]]=0,"Estoque Não Conforme",IF(TAB_ESTOQUE[[#This Row],[Estoque]]&gt;=TAB_ESTOQUE[[#This Row],[Mínimo]],"Estoque Conforme",IF(TAB_ESTOQUE[[#This Row],[Estoque]]&lt;TAB_ESTOQUE[[#This Row],[Mínimo]],"Estoque em Nivel Minimo")))</f>
        <v>Estoque Conforme</v>
      </c>
      <c r="AC1045" s="85"/>
      <c r="AD1045" s="82"/>
      <c r="AE1045" s="94"/>
      <c r="AF1045" s="94"/>
    </row>
    <row r="1046" spans="1:32" ht="15" customHeight="1" x14ac:dyDescent="0.25">
      <c r="A1046" s="45">
        <v>660</v>
      </c>
      <c r="B1046" s="47"/>
      <c r="C1046" s="46"/>
      <c r="D1046" s="45" t="s">
        <v>2313</v>
      </c>
      <c r="E1046" s="46" t="s">
        <v>7</v>
      </c>
      <c r="F1046" s="87"/>
      <c r="G1046" s="82"/>
      <c r="H1046" s="82"/>
      <c r="I1046" s="82" t="s">
        <v>6186</v>
      </c>
      <c r="J1046" s="82"/>
      <c r="K1046" s="82"/>
      <c r="L1046" s="82"/>
      <c r="M1046" s="82"/>
      <c r="N1046" s="82"/>
      <c r="O1046" s="87" t="s">
        <v>6616</v>
      </c>
      <c r="P1046" s="82" t="s">
        <v>444</v>
      </c>
      <c r="Q1046" s="83">
        <f>VLOOKUP(TAB_ESTOQUE[[#This Row],[Codigo]],TAB_ENTRADA[[Cod_2_Entrada]:[TOTAL_ENTRADA]],5,FALSE)-VLOOKUP(TAB_ESTOQUE[[#This Row],[Codigo]],TAB_SAIDA[[COD_2_SAIDA]:[TOTAL_SAIDA]],5,FALSE)</f>
        <v>3</v>
      </c>
      <c r="R1046" s="87"/>
      <c r="S1046" s="87"/>
      <c r="T1046" s="90"/>
      <c r="U1046" s="91">
        <f>TAB_ESTOQUE[[#This Row],[Valor Unitario Estimado]]*TAB_ESTOQUE[[#This Row],[Estoque]]</f>
        <v>0</v>
      </c>
      <c r="V1046" s="91"/>
      <c r="W1046" s="85"/>
      <c r="X1046" s="85"/>
      <c r="Y1046" s="85"/>
      <c r="Z1046" s="85"/>
      <c r="AA1046" s="85"/>
      <c r="AB1046" s="85" t="str">
        <f>IF(TAB_ESTOQUE[[#This Row],[Estoque]]=0,"Estoque Não Conforme",IF(TAB_ESTOQUE[[#This Row],[Estoque]]&gt;=TAB_ESTOQUE[[#This Row],[Mínimo]],"Estoque Conforme",IF(TAB_ESTOQUE[[#This Row],[Estoque]]&lt;TAB_ESTOQUE[[#This Row],[Mínimo]],"Estoque em Nivel Minimo")))</f>
        <v>Estoque Conforme</v>
      </c>
      <c r="AC1046" s="85"/>
      <c r="AD1046" s="82"/>
      <c r="AE1046" s="82"/>
      <c r="AF1046" s="82"/>
    </row>
    <row r="1047" spans="1:32" ht="15" customHeight="1" x14ac:dyDescent="0.25">
      <c r="A1047" s="47">
        <v>666</v>
      </c>
      <c r="B1047" s="47"/>
      <c r="C1047" s="51"/>
      <c r="D1047" s="47" t="s">
        <v>2314</v>
      </c>
      <c r="E1047" s="51" t="s">
        <v>7345</v>
      </c>
      <c r="F1047" s="107"/>
      <c r="G1047" s="94"/>
      <c r="H1047" s="94"/>
      <c r="I1047" s="94" t="s">
        <v>6187</v>
      </c>
      <c r="J1047" s="94"/>
      <c r="K1047" s="94"/>
      <c r="L1047" s="94"/>
      <c r="M1047" s="94"/>
      <c r="N1047" s="94"/>
      <c r="O1047" s="107" t="s">
        <v>6616</v>
      </c>
      <c r="P1047" s="94" t="s">
        <v>448</v>
      </c>
      <c r="Q1047" s="145">
        <f>VLOOKUP(TAB_ESTOQUE[[#This Row],[Codigo]],TAB_ENTRADA[[Cod_2_Entrada]:[TOTAL_ENTRADA]],5,FALSE)-VLOOKUP(TAB_ESTOQUE[[#This Row],[Codigo]],TAB_SAIDA[[COD_2_SAIDA]:[TOTAL_SAIDA]],5,FALSE)</f>
        <v>12</v>
      </c>
      <c r="R1047" s="107"/>
      <c r="S1047" s="107"/>
      <c r="T1047" s="108"/>
      <c r="U1047" s="109">
        <f>TAB_ESTOQUE[[#This Row],[Valor Unitario Estimado]]*TAB_ESTOQUE[[#This Row],[Estoque]]</f>
        <v>0</v>
      </c>
      <c r="V1047" s="109"/>
      <c r="W1047" s="110"/>
      <c r="X1047" s="110"/>
      <c r="Y1047" s="110"/>
      <c r="Z1047" s="110"/>
      <c r="AA1047" s="110"/>
      <c r="AB1047" s="110" t="str">
        <f>IF(TAB_ESTOQUE[[#This Row],[Estoque]]=0,"Estoque Não Conforme",IF(TAB_ESTOQUE[[#This Row],[Estoque]]&gt;=TAB_ESTOQUE[[#This Row],[Mínimo]],"Estoque Conforme",IF(TAB_ESTOQUE[[#This Row],[Estoque]]&lt;TAB_ESTOQUE[[#This Row],[Mínimo]],"Estoque em Nivel Minimo")))</f>
        <v>Estoque Conforme</v>
      </c>
      <c r="AC1047" s="110"/>
      <c r="AD1047" s="94"/>
      <c r="AE1047" s="82"/>
      <c r="AF1047" s="82"/>
    </row>
    <row r="1048" spans="1:32" ht="15" customHeight="1" x14ac:dyDescent="0.25">
      <c r="A1048" s="106">
        <v>1262</v>
      </c>
      <c r="B1048" s="106"/>
      <c r="C1048" s="116"/>
      <c r="D1048" s="106" t="s">
        <v>2315</v>
      </c>
      <c r="E1048" s="116" t="s">
        <v>7345</v>
      </c>
      <c r="F1048" s="118"/>
      <c r="G1048" s="95"/>
      <c r="H1048" s="95"/>
      <c r="I1048" s="95" t="s">
        <v>6188</v>
      </c>
      <c r="J1048" s="95"/>
      <c r="K1048" s="95"/>
      <c r="L1048" s="95"/>
      <c r="M1048" s="95"/>
      <c r="N1048" s="95"/>
      <c r="O1048" s="118" t="s">
        <v>6616</v>
      </c>
      <c r="P1048" s="95" t="s">
        <v>988</v>
      </c>
      <c r="Q1048" s="154">
        <f>VLOOKUP(TAB_ESTOQUE[[#This Row],[Codigo]],TAB_ENTRADA[[Cod_2_Entrada]:[TOTAL_ENTRADA]],5,FALSE)-VLOOKUP(TAB_ESTOQUE[[#This Row],[Codigo]],TAB_SAIDA[[COD_2_SAIDA]:[TOTAL_SAIDA]],5,FALSE)</f>
        <v>3</v>
      </c>
      <c r="R1048" s="118"/>
      <c r="S1048" s="118"/>
      <c r="T1048" s="119">
        <v>380</v>
      </c>
      <c r="U1048" s="112">
        <f>TAB_ESTOQUE[[#This Row],[Valor Unitario Estimado]]*TAB_ESTOQUE[[#This Row],[Estoque]]</f>
        <v>1140</v>
      </c>
      <c r="V1048" s="112"/>
      <c r="W1048" s="120"/>
      <c r="X1048" s="120"/>
      <c r="Y1048" s="120"/>
      <c r="Z1048" s="120"/>
      <c r="AA1048" s="120"/>
      <c r="AB1048" s="120" t="str">
        <f>IF(TAB_ESTOQUE[[#This Row],[Estoque]]=0,"Estoque Não Conforme",IF(TAB_ESTOQUE[[#This Row],[Estoque]]&gt;=TAB_ESTOQUE[[#This Row],[Mínimo]],"Estoque Conforme",IF(TAB_ESTOQUE[[#This Row],[Estoque]]&lt;TAB_ESTOQUE[[#This Row],[Mínimo]],"Estoque em Nivel Minimo")))</f>
        <v>Estoque Conforme</v>
      </c>
      <c r="AC1048" s="120"/>
      <c r="AD1048" s="95"/>
      <c r="AE1048" s="82"/>
      <c r="AF1048" s="82"/>
    </row>
    <row r="1049" spans="1:32" ht="15" customHeight="1" x14ac:dyDescent="0.25">
      <c r="A1049" s="47">
        <v>1099</v>
      </c>
      <c r="B1049" s="47"/>
      <c r="C1049" s="51"/>
      <c r="D1049" s="47" t="s">
        <v>2588</v>
      </c>
      <c r="E1049" s="51"/>
      <c r="F1049" s="107"/>
      <c r="G1049" s="94"/>
      <c r="H1049" s="94"/>
      <c r="I1049" s="94" t="s">
        <v>6672</v>
      </c>
      <c r="J1049" s="94"/>
      <c r="K1049" s="94"/>
      <c r="L1049" s="94"/>
      <c r="M1049" s="94"/>
      <c r="N1049" s="94"/>
      <c r="O1049" s="107" t="s">
        <v>6616</v>
      </c>
      <c r="P1049" s="94" t="s">
        <v>830</v>
      </c>
      <c r="Q1049" s="145">
        <f>VLOOKUP(TAB_ESTOQUE[[#This Row],[Codigo]],TAB_ENTRADA[[Cod_2_Entrada]:[TOTAL_ENTRADA]],5,FALSE)-VLOOKUP(TAB_ESTOQUE[[#This Row],[Codigo]],TAB_SAIDA[[COD_2_SAIDA]:[TOTAL_SAIDA]],5,FALSE)</f>
        <v>2</v>
      </c>
      <c r="R1049" s="107"/>
      <c r="S1049" s="107"/>
      <c r="T1049" s="108"/>
      <c r="U1049" s="109">
        <f>TAB_ESTOQUE[[#This Row],[Valor Unitario Estimado]]*TAB_ESTOQUE[[#This Row],[Estoque]]</f>
        <v>0</v>
      </c>
      <c r="V1049" s="109"/>
      <c r="W1049" s="110"/>
      <c r="X1049" s="110"/>
      <c r="Y1049" s="110"/>
      <c r="Z1049" s="110"/>
      <c r="AA1049" s="110"/>
      <c r="AB1049" s="110" t="str">
        <f>IF(TAB_ESTOQUE[[#This Row],[Estoque]]=0,"Estoque Não Conforme",IF(TAB_ESTOQUE[[#This Row],[Estoque]]&gt;=TAB_ESTOQUE[[#This Row],[Mínimo]],"Estoque Conforme",IF(TAB_ESTOQUE[[#This Row],[Estoque]]&lt;TAB_ESTOQUE[[#This Row],[Mínimo]],"Estoque em Nivel Minimo")))</f>
        <v>Estoque Conforme</v>
      </c>
      <c r="AC1049" s="110"/>
      <c r="AD1049" s="94"/>
      <c r="AE1049" s="82"/>
      <c r="AF1049" s="82"/>
    </row>
    <row r="1050" spans="1:32" ht="15" customHeight="1" x14ac:dyDescent="0.25">
      <c r="A1050" s="45">
        <v>273</v>
      </c>
      <c r="B1050" s="47"/>
      <c r="C1050" s="46" t="s">
        <v>2833</v>
      </c>
      <c r="D1050" s="45" t="s">
        <v>2242</v>
      </c>
      <c r="E1050" s="46" t="s">
        <v>7345</v>
      </c>
      <c r="F1050" s="87"/>
      <c r="G1050" s="82"/>
      <c r="H1050" s="82"/>
      <c r="I1050" s="94" t="s">
        <v>8105</v>
      </c>
      <c r="J1050" s="93"/>
      <c r="K1050" s="82"/>
      <c r="L1050" s="82"/>
      <c r="M1050" s="82"/>
      <c r="N1050" s="82"/>
      <c r="O1050" s="87" t="s">
        <v>8748</v>
      </c>
      <c r="P1050" s="82" t="s">
        <v>212</v>
      </c>
      <c r="Q1050" s="83">
        <f>VLOOKUP(TAB_ESTOQUE[[#This Row],[Codigo]],TAB_ENTRADA[[Cod_2_Entrada]:[TOTAL_ENTRADA]],5,FALSE)-VLOOKUP(TAB_ESTOQUE[[#This Row],[Codigo]],TAB_SAIDA[[COD_2_SAIDA]:[TOTAL_SAIDA]],5,FALSE)</f>
        <v>1</v>
      </c>
      <c r="R1050" s="87"/>
      <c r="S1050" s="87"/>
      <c r="T1050" s="90">
        <v>1700</v>
      </c>
      <c r="U1050" s="91">
        <f>TAB_ESTOQUE[[#This Row],[Valor Unitario Estimado]]*TAB_ESTOQUE[[#This Row],[Estoque]]</f>
        <v>1700</v>
      </c>
      <c r="V1050" s="91"/>
      <c r="W1050" s="85"/>
      <c r="X1050" s="85"/>
      <c r="Y1050" s="85"/>
      <c r="Z1050" s="85"/>
      <c r="AA1050" s="85"/>
      <c r="AB1050" s="85" t="str">
        <f>IF(TAB_ESTOQUE[[#This Row],[Estoque]]=0,"Estoque Não Conforme",IF(TAB_ESTOQUE[[#This Row],[Estoque]]&gt;=TAB_ESTOQUE[[#This Row],[Mínimo]],"Estoque Conforme",IF(TAB_ESTOQUE[[#This Row],[Estoque]]&lt;TAB_ESTOQUE[[#This Row],[Mínimo]],"Estoque em Nivel Minimo")))</f>
        <v>Estoque Conforme</v>
      </c>
      <c r="AC1050" s="85"/>
      <c r="AD1050" s="82"/>
      <c r="AE1050" s="82"/>
      <c r="AF1050" s="82"/>
    </row>
    <row r="1051" spans="1:32" ht="15" customHeight="1" x14ac:dyDescent="0.25">
      <c r="B1051" s="47"/>
      <c r="C1051" s="46"/>
      <c r="D1051" s="45" t="s">
        <v>2749</v>
      </c>
      <c r="E1051" s="46" t="s">
        <v>215</v>
      </c>
      <c r="F1051" s="87"/>
      <c r="G1051" s="82"/>
      <c r="H1051" s="82"/>
      <c r="I1051" s="82" t="s">
        <v>6755</v>
      </c>
      <c r="J1051" s="82"/>
      <c r="K1051" s="82"/>
      <c r="L1051" s="82"/>
      <c r="M1051" s="82"/>
      <c r="N1051" s="82"/>
      <c r="O1051" s="87" t="s">
        <v>8748</v>
      </c>
      <c r="P1051" s="82" t="s">
        <v>1484</v>
      </c>
      <c r="Q1051" s="83">
        <f>VLOOKUP(TAB_ESTOQUE[[#This Row],[Codigo]],TAB_ENTRADA[[Cod_2_Entrada]:[TOTAL_ENTRADA]],5,FALSE)-VLOOKUP(TAB_ESTOQUE[[#This Row],[Codigo]],TAB_SAIDA[[COD_2_SAIDA]:[TOTAL_SAIDA]],5,FALSE)</f>
        <v>2</v>
      </c>
      <c r="R1051" s="87"/>
      <c r="S1051" s="87"/>
      <c r="T1051" s="90"/>
      <c r="U1051" s="91">
        <f>TAB_ESTOQUE[[#This Row],[Valor Unitario Estimado]]*TAB_ESTOQUE[[#This Row],[Estoque]]</f>
        <v>0</v>
      </c>
      <c r="V1051" s="91"/>
      <c r="W1051" s="85"/>
      <c r="X1051" s="85"/>
      <c r="Y1051" s="85"/>
      <c r="Z1051" s="85"/>
      <c r="AA1051" s="85"/>
      <c r="AB1051" s="85" t="str">
        <f>IF(TAB_ESTOQUE[[#This Row],[Estoque]]=0,"Estoque Não Conforme",IF(TAB_ESTOQUE[[#This Row],[Estoque]]&gt;=TAB_ESTOQUE[[#This Row],[Mínimo]],"Estoque Conforme",IF(TAB_ESTOQUE[[#This Row],[Estoque]]&lt;TAB_ESTOQUE[[#This Row],[Mínimo]],"Estoque em Nivel Minimo")))</f>
        <v>Estoque Conforme</v>
      </c>
      <c r="AC1051" s="96"/>
      <c r="AD1051" s="82"/>
      <c r="AE1051" s="82"/>
      <c r="AF1051" s="82"/>
    </row>
    <row r="1052" spans="1:32" ht="15" customHeight="1" x14ac:dyDescent="0.25">
      <c r="C1052" s="48"/>
      <c r="D1052" s="45" t="s">
        <v>7056</v>
      </c>
      <c r="E1052" s="46" t="s">
        <v>215</v>
      </c>
      <c r="F1052" s="46"/>
      <c r="I1052" s="45" t="s">
        <v>7369</v>
      </c>
      <c r="O1052" s="46" t="s">
        <v>8748</v>
      </c>
      <c r="Q1052" s="137">
        <f>VLOOKUP(TAB_ESTOQUE[[#This Row],[Codigo]],TAB_ENTRADA[[Cod_2_Entrada]:[TOTAL_ENTRADA]],5,FALSE)-VLOOKUP(TAB_ESTOQUE[[#This Row],[Codigo]],TAB_SAIDA[[COD_2_SAIDA]:[TOTAL_SAIDA]],5,FALSE)</f>
        <v>2</v>
      </c>
      <c r="S1052" s="46"/>
      <c r="T1052" s="102">
        <v>890</v>
      </c>
      <c r="U1052" s="103">
        <f>TAB_ESTOQUE[[#This Row],[Valor Unitario Estimado]]*TAB_ESTOQUE[[#This Row],[Estoque]]</f>
        <v>1780</v>
      </c>
      <c r="V1052" s="103"/>
      <c r="AA1052" s="138"/>
      <c r="AB1052" s="104" t="str">
        <f>IF(TAB_ESTOQUE[[#This Row],[Estoque]]=0,"Estoque Não Conforme",IF(TAB_ESTOQUE[[#This Row],[Estoque]]&gt;=TAB_ESTOQUE[[#This Row],[Mínimo]],"Estoque Conforme",IF(TAB_ESTOQUE[[#This Row],[Estoque]]&lt;TAB_ESTOQUE[[#This Row],[Mínimo]],"Estoque em Nivel Minimo")))</f>
        <v>Estoque Conforme</v>
      </c>
      <c r="AC1052" s="104"/>
      <c r="AE1052" s="82"/>
      <c r="AF1052" s="82"/>
    </row>
    <row r="1053" spans="1:32" ht="15" customHeight="1" x14ac:dyDescent="0.25">
      <c r="A1053" s="45">
        <v>279</v>
      </c>
      <c r="B1053" s="47"/>
      <c r="C1053" s="46" t="s">
        <v>2833</v>
      </c>
      <c r="D1053" s="45" t="s">
        <v>2325</v>
      </c>
      <c r="E1053" s="46"/>
      <c r="F1053" s="87"/>
      <c r="G1053" s="82"/>
      <c r="H1053" s="82"/>
      <c r="I1053" s="82" t="s">
        <v>8580</v>
      </c>
      <c r="J1053" s="82"/>
      <c r="K1053" s="82" t="s">
        <v>217</v>
      </c>
      <c r="L1053" s="82"/>
      <c r="M1053" s="82" t="s">
        <v>209</v>
      </c>
      <c r="N1053" s="82"/>
      <c r="O1053" s="87" t="s">
        <v>6707</v>
      </c>
      <c r="P1053" s="82" t="s">
        <v>218</v>
      </c>
      <c r="Q1053" s="83">
        <f>VLOOKUP(TAB_ESTOQUE[[#This Row],[Codigo]],TAB_ENTRADA[[Cod_2_Entrada]:[TOTAL_ENTRADA]],5,FALSE)-VLOOKUP(TAB_ESTOQUE[[#This Row],[Codigo]],TAB_SAIDA[[COD_2_SAIDA]:[TOTAL_SAIDA]],5,FALSE)</f>
        <v>6</v>
      </c>
      <c r="R1053" s="87"/>
      <c r="S1053" s="87"/>
      <c r="T1053" s="90"/>
      <c r="U1053" s="91">
        <f>TAB_ESTOQUE[[#This Row],[Valor Unitario Estimado]]*TAB_ESTOQUE[[#This Row],[Estoque]]</f>
        <v>0</v>
      </c>
      <c r="V1053" s="91"/>
      <c r="W1053" s="85"/>
      <c r="X1053" s="85"/>
      <c r="Y1053" s="85"/>
      <c r="Z1053" s="85"/>
      <c r="AA1053" s="85"/>
      <c r="AB1053" s="85" t="str">
        <f>IF(TAB_ESTOQUE[[#This Row],[Estoque]]=0,"Estoque Não Conforme",IF(TAB_ESTOQUE[[#This Row],[Estoque]]&gt;=TAB_ESTOQUE[[#This Row],[Mínimo]],"Estoque Conforme",IF(TAB_ESTOQUE[[#This Row],[Estoque]]&lt;TAB_ESTOQUE[[#This Row],[Mínimo]],"Estoque em Nivel Minimo")))</f>
        <v>Estoque Conforme</v>
      </c>
      <c r="AC1053" s="85"/>
      <c r="AD1053" s="82"/>
      <c r="AE1053" s="82"/>
      <c r="AF1053" s="82"/>
    </row>
    <row r="1054" spans="1:32" ht="15" customHeight="1" x14ac:dyDescent="0.25">
      <c r="A1054" s="45">
        <v>739</v>
      </c>
      <c r="B1054" s="47"/>
      <c r="C1054" s="46" t="s">
        <v>2833</v>
      </c>
      <c r="D1054" s="45" t="s">
        <v>2328</v>
      </c>
      <c r="E1054" s="46" t="s">
        <v>8400</v>
      </c>
      <c r="F1054" s="87"/>
      <c r="G1054" s="82"/>
      <c r="H1054" s="82"/>
      <c r="I1054" s="82" t="s">
        <v>8581</v>
      </c>
      <c r="J1054" s="82"/>
      <c r="K1054" s="82"/>
      <c r="L1054" s="82"/>
      <c r="M1054" s="82" t="s">
        <v>209</v>
      </c>
      <c r="N1054" s="82"/>
      <c r="O1054" s="87" t="s">
        <v>6708</v>
      </c>
      <c r="P1054" s="82" t="s">
        <v>524</v>
      </c>
      <c r="Q1054" s="83">
        <f>VLOOKUP(TAB_ESTOQUE[[#This Row],[Codigo]],TAB_ENTRADA[[Cod_2_Entrada]:[TOTAL_ENTRADA]],5,FALSE)-VLOOKUP(TAB_ESTOQUE[[#This Row],[Codigo]],TAB_SAIDA[[COD_2_SAIDA]:[TOTAL_SAIDA]],5,FALSE)</f>
        <v>4</v>
      </c>
      <c r="R1054" s="87"/>
      <c r="S1054" s="87"/>
      <c r="T1054" s="90"/>
      <c r="U1054" s="91">
        <f>TAB_ESTOQUE[[#This Row],[Valor Unitario Estimado]]*TAB_ESTOQUE[[#This Row],[Estoque]]</f>
        <v>0</v>
      </c>
      <c r="V1054" s="91"/>
      <c r="W1054" s="85"/>
      <c r="X1054" s="85"/>
      <c r="Y1054" s="85"/>
      <c r="Z1054" s="85"/>
      <c r="AA1054" s="85"/>
      <c r="AB1054" s="85" t="str">
        <f>IF(TAB_ESTOQUE[[#This Row],[Estoque]]=0,"Estoque Não Conforme",IF(TAB_ESTOQUE[[#This Row],[Estoque]]&gt;=TAB_ESTOQUE[[#This Row],[Mínimo]],"Estoque Conforme",IF(TAB_ESTOQUE[[#This Row],[Estoque]]&lt;TAB_ESTOQUE[[#This Row],[Mínimo]],"Estoque em Nivel Minimo")))</f>
        <v>Estoque Conforme</v>
      </c>
      <c r="AC1054" s="85"/>
      <c r="AD1054" s="82"/>
      <c r="AE1054" s="82"/>
      <c r="AF1054" s="82"/>
    </row>
    <row r="1055" spans="1:32" ht="15" customHeight="1" x14ac:dyDescent="0.25">
      <c r="A1055" s="45">
        <v>746</v>
      </c>
      <c r="B1055" s="47"/>
      <c r="C1055" s="46"/>
      <c r="D1055" s="45" t="s">
        <v>2331</v>
      </c>
      <c r="E1055" s="46" t="s">
        <v>8372</v>
      </c>
      <c r="F1055" s="87"/>
      <c r="G1055" s="82"/>
      <c r="H1055" s="82"/>
      <c r="I1055" s="82" t="s">
        <v>1468</v>
      </c>
      <c r="J1055" s="82"/>
      <c r="K1055" s="82" t="s">
        <v>214</v>
      </c>
      <c r="L1055" s="82"/>
      <c r="M1055" s="82" t="s">
        <v>209</v>
      </c>
      <c r="N1055" s="82"/>
      <c r="O1055" s="87" t="s">
        <v>6708</v>
      </c>
      <c r="P1055" s="82" t="s">
        <v>540</v>
      </c>
      <c r="Q1055" s="83">
        <f>VLOOKUP(TAB_ESTOQUE[[#This Row],[Codigo]],TAB_ENTRADA[[Cod_2_Entrada]:[TOTAL_ENTRADA]],5,FALSE)-VLOOKUP(TAB_ESTOQUE[[#This Row],[Codigo]],TAB_SAIDA[[COD_2_SAIDA]:[TOTAL_SAIDA]],5,FALSE)</f>
        <v>3</v>
      </c>
      <c r="R1055" s="87"/>
      <c r="S1055" s="87"/>
      <c r="T1055" s="90"/>
      <c r="U1055" s="91">
        <f>TAB_ESTOQUE[[#This Row],[Valor Unitario Estimado]]*TAB_ESTOQUE[[#This Row],[Estoque]]</f>
        <v>0</v>
      </c>
      <c r="V1055" s="91"/>
      <c r="W1055" s="85"/>
      <c r="X1055" s="85"/>
      <c r="Y1055" s="85"/>
      <c r="Z1055" s="85"/>
      <c r="AA1055" s="85"/>
      <c r="AB1055" s="85" t="str">
        <f>IF(TAB_ESTOQUE[[#This Row],[Estoque]]=0,"Estoque Não Conforme",IF(TAB_ESTOQUE[[#This Row],[Estoque]]&gt;=TAB_ESTOQUE[[#This Row],[Mínimo]],"Estoque Conforme",IF(TAB_ESTOQUE[[#This Row],[Estoque]]&lt;TAB_ESTOQUE[[#This Row],[Mínimo]],"Estoque em Nivel Minimo")))</f>
        <v>Estoque Conforme</v>
      </c>
      <c r="AC1055" s="85"/>
      <c r="AD1055" s="82"/>
      <c r="AE1055" s="82"/>
      <c r="AF1055" s="82"/>
    </row>
    <row r="1056" spans="1:32" s="106" customFormat="1" ht="15" customHeight="1" x14ac:dyDescent="0.25">
      <c r="A1056" s="45">
        <v>747</v>
      </c>
      <c r="B1056" s="47"/>
      <c r="C1056" s="46" t="s">
        <v>2833</v>
      </c>
      <c r="D1056" s="45" t="s">
        <v>2333</v>
      </c>
      <c r="E1056" s="46" t="s">
        <v>7</v>
      </c>
      <c r="F1056" s="87"/>
      <c r="G1056" s="82"/>
      <c r="H1056" s="82"/>
      <c r="I1056" s="82" t="s">
        <v>3034</v>
      </c>
      <c r="J1056" s="82"/>
      <c r="K1056" s="82"/>
      <c r="L1056" s="82"/>
      <c r="M1056" s="82"/>
      <c r="N1056" s="82"/>
      <c r="O1056" s="87" t="s">
        <v>6708</v>
      </c>
      <c r="P1056" s="82" t="s">
        <v>541</v>
      </c>
      <c r="Q1056" s="83">
        <f>VLOOKUP(TAB_ESTOQUE[[#This Row],[Codigo]],TAB_ENTRADA[[Cod_2_Entrada]:[TOTAL_ENTRADA]],5,FALSE)-VLOOKUP(TAB_ESTOQUE[[#This Row],[Codigo]],TAB_SAIDA[[COD_2_SAIDA]:[TOTAL_SAIDA]],5,FALSE)</f>
        <v>2</v>
      </c>
      <c r="R1056" s="87"/>
      <c r="S1056" s="87"/>
      <c r="T1056" s="90"/>
      <c r="U1056" s="91">
        <f>TAB_ESTOQUE[[#This Row],[Valor Unitario Estimado]]*TAB_ESTOQUE[[#This Row],[Estoque]]</f>
        <v>0</v>
      </c>
      <c r="V1056" s="91"/>
      <c r="W1056" s="85"/>
      <c r="X1056" s="85"/>
      <c r="Y1056" s="85"/>
      <c r="Z1056" s="85"/>
      <c r="AA1056" s="85"/>
      <c r="AB1056" s="85" t="str">
        <f>IF(TAB_ESTOQUE[[#This Row],[Estoque]]=0,"Estoque Não Conforme",IF(TAB_ESTOQUE[[#This Row],[Estoque]]&gt;=TAB_ESTOQUE[[#This Row],[Mínimo]],"Estoque Conforme",IF(TAB_ESTOQUE[[#This Row],[Estoque]]&lt;TAB_ESTOQUE[[#This Row],[Mínimo]],"Estoque em Nivel Minimo")))</f>
        <v>Estoque Conforme</v>
      </c>
      <c r="AC1056" s="85"/>
      <c r="AD1056" s="82"/>
      <c r="AE1056" s="95"/>
      <c r="AF1056" s="95"/>
    </row>
    <row r="1057" spans="1:32" ht="15" customHeight="1" x14ac:dyDescent="0.25">
      <c r="A1057" s="45">
        <v>1268</v>
      </c>
      <c r="B1057" s="47"/>
      <c r="C1057" s="46"/>
      <c r="D1057" s="45" t="s">
        <v>2334</v>
      </c>
      <c r="E1057" s="46" t="s">
        <v>7</v>
      </c>
      <c r="F1057" s="87"/>
      <c r="G1057" s="82"/>
      <c r="H1057" s="82"/>
      <c r="I1057" s="82" t="s">
        <v>3035</v>
      </c>
      <c r="J1057" s="82"/>
      <c r="K1057" s="82"/>
      <c r="L1057" s="82"/>
      <c r="M1057" s="82"/>
      <c r="N1057" s="82"/>
      <c r="O1057" s="87" t="s">
        <v>6708</v>
      </c>
      <c r="P1057" s="82" t="s">
        <v>994</v>
      </c>
      <c r="Q1057" s="83">
        <f>VLOOKUP(TAB_ESTOQUE[[#This Row],[Codigo]],TAB_ENTRADA[[Cod_2_Entrada]:[TOTAL_ENTRADA]],5,FALSE)-VLOOKUP(TAB_ESTOQUE[[#This Row],[Codigo]],TAB_SAIDA[[COD_2_SAIDA]:[TOTAL_SAIDA]],5,FALSE)</f>
        <v>1</v>
      </c>
      <c r="R1057" s="87"/>
      <c r="S1057" s="87"/>
      <c r="T1057" s="90"/>
      <c r="U1057" s="91">
        <f>TAB_ESTOQUE[[#This Row],[Valor Unitario Estimado]]*TAB_ESTOQUE[[#This Row],[Estoque]]</f>
        <v>0</v>
      </c>
      <c r="V1057" s="91"/>
      <c r="W1057" s="85"/>
      <c r="X1057" s="85"/>
      <c r="Y1057" s="85"/>
      <c r="Z1057" s="85"/>
      <c r="AA1057" s="85"/>
      <c r="AB1057" s="85" t="str">
        <f>IF(TAB_ESTOQUE[[#This Row],[Estoque]]=0,"Estoque Não Conforme",IF(TAB_ESTOQUE[[#This Row],[Estoque]]&gt;=TAB_ESTOQUE[[#This Row],[Mínimo]],"Estoque Conforme",IF(TAB_ESTOQUE[[#This Row],[Estoque]]&lt;TAB_ESTOQUE[[#This Row],[Mínimo]],"Estoque em Nivel Minimo")))</f>
        <v>Estoque Conforme</v>
      </c>
      <c r="AC1057" s="85"/>
      <c r="AD1057" s="82"/>
      <c r="AE1057" s="82"/>
      <c r="AF1057" s="82"/>
    </row>
    <row r="1058" spans="1:32" ht="15" customHeight="1" x14ac:dyDescent="0.25">
      <c r="A1058" s="45">
        <v>808</v>
      </c>
      <c r="B1058" s="47"/>
      <c r="C1058" s="46"/>
      <c r="D1058" s="45" t="s">
        <v>2336</v>
      </c>
      <c r="E1058" s="46" t="s">
        <v>7258</v>
      </c>
      <c r="F1058" s="87"/>
      <c r="G1058" s="82"/>
      <c r="H1058" s="82"/>
      <c r="I1058" s="82" t="s">
        <v>8585</v>
      </c>
      <c r="J1058" s="82"/>
      <c r="K1058" s="82"/>
      <c r="L1058" s="82"/>
      <c r="M1058" s="82" t="s">
        <v>209</v>
      </c>
      <c r="N1058" s="82"/>
      <c r="O1058" s="87" t="s">
        <v>6708</v>
      </c>
      <c r="P1058" s="82" t="s">
        <v>594</v>
      </c>
      <c r="Q1058" s="83">
        <f>VLOOKUP(TAB_ESTOQUE[[#This Row],[Codigo]],TAB_ENTRADA[[Cod_2_Entrada]:[TOTAL_ENTRADA]],5,FALSE)-VLOOKUP(TAB_ESTOQUE[[#This Row],[Codigo]],TAB_SAIDA[[COD_2_SAIDA]:[TOTAL_SAIDA]],5,FALSE)</f>
        <v>3</v>
      </c>
      <c r="R1058" s="87"/>
      <c r="S1058" s="87"/>
      <c r="T1058" s="90">
        <v>23</v>
      </c>
      <c r="U1058" s="91">
        <f>TAB_ESTOQUE[[#This Row],[Valor Unitario Estimado]]*TAB_ESTOQUE[[#This Row],[Estoque]]</f>
        <v>69</v>
      </c>
      <c r="V1058" s="91"/>
      <c r="W1058" s="85"/>
      <c r="X1058" s="85"/>
      <c r="Y1058" s="85"/>
      <c r="Z1058" s="85"/>
      <c r="AA1058" s="85"/>
      <c r="AB1058" s="85" t="str">
        <f>IF(TAB_ESTOQUE[[#This Row],[Estoque]]=0,"Estoque Não Conforme",IF(TAB_ESTOQUE[[#This Row],[Estoque]]&gt;=TAB_ESTOQUE[[#This Row],[Mínimo]],"Estoque Conforme",IF(TAB_ESTOQUE[[#This Row],[Estoque]]&lt;TAB_ESTOQUE[[#This Row],[Mínimo]],"Estoque em Nivel Minimo")))</f>
        <v>Estoque Conforme</v>
      </c>
      <c r="AC1058" s="85"/>
      <c r="AD1058" s="82"/>
      <c r="AE1058" s="82"/>
      <c r="AF1058" s="82"/>
    </row>
    <row r="1059" spans="1:32" ht="15" customHeight="1" x14ac:dyDescent="0.25">
      <c r="A1059" s="106">
        <v>1044</v>
      </c>
      <c r="B1059" s="106"/>
      <c r="C1059" s="116"/>
      <c r="D1059" s="106" t="s">
        <v>2353</v>
      </c>
      <c r="E1059" s="116" t="s">
        <v>7</v>
      </c>
      <c r="F1059" s="118"/>
      <c r="G1059" s="95"/>
      <c r="H1059" s="95"/>
      <c r="I1059" s="95" t="s">
        <v>8597</v>
      </c>
      <c r="J1059" s="95"/>
      <c r="K1059" s="95"/>
      <c r="L1059" s="95"/>
      <c r="M1059" s="95"/>
      <c r="N1059" s="95"/>
      <c r="O1059" s="118" t="s">
        <v>6708</v>
      </c>
      <c r="P1059" s="95" t="s">
        <v>795</v>
      </c>
      <c r="Q1059" s="154">
        <f>VLOOKUP(TAB_ESTOQUE[[#This Row],[Codigo]],TAB_ENTRADA[[Cod_2_Entrada]:[TOTAL_ENTRADA]],5,FALSE)-VLOOKUP(TAB_ESTOQUE[[#This Row],[Codigo]],TAB_SAIDA[[COD_2_SAIDA]:[TOTAL_SAIDA]],5,FALSE)</f>
        <v>1</v>
      </c>
      <c r="R1059" s="118"/>
      <c r="S1059" s="118"/>
      <c r="T1059" s="119">
        <v>158.35</v>
      </c>
      <c r="U1059" s="112">
        <f>TAB_ESTOQUE[[#This Row],[Valor Unitario Estimado]]*TAB_ESTOQUE[[#This Row],[Estoque]]</f>
        <v>158.35</v>
      </c>
      <c r="V1059" s="112"/>
      <c r="W1059" s="120"/>
      <c r="X1059" s="120"/>
      <c r="Y1059" s="120"/>
      <c r="Z1059" s="120"/>
      <c r="AA1059" s="120"/>
      <c r="AB1059" s="120" t="str">
        <f>IF(TAB_ESTOQUE[[#This Row],[Estoque]]=0,"Estoque Não Conforme",IF(TAB_ESTOQUE[[#This Row],[Estoque]]&gt;=TAB_ESTOQUE[[#This Row],[Mínimo]],"Estoque Conforme",IF(TAB_ESTOQUE[[#This Row],[Estoque]]&lt;TAB_ESTOQUE[[#This Row],[Mínimo]],"Estoque em Nivel Minimo")))</f>
        <v>Estoque Conforme</v>
      </c>
      <c r="AC1059" s="120"/>
      <c r="AD1059" s="95"/>
      <c r="AE1059" s="82"/>
      <c r="AF1059" s="82"/>
    </row>
    <row r="1060" spans="1:32" ht="15" customHeight="1" x14ac:dyDescent="0.25">
      <c r="B1060" s="47"/>
      <c r="C1060" s="48"/>
      <c r="D1060" s="45" t="s">
        <v>6392</v>
      </c>
      <c r="E1060" s="46"/>
      <c r="F1060" s="87"/>
      <c r="G1060" s="82"/>
      <c r="H1060" s="82"/>
      <c r="I1060" s="208" t="s">
        <v>8702</v>
      </c>
      <c r="J1060" s="82"/>
      <c r="K1060" s="82"/>
      <c r="L1060" s="82"/>
      <c r="M1060" s="82"/>
      <c r="N1060" s="82"/>
      <c r="O1060" s="87" t="s">
        <v>6708</v>
      </c>
      <c r="P1060" s="82"/>
      <c r="Q1060" s="83">
        <f>VLOOKUP(TAB_ESTOQUE[[#This Row],[Codigo]],TAB_ENTRADA[[Cod_2_Entrada]:[TOTAL_ENTRADA]],5,FALSE)-VLOOKUP(TAB_ESTOQUE[[#This Row],[Codigo]],TAB_SAIDA[[COD_2_SAIDA]:[TOTAL_SAIDA]],5,FALSE)</f>
        <v>2</v>
      </c>
      <c r="R1060" s="87"/>
      <c r="S1060" s="87"/>
      <c r="T1060" s="90"/>
      <c r="U1060" s="91">
        <f>TAB_ESTOQUE[[#This Row],[Valor Unitario Estimado]]*TAB_ESTOQUE[[#This Row],[Estoque]]</f>
        <v>0</v>
      </c>
      <c r="V1060" s="91"/>
      <c r="W1060" s="85"/>
      <c r="X1060" s="85"/>
      <c r="Y1060" s="85"/>
      <c r="Z1060" s="85"/>
      <c r="AA1060" s="85"/>
      <c r="AB1060" s="85" t="str">
        <f>IF(TAB_ESTOQUE[[#This Row],[Estoque]]=0,"Estoque Não Conforme",IF(TAB_ESTOQUE[[#This Row],[Estoque]]&gt;=TAB_ESTOQUE[[#This Row],[Mínimo]],"Estoque Conforme",IF(TAB_ESTOQUE[[#This Row],[Estoque]]&lt;TAB_ESTOQUE[[#This Row],[Mínimo]],"Estoque em Nivel Minimo")))</f>
        <v>Estoque Conforme</v>
      </c>
      <c r="AC1060" s="96"/>
      <c r="AD1060" s="82"/>
      <c r="AE1060" s="82"/>
      <c r="AF1060" s="82"/>
    </row>
    <row r="1061" spans="1:32" ht="15" customHeight="1" x14ac:dyDescent="0.25">
      <c r="C1061" s="48"/>
      <c r="D1061" s="45" t="s">
        <v>8169</v>
      </c>
      <c r="E1061" s="46" t="s">
        <v>8396</v>
      </c>
      <c r="F1061" s="46"/>
      <c r="I1061" s="45" t="s">
        <v>9051</v>
      </c>
      <c r="O1061" s="46" t="s">
        <v>6708</v>
      </c>
      <c r="Q1061" s="137">
        <f>VLOOKUP(TAB_ESTOQUE[[#This Row],[Codigo]],TAB_ENTRADA[[Cod_2_Entrada]:[TOTAL_ENTRADA]],5,FALSE)-VLOOKUP(TAB_ESTOQUE[[#This Row],[Codigo]],TAB_SAIDA[[COD_2_SAIDA]:[TOTAL_SAIDA]],5,FALSE)</f>
        <v>3</v>
      </c>
      <c r="R1061" s="46">
        <v>3</v>
      </c>
      <c r="S1061" s="46">
        <v>6</v>
      </c>
      <c r="T1061" s="102">
        <v>60</v>
      </c>
      <c r="U1061" s="103">
        <f>TAB_ESTOQUE[[#This Row],[Valor Unitario Estimado]]*TAB_ESTOQUE[[#This Row],[Estoque]]</f>
        <v>180</v>
      </c>
      <c r="V1061" s="103"/>
      <c r="AA1061" s="138"/>
      <c r="AB1061" s="104" t="str">
        <f>IF(TAB_ESTOQUE[[#This Row],[Estoque]]=0,"Estoque Não Conforme",IF(TAB_ESTOQUE[[#This Row],[Estoque]]&gt;=TAB_ESTOQUE[[#This Row],[Mínimo]],"Estoque Conforme",IF(TAB_ESTOQUE[[#This Row],[Estoque]]&lt;TAB_ESTOQUE[[#This Row],[Mínimo]],"Estoque em Nivel Minimo")))</f>
        <v>Estoque Conforme</v>
      </c>
      <c r="AC1061" s="104"/>
      <c r="AE1061" s="82"/>
      <c r="AF1061" s="82"/>
    </row>
    <row r="1062" spans="1:32" ht="15" customHeight="1" x14ac:dyDescent="0.25">
      <c r="A1062" s="45">
        <v>1204</v>
      </c>
      <c r="B1062" s="47"/>
      <c r="C1062" s="46" t="s">
        <v>2833</v>
      </c>
      <c r="D1062" s="45" t="s">
        <v>1995</v>
      </c>
      <c r="E1062" s="46" t="s">
        <v>7265</v>
      </c>
      <c r="F1062" s="87"/>
      <c r="G1062" s="82"/>
      <c r="H1062" s="82"/>
      <c r="I1062" s="82" t="s">
        <v>7318</v>
      </c>
      <c r="J1062" s="82"/>
      <c r="K1062" s="82"/>
      <c r="L1062" s="82"/>
      <c r="M1062" s="82"/>
      <c r="N1062" s="82"/>
      <c r="O1062" s="87" t="s">
        <v>6552</v>
      </c>
      <c r="P1062" s="82" t="s">
        <v>921</v>
      </c>
      <c r="Q1062" s="83">
        <f>VLOOKUP(TAB_ESTOQUE[[#This Row],[Codigo]],TAB_ENTRADA[[Cod_2_Entrada]:[TOTAL_ENTRADA]],5,FALSE)-VLOOKUP(TAB_ESTOQUE[[#This Row],[Codigo]],TAB_SAIDA[[COD_2_SAIDA]:[TOTAL_SAIDA]],5,FALSE)</f>
        <v>8</v>
      </c>
      <c r="R1062" s="87"/>
      <c r="S1062" s="87"/>
      <c r="T1062" s="90">
        <v>166.75</v>
      </c>
      <c r="U1062" s="91">
        <f>TAB_ESTOQUE[[#This Row],[Valor Unitario Estimado]]*TAB_ESTOQUE[[#This Row],[Estoque]]</f>
        <v>1334</v>
      </c>
      <c r="V1062" s="91"/>
      <c r="W1062" s="85"/>
      <c r="X1062" s="85"/>
      <c r="Y1062" s="85"/>
      <c r="Z1062" s="85"/>
      <c r="AA1062" s="85"/>
      <c r="AB1062" s="85" t="str">
        <f>IF(TAB_ESTOQUE[[#This Row],[Estoque]]=0,"Estoque Não Conforme",IF(TAB_ESTOQUE[[#This Row],[Estoque]]&gt;=TAB_ESTOQUE[[#This Row],[Mínimo]],"Estoque Conforme",IF(TAB_ESTOQUE[[#This Row],[Estoque]]&lt;TAB_ESTOQUE[[#This Row],[Mínimo]],"Estoque em Nivel Minimo")))</f>
        <v>Estoque Conforme</v>
      </c>
      <c r="AC1062" s="85"/>
      <c r="AD1062" s="82"/>
      <c r="AE1062" s="82"/>
      <c r="AF1062" s="82"/>
    </row>
    <row r="1063" spans="1:32" ht="15" customHeight="1" x14ac:dyDescent="0.25">
      <c r="A1063" s="45" t="s">
        <v>1159</v>
      </c>
      <c r="B1063" s="47"/>
      <c r="C1063" s="46"/>
      <c r="D1063" s="45" t="s">
        <v>2620</v>
      </c>
      <c r="E1063" s="46"/>
      <c r="F1063" s="87"/>
      <c r="G1063" s="82"/>
      <c r="H1063" s="82"/>
      <c r="I1063" s="94" t="s">
        <v>2989</v>
      </c>
      <c r="J1063" s="82"/>
      <c r="K1063" s="82"/>
      <c r="L1063" s="82"/>
      <c r="M1063" s="82"/>
      <c r="N1063" s="82"/>
      <c r="O1063" s="87" t="s">
        <v>6552</v>
      </c>
      <c r="P1063" s="82" t="s">
        <v>1228</v>
      </c>
      <c r="Q1063" s="83">
        <f>VLOOKUP(TAB_ESTOQUE[[#This Row],[Codigo]],TAB_ENTRADA[[Cod_2_Entrada]:[TOTAL_ENTRADA]],5,FALSE)-VLOOKUP(TAB_ESTOQUE[[#This Row],[Codigo]],TAB_SAIDA[[COD_2_SAIDA]:[TOTAL_SAIDA]],5,FALSE)</f>
        <v>3</v>
      </c>
      <c r="R1063" s="87"/>
      <c r="S1063" s="87"/>
      <c r="T1063" s="90">
        <v>310</v>
      </c>
      <c r="U1063" s="91">
        <f>TAB_ESTOQUE[[#This Row],[Valor Unitario Estimado]]*TAB_ESTOQUE[[#This Row],[Estoque]]</f>
        <v>930</v>
      </c>
      <c r="V1063" s="91"/>
      <c r="W1063" s="85"/>
      <c r="X1063" s="85"/>
      <c r="Y1063" s="85"/>
      <c r="Z1063" s="85"/>
      <c r="AA1063" s="85"/>
      <c r="AB1063" s="85" t="str">
        <f>IF(TAB_ESTOQUE[[#This Row],[Estoque]]=0,"Estoque Não Conforme",IF(TAB_ESTOQUE[[#This Row],[Estoque]]&gt;=TAB_ESTOQUE[[#This Row],[Mínimo]],"Estoque Conforme",IF(TAB_ESTOQUE[[#This Row],[Estoque]]&lt;TAB_ESTOQUE[[#This Row],[Mínimo]],"Estoque em Nivel Minimo")))</f>
        <v>Estoque Conforme</v>
      </c>
      <c r="AC1063" s="85"/>
      <c r="AD1063" s="82"/>
      <c r="AE1063" s="82"/>
      <c r="AF1063" s="82"/>
    </row>
    <row r="1064" spans="1:32" ht="15" customHeight="1" x14ac:dyDescent="0.25">
      <c r="A1064" s="45">
        <v>1202</v>
      </c>
      <c r="B1064" s="47"/>
      <c r="C1064" s="52" t="s">
        <v>2833</v>
      </c>
      <c r="D1064" s="45" t="s">
        <v>1753</v>
      </c>
      <c r="E1064" s="46" t="s">
        <v>7265</v>
      </c>
      <c r="F1064" s="87"/>
      <c r="G1064" s="82"/>
      <c r="H1064" s="82"/>
      <c r="I1064" s="82" t="s">
        <v>7317</v>
      </c>
      <c r="J1064" s="82"/>
      <c r="K1064" s="82"/>
      <c r="L1064" s="82"/>
      <c r="M1064" s="82"/>
      <c r="N1064" s="82"/>
      <c r="O1064" s="87" t="s">
        <v>6554</v>
      </c>
      <c r="P1064" s="82" t="s">
        <v>1591</v>
      </c>
      <c r="Q1064" s="83">
        <f>VLOOKUP(TAB_ESTOQUE[[#This Row],[Codigo]],TAB_ENTRADA[[Cod_2_Entrada]:[TOTAL_ENTRADA]],5,FALSE)-VLOOKUP(TAB_ESTOQUE[[#This Row],[Codigo]],TAB_SAIDA[[COD_2_SAIDA]:[TOTAL_SAIDA]],5,FALSE)</f>
        <v>3</v>
      </c>
      <c r="R1064" s="87"/>
      <c r="S1064" s="87"/>
      <c r="T1064" s="90">
        <v>245</v>
      </c>
      <c r="U1064" s="91">
        <f>TAB_ESTOQUE[[#This Row],[Valor Unitario Estimado]]*TAB_ESTOQUE[[#This Row],[Estoque]]</f>
        <v>735</v>
      </c>
      <c r="V1064" s="91"/>
      <c r="W1064" s="85"/>
      <c r="X1064" s="85"/>
      <c r="Y1064" s="85"/>
      <c r="Z1064" s="85"/>
      <c r="AA1064" s="85"/>
      <c r="AB1064" s="85" t="str">
        <f>IF(TAB_ESTOQUE[[#This Row],[Estoque]]=0,"Estoque Não Conforme",IF(TAB_ESTOQUE[[#This Row],[Estoque]]&gt;=TAB_ESTOQUE[[#This Row],[Mínimo]],"Estoque Conforme",IF(TAB_ESTOQUE[[#This Row],[Estoque]]&lt;TAB_ESTOQUE[[#This Row],[Mínimo]],"Estoque em Nivel Minimo")))</f>
        <v>Estoque Conforme</v>
      </c>
      <c r="AC1064" s="85"/>
      <c r="AD1064" s="82"/>
      <c r="AE1064" s="82"/>
      <c r="AF1064" s="82"/>
    </row>
    <row r="1065" spans="1:32" ht="15" customHeight="1" x14ac:dyDescent="0.25">
      <c r="A1065" s="45">
        <v>976</v>
      </c>
      <c r="B1065" s="47"/>
      <c r="C1065" s="46"/>
      <c r="D1065" s="45" t="s">
        <v>1932</v>
      </c>
      <c r="E1065" s="46" t="s">
        <v>7</v>
      </c>
      <c r="F1065" s="87"/>
      <c r="G1065" s="82"/>
      <c r="H1065" s="82"/>
      <c r="I1065" s="82" t="s">
        <v>6780</v>
      </c>
      <c r="J1065" s="82"/>
      <c r="K1065" s="82"/>
      <c r="L1065" s="82"/>
      <c r="M1065" s="82"/>
      <c r="N1065" s="82"/>
      <c r="O1065" s="87" t="s">
        <v>6554</v>
      </c>
      <c r="P1065" s="82" t="s">
        <v>751</v>
      </c>
      <c r="Q1065" s="83">
        <f>VLOOKUP(TAB_ESTOQUE[[#This Row],[Codigo]],TAB_ENTRADA[[Cod_2_Entrada]:[TOTAL_ENTRADA]],5,FALSE)-VLOOKUP(TAB_ESTOQUE[[#This Row],[Codigo]],TAB_SAIDA[[COD_2_SAIDA]:[TOTAL_SAIDA]],5,FALSE)</f>
        <v>2</v>
      </c>
      <c r="R1065" s="87"/>
      <c r="S1065" s="87"/>
      <c r="T1065" s="90">
        <v>940.55</v>
      </c>
      <c r="U1065" s="91">
        <f>TAB_ESTOQUE[[#This Row],[Valor Unitario Estimado]]*TAB_ESTOQUE[[#This Row],[Estoque]]</f>
        <v>1881.1</v>
      </c>
      <c r="V1065" s="91"/>
      <c r="W1065" s="85"/>
      <c r="X1065" s="85"/>
      <c r="Y1065" s="85"/>
      <c r="Z1065" s="85"/>
      <c r="AA1065" s="85"/>
      <c r="AB1065" s="85" t="str">
        <f>IF(TAB_ESTOQUE[[#This Row],[Estoque]]=0,"Estoque Não Conforme",IF(TAB_ESTOQUE[[#This Row],[Estoque]]&gt;=TAB_ESTOQUE[[#This Row],[Mínimo]],"Estoque Conforme",IF(TAB_ESTOQUE[[#This Row],[Estoque]]&lt;TAB_ESTOQUE[[#This Row],[Mínimo]],"Estoque em Nivel Minimo")))</f>
        <v>Estoque Conforme</v>
      </c>
      <c r="AC1065" s="85"/>
      <c r="AD1065" s="82"/>
      <c r="AE1065" s="82"/>
      <c r="AF1065" s="82"/>
    </row>
    <row r="1066" spans="1:32" ht="15" customHeight="1" x14ac:dyDescent="0.25">
      <c r="A1066" s="113">
        <v>1105</v>
      </c>
      <c r="B1066" s="113"/>
      <c r="C1066" s="114"/>
      <c r="D1066" s="106" t="s">
        <v>2613</v>
      </c>
      <c r="E1066" s="116"/>
      <c r="F1066" s="118"/>
      <c r="G1066" s="95"/>
      <c r="H1066" s="95"/>
      <c r="I1066" s="95" t="s">
        <v>1645</v>
      </c>
      <c r="J1066" s="115"/>
      <c r="K1066" s="95"/>
      <c r="L1066" s="95"/>
      <c r="M1066" s="95"/>
      <c r="N1066" s="95"/>
      <c r="O1066" s="118" t="s">
        <v>6554</v>
      </c>
      <c r="P1066" s="95" t="s">
        <v>821</v>
      </c>
      <c r="Q1066" s="154">
        <f>VLOOKUP(TAB_ESTOQUE[[#This Row],[Codigo]],TAB_ENTRADA[[Cod_2_Entrada]:[TOTAL_ENTRADA]],5,FALSE)-VLOOKUP(TAB_ESTOQUE[[#This Row],[Codigo]],TAB_SAIDA[[COD_2_SAIDA]:[TOTAL_SAIDA]],5,FALSE)</f>
        <v>3</v>
      </c>
      <c r="R1066" s="118"/>
      <c r="S1066" s="118"/>
      <c r="T1066" s="119">
        <v>285</v>
      </c>
      <c r="U1066" s="112">
        <f>TAB_ESTOQUE[[#This Row],[Valor Unitario Estimado]]*TAB_ESTOQUE[[#This Row],[Estoque]]</f>
        <v>855</v>
      </c>
      <c r="V1066" s="112"/>
      <c r="W1066" s="120"/>
      <c r="X1066" s="120"/>
      <c r="Y1066" s="120"/>
      <c r="Z1066" s="120"/>
      <c r="AA1066" s="120"/>
      <c r="AB1066" s="120" t="str">
        <f>IF(TAB_ESTOQUE[[#This Row],[Estoque]]=0,"Estoque Não Conforme",IF(TAB_ESTOQUE[[#This Row],[Estoque]]&gt;=TAB_ESTOQUE[[#This Row],[Mínimo]],"Estoque Conforme",IF(TAB_ESTOQUE[[#This Row],[Estoque]]&lt;TAB_ESTOQUE[[#This Row],[Mínimo]],"Estoque em Nivel Minimo")))</f>
        <v>Estoque Conforme</v>
      </c>
      <c r="AC1066" s="120"/>
      <c r="AD1066" s="95"/>
      <c r="AE1066" s="82"/>
      <c r="AF1066" s="82"/>
    </row>
    <row r="1067" spans="1:32" ht="15" customHeight="1" x14ac:dyDescent="0.25">
      <c r="C1067" s="48"/>
      <c r="D1067" s="45" t="s">
        <v>7350</v>
      </c>
      <c r="E1067" s="46" t="s">
        <v>906</v>
      </c>
      <c r="F1067" s="46"/>
      <c r="I1067" s="45" t="s">
        <v>7978</v>
      </c>
      <c r="O1067" s="116" t="s">
        <v>6892</v>
      </c>
      <c r="Q1067" s="137">
        <f>VLOOKUP(TAB_ESTOQUE[[#This Row],[Codigo]],TAB_ENTRADA[[Cod_2_Entrada]:[TOTAL_ENTRADA]],5,FALSE)-VLOOKUP(TAB_ESTOQUE[[#This Row],[Codigo]],TAB_SAIDA[[COD_2_SAIDA]:[TOTAL_SAIDA]],5,FALSE)</f>
        <v>2</v>
      </c>
      <c r="S1067" s="46"/>
      <c r="T1067" s="102">
        <v>230</v>
      </c>
      <c r="U1067" s="103">
        <f>TAB_ESTOQUE[[#This Row],[Valor Unitario Estimado]]*TAB_ESTOQUE[[#This Row],[Estoque]]</f>
        <v>460</v>
      </c>
      <c r="V1067" s="103"/>
      <c r="AA1067" s="138"/>
      <c r="AB1067" s="104" t="str">
        <f>IF(TAB_ESTOQUE[[#This Row],[Estoque]]=0,"Estoque Não Conforme",IF(TAB_ESTOQUE[[#This Row],[Estoque]]&gt;=TAB_ESTOQUE[[#This Row],[Mínimo]],"Estoque Conforme",IF(TAB_ESTOQUE[[#This Row],[Estoque]]&lt;TAB_ESTOQUE[[#This Row],[Mínimo]],"Estoque em Nivel Minimo")))</f>
        <v>Estoque Conforme</v>
      </c>
      <c r="AC1067" s="104"/>
      <c r="AE1067" s="82"/>
      <c r="AF1067" s="82"/>
    </row>
    <row r="1068" spans="1:32" s="106" customFormat="1" ht="15" customHeight="1" x14ac:dyDescent="0.25">
      <c r="A1068" s="45">
        <v>1132</v>
      </c>
      <c r="B1068" s="47"/>
      <c r="C1068" s="46" t="s">
        <v>2842</v>
      </c>
      <c r="D1068" s="45" t="s">
        <v>1763</v>
      </c>
      <c r="E1068" s="46"/>
      <c r="F1068" s="87"/>
      <c r="G1068" s="82"/>
      <c r="H1068" s="82"/>
      <c r="I1068" s="95" t="s">
        <v>8464</v>
      </c>
      <c r="J1068" s="82"/>
      <c r="K1068" s="82"/>
      <c r="L1068" s="82"/>
      <c r="M1068" s="82"/>
      <c r="N1068" s="82"/>
      <c r="O1068" s="87" t="s">
        <v>6709</v>
      </c>
      <c r="P1068" s="82" t="s">
        <v>851</v>
      </c>
      <c r="Q1068" s="83">
        <f>VLOOKUP(TAB_ESTOQUE[[#This Row],[Codigo]],TAB_ENTRADA[[Cod_2_Entrada]:[TOTAL_ENTRADA]],5,FALSE)-VLOOKUP(TAB_ESTOQUE[[#This Row],[Codigo]],TAB_SAIDA[[COD_2_SAIDA]:[TOTAL_SAIDA]],5,FALSE)</f>
        <v>2</v>
      </c>
      <c r="R1068" s="87"/>
      <c r="S1068" s="87"/>
      <c r="T1068" s="90">
        <v>6000</v>
      </c>
      <c r="U1068" s="91">
        <f>TAB_ESTOQUE[[#This Row],[Valor Unitario Estimado]]*TAB_ESTOQUE[[#This Row],[Estoque]]</f>
        <v>12000</v>
      </c>
      <c r="V1068" s="91"/>
      <c r="W1068" s="85"/>
      <c r="X1068" s="85"/>
      <c r="Y1068" s="85"/>
      <c r="Z1068" s="85"/>
      <c r="AA1068" s="85"/>
      <c r="AB1068" s="85" t="str">
        <f>IF(TAB_ESTOQUE[[#This Row],[Estoque]]=0,"Estoque Não Conforme",IF(TAB_ESTOQUE[[#This Row],[Estoque]]&gt;=TAB_ESTOQUE[[#This Row],[Mínimo]],"Estoque Conforme",IF(TAB_ESTOQUE[[#This Row],[Estoque]]&lt;TAB_ESTOQUE[[#This Row],[Mínimo]],"Estoque em Nivel Minimo")))</f>
        <v>Estoque Conforme</v>
      </c>
      <c r="AC1068" s="85"/>
      <c r="AD1068" s="82"/>
      <c r="AE1068" s="95"/>
      <c r="AF1068" s="95"/>
    </row>
    <row r="1069" spans="1:32" ht="15" customHeight="1" x14ac:dyDescent="0.25">
      <c r="A1069" s="45">
        <v>1125</v>
      </c>
      <c r="B1069" s="47"/>
      <c r="C1069" s="46" t="s">
        <v>2833</v>
      </c>
      <c r="D1069" s="45" t="s">
        <v>1764</v>
      </c>
      <c r="E1069" s="46"/>
      <c r="F1069" s="87"/>
      <c r="G1069" s="82"/>
      <c r="H1069" s="82"/>
      <c r="I1069" s="82" t="s">
        <v>8465</v>
      </c>
      <c r="J1069" s="82"/>
      <c r="K1069" s="82"/>
      <c r="L1069" s="82"/>
      <c r="M1069" s="82"/>
      <c r="N1069" s="82"/>
      <c r="O1069" s="87" t="s">
        <v>6709</v>
      </c>
      <c r="P1069" s="82" t="s">
        <v>850</v>
      </c>
      <c r="Q1069" s="83">
        <f>VLOOKUP(TAB_ESTOQUE[[#This Row],[Codigo]],TAB_ENTRADA[[Cod_2_Entrada]:[TOTAL_ENTRADA]],5,FALSE)-VLOOKUP(TAB_ESTOQUE[[#This Row],[Codigo]],TAB_SAIDA[[COD_2_SAIDA]:[TOTAL_SAIDA]],5,FALSE)</f>
        <v>2</v>
      </c>
      <c r="R1069" s="87"/>
      <c r="S1069" s="87"/>
      <c r="T1069" s="90"/>
      <c r="U1069" s="91">
        <f>TAB_ESTOQUE[[#This Row],[Valor Unitario Estimado]]*TAB_ESTOQUE[[#This Row],[Estoque]]</f>
        <v>0</v>
      </c>
      <c r="V1069" s="91"/>
      <c r="W1069" s="85"/>
      <c r="X1069" s="85"/>
      <c r="Y1069" s="85"/>
      <c r="Z1069" s="85"/>
      <c r="AA1069" s="85"/>
      <c r="AB1069" s="85" t="str">
        <f>IF(TAB_ESTOQUE[[#This Row],[Estoque]]=0,"Estoque Não Conforme",IF(TAB_ESTOQUE[[#This Row],[Estoque]]&gt;=TAB_ESTOQUE[[#This Row],[Mínimo]],"Estoque Conforme",IF(TAB_ESTOQUE[[#This Row],[Estoque]]&lt;TAB_ESTOQUE[[#This Row],[Mínimo]],"Estoque em Nivel Minimo")))</f>
        <v>Estoque Conforme</v>
      </c>
      <c r="AC1069" s="85"/>
      <c r="AD1069" s="82"/>
      <c r="AE1069" s="82"/>
      <c r="AF1069" s="82"/>
    </row>
    <row r="1070" spans="1:32" ht="15" customHeight="1" x14ac:dyDescent="0.25">
      <c r="A1070" s="213">
        <v>1185</v>
      </c>
      <c r="B1070" s="176"/>
      <c r="C1070" s="221"/>
      <c r="D1070" s="213" t="s">
        <v>2251</v>
      </c>
      <c r="E1070" s="221"/>
      <c r="F1070" s="222"/>
      <c r="G1070" s="208"/>
      <c r="H1070" s="208"/>
      <c r="I1070" s="208" t="s">
        <v>8994</v>
      </c>
      <c r="J1070" s="208"/>
      <c r="K1070" s="208"/>
      <c r="L1070" s="208"/>
      <c r="M1070" s="208"/>
      <c r="N1070" s="208"/>
      <c r="O1070" s="222" t="s">
        <v>6700</v>
      </c>
      <c r="P1070" s="208" t="s">
        <v>907</v>
      </c>
      <c r="Q1070" s="223">
        <f>VLOOKUP(TAB_ESTOQUE[[#This Row],[Codigo]],TAB_ENTRADA[[Cod_2_Entrada]:[TOTAL_ENTRADA]],5,FALSE)-VLOOKUP(TAB_ESTOQUE[[#This Row],[Codigo]],TAB_SAIDA[[COD_2_SAIDA]:[TOTAL_SAIDA]],5,FALSE)</f>
        <v>9</v>
      </c>
      <c r="R1070" s="222"/>
      <c r="S1070" s="222"/>
      <c r="T1070" s="90">
        <v>37.299999999999997</v>
      </c>
      <c r="U1070" s="91">
        <f>TAB_ESTOQUE[[#This Row],[Valor Unitario Estimado]]*TAB_ESTOQUE[[#This Row],[Estoque]]</f>
        <v>335.7</v>
      </c>
      <c r="V1070" s="91"/>
      <c r="W1070" s="224"/>
      <c r="X1070" s="224"/>
      <c r="Y1070" s="224"/>
      <c r="Z1070" s="224"/>
      <c r="AA1070" s="224"/>
      <c r="AB1070" s="224" t="str">
        <f>IF(TAB_ESTOQUE[[#This Row],[Estoque]]=0,"Estoque Não Conforme",IF(TAB_ESTOQUE[[#This Row],[Estoque]]&gt;=TAB_ESTOQUE[[#This Row],[Mínimo]],"Estoque Conforme",IF(TAB_ESTOQUE[[#This Row],[Estoque]]&lt;TAB_ESTOQUE[[#This Row],[Mínimo]],"Estoque em Nivel Minimo")))</f>
        <v>Estoque Conforme</v>
      </c>
      <c r="AC1070" s="224"/>
      <c r="AD1070" s="208"/>
      <c r="AE1070" s="82"/>
      <c r="AF1070" s="82"/>
    </row>
    <row r="1071" spans="1:32" ht="15" customHeight="1" x14ac:dyDescent="0.25">
      <c r="A1071" s="45">
        <v>836</v>
      </c>
      <c r="B1071" s="47"/>
      <c r="C1071" s="46"/>
      <c r="D1071" s="45" t="s">
        <v>2275</v>
      </c>
      <c r="E1071" s="46"/>
      <c r="F1071" s="87"/>
      <c r="G1071" s="82"/>
      <c r="H1071" s="82"/>
      <c r="I1071" s="82" t="s">
        <v>1579</v>
      </c>
      <c r="J1071" s="82"/>
      <c r="K1071" s="82"/>
      <c r="L1071" s="82"/>
      <c r="M1071" s="82"/>
      <c r="N1071" s="82"/>
      <c r="O1071" s="87" t="s">
        <v>6700</v>
      </c>
      <c r="P1071" s="82" t="s">
        <v>624</v>
      </c>
      <c r="Q1071" s="83">
        <f>VLOOKUP(TAB_ESTOQUE[[#This Row],[Codigo]],TAB_ENTRADA[[Cod_2_Entrada]:[TOTAL_ENTRADA]],5,FALSE)-VLOOKUP(TAB_ESTOQUE[[#This Row],[Codigo]],TAB_SAIDA[[COD_2_SAIDA]:[TOTAL_SAIDA]],5,FALSE)</f>
        <v>0</v>
      </c>
      <c r="R1071" s="87"/>
      <c r="S1071" s="87"/>
      <c r="T1071" s="90">
        <v>100</v>
      </c>
      <c r="U1071" s="91">
        <f>TAB_ESTOQUE[[#This Row],[Valor Unitario Estimado]]*TAB_ESTOQUE[[#This Row],[Estoque]]</f>
        <v>0</v>
      </c>
      <c r="V1071" s="91"/>
      <c r="W1071" s="85"/>
      <c r="X1071" s="85"/>
      <c r="Y1071" s="85"/>
      <c r="Z1071" s="85"/>
      <c r="AA1071" s="85"/>
      <c r="AB1071" s="85" t="str">
        <f>IF(TAB_ESTOQUE[[#This Row],[Estoque]]=0,"Estoque Não Conforme",IF(TAB_ESTOQUE[[#This Row],[Estoque]]&gt;=TAB_ESTOQUE[[#This Row],[Mínimo]],"Estoque Conforme",IF(TAB_ESTOQUE[[#This Row],[Estoque]]&lt;TAB_ESTOQUE[[#This Row],[Mínimo]],"Estoque em Nivel Minimo")))</f>
        <v>Estoque Não Conforme</v>
      </c>
      <c r="AC1071" s="85"/>
      <c r="AD1071" s="82"/>
      <c r="AE1071" s="82"/>
      <c r="AF1071" s="82"/>
    </row>
    <row r="1072" spans="1:32" ht="15" customHeight="1" x14ac:dyDescent="0.25">
      <c r="A1072" s="45">
        <v>838</v>
      </c>
      <c r="B1072" s="47"/>
      <c r="C1072" s="46"/>
      <c r="D1072" s="45" t="s">
        <v>2277</v>
      </c>
      <c r="E1072" s="46"/>
      <c r="F1072" s="87"/>
      <c r="G1072" s="82"/>
      <c r="H1072" s="82"/>
      <c r="I1072" s="82" t="s">
        <v>1536</v>
      </c>
      <c r="J1072" s="82"/>
      <c r="K1072" s="82"/>
      <c r="L1072" s="82"/>
      <c r="M1072" s="82"/>
      <c r="N1072" s="82"/>
      <c r="O1072" s="87" t="s">
        <v>6700</v>
      </c>
      <c r="P1072" s="82" t="s">
        <v>626</v>
      </c>
      <c r="Q1072" s="83">
        <f>VLOOKUP(TAB_ESTOQUE[[#This Row],[Codigo]],TAB_ENTRADA[[Cod_2_Entrada]:[TOTAL_ENTRADA]],5,FALSE)-VLOOKUP(TAB_ESTOQUE[[#This Row],[Codigo]],TAB_SAIDA[[COD_2_SAIDA]:[TOTAL_SAIDA]],5,FALSE)</f>
        <v>2</v>
      </c>
      <c r="R1072" s="87"/>
      <c r="S1072" s="87"/>
      <c r="T1072" s="90">
        <v>62</v>
      </c>
      <c r="U1072" s="91">
        <f>TAB_ESTOQUE[[#This Row],[Valor Unitario Estimado]]*TAB_ESTOQUE[[#This Row],[Estoque]]</f>
        <v>124</v>
      </c>
      <c r="V1072" s="91"/>
      <c r="W1072" s="85"/>
      <c r="X1072" s="85"/>
      <c r="Y1072" s="85"/>
      <c r="Z1072" s="85"/>
      <c r="AA1072" s="85"/>
      <c r="AB1072" s="85" t="str">
        <f>IF(TAB_ESTOQUE[[#This Row],[Estoque]]=0,"Estoque Não Conforme",IF(TAB_ESTOQUE[[#This Row],[Estoque]]&gt;=TAB_ESTOQUE[[#This Row],[Mínimo]],"Estoque Conforme",IF(TAB_ESTOQUE[[#This Row],[Estoque]]&lt;TAB_ESTOQUE[[#This Row],[Mínimo]],"Estoque em Nivel Minimo")))</f>
        <v>Estoque Conforme</v>
      </c>
      <c r="AC1072" s="85"/>
      <c r="AD1072" s="82"/>
      <c r="AE1072" s="82"/>
      <c r="AF1072" s="82"/>
    </row>
    <row r="1073" spans="1:32" ht="15" customHeight="1" x14ac:dyDescent="0.25">
      <c r="A1073" s="45">
        <v>709</v>
      </c>
      <c r="B1073" s="47"/>
      <c r="C1073" s="46"/>
      <c r="D1073" s="45" t="s">
        <v>2278</v>
      </c>
      <c r="E1073" s="46"/>
      <c r="F1073" s="107"/>
      <c r="G1073" s="82"/>
      <c r="H1073" s="82"/>
      <c r="I1073" s="82" t="s">
        <v>1580</v>
      </c>
      <c r="J1073" s="82"/>
      <c r="K1073" s="82"/>
      <c r="L1073" s="82"/>
      <c r="M1073" s="82"/>
      <c r="N1073" s="82"/>
      <c r="O1073" s="87" t="s">
        <v>6700</v>
      </c>
      <c r="P1073" s="82" t="s">
        <v>494</v>
      </c>
      <c r="Q1073" s="83">
        <f>VLOOKUP(TAB_ESTOQUE[[#This Row],[Codigo]],TAB_ENTRADA[[Cod_2_Entrada]:[TOTAL_ENTRADA]],5,FALSE)-VLOOKUP(TAB_ESTOQUE[[#This Row],[Codigo]],TAB_SAIDA[[COD_2_SAIDA]:[TOTAL_SAIDA]],5,FALSE)</f>
        <v>1</v>
      </c>
      <c r="R1073" s="87"/>
      <c r="S1073" s="87"/>
      <c r="T1073" s="90">
        <v>40</v>
      </c>
      <c r="U1073" s="91">
        <f>TAB_ESTOQUE[[#This Row],[Valor Unitario Estimado]]*TAB_ESTOQUE[[#This Row],[Estoque]]</f>
        <v>40</v>
      </c>
      <c r="V1073" s="91"/>
      <c r="W1073" s="85"/>
      <c r="X1073" s="85"/>
      <c r="Y1073" s="85"/>
      <c r="Z1073" s="85"/>
      <c r="AA1073" s="85"/>
      <c r="AB1073" s="85" t="str">
        <f>IF(TAB_ESTOQUE[[#This Row],[Estoque]]=0,"Estoque Não Conforme",IF(TAB_ESTOQUE[[#This Row],[Estoque]]&gt;=TAB_ESTOQUE[[#This Row],[Mínimo]],"Estoque Conforme",IF(TAB_ESTOQUE[[#This Row],[Estoque]]&lt;TAB_ESTOQUE[[#This Row],[Mínimo]],"Estoque em Nivel Minimo")))</f>
        <v>Estoque Conforme</v>
      </c>
      <c r="AC1073" s="85"/>
      <c r="AD1073" s="82"/>
      <c r="AE1073" s="82"/>
      <c r="AF1073" s="82"/>
    </row>
    <row r="1074" spans="1:32" ht="15" customHeight="1" x14ac:dyDescent="0.25">
      <c r="A1074" s="47">
        <v>705</v>
      </c>
      <c r="B1074" s="47"/>
      <c r="C1074" s="51"/>
      <c r="D1074" s="47" t="s">
        <v>2282</v>
      </c>
      <c r="E1074" s="51"/>
      <c r="F1074" s="107"/>
      <c r="G1074" s="94"/>
      <c r="H1074" s="94"/>
      <c r="I1074" s="94" t="s">
        <v>2979</v>
      </c>
      <c r="J1074" s="94"/>
      <c r="K1074" s="94"/>
      <c r="L1074" s="94"/>
      <c r="M1074" s="94"/>
      <c r="N1074" s="94"/>
      <c r="O1074" s="107" t="s">
        <v>6700</v>
      </c>
      <c r="P1074" s="94" t="s">
        <v>492</v>
      </c>
      <c r="Q1074" s="145">
        <f>VLOOKUP(TAB_ESTOQUE[[#This Row],[Codigo]],TAB_ENTRADA[[Cod_2_Entrada]:[TOTAL_ENTRADA]],5,FALSE)-VLOOKUP(TAB_ESTOQUE[[#This Row],[Codigo]],TAB_SAIDA[[COD_2_SAIDA]:[TOTAL_SAIDA]],5,FALSE)</f>
        <v>0</v>
      </c>
      <c r="R1074" s="107"/>
      <c r="S1074" s="107"/>
      <c r="T1074" s="108">
        <v>20</v>
      </c>
      <c r="U1074" s="109">
        <f>TAB_ESTOQUE[[#This Row],[Valor Unitario Estimado]]*TAB_ESTOQUE[[#This Row],[Estoque]]</f>
        <v>0</v>
      </c>
      <c r="V1074" s="109"/>
      <c r="W1074" s="110"/>
      <c r="X1074" s="110"/>
      <c r="Y1074" s="110"/>
      <c r="Z1074" s="110"/>
      <c r="AA1074" s="110"/>
      <c r="AB1074" s="110" t="str">
        <f>IF(TAB_ESTOQUE[[#This Row],[Estoque]]=0,"Estoque Não Conforme",IF(TAB_ESTOQUE[[#This Row],[Estoque]]&gt;=TAB_ESTOQUE[[#This Row],[Mínimo]],"Estoque Conforme",IF(TAB_ESTOQUE[[#This Row],[Estoque]]&lt;TAB_ESTOQUE[[#This Row],[Mínimo]],"Estoque em Nivel Minimo")))</f>
        <v>Estoque Não Conforme</v>
      </c>
      <c r="AC1074" s="110"/>
      <c r="AD1074" s="94"/>
      <c r="AE1074" s="82"/>
      <c r="AF1074" s="82"/>
    </row>
    <row r="1075" spans="1:32" ht="15" customHeight="1" x14ac:dyDescent="0.25">
      <c r="A1075" s="161">
        <v>775</v>
      </c>
      <c r="B1075" s="161"/>
      <c r="C1075" s="169" t="s">
        <v>2833</v>
      </c>
      <c r="D1075" s="161" t="s">
        <v>2330</v>
      </c>
      <c r="E1075" s="169"/>
      <c r="F1075" s="172"/>
      <c r="G1075" s="170"/>
      <c r="H1075" s="170"/>
      <c r="I1075" s="170" t="s">
        <v>7126</v>
      </c>
      <c r="J1075" s="170"/>
      <c r="K1075" s="170"/>
      <c r="L1075" s="170"/>
      <c r="M1075" s="170"/>
      <c r="N1075" s="170"/>
      <c r="O1075" s="172" t="s">
        <v>6700</v>
      </c>
      <c r="P1075" s="170" t="s">
        <v>559</v>
      </c>
      <c r="Q1075" s="171">
        <f>VLOOKUP(TAB_ESTOQUE[[#This Row],[Codigo]],TAB_ENTRADA[[Cod_2_Entrada]:[TOTAL_ENTRADA]],5,FALSE)-VLOOKUP(TAB_ESTOQUE[[#This Row],[Codigo]],TAB_SAIDA[[COD_2_SAIDA]:[TOTAL_SAIDA]],5,FALSE)</f>
        <v>0</v>
      </c>
      <c r="R1075" s="172"/>
      <c r="S1075" s="172"/>
      <c r="T1075" s="173">
        <v>12.23</v>
      </c>
      <c r="U1075" s="174">
        <f>TAB_ESTOQUE[[#This Row],[Valor Unitario Estimado]]*TAB_ESTOQUE[[#This Row],[Estoque]]</f>
        <v>0</v>
      </c>
      <c r="V1075" s="174"/>
      <c r="W1075" s="175"/>
      <c r="X1075" s="175"/>
      <c r="Y1075" s="175"/>
      <c r="Z1075" s="175"/>
      <c r="AA1075" s="175"/>
      <c r="AB1075" s="175" t="str">
        <f>IF(TAB_ESTOQUE[[#This Row],[Estoque]]=0,"Estoque Não Conforme",IF(TAB_ESTOQUE[[#This Row],[Estoque]]&gt;=TAB_ESTOQUE[[#This Row],[Mínimo]],"Estoque Conforme",IF(TAB_ESTOQUE[[#This Row],[Estoque]]&lt;TAB_ESTOQUE[[#This Row],[Mínimo]],"Estoque em Nivel Minimo")))</f>
        <v>Estoque Não Conforme</v>
      </c>
      <c r="AC1075" s="175"/>
      <c r="AD1075" s="170"/>
      <c r="AE1075" s="82"/>
      <c r="AF1075" s="82"/>
    </row>
    <row r="1076" spans="1:32" ht="15" customHeight="1" x14ac:dyDescent="0.25">
      <c r="A1076" s="47">
        <v>1045</v>
      </c>
      <c r="B1076" s="47"/>
      <c r="C1076" s="51"/>
      <c r="D1076" s="47" t="s">
        <v>2354</v>
      </c>
      <c r="E1076" s="51" t="s">
        <v>7</v>
      </c>
      <c r="F1076" s="107"/>
      <c r="G1076" s="94"/>
      <c r="H1076" s="94"/>
      <c r="I1076" s="94" t="s">
        <v>1582</v>
      </c>
      <c r="J1076" s="94"/>
      <c r="K1076" s="94"/>
      <c r="L1076" s="94"/>
      <c r="M1076" s="94"/>
      <c r="N1076" s="94"/>
      <c r="O1076" s="107" t="s">
        <v>6700</v>
      </c>
      <c r="P1076" s="94" t="s">
        <v>535</v>
      </c>
      <c r="Q1076" s="145">
        <f>VLOOKUP(TAB_ESTOQUE[[#This Row],[Codigo]],TAB_ENTRADA[[Cod_2_Entrada]:[TOTAL_ENTRADA]],5,FALSE)-VLOOKUP(TAB_ESTOQUE[[#This Row],[Codigo]],TAB_SAIDA[[COD_2_SAIDA]:[TOTAL_SAIDA]],5,FALSE)</f>
        <v>1</v>
      </c>
      <c r="R1076" s="107"/>
      <c r="S1076" s="107"/>
      <c r="T1076" s="108">
        <v>89</v>
      </c>
      <c r="U1076" s="109">
        <f>TAB_ESTOQUE[[#This Row],[Valor Unitario Estimado]]*TAB_ESTOQUE[[#This Row],[Estoque]]</f>
        <v>89</v>
      </c>
      <c r="V1076" s="109"/>
      <c r="W1076" s="110"/>
      <c r="X1076" s="110"/>
      <c r="Y1076" s="110"/>
      <c r="Z1076" s="110"/>
      <c r="AA1076" s="110"/>
      <c r="AB1076" s="110" t="str">
        <f>IF(TAB_ESTOQUE[[#This Row],[Estoque]]=0,"Estoque Não Conforme",IF(TAB_ESTOQUE[[#This Row],[Estoque]]&gt;=TAB_ESTOQUE[[#This Row],[Mínimo]],"Estoque Conforme",IF(TAB_ESTOQUE[[#This Row],[Estoque]]&lt;TAB_ESTOQUE[[#This Row],[Mínimo]],"Estoque em Nivel Minimo")))</f>
        <v>Estoque Conforme</v>
      </c>
      <c r="AC1076" s="110"/>
      <c r="AD1076" s="94"/>
      <c r="AE1076" s="82"/>
      <c r="AF1076" s="82"/>
    </row>
    <row r="1077" spans="1:32" ht="15" customHeight="1" x14ac:dyDescent="0.25">
      <c r="A1077" s="106">
        <v>744</v>
      </c>
      <c r="B1077" s="106"/>
      <c r="C1077" s="116"/>
      <c r="D1077" s="106" t="s">
        <v>2355</v>
      </c>
      <c r="E1077" s="116" t="s">
        <v>7</v>
      </c>
      <c r="F1077" s="118"/>
      <c r="G1077" s="95"/>
      <c r="H1077" s="95"/>
      <c r="I1077" s="95" t="s">
        <v>3046</v>
      </c>
      <c r="J1077" s="95"/>
      <c r="K1077" s="95"/>
      <c r="L1077" s="95"/>
      <c r="M1077" s="95"/>
      <c r="N1077" s="95"/>
      <c r="O1077" s="118" t="s">
        <v>6700</v>
      </c>
      <c r="P1077" s="95" t="s">
        <v>535</v>
      </c>
      <c r="Q1077" s="154">
        <f>VLOOKUP(TAB_ESTOQUE[[#This Row],[Codigo]],TAB_ENTRADA[[Cod_2_Entrada]:[TOTAL_ENTRADA]],5,FALSE)-VLOOKUP(TAB_ESTOQUE[[#This Row],[Codigo]],TAB_SAIDA[[COD_2_SAIDA]:[TOTAL_SAIDA]],5,FALSE)</f>
        <v>0</v>
      </c>
      <c r="R1077" s="118"/>
      <c r="S1077" s="118"/>
      <c r="T1077" s="119">
        <v>386</v>
      </c>
      <c r="U1077" s="112">
        <f>TAB_ESTOQUE[[#This Row],[Valor Unitario Estimado]]*TAB_ESTOQUE[[#This Row],[Estoque]]</f>
        <v>0</v>
      </c>
      <c r="V1077" s="112"/>
      <c r="W1077" s="120"/>
      <c r="X1077" s="120"/>
      <c r="Y1077" s="120"/>
      <c r="Z1077" s="120"/>
      <c r="AA1077" s="120"/>
      <c r="AB1077" s="120" t="str">
        <f>IF(TAB_ESTOQUE[[#This Row],[Estoque]]=0,"Estoque Não Conforme",IF(TAB_ESTOQUE[[#This Row],[Estoque]]&gt;=TAB_ESTOQUE[[#This Row],[Mínimo]],"Estoque Conforme",IF(TAB_ESTOQUE[[#This Row],[Estoque]]&lt;TAB_ESTOQUE[[#This Row],[Mínimo]],"Estoque em Nivel Minimo")))</f>
        <v>Estoque Não Conforme</v>
      </c>
      <c r="AC1077" s="120"/>
      <c r="AD1077" s="95"/>
      <c r="AE1077" s="82"/>
      <c r="AF1077" s="82"/>
    </row>
    <row r="1078" spans="1:32" s="106" customFormat="1" ht="15" customHeight="1" x14ac:dyDescent="0.25">
      <c r="A1078" s="45">
        <v>1267</v>
      </c>
      <c r="B1078" s="47"/>
      <c r="C1078" s="46"/>
      <c r="D1078" s="45" t="s">
        <v>2416</v>
      </c>
      <c r="E1078" s="46" t="s">
        <v>7</v>
      </c>
      <c r="F1078" s="87"/>
      <c r="G1078" s="82"/>
      <c r="H1078" s="82"/>
      <c r="I1078" s="82" t="s">
        <v>1549</v>
      </c>
      <c r="J1078" s="82"/>
      <c r="K1078" s="82"/>
      <c r="L1078" s="82"/>
      <c r="M1078" s="82"/>
      <c r="N1078" s="82"/>
      <c r="O1078" s="87" t="s">
        <v>6700</v>
      </c>
      <c r="P1078" s="82" t="s">
        <v>993</v>
      </c>
      <c r="Q1078" s="83">
        <f>VLOOKUP(TAB_ESTOQUE[[#This Row],[Codigo]],TAB_ENTRADA[[Cod_2_Entrada]:[TOTAL_ENTRADA]],5,FALSE)-VLOOKUP(TAB_ESTOQUE[[#This Row],[Codigo]],TAB_SAIDA[[COD_2_SAIDA]:[TOTAL_SAIDA]],5,FALSE)</f>
        <v>1</v>
      </c>
      <c r="R1078" s="87"/>
      <c r="S1078" s="87"/>
      <c r="T1078" s="90">
        <v>1978</v>
      </c>
      <c r="U1078" s="91">
        <f>TAB_ESTOQUE[[#This Row],[Valor Unitario Estimado]]*TAB_ESTOQUE[[#This Row],[Estoque]]</f>
        <v>1978</v>
      </c>
      <c r="V1078" s="91"/>
      <c r="W1078" s="85"/>
      <c r="X1078" s="85"/>
      <c r="Y1078" s="85"/>
      <c r="Z1078" s="85"/>
      <c r="AA1078" s="85"/>
      <c r="AB1078" s="85" t="str">
        <f>IF(TAB_ESTOQUE[[#This Row],[Estoque]]=0,"Estoque Não Conforme",IF(TAB_ESTOQUE[[#This Row],[Estoque]]&gt;=TAB_ESTOQUE[[#This Row],[Mínimo]],"Estoque Conforme",IF(TAB_ESTOQUE[[#This Row],[Estoque]]&lt;TAB_ESTOQUE[[#This Row],[Mínimo]],"Estoque em Nivel Minimo")))</f>
        <v>Estoque Conforme</v>
      </c>
      <c r="AC1078" s="85"/>
      <c r="AD1078" s="82"/>
      <c r="AE1078" s="95"/>
      <c r="AF1078" s="95"/>
    </row>
    <row r="1079" spans="1:32" ht="15" customHeight="1" x14ac:dyDescent="0.25">
      <c r="C1079" s="48"/>
      <c r="D1079" s="45" t="s">
        <v>6979</v>
      </c>
      <c r="E1079" s="46"/>
      <c r="F1079" s="46"/>
      <c r="I1079" s="45" t="s">
        <v>7320</v>
      </c>
      <c r="O1079" s="46" t="s">
        <v>6700</v>
      </c>
      <c r="Q1079" s="137">
        <f>VLOOKUP(TAB_ESTOQUE[[#This Row],[Codigo]],TAB_ENTRADA[[Cod_2_Entrada]:[TOTAL_ENTRADA]],5,FALSE)-VLOOKUP(TAB_ESTOQUE[[#This Row],[Codigo]],TAB_SAIDA[[COD_2_SAIDA]:[TOTAL_SAIDA]],5,FALSE)</f>
        <v>4</v>
      </c>
      <c r="S1079" s="46"/>
      <c r="T1079" s="102">
        <v>48</v>
      </c>
      <c r="U1079" s="103">
        <f>TAB_ESTOQUE[[#This Row],[Valor Unitario Estimado]]*TAB_ESTOQUE[[#This Row],[Estoque]]</f>
        <v>192</v>
      </c>
      <c r="V1079" s="103"/>
      <c r="AA1079" s="138"/>
      <c r="AB1079" s="104" t="str">
        <f>IF(TAB_ESTOQUE[[#This Row],[Estoque]]=0,"Estoque Não Conforme",IF(TAB_ESTOQUE[[#This Row],[Estoque]]&gt;=TAB_ESTOQUE[[#This Row],[Mínimo]],"Estoque Conforme",IF(TAB_ESTOQUE[[#This Row],[Estoque]]&lt;TAB_ESTOQUE[[#This Row],[Mínimo]],"Estoque em Nivel Minimo")))</f>
        <v>Estoque Conforme</v>
      </c>
      <c r="AC1079" s="104"/>
      <c r="AE1079" s="82"/>
      <c r="AF1079" s="82"/>
    </row>
    <row r="1080" spans="1:32" ht="15" customHeight="1" x14ac:dyDescent="0.25">
      <c r="A1080" s="45">
        <v>1327</v>
      </c>
      <c r="B1080" s="47"/>
      <c r="C1080" s="46"/>
      <c r="D1080" s="45" t="s">
        <v>2284</v>
      </c>
      <c r="E1080" s="46" t="s">
        <v>7</v>
      </c>
      <c r="F1080" s="87"/>
      <c r="G1080" s="82"/>
      <c r="H1080" s="82"/>
      <c r="I1080" s="82" t="s">
        <v>6902</v>
      </c>
      <c r="J1080" s="82"/>
      <c r="K1080" s="82"/>
      <c r="L1080" s="82"/>
      <c r="M1080" s="82" t="s">
        <v>163</v>
      </c>
      <c r="N1080" s="82"/>
      <c r="O1080" s="87" t="s">
        <v>6710</v>
      </c>
      <c r="P1080" s="82" t="s">
        <v>1060</v>
      </c>
      <c r="Q1080" s="83">
        <f>VLOOKUP(TAB_ESTOQUE[[#This Row],[Codigo]],TAB_ENTRADA[[Cod_2_Entrada]:[TOTAL_ENTRADA]],5,FALSE)-VLOOKUP(TAB_ESTOQUE[[#This Row],[Codigo]],TAB_SAIDA[[COD_2_SAIDA]:[TOTAL_SAIDA]],5,FALSE)</f>
        <v>0</v>
      </c>
      <c r="R1080" s="87"/>
      <c r="S1080" s="87"/>
      <c r="T1080" s="90"/>
      <c r="U1080" s="91">
        <f>TAB_ESTOQUE[[#This Row],[Valor Unitario Estimado]]*TAB_ESTOQUE[[#This Row],[Estoque]]</f>
        <v>0</v>
      </c>
      <c r="V1080" s="91"/>
      <c r="W1080" s="85"/>
      <c r="X1080" s="85"/>
      <c r="Y1080" s="85"/>
      <c r="Z1080" s="85"/>
      <c r="AA1080" s="85"/>
      <c r="AB1080" s="85" t="str">
        <f>IF(TAB_ESTOQUE[[#This Row],[Estoque]]=0,"Estoque Não Conforme",IF(TAB_ESTOQUE[[#This Row],[Estoque]]&gt;=TAB_ESTOQUE[[#This Row],[Mínimo]],"Estoque Conforme",IF(TAB_ESTOQUE[[#This Row],[Estoque]]&lt;TAB_ESTOQUE[[#This Row],[Mínimo]],"Estoque em Nivel Minimo")))</f>
        <v>Estoque Não Conforme</v>
      </c>
      <c r="AC1080" s="85"/>
      <c r="AD1080" s="82"/>
      <c r="AE1080" s="82"/>
      <c r="AF1080" s="82"/>
    </row>
    <row r="1081" spans="1:32" ht="15" customHeight="1" x14ac:dyDescent="0.25">
      <c r="A1081" s="45">
        <v>1261</v>
      </c>
      <c r="B1081" s="47"/>
      <c r="C1081" s="46" t="s">
        <v>2833</v>
      </c>
      <c r="D1081" s="45" t="s">
        <v>2285</v>
      </c>
      <c r="E1081" s="46" t="s">
        <v>7</v>
      </c>
      <c r="F1081" s="87"/>
      <c r="G1081" s="82"/>
      <c r="H1081" s="82"/>
      <c r="I1081" s="82" t="s">
        <v>433</v>
      </c>
      <c r="J1081" s="82"/>
      <c r="K1081" s="82"/>
      <c r="L1081" s="82"/>
      <c r="M1081" s="82"/>
      <c r="N1081" s="82"/>
      <c r="O1081" s="87" t="s">
        <v>6710</v>
      </c>
      <c r="P1081" s="82" t="s">
        <v>985</v>
      </c>
      <c r="Q1081" s="83">
        <f>VLOOKUP(TAB_ESTOQUE[[#This Row],[Codigo]],TAB_ENTRADA[[Cod_2_Entrada]:[TOTAL_ENTRADA]],5,FALSE)-VLOOKUP(TAB_ESTOQUE[[#This Row],[Codigo]],TAB_SAIDA[[COD_2_SAIDA]:[TOTAL_SAIDA]],5,FALSE)</f>
        <v>0</v>
      </c>
      <c r="R1081" s="87"/>
      <c r="S1081" s="87"/>
      <c r="T1081" s="90"/>
      <c r="U1081" s="91">
        <f>TAB_ESTOQUE[[#This Row],[Valor Unitario Estimado]]*TAB_ESTOQUE[[#This Row],[Estoque]]</f>
        <v>0</v>
      </c>
      <c r="V1081" s="91"/>
      <c r="W1081" s="85"/>
      <c r="X1081" s="85"/>
      <c r="Z1081" s="24"/>
      <c r="AA1081" s="124"/>
      <c r="AB1081" s="85" t="str">
        <f>IF(TAB_ESTOQUE[[#This Row],[Estoque]]=0,"Estoque Não Conforme",IF(TAB_ESTOQUE[[#This Row],[Estoque]]&gt;=TAB_ESTOQUE[[#This Row],[Mínimo]],"Estoque Conforme",IF(TAB_ESTOQUE[[#This Row],[Estoque]]&lt;TAB_ESTOQUE[[#This Row],[Mínimo]],"Estoque em Nivel Minimo")))</f>
        <v>Estoque Não Conforme</v>
      </c>
      <c r="AC1081" s="85"/>
      <c r="AD1081" s="82"/>
      <c r="AE1081" s="82"/>
      <c r="AF1081" s="82"/>
    </row>
    <row r="1082" spans="1:32" ht="15" customHeight="1" x14ac:dyDescent="0.25">
      <c r="A1082" s="45">
        <v>718</v>
      </c>
      <c r="B1082" s="47"/>
      <c r="C1082" s="46"/>
      <c r="D1082" s="45" t="s">
        <v>2286</v>
      </c>
      <c r="E1082" s="46" t="s">
        <v>7</v>
      </c>
      <c r="F1082" s="87"/>
      <c r="G1082" s="82"/>
      <c r="H1082" s="82"/>
      <c r="I1082" s="82" t="s">
        <v>435</v>
      </c>
      <c r="J1082" s="82"/>
      <c r="K1082" s="82"/>
      <c r="L1082" s="82"/>
      <c r="M1082" s="82"/>
      <c r="N1082" s="82"/>
      <c r="O1082" s="87" t="s">
        <v>6710</v>
      </c>
      <c r="P1082" s="82" t="s">
        <v>502</v>
      </c>
      <c r="Q1082" s="83">
        <f>VLOOKUP(TAB_ESTOQUE[[#This Row],[Codigo]],TAB_ENTRADA[[Cod_2_Entrada]:[TOTAL_ENTRADA]],5,FALSE)-VLOOKUP(TAB_ESTOQUE[[#This Row],[Codigo]],TAB_SAIDA[[COD_2_SAIDA]:[TOTAL_SAIDA]],5,FALSE)</f>
        <v>0</v>
      </c>
      <c r="R1082" s="87"/>
      <c r="S1082" s="87"/>
      <c r="T1082" s="90">
        <v>20</v>
      </c>
      <c r="U1082" s="91">
        <f>TAB_ESTOQUE[[#This Row],[Valor Unitario Estimado]]*TAB_ESTOQUE[[#This Row],[Estoque]]</f>
        <v>0</v>
      </c>
      <c r="V1082" s="91"/>
      <c r="W1082" s="85"/>
      <c r="X1082" s="85"/>
      <c r="Y1082" s="85"/>
      <c r="Z1082" s="85"/>
      <c r="AA1082" s="85"/>
      <c r="AB1082" s="85" t="str">
        <f>IF(TAB_ESTOQUE[[#This Row],[Estoque]]=0,"Estoque Não Conforme",IF(TAB_ESTOQUE[[#This Row],[Estoque]]&gt;=TAB_ESTOQUE[[#This Row],[Mínimo]],"Estoque Conforme",IF(TAB_ESTOQUE[[#This Row],[Estoque]]&lt;TAB_ESTOQUE[[#This Row],[Mínimo]],"Estoque em Nivel Minimo")))</f>
        <v>Estoque Não Conforme</v>
      </c>
      <c r="AC1082" s="85"/>
      <c r="AD1082" s="82"/>
      <c r="AE1082" s="82"/>
      <c r="AF1082" s="82"/>
    </row>
    <row r="1083" spans="1:32" ht="15" customHeight="1" x14ac:dyDescent="0.25">
      <c r="A1083" s="106">
        <v>1354</v>
      </c>
      <c r="B1083" s="106"/>
      <c r="C1083" s="116"/>
      <c r="D1083" s="106" t="s">
        <v>2287</v>
      </c>
      <c r="E1083" s="116" t="s">
        <v>7</v>
      </c>
      <c r="F1083" s="118"/>
      <c r="G1083" s="95"/>
      <c r="H1083" s="95"/>
      <c r="I1083" s="95" t="s">
        <v>437</v>
      </c>
      <c r="J1083" s="95"/>
      <c r="K1083" s="95"/>
      <c r="L1083" s="95"/>
      <c r="M1083" s="95"/>
      <c r="N1083" s="95"/>
      <c r="O1083" s="118" t="s">
        <v>6710</v>
      </c>
      <c r="P1083" s="95" t="s">
        <v>1088</v>
      </c>
      <c r="Q1083" s="154">
        <f>VLOOKUP(TAB_ESTOQUE[[#This Row],[Codigo]],TAB_ENTRADA[[Cod_2_Entrada]:[TOTAL_ENTRADA]],5,FALSE)-VLOOKUP(TAB_ESTOQUE[[#This Row],[Codigo]],TAB_SAIDA[[COD_2_SAIDA]:[TOTAL_SAIDA]],5,FALSE)</f>
        <v>0</v>
      </c>
      <c r="R1083" s="118"/>
      <c r="S1083" s="118"/>
      <c r="T1083" s="119">
        <v>20</v>
      </c>
      <c r="U1083" s="112">
        <f>TAB_ESTOQUE[[#This Row],[Valor Unitario Estimado]]*TAB_ESTOQUE[[#This Row],[Estoque]]</f>
        <v>0</v>
      </c>
      <c r="V1083" s="112"/>
      <c r="W1083" s="120"/>
      <c r="X1083" s="120"/>
      <c r="Y1083" s="120"/>
      <c r="Z1083" s="120"/>
      <c r="AA1083" s="120"/>
      <c r="AB1083" s="120" t="str">
        <f>IF(TAB_ESTOQUE[[#This Row],[Estoque]]=0,"Estoque Não Conforme",IF(TAB_ESTOQUE[[#This Row],[Estoque]]&gt;=TAB_ESTOQUE[[#This Row],[Mínimo]],"Estoque Conforme",IF(TAB_ESTOQUE[[#This Row],[Estoque]]&lt;TAB_ESTOQUE[[#This Row],[Mínimo]],"Estoque em Nivel Minimo")))</f>
        <v>Estoque Não Conforme</v>
      </c>
      <c r="AC1083" s="120"/>
      <c r="AD1083" s="95"/>
      <c r="AE1083" s="82"/>
      <c r="AF1083" s="82"/>
    </row>
    <row r="1084" spans="1:32" ht="15" customHeight="1" x14ac:dyDescent="0.25">
      <c r="A1084" s="47">
        <v>1043</v>
      </c>
      <c r="B1084" s="47"/>
      <c r="C1084" s="51"/>
      <c r="D1084" s="47" t="s">
        <v>2288</v>
      </c>
      <c r="E1084" s="51" t="s">
        <v>7</v>
      </c>
      <c r="F1084" s="107"/>
      <c r="G1084" s="94"/>
      <c r="H1084" s="94"/>
      <c r="I1084" s="94" t="s">
        <v>439</v>
      </c>
      <c r="J1084" s="94"/>
      <c r="K1084" s="94"/>
      <c r="L1084" s="94"/>
      <c r="M1084" s="94"/>
      <c r="N1084" s="94"/>
      <c r="O1084" s="107" t="s">
        <v>6710</v>
      </c>
      <c r="P1084" s="94" t="s">
        <v>793</v>
      </c>
      <c r="Q1084" s="145">
        <f>VLOOKUP(TAB_ESTOQUE[[#This Row],[Codigo]],TAB_ENTRADA[[Cod_2_Entrada]:[TOTAL_ENTRADA]],5,FALSE)-VLOOKUP(TAB_ESTOQUE[[#This Row],[Codigo]],TAB_SAIDA[[COD_2_SAIDA]:[TOTAL_SAIDA]],5,FALSE)</f>
        <v>0</v>
      </c>
      <c r="R1084" s="107"/>
      <c r="S1084" s="107"/>
      <c r="T1084" s="108">
        <v>38.9</v>
      </c>
      <c r="U1084" s="109">
        <f>TAB_ESTOQUE[[#This Row],[Valor Unitario Estimado]]*TAB_ESTOQUE[[#This Row],[Estoque]]</f>
        <v>0</v>
      </c>
      <c r="V1084" s="109"/>
      <c r="W1084" s="110"/>
      <c r="X1084" s="110"/>
      <c r="Y1084" s="110"/>
      <c r="Z1084" s="110"/>
      <c r="AA1084" s="110"/>
      <c r="AB1084" s="110" t="str">
        <f>IF(TAB_ESTOQUE[[#This Row],[Estoque]]=0,"Estoque Não Conforme",IF(TAB_ESTOQUE[[#This Row],[Estoque]]&gt;=TAB_ESTOQUE[[#This Row],[Mínimo]],"Estoque Conforme",IF(TAB_ESTOQUE[[#This Row],[Estoque]]&lt;TAB_ESTOQUE[[#This Row],[Mínimo]],"Estoque em Nivel Minimo")))</f>
        <v>Estoque Não Conforme</v>
      </c>
      <c r="AC1084" s="110"/>
      <c r="AD1084" s="94"/>
      <c r="AE1084" s="82"/>
      <c r="AF1084" s="82"/>
    </row>
    <row r="1085" spans="1:32" ht="15" customHeight="1" x14ac:dyDescent="0.25">
      <c r="A1085" s="45">
        <v>841</v>
      </c>
      <c r="B1085" s="47"/>
      <c r="C1085" s="46"/>
      <c r="D1085" s="45" t="s">
        <v>2356</v>
      </c>
      <c r="E1085" s="46" t="s">
        <v>7</v>
      </c>
      <c r="F1085" s="87"/>
      <c r="G1085" s="82"/>
      <c r="H1085" s="82"/>
      <c r="I1085" s="82" t="s">
        <v>7981</v>
      </c>
      <c r="J1085" s="82"/>
      <c r="K1085" s="82"/>
      <c r="L1085" s="82"/>
      <c r="M1085" s="82"/>
      <c r="N1085" s="82"/>
      <c r="O1085" s="87" t="s">
        <v>6710</v>
      </c>
      <c r="P1085" s="82" t="s">
        <v>569</v>
      </c>
      <c r="Q1085" s="83">
        <f>VLOOKUP(TAB_ESTOQUE[[#This Row],[Codigo]],TAB_ENTRADA[[Cod_2_Entrada]:[TOTAL_ENTRADA]],5,FALSE)-VLOOKUP(TAB_ESTOQUE[[#This Row],[Codigo]],TAB_SAIDA[[COD_2_SAIDA]:[TOTAL_SAIDA]],5,FALSE)</f>
        <v>4</v>
      </c>
      <c r="R1085" s="87"/>
      <c r="S1085" s="87"/>
      <c r="T1085" s="90">
        <v>68</v>
      </c>
      <c r="U1085" s="91">
        <f>TAB_ESTOQUE[[#This Row],[Valor Unitario Estimado]]*TAB_ESTOQUE[[#This Row],[Estoque]]</f>
        <v>272</v>
      </c>
      <c r="V1085" s="91"/>
      <c r="W1085" s="85"/>
      <c r="X1085" s="85"/>
      <c r="Y1085" s="85"/>
      <c r="Z1085" s="85"/>
      <c r="AA1085" s="85"/>
      <c r="AB1085" s="85" t="str">
        <f>IF(TAB_ESTOQUE[[#This Row],[Estoque]]=0,"Estoque Não Conforme",IF(TAB_ESTOQUE[[#This Row],[Estoque]]&gt;=TAB_ESTOQUE[[#This Row],[Mínimo]],"Estoque Conforme",IF(TAB_ESTOQUE[[#This Row],[Estoque]]&lt;TAB_ESTOQUE[[#This Row],[Mínimo]],"Estoque em Nivel Minimo")))</f>
        <v>Estoque Conforme</v>
      </c>
      <c r="AC1085" s="85"/>
      <c r="AD1085" s="82"/>
      <c r="AE1085" s="82"/>
      <c r="AF1085" s="82"/>
    </row>
    <row r="1086" spans="1:32" ht="15" customHeight="1" x14ac:dyDescent="0.25">
      <c r="A1086" s="45">
        <v>784</v>
      </c>
      <c r="B1086" s="47"/>
      <c r="C1086" s="46"/>
      <c r="D1086" s="45" t="s">
        <v>2357</v>
      </c>
      <c r="E1086" s="46" t="s">
        <v>7</v>
      </c>
      <c r="F1086" s="87"/>
      <c r="G1086" s="82"/>
      <c r="H1086" s="82"/>
      <c r="I1086" s="82" t="s">
        <v>3048</v>
      </c>
      <c r="J1086" s="82"/>
      <c r="K1086" s="82"/>
      <c r="L1086" s="82"/>
      <c r="M1086" s="82"/>
      <c r="N1086" s="82"/>
      <c r="O1086" s="87" t="s">
        <v>6710</v>
      </c>
      <c r="P1086" s="82" t="s">
        <v>569</v>
      </c>
      <c r="Q1086" s="83">
        <f>VLOOKUP(TAB_ESTOQUE[[#This Row],[Codigo]],TAB_ENTRADA[[Cod_2_Entrada]:[TOTAL_ENTRADA]],5,FALSE)-VLOOKUP(TAB_ESTOQUE[[#This Row],[Codigo]],TAB_SAIDA[[COD_2_SAIDA]:[TOTAL_SAIDA]],5,FALSE)</f>
        <v>0</v>
      </c>
      <c r="R1086" s="87"/>
      <c r="S1086" s="87"/>
      <c r="T1086" s="90">
        <v>415</v>
      </c>
      <c r="U1086" s="91">
        <f>TAB_ESTOQUE[[#This Row],[Valor Unitario Estimado]]*TAB_ESTOQUE[[#This Row],[Estoque]]</f>
        <v>0</v>
      </c>
      <c r="V1086" s="91"/>
      <c r="W1086" s="85"/>
      <c r="X1086" s="85"/>
      <c r="Y1086" s="85"/>
      <c r="Z1086" s="85"/>
      <c r="AA1086" s="85"/>
      <c r="AB1086" s="85" t="str">
        <f>IF(TAB_ESTOQUE[[#This Row],[Estoque]]=0,"Estoque Não Conforme",IF(TAB_ESTOQUE[[#This Row],[Estoque]]&gt;=TAB_ESTOQUE[[#This Row],[Mínimo]],"Estoque Conforme",IF(TAB_ESTOQUE[[#This Row],[Estoque]]&lt;TAB_ESTOQUE[[#This Row],[Mínimo]],"Estoque em Nivel Minimo")))</f>
        <v>Estoque Não Conforme</v>
      </c>
      <c r="AC1086" s="85"/>
      <c r="AD1086" s="82"/>
      <c r="AE1086" s="82"/>
      <c r="AF1086" s="82"/>
    </row>
    <row r="1087" spans="1:32" ht="15" customHeight="1" x14ac:dyDescent="0.25">
      <c r="A1087" s="45">
        <v>711</v>
      </c>
      <c r="B1087" s="47"/>
      <c r="C1087" s="46" t="s">
        <v>2833</v>
      </c>
      <c r="D1087" s="45" t="s">
        <v>2358</v>
      </c>
      <c r="E1087" s="46" t="s">
        <v>7</v>
      </c>
      <c r="F1087" s="87"/>
      <c r="G1087" s="82"/>
      <c r="H1087" s="82"/>
      <c r="I1087" s="82" t="s">
        <v>1543</v>
      </c>
      <c r="J1087" s="82"/>
      <c r="K1087" s="82"/>
      <c r="L1087" s="82"/>
      <c r="M1087" s="82"/>
      <c r="N1087" s="82"/>
      <c r="O1087" s="87" t="s">
        <v>6710</v>
      </c>
      <c r="P1087" s="82" t="s">
        <v>496</v>
      </c>
      <c r="Q1087" s="83">
        <f>VLOOKUP(TAB_ESTOQUE[[#This Row],[Codigo]],TAB_ENTRADA[[Cod_2_Entrada]:[TOTAL_ENTRADA]],5,FALSE)-VLOOKUP(TAB_ESTOQUE[[#This Row],[Codigo]],TAB_SAIDA[[COD_2_SAIDA]:[TOTAL_SAIDA]],5,FALSE)</f>
        <v>0</v>
      </c>
      <c r="R1087" s="87"/>
      <c r="S1087" s="87"/>
      <c r="T1087" s="90"/>
      <c r="U1087" s="91">
        <f>TAB_ESTOQUE[[#This Row],[Valor Unitario Estimado]]*TAB_ESTOQUE[[#This Row],[Estoque]]</f>
        <v>0</v>
      </c>
      <c r="V1087" s="91"/>
      <c r="W1087" s="85"/>
      <c r="X1087" s="85"/>
      <c r="Y1087" s="85"/>
      <c r="Z1087" s="85"/>
      <c r="AA1087" s="85"/>
      <c r="AB1087" s="85" t="str">
        <f>IF(TAB_ESTOQUE[[#This Row],[Estoque]]=0,"Estoque Não Conforme",IF(TAB_ESTOQUE[[#This Row],[Estoque]]&gt;=TAB_ESTOQUE[[#This Row],[Mínimo]],"Estoque Conforme",IF(TAB_ESTOQUE[[#This Row],[Estoque]]&lt;TAB_ESTOQUE[[#This Row],[Mínimo]],"Estoque em Nivel Minimo")))</f>
        <v>Estoque Não Conforme</v>
      </c>
      <c r="AC1087" s="85"/>
      <c r="AD1087" s="82"/>
      <c r="AE1087" s="82"/>
      <c r="AF1087" s="82"/>
    </row>
    <row r="1088" spans="1:32" ht="15" customHeight="1" x14ac:dyDescent="0.25">
      <c r="A1088" s="45">
        <v>710</v>
      </c>
      <c r="B1088" s="47"/>
      <c r="C1088" s="46"/>
      <c r="D1088" s="45" t="s">
        <v>2359</v>
      </c>
      <c r="E1088" s="46" t="s">
        <v>7</v>
      </c>
      <c r="F1088" s="118"/>
      <c r="G1088" s="82"/>
      <c r="H1088" s="82"/>
      <c r="I1088" s="82" t="s">
        <v>3049</v>
      </c>
      <c r="J1088" s="82"/>
      <c r="K1088" s="82"/>
      <c r="L1088" s="82"/>
      <c r="M1088" s="82"/>
      <c r="N1088" s="82"/>
      <c r="O1088" s="87" t="s">
        <v>6710</v>
      </c>
      <c r="P1088" s="82" t="s">
        <v>495</v>
      </c>
      <c r="Q1088" s="83">
        <f>VLOOKUP(TAB_ESTOQUE[[#This Row],[Codigo]],TAB_ENTRADA[[Cod_2_Entrada]:[TOTAL_ENTRADA]],5,FALSE)-VLOOKUP(TAB_ESTOQUE[[#This Row],[Codigo]],TAB_SAIDA[[COD_2_SAIDA]:[TOTAL_SAIDA]],5,FALSE)</f>
        <v>0</v>
      </c>
      <c r="R1088" s="87"/>
      <c r="S1088" s="87"/>
      <c r="T1088" s="90">
        <v>648.36</v>
      </c>
      <c r="U1088" s="91">
        <f>TAB_ESTOQUE[[#This Row],[Valor Unitario Estimado]]*TAB_ESTOQUE[[#This Row],[Estoque]]</f>
        <v>0</v>
      </c>
      <c r="V1088" s="91"/>
      <c r="W1088" s="85"/>
      <c r="X1088" s="85"/>
      <c r="Y1088" s="85"/>
      <c r="Z1088" s="85"/>
      <c r="AA1088" s="85"/>
      <c r="AB1088" s="85" t="str">
        <f>IF(TAB_ESTOQUE[[#This Row],[Estoque]]=0,"Estoque Não Conforme",IF(TAB_ESTOQUE[[#This Row],[Estoque]]&gt;=TAB_ESTOQUE[[#This Row],[Mínimo]],"Estoque Conforme",IF(TAB_ESTOQUE[[#This Row],[Estoque]]&lt;TAB_ESTOQUE[[#This Row],[Mínimo]],"Estoque em Nivel Minimo")))</f>
        <v>Estoque Não Conforme</v>
      </c>
      <c r="AC1088" s="85"/>
      <c r="AD1088" s="82"/>
      <c r="AE1088" s="82"/>
      <c r="AF1088" s="82"/>
    </row>
    <row r="1089" spans="1:32" ht="15" customHeight="1" x14ac:dyDescent="0.25">
      <c r="A1089" s="45">
        <v>712</v>
      </c>
      <c r="B1089" s="47"/>
      <c r="C1089" s="46" t="s">
        <v>2833</v>
      </c>
      <c r="D1089" s="45" t="s">
        <v>2361</v>
      </c>
      <c r="E1089" s="46" t="s">
        <v>7</v>
      </c>
      <c r="F1089" s="87"/>
      <c r="G1089" s="82"/>
      <c r="H1089" s="82"/>
      <c r="I1089" s="82" t="s">
        <v>1583</v>
      </c>
      <c r="J1089" s="82"/>
      <c r="K1089" s="82"/>
      <c r="L1089" s="82"/>
      <c r="M1089" s="82"/>
      <c r="N1089" s="82"/>
      <c r="O1089" s="87" t="s">
        <v>6710</v>
      </c>
      <c r="P1089" s="82" t="s">
        <v>497</v>
      </c>
      <c r="Q1089" s="83">
        <f>VLOOKUP(TAB_ESTOQUE[[#This Row],[Codigo]],TAB_ENTRADA[[Cod_2_Entrada]:[TOTAL_ENTRADA]],5,FALSE)-VLOOKUP(TAB_ESTOQUE[[#This Row],[Codigo]],TAB_SAIDA[[COD_2_SAIDA]:[TOTAL_SAIDA]],5,FALSE)</f>
        <v>1</v>
      </c>
      <c r="R1089" s="87"/>
      <c r="S1089" s="87"/>
      <c r="T1089" s="90">
        <v>231.18</v>
      </c>
      <c r="U1089" s="91">
        <f>TAB_ESTOQUE[[#This Row],[Valor Unitario Estimado]]*TAB_ESTOQUE[[#This Row],[Estoque]]</f>
        <v>231.18</v>
      </c>
      <c r="V1089" s="91"/>
      <c r="W1089" s="85"/>
      <c r="X1089" s="85"/>
      <c r="Y1089" s="85"/>
      <c r="Z1089" s="85"/>
      <c r="AA1089" s="85"/>
      <c r="AB1089" s="85" t="str">
        <f>IF(TAB_ESTOQUE[[#This Row],[Estoque]]=0,"Estoque Não Conforme",IF(TAB_ESTOQUE[[#This Row],[Estoque]]&gt;=TAB_ESTOQUE[[#This Row],[Mínimo]],"Estoque Conforme",IF(TAB_ESTOQUE[[#This Row],[Estoque]]&lt;TAB_ESTOQUE[[#This Row],[Mínimo]],"Estoque em Nivel Minimo")))</f>
        <v>Estoque Conforme</v>
      </c>
      <c r="AC1089" s="85"/>
      <c r="AD1089" s="82"/>
      <c r="AE1089" s="82"/>
      <c r="AF1089" s="82"/>
    </row>
    <row r="1090" spans="1:32" ht="15" customHeight="1" x14ac:dyDescent="0.25">
      <c r="A1090" s="45">
        <v>1319</v>
      </c>
      <c r="B1090" s="47"/>
      <c r="C1090" s="46"/>
      <c r="D1090" s="45" t="s">
        <v>2448</v>
      </c>
      <c r="E1090" s="46" t="s">
        <v>7</v>
      </c>
      <c r="F1090" s="87"/>
      <c r="G1090" s="82"/>
      <c r="H1090" s="82"/>
      <c r="I1090" s="82" t="s">
        <v>8985</v>
      </c>
      <c r="J1090" s="82"/>
      <c r="K1090" s="82"/>
      <c r="L1090" s="82"/>
      <c r="M1090" s="82"/>
      <c r="N1090" s="82"/>
      <c r="O1090" s="87" t="s">
        <v>6710</v>
      </c>
      <c r="P1090" s="82" t="s">
        <v>1053</v>
      </c>
      <c r="Q1090" s="83">
        <f>VLOOKUP(TAB_ESTOQUE[[#This Row],[Codigo]],TAB_ENTRADA[[Cod_2_Entrada]:[TOTAL_ENTRADA]],5,FALSE)-VLOOKUP(TAB_ESTOQUE[[#This Row],[Codigo]],TAB_SAIDA[[COD_2_SAIDA]:[TOTAL_SAIDA]],5,FALSE)</f>
        <v>26</v>
      </c>
      <c r="R1090" s="87"/>
      <c r="S1090" s="87"/>
      <c r="T1090" s="90">
        <v>19.48</v>
      </c>
      <c r="U1090" s="91">
        <f>TAB_ESTOQUE[[#This Row],[Valor Unitario Estimado]]*TAB_ESTOQUE[[#This Row],[Estoque]]</f>
        <v>506.48</v>
      </c>
      <c r="V1090" s="91"/>
      <c r="W1090" s="85"/>
      <c r="X1090" s="85"/>
      <c r="Y1090" s="85"/>
      <c r="Z1090" s="85"/>
      <c r="AA1090" s="85"/>
      <c r="AB1090" s="85" t="str">
        <f>IF(TAB_ESTOQUE[[#This Row],[Estoque]]=0,"Estoque Não Conforme",IF(TAB_ESTOQUE[[#This Row],[Estoque]]&gt;=TAB_ESTOQUE[[#This Row],[Mínimo]],"Estoque Conforme",IF(TAB_ESTOQUE[[#This Row],[Estoque]]&lt;TAB_ESTOQUE[[#This Row],[Mínimo]],"Estoque em Nivel Minimo")))</f>
        <v>Estoque Conforme</v>
      </c>
      <c r="AC1090" s="85"/>
      <c r="AD1090" s="82"/>
      <c r="AE1090" s="82"/>
      <c r="AF1090" s="82"/>
    </row>
    <row r="1091" spans="1:32" ht="15" customHeight="1" x14ac:dyDescent="0.25">
      <c r="A1091" s="45">
        <v>713</v>
      </c>
      <c r="B1091" s="47"/>
      <c r="C1091" s="46"/>
      <c r="D1091" s="45" t="s">
        <v>2363</v>
      </c>
      <c r="E1091" s="46" t="s">
        <v>7</v>
      </c>
      <c r="F1091" s="87"/>
      <c r="G1091" s="82"/>
      <c r="H1091" s="82"/>
      <c r="I1091" s="82" t="s">
        <v>6199</v>
      </c>
      <c r="J1091" s="82"/>
      <c r="K1091" s="82"/>
      <c r="L1091" s="82"/>
      <c r="M1091" s="82"/>
      <c r="N1091" s="82"/>
      <c r="O1091" s="87" t="s">
        <v>6679</v>
      </c>
      <c r="P1091" s="82" t="s">
        <v>498</v>
      </c>
      <c r="Q1091" s="83">
        <f>VLOOKUP(TAB_ESTOQUE[[#This Row],[Codigo]],TAB_ENTRADA[[Cod_2_Entrada]:[TOTAL_ENTRADA]],5,FALSE)-VLOOKUP(TAB_ESTOQUE[[#This Row],[Codigo]],TAB_SAIDA[[COD_2_SAIDA]:[TOTAL_SAIDA]],5,FALSE)</f>
        <v>26</v>
      </c>
      <c r="R1091" s="87"/>
      <c r="S1091" s="87"/>
      <c r="T1091" s="90">
        <v>13.8</v>
      </c>
      <c r="U1091" s="91">
        <f>TAB_ESTOQUE[[#This Row],[Valor Unitario Estimado]]*TAB_ESTOQUE[[#This Row],[Estoque]]</f>
        <v>358.8</v>
      </c>
      <c r="V1091" s="91"/>
      <c r="W1091" s="85"/>
      <c r="X1091" s="85"/>
      <c r="Y1091" s="85"/>
      <c r="Z1091" s="85"/>
      <c r="AA1091" s="85"/>
      <c r="AB1091" s="85" t="str">
        <f>IF(TAB_ESTOQUE[[#This Row],[Estoque]]=0,"Estoque Não Conforme",IF(TAB_ESTOQUE[[#This Row],[Estoque]]&gt;=TAB_ESTOQUE[[#This Row],[Mínimo]],"Estoque Conforme",IF(TAB_ESTOQUE[[#This Row],[Estoque]]&lt;TAB_ESTOQUE[[#This Row],[Mínimo]],"Estoque em Nivel Minimo")))</f>
        <v>Estoque Conforme</v>
      </c>
      <c r="AC1091" s="85"/>
      <c r="AD1091" s="82"/>
      <c r="AE1091" s="82"/>
      <c r="AF1091" s="82"/>
    </row>
    <row r="1092" spans="1:32" ht="15" customHeight="1" x14ac:dyDescent="0.25">
      <c r="A1092" s="45">
        <v>714</v>
      </c>
      <c r="B1092" s="47"/>
      <c r="C1092" s="46"/>
      <c r="D1092" s="45" t="s">
        <v>2364</v>
      </c>
      <c r="E1092" s="46" t="s">
        <v>7</v>
      </c>
      <c r="F1092" s="87"/>
      <c r="G1092" s="82"/>
      <c r="H1092" s="82"/>
      <c r="I1092" s="82" t="s">
        <v>1545</v>
      </c>
      <c r="J1092" s="82"/>
      <c r="K1092" s="82"/>
      <c r="L1092" s="82"/>
      <c r="M1092" s="82"/>
      <c r="N1092" s="82"/>
      <c r="O1092" s="87" t="s">
        <v>6679</v>
      </c>
      <c r="P1092" s="82" t="s">
        <v>499</v>
      </c>
      <c r="Q1092" s="83">
        <f>VLOOKUP(TAB_ESTOQUE[[#This Row],[Codigo]],TAB_ENTRADA[[Cod_2_Entrada]:[TOTAL_ENTRADA]],5,FALSE)-VLOOKUP(TAB_ESTOQUE[[#This Row],[Codigo]],TAB_SAIDA[[COD_2_SAIDA]:[TOTAL_SAIDA]],5,FALSE)</f>
        <v>0</v>
      </c>
      <c r="R1092" s="87"/>
      <c r="S1092" s="87"/>
      <c r="T1092" s="90">
        <v>13</v>
      </c>
      <c r="U1092" s="91">
        <f>TAB_ESTOQUE[[#This Row],[Valor Unitario Estimado]]*TAB_ESTOQUE[[#This Row],[Estoque]]</f>
        <v>0</v>
      </c>
      <c r="V1092" s="91"/>
      <c r="W1092" s="85"/>
      <c r="X1092" s="85"/>
      <c r="Y1092" s="85"/>
      <c r="Z1092" s="85"/>
      <c r="AA1092" s="85"/>
      <c r="AB1092" s="85" t="str">
        <f>IF(TAB_ESTOQUE[[#This Row],[Estoque]]=0,"Estoque Não Conforme",IF(TAB_ESTOQUE[[#This Row],[Estoque]]&gt;=TAB_ESTOQUE[[#This Row],[Mínimo]],"Estoque Conforme",IF(TAB_ESTOQUE[[#This Row],[Estoque]]&lt;TAB_ESTOQUE[[#This Row],[Mínimo]],"Estoque em Nivel Minimo")))</f>
        <v>Estoque Não Conforme</v>
      </c>
      <c r="AC1092" s="85"/>
      <c r="AD1092" s="82"/>
      <c r="AE1092" s="82"/>
      <c r="AF1092" s="82"/>
    </row>
    <row r="1093" spans="1:32" ht="15" customHeight="1" x14ac:dyDescent="0.25">
      <c r="A1093" s="45">
        <v>715</v>
      </c>
      <c r="B1093" s="47"/>
      <c r="C1093" s="46"/>
      <c r="D1093" s="45" t="s">
        <v>2365</v>
      </c>
      <c r="E1093" s="46" t="s">
        <v>7</v>
      </c>
      <c r="F1093" s="87"/>
      <c r="G1093" s="82"/>
      <c r="H1093" s="82"/>
      <c r="I1093" s="82" t="s">
        <v>6200</v>
      </c>
      <c r="J1093" s="82"/>
      <c r="K1093" s="82"/>
      <c r="L1093" s="82"/>
      <c r="M1093" s="82"/>
      <c r="N1093" s="82"/>
      <c r="O1093" s="87" t="s">
        <v>6679</v>
      </c>
      <c r="P1093" s="82" t="s">
        <v>500</v>
      </c>
      <c r="Q1093" s="83">
        <f>VLOOKUP(TAB_ESTOQUE[[#This Row],[Codigo]],TAB_ENTRADA[[Cod_2_Entrada]:[TOTAL_ENTRADA]],5,FALSE)-VLOOKUP(TAB_ESTOQUE[[#This Row],[Codigo]],TAB_SAIDA[[COD_2_SAIDA]:[TOTAL_SAIDA]],5,FALSE)</f>
        <v>19</v>
      </c>
      <c r="R1093" s="87"/>
      <c r="S1093" s="87"/>
      <c r="T1093" s="90">
        <v>38</v>
      </c>
      <c r="U1093" s="91">
        <f>TAB_ESTOQUE[[#This Row],[Valor Unitario Estimado]]*TAB_ESTOQUE[[#This Row],[Estoque]]</f>
        <v>722</v>
      </c>
      <c r="V1093" s="91"/>
      <c r="W1093" s="85"/>
      <c r="X1093" s="85"/>
      <c r="Y1093" s="85"/>
      <c r="Z1093" s="85"/>
      <c r="AA1093" s="85"/>
      <c r="AB1093" s="85" t="str">
        <f>IF(TAB_ESTOQUE[[#This Row],[Estoque]]=0,"Estoque Não Conforme",IF(TAB_ESTOQUE[[#This Row],[Estoque]]&gt;=TAB_ESTOQUE[[#This Row],[Mínimo]],"Estoque Conforme",IF(TAB_ESTOQUE[[#This Row],[Estoque]]&lt;TAB_ESTOQUE[[#This Row],[Mínimo]],"Estoque em Nivel Minimo")))</f>
        <v>Estoque Conforme</v>
      </c>
      <c r="AC1093" s="85"/>
      <c r="AD1093" s="82"/>
      <c r="AE1093" s="82"/>
      <c r="AF1093" s="82"/>
    </row>
    <row r="1094" spans="1:32" ht="15" customHeight="1" x14ac:dyDescent="0.25">
      <c r="A1094" s="45">
        <v>716</v>
      </c>
      <c r="B1094" s="47"/>
      <c r="C1094" s="46"/>
      <c r="D1094" s="45" t="s">
        <v>2366</v>
      </c>
      <c r="E1094" s="46" t="s">
        <v>7</v>
      </c>
      <c r="F1094" s="87"/>
      <c r="G1094" s="82"/>
      <c r="H1094" s="82"/>
      <c r="I1094" s="82" t="s">
        <v>6201</v>
      </c>
      <c r="J1094" s="82"/>
      <c r="K1094" s="82"/>
      <c r="L1094" s="82"/>
      <c r="M1094" s="82"/>
      <c r="N1094" s="82"/>
      <c r="O1094" s="87" t="s">
        <v>6679</v>
      </c>
      <c r="P1094" s="82" t="s">
        <v>501</v>
      </c>
      <c r="Q1094" s="83">
        <f>VLOOKUP(TAB_ESTOQUE[[#This Row],[Codigo]],TAB_ENTRADA[[Cod_2_Entrada]:[TOTAL_ENTRADA]],5,FALSE)-VLOOKUP(TAB_ESTOQUE[[#This Row],[Codigo]],TAB_SAIDA[[COD_2_SAIDA]:[TOTAL_SAIDA]],5,FALSE)</f>
        <v>6</v>
      </c>
      <c r="R1094" s="87"/>
      <c r="S1094" s="87"/>
      <c r="T1094" s="90">
        <v>50</v>
      </c>
      <c r="U1094" s="91">
        <f>TAB_ESTOQUE[[#This Row],[Valor Unitario Estimado]]*TAB_ESTOQUE[[#This Row],[Estoque]]</f>
        <v>300</v>
      </c>
      <c r="V1094" s="91"/>
      <c r="W1094" s="85"/>
      <c r="X1094" s="85"/>
      <c r="Y1094" s="85"/>
      <c r="Z1094" s="85"/>
      <c r="AA1094" s="85"/>
      <c r="AB1094" s="85" t="str">
        <f>IF(TAB_ESTOQUE[[#This Row],[Estoque]]=0,"Estoque Não Conforme",IF(TAB_ESTOQUE[[#This Row],[Estoque]]&gt;=TAB_ESTOQUE[[#This Row],[Mínimo]],"Estoque Conforme",IF(TAB_ESTOQUE[[#This Row],[Estoque]]&lt;TAB_ESTOQUE[[#This Row],[Mínimo]],"Estoque em Nivel Minimo")))</f>
        <v>Estoque Conforme</v>
      </c>
      <c r="AC1094" s="85"/>
      <c r="AD1094" s="82"/>
      <c r="AE1094" s="82"/>
      <c r="AF1094" s="82"/>
    </row>
    <row r="1095" spans="1:32" ht="15" customHeight="1" x14ac:dyDescent="0.25">
      <c r="A1095" s="45">
        <v>695</v>
      </c>
      <c r="B1095" s="47"/>
      <c r="C1095" s="46"/>
      <c r="D1095" s="45" t="s">
        <v>2367</v>
      </c>
      <c r="E1095" s="46"/>
      <c r="F1095" s="87"/>
      <c r="G1095" s="82"/>
      <c r="H1095" s="82"/>
      <c r="I1095" s="82" t="s">
        <v>473</v>
      </c>
      <c r="J1095" s="82"/>
      <c r="K1095" s="82"/>
      <c r="L1095" s="82"/>
      <c r="M1095" s="82"/>
      <c r="N1095" s="82"/>
      <c r="O1095" s="87" t="s">
        <v>6679</v>
      </c>
      <c r="P1095" s="82" t="s">
        <v>482</v>
      </c>
      <c r="Q1095" s="83">
        <f>VLOOKUP(TAB_ESTOQUE[[#This Row],[Codigo]],TAB_ENTRADA[[Cod_2_Entrada]:[TOTAL_ENTRADA]],5,FALSE)-VLOOKUP(TAB_ESTOQUE[[#This Row],[Codigo]],TAB_SAIDA[[COD_2_SAIDA]:[TOTAL_SAIDA]],5,FALSE)</f>
        <v>9</v>
      </c>
      <c r="R1095" s="87"/>
      <c r="S1095" s="87"/>
      <c r="T1095" s="90">
        <v>25</v>
      </c>
      <c r="U1095" s="91">
        <f>TAB_ESTOQUE[[#This Row],[Valor Unitario Estimado]]*TAB_ESTOQUE[[#This Row],[Estoque]]</f>
        <v>225</v>
      </c>
      <c r="V1095" s="91"/>
      <c r="W1095" s="85"/>
      <c r="X1095" s="85"/>
      <c r="Y1095" s="85"/>
      <c r="Z1095" s="85"/>
      <c r="AA1095" s="85"/>
      <c r="AB1095" s="85" t="str">
        <f>IF(TAB_ESTOQUE[[#This Row],[Estoque]]=0,"Estoque Não Conforme",IF(TAB_ESTOQUE[[#This Row],[Estoque]]&gt;=TAB_ESTOQUE[[#This Row],[Mínimo]],"Estoque Conforme",IF(TAB_ESTOQUE[[#This Row],[Estoque]]&lt;TAB_ESTOQUE[[#This Row],[Mínimo]],"Estoque em Nivel Minimo")))</f>
        <v>Estoque Conforme</v>
      </c>
      <c r="AC1095" s="85"/>
      <c r="AD1095" s="82"/>
      <c r="AE1095" s="82"/>
      <c r="AF1095" s="82"/>
    </row>
    <row r="1096" spans="1:32" ht="15" customHeight="1" x14ac:dyDescent="0.25">
      <c r="A1096" s="45">
        <v>1323</v>
      </c>
      <c r="B1096" s="53" t="s">
        <v>1622</v>
      </c>
      <c r="C1096" s="46" t="s">
        <v>2838</v>
      </c>
      <c r="D1096" s="45" t="s">
        <v>2368</v>
      </c>
      <c r="E1096" s="46"/>
      <c r="F1096" s="87"/>
      <c r="G1096" s="82"/>
      <c r="H1096" s="82"/>
      <c r="I1096" s="82" t="s">
        <v>470</v>
      </c>
      <c r="J1096" s="82"/>
      <c r="K1096" s="82"/>
      <c r="L1096" s="82"/>
      <c r="M1096" s="82"/>
      <c r="N1096" s="82"/>
      <c r="O1096" s="87" t="s">
        <v>6679</v>
      </c>
      <c r="P1096" s="82" t="s">
        <v>1057</v>
      </c>
      <c r="Q1096" s="83">
        <f>VLOOKUP(TAB_ESTOQUE[[#This Row],[Codigo]],TAB_ENTRADA[[Cod_2_Entrada]:[TOTAL_ENTRADA]],5,FALSE)-VLOOKUP(TAB_ESTOQUE[[#This Row],[Codigo]],TAB_SAIDA[[COD_2_SAIDA]:[TOTAL_SAIDA]],5,FALSE)</f>
        <v>2</v>
      </c>
      <c r="R1096" s="87"/>
      <c r="S1096" s="87"/>
      <c r="T1096" s="90">
        <v>25</v>
      </c>
      <c r="U1096" s="91">
        <f>TAB_ESTOQUE[[#This Row],[Valor Unitario Estimado]]*TAB_ESTOQUE[[#This Row],[Estoque]]</f>
        <v>50</v>
      </c>
      <c r="V1096" s="91"/>
      <c r="W1096" s="85"/>
      <c r="X1096" s="85"/>
      <c r="Y1096" s="85"/>
      <c r="Z1096" s="85"/>
      <c r="AA1096" s="85"/>
      <c r="AB1096" s="85" t="str">
        <f>IF(TAB_ESTOQUE[[#This Row],[Estoque]]=0,"Estoque Não Conforme",IF(TAB_ESTOQUE[[#This Row],[Estoque]]&gt;=TAB_ESTOQUE[[#This Row],[Mínimo]],"Estoque Conforme",IF(TAB_ESTOQUE[[#This Row],[Estoque]]&lt;TAB_ESTOQUE[[#This Row],[Mínimo]],"Estoque em Nivel Minimo")))</f>
        <v>Estoque Conforme</v>
      </c>
      <c r="AC1096" s="85"/>
      <c r="AD1096" s="82"/>
      <c r="AE1096" s="82"/>
      <c r="AF1096" s="82"/>
    </row>
    <row r="1097" spans="1:32" ht="15" customHeight="1" x14ac:dyDescent="0.25">
      <c r="A1097" s="45">
        <v>694</v>
      </c>
      <c r="B1097" s="47"/>
      <c r="C1097" s="46" t="s">
        <v>2833</v>
      </c>
      <c r="D1097" s="45" t="s">
        <v>2369</v>
      </c>
      <c r="E1097" s="46"/>
      <c r="F1097" s="87"/>
      <c r="G1097" s="82"/>
      <c r="H1097" s="82"/>
      <c r="I1097" s="82" t="s">
        <v>468</v>
      </c>
      <c r="J1097" s="82"/>
      <c r="K1097" s="82"/>
      <c r="L1097" s="82"/>
      <c r="M1097" s="82"/>
      <c r="N1097" s="82"/>
      <c r="O1097" s="87" t="s">
        <v>6679</v>
      </c>
      <c r="P1097" s="82" t="s">
        <v>481</v>
      </c>
      <c r="Q1097" s="83">
        <f>VLOOKUP(TAB_ESTOQUE[[#This Row],[Codigo]],TAB_ENTRADA[[Cod_2_Entrada]:[TOTAL_ENTRADA]],5,FALSE)-VLOOKUP(TAB_ESTOQUE[[#This Row],[Codigo]],TAB_SAIDA[[COD_2_SAIDA]:[TOTAL_SAIDA]],5,FALSE)</f>
        <v>9</v>
      </c>
      <c r="R1097" s="87"/>
      <c r="S1097" s="87"/>
      <c r="T1097" s="90">
        <v>13.13</v>
      </c>
      <c r="U1097" s="91">
        <f>TAB_ESTOQUE[[#This Row],[Valor Unitario Estimado]]*TAB_ESTOQUE[[#This Row],[Estoque]]</f>
        <v>118.17</v>
      </c>
      <c r="V1097" s="91"/>
      <c r="W1097" s="85"/>
      <c r="X1097" s="85"/>
      <c r="Y1097" s="85"/>
      <c r="Z1097" s="85"/>
      <c r="AA1097" s="85"/>
      <c r="AB1097" s="85" t="str">
        <f>IF(TAB_ESTOQUE[[#This Row],[Estoque]]=0,"Estoque Não Conforme",IF(TAB_ESTOQUE[[#This Row],[Estoque]]&gt;=TAB_ESTOQUE[[#This Row],[Mínimo]],"Estoque Conforme",IF(TAB_ESTOQUE[[#This Row],[Estoque]]&lt;TAB_ESTOQUE[[#This Row],[Mínimo]],"Estoque em Nivel Minimo")))</f>
        <v>Estoque Conforme</v>
      </c>
      <c r="AC1097" s="85"/>
      <c r="AD1097" s="82"/>
      <c r="AE1097" s="82"/>
      <c r="AF1097" s="82"/>
    </row>
    <row r="1098" spans="1:32" ht="15" customHeight="1" x14ac:dyDescent="0.25">
      <c r="A1098" s="45">
        <v>701</v>
      </c>
      <c r="B1098" s="47"/>
      <c r="C1098" s="46"/>
      <c r="D1098" s="45" t="s">
        <v>2370</v>
      </c>
      <c r="E1098" s="46"/>
      <c r="F1098" s="87"/>
      <c r="G1098" s="82"/>
      <c r="H1098" s="82"/>
      <c r="I1098" s="82" t="s">
        <v>466</v>
      </c>
      <c r="J1098" s="82"/>
      <c r="K1098" s="82"/>
      <c r="L1098" s="82"/>
      <c r="M1098" s="82"/>
      <c r="N1098" s="82"/>
      <c r="O1098" s="87" t="s">
        <v>6679</v>
      </c>
      <c r="P1098" s="82" t="s">
        <v>487</v>
      </c>
      <c r="Q1098" s="83">
        <f>VLOOKUP(TAB_ESTOQUE[[#This Row],[Codigo]],TAB_ENTRADA[[Cod_2_Entrada]:[TOTAL_ENTRADA]],5,FALSE)-VLOOKUP(TAB_ESTOQUE[[#This Row],[Codigo]],TAB_SAIDA[[COD_2_SAIDA]:[TOTAL_SAIDA]],5,FALSE)</f>
        <v>8</v>
      </c>
      <c r="R1098" s="87"/>
      <c r="S1098" s="87"/>
      <c r="T1098" s="90">
        <v>15.26</v>
      </c>
      <c r="U1098" s="91">
        <f>TAB_ESTOQUE[[#This Row],[Valor Unitario Estimado]]*TAB_ESTOQUE[[#This Row],[Estoque]]</f>
        <v>122.08</v>
      </c>
      <c r="V1098" s="91"/>
      <c r="W1098" s="85"/>
      <c r="X1098" s="85"/>
      <c r="Y1098" s="85"/>
      <c r="Z1098" s="85"/>
      <c r="AA1098" s="85"/>
      <c r="AB1098" s="85" t="str">
        <f>IF(TAB_ESTOQUE[[#This Row],[Estoque]]=0,"Estoque Não Conforme",IF(TAB_ESTOQUE[[#This Row],[Estoque]]&gt;=TAB_ESTOQUE[[#This Row],[Mínimo]],"Estoque Conforme",IF(TAB_ESTOQUE[[#This Row],[Estoque]]&lt;TAB_ESTOQUE[[#This Row],[Mínimo]],"Estoque em Nivel Minimo")))</f>
        <v>Estoque Conforme</v>
      </c>
      <c r="AC1098" s="85"/>
      <c r="AD1098" s="82"/>
      <c r="AE1098" s="82"/>
      <c r="AF1098" s="82"/>
    </row>
    <row r="1099" spans="1:32" ht="15" customHeight="1" x14ac:dyDescent="0.25">
      <c r="A1099" s="45">
        <v>692</v>
      </c>
      <c r="B1099" s="47"/>
      <c r="C1099" s="46"/>
      <c r="D1099" s="45" t="s">
        <v>2371</v>
      </c>
      <c r="E1099" s="46" t="s">
        <v>1324</v>
      </c>
      <c r="F1099" s="87"/>
      <c r="G1099" s="82"/>
      <c r="H1099" s="82"/>
      <c r="I1099" s="82" t="s">
        <v>1657</v>
      </c>
      <c r="J1099" s="82"/>
      <c r="K1099" s="82"/>
      <c r="L1099" s="82"/>
      <c r="M1099" s="82"/>
      <c r="N1099" s="82"/>
      <c r="O1099" s="87" t="s">
        <v>6679</v>
      </c>
      <c r="P1099" s="82" t="s">
        <v>478</v>
      </c>
      <c r="Q1099" s="83">
        <f>VLOOKUP(TAB_ESTOQUE[[#This Row],[Codigo]],TAB_ENTRADA[[Cod_2_Entrada]:[TOTAL_ENTRADA]],5,FALSE)-VLOOKUP(TAB_ESTOQUE[[#This Row],[Codigo]],TAB_SAIDA[[COD_2_SAIDA]:[TOTAL_SAIDA]],5,FALSE)</f>
        <v>0</v>
      </c>
      <c r="R1099" s="87"/>
      <c r="S1099" s="87"/>
      <c r="T1099" s="90">
        <v>21.9</v>
      </c>
      <c r="U1099" s="91">
        <f>TAB_ESTOQUE[[#This Row],[Valor Unitario Estimado]]*TAB_ESTOQUE[[#This Row],[Estoque]]</f>
        <v>0</v>
      </c>
      <c r="V1099" s="91"/>
      <c r="W1099" s="85"/>
      <c r="X1099" s="85"/>
      <c r="Y1099" s="85"/>
      <c r="Z1099" s="85"/>
      <c r="AA1099" s="85"/>
      <c r="AB1099" s="85" t="str">
        <f>IF(TAB_ESTOQUE[[#This Row],[Estoque]]=0,"Estoque Não Conforme",IF(TAB_ESTOQUE[[#This Row],[Estoque]]&gt;=TAB_ESTOQUE[[#This Row],[Mínimo]],"Estoque Conforme",IF(TAB_ESTOQUE[[#This Row],[Estoque]]&lt;TAB_ESTOQUE[[#This Row],[Mínimo]],"Estoque em Nivel Minimo")))</f>
        <v>Estoque Não Conforme</v>
      </c>
      <c r="AC1099" s="85"/>
      <c r="AD1099" s="82"/>
      <c r="AE1099" s="82"/>
      <c r="AF1099" s="82"/>
    </row>
    <row r="1100" spans="1:32" ht="15" customHeight="1" x14ac:dyDescent="0.25">
      <c r="A1100" s="45">
        <v>693</v>
      </c>
      <c r="B1100" s="47"/>
      <c r="C1100" s="46"/>
      <c r="D1100" s="45" t="s">
        <v>2372</v>
      </c>
      <c r="E1100" s="46"/>
      <c r="F1100" s="87"/>
      <c r="G1100" s="82"/>
      <c r="H1100" s="82"/>
      <c r="I1100" s="82" t="s">
        <v>461</v>
      </c>
      <c r="J1100" s="82"/>
      <c r="K1100" s="82"/>
      <c r="L1100" s="82"/>
      <c r="M1100" s="82"/>
      <c r="N1100" s="82"/>
      <c r="O1100" s="87" t="s">
        <v>6679</v>
      </c>
      <c r="P1100" s="82" t="s">
        <v>479</v>
      </c>
      <c r="Q1100" s="83">
        <f>VLOOKUP(TAB_ESTOQUE[[#This Row],[Codigo]],TAB_ENTRADA[[Cod_2_Entrada]:[TOTAL_ENTRADA]],5,FALSE)-VLOOKUP(TAB_ESTOQUE[[#This Row],[Codigo]],TAB_SAIDA[[COD_2_SAIDA]:[TOTAL_SAIDA]],5,FALSE)</f>
        <v>5</v>
      </c>
      <c r="R1100" s="87"/>
      <c r="S1100" s="87"/>
      <c r="T1100" s="90">
        <v>20.12</v>
      </c>
      <c r="U1100" s="91">
        <f>TAB_ESTOQUE[[#This Row],[Valor Unitario Estimado]]*TAB_ESTOQUE[[#This Row],[Estoque]]</f>
        <v>100.60000000000001</v>
      </c>
      <c r="V1100" s="91"/>
      <c r="W1100" s="85"/>
      <c r="X1100" s="85"/>
      <c r="Y1100" s="85"/>
      <c r="Z1100" s="85"/>
      <c r="AA1100" s="85"/>
      <c r="AB1100" s="85" t="str">
        <f>IF(TAB_ESTOQUE[[#This Row],[Estoque]]=0,"Estoque Não Conforme",IF(TAB_ESTOQUE[[#This Row],[Estoque]]&gt;=TAB_ESTOQUE[[#This Row],[Mínimo]],"Estoque Conforme",IF(TAB_ESTOQUE[[#This Row],[Estoque]]&lt;TAB_ESTOQUE[[#This Row],[Mínimo]],"Estoque em Nivel Minimo")))</f>
        <v>Estoque Conforme</v>
      </c>
      <c r="AC1100" s="85"/>
      <c r="AD1100" s="82"/>
      <c r="AE1100" s="82"/>
      <c r="AF1100" s="82"/>
    </row>
    <row r="1101" spans="1:32" ht="15" customHeight="1" x14ac:dyDescent="0.25">
      <c r="A1101" s="45">
        <v>1115</v>
      </c>
      <c r="B1101" s="47"/>
      <c r="C1101" s="46"/>
      <c r="D1101" s="45" t="s">
        <v>2575</v>
      </c>
      <c r="E1101" s="46"/>
      <c r="F1101" s="87"/>
      <c r="G1101" s="82"/>
      <c r="H1101" s="82"/>
      <c r="I1101" s="82" t="s">
        <v>1242</v>
      </c>
      <c r="J1101" s="82"/>
      <c r="K1101" s="82"/>
      <c r="L1101" s="82"/>
      <c r="M1101" s="82"/>
      <c r="N1101" s="82"/>
      <c r="O1101" s="87" t="s">
        <v>6679</v>
      </c>
      <c r="P1101" s="82" t="s">
        <v>846</v>
      </c>
      <c r="Q1101" s="83">
        <f>VLOOKUP(TAB_ESTOQUE[[#This Row],[Codigo]],TAB_ENTRADA[[Cod_2_Entrada]:[TOTAL_ENTRADA]],5,FALSE)-VLOOKUP(TAB_ESTOQUE[[#This Row],[Codigo]],TAB_SAIDA[[COD_2_SAIDA]:[TOTAL_SAIDA]],5,FALSE)</f>
        <v>4</v>
      </c>
      <c r="R1101" s="87"/>
      <c r="S1101" s="87"/>
      <c r="T1101" s="90"/>
      <c r="U1101" s="91">
        <f>TAB_ESTOQUE[[#This Row],[Valor Unitario Estimado]]*TAB_ESTOQUE[[#This Row],[Estoque]]</f>
        <v>0</v>
      </c>
      <c r="V1101" s="91"/>
      <c r="W1101" s="85"/>
      <c r="X1101" s="85"/>
      <c r="Y1101" s="85"/>
      <c r="Z1101" s="85"/>
      <c r="AA1101" s="85"/>
      <c r="AB1101" s="85" t="str">
        <f>IF(TAB_ESTOQUE[[#This Row],[Estoque]]=0,"Estoque Não Conforme",IF(TAB_ESTOQUE[[#This Row],[Estoque]]&gt;=TAB_ESTOQUE[[#This Row],[Mínimo]],"Estoque Conforme",IF(TAB_ESTOQUE[[#This Row],[Estoque]]&lt;TAB_ESTOQUE[[#This Row],[Mínimo]],"Estoque em Nivel Minimo")))</f>
        <v>Estoque Conforme</v>
      </c>
      <c r="AC1101" s="85"/>
      <c r="AD1101" s="82"/>
      <c r="AE1101" s="82"/>
      <c r="AF1101" s="82"/>
    </row>
    <row r="1102" spans="1:32" ht="15" customHeight="1" x14ac:dyDescent="0.25">
      <c r="A1102" s="45">
        <v>1263</v>
      </c>
      <c r="B1102" s="47"/>
      <c r="C1102" s="46"/>
      <c r="D1102" s="45" t="s">
        <v>2373</v>
      </c>
      <c r="E1102" s="46" t="s">
        <v>7</v>
      </c>
      <c r="F1102" s="118"/>
      <c r="G1102" s="82"/>
      <c r="H1102" s="82"/>
      <c r="I1102" s="82" t="s">
        <v>475</v>
      </c>
      <c r="J1102" s="82"/>
      <c r="K1102" s="82"/>
      <c r="L1102" s="82"/>
      <c r="M1102" s="82"/>
      <c r="N1102" s="82"/>
      <c r="O1102" s="87" t="s">
        <v>6711</v>
      </c>
      <c r="P1102" s="82" t="s">
        <v>989</v>
      </c>
      <c r="Q1102" s="83">
        <f>VLOOKUP(TAB_ESTOQUE[[#This Row],[Codigo]],TAB_ENTRADA[[Cod_2_Entrada]:[TOTAL_ENTRADA]],5,FALSE)-VLOOKUP(TAB_ESTOQUE[[#This Row],[Codigo]],TAB_SAIDA[[COD_2_SAIDA]:[TOTAL_SAIDA]],5,FALSE)</f>
        <v>4</v>
      </c>
      <c r="R1102" s="87"/>
      <c r="S1102" s="87"/>
      <c r="T1102" s="90"/>
      <c r="U1102" s="91">
        <f>TAB_ESTOQUE[[#This Row],[Valor Unitario Estimado]]*TAB_ESTOQUE[[#This Row],[Estoque]]</f>
        <v>0</v>
      </c>
      <c r="V1102" s="91"/>
      <c r="W1102" s="85"/>
      <c r="X1102" s="85"/>
      <c r="Y1102" s="85"/>
      <c r="Z1102" s="85"/>
      <c r="AA1102" s="85"/>
      <c r="AB1102" s="85" t="str">
        <f>IF(TAB_ESTOQUE[[#This Row],[Estoque]]=0,"Estoque Não Conforme",IF(TAB_ESTOQUE[[#This Row],[Estoque]]&gt;=TAB_ESTOQUE[[#This Row],[Mínimo]],"Estoque Conforme",IF(TAB_ESTOQUE[[#This Row],[Estoque]]&lt;TAB_ESTOQUE[[#This Row],[Mínimo]],"Estoque em Nivel Minimo")))</f>
        <v>Estoque Conforme</v>
      </c>
      <c r="AC1102" s="85"/>
      <c r="AD1102" s="82"/>
      <c r="AE1102" s="82"/>
      <c r="AF1102" s="82"/>
    </row>
    <row r="1103" spans="1:32" ht="15" customHeight="1" x14ac:dyDescent="0.25">
      <c r="A1103" s="45">
        <v>1710</v>
      </c>
      <c r="B1103" s="47"/>
      <c r="C1103" s="46" t="s">
        <v>2833</v>
      </c>
      <c r="D1103" s="45" t="s">
        <v>2563</v>
      </c>
      <c r="E1103" s="46" t="s">
        <v>820</v>
      </c>
      <c r="F1103" s="87"/>
      <c r="G1103" s="82"/>
      <c r="H1103" s="82"/>
      <c r="I1103" s="82" t="s">
        <v>8646</v>
      </c>
      <c r="J1103" s="82"/>
      <c r="K1103" s="82"/>
      <c r="L1103" s="82"/>
      <c r="M1103" s="82"/>
      <c r="N1103" s="82"/>
      <c r="O1103" s="87" t="s">
        <v>6459</v>
      </c>
      <c r="P1103" s="82" t="s">
        <v>1140</v>
      </c>
      <c r="Q1103" s="83">
        <f>VLOOKUP(TAB_ESTOQUE[[#This Row],[Codigo]],TAB_ENTRADA[[Cod_2_Entrada]:[TOTAL_ENTRADA]],5,FALSE)-VLOOKUP(TAB_ESTOQUE[[#This Row],[Codigo]],TAB_SAIDA[[COD_2_SAIDA]:[TOTAL_SAIDA]],5,FALSE)</f>
        <v>1</v>
      </c>
      <c r="R1103" s="87"/>
      <c r="S1103" s="87"/>
      <c r="T1103" s="90"/>
      <c r="U1103" s="91">
        <f>TAB_ESTOQUE[[#This Row],[Valor Unitario Estimado]]*TAB_ESTOQUE[[#This Row],[Estoque]]</f>
        <v>0</v>
      </c>
      <c r="V1103" s="91"/>
      <c r="W1103" s="85"/>
      <c r="X1103" s="85"/>
      <c r="Y1103" s="85"/>
      <c r="Z1103" s="85"/>
      <c r="AA1103" s="85"/>
      <c r="AB1103" s="85" t="str">
        <f>IF(TAB_ESTOQUE[[#This Row],[Estoque]]=0,"Estoque Não Conforme",IF(TAB_ESTOQUE[[#This Row],[Estoque]]&gt;=TAB_ESTOQUE[[#This Row],[Mínimo]],"Estoque Conforme",IF(TAB_ESTOQUE[[#This Row],[Estoque]]&lt;TAB_ESTOQUE[[#This Row],[Mínimo]],"Estoque em Nivel Minimo")))</f>
        <v>Estoque Conforme</v>
      </c>
      <c r="AC1103" s="85"/>
      <c r="AD1103" s="82"/>
      <c r="AE1103" s="82"/>
      <c r="AF1103" s="82"/>
    </row>
    <row r="1104" spans="1:32" ht="15" customHeight="1" x14ac:dyDescent="0.25">
      <c r="A1104" s="47" t="s">
        <v>1159</v>
      </c>
      <c r="B1104" s="47"/>
      <c r="C1104" s="51"/>
      <c r="D1104" s="47" t="s">
        <v>2650</v>
      </c>
      <c r="E1104" s="51"/>
      <c r="F1104" s="107"/>
      <c r="G1104" s="94"/>
      <c r="H1104" s="94"/>
      <c r="I1104" s="94" t="s">
        <v>1354</v>
      </c>
      <c r="J1104" s="94"/>
      <c r="K1104" s="94"/>
      <c r="L1104" s="94"/>
      <c r="M1104" s="94"/>
      <c r="N1104" s="94"/>
      <c r="O1104" s="107" t="s">
        <v>6459</v>
      </c>
      <c r="P1104" s="94" t="s">
        <v>1183</v>
      </c>
      <c r="Q1104" s="145">
        <f>VLOOKUP(TAB_ESTOQUE[[#This Row],[Codigo]],TAB_ENTRADA[[Cod_2_Entrada]:[TOTAL_ENTRADA]],5,FALSE)-VLOOKUP(TAB_ESTOQUE[[#This Row],[Codigo]],TAB_SAIDA[[COD_2_SAIDA]:[TOTAL_SAIDA]],5,FALSE)</f>
        <v>1</v>
      </c>
      <c r="R1104" s="107"/>
      <c r="S1104" s="107"/>
      <c r="T1104" s="108"/>
      <c r="U1104" s="109">
        <f>TAB_ESTOQUE[[#This Row],[Valor Unitario Estimado]]*TAB_ESTOQUE[[#This Row],[Estoque]]</f>
        <v>0</v>
      </c>
      <c r="V1104" s="109"/>
      <c r="W1104" s="110"/>
      <c r="X1104" s="110"/>
      <c r="Y1104" s="110"/>
      <c r="Z1104" s="110"/>
      <c r="AA1104" s="110"/>
      <c r="AB1104" s="110" t="str">
        <f>IF(TAB_ESTOQUE[[#This Row],[Estoque]]=0,"Estoque Não Conforme",IF(TAB_ESTOQUE[[#This Row],[Estoque]]&gt;=TAB_ESTOQUE[[#This Row],[Mínimo]],"Estoque Conforme",IF(TAB_ESTOQUE[[#This Row],[Estoque]]&lt;TAB_ESTOQUE[[#This Row],[Mínimo]],"Estoque em Nivel Minimo")))</f>
        <v>Estoque Conforme</v>
      </c>
      <c r="AC1104" s="110"/>
      <c r="AD1104" s="94"/>
      <c r="AE1104" s="82"/>
      <c r="AF1104" s="82"/>
    </row>
    <row r="1105" spans="1:32" ht="15" customHeight="1" x14ac:dyDescent="0.25">
      <c r="C1105" s="48"/>
      <c r="D1105" s="45" t="s">
        <v>7075</v>
      </c>
      <c r="E1105" s="46" t="s">
        <v>7422</v>
      </c>
      <c r="F1105" s="46"/>
      <c r="I1105" s="45" t="s">
        <v>7413</v>
      </c>
      <c r="O1105" s="46" t="s">
        <v>7414</v>
      </c>
      <c r="Q1105" s="137">
        <f>VLOOKUP(TAB_ESTOQUE[[#This Row],[Codigo]],TAB_ENTRADA[[Cod_2_Entrada]:[TOTAL_ENTRADA]],5,FALSE)-VLOOKUP(TAB_ESTOQUE[[#This Row],[Codigo]],TAB_SAIDA[[COD_2_SAIDA]:[TOTAL_SAIDA]],5,FALSE)</f>
        <v>1</v>
      </c>
      <c r="S1105" s="46"/>
      <c r="T1105" s="102">
        <v>1059</v>
      </c>
      <c r="U1105" s="103">
        <f>TAB_ESTOQUE[[#This Row],[Valor Unitario Estimado]]*TAB_ESTOQUE[[#This Row],[Estoque]]</f>
        <v>1059</v>
      </c>
      <c r="V1105" s="103"/>
      <c r="AA1105" s="138"/>
      <c r="AB1105" s="104" t="str">
        <f>IF(TAB_ESTOQUE[[#This Row],[Estoque]]=0,"Estoque Não Conforme",IF(TAB_ESTOQUE[[#This Row],[Estoque]]&gt;=TAB_ESTOQUE[[#This Row],[Mínimo]],"Estoque Conforme",IF(TAB_ESTOQUE[[#This Row],[Estoque]]&lt;TAB_ESTOQUE[[#This Row],[Mínimo]],"Estoque em Nivel Minimo")))</f>
        <v>Estoque Conforme</v>
      </c>
      <c r="AC1105" s="104"/>
      <c r="AE1105" s="82"/>
      <c r="AF1105" s="82"/>
    </row>
    <row r="1106" spans="1:32" ht="15" customHeight="1" x14ac:dyDescent="0.25">
      <c r="A1106" s="45">
        <v>1713</v>
      </c>
      <c r="B1106" s="47"/>
      <c r="C1106" s="46"/>
      <c r="D1106" s="45" t="s">
        <v>2566</v>
      </c>
      <c r="E1106" s="46" t="s">
        <v>736</v>
      </c>
      <c r="F1106" s="87"/>
      <c r="G1106" s="82"/>
      <c r="H1106" s="82"/>
      <c r="I1106" s="82" t="s">
        <v>8647</v>
      </c>
      <c r="J1106" s="82"/>
      <c r="K1106" s="82"/>
      <c r="L1106" s="82"/>
      <c r="M1106" s="82" t="s">
        <v>515</v>
      </c>
      <c r="N1106" s="82"/>
      <c r="O1106" s="87" t="s">
        <v>6435</v>
      </c>
      <c r="P1106" s="82" t="s">
        <v>1330</v>
      </c>
      <c r="Q1106" s="83">
        <f>VLOOKUP(TAB_ESTOQUE[[#This Row],[Codigo]],TAB_ENTRADA[[Cod_2_Entrada]:[TOTAL_ENTRADA]],5,FALSE)-VLOOKUP(TAB_ESTOQUE[[#This Row],[Codigo]],TAB_SAIDA[[COD_2_SAIDA]:[TOTAL_SAIDA]],5,FALSE)</f>
        <v>2</v>
      </c>
      <c r="R1106" s="87"/>
      <c r="S1106" s="87"/>
      <c r="T1106" s="90"/>
      <c r="U1106" s="91">
        <f>TAB_ESTOQUE[[#This Row],[Valor Unitario Estimado]]*TAB_ESTOQUE[[#This Row],[Estoque]]</f>
        <v>0</v>
      </c>
      <c r="V1106" s="91"/>
      <c r="W1106" s="85"/>
      <c r="X1106" s="85"/>
      <c r="Y1106" s="85"/>
      <c r="Z1106" s="85"/>
      <c r="AA1106" s="85"/>
      <c r="AB1106" s="85" t="str">
        <f>IF(TAB_ESTOQUE[[#This Row],[Estoque]]=0,"Estoque Não Conforme",IF(TAB_ESTOQUE[[#This Row],[Estoque]]&gt;=TAB_ESTOQUE[[#This Row],[Mínimo]],"Estoque Conforme",IF(TAB_ESTOQUE[[#This Row],[Estoque]]&lt;TAB_ESTOQUE[[#This Row],[Mínimo]],"Estoque em Nivel Minimo")))</f>
        <v>Estoque Conforme</v>
      </c>
      <c r="AC1106" s="85"/>
      <c r="AD1106" s="82"/>
      <c r="AE1106" s="82"/>
      <c r="AF1106" s="82"/>
    </row>
    <row r="1107" spans="1:32" ht="15" customHeight="1" x14ac:dyDescent="0.25">
      <c r="B1107" s="47"/>
      <c r="C1107" s="46"/>
      <c r="D1107" s="45" t="s">
        <v>2668</v>
      </c>
      <c r="E1107" s="46"/>
      <c r="F1107" s="87"/>
      <c r="G1107" s="82"/>
      <c r="H1107" s="82"/>
      <c r="I1107" s="82" t="s">
        <v>8664</v>
      </c>
      <c r="J1107" s="82"/>
      <c r="K1107" s="82" t="s">
        <v>1265</v>
      </c>
      <c r="L1107" s="82"/>
      <c r="M1107" s="82"/>
      <c r="N1107" s="82"/>
      <c r="O1107" s="87" t="s">
        <v>6435</v>
      </c>
      <c r="P1107" s="82" t="s">
        <v>1266</v>
      </c>
      <c r="Q1107" s="83">
        <f>VLOOKUP(TAB_ESTOQUE[[#This Row],[Codigo]],TAB_ENTRADA[[Cod_2_Entrada]:[TOTAL_ENTRADA]],5,FALSE)-VLOOKUP(TAB_ESTOQUE[[#This Row],[Codigo]],TAB_SAIDA[[COD_2_SAIDA]:[TOTAL_SAIDA]],5,FALSE)</f>
        <v>0</v>
      </c>
      <c r="R1107" s="87"/>
      <c r="S1107" s="87"/>
      <c r="T1107" s="90"/>
      <c r="U1107" s="91">
        <f>TAB_ESTOQUE[[#This Row],[Valor Unitario Estimado]]*TAB_ESTOQUE[[#This Row],[Estoque]]</f>
        <v>0</v>
      </c>
      <c r="V1107" s="91"/>
      <c r="W1107" s="85"/>
      <c r="X1107" s="85"/>
      <c r="Y1107" s="85"/>
      <c r="Z1107" s="85"/>
      <c r="AA1107" s="85"/>
      <c r="AB1107" s="96" t="str">
        <f>IF(TAB_ESTOQUE[[#This Row],[Estoque]]=0,"Estoque Não Conforme",IF(TAB_ESTOQUE[[#This Row],[Estoque]]&gt;=TAB_ESTOQUE[[#This Row],[Mínimo]],"Estoque Conforme",IF(TAB_ESTOQUE[[#This Row],[Estoque]]&lt;TAB_ESTOQUE[[#This Row],[Mínimo]],"Estoque em Nivel Minimo")))</f>
        <v>Estoque Não Conforme</v>
      </c>
      <c r="AC1107" s="85"/>
      <c r="AD1107" s="82"/>
      <c r="AE1107" s="82"/>
      <c r="AF1107" s="82"/>
    </row>
    <row r="1108" spans="1:32" s="106" customFormat="1" ht="15" customHeight="1" x14ac:dyDescent="0.25">
      <c r="A1108" s="45"/>
      <c r="B1108" s="45"/>
      <c r="C1108" s="48"/>
      <c r="D1108" s="45" t="s">
        <v>6928</v>
      </c>
      <c r="E1108" s="46"/>
      <c r="F1108" s="46"/>
      <c r="G1108" s="45"/>
      <c r="H1108" s="45"/>
      <c r="I1108" s="45" t="s">
        <v>7207</v>
      </c>
      <c r="J1108" s="45"/>
      <c r="K1108" s="45"/>
      <c r="L1108" s="45"/>
      <c r="M1108" s="45"/>
      <c r="N1108" s="45"/>
      <c r="O1108" s="46" t="s">
        <v>6435</v>
      </c>
      <c r="P1108" s="45"/>
      <c r="Q1108" s="137">
        <f>VLOOKUP(TAB_ESTOQUE[[#This Row],[Codigo]],TAB_ENTRADA[[Cod_2_Entrada]:[TOTAL_ENTRADA]],5,FALSE)-VLOOKUP(TAB_ESTOQUE[[#This Row],[Codigo]],TAB_SAIDA[[COD_2_SAIDA]:[TOTAL_SAIDA]],5,FALSE)</f>
        <v>1</v>
      </c>
      <c r="R1108" s="46"/>
      <c r="S1108" s="46"/>
      <c r="T1108" s="102">
        <v>887.22</v>
      </c>
      <c r="U1108" s="103">
        <f>TAB_ESTOQUE[[#This Row],[Valor Unitario Estimado]]*TAB_ESTOQUE[[#This Row],[Estoque]]</f>
        <v>887.22</v>
      </c>
      <c r="V1108" s="103"/>
      <c r="W1108" s="54"/>
      <c r="X1108" s="54"/>
      <c r="Y1108" s="54"/>
      <c r="Z1108" s="54"/>
      <c r="AA1108" s="138"/>
      <c r="AB1108" s="104" t="str">
        <f>IF(TAB_ESTOQUE[[#This Row],[Estoque]]=0,"Estoque Não Conforme",IF(TAB_ESTOQUE[[#This Row],[Estoque]]&gt;=TAB_ESTOQUE[[#This Row],[Mínimo]],"Estoque Conforme",IF(TAB_ESTOQUE[[#This Row],[Estoque]]&lt;TAB_ESTOQUE[[#This Row],[Mínimo]],"Estoque em Nivel Minimo")))</f>
        <v>Estoque Conforme</v>
      </c>
      <c r="AC1108" s="104"/>
      <c r="AD1108" s="45"/>
      <c r="AE1108" s="95"/>
      <c r="AF1108" s="95"/>
    </row>
    <row r="1109" spans="1:32" s="47" customFormat="1" ht="15" customHeight="1" x14ac:dyDescent="0.25">
      <c r="A1109" s="106" t="s">
        <v>1159</v>
      </c>
      <c r="B1109" s="106"/>
      <c r="C1109" s="116"/>
      <c r="D1109" s="106" t="s">
        <v>2625</v>
      </c>
      <c r="E1109" s="116" t="s">
        <v>1623</v>
      </c>
      <c r="F1109" s="118"/>
      <c r="G1109" s="95"/>
      <c r="H1109" s="95"/>
      <c r="I1109" s="95" t="s">
        <v>8656</v>
      </c>
      <c r="J1109" s="95"/>
      <c r="K1109" s="95"/>
      <c r="L1109" s="95"/>
      <c r="M1109" s="95"/>
      <c r="N1109" s="95"/>
      <c r="O1109" s="118" t="s">
        <v>6677</v>
      </c>
      <c r="P1109" s="95" t="s">
        <v>1237</v>
      </c>
      <c r="Q1109" s="154">
        <f>VLOOKUP(TAB_ESTOQUE[[#This Row],[Codigo]],TAB_ENTRADA[[Cod_2_Entrada]:[TOTAL_ENTRADA]],5,FALSE)-VLOOKUP(TAB_ESTOQUE[[#This Row],[Codigo]],TAB_SAIDA[[COD_2_SAIDA]:[TOTAL_SAIDA]],5,FALSE)</f>
        <v>6</v>
      </c>
      <c r="R1109" s="118"/>
      <c r="S1109" s="118"/>
      <c r="T1109" s="119"/>
      <c r="U1109" s="112">
        <f>TAB_ESTOQUE[[#This Row],[Valor Unitario Estimado]]*TAB_ESTOQUE[[#This Row],[Estoque]]</f>
        <v>0</v>
      </c>
      <c r="V1109" s="112"/>
      <c r="W1109" s="120"/>
      <c r="X1109" s="120"/>
      <c r="Y1109" s="120"/>
      <c r="Z1109" s="120"/>
      <c r="AA1109" s="120"/>
      <c r="AB1109" s="120" t="str">
        <f>IF(TAB_ESTOQUE[[#This Row],[Estoque]]=0,"Estoque Não Conforme",IF(TAB_ESTOQUE[[#This Row],[Estoque]]&gt;=TAB_ESTOQUE[[#This Row],[Mínimo]],"Estoque Conforme",IF(TAB_ESTOQUE[[#This Row],[Estoque]]&lt;TAB_ESTOQUE[[#This Row],[Mínimo]],"Estoque em Nivel Minimo")))</f>
        <v>Estoque Conforme</v>
      </c>
      <c r="AC1109" s="120"/>
      <c r="AD1109" s="95"/>
      <c r="AE1109" s="94"/>
      <c r="AF1109" s="94"/>
    </row>
    <row r="1110" spans="1:32" ht="15" customHeight="1" x14ac:dyDescent="0.25">
      <c r="A1110" s="106">
        <v>1027</v>
      </c>
      <c r="B1110" s="106"/>
      <c r="C1110" s="116"/>
      <c r="D1110" s="106" t="s">
        <v>2195</v>
      </c>
      <c r="E1110" s="116" t="s">
        <v>7267</v>
      </c>
      <c r="F1110" s="118"/>
      <c r="G1110" s="95"/>
      <c r="H1110" s="95"/>
      <c r="I1110" s="95" t="s">
        <v>621</v>
      </c>
      <c r="J1110" s="95"/>
      <c r="K1110" s="95"/>
      <c r="L1110" s="95"/>
      <c r="M1110" s="95"/>
      <c r="N1110" s="95"/>
      <c r="O1110" s="118" t="s">
        <v>6556</v>
      </c>
      <c r="P1110" s="95" t="s">
        <v>264</v>
      </c>
      <c r="Q1110" s="154">
        <f>VLOOKUP(TAB_ESTOQUE[[#This Row],[Codigo]],TAB_ENTRADA[[Cod_2_Entrada]:[TOTAL_ENTRADA]],5,FALSE)-VLOOKUP(TAB_ESTOQUE[[#This Row],[Codigo]],TAB_SAIDA[[COD_2_SAIDA]:[TOTAL_SAIDA]],5,FALSE)</f>
        <v>1</v>
      </c>
      <c r="R1110" s="118"/>
      <c r="S1110" s="118"/>
      <c r="T1110" s="119"/>
      <c r="U1110" s="112">
        <f>TAB_ESTOQUE[[#This Row],[Valor Unitario Estimado]]*TAB_ESTOQUE[[#This Row],[Estoque]]</f>
        <v>0</v>
      </c>
      <c r="V1110" s="112"/>
      <c r="W1110" s="120"/>
      <c r="X1110" s="120"/>
      <c r="Y1110" s="120"/>
      <c r="Z1110" s="120"/>
      <c r="AA1110" s="120"/>
      <c r="AB1110" s="120" t="str">
        <f>IF(TAB_ESTOQUE[[#This Row],[Estoque]]=0,"Estoque Não Conforme",IF(TAB_ESTOQUE[[#This Row],[Estoque]]&gt;=TAB_ESTOQUE[[#This Row],[Mínimo]],"Estoque Conforme",IF(TAB_ESTOQUE[[#This Row],[Estoque]]&lt;TAB_ESTOQUE[[#This Row],[Mínimo]],"Estoque em Nivel Minimo")))</f>
        <v>Estoque Conforme</v>
      </c>
      <c r="AC1110" s="120"/>
      <c r="AD1110" s="95"/>
      <c r="AE1110" s="82"/>
      <c r="AF1110" s="82"/>
    </row>
    <row r="1111" spans="1:32" ht="15" customHeight="1" x14ac:dyDescent="0.25">
      <c r="A1111" s="45">
        <v>1325</v>
      </c>
      <c r="B1111" s="47"/>
      <c r="C1111" s="46"/>
      <c r="D1111" s="45" t="s">
        <v>2379</v>
      </c>
      <c r="E1111" s="46" t="s">
        <v>7345</v>
      </c>
      <c r="F1111" s="87"/>
      <c r="G1111" s="82"/>
      <c r="H1111" s="82"/>
      <c r="I1111" s="82" t="s">
        <v>8602</v>
      </c>
      <c r="J1111" s="82"/>
      <c r="K1111" s="82"/>
      <c r="L1111" s="82"/>
      <c r="M1111" s="82"/>
      <c r="N1111" s="82"/>
      <c r="O1111" s="87" t="s">
        <v>6556</v>
      </c>
      <c r="P1111" s="82" t="s">
        <v>1058</v>
      </c>
      <c r="Q1111" s="83">
        <f>VLOOKUP(TAB_ESTOQUE[[#This Row],[Codigo]],TAB_ENTRADA[[Cod_2_Entrada]:[TOTAL_ENTRADA]],5,FALSE)-VLOOKUP(TAB_ESTOQUE[[#This Row],[Codigo]],TAB_SAIDA[[COD_2_SAIDA]:[TOTAL_SAIDA]],5,FALSE)</f>
        <v>1</v>
      </c>
      <c r="R1111" s="87"/>
      <c r="S1111" s="87"/>
      <c r="T1111" s="90"/>
      <c r="U1111" s="91">
        <f>TAB_ESTOQUE[[#This Row],[Valor Unitario Estimado]]*TAB_ESTOQUE[[#This Row],[Estoque]]</f>
        <v>0</v>
      </c>
      <c r="V1111" s="91"/>
      <c r="W1111" s="85"/>
      <c r="X1111" s="85"/>
      <c r="Y1111" s="85"/>
      <c r="Z1111" s="85"/>
      <c r="AA1111" s="85"/>
      <c r="AB1111" s="85" t="str">
        <f>IF(TAB_ESTOQUE[[#This Row],[Estoque]]=0,"Estoque Não Conforme",IF(TAB_ESTOQUE[[#This Row],[Estoque]]&gt;=TAB_ESTOQUE[[#This Row],[Mínimo]],"Estoque Conforme",IF(TAB_ESTOQUE[[#This Row],[Estoque]]&lt;TAB_ESTOQUE[[#This Row],[Mínimo]],"Estoque em Nivel Minimo")))</f>
        <v>Estoque Conforme</v>
      </c>
      <c r="AC1111" s="85"/>
      <c r="AD1111" s="82"/>
      <c r="AE1111" s="82"/>
      <c r="AF1111" s="82"/>
    </row>
    <row r="1112" spans="1:32" ht="15" customHeight="1" x14ac:dyDescent="0.25">
      <c r="A1112" s="106" t="s">
        <v>1159</v>
      </c>
      <c r="B1112" s="106"/>
      <c r="C1112" s="116"/>
      <c r="D1112" s="106" t="s">
        <v>2649</v>
      </c>
      <c r="E1112" s="116"/>
      <c r="F1112" s="118"/>
      <c r="G1112" s="95"/>
      <c r="H1112" s="95"/>
      <c r="I1112" s="95" t="s">
        <v>8659</v>
      </c>
      <c r="J1112" s="95"/>
      <c r="K1112" s="95"/>
      <c r="L1112" s="95"/>
      <c r="M1112" s="95"/>
      <c r="N1112" s="95"/>
      <c r="O1112" s="118" t="s">
        <v>6556</v>
      </c>
      <c r="P1112" s="204" t="s">
        <v>1185</v>
      </c>
      <c r="Q1112" s="154">
        <f>VLOOKUP(TAB_ESTOQUE[[#This Row],[Codigo]],TAB_ENTRADA[[Cod_2_Entrada]:[TOTAL_ENTRADA]],5,FALSE)-VLOOKUP(TAB_ESTOQUE[[#This Row],[Codigo]],TAB_SAIDA[[COD_2_SAIDA]:[TOTAL_SAIDA]],5,FALSE)</f>
        <v>1</v>
      </c>
      <c r="R1112" s="118"/>
      <c r="S1112" s="118"/>
      <c r="T1112" s="119"/>
      <c r="U1112" s="112">
        <f>TAB_ESTOQUE[[#This Row],[Valor Unitario Estimado]]*TAB_ESTOQUE[[#This Row],[Estoque]]</f>
        <v>0</v>
      </c>
      <c r="V1112" s="112"/>
      <c r="W1112" s="120"/>
      <c r="X1112" s="120"/>
      <c r="Y1112" s="120"/>
      <c r="Z1112" s="120"/>
      <c r="AA1112" s="120"/>
      <c r="AB1112" s="120" t="str">
        <f>IF(TAB_ESTOQUE[[#This Row],[Estoque]]=0,"Estoque Não Conforme",IF(TAB_ESTOQUE[[#This Row],[Estoque]]&gt;=TAB_ESTOQUE[[#This Row],[Mínimo]],"Estoque Conforme",IF(TAB_ESTOQUE[[#This Row],[Estoque]]&lt;TAB_ESTOQUE[[#This Row],[Mínimo]],"Estoque em Nivel Minimo")))</f>
        <v>Estoque Conforme</v>
      </c>
      <c r="AC1112" s="120"/>
      <c r="AD1112" s="95"/>
      <c r="AE1112" s="82"/>
      <c r="AF1112" s="82"/>
    </row>
    <row r="1113" spans="1:32" ht="14.25" customHeight="1" x14ac:dyDescent="0.25">
      <c r="A1113" s="45">
        <v>738</v>
      </c>
      <c r="B1113" s="47"/>
      <c r="C1113" s="46"/>
      <c r="D1113" s="45" t="s">
        <v>2267</v>
      </c>
      <c r="E1113" s="46" t="s">
        <v>6826</v>
      </c>
      <c r="F1113" s="87"/>
      <c r="G1113" s="82"/>
      <c r="H1113" s="82"/>
      <c r="I1113" s="82" t="s">
        <v>7547</v>
      </c>
      <c r="J1113" s="82"/>
      <c r="K1113" s="82"/>
      <c r="L1113" s="82"/>
      <c r="M1113" s="82" t="s">
        <v>209</v>
      </c>
      <c r="N1113" s="82"/>
      <c r="O1113" s="87" t="s">
        <v>6598</v>
      </c>
      <c r="P1113" s="82" t="s">
        <v>523</v>
      </c>
      <c r="Q1113" s="83">
        <f>VLOOKUP(TAB_ESTOQUE[[#This Row],[Codigo]],TAB_ENTRADA[[Cod_2_Entrada]:[TOTAL_ENTRADA]],5,FALSE)-VLOOKUP(TAB_ESTOQUE[[#This Row],[Codigo]],TAB_SAIDA[[COD_2_SAIDA]:[TOTAL_SAIDA]],5,FALSE)</f>
        <v>6</v>
      </c>
      <c r="R1113" s="87"/>
      <c r="S1113" s="87"/>
      <c r="T1113" s="90">
        <v>2642</v>
      </c>
      <c r="U1113" s="91">
        <f>TAB_ESTOQUE[[#This Row],[Valor Unitario Estimado]]*TAB_ESTOQUE[[#This Row],[Estoque]]</f>
        <v>15852</v>
      </c>
      <c r="V1113" s="91"/>
      <c r="W1113" s="85"/>
      <c r="X1113" s="85"/>
      <c r="Y1113" s="85"/>
      <c r="Z1113" s="85"/>
      <c r="AA1113" s="85"/>
      <c r="AB1113" s="85" t="str">
        <f>IF(TAB_ESTOQUE[[#This Row],[Estoque]]=0,"Estoque Não Conforme",IF(TAB_ESTOQUE[[#This Row],[Estoque]]&gt;=TAB_ESTOQUE[[#This Row],[Mínimo]],"Estoque Conforme",IF(TAB_ESTOQUE[[#This Row],[Estoque]]&lt;TAB_ESTOQUE[[#This Row],[Mínimo]],"Estoque em Nivel Minimo")))</f>
        <v>Estoque Conforme</v>
      </c>
      <c r="AC1113" s="85"/>
      <c r="AD1113" s="82"/>
      <c r="AE1113" s="82"/>
      <c r="AF1113" s="82"/>
    </row>
    <row r="1114" spans="1:32" ht="15" customHeight="1" x14ac:dyDescent="0.25">
      <c r="A1114" s="45">
        <v>1235</v>
      </c>
      <c r="B1114" s="47"/>
      <c r="C1114" s="46"/>
      <c r="D1114" s="45" t="s">
        <v>2101</v>
      </c>
      <c r="E1114" s="46" t="s">
        <v>6766</v>
      </c>
      <c r="F1114" s="87"/>
      <c r="G1114" s="82"/>
      <c r="H1114" s="82"/>
      <c r="I1114" s="82" t="s">
        <v>1452</v>
      </c>
      <c r="J1114" s="82"/>
      <c r="K1114" s="82"/>
      <c r="L1114" s="82"/>
      <c r="M1114" s="82"/>
      <c r="N1114" s="82"/>
      <c r="O1114" s="87" t="s">
        <v>6712</v>
      </c>
      <c r="P1114" s="82" t="s">
        <v>952</v>
      </c>
      <c r="Q1114" s="83">
        <f>VLOOKUP(TAB_ESTOQUE[[#This Row],[Codigo]],TAB_ENTRADA[[Cod_2_Entrada]:[TOTAL_ENTRADA]],5,FALSE)-VLOOKUP(TAB_ESTOQUE[[#This Row],[Codigo]],TAB_SAIDA[[COD_2_SAIDA]:[TOTAL_SAIDA]],5,FALSE)</f>
        <v>10</v>
      </c>
      <c r="R1114" s="87"/>
      <c r="S1114" s="87"/>
      <c r="T1114" s="90">
        <v>250</v>
      </c>
      <c r="U1114" s="91">
        <f>TAB_ESTOQUE[[#This Row],[Valor Unitario Estimado]]*TAB_ESTOQUE[[#This Row],[Estoque]]</f>
        <v>2500</v>
      </c>
      <c r="V1114" s="91"/>
      <c r="W1114" s="85"/>
      <c r="X1114" s="85"/>
      <c r="Y1114" s="85"/>
      <c r="Z1114" s="85"/>
      <c r="AA1114" s="85"/>
      <c r="AB1114" s="85" t="str">
        <f>IF(TAB_ESTOQUE[[#This Row],[Estoque]]=0,"Estoque Não Conforme",IF(TAB_ESTOQUE[[#This Row],[Estoque]]&gt;=TAB_ESTOQUE[[#This Row],[Mínimo]],"Estoque Conforme",IF(TAB_ESTOQUE[[#This Row],[Estoque]]&lt;TAB_ESTOQUE[[#This Row],[Mínimo]],"Estoque em Nivel Minimo")))</f>
        <v>Estoque Conforme</v>
      </c>
      <c r="AC1114" s="85"/>
      <c r="AD1114" s="82"/>
      <c r="AE1114" s="82"/>
      <c r="AF1114" s="82"/>
    </row>
    <row r="1115" spans="1:32" ht="15" customHeight="1" x14ac:dyDescent="0.25">
      <c r="A1115" s="45">
        <v>523</v>
      </c>
      <c r="B1115" s="47"/>
      <c r="C1115" s="46"/>
      <c r="D1115" s="45" t="s">
        <v>2068</v>
      </c>
      <c r="E1115" s="46" t="s">
        <v>7</v>
      </c>
      <c r="F1115" s="87"/>
      <c r="G1115" s="82"/>
      <c r="H1115" s="82"/>
      <c r="I1115" s="94" t="s">
        <v>8508</v>
      </c>
      <c r="J1115" s="82"/>
      <c r="K1115" s="82"/>
      <c r="L1115" s="82"/>
      <c r="M1115" s="82" t="s">
        <v>163</v>
      </c>
      <c r="N1115" s="82"/>
      <c r="O1115" s="87" t="s">
        <v>6649</v>
      </c>
      <c r="P1115" s="82" t="s">
        <v>303</v>
      </c>
      <c r="Q1115" s="83">
        <f>VLOOKUP(TAB_ESTOQUE[[#This Row],[Codigo]],TAB_ENTRADA[[Cod_2_Entrada]:[TOTAL_ENTRADA]],5,FALSE)-VLOOKUP(TAB_ESTOQUE[[#This Row],[Codigo]],TAB_SAIDA[[COD_2_SAIDA]:[TOTAL_SAIDA]],5,FALSE)</f>
        <v>3</v>
      </c>
      <c r="R1115" s="87"/>
      <c r="S1115" s="87"/>
      <c r="T1115" s="90"/>
      <c r="U1115" s="91">
        <f>TAB_ESTOQUE[[#This Row],[Valor Unitario Estimado]]*TAB_ESTOQUE[[#This Row],[Estoque]]</f>
        <v>0</v>
      </c>
      <c r="V1115" s="91"/>
      <c r="W1115" s="85"/>
      <c r="X1115" s="85"/>
      <c r="Y1115" s="85"/>
      <c r="Z1115" s="85"/>
      <c r="AA1115" s="85"/>
      <c r="AB1115" s="85" t="str">
        <f>IF(TAB_ESTOQUE[[#This Row],[Estoque]]=0,"Estoque Não Conforme",IF(TAB_ESTOQUE[[#This Row],[Estoque]]&gt;=TAB_ESTOQUE[[#This Row],[Mínimo]],"Estoque Conforme",IF(TAB_ESTOQUE[[#This Row],[Estoque]]&lt;TAB_ESTOQUE[[#This Row],[Mínimo]],"Estoque em Nivel Minimo")))</f>
        <v>Estoque Conforme</v>
      </c>
      <c r="AC1115" s="85"/>
      <c r="AD1115" s="82"/>
      <c r="AE1115" s="82"/>
      <c r="AF1115" s="82"/>
    </row>
    <row r="1116" spans="1:32" ht="15" customHeight="1" x14ac:dyDescent="0.25">
      <c r="A1116" s="45">
        <v>500</v>
      </c>
      <c r="B1116" s="47"/>
      <c r="C1116" s="46"/>
      <c r="D1116" s="45" t="s">
        <v>2089</v>
      </c>
      <c r="E1116" s="46" t="s">
        <v>6826</v>
      </c>
      <c r="F1116" s="87"/>
      <c r="G1116" s="82"/>
      <c r="H1116" s="82"/>
      <c r="I1116" s="92" t="s">
        <v>8510</v>
      </c>
      <c r="J1116" s="82"/>
      <c r="K1116" s="82"/>
      <c r="L1116" s="82"/>
      <c r="M1116" s="82"/>
      <c r="N1116" s="82"/>
      <c r="O1116" s="87" t="s">
        <v>6649</v>
      </c>
      <c r="P1116" s="82" t="s">
        <v>282</v>
      </c>
      <c r="Q1116" s="83">
        <f>VLOOKUP(TAB_ESTOQUE[[#This Row],[Codigo]],TAB_ENTRADA[[Cod_2_Entrada]:[TOTAL_ENTRADA]],5,FALSE)-VLOOKUP(TAB_ESTOQUE[[#This Row],[Codigo]],TAB_SAIDA[[COD_2_SAIDA]:[TOTAL_SAIDA]],5,FALSE)</f>
        <v>6</v>
      </c>
      <c r="R1116" s="87"/>
      <c r="S1116" s="87"/>
      <c r="T1116" s="90">
        <v>50</v>
      </c>
      <c r="U1116" s="91">
        <f>TAB_ESTOQUE[[#This Row],[Valor Unitario Estimado]]*TAB_ESTOQUE[[#This Row],[Estoque]]</f>
        <v>300</v>
      </c>
      <c r="V1116" s="91"/>
      <c r="W1116" s="85"/>
      <c r="X1116" s="85"/>
      <c r="Y1116" s="85"/>
      <c r="Z1116" s="85"/>
      <c r="AA1116" s="85"/>
      <c r="AB1116" s="85" t="str">
        <f>IF(TAB_ESTOQUE[[#This Row],[Estoque]]=0,"Estoque Não Conforme",IF(TAB_ESTOQUE[[#This Row],[Estoque]]&gt;=TAB_ESTOQUE[[#This Row],[Mínimo]],"Estoque Conforme",IF(TAB_ESTOQUE[[#This Row],[Estoque]]&lt;TAB_ESTOQUE[[#This Row],[Mínimo]],"Estoque em Nivel Minimo")))</f>
        <v>Estoque Conforme</v>
      </c>
      <c r="AC1116" s="85"/>
      <c r="AD1116" s="82"/>
      <c r="AE1116" s="82"/>
      <c r="AF1116" s="82"/>
    </row>
    <row r="1117" spans="1:32" ht="15" customHeight="1" x14ac:dyDescent="0.25">
      <c r="A1117" s="45">
        <v>504</v>
      </c>
      <c r="B1117" s="47"/>
      <c r="C1117" s="46"/>
      <c r="D1117" s="45" t="s">
        <v>2090</v>
      </c>
      <c r="E1117" s="46" t="s">
        <v>7</v>
      </c>
      <c r="F1117" s="87"/>
      <c r="G1117" s="82"/>
      <c r="H1117" s="82"/>
      <c r="I1117" s="82" t="s">
        <v>8511</v>
      </c>
      <c r="J1117" s="82"/>
      <c r="K1117" s="82"/>
      <c r="L1117" s="82"/>
      <c r="M1117" s="82"/>
      <c r="N1117" s="82"/>
      <c r="O1117" s="87" t="s">
        <v>6649</v>
      </c>
      <c r="P1117" s="82" t="s">
        <v>282</v>
      </c>
      <c r="Q1117" s="83">
        <f>VLOOKUP(TAB_ESTOQUE[[#This Row],[Codigo]],TAB_ENTRADA[[Cod_2_Entrada]:[TOTAL_ENTRADA]],5,FALSE)-VLOOKUP(TAB_ESTOQUE[[#This Row],[Codigo]],TAB_SAIDA[[COD_2_SAIDA]:[TOTAL_SAIDA]],5,FALSE)</f>
        <v>2</v>
      </c>
      <c r="R1117" s="87"/>
      <c r="S1117" s="87"/>
      <c r="T1117" s="90"/>
      <c r="U1117" s="91">
        <f>TAB_ESTOQUE[[#This Row],[Valor Unitario Estimado]]*TAB_ESTOQUE[[#This Row],[Estoque]]</f>
        <v>0</v>
      </c>
      <c r="V1117" s="91"/>
      <c r="W1117" s="85"/>
      <c r="X1117" s="85"/>
      <c r="Y1117" s="85"/>
      <c r="Z1117" s="85"/>
      <c r="AA1117" s="85"/>
      <c r="AB1117" s="85" t="str">
        <f>IF(TAB_ESTOQUE[[#This Row],[Estoque]]=0,"Estoque Não Conforme",IF(TAB_ESTOQUE[[#This Row],[Estoque]]&gt;=TAB_ESTOQUE[[#This Row],[Mínimo]],"Estoque Conforme",IF(TAB_ESTOQUE[[#This Row],[Estoque]]&lt;TAB_ESTOQUE[[#This Row],[Mínimo]],"Estoque em Nivel Minimo")))</f>
        <v>Estoque Conforme</v>
      </c>
      <c r="AC1117" s="85"/>
      <c r="AD1117" s="82"/>
      <c r="AE1117" s="82"/>
      <c r="AF1117" s="82"/>
    </row>
    <row r="1118" spans="1:32" ht="15" customHeight="1" x14ac:dyDescent="0.25">
      <c r="A1118" s="45">
        <v>1348</v>
      </c>
      <c r="B1118" s="47"/>
      <c r="C1118" s="46"/>
      <c r="D1118" s="45" t="s">
        <v>2135</v>
      </c>
      <c r="E1118" s="46" t="s">
        <v>7345</v>
      </c>
      <c r="F1118" s="87"/>
      <c r="G1118" s="82"/>
      <c r="H1118" s="82"/>
      <c r="I1118" s="82" t="s">
        <v>8520</v>
      </c>
      <c r="J1118" s="82"/>
      <c r="K1118" s="82"/>
      <c r="L1118" s="82"/>
      <c r="M1118" s="82" t="s">
        <v>139</v>
      </c>
      <c r="N1118" s="82"/>
      <c r="O1118" s="87" t="s">
        <v>6649</v>
      </c>
      <c r="P1118" s="82" t="s">
        <v>1084</v>
      </c>
      <c r="Q1118" s="83">
        <f>VLOOKUP(TAB_ESTOQUE[[#This Row],[Codigo]],TAB_ENTRADA[[Cod_2_Entrada]:[TOTAL_ENTRADA]],5,FALSE)-VLOOKUP(TAB_ESTOQUE[[#This Row],[Codigo]],TAB_SAIDA[[COD_2_SAIDA]:[TOTAL_SAIDA]],5,FALSE)</f>
        <v>1</v>
      </c>
      <c r="R1118" s="87"/>
      <c r="S1118" s="87"/>
      <c r="T1118" s="90">
        <v>10</v>
      </c>
      <c r="U1118" s="91">
        <f>TAB_ESTOQUE[[#This Row],[Valor Unitario Estimado]]*TAB_ESTOQUE[[#This Row],[Estoque]]</f>
        <v>10</v>
      </c>
      <c r="V1118" s="91"/>
      <c r="W1118" s="85"/>
      <c r="X1118" s="85"/>
      <c r="Y1118" s="85"/>
      <c r="Z1118" s="85"/>
      <c r="AA1118" s="85"/>
      <c r="AB1118" s="85" t="str">
        <f>IF(TAB_ESTOQUE[[#This Row],[Estoque]]=0,"Estoque Não Conforme",IF(TAB_ESTOQUE[[#This Row],[Estoque]]&gt;=TAB_ESTOQUE[[#This Row],[Mínimo]],"Estoque Conforme",IF(TAB_ESTOQUE[[#This Row],[Estoque]]&lt;TAB_ESTOQUE[[#This Row],[Mínimo]],"Estoque em Nivel Minimo")))</f>
        <v>Estoque Conforme</v>
      </c>
      <c r="AC1118" s="85"/>
      <c r="AD1118" s="82"/>
      <c r="AE1118" s="82"/>
      <c r="AF1118" s="82"/>
    </row>
    <row r="1119" spans="1:32" ht="15" customHeight="1" x14ac:dyDescent="0.25">
      <c r="A1119" s="45">
        <v>490</v>
      </c>
      <c r="B1119" s="47"/>
      <c r="C1119" s="46"/>
      <c r="D1119" s="45" t="s">
        <v>2188</v>
      </c>
      <c r="E1119" s="46" t="s">
        <v>1079</v>
      </c>
      <c r="F1119" s="87"/>
      <c r="G1119" s="82"/>
      <c r="H1119" s="82"/>
      <c r="I1119" s="82" t="s">
        <v>8537</v>
      </c>
      <c r="J1119" s="82"/>
      <c r="K1119" s="82"/>
      <c r="L1119" s="82"/>
      <c r="M1119" s="82" t="s">
        <v>139</v>
      </c>
      <c r="N1119" s="82"/>
      <c r="O1119" s="87" t="s">
        <v>6649</v>
      </c>
      <c r="P1119" s="82" t="s">
        <v>272</v>
      </c>
      <c r="Q1119" s="83">
        <f>VLOOKUP(TAB_ESTOQUE[[#This Row],[Codigo]],TAB_ENTRADA[[Cod_2_Entrada]:[TOTAL_ENTRADA]],5,FALSE)-VLOOKUP(TAB_ESTOQUE[[#This Row],[Codigo]],TAB_SAIDA[[COD_2_SAIDA]:[TOTAL_SAIDA]],5,FALSE)</f>
        <v>1</v>
      </c>
      <c r="R1119" s="87"/>
      <c r="S1119" s="87"/>
      <c r="T1119" s="90"/>
      <c r="U1119" s="91">
        <f>TAB_ESTOQUE[[#This Row],[Valor Unitario Estimado]]*TAB_ESTOQUE[[#This Row],[Estoque]]</f>
        <v>0</v>
      </c>
      <c r="V1119" s="91"/>
      <c r="W1119" s="85"/>
      <c r="X1119" s="85"/>
      <c r="Y1119" s="85"/>
      <c r="Z1119" s="85"/>
      <c r="AA1119" s="85"/>
      <c r="AB1119" s="85" t="str">
        <f>IF(TAB_ESTOQUE[[#This Row],[Estoque]]=0,"Estoque Não Conforme",IF(TAB_ESTOQUE[[#This Row],[Estoque]]&gt;=TAB_ESTOQUE[[#This Row],[Mínimo]],"Estoque Conforme",IF(TAB_ESTOQUE[[#This Row],[Estoque]]&lt;TAB_ESTOQUE[[#This Row],[Mínimo]],"Estoque em Nivel Minimo")))</f>
        <v>Estoque Conforme</v>
      </c>
      <c r="AC1119" s="85"/>
      <c r="AD1119" s="82"/>
      <c r="AE1119" s="82"/>
      <c r="AF1119" s="82"/>
    </row>
    <row r="1120" spans="1:32" s="106" customFormat="1" ht="15" customHeight="1" x14ac:dyDescent="0.25">
      <c r="A1120" s="45">
        <v>488</v>
      </c>
      <c r="B1120" s="47"/>
      <c r="C1120" s="46"/>
      <c r="D1120" s="45" t="s">
        <v>2189</v>
      </c>
      <c r="E1120" s="46" t="s">
        <v>7</v>
      </c>
      <c r="F1120" s="87"/>
      <c r="G1120" s="82"/>
      <c r="H1120" s="82"/>
      <c r="I1120" s="82" t="s">
        <v>8538</v>
      </c>
      <c r="J1120" s="82"/>
      <c r="K1120" s="82"/>
      <c r="L1120" s="82"/>
      <c r="M1120" s="82" t="s">
        <v>139</v>
      </c>
      <c r="N1120" s="82"/>
      <c r="O1120" s="87" t="s">
        <v>6649</v>
      </c>
      <c r="P1120" s="82" t="s">
        <v>270</v>
      </c>
      <c r="Q1120" s="83">
        <f>VLOOKUP(TAB_ESTOQUE[[#This Row],[Codigo]],TAB_ENTRADA[[Cod_2_Entrada]:[TOTAL_ENTRADA]],5,FALSE)-VLOOKUP(TAB_ESTOQUE[[#This Row],[Codigo]],TAB_SAIDA[[COD_2_SAIDA]:[TOTAL_SAIDA]],5,FALSE)</f>
        <v>8</v>
      </c>
      <c r="R1120" s="87"/>
      <c r="S1120" s="87"/>
      <c r="T1120" s="90"/>
      <c r="U1120" s="91">
        <f>TAB_ESTOQUE[[#This Row],[Valor Unitario Estimado]]*TAB_ESTOQUE[[#This Row],[Estoque]]</f>
        <v>0</v>
      </c>
      <c r="V1120" s="91"/>
      <c r="W1120" s="85"/>
      <c r="X1120" s="85"/>
      <c r="Y1120" s="85"/>
      <c r="Z1120" s="85"/>
      <c r="AA1120" s="85"/>
      <c r="AB1120" s="85" t="str">
        <f>IF(TAB_ESTOQUE[[#This Row],[Estoque]]=0,"Estoque Não Conforme",IF(TAB_ESTOQUE[[#This Row],[Estoque]]&gt;=TAB_ESTOQUE[[#This Row],[Mínimo]],"Estoque Conforme",IF(TAB_ESTOQUE[[#This Row],[Estoque]]&lt;TAB_ESTOQUE[[#This Row],[Mínimo]],"Estoque em Nivel Minimo")))</f>
        <v>Estoque Conforme</v>
      </c>
      <c r="AC1120" s="85"/>
      <c r="AD1120" s="82"/>
      <c r="AE1120" s="95"/>
      <c r="AF1120" s="95"/>
    </row>
    <row r="1121" spans="1:32" ht="15" customHeight="1" x14ac:dyDescent="0.25">
      <c r="A1121" s="45">
        <v>474</v>
      </c>
      <c r="B1121" s="47"/>
      <c r="C1121" s="46"/>
      <c r="D1121" s="45" t="s">
        <v>2235</v>
      </c>
      <c r="E1121" s="46"/>
      <c r="F1121" s="87"/>
      <c r="G1121" s="82"/>
      <c r="H1121" s="82"/>
      <c r="I1121" s="82" t="s">
        <v>8546</v>
      </c>
      <c r="J1121" s="82"/>
      <c r="K1121" s="82"/>
      <c r="L1121" s="82"/>
      <c r="M1121" s="82" t="s">
        <v>254</v>
      </c>
      <c r="N1121" s="82"/>
      <c r="O1121" s="87" t="s">
        <v>6649</v>
      </c>
      <c r="P1121" s="82" t="s">
        <v>256</v>
      </c>
      <c r="Q1121" s="83">
        <f>VLOOKUP(TAB_ESTOQUE[[#This Row],[Codigo]],TAB_ENTRADA[[Cod_2_Entrada]:[TOTAL_ENTRADA]],5,FALSE)-VLOOKUP(TAB_ESTOQUE[[#This Row],[Codigo]],TAB_SAIDA[[COD_2_SAIDA]:[TOTAL_SAIDA]],5,FALSE)</f>
        <v>13</v>
      </c>
      <c r="R1121" s="87"/>
      <c r="S1121" s="87"/>
      <c r="T1121" s="90"/>
      <c r="U1121" s="91">
        <f>TAB_ESTOQUE[[#This Row],[Valor Unitario Estimado]]*TAB_ESTOQUE[[#This Row],[Estoque]]</f>
        <v>0</v>
      </c>
      <c r="V1121" s="91"/>
      <c r="W1121" s="85"/>
      <c r="X1121" s="85"/>
      <c r="Y1121" s="85"/>
      <c r="Z1121" s="85"/>
      <c r="AA1121" s="85"/>
      <c r="AB1121" s="85" t="str">
        <f>IF(TAB_ESTOQUE[[#This Row],[Estoque]]=0,"Estoque Não Conforme",IF(TAB_ESTOQUE[[#This Row],[Estoque]]&gt;=TAB_ESTOQUE[[#This Row],[Mínimo]],"Estoque Conforme",IF(TAB_ESTOQUE[[#This Row],[Estoque]]&lt;TAB_ESTOQUE[[#This Row],[Mínimo]],"Estoque em Nivel Minimo")))</f>
        <v>Estoque Conforme</v>
      </c>
      <c r="AC1121" s="85"/>
      <c r="AD1121" s="82"/>
      <c r="AE1121" s="82"/>
      <c r="AF1121" s="82"/>
    </row>
    <row r="1122" spans="1:32" ht="15" customHeight="1" x14ac:dyDescent="0.25">
      <c r="B1122" s="47"/>
      <c r="C1122" s="46"/>
      <c r="D1122" s="45" t="s">
        <v>2707</v>
      </c>
      <c r="E1122" s="46" t="s">
        <v>3067</v>
      </c>
      <c r="F1122" s="87"/>
      <c r="G1122" s="82"/>
      <c r="H1122" s="82"/>
      <c r="I1122" s="82" t="s">
        <v>3076</v>
      </c>
      <c r="J1122" s="82"/>
      <c r="K1122" s="82"/>
      <c r="L1122" s="82"/>
      <c r="M1122" s="82"/>
      <c r="N1122" s="82"/>
      <c r="O1122" s="87" t="s">
        <v>6649</v>
      </c>
      <c r="P1122" s="82" t="s">
        <v>1307</v>
      </c>
      <c r="Q1122" s="83">
        <f>VLOOKUP(TAB_ESTOQUE[[#This Row],[Codigo]],TAB_ENTRADA[[Cod_2_Entrada]:[TOTAL_ENTRADA]],5,FALSE)-VLOOKUP(TAB_ESTOQUE[[#This Row],[Codigo]],TAB_SAIDA[[COD_2_SAIDA]:[TOTAL_SAIDA]],5,FALSE)</f>
        <v>0</v>
      </c>
      <c r="R1122" s="87"/>
      <c r="S1122" s="87"/>
      <c r="T1122" s="90"/>
      <c r="U1122" s="91">
        <f>TAB_ESTOQUE[[#This Row],[Valor Unitario Estimado]]*TAB_ESTOQUE[[#This Row],[Estoque]]</f>
        <v>0</v>
      </c>
      <c r="V1122" s="91"/>
      <c r="W1122" s="85"/>
      <c r="X1122" s="85"/>
      <c r="Y1122" s="85"/>
      <c r="Z1122" s="85"/>
      <c r="AA1122" s="85"/>
      <c r="AB1122" s="96" t="str">
        <f>IF(TAB_ESTOQUE[[#This Row],[Estoque]]=0,"Estoque Não Conforme",IF(TAB_ESTOQUE[[#This Row],[Estoque]]&gt;=TAB_ESTOQUE[[#This Row],[Mínimo]],"Estoque Conforme",IF(TAB_ESTOQUE[[#This Row],[Estoque]]&lt;TAB_ESTOQUE[[#This Row],[Mínimo]],"Estoque em Nivel Minimo")))</f>
        <v>Estoque Não Conforme</v>
      </c>
      <c r="AC1122" s="85"/>
      <c r="AD1122" s="82"/>
      <c r="AE1122" s="82"/>
      <c r="AF1122" s="82"/>
    </row>
    <row r="1123" spans="1:32" ht="15" customHeight="1" x14ac:dyDescent="0.25">
      <c r="B1123" s="47"/>
      <c r="C1123" s="53" t="s">
        <v>2833</v>
      </c>
      <c r="D1123" s="45" t="s">
        <v>6011</v>
      </c>
      <c r="E1123" s="46"/>
      <c r="F1123" s="87"/>
      <c r="G1123" s="82"/>
      <c r="H1123" s="82"/>
      <c r="I1123" s="82" t="s">
        <v>6648</v>
      </c>
      <c r="J1123" s="82"/>
      <c r="K1123" s="82"/>
      <c r="L1123" s="82"/>
      <c r="M1123" s="82"/>
      <c r="N1123" s="82"/>
      <c r="O1123" s="87" t="s">
        <v>6649</v>
      </c>
      <c r="P1123" s="82" t="s">
        <v>6015</v>
      </c>
      <c r="Q1123" s="83">
        <f>VLOOKUP(TAB_ESTOQUE[[#This Row],[Codigo]],TAB_ENTRADA[[Cod_2_Entrada]:[TOTAL_ENTRADA]],5,FALSE)-VLOOKUP(TAB_ESTOQUE[[#This Row],[Codigo]],TAB_SAIDA[[COD_2_SAIDA]:[TOTAL_SAIDA]],5,FALSE)</f>
        <v>9</v>
      </c>
      <c r="R1123" s="87"/>
      <c r="S1123" s="87"/>
      <c r="T1123" s="90"/>
      <c r="U1123" s="91">
        <f>TAB_ESTOQUE[[#This Row],[Valor Unitario Estimado]]*TAB_ESTOQUE[[#This Row],[Estoque]]</f>
        <v>0</v>
      </c>
      <c r="V1123" s="91"/>
      <c r="W1123" s="85"/>
      <c r="X1123" s="85"/>
      <c r="Y1123" s="85"/>
      <c r="Z1123" s="85"/>
      <c r="AA1123" s="85"/>
      <c r="AB1123" s="96" t="str">
        <f>IF(TAB_ESTOQUE[[#This Row],[Estoque]]=0,"Estoque Não Conforme",IF(TAB_ESTOQUE[[#This Row],[Estoque]]&gt;=TAB_ESTOQUE[[#This Row],[Mínimo]],"Estoque Conforme",IF(TAB_ESTOQUE[[#This Row],[Estoque]]&lt;TAB_ESTOQUE[[#This Row],[Mínimo]],"Estoque em Nivel Minimo")))</f>
        <v>Estoque Conforme</v>
      </c>
      <c r="AC1123" s="96"/>
      <c r="AD1123" s="82"/>
      <c r="AE1123" s="82"/>
      <c r="AF1123" s="82"/>
    </row>
    <row r="1124" spans="1:32" ht="15" customHeight="1" x14ac:dyDescent="0.25">
      <c r="B1124" s="47"/>
      <c r="C1124" s="48"/>
      <c r="D1124" s="45" t="s">
        <v>6442</v>
      </c>
      <c r="E1124" s="46" t="s">
        <v>8108</v>
      </c>
      <c r="F1124" s="87"/>
      <c r="G1124" s="82"/>
      <c r="H1124" s="82"/>
      <c r="I1124" s="82" t="s">
        <v>6923</v>
      </c>
      <c r="J1124" s="82"/>
      <c r="K1124" s="82"/>
      <c r="L1124" s="82"/>
      <c r="M1124" s="82"/>
      <c r="N1124" s="82"/>
      <c r="O1124" s="87" t="s">
        <v>6649</v>
      </c>
      <c r="P1124" s="82"/>
      <c r="Q1124" s="83">
        <f>VLOOKUP(TAB_ESTOQUE[[#This Row],[Codigo]],TAB_ENTRADA[[Cod_2_Entrada]:[TOTAL_ENTRADA]],5,FALSE)-VLOOKUP(TAB_ESTOQUE[[#This Row],[Codigo]],TAB_SAIDA[[COD_2_SAIDA]:[TOTAL_SAIDA]],5,FALSE)</f>
        <v>2</v>
      </c>
      <c r="R1124" s="87"/>
      <c r="S1124" s="87"/>
      <c r="T1124" s="90">
        <v>4600</v>
      </c>
      <c r="U1124" s="91">
        <f>TAB_ESTOQUE[[#This Row],[Valor Unitario Estimado]]*TAB_ESTOQUE[[#This Row],[Estoque]]</f>
        <v>9200</v>
      </c>
      <c r="V1124" s="91"/>
      <c r="W1124" s="85"/>
      <c r="X1124" s="85"/>
      <c r="Y1124" s="85"/>
      <c r="Z1124" s="85"/>
      <c r="AA1124" s="85"/>
      <c r="AB1124" s="85" t="str">
        <f>IF(TAB_ESTOQUE[[#This Row],[Estoque]]=0,"Estoque Não Conforme",IF(TAB_ESTOQUE[[#This Row],[Estoque]]&gt;=TAB_ESTOQUE[[#This Row],[Mínimo]],"Estoque Conforme",IF(TAB_ESTOQUE[[#This Row],[Estoque]]&lt;TAB_ESTOQUE[[#This Row],[Mínimo]],"Estoque em Nivel Minimo")))</f>
        <v>Estoque Conforme</v>
      </c>
      <c r="AC1124" s="96"/>
      <c r="AD1124" s="82"/>
      <c r="AE1124" s="82"/>
      <c r="AF1124" s="82"/>
    </row>
    <row r="1125" spans="1:32" ht="15" customHeight="1" x14ac:dyDescent="0.25">
      <c r="C1125" s="48"/>
      <c r="D1125" s="45" t="s">
        <v>7706</v>
      </c>
      <c r="E1125" s="46" t="s">
        <v>7618</v>
      </c>
      <c r="F1125" s="46"/>
      <c r="I1125" s="45" t="s">
        <v>8334</v>
      </c>
      <c r="O1125" s="46" t="s">
        <v>6649</v>
      </c>
      <c r="Q1125" s="137">
        <f>VLOOKUP(TAB_ESTOQUE[[#This Row],[Codigo]],TAB_ENTRADA[[Cod_2_Entrada]:[TOTAL_ENTRADA]],5,FALSE)-VLOOKUP(TAB_ESTOQUE[[#This Row],[Codigo]],TAB_SAIDA[[COD_2_SAIDA]:[TOTAL_SAIDA]],5,FALSE)</f>
        <v>0</v>
      </c>
      <c r="S1125" s="46"/>
      <c r="T1125" s="102"/>
      <c r="U1125" s="103">
        <f>TAB_ESTOQUE[[#This Row],[Valor Unitario Estimado]]*TAB_ESTOQUE[[#This Row],[Estoque]]</f>
        <v>0</v>
      </c>
      <c r="V1125" s="103"/>
      <c r="AA1125" s="138"/>
      <c r="AB1125" s="104" t="str">
        <f>IF(TAB_ESTOQUE[[#This Row],[Estoque]]=0,"Estoque Não Conforme",IF(TAB_ESTOQUE[[#This Row],[Estoque]]&gt;=TAB_ESTOQUE[[#This Row],[Mínimo]],"Estoque Conforme",IF(TAB_ESTOQUE[[#This Row],[Estoque]]&lt;TAB_ESTOQUE[[#This Row],[Mínimo]],"Estoque em Nivel Minimo")))</f>
        <v>Estoque Não Conforme</v>
      </c>
      <c r="AC1125" s="104"/>
      <c r="AE1125" s="82"/>
      <c r="AF1125" s="82"/>
    </row>
    <row r="1126" spans="1:32" ht="15" customHeight="1" x14ac:dyDescent="0.25">
      <c r="A1126" s="106">
        <v>600</v>
      </c>
      <c r="B1126" s="106"/>
      <c r="C1126" s="116"/>
      <c r="D1126" s="106" t="s">
        <v>2055</v>
      </c>
      <c r="E1126" s="116" t="s">
        <v>6826</v>
      </c>
      <c r="F1126" s="118"/>
      <c r="G1126" s="95"/>
      <c r="H1126" s="95"/>
      <c r="I1126" s="203" t="s">
        <v>4893</v>
      </c>
      <c r="J1126" s="95"/>
      <c r="K1126" s="95"/>
      <c r="L1126" s="95"/>
      <c r="M1126" s="95"/>
      <c r="N1126" s="95"/>
      <c r="O1126" s="118" t="s">
        <v>6527</v>
      </c>
      <c r="P1126" s="95" t="s">
        <v>381</v>
      </c>
      <c r="Q1126" s="154">
        <f>VLOOKUP(TAB_ESTOQUE[[#This Row],[Codigo]],TAB_ENTRADA[[Cod_2_Entrada]:[TOTAL_ENTRADA]],5,FALSE)-VLOOKUP(TAB_ESTOQUE[[#This Row],[Codigo]],TAB_SAIDA[[COD_2_SAIDA]:[TOTAL_SAIDA]],5,FALSE)</f>
        <v>0</v>
      </c>
      <c r="R1126" s="118"/>
      <c r="S1126" s="118"/>
      <c r="T1126" s="119"/>
      <c r="U1126" s="112">
        <f>TAB_ESTOQUE[[#This Row],[Valor Unitario Estimado]]*TAB_ESTOQUE[[#This Row],[Estoque]]</f>
        <v>0</v>
      </c>
      <c r="V1126" s="112"/>
      <c r="W1126" s="120"/>
      <c r="X1126" s="120"/>
      <c r="Y1126" s="120"/>
      <c r="Z1126" s="120"/>
      <c r="AA1126" s="120"/>
      <c r="AB1126" s="120" t="str">
        <f>IF(TAB_ESTOQUE[[#This Row],[Estoque]]=0,"Estoque Não Conforme",IF(TAB_ESTOQUE[[#This Row],[Estoque]]&gt;=TAB_ESTOQUE[[#This Row],[Mínimo]],"Estoque Conforme",IF(TAB_ESTOQUE[[#This Row],[Estoque]]&lt;TAB_ESTOQUE[[#This Row],[Mínimo]],"Estoque em Nivel Minimo")))</f>
        <v>Estoque Não Conforme</v>
      </c>
      <c r="AC1126" s="120"/>
      <c r="AD1126" s="95"/>
      <c r="AE1126" s="82"/>
      <c r="AF1126" s="82"/>
    </row>
    <row r="1127" spans="1:32" ht="15" customHeight="1" x14ac:dyDescent="0.25">
      <c r="A1127" s="45">
        <v>815</v>
      </c>
      <c r="B1127" s="47"/>
      <c r="C1127" s="46" t="s">
        <v>2833</v>
      </c>
      <c r="D1127" s="45" t="s">
        <v>2061</v>
      </c>
      <c r="E1127" s="46" t="s">
        <v>7</v>
      </c>
      <c r="F1127" s="87"/>
      <c r="G1127" s="82"/>
      <c r="H1127" s="82"/>
      <c r="I1127" s="82" t="s">
        <v>8503</v>
      </c>
      <c r="J1127" s="82"/>
      <c r="K1127" s="82"/>
      <c r="L1127" s="82"/>
      <c r="M1127" s="82"/>
      <c r="N1127" s="82"/>
      <c r="O1127" s="87" t="s">
        <v>6527</v>
      </c>
      <c r="P1127" s="82" t="s">
        <v>607</v>
      </c>
      <c r="Q1127" s="83">
        <f>VLOOKUP(TAB_ESTOQUE[[#This Row],[Codigo]],TAB_ENTRADA[[Cod_2_Entrada]:[TOTAL_ENTRADA]],5,FALSE)-VLOOKUP(TAB_ESTOQUE[[#This Row],[Codigo]],TAB_SAIDA[[COD_2_SAIDA]:[TOTAL_SAIDA]],5,FALSE)</f>
        <v>4</v>
      </c>
      <c r="R1127" s="87"/>
      <c r="S1127" s="87"/>
      <c r="T1127" s="90"/>
      <c r="U1127" s="91">
        <f>TAB_ESTOQUE[[#This Row],[Valor Unitario Estimado]]*TAB_ESTOQUE[[#This Row],[Estoque]]</f>
        <v>0</v>
      </c>
      <c r="V1127" s="91"/>
      <c r="W1127" s="85"/>
      <c r="X1127" s="85"/>
      <c r="Y1127" s="85"/>
      <c r="Z1127" s="85"/>
      <c r="AA1127" s="85"/>
      <c r="AB1127" s="85" t="str">
        <f>IF(TAB_ESTOQUE[[#This Row],[Estoque]]=0,"Estoque Não Conforme",IF(TAB_ESTOQUE[[#This Row],[Estoque]]&gt;=TAB_ESTOQUE[[#This Row],[Mínimo]],"Estoque Conforme",IF(TAB_ESTOQUE[[#This Row],[Estoque]]&lt;TAB_ESTOQUE[[#This Row],[Mínimo]],"Estoque em Nivel Minimo")))</f>
        <v>Estoque Conforme</v>
      </c>
      <c r="AC1127" s="85"/>
      <c r="AD1127" s="82"/>
      <c r="AE1127" s="82"/>
      <c r="AF1127" s="82"/>
    </row>
    <row r="1128" spans="1:32" ht="15" customHeight="1" x14ac:dyDescent="0.25">
      <c r="A1128" s="45">
        <v>599</v>
      </c>
      <c r="B1128" s="47"/>
      <c r="C1128" s="46"/>
      <c r="D1128" s="45" t="s">
        <v>2063</v>
      </c>
      <c r="E1128" s="46" t="s">
        <v>7</v>
      </c>
      <c r="F1128" s="87"/>
      <c r="G1128" s="82"/>
      <c r="H1128" s="82"/>
      <c r="I1128" s="95" t="s">
        <v>6121</v>
      </c>
      <c r="J1128" s="82"/>
      <c r="K1128" s="82"/>
      <c r="L1128" s="82"/>
      <c r="M1128" s="82" t="s">
        <v>163</v>
      </c>
      <c r="N1128" s="82"/>
      <c r="O1128" s="87" t="s">
        <v>6527</v>
      </c>
      <c r="P1128" s="82" t="s">
        <v>379</v>
      </c>
      <c r="Q1128" s="83">
        <f>VLOOKUP(TAB_ESTOQUE[[#This Row],[Codigo]],TAB_ENTRADA[[Cod_2_Entrada]:[TOTAL_ENTRADA]],5,FALSE)-VLOOKUP(TAB_ESTOQUE[[#This Row],[Codigo]],TAB_SAIDA[[COD_2_SAIDA]:[TOTAL_SAIDA]],5,FALSE)</f>
        <v>8</v>
      </c>
      <c r="R1128" s="87"/>
      <c r="S1128" s="87"/>
      <c r="T1128" s="90"/>
      <c r="U1128" s="91">
        <f>TAB_ESTOQUE[[#This Row],[Valor Unitario Estimado]]*TAB_ESTOQUE[[#This Row],[Estoque]]</f>
        <v>0</v>
      </c>
      <c r="V1128" s="91"/>
      <c r="W1128" s="85"/>
      <c r="X1128" s="85"/>
      <c r="Y1128" s="85"/>
      <c r="Z1128" s="85"/>
      <c r="AA1128" s="85"/>
      <c r="AB1128" s="85" t="str">
        <f>IF(TAB_ESTOQUE[[#This Row],[Estoque]]=0,"Estoque Não Conforme",IF(TAB_ESTOQUE[[#This Row],[Estoque]]&gt;=TAB_ESTOQUE[[#This Row],[Mínimo]],"Estoque Conforme",IF(TAB_ESTOQUE[[#This Row],[Estoque]]&lt;TAB_ESTOQUE[[#This Row],[Mínimo]],"Estoque em Nivel Minimo")))</f>
        <v>Estoque Conforme</v>
      </c>
      <c r="AC1128" s="85"/>
      <c r="AD1128" s="82"/>
      <c r="AE1128" s="82"/>
      <c r="AF1128" s="82"/>
    </row>
    <row r="1129" spans="1:32" ht="15" customHeight="1" x14ac:dyDescent="0.25">
      <c r="A1129" s="45">
        <v>498</v>
      </c>
      <c r="B1129" s="47"/>
      <c r="C1129" s="46"/>
      <c r="D1129" s="45" t="s">
        <v>2069</v>
      </c>
      <c r="E1129" s="46" t="s">
        <v>7</v>
      </c>
      <c r="F1129" s="87"/>
      <c r="G1129" s="82"/>
      <c r="H1129" s="82"/>
      <c r="I1129" s="82" t="s">
        <v>6125</v>
      </c>
      <c r="J1129" s="82"/>
      <c r="K1129" s="82"/>
      <c r="L1129" s="82"/>
      <c r="M1129" s="82" t="s">
        <v>139</v>
      </c>
      <c r="N1129" s="82"/>
      <c r="O1129" s="87" t="s">
        <v>6527</v>
      </c>
      <c r="P1129" s="82" t="s">
        <v>280</v>
      </c>
      <c r="Q1129" s="83">
        <f>VLOOKUP(TAB_ESTOQUE[[#This Row],[Codigo]],TAB_ENTRADA[[Cod_2_Entrada]:[TOTAL_ENTRADA]],5,FALSE)-VLOOKUP(TAB_ESTOQUE[[#This Row],[Codigo]],TAB_SAIDA[[COD_2_SAIDA]:[TOTAL_SAIDA]],5,FALSE)</f>
        <v>7</v>
      </c>
      <c r="R1129" s="87"/>
      <c r="S1129" s="87"/>
      <c r="T1129" s="90"/>
      <c r="U1129" s="91">
        <f>TAB_ESTOQUE[[#This Row],[Valor Unitario Estimado]]*TAB_ESTOQUE[[#This Row],[Estoque]]</f>
        <v>0</v>
      </c>
      <c r="V1129" s="91"/>
      <c r="W1129" s="85"/>
      <c r="X1129" s="85"/>
      <c r="Y1129" s="85"/>
      <c r="Z1129" s="85"/>
      <c r="AA1129" s="85"/>
      <c r="AB1129" s="85" t="str">
        <f>IF(TAB_ESTOQUE[[#This Row],[Estoque]]=0,"Estoque Não Conforme",IF(TAB_ESTOQUE[[#This Row],[Estoque]]&gt;=TAB_ESTOQUE[[#This Row],[Mínimo]],"Estoque Conforme",IF(TAB_ESTOQUE[[#This Row],[Estoque]]&lt;TAB_ESTOQUE[[#This Row],[Mínimo]],"Estoque em Nivel Minimo")))</f>
        <v>Estoque Conforme</v>
      </c>
      <c r="AC1129" s="85"/>
      <c r="AD1129" s="82"/>
      <c r="AE1129" s="82"/>
      <c r="AF1129" s="82"/>
    </row>
    <row r="1130" spans="1:32" ht="15" customHeight="1" x14ac:dyDescent="0.25">
      <c r="A1130" s="45">
        <v>1008</v>
      </c>
      <c r="B1130" s="47"/>
      <c r="C1130" s="46"/>
      <c r="D1130" s="45" t="s">
        <v>2070</v>
      </c>
      <c r="E1130" s="46" t="s">
        <v>7</v>
      </c>
      <c r="F1130" s="87"/>
      <c r="G1130" s="82"/>
      <c r="H1130" s="82"/>
      <c r="I1130" s="82" t="s">
        <v>6126</v>
      </c>
      <c r="J1130" s="82"/>
      <c r="K1130" s="82"/>
      <c r="L1130" s="82"/>
      <c r="M1130" s="82"/>
      <c r="N1130" s="82"/>
      <c r="O1130" s="87" t="s">
        <v>6527</v>
      </c>
      <c r="P1130" s="82" t="s">
        <v>285</v>
      </c>
      <c r="Q1130" s="83">
        <f>VLOOKUP(TAB_ESTOQUE[[#This Row],[Codigo]],TAB_ENTRADA[[Cod_2_Entrada]:[TOTAL_ENTRADA]],5,FALSE)-VLOOKUP(TAB_ESTOQUE[[#This Row],[Codigo]],TAB_SAIDA[[COD_2_SAIDA]:[TOTAL_SAIDA]],5,FALSE)</f>
        <v>8</v>
      </c>
      <c r="R1130" s="87"/>
      <c r="S1130" s="87"/>
      <c r="T1130" s="90"/>
      <c r="U1130" s="91">
        <f>TAB_ESTOQUE[[#This Row],[Valor Unitario Estimado]]*TAB_ESTOQUE[[#This Row],[Estoque]]</f>
        <v>0</v>
      </c>
      <c r="V1130" s="91"/>
      <c r="W1130" s="85"/>
      <c r="X1130" s="85"/>
      <c r="Y1130" s="85"/>
      <c r="Z1130" s="85"/>
      <c r="AA1130" s="85"/>
      <c r="AB1130" s="85" t="str">
        <f>IF(TAB_ESTOQUE[[#This Row],[Estoque]]=0,"Estoque Não Conforme",IF(TAB_ESTOQUE[[#This Row],[Estoque]]&gt;=TAB_ESTOQUE[[#This Row],[Mínimo]],"Estoque Conforme",IF(TAB_ESTOQUE[[#This Row],[Estoque]]&lt;TAB_ESTOQUE[[#This Row],[Mínimo]],"Estoque em Nivel Minimo")))</f>
        <v>Estoque Conforme</v>
      </c>
      <c r="AC1130" s="85"/>
      <c r="AD1130" s="82"/>
      <c r="AE1130" s="82"/>
      <c r="AF1130" s="82"/>
    </row>
    <row r="1131" spans="1:32" ht="15" customHeight="1" x14ac:dyDescent="0.25">
      <c r="A1131" s="45">
        <v>1009</v>
      </c>
      <c r="B1131" s="47"/>
      <c r="C1131" s="46"/>
      <c r="D1131" s="45" t="s">
        <v>2071</v>
      </c>
      <c r="E1131" s="46" t="s">
        <v>7</v>
      </c>
      <c r="F1131" s="87"/>
      <c r="G1131" s="82"/>
      <c r="H1131" s="82"/>
      <c r="I1131" s="82" t="s">
        <v>6127</v>
      </c>
      <c r="J1131" s="82"/>
      <c r="K1131" s="82"/>
      <c r="L1131" s="82"/>
      <c r="M1131" s="82"/>
      <c r="N1131" s="82"/>
      <c r="O1131" s="87" t="s">
        <v>6527</v>
      </c>
      <c r="P1131" s="82" t="s">
        <v>285</v>
      </c>
      <c r="Q1131" s="83">
        <f>VLOOKUP(TAB_ESTOQUE[[#This Row],[Codigo]],TAB_ENTRADA[[Cod_2_Entrada]:[TOTAL_ENTRADA]],5,FALSE)-VLOOKUP(TAB_ESTOQUE[[#This Row],[Codigo]],TAB_SAIDA[[COD_2_SAIDA]:[TOTAL_SAIDA]],5,FALSE)</f>
        <v>10</v>
      </c>
      <c r="R1131" s="87"/>
      <c r="S1131" s="87"/>
      <c r="T1131" s="90">
        <v>30</v>
      </c>
      <c r="U1131" s="91">
        <f>TAB_ESTOQUE[[#This Row],[Valor Unitario Estimado]]*TAB_ESTOQUE[[#This Row],[Estoque]]</f>
        <v>300</v>
      </c>
      <c r="V1131" s="91"/>
      <c r="W1131" s="85"/>
      <c r="X1131" s="85"/>
      <c r="Y1131" s="85"/>
      <c r="Z1131" s="85"/>
      <c r="AA1131" s="85"/>
      <c r="AB1131" s="85" t="str">
        <f>IF(TAB_ESTOQUE[[#This Row],[Estoque]]=0,"Estoque Não Conforme",IF(TAB_ESTOQUE[[#This Row],[Estoque]]&gt;=TAB_ESTOQUE[[#This Row],[Mínimo]],"Estoque Conforme",IF(TAB_ESTOQUE[[#This Row],[Estoque]]&lt;TAB_ESTOQUE[[#This Row],[Mínimo]],"Estoque em Nivel Minimo")))</f>
        <v>Estoque Conforme</v>
      </c>
      <c r="AC1131" s="85"/>
      <c r="AD1131" s="82"/>
      <c r="AE1131" s="82"/>
      <c r="AF1131" s="82"/>
    </row>
    <row r="1132" spans="1:32" ht="15" customHeight="1" x14ac:dyDescent="0.25">
      <c r="A1132" s="45">
        <v>508</v>
      </c>
      <c r="B1132" s="47"/>
      <c r="C1132" s="46"/>
      <c r="D1132" s="45" t="s">
        <v>2073</v>
      </c>
      <c r="E1132" s="46" t="s">
        <v>6826</v>
      </c>
      <c r="F1132" s="87"/>
      <c r="G1132" s="82"/>
      <c r="H1132" s="82"/>
      <c r="I1132" s="82" t="s">
        <v>4891</v>
      </c>
      <c r="J1132" s="82"/>
      <c r="K1132" s="82"/>
      <c r="L1132" s="82"/>
      <c r="M1132" s="82"/>
      <c r="N1132" s="82"/>
      <c r="O1132" s="87" t="s">
        <v>6527</v>
      </c>
      <c r="P1132" s="82" t="s">
        <v>285</v>
      </c>
      <c r="Q1132" s="83">
        <f>VLOOKUP(TAB_ESTOQUE[[#This Row],[Codigo]],TAB_ENTRADA[[Cod_2_Entrada]:[TOTAL_ENTRADA]],5,FALSE)-VLOOKUP(TAB_ESTOQUE[[#This Row],[Codigo]],TAB_SAIDA[[COD_2_SAIDA]:[TOTAL_SAIDA]],5,FALSE)</f>
        <v>42</v>
      </c>
      <c r="R1132" s="87"/>
      <c r="S1132" s="87"/>
      <c r="T1132" s="90">
        <v>15.94</v>
      </c>
      <c r="U1132" s="91">
        <f>TAB_ESTOQUE[[#This Row],[Valor Unitario Estimado]]*TAB_ESTOQUE[[#This Row],[Estoque]]</f>
        <v>669.48</v>
      </c>
      <c r="V1132" s="91"/>
      <c r="W1132" s="85"/>
      <c r="X1132" s="85"/>
      <c r="Y1132" s="85"/>
      <c r="Z1132" s="85"/>
      <c r="AA1132" s="85"/>
      <c r="AB1132" s="85" t="str">
        <f>IF(TAB_ESTOQUE[[#This Row],[Estoque]]=0,"Estoque Não Conforme",IF(TAB_ESTOQUE[[#This Row],[Estoque]]&gt;=TAB_ESTOQUE[[#This Row],[Mínimo]],"Estoque Conforme",IF(TAB_ESTOQUE[[#This Row],[Estoque]]&lt;TAB_ESTOQUE[[#This Row],[Mínimo]],"Estoque em Nivel Minimo")))</f>
        <v>Estoque Conforme</v>
      </c>
      <c r="AC1132" s="85"/>
      <c r="AD1132" s="82"/>
      <c r="AE1132" s="82"/>
      <c r="AF1132" s="82"/>
    </row>
    <row r="1133" spans="1:32" ht="15" customHeight="1" x14ac:dyDescent="0.25">
      <c r="A1133" s="45">
        <v>1014</v>
      </c>
      <c r="B1133" s="47"/>
      <c r="C1133" s="46"/>
      <c r="D1133" s="45" t="s">
        <v>2082</v>
      </c>
      <c r="E1133" s="46" t="s">
        <v>7</v>
      </c>
      <c r="F1133" s="87"/>
      <c r="G1133" s="82"/>
      <c r="H1133" s="82"/>
      <c r="I1133" s="82" t="s">
        <v>6132</v>
      </c>
      <c r="J1133" s="82"/>
      <c r="K1133" s="82"/>
      <c r="L1133" s="82"/>
      <c r="M1133" s="82"/>
      <c r="N1133" s="82"/>
      <c r="O1133" s="87" t="s">
        <v>6527</v>
      </c>
      <c r="P1133" s="82" t="s">
        <v>289</v>
      </c>
      <c r="Q1133" s="83">
        <f>VLOOKUP(TAB_ESTOQUE[[#This Row],[Codigo]],TAB_ENTRADA[[Cod_2_Entrada]:[TOTAL_ENTRADA]],5,FALSE)-VLOOKUP(TAB_ESTOQUE[[#This Row],[Codigo]],TAB_SAIDA[[COD_2_SAIDA]:[TOTAL_SAIDA]],5,FALSE)</f>
        <v>8</v>
      </c>
      <c r="R1133" s="87"/>
      <c r="S1133" s="87"/>
      <c r="T1133" s="90"/>
      <c r="U1133" s="91">
        <f>TAB_ESTOQUE[[#This Row],[Valor Unitario Estimado]]*TAB_ESTOQUE[[#This Row],[Estoque]]</f>
        <v>0</v>
      </c>
      <c r="V1133" s="91"/>
      <c r="W1133" s="85"/>
      <c r="X1133" s="85"/>
      <c r="Y1133" s="85"/>
      <c r="Z1133" s="85"/>
      <c r="AA1133" s="85"/>
      <c r="AB1133" s="85" t="str">
        <f>IF(TAB_ESTOQUE[[#This Row],[Estoque]]=0,"Estoque Não Conforme",IF(TAB_ESTOQUE[[#This Row],[Estoque]]&gt;=TAB_ESTOQUE[[#This Row],[Mínimo]],"Estoque Conforme",IF(TAB_ESTOQUE[[#This Row],[Estoque]]&lt;TAB_ESTOQUE[[#This Row],[Mínimo]],"Estoque em Nivel Minimo")))</f>
        <v>Estoque Conforme</v>
      </c>
      <c r="AC1133" s="85"/>
      <c r="AD1133" s="82"/>
      <c r="AE1133" s="82"/>
      <c r="AF1133" s="82"/>
    </row>
    <row r="1134" spans="1:32" ht="15" customHeight="1" x14ac:dyDescent="0.25">
      <c r="A1134" s="45">
        <v>577</v>
      </c>
      <c r="B1134" s="47"/>
      <c r="C1134" s="46"/>
      <c r="D1134" s="45" t="s">
        <v>2152</v>
      </c>
      <c r="E1134" s="46" t="s">
        <v>7</v>
      </c>
      <c r="F1134" s="87"/>
      <c r="G1134" s="82"/>
      <c r="H1134" s="82"/>
      <c r="I1134" s="94" t="s">
        <v>6149</v>
      </c>
      <c r="J1134" s="82"/>
      <c r="K1134" s="82"/>
      <c r="L1134" s="82"/>
      <c r="M1134" s="82" t="s">
        <v>163</v>
      </c>
      <c r="N1134" s="82"/>
      <c r="O1134" s="87" t="s">
        <v>6527</v>
      </c>
      <c r="P1134" s="82" t="s">
        <v>352</v>
      </c>
      <c r="Q1134" s="83">
        <f>VLOOKUP(TAB_ESTOQUE[[#This Row],[Codigo]],TAB_ENTRADA[[Cod_2_Entrada]:[TOTAL_ENTRADA]],5,FALSE)-VLOOKUP(TAB_ESTOQUE[[#This Row],[Codigo]],TAB_SAIDA[[COD_2_SAIDA]:[TOTAL_SAIDA]],5,FALSE)</f>
        <v>9</v>
      </c>
      <c r="R1134" s="87"/>
      <c r="S1134" s="87"/>
      <c r="T1134" s="90"/>
      <c r="U1134" s="91">
        <f>TAB_ESTOQUE[[#This Row],[Valor Unitario Estimado]]*TAB_ESTOQUE[[#This Row],[Estoque]]</f>
        <v>0</v>
      </c>
      <c r="V1134" s="91"/>
      <c r="W1134" s="85"/>
      <c r="X1134" s="85"/>
      <c r="Y1134" s="85"/>
      <c r="Z1134" s="85"/>
      <c r="AA1134" s="85"/>
      <c r="AB1134" s="85" t="str">
        <f>IF(TAB_ESTOQUE[[#This Row],[Estoque]]=0,"Estoque Não Conforme",IF(TAB_ESTOQUE[[#This Row],[Estoque]]&gt;=TAB_ESTOQUE[[#This Row],[Mínimo]],"Estoque Conforme",IF(TAB_ESTOQUE[[#This Row],[Estoque]]&lt;TAB_ESTOQUE[[#This Row],[Mínimo]],"Estoque em Nivel Minimo")))</f>
        <v>Estoque Conforme</v>
      </c>
      <c r="AC1134" s="85"/>
      <c r="AD1134" s="82"/>
      <c r="AE1134" s="82"/>
      <c r="AF1134" s="82"/>
    </row>
    <row r="1135" spans="1:32" ht="15" customHeight="1" x14ac:dyDescent="0.25">
      <c r="A1135" s="45">
        <v>1316</v>
      </c>
      <c r="B1135" s="47"/>
      <c r="C1135" s="46"/>
      <c r="D1135" s="45" t="s">
        <v>2153</v>
      </c>
      <c r="E1135" s="46" t="s">
        <v>6826</v>
      </c>
      <c r="F1135" s="87"/>
      <c r="G1135" s="82"/>
      <c r="H1135" s="82"/>
      <c r="I1135" s="95" t="s">
        <v>6150</v>
      </c>
      <c r="J1135" s="82"/>
      <c r="K1135" s="82"/>
      <c r="L1135" s="82"/>
      <c r="M1135" s="82" t="s">
        <v>163</v>
      </c>
      <c r="N1135" s="82"/>
      <c r="O1135" s="87" t="s">
        <v>6527</v>
      </c>
      <c r="P1135" s="82" t="s">
        <v>1049</v>
      </c>
      <c r="Q1135" s="83">
        <f>VLOOKUP(TAB_ESTOQUE[[#This Row],[Codigo]],TAB_ENTRADA[[Cod_2_Entrada]:[TOTAL_ENTRADA]],5,FALSE)-VLOOKUP(TAB_ESTOQUE[[#This Row],[Codigo]],TAB_SAIDA[[COD_2_SAIDA]:[TOTAL_SAIDA]],5,FALSE)</f>
        <v>12</v>
      </c>
      <c r="R1135" s="87"/>
      <c r="S1135" s="87"/>
      <c r="T1135" s="90"/>
      <c r="U1135" s="91">
        <f>TAB_ESTOQUE[[#This Row],[Valor Unitario Estimado]]*TAB_ESTOQUE[[#This Row],[Estoque]]</f>
        <v>0</v>
      </c>
      <c r="V1135" s="91"/>
      <c r="W1135" s="85"/>
      <c r="X1135" s="85"/>
      <c r="Y1135" s="85"/>
      <c r="Z1135" s="85"/>
      <c r="AA1135" s="85"/>
      <c r="AB1135" s="85" t="str">
        <f>IF(TAB_ESTOQUE[[#This Row],[Estoque]]=0,"Estoque Não Conforme",IF(TAB_ESTOQUE[[#This Row],[Estoque]]&gt;=TAB_ESTOQUE[[#This Row],[Mínimo]],"Estoque Conforme",IF(TAB_ESTOQUE[[#This Row],[Estoque]]&lt;TAB_ESTOQUE[[#This Row],[Mínimo]],"Estoque em Nivel Minimo")))</f>
        <v>Estoque Conforme</v>
      </c>
      <c r="AC1135" s="85"/>
      <c r="AD1135" s="82"/>
      <c r="AE1135" s="82"/>
      <c r="AF1135" s="82"/>
    </row>
    <row r="1136" spans="1:32" ht="15" customHeight="1" x14ac:dyDescent="0.25">
      <c r="A1136" s="45">
        <v>217</v>
      </c>
      <c r="B1136" s="47"/>
      <c r="C1136" s="46"/>
      <c r="D1136" s="45" t="s">
        <v>2154</v>
      </c>
      <c r="E1136" s="46" t="s">
        <v>7</v>
      </c>
      <c r="F1136" s="87"/>
      <c r="G1136" s="82"/>
      <c r="H1136" s="82"/>
      <c r="I1136" s="82" t="s">
        <v>6151</v>
      </c>
      <c r="J1136" s="82"/>
      <c r="K1136" s="82" t="s">
        <v>165</v>
      </c>
      <c r="L1136" s="82"/>
      <c r="M1136" s="82" t="s">
        <v>163</v>
      </c>
      <c r="N1136" s="82"/>
      <c r="O1136" s="87" t="s">
        <v>6527</v>
      </c>
      <c r="P1136" s="82" t="s">
        <v>167</v>
      </c>
      <c r="Q1136" s="83">
        <f>VLOOKUP(TAB_ESTOQUE[[#This Row],[Codigo]],TAB_ENTRADA[[Cod_2_Entrada]:[TOTAL_ENTRADA]],5,FALSE)-VLOOKUP(TAB_ESTOQUE[[#This Row],[Codigo]],TAB_SAIDA[[COD_2_SAIDA]:[TOTAL_SAIDA]],5,FALSE)</f>
        <v>9</v>
      </c>
      <c r="R1136" s="87"/>
      <c r="S1136" s="87"/>
      <c r="T1136" s="90"/>
      <c r="U1136" s="91">
        <f>TAB_ESTOQUE[[#This Row],[Valor Unitario Estimado]]*TAB_ESTOQUE[[#This Row],[Estoque]]</f>
        <v>0</v>
      </c>
      <c r="V1136" s="91"/>
      <c r="W1136" s="85"/>
      <c r="X1136" s="85"/>
      <c r="Y1136" s="85"/>
      <c r="Z1136" s="85"/>
      <c r="AA1136" s="85"/>
      <c r="AB1136" s="85" t="str">
        <f>IF(TAB_ESTOQUE[[#This Row],[Estoque]]=0,"Estoque Não Conforme",IF(TAB_ESTOQUE[[#This Row],[Estoque]]&gt;=TAB_ESTOQUE[[#This Row],[Mínimo]],"Estoque Conforme",IF(TAB_ESTOQUE[[#This Row],[Estoque]]&lt;TAB_ESTOQUE[[#This Row],[Mínimo]],"Estoque em Nivel Minimo")))</f>
        <v>Estoque Conforme</v>
      </c>
      <c r="AC1136" s="85"/>
      <c r="AD1136" s="82"/>
      <c r="AE1136" s="82"/>
      <c r="AF1136" s="82"/>
    </row>
    <row r="1137" spans="1:32" ht="15" customHeight="1" x14ac:dyDescent="0.25">
      <c r="A1137" s="45">
        <v>221</v>
      </c>
      <c r="B1137" s="47"/>
      <c r="C1137" s="46"/>
      <c r="D1137" s="45" t="s">
        <v>2155</v>
      </c>
      <c r="E1137" s="46" t="s">
        <v>7</v>
      </c>
      <c r="F1137" s="87"/>
      <c r="G1137" s="82"/>
      <c r="H1137" s="82"/>
      <c r="I1137" s="82" t="s">
        <v>6152</v>
      </c>
      <c r="J1137" s="82"/>
      <c r="K1137" s="82"/>
      <c r="L1137" s="82"/>
      <c r="M1137" s="82" t="s">
        <v>163</v>
      </c>
      <c r="N1137" s="82"/>
      <c r="O1137" s="87" t="s">
        <v>6527</v>
      </c>
      <c r="P1137" s="82" t="s">
        <v>170</v>
      </c>
      <c r="Q1137" s="83">
        <f>VLOOKUP(TAB_ESTOQUE[[#This Row],[Codigo]],TAB_ENTRADA[[Cod_2_Entrada]:[TOTAL_ENTRADA]],5,FALSE)-VLOOKUP(TAB_ESTOQUE[[#This Row],[Codigo]],TAB_SAIDA[[COD_2_SAIDA]:[TOTAL_SAIDA]],5,FALSE)</f>
        <v>6</v>
      </c>
      <c r="R1137" s="87"/>
      <c r="S1137" s="87"/>
      <c r="T1137" s="90"/>
      <c r="U1137" s="91">
        <f>TAB_ESTOQUE[[#This Row],[Valor Unitario Estimado]]*TAB_ESTOQUE[[#This Row],[Estoque]]</f>
        <v>0</v>
      </c>
      <c r="V1137" s="91"/>
      <c r="W1137" s="85"/>
      <c r="X1137" s="85"/>
      <c r="Y1137" s="85"/>
      <c r="Z1137" s="85"/>
      <c r="AA1137" s="85"/>
      <c r="AB1137" s="85" t="str">
        <f>IF(TAB_ESTOQUE[[#This Row],[Estoque]]=0,"Estoque Não Conforme",IF(TAB_ESTOQUE[[#This Row],[Estoque]]&gt;=TAB_ESTOQUE[[#This Row],[Mínimo]],"Estoque Conforme",IF(TAB_ESTOQUE[[#This Row],[Estoque]]&lt;TAB_ESTOQUE[[#This Row],[Mínimo]],"Estoque em Nivel Minimo")))</f>
        <v>Estoque Conforme</v>
      </c>
      <c r="AC1137" s="85"/>
      <c r="AD1137" s="82"/>
      <c r="AE1137" s="82"/>
      <c r="AF1137" s="82"/>
    </row>
    <row r="1138" spans="1:32" ht="15" customHeight="1" x14ac:dyDescent="0.25">
      <c r="A1138" s="45">
        <v>222</v>
      </c>
      <c r="B1138" s="47"/>
      <c r="C1138" s="46"/>
      <c r="D1138" s="45" t="s">
        <v>2156</v>
      </c>
      <c r="E1138" s="46" t="s">
        <v>7</v>
      </c>
      <c r="F1138" s="87"/>
      <c r="G1138" s="82"/>
      <c r="H1138" s="82"/>
      <c r="I1138" s="82" t="s">
        <v>6153</v>
      </c>
      <c r="J1138" s="82"/>
      <c r="K1138" s="82"/>
      <c r="L1138" s="82"/>
      <c r="M1138" s="82" t="s">
        <v>163</v>
      </c>
      <c r="N1138" s="82"/>
      <c r="O1138" s="87" t="s">
        <v>6527</v>
      </c>
      <c r="P1138" s="82" t="s">
        <v>171</v>
      </c>
      <c r="Q1138" s="83">
        <f>VLOOKUP(TAB_ESTOQUE[[#This Row],[Codigo]],TAB_ENTRADA[[Cod_2_Entrada]:[TOTAL_ENTRADA]],5,FALSE)-VLOOKUP(TAB_ESTOQUE[[#This Row],[Codigo]],TAB_SAIDA[[COD_2_SAIDA]:[TOTAL_SAIDA]],5,FALSE)</f>
        <v>0</v>
      </c>
      <c r="R1138" s="87"/>
      <c r="S1138" s="87"/>
      <c r="T1138" s="90"/>
      <c r="U1138" s="91">
        <f>TAB_ESTOQUE[[#This Row],[Valor Unitario Estimado]]*TAB_ESTOQUE[[#This Row],[Estoque]]</f>
        <v>0</v>
      </c>
      <c r="V1138" s="91"/>
      <c r="W1138" s="85"/>
      <c r="X1138" s="85"/>
      <c r="Y1138" s="85"/>
      <c r="Z1138" s="85"/>
      <c r="AA1138" s="85"/>
      <c r="AB1138" s="85" t="str">
        <f>IF(TAB_ESTOQUE[[#This Row],[Estoque]]=0,"Estoque Não Conforme",IF(TAB_ESTOQUE[[#This Row],[Estoque]]&gt;=TAB_ESTOQUE[[#This Row],[Mínimo]],"Estoque Conforme",IF(TAB_ESTOQUE[[#This Row],[Estoque]]&lt;TAB_ESTOQUE[[#This Row],[Mínimo]],"Estoque em Nivel Minimo")))</f>
        <v>Estoque Não Conforme</v>
      </c>
      <c r="AC1138" s="85"/>
      <c r="AD1138" s="82"/>
      <c r="AE1138" s="82"/>
      <c r="AF1138" s="82"/>
    </row>
    <row r="1139" spans="1:32" ht="15" customHeight="1" x14ac:dyDescent="0.25">
      <c r="A1139" s="45">
        <v>187</v>
      </c>
      <c r="B1139" s="47"/>
      <c r="C1139" s="46"/>
      <c r="D1139" s="45" t="s">
        <v>2166</v>
      </c>
      <c r="E1139" s="46" t="s">
        <v>7</v>
      </c>
      <c r="F1139" s="87"/>
      <c r="G1139" s="82"/>
      <c r="H1139" s="82"/>
      <c r="I1139" s="82" t="s">
        <v>6157</v>
      </c>
      <c r="J1139" s="82"/>
      <c r="K1139" s="82" t="s">
        <v>134</v>
      </c>
      <c r="L1139" s="82"/>
      <c r="M1139" s="82"/>
      <c r="N1139" s="82"/>
      <c r="O1139" s="87" t="s">
        <v>6527</v>
      </c>
      <c r="P1139" s="82" t="s">
        <v>133</v>
      </c>
      <c r="Q1139" s="83">
        <f>VLOOKUP(TAB_ESTOQUE[[#This Row],[Codigo]],TAB_ENTRADA[[Cod_2_Entrada]:[TOTAL_ENTRADA]],5,FALSE)-VLOOKUP(TAB_ESTOQUE[[#This Row],[Codigo]],TAB_SAIDA[[COD_2_SAIDA]:[TOTAL_SAIDA]],5,FALSE)</f>
        <v>1</v>
      </c>
      <c r="R1139" s="87"/>
      <c r="S1139" s="87"/>
      <c r="T1139" s="90">
        <v>13.7</v>
      </c>
      <c r="U1139" s="91">
        <f>TAB_ESTOQUE[[#This Row],[Valor Unitario Estimado]]*TAB_ESTOQUE[[#This Row],[Estoque]]</f>
        <v>13.7</v>
      </c>
      <c r="V1139" s="91"/>
      <c r="W1139" s="85"/>
      <c r="X1139" s="85"/>
      <c r="Y1139" s="85"/>
      <c r="Z1139" s="85"/>
      <c r="AA1139" s="85"/>
      <c r="AB1139" s="85" t="str">
        <f>IF(TAB_ESTOQUE[[#This Row],[Estoque]]=0,"Estoque Não Conforme",IF(TAB_ESTOQUE[[#This Row],[Estoque]]&gt;=TAB_ESTOQUE[[#This Row],[Mínimo]],"Estoque Conforme",IF(TAB_ESTOQUE[[#This Row],[Estoque]]&lt;TAB_ESTOQUE[[#This Row],[Mínimo]],"Estoque em Nivel Minimo")))</f>
        <v>Estoque Conforme</v>
      </c>
      <c r="AC1139" s="85"/>
      <c r="AD1139" s="82"/>
      <c r="AE1139" s="82"/>
      <c r="AF1139" s="82"/>
    </row>
    <row r="1140" spans="1:32" ht="15" customHeight="1" x14ac:dyDescent="0.25">
      <c r="A1140" s="45">
        <v>484</v>
      </c>
      <c r="B1140" s="47"/>
      <c r="C1140" s="46"/>
      <c r="D1140" s="45" t="s">
        <v>2187</v>
      </c>
      <c r="E1140" s="46" t="s">
        <v>7</v>
      </c>
      <c r="F1140" s="87"/>
      <c r="G1140" s="82"/>
      <c r="H1140" s="82"/>
      <c r="I1140" s="82" t="s">
        <v>8536</v>
      </c>
      <c r="J1140" s="82"/>
      <c r="K1140" s="82"/>
      <c r="L1140" s="82"/>
      <c r="M1140" s="82"/>
      <c r="N1140" s="82"/>
      <c r="O1140" s="87" t="s">
        <v>6527</v>
      </c>
      <c r="P1140" s="82" t="s">
        <v>266</v>
      </c>
      <c r="Q1140" s="83">
        <f>VLOOKUP(TAB_ESTOQUE[[#This Row],[Codigo]],TAB_ENTRADA[[Cod_2_Entrada]:[TOTAL_ENTRADA]],5,FALSE)-VLOOKUP(TAB_ESTOQUE[[#This Row],[Codigo]],TAB_SAIDA[[COD_2_SAIDA]:[TOTAL_SAIDA]],5,FALSE)</f>
        <v>2</v>
      </c>
      <c r="R1140" s="87"/>
      <c r="S1140" s="87"/>
      <c r="T1140" s="90"/>
      <c r="U1140" s="91">
        <f>TAB_ESTOQUE[[#This Row],[Valor Unitario Estimado]]*TAB_ESTOQUE[[#This Row],[Estoque]]</f>
        <v>0</v>
      </c>
      <c r="V1140" s="91"/>
      <c r="W1140" s="85"/>
      <c r="X1140" s="85"/>
      <c r="Y1140" s="85"/>
      <c r="Z1140" s="85"/>
      <c r="AA1140" s="85"/>
      <c r="AB1140" s="85" t="str">
        <f>IF(TAB_ESTOQUE[[#This Row],[Estoque]]=0,"Estoque Não Conforme",IF(TAB_ESTOQUE[[#This Row],[Estoque]]&gt;=TAB_ESTOQUE[[#This Row],[Mínimo]],"Estoque Conforme",IF(TAB_ESTOQUE[[#This Row],[Estoque]]&lt;TAB_ESTOQUE[[#This Row],[Mínimo]],"Estoque em Nivel Minimo")))</f>
        <v>Estoque Conforme</v>
      </c>
      <c r="AC1140" s="85"/>
      <c r="AD1140" s="82"/>
      <c r="AE1140" s="82"/>
      <c r="AF1140" s="82"/>
    </row>
    <row r="1141" spans="1:32" ht="15" customHeight="1" x14ac:dyDescent="0.25">
      <c r="A1141" s="106"/>
      <c r="B1141" s="106"/>
      <c r="C1141" s="116" t="s">
        <v>2833</v>
      </c>
      <c r="D1141" s="106" t="s">
        <v>6012</v>
      </c>
      <c r="E1141" s="116"/>
      <c r="F1141" s="118"/>
      <c r="G1141" s="95"/>
      <c r="H1141" s="95"/>
      <c r="I1141" s="95" t="s">
        <v>8684</v>
      </c>
      <c r="J1141" s="95"/>
      <c r="K1141" s="95"/>
      <c r="L1141" s="95"/>
      <c r="M1141" s="95"/>
      <c r="N1141" s="95"/>
      <c r="O1141" s="118" t="s">
        <v>6527</v>
      </c>
      <c r="P1141" s="95" t="s">
        <v>6015</v>
      </c>
      <c r="Q1141" s="154">
        <f>VLOOKUP(TAB_ESTOQUE[[#This Row],[Codigo]],TAB_ENTRADA[[Cod_2_Entrada]:[TOTAL_ENTRADA]],5,FALSE)-VLOOKUP(TAB_ESTOQUE[[#This Row],[Codigo]],TAB_SAIDA[[COD_2_SAIDA]:[TOTAL_SAIDA]],5,FALSE)</f>
        <v>9</v>
      </c>
      <c r="R1141" s="118"/>
      <c r="S1141" s="118"/>
      <c r="T1141" s="119"/>
      <c r="U1141" s="112">
        <f>TAB_ESTOQUE[[#This Row],[Valor Unitario Estimado]]*TAB_ESTOQUE[[#This Row],[Estoque]]</f>
        <v>0</v>
      </c>
      <c r="V1141" s="112"/>
      <c r="W1141" s="120"/>
      <c r="X1141" s="120"/>
      <c r="Y1141" s="120"/>
      <c r="Z1141" s="120"/>
      <c r="AA1141" s="120"/>
      <c r="AB1141" s="160" t="str">
        <f>IF(TAB_ESTOQUE[[#This Row],[Estoque]]=0,"Estoque Não Conforme",IF(TAB_ESTOQUE[[#This Row],[Estoque]]&gt;=TAB_ESTOQUE[[#This Row],[Mínimo]],"Estoque Conforme",IF(TAB_ESTOQUE[[#This Row],[Estoque]]&lt;TAB_ESTOQUE[[#This Row],[Mínimo]],"Estoque em Nivel Minimo")))</f>
        <v>Estoque Conforme</v>
      </c>
      <c r="AC1141" s="160"/>
      <c r="AD1141" s="95"/>
      <c r="AE1141" s="82"/>
      <c r="AF1141" s="82"/>
    </row>
    <row r="1142" spans="1:32" ht="15" customHeight="1" x14ac:dyDescent="0.25">
      <c r="B1142" s="47"/>
      <c r="C1142" s="53" t="s">
        <v>2838</v>
      </c>
      <c r="D1142" s="45" t="s">
        <v>6013</v>
      </c>
      <c r="E1142" s="46"/>
      <c r="F1142" s="87"/>
      <c r="G1142" s="82"/>
      <c r="H1142" s="82"/>
      <c r="I1142" s="82" t="s">
        <v>8685</v>
      </c>
      <c r="J1142" s="82"/>
      <c r="K1142" s="82"/>
      <c r="L1142" s="82"/>
      <c r="M1142" s="82"/>
      <c r="N1142" s="82"/>
      <c r="O1142" s="87" t="s">
        <v>6527</v>
      </c>
      <c r="P1142" s="82" t="s">
        <v>1185</v>
      </c>
      <c r="Q1142" s="83">
        <f>VLOOKUP(TAB_ESTOQUE[[#This Row],[Codigo]],TAB_ENTRADA[[Cod_2_Entrada]:[TOTAL_ENTRADA]],5,FALSE)-VLOOKUP(TAB_ESTOQUE[[#This Row],[Codigo]],TAB_SAIDA[[COD_2_SAIDA]:[TOTAL_SAIDA]],5,FALSE)</f>
        <v>20</v>
      </c>
      <c r="R1142" s="87"/>
      <c r="S1142" s="87"/>
      <c r="T1142" s="90"/>
      <c r="U1142" s="91">
        <f>TAB_ESTOQUE[[#This Row],[Valor Unitario Estimado]]*TAB_ESTOQUE[[#This Row],[Estoque]]</f>
        <v>0</v>
      </c>
      <c r="V1142" s="91"/>
      <c r="W1142" s="85"/>
      <c r="X1142" s="85"/>
      <c r="Y1142" s="85"/>
      <c r="Z1142" s="85"/>
      <c r="AA1142" s="85"/>
      <c r="AB1142" s="96" t="str">
        <f>IF(TAB_ESTOQUE[[#This Row],[Estoque]]=0,"Estoque Não Conforme",IF(TAB_ESTOQUE[[#This Row],[Estoque]]&gt;=TAB_ESTOQUE[[#This Row],[Mínimo]],"Estoque Conforme",IF(TAB_ESTOQUE[[#This Row],[Estoque]]&lt;TAB_ESTOQUE[[#This Row],[Mínimo]],"Estoque em Nivel Minimo")))</f>
        <v>Estoque Conforme</v>
      </c>
      <c r="AC1142" s="96"/>
      <c r="AD1142" s="82"/>
      <c r="AE1142" s="82"/>
      <c r="AF1142" s="82"/>
    </row>
    <row r="1143" spans="1:32" ht="15" customHeight="1" x14ac:dyDescent="0.25">
      <c r="B1143" s="47"/>
      <c r="C1143" s="53" t="s">
        <v>2838</v>
      </c>
      <c r="D1143" s="45" t="s">
        <v>6024</v>
      </c>
      <c r="E1143" s="46"/>
      <c r="F1143" s="87"/>
      <c r="G1143" s="82"/>
      <c r="H1143" s="82"/>
      <c r="I1143" s="82" t="s">
        <v>6121</v>
      </c>
      <c r="J1143" s="82"/>
      <c r="K1143" s="82"/>
      <c r="L1143" s="82"/>
      <c r="M1143" s="82"/>
      <c r="N1143" s="82"/>
      <c r="O1143" s="87" t="s">
        <v>6527</v>
      </c>
      <c r="P1143" s="82" t="s">
        <v>1187</v>
      </c>
      <c r="Q1143" s="83">
        <f>VLOOKUP(TAB_ESTOQUE[[#This Row],[Codigo]],TAB_ENTRADA[[Cod_2_Entrada]:[TOTAL_ENTRADA]],5,FALSE)-VLOOKUP(TAB_ESTOQUE[[#This Row],[Codigo]],TAB_SAIDA[[COD_2_SAIDA]:[TOTAL_SAIDA]],5,FALSE)</f>
        <v>9</v>
      </c>
      <c r="R1143" s="87"/>
      <c r="S1143" s="87"/>
      <c r="T1143" s="90"/>
      <c r="U1143" s="91">
        <f>TAB_ESTOQUE[[#This Row],[Valor Unitario Estimado]]*TAB_ESTOQUE[[#This Row],[Estoque]]</f>
        <v>0</v>
      </c>
      <c r="V1143" s="91"/>
      <c r="W1143" s="85"/>
      <c r="X1143" s="85"/>
      <c r="Y1143" s="85"/>
      <c r="Z1143" s="85"/>
      <c r="AA1143" s="85"/>
      <c r="AB1143" s="96" t="str">
        <f>IF(TAB_ESTOQUE[[#This Row],[Estoque]]=0,"Estoque Não Conforme",IF(TAB_ESTOQUE[[#This Row],[Estoque]]&gt;=TAB_ESTOQUE[[#This Row],[Mínimo]],"Estoque Conforme",IF(TAB_ESTOQUE[[#This Row],[Estoque]]&lt;TAB_ESTOQUE[[#This Row],[Mínimo]],"Estoque em Nivel Minimo")))</f>
        <v>Estoque Conforme</v>
      </c>
      <c r="AC1143" s="96"/>
      <c r="AD1143" s="82"/>
      <c r="AE1143" s="82"/>
      <c r="AF1143" s="82"/>
    </row>
    <row r="1144" spans="1:32" ht="15" customHeight="1" x14ac:dyDescent="0.25">
      <c r="A1144" s="45">
        <v>220</v>
      </c>
      <c r="B1144" s="47"/>
      <c r="C1144" s="46"/>
      <c r="D1144" s="45" t="s">
        <v>2064</v>
      </c>
      <c r="E1144" s="46" t="s">
        <v>7</v>
      </c>
      <c r="F1144" s="87"/>
      <c r="G1144" s="82"/>
      <c r="H1144" s="82"/>
      <c r="I1144" s="94" t="s">
        <v>8504</v>
      </c>
      <c r="J1144" s="82"/>
      <c r="K1144" s="82" t="s">
        <v>165</v>
      </c>
      <c r="L1144" s="82"/>
      <c r="M1144" s="82" t="s">
        <v>163</v>
      </c>
      <c r="N1144" s="82"/>
      <c r="O1144" s="87" t="s">
        <v>6531</v>
      </c>
      <c r="P1144" s="82" t="s">
        <v>169</v>
      </c>
      <c r="Q1144" s="83">
        <f>VLOOKUP(TAB_ESTOQUE[[#This Row],[Codigo]],TAB_ENTRADA[[Cod_2_Entrada]:[TOTAL_ENTRADA]],5,FALSE)-VLOOKUP(TAB_ESTOQUE[[#This Row],[Codigo]],TAB_SAIDA[[COD_2_SAIDA]:[TOTAL_SAIDA]],5,FALSE)</f>
        <v>16</v>
      </c>
      <c r="R1144" s="87"/>
      <c r="S1144" s="87"/>
      <c r="T1144" s="90"/>
      <c r="U1144" s="91">
        <f>TAB_ESTOQUE[[#This Row],[Valor Unitario Estimado]]*TAB_ESTOQUE[[#This Row],[Estoque]]</f>
        <v>0</v>
      </c>
      <c r="V1144" s="91"/>
      <c r="W1144" s="85"/>
      <c r="X1144" s="85"/>
      <c r="Y1144" s="85"/>
      <c r="Z1144" s="85"/>
      <c r="AA1144" s="85"/>
      <c r="AB1144" s="85" t="str">
        <f>IF(TAB_ESTOQUE[[#This Row],[Estoque]]=0,"Estoque Não Conforme",IF(TAB_ESTOQUE[[#This Row],[Estoque]]&gt;=TAB_ESTOQUE[[#This Row],[Mínimo]],"Estoque Conforme",IF(TAB_ESTOQUE[[#This Row],[Estoque]]&lt;TAB_ESTOQUE[[#This Row],[Mínimo]],"Estoque em Nivel Minimo")))</f>
        <v>Estoque Conforme</v>
      </c>
      <c r="AC1144" s="85"/>
      <c r="AD1144" s="82"/>
      <c r="AE1144" s="82"/>
      <c r="AF1144" s="82"/>
    </row>
    <row r="1145" spans="1:32" ht="15" customHeight="1" x14ac:dyDescent="0.25">
      <c r="A1145" s="45">
        <v>521</v>
      </c>
      <c r="B1145" s="47"/>
      <c r="C1145" s="46"/>
      <c r="D1145" s="45" t="s">
        <v>2065</v>
      </c>
      <c r="E1145" s="46" t="s">
        <v>7</v>
      </c>
      <c r="F1145" s="87"/>
      <c r="G1145" s="82"/>
      <c r="H1145" s="82"/>
      <c r="I1145" s="82" t="s">
        <v>8505</v>
      </c>
      <c r="J1145" s="82"/>
      <c r="K1145" s="82"/>
      <c r="L1145" s="82"/>
      <c r="M1145" s="82" t="s">
        <v>299</v>
      </c>
      <c r="N1145" s="82"/>
      <c r="O1145" s="87" t="s">
        <v>6531</v>
      </c>
      <c r="P1145" s="82" t="s">
        <v>301</v>
      </c>
      <c r="Q1145" s="83">
        <f>VLOOKUP(TAB_ESTOQUE[[#This Row],[Codigo]],TAB_ENTRADA[[Cod_2_Entrada]:[TOTAL_ENTRADA]],5,FALSE)-VLOOKUP(TAB_ESTOQUE[[#This Row],[Codigo]],TAB_SAIDA[[COD_2_SAIDA]:[TOTAL_SAIDA]],5,FALSE)</f>
        <v>8</v>
      </c>
      <c r="R1145" s="87"/>
      <c r="S1145" s="87"/>
      <c r="T1145" s="90"/>
      <c r="U1145" s="91">
        <f>TAB_ESTOQUE[[#This Row],[Valor Unitario Estimado]]*TAB_ESTOQUE[[#This Row],[Estoque]]</f>
        <v>0</v>
      </c>
      <c r="V1145" s="91"/>
      <c r="W1145" s="85"/>
      <c r="X1145" s="85"/>
      <c r="Y1145" s="85"/>
      <c r="Z1145" s="85"/>
      <c r="AA1145" s="85"/>
      <c r="AB1145" s="85" t="str">
        <f>IF(TAB_ESTOQUE[[#This Row],[Estoque]]=0,"Estoque Não Conforme",IF(TAB_ESTOQUE[[#This Row],[Estoque]]&gt;=TAB_ESTOQUE[[#This Row],[Mínimo]],"Estoque Conforme",IF(TAB_ESTOQUE[[#This Row],[Estoque]]&lt;TAB_ESTOQUE[[#This Row],[Mínimo]],"Estoque em Nivel Minimo")))</f>
        <v>Estoque Conforme</v>
      </c>
      <c r="AC1145" s="85"/>
      <c r="AD1145" s="82"/>
      <c r="AE1145" s="82"/>
      <c r="AF1145" s="82"/>
    </row>
    <row r="1146" spans="1:32" ht="15" customHeight="1" x14ac:dyDescent="0.25">
      <c r="A1146" s="45">
        <v>1010</v>
      </c>
      <c r="B1146" s="47"/>
      <c r="C1146" s="46"/>
      <c r="D1146" s="45" t="s">
        <v>2072</v>
      </c>
      <c r="E1146" s="46" t="s">
        <v>7</v>
      </c>
      <c r="F1146" s="87"/>
      <c r="G1146" s="82"/>
      <c r="H1146" s="82"/>
      <c r="I1146" s="82" t="s">
        <v>6533</v>
      </c>
      <c r="J1146" s="82"/>
      <c r="K1146" s="82"/>
      <c r="L1146" s="82"/>
      <c r="M1146" s="82"/>
      <c r="N1146" s="82"/>
      <c r="O1146" s="87" t="s">
        <v>6531</v>
      </c>
      <c r="P1146" s="82" t="s">
        <v>285</v>
      </c>
      <c r="Q1146" s="83">
        <f>VLOOKUP(TAB_ESTOQUE[[#This Row],[Codigo]],TAB_ENTRADA[[Cod_2_Entrada]:[TOTAL_ENTRADA]],5,FALSE)-VLOOKUP(TAB_ESTOQUE[[#This Row],[Codigo]],TAB_SAIDA[[COD_2_SAIDA]:[TOTAL_SAIDA]],5,FALSE)</f>
        <v>0</v>
      </c>
      <c r="R1146" s="87"/>
      <c r="S1146" s="87"/>
      <c r="T1146" s="90">
        <v>50</v>
      </c>
      <c r="U1146" s="91">
        <f>TAB_ESTOQUE[[#This Row],[Valor Unitario Estimado]]*TAB_ESTOQUE[[#This Row],[Estoque]]</f>
        <v>0</v>
      </c>
      <c r="V1146" s="91"/>
      <c r="W1146" s="85"/>
      <c r="X1146" s="85"/>
      <c r="Y1146" s="85"/>
      <c r="Z1146" s="85"/>
      <c r="AA1146" s="85"/>
      <c r="AB1146" s="85" t="str">
        <f>IF(TAB_ESTOQUE[[#This Row],[Estoque]]=0,"Estoque Não Conforme",IF(TAB_ESTOQUE[[#This Row],[Estoque]]&gt;=TAB_ESTOQUE[[#This Row],[Mínimo]],"Estoque Conforme",IF(TAB_ESTOQUE[[#This Row],[Estoque]]&lt;TAB_ESTOQUE[[#This Row],[Mínimo]],"Estoque em Nivel Minimo")))</f>
        <v>Estoque Não Conforme</v>
      </c>
      <c r="AC1146" s="85"/>
      <c r="AD1146" s="82"/>
      <c r="AE1146" s="82"/>
      <c r="AF1146" s="82"/>
    </row>
    <row r="1147" spans="1:32" ht="15" customHeight="1" x14ac:dyDescent="0.25">
      <c r="A1147" s="45">
        <v>1011</v>
      </c>
      <c r="B1147" s="47"/>
      <c r="C1147" s="46" t="s">
        <v>2833</v>
      </c>
      <c r="D1147" s="45" t="s">
        <v>2074</v>
      </c>
      <c r="E1147" s="46" t="s">
        <v>7</v>
      </c>
      <c r="F1147" s="87"/>
      <c r="G1147" s="82"/>
      <c r="H1147" s="82"/>
      <c r="I1147" s="82" t="s">
        <v>6534</v>
      </c>
      <c r="J1147" s="82"/>
      <c r="K1147" s="82"/>
      <c r="L1147" s="82"/>
      <c r="M1147" s="82"/>
      <c r="N1147" s="82"/>
      <c r="O1147" s="87" t="s">
        <v>6531</v>
      </c>
      <c r="P1147" s="82" t="s">
        <v>285</v>
      </c>
      <c r="Q1147" s="83">
        <f>VLOOKUP(TAB_ESTOQUE[[#This Row],[Codigo]],TAB_ENTRADA[[Cod_2_Entrada]:[TOTAL_ENTRADA]],5,FALSE)-VLOOKUP(TAB_ESTOQUE[[#This Row],[Codigo]],TAB_SAIDA[[COD_2_SAIDA]:[TOTAL_SAIDA]],5,FALSE)</f>
        <v>16</v>
      </c>
      <c r="R1147" s="87"/>
      <c r="S1147" s="87"/>
      <c r="T1147" s="90"/>
      <c r="U1147" s="91">
        <f>TAB_ESTOQUE[[#This Row],[Valor Unitario Estimado]]*TAB_ESTOQUE[[#This Row],[Estoque]]</f>
        <v>0</v>
      </c>
      <c r="V1147" s="91"/>
      <c r="W1147" s="85"/>
      <c r="X1147" s="85"/>
      <c r="Y1147" s="85"/>
      <c r="Z1147" s="85"/>
      <c r="AA1147" s="85"/>
      <c r="AB1147" s="85" t="str">
        <f>IF(TAB_ESTOQUE[[#This Row],[Estoque]]=0,"Estoque Não Conforme",IF(TAB_ESTOQUE[[#This Row],[Estoque]]&gt;=TAB_ESTOQUE[[#This Row],[Mínimo]],"Estoque Conforme",IF(TAB_ESTOQUE[[#This Row],[Estoque]]&lt;TAB_ESTOQUE[[#This Row],[Mínimo]],"Estoque em Nivel Minimo")))</f>
        <v>Estoque Conforme</v>
      </c>
      <c r="AC1147" s="85"/>
      <c r="AD1147" s="82"/>
      <c r="AE1147" s="82"/>
      <c r="AF1147" s="82"/>
    </row>
    <row r="1148" spans="1:32" ht="15" customHeight="1" x14ac:dyDescent="0.25">
      <c r="A1148" s="45">
        <v>1015</v>
      </c>
      <c r="B1148" s="47"/>
      <c r="C1148" s="46"/>
      <c r="D1148" s="45" t="s">
        <v>2080</v>
      </c>
      <c r="E1148" s="46" t="s">
        <v>7</v>
      </c>
      <c r="F1148" s="87"/>
      <c r="G1148" s="82"/>
      <c r="H1148" s="82"/>
      <c r="I1148" s="82" t="s">
        <v>6535</v>
      </c>
      <c r="J1148" s="82"/>
      <c r="K1148" s="82"/>
      <c r="L1148" s="82"/>
      <c r="M1148" s="82"/>
      <c r="N1148" s="82"/>
      <c r="O1148" s="87" t="s">
        <v>6531</v>
      </c>
      <c r="P1148" s="82" t="s">
        <v>289</v>
      </c>
      <c r="Q1148" s="83">
        <f>VLOOKUP(TAB_ESTOQUE[[#This Row],[Codigo]],TAB_ENTRADA[[Cod_2_Entrada]:[TOTAL_ENTRADA]],5,FALSE)-VLOOKUP(TAB_ESTOQUE[[#This Row],[Codigo]],TAB_SAIDA[[COD_2_SAIDA]:[TOTAL_SAIDA]],5,FALSE)</f>
        <v>0</v>
      </c>
      <c r="R1148" s="87"/>
      <c r="S1148" s="87"/>
      <c r="T1148" s="90">
        <v>25</v>
      </c>
      <c r="U1148" s="91">
        <f>TAB_ESTOQUE[[#This Row],[Valor Unitario Estimado]]*TAB_ESTOQUE[[#This Row],[Estoque]]</f>
        <v>0</v>
      </c>
      <c r="V1148" s="91"/>
      <c r="W1148" s="85"/>
      <c r="X1148" s="85"/>
      <c r="Y1148" s="85"/>
      <c r="Z1148" s="85"/>
      <c r="AA1148" s="85"/>
      <c r="AB1148" s="85" t="str">
        <f>IF(TAB_ESTOQUE[[#This Row],[Estoque]]=0,"Estoque Não Conforme",IF(TAB_ESTOQUE[[#This Row],[Estoque]]&gt;=TAB_ESTOQUE[[#This Row],[Mínimo]],"Estoque Conforme",IF(TAB_ESTOQUE[[#This Row],[Estoque]]&lt;TAB_ESTOQUE[[#This Row],[Mínimo]],"Estoque em Nivel Minimo")))</f>
        <v>Estoque Não Conforme</v>
      </c>
      <c r="AC1148" s="85"/>
      <c r="AD1148" s="82"/>
      <c r="AE1148" s="82"/>
      <c r="AF1148" s="82"/>
    </row>
    <row r="1149" spans="1:32" s="47" customFormat="1" ht="15" customHeight="1" x14ac:dyDescent="0.25">
      <c r="A1149" s="45">
        <v>506</v>
      </c>
      <c r="C1149" s="46"/>
      <c r="D1149" s="45" t="s">
        <v>2092</v>
      </c>
      <c r="E1149" s="46" t="s">
        <v>7</v>
      </c>
      <c r="F1149" s="87"/>
      <c r="G1149" s="82"/>
      <c r="H1149" s="82"/>
      <c r="I1149" s="92" t="s">
        <v>6133</v>
      </c>
      <c r="J1149" s="82"/>
      <c r="K1149" s="82"/>
      <c r="L1149" s="82"/>
      <c r="M1149" s="82"/>
      <c r="N1149" s="82"/>
      <c r="O1149" s="87" t="s">
        <v>6531</v>
      </c>
      <c r="P1149" s="82" t="s">
        <v>282</v>
      </c>
      <c r="Q1149" s="83">
        <f>VLOOKUP(TAB_ESTOQUE[[#This Row],[Codigo]],TAB_ENTRADA[[Cod_2_Entrada]:[TOTAL_ENTRADA]],5,FALSE)-VLOOKUP(TAB_ESTOQUE[[#This Row],[Codigo]],TAB_SAIDA[[COD_2_SAIDA]:[TOTAL_SAIDA]],5,FALSE)</f>
        <v>10</v>
      </c>
      <c r="R1149" s="87"/>
      <c r="S1149" s="87"/>
      <c r="T1149" s="90"/>
      <c r="U1149" s="91">
        <f>TAB_ESTOQUE[[#This Row],[Valor Unitario Estimado]]*TAB_ESTOQUE[[#This Row],[Estoque]]</f>
        <v>0</v>
      </c>
      <c r="V1149" s="91"/>
      <c r="W1149" s="85"/>
      <c r="X1149" s="85"/>
      <c r="Y1149" s="85"/>
      <c r="Z1149" s="85"/>
      <c r="AA1149" s="85"/>
      <c r="AB1149" s="85" t="str">
        <f>IF(TAB_ESTOQUE[[#This Row],[Estoque]]=0,"Estoque Não Conforme",IF(TAB_ESTOQUE[[#This Row],[Estoque]]&gt;=TAB_ESTOQUE[[#This Row],[Mínimo]],"Estoque Conforme",IF(TAB_ESTOQUE[[#This Row],[Estoque]]&lt;TAB_ESTOQUE[[#This Row],[Mínimo]],"Estoque em Nivel Minimo")))</f>
        <v>Estoque Conforme</v>
      </c>
      <c r="AC1149" s="85"/>
      <c r="AD1149" s="82"/>
      <c r="AE1149" s="94"/>
      <c r="AF1149" s="94"/>
    </row>
    <row r="1150" spans="1:32" ht="15" customHeight="1" x14ac:dyDescent="0.25">
      <c r="A1150" s="45">
        <v>202</v>
      </c>
      <c r="B1150" s="47"/>
      <c r="C1150" s="46"/>
      <c r="D1150" s="45" t="s">
        <v>2136</v>
      </c>
      <c r="E1150" s="46"/>
      <c r="F1150" s="87"/>
      <c r="G1150" s="82"/>
      <c r="H1150" s="82"/>
      <c r="I1150" s="82" t="s">
        <v>8521</v>
      </c>
      <c r="J1150" s="82"/>
      <c r="K1150" s="82"/>
      <c r="L1150" s="82"/>
      <c r="M1150" s="82" t="s">
        <v>139</v>
      </c>
      <c r="N1150" s="82"/>
      <c r="O1150" s="87" t="s">
        <v>6531</v>
      </c>
      <c r="P1150" s="82" t="s">
        <v>152</v>
      </c>
      <c r="Q1150" s="83">
        <f>VLOOKUP(TAB_ESTOQUE[[#This Row],[Codigo]],TAB_ENTRADA[[Cod_2_Entrada]:[TOTAL_ENTRADA]],5,FALSE)-VLOOKUP(TAB_ESTOQUE[[#This Row],[Codigo]],TAB_SAIDA[[COD_2_SAIDA]:[TOTAL_SAIDA]],5,FALSE)</f>
        <v>2</v>
      </c>
      <c r="R1150" s="87"/>
      <c r="S1150" s="87"/>
      <c r="T1150" s="90">
        <v>10</v>
      </c>
      <c r="U1150" s="91">
        <f>TAB_ESTOQUE[[#This Row],[Valor Unitario Estimado]]*TAB_ESTOQUE[[#This Row],[Estoque]]</f>
        <v>20</v>
      </c>
      <c r="V1150" s="91"/>
      <c r="W1150" s="85"/>
      <c r="X1150" s="85"/>
      <c r="Y1150" s="85"/>
      <c r="Z1150" s="85"/>
      <c r="AA1150" s="85"/>
      <c r="AB1150" s="85" t="str">
        <f>IF(TAB_ESTOQUE[[#This Row],[Estoque]]=0,"Estoque Não Conforme",IF(TAB_ESTOQUE[[#This Row],[Estoque]]&gt;=TAB_ESTOQUE[[#This Row],[Mínimo]],"Estoque Conforme",IF(TAB_ESTOQUE[[#This Row],[Estoque]]&lt;TAB_ESTOQUE[[#This Row],[Mínimo]],"Estoque em Nivel Minimo")))</f>
        <v>Estoque Conforme</v>
      </c>
      <c r="AC1150" s="85"/>
      <c r="AD1150" s="82"/>
      <c r="AE1150" s="82"/>
      <c r="AF1150" s="82"/>
    </row>
    <row r="1151" spans="1:32" ht="15" customHeight="1" x14ac:dyDescent="0.25">
      <c r="A1151" s="106">
        <v>1189</v>
      </c>
      <c r="B1151" s="106"/>
      <c r="C1151" s="116"/>
      <c r="D1151" s="106" t="s">
        <v>2151</v>
      </c>
      <c r="E1151" s="116" t="s">
        <v>7</v>
      </c>
      <c r="F1151" s="118"/>
      <c r="G1151" s="95"/>
      <c r="H1151" s="95"/>
      <c r="I1151" s="95" t="s">
        <v>6532</v>
      </c>
      <c r="J1151" s="95"/>
      <c r="K1151" s="95"/>
      <c r="L1151" s="95"/>
      <c r="M1151" s="95"/>
      <c r="N1151" s="95"/>
      <c r="O1151" s="118" t="s">
        <v>6531</v>
      </c>
      <c r="P1151" s="95" t="s">
        <v>913</v>
      </c>
      <c r="Q1151" s="154">
        <f>VLOOKUP(TAB_ESTOQUE[[#This Row],[Codigo]],TAB_ENTRADA[[Cod_2_Entrada]:[TOTAL_ENTRADA]],5,FALSE)-VLOOKUP(TAB_ESTOQUE[[#This Row],[Codigo]],TAB_SAIDA[[COD_2_SAIDA]:[TOTAL_SAIDA]],5,FALSE)</f>
        <v>12</v>
      </c>
      <c r="R1151" s="118"/>
      <c r="S1151" s="118"/>
      <c r="T1151" s="119"/>
      <c r="U1151" s="112">
        <f>TAB_ESTOQUE[[#This Row],[Valor Unitario Estimado]]*TAB_ESTOQUE[[#This Row],[Estoque]]</f>
        <v>0</v>
      </c>
      <c r="V1151" s="112"/>
      <c r="W1151" s="120"/>
      <c r="X1151" s="120"/>
      <c r="Y1151" s="120"/>
      <c r="Z1151" s="120"/>
      <c r="AA1151" s="120"/>
      <c r="AB1151" s="120" t="str">
        <f>IF(TAB_ESTOQUE[[#This Row],[Estoque]]=0,"Estoque Não Conforme",IF(TAB_ESTOQUE[[#This Row],[Estoque]]&gt;=TAB_ESTOQUE[[#This Row],[Mínimo]],"Estoque Conforme",IF(TAB_ESTOQUE[[#This Row],[Estoque]]&lt;TAB_ESTOQUE[[#This Row],[Mínimo]],"Estoque em Nivel Minimo")))</f>
        <v>Estoque Conforme</v>
      </c>
      <c r="AC1151" s="120"/>
      <c r="AD1151" s="95"/>
      <c r="AE1151" s="82"/>
      <c r="AF1151" s="82"/>
    </row>
    <row r="1152" spans="1:32" s="106" customFormat="1" ht="15" customHeight="1" x14ac:dyDescent="0.25">
      <c r="A1152" s="45">
        <v>1326</v>
      </c>
      <c r="B1152" s="47"/>
      <c r="C1152" s="46"/>
      <c r="D1152" s="45" t="s">
        <v>2157</v>
      </c>
      <c r="E1152" s="46" t="s">
        <v>7</v>
      </c>
      <c r="F1152" s="87"/>
      <c r="G1152" s="82"/>
      <c r="H1152" s="82"/>
      <c r="I1152" s="95" t="s">
        <v>4883</v>
      </c>
      <c r="J1152" s="82"/>
      <c r="K1152" s="82"/>
      <c r="L1152" s="82"/>
      <c r="M1152" s="82" t="s">
        <v>163</v>
      </c>
      <c r="N1152" s="82"/>
      <c r="O1152" s="87" t="s">
        <v>6531</v>
      </c>
      <c r="P1152" s="82" t="s">
        <v>1059</v>
      </c>
      <c r="Q1152" s="83">
        <f>VLOOKUP(TAB_ESTOQUE[[#This Row],[Codigo]],TAB_ENTRADA[[Cod_2_Entrada]:[TOTAL_ENTRADA]],5,FALSE)-VLOOKUP(TAB_ESTOQUE[[#This Row],[Codigo]],TAB_SAIDA[[COD_2_SAIDA]:[TOTAL_SAIDA]],5,FALSE)</f>
        <v>4</v>
      </c>
      <c r="R1152" s="87"/>
      <c r="S1152" s="87"/>
      <c r="T1152" s="90">
        <v>30</v>
      </c>
      <c r="U1152" s="91">
        <f>TAB_ESTOQUE[[#This Row],[Valor Unitario Estimado]]*TAB_ESTOQUE[[#This Row],[Estoque]]</f>
        <v>120</v>
      </c>
      <c r="V1152" s="91"/>
      <c r="W1152" s="85"/>
      <c r="X1152" s="85"/>
      <c r="Y1152" s="85"/>
      <c r="Z1152" s="85"/>
      <c r="AA1152" s="85"/>
      <c r="AB1152" s="85" t="str">
        <f>IF(TAB_ESTOQUE[[#This Row],[Estoque]]=0,"Estoque Não Conforme",IF(TAB_ESTOQUE[[#This Row],[Estoque]]&gt;=TAB_ESTOQUE[[#This Row],[Mínimo]],"Estoque Conforme",IF(TAB_ESTOQUE[[#This Row],[Estoque]]&lt;TAB_ESTOQUE[[#This Row],[Mínimo]],"Estoque em Nivel Minimo")))</f>
        <v>Estoque Conforme</v>
      </c>
      <c r="AC1152" s="85"/>
      <c r="AD1152" s="82"/>
      <c r="AE1152" s="95"/>
      <c r="AF1152" s="95"/>
    </row>
    <row r="1153" spans="1:32" s="47" customFormat="1" ht="15" customHeight="1" x14ac:dyDescent="0.25">
      <c r="A1153" s="45">
        <v>227</v>
      </c>
      <c r="C1153" s="46"/>
      <c r="D1153" s="45" t="s">
        <v>2167</v>
      </c>
      <c r="E1153" s="46" t="s">
        <v>7</v>
      </c>
      <c r="F1153" s="87"/>
      <c r="G1153" s="82"/>
      <c r="H1153" s="82"/>
      <c r="I1153" s="82" t="s">
        <v>6158</v>
      </c>
      <c r="J1153" s="82"/>
      <c r="K1153" s="82" t="s">
        <v>177</v>
      </c>
      <c r="L1153" s="82"/>
      <c r="M1153" s="82" t="s">
        <v>139</v>
      </c>
      <c r="N1153" s="82"/>
      <c r="O1153" s="87" t="s">
        <v>6531</v>
      </c>
      <c r="P1153" s="82" t="s">
        <v>176</v>
      </c>
      <c r="Q1153" s="83">
        <f>VLOOKUP(TAB_ESTOQUE[[#This Row],[Codigo]],TAB_ENTRADA[[Cod_2_Entrada]:[TOTAL_ENTRADA]],5,FALSE)-VLOOKUP(TAB_ESTOQUE[[#This Row],[Codigo]],TAB_SAIDA[[COD_2_SAIDA]:[TOTAL_SAIDA]],5,FALSE)</f>
        <v>10</v>
      </c>
      <c r="R1153" s="87"/>
      <c r="S1153" s="87"/>
      <c r="T1153" s="90"/>
      <c r="U1153" s="91">
        <f>TAB_ESTOQUE[[#This Row],[Valor Unitario Estimado]]*TAB_ESTOQUE[[#This Row],[Estoque]]</f>
        <v>0</v>
      </c>
      <c r="V1153" s="91"/>
      <c r="W1153" s="85"/>
      <c r="X1153" s="85"/>
      <c r="Y1153" s="85"/>
      <c r="Z1153" s="85"/>
      <c r="AA1153" s="85"/>
      <c r="AB1153" s="85" t="str">
        <f>IF(TAB_ESTOQUE[[#This Row],[Estoque]]=0,"Estoque Não Conforme",IF(TAB_ESTOQUE[[#This Row],[Estoque]]&gt;=TAB_ESTOQUE[[#This Row],[Mínimo]],"Estoque Conforme",IF(TAB_ESTOQUE[[#This Row],[Estoque]]&lt;TAB_ESTOQUE[[#This Row],[Mínimo]],"Estoque em Nivel Minimo")))</f>
        <v>Estoque Conforme</v>
      </c>
      <c r="AC1153" s="85"/>
      <c r="AD1153" s="82"/>
      <c r="AE1153" s="94"/>
      <c r="AF1153" s="94"/>
    </row>
    <row r="1154" spans="1:32" s="106" customFormat="1" ht="15" customHeight="1" x14ac:dyDescent="0.25">
      <c r="A1154" s="45">
        <v>232</v>
      </c>
      <c r="B1154" s="47"/>
      <c r="C1154" s="46"/>
      <c r="D1154" s="45" t="s">
        <v>2172</v>
      </c>
      <c r="E1154" s="46" t="s">
        <v>7</v>
      </c>
      <c r="F1154" s="87"/>
      <c r="G1154" s="82"/>
      <c r="H1154" s="82"/>
      <c r="I1154" s="82" t="s">
        <v>1527</v>
      </c>
      <c r="J1154" s="82"/>
      <c r="K1154" s="82" t="s">
        <v>177</v>
      </c>
      <c r="L1154" s="82"/>
      <c r="M1154" s="82" t="s">
        <v>139</v>
      </c>
      <c r="N1154" s="82"/>
      <c r="O1154" s="87" t="s">
        <v>6531</v>
      </c>
      <c r="P1154" s="82" t="s">
        <v>184</v>
      </c>
      <c r="Q1154" s="83">
        <f>VLOOKUP(TAB_ESTOQUE[[#This Row],[Codigo]],TAB_ENTRADA[[Cod_2_Entrada]:[TOTAL_ENTRADA]],5,FALSE)-VLOOKUP(TAB_ESTOQUE[[#This Row],[Codigo]],TAB_SAIDA[[COD_2_SAIDA]:[TOTAL_SAIDA]],5,FALSE)</f>
        <v>6</v>
      </c>
      <c r="R1154" s="87"/>
      <c r="S1154" s="87"/>
      <c r="T1154" s="90"/>
      <c r="U1154" s="91">
        <f>TAB_ESTOQUE[[#This Row],[Valor Unitario Estimado]]*TAB_ESTOQUE[[#This Row],[Estoque]]</f>
        <v>0</v>
      </c>
      <c r="V1154" s="91"/>
      <c r="W1154" s="85"/>
      <c r="X1154" s="85"/>
      <c r="Y1154" s="85"/>
      <c r="Z1154" s="85"/>
      <c r="AA1154" s="85"/>
      <c r="AB1154" s="85" t="str">
        <f>IF(TAB_ESTOQUE[[#This Row],[Estoque]]=0,"Estoque Não Conforme",IF(TAB_ESTOQUE[[#This Row],[Estoque]]&gt;=TAB_ESTOQUE[[#This Row],[Mínimo]],"Estoque Conforme",IF(TAB_ESTOQUE[[#This Row],[Estoque]]&lt;TAB_ESTOQUE[[#This Row],[Mínimo]],"Estoque em Nivel Minimo")))</f>
        <v>Estoque Conforme</v>
      </c>
      <c r="AC1154" s="85"/>
      <c r="AD1154" s="82"/>
      <c r="AE1154" s="95"/>
      <c r="AF1154" s="95"/>
    </row>
    <row r="1155" spans="1:32" ht="15" customHeight="1" x14ac:dyDescent="0.25">
      <c r="A1155" s="45">
        <v>1317</v>
      </c>
      <c r="B1155" s="47"/>
      <c r="C1155" s="46"/>
      <c r="D1155" s="45" t="s">
        <v>2173</v>
      </c>
      <c r="E1155" s="46" t="s">
        <v>7</v>
      </c>
      <c r="F1155" s="87"/>
      <c r="G1155" s="82"/>
      <c r="H1155" s="82"/>
      <c r="I1155" s="82" t="s">
        <v>1528</v>
      </c>
      <c r="J1155" s="82"/>
      <c r="K1155" s="82"/>
      <c r="L1155" s="82"/>
      <c r="M1155" s="82" t="s">
        <v>139</v>
      </c>
      <c r="N1155" s="82"/>
      <c r="O1155" s="87" t="s">
        <v>6531</v>
      </c>
      <c r="P1155" s="82" t="s">
        <v>1050</v>
      </c>
      <c r="Q1155" s="83">
        <f>VLOOKUP(TAB_ESTOQUE[[#This Row],[Codigo]],TAB_ENTRADA[[Cod_2_Entrada]:[TOTAL_ENTRADA]],5,FALSE)-VLOOKUP(TAB_ESTOQUE[[#This Row],[Codigo]],TAB_SAIDA[[COD_2_SAIDA]:[TOTAL_SAIDA]],5,FALSE)</f>
        <v>8</v>
      </c>
      <c r="R1155" s="87"/>
      <c r="S1155" s="87"/>
      <c r="T1155" s="90"/>
      <c r="U1155" s="91">
        <f>TAB_ESTOQUE[[#This Row],[Valor Unitario Estimado]]*TAB_ESTOQUE[[#This Row],[Estoque]]</f>
        <v>0</v>
      </c>
      <c r="V1155" s="91"/>
      <c r="W1155" s="85"/>
      <c r="X1155" s="85"/>
      <c r="Y1155" s="85"/>
      <c r="Z1155" s="85"/>
      <c r="AA1155" s="85"/>
      <c r="AB1155" s="85" t="str">
        <f>IF(TAB_ESTOQUE[[#This Row],[Estoque]]=0,"Estoque Não Conforme",IF(TAB_ESTOQUE[[#This Row],[Estoque]]&gt;=TAB_ESTOQUE[[#This Row],[Mínimo]],"Estoque Conforme",IF(TAB_ESTOQUE[[#This Row],[Estoque]]&lt;TAB_ESTOQUE[[#This Row],[Mínimo]],"Estoque em Nivel Minimo")))</f>
        <v>Estoque Conforme</v>
      </c>
      <c r="AC1155" s="85"/>
      <c r="AD1155" s="82"/>
      <c r="AE1155" s="82"/>
      <c r="AF1155" s="82"/>
    </row>
    <row r="1156" spans="1:32" s="106" customFormat="1" ht="15" customHeight="1" x14ac:dyDescent="0.25">
      <c r="A1156" s="45">
        <v>233</v>
      </c>
      <c r="B1156" s="47"/>
      <c r="C1156" s="46"/>
      <c r="D1156" s="45" t="s">
        <v>2174</v>
      </c>
      <c r="E1156" s="46" t="s">
        <v>7</v>
      </c>
      <c r="F1156" s="87"/>
      <c r="G1156" s="82"/>
      <c r="H1156" s="82"/>
      <c r="I1156" s="82" t="s">
        <v>6160</v>
      </c>
      <c r="J1156" s="82"/>
      <c r="K1156" s="82"/>
      <c r="L1156" s="82"/>
      <c r="M1156" s="82" t="s">
        <v>139</v>
      </c>
      <c r="N1156" s="82"/>
      <c r="O1156" s="87" t="s">
        <v>6531</v>
      </c>
      <c r="P1156" s="82" t="s">
        <v>185</v>
      </c>
      <c r="Q1156" s="83">
        <f>VLOOKUP(TAB_ESTOQUE[[#This Row],[Codigo]],TAB_ENTRADA[[Cod_2_Entrada]:[TOTAL_ENTRADA]],5,FALSE)-VLOOKUP(TAB_ESTOQUE[[#This Row],[Codigo]],TAB_SAIDA[[COD_2_SAIDA]:[TOTAL_SAIDA]],5,FALSE)</f>
        <v>7</v>
      </c>
      <c r="R1156" s="87"/>
      <c r="S1156" s="87"/>
      <c r="T1156" s="90"/>
      <c r="U1156" s="91">
        <f>TAB_ESTOQUE[[#This Row],[Valor Unitario Estimado]]*TAB_ESTOQUE[[#This Row],[Estoque]]</f>
        <v>0</v>
      </c>
      <c r="V1156" s="91"/>
      <c r="W1156" s="85"/>
      <c r="X1156" s="85"/>
      <c r="Y1156" s="85"/>
      <c r="Z1156" s="85"/>
      <c r="AA1156" s="85"/>
      <c r="AB1156" s="85" t="str">
        <f>IF(TAB_ESTOQUE[[#This Row],[Estoque]]=0,"Estoque Não Conforme",IF(TAB_ESTOQUE[[#This Row],[Estoque]]&gt;=TAB_ESTOQUE[[#This Row],[Mínimo]],"Estoque Conforme",IF(TAB_ESTOQUE[[#This Row],[Estoque]]&lt;TAB_ESTOQUE[[#This Row],[Mínimo]],"Estoque em Nivel Minimo")))</f>
        <v>Estoque Conforme</v>
      </c>
      <c r="AC1156" s="85"/>
      <c r="AD1156" s="82"/>
      <c r="AE1156" s="95"/>
      <c r="AF1156" s="95"/>
    </row>
    <row r="1157" spans="1:32" ht="15" customHeight="1" x14ac:dyDescent="0.25">
      <c r="A1157" s="45">
        <v>1030</v>
      </c>
      <c r="B1157" s="47"/>
      <c r="C1157" s="46"/>
      <c r="D1157" s="45" t="s">
        <v>2175</v>
      </c>
      <c r="E1157" s="46" t="s">
        <v>7</v>
      </c>
      <c r="F1157" s="87"/>
      <c r="G1157" s="82"/>
      <c r="H1157" s="82"/>
      <c r="I1157" s="82" t="s">
        <v>1529</v>
      </c>
      <c r="J1157" s="82"/>
      <c r="K1157" s="82"/>
      <c r="L1157" s="82"/>
      <c r="M1157" s="82" t="s">
        <v>139</v>
      </c>
      <c r="N1157" s="82"/>
      <c r="O1157" s="87" t="s">
        <v>6531</v>
      </c>
      <c r="P1157" s="82" t="s">
        <v>185</v>
      </c>
      <c r="Q1157" s="83">
        <f>VLOOKUP(TAB_ESTOQUE[[#This Row],[Codigo]],TAB_ENTRADA[[Cod_2_Entrada]:[TOTAL_ENTRADA]],5,FALSE)-VLOOKUP(TAB_ESTOQUE[[#This Row],[Codigo]],TAB_SAIDA[[COD_2_SAIDA]:[TOTAL_SAIDA]],5,FALSE)</f>
        <v>6</v>
      </c>
      <c r="R1157" s="87"/>
      <c r="S1157" s="87"/>
      <c r="T1157" s="90"/>
      <c r="U1157" s="91">
        <f>TAB_ESTOQUE[[#This Row],[Valor Unitario Estimado]]*TAB_ESTOQUE[[#This Row],[Estoque]]</f>
        <v>0</v>
      </c>
      <c r="V1157" s="91"/>
      <c r="W1157" s="85"/>
      <c r="X1157" s="85"/>
      <c r="Y1157" s="85"/>
      <c r="Z1157" s="85"/>
      <c r="AA1157" s="85"/>
      <c r="AB1157" s="85" t="str">
        <f>IF(TAB_ESTOQUE[[#This Row],[Estoque]]=0,"Estoque Não Conforme",IF(TAB_ESTOQUE[[#This Row],[Estoque]]&gt;=TAB_ESTOQUE[[#This Row],[Mínimo]],"Estoque Conforme",IF(TAB_ESTOQUE[[#This Row],[Estoque]]&lt;TAB_ESTOQUE[[#This Row],[Mínimo]],"Estoque em Nivel Minimo")))</f>
        <v>Estoque Conforme</v>
      </c>
      <c r="AC1157" s="85"/>
      <c r="AD1157" s="82"/>
      <c r="AE1157" s="82"/>
      <c r="AF1157" s="82"/>
    </row>
    <row r="1158" spans="1:32" ht="15" customHeight="1" x14ac:dyDescent="0.25">
      <c r="A1158" s="45">
        <v>1032</v>
      </c>
      <c r="B1158" s="47"/>
      <c r="C1158" s="46"/>
      <c r="D1158" s="45" t="s">
        <v>2181</v>
      </c>
      <c r="E1158" s="46" t="s">
        <v>7</v>
      </c>
      <c r="F1158" s="87"/>
      <c r="G1158" s="82"/>
      <c r="H1158" s="82"/>
      <c r="I1158" s="82" t="s">
        <v>6162</v>
      </c>
      <c r="J1158" s="82"/>
      <c r="K1158" s="82"/>
      <c r="L1158" s="82"/>
      <c r="M1158" s="82" t="s">
        <v>139</v>
      </c>
      <c r="N1158" s="82"/>
      <c r="O1158" s="87" t="s">
        <v>6531</v>
      </c>
      <c r="P1158" s="82" t="s">
        <v>789</v>
      </c>
      <c r="Q1158" s="83">
        <f>VLOOKUP(TAB_ESTOQUE[[#This Row],[Codigo]],TAB_ENTRADA[[Cod_2_Entrada]:[TOTAL_ENTRADA]],5,FALSE)-VLOOKUP(TAB_ESTOQUE[[#This Row],[Codigo]],TAB_SAIDA[[COD_2_SAIDA]:[TOTAL_SAIDA]],5,FALSE)</f>
        <v>0</v>
      </c>
      <c r="R1158" s="87"/>
      <c r="S1158" s="87"/>
      <c r="T1158" s="90"/>
      <c r="U1158" s="91">
        <f>TAB_ESTOQUE[[#This Row],[Valor Unitario Estimado]]*TAB_ESTOQUE[[#This Row],[Estoque]]</f>
        <v>0</v>
      </c>
      <c r="V1158" s="91"/>
      <c r="W1158" s="85"/>
      <c r="X1158" s="85"/>
      <c r="Y1158" s="85"/>
      <c r="Z1158" s="85"/>
      <c r="AA1158" s="85"/>
      <c r="AB1158" s="85" t="str">
        <f>IF(TAB_ESTOQUE[[#This Row],[Estoque]]=0,"Estoque Não Conforme",IF(TAB_ESTOQUE[[#This Row],[Estoque]]&gt;=TAB_ESTOQUE[[#This Row],[Mínimo]],"Estoque Conforme",IF(TAB_ESTOQUE[[#This Row],[Estoque]]&lt;TAB_ESTOQUE[[#This Row],[Mínimo]],"Estoque em Nivel Minimo")))</f>
        <v>Estoque Não Conforme</v>
      </c>
      <c r="AC1158" s="85"/>
      <c r="AD1158" s="82"/>
      <c r="AE1158" s="82"/>
      <c r="AF1158" s="82"/>
    </row>
    <row r="1159" spans="1:32" ht="15" customHeight="1" x14ac:dyDescent="0.25">
      <c r="A1159" s="45">
        <v>1029</v>
      </c>
      <c r="B1159" s="47"/>
      <c r="C1159" s="46"/>
      <c r="D1159" s="45" t="s">
        <v>2185</v>
      </c>
      <c r="E1159" s="46" t="s">
        <v>780</v>
      </c>
      <c r="F1159" s="87"/>
      <c r="G1159" s="82"/>
      <c r="H1159" s="82"/>
      <c r="I1159" s="82" t="s">
        <v>6540</v>
      </c>
      <c r="J1159" s="82"/>
      <c r="K1159" s="82"/>
      <c r="L1159" s="82"/>
      <c r="M1159" s="82" t="s">
        <v>139</v>
      </c>
      <c r="N1159" s="82"/>
      <c r="O1159" s="87" t="s">
        <v>6531</v>
      </c>
      <c r="P1159" s="82" t="s">
        <v>266</v>
      </c>
      <c r="Q1159" s="83">
        <f>VLOOKUP(TAB_ESTOQUE[[#This Row],[Codigo]],TAB_ENTRADA[[Cod_2_Entrada]:[TOTAL_ENTRADA]],5,FALSE)-VLOOKUP(TAB_ESTOQUE[[#This Row],[Codigo]],TAB_SAIDA[[COD_2_SAIDA]:[TOTAL_SAIDA]],5,FALSE)</f>
        <v>3</v>
      </c>
      <c r="R1159" s="87"/>
      <c r="S1159" s="87"/>
      <c r="T1159" s="90"/>
      <c r="U1159" s="91">
        <f>TAB_ESTOQUE[[#This Row],[Valor Unitario Estimado]]*TAB_ESTOQUE[[#This Row],[Estoque]]</f>
        <v>0</v>
      </c>
      <c r="V1159" s="91"/>
      <c r="W1159" s="85"/>
      <c r="X1159" s="85"/>
      <c r="Y1159" s="85"/>
      <c r="Z1159" s="85"/>
      <c r="AA1159" s="85"/>
      <c r="AB1159" s="85" t="str">
        <f>IF(TAB_ESTOQUE[[#This Row],[Estoque]]=0,"Estoque Não Conforme",IF(TAB_ESTOQUE[[#This Row],[Estoque]]&gt;=TAB_ESTOQUE[[#This Row],[Mínimo]],"Estoque Conforme",IF(TAB_ESTOQUE[[#This Row],[Estoque]]&lt;TAB_ESTOQUE[[#This Row],[Mínimo]],"Estoque em Nivel Minimo")))</f>
        <v>Estoque Conforme</v>
      </c>
      <c r="AC1159" s="85"/>
      <c r="AD1159" s="82"/>
      <c r="AE1159" s="82"/>
      <c r="AF1159" s="82"/>
    </row>
    <row r="1160" spans="1:32" ht="15" customHeight="1" x14ac:dyDescent="0.25">
      <c r="A1160" s="45">
        <v>485</v>
      </c>
      <c r="B1160" s="47"/>
      <c r="C1160" s="46"/>
      <c r="D1160" s="45" t="s">
        <v>2186</v>
      </c>
      <c r="E1160" s="46" t="s">
        <v>7</v>
      </c>
      <c r="F1160" s="87"/>
      <c r="G1160" s="82"/>
      <c r="H1160" s="82"/>
      <c r="I1160" s="82" t="s">
        <v>6539</v>
      </c>
      <c r="J1160" s="82"/>
      <c r="K1160" s="82"/>
      <c r="L1160" s="82"/>
      <c r="M1160" s="82"/>
      <c r="N1160" s="82"/>
      <c r="O1160" s="87" t="s">
        <v>6531</v>
      </c>
      <c r="P1160" s="82" t="s">
        <v>266</v>
      </c>
      <c r="Q1160" s="83">
        <f>VLOOKUP(TAB_ESTOQUE[[#This Row],[Codigo]],TAB_ENTRADA[[Cod_2_Entrada]:[TOTAL_ENTRADA]],5,FALSE)-VLOOKUP(TAB_ESTOQUE[[#This Row],[Codigo]],TAB_SAIDA[[COD_2_SAIDA]:[TOTAL_SAIDA]],5,FALSE)</f>
        <v>2</v>
      </c>
      <c r="R1160" s="87"/>
      <c r="S1160" s="87"/>
      <c r="T1160" s="90"/>
      <c r="U1160" s="91">
        <f>TAB_ESTOQUE[[#This Row],[Valor Unitario Estimado]]*TAB_ESTOQUE[[#This Row],[Estoque]]</f>
        <v>0</v>
      </c>
      <c r="V1160" s="91"/>
      <c r="W1160" s="85"/>
      <c r="X1160" s="85"/>
      <c r="Y1160" s="85"/>
      <c r="Z1160" s="85"/>
      <c r="AA1160" s="85"/>
      <c r="AB1160" s="85" t="str">
        <f>IF(TAB_ESTOQUE[[#This Row],[Estoque]]=0,"Estoque Não Conforme",IF(TAB_ESTOQUE[[#This Row],[Estoque]]&gt;=TAB_ESTOQUE[[#This Row],[Mínimo]],"Estoque Conforme",IF(TAB_ESTOQUE[[#This Row],[Estoque]]&lt;TAB_ESTOQUE[[#This Row],[Mínimo]],"Estoque em Nivel Minimo")))</f>
        <v>Estoque Conforme</v>
      </c>
      <c r="AC1160" s="85"/>
      <c r="AD1160" s="82"/>
      <c r="AE1160" s="82"/>
      <c r="AF1160" s="82"/>
    </row>
    <row r="1161" spans="1:32" ht="15" customHeight="1" x14ac:dyDescent="0.25">
      <c r="B1161" s="47"/>
      <c r="C1161" s="53" t="s">
        <v>2833</v>
      </c>
      <c r="D1161" s="45" t="s">
        <v>5995</v>
      </c>
      <c r="E1161" s="46"/>
      <c r="F1161" s="87"/>
      <c r="G1161" s="82"/>
      <c r="H1161" s="82"/>
      <c r="I1161" s="82" t="s">
        <v>6541</v>
      </c>
      <c r="J1161" s="82"/>
      <c r="K1161" s="82"/>
      <c r="L1161" s="82"/>
      <c r="M1161" s="82"/>
      <c r="N1161" s="82"/>
      <c r="O1161" s="87" t="s">
        <v>6531</v>
      </c>
      <c r="P1161" s="82" t="s">
        <v>6015</v>
      </c>
      <c r="Q1161" s="83">
        <f>VLOOKUP(TAB_ESTOQUE[[#This Row],[Codigo]],TAB_ENTRADA[[Cod_2_Entrada]:[TOTAL_ENTRADA]],5,FALSE)-VLOOKUP(TAB_ESTOQUE[[#This Row],[Codigo]],TAB_SAIDA[[COD_2_SAIDA]:[TOTAL_SAIDA]],5,FALSE)</f>
        <v>4</v>
      </c>
      <c r="R1161" s="87"/>
      <c r="S1161" s="87"/>
      <c r="T1161" s="90">
        <v>10</v>
      </c>
      <c r="U1161" s="91">
        <f>TAB_ESTOQUE[[#This Row],[Valor Unitario Estimado]]*TAB_ESTOQUE[[#This Row],[Estoque]]</f>
        <v>40</v>
      </c>
      <c r="V1161" s="91"/>
      <c r="W1161" s="85"/>
      <c r="X1161" s="85"/>
      <c r="Y1161" s="85"/>
      <c r="Z1161" s="85"/>
      <c r="AA1161" s="85"/>
      <c r="AB1161" s="96" t="str">
        <f>IF(TAB_ESTOQUE[[#This Row],[Estoque]]=0,"Estoque Não Conforme",IF(TAB_ESTOQUE[[#This Row],[Estoque]]&gt;=TAB_ESTOQUE[[#This Row],[Mínimo]],"Estoque Conforme",IF(TAB_ESTOQUE[[#This Row],[Estoque]]&lt;TAB_ESTOQUE[[#This Row],[Mínimo]],"Estoque em Nivel Minimo")))</f>
        <v>Estoque Conforme</v>
      </c>
      <c r="AC1161" s="96"/>
      <c r="AD1161" s="82"/>
      <c r="AE1161" s="82"/>
      <c r="AF1161" s="82"/>
    </row>
    <row r="1162" spans="1:32" ht="15" customHeight="1" x14ac:dyDescent="0.25">
      <c r="A1162" s="45">
        <v>219</v>
      </c>
      <c r="B1162" s="47"/>
      <c r="C1162" s="46"/>
      <c r="D1162" s="45" t="s">
        <v>2066</v>
      </c>
      <c r="E1162" s="46" t="s">
        <v>7</v>
      </c>
      <c r="F1162" s="87"/>
      <c r="G1162" s="82"/>
      <c r="H1162" s="82"/>
      <c r="I1162" s="82" t="s">
        <v>8506</v>
      </c>
      <c r="J1162" s="82"/>
      <c r="K1162" s="82"/>
      <c r="L1162" s="82"/>
      <c r="M1162" s="82"/>
      <c r="N1162" s="82"/>
      <c r="O1162" s="87" t="s">
        <v>8746</v>
      </c>
      <c r="P1162" s="82" t="s">
        <v>168</v>
      </c>
      <c r="Q1162" s="83">
        <f>VLOOKUP(TAB_ESTOQUE[[#This Row],[Codigo]],TAB_ENTRADA[[Cod_2_Entrada]:[TOTAL_ENTRADA]],5,FALSE)-VLOOKUP(TAB_ESTOQUE[[#This Row],[Codigo]],TAB_SAIDA[[COD_2_SAIDA]:[TOTAL_SAIDA]],5,FALSE)</f>
        <v>2</v>
      </c>
      <c r="R1162" s="87"/>
      <c r="S1162" s="87"/>
      <c r="T1162" s="90"/>
      <c r="U1162" s="91">
        <f>TAB_ESTOQUE[[#This Row],[Valor Unitario Estimado]]*TAB_ESTOQUE[[#This Row],[Estoque]]</f>
        <v>0</v>
      </c>
      <c r="V1162" s="91"/>
      <c r="W1162" s="85"/>
      <c r="X1162" s="85"/>
      <c r="Y1162" s="85"/>
      <c r="Z1162" s="85"/>
      <c r="AA1162" s="85"/>
      <c r="AB1162" s="85" t="str">
        <f>IF(TAB_ESTOQUE[[#This Row],[Estoque]]=0,"Estoque Não Conforme",IF(TAB_ESTOQUE[[#This Row],[Estoque]]&gt;=TAB_ESTOQUE[[#This Row],[Mínimo]],"Estoque Conforme",IF(TAB_ESTOQUE[[#This Row],[Estoque]]&lt;TAB_ESTOQUE[[#This Row],[Mínimo]],"Estoque em Nivel Minimo")))</f>
        <v>Estoque Conforme</v>
      </c>
      <c r="AC1162" s="85"/>
      <c r="AD1162" s="82"/>
      <c r="AE1162" s="82"/>
      <c r="AF1162" s="82"/>
    </row>
    <row r="1163" spans="1:32" ht="15" customHeight="1" x14ac:dyDescent="0.25">
      <c r="A1163" s="45">
        <v>522</v>
      </c>
      <c r="B1163" s="47"/>
      <c r="C1163" s="46"/>
      <c r="D1163" s="45" t="s">
        <v>2067</v>
      </c>
      <c r="E1163" s="46" t="s">
        <v>7</v>
      </c>
      <c r="F1163" s="87"/>
      <c r="G1163" s="82"/>
      <c r="H1163" s="82"/>
      <c r="I1163" s="95" t="s">
        <v>8507</v>
      </c>
      <c r="J1163" s="82"/>
      <c r="K1163" s="82"/>
      <c r="L1163" s="82"/>
      <c r="M1163" s="82" t="s">
        <v>163</v>
      </c>
      <c r="N1163" s="82"/>
      <c r="O1163" s="87" t="s">
        <v>8746</v>
      </c>
      <c r="P1163" s="82" t="s">
        <v>302</v>
      </c>
      <c r="Q1163" s="83">
        <f>VLOOKUP(TAB_ESTOQUE[[#This Row],[Codigo]],TAB_ENTRADA[[Cod_2_Entrada]:[TOTAL_ENTRADA]],5,FALSE)-VLOOKUP(TAB_ESTOQUE[[#This Row],[Codigo]],TAB_SAIDA[[COD_2_SAIDA]:[TOTAL_SAIDA]],5,FALSE)</f>
        <v>4</v>
      </c>
      <c r="R1163" s="87"/>
      <c r="S1163" s="87"/>
      <c r="T1163" s="90"/>
      <c r="U1163" s="91">
        <f>TAB_ESTOQUE[[#This Row],[Valor Unitario Estimado]]*TAB_ESTOQUE[[#This Row],[Estoque]]</f>
        <v>0</v>
      </c>
      <c r="V1163" s="91"/>
      <c r="W1163" s="85"/>
      <c r="X1163" s="85"/>
      <c r="Y1163" s="85"/>
      <c r="Z1163" s="85"/>
      <c r="AA1163" s="85"/>
      <c r="AB1163" s="85" t="str">
        <f>IF(TAB_ESTOQUE[[#This Row],[Estoque]]=0,"Estoque Não Conforme",IF(TAB_ESTOQUE[[#This Row],[Estoque]]&gt;=TAB_ESTOQUE[[#This Row],[Mínimo]],"Estoque Conforme",IF(TAB_ESTOQUE[[#This Row],[Estoque]]&lt;TAB_ESTOQUE[[#This Row],[Mínimo]],"Estoque em Nivel Minimo")))</f>
        <v>Estoque Conforme</v>
      </c>
      <c r="AC1163" s="85"/>
      <c r="AD1163" s="82"/>
      <c r="AE1163" s="82"/>
      <c r="AF1163" s="82"/>
    </row>
    <row r="1164" spans="1:32" ht="15" customHeight="1" x14ac:dyDescent="0.25">
      <c r="A1164" s="45">
        <v>234</v>
      </c>
      <c r="B1164" s="47"/>
      <c r="C1164" s="46"/>
      <c r="D1164" s="45" t="s">
        <v>2183</v>
      </c>
      <c r="E1164" s="46" t="s">
        <v>7</v>
      </c>
      <c r="F1164" s="87"/>
      <c r="G1164" s="82"/>
      <c r="H1164" s="82"/>
      <c r="I1164" s="82" t="s">
        <v>8535</v>
      </c>
      <c r="J1164" s="82"/>
      <c r="K1164" s="82" t="s">
        <v>177</v>
      </c>
      <c r="L1164" s="82"/>
      <c r="M1164" s="82" t="s">
        <v>139</v>
      </c>
      <c r="N1164" s="82"/>
      <c r="O1164" s="87" t="s">
        <v>8746</v>
      </c>
      <c r="P1164" s="82" t="s">
        <v>186</v>
      </c>
      <c r="Q1164" s="83">
        <f>VLOOKUP(TAB_ESTOQUE[[#This Row],[Codigo]],TAB_ENTRADA[[Cod_2_Entrada]:[TOTAL_ENTRADA]],5,FALSE)-VLOOKUP(TAB_ESTOQUE[[#This Row],[Codigo]],TAB_SAIDA[[COD_2_SAIDA]:[TOTAL_SAIDA]],5,FALSE)</f>
        <v>2</v>
      </c>
      <c r="R1164" s="87"/>
      <c r="S1164" s="87"/>
      <c r="T1164" s="90"/>
      <c r="U1164" s="91">
        <f>TAB_ESTOQUE[[#This Row],[Valor Unitario Estimado]]*TAB_ESTOQUE[[#This Row],[Estoque]]</f>
        <v>0</v>
      </c>
      <c r="V1164" s="91"/>
      <c r="W1164" s="85"/>
      <c r="X1164" s="85"/>
      <c r="Y1164" s="85"/>
      <c r="Z1164" s="85"/>
      <c r="AA1164" s="85"/>
      <c r="AB1164" s="85" t="str">
        <f>IF(TAB_ESTOQUE[[#This Row],[Estoque]]=0,"Estoque Não Conforme",IF(TAB_ESTOQUE[[#This Row],[Estoque]]&gt;=TAB_ESTOQUE[[#This Row],[Mínimo]],"Estoque Conforme",IF(TAB_ESTOQUE[[#This Row],[Estoque]]&lt;TAB_ESTOQUE[[#This Row],[Mínimo]],"Estoque em Nivel Minimo")))</f>
        <v>Estoque Conforme</v>
      </c>
      <c r="AC1164" s="85"/>
      <c r="AD1164" s="82"/>
      <c r="AE1164" s="82"/>
      <c r="AF1164" s="82"/>
    </row>
    <row r="1165" spans="1:32" ht="15" customHeight="1" x14ac:dyDescent="0.25">
      <c r="A1165" s="45">
        <v>270</v>
      </c>
      <c r="B1165" s="47"/>
      <c r="C1165" s="46"/>
      <c r="D1165" s="45" t="s">
        <v>2234</v>
      </c>
      <c r="E1165" s="46" t="s">
        <v>7345</v>
      </c>
      <c r="F1165" s="87"/>
      <c r="G1165" s="82"/>
      <c r="H1165" s="82"/>
      <c r="I1165" s="82" t="s">
        <v>8545</v>
      </c>
      <c r="J1165" s="82"/>
      <c r="K1165" s="82"/>
      <c r="L1165" s="82"/>
      <c r="M1165" s="82" t="s">
        <v>139</v>
      </c>
      <c r="N1165" s="82"/>
      <c r="O1165" s="87" t="s">
        <v>8746</v>
      </c>
      <c r="P1165" s="82" t="s">
        <v>207</v>
      </c>
      <c r="Q1165" s="83">
        <f>VLOOKUP(TAB_ESTOQUE[[#This Row],[Codigo]],TAB_ENTRADA[[Cod_2_Entrada]:[TOTAL_ENTRADA]],5,FALSE)-VLOOKUP(TAB_ESTOQUE[[#This Row],[Codigo]],TAB_SAIDA[[COD_2_SAIDA]:[TOTAL_SAIDA]],5,FALSE)</f>
        <v>2</v>
      </c>
      <c r="R1165" s="87"/>
      <c r="S1165" s="87"/>
      <c r="T1165" s="90">
        <v>10.44</v>
      </c>
      <c r="U1165" s="91">
        <f>TAB_ESTOQUE[[#This Row],[Valor Unitario Estimado]]*TAB_ESTOQUE[[#This Row],[Estoque]]</f>
        <v>20.88</v>
      </c>
      <c r="V1165" s="91"/>
      <c r="W1165" s="85"/>
      <c r="X1165" s="85"/>
      <c r="Y1165" s="85"/>
      <c r="Z1165" s="85"/>
      <c r="AA1165" s="85"/>
      <c r="AB1165" s="85" t="str">
        <f>IF(TAB_ESTOQUE[[#This Row],[Estoque]]=0,"Estoque Não Conforme",IF(TAB_ESTOQUE[[#This Row],[Estoque]]&gt;=TAB_ESTOQUE[[#This Row],[Mínimo]],"Estoque Conforme",IF(TAB_ESTOQUE[[#This Row],[Estoque]]&lt;TAB_ESTOQUE[[#This Row],[Mínimo]],"Estoque em Nivel Minimo")))</f>
        <v>Estoque Conforme</v>
      </c>
      <c r="AC1165" s="85"/>
      <c r="AD1165" s="82"/>
      <c r="AE1165" s="82"/>
      <c r="AF1165" s="82"/>
    </row>
    <row r="1166" spans="1:32" s="106" customFormat="1" ht="15" customHeight="1" x14ac:dyDescent="0.25">
      <c r="A1166" s="45">
        <v>536</v>
      </c>
      <c r="B1166" s="47"/>
      <c r="C1166" s="46"/>
      <c r="D1166" s="45" t="s">
        <v>2041</v>
      </c>
      <c r="E1166" s="46" t="s">
        <v>8402</v>
      </c>
      <c r="F1166" s="87"/>
      <c r="G1166" s="82"/>
      <c r="H1166" s="82"/>
      <c r="I1166" s="82" t="s">
        <v>7394</v>
      </c>
      <c r="J1166" s="82"/>
      <c r="K1166" s="82"/>
      <c r="L1166" s="82"/>
      <c r="M1166" s="82" t="s">
        <v>94</v>
      </c>
      <c r="N1166" s="82"/>
      <c r="O1166" s="87" t="s">
        <v>6611</v>
      </c>
      <c r="P1166" s="82" t="s">
        <v>311</v>
      </c>
      <c r="Q1166" s="83">
        <f>VLOOKUP(TAB_ESTOQUE[[#This Row],[Codigo]],TAB_ENTRADA[[Cod_2_Entrada]:[TOTAL_ENTRADA]],5,FALSE)-VLOOKUP(TAB_ESTOQUE[[#This Row],[Codigo]],TAB_SAIDA[[COD_2_SAIDA]:[TOTAL_SAIDA]],5,FALSE)</f>
        <v>11</v>
      </c>
      <c r="R1166" s="87"/>
      <c r="S1166" s="87"/>
      <c r="T1166" s="90">
        <v>404</v>
      </c>
      <c r="U1166" s="91">
        <f>TAB_ESTOQUE[[#This Row],[Valor Unitario Estimado]]*TAB_ESTOQUE[[#This Row],[Estoque]]</f>
        <v>4444</v>
      </c>
      <c r="V1166" s="91"/>
      <c r="W1166" s="85"/>
      <c r="X1166" s="85"/>
      <c r="Y1166" s="85"/>
      <c r="Z1166" s="85"/>
      <c r="AA1166" s="85"/>
      <c r="AB1166" s="85" t="str">
        <f>IF(TAB_ESTOQUE[[#This Row],[Estoque]]=0,"Estoque Não Conforme",IF(TAB_ESTOQUE[[#This Row],[Estoque]]&gt;=TAB_ESTOQUE[[#This Row],[Mínimo]],"Estoque Conforme",IF(TAB_ESTOQUE[[#This Row],[Estoque]]&lt;TAB_ESTOQUE[[#This Row],[Mínimo]],"Estoque em Nivel Minimo")))</f>
        <v>Estoque Conforme</v>
      </c>
      <c r="AC1166" s="85"/>
      <c r="AD1166" s="82"/>
      <c r="AE1166" s="95"/>
      <c r="AF1166" s="95"/>
    </row>
    <row r="1167" spans="1:32" s="47" customFormat="1" ht="15" customHeight="1" x14ac:dyDescent="0.25">
      <c r="A1167" s="47">
        <v>1190</v>
      </c>
      <c r="C1167" s="51"/>
      <c r="D1167" s="47" t="s">
        <v>2150</v>
      </c>
      <c r="E1167" s="51" t="s">
        <v>8371</v>
      </c>
      <c r="F1167" s="107"/>
      <c r="G1167" s="94"/>
      <c r="H1167" s="94"/>
      <c r="I1167" s="94" t="s">
        <v>132</v>
      </c>
      <c r="J1167" s="94"/>
      <c r="K1167" s="94"/>
      <c r="L1167" s="94"/>
      <c r="M1167" s="94"/>
      <c r="N1167" s="94"/>
      <c r="O1167" s="107" t="s">
        <v>6611</v>
      </c>
      <c r="P1167" s="94" t="s">
        <v>913</v>
      </c>
      <c r="Q1167" s="145">
        <f>VLOOKUP(TAB_ESTOQUE[[#This Row],[Codigo]],TAB_ENTRADA[[Cod_2_Entrada]:[TOTAL_ENTRADA]],5,FALSE)-VLOOKUP(TAB_ESTOQUE[[#This Row],[Codigo]],TAB_SAIDA[[COD_2_SAIDA]:[TOTAL_SAIDA]],5,FALSE)</f>
        <v>2</v>
      </c>
      <c r="R1167" s="107"/>
      <c r="S1167" s="107"/>
      <c r="T1167" s="108">
        <v>531.5</v>
      </c>
      <c r="U1167" s="109">
        <f>TAB_ESTOQUE[[#This Row],[Valor Unitario Estimado]]*TAB_ESTOQUE[[#This Row],[Estoque]]</f>
        <v>1063</v>
      </c>
      <c r="V1167" s="109"/>
      <c r="W1167" s="110"/>
      <c r="X1167" s="110"/>
      <c r="Y1167" s="110"/>
      <c r="Z1167" s="110"/>
      <c r="AA1167" s="110"/>
      <c r="AB1167" s="110" t="str">
        <f>IF(TAB_ESTOQUE[[#This Row],[Estoque]]=0,"Estoque Não Conforme",IF(TAB_ESTOQUE[[#This Row],[Estoque]]&gt;=TAB_ESTOQUE[[#This Row],[Mínimo]],"Estoque Conforme",IF(TAB_ESTOQUE[[#This Row],[Estoque]]&lt;TAB_ESTOQUE[[#This Row],[Mínimo]],"Estoque em Nivel Minimo")))</f>
        <v>Estoque Conforme</v>
      </c>
      <c r="AC1167" s="110"/>
      <c r="AD1167" s="94"/>
      <c r="AE1167" s="94"/>
      <c r="AF1167" s="94"/>
    </row>
    <row r="1168" spans="1:32" s="106" customFormat="1" ht="15" customHeight="1" x14ac:dyDescent="0.25">
      <c r="A1168" s="45">
        <v>207</v>
      </c>
      <c r="B1168" s="47"/>
      <c r="C1168" s="46"/>
      <c r="D1168" s="45" t="s">
        <v>2099</v>
      </c>
      <c r="E1168" s="46" t="s">
        <v>6826</v>
      </c>
      <c r="F1168" s="87"/>
      <c r="G1168" s="82"/>
      <c r="H1168" s="82"/>
      <c r="I1168" s="82" t="s">
        <v>605</v>
      </c>
      <c r="J1168" s="82"/>
      <c r="K1168" s="82"/>
      <c r="L1168" s="82"/>
      <c r="M1168" s="82" t="s">
        <v>139</v>
      </c>
      <c r="N1168" s="82"/>
      <c r="O1168" s="87" t="s">
        <v>6668</v>
      </c>
      <c r="P1168" s="82" t="s">
        <v>156</v>
      </c>
      <c r="Q1168" s="83">
        <f>VLOOKUP(TAB_ESTOQUE[[#This Row],[Codigo]],TAB_ENTRADA[[Cod_2_Entrada]:[TOTAL_ENTRADA]],5,FALSE)-VLOOKUP(TAB_ESTOQUE[[#This Row],[Codigo]],TAB_SAIDA[[COD_2_SAIDA]:[TOTAL_SAIDA]],5,FALSE)</f>
        <v>0</v>
      </c>
      <c r="R1168" s="87"/>
      <c r="S1168" s="87"/>
      <c r="T1168" s="90">
        <v>1400</v>
      </c>
      <c r="U1168" s="91">
        <f>TAB_ESTOQUE[[#This Row],[Valor Unitario Estimado]]*TAB_ESTOQUE[[#This Row],[Estoque]]</f>
        <v>0</v>
      </c>
      <c r="V1168" s="91"/>
      <c r="W1168" s="85"/>
      <c r="X1168" s="85"/>
      <c r="Y1168" s="85"/>
      <c r="Z1168" s="85"/>
      <c r="AA1168" s="85"/>
      <c r="AB1168" s="85" t="str">
        <f>IF(TAB_ESTOQUE[[#This Row],[Estoque]]=0,"Estoque Não Conforme",IF(TAB_ESTOQUE[[#This Row],[Estoque]]&gt;=TAB_ESTOQUE[[#This Row],[Mínimo]],"Estoque Conforme",IF(TAB_ESTOQUE[[#This Row],[Estoque]]&lt;TAB_ESTOQUE[[#This Row],[Mínimo]],"Estoque em Nivel Minimo")))</f>
        <v>Estoque Não Conforme</v>
      </c>
      <c r="AC1168" s="85"/>
      <c r="AD1168" s="82"/>
      <c r="AE1168" s="95"/>
      <c r="AF1168" s="95"/>
    </row>
    <row r="1169" spans="1:32" s="47" customFormat="1" ht="15" customHeight="1" x14ac:dyDescent="0.25">
      <c r="A1169" s="45">
        <v>1028</v>
      </c>
      <c r="C1169" s="46"/>
      <c r="D1169" s="45" t="s">
        <v>2184</v>
      </c>
      <c r="E1169" s="46" t="s">
        <v>6826</v>
      </c>
      <c r="F1169" s="87"/>
      <c r="G1169" s="82"/>
      <c r="H1169" s="82"/>
      <c r="I1169" s="82" t="s">
        <v>645</v>
      </c>
      <c r="J1169" s="82"/>
      <c r="K1169" s="82"/>
      <c r="L1169" s="82"/>
      <c r="M1169" s="82" t="s">
        <v>139</v>
      </c>
      <c r="N1169" s="82"/>
      <c r="O1169" s="87" t="s">
        <v>6668</v>
      </c>
      <c r="P1169" s="82" t="s">
        <v>266</v>
      </c>
      <c r="Q1169" s="83">
        <f>VLOOKUP(TAB_ESTOQUE[[#This Row],[Codigo]],TAB_ENTRADA[[Cod_2_Entrada]:[TOTAL_ENTRADA]],5,FALSE)-VLOOKUP(TAB_ESTOQUE[[#This Row],[Codigo]],TAB_SAIDA[[COD_2_SAIDA]:[TOTAL_SAIDA]],5,FALSE)</f>
        <v>2</v>
      </c>
      <c r="R1169" s="87"/>
      <c r="S1169" s="87"/>
      <c r="T1169" s="90"/>
      <c r="U1169" s="91">
        <f>TAB_ESTOQUE[[#This Row],[Valor Unitario Estimado]]*TAB_ESTOQUE[[#This Row],[Estoque]]</f>
        <v>0</v>
      </c>
      <c r="V1169" s="91"/>
      <c r="W1169" s="85"/>
      <c r="X1169" s="85"/>
      <c r="Y1169" s="85"/>
      <c r="Z1169" s="85"/>
      <c r="AA1169" s="85"/>
      <c r="AB1169" s="85" t="str">
        <f>IF(TAB_ESTOQUE[[#This Row],[Estoque]]=0,"Estoque Não Conforme",IF(TAB_ESTOQUE[[#This Row],[Estoque]]&gt;=TAB_ESTOQUE[[#This Row],[Mínimo]],"Estoque Conforme",IF(TAB_ESTOQUE[[#This Row],[Estoque]]&lt;TAB_ESTOQUE[[#This Row],[Mínimo]],"Estoque em Nivel Minimo")))</f>
        <v>Estoque Conforme</v>
      </c>
      <c r="AC1169" s="85"/>
      <c r="AD1169" s="82"/>
      <c r="AE1169" s="94"/>
      <c r="AF1169" s="94"/>
    </row>
    <row r="1170" spans="1:32" s="106" customFormat="1" ht="15" customHeight="1" x14ac:dyDescent="0.25">
      <c r="A1170" s="45">
        <v>483</v>
      </c>
      <c r="B1170" s="47"/>
      <c r="C1170" s="46"/>
      <c r="D1170" s="45" t="s">
        <v>2196</v>
      </c>
      <c r="E1170" s="46" t="s">
        <v>6826</v>
      </c>
      <c r="F1170" s="87"/>
      <c r="G1170" s="82"/>
      <c r="H1170" s="82"/>
      <c r="I1170" s="82" t="s">
        <v>863</v>
      </c>
      <c r="J1170" s="82"/>
      <c r="K1170" s="82"/>
      <c r="L1170" s="82"/>
      <c r="M1170" s="82"/>
      <c r="N1170" s="82"/>
      <c r="O1170" s="87" t="s">
        <v>6668</v>
      </c>
      <c r="P1170" s="82" t="s">
        <v>264</v>
      </c>
      <c r="Q1170" s="83">
        <f>VLOOKUP(TAB_ESTOQUE[[#This Row],[Codigo]],TAB_ENTRADA[[Cod_2_Entrada]:[TOTAL_ENTRADA]],5,FALSE)-VLOOKUP(TAB_ESTOQUE[[#This Row],[Codigo]],TAB_SAIDA[[COD_2_SAIDA]:[TOTAL_SAIDA]],5,FALSE)</f>
        <v>6</v>
      </c>
      <c r="R1170" s="87"/>
      <c r="S1170" s="87"/>
      <c r="T1170" s="90">
        <v>230</v>
      </c>
      <c r="U1170" s="91">
        <f>TAB_ESTOQUE[[#This Row],[Valor Unitario Estimado]]*TAB_ESTOQUE[[#This Row],[Estoque]]</f>
        <v>1380</v>
      </c>
      <c r="V1170" s="91"/>
      <c r="W1170" s="85"/>
      <c r="X1170" s="85"/>
      <c r="Y1170" s="85"/>
      <c r="Z1170" s="85"/>
      <c r="AA1170" s="85"/>
      <c r="AB1170" s="85" t="str">
        <f>IF(TAB_ESTOQUE[[#This Row],[Estoque]]=0,"Estoque Não Conforme",IF(TAB_ESTOQUE[[#This Row],[Estoque]]&gt;=TAB_ESTOQUE[[#This Row],[Mínimo]],"Estoque Conforme",IF(TAB_ESTOQUE[[#This Row],[Estoque]]&lt;TAB_ESTOQUE[[#This Row],[Mínimo]],"Estoque em Nivel Minimo")))</f>
        <v>Estoque Conforme</v>
      </c>
      <c r="AC1170" s="85"/>
      <c r="AD1170" s="82"/>
      <c r="AE1170" s="95"/>
      <c r="AF1170" s="95"/>
    </row>
    <row r="1171" spans="1:32" s="47" customFormat="1" ht="15" customHeight="1" x14ac:dyDescent="0.25">
      <c r="A1171" s="45">
        <v>1067</v>
      </c>
      <c r="C1171" s="46" t="s">
        <v>2833</v>
      </c>
      <c r="D1171" s="45" t="s">
        <v>2422</v>
      </c>
      <c r="E1171" s="46" t="s">
        <v>7</v>
      </c>
      <c r="F1171" s="87"/>
      <c r="G1171" s="82"/>
      <c r="H1171" s="82"/>
      <c r="I1171" s="82" t="s">
        <v>6207</v>
      </c>
      <c r="J1171" s="82"/>
      <c r="K1171" s="82"/>
      <c r="L1171" s="82"/>
      <c r="M1171" s="82"/>
      <c r="N1171" s="82"/>
      <c r="O1171" s="87" t="s">
        <v>6668</v>
      </c>
      <c r="P1171" s="82" t="s">
        <v>229</v>
      </c>
      <c r="Q1171" s="83">
        <f>VLOOKUP(TAB_ESTOQUE[[#This Row],[Codigo]],TAB_ENTRADA[[Cod_2_Entrada]:[TOTAL_ENTRADA]],5,FALSE)-VLOOKUP(TAB_ESTOQUE[[#This Row],[Codigo]],TAB_SAIDA[[COD_2_SAIDA]:[TOTAL_SAIDA]],5,FALSE)</f>
        <v>1</v>
      </c>
      <c r="R1171" s="87"/>
      <c r="S1171" s="87"/>
      <c r="T1171" s="90"/>
      <c r="U1171" s="91">
        <f>TAB_ESTOQUE[[#This Row],[Valor Unitario Estimado]]*TAB_ESTOQUE[[#This Row],[Estoque]]</f>
        <v>0</v>
      </c>
      <c r="V1171" s="91"/>
      <c r="W1171" s="85"/>
      <c r="X1171" s="85"/>
      <c r="Y1171" s="85"/>
      <c r="Z1171" s="85"/>
      <c r="AA1171" s="85"/>
      <c r="AB1171" s="85" t="str">
        <f>IF(TAB_ESTOQUE[[#This Row],[Estoque]]=0,"Estoque Não Conforme",IF(TAB_ESTOQUE[[#This Row],[Estoque]]&gt;=TAB_ESTOQUE[[#This Row],[Mínimo]],"Estoque Conforme",IF(TAB_ESTOQUE[[#This Row],[Estoque]]&lt;TAB_ESTOQUE[[#This Row],[Mínimo]],"Estoque em Nivel Minimo")))</f>
        <v>Estoque Conforme</v>
      </c>
      <c r="AC1171" s="85"/>
      <c r="AD1171" s="82"/>
      <c r="AE1171" s="94"/>
      <c r="AF1171" s="94"/>
    </row>
    <row r="1172" spans="1:32" s="106" customFormat="1" ht="15" customHeight="1" x14ac:dyDescent="0.25">
      <c r="A1172" s="45"/>
      <c r="B1172" s="47"/>
      <c r="C1172" s="48"/>
      <c r="D1172" s="45" t="s">
        <v>6273</v>
      </c>
      <c r="E1172" s="46" t="s">
        <v>6826</v>
      </c>
      <c r="F1172" s="87"/>
      <c r="G1172" s="82"/>
      <c r="H1172" s="82"/>
      <c r="I1172" s="82" t="s">
        <v>6863</v>
      </c>
      <c r="J1172" s="82"/>
      <c r="K1172" s="82"/>
      <c r="L1172" s="82"/>
      <c r="M1172" s="82"/>
      <c r="N1172" s="82"/>
      <c r="O1172" s="87" t="s">
        <v>6668</v>
      </c>
      <c r="P1172" s="82"/>
      <c r="Q1172" s="83">
        <f>VLOOKUP(TAB_ESTOQUE[[#This Row],[Codigo]],TAB_ENTRADA[[Cod_2_Entrada]:[TOTAL_ENTRADA]],5,FALSE)-VLOOKUP(TAB_ESTOQUE[[#This Row],[Codigo]],TAB_SAIDA[[COD_2_SAIDA]:[TOTAL_SAIDA]],5,FALSE)</f>
        <v>0</v>
      </c>
      <c r="R1172" s="87"/>
      <c r="S1172" s="87"/>
      <c r="T1172" s="90"/>
      <c r="U1172" s="91">
        <f>TAB_ESTOQUE[[#This Row],[Valor Unitario Estimado]]*TAB_ESTOQUE[[#This Row],[Estoque]]</f>
        <v>0</v>
      </c>
      <c r="V1172" s="91"/>
      <c r="W1172" s="85"/>
      <c r="X1172" s="85"/>
      <c r="Y1172" s="85"/>
      <c r="Z1172" s="85"/>
      <c r="AA1172" s="85"/>
      <c r="AB1172" s="85" t="str">
        <f>IF(TAB_ESTOQUE[[#This Row],[Estoque]]=0,"Estoque Não Conforme",IF(TAB_ESTOQUE[[#This Row],[Estoque]]&gt;=TAB_ESTOQUE[[#This Row],[Mínimo]],"Estoque Conforme",IF(TAB_ESTOQUE[[#This Row],[Estoque]]&lt;TAB_ESTOQUE[[#This Row],[Mínimo]],"Estoque em Nivel Minimo")))</f>
        <v>Estoque Não Conforme</v>
      </c>
      <c r="AC1172" s="96"/>
      <c r="AD1172" s="82"/>
      <c r="AE1172" s="95"/>
      <c r="AF1172" s="95"/>
    </row>
    <row r="1173" spans="1:32" ht="15" customHeight="1" x14ac:dyDescent="0.25">
      <c r="A1173" s="45">
        <v>557</v>
      </c>
      <c r="B1173" s="47"/>
      <c r="C1173" s="46"/>
      <c r="D1173" s="45" t="s">
        <v>2060</v>
      </c>
      <c r="E1173" s="46" t="s">
        <v>8405</v>
      </c>
      <c r="F1173" s="87"/>
      <c r="G1173" s="82"/>
      <c r="H1173" s="82"/>
      <c r="I1173" s="82" t="s">
        <v>1450</v>
      </c>
      <c r="J1173" s="82"/>
      <c r="K1173" s="82"/>
      <c r="L1173" s="82"/>
      <c r="M1173" s="82"/>
      <c r="N1173" s="82"/>
      <c r="O1173" s="87" t="s">
        <v>6542</v>
      </c>
      <c r="P1173" s="82" t="s">
        <v>332</v>
      </c>
      <c r="Q1173" s="83">
        <f>VLOOKUP(TAB_ESTOQUE[[#This Row],[Codigo]],TAB_ENTRADA[[Cod_2_Entrada]:[TOTAL_ENTRADA]],5,FALSE)-VLOOKUP(TAB_ESTOQUE[[#This Row],[Codigo]],TAB_SAIDA[[COD_2_SAIDA]:[TOTAL_SAIDA]],5,FALSE)</f>
        <v>18</v>
      </c>
      <c r="R1173" s="87"/>
      <c r="S1173" s="87"/>
      <c r="T1173" s="90">
        <v>70</v>
      </c>
      <c r="U1173" s="91">
        <f>TAB_ESTOQUE[[#This Row],[Valor Unitario Estimado]]*TAB_ESTOQUE[[#This Row],[Estoque]]</f>
        <v>1260</v>
      </c>
      <c r="V1173" s="91"/>
      <c r="W1173" s="85"/>
      <c r="X1173" s="85"/>
      <c r="Y1173" s="85"/>
      <c r="Z1173" s="85"/>
      <c r="AA1173" s="85"/>
      <c r="AB1173" s="85" t="str">
        <f>IF(TAB_ESTOQUE[[#This Row],[Estoque]]=0,"Estoque Não Conforme",IF(TAB_ESTOQUE[[#This Row],[Estoque]]&gt;=TAB_ESTOQUE[[#This Row],[Mínimo]],"Estoque Conforme",IF(TAB_ESTOQUE[[#This Row],[Estoque]]&lt;TAB_ESTOQUE[[#This Row],[Mínimo]],"Estoque em Nivel Minimo")))</f>
        <v>Estoque Conforme</v>
      </c>
      <c r="AC1173" s="85"/>
      <c r="AD1173" s="82"/>
      <c r="AE1173" s="82"/>
      <c r="AF1173" s="82"/>
    </row>
    <row r="1174" spans="1:32" ht="15" customHeight="1" x14ac:dyDescent="0.25">
      <c r="A1174" s="45">
        <v>559</v>
      </c>
      <c r="B1174" s="47"/>
      <c r="C1174" s="46"/>
      <c r="D1174" s="45" t="s">
        <v>2062</v>
      </c>
      <c r="E1174" s="46" t="s">
        <v>7</v>
      </c>
      <c r="F1174" s="87"/>
      <c r="G1174" s="82"/>
      <c r="H1174" s="82"/>
      <c r="I1174" s="82" t="s">
        <v>6120</v>
      </c>
      <c r="J1174" s="82"/>
      <c r="K1174" s="82"/>
      <c r="L1174" s="82"/>
      <c r="M1174" s="82" t="s">
        <v>94</v>
      </c>
      <c r="N1174" s="82"/>
      <c r="O1174" s="87" t="s">
        <v>6542</v>
      </c>
      <c r="P1174" s="82" t="s">
        <v>333</v>
      </c>
      <c r="Q1174" s="83">
        <f>VLOOKUP(TAB_ESTOQUE[[#This Row],[Codigo]],TAB_ENTRADA[[Cod_2_Entrada]:[TOTAL_ENTRADA]],5,FALSE)-VLOOKUP(TAB_ESTOQUE[[#This Row],[Codigo]],TAB_SAIDA[[COD_2_SAIDA]:[TOTAL_SAIDA]],5,FALSE)</f>
        <v>5</v>
      </c>
      <c r="R1174" s="87"/>
      <c r="S1174" s="87"/>
      <c r="T1174" s="90"/>
      <c r="U1174" s="91">
        <f>TAB_ESTOQUE[[#This Row],[Valor Unitario Estimado]]*TAB_ESTOQUE[[#This Row],[Estoque]]</f>
        <v>0</v>
      </c>
      <c r="V1174" s="91"/>
      <c r="W1174" s="85"/>
      <c r="X1174" s="85"/>
      <c r="Y1174" s="85"/>
      <c r="Z1174" s="85"/>
      <c r="AA1174" s="85"/>
      <c r="AB1174" s="85" t="str">
        <f>IF(TAB_ESTOQUE[[#This Row],[Estoque]]=0,"Estoque Não Conforme",IF(TAB_ESTOQUE[[#This Row],[Estoque]]&gt;=TAB_ESTOQUE[[#This Row],[Mínimo]],"Estoque Conforme",IF(TAB_ESTOQUE[[#This Row],[Estoque]]&lt;TAB_ESTOQUE[[#This Row],[Mínimo]],"Estoque em Nivel Minimo")))</f>
        <v>Estoque Conforme</v>
      </c>
      <c r="AC1174" s="85"/>
      <c r="AD1174" s="82"/>
      <c r="AE1174" s="82"/>
      <c r="AF1174" s="82"/>
    </row>
    <row r="1175" spans="1:32" ht="15" customHeight="1" x14ac:dyDescent="0.25">
      <c r="A1175" s="106">
        <v>509</v>
      </c>
      <c r="B1175" s="106"/>
      <c r="C1175" s="116"/>
      <c r="D1175" s="106" t="s">
        <v>2075</v>
      </c>
      <c r="E1175" s="116" t="s">
        <v>7</v>
      </c>
      <c r="F1175" s="118"/>
      <c r="G1175" s="95"/>
      <c r="H1175" s="95"/>
      <c r="I1175" s="95" t="s">
        <v>6128</v>
      </c>
      <c r="J1175" s="95"/>
      <c r="K1175" s="95"/>
      <c r="L1175" s="95"/>
      <c r="M1175" s="95"/>
      <c r="N1175" s="95"/>
      <c r="O1175" s="118" t="s">
        <v>6542</v>
      </c>
      <c r="P1175" s="95" t="s">
        <v>287</v>
      </c>
      <c r="Q1175" s="154">
        <f>VLOOKUP(TAB_ESTOQUE[[#This Row],[Codigo]],TAB_ENTRADA[[Cod_2_Entrada]:[TOTAL_ENTRADA]],5,FALSE)-VLOOKUP(TAB_ESTOQUE[[#This Row],[Codigo]],TAB_SAIDA[[COD_2_SAIDA]:[TOTAL_SAIDA]],5,FALSE)</f>
        <v>15</v>
      </c>
      <c r="R1175" s="118"/>
      <c r="S1175" s="118"/>
      <c r="T1175" s="119"/>
      <c r="U1175" s="112">
        <f>TAB_ESTOQUE[[#This Row],[Valor Unitario Estimado]]*TAB_ESTOQUE[[#This Row],[Estoque]]</f>
        <v>0</v>
      </c>
      <c r="V1175" s="112"/>
      <c r="W1175" s="120"/>
      <c r="X1175" s="120"/>
      <c r="Y1175" s="120"/>
      <c r="Z1175" s="120"/>
      <c r="AA1175" s="120"/>
      <c r="AB1175" s="120" t="str">
        <f>IF(TAB_ESTOQUE[[#This Row],[Estoque]]=0,"Estoque Não Conforme",IF(TAB_ESTOQUE[[#This Row],[Estoque]]&gt;=TAB_ESTOQUE[[#This Row],[Mínimo]],"Estoque Conforme",IF(TAB_ESTOQUE[[#This Row],[Estoque]]&lt;TAB_ESTOQUE[[#This Row],[Mínimo]],"Estoque em Nivel Minimo")))</f>
        <v>Estoque Conforme</v>
      </c>
      <c r="AC1175" s="120"/>
      <c r="AD1175" s="95"/>
      <c r="AE1175" s="82"/>
      <c r="AF1175" s="82"/>
    </row>
    <row r="1176" spans="1:32" ht="15" customHeight="1" x14ac:dyDescent="0.25">
      <c r="A1176" s="45">
        <v>510</v>
      </c>
      <c r="B1176" s="47"/>
      <c r="C1176" s="46"/>
      <c r="D1176" s="45" t="s">
        <v>2076</v>
      </c>
      <c r="E1176" s="46" t="s">
        <v>7</v>
      </c>
      <c r="F1176" s="87"/>
      <c r="G1176" s="82"/>
      <c r="H1176" s="82"/>
      <c r="I1176" s="82" t="s">
        <v>6129</v>
      </c>
      <c r="J1176" s="82"/>
      <c r="K1176" s="82"/>
      <c r="L1176" s="82"/>
      <c r="M1176" s="82"/>
      <c r="N1176" s="82"/>
      <c r="O1176" s="87" t="s">
        <v>6542</v>
      </c>
      <c r="P1176" s="82" t="s">
        <v>288</v>
      </c>
      <c r="Q1176" s="83">
        <f>VLOOKUP(TAB_ESTOQUE[[#This Row],[Codigo]],TAB_ENTRADA[[Cod_2_Entrada]:[TOTAL_ENTRADA]],5,FALSE)-VLOOKUP(TAB_ESTOQUE[[#This Row],[Codigo]],TAB_SAIDA[[COD_2_SAIDA]:[TOTAL_SAIDA]],5,FALSE)</f>
        <v>25</v>
      </c>
      <c r="R1176" s="87"/>
      <c r="S1176" s="87"/>
      <c r="T1176" s="90"/>
      <c r="U1176" s="91">
        <f>TAB_ESTOQUE[[#This Row],[Valor Unitario Estimado]]*TAB_ESTOQUE[[#This Row],[Estoque]]</f>
        <v>0</v>
      </c>
      <c r="V1176" s="91"/>
      <c r="W1176" s="85"/>
      <c r="X1176" s="85"/>
      <c r="Y1176" s="85"/>
      <c r="Z1176" s="85"/>
      <c r="AA1176" s="85"/>
      <c r="AB1176" s="85" t="str">
        <f>IF(TAB_ESTOQUE[[#This Row],[Estoque]]=0,"Estoque Não Conforme",IF(TAB_ESTOQUE[[#This Row],[Estoque]]&gt;=TAB_ESTOQUE[[#This Row],[Mínimo]],"Estoque Conforme",IF(TAB_ESTOQUE[[#This Row],[Estoque]]&lt;TAB_ESTOQUE[[#This Row],[Mínimo]],"Estoque em Nivel Minimo")))</f>
        <v>Estoque Conforme</v>
      </c>
      <c r="AC1176" s="85"/>
      <c r="AD1176" s="82"/>
      <c r="AE1176" s="82"/>
      <c r="AF1176" s="82"/>
    </row>
    <row r="1177" spans="1:32" ht="15" customHeight="1" x14ac:dyDescent="0.25">
      <c r="A1177" s="45">
        <v>512</v>
      </c>
      <c r="B1177" s="47"/>
      <c r="C1177" s="46"/>
      <c r="D1177" s="45" t="s">
        <v>2077</v>
      </c>
      <c r="E1177" s="46" t="s">
        <v>7</v>
      </c>
      <c r="F1177" s="87"/>
      <c r="G1177" s="82"/>
      <c r="H1177" s="82"/>
      <c r="I1177" s="82" t="s">
        <v>6130</v>
      </c>
      <c r="J1177" s="82"/>
      <c r="K1177" s="82"/>
      <c r="L1177" s="82"/>
      <c r="M1177" s="82" t="s">
        <v>139</v>
      </c>
      <c r="N1177" s="82"/>
      <c r="O1177" s="87" t="s">
        <v>6542</v>
      </c>
      <c r="P1177" s="82" t="s">
        <v>290</v>
      </c>
      <c r="Q1177" s="83">
        <f>VLOOKUP(TAB_ESTOQUE[[#This Row],[Codigo]],TAB_ENTRADA[[Cod_2_Entrada]:[TOTAL_ENTRADA]],5,FALSE)-VLOOKUP(TAB_ESTOQUE[[#This Row],[Codigo]],TAB_SAIDA[[COD_2_SAIDA]:[TOTAL_SAIDA]],5,FALSE)</f>
        <v>14</v>
      </c>
      <c r="R1177" s="87"/>
      <c r="S1177" s="87"/>
      <c r="T1177" s="90"/>
      <c r="U1177" s="91">
        <f>TAB_ESTOQUE[[#This Row],[Valor Unitario Estimado]]*TAB_ESTOQUE[[#This Row],[Estoque]]</f>
        <v>0</v>
      </c>
      <c r="V1177" s="91"/>
      <c r="W1177" s="85"/>
      <c r="X1177" s="85"/>
      <c r="Y1177" s="85"/>
      <c r="Z1177" s="85"/>
      <c r="AA1177" s="85"/>
      <c r="AB1177" s="85" t="str">
        <f>IF(TAB_ESTOQUE[[#This Row],[Estoque]]=0,"Estoque Não Conforme",IF(TAB_ESTOQUE[[#This Row],[Estoque]]&gt;=TAB_ESTOQUE[[#This Row],[Mínimo]],"Estoque Conforme",IF(TAB_ESTOQUE[[#This Row],[Estoque]]&lt;TAB_ESTOQUE[[#This Row],[Mínimo]],"Estoque em Nivel Minimo")))</f>
        <v>Estoque Conforme</v>
      </c>
      <c r="AC1177" s="85"/>
      <c r="AD1177" s="82"/>
      <c r="AE1177" s="82"/>
      <c r="AF1177" s="82"/>
    </row>
    <row r="1178" spans="1:32" ht="15" customHeight="1" x14ac:dyDescent="0.25">
      <c r="A1178" s="45">
        <v>511</v>
      </c>
      <c r="B1178" s="47"/>
      <c r="C1178" s="46"/>
      <c r="D1178" s="45" t="s">
        <v>2078</v>
      </c>
      <c r="E1178" s="46" t="s">
        <v>7</v>
      </c>
      <c r="F1178" s="87"/>
      <c r="G1178" s="82"/>
      <c r="H1178" s="82"/>
      <c r="I1178" s="82" t="s">
        <v>6131</v>
      </c>
      <c r="J1178" s="82"/>
      <c r="K1178" s="82"/>
      <c r="L1178" s="82"/>
      <c r="M1178" s="82"/>
      <c r="N1178" s="82"/>
      <c r="O1178" s="87" t="s">
        <v>6542</v>
      </c>
      <c r="P1178" s="82" t="s">
        <v>289</v>
      </c>
      <c r="Q1178" s="83">
        <f>VLOOKUP(TAB_ESTOQUE[[#This Row],[Codigo]],TAB_ENTRADA[[Cod_2_Entrada]:[TOTAL_ENTRADA]],5,FALSE)-VLOOKUP(TAB_ESTOQUE[[#This Row],[Codigo]],TAB_SAIDA[[COD_2_SAIDA]:[TOTAL_SAIDA]],5,FALSE)</f>
        <v>8</v>
      </c>
      <c r="R1178" s="87"/>
      <c r="S1178" s="87"/>
      <c r="T1178" s="90"/>
      <c r="U1178" s="91">
        <f>TAB_ESTOQUE[[#This Row],[Valor Unitario Estimado]]*TAB_ESTOQUE[[#This Row],[Estoque]]</f>
        <v>0</v>
      </c>
      <c r="V1178" s="91"/>
      <c r="W1178" s="85"/>
      <c r="X1178" s="85"/>
      <c r="Y1178" s="85"/>
      <c r="Z1178" s="85"/>
      <c r="AA1178" s="85"/>
      <c r="AB1178" s="85" t="str">
        <f>IF(TAB_ESTOQUE[[#This Row],[Estoque]]=0,"Estoque Não Conforme",IF(TAB_ESTOQUE[[#This Row],[Estoque]]&gt;=TAB_ESTOQUE[[#This Row],[Mínimo]],"Estoque Conforme",IF(TAB_ESTOQUE[[#This Row],[Estoque]]&lt;TAB_ESTOQUE[[#This Row],[Mínimo]],"Estoque em Nivel Minimo")))</f>
        <v>Estoque Conforme</v>
      </c>
      <c r="AC1178" s="85"/>
      <c r="AD1178" s="82"/>
      <c r="AE1178" s="82"/>
      <c r="AF1178" s="82"/>
    </row>
    <row r="1179" spans="1:32" ht="15" customHeight="1" x14ac:dyDescent="0.25">
      <c r="A1179" s="45">
        <v>1012</v>
      </c>
      <c r="B1179" s="47"/>
      <c r="C1179" s="46"/>
      <c r="D1179" s="45" t="s">
        <v>2079</v>
      </c>
      <c r="E1179" s="46" t="s">
        <v>7</v>
      </c>
      <c r="F1179" s="87"/>
      <c r="G1179" s="82"/>
      <c r="H1179" s="82"/>
      <c r="I1179" s="82" t="s">
        <v>1575</v>
      </c>
      <c r="J1179" s="82"/>
      <c r="K1179" s="82"/>
      <c r="L1179" s="82"/>
      <c r="M1179" s="82"/>
      <c r="N1179" s="82"/>
      <c r="O1179" s="87" t="s">
        <v>6542</v>
      </c>
      <c r="P1179" s="82" t="s">
        <v>289</v>
      </c>
      <c r="Q1179" s="83">
        <f>VLOOKUP(TAB_ESTOQUE[[#This Row],[Codigo]],TAB_ENTRADA[[Cod_2_Entrada]:[TOTAL_ENTRADA]],5,FALSE)-VLOOKUP(TAB_ESTOQUE[[#This Row],[Codigo]],TAB_SAIDA[[COD_2_SAIDA]:[TOTAL_SAIDA]],5,FALSE)</f>
        <v>16</v>
      </c>
      <c r="R1179" s="87"/>
      <c r="S1179" s="87"/>
      <c r="T1179" s="90"/>
      <c r="U1179" s="91">
        <f>TAB_ESTOQUE[[#This Row],[Valor Unitario Estimado]]*TAB_ESTOQUE[[#This Row],[Estoque]]</f>
        <v>0</v>
      </c>
      <c r="V1179" s="91"/>
      <c r="W1179" s="85"/>
      <c r="X1179" s="85"/>
      <c r="Y1179" s="85"/>
      <c r="Z1179" s="85"/>
      <c r="AA1179" s="85"/>
      <c r="AB1179" s="85" t="str">
        <f>IF(TAB_ESTOQUE[[#This Row],[Estoque]]=0,"Estoque Não Conforme",IF(TAB_ESTOQUE[[#This Row],[Estoque]]&gt;=TAB_ESTOQUE[[#This Row],[Mínimo]],"Estoque Conforme",IF(TAB_ESTOQUE[[#This Row],[Estoque]]&lt;TAB_ESTOQUE[[#This Row],[Mínimo]],"Estoque em Nivel Minimo")))</f>
        <v>Estoque Conforme</v>
      </c>
      <c r="AC1179" s="85"/>
      <c r="AD1179" s="82"/>
      <c r="AE1179" s="82"/>
      <c r="AF1179" s="82"/>
    </row>
    <row r="1180" spans="1:32" ht="15" customHeight="1" x14ac:dyDescent="0.25">
      <c r="A1180" s="45">
        <v>1013</v>
      </c>
      <c r="B1180" s="47"/>
      <c r="C1180" s="46"/>
      <c r="D1180" s="45" t="s">
        <v>2081</v>
      </c>
      <c r="E1180" s="46" t="s">
        <v>7</v>
      </c>
      <c r="F1180" s="87"/>
      <c r="G1180" s="82"/>
      <c r="H1180" s="82"/>
      <c r="I1180" s="82" t="s">
        <v>1576</v>
      </c>
      <c r="J1180" s="82"/>
      <c r="K1180" s="82"/>
      <c r="L1180" s="82"/>
      <c r="M1180" s="82"/>
      <c r="N1180" s="82"/>
      <c r="O1180" s="87" t="s">
        <v>6542</v>
      </c>
      <c r="P1180" s="82" t="s">
        <v>289</v>
      </c>
      <c r="Q1180" s="83">
        <f>VLOOKUP(TAB_ESTOQUE[[#This Row],[Codigo]],TAB_ENTRADA[[Cod_2_Entrada]:[TOTAL_ENTRADA]],5,FALSE)-VLOOKUP(TAB_ESTOQUE[[#This Row],[Codigo]],TAB_SAIDA[[COD_2_SAIDA]:[TOTAL_SAIDA]],5,FALSE)</f>
        <v>3</v>
      </c>
      <c r="R1180" s="87"/>
      <c r="S1180" s="87"/>
      <c r="T1180" s="90"/>
      <c r="U1180" s="91">
        <f>TAB_ESTOQUE[[#This Row],[Valor Unitario Estimado]]*TAB_ESTOQUE[[#This Row],[Estoque]]</f>
        <v>0</v>
      </c>
      <c r="V1180" s="91"/>
      <c r="W1180" s="85"/>
      <c r="X1180" s="85"/>
      <c r="Y1180" s="85"/>
      <c r="Z1180" s="85"/>
      <c r="AA1180" s="85"/>
      <c r="AB1180" s="85" t="str">
        <f>IF(TAB_ESTOQUE[[#This Row],[Estoque]]=0,"Estoque Não Conforme",IF(TAB_ESTOQUE[[#This Row],[Estoque]]&gt;=TAB_ESTOQUE[[#This Row],[Mínimo]],"Estoque Conforme",IF(TAB_ESTOQUE[[#This Row],[Estoque]]&lt;TAB_ESTOQUE[[#This Row],[Mínimo]],"Estoque em Nivel Minimo")))</f>
        <v>Estoque Conforme</v>
      </c>
      <c r="AC1180" s="85"/>
      <c r="AD1180" s="82"/>
      <c r="AE1180" s="82"/>
      <c r="AF1180" s="82"/>
    </row>
    <row r="1181" spans="1:32" ht="15" customHeight="1" x14ac:dyDescent="0.25">
      <c r="A1181" s="45">
        <v>505</v>
      </c>
      <c r="B1181" s="47"/>
      <c r="C1181" s="46"/>
      <c r="D1181" s="45" t="s">
        <v>2091</v>
      </c>
      <c r="E1181" s="46" t="s">
        <v>7265</v>
      </c>
      <c r="F1181" s="87"/>
      <c r="G1181" s="82"/>
      <c r="H1181" s="82"/>
      <c r="I1181" s="92" t="s">
        <v>8512</v>
      </c>
      <c r="J1181" s="82"/>
      <c r="K1181" s="82"/>
      <c r="L1181" s="82"/>
      <c r="M1181" s="82"/>
      <c r="N1181" s="82"/>
      <c r="O1181" s="87" t="s">
        <v>6542</v>
      </c>
      <c r="P1181" s="82" t="s">
        <v>282</v>
      </c>
      <c r="Q1181" s="83">
        <f>VLOOKUP(TAB_ESTOQUE[[#This Row],[Codigo]],TAB_ENTRADA[[Cod_2_Entrada]:[TOTAL_ENTRADA]],5,FALSE)-VLOOKUP(TAB_ESTOQUE[[#This Row],[Codigo]],TAB_SAIDA[[COD_2_SAIDA]:[TOTAL_SAIDA]],5,FALSE)</f>
        <v>3</v>
      </c>
      <c r="R1181" s="87"/>
      <c r="S1181" s="87"/>
      <c r="T1181" s="90">
        <v>0.5</v>
      </c>
      <c r="U1181" s="91">
        <f>TAB_ESTOQUE[[#This Row],[Valor Unitario Estimado]]*TAB_ESTOQUE[[#This Row],[Estoque]]</f>
        <v>1.5</v>
      </c>
      <c r="V1181" s="91"/>
      <c r="W1181" s="85"/>
      <c r="X1181" s="85"/>
      <c r="Y1181" s="85"/>
      <c r="Z1181" s="85"/>
      <c r="AA1181" s="85"/>
      <c r="AB1181" s="85" t="str">
        <f>IF(TAB_ESTOQUE[[#This Row],[Estoque]]=0,"Estoque Não Conforme",IF(TAB_ESTOQUE[[#This Row],[Estoque]]&gt;=TAB_ESTOQUE[[#This Row],[Mínimo]],"Estoque Conforme",IF(TAB_ESTOQUE[[#This Row],[Estoque]]&lt;TAB_ESTOQUE[[#This Row],[Mínimo]],"Estoque em Nivel Minimo")))</f>
        <v>Estoque Conforme</v>
      </c>
      <c r="AC1181" s="85"/>
      <c r="AD1181" s="82"/>
      <c r="AE1181" s="82"/>
      <c r="AF1181" s="82"/>
    </row>
    <row r="1182" spans="1:32" ht="15" customHeight="1" x14ac:dyDescent="0.25">
      <c r="A1182" s="45">
        <v>223</v>
      </c>
      <c r="B1182" s="47"/>
      <c r="C1182" s="46"/>
      <c r="D1182" s="45" t="s">
        <v>2158</v>
      </c>
      <c r="E1182" s="46" t="s">
        <v>7</v>
      </c>
      <c r="F1182" s="87"/>
      <c r="G1182" s="82"/>
      <c r="H1182" s="82"/>
      <c r="I1182" s="94" t="s">
        <v>6154</v>
      </c>
      <c r="J1182" s="82"/>
      <c r="K1182" s="82" t="s">
        <v>30</v>
      </c>
      <c r="L1182" s="82"/>
      <c r="M1182" s="82" t="s">
        <v>163</v>
      </c>
      <c r="N1182" s="82"/>
      <c r="O1182" s="87" t="s">
        <v>6678</v>
      </c>
      <c r="P1182" s="82" t="s">
        <v>172</v>
      </c>
      <c r="Q1182" s="83">
        <f>VLOOKUP(TAB_ESTOQUE[[#This Row],[Codigo]],TAB_ENTRADA[[Cod_2_Entrada]:[TOTAL_ENTRADA]],5,FALSE)-VLOOKUP(TAB_ESTOQUE[[#This Row],[Codigo]],TAB_SAIDA[[COD_2_SAIDA]:[TOTAL_SAIDA]],5,FALSE)</f>
        <v>13</v>
      </c>
      <c r="R1182" s="87"/>
      <c r="S1182" s="87"/>
      <c r="T1182" s="90"/>
      <c r="U1182" s="91">
        <f>TAB_ESTOQUE[[#This Row],[Valor Unitario Estimado]]*TAB_ESTOQUE[[#This Row],[Estoque]]</f>
        <v>0</v>
      </c>
      <c r="V1182" s="91"/>
      <c r="W1182" s="85"/>
      <c r="X1182" s="85"/>
      <c r="Y1182" s="85"/>
      <c r="Z1182" s="85"/>
      <c r="AA1182" s="85"/>
      <c r="AB1182" s="85" t="str">
        <f>IF(TAB_ESTOQUE[[#This Row],[Estoque]]=0,"Estoque Não Conforme",IF(TAB_ESTOQUE[[#This Row],[Estoque]]&gt;=TAB_ESTOQUE[[#This Row],[Mínimo]],"Estoque Conforme",IF(TAB_ESTOQUE[[#This Row],[Estoque]]&lt;TAB_ESTOQUE[[#This Row],[Mínimo]],"Estoque em Nivel Minimo")))</f>
        <v>Estoque Conforme</v>
      </c>
      <c r="AC1182" s="85"/>
      <c r="AD1182" s="82"/>
      <c r="AE1182" s="82"/>
      <c r="AF1182" s="82"/>
    </row>
    <row r="1183" spans="1:32" ht="15" customHeight="1" x14ac:dyDescent="0.25">
      <c r="A1183" s="45">
        <v>518</v>
      </c>
      <c r="B1183" s="47"/>
      <c r="C1183" s="46"/>
      <c r="D1183" s="45" t="s">
        <v>2159</v>
      </c>
      <c r="E1183" s="46" t="s">
        <v>7</v>
      </c>
      <c r="F1183" s="87"/>
      <c r="G1183" s="82"/>
      <c r="H1183" s="82"/>
      <c r="I1183" s="95" t="s">
        <v>8526</v>
      </c>
      <c r="J1183" s="82"/>
      <c r="K1183" s="82"/>
      <c r="L1183" s="82"/>
      <c r="M1183" s="82" t="s">
        <v>163</v>
      </c>
      <c r="N1183" s="82"/>
      <c r="O1183" s="87" t="s">
        <v>6678</v>
      </c>
      <c r="P1183" s="82" t="s">
        <v>297</v>
      </c>
      <c r="Q1183" s="83">
        <f>VLOOKUP(TAB_ESTOQUE[[#This Row],[Codigo]],TAB_ENTRADA[[Cod_2_Entrada]:[TOTAL_ENTRADA]],5,FALSE)-VLOOKUP(TAB_ESTOQUE[[#This Row],[Codigo]],TAB_SAIDA[[COD_2_SAIDA]:[TOTAL_SAIDA]],5,FALSE)</f>
        <v>2</v>
      </c>
      <c r="R1183" s="87"/>
      <c r="S1183" s="87"/>
      <c r="T1183" s="90"/>
      <c r="U1183" s="91">
        <f>TAB_ESTOQUE[[#This Row],[Valor Unitario Estimado]]*TAB_ESTOQUE[[#This Row],[Estoque]]</f>
        <v>0</v>
      </c>
      <c r="V1183" s="91"/>
      <c r="W1183" s="85"/>
      <c r="X1183" s="85"/>
      <c r="Y1183" s="85"/>
      <c r="Z1183" s="85"/>
      <c r="AA1183" s="85"/>
      <c r="AB1183" s="85" t="str">
        <f>IF(TAB_ESTOQUE[[#This Row],[Estoque]]=0,"Estoque Não Conforme",IF(TAB_ESTOQUE[[#This Row],[Estoque]]&gt;=TAB_ESTOQUE[[#This Row],[Mínimo]],"Estoque Conforme",IF(TAB_ESTOQUE[[#This Row],[Estoque]]&lt;TAB_ESTOQUE[[#This Row],[Mínimo]],"Estoque em Nivel Minimo")))</f>
        <v>Estoque Conforme</v>
      </c>
      <c r="AC1183" s="85"/>
      <c r="AD1183" s="82"/>
      <c r="AE1183" s="82"/>
      <c r="AF1183" s="82"/>
    </row>
    <row r="1184" spans="1:32" s="106" customFormat="1" ht="15" customHeight="1" x14ac:dyDescent="0.25">
      <c r="A1184" s="45">
        <v>224</v>
      </c>
      <c r="B1184" s="47"/>
      <c r="C1184" s="46" t="s">
        <v>2838</v>
      </c>
      <c r="D1184" s="45" t="s">
        <v>2160</v>
      </c>
      <c r="E1184" s="46" t="s">
        <v>7</v>
      </c>
      <c r="F1184" s="87"/>
      <c r="G1184" s="82"/>
      <c r="H1184" s="82"/>
      <c r="I1184" s="94" t="s">
        <v>6156</v>
      </c>
      <c r="J1184" s="82"/>
      <c r="K1184" s="82"/>
      <c r="L1184" s="82"/>
      <c r="M1184" s="82"/>
      <c r="N1184" s="82"/>
      <c r="O1184" s="87" t="s">
        <v>6678</v>
      </c>
      <c r="P1184" s="82" t="s">
        <v>173</v>
      </c>
      <c r="Q1184" s="83">
        <f>VLOOKUP(TAB_ESTOQUE[[#This Row],[Codigo]],TAB_ENTRADA[[Cod_2_Entrada]:[TOTAL_ENTRADA]],5,FALSE)-VLOOKUP(TAB_ESTOQUE[[#This Row],[Codigo]],TAB_SAIDA[[COD_2_SAIDA]:[TOTAL_SAIDA]],5,FALSE)</f>
        <v>5</v>
      </c>
      <c r="R1184" s="87"/>
      <c r="S1184" s="87"/>
      <c r="T1184" s="90"/>
      <c r="U1184" s="91">
        <f>TAB_ESTOQUE[[#This Row],[Valor Unitario Estimado]]*TAB_ESTOQUE[[#This Row],[Estoque]]</f>
        <v>0</v>
      </c>
      <c r="V1184" s="91"/>
      <c r="W1184" s="85"/>
      <c r="X1184" s="85"/>
      <c r="Y1184" s="85"/>
      <c r="Z1184" s="85"/>
      <c r="AA1184" s="85"/>
      <c r="AB1184" s="85" t="str">
        <f>IF(TAB_ESTOQUE[[#This Row],[Estoque]]=0,"Estoque Não Conforme",IF(TAB_ESTOQUE[[#This Row],[Estoque]]&gt;=TAB_ESTOQUE[[#This Row],[Mínimo]],"Estoque Conforme",IF(TAB_ESTOQUE[[#This Row],[Estoque]]&lt;TAB_ESTOQUE[[#This Row],[Mínimo]],"Estoque em Nivel Minimo")))</f>
        <v>Estoque Conforme</v>
      </c>
      <c r="AC1184" s="85"/>
      <c r="AD1184" s="82"/>
      <c r="AE1184" s="95"/>
      <c r="AF1184" s="95"/>
    </row>
    <row r="1185" spans="1:32" s="47" customFormat="1" ht="15" customHeight="1" x14ac:dyDescent="0.25">
      <c r="A1185" s="45">
        <v>519</v>
      </c>
      <c r="C1185" s="46"/>
      <c r="D1185" s="45" t="s">
        <v>2161</v>
      </c>
      <c r="E1185" s="46" t="s">
        <v>7</v>
      </c>
      <c r="F1185" s="87"/>
      <c r="G1185" s="82"/>
      <c r="H1185" s="82"/>
      <c r="I1185" s="82" t="s">
        <v>8527</v>
      </c>
      <c r="J1185" s="82"/>
      <c r="K1185" s="82"/>
      <c r="L1185" s="82"/>
      <c r="M1185" s="82" t="s">
        <v>163</v>
      </c>
      <c r="N1185" s="82"/>
      <c r="O1185" s="87" t="s">
        <v>6678</v>
      </c>
      <c r="P1185" s="82" t="s">
        <v>298</v>
      </c>
      <c r="Q1185" s="83">
        <f>VLOOKUP(TAB_ESTOQUE[[#This Row],[Codigo]],TAB_ENTRADA[[Cod_2_Entrada]:[TOTAL_ENTRADA]],5,FALSE)-VLOOKUP(TAB_ESTOQUE[[#This Row],[Codigo]],TAB_SAIDA[[COD_2_SAIDA]:[TOTAL_SAIDA]],5,FALSE)</f>
        <v>19</v>
      </c>
      <c r="R1185" s="87"/>
      <c r="S1185" s="87"/>
      <c r="T1185" s="90"/>
      <c r="U1185" s="91">
        <f>TAB_ESTOQUE[[#This Row],[Valor Unitario Estimado]]*TAB_ESTOQUE[[#This Row],[Estoque]]</f>
        <v>0</v>
      </c>
      <c r="V1185" s="91"/>
      <c r="W1185" s="85"/>
      <c r="X1185" s="85"/>
      <c r="Y1185" s="85"/>
      <c r="Z1185" s="85"/>
      <c r="AA1185" s="85"/>
      <c r="AB1185" s="85" t="str">
        <f>IF(TAB_ESTOQUE[[#This Row],[Estoque]]=0,"Estoque Não Conforme",IF(TAB_ESTOQUE[[#This Row],[Estoque]]&gt;=TAB_ESTOQUE[[#This Row],[Mínimo]],"Estoque Conforme",IF(TAB_ESTOQUE[[#This Row],[Estoque]]&lt;TAB_ESTOQUE[[#This Row],[Mínimo]],"Estoque em Nivel Minimo")))</f>
        <v>Estoque Conforme</v>
      </c>
      <c r="AC1185" s="85"/>
      <c r="AD1185" s="82"/>
      <c r="AE1185" s="94"/>
      <c r="AF1185" s="94"/>
    </row>
    <row r="1186" spans="1:32" s="106" customFormat="1" ht="15" customHeight="1" x14ac:dyDescent="0.25">
      <c r="A1186" s="45">
        <v>520</v>
      </c>
      <c r="B1186" s="47"/>
      <c r="C1186" s="46"/>
      <c r="D1186" s="45" t="s">
        <v>2162</v>
      </c>
      <c r="E1186" s="46" t="s">
        <v>7</v>
      </c>
      <c r="F1186" s="87"/>
      <c r="G1186" s="82"/>
      <c r="H1186" s="82"/>
      <c r="I1186" s="82" t="s">
        <v>1523</v>
      </c>
      <c r="J1186" s="82"/>
      <c r="K1186" s="82"/>
      <c r="L1186" s="82"/>
      <c r="M1186" s="82" t="s">
        <v>299</v>
      </c>
      <c r="N1186" s="82"/>
      <c r="O1186" s="87" t="s">
        <v>6678</v>
      </c>
      <c r="P1186" s="82" t="s">
        <v>300</v>
      </c>
      <c r="Q1186" s="83">
        <f>VLOOKUP(TAB_ESTOQUE[[#This Row],[Codigo]],TAB_ENTRADA[[Cod_2_Entrada]:[TOTAL_ENTRADA]],5,FALSE)-VLOOKUP(TAB_ESTOQUE[[#This Row],[Codigo]],TAB_SAIDA[[COD_2_SAIDA]:[TOTAL_SAIDA]],5,FALSE)</f>
        <v>5</v>
      </c>
      <c r="R1186" s="87"/>
      <c r="S1186" s="87"/>
      <c r="T1186" s="90"/>
      <c r="U1186" s="91">
        <f>TAB_ESTOQUE[[#This Row],[Valor Unitario Estimado]]*TAB_ESTOQUE[[#This Row],[Estoque]]</f>
        <v>0</v>
      </c>
      <c r="V1186" s="91"/>
      <c r="W1186" s="85"/>
      <c r="X1186" s="85"/>
      <c r="Y1186" s="85"/>
      <c r="Z1186" s="85"/>
      <c r="AA1186" s="85"/>
      <c r="AB1186" s="85" t="str">
        <f>IF(TAB_ESTOQUE[[#This Row],[Estoque]]=0,"Estoque Não Conforme",IF(TAB_ESTOQUE[[#This Row],[Estoque]]&gt;=TAB_ESTOQUE[[#This Row],[Mínimo]],"Estoque Conforme",IF(TAB_ESTOQUE[[#This Row],[Estoque]]&lt;TAB_ESTOQUE[[#This Row],[Mínimo]],"Estoque em Nivel Minimo")))</f>
        <v>Estoque Conforme</v>
      </c>
      <c r="AC1186" s="85"/>
      <c r="AD1186" s="82"/>
      <c r="AE1186" s="95"/>
      <c r="AF1186" s="95"/>
    </row>
    <row r="1187" spans="1:32" ht="15" customHeight="1" x14ac:dyDescent="0.25">
      <c r="A1187" s="45">
        <v>517</v>
      </c>
      <c r="B1187" s="47"/>
      <c r="C1187" s="46"/>
      <c r="D1187" s="45" t="s">
        <v>2163</v>
      </c>
      <c r="E1187" s="46" t="s">
        <v>7</v>
      </c>
      <c r="F1187" s="87"/>
      <c r="G1187" s="82"/>
      <c r="H1187" s="82"/>
      <c r="I1187" s="95" t="s">
        <v>8528</v>
      </c>
      <c r="J1187" s="82"/>
      <c r="K1187" s="82"/>
      <c r="L1187" s="82"/>
      <c r="M1187" s="82" t="s">
        <v>163</v>
      </c>
      <c r="N1187" s="82"/>
      <c r="O1187" s="87" t="s">
        <v>6678</v>
      </c>
      <c r="P1187" s="82" t="s">
        <v>296</v>
      </c>
      <c r="Q1187" s="83">
        <f>VLOOKUP(TAB_ESTOQUE[[#This Row],[Codigo]],TAB_ENTRADA[[Cod_2_Entrada]:[TOTAL_ENTRADA]],5,FALSE)-VLOOKUP(TAB_ESTOQUE[[#This Row],[Codigo]],TAB_SAIDA[[COD_2_SAIDA]:[TOTAL_SAIDA]],5,FALSE)</f>
        <v>3</v>
      </c>
      <c r="R1187" s="87"/>
      <c r="S1187" s="87"/>
      <c r="T1187" s="90"/>
      <c r="U1187" s="91">
        <f>TAB_ESTOQUE[[#This Row],[Valor Unitario Estimado]]*TAB_ESTOQUE[[#This Row],[Estoque]]</f>
        <v>0</v>
      </c>
      <c r="V1187" s="91"/>
      <c r="W1187" s="85"/>
      <c r="X1187" s="85"/>
      <c r="Y1187" s="85"/>
      <c r="Z1187" s="85"/>
      <c r="AA1187" s="85"/>
      <c r="AB1187" s="85" t="str">
        <f>IF(TAB_ESTOQUE[[#This Row],[Estoque]]=0,"Estoque Não Conforme",IF(TAB_ESTOQUE[[#This Row],[Estoque]]&gt;=TAB_ESTOQUE[[#This Row],[Mínimo]],"Estoque Conforme",IF(TAB_ESTOQUE[[#This Row],[Estoque]]&lt;TAB_ESTOQUE[[#This Row],[Mínimo]],"Estoque em Nivel Minimo")))</f>
        <v>Estoque Conforme</v>
      </c>
      <c r="AC1187" s="85"/>
      <c r="AD1187" s="82"/>
      <c r="AE1187" s="82"/>
      <c r="AF1187" s="82"/>
    </row>
    <row r="1188" spans="1:32" ht="15" customHeight="1" x14ac:dyDescent="0.25">
      <c r="A1188" s="45">
        <v>225</v>
      </c>
      <c r="B1188" s="47"/>
      <c r="C1188" s="46"/>
      <c r="D1188" s="45" t="s">
        <v>2164</v>
      </c>
      <c r="E1188" s="46" t="s">
        <v>8372</v>
      </c>
      <c r="F1188" s="87"/>
      <c r="G1188" s="82"/>
      <c r="H1188" s="82"/>
      <c r="I1188" s="94" t="s">
        <v>8529</v>
      </c>
      <c r="J1188" s="82"/>
      <c r="K1188" s="82" t="s">
        <v>165</v>
      </c>
      <c r="L1188" s="82"/>
      <c r="M1188" s="82" t="s">
        <v>163</v>
      </c>
      <c r="N1188" s="82"/>
      <c r="O1188" s="87" t="s">
        <v>6678</v>
      </c>
      <c r="P1188" s="82" t="s">
        <v>174</v>
      </c>
      <c r="Q1188" s="83">
        <f>VLOOKUP(TAB_ESTOQUE[[#This Row],[Codigo]],TAB_ENTRADA[[Cod_2_Entrada]:[TOTAL_ENTRADA]],5,FALSE)-VLOOKUP(TAB_ESTOQUE[[#This Row],[Codigo]],TAB_SAIDA[[COD_2_SAIDA]:[TOTAL_SAIDA]],5,FALSE)</f>
        <v>8</v>
      </c>
      <c r="R1188" s="87"/>
      <c r="S1188" s="87"/>
      <c r="T1188" s="90"/>
      <c r="U1188" s="91">
        <f>TAB_ESTOQUE[[#This Row],[Valor Unitario Estimado]]*TAB_ESTOQUE[[#This Row],[Estoque]]</f>
        <v>0</v>
      </c>
      <c r="V1188" s="91"/>
      <c r="W1188" s="85"/>
      <c r="X1188" s="85"/>
      <c r="Y1188" s="85"/>
      <c r="Z1188" s="85"/>
      <c r="AA1188" s="85"/>
      <c r="AB1188" s="85" t="str">
        <f>IF(TAB_ESTOQUE[[#This Row],[Estoque]]=0,"Estoque Não Conforme",IF(TAB_ESTOQUE[[#This Row],[Estoque]]&gt;=TAB_ESTOQUE[[#This Row],[Mínimo]],"Estoque Conforme",IF(TAB_ESTOQUE[[#This Row],[Estoque]]&lt;TAB_ESTOQUE[[#This Row],[Mínimo]],"Estoque em Nivel Minimo")))</f>
        <v>Estoque Conforme</v>
      </c>
      <c r="AC1188" s="85"/>
      <c r="AD1188" s="82"/>
      <c r="AE1188" s="82"/>
      <c r="AF1188" s="82"/>
    </row>
    <row r="1189" spans="1:32" ht="15" customHeight="1" x14ac:dyDescent="0.25">
      <c r="A1189" s="45">
        <v>226</v>
      </c>
      <c r="B1189" s="47"/>
      <c r="C1189" s="46"/>
      <c r="D1189" s="45" t="s">
        <v>2165</v>
      </c>
      <c r="E1189" s="46" t="s">
        <v>7</v>
      </c>
      <c r="F1189" s="87"/>
      <c r="G1189" s="82"/>
      <c r="H1189" s="82"/>
      <c r="I1189" s="95" t="s">
        <v>8530</v>
      </c>
      <c r="J1189" s="82"/>
      <c r="K1189" s="82" t="s">
        <v>30</v>
      </c>
      <c r="L1189" s="82"/>
      <c r="M1189" s="82" t="s">
        <v>163</v>
      </c>
      <c r="N1189" s="82"/>
      <c r="O1189" s="87" t="s">
        <v>6678</v>
      </c>
      <c r="P1189" s="82" t="s">
        <v>175</v>
      </c>
      <c r="Q1189" s="83">
        <f>VLOOKUP(TAB_ESTOQUE[[#This Row],[Codigo]],TAB_ENTRADA[[Cod_2_Entrada]:[TOTAL_ENTRADA]],5,FALSE)-VLOOKUP(TAB_ESTOQUE[[#This Row],[Codigo]],TAB_SAIDA[[COD_2_SAIDA]:[TOTAL_SAIDA]],5,FALSE)</f>
        <v>10</v>
      </c>
      <c r="R1189" s="87"/>
      <c r="S1189" s="87"/>
      <c r="T1189" s="90"/>
      <c r="U1189" s="91">
        <f>TAB_ESTOQUE[[#This Row],[Valor Unitario Estimado]]*TAB_ESTOQUE[[#This Row],[Estoque]]</f>
        <v>0</v>
      </c>
      <c r="V1189" s="91"/>
      <c r="W1189" s="85"/>
      <c r="X1189" s="85"/>
      <c r="Y1189" s="85"/>
      <c r="Z1189" s="85"/>
      <c r="AA1189" s="85"/>
      <c r="AB1189" s="85" t="str">
        <f>IF(TAB_ESTOQUE[[#This Row],[Estoque]]=0,"Estoque Não Conforme",IF(TAB_ESTOQUE[[#This Row],[Estoque]]&gt;=TAB_ESTOQUE[[#This Row],[Mínimo]],"Estoque Conforme",IF(TAB_ESTOQUE[[#This Row],[Estoque]]&lt;TAB_ESTOQUE[[#This Row],[Mínimo]],"Estoque em Nivel Minimo")))</f>
        <v>Estoque Conforme</v>
      </c>
      <c r="AC1189" s="85"/>
      <c r="AD1189" s="82"/>
      <c r="AE1189" s="82"/>
      <c r="AF1189" s="82"/>
    </row>
    <row r="1190" spans="1:32" ht="15" customHeight="1" x14ac:dyDescent="0.25">
      <c r="A1190" s="45">
        <v>228</v>
      </c>
      <c r="B1190" s="47"/>
      <c r="C1190" s="46"/>
      <c r="D1190" s="45" t="s">
        <v>2168</v>
      </c>
      <c r="E1190" s="46" t="s">
        <v>7</v>
      </c>
      <c r="F1190" s="87"/>
      <c r="G1190" s="82"/>
      <c r="H1190" s="82"/>
      <c r="I1190" s="82" t="s">
        <v>8531</v>
      </c>
      <c r="J1190" s="82"/>
      <c r="K1190" s="82" t="s">
        <v>177</v>
      </c>
      <c r="L1190" s="82"/>
      <c r="M1190" s="82" t="s">
        <v>139</v>
      </c>
      <c r="N1190" s="82"/>
      <c r="O1190" s="87" t="s">
        <v>6678</v>
      </c>
      <c r="P1190" s="82" t="s">
        <v>179</v>
      </c>
      <c r="Q1190" s="83">
        <f>VLOOKUP(TAB_ESTOQUE[[#This Row],[Codigo]],TAB_ENTRADA[[Cod_2_Entrada]:[TOTAL_ENTRADA]],5,FALSE)-VLOOKUP(TAB_ESTOQUE[[#This Row],[Codigo]],TAB_SAIDA[[COD_2_SAIDA]:[TOTAL_SAIDA]],5,FALSE)</f>
        <v>4</v>
      </c>
      <c r="R1190" s="87"/>
      <c r="S1190" s="87"/>
      <c r="T1190" s="90"/>
      <c r="U1190" s="91">
        <f>TAB_ESTOQUE[[#This Row],[Valor Unitario Estimado]]*TAB_ESTOQUE[[#This Row],[Estoque]]</f>
        <v>0</v>
      </c>
      <c r="V1190" s="91"/>
      <c r="W1190" s="85"/>
      <c r="X1190" s="85"/>
      <c r="Y1190" s="85"/>
      <c r="Z1190" s="85"/>
      <c r="AA1190" s="85"/>
      <c r="AB1190" s="85" t="str">
        <f>IF(TAB_ESTOQUE[[#This Row],[Estoque]]=0,"Estoque Não Conforme",IF(TAB_ESTOQUE[[#This Row],[Estoque]]&gt;=TAB_ESTOQUE[[#This Row],[Mínimo]],"Estoque Conforme",IF(TAB_ESTOQUE[[#This Row],[Estoque]]&lt;TAB_ESTOQUE[[#This Row],[Mínimo]],"Estoque em Nivel Minimo")))</f>
        <v>Estoque Conforme</v>
      </c>
      <c r="AC1190" s="85"/>
      <c r="AD1190" s="82"/>
      <c r="AE1190" s="82"/>
      <c r="AF1190" s="82"/>
    </row>
    <row r="1191" spans="1:32" ht="15" customHeight="1" x14ac:dyDescent="0.25">
      <c r="A1191" s="45">
        <v>229</v>
      </c>
      <c r="B1191" s="47"/>
      <c r="C1191" s="46"/>
      <c r="D1191" s="45" t="s">
        <v>2169</v>
      </c>
      <c r="E1191" s="46" t="s">
        <v>7</v>
      </c>
      <c r="F1191" s="87"/>
      <c r="G1191" s="82"/>
      <c r="H1191" s="82"/>
      <c r="I1191" s="82" t="s">
        <v>8532</v>
      </c>
      <c r="J1191" s="82"/>
      <c r="K1191" s="82" t="s">
        <v>177</v>
      </c>
      <c r="L1191" s="82"/>
      <c r="M1191" s="82" t="s">
        <v>139</v>
      </c>
      <c r="N1191" s="82"/>
      <c r="O1191" s="87" t="s">
        <v>6678</v>
      </c>
      <c r="P1191" s="82" t="s">
        <v>181</v>
      </c>
      <c r="Q1191" s="83">
        <f>VLOOKUP(TAB_ESTOQUE[[#This Row],[Codigo]],TAB_ENTRADA[[Cod_2_Entrada]:[TOTAL_ENTRADA]],5,FALSE)-VLOOKUP(TAB_ESTOQUE[[#This Row],[Codigo]],TAB_SAIDA[[COD_2_SAIDA]:[TOTAL_SAIDA]],5,FALSE)</f>
        <v>20</v>
      </c>
      <c r="R1191" s="87"/>
      <c r="S1191" s="87"/>
      <c r="T1191" s="90"/>
      <c r="U1191" s="91">
        <f>TAB_ESTOQUE[[#This Row],[Valor Unitario Estimado]]*TAB_ESTOQUE[[#This Row],[Estoque]]</f>
        <v>0</v>
      </c>
      <c r="V1191" s="91"/>
      <c r="W1191" s="85"/>
      <c r="X1191" s="85"/>
      <c r="Y1191" s="85"/>
      <c r="Z1191" s="85"/>
      <c r="AA1191" s="85"/>
      <c r="AB1191" s="85" t="str">
        <f>IF(TAB_ESTOQUE[[#This Row],[Estoque]]=0,"Estoque Não Conforme",IF(TAB_ESTOQUE[[#This Row],[Estoque]]&gt;=TAB_ESTOQUE[[#This Row],[Mínimo]],"Estoque Conforme",IF(TAB_ESTOQUE[[#This Row],[Estoque]]&lt;TAB_ESTOQUE[[#This Row],[Mínimo]],"Estoque em Nivel Minimo")))</f>
        <v>Estoque Conforme</v>
      </c>
      <c r="AC1191" s="85"/>
      <c r="AD1191" s="82"/>
      <c r="AE1191" s="82"/>
      <c r="AF1191" s="82"/>
    </row>
    <row r="1192" spans="1:32" ht="15" customHeight="1" x14ac:dyDescent="0.25">
      <c r="A1192" s="45">
        <v>230</v>
      </c>
      <c r="B1192" s="47"/>
      <c r="C1192" s="46"/>
      <c r="D1192" s="45" t="s">
        <v>2170</v>
      </c>
      <c r="E1192" s="46" t="s">
        <v>7</v>
      </c>
      <c r="F1192" s="87"/>
      <c r="G1192" s="82"/>
      <c r="H1192" s="82"/>
      <c r="I1192" s="82" t="s">
        <v>8533</v>
      </c>
      <c r="J1192" s="82"/>
      <c r="K1192" s="82" t="s">
        <v>177</v>
      </c>
      <c r="L1192" s="82"/>
      <c r="M1192" s="82" t="s">
        <v>139</v>
      </c>
      <c r="N1192" s="82"/>
      <c r="O1192" s="87" t="s">
        <v>6678</v>
      </c>
      <c r="P1192" s="82" t="s">
        <v>182</v>
      </c>
      <c r="Q1192" s="83">
        <f>VLOOKUP(TAB_ESTOQUE[[#This Row],[Codigo]],TAB_ENTRADA[[Cod_2_Entrada]:[TOTAL_ENTRADA]],5,FALSE)-VLOOKUP(TAB_ESTOQUE[[#This Row],[Codigo]],TAB_SAIDA[[COD_2_SAIDA]:[TOTAL_SAIDA]],5,FALSE)</f>
        <v>2</v>
      </c>
      <c r="R1192" s="87"/>
      <c r="S1192" s="87"/>
      <c r="T1192" s="90"/>
      <c r="U1192" s="91">
        <f>TAB_ESTOQUE[[#This Row],[Valor Unitario Estimado]]*TAB_ESTOQUE[[#This Row],[Estoque]]</f>
        <v>0</v>
      </c>
      <c r="V1192" s="91"/>
      <c r="W1192" s="85"/>
      <c r="X1192" s="85"/>
      <c r="Y1192" s="85"/>
      <c r="Z1192" s="85"/>
      <c r="AA1192" s="85"/>
      <c r="AB1192" s="85" t="str">
        <f>IF(TAB_ESTOQUE[[#This Row],[Estoque]]=0,"Estoque Não Conforme",IF(TAB_ESTOQUE[[#This Row],[Estoque]]&gt;=TAB_ESTOQUE[[#This Row],[Mínimo]],"Estoque Conforme",IF(TAB_ESTOQUE[[#This Row],[Estoque]]&lt;TAB_ESTOQUE[[#This Row],[Mínimo]],"Estoque em Nivel Minimo")))</f>
        <v>Estoque Conforme</v>
      </c>
      <c r="AC1192" s="85"/>
      <c r="AD1192" s="82"/>
      <c r="AE1192" s="82"/>
      <c r="AF1192" s="82"/>
    </row>
    <row r="1193" spans="1:32" ht="15" customHeight="1" x14ac:dyDescent="0.25">
      <c r="A1193" s="45">
        <v>231</v>
      </c>
      <c r="B1193" s="47"/>
      <c r="C1193" s="46"/>
      <c r="D1193" s="45" t="s">
        <v>2171</v>
      </c>
      <c r="E1193" s="46" t="s">
        <v>7</v>
      </c>
      <c r="F1193" s="87"/>
      <c r="G1193" s="82"/>
      <c r="H1193" s="82"/>
      <c r="I1193" s="82" t="s">
        <v>8534</v>
      </c>
      <c r="J1193" s="82"/>
      <c r="K1193" s="82" t="s">
        <v>177</v>
      </c>
      <c r="L1193" s="82"/>
      <c r="M1193" s="82" t="s">
        <v>139</v>
      </c>
      <c r="N1193" s="82"/>
      <c r="O1193" s="87" t="s">
        <v>6678</v>
      </c>
      <c r="P1193" s="82" t="s">
        <v>183</v>
      </c>
      <c r="Q1193" s="83">
        <f>VLOOKUP(TAB_ESTOQUE[[#This Row],[Codigo]],TAB_ENTRADA[[Cod_2_Entrada]:[TOTAL_ENTRADA]],5,FALSE)-VLOOKUP(TAB_ESTOQUE[[#This Row],[Codigo]],TAB_SAIDA[[COD_2_SAIDA]:[TOTAL_SAIDA]],5,FALSE)</f>
        <v>20</v>
      </c>
      <c r="R1193" s="87"/>
      <c r="S1193" s="87"/>
      <c r="T1193" s="90"/>
      <c r="U1193" s="91">
        <f>TAB_ESTOQUE[[#This Row],[Valor Unitario Estimado]]*TAB_ESTOQUE[[#This Row],[Estoque]]</f>
        <v>0</v>
      </c>
      <c r="V1193" s="91"/>
      <c r="W1193" s="85"/>
      <c r="X1193" s="85"/>
      <c r="Y1193" s="85"/>
      <c r="Z1193" s="85"/>
      <c r="AA1193" s="85"/>
      <c r="AB1193" s="85" t="str">
        <f>IF(TAB_ESTOQUE[[#This Row],[Estoque]]=0,"Estoque Não Conforme",IF(TAB_ESTOQUE[[#This Row],[Estoque]]&gt;=TAB_ESTOQUE[[#This Row],[Mínimo]],"Estoque Conforme",IF(TAB_ESTOQUE[[#This Row],[Estoque]]&lt;TAB_ESTOQUE[[#This Row],[Mínimo]],"Estoque em Nivel Minimo")))</f>
        <v>Estoque Conforme</v>
      </c>
      <c r="AC1193" s="85"/>
      <c r="AD1193" s="82"/>
      <c r="AE1193" s="82"/>
      <c r="AF1193" s="82"/>
    </row>
    <row r="1194" spans="1:32" s="106" customFormat="1" ht="15" customHeight="1" x14ac:dyDescent="0.25">
      <c r="A1194" s="45">
        <v>1038</v>
      </c>
      <c r="B1194" s="47"/>
      <c r="C1194" s="46"/>
      <c r="D1194" s="45" t="s">
        <v>2237</v>
      </c>
      <c r="E1194" s="46" t="s">
        <v>7345</v>
      </c>
      <c r="F1194" s="87"/>
      <c r="G1194" s="82"/>
      <c r="H1194" s="82"/>
      <c r="I1194" s="82" t="s">
        <v>8548</v>
      </c>
      <c r="J1194" s="82"/>
      <c r="K1194" s="82"/>
      <c r="L1194" s="82"/>
      <c r="M1194" s="82" t="s">
        <v>139</v>
      </c>
      <c r="N1194" s="82"/>
      <c r="O1194" s="87" t="s">
        <v>6678</v>
      </c>
      <c r="P1194" s="82" t="s">
        <v>790</v>
      </c>
      <c r="Q1194" s="83">
        <f>VLOOKUP(TAB_ESTOQUE[[#This Row],[Codigo]],TAB_ENTRADA[[Cod_2_Entrada]:[TOTAL_ENTRADA]],5,FALSE)-VLOOKUP(TAB_ESTOQUE[[#This Row],[Codigo]],TAB_SAIDA[[COD_2_SAIDA]:[TOTAL_SAIDA]],5,FALSE)</f>
        <v>15</v>
      </c>
      <c r="R1194" s="87"/>
      <c r="S1194" s="87"/>
      <c r="T1194" s="90"/>
      <c r="U1194" s="91">
        <f>TAB_ESTOQUE[[#This Row],[Valor Unitario Estimado]]*TAB_ESTOQUE[[#This Row],[Estoque]]</f>
        <v>0</v>
      </c>
      <c r="V1194" s="91"/>
      <c r="W1194" s="85"/>
      <c r="X1194" s="85"/>
      <c r="Y1194" s="85"/>
      <c r="Z1194" s="85"/>
      <c r="AA1194" s="85"/>
      <c r="AB1194" s="85" t="str">
        <f>IF(TAB_ESTOQUE[[#This Row],[Estoque]]=0,"Estoque Não Conforme",IF(TAB_ESTOQUE[[#This Row],[Estoque]]&gt;=TAB_ESTOQUE[[#This Row],[Mínimo]],"Estoque Conforme",IF(TAB_ESTOQUE[[#This Row],[Estoque]]&lt;TAB_ESTOQUE[[#This Row],[Mínimo]],"Estoque em Nivel Minimo")))</f>
        <v>Estoque Conforme</v>
      </c>
      <c r="AC1194" s="85"/>
      <c r="AD1194" s="82"/>
      <c r="AE1194" s="95"/>
      <c r="AF1194" s="95"/>
    </row>
    <row r="1195" spans="1:32" ht="15" customHeight="1" x14ac:dyDescent="0.25">
      <c r="A1195" s="45">
        <v>247</v>
      </c>
      <c r="B1195" s="47"/>
      <c r="C1195" s="46" t="s">
        <v>2833</v>
      </c>
      <c r="D1195" s="45" t="s">
        <v>2240</v>
      </c>
      <c r="E1195" s="46" t="s">
        <v>7345</v>
      </c>
      <c r="F1195" s="87"/>
      <c r="G1195" s="82"/>
      <c r="H1195" s="82"/>
      <c r="I1195" s="82" t="s">
        <v>8550</v>
      </c>
      <c r="J1195" s="82"/>
      <c r="K1195" s="82"/>
      <c r="L1195" s="82"/>
      <c r="M1195" s="82"/>
      <c r="N1195" s="82"/>
      <c r="O1195" s="87" t="s">
        <v>6678</v>
      </c>
      <c r="P1195" s="82" t="s">
        <v>191</v>
      </c>
      <c r="Q1195" s="83">
        <f>VLOOKUP(TAB_ESTOQUE[[#This Row],[Codigo]],TAB_ENTRADA[[Cod_2_Entrada]:[TOTAL_ENTRADA]],5,FALSE)-VLOOKUP(TAB_ESTOQUE[[#This Row],[Codigo]],TAB_SAIDA[[COD_2_SAIDA]:[TOTAL_SAIDA]],5,FALSE)</f>
        <v>7</v>
      </c>
      <c r="R1195" s="87"/>
      <c r="S1195" s="87"/>
      <c r="T1195" s="90"/>
      <c r="U1195" s="91">
        <f>TAB_ESTOQUE[[#This Row],[Valor Unitario Estimado]]*TAB_ESTOQUE[[#This Row],[Estoque]]</f>
        <v>0</v>
      </c>
      <c r="V1195" s="91"/>
      <c r="W1195" s="85"/>
      <c r="X1195" s="85"/>
      <c r="Y1195" s="85"/>
      <c r="Z1195" s="85"/>
      <c r="AA1195" s="85"/>
      <c r="AB1195" s="85" t="str">
        <f>IF(TAB_ESTOQUE[[#This Row],[Estoque]]=0,"Estoque Não Conforme",IF(TAB_ESTOQUE[[#This Row],[Estoque]]&gt;=TAB_ESTOQUE[[#This Row],[Mínimo]],"Estoque Conforme",IF(TAB_ESTOQUE[[#This Row],[Estoque]]&lt;TAB_ESTOQUE[[#This Row],[Mínimo]],"Estoque em Nivel Minimo")))</f>
        <v>Estoque Conforme</v>
      </c>
      <c r="AC1195" s="85"/>
      <c r="AD1195" s="82"/>
      <c r="AE1195" s="82"/>
      <c r="AF1195" s="82"/>
    </row>
    <row r="1196" spans="1:32" ht="15" customHeight="1" x14ac:dyDescent="0.25">
      <c r="A1196" s="45">
        <v>689</v>
      </c>
      <c r="B1196" s="47"/>
      <c r="C1196" s="46"/>
      <c r="D1196" s="45" t="s">
        <v>2380</v>
      </c>
      <c r="E1196" s="46" t="s">
        <v>7908</v>
      </c>
      <c r="F1196" s="87"/>
      <c r="G1196" s="82"/>
      <c r="H1196" s="82"/>
      <c r="I1196" s="82" t="s">
        <v>8603</v>
      </c>
      <c r="J1196" s="82"/>
      <c r="K1196" s="82"/>
      <c r="L1196" s="82"/>
      <c r="M1196" s="82" t="s">
        <v>139</v>
      </c>
      <c r="N1196" s="82"/>
      <c r="O1196" s="87" t="s">
        <v>6678</v>
      </c>
      <c r="P1196" s="82" t="s">
        <v>477</v>
      </c>
      <c r="Q1196" s="83">
        <f>VLOOKUP(TAB_ESTOQUE[[#This Row],[Codigo]],TAB_ENTRADA[[Cod_2_Entrada]:[TOTAL_ENTRADA]],5,FALSE)-VLOOKUP(TAB_ESTOQUE[[#This Row],[Codigo]],TAB_SAIDA[[COD_2_SAIDA]:[TOTAL_SAIDA]],5,FALSE)</f>
        <v>3</v>
      </c>
      <c r="R1196" s="87"/>
      <c r="S1196" s="87"/>
      <c r="T1196" s="90"/>
      <c r="U1196" s="91">
        <f>TAB_ESTOQUE[[#This Row],[Valor Unitario Estimado]]*TAB_ESTOQUE[[#This Row],[Estoque]]</f>
        <v>0</v>
      </c>
      <c r="V1196" s="91"/>
      <c r="W1196" s="85"/>
      <c r="X1196" s="85"/>
      <c r="Y1196" s="85"/>
      <c r="Z1196" s="85"/>
      <c r="AA1196" s="85"/>
      <c r="AB1196" s="85" t="str">
        <f>IF(TAB_ESTOQUE[[#This Row],[Estoque]]=0,"Estoque Não Conforme",IF(TAB_ESTOQUE[[#This Row],[Estoque]]&gt;=TAB_ESTOQUE[[#This Row],[Mínimo]],"Estoque Conforme",IF(TAB_ESTOQUE[[#This Row],[Estoque]]&lt;TAB_ESTOQUE[[#This Row],[Mínimo]],"Estoque em Nivel Minimo")))</f>
        <v>Estoque Conforme</v>
      </c>
      <c r="AC1196" s="85"/>
      <c r="AD1196" s="82"/>
      <c r="AE1196" s="82"/>
      <c r="AF1196" s="82"/>
    </row>
    <row r="1197" spans="1:32" ht="15" customHeight="1" x14ac:dyDescent="0.25">
      <c r="A1197" s="45">
        <v>681</v>
      </c>
      <c r="B1197" s="47"/>
      <c r="C1197" s="46"/>
      <c r="D1197" s="45" t="s">
        <v>2394</v>
      </c>
      <c r="E1197" s="46" t="s">
        <v>7</v>
      </c>
      <c r="F1197" s="87"/>
      <c r="G1197" s="82"/>
      <c r="H1197" s="82"/>
      <c r="I1197" s="82" t="s">
        <v>8609</v>
      </c>
      <c r="J1197" s="82"/>
      <c r="K1197" s="82"/>
      <c r="L1197" s="82"/>
      <c r="M1197" s="82"/>
      <c r="N1197" s="82"/>
      <c r="O1197" s="87" t="s">
        <v>6678</v>
      </c>
      <c r="P1197" s="82" t="s">
        <v>464</v>
      </c>
      <c r="Q1197" s="83">
        <f>VLOOKUP(TAB_ESTOQUE[[#This Row],[Codigo]],TAB_ENTRADA[[Cod_2_Entrada]:[TOTAL_ENTRADA]],5,FALSE)-VLOOKUP(TAB_ESTOQUE[[#This Row],[Codigo]],TAB_SAIDA[[COD_2_SAIDA]:[TOTAL_SAIDA]],5,FALSE)</f>
        <v>13</v>
      </c>
      <c r="R1197" s="87"/>
      <c r="S1197" s="87"/>
      <c r="T1197" s="90"/>
      <c r="U1197" s="91">
        <f>TAB_ESTOQUE[[#This Row],[Valor Unitario Estimado]]*TAB_ESTOQUE[[#This Row],[Estoque]]</f>
        <v>0</v>
      </c>
      <c r="V1197" s="91"/>
      <c r="W1197" s="85"/>
      <c r="X1197" s="85"/>
      <c r="Y1197" s="85"/>
      <c r="Z1197" s="85"/>
      <c r="AA1197" s="85"/>
      <c r="AB1197" s="85" t="str">
        <f>IF(TAB_ESTOQUE[[#This Row],[Estoque]]=0,"Estoque Não Conforme",IF(TAB_ESTOQUE[[#This Row],[Estoque]]&gt;=TAB_ESTOQUE[[#This Row],[Mínimo]],"Estoque Conforme",IF(TAB_ESTOQUE[[#This Row],[Estoque]]&lt;TAB_ESTOQUE[[#This Row],[Mínimo]],"Estoque em Nivel Minimo")))</f>
        <v>Estoque Conforme</v>
      </c>
      <c r="AC1197" s="85"/>
      <c r="AD1197" s="82"/>
      <c r="AE1197" s="82"/>
      <c r="AF1197" s="82"/>
    </row>
    <row r="1198" spans="1:32" ht="15" customHeight="1" x14ac:dyDescent="0.25">
      <c r="A1198" s="45">
        <v>686</v>
      </c>
      <c r="B1198" s="47"/>
      <c r="C1198" s="46"/>
      <c r="D1198" s="45" t="s">
        <v>2395</v>
      </c>
      <c r="E1198" s="46" t="s">
        <v>546</v>
      </c>
      <c r="F1198" s="87"/>
      <c r="G1198" s="82"/>
      <c r="H1198" s="82"/>
      <c r="I1198" s="82" t="s">
        <v>8610</v>
      </c>
      <c r="J1198" s="82"/>
      <c r="K1198" s="82"/>
      <c r="L1198" s="82"/>
      <c r="M1198" s="82"/>
      <c r="N1198" s="82"/>
      <c r="O1198" s="87" t="s">
        <v>6678</v>
      </c>
      <c r="P1198" s="82" t="s">
        <v>472</v>
      </c>
      <c r="Q1198" s="83">
        <f>VLOOKUP(TAB_ESTOQUE[[#This Row],[Codigo]],TAB_ENTRADA[[Cod_2_Entrada]:[TOTAL_ENTRADA]],5,FALSE)-VLOOKUP(TAB_ESTOQUE[[#This Row],[Codigo]],TAB_SAIDA[[COD_2_SAIDA]:[TOTAL_SAIDA]],5,FALSE)</f>
        <v>19</v>
      </c>
      <c r="R1198" s="87"/>
      <c r="S1198" s="87"/>
      <c r="T1198" s="90"/>
      <c r="U1198" s="91">
        <f>TAB_ESTOQUE[[#This Row],[Valor Unitario Estimado]]*TAB_ESTOQUE[[#This Row],[Estoque]]</f>
        <v>0</v>
      </c>
      <c r="V1198" s="91"/>
      <c r="W1198" s="85"/>
      <c r="X1198" s="85"/>
      <c r="Y1198" s="85"/>
      <c r="Z1198" s="85"/>
      <c r="AA1198" s="85"/>
      <c r="AB1198" s="85" t="str">
        <f>IF(TAB_ESTOQUE[[#This Row],[Estoque]]=0,"Estoque Não Conforme",IF(TAB_ESTOQUE[[#This Row],[Estoque]]&gt;=TAB_ESTOQUE[[#This Row],[Mínimo]],"Estoque Conforme",IF(TAB_ESTOQUE[[#This Row],[Estoque]]&lt;TAB_ESTOQUE[[#This Row],[Mínimo]],"Estoque em Nivel Minimo")))</f>
        <v>Estoque Conforme</v>
      </c>
      <c r="AC1198" s="85"/>
      <c r="AD1198" s="82"/>
      <c r="AE1198" s="82"/>
      <c r="AF1198" s="82"/>
    </row>
    <row r="1199" spans="1:32" ht="15" customHeight="1" x14ac:dyDescent="0.25">
      <c r="B1199" s="47"/>
      <c r="C1199" s="53" t="s">
        <v>2838</v>
      </c>
      <c r="D1199" s="45" t="s">
        <v>5996</v>
      </c>
      <c r="E1199" s="46"/>
      <c r="F1199" s="87"/>
      <c r="G1199" s="82"/>
      <c r="H1199" s="82"/>
      <c r="I1199" s="82" t="s">
        <v>8679</v>
      </c>
      <c r="J1199" s="82"/>
      <c r="K1199" s="82"/>
      <c r="L1199" s="82"/>
      <c r="M1199" s="82"/>
      <c r="N1199" s="82"/>
      <c r="O1199" s="87" t="s">
        <v>6678</v>
      </c>
      <c r="P1199" s="82" t="s">
        <v>6015</v>
      </c>
      <c r="Q1199" s="83">
        <f>VLOOKUP(TAB_ESTOQUE[[#This Row],[Codigo]],TAB_ENTRADA[[Cod_2_Entrada]:[TOTAL_ENTRADA]],5,FALSE)-VLOOKUP(TAB_ESTOQUE[[#This Row],[Codigo]],TAB_SAIDA[[COD_2_SAIDA]:[TOTAL_SAIDA]],5,FALSE)</f>
        <v>2</v>
      </c>
      <c r="R1199" s="87"/>
      <c r="S1199" s="87"/>
      <c r="T1199" s="90"/>
      <c r="U1199" s="91">
        <f>TAB_ESTOQUE[[#This Row],[Valor Unitario Estimado]]*TAB_ESTOQUE[[#This Row],[Estoque]]</f>
        <v>0</v>
      </c>
      <c r="V1199" s="91"/>
      <c r="W1199" s="85"/>
      <c r="X1199" s="85"/>
      <c r="Y1199" s="85"/>
      <c r="Z1199" s="85"/>
      <c r="AA1199" s="85"/>
      <c r="AB1199" s="96" t="str">
        <f>IF(TAB_ESTOQUE[[#This Row],[Estoque]]=0,"Estoque Não Conforme",IF(TAB_ESTOQUE[[#This Row],[Estoque]]&gt;=TAB_ESTOQUE[[#This Row],[Mínimo]],"Estoque Conforme",IF(TAB_ESTOQUE[[#This Row],[Estoque]]&lt;TAB_ESTOQUE[[#This Row],[Mínimo]],"Estoque em Nivel Minimo")))</f>
        <v>Estoque Conforme</v>
      </c>
      <c r="AC1199" s="96"/>
      <c r="AD1199" s="82"/>
      <c r="AE1199" s="82"/>
      <c r="AF1199" s="82"/>
    </row>
    <row r="1200" spans="1:32" ht="15" customHeight="1" x14ac:dyDescent="0.25">
      <c r="B1200" s="47"/>
      <c r="C1200" s="53" t="s">
        <v>2838</v>
      </c>
      <c r="D1200" s="45" t="s">
        <v>5997</v>
      </c>
      <c r="E1200" s="46"/>
      <c r="F1200" s="87"/>
      <c r="G1200" s="82"/>
      <c r="H1200" s="82"/>
      <c r="I1200" s="82" t="s">
        <v>8680</v>
      </c>
      <c r="J1200" s="82"/>
      <c r="K1200" s="82"/>
      <c r="L1200" s="82"/>
      <c r="M1200" s="82"/>
      <c r="N1200" s="82"/>
      <c r="O1200" s="87" t="s">
        <v>6678</v>
      </c>
      <c r="P1200" s="82" t="s">
        <v>6015</v>
      </c>
      <c r="Q1200" s="83">
        <f>VLOOKUP(TAB_ESTOQUE[[#This Row],[Codigo]],TAB_ENTRADA[[Cod_2_Entrada]:[TOTAL_ENTRADA]],5,FALSE)-VLOOKUP(TAB_ESTOQUE[[#This Row],[Codigo]],TAB_SAIDA[[COD_2_SAIDA]:[TOTAL_SAIDA]],5,FALSE)</f>
        <v>12</v>
      </c>
      <c r="R1200" s="87"/>
      <c r="S1200" s="87"/>
      <c r="T1200" s="90"/>
      <c r="U1200" s="91">
        <f>TAB_ESTOQUE[[#This Row],[Valor Unitario Estimado]]*TAB_ESTOQUE[[#This Row],[Estoque]]</f>
        <v>0</v>
      </c>
      <c r="V1200" s="91"/>
      <c r="W1200" s="85"/>
      <c r="X1200" s="85"/>
      <c r="Y1200" s="85"/>
      <c r="Z1200" s="85"/>
      <c r="AA1200" s="85"/>
      <c r="AB1200" s="96" t="str">
        <f>IF(TAB_ESTOQUE[[#This Row],[Estoque]]=0,"Estoque Não Conforme",IF(TAB_ESTOQUE[[#This Row],[Estoque]]&gt;=TAB_ESTOQUE[[#This Row],[Mínimo]],"Estoque Conforme",IF(TAB_ESTOQUE[[#This Row],[Estoque]]&lt;TAB_ESTOQUE[[#This Row],[Mínimo]],"Estoque em Nivel Minimo")))</f>
        <v>Estoque Conforme</v>
      </c>
      <c r="AC1200" s="96"/>
      <c r="AD1200" s="82"/>
      <c r="AE1200" s="82"/>
      <c r="AF1200" s="82"/>
    </row>
    <row r="1201" spans="1:32" ht="15" customHeight="1" x14ac:dyDescent="0.25">
      <c r="C1201" s="105" t="s">
        <v>2838</v>
      </c>
      <c r="D1201" s="45" t="s">
        <v>6792</v>
      </c>
      <c r="E1201" s="46"/>
      <c r="F1201" s="46"/>
      <c r="I1201" s="45" t="s">
        <v>7098</v>
      </c>
      <c r="O1201" s="46" t="s">
        <v>6678</v>
      </c>
      <c r="Q1201" s="83">
        <f>VLOOKUP(TAB_ESTOQUE[[#This Row],[Codigo]],TAB_ENTRADA[[Cod_2_Entrada]:[TOTAL_ENTRADA]],5,FALSE)-VLOOKUP(TAB_ESTOQUE[[#This Row],[Codigo]],TAB_SAIDA[[COD_2_SAIDA]:[TOTAL_SAIDA]],5,FALSE)</f>
        <v>13</v>
      </c>
      <c r="S1201" s="46"/>
      <c r="T1201" s="102"/>
      <c r="U1201" s="103">
        <f>TAB_ESTOQUE[[#This Row],[Valor Unitario Estimado]]*TAB_ESTOQUE[[#This Row],[Estoque]]</f>
        <v>0</v>
      </c>
      <c r="V1201" s="103"/>
      <c r="AB1201" s="104" t="str">
        <f>IF(TAB_ESTOQUE[[#This Row],[Estoque]]=0,"Estoque Não Conforme",IF(TAB_ESTOQUE[[#This Row],[Estoque]]&gt;=TAB_ESTOQUE[[#This Row],[Mínimo]],"Estoque Conforme",IF(TAB_ESTOQUE[[#This Row],[Estoque]]&lt;TAB_ESTOQUE[[#This Row],[Mínimo]],"Estoque em Nivel Minimo")))</f>
        <v>Estoque Conforme</v>
      </c>
      <c r="AC1201" s="104"/>
      <c r="AE1201" s="82"/>
      <c r="AF1201" s="82"/>
    </row>
    <row r="1202" spans="1:32" ht="15" customHeight="1" x14ac:dyDescent="0.25">
      <c r="A1202" s="45">
        <v>526</v>
      </c>
      <c r="B1202" s="47"/>
      <c r="C1202" s="46"/>
      <c r="D1202" s="45" t="s">
        <v>2056</v>
      </c>
      <c r="E1202" s="46" t="s">
        <v>7</v>
      </c>
      <c r="F1202" s="87"/>
      <c r="G1202" s="82"/>
      <c r="H1202" s="82"/>
      <c r="I1202" s="94" t="s">
        <v>6116</v>
      </c>
      <c r="J1202" s="82"/>
      <c r="K1202" s="82"/>
      <c r="L1202" s="82"/>
      <c r="M1202" s="82" t="s">
        <v>163</v>
      </c>
      <c r="N1202" s="82"/>
      <c r="O1202" s="87" t="s">
        <v>6662</v>
      </c>
      <c r="P1202" s="82" t="s">
        <v>304</v>
      </c>
      <c r="Q1202" s="83">
        <f>VLOOKUP(TAB_ESTOQUE[[#This Row],[Codigo]],TAB_ENTRADA[[Cod_2_Entrada]:[TOTAL_ENTRADA]],5,FALSE)-VLOOKUP(TAB_ESTOQUE[[#This Row],[Codigo]],TAB_SAIDA[[COD_2_SAIDA]:[TOTAL_SAIDA]],5,FALSE)</f>
        <v>0</v>
      </c>
      <c r="R1202" s="87"/>
      <c r="S1202" s="87"/>
      <c r="T1202" s="90"/>
      <c r="U1202" s="91">
        <f>TAB_ESTOQUE[[#This Row],[Valor Unitario Estimado]]*TAB_ESTOQUE[[#This Row],[Estoque]]</f>
        <v>0</v>
      </c>
      <c r="V1202" s="91"/>
      <c r="W1202" s="85"/>
      <c r="X1202" s="85"/>
      <c r="Y1202" s="85"/>
      <c r="Z1202" s="85"/>
      <c r="AA1202" s="85"/>
      <c r="AB1202" s="85" t="str">
        <f>IF(TAB_ESTOQUE[[#This Row],[Estoque]]=0,"Estoque Não Conforme",IF(TAB_ESTOQUE[[#This Row],[Estoque]]&gt;=TAB_ESTOQUE[[#This Row],[Mínimo]],"Estoque Conforme",IF(TAB_ESTOQUE[[#This Row],[Estoque]]&lt;TAB_ESTOQUE[[#This Row],[Mínimo]],"Estoque em Nivel Minimo")))</f>
        <v>Estoque Não Conforme</v>
      </c>
      <c r="AC1202" s="85"/>
      <c r="AD1202" s="82"/>
      <c r="AE1202" s="82"/>
      <c r="AF1202" s="82"/>
    </row>
    <row r="1203" spans="1:32" ht="15" customHeight="1" x14ac:dyDescent="0.25">
      <c r="A1203" s="45">
        <v>816</v>
      </c>
      <c r="B1203" s="47"/>
      <c r="C1203" s="46"/>
      <c r="D1203" s="45" t="s">
        <v>2057</v>
      </c>
      <c r="E1203" s="46" t="s">
        <v>7</v>
      </c>
      <c r="F1203" s="87"/>
      <c r="G1203" s="82"/>
      <c r="H1203" s="82"/>
      <c r="I1203" s="82" t="s">
        <v>6117</v>
      </c>
      <c r="J1203" s="82"/>
      <c r="K1203" s="82"/>
      <c r="L1203" s="82"/>
      <c r="M1203" s="82" t="s">
        <v>94</v>
      </c>
      <c r="N1203" s="82"/>
      <c r="O1203" s="87" t="s">
        <v>6662</v>
      </c>
      <c r="P1203" s="82" t="s">
        <v>608</v>
      </c>
      <c r="Q1203" s="83">
        <f>VLOOKUP(TAB_ESTOQUE[[#This Row],[Codigo]],TAB_ENTRADA[[Cod_2_Entrada]:[TOTAL_ENTRADA]],5,FALSE)-VLOOKUP(TAB_ESTOQUE[[#This Row],[Codigo]],TAB_SAIDA[[COD_2_SAIDA]:[TOTAL_SAIDA]],5,FALSE)</f>
        <v>0</v>
      </c>
      <c r="R1203" s="87"/>
      <c r="S1203" s="87"/>
      <c r="T1203" s="90"/>
      <c r="U1203" s="91">
        <f>TAB_ESTOQUE[[#This Row],[Valor Unitario Estimado]]*TAB_ESTOQUE[[#This Row],[Estoque]]</f>
        <v>0</v>
      </c>
      <c r="V1203" s="91"/>
      <c r="W1203" s="85"/>
      <c r="X1203" s="85"/>
      <c r="Y1203" s="85"/>
      <c r="Z1203" s="85"/>
      <c r="AA1203" s="85"/>
      <c r="AB1203" s="85" t="str">
        <f>IF(TAB_ESTOQUE[[#This Row],[Estoque]]=0,"Estoque Não Conforme",IF(TAB_ESTOQUE[[#This Row],[Estoque]]&gt;=TAB_ESTOQUE[[#This Row],[Mínimo]],"Estoque Conforme",IF(TAB_ESTOQUE[[#This Row],[Estoque]]&lt;TAB_ESTOQUE[[#This Row],[Mínimo]],"Estoque em Nivel Minimo")))</f>
        <v>Estoque Não Conforme</v>
      </c>
      <c r="AC1203" s="85"/>
      <c r="AD1203" s="82"/>
      <c r="AE1203" s="82"/>
      <c r="AF1203" s="82"/>
    </row>
    <row r="1204" spans="1:32" ht="15" customHeight="1" x14ac:dyDescent="0.25">
      <c r="A1204" s="45">
        <v>1136</v>
      </c>
      <c r="B1204" s="47"/>
      <c r="C1204" s="46"/>
      <c r="D1204" s="45" t="s">
        <v>2058</v>
      </c>
      <c r="E1204" s="46" t="s">
        <v>7</v>
      </c>
      <c r="F1204" s="87"/>
      <c r="G1204" s="82"/>
      <c r="H1204" s="82"/>
      <c r="I1204" s="82" t="s">
        <v>6118</v>
      </c>
      <c r="J1204" s="82"/>
      <c r="K1204" s="82"/>
      <c r="L1204" s="82"/>
      <c r="M1204" s="82"/>
      <c r="N1204" s="82"/>
      <c r="O1204" s="87" t="s">
        <v>6662</v>
      </c>
      <c r="P1204" s="82" t="s">
        <v>862</v>
      </c>
      <c r="Q1204" s="83">
        <f>VLOOKUP(TAB_ESTOQUE[[#This Row],[Codigo]],TAB_ENTRADA[[Cod_2_Entrada]:[TOTAL_ENTRADA]],5,FALSE)-VLOOKUP(TAB_ESTOQUE[[#This Row],[Codigo]],TAB_SAIDA[[COD_2_SAIDA]:[TOTAL_SAIDA]],5,FALSE)</f>
        <v>0</v>
      </c>
      <c r="R1204" s="87"/>
      <c r="S1204" s="87"/>
      <c r="T1204" s="90"/>
      <c r="U1204" s="91">
        <f>TAB_ESTOQUE[[#This Row],[Valor Unitario Estimado]]*TAB_ESTOQUE[[#This Row],[Estoque]]</f>
        <v>0</v>
      </c>
      <c r="V1204" s="91"/>
      <c r="W1204" s="85"/>
      <c r="X1204" s="85"/>
      <c r="Y1204" s="85"/>
      <c r="Z1204" s="85"/>
      <c r="AA1204" s="85"/>
      <c r="AB1204" s="85" t="str">
        <f>IF(TAB_ESTOQUE[[#This Row],[Estoque]]=0,"Estoque Não Conforme",IF(TAB_ESTOQUE[[#This Row],[Estoque]]&gt;=TAB_ESTOQUE[[#This Row],[Mínimo]],"Estoque Conforme",IF(TAB_ESTOQUE[[#This Row],[Estoque]]&lt;TAB_ESTOQUE[[#This Row],[Mínimo]],"Estoque em Nivel Minimo")))</f>
        <v>Estoque Não Conforme</v>
      </c>
      <c r="AC1204" s="85"/>
      <c r="AD1204" s="82"/>
      <c r="AE1204" s="82"/>
      <c r="AF1204" s="82"/>
    </row>
    <row r="1205" spans="1:32" ht="15" customHeight="1" x14ac:dyDescent="0.25">
      <c r="A1205" s="45">
        <v>1018</v>
      </c>
      <c r="B1205" s="47"/>
      <c r="C1205" s="46"/>
      <c r="D1205" s="45" t="s">
        <v>2059</v>
      </c>
      <c r="E1205" s="46" t="s">
        <v>7</v>
      </c>
      <c r="F1205" s="87"/>
      <c r="G1205" s="82"/>
      <c r="H1205" s="82"/>
      <c r="I1205" s="82" t="s">
        <v>6119</v>
      </c>
      <c r="J1205" s="82"/>
      <c r="K1205" s="82"/>
      <c r="L1205" s="82"/>
      <c r="M1205" s="82"/>
      <c r="N1205" s="82"/>
      <c r="O1205" s="87" t="s">
        <v>6662</v>
      </c>
      <c r="P1205" s="82" t="s">
        <v>782</v>
      </c>
      <c r="Q1205" s="83">
        <f>VLOOKUP(TAB_ESTOQUE[[#This Row],[Codigo]],TAB_ENTRADA[[Cod_2_Entrada]:[TOTAL_ENTRADA]],5,FALSE)-VLOOKUP(TAB_ESTOQUE[[#This Row],[Codigo]],TAB_SAIDA[[COD_2_SAIDA]:[TOTAL_SAIDA]],5,FALSE)</f>
        <v>0</v>
      </c>
      <c r="R1205" s="87"/>
      <c r="S1205" s="87"/>
      <c r="T1205" s="90">
        <v>50</v>
      </c>
      <c r="U1205" s="91">
        <f>TAB_ESTOQUE[[#This Row],[Valor Unitario Estimado]]*TAB_ESTOQUE[[#This Row],[Estoque]]</f>
        <v>0</v>
      </c>
      <c r="V1205" s="91"/>
      <c r="W1205" s="85"/>
      <c r="X1205" s="85"/>
      <c r="Y1205" s="85"/>
      <c r="Z1205" s="85"/>
      <c r="AA1205" s="85"/>
      <c r="AB1205" s="85" t="str">
        <f>IF(TAB_ESTOQUE[[#This Row],[Estoque]]=0,"Estoque Não Conforme",IF(TAB_ESTOQUE[[#This Row],[Estoque]]&gt;=TAB_ESTOQUE[[#This Row],[Mínimo]],"Estoque Conforme",IF(TAB_ESTOQUE[[#This Row],[Estoque]]&lt;TAB_ESTOQUE[[#This Row],[Mínimo]],"Estoque em Nivel Minimo")))</f>
        <v>Estoque Não Conforme</v>
      </c>
      <c r="AC1205" s="85"/>
      <c r="AD1205" s="82"/>
      <c r="AE1205" s="82"/>
      <c r="AF1205" s="82"/>
    </row>
    <row r="1206" spans="1:32" ht="15" customHeight="1" x14ac:dyDescent="0.25">
      <c r="B1206" s="47"/>
      <c r="C1206" s="53" t="s">
        <v>2833</v>
      </c>
      <c r="D1206" s="45" t="s">
        <v>5998</v>
      </c>
      <c r="E1206" s="46"/>
      <c r="F1206" s="87"/>
      <c r="G1206" s="82"/>
      <c r="H1206" s="82"/>
      <c r="I1206" s="82" t="s">
        <v>8681</v>
      </c>
      <c r="J1206" s="82"/>
      <c r="K1206" s="82"/>
      <c r="L1206" s="82"/>
      <c r="M1206" s="82"/>
      <c r="N1206" s="82"/>
      <c r="O1206" s="87" t="s">
        <v>8761</v>
      </c>
      <c r="P1206" s="82" t="s">
        <v>6015</v>
      </c>
      <c r="Q1206" s="83">
        <f>VLOOKUP(TAB_ESTOQUE[[#This Row],[Codigo]],TAB_ENTRADA[[Cod_2_Entrada]:[TOTAL_ENTRADA]],5,FALSE)-VLOOKUP(TAB_ESTOQUE[[#This Row],[Codigo]],TAB_SAIDA[[COD_2_SAIDA]:[TOTAL_SAIDA]],5,FALSE)</f>
        <v>2</v>
      </c>
      <c r="R1206" s="87"/>
      <c r="S1206" s="87"/>
      <c r="T1206" s="90"/>
      <c r="U1206" s="91">
        <f>TAB_ESTOQUE[[#This Row],[Valor Unitario Estimado]]*TAB_ESTOQUE[[#This Row],[Estoque]]</f>
        <v>0</v>
      </c>
      <c r="V1206" s="91"/>
      <c r="W1206" s="85"/>
      <c r="X1206" s="85"/>
      <c r="Y1206" s="85"/>
      <c r="Z1206" s="85"/>
      <c r="AA1206" s="85"/>
      <c r="AB1206" s="96" t="str">
        <f>IF(TAB_ESTOQUE[[#This Row],[Estoque]]=0,"Estoque Não Conforme",IF(TAB_ESTOQUE[[#This Row],[Estoque]]&gt;=TAB_ESTOQUE[[#This Row],[Mínimo]],"Estoque Conforme",IF(TAB_ESTOQUE[[#This Row],[Estoque]]&lt;TAB_ESTOQUE[[#This Row],[Mínimo]],"Estoque em Nivel Minimo")))</f>
        <v>Estoque Conforme</v>
      </c>
      <c r="AC1206" s="96"/>
      <c r="AD1206" s="82"/>
      <c r="AE1206" s="82"/>
      <c r="AF1206" s="82"/>
    </row>
    <row r="1207" spans="1:32" s="47" customFormat="1" ht="15" customHeight="1" x14ac:dyDescent="0.25">
      <c r="A1207" s="45"/>
      <c r="C1207" s="53" t="s">
        <v>2833</v>
      </c>
      <c r="D1207" s="45" t="s">
        <v>5999</v>
      </c>
      <c r="E1207" s="46"/>
      <c r="F1207" s="87"/>
      <c r="G1207" s="82"/>
      <c r="H1207" s="82"/>
      <c r="I1207" s="82" t="s">
        <v>8682</v>
      </c>
      <c r="J1207" s="82"/>
      <c r="K1207" s="82"/>
      <c r="L1207" s="82"/>
      <c r="M1207" s="82"/>
      <c r="N1207" s="82"/>
      <c r="O1207" s="87" t="s">
        <v>8761</v>
      </c>
      <c r="P1207" s="82" t="s">
        <v>6015</v>
      </c>
      <c r="Q1207" s="83">
        <f>VLOOKUP(TAB_ESTOQUE[[#This Row],[Codigo]],TAB_ENTRADA[[Cod_2_Entrada]:[TOTAL_ENTRADA]],5,FALSE)-VLOOKUP(TAB_ESTOQUE[[#This Row],[Codigo]],TAB_SAIDA[[COD_2_SAIDA]:[TOTAL_SAIDA]],5,FALSE)</f>
        <v>4</v>
      </c>
      <c r="R1207" s="87"/>
      <c r="S1207" s="87"/>
      <c r="T1207" s="90"/>
      <c r="U1207" s="91">
        <f>TAB_ESTOQUE[[#This Row],[Valor Unitario Estimado]]*TAB_ESTOQUE[[#This Row],[Estoque]]</f>
        <v>0</v>
      </c>
      <c r="V1207" s="91"/>
      <c r="W1207" s="85"/>
      <c r="X1207" s="85"/>
      <c r="Y1207" s="85"/>
      <c r="Z1207" s="85"/>
      <c r="AA1207" s="85"/>
      <c r="AB1207" s="96" t="str">
        <f>IF(TAB_ESTOQUE[[#This Row],[Estoque]]=0,"Estoque Não Conforme",IF(TAB_ESTOQUE[[#This Row],[Estoque]]&gt;=TAB_ESTOQUE[[#This Row],[Mínimo]],"Estoque Conforme",IF(TAB_ESTOQUE[[#This Row],[Estoque]]&lt;TAB_ESTOQUE[[#This Row],[Mínimo]],"Estoque em Nivel Minimo")))</f>
        <v>Estoque Conforme</v>
      </c>
      <c r="AC1207" s="96"/>
      <c r="AD1207" s="82"/>
      <c r="AE1207" s="94"/>
      <c r="AF1207" s="94"/>
    </row>
    <row r="1208" spans="1:32" ht="15" customHeight="1" x14ac:dyDescent="0.25">
      <c r="B1208" s="47"/>
      <c r="C1208" s="53" t="s">
        <v>2838</v>
      </c>
      <c r="D1208" s="45" t="s">
        <v>6025</v>
      </c>
      <c r="E1208" s="46"/>
      <c r="F1208" s="87"/>
      <c r="G1208" s="82"/>
      <c r="H1208" s="82"/>
      <c r="I1208" s="82" t="s">
        <v>8686</v>
      </c>
      <c r="J1208" s="82"/>
      <c r="K1208" s="82"/>
      <c r="L1208" s="82"/>
      <c r="M1208" s="82"/>
      <c r="N1208" s="82"/>
      <c r="O1208" s="87" t="s">
        <v>8761</v>
      </c>
      <c r="P1208" s="82" t="s">
        <v>6028</v>
      </c>
      <c r="Q1208" s="83">
        <f>VLOOKUP(TAB_ESTOQUE[[#This Row],[Codigo]],TAB_ENTRADA[[Cod_2_Entrada]:[TOTAL_ENTRADA]],5,FALSE)-VLOOKUP(TAB_ESTOQUE[[#This Row],[Codigo]],TAB_SAIDA[[COD_2_SAIDA]:[TOTAL_SAIDA]],5,FALSE)</f>
        <v>3</v>
      </c>
      <c r="R1208" s="87"/>
      <c r="S1208" s="87"/>
      <c r="T1208" s="90"/>
      <c r="U1208" s="91">
        <f>TAB_ESTOQUE[[#This Row],[Valor Unitario Estimado]]*TAB_ESTOQUE[[#This Row],[Estoque]]</f>
        <v>0</v>
      </c>
      <c r="V1208" s="91"/>
      <c r="W1208" s="85"/>
      <c r="X1208" s="85"/>
      <c r="Y1208" s="85"/>
      <c r="Z1208" s="85"/>
      <c r="AA1208" s="85"/>
      <c r="AB1208" s="96" t="str">
        <f>IF(TAB_ESTOQUE[[#This Row],[Estoque]]=0,"Estoque Não Conforme",IF(TAB_ESTOQUE[[#This Row],[Estoque]]&gt;=TAB_ESTOQUE[[#This Row],[Mínimo]],"Estoque Conforme",IF(TAB_ESTOQUE[[#This Row],[Estoque]]&lt;TAB_ESTOQUE[[#This Row],[Mínimo]],"Estoque em Nivel Minimo")))</f>
        <v>Estoque Conforme</v>
      </c>
      <c r="AC1208" s="96"/>
      <c r="AD1208" s="82"/>
      <c r="AE1208" s="82"/>
      <c r="AF1208" s="82"/>
    </row>
    <row r="1209" spans="1:32" ht="15" customHeight="1" x14ac:dyDescent="0.25">
      <c r="B1209" s="47"/>
      <c r="C1209" s="48"/>
      <c r="D1209" s="45" t="s">
        <v>6026</v>
      </c>
      <c r="E1209" s="46"/>
      <c r="F1209" s="87"/>
      <c r="G1209" s="82"/>
      <c r="H1209" s="82"/>
      <c r="I1209" s="82" t="s">
        <v>8687</v>
      </c>
      <c r="J1209" s="82"/>
      <c r="K1209" s="82"/>
      <c r="L1209" s="82"/>
      <c r="M1209" s="82"/>
      <c r="N1209" s="82"/>
      <c r="O1209" s="87" t="s">
        <v>8761</v>
      </c>
      <c r="P1209" s="82" t="s">
        <v>6032</v>
      </c>
      <c r="Q1209" s="83">
        <f>VLOOKUP(TAB_ESTOQUE[[#This Row],[Codigo]],TAB_ENTRADA[[Cod_2_Entrada]:[TOTAL_ENTRADA]],5,FALSE)-VLOOKUP(TAB_ESTOQUE[[#This Row],[Codigo]],TAB_SAIDA[[COD_2_SAIDA]:[TOTAL_SAIDA]],5,FALSE)</f>
        <v>2</v>
      </c>
      <c r="R1209" s="87"/>
      <c r="S1209" s="87"/>
      <c r="T1209" s="90"/>
      <c r="U1209" s="91">
        <f>TAB_ESTOQUE[[#This Row],[Valor Unitario Estimado]]*TAB_ESTOQUE[[#This Row],[Estoque]]</f>
        <v>0</v>
      </c>
      <c r="V1209" s="91"/>
      <c r="W1209" s="85"/>
      <c r="X1209" s="85"/>
      <c r="Y1209" s="85"/>
      <c r="Z1209" s="85"/>
      <c r="AA1209" s="85"/>
      <c r="AB1209" s="96" t="str">
        <f>IF(TAB_ESTOQUE[[#This Row],[Estoque]]=0,"Estoque Não Conforme",IF(TAB_ESTOQUE[[#This Row],[Estoque]]&gt;=TAB_ESTOQUE[[#This Row],[Mínimo]],"Estoque Conforme",IF(TAB_ESTOQUE[[#This Row],[Estoque]]&lt;TAB_ESTOQUE[[#This Row],[Mínimo]],"Estoque em Nivel Minimo")))</f>
        <v>Estoque Conforme</v>
      </c>
      <c r="AC1209" s="96"/>
      <c r="AD1209" s="82"/>
      <c r="AE1209" s="82"/>
      <c r="AF1209" s="82"/>
    </row>
    <row r="1210" spans="1:32" ht="15" customHeight="1" x14ac:dyDescent="0.25">
      <c r="B1210" s="47"/>
      <c r="C1210" s="48"/>
      <c r="D1210" s="45" t="s">
        <v>6031</v>
      </c>
      <c r="E1210" s="46"/>
      <c r="F1210" s="87"/>
      <c r="G1210" s="82"/>
      <c r="H1210" s="82"/>
      <c r="I1210" s="82" t="s">
        <v>8688</v>
      </c>
      <c r="J1210" s="82"/>
      <c r="K1210" s="82"/>
      <c r="L1210" s="82"/>
      <c r="M1210" s="82"/>
      <c r="N1210" s="82"/>
      <c r="O1210" s="87" t="s">
        <v>8761</v>
      </c>
      <c r="P1210" s="82" t="s">
        <v>6041</v>
      </c>
      <c r="Q1210" s="83">
        <f>VLOOKUP(TAB_ESTOQUE[[#This Row],[Codigo]],TAB_ENTRADA[[Cod_2_Entrada]:[TOTAL_ENTRADA]],5,FALSE)-VLOOKUP(TAB_ESTOQUE[[#This Row],[Codigo]],TAB_SAIDA[[COD_2_SAIDA]:[TOTAL_SAIDA]],5,FALSE)</f>
        <v>2</v>
      </c>
      <c r="R1210" s="87"/>
      <c r="S1210" s="87"/>
      <c r="T1210" s="90"/>
      <c r="U1210" s="91">
        <f>TAB_ESTOQUE[[#This Row],[Valor Unitario Estimado]]*TAB_ESTOQUE[[#This Row],[Estoque]]</f>
        <v>0</v>
      </c>
      <c r="V1210" s="91"/>
      <c r="W1210" s="85"/>
      <c r="X1210" s="85"/>
      <c r="Y1210" s="85"/>
      <c r="Z1210" s="85"/>
      <c r="AA1210" s="85"/>
      <c r="AB1210" s="96" t="str">
        <f>IF(TAB_ESTOQUE[[#This Row],[Estoque]]=0,"Estoque Não Conforme",IF(TAB_ESTOQUE[[#This Row],[Estoque]]&gt;=TAB_ESTOQUE[[#This Row],[Mínimo]],"Estoque Conforme",IF(TAB_ESTOQUE[[#This Row],[Estoque]]&lt;TAB_ESTOQUE[[#This Row],[Mínimo]],"Estoque em Nivel Minimo")))</f>
        <v>Estoque Conforme</v>
      </c>
      <c r="AC1210" s="96"/>
      <c r="AD1210" s="82"/>
      <c r="AE1210" s="82"/>
      <c r="AF1210" s="82"/>
    </row>
    <row r="1211" spans="1:32" ht="15" customHeight="1" x14ac:dyDescent="0.25">
      <c r="C1211" s="53" t="s">
        <v>2842</v>
      </c>
      <c r="D1211" s="45" t="s">
        <v>6808</v>
      </c>
      <c r="E1211" s="46" t="s">
        <v>116</v>
      </c>
      <c r="F1211" s="46"/>
      <c r="I1211" s="45" t="s">
        <v>8716</v>
      </c>
      <c r="O1211" s="46" t="s">
        <v>8761</v>
      </c>
      <c r="Q1211" s="83">
        <f>VLOOKUP(TAB_ESTOQUE[[#This Row],[Codigo]],TAB_ENTRADA[[Cod_2_Entrada]:[TOTAL_ENTRADA]],5,FALSE)-VLOOKUP(TAB_ESTOQUE[[#This Row],[Codigo]],TAB_SAIDA[[COD_2_SAIDA]:[TOTAL_SAIDA]],5,FALSE)</f>
        <v>1.5</v>
      </c>
      <c r="S1211" s="46"/>
      <c r="T1211" s="102"/>
      <c r="U1211" s="103">
        <f>TAB_ESTOQUE[[#This Row],[Valor Unitario Estimado]]*TAB_ESTOQUE[[#This Row],[Estoque]]</f>
        <v>0</v>
      </c>
      <c r="V1211" s="103"/>
      <c r="AB1211" s="104" t="str">
        <f>IF(TAB_ESTOQUE[[#This Row],[Estoque]]=0,"Estoque Não Conforme",IF(TAB_ESTOQUE[[#This Row],[Estoque]]&gt;=TAB_ESTOQUE[[#This Row],[Mínimo]],"Estoque Conforme",IF(TAB_ESTOQUE[[#This Row],[Estoque]]&lt;TAB_ESTOQUE[[#This Row],[Mínimo]],"Estoque em Nivel Minimo")))</f>
        <v>Estoque Conforme</v>
      </c>
      <c r="AC1211" s="104"/>
      <c r="AE1211" s="82"/>
      <c r="AF1211" s="82"/>
    </row>
    <row r="1212" spans="1:32" ht="15" customHeight="1" x14ac:dyDescent="0.25">
      <c r="C1212" s="48"/>
      <c r="D1212" s="45" t="s">
        <v>6810</v>
      </c>
      <c r="E1212" s="46" t="s">
        <v>116</v>
      </c>
      <c r="F1212" s="46"/>
      <c r="I1212" s="45" t="s">
        <v>8717</v>
      </c>
      <c r="O1212" s="46" t="s">
        <v>8761</v>
      </c>
      <c r="Q1212" s="83">
        <f>VLOOKUP(TAB_ESTOQUE[[#This Row],[Codigo]],TAB_ENTRADA[[Cod_2_Entrada]:[TOTAL_ENTRADA]],5,FALSE)-VLOOKUP(TAB_ESTOQUE[[#This Row],[Codigo]],TAB_SAIDA[[COD_2_SAIDA]:[TOTAL_SAIDA]],5,FALSE)</f>
        <v>2</v>
      </c>
      <c r="S1212" s="46"/>
      <c r="T1212" s="102"/>
      <c r="U1212" s="103">
        <f>TAB_ESTOQUE[[#This Row],[Valor Unitario Estimado]]*TAB_ESTOQUE[[#This Row],[Estoque]]</f>
        <v>0</v>
      </c>
      <c r="V1212" s="103"/>
      <c r="AB1212" s="104" t="str">
        <f>IF(TAB_ESTOQUE[[#This Row],[Estoque]]=0,"Estoque Não Conforme",IF(TAB_ESTOQUE[[#This Row],[Estoque]]&gt;=TAB_ESTOQUE[[#This Row],[Mínimo]],"Estoque Conforme",IF(TAB_ESTOQUE[[#This Row],[Estoque]]&lt;TAB_ESTOQUE[[#This Row],[Mínimo]],"Estoque em Nivel Minimo")))</f>
        <v>Estoque Conforme</v>
      </c>
      <c r="AC1212" s="104"/>
      <c r="AE1212" s="82"/>
      <c r="AF1212" s="82"/>
    </row>
    <row r="1213" spans="1:32" ht="15" customHeight="1" x14ac:dyDescent="0.25">
      <c r="A1213" s="45">
        <v>679</v>
      </c>
      <c r="B1213" s="47"/>
      <c r="C1213" s="46"/>
      <c r="D1213" s="45" t="s">
        <v>2402</v>
      </c>
      <c r="E1213" s="46" t="s">
        <v>7</v>
      </c>
      <c r="F1213" s="87"/>
      <c r="G1213" s="82"/>
      <c r="H1213" s="82"/>
      <c r="I1213" s="82" t="s">
        <v>8612</v>
      </c>
      <c r="J1213" s="82"/>
      <c r="K1213" s="82"/>
      <c r="L1213" s="82"/>
      <c r="M1213" s="82"/>
      <c r="N1213" s="82"/>
      <c r="O1213" s="87" t="s">
        <v>6687</v>
      </c>
      <c r="P1213" s="82" t="s">
        <v>462</v>
      </c>
      <c r="Q1213" s="83">
        <f>VLOOKUP(TAB_ESTOQUE[[#This Row],[Codigo]],TAB_ENTRADA[[Cod_2_Entrada]:[TOTAL_ENTRADA]],5,FALSE)-VLOOKUP(TAB_ESTOQUE[[#This Row],[Codigo]],TAB_SAIDA[[COD_2_SAIDA]:[TOTAL_SAIDA]],5,FALSE)</f>
        <v>1</v>
      </c>
      <c r="R1213" s="87"/>
      <c r="S1213" s="87"/>
      <c r="T1213" s="90"/>
      <c r="U1213" s="91">
        <f>TAB_ESTOQUE[[#This Row],[Valor Unitario Estimado]]*TAB_ESTOQUE[[#This Row],[Estoque]]</f>
        <v>0</v>
      </c>
      <c r="V1213" s="91"/>
      <c r="W1213" s="85"/>
      <c r="X1213" s="85"/>
      <c r="Y1213" s="85"/>
      <c r="Z1213" s="85"/>
      <c r="AA1213" s="85"/>
      <c r="AB1213" s="85" t="str">
        <f>IF(TAB_ESTOQUE[[#This Row],[Estoque]]=0,"Estoque Não Conforme",IF(TAB_ESTOQUE[[#This Row],[Estoque]]&gt;=TAB_ESTOQUE[[#This Row],[Mínimo]],"Estoque Conforme",IF(TAB_ESTOQUE[[#This Row],[Estoque]]&lt;TAB_ESTOQUE[[#This Row],[Mínimo]],"Estoque em Nivel Minimo")))</f>
        <v>Estoque Conforme</v>
      </c>
      <c r="AC1213" s="85"/>
      <c r="AD1213" s="82"/>
      <c r="AE1213" s="82"/>
      <c r="AF1213" s="82"/>
    </row>
    <row r="1214" spans="1:32" ht="15" customHeight="1" x14ac:dyDescent="0.25">
      <c r="A1214" s="45">
        <v>865</v>
      </c>
      <c r="B1214" s="47"/>
      <c r="C1214" s="46"/>
      <c r="D1214" s="45" t="s">
        <v>2418</v>
      </c>
      <c r="E1214" s="46"/>
      <c r="F1214" s="87"/>
      <c r="G1214" s="82"/>
      <c r="H1214" s="82"/>
      <c r="I1214" s="82" t="s">
        <v>8620</v>
      </c>
      <c r="J1214" s="82"/>
      <c r="K1214" s="82"/>
      <c r="L1214" s="82"/>
      <c r="M1214" s="82"/>
      <c r="N1214" s="82"/>
      <c r="O1214" s="87" t="s">
        <v>6687</v>
      </c>
      <c r="P1214" s="82" t="s">
        <v>662</v>
      </c>
      <c r="Q1214" s="83">
        <f>VLOOKUP(TAB_ESTOQUE[[#This Row],[Codigo]],TAB_ENTRADA[[Cod_2_Entrada]:[TOTAL_ENTRADA]],5,FALSE)-VLOOKUP(TAB_ESTOQUE[[#This Row],[Codigo]],TAB_SAIDA[[COD_2_SAIDA]:[TOTAL_SAIDA]],5,FALSE)</f>
        <v>0</v>
      </c>
      <c r="R1214" s="87"/>
      <c r="S1214" s="87"/>
      <c r="T1214" s="90"/>
      <c r="U1214" s="91">
        <f>TAB_ESTOQUE[[#This Row],[Valor Unitario Estimado]]*TAB_ESTOQUE[[#This Row],[Estoque]]</f>
        <v>0</v>
      </c>
      <c r="V1214" s="91"/>
      <c r="W1214" s="85"/>
      <c r="X1214" s="85"/>
      <c r="Y1214" s="85"/>
      <c r="Z1214" s="85"/>
      <c r="AA1214" s="85"/>
      <c r="AB1214" s="85" t="str">
        <f>IF(TAB_ESTOQUE[[#This Row],[Estoque]]=0,"Estoque Não Conforme",IF(TAB_ESTOQUE[[#This Row],[Estoque]]&gt;=TAB_ESTOQUE[[#This Row],[Mínimo]],"Estoque Conforme",IF(TAB_ESTOQUE[[#This Row],[Estoque]]&lt;TAB_ESTOQUE[[#This Row],[Mínimo]],"Estoque em Nivel Minimo")))</f>
        <v>Estoque Não Conforme</v>
      </c>
      <c r="AC1214" s="85"/>
      <c r="AD1214" s="82"/>
      <c r="AE1214" s="82"/>
      <c r="AF1214" s="82"/>
    </row>
    <row r="1215" spans="1:32" ht="15" customHeight="1" x14ac:dyDescent="0.25">
      <c r="A1215" s="45">
        <v>1069</v>
      </c>
      <c r="B1215" s="47"/>
      <c r="C1215" s="46" t="s">
        <v>2833</v>
      </c>
      <c r="D1215" s="45" t="s">
        <v>2419</v>
      </c>
      <c r="E1215" s="46" t="s">
        <v>7</v>
      </c>
      <c r="F1215" s="87"/>
      <c r="G1215" s="82"/>
      <c r="H1215" s="82"/>
      <c r="I1215" s="82" t="s">
        <v>2921</v>
      </c>
      <c r="J1215" s="82"/>
      <c r="K1215" s="82"/>
      <c r="L1215" s="82"/>
      <c r="M1215" s="82"/>
      <c r="N1215" s="82"/>
      <c r="O1215" s="87" t="s">
        <v>6687</v>
      </c>
      <c r="P1215" s="82" t="s">
        <v>229</v>
      </c>
      <c r="Q1215" s="83">
        <f>VLOOKUP(TAB_ESTOQUE[[#This Row],[Codigo]],TAB_ENTRADA[[Cod_2_Entrada]:[TOTAL_ENTRADA]],5,FALSE)-VLOOKUP(TAB_ESTOQUE[[#This Row],[Codigo]],TAB_SAIDA[[COD_2_SAIDA]:[TOTAL_SAIDA]],5,FALSE)</f>
        <v>1</v>
      </c>
      <c r="R1215" s="87"/>
      <c r="S1215" s="87"/>
      <c r="T1215" s="90"/>
      <c r="U1215" s="91">
        <f>TAB_ESTOQUE[[#This Row],[Valor Unitario Estimado]]*TAB_ESTOQUE[[#This Row],[Estoque]]</f>
        <v>0</v>
      </c>
      <c r="V1215" s="91"/>
      <c r="W1215" s="85"/>
      <c r="X1215" s="85"/>
      <c r="Y1215" s="85"/>
      <c r="Z1215" s="85"/>
      <c r="AA1215" s="85"/>
      <c r="AB1215" s="85" t="str">
        <f>IF(TAB_ESTOQUE[[#This Row],[Estoque]]=0,"Estoque Não Conforme",IF(TAB_ESTOQUE[[#This Row],[Estoque]]&gt;=TAB_ESTOQUE[[#This Row],[Mínimo]],"Estoque Conforme",IF(TAB_ESTOQUE[[#This Row],[Estoque]]&lt;TAB_ESTOQUE[[#This Row],[Mínimo]],"Estoque em Nivel Minimo")))</f>
        <v>Estoque Conforme</v>
      </c>
      <c r="AC1215" s="85"/>
      <c r="AD1215" s="82"/>
      <c r="AE1215" s="82"/>
      <c r="AF1215" s="82"/>
    </row>
    <row r="1216" spans="1:32" ht="15" customHeight="1" x14ac:dyDescent="0.25">
      <c r="A1216" s="45">
        <v>330</v>
      </c>
      <c r="B1216" s="47"/>
      <c r="C1216" s="46" t="s">
        <v>2833</v>
      </c>
      <c r="D1216" s="45" t="s">
        <v>2420</v>
      </c>
      <c r="E1216" s="46" t="s">
        <v>7</v>
      </c>
      <c r="F1216" s="87"/>
      <c r="G1216" s="82"/>
      <c r="H1216" s="82"/>
      <c r="I1216" s="82" t="s">
        <v>8621</v>
      </c>
      <c r="J1216" s="82"/>
      <c r="K1216" s="82"/>
      <c r="L1216" s="82"/>
      <c r="M1216" s="82"/>
      <c r="N1216" s="82"/>
      <c r="O1216" s="87" t="s">
        <v>6687</v>
      </c>
      <c r="P1216" s="82" t="s">
        <v>229</v>
      </c>
      <c r="Q1216" s="83">
        <f>VLOOKUP(TAB_ESTOQUE[[#This Row],[Codigo]],TAB_ENTRADA[[Cod_2_Entrada]:[TOTAL_ENTRADA]],5,FALSE)-VLOOKUP(TAB_ESTOQUE[[#This Row],[Codigo]],TAB_SAIDA[[COD_2_SAIDA]:[TOTAL_SAIDA]],5,FALSE)</f>
        <v>4</v>
      </c>
      <c r="R1216" s="87"/>
      <c r="S1216" s="87"/>
      <c r="T1216" s="90"/>
      <c r="U1216" s="91">
        <f>TAB_ESTOQUE[[#This Row],[Valor Unitario Estimado]]*TAB_ESTOQUE[[#This Row],[Estoque]]</f>
        <v>0</v>
      </c>
      <c r="V1216" s="91"/>
      <c r="W1216" s="85"/>
      <c r="X1216" s="85"/>
      <c r="Y1216" s="85"/>
      <c r="Z1216" s="85"/>
      <c r="AA1216" s="85"/>
      <c r="AB1216" s="85" t="str">
        <f>IF(TAB_ESTOQUE[[#This Row],[Estoque]]=0,"Estoque Não Conforme",IF(TAB_ESTOQUE[[#This Row],[Estoque]]&gt;=TAB_ESTOQUE[[#This Row],[Mínimo]],"Estoque Conforme",IF(TAB_ESTOQUE[[#This Row],[Estoque]]&lt;TAB_ESTOQUE[[#This Row],[Mínimo]],"Estoque em Nivel Minimo")))</f>
        <v>Estoque Conforme</v>
      </c>
      <c r="AC1216" s="85"/>
      <c r="AD1216" s="82"/>
      <c r="AE1216" s="82"/>
      <c r="AF1216" s="82"/>
    </row>
    <row r="1217" spans="1:32" ht="15" customHeight="1" x14ac:dyDescent="0.25">
      <c r="A1217" s="45">
        <v>1068</v>
      </c>
      <c r="B1217" s="47"/>
      <c r="C1217" s="46" t="s">
        <v>2833</v>
      </c>
      <c r="D1217" s="45" t="s">
        <v>2421</v>
      </c>
      <c r="E1217" s="46" t="s">
        <v>7</v>
      </c>
      <c r="F1217" s="87"/>
      <c r="G1217" s="82"/>
      <c r="H1217" s="82"/>
      <c r="I1217" s="82" t="s">
        <v>8622</v>
      </c>
      <c r="J1217" s="82"/>
      <c r="K1217" s="82"/>
      <c r="L1217" s="82"/>
      <c r="M1217" s="82"/>
      <c r="N1217" s="82"/>
      <c r="O1217" s="87" t="s">
        <v>6687</v>
      </c>
      <c r="P1217" s="82" t="s">
        <v>229</v>
      </c>
      <c r="Q1217" s="83">
        <f>VLOOKUP(TAB_ESTOQUE[[#This Row],[Codigo]],TAB_ENTRADA[[Cod_2_Entrada]:[TOTAL_ENTRADA]],5,FALSE)-VLOOKUP(TAB_ESTOQUE[[#This Row],[Codigo]],TAB_SAIDA[[COD_2_SAIDA]:[TOTAL_SAIDA]],5,FALSE)</f>
        <v>1</v>
      </c>
      <c r="R1217" s="87"/>
      <c r="S1217" s="87"/>
      <c r="T1217" s="90"/>
      <c r="U1217" s="91">
        <f>TAB_ESTOQUE[[#This Row],[Valor Unitario Estimado]]*TAB_ESTOQUE[[#This Row],[Estoque]]</f>
        <v>0</v>
      </c>
      <c r="V1217" s="91"/>
      <c r="W1217" s="85"/>
      <c r="X1217" s="85"/>
      <c r="Y1217" s="85"/>
      <c r="Z1217" s="85"/>
      <c r="AA1217" s="85"/>
      <c r="AB1217" s="85" t="str">
        <f>IF(TAB_ESTOQUE[[#This Row],[Estoque]]=0,"Estoque Não Conforme",IF(TAB_ESTOQUE[[#This Row],[Estoque]]&gt;=TAB_ESTOQUE[[#This Row],[Mínimo]],"Estoque Conforme",IF(TAB_ESTOQUE[[#This Row],[Estoque]]&lt;TAB_ESTOQUE[[#This Row],[Mínimo]],"Estoque em Nivel Minimo")))</f>
        <v>Estoque Conforme</v>
      </c>
      <c r="AC1217" s="85"/>
      <c r="AD1217" s="82"/>
      <c r="AE1217" s="82"/>
      <c r="AF1217" s="82"/>
    </row>
    <row r="1218" spans="1:32" ht="15" customHeight="1" x14ac:dyDescent="0.25">
      <c r="A1218" s="45">
        <v>980</v>
      </c>
      <c r="B1218" s="47"/>
      <c r="C1218" s="46" t="s">
        <v>2842</v>
      </c>
      <c r="D1218" s="45" t="s">
        <v>2463</v>
      </c>
      <c r="E1218" s="46" t="s">
        <v>778</v>
      </c>
      <c r="F1218" s="87"/>
      <c r="G1218" s="82"/>
      <c r="H1218" s="82"/>
      <c r="I1218" s="82" t="s">
        <v>8635</v>
      </c>
      <c r="J1218" s="82"/>
      <c r="K1218" s="82"/>
      <c r="L1218" s="82"/>
      <c r="M1218" s="82"/>
      <c r="N1218" s="82"/>
      <c r="O1218" s="87" t="s">
        <v>6687</v>
      </c>
      <c r="P1218" s="82" t="s">
        <v>364</v>
      </c>
      <c r="Q1218" s="83">
        <f>VLOOKUP(TAB_ESTOQUE[[#This Row],[Codigo]],TAB_ENTRADA[[Cod_2_Entrada]:[TOTAL_ENTRADA]],5,FALSE)-VLOOKUP(TAB_ESTOQUE[[#This Row],[Codigo]],TAB_SAIDA[[COD_2_SAIDA]:[TOTAL_SAIDA]],5,FALSE)</f>
        <v>3</v>
      </c>
      <c r="R1218" s="87"/>
      <c r="S1218" s="87"/>
      <c r="T1218" s="90"/>
      <c r="U1218" s="91">
        <f>TAB_ESTOQUE[[#This Row],[Valor Unitario Estimado]]*TAB_ESTOQUE[[#This Row],[Estoque]]</f>
        <v>0</v>
      </c>
      <c r="V1218" s="91"/>
      <c r="W1218" s="85"/>
      <c r="X1218" s="85"/>
      <c r="Y1218" s="85"/>
      <c r="Z1218" s="85"/>
      <c r="AA1218" s="85"/>
      <c r="AB1218" s="85" t="str">
        <f>IF(TAB_ESTOQUE[[#This Row],[Estoque]]=0,"Estoque Não Conforme",IF(TAB_ESTOQUE[[#This Row],[Estoque]]&gt;=TAB_ESTOQUE[[#This Row],[Mínimo]],"Estoque Conforme",IF(TAB_ESTOQUE[[#This Row],[Estoque]]&lt;TAB_ESTOQUE[[#This Row],[Mínimo]],"Estoque em Nivel Minimo")))</f>
        <v>Estoque Conforme</v>
      </c>
      <c r="AC1218" s="85"/>
      <c r="AD1218" s="82"/>
      <c r="AE1218" s="82"/>
      <c r="AF1218" s="82"/>
    </row>
    <row r="1219" spans="1:32" ht="15" customHeight="1" x14ac:dyDescent="0.25">
      <c r="A1219" s="45">
        <v>1118</v>
      </c>
      <c r="B1219" s="47"/>
      <c r="C1219" s="46"/>
      <c r="D1219" s="45" t="s">
        <v>2576</v>
      </c>
      <c r="E1219" s="46"/>
      <c r="F1219" s="87"/>
      <c r="G1219" s="82"/>
      <c r="H1219" s="82"/>
      <c r="I1219" s="82" t="s">
        <v>8649</v>
      </c>
      <c r="J1219" s="82"/>
      <c r="K1219" s="82"/>
      <c r="L1219" s="82"/>
      <c r="M1219" s="82"/>
      <c r="N1219" s="82"/>
      <c r="O1219" s="87" t="s">
        <v>6687</v>
      </c>
      <c r="P1219" s="82" t="s">
        <v>848</v>
      </c>
      <c r="Q1219" s="83">
        <f>VLOOKUP(TAB_ESTOQUE[[#This Row],[Codigo]],TAB_ENTRADA[[Cod_2_Entrada]:[TOTAL_ENTRADA]],5,FALSE)-VLOOKUP(TAB_ESTOQUE[[#This Row],[Codigo]],TAB_SAIDA[[COD_2_SAIDA]:[TOTAL_SAIDA]],5,FALSE)</f>
        <v>2</v>
      </c>
      <c r="R1219" s="87"/>
      <c r="S1219" s="87"/>
      <c r="T1219" s="90"/>
      <c r="U1219" s="91">
        <f>TAB_ESTOQUE[[#This Row],[Valor Unitario Estimado]]*TAB_ESTOQUE[[#This Row],[Estoque]]</f>
        <v>0</v>
      </c>
      <c r="V1219" s="91"/>
      <c r="W1219" s="85"/>
      <c r="X1219" s="85"/>
      <c r="Y1219" s="85"/>
      <c r="Z1219" s="85"/>
      <c r="AA1219" s="85"/>
      <c r="AB1219" s="85" t="str">
        <f>IF(TAB_ESTOQUE[[#This Row],[Estoque]]=0,"Estoque Não Conforme",IF(TAB_ESTOQUE[[#This Row],[Estoque]]&gt;=TAB_ESTOQUE[[#This Row],[Mínimo]],"Estoque Conforme",IF(TAB_ESTOQUE[[#This Row],[Estoque]]&lt;TAB_ESTOQUE[[#This Row],[Mínimo]],"Estoque em Nivel Minimo")))</f>
        <v>Estoque Conforme</v>
      </c>
      <c r="AC1219" s="85"/>
      <c r="AD1219" s="82"/>
      <c r="AE1219" s="82"/>
      <c r="AF1219" s="82"/>
    </row>
    <row r="1220" spans="1:32" s="106" customFormat="1" ht="15" customHeight="1" x14ac:dyDescent="0.25">
      <c r="A1220" s="45" t="s">
        <v>1159</v>
      </c>
      <c r="B1220" s="47"/>
      <c r="C1220" s="46"/>
      <c r="D1220" s="45" t="s">
        <v>2622</v>
      </c>
      <c r="E1220" s="46"/>
      <c r="F1220" s="87"/>
      <c r="G1220" s="82"/>
      <c r="H1220" s="82"/>
      <c r="I1220" s="82" t="s">
        <v>8655</v>
      </c>
      <c r="J1220" s="82"/>
      <c r="K1220" s="82"/>
      <c r="L1220" s="82"/>
      <c r="M1220" s="82"/>
      <c r="N1220" s="82"/>
      <c r="O1220" s="87" t="s">
        <v>6687</v>
      </c>
      <c r="P1220" s="82" t="s">
        <v>1232</v>
      </c>
      <c r="Q1220" s="83">
        <f>VLOOKUP(TAB_ESTOQUE[[#This Row],[Codigo]],TAB_ENTRADA[[Cod_2_Entrada]:[TOTAL_ENTRADA]],5,FALSE)-VLOOKUP(TAB_ESTOQUE[[#This Row],[Codigo]],TAB_SAIDA[[COD_2_SAIDA]:[TOTAL_SAIDA]],5,FALSE)</f>
        <v>1</v>
      </c>
      <c r="R1220" s="87"/>
      <c r="S1220" s="87"/>
      <c r="T1220" s="90">
        <v>60</v>
      </c>
      <c r="U1220" s="91">
        <f>TAB_ESTOQUE[[#This Row],[Valor Unitario Estimado]]*TAB_ESTOQUE[[#This Row],[Estoque]]</f>
        <v>60</v>
      </c>
      <c r="V1220" s="91"/>
      <c r="W1220" s="85"/>
      <c r="X1220" s="85"/>
      <c r="Y1220" s="85"/>
      <c r="Z1220" s="85"/>
      <c r="AA1220" s="85"/>
      <c r="AB1220" s="85" t="str">
        <f>IF(TAB_ESTOQUE[[#This Row],[Estoque]]=0,"Estoque Não Conforme",IF(TAB_ESTOQUE[[#This Row],[Estoque]]&gt;=TAB_ESTOQUE[[#This Row],[Mínimo]],"Estoque Conforme",IF(TAB_ESTOQUE[[#This Row],[Estoque]]&lt;TAB_ESTOQUE[[#This Row],[Mínimo]],"Estoque em Nivel Minimo")))</f>
        <v>Estoque Conforme</v>
      </c>
      <c r="AC1220" s="85"/>
      <c r="AD1220" s="82"/>
    </row>
    <row r="1221" spans="1:32" ht="15" customHeight="1" x14ac:dyDescent="0.25">
      <c r="C1221" s="48"/>
      <c r="D1221" s="45" t="s">
        <v>7355</v>
      </c>
      <c r="E1221" s="46"/>
      <c r="F1221" s="46"/>
      <c r="I1221" s="45" t="s">
        <v>7979</v>
      </c>
      <c r="O1221" s="51" t="s">
        <v>6687</v>
      </c>
      <c r="Q1221" s="137">
        <f>VLOOKUP(TAB_ESTOQUE[[#This Row],[Codigo]],TAB_ENTRADA[[Cod_2_Entrada]:[TOTAL_ENTRADA]],5,FALSE)-VLOOKUP(TAB_ESTOQUE[[#This Row],[Codigo]],TAB_SAIDA[[COD_2_SAIDA]:[TOTAL_SAIDA]],5,FALSE)</f>
        <v>2</v>
      </c>
      <c r="S1221" s="46"/>
      <c r="T1221" s="102"/>
      <c r="U1221" s="103">
        <f>TAB_ESTOQUE[[#This Row],[Valor Unitario Estimado]]*TAB_ESTOQUE[[#This Row],[Estoque]]</f>
        <v>0</v>
      </c>
      <c r="V1221" s="103"/>
      <c r="AA1221" s="138"/>
      <c r="AB1221" s="104" t="str">
        <f>IF(TAB_ESTOQUE[[#This Row],[Estoque]]=0,"Estoque Não Conforme",IF(TAB_ESTOQUE[[#This Row],[Estoque]]&gt;=TAB_ESTOQUE[[#This Row],[Mínimo]],"Estoque Conforme",IF(TAB_ESTOQUE[[#This Row],[Estoque]]&lt;TAB_ESTOQUE[[#This Row],[Mínimo]],"Estoque em Nivel Minimo")))</f>
        <v>Estoque Conforme</v>
      </c>
      <c r="AC1221" s="104"/>
    </row>
    <row r="1222" spans="1:32" ht="15" customHeight="1" x14ac:dyDescent="0.25">
      <c r="A1222" s="45">
        <v>1188</v>
      </c>
      <c r="B1222" s="47"/>
      <c r="C1222" s="46"/>
      <c r="D1222" s="45" t="s">
        <v>2192</v>
      </c>
      <c r="E1222" s="46" t="s">
        <v>7</v>
      </c>
      <c r="F1222" s="87"/>
      <c r="G1222" s="82"/>
      <c r="H1222" s="82"/>
      <c r="I1222" s="82" t="s">
        <v>6641</v>
      </c>
      <c r="J1222" s="82"/>
      <c r="K1222" s="82"/>
      <c r="L1222" s="82"/>
      <c r="M1222" s="82"/>
      <c r="N1222" s="82"/>
      <c r="O1222" s="87" t="s">
        <v>6670</v>
      </c>
      <c r="P1222" s="82" t="s">
        <v>264</v>
      </c>
      <c r="Q1222" s="83">
        <f>VLOOKUP(TAB_ESTOQUE[[#This Row],[Codigo]],TAB_ENTRADA[[Cod_2_Entrada]:[TOTAL_ENTRADA]],5,FALSE)-VLOOKUP(TAB_ESTOQUE[[#This Row],[Codigo]],TAB_SAIDA[[COD_2_SAIDA]:[TOTAL_SAIDA]],5,FALSE)</f>
        <v>2</v>
      </c>
      <c r="R1222" s="87"/>
      <c r="S1222" s="87"/>
      <c r="T1222" s="90"/>
      <c r="U1222" s="91">
        <f>TAB_ESTOQUE[[#This Row],[Valor Unitario Estimado]]*TAB_ESTOQUE[[#This Row],[Estoque]]</f>
        <v>0</v>
      </c>
      <c r="V1222" s="91"/>
      <c r="W1222" s="85"/>
      <c r="X1222" s="85"/>
      <c r="Y1222" s="85"/>
      <c r="Z1222" s="85"/>
      <c r="AA1222" s="85"/>
      <c r="AB1222" s="85" t="str">
        <f>IF(TAB_ESTOQUE[[#This Row],[Estoque]]=0,"Estoque Não Conforme",IF(TAB_ESTOQUE[[#This Row],[Estoque]]&gt;=TAB_ESTOQUE[[#This Row],[Mínimo]],"Estoque Conforme",IF(TAB_ESTOQUE[[#This Row],[Estoque]]&lt;TAB_ESTOQUE[[#This Row],[Mínimo]],"Estoque em Nivel Minimo")))</f>
        <v>Estoque Conforme</v>
      </c>
      <c r="AC1222" s="85"/>
      <c r="AD1222" s="82"/>
    </row>
    <row r="1223" spans="1:32" ht="15" customHeight="1" x14ac:dyDescent="0.25">
      <c r="A1223" s="45">
        <v>798</v>
      </c>
      <c r="B1223" s="47"/>
      <c r="C1223" s="46" t="s">
        <v>2833</v>
      </c>
      <c r="D1223" s="45" t="s">
        <v>2265</v>
      </c>
      <c r="E1223" s="46" t="s">
        <v>7265</v>
      </c>
      <c r="F1223" s="87"/>
      <c r="G1223" s="82"/>
      <c r="H1223" s="82"/>
      <c r="I1223" s="82" t="s">
        <v>1458</v>
      </c>
      <c r="J1223" s="82"/>
      <c r="K1223" s="82"/>
      <c r="L1223" s="82"/>
      <c r="M1223" s="82" t="s">
        <v>209</v>
      </c>
      <c r="N1223" s="82"/>
      <c r="O1223" s="87" t="s">
        <v>6670</v>
      </c>
      <c r="P1223" s="82" t="s">
        <v>584</v>
      </c>
      <c r="Q1223" s="83">
        <f>VLOOKUP(TAB_ESTOQUE[[#This Row],[Codigo]],TAB_ENTRADA[[Cod_2_Entrada]:[TOTAL_ENTRADA]],5,FALSE)-VLOOKUP(TAB_ESTOQUE[[#This Row],[Codigo]],TAB_SAIDA[[COD_2_SAIDA]:[TOTAL_SAIDA]],5,FALSE)</f>
        <v>3</v>
      </c>
      <c r="R1223" s="87"/>
      <c r="S1223" s="87"/>
      <c r="T1223" s="90"/>
      <c r="U1223" s="91">
        <f>TAB_ESTOQUE[[#This Row],[Valor Unitario Estimado]]*TAB_ESTOQUE[[#This Row],[Estoque]]</f>
        <v>0</v>
      </c>
      <c r="V1223" s="91"/>
      <c r="W1223" s="85"/>
      <c r="X1223" s="85"/>
      <c r="Y1223" s="85"/>
      <c r="Z1223" s="85"/>
      <c r="AA1223" s="85"/>
      <c r="AB1223" s="85" t="str">
        <f>IF(TAB_ESTOQUE[[#This Row],[Estoque]]=0,"Estoque Não Conforme",IF(TAB_ESTOQUE[[#This Row],[Estoque]]&gt;=TAB_ESTOQUE[[#This Row],[Mínimo]],"Estoque Conforme",IF(TAB_ESTOQUE[[#This Row],[Estoque]]&lt;TAB_ESTOQUE[[#This Row],[Mínimo]],"Estoque em Nivel Minimo")))</f>
        <v>Estoque Conforme</v>
      </c>
      <c r="AC1223" s="85"/>
      <c r="AD1223" s="82"/>
    </row>
    <row r="1224" spans="1:32" s="106" customFormat="1" ht="15" customHeight="1" x14ac:dyDescent="0.25">
      <c r="A1224" s="106">
        <v>745</v>
      </c>
      <c r="C1224" s="116" t="s">
        <v>2833</v>
      </c>
      <c r="D1224" s="106" t="s">
        <v>2269</v>
      </c>
      <c r="E1224" s="116" t="s">
        <v>691</v>
      </c>
      <c r="F1224" s="118"/>
      <c r="G1224" s="95"/>
      <c r="H1224" s="95"/>
      <c r="I1224" s="95" t="s">
        <v>792</v>
      </c>
      <c r="J1224" s="95"/>
      <c r="K1224" s="95"/>
      <c r="L1224" s="95"/>
      <c r="M1224" s="95" t="s">
        <v>536</v>
      </c>
      <c r="N1224" s="95"/>
      <c r="O1224" s="118" t="s">
        <v>6670</v>
      </c>
      <c r="P1224" s="95" t="s">
        <v>537</v>
      </c>
      <c r="Q1224" s="154">
        <f>VLOOKUP(TAB_ESTOQUE[[#This Row],[Codigo]],TAB_ENTRADA[[Cod_2_Entrada]:[TOTAL_ENTRADA]],5,FALSE)-VLOOKUP(TAB_ESTOQUE[[#This Row],[Codigo]],TAB_SAIDA[[COD_2_SAIDA]:[TOTAL_SAIDA]],5,FALSE)</f>
        <v>4</v>
      </c>
      <c r="R1224" s="118"/>
      <c r="S1224" s="118"/>
      <c r="T1224" s="119"/>
      <c r="U1224" s="112">
        <f>TAB_ESTOQUE[[#This Row],[Valor Unitario Estimado]]*TAB_ESTOQUE[[#This Row],[Estoque]]</f>
        <v>0</v>
      </c>
      <c r="V1224" s="112"/>
      <c r="W1224" s="120"/>
      <c r="X1224" s="120"/>
      <c r="Y1224" s="120"/>
      <c r="Z1224" s="120"/>
      <c r="AA1224" s="120"/>
      <c r="AB1224" s="120" t="str">
        <f>IF(TAB_ESTOQUE[[#This Row],[Estoque]]=0,"Estoque Não Conforme",IF(TAB_ESTOQUE[[#This Row],[Estoque]]&gt;=TAB_ESTOQUE[[#This Row],[Mínimo]],"Estoque Conforme",IF(TAB_ESTOQUE[[#This Row],[Estoque]]&lt;TAB_ESTOQUE[[#This Row],[Mínimo]],"Estoque em Nivel Minimo")))</f>
        <v>Estoque Conforme</v>
      </c>
      <c r="AC1224" s="120"/>
      <c r="AD1224" s="95"/>
    </row>
    <row r="1225" spans="1:32" ht="15" customHeight="1" x14ac:dyDescent="0.25">
      <c r="A1225" s="47">
        <v>729</v>
      </c>
      <c r="B1225" s="47"/>
      <c r="C1225" s="51"/>
      <c r="D1225" s="47" t="s">
        <v>2270</v>
      </c>
      <c r="E1225" s="51" t="s">
        <v>8400</v>
      </c>
      <c r="F1225" s="107"/>
      <c r="G1225" s="94"/>
      <c r="H1225" s="94"/>
      <c r="I1225" s="94" t="s">
        <v>8564</v>
      </c>
      <c r="J1225" s="94"/>
      <c r="K1225" s="94"/>
      <c r="L1225" s="94"/>
      <c r="M1225" s="94"/>
      <c r="N1225" s="94"/>
      <c r="O1225" s="107" t="s">
        <v>6670</v>
      </c>
      <c r="P1225" s="94" t="s">
        <v>511</v>
      </c>
      <c r="Q1225" s="145">
        <f>VLOOKUP(TAB_ESTOQUE[[#This Row],[Codigo]],TAB_ENTRADA[[Cod_2_Entrada]:[TOTAL_ENTRADA]],5,FALSE)-VLOOKUP(TAB_ESTOQUE[[#This Row],[Codigo]],TAB_SAIDA[[COD_2_SAIDA]:[TOTAL_SAIDA]],5,FALSE)</f>
        <v>2</v>
      </c>
      <c r="R1225" s="107"/>
      <c r="S1225" s="107"/>
      <c r="T1225" s="108"/>
      <c r="U1225" s="109">
        <f>TAB_ESTOQUE[[#This Row],[Valor Unitario Estimado]]*TAB_ESTOQUE[[#This Row],[Estoque]]</f>
        <v>0</v>
      </c>
      <c r="V1225" s="109"/>
      <c r="W1225" s="110"/>
      <c r="X1225" s="110"/>
      <c r="Y1225" s="110"/>
      <c r="Z1225" s="110"/>
      <c r="AA1225" s="110"/>
      <c r="AB1225" s="110" t="str">
        <f>IF(TAB_ESTOQUE[[#This Row],[Estoque]]=0,"Estoque Não Conforme",IF(TAB_ESTOQUE[[#This Row],[Estoque]]&gt;=TAB_ESTOQUE[[#This Row],[Mínimo]],"Estoque Conforme",IF(TAB_ESTOQUE[[#This Row],[Estoque]]&lt;TAB_ESTOQUE[[#This Row],[Mínimo]],"Estoque em Nivel Minimo")))</f>
        <v>Estoque Conforme</v>
      </c>
      <c r="AC1225" s="110"/>
      <c r="AD1225" s="94"/>
    </row>
    <row r="1226" spans="1:32" ht="15" customHeight="1" x14ac:dyDescent="0.25">
      <c r="C1226" s="48"/>
      <c r="D1226" s="45" t="s">
        <v>7105</v>
      </c>
      <c r="E1226" s="46"/>
      <c r="F1226" s="46"/>
      <c r="I1226" s="45" t="s">
        <v>8725</v>
      </c>
      <c r="O1226" s="46" t="s">
        <v>6670</v>
      </c>
      <c r="Q1226" s="137">
        <f>VLOOKUP(TAB_ESTOQUE[[#This Row],[Codigo]],TAB_ENTRADA[[Cod_2_Entrada]:[TOTAL_ENTRADA]],5,FALSE)-VLOOKUP(TAB_ESTOQUE[[#This Row],[Codigo]],TAB_SAIDA[[COD_2_SAIDA]:[TOTAL_SAIDA]],5,FALSE)</f>
        <v>8</v>
      </c>
      <c r="S1226" s="46"/>
      <c r="T1226" s="102">
        <v>235</v>
      </c>
      <c r="U1226" s="103">
        <f>TAB_ESTOQUE[[#This Row],[Valor Unitario Estimado]]*TAB_ESTOQUE[[#This Row],[Estoque]]</f>
        <v>1880</v>
      </c>
      <c r="V1226" s="103"/>
      <c r="AA1226" s="138"/>
      <c r="AB1226" s="104" t="str">
        <f>IF(TAB_ESTOQUE[[#This Row],[Estoque]]=0,"Estoque Não Conforme",IF(TAB_ESTOQUE[[#This Row],[Estoque]]&gt;=TAB_ESTOQUE[[#This Row],[Mínimo]],"Estoque Conforme",IF(TAB_ESTOQUE[[#This Row],[Estoque]]&lt;TAB_ESTOQUE[[#This Row],[Mínimo]],"Estoque em Nivel Minimo")))</f>
        <v>Estoque Conforme</v>
      </c>
      <c r="AC1226" s="104"/>
    </row>
    <row r="1227" spans="1:32" ht="15" customHeight="1" x14ac:dyDescent="0.25">
      <c r="A1227" s="45">
        <v>1025</v>
      </c>
      <c r="B1227" s="47"/>
      <c r="C1227" s="46"/>
      <c r="D1227" s="45" t="s">
        <v>2193</v>
      </c>
      <c r="E1227" s="46" t="s">
        <v>7</v>
      </c>
      <c r="F1227" s="87"/>
      <c r="G1227" s="82"/>
      <c r="H1227" s="82"/>
      <c r="I1227" s="82" t="s">
        <v>6165</v>
      </c>
      <c r="J1227" s="82"/>
      <c r="K1227" s="82"/>
      <c r="L1227" s="82"/>
      <c r="M1227" s="82"/>
      <c r="N1227" s="82"/>
      <c r="O1227" s="87" t="s">
        <v>6645</v>
      </c>
      <c r="P1227" s="82" t="s">
        <v>264</v>
      </c>
      <c r="Q1227" s="83">
        <f>VLOOKUP(TAB_ESTOQUE[[#This Row],[Codigo]],TAB_ENTRADA[[Cod_2_Entrada]:[TOTAL_ENTRADA]],5,FALSE)-VLOOKUP(TAB_ESTOQUE[[#This Row],[Codigo]],TAB_SAIDA[[COD_2_SAIDA]:[TOTAL_SAIDA]],5,FALSE)</f>
        <v>10</v>
      </c>
      <c r="R1227" s="87"/>
      <c r="S1227" s="87"/>
      <c r="T1227" s="90"/>
      <c r="U1227" s="91">
        <f>TAB_ESTOQUE[[#This Row],[Valor Unitario Estimado]]*TAB_ESTOQUE[[#This Row],[Estoque]]</f>
        <v>0</v>
      </c>
      <c r="V1227" s="91"/>
      <c r="W1227" s="85"/>
      <c r="X1227" s="85"/>
      <c r="Y1227" s="85"/>
      <c r="Z1227" s="85"/>
      <c r="AA1227" s="85"/>
      <c r="AB1227" s="85" t="str">
        <f>IF(TAB_ESTOQUE[[#This Row],[Estoque]]=0,"Estoque Não Conforme",IF(TAB_ESTOQUE[[#This Row],[Estoque]]&gt;=TAB_ESTOQUE[[#This Row],[Mínimo]],"Estoque Conforme",IF(TAB_ESTOQUE[[#This Row],[Estoque]]&lt;TAB_ESTOQUE[[#This Row],[Mínimo]],"Estoque em Nivel Minimo")))</f>
        <v>Estoque Conforme</v>
      </c>
      <c r="AC1227" s="85"/>
      <c r="AD1227" s="82"/>
    </row>
    <row r="1228" spans="1:32" s="106" customFormat="1" ht="15" customHeight="1" x14ac:dyDescent="0.25">
      <c r="A1228" s="45">
        <v>254</v>
      </c>
      <c r="B1228" s="47"/>
      <c r="C1228" s="46"/>
      <c r="D1228" s="45" t="s">
        <v>2222</v>
      </c>
      <c r="E1228" s="46" t="s">
        <v>7431</v>
      </c>
      <c r="F1228" s="87"/>
      <c r="G1228" s="82"/>
      <c r="H1228" s="82"/>
      <c r="I1228" s="82" t="s">
        <v>1454</v>
      </c>
      <c r="J1228" s="82"/>
      <c r="K1228" s="82"/>
      <c r="L1228" s="82"/>
      <c r="M1228" s="82" t="s">
        <v>139</v>
      </c>
      <c r="N1228" s="82"/>
      <c r="O1228" s="87" t="s">
        <v>6645</v>
      </c>
      <c r="P1228" s="82" t="s">
        <v>196</v>
      </c>
      <c r="Q1228" s="83">
        <f>VLOOKUP(TAB_ESTOQUE[[#This Row],[Codigo]],TAB_ENTRADA[[Cod_2_Entrada]:[TOTAL_ENTRADA]],5,FALSE)-VLOOKUP(TAB_ESTOQUE[[#This Row],[Codigo]],TAB_SAIDA[[COD_2_SAIDA]:[TOTAL_SAIDA]],5,FALSE)</f>
        <v>4</v>
      </c>
      <c r="R1228" s="87"/>
      <c r="S1228" s="87"/>
      <c r="T1228" s="90"/>
      <c r="U1228" s="91">
        <f>TAB_ESTOQUE[[#This Row],[Valor Unitario Estimado]]*TAB_ESTOQUE[[#This Row],[Estoque]]</f>
        <v>0</v>
      </c>
      <c r="V1228" s="91"/>
      <c r="W1228" s="85"/>
      <c r="X1228" s="85"/>
      <c r="Y1228" s="85"/>
      <c r="Z1228" s="85"/>
      <c r="AA1228" s="85"/>
      <c r="AB1228" s="85" t="str">
        <f>IF(TAB_ESTOQUE[[#This Row],[Estoque]]=0,"Estoque Não Conforme",IF(TAB_ESTOQUE[[#This Row],[Estoque]]&gt;=TAB_ESTOQUE[[#This Row],[Mínimo]],"Estoque Conforme",IF(TAB_ESTOQUE[[#This Row],[Estoque]]&lt;TAB_ESTOQUE[[#This Row],[Mínimo]],"Estoque em Nivel Minimo")))</f>
        <v>Estoque Conforme</v>
      </c>
      <c r="AC1228" s="85"/>
      <c r="AD1228" s="82"/>
    </row>
    <row r="1229" spans="1:32" ht="15" customHeight="1" x14ac:dyDescent="0.25">
      <c r="A1229" s="45">
        <v>261</v>
      </c>
      <c r="B1229" s="47"/>
      <c r="C1229" s="46"/>
      <c r="D1229" s="45" t="s">
        <v>2225</v>
      </c>
      <c r="E1229" s="46" t="s">
        <v>7</v>
      </c>
      <c r="F1229" s="87"/>
      <c r="G1229" s="82"/>
      <c r="H1229" s="82"/>
      <c r="I1229" s="82" t="s">
        <v>6643</v>
      </c>
      <c r="J1229" s="82"/>
      <c r="K1229" s="82"/>
      <c r="L1229" s="82"/>
      <c r="M1229" s="82" t="s">
        <v>139</v>
      </c>
      <c r="N1229" s="82"/>
      <c r="O1229" s="87" t="s">
        <v>6645</v>
      </c>
      <c r="P1229" s="82" t="s">
        <v>199</v>
      </c>
      <c r="Q1229" s="83">
        <f>VLOOKUP(TAB_ESTOQUE[[#This Row],[Codigo]],TAB_ENTRADA[[Cod_2_Entrada]:[TOTAL_ENTRADA]],5,FALSE)-VLOOKUP(TAB_ESTOQUE[[#This Row],[Codigo]],TAB_SAIDA[[COD_2_SAIDA]:[TOTAL_SAIDA]],5,FALSE)</f>
        <v>6</v>
      </c>
      <c r="R1229" s="87"/>
      <c r="S1229" s="87"/>
      <c r="T1229" s="90"/>
      <c r="U1229" s="91">
        <f>TAB_ESTOQUE[[#This Row],[Valor Unitario Estimado]]*TAB_ESTOQUE[[#This Row],[Estoque]]</f>
        <v>0</v>
      </c>
      <c r="V1229" s="91"/>
      <c r="W1229" s="85"/>
      <c r="X1229" s="85"/>
      <c r="Y1229" s="85"/>
      <c r="Z1229" s="85"/>
      <c r="AA1229" s="85"/>
      <c r="AB1229" s="85" t="str">
        <f>IF(TAB_ESTOQUE[[#This Row],[Estoque]]=0,"Estoque Não Conforme",IF(TAB_ESTOQUE[[#This Row],[Estoque]]&gt;=TAB_ESTOQUE[[#This Row],[Mínimo]],"Estoque Conforme",IF(TAB_ESTOQUE[[#This Row],[Estoque]]&lt;TAB_ESTOQUE[[#This Row],[Mínimo]],"Estoque em Nivel Minimo")))</f>
        <v>Estoque Conforme</v>
      </c>
      <c r="AC1229" s="85"/>
      <c r="AD1229" s="82"/>
    </row>
    <row r="1230" spans="1:32" ht="15" customHeight="1" x14ac:dyDescent="0.25">
      <c r="A1230" s="45">
        <v>1372</v>
      </c>
      <c r="B1230" s="47"/>
      <c r="C1230" s="46"/>
      <c r="D1230" s="45" t="s">
        <v>2097</v>
      </c>
      <c r="E1230" s="46" t="s">
        <v>7</v>
      </c>
      <c r="F1230" s="87"/>
      <c r="G1230" s="82"/>
      <c r="H1230" s="82"/>
      <c r="I1230" s="82" t="s">
        <v>261</v>
      </c>
      <c r="J1230" s="82"/>
      <c r="K1230" s="82"/>
      <c r="L1230" s="82"/>
      <c r="M1230" s="82"/>
      <c r="N1230" s="82"/>
      <c r="O1230" s="87" t="s">
        <v>6644</v>
      </c>
      <c r="P1230" s="82" t="s">
        <v>1106</v>
      </c>
      <c r="Q1230" s="83">
        <f>VLOOKUP(TAB_ESTOQUE[[#This Row],[Codigo]],TAB_ENTRADA[[Cod_2_Entrada]:[TOTAL_ENTRADA]],5,FALSE)-VLOOKUP(TAB_ESTOQUE[[#This Row],[Codigo]],TAB_SAIDA[[COD_2_SAIDA]:[TOTAL_SAIDA]],5,FALSE)</f>
        <v>5</v>
      </c>
      <c r="R1230" s="87"/>
      <c r="S1230" s="87"/>
      <c r="T1230" s="90">
        <v>50</v>
      </c>
      <c r="U1230" s="91">
        <f>TAB_ESTOQUE[[#This Row],[Valor Unitario Estimado]]*TAB_ESTOQUE[[#This Row],[Estoque]]</f>
        <v>250</v>
      </c>
      <c r="V1230" s="91"/>
      <c r="W1230" s="85"/>
      <c r="X1230" s="85"/>
      <c r="Y1230" s="85"/>
      <c r="Z1230" s="85"/>
      <c r="AA1230" s="85"/>
      <c r="AB1230" s="85" t="str">
        <f>IF(TAB_ESTOQUE[[#This Row],[Estoque]]=0,"Estoque Não Conforme",IF(TAB_ESTOQUE[[#This Row],[Estoque]]&gt;=TAB_ESTOQUE[[#This Row],[Mínimo]],"Estoque Conforme",IF(TAB_ESTOQUE[[#This Row],[Estoque]]&lt;TAB_ESTOQUE[[#This Row],[Mínimo]],"Estoque em Nivel Minimo")))</f>
        <v>Estoque Conforme</v>
      </c>
      <c r="AC1230" s="85"/>
      <c r="AD1230" s="82"/>
    </row>
    <row r="1231" spans="1:32" ht="15" customHeight="1" x14ac:dyDescent="0.25">
      <c r="A1231" s="45">
        <v>473</v>
      </c>
      <c r="B1231" s="47"/>
      <c r="C1231" s="46"/>
      <c r="D1231" s="45" t="s">
        <v>2098</v>
      </c>
      <c r="E1231" s="46" t="s">
        <v>7431</v>
      </c>
      <c r="F1231" s="87"/>
      <c r="G1231" s="82"/>
      <c r="H1231" s="82"/>
      <c r="I1231" s="82" t="s">
        <v>6639</v>
      </c>
      <c r="J1231" s="82"/>
      <c r="K1231" s="82"/>
      <c r="L1231" s="82"/>
      <c r="M1231" s="82" t="s">
        <v>139</v>
      </c>
      <c r="N1231" s="82"/>
      <c r="O1231" s="87" t="s">
        <v>6644</v>
      </c>
      <c r="P1231" s="82" t="s">
        <v>251</v>
      </c>
      <c r="Q1231" s="83">
        <f>VLOOKUP(TAB_ESTOQUE[[#This Row],[Codigo]],TAB_ENTRADA[[Cod_2_Entrada]:[TOTAL_ENTRADA]],5,FALSE)-VLOOKUP(TAB_ESTOQUE[[#This Row],[Codigo]],TAB_SAIDA[[COD_2_SAIDA]:[TOTAL_SAIDA]],5,FALSE)</f>
        <v>3</v>
      </c>
      <c r="R1231" s="87"/>
      <c r="S1231" s="87"/>
      <c r="T1231" s="90"/>
      <c r="U1231" s="91">
        <f>TAB_ESTOQUE[[#This Row],[Valor Unitario Estimado]]*TAB_ESTOQUE[[#This Row],[Estoque]]</f>
        <v>0</v>
      </c>
      <c r="V1231" s="91"/>
      <c r="W1231" s="85"/>
      <c r="X1231" s="85"/>
      <c r="Y1231" s="85"/>
      <c r="Z1231" s="85"/>
      <c r="AA1231" s="85"/>
      <c r="AB1231" s="85" t="str">
        <f>IF(TAB_ESTOQUE[[#This Row],[Estoque]]=0,"Estoque Não Conforme",IF(TAB_ESTOQUE[[#This Row],[Estoque]]&gt;=TAB_ESTOQUE[[#This Row],[Mínimo]],"Estoque Conforme",IF(TAB_ESTOQUE[[#This Row],[Estoque]]&lt;TAB_ESTOQUE[[#This Row],[Mínimo]],"Estoque em Nivel Minimo")))</f>
        <v>Estoque Conforme</v>
      </c>
      <c r="AC1231" s="85"/>
      <c r="AD1231" s="82"/>
    </row>
    <row r="1232" spans="1:32" ht="15" customHeight="1" x14ac:dyDescent="0.25">
      <c r="A1232" s="45">
        <v>487</v>
      </c>
      <c r="B1232" s="47"/>
      <c r="C1232" s="46"/>
      <c r="D1232" s="45" t="s">
        <v>2191</v>
      </c>
      <c r="E1232" s="46" t="s">
        <v>7</v>
      </c>
      <c r="F1232" s="87"/>
      <c r="G1232" s="82"/>
      <c r="H1232" s="82"/>
      <c r="I1232" s="82" t="s">
        <v>6640</v>
      </c>
      <c r="J1232" s="82"/>
      <c r="K1232" s="82"/>
      <c r="L1232" s="82"/>
      <c r="M1232" s="82" t="s">
        <v>139</v>
      </c>
      <c r="N1232" s="82"/>
      <c r="O1232" s="87" t="s">
        <v>6644</v>
      </c>
      <c r="P1232" s="82" t="s">
        <v>269</v>
      </c>
      <c r="Q1232" s="83">
        <f>VLOOKUP(TAB_ESTOQUE[[#This Row],[Codigo]],TAB_ENTRADA[[Cod_2_Entrada]:[TOTAL_ENTRADA]],5,FALSE)-VLOOKUP(TAB_ESTOQUE[[#This Row],[Codigo]],TAB_SAIDA[[COD_2_SAIDA]:[TOTAL_SAIDA]],5,FALSE)</f>
        <v>6</v>
      </c>
      <c r="R1232" s="87"/>
      <c r="S1232" s="87"/>
      <c r="T1232" s="90"/>
      <c r="U1232" s="91">
        <f>TAB_ESTOQUE[[#This Row],[Valor Unitario Estimado]]*TAB_ESTOQUE[[#This Row],[Estoque]]</f>
        <v>0</v>
      </c>
      <c r="V1232" s="91"/>
      <c r="W1232" s="85"/>
      <c r="X1232" s="85"/>
      <c r="Y1232" s="85"/>
      <c r="Z1232" s="85"/>
      <c r="AA1232" s="85"/>
      <c r="AB1232" s="85" t="str">
        <f>IF(TAB_ESTOQUE[[#This Row],[Estoque]]=0,"Estoque Não Conforme",IF(TAB_ESTOQUE[[#This Row],[Estoque]]&gt;=TAB_ESTOQUE[[#This Row],[Mínimo]],"Estoque Conforme",IF(TAB_ESTOQUE[[#This Row],[Estoque]]&lt;TAB_ESTOQUE[[#This Row],[Mínimo]],"Estoque em Nivel Minimo")))</f>
        <v>Estoque Conforme</v>
      </c>
      <c r="AC1232" s="85"/>
      <c r="AD1232" s="82"/>
    </row>
    <row r="1233" spans="1:30" ht="15" customHeight="1" x14ac:dyDescent="0.25">
      <c r="A1233" s="47">
        <v>1026</v>
      </c>
      <c r="B1233" s="47"/>
      <c r="C1233" s="51"/>
      <c r="D1233" s="47" t="s">
        <v>2194</v>
      </c>
      <c r="E1233" s="51" t="s">
        <v>7</v>
      </c>
      <c r="F1233" s="107"/>
      <c r="G1233" s="94"/>
      <c r="H1233" s="94"/>
      <c r="I1233" s="94" t="s">
        <v>6642</v>
      </c>
      <c r="J1233" s="94"/>
      <c r="K1233" s="94"/>
      <c r="L1233" s="94"/>
      <c r="M1233" s="94"/>
      <c r="N1233" s="94"/>
      <c r="O1233" s="107" t="s">
        <v>6644</v>
      </c>
      <c r="P1233" s="94" t="s">
        <v>264</v>
      </c>
      <c r="Q1233" s="145">
        <f>VLOOKUP(TAB_ESTOQUE[[#This Row],[Codigo]],TAB_ENTRADA[[Cod_2_Entrada]:[TOTAL_ENTRADA]],5,FALSE)-VLOOKUP(TAB_ESTOQUE[[#This Row],[Codigo]],TAB_SAIDA[[COD_2_SAIDA]:[TOTAL_SAIDA]],5,FALSE)</f>
        <v>1</v>
      </c>
      <c r="R1233" s="107"/>
      <c r="S1233" s="107"/>
      <c r="T1233" s="108"/>
      <c r="U1233" s="109">
        <f>TAB_ESTOQUE[[#This Row],[Valor Unitario Estimado]]*TAB_ESTOQUE[[#This Row],[Estoque]]</f>
        <v>0</v>
      </c>
      <c r="V1233" s="109"/>
      <c r="W1233" s="110"/>
      <c r="X1233" s="110"/>
      <c r="Y1233" s="110"/>
      <c r="Z1233" s="110"/>
      <c r="AA1233" s="110"/>
      <c r="AB1233" s="110" t="str">
        <f>IF(TAB_ESTOQUE[[#This Row],[Estoque]]=0,"Estoque Não Conforme",IF(TAB_ESTOQUE[[#This Row],[Estoque]]&gt;=TAB_ESTOQUE[[#This Row],[Mínimo]],"Estoque Conforme",IF(TAB_ESTOQUE[[#This Row],[Estoque]]&lt;TAB_ESTOQUE[[#This Row],[Mínimo]],"Estoque em Nivel Minimo")))</f>
        <v>Estoque Conforme</v>
      </c>
      <c r="AC1233" s="110"/>
      <c r="AD1233" s="94"/>
    </row>
    <row r="1234" spans="1:30" s="106" customFormat="1" ht="15" customHeight="1" x14ac:dyDescent="0.25">
      <c r="A1234" s="47">
        <v>1705</v>
      </c>
      <c r="B1234" s="47"/>
      <c r="C1234" s="51"/>
      <c r="D1234" s="47" t="s">
        <v>2392</v>
      </c>
      <c r="E1234" s="51"/>
      <c r="F1234" s="107"/>
      <c r="G1234" s="94"/>
      <c r="H1234" s="94"/>
      <c r="I1234" s="94" t="s">
        <v>8607</v>
      </c>
      <c r="J1234" s="94"/>
      <c r="K1234" s="94"/>
      <c r="L1234" s="94"/>
      <c r="M1234" s="94"/>
      <c r="N1234" s="94"/>
      <c r="O1234" s="107" t="s">
        <v>6644</v>
      </c>
      <c r="P1234" s="94" t="s">
        <v>1136</v>
      </c>
      <c r="Q1234" s="145">
        <f>VLOOKUP(TAB_ESTOQUE[[#This Row],[Codigo]],TAB_ENTRADA[[Cod_2_Entrada]:[TOTAL_ENTRADA]],5,FALSE)-VLOOKUP(TAB_ESTOQUE[[#This Row],[Codigo]],TAB_SAIDA[[COD_2_SAIDA]:[TOTAL_SAIDA]],5,FALSE)</f>
        <v>2</v>
      </c>
      <c r="R1234" s="107"/>
      <c r="S1234" s="107"/>
      <c r="T1234" s="108"/>
      <c r="U1234" s="109">
        <f>TAB_ESTOQUE[[#This Row],[Valor Unitario Estimado]]*TAB_ESTOQUE[[#This Row],[Estoque]]</f>
        <v>0</v>
      </c>
      <c r="V1234" s="109"/>
      <c r="W1234" s="110"/>
      <c r="X1234" s="110"/>
      <c r="Y1234" s="110"/>
      <c r="Z1234" s="110"/>
      <c r="AA1234" s="110"/>
      <c r="AB1234" s="110" t="str">
        <f>IF(TAB_ESTOQUE[[#This Row],[Estoque]]=0,"Estoque Não Conforme",IF(TAB_ESTOQUE[[#This Row],[Estoque]]&gt;=TAB_ESTOQUE[[#This Row],[Mínimo]],"Estoque Conforme",IF(TAB_ESTOQUE[[#This Row],[Estoque]]&lt;TAB_ESTOQUE[[#This Row],[Mínimo]],"Estoque em Nivel Minimo")))</f>
        <v>Estoque Conforme</v>
      </c>
      <c r="AC1234" s="110"/>
      <c r="AD1234" s="94"/>
    </row>
    <row r="1235" spans="1:30" s="47" customFormat="1" ht="15" customHeight="1" x14ac:dyDescent="0.25">
      <c r="A1235" s="106"/>
      <c r="B1235" s="106"/>
      <c r="C1235" s="116"/>
      <c r="D1235" s="106" t="s">
        <v>2725</v>
      </c>
      <c r="E1235" s="116" t="s">
        <v>135</v>
      </c>
      <c r="F1235" s="118"/>
      <c r="G1235" s="95"/>
      <c r="H1235" s="95"/>
      <c r="I1235" s="95" t="s">
        <v>8674</v>
      </c>
      <c r="J1235" s="95"/>
      <c r="K1235" s="95"/>
      <c r="L1235" s="95"/>
      <c r="M1235" s="95"/>
      <c r="N1235" s="95"/>
      <c r="O1235" s="118" t="s">
        <v>6644</v>
      </c>
      <c r="P1235" s="95" t="s">
        <v>1326</v>
      </c>
      <c r="Q1235" s="154">
        <f>VLOOKUP(TAB_ESTOQUE[[#This Row],[Codigo]],TAB_ENTRADA[[Cod_2_Entrada]:[TOTAL_ENTRADA]],5,FALSE)-VLOOKUP(TAB_ESTOQUE[[#This Row],[Codigo]],TAB_SAIDA[[COD_2_SAIDA]:[TOTAL_SAIDA]],5,FALSE)</f>
        <v>3</v>
      </c>
      <c r="R1235" s="118"/>
      <c r="S1235" s="118"/>
      <c r="T1235" s="119">
        <v>160.38399999999999</v>
      </c>
      <c r="U1235" s="112">
        <f>TAB_ESTOQUE[[#This Row],[Valor Unitario Estimado]]*TAB_ESTOQUE[[#This Row],[Estoque]]</f>
        <v>481.15199999999993</v>
      </c>
      <c r="V1235" s="112"/>
      <c r="W1235" s="120"/>
      <c r="X1235" s="120"/>
      <c r="Y1235" s="120"/>
      <c r="Z1235" s="120"/>
      <c r="AA1235" s="120"/>
      <c r="AB1235" s="160" t="str">
        <f>IF(TAB_ESTOQUE[[#This Row],[Estoque]]=0,"Estoque Não Conforme",IF(TAB_ESTOQUE[[#This Row],[Estoque]]&gt;=TAB_ESTOQUE[[#This Row],[Mínimo]],"Estoque Conforme",IF(TAB_ESTOQUE[[#This Row],[Estoque]]&lt;TAB_ESTOQUE[[#This Row],[Mínimo]],"Estoque em Nivel Minimo")))</f>
        <v>Estoque Conforme</v>
      </c>
      <c r="AC1235" s="120"/>
      <c r="AD1235" s="95"/>
    </row>
    <row r="1236" spans="1:30" ht="15" customHeight="1" x14ac:dyDescent="0.25">
      <c r="B1236" s="47"/>
      <c r="C1236" s="46"/>
      <c r="D1236" s="45" t="s">
        <v>2726</v>
      </c>
      <c r="E1236" s="46" t="s">
        <v>135</v>
      </c>
      <c r="F1236" s="87"/>
      <c r="G1236" s="82"/>
      <c r="H1236" s="82"/>
      <c r="I1236" s="82" t="s">
        <v>8675</v>
      </c>
      <c r="J1236" s="82"/>
      <c r="K1236" s="82"/>
      <c r="L1236" s="82"/>
      <c r="M1236" s="82"/>
      <c r="N1236" s="82"/>
      <c r="O1236" s="87" t="s">
        <v>6644</v>
      </c>
      <c r="P1236" s="82" t="s">
        <v>1330</v>
      </c>
      <c r="Q1236" s="83">
        <f>VLOOKUP(TAB_ESTOQUE[[#This Row],[Codigo]],TAB_ENTRADA[[Cod_2_Entrada]:[TOTAL_ENTRADA]],5,FALSE)-VLOOKUP(TAB_ESTOQUE[[#This Row],[Codigo]],TAB_SAIDA[[COD_2_SAIDA]:[TOTAL_SAIDA]],5,FALSE)</f>
        <v>2</v>
      </c>
      <c r="R1236" s="87"/>
      <c r="S1236" s="87"/>
      <c r="T1236" s="90">
        <v>478.649</v>
      </c>
      <c r="U1236" s="91">
        <f>TAB_ESTOQUE[[#This Row],[Valor Unitario Estimado]]*TAB_ESTOQUE[[#This Row],[Estoque]]</f>
        <v>957.298</v>
      </c>
      <c r="V1236" s="91"/>
      <c r="W1236" s="85"/>
      <c r="X1236" s="85"/>
      <c r="Y1236" s="85"/>
      <c r="Z1236" s="85"/>
      <c r="AA1236" s="85"/>
      <c r="AB1236" s="96" t="str">
        <f>IF(TAB_ESTOQUE[[#This Row],[Estoque]]=0,"Estoque Não Conforme",IF(TAB_ESTOQUE[[#This Row],[Estoque]]&gt;=TAB_ESTOQUE[[#This Row],[Mínimo]],"Estoque Conforme",IF(TAB_ESTOQUE[[#This Row],[Estoque]]&lt;TAB_ESTOQUE[[#This Row],[Mínimo]],"Estoque em Nivel Minimo")))</f>
        <v>Estoque Conforme</v>
      </c>
      <c r="AC1236" s="85"/>
      <c r="AD1236" s="82"/>
    </row>
    <row r="1237" spans="1:30" ht="15" customHeight="1" x14ac:dyDescent="0.25">
      <c r="A1237" s="106"/>
      <c r="B1237" s="106"/>
      <c r="C1237" s="106"/>
      <c r="D1237" s="106" t="s">
        <v>6548</v>
      </c>
      <c r="E1237" s="116"/>
      <c r="F1237" s="87"/>
      <c r="G1237" s="106"/>
      <c r="H1237" s="106"/>
      <c r="I1237" s="106" t="s">
        <v>6972</v>
      </c>
      <c r="J1237" s="106"/>
      <c r="K1237" s="106"/>
      <c r="L1237" s="106"/>
      <c r="M1237" s="106"/>
      <c r="N1237" s="106"/>
      <c r="O1237" s="116" t="s">
        <v>6644</v>
      </c>
      <c r="P1237" s="106"/>
      <c r="Q1237" s="154">
        <f>VLOOKUP(TAB_ESTOQUE[[#This Row],[Codigo]],TAB_ENTRADA[[Cod_2_Entrada]:[TOTAL_ENTRADA]],5,FALSE)-VLOOKUP(TAB_ESTOQUE[[#This Row],[Codigo]],TAB_SAIDA[[COD_2_SAIDA]:[TOTAL_SAIDA]],5,FALSE)</f>
        <v>3</v>
      </c>
      <c r="R1237" s="116"/>
      <c r="S1237" s="116"/>
      <c r="T1237" s="163">
        <v>37.15</v>
      </c>
      <c r="U1237" s="164">
        <f>TAB_ESTOQUE[[#This Row],[Valor Unitario Estimado]]*TAB_ESTOQUE[[#This Row],[Estoque]]</f>
        <v>111.44999999999999</v>
      </c>
      <c r="V1237" s="164"/>
      <c r="W1237" s="165"/>
      <c r="X1237" s="165"/>
      <c r="Y1237" s="165"/>
      <c r="Z1237" s="165"/>
      <c r="AA1237" s="165"/>
      <c r="AB1237" s="166" t="str">
        <f>IF(TAB_ESTOQUE[[#This Row],[Estoque]]=0,"Estoque Não Conforme",IF(TAB_ESTOQUE[[#This Row],[Estoque]]&gt;=TAB_ESTOQUE[[#This Row],[Mínimo]],"Estoque Conforme",IF(TAB_ESTOQUE[[#This Row],[Estoque]]&lt;TAB_ESTOQUE[[#This Row],[Mínimo]],"Estoque em Nivel Minimo")))</f>
        <v>Estoque Conforme</v>
      </c>
      <c r="AC1237" s="166"/>
      <c r="AD1237" s="106"/>
    </row>
    <row r="1238" spans="1:30" s="106" customFormat="1" ht="15" customHeight="1" x14ac:dyDescent="0.25">
      <c r="A1238" s="45">
        <v>727</v>
      </c>
      <c r="B1238" s="47"/>
      <c r="C1238" s="46" t="s">
        <v>2833</v>
      </c>
      <c r="D1238" s="45" t="s">
        <v>2283</v>
      </c>
      <c r="E1238" s="46" t="s">
        <v>7</v>
      </c>
      <c r="F1238" s="87"/>
      <c r="G1238" s="82"/>
      <c r="H1238" s="82"/>
      <c r="I1238" s="82" t="s">
        <v>6178</v>
      </c>
      <c r="J1238" s="82"/>
      <c r="K1238" s="82"/>
      <c r="L1238" s="82"/>
      <c r="M1238" s="82"/>
      <c r="N1238" s="82"/>
      <c r="O1238" s="87" t="s">
        <v>6685</v>
      </c>
      <c r="P1238" s="82" t="s">
        <v>509</v>
      </c>
      <c r="Q1238" s="83">
        <f>VLOOKUP(TAB_ESTOQUE[[#This Row],[Codigo]],TAB_ENTRADA[[Cod_2_Entrada]:[TOTAL_ENTRADA]],5,FALSE)-VLOOKUP(TAB_ESTOQUE[[#This Row],[Codigo]],TAB_SAIDA[[COD_2_SAIDA]:[TOTAL_SAIDA]],5,FALSE)</f>
        <v>4</v>
      </c>
      <c r="R1238" s="87"/>
      <c r="S1238" s="87"/>
      <c r="T1238" s="90"/>
      <c r="U1238" s="91">
        <f>TAB_ESTOQUE[[#This Row],[Valor Unitario Estimado]]*TAB_ESTOQUE[[#This Row],[Estoque]]</f>
        <v>0</v>
      </c>
      <c r="V1238" s="91"/>
      <c r="W1238" s="85"/>
      <c r="X1238" s="85"/>
      <c r="Y1238" s="85"/>
      <c r="Z1238" s="85"/>
      <c r="AA1238" s="85"/>
      <c r="AB1238" s="85" t="str">
        <f>IF(TAB_ESTOQUE[[#This Row],[Estoque]]=0,"Estoque Não Conforme",IF(TAB_ESTOQUE[[#This Row],[Estoque]]&gt;=TAB_ESTOQUE[[#This Row],[Mínimo]],"Estoque Conforme",IF(TAB_ESTOQUE[[#This Row],[Estoque]]&lt;TAB_ESTOQUE[[#This Row],[Mínimo]],"Estoque em Nivel Minimo")))</f>
        <v>Estoque Conforme</v>
      </c>
      <c r="AC1238" s="85"/>
      <c r="AD1238" s="82"/>
    </row>
    <row r="1239" spans="1:30" ht="15" customHeight="1" x14ac:dyDescent="0.25">
      <c r="A1239" s="45">
        <v>755</v>
      </c>
      <c r="B1239" s="47"/>
      <c r="C1239" s="46" t="s">
        <v>2833</v>
      </c>
      <c r="D1239" s="45" t="s">
        <v>2434</v>
      </c>
      <c r="E1239" s="46" t="s">
        <v>7</v>
      </c>
      <c r="F1239" s="87"/>
      <c r="G1239" s="82"/>
      <c r="H1239" s="82"/>
      <c r="I1239" s="82" t="s">
        <v>6209</v>
      </c>
      <c r="J1239" s="82"/>
      <c r="K1239" s="82"/>
      <c r="L1239" s="82"/>
      <c r="M1239" s="82"/>
      <c r="N1239" s="82"/>
      <c r="O1239" s="87" t="s">
        <v>6685</v>
      </c>
      <c r="P1239" s="82" t="s">
        <v>549</v>
      </c>
      <c r="Q1239" s="83">
        <f>VLOOKUP(TAB_ESTOQUE[[#This Row],[Codigo]],TAB_ENTRADA[[Cod_2_Entrada]:[TOTAL_ENTRADA]],5,FALSE)-VLOOKUP(TAB_ESTOQUE[[#This Row],[Codigo]],TAB_SAIDA[[COD_2_SAIDA]:[TOTAL_SAIDA]],5,FALSE)</f>
        <v>6</v>
      </c>
      <c r="R1239" s="87"/>
      <c r="S1239" s="87"/>
      <c r="T1239" s="90"/>
      <c r="U1239" s="91">
        <f>TAB_ESTOQUE[[#This Row],[Valor Unitario Estimado]]*TAB_ESTOQUE[[#This Row],[Estoque]]</f>
        <v>0</v>
      </c>
      <c r="V1239" s="91"/>
      <c r="W1239" s="85"/>
      <c r="X1239" s="85"/>
      <c r="Y1239" s="85"/>
      <c r="Z1239" s="85"/>
      <c r="AA1239" s="85"/>
      <c r="AB1239" s="85" t="str">
        <f>IF(TAB_ESTOQUE[[#This Row],[Estoque]]=0,"Estoque Não Conforme",IF(TAB_ESTOQUE[[#This Row],[Estoque]]&gt;=TAB_ESTOQUE[[#This Row],[Mínimo]],"Estoque Conforme",IF(TAB_ESTOQUE[[#This Row],[Estoque]]&lt;TAB_ESTOQUE[[#This Row],[Mínimo]],"Estoque em Nivel Minimo")))</f>
        <v>Estoque Conforme</v>
      </c>
      <c r="AC1239" s="85"/>
      <c r="AD1239" s="82"/>
    </row>
    <row r="1240" spans="1:30" ht="15" customHeight="1" x14ac:dyDescent="0.25">
      <c r="B1240" s="47"/>
      <c r="C1240" s="46"/>
      <c r="D1240" s="45" t="s">
        <v>2723</v>
      </c>
      <c r="E1240" s="46" t="s">
        <v>135</v>
      </c>
      <c r="F1240" s="87"/>
      <c r="G1240" s="82"/>
      <c r="H1240" s="82"/>
      <c r="I1240" s="82" t="s">
        <v>3677</v>
      </c>
      <c r="J1240" s="82"/>
      <c r="K1240" s="82"/>
      <c r="L1240" s="82"/>
      <c r="M1240" s="82"/>
      <c r="N1240" s="82"/>
      <c r="O1240" s="87" t="s">
        <v>6685</v>
      </c>
      <c r="P1240" s="82" t="s">
        <v>1322</v>
      </c>
      <c r="Q1240" s="83">
        <f>VLOOKUP(TAB_ESTOQUE[[#This Row],[Codigo]],TAB_ENTRADA[[Cod_2_Entrada]:[TOTAL_ENTRADA]],5,FALSE)-VLOOKUP(TAB_ESTOQUE[[#This Row],[Codigo]],TAB_SAIDA[[COD_2_SAIDA]:[TOTAL_SAIDA]],5,FALSE)</f>
        <v>0</v>
      </c>
      <c r="R1240" s="87"/>
      <c r="S1240" s="87"/>
      <c r="T1240" s="90">
        <v>328.84100000000001</v>
      </c>
      <c r="U1240" s="91">
        <f>TAB_ESTOQUE[[#This Row],[Valor Unitario Estimado]]*TAB_ESTOQUE[[#This Row],[Estoque]]</f>
        <v>0</v>
      </c>
      <c r="V1240" s="91"/>
      <c r="W1240" s="85"/>
      <c r="X1240" s="85"/>
      <c r="Y1240" s="85"/>
      <c r="Z1240" s="85"/>
      <c r="AA1240" s="85"/>
      <c r="AB1240" s="96" t="str">
        <f>IF(TAB_ESTOQUE[[#This Row],[Estoque]]=0,"Estoque Não Conforme",IF(TAB_ESTOQUE[[#This Row],[Estoque]]&gt;=TAB_ESTOQUE[[#This Row],[Mínimo]],"Estoque Conforme",IF(TAB_ESTOQUE[[#This Row],[Estoque]]&lt;TAB_ESTOQUE[[#This Row],[Mínimo]],"Estoque em Nivel Minimo")))</f>
        <v>Estoque Não Conforme</v>
      </c>
      <c r="AC1240" s="85"/>
      <c r="AD1240" s="82"/>
    </row>
    <row r="1241" spans="1:30" ht="15" customHeight="1" x14ac:dyDescent="0.25">
      <c r="B1241" s="47"/>
      <c r="C1241" s="48"/>
      <c r="D1241" s="45" t="s">
        <v>6545</v>
      </c>
      <c r="E1241" s="87"/>
      <c r="F1241" s="87"/>
      <c r="G1241" s="82"/>
      <c r="H1241" s="82"/>
      <c r="I1241" s="82" t="s">
        <v>6968</v>
      </c>
      <c r="J1241" s="82"/>
      <c r="K1241" s="82"/>
      <c r="L1241" s="82"/>
      <c r="M1241" s="82"/>
      <c r="N1241" s="82"/>
      <c r="O1241" s="87" t="s">
        <v>6685</v>
      </c>
      <c r="P1241" s="82"/>
      <c r="Q1241" s="83">
        <f>VLOOKUP(TAB_ESTOQUE[[#This Row],[Codigo]],TAB_ENTRADA[[Cod_2_Entrada]:[TOTAL_ENTRADA]],5,FALSE)-VLOOKUP(TAB_ESTOQUE[[#This Row],[Codigo]],TAB_SAIDA[[COD_2_SAIDA]:[TOTAL_SAIDA]],5,FALSE)</f>
        <v>8</v>
      </c>
      <c r="R1241" s="87"/>
      <c r="S1241" s="87"/>
      <c r="T1241" s="90">
        <v>80</v>
      </c>
      <c r="U1241" s="91">
        <f>TAB_ESTOQUE[[#This Row],[Valor Unitario Estimado]]*TAB_ESTOQUE[[#This Row],[Estoque]]</f>
        <v>640</v>
      </c>
      <c r="V1241" s="91"/>
      <c r="W1241" s="85"/>
      <c r="X1241" s="85"/>
      <c r="Y1241" s="85"/>
      <c r="Z1241" s="85"/>
      <c r="AA1241" s="85"/>
      <c r="AB1241" s="96" t="str">
        <f>IF(TAB_ESTOQUE[[#This Row],[Estoque]]=0,"Estoque Não Conforme",IF(TAB_ESTOQUE[[#This Row],[Estoque]]&gt;=TAB_ESTOQUE[[#This Row],[Mínimo]],"Estoque Conforme",IF(TAB_ESTOQUE[[#This Row],[Estoque]]&lt;TAB_ESTOQUE[[#This Row],[Mínimo]],"Estoque em Nivel Minimo")))</f>
        <v>Estoque Conforme</v>
      </c>
      <c r="AC1241" s="96"/>
      <c r="AD1241" s="82"/>
    </row>
    <row r="1242" spans="1:30" ht="15" customHeight="1" x14ac:dyDescent="0.25">
      <c r="B1242" s="47"/>
      <c r="C1242" s="48"/>
      <c r="D1242" s="45" t="s">
        <v>6546</v>
      </c>
      <c r="E1242" s="87"/>
      <c r="F1242" s="87"/>
      <c r="G1242" s="82"/>
      <c r="H1242" s="82"/>
      <c r="I1242" s="82" t="s">
        <v>6970</v>
      </c>
      <c r="J1242" s="82"/>
      <c r="K1242" s="82"/>
      <c r="L1242" s="82"/>
      <c r="M1242" s="82"/>
      <c r="N1242" s="82"/>
      <c r="O1242" s="87" t="s">
        <v>6685</v>
      </c>
      <c r="P1242" s="82"/>
      <c r="Q1242" s="83">
        <f>VLOOKUP(TAB_ESTOQUE[[#This Row],[Codigo]],TAB_ENTRADA[[Cod_2_Entrada]:[TOTAL_ENTRADA]],5,FALSE)-VLOOKUP(TAB_ESTOQUE[[#This Row],[Codigo]],TAB_SAIDA[[COD_2_SAIDA]:[TOTAL_SAIDA]],5,FALSE)</f>
        <v>1</v>
      </c>
      <c r="R1242" s="87"/>
      <c r="S1242" s="87"/>
      <c r="T1242" s="90">
        <v>23.5</v>
      </c>
      <c r="U1242" s="91">
        <f>TAB_ESTOQUE[[#This Row],[Valor Unitario Estimado]]*TAB_ESTOQUE[[#This Row],[Estoque]]</f>
        <v>23.5</v>
      </c>
      <c r="V1242" s="91"/>
      <c r="W1242" s="85"/>
      <c r="X1242" s="85"/>
      <c r="Y1242" s="85"/>
      <c r="Z1242" s="85"/>
      <c r="AA1242" s="85"/>
      <c r="AB1242" s="96" t="str">
        <f>IF(TAB_ESTOQUE[[#This Row],[Estoque]]=0,"Estoque Não Conforme",IF(TAB_ESTOQUE[[#This Row],[Estoque]]&gt;=TAB_ESTOQUE[[#This Row],[Mínimo]],"Estoque Conforme",IF(TAB_ESTOQUE[[#This Row],[Estoque]]&lt;TAB_ESTOQUE[[#This Row],[Mínimo]],"Estoque em Nivel Minimo")))</f>
        <v>Estoque Conforme</v>
      </c>
      <c r="AC1242" s="96"/>
      <c r="AD1242" s="82"/>
    </row>
    <row r="1243" spans="1:30" ht="15" customHeight="1" x14ac:dyDescent="0.25">
      <c r="B1243" s="47"/>
      <c r="C1243" s="48"/>
      <c r="D1243" s="45" t="s">
        <v>6547</v>
      </c>
      <c r="E1243" s="87"/>
      <c r="F1243" s="87"/>
      <c r="G1243" s="82"/>
      <c r="H1243" s="82"/>
      <c r="I1243" s="82" t="s">
        <v>6971</v>
      </c>
      <c r="J1243" s="82"/>
      <c r="K1243" s="82"/>
      <c r="L1243" s="82"/>
      <c r="M1243" s="82"/>
      <c r="N1243" s="82"/>
      <c r="O1243" s="87" t="s">
        <v>6685</v>
      </c>
      <c r="P1243" s="82"/>
      <c r="Q1243" s="83">
        <f>VLOOKUP(TAB_ESTOQUE[[#This Row],[Codigo]],TAB_ENTRADA[[Cod_2_Entrada]:[TOTAL_ENTRADA]],5,FALSE)-VLOOKUP(TAB_ESTOQUE[[#This Row],[Codigo]],TAB_SAIDA[[COD_2_SAIDA]:[TOTAL_SAIDA]],5,FALSE)</f>
        <v>2</v>
      </c>
      <c r="R1243" s="87"/>
      <c r="S1243" s="87"/>
      <c r="T1243" s="90">
        <v>27.4</v>
      </c>
      <c r="U1243" s="91">
        <f>TAB_ESTOQUE[[#This Row],[Valor Unitario Estimado]]*TAB_ESTOQUE[[#This Row],[Estoque]]</f>
        <v>54.8</v>
      </c>
      <c r="V1243" s="91"/>
      <c r="W1243" s="85"/>
      <c r="X1243" s="85"/>
      <c r="Y1243" s="85"/>
      <c r="Z1243" s="85"/>
      <c r="AA1243" s="85"/>
      <c r="AB1243" s="96" t="str">
        <f>IF(TAB_ESTOQUE[[#This Row],[Estoque]]=0,"Estoque Não Conforme",IF(TAB_ESTOQUE[[#This Row],[Estoque]]&gt;=TAB_ESTOQUE[[#This Row],[Mínimo]],"Estoque Conforme",IF(TAB_ESTOQUE[[#This Row],[Estoque]]&lt;TAB_ESTOQUE[[#This Row],[Mínimo]],"Estoque em Nivel Minimo")))</f>
        <v>Estoque Conforme</v>
      </c>
      <c r="AC1243" s="96"/>
      <c r="AD1243" s="82"/>
    </row>
    <row r="1244" spans="1:30" ht="15" customHeight="1" x14ac:dyDescent="0.25">
      <c r="A1244" s="45">
        <v>541</v>
      </c>
      <c r="B1244" s="47"/>
      <c r="C1244" s="46"/>
      <c r="D1244" s="45" t="s">
        <v>2039</v>
      </c>
      <c r="E1244" s="46" t="s">
        <v>7</v>
      </c>
      <c r="F1244" s="87"/>
      <c r="G1244" s="82"/>
      <c r="H1244" s="82"/>
      <c r="I1244" s="82" t="s">
        <v>6030</v>
      </c>
      <c r="J1244" s="82"/>
      <c r="K1244" s="82"/>
      <c r="L1244" s="82"/>
      <c r="M1244" s="82"/>
      <c r="N1244" s="82"/>
      <c r="O1244" s="87" t="s">
        <v>6461</v>
      </c>
      <c r="P1244" s="82" t="s">
        <v>315</v>
      </c>
      <c r="Q1244" s="83">
        <f>VLOOKUP(TAB_ESTOQUE[[#This Row],[Codigo]],TAB_ENTRADA[[Cod_2_Entrada]:[TOTAL_ENTRADA]],5,FALSE)-VLOOKUP(TAB_ESTOQUE[[#This Row],[Codigo]],TAB_SAIDA[[COD_2_SAIDA]:[TOTAL_SAIDA]],5,FALSE)</f>
        <v>1</v>
      </c>
      <c r="R1244" s="87"/>
      <c r="S1244" s="87"/>
      <c r="T1244" s="90"/>
      <c r="U1244" s="91">
        <f>TAB_ESTOQUE[[#This Row],[Valor Unitario Estimado]]*TAB_ESTOQUE[[#This Row],[Estoque]]</f>
        <v>0</v>
      </c>
      <c r="V1244" s="91"/>
      <c r="W1244" s="85"/>
      <c r="X1244" s="85"/>
      <c r="Y1244" s="85"/>
      <c r="Z1244" s="85"/>
      <c r="AA1244" s="85"/>
      <c r="AB1244" s="85" t="str">
        <f>IF(TAB_ESTOQUE[[#This Row],[Estoque]]=0,"Estoque Não Conforme",IF(TAB_ESTOQUE[[#This Row],[Estoque]]&gt;=TAB_ESTOQUE[[#This Row],[Mínimo]],"Estoque Conforme",IF(TAB_ESTOQUE[[#This Row],[Estoque]]&lt;TAB_ESTOQUE[[#This Row],[Mínimo]],"Estoque em Nivel Minimo")))</f>
        <v>Estoque Conforme</v>
      </c>
      <c r="AC1244" s="85"/>
      <c r="AD1244" s="82"/>
    </row>
    <row r="1245" spans="1:30" ht="15" customHeight="1" x14ac:dyDescent="0.25">
      <c r="B1245" s="47"/>
      <c r="C1245" s="53" t="s">
        <v>2838</v>
      </c>
      <c r="D1245" s="45" t="s">
        <v>3098</v>
      </c>
      <c r="E1245" s="46"/>
      <c r="F1245" s="87"/>
      <c r="G1245" s="82"/>
      <c r="H1245" s="82"/>
      <c r="I1245" s="82" t="s">
        <v>6462</v>
      </c>
      <c r="J1245" s="82"/>
      <c r="K1245" s="82"/>
      <c r="L1245" s="82"/>
      <c r="M1245" s="82"/>
      <c r="N1245" s="82"/>
      <c r="O1245" s="87" t="s">
        <v>6461</v>
      </c>
      <c r="P1245" s="82" t="s">
        <v>3103</v>
      </c>
      <c r="Q1245" s="83">
        <f>VLOOKUP(TAB_ESTOQUE[[#This Row],[Codigo]],TAB_ENTRADA[[Cod_2_Entrada]:[TOTAL_ENTRADA]],5,FALSE)-VLOOKUP(TAB_ESTOQUE[[#This Row],[Codigo]],TAB_SAIDA[[COD_2_SAIDA]:[TOTAL_SAIDA]],5,FALSE)</f>
        <v>4</v>
      </c>
      <c r="R1245" s="87"/>
      <c r="S1245" s="87"/>
      <c r="T1245" s="90">
        <v>189</v>
      </c>
      <c r="U1245" s="91">
        <f>TAB_ESTOQUE[[#This Row],[Valor Unitario Estimado]]*TAB_ESTOQUE[[#This Row],[Estoque]]</f>
        <v>756</v>
      </c>
      <c r="V1245" s="91"/>
      <c r="W1245" s="85"/>
      <c r="X1245" s="85"/>
      <c r="Y1245" s="85"/>
      <c r="Z1245" s="85"/>
      <c r="AA1245" s="85"/>
      <c r="AB1245" s="96" t="str">
        <f>IF(TAB_ESTOQUE[[#This Row],[Estoque]]=0,"Estoque Não Conforme",IF(TAB_ESTOQUE[[#This Row],[Estoque]]&gt;=TAB_ESTOQUE[[#This Row],[Mínimo]],"Estoque Conforme",IF(TAB_ESTOQUE[[#This Row],[Estoque]]&lt;TAB_ESTOQUE[[#This Row],[Mínimo]],"Estoque em Nivel Minimo")))</f>
        <v>Estoque Conforme</v>
      </c>
      <c r="AC1245" s="96"/>
      <c r="AD1245" s="82"/>
    </row>
    <row r="1246" spans="1:30" ht="15" customHeight="1" x14ac:dyDescent="0.25">
      <c r="B1246" s="47"/>
      <c r="C1246" s="46"/>
      <c r="D1246" s="45" t="s">
        <v>2678</v>
      </c>
      <c r="E1246" s="46" t="s">
        <v>1623</v>
      </c>
      <c r="F1246" s="87"/>
      <c r="G1246" s="82"/>
      <c r="H1246" s="82"/>
      <c r="I1246" s="82" t="s">
        <v>1401</v>
      </c>
      <c r="J1246" s="82"/>
      <c r="K1246" s="82" t="s">
        <v>1278</v>
      </c>
      <c r="L1246" s="82"/>
      <c r="M1246" s="82"/>
      <c r="N1246" s="82"/>
      <c r="O1246" s="87" t="s">
        <v>6618</v>
      </c>
      <c r="P1246" s="82" t="s">
        <v>1280</v>
      </c>
      <c r="Q1246" s="83">
        <f>VLOOKUP(TAB_ESTOQUE[[#This Row],[Codigo]],TAB_ENTRADA[[Cod_2_Entrada]:[TOTAL_ENTRADA]],5,FALSE)-VLOOKUP(TAB_ESTOQUE[[#This Row],[Codigo]],TAB_SAIDA[[COD_2_SAIDA]:[TOTAL_SAIDA]],5,FALSE)</f>
        <v>85</v>
      </c>
      <c r="R1246" s="87"/>
      <c r="S1246" s="87"/>
      <c r="T1246" s="90">
        <v>9.7183333333333337</v>
      </c>
      <c r="U1246" s="91">
        <f>TAB_ESTOQUE[[#This Row],[Valor Unitario Estimado]]*TAB_ESTOQUE[[#This Row],[Estoque]]</f>
        <v>826.05833333333339</v>
      </c>
      <c r="V1246" s="91"/>
      <c r="W1246" s="85"/>
      <c r="X1246" s="85"/>
      <c r="Y1246" s="85"/>
      <c r="Z1246" s="85"/>
      <c r="AA1246" s="85"/>
      <c r="AB1246" s="96" t="str">
        <f>IF(TAB_ESTOQUE[[#This Row],[Estoque]]=0,"Estoque Não Conforme",IF(TAB_ESTOQUE[[#This Row],[Estoque]]&gt;=TAB_ESTOQUE[[#This Row],[Mínimo]],"Estoque Conforme",IF(TAB_ESTOQUE[[#This Row],[Estoque]]&lt;TAB_ESTOQUE[[#This Row],[Mínimo]],"Estoque em Nivel Minimo")))</f>
        <v>Estoque Conforme</v>
      </c>
      <c r="AC1246" s="85"/>
      <c r="AD1246" s="82"/>
    </row>
    <row r="1247" spans="1:30" ht="15" customHeight="1" x14ac:dyDescent="0.25">
      <c r="A1247" s="106"/>
      <c r="B1247" s="106"/>
      <c r="C1247" s="106"/>
      <c r="D1247" s="106" t="s">
        <v>6415</v>
      </c>
      <c r="E1247" s="116"/>
      <c r="F1247" s="118"/>
      <c r="G1247" s="95"/>
      <c r="H1247" s="95"/>
      <c r="I1247" s="95" t="s">
        <v>6899</v>
      </c>
      <c r="J1247" s="95"/>
      <c r="K1247" s="95"/>
      <c r="L1247" s="95"/>
      <c r="M1247" s="95"/>
      <c r="N1247" s="95"/>
      <c r="O1247" s="118" t="s">
        <v>6618</v>
      </c>
      <c r="P1247" s="95"/>
      <c r="Q1247" s="154">
        <f>VLOOKUP(TAB_ESTOQUE[[#This Row],[Codigo]],TAB_ENTRADA[[Cod_2_Entrada]:[TOTAL_ENTRADA]],5,FALSE)-VLOOKUP(TAB_ESTOQUE[[#This Row],[Codigo]],TAB_SAIDA[[COD_2_SAIDA]:[TOTAL_SAIDA]],5,FALSE)</f>
        <v>200</v>
      </c>
      <c r="R1247" s="118"/>
      <c r="S1247" s="118"/>
      <c r="T1247" s="119"/>
      <c r="U1247" s="112">
        <f>TAB_ESTOQUE[[#This Row],[Valor Unitario Estimado]]*TAB_ESTOQUE[[#This Row],[Estoque]]</f>
        <v>0</v>
      </c>
      <c r="V1247" s="112"/>
      <c r="W1247" s="120"/>
      <c r="X1247" s="120"/>
      <c r="Y1247" s="120"/>
      <c r="Z1247" s="120"/>
      <c r="AA1247" s="120"/>
      <c r="AB1247" s="120" t="str">
        <f>IF(TAB_ESTOQUE[[#This Row],[Estoque]]=0,"Estoque Não Conforme",IF(TAB_ESTOQUE[[#This Row],[Estoque]]&gt;=TAB_ESTOQUE[[#This Row],[Mínimo]],"Estoque Conforme",IF(TAB_ESTOQUE[[#This Row],[Estoque]]&lt;TAB_ESTOQUE[[#This Row],[Mínimo]],"Estoque em Nivel Minimo")))</f>
        <v>Estoque Conforme</v>
      </c>
      <c r="AC1247" s="160"/>
      <c r="AD1247" s="95"/>
    </row>
    <row r="1248" spans="1:30" ht="15" customHeight="1" x14ac:dyDescent="0.25">
      <c r="A1248" s="106">
        <v>178</v>
      </c>
      <c r="B1248" s="106"/>
      <c r="C1248" s="116" t="s">
        <v>2833</v>
      </c>
      <c r="D1248" s="106" t="s">
        <v>1899</v>
      </c>
      <c r="E1248" s="116" t="s">
        <v>7</v>
      </c>
      <c r="F1248" s="118"/>
      <c r="G1248" s="95"/>
      <c r="H1248" s="95"/>
      <c r="I1248" s="95" t="s">
        <v>2847</v>
      </c>
      <c r="J1248" s="95"/>
      <c r="K1248" s="95" t="s">
        <v>15</v>
      </c>
      <c r="L1248" s="95"/>
      <c r="M1248" s="95"/>
      <c r="N1248" s="95"/>
      <c r="O1248" s="118" t="s">
        <v>6555</v>
      </c>
      <c r="P1248" s="95" t="s">
        <v>125</v>
      </c>
      <c r="Q1248" s="154">
        <f>VLOOKUP(TAB_ESTOQUE[[#This Row],[Codigo]],TAB_ENTRADA[[Cod_2_Entrada]:[TOTAL_ENTRADA]],5,FALSE)-VLOOKUP(TAB_ESTOQUE[[#This Row],[Codigo]],TAB_SAIDA[[COD_2_SAIDA]:[TOTAL_SAIDA]],5,FALSE)</f>
        <v>2</v>
      </c>
      <c r="R1248" s="118"/>
      <c r="S1248" s="118"/>
      <c r="T1248" s="119"/>
      <c r="U1248" s="112">
        <f>TAB_ESTOQUE[[#This Row],[Valor Unitario Estimado]]*TAB_ESTOQUE[[#This Row],[Estoque]]</f>
        <v>0</v>
      </c>
      <c r="V1248" s="112"/>
      <c r="W1248" s="120"/>
      <c r="X1248" s="120"/>
      <c r="Y1248" s="120"/>
      <c r="Z1248" s="120"/>
      <c r="AA1248" s="120"/>
      <c r="AB1248" s="120" t="str">
        <f>IF(TAB_ESTOQUE[[#This Row],[Estoque]]=0,"Estoque Não Conforme",IF(TAB_ESTOQUE[[#This Row],[Estoque]]&gt;=TAB_ESTOQUE[[#This Row],[Mínimo]],"Estoque Conforme",IF(TAB_ESTOQUE[[#This Row],[Estoque]]&lt;TAB_ESTOQUE[[#This Row],[Mínimo]],"Estoque em Nivel Minimo")))</f>
        <v>Estoque Conforme</v>
      </c>
      <c r="AC1248" s="120"/>
      <c r="AD1248" s="95"/>
    </row>
    <row r="1249" spans="1:30" ht="15" customHeight="1" x14ac:dyDescent="0.25">
      <c r="A1249" s="45">
        <v>743</v>
      </c>
      <c r="B1249" s="47"/>
      <c r="C1249" s="46" t="s">
        <v>2838</v>
      </c>
      <c r="D1249" s="45" t="s">
        <v>2503</v>
      </c>
      <c r="E1249" s="46" t="s">
        <v>116</v>
      </c>
      <c r="F1249" s="87"/>
      <c r="G1249" s="82"/>
      <c r="H1249" s="82"/>
      <c r="I1249" s="82" t="s">
        <v>3087</v>
      </c>
      <c r="J1249" s="82"/>
      <c r="K1249" s="82"/>
      <c r="L1249" s="82"/>
      <c r="M1249" s="82"/>
      <c r="N1249" s="82"/>
      <c r="O1249" s="87" t="s">
        <v>6555</v>
      </c>
      <c r="P1249" s="82" t="s">
        <v>534</v>
      </c>
      <c r="Q1249" s="83">
        <f>VLOOKUP(TAB_ESTOQUE[[#This Row],[Codigo]],TAB_ENTRADA[[Cod_2_Entrada]:[TOTAL_ENTRADA]],5,FALSE)-VLOOKUP(TAB_ESTOQUE[[#This Row],[Codigo]],TAB_SAIDA[[COD_2_SAIDA]:[TOTAL_SAIDA]],5,FALSE)</f>
        <v>0</v>
      </c>
      <c r="R1249" s="87"/>
      <c r="S1249" s="87"/>
      <c r="T1249" s="90"/>
      <c r="U1249" s="91">
        <f>TAB_ESTOQUE[[#This Row],[Valor Unitario Estimado]]*TAB_ESTOQUE[[#This Row],[Estoque]]</f>
        <v>0</v>
      </c>
      <c r="V1249" s="91"/>
      <c r="W1249" s="85"/>
      <c r="X1249" s="85"/>
      <c r="Y1249" s="85"/>
      <c r="Z1249" s="85"/>
      <c r="AA1249" s="85"/>
      <c r="AB1249" s="85" t="str">
        <f>IF(TAB_ESTOQUE[[#This Row],[Estoque]]=0,"Estoque Não Conforme",IF(TAB_ESTOQUE[[#This Row],[Estoque]]&gt;=TAB_ESTOQUE[[#This Row],[Mínimo]],"Estoque Conforme",IF(TAB_ESTOQUE[[#This Row],[Estoque]]&lt;TAB_ESTOQUE[[#This Row],[Mínimo]],"Estoque em Nivel Minimo")))</f>
        <v>Estoque Não Conforme</v>
      </c>
      <c r="AC1249" s="85"/>
      <c r="AD1249" s="82"/>
    </row>
    <row r="1250" spans="1:30" ht="15" customHeight="1" x14ac:dyDescent="0.25">
      <c r="A1250" s="45">
        <v>1110</v>
      </c>
      <c r="B1250" s="47"/>
      <c r="C1250" s="46"/>
      <c r="D1250" s="45" t="s">
        <v>2594</v>
      </c>
      <c r="E1250" s="46"/>
      <c r="F1250" s="87"/>
      <c r="G1250" s="82"/>
      <c r="H1250" s="82"/>
      <c r="I1250" s="82" t="s">
        <v>7542</v>
      </c>
      <c r="J1250" s="82"/>
      <c r="K1250" s="82"/>
      <c r="L1250" s="82"/>
      <c r="M1250" s="82"/>
      <c r="N1250" s="82"/>
      <c r="O1250" s="87" t="s">
        <v>6555</v>
      </c>
      <c r="P1250" s="82" t="s">
        <v>840</v>
      </c>
      <c r="Q1250" s="83">
        <f>VLOOKUP(TAB_ESTOQUE[[#This Row],[Codigo]],TAB_ENTRADA[[Cod_2_Entrada]:[TOTAL_ENTRADA]],5,FALSE)-VLOOKUP(TAB_ESTOQUE[[#This Row],[Codigo]],TAB_SAIDA[[COD_2_SAIDA]:[TOTAL_SAIDA]],5,FALSE)</f>
        <v>0</v>
      </c>
      <c r="R1250" s="87"/>
      <c r="S1250" s="87"/>
      <c r="T1250" s="90"/>
      <c r="U1250" s="91">
        <f>TAB_ESTOQUE[[#This Row],[Valor Unitario Estimado]]*TAB_ESTOQUE[[#This Row],[Estoque]]</f>
        <v>0</v>
      </c>
      <c r="V1250" s="91"/>
      <c r="W1250" s="85"/>
      <c r="X1250" s="85"/>
      <c r="Y1250" s="85"/>
      <c r="Z1250" s="85"/>
      <c r="AA1250" s="85"/>
      <c r="AB1250" s="85" t="str">
        <f>IF(TAB_ESTOQUE[[#This Row],[Estoque]]=0,"Estoque Não Conforme",IF(TAB_ESTOQUE[[#This Row],[Estoque]]&gt;=TAB_ESTOQUE[[#This Row],[Mínimo]],"Estoque Conforme",IF(TAB_ESTOQUE[[#This Row],[Estoque]]&lt;TAB_ESTOQUE[[#This Row],[Mínimo]],"Estoque em Nivel Minimo")))</f>
        <v>Estoque Não Conforme</v>
      </c>
      <c r="AC1250" s="85"/>
      <c r="AD1250" s="82"/>
    </row>
    <row r="1251" spans="1:30" ht="15" customHeight="1" x14ac:dyDescent="0.25">
      <c r="A1251" s="113">
        <v>957</v>
      </c>
      <c r="B1251" s="113"/>
      <c r="C1251" s="114"/>
      <c r="D1251" s="47" t="s">
        <v>2598</v>
      </c>
      <c r="E1251" s="51"/>
      <c r="F1251" s="107"/>
      <c r="G1251" s="94"/>
      <c r="H1251" s="94"/>
      <c r="I1251" s="94" t="s">
        <v>1180</v>
      </c>
      <c r="J1251" s="115"/>
      <c r="K1251" s="94"/>
      <c r="L1251" s="94"/>
      <c r="M1251" s="94"/>
      <c r="N1251" s="94"/>
      <c r="O1251" s="107" t="s">
        <v>6555</v>
      </c>
      <c r="P1251" s="94" t="s">
        <v>741</v>
      </c>
      <c r="Q1251" s="145">
        <f>VLOOKUP(TAB_ESTOQUE[[#This Row],[Codigo]],TAB_ENTRADA[[Cod_2_Entrada]:[TOTAL_ENTRADA]],5,FALSE)-VLOOKUP(TAB_ESTOQUE[[#This Row],[Codigo]],TAB_SAIDA[[COD_2_SAIDA]:[TOTAL_SAIDA]],5,FALSE)</f>
        <v>2</v>
      </c>
      <c r="R1251" s="107"/>
      <c r="S1251" s="107"/>
      <c r="T1251" s="108"/>
      <c r="U1251" s="109">
        <f>TAB_ESTOQUE[[#This Row],[Valor Unitario Estimado]]*TAB_ESTOQUE[[#This Row],[Estoque]]</f>
        <v>0</v>
      </c>
      <c r="V1251" s="109"/>
      <c r="W1251" s="110"/>
      <c r="X1251" s="110"/>
      <c r="Y1251" s="110"/>
      <c r="Z1251" s="110"/>
      <c r="AA1251" s="110"/>
      <c r="AB1251" s="110" t="str">
        <f>IF(TAB_ESTOQUE[[#This Row],[Estoque]]=0,"Estoque Não Conforme",IF(TAB_ESTOQUE[[#This Row],[Estoque]]&gt;=TAB_ESTOQUE[[#This Row],[Mínimo]],"Estoque Conforme",IF(TAB_ESTOQUE[[#This Row],[Estoque]]&lt;TAB_ESTOQUE[[#This Row],[Mínimo]],"Estoque em Nivel Minimo")))</f>
        <v>Estoque Conforme</v>
      </c>
      <c r="AC1251" s="110"/>
      <c r="AD1251" s="94"/>
    </row>
    <row r="1252" spans="1:30" ht="15" customHeight="1" x14ac:dyDescent="0.25">
      <c r="A1252" s="45">
        <v>1148</v>
      </c>
      <c r="B1252" s="47"/>
      <c r="C1252" s="46" t="s">
        <v>2833</v>
      </c>
      <c r="D1252" s="45" t="s">
        <v>2504</v>
      </c>
      <c r="E1252" s="46" t="s">
        <v>116</v>
      </c>
      <c r="F1252" s="87"/>
      <c r="G1252" s="82"/>
      <c r="H1252" s="82"/>
      <c r="I1252" s="82" t="s">
        <v>6633</v>
      </c>
      <c r="J1252" s="82"/>
      <c r="K1252" s="82"/>
      <c r="L1252" s="82"/>
      <c r="M1252" s="82"/>
      <c r="N1252" s="82"/>
      <c r="O1252" s="87" t="s">
        <v>6634</v>
      </c>
      <c r="P1252" s="82" t="s">
        <v>872</v>
      </c>
      <c r="Q1252" s="83">
        <f>VLOOKUP(TAB_ESTOQUE[[#This Row],[Codigo]],TAB_ENTRADA[[Cod_2_Entrada]:[TOTAL_ENTRADA]],5,FALSE)-VLOOKUP(TAB_ESTOQUE[[#This Row],[Codigo]],TAB_SAIDA[[COD_2_SAIDA]:[TOTAL_SAIDA]],5,FALSE)</f>
        <v>0</v>
      </c>
      <c r="R1252" s="87"/>
      <c r="S1252" s="87"/>
      <c r="T1252" s="90">
        <v>2621.5</v>
      </c>
      <c r="U1252" s="91">
        <f>TAB_ESTOQUE[[#This Row],[Valor Unitario Estimado]]*TAB_ESTOQUE[[#This Row],[Estoque]]</f>
        <v>0</v>
      </c>
      <c r="V1252" s="91"/>
      <c r="W1252" s="85"/>
      <c r="X1252" s="85"/>
      <c r="Y1252" s="85"/>
      <c r="Z1252" s="85"/>
      <c r="AA1252" s="85"/>
      <c r="AB1252" s="85" t="str">
        <f>IF(TAB_ESTOQUE[[#This Row],[Estoque]]=0,"Estoque Não Conforme",IF(TAB_ESTOQUE[[#This Row],[Estoque]]&gt;=TAB_ESTOQUE[[#This Row],[Mínimo]],"Estoque Conforme",IF(TAB_ESTOQUE[[#This Row],[Estoque]]&lt;TAB_ESTOQUE[[#This Row],[Mínimo]],"Estoque em Nivel Minimo")))</f>
        <v>Estoque Não Conforme</v>
      </c>
      <c r="AC1252" s="85"/>
      <c r="AD1252" s="82"/>
    </row>
    <row r="1253" spans="1:30" ht="15" customHeight="1" x14ac:dyDescent="0.25">
      <c r="C1253" s="48"/>
      <c r="D1253" s="45" t="s">
        <v>7736</v>
      </c>
      <c r="E1253" s="46"/>
      <c r="F1253" s="46"/>
      <c r="I1253" s="45" t="s">
        <v>639</v>
      </c>
      <c r="O1253" s="46" t="s">
        <v>8772</v>
      </c>
      <c r="Q1253" s="137">
        <f>VLOOKUP(TAB_ESTOQUE[[#This Row],[Codigo]],TAB_ENTRADA[[Cod_2_Entrada]:[TOTAL_ENTRADA]],5,FALSE)-VLOOKUP(TAB_ESTOQUE[[#This Row],[Codigo]],TAB_SAIDA[[COD_2_SAIDA]:[TOTAL_SAIDA]],5,FALSE)</f>
        <v>3</v>
      </c>
      <c r="S1253" s="46"/>
      <c r="T1253" s="102"/>
      <c r="U1253" s="103">
        <f>TAB_ESTOQUE[[#This Row],[Valor Unitario Estimado]]*TAB_ESTOQUE[[#This Row],[Estoque]]</f>
        <v>0</v>
      </c>
      <c r="V1253" s="103"/>
      <c r="AA1253" s="138"/>
      <c r="AB1253" s="104" t="str">
        <f>IF(TAB_ESTOQUE[[#This Row],[Estoque]]=0,"Estoque Não Conforme",IF(TAB_ESTOQUE[[#This Row],[Estoque]]&gt;=TAB_ESTOQUE[[#This Row],[Mínimo]],"Estoque Conforme",IF(TAB_ESTOQUE[[#This Row],[Estoque]]&lt;TAB_ESTOQUE[[#This Row],[Mínimo]],"Estoque em Nivel Minimo")))</f>
        <v>Estoque Conforme</v>
      </c>
      <c r="AC1253" s="104"/>
    </row>
    <row r="1254" spans="1:30" ht="15" customHeight="1" x14ac:dyDescent="0.25">
      <c r="A1254" s="45">
        <v>783</v>
      </c>
      <c r="B1254" s="47"/>
      <c r="C1254" s="46"/>
      <c r="D1254" s="45" t="s">
        <v>2437</v>
      </c>
      <c r="E1254" s="46" t="s">
        <v>1231</v>
      </c>
      <c r="F1254" s="87"/>
      <c r="G1254" s="82"/>
      <c r="H1254" s="82"/>
      <c r="I1254" s="82" t="s">
        <v>8627</v>
      </c>
      <c r="J1254" s="82"/>
      <c r="K1254" s="82"/>
      <c r="L1254" s="82"/>
      <c r="M1254" s="82"/>
      <c r="N1254" s="82"/>
      <c r="O1254" s="87" t="s">
        <v>6557</v>
      </c>
      <c r="P1254" s="82" t="s">
        <v>568</v>
      </c>
      <c r="Q1254" s="83">
        <f>VLOOKUP(TAB_ESTOQUE[[#This Row],[Codigo]],TAB_ENTRADA[[Cod_2_Entrada]:[TOTAL_ENTRADA]],5,FALSE)-VLOOKUP(TAB_ESTOQUE[[#This Row],[Codigo]],TAB_SAIDA[[COD_2_SAIDA]:[TOTAL_SAIDA]],5,FALSE)</f>
        <v>1</v>
      </c>
      <c r="R1254" s="87"/>
      <c r="S1254" s="87"/>
      <c r="T1254" s="90"/>
      <c r="U1254" s="91">
        <f>TAB_ESTOQUE[[#This Row],[Valor Unitario Estimado]]*TAB_ESTOQUE[[#This Row],[Estoque]]</f>
        <v>0</v>
      </c>
      <c r="V1254" s="91"/>
      <c r="W1254" s="85"/>
      <c r="X1254" s="85"/>
      <c r="Y1254" s="85"/>
      <c r="Z1254" s="85"/>
      <c r="AA1254" s="85"/>
      <c r="AB1254" s="85" t="str">
        <f>IF(TAB_ESTOQUE[[#This Row],[Estoque]]=0,"Estoque Não Conforme",IF(TAB_ESTOQUE[[#This Row],[Estoque]]&gt;=TAB_ESTOQUE[[#This Row],[Mínimo]],"Estoque Conforme",IF(TAB_ESTOQUE[[#This Row],[Estoque]]&lt;TAB_ESTOQUE[[#This Row],[Mínimo]],"Estoque em Nivel Minimo")))</f>
        <v>Estoque Conforme</v>
      </c>
      <c r="AC1254" s="85"/>
      <c r="AD1254" s="82"/>
    </row>
    <row r="1255" spans="1:30" ht="15" customHeight="1" x14ac:dyDescent="0.25">
      <c r="A1255" s="45">
        <v>532</v>
      </c>
      <c r="B1255" s="47"/>
      <c r="C1255" s="46" t="s">
        <v>2838</v>
      </c>
      <c r="D1255" s="45" t="s">
        <v>2105</v>
      </c>
      <c r="E1255" s="46" t="s">
        <v>7431</v>
      </c>
      <c r="F1255" s="87"/>
      <c r="G1255" s="82"/>
      <c r="H1255" s="82"/>
      <c r="I1255" s="82" t="s">
        <v>3006</v>
      </c>
      <c r="J1255" s="82"/>
      <c r="K1255" s="82"/>
      <c r="L1255" s="82"/>
      <c r="M1255" s="82"/>
      <c r="N1255" s="82"/>
      <c r="O1255" s="87" t="s">
        <v>6526</v>
      </c>
      <c r="P1255" s="82" t="s">
        <v>306</v>
      </c>
      <c r="Q1255" s="83">
        <f>VLOOKUP(TAB_ESTOQUE[[#This Row],[Codigo]],TAB_ENTRADA[[Cod_2_Entrada]:[TOTAL_ENTRADA]],5,FALSE)-VLOOKUP(TAB_ESTOQUE[[#This Row],[Codigo]],TAB_SAIDA[[COD_2_SAIDA]:[TOTAL_SAIDA]],5,FALSE)</f>
        <v>4</v>
      </c>
      <c r="R1255" s="87"/>
      <c r="S1255" s="87"/>
      <c r="T1255" s="90"/>
      <c r="U1255" s="91">
        <f>TAB_ESTOQUE[[#This Row],[Valor Unitario Estimado]]*TAB_ESTOQUE[[#This Row],[Estoque]]</f>
        <v>0</v>
      </c>
      <c r="V1255" s="91"/>
      <c r="W1255" s="85"/>
      <c r="X1255" s="85"/>
      <c r="Y1255" s="85"/>
      <c r="Z1255" s="85"/>
      <c r="AA1255" s="85"/>
      <c r="AB1255" s="85" t="str">
        <f>IF(TAB_ESTOQUE[[#This Row],[Estoque]]=0,"Estoque Não Conforme",IF(TAB_ESTOQUE[[#This Row],[Estoque]]&gt;=TAB_ESTOQUE[[#This Row],[Mínimo]],"Estoque Conforme",IF(TAB_ESTOQUE[[#This Row],[Estoque]]&lt;TAB_ESTOQUE[[#This Row],[Mínimo]],"Estoque em Nivel Minimo")))</f>
        <v>Estoque Conforme</v>
      </c>
      <c r="AC1255" s="85"/>
      <c r="AD1255" s="82"/>
    </row>
    <row r="1256" spans="1:30" ht="15" customHeight="1" x14ac:dyDescent="0.25">
      <c r="C1256" s="48"/>
      <c r="D1256" s="45" t="s">
        <v>7743</v>
      </c>
      <c r="E1256" s="46" t="s">
        <v>6826</v>
      </c>
      <c r="F1256" s="46"/>
      <c r="I1256" s="45" t="s">
        <v>8816</v>
      </c>
      <c r="O1256" s="46" t="s">
        <v>6526</v>
      </c>
      <c r="Q1256" s="137">
        <f>VLOOKUP(TAB_ESTOQUE[[#This Row],[Codigo]],TAB_ENTRADA[[Cod_2_Entrada]:[TOTAL_ENTRADA]],5,FALSE)-VLOOKUP(TAB_ESTOQUE[[#This Row],[Codigo]],TAB_SAIDA[[COD_2_SAIDA]:[TOTAL_SAIDA]],5,FALSE)</f>
        <v>5</v>
      </c>
      <c r="S1256" s="46"/>
      <c r="T1256" s="102">
        <v>67</v>
      </c>
      <c r="U1256" s="103">
        <f>TAB_ESTOQUE[[#This Row],[Valor Unitario Estimado]]*TAB_ESTOQUE[[#This Row],[Estoque]]</f>
        <v>335</v>
      </c>
      <c r="V1256" s="103"/>
      <c r="AA1256" s="138"/>
      <c r="AB1256" s="104" t="str">
        <f>IF(TAB_ESTOQUE[[#This Row],[Estoque]]=0,"Estoque Não Conforme",IF(TAB_ESTOQUE[[#This Row],[Estoque]]&gt;=TAB_ESTOQUE[[#This Row],[Mínimo]],"Estoque Conforme",IF(TAB_ESTOQUE[[#This Row],[Estoque]]&lt;TAB_ESTOQUE[[#This Row],[Mínimo]],"Estoque em Nivel Minimo")))</f>
        <v>Estoque Conforme</v>
      </c>
      <c r="AC1256" s="104"/>
    </row>
    <row r="1257" spans="1:30" ht="15" customHeight="1" x14ac:dyDescent="0.25">
      <c r="B1257" s="47"/>
      <c r="C1257" s="53" t="s">
        <v>2842</v>
      </c>
      <c r="D1257" s="45" t="s">
        <v>1677</v>
      </c>
      <c r="E1257" s="46"/>
      <c r="F1257" s="87"/>
      <c r="G1257" s="82"/>
      <c r="H1257" s="82"/>
      <c r="I1257" s="82" t="s">
        <v>6543</v>
      </c>
      <c r="J1257" s="82"/>
      <c r="K1257" s="82"/>
      <c r="L1257" s="82"/>
      <c r="M1257" s="82"/>
      <c r="N1257" s="82"/>
      <c r="O1257" s="87" t="s">
        <v>6282</v>
      </c>
      <c r="P1257" s="82"/>
      <c r="Q1257" s="83">
        <f>VLOOKUP(TAB_ESTOQUE[[#This Row],[Codigo]],TAB_ENTRADA[[Cod_2_Entrada]:[TOTAL_ENTRADA]],5,FALSE)-VLOOKUP(TAB_ESTOQUE[[#This Row],[Codigo]],TAB_SAIDA[[COD_2_SAIDA]:[TOTAL_SAIDA]],5,FALSE)</f>
        <v>1.5</v>
      </c>
      <c r="R1257" s="87"/>
      <c r="S1257" s="87"/>
      <c r="T1257" s="90">
        <v>35</v>
      </c>
      <c r="U1257" s="91">
        <f>TAB_ESTOQUE[[#This Row],[Valor Unitario Estimado]]*TAB_ESTOQUE[[#This Row],[Estoque]]</f>
        <v>52.5</v>
      </c>
      <c r="V1257" s="91"/>
      <c r="W1257" s="85"/>
      <c r="X1257" s="85"/>
      <c r="Y1257" s="85"/>
      <c r="Z1257" s="85"/>
      <c r="AA1257" s="85"/>
      <c r="AB1257" s="96" t="str">
        <f>IF(TAB_ESTOQUE[[#This Row],[Estoque]]=0,"Estoque Não Conforme",IF(TAB_ESTOQUE[[#This Row],[Estoque]]&gt;=TAB_ESTOQUE[[#This Row],[Mínimo]],"Estoque Conforme",IF(TAB_ESTOQUE[[#This Row],[Estoque]]&lt;TAB_ESTOQUE[[#This Row],[Mínimo]],"Estoque em Nivel Minimo")))</f>
        <v>Estoque Conforme</v>
      </c>
      <c r="AC1257" s="96"/>
      <c r="AD1257" s="82"/>
    </row>
    <row r="1258" spans="1:30" ht="15" customHeight="1" x14ac:dyDescent="0.25">
      <c r="A1258" s="45">
        <v>918</v>
      </c>
      <c r="B1258" s="47"/>
      <c r="C1258" s="46" t="s">
        <v>2842</v>
      </c>
      <c r="D1258" s="45" t="s">
        <v>1730</v>
      </c>
      <c r="E1258" s="46" t="s">
        <v>7</v>
      </c>
      <c r="F1258" s="87"/>
      <c r="G1258" s="82"/>
      <c r="H1258" s="82"/>
      <c r="I1258" s="82" t="s">
        <v>2782</v>
      </c>
      <c r="J1258" s="82"/>
      <c r="K1258" s="82"/>
      <c r="L1258" s="82"/>
      <c r="M1258" s="82"/>
      <c r="N1258" s="82"/>
      <c r="O1258" s="87" t="s">
        <v>6282</v>
      </c>
      <c r="P1258" s="82" t="s">
        <v>703</v>
      </c>
      <c r="Q1258" s="83">
        <f>VLOOKUP(TAB_ESTOQUE[[#This Row],[Codigo]],TAB_ENTRADA[[Cod_2_Entrada]:[TOTAL_ENTRADA]],5,FALSE)-VLOOKUP(TAB_ESTOQUE[[#This Row],[Codigo]],TAB_SAIDA[[COD_2_SAIDA]:[TOTAL_SAIDA]],5,FALSE)</f>
        <v>0</v>
      </c>
      <c r="R1258" s="87"/>
      <c r="S1258" s="87"/>
      <c r="T1258" s="90">
        <v>125</v>
      </c>
      <c r="U1258" s="91">
        <f>TAB_ESTOQUE[[#This Row],[Valor Unitario Estimado]]*TAB_ESTOQUE[[#This Row],[Estoque]]</f>
        <v>0</v>
      </c>
      <c r="V1258" s="91"/>
      <c r="W1258" s="85"/>
      <c r="X1258" s="85"/>
      <c r="Y1258" s="85"/>
      <c r="Z1258" s="85"/>
      <c r="AA1258" s="85"/>
      <c r="AB1258" s="85" t="str">
        <f>IF(TAB_ESTOQUE[[#This Row],[Estoque]]=0,"Estoque Não Conforme",IF(TAB_ESTOQUE[[#This Row],[Estoque]]&gt;=TAB_ESTOQUE[[#This Row],[Mínimo]],"Estoque Conforme",IF(TAB_ESTOQUE[[#This Row],[Estoque]]&lt;TAB_ESTOQUE[[#This Row],[Mínimo]],"Estoque em Nivel Minimo")))</f>
        <v>Estoque Não Conforme</v>
      </c>
      <c r="AC1258" s="85"/>
      <c r="AD1258" s="82"/>
    </row>
    <row r="1259" spans="1:30" ht="15" customHeight="1" x14ac:dyDescent="0.25">
      <c r="B1259" s="47"/>
      <c r="C1259" s="48"/>
      <c r="D1259" s="45" t="s">
        <v>6262</v>
      </c>
      <c r="E1259" s="46"/>
      <c r="F1259" s="87"/>
      <c r="G1259" s="82"/>
      <c r="H1259" s="82"/>
      <c r="I1259" s="82" t="s">
        <v>8693</v>
      </c>
      <c r="J1259" s="82"/>
      <c r="K1259" s="82"/>
      <c r="L1259" s="82"/>
      <c r="M1259" s="82"/>
      <c r="N1259" s="82"/>
      <c r="O1259" s="87" t="s">
        <v>6282</v>
      </c>
      <c r="P1259" s="82"/>
      <c r="Q1259" s="83">
        <f>VLOOKUP(TAB_ESTOQUE[[#This Row],[Codigo]],TAB_ENTRADA[[Cod_2_Entrada]:[TOTAL_ENTRADA]],5,FALSE)-VLOOKUP(TAB_ESTOQUE[[#This Row],[Codigo]],TAB_SAIDA[[COD_2_SAIDA]:[TOTAL_SAIDA]],5,FALSE)</f>
        <v>1</v>
      </c>
      <c r="R1259" s="87"/>
      <c r="S1259" s="87"/>
      <c r="T1259" s="90">
        <v>65.38</v>
      </c>
      <c r="U1259" s="91">
        <f>TAB_ESTOQUE[[#This Row],[Valor Unitario Estimado]]*TAB_ESTOQUE[[#This Row],[Estoque]]</f>
        <v>65.38</v>
      </c>
      <c r="V1259" s="91"/>
      <c r="W1259" s="85"/>
      <c r="X1259" s="85"/>
      <c r="Y1259" s="85"/>
      <c r="Z1259" s="85"/>
      <c r="AA1259" s="85"/>
      <c r="AB1259" s="85" t="str">
        <f>IF(TAB_ESTOQUE[[#This Row],[Estoque]]=0,"Estoque Não Conforme",IF(TAB_ESTOQUE[[#This Row],[Estoque]]&gt;=TAB_ESTOQUE[[#This Row],[Mínimo]],"Estoque Conforme",IF(TAB_ESTOQUE[[#This Row],[Estoque]]&lt;TAB_ESTOQUE[[#This Row],[Mínimo]],"Estoque em Nivel Minimo")))</f>
        <v>Estoque Conforme</v>
      </c>
      <c r="AC1259" s="96"/>
      <c r="AD1259" s="82"/>
    </row>
    <row r="1260" spans="1:30" ht="15" customHeight="1" x14ac:dyDescent="0.25">
      <c r="B1260" s="47"/>
      <c r="C1260" s="48"/>
      <c r="D1260" s="45" t="s">
        <v>6263</v>
      </c>
      <c r="E1260" s="46"/>
      <c r="F1260" s="87"/>
      <c r="G1260" s="82"/>
      <c r="H1260" s="82"/>
      <c r="I1260" s="82" t="s">
        <v>8694</v>
      </c>
      <c r="J1260" s="82"/>
      <c r="K1260" s="82"/>
      <c r="L1260" s="82"/>
      <c r="M1260" s="82"/>
      <c r="N1260" s="82"/>
      <c r="O1260" s="87" t="s">
        <v>6282</v>
      </c>
      <c r="P1260" s="82"/>
      <c r="Q1260" s="83">
        <f>VLOOKUP(TAB_ESTOQUE[[#This Row],[Codigo]],TAB_ENTRADA[[Cod_2_Entrada]:[TOTAL_ENTRADA]],5,FALSE)-VLOOKUP(TAB_ESTOQUE[[#This Row],[Codigo]],TAB_SAIDA[[COD_2_SAIDA]:[TOTAL_SAIDA]],5,FALSE)</f>
        <v>5</v>
      </c>
      <c r="R1260" s="87"/>
      <c r="S1260" s="87"/>
      <c r="T1260" s="90">
        <v>113.02</v>
      </c>
      <c r="U1260" s="91">
        <f>TAB_ESTOQUE[[#This Row],[Valor Unitario Estimado]]*TAB_ESTOQUE[[#This Row],[Estoque]]</f>
        <v>565.1</v>
      </c>
      <c r="V1260" s="91"/>
      <c r="W1260" s="85"/>
      <c r="X1260" s="85"/>
      <c r="Y1260" s="85"/>
      <c r="Z1260" s="85"/>
      <c r="AA1260" s="85"/>
      <c r="AB1260" s="85" t="str">
        <f>IF(TAB_ESTOQUE[[#This Row],[Estoque]]=0,"Estoque Não Conforme",IF(TAB_ESTOQUE[[#This Row],[Estoque]]&gt;=TAB_ESTOQUE[[#This Row],[Mínimo]],"Estoque Conforme",IF(TAB_ESTOQUE[[#This Row],[Estoque]]&lt;TAB_ESTOQUE[[#This Row],[Mínimo]],"Estoque em Nivel Minimo")))</f>
        <v>Estoque Conforme</v>
      </c>
      <c r="AC1260" s="96"/>
      <c r="AD1260" s="82"/>
    </row>
    <row r="1261" spans="1:30" ht="15" customHeight="1" x14ac:dyDescent="0.25">
      <c r="B1261" s="47"/>
      <c r="C1261" s="48"/>
      <c r="D1261" s="45" t="s">
        <v>6264</v>
      </c>
      <c r="E1261" s="46"/>
      <c r="F1261" s="87"/>
      <c r="G1261" s="82"/>
      <c r="H1261" s="82"/>
      <c r="I1261" s="82" t="s">
        <v>8695</v>
      </c>
      <c r="J1261" s="82"/>
      <c r="K1261" s="82"/>
      <c r="L1261" s="82"/>
      <c r="M1261" s="82"/>
      <c r="N1261" s="82"/>
      <c r="O1261" s="87" t="s">
        <v>6282</v>
      </c>
      <c r="P1261" s="82"/>
      <c r="Q1261" s="83">
        <f>VLOOKUP(TAB_ESTOQUE[[#This Row],[Codigo]],TAB_ENTRADA[[Cod_2_Entrada]:[TOTAL_ENTRADA]],5,FALSE)-VLOOKUP(TAB_ESTOQUE[[#This Row],[Codigo]],TAB_SAIDA[[COD_2_SAIDA]:[TOTAL_SAIDA]],5,FALSE)</f>
        <v>2</v>
      </c>
      <c r="R1261" s="87"/>
      <c r="S1261" s="87"/>
      <c r="T1261" s="90">
        <v>7.55</v>
      </c>
      <c r="U1261" s="91">
        <f>TAB_ESTOQUE[[#This Row],[Valor Unitario Estimado]]*TAB_ESTOQUE[[#This Row],[Estoque]]</f>
        <v>15.1</v>
      </c>
      <c r="V1261" s="91"/>
      <c r="W1261" s="85"/>
      <c r="X1261" s="85"/>
      <c r="Y1261" s="85"/>
      <c r="Z1261" s="85"/>
      <c r="AA1261" s="85"/>
      <c r="AB1261" s="85" t="str">
        <f>IF(TAB_ESTOQUE[[#This Row],[Estoque]]=0,"Estoque Não Conforme",IF(TAB_ESTOQUE[[#This Row],[Estoque]]&gt;=TAB_ESTOQUE[[#This Row],[Mínimo]],"Estoque Conforme",IF(TAB_ESTOQUE[[#This Row],[Estoque]]&lt;TAB_ESTOQUE[[#This Row],[Mínimo]],"Estoque em Nivel Minimo")))</f>
        <v>Estoque Conforme</v>
      </c>
      <c r="AC1261" s="96"/>
      <c r="AD1261" s="82"/>
    </row>
    <row r="1262" spans="1:30" ht="15" customHeight="1" x14ac:dyDescent="0.25">
      <c r="B1262" s="47"/>
      <c r="C1262" s="48"/>
      <c r="D1262" s="45" t="s">
        <v>6265</v>
      </c>
      <c r="E1262" s="46"/>
      <c r="F1262" s="87"/>
      <c r="G1262" s="82"/>
      <c r="H1262" s="82"/>
      <c r="I1262" s="82" t="s">
        <v>8696</v>
      </c>
      <c r="J1262" s="82"/>
      <c r="K1262" s="82"/>
      <c r="L1262" s="82"/>
      <c r="M1262" s="82"/>
      <c r="N1262" s="82"/>
      <c r="O1262" s="87" t="s">
        <v>6282</v>
      </c>
      <c r="P1262" s="82"/>
      <c r="Q1262" s="83">
        <f>VLOOKUP(TAB_ESTOQUE[[#This Row],[Codigo]],TAB_ENTRADA[[Cod_2_Entrada]:[TOTAL_ENTRADA]],5,FALSE)-VLOOKUP(TAB_ESTOQUE[[#This Row],[Codigo]],TAB_SAIDA[[COD_2_SAIDA]:[TOTAL_SAIDA]],5,FALSE)</f>
        <v>5</v>
      </c>
      <c r="R1262" s="87"/>
      <c r="S1262" s="87"/>
      <c r="T1262" s="90">
        <v>29.58</v>
      </c>
      <c r="U1262" s="91">
        <f>TAB_ESTOQUE[[#This Row],[Valor Unitario Estimado]]*TAB_ESTOQUE[[#This Row],[Estoque]]</f>
        <v>147.89999999999998</v>
      </c>
      <c r="V1262" s="91"/>
      <c r="W1262" s="85"/>
      <c r="X1262" s="85"/>
      <c r="Y1262" s="85"/>
      <c r="Z1262" s="85"/>
      <c r="AA1262" s="85"/>
      <c r="AB1262" s="85" t="str">
        <f>IF(TAB_ESTOQUE[[#This Row],[Estoque]]=0,"Estoque Não Conforme",IF(TAB_ESTOQUE[[#This Row],[Estoque]]&gt;=TAB_ESTOQUE[[#This Row],[Mínimo]],"Estoque Conforme",IF(TAB_ESTOQUE[[#This Row],[Estoque]]&lt;TAB_ESTOQUE[[#This Row],[Mínimo]],"Estoque em Nivel Minimo")))</f>
        <v>Estoque Conforme</v>
      </c>
      <c r="AC1262" s="96"/>
      <c r="AD1262" s="82"/>
    </row>
    <row r="1263" spans="1:30" ht="15" customHeight="1" x14ac:dyDescent="0.25">
      <c r="B1263" s="47"/>
      <c r="C1263" s="48"/>
      <c r="D1263" s="45" t="s">
        <v>6266</v>
      </c>
      <c r="E1263" s="46"/>
      <c r="F1263" s="87"/>
      <c r="G1263" s="82"/>
      <c r="H1263" s="82"/>
      <c r="I1263" s="82" t="s">
        <v>8697</v>
      </c>
      <c r="J1263" s="82"/>
      <c r="K1263" s="82"/>
      <c r="L1263" s="82"/>
      <c r="M1263" s="82"/>
      <c r="N1263" s="82"/>
      <c r="O1263" s="87" t="s">
        <v>6282</v>
      </c>
      <c r="P1263" s="82"/>
      <c r="Q1263" s="83">
        <f>VLOOKUP(TAB_ESTOQUE[[#This Row],[Codigo]],TAB_ENTRADA[[Cod_2_Entrada]:[TOTAL_ENTRADA]],5,FALSE)-VLOOKUP(TAB_ESTOQUE[[#This Row],[Codigo]],TAB_SAIDA[[COD_2_SAIDA]:[TOTAL_SAIDA]],5,FALSE)</f>
        <v>3</v>
      </c>
      <c r="R1263" s="87"/>
      <c r="S1263" s="87"/>
      <c r="T1263" s="90">
        <v>11.69</v>
      </c>
      <c r="U1263" s="91">
        <f>TAB_ESTOQUE[[#This Row],[Valor Unitario Estimado]]*TAB_ESTOQUE[[#This Row],[Estoque]]</f>
        <v>35.07</v>
      </c>
      <c r="V1263" s="91"/>
      <c r="W1263" s="85"/>
      <c r="X1263" s="85"/>
      <c r="Y1263" s="85"/>
      <c r="Z1263" s="85"/>
      <c r="AA1263" s="85"/>
      <c r="AB1263" s="85" t="str">
        <f>IF(TAB_ESTOQUE[[#This Row],[Estoque]]=0,"Estoque Não Conforme",IF(TAB_ESTOQUE[[#This Row],[Estoque]]&gt;=TAB_ESTOQUE[[#This Row],[Mínimo]],"Estoque Conforme",IF(TAB_ESTOQUE[[#This Row],[Estoque]]&lt;TAB_ESTOQUE[[#This Row],[Mínimo]],"Estoque em Nivel Minimo")))</f>
        <v>Estoque Conforme</v>
      </c>
      <c r="AC1263" s="96"/>
      <c r="AD1263" s="82"/>
    </row>
    <row r="1264" spans="1:30" ht="15" customHeight="1" x14ac:dyDescent="0.25">
      <c r="A1264" s="45" t="s">
        <v>2833</v>
      </c>
      <c r="C1264" s="48"/>
      <c r="D1264" s="45" t="s">
        <v>6267</v>
      </c>
      <c r="E1264" s="46"/>
      <c r="F1264" s="87"/>
      <c r="G1264" s="82"/>
      <c r="H1264" s="82"/>
      <c r="I1264" s="82" t="s">
        <v>8698</v>
      </c>
      <c r="J1264" s="82"/>
      <c r="K1264" s="82"/>
      <c r="L1264" s="82"/>
      <c r="M1264" s="82"/>
      <c r="N1264" s="82"/>
      <c r="O1264" s="87" t="s">
        <v>6282</v>
      </c>
      <c r="P1264" s="82"/>
      <c r="Q1264" s="83">
        <f>VLOOKUP(TAB_ESTOQUE[[#This Row],[Codigo]],TAB_ENTRADA[[Cod_2_Entrada]:[TOTAL_ENTRADA]],5,FALSE)-VLOOKUP(TAB_ESTOQUE[[#This Row],[Codigo]],TAB_SAIDA[[COD_2_SAIDA]:[TOTAL_SAIDA]],5,FALSE)</f>
        <v>4</v>
      </c>
      <c r="R1264" s="87"/>
      <c r="S1264" s="87"/>
      <c r="T1264" s="90">
        <v>13.65</v>
      </c>
      <c r="U1264" s="91">
        <f>TAB_ESTOQUE[[#This Row],[Valor Unitario Estimado]]*TAB_ESTOQUE[[#This Row],[Estoque]]</f>
        <v>54.6</v>
      </c>
      <c r="V1264" s="91"/>
      <c r="W1264" s="85"/>
      <c r="X1264" s="85"/>
      <c r="Y1264" s="85"/>
      <c r="Z1264" s="85"/>
      <c r="AA1264" s="85"/>
      <c r="AB1264" s="85" t="str">
        <f>IF(TAB_ESTOQUE[[#This Row],[Estoque]]=0,"Estoque Não Conforme",IF(TAB_ESTOQUE[[#This Row],[Estoque]]&gt;=TAB_ESTOQUE[[#This Row],[Mínimo]],"Estoque Conforme",IF(TAB_ESTOQUE[[#This Row],[Estoque]]&lt;TAB_ESTOQUE[[#This Row],[Mínimo]],"Estoque em Nivel Minimo")))</f>
        <v>Estoque Conforme</v>
      </c>
      <c r="AC1264" s="96"/>
      <c r="AD1264" s="82"/>
    </row>
    <row r="1265" spans="1:30" ht="15" customHeight="1" x14ac:dyDescent="0.25">
      <c r="B1265" s="47"/>
      <c r="C1265" s="48"/>
      <c r="D1265" s="45" t="s">
        <v>6268</v>
      </c>
      <c r="E1265" s="46"/>
      <c r="F1265" s="87"/>
      <c r="G1265" s="82"/>
      <c r="H1265" s="82"/>
      <c r="I1265" s="82" t="s">
        <v>8699</v>
      </c>
      <c r="J1265" s="82"/>
      <c r="K1265" s="82"/>
      <c r="L1265" s="82"/>
      <c r="M1265" s="82"/>
      <c r="N1265" s="82"/>
      <c r="O1265" s="87" t="s">
        <v>6282</v>
      </c>
      <c r="P1265" s="82"/>
      <c r="Q1265" s="83">
        <f>VLOOKUP(TAB_ESTOQUE[[#This Row],[Codigo]],TAB_ENTRADA[[Cod_2_Entrada]:[TOTAL_ENTRADA]],5,FALSE)-VLOOKUP(TAB_ESTOQUE[[#This Row],[Codigo]],TAB_SAIDA[[COD_2_SAIDA]:[TOTAL_SAIDA]],5,FALSE)</f>
        <v>4</v>
      </c>
      <c r="R1265" s="87"/>
      <c r="S1265" s="87"/>
      <c r="T1265" s="90">
        <v>52.54</v>
      </c>
      <c r="U1265" s="91">
        <f>TAB_ESTOQUE[[#This Row],[Valor Unitario Estimado]]*TAB_ESTOQUE[[#This Row],[Estoque]]</f>
        <v>210.16</v>
      </c>
      <c r="V1265" s="91"/>
      <c r="W1265" s="85"/>
      <c r="X1265" s="85"/>
      <c r="Y1265" s="85"/>
      <c r="Z1265" s="85"/>
      <c r="AA1265" s="85"/>
      <c r="AB1265" s="85" t="str">
        <f>IF(TAB_ESTOQUE[[#This Row],[Estoque]]=0,"Estoque Não Conforme",IF(TAB_ESTOQUE[[#This Row],[Estoque]]&gt;=TAB_ESTOQUE[[#This Row],[Mínimo]],"Estoque Conforme",IF(TAB_ESTOQUE[[#This Row],[Estoque]]&lt;TAB_ESTOQUE[[#This Row],[Mínimo]],"Estoque em Nivel Minimo")))</f>
        <v>Estoque Conforme</v>
      </c>
      <c r="AC1265" s="96"/>
      <c r="AD1265" s="82"/>
    </row>
    <row r="1266" spans="1:30" ht="15" customHeight="1" x14ac:dyDescent="0.25">
      <c r="C1266" s="48"/>
      <c r="D1266" s="45" t="s">
        <v>6930</v>
      </c>
      <c r="E1266" s="46"/>
      <c r="F1266" s="46"/>
      <c r="I1266" s="45" t="s">
        <v>7235</v>
      </c>
      <c r="O1266" s="46" t="s">
        <v>6282</v>
      </c>
      <c r="Q1266" s="137">
        <f>VLOOKUP(TAB_ESTOQUE[[#This Row],[Codigo]],TAB_ENTRADA[[Cod_2_Entrada]:[TOTAL_ENTRADA]],5,FALSE)-VLOOKUP(TAB_ESTOQUE[[#This Row],[Codigo]],TAB_SAIDA[[COD_2_SAIDA]:[TOTAL_SAIDA]],5,FALSE)</f>
        <v>0</v>
      </c>
      <c r="S1266" s="46"/>
      <c r="T1266" s="102">
        <v>52</v>
      </c>
      <c r="U1266" s="103">
        <f>TAB_ESTOQUE[[#This Row],[Valor Unitario Estimado]]*TAB_ESTOQUE[[#This Row],[Estoque]]</f>
        <v>0</v>
      </c>
      <c r="V1266" s="103"/>
      <c r="AA1266" s="138"/>
      <c r="AB1266" s="104" t="str">
        <f>IF(TAB_ESTOQUE[[#This Row],[Estoque]]=0,"Estoque Não Conforme",IF(TAB_ESTOQUE[[#This Row],[Estoque]]&gt;=TAB_ESTOQUE[[#This Row],[Mínimo]],"Estoque Conforme",IF(TAB_ESTOQUE[[#This Row],[Estoque]]&lt;TAB_ESTOQUE[[#This Row],[Mínimo]],"Estoque em Nivel Minimo")))</f>
        <v>Estoque Não Conforme</v>
      </c>
      <c r="AC1266" s="104"/>
    </row>
    <row r="1267" spans="1:30" ht="15" customHeight="1" x14ac:dyDescent="0.25">
      <c r="C1267" s="48"/>
      <c r="D1267" s="45" t="s">
        <v>6931</v>
      </c>
      <c r="E1267" s="46"/>
      <c r="F1267" s="46"/>
      <c r="I1267" s="45" t="s">
        <v>7236</v>
      </c>
      <c r="O1267" s="46" t="s">
        <v>6282</v>
      </c>
      <c r="Q1267" s="137">
        <f>VLOOKUP(TAB_ESTOQUE[[#This Row],[Codigo]],TAB_ENTRADA[[Cod_2_Entrada]:[TOTAL_ENTRADA]],5,FALSE)-VLOOKUP(TAB_ESTOQUE[[#This Row],[Codigo]],TAB_SAIDA[[COD_2_SAIDA]:[TOTAL_SAIDA]],5,FALSE)</f>
        <v>0</v>
      </c>
      <c r="S1267" s="46"/>
      <c r="T1267" s="102">
        <v>64</v>
      </c>
      <c r="U1267" s="103">
        <f>TAB_ESTOQUE[[#This Row],[Valor Unitario Estimado]]*TAB_ESTOQUE[[#This Row],[Estoque]]</f>
        <v>0</v>
      </c>
      <c r="V1267" s="103"/>
      <c r="AA1267" s="138"/>
      <c r="AB1267" s="104" t="str">
        <f>IF(TAB_ESTOQUE[[#This Row],[Estoque]]=0,"Estoque Não Conforme",IF(TAB_ESTOQUE[[#This Row],[Estoque]]&gt;=TAB_ESTOQUE[[#This Row],[Mínimo]],"Estoque Conforme",IF(TAB_ESTOQUE[[#This Row],[Estoque]]&lt;TAB_ESTOQUE[[#This Row],[Mínimo]],"Estoque em Nivel Minimo")))</f>
        <v>Estoque Não Conforme</v>
      </c>
      <c r="AC1267" s="104"/>
    </row>
    <row r="1268" spans="1:30" ht="15" customHeight="1" x14ac:dyDescent="0.25">
      <c r="C1268" s="48"/>
      <c r="D1268" s="45" t="s">
        <v>6932</v>
      </c>
      <c r="E1268" s="46"/>
      <c r="F1268" s="46"/>
      <c r="I1268" s="45" t="s">
        <v>7237</v>
      </c>
      <c r="O1268" s="46" t="s">
        <v>6282</v>
      </c>
      <c r="Q1268" s="137">
        <f>VLOOKUP(TAB_ESTOQUE[[#This Row],[Codigo]],TAB_ENTRADA[[Cod_2_Entrada]:[TOTAL_ENTRADA]],5,FALSE)-VLOOKUP(TAB_ESTOQUE[[#This Row],[Codigo]],TAB_SAIDA[[COD_2_SAIDA]:[TOTAL_SAIDA]],5,FALSE)</f>
        <v>0</v>
      </c>
      <c r="S1268" s="46"/>
      <c r="T1268" s="102">
        <v>129</v>
      </c>
      <c r="U1268" s="103">
        <f>TAB_ESTOQUE[[#This Row],[Valor Unitario Estimado]]*TAB_ESTOQUE[[#This Row],[Estoque]]</f>
        <v>0</v>
      </c>
      <c r="V1268" s="103"/>
      <c r="AA1268" s="138"/>
      <c r="AB1268" s="104" t="str">
        <f>IF(TAB_ESTOQUE[[#This Row],[Estoque]]=0,"Estoque Não Conforme",IF(TAB_ESTOQUE[[#This Row],[Estoque]]&gt;=TAB_ESTOQUE[[#This Row],[Mínimo]],"Estoque Conforme",IF(TAB_ESTOQUE[[#This Row],[Estoque]]&lt;TAB_ESTOQUE[[#This Row],[Mínimo]],"Estoque em Nivel Minimo")))</f>
        <v>Estoque Não Conforme</v>
      </c>
      <c r="AC1268" s="104"/>
    </row>
    <row r="1269" spans="1:30" ht="15" customHeight="1" x14ac:dyDescent="0.25">
      <c r="A1269" s="45">
        <v>90</v>
      </c>
      <c r="B1269" s="47"/>
      <c r="C1269" s="46" t="s">
        <v>2842</v>
      </c>
      <c r="D1269" s="45" t="s">
        <v>1752</v>
      </c>
      <c r="E1269" s="46" t="s">
        <v>7267</v>
      </c>
      <c r="F1269" s="87"/>
      <c r="G1269" s="82"/>
      <c r="H1269" s="82"/>
      <c r="I1269" s="82" t="s">
        <v>8463</v>
      </c>
      <c r="J1269" s="82"/>
      <c r="K1269" s="82"/>
      <c r="L1269" s="82"/>
      <c r="M1269" s="82"/>
      <c r="N1269" s="82"/>
      <c r="O1269" s="87" t="s">
        <v>6524</v>
      </c>
      <c r="P1269" s="82" t="s">
        <v>56</v>
      </c>
      <c r="Q1269" s="83">
        <f>VLOOKUP(TAB_ESTOQUE[[#This Row],[Codigo]],TAB_ENTRADA[[Cod_2_Entrada]:[TOTAL_ENTRADA]],5,FALSE)-VLOOKUP(TAB_ESTOQUE[[#This Row],[Codigo]],TAB_SAIDA[[COD_2_SAIDA]:[TOTAL_SAIDA]],5,FALSE)</f>
        <v>3</v>
      </c>
      <c r="R1269" s="87"/>
      <c r="S1269" s="87"/>
      <c r="T1269" s="90">
        <v>325.89999999999998</v>
      </c>
      <c r="U1269" s="91">
        <f>TAB_ESTOQUE[[#This Row],[Valor Unitario Estimado]]*TAB_ESTOQUE[[#This Row],[Estoque]]</f>
        <v>977.69999999999993</v>
      </c>
      <c r="V1269" s="91"/>
      <c r="W1269" s="85"/>
      <c r="X1269" s="85"/>
      <c r="Y1269" s="85"/>
      <c r="Z1269" s="85"/>
      <c r="AA1269" s="85"/>
      <c r="AB1269" s="85" t="str">
        <f>IF(TAB_ESTOQUE[[#This Row],[Estoque]]=0,"Estoque Não Conforme",IF(TAB_ESTOQUE[[#This Row],[Estoque]]&gt;=TAB_ESTOQUE[[#This Row],[Mínimo]],"Estoque Conforme",IF(TAB_ESTOQUE[[#This Row],[Estoque]]&lt;TAB_ESTOQUE[[#This Row],[Mínimo]],"Estoque em Nivel Minimo")))</f>
        <v>Estoque Conforme</v>
      </c>
      <c r="AC1269" s="85"/>
      <c r="AD1269" s="82"/>
    </row>
    <row r="1270" spans="1:30" ht="15" customHeight="1" x14ac:dyDescent="0.25">
      <c r="A1270" s="45">
        <v>960</v>
      </c>
      <c r="B1270" s="47"/>
      <c r="C1270" s="46"/>
      <c r="D1270" s="45" t="s">
        <v>1815</v>
      </c>
      <c r="E1270" s="46" t="s">
        <v>1035</v>
      </c>
      <c r="F1270" s="87"/>
      <c r="G1270" s="82"/>
      <c r="H1270" s="82"/>
      <c r="I1270" s="82" t="s">
        <v>8468</v>
      </c>
      <c r="J1270" s="82"/>
      <c r="K1270" s="82"/>
      <c r="L1270" s="82"/>
      <c r="M1270" s="82"/>
      <c r="N1270" s="82"/>
      <c r="O1270" s="87" t="s">
        <v>6524</v>
      </c>
      <c r="P1270" s="82" t="s">
        <v>743</v>
      </c>
      <c r="Q1270" s="83">
        <f>VLOOKUP(TAB_ESTOQUE[[#This Row],[Codigo]],TAB_ENTRADA[[Cod_2_Entrada]:[TOTAL_ENTRADA]],5,FALSE)-VLOOKUP(TAB_ESTOQUE[[#This Row],[Codigo]],TAB_SAIDA[[COD_2_SAIDA]:[TOTAL_SAIDA]],5,FALSE)</f>
        <v>1</v>
      </c>
      <c r="R1270" s="87"/>
      <c r="S1270" s="87"/>
      <c r="T1270" s="90"/>
      <c r="U1270" s="91">
        <f>TAB_ESTOQUE[[#This Row],[Valor Unitario Estimado]]*TAB_ESTOQUE[[#This Row],[Estoque]]</f>
        <v>0</v>
      </c>
      <c r="V1270" s="91"/>
      <c r="W1270" s="85"/>
      <c r="X1270" s="85"/>
      <c r="Y1270" s="85"/>
      <c r="Z1270" s="85"/>
      <c r="AA1270" s="85"/>
      <c r="AB1270" s="85" t="str">
        <f>IF(TAB_ESTOQUE[[#This Row],[Estoque]]=0,"Estoque Não Conforme",IF(TAB_ESTOQUE[[#This Row],[Estoque]]&gt;=TAB_ESTOQUE[[#This Row],[Mínimo]],"Estoque Conforme",IF(TAB_ESTOQUE[[#This Row],[Estoque]]&lt;TAB_ESTOQUE[[#This Row],[Mínimo]],"Estoque em Nivel Minimo")))</f>
        <v>Estoque Conforme</v>
      </c>
      <c r="AC1270" s="85"/>
      <c r="AD1270" s="82"/>
    </row>
    <row r="1271" spans="1:30" ht="15" customHeight="1" x14ac:dyDescent="0.25">
      <c r="A1271" s="47">
        <v>662</v>
      </c>
      <c r="B1271" s="47"/>
      <c r="C1271" s="51"/>
      <c r="D1271" s="47" t="s">
        <v>2406</v>
      </c>
      <c r="E1271" s="51" t="s">
        <v>8405</v>
      </c>
      <c r="F1271" s="107"/>
      <c r="G1271" s="94"/>
      <c r="H1271" s="94"/>
      <c r="I1271" s="94" t="s">
        <v>8615</v>
      </c>
      <c r="J1271" s="94"/>
      <c r="K1271" s="94"/>
      <c r="L1271" s="94"/>
      <c r="M1271" s="94"/>
      <c r="N1271" s="94"/>
      <c r="O1271" s="107" t="s">
        <v>6524</v>
      </c>
      <c r="P1271" s="94" t="s">
        <v>445</v>
      </c>
      <c r="Q1271" s="145">
        <f>VLOOKUP(TAB_ESTOQUE[[#This Row],[Codigo]],TAB_ENTRADA[[Cod_2_Entrada]:[TOTAL_ENTRADA]],5,FALSE)-VLOOKUP(TAB_ESTOQUE[[#This Row],[Codigo]],TAB_SAIDA[[COD_2_SAIDA]:[TOTAL_SAIDA]],5,FALSE)</f>
        <v>2</v>
      </c>
      <c r="R1271" s="107"/>
      <c r="S1271" s="107"/>
      <c r="T1271" s="108"/>
      <c r="U1271" s="109">
        <f>TAB_ESTOQUE[[#This Row],[Valor Unitario Estimado]]*TAB_ESTOQUE[[#This Row],[Estoque]]</f>
        <v>0</v>
      </c>
      <c r="V1271" s="109"/>
      <c r="W1271" s="110"/>
      <c r="X1271" s="110"/>
      <c r="Y1271" s="110"/>
      <c r="Z1271" s="110"/>
      <c r="AA1271" s="110"/>
      <c r="AB1271" s="110" t="str">
        <f>IF(TAB_ESTOQUE[[#This Row],[Estoque]]=0,"Estoque Não Conforme",IF(TAB_ESTOQUE[[#This Row],[Estoque]]&gt;=TAB_ESTOQUE[[#This Row],[Mínimo]],"Estoque Conforme",IF(TAB_ESTOQUE[[#This Row],[Estoque]]&lt;TAB_ESTOQUE[[#This Row],[Mínimo]],"Estoque em Nivel Minimo")))</f>
        <v>Estoque Conforme</v>
      </c>
      <c r="AC1271" s="110"/>
      <c r="AD1271" s="94"/>
    </row>
    <row r="1272" spans="1:30" ht="15" customHeight="1" x14ac:dyDescent="0.25">
      <c r="A1272" s="106">
        <v>1704</v>
      </c>
      <c r="B1272" s="106"/>
      <c r="C1272" s="116"/>
      <c r="D1272" s="106" t="s">
        <v>2407</v>
      </c>
      <c r="E1272" s="116" t="s">
        <v>7</v>
      </c>
      <c r="F1272" s="118"/>
      <c r="G1272" s="95"/>
      <c r="H1272" s="95"/>
      <c r="I1272" s="95" t="s">
        <v>8616</v>
      </c>
      <c r="J1272" s="95"/>
      <c r="K1272" s="95"/>
      <c r="L1272" s="95"/>
      <c r="M1272" s="95"/>
      <c r="N1272" s="95"/>
      <c r="O1272" s="118" t="s">
        <v>6524</v>
      </c>
      <c r="P1272" s="95" t="s">
        <v>1135</v>
      </c>
      <c r="Q1272" s="154">
        <f>VLOOKUP(TAB_ESTOQUE[[#This Row],[Codigo]],TAB_ENTRADA[[Cod_2_Entrada]:[TOTAL_ENTRADA]],5,FALSE)-VLOOKUP(TAB_ESTOQUE[[#This Row],[Codigo]],TAB_SAIDA[[COD_2_SAIDA]:[TOTAL_SAIDA]],5,FALSE)</f>
        <v>1</v>
      </c>
      <c r="R1272" s="118"/>
      <c r="S1272" s="118"/>
      <c r="T1272" s="119"/>
      <c r="U1272" s="112">
        <f>TAB_ESTOQUE[[#This Row],[Valor Unitario Estimado]]*TAB_ESTOQUE[[#This Row],[Estoque]]</f>
        <v>0</v>
      </c>
      <c r="V1272" s="112"/>
      <c r="W1272" s="120"/>
      <c r="X1272" s="120"/>
      <c r="Y1272" s="120"/>
      <c r="Z1272" s="120"/>
      <c r="AA1272" s="120"/>
      <c r="AB1272" s="120" t="str">
        <f>IF(TAB_ESTOQUE[[#This Row],[Estoque]]=0,"Estoque Não Conforme",IF(TAB_ESTOQUE[[#This Row],[Estoque]]&gt;=TAB_ESTOQUE[[#This Row],[Mínimo]],"Estoque Conforme",IF(TAB_ESTOQUE[[#This Row],[Estoque]]&lt;TAB_ESTOQUE[[#This Row],[Mínimo]],"Estoque em Nivel Minimo")))</f>
        <v>Estoque Conforme</v>
      </c>
      <c r="AC1272" s="120"/>
      <c r="AD1272" s="95"/>
    </row>
    <row r="1273" spans="1:30" ht="15" customHeight="1" x14ac:dyDescent="0.25">
      <c r="A1273" s="47">
        <v>1300</v>
      </c>
      <c r="B1273" s="47"/>
      <c r="C1273" s="51"/>
      <c r="D1273" s="47" t="s">
        <v>2408</v>
      </c>
      <c r="E1273" s="51" t="s">
        <v>1000</v>
      </c>
      <c r="F1273" s="107"/>
      <c r="G1273" s="94"/>
      <c r="H1273" s="94"/>
      <c r="I1273" s="94" t="s">
        <v>8617</v>
      </c>
      <c r="J1273" s="94"/>
      <c r="K1273" s="94"/>
      <c r="L1273" s="94"/>
      <c r="M1273" s="94"/>
      <c r="N1273" s="94"/>
      <c r="O1273" s="107" t="s">
        <v>6524</v>
      </c>
      <c r="P1273" s="94" t="s">
        <v>1025</v>
      </c>
      <c r="Q1273" s="145">
        <f>VLOOKUP(TAB_ESTOQUE[[#This Row],[Codigo]],TAB_ENTRADA[[Cod_2_Entrada]:[TOTAL_ENTRADA]],5,FALSE)-VLOOKUP(TAB_ESTOQUE[[#This Row],[Codigo]],TAB_SAIDA[[COD_2_SAIDA]:[TOTAL_SAIDA]],5,FALSE)</f>
        <v>3</v>
      </c>
      <c r="R1273" s="107"/>
      <c r="S1273" s="107"/>
      <c r="T1273" s="108"/>
      <c r="U1273" s="109">
        <f>TAB_ESTOQUE[[#This Row],[Valor Unitario Estimado]]*TAB_ESTOQUE[[#This Row],[Estoque]]</f>
        <v>0</v>
      </c>
      <c r="V1273" s="109"/>
      <c r="W1273" s="110"/>
      <c r="X1273" s="110"/>
      <c r="Y1273" s="110"/>
      <c r="Z1273" s="110"/>
      <c r="AA1273" s="110"/>
      <c r="AB1273" s="110" t="str">
        <f>IF(TAB_ESTOQUE[[#This Row],[Estoque]]=0,"Estoque Não Conforme",IF(TAB_ESTOQUE[[#This Row],[Estoque]]&gt;=TAB_ESTOQUE[[#This Row],[Mínimo]],"Estoque Conforme",IF(TAB_ESTOQUE[[#This Row],[Estoque]]&lt;TAB_ESTOQUE[[#This Row],[Mínimo]],"Estoque em Nivel Minimo")))</f>
        <v>Estoque Conforme</v>
      </c>
      <c r="AC1273" s="110"/>
      <c r="AD1273" s="94"/>
    </row>
    <row r="1274" spans="1:30" ht="15" customHeight="1" x14ac:dyDescent="0.25">
      <c r="A1274" s="45">
        <v>1174</v>
      </c>
      <c r="B1274" s="47"/>
      <c r="C1274" s="46"/>
      <c r="D1274" s="45" t="s">
        <v>2444</v>
      </c>
      <c r="E1274" s="46" t="s">
        <v>1028</v>
      </c>
      <c r="F1274" s="87"/>
      <c r="G1274" s="82"/>
      <c r="H1274" s="82"/>
      <c r="I1274" s="82" t="s">
        <v>8628</v>
      </c>
      <c r="J1274" s="82"/>
      <c r="K1274" s="82"/>
      <c r="L1274" s="82"/>
      <c r="M1274" s="82"/>
      <c r="N1274" s="82"/>
      <c r="O1274" s="87" t="s">
        <v>6524</v>
      </c>
      <c r="P1274" s="82" t="s">
        <v>879</v>
      </c>
      <c r="Q1274" s="83">
        <f>VLOOKUP(TAB_ESTOQUE[[#This Row],[Codigo]],TAB_ENTRADA[[Cod_2_Entrada]:[TOTAL_ENTRADA]],5,FALSE)-VLOOKUP(TAB_ESTOQUE[[#This Row],[Codigo]],TAB_SAIDA[[COD_2_SAIDA]:[TOTAL_SAIDA]],5,FALSE)</f>
        <v>1</v>
      </c>
      <c r="R1274" s="87"/>
      <c r="S1274" s="87"/>
      <c r="T1274" s="90"/>
      <c r="U1274" s="91">
        <f>TAB_ESTOQUE[[#This Row],[Valor Unitario Estimado]]*TAB_ESTOQUE[[#This Row],[Estoque]]</f>
        <v>0</v>
      </c>
      <c r="V1274" s="91"/>
      <c r="W1274" s="85"/>
      <c r="X1274" s="85"/>
      <c r="Y1274" s="85"/>
      <c r="Z1274" s="85"/>
      <c r="AA1274" s="85"/>
      <c r="AB1274" s="85" t="str">
        <f>IF(TAB_ESTOQUE[[#This Row],[Estoque]]=0,"Estoque Não Conforme",IF(TAB_ESTOQUE[[#This Row],[Estoque]]&gt;=TAB_ESTOQUE[[#This Row],[Mínimo]],"Estoque Conforme",IF(TAB_ESTOQUE[[#This Row],[Estoque]]&lt;TAB_ESTOQUE[[#This Row],[Mínimo]],"Estoque em Nivel Minimo")))</f>
        <v>Estoque Conforme</v>
      </c>
      <c r="AC1274" s="85"/>
      <c r="AD1274" s="82"/>
    </row>
    <row r="1275" spans="1:30" ht="15" customHeight="1" x14ac:dyDescent="0.25">
      <c r="A1275" s="45" t="s">
        <v>1159</v>
      </c>
      <c r="B1275" s="47"/>
      <c r="C1275" s="46"/>
      <c r="D1275" s="45" t="s">
        <v>2634</v>
      </c>
      <c r="E1275" s="46"/>
      <c r="F1275" s="87"/>
      <c r="G1275" s="82"/>
      <c r="H1275" s="82"/>
      <c r="I1275" s="82" t="s">
        <v>8657</v>
      </c>
      <c r="J1275" s="82"/>
      <c r="K1275" s="82"/>
      <c r="L1275" s="82"/>
      <c r="M1275" s="82"/>
      <c r="N1275" s="82"/>
      <c r="O1275" s="87" t="s">
        <v>6524</v>
      </c>
      <c r="P1275" s="82" t="s">
        <v>1591</v>
      </c>
      <c r="Q1275" s="83">
        <f>VLOOKUP(TAB_ESTOQUE[[#This Row],[Codigo]],TAB_ENTRADA[[Cod_2_Entrada]:[TOTAL_ENTRADA]],5,FALSE)-VLOOKUP(TAB_ESTOQUE[[#This Row],[Codigo]],TAB_SAIDA[[COD_2_SAIDA]:[TOTAL_SAIDA]],5,FALSE)</f>
        <v>1</v>
      </c>
      <c r="R1275" s="87"/>
      <c r="S1275" s="87"/>
      <c r="T1275" s="90"/>
      <c r="U1275" s="91">
        <f>TAB_ESTOQUE[[#This Row],[Valor Unitario Estimado]]*TAB_ESTOQUE[[#This Row],[Estoque]]</f>
        <v>0</v>
      </c>
      <c r="V1275" s="91"/>
      <c r="W1275" s="85"/>
      <c r="X1275" s="85"/>
      <c r="Y1275" s="85"/>
      <c r="Z1275" s="85"/>
      <c r="AA1275" s="85"/>
      <c r="AB1275" s="85" t="str">
        <f>IF(TAB_ESTOQUE[[#This Row],[Estoque]]=0,"Estoque Não Conforme",IF(TAB_ESTOQUE[[#This Row],[Estoque]]&gt;=TAB_ESTOQUE[[#This Row],[Mínimo]],"Estoque Conforme",IF(TAB_ESTOQUE[[#This Row],[Estoque]]&lt;TAB_ESTOQUE[[#This Row],[Mínimo]],"Estoque em Nivel Minimo")))</f>
        <v>Estoque Conforme</v>
      </c>
      <c r="AC1275" s="85"/>
      <c r="AD1275" s="82"/>
    </row>
    <row r="1276" spans="1:30" ht="15" customHeight="1" x14ac:dyDescent="0.25">
      <c r="B1276" s="47"/>
      <c r="C1276" s="53"/>
      <c r="D1276" s="45" t="s">
        <v>6245</v>
      </c>
      <c r="E1276" s="46"/>
      <c r="F1276" s="87"/>
      <c r="G1276" s="82"/>
      <c r="H1276" s="82"/>
      <c r="I1276" s="82" t="s">
        <v>8692</v>
      </c>
      <c r="J1276" s="82"/>
      <c r="K1276" s="82"/>
      <c r="L1276" s="82"/>
      <c r="M1276" s="82"/>
      <c r="N1276" s="82"/>
      <c r="O1276" s="87" t="s">
        <v>6524</v>
      </c>
      <c r="P1276" s="82"/>
      <c r="Q1276" s="83">
        <f>VLOOKUP(TAB_ESTOQUE[[#This Row],[Codigo]],TAB_ENTRADA[[Cod_2_Entrada]:[TOTAL_ENTRADA]],5,FALSE)-VLOOKUP(TAB_ESTOQUE[[#This Row],[Codigo]],TAB_SAIDA[[COD_2_SAIDA]:[TOTAL_SAIDA]],5,FALSE)</f>
        <v>6</v>
      </c>
      <c r="R1276" s="87"/>
      <c r="S1276" s="87"/>
      <c r="T1276" s="90">
        <v>124.77</v>
      </c>
      <c r="U1276" s="91">
        <f>TAB_ESTOQUE[[#This Row],[Valor Unitario Estimado]]*TAB_ESTOQUE[[#This Row],[Estoque]]</f>
        <v>748.62</v>
      </c>
      <c r="V1276" s="91"/>
      <c r="W1276" s="85"/>
      <c r="X1276" s="85"/>
      <c r="Y1276" s="85"/>
      <c r="Z1276" s="85"/>
      <c r="AA1276" s="85"/>
      <c r="AB1276" s="85" t="str">
        <f>IF(TAB_ESTOQUE[[#This Row],[Estoque]]=0,"Estoque Não Conforme",IF(TAB_ESTOQUE[[#This Row],[Estoque]]&gt;=TAB_ESTOQUE[[#This Row],[Mínimo]],"Estoque Conforme",IF(TAB_ESTOQUE[[#This Row],[Estoque]]&lt;TAB_ESTOQUE[[#This Row],[Mínimo]],"Estoque em Nivel Minimo")))</f>
        <v>Estoque Conforme</v>
      </c>
      <c r="AC1276" s="96"/>
      <c r="AD1276" s="82"/>
    </row>
    <row r="1277" spans="1:30" ht="15" customHeight="1" x14ac:dyDescent="0.25">
      <c r="B1277" s="47"/>
      <c r="C1277" s="48"/>
      <c r="D1277" s="45" t="s">
        <v>6269</v>
      </c>
      <c r="E1277" s="46"/>
      <c r="F1277" s="87"/>
      <c r="G1277" s="82"/>
      <c r="H1277" s="82"/>
      <c r="I1277" s="209" t="s">
        <v>8700</v>
      </c>
      <c r="J1277" s="82"/>
      <c r="K1277" s="82"/>
      <c r="L1277" s="82"/>
      <c r="M1277" s="82"/>
      <c r="N1277" s="82"/>
      <c r="O1277" s="87" t="s">
        <v>6714</v>
      </c>
      <c r="P1277" s="82"/>
      <c r="Q1277" s="83">
        <f>VLOOKUP(TAB_ESTOQUE[[#This Row],[Codigo]],TAB_ENTRADA[[Cod_2_Entrada]:[TOTAL_ENTRADA]],5,FALSE)-VLOOKUP(TAB_ESTOQUE[[#This Row],[Codigo]],TAB_SAIDA[[COD_2_SAIDA]:[TOTAL_SAIDA]],5,FALSE)</f>
        <v>2</v>
      </c>
      <c r="R1277" s="87"/>
      <c r="S1277" s="87"/>
      <c r="T1277" s="90"/>
      <c r="U1277" s="91">
        <f>TAB_ESTOQUE[[#This Row],[Valor Unitario Estimado]]*TAB_ESTOQUE[[#This Row],[Estoque]]</f>
        <v>0</v>
      </c>
      <c r="V1277" s="91"/>
      <c r="W1277" s="85"/>
      <c r="X1277" s="85"/>
      <c r="Y1277" s="85"/>
      <c r="Z1277" s="85"/>
      <c r="AA1277" s="85"/>
      <c r="AB1277" s="85" t="str">
        <f>IF(TAB_ESTOQUE[[#This Row],[Estoque]]=0,"Estoque Não Conforme",IF(TAB_ESTOQUE[[#This Row],[Estoque]]&gt;=TAB_ESTOQUE[[#This Row],[Mínimo]],"Estoque Conforme",IF(TAB_ESTOQUE[[#This Row],[Estoque]]&lt;TAB_ESTOQUE[[#This Row],[Mínimo]],"Estoque em Nivel Minimo")))</f>
        <v>Estoque Conforme</v>
      </c>
      <c r="AC1277" s="96"/>
      <c r="AD1277" s="82"/>
    </row>
    <row r="1278" spans="1:30" ht="15" customHeight="1" x14ac:dyDescent="0.25">
      <c r="A1278" s="106"/>
      <c r="B1278" s="106"/>
      <c r="C1278" s="106"/>
      <c r="D1278" s="106" t="s">
        <v>6270</v>
      </c>
      <c r="E1278" s="116"/>
      <c r="F1278" s="118"/>
      <c r="G1278" s="95"/>
      <c r="H1278" s="95"/>
      <c r="I1278" s="204" t="s">
        <v>8701</v>
      </c>
      <c r="J1278" s="95"/>
      <c r="K1278" s="95"/>
      <c r="L1278" s="95"/>
      <c r="M1278" s="95"/>
      <c r="N1278" s="95"/>
      <c r="O1278" s="118" t="s">
        <v>6714</v>
      </c>
      <c r="P1278" s="95"/>
      <c r="Q1278" s="154">
        <f>VLOOKUP(TAB_ESTOQUE[[#This Row],[Codigo]],TAB_ENTRADA[[Cod_2_Entrada]:[TOTAL_ENTRADA]],5,FALSE)-VLOOKUP(TAB_ESTOQUE[[#This Row],[Codigo]],TAB_SAIDA[[COD_2_SAIDA]:[TOTAL_SAIDA]],5,FALSE)</f>
        <v>4</v>
      </c>
      <c r="R1278" s="118"/>
      <c r="S1278" s="118"/>
      <c r="T1278" s="119"/>
      <c r="U1278" s="112">
        <f>TAB_ESTOQUE[[#This Row],[Valor Unitario Estimado]]*TAB_ESTOQUE[[#This Row],[Estoque]]</f>
        <v>0</v>
      </c>
      <c r="V1278" s="112"/>
      <c r="W1278" s="120"/>
      <c r="X1278" s="120"/>
      <c r="Y1278" s="120"/>
      <c r="Z1278" s="120"/>
      <c r="AA1278" s="120"/>
      <c r="AB1278" s="120" t="str">
        <f>IF(TAB_ESTOQUE[[#This Row],[Estoque]]=0,"Estoque Não Conforme",IF(TAB_ESTOQUE[[#This Row],[Estoque]]&gt;=TAB_ESTOQUE[[#This Row],[Mínimo]],"Estoque Conforme",IF(TAB_ESTOQUE[[#This Row],[Estoque]]&lt;TAB_ESTOQUE[[#This Row],[Mínimo]],"Estoque em Nivel Minimo")))</f>
        <v>Estoque Conforme</v>
      </c>
      <c r="AC1278" s="160"/>
      <c r="AD1278" s="95"/>
    </row>
    <row r="1279" spans="1:30" ht="15" customHeight="1" x14ac:dyDescent="0.25">
      <c r="A1279" s="45">
        <v>586</v>
      </c>
      <c r="B1279" s="47"/>
      <c r="C1279" s="46"/>
      <c r="D1279" s="45" t="s">
        <v>2462</v>
      </c>
      <c r="E1279" s="46" t="s">
        <v>778</v>
      </c>
      <c r="F1279" s="87"/>
      <c r="G1279" s="82"/>
      <c r="H1279" s="82"/>
      <c r="I1279" s="82" t="s">
        <v>1475</v>
      </c>
      <c r="J1279" s="82"/>
      <c r="K1279" s="82"/>
      <c r="L1279" s="82"/>
      <c r="M1279" s="82"/>
      <c r="N1279" s="82"/>
      <c r="O1279" s="87" t="s">
        <v>7143</v>
      </c>
      <c r="P1279" s="82" t="s">
        <v>364</v>
      </c>
      <c r="Q1279" s="83">
        <f>VLOOKUP(TAB_ESTOQUE[[#This Row],[Codigo]],TAB_ENTRADA[[Cod_2_Entrada]:[TOTAL_ENTRADA]],5,FALSE)-VLOOKUP(TAB_ESTOQUE[[#This Row],[Codigo]],TAB_SAIDA[[COD_2_SAIDA]:[TOTAL_SAIDA]],5,FALSE)</f>
        <v>1</v>
      </c>
      <c r="R1279" s="87"/>
      <c r="S1279" s="87"/>
      <c r="T1279" s="90">
        <v>950</v>
      </c>
      <c r="U1279" s="91">
        <f>TAB_ESTOQUE[[#This Row],[Valor Unitario Estimado]]*TAB_ESTOQUE[[#This Row],[Estoque]]</f>
        <v>950</v>
      </c>
      <c r="V1279" s="91"/>
      <c r="W1279" s="85"/>
      <c r="X1279" s="85"/>
      <c r="Y1279" s="85"/>
      <c r="Z1279" s="85"/>
      <c r="AA1279" s="85"/>
      <c r="AB1279" s="85" t="str">
        <f>IF(TAB_ESTOQUE[[#This Row],[Estoque]]=0,"Estoque Não Conforme",IF(TAB_ESTOQUE[[#This Row],[Estoque]]&gt;=TAB_ESTOQUE[[#This Row],[Mínimo]],"Estoque Conforme",IF(TAB_ESTOQUE[[#This Row],[Estoque]]&lt;TAB_ESTOQUE[[#This Row],[Mínimo]],"Estoque em Nivel Minimo")))</f>
        <v>Estoque Conforme</v>
      </c>
      <c r="AC1279" s="85"/>
      <c r="AD1279" s="82"/>
    </row>
    <row r="1280" spans="1:30" ht="15" customHeight="1" x14ac:dyDescent="0.25">
      <c r="A1280" s="45">
        <v>760</v>
      </c>
      <c r="B1280" s="47"/>
      <c r="C1280" s="46"/>
      <c r="D1280" s="45" t="s">
        <v>2466</v>
      </c>
      <c r="E1280" s="46" t="s">
        <v>7</v>
      </c>
      <c r="F1280" s="87"/>
      <c r="G1280" s="82"/>
      <c r="H1280" s="82"/>
      <c r="I1280" s="82" t="s">
        <v>6698</v>
      </c>
      <c r="J1280" s="82"/>
      <c r="K1280" s="82"/>
      <c r="L1280" s="82"/>
      <c r="M1280" s="82"/>
      <c r="N1280" s="82"/>
      <c r="O1280" s="87" t="s">
        <v>7143</v>
      </c>
      <c r="P1280" s="82" t="s">
        <v>555</v>
      </c>
      <c r="Q1280" s="83">
        <f>VLOOKUP(TAB_ESTOQUE[[#This Row],[Codigo]],TAB_ENTRADA[[Cod_2_Entrada]:[TOTAL_ENTRADA]],5,FALSE)-VLOOKUP(TAB_ESTOQUE[[#This Row],[Codigo]],TAB_SAIDA[[COD_2_SAIDA]:[TOTAL_SAIDA]],5,FALSE)</f>
        <v>0</v>
      </c>
      <c r="R1280" s="87"/>
      <c r="S1280" s="87"/>
      <c r="T1280" s="90">
        <v>1796.85</v>
      </c>
      <c r="U1280" s="91">
        <f>TAB_ESTOQUE[[#This Row],[Valor Unitario Estimado]]*TAB_ESTOQUE[[#This Row],[Estoque]]</f>
        <v>0</v>
      </c>
      <c r="V1280" s="91"/>
      <c r="W1280" s="85"/>
      <c r="X1280" s="85"/>
      <c r="Y1280" s="85"/>
      <c r="Z1280" s="85"/>
      <c r="AA1280" s="85"/>
      <c r="AB1280" s="85" t="str">
        <f>IF(TAB_ESTOQUE[[#This Row],[Estoque]]=0,"Estoque Não Conforme",IF(TAB_ESTOQUE[[#This Row],[Estoque]]&gt;=TAB_ESTOQUE[[#This Row],[Mínimo]],"Estoque Conforme",IF(TAB_ESTOQUE[[#This Row],[Estoque]]&lt;TAB_ESTOQUE[[#This Row],[Mínimo]],"Estoque em Nivel Minimo")))</f>
        <v>Estoque Não Conforme</v>
      </c>
      <c r="AC1280" s="85"/>
      <c r="AD1280" s="82"/>
    </row>
    <row r="1281" spans="1:30" ht="15" customHeight="1" x14ac:dyDescent="0.25">
      <c r="C1281" s="48"/>
      <c r="D1281" s="45" t="s">
        <v>7745</v>
      </c>
      <c r="E1281" s="46" t="s">
        <v>8843</v>
      </c>
      <c r="F1281" s="46"/>
      <c r="I1281" s="45" t="s">
        <v>8844</v>
      </c>
      <c r="O1281" s="46" t="s">
        <v>7143</v>
      </c>
      <c r="Q1281" s="137">
        <f>VLOOKUP(TAB_ESTOQUE[[#This Row],[Codigo]],TAB_ENTRADA[[Cod_2_Entrada]:[TOTAL_ENTRADA]],5,FALSE)-VLOOKUP(TAB_ESTOQUE[[#This Row],[Codigo]],TAB_SAIDA[[COD_2_SAIDA]:[TOTAL_SAIDA]],5,FALSE)</f>
        <v>1</v>
      </c>
      <c r="R1281" s="46">
        <v>1</v>
      </c>
      <c r="S1281" s="46">
        <v>3</v>
      </c>
      <c r="T1281" s="102">
        <v>1510</v>
      </c>
      <c r="U1281" s="103">
        <f>TAB_ESTOQUE[[#This Row],[Valor Unitario Estimado]]*TAB_ESTOQUE[[#This Row],[Estoque]]</f>
        <v>1510</v>
      </c>
      <c r="V1281" s="103"/>
      <c r="AA1281" s="138"/>
      <c r="AB1281" s="104" t="str">
        <f>IF(TAB_ESTOQUE[[#This Row],[Estoque]]=0,"Estoque Não Conforme",IF(TAB_ESTOQUE[[#This Row],[Estoque]]&gt;=TAB_ESTOQUE[[#This Row],[Mínimo]],"Estoque Conforme",IF(TAB_ESTOQUE[[#This Row],[Estoque]]&lt;TAB_ESTOQUE[[#This Row],[Mínimo]],"Estoque em Nivel Minimo")))</f>
        <v>Estoque Conforme</v>
      </c>
      <c r="AC1281" s="104"/>
    </row>
    <row r="1282" spans="1:30" ht="15" customHeight="1" x14ac:dyDescent="0.25">
      <c r="A1282" s="45">
        <v>1373</v>
      </c>
      <c r="B1282" s="47"/>
      <c r="C1282" s="46"/>
      <c r="D1282" s="45" t="s">
        <v>1998</v>
      </c>
      <c r="E1282" s="46" t="s">
        <v>7</v>
      </c>
      <c r="F1282" s="87"/>
      <c r="G1282" s="82"/>
      <c r="H1282" s="82"/>
      <c r="I1282" s="82" t="s">
        <v>8485</v>
      </c>
      <c r="J1282" s="82"/>
      <c r="K1282" s="82"/>
      <c r="L1282" s="82"/>
      <c r="M1282" s="82"/>
      <c r="N1282" s="82"/>
      <c r="O1282" s="87" t="s">
        <v>8019</v>
      </c>
      <c r="P1282" s="82" t="s">
        <v>1107</v>
      </c>
      <c r="Q1282" s="83">
        <f>VLOOKUP(TAB_ESTOQUE[[#This Row],[Codigo]],TAB_ENTRADA[[Cod_2_Entrada]:[TOTAL_ENTRADA]],5,FALSE)-VLOOKUP(TAB_ESTOQUE[[#This Row],[Codigo]],TAB_SAIDA[[COD_2_SAIDA]:[TOTAL_SAIDA]],5,FALSE)</f>
        <v>2</v>
      </c>
      <c r="R1282" s="87"/>
      <c r="S1282" s="87"/>
      <c r="T1282" s="90"/>
      <c r="U1282" s="91">
        <f>TAB_ESTOQUE[[#This Row],[Valor Unitario Estimado]]*TAB_ESTOQUE[[#This Row],[Estoque]]</f>
        <v>0</v>
      </c>
      <c r="V1282" s="91"/>
      <c r="W1282" s="85"/>
      <c r="X1282" s="85"/>
      <c r="Y1282" s="85"/>
      <c r="Z1282" s="85"/>
      <c r="AA1282" s="85"/>
      <c r="AB1282" s="85" t="str">
        <f>IF(TAB_ESTOQUE[[#This Row],[Estoque]]=0,"Estoque Não Conforme",IF(TAB_ESTOQUE[[#This Row],[Estoque]]&gt;=TAB_ESTOQUE[[#This Row],[Mínimo]],"Estoque Conforme",IF(TAB_ESTOQUE[[#This Row],[Estoque]]&lt;TAB_ESTOQUE[[#This Row],[Mínimo]],"Estoque em Nivel Minimo")))</f>
        <v>Estoque Conforme</v>
      </c>
      <c r="AC1282" s="85"/>
      <c r="AD1282" s="82"/>
    </row>
    <row r="1283" spans="1:30" ht="15" customHeight="1" x14ac:dyDescent="0.25">
      <c r="A1283" s="45">
        <v>266</v>
      </c>
      <c r="B1283" s="47"/>
      <c r="C1283" s="46"/>
      <c r="D1283" s="45" t="s">
        <v>2236</v>
      </c>
      <c r="E1283" s="46"/>
      <c r="F1283" s="87"/>
      <c r="G1283" s="82"/>
      <c r="H1283" s="82"/>
      <c r="I1283" s="82" t="s">
        <v>8547</v>
      </c>
      <c r="J1283" s="82"/>
      <c r="K1283" s="82"/>
      <c r="L1283" s="82"/>
      <c r="M1283" s="82" t="s">
        <v>139</v>
      </c>
      <c r="N1283" s="82"/>
      <c r="O1283" s="87" t="s">
        <v>8019</v>
      </c>
      <c r="P1283" s="82" t="s">
        <v>204</v>
      </c>
      <c r="Q1283" s="83">
        <f>VLOOKUP(TAB_ESTOQUE[[#This Row],[Codigo]],TAB_ENTRADA[[Cod_2_Entrada]:[TOTAL_ENTRADA]],5,FALSE)-VLOOKUP(TAB_ESTOQUE[[#This Row],[Codigo]],TAB_SAIDA[[COD_2_SAIDA]:[TOTAL_SAIDA]],5,FALSE)</f>
        <v>1</v>
      </c>
      <c r="R1283" s="87"/>
      <c r="S1283" s="87"/>
      <c r="T1283" s="90"/>
      <c r="U1283" s="91">
        <f>TAB_ESTOQUE[[#This Row],[Valor Unitario Estimado]]*TAB_ESTOQUE[[#This Row],[Estoque]]</f>
        <v>0</v>
      </c>
      <c r="V1283" s="91"/>
      <c r="W1283" s="85"/>
      <c r="X1283" s="85"/>
      <c r="Y1283" s="85"/>
      <c r="Z1283" s="85"/>
      <c r="AA1283" s="85"/>
      <c r="AB1283" s="85" t="str">
        <f>IF(TAB_ESTOQUE[[#This Row],[Estoque]]=0,"Estoque Não Conforme",IF(TAB_ESTOQUE[[#This Row],[Estoque]]&gt;=TAB_ESTOQUE[[#This Row],[Mínimo]],"Estoque Conforme",IF(TAB_ESTOQUE[[#This Row],[Estoque]]&lt;TAB_ESTOQUE[[#This Row],[Mínimo]],"Estoque em Nivel Minimo")))</f>
        <v>Estoque Conforme</v>
      </c>
      <c r="AC1283" s="85"/>
      <c r="AD1283" s="82"/>
    </row>
    <row r="1284" spans="1:30" ht="15" customHeight="1" x14ac:dyDescent="0.25">
      <c r="A1284" s="45">
        <v>1180</v>
      </c>
      <c r="B1284" s="47"/>
      <c r="C1284" s="46"/>
      <c r="D1284" s="45" t="s">
        <v>2412</v>
      </c>
      <c r="E1284" s="46"/>
      <c r="F1284" s="87"/>
      <c r="G1284" s="82"/>
      <c r="H1284" s="82"/>
      <c r="I1284" s="82" t="s">
        <v>8618</v>
      </c>
      <c r="J1284" s="82"/>
      <c r="K1284" s="82"/>
      <c r="L1284" s="82"/>
      <c r="M1284" s="82"/>
      <c r="N1284" s="82"/>
      <c r="O1284" s="87" t="s">
        <v>8019</v>
      </c>
      <c r="P1284" s="82" t="s">
        <v>904</v>
      </c>
      <c r="Q1284" s="83">
        <f>VLOOKUP(TAB_ESTOQUE[[#This Row],[Codigo]],TAB_ENTRADA[[Cod_2_Entrada]:[TOTAL_ENTRADA]],5,FALSE)-VLOOKUP(TAB_ESTOQUE[[#This Row],[Codigo]],TAB_SAIDA[[COD_2_SAIDA]:[TOTAL_SAIDA]],5,FALSE)</f>
        <v>2</v>
      </c>
      <c r="R1284" s="87"/>
      <c r="S1284" s="87"/>
      <c r="T1284" s="90">
        <v>36</v>
      </c>
      <c r="U1284" s="91">
        <f>TAB_ESTOQUE[[#This Row],[Valor Unitario Estimado]]*TAB_ESTOQUE[[#This Row],[Estoque]]</f>
        <v>72</v>
      </c>
      <c r="V1284" s="91"/>
      <c r="W1284" s="85"/>
      <c r="X1284" s="85"/>
      <c r="Y1284" s="85"/>
      <c r="Z1284" s="85"/>
      <c r="AA1284" s="85"/>
      <c r="AB1284" s="85" t="str">
        <f>IF(TAB_ESTOQUE[[#This Row],[Estoque]]=0,"Estoque Não Conforme",IF(TAB_ESTOQUE[[#This Row],[Estoque]]&gt;=TAB_ESTOQUE[[#This Row],[Mínimo]],"Estoque Conforme",IF(TAB_ESTOQUE[[#This Row],[Estoque]]&lt;TAB_ESTOQUE[[#This Row],[Mínimo]],"Estoque em Nivel Minimo")))</f>
        <v>Estoque Conforme</v>
      </c>
      <c r="AC1284" s="85"/>
      <c r="AD1284" s="82"/>
    </row>
    <row r="1285" spans="1:30" ht="15" customHeight="1" x14ac:dyDescent="0.25">
      <c r="A1285" s="45">
        <v>1071</v>
      </c>
      <c r="B1285" s="47"/>
      <c r="C1285" s="46" t="s">
        <v>2833</v>
      </c>
      <c r="D1285" s="45" t="s">
        <v>2445</v>
      </c>
      <c r="E1285" s="46" t="s">
        <v>1240</v>
      </c>
      <c r="F1285" s="87"/>
      <c r="G1285" s="82"/>
      <c r="H1285" s="82"/>
      <c r="I1285" s="82" t="s">
        <v>8629</v>
      </c>
      <c r="J1285" s="82"/>
      <c r="K1285" s="82"/>
      <c r="L1285" s="82"/>
      <c r="M1285" s="82"/>
      <c r="N1285" s="82"/>
      <c r="O1285" s="87" t="s">
        <v>8019</v>
      </c>
      <c r="P1285" s="82" t="s">
        <v>812</v>
      </c>
      <c r="Q1285" s="83">
        <f>VLOOKUP(TAB_ESTOQUE[[#This Row],[Codigo]],TAB_ENTRADA[[Cod_2_Entrada]:[TOTAL_ENTRADA]],5,FALSE)-VLOOKUP(TAB_ESTOQUE[[#This Row],[Codigo]],TAB_SAIDA[[COD_2_SAIDA]:[TOTAL_SAIDA]],5,FALSE)</f>
        <v>3</v>
      </c>
      <c r="R1285" s="87"/>
      <c r="S1285" s="87"/>
      <c r="T1285" s="90"/>
      <c r="U1285" s="91">
        <f>TAB_ESTOQUE[[#This Row],[Valor Unitario Estimado]]*TAB_ESTOQUE[[#This Row],[Estoque]]</f>
        <v>0</v>
      </c>
      <c r="V1285" s="91"/>
      <c r="W1285" s="85"/>
      <c r="X1285" s="85"/>
      <c r="Y1285" s="85"/>
      <c r="Z1285" s="85"/>
      <c r="AA1285" s="85"/>
      <c r="AB1285" s="85" t="str">
        <f>IF(TAB_ESTOQUE[[#This Row],[Estoque]]=0,"Estoque Não Conforme",IF(TAB_ESTOQUE[[#This Row],[Estoque]]&gt;=TAB_ESTOQUE[[#This Row],[Mínimo]],"Estoque Conforme",IF(TAB_ESTOQUE[[#This Row],[Estoque]]&lt;TAB_ESTOQUE[[#This Row],[Mínimo]],"Estoque em Nivel Minimo")))</f>
        <v>Estoque Conforme</v>
      </c>
      <c r="AC1285" s="85"/>
      <c r="AD1285" s="82"/>
    </row>
    <row r="1286" spans="1:30" ht="15" customHeight="1" x14ac:dyDescent="0.25">
      <c r="A1286" s="47">
        <v>1089</v>
      </c>
      <c r="B1286" s="47"/>
      <c r="C1286" s="51"/>
      <c r="D1286" s="47" t="s">
        <v>2614</v>
      </c>
      <c r="E1286" s="51"/>
      <c r="F1286" s="107"/>
      <c r="G1286" s="94"/>
      <c r="H1286" s="94"/>
      <c r="I1286" s="94" t="s">
        <v>2898</v>
      </c>
      <c r="J1286" s="229"/>
      <c r="K1286" s="94"/>
      <c r="L1286" s="229"/>
      <c r="M1286" s="229"/>
      <c r="N1286" s="229"/>
      <c r="O1286" s="107" t="s">
        <v>8019</v>
      </c>
      <c r="P1286" s="94" t="s">
        <v>821</v>
      </c>
      <c r="Q1286" s="145">
        <f>VLOOKUP(TAB_ESTOQUE[[#This Row],[Codigo]],TAB_ENTRADA[[Cod_2_Entrada]:[TOTAL_ENTRADA]],5,FALSE)-VLOOKUP(TAB_ESTOQUE[[#This Row],[Codigo]],TAB_SAIDA[[COD_2_SAIDA]:[TOTAL_SAIDA]],5,FALSE)</f>
        <v>0</v>
      </c>
      <c r="R1286" s="107"/>
      <c r="S1286" s="107"/>
      <c r="T1286" s="108">
        <v>500</v>
      </c>
      <c r="U1286" s="109">
        <f>TAB_ESTOQUE[[#This Row],[Valor Unitario Estimado]]*TAB_ESTOQUE[[#This Row],[Estoque]]</f>
        <v>0</v>
      </c>
      <c r="V1286" s="109"/>
      <c r="W1286" s="110"/>
      <c r="X1286" s="110"/>
      <c r="Y1286" s="110"/>
      <c r="Z1286" s="110"/>
      <c r="AA1286" s="110"/>
      <c r="AB1286" s="110" t="str">
        <f>IF(TAB_ESTOQUE[[#This Row],[Estoque]]=0,"Estoque Não Conforme",IF(TAB_ESTOQUE[[#This Row],[Estoque]]&gt;=TAB_ESTOQUE[[#This Row],[Mínimo]],"Estoque Conforme",IF(TAB_ESTOQUE[[#This Row],[Estoque]]&lt;TAB_ESTOQUE[[#This Row],[Mínimo]],"Estoque em Nivel Minimo")))</f>
        <v>Estoque Não Conforme</v>
      </c>
      <c r="AC1286" s="110"/>
      <c r="AD1286" s="94"/>
    </row>
    <row r="1287" spans="1:30" ht="15" customHeight="1" x14ac:dyDescent="0.25">
      <c r="B1287" s="47"/>
      <c r="C1287" s="53"/>
      <c r="D1287" s="45" t="s">
        <v>6067</v>
      </c>
      <c r="E1287" s="46" t="s">
        <v>8877</v>
      </c>
      <c r="F1287" s="87"/>
      <c r="G1287" s="82"/>
      <c r="H1287" s="82"/>
      <c r="I1287" s="82" t="s">
        <v>6829</v>
      </c>
      <c r="J1287" s="82"/>
      <c r="K1287" s="82"/>
      <c r="L1287" s="82"/>
      <c r="M1287" s="82"/>
      <c r="N1287" s="82"/>
      <c r="O1287" s="87" t="s">
        <v>8019</v>
      </c>
      <c r="P1287" s="82" t="s">
        <v>1591</v>
      </c>
      <c r="Q1287" s="83">
        <f>VLOOKUP(TAB_ESTOQUE[[#This Row],[Codigo]],TAB_ENTRADA[[Cod_2_Entrada]:[TOTAL_ENTRADA]],5,FALSE)-VLOOKUP(TAB_ESTOQUE[[#This Row],[Codigo]],TAB_SAIDA[[COD_2_SAIDA]:[TOTAL_SAIDA]],5,FALSE)</f>
        <v>1</v>
      </c>
      <c r="R1287" s="87"/>
      <c r="S1287" s="87"/>
      <c r="T1287" s="90">
        <v>1003.99</v>
      </c>
      <c r="U1287" s="91">
        <f>TAB_ESTOQUE[[#This Row],[Valor Unitario Estimado]]*TAB_ESTOQUE[[#This Row],[Estoque]]</f>
        <v>1003.99</v>
      </c>
      <c r="V1287" s="91"/>
      <c r="W1287" s="85"/>
      <c r="X1287" s="85"/>
      <c r="Y1287" s="85"/>
      <c r="Z1287" s="85"/>
      <c r="AA1287" s="85"/>
      <c r="AB1287" s="85" t="str">
        <f>IF(TAB_ESTOQUE[[#This Row],[Estoque]]=0,"Estoque Não Conforme",IF(TAB_ESTOQUE[[#This Row],[Estoque]]&gt;=TAB_ESTOQUE[[#This Row],[Mínimo]],"Estoque Conforme",IF(TAB_ESTOQUE[[#This Row],[Estoque]]&lt;TAB_ESTOQUE[[#This Row],[Mínimo]],"Estoque em Nivel Minimo")))</f>
        <v>Estoque Conforme</v>
      </c>
      <c r="AC1287" s="96"/>
      <c r="AD1287" s="82"/>
    </row>
    <row r="1288" spans="1:30" ht="15" customHeight="1" x14ac:dyDescent="0.25">
      <c r="B1288" s="47"/>
      <c r="C1288" s="53"/>
      <c r="D1288" s="45" t="s">
        <v>6244</v>
      </c>
      <c r="E1288" s="46"/>
      <c r="F1288" s="87"/>
      <c r="G1288" s="82"/>
      <c r="H1288" s="82"/>
      <c r="I1288" s="82" t="s">
        <v>8691</v>
      </c>
      <c r="J1288" s="82"/>
      <c r="K1288" s="82"/>
      <c r="L1288" s="82"/>
      <c r="M1288" s="82"/>
      <c r="N1288" s="82"/>
      <c r="O1288" s="87" t="s">
        <v>8019</v>
      </c>
      <c r="P1288" s="82" t="s">
        <v>1591</v>
      </c>
      <c r="Q1288" s="83">
        <f>VLOOKUP(TAB_ESTOQUE[[#This Row],[Codigo]],TAB_ENTRADA[[Cod_2_Entrada]:[TOTAL_ENTRADA]],5,FALSE)-VLOOKUP(TAB_ESTOQUE[[#This Row],[Codigo]],TAB_SAIDA[[COD_2_SAIDA]:[TOTAL_SAIDA]],5,FALSE)</f>
        <v>2</v>
      </c>
      <c r="R1288" s="87"/>
      <c r="S1288" s="87"/>
      <c r="T1288" s="90">
        <v>54.84</v>
      </c>
      <c r="U1288" s="91">
        <f>TAB_ESTOQUE[[#This Row],[Valor Unitario Estimado]]*TAB_ESTOQUE[[#This Row],[Estoque]]</f>
        <v>109.68</v>
      </c>
      <c r="V1288" s="91"/>
      <c r="W1288" s="85"/>
      <c r="X1288" s="85"/>
      <c r="Y1288" s="85"/>
      <c r="Z1288" s="85"/>
      <c r="AA1288" s="85"/>
      <c r="AB1288" s="85" t="str">
        <f>IF(TAB_ESTOQUE[[#This Row],[Estoque]]=0,"Estoque Não Conforme",IF(TAB_ESTOQUE[[#This Row],[Estoque]]&gt;=TAB_ESTOQUE[[#This Row],[Mínimo]],"Estoque Conforme",IF(TAB_ESTOQUE[[#This Row],[Estoque]]&lt;TAB_ESTOQUE[[#This Row],[Mínimo]],"Estoque em Nivel Minimo")))</f>
        <v>Estoque Conforme</v>
      </c>
      <c r="AC1288" s="96"/>
      <c r="AD1288" s="82"/>
    </row>
    <row r="1289" spans="1:30" ht="15" customHeight="1" x14ac:dyDescent="0.25">
      <c r="B1289" s="47"/>
      <c r="C1289" s="48"/>
      <c r="D1289" s="45" t="s">
        <v>6397</v>
      </c>
      <c r="E1289" s="46" t="s">
        <v>3067</v>
      </c>
      <c r="F1289" s="87"/>
      <c r="G1289" s="82"/>
      <c r="H1289" s="82"/>
      <c r="I1289" s="82" t="s">
        <v>6893</v>
      </c>
      <c r="J1289" s="82"/>
      <c r="K1289" s="82"/>
      <c r="L1289" s="82"/>
      <c r="M1289" s="82"/>
      <c r="N1289" s="82"/>
      <c r="O1289" s="87" t="s">
        <v>8019</v>
      </c>
      <c r="P1289" s="82"/>
      <c r="Q1289" s="83">
        <f>VLOOKUP(TAB_ESTOQUE[[#This Row],[Codigo]],TAB_ENTRADA[[Cod_2_Entrada]:[TOTAL_ENTRADA]],5,FALSE)-VLOOKUP(TAB_ESTOQUE[[#This Row],[Codigo]],TAB_SAIDA[[COD_2_SAIDA]:[TOTAL_SAIDA]],5,FALSE)</f>
        <v>1</v>
      </c>
      <c r="R1289" s="87"/>
      <c r="S1289" s="87"/>
      <c r="T1289" s="90">
        <v>1550</v>
      </c>
      <c r="U1289" s="91">
        <f>TAB_ESTOQUE[[#This Row],[Valor Unitario Estimado]]*TAB_ESTOQUE[[#This Row],[Estoque]]</f>
        <v>1550</v>
      </c>
      <c r="V1289" s="91"/>
      <c r="W1289" s="85"/>
      <c r="X1289" s="85"/>
      <c r="Y1289" s="85"/>
      <c r="Z1289" s="85"/>
      <c r="AA1289" s="85"/>
      <c r="AB1289" s="85" t="str">
        <f>IF(TAB_ESTOQUE[[#This Row],[Estoque]]=0,"Estoque Não Conforme",IF(TAB_ESTOQUE[[#This Row],[Estoque]]&gt;=TAB_ESTOQUE[[#This Row],[Mínimo]],"Estoque Conforme",IF(TAB_ESTOQUE[[#This Row],[Estoque]]&lt;TAB_ESTOQUE[[#This Row],[Mínimo]],"Estoque em Nivel Minimo")))</f>
        <v>Estoque Conforme</v>
      </c>
      <c r="AC1289" s="96"/>
      <c r="AD1289" s="82"/>
    </row>
    <row r="1290" spans="1:30" ht="15" customHeight="1" x14ac:dyDescent="0.25">
      <c r="B1290" s="47"/>
      <c r="C1290" s="48"/>
      <c r="D1290" s="45" t="s">
        <v>6402</v>
      </c>
      <c r="E1290" s="46" t="s">
        <v>3067</v>
      </c>
      <c r="F1290" s="87"/>
      <c r="G1290" s="82"/>
      <c r="H1290" s="82"/>
      <c r="I1290" s="82" t="s">
        <v>6894</v>
      </c>
      <c r="J1290" s="82"/>
      <c r="K1290" s="82"/>
      <c r="L1290" s="82"/>
      <c r="M1290" s="82"/>
      <c r="N1290" s="82"/>
      <c r="O1290" s="87" t="s">
        <v>8019</v>
      </c>
      <c r="P1290" s="82"/>
      <c r="Q1290" s="83">
        <f>VLOOKUP(TAB_ESTOQUE[[#This Row],[Codigo]],TAB_ENTRADA[[Cod_2_Entrada]:[TOTAL_ENTRADA]],5,FALSE)-VLOOKUP(TAB_ESTOQUE[[#This Row],[Codigo]],TAB_SAIDA[[COD_2_SAIDA]:[TOTAL_SAIDA]],5,FALSE)</f>
        <v>6</v>
      </c>
      <c r="R1290" s="87"/>
      <c r="S1290" s="87"/>
      <c r="T1290" s="90">
        <v>410</v>
      </c>
      <c r="U1290" s="91">
        <f>TAB_ESTOQUE[[#This Row],[Valor Unitario Estimado]]*TAB_ESTOQUE[[#This Row],[Estoque]]</f>
        <v>2460</v>
      </c>
      <c r="V1290" s="91"/>
      <c r="W1290" s="85"/>
      <c r="X1290" s="85"/>
      <c r="Y1290" s="85"/>
      <c r="Z1290" s="85"/>
      <c r="AA1290" s="85"/>
      <c r="AB1290" s="85" t="str">
        <f>IF(TAB_ESTOQUE[[#This Row],[Estoque]]=0,"Estoque Não Conforme",IF(TAB_ESTOQUE[[#This Row],[Estoque]]&gt;=TAB_ESTOQUE[[#This Row],[Mínimo]],"Estoque Conforme",IF(TAB_ESTOQUE[[#This Row],[Estoque]]&lt;TAB_ESTOQUE[[#This Row],[Mínimo]],"Estoque em Nivel Minimo")))</f>
        <v>Estoque Conforme</v>
      </c>
      <c r="AC1290" s="96"/>
      <c r="AD1290" s="82"/>
    </row>
    <row r="1291" spans="1:30" ht="15" customHeight="1" x14ac:dyDescent="0.25">
      <c r="B1291" s="47"/>
      <c r="C1291" s="48"/>
      <c r="D1291" s="45" t="s">
        <v>6479</v>
      </c>
      <c r="E1291" s="46" t="s">
        <v>8108</v>
      </c>
      <c r="F1291" s="87"/>
      <c r="G1291" s="82"/>
      <c r="H1291" s="82"/>
      <c r="I1291" s="82" t="s">
        <v>8017</v>
      </c>
      <c r="J1291" s="82"/>
      <c r="K1291" s="82"/>
      <c r="L1291" s="82"/>
      <c r="M1291" s="82"/>
      <c r="N1291" s="82"/>
      <c r="O1291" s="87" t="s">
        <v>8019</v>
      </c>
      <c r="P1291" s="82"/>
      <c r="Q1291" s="83">
        <f>VLOOKUP(TAB_ESTOQUE[[#This Row],[Codigo]],TAB_ENTRADA[[Cod_2_Entrada]:[TOTAL_ENTRADA]],5,FALSE)-VLOOKUP(TAB_ESTOQUE[[#This Row],[Codigo]],TAB_SAIDA[[COD_2_SAIDA]:[TOTAL_SAIDA]],5,FALSE)</f>
        <v>1</v>
      </c>
      <c r="R1291" s="87"/>
      <c r="S1291" s="87"/>
      <c r="T1291" s="90">
        <v>22325</v>
      </c>
      <c r="U1291" s="91">
        <f>TAB_ESTOQUE[[#This Row],[Valor Unitario Estimado]]*TAB_ESTOQUE[[#This Row],[Estoque]]</f>
        <v>22325</v>
      </c>
      <c r="V1291" s="91"/>
      <c r="W1291" s="85"/>
      <c r="X1291" s="85"/>
      <c r="Y1291" s="85"/>
      <c r="Z1291" s="85"/>
      <c r="AA1291" s="85"/>
      <c r="AB1291" s="85" t="str">
        <f>IF(TAB_ESTOQUE[[#This Row],[Estoque]]=0,"Estoque Não Conforme",IF(TAB_ESTOQUE[[#This Row],[Estoque]]&gt;=TAB_ESTOQUE[[#This Row],[Mínimo]],"Estoque Conforme",IF(TAB_ESTOQUE[[#This Row],[Estoque]]&lt;TAB_ESTOQUE[[#This Row],[Mínimo]],"Estoque em Nivel Minimo")))</f>
        <v>Estoque Conforme</v>
      </c>
      <c r="AC1291" s="96"/>
      <c r="AD1291" s="82"/>
    </row>
    <row r="1292" spans="1:30" ht="15" customHeight="1" x14ac:dyDescent="0.25">
      <c r="C1292" s="48"/>
      <c r="D1292" s="45" t="s">
        <v>8058</v>
      </c>
      <c r="E1292" s="46" t="s">
        <v>8877</v>
      </c>
      <c r="F1292" s="46"/>
      <c r="I1292" s="45" t="s">
        <v>9016</v>
      </c>
      <c r="O1292" s="46" t="s">
        <v>8019</v>
      </c>
      <c r="Q1292" s="137">
        <f>VLOOKUP(TAB_ESTOQUE[[#This Row],[Codigo]],TAB_ENTRADA[[Cod_2_Entrada]:[TOTAL_ENTRADA]],5,FALSE)-VLOOKUP(TAB_ESTOQUE[[#This Row],[Codigo]],TAB_SAIDA[[COD_2_SAIDA]:[TOTAL_SAIDA]],5,FALSE)</f>
        <v>0</v>
      </c>
      <c r="R1292" s="46">
        <v>2</v>
      </c>
      <c r="S1292" s="46">
        <v>6</v>
      </c>
      <c r="T1292" s="102">
        <v>710.85</v>
      </c>
      <c r="U1292" s="103">
        <f>TAB_ESTOQUE[[#This Row],[Valor Unitario Estimado]]*TAB_ESTOQUE[[#This Row],[Estoque]]</f>
        <v>0</v>
      </c>
      <c r="V1292" s="103"/>
      <c r="AA1292" s="138"/>
      <c r="AB1292" s="104" t="str">
        <f>IF(TAB_ESTOQUE[[#This Row],[Estoque]]=0,"Estoque Não Conforme",IF(TAB_ESTOQUE[[#This Row],[Estoque]]&gt;=TAB_ESTOQUE[[#This Row],[Mínimo]],"Estoque Conforme",IF(TAB_ESTOQUE[[#This Row],[Estoque]]&lt;TAB_ESTOQUE[[#This Row],[Mínimo]],"Estoque em Nivel Minimo")))</f>
        <v>Estoque Não Conforme</v>
      </c>
      <c r="AC1292" s="104"/>
    </row>
    <row r="1293" spans="1:30" ht="15" customHeight="1" x14ac:dyDescent="0.25">
      <c r="C1293" s="48"/>
      <c r="D1293" s="45" t="s">
        <v>8059</v>
      </c>
      <c r="E1293" s="46" t="s">
        <v>8877</v>
      </c>
      <c r="F1293" s="46"/>
      <c r="H1293" s="45" t="s">
        <v>9017</v>
      </c>
      <c r="I1293" s="45" t="s">
        <v>9018</v>
      </c>
      <c r="O1293" s="46" t="s">
        <v>8019</v>
      </c>
      <c r="Q1293" s="137">
        <f>VLOOKUP(TAB_ESTOQUE[[#This Row],[Codigo]],TAB_ENTRADA[[Cod_2_Entrada]:[TOTAL_ENTRADA]],5,FALSE)-VLOOKUP(TAB_ESTOQUE[[#This Row],[Codigo]],TAB_SAIDA[[COD_2_SAIDA]:[TOTAL_SAIDA]],5,FALSE)</f>
        <v>3</v>
      </c>
      <c r="R1293" s="46">
        <v>4</v>
      </c>
      <c r="S1293" s="46">
        <v>10</v>
      </c>
      <c r="T1293" s="102">
        <v>408.89</v>
      </c>
      <c r="U1293" s="103">
        <f>TAB_ESTOQUE[[#This Row],[Valor Unitario Estimado]]*TAB_ESTOQUE[[#This Row],[Estoque]]</f>
        <v>1226.67</v>
      </c>
      <c r="V1293" s="103"/>
      <c r="AA1293" s="138"/>
      <c r="AB1293" s="104" t="str">
        <f>IF(TAB_ESTOQUE[[#This Row],[Estoque]]=0,"Estoque Não Conforme",IF(TAB_ESTOQUE[[#This Row],[Estoque]]&gt;=TAB_ESTOQUE[[#This Row],[Mínimo]],"Estoque Conforme",IF(TAB_ESTOQUE[[#This Row],[Estoque]]&lt;TAB_ESTOQUE[[#This Row],[Mínimo]],"Estoque em Nivel Minimo")))</f>
        <v>Estoque em Nivel Minimo</v>
      </c>
      <c r="AC1293" s="104"/>
    </row>
    <row r="1294" spans="1:30" ht="15" customHeight="1" x14ac:dyDescent="0.25">
      <c r="A1294" s="45">
        <v>915</v>
      </c>
      <c r="B1294" s="47"/>
      <c r="C1294" s="46" t="s">
        <v>2842</v>
      </c>
      <c r="D1294" s="45" t="s">
        <v>1760</v>
      </c>
      <c r="E1294" s="46" t="s">
        <v>8394</v>
      </c>
      <c r="F1294" s="87"/>
      <c r="G1294" s="82"/>
      <c r="H1294" s="82"/>
      <c r="I1294" s="82" t="s">
        <v>7341</v>
      </c>
      <c r="J1294" s="82"/>
      <c r="K1294" s="82"/>
      <c r="L1294" s="82"/>
      <c r="M1294" s="82"/>
      <c r="N1294" s="82"/>
      <c r="O1294" s="87" t="s">
        <v>6521</v>
      </c>
      <c r="P1294" s="82" t="s">
        <v>6019</v>
      </c>
      <c r="Q1294" s="83">
        <f>VLOOKUP(TAB_ESTOQUE[[#This Row],[Codigo]],TAB_ENTRADA[[Cod_2_Entrada]:[TOTAL_ENTRADA]],5,FALSE)-VLOOKUP(TAB_ESTOQUE[[#This Row],[Codigo]],TAB_SAIDA[[COD_2_SAIDA]:[TOTAL_SAIDA]],5,FALSE)</f>
        <v>3</v>
      </c>
      <c r="R1294" s="87"/>
      <c r="S1294" s="87"/>
      <c r="T1294" s="90">
        <v>90</v>
      </c>
      <c r="U1294" s="91">
        <f>TAB_ESTOQUE[[#This Row],[Valor Unitario Estimado]]*TAB_ESTOQUE[[#This Row],[Estoque]]</f>
        <v>270</v>
      </c>
      <c r="V1294" s="91"/>
      <c r="W1294" s="85"/>
      <c r="X1294" s="85"/>
      <c r="Y1294" s="85"/>
      <c r="Z1294" s="85"/>
      <c r="AA1294" s="85"/>
      <c r="AB1294" s="85" t="str">
        <f>IF(TAB_ESTOQUE[[#This Row],[Estoque]]=0,"Estoque Não Conforme",IF(TAB_ESTOQUE[[#This Row],[Estoque]]&gt;=TAB_ESTOQUE[[#This Row],[Mínimo]],"Estoque Conforme",IF(TAB_ESTOQUE[[#This Row],[Estoque]]&lt;TAB_ESTOQUE[[#This Row],[Mínimo]],"Estoque em Nivel Minimo")))</f>
        <v>Estoque Conforme</v>
      </c>
      <c r="AC1294" s="85"/>
      <c r="AD1294" s="82"/>
    </row>
    <row r="1295" spans="1:30" ht="15" customHeight="1" x14ac:dyDescent="0.25">
      <c r="A1295" s="45">
        <v>1126</v>
      </c>
      <c r="B1295" s="47"/>
      <c r="C1295" s="46" t="s">
        <v>2833</v>
      </c>
      <c r="D1295" s="45" t="s">
        <v>1762</v>
      </c>
      <c r="E1295" s="46" t="s">
        <v>1658</v>
      </c>
      <c r="F1295" s="87"/>
      <c r="G1295" s="82"/>
      <c r="H1295" s="82"/>
      <c r="I1295" s="82" t="s">
        <v>9053</v>
      </c>
      <c r="J1295" s="82"/>
      <c r="K1295" s="82"/>
      <c r="L1295" s="82"/>
      <c r="M1295" s="82"/>
      <c r="N1295" s="82"/>
      <c r="O1295" s="87" t="s">
        <v>6521</v>
      </c>
      <c r="P1295" s="82" t="s">
        <v>851</v>
      </c>
      <c r="Q1295" s="83">
        <f>VLOOKUP(TAB_ESTOQUE[[#This Row],[Codigo]],TAB_ENTRADA[[Cod_2_Entrada]:[TOTAL_ENTRADA]],5,FALSE)-VLOOKUP(TAB_ESTOQUE[[#This Row],[Codigo]],TAB_SAIDA[[COD_2_SAIDA]:[TOTAL_SAIDA]],5,FALSE)</f>
        <v>2</v>
      </c>
      <c r="R1295" s="87"/>
      <c r="S1295" s="87"/>
      <c r="T1295" s="90">
        <v>530</v>
      </c>
      <c r="U1295" s="91">
        <f>TAB_ESTOQUE[[#This Row],[Valor Unitario Estimado]]*TAB_ESTOQUE[[#This Row],[Estoque]]</f>
        <v>1060</v>
      </c>
      <c r="V1295" s="91"/>
      <c r="W1295" s="85"/>
      <c r="X1295" s="85"/>
      <c r="Y1295" s="85"/>
      <c r="Z1295" s="85"/>
      <c r="AA1295" s="85"/>
      <c r="AB1295" s="85" t="str">
        <f>IF(TAB_ESTOQUE[[#This Row],[Estoque]]=0,"Estoque Não Conforme",IF(TAB_ESTOQUE[[#This Row],[Estoque]]&gt;=TAB_ESTOQUE[[#This Row],[Mínimo]],"Estoque Conforme",IF(TAB_ESTOQUE[[#This Row],[Estoque]]&lt;TAB_ESTOQUE[[#This Row],[Mínimo]],"Estoque em Nivel Minimo")))</f>
        <v>Estoque Conforme</v>
      </c>
      <c r="AC1295" s="85"/>
      <c r="AD1295" s="82"/>
    </row>
    <row r="1296" spans="1:30" ht="15" customHeight="1" x14ac:dyDescent="0.25">
      <c r="A1296" s="106">
        <v>1130</v>
      </c>
      <c r="B1296" s="106"/>
      <c r="C1296" s="116" t="s">
        <v>2833</v>
      </c>
      <c r="D1296" s="106" t="s">
        <v>1765</v>
      </c>
      <c r="E1296" s="116" t="s">
        <v>1240</v>
      </c>
      <c r="F1296" s="118"/>
      <c r="G1296" s="95"/>
      <c r="H1296" s="95"/>
      <c r="I1296" s="95" t="s">
        <v>9052</v>
      </c>
      <c r="J1296" s="95"/>
      <c r="K1296" s="95"/>
      <c r="L1296" s="95"/>
      <c r="M1296" s="95"/>
      <c r="N1296" s="95"/>
      <c r="O1296" s="118" t="s">
        <v>6521</v>
      </c>
      <c r="P1296" s="95" t="s">
        <v>850</v>
      </c>
      <c r="Q1296" s="154">
        <f>VLOOKUP(TAB_ESTOQUE[[#This Row],[Codigo]],TAB_ENTRADA[[Cod_2_Entrada]:[TOTAL_ENTRADA]],5,FALSE)-VLOOKUP(TAB_ESTOQUE[[#This Row],[Codigo]],TAB_SAIDA[[COD_2_SAIDA]:[TOTAL_SAIDA]],5,FALSE)</f>
        <v>2</v>
      </c>
      <c r="R1296" s="118"/>
      <c r="S1296" s="118"/>
      <c r="T1296" s="119">
        <v>3205.68</v>
      </c>
      <c r="U1296" s="112">
        <f>TAB_ESTOQUE[[#This Row],[Valor Unitario Estimado]]*TAB_ESTOQUE[[#This Row],[Estoque]]</f>
        <v>6411.36</v>
      </c>
      <c r="V1296" s="112"/>
      <c r="W1296" s="120"/>
      <c r="X1296" s="120"/>
      <c r="Y1296" s="120"/>
      <c r="Z1296" s="120"/>
      <c r="AA1296" s="120"/>
      <c r="AB1296" s="120" t="str">
        <f>IF(TAB_ESTOQUE[[#This Row],[Estoque]]=0,"Estoque Não Conforme",IF(TAB_ESTOQUE[[#This Row],[Estoque]]&gt;=TAB_ESTOQUE[[#This Row],[Mínimo]],"Estoque Conforme",IF(TAB_ESTOQUE[[#This Row],[Estoque]]&lt;TAB_ESTOQUE[[#This Row],[Mínimo]],"Estoque em Nivel Minimo")))</f>
        <v>Estoque Conforme</v>
      </c>
      <c r="AC1296" s="120"/>
      <c r="AD1296" s="95"/>
    </row>
    <row r="1297" spans="1:30" ht="15" customHeight="1" x14ac:dyDescent="0.25">
      <c r="A1297" s="47">
        <v>1131</v>
      </c>
      <c r="B1297" s="47"/>
      <c r="C1297" s="51" t="s">
        <v>2833</v>
      </c>
      <c r="D1297" s="47" t="s">
        <v>1766</v>
      </c>
      <c r="E1297" s="51" t="s">
        <v>1240</v>
      </c>
      <c r="F1297" s="107"/>
      <c r="G1297" s="94"/>
      <c r="H1297" s="94"/>
      <c r="I1297" s="94" t="s">
        <v>8466</v>
      </c>
      <c r="J1297" s="94"/>
      <c r="K1297" s="94"/>
      <c r="L1297" s="94"/>
      <c r="M1297" s="94"/>
      <c r="N1297" s="94"/>
      <c r="O1297" s="107" t="s">
        <v>6521</v>
      </c>
      <c r="P1297" s="94" t="s">
        <v>850</v>
      </c>
      <c r="Q1297" s="145">
        <f>VLOOKUP(TAB_ESTOQUE[[#This Row],[Codigo]],TAB_ENTRADA[[Cod_2_Entrada]:[TOTAL_ENTRADA]],5,FALSE)-VLOOKUP(TAB_ESTOQUE[[#This Row],[Codigo]],TAB_SAIDA[[COD_2_SAIDA]:[TOTAL_SAIDA]],5,FALSE)</f>
        <v>6</v>
      </c>
      <c r="R1297" s="107"/>
      <c r="S1297" s="107"/>
      <c r="T1297" s="108">
        <v>898</v>
      </c>
      <c r="U1297" s="109">
        <f>TAB_ESTOQUE[[#This Row],[Valor Unitario Estimado]]*TAB_ESTOQUE[[#This Row],[Estoque]]</f>
        <v>5388</v>
      </c>
      <c r="V1297" s="109"/>
      <c r="W1297" s="110"/>
      <c r="X1297" s="110"/>
      <c r="Y1297" s="110"/>
      <c r="Z1297" s="110"/>
      <c r="AA1297" s="110"/>
      <c r="AB1297" s="110" t="str">
        <f>IF(TAB_ESTOQUE[[#This Row],[Estoque]]=0,"Estoque Não Conforme",IF(TAB_ESTOQUE[[#This Row],[Estoque]]&gt;=TAB_ESTOQUE[[#This Row],[Mínimo]],"Estoque Conforme",IF(TAB_ESTOQUE[[#This Row],[Estoque]]&lt;TAB_ESTOQUE[[#This Row],[Mínimo]],"Estoque em Nivel Minimo")))</f>
        <v>Estoque Conforme</v>
      </c>
      <c r="AC1297" s="110"/>
      <c r="AD1297" s="94"/>
    </row>
    <row r="1298" spans="1:30" s="147" customFormat="1" ht="15" customHeight="1" x14ac:dyDescent="0.25">
      <c r="A1298" s="45">
        <v>613</v>
      </c>
      <c r="B1298" s="47"/>
      <c r="C1298" s="46" t="s">
        <v>2838</v>
      </c>
      <c r="D1298" s="45" t="s">
        <v>1868</v>
      </c>
      <c r="E1298" s="46" t="s">
        <v>7</v>
      </c>
      <c r="F1298" s="87"/>
      <c r="G1298" s="82"/>
      <c r="H1298" s="82"/>
      <c r="I1298" s="82" t="s">
        <v>8469</v>
      </c>
      <c r="J1298" s="82"/>
      <c r="K1298" s="82"/>
      <c r="L1298" s="82"/>
      <c r="M1298" s="82"/>
      <c r="N1298" s="82"/>
      <c r="O1298" s="87" t="s">
        <v>6521</v>
      </c>
      <c r="P1298" s="82" t="s">
        <v>393</v>
      </c>
      <c r="Q1298" s="83">
        <f>VLOOKUP(TAB_ESTOQUE[[#This Row],[Codigo]],TAB_ENTRADA[[Cod_2_Entrada]:[TOTAL_ENTRADA]],5,FALSE)-VLOOKUP(TAB_ESTOQUE[[#This Row],[Codigo]],TAB_SAIDA[[COD_2_SAIDA]:[TOTAL_SAIDA]],5,FALSE)</f>
        <v>1</v>
      </c>
      <c r="R1298" s="87"/>
      <c r="S1298" s="87"/>
      <c r="T1298" s="90"/>
      <c r="U1298" s="91">
        <f>TAB_ESTOQUE[[#This Row],[Valor Unitario Estimado]]*TAB_ESTOQUE[[#This Row],[Estoque]]</f>
        <v>0</v>
      </c>
      <c r="V1298" s="91"/>
      <c r="W1298" s="85"/>
      <c r="X1298" s="85"/>
      <c r="Y1298" s="85"/>
      <c r="Z1298" s="85"/>
      <c r="AA1298" s="85"/>
      <c r="AB1298" s="85" t="str">
        <f>IF(TAB_ESTOQUE[[#This Row],[Estoque]]=0,"Estoque Não Conforme",IF(TAB_ESTOQUE[[#This Row],[Estoque]]&gt;=TAB_ESTOQUE[[#This Row],[Mínimo]],"Estoque Conforme",IF(TAB_ESTOQUE[[#This Row],[Estoque]]&lt;TAB_ESTOQUE[[#This Row],[Mínimo]],"Estoque em Nivel Minimo")))</f>
        <v>Estoque Conforme</v>
      </c>
      <c r="AC1298" s="85"/>
      <c r="AD1298" s="82"/>
    </row>
    <row r="1299" spans="1:30" s="47" customFormat="1" ht="15" customHeight="1" x14ac:dyDescent="0.25">
      <c r="A1299" s="45">
        <v>477</v>
      </c>
      <c r="C1299" s="46" t="s">
        <v>2833</v>
      </c>
      <c r="D1299" s="45" t="s">
        <v>2238</v>
      </c>
      <c r="E1299" s="46" t="s">
        <v>1240</v>
      </c>
      <c r="F1299" s="87"/>
      <c r="G1299" s="82"/>
      <c r="H1299" s="82"/>
      <c r="I1299" s="82" t="s">
        <v>8549</v>
      </c>
      <c r="J1299" s="82"/>
      <c r="K1299" s="82"/>
      <c r="L1299" s="82"/>
      <c r="M1299" s="82"/>
      <c r="N1299" s="82"/>
      <c r="O1299" s="87" t="s">
        <v>6521</v>
      </c>
      <c r="P1299" s="82" t="s">
        <v>257</v>
      </c>
      <c r="Q1299" s="83">
        <f>VLOOKUP(TAB_ESTOQUE[[#This Row],[Codigo]],TAB_ENTRADA[[Cod_2_Entrada]:[TOTAL_ENTRADA]],5,FALSE)-VLOOKUP(TAB_ESTOQUE[[#This Row],[Codigo]],TAB_SAIDA[[COD_2_SAIDA]:[TOTAL_SAIDA]],5,FALSE)</f>
        <v>6</v>
      </c>
      <c r="R1299" s="87"/>
      <c r="S1299" s="87"/>
      <c r="T1299" s="90">
        <v>1085</v>
      </c>
      <c r="U1299" s="91">
        <f>TAB_ESTOQUE[[#This Row],[Valor Unitario Estimado]]*TAB_ESTOQUE[[#This Row],[Estoque]]</f>
        <v>6510</v>
      </c>
      <c r="V1299" s="91"/>
      <c r="W1299" s="85"/>
      <c r="X1299" s="85"/>
      <c r="Y1299" s="85"/>
      <c r="Z1299" s="85"/>
      <c r="AA1299" s="85"/>
      <c r="AB1299" s="85" t="str">
        <f>IF(TAB_ESTOQUE[[#This Row],[Estoque]]=0,"Estoque Não Conforme",IF(TAB_ESTOQUE[[#This Row],[Estoque]]&gt;=TAB_ESTOQUE[[#This Row],[Mínimo]],"Estoque Conforme",IF(TAB_ESTOQUE[[#This Row],[Estoque]]&lt;TAB_ESTOQUE[[#This Row],[Mínimo]],"Estoque em Nivel Minimo")))</f>
        <v>Estoque Conforme</v>
      </c>
      <c r="AC1299" s="85"/>
      <c r="AD1299" s="82"/>
    </row>
    <row r="1300" spans="1:30" ht="15" customHeight="1" x14ac:dyDescent="0.25">
      <c r="A1300" s="45">
        <v>684</v>
      </c>
      <c r="B1300" s="47"/>
      <c r="C1300" s="46"/>
      <c r="D1300" s="45" t="s">
        <v>2399</v>
      </c>
      <c r="E1300" s="46"/>
      <c r="F1300" s="87"/>
      <c r="G1300" s="82"/>
      <c r="H1300" s="82"/>
      <c r="I1300" s="82" t="s">
        <v>6204</v>
      </c>
      <c r="J1300" s="82"/>
      <c r="K1300" s="82"/>
      <c r="L1300" s="82"/>
      <c r="M1300" s="82"/>
      <c r="N1300" s="82"/>
      <c r="O1300" s="87" t="s">
        <v>6521</v>
      </c>
      <c r="P1300" s="82" t="s">
        <v>469</v>
      </c>
      <c r="Q1300" s="83">
        <f>VLOOKUP(TAB_ESTOQUE[[#This Row],[Codigo]],TAB_ENTRADA[[Cod_2_Entrada]:[TOTAL_ENTRADA]],5,FALSE)-VLOOKUP(TAB_ESTOQUE[[#This Row],[Codigo]],TAB_SAIDA[[COD_2_SAIDA]:[TOTAL_SAIDA]],5,FALSE)</f>
        <v>1</v>
      </c>
      <c r="R1300" s="87"/>
      <c r="S1300" s="87"/>
      <c r="T1300" s="90">
        <v>6488.33</v>
      </c>
      <c r="U1300" s="91">
        <f>TAB_ESTOQUE[[#This Row],[Valor Unitario Estimado]]*TAB_ESTOQUE[[#This Row],[Estoque]]</f>
        <v>6488.33</v>
      </c>
      <c r="V1300" s="91"/>
      <c r="W1300" s="85"/>
      <c r="X1300" s="85"/>
      <c r="Y1300" s="85"/>
      <c r="Z1300" s="85"/>
      <c r="AA1300" s="85"/>
      <c r="AB1300" s="85" t="str">
        <f>IF(TAB_ESTOQUE[[#This Row],[Estoque]]=0,"Estoque Não Conforme",IF(TAB_ESTOQUE[[#This Row],[Estoque]]&gt;=TAB_ESTOQUE[[#This Row],[Mínimo]],"Estoque Conforme",IF(TAB_ESTOQUE[[#This Row],[Estoque]]&lt;TAB_ESTOQUE[[#This Row],[Mínimo]],"Estoque em Nivel Minimo")))</f>
        <v>Estoque Conforme</v>
      </c>
      <c r="AC1300" s="85"/>
      <c r="AD1300" s="82"/>
    </row>
    <row r="1301" spans="1:30" ht="15" customHeight="1" x14ac:dyDescent="0.25">
      <c r="A1301" s="45">
        <v>1364</v>
      </c>
      <c r="B1301" s="47"/>
      <c r="C1301" s="46"/>
      <c r="D1301" s="45" t="s">
        <v>2455</v>
      </c>
      <c r="E1301" s="46" t="s">
        <v>8108</v>
      </c>
      <c r="F1301" s="87"/>
      <c r="G1301" s="82"/>
      <c r="H1301" s="82"/>
      <c r="I1301" s="82" t="s">
        <v>9011</v>
      </c>
      <c r="J1301" s="82"/>
      <c r="K1301" s="82"/>
      <c r="L1301" s="82"/>
      <c r="M1301" s="82"/>
      <c r="N1301" s="82"/>
      <c r="O1301" s="87" t="s">
        <v>6521</v>
      </c>
      <c r="P1301" s="82" t="s">
        <v>1098</v>
      </c>
      <c r="Q1301" s="83">
        <f>VLOOKUP(TAB_ESTOQUE[[#This Row],[Codigo]],TAB_ENTRADA[[Cod_2_Entrada]:[TOTAL_ENTRADA]],5,FALSE)-VLOOKUP(TAB_ESTOQUE[[#This Row],[Codigo]],TAB_SAIDA[[COD_2_SAIDA]:[TOTAL_SAIDA]],5,FALSE)</f>
        <v>2</v>
      </c>
      <c r="R1301" s="87">
        <v>1</v>
      </c>
      <c r="S1301" s="87">
        <v>4</v>
      </c>
      <c r="T1301" s="90">
        <v>300</v>
      </c>
      <c r="U1301" s="91">
        <f>TAB_ESTOQUE[[#This Row],[Valor Unitario Estimado]]*TAB_ESTOQUE[[#This Row],[Estoque]]</f>
        <v>600</v>
      </c>
      <c r="V1301" s="91"/>
      <c r="W1301" s="85"/>
      <c r="X1301" s="85"/>
      <c r="Y1301" s="85"/>
      <c r="Z1301" s="85"/>
      <c r="AA1301" s="85"/>
      <c r="AB1301" s="85" t="str">
        <f>IF(TAB_ESTOQUE[[#This Row],[Estoque]]=0,"Estoque Não Conforme",IF(TAB_ESTOQUE[[#This Row],[Estoque]]&gt;=TAB_ESTOQUE[[#This Row],[Mínimo]],"Estoque Conforme",IF(TAB_ESTOQUE[[#This Row],[Estoque]]&lt;TAB_ESTOQUE[[#This Row],[Mínimo]],"Estoque em Nivel Minimo")))</f>
        <v>Estoque Conforme</v>
      </c>
      <c r="AC1301" s="85"/>
      <c r="AD1301" s="82"/>
    </row>
    <row r="1302" spans="1:30" ht="15" customHeight="1" x14ac:dyDescent="0.25">
      <c r="B1302" s="47"/>
      <c r="C1302" s="46"/>
      <c r="D1302" s="45" t="s">
        <v>2664</v>
      </c>
      <c r="E1302" s="46" t="s">
        <v>356</v>
      </c>
      <c r="F1302" s="87"/>
      <c r="G1302" s="82"/>
      <c r="H1302" s="82"/>
      <c r="I1302" s="82" t="s">
        <v>8663</v>
      </c>
      <c r="J1302" s="82"/>
      <c r="K1302" s="82" t="s">
        <v>1263</v>
      </c>
      <c r="L1302" s="82"/>
      <c r="M1302" s="82"/>
      <c r="N1302" s="82"/>
      <c r="O1302" s="87" t="s">
        <v>6521</v>
      </c>
      <c r="P1302" s="82" t="s">
        <v>1260</v>
      </c>
      <c r="Q1302" s="83">
        <f>VLOOKUP(TAB_ESTOQUE[[#This Row],[Codigo]],TAB_ENTRADA[[Cod_2_Entrada]:[TOTAL_ENTRADA]],5,FALSE)-VLOOKUP(TAB_ESTOQUE[[#This Row],[Codigo]],TAB_SAIDA[[COD_2_SAIDA]:[TOTAL_SAIDA]],5,FALSE)</f>
        <v>2</v>
      </c>
      <c r="R1302" s="87"/>
      <c r="S1302" s="87"/>
      <c r="T1302" s="90">
        <v>652.6</v>
      </c>
      <c r="U1302" s="91">
        <f>TAB_ESTOQUE[[#This Row],[Valor Unitario Estimado]]*TAB_ESTOQUE[[#This Row],[Estoque]]</f>
        <v>1305.2</v>
      </c>
      <c r="V1302" s="91"/>
      <c r="W1302" s="85"/>
      <c r="X1302" s="85"/>
      <c r="Y1302" s="85"/>
      <c r="Z1302" s="85"/>
      <c r="AA1302" s="85"/>
      <c r="AB1302" s="96" t="str">
        <f>IF(TAB_ESTOQUE[[#This Row],[Estoque]]=0,"Estoque Não Conforme",IF(TAB_ESTOQUE[[#This Row],[Estoque]]&gt;=TAB_ESTOQUE[[#This Row],[Mínimo]],"Estoque Conforme",IF(TAB_ESTOQUE[[#This Row],[Estoque]]&lt;TAB_ESTOQUE[[#This Row],[Mínimo]],"Estoque em Nivel Minimo")))</f>
        <v>Estoque Conforme</v>
      </c>
      <c r="AC1302" s="85"/>
      <c r="AD1302" s="82"/>
    </row>
    <row r="1303" spans="1:30" ht="15" customHeight="1" x14ac:dyDescent="0.25">
      <c r="A1303" s="47"/>
      <c r="B1303" s="47"/>
      <c r="C1303" s="47"/>
      <c r="D1303" s="47" t="s">
        <v>6271</v>
      </c>
      <c r="E1303" s="51"/>
      <c r="F1303" s="107"/>
      <c r="G1303" s="94"/>
      <c r="H1303" s="94"/>
      <c r="I1303" s="94" t="s">
        <v>6847</v>
      </c>
      <c r="J1303" s="94"/>
      <c r="K1303" s="94"/>
      <c r="L1303" s="94"/>
      <c r="M1303" s="94"/>
      <c r="N1303" s="94"/>
      <c r="O1303" s="107" t="s">
        <v>6521</v>
      </c>
      <c r="P1303" s="94"/>
      <c r="Q1303" s="145">
        <f>VLOOKUP(TAB_ESTOQUE[[#This Row],[Codigo]],TAB_ENTRADA[[Cod_2_Entrada]:[TOTAL_ENTRADA]],5,FALSE)-VLOOKUP(TAB_ESTOQUE[[#This Row],[Codigo]],TAB_SAIDA[[COD_2_SAIDA]:[TOTAL_SAIDA]],5,FALSE)</f>
        <v>1</v>
      </c>
      <c r="R1303" s="107"/>
      <c r="S1303" s="107"/>
      <c r="T1303" s="108">
        <v>647.37</v>
      </c>
      <c r="U1303" s="109">
        <f>TAB_ESTOQUE[[#This Row],[Valor Unitario Estimado]]*TAB_ESTOQUE[[#This Row],[Estoque]]</f>
        <v>647.37</v>
      </c>
      <c r="V1303" s="109"/>
      <c r="W1303" s="110"/>
      <c r="X1303" s="110"/>
      <c r="Y1303" s="110"/>
      <c r="Z1303" s="110"/>
      <c r="AA1303" s="110"/>
      <c r="AB1303" s="110" t="str">
        <f>IF(TAB_ESTOQUE[[#This Row],[Estoque]]=0,"Estoque Não Conforme",IF(TAB_ESTOQUE[[#This Row],[Estoque]]&gt;=TAB_ESTOQUE[[#This Row],[Mínimo]],"Estoque Conforme",IF(TAB_ESTOQUE[[#This Row],[Estoque]]&lt;TAB_ESTOQUE[[#This Row],[Mínimo]],"Estoque em Nivel Minimo")))</f>
        <v>Estoque Conforme</v>
      </c>
      <c r="AC1303" s="155"/>
      <c r="AD1303" s="94"/>
    </row>
    <row r="1304" spans="1:30" ht="15" customHeight="1" x14ac:dyDescent="0.25">
      <c r="C1304" s="48"/>
      <c r="D1304" s="45" t="s">
        <v>7092</v>
      </c>
      <c r="E1304" s="46" t="s">
        <v>1658</v>
      </c>
      <c r="F1304" s="46"/>
      <c r="I1304" s="45" t="s">
        <v>7510</v>
      </c>
      <c r="O1304" s="46" t="s">
        <v>6521</v>
      </c>
      <c r="Q1304" s="137">
        <f>VLOOKUP(TAB_ESTOQUE[[#This Row],[Codigo]],TAB_ENTRADA[[Cod_2_Entrada]:[TOTAL_ENTRADA]],5,FALSE)-VLOOKUP(TAB_ESTOQUE[[#This Row],[Codigo]],TAB_SAIDA[[COD_2_SAIDA]:[TOTAL_SAIDA]],5,FALSE)</f>
        <v>0</v>
      </c>
      <c r="S1304" s="46"/>
      <c r="T1304" s="102">
        <v>391</v>
      </c>
      <c r="U1304" s="103">
        <f>TAB_ESTOQUE[[#This Row],[Valor Unitario Estimado]]*TAB_ESTOQUE[[#This Row],[Estoque]]</f>
        <v>0</v>
      </c>
      <c r="V1304" s="103"/>
      <c r="AA1304" s="138"/>
      <c r="AB1304" s="104" t="str">
        <f>IF(TAB_ESTOQUE[[#This Row],[Estoque]]=0,"Estoque Não Conforme",IF(TAB_ESTOQUE[[#This Row],[Estoque]]&gt;=TAB_ESTOQUE[[#This Row],[Mínimo]],"Estoque Conforme",IF(TAB_ESTOQUE[[#This Row],[Estoque]]&lt;TAB_ESTOQUE[[#This Row],[Mínimo]],"Estoque em Nivel Minimo")))</f>
        <v>Estoque Não Conforme</v>
      </c>
      <c r="AC1304" s="104"/>
    </row>
    <row r="1305" spans="1:30" ht="15" customHeight="1" x14ac:dyDescent="0.25">
      <c r="C1305" s="48"/>
      <c r="D1305" s="45" t="s">
        <v>8170</v>
      </c>
      <c r="E1305" s="46" t="s">
        <v>1240</v>
      </c>
      <c r="F1305" s="46"/>
      <c r="I1305" s="45" t="s">
        <v>9054</v>
      </c>
      <c r="O1305" s="46" t="s">
        <v>6521</v>
      </c>
      <c r="Q1305" s="137">
        <f>VLOOKUP(TAB_ESTOQUE[[#This Row],[Codigo]],TAB_ENTRADA[[Cod_2_Entrada]:[TOTAL_ENTRADA]],5,FALSE)-VLOOKUP(TAB_ESTOQUE[[#This Row],[Codigo]],TAB_SAIDA[[COD_2_SAIDA]:[TOTAL_SAIDA]],5,FALSE)</f>
        <v>0</v>
      </c>
      <c r="R1305" s="46">
        <v>2</v>
      </c>
      <c r="S1305" s="46">
        <v>4</v>
      </c>
      <c r="T1305" s="102">
        <v>8919.15</v>
      </c>
      <c r="U1305" s="103">
        <f>TAB_ESTOQUE[[#This Row],[Valor Unitario Estimado]]*TAB_ESTOQUE[[#This Row],[Estoque]]</f>
        <v>0</v>
      </c>
      <c r="V1305" s="103"/>
      <c r="AA1305" s="138"/>
      <c r="AB1305" s="104" t="str">
        <f>IF(TAB_ESTOQUE[[#This Row],[Estoque]]=0,"Estoque Não Conforme",IF(TAB_ESTOQUE[[#This Row],[Estoque]]&gt;=TAB_ESTOQUE[[#This Row],[Mínimo]],"Estoque Conforme",IF(TAB_ESTOQUE[[#This Row],[Estoque]]&lt;TAB_ESTOQUE[[#This Row],[Mínimo]],"Estoque em Nivel Minimo")))</f>
        <v>Estoque Não Conforme</v>
      </c>
      <c r="AC1305" s="104"/>
    </row>
    <row r="1306" spans="1:30" ht="15" customHeight="1" x14ac:dyDescent="0.25">
      <c r="A1306" s="45">
        <v>883</v>
      </c>
      <c r="B1306" s="47"/>
      <c r="C1306" s="46" t="s">
        <v>2838</v>
      </c>
      <c r="D1306" s="45" t="s">
        <v>1681</v>
      </c>
      <c r="E1306" s="46" t="s">
        <v>8081</v>
      </c>
      <c r="F1306" s="87"/>
      <c r="G1306" s="82"/>
      <c r="H1306" s="82"/>
      <c r="I1306" s="82" t="s">
        <v>8082</v>
      </c>
      <c r="J1306" s="82"/>
      <c r="K1306" s="82"/>
      <c r="L1306" s="82"/>
      <c r="M1306" s="82"/>
      <c r="N1306" s="82"/>
      <c r="O1306" s="87" t="s">
        <v>6522</v>
      </c>
      <c r="P1306" s="82" t="s">
        <v>680</v>
      </c>
      <c r="Q1306" s="83">
        <f>VLOOKUP(TAB_ESTOQUE[[#This Row],[Codigo]],TAB_ENTRADA[[Cod_2_Entrada]:[TOTAL_ENTRADA]],5,FALSE)-VLOOKUP(TAB_ESTOQUE[[#This Row],[Codigo]],TAB_SAIDA[[COD_2_SAIDA]:[TOTAL_SAIDA]],5,FALSE)</f>
        <v>0</v>
      </c>
      <c r="R1306" s="87"/>
      <c r="S1306" s="87"/>
      <c r="T1306" s="219">
        <v>5025.6899999999996</v>
      </c>
      <c r="U1306" s="91">
        <f>TAB_ESTOQUE[[#This Row],[Valor Unitario Estimado]]*TAB_ESTOQUE[[#This Row],[Estoque]]</f>
        <v>0</v>
      </c>
      <c r="V1306" s="91"/>
      <c r="W1306" s="85"/>
      <c r="X1306" s="85"/>
      <c r="Y1306" s="85"/>
      <c r="Z1306" s="85"/>
      <c r="AA1306" s="85"/>
      <c r="AB1306" s="85" t="str">
        <f>IF(TAB_ESTOQUE[[#This Row],[Estoque]]=0,"Estoque Não Conforme",IF(TAB_ESTOQUE[[#This Row],[Estoque]]&gt;=TAB_ESTOQUE[[#This Row],[Mínimo]],"Estoque Conforme",IF(TAB_ESTOQUE[[#This Row],[Estoque]]&lt;TAB_ESTOQUE[[#This Row],[Mínimo]],"Estoque em Nivel Minimo")))</f>
        <v>Estoque Não Conforme</v>
      </c>
      <c r="AC1306" s="85"/>
      <c r="AD1306" s="82"/>
    </row>
    <row r="1307" spans="1:30" ht="15" customHeight="1" x14ac:dyDescent="0.25">
      <c r="A1307" s="45">
        <v>1298</v>
      </c>
      <c r="B1307" s="47"/>
      <c r="C1307" s="46"/>
      <c r="D1307" s="45" t="s">
        <v>2460</v>
      </c>
      <c r="E1307" s="46" t="s">
        <v>7</v>
      </c>
      <c r="F1307" s="87"/>
      <c r="G1307" s="82"/>
      <c r="H1307" s="82"/>
      <c r="I1307" s="82" t="s">
        <v>8634</v>
      </c>
      <c r="J1307" s="82"/>
      <c r="K1307" s="82"/>
      <c r="L1307" s="82"/>
      <c r="M1307" s="82"/>
      <c r="N1307" s="82"/>
      <c r="O1307" s="87" t="s">
        <v>6522</v>
      </c>
      <c r="P1307" s="82" t="s">
        <v>1021</v>
      </c>
      <c r="Q1307" s="83">
        <f>VLOOKUP(TAB_ESTOQUE[[#This Row],[Codigo]],TAB_ENTRADA[[Cod_2_Entrada]:[TOTAL_ENTRADA]],5,FALSE)-VLOOKUP(TAB_ESTOQUE[[#This Row],[Codigo]],TAB_SAIDA[[COD_2_SAIDA]:[TOTAL_SAIDA]],5,FALSE)</f>
        <v>4</v>
      </c>
      <c r="R1307" s="87"/>
      <c r="S1307" s="87"/>
      <c r="T1307" s="90">
        <v>132</v>
      </c>
      <c r="U1307" s="91">
        <f>TAB_ESTOQUE[[#This Row],[Valor Unitario Estimado]]*TAB_ESTOQUE[[#This Row],[Estoque]]</f>
        <v>528</v>
      </c>
      <c r="V1307" s="91"/>
      <c r="W1307" s="85"/>
      <c r="X1307" s="85"/>
      <c r="Y1307" s="85"/>
      <c r="Z1307" s="85"/>
      <c r="AA1307" s="85"/>
      <c r="AB1307" s="85" t="str">
        <f>IF(TAB_ESTOQUE[[#This Row],[Estoque]]=0,"Estoque Não Conforme",IF(TAB_ESTOQUE[[#This Row],[Estoque]]&gt;=TAB_ESTOQUE[[#This Row],[Mínimo]],"Estoque Conforme",IF(TAB_ESTOQUE[[#This Row],[Estoque]]&lt;TAB_ESTOQUE[[#This Row],[Mínimo]],"Estoque em Nivel Minimo")))</f>
        <v>Estoque Conforme</v>
      </c>
      <c r="AC1307" s="85"/>
      <c r="AD1307" s="82"/>
    </row>
    <row r="1308" spans="1:30" ht="15" customHeight="1" x14ac:dyDescent="0.25">
      <c r="B1308" s="47"/>
      <c r="C1308" s="46"/>
      <c r="D1308" s="45" t="s">
        <v>2681</v>
      </c>
      <c r="E1308" s="46" t="s">
        <v>1432</v>
      </c>
      <c r="F1308" s="87"/>
      <c r="G1308" s="82"/>
      <c r="H1308" s="82"/>
      <c r="I1308" s="82" t="s">
        <v>1431</v>
      </c>
      <c r="J1308" s="82"/>
      <c r="K1308" s="82"/>
      <c r="L1308" s="82"/>
      <c r="M1308" s="82"/>
      <c r="N1308" s="82"/>
      <c r="O1308" s="87" t="s">
        <v>6522</v>
      </c>
      <c r="P1308" s="82" t="s">
        <v>1198</v>
      </c>
      <c r="Q1308" s="83">
        <f>VLOOKUP(TAB_ESTOQUE[[#This Row],[Codigo]],TAB_ENTRADA[[Cod_2_Entrada]:[TOTAL_ENTRADA]],5,FALSE)-VLOOKUP(TAB_ESTOQUE[[#This Row],[Codigo]],TAB_SAIDA[[COD_2_SAIDA]:[TOTAL_SAIDA]],5,FALSE)</f>
        <v>1</v>
      </c>
      <c r="R1308" s="87"/>
      <c r="S1308" s="87"/>
      <c r="T1308" s="90"/>
      <c r="U1308" s="91">
        <f>TAB_ESTOQUE[[#This Row],[Valor Unitario Estimado]]*TAB_ESTOQUE[[#This Row],[Estoque]]</f>
        <v>0</v>
      </c>
      <c r="V1308" s="91"/>
      <c r="W1308" s="85"/>
      <c r="X1308" s="85"/>
      <c r="Y1308" s="85"/>
      <c r="Z1308" s="85"/>
      <c r="AA1308" s="85"/>
      <c r="AB1308" s="96" t="str">
        <f>IF(TAB_ESTOQUE[[#This Row],[Estoque]]=0,"Estoque Não Conforme",IF(TAB_ESTOQUE[[#This Row],[Estoque]]&gt;=TAB_ESTOQUE[[#This Row],[Mínimo]],"Estoque Conforme",IF(TAB_ESTOQUE[[#This Row],[Estoque]]&lt;TAB_ESTOQUE[[#This Row],[Mínimo]],"Estoque em Nivel Minimo")))</f>
        <v>Estoque Conforme</v>
      </c>
      <c r="AC1308" s="85"/>
      <c r="AD1308" s="82"/>
    </row>
    <row r="1309" spans="1:30" ht="15" customHeight="1" x14ac:dyDescent="0.25">
      <c r="C1309" s="48"/>
      <c r="D1309" s="45" t="s">
        <v>6929</v>
      </c>
      <c r="E1309" s="46"/>
      <c r="F1309" s="46"/>
      <c r="I1309" s="45" t="s">
        <v>7230</v>
      </c>
      <c r="O1309" s="46" t="s">
        <v>6522</v>
      </c>
      <c r="Q1309" s="137">
        <f>VLOOKUP(TAB_ESTOQUE[[#This Row],[Codigo]],TAB_ENTRADA[[Cod_2_Entrada]:[TOTAL_ENTRADA]],5,FALSE)-VLOOKUP(TAB_ESTOQUE[[#This Row],[Codigo]],TAB_SAIDA[[COD_2_SAIDA]:[TOTAL_SAIDA]],5,FALSE)</f>
        <v>0</v>
      </c>
      <c r="S1309" s="46"/>
      <c r="T1309" s="102">
        <v>111</v>
      </c>
      <c r="U1309" s="103">
        <f>TAB_ESTOQUE[[#This Row],[Valor Unitario Estimado]]*TAB_ESTOQUE[[#This Row],[Estoque]]</f>
        <v>0</v>
      </c>
      <c r="V1309" s="103"/>
      <c r="AA1309" s="138"/>
      <c r="AB1309" s="104" t="str">
        <f>IF(TAB_ESTOQUE[[#This Row],[Estoque]]=0,"Estoque Não Conforme",IF(TAB_ESTOQUE[[#This Row],[Estoque]]&gt;=TAB_ESTOQUE[[#This Row],[Mínimo]],"Estoque Conforme",IF(TAB_ESTOQUE[[#This Row],[Estoque]]&lt;TAB_ESTOQUE[[#This Row],[Mínimo]],"Estoque em Nivel Minimo")))</f>
        <v>Estoque Não Conforme</v>
      </c>
      <c r="AC1309" s="104"/>
    </row>
    <row r="1310" spans="1:30" ht="15" customHeight="1" x14ac:dyDescent="0.25">
      <c r="C1310" s="48"/>
      <c r="D1310" s="45" t="s">
        <v>7095</v>
      </c>
      <c r="E1310" s="46" t="s">
        <v>7540</v>
      </c>
      <c r="F1310" s="46"/>
      <c r="I1310" s="45" t="s">
        <v>7537</v>
      </c>
      <c r="O1310" s="46" t="s">
        <v>6522</v>
      </c>
      <c r="Q1310" s="137">
        <f>VLOOKUP(TAB_ESTOQUE[[#This Row],[Codigo]],TAB_ENTRADA[[Cod_2_Entrada]:[TOTAL_ENTRADA]],5,FALSE)-VLOOKUP(TAB_ESTOQUE[[#This Row],[Codigo]],TAB_SAIDA[[COD_2_SAIDA]:[TOTAL_SAIDA]],5,FALSE)</f>
        <v>1</v>
      </c>
      <c r="S1310" s="46"/>
      <c r="T1310" s="102">
        <v>500.09</v>
      </c>
      <c r="U1310" s="103">
        <f>TAB_ESTOQUE[[#This Row],[Valor Unitario Estimado]]*TAB_ESTOQUE[[#This Row],[Estoque]]</f>
        <v>500.09</v>
      </c>
      <c r="V1310" s="103"/>
      <c r="AA1310" s="138"/>
      <c r="AB1310" s="104" t="str">
        <f>IF(TAB_ESTOQUE[[#This Row],[Estoque]]=0,"Estoque Não Conforme",IF(TAB_ESTOQUE[[#This Row],[Estoque]]&gt;=TAB_ESTOQUE[[#This Row],[Mínimo]],"Estoque Conforme",IF(TAB_ESTOQUE[[#This Row],[Estoque]]&lt;TAB_ESTOQUE[[#This Row],[Mínimo]],"Estoque em Nivel Minimo")))</f>
        <v>Estoque Conforme</v>
      </c>
      <c r="AC1310" s="104"/>
    </row>
    <row r="1311" spans="1:30" ht="15" customHeight="1" x14ac:dyDescent="0.25">
      <c r="C1311" s="48"/>
      <c r="D1311" s="45" t="s">
        <v>7741</v>
      </c>
      <c r="E1311" s="46"/>
      <c r="F1311" s="46"/>
      <c r="I1311" s="45" t="s">
        <v>8809</v>
      </c>
      <c r="O1311" s="46" t="s">
        <v>6522</v>
      </c>
      <c r="Q1311" s="137">
        <f>VLOOKUP(TAB_ESTOQUE[[#This Row],[Codigo]],TAB_ENTRADA[[Cod_2_Entrada]:[TOTAL_ENTRADA]],5,FALSE)-VLOOKUP(TAB_ESTOQUE[[#This Row],[Codigo]],TAB_SAIDA[[COD_2_SAIDA]:[TOTAL_SAIDA]],5,FALSE)</f>
        <v>2</v>
      </c>
      <c r="S1311" s="46"/>
      <c r="T1311" s="102">
        <v>915.34</v>
      </c>
      <c r="U1311" s="103">
        <f>TAB_ESTOQUE[[#This Row],[Valor Unitario Estimado]]*TAB_ESTOQUE[[#This Row],[Estoque]]</f>
        <v>1830.68</v>
      </c>
      <c r="V1311" s="103"/>
      <c r="AA1311" s="138"/>
      <c r="AB1311" s="104" t="str">
        <f>IF(TAB_ESTOQUE[[#This Row],[Estoque]]=0,"Estoque Não Conforme",IF(TAB_ESTOQUE[[#This Row],[Estoque]]&gt;=TAB_ESTOQUE[[#This Row],[Mínimo]],"Estoque Conforme",IF(TAB_ESTOQUE[[#This Row],[Estoque]]&lt;TAB_ESTOQUE[[#This Row],[Mínimo]],"Estoque em Nivel Minimo")))</f>
        <v>Estoque Conforme</v>
      </c>
      <c r="AC1311" s="104"/>
    </row>
    <row r="1312" spans="1:30" ht="15" customHeight="1" x14ac:dyDescent="0.25">
      <c r="A1312" s="45">
        <v>1305</v>
      </c>
      <c r="B1312" s="47"/>
      <c r="C1312" s="46"/>
      <c r="D1312" s="45" t="s">
        <v>2013</v>
      </c>
      <c r="E1312" s="46" t="s">
        <v>7</v>
      </c>
      <c r="F1312" s="87"/>
      <c r="G1312" s="82"/>
      <c r="H1312" s="82"/>
      <c r="I1312" s="82" t="s">
        <v>8490</v>
      </c>
      <c r="J1312" s="82"/>
      <c r="K1312" s="82"/>
      <c r="L1312" s="82"/>
      <c r="M1312" s="82" t="s">
        <v>254</v>
      </c>
      <c r="N1312" s="82"/>
      <c r="O1312" s="87" t="s">
        <v>6523</v>
      </c>
      <c r="P1312" s="82" t="s">
        <v>1201</v>
      </c>
      <c r="Q1312" s="83">
        <f>VLOOKUP(TAB_ESTOQUE[[#This Row],[Codigo]],TAB_ENTRADA[[Cod_2_Entrada]:[TOTAL_ENTRADA]],5,FALSE)-VLOOKUP(TAB_ESTOQUE[[#This Row],[Codigo]],TAB_SAIDA[[COD_2_SAIDA]:[TOTAL_SAIDA]],5,FALSE)</f>
        <v>1</v>
      </c>
      <c r="R1312" s="87"/>
      <c r="S1312" s="87"/>
      <c r="T1312" s="90"/>
      <c r="U1312" s="91">
        <f>TAB_ESTOQUE[[#This Row],[Valor Unitario Estimado]]*TAB_ESTOQUE[[#This Row],[Estoque]]</f>
        <v>0</v>
      </c>
      <c r="V1312" s="91"/>
      <c r="W1312" s="85"/>
      <c r="X1312" s="85"/>
      <c r="Y1312" s="85"/>
      <c r="Z1312" s="85"/>
      <c r="AA1312" s="85"/>
      <c r="AB1312" s="85" t="str">
        <f>IF(TAB_ESTOQUE[[#This Row],[Estoque]]=0,"Estoque Não Conforme",IF(TAB_ESTOQUE[[#This Row],[Estoque]]&gt;=TAB_ESTOQUE[[#This Row],[Mínimo]],"Estoque Conforme",IF(TAB_ESTOQUE[[#This Row],[Estoque]]&lt;TAB_ESTOQUE[[#This Row],[Mínimo]],"Estoque em Nivel Minimo")))</f>
        <v>Estoque Conforme</v>
      </c>
      <c r="AC1312" s="85"/>
      <c r="AD1312" s="82"/>
    </row>
    <row r="1313" spans="1:30" ht="15" customHeight="1" x14ac:dyDescent="0.25">
      <c r="A1313" s="106">
        <v>1247</v>
      </c>
      <c r="B1313" s="106"/>
      <c r="C1313" s="116"/>
      <c r="D1313" s="106" t="s">
        <v>2457</v>
      </c>
      <c r="E1313" s="116"/>
      <c r="F1313" s="118"/>
      <c r="G1313" s="95"/>
      <c r="H1313" s="95"/>
      <c r="I1313" s="95" t="s">
        <v>8632</v>
      </c>
      <c r="J1313" s="95"/>
      <c r="K1313" s="95"/>
      <c r="L1313" s="95"/>
      <c r="M1313" s="95"/>
      <c r="N1313" s="95"/>
      <c r="O1313" s="118" t="s">
        <v>6523</v>
      </c>
      <c r="P1313" s="95" t="s">
        <v>966</v>
      </c>
      <c r="Q1313" s="154">
        <f>VLOOKUP(TAB_ESTOQUE[[#This Row],[Codigo]],TAB_ENTRADA[[Cod_2_Entrada]:[TOTAL_ENTRADA]],5,FALSE)-VLOOKUP(TAB_ESTOQUE[[#This Row],[Codigo]],TAB_SAIDA[[COD_2_SAIDA]:[TOTAL_SAIDA]],5,FALSE)</f>
        <v>1</v>
      </c>
      <c r="R1313" s="118"/>
      <c r="S1313" s="118"/>
      <c r="T1313" s="119"/>
      <c r="U1313" s="112">
        <f>TAB_ESTOQUE[[#This Row],[Valor Unitario Estimado]]*TAB_ESTOQUE[[#This Row],[Estoque]]</f>
        <v>0</v>
      </c>
      <c r="V1313" s="112"/>
      <c r="W1313" s="120"/>
      <c r="X1313" s="120"/>
      <c r="Y1313" s="120"/>
      <c r="Z1313" s="120"/>
      <c r="AA1313" s="120"/>
      <c r="AB1313" s="120" t="str">
        <f>IF(TAB_ESTOQUE[[#This Row],[Estoque]]=0,"Estoque Não Conforme",IF(TAB_ESTOQUE[[#This Row],[Estoque]]&gt;=TAB_ESTOQUE[[#This Row],[Mínimo]],"Estoque Conforme",IF(TAB_ESTOQUE[[#This Row],[Estoque]]&lt;TAB_ESTOQUE[[#This Row],[Mínimo]],"Estoque em Nivel Minimo")))</f>
        <v>Estoque Conforme</v>
      </c>
      <c r="AC1313" s="120"/>
      <c r="AD1313" s="95"/>
    </row>
    <row r="1314" spans="1:30" ht="15" customHeight="1" x14ac:dyDescent="0.25">
      <c r="C1314" s="48"/>
      <c r="D1314" s="45" t="s">
        <v>7705</v>
      </c>
      <c r="E1314" s="46"/>
      <c r="F1314" s="46"/>
      <c r="I1314" s="45" t="s">
        <v>8733</v>
      </c>
      <c r="O1314" s="46" t="s">
        <v>6523</v>
      </c>
      <c r="Q1314" s="137">
        <f>VLOOKUP(TAB_ESTOQUE[[#This Row],[Codigo]],TAB_ENTRADA[[Cod_2_Entrada]:[TOTAL_ENTRADA]],5,FALSE)-VLOOKUP(TAB_ESTOQUE[[#This Row],[Codigo]],TAB_SAIDA[[COD_2_SAIDA]:[TOTAL_SAIDA]],5,FALSE)</f>
        <v>1</v>
      </c>
      <c r="S1314" s="46"/>
      <c r="T1314" s="102">
        <v>4600</v>
      </c>
      <c r="U1314" s="103">
        <f>TAB_ESTOQUE[[#This Row],[Valor Unitario Estimado]]*TAB_ESTOQUE[[#This Row],[Estoque]]</f>
        <v>4600</v>
      </c>
      <c r="V1314" s="103"/>
      <c r="AA1314" s="138"/>
      <c r="AB1314" s="104" t="str">
        <f>IF(TAB_ESTOQUE[[#This Row],[Estoque]]=0,"Estoque Não Conforme",IF(TAB_ESTOQUE[[#This Row],[Estoque]]&gt;=TAB_ESTOQUE[[#This Row],[Mínimo]],"Estoque Conforme",IF(TAB_ESTOQUE[[#This Row],[Estoque]]&lt;TAB_ESTOQUE[[#This Row],[Mínimo]],"Estoque em Nivel Minimo")))</f>
        <v>Estoque Conforme</v>
      </c>
      <c r="AC1314" s="104"/>
    </row>
    <row r="1315" spans="1:30" ht="15" customHeight="1" x14ac:dyDescent="0.25">
      <c r="A1315" s="45">
        <v>566</v>
      </c>
      <c r="B1315" s="47"/>
      <c r="C1315" s="46" t="s">
        <v>2833</v>
      </c>
      <c r="D1315" s="45" t="s">
        <v>2004</v>
      </c>
      <c r="E1315" s="46" t="s">
        <v>7</v>
      </c>
      <c r="F1315" s="87"/>
      <c r="G1315" s="82"/>
      <c r="H1315" s="82"/>
      <c r="I1315" s="82" t="s">
        <v>7421</v>
      </c>
      <c r="J1315" s="82"/>
      <c r="K1315" s="82"/>
      <c r="L1315" s="82"/>
      <c r="M1315" s="82"/>
      <c r="N1315" s="82"/>
      <c r="O1315" s="87" t="s">
        <v>6690</v>
      </c>
      <c r="P1315" s="82" t="s">
        <v>343</v>
      </c>
      <c r="Q1315" s="83">
        <f>VLOOKUP(TAB_ESTOQUE[[#This Row],[Codigo]],TAB_ENTRADA[[Cod_2_Entrada]:[TOTAL_ENTRADA]],5,FALSE)-VLOOKUP(TAB_ESTOQUE[[#This Row],[Codigo]],TAB_SAIDA[[COD_2_SAIDA]:[TOTAL_SAIDA]],5,FALSE)</f>
        <v>1</v>
      </c>
      <c r="R1315" s="87"/>
      <c r="S1315" s="87"/>
      <c r="T1315" s="90">
        <v>8300</v>
      </c>
      <c r="U1315" s="91">
        <f>TAB_ESTOQUE[[#This Row],[Valor Unitario Estimado]]*TAB_ESTOQUE[[#This Row],[Estoque]]</f>
        <v>8300</v>
      </c>
      <c r="V1315" s="91"/>
      <c r="W1315" s="85"/>
      <c r="X1315" s="85"/>
      <c r="Y1315" s="85"/>
      <c r="Z1315" s="85"/>
      <c r="AA1315" s="85"/>
      <c r="AB1315" s="85" t="str">
        <f>IF(TAB_ESTOQUE[[#This Row],[Estoque]]=0,"Estoque Não Conforme",IF(TAB_ESTOQUE[[#This Row],[Estoque]]&gt;=TAB_ESTOQUE[[#This Row],[Mínimo]],"Estoque Conforme",IF(TAB_ESTOQUE[[#This Row],[Estoque]]&lt;TAB_ESTOQUE[[#This Row],[Mínimo]],"Estoque em Nivel Minimo")))</f>
        <v>Estoque Conforme</v>
      </c>
      <c r="AC1315" s="85"/>
      <c r="AD1315" s="82"/>
    </row>
    <row r="1316" spans="1:30" ht="15" customHeight="1" x14ac:dyDescent="0.25">
      <c r="A1316" s="45">
        <v>731</v>
      </c>
      <c r="B1316" s="47"/>
      <c r="C1316" s="46"/>
      <c r="D1316" s="45" t="s">
        <v>2414</v>
      </c>
      <c r="E1316" s="46" t="s">
        <v>7</v>
      </c>
      <c r="F1316" s="87"/>
      <c r="G1316" s="82"/>
      <c r="H1316" s="82"/>
      <c r="I1316" s="92" t="s">
        <v>8619</v>
      </c>
      <c r="J1316" s="82"/>
      <c r="K1316" s="82"/>
      <c r="L1316" s="82"/>
      <c r="M1316" s="82"/>
      <c r="N1316" s="82"/>
      <c r="O1316" s="87" t="s">
        <v>6690</v>
      </c>
      <c r="P1316" s="82" t="s">
        <v>513</v>
      </c>
      <c r="Q1316" s="83">
        <f>VLOOKUP(TAB_ESTOQUE[[#This Row],[Codigo]],TAB_ENTRADA[[Cod_2_Entrada]:[TOTAL_ENTRADA]],5,FALSE)-VLOOKUP(TAB_ESTOQUE[[#This Row],[Codigo]],TAB_SAIDA[[COD_2_SAIDA]:[TOTAL_SAIDA]],5,FALSE)</f>
        <v>1</v>
      </c>
      <c r="R1316" s="87"/>
      <c r="S1316" s="87"/>
      <c r="T1316" s="90"/>
      <c r="U1316" s="91">
        <f>TAB_ESTOQUE[[#This Row],[Valor Unitario Estimado]]*TAB_ESTOQUE[[#This Row],[Estoque]]</f>
        <v>0</v>
      </c>
      <c r="V1316" s="91"/>
      <c r="W1316" s="85"/>
      <c r="X1316" s="85"/>
      <c r="Y1316" s="85"/>
      <c r="Z1316" s="85"/>
      <c r="AA1316" s="85"/>
      <c r="AB1316" s="85" t="str">
        <f>IF(TAB_ESTOQUE[[#This Row],[Estoque]]=0,"Estoque Não Conforme",IF(TAB_ESTOQUE[[#This Row],[Estoque]]&gt;=TAB_ESTOQUE[[#This Row],[Mínimo]],"Estoque Conforme",IF(TAB_ESTOQUE[[#This Row],[Estoque]]&lt;TAB_ESTOQUE[[#This Row],[Mínimo]],"Estoque em Nivel Minimo")))</f>
        <v>Estoque Conforme</v>
      </c>
      <c r="AC1316" s="85"/>
      <c r="AD1316" s="82"/>
    </row>
    <row r="1317" spans="1:30" ht="15" customHeight="1" x14ac:dyDescent="0.25">
      <c r="A1317" s="45">
        <v>764</v>
      </c>
      <c r="B1317" s="47"/>
      <c r="C1317" s="46"/>
      <c r="D1317" s="45" t="s">
        <v>2470</v>
      </c>
      <c r="E1317" s="46" t="s">
        <v>7</v>
      </c>
      <c r="F1317" s="87"/>
      <c r="G1317" s="82"/>
      <c r="H1317" s="82"/>
      <c r="I1317" s="82" t="s">
        <v>8638</v>
      </c>
      <c r="J1317" s="82"/>
      <c r="K1317" s="82"/>
      <c r="L1317" s="82"/>
      <c r="M1317" s="82"/>
      <c r="N1317" s="82"/>
      <c r="O1317" s="87" t="s">
        <v>6690</v>
      </c>
      <c r="P1317" s="82" t="s">
        <v>557</v>
      </c>
      <c r="Q1317" s="83">
        <f>VLOOKUP(TAB_ESTOQUE[[#This Row],[Codigo]],TAB_ENTRADA[[Cod_2_Entrada]:[TOTAL_ENTRADA]],5,FALSE)-VLOOKUP(TAB_ESTOQUE[[#This Row],[Codigo]],TAB_SAIDA[[COD_2_SAIDA]:[TOTAL_SAIDA]],5,FALSE)</f>
        <v>1</v>
      </c>
      <c r="R1317" s="87"/>
      <c r="S1317" s="87"/>
      <c r="T1317" s="90"/>
      <c r="U1317" s="91">
        <f>TAB_ESTOQUE[[#This Row],[Valor Unitario Estimado]]*TAB_ESTOQUE[[#This Row],[Estoque]]</f>
        <v>0</v>
      </c>
      <c r="V1317" s="91"/>
      <c r="W1317" s="85"/>
      <c r="X1317" s="85"/>
      <c r="Y1317" s="85"/>
      <c r="Z1317" s="85"/>
      <c r="AA1317" s="85"/>
      <c r="AB1317" s="85" t="str">
        <f>IF(TAB_ESTOQUE[[#This Row],[Estoque]]=0,"Estoque Não Conforme",IF(TAB_ESTOQUE[[#This Row],[Estoque]]&gt;=TAB_ESTOQUE[[#This Row],[Mínimo]],"Estoque Conforme",IF(TAB_ESTOQUE[[#This Row],[Estoque]]&lt;TAB_ESTOQUE[[#This Row],[Mínimo]],"Estoque em Nivel Minimo")))</f>
        <v>Estoque Conforme</v>
      </c>
      <c r="AC1317" s="85"/>
      <c r="AD1317" s="82"/>
    </row>
    <row r="1318" spans="1:30" ht="15" customHeight="1" x14ac:dyDescent="0.25">
      <c r="A1318" s="45">
        <v>756</v>
      </c>
      <c r="B1318" s="47"/>
      <c r="C1318" s="46"/>
      <c r="D1318" s="45" t="s">
        <v>2435</v>
      </c>
      <c r="E1318" s="46" t="s">
        <v>1658</v>
      </c>
      <c r="F1318" s="87"/>
      <c r="G1318" s="82"/>
      <c r="H1318" s="82"/>
      <c r="I1318" s="82" t="s">
        <v>1473</v>
      </c>
      <c r="J1318" s="82"/>
      <c r="K1318" s="82"/>
      <c r="L1318" s="82"/>
      <c r="M1318" s="82"/>
      <c r="N1318" s="82"/>
      <c r="O1318" s="87" t="s">
        <v>6517</v>
      </c>
      <c r="P1318" s="82" t="s">
        <v>551</v>
      </c>
      <c r="Q1318" s="83">
        <f>VLOOKUP(TAB_ESTOQUE[[#This Row],[Codigo]],TAB_ENTRADA[[Cod_2_Entrada]:[TOTAL_ENTRADA]],5,FALSE)-VLOOKUP(TAB_ESTOQUE[[#This Row],[Codigo]],TAB_SAIDA[[COD_2_SAIDA]:[TOTAL_SAIDA]],5,FALSE)</f>
        <v>0</v>
      </c>
      <c r="R1318" s="87"/>
      <c r="S1318" s="87"/>
      <c r="T1318" s="90">
        <v>1900</v>
      </c>
      <c r="U1318" s="91">
        <f>TAB_ESTOQUE[[#This Row],[Valor Unitario Estimado]]*TAB_ESTOQUE[[#This Row],[Estoque]]</f>
        <v>0</v>
      </c>
      <c r="V1318" s="91"/>
      <c r="W1318" s="85"/>
      <c r="X1318" s="85"/>
      <c r="Y1318" s="85"/>
      <c r="Z1318" s="85"/>
      <c r="AA1318" s="85"/>
      <c r="AB1318" s="85" t="str">
        <f>IF(TAB_ESTOQUE[[#This Row],[Estoque]]=0,"Estoque Não Conforme",IF(TAB_ESTOQUE[[#This Row],[Estoque]]&gt;=TAB_ESTOQUE[[#This Row],[Mínimo]],"Estoque Conforme",IF(TAB_ESTOQUE[[#This Row],[Estoque]]&lt;TAB_ESTOQUE[[#This Row],[Mínimo]],"Estoque em Nivel Minimo")))</f>
        <v>Estoque Não Conforme</v>
      </c>
      <c r="AC1318" s="85"/>
      <c r="AD1318" s="82"/>
    </row>
    <row r="1319" spans="1:30" ht="15" customHeight="1" x14ac:dyDescent="0.25">
      <c r="A1319" s="45">
        <v>383</v>
      </c>
      <c r="B1319" s="47"/>
      <c r="C1319" s="46"/>
      <c r="D1319" s="45" t="s">
        <v>2465</v>
      </c>
      <c r="E1319" s="46" t="s">
        <v>130</v>
      </c>
      <c r="F1319" s="87"/>
      <c r="G1319" s="82"/>
      <c r="H1319" s="82"/>
      <c r="I1319" s="82" t="s">
        <v>6697</v>
      </c>
      <c r="J1319" s="82"/>
      <c r="K1319" s="82"/>
      <c r="L1319" s="82"/>
      <c r="M1319" s="82"/>
      <c r="N1319" s="82"/>
      <c r="O1319" s="87" t="s">
        <v>6517</v>
      </c>
      <c r="P1319" s="82" t="s">
        <v>250</v>
      </c>
      <c r="Q1319" s="83">
        <f>VLOOKUP(TAB_ESTOQUE[[#This Row],[Codigo]],TAB_ENTRADA[[Cod_2_Entrada]:[TOTAL_ENTRADA]],5,FALSE)-VLOOKUP(TAB_ESTOQUE[[#This Row],[Codigo]],TAB_SAIDA[[COD_2_SAIDA]:[TOTAL_SAIDA]],5,FALSE)</f>
        <v>0</v>
      </c>
      <c r="R1319" s="87"/>
      <c r="S1319" s="87"/>
      <c r="T1319" s="90">
        <v>1796.85</v>
      </c>
      <c r="U1319" s="91">
        <f>TAB_ESTOQUE[[#This Row],[Valor Unitario Estimado]]*TAB_ESTOQUE[[#This Row],[Estoque]]</f>
        <v>0</v>
      </c>
      <c r="V1319" s="91"/>
      <c r="W1319" s="85"/>
      <c r="X1319" s="85"/>
      <c r="Y1319" s="85"/>
      <c r="Z1319" s="85"/>
      <c r="AA1319" s="85"/>
      <c r="AB1319" s="85" t="str">
        <f>IF(TAB_ESTOQUE[[#This Row],[Estoque]]=0,"Estoque Não Conforme",IF(TAB_ESTOQUE[[#This Row],[Estoque]]&gt;=TAB_ESTOQUE[[#This Row],[Mínimo]],"Estoque Conforme",IF(TAB_ESTOQUE[[#This Row],[Estoque]]&lt;TAB_ESTOQUE[[#This Row],[Mínimo]],"Estoque em Nivel Minimo")))</f>
        <v>Estoque Não Conforme</v>
      </c>
      <c r="AC1319" s="85"/>
      <c r="AD1319" s="82"/>
    </row>
    <row r="1320" spans="1:30" ht="15" customHeight="1" x14ac:dyDescent="0.25">
      <c r="A1320" s="45">
        <v>322</v>
      </c>
      <c r="B1320" s="47"/>
      <c r="C1320" s="46" t="s">
        <v>2833</v>
      </c>
      <c r="D1320" s="45" t="s">
        <v>2477</v>
      </c>
      <c r="E1320" s="46" t="s">
        <v>20</v>
      </c>
      <c r="F1320" s="87"/>
      <c r="G1320" s="82"/>
      <c r="H1320" s="82"/>
      <c r="I1320" s="82" t="s">
        <v>1480</v>
      </c>
      <c r="J1320" s="82"/>
      <c r="K1320" s="82"/>
      <c r="L1320" s="82"/>
      <c r="M1320" s="82"/>
      <c r="N1320" s="82"/>
      <c r="O1320" s="87" t="s">
        <v>6519</v>
      </c>
      <c r="P1320" s="82" t="s">
        <v>223</v>
      </c>
      <c r="Q1320" s="83">
        <f>VLOOKUP(TAB_ESTOQUE[[#This Row],[Codigo]],TAB_ENTRADA[[Cod_2_Entrada]:[TOTAL_ENTRADA]],5,FALSE)-VLOOKUP(TAB_ESTOQUE[[#This Row],[Codigo]],TAB_SAIDA[[COD_2_SAIDA]:[TOTAL_SAIDA]],5,FALSE)</f>
        <v>0</v>
      </c>
      <c r="R1320" s="87"/>
      <c r="S1320" s="87"/>
      <c r="T1320" s="90"/>
      <c r="U1320" s="91">
        <f>TAB_ESTOQUE[[#This Row],[Valor Unitario Estimado]]*TAB_ESTOQUE[[#This Row],[Estoque]]</f>
        <v>0</v>
      </c>
      <c r="V1320" s="91"/>
      <c r="W1320" s="85"/>
      <c r="X1320" s="85"/>
      <c r="Y1320" s="85"/>
      <c r="Z1320" s="85"/>
      <c r="AA1320" s="85"/>
      <c r="AB1320" s="85" t="str">
        <f>IF(TAB_ESTOQUE[[#This Row],[Estoque]]=0,"Estoque Não Conforme",IF(TAB_ESTOQUE[[#This Row],[Estoque]]&gt;=TAB_ESTOQUE[[#This Row],[Mínimo]],"Estoque Conforme",IF(TAB_ESTOQUE[[#This Row],[Estoque]]&lt;TAB_ESTOQUE[[#This Row],[Mínimo]],"Estoque em Nivel Minimo")))</f>
        <v>Estoque Não Conforme</v>
      </c>
      <c r="AC1320" s="85"/>
      <c r="AD1320" s="82"/>
    </row>
    <row r="1321" spans="1:30" ht="15" customHeight="1" x14ac:dyDescent="0.25">
      <c r="A1321" s="45">
        <v>1244</v>
      </c>
      <c r="B1321" s="47"/>
      <c r="C1321" s="46"/>
      <c r="D1321" s="45" t="s">
        <v>2478</v>
      </c>
      <c r="E1321" s="46" t="s">
        <v>20</v>
      </c>
      <c r="F1321" s="87"/>
      <c r="G1321" s="82"/>
      <c r="H1321" s="82"/>
      <c r="I1321" s="82" t="s">
        <v>1481</v>
      </c>
      <c r="J1321" s="82"/>
      <c r="K1321" s="82"/>
      <c r="L1321" s="82"/>
      <c r="M1321" s="82"/>
      <c r="N1321" s="82"/>
      <c r="O1321" s="87" t="s">
        <v>6519</v>
      </c>
      <c r="P1321" s="82" t="s">
        <v>961</v>
      </c>
      <c r="Q1321" s="83">
        <f>VLOOKUP(TAB_ESTOQUE[[#This Row],[Codigo]],TAB_ENTRADA[[Cod_2_Entrada]:[TOTAL_ENTRADA]],5,FALSE)-VLOOKUP(TAB_ESTOQUE[[#This Row],[Codigo]],TAB_SAIDA[[COD_2_SAIDA]:[TOTAL_SAIDA]],5,FALSE)</f>
        <v>2</v>
      </c>
      <c r="R1321" s="87"/>
      <c r="S1321" s="87"/>
      <c r="T1321" s="90"/>
      <c r="U1321" s="91">
        <f>TAB_ESTOQUE[[#This Row],[Valor Unitario Estimado]]*TAB_ESTOQUE[[#This Row],[Estoque]]</f>
        <v>0</v>
      </c>
      <c r="V1321" s="91"/>
      <c r="W1321" s="85"/>
      <c r="X1321" s="85"/>
      <c r="Y1321" s="85"/>
      <c r="Z1321" s="85"/>
      <c r="AA1321" s="85"/>
      <c r="AB1321" s="85" t="str">
        <f>IF(TAB_ESTOQUE[[#This Row],[Estoque]]=0,"Estoque Não Conforme",IF(TAB_ESTOQUE[[#This Row],[Estoque]]&gt;=TAB_ESTOQUE[[#This Row],[Mínimo]],"Estoque Conforme",IF(TAB_ESTOQUE[[#This Row],[Estoque]]&lt;TAB_ESTOQUE[[#This Row],[Mínimo]],"Estoque em Nivel Minimo")))</f>
        <v>Estoque Conforme</v>
      </c>
      <c r="AC1321" s="85"/>
      <c r="AD1321" s="82"/>
    </row>
    <row r="1322" spans="1:30" ht="15" customHeight="1" x14ac:dyDescent="0.25">
      <c r="A1322" s="106">
        <v>1155</v>
      </c>
      <c r="B1322" s="106"/>
      <c r="C1322" s="116" t="s">
        <v>2833</v>
      </c>
      <c r="D1322" s="106" t="s">
        <v>2017</v>
      </c>
      <c r="E1322" s="116" t="s">
        <v>7</v>
      </c>
      <c r="F1322" s="118"/>
      <c r="G1322" s="95"/>
      <c r="H1322" s="95"/>
      <c r="I1322" s="95" t="s">
        <v>8493</v>
      </c>
      <c r="J1322" s="95"/>
      <c r="K1322" s="95"/>
      <c r="L1322" s="95"/>
      <c r="M1322" s="95"/>
      <c r="N1322" s="95"/>
      <c r="O1322" s="118" t="s">
        <v>6520</v>
      </c>
      <c r="P1322" s="95" t="s">
        <v>881</v>
      </c>
      <c r="Q1322" s="154">
        <f>VLOOKUP(TAB_ESTOQUE[[#This Row],[Codigo]],TAB_ENTRADA[[Cod_2_Entrada]:[TOTAL_ENTRADA]],5,FALSE)-VLOOKUP(TAB_ESTOQUE[[#This Row],[Codigo]],TAB_SAIDA[[COD_2_SAIDA]:[TOTAL_SAIDA]],5,FALSE)</f>
        <v>1</v>
      </c>
      <c r="R1322" s="118"/>
      <c r="S1322" s="118"/>
      <c r="T1322" s="119"/>
      <c r="U1322" s="112">
        <f>TAB_ESTOQUE[[#This Row],[Valor Unitario Estimado]]*TAB_ESTOQUE[[#This Row],[Estoque]]</f>
        <v>0</v>
      </c>
      <c r="V1322" s="112"/>
      <c r="W1322" s="120"/>
      <c r="X1322" s="120"/>
      <c r="Y1322" s="120"/>
      <c r="Z1322" s="120"/>
      <c r="AA1322" s="120"/>
      <c r="AB1322" s="120" t="str">
        <f>IF(TAB_ESTOQUE[[#This Row],[Estoque]]=0,"Estoque Não Conforme",IF(TAB_ESTOQUE[[#This Row],[Estoque]]&gt;=TAB_ESTOQUE[[#This Row],[Mínimo]],"Estoque Conforme",IF(TAB_ESTOQUE[[#This Row],[Estoque]]&lt;TAB_ESTOQUE[[#This Row],[Mínimo]],"Estoque em Nivel Minimo")))</f>
        <v>Estoque Conforme</v>
      </c>
      <c r="AC1322" s="120"/>
      <c r="AD1322" s="95"/>
    </row>
    <row r="1323" spans="1:30" ht="15" customHeight="1" x14ac:dyDescent="0.25">
      <c r="A1323" s="47">
        <v>1158</v>
      </c>
      <c r="B1323" s="47"/>
      <c r="C1323" s="51"/>
      <c r="D1323" s="47" t="s">
        <v>2018</v>
      </c>
      <c r="E1323" s="51" t="s">
        <v>7</v>
      </c>
      <c r="F1323" s="107"/>
      <c r="G1323" s="94"/>
      <c r="H1323" s="94"/>
      <c r="I1323" s="94" t="s">
        <v>8494</v>
      </c>
      <c r="J1323" s="94"/>
      <c r="K1323" s="94"/>
      <c r="L1323" s="94"/>
      <c r="M1323" s="94"/>
      <c r="N1323" s="94"/>
      <c r="O1323" s="107" t="s">
        <v>6520</v>
      </c>
      <c r="P1323" s="94" t="s">
        <v>881</v>
      </c>
      <c r="Q1323" s="145">
        <f>VLOOKUP(TAB_ESTOQUE[[#This Row],[Codigo]],TAB_ENTRADA[[Cod_2_Entrada]:[TOTAL_ENTRADA]],5,FALSE)-VLOOKUP(TAB_ESTOQUE[[#This Row],[Codigo]],TAB_SAIDA[[COD_2_SAIDA]:[TOTAL_SAIDA]],5,FALSE)</f>
        <v>2</v>
      </c>
      <c r="R1323" s="107"/>
      <c r="S1323" s="107"/>
      <c r="T1323" s="108">
        <v>141</v>
      </c>
      <c r="U1323" s="109">
        <f>TAB_ESTOQUE[[#This Row],[Valor Unitario Estimado]]*TAB_ESTOQUE[[#This Row],[Estoque]]</f>
        <v>282</v>
      </c>
      <c r="V1323" s="109"/>
      <c r="W1323" s="110"/>
      <c r="X1323" s="110"/>
      <c r="Y1323" s="110"/>
      <c r="Z1323" s="110"/>
      <c r="AA1323" s="110"/>
      <c r="AB1323" s="110" t="str">
        <f>IF(TAB_ESTOQUE[[#This Row],[Estoque]]=0,"Estoque Não Conforme",IF(TAB_ESTOQUE[[#This Row],[Estoque]]&gt;=TAB_ESTOQUE[[#This Row],[Mínimo]],"Estoque Conforme",IF(TAB_ESTOQUE[[#This Row],[Estoque]]&lt;TAB_ESTOQUE[[#This Row],[Mínimo]],"Estoque em Nivel Minimo")))</f>
        <v>Estoque Conforme</v>
      </c>
      <c r="AC1323" s="110"/>
      <c r="AD1323" s="94"/>
    </row>
    <row r="1324" spans="1:30" ht="15" customHeight="1" x14ac:dyDescent="0.25">
      <c r="A1324" s="106">
        <v>1258</v>
      </c>
      <c r="B1324" s="106"/>
      <c r="C1324" s="116"/>
      <c r="D1324" s="106" t="s">
        <v>2019</v>
      </c>
      <c r="E1324" s="116" t="s">
        <v>7265</v>
      </c>
      <c r="F1324" s="118"/>
      <c r="G1324" s="95"/>
      <c r="H1324" s="95"/>
      <c r="I1324" s="95" t="s">
        <v>8495</v>
      </c>
      <c r="J1324" s="95"/>
      <c r="K1324" s="95"/>
      <c r="L1324" s="95"/>
      <c r="M1324" s="95"/>
      <c r="N1324" s="95"/>
      <c r="O1324" s="118" t="s">
        <v>6520</v>
      </c>
      <c r="P1324" s="95" t="s">
        <v>979</v>
      </c>
      <c r="Q1324" s="154">
        <f>VLOOKUP(TAB_ESTOQUE[[#This Row],[Codigo]],TAB_ENTRADA[[Cod_2_Entrada]:[TOTAL_ENTRADA]],5,FALSE)-VLOOKUP(TAB_ESTOQUE[[#This Row],[Codigo]],TAB_SAIDA[[COD_2_SAIDA]:[TOTAL_SAIDA]],5,FALSE)</f>
        <v>1</v>
      </c>
      <c r="R1324" s="118"/>
      <c r="S1324" s="118"/>
      <c r="T1324" s="119"/>
      <c r="U1324" s="112">
        <f>TAB_ESTOQUE[[#This Row],[Valor Unitario Estimado]]*TAB_ESTOQUE[[#This Row],[Estoque]]</f>
        <v>0</v>
      </c>
      <c r="V1324" s="112"/>
      <c r="W1324" s="120"/>
      <c r="X1324" s="120"/>
      <c r="Y1324" s="120"/>
      <c r="Z1324" s="120"/>
      <c r="AA1324" s="120"/>
      <c r="AB1324" s="120" t="str">
        <f>IF(TAB_ESTOQUE[[#This Row],[Estoque]]=0,"Estoque Não Conforme",IF(TAB_ESTOQUE[[#This Row],[Estoque]]&gt;=TAB_ESTOQUE[[#This Row],[Mínimo]],"Estoque Conforme",IF(TAB_ESTOQUE[[#This Row],[Estoque]]&lt;TAB_ESTOQUE[[#This Row],[Mínimo]],"Estoque em Nivel Minimo")))</f>
        <v>Estoque Conforme</v>
      </c>
      <c r="AC1324" s="120"/>
      <c r="AD1324" s="95"/>
    </row>
    <row r="1325" spans="1:30" ht="15" customHeight="1" x14ac:dyDescent="0.25">
      <c r="A1325" s="45">
        <v>825</v>
      </c>
      <c r="B1325" s="47"/>
      <c r="C1325" s="46" t="s">
        <v>2833</v>
      </c>
      <c r="D1325" s="47" t="s">
        <v>2020</v>
      </c>
      <c r="E1325" s="46" t="s">
        <v>7</v>
      </c>
      <c r="F1325" s="87"/>
      <c r="G1325" s="82"/>
      <c r="H1325" s="82"/>
      <c r="I1325" s="82" t="s">
        <v>8496</v>
      </c>
      <c r="J1325" s="82"/>
      <c r="K1325" s="82"/>
      <c r="L1325" s="82"/>
      <c r="M1325" s="82"/>
      <c r="N1325" s="82"/>
      <c r="O1325" s="87" t="s">
        <v>6520</v>
      </c>
      <c r="P1325" s="82" t="s">
        <v>611</v>
      </c>
      <c r="Q1325" s="83">
        <f>VLOOKUP(TAB_ESTOQUE[[#This Row],[Codigo]],TAB_ENTRADA[[Cod_2_Entrada]:[TOTAL_ENTRADA]],5,FALSE)-VLOOKUP(TAB_ESTOQUE[[#This Row],[Codigo]],TAB_SAIDA[[COD_2_SAIDA]:[TOTAL_SAIDA]],5,FALSE)</f>
        <v>3</v>
      </c>
      <c r="R1325" s="87"/>
      <c r="S1325" s="87"/>
      <c r="T1325" s="90"/>
      <c r="U1325" s="91">
        <f>TAB_ESTOQUE[[#This Row],[Valor Unitario Estimado]]*TAB_ESTOQUE[[#This Row],[Estoque]]</f>
        <v>0</v>
      </c>
      <c r="V1325" s="91"/>
      <c r="W1325" s="85"/>
      <c r="X1325" s="85"/>
      <c r="Y1325" s="85"/>
      <c r="Z1325" s="85"/>
      <c r="AA1325" s="85"/>
      <c r="AB1325" s="85" t="str">
        <f>IF(TAB_ESTOQUE[[#This Row],[Estoque]]=0,"Estoque Não Conforme",IF(TAB_ESTOQUE[[#This Row],[Estoque]]&gt;=TAB_ESTOQUE[[#This Row],[Mínimo]],"Estoque Conforme",IF(TAB_ESTOQUE[[#This Row],[Estoque]]&lt;TAB_ESTOQUE[[#This Row],[Mínimo]],"Estoque em Nivel Minimo")))</f>
        <v>Estoque Conforme</v>
      </c>
      <c r="AC1325" s="85"/>
      <c r="AD1325" s="82"/>
    </row>
    <row r="1326" spans="1:30" ht="15" customHeight="1" x14ac:dyDescent="0.25">
      <c r="A1326" s="45">
        <v>785</v>
      </c>
      <c r="B1326" s="47"/>
      <c r="C1326" s="46" t="s">
        <v>2833</v>
      </c>
      <c r="D1326" s="45" t="s">
        <v>2423</v>
      </c>
      <c r="E1326" s="46" t="s">
        <v>2885</v>
      </c>
      <c r="F1326" s="87"/>
      <c r="G1326" s="82"/>
      <c r="H1326" s="82"/>
      <c r="I1326" s="82" t="s">
        <v>8623</v>
      </c>
      <c r="J1326" s="82"/>
      <c r="K1326" s="82"/>
      <c r="L1326" s="82"/>
      <c r="M1326" s="82"/>
      <c r="N1326" s="82"/>
      <c r="O1326" s="87" t="s">
        <v>6520</v>
      </c>
      <c r="P1326" s="82" t="s">
        <v>570</v>
      </c>
      <c r="Q1326" s="83">
        <f>VLOOKUP(TAB_ESTOQUE[[#This Row],[Codigo]],TAB_ENTRADA[[Cod_2_Entrada]:[TOTAL_ENTRADA]],5,FALSE)-VLOOKUP(TAB_ESTOQUE[[#This Row],[Codigo]],TAB_SAIDA[[COD_2_SAIDA]:[TOTAL_SAIDA]],5,FALSE)</f>
        <v>2</v>
      </c>
      <c r="R1326" s="87"/>
      <c r="S1326" s="87"/>
      <c r="T1326" s="90"/>
      <c r="U1326" s="91">
        <f>TAB_ESTOQUE[[#This Row],[Valor Unitario Estimado]]*TAB_ESTOQUE[[#This Row],[Estoque]]</f>
        <v>0</v>
      </c>
      <c r="V1326" s="91"/>
      <c r="W1326" s="85"/>
      <c r="X1326" s="85"/>
      <c r="Y1326" s="85"/>
      <c r="Z1326" s="85"/>
      <c r="AA1326" s="85"/>
      <c r="AB1326" s="85" t="str">
        <f>IF(TAB_ESTOQUE[[#This Row],[Estoque]]=0,"Estoque Não Conforme",IF(TAB_ESTOQUE[[#This Row],[Estoque]]&gt;=TAB_ESTOQUE[[#This Row],[Mínimo]],"Estoque Conforme",IF(TAB_ESTOQUE[[#This Row],[Estoque]]&lt;TAB_ESTOQUE[[#This Row],[Mínimo]],"Estoque em Nivel Minimo")))</f>
        <v>Estoque Conforme</v>
      </c>
      <c r="AC1326" s="85"/>
      <c r="AD1326" s="82"/>
    </row>
    <row r="1327" spans="1:30" ht="15" customHeight="1" x14ac:dyDescent="0.25">
      <c r="A1327" s="45">
        <v>725</v>
      </c>
      <c r="B1327" s="47"/>
      <c r="C1327" s="46"/>
      <c r="D1327" s="45" t="s">
        <v>2424</v>
      </c>
      <c r="E1327" s="46" t="s">
        <v>7</v>
      </c>
      <c r="F1327" s="87"/>
      <c r="G1327" s="82"/>
      <c r="H1327" s="82"/>
      <c r="I1327" s="82" t="s">
        <v>8624</v>
      </c>
      <c r="J1327" s="82"/>
      <c r="K1327" s="82"/>
      <c r="L1327" s="82"/>
      <c r="M1327" s="82"/>
      <c r="N1327" s="82"/>
      <c r="O1327" s="87" t="s">
        <v>6520</v>
      </c>
      <c r="P1327" s="82" t="s">
        <v>506</v>
      </c>
      <c r="Q1327" s="83">
        <f>VLOOKUP(TAB_ESTOQUE[[#This Row],[Codigo]],TAB_ENTRADA[[Cod_2_Entrada]:[TOTAL_ENTRADA]],5,FALSE)-VLOOKUP(TAB_ESTOQUE[[#This Row],[Codigo]],TAB_SAIDA[[COD_2_SAIDA]:[TOTAL_SAIDA]],5,FALSE)</f>
        <v>3</v>
      </c>
      <c r="R1327" s="87"/>
      <c r="S1327" s="87"/>
      <c r="T1327" s="90">
        <v>313.7</v>
      </c>
      <c r="U1327" s="91">
        <f>TAB_ESTOQUE[[#This Row],[Valor Unitario Estimado]]*TAB_ESTOQUE[[#This Row],[Estoque]]</f>
        <v>941.09999999999991</v>
      </c>
      <c r="V1327" s="91"/>
      <c r="W1327" s="85"/>
      <c r="X1327" s="85"/>
      <c r="Y1327" s="85"/>
      <c r="Z1327" s="85"/>
      <c r="AA1327" s="85"/>
      <c r="AB1327" s="85" t="str">
        <f>IF(TAB_ESTOQUE[[#This Row],[Estoque]]=0,"Estoque Não Conforme",IF(TAB_ESTOQUE[[#This Row],[Estoque]]&gt;=TAB_ESTOQUE[[#This Row],[Mínimo]],"Estoque Conforme",IF(TAB_ESTOQUE[[#This Row],[Estoque]]&lt;TAB_ESTOQUE[[#This Row],[Mínimo]],"Estoque em Nivel Minimo")))</f>
        <v>Estoque Conforme</v>
      </c>
      <c r="AC1327" s="85"/>
      <c r="AD1327" s="82"/>
    </row>
    <row r="1328" spans="1:30" ht="15" customHeight="1" x14ac:dyDescent="0.25">
      <c r="A1328" s="45">
        <v>1301</v>
      </c>
      <c r="B1328" s="47"/>
      <c r="C1328" s="46" t="s">
        <v>2838</v>
      </c>
      <c r="D1328" s="45" t="s">
        <v>2425</v>
      </c>
      <c r="E1328" s="46" t="s">
        <v>7</v>
      </c>
      <c r="F1328" s="87"/>
      <c r="G1328" s="82"/>
      <c r="H1328" s="82"/>
      <c r="I1328" s="82" t="s">
        <v>8625</v>
      </c>
      <c r="J1328" s="82"/>
      <c r="K1328" s="82"/>
      <c r="L1328" s="82"/>
      <c r="M1328" s="82"/>
      <c r="N1328" s="82"/>
      <c r="O1328" s="87" t="s">
        <v>6520</v>
      </c>
      <c r="P1328" s="82" t="s">
        <v>1026</v>
      </c>
      <c r="Q1328" s="83">
        <f>VLOOKUP(TAB_ESTOQUE[[#This Row],[Codigo]],TAB_ENTRADA[[Cod_2_Entrada]:[TOTAL_ENTRADA]],5,FALSE)-VLOOKUP(TAB_ESTOQUE[[#This Row],[Codigo]],TAB_SAIDA[[COD_2_SAIDA]:[TOTAL_SAIDA]],5,FALSE)</f>
        <v>1</v>
      </c>
      <c r="R1328" s="87"/>
      <c r="S1328" s="87"/>
      <c r="T1328" s="90">
        <v>313.8</v>
      </c>
      <c r="U1328" s="91">
        <f>TAB_ESTOQUE[[#This Row],[Valor Unitario Estimado]]*TAB_ESTOQUE[[#This Row],[Estoque]]</f>
        <v>313.8</v>
      </c>
      <c r="V1328" s="91"/>
      <c r="W1328" s="85"/>
      <c r="X1328" s="85"/>
      <c r="Y1328" s="85"/>
      <c r="Z1328" s="85"/>
      <c r="AA1328" s="85"/>
      <c r="AB1328" s="85" t="str">
        <f>IF(TAB_ESTOQUE[[#This Row],[Estoque]]=0,"Estoque Não Conforme",IF(TAB_ESTOQUE[[#This Row],[Estoque]]&gt;=TAB_ESTOQUE[[#This Row],[Mínimo]],"Estoque Conforme",IF(TAB_ESTOQUE[[#This Row],[Estoque]]&lt;TAB_ESTOQUE[[#This Row],[Mínimo]],"Estoque em Nivel Minimo")))</f>
        <v>Estoque Conforme</v>
      </c>
      <c r="AC1328" s="85"/>
      <c r="AD1328" s="82"/>
    </row>
    <row r="1329" spans="1:30" ht="15" customHeight="1" x14ac:dyDescent="0.25">
      <c r="A1329" s="45">
        <v>878</v>
      </c>
      <c r="B1329" s="47"/>
      <c r="C1329" s="46"/>
      <c r="D1329" s="45" t="s">
        <v>2452</v>
      </c>
      <c r="E1329" s="46" t="s">
        <v>7</v>
      </c>
      <c r="F1329" s="87"/>
      <c r="G1329" s="82"/>
      <c r="H1329" s="82"/>
      <c r="I1329" s="82" t="s">
        <v>8631</v>
      </c>
      <c r="J1329" s="82"/>
      <c r="K1329" s="82"/>
      <c r="L1329" s="82"/>
      <c r="M1329" s="82"/>
      <c r="N1329" s="82"/>
      <c r="O1329" s="87" t="s">
        <v>6520</v>
      </c>
      <c r="P1329" s="82" t="s">
        <v>677</v>
      </c>
      <c r="Q1329" s="83">
        <f>VLOOKUP(TAB_ESTOQUE[[#This Row],[Codigo]],TAB_ENTRADA[[Cod_2_Entrada]:[TOTAL_ENTRADA]],5,FALSE)-VLOOKUP(TAB_ESTOQUE[[#This Row],[Codigo]],TAB_SAIDA[[COD_2_SAIDA]:[TOTAL_SAIDA]],5,FALSE)</f>
        <v>2</v>
      </c>
      <c r="R1329" s="87"/>
      <c r="S1329" s="87"/>
      <c r="T1329" s="90"/>
      <c r="U1329" s="91">
        <f>TAB_ESTOQUE[[#This Row],[Valor Unitario Estimado]]*TAB_ESTOQUE[[#This Row],[Estoque]]</f>
        <v>0</v>
      </c>
      <c r="V1329" s="91"/>
      <c r="W1329" s="85"/>
      <c r="X1329" s="85"/>
      <c r="Y1329" s="85"/>
      <c r="Z1329" s="85"/>
      <c r="AA1329" s="85"/>
      <c r="AB1329" s="85" t="str">
        <f>IF(TAB_ESTOQUE[[#This Row],[Estoque]]=0,"Estoque Não Conforme",IF(TAB_ESTOQUE[[#This Row],[Estoque]]&gt;=TAB_ESTOQUE[[#This Row],[Mínimo]],"Estoque Conforme",IF(TAB_ESTOQUE[[#This Row],[Estoque]]&lt;TAB_ESTOQUE[[#This Row],[Mínimo]],"Estoque em Nivel Minimo")))</f>
        <v>Estoque Conforme</v>
      </c>
      <c r="AC1329" s="85"/>
      <c r="AD1329" s="82"/>
    </row>
    <row r="1330" spans="1:30" ht="15" customHeight="1" x14ac:dyDescent="0.25">
      <c r="A1330" s="47">
        <v>1297</v>
      </c>
      <c r="B1330" s="47"/>
      <c r="C1330" s="51"/>
      <c r="D1330" s="47" t="s">
        <v>2458</v>
      </c>
      <c r="E1330" s="51" t="s">
        <v>546</v>
      </c>
      <c r="F1330" s="107"/>
      <c r="G1330" s="94"/>
      <c r="H1330" s="94"/>
      <c r="I1330" s="94" t="s">
        <v>8633</v>
      </c>
      <c r="J1330" s="94"/>
      <c r="K1330" s="94"/>
      <c r="L1330" s="94"/>
      <c r="M1330" s="94"/>
      <c r="N1330" s="94"/>
      <c r="O1330" s="107" t="s">
        <v>6520</v>
      </c>
      <c r="P1330" s="94" t="s">
        <v>1019</v>
      </c>
      <c r="Q1330" s="145">
        <f>VLOOKUP(TAB_ESTOQUE[[#This Row],[Codigo]],TAB_ENTRADA[[Cod_2_Entrada]:[TOTAL_ENTRADA]],5,FALSE)-VLOOKUP(TAB_ESTOQUE[[#This Row],[Codigo]],TAB_SAIDA[[COD_2_SAIDA]:[TOTAL_SAIDA]],5,FALSE)</f>
        <v>1</v>
      </c>
      <c r="R1330" s="107"/>
      <c r="S1330" s="107"/>
      <c r="T1330" s="108"/>
      <c r="U1330" s="109">
        <f>TAB_ESTOQUE[[#This Row],[Valor Unitario Estimado]]*TAB_ESTOQUE[[#This Row],[Estoque]]</f>
        <v>0</v>
      </c>
      <c r="V1330" s="109"/>
      <c r="W1330" s="110"/>
      <c r="X1330" s="110"/>
      <c r="Y1330" s="110"/>
      <c r="Z1330" s="110"/>
      <c r="AA1330" s="110"/>
      <c r="AB1330" s="110" t="str">
        <f>IF(TAB_ESTOQUE[[#This Row],[Estoque]]=0,"Estoque Não Conforme",IF(TAB_ESTOQUE[[#This Row],[Estoque]]&gt;=TAB_ESTOQUE[[#This Row],[Mínimo]],"Estoque Conforme",IF(TAB_ESTOQUE[[#This Row],[Estoque]]&lt;TAB_ESTOQUE[[#This Row],[Mínimo]],"Estoque em Nivel Minimo")))</f>
        <v>Estoque Conforme</v>
      </c>
      <c r="AC1330" s="110"/>
      <c r="AD1330" s="94"/>
    </row>
    <row r="1331" spans="1:30" ht="15" customHeight="1" x14ac:dyDescent="0.25">
      <c r="A1331" s="45">
        <v>1266</v>
      </c>
      <c r="B1331" s="47"/>
      <c r="C1331" s="46"/>
      <c r="D1331" s="45" t="s">
        <v>2464</v>
      </c>
      <c r="E1331" s="46" t="s">
        <v>7</v>
      </c>
      <c r="F1331" s="87"/>
      <c r="G1331" s="82"/>
      <c r="H1331" s="82"/>
      <c r="I1331" s="82" t="s">
        <v>8636</v>
      </c>
      <c r="J1331" s="82"/>
      <c r="K1331" s="82"/>
      <c r="L1331" s="82"/>
      <c r="M1331" s="82"/>
      <c r="N1331" s="82"/>
      <c r="O1331" s="87" t="s">
        <v>6520</v>
      </c>
      <c r="P1331" s="82" t="s">
        <v>364</v>
      </c>
      <c r="Q1331" s="83">
        <f>VLOOKUP(TAB_ESTOQUE[[#This Row],[Codigo]],TAB_ENTRADA[[Cod_2_Entrada]:[TOTAL_ENTRADA]],5,FALSE)-VLOOKUP(TAB_ESTOQUE[[#This Row],[Codigo]],TAB_SAIDA[[COD_2_SAIDA]:[TOTAL_SAIDA]],5,FALSE)</f>
        <v>1</v>
      </c>
      <c r="R1331" s="87"/>
      <c r="S1331" s="87"/>
      <c r="T1331" s="90"/>
      <c r="U1331" s="91">
        <f>TAB_ESTOQUE[[#This Row],[Valor Unitario Estimado]]*TAB_ESTOQUE[[#This Row],[Estoque]]</f>
        <v>0</v>
      </c>
      <c r="V1331" s="91"/>
      <c r="W1331" s="85"/>
      <c r="X1331" s="85"/>
      <c r="Y1331" s="85"/>
      <c r="Z1331" s="85"/>
      <c r="AA1331" s="85"/>
      <c r="AB1331" s="85" t="str">
        <f>IF(TAB_ESTOQUE[[#This Row],[Estoque]]=0,"Estoque Não Conforme",IF(TAB_ESTOQUE[[#This Row],[Estoque]]&gt;=TAB_ESTOQUE[[#This Row],[Mínimo]],"Estoque Conforme",IF(TAB_ESTOQUE[[#This Row],[Estoque]]&lt;TAB_ESTOQUE[[#This Row],[Mínimo]],"Estoque em Nivel Minimo")))</f>
        <v>Estoque Conforme</v>
      </c>
      <c r="AC1331" s="85"/>
      <c r="AD1331" s="82"/>
    </row>
    <row r="1332" spans="1:30" ht="15" customHeight="1" x14ac:dyDescent="0.25">
      <c r="A1332" s="45">
        <v>1250</v>
      </c>
      <c r="B1332" s="47"/>
      <c r="C1332" s="46"/>
      <c r="D1332" s="45" t="s">
        <v>2475</v>
      </c>
      <c r="E1332" s="46" t="s">
        <v>401</v>
      </c>
      <c r="F1332" s="87"/>
      <c r="G1332" s="82"/>
      <c r="H1332" s="82"/>
      <c r="I1332" s="82" t="s">
        <v>8640</v>
      </c>
      <c r="J1332" s="82"/>
      <c r="K1332" s="82"/>
      <c r="L1332" s="82"/>
      <c r="M1332" s="82"/>
      <c r="N1332" s="82"/>
      <c r="O1332" s="87" t="s">
        <v>6520</v>
      </c>
      <c r="P1332" s="82" t="s">
        <v>971</v>
      </c>
      <c r="Q1332" s="83">
        <f>VLOOKUP(TAB_ESTOQUE[[#This Row],[Codigo]],TAB_ENTRADA[[Cod_2_Entrada]:[TOTAL_ENTRADA]],5,FALSE)-VLOOKUP(TAB_ESTOQUE[[#This Row],[Codigo]],TAB_SAIDA[[COD_2_SAIDA]:[TOTAL_SAIDA]],5,FALSE)</f>
        <v>1</v>
      </c>
      <c r="R1332" s="87"/>
      <c r="S1332" s="87"/>
      <c r="T1332" s="90"/>
      <c r="U1332" s="91">
        <f>TAB_ESTOQUE[[#This Row],[Valor Unitario Estimado]]*TAB_ESTOQUE[[#This Row],[Estoque]]</f>
        <v>0</v>
      </c>
      <c r="V1332" s="91"/>
      <c r="W1332" s="85"/>
      <c r="X1332" s="85"/>
      <c r="Y1332" s="85"/>
      <c r="Z1332" s="85"/>
      <c r="AA1332" s="85"/>
      <c r="AB1332" s="85" t="str">
        <f>IF(TAB_ESTOQUE[[#This Row],[Estoque]]=0,"Estoque Não Conforme",IF(TAB_ESTOQUE[[#This Row],[Estoque]]&gt;=TAB_ESTOQUE[[#This Row],[Mínimo]],"Estoque Conforme",IF(TAB_ESTOQUE[[#This Row],[Estoque]]&lt;TAB_ESTOQUE[[#This Row],[Mínimo]],"Estoque em Nivel Minimo")))</f>
        <v>Estoque Conforme</v>
      </c>
      <c r="AC1332" s="85"/>
      <c r="AD1332" s="82"/>
    </row>
    <row r="1333" spans="1:30" ht="15" customHeight="1" x14ac:dyDescent="0.25">
      <c r="A1333" s="45">
        <v>1249</v>
      </c>
      <c r="B1333" s="47"/>
      <c r="C1333" s="46"/>
      <c r="D1333" s="45" t="s">
        <v>2476</v>
      </c>
      <c r="E1333" s="46" t="s">
        <v>7</v>
      </c>
      <c r="F1333" s="87"/>
      <c r="G1333" s="82"/>
      <c r="H1333" s="82"/>
      <c r="I1333" s="82" t="s">
        <v>8641</v>
      </c>
      <c r="J1333" s="82"/>
      <c r="K1333" s="82"/>
      <c r="L1333" s="82"/>
      <c r="M1333" s="82"/>
      <c r="N1333" s="82"/>
      <c r="O1333" s="87" t="s">
        <v>6520</v>
      </c>
      <c r="P1333" s="82" t="s">
        <v>969</v>
      </c>
      <c r="Q1333" s="83">
        <f>VLOOKUP(TAB_ESTOQUE[[#This Row],[Codigo]],TAB_ENTRADA[[Cod_2_Entrada]:[TOTAL_ENTRADA]],5,FALSE)-VLOOKUP(TAB_ESTOQUE[[#This Row],[Codigo]],TAB_SAIDA[[COD_2_SAIDA]:[TOTAL_SAIDA]],5,FALSE)</f>
        <v>1</v>
      </c>
      <c r="R1333" s="87"/>
      <c r="S1333" s="87"/>
      <c r="T1333" s="90"/>
      <c r="U1333" s="91">
        <f>TAB_ESTOQUE[[#This Row],[Valor Unitario Estimado]]*TAB_ESTOQUE[[#This Row],[Estoque]]</f>
        <v>0</v>
      </c>
      <c r="V1333" s="91"/>
      <c r="W1333" s="85"/>
      <c r="X1333" s="85"/>
      <c r="Y1333" s="85"/>
      <c r="Z1333" s="85"/>
      <c r="AA1333" s="85"/>
      <c r="AB1333" s="85" t="str">
        <f>IF(TAB_ESTOQUE[[#This Row],[Estoque]]=0,"Estoque Não Conforme",IF(TAB_ESTOQUE[[#This Row],[Estoque]]&gt;=TAB_ESTOQUE[[#This Row],[Mínimo]],"Estoque Conforme",IF(TAB_ESTOQUE[[#This Row],[Estoque]]&lt;TAB_ESTOQUE[[#This Row],[Mínimo]],"Estoque em Nivel Minimo")))</f>
        <v>Estoque Conforme</v>
      </c>
      <c r="AC1333" s="85"/>
      <c r="AD1333" s="82"/>
    </row>
    <row r="1334" spans="1:30" ht="15" customHeight="1" x14ac:dyDescent="0.25">
      <c r="A1334" s="106">
        <v>1218</v>
      </c>
      <c r="B1334" s="106"/>
      <c r="C1334" s="116" t="s">
        <v>2833</v>
      </c>
      <c r="D1334" s="106" t="s">
        <v>2493</v>
      </c>
      <c r="E1334" s="116" t="s">
        <v>7</v>
      </c>
      <c r="F1334" s="118"/>
      <c r="G1334" s="95"/>
      <c r="H1334" s="95"/>
      <c r="I1334" s="95" t="s">
        <v>8643</v>
      </c>
      <c r="J1334" s="95"/>
      <c r="K1334" s="95"/>
      <c r="L1334" s="95"/>
      <c r="M1334" s="95"/>
      <c r="N1334" s="95"/>
      <c r="O1334" s="118" t="s">
        <v>6520</v>
      </c>
      <c r="P1334" s="95" t="s">
        <v>930</v>
      </c>
      <c r="Q1334" s="154">
        <f>VLOOKUP(TAB_ESTOQUE[[#This Row],[Codigo]],TAB_ENTRADA[[Cod_2_Entrada]:[TOTAL_ENTRADA]],5,FALSE)-VLOOKUP(TAB_ESTOQUE[[#This Row],[Codigo]],TAB_SAIDA[[COD_2_SAIDA]:[TOTAL_SAIDA]],5,FALSE)</f>
        <v>1</v>
      </c>
      <c r="R1334" s="118"/>
      <c r="S1334" s="118"/>
      <c r="T1334" s="119"/>
      <c r="U1334" s="112">
        <f>TAB_ESTOQUE[[#This Row],[Valor Unitario Estimado]]*TAB_ESTOQUE[[#This Row],[Estoque]]</f>
        <v>0</v>
      </c>
      <c r="V1334" s="112"/>
      <c r="W1334" s="120"/>
      <c r="X1334" s="120"/>
      <c r="Y1334" s="120"/>
      <c r="Z1334" s="120"/>
      <c r="AA1334" s="120"/>
      <c r="AB1334" s="120" t="str">
        <f>IF(TAB_ESTOQUE[[#This Row],[Estoque]]=0,"Estoque Não Conforme",IF(TAB_ESTOQUE[[#This Row],[Estoque]]&gt;=TAB_ESTOQUE[[#This Row],[Mínimo]],"Estoque Conforme",IF(TAB_ESTOQUE[[#This Row],[Estoque]]&lt;TAB_ESTOQUE[[#This Row],[Mínimo]],"Estoque em Nivel Minimo")))</f>
        <v>Estoque Conforme</v>
      </c>
      <c r="AC1334" s="120"/>
      <c r="AD1334" s="95"/>
    </row>
    <row r="1335" spans="1:30" ht="15" customHeight="1" x14ac:dyDescent="0.25">
      <c r="A1335" s="106">
        <v>1119</v>
      </c>
      <c r="B1335" s="106"/>
      <c r="C1335" s="116" t="s">
        <v>2833</v>
      </c>
      <c r="D1335" s="106" t="s">
        <v>2577</v>
      </c>
      <c r="E1335" s="116"/>
      <c r="F1335" s="118"/>
      <c r="G1335" s="95"/>
      <c r="H1335" s="95"/>
      <c r="I1335" s="95" t="s">
        <v>8650</v>
      </c>
      <c r="J1335" s="95"/>
      <c r="K1335" s="95"/>
      <c r="L1335" s="95"/>
      <c r="M1335" s="95"/>
      <c r="N1335" s="95"/>
      <c r="O1335" s="118" t="s">
        <v>6520</v>
      </c>
      <c r="P1335" s="95" t="s">
        <v>848</v>
      </c>
      <c r="Q1335" s="154">
        <f>VLOOKUP(TAB_ESTOQUE[[#This Row],[Codigo]],TAB_ENTRADA[[Cod_2_Entrada]:[TOTAL_ENTRADA]],5,FALSE)-VLOOKUP(TAB_ESTOQUE[[#This Row],[Codigo]],TAB_SAIDA[[COD_2_SAIDA]:[TOTAL_SAIDA]],5,FALSE)</f>
        <v>3</v>
      </c>
      <c r="R1335" s="118"/>
      <c r="S1335" s="118"/>
      <c r="T1335" s="119">
        <v>74</v>
      </c>
      <c r="U1335" s="112">
        <f>TAB_ESTOQUE[[#This Row],[Valor Unitario Estimado]]*TAB_ESTOQUE[[#This Row],[Estoque]]</f>
        <v>222</v>
      </c>
      <c r="V1335" s="112"/>
      <c r="W1335" s="120"/>
      <c r="X1335" s="120"/>
      <c r="Y1335" s="120"/>
      <c r="Z1335" s="120"/>
      <c r="AA1335" s="120"/>
      <c r="AB1335" s="120" t="str">
        <f>IF(TAB_ESTOQUE[[#This Row],[Estoque]]=0,"Estoque Não Conforme",IF(TAB_ESTOQUE[[#This Row],[Estoque]]&gt;=TAB_ESTOQUE[[#This Row],[Mínimo]],"Estoque Conforme",IF(TAB_ESTOQUE[[#This Row],[Estoque]]&lt;TAB_ESTOQUE[[#This Row],[Mínimo]],"Estoque em Nivel Minimo")))</f>
        <v>Estoque Conforme</v>
      </c>
      <c r="AC1335" s="120"/>
      <c r="AD1335" s="95"/>
    </row>
    <row r="1336" spans="1:30" ht="15" customHeight="1" x14ac:dyDescent="0.25">
      <c r="A1336" s="47">
        <v>1120</v>
      </c>
      <c r="B1336" s="47"/>
      <c r="C1336" s="51" t="s">
        <v>2833</v>
      </c>
      <c r="D1336" s="47" t="s">
        <v>2578</v>
      </c>
      <c r="E1336" s="51"/>
      <c r="F1336" s="107"/>
      <c r="G1336" s="94"/>
      <c r="H1336" s="94"/>
      <c r="I1336" s="94" t="s">
        <v>8651</v>
      </c>
      <c r="J1336" s="94"/>
      <c r="K1336" s="94"/>
      <c r="L1336" s="94"/>
      <c r="M1336" s="94"/>
      <c r="N1336" s="94"/>
      <c r="O1336" s="107" t="s">
        <v>6520</v>
      </c>
      <c r="P1336" s="94" t="s">
        <v>848</v>
      </c>
      <c r="Q1336" s="145">
        <f>VLOOKUP(TAB_ESTOQUE[[#This Row],[Codigo]],TAB_ENTRADA[[Cod_2_Entrada]:[TOTAL_ENTRADA]],5,FALSE)-VLOOKUP(TAB_ESTOQUE[[#This Row],[Codigo]],TAB_SAIDA[[COD_2_SAIDA]:[TOTAL_SAIDA]],5,FALSE)</f>
        <v>1</v>
      </c>
      <c r="R1336" s="107"/>
      <c r="S1336" s="107"/>
      <c r="T1336" s="108"/>
      <c r="U1336" s="109">
        <f>TAB_ESTOQUE[[#This Row],[Valor Unitario Estimado]]*TAB_ESTOQUE[[#This Row],[Estoque]]</f>
        <v>0</v>
      </c>
      <c r="V1336" s="109"/>
      <c r="W1336" s="110"/>
      <c r="X1336" s="110"/>
      <c r="Y1336" s="110"/>
      <c r="Z1336" s="110"/>
      <c r="AA1336" s="110"/>
      <c r="AB1336" s="110" t="str">
        <f>IF(TAB_ESTOQUE[[#This Row],[Estoque]]=0,"Estoque Não Conforme",IF(TAB_ESTOQUE[[#This Row],[Estoque]]&gt;=TAB_ESTOQUE[[#This Row],[Mínimo]],"Estoque Conforme",IF(TAB_ESTOQUE[[#This Row],[Estoque]]&lt;TAB_ESTOQUE[[#This Row],[Mínimo]],"Estoque em Nivel Minimo")))</f>
        <v>Estoque Conforme</v>
      </c>
      <c r="AC1336" s="110"/>
      <c r="AD1336" s="94"/>
    </row>
    <row r="1337" spans="1:30" ht="15" customHeight="1" x14ac:dyDescent="0.25">
      <c r="B1337" s="47"/>
      <c r="C1337" s="53" t="s">
        <v>2833</v>
      </c>
      <c r="D1337" s="45" t="s">
        <v>5991</v>
      </c>
      <c r="E1337" s="46"/>
      <c r="F1337" s="87"/>
      <c r="G1337" s="82"/>
      <c r="H1337" s="82"/>
      <c r="I1337" s="82" t="s">
        <v>8678</v>
      </c>
      <c r="J1337" s="82"/>
      <c r="K1337" s="82"/>
      <c r="L1337" s="82"/>
      <c r="M1337" s="82"/>
      <c r="N1337" s="82"/>
      <c r="O1337" s="87" t="s">
        <v>6520</v>
      </c>
      <c r="P1337" s="82" t="s">
        <v>6015</v>
      </c>
      <c r="Q1337" s="83">
        <f>VLOOKUP(TAB_ESTOQUE[[#This Row],[Codigo]],TAB_ENTRADA[[Cod_2_Entrada]:[TOTAL_ENTRADA]],5,FALSE)-VLOOKUP(TAB_ESTOQUE[[#This Row],[Codigo]],TAB_SAIDA[[COD_2_SAIDA]:[TOTAL_SAIDA]],5,FALSE)</f>
        <v>6</v>
      </c>
      <c r="R1337" s="87"/>
      <c r="S1337" s="87"/>
      <c r="T1337" s="90"/>
      <c r="U1337" s="91">
        <f>TAB_ESTOQUE[[#This Row],[Valor Unitario Estimado]]*TAB_ESTOQUE[[#This Row],[Estoque]]</f>
        <v>0</v>
      </c>
      <c r="V1337" s="91"/>
      <c r="W1337" s="85"/>
      <c r="X1337" s="85"/>
      <c r="Y1337" s="85"/>
      <c r="Z1337" s="85"/>
      <c r="AA1337" s="85"/>
      <c r="AB1337" s="96" t="str">
        <f>IF(TAB_ESTOQUE[[#This Row],[Estoque]]=0,"Estoque Não Conforme",IF(TAB_ESTOQUE[[#This Row],[Estoque]]&gt;=TAB_ESTOQUE[[#This Row],[Mínimo]],"Estoque Conforme",IF(TAB_ESTOQUE[[#This Row],[Estoque]]&lt;TAB_ESTOQUE[[#This Row],[Mínimo]],"Estoque em Nivel Minimo")))</f>
        <v>Estoque Conforme</v>
      </c>
      <c r="AC1337" s="96"/>
      <c r="AD1337" s="82"/>
    </row>
    <row r="1338" spans="1:30" ht="15" customHeight="1" x14ac:dyDescent="0.25">
      <c r="B1338" s="47"/>
      <c r="C1338" s="48"/>
      <c r="D1338" s="45" t="s">
        <v>6576</v>
      </c>
      <c r="E1338" s="46" t="s">
        <v>116</v>
      </c>
      <c r="F1338" s="46"/>
      <c r="I1338" s="45" t="s">
        <v>8709</v>
      </c>
      <c r="O1338" s="46" t="s">
        <v>6520</v>
      </c>
      <c r="Q1338" s="83">
        <f>VLOOKUP(TAB_ESTOQUE[[#This Row],[Codigo]],TAB_ENTRADA[[Cod_2_Entrada]:[TOTAL_ENTRADA]],5,FALSE)-VLOOKUP(TAB_ESTOQUE[[#This Row],[Codigo]],TAB_SAIDA[[COD_2_SAIDA]:[TOTAL_SAIDA]],5,FALSE)</f>
        <v>3</v>
      </c>
      <c r="S1338" s="46"/>
      <c r="T1338" s="102"/>
      <c r="U1338" s="103">
        <f>TAB_ESTOQUE[[#This Row],[Valor Unitario Estimado]]*TAB_ESTOQUE[[#This Row],[Estoque]]</f>
        <v>0</v>
      </c>
      <c r="V1338" s="103"/>
      <c r="AB1338" s="104" t="str">
        <f>IF(TAB_ESTOQUE[[#This Row],[Estoque]]=0,"Estoque Não Conforme",IF(TAB_ESTOQUE[[#This Row],[Estoque]]&gt;=TAB_ESTOQUE[[#This Row],[Mínimo]],"Estoque Conforme",IF(TAB_ESTOQUE[[#This Row],[Estoque]]&lt;TAB_ESTOQUE[[#This Row],[Mínimo]],"Estoque em Nivel Minimo")))</f>
        <v>Estoque Conforme</v>
      </c>
      <c r="AC1338" s="104"/>
    </row>
    <row r="1339" spans="1:30" ht="15" customHeight="1" x14ac:dyDescent="0.25">
      <c r="B1339" s="47"/>
      <c r="C1339" s="48"/>
      <c r="D1339" s="45" t="s">
        <v>6577</v>
      </c>
      <c r="E1339" s="46" t="s">
        <v>116</v>
      </c>
      <c r="F1339" s="46"/>
      <c r="I1339" s="45" t="s">
        <v>8710</v>
      </c>
      <c r="O1339" s="46" t="s">
        <v>6520</v>
      </c>
      <c r="Q1339" s="83">
        <f>VLOOKUP(TAB_ESTOQUE[[#This Row],[Codigo]],TAB_ENTRADA[[Cod_2_Entrada]:[TOTAL_ENTRADA]],5,FALSE)-VLOOKUP(TAB_ESTOQUE[[#This Row],[Codigo]],TAB_SAIDA[[COD_2_SAIDA]:[TOTAL_SAIDA]],5,FALSE)</f>
        <v>1</v>
      </c>
      <c r="S1339" s="46"/>
      <c r="T1339" s="102"/>
      <c r="U1339" s="103">
        <f>TAB_ESTOQUE[[#This Row],[Valor Unitario Estimado]]*TAB_ESTOQUE[[#This Row],[Estoque]]</f>
        <v>0</v>
      </c>
      <c r="V1339" s="103"/>
      <c r="AB1339" s="104" t="str">
        <f>IF(TAB_ESTOQUE[[#This Row],[Estoque]]=0,"Estoque Não Conforme",IF(TAB_ESTOQUE[[#This Row],[Estoque]]&gt;=TAB_ESTOQUE[[#This Row],[Mínimo]],"Estoque Conforme",IF(TAB_ESTOQUE[[#This Row],[Estoque]]&lt;TAB_ESTOQUE[[#This Row],[Mínimo]],"Estoque em Nivel Minimo")))</f>
        <v>Estoque Conforme</v>
      </c>
      <c r="AC1339" s="104"/>
    </row>
    <row r="1340" spans="1:30" ht="15" customHeight="1" x14ac:dyDescent="0.25">
      <c r="A1340" s="47">
        <v>1306</v>
      </c>
      <c r="B1340" s="47"/>
      <c r="C1340" s="51"/>
      <c r="D1340" s="47" t="s">
        <v>2014</v>
      </c>
      <c r="E1340" s="51" t="s">
        <v>7</v>
      </c>
      <c r="F1340" s="107"/>
      <c r="G1340" s="94"/>
      <c r="H1340" s="94"/>
      <c r="I1340" s="94" t="s">
        <v>8491</v>
      </c>
      <c r="J1340" s="94"/>
      <c r="K1340" s="94"/>
      <c r="L1340" s="94"/>
      <c r="M1340" s="94" t="s">
        <v>254</v>
      </c>
      <c r="N1340" s="94"/>
      <c r="O1340" s="107" t="s">
        <v>6518</v>
      </c>
      <c r="P1340" s="94" t="s">
        <v>881</v>
      </c>
      <c r="Q1340" s="145">
        <f>VLOOKUP(TAB_ESTOQUE[[#This Row],[Codigo]],TAB_ENTRADA[[Cod_2_Entrada]:[TOTAL_ENTRADA]],5,FALSE)-VLOOKUP(TAB_ESTOQUE[[#This Row],[Codigo]],TAB_SAIDA[[COD_2_SAIDA]:[TOTAL_SAIDA]],5,FALSE)</f>
        <v>1</v>
      </c>
      <c r="R1340" s="107"/>
      <c r="S1340" s="107"/>
      <c r="T1340" s="108"/>
      <c r="U1340" s="109">
        <f>TAB_ESTOQUE[[#This Row],[Valor Unitario Estimado]]*TAB_ESTOQUE[[#This Row],[Estoque]]</f>
        <v>0</v>
      </c>
      <c r="V1340" s="109"/>
      <c r="W1340" s="110"/>
      <c r="X1340" s="110"/>
      <c r="Y1340" s="110"/>
      <c r="Z1340" s="110"/>
      <c r="AA1340" s="110"/>
      <c r="AB1340" s="110" t="str">
        <f>IF(TAB_ESTOQUE[[#This Row],[Estoque]]=0,"Estoque Não Conforme",IF(TAB_ESTOQUE[[#This Row],[Estoque]]&gt;=TAB_ESTOQUE[[#This Row],[Mínimo]],"Estoque Conforme",IF(TAB_ESTOQUE[[#This Row],[Estoque]]&lt;TAB_ESTOQUE[[#This Row],[Mínimo]],"Estoque em Nivel Minimo")))</f>
        <v>Estoque Conforme</v>
      </c>
      <c r="AC1340" s="110"/>
      <c r="AD1340" s="94"/>
    </row>
    <row r="1341" spans="1:30" ht="15" customHeight="1" x14ac:dyDescent="0.25">
      <c r="A1341" s="106">
        <v>1156</v>
      </c>
      <c r="B1341" s="106"/>
      <c r="C1341" s="116" t="s">
        <v>2833</v>
      </c>
      <c r="D1341" s="106" t="s">
        <v>2015</v>
      </c>
      <c r="E1341" s="116" t="s">
        <v>7265</v>
      </c>
      <c r="F1341" s="118"/>
      <c r="G1341" s="95"/>
      <c r="H1341" s="95"/>
      <c r="I1341" s="95" t="s">
        <v>2856</v>
      </c>
      <c r="J1341" s="95"/>
      <c r="K1341" s="95"/>
      <c r="L1341" s="95"/>
      <c r="M1341" s="95"/>
      <c r="N1341" s="95"/>
      <c r="O1341" s="118" t="s">
        <v>6518</v>
      </c>
      <c r="P1341" s="95" t="s">
        <v>881</v>
      </c>
      <c r="Q1341" s="154">
        <f>VLOOKUP(TAB_ESTOQUE[[#This Row],[Codigo]],TAB_ENTRADA[[Cod_2_Entrada]:[TOTAL_ENTRADA]],5,FALSE)-VLOOKUP(TAB_ESTOQUE[[#This Row],[Codigo]],TAB_SAIDA[[COD_2_SAIDA]:[TOTAL_SAIDA]],5,FALSE)</f>
        <v>0</v>
      </c>
      <c r="R1341" s="118"/>
      <c r="S1341" s="118"/>
      <c r="T1341" s="119">
        <v>318</v>
      </c>
      <c r="U1341" s="112">
        <f>TAB_ESTOQUE[[#This Row],[Valor Unitario Estimado]]*TAB_ESTOQUE[[#This Row],[Estoque]]</f>
        <v>0</v>
      </c>
      <c r="V1341" s="112"/>
      <c r="W1341" s="120"/>
      <c r="X1341" s="120"/>
      <c r="Y1341" s="120"/>
      <c r="Z1341" s="120"/>
      <c r="AA1341" s="120"/>
      <c r="AB1341" s="120" t="str">
        <f>IF(TAB_ESTOQUE[[#This Row],[Estoque]]=0,"Estoque Não Conforme",IF(TAB_ESTOQUE[[#This Row],[Estoque]]&gt;=TAB_ESTOQUE[[#This Row],[Mínimo]],"Estoque Conforme",IF(TAB_ESTOQUE[[#This Row],[Estoque]]&lt;TAB_ESTOQUE[[#This Row],[Mínimo]],"Estoque em Nivel Minimo")))</f>
        <v>Estoque Não Conforme</v>
      </c>
      <c r="AC1341" s="120"/>
      <c r="AD1341" s="95"/>
    </row>
    <row r="1342" spans="1:30" ht="15" customHeight="1" x14ac:dyDescent="0.25">
      <c r="A1342" s="47">
        <v>1157</v>
      </c>
      <c r="B1342" s="47"/>
      <c r="C1342" s="51" t="s">
        <v>2833</v>
      </c>
      <c r="D1342" s="47" t="s">
        <v>2016</v>
      </c>
      <c r="E1342" s="51" t="s">
        <v>7</v>
      </c>
      <c r="F1342" s="107"/>
      <c r="G1342" s="94"/>
      <c r="H1342" s="94"/>
      <c r="I1342" s="94" t="s">
        <v>8492</v>
      </c>
      <c r="J1342" s="94"/>
      <c r="K1342" s="94"/>
      <c r="L1342" s="94"/>
      <c r="M1342" s="94"/>
      <c r="N1342" s="94"/>
      <c r="O1342" s="107" t="s">
        <v>6518</v>
      </c>
      <c r="P1342" s="94" t="s">
        <v>881</v>
      </c>
      <c r="Q1342" s="145">
        <f>VLOOKUP(TAB_ESTOQUE[[#This Row],[Codigo]],TAB_ENTRADA[[Cod_2_Entrada]:[TOTAL_ENTRADA]],5,FALSE)-VLOOKUP(TAB_ESTOQUE[[#This Row],[Codigo]],TAB_SAIDA[[COD_2_SAIDA]:[TOTAL_SAIDA]],5,FALSE)</f>
        <v>1</v>
      </c>
      <c r="R1342" s="107"/>
      <c r="S1342" s="107"/>
      <c r="T1342" s="108">
        <v>200</v>
      </c>
      <c r="U1342" s="109">
        <f>TAB_ESTOQUE[[#This Row],[Valor Unitario Estimado]]*TAB_ESTOQUE[[#This Row],[Estoque]]</f>
        <v>200</v>
      </c>
      <c r="V1342" s="109"/>
      <c r="W1342" s="110"/>
      <c r="X1342" s="110"/>
      <c r="Y1342" s="110"/>
      <c r="Z1342" s="110"/>
      <c r="AA1342" s="110"/>
      <c r="AB1342" s="110" t="str">
        <f>IF(TAB_ESTOQUE[[#This Row],[Estoque]]=0,"Estoque Não Conforme",IF(TAB_ESTOQUE[[#This Row],[Estoque]]&gt;=TAB_ESTOQUE[[#This Row],[Mínimo]],"Estoque Conforme",IF(TAB_ESTOQUE[[#This Row],[Estoque]]&lt;TAB_ESTOQUE[[#This Row],[Mínimo]],"Estoque em Nivel Minimo")))</f>
        <v>Estoque Conforme</v>
      </c>
      <c r="AC1342" s="110"/>
      <c r="AD1342" s="94"/>
    </row>
    <row r="1343" spans="1:30" ht="15" customHeight="1" x14ac:dyDescent="0.25">
      <c r="A1343" s="45">
        <v>196</v>
      </c>
      <c r="B1343" s="47"/>
      <c r="C1343" s="46"/>
      <c r="D1343" s="45" t="s">
        <v>2125</v>
      </c>
      <c r="E1343" s="46" t="s">
        <v>7258</v>
      </c>
      <c r="F1343" s="87"/>
      <c r="G1343" s="82"/>
      <c r="H1343" s="82"/>
      <c r="I1343" s="82" t="s">
        <v>8516</v>
      </c>
      <c r="J1343" s="82"/>
      <c r="K1343" s="82"/>
      <c r="L1343" s="82"/>
      <c r="M1343" s="82" t="s">
        <v>139</v>
      </c>
      <c r="N1343" s="82"/>
      <c r="O1343" s="87" t="s">
        <v>6518</v>
      </c>
      <c r="P1343" s="82" t="s">
        <v>146</v>
      </c>
      <c r="Q1343" s="83">
        <f>VLOOKUP(TAB_ESTOQUE[[#This Row],[Codigo]],TAB_ENTRADA[[Cod_2_Entrada]:[TOTAL_ENTRADA]],5,FALSE)-VLOOKUP(TAB_ESTOQUE[[#This Row],[Codigo]],TAB_SAIDA[[COD_2_SAIDA]:[TOTAL_SAIDA]],5,FALSE)</f>
        <v>6</v>
      </c>
      <c r="R1343" s="87"/>
      <c r="S1343" s="87"/>
      <c r="T1343" s="90">
        <v>635</v>
      </c>
      <c r="U1343" s="91">
        <f>TAB_ESTOQUE[[#This Row],[Valor Unitario Estimado]]*TAB_ESTOQUE[[#This Row],[Estoque]]</f>
        <v>3810</v>
      </c>
      <c r="V1343" s="91"/>
      <c r="W1343" s="85"/>
      <c r="X1343" s="85"/>
      <c r="Y1343" s="85"/>
      <c r="Z1343" s="85"/>
      <c r="AA1343" s="85"/>
      <c r="AB1343" s="85" t="str">
        <f>IF(TAB_ESTOQUE[[#This Row],[Estoque]]=0,"Estoque Não Conforme",IF(TAB_ESTOQUE[[#This Row],[Estoque]]&gt;=TAB_ESTOQUE[[#This Row],[Mínimo]],"Estoque Conforme",IF(TAB_ESTOQUE[[#This Row],[Estoque]]&lt;TAB_ESTOQUE[[#This Row],[Mínimo]],"Estoque em Nivel Minimo")))</f>
        <v>Estoque Conforme</v>
      </c>
      <c r="AC1343" s="85"/>
      <c r="AD1343" s="82"/>
    </row>
    <row r="1344" spans="1:30" ht="15" customHeight="1" x14ac:dyDescent="0.25">
      <c r="A1344" s="45">
        <v>1072</v>
      </c>
      <c r="B1344" s="47"/>
      <c r="C1344" s="46"/>
      <c r="D1344" s="45" t="s">
        <v>2446</v>
      </c>
      <c r="E1344" s="46" t="s">
        <v>572</v>
      </c>
      <c r="F1344" s="87"/>
      <c r="G1344" s="82"/>
      <c r="H1344" s="82"/>
      <c r="I1344" s="82" t="s">
        <v>8630</v>
      </c>
      <c r="J1344" s="82"/>
      <c r="K1344" s="82" t="s">
        <v>30</v>
      </c>
      <c r="L1344" s="82"/>
      <c r="M1344" s="82"/>
      <c r="N1344" s="82"/>
      <c r="O1344" s="87" t="s">
        <v>6518</v>
      </c>
      <c r="P1344" s="82" t="s">
        <v>810</v>
      </c>
      <c r="Q1344" s="83">
        <f>VLOOKUP(TAB_ESTOQUE[[#This Row],[Codigo]],TAB_ENTRADA[[Cod_2_Entrada]:[TOTAL_ENTRADA]],5,FALSE)-VLOOKUP(TAB_ESTOQUE[[#This Row],[Codigo]],TAB_SAIDA[[COD_2_SAIDA]:[TOTAL_SAIDA]],5,FALSE)</f>
        <v>1</v>
      </c>
      <c r="R1344" s="87"/>
      <c r="S1344" s="87"/>
      <c r="T1344" s="90">
        <v>1766.73</v>
      </c>
      <c r="U1344" s="91">
        <f>TAB_ESTOQUE[[#This Row],[Valor Unitario Estimado]]*TAB_ESTOQUE[[#This Row],[Estoque]]</f>
        <v>1766.73</v>
      </c>
      <c r="V1344" s="91"/>
      <c r="W1344" s="85"/>
      <c r="X1344" s="85"/>
      <c r="Y1344" s="85"/>
      <c r="Z1344" s="85"/>
      <c r="AA1344" s="85"/>
      <c r="AB1344" s="85" t="str">
        <f>IF(TAB_ESTOQUE[[#This Row],[Estoque]]=0,"Estoque Não Conforme",IF(TAB_ESTOQUE[[#This Row],[Estoque]]&gt;=TAB_ESTOQUE[[#This Row],[Mínimo]],"Estoque Conforme",IF(TAB_ESTOQUE[[#This Row],[Estoque]]&lt;TAB_ESTOQUE[[#This Row],[Mínimo]],"Estoque em Nivel Minimo")))</f>
        <v>Estoque Conforme</v>
      </c>
      <c r="AC1344" s="85"/>
      <c r="AD1344" s="82"/>
    </row>
    <row r="1345" spans="1:30" ht="15" customHeight="1" x14ac:dyDescent="0.25">
      <c r="A1345" s="45">
        <v>1360</v>
      </c>
      <c r="B1345" s="47"/>
      <c r="C1345" s="46"/>
      <c r="D1345" s="45" t="s">
        <v>2479</v>
      </c>
      <c r="E1345" s="46" t="s">
        <v>7</v>
      </c>
      <c r="F1345" s="87"/>
      <c r="G1345" s="82"/>
      <c r="H1345" s="82"/>
      <c r="I1345" s="82" t="s">
        <v>8642</v>
      </c>
      <c r="J1345" s="82"/>
      <c r="K1345" s="82"/>
      <c r="L1345" s="82"/>
      <c r="M1345" s="82"/>
      <c r="N1345" s="82"/>
      <c r="O1345" s="87" t="s">
        <v>6518</v>
      </c>
      <c r="P1345" s="82" t="s">
        <v>1094</v>
      </c>
      <c r="Q1345" s="83">
        <f>VLOOKUP(TAB_ESTOQUE[[#This Row],[Codigo]],TAB_ENTRADA[[Cod_2_Entrada]:[TOTAL_ENTRADA]],5,FALSE)-VLOOKUP(TAB_ESTOQUE[[#This Row],[Codigo]],TAB_SAIDA[[COD_2_SAIDA]:[TOTAL_SAIDA]],5,FALSE)</f>
        <v>7</v>
      </c>
      <c r="R1345" s="87"/>
      <c r="S1345" s="87"/>
      <c r="T1345" s="90"/>
      <c r="U1345" s="91">
        <f>TAB_ESTOQUE[[#This Row],[Valor Unitario Estimado]]*TAB_ESTOQUE[[#This Row],[Estoque]]</f>
        <v>0</v>
      </c>
      <c r="V1345" s="91"/>
      <c r="W1345" s="85"/>
      <c r="X1345" s="85"/>
      <c r="Y1345" s="85"/>
      <c r="Z1345" s="85"/>
      <c r="AA1345" s="85"/>
      <c r="AB1345" s="85" t="str">
        <f>IF(TAB_ESTOQUE[[#This Row],[Estoque]]=0,"Estoque Não Conforme",IF(TAB_ESTOQUE[[#This Row],[Estoque]]&gt;=TAB_ESTOQUE[[#This Row],[Mínimo]],"Estoque Conforme",IF(TAB_ESTOQUE[[#This Row],[Estoque]]&lt;TAB_ESTOQUE[[#This Row],[Mínimo]],"Estoque em Nivel Minimo")))</f>
        <v>Estoque Conforme</v>
      </c>
      <c r="AC1345" s="85"/>
      <c r="AD1345" s="82"/>
    </row>
    <row r="1346" spans="1:30" ht="15" customHeight="1" x14ac:dyDescent="0.25">
      <c r="A1346" s="45">
        <v>1243</v>
      </c>
      <c r="B1346" s="47"/>
      <c r="C1346" s="46"/>
      <c r="D1346" s="45" t="s">
        <v>2480</v>
      </c>
      <c r="E1346" s="46" t="s">
        <v>7</v>
      </c>
      <c r="F1346" s="87"/>
      <c r="G1346" s="82"/>
      <c r="H1346" s="82"/>
      <c r="I1346" s="82" t="s">
        <v>6511</v>
      </c>
      <c r="J1346" s="82"/>
      <c r="K1346" s="82"/>
      <c r="L1346" s="82"/>
      <c r="M1346" s="82"/>
      <c r="N1346" s="82"/>
      <c r="O1346" s="87" t="s">
        <v>6518</v>
      </c>
      <c r="P1346" s="82" t="s">
        <v>960</v>
      </c>
      <c r="Q1346" s="83">
        <f>VLOOKUP(TAB_ESTOQUE[[#This Row],[Codigo]],TAB_ENTRADA[[Cod_2_Entrada]:[TOTAL_ENTRADA]],5,FALSE)-VLOOKUP(TAB_ESTOQUE[[#This Row],[Codigo]],TAB_SAIDA[[COD_2_SAIDA]:[TOTAL_SAIDA]],5,FALSE)</f>
        <v>2</v>
      </c>
      <c r="R1346" s="87"/>
      <c r="S1346" s="87"/>
      <c r="T1346" s="90"/>
      <c r="U1346" s="91">
        <f>TAB_ESTOQUE[[#This Row],[Valor Unitario Estimado]]*TAB_ESTOQUE[[#This Row],[Estoque]]</f>
        <v>0</v>
      </c>
      <c r="V1346" s="91"/>
      <c r="W1346" s="85"/>
      <c r="X1346" s="85"/>
      <c r="Y1346" s="85"/>
      <c r="Z1346" s="85"/>
      <c r="AA1346" s="85"/>
      <c r="AB1346" s="85" t="str">
        <f>IF(TAB_ESTOQUE[[#This Row],[Estoque]]=0,"Estoque Não Conforme",IF(TAB_ESTOQUE[[#This Row],[Estoque]]&gt;=TAB_ESTOQUE[[#This Row],[Mínimo]],"Estoque Conforme",IF(TAB_ESTOQUE[[#This Row],[Estoque]]&lt;TAB_ESTOQUE[[#This Row],[Mínimo]],"Estoque em Nivel Minimo")))</f>
        <v>Estoque Conforme</v>
      </c>
      <c r="AC1346" s="85"/>
      <c r="AD1346" s="82"/>
    </row>
    <row r="1347" spans="1:30" ht="15" customHeight="1" x14ac:dyDescent="0.25">
      <c r="A1347" s="45">
        <v>1302</v>
      </c>
      <c r="B1347" s="47"/>
      <c r="C1347" s="46"/>
      <c r="D1347" s="45" t="s">
        <v>2481</v>
      </c>
      <c r="E1347" s="46" t="s">
        <v>7</v>
      </c>
      <c r="F1347" s="87"/>
      <c r="G1347" s="82"/>
      <c r="H1347" s="82"/>
      <c r="I1347" s="82" t="s">
        <v>6213</v>
      </c>
      <c r="J1347" s="82"/>
      <c r="K1347" s="82"/>
      <c r="L1347" s="82"/>
      <c r="M1347" s="82"/>
      <c r="N1347" s="82"/>
      <c r="O1347" s="87" t="s">
        <v>6518</v>
      </c>
      <c r="P1347" s="82" t="s">
        <v>1029</v>
      </c>
      <c r="Q1347" s="83">
        <f>VLOOKUP(TAB_ESTOQUE[[#This Row],[Codigo]],TAB_ENTRADA[[Cod_2_Entrada]:[TOTAL_ENTRADA]],5,FALSE)-VLOOKUP(TAB_ESTOQUE[[#This Row],[Codigo]],TAB_SAIDA[[COD_2_SAIDA]:[TOTAL_SAIDA]],5,FALSE)</f>
        <v>9</v>
      </c>
      <c r="R1347" s="87"/>
      <c r="S1347" s="87"/>
      <c r="T1347" s="90"/>
      <c r="U1347" s="91">
        <f>TAB_ESTOQUE[[#This Row],[Valor Unitario Estimado]]*TAB_ESTOQUE[[#This Row],[Estoque]]</f>
        <v>0</v>
      </c>
      <c r="V1347" s="91"/>
      <c r="W1347" s="85"/>
      <c r="X1347" s="85"/>
      <c r="Y1347" s="85"/>
      <c r="Z1347" s="85"/>
      <c r="AA1347" s="85"/>
      <c r="AB1347" s="85" t="str">
        <f>IF(TAB_ESTOQUE[[#This Row],[Estoque]]=0,"Estoque Não Conforme",IF(TAB_ESTOQUE[[#This Row],[Estoque]]&gt;=TAB_ESTOQUE[[#This Row],[Mínimo]],"Estoque Conforme",IF(TAB_ESTOQUE[[#This Row],[Estoque]]&lt;TAB_ESTOQUE[[#This Row],[Mínimo]],"Estoque em Nivel Minimo")))</f>
        <v>Estoque Conforme</v>
      </c>
      <c r="AC1347" s="85"/>
      <c r="AD1347" s="82"/>
    </row>
    <row r="1348" spans="1:30" ht="15" customHeight="1" x14ac:dyDescent="0.25">
      <c r="A1348" s="45">
        <v>1210</v>
      </c>
      <c r="B1348" s="47"/>
      <c r="C1348" s="46" t="s">
        <v>2833</v>
      </c>
      <c r="D1348" s="45" t="s">
        <v>2482</v>
      </c>
      <c r="E1348" s="46" t="s">
        <v>7</v>
      </c>
      <c r="F1348" s="87"/>
      <c r="G1348" s="82"/>
      <c r="H1348" s="82"/>
      <c r="I1348" s="82" t="s">
        <v>6512</v>
      </c>
      <c r="J1348" s="82"/>
      <c r="K1348" s="82" t="s">
        <v>233</v>
      </c>
      <c r="L1348" s="82"/>
      <c r="M1348" s="82"/>
      <c r="N1348" s="82"/>
      <c r="O1348" s="87" t="s">
        <v>6518</v>
      </c>
      <c r="P1348" s="82" t="s">
        <v>924</v>
      </c>
      <c r="Q1348" s="83">
        <f>VLOOKUP(TAB_ESTOQUE[[#This Row],[Codigo]],TAB_ENTRADA[[Cod_2_Entrada]:[TOTAL_ENTRADA]],5,FALSE)-VLOOKUP(TAB_ESTOQUE[[#This Row],[Codigo]],TAB_SAIDA[[COD_2_SAIDA]:[TOTAL_SAIDA]],5,FALSE)</f>
        <v>2</v>
      </c>
      <c r="R1348" s="87"/>
      <c r="S1348" s="87"/>
      <c r="T1348" s="90"/>
      <c r="U1348" s="91">
        <f>TAB_ESTOQUE[[#This Row],[Valor Unitario Estimado]]*TAB_ESTOQUE[[#This Row],[Estoque]]</f>
        <v>0</v>
      </c>
      <c r="V1348" s="91"/>
      <c r="W1348" s="85"/>
      <c r="X1348" s="85"/>
      <c r="Y1348" s="85"/>
      <c r="Z1348" s="85"/>
      <c r="AA1348" s="85"/>
      <c r="AB1348" s="85" t="str">
        <f>IF(TAB_ESTOQUE[[#This Row],[Estoque]]=0,"Estoque Não Conforme",IF(TAB_ESTOQUE[[#This Row],[Estoque]]&gt;=TAB_ESTOQUE[[#This Row],[Mínimo]],"Estoque Conforme",IF(TAB_ESTOQUE[[#This Row],[Estoque]]&lt;TAB_ESTOQUE[[#This Row],[Mínimo]],"Estoque em Nivel Minimo")))</f>
        <v>Estoque Conforme</v>
      </c>
      <c r="AC1348" s="85"/>
      <c r="AD1348" s="82"/>
    </row>
    <row r="1349" spans="1:30" ht="15" customHeight="1" x14ac:dyDescent="0.25">
      <c r="A1349" s="45">
        <v>787</v>
      </c>
      <c r="B1349" s="47"/>
      <c r="C1349" s="46"/>
      <c r="D1349" s="45" t="s">
        <v>2483</v>
      </c>
      <c r="E1349" s="46" t="s">
        <v>7</v>
      </c>
      <c r="F1349" s="87"/>
      <c r="G1349" s="82"/>
      <c r="H1349" s="82"/>
      <c r="I1349" s="82" t="s">
        <v>1585</v>
      </c>
      <c r="J1349" s="82"/>
      <c r="K1349" s="82"/>
      <c r="L1349" s="82"/>
      <c r="M1349" s="82"/>
      <c r="N1349" s="82"/>
      <c r="O1349" s="87" t="s">
        <v>6518</v>
      </c>
      <c r="P1349" s="82" t="s">
        <v>573</v>
      </c>
      <c r="Q1349" s="83">
        <f>VLOOKUP(TAB_ESTOQUE[[#This Row],[Codigo]],TAB_ENTRADA[[Cod_2_Entrada]:[TOTAL_ENTRADA]],5,FALSE)-VLOOKUP(TAB_ESTOQUE[[#This Row],[Codigo]],TAB_SAIDA[[COD_2_SAIDA]:[TOTAL_SAIDA]],5,FALSE)</f>
        <v>0</v>
      </c>
      <c r="R1349" s="87"/>
      <c r="S1349" s="87"/>
      <c r="T1349" s="90"/>
      <c r="U1349" s="91">
        <f>TAB_ESTOQUE[[#This Row],[Valor Unitario Estimado]]*TAB_ESTOQUE[[#This Row],[Estoque]]</f>
        <v>0</v>
      </c>
      <c r="V1349" s="91"/>
      <c r="W1349" s="85"/>
      <c r="X1349" s="85"/>
      <c r="Y1349" s="85"/>
      <c r="Z1349" s="85"/>
      <c r="AA1349" s="85"/>
      <c r="AB1349" s="85" t="str">
        <f>IF(TAB_ESTOQUE[[#This Row],[Estoque]]=0,"Estoque Não Conforme",IF(TAB_ESTOQUE[[#This Row],[Estoque]]&gt;=TAB_ESTOQUE[[#This Row],[Mínimo]],"Estoque Conforme",IF(TAB_ESTOQUE[[#This Row],[Estoque]]&lt;TAB_ESTOQUE[[#This Row],[Mínimo]],"Estoque em Nivel Minimo")))</f>
        <v>Estoque Não Conforme</v>
      </c>
      <c r="AC1349" s="85"/>
      <c r="AD1349" s="82"/>
    </row>
    <row r="1350" spans="1:30" ht="15" customHeight="1" x14ac:dyDescent="0.25">
      <c r="A1350" s="45">
        <v>1318</v>
      </c>
      <c r="B1350" s="47"/>
      <c r="C1350" s="46"/>
      <c r="D1350" s="45" t="s">
        <v>2484</v>
      </c>
      <c r="E1350" s="46" t="s">
        <v>7</v>
      </c>
      <c r="F1350" s="87"/>
      <c r="G1350" s="82"/>
      <c r="H1350" s="82"/>
      <c r="I1350" s="82" t="s">
        <v>6214</v>
      </c>
      <c r="J1350" s="82"/>
      <c r="K1350" s="82"/>
      <c r="L1350" s="82"/>
      <c r="M1350" s="82"/>
      <c r="N1350" s="82"/>
      <c r="O1350" s="87" t="s">
        <v>6518</v>
      </c>
      <c r="P1350" s="82" t="s">
        <v>1051</v>
      </c>
      <c r="Q1350" s="83">
        <f>VLOOKUP(TAB_ESTOQUE[[#This Row],[Codigo]],TAB_ENTRADA[[Cod_2_Entrada]:[TOTAL_ENTRADA]],5,FALSE)-VLOOKUP(TAB_ESTOQUE[[#This Row],[Codigo]],TAB_SAIDA[[COD_2_SAIDA]:[TOTAL_SAIDA]],5,FALSE)</f>
        <v>5</v>
      </c>
      <c r="R1350" s="87"/>
      <c r="S1350" s="87"/>
      <c r="T1350" s="90"/>
      <c r="U1350" s="91">
        <f>TAB_ESTOQUE[[#This Row],[Valor Unitario Estimado]]*TAB_ESTOQUE[[#This Row],[Estoque]]</f>
        <v>0</v>
      </c>
      <c r="V1350" s="91"/>
      <c r="W1350" s="85"/>
      <c r="X1350" s="85"/>
      <c r="Y1350" s="85"/>
      <c r="Z1350" s="85"/>
      <c r="AA1350" s="85"/>
      <c r="AB1350" s="85" t="str">
        <f>IF(TAB_ESTOQUE[[#This Row],[Estoque]]=0,"Estoque Não Conforme",IF(TAB_ESTOQUE[[#This Row],[Estoque]]&gt;=TAB_ESTOQUE[[#This Row],[Mínimo]],"Estoque Conforme",IF(TAB_ESTOQUE[[#This Row],[Estoque]]&lt;TAB_ESTOQUE[[#This Row],[Mínimo]],"Estoque em Nivel Minimo")))</f>
        <v>Estoque Conforme</v>
      </c>
      <c r="AC1350" s="85"/>
      <c r="AD1350" s="82"/>
    </row>
    <row r="1351" spans="1:30" ht="15" customHeight="1" x14ac:dyDescent="0.25">
      <c r="A1351" s="106">
        <v>329</v>
      </c>
      <c r="B1351" s="106"/>
      <c r="C1351" s="116" t="s">
        <v>2833</v>
      </c>
      <c r="D1351" s="106" t="s">
        <v>2485</v>
      </c>
      <c r="E1351" s="116" t="s">
        <v>7</v>
      </c>
      <c r="F1351" s="118"/>
      <c r="G1351" s="95"/>
      <c r="H1351" s="95"/>
      <c r="I1351" s="95" t="s">
        <v>6215</v>
      </c>
      <c r="J1351" s="95"/>
      <c r="K1351" s="95"/>
      <c r="L1351" s="95"/>
      <c r="M1351" s="95"/>
      <c r="N1351" s="95"/>
      <c r="O1351" s="118" t="s">
        <v>6518</v>
      </c>
      <c r="P1351" s="95" t="s">
        <v>227</v>
      </c>
      <c r="Q1351" s="154">
        <f>VLOOKUP(TAB_ESTOQUE[[#This Row],[Codigo]],TAB_ENTRADA[[Cod_2_Entrada]:[TOTAL_ENTRADA]],5,FALSE)-VLOOKUP(TAB_ESTOQUE[[#This Row],[Codigo]],TAB_SAIDA[[COD_2_SAIDA]:[TOTAL_SAIDA]],5,FALSE)</f>
        <v>1</v>
      </c>
      <c r="R1351" s="118"/>
      <c r="S1351" s="118"/>
      <c r="T1351" s="119"/>
      <c r="U1351" s="112">
        <f>TAB_ESTOQUE[[#This Row],[Valor Unitario Estimado]]*TAB_ESTOQUE[[#This Row],[Estoque]]</f>
        <v>0</v>
      </c>
      <c r="V1351" s="112"/>
      <c r="W1351" s="120"/>
      <c r="X1351" s="120"/>
      <c r="Y1351" s="120"/>
      <c r="Z1351" s="120"/>
      <c r="AA1351" s="120"/>
      <c r="AB1351" s="120" t="str">
        <f>IF(TAB_ESTOQUE[[#This Row],[Estoque]]=0,"Estoque Não Conforme",IF(TAB_ESTOQUE[[#This Row],[Estoque]]&gt;=TAB_ESTOQUE[[#This Row],[Mínimo]],"Estoque Conforme",IF(TAB_ESTOQUE[[#This Row],[Estoque]]&lt;TAB_ESTOQUE[[#This Row],[Mínimo]],"Estoque em Nivel Minimo")))</f>
        <v>Estoque Conforme</v>
      </c>
      <c r="AC1351" s="120"/>
      <c r="AD1351" s="95"/>
    </row>
    <row r="1352" spans="1:30" ht="15" customHeight="1" x14ac:dyDescent="0.25">
      <c r="A1352" s="45">
        <v>864</v>
      </c>
      <c r="B1352" s="47"/>
      <c r="C1352" s="46"/>
      <c r="D1352" s="45" t="s">
        <v>2486</v>
      </c>
      <c r="E1352" s="46" t="s">
        <v>7</v>
      </c>
      <c r="F1352" s="87"/>
      <c r="G1352" s="82"/>
      <c r="H1352" s="82"/>
      <c r="I1352" s="82" t="s">
        <v>6216</v>
      </c>
      <c r="J1352" s="82"/>
      <c r="K1352" s="82"/>
      <c r="L1352" s="82"/>
      <c r="M1352" s="82"/>
      <c r="N1352" s="82"/>
      <c r="O1352" s="87" t="s">
        <v>6518</v>
      </c>
      <c r="P1352" s="82" t="s">
        <v>661</v>
      </c>
      <c r="Q1352" s="83">
        <f>VLOOKUP(TAB_ESTOQUE[[#This Row],[Codigo]],TAB_ENTRADA[[Cod_2_Entrada]:[TOTAL_ENTRADA]],5,FALSE)-VLOOKUP(TAB_ESTOQUE[[#This Row],[Codigo]],TAB_SAIDA[[COD_2_SAIDA]:[TOTAL_SAIDA]],5,FALSE)</f>
        <v>0</v>
      </c>
      <c r="R1352" s="87"/>
      <c r="S1352" s="87"/>
      <c r="T1352" s="90"/>
      <c r="U1352" s="91">
        <f>TAB_ESTOQUE[[#This Row],[Valor Unitario Estimado]]*TAB_ESTOQUE[[#This Row],[Estoque]]</f>
        <v>0</v>
      </c>
      <c r="V1352" s="91"/>
      <c r="W1352" s="85"/>
      <c r="X1352" s="85"/>
      <c r="Y1352" s="85"/>
      <c r="Z1352" s="85"/>
      <c r="AA1352" s="85"/>
      <c r="AB1352" s="85" t="str">
        <f>IF(TAB_ESTOQUE[[#This Row],[Estoque]]=0,"Estoque Não Conforme",IF(TAB_ESTOQUE[[#This Row],[Estoque]]&gt;=TAB_ESTOQUE[[#This Row],[Mínimo]],"Estoque Conforme",IF(TAB_ESTOQUE[[#This Row],[Estoque]]&lt;TAB_ESTOQUE[[#This Row],[Mínimo]],"Estoque em Nivel Minimo")))</f>
        <v>Estoque Não Conforme</v>
      </c>
      <c r="AC1352" s="85"/>
      <c r="AD1352" s="82"/>
    </row>
    <row r="1353" spans="1:30" ht="15" customHeight="1" x14ac:dyDescent="0.25">
      <c r="A1353" s="45">
        <v>328</v>
      </c>
      <c r="B1353" s="47"/>
      <c r="C1353" s="46" t="s">
        <v>2833</v>
      </c>
      <c r="D1353" s="45" t="s">
        <v>2487</v>
      </c>
      <c r="E1353" s="46" t="s">
        <v>7</v>
      </c>
      <c r="F1353" s="87"/>
      <c r="G1353" s="82"/>
      <c r="H1353" s="82"/>
      <c r="I1353" s="82" t="s">
        <v>1586</v>
      </c>
      <c r="J1353" s="82"/>
      <c r="K1353" s="82"/>
      <c r="L1353" s="82"/>
      <c r="M1353" s="82"/>
      <c r="N1353" s="82"/>
      <c r="O1353" s="87" t="s">
        <v>6518</v>
      </c>
      <c r="P1353" s="82" t="s">
        <v>225</v>
      </c>
      <c r="Q1353" s="83">
        <f>VLOOKUP(TAB_ESTOQUE[[#This Row],[Codigo]],TAB_ENTRADA[[Cod_2_Entrada]:[TOTAL_ENTRADA]],5,FALSE)-VLOOKUP(TAB_ESTOQUE[[#This Row],[Codigo]],TAB_SAIDA[[COD_2_SAIDA]:[TOTAL_SAIDA]],5,FALSE)</f>
        <v>0</v>
      </c>
      <c r="R1353" s="87"/>
      <c r="S1353" s="87"/>
      <c r="T1353" s="90"/>
      <c r="U1353" s="91">
        <f>TAB_ESTOQUE[[#This Row],[Valor Unitario Estimado]]*TAB_ESTOQUE[[#This Row],[Estoque]]</f>
        <v>0</v>
      </c>
      <c r="V1353" s="91"/>
      <c r="W1353" s="85"/>
      <c r="X1353" s="85"/>
      <c r="Y1353" s="85"/>
      <c r="Z1353" s="85"/>
      <c r="AA1353" s="85"/>
      <c r="AB1353" s="85" t="str">
        <f>IF(TAB_ESTOQUE[[#This Row],[Estoque]]=0,"Estoque Não Conforme",IF(TAB_ESTOQUE[[#This Row],[Estoque]]&gt;=TAB_ESTOQUE[[#This Row],[Mínimo]],"Estoque Conforme",IF(TAB_ESTOQUE[[#This Row],[Estoque]]&lt;TAB_ESTOQUE[[#This Row],[Mínimo]],"Estoque em Nivel Minimo")))</f>
        <v>Estoque Não Conforme</v>
      </c>
      <c r="AC1353" s="85"/>
      <c r="AD1353" s="82"/>
    </row>
    <row r="1354" spans="1:30" ht="15" customHeight="1" x14ac:dyDescent="0.25">
      <c r="A1354" s="45">
        <v>1277</v>
      </c>
      <c r="B1354" s="47"/>
      <c r="C1354" s="46"/>
      <c r="D1354" s="45" t="s">
        <v>2488</v>
      </c>
      <c r="E1354" s="46" t="s">
        <v>7</v>
      </c>
      <c r="F1354" s="87"/>
      <c r="G1354" s="82"/>
      <c r="H1354" s="82"/>
      <c r="I1354" s="82" t="s">
        <v>6217</v>
      </c>
      <c r="J1354" s="82"/>
      <c r="K1354" s="82"/>
      <c r="L1354" s="82"/>
      <c r="M1354" s="82" t="s">
        <v>137</v>
      </c>
      <c r="N1354" s="82"/>
      <c r="O1354" s="87" t="s">
        <v>6518</v>
      </c>
      <c r="P1354" s="82" t="s">
        <v>998</v>
      </c>
      <c r="Q1354" s="83">
        <f>VLOOKUP(TAB_ESTOQUE[[#This Row],[Codigo]],TAB_ENTRADA[[Cod_2_Entrada]:[TOTAL_ENTRADA]],5,FALSE)-VLOOKUP(TAB_ESTOQUE[[#This Row],[Codigo]],TAB_SAIDA[[COD_2_SAIDA]:[TOTAL_SAIDA]],5,FALSE)</f>
        <v>0</v>
      </c>
      <c r="R1354" s="87"/>
      <c r="S1354" s="87"/>
      <c r="T1354" s="90"/>
      <c r="U1354" s="91">
        <f>TAB_ESTOQUE[[#This Row],[Valor Unitario Estimado]]*TAB_ESTOQUE[[#This Row],[Estoque]]</f>
        <v>0</v>
      </c>
      <c r="V1354" s="91"/>
      <c r="W1354" s="85"/>
      <c r="X1354" s="85"/>
      <c r="Y1354" s="85"/>
      <c r="Z1354" s="85"/>
      <c r="AA1354" s="85"/>
      <c r="AB1354" s="85" t="str">
        <f>IF(TAB_ESTOQUE[[#This Row],[Estoque]]=0,"Estoque Não Conforme",IF(TAB_ESTOQUE[[#This Row],[Estoque]]&gt;=TAB_ESTOQUE[[#This Row],[Mínimo]],"Estoque Conforme",IF(TAB_ESTOQUE[[#This Row],[Estoque]]&lt;TAB_ESTOQUE[[#This Row],[Mínimo]],"Estoque em Nivel Minimo")))</f>
        <v>Estoque Não Conforme</v>
      </c>
      <c r="AC1354" s="85"/>
      <c r="AD1354" s="82"/>
    </row>
    <row r="1355" spans="1:30" ht="15" customHeight="1" x14ac:dyDescent="0.25">
      <c r="A1355" s="45">
        <v>853</v>
      </c>
      <c r="B1355" s="47"/>
      <c r="C1355" s="46" t="s">
        <v>2833</v>
      </c>
      <c r="D1355" s="45" t="s">
        <v>2489</v>
      </c>
      <c r="E1355" s="46" t="s">
        <v>7</v>
      </c>
      <c r="F1355" s="87"/>
      <c r="G1355" s="82"/>
      <c r="H1355" s="82"/>
      <c r="I1355" s="82" t="s">
        <v>1587</v>
      </c>
      <c r="J1355" s="82"/>
      <c r="K1355" s="82"/>
      <c r="L1355" s="82"/>
      <c r="M1355" s="82"/>
      <c r="N1355" s="82"/>
      <c r="O1355" s="87" t="s">
        <v>6518</v>
      </c>
      <c r="P1355" s="82" t="s">
        <v>642</v>
      </c>
      <c r="Q1355" s="83">
        <f>VLOOKUP(TAB_ESTOQUE[[#This Row],[Codigo]],TAB_ENTRADA[[Cod_2_Entrada]:[TOTAL_ENTRADA]],5,FALSE)-VLOOKUP(TAB_ESTOQUE[[#This Row],[Codigo]],TAB_SAIDA[[COD_2_SAIDA]:[TOTAL_SAIDA]],5,FALSE)</f>
        <v>0</v>
      </c>
      <c r="R1355" s="87"/>
      <c r="S1355" s="87"/>
      <c r="T1355" s="90"/>
      <c r="U1355" s="91">
        <f>TAB_ESTOQUE[[#This Row],[Valor Unitario Estimado]]*TAB_ESTOQUE[[#This Row],[Estoque]]</f>
        <v>0</v>
      </c>
      <c r="V1355" s="91"/>
      <c r="W1355" s="85"/>
      <c r="X1355" s="85"/>
      <c r="Y1355" s="85"/>
      <c r="Z1355" s="85"/>
      <c r="AA1355" s="85"/>
      <c r="AB1355" s="85" t="str">
        <f>IF(TAB_ESTOQUE[[#This Row],[Estoque]]=0,"Estoque Não Conforme",IF(TAB_ESTOQUE[[#This Row],[Estoque]]&gt;=TAB_ESTOQUE[[#This Row],[Mínimo]],"Estoque Conforme",IF(TAB_ESTOQUE[[#This Row],[Estoque]]&lt;TAB_ESTOQUE[[#This Row],[Mínimo]],"Estoque em Nivel Minimo")))</f>
        <v>Estoque Não Conforme</v>
      </c>
      <c r="AC1355" s="85"/>
      <c r="AD1355" s="82"/>
    </row>
    <row r="1356" spans="1:30" ht="15" customHeight="1" x14ac:dyDescent="0.25">
      <c r="A1356" s="45">
        <v>1703</v>
      </c>
      <c r="B1356" s="47"/>
      <c r="C1356" s="46" t="s">
        <v>2833</v>
      </c>
      <c r="D1356" s="45" t="s">
        <v>2490</v>
      </c>
      <c r="E1356" s="46" t="s">
        <v>7</v>
      </c>
      <c r="F1356" s="87"/>
      <c r="G1356" s="82"/>
      <c r="H1356" s="82"/>
      <c r="I1356" s="82" t="s">
        <v>6218</v>
      </c>
      <c r="J1356" s="82"/>
      <c r="K1356" s="82"/>
      <c r="L1356" s="82"/>
      <c r="M1356" s="82"/>
      <c r="N1356" s="82"/>
      <c r="O1356" s="87" t="s">
        <v>6518</v>
      </c>
      <c r="P1356" s="82" t="s">
        <v>1134</v>
      </c>
      <c r="Q1356" s="83">
        <f>VLOOKUP(TAB_ESTOQUE[[#This Row],[Codigo]],TAB_ENTRADA[[Cod_2_Entrada]:[TOTAL_ENTRADA]],5,FALSE)-VLOOKUP(TAB_ESTOQUE[[#This Row],[Codigo]],TAB_SAIDA[[COD_2_SAIDA]:[TOTAL_SAIDA]],5,FALSE)</f>
        <v>0</v>
      </c>
      <c r="R1356" s="87"/>
      <c r="S1356" s="87"/>
      <c r="T1356" s="90"/>
      <c r="U1356" s="91">
        <f>TAB_ESTOQUE[[#This Row],[Valor Unitario Estimado]]*TAB_ESTOQUE[[#This Row],[Estoque]]</f>
        <v>0</v>
      </c>
      <c r="V1356" s="91"/>
      <c r="W1356" s="85"/>
      <c r="X1356" s="85"/>
      <c r="Y1356" s="85"/>
      <c r="Z1356" s="85"/>
      <c r="AA1356" s="85"/>
      <c r="AB1356" s="85" t="str">
        <f>IF(TAB_ESTOQUE[[#This Row],[Estoque]]=0,"Estoque Não Conforme",IF(TAB_ESTOQUE[[#This Row],[Estoque]]&gt;=TAB_ESTOQUE[[#This Row],[Mínimo]],"Estoque Conforme",IF(TAB_ESTOQUE[[#This Row],[Estoque]]&lt;TAB_ESTOQUE[[#This Row],[Mínimo]],"Estoque em Nivel Minimo")))</f>
        <v>Estoque Não Conforme</v>
      </c>
      <c r="AC1356" s="85"/>
      <c r="AD1356" s="82"/>
    </row>
    <row r="1357" spans="1:30" ht="18" customHeight="1" x14ac:dyDescent="0.25">
      <c r="A1357" s="45">
        <v>1682</v>
      </c>
      <c r="B1357" s="47"/>
      <c r="C1357" s="46" t="s">
        <v>2833</v>
      </c>
      <c r="D1357" s="45" t="s">
        <v>2491</v>
      </c>
      <c r="E1357" s="46" t="s">
        <v>7</v>
      </c>
      <c r="F1357" s="87"/>
      <c r="G1357" s="82"/>
      <c r="H1357" s="82"/>
      <c r="I1357" s="82" t="s">
        <v>6514</v>
      </c>
      <c r="J1357" s="82"/>
      <c r="K1357" s="82"/>
      <c r="L1357" s="82"/>
      <c r="M1357" s="82"/>
      <c r="N1357" s="82"/>
      <c r="O1357" s="87" t="s">
        <v>6518</v>
      </c>
      <c r="P1357" s="82" t="s">
        <v>1113</v>
      </c>
      <c r="Q1357" s="83">
        <f>VLOOKUP(TAB_ESTOQUE[[#This Row],[Codigo]],TAB_ENTRADA[[Cod_2_Entrada]:[TOTAL_ENTRADA]],5,FALSE)-VLOOKUP(TAB_ESTOQUE[[#This Row],[Codigo]],TAB_SAIDA[[COD_2_SAIDA]:[TOTAL_SAIDA]],5,FALSE)</f>
        <v>0</v>
      </c>
      <c r="R1357" s="87"/>
      <c r="S1357" s="87"/>
      <c r="T1357" s="90"/>
      <c r="U1357" s="91">
        <f>TAB_ESTOQUE[[#This Row],[Valor Unitario Estimado]]*TAB_ESTOQUE[[#This Row],[Estoque]]</f>
        <v>0</v>
      </c>
      <c r="V1357" s="91"/>
      <c r="W1357" s="85"/>
      <c r="X1357" s="85"/>
      <c r="Y1357" s="85"/>
      <c r="Z1357" s="85"/>
      <c r="AA1357" s="85"/>
      <c r="AB1357" s="85" t="str">
        <f>IF(TAB_ESTOQUE[[#This Row],[Estoque]]=0,"Estoque Não Conforme",IF(TAB_ESTOQUE[[#This Row],[Estoque]]&gt;=TAB_ESTOQUE[[#This Row],[Mínimo]],"Estoque Conforme",IF(TAB_ESTOQUE[[#This Row],[Estoque]]&lt;TAB_ESTOQUE[[#This Row],[Mínimo]],"Estoque em Nivel Minimo")))</f>
        <v>Estoque Não Conforme</v>
      </c>
      <c r="AC1357" s="85"/>
      <c r="AD1357" s="82"/>
    </row>
    <row r="1358" spans="1:30" ht="15" customHeight="1" x14ac:dyDescent="0.25">
      <c r="A1358" s="45">
        <v>1143</v>
      </c>
      <c r="B1358" s="47"/>
      <c r="C1358" s="46"/>
      <c r="D1358" s="45" t="s">
        <v>2492</v>
      </c>
      <c r="E1358" s="46" t="s">
        <v>7</v>
      </c>
      <c r="F1358" s="87"/>
      <c r="G1358" s="82"/>
      <c r="H1358" s="82"/>
      <c r="I1358" s="82" t="s">
        <v>6511</v>
      </c>
      <c r="J1358" s="82"/>
      <c r="K1358" s="82"/>
      <c r="L1358" s="82"/>
      <c r="M1358" s="82"/>
      <c r="N1358" s="82"/>
      <c r="O1358" s="87" t="s">
        <v>6518</v>
      </c>
      <c r="P1358" s="82" t="s">
        <v>866</v>
      </c>
      <c r="Q1358" s="83">
        <f>VLOOKUP(TAB_ESTOQUE[[#This Row],[Codigo]],TAB_ENTRADA[[Cod_2_Entrada]:[TOTAL_ENTRADA]],5,FALSE)-VLOOKUP(TAB_ESTOQUE[[#This Row],[Codigo]],TAB_SAIDA[[COD_2_SAIDA]:[TOTAL_SAIDA]],5,FALSE)</f>
        <v>0</v>
      </c>
      <c r="R1358" s="87"/>
      <c r="S1358" s="87"/>
      <c r="T1358" s="90"/>
      <c r="U1358" s="91">
        <f>TAB_ESTOQUE[[#This Row],[Valor Unitario Estimado]]*TAB_ESTOQUE[[#This Row],[Estoque]]</f>
        <v>0</v>
      </c>
      <c r="V1358" s="91"/>
      <c r="W1358" s="85"/>
      <c r="X1358" s="85"/>
      <c r="Y1358" s="85"/>
      <c r="Z1358" s="85"/>
      <c r="AA1358" s="85"/>
      <c r="AB1358" s="85" t="str">
        <f>IF(TAB_ESTOQUE[[#This Row],[Estoque]]=0,"Estoque Não Conforme",IF(TAB_ESTOQUE[[#This Row],[Estoque]]&gt;=TAB_ESTOQUE[[#This Row],[Mínimo]],"Estoque Conforme",IF(TAB_ESTOQUE[[#This Row],[Estoque]]&lt;TAB_ESTOQUE[[#This Row],[Mínimo]],"Estoque em Nivel Minimo")))</f>
        <v>Estoque Não Conforme</v>
      </c>
      <c r="AC1358" s="85"/>
      <c r="AD1358" s="82"/>
    </row>
    <row r="1359" spans="1:30" ht="15" customHeight="1" x14ac:dyDescent="0.25">
      <c r="B1359" s="47"/>
      <c r="C1359" s="53" t="s">
        <v>2833</v>
      </c>
      <c r="D1359" s="45" t="s">
        <v>5992</v>
      </c>
      <c r="E1359" s="46"/>
      <c r="F1359" s="87"/>
      <c r="G1359" s="82"/>
      <c r="H1359" s="82"/>
      <c r="I1359" s="82" t="s">
        <v>6513</v>
      </c>
      <c r="J1359" s="82"/>
      <c r="K1359" s="82"/>
      <c r="L1359" s="82"/>
      <c r="M1359" s="82"/>
      <c r="N1359" s="82"/>
      <c r="O1359" s="87" t="s">
        <v>6518</v>
      </c>
      <c r="P1359" s="82" t="s">
        <v>6015</v>
      </c>
      <c r="Q1359" s="83">
        <f>VLOOKUP(TAB_ESTOQUE[[#This Row],[Codigo]],TAB_ENTRADA[[Cod_2_Entrada]:[TOTAL_ENTRADA]],5,FALSE)-VLOOKUP(TAB_ESTOQUE[[#This Row],[Codigo]],TAB_SAIDA[[COD_2_SAIDA]:[TOTAL_SAIDA]],5,FALSE)</f>
        <v>1</v>
      </c>
      <c r="R1359" s="87"/>
      <c r="S1359" s="87"/>
      <c r="T1359" s="90"/>
      <c r="U1359" s="91">
        <f>TAB_ESTOQUE[[#This Row],[Valor Unitario Estimado]]*TAB_ESTOQUE[[#This Row],[Estoque]]</f>
        <v>0</v>
      </c>
      <c r="V1359" s="91"/>
      <c r="W1359" s="85"/>
      <c r="X1359" s="85"/>
      <c r="Y1359" s="85"/>
      <c r="Z1359" s="85"/>
      <c r="AA1359" s="85"/>
      <c r="AB1359" s="96" t="str">
        <f>IF(TAB_ESTOQUE[[#This Row],[Estoque]]=0,"Estoque Não Conforme",IF(TAB_ESTOQUE[[#This Row],[Estoque]]&gt;=TAB_ESTOQUE[[#This Row],[Mínimo]],"Estoque Conforme",IF(TAB_ESTOQUE[[#This Row],[Estoque]]&lt;TAB_ESTOQUE[[#This Row],[Mínimo]],"Estoque em Nivel Minimo")))</f>
        <v>Estoque Conforme</v>
      </c>
      <c r="AC1359" s="96"/>
      <c r="AD1359" s="82"/>
    </row>
    <row r="1360" spans="1:30" ht="15" customHeight="1" x14ac:dyDescent="0.25">
      <c r="B1360" s="47"/>
      <c r="C1360" s="53" t="s">
        <v>2833</v>
      </c>
      <c r="D1360" s="45" t="s">
        <v>6006</v>
      </c>
      <c r="E1360" s="46"/>
      <c r="F1360" s="87"/>
      <c r="G1360" s="82"/>
      <c r="H1360" s="82"/>
      <c r="I1360" s="82" t="s">
        <v>8683</v>
      </c>
      <c r="J1360" s="82"/>
      <c r="K1360" s="82"/>
      <c r="L1360" s="82"/>
      <c r="M1360" s="82"/>
      <c r="N1360" s="82"/>
      <c r="O1360" s="87" t="s">
        <v>6518</v>
      </c>
      <c r="P1360" s="82" t="s">
        <v>6015</v>
      </c>
      <c r="Q1360" s="83">
        <f>VLOOKUP(TAB_ESTOQUE[[#This Row],[Codigo]],TAB_ENTRADA[[Cod_2_Entrada]:[TOTAL_ENTRADA]],5,FALSE)-VLOOKUP(TAB_ESTOQUE[[#This Row],[Codigo]],TAB_SAIDA[[COD_2_SAIDA]:[TOTAL_SAIDA]],5,FALSE)</f>
        <v>0</v>
      </c>
      <c r="R1360" s="87"/>
      <c r="S1360" s="87"/>
      <c r="T1360" s="90">
        <v>220</v>
      </c>
      <c r="U1360" s="91">
        <f>TAB_ESTOQUE[[#This Row],[Valor Unitario Estimado]]*TAB_ESTOQUE[[#This Row],[Estoque]]</f>
        <v>0</v>
      </c>
      <c r="V1360" s="91"/>
      <c r="W1360" s="85"/>
      <c r="X1360" s="85"/>
      <c r="Y1360" s="85"/>
      <c r="Z1360" s="85"/>
      <c r="AA1360" s="85"/>
      <c r="AB1360" s="96" t="str">
        <f>IF(TAB_ESTOQUE[[#This Row],[Estoque]]=0,"Estoque Não Conforme",IF(TAB_ESTOQUE[[#This Row],[Estoque]]&gt;=TAB_ESTOQUE[[#This Row],[Mínimo]],"Estoque Conforme",IF(TAB_ESTOQUE[[#This Row],[Estoque]]&lt;TAB_ESTOQUE[[#This Row],[Mínimo]],"Estoque em Nivel Minimo")))</f>
        <v>Estoque Não Conforme</v>
      </c>
      <c r="AC1360" s="96"/>
      <c r="AD1360" s="82"/>
    </row>
    <row r="1361" spans="1:30" ht="15" customHeight="1" x14ac:dyDescent="0.25">
      <c r="A1361" s="45">
        <v>704</v>
      </c>
      <c r="B1361" s="47"/>
      <c r="C1361" s="46"/>
      <c r="D1361" s="45" t="s">
        <v>2280</v>
      </c>
      <c r="E1361" s="46"/>
      <c r="F1361" s="107"/>
      <c r="G1361" s="82"/>
      <c r="H1361" s="82"/>
      <c r="I1361" s="82" t="s">
        <v>8568</v>
      </c>
      <c r="J1361" s="82"/>
      <c r="K1361" s="82"/>
      <c r="L1361" s="82"/>
      <c r="M1361" s="82"/>
      <c r="N1361" s="82"/>
      <c r="O1361" s="87" t="s">
        <v>8751</v>
      </c>
      <c r="P1361" s="82" t="s">
        <v>490</v>
      </c>
      <c r="Q1361" s="83">
        <f>VLOOKUP(TAB_ESTOQUE[[#This Row],[Codigo]],TAB_ENTRADA[[Cod_2_Entrada]:[TOTAL_ENTRADA]],5,FALSE)-VLOOKUP(TAB_ESTOQUE[[#This Row],[Codigo]],TAB_SAIDA[[COD_2_SAIDA]:[TOTAL_SAIDA]],5,FALSE)</f>
        <v>1</v>
      </c>
      <c r="R1361" s="87"/>
      <c r="S1361" s="87"/>
      <c r="T1361" s="90">
        <v>450</v>
      </c>
      <c r="U1361" s="91">
        <f>TAB_ESTOQUE[[#This Row],[Valor Unitario Estimado]]*TAB_ESTOQUE[[#This Row],[Estoque]]</f>
        <v>450</v>
      </c>
      <c r="V1361" s="91"/>
      <c r="W1361" s="85"/>
      <c r="X1361" s="85"/>
      <c r="Y1361" s="85"/>
      <c r="Z1361" s="85"/>
      <c r="AA1361" s="85"/>
      <c r="AB1361" s="85" t="str">
        <f>IF(TAB_ESTOQUE[[#This Row],[Estoque]]=0,"Estoque Não Conforme",IF(TAB_ESTOQUE[[#This Row],[Estoque]]&gt;=TAB_ESTOQUE[[#This Row],[Mínimo]],"Estoque Conforme",IF(TAB_ESTOQUE[[#This Row],[Estoque]]&lt;TAB_ESTOQUE[[#This Row],[Mínimo]],"Estoque em Nivel Minimo")))</f>
        <v>Estoque Conforme</v>
      </c>
      <c r="AC1361" s="85"/>
      <c r="AD1361" s="82"/>
    </row>
    <row r="1362" spans="1:30" ht="15" customHeight="1" x14ac:dyDescent="0.25">
      <c r="A1362" s="45">
        <v>672</v>
      </c>
      <c r="B1362" s="47"/>
      <c r="C1362" s="46"/>
      <c r="D1362" s="45" t="s">
        <v>2386</v>
      </c>
      <c r="E1362" s="46" t="s">
        <v>1231</v>
      </c>
      <c r="F1362" s="87"/>
      <c r="G1362" s="82"/>
      <c r="H1362" s="82"/>
      <c r="I1362" s="82" t="s">
        <v>8605</v>
      </c>
      <c r="J1362" s="82"/>
      <c r="K1362" s="82"/>
      <c r="L1362" s="82"/>
      <c r="M1362" s="82"/>
      <c r="N1362" s="82"/>
      <c r="O1362" s="87" t="s">
        <v>8751</v>
      </c>
      <c r="P1362" s="82" t="s">
        <v>455</v>
      </c>
      <c r="Q1362" s="83">
        <f>VLOOKUP(TAB_ESTOQUE[[#This Row],[Codigo]],TAB_ENTRADA[[Cod_2_Entrada]:[TOTAL_ENTRADA]],5,FALSE)-VLOOKUP(TAB_ESTOQUE[[#This Row],[Codigo]],TAB_SAIDA[[COD_2_SAIDA]:[TOTAL_SAIDA]],5,FALSE)</f>
        <v>1</v>
      </c>
      <c r="R1362" s="87"/>
      <c r="S1362" s="87"/>
      <c r="T1362" s="90"/>
      <c r="U1362" s="91">
        <f>TAB_ESTOQUE[[#This Row],[Valor Unitario Estimado]]*TAB_ESTOQUE[[#This Row],[Estoque]]</f>
        <v>0</v>
      </c>
      <c r="V1362" s="91"/>
      <c r="W1362" s="85"/>
      <c r="X1362" s="85"/>
      <c r="Y1362" s="85"/>
      <c r="Z1362" s="85"/>
      <c r="AA1362" s="85"/>
      <c r="AB1362" s="85" t="str">
        <f>IF(TAB_ESTOQUE[[#This Row],[Estoque]]=0,"Estoque Não Conforme",IF(TAB_ESTOQUE[[#This Row],[Estoque]]&gt;=TAB_ESTOQUE[[#This Row],[Mínimo]],"Estoque Conforme",IF(TAB_ESTOQUE[[#This Row],[Estoque]]&lt;TAB_ESTOQUE[[#This Row],[Mínimo]],"Estoque em Nivel Minimo")))</f>
        <v>Estoque Conforme</v>
      </c>
      <c r="AC1362" s="85"/>
      <c r="AD1362" s="82"/>
    </row>
    <row r="1363" spans="1:30" ht="15" customHeight="1" x14ac:dyDescent="0.25">
      <c r="A1363" s="45">
        <v>763</v>
      </c>
      <c r="B1363" s="47"/>
      <c r="C1363" s="46"/>
      <c r="D1363" s="45" t="s">
        <v>2469</v>
      </c>
      <c r="E1363" s="46" t="s">
        <v>7</v>
      </c>
      <c r="F1363" s="87"/>
      <c r="G1363" s="82"/>
      <c r="H1363" s="82"/>
      <c r="I1363" s="82" t="s">
        <v>8637</v>
      </c>
      <c r="J1363" s="82"/>
      <c r="K1363" s="82"/>
      <c r="L1363" s="82"/>
      <c r="M1363" s="82"/>
      <c r="N1363" s="82"/>
      <c r="O1363" s="87" t="s">
        <v>8751</v>
      </c>
      <c r="P1363" s="82" t="s">
        <v>556</v>
      </c>
      <c r="Q1363" s="83">
        <f>VLOOKUP(TAB_ESTOQUE[[#This Row],[Codigo]],TAB_ENTRADA[[Cod_2_Entrada]:[TOTAL_ENTRADA]],5,FALSE)-VLOOKUP(TAB_ESTOQUE[[#This Row],[Codigo]],TAB_SAIDA[[COD_2_SAIDA]:[TOTAL_SAIDA]],5,FALSE)</f>
        <v>1</v>
      </c>
      <c r="R1363" s="87"/>
      <c r="S1363" s="87"/>
      <c r="T1363" s="90">
        <v>1000</v>
      </c>
      <c r="U1363" s="91">
        <f>TAB_ESTOQUE[[#This Row],[Valor Unitario Estimado]]*TAB_ESTOQUE[[#This Row],[Estoque]]</f>
        <v>1000</v>
      </c>
      <c r="V1363" s="91"/>
      <c r="W1363" s="85"/>
      <c r="X1363" s="85"/>
      <c r="Y1363" s="85"/>
      <c r="Z1363" s="85"/>
      <c r="AA1363" s="85"/>
      <c r="AB1363" s="85" t="str">
        <f>IF(TAB_ESTOQUE[[#This Row],[Estoque]]=0,"Estoque Não Conforme",IF(TAB_ESTOQUE[[#This Row],[Estoque]]&gt;=TAB_ESTOQUE[[#This Row],[Mínimo]],"Estoque Conforme",IF(TAB_ESTOQUE[[#This Row],[Estoque]]&lt;TAB_ESTOQUE[[#This Row],[Mínimo]],"Estoque em Nivel Minimo")))</f>
        <v>Estoque Conforme</v>
      </c>
      <c r="AC1363" s="85"/>
      <c r="AD1363" s="82"/>
    </row>
    <row r="1364" spans="1:30" ht="15" customHeight="1" x14ac:dyDescent="0.25">
      <c r="C1364" s="48"/>
      <c r="D1364" s="45" t="s">
        <v>7053</v>
      </c>
      <c r="E1364" s="46"/>
      <c r="F1364" s="46"/>
      <c r="I1364" s="45" t="s">
        <v>7679</v>
      </c>
      <c r="O1364" s="46" t="s">
        <v>8766</v>
      </c>
      <c r="Q1364" s="137">
        <f>VLOOKUP(TAB_ESTOQUE[[#This Row],[Codigo]],TAB_ENTRADA[[Cod_2_Entrada]:[TOTAL_ENTRADA]],5,FALSE)-VLOOKUP(TAB_ESTOQUE[[#This Row],[Codigo]],TAB_SAIDA[[COD_2_SAIDA]:[TOTAL_SAIDA]],5,FALSE)</f>
        <v>0</v>
      </c>
      <c r="S1364" s="46"/>
      <c r="T1364" s="102">
        <v>2835.58</v>
      </c>
      <c r="U1364" s="103">
        <f>TAB_ESTOQUE[[#This Row],[Valor Unitario Estimado]]*TAB_ESTOQUE[[#This Row],[Estoque]]</f>
        <v>0</v>
      </c>
      <c r="V1364" s="103"/>
      <c r="AA1364" s="138"/>
      <c r="AB1364" s="104" t="str">
        <f>IF(TAB_ESTOQUE[[#This Row],[Estoque]]=0,"Estoque Não Conforme",IF(TAB_ESTOQUE[[#This Row],[Estoque]]&gt;=TAB_ESTOQUE[[#This Row],[Mínimo]],"Estoque Conforme",IF(TAB_ESTOQUE[[#This Row],[Estoque]]&lt;TAB_ESTOQUE[[#This Row],[Mínimo]],"Estoque em Nivel Minimo")))</f>
        <v>Estoque Não Conforme</v>
      </c>
      <c r="AC1364" s="104"/>
    </row>
    <row r="1365" spans="1:30" ht="15" customHeight="1" x14ac:dyDescent="0.25">
      <c r="C1365" s="48"/>
      <c r="D1365" s="45" t="s">
        <v>7167</v>
      </c>
      <c r="E1365" s="46"/>
      <c r="F1365" s="46"/>
      <c r="I1365" s="45" t="s">
        <v>8728</v>
      </c>
      <c r="O1365" s="46" t="s">
        <v>8766</v>
      </c>
      <c r="Q1365" s="137">
        <f>VLOOKUP(TAB_ESTOQUE[[#This Row],[Codigo]],TAB_ENTRADA[[Cod_2_Entrada]:[TOTAL_ENTRADA]],5,FALSE)-VLOOKUP(TAB_ESTOQUE[[#This Row],[Codigo]],TAB_SAIDA[[COD_2_SAIDA]:[TOTAL_SAIDA]],5,FALSE)</f>
        <v>0</v>
      </c>
      <c r="S1365" s="46"/>
      <c r="T1365" s="102"/>
      <c r="U1365" s="103">
        <f>TAB_ESTOQUE[[#This Row],[Valor Unitario Estimado]]*TAB_ESTOQUE[[#This Row],[Estoque]]</f>
        <v>0</v>
      </c>
      <c r="V1365" s="103"/>
      <c r="AA1365" s="138"/>
      <c r="AB1365" s="104" t="str">
        <f>IF(TAB_ESTOQUE[[#This Row],[Estoque]]=0,"Estoque Não Conforme",IF(TAB_ESTOQUE[[#This Row],[Estoque]]&gt;=TAB_ESTOQUE[[#This Row],[Mínimo]],"Estoque Conforme",IF(TAB_ESTOQUE[[#This Row],[Estoque]]&lt;TAB_ESTOQUE[[#This Row],[Mínimo]],"Estoque em Nivel Minimo")))</f>
        <v>Estoque Não Conforme</v>
      </c>
      <c r="AC1365" s="104"/>
    </row>
    <row r="1366" spans="1:30" ht="15" customHeight="1" x14ac:dyDescent="0.25">
      <c r="A1366" s="106">
        <v>1293</v>
      </c>
      <c r="B1366" s="106"/>
      <c r="C1366" s="116"/>
      <c r="D1366" s="106" t="s">
        <v>2007</v>
      </c>
      <c r="E1366" s="116"/>
      <c r="F1366" s="118"/>
      <c r="G1366" s="95"/>
      <c r="H1366" s="95"/>
      <c r="I1366" s="95" t="s">
        <v>8488</v>
      </c>
      <c r="J1366" s="95"/>
      <c r="K1366" s="95"/>
      <c r="L1366" s="95"/>
      <c r="M1366" s="95"/>
      <c r="N1366" s="95"/>
      <c r="O1366" s="118" t="s">
        <v>6716</v>
      </c>
      <c r="P1366" s="95" t="s">
        <v>1015</v>
      </c>
      <c r="Q1366" s="154">
        <f>VLOOKUP(TAB_ESTOQUE[[#This Row],[Codigo]],TAB_ENTRADA[[Cod_2_Entrada]:[TOTAL_ENTRADA]],5,FALSE)-VLOOKUP(TAB_ESTOQUE[[#This Row],[Codigo]],TAB_SAIDA[[COD_2_SAIDA]:[TOTAL_SAIDA]],5,FALSE)</f>
        <v>1</v>
      </c>
      <c r="R1366" s="118"/>
      <c r="S1366" s="118"/>
      <c r="T1366" s="119"/>
      <c r="U1366" s="112">
        <f>TAB_ESTOQUE[[#This Row],[Valor Unitario Estimado]]*TAB_ESTOQUE[[#This Row],[Estoque]]</f>
        <v>0</v>
      </c>
      <c r="V1366" s="112"/>
      <c r="W1366" s="120"/>
      <c r="X1366" s="120"/>
      <c r="Y1366" s="120"/>
      <c r="Z1366" s="120"/>
      <c r="AA1366" s="120"/>
      <c r="AB1366" s="120" t="str">
        <f>IF(TAB_ESTOQUE[[#This Row],[Estoque]]=0,"Estoque Não Conforme",IF(TAB_ESTOQUE[[#This Row],[Estoque]]&gt;=TAB_ESTOQUE[[#This Row],[Mínimo]],"Estoque Conforme",IF(TAB_ESTOQUE[[#This Row],[Estoque]]&lt;TAB_ESTOQUE[[#This Row],[Mínimo]],"Estoque em Nivel Minimo")))</f>
        <v>Estoque Conforme</v>
      </c>
      <c r="AC1366" s="120"/>
      <c r="AD1366" s="95"/>
    </row>
    <row r="1367" spans="1:30" ht="15" customHeight="1" x14ac:dyDescent="0.25">
      <c r="B1367" s="47"/>
      <c r="C1367" s="48"/>
      <c r="D1367" s="45" t="s">
        <v>6481</v>
      </c>
      <c r="E1367" s="46"/>
      <c r="F1367" s="87"/>
      <c r="G1367" s="82"/>
      <c r="H1367" s="82"/>
      <c r="I1367" s="82" t="s">
        <v>8704</v>
      </c>
      <c r="J1367" s="82"/>
      <c r="K1367" s="82"/>
      <c r="L1367" s="82"/>
      <c r="M1367" s="82"/>
      <c r="N1367" s="82"/>
      <c r="O1367" s="87" t="s">
        <v>6947</v>
      </c>
      <c r="P1367" s="82"/>
      <c r="Q1367" s="83">
        <f>VLOOKUP(TAB_ESTOQUE[[#This Row],[Codigo]],TAB_ENTRADA[[Cod_2_Entrada]:[TOTAL_ENTRADA]],5,FALSE)-VLOOKUP(TAB_ESTOQUE[[#This Row],[Codigo]],TAB_SAIDA[[COD_2_SAIDA]:[TOTAL_SAIDA]],5,FALSE)</f>
        <v>1</v>
      </c>
      <c r="R1367" s="87"/>
      <c r="S1367" s="87"/>
      <c r="T1367" s="90">
        <v>3800</v>
      </c>
      <c r="U1367" s="91">
        <f>TAB_ESTOQUE[[#This Row],[Valor Unitario Estimado]]*TAB_ESTOQUE[[#This Row],[Estoque]]</f>
        <v>3800</v>
      </c>
      <c r="V1367" s="91"/>
      <c r="W1367" s="85"/>
      <c r="X1367" s="85"/>
      <c r="Y1367" s="85"/>
      <c r="Z1367" s="85"/>
      <c r="AA1367" s="85"/>
      <c r="AB1367" s="85" t="str">
        <f>IF(TAB_ESTOQUE[[#This Row],[Estoque]]=0,"Estoque Não Conforme",IF(TAB_ESTOQUE[[#This Row],[Estoque]]&gt;=TAB_ESTOQUE[[#This Row],[Mínimo]],"Estoque Conforme",IF(TAB_ESTOQUE[[#This Row],[Estoque]]&lt;TAB_ESTOQUE[[#This Row],[Mínimo]],"Estoque em Nivel Minimo")))</f>
        <v>Estoque Conforme</v>
      </c>
      <c r="AC1367" s="96"/>
      <c r="AD1367" s="82"/>
    </row>
    <row r="1368" spans="1:30" ht="15" customHeight="1" x14ac:dyDescent="0.25">
      <c r="C1368" s="48"/>
      <c r="D1368" s="45" t="s">
        <v>7385</v>
      </c>
      <c r="E1368" s="46"/>
      <c r="F1368" s="46"/>
      <c r="I1368" s="45" t="s">
        <v>8001</v>
      </c>
      <c r="O1368" s="51" t="s">
        <v>6620</v>
      </c>
      <c r="Q1368" s="137">
        <f>VLOOKUP(TAB_ESTOQUE[[#This Row],[Codigo]],TAB_ENTRADA[[Cod_2_Entrada]:[TOTAL_ENTRADA]],5,FALSE)-VLOOKUP(TAB_ESTOQUE[[#This Row],[Codigo]],TAB_SAIDA[[COD_2_SAIDA]:[TOTAL_SAIDA]],5,FALSE)</f>
        <v>10</v>
      </c>
      <c r="S1368" s="46"/>
      <c r="T1368" s="102">
        <v>27.4</v>
      </c>
      <c r="U1368" s="103">
        <f>TAB_ESTOQUE[[#This Row],[Valor Unitario Estimado]]*TAB_ESTOQUE[[#This Row],[Estoque]]</f>
        <v>274</v>
      </c>
      <c r="V1368" s="103"/>
      <c r="AA1368" s="138"/>
      <c r="AB1368" s="104" t="str">
        <f>IF(TAB_ESTOQUE[[#This Row],[Estoque]]=0,"Estoque Não Conforme",IF(TAB_ESTOQUE[[#This Row],[Estoque]]&gt;=TAB_ESTOQUE[[#This Row],[Mínimo]],"Estoque Conforme",IF(TAB_ESTOQUE[[#This Row],[Estoque]]&lt;TAB_ESTOQUE[[#This Row],[Mínimo]],"Estoque em Nivel Minimo")))</f>
        <v>Estoque Conforme</v>
      </c>
      <c r="AC1368" s="104"/>
    </row>
    <row r="1369" spans="1:30" ht="15" customHeight="1" x14ac:dyDescent="0.25">
      <c r="C1369" s="48"/>
      <c r="D1369" s="45" t="s">
        <v>7389</v>
      </c>
      <c r="E1369" s="46"/>
      <c r="F1369" s="46"/>
      <c r="I1369" s="45" t="s">
        <v>8002</v>
      </c>
      <c r="O1369" s="116" t="s">
        <v>6620</v>
      </c>
      <c r="Q1369" s="137">
        <f>VLOOKUP(TAB_ESTOQUE[[#This Row],[Codigo]],TAB_ENTRADA[[Cod_2_Entrada]:[TOTAL_ENTRADA]],5,FALSE)-VLOOKUP(TAB_ESTOQUE[[#This Row],[Codigo]],TAB_SAIDA[[COD_2_SAIDA]:[TOTAL_SAIDA]],5,FALSE)</f>
        <v>10</v>
      </c>
      <c r="S1369" s="46"/>
      <c r="T1369" s="102">
        <v>41.1</v>
      </c>
      <c r="U1369" s="103">
        <f>TAB_ESTOQUE[[#This Row],[Valor Unitario Estimado]]*TAB_ESTOQUE[[#This Row],[Estoque]]</f>
        <v>411</v>
      </c>
      <c r="V1369" s="103"/>
      <c r="AA1369" s="138"/>
      <c r="AB1369" s="104" t="str">
        <f>IF(TAB_ESTOQUE[[#This Row],[Estoque]]=0,"Estoque Não Conforme",IF(TAB_ESTOQUE[[#This Row],[Estoque]]&gt;=TAB_ESTOQUE[[#This Row],[Mínimo]],"Estoque Conforme",IF(TAB_ESTOQUE[[#This Row],[Estoque]]&lt;TAB_ESTOQUE[[#This Row],[Mínimo]],"Estoque em Nivel Minimo")))</f>
        <v>Estoque Conforme</v>
      </c>
      <c r="AC1369" s="104"/>
    </row>
    <row r="1370" spans="1:30" ht="15" customHeight="1" x14ac:dyDescent="0.25">
      <c r="C1370" s="48"/>
      <c r="D1370" s="45" t="s">
        <v>7390</v>
      </c>
      <c r="E1370" s="46"/>
      <c r="F1370" s="46"/>
      <c r="I1370" s="47" t="s">
        <v>8003</v>
      </c>
      <c r="O1370" s="51" t="s">
        <v>6620</v>
      </c>
      <c r="Q1370" s="137">
        <f>VLOOKUP(TAB_ESTOQUE[[#This Row],[Codigo]],TAB_ENTRADA[[Cod_2_Entrada]:[TOTAL_ENTRADA]],5,FALSE)-VLOOKUP(TAB_ESTOQUE[[#This Row],[Codigo]],TAB_SAIDA[[COD_2_SAIDA]:[TOTAL_SAIDA]],5,FALSE)</f>
        <v>10</v>
      </c>
      <c r="S1370" s="46"/>
      <c r="T1370" s="102">
        <v>28</v>
      </c>
      <c r="U1370" s="103">
        <f>TAB_ESTOQUE[[#This Row],[Valor Unitario Estimado]]*TAB_ESTOQUE[[#This Row],[Estoque]]</f>
        <v>280</v>
      </c>
      <c r="V1370" s="103"/>
      <c r="AA1370" s="138"/>
      <c r="AB1370" s="104" t="str">
        <f>IF(TAB_ESTOQUE[[#This Row],[Estoque]]=0,"Estoque Não Conforme",IF(TAB_ESTOQUE[[#This Row],[Estoque]]&gt;=TAB_ESTOQUE[[#This Row],[Mínimo]],"Estoque Conforme",IF(TAB_ESTOQUE[[#This Row],[Estoque]]&lt;TAB_ESTOQUE[[#This Row],[Mínimo]],"Estoque em Nivel Minimo")))</f>
        <v>Estoque Conforme</v>
      </c>
      <c r="AC1370" s="104"/>
    </row>
    <row r="1371" spans="1:30" ht="15" customHeight="1" x14ac:dyDescent="0.25">
      <c r="C1371" s="48"/>
      <c r="D1371" s="45" t="s">
        <v>7412</v>
      </c>
      <c r="E1371" s="46"/>
      <c r="F1371" s="46"/>
      <c r="I1371" s="45" t="s">
        <v>8004</v>
      </c>
      <c r="O1371" s="116" t="s">
        <v>6620</v>
      </c>
      <c r="Q1371" s="137">
        <f>VLOOKUP(TAB_ESTOQUE[[#This Row],[Codigo]],TAB_ENTRADA[[Cod_2_Entrada]:[TOTAL_ENTRADA]],5,FALSE)-VLOOKUP(TAB_ESTOQUE[[#This Row],[Codigo]],TAB_SAIDA[[COD_2_SAIDA]:[TOTAL_SAIDA]],5,FALSE)</f>
        <v>9</v>
      </c>
      <c r="S1371" s="46"/>
      <c r="T1371" s="102">
        <v>28.2</v>
      </c>
      <c r="U1371" s="103">
        <f>TAB_ESTOQUE[[#This Row],[Valor Unitario Estimado]]*TAB_ESTOQUE[[#This Row],[Estoque]]</f>
        <v>253.79999999999998</v>
      </c>
      <c r="V1371" s="103"/>
      <c r="AA1371" s="138"/>
      <c r="AB1371" s="104" t="str">
        <f>IF(TAB_ESTOQUE[[#This Row],[Estoque]]=0,"Estoque Não Conforme",IF(TAB_ESTOQUE[[#This Row],[Estoque]]&gt;=TAB_ESTOQUE[[#This Row],[Mínimo]],"Estoque Conforme",IF(TAB_ESTOQUE[[#This Row],[Estoque]]&lt;TAB_ESTOQUE[[#This Row],[Mínimo]],"Estoque em Nivel Minimo")))</f>
        <v>Estoque Conforme</v>
      </c>
      <c r="AC1371" s="104"/>
    </row>
    <row r="1372" spans="1:30" ht="15" customHeight="1" x14ac:dyDescent="0.25">
      <c r="C1372" s="48"/>
      <c r="D1372" s="45" t="s">
        <v>7423</v>
      </c>
      <c r="E1372" s="46"/>
      <c r="F1372" s="46"/>
      <c r="I1372" s="45" t="s">
        <v>8005</v>
      </c>
      <c r="O1372" s="51" t="s">
        <v>6620</v>
      </c>
      <c r="Q1372" s="137">
        <f>VLOOKUP(TAB_ESTOQUE[[#This Row],[Codigo]],TAB_ENTRADA[[Cod_2_Entrada]:[TOTAL_ENTRADA]],5,FALSE)-VLOOKUP(TAB_ESTOQUE[[#This Row],[Codigo]],TAB_SAIDA[[COD_2_SAIDA]:[TOTAL_SAIDA]],5,FALSE)</f>
        <v>10</v>
      </c>
      <c r="S1372" s="46"/>
      <c r="T1372" s="102">
        <v>34.799999999999997</v>
      </c>
      <c r="U1372" s="103">
        <f>TAB_ESTOQUE[[#This Row],[Valor Unitario Estimado]]*TAB_ESTOQUE[[#This Row],[Estoque]]</f>
        <v>348</v>
      </c>
      <c r="V1372" s="103"/>
      <c r="AA1372" s="138"/>
      <c r="AB1372" s="104" t="str">
        <f>IF(TAB_ESTOQUE[[#This Row],[Estoque]]=0,"Estoque Não Conforme",IF(TAB_ESTOQUE[[#This Row],[Estoque]]&gt;=TAB_ESTOQUE[[#This Row],[Mínimo]],"Estoque Conforme",IF(TAB_ESTOQUE[[#This Row],[Estoque]]&lt;TAB_ESTOQUE[[#This Row],[Mínimo]],"Estoque em Nivel Minimo")))</f>
        <v>Estoque Conforme</v>
      </c>
      <c r="AC1372" s="104"/>
    </row>
    <row r="1373" spans="1:30" ht="15" customHeight="1" x14ac:dyDescent="0.25">
      <c r="C1373" s="48"/>
      <c r="D1373" s="45" t="s">
        <v>7430</v>
      </c>
      <c r="E1373" s="46"/>
      <c r="F1373" s="46"/>
      <c r="I1373" s="45" t="s">
        <v>8006</v>
      </c>
      <c r="O1373" s="116" t="s">
        <v>6620</v>
      </c>
      <c r="Q1373" s="137">
        <f>VLOOKUP(TAB_ESTOQUE[[#This Row],[Codigo]],TAB_ENTRADA[[Cod_2_Entrada]:[TOTAL_ENTRADA]],5,FALSE)-VLOOKUP(TAB_ESTOQUE[[#This Row],[Codigo]],TAB_SAIDA[[COD_2_SAIDA]:[TOTAL_SAIDA]],5,FALSE)</f>
        <v>10</v>
      </c>
      <c r="S1373" s="46"/>
      <c r="T1373" s="102">
        <v>26</v>
      </c>
      <c r="U1373" s="103">
        <f>TAB_ESTOQUE[[#This Row],[Valor Unitario Estimado]]*TAB_ESTOQUE[[#This Row],[Estoque]]</f>
        <v>260</v>
      </c>
      <c r="V1373" s="103"/>
      <c r="AA1373" s="138"/>
      <c r="AB1373" s="104" t="str">
        <f>IF(TAB_ESTOQUE[[#This Row],[Estoque]]=0,"Estoque Não Conforme",IF(TAB_ESTOQUE[[#This Row],[Estoque]]&gt;=TAB_ESTOQUE[[#This Row],[Mínimo]],"Estoque Conforme",IF(TAB_ESTOQUE[[#This Row],[Estoque]]&lt;TAB_ESTOQUE[[#This Row],[Mínimo]],"Estoque em Nivel Minimo")))</f>
        <v>Estoque Conforme</v>
      </c>
      <c r="AC1373" s="104"/>
    </row>
    <row r="1374" spans="1:30" ht="15" customHeight="1" x14ac:dyDescent="0.25">
      <c r="C1374" s="48"/>
      <c r="D1374" s="45" t="s">
        <v>7435</v>
      </c>
      <c r="E1374" s="46"/>
      <c r="F1374" s="46"/>
      <c r="I1374" s="45" t="s">
        <v>8007</v>
      </c>
      <c r="O1374" s="51" t="s">
        <v>6620</v>
      </c>
      <c r="Q1374" s="137">
        <f>VLOOKUP(TAB_ESTOQUE[[#This Row],[Codigo]],TAB_ENTRADA[[Cod_2_Entrada]:[TOTAL_ENTRADA]],5,FALSE)-VLOOKUP(TAB_ESTOQUE[[#This Row],[Codigo]],TAB_SAIDA[[COD_2_SAIDA]:[TOTAL_SAIDA]],5,FALSE)</f>
        <v>10</v>
      </c>
      <c r="S1374" s="46"/>
      <c r="T1374" s="102">
        <v>25.9</v>
      </c>
      <c r="U1374" s="103">
        <f>TAB_ESTOQUE[[#This Row],[Valor Unitario Estimado]]*TAB_ESTOQUE[[#This Row],[Estoque]]</f>
        <v>259</v>
      </c>
      <c r="V1374" s="103"/>
      <c r="AA1374" s="138"/>
      <c r="AB1374" s="104" t="str">
        <f>IF(TAB_ESTOQUE[[#This Row],[Estoque]]=0,"Estoque Não Conforme",IF(TAB_ESTOQUE[[#This Row],[Estoque]]&gt;=TAB_ESTOQUE[[#This Row],[Mínimo]],"Estoque Conforme",IF(TAB_ESTOQUE[[#This Row],[Estoque]]&lt;TAB_ESTOQUE[[#This Row],[Mínimo]],"Estoque em Nivel Minimo")))</f>
        <v>Estoque Conforme</v>
      </c>
      <c r="AC1374" s="104"/>
    </row>
    <row r="1375" spans="1:30" ht="18.75" customHeight="1" x14ac:dyDescent="0.25">
      <c r="C1375" s="48"/>
      <c r="D1375" s="45" t="s">
        <v>7436</v>
      </c>
      <c r="E1375" s="46"/>
      <c r="F1375" s="46"/>
      <c r="I1375" s="45" t="s">
        <v>8008</v>
      </c>
      <c r="O1375" s="116" t="s">
        <v>6620</v>
      </c>
      <c r="Q1375" s="137">
        <f>VLOOKUP(TAB_ESTOQUE[[#This Row],[Codigo]],TAB_ENTRADA[[Cod_2_Entrada]:[TOTAL_ENTRADA]],5,FALSE)-VLOOKUP(TAB_ESTOQUE[[#This Row],[Codigo]],TAB_SAIDA[[COD_2_SAIDA]:[TOTAL_SAIDA]],5,FALSE)</f>
        <v>10</v>
      </c>
      <c r="S1375" s="46"/>
      <c r="T1375" s="102">
        <v>30.41</v>
      </c>
      <c r="U1375" s="103">
        <f>TAB_ESTOQUE[[#This Row],[Valor Unitario Estimado]]*TAB_ESTOQUE[[#This Row],[Estoque]]</f>
        <v>304.10000000000002</v>
      </c>
      <c r="V1375" s="103"/>
      <c r="AA1375" s="138"/>
      <c r="AB1375" s="104" t="str">
        <f>IF(TAB_ESTOQUE[[#This Row],[Estoque]]=0,"Estoque Não Conforme",IF(TAB_ESTOQUE[[#This Row],[Estoque]]&gt;=TAB_ESTOQUE[[#This Row],[Mínimo]],"Estoque Conforme",IF(TAB_ESTOQUE[[#This Row],[Estoque]]&lt;TAB_ESTOQUE[[#This Row],[Mínimo]],"Estoque em Nivel Minimo")))</f>
        <v>Estoque Conforme</v>
      </c>
      <c r="AC1375" s="104"/>
    </row>
    <row r="1376" spans="1:30" ht="15" customHeight="1" x14ac:dyDescent="0.25">
      <c r="C1376" s="48"/>
      <c r="D1376" s="45" t="s">
        <v>7461</v>
      </c>
      <c r="E1376" s="46"/>
      <c r="F1376" s="46"/>
      <c r="I1376" s="45" t="s">
        <v>8009</v>
      </c>
      <c r="O1376" s="51" t="s">
        <v>6620</v>
      </c>
      <c r="Q1376" s="137">
        <f>VLOOKUP(TAB_ESTOQUE[[#This Row],[Codigo]],TAB_ENTRADA[[Cod_2_Entrada]:[TOTAL_ENTRADA]],5,FALSE)-VLOOKUP(TAB_ESTOQUE[[#This Row],[Codigo]],TAB_SAIDA[[COD_2_SAIDA]:[TOTAL_SAIDA]],5,FALSE)</f>
        <v>10</v>
      </c>
      <c r="S1376" s="46"/>
      <c r="T1376" s="102">
        <v>23</v>
      </c>
      <c r="U1376" s="103">
        <f>TAB_ESTOQUE[[#This Row],[Valor Unitario Estimado]]*TAB_ESTOQUE[[#This Row],[Estoque]]</f>
        <v>230</v>
      </c>
      <c r="V1376" s="103"/>
      <c r="AA1376" s="138"/>
      <c r="AB1376" s="104" t="str">
        <f>IF(TAB_ESTOQUE[[#This Row],[Estoque]]=0,"Estoque Não Conforme",IF(TAB_ESTOQUE[[#This Row],[Estoque]]&gt;=TAB_ESTOQUE[[#This Row],[Mínimo]],"Estoque Conforme",IF(TAB_ESTOQUE[[#This Row],[Estoque]]&lt;TAB_ESTOQUE[[#This Row],[Mínimo]],"Estoque em Nivel Minimo")))</f>
        <v>Estoque Conforme</v>
      </c>
      <c r="AC1376" s="104"/>
    </row>
    <row r="1377" spans="1:30" ht="15" customHeight="1" x14ac:dyDescent="0.25">
      <c r="A1377" s="45">
        <v>581</v>
      </c>
      <c r="B1377" s="47"/>
      <c r="C1377" s="46" t="s">
        <v>2833</v>
      </c>
      <c r="D1377" s="45" t="s">
        <v>2005</v>
      </c>
      <c r="E1377" s="46"/>
      <c r="F1377" s="87"/>
      <c r="G1377" s="82"/>
      <c r="H1377" s="82"/>
      <c r="I1377" s="82" t="s">
        <v>8486</v>
      </c>
      <c r="J1377" s="82"/>
      <c r="K1377" s="82"/>
      <c r="L1377" s="82"/>
      <c r="M1377" s="82"/>
      <c r="N1377" s="82"/>
      <c r="O1377" s="87" t="s">
        <v>8742</v>
      </c>
      <c r="P1377" s="82" t="s">
        <v>357</v>
      </c>
      <c r="Q1377" s="83">
        <f>VLOOKUP(TAB_ESTOQUE[[#This Row],[Codigo]],TAB_ENTRADA[[Cod_2_Entrada]:[TOTAL_ENTRADA]],5,FALSE)-VLOOKUP(TAB_ESTOQUE[[#This Row],[Codigo]],TAB_SAIDA[[COD_2_SAIDA]:[TOTAL_SAIDA]],5,FALSE)</f>
        <v>1</v>
      </c>
      <c r="R1377" s="87"/>
      <c r="S1377" s="87"/>
      <c r="T1377" s="90"/>
      <c r="U1377" s="91">
        <f>TAB_ESTOQUE[[#This Row],[Valor Unitario Estimado]]*TAB_ESTOQUE[[#This Row],[Estoque]]</f>
        <v>0</v>
      </c>
      <c r="V1377" s="91"/>
      <c r="W1377" s="85"/>
      <c r="X1377" s="85"/>
      <c r="Y1377" s="85"/>
      <c r="Z1377" s="85"/>
      <c r="AA1377" s="85"/>
      <c r="AB1377" s="85" t="str">
        <f>IF(TAB_ESTOQUE[[#This Row],[Estoque]]=0,"Estoque Não Conforme",IF(TAB_ESTOQUE[[#This Row],[Estoque]]&gt;=TAB_ESTOQUE[[#This Row],[Mínimo]],"Estoque Conforme",IF(TAB_ESTOQUE[[#This Row],[Estoque]]&lt;TAB_ESTOQUE[[#This Row],[Mínimo]],"Estoque em Nivel Minimo")))</f>
        <v>Estoque Conforme</v>
      </c>
      <c r="AC1377" s="85"/>
      <c r="AD1377" s="82"/>
    </row>
    <row r="1378" spans="1:30" ht="15" customHeight="1" x14ac:dyDescent="0.25">
      <c r="B1378" s="47"/>
      <c r="C1378" s="46" t="s">
        <v>2838</v>
      </c>
      <c r="D1378" s="45" t="s">
        <v>2718</v>
      </c>
      <c r="E1378" s="46" t="s">
        <v>130</v>
      </c>
      <c r="F1378" s="87"/>
      <c r="G1378" s="82"/>
      <c r="H1378" s="82"/>
      <c r="I1378" s="82" t="s">
        <v>6691</v>
      </c>
      <c r="J1378" s="82"/>
      <c r="K1378" s="82"/>
      <c r="L1378" s="82"/>
      <c r="M1378" s="82"/>
      <c r="N1378" s="82"/>
      <c r="O1378" s="87" t="s">
        <v>8742</v>
      </c>
      <c r="P1378" s="82" t="s">
        <v>1591</v>
      </c>
      <c r="Q1378" s="83">
        <f>VLOOKUP(TAB_ESTOQUE[[#This Row],[Codigo]],TAB_ENTRADA[[Cod_2_Entrada]:[TOTAL_ENTRADA]],5,FALSE)-VLOOKUP(TAB_ESTOQUE[[#This Row],[Codigo]],TAB_SAIDA[[COD_2_SAIDA]:[TOTAL_SAIDA]],5,FALSE)</f>
        <v>0</v>
      </c>
      <c r="R1378" s="87"/>
      <c r="S1378" s="87"/>
      <c r="T1378" s="90">
        <v>66325.75</v>
      </c>
      <c r="U1378" s="91">
        <f>TAB_ESTOQUE[[#This Row],[Valor Unitario Estimado]]*TAB_ESTOQUE[[#This Row],[Estoque]]</f>
        <v>0</v>
      </c>
      <c r="V1378" s="91"/>
      <c r="W1378" s="85"/>
      <c r="X1378" s="85"/>
      <c r="Y1378" s="85"/>
      <c r="Z1378" s="85"/>
      <c r="AA1378" s="85"/>
      <c r="AB1378" s="96" t="str">
        <f>IF(TAB_ESTOQUE[[#This Row],[Estoque]]=0,"Estoque Não Conforme",IF(TAB_ESTOQUE[[#This Row],[Estoque]]&gt;=TAB_ESTOQUE[[#This Row],[Mínimo]],"Estoque Conforme",IF(TAB_ESTOQUE[[#This Row],[Estoque]]&lt;TAB_ESTOQUE[[#This Row],[Mínimo]],"Estoque em Nivel Minimo")))</f>
        <v>Estoque Não Conforme</v>
      </c>
      <c r="AC1378" s="85"/>
      <c r="AD1378" s="82"/>
    </row>
    <row r="1379" spans="1:30" ht="15.75" customHeight="1" x14ac:dyDescent="0.25">
      <c r="A1379" s="47"/>
      <c r="B1379" s="47"/>
      <c r="C1379" s="47"/>
      <c r="D1379" s="47" t="s">
        <v>6654</v>
      </c>
      <c r="E1379" s="51"/>
      <c r="F1379" s="51"/>
      <c r="G1379" s="47"/>
      <c r="H1379" s="47"/>
      <c r="I1379" s="47" t="s">
        <v>8711</v>
      </c>
      <c r="J1379" s="47"/>
      <c r="K1379" s="47"/>
      <c r="L1379" s="47"/>
      <c r="M1379" s="47"/>
      <c r="N1379" s="47"/>
      <c r="O1379" s="51" t="s">
        <v>8742</v>
      </c>
      <c r="P1379" s="47"/>
      <c r="Q1379" s="145">
        <f>VLOOKUP(TAB_ESTOQUE[[#This Row],[Codigo]],TAB_ENTRADA[[Cod_2_Entrada]:[TOTAL_ENTRADA]],5,FALSE)-VLOOKUP(TAB_ESTOQUE[[#This Row],[Codigo]],TAB_SAIDA[[COD_2_SAIDA]:[TOTAL_SAIDA]],5,FALSE)</f>
        <v>1</v>
      </c>
      <c r="R1379" s="51"/>
      <c r="S1379" s="51"/>
      <c r="T1379" s="156"/>
      <c r="U1379" s="157">
        <f>TAB_ESTOQUE[[#This Row],[Valor Unitario Estimado]]*TAB_ESTOQUE[[#This Row],[Estoque]]</f>
        <v>0</v>
      </c>
      <c r="V1379" s="157"/>
      <c r="W1379" s="158"/>
      <c r="X1379" s="158"/>
      <c r="Y1379" s="158"/>
      <c r="Z1379" s="158"/>
      <c r="AA1379" s="158"/>
      <c r="AB1379" s="159" t="str">
        <f>IF(TAB_ESTOQUE[[#This Row],[Estoque]]=0,"Estoque Não Conforme",IF(TAB_ESTOQUE[[#This Row],[Estoque]]&gt;=TAB_ESTOQUE[[#This Row],[Mínimo]],"Estoque Conforme",IF(TAB_ESTOQUE[[#This Row],[Estoque]]&lt;TAB_ESTOQUE[[#This Row],[Mínimo]],"Estoque em Nivel Minimo")))</f>
        <v>Estoque Conforme</v>
      </c>
      <c r="AC1379" s="159"/>
      <c r="AD1379" s="47"/>
    </row>
    <row r="1380" spans="1:30" ht="15" customHeight="1" x14ac:dyDescent="0.25">
      <c r="C1380" s="53" t="s">
        <v>2842</v>
      </c>
      <c r="D1380" s="45" t="s">
        <v>6798</v>
      </c>
      <c r="E1380" s="46"/>
      <c r="F1380" s="46"/>
      <c r="I1380" s="45" t="s">
        <v>8714</v>
      </c>
      <c r="O1380" s="46" t="s">
        <v>8742</v>
      </c>
      <c r="Q1380" s="83">
        <f>VLOOKUP(TAB_ESTOQUE[[#This Row],[Codigo]],TAB_ENTRADA[[Cod_2_Entrada]:[TOTAL_ENTRADA]],5,FALSE)-VLOOKUP(TAB_ESTOQUE[[#This Row],[Codigo]],TAB_SAIDA[[COD_2_SAIDA]:[TOTAL_SAIDA]],5,FALSE)</f>
        <v>1</v>
      </c>
      <c r="S1380" s="46"/>
      <c r="T1380" s="102"/>
      <c r="U1380" s="103">
        <f>TAB_ESTOQUE[[#This Row],[Valor Unitario Estimado]]*TAB_ESTOQUE[[#This Row],[Estoque]]</f>
        <v>0</v>
      </c>
      <c r="V1380" s="103"/>
      <c r="AB1380" s="104" t="str">
        <f>IF(TAB_ESTOQUE[[#This Row],[Estoque]]=0,"Estoque Não Conforme",IF(TAB_ESTOQUE[[#This Row],[Estoque]]&gt;=TAB_ESTOQUE[[#This Row],[Mínimo]],"Estoque Conforme",IF(TAB_ESTOQUE[[#This Row],[Estoque]]&lt;TAB_ESTOQUE[[#This Row],[Mínimo]],"Estoque em Nivel Minimo")))</f>
        <v>Estoque Conforme</v>
      </c>
      <c r="AC1380" s="104"/>
    </row>
    <row r="1381" spans="1:30" ht="15" customHeight="1" x14ac:dyDescent="0.25">
      <c r="C1381" s="48"/>
      <c r="D1381" s="45" t="s">
        <v>7562</v>
      </c>
      <c r="E1381" s="46" t="s">
        <v>8039</v>
      </c>
      <c r="F1381" s="46"/>
      <c r="I1381" s="45" t="s">
        <v>8086</v>
      </c>
      <c r="O1381" s="51" t="s">
        <v>8742</v>
      </c>
      <c r="Q1381" s="137">
        <f>VLOOKUP(TAB_ESTOQUE[[#This Row],[Codigo]],TAB_ENTRADA[[Cod_2_Entrada]:[TOTAL_ENTRADA]],5,FALSE)-VLOOKUP(TAB_ESTOQUE[[#This Row],[Codigo]],TAB_SAIDA[[COD_2_SAIDA]:[TOTAL_SAIDA]],5,FALSE)</f>
        <v>0</v>
      </c>
      <c r="S1381" s="46"/>
      <c r="T1381" s="102">
        <v>6900</v>
      </c>
      <c r="U1381" s="103">
        <f>TAB_ESTOQUE[[#This Row],[Valor Unitario Estimado]]*TAB_ESTOQUE[[#This Row],[Estoque]]</f>
        <v>0</v>
      </c>
      <c r="V1381" s="103"/>
      <c r="AA1381" s="138"/>
      <c r="AB1381" s="104" t="str">
        <f>IF(TAB_ESTOQUE[[#This Row],[Estoque]]=0,"Estoque Não Conforme",IF(TAB_ESTOQUE[[#This Row],[Estoque]]&gt;=TAB_ESTOQUE[[#This Row],[Mínimo]],"Estoque Conforme",IF(TAB_ESTOQUE[[#This Row],[Estoque]]&lt;TAB_ESTOQUE[[#This Row],[Mínimo]],"Estoque em Nivel Minimo")))</f>
        <v>Estoque Não Conforme</v>
      </c>
      <c r="AC1381" s="104"/>
    </row>
    <row r="1382" spans="1:30" ht="15" customHeight="1" x14ac:dyDescent="0.25">
      <c r="C1382" s="48"/>
      <c r="D1382" s="45" t="s">
        <v>7567</v>
      </c>
      <c r="E1382" s="46" t="s">
        <v>8039</v>
      </c>
      <c r="F1382" s="46"/>
      <c r="I1382" s="106" t="s">
        <v>8091</v>
      </c>
      <c r="O1382" s="116" t="s">
        <v>8742</v>
      </c>
      <c r="Q1382" s="137">
        <f>VLOOKUP(TAB_ESTOQUE[[#This Row],[Codigo]],TAB_ENTRADA[[Cod_2_Entrada]:[TOTAL_ENTRADA]],5,FALSE)-VLOOKUP(TAB_ESTOQUE[[#This Row],[Codigo]],TAB_SAIDA[[COD_2_SAIDA]:[TOTAL_SAIDA]],5,FALSE)</f>
        <v>0</v>
      </c>
      <c r="S1382" s="46"/>
      <c r="T1382" s="102">
        <v>11586</v>
      </c>
      <c r="U1382" s="103">
        <f>TAB_ESTOQUE[[#This Row],[Valor Unitario Estimado]]*TAB_ESTOQUE[[#This Row],[Estoque]]</f>
        <v>0</v>
      </c>
      <c r="V1382" s="103"/>
      <c r="AA1382" s="138"/>
      <c r="AB1382" s="104" t="str">
        <f>IF(TAB_ESTOQUE[[#This Row],[Estoque]]=0,"Estoque Não Conforme",IF(TAB_ESTOQUE[[#This Row],[Estoque]]&gt;=TAB_ESTOQUE[[#This Row],[Mínimo]],"Estoque Conforme",IF(TAB_ESTOQUE[[#This Row],[Estoque]]&lt;TAB_ESTOQUE[[#This Row],[Mínimo]],"Estoque em Nivel Minimo")))</f>
        <v>Estoque Não Conforme</v>
      </c>
      <c r="AC1382" s="104"/>
    </row>
    <row r="1383" spans="1:30" ht="15" customHeight="1" x14ac:dyDescent="0.25">
      <c r="A1383" s="45">
        <v>703</v>
      </c>
      <c r="B1383" s="47"/>
      <c r="C1383" s="46"/>
      <c r="D1383" s="45" t="s">
        <v>2281</v>
      </c>
      <c r="E1383" s="46"/>
      <c r="F1383" s="87"/>
      <c r="G1383" s="82"/>
      <c r="H1383" s="82"/>
      <c r="I1383" s="82" t="s">
        <v>8569</v>
      </c>
      <c r="J1383" s="82"/>
      <c r="K1383" s="82"/>
      <c r="L1383" s="82"/>
      <c r="M1383" s="82"/>
      <c r="N1383" s="82"/>
      <c r="O1383" s="87" t="s">
        <v>6671</v>
      </c>
      <c r="P1383" s="82" t="s">
        <v>489</v>
      </c>
      <c r="Q1383" s="83">
        <f>VLOOKUP(TAB_ESTOQUE[[#This Row],[Codigo]],TAB_ENTRADA[[Cod_2_Entrada]:[TOTAL_ENTRADA]],5,FALSE)-VLOOKUP(TAB_ESTOQUE[[#This Row],[Codigo]],TAB_SAIDA[[COD_2_SAIDA]:[TOTAL_SAIDA]],5,FALSE)</f>
        <v>13</v>
      </c>
      <c r="R1383" s="87"/>
      <c r="S1383" s="87"/>
      <c r="T1383" s="90"/>
      <c r="U1383" s="91">
        <f>TAB_ESTOQUE[[#This Row],[Valor Unitario Estimado]]*TAB_ESTOQUE[[#This Row],[Estoque]]</f>
        <v>0</v>
      </c>
      <c r="V1383" s="91"/>
      <c r="W1383" s="85"/>
      <c r="X1383" s="85"/>
      <c r="Y1383" s="85"/>
      <c r="Z1383" s="85"/>
      <c r="AA1383" s="85"/>
      <c r="AB1383" s="85" t="str">
        <f>IF(TAB_ESTOQUE[[#This Row],[Estoque]]=0,"Estoque Não Conforme",IF(TAB_ESTOQUE[[#This Row],[Estoque]]&gt;=TAB_ESTOQUE[[#This Row],[Mínimo]],"Estoque Conforme",IF(TAB_ESTOQUE[[#This Row],[Estoque]]&lt;TAB_ESTOQUE[[#This Row],[Mínimo]],"Estoque em Nivel Minimo")))</f>
        <v>Estoque Conforme</v>
      </c>
      <c r="AC1383" s="85"/>
      <c r="AD1383" s="82"/>
    </row>
    <row r="1384" spans="1:30" ht="15" customHeight="1" x14ac:dyDescent="0.25">
      <c r="A1384" s="45">
        <v>750</v>
      </c>
      <c r="B1384" s="47"/>
      <c r="C1384" s="46"/>
      <c r="D1384" s="45" t="s">
        <v>2427</v>
      </c>
      <c r="E1384" s="46" t="s">
        <v>736</v>
      </c>
      <c r="F1384" s="87"/>
      <c r="G1384" s="82"/>
      <c r="H1384" s="82"/>
      <c r="I1384" s="82" t="s">
        <v>1022</v>
      </c>
      <c r="J1384" s="82"/>
      <c r="K1384" s="82"/>
      <c r="L1384" s="82"/>
      <c r="M1384" s="82"/>
      <c r="N1384" s="82"/>
      <c r="O1384" s="87" t="s">
        <v>6671</v>
      </c>
      <c r="P1384" s="82" t="s">
        <v>544</v>
      </c>
      <c r="Q1384" s="83">
        <f>VLOOKUP(TAB_ESTOQUE[[#This Row],[Codigo]],TAB_ENTRADA[[Cod_2_Entrada]:[TOTAL_ENTRADA]],5,FALSE)-VLOOKUP(TAB_ESTOQUE[[#This Row],[Codigo]],TAB_SAIDA[[COD_2_SAIDA]:[TOTAL_SAIDA]],5,FALSE)</f>
        <v>4</v>
      </c>
      <c r="R1384" s="87"/>
      <c r="S1384" s="87"/>
      <c r="T1384" s="90">
        <v>3.5</v>
      </c>
      <c r="U1384" s="91">
        <f>TAB_ESTOQUE[[#This Row],[Valor Unitario Estimado]]*TAB_ESTOQUE[[#This Row],[Estoque]]</f>
        <v>14</v>
      </c>
      <c r="V1384" s="91"/>
      <c r="W1384" s="85"/>
      <c r="X1384" s="85"/>
      <c r="Y1384" s="85"/>
      <c r="Z1384" s="85"/>
      <c r="AA1384" s="85"/>
      <c r="AB1384" s="85" t="str">
        <f>IF(TAB_ESTOQUE[[#This Row],[Estoque]]=0,"Estoque Não Conforme",IF(TAB_ESTOQUE[[#This Row],[Estoque]]&gt;=TAB_ESTOQUE[[#This Row],[Mínimo]],"Estoque Conforme",IF(TAB_ESTOQUE[[#This Row],[Estoque]]&lt;TAB_ESTOQUE[[#This Row],[Mínimo]],"Estoque em Nivel Minimo")))</f>
        <v>Estoque Conforme</v>
      </c>
      <c r="AC1384" s="85"/>
      <c r="AD1384" s="82"/>
    </row>
    <row r="1385" spans="1:30" ht="15" customHeight="1" x14ac:dyDescent="0.25">
      <c r="A1385" s="45">
        <v>1350</v>
      </c>
      <c r="B1385" s="47"/>
      <c r="C1385" s="50" t="s">
        <v>2842</v>
      </c>
      <c r="D1385" s="45" t="s">
        <v>1733</v>
      </c>
      <c r="E1385" s="46" t="s">
        <v>7265</v>
      </c>
      <c r="F1385" s="87"/>
      <c r="G1385" s="82"/>
      <c r="H1385" s="82"/>
      <c r="I1385" s="95" t="s">
        <v>6673</v>
      </c>
      <c r="J1385" s="82"/>
      <c r="K1385" s="82"/>
      <c r="L1385" s="82"/>
      <c r="M1385" s="82"/>
      <c r="N1385" s="82"/>
      <c r="O1385" s="87" t="s">
        <v>6674</v>
      </c>
      <c r="P1385" s="82" t="s">
        <v>1591</v>
      </c>
      <c r="Q1385" s="83">
        <f>VLOOKUP(TAB_ESTOQUE[[#This Row],[Codigo]],TAB_ENTRADA[[Cod_2_Entrada]:[TOTAL_ENTRADA]],5,FALSE)-VLOOKUP(TAB_ESTOQUE[[#This Row],[Codigo]],TAB_SAIDA[[COD_2_SAIDA]:[TOTAL_SAIDA]],5,FALSE)</f>
        <v>1</v>
      </c>
      <c r="R1385" s="87"/>
      <c r="S1385" s="87"/>
      <c r="T1385" s="90">
        <v>750</v>
      </c>
      <c r="U1385" s="91">
        <f>TAB_ESTOQUE[[#This Row],[Valor Unitario Estimado]]*TAB_ESTOQUE[[#This Row],[Estoque]]</f>
        <v>750</v>
      </c>
      <c r="V1385" s="91"/>
      <c r="W1385" s="85"/>
      <c r="X1385" s="85"/>
      <c r="Y1385" s="85"/>
      <c r="Z1385" s="85"/>
      <c r="AA1385" s="85"/>
      <c r="AB1385" s="85" t="str">
        <f>IF(TAB_ESTOQUE[[#This Row],[Estoque]]=0,"Estoque Não Conforme",IF(TAB_ESTOQUE[[#This Row],[Estoque]]&gt;=TAB_ESTOQUE[[#This Row],[Mínimo]],"Estoque Conforme",IF(TAB_ESTOQUE[[#This Row],[Estoque]]&lt;TAB_ESTOQUE[[#This Row],[Mínimo]],"Estoque em Nivel Minimo")))</f>
        <v>Estoque Conforme</v>
      </c>
      <c r="AC1385" s="85"/>
      <c r="AD1385" s="82"/>
    </row>
    <row r="1386" spans="1:30" ht="15" customHeight="1" x14ac:dyDescent="0.25">
      <c r="A1386" s="45">
        <v>991</v>
      </c>
      <c r="B1386" s="47"/>
      <c r="C1386" s="46"/>
      <c r="D1386" s="45" t="s">
        <v>1926</v>
      </c>
      <c r="E1386" s="46" t="s">
        <v>7</v>
      </c>
      <c r="F1386" s="87"/>
      <c r="G1386" s="82"/>
      <c r="H1386" s="82"/>
      <c r="I1386" s="82" t="s">
        <v>8477</v>
      </c>
      <c r="J1386" s="82"/>
      <c r="K1386" s="82" t="s">
        <v>610</v>
      </c>
      <c r="L1386" s="82"/>
      <c r="M1386" s="82"/>
      <c r="N1386" s="82"/>
      <c r="O1386" s="87" t="s">
        <v>6674</v>
      </c>
      <c r="P1386" s="82" t="s">
        <v>761</v>
      </c>
      <c r="Q1386" s="83">
        <f>VLOOKUP(TAB_ESTOQUE[[#This Row],[Codigo]],TAB_ENTRADA[[Cod_2_Entrada]:[TOTAL_ENTRADA]],5,FALSE)-VLOOKUP(TAB_ESTOQUE[[#This Row],[Codigo]],TAB_SAIDA[[COD_2_SAIDA]:[TOTAL_SAIDA]],5,FALSE)</f>
        <v>1</v>
      </c>
      <c r="R1386" s="87"/>
      <c r="S1386" s="87"/>
      <c r="T1386" s="90"/>
      <c r="U1386" s="91">
        <f>TAB_ESTOQUE[[#This Row],[Valor Unitario Estimado]]*TAB_ESTOQUE[[#This Row],[Estoque]]</f>
        <v>0</v>
      </c>
      <c r="V1386" s="91"/>
      <c r="W1386" s="85"/>
      <c r="X1386" s="85"/>
      <c r="Y1386" s="85"/>
      <c r="Z1386" s="85"/>
      <c r="AA1386" s="85"/>
      <c r="AB1386" s="85" t="str">
        <f>IF(TAB_ESTOQUE[[#This Row],[Estoque]]=0,"Estoque Não Conforme",IF(TAB_ESTOQUE[[#This Row],[Estoque]]&gt;=TAB_ESTOQUE[[#This Row],[Mínimo]],"Estoque Conforme",IF(TAB_ESTOQUE[[#This Row],[Estoque]]&lt;TAB_ESTOQUE[[#This Row],[Mínimo]],"Estoque em Nivel Minimo")))</f>
        <v>Estoque Conforme</v>
      </c>
      <c r="AC1386" s="85"/>
      <c r="AD1386" s="82"/>
    </row>
    <row r="1387" spans="1:30" ht="15" customHeight="1" x14ac:dyDescent="0.25">
      <c r="A1387" s="45">
        <v>875</v>
      </c>
      <c r="B1387" s="47"/>
      <c r="C1387" s="46" t="s">
        <v>2833</v>
      </c>
      <c r="D1387" s="45" t="s">
        <v>2521</v>
      </c>
      <c r="E1387" s="46" t="s">
        <v>119</v>
      </c>
      <c r="F1387" s="87"/>
      <c r="G1387" s="82"/>
      <c r="H1387" s="82"/>
      <c r="I1387" s="82" t="s">
        <v>8645</v>
      </c>
      <c r="J1387" s="82"/>
      <c r="K1387" s="82"/>
      <c r="L1387" s="82"/>
      <c r="M1387" s="82"/>
      <c r="N1387" s="82"/>
      <c r="O1387" s="87" t="s">
        <v>6674</v>
      </c>
      <c r="P1387" s="82" t="s">
        <v>674</v>
      </c>
      <c r="Q1387" s="83">
        <f>VLOOKUP(TAB_ESTOQUE[[#This Row],[Codigo]],TAB_ENTRADA[[Cod_2_Entrada]:[TOTAL_ENTRADA]],5,FALSE)-VLOOKUP(TAB_ESTOQUE[[#This Row],[Codigo]],TAB_SAIDA[[COD_2_SAIDA]:[TOTAL_SAIDA]],5,FALSE)</f>
        <v>1</v>
      </c>
      <c r="R1387" s="87"/>
      <c r="S1387" s="87"/>
      <c r="T1387" s="90"/>
      <c r="U1387" s="91">
        <f>TAB_ESTOQUE[[#This Row],[Valor Unitario Estimado]]*TAB_ESTOQUE[[#This Row],[Estoque]]</f>
        <v>0</v>
      </c>
      <c r="V1387" s="91"/>
      <c r="W1387" s="85"/>
      <c r="X1387" s="85"/>
      <c r="Y1387" s="85"/>
      <c r="Z1387" s="85"/>
      <c r="AA1387" s="85"/>
      <c r="AB1387" s="85" t="str">
        <f>IF(TAB_ESTOQUE[[#This Row],[Estoque]]=0,"Estoque Não Conforme",IF(TAB_ESTOQUE[[#This Row],[Estoque]]&gt;=TAB_ESTOQUE[[#This Row],[Mínimo]],"Estoque Conforme",IF(TAB_ESTOQUE[[#This Row],[Estoque]]&lt;TAB_ESTOQUE[[#This Row],[Mínimo]],"Estoque em Nivel Minimo")))</f>
        <v>Estoque Conforme</v>
      </c>
      <c r="AC1387" s="85"/>
      <c r="AD1387" s="82"/>
    </row>
    <row r="1388" spans="1:30" ht="15" customHeight="1" x14ac:dyDescent="0.25">
      <c r="A1388" s="45">
        <v>84</v>
      </c>
      <c r="B1388" s="47"/>
      <c r="C1388" s="46" t="s">
        <v>2842</v>
      </c>
      <c r="D1388" s="45" t="s">
        <v>1732</v>
      </c>
      <c r="E1388" s="46" t="s">
        <v>7</v>
      </c>
      <c r="F1388" s="87"/>
      <c r="G1388" s="82"/>
      <c r="H1388" s="82"/>
      <c r="I1388" s="82" t="s">
        <v>8462</v>
      </c>
      <c r="J1388" s="82"/>
      <c r="K1388" s="82"/>
      <c r="L1388" s="82"/>
      <c r="M1388" s="82"/>
      <c r="N1388" s="82"/>
      <c r="O1388" s="87" t="s">
        <v>6702</v>
      </c>
      <c r="P1388" s="82" t="s">
        <v>53</v>
      </c>
      <c r="Q1388" s="83">
        <f>VLOOKUP(TAB_ESTOQUE[[#This Row],[Codigo]],TAB_ENTRADA[[Cod_2_Entrada]:[TOTAL_ENTRADA]],5,FALSE)-VLOOKUP(TAB_ESTOQUE[[#This Row],[Codigo]],TAB_SAIDA[[COD_2_SAIDA]:[TOTAL_SAIDA]],5,FALSE)</f>
        <v>1</v>
      </c>
      <c r="R1388" s="87"/>
      <c r="S1388" s="87"/>
      <c r="T1388" s="90">
        <v>585.44000000000005</v>
      </c>
      <c r="U1388" s="91">
        <f>TAB_ESTOQUE[[#This Row],[Valor Unitario Estimado]]*TAB_ESTOQUE[[#This Row],[Estoque]]</f>
        <v>585.44000000000005</v>
      </c>
      <c r="V1388" s="91"/>
      <c r="W1388" s="85"/>
      <c r="X1388" s="85"/>
      <c r="Y1388" s="85"/>
      <c r="Z1388" s="85"/>
      <c r="AA1388" s="85"/>
      <c r="AB1388" s="85" t="str">
        <f>IF(TAB_ESTOQUE[[#This Row],[Estoque]]=0,"Estoque Não Conforme",IF(TAB_ESTOQUE[[#This Row],[Estoque]]&gt;=TAB_ESTOQUE[[#This Row],[Mínimo]],"Estoque Conforme",IF(TAB_ESTOQUE[[#This Row],[Estoque]]&lt;TAB_ESTOQUE[[#This Row],[Mínimo]],"Estoque em Nivel Minimo")))</f>
        <v>Estoque Conforme</v>
      </c>
      <c r="AC1388" s="85"/>
      <c r="AD1388" s="82"/>
    </row>
    <row r="1389" spans="1:30" ht="15" customHeight="1" x14ac:dyDescent="0.25">
      <c r="A1389" s="45">
        <v>997</v>
      </c>
      <c r="B1389" s="47"/>
      <c r="C1389" s="46"/>
      <c r="D1389" s="45" t="s">
        <v>2008</v>
      </c>
      <c r="E1389" s="46" t="s">
        <v>7</v>
      </c>
      <c r="F1389" s="87"/>
      <c r="G1389" s="82"/>
      <c r="H1389" s="82"/>
      <c r="I1389" s="82" t="s">
        <v>8489</v>
      </c>
      <c r="J1389" s="82"/>
      <c r="K1389" s="82"/>
      <c r="L1389" s="82"/>
      <c r="M1389" s="82"/>
      <c r="N1389" s="82"/>
      <c r="O1389" s="87" t="s">
        <v>8744</v>
      </c>
      <c r="P1389" s="82" t="s">
        <v>768</v>
      </c>
      <c r="Q1389" s="83">
        <f>VLOOKUP(TAB_ESTOQUE[[#This Row],[Codigo]],TAB_ENTRADA[[Cod_2_Entrada]:[TOTAL_ENTRADA]],5,FALSE)-VLOOKUP(TAB_ESTOQUE[[#This Row],[Codigo]],TAB_SAIDA[[COD_2_SAIDA]:[TOTAL_SAIDA]],5,FALSE)</f>
        <v>1</v>
      </c>
      <c r="R1389" s="87"/>
      <c r="S1389" s="87"/>
      <c r="T1389" s="90"/>
      <c r="U1389" s="91">
        <f>TAB_ESTOQUE[[#This Row],[Valor Unitario Estimado]]*TAB_ESTOQUE[[#This Row],[Estoque]]</f>
        <v>0</v>
      </c>
      <c r="V1389" s="91"/>
      <c r="W1389" s="85"/>
      <c r="X1389" s="85"/>
      <c r="Y1389" s="85"/>
      <c r="Z1389" s="85"/>
      <c r="AA1389" s="85"/>
      <c r="AB1389" s="85" t="str">
        <f>IF(TAB_ESTOQUE[[#This Row],[Estoque]]=0,"Estoque Não Conforme",IF(TAB_ESTOQUE[[#This Row],[Estoque]]&gt;=TAB_ESTOQUE[[#This Row],[Mínimo]],"Estoque Conforme",IF(TAB_ESTOQUE[[#This Row],[Estoque]]&lt;TAB_ESTOQUE[[#This Row],[Mínimo]],"Estoque em Nivel Minimo")))</f>
        <v>Estoque Conforme</v>
      </c>
      <c r="AC1389" s="85"/>
      <c r="AD1389" s="82"/>
    </row>
    <row r="1390" spans="1:30" ht="15" customHeight="1" x14ac:dyDescent="0.25">
      <c r="A1390" s="47">
        <v>1191</v>
      </c>
      <c r="B1390" s="47"/>
      <c r="C1390" s="51" t="s">
        <v>2842</v>
      </c>
      <c r="D1390" s="47" t="s">
        <v>1688</v>
      </c>
      <c r="E1390" s="51" t="s">
        <v>7</v>
      </c>
      <c r="F1390" s="107"/>
      <c r="G1390" s="94"/>
      <c r="H1390" s="94"/>
      <c r="I1390" s="94" t="s">
        <v>8460</v>
      </c>
      <c r="J1390" s="94"/>
      <c r="K1390" s="94"/>
      <c r="L1390" s="94"/>
      <c r="M1390" s="94"/>
      <c r="N1390" s="94"/>
      <c r="O1390" s="107" t="s">
        <v>8737</v>
      </c>
      <c r="P1390" s="94" t="s">
        <v>690</v>
      </c>
      <c r="Q1390" s="83">
        <f>VLOOKUP(TAB_ESTOQUE[[#This Row],[Codigo]],TAB_ENTRADA[[Cod_2_Entrada]:[TOTAL_ENTRADA]],5,FALSE)-VLOOKUP(TAB_ESTOQUE[[#This Row],[Codigo]],TAB_SAIDA[[COD_2_SAIDA]:[TOTAL_SAIDA]],5,FALSE)</f>
        <v>7</v>
      </c>
      <c r="R1390" s="107"/>
      <c r="S1390" s="107"/>
      <c r="T1390" s="108"/>
      <c r="U1390" s="109">
        <f>TAB_ESTOQUE[[#This Row],[Valor Unitario Estimado]]*TAB_ESTOQUE[[#This Row],[Estoque]]</f>
        <v>0</v>
      </c>
      <c r="V1390" s="109"/>
      <c r="W1390" s="110"/>
      <c r="X1390" s="110"/>
      <c r="Y1390" s="110"/>
      <c r="Z1390" s="110"/>
      <c r="AA1390" s="110"/>
      <c r="AB1390" s="110" t="str">
        <f>IF(TAB_ESTOQUE[[#This Row],[Estoque]]=0,"Estoque Não Conforme",IF(TAB_ESTOQUE[[#This Row],[Estoque]]&gt;=TAB_ESTOQUE[[#This Row],[Mínimo]],"Estoque Conforme",IF(TAB_ESTOQUE[[#This Row],[Estoque]]&lt;TAB_ESTOQUE[[#This Row],[Mínimo]],"Estoque em Nivel Minimo")))</f>
        <v>Estoque Conforme</v>
      </c>
      <c r="AC1390" s="110"/>
      <c r="AD1390" s="94"/>
    </row>
    <row r="1391" spans="1:30" ht="15" customHeight="1" x14ac:dyDescent="0.25">
      <c r="A1391" s="45">
        <v>93</v>
      </c>
      <c r="B1391" s="47"/>
      <c r="C1391" s="46"/>
      <c r="D1391" s="45" t="s">
        <v>1869</v>
      </c>
      <c r="E1391" s="46" t="s">
        <v>7</v>
      </c>
      <c r="F1391" s="87"/>
      <c r="G1391" s="82"/>
      <c r="H1391" s="82"/>
      <c r="I1391" s="82" t="s">
        <v>919</v>
      </c>
      <c r="J1391" s="82"/>
      <c r="K1391" s="82"/>
      <c r="L1391" s="82"/>
      <c r="M1391" s="82"/>
      <c r="N1391" s="82"/>
      <c r="O1391" s="87" t="s">
        <v>8740</v>
      </c>
      <c r="P1391" s="82" t="s">
        <v>61</v>
      </c>
      <c r="Q1391" s="83">
        <f>VLOOKUP(TAB_ESTOQUE[[#This Row],[Codigo]],TAB_ENTRADA[[Cod_2_Entrada]:[TOTAL_ENTRADA]],5,FALSE)-VLOOKUP(TAB_ESTOQUE[[#This Row],[Codigo]],TAB_SAIDA[[COD_2_SAIDA]:[TOTAL_SAIDA]],5,FALSE)</f>
        <v>2</v>
      </c>
      <c r="R1391" s="87"/>
      <c r="S1391" s="87"/>
      <c r="T1391" s="90"/>
      <c r="U1391" s="91">
        <f>TAB_ESTOQUE[[#This Row],[Valor Unitario Estimado]]*TAB_ESTOQUE[[#This Row],[Estoque]]</f>
        <v>0</v>
      </c>
      <c r="V1391" s="91"/>
      <c r="W1391" s="85"/>
      <c r="X1391" s="85"/>
      <c r="Y1391" s="85"/>
      <c r="Z1391" s="85"/>
      <c r="AA1391" s="85"/>
      <c r="AB1391" s="85" t="str">
        <f>IF(TAB_ESTOQUE[[#This Row],[Estoque]]=0,"Estoque Não Conforme",IF(TAB_ESTOQUE[[#This Row],[Estoque]]&gt;=TAB_ESTOQUE[[#This Row],[Mínimo]],"Estoque Conforme",IF(TAB_ESTOQUE[[#This Row],[Estoque]]&lt;TAB_ESTOQUE[[#This Row],[Mínimo]],"Estoque em Nivel Minimo")))</f>
        <v>Estoque Conforme</v>
      </c>
      <c r="AC1391" s="85"/>
      <c r="AD1391" s="82"/>
    </row>
    <row r="1392" spans="1:30" ht="15" customHeight="1" x14ac:dyDescent="0.25">
      <c r="B1392" s="47"/>
      <c r="C1392" s="46"/>
      <c r="D1392" s="45" t="s">
        <v>2674</v>
      </c>
      <c r="E1392" s="46"/>
      <c r="F1392" s="87"/>
      <c r="G1392" s="82"/>
      <c r="H1392" s="82"/>
      <c r="I1392" s="82" t="s">
        <v>8665</v>
      </c>
      <c r="J1392" s="82"/>
      <c r="K1392" s="82"/>
      <c r="L1392" s="82"/>
      <c r="M1392" s="82"/>
      <c r="N1392" s="82"/>
      <c r="O1392" s="87" t="s">
        <v>8740</v>
      </c>
      <c r="P1392" s="82" t="s">
        <v>1275</v>
      </c>
      <c r="Q1392" s="83">
        <f>VLOOKUP(TAB_ESTOQUE[[#This Row],[Codigo]],TAB_ENTRADA[[Cod_2_Entrada]:[TOTAL_ENTRADA]],5,FALSE)-VLOOKUP(TAB_ESTOQUE[[#This Row],[Codigo]],TAB_SAIDA[[COD_2_SAIDA]:[TOTAL_SAIDA]],5,FALSE)</f>
        <v>2</v>
      </c>
      <c r="R1392" s="87"/>
      <c r="S1392" s="87"/>
      <c r="T1392" s="90"/>
      <c r="U1392" s="91">
        <f>TAB_ESTOQUE[[#This Row],[Valor Unitario Estimado]]*TAB_ESTOQUE[[#This Row],[Estoque]]</f>
        <v>0</v>
      </c>
      <c r="V1392" s="91"/>
      <c r="W1392" s="85"/>
      <c r="X1392" s="85"/>
      <c r="Y1392" s="85"/>
      <c r="Z1392" s="85"/>
      <c r="AA1392" s="85"/>
      <c r="AB1392" s="96" t="str">
        <f>IF(TAB_ESTOQUE[[#This Row],[Estoque]]=0,"Estoque Não Conforme",IF(TAB_ESTOQUE[[#This Row],[Estoque]]&gt;=TAB_ESTOQUE[[#This Row],[Mínimo]],"Estoque Conforme",IF(TAB_ESTOQUE[[#This Row],[Estoque]]&lt;TAB_ESTOQUE[[#This Row],[Mínimo]],"Estoque em Nivel Minimo")))</f>
        <v>Estoque Conforme</v>
      </c>
      <c r="AC1392" s="85"/>
      <c r="AD1392" s="82"/>
    </row>
    <row r="1393" spans="1:30" ht="15" customHeight="1" x14ac:dyDescent="0.25">
      <c r="B1393" s="47"/>
      <c r="C1393" s="46"/>
      <c r="D1393" s="45" t="s">
        <v>2679</v>
      </c>
      <c r="E1393" s="46"/>
      <c r="F1393" s="87"/>
      <c r="G1393" s="82"/>
      <c r="H1393" s="82"/>
      <c r="I1393" s="82" t="s">
        <v>8666</v>
      </c>
      <c r="J1393" s="82"/>
      <c r="K1393" s="82"/>
      <c r="L1393" s="82"/>
      <c r="M1393" s="82"/>
      <c r="N1393" s="82"/>
      <c r="O1393" s="87" t="s">
        <v>8740</v>
      </c>
      <c r="P1393" s="82" t="s">
        <v>1281</v>
      </c>
      <c r="Q1393" s="83">
        <f>VLOOKUP(TAB_ESTOQUE[[#This Row],[Codigo]],TAB_ENTRADA[[Cod_2_Entrada]:[TOTAL_ENTRADA]],5,FALSE)-VLOOKUP(TAB_ESTOQUE[[#This Row],[Codigo]],TAB_SAIDA[[COD_2_SAIDA]:[TOTAL_SAIDA]],5,FALSE)</f>
        <v>5</v>
      </c>
      <c r="R1393" s="87"/>
      <c r="S1393" s="87"/>
      <c r="T1393" s="90"/>
      <c r="U1393" s="91">
        <f>TAB_ESTOQUE[[#This Row],[Valor Unitario Estimado]]*TAB_ESTOQUE[[#This Row],[Estoque]]</f>
        <v>0</v>
      </c>
      <c r="V1393" s="91"/>
      <c r="W1393" s="85"/>
      <c r="X1393" s="85"/>
      <c r="Y1393" s="85"/>
      <c r="Z1393" s="85"/>
      <c r="AA1393" s="85"/>
      <c r="AB1393" s="96" t="str">
        <f>IF(TAB_ESTOQUE[[#This Row],[Estoque]]=0,"Estoque Não Conforme",IF(TAB_ESTOQUE[[#This Row],[Estoque]]&gt;=TAB_ESTOQUE[[#This Row],[Mínimo]],"Estoque Conforme",IF(TAB_ESTOQUE[[#This Row],[Estoque]]&lt;TAB_ESTOQUE[[#This Row],[Mínimo]],"Estoque em Nivel Minimo")))</f>
        <v>Estoque Conforme</v>
      </c>
      <c r="AC1393" s="85"/>
      <c r="AD1393" s="82"/>
    </row>
    <row r="1394" spans="1:30" ht="15" customHeight="1" x14ac:dyDescent="0.25">
      <c r="A1394" s="161"/>
      <c r="B1394" s="161"/>
      <c r="C1394" s="169"/>
      <c r="D1394" s="161" t="s">
        <v>2690</v>
      </c>
      <c r="E1394" s="169" t="s">
        <v>8</v>
      </c>
      <c r="F1394" s="172"/>
      <c r="G1394" s="170"/>
      <c r="H1394" s="170"/>
      <c r="I1394" s="170" t="s">
        <v>8667</v>
      </c>
      <c r="J1394" s="170"/>
      <c r="K1394" s="170" t="s">
        <v>1291</v>
      </c>
      <c r="L1394" s="170"/>
      <c r="M1394" s="170"/>
      <c r="N1394" s="170"/>
      <c r="O1394" s="172" t="s">
        <v>8759</v>
      </c>
      <c r="P1394" s="170" t="s">
        <v>1289</v>
      </c>
      <c r="Q1394" s="145">
        <f>VLOOKUP(TAB_ESTOQUE[[#This Row],[Codigo]],TAB_ENTRADA[[Cod_2_Entrada]:[TOTAL_ENTRADA]],5,FALSE)-VLOOKUP(TAB_ESTOQUE[[#This Row],[Codigo]],TAB_SAIDA[[COD_2_SAIDA]:[TOTAL_SAIDA]],5,FALSE)</f>
        <v>1</v>
      </c>
      <c r="R1394" s="172"/>
      <c r="S1394" s="172"/>
      <c r="T1394" s="173"/>
      <c r="U1394" s="174">
        <f>TAB_ESTOQUE[[#This Row],[Valor Unitario Estimado]]*TAB_ESTOQUE[[#This Row],[Estoque]]</f>
        <v>0</v>
      </c>
      <c r="V1394" s="174"/>
      <c r="W1394" s="175"/>
      <c r="X1394" s="175"/>
      <c r="Y1394" s="175"/>
      <c r="Z1394" s="175"/>
      <c r="AA1394" s="175"/>
      <c r="AB1394" s="205" t="str">
        <f>IF(TAB_ESTOQUE[[#This Row],[Estoque]]=0,"Estoque Não Conforme",IF(TAB_ESTOQUE[[#This Row],[Estoque]]&gt;=TAB_ESTOQUE[[#This Row],[Mínimo]],"Estoque Conforme",IF(TAB_ESTOQUE[[#This Row],[Estoque]]&lt;TAB_ESTOQUE[[#This Row],[Mínimo]],"Estoque em Nivel Minimo")))</f>
        <v>Estoque Conforme</v>
      </c>
      <c r="AC1394" s="175"/>
      <c r="AD1394" s="170"/>
    </row>
    <row r="1395" spans="1:30" ht="15" customHeight="1" x14ac:dyDescent="0.25">
      <c r="A1395" s="106"/>
      <c r="B1395" s="106"/>
      <c r="C1395" s="116"/>
      <c r="D1395" s="106" t="s">
        <v>2691</v>
      </c>
      <c r="E1395" s="116" t="s">
        <v>8</v>
      </c>
      <c r="F1395" s="118"/>
      <c r="G1395" s="95"/>
      <c r="H1395" s="95"/>
      <c r="I1395" s="95" t="s">
        <v>8668</v>
      </c>
      <c r="J1395" s="95"/>
      <c r="K1395" s="95"/>
      <c r="L1395" s="95"/>
      <c r="M1395" s="95"/>
      <c r="N1395" s="95"/>
      <c r="O1395" s="118" t="s">
        <v>8759</v>
      </c>
      <c r="P1395" s="95" t="s">
        <v>1293</v>
      </c>
      <c r="Q1395" s="154">
        <f>VLOOKUP(TAB_ESTOQUE[[#This Row],[Codigo]],TAB_ENTRADA[[Cod_2_Entrada]:[TOTAL_ENTRADA]],5,FALSE)-VLOOKUP(TAB_ESTOQUE[[#This Row],[Codigo]],TAB_SAIDA[[COD_2_SAIDA]:[TOTAL_SAIDA]],5,FALSE)</f>
        <v>1</v>
      </c>
      <c r="R1395" s="118"/>
      <c r="S1395" s="118"/>
      <c r="T1395" s="119"/>
      <c r="U1395" s="112">
        <f>TAB_ESTOQUE[[#This Row],[Valor Unitario Estimado]]*TAB_ESTOQUE[[#This Row],[Estoque]]</f>
        <v>0</v>
      </c>
      <c r="V1395" s="112"/>
      <c r="W1395" s="120"/>
      <c r="X1395" s="120"/>
      <c r="Y1395" s="120"/>
      <c r="Z1395" s="120"/>
      <c r="AA1395" s="120"/>
      <c r="AB1395" s="160" t="str">
        <f>IF(TAB_ESTOQUE[[#This Row],[Estoque]]=0,"Estoque Não Conforme",IF(TAB_ESTOQUE[[#This Row],[Estoque]]&gt;=TAB_ESTOQUE[[#This Row],[Mínimo]],"Estoque Conforme",IF(TAB_ESTOQUE[[#This Row],[Estoque]]&lt;TAB_ESTOQUE[[#This Row],[Mínimo]],"Estoque em Nivel Minimo")))</f>
        <v>Estoque Conforme</v>
      </c>
      <c r="AC1395" s="120"/>
      <c r="AD1395" s="95"/>
    </row>
    <row r="1396" spans="1:30" ht="15" customHeight="1" x14ac:dyDescent="0.25">
      <c r="B1396" s="47"/>
      <c r="C1396" s="46"/>
      <c r="D1396" s="45" t="s">
        <v>2692</v>
      </c>
      <c r="E1396" s="46" t="s">
        <v>8</v>
      </c>
      <c r="F1396" s="87"/>
      <c r="G1396" s="82"/>
      <c r="H1396" s="82"/>
      <c r="I1396" s="82" t="s">
        <v>8669</v>
      </c>
      <c r="J1396" s="82"/>
      <c r="K1396" s="82"/>
      <c r="L1396" s="82"/>
      <c r="M1396" s="82"/>
      <c r="N1396" s="82"/>
      <c r="O1396" s="87" t="s">
        <v>8759</v>
      </c>
      <c r="P1396" s="82" t="s">
        <v>1294</v>
      </c>
      <c r="Q1396" s="83">
        <f>VLOOKUP(TAB_ESTOQUE[[#This Row],[Codigo]],TAB_ENTRADA[[Cod_2_Entrada]:[TOTAL_ENTRADA]],5,FALSE)-VLOOKUP(TAB_ESTOQUE[[#This Row],[Codigo]],TAB_SAIDA[[COD_2_SAIDA]:[TOTAL_SAIDA]],5,FALSE)</f>
        <v>1</v>
      </c>
      <c r="R1396" s="87"/>
      <c r="S1396" s="87"/>
      <c r="T1396" s="90"/>
      <c r="U1396" s="91">
        <f>TAB_ESTOQUE[[#This Row],[Valor Unitario Estimado]]*TAB_ESTOQUE[[#This Row],[Estoque]]</f>
        <v>0</v>
      </c>
      <c r="V1396" s="91"/>
      <c r="W1396" s="85"/>
      <c r="X1396" s="85"/>
      <c r="Y1396" s="85"/>
      <c r="Z1396" s="85"/>
      <c r="AA1396" s="85"/>
      <c r="AB1396" s="96" t="str">
        <f>IF(TAB_ESTOQUE[[#This Row],[Estoque]]=0,"Estoque Não Conforme",IF(TAB_ESTOQUE[[#This Row],[Estoque]]&gt;=TAB_ESTOQUE[[#This Row],[Mínimo]],"Estoque Conforme",IF(TAB_ESTOQUE[[#This Row],[Estoque]]&lt;TAB_ESTOQUE[[#This Row],[Mínimo]],"Estoque em Nivel Minimo")))</f>
        <v>Estoque Conforme</v>
      </c>
      <c r="AC1396" s="85"/>
      <c r="AD1396" s="82"/>
    </row>
    <row r="1397" spans="1:30" ht="15" customHeight="1" x14ac:dyDescent="0.25">
      <c r="A1397" s="45">
        <v>1251</v>
      </c>
      <c r="B1397" s="47"/>
      <c r="C1397" s="46"/>
      <c r="D1397" s="45" t="s">
        <v>2413</v>
      </c>
      <c r="E1397" s="46" t="s">
        <v>813</v>
      </c>
      <c r="F1397" s="87"/>
      <c r="G1397" s="82"/>
      <c r="H1397" s="82"/>
      <c r="I1397" s="82" t="s">
        <v>6701</v>
      </c>
      <c r="J1397" s="82"/>
      <c r="K1397" s="82"/>
      <c r="L1397" s="82"/>
      <c r="M1397" s="82"/>
      <c r="N1397" s="82"/>
      <c r="O1397" s="87" t="s">
        <v>8753</v>
      </c>
      <c r="P1397" s="82" t="s">
        <v>973</v>
      </c>
      <c r="Q1397" s="83">
        <f>VLOOKUP(TAB_ESTOQUE[[#This Row],[Codigo]],TAB_ENTRADA[[Cod_2_Entrada]:[TOTAL_ENTRADA]],5,FALSE)-VLOOKUP(TAB_ESTOQUE[[#This Row],[Codigo]],TAB_SAIDA[[COD_2_SAIDA]:[TOTAL_SAIDA]],5,FALSE)</f>
        <v>1</v>
      </c>
      <c r="R1397" s="87"/>
      <c r="S1397" s="87"/>
      <c r="T1397" s="90">
        <v>1796.85</v>
      </c>
      <c r="U1397" s="91">
        <f>TAB_ESTOQUE[[#This Row],[Valor Unitario Estimado]]*TAB_ESTOQUE[[#This Row],[Estoque]]</f>
        <v>1796.85</v>
      </c>
      <c r="V1397" s="91"/>
      <c r="W1397" s="85"/>
      <c r="X1397" s="85"/>
      <c r="Y1397" s="85"/>
      <c r="Z1397" s="85"/>
      <c r="AA1397" s="85"/>
      <c r="AB1397" s="85" t="str">
        <f>IF(TAB_ESTOQUE[[#This Row],[Estoque]]=0,"Estoque Não Conforme",IF(TAB_ESTOQUE[[#This Row],[Estoque]]&gt;=TAB_ESTOQUE[[#This Row],[Mínimo]],"Estoque Conforme",IF(TAB_ESTOQUE[[#This Row],[Estoque]]&lt;TAB_ESTOQUE[[#This Row],[Mínimo]],"Estoque em Nivel Minimo")))</f>
        <v>Estoque Conforme</v>
      </c>
      <c r="AC1397" s="85"/>
      <c r="AD1397" s="82"/>
    </row>
    <row r="1398" spans="1:30" ht="15" customHeight="1" x14ac:dyDescent="0.25">
      <c r="B1398" s="47"/>
      <c r="C1398" s="46"/>
      <c r="D1398" s="45" t="s">
        <v>2693</v>
      </c>
      <c r="E1398" s="46" t="s">
        <v>8</v>
      </c>
      <c r="F1398" s="87"/>
      <c r="G1398" s="82"/>
      <c r="H1398" s="82"/>
      <c r="I1398" s="82" t="s">
        <v>8670</v>
      </c>
      <c r="J1398" s="82"/>
      <c r="K1398" s="82"/>
      <c r="L1398" s="82"/>
      <c r="M1398" s="82"/>
      <c r="N1398" s="82"/>
      <c r="O1398" s="87" t="s">
        <v>8753</v>
      </c>
      <c r="P1398" s="82" t="s">
        <v>1295</v>
      </c>
      <c r="Q1398" s="83">
        <f>VLOOKUP(TAB_ESTOQUE[[#This Row],[Codigo]],TAB_ENTRADA[[Cod_2_Entrada]:[TOTAL_ENTRADA]],5,FALSE)-VLOOKUP(TAB_ESTOQUE[[#This Row],[Codigo]],TAB_SAIDA[[COD_2_SAIDA]:[TOTAL_SAIDA]],5,FALSE)</f>
        <v>1</v>
      </c>
      <c r="R1398" s="87"/>
      <c r="S1398" s="87"/>
      <c r="T1398" s="90"/>
      <c r="U1398" s="91">
        <f>TAB_ESTOQUE[[#This Row],[Valor Unitario Estimado]]*TAB_ESTOQUE[[#This Row],[Estoque]]</f>
        <v>0</v>
      </c>
      <c r="V1398" s="91"/>
      <c r="W1398" s="85"/>
      <c r="X1398" s="85"/>
      <c r="Y1398" s="85"/>
      <c r="Z1398" s="85"/>
      <c r="AA1398" s="85"/>
      <c r="AB1398" s="96" t="str">
        <f>IF(TAB_ESTOQUE[[#This Row],[Estoque]]=0,"Estoque Não Conforme",IF(TAB_ESTOQUE[[#This Row],[Estoque]]&gt;=TAB_ESTOQUE[[#This Row],[Mínimo]],"Estoque Conforme",IF(TAB_ESTOQUE[[#This Row],[Estoque]]&lt;TAB_ESTOQUE[[#This Row],[Mínimo]],"Estoque em Nivel Minimo")))</f>
        <v>Estoque Conforme</v>
      </c>
      <c r="AC1398" s="85"/>
      <c r="AD1398" s="82"/>
    </row>
    <row r="1399" spans="1:30" ht="15" customHeight="1" x14ac:dyDescent="0.25">
      <c r="B1399" s="47"/>
      <c r="C1399" s="46"/>
      <c r="D1399" s="45" t="s">
        <v>2694</v>
      </c>
      <c r="E1399" s="46" t="s">
        <v>8</v>
      </c>
      <c r="F1399" s="87"/>
      <c r="G1399" s="82"/>
      <c r="H1399" s="82"/>
      <c r="I1399" s="82" t="s">
        <v>8671</v>
      </c>
      <c r="J1399" s="82"/>
      <c r="K1399" s="82"/>
      <c r="L1399" s="82"/>
      <c r="M1399" s="82"/>
      <c r="N1399" s="82"/>
      <c r="O1399" s="87" t="s">
        <v>8760</v>
      </c>
      <c r="P1399" s="82" t="s">
        <v>1296</v>
      </c>
      <c r="Q1399" s="83">
        <f>VLOOKUP(TAB_ESTOQUE[[#This Row],[Codigo]],TAB_ENTRADA[[Cod_2_Entrada]:[TOTAL_ENTRADA]],5,FALSE)-VLOOKUP(TAB_ESTOQUE[[#This Row],[Codigo]],TAB_SAIDA[[COD_2_SAIDA]:[TOTAL_SAIDA]],5,FALSE)</f>
        <v>1</v>
      </c>
      <c r="R1399" s="87"/>
      <c r="S1399" s="87"/>
      <c r="T1399" s="90"/>
      <c r="U1399" s="91">
        <f>TAB_ESTOQUE[[#This Row],[Valor Unitario Estimado]]*TAB_ESTOQUE[[#This Row],[Estoque]]</f>
        <v>0</v>
      </c>
      <c r="V1399" s="91"/>
      <c r="W1399" s="85"/>
      <c r="X1399" s="85"/>
      <c r="Y1399" s="85"/>
      <c r="Z1399" s="85"/>
      <c r="AA1399" s="85"/>
      <c r="AB1399" s="96" t="str">
        <f>IF(TAB_ESTOQUE[[#This Row],[Estoque]]=0,"Estoque Não Conforme",IF(TAB_ESTOQUE[[#This Row],[Estoque]]&gt;=TAB_ESTOQUE[[#This Row],[Mínimo]],"Estoque Conforme",IF(TAB_ESTOQUE[[#This Row],[Estoque]]&lt;TAB_ESTOQUE[[#This Row],[Mínimo]],"Estoque em Nivel Minimo")))</f>
        <v>Estoque Conforme</v>
      </c>
      <c r="AC1399" s="85"/>
      <c r="AD1399" s="82"/>
    </row>
    <row r="1400" spans="1:30" ht="15" customHeight="1" x14ac:dyDescent="0.25">
      <c r="B1400" s="47"/>
      <c r="C1400" s="46"/>
      <c r="D1400" s="45" t="s">
        <v>2695</v>
      </c>
      <c r="E1400" s="46" t="s">
        <v>8</v>
      </c>
      <c r="F1400" s="87"/>
      <c r="G1400" s="82"/>
      <c r="H1400" s="82"/>
      <c r="I1400" s="82" t="s">
        <v>8672</v>
      </c>
      <c r="J1400" s="82"/>
      <c r="K1400" s="82"/>
      <c r="L1400" s="82"/>
      <c r="M1400" s="82"/>
      <c r="N1400" s="82"/>
      <c r="O1400" s="87" t="s">
        <v>8760</v>
      </c>
      <c r="P1400" s="82" t="s">
        <v>1297</v>
      </c>
      <c r="Q1400" s="83">
        <f>VLOOKUP(TAB_ESTOQUE[[#This Row],[Codigo]],TAB_ENTRADA[[Cod_2_Entrada]:[TOTAL_ENTRADA]],5,FALSE)-VLOOKUP(TAB_ESTOQUE[[#This Row],[Codigo]],TAB_SAIDA[[COD_2_SAIDA]:[TOTAL_SAIDA]],5,FALSE)</f>
        <v>1</v>
      </c>
      <c r="R1400" s="87"/>
      <c r="S1400" s="87"/>
      <c r="T1400" s="90"/>
      <c r="U1400" s="91">
        <f>TAB_ESTOQUE[[#This Row],[Valor Unitario Estimado]]*TAB_ESTOQUE[[#This Row],[Estoque]]</f>
        <v>0</v>
      </c>
      <c r="V1400" s="91"/>
      <c r="W1400" s="85"/>
      <c r="X1400" s="85"/>
      <c r="Y1400" s="85"/>
      <c r="Z1400" s="85"/>
      <c r="AA1400" s="85"/>
      <c r="AB1400" s="96" t="str">
        <f>IF(TAB_ESTOQUE[[#This Row],[Estoque]]=0,"Estoque Não Conforme",IF(TAB_ESTOQUE[[#This Row],[Estoque]]&gt;=TAB_ESTOQUE[[#This Row],[Mínimo]],"Estoque Conforme",IF(TAB_ESTOQUE[[#This Row],[Estoque]]&lt;TAB_ESTOQUE[[#This Row],[Mínimo]],"Estoque em Nivel Minimo")))</f>
        <v>Estoque Conforme</v>
      </c>
      <c r="AC1400" s="85"/>
      <c r="AD1400" s="82"/>
    </row>
    <row r="1401" spans="1:30" ht="15" customHeight="1" x14ac:dyDescent="0.25">
      <c r="B1401" s="47"/>
      <c r="C1401" s="46"/>
      <c r="D1401" s="45" t="s">
        <v>2724</v>
      </c>
      <c r="E1401" s="46" t="s">
        <v>135</v>
      </c>
      <c r="F1401" s="87"/>
      <c r="G1401" s="82"/>
      <c r="H1401" s="82"/>
      <c r="I1401" s="82" t="s">
        <v>3674</v>
      </c>
      <c r="J1401" s="82"/>
      <c r="K1401" s="82"/>
      <c r="L1401" s="82"/>
      <c r="M1401" s="82"/>
      <c r="N1401" s="82"/>
      <c r="O1401" s="87" t="s">
        <v>6689</v>
      </c>
      <c r="P1401" s="82" t="s">
        <v>1323</v>
      </c>
      <c r="Q1401" s="83">
        <f>VLOOKUP(TAB_ESTOQUE[[#This Row],[Codigo]],TAB_ENTRADA[[Cod_2_Entrada]:[TOTAL_ENTRADA]],5,FALSE)-VLOOKUP(TAB_ESTOQUE[[#This Row],[Codigo]],TAB_SAIDA[[COD_2_SAIDA]:[TOTAL_SAIDA]],5,FALSE)</f>
        <v>0</v>
      </c>
      <c r="R1401" s="87"/>
      <c r="S1401" s="87"/>
      <c r="T1401" s="90">
        <v>368.07600000000002</v>
      </c>
      <c r="U1401" s="91">
        <f>TAB_ESTOQUE[[#This Row],[Valor Unitario Estimado]]*TAB_ESTOQUE[[#This Row],[Estoque]]</f>
        <v>0</v>
      </c>
      <c r="V1401" s="91"/>
      <c r="W1401" s="85"/>
      <c r="X1401" s="85"/>
      <c r="Y1401" s="85"/>
      <c r="Z1401" s="85"/>
      <c r="AA1401" s="85"/>
      <c r="AB1401" s="96" t="str">
        <f>IF(TAB_ESTOQUE[[#This Row],[Estoque]]=0,"Estoque Não Conforme",IF(TAB_ESTOQUE[[#This Row],[Estoque]]&gt;=TAB_ESTOQUE[[#This Row],[Mínimo]],"Estoque Conforme",IF(TAB_ESTOQUE[[#This Row],[Estoque]]&lt;TAB_ESTOQUE[[#This Row],[Mínimo]],"Estoque em Nivel Minimo")))</f>
        <v>Estoque Não Conforme</v>
      </c>
      <c r="AC1401" s="85"/>
      <c r="AD1401" s="82"/>
    </row>
    <row r="1402" spans="1:30" ht="15" customHeight="1" x14ac:dyDescent="0.25">
      <c r="B1402" s="47"/>
      <c r="C1402" s="46"/>
      <c r="D1402" s="45" t="s">
        <v>2727</v>
      </c>
      <c r="E1402" s="46" t="s">
        <v>135</v>
      </c>
      <c r="F1402" s="87"/>
      <c r="G1402" s="82"/>
      <c r="H1402" s="82"/>
      <c r="I1402" s="82" t="s">
        <v>3665</v>
      </c>
      <c r="J1402" s="82"/>
      <c r="K1402" s="82"/>
      <c r="L1402" s="82"/>
      <c r="M1402" s="82"/>
      <c r="N1402" s="82"/>
      <c r="O1402" s="87" t="s">
        <v>6689</v>
      </c>
      <c r="P1402" s="82" t="s">
        <v>1330</v>
      </c>
      <c r="Q1402" s="83">
        <f>VLOOKUP(TAB_ESTOQUE[[#This Row],[Codigo]],TAB_ENTRADA[[Cod_2_Entrada]:[TOTAL_ENTRADA]],5,FALSE)-VLOOKUP(TAB_ESTOQUE[[#This Row],[Codigo]],TAB_SAIDA[[COD_2_SAIDA]:[TOTAL_SAIDA]],5,FALSE)</f>
        <v>0</v>
      </c>
      <c r="R1402" s="87"/>
      <c r="S1402" s="87"/>
      <c r="T1402" s="90">
        <v>133.21799999999999</v>
      </c>
      <c r="U1402" s="91">
        <f>TAB_ESTOQUE[[#This Row],[Valor Unitario Estimado]]*TAB_ESTOQUE[[#This Row],[Estoque]]</f>
        <v>0</v>
      </c>
      <c r="V1402" s="91"/>
      <c r="W1402" s="85"/>
      <c r="X1402" s="85"/>
      <c r="Y1402" s="85"/>
      <c r="Z1402" s="85"/>
      <c r="AA1402" s="85"/>
      <c r="AB1402" s="96" t="str">
        <f>IF(TAB_ESTOQUE[[#This Row],[Estoque]]=0,"Estoque Não Conforme",IF(TAB_ESTOQUE[[#This Row],[Estoque]]&gt;=TAB_ESTOQUE[[#This Row],[Mínimo]],"Estoque Conforme",IF(TAB_ESTOQUE[[#This Row],[Estoque]]&lt;TAB_ESTOQUE[[#This Row],[Mínimo]],"Estoque em Nivel Minimo")))</f>
        <v>Estoque Não Conforme</v>
      </c>
      <c r="AC1402" s="85"/>
      <c r="AD1402" s="82"/>
    </row>
    <row r="1403" spans="1:30" ht="15" customHeight="1" x14ac:dyDescent="0.25">
      <c r="B1403" s="47"/>
      <c r="C1403" s="46"/>
      <c r="D1403" s="45" t="s">
        <v>2728</v>
      </c>
      <c r="E1403" s="46" t="s">
        <v>135</v>
      </c>
      <c r="F1403" s="87"/>
      <c r="G1403" s="82"/>
      <c r="H1403" s="82"/>
      <c r="I1403" s="82" t="s">
        <v>3662</v>
      </c>
      <c r="J1403" s="82"/>
      <c r="K1403" s="82"/>
      <c r="L1403" s="82"/>
      <c r="M1403" s="82"/>
      <c r="N1403" s="82"/>
      <c r="O1403" s="87" t="s">
        <v>6689</v>
      </c>
      <c r="P1403" s="82" t="s">
        <v>1330</v>
      </c>
      <c r="Q1403" s="83">
        <f>VLOOKUP(TAB_ESTOQUE[[#This Row],[Codigo]],TAB_ENTRADA[[Cod_2_Entrada]:[TOTAL_ENTRADA]],5,FALSE)-VLOOKUP(TAB_ESTOQUE[[#This Row],[Codigo]],TAB_SAIDA[[COD_2_SAIDA]:[TOTAL_SAIDA]],5,FALSE)</f>
        <v>0</v>
      </c>
      <c r="R1403" s="87"/>
      <c r="S1403" s="87"/>
      <c r="T1403" s="90">
        <v>360.99900000000002</v>
      </c>
      <c r="U1403" s="91">
        <f>TAB_ESTOQUE[[#This Row],[Valor Unitario Estimado]]*TAB_ESTOQUE[[#This Row],[Estoque]]</f>
        <v>0</v>
      </c>
      <c r="V1403" s="91"/>
      <c r="W1403" s="85"/>
      <c r="X1403" s="85"/>
      <c r="Y1403" s="85"/>
      <c r="Z1403" s="85"/>
      <c r="AA1403" s="85"/>
      <c r="AB1403" s="96" t="str">
        <f>IF(TAB_ESTOQUE[[#This Row],[Estoque]]=0,"Estoque Não Conforme",IF(TAB_ESTOQUE[[#This Row],[Estoque]]&gt;=TAB_ESTOQUE[[#This Row],[Mínimo]],"Estoque Conforme",IF(TAB_ESTOQUE[[#This Row],[Estoque]]&lt;TAB_ESTOQUE[[#This Row],[Mínimo]],"Estoque em Nivel Minimo")))</f>
        <v>Estoque Não Conforme</v>
      </c>
      <c r="AC1403" s="85"/>
      <c r="AD1403" s="82"/>
    </row>
    <row r="1404" spans="1:30" ht="15" customHeight="1" x14ac:dyDescent="0.25">
      <c r="B1404" s="47"/>
      <c r="C1404" s="46"/>
      <c r="D1404" s="45" t="s">
        <v>2729</v>
      </c>
      <c r="E1404" s="46" t="s">
        <v>135</v>
      </c>
      <c r="F1404" s="87"/>
      <c r="G1404" s="82"/>
      <c r="H1404" s="82"/>
      <c r="I1404" s="82" t="s">
        <v>3659</v>
      </c>
      <c r="J1404" s="82"/>
      <c r="K1404" s="82"/>
      <c r="L1404" s="82"/>
      <c r="M1404" s="82"/>
      <c r="N1404" s="82"/>
      <c r="O1404" s="87" t="s">
        <v>6689</v>
      </c>
      <c r="P1404" s="82" t="s">
        <v>1331</v>
      </c>
      <c r="Q1404" s="83">
        <f>VLOOKUP(TAB_ESTOQUE[[#This Row],[Codigo]],TAB_ENTRADA[[Cod_2_Entrada]:[TOTAL_ENTRADA]],5,FALSE)-VLOOKUP(TAB_ESTOQUE[[#This Row],[Codigo]],TAB_SAIDA[[COD_2_SAIDA]:[TOTAL_SAIDA]],5,FALSE)</f>
        <v>0</v>
      </c>
      <c r="R1404" s="87"/>
      <c r="S1404" s="87"/>
      <c r="T1404" s="90">
        <v>83.596130000000002</v>
      </c>
      <c r="U1404" s="91">
        <f>TAB_ESTOQUE[[#This Row],[Valor Unitario Estimado]]*TAB_ESTOQUE[[#This Row],[Estoque]]</f>
        <v>0</v>
      </c>
      <c r="V1404" s="91"/>
      <c r="W1404" s="85"/>
      <c r="X1404" s="85"/>
      <c r="Y1404" s="85"/>
      <c r="Z1404" s="85"/>
      <c r="AA1404" s="85"/>
      <c r="AB1404" s="96" t="str">
        <f>IF(TAB_ESTOQUE[[#This Row],[Estoque]]=0,"Estoque Não Conforme",IF(TAB_ESTOQUE[[#This Row],[Estoque]]&gt;=TAB_ESTOQUE[[#This Row],[Mínimo]],"Estoque Conforme",IF(TAB_ESTOQUE[[#This Row],[Estoque]]&lt;TAB_ESTOQUE[[#This Row],[Mínimo]],"Estoque em Nivel Minimo")))</f>
        <v>Estoque Não Conforme</v>
      </c>
      <c r="AC1404" s="85"/>
      <c r="AD1404" s="82"/>
    </row>
    <row r="1405" spans="1:30" ht="15" customHeight="1" x14ac:dyDescent="0.25">
      <c r="B1405" s="47"/>
      <c r="C1405" s="46"/>
      <c r="D1405" s="45" t="s">
        <v>2730</v>
      </c>
      <c r="E1405" s="46" t="s">
        <v>135</v>
      </c>
      <c r="F1405" s="87"/>
      <c r="G1405" s="82"/>
      <c r="H1405" s="82"/>
      <c r="I1405" s="82" t="s">
        <v>3656</v>
      </c>
      <c r="J1405" s="82"/>
      <c r="K1405" s="82"/>
      <c r="L1405" s="82"/>
      <c r="M1405" s="82"/>
      <c r="N1405" s="82"/>
      <c r="O1405" s="87" t="s">
        <v>6689</v>
      </c>
      <c r="P1405" s="82" t="s">
        <v>1332</v>
      </c>
      <c r="Q1405" s="83">
        <f>VLOOKUP(TAB_ESTOQUE[[#This Row],[Codigo]],TAB_ENTRADA[[Cod_2_Entrada]:[TOTAL_ENTRADA]],5,FALSE)-VLOOKUP(TAB_ESTOQUE[[#This Row],[Codigo]],TAB_SAIDA[[COD_2_SAIDA]:[TOTAL_SAIDA]],5,FALSE)</f>
        <v>0</v>
      </c>
      <c r="R1405" s="87"/>
      <c r="S1405" s="87"/>
      <c r="T1405" s="90">
        <v>8.0461080000000003</v>
      </c>
      <c r="U1405" s="91">
        <f>TAB_ESTOQUE[[#This Row],[Valor Unitario Estimado]]*TAB_ESTOQUE[[#This Row],[Estoque]]</f>
        <v>0</v>
      </c>
      <c r="V1405" s="91"/>
      <c r="W1405" s="85"/>
      <c r="X1405" s="85"/>
      <c r="Y1405" s="85"/>
      <c r="Z1405" s="85"/>
      <c r="AA1405" s="85"/>
      <c r="AB1405" s="85" t="str">
        <f>IF(TAB_ESTOQUE[[#This Row],[Estoque]]=0,"Estoque Não Conforme",IF(TAB_ESTOQUE[[#This Row],[Estoque]]&gt;=TAB_ESTOQUE[[#This Row],[Mínimo]],"Estoque Conforme",IF(TAB_ESTOQUE[[#This Row],[Estoque]]&lt;TAB_ESTOQUE[[#This Row],[Mínimo]],"Estoque em Nivel Minimo")))</f>
        <v>Estoque Não Conforme</v>
      </c>
      <c r="AC1405" s="85"/>
      <c r="AD1405" s="82"/>
    </row>
    <row r="1406" spans="1:30" ht="15" customHeight="1" x14ac:dyDescent="0.25">
      <c r="B1406" s="47"/>
      <c r="C1406" s="46" t="s">
        <v>2838</v>
      </c>
      <c r="D1406" s="45" t="s">
        <v>2731</v>
      </c>
      <c r="E1406" s="46" t="s">
        <v>135</v>
      </c>
      <c r="F1406" s="87"/>
      <c r="G1406" s="82"/>
      <c r="H1406" s="82"/>
      <c r="I1406" s="82" t="s">
        <v>3653</v>
      </c>
      <c r="J1406" s="82"/>
      <c r="K1406" s="82"/>
      <c r="L1406" s="82"/>
      <c r="M1406" s="82"/>
      <c r="N1406" s="82"/>
      <c r="O1406" s="87" t="s">
        <v>6689</v>
      </c>
      <c r="P1406" s="82" t="s">
        <v>1297</v>
      </c>
      <c r="Q1406" s="83">
        <f>VLOOKUP(TAB_ESTOQUE[[#This Row],[Codigo]],TAB_ENTRADA[[Cod_2_Entrada]:[TOTAL_ENTRADA]],5,FALSE)-VLOOKUP(TAB_ESTOQUE[[#This Row],[Codigo]],TAB_SAIDA[[COD_2_SAIDA]:[TOTAL_SAIDA]],5,FALSE)</f>
        <v>0</v>
      </c>
      <c r="R1406" s="87"/>
      <c r="S1406" s="87"/>
      <c r="T1406" s="90">
        <v>56.591799999999999</v>
      </c>
      <c r="U1406" s="91">
        <f>TAB_ESTOQUE[[#This Row],[Valor Unitario Estimado]]*TAB_ESTOQUE[[#This Row],[Estoque]]</f>
        <v>0</v>
      </c>
      <c r="V1406" s="91"/>
      <c r="W1406" s="85"/>
      <c r="X1406" s="85"/>
      <c r="Y1406" s="85"/>
      <c r="Z1406" s="85"/>
      <c r="AA1406" s="85"/>
      <c r="AB1406" s="96" t="str">
        <f>IF(TAB_ESTOQUE[[#This Row],[Estoque]]=0,"Estoque Não Conforme",IF(TAB_ESTOQUE[[#This Row],[Estoque]]&gt;=TAB_ESTOQUE[[#This Row],[Mínimo]],"Estoque Conforme",IF(TAB_ESTOQUE[[#This Row],[Estoque]]&lt;TAB_ESTOQUE[[#This Row],[Mínimo]],"Estoque em Nivel Minimo")))</f>
        <v>Estoque Não Conforme</v>
      </c>
      <c r="AC1406" s="85"/>
      <c r="AD1406" s="82"/>
    </row>
    <row r="1407" spans="1:30" ht="15" customHeight="1" x14ac:dyDescent="0.25">
      <c r="B1407" s="47"/>
      <c r="C1407" s="46" t="s">
        <v>2838</v>
      </c>
      <c r="D1407" s="45" t="s">
        <v>2734</v>
      </c>
      <c r="E1407" s="46" t="s">
        <v>135</v>
      </c>
      <c r="F1407" s="87"/>
      <c r="G1407" s="82"/>
      <c r="H1407" s="82"/>
      <c r="I1407" s="82" t="s">
        <v>3644</v>
      </c>
      <c r="J1407" s="82"/>
      <c r="K1407" s="82"/>
      <c r="L1407" s="82"/>
      <c r="M1407" s="82"/>
      <c r="N1407" s="82"/>
      <c r="O1407" s="87" t="s">
        <v>6689</v>
      </c>
      <c r="P1407" s="82" t="s">
        <v>1336</v>
      </c>
      <c r="Q1407" s="83">
        <f>VLOOKUP(TAB_ESTOQUE[[#This Row],[Codigo]],TAB_ENTRADA[[Cod_2_Entrada]:[TOTAL_ENTRADA]],5,FALSE)-VLOOKUP(TAB_ESTOQUE[[#This Row],[Codigo]],TAB_SAIDA[[COD_2_SAIDA]:[TOTAL_SAIDA]],5,FALSE)</f>
        <v>0</v>
      </c>
      <c r="R1407" s="87"/>
      <c r="S1407" s="87"/>
      <c r="T1407" s="90">
        <v>1446.1468199999999</v>
      </c>
      <c r="U1407" s="91">
        <f>TAB_ESTOQUE[[#This Row],[Valor Unitario Estimado]]*TAB_ESTOQUE[[#This Row],[Estoque]]</f>
        <v>0</v>
      </c>
      <c r="V1407" s="91"/>
      <c r="W1407" s="85"/>
      <c r="X1407" s="85"/>
      <c r="Y1407" s="85"/>
      <c r="Z1407" s="85"/>
      <c r="AA1407" s="85"/>
      <c r="AB1407" s="96" t="str">
        <f>IF(TAB_ESTOQUE[[#This Row],[Estoque]]=0,"Estoque Não Conforme",IF(TAB_ESTOQUE[[#This Row],[Estoque]]&gt;=TAB_ESTOQUE[[#This Row],[Mínimo]],"Estoque Conforme",IF(TAB_ESTOQUE[[#This Row],[Estoque]]&lt;TAB_ESTOQUE[[#This Row],[Mínimo]],"Estoque em Nivel Minimo")))</f>
        <v>Estoque Não Conforme</v>
      </c>
      <c r="AC1407" s="85"/>
      <c r="AD1407" s="82"/>
    </row>
    <row r="1408" spans="1:30" ht="15" customHeight="1" x14ac:dyDescent="0.25">
      <c r="A1408" s="106"/>
      <c r="B1408" s="106"/>
      <c r="C1408" s="116" t="s">
        <v>2838</v>
      </c>
      <c r="D1408" s="106" t="s">
        <v>2735</v>
      </c>
      <c r="E1408" s="116" t="s">
        <v>135</v>
      </c>
      <c r="F1408" s="118"/>
      <c r="G1408" s="95"/>
      <c r="H1408" s="95"/>
      <c r="I1408" s="95" t="s">
        <v>3641</v>
      </c>
      <c r="J1408" s="95"/>
      <c r="K1408" s="95"/>
      <c r="L1408" s="95"/>
      <c r="M1408" s="95"/>
      <c r="N1408" s="95"/>
      <c r="O1408" s="118" t="s">
        <v>6689</v>
      </c>
      <c r="P1408" s="95" t="s">
        <v>1337</v>
      </c>
      <c r="Q1408" s="154">
        <f>VLOOKUP(TAB_ESTOQUE[[#This Row],[Codigo]],TAB_ENTRADA[[Cod_2_Entrada]:[TOTAL_ENTRADA]],5,FALSE)-VLOOKUP(TAB_ESTOQUE[[#This Row],[Codigo]],TAB_SAIDA[[COD_2_SAIDA]:[TOTAL_SAIDA]],5,FALSE)</f>
        <v>2</v>
      </c>
      <c r="R1408" s="118"/>
      <c r="S1408" s="118"/>
      <c r="T1408" s="119">
        <v>3498.3017089999998</v>
      </c>
      <c r="U1408" s="112">
        <f>TAB_ESTOQUE[[#This Row],[Valor Unitario Estimado]]*TAB_ESTOQUE[[#This Row],[Estoque]]</f>
        <v>6996.6034179999997</v>
      </c>
      <c r="V1408" s="112"/>
      <c r="W1408" s="120"/>
      <c r="X1408" s="120"/>
      <c r="Y1408" s="120"/>
      <c r="Z1408" s="120"/>
      <c r="AA1408" s="120"/>
      <c r="AB1408" s="160" t="str">
        <f>IF(TAB_ESTOQUE[[#This Row],[Estoque]]=0,"Estoque Não Conforme",IF(TAB_ESTOQUE[[#This Row],[Estoque]]&gt;=TAB_ESTOQUE[[#This Row],[Mínimo]],"Estoque Conforme",IF(TAB_ESTOQUE[[#This Row],[Estoque]]&lt;TAB_ESTOQUE[[#This Row],[Mínimo]],"Estoque em Nivel Minimo")))</f>
        <v>Estoque Conforme</v>
      </c>
      <c r="AC1408" s="120"/>
      <c r="AD1408" s="95"/>
    </row>
    <row r="1409" spans="1:30" ht="15.75" customHeight="1" x14ac:dyDescent="0.25">
      <c r="B1409" s="47"/>
      <c r="C1409" s="46"/>
      <c r="D1409" s="45" t="s">
        <v>2736</v>
      </c>
      <c r="E1409" s="46" t="s">
        <v>135</v>
      </c>
      <c r="F1409" s="87"/>
      <c r="G1409" s="82"/>
      <c r="H1409" s="82"/>
      <c r="I1409" s="82" t="s">
        <v>6693</v>
      </c>
      <c r="J1409" s="82"/>
      <c r="K1409" s="82"/>
      <c r="L1409" s="82"/>
      <c r="M1409" s="82"/>
      <c r="N1409" s="82"/>
      <c r="O1409" s="87" t="s">
        <v>6689</v>
      </c>
      <c r="P1409" s="82" t="s">
        <v>6035</v>
      </c>
      <c r="Q1409" s="83">
        <f>VLOOKUP(TAB_ESTOQUE[[#This Row],[Codigo]],TAB_ENTRADA[[Cod_2_Entrada]:[TOTAL_ENTRADA]],5,FALSE)-VLOOKUP(TAB_ESTOQUE[[#This Row],[Codigo]],TAB_SAIDA[[COD_2_SAIDA]:[TOTAL_SAIDA]],5,FALSE)</f>
        <v>1</v>
      </c>
      <c r="R1409" s="87"/>
      <c r="S1409" s="87"/>
      <c r="T1409" s="90">
        <v>3649.2581260000002</v>
      </c>
      <c r="U1409" s="91">
        <f>TAB_ESTOQUE[[#This Row],[Valor Unitario Estimado]]*TAB_ESTOQUE[[#This Row],[Estoque]]</f>
        <v>3649.2581260000002</v>
      </c>
      <c r="V1409" s="91"/>
      <c r="W1409" s="85"/>
      <c r="X1409" s="85"/>
      <c r="Y1409" s="85"/>
      <c r="Z1409" s="85"/>
      <c r="AA1409" s="85"/>
      <c r="AB1409" s="96" t="str">
        <f>IF(TAB_ESTOQUE[[#This Row],[Estoque]]=0,"Estoque Não Conforme",IF(TAB_ESTOQUE[[#This Row],[Estoque]]&gt;=TAB_ESTOQUE[[#This Row],[Mínimo]],"Estoque Conforme",IF(TAB_ESTOQUE[[#This Row],[Estoque]]&lt;TAB_ESTOQUE[[#This Row],[Mínimo]],"Estoque em Nivel Minimo")))</f>
        <v>Estoque Conforme</v>
      </c>
      <c r="AC1409" s="85"/>
      <c r="AD1409" s="82"/>
    </row>
    <row r="1410" spans="1:30" ht="15" customHeight="1" x14ac:dyDescent="0.25">
      <c r="A1410" s="45">
        <v>1375</v>
      </c>
      <c r="B1410" s="47"/>
      <c r="C1410" s="46" t="s">
        <v>2838</v>
      </c>
      <c r="D1410" s="45" t="s">
        <v>2360</v>
      </c>
      <c r="E1410" s="46" t="s">
        <v>7</v>
      </c>
      <c r="F1410" s="87"/>
      <c r="G1410" s="82"/>
      <c r="H1410" s="82"/>
      <c r="I1410" s="82" t="s">
        <v>6198</v>
      </c>
      <c r="J1410" s="82"/>
      <c r="K1410" s="82"/>
      <c r="L1410" s="82"/>
      <c r="M1410" s="82"/>
      <c r="N1410" s="82"/>
      <c r="O1410" s="87" t="s">
        <v>6706</v>
      </c>
      <c r="P1410" s="82" t="s">
        <v>1591</v>
      </c>
      <c r="Q1410" s="83">
        <f>VLOOKUP(TAB_ESTOQUE[[#This Row],[Codigo]],TAB_ENTRADA[[Cod_2_Entrada]:[TOTAL_ENTRADA]],5,FALSE)-VLOOKUP(TAB_ESTOQUE[[#This Row],[Codigo]],TAB_SAIDA[[COD_2_SAIDA]:[TOTAL_SAIDA]],5,FALSE)</f>
        <v>25</v>
      </c>
      <c r="R1410" s="87"/>
      <c r="S1410" s="87"/>
      <c r="T1410" s="90">
        <v>26.5</v>
      </c>
      <c r="U1410" s="91">
        <f>TAB_ESTOQUE[[#This Row],[Valor Unitario Estimado]]*TAB_ESTOQUE[[#This Row],[Estoque]]</f>
        <v>662.5</v>
      </c>
      <c r="V1410" s="91"/>
      <c r="W1410" s="85"/>
      <c r="X1410" s="85"/>
      <c r="Y1410" s="85"/>
      <c r="Z1410" s="85"/>
      <c r="AA1410" s="85"/>
      <c r="AB1410" s="85" t="str">
        <f>IF(TAB_ESTOQUE[[#This Row],[Estoque]]=0,"Estoque Não Conforme",IF(TAB_ESTOQUE[[#This Row],[Estoque]]&gt;=TAB_ESTOQUE[[#This Row],[Mínimo]],"Estoque Conforme",IF(TAB_ESTOQUE[[#This Row],[Estoque]]&lt;TAB_ESTOQUE[[#This Row],[Mínimo]],"Estoque em Nivel Minimo")))</f>
        <v>Estoque Conforme</v>
      </c>
      <c r="AC1410" s="85"/>
      <c r="AD1410" s="82"/>
    </row>
    <row r="1411" spans="1:30" ht="15" customHeight="1" x14ac:dyDescent="0.25">
      <c r="A1411" s="45">
        <v>1376</v>
      </c>
      <c r="B1411" s="47"/>
      <c r="C1411" s="46"/>
      <c r="D1411" s="45" t="s">
        <v>2362</v>
      </c>
      <c r="E1411" s="46" t="s">
        <v>7</v>
      </c>
      <c r="F1411" s="87"/>
      <c r="G1411" s="82"/>
      <c r="H1411" s="82"/>
      <c r="I1411" s="82" t="s">
        <v>1544</v>
      </c>
      <c r="J1411" s="82"/>
      <c r="K1411" s="82"/>
      <c r="L1411" s="82"/>
      <c r="M1411" s="82"/>
      <c r="N1411" s="82"/>
      <c r="O1411" s="87" t="s">
        <v>6706</v>
      </c>
      <c r="P1411" s="82" t="s">
        <v>301</v>
      </c>
      <c r="Q1411" s="83">
        <f>VLOOKUP(TAB_ESTOQUE[[#This Row],[Codigo]],TAB_ENTRADA[[Cod_2_Entrada]:[TOTAL_ENTRADA]],5,FALSE)-VLOOKUP(TAB_ESTOQUE[[#This Row],[Codigo]],TAB_SAIDA[[COD_2_SAIDA]:[TOTAL_SAIDA]],5,FALSE)</f>
        <v>0</v>
      </c>
      <c r="R1411" s="87"/>
      <c r="S1411" s="87"/>
      <c r="T1411" s="90"/>
      <c r="U1411" s="91">
        <f>TAB_ESTOQUE[[#This Row],[Valor Unitario Estimado]]*TAB_ESTOQUE[[#This Row],[Estoque]]</f>
        <v>0</v>
      </c>
      <c r="V1411" s="91"/>
      <c r="W1411" s="85"/>
      <c r="X1411" s="85"/>
      <c r="Y1411" s="85"/>
      <c r="Z1411" s="85"/>
      <c r="AA1411" s="85"/>
      <c r="AB1411" s="85" t="str">
        <f>IF(TAB_ESTOQUE[[#This Row],[Estoque]]=0,"Estoque Não Conforme",IF(TAB_ESTOQUE[[#This Row],[Estoque]]&gt;=TAB_ESTOQUE[[#This Row],[Mínimo]],"Estoque Conforme",IF(TAB_ESTOQUE[[#This Row],[Estoque]]&lt;TAB_ESTOQUE[[#This Row],[Mínimo]],"Estoque em Nivel Minimo")))</f>
        <v>Estoque Não Conforme</v>
      </c>
      <c r="AC1411" s="85"/>
      <c r="AD1411" s="82"/>
    </row>
    <row r="1412" spans="1:30" ht="15" customHeight="1" x14ac:dyDescent="0.25">
      <c r="A1412" s="45">
        <v>700</v>
      </c>
      <c r="B1412" s="47"/>
      <c r="C1412" s="46"/>
      <c r="D1412" s="45" t="s">
        <v>2377</v>
      </c>
      <c r="E1412" s="46" t="s">
        <v>7</v>
      </c>
      <c r="F1412" s="87"/>
      <c r="G1412" s="82"/>
      <c r="H1412" s="82"/>
      <c r="I1412" s="82" t="s">
        <v>6202</v>
      </c>
      <c r="J1412" s="82"/>
      <c r="K1412" s="82"/>
      <c r="L1412" s="82"/>
      <c r="M1412" s="82"/>
      <c r="N1412" s="82"/>
      <c r="O1412" s="87" t="s">
        <v>6706</v>
      </c>
      <c r="P1412" s="82" t="s">
        <v>486</v>
      </c>
      <c r="Q1412" s="83">
        <f>VLOOKUP(TAB_ESTOQUE[[#This Row],[Codigo]],TAB_ENTRADA[[Cod_2_Entrada]:[TOTAL_ENTRADA]],5,FALSE)-VLOOKUP(TAB_ESTOQUE[[#This Row],[Codigo]],TAB_SAIDA[[COD_2_SAIDA]:[TOTAL_SAIDA]],5,FALSE)</f>
        <v>0</v>
      </c>
      <c r="R1412" s="87"/>
      <c r="S1412" s="87"/>
      <c r="T1412" s="90"/>
      <c r="U1412" s="91">
        <f>TAB_ESTOQUE[[#This Row],[Valor Unitario Estimado]]*TAB_ESTOQUE[[#This Row],[Estoque]]</f>
        <v>0</v>
      </c>
      <c r="V1412" s="91"/>
      <c r="W1412" s="85"/>
      <c r="X1412" s="85"/>
      <c r="Y1412" s="85"/>
      <c r="Z1412" s="85"/>
      <c r="AA1412" s="85"/>
      <c r="AB1412" s="85" t="str">
        <f>IF(TAB_ESTOQUE[[#This Row],[Estoque]]=0,"Estoque Não Conforme",IF(TAB_ESTOQUE[[#This Row],[Estoque]]&gt;=TAB_ESTOQUE[[#This Row],[Mínimo]],"Estoque Conforme",IF(TAB_ESTOQUE[[#This Row],[Estoque]]&lt;TAB_ESTOQUE[[#This Row],[Mínimo]],"Estoque em Nivel Minimo")))</f>
        <v>Estoque Não Conforme</v>
      </c>
      <c r="AC1412" s="85"/>
      <c r="AD1412" s="82"/>
    </row>
    <row r="1413" spans="1:30" ht="15" customHeight="1" x14ac:dyDescent="0.25">
      <c r="B1413" s="47"/>
      <c r="C1413" s="48"/>
      <c r="D1413" s="45" t="s">
        <v>6432</v>
      </c>
      <c r="E1413" s="46"/>
      <c r="F1413" s="87"/>
      <c r="G1413" s="82"/>
      <c r="H1413" s="82"/>
      <c r="I1413" s="82" t="s">
        <v>6922</v>
      </c>
      <c r="J1413" s="82"/>
      <c r="K1413" s="82"/>
      <c r="L1413" s="82"/>
      <c r="M1413" s="82"/>
      <c r="N1413" s="82"/>
      <c r="O1413" s="87" t="s">
        <v>7188</v>
      </c>
      <c r="P1413" s="82"/>
      <c r="Q1413" s="83">
        <f>VLOOKUP(TAB_ESTOQUE[[#This Row],[Codigo]],TAB_ENTRADA[[Cod_2_Entrada]:[TOTAL_ENTRADA]],5,FALSE)-VLOOKUP(TAB_ESTOQUE[[#This Row],[Codigo]],TAB_SAIDA[[COD_2_SAIDA]:[TOTAL_SAIDA]],5,FALSE)</f>
        <v>10</v>
      </c>
      <c r="R1413" s="87"/>
      <c r="S1413" s="87"/>
      <c r="T1413" s="90"/>
      <c r="U1413" s="91">
        <f>TAB_ESTOQUE[[#This Row],[Valor Unitario Estimado]]*TAB_ESTOQUE[[#This Row],[Estoque]]</f>
        <v>0</v>
      </c>
      <c r="V1413" s="91"/>
      <c r="W1413" s="85"/>
      <c r="X1413" s="85"/>
      <c r="Y1413" s="85"/>
      <c r="Z1413" s="85"/>
      <c r="AA1413" s="85"/>
      <c r="AB1413" s="85" t="str">
        <f>IF(TAB_ESTOQUE[[#This Row],[Estoque]]=0,"Estoque Não Conforme",IF(TAB_ESTOQUE[[#This Row],[Estoque]]&gt;=TAB_ESTOQUE[[#This Row],[Mínimo]],"Estoque Conforme",IF(TAB_ESTOQUE[[#This Row],[Estoque]]&lt;TAB_ESTOQUE[[#This Row],[Mínimo]],"Estoque em Nivel Minimo")))</f>
        <v>Estoque Conforme</v>
      </c>
      <c r="AC1413" s="96"/>
      <c r="AD1413" s="82"/>
    </row>
    <row r="1414" spans="1:30" ht="15" customHeight="1" x14ac:dyDescent="0.25">
      <c r="B1414" s="47"/>
      <c r="C1414" s="48"/>
      <c r="D1414" s="45" t="s">
        <v>6483</v>
      </c>
      <c r="E1414" s="46"/>
      <c r="F1414" s="87"/>
      <c r="G1414" s="82"/>
      <c r="H1414" s="82"/>
      <c r="I1414" s="82" t="s">
        <v>6949</v>
      </c>
      <c r="J1414" s="82"/>
      <c r="K1414" s="82"/>
      <c r="L1414" s="82"/>
      <c r="M1414" s="82"/>
      <c r="N1414" s="82"/>
      <c r="O1414" s="87" t="s">
        <v>7188</v>
      </c>
      <c r="P1414" s="82"/>
      <c r="Q1414" s="83">
        <f>VLOOKUP(TAB_ESTOQUE[[#This Row],[Codigo]],TAB_ENTRADA[[Cod_2_Entrada]:[TOTAL_ENTRADA]],5,FALSE)-VLOOKUP(TAB_ESTOQUE[[#This Row],[Codigo]],TAB_SAIDA[[COD_2_SAIDA]:[TOTAL_SAIDA]],5,FALSE)</f>
        <v>2</v>
      </c>
      <c r="R1414" s="87"/>
      <c r="S1414" s="87"/>
      <c r="T1414" s="90">
        <v>21.5</v>
      </c>
      <c r="U1414" s="91">
        <f>TAB_ESTOQUE[[#This Row],[Valor Unitario Estimado]]*TAB_ESTOQUE[[#This Row],[Estoque]]</f>
        <v>43</v>
      </c>
      <c r="V1414" s="91"/>
      <c r="W1414" s="85"/>
      <c r="X1414" s="85"/>
      <c r="Y1414" s="85"/>
      <c r="Z1414" s="85"/>
      <c r="AA1414" s="85"/>
      <c r="AB1414" s="85" t="str">
        <f>IF(TAB_ESTOQUE[[#This Row],[Estoque]]=0,"Estoque Não Conforme",IF(TAB_ESTOQUE[[#This Row],[Estoque]]&gt;=TAB_ESTOQUE[[#This Row],[Mínimo]],"Estoque Conforme",IF(TAB_ESTOQUE[[#This Row],[Estoque]]&lt;TAB_ESTOQUE[[#This Row],[Mínimo]],"Estoque em Nivel Minimo")))</f>
        <v>Estoque Conforme</v>
      </c>
      <c r="AC1414" s="96"/>
      <c r="AD1414" s="82"/>
    </row>
    <row r="1415" spans="1:30" x14ac:dyDescent="0.25">
      <c r="C1415" s="48"/>
      <c r="D1415" s="45" t="s">
        <v>6918</v>
      </c>
      <c r="E1415" s="46"/>
      <c r="F1415" s="46"/>
      <c r="I1415" s="210" t="s">
        <v>7187</v>
      </c>
      <c r="O1415" s="46" t="s">
        <v>7188</v>
      </c>
      <c r="Q1415" s="137">
        <f>VLOOKUP(TAB_ESTOQUE[[#This Row],[Codigo]],TAB_ENTRADA[[Cod_2_Entrada]:[TOTAL_ENTRADA]],5,FALSE)-VLOOKUP(TAB_ESTOQUE[[#This Row],[Codigo]],TAB_SAIDA[[COD_2_SAIDA]:[TOTAL_SAIDA]],5,FALSE)</f>
        <v>0</v>
      </c>
      <c r="S1415" s="46"/>
      <c r="T1415" s="102">
        <v>2</v>
      </c>
      <c r="U1415" s="103">
        <f>TAB_ESTOQUE[[#This Row],[Valor Unitario Estimado]]*TAB_ESTOQUE[[#This Row],[Estoque]]</f>
        <v>0</v>
      </c>
      <c r="V1415" s="103"/>
      <c r="AA1415" s="138"/>
      <c r="AB1415" s="104" t="str">
        <f>IF(TAB_ESTOQUE[[#This Row],[Estoque]]=0,"Estoque Não Conforme",IF(TAB_ESTOQUE[[#This Row],[Estoque]]&gt;=TAB_ESTOQUE[[#This Row],[Mínimo]],"Estoque Conforme",IF(TAB_ESTOQUE[[#This Row],[Estoque]]&lt;TAB_ESTOQUE[[#This Row],[Mínimo]],"Estoque em Nivel Minimo")))</f>
        <v>Estoque Não Conforme</v>
      </c>
      <c r="AC1415" s="104"/>
    </row>
    <row r="1416" spans="1:30" x14ac:dyDescent="0.25">
      <c r="B1416" s="47"/>
      <c r="C1416" s="46"/>
      <c r="D1416" s="45" t="s">
        <v>2680</v>
      </c>
      <c r="E1416" s="46" t="s">
        <v>1623</v>
      </c>
      <c r="F1416" s="87"/>
      <c r="G1416" s="82"/>
      <c r="H1416" s="82"/>
      <c r="I1416" s="82" t="s">
        <v>1405</v>
      </c>
      <c r="J1416" s="82"/>
      <c r="K1416" s="82" t="s">
        <v>1282</v>
      </c>
      <c r="L1416" s="82"/>
      <c r="M1416" s="82"/>
      <c r="N1416" s="82"/>
      <c r="O1416" s="87" t="s">
        <v>8758</v>
      </c>
      <c r="P1416" s="82" t="s">
        <v>1283</v>
      </c>
      <c r="Q1416" s="83">
        <f>VLOOKUP(TAB_ESTOQUE[[#This Row],[Codigo]],TAB_ENTRADA[[Cod_2_Entrada]:[TOTAL_ENTRADA]],5,FALSE)-VLOOKUP(TAB_ESTOQUE[[#This Row],[Codigo]],TAB_SAIDA[[COD_2_SAIDA]:[TOTAL_SAIDA]],5,FALSE)</f>
        <v>0</v>
      </c>
      <c r="R1416" s="87"/>
      <c r="S1416" s="87"/>
      <c r="T1416" s="90">
        <v>15.2005</v>
      </c>
      <c r="U1416" s="91">
        <f>TAB_ESTOQUE[[#This Row],[Valor Unitario Estimado]]*TAB_ESTOQUE[[#This Row],[Estoque]]</f>
        <v>0</v>
      </c>
      <c r="V1416" s="91"/>
      <c r="W1416" s="85"/>
      <c r="X1416" s="85"/>
      <c r="Y1416" s="85"/>
      <c r="Z1416" s="85"/>
      <c r="AA1416" s="85"/>
      <c r="AB1416" s="96" t="str">
        <f>IF(TAB_ESTOQUE[[#This Row],[Estoque]]=0,"Estoque Não Conforme",IF(TAB_ESTOQUE[[#This Row],[Estoque]]&gt;=TAB_ESTOQUE[[#This Row],[Mínimo]],"Estoque Conforme",IF(TAB_ESTOQUE[[#This Row],[Estoque]]&lt;TAB_ESTOQUE[[#This Row],[Mínimo]],"Estoque em Nivel Minimo")))</f>
        <v>Estoque Não Conforme</v>
      </c>
      <c r="AC1416" s="85"/>
      <c r="AD1416" s="82"/>
    </row>
    <row r="1417" spans="1:30" x14ac:dyDescent="0.25">
      <c r="A1417" s="45">
        <v>1147</v>
      </c>
      <c r="B1417" s="47"/>
      <c r="C1417" s="46" t="s">
        <v>2833</v>
      </c>
      <c r="D1417" s="45" t="s">
        <v>2506</v>
      </c>
      <c r="E1417" s="46" t="s">
        <v>7</v>
      </c>
      <c r="F1417" s="87"/>
      <c r="G1417" s="82"/>
      <c r="H1417" s="82"/>
      <c r="I1417" s="82" t="s">
        <v>6901</v>
      </c>
      <c r="J1417" s="82"/>
      <c r="K1417" s="82"/>
      <c r="L1417" s="82"/>
      <c r="M1417" s="82"/>
      <c r="N1417" s="82"/>
      <c r="O1417" s="87" t="s">
        <v>6715</v>
      </c>
      <c r="P1417" s="82" t="s">
        <v>871</v>
      </c>
      <c r="Q1417" s="83">
        <f>VLOOKUP(TAB_ESTOQUE[[#This Row],[Codigo]],TAB_ENTRADA[[Cod_2_Entrada]:[TOTAL_ENTRADA]],5,FALSE)-VLOOKUP(TAB_ESTOQUE[[#This Row],[Codigo]],TAB_SAIDA[[COD_2_SAIDA]:[TOTAL_SAIDA]],5,FALSE)</f>
        <v>10</v>
      </c>
      <c r="R1417" s="87"/>
      <c r="S1417" s="87"/>
      <c r="T1417" s="90">
        <v>19</v>
      </c>
      <c r="U1417" s="91">
        <f>TAB_ESTOQUE[[#This Row],[Valor Unitario Estimado]]*TAB_ESTOQUE[[#This Row],[Estoque]]</f>
        <v>190</v>
      </c>
      <c r="V1417" s="91"/>
      <c r="W1417" s="85"/>
      <c r="X1417" s="85"/>
      <c r="Y1417" s="85"/>
      <c r="Z1417" s="85"/>
      <c r="AA1417" s="85"/>
      <c r="AB1417" s="85" t="str">
        <f>IF(TAB_ESTOQUE[[#This Row],[Estoque]]=0,"Estoque Não Conforme",IF(TAB_ESTOQUE[[#This Row],[Estoque]]&gt;=TAB_ESTOQUE[[#This Row],[Mínimo]],"Estoque Conforme",IF(TAB_ESTOQUE[[#This Row],[Estoque]]&lt;TAB_ESTOQUE[[#This Row],[Mínimo]],"Estoque em Nivel Minimo")))</f>
        <v>Estoque Conforme</v>
      </c>
      <c r="AC1417" s="85"/>
      <c r="AD1417" s="82"/>
    </row>
    <row r="1418" spans="1:30" x14ac:dyDescent="0.25">
      <c r="A1418" s="45">
        <v>732</v>
      </c>
      <c r="B1418" s="47"/>
      <c r="C1418" s="46"/>
      <c r="D1418" s="45" t="s">
        <v>2507</v>
      </c>
      <c r="E1418" s="46" t="s">
        <v>7</v>
      </c>
      <c r="F1418" s="87"/>
      <c r="G1418" s="82"/>
      <c r="H1418" s="82"/>
      <c r="I1418" s="82" t="s">
        <v>565</v>
      </c>
      <c r="J1418" s="82"/>
      <c r="K1418" s="82"/>
      <c r="L1418" s="82"/>
      <c r="M1418" s="82"/>
      <c r="N1418" s="82"/>
      <c r="O1418" s="87" t="s">
        <v>6715</v>
      </c>
      <c r="P1418" s="82" t="s">
        <v>514</v>
      </c>
      <c r="Q1418" s="83">
        <f>VLOOKUP(TAB_ESTOQUE[[#This Row],[Codigo]],TAB_ENTRADA[[Cod_2_Entrada]:[TOTAL_ENTRADA]],5,FALSE)-VLOOKUP(TAB_ESTOQUE[[#This Row],[Codigo]],TAB_SAIDA[[COD_2_SAIDA]:[TOTAL_SAIDA]],5,FALSE)</f>
        <v>1</v>
      </c>
      <c r="R1418" s="87"/>
      <c r="S1418" s="87"/>
      <c r="T1418" s="90">
        <v>49</v>
      </c>
      <c r="U1418" s="91">
        <f>TAB_ESTOQUE[[#This Row],[Valor Unitario Estimado]]*TAB_ESTOQUE[[#This Row],[Estoque]]</f>
        <v>49</v>
      </c>
      <c r="V1418" s="91"/>
      <c r="W1418" s="85"/>
      <c r="X1418" s="85"/>
      <c r="Y1418" s="85"/>
      <c r="Z1418" s="85"/>
      <c r="AA1418" s="85"/>
      <c r="AB1418" s="85" t="str">
        <f>IF(TAB_ESTOQUE[[#This Row],[Estoque]]=0,"Estoque Não Conforme",IF(TAB_ESTOQUE[[#This Row],[Estoque]]&gt;=TAB_ESTOQUE[[#This Row],[Mínimo]],"Estoque Conforme",IF(TAB_ESTOQUE[[#This Row],[Estoque]]&lt;TAB_ESTOQUE[[#This Row],[Mínimo]],"Estoque em Nivel Minimo")))</f>
        <v>Estoque Conforme</v>
      </c>
      <c r="AC1418" s="85"/>
      <c r="AD1418" s="82"/>
    </row>
    <row r="1419" spans="1:30" x14ac:dyDescent="0.25">
      <c r="B1419" s="47"/>
      <c r="C1419" s="48"/>
      <c r="D1419" s="45" t="s">
        <v>6423</v>
      </c>
      <c r="E1419" s="46"/>
      <c r="F1419" s="87"/>
      <c r="G1419" s="82"/>
      <c r="H1419" s="82"/>
      <c r="I1419" s="82" t="s">
        <v>6903</v>
      </c>
      <c r="J1419" s="82"/>
      <c r="K1419" s="82"/>
      <c r="L1419" s="82"/>
      <c r="M1419" s="82"/>
      <c r="N1419" s="82"/>
      <c r="O1419" s="87" t="s">
        <v>6715</v>
      </c>
      <c r="P1419" s="82"/>
      <c r="Q1419" s="83">
        <f>VLOOKUP(TAB_ESTOQUE[[#This Row],[Codigo]],TAB_ENTRADA[[Cod_2_Entrada]:[TOTAL_ENTRADA]],5,FALSE)-VLOOKUP(TAB_ESTOQUE[[#This Row],[Codigo]],TAB_SAIDA[[COD_2_SAIDA]:[TOTAL_SAIDA]],5,FALSE)</f>
        <v>0</v>
      </c>
      <c r="R1419" s="87"/>
      <c r="S1419" s="87"/>
      <c r="T1419" s="90"/>
      <c r="U1419" s="91">
        <f>TAB_ESTOQUE[[#This Row],[Valor Unitario Estimado]]*TAB_ESTOQUE[[#This Row],[Estoque]]</f>
        <v>0</v>
      </c>
      <c r="V1419" s="91"/>
      <c r="W1419" s="85"/>
      <c r="X1419" s="85"/>
      <c r="Y1419" s="85"/>
      <c r="Z1419" s="85"/>
      <c r="AA1419" s="85"/>
      <c r="AB1419" s="85" t="str">
        <f>IF(TAB_ESTOQUE[[#This Row],[Estoque]]=0,"Estoque Não Conforme",IF(TAB_ESTOQUE[[#This Row],[Estoque]]&gt;=TAB_ESTOQUE[[#This Row],[Mínimo]],"Estoque Conforme",IF(TAB_ESTOQUE[[#This Row],[Estoque]]&lt;TAB_ESTOQUE[[#This Row],[Mínimo]],"Estoque em Nivel Minimo")))</f>
        <v>Estoque Não Conforme</v>
      </c>
      <c r="AC1419" s="96"/>
      <c r="AD1419" s="82"/>
    </row>
    <row r="1420" spans="1:30" x14ac:dyDescent="0.25">
      <c r="A1420" s="47"/>
      <c r="B1420" s="47"/>
      <c r="C1420" s="47"/>
      <c r="D1420" s="47" t="s">
        <v>6940</v>
      </c>
      <c r="E1420" s="51"/>
      <c r="F1420" s="51"/>
      <c r="G1420" s="47"/>
      <c r="H1420" s="47"/>
      <c r="I1420" s="47" t="s">
        <v>7270</v>
      </c>
      <c r="J1420" s="47"/>
      <c r="K1420" s="47"/>
      <c r="L1420" s="47"/>
      <c r="M1420" s="47"/>
      <c r="N1420" s="47"/>
      <c r="O1420" s="51" t="s">
        <v>6715</v>
      </c>
      <c r="P1420" s="47"/>
      <c r="Q1420" s="167">
        <f>VLOOKUP(TAB_ESTOQUE[[#This Row],[Codigo]],TAB_ENTRADA[[Cod_2_Entrada]:[TOTAL_ENTRADA]],5,FALSE)-VLOOKUP(TAB_ESTOQUE[[#This Row],[Codigo]],TAB_SAIDA[[COD_2_SAIDA]:[TOTAL_SAIDA]],5,FALSE)</f>
        <v>2</v>
      </c>
      <c r="R1420" s="51"/>
      <c r="S1420" s="51"/>
      <c r="T1420" s="156">
        <v>32</v>
      </c>
      <c r="U1420" s="157">
        <f>TAB_ESTOQUE[[#This Row],[Valor Unitario Estimado]]*TAB_ESTOQUE[[#This Row],[Estoque]]</f>
        <v>64</v>
      </c>
      <c r="V1420" s="157"/>
      <c r="W1420" s="158"/>
      <c r="X1420" s="158"/>
      <c r="Y1420" s="158"/>
      <c r="Z1420" s="158"/>
      <c r="AA1420" s="168"/>
      <c r="AB1420" s="159" t="str">
        <f>IF(TAB_ESTOQUE[[#This Row],[Estoque]]=0,"Estoque Não Conforme",IF(TAB_ESTOQUE[[#This Row],[Estoque]]&gt;=TAB_ESTOQUE[[#This Row],[Mínimo]],"Estoque Conforme",IF(TAB_ESTOQUE[[#This Row],[Estoque]]&lt;TAB_ESTOQUE[[#This Row],[Mínimo]],"Estoque em Nivel Minimo")))</f>
        <v>Estoque Conforme</v>
      </c>
      <c r="AC1420" s="159"/>
      <c r="AD1420" s="47"/>
    </row>
    <row r="1421" spans="1:30" x14ac:dyDescent="0.25">
      <c r="C1421" s="48"/>
      <c r="D1421" s="45" t="s">
        <v>6978</v>
      </c>
      <c r="E1421" s="46"/>
      <c r="F1421" s="46"/>
      <c r="I1421" s="45" t="s">
        <v>7319</v>
      </c>
      <c r="O1421" s="46" t="s">
        <v>6715</v>
      </c>
      <c r="Q1421" s="137">
        <f>VLOOKUP(TAB_ESTOQUE[[#This Row],[Codigo]],TAB_ENTRADA[[Cod_2_Entrada]:[TOTAL_ENTRADA]],5,FALSE)-VLOOKUP(TAB_ESTOQUE[[#This Row],[Codigo]],TAB_SAIDA[[COD_2_SAIDA]:[TOTAL_SAIDA]],5,FALSE)</f>
        <v>6</v>
      </c>
      <c r="S1421" s="46"/>
      <c r="T1421" s="102">
        <v>18.5</v>
      </c>
      <c r="U1421" s="103">
        <f>TAB_ESTOQUE[[#This Row],[Valor Unitario Estimado]]*TAB_ESTOQUE[[#This Row],[Estoque]]</f>
        <v>111</v>
      </c>
      <c r="V1421" s="103"/>
      <c r="AA1421" s="138"/>
      <c r="AB1421" s="104" t="str">
        <f>IF(TAB_ESTOQUE[[#This Row],[Estoque]]=0,"Estoque Não Conforme",IF(TAB_ESTOQUE[[#This Row],[Estoque]]&gt;=TAB_ESTOQUE[[#This Row],[Mínimo]],"Estoque Conforme",IF(TAB_ESTOQUE[[#This Row],[Estoque]]&lt;TAB_ESTOQUE[[#This Row],[Mínimo]],"Estoque em Nivel Minimo")))</f>
        <v>Estoque Conforme</v>
      </c>
      <c r="AC1421" s="104"/>
    </row>
    <row r="1422" spans="1:30" x14ac:dyDescent="0.25">
      <c r="C1422" s="48"/>
      <c r="D1422" s="45" t="s">
        <v>6980</v>
      </c>
      <c r="E1422" s="46" t="s">
        <v>1240</v>
      </c>
      <c r="F1422" s="46"/>
      <c r="I1422" s="45" t="s">
        <v>7279</v>
      </c>
      <c r="O1422" s="46" t="s">
        <v>8765</v>
      </c>
      <c r="Q1422" s="137">
        <f>VLOOKUP(TAB_ESTOQUE[[#This Row],[Codigo]],TAB_ENTRADA[[Cod_2_Entrada]:[TOTAL_ENTRADA]],5,FALSE)-VLOOKUP(TAB_ESTOQUE[[#This Row],[Codigo]],TAB_SAIDA[[COD_2_SAIDA]:[TOTAL_SAIDA]],5,FALSE)</f>
        <v>12</v>
      </c>
      <c r="S1422" s="46"/>
      <c r="T1422" s="102">
        <v>9</v>
      </c>
      <c r="U1422" s="103">
        <f>TAB_ESTOQUE[[#This Row],[Valor Unitario Estimado]]*TAB_ESTOQUE[[#This Row],[Estoque]]</f>
        <v>108</v>
      </c>
      <c r="V1422" s="103"/>
      <c r="AA1422" s="138"/>
      <c r="AB1422" s="104" t="str">
        <f>IF(TAB_ESTOQUE[[#This Row],[Estoque]]=0,"Estoque Não Conforme",IF(TAB_ESTOQUE[[#This Row],[Estoque]]&gt;=TAB_ESTOQUE[[#This Row],[Mínimo]],"Estoque Conforme",IF(TAB_ESTOQUE[[#This Row],[Estoque]]&lt;TAB_ESTOQUE[[#This Row],[Mínimo]],"Estoque em Nivel Minimo")))</f>
        <v>Estoque Conforme</v>
      </c>
      <c r="AC1422" s="104"/>
    </row>
    <row r="1423" spans="1:30" x14ac:dyDescent="0.25">
      <c r="C1423" s="48"/>
      <c r="D1423" s="45" t="s">
        <v>7735</v>
      </c>
      <c r="E1423" s="46" t="s">
        <v>1324</v>
      </c>
      <c r="F1423" s="46"/>
      <c r="I1423" s="45" t="s">
        <v>8770</v>
      </c>
      <c r="O1423" s="46" t="s">
        <v>8771</v>
      </c>
      <c r="Q1423" s="137">
        <f>VLOOKUP(TAB_ESTOQUE[[#This Row],[Codigo]],TAB_ENTRADA[[Cod_2_Entrada]:[TOTAL_ENTRADA]],5,FALSE)-VLOOKUP(TAB_ESTOQUE[[#This Row],[Codigo]],TAB_SAIDA[[COD_2_SAIDA]:[TOTAL_SAIDA]],5,FALSE)</f>
        <v>8</v>
      </c>
      <c r="S1423" s="46"/>
      <c r="T1423" s="102">
        <v>48</v>
      </c>
      <c r="U1423" s="103">
        <f>TAB_ESTOQUE[[#This Row],[Valor Unitario Estimado]]*TAB_ESTOQUE[[#This Row],[Estoque]]</f>
        <v>384</v>
      </c>
      <c r="V1423" s="103"/>
      <c r="AA1423" s="138"/>
      <c r="AB1423" s="104" t="str">
        <f>IF(TAB_ESTOQUE[[#This Row],[Estoque]]=0,"Estoque Não Conforme",IF(TAB_ESTOQUE[[#This Row],[Estoque]]&gt;=TAB_ESTOQUE[[#This Row],[Mínimo]],"Estoque Conforme",IF(TAB_ESTOQUE[[#This Row],[Estoque]]&lt;TAB_ESTOQUE[[#This Row],[Mínimo]],"Estoque em Nivel Minimo")))</f>
        <v>Estoque Conforme</v>
      </c>
      <c r="AC1423" s="104"/>
    </row>
    <row r="1424" spans="1:30" x14ac:dyDescent="0.25">
      <c r="A1424" s="113">
        <v>1106</v>
      </c>
      <c r="B1424" s="113"/>
      <c r="C1424" s="114"/>
      <c r="D1424" s="47" t="s">
        <v>2596</v>
      </c>
      <c r="E1424" s="51"/>
      <c r="F1424" s="107"/>
      <c r="G1424" s="94"/>
      <c r="H1424" s="94"/>
      <c r="I1424" s="94" t="s">
        <v>8653</v>
      </c>
      <c r="J1424" s="115"/>
      <c r="K1424" s="94"/>
      <c r="L1424" s="94"/>
      <c r="M1424" s="94"/>
      <c r="N1424" s="94"/>
      <c r="O1424" s="107" t="s">
        <v>8757</v>
      </c>
      <c r="P1424" s="94" t="s">
        <v>840</v>
      </c>
      <c r="Q1424" s="145">
        <f>VLOOKUP(TAB_ESTOQUE[[#This Row],[Codigo]],TAB_ENTRADA[[Cod_2_Entrada]:[TOTAL_ENTRADA]],5,FALSE)-VLOOKUP(TAB_ESTOQUE[[#This Row],[Codigo]],TAB_SAIDA[[COD_2_SAIDA]:[TOTAL_SAIDA]],5,FALSE)</f>
        <v>1</v>
      </c>
      <c r="R1424" s="107"/>
      <c r="S1424" s="107"/>
      <c r="T1424" s="108"/>
      <c r="U1424" s="109">
        <f>TAB_ESTOQUE[[#This Row],[Valor Unitario Estimado]]*TAB_ESTOQUE[[#This Row],[Estoque]]</f>
        <v>0</v>
      </c>
      <c r="V1424" s="109"/>
      <c r="W1424" s="110"/>
      <c r="X1424" s="110"/>
      <c r="Y1424" s="110"/>
      <c r="Z1424" s="110"/>
      <c r="AA1424" s="110"/>
      <c r="AB1424" s="110" t="str">
        <f>IF(TAB_ESTOQUE[[#This Row],[Estoque]]=0,"Estoque Não Conforme",IF(TAB_ESTOQUE[[#This Row],[Estoque]]&gt;=TAB_ESTOQUE[[#This Row],[Mínimo]],"Estoque Conforme",IF(TAB_ESTOQUE[[#This Row],[Estoque]]&lt;TAB_ESTOQUE[[#This Row],[Mínimo]],"Estoque em Nivel Minimo")))</f>
        <v>Estoque Conforme</v>
      </c>
      <c r="AC1424" s="110"/>
      <c r="AD1424" s="94"/>
    </row>
    <row r="1425" spans="1:30" x14ac:dyDescent="0.25">
      <c r="A1425" s="106"/>
      <c r="B1425" s="106"/>
      <c r="C1425" s="106"/>
      <c r="D1425" s="106" t="s">
        <v>6653</v>
      </c>
      <c r="E1425" s="116" t="s">
        <v>116</v>
      </c>
      <c r="F1425" s="116"/>
      <c r="G1425" s="106"/>
      <c r="H1425" s="106"/>
      <c r="I1425" s="106" t="s">
        <v>7064</v>
      </c>
      <c r="J1425" s="106"/>
      <c r="K1425" s="106"/>
      <c r="L1425" s="106"/>
      <c r="M1425" s="106"/>
      <c r="N1425" s="106"/>
      <c r="O1425" s="116" t="s">
        <v>7065</v>
      </c>
      <c r="P1425" s="106"/>
      <c r="Q1425" s="154">
        <f>VLOOKUP(TAB_ESTOQUE[[#This Row],[Codigo]],TAB_ENTRADA[[Cod_2_Entrada]:[TOTAL_ENTRADA]],5,FALSE)-VLOOKUP(TAB_ESTOQUE[[#This Row],[Codigo]],TAB_SAIDA[[COD_2_SAIDA]:[TOTAL_SAIDA]],5,FALSE)</f>
        <v>0</v>
      </c>
      <c r="R1425" s="116"/>
      <c r="S1425" s="116"/>
      <c r="T1425" s="163"/>
      <c r="U1425" s="164">
        <f>TAB_ESTOQUE[[#This Row],[Valor Unitario Estimado]]*TAB_ESTOQUE[[#This Row],[Estoque]]</f>
        <v>0</v>
      </c>
      <c r="V1425" s="164"/>
      <c r="W1425" s="165"/>
      <c r="X1425" s="165"/>
      <c r="Y1425" s="165"/>
      <c r="Z1425" s="165"/>
      <c r="AA1425" s="165"/>
      <c r="AB1425" s="166" t="str">
        <f>IF(TAB_ESTOQUE[[#This Row],[Estoque]]=0,"Estoque Não Conforme",IF(TAB_ESTOQUE[[#This Row],[Estoque]]&gt;=TAB_ESTOQUE[[#This Row],[Mínimo]],"Estoque Conforme",IF(TAB_ESTOQUE[[#This Row],[Estoque]]&lt;TAB_ESTOQUE[[#This Row],[Mínimo]],"Estoque em Nivel Minimo")))</f>
        <v>Estoque Não Conforme</v>
      </c>
      <c r="AC1425" s="166"/>
      <c r="AD1425" s="106"/>
    </row>
    <row r="1426" spans="1:30" x14ac:dyDescent="0.25">
      <c r="C1426" s="53" t="s">
        <v>2842</v>
      </c>
      <c r="D1426" s="45" t="s">
        <v>6840</v>
      </c>
      <c r="E1426" s="46" t="s">
        <v>116</v>
      </c>
      <c r="F1426" s="46"/>
      <c r="I1426" s="45" t="s">
        <v>9055</v>
      </c>
      <c r="O1426" s="46" t="s">
        <v>7065</v>
      </c>
      <c r="Q1426" s="137">
        <f>VLOOKUP(TAB_ESTOQUE[[#This Row],[Codigo]],TAB_ENTRADA[[Cod_2_Entrada]:[TOTAL_ENTRADA]],5,FALSE)-VLOOKUP(TAB_ESTOQUE[[#This Row],[Codigo]],TAB_SAIDA[[COD_2_SAIDA]:[TOTAL_SAIDA]],5,FALSE)</f>
        <v>1</v>
      </c>
      <c r="S1426" s="46"/>
      <c r="T1426" s="102">
        <v>3950</v>
      </c>
      <c r="U1426" s="103">
        <f>TAB_ESTOQUE[[#This Row],[Valor Unitario Estimado]]*TAB_ESTOQUE[[#This Row],[Estoque]]</f>
        <v>3950</v>
      </c>
      <c r="V1426" s="103"/>
      <c r="AA1426" s="138"/>
      <c r="AB1426" s="104" t="str">
        <f>IF(TAB_ESTOQUE[[#This Row],[Estoque]]=0,"Estoque Não Conforme",IF(TAB_ESTOQUE[[#This Row],[Estoque]]&gt;=TAB_ESTOQUE[[#This Row],[Mínimo]],"Estoque Conforme",IF(TAB_ESTOQUE[[#This Row],[Estoque]]&lt;TAB_ESTOQUE[[#This Row],[Mínimo]],"Estoque em Nivel Minimo")))</f>
        <v>Estoque Conforme</v>
      </c>
      <c r="AC1426" s="104"/>
    </row>
    <row r="1427" spans="1:30" x14ac:dyDescent="0.25">
      <c r="A1427" s="45">
        <v>1328</v>
      </c>
      <c r="B1427" s="47"/>
      <c r="C1427" s="46" t="s">
        <v>2833</v>
      </c>
      <c r="D1427" s="45" t="s">
        <v>1698</v>
      </c>
      <c r="E1427" s="46" t="s">
        <v>7265</v>
      </c>
      <c r="F1427" s="87"/>
      <c r="G1427" s="82"/>
      <c r="H1427" s="82"/>
      <c r="I1427" s="82" t="s">
        <v>2834</v>
      </c>
      <c r="J1427" s="82"/>
      <c r="K1427" s="82"/>
      <c r="L1427" s="82"/>
      <c r="M1427" s="82"/>
      <c r="N1427" s="82"/>
      <c r="O1427" s="87" t="s">
        <v>7041</v>
      </c>
      <c r="P1427" s="82" t="s">
        <v>1061</v>
      </c>
      <c r="Q1427" s="83">
        <f>VLOOKUP(TAB_ESTOQUE[[#This Row],[Codigo]],TAB_ENTRADA[[Cod_2_Entrada]:[TOTAL_ENTRADA]],5,FALSE)-VLOOKUP(TAB_ESTOQUE[[#This Row],[Codigo]],TAB_SAIDA[[COD_2_SAIDA]:[TOTAL_SAIDA]],5,FALSE)</f>
        <v>1</v>
      </c>
      <c r="R1427" s="87"/>
      <c r="S1427" s="87"/>
      <c r="T1427" s="90">
        <v>400</v>
      </c>
      <c r="U1427" s="91">
        <f>TAB_ESTOQUE[[#This Row],[Valor Unitario Estimado]]*TAB_ESTOQUE[[#This Row],[Estoque]]</f>
        <v>400</v>
      </c>
      <c r="V1427" s="91"/>
      <c r="W1427" s="85"/>
      <c r="X1427" s="85"/>
      <c r="Y1427" s="85"/>
      <c r="Z1427" s="85"/>
      <c r="AA1427" s="85"/>
      <c r="AB1427" s="85" t="str">
        <f>IF(TAB_ESTOQUE[[#This Row],[Estoque]]=0,"Estoque Não Conforme",IF(TAB_ESTOQUE[[#This Row],[Estoque]]&gt;=TAB_ESTOQUE[[#This Row],[Mínimo]],"Estoque Conforme",IF(TAB_ESTOQUE[[#This Row],[Estoque]]&lt;TAB_ESTOQUE[[#This Row],[Mínimo]],"Estoque em Nivel Minimo")))</f>
        <v>Estoque Conforme</v>
      </c>
      <c r="AC1427" s="85"/>
      <c r="AD1427" s="82"/>
    </row>
    <row r="1428" spans="1:30" x14ac:dyDescent="0.25">
      <c r="A1428" s="45">
        <v>359</v>
      </c>
      <c r="B1428" s="47"/>
      <c r="C1428" s="46" t="s">
        <v>2833</v>
      </c>
      <c r="D1428" s="45" t="s">
        <v>1700</v>
      </c>
      <c r="E1428" s="46" t="s">
        <v>7265</v>
      </c>
      <c r="F1428" s="87"/>
      <c r="G1428" s="82"/>
      <c r="H1428" s="82"/>
      <c r="I1428" s="82" t="s">
        <v>2835</v>
      </c>
      <c r="J1428" s="82"/>
      <c r="K1428" s="82"/>
      <c r="L1428" s="82"/>
      <c r="M1428" s="82"/>
      <c r="N1428" s="82"/>
      <c r="O1428" s="87" t="s">
        <v>7041</v>
      </c>
      <c r="P1428" s="82" t="s">
        <v>232</v>
      </c>
      <c r="Q1428" s="83">
        <f>VLOOKUP(TAB_ESTOQUE[[#This Row],[Codigo]],TAB_ENTRADA[[Cod_2_Entrada]:[TOTAL_ENTRADA]],5,FALSE)-VLOOKUP(TAB_ESTOQUE[[#This Row],[Codigo]],TAB_SAIDA[[COD_2_SAIDA]:[TOTAL_SAIDA]],5,FALSE)</f>
        <v>0</v>
      </c>
      <c r="R1428" s="87"/>
      <c r="S1428" s="87"/>
      <c r="T1428" s="90">
        <v>410</v>
      </c>
      <c r="U1428" s="91">
        <f>TAB_ESTOQUE[[#This Row],[Valor Unitario Estimado]]*TAB_ESTOQUE[[#This Row],[Estoque]]</f>
        <v>0</v>
      </c>
      <c r="V1428" s="91"/>
      <c r="W1428" s="85"/>
      <c r="X1428" s="85"/>
      <c r="Y1428" s="85"/>
      <c r="Z1428" s="85"/>
      <c r="AA1428" s="85"/>
      <c r="AB1428" s="85" t="str">
        <f>IF(TAB_ESTOQUE[[#This Row],[Estoque]]=0,"Estoque Não Conforme",IF(TAB_ESTOQUE[[#This Row],[Estoque]]&gt;=TAB_ESTOQUE[[#This Row],[Mínimo]],"Estoque Conforme",IF(TAB_ESTOQUE[[#This Row],[Estoque]]&lt;TAB_ESTOQUE[[#This Row],[Mínimo]],"Estoque em Nivel Minimo")))</f>
        <v>Estoque Não Conforme</v>
      </c>
      <c r="AC1428" s="85"/>
      <c r="AD1428" s="82"/>
    </row>
    <row r="1429" spans="1:30" x14ac:dyDescent="0.25">
      <c r="A1429" s="45">
        <v>1331</v>
      </c>
      <c r="B1429" s="47"/>
      <c r="C1429" s="46" t="s">
        <v>2838</v>
      </c>
      <c r="D1429" s="45" t="s">
        <v>1705</v>
      </c>
      <c r="E1429" s="46" t="s">
        <v>7265</v>
      </c>
      <c r="F1429" s="87"/>
      <c r="G1429" s="82"/>
      <c r="H1429" s="82"/>
      <c r="I1429" s="82" t="s">
        <v>6307</v>
      </c>
      <c r="J1429" s="82"/>
      <c r="K1429" s="82"/>
      <c r="L1429" s="82"/>
      <c r="M1429" s="82"/>
      <c r="N1429" s="82"/>
      <c r="O1429" s="87" t="s">
        <v>7041</v>
      </c>
      <c r="P1429" s="82" t="s">
        <v>1064</v>
      </c>
      <c r="Q1429" s="83">
        <f>VLOOKUP(TAB_ESTOQUE[[#This Row],[Codigo]],TAB_ENTRADA[[Cod_2_Entrada]:[TOTAL_ENTRADA]],5,FALSE)-VLOOKUP(TAB_ESTOQUE[[#This Row],[Codigo]],TAB_SAIDA[[COD_2_SAIDA]:[TOTAL_SAIDA]],5,FALSE)</f>
        <v>2</v>
      </c>
      <c r="R1429" s="87"/>
      <c r="S1429" s="87"/>
      <c r="T1429" s="90">
        <v>370</v>
      </c>
      <c r="U1429" s="91">
        <f>TAB_ESTOQUE[[#This Row],[Valor Unitario Estimado]]*TAB_ESTOQUE[[#This Row],[Estoque]]</f>
        <v>740</v>
      </c>
      <c r="V1429" s="91"/>
      <c r="W1429" s="85"/>
      <c r="X1429" s="85"/>
      <c r="Y1429" s="85"/>
      <c r="Z1429" s="85"/>
      <c r="AA1429" s="85"/>
      <c r="AB1429" s="85" t="str">
        <f>IF(TAB_ESTOQUE[[#This Row],[Estoque]]=0,"Estoque Não Conforme",IF(TAB_ESTOQUE[[#This Row],[Estoque]]&gt;=TAB_ESTOQUE[[#This Row],[Mínimo]],"Estoque Conforme",IF(TAB_ESTOQUE[[#This Row],[Estoque]]&lt;TAB_ESTOQUE[[#This Row],[Mínimo]],"Estoque em Nivel Minimo")))</f>
        <v>Estoque Conforme</v>
      </c>
      <c r="AC1429" s="85"/>
      <c r="AD1429" s="82"/>
    </row>
    <row r="1430" spans="1:30" x14ac:dyDescent="0.25">
      <c r="A1430" s="45">
        <v>1330</v>
      </c>
      <c r="B1430" s="47"/>
      <c r="C1430" s="46" t="s">
        <v>2838</v>
      </c>
      <c r="D1430" s="45" t="s">
        <v>1707</v>
      </c>
      <c r="E1430" s="46" t="s">
        <v>7265</v>
      </c>
      <c r="F1430" s="87"/>
      <c r="G1430" s="82"/>
      <c r="H1430" s="82"/>
      <c r="I1430" s="82" t="s">
        <v>6310</v>
      </c>
      <c r="J1430" s="82"/>
      <c r="K1430" s="82"/>
      <c r="L1430" s="82"/>
      <c r="M1430" s="82"/>
      <c r="N1430" s="82"/>
      <c r="O1430" s="87" t="s">
        <v>7041</v>
      </c>
      <c r="P1430" s="82" t="s">
        <v>1063</v>
      </c>
      <c r="Q1430" s="83">
        <f>VLOOKUP(TAB_ESTOQUE[[#This Row],[Codigo]],TAB_ENTRADA[[Cod_2_Entrada]:[TOTAL_ENTRADA]],5,FALSE)-VLOOKUP(TAB_ESTOQUE[[#This Row],[Codigo]],TAB_SAIDA[[COD_2_SAIDA]:[TOTAL_SAIDA]],5,FALSE)</f>
        <v>2</v>
      </c>
      <c r="R1430" s="87"/>
      <c r="S1430" s="87"/>
      <c r="T1430" s="90">
        <v>355.89</v>
      </c>
      <c r="U1430" s="91">
        <f>TAB_ESTOQUE[[#This Row],[Valor Unitario Estimado]]*TAB_ESTOQUE[[#This Row],[Estoque]]</f>
        <v>711.78</v>
      </c>
      <c r="V1430" s="91"/>
      <c r="W1430" s="85"/>
      <c r="X1430" s="85"/>
      <c r="Y1430" s="85"/>
      <c r="Z1430" s="85"/>
      <c r="AA1430" s="85"/>
      <c r="AB1430" s="85" t="str">
        <f>IF(TAB_ESTOQUE[[#This Row],[Estoque]]=0,"Estoque Não Conforme",IF(TAB_ESTOQUE[[#This Row],[Estoque]]&gt;=TAB_ESTOQUE[[#This Row],[Mínimo]],"Estoque Conforme",IF(TAB_ESTOQUE[[#This Row],[Estoque]]&lt;TAB_ESTOQUE[[#This Row],[Mínimo]],"Estoque em Nivel Minimo")))</f>
        <v>Estoque Conforme</v>
      </c>
      <c r="AC1430" s="85"/>
      <c r="AD1430" s="82"/>
    </row>
    <row r="1431" spans="1:30" x14ac:dyDescent="0.25">
      <c r="A1431" s="45">
        <v>1687</v>
      </c>
      <c r="B1431" s="47"/>
      <c r="C1431" s="46" t="s">
        <v>2833</v>
      </c>
      <c r="D1431" s="45" t="s">
        <v>1708</v>
      </c>
      <c r="E1431" s="46"/>
      <c r="F1431" s="87"/>
      <c r="G1431" s="82"/>
      <c r="H1431" s="82"/>
      <c r="I1431" s="82" t="s">
        <v>8461</v>
      </c>
      <c r="J1431" s="82"/>
      <c r="K1431" s="82"/>
      <c r="L1431" s="82"/>
      <c r="M1431" s="82"/>
      <c r="N1431" s="82"/>
      <c r="O1431" s="87" t="s">
        <v>7041</v>
      </c>
      <c r="P1431" s="82" t="s">
        <v>1118</v>
      </c>
      <c r="Q1431" s="83">
        <f>VLOOKUP(TAB_ESTOQUE[[#This Row],[Codigo]],TAB_ENTRADA[[Cod_2_Entrada]:[TOTAL_ENTRADA]],5,FALSE)-VLOOKUP(TAB_ESTOQUE[[#This Row],[Codigo]],TAB_SAIDA[[COD_2_SAIDA]:[TOTAL_SAIDA]],5,FALSE)</f>
        <v>2</v>
      </c>
      <c r="R1431" s="87"/>
      <c r="S1431" s="87"/>
      <c r="T1431" s="90">
        <v>55</v>
      </c>
      <c r="U1431" s="91">
        <f>TAB_ESTOQUE[[#This Row],[Valor Unitario Estimado]]*TAB_ESTOQUE[[#This Row],[Estoque]]</f>
        <v>110</v>
      </c>
      <c r="V1431" s="91"/>
      <c r="W1431" s="85"/>
      <c r="X1431" s="85"/>
      <c r="Y1431" s="85"/>
      <c r="Z1431" s="85"/>
      <c r="AA1431" s="85"/>
      <c r="AB1431" s="85" t="str">
        <f>IF(TAB_ESTOQUE[[#This Row],[Estoque]]=0,"Estoque Não Conforme",IF(TAB_ESTOQUE[[#This Row],[Estoque]]&gt;=TAB_ESTOQUE[[#This Row],[Mínimo]],"Estoque Conforme",IF(TAB_ESTOQUE[[#This Row],[Estoque]]&lt;TAB_ESTOQUE[[#This Row],[Mínimo]],"Estoque em Nivel Minimo")))</f>
        <v>Estoque Conforme</v>
      </c>
      <c r="AC1431" s="85"/>
      <c r="AD1431" s="82"/>
    </row>
    <row r="1432" spans="1:30" x14ac:dyDescent="0.25">
      <c r="A1432" s="45">
        <v>749</v>
      </c>
      <c r="B1432" s="47"/>
      <c r="C1432" s="46" t="s">
        <v>2842</v>
      </c>
      <c r="D1432" s="45" t="s">
        <v>1709</v>
      </c>
      <c r="E1432" s="46" t="s">
        <v>7265</v>
      </c>
      <c r="F1432" s="87"/>
      <c r="G1432" s="82"/>
      <c r="H1432" s="82"/>
      <c r="I1432" s="82" t="s">
        <v>6313</v>
      </c>
      <c r="J1432" s="82"/>
      <c r="K1432" s="82"/>
      <c r="L1432" s="82"/>
      <c r="M1432" s="82"/>
      <c r="N1432" s="82"/>
      <c r="O1432" s="87" t="s">
        <v>7041</v>
      </c>
      <c r="P1432" s="82" t="s">
        <v>542</v>
      </c>
      <c r="Q1432" s="83">
        <f>VLOOKUP(TAB_ESTOQUE[[#This Row],[Codigo]],TAB_ENTRADA[[Cod_2_Entrada]:[TOTAL_ENTRADA]],5,FALSE)-VLOOKUP(TAB_ESTOQUE[[#This Row],[Codigo]],TAB_SAIDA[[COD_2_SAIDA]:[TOTAL_SAIDA]],5,FALSE)</f>
        <v>0</v>
      </c>
      <c r="R1432" s="87"/>
      <c r="S1432" s="87"/>
      <c r="T1432" s="90">
        <v>360</v>
      </c>
      <c r="U1432" s="91">
        <f>TAB_ESTOQUE[[#This Row],[Valor Unitario Estimado]]*TAB_ESTOQUE[[#This Row],[Estoque]]</f>
        <v>0</v>
      </c>
      <c r="V1432" s="91"/>
      <c r="W1432" s="85"/>
      <c r="X1432" s="85"/>
      <c r="Y1432" s="85"/>
      <c r="Z1432" s="85"/>
      <c r="AA1432" s="85"/>
      <c r="AB1432" s="85" t="str">
        <f>IF(TAB_ESTOQUE[[#This Row],[Estoque]]=0,"Estoque Não Conforme",IF(TAB_ESTOQUE[[#This Row],[Estoque]]&gt;=TAB_ESTOQUE[[#This Row],[Mínimo]],"Estoque Conforme",IF(TAB_ESTOQUE[[#This Row],[Estoque]]&lt;TAB_ESTOQUE[[#This Row],[Mínimo]],"Estoque em Nivel Minimo")))</f>
        <v>Estoque Não Conforme</v>
      </c>
      <c r="AC1432" s="85"/>
      <c r="AD1432" s="82"/>
    </row>
    <row r="1433" spans="1:30" x14ac:dyDescent="0.25">
      <c r="A1433" s="45">
        <v>608</v>
      </c>
      <c r="B1433" s="47"/>
      <c r="C1433" s="46" t="s">
        <v>2838</v>
      </c>
      <c r="D1433" s="45" t="s">
        <v>1711</v>
      </c>
      <c r="E1433" s="46" t="s">
        <v>7265</v>
      </c>
      <c r="F1433" s="87"/>
      <c r="G1433" s="82"/>
      <c r="H1433" s="82"/>
      <c r="I1433" s="82" t="s">
        <v>8805</v>
      </c>
      <c r="J1433" s="82"/>
      <c r="K1433" s="82"/>
      <c r="L1433" s="82"/>
      <c r="M1433" s="82"/>
      <c r="N1433" s="82"/>
      <c r="O1433" s="87" t="s">
        <v>7041</v>
      </c>
      <c r="P1433" s="82" t="s">
        <v>387</v>
      </c>
      <c r="Q1433" s="83">
        <f>VLOOKUP(TAB_ESTOQUE[[#This Row],[Codigo]],TAB_ENTRADA[[Cod_2_Entrada]:[TOTAL_ENTRADA]],5,FALSE)-VLOOKUP(TAB_ESTOQUE[[#This Row],[Codigo]],TAB_SAIDA[[COD_2_SAIDA]:[TOTAL_SAIDA]],5,FALSE)</f>
        <v>0</v>
      </c>
      <c r="R1433" s="87"/>
      <c r="S1433" s="87"/>
      <c r="T1433" s="90">
        <v>500</v>
      </c>
      <c r="U1433" s="91">
        <f>TAB_ESTOQUE[[#This Row],[Valor Unitario Estimado]]*TAB_ESTOQUE[[#This Row],[Estoque]]</f>
        <v>0</v>
      </c>
      <c r="V1433" s="91"/>
      <c r="W1433" s="85"/>
      <c r="X1433" s="85"/>
      <c r="Y1433" s="85"/>
      <c r="Z1433" s="85"/>
      <c r="AA1433" s="85"/>
      <c r="AB1433" s="85" t="str">
        <f>IF(TAB_ESTOQUE[[#This Row],[Estoque]]=0,"Estoque Não Conforme",IF(TAB_ESTOQUE[[#This Row],[Estoque]]&gt;=TAB_ESTOQUE[[#This Row],[Mínimo]],"Estoque Conforme",IF(TAB_ESTOQUE[[#This Row],[Estoque]]&lt;TAB_ESTOQUE[[#This Row],[Mínimo]],"Estoque em Nivel Minimo")))</f>
        <v>Estoque Não Conforme</v>
      </c>
      <c r="AC1433" s="85"/>
      <c r="AD1433" s="82"/>
    </row>
    <row r="1434" spans="1:30" x14ac:dyDescent="0.25">
      <c r="A1434" s="45">
        <v>122</v>
      </c>
      <c r="B1434" s="47"/>
      <c r="C1434" s="46" t="s">
        <v>2842</v>
      </c>
      <c r="D1434" s="45" t="s">
        <v>1728</v>
      </c>
      <c r="E1434" s="46" t="s">
        <v>7265</v>
      </c>
      <c r="F1434" s="87"/>
      <c r="G1434" s="82"/>
      <c r="H1434" s="82"/>
      <c r="I1434" s="82" t="s">
        <v>2837</v>
      </c>
      <c r="J1434" s="82"/>
      <c r="K1434" s="82"/>
      <c r="L1434" s="82"/>
      <c r="M1434" s="82"/>
      <c r="N1434" s="82"/>
      <c r="O1434" s="87" t="s">
        <v>7041</v>
      </c>
      <c r="P1434" s="82" t="s">
        <v>77</v>
      </c>
      <c r="Q1434" s="83">
        <f>VLOOKUP(TAB_ESTOQUE[[#This Row],[Codigo]],TAB_ENTRADA[[Cod_2_Entrada]:[TOTAL_ENTRADA]],5,FALSE)-VLOOKUP(TAB_ESTOQUE[[#This Row],[Codigo]],TAB_SAIDA[[COD_2_SAIDA]:[TOTAL_SAIDA]],5,FALSE)</f>
        <v>1</v>
      </c>
      <c r="R1434" s="87"/>
      <c r="S1434" s="87"/>
      <c r="T1434" s="90">
        <v>550</v>
      </c>
      <c r="U1434" s="91">
        <f>TAB_ESTOQUE[[#This Row],[Valor Unitario Estimado]]*TAB_ESTOQUE[[#This Row],[Estoque]]</f>
        <v>550</v>
      </c>
      <c r="V1434" s="91"/>
      <c r="W1434" s="85"/>
      <c r="X1434" s="85"/>
      <c r="Y1434" s="85"/>
      <c r="Z1434" s="85"/>
      <c r="AA1434" s="85"/>
      <c r="AB1434" s="85" t="str">
        <f>IF(TAB_ESTOQUE[[#This Row],[Estoque]]=0,"Estoque Não Conforme",IF(TAB_ESTOQUE[[#This Row],[Estoque]]&gt;=TAB_ESTOQUE[[#This Row],[Mínimo]],"Estoque Conforme",IF(TAB_ESTOQUE[[#This Row],[Estoque]]&lt;TAB_ESTOQUE[[#This Row],[Mínimo]],"Estoque em Nivel Minimo")))</f>
        <v>Estoque Conforme</v>
      </c>
      <c r="AC1434" s="85"/>
      <c r="AD1434" s="82"/>
    </row>
    <row r="1435" spans="1:30" x14ac:dyDescent="0.25">
      <c r="A1435" s="45">
        <v>16</v>
      </c>
      <c r="B1435" s="47"/>
      <c r="C1435" s="46"/>
      <c r="D1435" s="45" t="s">
        <v>1861</v>
      </c>
      <c r="E1435" s="46" t="s">
        <v>7265</v>
      </c>
      <c r="F1435" s="87"/>
      <c r="G1435" s="82"/>
      <c r="H1435" s="82"/>
      <c r="I1435" s="82" t="s">
        <v>7023</v>
      </c>
      <c r="J1435" s="82"/>
      <c r="K1435" s="82"/>
      <c r="L1435" s="82"/>
      <c r="M1435" s="82"/>
      <c r="N1435" s="82"/>
      <c r="O1435" s="87" t="s">
        <v>7041</v>
      </c>
      <c r="P1435" s="82" t="s">
        <v>26</v>
      </c>
      <c r="Q1435" s="83">
        <f>VLOOKUP(TAB_ESTOQUE[[#This Row],[Codigo]],TAB_ENTRADA[[Cod_2_Entrada]:[TOTAL_ENTRADA]],5,FALSE)-VLOOKUP(TAB_ESTOQUE[[#This Row],[Codigo]],TAB_SAIDA[[COD_2_SAIDA]:[TOTAL_SAIDA]],5,FALSE)</f>
        <v>0</v>
      </c>
      <c r="R1435" s="87"/>
      <c r="S1435" s="87"/>
      <c r="T1435" s="90">
        <v>139.22999999999999</v>
      </c>
      <c r="U1435" s="91">
        <f>TAB_ESTOQUE[[#This Row],[Valor Unitario Estimado]]*TAB_ESTOQUE[[#This Row],[Estoque]]</f>
        <v>0</v>
      </c>
      <c r="V1435" s="91"/>
      <c r="W1435" s="85"/>
      <c r="X1435" s="85"/>
      <c r="Y1435" s="85"/>
      <c r="Z1435" s="85"/>
      <c r="AA1435" s="85"/>
      <c r="AB1435" s="85" t="str">
        <f>IF(TAB_ESTOQUE[[#This Row],[Estoque]]=0,"Estoque Não Conforme",IF(TAB_ESTOQUE[[#This Row],[Estoque]]&gt;=TAB_ESTOQUE[[#This Row],[Mínimo]],"Estoque Conforme",IF(TAB_ESTOQUE[[#This Row],[Estoque]]&lt;TAB_ESTOQUE[[#This Row],[Mínimo]],"Estoque em Nivel Minimo")))</f>
        <v>Estoque Não Conforme</v>
      </c>
      <c r="AC1435" s="85"/>
      <c r="AD1435" s="82"/>
    </row>
    <row r="1436" spans="1:30" x14ac:dyDescent="0.25">
      <c r="A1436" s="45">
        <v>768</v>
      </c>
      <c r="B1436" s="47"/>
      <c r="C1436" s="46" t="s">
        <v>2833</v>
      </c>
      <c r="D1436" s="45" t="s">
        <v>2508</v>
      </c>
      <c r="E1436" s="46" t="s">
        <v>116</v>
      </c>
      <c r="F1436" s="87"/>
      <c r="G1436" s="82"/>
      <c r="H1436" s="82"/>
      <c r="I1436" s="82" t="s">
        <v>2863</v>
      </c>
      <c r="J1436" s="82"/>
      <c r="K1436" s="82"/>
      <c r="L1436" s="82"/>
      <c r="M1436" s="82"/>
      <c r="N1436" s="82"/>
      <c r="O1436" s="87" t="s">
        <v>7041</v>
      </c>
      <c r="P1436" s="82" t="s">
        <v>558</v>
      </c>
      <c r="Q1436" s="83">
        <f>VLOOKUP(TAB_ESTOQUE[[#This Row],[Codigo]],TAB_ENTRADA[[Cod_2_Entrada]:[TOTAL_ENTRADA]],5,FALSE)-VLOOKUP(TAB_ESTOQUE[[#This Row],[Codigo]],TAB_SAIDA[[COD_2_SAIDA]:[TOTAL_SAIDA]],5,FALSE)</f>
        <v>1</v>
      </c>
      <c r="R1436" s="87"/>
      <c r="S1436" s="87"/>
      <c r="T1436" s="90"/>
      <c r="U1436" s="91">
        <f>TAB_ESTOQUE[[#This Row],[Valor Unitario Estimado]]*TAB_ESTOQUE[[#This Row],[Estoque]]</f>
        <v>0</v>
      </c>
      <c r="V1436" s="91"/>
      <c r="W1436" s="85"/>
      <c r="X1436" s="85"/>
      <c r="Y1436" s="85"/>
      <c r="Z1436" s="85"/>
      <c r="AA1436" s="85"/>
      <c r="AB1436" s="85" t="str">
        <f>IF(TAB_ESTOQUE[[#This Row],[Estoque]]=0,"Estoque Não Conforme",IF(TAB_ESTOQUE[[#This Row],[Estoque]]&gt;=TAB_ESTOQUE[[#This Row],[Mínimo]],"Estoque Conforme",IF(TAB_ESTOQUE[[#This Row],[Estoque]]&lt;TAB_ESTOQUE[[#This Row],[Mínimo]],"Estoque em Nivel Minimo")))</f>
        <v>Estoque Conforme</v>
      </c>
      <c r="AC1436" s="85"/>
      <c r="AD1436" s="82"/>
    </row>
    <row r="1437" spans="1:30" x14ac:dyDescent="0.25">
      <c r="A1437" s="45">
        <v>353</v>
      </c>
      <c r="B1437" s="47"/>
      <c r="C1437" s="46" t="s">
        <v>2833</v>
      </c>
      <c r="D1437" s="45" t="s">
        <v>2511</v>
      </c>
      <c r="E1437" s="46" t="s">
        <v>116</v>
      </c>
      <c r="F1437" s="87"/>
      <c r="G1437" s="82"/>
      <c r="H1437" s="82"/>
      <c r="I1437" s="82" t="s">
        <v>2866</v>
      </c>
      <c r="J1437" s="82"/>
      <c r="K1437" s="82"/>
      <c r="L1437" s="82"/>
      <c r="M1437" s="82"/>
      <c r="N1437" s="82"/>
      <c r="O1437" s="87" t="s">
        <v>7041</v>
      </c>
      <c r="P1437" s="82" t="s">
        <v>231</v>
      </c>
      <c r="Q1437" s="83">
        <f>VLOOKUP(TAB_ESTOQUE[[#This Row],[Codigo]],TAB_ENTRADA[[Cod_2_Entrada]:[TOTAL_ENTRADA]],5,FALSE)-VLOOKUP(TAB_ESTOQUE[[#This Row],[Codigo]],TAB_SAIDA[[COD_2_SAIDA]:[TOTAL_SAIDA]],5,FALSE)</f>
        <v>1</v>
      </c>
      <c r="R1437" s="87"/>
      <c r="S1437" s="87"/>
      <c r="T1437" s="90"/>
      <c r="U1437" s="91">
        <f>TAB_ESTOQUE[[#This Row],[Valor Unitario Estimado]]*TAB_ESTOQUE[[#This Row],[Estoque]]</f>
        <v>0</v>
      </c>
      <c r="V1437" s="91"/>
      <c r="W1437" s="85"/>
      <c r="X1437" s="85"/>
      <c r="Y1437" s="85"/>
      <c r="Z1437" s="85"/>
      <c r="AA1437" s="85"/>
      <c r="AB1437" s="85" t="str">
        <f>IF(TAB_ESTOQUE[[#This Row],[Estoque]]=0,"Estoque Não Conforme",IF(TAB_ESTOQUE[[#This Row],[Estoque]]&gt;=TAB_ESTOQUE[[#This Row],[Mínimo]],"Estoque Conforme",IF(TAB_ESTOQUE[[#This Row],[Estoque]]&lt;TAB_ESTOQUE[[#This Row],[Mínimo]],"Estoque em Nivel Minimo")))</f>
        <v>Estoque Conforme</v>
      </c>
      <c r="AC1437" s="85"/>
      <c r="AD1437" s="82"/>
    </row>
    <row r="1438" spans="1:30" x14ac:dyDescent="0.25">
      <c r="A1438" s="45">
        <v>609</v>
      </c>
      <c r="B1438" s="47"/>
      <c r="C1438" s="46" t="s">
        <v>2842</v>
      </c>
      <c r="D1438" s="45" t="s">
        <v>1713</v>
      </c>
      <c r="E1438" s="46" t="s">
        <v>7265</v>
      </c>
      <c r="F1438" s="87"/>
      <c r="G1438" s="82"/>
      <c r="H1438" s="82"/>
      <c r="I1438" s="82" t="s">
        <v>6318</v>
      </c>
      <c r="J1438" s="82"/>
      <c r="K1438" s="82"/>
      <c r="L1438" s="82"/>
      <c r="M1438" s="82"/>
      <c r="N1438" s="82"/>
      <c r="O1438" s="87" t="s">
        <v>7042</v>
      </c>
      <c r="P1438" s="82" t="s">
        <v>388</v>
      </c>
      <c r="Q1438" s="83">
        <f>VLOOKUP(TAB_ESTOQUE[[#This Row],[Codigo]],TAB_ENTRADA[[Cod_2_Entrada]:[TOTAL_ENTRADA]],5,FALSE)-VLOOKUP(TAB_ESTOQUE[[#This Row],[Codigo]],TAB_SAIDA[[COD_2_SAIDA]:[TOTAL_SAIDA]],5,FALSE)</f>
        <v>0</v>
      </c>
      <c r="R1438" s="87"/>
      <c r="S1438" s="87"/>
      <c r="T1438" s="90">
        <v>89</v>
      </c>
      <c r="U1438" s="91">
        <f>TAB_ESTOQUE[[#This Row],[Valor Unitario Estimado]]*TAB_ESTOQUE[[#This Row],[Estoque]]</f>
        <v>0</v>
      </c>
      <c r="V1438" s="91"/>
      <c r="W1438" s="85"/>
      <c r="X1438" s="85"/>
      <c r="Y1438" s="85"/>
      <c r="Z1438" s="85"/>
      <c r="AA1438" s="85"/>
      <c r="AB1438" s="85" t="str">
        <f>IF(TAB_ESTOQUE[[#This Row],[Estoque]]=0,"Estoque Não Conforme",IF(TAB_ESTOQUE[[#This Row],[Estoque]]&gt;=TAB_ESTOQUE[[#This Row],[Mínimo]],"Estoque Conforme",IF(TAB_ESTOQUE[[#This Row],[Estoque]]&lt;TAB_ESTOQUE[[#This Row],[Mínimo]],"Estoque em Nivel Minimo")))</f>
        <v>Estoque Não Conforme</v>
      </c>
      <c r="AC1438" s="85"/>
      <c r="AD1438" s="82"/>
    </row>
    <row r="1439" spans="1:30" x14ac:dyDescent="0.25">
      <c r="A1439" s="45">
        <v>926</v>
      </c>
      <c r="B1439" s="47"/>
      <c r="C1439" s="46"/>
      <c r="D1439" s="45" t="s">
        <v>1821</v>
      </c>
      <c r="E1439" s="46" t="s">
        <v>7265</v>
      </c>
      <c r="F1439" s="87"/>
      <c r="G1439" s="82"/>
      <c r="H1439" s="82"/>
      <c r="I1439" s="82" t="s">
        <v>2821</v>
      </c>
      <c r="J1439" s="82"/>
      <c r="K1439" s="82"/>
      <c r="L1439" s="82"/>
      <c r="M1439" s="82"/>
      <c r="N1439" s="82"/>
      <c r="O1439" s="87" t="s">
        <v>7042</v>
      </c>
      <c r="P1439" s="82" t="s">
        <v>708</v>
      </c>
      <c r="Q1439" s="83">
        <f>VLOOKUP(TAB_ESTOQUE[[#This Row],[Codigo]],TAB_ENTRADA[[Cod_2_Entrada]:[TOTAL_ENTRADA]],5,FALSE)-VLOOKUP(TAB_ESTOQUE[[#This Row],[Codigo]],TAB_SAIDA[[COD_2_SAIDA]:[TOTAL_SAIDA]],5,FALSE)</f>
        <v>0</v>
      </c>
      <c r="R1439" s="87"/>
      <c r="S1439" s="87"/>
      <c r="T1439" s="90">
        <v>319.8</v>
      </c>
      <c r="U1439" s="91">
        <f>TAB_ESTOQUE[[#This Row],[Valor Unitario Estimado]]*TAB_ESTOQUE[[#This Row],[Estoque]]</f>
        <v>0</v>
      </c>
      <c r="V1439" s="91"/>
      <c r="W1439" s="85"/>
      <c r="X1439" s="85"/>
      <c r="Y1439" s="85"/>
      <c r="Z1439" s="85"/>
      <c r="AA1439" s="85"/>
      <c r="AB1439" s="85" t="str">
        <f>IF(TAB_ESTOQUE[[#This Row],[Estoque]]=0,"Estoque Não Conforme",IF(TAB_ESTOQUE[[#This Row],[Estoque]]&gt;=TAB_ESTOQUE[[#This Row],[Mínimo]],"Estoque Conforme",IF(TAB_ESTOQUE[[#This Row],[Estoque]]&lt;TAB_ESTOQUE[[#This Row],[Mínimo]],"Estoque em Nivel Minimo")))</f>
        <v>Estoque Não Conforme</v>
      </c>
      <c r="AC1439" s="85"/>
      <c r="AD1439" s="82"/>
    </row>
    <row r="1440" spans="1:30" x14ac:dyDescent="0.25">
      <c r="A1440" s="45">
        <v>617</v>
      </c>
      <c r="B1440" s="47"/>
      <c r="C1440" s="46"/>
      <c r="D1440" s="45" t="s">
        <v>1824</v>
      </c>
      <c r="E1440" s="46" t="s">
        <v>7265</v>
      </c>
      <c r="F1440" s="87"/>
      <c r="G1440" s="82"/>
      <c r="H1440" s="82"/>
      <c r="I1440" s="82" t="s">
        <v>6349</v>
      </c>
      <c r="J1440" s="82"/>
      <c r="K1440" s="82"/>
      <c r="L1440" s="82"/>
      <c r="M1440" s="82"/>
      <c r="N1440" s="82"/>
      <c r="O1440" s="87" t="s">
        <v>7042</v>
      </c>
      <c r="P1440" s="82" t="s">
        <v>399</v>
      </c>
      <c r="Q1440" s="83">
        <f>VLOOKUP(TAB_ESTOQUE[[#This Row],[Codigo]],TAB_ENTRADA[[Cod_2_Entrada]:[TOTAL_ENTRADA]],5,FALSE)-VLOOKUP(TAB_ESTOQUE[[#This Row],[Codigo]],TAB_SAIDA[[COD_2_SAIDA]:[TOTAL_SAIDA]],5,FALSE)</f>
        <v>0</v>
      </c>
      <c r="R1440" s="87"/>
      <c r="S1440" s="87"/>
      <c r="T1440" s="90"/>
      <c r="U1440" s="91">
        <f>TAB_ESTOQUE[[#This Row],[Valor Unitario Estimado]]*TAB_ESTOQUE[[#This Row],[Estoque]]</f>
        <v>0</v>
      </c>
      <c r="V1440" s="91"/>
      <c r="W1440" s="85"/>
      <c r="X1440" s="85"/>
      <c r="Y1440" s="85"/>
      <c r="Z1440" s="85"/>
      <c r="AA1440" s="85"/>
      <c r="AB1440" s="85" t="str">
        <f>IF(TAB_ESTOQUE[[#This Row],[Estoque]]=0,"Estoque Não Conforme",IF(TAB_ESTOQUE[[#This Row],[Estoque]]&gt;=TAB_ESTOQUE[[#This Row],[Mínimo]],"Estoque Conforme",IF(TAB_ESTOQUE[[#This Row],[Estoque]]&lt;TAB_ESTOQUE[[#This Row],[Mínimo]],"Estoque em Nivel Minimo")))</f>
        <v>Estoque Não Conforme</v>
      </c>
      <c r="AC1440" s="85"/>
      <c r="AD1440" s="82"/>
    </row>
    <row r="1441" spans="1:30" x14ac:dyDescent="0.25">
      <c r="A1441" s="45">
        <v>145</v>
      </c>
      <c r="B1441" s="47"/>
      <c r="C1441" s="46" t="s">
        <v>2833</v>
      </c>
      <c r="D1441" s="45" t="s">
        <v>1906</v>
      </c>
      <c r="E1441" s="46" t="s">
        <v>7265</v>
      </c>
      <c r="F1441" s="87"/>
      <c r="G1441" s="82"/>
      <c r="H1441" s="82"/>
      <c r="I1441" s="82" t="s">
        <v>8472</v>
      </c>
      <c r="J1441" s="82"/>
      <c r="K1441" s="82" t="s">
        <v>15</v>
      </c>
      <c r="L1441" s="82"/>
      <c r="M1441" s="82"/>
      <c r="N1441" s="82"/>
      <c r="O1441" s="87" t="s">
        <v>7042</v>
      </c>
      <c r="P1441" s="82" t="s">
        <v>92</v>
      </c>
      <c r="Q1441" s="83">
        <f>VLOOKUP(TAB_ESTOQUE[[#This Row],[Codigo]],TAB_ENTRADA[[Cod_2_Entrada]:[TOTAL_ENTRADA]],5,FALSE)-VLOOKUP(TAB_ESTOQUE[[#This Row],[Codigo]],TAB_SAIDA[[COD_2_SAIDA]:[TOTAL_SAIDA]],5,FALSE)</f>
        <v>2</v>
      </c>
      <c r="R1441" s="87"/>
      <c r="S1441" s="87"/>
      <c r="T1441" s="90">
        <v>120</v>
      </c>
      <c r="U1441" s="91">
        <f>TAB_ESTOQUE[[#This Row],[Valor Unitario Estimado]]*TAB_ESTOQUE[[#This Row],[Estoque]]</f>
        <v>240</v>
      </c>
      <c r="V1441" s="91"/>
      <c r="W1441" s="85"/>
      <c r="X1441" s="85"/>
      <c r="Y1441" s="85"/>
      <c r="Z1441" s="85"/>
      <c r="AA1441" s="85"/>
      <c r="AB1441" s="85" t="str">
        <f>IF(TAB_ESTOQUE[[#This Row],[Estoque]]=0,"Estoque Não Conforme",IF(TAB_ESTOQUE[[#This Row],[Estoque]]&gt;=TAB_ESTOQUE[[#This Row],[Mínimo]],"Estoque Conforme",IF(TAB_ESTOQUE[[#This Row],[Estoque]]&lt;TAB_ESTOQUE[[#This Row],[Mínimo]],"Estoque em Nivel Minimo")))</f>
        <v>Estoque Conforme</v>
      </c>
      <c r="AC1441" s="85"/>
      <c r="AD1441" s="82"/>
    </row>
    <row r="1442" spans="1:30" x14ac:dyDescent="0.25">
      <c r="A1442" s="106">
        <v>851</v>
      </c>
      <c r="B1442" s="106"/>
      <c r="C1442" s="116"/>
      <c r="D1442" s="106" t="s">
        <v>2509</v>
      </c>
      <c r="E1442" s="116" t="s">
        <v>116</v>
      </c>
      <c r="F1442" s="118"/>
      <c r="G1442" s="95"/>
      <c r="H1442" s="95"/>
      <c r="I1442" s="95" t="s">
        <v>2874</v>
      </c>
      <c r="J1442" s="95"/>
      <c r="K1442" s="95"/>
      <c r="L1442" s="95"/>
      <c r="M1442" s="95"/>
      <c r="N1442" s="95"/>
      <c r="O1442" s="118" t="s">
        <v>7042</v>
      </c>
      <c r="P1442" s="95" t="s">
        <v>640</v>
      </c>
      <c r="Q1442" s="154">
        <f>VLOOKUP(TAB_ESTOQUE[[#This Row],[Codigo]],TAB_ENTRADA[[Cod_2_Entrada]:[TOTAL_ENTRADA]],5,FALSE)-VLOOKUP(TAB_ESTOQUE[[#This Row],[Codigo]],TAB_SAIDA[[COD_2_SAIDA]:[TOTAL_SAIDA]],5,FALSE)</f>
        <v>0</v>
      </c>
      <c r="R1442" s="118"/>
      <c r="S1442" s="118"/>
      <c r="T1442" s="119">
        <v>144.17500000000001</v>
      </c>
      <c r="U1442" s="112">
        <f>TAB_ESTOQUE[[#This Row],[Valor Unitario Estimado]]*TAB_ESTOQUE[[#This Row],[Estoque]]</f>
        <v>0</v>
      </c>
      <c r="V1442" s="112"/>
      <c r="W1442" s="120"/>
      <c r="X1442" s="120"/>
      <c r="Y1442" s="120"/>
      <c r="Z1442" s="120"/>
      <c r="AA1442" s="120"/>
      <c r="AB1442" s="120" t="str">
        <f>IF(TAB_ESTOQUE[[#This Row],[Estoque]]=0,"Estoque Não Conforme",IF(TAB_ESTOQUE[[#This Row],[Estoque]]&gt;=TAB_ESTOQUE[[#This Row],[Mínimo]],"Estoque Conforme",IF(TAB_ESTOQUE[[#This Row],[Estoque]]&lt;TAB_ESTOQUE[[#This Row],[Mínimo]],"Estoque em Nivel Minimo")))</f>
        <v>Estoque Não Conforme</v>
      </c>
      <c r="AC1442" s="120"/>
      <c r="AD1442" s="95"/>
    </row>
    <row r="1443" spans="1:30" x14ac:dyDescent="0.25">
      <c r="A1443" s="45">
        <v>852</v>
      </c>
      <c r="B1443" s="47"/>
      <c r="C1443" s="46"/>
      <c r="D1443" s="45" t="s">
        <v>2510</v>
      </c>
      <c r="E1443" s="46" t="s">
        <v>116</v>
      </c>
      <c r="F1443" s="87"/>
      <c r="G1443" s="82"/>
      <c r="H1443" s="82"/>
      <c r="I1443" s="82" t="s">
        <v>2864</v>
      </c>
      <c r="J1443" s="82"/>
      <c r="K1443" s="82"/>
      <c r="L1443" s="82"/>
      <c r="M1443" s="82"/>
      <c r="N1443" s="82"/>
      <c r="O1443" s="87" t="s">
        <v>7042</v>
      </c>
      <c r="P1443" s="82" t="s">
        <v>641</v>
      </c>
      <c r="Q1443" s="83">
        <f>VLOOKUP(TAB_ESTOQUE[[#This Row],[Codigo]],TAB_ENTRADA[[Cod_2_Entrada]:[TOTAL_ENTRADA]],5,FALSE)-VLOOKUP(TAB_ESTOQUE[[#This Row],[Codigo]],TAB_SAIDA[[COD_2_SAIDA]:[TOTAL_SAIDA]],5,FALSE)</f>
        <v>3</v>
      </c>
      <c r="R1443" s="87"/>
      <c r="S1443" s="87"/>
      <c r="T1443" s="90">
        <v>896</v>
      </c>
      <c r="U1443" s="91">
        <f>TAB_ESTOQUE[[#This Row],[Valor Unitario Estimado]]*TAB_ESTOQUE[[#This Row],[Estoque]]</f>
        <v>2688</v>
      </c>
      <c r="V1443" s="91"/>
      <c r="W1443" s="85"/>
      <c r="X1443" s="85"/>
      <c r="Y1443" s="85"/>
      <c r="Z1443" s="85"/>
      <c r="AA1443" s="85"/>
      <c r="AB1443" s="85" t="str">
        <f>IF(TAB_ESTOQUE[[#This Row],[Estoque]]=0,"Estoque Não Conforme",IF(TAB_ESTOQUE[[#This Row],[Estoque]]&gt;=TAB_ESTOQUE[[#This Row],[Mínimo]],"Estoque Conforme",IF(TAB_ESTOQUE[[#This Row],[Estoque]]&lt;TAB_ESTOQUE[[#This Row],[Mínimo]],"Estoque em Nivel Minimo")))</f>
        <v>Estoque Conforme</v>
      </c>
      <c r="AC1443" s="85"/>
      <c r="AD1443" s="82"/>
    </row>
    <row r="1444" spans="1:30" x14ac:dyDescent="0.25">
      <c r="A1444" s="45">
        <v>854</v>
      </c>
      <c r="B1444" s="47"/>
      <c r="C1444" s="46"/>
      <c r="D1444" s="45" t="s">
        <v>2512</v>
      </c>
      <c r="E1444" s="46" t="s">
        <v>116</v>
      </c>
      <c r="F1444" s="87"/>
      <c r="G1444" s="82"/>
      <c r="H1444" s="82"/>
      <c r="I1444" s="82" t="s">
        <v>6468</v>
      </c>
      <c r="J1444" s="82"/>
      <c r="K1444" s="82"/>
      <c r="L1444" s="82"/>
      <c r="M1444" s="82"/>
      <c r="N1444" s="82"/>
      <c r="O1444" s="87" t="s">
        <v>7042</v>
      </c>
      <c r="P1444" s="82" t="s">
        <v>644</v>
      </c>
      <c r="Q1444" s="83">
        <f>VLOOKUP(TAB_ESTOQUE[[#This Row],[Codigo]],TAB_ENTRADA[[Cod_2_Entrada]:[TOTAL_ENTRADA]],5,FALSE)-VLOOKUP(TAB_ESTOQUE[[#This Row],[Codigo]],TAB_SAIDA[[COD_2_SAIDA]:[TOTAL_SAIDA]],5,FALSE)</f>
        <v>0</v>
      </c>
      <c r="R1444" s="87"/>
      <c r="S1444" s="87"/>
      <c r="T1444" s="90"/>
      <c r="U1444" s="91">
        <f>TAB_ESTOQUE[[#This Row],[Valor Unitario Estimado]]*TAB_ESTOQUE[[#This Row],[Estoque]]</f>
        <v>0</v>
      </c>
      <c r="V1444" s="91"/>
      <c r="W1444" s="85"/>
      <c r="X1444" s="85"/>
      <c r="Y1444" s="85"/>
      <c r="Z1444" s="85"/>
      <c r="AA1444" s="85"/>
      <c r="AB1444" s="85" t="str">
        <f>IF(TAB_ESTOQUE[[#This Row],[Estoque]]=0,"Estoque Não Conforme",IF(TAB_ESTOQUE[[#This Row],[Estoque]]&gt;=TAB_ESTOQUE[[#This Row],[Mínimo]],"Estoque Conforme",IF(TAB_ESTOQUE[[#This Row],[Estoque]]&lt;TAB_ESTOQUE[[#This Row],[Mínimo]],"Estoque em Nivel Minimo")))</f>
        <v>Estoque Não Conforme</v>
      </c>
      <c r="AC1444" s="85"/>
      <c r="AD1444" s="82"/>
    </row>
    <row r="1445" spans="1:30" x14ac:dyDescent="0.25">
      <c r="A1445" s="106">
        <v>1303</v>
      </c>
      <c r="B1445" s="106"/>
      <c r="C1445" s="116"/>
      <c r="D1445" s="106" t="s">
        <v>2513</v>
      </c>
      <c r="E1445" s="116" t="s">
        <v>116</v>
      </c>
      <c r="F1445" s="118"/>
      <c r="G1445" s="95"/>
      <c r="H1445" s="95"/>
      <c r="I1445" s="95" t="s">
        <v>2865</v>
      </c>
      <c r="J1445" s="95"/>
      <c r="K1445" s="95"/>
      <c r="L1445" s="95"/>
      <c r="M1445" s="95"/>
      <c r="N1445" s="95"/>
      <c r="O1445" s="118" t="s">
        <v>7042</v>
      </c>
      <c r="P1445" s="95" t="s">
        <v>1031</v>
      </c>
      <c r="Q1445" s="154">
        <f>VLOOKUP(TAB_ESTOQUE[[#This Row],[Codigo]],TAB_ENTRADA[[Cod_2_Entrada]:[TOTAL_ENTRADA]],5,FALSE)-VLOOKUP(TAB_ESTOQUE[[#This Row],[Codigo]],TAB_SAIDA[[COD_2_SAIDA]:[TOTAL_SAIDA]],5,FALSE)</f>
        <v>3</v>
      </c>
      <c r="R1445" s="118"/>
      <c r="S1445" s="118"/>
      <c r="T1445" s="119">
        <v>586</v>
      </c>
      <c r="U1445" s="112">
        <f>TAB_ESTOQUE[[#This Row],[Valor Unitario Estimado]]*TAB_ESTOQUE[[#This Row],[Estoque]]</f>
        <v>1758</v>
      </c>
      <c r="V1445" s="112"/>
      <c r="W1445" s="120"/>
      <c r="X1445" s="120"/>
      <c r="Y1445" s="120"/>
      <c r="Z1445" s="120"/>
      <c r="AA1445" s="120"/>
      <c r="AB1445" s="120" t="str">
        <f>IF(TAB_ESTOQUE[[#This Row],[Estoque]]=0,"Estoque Não Conforme",IF(TAB_ESTOQUE[[#This Row],[Estoque]]&gt;=TAB_ESTOQUE[[#This Row],[Mínimo]],"Estoque Conforme",IF(TAB_ESTOQUE[[#This Row],[Estoque]]&lt;TAB_ESTOQUE[[#This Row],[Mínimo]],"Estoque em Nivel Minimo")))</f>
        <v>Estoque Conforme</v>
      </c>
      <c r="AC1445" s="120"/>
      <c r="AD1445" s="95"/>
    </row>
    <row r="1446" spans="1:30" x14ac:dyDescent="0.25">
      <c r="A1446" s="47">
        <v>1304</v>
      </c>
      <c r="B1446" s="47"/>
      <c r="C1446" s="51"/>
      <c r="D1446" s="47" t="s">
        <v>2514</v>
      </c>
      <c r="E1446" s="51" t="s">
        <v>116</v>
      </c>
      <c r="F1446" s="107"/>
      <c r="G1446" s="94"/>
      <c r="H1446" s="94"/>
      <c r="I1446" s="94" t="s">
        <v>6467</v>
      </c>
      <c r="J1446" s="94"/>
      <c r="K1446" s="94"/>
      <c r="L1446" s="94"/>
      <c r="M1446" s="94"/>
      <c r="N1446" s="94"/>
      <c r="O1446" s="107" t="s">
        <v>7042</v>
      </c>
      <c r="P1446" s="94" t="s">
        <v>1031</v>
      </c>
      <c r="Q1446" s="145">
        <f>VLOOKUP(TAB_ESTOQUE[[#This Row],[Codigo]],TAB_ENTRADA[[Cod_2_Entrada]:[TOTAL_ENTRADA]],5,FALSE)-VLOOKUP(TAB_ESTOQUE[[#This Row],[Codigo]],TAB_SAIDA[[COD_2_SAIDA]:[TOTAL_SAIDA]],5,FALSE)</f>
        <v>0</v>
      </c>
      <c r="R1446" s="107"/>
      <c r="S1446" s="107"/>
      <c r="T1446" s="108"/>
      <c r="U1446" s="109">
        <f>TAB_ESTOQUE[[#This Row],[Valor Unitario Estimado]]*TAB_ESTOQUE[[#This Row],[Estoque]]</f>
        <v>0</v>
      </c>
      <c r="V1446" s="109"/>
      <c r="W1446" s="110"/>
      <c r="X1446" s="110"/>
      <c r="Y1446" s="110"/>
      <c r="Z1446" s="110"/>
      <c r="AA1446" s="110"/>
      <c r="AB1446" s="110" t="str">
        <f>IF(TAB_ESTOQUE[[#This Row],[Estoque]]=0,"Estoque Não Conforme",IF(TAB_ESTOQUE[[#This Row],[Estoque]]&gt;=TAB_ESTOQUE[[#This Row],[Mínimo]],"Estoque Conforme",IF(TAB_ESTOQUE[[#This Row],[Estoque]]&lt;TAB_ESTOQUE[[#This Row],[Mínimo]],"Estoque em Nivel Minimo")))</f>
        <v>Estoque Não Conforme</v>
      </c>
      <c r="AC1446" s="110"/>
      <c r="AD1446" s="94"/>
    </row>
    <row r="1447" spans="1:30" x14ac:dyDescent="0.25">
      <c r="A1447" s="45">
        <v>1254</v>
      </c>
      <c r="B1447" s="47"/>
      <c r="C1447" s="46"/>
      <c r="D1447" s="45" t="s">
        <v>2515</v>
      </c>
      <c r="E1447" s="46" t="s">
        <v>116</v>
      </c>
      <c r="F1447" s="87"/>
      <c r="G1447" s="82"/>
      <c r="H1447" s="82"/>
      <c r="I1447" s="82" t="s">
        <v>6465</v>
      </c>
      <c r="J1447" s="82"/>
      <c r="K1447" s="82"/>
      <c r="L1447" s="82"/>
      <c r="M1447" s="82"/>
      <c r="N1447" s="82"/>
      <c r="O1447" s="87" t="s">
        <v>7042</v>
      </c>
      <c r="P1447" s="82" t="s">
        <v>975</v>
      </c>
      <c r="Q1447" s="83">
        <f>VLOOKUP(TAB_ESTOQUE[[#This Row],[Codigo]],TAB_ENTRADA[[Cod_2_Entrada]:[TOTAL_ENTRADA]],5,FALSE)-VLOOKUP(TAB_ESTOQUE[[#This Row],[Codigo]],TAB_SAIDA[[COD_2_SAIDA]:[TOTAL_SAIDA]],5,FALSE)</f>
        <v>1</v>
      </c>
      <c r="R1447" s="87"/>
      <c r="S1447" s="87"/>
      <c r="T1447" s="90"/>
      <c r="U1447" s="91">
        <f>TAB_ESTOQUE[[#This Row],[Valor Unitario Estimado]]*TAB_ESTOQUE[[#This Row],[Estoque]]</f>
        <v>0</v>
      </c>
      <c r="V1447" s="91"/>
      <c r="W1447" s="85"/>
      <c r="X1447" s="85"/>
      <c r="Y1447" s="85"/>
      <c r="Z1447" s="85"/>
      <c r="AA1447" s="85"/>
      <c r="AB1447" s="85" t="str">
        <f>IF(TAB_ESTOQUE[[#This Row],[Estoque]]=0,"Estoque Não Conforme",IF(TAB_ESTOQUE[[#This Row],[Estoque]]&gt;=TAB_ESTOQUE[[#This Row],[Mínimo]],"Estoque Conforme",IF(TAB_ESTOQUE[[#This Row],[Estoque]]&lt;TAB_ESTOQUE[[#This Row],[Mínimo]],"Estoque em Nivel Minimo")))</f>
        <v>Estoque Conforme</v>
      </c>
      <c r="AC1447" s="85"/>
      <c r="AD1447" s="82"/>
    </row>
    <row r="1448" spans="1:30" x14ac:dyDescent="0.25">
      <c r="A1448" s="45">
        <v>1284</v>
      </c>
      <c r="B1448" s="47"/>
      <c r="C1448" s="46"/>
      <c r="D1448" s="45" t="s">
        <v>2516</v>
      </c>
      <c r="E1448" s="46" t="s">
        <v>116</v>
      </c>
      <c r="F1448" s="87"/>
      <c r="G1448" s="82"/>
      <c r="H1448" s="82"/>
      <c r="I1448" s="82" t="s">
        <v>2878</v>
      </c>
      <c r="J1448" s="82"/>
      <c r="K1448" s="82"/>
      <c r="L1448" s="82"/>
      <c r="M1448" s="82"/>
      <c r="N1448" s="82"/>
      <c r="O1448" s="87" t="s">
        <v>7042</v>
      </c>
      <c r="P1448" s="82" t="s">
        <v>1004</v>
      </c>
      <c r="Q1448" s="83">
        <f>VLOOKUP(TAB_ESTOQUE[[#This Row],[Codigo]],TAB_ENTRADA[[Cod_2_Entrada]:[TOTAL_ENTRADA]],5,FALSE)-VLOOKUP(TAB_ESTOQUE[[#This Row],[Codigo]],TAB_SAIDA[[COD_2_SAIDA]:[TOTAL_SAIDA]],5,FALSE)</f>
        <v>4</v>
      </c>
      <c r="R1448" s="87"/>
      <c r="S1448" s="87"/>
      <c r="T1448" s="90">
        <v>800</v>
      </c>
      <c r="U1448" s="91">
        <f>TAB_ESTOQUE[[#This Row],[Valor Unitario Estimado]]*TAB_ESTOQUE[[#This Row],[Estoque]]</f>
        <v>3200</v>
      </c>
      <c r="V1448" s="91"/>
      <c r="W1448" s="85"/>
      <c r="X1448" s="85"/>
      <c r="Y1448" s="85"/>
      <c r="Z1448" s="85"/>
      <c r="AA1448" s="85"/>
      <c r="AB1448" s="85" t="str">
        <f>IF(TAB_ESTOQUE[[#This Row],[Estoque]]=0,"Estoque Não Conforme",IF(TAB_ESTOQUE[[#This Row],[Estoque]]&gt;=TAB_ESTOQUE[[#This Row],[Mínimo]],"Estoque Conforme",IF(TAB_ESTOQUE[[#This Row],[Estoque]]&lt;TAB_ESTOQUE[[#This Row],[Mínimo]],"Estoque em Nivel Minimo")))</f>
        <v>Estoque Conforme</v>
      </c>
      <c r="AC1448" s="85"/>
      <c r="AD1448" s="82"/>
    </row>
    <row r="1449" spans="1:30" x14ac:dyDescent="0.25">
      <c r="A1449" s="45">
        <v>873</v>
      </c>
      <c r="B1449" s="47"/>
      <c r="C1449" s="46"/>
      <c r="D1449" s="45" t="s">
        <v>2517</v>
      </c>
      <c r="E1449" s="46" t="s">
        <v>116</v>
      </c>
      <c r="F1449" s="87"/>
      <c r="G1449" s="82"/>
      <c r="H1449" s="82"/>
      <c r="I1449" s="82" t="s">
        <v>6466</v>
      </c>
      <c r="J1449" s="82"/>
      <c r="K1449" s="82"/>
      <c r="L1449" s="82"/>
      <c r="M1449" s="82"/>
      <c r="N1449" s="82"/>
      <c r="O1449" s="87" t="s">
        <v>7042</v>
      </c>
      <c r="P1449" s="82" t="s">
        <v>672</v>
      </c>
      <c r="Q1449" s="83">
        <f>VLOOKUP(TAB_ESTOQUE[[#This Row],[Codigo]],TAB_ENTRADA[[Cod_2_Entrada]:[TOTAL_ENTRADA]],5,FALSE)-VLOOKUP(TAB_ESTOQUE[[#This Row],[Codigo]],TAB_SAIDA[[COD_2_SAIDA]:[TOTAL_SAIDA]],5,FALSE)</f>
        <v>0</v>
      </c>
      <c r="R1449" s="87"/>
      <c r="S1449" s="87"/>
      <c r="T1449" s="90"/>
      <c r="U1449" s="91">
        <f>TAB_ESTOQUE[[#This Row],[Valor Unitario Estimado]]*TAB_ESTOQUE[[#This Row],[Estoque]]</f>
        <v>0</v>
      </c>
      <c r="V1449" s="91"/>
      <c r="W1449" s="85"/>
      <c r="X1449" s="85"/>
      <c r="Y1449" s="85"/>
      <c r="Z1449" s="85"/>
      <c r="AA1449" s="85"/>
      <c r="AB1449" s="85" t="str">
        <f>IF(TAB_ESTOQUE[[#This Row],[Estoque]]=0,"Estoque Não Conforme",IF(TAB_ESTOQUE[[#This Row],[Estoque]]&gt;=TAB_ESTOQUE[[#This Row],[Mínimo]],"Estoque Conforme",IF(TAB_ESTOQUE[[#This Row],[Estoque]]&lt;TAB_ESTOQUE[[#This Row],[Mínimo]],"Estoque em Nivel Minimo")))</f>
        <v>Estoque Não Conforme</v>
      </c>
      <c r="AC1449" s="85"/>
      <c r="AD1449" s="82"/>
    </row>
    <row r="1450" spans="1:30" x14ac:dyDescent="0.25">
      <c r="A1450" s="45">
        <v>1219</v>
      </c>
      <c r="B1450" s="47"/>
      <c r="C1450" s="46" t="s">
        <v>2833</v>
      </c>
      <c r="D1450" s="45" t="s">
        <v>2518</v>
      </c>
      <c r="E1450" s="46" t="s">
        <v>116</v>
      </c>
      <c r="F1450" s="87"/>
      <c r="G1450" s="82"/>
      <c r="H1450" s="82"/>
      <c r="I1450" s="82" t="s">
        <v>2876</v>
      </c>
      <c r="J1450" s="82"/>
      <c r="K1450" s="82" t="s">
        <v>727</v>
      </c>
      <c r="L1450" s="82"/>
      <c r="M1450" s="82"/>
      <c r="N1450" s="82"/>
      <c r="O1450" s="87" t="s">
        <v>7042</v>
      </c>
      <c r="P1450" s="82" t="s">
        <v>931</v>
      </c>
      <c r="Q1450" s="83">
        <f>VLOOKUP(TAB_ESTOQUE[[#This Row],[Codigo]],TAB_ENTRADA[[Cod_2_Entrada]:[TOTAL_ENTRADA]],5,FALSE)-VLOOKUP(TAB_ESTOQUE[[#This Row],[Codigo]],TAB_SAIDA[[COD_2_SAIDA]:[TOTAL_SAIDA]],5,FALSE)</f>
        <v>1</v>
      </c>
      <c r="R1450" s="87"/>
      <c r="S1450" s="87"/>
      <c r="T1450" s="90"/>
      <c r="U1450" s="91">
        <f>TAB_ESTOQUE[[#This Row],[Valor Unitario Estimado]]*TAB_ESTOQUE[[#This Row],[Estoque]]</f>
        <v>0</v>
      </c>
      <c r="V1450" s="91"/>
      <c r="W1450" s="85"/>
      <c r="X1450" s="85"/>
      <c r="Y1450" s="85"/>
      <c r="Z1450" s="85"/>
      <c r="AA1450" s="85"/>
      <c r="AB1450" s="85" t="str">
        <f>IF(TAB_ESTOQUE[[#This Row],[Estoque]]=0,"Estoque Não Conforme",IF(TAB_ESTOQUE[[#This Row],[Estoque]]&gt;=TAB_ESTOQUE[[#This Row],[Mínimo]],"Estoque Conforme",IF(TAB_ESTOQUE[[#This Row],[Estoque]]&lt;TAB_ESTOQUE[[#This Row],[Mínimo]],"Estoque em Nivel Minimo")))</f>
        <v>Estoque Conforme</v>
      </c>
      <c r="AC1450" s="85"/>
      <c r="AD1450" s="82"/>
    </row>
    <row r="1451" spans="1:30" x14ac:dyDescent="0.25">
      <c r="A1451" s="45">
        <v>874</v>
      </c>
      <c r="B1451" s="47"/>
      <c r="C1451" s="46" t="s">
        <v>2833</v>
      </c>
      <c r="D1451" s="45" t="s">
        <v>2519</v>
      </c>
      <c r="E1451" s="46" t="s">
        <v>116</v>
      </c>
      <c r="F1451" s="87"/>
      <c r="G1451" s="82"/>
      <c r="H1451" s="82"/>
      <c r="I1451" s="82" t="s">
        <v>2888</v>
      </c>
      <c r="J1451" s="82"/>
      <c r="K1451" s="82"/>
      <c r="L1451" s="82"/>
      <c r="M1451" s="82"/>
      <c r="N1451" s="82"/>
      <c r="O1451" s="87" t="s">
        <v>7042</v>
      </c>
      <c r="P1451" s="82" t="s">
        <v>673</v>
      </c>
      <c r="Q1451" s="83">
        <f>VLOOKUP(TAB_ESTOQUE[[#This Row],[Codigo]],TAB_ENTRADA[[Cod_2_Entrada]:[TOTAL_ENTRADA]],5,FALSE)-VLOOKUP(TAB_ESTOQUE[[#This Row],[Codigo]],TAB_SAIDA[[COD_2_SAIDA]:[TOTAL_SAIDA]],5,FALSE)</f>
        <v>5</v>
      </c>
      <c r="R1451" s="87"/>
      <c r="S1451" s="87"/>
      <c r="T1451" s="90"/>
      <c r="U1451" s="91">
        <f>TAB_ESTOQUE[[#This Row],[Valor Unitario Estimado]]*TAB_ESTOQUE[[#This Row],[Estoque]]</f>
        <v>0</v>
      </c>
      <c r="V1451" s="91"/>
      <c r="W1451" s="85"/>
      <c r="X1451" s="85"/>
      <c r="Y1451" s="85"/>
      <c r="Z1451" s="85"/>
      <c r="AA1451" s="85"/>
      <c r="AB1451" s="85" t="str">
        <f>IF(TAB_ESTOQUE[[#This Row],[Estoque]]=0,"Estoque Não Conforme",IF(TAB_ESTOQUE[[#This Row],[Estoque]]&gt;=TAB_ESTOQUE[[#This Row],[Mínimo]],"Estoque Conforme",IF(TAB_ESTOQUE[[#This Row],[Estoque]]&lt;TAB_ESTOQUE[[#This Row],[Mínimo]],"Estoque em Nivel Minimo")))</f>
        <v>Estoque Conforme</v>
      </c>
      <c r="AC1451" s="85"/>
      <c r="AD1451" s="82"/>
    </row>
    <row r="1452" spans="1:30" x14ac:dyDescent="0.25">
      <c r="B1452" s="47"/>
      <c r="C1452" s="53" t="s">
        <v>2838</v>
      </c>
      <c r="D1452" s="45" t="s">
        <v>3066</v>
      </c>
      <c r="E1452" s="46"/>
      <c r="F1452" s="87"/>
      <c r="G1452" s="82"/>
      <c r="H1452" s="82"/>
      <c r="I1452" s="82" t="s">
        <v>6419</v>
      </c>
      <c r="J1452" s="82"/>
      <c r="K1452" s="82"/>
      <c r="L1452" s="82"/>
      <c r="M1452" s="82"/>
      <c r="N1452" s="82"/>
      <c r="O1452" s="87" t="s">
        <v>7042</v>
      </c>
      <c r="P1452" s="82" t="s">
        <v>3072</v>
      </c>
      <c r="Q1452" s="83">
        <f>VLOOKUP(TAB_ESTOQUE[[#This Row],[Codigo]],TAB_ENTRADA[[Cod_2_Entrada]:[TOTAL_ENTRADA]],5,FALSE)-VLOOKUP(TAB_ESTOQUE[[#This Row],[Codigo]],TAB_SAIDA[[COD_2_SAIDA]:[TOTAL_SAIDA]],5,FALSE)</f>
        <v>1</v>
      </c>
      <c r="R1452" s="87"/>
      <c r="S1452" s="87"/>
      <c r="T1452" s="90"/>
      <c r="U1452" s="91">
        <f>TAB_ESTOQUE[[#This Row],[Valor Unitario Estimado]]*TAB_ESTOQUE[[#This Row],[Estoque]]</f>
        <v>0</v>
      </c>
      <c r="V1452" s="91"/>
      <c r="W1452" s="85"/>
      <c r="X1452" s="85"/>
      <c r="Y1452" s="85"/>
      <c r="Z1452" s="85"/>
      <c r="AA1452" s="85"/>
      <c r="AB1452" s="96" t="str">
        <f>IF(TAB_ESTOQUE[[#This Row],[Estoque]]=0,"Estoque Não Conforme",IF(TAB_ESTOQUE[[#This Row],[Estoque]]&gt;=TAB_ESTOQUE[[#This Row],[Mínimo]],"Estoque Conforme",IF(TAB_ESTOQUE[[#This Row],[Estoque]]&lt;TAB_ESTOQUE[[#This Row],[Mínimo]],"Estoque em Nivel Minimo")))</f>
        <v>Estoque Conforme</v>
      </c>
      <c r="AC1452" s="96"/>
      <c r="AD1452" s="82"/>
    </row>
    <row r="1453" spans="1:30" x14ac:dyDescent="0.25">
      <c r="B1453" s="47"/>
      <c r="C1453" s="53" t="s">
        <v>2838</v>
      </c>
      <c r="D1453" s="45" t="s">
        <v>3104</v>
      </c>
      <c r="E1453" s="46"/>
      <c r="F1453" s="87"/>
      <c r="G1453" s="82"/>
      <c r="H1453" s="82"/>
      <c r="I1453" s="82" t="s">
        <v>6476</v>
      </c>
      <c r="J1453" s="82"/>
      <c r="K1453" s="82"/>
      <c r="L1453" s="82"/>
      <c r="M1453" s="82"/>
      <c r="N1453" s="82"/>
      <c r="O1453" s="87" t="s">
        <v>7042</v>
      </c>
      <c r="P1453" s="82" t="s">
        <v>692</v>
      </c>
      <c r="Q1453" s="83">
        <f>VLOOKUP(TAB_ESTOQUE[[#This Row],[Codigo]],TAB_ENTRADA[[Cod_2_Entrada]:[TOTAL_ENTRADA]],5,FALSE)-VLOOKUP(TAB_ESTOQUE[[#This Row],[Codigo]],TAB_SAIDA[[COD_2_SAIDA]:[TOTAL_SAIDA]],5,FALSE)</f>
        <v>3</v>
      </c>
      <c r="R1453" s="87"/>
      <c r="S1453" s="87"/>
      <c r="T1453" s="90"/>
      <c r="U1453" s="91">
        <f>TAB_ESTOQUE[[#This Row],[Valor Unitario Estimado]]*TAB_ESTOQUE[[#This Row],[Estoque]]</f>
        <v>0</v>
      </c>
      <c r="V1453" s="91"/>
      <c r="W1453" s="85"/>
      <c r="X1453" s="85"/>
      <c r="Y1453" s="85"/>
      <c r="Z1453" s="85"/>
      <c r="AA1453" s="85"/>
      <c r="AB1453" s="96" t="str">
        <f>IF(TAB_ESTOQUE[[#This Row],[Estoque]]=0,"Estoque Não Conforme",IF(TAB_ESTOQUE[[#This Row],[Estoque]]&gt;=TAB_ESTOQUE[[#This Row],[Mínimo]],"Estoque Conforme",IF(TAB_ESTOQUE[[#This Row],[Estoque]]&lt;TAB_ESTOQUE[[#This Row],[Mínimo]],"Estoque em Nivel Minimo")))</f>
        <v>Estoque Conforme</v>
      </c>
      <c r="AC1453" s="96"/>
      <c r="AD1453" s="82"/>
    </row>
    <row r="1454" spans="1:30" x14ac:dyDescent="0.25">
      <c r="C1454" s="53" t="s">
        <v>2842</v>
      </c>
      <c r="D1454" s="45" t="s">
        <v>6803</v>
      </c>
      <c r="E1454" s="46" t="s">
        <v>116</v>
      </c>
      <c r="F1454" s="46"/>
      <c r="I1454" s="45" t="s">
        <v>7082</v>
      </c>
      <c r="O1454" s="46" t="s">
        <v>7042</v>
      </c>
      <c r="Q1454" s="83">
        <f>VLOOKUP(TAB_ESTOQUE[[#This Row],[Codigo]],TAB_ENTRADA[[Cod_2_Entrada]:[TOTAL_ENTRADA]],5,FALSE)-VLOOKUP(TAB_ESTOQUE[[#This Row],[Codigo]],TAB_SAIDA[[COD_2_SAIDA]:[TOTAL_SAIDA]],5,FALSE)</f>
        <v>0</v>
      </c>
      <c r="S1454" s="46"/>
      <c r="T1454" s="102"/>
      <c r="U1454" s="103">
        <f>TAB_ESTOQUE[[#This Row],[Valor Unitario Estimado]]*TAB_ESTOQUE[[#This Row],[Estoque]]</f>
        <v>0</v>
      </c>
      <c r="V1454" s="103"/>
      <c r="AB1454" s="104" t="str">
        <f>IF(TAB_ESTOQUE[[#This Row],[Estoque]]=0,"Estoque Não Conforme",IF(TAB_ESTOQUE[[#This Row],[Estoque]]&gt;=TAB_ESTOQUE[[#This Row],[Mínimo]],"Estoque Conforme",IF(TAB_ESTOQUE[[#This Row],[Estoque]]&lt;TAB_ESTOQUE[[#This Row],[Mínimo]],"Estoque em Nivel Minimo")))</f>
        <v>Estoque Não Conforme</v>
      </c>
      <c r="AC1454" s="104"/>
    </row>
    <row r="1455" spans="1:30" x14ac:dyDescent="0.25">
      <c r="A1455" s="45">
        <v>607</v>
      </c>
      <c r="B1455" s="47"/>
      <c r="C1455" s="46" t="s">
        <v>2838</v>
      </c>
      <c r="D1455" s="45" t="s">
        <v>1715</v>
      </c>
      <c r="E1455" s="46" t="s">
        <v>7265</v>
      </c>
      <c r="F1455" s="87"/>
      <c r="G1455" s="82"/>
      <c r="H1455" s="82"/>
      <c r="I1455" s="82" t="s">
        <v>6321</v>
      </c>
      <c r="J1455" s="82"/>
      <c r="K1455" s="82"/>
      <c r="L1455" s="82"/>
      <c r="M1455" s="82"/>
      <c r="N1455" s="82"/>
      <c r="O1455" s="87" t="s">
        <v>7043</v>
      </c>
      <c r="P1455" s="82" t="s">
        <v>386</v>
      </c>
      <c r="Q1455" s="83">
        <f>VLOOKUP(TAB_ESTOQUE[[#This Row],[Codigo]],TAB_ENTRADA[[Cod_2_Entrada]:[TOTAL_ENTRADA]],5,FALSE)-VLOOKUP(TAB_ESTOQUE[[#This Row],[Codigo]],TAB_SAIDA[[COD_2_SAIDA]:[TOTAL_SAIDA]],5,FALSE)</f>
        <v>0</v>
      </c>
      <c r="R1455" s="87"/>
      <c r="S1455" s="87"/>
      <c r="T1455" s="90">
        <v>26.4</v>
      </c>
      <c r="U1455" s="91">
        <f>TAB_ESTOQUE[[#This Row],[Valor Unitario Estimado]]*TAB_ESTOQUE[[#This Row],[Estoque]]</f>
        <v>0</v>
      </c>
      <c r="V1455" s="91"/>
      <c r="W1455" s="85"/>
      <c r="X1455" s="85"/>
      <c r="Y1455" s="85"/>
      <c r="Z1455" s="85"/>
      <c r="AA1455" s="85"/>
      <c r="AB1455" s="85" t="str">
        <f>IF(TAB_ESTOQUE[[#This Row],[Estoque]]=0,"Estoque Não Conforme",IF(TAB_ESTOQUE[[#This Row],[Estoque]]&gt;=TAB_ESTOQUE[[#This Row],[Mínimo]],"Estoque Conforme",IF(TAB_ESTOQUE[[#This Row],[Estoque]]&lt;TAB_ESTOQUE[[#This Row],[Mínimo]],"Estoque em Nivel Minimo")))</f>
        <v>Estoque Não Conforme</v>
      </c>
      <c r="AC1455" s="85"/>
      <c r="AD1455" s="82"/>
    </row>
    <row r="1456" spans="1:30" x14ac:dyDescent="0.25">
      <c r="A1456" s="45">
        <v>176</v>
      </c>
      <c r="B1456" s="47"/>
      <c r="C1456" s="46"/>
      <c r="D1456" s="45" t="s">
        <v>1888</v>
      </c>
      <c r="E1456" s="46" t="s">
        <v>7265</v>
      </c>
      <c r="F1456" s="87"/>
      <c r="G1456" s="82"/>
      <c r="H1456" s="82"/>
      <c r="I1456" s="208" t="s">
        <v>6393</v>
      </c>
      <c r="J1456" s="82"/>
      <c r="K1456" s="82"/>
      <c r="L1456" s="82"/>
      <c r="M1456" s="82"/>
      <c r="N1456" s="82"/>
      <c r="O1456" s="87" t="s">
        <v>7043</v>
      </c>
      <c r="P1456" s="82" t="s">
        <v>123</v>
      </c>
      <c r="Q1456" s="83">
        <f>VLOOKUP(TAB_ESTOQUE[[#This Row],[Codigo]],TAB_ENTRADA[[Cod_2_Entrada]:[TOTAL_ENTRADA]],5,FALSE)-VLOOKUP(TAB_ESTOQUE[[#This Row],[Codigo]],TAB_SAIDA[[COD_2_SAIDA]:[TOTAL_SAIDA]],5,FALSE)</f>
        <v>2</v>
      </c>
      <c r="R1456" s="87"/>
      <c r="S1456" s="87"/>
      <c r="T1456" s="90"/>
      <c r="U1456" s="91">
        <f>TAB_ESTOQUE[[#This Row],[Valor Unitario Estimado]]*TAB_ESTOQUE[[#This Row],[Estoque]]</f>
        <v>0</v>
      </c>
      <c r="V1456" s="91"/>
      <c r="W1456" s="85"/>
      <c r="X1456" s="85"/>
      <c r="Y1456" s="85"/>
      <c r="Z1456" s="85"/>
      <c r="AA1456" s="85"/>
      <c r="AB1456" s="85" t="str">
        <f>IF(TAB_ESTOQUE[[#This Row],[Estoque]]=0,"Estoque Não Conforme",IF(TAB_ESTOQUE[[#This Row],[Estoque]]&gt;=TAB_ESTOQUE[[#This Row],[Mínimo]],"Estoque Conforme",IF(TAB_ESTOQUE[[#This Row],[Estoque]]&lt;TAB_ESTOQUE[[#This Row],[Mínimo]],"Estoque em Nivel Minimo")))</f>
        <v>Estoque Conforme</v>
      </c>
      <c r="AC1456" s="85"/>
      <c r="AD1456" s="82"/>
    </row>
    <row r="1457" spans="1:30" x14ac:dyDescent="0.25">
      <c r="A1457" s="45">
        <v>11</v>
      </c>
      <c r="B1457" s="47"/>
      <c r="C1457" s="46"/>
      <c r="D1457" s="45" t="s">
        <v>1895</v>
      </c>
      <c r="E1457" s="46" t="s">
        <v>7265</v>
      </c>
      <c r="F1457" s="87"/>
      <c r="G1457" s="82"/>
      <c r="H1457" s="82"/>
      <c r="I1457" s="209" t="s">
        <v>2854</v>
      </c>
      <c r="J1457" s="82"/>
      <c r="K1457" s="82" t="s">
        <v>15</v>
      </c>
      <c r="L1457" s="82"/>
      <c r="M1457" s="82"/>
      <c r="N1457" s="82"/>
      <c r="O1457" s="87" t="s">
        <v>7043</v>
      </c>
      <c r="P1457" s="82" t="s">
        <v>19</v>
      </c>
      <c r="Q1457" s="83">
        <f>VLOOKUP(TAB_ESTOQUE[[#This Row],[Codigo]],TAB_ENTRADA[[Cod_2_Entrada]:[TOTAL_ENTRADA]],5,FALSE)-VLOOKUP(TAB_ESTOQUE[[#This Row],[Codigo]],TAB_SAIDA[[COD_2_SAIDA]:[TOTAL_SAIDA]],5,FALSE)</f>
        <v>0</v>
      </c>
      <c r="R1457" s="87"/>
      <c r="S1457" s="87"/>
      <c r="T1457" s="90">
        <v>4155.55</v>
      </c>
      <c r="U1457" s="91">
        <f>TAB_ESTOQUE[[#This Row],[Valor Unitario Estimado]]*TAB_ESTOQUE[[#This Row],[Estoque]]</f>
        <v>0</v>
      </c>
      <c r="V1457" s="91"/>
      <c r="W1457" s="85"/>
      <c r="X1457" s="85"/>
      <c r="Y1457" s="85"/>
      <c r="Z1457" s="85"/>
      <c r="AA1457" s="85"/>
      <c r="AB1457" s="85" t="str">
        <f>IF(TAB_ESTOQUE[[#This Row],[Estoque]]=0,"Estoque Não Conforme",IF(TAB_ESTOQUE[[#This Row],[Estoque]]&gt;=TAB_ESTOQUE[[#This Row],[Mínimo]],"Estoque Conforme",IF(TAB_ESTOQUE[[#This Row],[Estoque]]&lt;TAB_ESTOQUE[[#This Row],[Mínimo]],"Estoque em Nivel Minimo")))</f>
        <v>Estoque Não Conforme</v>
      </c>
      <c r="AC1457" s="85"/>
      <c r="AD1457" s="82"/>
    </row>
    <row r="1458" spans="1:30" x14ac:dyDescent="0.25">
      <c r="A1458" s="45">
        <v>173</v>
      </c>
      <c r="B1458" s="47"/>
      <c r="C1458" s="46" t="s">
        <v>2833</v>
      </c>
      <c r="D1458" s="45" t="s">
        <v>1964</v>
      </c>
      <c r="E1458" s="46" t="s">
        <v>7265</v>
      </c>
      <c r="F1458" s="87"/>
      <c r="G1458" s="82"/>
      <c r="H1458" s="82"/>
      <c r="I1458" s="82" t="s">
        <v>2841</v>
      </c>
      <c r="J1458" s="82"/>
      <c r="K1458" s="82" t="s">
        <v>15</v>
      </c>
      <c r="L1458" s="82"/>
      <c r="M1458" s="82" t="s">
        <v>8</v>
      </c>
      <c r="N1458" s="82"/>
      <c r="O1458" s="87" t="s">
        <v>7043</v>
      </c>
      <c r="P1458" s="82" t="s">
        <v>120</v>
      </c>
      <c r="Q1458" s="83">
        <f>VLOOKUP(TAB_ESTOQUE[[#This Row],[Codigo]],TAB_ENTRADA[[Cod_2_Entrada]:[TOTAL_ENTRADA]],5,FALSE)-VLOOKUP(TAB_ESTOQUE[[#This Row],[Codigo]],TAB_SAIDA[[COD_2_SAIDA]:[TOTAL_SAIDA]],5,FALSE)</f>
        <v>1</v>
      </c>
      <c r="R1458" s="87"/>
      <c r="S1458" s="87"/>
      <c r="T1458" s="90"/>
      <c r="U1458" s="91">
        <f>TAB_ESTOQUE[[#This Row],[Valor Unitario Estimado]]*TAB_ESTOQUE[[#This Row],[Estoque]]</f>
        <v>0</v>
      </c>
      <c r="V1458" s="91"/>
      <c r="W1458" s="85"/>
      <c r="X1458" s="85"/>
      <c r="Y1458" s="85"/>
      <c r="Z1458" s="85"/>
      <c r="AA1458" s="85"/>
      <c r="AB1458" s="85" t="str">
        <f>IF(TAB_ESTOQUE[[#This Row],[Estoque]]=0,"Estoque Não Conforme",IF(TAB_ESTOQUE[[#This Row],[Estoque]]&gt;=TAB_ESTOQUE[[#This Row],[Mínimo]],"Estoque Conforme",IF(TAB_ESTOQUE[[#This Row],[Estoque]]&lt;TAB_ESTOQUE[[#This Row],[Mínimo]],"Estoque em Nivel Minimo")))</f>
        <v>Estoque Conforme</v>
      </c>
      <c r="AC1458" s="85"/>
      <c r="AD1458" s="82"/>
    </row>
    <row r="1459" spans="1:30" x14ac:dyDescent="0.25">
      <c r="A1459" s="45">
        <v>1362</v>
      </c>
      <c r="B1459" s="47"/>
      <c r="C1459" s="46"/>
      <c r="D1459" s="45" t="s">
        <v>1971</v>
      </c>
      <c r="E1459" s="46" t="s">
        <v>7265</v>
      </c>
      <c r="F1459" s="87"/>
      <c r="G1459" s="82"/>
      <c r="H1459" s="82"/>
      <c r="I1459" s="82" t="s">
        <v>2840</v>
      </c>
      <c r="J1459" s="82"/>
      <c r="K1459" s="82"/>
      <c r="L1459" s="82"/>
      <c r="M1459" s="82" t="s">
        <v>8</v>
      </c>
      <c r="N1459" s="82"/>
      <c r="O1459" s="87" t="s">
        <v>7043</v>
      </c>
      <c r="P1459" s="82" t="s">
        <v>1096</v>
      </c>
      <c r="Q1459" s="83">
        <f>VLOOKUP(TAB_ESTOQUE[[#This Row],[Codigo]],TAB_ENTRADA[[Cod_2_Entrada]:[TOTAL_ENTRADA]],5,FALSE)-VLOOKUP(TAB_ESTOQUE[[#This Row],[Codigo]],TAB_SAIDA[[COD_2_SAIDA]:[TOTAL_SAIDA]],5,FALSE)</f>
        <v>1</v>
      </c>
      <c r="R1459" s="87"/>
      <c r="S1459" s="87"/>
      <c r="T1459" s="90">
        <v>1325</v>
      </c>
      <c r="U1459" s="91">
        <f>TAB_ESTOQUE[[#This Row],[Valor Unitario Estimado]]*TAB_ESTOQUE[[#This Row],[Estoque]]</f>
        <v>1325</v>
      </c>
      <c r="V1459" s="91"/>
      <c r="W1459" s="85"/>
      <c r="X1459" s="85"/>
      <c r="Y1459" s="85"/>
      <c r="Z1459" s="85"/>
      <c r="AA1459" s="85"/>
      <c r="AB1459" s="85" t="str">
        <f>IF(TAB_ESTOQUE[[#This Row],[Estoque]]=0,"Estoque Não Conforme",IF(TAB_ESTOQUE[[#This Row],[Estoque]]&gt;=TAB_ESTOQUE[[#This Row],[Mínimo]],"Estoque Conforme",IF(TAB_ESTOQUE[[#This Row],[Estoque]]&lt;TAB_ESTOQUE[[#This Row],[Mínimo]],"Estoque em Nivel Minimo")))</f>
        <v>Estoque Conforme</v>
      </c>
      <c r="AC1459" s="85"/>
      <c r="AD1459" s="82"/>
    </row>
    <row r="1460" spans="1:30" x14ac:dyDescent="0.25">
      <c r="A1460" s="45">
        <v>172</v>
      </c>
      <c r="B1460" s="47"/>
      <c r="C1460" s="46" t="s">
        <v>2833</v>
      </c>
      <c r="D1460" s="45" t="s">
        <v>1972</v>
      </c>
      <c r="E1460" s="46" t="s">
        <v>1324</v>
      </c>
      <c r="F1460" s="87"/>
      <c r="G1460" s="82"/>
      <c r="H1460" s="82"/>
      <c r="I1460" s="82" t="s">
        <v>6104</v>
      </c>
      <c r="J1460" s="82"/>
      <c r="K1460" s="82" t="s">
        <v>118</v>
      </c>
      <c r="L1460" s="82"/>
      <c r="M1460" s="82" t="s">
        <v>8</v>
      </c>
      <c r="N1460" s="82"/>
      <c r="O1460" s="87" t="s">
        <v>7043</v>
      </c>
      <c r="P1460" s="82" t="s">
        <v>117</v>
      </c>
      <c r="Q1460" s="83">
        <f>VLOOKUP(TAB_ESTOQUE[[#This Row],[Codigo]],TAB_ENTRADA[[Cod_2_Entrada]:[TOTAL_ENTRADA]],5,FALSE)-VLOOKUP(TAB_ESTOQUE[[#This Row],[Codigo]],TAB_SAIDA[[COD_2_SAIDA]:[TOTAL_SAIDA]],5,FALSE)</f>
        <v>1</v>
      </c>
      <c r="R1460" s="87"/>
      <c r="S1460" s="87"/>
      <c r="T1460" s="90">
        <v>1315</v>
      </c>
      <c r="U1460" s="91">
        <f>TAB_ESTOQUE[[#This Row],[Valor Unitario Estimado]]*TAB_ESTOQUE[[#This Row],[Estoque]]</f>
        <v>1315</v>
      </c>
      <c r="V1460" s="91"/>
      <c r="W1460" s="85"/>
      <c r="X1460" s="85"/>
      <c r="Y1460" s="85"/>
      <c r="Z1460" s="85"/>
      <c r="AA1460" s="85"/>
      <c r="AB1460" s="85" t="str">
        <f>IF(TAB_ESTOQUE[[#This Row],[Estoque]]=0,"Estoque Não Conforme",IF(TAB_ESTOQUE[[#This Row],[Estoque]]&gt;=TAB_ESTOQUE[[#This Row],[Mínimo]],"Estoque Conforme",IF(TAB_ESTOQUE[[#This Row],[Estoque]]&lt;TAB_ESTOQUE[[#This Row],[Mínimo]],"Estoque em Nivel Minimo")))</f>
        <v>Estoque Conforme</v>
      </c>
      <c r="AC1460" s="85"/>
      <c r="AD1460" s="82"/>
    </row>
    <row r="1461" spans="1:30" x14ac:dyDescent="0.25">
      <c r="A1461" s="45">
        <v>591</v>
      </c>
      <c r="B1461" s="47"/>
      <c r="C1461" s="46" t="s">
        <v>2833</v>
      </c>
      <c r="D1461" s="45" t="s">
        <v>1973</v>
      </c>
      <c r="E1461" s="46" t="s">
        <v>7265</v>
      </c>
      <c r="F1461" s="87"/>
      <c r="G1461" s="82"/>
      <c r="H1461" s="82"/>
      <c r="I1461" s="82" t="s">
        <v>2839</v>
      </c>
      <c r="J1461" s="82"/>
      <c r="K1461" s="82"/>
      <c r="L1461" s="82"/>
      <c r="M1461" s="82"/>
      <c r="N1461" s="82"/>
      <c r="O1461" s="87" t="s">
        <v>7043</v>
      </c>
      <c r="P1461" s="82" t="s">
        <v>368</v>
      </c>
      <c r="Q1461" s="83">
        <f>VLOOKUP(TAB_ESTOQUE[[#This Row],[Codigo]],TAB_ENTRADA[[Cod_2_Entrada]:[TOTAL_ENTRADA]],5,FALSE)-VLOOKUP(TAB_ESTOQUE[[#This Row],[Codigo]],TAB_SAIDA[[COD_2_SAIDA]:[TOTAL_SAIDA]],5,FALSE)</f>
        <v>1</v>
      </c>
      <c r="R1461" s="87"/>
      <c r="S1461" s="87"/>
      <c r="T1461" s="90">
        <v>7400</v>
      </c>
      <c r="U1461" s="91">
        <f>TAB_ESTOQUE[[#This Row],[Valor Unitario Estimado]]*TAB_ESTOQUE[[#This Row],[Estoque]]</f>
        <v>7400</v>
      </c>
      <c r="V1461" s="91"/>
      <c r="W1461" s="85"/>
      <c r="X1461" s="85"/>
      <c r="Y1461" s="85"/>
      <c r="Z1461" s="85"/>
      <c r="AA1461" s="85"/>
      <c r="AB1461" s="85" t="str">
        <f>IF(TAB_ESTOQUE[[#This Row],[Estoque]]=0,"Estoque Não Conforme",IF(TAB_ESTOQUE[[#This Row],[Estoque]]&gt;=TAB_ESTOQUE[[#This Row],[Mínimo]],"Estoque Conforme",IF(TAB_ESTOQUE[[#This Row],[Estoque]]&lt;TAB_ESTOQUE[[#This Row],[Mínimo]],"Estoque em Nivel Minimo")))</f>
        <v>Estoque Conforme</v>
      </c>
      <c r="AC1461" s="85"/>
      <c r="AD1461" s="82"/>
    </row>
    <row r="1462" spans="1:30" x14ac:dyDescent="0.25">
      <c r="A1462" s="45">
        <v>845</v>
      </c>
      <c r="B1462" s="47"/>
      <c r="C1462" s="46"/>
      <c r="D1462" s="45" t="s">
        <v>2449</v>
      </c>
      <c r="E1462" s="46" t="s">
        <v>116</v>
      </c>
      <c r="F1462" s="87"/>
      <c r="G1462" s="82"/>
      <c r="H1462" s="82"/>
      <c r="I1462" s="82" t="s">
        <v>2877</v>
      </c>
      <c r="J1462" s="82"/>
      <c r="K1462" s="82"/>
      <c r="L1462" s="82"/>
      <c r="M1462" s="82"/>
      <c r="N1462" s="82"/>
      <c r="O1462" s="87" t="s">
        <v>7043</v>
      </c>
      <c r="P1462" s="82" t="s">
        <v>633</v>
      </c>
      <c r="Q1462" s="83">
        <f>VLOOKUP(TAB_ESTOQUE[[#This Row],[Codigo]],TAB_ENTRADA[[Cod_2_Entrada]:[TOTAL_ENTRADA]],5,FALSE)-VLOOKUP(TAB_ESTOQUE[[#This Row],[Codigo]],TAB_SAIDA[[COD_2_SAIDA]:[TOTAL_SAIDA]],5,FALSE)</f>
        <v>0</v>
      </c>
      <c r="R1462" s="87"/>
      <c r="S1462" s="87"/>
      <c r="T1462" s="90"/>
      <c r="U1462" s="91">
        <f>TAB_ESTOQUE[[#This Row],[Valor Unitario Estimado]]*TAB_ESTOQUE[[#This Row],[Estoque]]</f>
        <v>0</v>
      </c>
      <c r="V1462" s="91"/>
      <c r="W1462" s="85"/>
      <c r="X1462" s="85"/>
      <c r="Y1462" s="85"/>
      <c r="Z1462" s="85"/>
      <c r="AA1462" s="85"/>
      <c r="AB1462" s="85" t="str">
        <f>IF(TAB_ESTOQUE[[#This Row],[Estoque]]=0,"Estoque Não Conforme",IF(TAB_ESTOQUE[[#This Row],[Estoque]]&gt;=TAB_ESTOQUE[[#This Row],[Mínimo]],"Estoque Conforme",IF(TAB_ESTOQUE[[#This Row],[Estoque]]&lt;TAB_ESTOQUE[[#This Row],[Mínimo]],"Estoque em Nivel Minimo")))</f>
        <v>Estoque Não Conforme</v>
      </c>
      <c r="AC1462" s="85"/>
      <c r="AD1462" s="82"/>
    </row>
    <row r="1463" spans="1:30" x14ac:dyDescent="0.25">
      <c r="A1463" s="45">
        <v>1074</v>
      </c>
      <c r="B1463" s="47"/>
      <c r="C1463" s="46" t="s">
        <v>2833</v>
      </c>
      <c r="D1463" s="45" t="s">
        <v>2472</v>
      </c>
      <c r="E1463" s="46" t="s">
        <v>7060</v>
      </c>
      <c r="F1463" s="87"/>
      <c r="G1463" s="82"/>
      <c r="H1463" s="82"/>
      <c r="I1463" s="82" t="s">
        <v>2850</v>
      </c>
      <c r="J1463" s="82"/>
      <c r="K1463" s="82"/>
      <c r="L1463" s="82"/>
      <c r="M1463" s="82"/>
      <c r="N1463" s="82"/>
      <c r="O1463" s="87" t="s">
        <v>7043</v>
      </c>
      <c r="P1463" s="82" t="s">
        <v>814</v>
      </c>
      <c r="Q1463" s="83">
        <f>VLOOKUP(TAB_ESTOQUE[[#This Row],[Codigo]],TAB_ENTRADA[[Cod_2_Entrada]:[TOTAL_ENTRADA]],5,FALSE)-VLOOKUP(TAB_ESTOQUE[[#This Row],[Codigo]],TAB_SAIDA[[COD_2_SAIDA]:[TOTAL_SAIDA]],5,FALSE)</f>
        <v>0</v>
      </c>
      <c r="R1463" s="87"/>
      <c r="S1463" s="87"/>
      <c r="T1463" s="90"/>
      <c r="U1463" s="91">
        <f>TAB_ESTOQUE[[#This Row],[Valor Unitario Estimado]]*TAB_ESTOQUE[[#This Row],[Estoque]]</f>
        <v>0</v>
      </c>
      <c r="V1463" s="91"/>
      <c r="W1463" s="85"/>
      <c r="X1463" s="85"/>
      <c r="Y1463" s="85"/>
      <c r="Z1463" s="85"/>
      <c r="AA1463" s="85"/>
      <c r="AB1463" s="85" t="str">
        <f>IF(TAB_ESTOQUE[[#This Row],[Estoque]]=0,"Estoque Não Conforme",IF(TAB_ESTOQUE[[#This Row],[Estoque]]&gt;=TAB_ESTOQUE[[#This Row],[Mínimo]],"Estoque Conforme",IF(TAB_ESTOQUE[[#This Row],[Estoque]]&lt;TAB_ESTOQUE[[#This Row],[Mínimo]],"Estoque em Nivel Minimo")))</f>
        <v>Estoque Não Conforme</v>
      </c>
      <c r="AC1463" s="85"/>
      <c r="AD1463" s="82"/>
    </row>
    <row r="1464" spans="1:30" x14ac:dyDescent="0.25">
      <c r="A1464" s="45">
        <v>1308</v>
      </c>
      <c r="B1464" s="47"/>
      <c r="C1464" s="46"/>
      <c r="D1464" s="45" t="s">
        <v>2473</v>
      </c>
      <c r="E1464" s="46" t="s">
        <v>7060</v>
      </c>
      <c r="F1464" s="87"/>
      <c r="G1464" s="82"/>
      <c r="H1464" s="82"/>
      <c r="I1464" s="82" t="s">
        <v>2851</v>
      </c>
      <c r="J1464" s="82"/>
      <c r="K1464" s="82"/>
      <c r="L1464" s="82"/>
      <c r="M1464" s="82"/>
      <c r="N1464" s="82"/>
      <c r="O1464" s="87" t="s">
        <v>7043</v>
      </c>
      <c r="P1464" s="82" t="s">
        <v>816</v>
      </c>
      <c r="Q1464" s="83">
        <f>VLOOKUP(TAB_ESTOQUE[[#This Row],[Codigo]],TAB_ENTRADA[[Cod_2_Entrada]:[TOTAL_ENTRADA]],5,FALSE)-VLOOKUP(TAB_ESTOQUE[[#This Row],[Codigo]],TAB_SAIDA[[COD_2_SAIDA]:[TOTAL_SAIDA]],5,FALSE)</f>
        <v>1</v>
      </c>
      <c r="R1464" s="87"/>
      <c r="S1464" s="87"/>
      <c r="T1464" s="90">
        <v>950</v>
      </c>
      <c r="U1464" s="91">
        <f>TAB_ESTOQUE[[#This Row],[Valor Unitario Estimado]]*TAB_ESTOQUE[[#This Row],[Estoque]]</f>
        <v>950</v>
      </c>
      <c r="V1464" s="91"/>
      <c r="W1464" s="85"/>
      <c r="X1464" s="85"/>
      <c r="Y1464" s="83"/>
      <c r="Z1464" s="85"/>
      <c r="AA1464" s="141"/>
      <c r="AB1464" s="85" t="str">
        <f>IF(TAB_ESTOQUE[[#This Row],[Estoque]]=0,"Estoque Não Conforme",IF(TAB_ESTOQUE[[#This Row],[Estoque]]&gt;=TAB_ESTOQUE[[#This Row],[Mínimo]],"Estoque Conforme",IF(TAB_ESTOQUE[[#This Row],[Estoque]]&lt;TAB_ESTOQUE[[#This Row],[Mínimo]],"Estoque em Nivel Minimo")))</f>
        <v>Estoque Conforme</v>
      </c>
      <c r="AC1464" s="85"/>
      <c r="AD1464" s="82"/>
    </row>
    <row r="1465" spans="1:30" x14ac:dyDescent="0.25">
      <c r="A1465" s="45">
        <v>1075</v>
      </c>
      <c r="B1465" s="47"/>
      <c r="C1465" s="46"/>
      <c r="D1465" s="45" t="s">
        <v>2474</v>
      </c>
      <c r="E1465" s="46" t="s">
        <v>778</v>
      </c>
      <c r="F1465" s="87"/>
      <c r="G1465" s="82"/>
      <c r="H1465" s="82"/>
      <c r="I1465" s="82" t="s">
        <v>7983</v>
      </c>
      <c r="J1465" s="82"/>
      <c r="K1465" s="82"/>
      <c r="L1465" s="82"/>
      <c r="M1465" s="82"/>
      <c r="N1465" s="82"/>
      <c r="O1465" s="87" t="s">
        <v>7043</v>
      </c>
      <c r="P1465" s="82" t="s">
        <v>816</v>
      </c>
      <c r="Q1465" s="83">
        <f>VLOOKUP(TAB_ESTOQUE[[#This Row],[Codigo]],TAB_ENTRADA[[Cod_2_Entrada]:[TOTAL_ENTRADA]],5,FALSE)-VLOOKUP(TAB_ESTOQUE[[#This Row],[Codigo]],TAB_SAIDA[[COD_2_SAIDA]:[TOTAL_SAIDA]],5,FALSE)</f>
        <v>2</v>
      </c>
      <c r="R1465" s="87"/>
      <c r="S1465" s="87"/>
      <c r="T1465" s="90">
        <v>660</v>
      </c>
      <c r="U1465" s="91">
        <f>TAB_ESTOQUE[[#This Row],[Valor Unitario Estimado]]*TAB_ESTOQUE[[#This Row],[Estoque]]</f>
        <v>1320</v>
      </c>
      <c r="V1465" s="91"/>
      <c r="W1465" s="85"/>
      <c r="X1465" s="85"/>
      <c r="Y1465" s="85"/>
      <c r="Z1465" s="85"/>
      <c r="AA1465" s="85"/>
      <c r="AB1465" s="85" t="str">
        <f>IF(TAB_ESTOQUE[[#This Row],[Estoque]]=0,"Estoque Não Conforme",IF(TAB_ESTOQUE[[#This Row],[Estoque]]&gt;=TAB_ESTOQUE[[#This Row],[Mínimo]],"Estoque Conforme",IF(TAB_ESTOQUE[[#This Row],[Estoque]]&lt;TAB_ESTOQUE[[#This Row],[Mínimo]],"Estoque em Nivel Minimo")))</f>
        <v>Estoque Conforme</v>
      </c>
      <c r="AC1465" s="85"/>
      <c r="AD1465" s="82"/>
    </row>
    <row r="1466" spans="1:30" x14ac:dyDescent="0.25">
      <c r="A1466" s="47"/>
      <c r="B1466" s="47"/>
      <c r="C1466" s="51"/>
      <c r="D1466" s="47" t="s">
        <v>2700</v>
      </c>
      <c r="E1466" s="51" t="s">
        <v>116</v>
      </c>
      <c r="F1466" s="107"/>
      <c r="G1466" s="94"/>
      <c r="H1466" s="94"/>
      <c r="I1466" s="94" t="s">
        <v>2869</v>
      </c>
      <c r="J1466" s="94"/>
      <c r="K1466" s="94" t="s">
        <v>1369</v>
      </c>
      <c r="L1466" s="94"/>
      <c r="M1466" s="94"/>
      <c r="N1466" s="94"/>
      <c r="O1466" s="107" t="s">
        <v>7043</v>
      </c>
      <c r="P1466" s="94" t="s">
        <v>1300</v>
      </c>
      <c r="Q1466" s="145">
        <f>VLOOKUP(TAB_ESTOQUE[[#This Row],[Codigo]],TAB_ENTRADA[[Cod_2_Entrada]:[TOTAL_ENTRADA]],5,FALSE)-VLOOKUP(TAB_ESTOQUE[[#This Row],[Codigo]],TAB_SAIDA[[COD_2_SAIDA]:[TOTAL_SAIDA]],5,FALSE)</f>
        <v>0</v>
      </c>
      <c r="R1466" s="107"/>
      <c r="S1466" s="107"/>
      <c r="T1466" s="108"/>
      <c r="U1466" s="109">
        <f>TAB_ESTOQUE[[#This Row],[Valor Unitario Estimado]]*TAB_ESTOQUE[[#This Row],[Estoque]]</f>
        <v>0</v>
      </c>
      <c r="V1466" s="109"/>
      <c r="W1466" s="110"/>
      <c r="X1466" s="110"/>
      <c r="Y1466" s="110"/>
      <c r="Z1466" s="110"/>
      <c r="AA1466" s="110"/>
      <c r="AB1466" s="155" t="str">
        <f>IF(TAB_ESTOQUE[[#This Row],[Estoque]]=0,"Estoque Não Conforme",IF(TAB_ESTOQUE[[#This Row],[Estoque]]&gt;=TAB_ESTOQUE[[#This Row],[Mínimo]],"Estoque Conforme",IF(TAB_ESTOQUE[[#This Row],[Estoque]]&lt;TAB_ESTOQUE[[#This Row],[Mínimo]],"Estoque em Nivel Minimo")))</f>
        <v>Estoque Não Conforme</v>
      </c>
      <c r="AC1466" s="110"/>
      <c r="AD1466" s="94"/>
    </row>
    <row r="1467" spans="1:30" x14ac:dyDescent="0.25">
      <c r="C1467" s="48"/>
      <c r="D1467" s="45" t="s">
        <v>6659</v>
      </c>
      <c r="E1467" s="46" t="s">
        <v>116</v>
      </c>
      <c r="F1467" s="46"/>
      <c r="I1467" s="45" t="s">
        <v>7084</v>
      </c>
      <c r="O1467" s="46" t="s">
        <v>7043</v>
      </c>
      <c r="Q1467" s="83">
        <f>VLOOKUP(TAB_ESTOQUE[[#This Row],[Codigo]],TAB_ENTRADA[[Cod_2_Entrada]:[TOTAL_ENTRADA]],5,FALSE)-VLOOKUP(TAB_ESTOQUE[[#This Row],[Codigo]],TAB_SAIDA[[COD_2_SAIDA]:[TOTAL_SAIDA]],5,FALSE)</f>
        <v>0</v>
      </c>
      <c r="S1467" s="46"/>
      <c r="T1467" s="102"/>
      <c r="U1467" s="103">
        <f>TAB_ESTOQUE[[#This Row],[Valor Unitario Estimado]]*TAB_ESTOQUE[[#This Row],[Estoque]]</f>
        <v>0</v>
      </c>
      <c r="V1467" s="103"/>
      <c r="AB1467" s="104" t="str">
        <f>IF(TAB_ESTOQUE[[#This Row],[Estoque]]=0,"Estoque Não Conforme",IF(TAB_ESTOQUE[[#This Row],[Estoque]]&gt;=TAB_ESTOQUE[[#This Row],[Mínimo]],"Estoque Conforme",IF(TAB_ESTOQUE[[#This Row],[Estoque]]&lt;TAB_ESTOQUE[[#This Row],[Mínimo]],"Estoque em Nivel Minimo")))</f>
        <v>Estoque Não Conforme</v>
      </c>
      <c r="AC1467" s="104"/>
    </row>
    <row r="1468" spans="1:30" x14ac:dyDescent="0.25">
      <c r="C1468" s="48"/>
      <c r="D1468" s="45" t="s">
        <v>6739</v>
      </c>
      <c r="E1468" s="46" t="s">
        <v>116</v>
      </c>
      <c r="F1468" s="46"/>
      <c r="I1468" s="45" t="s">
        <v>7085</v>
      </c>
      <c r="O1468" s="46" t="s">
        <v>7043</v>
      </c>
      <c r="Q1468" s="83">
        <f>VLOOKUP(TAB_ESTOQUE[[#This Row],[Codigo]],TAB_ENTRADA[[Cod_2_Entrada]:[TOTAL_ENTRADA]],5,FALSE)-VLOOKUP(TAB_ESTOQUE[[#This Row],[Codigo]],TAB_SAIDA[[COD_2_SAIDA]:[TOTAL_SAIDA]],5,FALSE)</f>
        <v>0</v>
      </c>
      <c r="S1468" s="46"/>
      <c r="T1468" s="102"/>
      <c r="U1468" s="103">
        <f>TAB_ESTOQUE[[#This Row],[Valor Unitario Estimado]]*TAB_ESTOQUE[[#This Row],[Estoque]]</f>
        <v>0</v>
      </c>
      <c r="V1468" s="103"/>
      <c r="AB1468" s="104" t="str">
        <f>IF(TAB_ESTOQUE[[#This Row],[Estoque]]=0,"Estoque Não Conforme",IF(TAB_ESTOQUE[[#This Row],[Estoque]]&gt;=TAB_ESTOQUE[[#This Row],[Mínimo]],"Estoque Conforme",IF(TAB_ESTOQUE[[#This Row],[Estoque]]&lt;TAB_ESTOQUE[[#This Row],[Mínimo]],"Estoque em Nivel Minimo")))</f>
        <v>Estoque Não Conforme</v>
      </c>
      <c r="AC1468" s="104"/>
    </row>
    <row r="1469" spans="1:30" x14ac:dyDescent="0.25">
      <c r="C1469" s="139" t="s">
        <v>2833</v>
      </c>
      <c r="D1469" s="45" t="s">
        <v>6812</v>
      </c>
      <c r="E1469" s="46" t="s">
        <v>116</v>
      </c>
      <c r="F1469" s="46"/>
      <c r="I1469" s="45" t="s">
        <v>7135</v>
      </c>
      <c r="O1469" s="46" t="s">
        <v>7043</v>
      </c>
      <c r="Q1469" s="137">
        <f>VLOOKUP(TAB_ESTOQUE[[#This Row],[Codigo]],TAB_ENTRADA[[Cod_2_Entrada]:[TOTAL_ENTRADA]],5,FALSE)-VLOOKUP(TAB_ESTOQUE[[#This Row],[Codigo]],TAB_SAIDA[[COD_2_SAIDA]:[TOTAL_SAIDA]],5,FALSE)</f>
        <v>0</v>
      </c>
      <c r="S1469" s="46"/>
      <c r="T1469" s="102"/>
      <c r="U1469" s="103">
        <f>TAB_ESTOQUE[[#This Row],[Valor Unitario Estimado]]*TAB_ESTOQUE[[#This Row],[Estoque]]</f>
        <v>0</v>
      </c>
      <c r="V1469" s="103"/>
      <c r="AA1469" s="138"/>
      <c r="AB1469" s="104" t="str">
        <f>IF(TAB_ESTOQUE[[#This Row],[Estoque]]=0,"Estoque Não Conforme",IF(TAB_ESTOQUE[[#This Row],[Estoque]]&gt;=TAB_ESTOQUE[[#This Row],[Mínimo]],"Estoque Conforme",IF(TAB_ESTOQUE[[#This Row],[Estoque]]&lt;TAB_ESTOQUE[[#This Row],[Mínimo]],"Estoque em Nivel Minimo")))</f>
        <v>Estoque Não Conforme</v>
      </c>
      <c r="AC1469" s="104"/>
    </row>
    <row r="1470" spans="1:30" x14ac:dyDescent="0.25">
      <c r="C1470" s="140" t="s">
        <v>2842</v>
      </c>
      <c r="D1470" s="45" t="s">
        <v>6813</v>
      </c>
      <c r="E1470" s="46" t="s">
        <v>116</v>
      </c>
      <c r="F1470" s="46"/>
      <c r="I1470" s="45" t="s">
        <v>7136</v>
      </c>
      <c r="O1470" s="46" t="s">
        <v>7043</v>
      </c>
      <c r="Q1470" s="137">
        <f>VLOOKUP(TAB_ESTOQUE[[#This Row],[Codigo]],TAB_ENTRADA[[Cod_2_Entrada]:[TOTAL_ENTRADA]],5,FALSE)-VLOOKUP(TAB_ESTOQUE[[#This Row],[Codigo]],TAB_SAIDA[[COD_2_SAIDA]:[TOTAL_SAIDA]],5,FALSE)</f>
        <v>0</v>
      </c>
      <c r="S1470" s="46"/>
      <c r="T1470" s="102"/>
      <c r="U1470" s="103">
        <f>TAB_ESTOQUE[[#This Row],[Valor Unitario Estimado]]*TAB_ESTOQUE[[#This Row],[Estoque]]</f>
        <v>0</v>
      </c>
      <c r="V1470" s="103"/>
      <c r="AA1470" s="138"/>
      <c r="AB1470" s="104" t="str">
        <f>IF(TAB_ESTOQUE[[#This Row],[Estoque]]=0,"Estoque Não Conforme",IF(TAB_ESTOQUE[[#This Row],[Estoque]]&gt;=TAB_ESTOQUE[[#This Row],[Mínimo]],"Estoque Conforme",IF(TAB_ESTOQUE[[#This Row],[Estoque]]&lt;TAB_ESTOQUE[[#This Row],[Mínimo]],"Estoque em Nivel Minimo")))</f>
        <v>Estoque Não Conforme</v>
      </c>
      <c r="AC1470" s="104"/>
    </row>
    <row r="1471" spans="1:30" x14ac:dyDescent="0.25">
      <c r="C1471" s="105" t="s">
        <v>2838</v>
      </c>
      <c r="D1471" s="45" t="s">
        <v>6814</v>
      </c>
      <c r="E1471" s="46" t="s">
        <v>116</v>
      </c>
      <c r="F1471" s="46"/>
      <c r="I1471" s="45" t="s">
        <v>7137</v>
      </c>
      <c r="O1471" s="46" t="s">
        <v>7043</v>
      </c>
      <c r="Q1471" s="137">
        <f>VLOOKUP(TAB_ESTOQUE[[#This Row],[Codigo]],TAB_ENTRADA[[Cod_2_Entrada]:[TOTAL_ENTRADA]],5,FALSE)-VLOOKUP(TAB_ESTOQUE[[#This Row],[Codigo]],TAB_SAIDA[[COD_2_SAIDA]:[TOTAL_SAIDA]],5,FALSE)</f>
        <v>0</v>
      </c>
      <c r="S1471" s="46"/>
      <c r="T1471" s="102"/>
      <c r="U1471" s="103">
        <f>TAB_ESTOQUE[[#This Row],[Valor Unitario Estimado]]*TAB_ESTOQUE[[#This Row],[Estoque]]</f>
        <v>0</v>
      </c>
      <c r="V1471" s="103"/>
      <c r="AA1471" s="138"/>
      <c r="AB1471" s="104" t="str">
        <f>IF(TAB_ESTOQUE[[#This Row],[Estoque]]=0,"Estoque Não Conforme",IF(TAB_ESTOQUE[[#This Row],[Estoque]]&gt;=TAB_ESTOQUE[[#This Row],[Mínimo]],"Estoque Conforme",IF(TAB_ESTOQUE[[#This Row],[Estoque]]&lt;TAB_ESTOQUE[[#This Row],[Mínimo]],"Estoque em Nivel Minimo")))</f>
        <v>Estoque Não Conforme</v>
      </c>
      <c r="AC1471" s="104"/>
    </row>
    <row r="1472" spans="1:30" x14ac:dyDescent="0.25">
      <c r="C1472" s="105" t="s">
        <v>2838</v>
      </c>
      <c r="D1472" s="45" t="s">
        <v>6815</v>
      </c>
      <c r="E1472" s="46" t="s">
        <v>116</v>
      </c>
      <c r="F1472" s="46"/>
      <c r="I1472" s="45" t="s">
        <v>7138</v>
      </c>
      <c r="O1472" s="46" t="s">
        <v>7043</v>
      </c>
      <c r="Q1472" s="137">
        <f>VLOOKUP(TAB_ESTOQUE[[#This Row],[Codigo]],TAB_ENTRADA[[Cod_2_Entrada]:[TOTAL_ENTRADA]],5,FALSE)-VLOOKUP(TAB_ESTOQUE[[#This Row],[Codigo]],TAB_SAIDA[[COD_2_SAIDA]:[TOTAL_SAIDA]],5,FALSE)</f>
        <v>0</v>
      </c>
      <c r="S1472" s="46"/>
      <c r="T1472" s="102"/>
      <c r="U1472" s="103">
        <f>TAB_ESTOQUE[[#This Row],[Valor Unitario Estimado]]*TAB_ESTOQUE[[#This Row],[Estoque]]</f>
        <v>0</v>
      </c>
      <c r="V1472" s="103"/>
      <c r="AA1472" s="138"/>
      <c r="AB1472" s="104" t="str">
        <f>IF(TAB_ESTOQUE[[#This Row],[Estoque]]=0,"Estoque Não Conforme",IF(TAB_ESTOQUE[[#This Row],[Estoque]]&gt;=TAB_ESTOQUE[[#This Row],[Mínimo]],"Estoque Conforme",IF(TAB_ESTOQUE[[#This Row],[Estoque]]&lt;TAB_ESTOQUE[[#This Row],[Mínimo]],"Estoque em Nivel Minimo")))</f>
        <v>Estoque Não Conforme</v>
      </c>
      <c r="AC1472" s="104"/>
    </row>
    <row r="1473" spans="1:30" x14ac:dyDescent="0.25">
      <c r="C1473" s="105" t="s">
        <v>2838</v>
      </c>
      <c r="D1473" s="45" t="s">
        <v>6816</v>
      </c>
      <c r="E1473" s="46" t="s">
        <v>116</v>
      </c>
      <c r="F1473" s="46"/>
      <c r="I1473" s="45" t="s">
        <v>7139</v>
      </c>
      <c r="O1473" s="46" t="s">
        <v>7043</v>
      </c>
      <c r="Q1473" s="137">
        <f>VLOOKUP(TAB_ESTOQUE[[#This Row],[Codigo]],TAB_ENTRADA[[Cod_2_Entrada]:[TOTAL_ENTRADA]],5,FALSE)-VLOOKUP(TAB_ESTOQUE[[#This Row],[Codigo]],TAB_SAIDA[[COD_2_SAIDA]:[TOTAL_SAIDA]],5,FALSE)</f>
        <v>0</v>
      </c>
      <c r="S1473" s="46"/>
      <c r="T1473" s="102"/>
      <c r="U1473" s="103">
        <f>TAB_ESTOQUE[[#This Row],[Valor Unitario Estimado]]*TAB_ESTOQUE[[#This Row],[Estoque]]</f>
        <v>0</v>
      </c>
      <c r="V1473" s="103"/>
      <c r="AA1473" s="138"/>
      <c r="AB1473" s="104" t="str">
        <f>IF(TAB_ESTOQUE[[#This Row],[Estoque]]=0,"Estoque Não Conforme",IF(TAB_ESTOQUE[[#This Row],[Estoque]]&gt;=TAB_ESTOQUE[[#This Row],[Mínimo]],"Estoque Conforme",IF(TAB_ESTOQUE[[#This Row],[Estoque]]&lt;TAB_ESTOQUE[[#This Row],[Mínimo]],"Estoque em Nivel Minimo")))</f>
        <v>Estoque Não Conforme</v>
      </c>
      <c r="AC1473" s="104"/>
    </row>
    <row r="1474" spans="1:30" x14ac:dyDescent="0.25">
      <c r="C1474" s="105" t="s">
        <v>2838</v>
      </c>
      <c r="D1474" s="45" t="s">
        <v>6817</v>
      </c>
      <c r="E1474" s="46" t="s">
        <v>116</v>
      </c>
      <c r="F1474" s="46"/>
      <c r="I1474" s="45" t="s">
        <v>7140</v>
      </c>
      <c r="O1474" s="46" t="s">
        <v>7043</v>
      </c>
      <c r="Q1474" s="137">
        <f>VLOOKUP(TAB_ESTOQUE[[#This Row],[Codigo]],TAB_ENTRADA[[Cod_2_Entrada]:[TOTAL_ENTRADA]],5,FALSE)-VLOOKUP(TAB_ESTOQUE[[#This Row],[Codigo]],TAB_SAIDA[[COD_2_SAIDA]:[TOTAL_SAIDA]],5,FALSE)</f>
        <v>0</v>
      </c>
      <c r="S1474" s="46"/>
      <c r="T1474" s="102"/>
      <c r="U1474" s="103">
        <f>TAB_ESTOQUE[[#This Row],[Valor Unitario Estimado]]*TAB_ESTOQUE[[#This Row],[Estoque]]</f>
        <v>0</v>
      </c>
      <c r="V1474" s="103"/>
      <c r="AA1474" s="138"/>
      <c r="AB1474" s="104" t="str">
        <f>IF(TAB_ESTOQUE[[#This Row],[Estoque]]=0,"Estoque Não Conforme",IF(TAB_ESTOQUE[[#This Row],[Estoque]]&gt;=TAB_ESTOQUE[[#This Row],[Mínimo]],"Estoque Conforme",IF(TAB_ESTOQUE[[#This Row],[Estoque]]&lt;TAB_ESTOQUE[[#This Row],[Mínimo]],"Estoque em Nivel Minimo")))</f>
        <v>Estoque Não Conforme</v>
      </c>
      <c r="AC1474" s="104"/>
    </row>
    <row r="1475" spans="1:30" x14ac:dyDescent="0.25">
      <c r="C1475" s="121" t="s">
        <v>2833</v>
      </c>
      <c r="D1475" s="45" t="s">
        <v>6818</v>
      </c>
      <c r="E1475" s="46" t="s">
        <v>116</v>
      </c>
      <c r="F1475" s="46"/>
      <c r="I1475" s="45" t="s">
        <v>7141</v>
      </c>
      <c r="O1475" s="46" t="s">
        <v>7043</v>
      </c>
      <c r="Q1475" s="137">
        <f>VLOOKUP(TAB_ESTOQUE[[#This Row],[Codigo]],TAB_ENTRADA[[Cod_2_Entrada]:[TOTAL_ENTRADA]],5,FALSE)-VLOOKUP(TAB_ESTOQUE[[#This Row],[Codigo]],TAB_SAIDA[[COD_2_SAIDA]:[TOTAL_SAIDA]],5,FALSE)</f>
        <v>0</v>
      </c>
      <c r="S1475" s="46"/>
      <c r="T1475" s="102"/>
      <c r="U1475" s="103">
        <f>TAB_ESTOQUE[[#This Row],[Valor Unitario Estimado]]*TAB_ESTOQUE[[#This Row],[Estoque]]</f>
        <v>0</v>
      </c>
      <c r="V1475" s="103"/>
      <c r="AA1475" s="138"/>
      <c r="AB1475" s="104" t="str">
        <f>IF(TAB_ESTOQUE[[#This Row],[Estoque]]=0,"Estoque Não Conforme",IF(TAB_ESTOQUE[[#This Row],[Estoque]]&gt;=TAB_ESTOQUE[[#This Row],[Mínimo]],"Estoque Conforme",IF(TAB_ESTOQUE[[#This Row],[Estoque]]&lt;TAB_ESTOQUE[[#This Row],[Mínimo]],"Estoque em Nivel Minimo")))</f>
        <v>Estoque Não Conforme</v>
      </c>
      <c r="AC1475" s="104"/>
    </row>
    <row r="1476" spans="1:30" x14ac:dyDescent="0.25">
      <c r="C1476" s="53" t="s">
        <v>2842</v>
      </c>
      <c r="D1476" s="45" t="s">
        <v>6838</v>
      </c>
      <c r="E1476" s="46" t="s">
        <v>116</v>
      </c>
      <c r="F1476" s="46"/>
      <c r="I1476" s="45" t="s">
        <v>7142</v>
      </c>
      <c r="O1476" s="46" t="s">
        <v>7043</v>
      </c>
      <c r="Q1476" s="137">
        <f>VLOOKUP(TAB_ESTOQUE[[#This Row],[Codigo]],TAB_ENTRADA[[Cod_2_Entrada]:[TOTAL_ENTRADA]],5,FALSE)-VLOOKUP(TAB_ESTOQUE[[#This Row],[Codigo]],TAB_SAIDA[[COD_2_SAIDA]:[TOTAL_SAIDA]],5,FALSE)</f>
        <v>0</v>
      </c>
      <c r="S1476" s="46"/>
      <c r="T1476" s="102"/>
      <c r="U1476" s="103">
        <f>TAB_ESTOQUE[[#This Row],[Valor Unitario Estimado]]*TAB_ESTOQUE[[#This Row],[Estoque]]</f>
        <v>0</v>
      </c>
      <c r="V1476" s="103"/>
      <c r="AA1476" s="138"/>
      <c r="AB1476" s="104" t="str">
        <f>IF(TAB_ESTOQUE[[#This Row],[Estoque]]=0,"Estoque Não Conforme",IF(TAB_ESTOQUE[[#This Row],[Estoque]]&gt;=TAB_ESTOQUE[[#This Row],[Mínimo]],"Estoque Conforme",IF(TAB_ESTOQUE[[#This Row],[Estoque]]&lt;TAB_ESTOQUE[[#This Row],[Mínimo]],"Estoque em Nivel Minimo")))</f>
        <v>Estoque Não Conforme</v>
      </c>
      <c r="AC1476" s="104"/>
    </row>
    <row r="1477" spans="1:30" x14ac:dyDescent="0.25">
      <c r="C1477" s="48"/>
      <c r="D1477" s="45" t="s">
        <v>6937</v>
      </c>
      <c r="E1477" s="46" t="s">
        <v>7265</v>
      </c>
      <c r="F1477" s="46"/>
      <c r="I1477" s="45" t="s">
        <v>7266</v>
      </c>
      <c r="O1477" s="46" t="s">
        <v>7043</v>
      </c>
      <c r="Q1477" s="137">
        <f>VLOOKUP(TAB_ESTOQUE[[#This Row],[Codigo]],TAB_ENTRADA[[Cod_2_Entrada]:[TOTAL_ENTRADA]],5,FALSE)-VLOOKUP(TAB_ESTOQUE[[#This Row],[Codigo]],TAB_SAIDA[[COD_2_SAIDA]:[TOTAL_SAIDA]],5,FALSE)</f>
        <v>1</v>
      </c>
      <c r="S1477" s="46"/>
      <c r="T1477" s="102">
        <v>1793.56</v>
      </c>
      <c r="U1477" s="103">
        <f>TAB_ESTOQUE[[#This Row],[Valor Unitario Estimado]]*TAB_ESTOQUE[[#This Row],[Estoque]]</f>
        <v>1793.56</v>
      </c>
      <c r="V1477" s="103"/>
      <c r="AA1477" s="138"/>
      <c r="AB1477" s="104" t="str">
        <f>IF(TAB_ESTOQUE[[#This Row],[Estoque]]=0,"Estoque Não Conforme",IF(TAB_ESTOQUE[[#This Row],[Estoque]]&gt;=TAB_ESTOQUE[[#This Row],[Mínimo]],"Estoque Conforme",IF(TAB_ESTOQUE[[#This Row],[Estoque]]&lt;TAB_ESTOQUE[[#This Row],[Mínimo]],"Estoque em Nivel Minimo")))</f>
        <v>Estoque Conforme</v>
      </c>
      <c r="AC1477" s="104"/>
    </row>
    <row r="1478" spans="1:30" x14ac:dyDescent="0.25">
      <c r="A1478" s="45">
        <v>1226</v>
      </c>
      <c r="B1478" s="47"/>
      <c r="C1478" s="46"/>
      <c r="D1478" s="45" t="s">
        <v>1909</v>
      </c>
      <c r="E1478" s="46" t="s">
        <v>7</v>
      </c>
      <c r="F1478" s="87"/>
      <c r="G1478" s="82"/>
      <c r="H1478" s="82"/>
      <c r="I1478" s="82" t="s">
        <v>8475</v>
      </c>
      <c r="J1478" s="82"/>
      <c r="K1478" s="82"/>
      <c r="L1478" s="82"/>
      <c r="M1478" s="82"/>
      <c r="N1478" s="82"/>
      <c r="O1478" s="87" t="s">
        <v>7044</v>
      </c>
      <c r="P1478" s="82" t="s">
        <v>937</v>
      </c>
      <c r="Q1478" s="83">
        <f>VLOOKUP(TAB_ESTOQUE[[#This Row],[Codigo]],TAB_ENTRADA[[Cod_2_Entrada]:[TOTAL_ENTRADA]],5,FALSE)-VLOOKUP(TAB_ESTOQUE[[#This Row],[Codigo]],TAB_SAIDA[[COD_2_SAIDA]:[TOTAL_SAIDA]],5,FALSE)</f>
        <v>3</v>
      </c>
      <c r="R1478" s="87"/>
      <c r="S1478" s="87"/>
      <c r="T1478" s="90">
        <v>345</v>
      </c>
      <c r="U1478" s="91">
        <f>TAB_ESTOQUE[[#This Row],[Valor Unitario Estimado]]*TAB_ESTOQUE[[#This Row],[Estoque]]</f>
        <v>1035</v>
      </c>
      <c r="V1478" s="91"/>
      <c r="W1478" s="85"/>
      <c r="X1478" s="85"/>
      <c r="Y1478" s="85"/>
      <c r="Z1478" s="85"/>
      <c r="AA1478" s="85"/>
      <c r="AB1478" s="85" t="str">
        <f>IF(TAB_ESTOQUE[[#This Row],[Estoque]]=0,"Estoque Não Conforme",IF(TAB_ESTOQUE[[#This Row],[Estoque]]&gt;=TAB_ESTOQUE[[#This Row],[Mínimo]],"Estoque Conforme",IF(TAB_ESTOQUE[[#This Row],[Estoque]]&lt;TAB_ESTOQUE[[#This Row],[Mínimo]],"Estoque em Nivel Minimo")))</f>
        <v>Estoque Conforme</v>
      </c>
      <c r="AC1478" s="85"/>
      <c r="AD1478" s="82"/>
    </row>
    <row r="1479" spans="1:30" x14ac:dyDescent="0.25">
      <c r="A1479" s="45">
        <v>956</v>
      </c>
      <c r="B1479" s="47"/>
      <c r="C1479" s="46"/>
      <c r="D1479" s="45" t="s">
        <v>2597</v>
      </c>
      <c r="E1479" s="46"/>
      <c r="F1479" s="87"/>
      <c r="G1479" s="82"/>
      <c r="H1479" s="82"/>
      <c r="I1479" s="82" t="s">
        <v>1182</v>
      </c>
      <c r="J1479" s="82"/>
      <c r="K1479" s="82"/>
      <c r="L1479" s="82"/>
      <c r="M1479" s="82"/>
      <c r="N1479" s="82"/>
      <c r="O1479" s="87" t="s">
        <v>7044</v>
      </c>
      <c r="P1479" s="82" t="s">
        <v>739</v>
      </c>
      <c r="Q1479" s="83">
        <f>VLOOKUP(TAB_ESTOQUE[[#This Row],[Codigo]],TAB_ENTRADA[[Cod_2_Entrada]:[TOTAL_ENTRADA]],5,FALSE)-VLOOKUP(TAB_ESTOQUE[[#This Row],[Codigo]],TAB_SAIDA[[COD_2_SAIDA]:[TOTAL_SAIDA]],5,FALSE)</f>
        <v>1</v>
      </c>
      <c r="R1479" s="87"/>
      <c r="S1479" s="87"/>
      <c r="T1479" s="90"/>
      <c r="U1479" s="91">
        <f>TAB_ESTOQUE[[#This Row],[Valor Unitario Estimado]]*TAB_ESTOQUE[[#This Row],[Estoque]]</f>
        <v>0</v>
      </c>
      <c r="V1479" s="91"/>
      <c r="W1479" s="85"/>
      <c r="X1479" s="85"/>
      <c r="Y1479" s="85"/>
      <c r="Z1479" s="85"/>
      <c r="AA1479" s="85"/>
      <c r="AB1479" s="85" t="str">
        <f>IF(TAB_ESTOQUE[[#This Row],[Estoque]]=0,"Estoque Não Conforme",IF(TAB_ESTOQUE[[#This Row],[Estoque]]&gt;=TAB_ESTOQUE[[#This Row],[Mínimo]],"Estoque Conforme",IF(TAB_ESTOQUE[[#This Row],[Estoque]]&lt;TAB_ESTOQUE[[#This Row],[Mínimo]],"Estoque em Nivel Minimo")))</f>
        <v>Estoque Conforme</v>
      </c>
      <c r="AC1479" s="85"/>
      <c r="AD1479" s="82"/>
    </row>
    <row r="1480" spans="1:30" x14ac:dyDescent="0.25">
      <c r="C1480" s="53" t="s">
        <v>2842</v>
      </c>
      <c r="D1480" s="45" t="s">
        <v>6804</v>
      </c>
      <c r="E1480" s="46" t="s">
        <v>116</v>
      </c>
      <c r="F1480" s="46"/>
      <c r="I1480" s="45" t="s">
        <v>2888</v>
      </c>
      <c r="O1480" s="46" t="s">
        <v>7044</v>
      </c>
      <c r="Q1480" s="83">
        <f>VLOOKUP(TAB_ESTOQUE[[#This Row],[Codigo]],TAB_ENTRADA[[Cod_2_Entrada]:[TOTAL_ENTRADA]],5,FALSE)-VLOOKUP(TAB_ESTOQUE[[#This Row],[Codigo]],TAB_SAIDA[[COD_2_SAIDA]:[TOTAL_SAIDA]],5,FALSE)</f>
        <v>0</v>
      </c>
      <c r="S1480" s="46"/>
      <c r="T1480" s="102"/>
      <c r="U1480" s="103">
        <f>TAB_ESTOQUE[[#This Row],[Valor Unitario Estimado]]*TAB_ESTOQUE[[#This Row],[Estoque]]</f>
        <v>0</v>
      </c>
      <c r="V1480" s="103"/>
      <c r="AB1480" s="104" t="str">
        <f>IF(TAB_ESTOQUE[[#This Row],[Estoque]]=0,"Estoque Não Conforme",IF(TAB_ESTOQUE[[#This Row],[Estoque]]&gt;=TAB_ESTOQUE[[#This Row],[Mínimo]],"Estoque Conforme",IF(TAB_ESTOQUE[[#This Row],[Estoque]]&lt;TAB_ESTOQUE[[#This Row],[Mínimo]],"Estoque em Nivel Minimo")))</f>
        <v>Estoque Não Conforme</v>
      </c>
      <c r="AC1480" s="104"/>
    </row>
    <row r="1481" spans="1:30" x14ac:dyDescent="0.25">
      <c r="A1481" s="45">
        <v>152</v>
      </c>
      <c r="B1481" s="47"/>
      <c r="C1481" s="46"/>
      <c r="D1481" s="45" t="s">
        <v>1915</v>
      </c>
      <c r="E1481" s="46" t="s">
        <v>7</v>
      </c>
      <c r="F1481" s="87"/>
      <c r="G1481" s="82"/>
      <c r="H1481" s="82"/>
      <c r="I1481" s="82" t="s">
        <v>2893</v>
      </c>
      <c r="J1481" s="82"/>
      <c r="K1481" s="82"/>
      <c r="L1481" s="82"/>
      <c r="M1481" s="82"/>
      <c r="N1481" s="82"/>
      <c r="O1481" s="87" t="s">
        <v>7048</v>
      </c>
      <c r="P1481" s="82" t="s">
        <v>95</v>
      </c>
      <c r="Q1481" s="83">
        <f>VLOOKUP(TAB_ESTOQUE[[#This Row],[Codigo]],TAB_ENTRADA[[Cod_2_Entrada]:[TOTAL_ENTRADA]],5,FALSE)-VLOOKUP(TAB_ESTOQUE[[#This Row],[Codigo]],TAB_SAIDA[[COD_2_SAIDA]:[TOTAL_SAIDA]],5,FALSE)</f>
        <v>18</v>
      </c>
      <c r="R1481" s="87"/>
      <c r="S1481" s="87"/>
      <c r="T1481" s="90"/>
      <c r="U1481" s="91">
        <f>TAB_ESTOQUE[[#This Row],[Valor Unitario Estimado]]*TAB_ESTOQUE[[#This Row],[Estoque]]</f>
        <v>0</v>
      </c>
      <c r="V1481" s="91"/>
      <c r="W1481" s="85"/>
      <c r="X1481" s="85"/>
      <c r="Y1481" s="85"/>
      <c r="Z1481" s="85"/>
      <c r="AA1481" s="85"/>
      <c r="AB1481" s="85" t="str">
        <f>IF(TAB_ESTOQUE[[#This Row],[Estoque]]=0,"Estoque Não Conforme",IF(TAB_ESTOQUE[[#This Row],[Estoque]]&gt;=TAB_ESTOQUE[[#This Row],[Mínimo]],"Estoque Conforme",IF(TAB_ESTOQUE[[#This Row],[Estoque]]&lt;TAB_ESTOQUE[[#This Row],[Mínimo]],"Estoque em Nivel Minimo")))</f>
        <v>Estoque Conforme</v>
      </c>
      <c r="AC1481" s="85"/>
      <c r="AD1481" s="82"/>
    </row>
    <row r="1482" spans="1:30" x14ac:dyDescent="0.25">
      <c r="A1482" s="45">
        <v>596</v>
      </c>
      <c r="B1482" s="47"/>
      <c r="C1482" s="46"/>
      <c r="D1482" s="45" t="s">
        <v>1930</v>
      </c>
      <c r="E1482" s="46" t="s">
        <v>7265</v>
      </c>
      <c r="F1482" s="87"/>
      <c r="G1482" s="82"/>
      <c r="H1482" s="82"/>
      <c r="I1482" s="82" t="s">
        <v>6503</v>
      </c>
      <c r="J1482" s="82"/>
      <c r="K1482" s="82"/>
      <c r="L1482" s="82"/>
      <c r="M1482" s="82"/>
      <c r="N1482" s="82"/>
      <c r="O1482" s="87" t="s">
        <v>7048</v>
      </c>
      <c r="P1482" s="82" t="s">
        <v>376</v>
      </c>
      <c r="Q1482" s="83">
        <f>VLOOKUP(TAB_ESTOQUE[[#This Row],[Codigo]],TAB_ENTRADA[[Cod_2_Entrada]:[TOTAL_ENTRADA]],5,FALSE)-VLOOKUP(TAB_ESTOQUE[[#This Row],[Codigo]],TAB_SAIDA[[COD_2_SAIDA]:[TOTAL_SAIDA]],5,FALSE)</f>
        <v>0</v>
      </c>
      <c r="R1482" s="87"/>
      <c r="S1482" s="87"/>
      <c r="T1482" s="90"/>
      <c r="U1482" s="91">
        <f>TAB_ESTOQUE[[#This Row],[Valor Unitario Estimado]]*TAB_ESTOQUE[[#This Row],[Estoque]]</f>
        <v>0</v>
      </c>
      <c r="V1482" s="91"/>
      <c r="W1482" s="85"/>
      <c r="X1482" s="85"/>
      <c r="Y1482" s="85"/>
      <c r="Z1482" s="85"/>
      <c r="AA1482" s="85"/>
      <c r="AB1482" s="85" t="str">
        <f>IF(TAB_ESTOQUE[[#This Row],[Estoque]]=0,"Estoque Não Conforme",IF(TAB_ESTOQUE[[#This Row],[Estoque]]&gt;=TAB_ESTOQUE[[#This Row],[Mínimo]],"Estoque Conforme",IF(TAB_ESTOQUE[[#This Row],[Estoque]]&lt;TAB_ESTOQUE[[#This Row],[Mínimo]],"Estoque em Nivel Minimo")))</f>
        <v>Estoque Não Conforme</v>
      </c>
      <c r="AC1482" s="85"/>
      <c r="AD1482" s="82"/>
    </row>
    <row r="1483" spans="1:30" x14ac:dyDescent="0.25">
      <c r="A1483" s="45">
        <v>258</v>
      </c>
      <c r="B1483" s="47"/>
      <c r="C1483" s="46" t="s">
        <v>2833</v>
      </c>
      <c r="D1483" s="45" t="s">
        <v>2223</v>
      </c>
      <c r="E1483" s="46" t="s">
        <v>7265</v>
      </c>
      <c r="F1483" s="87"/>
      <c r="G1483" s="82"/>
      <c r="H1483" s="82"/>
      <c r="I1483" s="82" t="s">
        <v>2966</v>
      </c>
      <c r="J1483" s="82"/>
      <c r="K1483" s="82"/>
      <c r="L1483" s="82"/>
      <c r="M1483" s="82"/>
      <c r="N1483" s="82"/>
      <c r="O1483" s="87" t="s">
        <v>7048</v>
      </c>
      <c r="P1483" s="82" t="s">
        <v>197</v>
      </c>
      <c r="Q1483" s="83">
        <f>VLOOKUP(TAB_ESTOQUE[[#This Row],[Codigo]],TAB_ENTRADA[[Cod_2_Entrada]:[TOTAL_ENTRADA]],5,FALSE)-VLOOKUP(TAB_ESTOQUE[[#This Row],[Codigo]],TAB_SAIDA[[COD_2_SAIDA]:[TOTAL_SAIDA]],5,FALSE)</f>
        <v>4</v>
      </c>
      <c r="R1483" s="87"/>
      <c r="S1483" s="87"/>
      <c r="T1483" s="90"/>
      <c r="U1483" s="91">
        <f>TAB_ESTOQUE[[#This Row],[Valor Unitario Estimado]]*TAB_ESTOQUE[[#This Row],[Estoque]]</f>
        <v>0</v>
      </c>
      <c r="V1483" s="91"/>
      <c r="W1483" s="85"/>
      <c r="X1483" s="85"/>
      <c r="Y1483" s="85"/>
      <c r="Z1483" s="85"/>
      <c r="AA1483" s="85"/>
      <c r="AB1483" s="85" t="str">
        <f>IF(TAB_ESTOQUE[[#This Row],[Estoque]]=0,"Estoque Não Conforme",IF(TAB_ESTOQUE[[#This Row],[Estoque]]&gt;=TAB_ESTOQUE[[#This Row],[Mínimo]],"Estoque Conforme",IF(TAB_ESTOQUE[[#This Row],[Estoque]]&lt;TAB_ESTOQUE[[#This Row],[Mínimo]],"Estoque em Nivel Minimo")))</f>
        <v>Estoque Conforme</v>
      </c>
      <c r="AC1483" s="85"/>
      <c r="AD1483" s="82"/>
    </row>
    <row r="1484" spans="1:30" x14ac:dyDescent="0.25">
      <c r="A1484" s="45">
        <v>260</v>
      </c>
      <c r="B1484" s="47"/>
      <c r="C1484" s="46"/>
      <c r="D1484" s="45" t="s">
        <v>2224</v>
      </c>
      <c r="E1484" s="46" t="s">
        <v>7265</v>
      </c>
      <c r="F1484" s="87"/>
      <c r="G1484" s="82"/>
      <c r="H1484" s="82"/>
      <c r="I1484" s="82" t="s">
        <v>2988</v>
      </c>
      <c r="J1484" s="82"/>
      <c r="K1484" s="82"/>
      <c r="L1484" s="82"/>
      <c r="M1484" s="82" t="s">
        <v>139</v>
      </c>
      <c r="N1484" s="82"/>
      <c r="O1484" s="87" t="s">
        <v>7048</v>
      </c>
      <c r="P1484" s="82" t="s">
        <v>198</v>
      </c>
      <c r="Q1484" s="83">
        <f>VLOOKUP(TAB_ESTOQUE[[#This Row],[Codigo]],TAB_ENTRADA[[Cod_2_Entrada]:[TOTAL_ENTRADA]],5,FALSE)-VLOOKUP(TAB_ESTOQUE[[#This Row],[Codigo]],TAB_SAIDA[[COD_2_SAIDA]:[TOTAL_SAIDA]],5,FALSE)</f>
        <v>1</v>
      </c>
      <c r="R1484" s="87"/>
      <c r="S1484" s="87"/>
      <c r="T1484" s="90">
        <v>75.8</v>
      </c>
      <c r="U1484" s="91">
        <f>TAB_ESTOQUE[[#This Row],[Valor Unitario Estimado]]*TAB_ESTOQUE[[#This Row],[Estoque]]</f>
        <v>75.8</v>
      </c>
      <c r="V1484" s="91"/>
      <c r="W1484" s="85"/>
      <c r="X1484" s="85"/>
      <c r="Y1484" s="85"/>
      <c r="Z1484" s="85"/>
      <c r="AA1484" s="85"/>
      <c r="AB1484" s="85" t="str">
        <f>IF(TAB_ESTOQUE[[#This Row],[Estoque]]=0,"Estoque Não Conforme",IF(TAB_ESTOQUE[[#This Row],[Estoque]]&gt;=TAB_ESTOQUE[[#This Row],[Mínimo]],"Estoque Conforme",IF(TAB_ESTOQUE[[#This Row],[Estoque]]&lt;TAB_ESTOQUE[[#This Row],[Mínimo]],"Estoque em Nivel Minimo")))</f>
        <v>Estoque Conforme</v>
      </c>
      <c r="AC1484" s="85"/>
      <c r="AD1484" s="82"/>
    </row>
    <row r="1485" spans="1:30" x14ac:dyDescent="0.25">
      <c r="A1485" s="45">
        <v>1103</v>
      </c>
      <c r="B1485" s="47"/>
      <c r="C1485" s="46"/>
      <c r="D1485" s="45" t="s">
        <v>2600</v>
      </c>
      <c r="E1485" s="46"/>
      <c r="F1485" s="87"/>
      <c r="G1485" s="82"/>
      <c r="H1485" s="82"/>
      <c r="I1485" s="82" t="s">
        <v>1176</v>
      </c>
      <c r="J1485" s="82"/>
      <c r="K1485" s="82"/>
      <c r="L1485" s="82"/>
      <c r="M1485" s="82"/>
      <c r="N1485" s="82"/>
      <c r="O1485" s="87" t="s">
        <v>7048</v>
      </c>
      <c r="P1485" s="82" t="s">
        <v>838</v>
      </c>
      <c r="Q1485" s="83">
        <f>VLOOKUP(TAB_ESTOQUE[[#This Row],[Codigo]],TAB_ENTRADA[[Cod_2_Entrada]:[TOTAL_ENTRADA]],5,FALSE)-VLOOKUP(TAB_ESTOQUE[[#This Row],[Codigo]],TAB_SAIDA[[COD_2_SAIDA]:[TOTAL_SAIDA]],5,FALSE)</f>
        <v>1</v>
      </c>
      <c r="R1485" s="87"/>
      <c r="S1485" s="87"/>
      <c r="T1485" s="90"/>
      <c r="U1485" s="91">
        <f>TAB_ESTOQUE[[#This Row],[Valor Unitario Estimado]]*TAB_ESTOQUE[[#This Row],[Estoque]]</f>
        <v>0</v>
      </c>
      <c r="V1485" s="91"/>
      <c r="W1485" s="85"/>
      <c r="X1485" s="85"/>
      <c r="Y1485" s="85"/>
      <c r="Z1485" s="85"/>
      <c r="AA1485" s="85"/>
      <c r="AB1485" s="85" t="str">
        <f>IF(TAB_ESTOQUE[[#This Row],[Estoque]]=0,"Estoque Não Conforme",IF(TAB_ESTOQUE[[#This Row],[Estoque]]&gt;=TAB_ESTOQUE[[#This Row],[Mínimo]],"Estoque Conforme",IF(TAB_ESTOQUE[[#This Row],[Estoque]]&lt;TAB_ESTOQUE[[#This Row],[Mínimo]],"Estoque em Nivel Minimo")))</f>
        <v>Estoque Conforme</v>
      </c>
      <c r="AC1485" s="85"/>
      <c r="AD1485" s="82"/>
    </row>
    <row r="1486" spans="1:30" x14ac:dyDescent="0.25">
      <c r="C1486" s="48"/>
      <c r="D1486" s="45" t="s">
        <v>6656</v>
      </c>
      <c r="E1486" s="46" t="s">
        <v>116</v>
      </c>
      <c r="F1486" s="46"/>
      <c r="I1486" s="45" t="s">
        <v>7910</v>
      </c>
      <c r="O1486" s="46" t="s">
        <v>7048</v>
      </c>
      <c r="Q1486" s="83">
        <f>VLOOKUP(TAB_ESTOQUE[[#This Row],[Codigo]],TAB_ENTRADA[[Cod_2_Entrada]:[TOTAL_ENTRADA]],5,FALSE)-VLOOKUP(TAB_ESTOQUE[[#This Row],[Codigo]],TAB_SAIDA[[COD_2_SAIDA]:[TOTAL_SAIDA]],5,FALSE)</f>
        <v>0</v>
      </c>
      <c r="S1486" s="46"/>
      <c r="T1486" s="102"/>
      <c r="U1486" s="103">
        <f>TAB_ESTOQUE[[#This Row],[Valor Unitario Estimado]]*TAB_ESTOQUE[[#This Row],[Estoque]]</f>
        <v>0</v>
      </c>
      <c r="V1486" s="103"/>
      <c r="AB1486" s="104" t="str">
        <f>IF(TAB_ESTOQUE[[#This Row],[Estoque]]=0,"Estoque Não Conforme",IF(TAB_ESTOQUE[[#This Row],[Estoque]]&gt;=TAB_ESTOQUE[[#This Row],[Mínimo]],"Estoque Conforme",IF(TAB_ESTOQUE[[#This Row],[Estoque]]&lt;TAB_ESTOQUE[[#This Row],[Mínimo]],"Estoque em Nivel Minimo")))</f>
        <v>Estoque Não Conforme</v>
      </c>
      <c r="AC1486" s="104"/>
    </row>
    <row r="1487" spans="1:30" x14ac:dyDescent="0.25">
      <c r="A1487" s="45">
        <v>877</v>
      </c>
      <c r="B1487" s="47"/>
      <c r="C1487" s="46" t="s">
        <v>2838</v>
      </c>
      <c r="D1487" s="45" t="s">
        <v>2451</v>
      </c>
      <c r="E1487" s="46" t="s">
        <v>116</v>
      </c>
      <c r="F1487" s="87"/>
      <c r="G1487" s="82"/>
      <c r="H1487" s="82"/>
      <c r="I1487" s="82" t="s">
        <v>2890</v>
      </c>
      <c r="J1487" s="82"/>
      <c r="K1487" s="82"/>
      <c r="L1487" s="82"/>
      <c r="M1487" s="82"/>
      <c r="N1487" s="82"/>
      <c r="O1487" s="87" t="s">
        <v>7059</v>
      </c>
      <c r="P1487" s="82" t="s">
        <v>676</v>
      </c>
      <c r="Q1487" s="83">
        <f>VLOOKUP(TAB_ESTOQUE[[#This Row],[Codigo]],TAB_ENTRADA[[Cod_2_Entrada]:[TOTAL_ENTRADA]],5,FALSE)-VLOOKUP(TAB_ESTOQUE[[#This Row],[Codigo]],TAB_SAIDA[[COD_2_SAIDA]:[TOTAL_SAIDA]],5,FALSE)</f>
        <v>0</v>
      </c>
      <c r="R1487" s="87"/>
      <c r="S1487" s="87"/>
      <c r="T1487" s="90">
        <v>500</v>
      </c>
      <c r="U1487" s="91">
        <f>TAB_ESTOQUE[[#This Row],[Valor Unitario Estimado]]*TAB_ESTOQUE[[#This Row],[Estoque]]</f>
        <v>0</v>
      </c>
      <c r="V1487" s="91"/>
      <c r="W1487" s="85"/>
      <c r="X1487" s="85"/>
      <c r="Y1487" s="85"/>
      <c r="Z1487" s="85"/>
      <c r="AA1487" s="85"/>
      <c r="AB1487" s="85" t="str">
        <f>IF(TAB_ESTOQUE[[#This Row],[Estoque]]=0,"Estoque Não Conforme",IF(TAB_ESTOQUE[[#This Row],[Estoque]]&gt;=TAB_ESTOQUE[[#This Row],[Mínimo]],"Estoque Conforme",IF(TAB_ESTOQUE[[#This Row],[Estoque]]&lt;TAB_ESTOQUE[[#This Row],[Mínimo]],"Estoque em Nivel Minimo")))</f>
        <v>Estoque Não Conforme</v>
      </c>
      <c r="AC1487" s="85"/>
      <c r="AD1487" s="82"/>
    </row>
    <row r="1488" spans="1:30" x14ac:dyDescent="0.25">
      <c r="A1488" s="45">
        <v>1080</v>
      </c>
      <c r="B1488" s="47"/>
      <c r="C1488" s="46"/>
      <c r="D1488" s="45" t="s">
        <v>2604</v>
      </c>
      <c r="E1488" s="46"/>
      <c r="F1488" s="87"/>
      <c r="G1488" s="82"/>
      <c r="H1488" s="82"/>
      <c r="I1488" s="82" t="s">
        <v>1169</v>
      </c>
      <c r="J1488" s="82"/>
      <c r="K1488" s="82" t="s">
        <v>35</v>
      </c>
      <c r="L1488" s="82"/>
      <c r="M1488" s="82"/>
      <c r="N1488" s="82"/>
      <c r="O1488" s="87" t="s">
        <v>7059</v>
      </c>
      <c r="P1488" s="82" t="s">
        <v>817</v>
      </c>
      <c r="Q1488" s="83">
        <f>VLOOKUP(TAB_ESTOQUE[[#This Row],[Codigo]],TAB_ENTRADA[[Cod_2_Entrada]:[TOTAL_ENTRADA]],5,FALSE)-VLOOKUP(TAB_ESTOQUE[[#This Row],[Codigo]],TAB_SAIDA[[COD_2_SAIDA]:[TOTAL_SAIDA]],5,FALSE)</f>
        <v>2</v>
      </c>
      <c r="R1488" s="87"/>
      <c r="S1488" s="87"/>
      <c r="T1488" s="90"/>
      <c r="U1488" s="91">
        <f>TAB_ESTOQUE[[#This Row],[Valor Unitario Estimado]]*TAB_ESTOQUE[[#This Row],[Estoque]]</f>
        <v>0</v>
      </c>
      <c r="V1488" s="91"/>
      <c r="W1488" s="85"/>
      <c r="X1488" s="85"/>
      <c r="Y1488" s="85"/>
      <c r="Z1488" s="85"/>
      <c r="AA1488" s="85"/>
      <c r="AB1488" s="85" t="str">
        <f>IF(TAB_ESTOQUE[[#This Row],[Estoque]]=0,"Estoque Não Conforme",IF(TAB_ESTOQUE[[#This Row],[Estoque]]&gt;=TAB_ESTOQUE[[#This Row],[Mínimo]],"Estoque Conforme",IF(TAB_ESTOQUE[[#This Row],[Estoque]]&lt;TAB_ESTOQUE[[#This Row],[Mínimo]],"Estoque em Nivel Minimo")))</f>
        <v>Estoque Conforme</v>
      </c>
      <c r="AC1488" s="85"/>
      <c r="AD1488" s="82"/>
    </row>
    <row r="1489" spans="1:30" x14ac:dyDescent="0.25">
      <c r="A1489" s="45">
        <v>1347</v>
      </c>
      <c r="B1489" s="47"/>
      <c r="C1489" s="46"/>
      <c r="D1489" s="45" t="s">
        <v>1983</v>
      </c>
      <c r="E1489" s="46" t="s">
        <v>7265</v>
      </c>
      <c r="F1489" s="87"/>
      <c r="G1489" s="82"/>
      <c r="H1489" s="82"/>
      <c r="I1489" s="82" t="s">
        <v>6418</v>
      </c>
      <c r="J1489" s="82"/>
      <c r="K1489" s="82"/>
      <c r="L1489" s="82"/>
      <c r="M1489" s="82"/>
      <c r="N1489" s="82"/>
      <c r="O1489" s="87" t="s">
        <v>8741</v>
      </c>
      <c r="P1489" s="82" t="s">
        <v>1083</v>
      </c>
      <c r="Q1489" s="83">
        <f>VLOOKUP(TAB_ESTOQUE[[#This Row],[Codigo]],TAB_ENTRADA[[Cod_2_Entrada]:[TOTAL_ENTRADA]],5,FALSE)-VLOOKUP(TAB_ESTOQUE[[#This Row],[Codigo]],TAB_SAIDA[[COD_2_SAIDA]:[TOTAL_SAIDA]],5,FALSE)</f>
        <v>1</v>
      </c>
      <c r="R1489" s="87"/>
      <c r="S1489" s="87"/>
      <c r="T1489" s="90">
        <v>396.08</v>
      </c>
      <c r="U1489" s="91">
        <f>TAB_ESTOQUE[[#This Row],[Valor Unitario Estimado]]*TAB_ESTOQUE[[#This Row],[Estoque]]</f>
        <v>396.08</v>
      </c>
      <c r="V1489" s="91"/>
      <c r="W1489" s="85"/>
      <c r="X1489" s="85"/>
      <c r="Y1489" s="85"/>
      <c r="Z1489" s="85"/>
      <c r="AA1489" s="85"/>
      <c r="AB1489" s="85" t="str">
        <f>IF(TAB_ESTOQUE[[#This Row],[Estoque]]=0,"Estoque Não Conforme",IF(TAB_ESTOQUE[[#This Row],[Estoque]]&gt;=TAB_ESTOQUE[[#This Row],[Mínimo]],"Estoque Conforme",IF(TAB_ESTOQUE[[#This Row],[Estoque]]&lt;TAB_ESTOQUE[[#This Row],[Mínimo]],"Estoque em Nivel Minimo")))</f>
        <v>Estoque Conforme</v>
      </c>
      <c r="AC1489" s="85"/>
      <c r="AD1489" s="82"/>
    </row>
    <row r="1490" spans="1:30" x14ac:dyDescent="0.25">
      <c r="A1490" s="45">
        <v>1020</v>
      </c>
      <c r="B1490" s="47"/>
      <c r="C1490" s="46"/>
      <c r="D1490" s="45" t="s">
        <v>2214</v>
      </c>
      <c r="E1490" s="46" t="s">
        <v>7265</v>
      </c>
      <c r="F1490" s="87"/>
      <c r="G1490" s="82"/>
      <c r="H1490" s="82"/>
      <c r="I1490" s="82" t="s">
        <v>2960</v>
      </c>
      <c r="J1490" s="82"/>
      <c r="K1490" s="82"/>
      <c r="L1490" s="82"/>
      <c r="M1490" s="82" t="s">
        <v>139</v>
      </c>
      <c r="N1490" s="82"/>
      <c r="O1490" s="87" t="s">
        <v>7061</v>
      </c>
      <c r="P1490" s="82" t="s">
        <v>784</v>
      </c>
      <c r="Q1490" s="83">
        <f>VLOOKUP(TAB_ESTOQUE[[#This Row],[Codigo]],TAB_ENTRADA[[Cod_2_Entrada]:[TOTAL_ENTRADA]],5,FALSE)-VLOOKUP(TAB_ESTOQUE[[#This Row],[Codigo]],TAB_SAIDA[[COD_2_SAIDA]:[TOTAL_SAIDA]],5,FALSE)</f>
        <v>1</v>
      </c>
      <c r="R1490" s="87"/>
      <c r="S1490" s="87"/>
      <c r="T1490" s="90"/>
      <c r="U1490" s="91">
        <f>TAB_ESTOQUE[[#This Row],[Valor Unitario Estimado]]*TAB_ESTOQUE[[#This Row],[Estoque]]</f>
        <v>0</v>
      </c>
      <c r="V1490" s="91"/>
      <c r="W1490" s="85"/>
      <c r="X1490" s="85"/>
      <c r="Y1490" s="85"/>
      <c r="Z1490" s="85"/>
      <c r="AA1490" s="85"/>
      <c r="AB1490" s="85" t="str">
        <f>IF(TAB_ESTOQUE[[#This Row],[Estoque]]=0,"Estoque Não Conforme",IF(TAB_ESTOQUE[[#This Row],[Estoque]]&gt;=TAB_ESTOQUE[[#This Row],[Mínimo]],"Estoque Conforme",IF(TAB_ESTOQUE[[#This Row],[Estoque]]&lt;TAB_ESTOQUE[[#This Row],[Mínimo]],"Estoque em Nivel Minimo")))</f>
        <v>Estoque Conforme</v>
      </c>
      <c r="AC1490" s="85"/>
      <c r="AD1490" s="82"/>
    </row>
    <row r="1491" spans="1:30" x14ac:dyDescent="0.25">
      <c r="A1491" s="45">
        <v>1050</v>
      </c>
      <c r="B1491" s="47"/>
      <c r="C1491" s="46"/>
      <c r="D1491" s="45" t="s">
        <v>2391</v>
      </c>
      <c r="E1491" s="46" t="s">
        <v>7265</v>
      </c>
      <c r="F1491" s="87"/>
      <c r="G1491" s="82"/>
      <c r="H1491" s="82"/>
      <c r="I1491" s="82" t="s">
        <v>2887</v>
      </c>
      <c r="J1491" s="82"/>
      <c r="K1491" s="82"/>
      <c r="L1491" s="82"/>
      <c r="M1491" s="82"/>
      <c r="N1491" s="82"/>
      <c r="O1491" s="87" t="s">
        <v>7061</v>
      </c>
      <c r="P1491" s="82" t="s">
        <v>802</v>
      </c>
      <c r="Q1491" s="83">
        <f>VLOOKUP(TAB_ESTOQUE[[#This Row],[Codigo]],TAB_ENTRADA[[Cod_2_Entrada]:[TOTAL_ENTRADA]],5,FALSE)-VLOOKUP(TAB_ESTOQUE[[#This Row],[Codigo]],TAB_SAIDA[[COD_2_SAIDA]:[TOTAL_SAIDA]],5,FALSE)</f>
        <v>1</v>
      </c>
      <c r="R1491" s="87"/>
      <c r="S1491" s="87"/>
      <c r="T1491" s="90"/>
      <c r="U1491" s="91">
        <f>TAB_ESTOQUE[[#This Row],[Valor Unitario Estimado]]*TAB_ESTOQUE[[#This Row],[Estoque]]</f>
        <v>0</v>
      </c>
      <c r="V1491" s="91"/>
      <c r="W1491" s="85"/>
      <c r="X1491" s="85"/>
      <c r="Y1491" s="85"/>
      <c r="Z1491" s="85"/>
      <c r="AA1491" s="85"/>
      <c r="AB1491" s="85" t="str">
        <f>IF(TAB_ESTOQUE[[#This Row],[Estoque]]=0,"Estoque Não Conforme",IF(TAB_ESTOQUE[[#This Row],[Estoque]]&gt;=TAB_ESTOQUE[[#This Row],[Mínimo]],"Estoque Conforme",IF(TAB_ESTOQUE[[#This Row],[Estoque]]&lt;TAB_ESTOQUE[[#This Row],[Mínimo]],"Estoque em Nivel Minimo")))</f>
        <v>Estoque Conforme</v>
      </c>
      <c r="AC1491" s="85"/>
      <c r="AD1491" s="82"/>
    </row>
    <row r="1492" spans="1:30" x14ac:dyDescent="0.25">
      <c r="A1492" s="45">
        <v>574</v>
      </c>
      <c r="B1492" s="47"/>
      <c r="C1492" s="46"/>
      <c r="D1492" s="45" t="s">
        <v>2436</v>
      </c>
      <c r="E1492" s="46" t="s">
        <v>7265</v>
      </c>
      <c r="F1492" s="87"/>
      <c r="G1492" s="82"/>
      <c r="H1492" s="82"/>
      <c r="I1492" s="82" t="s">
        <v>2852</v>
      </c>
      <c r="J1492" s="82"/>
      <c r="K1492" s="82"/>
      <c r="L1492" s="82"/>
      <c r="M1492" s="82"/>
      <c r="N1492" s="82"/>
      <c r="O1492" s="87" t="s">
        <v>7061</v>
      </c>
      <c r="P1492" s="82" t="s">
        <v>348</v>
      </c>
      <c r="Q1492" s="83">
        <f>VLOOKUP(TAB_ESTOQUE[[#This Row],[Codigo]],TAB_ENTRADA[[Cod_2_Entrada]:[TOTAL_ENTRADA]],5,FALSE)-VLOOKUP(TAB_ESTOQUE[[#This Row],[Codigo]],TAB_SAIDA[[COD_2_SAIDA]:[TOTAL_SAIDA]],5,FALSE)</f>
        <v>0</v>
      </c>
      <c r="R1492" s="87"/>
      <c r="S1492" s="87"/>
      <c r="T1492" s="90"/>
      <c r="U1492" s="91">
        <f>TAB_ESTOQUE[[#This Row],[Valor Unitario Estimado]]*TAB_ESTOQUE[[#This Row],[Estoque]]</f>
        <v>0</v>
      </c>
      <c r="V1492" s="91"/>
      <c r="W1492" s="85"/>
      <c r="X1492" s="85"/>
      <c r="Y1492" s="85"/>
      <c r="Z1492" s="85"/>
      <c r="AA1492" s="85"/>
      <c r="AB1492" s="85" t="str">
        <f>IF(TAB_ESTOQUE[[#This Row],[Estoque]]=0,"Estoque Não Conforme",IF(TAB_ESTOQUE[[#This Row],[Estoque]]&gt;=TAB_ESTOQUE[[#This Row],[Mínimo]],"Estoque Conforme",IF(TAB_ESTOQUE[[#This Row],[Estoque]]&lt;TAB_ESTOQUE[[#This Row],[Mínimo]],"Estoque em Nivel Minimo")))</f>
        <v>Estoque Não Conforme</v>
      </c>
      <c r="AC1492" s="85"/>
      <c r="AD1492" s="82"/>
    </row>
    <row r="1493" spans="1:30" x14ac:dyDescent="0.25">
      <c r="B1493" s="47"/>
      <c r="C1493" s="46"/>
      <c r="D1493" s="45" t="s">
        <v>2698</v>
      </c>
      <c r="E1493" s="46" t="s">
        <v>116</v>
      </c>
      <c r="F1493" s="87"/>
      <c r="G1493" s="82"/>
      <c r="H1493" s="82"/>
      <c r="I1493" s="82" t="s">
        <v>2844</v>
      </c>
      <c r="J1493" s="82"/>
      <c r="K1493" s="82"/>
      <c r="L1493" s="82"/>
      <c r="M1493" s="82"/>
      <c r="N1493" s="82"/>
      <c r="O1493" s="87" t="s">
        <v>7066</v>
      </c>
      <c r="P1493" s="82" t="s">
        <v>1256</v>
      </c>
      <c r="Q1493" s="83">
        <f>VLOOKUP(TAB_ESTOQUE[[#This Row],[Codigo]],TAB_ENTRADA[[Cod_2_Entrada]:[TOTAL_ENTRADA]],5,FALSE)-VLOOKUP(TAB_ESTOQUE[[#This Row],[Codigo]],TAB_SAIDA[[COD_2_SAIDA]:[TOTAL_SAIDA]],5,FALSE)</f>
        <v>2</v>
      </c>
      <c r="R1493" s="87"/>
      <c r="S1493" s="87"/>
      <c r="T1493" s="90"/>
      <c r="U1493" s="91">
        <f>TAB_ESTOQUE[[#This Row],[Valor Unitario Estimado]]*TAB_ESTOQUE[[#This Row],[Estoque]]</f>
        <v>0</v>
      </c>
      <c r="V1493" s="91"/>
      <c r="W1493" s="85"/>
      <c r="X1493" s="85"/>
      <c r="Y1493" s="85"/>
      <c r="Z1493" s="85"/>
      <c r="AA1493" s="85"/>
      <c r="AB1493" s="96" t="str">
        <f>IF(TAB_ESTOQUE[[#This Row],[Estoque]]=0,"Estoque Não Conforme",IF(TAB_ESTOQUE[[#This Row],[Estoque]]&gt;=TAB_ESTOQUE[[#This Row],[Mínimo]],"Estoque Conforme",IF(TAB_ESTOQUE[[#This Row],[Estoque]]&lt;TAB_ESTOQUE[[#This Row],[Mínimo]],"Estoque em Nivel Minimo")))</f>
        <v>Estoque Conforme</v>
      </c>
      <c r="AC1493" s="85"/>
      <c r="AD1493" s="82"/>
    </row>
    <row r="1494" spans="1:30" x14ac:dyDescent="0.25">
      <c r="B1494" s="47"/>
      <c r="C1494" s="46"/>
      <c r="D1494" s="45" t="s">
        <v>2741</v>
      </c>
      <c r="E1494" s="46" t="s">
        <v>116</v>
      </c>
      <c r="F1494" s="87"/>
      <c r="G1494" s="82"/>
      <c r="H1494" s="82"/>
      <c r="I1494" s="82" t="s">
        <v>3623</v>
      </c>
      <c r="J1494" s="82"/>
      <c r="K1494" s="82"/>
      <c r="L1494" s="82"/>
      <c r="M1494" s="82"/>
      <c r="N1494" s="82"/>
      <c r="O1494" s="87" t="s">
        <v>7066</v>
      </c>
      <c r="P1494" s="82" t="s">
        <v>1387</v>
      </c>
      <c r="Q1494" s="83">
        <f>VLOOKUP(TAB_ESTOQUE[[#This Row],[Codigo]],TAB_ENTRADA[[Cod_2_Entrada]:[TOTAL_ENTRADA]],5,FALSE)-VLOOKUP(TAB_ESTOQUE[[#This Row],[Codigo]],TAB_SAIDA[[COD_2_SAIDA]:[TOTAL_SAIDA]],5,FALSE)</f>
        <v>1</v>
      </c>
      <c r="R1494" s="87"/>
      <c r="S1494" s="87"/>
      <c r="T1494" s="90">
        <v>2365.9227000000001</v>
      </c>
      <c r="U1494" s="91">
        <f>TAB_ESTOQUE[[#This Row],[Valor Unitario Estimado]]*TAB_ESTOQUE[[#This Row],[Estoque]]</f>
        <v>2365.9227000000001</v>
      </c>
      <c r="V1494" s="91"/>
      <c r="W1494" s="85"/>
      <c r="X1494" s="85"/>
      <c r="Y1494" s="85"/>
      <c r="Z1494" s="85"/>
      <c r="AA1494" s="85"/>
      <c r="AB1494" s="96" t="str">
        <f>IF(TAB_ESTOQUE[[#This Row],[Estoque]]=0,"Estoque Não Conforme",IF(TAB_ESTOQUE[[#This Row],[Estoque]]&gt;=TAB_ESTOQUE[[#This Row],[Mínimo]],"Estoque Conforme",IF(TAB_ESTOQUE[[#This Row],[Estoque]]&lt;TAB_ESTOQUE[[#This Row],[Mínimo]],"Estoque em Nivel Minimo")))</f>
        <v>Estoque Conforme</v>
      </c>
      <c r="AC1494" s="85"/>
      <c r="AD1494" s="82"/>
    </row>
    <row r="1495" spans="1:30" x14ac:dyDescent="0.25">
      <c r="B1495" s="47"/>
      <c r="C1495" s="46"/>
      <c r="D1495" s="45" t="s">
        <v>2750</v>
      </c>
      <c r="E1495" s="46" t="s">
        <v>116</v>
      </c>
      <c r="F1495" s="87"/>
      <c r="G1495" s="82"/>
      <c r="H1495" s="82"/>
      <c r="I1495" s="82" t="s">
        <v>7062</v>
      </c>
      <c r="J1495" s="82"/>
      <c r="K1495" s="82"/>
      <c r="L1495" s="82"/>
      <c r="M1495" s="82"/>
      <c r="N1495" s="82"/>
      <c r="O1495" s="87" t="s">
        <v>7066</v>
      </c>
      <c r="P1495" s="82" t="s">
        <v>817</v>
      </c>
      <c r="Q1495" s="83">
        <f>VLOOKUP(TAB_ESTOQUE[[#This Row],[Codigo]],TAB_ENTRADA[[Cod_2_Entrada]:[TOTAL_ENTRADA]],5,FALSE)-VLOOKUP(TAB_ESTOQUE[[#This Row],[Codigo]],TAB_SAIDA[[COD_2_SAIDA]:[TOTAL_SAIDA]],5,FALSE)</f>
        <v>1</v>
      </c>
      <c r="R1495" s="87"/>
      <c r="S1495" s="87"/>
      <c r="T1495" s="90"/>
      <c r="U1495" s="91">
        <f>TAB_ESTOQUE[[#This Row],[Valor Unitario Estimado]]*TAB_ESTOQUE[[#This Row],[Estoque]]</f>
        <v>0</v>
      </c>
      <c r="V1495" s="91"/>
      <c r="W1495" s="85"/>
      <c r="X1495" s="85"/>
      <c r="Y1495" s="85"/>
      <c r="Z1495" s="85"/>
      <c r="AA1495" s="85"/>
      <c r="AB1495" s="96" t="str">
        <f>IF(TAB_ESTOQUE[[#This Row],[Estoque]]=0,"Estoque Não Conforme",IF(TAB_ESTOQUE[[#This Row],[Estoque]]&gt;=TAB_ESTOQUE[[#This Row],[Mínimo]],"Estoque Conforme",IF(TAB_ESTOQUE[[#This Row],[Estoque]]&lt;TAB_ESTOQUE[[#This Row],[Mínimo]],"Estoque em Nivel Minimo")))</f>
        <v>Estoque Conforme</v>
      </c>
      <c r="AC1495" s="96"/>
      <c r="AD1495" s="82"/>
    </row>
    <row r="1496" spans="1:30" x14ac:dyDescent="0.25">
      <c r="B1496" s="47"/>
      <c r="C1496" s="46"/>
      <c r="D1496" s="45" t="s">
        <v>2751</v>
      </c>
      <c r="E1496" s="46" t="s">
        <v>116</v>
      </c>
      <c r="F1496" s="87"/>
      <c r="G1496" s="82"/>
      <c r="H1496" s="82"/>
      <c r="I1496" s="82" t="s">
        <v>6047</v>
      </c>
      <c r="J1496" s="82"/>
      <c r="K1496" s="82"/>
      <c r="L1496" s="82"/>
      <c r="M1496" s="82"/>
      <c r="N1496" s="82"/>
      <c r="O1496" s="87" t="s">
        <v>7066</v>
      </c>
      <c r="P1496" s="82" t="s">
        <v>817</v>
      </c>
      <c r="Q1496" s="83">
        <f>VLOOKUP(TAB_ESTOQUE[[#This Row],[Codigo]],TAB_ENTRADA[[Cod_2_Entrada]:[TOTAL_ENTRADA]],5,FALSE)-VLOOKUP(TAB_ESTOQUE[[#This Row],[Codigo]],TAB_SAIDA[[COD_2_SAIDA]:[TOTAL_SAIDA]],5,FALSE)</f>
        <v>1</v>
      </c>
      <c r="R1496" s="87"/>
      <c r="S1496" s="87"/>
      <c r="T1496" s="90"/>
      <c r="U1496" s="91">
        <f>TAB_ESTOQUE[[#This Row],[Valor Unitario Estimado]]*TAB_ESTOQUE[[#This Row],[Estoque]]</f>
        <v>0</v>
      </c>
      <c r="V1496" s="91"/>
      <c r="W1496" s="85"/>
      <c r="X1496" s="85"/>
      <c r="Y1496" s="85"/>
      <c r="Z1496" s="85"/>
      <c r="AA1496" s="85"/>
      <c r="AB1496" s="96" t="str">
        <f>IF(TAB_ESTOQUE[[#This Row],[Estoque]]=0,"Estoque Não Conforme",IF(TAB_ESTOQUE[[#This Row],[Estoque]]&gt;=TAB_ESTOQUE[[#This Row],[Mínimo]],"Estoque Conforme",IF(TAB_ESTOQUE[[#This Row],[Estoque]]&lt;TAB_ESTOQUE[[#This Row],[Mínimo]],"Estoque em Nivel Minimo")))</f>
        <v>Estoque Conforme</v>
      </c>
      <c r="AC1496" s="96"/>
      <c r="AD1496" s="82"/>
    </row>
    <row r="1497" spans="1:30" x14ac:dyDescent="0.25">
      <c r="B1497" s="47"/>
      <c r="C1497" s="46"/>
      <c r="D1497" s="45" t="s">
        <v>2752</v>
      </c>
      <c r="E1497" s="46" t="s">
        <v>116</v>
      </c>
      <c r="F1497" s="87"/>
      <c r="G1497" s="82"/>
      <c r="H1497" s="82"/>
      <c r="I1497" s="82" t="s">
        <v>6048</v>
      </c>
      <c r="J1497" s="82"/>
      <c r="K1497" s="82"/>
      <c r="L1497" s="82"/>
      <c r="M1497" s="82"/>
      <c r="N1497" s="82"/>
      <c r="O1497" s="87" t="s">
        <v>7066</v>
      </c>
      <c r="P1497" s="82" t="s">
        <v>817</v>
      </c>
      <c r="Q1497" s="83">
        <f>VLOOKUP(TAB_ESTOQUE[[#This Row],[Codigo]],TAB_ENTRADA[[Cod_2_Entrada]:[TOTAL_ENTRADA]],5,FALSE)-VLOOKUP(TAB_ESTOQUE[[#This Row],[Codigo]],TAB_SAIDA[[COD_2_SAIDA]:[TOTAL_SAIDA]],5,FALSE)</f>
        <v>1</v>
      </c>
      <c r="R1497" s="87"/>
      <c r="S1497" s="87"/>
      <c r="T1497" s="90"/>
      <c r="U1497" s="91">
        <f>TAB_ESTOQUE[[#This Row],[Valor Unitario Estimado]]*TAB_ESTOQUE[[#This Row],[Estoque]]</f>
        <v>0</v>
      </c>
      <c r="V1497" s="91"/>
      <c r="W1497" s="85"/>
      <c r="X1497" s="85"/>
      <c r="Y1497" s="85"/>
      <c r="Z1497" s="85"/>
      <c r="AA1497" s="85"/>
      <c r="AB1497" s="96" t="str">
        <f>IF(TAB_ESTOQUE[[#This Row],[Estoque]]=0,"Estoque Não Conforme",IF(TAB_ESTOQUE[[#This Row],[Estoque]]&gt;=TAB_ESTOQUE[[#This Row],[Mínimo]],"Estoque Conforme",IF(TAB_ESTOQUE[[#This Row],[Estoque]]&lt;TAB_ESTOQUE[[#This Row],[Mínimo]],"Estoque em Nivel Minimo")))</f>
        <v>Estoque Conforme</v>
      </c>
      <c r="AC1497" s="96"/>
      <c r="AD1497" s="82"/>
    </row>
    <row r="1498" spans="1:30" x14ac:dyDescent="0.25">
      <c r="B1498" s="47"/>
      <c r="C1498" s="46"/>
      <c r="D1498" s="45" t="s">
        <v>2753</v>
      </c>
      <c r="E1498" s="46" t="s">
        <v>116</v>
      </c>
      <c r="F1498" s="87"/>
      <c r="G1498" s="82"/>
      <c r="H1498" s="82"/>
      <c r="I1498" s="82" t="s">
        <v>6049</v>
      </c>
      <c r="J1498" s="82"/>
      <c r="K1498" s="82"/>
      <c r="L1498" s="82"/>
      <c r="M1498" s="82"/>
      <c r="N1498" s="82"/>
      <c r="O1498" s="87" t="s">
        <v>7066</v>
      </c>
      <c r="P1498" s="82" t="s">
        <v>817</v>
      </c>
      <c r="Q1498" s="83">
        <f>VLOOKUP(TAB_ESTOQUE[[#This Row],[Codigo]],TAB_ENTRADA[[Cod_2_Entrada]:[TOTAL_ENTRADA]],5,FALSE)-VLOOKUP(TAB_ESTOQUE[[#This Row],[Codigo]],TAB_SAIDA[[COD_2_SAIDA]:[TOTAL_SAIDA]],5,FALSE)</f>
        <v>1</v>
      </c>
      <c r="R1498" s="87"/>
      <c r="S1498" s="87"/>
      <c r="T1498" s="90"/>
      <c r="U1498" s="91">
        <f>TAB_ESTOQUE[[#This Row],[Valor Unitario Estimado]]*TAB_ESTOQUE[[#This Row],[Estoque]]</f>
        <v>0</v>
      </c>
      <c r="V1498" s="91"/>
      <c r="W1498" s="85"/>
      <c r="X1498" s="85"/>
      <c r="Y1498" s="85"/>
      <c r="Z1498" s="85"/>
      <c r="AA1498" s="85"/>
      <c r="AB1498" s="96" t="str">
        <f>IF(TAB_ESTOQUE[[#This Row],[Estoque]]=0,"Estoque Não Conforme",IF(TAB_ESTOQUE[[#This Row],[Estoque]]&gt;=TAB_ESTOQUE[[#This Row],[Mínimo]],"Estoque Conforme",IF(TAB_ESTOQUE[[#This Row],[Estoque]]&lt;TAB_ESTOQUE[[#This Row],[Mínimo]],"Estoque em Nivel Minimo")))</f>
        <v>Estoque Conforme</v>
      </c>
      <c r="AC1498" s="96"/>
      <c r="AD1498" s="82"/>
    </row>
    <row r="1499" spans="1:30" x14ac:dyDescent="0.25">
      <c r="B1499" s="47"/>
      <c r="C1499" s="46"/>
      <c r="D1499" s="45" t="s">
        <v>2754</v>
      </c>
      <c r="E1499" s="46" t="s">
        <v>116</v>
      </c>
      <c r="F1499" s="87"/>
      <c r="G1499" s="82"/>
      <c r="H1499" s="82"/>
      <c r="I1499" s="82" t="s">
        <v>6050</v>
      </c>
      <c r="J1499" s="82"/>
      <c r="K1499" s="82"/>
      <c r="L1499" s="82"/>
      <c r="M1499" s="82"/>
      <c r="N1499" s="82"/>
      <c r="O1499" s="87" t="s">
        <v>7066</v>
      </c>
      <c r="P1499" s="82" t="s">
        <v>817</v>
      </c>
      <c r="Q1499" s="83">
        <f>VLOOKUP(TAB_ESTOQUE[[#This Row],[Codigo]],TAB_ENTRADA[[Cod_2_Entrada]:[TOTAL_ENTRADA]],5,FALSE)-VLOOKUP(TAB_ESTOQUE[[#This Row],[Codigo]],TAB_SAIDA[[COD_2_SAIDA]:[TOTAL_SAIDA]],5,FALSE)</f>
        <v>1</v>
      </c>
      <c r="R1499" s="87"/>
      <c r="S1499" s="87"/>
      <c r="T1499" s="90"/>
      <c r="U1499" s="91">
        <f>TAB_ESTOQUE[[#This Row],[Valor Unitario Estimado]]*TAB_ESTOQUE[[#This Row],[Estoque]]</f>
        <v>0</v>
      </c>
      <c r="V1499" s="91"/>
      <c r="W1499" s="85"/>
      <c r="X1499" s="85"/>
      <c r="Y1499" s="85"/>
      <c r="Z1499" s="85"/>
      <c r="AA1499" s="85"/>
      <c r="AB1499" s="85" t="str">
        <f>IF(TAB_ESTOQUE[[#This Row],[Estoque]]=0,"Estoque Não Conforme",IF(TAB_ESTOQUE[[#This Row],[Estoque]]&gt;=TAB_ESTOQUE[[#This Row],[Mínimo]],"Estoque Conforme",IF(TAB_ESTOQUE[[#This Row],[Estoque]]&lt;TAB_ESTOQUE[[#This Row],[Mínimo]],"Estoque em Nivel Minimo")))</f>
        <v>Estoque Conforme</v>
      </c>
      <c r="AC1499" s="96"/>
      <c r="AD1499" s="82"/>
    </row>
    <row r="1500" spans="1:30" x14ac:dyDescent="0.25">
      <c r="B1500" s="47"/>
      <c r="C1500" s="46"/>
      <c r="D1500" s="45" t="s">
        <v>2755</v>
      </c>
      <c r="E1500" s="46" t="s">
        <v>116</v>
      </c>
      <c r="F1500" s="87"/>
      <c r="G1500" s="82"/>
      <c r="H1500" s="82"/>
      <c r="I1500" s="82" t="s">
        <v>6051</v>
      </c>
      <c r="J1500" s="82"/>
      <c r="K1500" s="82"/>
      <c r="L1500" s="82"/>
      <c r="M1500" s="82"/>
      <c r="N1500" s="82"/>
      <c r="O1500" s="87" t="s">
        <v>7066</v>
      </c>
      <c r="P1500" s="82" t="s">
        <v>817</v>
      </c>
      <c r="Q1500" s="83">
        <f>VLOOKUP(TAB_ESTOQUE[[#This Row],[Codigo]],TAB_ENTRADA[[Cod_2_Entrada]:[TOTAL_ENTRADA]],5,FALSE)-VLOOKUP(TAB_ESTOQUE[[#This Row],[Codigo]],TAB_SAIDA[[COD_2_SAIDA]:[TOTAL_SAIDA]],5,FALSE)</f>
        <v>1</v>
      </c>
      <c r="R1500" s="87"/>
      <c r="S1500" s="87"/>
      <c r="T1500" s="90"/>
      <c r="U1500" s="91">
        <f>TAB_ESTOQUE[[#This Row],[Valor Unitario Estimado]]*TAB_ESTOQUE[[#This Row],[Estoque]]</f>
        <v>0</v>
      </c>
      <c r="V1500" s="91"/>
      <c r="W1500" s="85"/>
      <c r="X1500" s="85"/>
      <c r="Y1500" s="85"/>
      <c r="Z1500" s="85"/>
      <c r="AA1500" s="85"/>
      <c r="AB1500" s="96" t="str">
        <f>IF(TAB_ESTOQUE[[#This Row],[Estoque]]=0,"Estoque Não Conforme",IF(TAB_ESTOQUE[[#This Row],[Estoque]]&gt;=TAB_ESTOQUE[[#This Row],[Mínimo]],"Estoque Conforme",IF(TAB_ESTOQUE[[#This Row],[Estoque]]&lt;TAB_ESTOQUE[[#This Row],[Mínimo]],"Estoque em Nivel Minimo")))</f>
        <v>Estoque Conforme</v>
      </c>
      <c r="AC1500" s="96"/>
      <c r="AD1500" s="82"/>
    </row>
    <row r="1501" spans="1:30" x14ac:dyDescent="0.25">
      <c r="B1501" s="47"/>
      <c r="C1501" s="46"/>
      <c r="D1501" s="45" t="s">
        <v>2756</v>
      </c>
      <c r="E1501" s="46" t="s">
        <v>116</v>
      </c>
      <c r="F1501" s="87"/>
      <c r="G1501" s="82"/>
      <c r="H1501" s="82"/>
      <c r="I1501" s="82" t="s">
        <v>6052</v>
      </c>
      <c r="J1501" s="82"/>
      <c r="K1501" s="82"/>
      <c r="L1501" s="82"/>
      <c r="M1501" s="82"/>
      <c r="N1501" s="82"/>
      <c r="O1501" s="87" t="s">
        <v>7066</v>
      </c>
      <c r="P1501" s="82" t="s">
        <v>1599</v>
      </c>
      <c r="Q1501" s="83">
        <f>VLOOKUP(TAB_ESTOQUE[[#This Row],[Codigo]],TAB_ENTRADA[[Cod_2_Entrada]:[TOTAL_ENTRADA]],5,FALSE)-VLOOKUP(TAB_ESTOQUE[[#This Row],[Codigo]],TAB_SAIDA[[COD_2_SAIDA]:[TOTAL_SAIDA]],5,FALSE)</f>
        <v>1</v>
      </c>
      <c r="R1501" s="87"/>
      <c r="S1501" s="87"/>
      <c r="T1501" s="90"/>
      <c r="U1501" s="91">
        <f>TAB_ESTOQUE[[#This Row],[Valor Unitario Estimado]]*TAB_ESTOQUE[[#This Row],[Estoque]]</f>
        <v>0</v>
      </c>
      <c r="V1501" s="91"/>
      <c r="W1501" s="85"/>
      <c r="X1501" s="85"/>
      <c r="Y1501" s="85"/>
      <c r="Z1501" s="85"/>
      <c r="AA1501" s="85"/>
      <c r="AB1501" s="96" t="str">
        <f>IF(TAB_ESTOQUE[[#This Row],[Estoque]]=0,"Estoque Não Conforme",IF(TAB_ESTOQUE[[#This Row],[Estoque]]&gt;=TAB_ESTOQUE[[#This Row],[Mínimo]],"Estoque Conforme",IF(TAB_ESTOQUE[[#This Row],[Estoque]]&lt;TAB_ESTOQUE[[#This Row],[Mínimo]],"Estoque em Nivel Minimo")))</f>
        <v>Estoque Conforme</v>
      </c>
      <c r="AC1501" s="96"/>
      <c r="AD1501" s="82"/>
    </row>
    <row r="1502" spans="1:30" x14ac:dyDescent="0.25">
      <c r="C1502" s="53" t="s">
        <v>2842</v>
      </c>
      <c r="D1502" s="45" t="s">
        <v>6806</v>
      </c>
      <c r="E1502" s="46" t="s">
        <v>116</v>
      </c>
      <c r="F1502" s="46"/>
      <c r="I1502" s="45" t="s">
        <v>7127</v>
      </c>
      <c r="O1502" s="46" t="s">
        <v>7066</v>
      </c>
      <c r="Q1502" s="83">
        <f>VLOOKUP(TAB_ESTOQUE[[#This Row],[Codigo]],TAB_ENTRADA[[Cod_2_Entrada]:[TOTAL_ENTRADA]],5,FALSE)-VLOOKUP(TAB_ESTOQUE[[#This Row],[Codigo]],TAB_SAIDA[[COD_2_SAIDA]:[TOTAL_SAIDA]],5,FALSE)</f>
        <v>0</v>
      </c>
      <c r="S1502" s="46"/>
      <c r="T1502" s="102"/>
      <c r="U1502" s="103">
        <f>TAB_ESTOQUE[[#This Row],[Valor Unitario Estimado]]*TAB_ESTOQUE[[#This Row],[Estoque]]</f>
        <v>0</v>
      </c>
      <c r="V1502" s="103"/>
      <c r="AB1502" s="104" t="str">
        <f>IF(TAB_ESTOQUE[[#This Row],[Estoque]]=0,"Estoque Não Conforme",IF(TAB_ESTOQUE[[#This Row],[Estoque]]&gt;=TAB_ESTOQUE[[#This Row],[Mínimo]],"Estoque Conforme",IF(TAB_ESTOQUE[[#This Row],[Estoque]]&lt;TAB_ESTOQUE[[#This Row],[Mínimo]],"Estoque em Nivel Minimo")))</f>
        <v>Estoque Não Conforme</v>
      </c>
      <c r="AC1502" s="104"/>
    </row>
    <row r="1503" spans="1:30" x14ac:dyDescent="0.25">
      <c r="A1503" s="45">
        <v>876</v>
      </c>
      <c r="B1503" s="47"/>
      <c r="C1503" s="46" t="s">
        <v>2833</v>
      </c>
      <c r="D1503" s="45" t="s">
        <v>2522</v>
      </c>
      <c r="E1503" s="46" t="s">
        <v>7</v>
      </c>
      <c r="F1503" s="87"/>
      <c r="G1503" s="82"/>
      <c r="H1503" s="82"/>
      <c r="I1503" s="82" t="s">
        <v>6219</v>
      </c>
      <c r="J1503" s="82"/>
      <c r="K1503" s="82"/>
      <c r="L1503" s="82"/>
      <c r="M1503" s="82"/>
      <c r="N1503" s="82"/>
      <c r="O1503" s="87" t="s">
        <v>1330</v>
      </c>
      <c r="P1503" s="82" t="s">
        <v>675</v>
      </c>
      <c r="Q1503" s="83">
        <f>VLOOKUP(TAB_ESTOQUE[[#This Row],[Codigo]],TAB_ENTRADA[[Cod_2_Entrada]:[TOTAL_ENTRADA]],5,FALSE)-VLOOKUP(TAB_ESTOQUE[[#This Row],[Codigo]],TAB_SAIDA[[COD_2_SAIDA]:[TOTAL_SAIDA]],5,FALSE)</f>
        <v>3</v>
      </c>
      <c r="R1503" s="87">
        <v>1</v>
      </c>
      <c r="S1503" s="87">
        <v>3</v>
      </c>
      <c r="T1503" s="90">
        <v>18.285087719298247</v>
      </c>
      <c r="U1503" s="91">
        <f>TAB_ESTOQUE[[#This Row],[Valor Unitario Estimado]]*TAB_ESTOQUE[[#This Row],[Estoque]]</f>
        <v>54.85526315789474</v>
      </c>
      <c r="V1503" s="91"/>
      <c r="W1503" s="85"/>
      <c r="X1503" s="85"/>
      <c r="Y1503" s="85"/>
      <c r="Z1503" s="85"/>
      <c r="AA1503" s="85"/>
      <c r="AB1503" s="85" t="str">
        <f>IF(TAB_ESTOQUE[[#This Row],[Estoque]]=0,"Estoque Não Conforme",IF(TAB_ESTOQUE[[#This Row],[Estoque]]&gt;=TAB_ESTOQUE[[#This Row],[Mínimo]],"Estoque Conforme",IF(TAB_ESTOQUE[[#This Row],[Estoque]]&lt;TAB_ESTOQUE[[#This Row],[Mínimo]],"Estoque em Nivel Minimo")))</f>
        <v>Estoque Conforme</v>
      </c>
      <c r="AC1503" s="85"/>
      <c r="AD1503" s="82"/>
    </row>
    <row r="1504" spans="1:30" x14ac:dyDescent="0.25">
      <c r="A1504" s="45">
        <v>869</v>
      </c>
      <c r="B1504" s="47"/>
      <c r="C1504" s="46"/>
      <c r="D1504" s="45" t="s">
        <v>2523</v>
      </c>
      <c r="E1504" s="46"/>
      <c r="F1504" s="87"/>
      <c r="G1504" s="82"/>
      <c r="H1504" s="82"/>
      <c r="I1504" s="82" t="s">
        <v>1489</v>
      </c>
      <c r="J1504" s="82"/>
      <c r="K1504" s="82"/>
      <c r="L1504" s="82"/>
      <c r="M1504" s="82" t="s">
        <v>137</v>
      </c>
      <c r="N1504" s="82"/>
      <c r="O1504" s="87" t="s">
        <v>1330</v>
      </c>
      <c r="P1504" s="82" t="s">
        <v>666</v>
      </c>
      <c r="Q1504" s="83">
        <f>VLOOKUP(TAB_ESTOQUE[[#This Row],[Codigo]],TAB_ENTRADA[[Cod_2_Entrada]:[TOTAL_ENTRADA]],5,FALSE)-VLOOKUP(TAB_ESTOQUE[[#This Row],[Codigo]],TAB_SAIDA[[COD_2_SAIDA]:[TOTAL_SAIDA]],5,FALSE)</f>
        <v>200</v>
      </c>
      <c r="R1504" s="87">
        <v>200</v>
      </c>
      <c r="S1504" s="87">
        <v>600</v>
      </c>
      <c r="T1504" s="90">
        <v>7.9</v>
      </c>
      <c r="U1504" s="91">
        <f>TAB_ESTOQUE[[#This Row],[Valor Unitario Estimado]]*TAB_ESTOQUE[[#This Row],[Estoque]]</f>
        <v>1580</v>
      </c>
      <c r="V1504" s="91"/>
      <c r="W1504" s="85"/>
      <c r="X1504" s="85"/>
      <c r="Y1504" s="85"/>
      <c r="Z1504" s="85"/>
      <c r="AA1504" s="85"/>
      <c r="AB1504" s="85" t="str">
        <f>IF(TAB_ESTOQUE[[#This Row],[Estoque]]=0,"Estoque Não Conforme",IF(TAB_ESTOQUE[[#This Row],[Estoque]]&gt;=TAB_ESTOQUE[[#This Row],[Mínimo]],"Estoque Conforme",IF(TAB_ESTOQUE[[#This Row],[Estoque]]&lt;TAB_ESTOQUE[[#This Row],[Mínimo]],"Estoque em Nivel Minimo")))</f>
        <v>Estoque Conforme</v>
      </c>
      <c r="AC1504" s="85"/>
      <c r="AD1504" s="82"/>
    </row>
    <row r="1505" spans="1:30" x14ac:dyDescent="0.25">
      <c r="A1505" s="45">
        <v>866</v>
      </c>
      <c r="B1505" s="47"/>
      <c r="C1505" s="46"/>
      <c r="D1505" s="45" t="s">
        <v>2524</v>
      </c>
      <c r="E1505" s="46"/>
      <c r="F1505" s="87"/>
      <c r="G1505" s="82"/>
      <c r="H1505" s="82"/>
      <c r="I1505" s="82" t="s">
        <v>1490</v>
      </c>
      <c r="J1505" s="82"/>
      <c r="K1505" s="82"/>
      <c r="L1505" s="82"/>
      <c r="M1505" s="82" t="s">
        <v>137</v>
      </c>
      <c r="N1505" s="82"/>
      <c r="O1505" s="87" t="s">
        <v>1330</v>
      </c>
      <c r="P1505" s="82" t="s">
        <v>663</v>
      </c>
      <c r="Q1505" s="83">
        <f>VLOOKUP(TAB_ESTOQUE[[#This Row],[Codigo]],TAB_ENTRADA[[Cod_2_Entrada]:[TOTAL_ENTRADA]],5,FALSE)-VLOOKUP(TAB_ESTOQUE[[#This Row],[Codigo]],TAB_SAIDA[[COD_2_SAIDA]:[TOTAL_SAIDA]],5,FALSE)</f>
        <v>0</v>
      </c>
      <c r="R1505" s="87">
        <v>20</v>
      </c>
      <c r="S1505" s="87">
        <v>80</v>
      </c>
      <c r="T1505" s="90">
        <v>27.15</v>
      </c>
      <c r="U1505" s="91">
        <f>TAB_ESTOQUE[[#This Row],[Valor Unitario Estimado]]*TAB_ESTOQUE[[#This Row],[Estoque]]</f>
        <v>0</v>
      </c>
      <c r="V1505" s="91"/>
      <c r="W1505" s="85"/>
      <c r="X1505" s="85"/>
      <c r="Y1505" s="85"/>
      <c r="Z1505" s="85"/>
      <c r="AA1505" s="85"/>
      <c r="AB1505" s="85" t="str">
        <f>IF(TAB_ESTOQUE[[#This Row],[Estoque]]=0,"Estoque Não Conforme",IF(TAB_ESTOQUE[[#This Row],[Estoque]]&gt;=TAB_ESTOQUE[[#This Row],[Mínimo]],"Estoque Conforme",IF(TAB_ESTOQUE[[#This Row],[Estoque]]&lt;TAB_ESTOQUE[[#This Row],[Mínimo]],"Estoque em Nivel Minimo")))</f>
        <v>Estoque Não Conforme</v>
      </c>
      <c r="AC1505" s="85"/>
      <c r="AD1505" s="82"/>
    </row>
    <row r="1506" spans="1:30" x14ac:dyDescent="0.25">
      <c r="A1506" s="45">
        <v>372</v>
      </c>
      <c r="B1506" s="47"/>
      <c r="C1506" s="46"/>
      <c r="D1506" s="45" t="s">
        <v>2525</v>
      </c>
      <c r="E1506" s="46"/>
      <c r="F1506" s="87"/>
      <c r="G1506" s="82"/>
      <c r="H1506" s="82"/>
      <c r="I1506" s="82" t="s">
        <v>8940</v>
      </c>
      <c r="J1506" s="82"/>
      <c r="K1506" s="82"/>
      <c r="L1506" s="82"/>
      <c r="M1506" s="82" t="s">
        <v>137</v>
      </c>
      <c r="N1506" s="82"/>
      <c r="O1506" s="87" t="s">
        <v>1330</v>
      </c>
      <c r="P1506" s="82" t="s">
        <v>236</v>
      </c>
      <c r="Q1506" s="83">
        <f>VLOOKUP(TAB_ESTOQUE[[#This Row],[Codigo]],TAB_ENTRADA[[Cod_2_Entrada]:[TOTAL_ENTRADA]],5,FALSE)-VLOOKUP(TAB_ESTOQUE[[#This Row],[Codigo]],TAB_SAIDA[[COD_2_SAIDA]:[TOTAL_SAIDA]],5,FALSE)</f>
        <v>140</v>
      </c>
      <c r="R1506" s="87">
        <v>20</v>
      </c>
      <c r="S1506" s="87">
        <v>60</v>
      </c>
      <c r="T1506" s="90">
        <v>27.15</v>
      </c>
      <c r="U1506" s="91">
        <f>TAB_ESTOQUE[[#This Row],[Valor Unitario Estimado]]*TAB_ESTOQUE[[#This Row],[Estoque]]</f>
        <v>3801</v>
      </c>
      <c r="V1506" s="91"/>
      <c r="W1506" s="85"/>
      <c r="X1506" s="85"/>
      <c r="Y1506" s="85"/>
      <c r="Z1506" s="85"/>
      <c r="AA1506" s="85"/>
      <c r="AB1506" s="85" t="str">
        <f>IF(TAB_ESTOQUE[[#This Row],[Estoque]]=0,"Estoque Não Conforme",IF(TAB_ESTOQUE[[#This Row],[Estoque]]&gt;=TAB_ESTOQUE[[#This Row],[Mínimo]],"Estoque Conforme",IF(TAB_ESTOQUE[[#This Row],[Estoque]]&lt;TAB_ESTOQUE[[#This Row],[Mínimo]],"Estoque em Nivel Minimo")))</f>
        <v>Estoque Conforme</v>
      </c>
      <c r="AC1506" s="85"/>
      <c r="AD1506" s="82"/>
    </row>
    <row r="1507" spans="1:30" x14ac:dyDescent="0.25">
      <c r="A1507" s="45">
        <v>376</v>
      </c>
      <c r="B1507" s="47"/>
      <c r="C1507" s="46"/>
      <c r="D1507" s="45" t="s">
        <v>2526</v>
      </c>
      <c r="E1507" s="46"/>
      <c r="F1507" s="87"/>
      <c r="G1507" s="82"/>
      <c r="H1507" s="82"/>
      <c r="I1507" s="82" t="s">
        <v>1650</v>
      </c>
      <c r="J1507" s="82"/>
      <c r="K1507" s="82"/>
      <c r="L1507" s="82"/>
      <c r="M1507" s="82" t="s">
        <v>137</v>
      </c>
      <c r="N1507" s="82"/>
      <c r="O1507" s="87" t="s">
        <v>1330</v>
      </c>
      <c r="P1507" s="82" t="s">
        <v>246</v>
      </c>
      <c r="Q1507" s="83">
        <f>VLOOKUP(TAB_ESTOQUE[[#This Row],[Codigo]],TAB_ENTRADA[[Cod_2_Entrada]:[TOTAL_ENTRADA]],5,FALSE)-VLOOKUP(TAB_ESTOQUE[[#This Row],[Codigo]],TAB_SAIDA[[COD_2_SAIDA]:[TOTAL_SAIDA]],5,FALSE)</f>
        <v>220</v>
      </c>
      <c r="R1507" s="87">
        <v>200</v>
      </c>
      <c r="S1507" s="87">
        <v>600</v>
      </c>
      <c r="T1507" s="90">
        <v>7.9</v>
      </c>
      <c r="U1507" s="91">
        <f>TAB_ESTOQUE[[#This Row],[Valor Unitario Estimado]]*TAB_ESTOQUE[[#This Row],[Estoque]]</f>
        <v>1738</v>
      </c>
      <c r="V1507" s="91"/>
      <c r="W1507" s="85"/>
      <c r="X1507" s="85"/>
      <c r="Y1507" s="85"/>
      <c r="Z1507" s="85"/>
      <c r="AA1507" s="85"/>
      <c r="AB1507" s="85" t="str">
        <f>IF(TAB_ESTOQUE[[#This Row],[Estoque]]=0,"Estoque Não Conforme",IF(TAB_ESTOQUE[[#This Row],[Estoque]]&gt;=TAB_ESTOQUE[[#This Row],[Mínimo]],"Estoque Conforme",IF(TAB_ESTOQUE[[#This Row],[Estoque]]&lt;TAB_ESTOQUE[[#This Row],[Mínimo]],"Estoque em Nivel Minimo")))</f>
        <v>Estoque Conforme</v>
      </c>
      <c r="AC1507" s="85"/>
      <c r="AD1507" s="82"/>
    </row>
    <row r="1508" spans="1:30" x14ac:dyDescent="0.25">
      <c r="A1508" s="45" t="s">
        <v>1159</v>
      </c>
      <c r="B1508" s="47"/>
      <c r="C1508" s="46"/>
      <c r="D1508" s="45" t="s">
        <v>2660</v>
      </c>
      <c r="E1508" s="46"/>
      <c r="F1508" s="87"/>
      <c r="G1508" s="82"/>
      <c r="H1508" s="82"/>
      <c r="I1508" s="82" t="s">
        <v>1348</v>
      </c>
      <c r="J1508" s="82"/>
      <c r="K1508" s="82"/>
      <c r="L1508" s="82"/>
      <c r="M1508" s="82"/>
      <c r="N1508" s="82"/>
      <c r="O1508" s="87" t="s">
        <v>1330</v>
      </c>
      <c r="P1508" s="82" t="s">
        <v>804</v>
      </c>
      <c r="Q1508" s="83">
        <f>VLOOKUP(TAB_ESTOQUE[[#This Row],[Codigo]],TAB_ENTRADA[[Cod_2_Entrada]:[TOTAL_ENTRADA]],5,FALSE)-VLOOKUP(TAB_ESTOQUE[[#This Row],[Codigo]],TAB_SAIDA[[COD_2_SAIDA]:[TOTAL_SAIDA]],5,FALSE)</f>
        <v>80</v>
      </c>
      <c r="R1508" s="87">
        <v>20</v>
      </c>
      <c r="S1508" s="87">
        <v>80</v>
      </c>
      <c r="T1508" s="90">
        <v>12</v>
      </c>
      <c r="U1508" s="91">
        <f>TAB_ESTOQUE[[#This Row],[Valor Unitario Estimado]]*TAB_ESTOQUE[[#This Row],[Estoque]]</f>
        <v>960</v>
      </c>
      <c r="V1508" s="91"/>
      <c r="W1508" s="85"/>
      <c r="X1508" s="85"/>
      <c r="Y1508" s="85"/>
      <c r="Z1508" s="85"/>
      <c r="AA1508" s="85"/>
      <c r="AB1508" s="96" t="str">
        <f>IF(TAB_ESTOQUE[[#This Row],[Estoque]]=0,"Estoque Não Conforme",IF(TAB_ESTOQUE[[#This Row],[Estoque]]&gt;=TAB_ESTOQUE[[#This Row],[Mínimo]],"Estoque Conforme",IF(TAB_ESTOQUE[[#This Row],[Estoque]]&lt;TAB_ESTOQUE[[#This Row],[Mínimo]],"Estoque em Nivel Minimo")))</f>
        <v>Estoque Conforme</v>
      </c>
      <c r="AC1508" s="85"/>
      <c r="AD1508" s="82"/>
    </row>
    <row r="1509" spans="1:30" x14ac:dyDescent="0.25">
      <c r="A1509" s="45" t="s">
        <v>1159</v>
      </c>
      <c r="B1509" s="47"/>
      <c r="C1509" s="46"/>
      <c r="D1509" s="45" t="s">
        <v>2661</v>
      </c>
      <c r="E1509" s="46"/>
      <c r="F1509" s="87"/>
      <c r="G1509" s="82"/>
      <c r="H1509" s="82"/>
      <c r="I1509" s="82" t="s">
        <v>8941</v>
      </c>
      <c r="J1509" s="82"/>
      <c r="K1509" s="82"/>
      <c r="L1509" s="82"/>
      <c r="M1509" s="82"/>
      <c r="N1509" s="82"/>
      <c r="O1509" s="87" t="s">
        <v>1330</v>
      </c>
      <c r="P1509" s="82" t="s">
        <v>1257</v>
      </c>
      <c r="Q1509" s="83">
        <f>VLOOKUP(TAB_ESTOQUE[[#This Row],[Codigo]],TAB_ENTRADA[[Cod_2_Entrada]:[TOTAL_ENTRADA]],5,FALSE)-VLOOKUP(TAB_ESTOQUE[[#This Row],[Codigo]],TAB_SAIDA[[COD_2_SAIDA]:[TOTAL_SAIDA]],5,FALSE)</f>
        <v>40</v>
      </c>
      <c r="R1509" s="87">
        <v>20</v>
      </c>
      <c r="S1509" s="87">
        <v>60</v>
      </c>
      <c r="T1509" s="90">
        <v>13.6</v>
      </c>
      <c r="U1509" s="91">
        <f>TAB_ESTOQUE[[#This Row],[Valor Unitario Estimado]]*TAB_ESTOQUE[[#This Row],[Estoque]]</f>
        <v>544</v>
      </c>
      <c r="V1509" s="91"/>
      <c r="W1509" s="85"/>
      <c r="X1509" s="85"/>
      <c r="Y1509" s="85"/>
      <c r="Z1509" s="85"/>
      <c r="AA1509" s="85"/>
      <c r="AB1509" s="96" t="str">
        <f>IF(TAB_ESTOQUE[[#This Row],[Estoque]]=0,"Estoque Não Conforme",IF(TAB_ESTOQUE[[#This Row],[Estoque]]&gt;=TAB_ESTOQUE[[#This Row],[Mínimo]],"Estoque Conforme",IF(TAB_ESTOQUE[[#This Row],[Estoque]]&lt;TAB_ESTOQUE[[#This Row],[Mínimo]],"Estoque em Nivel Minimo")))</f>
        <v>Estoque Conforme</v>
      </c>
      <c r="AC1509" s="85"/>
      <c r="AD1509" s="82"/>
    </row>
    <row r="1510" spans="1:30" x14ac:dyDescent="0.25">
      <c r="A1510" s="45" t="s">
        <v>1159</v>
      </c>
      <c r="B1510" s="47"/>
      <c r="C1510" s="46"/>
      <c r="D1510" s="45" t="s">
        <v>2662</v>
      </c>
      <c r="E1510" s="46" t="s">
        <v>1642</v>
      </c>
      <c r="F1510" s="87"/>
      <c r="G1510" s="82"/>
      <c r="H1510" s="82"/>
      <c r="I1510" s="82" t="s">
        <v>1329</v>
      </c>
      <c r="J1510" s="82"/>
      <c r="K1510" s="82"/>
      <c r="L1510" s="82"/>
      <c r="M1510" s="82"/>
      <c r="N1510" s="82"/>
      <c r="O1510" s="87" t="s">
        <v>1330</v>
      </c>
      <c r="P1510" s="82" t="s">
        <v>1258</v>
      </c>
      <c r="Q1510" s="83">
        <f>VLOOKUP(TAB_ESTOQUE[[#This Row],[Codigo]],TAB_ENTRADA[[Cod_2_Entrada]:[TOTAL_ENTRADA]],5,FALSE)-VLOOKUP(TAB_ESTOQUE[[#This Row],[Codigo]],TAB_SAIDA[[COD_2_SAIDA]:[TOTAL_SAIDA]],5,FALSE)</f>
        <v>20</v>
      </c>
      <c r="R1510" s="87">
        <v>20</v>
      </c>
      <c r="S1510" s="87">
        <v>100</v>
      </c>
      <c r="T1510" s="90">
        <v>5</v>
      </c>
      <c r="U1510" s="91">
        <f>TAB_ESTOQUE[[#This Row],[Valor Unitario Estimado]]*TAB_ESTOQUE[[#This Row],[Estoque]]</f>
        <v>100</v>
      </c>
      <c r="V1510" s="91"/>
      <c r="W1510" s="85"/>
      <c r="X1510" s="85"/>
      <c r="Y1510" s="85"/>
      <c r="Z1510" s="85"/>
      <c r="AA1510" s="85"/>
      <c r="AB1510" s="96" t="str">
        <f>IF(TAB_ESTOQUE[[#This Row],[Estoque]]=0,"Estoque Não Conforme",IF(TAB_ESTOQUE[[#This Row],[Estoque]]&gt;=TAB_ESTOQUE[[#This Row],[Mínimo]],"Estoque Conforme",IF(TAB_ESTOQUE[[#This Row],[Estoque]]&lt;TAB_ESTOQUE[[#This Row],[Mínimo]],"Estoque em Nivel Minimo")))</f>
        <v>Estoque Conforme</v>
      </c>
      <c r="AC1510" s="85"/>
      <c r="AD1510" s="82"/>
    </row>
    <row r="1511" spans="1:30" x14ac:dyDescent="0.25">
      <c r="C1511" s="48"/>
      <c r="D1511" s="45" t="s">
        <v>7754</v>
      </c>
      <c r="E1511" s="46"/>
      <c r="F1511" s="46"/>
      <c r="I1511" s="45" t="s">
        <v>8943</v>
      </c>
      <c r="O1511" s="46" t="s">
        <v>1330</v>
      </c>
      <c r="Q1511" s="137">
        <f>VLOOKUP(TAB_ESTOQUE[[#This Row],[Codigo]],TAB_ENTRADA[[Cod_2_Entrada]:[TOTAL_ENTRADA]],5,FALSE)-VLOOKUP(TAB_ESTOQUE[[#This Row],[Codigo]],TAB_SAIDA[[COD_2_SAIDA]:[TOTAL_SAIDA]],5,FALSE)</f>
        <v>40</v>
      </c>
      <c r="R1511" s="46">
        <v>20</v>
      </c>
      <c r="S1511" s="46">
        <v>200</v>
      </c>
      <c r="T1511" s="102">
        <v>16</v>
      </c>
      <c r="U1511" s="103">
        <f>TAB_ESTOQUE[[#This Row],[Valor Unitario Estimado]]*TAB_ESTOQUE[[#This Row],[Estoque]]</f>
        <v>640</v>
      </c>
      <c r="V1511" s="103"/>
      <c r="AA1511" s="138"/>
      <c r="AB1511" s="104" t="str">
        <f>IF(TAB_ESTOQUE[[#This Row],[Estoque]]=0,"Estoque Não Conforme",IF(TAB_ESTOQUE[[#This Row],[Estoque]]&gt;=TAB_ESTOQUE[[#This Row],[Mínimo]],"Estoque Conforme",IF(TAB_ESTOQUE[[#This Row],[Estoque]]&lt;TAB_ESTOQUE[[#This Row],[Mínimo]],"Estoque em Nivel Minimo")))</f>
        <v>Estoque Conforme</v>
      </c>
      <c r="AC1511" s="104"/>
    </row>
    <row r="1512" spans="1:30" x14ac:dyDescent="0.25">
      <c r="A1512" s="45">
        <v>733</v>
      </c>
      <c r="B1512" s="47"/>
      <c r="C1512" s="46" t="s">
        <v>2842</v>
      </c>
      <c r="D1512" s="45" t="s">
        <v>2538</v>
      </c>
      <c r="E1512" s="46" t="s">
        <v>7</v>
      </c>
      <c r="F1512" s="87"/>
      <c r="G1512" s="82"/>
      <c r="H1512" s="82"/>
      <c r="I1512" s="82" t="s">
        <v>2974</v>
      </c>
      <c r="J1512" s="82"/>
      <c r="K1512" s="82"/>
      <c r="L1512" s="82"/>
      <c r="M1512" s="82"/>
      <c r="N1512" s="82"/>
      <c r="O1512" s="87" t="s">
        <v>6729</v>
      </c>
      <c r="P1512" s="82" t="s">
        <v>516</v>
      </c>
      <c r="Q1512" s="83">
        <f>VLOOKUP(TAB_ESTOQUE[[#This Row],[Codigo]],TAB_ENTRADA[[Cod_2_Entrada]:[TOTAL_ENTRADA]],5,FALSE)-VLOOKUP(TAB_ESTOQUE[[#This Row],[Codigo]],TAB_SAIDA[[COD_2_SAIDA]:[TOTAL_SAIDA]],5,FALSE)</f>
        <v>150</v>
      </c>
      <c r="R1512" s="87"/>
      <c r="S1512" s="87"/>
      <c r="T1512" s="90"/>
      <c r="U1512" s="91">
        <f>TAB_ESTOQUE[[#This Row],[Valor Unitario Estimado]]*TAB_ESTOQUE[[#This Row],[Estoque]]</f>
        <v>0</v>
      </c>
      <c r="V1512" s="91"/>
      <c r="W1512" s="85"/>
      <c r="X1512" s="85"/>
      <c r="Y1512" s="85"/>
      <c r="Z1512" s="85"/>
      <c r="AA1512" s="85"/>
      <c r="AB1512" s="85" t="str">
        <f>IF(TAB_ESTOQUE[[#This Row],[Estoque]]=0,"Estoque Não Conforme",IF(TAB_ESTOQUE[[#This Row],[Estoque]]&gt;=TAB_ESTOQUE[[#This Row],[Mínimo]],"Estoque Conforme",IF(TAB_ESTOQUE[[#This Row],[Estoque]]&lt;TAB_ESTOQUE[[#This Row],[Mínimo]],"Estoque em Nivel Minimo")))</f>
        <v>Estoque Conforme</v>
      </c>
      <c r="AC1512" s="85"/>
      <c r="AD1512" s="82"/>
    </row>
    <row r="1513" spans="1:30" x14ac:dyDescent="0.25">
      <c r="A1513" s="45">
        <v>1211</v>
      </c>
      <c r="B1513" s="47"/>
      <c r="C1513" s="46"/>
      <c r="D1513" s="45" t="s">
        <v>2537</v>
      </c>
      <c r="E1513" s="46" t="s">
        <v>736</v>
      </c>
      <c r="F1513" s="87"/>
      <c r="G1513" s="82"/>
      <c r="H1513" s="82"/>
      <c r="I1513" s="82" t="s">
        <v>2973</v>
      </c>
      <c r="J1513" s="82"/>
      <c r="K1513" s="82"/>
      <c r="L1513" s="82"/>
      <c r="M1513" s="82"/>
      <c r="N1513" s="82"/>
      <c r="O1513" s="87" t="s">
        <v>6728</v>
      </c>
      <c r="P1513" s="82" t="s">
        <v>925</v>
      </c>
      <c r="Q1513" s="83">
        <f>VLOOKUP(TAB_ESTOQUE[[#This Row],[Codigo]],TAB_ENTRADA[[Cod_2_Entrada]:[TOTAL_ENTRADA]],5,FALSE)-VLOOKUP(TAB_ESTOQUE[[#This Row],[Codigo]],TAB_SAIDA[[COD_2_SAIDA]:[TOTAL_SAIDA]],5,FALSE)</f>
        <v>100</v>
      </c>
      <c r="R1513" s="87"/>
      <c r="S1513" s="87"/>
      <c r="T1513" s="90"/>
      <c r="U1513" s="91">
        <f>TAB_ESTOQUE[[#This Row],[Valor Unitario Estimado]]*TAB_ESTOQUE[[#This Row],[Estoque]]</f>
        <v>0</v>
      </c>
      <c r="V1513" s="91"/>
      <c r="W1513" s="85"/>
      <c r="X1513" s="85"/>
      <c r="Y1513" s="85"/>
      <c r="Z1513" s="85"/>
      <c r="AA1513" s="85"/>
      <c r="AB1513" s="85" t="str">
        <f>IF(TAB_ESTOQUE[[#This Row],[Estoque]]=0,"Estoque Não Conforme",IF(TAB_ESTOQUE[[#This Row],[Estoque]]&gt;=TAB_ESTOQUE[[#This Row],[Mínimo]],"Estoque Conforme",IF(TAB_ESTOQUE[[#This Row],[Estoque]]&lt;TAB_ESTOQUE[[#This Row],[Mínimo]],"Estoque em Nivel Minimo")))</f>
        <v>Estoque Conforme</v>
      </c>
      <c r="AC1513" s="85"/>
      <c r="AD1513" s="82"/>
    </row>
    <row r="1514" spans="1:30" x14ac:dyDescent="0.25">
      <c r="A1514" s="45">
        <v>868</v>
      </c>
      <c r="B1514" s="47"/>
      <c r="C1514" s="46"/>
      <c r="D1514" s="45" t="s">
        <v>2528</v>
      </c>
      <c r="E1514" s="46" t="s">
        <v>7</v>
      </c>
      <c r="F1514" s="87"/>
      <c r="G1514" s="82"/>
      <c r="H1514" s="82"/>
      <c r="I1514" s="82" t="s">
        <v>1553</v>
      </c>
      <c r="J1514" s="82"/>
      <c r="K1514" s="82"/>
      <c r="L1514" s="82"/>
      <c r="M1514" s="82" t="s">
        <v>137</v>
      </c>
      <c r="N1514" s="82"/>
      <c r="O1514" s="87" t="s">
        <v>8756</v>
      </c>
      <c r="P1514" s="82" t="s">
        <v>665</v>
      </c>
      <c r="Q1514" s="83">
        <f>VLOOKUP(TAB_ESTOQUE[[#This Row],[Codigo]],TAB_ENTRADA[[Cod_2_Entrada]:[TOTAL_ENTRADA]],5,FALSE)-VLOOKUP(TAB_ESTOQUE[[#This Row],[Codigo]],TAB_SAIDA[[COD_2_SAIDA]:[TOTAL_SAIDA]],5,FALSE)</f>
        <v>20</v>
      </c>
      <c r="R1514" s="87"/>
      <c r="S1514" s="87"/>
      <c r="T1514" s="90"/>
      <c r="U1514" s="91">
        <f>TAB_ESTOQUE[[#This Row],[Valor Unitario Estimado]]*TAB_ESTOQUE[[#This Row],[Estoque]]</f>
        <v>0</v>
      </c>
      <c r="V1514" s="91"/>
      <c r="W1514" s="85"/>
      <c r="X1514" s="85"/>
      <c r="Y1514" s="85"/>
      <c r="Z1514" s="85"/>
      <c r="AA1514" s="85"/>
      <c r="AB1514" s="85" t="str">
        <f>IF(TAB_ESTOQUE[[#This Row],[Estoque]]=0,"Estoque Não Conforme",IF(TAB_ESTOQUE[[#This Row],[Estoque]]&gt;=TAB_ESTOQUE[[#This Row],[Mínimo]],"Estoque Conforme",IF(TAB_ESTOQUE[[#This Row],[Estoque]]&lt;TAB_ESTOQUE[[#This Row],[Mínimo]],"Estoque em Nivel Minimo")))</f>
        <v>Estoque Conforme</v>
      </c>
      <c r="AC1514" s="85"/>
      <c r="AD1514" s="82"/>
    </row>
    <row r="1515" spans="1:30" x14ac:dyDescent="0.25">
      <c r="A1515" s="45">
        <v>1245</v>
      </c>
      <c r="B1515" s="47"/>
      <c r="C1515" s="46"/>
      <c r="D1515" s="45" t="s">
        <v>2546</v>
      </c>
      <c r="E1515" s="46" t="s">
        <v>7</v>
      </c>
      <c r="F1515" s="87"/>
      <c r="G1515" s="82"/>
      <c r="H1515" s="82"/>
      <c r="I1515" s="82" t="s">
        <v>2975</v>
      </c>
      <c r="J1515" s="82"/>
      <c r="K1515" s="82"/>
      <c r="L1515" s="82"/>
      <c r="M1515" s="82"/>
      <c r="N1515" s="82"/>
      <c r="O1515" s="87" t="s">
        <v>8756</v>
      </c>
      <c r="P1515" s="82" t="s">
        <v>962</v>
      </c>
      <c r="Q1515" s="83">
        <f>VLOOKUP(TAB_ESTOQUE[[#This Row],[Codigo]],TAB_ENTRADA[[Cod_2_Entrada]:[TOTAL_ENTRADA]],5,FALSE)-VLOOKUP(TAB_ESTOQUE[[#This Row],[Codigo]],TAB_SAIDA[[COD_2_SAIDA]:[TOTAL_SAIDA]],5,FALSE)</f>
        <v>100</v>
      </c>
      <c r="R1515" s="87"/>
      <c r="S1515" s="87"/>
      <c r="T1515" s="90"/>
      <c r="U1515" s="91">
        <f>TAB_ESTOQUE[[#This Row],[Valor Unitario Estimado]]*TAB_ESTOQUE[[#This Row],[Estoque]]</f>
        <v>0</v>
      </c>
      <c r="V1515" s="91"/>
      <c r="W1515" s="85"/>
      <c r="X1515" s="85"/>
      <c r="Y1515" s="85"/>
      <c r="Z1515" s="85"/>
      <c r="AA1515" s="85"/>
      <c r="AB1515" s="85" t="str">
        <f>IF(TAB_ESTOQUE[[#This Row],[Estoque]]=0,"Estoque Não Conforme",IF(TAB_ESTOQUE[[#This Row],[Estoque]]&gt;=TAB_ESTOQUE[[#This Row],[Mínimo]],"Estoque Conforme",IF(TAB_ESTOQUE[[#This Row],[Estoque]]&lt;TAB_ESTOQUE[[#This Row],[Mínimo]],"Estoque em Nivel Minimo")))</f>
        <v>Estoque Conforme</v>
      </c>
      <c r="AC1515" s="85"/>
      <c r="AD1515" s="82"/>
    </row>
    <row r="1516" spans="1:30" x14ac:dyDescent="0.25">
      <c r="A1516" s="45">
        <v>371</v>
      </c>
      <c r="B1516" s="47"/>
      <c r="C1516" s="46"/>
      <c r="D1516" s="45" t="s">
        <v>2536</v>
      </c>
      <c r="E1516" s="46" t="s">
        <v>736</v>
      </c>
      <c r="F1516" s="87"/>
      <c r="G1516" s="82"/>
      <c r="H1516" s="82"/>
      <c r="I1516" s="82" t="s">
        <v>2976</v>
      </c>
      <c r="J1516" s="82"/>
      <c r="K1516" s="82"/>
      <c r="L1516" s="82"/>
      <c r="M1516" s="82" t="s">
        <v>137</v>
      </c>
      <c r="N1516" s="82"/>
      <c r="O1516" s="87" t="s">
        <v>6727</v>
      </c>
      <c r="P1516" s="82" t="s">
        <v>235</v>
      </c>
      <c r="Q1516" s="83">
        <f>VLOOKUP(TAB_ESTOQUE[[#This Row],[Codigo]],TAB_ENTRADA[[Cod_2_Entrada]:[TOTAL_ENTRADA]],5,FALSE)-VLOOKUP(TAB_ESTOQUE[[#This Row],[Codigo]],TAB_SAIDA[[COD_2_SAIDA]:[TOTAL_SAIDA]],5,FALSE)</f>
        <v>100</v>
      </c>
      <c r="R1516" s="87"/>
      <c r="S1516" s="87"/>
      <c r="T1516" s="90"/>
      <c r="U1516" s="91">
        <f>TAB_ESTOQUE[[#This Row],[Valor Unitario Estimado]]*TAB_ESTOQUE[[#This Row],[Estoque]]</f>
        <v>0</v>
      </c>
      <c r="V1516" s="91"/>
      <c r="W1516" s="85"/>
      <c r="X1516" s="85"/>
      <c r="Y1516" s="85"/>
      <c r="Z1516" s="85"/>
      <c r="AA1516" s="85"/>
      <c r="AB1516" s="85" t="str">
        <f>IF(TAB_ESTOQUE[[#This Row],[Estoque]]=0,"Estoque Não Conforme",IF(TAB_ESTOQUE[[#This Row],[Estoque]]&gt;=TAB_ESTOQUE[[#This Row],[Mínimo]],"Estoque Conforme",IF(TAB_ESTOQUE[[#This Row],[Estoque]]&lt;TAB_ESTOQUE[[#This Row],[Mínimo]],"Estoque em Nivel Minimo")))</f>
        <v>Estoque Conforme</v>
      </c>
      <c r="AC1516" s="85"/>
      <c r="AD1516" s="82"/>
    </row>
    <row r="1517" spans="1:30" x14ac:dyDescent="0.25">
      <c r="A1517" s="106"/>
      <c r="B1517" s="106"/>
      <c r="C1517" s="106"/>
      <c r="D1517" s="106" t="s">
        <v>6574</v>
      </c>
      <c r="E1517" s="116" t="s">
        <v>116</v>
      </c>
      <c r="F1517" s="116"/>
      <c r="G1517" s="106"/>
      <c r="H1517" s="106"/>
      <c r="I1517" s="106" t="s">
        <v>7047</v>
      </c>
      <c r="J1517" s="106"/>
      <c r="K1517" s="106"/>
      <c r="L1517" s="106"/>
      <c r="M1517" s="106"/>
      <c r="N1517" s="106"/>
      <c r="O1517" s="116" t="s">
        <v>6718</v>
      </c>
      <c r="P1517" s="106"/>
      <c r="Q1517" s="154">
        <f>VLOOKUP(TAB_ESTOQUE[[#This Row],[Codigo]],TAB_ENTRADA[[Cod_2_Entrada]:[TOTAL_ENTRADA]],5,FALSE)-VLOOKUP(TAB_ESTOQUE[[#This Row],[Codigo]],TAB_SAIDA[[COD_2_SAIDA]:[TOTAL_SAIDA]],5,FALSE)</f>
        <v>0</v>
      </c>
      <c r="R1517" s="116"/>
      <c r="S1517" s="116"/>
      <c r="T1517" s="163"/>
      <c r="U1517" s="164">
        <f>TAB_ESTOQUE[[#This Row],[Valor Unitario Estimado]]*TAB_ESTOQUE[[#This Row],[Estoque]]</f>
        <v>0</v>
      </c>
      <c r="V1517" s="164"/>
      <c r="W1517" s="165"/>
      <c r="X1517" s="165"/>
      <c r="Y1517" s="165"/>
      <c r="Z1517" s="165"/>
      <c r="AA1517" s="165"/>
      <c r="AB1517" s="166" t="str">
        <f>IF(TAB_ESTOQUE[[#This Row],[Estoque]]=0,"Estoque Não Conforme",IF(TAB_ESTOQUE[[#This Row],[Estoque]]&gt;=TAB_ESTOQUE[[#This Row],[Mínimo]],"Estoque Conforme",IF(TAB_ESTOQUE[[#This Row],[Estoque]]&lt;TAB_ESTOQUE[[#This Row],[Mínimo]],"Estoque em Nivel Minimo")))</f>
        <v>Estoque Não Conforme</v>
      </c>
      <c r="AC1517" s="166"/>
      <c r="AD1517" s="106"/>
    </row>
    <row r="1518" spans="1:30" x14ac:dyDescent="0.25">
      <c r="A1518" s="45">
        <v>872</v>
      </c>
      <c r="B1518" s="47"/>
      <c r="C1518" s="46"/>
      <c r="D1518" s="45" t="s">
        <v>2535</v>
      </c>
      <c r="E1518" s="46"/>
      <c r="F1518" s="87"/>
      <c r="G1518" s="82"/>
      <c r="H1518" s="82"/>
      <c r="I1518" s="82" t="s">
        <v>7067</v>
      </c>
      <c r="J1518" s="82"/>
      <c r="K1518" s="82"/>
      <c r="L1518" s="82"/>
      <c r="M1518" s="82" t="s">
        <v>137</v>
      </c>
      <c r="N1518" s="82"/>
      <c r="O1518" s="87" t="s">
        <v>7068</v>
      </c>
      <c r="P1518" s="82" t="s">
        <v>671</v>
      </c>
      <c r="Q1518" s="83">
        <f>VLOOKUP(TAB_ESTOQUE[[#This Row],[Codigo]],TAB_ENTRADA[[Cod_2_Entrada]:[TOTAL_ENTRADA]],5,FALSE)-VLOOKUP(TAB_ESTOQUE[[#This Row],[Codigo]],TAB_SAIDA[[COD_2_SAIDA]:[TOTAL_SAIDA]],5,FALSE)</f>
        <v>0</v>
      </c>
      <c r="R1518" s="87"/>
      <c r="S1518" s="87"/>
      <c r="T1518" s="90"/>
      <c r="U1518" s="91">
        <f>TAB_ESTOQUE[[#This Row],[Valor Unitario Estimado]]*TAB_ESTOQUE[[#This Row],[Estoque]]</f>
        <v>0</v>
      </c>
      <c r="V1518" s="91"/>
      <c r="W1518" s="85"/>
      <c r="X1518" s="85"/>
      <c r="Y1518" s="85"/>
      <c r="Z1518" s="85"/>
      <c r="AA1518" s="85"/>
      <c r="AB1518" s="85" t="str">
        <f>IF(TAB_ESTOQUE[[#This Row],[Estoque]]=0,"Estoque Não Conforme",IF(TAB_ESTOQUE[[#This Row],[Estoque]]&gt;=TAB_ESTOQUE[[#This Row],[Mínimo]],"Estoque Conforme",IF(TAB_ESTOQUE[[#This Row],[Estoque]]&lt;TAB_ESTOQUE[[#This Row],[Mínimo]],"Estoque em Nivel Minimo")))</f>
        <v>Estoque Não Conforme</v>
      </c>
      <c r="AC1518" s="85"/>
      <c r="AD1518" s="82"/>
    </row>
    <row r="1519" spans="1:30" x14ac:dyDescent="0.25">
      <c r="A1519" s="45">
        <v>1184</v>
      </c>
      <c r="B1519" s="47"/>
      <c r="C1519" s="46" t="s">
        <v>2833</v>
      </c>
      <c r="D1519" s="45" t="s">
        <v>2564</v>
      </c>
      <c r="E1519" s="46" t="s">
        <v>736</v>
      </c>
      <c r="F1519" s="87"/>
      <c r="G1519" s="82"/>
      <c r="H1519" s="82"/>
      <c r="I1519" s="82" t="s">
        <v>2972</v>
      </c>
      <c r="J1519" s="82"/>
      <c r="K1519" s="82"/>
      <c r="L1519" s="82"/>
      <c r="M1519" s="82"/>
      <c r="N1519" s="82"/>
      <c r="O1519" s="87" t="s">
        <v>7068</v>
      </c>
      <c r="P1519" s="82" t="s">
        <v>905</v>
      </c>
      <c r="Q1519" s="83">
        <f>VLOOKUP(TAB_ESTOQUE[[#This Row],[Codigo]],TAB_ENTRADA[[Cod_2_Entrada]:[TOTAL_ENTRADA]],5,FALSE)-VLOOKUP(TAB_ESTOQUE[[#This Row],[Codigo]],TAB_SAIDA[[COD_2_SAIDA]:[TOTAL_SAIDA]],5,FALSE)</f>
        <v>200</v>
      </c>
      <c r="R1519" s="87"/>
      <c r="S1519" s="87"/>
      <c r="T1519" s="90"/>
      <c r="U1519" s="91">
        <f>TAB_ESTOQUE[[#This Row],[Valor Unitario Estimado]]*TAB_ESTOQUE[[#This Row],[Estoque]]</f>
        <v>0</v>
      </c>
      <c r="V1519" s="91"/>
      <c r="W1519" s="85"/>
      <c r="X1519" s="85"/>
      <c r="Y1519" s="85"/>
      <c r="Z1519" s="85"/>
      <c r="AA1519" s="85"/>
      <c r="AB1519" s="85" t="str">
        <f>IF(TAB_ESTOQUE[[#This Row],[Estoque]]=0,"Estoque Não Conforme",IF(TAB_ESTOQUE[[#This Row],[Estoque]]&gt;=TAB_ESTOQUE[[#This Row],[Mínimo]],"Estoque Conforme",IF(TAB_ESTOQUE[[#This Row],[Estoque]]&lt;TAB_ESTOQUE[[#This Row],[Mínimo]],"Estoque em Nivel Minimo")))</f>
        <v>Estoque Conforme</v>
      </c>
      <c r="AC1519" s="85"/>
      <c r="AD1519" s="82"/>
    </row>
    <row r="1520" spans="1:30" x14ac:dyDescent="0.25">
      <c r="B1520" s="47"/>
      <c r="C1520" s="48"/>
      <c r="D1520" s="45" t="s">
        <v>6407</v>
      </c>
      <c r="E1520" s="46"/>
      <c r="F1520" s="87"/>
      <c r="G1520" s="82"/>
      <c r="H1520" s="82"/>
      <c r="I1520" s="82" t="s">
        <v>6895</v>
      </c>
      <c r="J1520" s="82"/>
      <c r="K1520" s="82"/>
      <c r="L1520" s="82"/>
      <c r="M1520" s="82"/>
      <c r="N1520" s="82"/>
      <c r="O1520" s="87" t="s">
        <v>7068</v>
      </c>
      <c r="P1520" s="82"/>
      <c r="Q1520" s="83">
        <f>VLOOKUP(TAB_ESTOQUE[[#This Row],[Codigo]],TAB_ENTRADA[[Cod_2_Entrada]:[TOTAL_ENTRADA]],5,FALSE)-VLOOKUP(TAB_ESTOQUE[[#This Row],[Codigo]],TAB_SAIDA[[COD_2_SAIDA]:[TOTAL_SAIDA]],5,FALSE)</f>
        <v>2</v>
      </c>
      <c r="R1520" s="87"/>
      <c r="S1520" s="87"/>
      <c r="T1520" s="90">
        <v>162.4</v>
      </c>
      <c r="U1520" s="91">
        <f>TAB_ESTOQUE[[#This Row],[Valor Unitario Estimado]]*TAB_ESTOQUE[[#This Row],[Estoque]]</f>
        <v>324.8</v>
      </c>
      <c r="V1520" s="91"/>
      <c r="W1520" s="85"/>
      <c r="X1520" s="85"/>
      <c r="Y1520" s="85"/>
      <c r="Z1520" s="85"/>
      <c r="AA1520" s="85"/>
      <c r="AB1520" s="85" t="str">
        <f>IF(TAB_ESTOQUE[[#This Row],[Estoque]]=0,"Estoque Não Conforme",IF(TAB_ESTOQUE[[#This Row],[Estoque]]&gt;=TAB_ESTOQUE[[#This Row],[Mínimo]],"Estoque Conforme",IF(TAB_ESTOQUE[[#This Row],[Estoque]]&lt;TAB_ESTOQUE[[#This Row],[Mínimo]],"Estoque em Nivel Minimo")))</f>
        <v>Estoque Conforme</v>
      </c>
      <c r="AC1520" s="96"/>
      <c r="AD1520" s="82"/>
    </row>
    <row r="1521" spans="1:30" x14ac:dyDescent="0.25">
      <c r="A1521" s="106">
        <v>1683</v>
      </c>
      <c r="B1521" s="106"/>
      <c r="C1521" s="116"/>
      <c r="D1521" s="106" t="s">
        <v>2549</v>
      </c>
      <c r="E1521" s="116" t="s">
        <v>832</v>
      </c>
      <c r="F1521" s="118"/>
      <c r="G1521" s="95"/>
      <c r="H1521" s="95"/>
      <c r="I1521" s="95" t="s">
        <v>837</v>
      </c>
      <c r="J1521" s="95"/>
      <c r="K1521" s="95"/>
      <c r="L1521" s="95"/>
      <c r="M1521" s="95"/>
      <c r="N1521" s="95"/>
      <c r="O1521" s="118" t="s">
        <v>7125</v>
      </c>
      <c r="P1521" s="95" t="s">
        <v>1115</v>
      </c>
      <c r="Q1521" s="154">
        <f>VLOOKUP(TAB_ESTOQUE[[#This Row],[Codigo]],TAB_ENTRADA[[Cod_2_Entrada]:[TOTAL_ENTRADA]],5,FALSE)-VLOOKUP(TAB_ESTOQUE[[#This Row],[Codigo]],TAB_SAIDA[[COD_2_SAIDA]:[TOTAL_SAIDA]],5,FALSE)</f>
        <v>20</v>
      </c>
      <c r="R1521" s="118"/>
      <c r="S1521" s="118"/>
      <c r="T1521" s="119"/>
      <c r="U1521" s="112">
        <f>TAB_ESTOQUE[[#This Row],[Valor Unitario Estimado]]*TAB_ESTOQUE[[#This Row],[Estoque]]</f>
        <v>0</v>
      </c>
      <c r="V1521" s="112"/>
      <c r="W1521" s="120"/>
      <c r="X1521" s="120"/>
      <c r="Y1521" s="120"/>
      <c r="Z1521" s="120"/>
      <c r="AA1521" s="120"/>
      <c r="AB1521" s="120" t="str">
        <f>IF(TAB_ESTOQUE[[#This Row],[Estoque]]=0,"Estoque Não Conforme",IF(TAB_ESTOQUE[[#This Row],[Estoque]]&gt;=TAB_ESTOQUE[[#This Row],[Mínimo]],"Estoque Conforme",IF(TAB_ESTOQUE[[#This Row],[Estoque]]&lt;TAB_ESTOQUE[[#This Row],[Mínimo]],"Estoque em Nivel Minimo")))</f>
        <v>Estoque Conforme</v>
      </c>
      <c r="AC1521" s="120"/>
      <c r="AD1521" s="95"/>
    </row>
    <row r="1522" spans="1:30" x14ac:dyDescent="0.25">
      <c r="C1522" s="53" t="s">
        <v>2842</v>
      </c>
      <c r="D1522" s="45" t="s">
        <v>6799</v>
      </c>
      <c r="E1522" s="46" t="s">
        <v>116</v>
      </c>
      <c r="F1522" s="46"/>
      <c r="I1522" s="45" t="s">
        <v>7101</v>
      </c>
      <c r="O1522" s="46" t="s">
        <v>7102</v>
      </c>
      <c r="Q1522" s="83">
        <f>VLOOKUP(TAB_ESTOQUE[[#This Row],[Codigo]],TAB_ENTRADA[[Cod_2_Entrada]:[TOTAL_ENTRADA]],5,FALSE)-VLOOKUP(TAB_ESTOQUE[[#This Row],[Codigo]],TAB_SAIDA[[COD_2_SAIDA]:[TOTAL_SAIDA]],5,FALSE)</f>
        <v>0</v>
      </c>
      <c r="S1522" s="46"/>
      <c r="T1522" s="102"/>
      <c r="U1522" s="103">
        <f>TAB_ESTOQUE[[#This Row],[Valor Unitario Estimado]]*TAB_ESTOQUE[[#This Row],[Estoque]]</f>
        <v>0</v>
      </c>
      <c r="V1522" s="103"/>
      <c r="AB1522" s="104" t="str">
        <f>IF(TAB_ESTOQUE[[#This Row],[Estoque]]=0,"Estoque Não Conforme",IF(TAB_ESTOQUE[[#This Row],[Estoque]]&gt;=TAB_ESTOQUE[[#This Row],[Mínimo]],"Estoque Conforme",IF(TAB_ESTOQUE[[#This Row],[Estoque]]&lt;TAB_ESTOQUE[[#This Row],[Mínimo]],"Estoque em Nivel Minimo")))</f>
        <v>Estoque Não Conforme</v>
      </c>
      <c r="AC1522" s="104"/>
    </row>
    <row r="1523" spans="1:30" x14ac:dyDescent="0.25">
      <c r="C1523" s="53" t="s">
        <v>2842</v>
      </c>
      <c r="D1523" s="45" t="s">
        <v>6800</v>
      </c>
      <c r="E1523" s="46" t="s">
        <v>116</v>
      </c>
      <c r="F1523" s="46"/>
      <c r="I1523" s="45" t="s">
        <v>7103</v>
      </c>
      <c r="O1523" s="46" t="s">
        <v>7102</v>
      </c>
      <c r="Q1523" s="83">
        <f>VLOOKUP(TAB_ESTOQUE[[#This Row],[Codigo]],TAB_ENTRADA[[Cod_2_Entrada]:[TOTAL_ENTRADA]],5,FALSE)-VLOOKUP(TAB_ESTOQUE[[#This Row],[Codigo]],TAB_SAIDA[[COD_2_SAIDA]:[TOTAL_SAIDA]],5,FALSE)</f>
        <v>0</v>
      </c>
      <c r="S1523" s="46"/>
      <c r="T1523" s="102"/>
      <c r="U1523" s="103">
        <f>TAB_ESTOQUE[[#This Row],[Valor Unitario Estimado]]*TAB_ESTOQUE[[#This Row],[Estoque]]</f>
        <v>0</v>
      </c>
      <c r="V1523" s="103"/>
      <c r="AB1523" s="104" t="str">
        <f>IF(TAB_ESTOQUE[[#This Row],[Estoque]]=0,"Estoque Não Conforme",IF(TAB_ESTOQUE[[#This Row],[Estoque]]&gt;=TAB_ESTOQUE[[#This Row],[Mínimo]],"Estoque Conforme",IF(TAB_ESTOQUE[[#This Row],[Estoque]]&lt;TAB_ESTOQUE[[#This Row],[Mínimo]],"Estoque em Nivel Minimo")))</f>
        <v>Estoque Não Conforme</v>
      </c>
      <c r="AC1523" s="104"/>
    </row>
    <row r="1524" spans="1:30" x14ac:dyDescent="0.25">
      <c r="C1524" s="48"/>
      <c r="D1524" s="45" t="s">
        <v>6933</v>
      </c>
      <c r="E1524" s="46"/>
      <c r="F1524" s="46"/>
      <c r="I1524" s="45" t="s">
        <v>7257</v>
      </c>
      <c r="O1524" s="46" t="s">
        <v>7102</v>
      </c>
      <c r="Q1524" s="137">
        <f>VLOOKUP(TAB_ESTOQUE[[#This Row],[Codigo]],TAB_ENTRADA[[Cod_2_Entrada]:[TOTAL_ENTRADA]],5,FALSE)-VLOOKUP(TAB_ESTOQUE[[#This Row],[Codigo]],TAB_SAIDA[[COD_2_SAIDA]:[TOTAL_SAIDA]],5,FALSE)</f>
        <v>10</v>
      </c>
      <c r="S1524" s="46"/>
      <c r="T1524" s="102">
        <v>145</v>
      </c>
      <c r="U1524" s="103">
        <f>TAB_ESTOQUE[[#This Row],[Valor Unitario Estimado]]*TAB_ESTOQUE[[#This Row],[Estoque]]</f>
        <v>1450</v>
      </c>
      <c r="V1524" s="103"/>
      <c r="AA1524" s="138"/>
      <c r="AB1524" s="104" t="str">
        <f>IF(TAB_ESTOQUE[[#This Row],[Estoque]]=0,"Estoque Não Conforme",IF(TAB_ESTOQUE[[#This Row],[Estoque]]&gt;=TAB_ESTOQUE[[#This Row],[Mínimo]],"Estoque Conforme",IF(TAB_ESTOQUE[[#This Row],[Estoque]]&lt;TAB_ESTOQUE[[#This Row],[Mínimo]],"Estoque em Nivel Minimo")))</f>
        <v>Estoque Conforme</v>
      </c>
      <c r="AC1524" s="104"/>
    </row>
    <row r="1525" spans="1:30" x14ac:dyDescent="0.25">
      <c r="C1525" s="48"/>
      <c r="D1525" s="45" t="s">
        <v>6934</v>
      </c>
      <c r="E1525" s="46"/>
      <c r="F1525" s="46"/>
      <c r="I1525" s="45" t="s">
        <v>7257</v>
      </c>
      <c r="O1525" s="46" t="s">
        <v>7102</v>
      </c>
      <c r="Q1525" s="137">
        <f>VLOOKUP(TAB_ESTOQUE[[#This Row],[Codigo]],TAB_ENTRADA[[Cod_2_Entrada]:[TOTAL_ENTRADA]],5,FALSE)-VLOOKUP(TAB_ESTOQUE[[#This Row],[Codigo]],TAB_SAIDA[[COD_2_SAIDA]:[TOTAL_SAIDA]],5,FALSE)</f>
        <v>6</v>
      </c>
      <c r="S1525" s="46"/>
      <c r="T1525" s="102">
        <v>152</v>
      </c>
      <c r="U1525" s="103">
        <f>TAB_ESTOQUE[[#This Row],[Valor Unitario Estimado]]*TAB_ESTOQUE[[#This Row],[Estoque]]</f>
        <v>912</v>
      </c>
      <c r="V1525" s="103"/>
      <c r="AA1525" s="138"/>
      <c r="AB1525" s="104" t="str">
        <f>IF(TAB_ESTOQUE[[#This Row],[Estoque]]=0,"Estoque Não Conforme",IF(TAB_ESTOQUE[[#This Row],[Estoque]]&gt;=TAB_ESTOQUE[[#This Row],[Mínimo]],"Estoque Conforme",IF(TAB_ESTOQUE[[#This Row],[Estoque]]&lt;TAB_ESTOQUE[[#This Row],[Mínimo]],"Estoque em Nivel Minimo")))</f>
        <v>Estoque Conforme</v>
      </c>
      <c r="AC1525" s="104"/>
    </row>
    <row r="1526" spans="1:30" x14ac:dyDescent="0.25">
      <c r="A1526" s="147"/>
      <c r="B1526" s="147"/>
      <c r="C1526" s="147"/>
      <c r="D1526" s="147" t="s">
        <v>6939</v>
      </c>
      <c r="E1526" s="50" t="s">
        <v>7269</v>
      </c>
      <c r="F1526" s="50"/>
      <c r="G1526" s="147"/>
      <c r="H1526" s="147"/>
      <c r="I1526" s="147" t="s">
        <v>7268</v>
      </c>
      <c r="J1526" s="147"/>
      <c r="K1526" s="147"/>
      <c r="L1526" s="147"/>
      <c r="M1526" s="147"/>
      <c r="N1526" s="147"/>
      <c r="O1526" s="50" t="s">
        <v>7102</v>
      </c>
      <c r="P1526" s="147"/>
      <c r="Q1526" s="148">
        <f>VLOOKUP(TAB_ESTOQUE[[#This Row],[Codigo]],TAB_ENTRADA[[Cod_2_Entrada]:[TOTAL_ENTRADA]],5,FALSE)-VLOOKUP(TAB_ESTOQUE[[#This Row],[Codigo]],TAB_SAIDA[[COD_2_SAIDA]:[TOTAL_SAIDA]],5,FALSE)</f>
        <v>1</v>
      </c>
      <c r="R1526" s="50"/>
      <c r="S1526" s="50"/>
      <c r="T1526" s="149">
        <v>555</v>
      </c>
      <c r="U1526" s="150">
        <f>TAB_ESTOQUE[[#This Row],[Valor Unitario Estimado]]*TAB_ESTOQUE[[#This Row],[Estoque]]</f>
        <v>555</v>
      </c>
      <c r="V1526" s="150"/>
      <c r="W1526" s="151"/>
      <c r="X1526" s="151"/>
      <c r="Y1526" s="151"/>
      <c r="Z1526" s="151"/>
      <c r="AA1526" s="152"/>
      <c r="AB1526" s="153" t="str">
        <f>IF(TAB_ESTOQUE[[#This Row],[Estoque]]=0,"Estoque Não Conforme",IF(TAB_ESTOQUE[[#This Row],[Estoque]]&gt;=TAB_ESTOQUE[[#This Row],[Mínimo]],"Estoque Conforme",IF(TAB_ESTOQUE[[#This Row],[Estoque]]&lt;TAB_ESTOQUE[[#This Row],[Mínimo]],"Estoque em Nivel Minimo")))</f>
        <v>Estoque Conforme</v>
      </c>
      <c r="AC1526" s="153"/>
      <c r="AD1526" s="147"/>
    </row>
    <row r="1527" spans="1:30" x14ac:dyDescent="0.25">
      <c r="C1527" s="48"/>
      <c r="D1527" s="45" t="s">
        <v>6981</v>
      </c>
      <c r="E1527" s="46" t="s">
        <v>1324</v>
      </c>
      <c r="F1527" s="46"/>
      <c r="I1527" s="45" t="s">
        <v>7289</v>
      </c>
      <c r="O1527" s="46" t="s">
        <v>7102</v>
      </c>
      <c r="Q1527" s="137">
        <f>VLOOKUP(TAB_ESTOQUE[[#This Row],[Codigo]],TAB_ENTRADA[[Cod_2_Entrada]:[TOTAL_ENTRADA]],5,FALSE)-VLOOKUP(TAB_ESTOQUE[[#This Row],[Codigo]],TAB_SAIDA[[COD_2_SAIDA]:[TOTAL_SAIDA]],5,FALSE)</f>
        <v>1</v>
      </c>
      <c r="S1527" s="46"/>
      <c r="T1527" s="102">
        <v>1278</v>
      </c>
      <c r="U1527" s="103">
        <f>TAB_ESTOQUE[[#This Row],[Valor Unitario Estimado]]*TAB_ESTOQUE[[#This Row],[Estoque]]</f>
        <v>1278</v>
      </c>
      <c r="V1527" s="103"/>
      <c r="AA1527" s="138"/>
      <c r="AB1527" s="104" t="str">
        <f>IF(TAB_ESTOQUE[[#This Row],[Estoque]]=0,"Estoque Não Conforme",IF(TAB_ESTOQUE[[#This Row],[Estoque]]&gt;=TAB_ESTOQUE[[#This Row],[Mínimo]],"Estoque Conforme",IF(TAB_ESTOQUE[[#This Row],[Estoque]]&lt;TAB_ESTOQUE[[#This Row],[Mínimo]],"Estoque em Nivel Minimo")))</f>
        <v>Estoque Conforme</v>
      </c>
      <c r="AC1527" s="104"/>
    </row>
    <row r="1528" spans="1:30" x14ac:dyDescent="0.25">
      <c r="A1528" s="45">
        <v>373</v>
      </c>
      <c r="B1528" s="47"/>
      <c r="C1528" s="46"/>
      <c r="D1528" s="45" t="s">
        <v>2534</v>
      </c>
      <c r="E1528" s="46" t="s">
        <v>401</v>
      </c>
      <c r="F1528" s="87"/>
      <c r="G1528" s="82"/>
      <c r="H1528" s="82"/>
      <c r="I1528" s="82" t="s">
        <v>6726</v>
      </c>
      <c r="J1528" s="82"/>
      <c r="K1528" s="82"/>
      <c r="L1528" s="82"/>
      <c r="M1528" s="82" t="s">
        <v>137</v>
      </c>
      <c r="N1528" s="82"/>
      <c r="O1528" s="87" t="s">
        <v>6724</v>
      </c>
      <c r="P1528" s="82" t="s">
        <v>239</v>
      </c>
      <c r="Q1528" s="83">
        <f>VLOOKUP(TAB_ESTOQUE[[#This Row],[Codigo]],TAB_ENTRADA[[Cod_2_Entrada]:[TOTAL_ENTRADA]],5,FALSE)-VLOOKUP(TAB_ESTOQUE[[#This Row],[Codigo]],TAB_SAIDA[[COD_2_SAIDA]:[TOTAL_SAIDA]],5,FALSE)</f>
        <v>0</v>
      </c>
      <c r="R1528" s="87"/>
      <c r="S1528" s="87"/>
      <c r="T1528" s="90"/>
      <c r="U1528" s="91">
        <f>TAB_ESTOQUE[[#This Row],[Valor Unitario Estimado]]*TAB_ESTOQUE[[#This Row],[Estoque]]</f>
        <v>0</v>
      </c>
      <c r="V1528" s="91"/>
      <c r="W1528" s="85"/>
      <c r="X1528" s="85"/>
      <c r="Y1528" s="85"/>
      <c r="Z1528" s="85"/>
      <c r="AA1528" s="85"/>
      <c r="AB1528" s="85" t="str">
        <f>IF(TAB_ESTOQUE[[#This Row],[Estoque]]=0,"Estoque Não Conforme",IF(TAB_ESTOQUE[[#This Row],[Estoque]]&gt;=TAB_ESTOQUE[[#This Row],[Mínimo]],"Estoque Conforme",IF(TAB_ESTOQUE[[#This Row],[Estoque]]&lt;TAB_ESTOQUE[[#This Row],[Mínimo]],"Estoque em Nivel Minimo")))</f>
        <v>Estoque Não Conforme</v>
      </c>
      <c r="AC1528" s="85"/>
      <c r="AD1528" s="82"/>
    </row>
    <row r="1529" spans="1:30" x14ac:dyDescent="0.25">
      <c r="B1529" s="47"/>
      <c r="C1529" s="46"/>
      <c r="D1529" s="45" t="s">
        <v>2683</v>
      </c>
      <c r="E1529" s="46"/>
      <c r="F1529" s="87"/>
      <c r="G1529" s="82"/>
      <c r="H1529" s="82"/>
      <c r="I1529" s="82" t="s">
        <v>1592</v>
      </c>
      <c r="J1529" s="82"/>
      <c r="K1529" s="82"/>
      <c r="L1529" s="82"/>
      <c r="M1529" s="82"/>
      <c r="N1529" s="82"/>
      <c r="O1529" s="87" t="s">
        <v>6724</v>
      </c>
      <c r="P1529" s="82" t="s">
        <v>1286</v>
      </c>
      <c r="Q1529" s="83">
        <f>VLOOKUP(TAB_ESTOQUE[[#This Row],[Codigo]],TAB_ENTRADA[[Cod_2_Entrada]:[TOTAL_ENTRADA]],5,FALSE)-VLOOKUP(TAB_ESTOQUE[[#This Row],[Codigo]],TAB_SAIDA[[COD_2_SAIDA]:[TOTAL_SAIDA]],5,FALSE)</f>
        <v>0</v>
      </c>
      <c r="R1529" s="87"/>
      <c r="S1529" s="87"/>
      <c r="T1529" s="90"/>
      <c r="U1529" s="91">
        <f>TAB_ESTOQUE[[#This Row],[Valor Unitario Estimado]]*TAB_ESTOQUE[[#This Row],[Estoque]]</f>
        <v>0</v>
      </c>
      <c r="V1529" s="91"/>
      <c r="W1529" s="85"/>
      <c r="X1529" s="85"/>
      <c r="Y1529" s="85"/>
      <c r="Z1529" s="85"/>
      <c r="AA1529" s="85"/>
      <c r="AB1529" s="96" t="str">
        <f>IF(TAB_ESTOQUE[[#This Row],[Estoque]]=0,"Estoque Não Conforme",IF(TAB_ESTOQUE[[#This Row],[Estoque]]&gt;=TAB_ESTOQUE[[#This Row],[Mínimo]],"Estoque Conforme",IF(TAB_ESTOQUE[[#This Row],[Estoque]]&lt;TAB_ESTOQUE[[#This Row],[Mínimo]],"Estoque em Nivel Minimo")))</f>
        <v>Estoque Não Conforme</v>
      </c>
      <c r="AC1529" s="85"/>
      <c r="AD1529" s="82"/>
    </row>
    <row r="1530" spans="1:30" x14ac:dyDescent="0.25">
      <c r="B1530" s="47"/>
      <c r="C1530" s="46" t="s">
        <v>2842</v>
      </c>
      <c r="D1530" s="45" t="s">
        <v>2684</v>
      </c>
      <c r="E1530" s="46"/>
      <c r="F1530" s="87"/>
      <c r="G1530" s="82"/>
      <c r="H1530" s="82"/>
      <c r="I1530" s="82" t="s">
        <v>1593</v>
      </c>
      <c r="J1530" s="82"/>
      <c r="K1530" s="82"/>
      <c r="L1530" s="82"/>
      <c r="M1530" s="82"/>
      <c r="N1530" s="82"/>
      <c r="O1530" s="87" t="s">
        <v>6724</v>
      </c>
      <c r="P1530" s="82" t="s">
        <v>1285</v>
      </c>
      <c r="Q1530" s="83">
        <f>VLOOKUP(TAB_ESTOQUE[[#This Row],[Codigo]],TAB_ENTRADA[[Cod_2_Entrada]:[TOTAL_ENTRADA]],5,FALSE)-VLOOKUP(TAB_ESTOQUE[[#This Row],[Codigo]],TAB_SAIDA[[COD_2_SAIDA]:[TOTAL_SAIDA]],5,FALSE)</f>
        <v>7</v>
      </c>
      <c r="R1530" s="87"/>
      <c r="S1530" s="87"/>
      <c r="T1530" s="90">
        <v>45.72</v>
      </c>
      <c r="U1530" s="91">
        <f>TAB_ESTOQUE[[#This Row],[Valor Unitario Estimado]]*TAB_ESTOQUE[[#This Row],[Estoque]]</f>
        <v>320.03999999999996</v>
      </c>
      <c r="V1530" s="91"/>
      <c r="W1530" s="85"/>
      <c r="X1530" s="85"/>
      <c r="Y1530" s="85"/>
      <c r="Z1530" s="85"/>
      <c r="AA1530" s="85"/>
      <c r="AB1530" s="96" t="str">
        <f>IF(TAB_ESTOQUE[[#This Row],[Estoque]]=0,"Estoque Não Conforme",IF(TAB_ESTOQUE[[#This Row],[Estoque]]&gt;=TAB_ESTOQUE[[#This Row],[Mínimo]],"Estoque Conforme",IF(TAB_ESTOQUE[[#This Row],[Estoque]]&lt;TAB_ESTOQUE[[#This Row],[Mínimo]],"Estoque em Nivel Minimo")))</f>
        <v>Estoque Conforme</v>
      </c>
      <c r="AC1530" s="85"/>
      <c r="AD1530" s="82"/>
    </row>
    <row r="1531" spans="1:30" x14ac:dyDescent="0.25">
      <c r="A1531" s="106"/>
      <c r="B1531" s="106"/>
      <c r="C1531" s="116"/>
      <c r="D1531" s="106" t="s">
        <v>2685</v>
      </c>
      <c r="E1531" s="116"/>
      <c r="F1531" s="118"/>
      <c r="G1531" s="95"/>
      <c r="H1531" s="95"/>
      <c r="I1531" s="95" t="s">
        <v>1594</v>
      </c>
      <c r="J1531" s="95"/>
      <c r="K1531" s="95"/>
      <c r="L1531" s="95"/>
      <c r="M1531" s="95"/>
      <c r="N1531" s="95"/>
      <c r="O1531" s="118" t="s">
        <v>6724</v>
      </c>
      <c r="P1531" s="95" t="s">
        <v>559</v>
      </c>
      <c r="Q1531" s="154">
        <f>VLOOKUP(TAB_ESTOQUE[[#This Row],[Codigo]],TAB_ENTRADA[[Cod_2_Entrada]:[TOTAL_ENTRADA]],5,FALSE)-VLOOKUP(TAB_ESTOQUE[[#This Row],[Codigo]],TAB_SAIDA[[COD_2_SAIDA]:[TOTAL_SAIDA]],5,FALSE)</f>
        <v>8</v>
      </c>
      <c r="R1531" s="118"/>
      <c r="S1531" s="118"/>
      <c r="T1531" s="119"/>
      <c r="U1531" s="112">
        <f>TAB_ESTOQUE[[#This Row],[Valor Unitario Estimado]]*TAB_ESTOQUE[[#This Row],[Estoque]]</f>
        <v>0</v>
      </c>
      <c r="V1531" s="112"/>
      <c r="W1531" s="120"/>
      <c r="X1531" s="120"/>
      <c r="Y1531" s="120"/>
      <c r="Z1531" s="120"/>
      <c r="AA1531" s="120"/>
      <c r="AB1531" s="160" t="str">
        <f>IF(TAB_ESTOQUE[[#This Row],[Estoque]]=0,"Estoque Não Conforme",IF(TAB_ESTOQUE[[#This Row],[Estoque]]&gt;=TAB_ESTOQUE[[#This Row],[Mínimo]],"Estoque Conforme",IF(TAB_ESTOQUE[[#This Row],[Estoque]]&lt;TAB_ESTOQUE[[#This Row],[Mínimo]],"Estoque em Nivel Minimo")))</f>
        <v>Estoque Conforme</v>
      </c>
      <c r="AC1531" s="120"/>
      <c r="AD1531" s="95"/>
    </row>
    <row r="1532" spans="1:30" x14ac:dyDescent="0.25">
      <c r="A1532" s="47"/>
      <c r="B1532" s="47"/>
      <c r="C1532" s="51"/>
      <c r="D1532" s="47" t="s">
        <v>2686</v>
      </c>
      <c r="E1532" s="51"/>
      <c r="F1532" s="107"/>
      <c r="G1532" s="94"/>
      <c r="H1532" s="94"/>
      <c r="I1532" s="170" t="s">
        <v>1596</v>
      </c>
      <c r="J1532" s="94"/>
      <c r="K1532" s="94"/>
      <c r="L1532" s="94"/>
      <c r="M1532" s="94"/>
      <c r="N1532" s="94"/>
      <c r="O1532" s="107" t="s">
        <v>6724</v>
      </c>
      <c r="P1532" s="94" t="s">
        <v>733</v>
      </c>
      <c r="Q1532" s="145">
        <f>VLOOKUP(TAB_ESTOQUE[[#This Row],[Codigo]],TAB_ENTRADA[[Cod_2_Entrada]:[TOTAL_ENTRADA]],5,FALSE)-VLOOKUP(TAB_ESTOQUE[[#This Row],[Codigo]],TAB_SAIDA[[COD_2_SAIDA]:[TOTAL_SAIDA]],5,FALSE)</f>
        <v>4</v>
      </c>
      <c r="R1532" s="107"/>
      <c r="S1532" s="107"/>
      <c r="T1532" s="108"/>
      <c r="U1532" s="109">
        <f>TAB_ESTOQUE[[#This Row],[Valor Unitario Estimado]]*TAB_ESTOQUE[[#This Row],[Estoque]]</f>
        <v>0</v>
      </c>
      <c r="V1532" s="109"/>
      <c r="W1532" s="110"/>
      <c r="X1532" s="110"/>
      <c r="Y1532" s="110"/>
      <c r="Z1532" s="110"/>
      <c r="AA1532" s="110"/>
      <c r="AB1532" s="110" t="str">
        <f>IF(TAB_ESTOQUE[[#This Row],[Estoque]]=0,"Estoque Não Conforme",IF(TAB_ESTOQUE[[#This Row],[Estoque]]&gt;=TAB_ESTOQUE[[#This Row],[Mínimo]],"Estoque Conforme",IF(TAB_ESTOQUE[[#This Row],[Estoque]]&lt;TAB_ESTOQUE[[#This Row],[Mínimo]],"Estoque em Nivel Minimo")))</f>
        <v>Estoque Conforme</v>
      </c>
      <c r="AC1532" s="110"/>
      <c r="AD1532" s="94"/>
    </row>
    <row r="1533" spans="1:30" x14ac:dyDescent="0.25">
      <c r="B1533" s="47"/>
      <c r="C1533" s="46"/>
      <c r="D1533" s="45" t="s">
        <v>2687</v>
      </c>
      <c r="E1533" s="46"/>
      <c r="F1533" s="87"/>
      <c r="G1533" s="82"/>
      <c r="H1533" s="82"/>
      <c r="I1533" s="209" t="s">
        <v>1595</v>
      </c>
      <c r="J1533" s="82"/>
      <c r="K1533" s="82" t="s">
        <v>1287</v>
      </c>
      <c r="L1533" s="82"/>
      <c r="M1533" s="82"/>
      <c r="N1533" s="82"/>
      <c r="O1533" s="87" t="s">
        <v>6724</v>
      </c>
      <c r="P1533" s="82" t="s">
        <v>1288</v>
      </c>
      <c r="Q1533" s="83">
        <f>VLOOKUP(TAB_ESTOQUE[[#This Row],[Codigo]],TAB_ENTRADA[[Cod_2_Entrada]:[TOTAL_ENTRADA]],5,FALSE)-VLOOKUP(TAB_ESTOQUE[[#This Row],[Codigo]],TAB_SAIDA[[COD_2_SAIDA]:[TOTAL_SAIDA]],5,FALSE)</f>
        <v>2</v>
      </c>
      <c r="R1533" s="87"/>
      <c r="S1533" s="87"/>
      <c r="T1533" s="90"/>
      <c r="U1533" s="91">
        <f>TAB_ESTOQUE[[#This Row],[Valor Unitario Estimado]]*TAB_ESTOQUE[[#This Row],[Estoque]]</f>
        <v>0</v>
      </c>
      <c r="V1533" s="91"/>
      <c r="W1533" s="85"/>
      <c r="X1533" s="85"/>
      <c r="Y1533" s="85"/>
      <c r="Z1533" s="85"/>
      <c r="AA1533" s="85"/>
      <c r="AB1533" s="96" t="str">
        <f>IF(TAB_ESTOQUE[[#This Row],[Estoque]]=0,"Estoque Não Conforme",IF(TAB_ESTOQUE[[#This Row],[Estoque]]&gt;=TAB_ESTOQUE[[#This Row],[Mínimo]],"Estoque Conforme",IF(TAB_ESTOQUE[[#This Row],[Estoque]]&lt;TAB_ESTOQUE[[#This Row],[Mínimo]],"Estoque em Nivel Minimo")))</f>
        <v>Estoque Conforme</v>
      </c>
      <c r="AC1533" s="85"/>
      <c r="AD1533" s="82"/>
    </row>
    <row r="1534" spans="1:30" x14ac:dyDescent="0.25">
      <c r="B1534" s="47"/>
      <c r="C1534" s="46"/>
      <c r="D1534" s="45" t="s">
        <v>2688</v>
      </c>
      <c r="E1534" s="46"/>
      <c r="F1534" s="87"/>
      <c r="G1534" s="82"/>
      <c r="H1534" s="82"/>
      <c r="I1534" s="82" t="s">
        <v>1597</v>
      </c>
      <c r="J1534" s="82"/>
      <c r="K1534" s="82"/>
      <c r="L1534" s="82"/>
      <c r="M1534" s="82"/>
      <c r="N1534" s="82"/>
      <c r="O1534" s="87" t="s">
        <v>6724</v>
      </c>
      <c r="P1534" s="82" t="s">
        <v>1191</v>
      </c>
      <c r="Q1534" s="83">
        <f>VLOOKUP(TAB_ESTOQUE[[#This Row],[Codigo]],TAB_ENTRADA[[Cod_2_Entrada]:[TOTAL_ENTRADA]],5,FALSE)-VLOOKUP(TAB_ESTOQUE[[#This Row],[Codigo]],TAB_SAIDA[[COD_2_SAIDA]:[TOTAL_SAIDA]],5,FALSE)</f>
        <v>1</v>
      </c>
      <c r="R1534" s="87"/>
      <c r="S1534" s="87"/>
      <c r="T1534" s="90"/>
      <c r="U1534" s="91">
        <f>TAB_ESTOQUE[[#This Row],[Valor Unitario Estimado]]*TAB_ESTOQUE[[#This Row],[Estoque]]</f>
        <v>0</v>
      </c>
      <c r="V1534" s="91"/>
      <c r="W1534" s="85"/>
      <c r="X1534" s="85"/>
      <c r="Y1534" s="85"/>
      <c r="Z1534" s="85"/>
      <c r="AA1534" s="85"/>
      <c r="AB1534" s="96" t="str">
        <f>IF(TAB_ESTOQUE[[#This Row],[Estoque]]=0,"Estoque Não Conforme",IF(TAB_ESTOQUE[[#This Row],[Estoque]]&gt;=TAB_ESTOQUE[[#This Row],[Mínimo]],"Estoque Conforme",IF(TAB_ESTOQUE[[#This Row],[Estoque]]&lt;TAB_ESTOQUE[[#This Row],[Mínimo]],"Estoque em Nivel Minimo")))</f>
        <v>Estoque Conforme</v>
      </c>
      <c r="AC1534" s="85"/>
      <c r="AD1534" s="82"/>
    </row>
    <row r="1535" spans="1:30" x14ac:dyDescent="0.25">
      <c r="B1535" s="47"/>
      <c r="C1535" s="46"/>
      <c r="D1535" s="45" t="s">
        <v>2689</v>
      </c>
      <c r="E1535" s="46"/>
      <c r="F1535" s="87"/>
      <c r="G1535" s="82"/>
      <c r="H1535" s="82"/>
      <c r="I1535" s="82" t="s">
        <v>1598</v>
      </c>
      <c r="J1535" s="82"/>
      <c r="K1535" s="82"/>
      <c r="L1535" s="82"/>
      <c r="M1535" s="82"/>
      <c r="N1535" s="82"/>
      <c r="O1535" s="87" t="s">
        <v>6724</v>
      </c>
      <c r="P1535" s="82" t="s">
        <v>1193</v>
      </c>
      <c r="Q1535" s="83">
        <f>VLOOKUP(TAB_ESTOQUE[[#This Row],[Codigo]],TAB_ENTRADA[[Cod_2_Entrada]:[TOTAL_ENTRADA]],5,FALSE)-VLOOKUP(TAB_ESTOQUE[[#This Row],[Codigo]],TAB_SAIDA[[COD_2_SAIDA]:[TOTAL_SAIDA]],5,FALSE)</f>
        <v>2</v>
      </c>
      <c r="R1535" s="87"/>
      <c r="S1535" s="87"/>
      <c r="T1535" s="90"/>
      <c r="U1535" s="91">
        <f>TAB_ESTOQUE[[#This Row],[Valor Unitario Estimado]]*TAB_ESTOQUE[[#This Row],[Estoque]]</f>
        <v>0</v>
      </c>
      <c r="V1535" s="91"/>
      <c r="W1535" s="85"/>
      <c r="X1535" s="85"/>
      <c r="Y1535" s="85"/>
      <c r="Z1535" s="85"/>
      <c r="AA1535" s="85"/>
      <c r="AB1535" s="96" t="str">
        <f>IF(TAB_ESTOQUE[[#This Row],[Estoque]]=0,"Estoque Não Conforme",IF(TAB_ESTOQUE[[#This Row],[Estoque]]&gt;=TAB_ESTOQUE[[#This Row],[Mínimo]],"Estoque Conforme",IF(TAB_ESTOQUE[[#This Row],[Estoque]]&lt;TAB_ESTOQUE[[#This Row],[Mínimo]],"Estoque em Nivel Minimo")))</f>
        <v>Estoque Conforme</v>
      </c>
      <c r="AC1535" s="85"/>
      <c r="AD1535" s="82"/>
    </row>
    <row r="1536" spans="1:30" x14ac:dyDescent="0.25">
      <c r="B1536" s="47"/>
      <c r="C1536" s="48"/>
      <c r="D1536" s="45" t="s">
        <v>6405</v>
      </c>
      <c r="E1536" s="46"/>
      <c r="F1536" s="87"/>
      <c r="G1536" s="82"/>
      <c r="H1536" s="82"/>
      <c r="I1536" s="209" t="s">
        <v>6896</v>
      </c>
      <c r="J1536" s="82"/>
      <c r="K1536" s="82" t="s">
        <v>7339</v>
      </c>
      <c r="L1536" s="82"/>
      <c r="M1536" s="82"/>
      <c r="N1536" s="82"/>
      <c r="O1536" s="87" t="s">
        <v>6724</v>
      </c>
      <c r="P1536" s="82"/>
      <c r="Q1536" s="83">
        <f>VLOOKUP(TAB_ESTOQUE[[#This Row],[Codigo]],TAB_ENTRADA[[Cod_2_Entrada]:[TOTAL_ENTRADA]],5,FALSE)-VLOOKUP(TAB_ESTOQUE[[#This Row],[Codigo]],TAB_SAIDA[[COD_2_SAIDA]:[TOTAL_SAIDA]],5,FALSE)</f>
        <v>2</v>
      </c>
      <c r="R1536" s="87"/>
      <c r="S1536" s="87"/>
      <c r="T1536" s="90">
        <v>89.54</v>
      </c>
      <c r="U1536" s="91">
        <f>TAB_ESTOQUE[[#This Row],[Valor Unitario Estimado]]*TAB_ESTOQUE[[#This Row],[Estoque]]</f>
        <v>179.08</v>
      </c>
      <c r="V1536" s="91"/>
      <c r="W1536" s="85"/>
      <c r="X1536" s="85"/>
      <c r="Y1536" s="85"/>
      <c r="Z1536" s="85"/>
      <c r="AA1536" s="85"/>
      <c r="AB1536" s="85" t="str">
        <f>IF(TAB_ESTOQUE[[#This Row],[Estoque]]=0,"Estoque Não Conforme",IF(TAB_ESTOQUE[[#This Row],[Estoque]]&gt;=TAB_ESTOQUE[[#This Row],[Mínimo]],"Estoque Conforme",IF(TAB_ESTOQUE[[#This Row],[Estoque]]&lt;TAB_ESTOQUE[[#This Row],[Mínimo]],"Estoque em Nivel Minimo")))</f>
        <v>Estoque Conforme</v>
      </c>
      <c r="AC1536" s="96"/>
      <c r="AD1536" s="82"/>
    </row>
    <row r="1537" spans="1:30" x14ac:dyDescent="0.25">
      <c r="B1537" s="47"/>
      <c r="C1537" s="48"/>
      <c r="D1537" s="45" t="s">
        <v>6406</v>
      </c>
      <c r="E1537" s="46" t="s">
        <v>3080</v>
      </c>
      <c r="F1537" s="87"/>
      <c r="G1537" s="82"/>
      <c r="H1537" s="82"/>
      <c r="I1537" s="82" t="s">
        <v>6897</v>
      </c>
      <c r="J1537" s="82"/>
      <c r="K1537" s="82"/>
      <c r="L1537" s="82"/>
      <c r="M1537" s="82"/>
      <c r="N1537" s="82"/>
      <c r="O1537" s="87" t="s">
        <v>6724</v>
      </c>
      <c r="P1537" s="82"/>
      <c r="Q1537" s="83">
        <f>VLOOKUP(TAB_ESTOQUE[[#This Row],[Codigo]],TAB_ENTRADA[[Cod_2_Entrada]:[TOTAL_ENTRADA]],5,FALSE)-VLOOKUP(TAB_ESTOQUE[[#This Row],[Codigo]],TAB_SAIDA[[COD_2_SAIDA]:[TOTAL_SAIDA]],5,FALSE)</f>
        <v>0</v>
      </c>
      <c r="R1537" s="87"/>
      <c r="S1537" s="87"/>
      <c r="T1537" s="90">
        <v>984</v>
      </c>
      <c r="U1537" s="91">
        <f>TAB_ESTOQUE[[#This Row],[Valor Unitario Estimado]]*TAB_ESTOQUE[[#This Row],[Estoque]]</f>
        <v>0</v>
      </c>
      <c r="V1537" s="91"/>
      <c r="W1537" s="85"/>
      <c r="X1537" s="85"/>
      <c r="Y1537" s="85"/>
      <c r="Z1537" s="85"/>
      <c r="AA1537" s="85"/>
      <c r="AB1537" s="85" t="str">
        <f>IF(TAB_ESTOQUE[[#This Row],[Estoque]]=0,"Estoque Não Conforme",IF(TAB_ESTOQUE[[#This Row],[Estoque]]&gt;=TAB_ESTOQUE[[#This Row],[Mínimo]],"Estoque Conforme",IF(TAB_ESTOQUE[[#This Row],[Estoque]]&lt;TAB_ESTOQUE[[#This Row],[Mínimo]],"Estoque em Nivel Minimo")))</f>
        <v>Estoque Não Conforme</v>
      </c>
      <c r="AC1537" s="96"/>
      <c r="AD1537" s="82"/>
    </row>
    <row r="1538" spans="1:30" x14ac:dyDescent="0.25">
      <c r="B1538" s="47"/>
      <c r="C1538" s="48"/>
      <c r="D1538" s="45" t="s">
        <v>6426</v>
      </c>
      <c r="E1538" s="46" t="s">
        <v>6826</v>
      </c>
      <c r="F1538" s="87"/>
      <c r="G1538" s="82"/>
      <c r="H1538" s="82"/>
      <c r="I1538" s="82" t="s">
        <v>6904</v>
      </c>
      <c r="J1538" s="82"/>
      <c r="K1538" s="82"/>
      <c r="L1538" s="82"/>
      <c r="M1538" s="82"/>
      <c r="N1538" s="82"/>
      <c r="O1538" s="87" t="s">
        <v>6724</v>
      </c>
      <c r="P1538" s="82"/>
      <c r="Q1538" s="83">
        <f>VLOOKUP(TAB_ESTOQUE[[#This Row],[Codigo]],TAB_ENTRADA[[Cod_2_Entrada]:[TOTAL_ENTRADA]],5,FALSE)-VLOOKUP(TAB_ESTOQUE[[#This Row],[Codigo]],TAB_SAIDA[[COD_2_SAIDA]:[TOTAL_SAIDA]],5,FALSE)</f>
        <v>21</v>
      </c>
      <c r="R1538" s="87"/>
      <c r="S1538" s="87"/>
      <c r="T1538" s="90">
        <v>128</v>
      </c>
      <c r="U1538" s="91">
        <f>TAB_ESTOQUE[[#This Row],[Valor Unitario Estimado]]*TAB_ESTOQUE[[#This Row],[Estoque]]</f>
        <v>2688</v>
      </c>
      <c r="V1538" s="91"/>
      <c r="W1538" s="85"/>
      <c r="X1538" s="85"/>
      <c r="Y1538" s="85"/>
      <c r="Z1538" s="85"/>
      <c r="AA1538" s="85"/>
      <c r="AB1538" s="85" t="str">
        <f>IF(TAB_ESTOQUE[[#This Row],[Estoque]]=0,"Estoque Não Conforme",IF(TAB_ESTOQUE[[#This Row],[Estoque]]&gt;=TAB_ESTOQUE[[#This Row],[Mínimo]],"Estoque Conforme",IF(TAB_ESTOQUE[[#This Row],[Estoque]]&lt;TAB_ESTOQUE[[#This Row],[Mínimo]],"Estoque em Nivel Minimo")))</f>
        <v>Estoque Conforme</v>
      </c>
      <c r="AC1538" s="96"/>
      <c r="AD1538" s="82"/>
    </row>
    <row r="1539" spans="1:30" x14ac:dyDescent="0.25">
      <c r="A1539" s="45">
        <v>870</v>
      </c>
      <c r="B1539" s="47"/>
      <c r="C1539" s="46"/>
      <c r="D1539" s="45" t="s">
        <v>2527</v>
      </c>
      <c r="E1539" s="46" t="s">
        <v>7</v>
      </c>
      <c r="F1539" s="87"/>
      <c r="G1539" s="82"/>
      <c r="H1539" s="82"/>
      <c r="I1539" s="82" t="s">
        <v>6719</v>
      </c>
      <c r="J1539" s="82"/>
      <c r="K1539" s="82"/>
      <c r="L1539" s="82"/>
      <c r="M1539" s="82" t="s">
        <v>137</v>
      </c>
      <c r="N1539" s="82"/>
      <c r="O1539" s="87" t="s">
        <v>6720</v>
      </c>
      <c r="P1539" s="82" t="s">
        <v>667</v>
      </c>
      <c r="Q1539" s="83">
        <f>VLOOKUP(TAB_ESTOQUE[[#This Row],[Codigo]],TAB_ENTRADA[[Cod_2_Entrada]:[TOTAL_ENTRADA]],5,FALSE)-VLOOKUP(TAB_ESTOQUE[[#This Row],[Codigo]],TAB_SAIDA[[COD_2_SAIDA]:[TOTAL_SAIDA]],5,FALSE)</f>
        <v>0</v>
      </c>
      <c r="R1539" s="87"/>
      <c r="S1539" s="87"/>
      <c r="T1539" s="90"/>
      <c r="U1539" s="91">
        <f>TAB_ESTOQUE[[#This Row],[Valor Unitario Estimado]]*TAB_ESTOQUE[[#This Row],[Estoque]]</f>
        <v>0</v>
      </c>
      <c r="V1539" s="91"/>
      <c r="W1539" s="85"/>
      <c r="X1539" s="85"/>
      <c r="Y1539" s="85"/>
      <c r="Z1539" s="85"/>
      <c r="AA1539" s="85"/>
      <c r="AB1539" s="85" t="str">
        <f>IF(TAB_ESTOQUE[[#This Row],[Estoque]]=0,"Estoque Não Conforme",IF(TAB_ESTOQUE[[#This Row],[Estoque]]&gt;=TAB_ESTOQUE[[#This Row],[Mínimo]],"Estoque Conforme",IF(TAB_ESTOQUE[[#This Row],[Estoque]]&lt;TAB_ESTOQUE[[#This Row],[Mínimo]],"Estoque em Nivel Minimo")))</f>
        <v>Estoque Não Conforme</v>
      </c>
      <c r="AC1539" s="85"/>
      <c r="AD1539" s="82"/>
    </row>
    <row r="1540" spans="1:30" x14ac:dyDescent="0.25">
      <c r="A1540" s="45">
        <v>871</v>
      </c>
      <c r="B1540" s="47"/>
      <c r="C1540" s="46"/>
      <c r="D1540" s="45" t="s">
        <v>2531</v>
      </c>
      <c r="E1540" s="46" t="s">
        <v>6237</v>
      </c>
      <c r="F1540" s="87"/>
      <c r="G1540" s="82"/>
      <c r="H1540" s="82"/>
      <c r="I1540" s="82" t="s">
        <v>1554</v>
      </c>
      <c r="J1540" s="82"/>
      <c r="K1540" s="82"/>
      <c r="L1540" s="82"/>
      <c r="M1540" s="82" t="s">
        <v>137</v>
      </c>
      <c r="N1540" s="82"/>
      <c r="O1540" s="87" t="s">
        <v>6720</v>
      </c>
      <c r="P1540" s="82" t="s">
        <v>670</v>
      </c>
      <c r="Q1540" s="83">
        <f>VLOOKUP(TAB_ESTOQUE[[#This Row],[Codigo]],TAB_ENTRADA[[Cod_2_Entrada]:[TOTAL_ENTRADA]],5,FALSE)-VLOOKUP(TAB_ESTOQUE[[#This Row],[Codigo]],TAB_SAIDA[[COD_2_SAIDA]:[TOTAL_SAIDA]],5,FALSE)</f>
        <v>6</v>
      </c>
      <c r="R1540" s="87"/>
      <c r="S1540" s="87"/>
      <c r="T1540" s="90"/>
      <c r="U1540" s="91">
        <f>TAB_ESTOQUE[[#This Row],[Valor Unitario Estimado]]*TAB_ESTOQUE[[#This Row],[Estoque]]</f>
        <v>0</v>
      </c>
      <c r="V1540" s="91"/>
      <c r="W1540" s="85"/>
      <c r="X1540" s="85"/>
      <c r="Y1540" s="85"/>
      <c r="Z1540" s="85"/>
      <c r="AA1540" s="85"/>
      <c r="AB1540" s="85" t="str">
        <f>IF(TAB_ESTOQUE[[#This Row],[Estoque]]=0,"Estoque Não Conforme",IF(TAB_ESTOQUE[[#This Row],[Estoque]]&gt;=TAB_ESTOQUE[[#This Row],[Mínimo]],"Estoque Conforme",IF(TAB_ESTOQUE[[#This Row],[Estoque]]&lt;TAB_ESTOQUE[[#This Row],[Mínimo]],"Estoque em Nivel Minimo")))</f>
        <v>Estoque Conforme</v>
      </c>
      <c r="AC1540" s="85"/>
      <c r="AD1540" s="82"/>
    </row>
    <row r="1541" spans="1:30" ht="15.75" customHeight="1" x14ac:dyDescent="0.25">
      <c r="A1541" s="45">
        <v>377</v>
      </c>
      <c r="B1541" s="47"/>
      <c r="C1541" s="46"/>
      <c r="D1541" s="45" t="s">
        <v>2532</v>
      </c>
      <c r="E1541" s="46" t="s">
        <v>356</v>
      </c>
      <c r="F1541" s="87"/>
      <c r="G1541" s="82"/>
      <c r="H1541" s="82"/>
      <c r="I1541" s="82" t="s">
        <v>6723</v>
      </c>
      <c r="J1541" s="82"/>
      <c r="K1541" s="82"/>
      <c r="L1541" s="82"/>
      <c r="M1541" s="82" t="s">
        <v>137</v>
      </c>
      <c r="N1541" s="82"/>
      <c r="O1541" s="87" t="s">
        <v>6720</v>
      </c>
      <c r="P1541" s="82" t="s">
        <v>249</v>
      </c>
      <c r="Q1541" s="83">
        <f>VLOOKUP(TAB_ESTOQUE[[#This Row],[Codigo]],TAB_ENTRADA[[Cod_2_Entrada]:[TOTAL_ENTRADA]],5,FALSE)-VLOOKUP(TAB_ESTOQUE[[#This Row],[Codigo]],TAB_SAIDA[[COD_2_SAIDA]:[TOTAL_SAIDA]],5,FALSE)</f>
        <v>0</v>
      </c>
      <c r="R1541" s="87"/>
      <c r="S1541" s="87"/>
      <c r="T1541" s="90"/>
      <c r="U1541" s="91">
        <f>TAB_ESTOQUE[[#This Row],[Valor Unitario Estimado]]*TAB_ESTOQUE[[#This Row],[Estoque]]</f>
        <v>0</v>
      </c>
      <c r="V1541" s="91"/>
      <c r="W1541" s="85"/>
      <c r="X1541" s="85"/>
      <c r="Y1541" s="85"/>
      <c r="Z1541" s="85"/>
      <c r="AA1541" s="85"/>
      <c r="AB1541" s="85" t="str">
        <f>IF(TAB_ESTOQUE[[#This Row],[Estoque]]=0,"Estoque Não Conforme",IF(TAB_ESTOQUE[[#This Row],[Estoque]]&gt;=TAB_ESTOQUE[[#This Row],[Mínimo]],"Estoque Conforme",IF(TAB_ESTOQUE[[#This Row],[Estoque]]&lt;TAB_ESTOQUE[[#This Row],[Mínimo]],"Estoque em Nivel Minimo")))</f>
        <v>Estoque Não Conforme</v>
      </c>
      <c r="AC1541" s="85"/>
      <c r="AD1541" s="82"/>
    </row>
    <row r="1542" spans="1:30" x14ac:dyDescent="0.25">
      <c r="A1542" s="45">
        <v>867</v>
      </c>
      <c r="B1542" s="47"/>
      <c r="C1542" s="46"/>
      <c r="D1542" s="45" t="s">
        <v>2533</v>
      </c>
      <c r="E1542" s="46" t="s">
        <v>401</v>
      </c>
      <c r="F1542" s="87"/>
      <c r="G1542" s="82"/>
      <c r="H1542" s="82"/>
      <c r="I1542" s="82" t="s">
        <v>6725</v>
      </c>
      <c r="J1542" s="82"/>
      <c r="K1542" s="82"/>
      <c r="L1542" s="82"/>
      <c r="M1542" s="82" t="s">
        <v>137</v>
      </c>
      <c r="N1542" s="82"/>
      <c r="O1542" s="87" t="s">
        <v>6720</v>
      </c>
      <c r="P1542" s="82" t="s">
        <v>664</v>
      </c>
      <c r="Q1542" s="83">
        <f>VLOOKUP(TAB_ESTOQUE[[#This Row],[Codigo]],TAB_ENTRADA[[Cod_2_Entrada]:[TOTAL_ENTRADA]],5,FALSE)-VLOOKUP(TAB_ESTOQUE[[#This Row],[Codigo]],TAB_SAIDA[[COD_2_SAIDA]:[TOTAL_SAIDA]],5,FALSE)</f>
        <v>0</v>
      </c>
      <c r="R1542" s="87"/>
      <c r="S1542" s="87"/>
      <c r="T1542" s="90"/>
      <c r="U1542" s="91">
        <f>TAB_ESTOQUE[[#This Row],[Valor Unitario Estimado]]*TAB_ESTOQUE[[#This Row],[Estoque]]</f>
        <v>0</v>
      </c>
      <c r="V1542" s="91"/>
      <c r="W1542" s="85"/>
      <c r="X1542" s="85"/>
      <c r="Y1542" s="85"/>
      <c r="Z1542" s="85"/>
      <c r="AA1542" s="85"/>
      <c r="AB1542" s="85" t="str">
        <f>IF(TAB_ESTOQUE[[#This Row],[Estoque]]=0,"Estoque Não Conforme",IF(TAB_ESTOQUE[[#This Row],[Estoque]]&gt;=TAB_ESTOQUE[[#This Row],[Mínimo]],"Estoque Conforme",IF(TAB_ESTOQUE[[#This Row],[Estoque]]&lt;TAB_ESTOQUE[[#This Row],[Mínimo]],"Estoque em Nivel Minimo")))</f>
        <v>Estoque Não Conforme</v>
      </c>
      <c r="AC1542" s="85"/>
      <c r="AD1542" s="82"/>
    </row>
    <row r="1543" spans="1:30" x14ac:dyDescent="0.25">
      <c r="A1543" s="45">
        <v>1679</v>
      </c>
      <c r="B1543" s="47"/>
      <c r="C1543" s="46" t="s">
        <v>2833</v>
      </c>
      <c r="D1543" s="45" t="s">
        <v>2547</v>
      </c>
      <c r="E1543" s="46" t="s">
        <v>7</v>
      </c>
      <c r="F1543" s="87"/>
      <c r="G1543" s="82"/>
      <c r="H1543" s="82"/>
      <c r="I1543" s="82" t="s">
        <v>740</v>
      </c>
      <c r="J1543" s="82"/>
      <c r="K1543" s="82"/>
      <c r="L1543" s="82"/>
      <c r="M1543" s="82"/>
      <c r="N1543" s="82"/>
      <c r="O1543" s="87" t="s">
        <v>6720</v>
      </c>
      <c r="P1543" s="82" t="s">
        <v>3085</v>
      </c>
      <c r="Q1543" s="83">
        <f>VLOOKUP(TAB_ESTOQUE[[#This Row],[Codigo]],TAB_ENTRADA[[Cod_2_Entrada]:[TOTAL_ENTRADA]],5,FALSE)-VLOOKUP(TAB_ESTOQUE[[#This Row],[Codigo]],TAB_SAIDA[[COD_2_SAIDA]:[TOTAL_SAIDA]],5,FALSE)</f>
        <v>2</v>
      </c>
      <c r="R1543" s="87"/>
      <c r="S1543" s="87"/>
      <c r="T1543" s="90">
        <v>524</v>
      </c>
      <c r="U1543" s="91">
        <f>TAB_ESTOQUE[[#This Row],[Valor Unitario Estimado]]*TAB_ESTOQUE[[#This Row],[Estoque]]</f>
        <v>1048</v>
      </c>
      <c r="V1543" s="91"/>
      <c r="W1543" s="85"/>
      <c r="X1543" s="85"/>
      <c r="Y1543" s="85"/>
      <c r="Z1543" s="85"/>
      <c r="AA1543" s="85"/>
      <c r="AB1543" s="85" t="str">
        <f>IF(TAB_ESTOQUE[[#This Row],[Estoque]]=0,"Estoque Não Conforme",IF(TAB_ESTOQUE[[#This Row],[Estoque]]&gt;=TAB_ESTOQUE[[#This Row],[Mínimo]],"Estoque Conforme",IF(TAB_ESTOQUE[[#This Row],[Estoque]]&lt;TAB_ESTOQUE[[#This Row],[Mínimo]],"Estoque em Nivel Minimo")))</f>
        <v>Estoque Conforme</v>
      </c>
      <c r="AC1543" s="85"/>
      <c r="AD1543" s="82"/>
    </row>
    <row r="1544" spans="1:30" x14ac:dyDescent="0.25">
      <c r="A1544" s="45">
        <v>1680</v>
      </c>
      <c r="B1544" s="47"/>
      <c r="C1544" s="46"/>
      <c r="D1544" s="45" t="s">
        <v>2548</v>
      </c>
      <c r="E1544" s="46" t="s">
        <v>7</v>
      </c>
      <c r="F1544" s="87"/>
      <c r="G1544" s="82"/>
      <c r="H1544" s="82"/>
      <c r="I1544" s="82" t="s">
        <v>742</v>
      </c>
      <c r="J1544" s="82"/>
      <c r="K1544" s="82"/>
      <c r="L1544" s="82"/>
      <c r="M1544" s="82"/>
      <c r="N1544" s="82"/>
      <c r="O1544" s="87" t="s">
        <v>6720</v>
      </c>
      <c r="P1544" s="82" t="s">
        <v>1111</v>
      </c>
      <c r="Q1544" s="83">
        <f>VLOOKUP(TAB_ESTOQUE[[#This Row],[Codigo]],TAB_ENTRADA[[Cod_2_Entrada]:[TOTAL_ENTRADA]],5,FALSE)-VLOOKUP(TAB_ESTOQUE[[#This Row],[Codigo]],TAB_SAIDA[[COD_2_SAIDA]:[TOTAL_SAIDA]],5,FALSE)</f>
        <v>1</v>
      </c>
      <c r="R1544" s="87"/>
      <c r="S1544" s="87"/>
      <c r="T1544" s="90">
        <v>758</v>
      </c>
      <c r="U1544" s="91">
        <f>TAB_ESTOQUE[[#This Row],[Valor Unitario Estimado]]*TAB_ESTOQUE[[#This Row],[Estoque]]</f>
        <v>758</v>
      </c>
      <c r="V1544" s="91"/>
      <c r="W1544" s="85"/>
      <c r="X1544" s="85"/>
      <c r="Y1544" s="85"/>
      <c r="Z1544" s="85"/>
      <c r="AA1544" s="85"/>
      <c r="AB1544" s="85" t="str">
        <f>IF(TAB_ESTOQUE[[#This Row],[Estoque]]=0,"Estoque Não Conforme",IF(TAB_ESTOQUE[[#This Row],[Estoque]]&gt;=TAB_ESTOQUE[[#This Row],[Mínimo]],"Estoque Conforme",IF(TAB_ESTOQUE[[#This Row],[Estoque]]&lt;TAB_ESTOQUE[[#This Row],[Mínimo]],"Estoque em Nivel Minimo")))</f>
        <v>Estoque Conforme</v>
      </c>
      <c r="AC1544" s="85"/>
      <c r="AD1544" s="82"/>
    </row>
    <row r="1545" spans="1:30" x14ac:dyDescent="0.25">
      <c r="C1545" s="48"/>
      <c r="D1545" s="45" t="s">
        <v>6976</v>
      </c>
      <c r="E1545" s="46"/>
      <c r="F1545" s="46"/>
      <c r="I1545" s="45" t="s">
        <v>7276</v>
      </c>
      <c r="O1545" s="46" t="s">
        <v>6720</v>
      </c>
      <c r="Q1545" s="137">
        <f>VLOOKUP(TAB_ESTOQUE[[#This Row],[Codigo]],TAB_ENTRADA[[Cod_2_Entrada]:[TOTAL_ENTRADA]],5,FALSE)-VLOOKUP(TAB_ESTOQUE[[#This Row],[Codigo]],TAB_SAIDA[[COD_2_SAIDA]:[TOTAL_SAIDA]],5,FALSE)</f>
        <v>2</v>
      </c>
      <c r="S1545" s="46"/>
      <c r="T1545" s="102">
        <v>635.62</v>
      </c>
      <c r="U1545" s="103">
        <f>TAB_ESTOQUE[[#This Row],[Valor Unitario Estimado]]*TAB_ESTOQUE[[#This Row],[Estoque]]</f>
        <v>1271.24</v>
      </c>
      <c r="V1545" s="103"/>
      <c r="AA1545" s="138"/>
      <c r="AB1545" s="104" t="str">
        <f>IF(TAB_ESTOQUE[[#This Row],[Estoque]]=0,"Estoque Não Conforme",IF(TAB_ESTOQUE[[#This Row],[Estoque]]&gt;=TAB_ESTOQUE[[#This Row],[Mínimo]],"Estoque Conforme",IF(TAB_ESTOQUE[[#This Row],[Estoque]]&lt;TAB_ESTOQUE[[#This Row],[Mínimo]],"Estoque em Nivel Minimo")))</f>
        <v>Estoque Conforme</v>
      </c>
      <c r="AC1545" s="104"/>
    </row>
    <row r="1546" spans="1:30" x14ac:dyDescent="0.25">
      <c r="C1546" s="48"/>
      <c r="D1546" s="45" t="s">
        <v>6977</v>
      </c>
      <c r="E1546" s="46"/>
      <c r="F1546" s="46"/>
      <c r="I1546" s="45" t="s">
        <v>7277</v>
      </c>
      <c r="O1546" s="46" t="s">
        <v>6720</v>
      </c>
      <c r="Q1546" s="137">
        <f>VLOOKUP(TAB_ESTOQUE[[#This Row],[Codigo]],TAB_ENTRADA[[Cod_2_Entrada]:[TOTAL_ENTRADA]],5,FALSE)-VLOOKUP(TAB_ESTOQUE[[#This Row],[Codigo]],TAB_SAIDA[[COD_2_SAIDA]:[TOTAL_SAIDA]],5,FALSE)</f>
        <v>2</v>
      </c>
      <c r="S1546" s="46"/>
      <c r="T1546" s="102">
        <v>372</v>
      </c>
      <c r="U1546" s="103">
        <f>TAB_ESTOQUE[[#This Row],[Valor Unitario Estimado]]*TAB_ESTOQUE[[#This Row],[Estoque]]</f>
        <v>744</v>
      </c>
      <c r="V1546" s="103"/>
      <c r="AA1546" s="138"/>
      <c r="AB1546" s="104" t="str">
        <f>IF(TAB_ESTOQUE[[#This Row],[Estoque]]=0,"Estoque Não Conforme",IF(TAB_ESTOQUE[[#This Row],[Estoque]]&gt;=TAB_ESTOQUE[[#This Row],[Mínimo]],"Estoque Conforme",IF(TAB_ESTOQUE[[#This Row],[Estoque]]&lt;TAB_ESTOQUE[[#This Row],[Mínimo]],"Estoque em Nivel Minimo")))</f>
        <v>Estoque Conforme</v>
      </c>
      <c r="AC1546" s="104"/>
    </row>
    <row r="1547" spans="1:30" x14ac:dyDescent="0.25">
      <c r="A1547" s="45">
        <v>375</v>
      </c>
      <c r="B1547" s="47"/>
      <c r="C1547" s="46"/>
      <c r="D1547" s="45" t="s">
        <v>2529</v>
      </c>
      <c r="E1547" s="46" t="s">
        <v>7</v>
      </c>
      <c r="F1547" s="87"/>
      <c r="G1547" s="82"/>
      <c r="H1547" s="82"/>
      <c r="I1547" s="82" t="s">
        <v>6721</v>
      </c>
      <c r="J1547" s="82"/>
      <c r="K1547" s="82"/>
      <c r="L1547" s="82"/>
      <c r="M1547" s="82" t="s">
        <v>137</v>
      </c>
      <c r="N1547" s="82"/>
      <c r="O1547" s="87" t="s">
        <v>6722</v>
      </c>
      <c r="P1547" s="82" t="s">
        <v>243</v>
      </c>
      <c r="Q1547" s="83">
        <f>VLOOKUP(TAB_ESTOQUE[[#This Row],[Codigo]],TAB_ENTRADA[[Cod_2_Entrada]:[TOTAL_ENTRADA]],5,FALSE)-VLOOKUP(TAB_ESTOQUE[[#This Row],[Codigo]],TAB_SAIDA[[COD_2_SAIDA]:[TOTAL_SAIDA]],5,FALSE)</f>
        <v>0</v>
      </c>
      <c r="R1547" s="87"/>
      <c r="S1547" s="87"/>
      <c r="T1547" s="90">
        <v>400</v>
      </c>
      <c r="U1547" s="91">
        <f>TAB_ESTOQUE[[#This Row],[Valor Unitario Estimado]]*TAB_ESTOQUE[[#This Row],[Estoque]]</f>
        <v>0</v>
      </c>
      <c r="V1547" s="91"/>
      <c r="W1547" s="85"/>
      <c r="X1547" s="85"/>
      <c r="Y1547" s="85"/>
      <c r="Z1547" s="85"/>
      <c r="AA1547" s="85"/>
      <c r="AB1547" s="85" t="str">
        <f>IF(TAB_ESTOQUE[[#This Row],[Estoque]]=0,"Estoque Não Conforme",IF(TAB_ESTOQUE[[#This Row],[Estoque]]&gt;=TAB_ESTOQUE[[#This Row],[Mínimo]],"Estoque Conforme",IF(TAB_ESTOQUE[[#This Row],[Estoque]]&lt;TAB_ESTOQUE[[#This Row],[Mínimo]],"Estoque em Nivel Minimo")))</f>
        <v>Estoque Não Conforme</v>
      </c>
      <c r="AC1547" s="85"/>
      <c r="AD1547" s="82"/>
    </row>
    <row r="1548" spans="1:30" x14ac:dyDescent="0.25">
      <c r="A1548" s="45">
        <v>374</v>
      </c>
      <c r="B1548" s="47"/>
      <c r="C1548" s="46"/>
      <c r="D1548" s="45" t="s">
        <v>2530</v>
      </c>
      <c r="E1548" s="46" t="s">
        <v>7</v>
      </c>
      <c r="F1548" s="87"/>
      <c r="G1548" s="82"/>
      <c r="H1548" s="82"/>
      <c r="I1548" s="82" t="s">
        <v>847</v>
      </c>
      <c r="J1548" s="82"/>
      <c r="K1548" s="82"/>
      <c r="L1548" s="82"/>
      <c r="M1548" s="82" t="s">
        <v>137</v>
      </c>
      <c r="N1548" s="82"/>
      <c r="O1548" s="87" t="s">
        <v>6722</v>
      </c>
      <c r="P1548" s="82" t="s">
        <v>240</v>
      </c>
      <c r="Q1548" s="83">
        <f>VLOOKUP(TAB_ESTOQUE[[#This Row],[Codigo]],TAB_ENTRADA[[Cod_2_Entrada]:[TOTAL_ENTRADA]],5,FALSE)-VLOOKUP(TAB_ESTOQUE[[#This Row],[Codigo]],TAB_SAIDA[[COD_2_SAIDA]:[TOTAL_SAIDA]],5,FALSE)</f>
        <v>2</v>
      </c>
      <c r="R1548" s="87"/>
      <c r="S1548" s="87"/>
      <c r="T1548" s="90"/>
      <c r="U1548" s="91">
        <f>TAB_ESTOQUE[[#This Row],[Valor Unitario Estimado]]*TAB_ESTOQUE[[#This Row],[Estoque]]</f>
        <v>0</v>
      </c>
      <c r="V1548" s="91"/>
      <c r="W1548" s="85"/>
      <c r="X1548" s="85"/>
      <c r="Y1548" s="85"/>
      <c r="Z1548" s="85"/>
      <c r="AA1548" s="85"/>
      <c r="AB1548" s="85" t="str">
        <f>IF(TAB_ESTOQUE[[#This Row],[Estoque]]=0,"Estoque Não Conforme",IF(TAB_ESTOQUE[[#This Row],[Estoque]]&gt;=TAB_ESTOQUE[[#This Row],[Mínimo]],"Estoque Conforme",IF(TAB_ESTOQUE[[#This Row],[Estoque]]&lt;TAB_ESTOQUE[[#This Row],[Mínimo]],"Estoque em Nivel Minimo")))</f>
        <v>Estoque Conforme</v>
      </c>
      <c r="AC1548" s="85"/>
      <c r="AD1548" s="82"/>
    </row>
    <row r="1549" spans="1:30" x14ac:dyDescent="0.25">
      <c r="C1549" s="48"/>
      <c r="D1549" s="45" t="s">
        <v>7715</v>
      </c>
      <c r="E1549" s="46" t="s">
        <v>6826</v>
      </c>
      <c r="F1549" s="46"/>
      <c r="I1549" s="45" t="s">
        <v>8374</v>
      </c>
      <c r="O1549" s="46" t="s">
        <v>6722</v>
      </c>
      <c r="Q1549" s="137">
        <f>VLOOKUP(TAB_ESTOQUE[[#This Row],[Codigo]],TAB_ENTRADA[[Cod_2_Entrada]:[TOTAL_ENTRADA]],5,FALSE)-VLOOKUP(TAB_ESTOQUE[[#This Row],[Codigo]],TAB_SAIDA[[COD_2_SAIDA]:[TOTAL_SAIDA]],5,FALSE)</f>
        <v>10</v>
      </c>
      <c r="S1549" s="46"/>
      <c r="T1549" s="102">
        <v>142</v>
      </c>
      <c r="U1549" s="103">
        <f>TAB_ESTOQUE[[#This Row],[Valor Unitario Estimado]]*TAB_ESTOQUE[[#This Row],[Estoque]]</f>
        <v>1420</v>
      </c>
      <c r="V1549" s="103"/>
      <c r="AA1549" s="138"/>
      <c r="AB1549" s="104" t="str">
        <f>IF(TAB_ESTOQUE[[#This Row],[Estoque]]=0,"Estoque Não Conforme",IF(TAB_ESTOQUE[[#This Row],[Estoque]]&gt;=TAB_ESTOQUE[[#This Row],[Mínimo]],"Estoque Conforme",IF(TAB_ESTOQUE[[#This Row],[Estoque]]&lt;TAB_ESTOQUE[[#This Row],[Mínimo]],"Estoque em Nivel Minimo")))</f>
        <v>Estoque Conforme</v>
      </c>
      <c r="AC1549" s="104"/>
    </row>
    <row r="1550" spans="1:30" x14ac:dyDescent="0.25">
      <c r="A1550" s="45">
        <v>782</v>
      </c>
      <c r="B1550" s="47"/>
      <c r="C1550" s="46"/>
      <c r="D1550" s="45" t="s">
        <v>2550</v>
      </c>
      <c r="E1550" s="46" t="s">
        <v>151</v>
      </c>
      <c r="F1550" s="87"/>
      <c r="G1550" s="82"/>
      <c r="H1550" s="82"/>
      <c r="I1550" s="82" t="s">
        <v>1559</v>
      </c>
      <c r="J1550" s="82"/>
      <c r="K1550" s="82"/>
      <c r="L1550" s="82"/>
      <c r="M1550" s="82"/>
      <c r="N1550" s="82"/>
      <c r="O1550" s="87" t="s">
        <v>6731</v>
      </c>
      <c r="P1550" s="82" t="s">
        <v>567</v>
      </c>
      <c r="Q1550" s="83">
        <f>VLOOKUP(TAB_ESTOQUE[[#This Row],[Codigo]],TAB_ENTRADA[[Cod_2_Entrada]:[TOTAL_ENTRADA]],5,FALSE)-VLOOKUP(TAB_ESTOQUE[[#This Row],[Codigo]],TAB_SAIDA[[COD_2_SAIDA]:[TOTAL_SAIDA]],5,FALSE)</f>
        <v>1</v>
      </c>
      <c r="R1550" s="87"/>
      <c r="S1550" s="87"/>
      <c r="T1550" s="90"/>
      <c r="U1550" s="91">
        <f>TAB_ESTOQUE[[#This Row],[Valor Unitario Estimado]]*TAB_ESTOQUE[[#This Row],[Estoque]]</f>
        <v>0</v>
      </c>
      <c r="V1550" s="91"/>
      <c r="W1550" s="85"/>
      <c r="X1550" s="85"/>
      <c r="Y1550" s="85"/>
      <c r="Z1550" s="85"/>
      <c r="AA1550" s="85"/>
      <c r="AB1550" s="85" t="str">
        <f>IF(TAB_ESTOQUE[[#This Row],[Estoque]]=0,"Estoque Não Conforme",IF(TAB_ESTOQUE[[#This Row],[Estoque]]&gt;=TAB_ESTOQUE[[#This Row],[Mínimo]],"Estoque Conforme",IF(TAB_ESTOQUE[[#This Row],[Estoque]]&lt;TAB_ESTOQUE[[#This Row],[Mínimo]],"Estoque em Nivel Minimo")))</f>
        <v>Estoque Conforme</v>
      </c>
      <c r="AC1550" s="85"/>
      <c r="AD1550" s="82"/>
    </row>
    <row r="1551" spans="1:30" x14ac:dyDescent="0.25">
      <c r="A1551" s="45">
        <v>1693</v>
      </c>
      <c r="B1551" s="47"/>
      <c r="C1551" s="46" t="s">
        <v>2833</v>
      </c>
      <c r="D1551" s="45" t="s">
        <v>2552</v>
      </c>
      <c r="E1551" s="46" t="s">
        <v>151</v>
      </c>
      <c r="F1551" s="87"/>
      <c r="G1551" s="82"/>
      <c r="H1551" s="82"/>
      <c r="I1551" s="82" t="s">
        <v>1561</v>
      </c>
      <c r="J1551" s="82"/>
      <c r="K1551" s="82"/>
      <c r="L1551" s="82"/>
      <c r="M1551" s="82"/>
      <c r="N1551" s="82"/>
      <c r="O1551" s="87" t="s">
        <v>6731</v>
      </c>
      <c r="P1551" s="82" t="s">
        <v>1124</v>
      </c>
      <c r="Q1551" s="83">
        <f>VLOOKUP(TAB_ESTOQUE[[#This Row],[Codigo]],TAB_ENTRADA[[Cod_2_Entrada]:[TOTAL_ENTRADA]],5,FALSE)-VLOOKUP(TAB_ESTOQUE[[#This Row],[Codigo]],TAB_SAIDA[[COD_2_SAIDA]:[TOTAL_SAIDA]],5,FALSE)</f>
        <v>1</v>
      </c>
      <c r="R1551" s="87"/>
      <c r="S1551" s="87"/>
      <c r="T1551" s="90"/>
      <c r="U1551" s="91">
        <f>TAB_ESTOQUE[[#This Row],[Valor Unitario Estimado]]*TAB_ESTOQUE[[#This Row],[Estoque]]</f>
        <v>0</v>
      </c>
      <c r="V1551" s="91"/>
      <c r="W1551" s="85"/>
      <c r="X1551" s="85"/>
      <c r="Y1551" s="85"/>
      <c r="Z1551" s="85"/>
      <c r="AA1551" s="85"/>
      <c r="AB1551" s="85" t="str">
        <f>IF(TAB_ESTOQUE[[#This Row],[Estoque]]=0,"Estoque Não Conforme",IF(TAB_ESTOQUE[[#This Row],[Estoque]]&gt;=TAB_ESTOQUE[[#This Row],[Mínimo]],"Estoque Conforme",IF(TAB_ESTOQUE[[#This Row],[Estoque]]&lt;TAB_ESTOQUE[[#This Row],[Mínimo]],"Estoque em Nivel Minimo")))</f>
        <v>Estoque Conforme</v>
      </c>
      <c r="AC1551" s="85"/>
      <c r="AD1551" s="82"/>
    </row>
    <row r="1552" spans="1:30" x14ac:dyDescent="0.25">
      <c r="A1552" s="45">
        <v>1692</v>
      </c>
      <c r="B1552" s="47"/>
      <c r="C1552" s="46" t="s">
        <v>2833</v>
      </c>
      <c r="D1552" s="45" t="s">
        <v>2553</v>
      </c>
      <c r="E1552" s="46" t="s">
        <v>151</v>
      </c>
      <c r="F1552" s="87"/>
      <c r="G1552" s="82"/>
      <c r="H1552" s="82"/>
      <c r="I1552" s="82" t="s">
        <v>1562</v>
      </c>
      <c r="J1552" s="82"/>
      <c r="K1552" s="82"/>
      <c r="L1552" s="82"/>
      <c r="M1552" s="82"/>
      <c r="N1552" s="82"/>
      <c r="O1552" s="87" t="s">
        <v>6731</v>
      </c>
      <c r="P1552" s="82" t="s">
        <v>1123</v>
      </c>
      <c r="Q1552" s="83">
        <f>VLOOKUP(TAB_ESTOQUE[[#This Row],[Codigo]],TAB_ENTRADA[[Cod_2_Entrada]:[TOTAL_ENTRADA]],5,FALSE)-VLOOKUP(TAB_ESTOQUE[[#This Row],[Codigo]],TAB_SAIDA[[COD_2_SAIDA]:[TOTAL_SAIDA]],5,FALSE)</f>
        <v>3</v>
      </c>
      <c r="R1552" s="87"/>
      <c r="S1552" s="87"/>
      <c r="T1552" s="90"/>
      <c r="U1552" s="91">
        <f>TAB_ESTOQUE[[#This Row],[Valor Unitario Estimado]]*TAB_ESTOQUE[[#This Row],[Estoque]]</f>
        <v>0</v>
      </c>
      <c r="V1552" s="91"/>
      <c r="W1552" s="85"/>
      <c r="X1552" s="85"/>
      <c r="Y1552" s="85"/>
      <c r="Z1552" s="85"/>
      <c r="AA1552" s="85"/>
      <c r="AB1552" s="85" t="str">
        <f>IF(TAB_ESTOQUE[[#This Row],[Estoque]]=0,"Estoque Não Conforme",IF(TAB_ESTOQUE[[#This Row],[Estoque]]&gt;=TAB_ESTOQUE[[#This Row],[Mínimo]],"Estoque Conforme",IF(TAB_ESTOQUE[[#This Row],[Estoque]]&lt;TAB_ESTOQUE[[#This Row],[Mínimo]],"Estoque em Nivel Minimo")))</f>
        <v>Estoque Conforme</v>
      </c>
      <c r="AC1552" s="85"/>
      <c r="AD1552" s="82"/>
    </row>
    <row r="1553" spans="1:30" x14ac:dyDescent="0.25">
      <c r="A1553" s="45">
        <v>1694</v>
      </c>
      <c r="B1553" s="47"/>
      <c r="C1553" s="46" t="s">
        <v>2833</v>
      </c>
      <c r="D1553" s="45" t="s">
        <v>2554</v>
      </c>
      <c r="E1553" s="46" t="s">
        <v>151</v>
      </c>
      <c r="F1553" s="87"/>
      <c r="G1553" s="82"/>
      <c r="H1553" s="82"/>
      <c r="I1553" s="82" t="s">
        <v>1563</v>
      </c>
      <c r="J1553" s="82"/>
      <c r="K1553" s="82"/>
      <c r="L1553" s="82"/>
      <c r="M1553" s="82"/>
      <c r="N1553" s="82"/>
      <c r="O1553" s="87" t="s">
        <v>6731</v>
      </c>
      <c r="P1553" s="82" t="s">
        <v>1125</v>
      </c>
      <c r="Q1553" s="83">
        <f>VLOOKUP(TAB_ESTOQUE[[#This Row],[Codigo]],TAB_ENTRADA[[Cod_2_Entrada]:[TOTAL_ENTRADA]],5,FALSE)-VLOOKUP(TAB_ESTOQUE[[#This Row],[Codigo]],TAB_SAIDA[[COD_2_SAIDA]:[TOTAL_SAIDA]],5,FALSE)</f>
        <v>1</v>
      </c>
      <c r="R1553" s="87"/>
      <c r="S1553" s="87"/>
      <c r="T1553" s="90"/>
      <c r="U1553" s="91">
        <f>TAB_ESTOQUE[[#This Row],[Valor Unitario Estimado]]*TAB_ESTOQUE[[#This Row],[Estoque]]</f>
        <v>0</v>
      </c>
      <c r="V1553" s="91"/>
      <c r="W1553" s="85"/>
      <c r="X1553" s="85"/>
      <c r="Y1553" s="85"/>
      <c r="Z1553" s="85"/>
      <c r="AA1553" s="85"/>
      <c r="AB1553" s="85" t="str">
        <f>IF(TAB_ESTOQUE[[#This Row],[Estoque]]=0,"Estoque Não Conforme",IF(TAB_ESTOQUE[[#This Row],[Estoque]]&gt;=TAB_ESTOQUE[[#This Row],[Mínimo]],"Estoque Conforme",IF(TAB_ESTOQUE[[#This Row],[Estoque]]&lt;TAB_ESTOQUE[[#This Row],[Mínimo]],"Estoque em Nivel Minimo")))</f>
        <v>Estoque Conforme</v>
      </c>
      <c r="AC1553" s="85"/>
      <c r="AD1553" s="82"/>
    </row>
    <row r="1554" spans="1:30" x14ac:dyDescent="0.25">
      <c r="A1554" s="45">
        <v>1700</v>
      </c>
      <c r="B1554" s="47"/>
      <c r="C1554" s="46" t="s">
        <v>2833</v>
      </c>
      <c r="D1554" s="45" t="s">
        <v>2559</v>
      </c>
      <c r="E1554" s="46" t="s">
        <v>228</v>
      </c>
      <c r="F1554" s="87"/>
      <c r="G1554" s="82"/>
      <c r="H1554" s="82"/>
      <c r="I1554" s="82" t="s">
        <v>1482</v>
      </c>
      <c r="J1554" s="82"/>
      <c r="K1554" s="82"/>
      <c r="L1554" s="82"/>
      <c r="M1554" s="82"/>
      <c r="N1554" s="82"/>
      <c r="O1554" s="87" t="s">
        <v>6731</v>
      </c>
      <c r="P1554" s="82" t="s">
        <v>1131</v>
      </c>
      <c r="Q1554" s="83">
        <f>VLOOKUP(TAB_ESTOQUE[[#This Row],[Codigo]],TAB_ENTRADA[[Cod_2_Entrada]:[TOTAL_ENTRADA]],5,FALSE)-VLOOKUP(TAB_ESTOQUE[[#This Row],[Codigo]],TAB_SAIDA[[COD_2_SAIDA]:[TOTAL_SAIDA]],5,FALSE)</f>
        <v>3</v>
      </c>
      <c r="R1554" s="87"/>
      <c r="S1554" s="87"/>
      <c r="T1554" s="90"/>
      <c r="U1554" s="91">
        <f>TAB_ESTOQUE[[#This Row],[Valor Unitario Estimado]]*TAB_ESTOQUE[[#This Row],[Estoque]]</f>
        <v>0</v>
      </c>
      <c r="V1554" s="91"/>
      <c r="W1554" s="85"/>
      <c r="X1554" s="85"/>
      <c r="Y1554" s="85"/>
      <c r="Z1554" s="85"/>
      <c r="AA1554" s="85"/>
      <c r="AB1554" s="85" t="str">
        <f>IF(TAB_ESTOQUE[[#This Row],[Estoque]]=0,"Estoque Não Conforme",IF(TAB_ESTOQUE[[#This Row],[Estoque]]&gt;=TAB_ESTOQUE[[#This Row],[Mínimo]],"Estoque Conforme",IF(TAB_ESTOQUE[[#This Row],[Estoque]]&lt;TAB_ESTOQUE[[#This Row],[Mínimo]],"Estoque em Nivel Minimo")))</f>
        <v>Estoque Conforme</v>
      </c>
      <c r="AC1554" s="85"/>
      <c r="AD1554" s="82"/>
    </row>
    <row r="1555" spans="1:30" x14ac:dyDescent="0.25">
      <c r="A1555" s="45">
        <v>677</v>
      </c>
      <c r="B1555" s="47"/>
      <c r="C1555" s="46"/>
      <c r="D1555" s="45" t="s">
        <v>2384</v>
      </c>
      <c r="E1555" s="46"/>
      <c r="F1555" s="87"/>
      <c r="G1555" s="82"/>
      <c r="H1555" s="82"/>
      <c r="I1555" s="82" t="s">
        <v>6703</v>
      </c>
      <c r="J1555" s="82"/>
      <c r="K1555" s="82"/>
      <c r="L1555" s="82"/>
      <c r="M1555" s="82"/>
      <c r="N1555" s="82"/>
      <c r="O1555" s="87" t="s">
        <v>6713</v>
      </c>
      <c r="P1555" s="82" t="s">
        <v>460</v>
      </c>
      <c r="Q1555" s="83">
        <f>VLOOKUP(TAB_ESTOQUE[[#This Row],[Codigo]],TAB_ENTRADA[[Cod_2_Entrada]:[TOTAL_ENTRADA]],5,FALSE)-VLOOKUP(TAB_ESTOQUE[[#This Row],[Codigo]],TAB_SAIDA[[COD_2_SAIDA]:[TOTAL_SAIDA]],5,FALSE)</f>
        <v>3</v>
      </c>
      <c r="R1555" s="87"/>
      <c r="S1555" s="87"/>
      <c r="T1555" s="90">
        <v>89</v>
      </c>
      <c r="U1555" s="91">
        <f>TAB_ESTOQUE[[#This Row],[Valor Unitario Estimado]]*TAB_ESTOQUE[[#This Row],[Estoque]]</f>
        <v>267</v>
      </c>
      <c r="V1555" s="91"/>
      <c r="W1555" s="85"/>
      <c r="X1555" s="85"/>
      <c r="Y1555" s="85"/>
      <c r="Z1555" s="85"/>
      <c r="AA1555" s="85"/>
      <c r="AB1555" s="85" t="str">
        <f>IF(TAB_ESTOQUE[[#This Row],[Estoque]]=0,"Estoque Não Conforme",IF(TAB_ESTOQUE[[#This Row],[Estoque]]&gt;=TAB_ESTOQUE[[#This Row],[Mínimo]],"Estoque Conforme",IF(TAB_ESTOQUE[[#This Row],[Estoque]]&lt;TAB_ESTOQUE[[#This Row],[Mínimo]],"Estoque em Nivel Minimo")))</f>
        <v>Estoque Conforme</v>
      </c>
      <c r="AC1555" s="85"/>
      <c r="AD1555" s="82"/>
    </row>
    <row r="1556" spans="1:30" x14ac:dyDescent="0.25">
      <c r="A1556" s="45">
        <v>1698</v>
      </c>
      <c r="B1556" s="47"/>
      <c r="C1556" s="46" t="s">
        <v>2833</v>
      </c>
      <c r="D1556" s="45" t="s">
        <v>2558</v>
      </c>
      <c r="E1556" s="46" t="s">
        <v>6238</v>
      </c>
      <c r="F1556" s="87"/>
      <c r="G1556" s="82"/>
      <c r="H1556" s="82"/>
      <c r="I1556" s="82" t="s">
        <v>1567</v>
      </c>
      <c r="J1556" s="82"/>
      <c r="K1556" s="82"/>
      <c r="L1556" s="82"/>
      <c r="M1556" s="82"/>
      <c r="N1556" s="82"/>
      <c r="O1556" s="87" t="s">
        <v>6713</v>
      </c>
      <c r="P1556" s="82" t="s">
        <v>1129</v>
      </c>
      <c r="Q1556" s="83">
        <f>VLOOKUP(TAB_ESTOQUE[[#This Row],[Codigo]],TAB_ENTRADA[[Cod_2_Entrada]:[TOTAL_ENTRADA]],5,FALSE)-VLOOKUP(TAB_ESTOQUE[[#This Row],[Codigo]],TAB_SAIDA[[COD_2_SAIDA]:[TOTAL_SAIDA]],5,FALSE)</f>
        <v>1</v>
      </c>
      <c r="R1556" s="87"/>
      <c r="S1556" s="87"/>
      <c r="T1556" s="90"/>
      <c r="U1556" s="91">
        <f>TAB_ESTOQUE[[#This Row],[Valor Unitario Estimado]]*TAB_ESTOQUE[[#This Row],[Estoque]]</f>
        <v>0</v>
      </c>
      <c r="V1556" s="91"/>
      <c r="W1556" s="85"/>
      <c r="X1556" s="85"/>
      <c r="Y1556" s="85"/>
      <c r="Z1556" s="85"/>
      <c r="AA1556" s="85"/>
      <c r="AB1556" s="85" t="str">
        <f>IF(TAB_ESTOQUE[[#This Row],[Estoque]]=0,"Estoque Não Conforme",IF(TAB_ESTOQUE[[#This Row],[Estoque]]&gt;=TAB_ESTOQUE[[#This Row],[Mínimo]],"Estoque Conforme",IF(TAB_ESTOQUE[[#This Row],[Estoque]]&lt;TAB_ESTOQUE[[#This Row],[Mínimo]],"Estoque em Nivel Minimo")))</f>
        <v>Estoque Conforme</v>
      </c>
      <c r="AC1556" s="85"/>
      <c r="AD1556" s="82"/>
    </row>
    <row r="1557" spans="1:30" x14ac:dyDescent="0.25">
      <c r="A1557" s="45">
        <v>781</v>
      </c>
      <c r="B1557" s="47"/>
      <c r="C1557" s="46"/>
      <c r="D1557" s="45" t="s">
        <v>2551</v>
      </c>
      <c r="E1557" s="46" t="s">
        <v>151</v>
      </c>
      <c r="F1557" s="87"/>
      <c r="G1557" s="82"/>
      <c r="H1557" s="82"/>
      <c r="I1557" s="82" t="s">
        <v>1560</v>
      </c>
      <c r="J1557" s="82"/>
      <c r="K1557" s="82"/>
      <c r="L1557" s="82"/>
      <c r="M1557" s="82"/>
      <c r="N1557" s="82"/>
      <c r="O1557" s="87" t="s">
        <v>6732</v>
      </c>
      <c r="P1557" s="82" t="s">
        <v>566</v>
      </c>
      <c r="Q1557" s="83">
        <f>VLOOKUP(TAB_ESTOQUE[[#This Row],[Codigo]],TAB_ENTRADA[[Cod_2_Entrada]:[TOTAL_ENTRADA]],5,FALSE)-VLOOKUP(TAB_ESTOQUE[[#This Row],[Codigo]],TAB_SAIDA[[COD_2_SAIDA]:[TOTAL_SAIDA]],5,FALSE)</f>
        <v>2</v>
      </c>
      <c r="R1557" s="87"/>
      <c r="S1557" s="87"/>
      <c r="T1557" s="90"/>
      <c r="U1557" s="91">
        <f>TAB_ESTOQUE[[#This Row],[Valor Unitario Estimado]]*TAB_ESTOQUE[[#This Row],[Estoque]]</f>
        <v>0</v>
      </c>
      <c r="V1557" s="91"/>
      <c r="W1557" s="85"/>
      <c r="X1557" s="85"/>
      <c r="Y1557" s="85"/>
      <c r="Z1557" s="85"/>
      <c r="AA1557" s="85"/>
      <c r="AB1557" s="85" t="str">
        <f>IF(TAB_ESTOQUE[[#This Row],[Estoque]]=0,"Estoque Não Conforme",IF(TAB_ESTOQUE[[#This Row],[Estoque]]&gt;=TAB_ESTOQUE[[#This Row],[Mínimo]],"Estoque Conforme",IF(TAB_ESTOQUE[[#This Row],[Estoque]]&lt;TAB_ESTOQUE[[#This Row],[Mínimo]],"Estoque em Nivel Minimo")))</f>
        <v>Estoque Conforme</v>
      </c>
      <c r="AC1557" s="85"/>
      <c r="AD1557" s="82"/>
    </row>
    <row r="1558" spans="1:30" x14ac:dyDescent="0.25">
      <c r="A1558" s="45">
        <v>1697</v>
      </c>
      <c r="B1558" s="47"/>
      <c r="C1558" s="46" t="s">
        <v>2833</v>
      </c>
      <c r="D1558" s="45" t="s">
        <v>2555</v>
      </c>
      <c r="E1558" s="46" t="s">
        <v>151</v>
      </c>
      <c r="F1558" s="87"/>
      <c r="G1558" s="82"/>
      <c r="H1558" s="82"/>
      <c r="I1558" s="82" t="s">
        <v>1564</v>
      </c>
      <c r="J1558" s="82"/>
      <c r="K1558" s="82"/>
      <c r="L1558" s="82"/>
      <c r="M1558" s="82"/>
      <c r="N1558" s="82"/>
      <c r="O1558" s="87" t="s">
        <v>6732</v>
      </c>
      <c r="P1558" s="82" t="s">
        <v>1128</v>
      </c>
      <c r="Q1558" s="83">
        <f>VLOOKUP(TAB_ESTOQUE[[#This Row],[Codigo]],TAB_ENTRADA[[Cod_2_Entrada]:[TOTAL_ENTRADA]],5,FALSE)-VLOOKUP(TAB_ESTOQUE[[#This Row],[Codigo]],TAB_SAIDA[[COD_2_SAIDA]:[TOTAL_SAIDA]],5,FALSE)</f>
        <v>0</v>
      </c>
      <c r="R1558" s="87"/>
      <c r="S1558" s="87"/>
      <c r="T1558" s="90"/>
      <c r="U1558" s="91">
        <f>TAB_ESTOQUE[[#This Row],[Valor Unitario Estimado]]*TAB_ESTOQUE[[#This Row],[Estoque]]</f>
        <v>0</v>
      </c>
      <c r="V1558" s="91"/>
      <c r="W1558" s="85"/>
      <c r="X1558" s="85"/>
      <c r="Y1558" s="85"/>
      <c r="Z1558" s="85"/>
      <c r="AA1558" s="85"/>
      <c r="AB1558" s="85" t="str">
        <f>IF(TAB_ESTOQUE[[#This Row],[Estoque]]=0,"Estoque Não Conforme",IF(TAB_ESTOQUE[[#This Row],[Estoque]]&gt;=TAB_ESTOQUE[[#This Row],[Mínimo]],"Estoque Conforme",IF(TAB_ESTOQUE[[#This Row],[Estoque]]&lt;TAB_ESTOQUE[[#This Row],[Mínimo]],"Estoque em Nivel Minimo")))</f>
        <v>Estoque Não Conforme</v>
      </c>
      <c r="AC1558" s="85"/>
      <c r="AD1558" s="82"/>
    </row>
    <row r="1559" spans="1:30" x14ac:dyDescent="0.25">
      <c r="A1559" s="45">
        <v>1695</v>
      </c>
      <c r="B1559" s="47"/>
      <c r="C1559" s="46" t="s">
        <v>2833</v>
      </c>
      <c r="D1559" s="45" t="s">
        <v>2556</v>
      </c>
      <c r="E1559" s="46" t="s">
        <v>818</v>
      </c>
      <c r="F1559" s="87"/>
      <c r="G1559" s="82"/>
      <c r="H1559" s="82"/>
      <c r="I1559" s="82" t="s">
        <v>1565</v>
      </c>
      <c r="J1559" s="82"/>
      <c r="K1559" s="82"/>
      <c r="L1559" s="82"/>
      <c r="M1559" s="82"/>
      <c r="N1559" s="82"/>
      <c r="O1559" s="87" t="s">
        <v>6732</v>
      </c>
      <c r="P1559" s="82" t="s">
        <v>1126</v>
      </c>
      <c r="Q1559" s="83">
        <f>VLOOKUP(TAB_ESTOQUE[[#This Row],[Codigo]],TAB_ENTRADA[[Cod_2_Entrada]:[TOTAL_ENTRADA]],5,FALSE)-VLOOKUP(TAB_ESTOQUE[[#This Row],[Codigo]],TAB_SAIDA[[COD_2_SAIDA]:[TOTAL_SAIDA]],5,FALSE)</f>
        <v>3</v>
      </c>
      <c r="R1559" s="87"/>
      <c r="S1559" s="87"/>
      <c r="T1559" s="90">
        <v>230</v>
      </c>
      <c r="U1559" s="91">
        <f>TAB_ESTOQUE[[#This Row],[Valor Unitario Estimado]]*TAB_ESTOQUE[[#This Row],[Estoque]]</f>
        <v>690</v>
      </c>
      <c r="V1559" s="91"/>
      <c r="W1559" s="85"/>
      <c r="X1559" s="85"/>
      <c r="Y1559" s="85"/>
      <c r="Z1559" s="85"/>
      <c r="AA1559" s="85"/>
      <c r="AB1559" s="85" t="str">
        <f>IF(TAB_ESTOQUE[[#This Row],[Estoque]]=0,"Estoque Não Conforme",IF(TAB_ESTOQUE[[#This Row],[Estoque]]&gt;=TAB_ESTOQUE[[#This Row],[Mínimo]],"Estoque Conforme",IF(TAB_ESTOQUE[[#This Row],[Estoque]]&lt;TAB_ESTOQUE[[#This Row],[Mínimo]],"Estoque em Nivel Minimo")))</f>
        <v>Estoque Conforme</v>
      </c>
      <c r="AC1559" s="85"/>
      <c r="AD1559" s="82"/>
    </row>
    <row r="1560" spans="1:30" x14ac:dyDescent="0.25">
      <c r="A1560" s="45">
        <v>1701</v>
      </c>
      <c r="B1560" s="47"/>
      <c r="C1560" s="46" t="s">
        <v>2833</v>
      </c>
      <c r="D1560" s="45" t="s">
        <v>2560</v>
      </c>
      <c r="E1560" s="46" t="s">
        <v>151</v>
      </c>
      <c r="F1560" s="87"/>
      <c r="G1560" s="82"/>
      <c r="H1560" s="82"/>
      <c r="I1560" s="82" t="s">
        <v>6734</v>
      </c>
      <c r="J1560" s="82"/>
      <c r="K1560" s="82"/>
      <c r="L1560" s="82"/>
      <c r="M1560" s="82"/>
      <c r="N1560" s="82"/>
      <c r="O1560" s="87" t="s">
        <v>6732</v>
      </c>
      <c r="P1560" s="82" t="s">
        <v>1132</v>
      </c>
      <c r="Q1560" s="83">
        <f>VLOOKUP(TAB_ESTOQUE[[#This Row],[Codigo]],TAB_ENTRADA[[Cod_2_Entrada]:[TOTAL_ENTRADA]],5,FALSE)-VLOOKUP(TAB_ESTOQUE[[#This Row],[Codigo]],TAB_SAIDA[[COD_2_SAIDA]:[TOTAL_SAIDA]],5,FALSE)</f>
        <v>7</v>
      </c>
      <c r="R1560" s="87"/>
      <c r="S1560" s="87"/>
      <c r="T1560" s="90">
        <v>15</v>
      </c>
      <c r="U1560" s="91">
        <f>TAB_ESTOQUE[[#This Row],[Valor Unitario Estimado]]*TAB_ESTOQUE[[#This Row],[Estoque]]</f>
        <v>105</v>
      </c>
      <c r="V1560" s="91"/>
      <c r="W1560" s="85"/>
      <c r="X1560" s="85"/>
      <c r="Y1560" s="85"/>
      <c r="Z1560" s="85"/>
      <c r="AA1560" s="85"/>
      <c r="AB1560" s="85" t="str">
        <f>IF(TAB_ESTOQUE[[#This Row],[Estoque]]=0,"Estoque Não Conforme",IF(TAB_ESTOQUE[[#This Row],[Estoque]]&gt;=TAB_ESTOQUE[[#This Row],[Mínimo]],"Estoque Conforme",IF(TAB_ESTOQUE[[#This Row],[Estoque]]&lt;TAB_ESTOQUE[[#This Row],[Mínimo]],"Estoque em Nivel Minimo")))</f>
        <v>Estoque Conforme</v>
      </c>
      <c r="AC1560" s="85"/>
      <c r="AD1560" s="82"/>
    </row>
    <row r="1561" spans="1:30" x14ac:dyDescent="0.25">
      <c r="A1561" s="45">
        <v>1699</v>
      </c>
      <c r="B1561" s="47"/>
      <c r="C1561" s="46" t="s">
        <v>2833</v>
      </c>
      <c r="D1561" s="45" t="s">
        <v>2561</v>
      </c>
      <c r="E1561" s="46" t="s">
        <v>151</v>
      </c>
      <c r="F1561" s="87"/>
      <c r="G1561" s="82"/>
      <c r="H1561" s="82"/>
      <c r="I1561" s="82" t="s">
        <v>1568</v>
      </c>
      <c r="J1561" s="82"/>
      <c r="K1561" s="82"/>
      <c r="L1561" s="82"/>
      <c r="M1561" s="82"/>
      <c r="N1561" s="82"/>
      <c r="O1561" s="87" t="s">
        <v>6732</v>
      </c>
      <c r="P1561" s="82" t="s">
        <v>1130</v>
      </c>
      <c r="Q1561" s="83">
        <f>VLOOKUP(TAB_ESTOQUE[[#This Row],[Codigo]],TAB_ENTRADA[[Cod_2_Entrada]:[TOTAL_ENTRADA]],5,FALSE)-VLOOKUP(TAB_ESTOQUE[[#This Row],[Codigo]],TAB_SAIDA[[COD_2_SAIDA]:[TOTAL_SAIDA]],5,FALSE)</f>
        <v>0</v>
      </c>
      <c r="R1561" s="87"/>
      <c r="S1561" s="87"/>
      <c r="T1561" s="90"/>
      <c r="U1561" s="91">
        <f>TAB_ESTOQUE[[#This Row],[Valor Unitario Estimado]]*TAB_ESTOQUE[[#This Row],[Estoque]]</f>
        <v>0</v>
      </c>
      <c r="V1561" s="91"/>
      <c r="W1561" s="85"/>
      <c r="X1561" s="85"/>
      <c r="Y1561" s="85"/>
      <c r="Z1561" s="85"/>
      <c r="AA1561" s="85"/>
      <c r="AB1561" s="85" t="str">
        <f>IF(TAB_ESTOQUE[[#This Row],[Estoque]]=0,"Estoque Não Conforme",IF(TAB_ESTOQUE[[#This Row],[Estoque]]&gt;=TAB_ESTOQUE[[#This Row],[Mínimo]],"Estoque Conforme",IF(TAB_ESTOQUE[[#This Row],[Estoque]]&lt;TAB_ESTOQUE[[#This Row],[Mínimo]],"Estoque em Nivel Minimo")))</f>
        <v>Estoque Não Conforme</v>
      </c>
      <c r="AC1561" s="85"/>
      <c r="AD1561" s="82"/>
    </row>
    <row r="1562" spans="1:30" x14ac:dyDescent="0.25">
      <c r="A1562" s="45">
        <v>1696</v>
      </c>
      <c r="B1562" s="47"/>
      <c r="C1562" s="46" t="s">
        <v>2833</v>
      </c>
      <c r="D1562" s="45" t="s">
        <v>2557</v>
      </c>
      <c r="E1562" s="46" t="s">
        <v>151</v>
      </c>
      <c r="F1562" s="87"/>
      <c r="G1562" s="82"/>
      <c r="H1562" s="82"/>
      <c r="I1562" s="82" t="s">
        <v>1566</v>
      </c>
      <c r="J1562" s="82"/>
      <c r="K1562" s="82"/>
      <c r="L1562" s="82"/>
      <c r="M1562" s="82"/>
      <c r="N1562" s="82"/>
      <c r="O1562" s="87" t="s">
        <v>6733</v>
      </c>
      <c r="P1562" s="82" t="s">
        <v>1127</v>
      </c>
      <c r="Q1562" s="83">
        <f>VLOOKUP(TAB_ESTOQUE[[#This Row],[Codigo]],TAB_ENTRADA[[Cod_2_Entrada]:[TOTAL_ENTRADA]],5,FALSE)-VLOOKUP(TAB_ESTOQUE[[#This Row],[Codigo]],TAB_SAIDA[[COD_2_SAIDA]:[TOTAL_SAIDA]],5,FALSE)</f>
        <v>3</v>
      </c>
      <c r="R1562" s="87"/>
      <c r="S1562" s="87"/>
      <c r="T1562" s="90"/>
      <c r="U1562" s="91">
        <f>TAB_ESTOQUE[[#This Row],[Valor Unitario Estimado]]*TAB_ESTOQUE[[#This Row],[Estoque]]</f>
        <v>0</v>
      </c>
      <c r="V1562" s="91"/>
      <c r="W1562" s="85"/>
      <c r="X1562" s="85"/>
      <c r="Y1562" s="85"/>
      <c r="Z1562" s="85"/>
      <c r="AA1562" s="85"/>
      <c r="AB1562" s="85" t="str">
        <f>IF(TAB_ESTOQUE[[#This Row],[Estoque]]=0,"Estoque Não Conforme",IF(TAB_ESTOQUE[[#This Row],[Estoque]]&gt;=TAB_ESTOQUE[[#This Row],[Mínimo]],"Estoque Conforme",IF(TAB_ESTOQUE[[#This Row],[Estoque]]&lt;TAB_ESTOQUE[[#This Row],[Mínimo]],"Estoque em Nivel Minimo")))</f>
        <v>Estoque Conforme</v>
      </c>
      <c r="AC1562" s="85"/>
      <c r="AD1562" s="82"/>
    </row>
    <row r="1563" spans="1:30" x14ac:dyDescent="0.25">
      <c r="C1563" s="48"/>
      <c r="D1563" s="45" t="s">
        <v>7096</v>
      </c>
      <c r="E1563" s="46"/>
      <c r="F1563" s="46"/>
      <c r="I1563" s="45" t="s">
        <v>7541</v>
      </c>
      <c r="O1563" s="46" t="s">
        <v>6740</v>
      </c>
      <c r="Q1563" s="137">
        <f>VLOOKUP(TAB_ESTOQUE[[#This Row],[Codigo]],TAB_ENTRADA[[Cod_2_Entrada]:[TOTAL_ENTRADA]],5,FALSE)-VLOOKUP(TAB_ESTOQUE[[#This Row],[Codigo]],TAB_SAIDA[[COD_2_SAIDA]:[TOTAL_SAIDA]],5,FALSE)</f>
        <v>100</v>
      </c>
      <c r="S1563" s="46"/>
      <c r="T1563" s="102">
        <v>9.2200000000000006</v>
      </c>
      <c r="U1563" s="103">
        <f>TAB_ESTOQUE[[#This Row],[Valor Unitario Estimado]]*TAB_ESTOQUE[[#This Row],[Estoque]]</f>
        <v>922.00000000000011</v>
      </c>
      <c r="V1563" s="103"/>
      <c r="AA1563" s="138"/>
      <c r="AB1563" s="104" t="str">
        <f>IF(TAB_ESTOQUE[[#This Row],[Estoque]]=0,"Estoque Não Conforme",IF(TAB_ESTOQUE[[#This Row],[Estoque]]&gt;=TAB_ESTOQUE[[#This Row],[Mínimo]],"Estoque Conforme",IF(TAB_ESTOQUE[[#This Row],[Estoque]]&lt;TAB_ESTOQUE[[#This Row],[Mínimo]],"Estoque em Nivel Minimo")))</f>
        <v>Estoque Conforme</v>
      </c>
      <c r="AC1563" s="104"/>
    </row>
    <row r="1564" spans="1:30" x14ac:dyDescent="0.25">
      <c r="C1564" s="48"/>
      <c r="D1564" s="45" t="s">
        <v>7164</v>
      </c>
      <c r="E1564" s="46"/>
      <c r="F1564" s="46"/>
      <c r="I1564" s="45" t="s">
        <v>7667</v>
      </c>
      <c r="O1564" s="46" t="s">
        <v>6740</v>
      </c>
      <c r="Q1564" s="137">
        <f>VLOOKUP(TAB_ESTOQUE[[#This Row],[Codigo]],TAB_ENTRADA[[Cod_2_Entrada]:[TOTAL_ENTRADA]],5,FALSE)-VLOOKUP(TAB_ESTOQUE[[#This Row],[Codigo]],TAB_SAIDA[[COD_2_SAIDA]:[TOTAL_SAIDA]],5,FALSE)</f>
        <v>0</v>
      </c>
      <c r="S1564" s="46"/>
      <c r="T1564" s="102">
        <v>33.6</v>
      </c>
      <c r="U1564" s="103">
        <f>TAB_ESTOQUE[[#This Row],[Valor Unitario Estimado]]*TAB_ESTOQUE[[#This Row],[Estoque]]</f>
        <v>0</v>
      </c>
      <c r="V1564" s="103"/>
      <c r="AA1564" s="138"/>
      <c r="AB1564" s="104" t="str">
        <f>IF(TAB_ESTOQUE[[#This Row],[Estoque]]=0,"Estoque Não Conforme",IF(TAB_ESTOQUE[[#This Row],[Estoque]]&gt;=TAB_ESTOQUE[[#This Row],[Mínimo]],"Estoque Conforme",IF(TAB_ESTOQUE[[#This Row],[Estoque]]&lt;TAB_ESTOQUE[[#This Row],[Mínimo]],"Estoque em Nivel Minimo")))</f>
        <v>Estoque Não Conforme</v>
      </c>
      <c r="AC1564" s="104"/>
    </row>
    <row r="1565" spans="1:30" x14ac:dyDescent="0.25">
      <c r="C1565" s="48"/>
      <c r="D1565" s="45" t="s">
        <v>7165</v>
      </c>
      <c r="E1565" s="46"/>
      <c r="F1565" s="46"/>
      <c r="I1565" s="45" t="s">
        <v>7668</v>
      </c>
      <c r="O1565" s="46" t="s">
        <v>6740</v>
      </c>
      <c r="Q1565" s="137">
        <f>VLOOKUP(TAB_ESTOQUE[[#This Row],[Codigo]],TAB_ENTRADA[[Cod_2_Entrada]:[TOTAL_ENTRADA]],5,FALSE)-VLOOKUP(TAB_ESTOQUE[[#This Row],[Codigo]],TAB_SAIDA[[COD_2_SAIDA]:[TOTAL_SAIDA]],5,FALSE)</f>
        <v>0</v>
      </c>
      <c r="S1565" s="46"/>
      <c r="T1565" s="102">
        <v>6.18</v>
      </c>
      <c r="U1565" s="103">
        <f>TAB_ESTOQUE[[#This Row],[Valor Unitario Estimado]]*TAB_ESTOQUE[[#This Row],[Estoque]]</f>
        <v>0</v>
      </c>
      <c r="V1565" s="103"/>
      <c r="AA1565" s="138"/>
      <c r="AB1565" s="104" t="str">
        <f>IF(TAB_ESTOQUE[[#This Row],[Estoque]]=0,"Estoque Não Conforme",IF(TAB_ESTOQUE[[#This Row],[Estoque]]&gt;=TAB_ESTOQUE[[#This Row],[Mínimo]],"Estoque Conforme",IF(TAB_ESTOQUE[[#This Row],[Estoque]]&lt;TAB_ESTOQUE[[#This Row],[Mínimo]],"Estoque em Nivel Minimo")))</f>
        <v>Estoque Não Conforme</v>
      </c>
      <c r="AC1565" s="104"/>
    </row>
    <row r="1566" spans="1:30" x14ac:dyDescent="0.25">
      <c r="C1566" s="48"/>
      <c r="D1566" s="45" t="s">
        <v>8180</v>
      </c>
      <c r="E1566" s="46" t="s">
        <v>9059</v>
      </c>
      <c r="F1566" s="46"/>
      <c r="I1566" s="45" t="s">
        <v>9058</v>
      </c>
      <c r="O1566" s="46" t="s">
        <v>6740</v>
      </c>
      <c r="Q1566" s="137">
        <f>VLOOKUP(TAB_ESTOQUE[[#This Row],[Codigo]],TAB_ENTRADA[[Cod_2_Entrada]:[TOTAL_ENTRADA]],5,FALSE)-VLOOKUP(TAB_ESTOQUE[[#This Row],[Codigo]],TAB_SAIDA[[COD_2_SAIDA]:[TOTAL_SAIDA]],5,FALSE)</f>
        <v>6</v>
      </c>
      <c r="R1566" s="46">
        <v>2</v>
      </c>
      <c r="S1566" s="46">
        <v>6</v>
      </c>
      <c r="T1566" s="102">
        <v>172</v>
      </c>
      <c r="U1566" s="103">
        <f>TAB_ESTOQUE[[#This Row],[Valor Unitario Estimado]]*TAB_ESTOQUE[[#This Row],[Estoque]]</f>
        <v>1032</v>
      </c>
      <c r="V1566" s="103"/>
      <c r="AA1566" s="138"/>
      <c r="AB1566" s="104" t="str">
        <f>IF(TAB_ESTOQUE[[#This Row],[Estoque]]=0,"Estoque Não Conforme",IF(TAB_ESTOQUE[[#This Row],[Estoque]]&gt;=TAB_ESTOQUE[[#This Row],[Mínimo]],"Estoque Conforme",IF(TAB_ESTOQUE[[#This Row],[Estoque]]&lt;TAB_ESTOQUE[[#This Row],[Mínimo]],"Estoque em Nivel Minimo")))</f>
        <v>Estoque Conforme</v>
      </c>
      <c r="AC1566" s="104"/>
    </row>
    <row r="1567" spans="1:30" x14ac:dyDescent="0.25">
      <c r="C1567" s="48"/>
      <c r="D1567" s="45" t="s">
        <v>8225</v>
      </c>
      <c r="F1567" s="46"/>
      <c r="Q1567" s="137">
        <f>VLOOKUP(TAB_ESTOQUE[[#This Row],[Codigo]],TAB_ENTRADA[[Cod_2_Entrada]:[TOTAL_ENTRADA]],5,FALSE)-VLOOKUP(TAB_ESTOQUE[[#This Row],[Codigo]],TAB_SAIDA[[COD_2_SAIDA]:[TOTAL_SAIDA]],5,FALSE)</f>
        <v>0</v>
      </c>
      <c r="S1567" s="46"/>
      <c r="T1567" s="102"/>
      <c r="U1567" s="103">
        <f>TAB_ESTOQUE[[#This Row],[Valor Unitario Estimado]]*TAB_ESTOQUE[[#This Row],[Estoque]]</f>
        <v>0</v>
      </c>
      <c r="V1567" s="103"/>
      <c r="AA1567" s="138"/>
      <c r="AB1567" s="104" t="str">
        <f>IF(TAB_ESTOQUE[[#This Row],[Estoque]]=0,"Estoque Não Conforme",IF(TAB_ESTOQUE[[#This Row],[Estoque]]&gt;=TAB_ESTOQUE[[#This Row],[Mínimo]],"Estoque Conforme",IF(TAB_ESTOQUE[[#This Row],[Estoque]]&lt;TAB_ESTOQUE[[#This Row],[Mínimo]],"Estoque em Nivel Minimo")))</f>
        <v>Estoque Não Conforme</v>
      </c>
      <c r="AC1567" s="104"/>
    </row>
    <row r="1568" spans="1:30" x14ac:dyDescent="0.25">
      <c r="C1568" s="48"/>
      <c r="D1568" s="45" t="s">
        <v>8229</v>
      </c>
      <c r="F1568" s="46"/>
      <c r="Q1568" s="137">
        <f>VLOOKUP(TAB_ESTOQUE[[#This Row],[Codigo]],TAB_ENTRADA[[Cod_2_Entrada]:[TOTAL_ENTRADA]],5,FALSE)-VLOOKUP(TAB_ESTOQUE[[#This Row],[Codigo]],TAB_SAIDA[[COD_2_SAIDA]:[TOTAL_SAIDA]],5,FALSE)</f>
        <v>0</v>
      </c>
      <c r="S1568" s="46"/>
      <c r="T1568" s="102"/>
      <c r="U1568" s="103">
        <f>TAB_ESTOQUE[[#This Row],[Valor Unitario Estimado]]*TAB_ESTOQUE[[#This Row],[Estoque]]</f>
        <v>0</v>
      </c>
      <c r="V1568" s="103"/>
      <c r="AA1568" s="138"/>
      <c r="AB1568" s="104" t="str">
        <f>IF(TAB_ESTOQUE[[#This Row],[Estoque]]=0,"Estoque Não Conforme",IF(TAB_ESTOQUE[[#This Row],[Estoque]]&gt;=TAB_ESTOQUE[[#This Row],[Mínimo]],"Estoque Conforme",IF(TAB_ESTOQUE[[#This Row],[Estoque]]&lt;TAB_ESTOQUE[[#This Row],[Mínimo]],"Estoque em Nivel Minimo")))</f>
        <v>Estoque Não Conforme</v>
      </c>
      <c r="AC1568" s="104"/>
    </row>
    <row r="1569" spans="3:29" x14ac:dyDescent="0.25">
      <c r="C1569" s="48"/>
      <c r="D1569" s="45" t="s">
        <v>8270</v>
      </c>
      <c r="F1569" s="46"/>
      <c r="I1569" s="47"/>
      <c r="Q1569" s="137">
        <f>VLOOKUP(TAB_ESTOQUE[[#This Row],[Codigo]],TAB_ENTRADA[[Cod_2_Entrada]:[TOTAL_ENTRADA]],5,FALSE)-VLOOKUP(TAB_ESTOQUE[[#This Row],[Codigo]],TAB_SAIDA[[COD_2_SAIDA]:[TOTAL_SAIDA]],5,FALSE)</f>
        <v>0</v>
      </c>
      <c r="S1569" s="46"/>
      <c r="T1569" s="102"/>
      <c r="U1569" s="103">
        <f>TAB_ESTOQUE[[#This Row],[Valor Unitario Estimado]]*TAB_ESTOQUE[[#This Row],[Estoque]]</f>
        <v>0</v>
      </c>
      <c r="V1569" s="103"/>
      <c r="AA1569" s="138"/>
      <c r="AB1569" s="104" t="str">
        <f>IF(TAB_ESTOQUE[[#This Row],[Estoque]]=0,"Estoque Não Conforme",IF(TAB_ESTOQUE[[#This Row],[Estoque]]&gt;=TAB_ESTOQUE[[#This Row],[Mínimo]],"Estoque Conforme",IF(TAB_ESTOQUE[[#This Row],[Estoque]]&lt;TAB_ESTOQUE[[#This Row],[Mínimo]],"Estoque em Nivel Minimo")))</f>
        <v>Estoque Não Conforme</v>
      </c>
      <c r="AC1569" s="104"/>
    </row>
    <row r="1570" spans="3:29" x14ac:dyDescent="0.25">
      <c r="C1570" s="48"/>
      <c r="D1570" s="45" t="s">
        <v>8271</v>
      </c>
      <c r="F1570" s="46"/>
      <c r="I1570" s="106"/>
      <c r="Q1570" s="137">
        <f>VLOOKUP(TAB_ESTOQUE[[#This Row],[Codigo]],TAB_ENTRADA[[Cod_2_Entrada]:[TOTAL_ENTRADA]],5,FALSE)-VLOOKUP(TAB_ESTOQUE[[#This Row],[Codigo]],TAB_SAIDA[[COD_2_SAIDA]:[TOTAL_SAIDA]],5,FALSE)</f>
        <v>0</v>
      </c>
      <c r="S1570" s="46"/>
      <c r="T1570" s="102"/>
      <c r="U1570" s="103">
        <f>TAB_ESTOQUE[[#This Row],[Valor Unitario Estimado]]*TAB_ESTOQUE[[#This Row],[Estoque]]</f>
        <v>0</v>
      </c>
      <c r="V1570" s="103"/>
      <c r="AA1570" s="138"/>
      <c r="AB1570" s="104" t="str">
        <f>IF(TAB_ESTOQUE[[#This Row],[Estoque]]=0,"Estoque Não Conforme",IF(TAB_ESTOQUE[[#This Row],[Estoque]]&gt;=TAB_ESTOQUE[[#This Row],[Mínimo]],"Estoque Conforme",IF(TAB_ESTOQUE[[#This Row],[Estoque]]&lt;TAB_ESTOQUE[[#This Row],[Mínimo]],"Estoque em Nivel Minimo")))</f>
        <v>Estoque Não Conforme</v>
      </c>
      <c r="AC1570" s="104"/>
    </row>
    <row r="1571" spans="3:29" x14ac:dyDescent="0.25">
      <c r="C1571" s="48"/>
      <c r="D1571" s="45" t="s">
        <v>8272</v>
      </c>
      <c r="F1571" s="46"/>
      <c r="I1571" s="47"/>
      <c r="Q1571" s="137">
        <f>VLOOKUP(TAB_ESTOQUE[[#This Row],[Codigo]],TAB_ENTRADA[[Cod_2_Entrada]:[TOTAL_ENTRADA]],5,FALSE)-VLOOKUP(TAB_ESTOQUE[[#This Row],[Codigo]],TAB_SAIDA[[COD_2_SAIDA]:[TOTAL_SAIDA]],5,FALSE)</f>
        <v>0</v>
      </c>
      <c r="S1571" s="46"/>
      <c r="T1571" s="102"/>
      <c r="U1571" s="103">
        <f>TAB_ESTOQUE[[#This Row],[Valor Unitario Estimado]]*TAB_ESTOQUE[[#This Row],[Estoque]]</f>
        <v>0</v>
      </c>
      <c r="V1571" s="103"/>
      <c r="AA1571" s="138"/>
      <c r="AB1571" s="104" t="str">
        <f>IF(TAB_ESTOQUE[[#This Row],[Estoque]]=0,"Estoque Não Conforme",IF(TAB_ESTOQUE[[#This Row],[Estoque]]&gt;=TAB_ESTOQUE[[#This Row],[Mínimo]],"Estoque Conforme",IF(TAB_ESTOQUE[[#This Row],[Estoque]]&lt;TAB_ESTOQUE[[#This Row],[Mínimo]],"Estoque em Nivel Minimo")))</f>
        <v>Estoque Não Conforme</v>
      </c>
      <c r="AC1571" s="104"/>
    </row>
    <row r="1572" spans="3:29" x14ac:dyDescent="0.25">
      <c r="C1572" s="48"/>
      <c r="D1572" s="45" t="s">
        <v>8273</v>
      </c>
      <c r="F1572" s="46"/>
      <c r="Q1572" s="137">
        <f>VLOOKUP(TAB_ESTOQUE[[#This Row],[Codigo]],TAB_ENTRADA[[Cod_2_Entrada]:[TOTAL_ENTRADA]],5,FALSE)-VLOOKUP(TAB_ESTOQUE[[#This Row],[Codigo]],TAB_SAIDA[[COD_2_SAIDA]:[TOTAL_SAIDA]],5,FALSE)</f>
        <v>0</v>
      </c>
      <c r="S1572" s="46"/>
      <c r="T1572" s="102"/>
      <c r="U1572" s="103">
        <f>TAB_ESTOQUE[[#This Row],[Valor Unitario Estimado]]*TAB_ESTOQUE[[#This Row],[Estoque]]</f>
        <v>0</v>
      </c>
      <c r="V1572" s="103"/>
      <c r="AA1572" s="138"/>
      <c r="AB1572" s="104" t="str">
        <f>IF(TAB_ESTOQUE[[#This Row],[Estoque]]=0,"Estoque Não Conforme",IF(TAB_ESTOQUE[[#This Row],[Estoque]]&gt;=TAB_ESTOQUE[[#This Row],[Mínimo]],"Estoque Conforme",IF(TAB_ESTOQUE[[#This Row],[Estoque]]&lt;TAB_ESTOQUE[[#This Row],[Mínimo]],"Estoque em Nivel Minimo")))</f>
        <v>Estoque Não Conforme</v>
      </c>
      <c r="AC1572" s="104"/>
    </row>
    <row r="1573" spans="3:29" x14ac:dyDescent="0.25">
      <c r="C1573" s="48"/>
      <c r="D1573" s="45" t="s">
        <v>8274</v>
      </c>
      <c r="F1573" s="46"/>
      <c r="Q1573" s="137">
        <f>VLOOKUP(TAB_ESTOQUE[[#This Row],[Codigo]],TAB_ENTRADA[[Cod_2_Entrada]:[TOTAL_ENTRADA]],5,FALSE)-VLOOKUP(TAB_ESTOQUE[[#This Row],[Codigo]],TAB_SAIDA[[COD_2_SAIDA]:[TOTAL_SAIDA]],5,FALSE)</f>
        <v>0</v>
      </c>
      <c r="S1573" s="46"/>
      <c r="T1573" s="102"/>
      <c r="U1573" s="103">
        <f>TAB_ESTOQUE[[#This Row],[Valor Unitario Estimado]]*TAB_ESTOQUE[[#This Row],[Estoque]]</f>
        <v>0</v>
      </c>
      <c r="V1573" s="103"/>
      <c r="AA1573" s="138"/>
      <c r="AB1573" s="104" t="str">
        <f>IF(TAB_ESTOQUE[[#This Row],[Estoque]]=0,"Estoque Não Conforme",IF(TAB_ESTOQUE[[#This Row],[Estoque]]&gt;=TAB_ESTOQUE[[#This Row],[Mínimo]],"Estoque Conforme",IF(TAB_ESTOQUE[[#This Row],[Estoque]]&lt;TAB_ESTOQUE[[#This Row],[Mínimo]],"Estoque em Nivel Minimo")))</f>
        <v>Estoque Não Conforme</v>
      </c>
      <c r="AC1573" s="104"/>
    </row>
    <row r="1574" spans="3:29" x14ac:dyDescent="0.25">
      <c r="C1574" s="48"/>
      <c r="D1574" s="45" t="s">
        <v>8275</v>
      </c>
      <c r="F1574" s="46"/>
      <c r="Q1574" s="137">
        <f>VLOOKUP(TAB_ESTOQUE[[#This Row],[Codigo]],TAB_ENTRADA[[Cod_2_Entrada]:[TOTAL_ENTRADA]],5,FALSE)-VLOOKUP(TAB_ESTOQUE[[#This Row],[Codigo]],TAB_SAIDA[[COD_2_SAIDA]:[TOTAL_SAIDA]],5,FALSE)</f>
        <v>0</v>
      </c>
      <c r="S1574" s="46"/>
      <c r="T1574" s="102"/>
      <c r="U1574" s="103">
        <f>TAB_ESTOQUE[[#This Row],[Valor Unitario Estimado]]*TAB_ESTOQUE[[#This Row],[Estoque]]</f>
        <v>0</v>
      </c>
      <c r="V1574" s="103"/>
      <c r="AA1574" s="138"/>
      <c r="AB1574" s="104" t="str">
        <f>IF(TAB_ESTOQUE[[#This Row],[Estoque]]=0,"Estoque Não Conforme",IF(TAB_ESTOQUE[[#This Row],[Estoque]]&gt;=TAB_ESTOQUE[[#This Row],[Mínimo]],"Estoque Conforme",IF(TAB_ESTOQUE[[#This Row],[Estoque]]&lt;TAB_ESTOQUE[[#This Row],[Mínimo]],"Estoque em Nivel Minimo")))</f>
        <v>Estoque Não Conforme</v>
      </c>
      <c r="AC1574" s="104"/>
    </row>
    <row r="1575" spans="3:29" x14ac:dyDescent="0.25">
      <c r="C1575" s="48"/>
      <c r="D1575" s="45" t="s">
        <v>8276</v>
      </c>
      <c r="F1575" s="46"/>
      <c r="Q1575" s="137">
        <f>VLOOKUP(TAB_ESTOQUE[[#This Row],[Codigo]],TAB_ENTRADA[[Cod_2_Entrada]:[TOTAL_ENTRADA]],5,FALSE)-VLOOKUP(TAB_ESTOQUE[[#This Row],[Codigo]],TAB_SAIDA[[COD_2_SAIDA]:[TOTAL_SAIDA]],5,FALSE)</f>
        <v>0</v>
      </c>
      <c r="S1575" s="46"/>
      <c r="T1575" s="102"/>
      <c r="U1575" s="103">
        <f>TAB_ESTOQUE[[#This Row],[Valor Unitario Estimado]]*TAB_ESTOQUE[[#This Row],[Estoque]]</f>
        <v>0</v>
      </c>
      <c r="V1575" s="103"/>
      <c r="AA1575" s="138"/>
      <c r="AB1575" s="104" t="str">
        <f>IF(TAB_ESTOQUE[[#This Row],[Estoque]]=0,"Estoque Não Conforme",IF(TAB_ESTOQUE[[#This Row],[Estoque]]&gt;=TAB_ESTOQUE[[#This Row],[Mínimo]],"Estoque Conforme",IF(TAB_ESTOQUE[[#This Row],[Estoque]]&lt;TAB_ESTOQUE[[#This Row],[Mínimo]],"Estoque em Nivel Minimo")))</f>
        <v>Estoque Não Conforme</v>
      </c>
      <c r="AC1575" s="104"/>
    </row>
    <row r="1576" spans="3:29" x14ac:dyDescent="0.25">
      <c r="C1576" s="48"/>
      <c r="D1576" s="45" t="s">
        <v>8277</v>
      </c>
      <c r="F1576" s="46"/>
      <c r="Q1576" s="137">
        <f>VLOOKUP(TAB_ESTOQUE[[#This Row],[Codigo]],TAB_ENTRADA[[Cod_2_Entrada]:[TOTAL_ENTRADA]],5,FALSE)-VLOOKUP(TAB_ESTOQUE[[#This Row],[Codigo]],TAB_SAIDA[[COD_2_SAIDA]:[TOTAL_SAIDA]],5,FALSE)</f>
        <v>0</v>
      </c>
      <c r="S1576" s="46"/>
      <c r="T1576" s="102"/>
      <c r="U1576" s="103">
        <f>TAB_ESTOQUE[[#This Row],[Valor Unitario Estimado]]*TAB_ESTOQUE[[#This Row],[Estoque]]</f>
        <v>0</v>
      </c>
      <c r="V1576" s="103"/>
      <c r="AA1576" s="138"/>
      <c r="AB1576" s="104" t="str">
        <f>IF(TAB_ESTOQUE[[#This Row],[Estoque]]=0,"Estoque Não Conforme",IF(TAB_ESTOQUE[[#This Row],[Estoque]]&gt;=TAB_ESTOQUE[[#This Row],[Mínimo]],"Estoque Conforme",IF(TAB_ESTOQUE[[#This Row],[Estoque]]&lt;TAB_ESTOQUE[[#This Row],[Mínimo]],"Estoque em Nivel Minimo")))</f>
        <v>Estoque Não Conforme</v>
      </c>
      <c r="AC1576" s="104"/>
    </row>
    <row r="1577" spans="3:29" x14ac:dyDescent="0.25">
      <c r="C1577" s="48"/>
      <c r="D1577" s="45" t="s">
        <v>8278</v>
      </c>
      <c r="F1577" s="46"/>
      <c r="Q1577" s="137">
        <f>VLOOKUP(TAB_ESTOQUE[[#This Row],[Codigo]],TAB_ENTRADA[[Cod_2_Entrada]:[TOTAL_ENTRADA]],5,FALSE)-VLOOKUP(TAB_ESTOQUE[[#This Row],[Codigo]],TAB_SAIDA[[COD_2_SAIDA]:[TOTAL_SAIDA]],5,FALSE)</f>
        <v>0</v>
      </c>
      <c r="S1577" s="46"/>
      <c r="T1577" s="102"/>
      <c r="U1577" s="103">
        <f>TAB_ESTOQUE[[#This Row],[Valor Unitario Estimado]]*TAB_ESTOQUE[[#This Row],[Estoque]]</f>
        <v>0</v>
      </c>
      <c r="V1577" s="103"/>
      <c r="AA1577" s="138"/>
      <c r="AB1577" s="104" t="str">
        <f>IF(TAB_ESTOQUE[[#This Row],[Estoque]]=0,"Estoque Não Conforme",IF(TAB_ESTOQUE[[#This Row],[Estoque]]&gt;=TAB_ESTOQUE[[#This Row],[Mínimo]],"Estoque Conforme",IF(TAB_ESTOQUE[[#This Row],[Estoque]]&lt;TAB_ESTOQUE[[#This Row],[Mínimo]],"Estoque em Nivel Minimo")))</f>
        <v>Estoque Não Conforme</v>
      </c>
      <c r="AC1577" s="104"/>
    </row>
    <row r="1578" spans="3:29" x14ac:dyDescent="0.25">
      <c r="C1578" s="48"/>
      <c r="D1578" s="45" t="s">
        <v>8279</v>
      </c>
      <c r="F1578" s="46"/>
      <c r="Q1578" s="137">
        <f>VLOOKUP(TAB_ESTOQUE[[#This Row],[Codigo]],TAB_ENTRADA[[Cod_2_Entrada]:[TOTAL_ENTRADA]],5,FALSE)-VLOOKUP(TAB_ESTOQUE[[#This Row],[Codigo]],TAB_SAIDA[[COD_2_SAIDA]:[TOTAL_SAIDA]],5,FALSE)</f>
        <v>0</v>
      </c>
      <c r="S1578" s="46"/>
      <c r="T1578" s="102"/>
      <c r="U1578" s="103">
        <f>TAB_ESTOQUE[[#This Row],[Valor Unitario Estimado]]*TAB_ESTOQUE[[#This Row],[Estoque]]</f>
        <v>0</v>
      </c>
      <c r="V1578" s="103"/>
      <c r="AA1578" s="138"/>
      <c r="AB1578" s="104" t="str">
        <f>IF(TAB_ESTOQUE[[#This Row],[Estoque]]=0,"Estoque Não Conforme",IF(TAB_ESTOQUE[[#This Row],[Estoque]]&gt;=TAB_ESTOQUE[[#This Row],[Mínimo]],"Estoque Conforme",IF(TAB_ESTOQUE[[#This Row],[Estoque]]&lt;TAB_ESTOQUE[[#This Row],[Mínimo]],"Estoque em Nivel Minimo")))</f>
        <v>Estoque Não Conforme</v>
      </c>
      <c r="AC1578" s="104"/>
    </row>
    <row r="1579" spans="3:29" x14ac:dyDescent="0.25">
      <c r="C1579" s="48"/>
      <c r="D1579" s="45" t="s">
        <v>8280</v>
      </c>
      <c r="F1579" s="46"/>
      <c r="Q1579" s="137">
        <f>VLOOKUP(TAB_ESTOQUE[[#This Row],[Codigo]],TAB_ENTRADA[[Cod_2_Entrada]:[TOTAL_ENTRADA]],5,FALSE)-VLOOKUP(TAB_ESTOQUE[[#This Row],[Codigo]],TAB_SAIDA[[COD_2_SAIDA]:[TOTAL_SAIDA]],5,FALSE)</f>
        <v>0</v>
      </c>
      <c r="S1579" s="46"/>
      <c r="T1579" s="102"/>
      <c r="U1579" s="103">
        <f>TAB_ESTOQUE[[#This Row],[Valor Unitario Estimado]]*TAB_ESTOQUE[[#This Row],[Estoque]]</f>
        <v>0</v>
      </c>
      <c r="V1579" s="103"/>
      <c r="AA1579" s="138"/>
      <c r="AB1579" s="104" t="str">
        <f>IF(TAB_ESTOQUE[[#This Row],[Estoque]]=0,"Estoque Não Conforme",IF(TAB_ESTOQUE[[#This Row],[Estoque]]&gt;=TAB_ESTOQUE[[#This Row],[Mínimo]],"Estoque Conforme",IF(TAB_ESTOQUE[[#This Row],[Estoque]]&lt;TAB_ESTOQUE[[#This Row],[Mínimo]],"Estoque em Nivel Minimo")))</f>
        <v>Estoque Não Conforme</v>
      </c>
      <c r="AC1579" s="104"/>
    </row>
    <row r="1580" spans="3:29" x14ac:dyDescent="0.25">
      <c r="C1580" s="48"/>
      <c r="D1580" s="45" t="s">
        <v>8306</v>
      </c>
      <c r="F1580" s="46"/>
      <c r="I1580" s="106"/>
      <c r="Q1580" s="137">
        <f>VLOOKUP(TAB_ESTOQUE[[#This Row],[Codigo]],TAB_ENTRADA[[Cod_2_Entrada]:[TOTAL_ENTRADA]],5,FALSE)-VLOOKUP(TAB_ESTOQUE[[#This Row],[Codigo]],TAB_SAIDA[[COD_2_SAIDA]:[TOTAL_SAIDA]],5,FALSE)</f>
        <v>0</v>
      </c>
      <c r="S1580" s="46"/>
      <c r="T1580" s="102"/>
      <c r="U1580" s="103">
        <f>TAB_ESTOQUE[[#This Row],[Valor Unitario Estimado]]*TAB_ESTOQUE[[#This Row],[Estoque]]</f>
        <v>0</v>
      </c>
      <c r="V1580" s="103"/>
      <c r="AA1580" s="138"/>
      <c r="AB1580" s="104" t="str">
        <f>IF(TAB_ESTOQUE[[#This Row],[Estoque]]=0,"Estoque Não Conforme",IF(TAB_ESTOQUE[[#This Row],[Estoque]]&gt;=TAB_ESTOQUE[[#This Row],[Mínimo]],"Estoque Conforme",IF(TAB_ESTOQUE[[#This Row],[Estoque]]&lt;TAB_ESTOQUE[[#This Row],[Mínimo]],"Estoque em Nivel Minimo")))</f>
        <v>Estoque Não Conforme</v>
      </c>
      <c r="AC1580" s="104"/>
    </row>
    <row r="1581" spans="3:29" x14ac:dyDescent="0.25">
      <c r="C1581" s="48"/>
      <c r="D1581" s="45" t="s">
        <v>8309</v>
      </c>
      <c r="E1581" s="46"/>
      <c r="F1581" s="46"/>
      <c r="I1581" s="47"/>
      <c r="Q1581" s="137">
        <f>VLOOKUP(TAB_ESTOQUE[[#This Row],[Codigo]],TAB_ENTRADA[[Cod_2_Entrada]:[TOTAL_ENTRADA]],5,FALSE)-VLOOKUP(TAB_ESTOQUE[[#This Row],[Codigo]],TAB_SAIDA[[COD_2_SAIDA]:[TOTAL_SAIDA]],5,FALSE)</f>
        <v>0</v>
      </c>
      <c r="S1581" s="46"/>
      <c r="T1581" s="102"/>
      <c r="U1581" s="103">
        <f>TAB_ESTOQUE[[#This Row],[Valor Unitario Estimado]]*TAB_ESTOQUE[[#This Row],[Estoque]]</f>
        <v>0</v>
      </c>
      <c r="V1581" s="103"/>
      <c r="AA1581" s="138"/>
      <c r="AB1581" s="104" t="str">
        <f>IF(TAB_ESTOQUE[[#This Row],[Estoque]]=0,"Estoque Não Conforme",IF(TAB_ESTOQUE[[#This Row],[Estoque]]&gt;=TAB_ESTOQUE[[#This Row],[Mínimo]],"Estoque Conforme",IF(TAB_ESTOQUE[[#This Row],[Estoque]]&lt;TAB_ESTOQUE[[#This Row],[Mínimo]],"Estoque em Nivel Minimo")))</f>
        <v>Estoque Não Conforme</v>
      </c>
      <c r="AC1581" s="104"/>
    </row>
    <row r="1582" spans="3:29" x14ac:dyDescent="0.25">
      <c r="C1582" s="48"/>
      <c r="D1582" s="45" t="s">
        <v>8330</v>
      </c>
      <c r="F1582" s="46"/>
      <c r="Q1582" s="137">
        <f>VLOOKUP(TAB_ESTOQUE[[#This Row],[Codigo]],TAB_ENTRADA[[Cod_2_Entrada]:[TOTAL_ENTRADA]],5,FALSE)-VLOOKUP(TAB_ESTOQUE[[#This Row],[Codigo]],TAB_SAIDA[[COD_2_SAIDA]:[TOTAL_SAIDA]],5,FALSE)</f>
        <v>0</v>
      </c>
      <c r="S1582" s="46"/>
      <c r="T1582" s="102"/>
      <c r="U1582" s="103">
        <f>TAB_ESTOQUE[[#This Row],[Valor Unitario Estimado]]*TAB_ESTOQUE[[#This Row],[Estoque]]</f>
        <v>0</v>
      </c>
      <c r="V1582" s="103"/>
      <c r="AA1582" s="138"/>
      <c r="AB1582" s="104" t="str">
        <f>IF(TAB_ESTOQUE[[#This Row],[Estoque]]=0,"Estoque Não Conforme",IF(TAB_ESTOQUE[[#This Row],[Estoque]]&gt;=TAB_ESTOQUE[[#This Row],[Mínimo]],"Estoque Conforme",IF(TAB_ESTOQUE[[#This Row],[Estoque]]&lt;TAB_ESTOQUE[[#This Row],[Mínimo]],"Estoque em Nivel Minimo")))</f>
        <v>Estoque Não Conforme</v>
      </c>
      <c r="AC1582" s="104"/>
    </row>
    <row r="1583" spans="3:29" x14ac:dyDescent="0.25">
      <c r="C1583" s="48"/>
      <c r="D1583" s="45" t="s">
        <v>8333</v>
      </c>
      <c r="E1583" s="46"/>
      <c r="F1583" s="46"/>
      <c r="Q1583" s="137">
        <f>VLOOKUP(TAB_ESTOQUE[[#This Row],[Codigo]],TAB_ENTRADA[[Cod_2_Entrada]:[TOTAL_ENTRADA]],5,FALSE)-VLOOKUP(TAB_ESTOQUE[[#This Row],[Codigo]],TAB_SAIDA[[COD_2_SAIDA]:[TOTAL_SAIDA]],5,FALSE)</f>
        <v>0</v>
      </c>
      <c r="S1583" s="46"/>
      <c r="T1583" s="102"/>
      <c r="U1583" s="103">
        <f>TAB_ESTOQUE[[#This Row],[Valor Unitario Estimado]]*TAB_ESTOQUE[[#This Row],[Estoque]]</f>
        <v>0</v>
      </c>
      <c r="V1583" s="103"/>
      <c r="AA1583" s="138"/>
      <c r="AB1583" s="104" t="str">
        <f>IF(TAB_ESTOQUE[[#This Row],[Estoque]]=0,"Estoque Não Conforme",IF(TAB_ESTOQUE[[#This Row],[Estoque]]&gt;=TAB_ESTOQUE[[#This Row],[Mínimo]],"Estoque Conforme",IF(TAB_ESTOQUE[[#This Row],[Estoque]]&lt;TAB_ESTOQUE[[#This Row],[Mínimo]],"Estoque em Nivel Minimo")))</f>
        <v>Estoque Não Conforme</v>
      </c>
      <c r="AC1583" s="104"/>
    </row>
    <row r="1584" spans="3:29" x14ac:dyDescent="0.25">
      <c r="C1584" s="48"/>
      <c r="D1584" s="45" t="s">
        <v>8335</v>
      </c>
      <c r="E1584" s="46"/>
      <c r="F1584" s="46"/>
      <c r="I1584" s="106"/>
      <c r="Q1584" s="137">
        <f>VLOOKUP(TAB_ESTOQUE[[#This Row],[Codigo]],TAB_ENTRADA[[Cod_2_Entrada]:[TOTAL_ENTRADA]],5,FALSE)-VLOOKUP(TAB_ESTOQUE[[#This Row],[Codigo]],TAB_SAIDA[[COD_2_SAIDA]:[TOTAL_SAIDA]],5,FALSE)</f>
        <v>0</v>
      </c>
      <c r="S1584" s="46"/>
      <c r="T1584" s="102"/>
      <c r="U1584" s="103">
        <f>TAB_ESTOQUE[[#This Row],[Valor Unitario Estimado]]*TAB_ESTOQUE[[#This Row],[Estoque]]</f>
        <v>0</v>
      </c>
      <c r="V1584" s="103"/>
      <c r="AA1584" s="138"/>
      <c r="AB1584" s="104" t="str">
        <f>IF(TAB_ESTOQUE[[#This Row],[Estoque]]=0,"Estoque Não Conforme",IF(TAB_ESTOQUE[[#This Row],[Estoque]]&gt;=TAB_ESTOQUE[[#This Row],[Mínimo]],"Estoque Conforme",IF(TAB_ESTOQUE[[#This Row],[Estoque]]&lt;TAB_ESTOQUE[[#This Row],[Mínimo]],"Estoque em Nivel Minimo")))</f>
        <v>Estoque Não Conforme</v>
      </c>
      <c r="AC1584" s="104"/>
    </row>
    <row r="1585" spans="3:29" x14ac:dyDescent="0.25">
      <c r="C1585" s="48"/>
      <c r="D1585" s="45" t="s">
        <v>8341</v>
      </c>
      <c r="F1585" s="46"/>
      <c r="I1585" s="47"/>
      <c r="Q1585" s="137">
        <f>VLOOKUP(TAB_ESTOQUE[[#This Row],[Codigo]],TAB_ENTRADA[[Cod_2_Entrada]:[TOTAL_ENTRADA]],5,FALSE)-VLOOKUP(TAB_ESTOQUE[[#This Row],[Codigo]],TAB_SAIDA[[COD_2_SAIDA]:[TOTAL_SAIDA]],5,FALSE)</f>
        <v>0</v>
      </c>
      <c r="S1585" s="46"/>
      <c r="T1585" s="102"/>
      <c r="U1585" s="103">
        <f>TAB_ESTOQUE[[#This Row],[Valor Unitario Estimado]]*TAB_ESTOQUE[[#This Row],[Estoque]]</f>
        <v>0</v>
      </c>
      <c r="V1585" s="103"/>
      <c r="AA1585" s="138"/>
      <c r="AB1585" s="104" t="str">
        <f>IF(TAB_ESTOQUE[[#This Row],[Estoque]]=0,"Estoque Não Conforme",IF(TAB_ESTOQUE[[#This Row],[Estoque]]&gt;=TAB_ESTOQUE[[#This Row],[Mínimo]],"Estoque Conforme",IF(TAB_ESTOQUE[[#This Row],[Estoque]]&lt;TAB_ESTOQUE[[#This Row],[Mínimo]],"Estoque em Nivel Minimo")))</f>
        <v>Estoque Não Conforme</v>
      </c>
      <c r="AC1585" s="104"/>
    </row>
    <row r="1586" spans="3:29" x14ac:dyDescent="0.25">
      <c r="C1586" s="48"/>
      <c r="D1586" s="45" t="s">
        <v>8348</v>
      </c>
      <c r="F1586" s="46"/>
      <c r="I1586" s="106"/>
      <c r="Q1586" s="137">
        <f>VLOOKUP(TAB_ESTOQUE[[#This Row],[Codigo]],TAB_ENTRADA[[Cod_2_Entrada]:[TOTAL_ENTRADA]],5,FALSE)-VLOOKUP(TAB_ESTOQUE[[#This Row],[Codigo]],TAB_SAIDA[[COD_2_SAIDA]:[TOTAL_SAIDA]],5,FALSE)</f>
        <v>0</v>
      </c>
      <c r="S1586" s="46"/>
      <c r="T1586" s="102"/>
      <c r="U1586" s="103">
        <f>TAB_ESTOQUE[[#This Row],[Valor Unitario Estimado]]*TAB_ESTOQUE[[#This Row],[Estoque]]</f>
        <v>0</v>
      </c>
      <c r="V1586" s="103"/>
      <c r="AA1586" s="138"/>
      <c r="AB1586" s="104" t="str">
        <f>IF(TAB_ESTOQUE[[#This Row],[Estoque]]=0,"Estoque Não Conforme",IF(TAB_ESTOQUE[[#This Row],[Estoque]]&gt;=TAB_ESTOQUE[[#This Row],[Mínimo]],"Estoque Conforme",IF(TAB_ESTOQUE[[#This Row],[Estoque]]&lt;TAB_ESTOQUE[[#This Row],[Mínimo]],"Estoque em Nivel Minimo")))</f>
        <v>Estoque Não Conforme</v>
      </c>
      <c r="AC1586" s="104"/>
    </row>
    <row r="1587" spans="3:29" x14ac:dyDescent="0.25">
      <c r="C1587" s="48"/>
      <c r="D1587" s="45" t="s">
        <v>8351</v>
      </c>
      <c r="F1587" s="46"/>
      <c r="I1587" s="47"/>
      <c r="Q1587" s="137">
        <f>VLOOKUP(TAB_ESTOQUE[[#This Row],[Codigo]],TAB_ENTRADA[[Cod_2_Entrada]:[TOTAL_ENTRADA]],5,FALSE)-VLOOKUP(TAB_ESTOQUE[[#This Row],[Codigo]],TAB_SAIDA[[COD_2_SAIDA]:[TOTAL_SAIDA]],5,FALSE)</f>
        <v>0</v>
      </c>
      <c r="S1587" s="46"/>
      <c r="T1587" s="102"/>
      <c r="U1587" s="103">
        <f>TAB_ESTOQUE[[#This Row],[Valor Unitario Estimado]]*TAB_ESTOQUE[[#This Row],[Estoque]]</f>
        <v>0</v>
      </c>
      <c r="V1587" s="103"/>
      <c r="AA1587" s="138"/>
      <c r="AB1587" s="104" t="str">
        <f>IF(TAB_ESTOQUE[[#This Row],[Estoque]]=0,"Estoque Não Conforme",IF(TAB_ESTOQUE[[#This Row],[Estoque]]&gt;=TAB_ESTOQUE[[#This Row],[Mínimo]],"Estoque Conforme",IF(TAB_ESTOQUE[[#This Row],[Estoque]]&lt;TAB_ESTOQUE[[#This Row],[Mínimo]],"Estoque em Nivel Minimo")))</f>
        <v>Estoque Não Conforme</v>
      </c>
      <c r="AC1587" s="104"/>
    </row>
    <row r="1588" spans="3:29" x14ac:dyDescent="0.25">
      <c r="C1588" s="48"/>
      <c r="D1588" s="45" t="s">
        <v>8355</v>
      </c>
      <c r="F1588" s="46"/>
      <c r="I1588" s="106"/>
      <c r="Q1588" s="137">
        <f>VLOOKUP(TAB_ESTOQUE[[#This Row],[Codigo]],TAB_ENTRADA[[Cod_2_Entrada]:[TOTAL_ENTRADA]],5,FALSE)-VLOOKUP(TAB_ESTOQUE[[#This Row],[Codigo]],TAB_SAIDA[[COD_2_SAIDA]:[TOTAL_SAIDA]],5,FALSE)</f>
        <v>0</v>
      </c>
      <c r="S1588" s="46"/>
      <c r="T1588" s="102"/>
      <c r="U1588" s="103">
        <f>TAB_ESTOQUE[[#This Row],[Valor Unitario Estimado]]*TAB_ESTOQUE[[#This Row],[Estoque]]</f>
        <v>0</v>
      </c>
      <c r="V1588" s="103"/>
      <c r="AA1588" s="138"/>
      <c r="AB1588" s="104" t="str">
        <f>IF(TAB_ESTOQUE[[#This Row],[Estoque]]=0,"Estoque Não Conforme",IF(TAB_ESTOQUE[[#This Row],[Estoque]]&gt;=TAB_ESTOQUE[[#This Row],[Mínimo]],"Estoque Conforme",IF(TAB_ESTOQUE[[#This Row],[Estoque]]&lt;TAB_ESTOQUE[[#This Row],[Mínimo]],"Estoque em Nivel Minimo")))</f>
        <v>Estoque Não Conforme</v>
      </c>
      <c r="AC1588" s="104"/>
    </row>
    <row r="1589" spans="3:29" x14ac:dyDescent="0.25">
      <c r="C1589" s="48"/>
      <c r="D1589" s="45" t="s">
        <v>8361</v>
      </c>
      <c r="F1589" s="46"/>
      <c r="I1589" s="47"/>
      <c r="Q1589" s="137">
        <f>VLOOKUP(TAB_ESTOQUE[[#This Row],[Codigo]],TAB_ENTRADA[[Cod_2_Entrada]:[TOTAL_ENTRADA]],5,FALSE)-VLOOKUP(TAB_ESTOQUE[[#This Row],[Codigo]],TAB_SAIDA[[COD_2_SAIDA]:[TOTAL_SAIDA]],5,FALSE)</f>
        <v>0</v>
      </c>
      <c r="S1589" s="46"/>
      <c r="T1589" s="102"/>
      <c r="U1589" s="103">
        <f>TAB_ESTOQUE[[#This Row],[Valor Unitario Estimado]]*TAB_ESTOQUE[[#This Row],[Estoque]]</f>
        <v>0</v>
      </c>
      <c r="V1589" s="103"/>
      <c r="AA1589" s="138"/>
      <c r="AB1589" s="104" t="str">
        <f>IF(TAB_ESTOQUE[[#This Row],[Estoque]]=0,"Estoque Não Conforme",IF(TAB_ESTOQUE[[#This Row],[Estoque]]&gt;=TAB_ESTOQUE[[#This Row],[Mínimo]],"Estoque Conforme",IF(TAB_ESTOQUE[[#This Row],[Estoque]]&lt;TAB_ESTOQUE[[#This Row],[Mínimo]],"Estoque em Nivel Minimo")))</f>
        <v>Estoque Não Conforme</v>
      </c>
      <c r="AC1589" s="104"/>
    </row>
    <row r="1590" spans="3:29" x14ac:dyDescent="0.25">
      <c r="C1590" s="48"/>
      <c r="D1590" s="45" t="s">
        <v>8364</v>
      </c>
      <c r="F1590" s="46"/>
      <c r="I1590" s="106"/>
      <c r="Q1590" s="137">
        <f>VLOOKUP(TAB_ESTOQUE[[#This Row],[Codigo]],TAB_ENTRADA[[Cod_2_Entrada]:[TOTAL_ENTRADA]],5,FALSE)-VLOOKUP(TAB_ESTOQUE[[#This Row],[Codigo]],TAB_SAIDA[[COD_2_SAIDA]:[TOTAL_SAIDA]],5,FALSE)</f>
        <v>0</v>
      </c>
      <c r="S1590" s="46"/>
      <c r="T1590" s="102"/>
      <c r="U1590" s="103">
        <f>TAB_ESTOQUE[[#This Row],[Valor Unitario Estimado]]*TAB_ESTOQUE[[#This Row],[Estoque]]</f>
        <v>0</v>
      </c>
      <c r="V1590" s="103"/>
      <c r="AA1590" s="138"/>
      <c r="AB1590" s="104" t="str">
        <f>IF(TAB_ESTOQUE[[#This Row],[Estoque]]=0,"Estoque Não Conforme",IF(TAB_ESTOQUE[[#This Row],[Estoque]]&gt;=TAB_ESTOQUE[[#This Row],[Mínimo]],"Estoque Conforme",IF(TAB_ESTOQUE[[#This Row],[Estoque]]&lt;TAB_ESTOQUE[[#This Row],[Mínimo]],"Estoque em Nivel Minimo")))</f>
        <v>Estoque Não Conforme</v>
      </c>
      <c r="AC1590" s="104"/>
    </row>
    <row r="1591" spans="3:29" x14ac:dyDescent="0.25">
      <c r="C1591" s="48"/>
      <c r="D1591" s="45" t="s">
        <v>8366</v>
      </c>
      <c r="F1591" s="46"/>
      <c r="I1591" s="47"/>
      <c r="Q1591" s="137">
        <f>VLOOKUP(TAB_ESTOQUE[[#This Row],[Codigo]],TAB_ENTRADA[[Cod_2_Entrada]:[TOTAL_ENTRADA]],5,FALSE)-VLOOKUP(TAB_ESTOQUE[[#This Row],[Codigo]],TAB_SAIDA[[COD_2_SAIDA]:[TOTAL_SAIDA]],5,FALSE)</f>
        <v>0</v>
      </c>
      <c r="S1591" s="46"/>
      <c r="T1591" s="102"/>
      <c r="U1591" s="103">
        <f>TAB_ESTOQUE[[#This Row],[Valor Unitario Estimado]]*TAB_ESTOQUE[[#This Row],[Estoque]]</f>
        <v>0</v>
      </c>
      <c r="V1591" s="103"/>
      <c r="AA1591" s="138"/>
      <c r="AB1591" s="104" t="str">
        <f>IF(TAB_ESTOQUE[[#This Row],[Estoque]]=0,"Estoque Não Conforme",IF(TAB_ESTOQUE[[#This Row],[Estoque]]&gt;=TAB_ESTOQUE[[#This Row],[Mínimo]],"Estoque Conforme",IF(TAB_ESTOQUE[[#This Row],[Estoque]]&lt;TAB_ESTOQUE[[#This Row],[Mínimo]],"Estoque em Nivel Minimo")))</f>
        <v>Estoque Não Conforme</v>
      </c>
      <c r="AC1591" s="104"/>
    </row>
    <row r="1592" spans="3:29" x14ac:dyDescent="0.25">
      <c r="C1592" s="48"/>
      <c r="D1592" s="45" t="s">
        <v>8373</v>
      </c>
      <c r="E1592" s="46"/>
      <c r="F1592" s="46"/>
      <c r="Q1592" s="137">
        <f>VLOOKUP(TAB_ESTOQUE[[#This Row],[Codigo]],TAB_ENTRADA[[Cod_2_Entrada]:[TOTAL_ENTRADA]],5,FALSE)-VLOOKUP(TAB_ESTOQUE[[#This Row],[Codigo]],TAB_SAIDA[[COD_2_SAIDA]:[TOTAL_SAIDA]],5,FALSE)</f>
        <v>0</v>
      </c>
      <c r="S1592" s="46"/>
      <c r="T1592" s="102"/>
      <c r="U1592" s="103">
        <f>TAB_ESTOQUE[[#This Row],[Valor Unitario Estimado]]*TAB_ESTOQUE[[#This Row],[Estoque]]</f>
        <v>0</v>
      </c>
      <c r="V1592" s="103"/>
      <c r="AA1592" s="138"/>
      <c r="AB1592" s="104" t="str">
        <f>IF(TAB_ESTOQUE[[#This Row],[Estoque]]=0,"Estoque Não Conforme",IF(TAB_ESTOQUE[[#This Row],[Estoque]]&gt;=TAB_ESTOQUE[[#This Row],[Mínimo]],"Estoque Conforme",IF(TAB_ESTOQUE[[#This Row],[Estoque]]&lt;TAB_ESTOQUE[[#This Row],[Mínimo]],"Estoque em Nivel Minimo")))</f>
        <v>Estoque Não Conforme</v>
      </c>
      <c r="AC1592" s="104"/>
    </row>
    <row r="1593" spans="3:29" x14ac:dyDescent="0.25">
      <c r="C1593" s="48"/>
      <c r="D1593" s="45" t="s">
        <v>8379</v>
      </c>
      <c r="F1593" s="46"/>
      <c r="Q1593" s="137">
        <f>VLOOKUP(TAB_ESTOQUE[[#This Row],[Codigo]],TAB_ENTRADA[[Cod_2_Entrada]:[TOTAL_ENTRADA]],5,FALSE)-VLOOKUP(TAB_ESTOQUE[[#This Row],[Codigo]],TAB_SAIDA[[COD_2_SAIDA]:[TOTAL_SAIDA]],5,FALSE)</f>
        <v>0</v>
      </c>
      <c r="S1593" s="46"/>
      <c r="T1593" s="102"/>
      <c r="U1593" s="103">
        <f>TAB_ESTOQUE[[#This Row],[Valor Unitario Estimado]]*TAB_ESTOQUE[[#This Row],[Estoque]]</f>
        <v>0</v>
      </c>
      <c r="V1593" s="103"/>
      <c r="AA1593" s="138"/>
      <c r="AB1593" s="104" t="str">
        <f>IF(TAB_ESTOQUE[[#This Row],[Estoque]]=0,"Estoque Não Conforme",IF(TAB_ESTOQUE[[#This Row],[Estoque]]&gt;=TAB_ESTOQUE[[#This Row],[Mínimo]],"Estoque Conforme",IF(TAB_ESTOQUE[[#This Row],[Estoque]]&lt;TAB_ESTOQUE[[#This Row],[Mínimo]],"Estoque em Nivel Minimo")))</f>
        <v>Estoque Não Conforme</v>
      </c>
      <c r="AC1593" s="104"/>
    </row>
    <row r="1594" spans="3:29" x14ac:dyDescent="0.25">
      <c r="C1594" s="48"/>
      <c r="D1594" s="45" t="s">
        <v>8384</v>
      </c>
      <c r="E1594" s="46"/>
      <c r="F1594" s="46"/>
      <c r="O1594" s="116"/>
      <c r="Q1594" s="137">
        <f>VLOOKUP(TAB_ESTOQUE[[#This Row],[Codigo]],TAB_ENTRADA[[Cod_2_Entrada]:[TOTAL_ENTRADA]],5,FALSE)-VLOOKUP(TAB_ESTOQUE[[#This Row],[Codigo]],TAB_SAIDA[[COD_2_SAIDA]:[TOTAL_SAIDA]],5,FALSE)</f>
        <v>0</v>
      </c>
      <c r="S1594" s="46"/>
      <c r="T1594" s="102"/>
      <c r="U1594" s="103">
        <f>TAB_ESTOQUE[[#This Row],[Valor Unitario Estimado]]*TAB_ESTOQUE[[#This Row],[Estoque]]</f>
        <v>0</v>
      </c>
      <c r="V1594" s="103"/>
      <c r="AA1594" s="138"/>
      <c r="AB1594" s="104" t="str">
        <f>IF(TAB_ESTOQUE[[#This Row],[Estoque]]=0,"Estoque Não Conforme",IF(TAB_ESTOQUE[[#This Row],[Estoque]]&gt;=TAB_ESTOQUE[[#This Row],[Mínimo]],"Estoque Conforme",IF(TAB_ESTOQUE[[#This Row],[Estoque]]&lt;TAB_ESTOQUE[[#This Row],[Mínimo]],"Estoque em Nivel Minimo")))</f>
        <v>Estoque Não Conforme</v>
      </c>
      <c r="AC1594" s="104"/>
    </row>
    <row r="1595" spans="3:29" x14ac:dyDescent="0.25">
      <c r="C1595" s="48"/>
      <c r="D1595" s="45" t="s">
        <v>8385</v>
      </c>
      <c r="E1595" s="46"/>
      <c r="F1595" s="46"/>
      <c r="O1595" s="169"/>
      <c r="Q1595" s="137">
        <f>VLOOKUP(TAB_ESTOQUE[[#This Row],[Codigo]],TAB_ENTRADA[[Cod_2_Entrada]:[TOTAL_ENTRADA]],5,FALSE)-VLOOKUP(TAB_ESTOQUE[[#This Row],[Codigo]],TAB_SAIDA[[COD_2_SAIDA]:[TOTAL_SAIDA]],5,FALSE)</f>
        <v>0</v>
      </c>
      <c r="S1595" s="46"/>
      <c r="T1595" s="102"/>
      <c r="U1595" s="103">
        <f>TAB_ESTOQUE[[#This Row],[Valor Unitario Estimado]]*TAB_ESTOQUE[[#This Row],[Estoque]]</f>
        <v>0</v>
      </c>
      <c r="V1595" s="103"/>
      <c r="AA1595" s="138"/>
      <c r="AB1595" s="104" t="str">
        <f>IF(TAB_ESTOQUE[[#This Row],[Estoque]]=0,"Estoque Não Conforme",IF(TAB_ESTOQUE[[#This Row],[Estoque]]&gt;=TAB_ESTOQUE[[#This Row],[Mínimo]],"Estoque Conforme",IF(TAB_ESTOQUE[[#This Row],[Estoque]]&lt;TAB_ESTOQUE[[#This Row],[Mínimo]],"Estoque em Nivel Minimo")))</f>
        <v>Estoque Não Conforme</v>
      </c>
      <c r="AC1595" s="104"/>
    </row>
    <row r="1596" spans="3:29" x14ac:dyDescent="0.25">
      <c r="C1596" s="48"/>
      <c r="D1596" s="45" t="s">
        <v>8414</v>
      </c>
      <c r="E1596" s="46"/>
      <c r="F1596" s="46"/>
      <c r="O1596" s="116"/>
      <c r="Q1596" s="137">
        <f>VLOOKUP(TAB_ESTOQUE[[#This Row],[Codigo]],TAB_ENTRADA[[Cod_2_Entrada]:[TOTAL_ENTRADA]],5,FALSE)-VLOOKUP(TAB_ESTOQUE[[#This Row],[Codigo]],TAB_SAIDA[[COD_2_SAIDA]:[TOTAL_SAIDA]],5,FALSE)</f>
        <v>0</v>
      </c>
      <c r="S1596" s="46"/>
      <c r="T1596" s="102"/>
      <c r="U1596" s="103">
        <f>TAB_ESTOQUE[[#This Row],[Valor Unitario Estimado]]*TAB_ESTOQUE[[#This Row],[Estoque]]</f>
        <v>0</v>
      </c>
      <c r="V1596" s="103"/>
      <c r="AA1596" s="138"/>
      <c r="AB1596" s="104" t="str">
        <f>IF(TAB_ESTOQUE[[#This Row],[Estoque]]=0,"Estoque Não Conforme",IF(TAB_ESTOQUE[[#This Row],[Estoque]]&gt;=TAB_ESTOQUE[[#This Row],[Mínimo]],"Estoque Conforme",IF(TAB_ESTOQUE[[#This Row],[Estoque]]&lt;TAB_ESTOQUE[[#This Row],[Mínimo]],"Estoque em Nivel Minimo")))</f>
        <v>Estoque Não Conforme</v>
      </c>
      <c r="AC1596" s="104"/>
    </row>
    <row r="1597" spans="3:29" x14ac:dyDescent="0.25">
      <c r="C1597" s="48"/>
      <c r="D1597" s="45" t="s">
        <v>8415</v>
      </c>
      <c r="E1597" s="46"/>
      <c r="F1597" s="46"/>
      <c r="O1597" s="51"/>
      <c r="Q1597" s="137">
        <f>VLOOKUP(TAB_ESTOQUE[[#This Row],[Codigo]],TAB_ENTRADA[[Cod_2_Entrada]:[TOTAL_ENTRADA]],5,FALSE)-VLOOKUP(TAB_ESTOQUE[[#This Row],[Codigo]],TAB_SAIDA[[COD_2_SAIDA]:[TOTAL_SAIDA]],5,FALSE)</f>
        <v>0</v>
      </c>
      <c r="S1597" s="46"/>
      <c r="T1597" s="102"/>
      <c r="U1597" s="103">
        <f>TAB_ESTOQUE[[#This Row],[Valor Unitario Estimado]]*TAB_ESTOQUE[[#This Row],[Estoque]]</f>
        <v>0</v>
      </c>
      <c r="V1597" s="103"/>
      <c r="AA1597" s="138"/>
      <c r="AB1597" s="104" t="str">
        <f>IF(TAB_ESTOQUE[[#This Row],[Estoque]]=0,"Estoque Não Conforme",IF(TAB_ESTOQUE[[#This Row],[Estoque]]&gt;=TAB_ESTOQUE[[#This Row],[Mínimo]],"Estoque Conforme",IF(TAB_ESTOQUE[[#This Row],[Estoque]]&lt;TAB_ESTOQUE[[#This Row],[Mínimo]],"Estoque em Nivel Minimo")))</f>
        <v>Estoque Não Conforme</v>
      </c>
      <c r="AC1597" s="104"/>
    </row>
    <row r="1598" spans="3:29" x14ac:dyDescent="0.25">
      <c r="C1598" s="48"/>
      <c r="D1598" s="45" t="s">
        <v>8416</v>
      </c>
      <c r="E1598" s="46"/>
      <c r="F1598" s="46"/>
      <c r="O1598" s="116"/>
      <c r="Q1598" s="137">
        <f>VLOOKUP(TAB_ESTOQUE[[#This Row],[Codigo]],TAB_ENTRADA[[Cod_2_Entrada]:[TOTAL_ENTRADA]],5,FALSE)-VLOOKUP(TAB_ESTOQUE[[#This Row],[Codigo]],TAB_SAIDA[[COD_2_SAIDA]:[TOTAL_SAIDA]],5,FALSE)</f>
        <v>0</v>
      </c>
      <c r="S1598" s="46"/>
      <c r="T1598" s="102"/>
      <c r="U1598" s="103">
        <f>TAB_ESTOQUE[[#This Row],[Valor Unitario Estimado]]*TAB_ESTOQUE[[#This Row],[Estoque]]</f>
        <v>0</v>
      </c>
      <c r="V1598" s="103"/>
      <c r="AA1598" s="138"/>
      <c r="AB1598" s="104" t="str">
        <f>IF(TAB_ESTOQUE[[#This Row],[Estoque]]=0,"Estoque Não Conforme",IF(TAB_ESTOQUE[[#This Row],[Estoque]]&gt;=TAB_ESTOQUE[[#This Row],[Mínimo]],"Estoque Conforme",IF(TAB_ESTOQUE[[#This Row],[Estoque]]&lt;TAB_ESTOQUE[[#This Row],[Mínimo]],"Estoque em Nivel Minimo")))</f>
        <v>Estoque Não Conforme</v>
      </c>
      <c r="AC1598" s="104"/>
    </row>
    <row r="1599" spans="3:29" x14ac:dyDescent="0.25">
      <c r="C1599" s="48"/>
      <c r="D1599" s="45" t="s">
        <v>8417</v>
      </c>
      <c r="E1599" s="46"/>
      <c r="F1599" s="46"/>
      <c r="O1599" s="51"/>
      <c r="Q1599" s="137">
        <f>VLOOKUP(TAB_ESTOQUE[[#This Row],[Codigo]],TAB_ENTRADA[[Cod_2_Entrada]:[TOTAL_ENTRADA]],5,FALSE)-VLOOKUP(TAB_ESTOQUE[[#This Row],[Codigo]],TAB_SAIDA[[COD_2_SAIDA]:[TOTAL_SAIDA]],5,FALSE)</f>
        <v>0</v>
      </c>
      <c r="S1599" s="46"/>
      <c r="T1599" s="102"/>
      <c r="U1599" s="103">
        <f>TAB_ESTOQUE[[#This Row],[Valor Unitario Estimado]]*TAB_ESTOQUE[[#This Row],[Estoque]]</f>
        <v>0</v>
      </c>
      <c r="V1599" s="103"/>
      <c r="AA1599" s="138"/>
      <c r="AB1599" s="104" t="str">
        <f>IF(TAB_ESTOQUE[[#This Row],[Estoque]]=0,"Estoque Não Conforme",IF(TAB_ESTOQUE[[#This Row],[Estoque]]&gt;=TAB_ESTOQUE[[#This Row],[Mínimo]],"Estoque Conforme",IF(TAB_ESTOQUE[[#This Row],[Estoque]]&lt;TAB_ESTOQUE[[#This Row],[Mínimo]],"Estoque em Nivel Minimo")))</f>
        <v>Estoque Não Conforme</v>
      </c>
      <c r="AC1599" s="104"/>
    </row>
    <row r="1600" spans="3:29" x14ac:dyDescent="0.25">
      <c r="C1600" s="48"/>
      <c r="D1600" s="45" t="s">
        <v>8423</v>
      </c>
      <c r="E1600" s="46"/>
      <c r="F1600" s="46"/>
      <c r="O1600" s="116"/>
      <c r="Q1600" s="137">
        <f>VLOOKUP(TAB_ESTOQUE[[#This Row],[Codigo]],TAB_ENTRADA[[Cod_2_Entrada]:[TOTAL_ENTRADA]],5,FALSE)-VLOOKUP(TAB_ESTOQUE[[#This Row],[Codigo]],TAB_SAIDA[[COD_2_SAIDA]:[TOTAL_SAIDA]],5,FALSE)</f>
        <v>0</v>
      </c>
      <c r="S1600" s="46"/>
      <c r="T1600" s="102"/>
      <c r="U1600" s="103">
        <f>TAB_ESTOQUE[[#This Row],[Valor Unitario Estimado]]*TAB_ESTOQUE[[#This Row],[Estoque]]</f>
        <v>0</v>
      </c>
      <c r="V1600" s="103"/>
      <c r="AA1600" s="138"/>
      <c r="AB1600" s="104" t="str">
        <f>IF(TAB_ESTOQUE[[#This Row],[Estoque]]=0,"Estoque Não Conforme",IF(TAB_ESTOQUE[[#This Row],[Estoque]]&gt;=TAB_ESTOQUE[[#This Row],[Mínimo]],"Estoque Conforme",IF(TAB_ESTOQUE[[#This Row],[Estoque]]&lt;TAB_ESTOQUE[[#This Row],[Mínimo]],"Estoque em Nivel Minimo")))</f>
        <v>Estoque Não Conforme</v>
      </c>
      <c r="AC1600" s="104"/>
    </row>
    <row r="1601" spans="3:29" x14ac:dyDescent="0.25">
      <c r="C1601" s="48"/>
      <c r="D1601" s="45" t="s">
        <v>8426</v>
      </c>
      <c r="E1601" s="46"/>
      <c r="F1601" s="46"/>
      <c r="O1601" s="51"/>
      <c r="Q1601" s="137">
        <f>VLOOKUP(TAB_ESTOQUE[[#This Row],[Codigo]],TAB_ENTRADA[[Cod_2_Entrada]:[TOTAL_ENTRADA]],5,FALSE)-VLOOKUP(TAB_ESTOQUE[[#This Row],[Codigo]],TAB_SAIDA[[COD_2_SAIDA]:[TOTAL_SAIDA]],5,FALSE)</f>
        <v>0</v>
      </c>
      <c r="S1601" s="46"/>
      <c r="T1601" s="102"/>
      <c r="U1601" s="103">
        <f>TAB_ESTOQUE[[#This Row],[Valor Unitario Estimado]]*TAB_ESTOQUE[[#This Row],[Estoque]]</f>
        <v>0</v>
      </c>
      <c r="V1601" s="103"/>
      <c r="AA1601" s="138"/>
      <c r="AB1601" s="104" t="str">
        <f>IF(TAB_ESTOQUE[[#This Row],[Estoque]]=0,"Estoque Não Conforme",IF(TAB_ESTOQUE[[#This Row],[Estoque]]&gt;=TAB_ESTOQUE[[#This Row],[Mínimo]],"Estoque Conforme",IF(TAB_ESTOQUE[[#This Row],[Estoque]]&lt;TAB_ESTOQUE[[#This Row],[Mínimo]],"Estoque em Nivel Minimo")))</f>
        <v>Estoque Não Conforme</v>
      </c>
      <c r="AC1601" s="104"/>
    </row>
    <row r="1602" spans="3:29" x14ac:dyDescent="0.25">
      <c r="C1602" s="48"/>
      <c r="D1602" s="45" t="s">
        <v>8428</v>
      </c>
      <c r="F1602" s="46"/>
      <c r="O1602" s="116"/>
      <c r="Q1602" s="137">
        <f>VLOOKUP(TAB_ESTOQUE[[#This Row],[Codigo]],TAB_ENTRADA[[Cod_2_Entrada]:[TOTAL_ENTRADA]],5,FALSE)-VLOOKUP(TAB_ESTOQUE[[#This Row],[Codigo]],TAB_SAIDA[[COD_2_SAIDA]:[TOTAL_SAIDA]],5,FALSE)</f>
        <v>0</v>
      </c>
      <c r="S1602" s="46"/>
      <c r="T1602" s="102"/>
      <c r="U1602" s="103">
        <f>TAB_ESTOQUE[[#This Row],[Valor Unitario Estimado]]*TAB_ESTOQUE[[#This Row],[Estoque]]</f>
        <v>0</v>
      </c>
      <c r="V1602" s="103"/>
      <c r="AA1602" s="138"/>
      <c r="AB1602" s="104" t="str">
        <f>IF(TAB_ESTOQUE[[#This Row],[Estoque]]=0,"Estoque Não Conforme",IF(TAB_ESTOQUE[[#This Row],[Estoque]]&gt;=TAB_ESTOQUE[[#This Row],[Mínimo]],"Estoque Conforme",IF(TAB_ESTOQUE[[#This Row],[Estoque]]&lt;TAB_ESTOQUE[[#This Row],[Mínimo]],"Estoque em Nivel Minimo")))</f>
        <v>Estoque Não Conforme</v>
      </c>
      <c r="AC1602" s="104"/>
    </row>
    <row r="1603" spans="3:29" x14ac:dyDescent="0.25">
      <c r="C1603" s="48"/>
      <c r="D1603" s="45" t="s">
        <v>8429</v>
      </c>
      <c r="F1603" s="46"/>
      <c r="O1603" s="51"/>
      <c r="Q1603" s="137">
        <f>VLOOKUP(TAB_ESTOQUE[[#This Row],[Codigo]],TAB_ENTRADA[[Cod_2_Entrada]:[TOTAL_ENTRADA]],5,FALSE)-VLOOKUP(TAB_ESTOQUE[[#This Row],[Codigo]],TAB_SAIDA[[COD_2_SAIDA]:[TOTAL_SAIDA]],5,FALSE)</f>
        <v>0</v>
      </c>
      <c r="S1603" s="46"/>
      <c r="T1603" s="102"/>
      <c r="U1603" s="103">
        <f>TAB_ESTOQUE[[#This Row],[Valor Unitario Estimado]]*TAB_ESTOQUE[[#This Row],[Estoque]]</f>
        <v>0</v>
      </c>
      <c r="V1603" s="103"/>
      <c r="AA1603" s="138"/>
      <c r="AB1603" s="104" t="str">
        <f>IF(TAB_ESTOQUE[[#This Row],[Estoque]]=0,"Estoque Não Conforme",IF(TAB_ESTOQUE[[#This Row],[Estoque]]&gt;=TAB_ESTOQUE[[#This Row],[Mínimo]],"Estoque Conforme",IF(TAB_ESTOQUE[[#This Row],[Estoque]]&lt;TAB_ESTOQUE[[#This Row],[Mínimo]],"Estoque em Nivel Minimo")))</f>
        <v>Estoque Não Conforme</v>
      </c>
      <c r="AC1603" s="104"/>
    </row>
    <row r="1604" spans="3:29" x14ac:dyDescent="0.25">
      <c r="C1604" s="48"/>
      <c r="D1604" s="45" t="s">
        <v>8430</v>
      </c>
      <c r="F1604" s="46"/>
      <c r="O1604" s="116"/>
      <c r="Q1604" s="137">
        <f>VLOOKUP(TAB_ESTOQUE[[#This Row],[Codigo]],TAB_ENTRADA[[Cod_2_Entrada]:[TOTAL_ENTRADA]],5,FALSE)-VLOOKUP(TAB_ESTOQUE[[#This Row],[Codigo]],TAB_SAIDA[[COD_2_SAIDA]:[TOTAL_SAIDA]],5,FALSE)</f>
        <v>0</v>
      </c>
      <c r="S1604" s="46"/>
      <c r="T1604" s="102"/>
      <c r="U1604" s="103">
        <f>TAB_ESTOQUE[[#This Row],[Valor Unitario Estimado]]*TAB_ESTOQUE[[#This Row],[Estoque]]</f>
        <v>0</v>
      </c>
      <c r="V1604" s="103"/>
      <c r="AA1604" s="138"/>
      <c r="AB1604" s="104" t="str">
        <f>IF(TAB_ESTOQUE[[#This Row],[Estoque]]=0,"Estoque Não Conforme",IF(TAB_ESTOQUE[[#This Row],[Estoque]]&gt;=TAB_ESTOQUE[[#This Row],[Mínimo]],"Estoque Conforme",IF(TAB_ESTOQUE[[#This Row],[Estoque]]&lt;TAB_ESTOQUE[[#This Row],[Mínimo]],"Estoque em Nivel Minimo")))</f>
        <v>Estoque Não Conforme</v>
      </c>
      <c r="AC1604" s="104"/>
    </row>
    <row r="1605" spans="3:29" x14ac:dyDescent="0.25">
      <c r="C1605" s="48"/>
      <c r="D1605" s="45" t="s">
        <v>8431</v>
      </c>
      <c r="F1605" s="46"/>
      <c r="O1605" s="51"/>
      <c r="Q1605" s="137">
        <f>VLOOKUP(TAB_ESTOQUE[[#This Row],[Codigo]],TAB_ENTRADA[[Cod_2_Entrada]:[TOTAL_ENTRADA]],5,FALSE)-VLOOKUP(TAB_ESTOQUE[[#This Row],[Codigo]],TAB_SAIDA[[COD_2_SAIDA]:[TOTAL_SAIDA]],5,FALSE)</f>
        <v>0</v>
      </c>
      <c r="S1605" s="46"/>
      <c r="T1605" s="102"/>
      <c r="U1605" s="103">
        <f>TAB_ESTOQUE[[#This Row],[Valor Unitario Estimado]]*TAB_ESTOQUE[[#This Row],[Estoque]]</f>
        <v>0</v>
      </c>
      <c r="V1605" s="103"/>
      <c r="AA1605" s="138"/>
      <c r="AB1605" s="104" t="str">
        <f>IF(TAB_ESTOQUE[[#This Row],[Estoque]]=0,"Estoque Não Conforme",IF(TAB_ESTOQUE[[#This Row],[Estoque]]&gt;=TAB_ESTOQUE[[#This Row],[Mínimo]],"Estoque Conforme",IF(TAB_ESTOQUE[[#This Row],[Estoque]]&lt;TAB_ESTOQUE[[#This Row],[Mínimo]],"Estoque em Nivel Minimo")))</f>
        <v>Estoque Não Conforme</v>
      </c>
      <c r="AC1605" s="104"/>
    </row>
    <row r="1606" spans="3:29" x14ac:dyDescent="0.25">
      <c r="C1606" s="48"/>
      <c r="D1606" s="45" t="s">
        <v>8432</v>
      </c>
      <c r="F1606" s="46"/>
      <c r="O1606" s="116"/>
      <c r="Q1606" s="137">
        <f>VLOOKUP(TAB_ESTOQUE[[#This Row],[Codigo]],TAB_ENTRADA[[Cod_2_Entrada]:[TOTAL_ENTRADA]],5,FALSE)-VLOOKUP(TAB_ESTOQUE[[#This Row],[Codigo]],TAB_SAIDA[[COD_2_SAIDA]:[TOTAL_SAIDA]],5,FALSE)</f>
        <v>0</v>
      </c>
      <c r="S1606" s="46"/>
      <c r="T1606" s="102"/>
      <c r="U1606" s="103">
        <f>TAB_ESTOQUE[[#This Row],[Valor Unitario Estimado]]*TAB_ESTOQUE[[#This Row],[Estoque]]</f>
        <v>0</v>
      </c>
      <c r="V1606" s="103"/>
      <c r="AA1606" s="138"/>
      <c r="AB1606" s="104" t="str">
        <f>IF(TAB_ESTOQUE[[#This Row],[Estoque]]=0,"Estoque Não Conforme",IF(TAB_ESTOQUE[[#This Row],[Estoque]]&gt;=TAB_ESTOQUE[[#This Row],[Mínimo]],"Estoque Conforme",IF(TAB_ESTOQUE[[#This Row],[Estoque]]&lt;TAB_ESTOQUE[[#This Row],[Mínimo]],"Estoque em Nivel Minimo")))</f>
        <v>Estoque Não Conforme</v>
      </c>
      <c r="AC1606" s="104"/>
    </row>
    <row r="1607" spans="3:29" x14ac:dyDescent="0.25">
      <c r="C1607" s="48"/>
      <c r="D1607" s="45" t="s">
        <v>8433</v>
      </c>
      <c r="F1607" s="46"/>
      <c r="O1607" s="51"/>
      <c r="Q1607" s="137">
        <f>VLOOKUP(TAB_ESTOQUE[[#This Row],[Codigo]],TAB_ENTRADA[[Cod_2_Entrada]:[TOTAL_ENTRADA]],5,FALSE)-VLOOKUP(TAB_ESTOQUE[[#This Row],[Codigo]],TAB_SAIDA[[COD_2_SAIDA]:[TOTAL_SAIDA]],5,FALSE)</f>
        <v>0</v>
      </c>
      <c r="S1607" s="46"/>
      <c r="T1607" s="102"/>
      <c r="U1607" s="103">
        <f>TAB_ESTOQUE[[#This Row],[Valor Unitario Estimado]]*TAB_ESTOQUE[[#This Row],[Estoque]]</f>
        <v>0</v>
      </c>
      <c r="V1607" s="103"/>
      <c r="AA1607" s="138"/>
      <c r="AB1607" s="104" t="str">
        <f>IF(TAB_ESTOQUE[[#This Row],[Estoque]]=0,"Estoque Não Conforme",IF(TAB_ESTOQUE[[#This Row],[Estoque]]&gt;=TAB_ESTOQUE[[#This Row],[Mínimo]],"Estoque Conforme",IF(TAB_ESTOQUE[[#This Row],[Estoque]]&lt;TAB_ESTOQUE[[#This Row],[Mínimo]],"Estoque em Nivel Minimo")))</f>
        <v>Estoque Não Conforme</v>
      </c>
      <c r="AC1607" s="104"/>
    </row>
    <row r="1608" spans="3:29" x14ac:dyDescent="0.25">
      <c r="C1608" s="48"/>
      <c r="D1608" s="45" t="s">
        <v>8434</v>
      </c>
      <c r="F1608" s="46"/>
      <c r="O1608" s="116"/>
      <c r="Q1608" s="137">
        <f>VLOOKUP(TAB_ESTOQUE[[#This Row],[Codigo]],TAB_ENTRADA[[Cod_2_Entrada]:[TOTAL_ENTRADA]],5,FALSE)-VLOOKUP(TAB_ESTOQUE[[#This Row],[Codigo]],TAB_SAIDA[[COD_2_SAIDA]:[TOTAL_SAIDA]],5,FALSE)</f>
        <v>0</v>
      </c>
      <c r="S1608" s="46"/>
      <c r="T1608" s="102"/>
      <c r="U1608" s="103">
        <f>TAB_ESTOQUE[[#This Row],[Valor Unitario Estimado]]*TAB_ESTOQUE[[#This Row],[Estoque]]</f>
        <v>0</v>
      </c>
      <c r="V1608" s="103"/>
      <c r="AA1608" s="138"/>
      <c r="AB1608" s="104" t="str">
        <f>IF(TAB_ESTOQUE[[#This Row],[Estoque]]=0,"Estoque Não Conforme",IF(TAB_ESTOQUE[[#This Row],[Estoque]]&gt;=TAB_ESTOQUE[[#This Row],[Mínimo]],"Estoque Conforme",IF(TAB_ESTOQUE[[#This Row],[Estoque]]&lt;TAB_ESTOQUE[[#This Row],[Mínimo]],"Estoque em Nivel Minimo")))</f>
        <v>Estoque Não Conforme</v>
      </c>
      <c r="AC1608" s="104"/>
    </row>
    <row r="1609" spans="3:29" x14ac:dyDescent="0.25">
      <c r="C1609" s="48"/>
      <c r="D1609" s="45" t="s">
        <v>8435</v>
      </c>
      <c r="F1609" s="46"/>
      <c r="O1609" s="51"/>
      <c r="Q1609" s="137">
        <f>VLOOKUP(TAB_ESTOQUE[[#This Row],[Codigo]],TAB_ENTRADA[[Cod_2_Entrada]:[TOTAL_ENTRADA]],5,FALSE)-VLOOKUP(TAB_ESTOQUE[[#This Row],[Codigo]],TAB_SAIDA[[COD_2_SAIDA]:[TOTAL_SAIDA]],5,FALSE)</f>
        <v>0</v>
      </c>
      <c r="S1609" s="46"/>
      <c r="T1609" s="102"/>
      <c r="U1609" s="103">
        <f>TAB_ESTOQUE[[#This Row],[Valor Unitario Estimado]]*TAB_ESTOQUE[[#This Row],[Estoque]]</f>
        <v>0</v>
      </c>
      <c r="V1609" s="103"/>
      <c r="AA1609" s="138"/>
      <c r="AB1609" s="104" t="str">
        <f>IF(TAB_ESTOQUE[[#This Row],[Estoque]]=0,"Estoque Não Conforme",IF(TAB_ESTOQUE[[#This Row],[Estoque]]&gt;=TAB_ESTOQUE[[#This Row],[Mínimo]],"Estoque Conforme",IF(TAB_ESTOQUE[[#This Row],[Estoque]]&lt;TAB_ESTOQUE[[#This Row],[Mínimo]],"Estoque em Nivel Minimo")))</f>
        <v>Estoque Não Conforme</v>
      </c>
      <c r="AC1609" s="104"/>
    </row>
    <row r="1610" spans="3:29" x14ac:dyDescent="0.25">
      <c r="C1610" s="48"/>
      <c r="D1610" s="45" t="s">
        <v>8436</v>
      </c>
      <c r="F1610" s="46"/>
      <c r="O1610" s="116"/>
      <c r="Q1610" s="137">
        <f>VLOOKUP(TAB_ESTOQUE[[#This Row],[Codigo]],TAB_ENTRADA[[Cod_2_Entrada]:[TOTAL_ENTRADA]],5,FALSE)-VLOOKUP(TAB_ESTOQUE[[#This Row],[Codigo]],TAB_SAIDA[[COD_2_SAIDA]:[TOTAL_SAIDA]],5,FALSE)</f>
        <v>0</v>
      </c>
      <c r="S1610" s="46"/>
      <c r="T1610" s="102"/>
      <c r="U1610" s="103">
        <f>TAB_ESTOQUE[[#This Row],[Valor Unitario Estimado]]*TAB_ESTOQUE[[#This Row],[Estoque]]</f>
        <v>0</v>
      </c>
      <c r="V1610" s="103"/>
      <c r="AA1610" s="138"/>
      <c r="AB1610" s="104" t="str">
        <f>IF(TAB_ESTOQUE[[#This Row],[Estoque]]=0,"Estoque Não Conforme",IF(TAB_ESTOQUE[[#This Row],[Estoque]]&gt;=TAB_ESTOQUE[[#This Row],[Mínimo]],"Estoque Conforme",IF(TAB_ESTOQUE[[#This Row],[Estoque]]&lt;TAB_ESTOQUE[[#This Row],[Mínimo]],"Estoque em Nivel Minimo")))</f>
        <v>Estoque Não Conforme</v>
      </c>
      <c r="AC1610" s="104"/>
    </row>
    <row r="1611" spans="3:29" x14ac:dyDescent="0.25">
      <c r="C1611" s="48"/>
      <c r="D1611" s="45" t="s">
        <v>8437</v>
      </c>
      <c r="E1611" s="46"/>
      <c r="F1611" s="46"/>
      <c r="O1611" s="51"/>
      <c r="Q1611" s="137">
        <f>VLOOKUP(TAB_ESTOQUE[[#This Row],[Codigo]],TAB_ENTRADA[[Cod_2_Entrada]:[TOTAL_ENTRADA]],5,FALSE)-VLOOKUP(TAB_ESTOQUE[[#This Row],[Codigo]],TAB_SAIDA[[COD_2_SAIDA]:[TOTAL_SAIDA]],5,FALSE)</f>
        <v>0</v>
      </c>
      <c r="S1611" s="46"/>
      <c r="T1611" s="102"/>
      <c r="U1611" s="103">
        <f>TAB_ESTOQUE[[#This Row],[Valor Unitario Estimado]]*TAB_ESTOQUE[[#This Row],[Estoque]]</f>
        <v>0</v>
      </c>
      <c r="V1611" s="103"/>
      <c r="AA1611" s="138"/>
      <c r="AB1611" s="104" t="str">
        <f>IF(TAB_ESTOQUE[[#This Row],[Estoque]]=0,"Estoque Não Conforme",IF(TAB_ESTOQUE[[#This Row],[Estoque]]&gt;=TAB_ESTOQUE[[#This Row],[Mínimo]],"Estoque Conforme",IF(TAB_ESTOQUE[[#This Row],[Estoque]]&lt;TAB_ESTOQUE[[#This Row],[Mínimo]],"Estoque em Nivel Minimo")))</f>
        <v>Estoque Não Conforme</v>
      </c>
      <c r="AC1611" s="104"/>
    </row>
    <row r="1612" spans="3:29" x14ac:dyDescent="0.25">
      <c r="C1612" s="48"/>
      <c r="D1612" s="45" t="s">
        <v>8438</v>
      </c>
      <c r="F1612" s="46"/>
      <c r="Q1612" s="137">
        <f>VLOOKUP(TAB_ESTOQUE[[#This Row],[Codigo]],TAB_ENTRADA[[Cod_2_Entrada]:[TOTAL_ENTRADA]],5,FALSE)-VLOOKUP(TAB_ESTOQUE[[#This Row],[Codigo]],TAB_SAIDA[[COD_2_SAIDA]:[TOTAL_SAIDA]],5,FALSE)</f>
        <v>0</v>
      </c>
      <c r="S1612" s="46"/>
      <c r="T1612" s="102"/>
      <c r="U1612" s="103">
        <f>TAB_ESTOQUE[[#This Row],[Valor Unitario Estimado]]*TAB_ESTOQUE[[#This Row],[Estoque]]</f>
        <v>0</v>
      </c>
      <c r="V1612" s="103"/>
      <c r="AA1612" s="138"/>
      <c r="AB1612" s="104" t="str">
        <f>IF(TAB_ESTOQUE[[#This Row],[Estoque]]=0,"Estoque Não Conforme",IF(TAB_ESTOQUE[[#This Row],[Estoque]]&gt;=TAB_ESTOQUE[[#This Row],[Mínimo]],"Estoque Conforme",IF(TAB_ESTOQUE[[#This Row],[Estoque]]&lt;TAB_ESTOQUE[[#This Row],[Mínimo]],"Estoque em Nivel Minimo")))</f>
        <v>Estoque Não Conforme</v>
      </c>
      <c r="AC1612" s="104"/>
    </row>
  </sheetData>
  <sheetProtection formatCells="0" formatColumns="0" formatRows="0" insertHyperlinks="0" sort="0" autoFilter="0" pivotTables="0"/>
  <conditionalFormatting sqref="AB3:AB1612">
    <cfRule type="containsText" dxfId="910" priority="12" operator="containsText" text="estoque conforme">
      <formula>NOT(ISERROR(SEARCH("estoque conforme",AB3)))</formula>
    </cfRule>
    <cfRule type="containsText" dxfId="909" priority="13" operator="containsText" text="estoque em nivel minimo">
      <formula>NOT(ISERROR(SEARCH("estoque em nivel minimo",AB3)))</formula>
    </cfRule>
    <cfRule type="containsText" dxfId="908" priority="14" operator="containsText" text="estoque não conforme">
      <formula>NOT(ISERROR(SEARCH("estoque não conforme",AB3)))</formula>
    </cfRule>
  </conditionalFormatting>
  <conditionalFormatting sqref="C10:C1214">
    <cfRule type="cellIs" dxfId="907" priority="1" operator="equal">
      <formula>"C"</formula>
    </cfRule>
    <cfRule type="cellIs" dxfId="906" priority="10" operator="equal">
      <formula>"B"</formula>
    </cfRule>
    <cfRule type="cellIs" dxfId="905" priority="11" operator="equal">
      <formula>"A"</formula>
    </cfRule>
  </conditionalFormatting>
  <printOptions horizontalCentered="1"/>
  <pageMargins left="0.23622047244094491" right="0.23622047244094491" top="0.19685039370078741" bottom="0.39370078740157483" header="0.31496062992125984" footer="0.19685039370078741"/>
  <pageSetup paperSize="9" scale="81" fitToHeight="0" orientation="landscape" r:id="rId1"/>
  <headerFooter>
    <oddFooter>&amp;LControle de Spare Parts - Doc. Para Inventario &amp;CPágina &amp;P de &amp;N&amp;R&amp;D&amp;T</oddFooter>
  </headerFooter>
  <colBreaks count="1" manualBreakCount="1">
    <brk id="35" max="1048575" man="1"/>
  </colBreaks>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4">
    <tabColor rgb="FFFF0000"/>
  </sheetPr>
  <dimension ref="A1:XH1613"/>
  <sheetViews>
    <sheetView showGridLines="0" zoomScaleNormal="100" workbookViewId="0">
      <pane xSplit="5" ySplit="2" topLeftCell="XE3" activePane="bottomRight" state="frozen"/>
      <selection activeCell="B1" sqref="B1"/>
      <selection pane="topRight" activeCell="B1" sqref="B1"/>
      <selection pane="bottomLeft" activeCell="B1" sqref="B1"/>
      <selection pane="bottomRight" activeCell="XF1429" sqref="XF1429"/>
    </sheetView>
  </sheetViews>
  <sheetFormatPr defaultRowHeight="15" x14ac:dyDescent="0.25"/>
  <cols>
    <col min="1" max="1" width="16.7109375" style="13" customWidth="1"/>
    <col min="2" max="2" width="92.140625" style="14" customWidth="1"/>
    <col min="3" max="3" width="0.140625" style="14" customWidth="1"/>
    <col min="4" max="4" width="13.28515625" style="14" customWidth="1"/>
    <col min="5" max="5" width="15.28515625" style="14" customWidth="1"/>
    <col min="6" max="6" width="12.85546875" style="5" customWidth="1"/>
    <col min="7" max="10" width="13" style="3" bestFit="1" customWidth="1"/>
    <col min="11" max="11" width="13" style="3" customWidth="1"/>
    <col min="12" max="12" width="12.7109375" style="3" customWidth="1"/>
    <col min="13" max="13" width="13" style="3" customWidth="1"/>
    <col min="14" max="14" width="12.85546875" style="3" customWidth="1"/>
    <col min="15" max="15" width="13.140625" style="3" customWidth="1"/>
    <col min="16" max="16" width="13" style="3" customWidth="1"/>
    <col min="17" max="19" width="12.85546875" style="3" customWidth="1"/>
    <col min="20" max="20" width="13.42578125" style="3" customWidth="1"/>
    <col min="21" max="24" width="13" style="3" customWidth="1"/>
    <col min="25" max="25" width="12.7109375" style="3" customWidth="1"/>
    <col min="26" max="26" width="12.140625" style="3" customWidth="1"/>
    <col min="27" max="27" width="13" style="3" customWidth="1"/>
    <col min="28" max="28" width="13.140625" style="3" customWidth="1"/>
    <col min="29" max="31" width="12.7109375" style="3" customWidth="1"/>
    <col min="32" max="32" width="12.85546875" style="3" customWidth="1"/>
    <col min="33" max="33" width="13" style="3" customWidth="1"/>
    <col min="34" max="34" width="12.85546875" style="3" customWidth="1"/>
    <col min="35" max="35" width="12.7109375" style="3" customWidth="1"/>
    <col min="36" max="36" width="13" style="3" customWidth="1"/>
    <col min="37" max="39" width="12.85546875" style="3" customWidth="1"/>
    <col min="40" max="40" width="12.7109375" style="3" customWidth="1"/>
    <col min="41" max="41" width="12.85546875" style="3" customWidth="1"/>
    <col min="42" max="42" width="12.7109375" style="3" customWidth="1"/>
    <col min="43" max="43" width="12.85546875" style="3" customWidth="1"/>
    <col min="44" max="44" width="12.5703125" style="3" customWidth="1"/>
    <col min="45" max="45" width="13" style="3" customWidth="1"/>
    <col min="46" max="46" width="12.7109375" style="3" customWidth="1"/>
    <col min="47" max="47" width="12.85546875" style="3" customWidth="1"/>
    <col min="48" max="48" width="13" style="3" customWidth="1"/>
    <col min="49" max="49" width="12.5703125" style="3" customWidth="1"/>
    <col min="50" max="50" width="12.85546875" style="3" customWidth="1"/>
    <col min="51" max="51" width="12.7109375" style="3" customWidth="1"/>
    <col min="52" max="52" width="13.140625" style="3" customWidth="1"/>
    <col min="53" max="53" width="12.5703125" style="3" customWidth="1"/>
    <col min="54" max="54" width="13.140625" style="3" customWidth="1"/>
    <col min="55" max="56" width="12.5703125" style="3" customWidth="1"/>
    <col min="57" max="57" width="13" style="3" customWidth="1"/>
    <col min="58" max="58" width="12.85546875" style="3" customWidth="1"/>
    <col min="59" max="59" width="12.7109375" style="3" customWidth="1"/>
    <col min="60" max="60" width="12.85546875" customWidth="1"/>
    <col min="61" max="61" width="13.28515625" style="3" customWidth="1"/>
    <col min="62" max="63" width="13.140625" style="3" customWidth="1"/>
    <col min="64" max="64" width="12.7109375" style="3" customWidth="1"/>
    <col min="65" max="65" width="13.140625" style="3" customWidth="1"/>
    <col min="66" max="75" width="12.7109375" style="3" customWidth="1"/>
    <col min="76" max="77" width="12.85546875" style="3" customWidth="1"/>
    <col min="78" max="78" width="12.7109375" style="3" customWidth="1"/>
    <col min="79" max="81" width="12.85546875" style="3" customWidth="1"/>
    <col min="82" max="82" width="13" style="3" customWidth="1"/>
    <col min="83" max="83" width="12.85546875" style="3" customWidth="1"/>
    <col min="84" max="90" width="12.7109375" style="3" customWidth="1"/>
    <col min="91" max="91" width="12.5703125" style="3" customWidth="1"/>
    <col min="92" max="93" width="12.7109375" style="3" customWidth="1"/>
    <col min="94" max="94" width="12.85546875" style="3" customWidth="1"/>
    <col min="95" max="96" width="12.7109375" style="3" customWidth="1"/>
    <col min="97" max="97" width="12.85546875" style="3" customWidth="1"/>
    <col min="98" max="99" width="12.7109375" style="3" customWidth="1"/>
    <col min="100" max="100" width="12.85546875" style="3" customWidth="1"/>
    <col min="101" max="102" width="12.7109375" style="3" customWidth="1"/>
    <col min="103" max="103" width="12.85546875" style="3" customWidth="1"/>
    <col min="104" max="104" width="12.7109375" style="3" customWidth="1"/>
    <col min="105" max="105" width="12.85546875" style="3" customWidth="1"/>
    <col min="106" max="106" width="12.7109375" style="3" customWidth="1"/>
    <col min="107" max="107" width="9" style="3" customWidth="1"/>
    <col min="108" max="108" width="11.7109375" style="3" customWidth="1"/>
    <col min="109" max="109" width="10.140625" style="3" customWidth="1"/>
    <col min="110" max="110" width="9.140625" style="3"/>
    <col min="111" max="111" width="9.7109375" style="3" customWidth="1"/>
    <col min="112" max="112" width="9.5703125" style="3" customWidth="1"/>
    <col min="113" max="113" width="9.140625" style="3"/>
    <col min="114" max="114" width="12.85546875" style="3" customWidth="1"/>
    <col min="115" max="115" width="12.5703125" style="3" customWidth="1"/>
    <col min="116" max="116" width="12.85546875" style="3" customWidth="1"/>
    <col min="117" max="117" width="12.7109375" style="3" customWidth="1"/>
    <col min="118" max="118" width="12.85546875" style="3" customWidth="1"/>
    <col min="119" max="119" width="12.7109375" style="3" customWidth="1"/>
    <col min="120" max="120" width="13" style="3" customWidth="1"/>
    <col min="121" max="121" width="12" style="3" customWidth="1"/>
    <col min="122" max="124" width="13.28515625" style="3" customWidth="1"/>
    <col min="125" max="125" width="12.7109375" style="3" customWidth="1"/>
    <col min="126" max="126" width="13" style="3" customWidth="1"/>
    <col min="127" max="127" width="12.85546875" style="3" customWidth="1"/>
    <col min="128" max="128" width="13" style="3" customWidth="1"/>
    <col min="129" max="129" width="12.5703125" style="3" customWidth="1"/>
    <col min="130" max="130" width="12.7109375" style="3" customWidth="1"/>
    <col min="131" max="132" width="12.5703125" style="3" customWidth="1"/>
    <col min="133" max="134" width="12.7109375" style="3" customWidth="1"/>
    <col min="135" max="135" width="12.85546875" style="3" customWidth="1"/>
    <col min="136" max="136" width="12.7109375" style="3" customWidth="1"/>
    <col min="137" max="137" width="12.85546875" style="3" customWidth="1"/>
    <col min="138" max="139" width="13" style="3" customWidth="1"/>
    <col min="140" max="140" width="13.140625" style="3" customWidth="1"/>
    <col min="141" max="141" width="12.7109375" style="3" customWidth="1"/>
    <col min="142" max="142" width="12.85546875" style="3" customWidth="1"/>
    <col min="143" max="144" width="13" style="3" customWidth="1"/>
    <col min="145" max="145" width="12.85546875" style="3" customWidth="1"/>
    <col min="146" max="146" width="13" style="3" customWidth="1"/>
    <col min="147" max="147" width="12.7109375" style="3" customWidth="1"/>
    <col min="148" max="148" width="13.85546875" style="3" customWidth="1"/>
    <col min="149" max="149" width="12.85546875" style="3" customWidth="1"/>
    <col min="150" max="150" width="12.7109375" style="3" customWidth="1"/>
    <col min="151" max="151" width="9.140625" style="3"/>
    <col min="152" max="152" width="12.140625" style="3" customWidth="1"/>
    <col min="153" max="153" width="12.5703125" style="3" customWidth="1"/>
    <col min="154" max="156" width="12.7109375" style="3" customWidth="1"/>
    <col min="157" max="158" width="13" style="3" customWidth="1"/>
    <col min="159" max="159" width="12.85546875" style="3" customWidth="1"/>
    <col min="160" max="160" width="13.140625" style="3" customWidth="1"/>
    <col min="161" max="161" width="12.7109375" style="3" customWidth="1"/>
    <col min="162" max="162" width="12.85546875" style="3" customWidth="1"/>
    <col min="163" max="163" width="13" style="3" customWidth="1"/>
    <col min="164" max="165" width="12.85546875" style="3" customWidth="1"/>
    <col min="166" max="171" width="12.7109375" style="3" customWidth="1"/>
    <col min="172" max="172" width="13" style="3" customWidth="1"/>
    <col min="173" max="173" width="12.5703125" style="3" customWidth="1"/>
    <col min="174" max="175" width="13" style="3" customWidth="1"/>
    <col min="176" max="178" width="12.85546875" style="3" customWidth="1"/>
    <col min="179" max="179" width="13" style="3" customWidth="1"/>
    <col min="180" max="180" width="12.7109375" style="3" customWidth="1"/>
    <col min="181" max="181" width="11.7109375" style="3" customWidth="1"/>
    <col min="182" max="182" width="12.7109375" style="3" customWidth="1"/>
    <col min="183" max="183" width="13" style="3" customWidth="1"/>
    <col min="184" max="185" width="13.140625" style="3" customWidth="1"/>
    <col min="186" max="186" width="13.28515625" style="3" customWidth="1"/>
    <col min="187" max="187" width="12.7109375" style="3" customWidth="1"/>
    <col min="188" max="188" width="12.85546875" style="3" customWidth="1"/>
    <col min="189" max="189" width="13" style="3" bestFit="1" customWidth="1"/>
    <col min="190" max="190" width="12.7109375" style="3" customWidth="1"/>
    <col min="191" max="192" width="12.85546875" style="3" customWidth="1"/>
    <col min="193" max="193" width="13" style="3" customWidth="1"/>
    <col min="194" max="194" width="12.85546875" style="3" customWidth="1"/>
    <col min="195" max="196" width="13.140625" style="3" customWidth="1"/>
    <col min="197" max="198" width="12.7109375" style="3" customWidth="1"/>
    <col min="199" max="199" width="13.140625" style="3" customWidth="1"/>
    <col min="200" max="200" width="13" style="3" customWidth="1"/>
    <col min="201" max="202" width="12.7109375" style="3" customWidth="1"/>
    <col min="203" max="203" width="12.5703125" style="3" customWidth="1"/>
    <col min="204" max="204" width="12.7109375" style="3" customWidth="1"/>
    <col min="205" max="205" width="12.85546875" style="3" customWidth="1"/>
    <col min="206" max="206" width="13" style="3" customWidth="1"/>
    <col min="207" max="207" width="13.140625" style="3" customWidth="1"/>
    <col min="208" max="208" width="12.7109375" style="3" customWidth="1"/>
    <col min="209" max="209" width="12.85546875" style="3" customWidth="1"/>
    <col min="210" max="212" width="12.5703125" style="3" customWidth="1"/>
    <col min="213" max="213" width="12.85546875" style="3" customWidth="1"/>
    <col min="214" max="214" width="12.5703125" style="3" customWidth="1"/>
    <col min="215" max="215" width="12.85546875" style="3" customWidth="1"/>
    <col min="216" max="216" width="12.7109375" style="3" customWidth="1"/>
    <col min="217" max="218" width="12.85546875" style="3" customWidth="1"/>
    <col min="219" max="219" width="12.7109375" style="3" customWidth="1"/>
    <col min="220" max="220" width="13" style="3" customWidth="1"/>
    <col min="221" max="221" width="12.85546875" style="3" customWidth="1"/>
    <col min="222" max="222" width="12.7109375" style="3" customWidth="1"/>
    <col min="223" max="233" width="12.85546875" style="3" customWidth="1"/>
    <col min="234" max="236" width="12.7109375" style="3" customWidth="1"/>
    <col min="237" max="237" width="12.5703125" style="3" customWidth="1"/>
    <col min="238" max="238" width="12.7109375" style="3" customWidth="1"/>
    <col min="239" max="239" width="12.85546875" style="3" customWidth="1"/>
    <col min="240" max="240" width="12.5703125" style="3" customWidth="1"/>
    <col min="241" max="242" width="12.7109375" style="3" customWidth="1"/>
    <col min="243" max="243" width="12.5703125" style="3" customWidth="1"/>
    <col min="244" max="245" width="13" style="3" customWidth="1"/>
    <col min="246" max="248" width="12.7109375" style="3" customWidth="1"/>
    <col min="249" max="249" width="12.5703125" style="3" customWidth="1"/>
    <col min="250" max="250" width="13" style="3" customWidth="1"/>
    <col min="251" max="252" width="12.7109375" style="3" customWidth="1"/>
    <col min="253" max="253" width="12.85546875" style="3" customWidth="1"/>
    <col min="254" max="254" width="12.7109375" style="3" customWidth="1"/>
    <col min="255" max="255" width="13" style="3" customWidth="1"/>
    <col min="256" max="256" width="13.7109375" style="3" customWidth="1"/>
    <col min="257" max="257" width="13" style="3" customWidth="1"/>
    <col min="258" max="258" width="12.7109375" style="3" customWidth="1"/>
    <col min="259" max="259" width="13" style="3" customWidth="1"/>
    <col min="260" max="260" width="12.7109375" style="3" customWidth="1"/>
    <col min="261" max="261" width="12" style="3" customWidth="1"/>
    <col min="262" max="262" width="12.7109375" style="3" customWidth="1"/>
    <col min="263" max="265" width="13" style="3" customWidth="1"/>
    <col min="266" max="269" width="12.7109375" style="3" customWidth="1"/>
    <col min="270" max="270" width="12.85546875" style="3" customWidth="1"/>
    <col min="271" max="271" width="12.5703125" style="3" customWidth="1"/>
    <col min="272" max="273" width="13" style="3" customWidth="1"/>
    <col min="274" max="276" width="13.140625" style="3" customWidth="1"/>
    <col min="277" max="280" width="12.7109375" style="3" customWidth="1"/>
    <col min="281" max="282" width="13" style="3" customWidth="1"/>
    <col min="283" max="283" width="12.5703125" style="3" customWidth="1"/>
    <col min="284" max="284" width="13" style="3" customWidth="1"/>
    <col min="285" max="285" width="12.7109375" style="3" customWidth="1"/>
    <col min="286" max="286" width="13" style="3" customWidth="1"/>
    <col min="287" max="287" width="13" style="3" bestFit="1" customWidth="1"/>
    <col min="288" max="288" width="12.7109375" style="3" customWidth="1"/>
    <col min="289" max="290" width="12.85546875" style="3" customWidth="1"/>
    <col min="291" max="293" width="12.7109375" style="3" customWidth="1"/>
    <col min="294" max="294" width="13" style="3" customWidth="1"/>
    <col min="295" max="295" width="12.85546875" style="3" customWidth="1"/>
    <col min="296" max="296" width="13" style="3" customWidth="1"/>
    <col min="297" max="300" width="12.7109375" style="3" customWidth="1"/>
    <col min="301" max="303" width="12.85546875" style="3" customWidth="1"/>
    <col min="304" max="304" width="13" style="3" customWidth="1"/>
    <col min="305" max="306" width="12.85546875" style="3" customWidth="1"/>
    <col min="307" max="307" width="12.7109375" style="3" customWidth="1"/>
    <col min="308" max="309" width="13" style="3" customWidth="1"/>
    <col min="310" max="312" width="12.7109375" style="3" customWidth="1"/>
    <col min="313" max="313" width="13" style="3" customWidth="1"/>
    <col min="314" max="316" width="13.140625" style="3" customWidth="1"/>
    <col min="317" max="318" width="12.7109375" style="3" customWidth="1"/>
    <col min="319" max="322" width="12.5703125" style="3" customWidth="1"/>
    <col min="323" max="323" width="12.7109375" style="3" customWidth="1"/>
    <col min="324" max="325" width="13" style="3" customWidth="1"/>
    <col min="326" max="327" width="12.7109375" style="3" customWidth="1"/>
    <col min="328" max="329" width="13.42578125" style="3" customWidth="1"/>
    <col min="330" max="330" width="12.7109375" style="3" customWidth="1"/>
    <col min="331" max="348" width="13.140625" style="3" customWidth="1"/>
    <col min="349" max="351" width="12.7109375" style="3" customWidth="1"/>
    <col min="352" max="354" width="13.140625" style="3" customWidth="1"/>
    <col min="355" max="360" width="12.85546875" style="3" customWidth="1"/>
    <col min="361" max="363" width="12.5703125" style="3" customWidth="1"/>
    <col min="364" max="368" width="12.7109375" style="3" customWidth="1"/>
    <col min="369" max="412" width="12.85546875" style="3" customWidth="1"/>
    <col min="413" max="413" width="13" style="3" customWidth="1"/>
    <col min="414" max="416" width="12.7109375" style="3" customWidth="1"/>
    <col min="417" max="419" width="12.85546875" style="3" customWidth="1"/>
    <col min="420" max="421" width="12.5703125" style="3" customWidth="1"/>
    <col min="422" max="491" width="12.7109375" style="3" customWidth="1"/>
    <col min="492" max="492" width="12.85546875" style="3" customWidth="1"/>
    <col min="493" max="523" width="12.7109375" style="3" customWidth="1"/>
    <col min="524" max="524" width="13.42578125" style="3" customWidth="1"/>
    <col min="525" max="525" width="14.140625" style="3" customWidth="1"/>
    <col min="526" max="526" width="13.7109375" style="3" customWidth="1"/>
    <col min="527" max="528" width="13" style="3" customWidth="1"/>
    <col min="529" max="529" width="13.28515625" style="3" customWidth="1"/>
    <col min="530" max="602" width="12.7109375" style="3" customWidth="1"/>
    <col min="603" max="604" width="13.140625" style="3" customWidth="1"/>
    <col min="605" max="610" width="12.5703125" style="3" customWidth="1"/>
    <col min="611" max="630" width="12.85546875" style="3" customWidth="1"/>
    <col min="631" max="16384" width="9.140625" style="3"/>
  </cols>
  <sheetData>
    <row r="1" spans="1:632" s="2" customFormat="1" ht="39" customHeight="1" x14ac:dyDescent="0.7">
      <c r="A1" s="12" t="s">
        <v>1155</v>
      </c>
      <c r="B1" s="12"/>
      <c r="C1" s="12"/>
      <c r="D1" s="12"/>
      <c r="E1" s="12"/>
      <c r="F1" s="11"/>
      <c r="G1" s="1"/>
      <c r="K1" s="6" t="s">
        <v>1158</v>
      </c>
    </row>
    <row r="2" spans="1:632" x14ac:dyDescent="0.25">
      <c r="A2" s="13" t="s">
        <v>1211</v>
      </c>
      <c r="B2" s="14" t="s">
        <v>1147</v>
      </c>
      <c r="C2" s="14" t="s">
        <v>1148</v>
      </c>
      <c r="D2" s="14" t="s">
        <v>1146</v>
      </c>
      <c r="E2" s="14" t="s">
        <v>1156</v>
      </c>
      <c r="F2" s="4" t="s">
        <v>1150</v>
      </c>
      <c r="G2" s="4" t="s">
        <v>1152</v>
      </c>
      <c r="H2" s="4" t="s">
        <v>1153</v>
      </c>
      <c r="I2" s="4" t="s">
        <v>1154</v>
      </c>
      <c r="J2" s="4" t="s">
        <v>1160</v>
      </c>
      <c r="K2" s="4" t="s">
        <v>1325</v>
      </c>
      <c r="L2" s="4" t="s">
        <v>1245</v>
      </c>
      <c r="M2" s="4" t="s">
        <v>1328</v>
      </c>
      <c r="N2" s="4" t="s">
        <v>1338</v>
      </c>
      <c r="O2" s="4" t="s">
        <v>1373</v>
      </c>
      <c r="P2" s="4" t="s">
        <v>1374</v>
      </c>
      <c r="Q2" s="4" t="s">
        <v>1395</v>
      </c>
      <c r="R2" s="4" t="s">
        <v>1399</v>
      </c>
      <c r="S2" s="4" t="s">
        <v>1400</v>
      </c>
      <c r="T2" s="4" t="s">
        <v>1397</v>
      </c>
      <c r="U2" s="4" t="s">
        <v>1434</v>
      </c>
      <c r="V2" s="4" t="s">
        <v>1435</v>
      </c>
      <c r="W2" s="4" t="s">
        <v>1486</v>
      </c>
      <c r="X2" s="4" t="s">
        <v>1487</v>
      </c>
      <c r="Y2" s="4" t="s">
        <v>1488</v>
      </c>
      <c r="Z2" s="4" t="s">
        <v>6787</v>
      </c>
      <c r="AA2" s="4" t="s">
        <v>1589</v>
      </c>
      <c r="AB2" s="4" t="s">
        <v>1621</v>
      </c>
      <c r="AC2" s="4" t="s">
        <v>1638</v>
      </c>
      <c r="AD2" s="4" t="s">
        <v>1639</v>
      </c>
      <c r="AE2" s="4" t="s">
        <v>1634</v>
      </c>
      <c r="AF2" s="4" t="s">
        <v>1640</v>
      </c>
      <c r="AG2" s="4" t="s">
        <v>2773</v>
      </c>
      <c r="AH2" s="4" t="s">
        <v>2908</v>
      </c>
      <c r="AI2" s="4" t="s">
        <v>2909</v>
      </c>
      <c r="AJ2" s="4" t="s">
        <v>2910</v>
      </c>
      <c r="AK2" s="4" t="s">
        <v>2911</v>
      </c>
      <c r="AL2" s="4" t="s">
        <v>2912</v>
      </c>
      <c r="AM2" s="4" t="s">
        <v>2913</v>
      </c>
      <c r="AN2" s="4" t="s">
        <v>3083</v>
      </c>
      <c r="AO2" s="4" t="s">
        <v>3084</v>
      </c>
      <c r="AP2" s="4" t="s">
        <v>3116</v>
      </c>
      <c r="AQ2" s="4" t="s">
        <v>3117</v>
      </c>
      <c r="AR2" s="4" t="s">
        <v>6053</v>
      </c>
      <c r="AS2" s="4" t="s">
        <v>6017</v>
      </c>
      <c r="AT2" s="4" t="s">
        <v>6054</v>
      </c>
      <c r="AU2" s="4" t="s">
        <v>6055</v>
      </c>
      <c r="AV2" s="4" t="s">
        <v>6056</v>
      </c>
      <c r="AW2" s="4" t="s">
        <v>6059</v>
      </c>
      <c r="AX2" s="4" t="s">
        <v>6241</v>
      </c>
      <c r="AY2" s="4" t="s">
        <v>6284</v>
      </c>
      <c r="AZ2" s="4" t="s">
        <v>6646</v>
      </c>
      <c r="BA2" s="4" t="s">
        <v>6647</v>
      </c>
      <c r="BB2" s="4" t="s">
        <v>6622</v>
      </c>
      <c r="BC2" s="4" t="s">
        <v>6746</v>
      </c>
      <c r="BD2" s="4" t="s">
        <v>6748</v>
      </c>
      <c r="BE2" s="4" t="s">
        <v>6736</v>
      </c>
      <c r="BF2" s="4" t="s">
        <v>6735</v>
      </c>
      <c r="BG2" s="4" t="s">
        <v>6745</v>
      </c>
      <c r="BH2" s="111" t="s">
        <v>6750</v>
      </c>
      <c r="BI2" s="4" t="s">
        <v>6757</v>
      </c>
      <c r="BJ2" s="4" t="s">
        <v>6771</v>
      </c>
      <c r="BK2" s="4" t="s">
        <v>6772</v>
      </c>
      <c r="BL2" s="4" t="s">
        <v>6773</v>
      </c>
      <c r="BM2" s="4" t="s">
        <v>6774</v>
      </c>
      <c r="BN2" s="4" t="s">
        <v>6777</v>
      </c>
      <c r="BO2" s="4" t="s">
        <v>6850</v>
      </c>
      <c r="BP2" s="4" t="s">
        <v>6851</v>
      </c>
      <c r="BQ2" s="4" t="s">
        <v>6852</v>
      </c>
      <c r="BR2" s="4" t="s">
        <v>6853</v>
      </c>
      <c r="BS2" s="4" t="s">
        <v>6854</v>
      </c>
      <c r="BT2" s="4" t="s">
        <v>6855</v>
      </c>
      <c r="BU2" s="4" t="s">
        <v>6856</v>
      </c>
      <c r="BV2" s="4" t="s">
        <v>6828</v>
      </c>
      <c r="BW2" s="4" t="s">
        <v>6832</v>
      </c>
      <c r="BX2" s="4" t="s">
        <v>6862</v>
      </c>
      <c r="BY2" s="4" t="s">
        <v>6865</v>
      </c>
      <c r="BZ2" s="4" t="s">
        <v>6867</v>
      </c>
      <c r="CA2" s="4" t="s">
        <v>6866</v>
      </c>
      <c r="CB2" s="4" t="s">
        <v>6868</v>
      </c>
      <c r="CC2" s="4" t="s">
        <v>6869</v>
      </c>
      <c r="CD2" s="4" t="s">
        <v>6870</v>
      </c>
      <c r="CE2" s="4" t="s">
        <v>6871</v>
      </c>
      <c r="CF2" s="4" t="s">
        <v>6872</v>
      </c>
      <c r="CG2" s="4" t="s">
        <v>6876</v>
      </c>
      <c r="CH2" s="4" t="s">
        <v>6877</v>
      </c>
      <c r="CI2" s="4" t="s">
        <v>6878</v>
      </c>
      <c r="CJ2" s="4" t="s">
        <v>6879</v>
      </c>
      <c r="CK2" s="4" t="s">
        <v>6880</v>
      </c>
      <c r="CL2" s="4" t="s">
        <v>6881</v>
      </c>
      <c r="CM2" s="4" t="s">
        <v>6882</v>
      </c>
      <c r="CN2" s="4" t="s">
        <v>6883</v>
      </c>
      <c r="CO2" s="4" t="s">
        <v>6884</v>
      </c>
      <c r="CP2" s="4" t="s">
        <v>6886</v>
      </c>
      <c r="CQ2" s="4" t="s">
        <v>6887</v>
      </c>
      <c r="CR2" s="4" t="s">
        <v>6888</v>
      </c>
      <c r="CS2" s="4" t="s">
        <v>6889</v>
      </c>
      <c r="CT2" s="4" t="s">
        <v>6890</v>
      </c>
      <c r="CU2" s="4" t="s">
        <v>6898</v>
      </c>
      <c r="CV2" s="4" t="s">
        <v>6905</v>
      </c>
      <c r="CW2" s="4" t="s">
        <v>6906</v>
      </c>
      <c r="CX2" s="4" t="s">
        <v>6907</v>
      </c>
      <c r="CY2" s="4" t="s">
        <v>6908</v>
      </c>
      <c r="CZ2" s="4" t="s">
        <v>6909</v>
      </c>
      <c r="DA2" s="4" t="s">
        <v>6910</v>
      </c>
      <c r="DB2" s="4" t="s">
        <v>6911</v>
      </c>
      <c r="DC2" s="144" t="s">
        <v>6944</v>
      </c>
      <c r="DD2" s="144" t="s">
        <v>6951</v>
      </c>
      <c r="DE2" s="144" t="s">
        <v>6952</v>
      </c>
      <c r="DF2" s="144" t="s">
        <v>6953</v>
      </c>
      <c r="DG2" s="144" t="s">
        <v>6954</v>
      </c>
      <c r="DH2" s="144" t="s">
        <v>6955</v>
      </c>
      <c r="DI2" s="144" t="s">
        <v>6956</v>
      </c>
      <c r="DJ2" s="4" t="s">
        <v>6950</v>
      </c>
      <c r="DK2" s="4" t="s">
        <v>6957</v>
      </c>
      <c r="DL2" s="4" t="s">
        <v>6958</v>
      </c>
      <c r="DM2" s="4" t="s">
        <v>6959</v>
      </c>
      <c r="DN2" s="4" t="s">
        <v>6960</v>
      </c>
      <c r="DO2" s="4" t="s">
        <v>6961</v>
      </c>
      <c r="DP2" s="4" t="s">
        <v>6963</v>
      </c>
      <c r="DQ2" s="4" t="s">
        <v>6982</v>
      </c>
      <c r="DR2" s="4" t="s">
        <v>6987</v>
      </c>
      <c r="DS2" s="4" t="s">
        <v>6974</v>
      </c>
      <c r="DT2" s="4" t="s">
        <v>6986</v>
      </c>
      <c r="DU2" s="4" t="s">
        <v>6975</v>
      </c>
      <c r="DV2" s="4" t="s">
        <v>6988</v>
      </c>
      <c r="DW2" s="4" t="s">
        <v>6989</v>
      </c>
      <c r="DX2" s="4" t="s">
        <v>6990</v>
      </c>
      <c r="DY2" s="4" t="s">
        <v>7001</v>
      </c>
      <c r="DZ2" s="4" t="s">
        <v>7002</v>
      </c>
      <c r="EA2" s="4" t="s">
        <v>7003</v>
      </c>
      <c r="EB2" s="4" t="s">
        <v>7006</v>
      </c>
      <c r="EC2" s="4" t="s">
        <v>7007</v>
      </c>
      <c r="ED2" s="4" t="s">
        <v>7008</v>
      </c>
      <c r="EE2" s="4" t="s">
        <v>7009</v>
      </c>
      <c r="EF2" s="4" t="s">
        <v>7010</v>
      </c>
      <c r="EG2" s="4" t="s">
        <v>7011</v>
      </c>
      <c r="EH2" s="4" t="s">
        <v>7012</v>
      </c>
      <c r="EI2" s="4" t="s">
        <v>7013</v>
      </c>
      <c r="EJ2" s="4" t="s">
        <v>7014</v>
      </c>
      <c r="EK2" s="4" t="s">
        <v>7015</v>
      </c>
      <c r="EL2" s="4" t="s">
        <v>7016</v>
      </c>
      <c r="EM2" s="4" t="s">
        <v>7017</v>
      </c>
      <c r="EN2" s="4" t="s">
        <v>7018</v>
      </c>
      <c r="EO2" s="4" t="s">
        <v>7024</v>
      </c>
      <c r="EP2" s="4" t="s">
        <v>7148</v>
      </c>
      <c r="EQ2" s="4" t="s">
        <v>7149</v>
      </c>
      <c r="ER2" s="4" t="s">
        <v>7150</v>
      </c>
      <c r="ES2" s="4" t="s">
        <v>7151</v>
      </c>
      <c r="ET2" s="4" t="s">
        <v>7152</v>
      </c>
      <c r="EU2" s="4" t="s">
        <v>7144</v>
      </c>
      <c r="EV2" s="4" t="s">
        <v>7145</v>
      </c>
      <c r="EW2" s="4" t="s">
        <v>7146</v>
      </c>
      <c r="EX2" s="4" t="s">
        <v>7147</v>
      </c>
      <c r="EY2" s="4" t="s">
        <v>7209</v>
      </c>
      <c r="EZ2" s="4" t="s">
        <v>7156</v>
      </c>
      <c r="FA2" s="4" t="s">
        <v>7153</v>
      </c>
      <c r="FB2" s="4" t="s">
        <v>7154</v>
      </c>
      <c r="FC2" s="4" t="s">
        <v>7155</v>
      </c>
      <c r="FD2" s="4" t="s">
        <v>7211</v>
      </c>
      <c r="FE2" s="4" t="s">
        <v>7212</v>
      </c>
      <c r="FF2" s="4" t="s">
        <v>7178</v>
      </c>
      <c r="FG2" s="4" t="s">
        <v>7213</v>
      </c>
      <c r="FH2" s="4" t="s">
        <v>7214</v>
      </c>
      <c r="FI2" s="4" t="s">
        <v>7170</v>
      </c>
      <c r="FJ2" s="4" t="s">
        <v>7215</v>
      </c>
      <c r="FK2" s="4" t="s">
        <v>7171</v>
      </c>
      <c r="FL2" s="4" t="s">
        <v>7172</v>
      </c>
      <c r="FM2" s="4" t="s">
        <v>7173</v>
      </c>
      <c r="FN2" s="4" t="s">
        <v>7174</v>
      </c>
      <c r="FO2" s="4" t="s">
        <v>7175</v>
      </c>
      <c r="FP2" s="4" t="s">
        <v>7176</v>
      </c>
      <c r="FQ2" s="4" t="s">
        <v>7177</v>
      </c>
      <c r="FR2" s="4" t="s">
        <v>7216</v>
      </c>
      <c r="FS2" s="4" t="s">
        <v>7217</v>
      </c>
      <c r="FT2" s="4" t="s">
        <v>7218</v>
      </c>
      <c r="FU2" s="4" t="s">
        <v>7219</v>
      </c>
      <c r="FV2" s="4" t="s">
        <v>7183</v>
      </c>
      <c r="FW2" s="4" t="s">
        <v>7220</v>
      </c>
      <c r="FX2" s="4" t="s">
        <v>7208</v>
      </c>
      <c r="FY2" s="4" t="s">
        <v>7221</v>
      </c>
      <c r="FZ2" s="4" t="s">
        <v>7222</v>
      </c>
      <c r="GA2" s="4" t="s">
        <v>7223</v>
      </c>
      <c r="GB2" s="4" t="s">
        <v>7224</v>
      </c>
      <c r="GC2" s="4" t="s">
        <v>7225</v>
      </c>
      <c r="GD2" s="4" t="s">
        <v>7226</v>
      </c>
      <c r="GE2" s="4" t="s">
        <v>7227</v>
      </c>
      <c r="GF2" s="4" t="s">
        <v>7228</v>
      </c>
      <c r="GG2" s="4" t="s">
        <v>7229</v>
      </c>
      <c r="GH2" s="4" t="s">
        <v>7232</v>
      </c>
      <c r="GI2" s="4" t="s">
        <v>7234</v>
      </c>
      <c r="GJ2" s="4" t="s">
        <v>7241</v>
      </c>
      <c r="GK2" s="4" t="s">
        <v>7242</v>
      </c>
      <c r="GL2" s="4" t="s">
        <v>7243</v>
      </c>
      <c r="GM2" s="4" t="s">
        <v>7244</v>
      </c>
      <c r="GN2" s="4" t="s">
        <v>7245</v>
      </c>
      <c r="GO2" s="4" t="s">
        <v>7246</v>
      </c>
      <c r="GP2" s="4" t="s">
        <v>7247</v>
      </c>
      <c r="GQ2" s="4" t="s">
        <v>7248</v>
      </c>
      <c r="GR2" s="4" t="s">
        <v>7255</v>
      </c>
      <c r="GS2" s="4" t="s">
        <v>7249</v>
      </c>
      <c r="GT2" s="4" t="s">
        <v>7240</v>
      </c>
      <c r="GU2" s="4" t="s">
        <v>7250</v>
      </c>
      <c r="GV2" s="4" t="s">
        <v>7251</v>
      </c>
      <c r="GW2" s="4" t="s">
        <v>7252</v>
      </c>
      <c r="GX2" s="4" t="s">
        <v>7253</v>
      </c>
      <c r="GY2" s="4" t="s">
        <v>7300</v>
      </c>
      <c r="GZ2" s="4" t="s">
        <v>7302</v>
      </c>
      <c r="HA2" s="4" t="s">
        <v>7301</v>
      </c>
      <c r="HB2" s="4" t="s">
        <v>7303</v>
      </c>
      <c r="HC2" s="4" t="s">
        <v>7305</v>
      </c>
      <c r="HD2" s="4" t="s">
        <v>7306</v>
      </c>
      <c r="HE2" s="4" t="s">
        <v>7307</v>
      </c>
      <c r="HF2" s="4" t="s">
        <v>7304</v>
      </c>
      <c r="HG2" s="4" t="s">
        <v>7308</v>
      </c>
      <c r="HH2" s="4" t="s">
        <v>7309</v>
      </c>
      <c r="HI2" s="4" t="s">
        <v>7310</v>
      </c>
      <c r="HJ2" s="4" t="s">
        <v>7311</v>
      </c>
      <c r="HK2" s="4" t="s">
        <v>7312</v>
      </c>
      <c r="HL2" s="4" t="s">
        <v>7313</v>
      </c>
      <c r="HM2" s="4" t="s">
        <v>7314</v>
      </c>
      <c r="HN2" s="4" t="s">
        <v>7315</v>
      </c>
      <c r="HO2" s="4" t="s">
        <v>7299</v>
      </c>
      <c r="HP2" s="4" t="s">
        <v>7322</v>
      </c>
      <c r="HQ2" s="4" t="s">
        <v>7323</v>
      </c>
      <c r="HR2" s="4" t="s">
        <v>7324</v>
      </c>
      <c r="HS2" s="4" t="s">
        <v>7325</v>
      </c>
      <c r="HT2" s="4" t="s">
        <v>7326</v>
      </c>
      <c r="HU2" s="4" t="s">
        <v>7327</v>
      </c>
      <c r="HV2" s="4" t="s">
        <v>7328</v>
      </c>
      <c r="HW2" s="4" t="s">
        <v>7329</v>
      </c>
      <c r="HX2" s="4" t="s">
        <v>7330</v>
      </c>
      <c r="HY2" s="4" t="s">
        <v>7331</v>
      </c>
      <c r="HZ2" s="4" t="s">
        <v>7332</v>
      </c>
      <c r="IA2" s="4" t="s">
        <v>7333</v>
      </c>
      <c r="IB2" s="4" t="s">
        <v>7334</v>
      </c>
      <c r="IC2" s="4" t="s">
        <v>7335</v>
      </c>
      <c r="ID2" s="4" t="s">
        <v>7351</v>
      </c>
      <c r="IE2" s="4" t="s">
        <v>7348</v>
      </c>
      <c r="IF2" s="4" t="s">
        <v>7352</v>
      </c>
      <c r="IG2" s="4" t="s">
        <v>7353</v>
      </c>
      <c r="IH2" s="4" t="s">
        <v>7354</v>
      </c>
      <c r="II2" s="4" t="s">
        <v>7359</v>
      </c>
      <c r="IJ2" s="4" t="s">
        <v>7371</v>
      </c>
      <c r="IK2" s="4" t="s">
        <v>7372</v>
      </c>
      <c r="IL2" s="4" t="s">
        <v>7373</v>
      </c>
      <c r="IM2" s="4" t="s">
        <v>7374</v>
      </c>
      <c r="IN2" s="4" t="s">
        <v>7375</v>
      </c>
      <c r="IO2" s="4" t="s">
        <v>7376</v>
      </c>
      <c r="IP2" s="4" t="s">
        <v>7364</v>
      </c>
      <c r="IQ2" s="4" t="s">
        <v>7363</v>
      </c>
      <c r="IR2" s="4" t="s">
        <v>7377</v>
      </c>
      <c r="IS2" s="4" t="s">
        <v>7378</v>
      </c>
      <c r="IT2" s="4" t="s">
        <v>7370</v>
      </c>
      <c r="IU2" s="4" t="s">
        <v>7392</v>
      </c>
      <c r="IV2" s="4" t="s">
        <v>7391</v>
      </c>
      <c r="IW2" s="4" t="s">
        <v>7402</v>
      </c>
      <c r="IX2" s="4" t="s">
        <v>7404</v>
      </c>
      <c r="IY2" s="4" t="s">
        <v>7403</v>
      </c>
      <c r="IZ2" s="4" t="s">
        <v>7401</v>
      </c>
      <c r="JA2" s="4" t="s">
        <v>7393</v>
      </c>
      <c r="JB2" s="4" t="s">
        <v>7405</v>
      </c>
      <c r="JC2" s="4" t="s">
        <v>7406</v>
      </c>
      <c r="JD2" s="4" t="s">
        <v>7415</v>
      </c>
      <c r="JE2" s="4" t="s">
        <v>7416</v>
      </c>
      <c r="JF2" s="4" t="s">
        <v>7417</v>
      </c>
      <c r="JG2" s="4" t="s">
        <v>7418</v>
      </c>
      <c r="JH2" s="4" t="s">
        <v>7419</v>
      </c>
      <c r="JI2" s="4" t="s">
        <v>7420</v>
      </c>
      <c r="JJ2" s="4" t="s">
        <v>7409</v>
      </c>
      <c r="JK2" s="4" t="s">
        <v>7410</v>
      </c>
      <c r="JL2" s="4" t="s">
        <v>7411</v>
      </c>
      <c r="JM2" s="4" t="s">
        <v>7442</v>
      </c>
      <c r="JN2" s="4" t="s">
        <v>7443</v>
      </c>
      <c r="JO2" s="4" t="s">
        <v>7444</v>
      </c>
      <c r="JP2" s="4" t="s">
        <v>7445</v>
      </c>
      <c r="JQ2" s="4" t="s">
        <v>7446</v>
      </c>
      <c r="JR2" s="4" t="s">
        <v>7447</v>
      </c>
      <c r="JS2" s="4" t="s">
        <v>7448</v>
      </c>
      <c r="JT2" s="4" t="s">
        <v>7449</v>
      </c>
      <c r="JU2" s="4" t="s">
        <v>7427</v>
      </c>
      <c r="JV2" s="4" t="s">
        <v>7450</v>
      </c>
      <c r="JW2" s="4" t="s">
        <v>7451</v>
      </c>
      <c r="JX2" s="4" t="s">
        <v>7452</v>
      </c>
      <c r="JY2" s="4" t="s">
        <v>7453</v>
      </c>
      <c r="JZ2" s="4" t="s">
        <v>7454</v>
      </c>
      <c r="KA2" s="4" t="s">
        <v>7455</v>
      </c>
      <c r="KB2" s="4" t="s">
        <v>7456</v>
      </c>
      <c r="KC2" s="4" t="s">
        <v>7457</v>
      </c>
      <c r="KD2" s="4" t="s">
        <v>7524</v>
      </c>
      <c r="KE2" s="4" t="s">
        <v>7458</v>
      </c>
      <c r="KF2" s="4" t="s">
        <v>7459</v>
      </c>
      <c r="KG2" s="4" t="s">
        <v>7472</v>
      </c>
      <c r="KH2" s="4" t="s">
        <v>7473</v>
      </c>
      <c r="KI2" s="4" t="s">
        <v>7474</v>
      </c>
      <c r="KJ2" s="4" t="s">
        <v>7475</v>
      </c>
      <c r="KK2" s="4" t="s">
        <v>7476</v>
      </c>
      <c r="KL2" s="4" t="s">
        <v>7477</v>
      </c>
      <c r="KM2" s="4" t="s">
        <v>7478</v>
      </c>
      <c r="KN2" s="4" t="s">
        <v>7479</v>
      </c>
      <c r="KO2" s="4" t="s">
        <v>7588</v>
      </c>
      <c r="KP2" s="4" t="s">
        <v>7589</v>
      </c>
      <c r="KQ2" s="4" t="s">
        <v>7480</v>
      </c>
      <c r="KR2" s="4" t="s">
        <v>7481</v>
      </c>
      <c r="KS2" s="4" t="s">
        <v>7482</v>
      </c>
      <c r="KT2" s="4" t="s">
        <v>7483</v>
      </c>
      <c r="KU2" s="4" t="s">
        <v>7484</v>
      </c>
      <c r="KV2" s="4" t="s">
        <v>7486</v>
      </c>
      <c r="KW2" s="4" t="s">
        <v>7485</v>
      </c>
      <c r="KX2" s="4" t="s">
        <v>7487</v>
      </c>
      <c r="KY2" s="4" t="s">
        <v>7518</v>
      </c>
      <c r="KZ2" s="4" t="s">
        <v>7500</v>
      </c>
      <c r="LA2" s="4" t="s">
        <v>7522</v>
      </c>
      <c r="LB2" s="4" t="s">
        <v>7521</v>
      </c>
      <c r="LC2" s="4" t="s">
        <v>7544</v>
      </c>
      <c r="LD2" s="4" t="s">
        <v>7543</v>
      </c>
      <c r="LE2" s="4" t="s">
        <v>7512</v>
      </c>
      <c r="LF2" s="4" t="s">
        <v>7526</v>
      </c>
      <c r="LG2" s="4" t="s">
        <v>7519</v>
      </c>
      <c r="LH2" s="4" t="s">
        <v>7533</v>
      </c>
      <c r="LI2" s="4" t="s">
        <v>7530</v>
      </c>
      <c r="LJ2" s="4" t="s">
        <v>7534</v>
      </c>
      <c r="LK2" s="4" t="s">
        <v>7528</v>
      </c>
      <c r="LL2" s="4" t="s">
        <v>7507</v>
      </c>
      <c r="LM2" s="4" t="s">
        <v>7529</v>
      </c>
      <c r="LN2" s="4" t="s">
        <v>7520</v>
      </c>
      <c r="LO2" s="4" t="s">
        <v>7506</v>
      </c>
      <c r="LP2" s="4" t="s">
        <v>7525</v>
      </c>
      <c r="LQ2" s="4" t="s">
        <v>7531</v>
      </c>
      <c r="LR2" s="4" t="s">
        <v>7532</v>
      </c>
      <c r="LS2" s="4" t="s">
        <v>7527</v>
      </c>
      <c r="LT2" s="4" t="s">
        <v>7579</v>
      </c>
      <c r="LU2" s="4" t="s">
        <v>7585</v>
      </c>
      <c r="LV2" s="4" t="s">
        <v>7587</v>
      </c>
      <c r="LW2" s="4" t="s">
        <v>7597</v>
      </c>
      <c r="LX2" s="4" t="s">
        <v>7586</v>
      </c>
      <c r="LY2" s="4" t="s">
        <v>7595</v>
      </c>
      <c r="LZ2" s="4" t="s">
        <v>7599</v>
      </c>
      <c r="MA2" s="4" t="s">
        <v>7558</v>
      </c>
      <c r="MB2" s="4" t="s">
        <v>7600</v>
      </c>
      <c r="MC2" s="4" t="s">
        <v>7582</v>
      </c>
      <c r="MD2" s="4" t="s">
        <v>7591</v>
      </c>
      <c r="ME2" s="4" t="s">
        <v>7594</v>
      </c>
      <c r="MF2" s="4" t="s">
        <v>7590</v>
      </c>
      <c r="MG2" s="4" t="s">
        <v>7580</v>
      </c>
      <c r="MH2" s="4" t="s">
        <v>7593</v>
      </c>
      <c r="MI2" s="4" t="s">
        <v>7581</v>
      </c>
      <c r="MJ2" s="4" t="s">
        <v>7584</v>
      </c>
      <c r="MK2" s="4" t="s">
        <v>7686</v>
      </c>
      <c r="ML2" s="4" t="s">
        <v>7696</v>
      </c>
      <c r="MM2" s="4" t="s">
        <v>7699</v>
      </c>
      <c r="MN2" s="4" t="s">
        <v>7607</v>
      </c>
      <c r="MO2" s="4" t="s">
        <v>7611</v>
      </c>
      <c r="MP2" s="4" t="s">
        <v>7610</v>
      </c>
      <c r="MQ2" s="4" t="s">
        <v>7624</v>
      </c>
      <c r="MR2" s="4" t="s">
        <v>7636</v>
      </c>
      <c r="MS2" s="4" t="s">
        <v>7683</v>
      </c>
      <c r="MT2" s="4" t="s">
        <v>7684</v>
      </c>
      <c r="MU2" s="4" t="s">
        <v>7672</v>
      </c>
      <c r="MV2" s="4" t="s">
        <v>7694</v>
      </c>
      <c r="MW2" s="4" t="s">
        <v>7681</v>
      </c>
      <c r="MX2" s="4" t="s">
        <v>7765</v>
      </c>
      <c r="MY2" s="4" t="s">
        <v>7687</v>
      </c>
      <c r="MZ2" s="4" t="s">
        <v>7690</v>
      </c>
      <c r="NA2" s="4" t="s">
        <v>7695</v>
      </c>
      <c r="NB2" s="4" t="s">
        <v>7844</v>
      </c>
      <c r="NC2" s="4" t="s">
        <v>7845</v>
      </c>
      <c r="ND2" s="4" t="s">
        <v>7849</v>
      </c>
      <c r="NE2" s="4" t="s">
        <v>7851</v>
      </c>
      <c r="NF2" s="4" t="s">
        <v>7856</v>
      </c>
      <c r="NG2" s="4" t="s">
        <v>7855</v>
      </c>
      <c r="NH2" s="4" t="s">
        <v>7859</v>
      </c>
      <c r="NI2" s="4" t="s">
        <v>7857</v>
      </c>
      <c r="NJ2" s="4" t="s">
        <v>7865</v>
      </c>
      <c r="NK2" s="4" t="s">
        <v>7860</v>
      </c>
      <c r="NL2" s="4" t="s">
        <v>7868</v>
      </c>
      <c r="NM2" s="4" t="s">
        <v>7861</v>
      </c>
      <c r="NN2" s="4" t="s">
        <v>7852</v>
      </c>
      <c r="NO2" s="4" t="s">
        <v>7869</v>
      </c>
      <c r="NP2" s="4" t="s">
        <v>7937</v>
      </c>
      <c r="NQ2" s="4" t="s">
        <v>7853</v>
      </c>
      <c r="NR2" s="4" t="s">
        <v>7938</v>
      </c>
      <c r="NS2" s="4" t="s">
        <v>7924</v>
      </c>
      <c r="NT2" s="4" t="s">
        <v>7956</v>
      </c>
      <c r="NU2" s="4" t="s">
        <v>7955</v>
      </c>
      <c r="NV2" s="4" t="s">
        <v>7954</v>
      </c>
      <c r="NW2" s="4" t="s">
        <v>8023</v>
      </c>
      <c r="NX2" s="4" t="s">
        <v>8024</v>
      </c>
      <c r="NY2" s="4" t="s">
        <v>8025</v>
      </c>
      <c r="NZ2" s="4" t="s">
        <v>7982</v>
      </c>
      <c r="OA2" s="4" t="s">
        <v>7987</v>
      </c>
      <c r="OB2" s="4" t="s">
        <v>7989</v>
      </c>
      <c r="OC2" s="4" t="s">
        <v>7988</v>
      </c>
      <c r="OD2" s="4" t="s">
        <v>8010</v>
      </c>
      <c r="OE2" s="4" t="s">
        <v>8014</v>
      </c>
      <c r="OF2" s="4" t="s">
        <v>8022</v>
      </c>
      <c r="OG2" s="4" t="s">
        <v>8028</v>
      </c>
      <c r="OH2" s="4" t="s">
        <v>8066</v>
      </c>
      <c r="OI2" s="4" t="s">
        <v>8068</v>
      </c>
      <c r="OJ2" s="4" t="s">
        <v>8067</v>
      </c>
      <c r="OK2" s="4" t="s">
        <v>8069</v>
      </c>
      <c r="OL2" s="4" t="s">
        <v>8070</v>
      </c>
      <c r="OM2" s="4" t="s">
        <v>8071</v>
      </c>
      <c r="ON2" s="4" t="s">
        <v>8072</v>
      </c>
      <c r="OO2" s="4" t="s">
        <v>8073</v>
      </c>
      <c r="OP2" s="4" t="s">
        <v>8074</v>
      </c>
      <c r="OQ2" s="4" t="s">
        <v>8075</v>
      </c>
      <c r="OR2" s="4" t="s">
        <v>8078</v>
      </c>
      <c r="OS2" s="4" t="s">
        <v>8132</v>
      </c>
      <c r="OT2" s="4" t="s">
        <v>8119</v>
      </c>
      <c r="OU2" s="4" t="s">
        <v>8121</v>
      </c>
      <c r="OV2" s="4" t="s">
        <v>8129</v>
      </c>
      <c r="OW2" s="4" t="s">
        <v>8096</v>
      </c>
      <c r="OX2" s="4" t="s">
        <v>8099</v>
      </c>
      <c r="OY2" s="4" t="s">
        <v>8131</v>
      </c>
      <c r="OZ2" s="4" t="s">
        <v>8122</v>
      </c>
      <c r="PA2" s="4" t="s">
        <v>8106</v>
      </c>
      <c r="PB2" s="4" t="s">
        <v>8120</v>
      </c>
      <c r="PC2" s="4" t="s">
        <v>8123</v>
      </c>
      <c r="PD2" s="4" t="s">
        <v>8110</v>
      </c>
      <c r="PE2" s="4" t="s">
        <v>8128</v>
      </c>
      <c r="PF2" s="4" t="s">
        <v>8111</v>
      </c>
      <c r="PG2" s="4" t="s">
        <v>8117</v>
      </c>
      <c r="PH2" s="4" t="s">
        <v>8127</v>
      </c>
      <c r="PI2" s="4" t="s">
        <v>8118</v>
      </c>
      <c r="PJ2" s="4" t="s">
        <v>8325</v>
      </c>
      <c r="PK2" s="4" t="s">
        <v>8329</v>
      </c>
      <c r="PL2" s="4" t="s">
        <v>8328</v>
      </c>
      <c r="PM2" s="4" t="s">
        <v>8327</v>
      </c>
      <c r="PN2" s="4" t="s">
        <v>8326</v>
      </c>
      <c r="PO2" s="4" t="s">
        <v>8324</v>
      </c>
      <c r="PP2" s="4" t="s">
        <v>8323</v>
      </c>
      <c r="PQ2" s="4" t="s">
        <v>8178</v>
      </c>
      <c r="PR2" s="4" t="s">
        <v>8164</v>
      </c>
      <c r="PS2" s="4" t="s">
        <v>8231</v>
      </c>
      <c r="PT2" s="4" t="s">
        <v>8177</v>
      </c>
      <c r="PU2" s="4" t="s">
        <v>8252</v>
      </c>
      <c r="PV2" s="4" t="s">
        <v>8238</v>
      </c>
      <c r="PW2" s="4" t="s">
        <v>8248</v>
      </c>
      <c r="PX2" s="4" t="s">
        <v>8322</v>
      </c>
      <c r="PY2" s="4" t="s">
        <v>8233</v>
      </c>
      <c r="PZ2" s="4" t="s">
        <v>8237</v>
      </c>
      <c r="QA2" s="4" t="s">
        <v>8321</v>
      </c>
      <c r="QB2" s="4" t="s">
        <v>8242</v>
      </c>
      <c r="QC2" s="4" t="s">
        <v>8320</v>
      </c>
      <c r="QD2" s="4" t="s">
        <v>8319</v>
      </c>
      <c r="QE2" s="4" t="s">
        <v>8318</v>
      </c>
      <c r="QF2" s="4" t="s">
        <v>8317</v>
      </c>
      <c r="QG2" s="4" t="s">
        <v>8316</v>
      </c>
      <c r="QH2" s="4" t="s">
        <v>8315</v>
      </c>
      <c r="QI2" s="4" t="s">
        <v>8367</v>
      </c>
      <c r="QJ2" s="4" t="s">
        <v>8389</v>
      </c>
      <c r="QK2" s="4" t="s">
        <v>8392</v>
      </c>
      <c r="QL2" s="4" t="s">
        <v>8393</v>
      </c>
      <c r="QM2" s="4" t="s">
        <v>8390</v>
      </c>
      <c r="QN2" s="4" t="s">
        <v>8399</v>
      </c>
      <c r="QO2" s="4" t="s">
        <v>8391</v>
      </c>
      <c r="QP2" s="4" t="s">
        <v>8401</v>
      </c>
      <c r="QQ2" s="4" t="s">
        <v>8407</v>
      </c>
      <c r="QR2" s="4" t="s">
        <v>8376</v>
      </c>
      <c r="QS2" s="4" t="s">
        <v>8404</v>
      </c>
      <c r="QT2" s="4" t="s">
        <v>8403</v>
      </c>
      <c r="QU2" s="4" t="s">
        <v>8406</v>
      </c>
      <c r="QV2" s="4" t="s">
        <v>8410</v>
      </c>
      <c r="QW2" s="4" t="s">
        <v>8380</v>
      </c>
      <c r="QX2" s="4" t="s">
        <v>8382</v>
      </c>
      <c r="QY2" s="4" t="s">
        <v>8413</v>
      </c>
      <c r="QZ2" s="4" t="s">
        <v>8378</v>
      </c>
      <c r="RA2" s="4" t="s">
        <v>8411</v>
      </c>
      <c r="RB2" s="4" t="s">
        <v>8452</v>
      </c>
      <c r="RC2" s="4" t="s">
        <v>8453</v>
      </c>
      <c r="RD2" s="4" t="s">
        <v>8454</v>
      </c>
      <c r="RE2" s="4" t="s">
        <v>8455</v>
      </c>
      <c r="RF2" s="4" t="s">
        <v>8780</v>
      </c>
      <c r="RG2" s="4" t="s">
        <v>8795</v>
      </c>
      <c r="RH2" s="4" t="s">
        <v>8796</v>
      </c>
      <c r="RI2" s="4" t="s">
        <v>8797</v>
      </c>
      <c r="RJ2" s="4" t="s">
        <v>8794</v>
      </c>
      <c r="RK2" s="4" t="s">
        <v>8793</v>
      </c>
      <c r="RL2" s="4" t="s">
        <v>8798</v>
      </c>
      <c r="RM2" s="4" t="s">
        <v>8792</v>
      </c>
      <c r="RN2" s="4" t="s">
        <v>8773</v>
      </c>
      <c r="RO2" s="4" t="s">
        <v>8791</v>
      </c>
      <c r="RP2" s="4" t="s">
        <v>8790</v>
      </c>
      <c r="RQ2" s="4" t="s">
        <v>8789</v>
      </c>
      <c r="RR2" s="4" t="s">
        <v>8788</v>
      </c>
      <c r="RS2" s="4" t="s">
        <v>8787</v>
      </c>
      <c r="RT2" s="4" t="s">
        <v>8777</v>
      </c>
      <c r="RU2" s="4" t="s">
        <v>8786</v>
      </c>
      <c r="RV2" s="4" t="s">
        <v>8785</v>
      </c>
      <c r="RW2" s="4" t="s">
        <v>8784</v>
      </c>
      <c r="RX2" s="4" t="s">
        <v>8783</v>
      </c>
      <c r="RY2" s="4" t="s">
        <v>8781</v>
      </c>
      <c r="RZ2" s="4" t="s">
        <v>8834</v>
      </c>
      <c r="SA2" s="4" t="s">
        <v>8832</v>
      </c>
      <c r="SB2" s="4" t="s">
        <v>8833</v>
      </c>
      <c r="SC2" s="4" t="s">
        <v>8803</v>
      </c>
      <c r="SD2" s="4" t="s">
        <v>8838</v>
      </c>
      <c r="SE2" s="4" t="s">
        <v>8837</v>
      </c>
      <c r="SF2" s="4" t="s">
        <v>8836</v>
      </c>
      <c r="SG2" s="4" t="s">
        <v>8835</v>
      </c>
      <c r="SH2" s="4" t="s">
        <v>8812</v>
      </c>
      <c r="SI2" s="4" t="s">
        <v>8817</v>
      </c>
      <c r="SJ2" s="4" t="s">
        <v>8818</v>
      </c>
      <c r="SK2" s="4" t="s">
        <v>8819</v>
      </c>
      <c r="SL2" s="4" t="s">
        <v>8820</v>
      </c>
      <c r="SM2" s="4" t="s">
        <v>8821</v>
      </c>
      <c r="SN2" s="4" t="s">
        <v>8822</v>
      </c>
      <c r="SO2" s="4" t="s">
        <v>8823</v>
      </c>
      <c r="SP2" s="4" t="s">
        <v>8824</v>
      </c>
      <c r="SQ2" s="4" t="s">
        <v>8825</v>
      </c>
      <c r="SR2" s="4" t="s">
        <v>8826</v>
      </c>
      <c r="SS2" s="4" t="s">
        <v>8827</v>
      </c>
      <c r="ST2" s="4" t="s">
        <v>8815</v>
      </c>
      <c r="SU2" s="4" t="s">
        <v>8828</v>
      </c>
      <c r="SV2" s="4" t="s">
        <v>8829</v>
      </c>
      <c r="SW2" s="4" t="s">
        <v>8830</v>
      </c>
      <c r="SX2" s="4" t="s">
        <v>8831</v>
      </c>
      <c r="SY2" s="4" t="s">
        <v>8839</v>
      </c>
      <c r="SZ2" s="4" t="s">
        <v>8859</v>
      </c>
      <c r="TA2" s="4" t="s">
        <v>8876</v>
      </c>
      <c r="TB2" s="4" t="s">
        <v>8875</v>
      </c>
      <c r="TC2" s="4" t="s">
        <v>8874</v>
      </c>
      <c r="TD2" s="4" t="s">
        <v>8869</v>
      </c>
      <c r="TE2" s="4" t="s">
        <v>8868</v>
      </c>
      <c r="TF2" s="4" t="s">
        <v>8870</v>
      </c>
      <c r="TG2" s="4" t="s">
        <v>8858</v>
      </c>
      <c r="TH2" s="4" t="s">
        <v>8873</v>
      </c>
      <c r="TI2" s="4" t="s">
        <v>8867</v>
      </c>
      <c r="TJ2" s="4" t="s">
        <v>8871</v>
      </c>
      <c r="TK2" s="4" t="s">
        <v>8865</v>
      </c>
      <c r="TL2" s="4" t="s">
        <v>8866</v>
      </c>
      <c r="TM2" s="4" t="s">
        <v>8856</v>
      </c>
      <c r="TN2" s="4" t="s">
        <v>8872</v>
      </c>
      <c r="TO2" s="4" t="s">
        <v>8864</v>
      </c>
      <c r="TP2" s="4" t="s">
        <v>8863</v>
      </c>
      <c r="TQ2" s="4" t="s">
        <v>8862</v>
      </c>
      <c r="TR2" s="4" t="s">
        <v>8878</v>
      </c>
      <c r="TS2" s="4" t="s">
        <v>8880</v>
      </c>
      <c r="TT2" s="4" t="s">
        <v>8894</v>
      </c>
      <c r="TU2" s="4" t="s">
        <v>8881</v>
      </c>
      <c r="TV2" s="4" t="s">
        <v>8879</v>
      </c>
      <c r="TW2" s="4" t="s">
        <v>8895</v>
      </c>
      <c r="TX2" s="4" t="s">
        <v>8896</v>
      </c>
      <c r="TY2" s="4" t="s">
        <v>8884</v>
      </c>
      <c r="TZ2" s="4" t="s">
        <v>8892</v>
      </c>
      <c r="UA2" s="4" t="s">
        <v>8882</v>
      </c>
      <c r="UB2" s="4" t="s">
        <v>8891</v>
      </c>
      <c r="UC2" s="4" t="s">
        <v>8885</v>
      </c>
      <c r="UD2" s="4" t="s">
        <v>8910</v>
      </c>
      <c r="UE2" s="4" t="s">
        <v>8883</v>
      </c>
      <c r="UF2" s="4" t="s">
        <v>8886</v>
      </c>
      <c r="UG2" s="4" t="s">
        <v>8890</v>
      </c>
      <c r="UH2" s="4" t="s">
        <v>8899</v>
      </c>
      <c r="UI2" s="4" t="s">
        <v>8889</v>
      </c>
      <c r="UJ2" s="4" t="s">
        <v>8901</v>
      </c>
      <c r="UK2" s="4" t="s">
        <v>8909</v>
      </c>
      <c r="UL2" s="4" t="s">
        <v>8898</v>
      </c>
      <c r="UM2" s="4" t="s">
        <v>8900</v>
      </c>
      <c r="UN2" s="4" t="s">
        <v>8897</v>
      </c>
      <c r="UO2" s="4" t="s">
        <v>8908</v>
      </c>
      <c r="UP2" s="4" t="s">
        <v>8919</v>
      </c>
      <c r="UQ2" s="4" t="s">
        <v>8907</v>
      </c>
      <c r="UR2" s="4" t="s">
        <v>8918</v>
      </c>
      <c r="US2" s="4" t="s">
        <v>8920</v>
      </c>
      <c r="UT2" s="4" t="s">
        <v>8930</v>
      </c>
      <c r="UU2" s="4" t="s">
        <v>8906</v>
      </c>
      <c r="UV2" s="4" t="s">
        <v>8921</v>
      </c>
      <c r="UW2" s="4" t="s">
        <v>8922</v>
      </c>
      <c r="UX2" s="4" t="s">
        <v>8924</v>
      </c>
      <c r="UY2" s="4" t="s">
        <v>8923</v>
      </c>
      <c r="UZ2" s="4" t="s">
        <v>8925</v>
      </c>
      <c r="VA2" s="4" t="s">
        <v>8912</v>
      </c>
      <c r="VB2" s="4" t="s">
        <v>8931</v>
      </c>
      <c r="VC2" s="4" t="s">
        <v>8926</v>
      </c>
      <c r="VD2" s="4" t="s">
        <v>8917</v>
      </c>
      <c r="VE2" s="4" t="s">
        <v>8927</v>
      </c>
      <c r="VF2" s="4" t="s">
        <v>8929</v>
      </c>
      <c r="VG2" s="4" t="s">
        <v>8915</v>
      </c>
      <c r="VH2" s="4" t="s">
        <v>8916</v>
      </c>
      <c r="VI2" s="4" t="s">
        <v>8928</v>
      </c>
      <c r="VJ2" s="4" t="s">
        <v>8942</v>
      </c>
      <c r="VK2" s="4" t="s">
        <v>8949</v>
      </c>
      <c r="VL2" s="4" t="s">
        <v>8964</v>
      </c>
      <c r="VM2" s="4" t="s">
        <v>8966</v>
      </c>
      <c r="VN2" s="4" t="s">
        <v>8967</v>
      </c>
      <c r="VO2" s="4" t="s">
        <v>8950</v>
      </c>
      <c r="VP2" s="4" t="s">
        <v>8980</v>
      </c>
      <c r="VQ2" s="4" t="s">
        <v>8976</v>
      </c>
      <c r="VR2" s="4" t="s">
        <v>8979</v>
      </c>
      <c r="VS2" s="4" t="s">
        <v>8951</v>
      </c>
      <c r="VT2" s="4" t="s">
        <v>8975</v>
      </c>
      <c r="VU2" s="4" t="s">
        <v>8971</v>
      </c>
      <c r="VV2" s="4" t="s">
        <v>8974</v>
      </c>
      <c r="VW2" s="4" t="s">
        <v>8970</v>
      </c>
      <c r="VX2" s="4" t="s">
        <v>8939</v>
      </c>
      <c r="VY2" s="4" t="s">
        <v>8952</v>
      </c>
      <c r="VZ2" s="4" t="s">
        <v>8969</v>
      </c>
      <c r="WA2" s="4" t="s">
        <v>8965</v>
      </c>
      <c r="WB2" s="4" t="s">
        <v>8953</v>
      </c>
      <c r="WC2" s="4" t="s">
        <v>8968</v>
      </c>
      <c r="WD2" s="4" t="s">
        <v>9009</v>
      </c>
      <c r="WE2" s="4" t="s">
        <v>8972</v>
      </c>
      <c r="WF2" s="4" t="s">
        <v>8978</v>
      </c>
      <c r="WG2" s="4" t="s">
        <v>8999</v>
      </c>
      <c r="WH2" s="4" t="s">
        <v>9015</v>
      </c>
      <c r="WI2" s="4" t="s">
        <v>9023</v>
      </c>
      <c r="WJ2" s="4" t="s">
        <v>9000</v>
      </c>
      <c r="WK2" s="4" t="s">
        <v>9004</v>
      </c>
      <c r="WL2" s="4" t="s">
        <v>9002</v>
      </c>
      <c r="WM2" s="4" t="s">
        <v>9024</v>
      </c>
      <c r="WN2" s="4" t="s">
        <v>9025</v>
      </c>
      <c r="WO2" s="4" t="s">
        <v>9026</v>
      </c>
      <c r="WP2" s="4" t="s">
        <v>9027</v>
      </c>
      <c r="WQ2" s="4" t="s">
        <v>9028</v>
      </c>
      <c r="WR2" s="4" t="s">
        <v>9029</v>
      </c>
      <c r="WS2" s="4" t="s">
        <v>9030</v>
      </c>
      <c r="WT2" s="4" t="s">
        <v>9031</v>
      </c>
      <c r="WU2" s="4" t="s">
        <v>9032</v>
      </c>
      <c r="WV2" s="4" t="s">
        <v>9033</v>
      </c>
      <c r="WW2" s="4" t="s">
        <v>9034</v>
      </c>
      <c r="WX2" s="4" t="s">
        <v>9035</v>
      </c>
      <c r="WY2" s="4" t="s">
        <v>9036</v>
      </c>
      <c r="WZ2" s="4" t="s">
        <v>9037</v>
      </c>
      <c r="XA2" s="4" t="s">
        <v>9067</v>
      </c>
      <c r="XB2" s="4" t="s">
        <v>9065</v>
      </c>
      <c r="XC2" s="4" t="s">
        <v>9066</v>
      </c>
      <c r="XD2" s="4" t="s">
        <v>9041</v>
      </c>
      <c r="XE2" s="4" t="s">
        <v>9061</v>
      </c>
      <c r="XF2" s="4" t="s">
        <v>9062</v>
      </c>
      <c r="XG2" s="4" t="s">
        <v>7583</v>
      </c>
      <c r="XH2" s="4"/>
    </row>
    <row r="3" spans="1:632" ht="15" hidden="1" customHeight="1" x14ac:dyDescent="0.25">
      <c r="A3" s="5" t="s">
        <v>1660</v>
      </c>
      <c r="B3" s="14" t="str">
        <f>VLOOKUP(TAB_SAIDA[[#This Row],[COD_2_SAIDA]],TAB_ESTOQUE[[Codigo]:[Descrição Tecnica]],6,FALSE)</f>
        <v>MODULO DE FREIO SEW  13000063 Uin24V DC Ue 20...30V DC  I n 5,0A DC</v>
      </c>
      <c r="C3" s="14">
        <f>IFERROR(VLOOKUP(TAB_SAIDA[[#This Row],[COD_2_SAIDA]],TAB_ESTOQUE[[Codigo]:[Referência Tec]],7,FALSE),"")</f>
        <v>0</v>
      </c>
      <c r="D3" s="14" t="str">
        <f>VLOOKUP(TAB_SAIDA[[#This Row],[COD_2_SAIDA]],TAB_ESTOQUE[[Codigo]:[Endereço2]],12,FALSE)</f>
        <v>B1103</v>
      </c>
      <c r="E3" s="81">
        <f>SUM(TAB_SAIDA[[#This Row],[20/05/2019]:[00/00/00]])</f>
        <v>1</v>
      </c>
      <c r="F3" s="3"/>
      <c r="CW3" s="4"/>
      <c r="RR3" s="3">
        <v>1</v>
      </c>
    </row>
    <row r="4" spans="1:632" ht="15" hidden="1" customHeight="1" x14ac:dyDescent="0.25">
      <c r="A4" s="5" t="s">
        <v>1661</v>
      </c>
      <c r="B4" s="14" t="str">
        <f>VLOOKUP(TAB_SAIDA[[#This Row],[COD_2_SAIDA]],TAB_ESTOQUE[[Codigo]:[Descrição Tecnica]],6,FALSE)</f>
        <v>FITA ISOLANTE PARA/ ALTA TENSÃO SCOTCH 23 - AUTOFUSÃO 19MM X 10M</v>
      </c>
      <c r="C4" s="14">
        <f>IFERROR(VLOOKUP(TAB_SAIDA[[#This Row],[COD_2_SAIDA]],TAB_ESTOQUE[[Codigo]:[Referência Tec]],7,FALSE),"")</f>
        <v>0</v>
      </c>
      <c r="D4" s="14" t="str">
        <f>VLOOKUP(TAB_SAIDA[[#This Row],[COD_2_SAIDA]],TAB_ESTOQUE[[Codigo]:[Endereço2]],12,FALSE)</f>
        <v>ARMARIO</v>
      </c>
      <c r="E4" s="81">
        <f>SUM(TAB_SAIDA[[#This Row],[20/05/2019]:[00/00/00]])</f>
        <v>14</v>
      </c>
      <c r="F4" s="3"/>
      <c r="TB4" s="3">
        <v>1</v>
      </c>
      <c r="TS4" s="3">
        <v>3</v>
      </c>
      <c r="TV4" s="3">
        <v>2</v>
      </c>
      <c r="UV4" s="3">
        <v>4</v>
      </c>
      <c r="VL4" s="3">
        <v>1</v>
      </c>
      <c r="WP4" s="3">
        <v>1</v>
      </c>
      <c r="WR4" s="3">
        <v>2</v>
      </c>
    </row>
    <row r="5" spans="1:632" ht="15" hidden="1" customHeight="1" x14ac:dyDescent="0.25">
      <c r="A5" s="5" t="s">
        <v>1662</v>
      </c>
      <c r="B5" s="14" t="str">
        <f>VLOOKUP(TAB_SAIDA[[#This Row],[COD_2_SAIDA]],TAB_ESTOQUE[[Codigo]:[Descrição Tecnica]],6,FALSE)</f>
        <v>FITA ISOLANTE PROFISSIONAL PRETA  / 19MM X 20M 33+</v>
      </c>
      <c r="C5" s="14">
        <f>IFERROR(VLOOKUP(TAB_SAIDA[[#This Row],[COD_2_SAIDA]],TAB_ESTOQUE[[Codigo]:[Referência Tec]],7,FALSE),"")</f>
        <v>0</v>
      </c>
      <c r="D5" s="14" t="str">
        <f>VLOOKUP(TAB_SAIDA[[#This Row],[COD_2_SAIDA]],TAB_ESTOQUE[[Codigo]:[Endereço2]],12,FALSE)</f>
        <v>ARMARIO</v>
      </c>
      <c r="E5" s="81">
        <f>SUM(TAB_SAIDA[[#This Row],[20/05/2019]:[00/00/00]])</f>
        <v>42</v>
      </c>
      <c r="F5" s="3"/>
      <c r="RZ5" s="3">
        <v>1</v>
      </c>
      <c r="SI5" s="3">
        <v>1</v>
      </c>
      <c r="SU5" s="3">
        <v>1</v>
      </c>
      <c r="TB5" s="3">
        <v>1</v>
      </c>
      <c r="TJ5" s="3">
        <v>1</v>
      </c>
      <c r="TK5" s="3">
        <v>1</v>
      </c>
      <c r="TO5" s="3">
        <v>1</v>
      </c>
      <c r="TQ5" s="3">
        <v>1</v>
      </c>
      <c r="TS5" s="3">
        <v>2</v>
      </c>
      <c r="TU5" s="3">
        <v>1</v>
      </c>
      <c r="TV5" s="3">
        <v>2</v>
      </c>
      <c r="UA5" s="3">
        <v>1</v>
      </c>
      <c r="UE5" s="3">
        <v>1</v>
      </c>
      <c r="UP5" s="3">
        <v>1</v>
      </c>
      <c r="UQ5" s="3">
        <v>2</v>
      </c>
      <c r="UR5" s="3">
        <v>1</v>
      </c>
      <c r="US5" s="3">
        <v>1</v>
      </c>
      <c r="UU5" s="3">
        <v>2</v>
      </c>
      <c r="UV5" s="3">
        <v>4</v>
      </c>
      <c r="UW5" s="3">
        <v>2</v>
      </c>
      <c r="UZ5" s="3">
        <v>2</v>
      </c>
      <c r="VD5" s="3">
        <v>1</v>
      </c>
      <c r="VE5" s="3">
        <v>1</v>
      </c>
      <c r="VG5" s="3">
        <v>1</v>
      </c>
      <c r="VI5" s="3">
        <v>1</v>
      </c>
      <c r="VK5" s="3">
        <v>1</v>
      </c>
      <c r="VQ5" s="3">
        <v>1</v>
      </c>
      <c r="VU5" s="3">
        <v>1</v>
      </c>
      <c r="VZ5" s="3">
        <v>1</v>
      </c>
      <c r="WJ5" s="3">
        <v>2</v>
      </c>
      <c r="WO5" s="3">
        <v>1</v>
      </c>
      <c r="WP5" s="3">
        <v>1</v>
      </c>
    </row>
    <row r="6" spans="1:632" ht="15" hidden="1" customHeight="1" x14ac:dyDescent="0.25">
      <c r="A6" s="5" t="s">
        <v>1663</v>
      </c>
      <c r="B6" s="14" t="str">
        <f>VLOOKUP(TAB_SAIDA[[#This Row],[COD_2_SAIDA]],TAB_ESTOQUE[[Codigo]:[Descrição Tecnica]],6,FALSE)</f>
        <v xml:space="preserve">TOMADAS DE 10  AMPERES </v>
      </c>
      <c r="C6" s="14">
        <f>IFERROR(VLOOKUP(TAB_SAIDA[[#This Row],[COD_2_SAIDA]],TAB_ESTOQUE[[Codigo]:[Referência Tec]],7,FALSE),"")</f>
        <v>0</v>
      </c>
      <c r="D6" s="14" t="str">
        <f>VLOOKUP(TAB_SAIDA[[#This Row],[COD_2_SAIDA]],TAB_ESTOQUE[[Codigo]:[Endereço2]],12,FALSE)</f>
        <v>A1402</v>
      </c>
      <c r="E6" s="81">
        <f>SUM(TAB_SAIDA[[#This Row],[20/05/2019]:[00/00/00]])</f>
        <v>3</v>
      </c>
      <c r="F6" s="3"/>
      <c r="VT6" s="3">
        <v>1</v>
      </c>
      <c r="VV6" s="3">
        <v>2</v>
      </c>
    </row>
    <row r="7" spans="1:632" ht="15" hidden="1" customHeight="1" x14ac:dyDescent="0.25">
      <c r="A7" s="5" t="s">
        <v>1664</v>
      </c>
      <c r="B7" s="14" t="str">
        <f>VLOOKUP(TAB_SAIDA[[#This Row],[COD_2_SAIDA]],TAB_ESTOQUE[[Codigo]:[Descrição Tecnica]],6,FALSE)</f>
        <v>REATOR ELETRÔNICO PHILIPS 2X32W 127/230V - REF. EB232A16/26P</v>
      </c>
      <c r="C7" s="14">
        <f>IFERROR(VLOOKUP(TAB_SAIDA[[#This Row],[COD_2_SAIDA]],TAB_ESTOQUE[[Codigo]:[Referência Tec]],7,FALSE),"")</f>
        <v>0</v>
      </c>
      <c r="D7" s="14" t="str">
        <f>VLOOKUP(TAB_SAIDA[[#This Row],[COD_2_SAIDA]],TAB_ESTOQUE[[Codigo]:[Endereço2]],12,FALSE)</f>
        <v>A1405</v>
      </c>
      <c r="E7" s="81">
        <f>SUM(TAB_SAIDA[[#This Row],[20/05/2019]:[00/00/00]])</f>
        <v>2</v>
      </c>
      <c r="F7" s="3"/>
      <c r="VQ7" s="3">
        <v>2</v>
      </c>
    </row>
    <row r="8" spans="1:632" ht="15" hidden="1" customHeight="1" x14ac:dyDescent="0.25">
      <c r="A8" s="5" t="s">
        <v>1665</v>
      </c>
      <c r="B8" s="14" t="str">
        <f>VLOOKUP(TAB_SAIDA[[#This Row],[COD_2_SAIDA]],TAB_ESTOQUE[[Codigo]:[Descrição Tecnica]],6,FALSE)</f>
        <v>CONDULETE ALUM: E 1" COM ROSCA</v>
      </c>
      <c r="C8" s="14">
        <f>IFERROR(VLOOKUP(TAB_SAIDA[[#This Row],[COD_2_SAIDA]],TAB_ESTOQUE[[Codigo]:[Referência Tec]],7,FALSE),"")</f>
        <v>0</v>
      </c>
      <c r="D8" s="14" t="str">
        <f>VLOOKUP(TAB_SAIDA[[#This Row],[COD_2_SAIDA]],TAB_ESTOQUE[[Codigo]:[Endereço2]],12,FALSE)</f>
        <v>A1402</v>
      </c>
      <c r="E8" s="81">
        <f>SUM(TAB_SAIDA[[#This Row],[20/05/2019]:[00/00/00]])</f>
        <v>0</v>
      </c>
      <c r="F8" s="3"/>
    </row>
    <row r="9" spans="1:632" ht="15" hidden="1" customHeight="1" x14ac:dyDescent="0.25">
      <c r="A9" s="5" t="s">
        <v>1666</v>
      </c>
      <c r="B9" s="14" t="str">
        <f>VLOOKUP(TAB_SAIDA[[#This Row],[COD_2_SAIDA]],TAB_ESTOQUE[[Codigo]:[Descrição Tecnica]],6,FALSE)</f>
        <v>ACOPLAMENTO STECK N3059 16A-9h/380-440V 2P+</v>
      </c>
      <c r="C9" s="14">
        <f>IFERROR(VLOOKUP(TAB_SAIDA[[#This Row],[COD_2_SAIDA]],TAB_ESTOQUE[[Codigo]:[Referência Tec]],7,FALSE),"")</f>
        <v>0</v>
      </c>
      <c r="D9" s="14" t="str">
        <f>VLOOKUP(TAB_SAIDA[[#This Row],[COD_2_SAIDA]],TAB_ESTOQUE[[Codigo]:[Endereço2]],12,FALSE)</f>
        <v>A1405</v>
      </c>
      <c r="E9" s="81">
        <f>SUM(TAB_SAIDA[[#This Row],[20/05/2019]:[00/00/00]])</f>
        <v>0</v>
      </c>
      <c r="F9" s="3"/>
    </row>
    <row r="10" spans="1:632" ht="15" hidden="1" customHeight="1" x14ac:dyDescent="0.25">
      <c r="A10" s="5" t="s">
        <v>1667</v>
      </c>
      <c r="B10" s="14" t="str">
        <f>VLOOKUP(TAB_SAIDA[[#This Row],[COD_2_SAIDA]],TAB_ESTOQUE[[Codigo]:[Descrição Tecnica]],6,FALSE)</f>
        <v>FUSIVEL CERAMICO RESISTENCIAS DO PARSEL SHELF 10A</v>
      </c>
      <c r="C10" s="14">
        <f>IFERROR(VLOOKUP(TAB_SAIDA[[#This Row],[COD_2_SAIDA]],TAB_ESTOQUE[[Codigo]:[Referência Tec]],7,FALSE),"")</f>
        <v>0</v>
      </c>
      <c r="D10" s="14" t="str">
        <f>VLOOKUP(TAB_SAIDA[[#This Row],[COD_2_SAIDA]],TAB_ESTOQUE[[Codigo]:[Endereço2]],12,FALSE)</f>
        <v>A1204</v>
      </c>
      <c r="E10" s="81">
        <f>SUM(TAB_SAIDA[[#This Row],[20/05/2019]:[00/00/00]])</f>
        <v>2</v>
      </c>
      <c r="F10" s="3"/>
      <c r="VY10" s="3">
        <v>2</v>
      </c>
    </row>
    <row r="11" spans="1:632" ht="15" hidden="1" customHeight="1" x14ac:dyDescent="0.25">
      <c r="A11" s="5" t="s">
        <v>1668</v>
      </c>
      <c r="B11" s="14" t="str">
        <f>VLOOKUP(TAB_SAIDA[[#This Row],[COD_2_SAIDA]],TAB_ESTOQUE[[Codigo]:[Descrição Tecnica]],6,FALSE)</f>
        <v>FUSIVEL DE VIDRO 1,5A</v>
      </c>
      <c r="C11" s="14">
        <f>IFERROR(VLOOKUP(TAB_SAIDA[[#This Row],[COD_2_SAIDA]],TAB_ESTOQUE[[Codigo]:[Referência Tec]],7,FALSE),"")</f>
        <v>0</v>
      </c>
      <c r="D11" s="14" t="str">
        <f>VLOOKUP(TAB_SAIDA[[#This Row],[COD_2_SAIDA]],TAB_ESTOQUE[[Codigo]:[Endereço2]],12,FALSE)</f>
        <v>A1204</v>
      </c>
      <c r="E11" s="81">
        <f>SUM(TAB_SAIDA[[#This Row],[20/05/2019]:[00/00/00]])</f>
        <v>0</v>
      </c>
      <c r="F11" s="3"/>
    </row>
    <row r="12" spans="1:632" ht="15" hidden="1" customHeight="1" x14ac:dyDescent="0.25">
      <c r="A12" s="5" t="s">
        <v>1669</v>
      </c>
      <c r="B12" s="14" t="str">
        <f>VLOOKUP(TAB_SAIDA[[#This Row],[COD_2_SAIDA]],TAB_ESTOQUE[[Codigo]:[Descrição Tecnica]],6,FALSE)</f>
        <v>FUSIVEL DE VIDRO  2,5A</v>
      </c>
      <c r="C12" s="14">
        <f>IFERROR(VLOOKUP(TAB_SAIDA[[#This Row],[COD_2_SAIDA]],TAB_ESTOQUE[[Codigo]:[Referência Tec]],7,FALSE),"")</f>
        <v>0</v>
      </c>
      <c r="D12" s="14" t="str">
        <f>VLOOKUP(TAB_SAIDA[[#This Row],[COD_2_SAIDA]],TAB_ESTOQUE[[Codigo]:[Endereço2]],12,FALSE)</f>
        <v>A1204</v>
      </c>
      <c r="E12" s="81">
        <f>SUM(TAB_SAIDA[[#This Row],[20/05/2019]:[00/00/00]])</f>
        <v>0</v>
      </c>
      <c r="F12" s="3"/>
    </row>
    <row r="13" spans="1:632" ht="15" hidden="1" customHeight="1" x14ac:dyDescent="0.25">
      <c r="A13" s="5" t="s">
        <v>1670</v>
      </c>
      <c r="B13" s="14" t="str">
        <f>VLOOKUP(TAB_SAIDA[[#This Row],[COD_2_SAIDA]],TAB_ESTOQUE[[Codigo]:[Descrição Tecnica]],6,FALSE)</f>
        <v>FUSIVEL DE VIDRO  3A</v>
      </c>
      <c r="C13" s="14">
        <f>IFERROR(VLOOKUP(TAB_SAIDA[[#This Row],[COD_2_SAIDA]],TAB_ESTOQUE[[Codigo]:[Referência Tec]],7,FALSE),"")</f>
        <v>0</v>
      </c>
      <c r="D13" s="14" t="str">
        <f>VLOOKUP(TAB_SAIDA[[#This Row],[COD_2_SAIDA]],TAB_ESTOQUE[[Codigo]:[Endereço2]],12,FALSE)</f>
        <v>A1204</v>
      </c>
      <c r="E13" s="81">
        <f>SUM(TAB_SAIDA[[#This Row],[20/05/2019]:[00/00/00]])</f>
        <v>0</v>
      </c>
      <c r="F13" s="3"/>
    </row>
    <row r="14" spans="1:632" ht="15" hidden="1" customHeight="1" x14ac:dyDescent="0.25">
      <c r="A14" s="5" t="s">
        <v>1671</v>
      </c>
      <c r="B14" s="14" t="str">
        <f>VLOOKUP(TAB_SAIDA[[#This Row],[COD_2_SAIDA]],TAB_ESTOQUE[[Codigo]:[Descrição Tecnica]],6,FALSE)</f>
        <v>FUSIVEL DE VIDRO 6A</v>
      </c>
      <c r="C14" s="14">
        <f>IFERROR(VLOOKUP(TAB_SAIDA[[#This Row],[COD_2_SAIDA]],TAB_ESTOQUE[[Codigo]:[Referência Tec]],7,FALSE),"")</f>
        <v>0</v>
      </c>
      <c r="D14" s="14" t="str">
        <f>VLOOKUP(TAB_SAIDA[[#This Row],[COD_2_SAIDA]],TAB_ESTOQUE[[Codigo]:[Endereço2]],12,FALSE)</f>
        <v>A1204</v>
      </c>
      <c r="E14" s="81">
        <f>SUM(TAB_SAIDA[[#This Row],[20/05/2019]:[00/00/00]])</f>
        <v>10</v>
      </c>
      <c r="F14" s="3"/>
      <c r="WU14" s="3">
        <v>10</v>
      </c>
    </row>
    <row r="15" spans="1:632" ht="15" hidden="1" customHeight="1" x14ac:dyDescent="0.25">
      <c r="A15" s="5" t="s">
        <v>1672</v>
      </c>
      <c r="B15" s="14" t="str">
        <f>VLOOKUP(TAB_SAIDA[[#This Row],[COD_2_SAIDA]],TAB_ESTOQUE[[Codigo]:[Descrição Tecnica]],6,FALSE)</f>
        <v>FUSIVEL DE VIDRO  4A</v>
      </c>
      <c r="C15" s="14">
        <f>IFERROR(VLOOKUP(TAB_SAIDA[[#This Row],[COD_2_SAIDA]],TAB_ESTOQUE[[Codigo]:[Referência Tec]],7,FALSE),"")</f>
        <v>0</v>
      </c>
      <c r="D15" s="14" t="str">
        <f>VLOOKUP(TAB_SAIDA[[#This Row],[COD_2_SAIDA]],TAB_ESTOQUE[[Codigo]:[Endereço2]],12,FALSE)</f>
        <v>A1204</v>
      </c>
      <c r="E15" s="81">
        <f>SUM(TAB_SAIDA[[#This Row],[20/05/2019]:[00/00/00]])</f>
        <v>0</v>
      </c>
      <c r="F15" s="3"/>
    </row>
    <row r="16" spans="1:632" ht="15" hidden="1" customHeight="1" x14ac:dyDescent="0.25">
      <c r="A16" s="5" t="s">
        <v>1673</v>
      </c>
      <c r="B16" s="14" t="str">
        <f>VLOOKUP(TAB_SAIDA[[#This Row],[COD_2_SAIDA]],TAB_ESTOQUE[[Codigo]:[Descrição Tecnica]],6,FALSE)</f>
        <v>FUSIVEL CARTUCHO ULTRA RAPIDO 10X38 4A</v>
      </c>
      <c r="C16" s="14">
        <f>IFERROR(VLOOKUP(TAB_SAIDA[[#This Row],[COD_2_SAIDA]],TAB_ESTOQUE[[Codigo]:[Referência Tec]],7,FALSE),"")</f>
        <v>0</v>
      </c>
      <c r="D16" s="14" t="str">
        <f>VLOOKUP(TAB_SAIDA[[#This Row],[COD_2_SAIDA]],TAB_ESTOQUE[[Codigo]:[Endereço2]],12,FALSE)</f>
        <v>A1204</v>
      </c>
      <c r="E16" s="81">
        <f>SUM(TAB_SAIDA[[#This Row],[20/05/2019]:[00/00/00]])</f>
        <v>2</v>
      </c>
      <c r="F16" s="3"/>
      <c r="VK16" s="3">
        <v>2</v>
      </c>
    </row>
    <row r="17" spans="1:584" ht="15" hidden="1" customHeight="1" x14ac:dyDescent="0.25">
      <c r="A17" s="5" t="s">
        <v>1674</v>
      </c>
      <c r="B17" s="14" t="str">
        <f>VLOOKUP(TAB_SAIDA[[#This Row],[COD_2_SAIDA]],TAB_ESTOQUE[[Codigo]:[Descrição Tecnica]],6,FALSE)</f>
        <v>FUSIVEL CARTUCHO ULTRA RAPIDO 10X38 2A</v>
      </c>
      <c r="C17" s="14">
        <f>IFERROR(VLOOKUP(TAB_SAIDA[[#This Row],[COD_2_SAIDA]],TAB_ESTOQUE[[Codigo]:[Referência Tec]],7,FALSE),"")</f>
        <v>0</v>
      </c>
      <c r="D17" s="14" t="str">
        <f>VLOOKUP(TAB_SAIDA[[#This Row],[COD_2_SAIDA]],TAB_ESTOQUE[[Codigo]:[Endereço2]],12,FALSE)</f>
        <v>A1204</v>
      </c>
      <c r="E17" s="81">
        <f>SUM(TAB_SAIDA[[#This Row],[20/05/2019]:[00/00/00]])</f>
        <v>0</v>
      </c>
      <c r="F17" s="3"/>
    </row>
    <row r="18" spans="1:584" ht="15" hidden="1" customHeight="1" x14ac:dyDescent="0.25">
      <c r="A18" s="5" t="s">
        <v>1675</v>
      </c>
      <c r="B18" s="14" t="str">
        <f>VLOOKUP(TAB_SAIDA[[#This Row],[COD_2_SAIDA]],TAB_ESTOQUE[[Codigo]:[Descrição Tecnica]],6,FALSE)</f>
        <v>FUSIVEL CARTUCHO ULTRA RAPIDO 10X38 6A</v>
      </c>
      <c r="C18" s="14">
        <f>IFERROR(VLOOKUP(TAB_SAIDA[[#This Row],[COD_2_SAIDA]],TAB_ESTOQUE[[Codigo]:[Referência Tec]],7,FALSE),"")</f>
        <v>0</v>
      </c>
      <c r="D18" s="14" t="str">
        <f>VLOOKUP(TAB_SAIDA[[#This Row],[COD_2_SAIDA]],TAB_ESTOQUE[[Codigo]:[Endereço2]],12,FALSE)</f>
        <v>A1204</v>
      </c>
      <c r="E18" s="81">
        <f>SUM(TAB_SAIDA[[#This Row],[20/05/2019]:[00/00/00]])</f>
        <v>2</v>
      </c>
      <c r="F18" s="3"/>
      <c r="VL18" s="3">
        <v>2</v>
      </c>
    </row>
    <row r="19" spans="1:584" ht="15" hidden="1" customHeight="1" x14ac:dyDescent="0.25">
      <c r="A19" s="5" t="s">
        <v>1676</v>
      </c>
      <c r="B19" s="14" t="str">
        <f>VLOOKUP(TAB_SAIDA[[#This Row],[COD_2_SAIDA]],TAB_ESTOQUE[[Codigo]:[Descrição Tecnica]],6,FALSE)</f>
        <v>FUSIVEL CARTUCHO ULTRA RAPIDO 10X38 10A</v>
      </c>
      <c r="C19" s="14">
        <f>IFERROR(VLOOKUP(TAB_SAIDA[[#This Row],[COD_2_SAIDA]],TAB_ESTOQUE[[Codigo]:[Referência Tec]],7,FALSE),"")</f>
        <v>0</v>
      </c>
      <c r="D19" s="14" t="str">
        <f>VLOOKUP(TAB_SAIDA[[#This Row],[COD_2_SAIDA]],TAB_ESTOQUE[[Codigo]:[Endereço2]],12,FALSE)</f>
        <v>A1204</v>
      </c>
      <c r="E19" s="81">
        <f>SUM(TAB_SAIDA[[#This Row],[20/05/2019]:[00/00/00]])</f>
        <v>1</v>
      </c>
      <c r="F19" s="3"/>
      <c r="UW19" s="3">
        <v>1</v>
      </c>
    </row>
    <row r="20" spans="1:584" ht="15" hidden="1" customHeight="1" x14ac:dyDescent="0.25">
      <c r="A20" s="5" t="s">
        <v>1677</v>
      </c>
      <c r="B20" s="14" t="str">
        <f>VLOOKUP(TAB_SAIDA[[#This Row],[COD_2_SAIDA]],TAB_ESTOQUE[[Codigo]:[Descrição Tecnica]],6,FALSE)</f>
        <v>AMORTECEDOR DE IMPACTO PARA PORTA DE PAINEL</v>
      </c>
      <c r="C20" s="14">
        <f>IFERROR(VLOOKUP(TAB_SAIDA[[#This Row],[COD_2_SAIDA]],TAB_ESTOQUE[[Codigo]:[Referência Tec]],7,FALSE),"")</f>
        <v>0</v>
      </c>
      <c r="D20" s="14" t="str">
        <f>VLOOKUP(TAB_SAIDA[[#This Row],[COD_2_SAIDA]],TAB_ESTOQUE[[Codigo]:[Endereço2]],12,FALSE)</f>
        <v>E2203</v>
      </c>
      <c r="E20" s="81">
        <f>SUM(TAB_SAIDA[[#This Row],[20/05/2019]:[00/00/00]])</f>
        <v>0</v>
      </c>
      <c r="F20" s="3"/>
    </row>
    <row r="21" spans="1:584" ht="15" hidden="1" customHeight="1" x14ac:dyDescent="0.25">
      <c r="A21" s="5" t="s">
        <v>1678</v>
      </c>
      <c r="B21" s="14" t="str">
        <f>VLOOKUP(TAB_SAIDA[[#This Row],[COD_2_SAIDA]],TAB_ESTOQUE[[Codigo]:[Descrição Tecnica]],6,FALSE)</f>
        <v>BLOCO DE CONTATO AUXILIAR SIEMENS 3RH1911-1FA22</v>
      </c>
      <c r="C21" s="14">
        <f>IFERROR(VLOOKUP(TAB_SAIDA[[#This Row],[COD_2_SAIDA]],TAB_ESTOQUE[[Codigo]:[Referência Tec]],7,FALSE),"")</f>
        <v>0</v>
      </c>
      <c r="D21" s="14" t="str">
        <f>VLOOKUP(TAB_SAIDA[[#This Row],[COD_2_SAIDA]],TAB_ESTOQUE[[Codigo]:[Endereço2]],12,FALSE)</f>
        <v>A1204</v>
      </c>
      <c r="E21" s="81">
        <f>SUM(TAB_SAIDA[[#This Row],[20/05/2019]:[00/00/00]])</f>
        <v>0</v>
      </c>
      <c r="F21" s="3"/>
    </row>
    <row r="22" spans="1:584" ht="15" hidden="1" customHeight="1" x14ac:dyDescent="0.25">
      <c r="A22" s="5" t="s">
        <v>1679</v>
      </c>
      <c r="B22" s="14" t="str">
        <f>VLOOKUP(TAB_SAIDA[[#This Row],[COD_2_SAIDA]],TAB_ESTOQUE[[Codigo]:[Descrição Tecnica]],6,FALSE)</f>
        <v>SENSOR FIM DE CURSO XCKM110 X1</v>
      </c>
      <c r="C22" s="14">
        <f>IFERROR(VLOOKUP(TAB_SAIDA[[#This Row],[COD_2_SAIDA]],TAB_ESTOQUE[[Codigo]:[Referência Tec]],7,FALSE),"")</f>
        <v>0</v>
      </c>
      <c r="D22" s="14" t="str">
        <f>VLOOKUP(TAB_SAIDA[[#This Row],[COD_2_SAIDA]],TAB_ESTOQUE[[Codigo]:[Endereço2]],12,FALSE)</f>
        <v>A1205</v>
      </c>
      <c r="E22" s="81">
        <f>SUM(TAB_SAIDA[[#This Row],[20/05/2019]:[00/00/00]])</f>
        <v>0</v>
      </c>
      <c r="F22" s="3"/>
    </row>
    <row r="23" spans="1:584" ht="15" hidden="1" customHeight="1" x14ac:dyDescent="0.25">
      <c r="A23" s="5" t="s">
        <v>1680</v>
      </c>
      <c r="B23" s="14" t="str">
        <f>VLOOKUP(TAB_SAIDA[[#This Row],[COD_2_SAIDA]],TAB_ESTOQUE[[Codigo]:[Descrição Tecnica]],6,FALSE)</f>
        <v>VENTOINHA 63 PARA MOTOR</v>
      </c>
      <c r="C23" s="14">
        <f>IFERROR(VLOOKUP(TAB_SAIDA[[#This Row],[COD_2_SAIDA]],TAB_ESTOQUE[[Codigo]:[Referência Tec]],7,FALSE),"")</f>
        <v>0</v>
      </c>
      <c r="D23" s="14" t="str">
        <f>VLOOKUP(TAB_SAIDA[[#This Row],[COD_2_SAIDA]],TAB_ESTOQUE[[Codigo]:[Endereço2]],12,FALSE)</f>
        <v>B1106</v>
      </c>
      <c r="E23" s="81">
        <f>SUM(TAB_SAIDA[[#This Row],[20/05/2019]:[00/00/00]])</f>
        <v>0</v>
      </c>
      <c r="F23" s="3"/>
    </row>
    <row r="24" spans="1:584" ht="15" hidden="1" customHeight="1" x14ac:dyDescent="0.25">
      <c r="A24" s="5" t="s">
        <v>1681</v>
      </c>
      <c r="B24" s="14" t="str">
        <f>VLOOKUP(TAB_SAIDA[[#This Row],[COD_2_SAIDA]],TAB_ESTOQUE[[Codigo]:[Descrição Tecnica]],6,FALSE)</f>
        <v>340210N BOMBA DE PISTÃO COMPLETA MAKMELT</v>
      </c>
      <c r="C24" s="14">
        <f>IFERROR(VLOOKUP(TAB_SAIDA[[#This Row],[COD_2_SAIDA]],TAB_ESTOQUE[[Codigo]:[Referência Tec]],7,FALSE),"")</f>
        <v>0</v>
      </c>
      <c r="D24" s="14" t="str">
        <f>VLOOKUP(TAB_SAIDA[[#This Row],[COD_2_SAIDA]],TAB_ESTOQUE[[Codigo]:[Endereço2]],12,FALSE)</f>
        <v>E2304</v>
      </c>
      <c r="E24" s="81">
        <f>SUM(TAB_SAIDA[[#This Row],[20/05/2019]:[00/00/00]])</f>
        <v>0</v>
      </c>
      <c r="F24" s="3"/>
    </row>
    <row r="25" spans="1:584" ht="15" hidden="1" customHeight="1" x14ac:dyDescent="0.25">
      <c r="A25" s="5" t="s">
        <v>1682</v>
      </c>
      <c r="B25" s="14" t="str">
        <f>VLOOKUP(TAB_SAIDA[[#This Row],[COD_2_SAIDA]],TAB_ESTOQUE[[Codigo]:[Descrição Tecnica]],6,FALSE)</f>
        <v>BOTÃO DE PRESSÃO CABEÇA DUPLA XB5AW7A3740B5</v>
      </c>
      <c r="C25" s="14">
        <f>IFERROR(VLOOKUP(TAB_SAIDA[[#This Row],[COD_2_SAIDA]],TAB_ESTOQUE[[Codigo]:[Referência Tec]],7,FALSE),"")</f>
        <v>0</v>
      </c>
      <c r="D25" s="14" t="str">
        <f>VLOOKUP(TAB_SAIDA[[#This Row],[COD_2_SAIDA]],TAB_ESTOQUE[[Codigo]:[Endereço2]],12,FALSE)</f>
        <v>B1304</v>
      </c>
      <c r="E25" s="81">
        <f>SUM(TAB_SAIDA[[#This Row],[20/05/2019]:[00/00/00]])</f>
        <v>0</v>
      </c>
      <c r="F25" s="3"/>
    </row>
    <row r="26" spans="1:584" ht="15" hidden="1" customHeight="1" x14ac:dyDescent="0.25">
      <c r="A26" s="5" t="s">
        <v>1683</v>
      </c>
      <c r="B26" s="14" t="str">
        <f>VLOOKUP(TAB_SAIDA[[#This Row],[COD_2_SAIDA]],TAB_ESTOQUE[[Codigo]:[Descrição Tecnica]],6,FALSE)</f>
        <v>RELE DE NIVEL  NC-COM-NO</v>
      </c>
      <c r="C26" s="14">
        <f>IFERROR(VLOOKUP(TAB_SAIDA[[#This Row],[COD_2_SAIDA]],TAB_ESTOQUE[[Codigo]:[Referência Tec]],7,FALSE),"")</f>
        <v>0</v>
      </c>
      <c r="D26" s="14" t="str">
        <f>VLOOKUP(TAB_SAIDA[[#This Row],[COD_2_SAIDA]],TAB_ESTOQUE[[Codigo]:[Endereço2]],12,FALSE)</f>
        <v>A1205</v>
      </c>
      <c r="E26" s="81">
        <f>SUM(TAB_SAIDA[[#This Row],[20/05/2019]:[00/00/00]])</f>
        <v>0</v>
      </c>
      <c r="F26" s="3"/>
    </row>
    <row r="27" spans="1:584" ht="15" hidden="1" customHeight="1" x14ac:dyDescent="0.25">
      <c r="A27" s="5" t="s">
        <v>1684</v>
      </c>
      <c r="B27" s="14" t="str">
        <f>VLOOKUP(TAB_SAIDA[[#This Row],[COD_2_SAIDA]],TAB_ESTOQUE[[Codigo]:[Descrição Tecnica]],6,FALSE)</f>
        <v>CHAVE PARA CONTATO ABERTO FECHADO ZB2BE102</v>
      </c>
      <c r="C27" s="14">
        <f>IFERROR(VLOOKUP(TAB_SAIDA[[#This Row],[COD_2_SAIDA]],TAB_ESTOQUE[[Codigo]:[Referência Tec]],7,FALSE),"")</f>
        <v>0</v>
      </c>
      <c r="D27" s="14" t="str">
        <f>VLOOKUP(TAB_SAIDA[[#This Row],[COD_2_SAIDA]],TAB_ESTOQUE[[Codigo]:[Endereço2]],12,FALSE)</f>
        <v>A1205</v>
      </c>
      <c r="E27" s="81">
        <f>SUM(TAB_SAIDA[[#This Row],[20/05/2019]:[00/00/00]])</f>
        <v>0</v>
      </c>
      <c r="F27" s="3"/>
    </row>
    <row r="28" spans="1:584" ht="15" hidden="1" customHeight="1" x14ac:dyDescent="0.25">
      <c r="A28" s="5" t="s">
        <v>1685</v>
      </c>
      <c r="B28" s="14" t="str">
        <f>VLOOKUP(TAB_SAIDA[[#This Row],[COD_2_SAIDA]],TAB_ESTOQUE[[Codigo]:[Descrição Tecnica]],6,FALSE)</f>
        <v>FUSIVEL LEGRAND 13301 10X38 Gg 1A 500V IEC 269-2 NFC 63 210/100KA</v>
      </c>
      <c r="C28" s="14">
        <f>IFERROR(VLOOKUP(TAB_SAIDA[[#This Row],[COD_2_SAIDA]],TAB_ESTOQUE[[Codigo]:[Referência Tec]],7,FALSE),"")</f>
        <v>0</v>
      </c>
      <c r="D28" s="14" t="str">
        <f>VLOOKUP(TAB_SAIDA[[#This Row],[COD_2_SAIDA]],TAB_ESTOQUE[[Codigo]:[Endereço2]],12,FALSE)</f>
        <v>A1204</v>
      </c>
      <c r="E28" s="81">
        <f>SUM(TAB_SAIDA[[#This Row],[20/05/2019]:[00/00/00]])</f>
        <v>0</v>
      </c>
      <c r="F28" s="3"/>
    </row>
    <row r="29" spans="1:584" ht="15" hidden="1" customHeight="1" x14ac:dyDescent="0.25">
      <c r="A29" s="5" t="s">
        <v>1686</v>
      </c>
      <c r="B29" s="14" t="str">
        <f>VLOOKUP(TAB_SAIDA[[#This Row],[COD_2_SAIDA]],TAB_ESTOQUE[[Codigo]:[Descrição Tecnica]],6,FALSE)</f>
        <v xml:space="preserve">CABO CONECTOR SICK 2022547 10,0M 12 PINOS </v>
      </c>
      <c r="C29" s="14">
        <f>IFERROR(VLOOKUP(TAB_SAIDA[[#This Row],[COD_2_SAIDA]],TAB_ESTOQUE[[Codigo]:[Referência Tec]],7,FALSE),"")</f>
        <v>0</v>
      </c>
      <c r="D29" s="14" t="str">
        <f>VLOOKUP(TAB_SAIDA[[#This Row],[COD_2_SAIDA]],TAB_ESTOQUE[[Codigo]:[Endereço2]],12,FALSE)</f>
        <v>B1405</v>
      </c>
      <c r="E29" s="81">
        <f>SUM(TAB_SAIDA[[#This Row],[20/05/2019]:[00/00/00]])</f>
        <v>0</v>
      </c>
      <c r="F29" s="3"/>
    </row>
    <row r="30" spans="1:584" ht="15" hidden="1" customHeight="1" x14ac:dyDescent="0.25">
      <c r="A30" s="5" t="s">
        <v>1687</v>
      </c>
      <c r="B30" s="14" t="str">
        <f>VLOOKUP(TAB_SAIDA[[#This Row],[COD_2_SAIDA]],TAB_ESTOQUE[[Codigo]:[Descrição Tecnica]],6,FALSE)</f>
        <v>DISTRIBUIDOR DE CONTATO PHOENIX D18D08</v>
      </c>
      <c r="C30" s="14">
        <f>IFERROR(VLOOKUP(TAB_SAIDA[[#This Row],[COD_2_SAIDA]],TAB_ESTOQUE[[Codigo]:[Referência Tec]],7,FALSE),"")</f>
        <v>0</v>
      </c>
      <c r="D30" s="14" t="str">
        <f>VLOOKUP(TAB_SAIDA[[#This Row],[COD_2_SAIDA]],TAB_ESTOQUE[[Codigo]:[Endereço2]],12,FALSE)</f>
        <v>A1205</v>
      </c>
      <c r="E30" s="81">
        <f>SUM(TAB_SAIDA[[#This Row],[20/05/2019]:[00/00/00]])</f>
        <v>0</v>
      </c>
      <c r="F30" s="3"/>
    </row>
    <row r="31" spans="1:584" ht="15" hidden="1" customHeight="1" x14ac:dyDescent="0.25">
      <c r="A31" s="5" t="s">
        <v>1688</v>
      </c>
      <c r="B31" s="14" t="str">
        <f>VLOOKUP(TAB_SAIDA[[#This Row],[COD_2_SAIDA]],TAB_ESTOQUE[[Codigo]:[Descrição Tecnica]],6,FALSE)</f>
        <v>MOTOR CANTONI SKH71-4A 440A</v>
      </c>
      <c r="C31" s="14">
        <f>IFERROR(VLOOKUP(TAB_SAIDA[[#This Row],[COD_2_SAIDA]],TAB_ESTOQUE[[Codigo]:[Referência Tec]],7,FALSE),"")</f>
        <v>0</v>
      </c>
      <c r="D31" s="14" t="str">
        <f>VLOOKUP(TAB_SAIDA[[#This Row],[COD_2_SAIDA]],TAB_ESTOQUE[[Codigo]:[Endereço2]],12,FALSE)</f>
        <v>F1402</v>
      </c>
      <c r="E31" s="81">
        <f>SUM(TAB_SAIDA[[#This Row],[20/05/2019]:[00/00/00]])</f>
        <v>0</v>
      </c>
      <c r="F31" s="3"/>
    </row>
    <row r="32" spans="1:584" ht="15" hidden="1" customHeight="1" x14ac:dyDescent="0.25">
      <c r="A32" s="5" t="s">
        <v>1689</v>
      </c>
      <c r="B32" s="14" t="str">
        <f>VLOOKUP(TAB_SAIDA[[#This Row],[COD_2_SAIDA]],TAB_ESTOQUE[[Codigo]:[Descrição Tecnica]],6,FALSE)</f>
        <v xml:space="preserve">REGUA COM ROLAMENTO PARA TROCA RAPIDA Roll bar with hydraulic. Increase R. A. T.-Article No. 58292 8.1834.5150 - L=1600mm
</v>
      </c>
      <c r="C32" s="14">
        <f>IFERROR(VLOOKUP(TAB_SAIDA[[#This Row],[COD_2_SAIDA]],TAB_ESTOQUE[[Codigo]:[Referência Tec]],7,FALSE),"")</f>
        <v>0</v>
      </c>
      <c r="D32" s="14" t="str">
        <f>VLOOKUP(TAB_SAIDA[[#This Row],[COD_2_SAIDA]],TAB_ESTOQUE[[Codigo]:[Endereço2]],12,FALSE)</f>
        <v>CORREDOR 1</v>
      </c>
      <c r="E32" s="81">
        <f>SUM(TAB_SAIDA[[#This Row],[20/05/2019]:[00/00/00]])</f>
        <v>0</v>
      </c>
      <c r="F32" s="3"/>
    </row>
    <row r="33" spans="1:632" ht="15" hidden="1" customHeight="1" x14ac:dyDescent="0.25">
      <c r="A33" s="5" t="s">
        <v>1690</v>
      </c>
      <c r="B33" s="14" t="str">
        <f>VLOOKUP(TAB_SAIDA[[#This Row],[COD_2_SAIDA]],TAB_ESTOQUE[[Codigo]:[Descrição Tecnica]],6,FALSE)</f>
        <v>SISTEMA X PARA CABEAMENTO CONTROLADOR POR NIVEL</v>
      </c>
      <c r="C33" s="14">
        <f>IFERROR(VLOOKUP(TAB_SAIDA[[#This Row],[COD_2_SAIDA]],TAB_ESTOQUE[[Codigo]:[Referência Tec]],7,FALSE),"")</f>
        <v>0</v>
      </c>
      <c r="D33" s="14" t="str">
        <f>VLOOKUP(TAB_SAIDA[[#This Row],[COD_2_SAIDA]],TAB_ESTOQUE[[Codigo]:[Endereço2]],12,FALSE)</f>
        <v>CORREDOR 1</v>
      </c>
      <c r="E33" s="81">
        <f>SUM(TAB_SAIDA[[#This Row],[20/05/2019]:[00/00/00]])</f>
        <v>0</v>
      </c>
      <c r="F33" s="3"/>
    </row>
    <row r="34" spans="1:632" ht="15" hidden="1" customHeight="1" x14ac:dyDescent="0.25">
      <c r="A34" s="5" t="s">
        <v>1691</v>
      </c>
      <c r="B34" s="14" t="str">
        <f>VLOOKUP(TAB_SAIDA[[#This Row],[COD_2_SAIDA]],TAB_ESTOQUE[[Codigo]:[Descrição Tecnica]],6,FALSE)</f>
        <v>DISJUNTOR MOTOR 3P 25A 2.5-4A REF: SLS2251C</v>
      </c>
      <c r="C34" s="14">
        <f>IFERROR(VLOOKUP(TAB_SAIDA[[#This Row],[COD_2_SAIDA]],TAB_ESTOQUE[[Codigo]:[Referência Tec]],7,FALSE),"")</f>
        <v>0</v>
      </c>
      <c r="D34" s="14" t="str">
        <f>VLOOKUP(TAB_SAIDA[[#This Row],[COD_2_SAIDA]],TAB_ESTOQUE[[Codigo]:[Endereço2]],12,FALSE)</f>
        <v>A2405</v>
      </c>
      <c r="E34" s="81">
        <f>SUM(TAB_SAIDA[[#This Row],[20/05/2019]:[00/00/00]])</f>
        <v>0</v>
      </c>
      <c r="F34" s="3"/>
    </row>
    <row r="35" spans="1:632" ht="15" hidden="1" customHeight="1" x14ac:dyDescent="0.25">
      <c r="A35" s="5" t="s">
        <v>1692</v>
      </c>
      <c r="B35" s="14" t="str">
        <f>VLOOKUP(TAB_SAIDA[[#This Row],[COD_2_SAIDA]],TAB_ESTOQUE[[Codigo]:[Descrição Tecnica]],6,FALSE)</f>
        <v>DISJUNTOR TRIPOLAR ROBUSTO EZC100N GB 14048.2</v>
      </c>
      <c r="C35" s="14">
        <f>IFERROR(VLOOKUP(TAB_SAIDA[[#This Row],[COD_2_SAIDA]],TAB_ESTOQUE[[Codigo]:[Referência Tec]],7,FALSE),"")</f>
        <v>0</v>
      </c>
      <c r="D35" s="14" t="str">
        <f>VLOOKUP(TAB_SAIDA[[#This Row],[COD_2_SAIDA]],TAB_ESTOQUE[[Codigo]:[Endereço2]],12,FALSE)</f>
        <v>A1302</v>
      </c>
      <c r="E35" s="81">
        <f>SUM(TAB_SAIDA[[#This Row],[20/05/2019]:[00/00/00]])</f>
        <v>2</v>
      </c>
      <c r="F35" s="3"/>
      <c r="VM35" s="3">
        <v>1</v>
      </c>
      <c r="WA35" s="3">
        <v>1</v>
      </c>
    </row>
    <row r="36" spans="1:632" ht="15" hidden="1" customHeight="1" x14ac:dyDescent="0.25">
      <c r="A36" s="5" t="s">
        <v>1693</v>
      </c>
      <c r="B36" s="14" t="str">
        <f>VLOOKUP(TAB_SAIDA[[#This Row],[COD_2_SAIDA]],TAB_ESTOQUE[[Codigo]:[Descrição Tecnica]],6,FALSE)</f>
        <v>DISJUNTOR SERIE c20 230/400v 50/60Hz 3000A</v>
      </c>
      <c r="C36" s="14">
        <f>IFERROR(VLOOKUP(TAB_SAIDA[[#This Row],[COD_2_SAIDA]],TAB_ESTOQUE[[Codigo]:[Referência Tec]],7,FALSE),"")</f>
        <v>0</v>
      </c>
      <c r="D36" s="14" t="str">
        <f>VLOOKUP(TAB_SAIDA[[#This Row],[COD_2_SAIDA]],TAB_ESTOQUE[[Codigo]:[Endereço2]],12,FALSE)</f>
        <v>A1302</v>
      </c>
      <c r="E36" s="81">
        <f>SUM(TAB_SAIDA[[#This Row],[20/05/2019]:[00/00/00]])</f>
        <v>0</v>
      </c>
      <c r="F36" s="3"/>
    </row>
    <row r="37" spans="1:632" ht="15" hidden="1" customHeight="1" x14ac:dyDescent="0.25">
      <c r="A37" s="5" t="s">
        <v>1694</v>
      </c>
      <c r="B37" s="14" t="str">
        <f>VLOOKUP(TAB_SAIDA[[#This Row],[COD_2_SAIDA]],TAB_ESTOQUE[[Codigo]:[Descrição Tecnica]],6,FALSE)</f>
        <v>INTERRUPTOR DIFERENCIAL RESIDUAL MDW C40 -230/400V WEG</v>
      </c>
      <c r="C37" s="14">
        <f>IFERROR(VLOOKUP(TAB_SAIDA[[#This Row],[COD_2_SAIDA]],TAB_ESTOQUE[[Codigo]:[Referência Tec]],7,FALSE),"")</f>
        <v>0</v>
      </c>
      <c r="D37" s="14" t="str">
        <f>VLOOKUP(TAB_SAIDA[[#This Row],[COD_2_SAIDA]],TAB_ESTOQUE[[Codigo]:[Endereço2]],12,FALSE)</f>
        <v>A1302</v>
      </c>
      <c r="E37" s="81">
        <f>SUM(TAB_SAIDA[[#This Row],[20/05/2019]:[00/00/00]])</f>
        <v>0</v>
      </c>
      <c r="F37" s="3"/>
    </row>
    <row r="38" spans="1:632" ht="15" hidden="1" customHeight="1" x14ac:dyDescent="0.25">
      <c r="A38" s="5" t="s">
        <v>1695</v>
      </c>
      <c r="B38" s="14" t="str">
        <f>VLOOKUP(TAB_SAIDA[[#This Row],[COD_2_SAIDA]],TAB_ESTOQUE[[Codigo]:[Descrição Tecnica]],6,FALSE)</f>
        <v>DISJUNTOR TERMOMAGNETICO EZ9F33316 (SCHNEIDER)</v>
      </c>
      <c r="C38" s="14">
        <f>IFERROR(VLOOKUP(TAB_SAIDA[[#This Row],[COD_2_SAIDA]],TAB_ESTOQUE[[Codigo]:[Referência Tec]],7,FALSE),"")</f>
        <v>0</v>
      </c>
      <c r="D38" s="14" t="str">
        <f>VLOOKUP(TAB_SAIDA[[#This Row],[COD_2_SAIDA]],TAB_ESTOQUE[[Codigo]:[Endereço2]],12,FALSE)</f>
        <v>A1302</v>
      </c>
      <c r="E38" s="81">
        <f>SUM(TAB_SAIDA[[#This Row],[20/05/2019]:[00/00/00]])</f>
        <v>0</v>
      </c>
      <c r="F38" s="3"/>
    </row>
    <row r="39" spans="1:632" ht="15" hidden="1" customHeight="1" x14ac:dyDescent="0.25">
      <c r="A39" s="5" t="s">
        <v>1696</v>
      </c>
      <c r="B39" s="14" t="str">
        <f>VLOOKUP(TAB_SAIDA[[#This Row],[COD_2_SAIDA]],TAB_ESTOQUE[[Codigo]:[Descrição Tecnica]],6,FALSE)</f>
        <v>DISJUNTOR TRIPOLAR DZ47-63 (LUKMA) 50/60Hz</v>
      </c>
      <c r="C39" s="14">
        <f>IFERROR(VLOOKUP(TAB_SAIDA[[#This Row],[COD_2_SAIDA]],TAB_ESTOQUE[[Codigo]:[Referência Tec]],7,FALSE),"")</f>
        <v>0</v>
      </c>
      <c r="D39" s="14" t="str">
        <f>VLOOKUP(TAB_SAIDA[[#This Row],[COD_2_SAIDA]],TAB_ESTOQUE[[Codigo]:[Endereço2]],12,FALSE)</f>
        <v>A1302</v>
      </c>
      <c r="E39" s="81">
        <f>SUM(TAB_SAIDA[[#This Row],[20/05/2019]:[00/00/00]])</f>
        <v>0</v>
      </c>
      <c r="F39" s="3"/>
    </row>
    <row r="40" spans="1:632" ht="15" hidden="1" customHeight="1" x14ac:dyDescent="0.25">
      <c r="A40" s="5" t="s">
        <v>1697</v>
      </c>
      <c r="B40" s="14" t="str">
        <f>VLOOKUP(TAB_SAIDA[[#This Row],[COD_2_SAIDA]],TAB_ESTOQUE[[Codigo]:[Descrição Tecnica]],6,FALSE)</f>
        <v>DISJUNTOR MOTOR IEC-EN 60947 MS116-1.0 1SAM250000R1005 (ABB)</v>
      </c>
      <c r="C40" s="14">
        <f>IFERROR(VLOOKUP(TAB_SAIDA[[#This Row],[COD_2_SAIDA]],TAB_ESTOQUE[[Codigo]:[Referência Tec]],7,FALSE),"")</f>
        <v>0</v>
      </c>
      <c r="D40" s="14" t="str">
        <f>VLOOKUP(TAB_SAIDA[[#This Row],[COD_2_SAIDA]],TAB_ESTOQUE[[Codigo]:[Endereço2]],12,FALSE)</f>
        <v>A1303</v>
      </c>
      <c r="E40" s="81">
        <f>SUM(TAB_SAIDA[[#This Row],[20/05/2019]:[00/00/00]])</f>
        <v>0</v>
      </c>
      <c r="F40" s="3"/>
    </row>
    <row r="41" spans="1:632" ht="15" hidden="1" customHeight="1" x14ac:dyDescent="0.25">
      <c r="A41" s="5" t="s">
        <v>1698</v>
      </c>
      <c r="B41" s="14" t="str">
        <f>VLOOKUP(TAB_SAIDA[[#This Row],[COD_2_SAIDA]],TAB_ESTOQUE[[Codigo]:[Descrição Tecnica]],6,FALSE)</f>
        <v>DISJUNTOR MOTOR TERMOMAGNETICO GV2 ME06 1-1.6A</v>
      </c>
      <c r="C41" s="14">
        <f>IFERROR(VLOOKUP(TAB_SAIDA[[#This Row],[COD_2_SAIDA]],TAB_ESTOQUE[[Codigo]:[Referência Tec]],7,FALSE),"")</f>
        <v>0</v>
      </c>
      <c r="D41" s="14" t="str">
        <f>VLOOKUP(TAB_SAIDA[[#This Row],[COD_2_SAIDA]],TAB_ESTOQUE[[Codigo]:[Endereço2]],12,FALSE)</f>
        <v>G1102</v>
      </c>
      <c r="E41" s="81">
        <f>SUM(TAB_SAIDA[[#This Row],[20/05/2019]:[00/00/00]])</f>
        <v>0</v>
      </c>
      <c r="F41" s="3"/>
    </row>
    <row r="42" spans="1:632" ht="15" hidden="1" customHeight="1" x14ac:dyDescent="0.25">
      <c r="A42" s="5" t="s">
        <v>1699</v>
      </c>
      <c r="B42" s="14" t="str">
        <f>VLOOKUP(TAB_SAIDA[[#This Row],[COD_2_SAIDA]],TAB_ESTOQUE[[Codigo]:[Descrição Tecnica]],6,FALSE)</f>
        <v>DISJUNTOR MOTOR GZ1M14 6-10A (SCHNEIDER)</v>
      </c>
      <c r="C42" s="14">
        <f>IFERROR(VLOOKUP(TAB_SAIDA[[#This Row],[COD_2_SAIDA]],TAB_ESTOQUE[[Codigo]:[Referência Tec]],7,FALSE),"")</f>
        <v>0</v>
      </c>
      <c r="D42" s="14" t="str">
        <f>VLOOKUP(TAB_SAIDA[[#This Row],[COD_2_SAIDA]],TAB_ESTOQUE[[Codigo]:[Endereço2]],12,FALSE)</f>
        <v>A1303</v>
      </c>
      <c r="E42" s="81">
        <f>SUM(TAB_SAIDA[[#This Row],[20/05/2019]:[00/00/00]])</f>
        <v>1</v>
      </c>
      <c r="F42" s="3"/>
      <c r="RR42" s="3">
        <v>1</v>
      </c>
    </row>
    <row r="43" spans="1:632" ht="15" hidden="1" customHeight="1" x14ac:dyDescent="0.25">
      <c r="A43" s="5" t="s">
        <v>1700</v>
      </c>
      <c r="B43" s="14" t="str">
        <f>VLOOKUP(TAB_SAIDA[[#This Row],[COD_2_SAIDA]],TAB_ESTOQUE[[Codigo]:[Descrição Tecnica]],6,FALSE)</f>
        <v>DISJUNTOR MOTOR TERMOMAGNÉTICO SCHNEIDER  - REF. GV2-ME08C / 2.5-4A</v>
      </c>
      <c r="C43" s="14">
        <f>IFERROR(VLOOKUP(TAB_SAIDA[[#This Row],[COD_2_SAIDA]],TAB_ESTOQUE[[Codigo]:[Referência Tec]],7,FALSE),"")</f>
        <v>0</v>
      </c>
      <c r="D43" s="14" t="str">
        <f>VLOOKUP(TAB_SAIDA[[#This Row],[COD_2_SAIDA]],TAB_ESTOQUE[[Codigo]:[Endereço2]],12,FALSE)</f>
        <v>G1102</v>
      </c>
      <c r="E43" s="81">
        <f>SUM(TAB_SAIDA[[#This Row],[20/05/2019]:[00/00/00]])</f>
        <v>1</v>
      </c>
      <c r="F43" s="3"/>
      <c r="UR43" s="3">
        <v>1</v>
      </c>
    </row>
    <row r="44" spans="1:632" ht="15" hidden="1" customHeight="1" x14ac:dyDescent="0.25">
      <c r="A44" s="5" t="s">
        <v>1701</v>
      </c>
      <c r="B44" s="14" t="str">
        <f>VLOOKUP(TAB_SAIDA[[#This Row],[COD_2_SAIDA]],TAB_ESTOQUE[[Codigo]:[Descrição Tecnica]],6,FALSE)</f>
        <v>BLOCO DE CONTATOS AUXILIARES FRONTAIS  - 3RH2911-1GA40 (SIEMENS)</v>
      </c>
      <c r="C44" s="14">
        <f>IFERROR(VLOOKUP(TAB_SAIDA[[#This Row],[COD_2_SAIDA]],TAB_ESTOQUE[[Codigo]:[Referência Tec]],7,FALSE),"")</f>
        <v>0</v>
      </c>
      <c r="D44" s="14" t="str">
        <f>VLOOKUP(TAB_SAIDA[[#This Row],[COD_2_SAIDA]],TAB_ESTOQUE[[Codigo]:[Endereço2]],12,FALSE)</f>
        <v>A1204</v>
      </c>
      <c r="E44" s="81">
        <f>SUM(TAB_SAIDA[[#This Row],[20/05/2019]:[00/00/00]])</f>
        <v>0</v>
      </c>
      <c r="F44" s="3"/>
    </row>
    <row r="45" spans="1:632" s="186" customFormat="1" ht="15" hidden="1" customHeight="1" x14ac:dyDescent="0.25">
      <c r="A45" s="194" t="s">
        <v>1702</v>
      </c>
      <c r="B45" s="195" t="str">
        <f>VLOOKUP(TAB_SAIDA[[#This Row],[COD_2_SAIDA]],TAB_ESTOQUE[[Codigo]:[Descrição Tecnica]],6,FALSE)</f>
        <v>BASE C/ RELÉ SLIM PRT8-1/ JZ1RC3 24VDC METALTEX PRT8-1 (HIGHEND)</v>
      </c>
      <c r="C45" s="195">
        <f>IFERROR(VLOOKUP(TAB_SAIDA[[#This Row],[COD_2_SAIDA]],TAB_ESTOQUE[[Codigo]:[Referência Tec]],7,FALSE),"")</f>
        <v>0</v>
      </c>
      <c r="D45" s="195" t="str">
        <f>VLOOKUP(TAB_SAIDA[[#This Row],[COD_2_SAIDA]],TAB_ESTOQUE[[Codigo]:[Endereço2]],12,FALSE)</f>
        <v>A1304</v>
      </c>
      <c r="E45" s="196">
        <f>SUM(TAB_SAIDA[[#This Row],[20/05/2019]:[00/00/00]])</f>
        <v>6</v>
      </c>
      <c r="F45" s="197"/>
      <c r="G45" s="197"/>
      <c r="H45" s="197"/>
      <c r="I45" s="197"/>
      <c r="J45" s="197"/>
      <c r="K45" s="197"/>
      <c r="L45" s="197"/>
      <c r="M45" s="197"/>
      <c r="N45" s="197"/>
      <c r="O45" s="197"/>
      <c r="P45" s="197"/>
      <c r="Q45" s="197"/>
      <c r="R45" s="197"/>
      <c r="S45" s="197"/>
      <c r="T45" s="197"/>
      <c r="U45" s="197"/>
      <c r="V45" s="197"/>
      <c r="W45" s="197"/>
      <c r="X45" s="197"/>
      <c r="Y45" s="197"/>
      <c r="Z45" s="197"/>
      <c r="AA45" s="197"/>
      <c r="AB45" s="197"/>
      <c r="AC45" s="197"/>
      <c r="AD45" s="197"/>
      <c r="AE45" s="197"/>
      <c r="AF45" s="197"/>
      <c r="AG45" s="197"/>
      <c r="AH45" s="197"/>
      <c r="AI45" s="197"/>
      <c r="AJ45" s="197"/>
      <c r="AK45" s="197"/>
      <c r="AL45" s="197"/>
      <c r="AM45" s="197"/>
      <c r="AN45" s="197"/>
      <c r="AO45" s="197"/>
      <c r="AP45" s="197"/>
      <c r="AQ45" s="197"/>
      <c r="AR45" s="197"/>
      <c r="AS45" s="197"/>
      <c r="AT45" s="197"/>
      <c r="AU45" s="197"/>
      <c r="AV45" s="197"/>
      <c r="AW45" s="197"/>
      <c r="AX45" s="197"/>
      <c r="AY45" s="197"/>
      <c r="AZ45" s="197"/>
      <c r="BA45" s="197"/>
      <c r="BB45" s="197"/>
      <c r="BC45" s="197"/>
      <c r="BD45" s="197"/>
      <c r="BE45" s="197"/>
      <c r="BF45" s="197"/>
      <c r="BG45" s="197"/>
      <c r="BH45" s="198"/>
      <c r="BI45" s="197"/>
      <c r="BJ45" s="197"/>
      <c r="BK45" s="197"/>
      <c r="BL45" s="197"/>
      <c r="BM45" s="197"/>
      <c r="BN45" s="197"/>
      <c r="BO45" s="197"/>
      <c r="BP45" s="197"/>
      <c r="BQ45" s="197"/>
      <c r="BR45" s="197"/>
      <c r="BS45" s="197"/>
      <c r="BT45" s="197"/>
      <c r="BU45" s="197"/>
      <c r="BV45" s="197"/>
      <c r="BW45" s="197"/>
      <c r="BX45" s="197"/>
      <c r="BY45" s="197"/>
      <c r="BZ45" s="197"/>
      <c r="CA45" s="197"/>
      <c r="CB45" s="197"/>
      <c r="CC45" s="197"/>
      <c r="CD45" s="197"/>
      <c r="CE45" s="197"/>
      <c r="CF45" s="197"/>
      <c r="CG45" s="197"/>
      <c r="CH45" s="197"/>
      <c r="CI45" s="197"/>
      <c r="CJ45" s="197"/>
      <c r="CK45" s="197"/>
      <c r="CL45" s="197"/>
      <c r="CM45" s="197"/>
      <c r="CN45" s="197"/>
      <c r="CO45" s="197"/>
      <c r="CP45" s="197"/>
      <c r="CQ45" s="197"/>
      <c r="CR45" s="197"/>
      <c r="CS45" s="197"/>
      <c r="CT45" s="197"/>
      <c r="CU45" s="197"/>
      <c r="CV45" s="197"/>
      <c r="CW45" s="197"/>
      <c r="CX45" s="197"/>
      <c r="CY45" s="197"/>
      <c r="CZ45" s="197"/>
      <c r="DA45" s="197"/>
      <c r="DB45" s="197"/>
      <c r="DC45" s="197"/>
      <c r="DD45" s="197"/>
      <c r="DE45" s="197"/>
      <c r="DF45" s="197"/>
      <c r="DG45" s="197"/>
      <c r="DH45" s="197"/>
      <c r="DI45" s="197"/>
      <c r="DJ45" s="197"/>
      <c r="DK45" s="197"/>
      <c r="DL45" s="197"/>
      <c r="DM45" s="197"/>
      <c r="DN45" s="197"/>
      <c r="DO45" s="197"/>
      <c r="DP45" s="197"/>
      <c r="DQ45" s="197"/>
      <c r="DR45" s="197"/>
      <c r="DS45" s="197"/>
      <c r="DT45" s="197"/>
      <c r="DU45" s="197"/>
      <c r="DV45" s="197"/>
      <c r="DW45" s="197"/>
      <c r="DX45" s="197"/>
      <c r="DY45" s="197"/>
      <c r="DZ45" s="197"/>
      <c r="EA45" s="197"/>
      <c r="EB45" s="197"/>
      <c r="EC45" s="197"/>
      <c r="ED45" s="197"/>
      <c r="EE45" s="197"/>
      <c r="EF45" s="197"/>
      <c r="EG45" s="197"/>
      <c r="EH45" s="197"/>
      <c r="EI45" s="197"/>
      <c r="EJ45" s="197"/>
      <c r="EK45" s="197"/>
      <c r="EL45" s="197"/>
      <c r="EM45" s="197"/>
      <c r="EN45" s="197"/>
      <c r="EO45" s="197"/>
      <c r="EP45" s="197"/>
      <c r="EQ45" s="197"/>
      <c r="ER45" s="197"/>
      <c r="ES45" s="197"/>
      <c r="ET45" s="197"/>
      <c r="EU45" s="197"/>
      <c r="EV45" s="197"/>
      <c r="EW45" s="197"/>
      <c r="EX45" s="197"/>
      <c r="EY45" s="197"/>
      <c r="EZ45" s="197"/>
      <c r="FA45" s="197"/>
      <c r="FB45" s="197"/>
      <c r="FC45" s="197"/>
      <c r="FD45" s="197"/>
      <c r="FE45" s="197"/>
      <c r="FF45" s="197"/>
      <c r="FG45" s="197"/>
      <c r="FH45" s="197"/>
      <c r="FI45" s="197"/>
      <c r="FJ45" s="197"/>
      <c r="FK45" s="197"/>
      <c r="FL45" s="197"/>
      <c r="FM45" s="197"/>
      <c r="FN45" s="197"/>
      <c r="FO45" s="197"/>
      <c r="FP45" s="197"/>
      <c r="FQ45" s="197"/>
      <c r="FR45" s="197"/>
      <c r="FS45" s="197"/>
      <c r="FT45" s="197"/>
      <c r="FU45" s="197"/>
      <c r="FV45" s="197"/>
      <c r="FW45" s="197"/>
      <c r="FX45" s="197"/>
      <c r="FY45" s="197"/>
      <c r="FZ45" s="197"/>
      <c r="GA45" s="197"/>
      <c r="GB45" s="197"/>
      <c r="GC45" s="197"/>
      <c r="GD45" s="197"/>
      <c r="GE45" s="197"/>
      <c r="GF45" s="197"/>
      <c r="GG45" s="197"/>
      <c r="GH45" s="197"/>
      <c r="GI45" s="197"/>
      <c r="GJ45" s="197"/>
      <c r="GK45" s="197"/>
      <c r="GL45" s="197"/>
      <c r="GM45" s="197"/>
      <c r="GN45" s="197"/>
      <c r="GO45" s="197"/>
      <c r="GP45" s="197"/>
      <c r="GQ45" s="197"/>
      <c r="GR45" s="197"/>
      <c r="GS45" s="197"/>
      <c r="GT45" s="197"/>
      <c r="GU45" s="197"/>
      <c r="GV45" s="197"/>
      <c r="GW45" s="197"/>
      <c r="GX45" s="197"/>
      <c r="GY45" s="197"/>
      <c r="GZ45" s="197"/>
      <c r="HA45" s="197"/>
      <c r="HB45" s="197"/>
      <c r="HC45" s="197"/>
      <c r="HD45" s="197"/>
      <c r="HE45" s="197"/>
      <c r="HF45" s="197"/>
      <c r="HG45" s="197"/>
      <c r="HH45" s="197"/>
      <c r="HI45" s="197"/>
      <c r="HJ45" s="197"/>
      <c r="HK45" s="197"/>
      <c r="HL45" s="197"/>
      <c r="HM45" s="197"/>
      <c r="HN45" s="197"/>
      <c r="HO45" s="197"/>
      <c r="HP45" s="197"/>
      <c r="HQ45" s="197"/>
      <c r="HR45" s="197"/>
      <c r="HS45" s="197"/>
      <c r="HT45" s="197"/>
      <c r="HU45" s="197"/>
      <c r="HV45" s="197"/>
      <c r="HW45" s="197"/>
      <c r="HX45" s="197"/>
      <c r="HY45" s="197"/>
      <c r="HZ45" s="197"/>
      <c r="IA45" s="197"/>
      <c r="IB45" s="197"/>
      <c r="IC45" s="197"/>
      <c r="ID45" s="197"/>
      <c r="IE45" s="197"/>
      <c r="IF45" s="197"/>
      <c r="IG45" s="197"/>
      <c r="IH45" s="197"/>
      <c r="II45" s="197"/>
      <c r="IJ45" s="197"/>
      <c r="IK45" s="197"/>
      <c r="IL45" s="197"/>
      <c r="IM45" s="197"/>
      <c r="IN45" s="197"/>
      <c r="IO45" s="197"/>
      <c r="IP45" s="197"/>
      <c r="IQ45" s="197"/>
      <c r="IR45" s="197"/>
      <c r="IS45" s="197"/>
      <c r="IT45" s="197"/>
      <c r="IU45" s="197"/>
      <c r="IV45" s="197"/>
      <c r="IW45" s="197"/>
      <c r="IX45" s="197"/>
      <c r="IY45" s="197"/>
      <c r="IZ45" s="197"/>
      <c r="JA45" s="197"/>
      <c r="JB45" s="197"/>
      <c r="JC45" s="197"/>
      <c r="JD45" s="197"/>
      <c r="JE45" s="197"/>
      <c r="JF45" s="197"/>
      <c r="JG45" s="197"/>
      <c r="JH45" s="197"/>
      <c r="JI45" s="197"/>
      <c r="JJ45" s="197"/>
      <c r="JK45" s="197"/>
      <c r="JL45" s="197"/>
      <c r="JM45" s="197"/>
      <c r="JN45" s="197"/>
      <c r="JO45" s="197"/>
      <c r="JP45" s="197"/>
      <c r="JQ45" s="197"/>
      <c r="JR45" s="197"/>
      <c r="JS45" s="197"/>
      <c r="JT45" s="197"/>
      <c r="JU45" s="197"/>
      <c r="JV45" s="197"/>
      <c r="JW45" s="197"/>
      <c r="JX45" s="197"/>
      <c r="JY45" s="197"/>
      <c r="JZ45" s="197"/>
      <c r="KA45" s="197"/>
      <c r="KB45" s="197"/>
      <c r="KC45" s="197"/>
      <c r="KD45" s="197"/>
      <c r="KE45" s="197"/>
      <c r="KF45" s="197"/>
      <c r="KG45" s="197"/>
      <c r="KH45" s="197"/>
      <c r="KI45" s="197"/>
      <c r="KJ45" s="197"/>
      <c r="KK45" s="197"/>
      <c r="KL45" s="197"/>
      <c r="KM45" s="197"/>
      <c r="KN45" s="197"/>
      <c r="KO45" s="197"/>
      <c r="KP45" s="197"/>
      <c r="KQ45" s="197"/>
      <c r="KR45" s="197"/>
      <c r="KS45" s="197"/>
      <c r="KT45" s="197"/>
      <c r="KU45" s="197"/>
      <c r="KV45" s="197"/>
      <c r="KW45" s="197"/>
      <c r="KX45" s="197"/>
      <c r="KY45" s="197"/>
      <c r="KZ45" s="197"/>
      <c r="LA45" s="197"/>
      <c r="LB45" s="197"/>
      <c r="LC45" s="197"/>
      <c r="LD45" s="197"/>
      <c r="LE45" s="197"/>
      <c r="LF45" s="197"/>
      <c r="LG45" s="197"/>
      <c r="LH45" s="197"/>
      <c r="LI45" s="197"/>
      <c r="LJ45" s="197"/>
      <c r="LK45" s="197"/>
      <c r="LL45" s="197"/>
      <c r="LM45" s="197"/>
      <c r="LN45" s="197"/>
      <c r="LO45" s="197"/>
      <c r="LP45" s="197"/>
      <c r="LQ45" s="197"/>
      <c r="LR45" s="197"/>
      <c r="LS45" s="197"/>
      <c r="LT45" s="197"/>
      <c r="LU45" s="197"/>
      <c r="LV45" s="197"/>
      <c r="LW45" s="197"/>
      <c r="LX45" s="197"/>
      <c r="LY45" s="197"/>
      <c r="LZ45" s="197"/>
      <c r="MA45" s="197"/>
      <c r="MB45" s="197"/>
      <c r="MC45" s="197"/>
      <c r="MD45" s="197"/>
      <c r="ME45" s="197"/>
      <c r="MF45" s="197"/>
      <c r="MG45" s="197"/>
      <c r="MH45" s="197"/>
      <c r="MI45" s="197"/>
      <c r="MJ45" s="197"/>
      <c r="MK45" s="197"/>
      <c r="ML45" s="197"/>
      <c r="MM45" s="197"/>
      <c r="MN45" s="197"/>
      <c r="MO45" s="197"/>
      <c r="MP45" s="197"/>
      <c r="MQ45" s="197"/>
      <c r="MR45" s="197"/>
      <c r="MS45" s="197"/>
      <c r="MT45" s="197"/>
      <c r="MU45" s="197"/>
      <c r="MV45" s="197"/>
      <c r="MW45" s="197"/>
      <c r="MX45" s="197"/>
      <c r="MY45" s="197"/>
      <c r="MZ45" s="197"/>
      <c r="NA45" s="197"/>
      <c r="NB45" s="197"/>
      <c r="NC45" s="197"/>
      <c r="ND45" s="197"/>
      <c r="NE45" s="197"/>
      <c r="NF45" s="197"/>
      <c r="NG45" s="197"/>
      <c r="NH45" s="197"/>
      <c r="NI45" s="197"/>
      <c r="NJ45" s="197"/>
      <c r="NK45" s="197"/>
      <c r="NL45" s="197"/>
      <c r="NM45" s="197"/>
      <c r="NN45" s="197"/>
      <c r="NO45" s="197"/>
      <c r="NP45" s="197"/>
      <c r="NQ45" s="197"/>
      <c r="NR45" s="197"/>
      <c r="NS45" s="197"/>
      <c r="NT45" s="197"/>
      <c r="NU45" s="197"/>
      <c r="NV45" s="197"/>
      <c r="NW45" s="197"/>
      <c r="NX45" s="197"/>
      <c r="NY45" s="197"/>
      <c r="NZ45" s="197"/>
      <c r="OA45" s="197"/>
      <c r="OB45" s="197"/>
      <c r="OC45" s="197"/>
      <c r="OD45" s="197"/>
      <c r="OE45" s="197"/>
      <c r="OF45" s="197"/>
      <c r="OG45" s="197"/>
      <c r="OH45" s="197"/>
      <c r="OI45" s="197"/>
      <c r="OJ45" s="197"/>
      <c r="OK45" s="197"/>
      <c r="OL45" s="197"/>
      <c r="OM45" s="197"/>
      <c r="ON45" s="197"/>
      <c r="OO45" s="197"/>
      <c r="OP45" s="197"/>
      <c r="OQ45" s="197"/>
      <c r="OR45" s="197"/>
      <c r="OS45" s="197"/>
      <c r="OT45" s="197"/>
      <c r="OU45" s="197"/>
      <c r="OV45" s="197"/>
      <c r="OW45" s="197"/>
      <c r="OX45" s="197"/>
      <c r="OY45" s="197"/>
      <c r="OZ45" s="197"/>
      <c r="PA45" s="197"/>
      <c r="PB45" s="197"/>
      <c r="PC45" s="197"/>
      <c r="PD45" s="197"/>
      <c r="PE45" s="197"/>
      <c r="PF45" s="197"/>
      <c r="PG45" s="197"/>
      <c r="PH45" s="197"/>
      <c r="PI45" s="197"/>
      <c r="PJ45" s="197"/>
      <c r="PK45" s="197"/>
      <c r="PL45" s="197"/>
      <c r="PM45" s="197"/>
      <c r="PN45" s="197"/>
      <c r="PO45" s="197"/>
      <c r="PP45" s="197"/>
      <c r="PQ45" s="197"/>
      <c r="PR45" s="197"/>
      <c r="PS45" s="197"/>
      <c r="PT45" s="197"/>
      <c r="PU45" s="197"/>
      <c r="PV45" s="197"/>
      <c r="PW45" s="197"/>
      <c r="PX45" s="197"/>
      <c r="PY45" s="197"/>
      <c r="PZ45" s="197"/>
      <c r="QA45" s="197"/>
      <c r="QB45" s="197"/>
      <c r="QC45" s="197"/>
      <c r="QD45" s="197"/>
      <c r="QE45" s="197"/>
      <c r="QF45" s="197"/>
      <c r="QG45" s="197"/>
      <c r="QH45" s="197"/>
      <c r="QI45" s="197"/>
      <c r="QJ45" s="197"/>
      <c r="QK45" s="197"/>
      <c r="QL45" s="197"/>
      <c r="QM45" s="197"/>
      <c r="QN45" s="197"/>
      <c r="QO45" s="197"/>
      <c r="QP45" s="197"/>
      <c r="QQ45" s="197"/>
      <c r="QR45" s="197"/>
      <c r="QS45" s="197"/>
      <c r="QT45" s="197"/>
      <c r="QU45" s="197"/>
      <c r="QV45" s="197"/>
      <c r="QW45" s="197"/>
      <c r="QX45" s="197"/>
      <c r="QY45" s="197"/>
      <c r="QZ45" s="197"/>
      <c r="RA45" s="197"/>
      <c r="RB45" s="197"/>
      <c r="RC45" s="197"/>
      <c r="RD45" s="197"/>
      <c r="RE45" s="197"/>
      <c r="RF45" s="197"/>
      <c r="RG45" s="197"/>
      <c r="RH45" s="197"/>
      <c r="RI45" s="197"/>
      <c r="RJ45" s="197"/>
      <c r="RK45" s="197"/>
      <c r="RL45" s="197"/>
      <c r="RM45" s="197"/>
      <c r="RN45" s="197"/>
      <c r="RO45" s="197"/>
      <c r="RP45" s="197"/>
      <c r="RQ45" s="197"/>
      <c r="RR45" s="197"/>
      <c r="RS45" s="197"/>
      <c r="RT45" s="197"/>
      <c r="RU45" s="197"/>
      <c r="RV45" s="197"/>
      <c r="RW45" s="197"/>
      <c r="RX45" s="197"/>
      <c r="RY45" s="197"/>
      <c r="RZ45" s="197"/>
      <c r="SA45" s="197"/>
      <c r="SB45" s="197"/>
      <c r="SC45" s="197"/>
      <c r="SD45" s="197"/>
      <c r="SE45" s="197"/>
      <c r="SF45" s="197"/>
      <c r="SG45" s="197"/>
      <c r="SH45" s="197"/>
      <c r="SI45" s="197"/>
      <c r="SJ45" s="197"/>
      <c r="SK45" s="197"/>
      <c r="SL45" s="197"/>
      <c r="SM45" s="197"/>
      <c r="SN45" s="197"/>
      <c r="SO45" s="197"/>
      <c r="SP45" s="197"/>
      <c r="SQ45" s="197">
        <v>1</v>
      </c>
      <c r="SR45" s="197"/>
      <c r="SS45" s="197"/>
      <c r="ST45" s="197"/>
      <c r="SU45" s="197"/>
      <c r="SV45" s="197"/>
      <c r="SW45" s="197"/>
      <c r="SX45" s="197"/>
      <c r="SY45" s="197"/>
      <c r="SZ45" s="197"/>
      <c r="TA45" s="197"/>
      <c r="TB45" s="197"/>
      <c r="TC45" s="197"/>
      <c r="TD45" s="197"/>
      <c r="TE45" s="197"/>
      <c r="TF45" s="197"/>
      <c r="TG45" s="197"/>
      <c r="TH45" s="197"/>
      <c r="TI45" s="197"/>
      <c r="TJ45" s="197"/>
      <c r="TK45" s="197"/>
      <c r="TL45" s="197"/>
      <c r="TM45" s="197"/>
      <c r="TN45" s="197"/>
      <c r="TO45" s="197"/>
      <c r="TP45" s="197"/>
      <c r="TQ45" s="197"/>
      <c r="TR45" s="197"/>
      <c r="TS45" s="197"/>
      <c r="TT45" s="197"/>
      <c r="TU45" s="197"/>
      <c r="TV45" s="197"/>
      <c r="TW45" s="197"/>
      <c r="TX45" s="197"/>
      <c r="TY45" s="197"/>
      <c r="TZ45" s="197"/>
      <c r="UA45" s="197"/>
      <c r="UB45" s="197"/>
      <c r="UC45" s="197"/>
      <c r="UD45" s="197"/>
      <c r="UE45" s="197"/>
      <c r="UF45" s="197"/>
      <c r="UG45" s="197"/>
      <c r="UH45" s="197"/>
      <c r="UI45" s="197"/>
      <c r="UJ45" s="197"/>
      <c r="UK45" s="197"/>
      <c r="UL45" s="197"/>
      <c r="UM45" s="197"/>
      <c r="UN45" s="197"/>
      <c r="UO45" s="197"/>
      <c r="UP45" s="197"/>
      <c r="UQ45" s="197"/>
      <c r="UR45" s="197"/>
      <c r="US45" s="197"/>
      <c r="UT45" s="197"/>
      <c r="UU45" s="197"/>
      <c r="UV45" s="197"/>
      <c r="UW45" s="197"/>
      <c r="UX45" s="197"/>
      <c r="UY45" s="197"/>
      <c r="UZ45" s="197"/>
      <c r="VA45" s="197"/>
      <c r="VB45" s="197"/>
      <c r="VC45" s="197"/>
      <c r="VD45" s="197"/>
      <c r="VE45" s="197"/>
      <c r="VF45" s="197"/>
      <c r="VG45" s="197"/>
      <c r="VH45" s="197"/>
      <c r="VI45" s="197"/>
      <c r="VJ45" s="197"/>
      <c r="VK45" s="197"/>
      <c r="VL45" s="197">
        <v>1</v>
      </c>
      <c r="VM45" s="197"/>
      <c r="VN45" s="197"/>
      <c r="VO45" s="197">
        <v>1</v>
      </c>
      <c r="VP45" s="197"/>
      <c r="VQ45" s="197"/>
      <c r="VR45" s="197"/>
      <c r="VS45" s="197"/>
      <c r="VT45" s="197"/>
      <c r="VU45" s="197"/>
      <c r="VV45" s="197"/>
      <c r="VW45" s="197"/>
      <c r="VX45" s="197"/>
      <c r="VY45" s="197"/>
      <c r="VZ45" s="197"/>
      <c r="WA45" s="197">
        <v>1</v>
      </c>
      <c r="WB45" s="197"/>
      <c r="WC45" s="197"/>
      <c r="WD45" s="197"/>
      <c r="WE45" s="197"/>
      <c r="WF45" s="197"/>
      <c r="WG45" s="197"/>
      <c r="WH45" s="197"/>
      <c r="WI45" s="197"/>
      <c r="WJ45" s="197"/>
      <c r="WK45" s="197"/>
      <c r="WL45" s="197"/>
      <c r="WM45" s="197"/>
      <c r="WN45" s="197"/>
      <c r="WO45" s="197"/>
      <c r="WP45" s="197"/>
      <c r="WQ45" s="197"/>
      <c r="WR45" s="197"/>
      <c r="WS45" s="197"/>
      <c r="WT45" s="197"/>
      <c r="WU45" s="197"/>
      <c r="WV45" s="197"/>
      <c r="WW45" s="197">
        <v>2</v>
      </c>
      <c r="WX45" s="197"/>
      <c r="WY45" s="197"/>
      <c r="WZ45" s="197"/>
      <c r="XA45" s="197"/>
      <c r="XB45" s="197"/>
      <c r="XC45" s="197"/>
      <c r="XD45" s="197"/>
      <c r="XE45" s="197"/>
      <c r="XF45" s="197"/>
      <c r="XG45" s="197"/>
      <c r="XH45" s="197"/>
    </row>
    <row r="46" spans="1:632" ht="15" hidden="1" customHeight="1" x14ac:dyDescent="0.25">
      <c r="A46" s="5" t="s">
        <v>1703</v>
      </c>
      <c r="B46" s="14" t="str">
        <f>VLOOKUP(TAB_SAIDA[[#This Row],[COD_2_SAIDA]],TAB_ESTOQUE[[Codigo]:[Descrição Tecnica]],6,FALSE)</f>
        <v>FUSIVEL CARTUCHO HAGER NHOOO Gg 120KA 100A 500V</v>
      </c>
      <c r="C46" s="14">
        <f>IFERROR(VLOOKUP(TAB_SAIDA[[#This Row],[COD_2_SAIDA]],TAB_ESTOQUE[[Codigo]:[Referência Tec]],7,FALSE),"")</f>
        <v>0</v>
      </c>
      <c r="D46" s="14" t="str">
        <f>VLOOKUP(TAB_SAIDA[[#This Row],[COD_2_SAIDA]],TAB_ESTOQUE[[Codigo]:[Endereço2]],12,FALSE)</f>
        <v>A1204</v>
      </c>
      <c r="E46" s="81">
        <f>SUM(TAB_SAIDA[[#This Row],[20/05/2019]:[00/00/00]])</f>
        <v>0</v>
      </c>
      <c r="F46" s="3"/>
    </row>
    <row r="47" spans="1:632" ht="15" hidden="1" customHeight="1" x14ac:dyDescent="0.25">
      <c r="A47" s="5" t="s">
        <v>1704</v>
      </c>
      <c r="B47" s="14" t="str">
        <f>VLOOKUP(TAB_SAIDA[[#This Row],[COD_2_SAIDA]],TAB_ESTOQUE[[Codigo]:[Descrição Tecnica]],6,FALSE)</f>
        <v>CONTATO AUX PARA DISJUNTOR MOTOR GVAE11 SCHENEIDE</v>
      </c>
      <c r="C47" s="14">
        <f>IFERROR(VLOOKUP(TAB_SAIDA[[#This Row],[COD_2_SAIDA]],TAB_ESTOQUE[[Codigo]:[Referência Tec]],7,FALSE),"")</f>
        <v>0</v>
      </c>
      <c r="D47" s="14" t="str">
        <f>VLOOKUP(TAB_SAIDA[[#This Row],[COD_2_SAIDA]],TAB_ESTOQUE[[Codigo]:[Endereço2]],12,FALSE)</f>
        <v>A1304</v>
      </c>
      <c r="E47" s="81">
        <f>SUM(TAB_SAIDA[[#This Row],[20/05/2019]:[00/00/00]])</f>
        <v>4</v>
      </c>
      <c r="F47" s="3"/>
      <c r="VS47" s="3">
        <v>1</v>
      </c>
      <c r="VU47" s="3">
        <v>1</v>
      </c>
      <c r="VZ47" s="3">
        <v>1</v>
      </c>
      <c r="WC47" s="3">
        <v>1</v>
      </c>
    </row>
    <row r="48" spans="1:632" ht="15" hidden="1" customHeight="1" x14ac:dyDescent="0.25">
      <c r="A48" s="5" t="s">
        <v>1705</v>
      </c>
      <c r="B48" s="14" t="str">
        <f>VLOOKUP(TAB_SAIDA[[#This Row],[COD_2_SAIDA]],TAB_ESTOQUE[[Codigo]:[Descrição Tecnica]],6,FALSE)</f>
        <v>DISJUNTOR MOTOR GZ1E32  X1  32A    Easy TVS-056791  (SCHINEIDER)</v>
      </c>
      <c r="C48" s="14">
        <f>IFERROR(VLOOKUP(TAB_SAIDA[[#This Row],[COD_2_SAIDA]],TAB_ESTOQUE[[Codigo]:[Referência Tec]],7,FALSE),"")</f>
        <v>0</v>
      </c>
      <c r="D48" s="14" t="str">
        <f>VLOOKUP(TAB_SAIDA[[#This Row],[COD_2_SAIDA]],TAB_ESTOQUE[[Codigo]:[Endereço2]],12,FALSE)</f>
        <v>G1102</v>
      </c>
      <c r="E48" s="81">
        <f>SUM(TAB_SAIDA[[#This Row],[20/05/2019]:[00/00/00]])</f>
        <v>0</v>
      </c>
      <c r="F48" s="3"/>
    </row>
    <row r="49" spans="1:564" ht="15" hidden="1" customHeight="1" x14ac:dyDescent="0.25">
      <c r="A49" s="5" t="s">
        <v>1706</v>
      </c>
      <c r="B49" s="14" t="str">
        <f>VLOOKUP(TAB_SAIDA[[#This Row],[COD_2_SAIDA]],TAB_ESTOQUE[[Codigo]:[Descrição Tecnica]],6,FALSE)</f>
        <v>CORPO FIM DE CURSO ZCP 21 M12 X1  GB14048.5</v>
      </c>
      <c r="C49" s="14">
        <f>IFERROR(VLOOKUP(TAB_SAIDA[[#This Row],[COD_2_SAIDA]],TAB_ESTOQUE[[Codigo]:[Referência Tec]],7,FALSE),"")</f>
        <v>0</v>
      </c>
      <c r="D49" s="14" t="str">
        <f>VLOOKUP(TAB_SAIDA[[#This Row],[COD_2_SAIDA]],TAB_ESTOQUE[[Codigo]:[Endereço2]],12,FALSE)</f>
        <v>A1304</v>
      </c>
      <c r="E49" s="81">
        <f>SUM(TAB_SAIDA[[#This Row],[20/05/2019]:[00/00/00]])</f>
        <v>1</v>
      </c>
      <c r="F49" s="3"/>
      <c r="UR49" s="3">
        <v>1</v>
      </c>
    </row>
    <row r="50" spans="1:564" ht="15" hidden="1" customHeight="1" x14ac:dyDescent="0.25">
      <c r="A50" s="5" t="s">
        <v>1707</v>
      </c>
      <c r="B50" s="14" t="str">
        <f>VLOOKUP(TAB_SAIDA[[#This Row],[COD_2_SAIDA]],TAB_ESTOQUE[[Codigo]:[Descrição Tecnica]],6,FALSE)</f>
        <v>DISJUNTOR MOTOR GZ1E03 GB14048.2 GB14048.4 (SCHINEIDER)</v>
      </c>
      <c r="C50" s="14">
        <f>IFERROR(VLOOKUP(TAB_SAIDA[[#This Row],[COD_2_SAIDA]],TAB_ESTOQUE[[Codigo]:[Referência Tec]],7,FALSE),"")</f>
        <v>0</v>
      </c>
      <c r="D50" s="14" t="str">
        <f>VLOOKUP(TAB_SAIDA[[#This Row],[COD_2_SAIDA]],TAB_ESTOQUE[[Codigo]:[Endereço2]],12,FALSE)</f>
        <v>G1102</v>
      </c>
      <c r="E50" s="81">
        <f>SUM(TAB_SAIDA[[#This Row],[20/05/2019]:[00/00/00]])</f>
        <v>0</v>
      </c>
      <c r="F50" s="3"/>
    </row>
    <row r="51" spans="1:564" ht="15" hidden="1" customHeight="1" x14ac:dyDescent="0.25">
      <c r="A51" s="5" t="s">
        <v>1708</v>
      </c>
      <c r="B51" s="14" t="str">
        <f>VLOOKUP(TAB_SAIDA[[#This Row],[COD_2_SAIDA]],TAB_ESTOQUE[[Codigo]:[Descrição Tecnica]],6,FALSE)</f>
        <v>DISJUNTOR BIPOLAR SCHINEIDER EZ9F13120</v>
      </c>
      <c r="C51" s="14">
        <f>IFERROR(VLOOKUP(TAB_SAIDA[[#This Row],[COD_2_SAIDA]],TAB_ESTOQUE[[Codigo]:[Referência Tec]],7,FALSE),"")</f>
        <v>0</v>
      </c>
      <c r="D51" s="14" t="str">
        <f>VLOOKUP(TAB_SAIDA[[#This Row],[COD_2_SAIDA]],TAB_ESTOQUE[[Codigo]:[Endereço2]],12,FALSE)</f>
        <v>G1102</v>
      </c>
      <c r="E51" s="81">
        <f>SUM(TAB_SAIDA[[#This Row],[20/05/2019]:[00/00/00]])</f>
        <v>0</v>
      </c>
      <c r="F51" s="3"/>
    </row>
    <row r="52" spans="1:564" ht="15" hidden="1" customHeight="1" x14ac:dyDescent="0.25">
      <c r="A52" s="5" t="s">
        <v>1709</v>
      </c>
      <c r="B52" s="14" t="str">
        <f>VLOOKUP(TAB_SAIDA[[#This Row],[COD_2_SAIDA]],TAB_ESTOQUE[[Codigo]:[Descrição Tecnica]],6,FALSE)</f>
        <v>DISJUNTOR MOTOR  GV2ME-16 X1   9-14A (SCHINEIDER)</v>
      </c>
      <c r="C52" s="14">
        <f>IFERROR(VLOOKUP(TAB_SAIDA[[#This Row],[COD_2_SAIDA]],TAB_ESTOQUE[[Codigo]:[Referência Tec]],7,FALSE),"")</f>
        <v>0</v>
      </c>
      <c r="D52" s="14" t="str">
        <f>VLOOKUP(TAB_SAIDA[[#This Row],[COD_2_SAIDA]],TAB_ESTOQUE[[Codigo]:[Endereço2]],12,FALSE)</f>
        <v>G1102</v>
      </c>
      <c r="E52" s="81">
        <f>SUM(TAB_SAIDA[[#This Row],[20/05/2019]:[00/00/00]])</f>
        <v>0</v>
      </c>
      <c r="F52" s="3"/>
    </row>
    <row r="53" spans="1:564" ht="15" hidden="1" customHeight="1" x14ac:dyDescent="0.25">
      <c r="A53" s="5" t="s">
        <v>1710</v>
      </c>
      <c r="B53" s="14" t="str">
        <f>VLOOKUP(TAB_SAIDA[[#This Row],[COD_2_SAIDA]],TAB_ESTOQUE[[Codigo]:[Descrição Tecnica]],6,FALSE)</f>
        <v>RELE TERMICO DE SOBRECARGA LRD05 IEC-EM  60947-4-1 (SCHNEIDER) MAX:690V-50/60Hz 10A B600-R300</v>
      </c>
      <c r="C53" s="14">
        <f>IFERROR(VLOOKUP(TAB_SAIDA[[#This Row],[COD_2_SAIDA]],TAB_ESTOQUE[[Codigo]:[Referência Tec]],7,FALSE),"")</f>
        <v>0</v>
      </c>
      <c r="D53" s="14" t="str">
        <f>VLOOKUP(TAB_SAIDA[[#This Row],[COD_2_SAIDA]],TAB_ESTOQUE[[Codigo]:[Endereço2]],12,FALSE)</f>
        <v>A1304</v>
      </c>
      <c r="E53" s="81">
        <f>SUM(TAB_SAIDA[[#This Row],[20/05/2019]:[00/00/00]])</f>
        <v>0</v>
      </c>
      <c r="F53" s="3"/>
    </row>
    <row r="54" spans="1:564" ht="15" hidden="1" customHeight="1" x14ac:dyDescent="0.25">
      <c r="A54" s="5" t="s">
        <v>1711</v>
      </c>
      <c r="B54" s="14" t="str">
        <f>VLOOKUP(TAB_SAIDA[[#This Row],[COD_2_SAIDA]],TAB_ESTOQUE[[Codigo]:[Descrição Tecnica]],6,FALSE)</f>
        <v>CONTATOR TRIPOLAR  SCHNEIDER -  REF. LC1D09-M7</v>
      </c>
      <c r="C54" s="14">
        <f>IFERROR(VLOOKUP(TAB_SAIDA[[#This Row],[COD_2_SAIDA]],TAB_ESTOQUE[[Codigo]:[Referência Tec]],7,FALSE),"")</f>
        <v>0</v>
      </c>
      <c r="D54" s="14" t="str">
        <f>VLOOKUP(TAB_SAIDA[[#This Row],[COD_2_SAIDA]],TAB_ESTOQUE[[Codigo]:[Endereço2]],12,FALSE)</f>
        <v>G1102</v>
      </c>
      <c r="E54" s="81">
        <f>SUM(TAB_SAIDA[[#This Row],[20/05/2019]:[00/00/00]])</f>
        <v>0</v>
      </c>
      <c r="F54" s="3"/>
    </row>
    <row r="55" spans="1:564" ht="15" hidden="1" customHeight="1" x14ac:dyDescent="0.25">
      <c r="A55" s="5" t="s">
        <v>1712</v>
      </c>
      <c r="B55" s="14" t="str">
        <f>VLOOKUP(TAB_SAIDA[[#This Row],[COD_2_SAIDA]],TAB_ESTOQUE[[Codigo]:[Descrição Tecnica]],6,FALSE)</f>
        <v>BLOCO TERMINAL PARA RELE TERMICO LAD7B106 35X50,70 M4</v>
      </c>
      <c r="C55" s="14">
        <f>IFERROR(VLOOKUP(TAB_SAIDA[[#This Row],[COD_2_SAIDA]],TAB_ESTOQUE[[Codigo]:[Referência Tec]],7,FALSE),"")</f>
        <v>0</v>
      </c>
      <c r="D55" s="14" t="str">
        <f>VLOOKUP(TAB_SAIDA[[#This Row],[COD_2_SAIDA]],TAB_ESTOQUE[[Codigo]:[Endereço2]],12,FALSE)</f>
        <v>A1304</v>
      </c>
      <c r="E55" s="81">
        <f>SUM(TAB_SAIDA[[#This Row],[20/05/2019]:[00/00/00]])</f>
        <v>0</v>
      </c>
      <c r="F55" s="3"/>
    </row>
    <row r="56" spans="1:564" ht="15" hidden="1" customHeight="1" x14ac:dyDescent="0.25">
      <c r="A56" s="5" t="s">
        <v>1713</v>
      </c>
      <c r="B56" s="14" t="str">
        <f>VLOOKUP(TAB_SAIDA[[#This Row],[COD_2_SAIDA]],TAB_ESTOQUE[[Codigo]:[Descrição Tecnica]],6,FALSE)</f>
        <v>DISJUNTOR BIPOLAR EZ9F33206 IEC 60898-1   220V (SCHNEIDER) C6</v>
      </c>
      <c r="C56" s="14">
        <f>IFERROR(VLOOKUP(TAB_SAIDA[[#This Row],[COD_2_SAIDA]],TAB_ESTOQUE[[Codigo]:[Referência Tec]],7,FALSE),"")</f>
        <v>0</v>
      </c>
      <c r="D56" s="14" t="str">
        <f>VLOOKUP(TAB_SAIDA[[#This Row],[COD_2_SAIDA]],TAB_ESTOQUE[[Codigo]:[Endereço2]],12,FALSE)</f>
        <v>G1103</v>
      </c>
      <c r="E56" s="81">
        <f>SUM(TAB_SAIDA[[#This Row],[20/05/2019]:[00/00/00]])</f>
        <v>0</v>
      </c>
      <c r="F56" s="3"/>
    </row>
    <row r="57" spans="1:564" ht="15" hidden="1" customHeight="1" x14ac:dyDescent="0.25">
      <c r="A57" s="5" t="s">
        <v>1714</v>
      </c>
      <c r="B57" s="14" t="str">
        <f>VLOOKUP(TAB_SAIDA[[#This Row],[COD_2_SAIDA]],TAB_ESTOQUE[[Codigo]:[Descrição Tecnica]],6,FALSE)</f>
        <v>RELE DE NIVEL WEG RNW-ENE09 (WEG)</v>
      </c>
      <c r="C57" s="14">
        <f>IFERROR(VLOOKUP(TAB_SAIDA[[#This Row],[COD_2_SAIDA]],TAB_ESTOQUE[[Codigo]:[Referência Tec]],7,FALSE),"")</f>
        <v>0</v>
      </c>
      <c r="D57" s="14" t="str">
        <f>VLOOKUP(TAB_SAIDA[[#This Row],[COD_2_SAIDA]],TAB_ESTOQUE[[Codigo]:[Endereço2]],12,FALSE)</f>
        <v>A1304</v>
      </c>
      <c r="E57" s="81">
        <f>SUM(TAB_SAIDA[[#This Row],[20/05/2019]:[00/00/00]])</f>
        <v>0</v>
      </c>
      <c r="F57" s="3"/>
    </row>
    <row r="58" spans="1:564" ht="15" hidden="1" customHeight="1" x14ac:dyDescent="0.25">
      <c r="A58" s="5" t="s">
        <v>1715</v>
      </c>
      <c r="B58" s="14" t="str">
        <f>VLOOKUP(TAB_SAIDA[[#This Row],[COD_2_SAIDA]],TAB_ESTOQUE[[Codigo]:[Descrição Tecnica]],6,FALSE)</f>
        <v>DISJUNTOR MONOPOLAR 5SL11 MCB C6 IEC 60898-1 (SIEMENS)</v>
      </c>
      <c r="C58" s="14">
        <f>IFERROR(VLOOKUP(TAB_SAIDA[[#This Row],[COD_2_SAIDA]],TAB_ESTOQUE[[Codigo]:[Referência Tec]],7,FALSE),"")</f>
        <v>0</v>
      </c>
      <c r="D58" s="14" t="str">
        <f>VLOOKUP(TAB_SAIDA[[#This Row],[COD_2_SAIDA]],TAB_ESTOQUE[[Codigo]:[Endereço2]],12,FALSE)</f>
        <v>G1104</v>
      </c>
      <c r="E58" s="81">
        <f>SUM(TAB_SAIDA[[#This Row],[20/05/2019]:[00/00/00]])</f>
        <v>0</v>
      </c>
      <c r="F58" s="3"/>
    </row>
    <row r="59" spans="1:564" ht="15" hidden="1" customHeight="1" x14ac:dyDescent="0.25">
      <c r="A59" s="5" t="s">
        <v>1716</v>
      </c>
      <c r="B59" s="14" t="str">
        <f>VLOOKUP(TAB_SAIDA[[#This Row],[COD_2_SAIDA]],TAB_ESTOQUE[[Codigo]:[Descrição Tecnica]],6,FALSE)</f>
        <v>BOTOEIRA C/ SINALIZAÇÃO BRANCA BHS - REF. HB2-BE101, 1NO Ø22MM BA9S VMAX 220V BHS</v>
      </c>
      <c r="C59" s="14">
        <f>IFERROR(VLOOKUP(TAB_SAIDA[[#This Row],[COD_2_SAIDA]],TAB_ESTOQUE[[Codigo]:[Referência Tec]],7,FALSE),"")</f>
        <v>0</v>
      </c>
      <c r="D59" s="14" t="str">
        <f>VLOOKUP(TAB_SAIDA[[#This Row],[COD_2_SAIDA]],TAB_ESTOQUE[[Codigo]:[Endereço2]],12,FALSE)</f>
        <v>A1305</v>
      </c>
      <c r="E59" s="81">
        <f>SUM(TAB_SAIDA[[#This Row],[20/05/2019]:[00/00/00]])</f>
        <v>0</v>
      </c>
      <c r="F59" s="3"/>
    </row>
    <row r="60" spans="1:564" ht="15" hidden="1" customHeight="1" x14ac:dyDescent="0.25">
      <c r="A60" s="5" t="s">
        <v>1717</v>
      </c>
      <c r="B60" s="14" t="str">
        <f>VLOOKUP(TAB_SAIDA[[#This Row],[COD_2_SAIDA]],TAB_ESTOQUE[[Codigo]:[Descrição Tecnica]],6,FALSE)</f>
        <v>COOLER 220VAC 60HZ 1.4W 0,10A , F2E - 1205 - 230</v>
      </c>
      <c r="C60" s="14">
        <f>IFERROR(VLOOKUP(TAB_SAIDA[[#This Row],[COD_2_SAIDA]],TAB_ESTOQUE[[Codigo]:[Referência Tec]],7,FALSE),"")</f>
        <v>0</v>
      </c>
      <c r="D60" s="14" t="str">
        <f>VLOOKUP(TAB_SAIDA[[#This Row],[COD_2_SAIDA]],TAB_ESTOQUE[[Codigo]:[Endereço2]],12,FALSE)</f>
        <v>B1106</v>
      </c>
      <c r="E60" s="81">
        <f>SUM(TAB_SAIDA[[#This Row],[20/05/2019]:[00/00/00]])</f>
        <v>0</v>
      </c>
      <c r="F60" s="3"/>
    </row>
    <row r="61" spans="1:564" ht="15" hidden="1" customHeight="1" x14ac:dyDescent="0.25">
      <c r="A61" s="5" t="s">
        <v>1718</v>
      </c>
      <c r="B61" s="14" t="str">
        <f>VLOOKUP(TAB_SAIDA[[#This Row],[COD_2_SAIDA]],TAB_ESTOQUE[[Codigo]:[Descrição Tecnica]],6,FALSE)</f>
        <v>BOTOEIRA C/ SINALIZAÇÃO VERDE BHS - REF. TY-15A, 1NO Ø22MM BA9S VMAX 220V TY-15A BHS</v>
      </c>
      <c r="C61" s="14">
        <f>IFERROR(VLOOKUP(TAB_SAIDA[[#This Row],[COD_2_SAIDA]],TAB_ESTOQUE[[Codigo]:[Referência Tec]],7,FALSE),"")</f>
        <v>0</v>
      </c>
      <c r="D61" s="14" t="str">
        <f>VLOOKUP(TAB_SAIDA[[#This Row],[COD_2_SAIDA]],TAB_ESTOQUE[[Codigo]:[Endereço2]],12,FALSE)</f>
        <v>A1305</v>
      </c>
      <c r="E61" s="81">
        <f>SUM(TAB_SAIDA[[#This Row],[20/05/2019]:[00/00/00]])</f>
        <v>0</v>
      </c>
      <c r="F61" s="3"/>
    </row>
    <row r="62" spans="1:564" ht="15" hidden="1" customHeight="1" x14ac:dyDescent="0.25">
      <c r="A62" s="5" t="s">
        <v>1719</v>
      </c>
      <c r="B62" s="14" t="str">
        <f>VLOOKUP(TAB_SAIDA[[#This Row],[COD_2_SAIDA]],TAB_ESTOQUE[[Codigo]:[Descrição Tecnica]],6,FALSE)</f>
        <v>BASE PARA FUSIVEL CERAMICO (WOHNER)</v>
      </c>
      <c r="C62" s="14">
        <f>IFERROR(VLOOKUP(TAB_SAIDA[[#This Row],[COD_2_SAIDA]],TAB_ESTOQUE[[Codigo]:[Referência Tec]],7,FALSE),"")</f>
        <v>0</v>
      </c>
      <c r="D62" s="14" t="str">
        <f>VLOOKUP(TAB_SAIDA[[#This Row],[COD_2_SAIDA]],TAB_ESTOQUE[[Codigo]:[Endereço2]],12,FALSE)</f>
        <v>A1305</v>
      </c>
      <c r="E62" s="81">
        <f>SUM(TAB_SAIDA[[#This Row],[20/05/2019]:[00/00/00]])</f>
        <v>0</v>
      </c>
      <c r="F62" s="3"/>
    </row>
    <row r="63" spans="1:564" ht="15" hidden="1" customHeight="1" x14ac:dyDescent="0.25">
      <c r="A63" s="5" t="s">
        <v>1720</v>
      </c>
      <c r="B63" s="14" t="str">
        <f>VLOOKUP(TAB_SAIDA[[#This Row],[COD_2_SAIDA]],TAB_ESTOQUE[[Codigo]:[Descrição Tecnica]],6,FALSE)</f>
        <v>BOTOEIRA C/ SINALIZAÇÃO AZUL BHS - REF. TY-13C, 1NO Ø22MM BA9S VMAX 220V TY-13C BHS</v>
      </c>
      <c r="C63" s="14">
        <f>IFERROR(VLOOKUP(TAB_SAIDA[[#This Row],[COD_2_SAIDA]],TAB_ESTOQUE[[Codigo]:[Referência Tec]],7,FALSE),"")</f>
        <v>0</v>
      </c>
      <c r="D63" s="14" t="str">
        <f>VLOOKUP(TAB_SAIDA[[#This Row],[COD_2_SAIDA]],TAB_ESTOQUE[[Codigo]:[Endereço2]],12,FALSE)</f>
        <v>A1305</v>
      </c>
      <c r="E63" s="81">
        <f>SUM(TAB_SAIDA[[#This Row],[20/05/2019]:[00/00/00]])</f>
        <v>0</v>
      </c>
      <c r="F63" s="3"/>
    </row>
    <row r="64" spans="1:564" ht="15" hidden="1" customHeight="1" x14ac:dyDescent="0.25">
      <c r="A64" s="5" t="s">
        <v>1721</v>
      </c>
      <c r="B64" s="14" t="str">
        <f>VLOOKUP(TAB_SAIDA[[#This Row],[COD_2_SAIDA]],TAB_ESTOQUE[[Codigo]:[Descrição Tecnica]],6,FALSE)</f>
        <v>BASE COM FUSIVEL ETI 16A 002322009</v>
      </c>
      <c r="C64" s="14">
        <f>IFERROR(VLOOKUP(TAB_SAIDA[[#This Row],[COD_2_SAIDA]],TAB_ESTOQUE[[Codigo]:[Referência Tec]],7,FALSE),"")</f>
        <v>0</v>
      </c>
      <c r="D64" s="14" t="str">
        <f>VLOOKUP(TAB_SAIDA[[#This Row],[COD_2_SAIDA]],TAB_ESTOQUE[[Codigo]:[Endereço2]],12,FALSE)</f>
        <v>A1305</v>
      </c>
      <c r="E64" s="81">
        <f>SUM(TAB_SAIDA[[#This Row],[20/05/2019]:[00/00/00]])</f>
        <v>0</v>
      </c>
      <c r="F64" s="3"/>
    </row>
    <row r="65" spans="1:6" ht="15" hidden="1" customHeight="1" x14ac:dyDescent="0.25">
      <c r="A65" s="5" t="s">
        <v>1722</v>
      </c>
      <c r="B65" s="14" t="str">
        <f>VLOOKUP(TAB_SAIDA[[#This Row],[COD_2_SAIDA]],TAB_ESTOQUE[[Codigo]:[Descrição Tecnica]],6,FALSE)</f>
        <v>BOTÃO DE EMERGENCIA - TIPO C - IEC60947-5-5 (ABB)</v>
      </c>
      <c r="C65" s="14">
        <f>IFERROR(VLOOKUP(TAB_SAIDA[[#This Row],[COD_2_SAIDA]],TAB_ESTOQUE[[Codigo]:[Referência Tec]],7,FALSE),"")</f>
        <v>0</v>
      </c>
      <c r="D65" s="14" t="str">
        <f>VLOOKUP(TAB_SAIDA[[#This Row],[COD_2_SAIDA]],TAB_ESTOQUE[[Codigo]:[Endereço2]],12,FALSE)</f>
        <v>A1305</v>
      </c>
      <c r="E65" s="81">
        <f>SUM(TAB_SAIDA[[#This Row],[20/05/2019]:[00/00/00]])</f>
        <v>0</v>
      </c>
      <c r="F65" s="3"/>
    </row>
    <row r="66" spans="1:6" ht="15" hidden="1" customHeight="1" x14ac:dyDescent="0.25">
      <c r="A66" s="5" t="s">
        <v>1723</v>
      </c>
      <c r="B66" s="14" t="str">
        <f>VLOOKUP(TAB_SAIDA[[#This Row],[COD_2_SAIDA]],TAB_ESTOQUE[[Codigo]:[Descrição Tecnica]],6,FALSE)</f>
        <v>SUPRESSOR DE SURTO SIEMENS 3RT2916-1DG00 (SIEMENS)</v>
      </c>
      <c r="C66" s="14">
        <f>IFERROR(VLOOKUP(TAB_SAIDA[[#This Row],[COD_2_SAIDA]],TAB_ESTOQUE[[Codigo]:[Referência Tec]],7,FALSE),"")</f>
        <v>0</v>
      </c>
      <c r="D66" s="14" t="str">
        <f>VLOOKUP(TAB_SAIDA[[#This Row],[COD_2_SAIDA]],TAB_ESTOQUE[[Codigo]:[Endereço2]],12,FALSE)</f>
        <v>A1305</v>
      </c>
      <c r="E66" s="81">
        <f>SUM(TAB_SAIDA[[#This Row],[20/05/2019]:[00/00/00]])</f>
        <v>0</v>
      </c>
      <c r="F66" s="3"/>
    </row>
    <row r="67" spans="1:6" ht="15" hidden="1" customHeight="1" x14ac:dyDescent="0.25">
      <c r="A67" s="5" t="s">
        <v>1724</v>
      </c>
      <c r="B67" s="14" t="str">
        <f>VLOOKUP(TAB_SAIDA[[#This Row],[COD_2_SAIDA]],TAB_ESTOQUE[[Codigo]:[Descrição Tecnica]],6,FALSE)</f>
        <v>CABEÇA P/ BOTÃO DE EMERGÊNCIA REF. ZB5 AS 834 (SCHNEIDER)</v>
      </c>
      <c r="C67" s="14">
        <f>IFERROR(VLOOKUP(TAB_SAIDA[[#This Row],[COD_2_SAIDA]],TAB_ESTOQUE[[Codigo]:[Referência Tec]],7,FALSE),"")</f>
        <v>0</v>
      </c>
      <c r="D67" s="14" t="str">
        <f>VLOOKUP(TAB_SAIDA[[#This Row],[COD_2_SAIDA]],TAB_ESTOQUE[[Codigo]:[Endereço2]],12,FALSE)</f>
        <v>A1305</v>
      </c>
      <c r="E67" s="81">
        <f>SUM(TAB_SAIDA[[#This Row],[20/05/2019]:[00/00/00]])</f>
        <v>0</v>
      </c>
      <c r="F67" s="3"/>
    </row>
    <row r="68" spans="1:6" ht="15" hidden="1" customHeight="1" x14ac:dyDescent="0.25">
      <c r="A68" s="5" t="s">
        <v>1725</v>
      </c>
      <c r="B68" s="14" t="str">
        <f>VLOOKUP(TAB_SAIDA[[#This Row],[COD_2_SAIDA]],TAB_ESTOQUE[[Codigo]:[Descrição Tecnica]],6,FALSE)</f>
        <v>CONTROLADOR DE TEMPERATURA HW4900 PN: 8120200224</v>
      </c>
      <c r="C68" s="14">
        <f>IFERROR(VLOOKUP(TAB_SAIDA[[#This Row],[COD_2_SAIDA]],TAB_ESTOQUE[[Codigo]:[Referência Tec]],7,FALSE),"")</f>
        <v>0</v>
      </c>
      <c r="D68" s="14" t="str">
        <f>VLOOKUP(TAB_SAIDA[[#This Row],[COD_2_SAIDA]],TAB_ESTOQUE[[Codigo]:[Endereço2]],12,FALSE)</f>
        <v>A1305</v>
      </c>
      <c r="E68" s="81">
        <f>SUM(TAB_SAIDA[[#This Row],[20/05/2019]:[00/00/00]])</f>
        <v>0</v>
      </c>
      <c r="F68" s="3"/>
    </row>
    <row r="69" spans="1:6" ht="15" hidden="1" customHeight="1" x14ac:dyDescent="0.25">
      <c r="A69" s="5" t="s">
        <v>1726</v>
      </c>
      <c r="B69" s="14" t="str">
        <f>VLOOKUP(TAB_SAIDA[[#This Row],[COD_2_SAIDA]],TAB_ESTOQUE[[Codigo]:[Descrição Tecnica]],6,FALSE)</f>
        <v>FUSÍVEL CARTUCHO P/ BARRAMENTO 40A 500VAC NP5873 - AMERICAN FUSE NP5873</v>
      </c>
      <c r="C69" s="14">
        <f>IFERROR(VLOOKUP(TAB_SAIDA[[#This Row],[COD_2_SAIDA]],TAB_ESTOQUE[[Codigo]:[Referência Tec]],7,FALSE),"")</f>
        <v>0</v>
      </c>
      <c r="D69" s="14" t="str">
        <f>VLOOKUP(TAB_SAIDA[[#This Row],[COD_2_SAIDA]],TAB_ESTOQUE[[Codigo]:[Endereço2]],12,FALSE)</f>
        <v>A1204</v>
      </c>
      <c r="E69" s="81">
        <f>SUM(TAB_SAIDA[[#This Row],[20/05/2019]:[00/00/00]])</f>
        <v>0</v>
      </c>
      <c r="F69" s="3"/>
    </row>
    <row r="70" spans="1:6" ht="15" hidden="1" customHeight="1" x14ac:dyDescent="0.25">
      <c r="A70" s="5" t="s">
        <v>1727</v>
      </c>
      <c r="B70" s="14" t="str">
        <f>VLOOKUP(TAB_SAIDA[[#This Row],[COD_2_SAIDA]],TAB_ESTOQUE[[Codigo]:[Descrição Tecnica]],6,FALSE)</f>
        <v>PLUG P/ CABO PROFINET IE FC RJ45 PLUG 180 - REF. 6GK1901-1BB10-2AA0 6GK1901-1BB10-2AA0 SIEMENS</v>
      </c>
      <c r="C70" s="14">
        <f>IFERROR(VLOOKUP(TAB_SAIDA[[#This Row],[COD_2_SAIDA]],TAB_ESTOQUE[[Codigo]:[Referência Tec]],7,FALSE),"")</f>
        <v>0</v>
      </c>
      <c r="D70" s="14" t="str">
        <f>VLOOKUP(TAB_SAIDA[[#This Row],[COD_2_SAIDA]],TAB_ESTOQUE[[Codigo]:[Endereço2]],12,FALSE)</f>
        <v>A1305</v>
      </c>
      <c r="E70" s="81">
        <f>SUM(TAB_SAIDA[[#This Row],[20/05/2019]:[00/00/00]])</f>
        <v>0</v>
      </c>
      <c r="F70" s="3"/>
    </row>
    <row r="71" spans="1:6" ht="15" hidden="1" customHeight="1" x14ac:dyDescent="0.25">
      <c r="A71" s="5" t="s">
        <v>1728</v>
      </c>
      <c r="B71" s="14" t="str">
        <f>VLOOKUP(TAB_SAIDA[[#This Row],[COD_2_SAIDA]],TAB_ESTOQUE[[Codigo]:[Descrição Tecnica]],6,FALSE)</f>
        <v>CHAVE SECCIONADORA COMANDO MANUAL TRIPOLAR NSX100-160-250</v>
      </c>
      <c r="C71" s="14">
        <f>IFERROR(VLOOKUP(TAB_SAIDA[[#This Row],[COD_2_SAIDA]],TAB_ESTOQUE[[Codigo]:[Referência Tec]],7,FALSE),"")</f>
        <v>0</v>
      </c>
      <c r="D71" s="14" t="str">
        <f>VLOOKUP(TAB_SAIDA[[#This Row],[COD_2_SAIDA]],TAB_ESTOQUE[[Codigo]:[Endereço2]],12,FALSE)</f>
        <v>G1102</v>
      </c>
      <c r="E71" s="81">
        <f>SUM(TAB_SAIDA[[#This Row],[20/05/2019]:[00/00/00]])</f>
        <v>0</v>
      </c>
      <c r="F71" s="3"/>
    </row>
    <row r="72" spans="1:6" ht="15" hidden="1" customHeight="1" x14ac:dyDescent="0.25">
      <c r="A72" s="5" t="s">
        <v>1729</v>
      </c>
      <c r="B72" s="14" t="str">
        <f>VLOOKUP(TAB_SAIDA[[#This Row],[COD_2_SAIDA]],TAB_ESTOQUE[[Codigo]:[Descrição Tecnica]],6,FALSE)</f>
        <v>DISJUNTOR TRIPOLAR EZC630N3600N</v>
      </c>
      <c r="C72" s="14">
        <f>IFERROR(VLOOKUP(TAB_SAIDA[[#This Row],[COD_2_SAIDA]],TAB_ESTOQUE[[Codigo]:[Referência Tec]],7,FALSE),"")</f>
        <v>0</v>
      </c>
      <c r="D72" s="14" t="str">
        <f>VLOOKUP(TAB_SAIDA[[#This Row],[COD_2_SAIDA]],TAB_ESTOQUE[[Codigo]:[Endereço2]],12,FALSE)</f>
        <v>A1306</v>
      </c>
      <c r="E72" s="81">
        <f>SUM(TAB_SAIDA[[#This Row],[20/05/2019]:[00/00/00]])</f>
        <v>0</v>
      </c>
      <c r="F72" s="3"/>
    </row>
    <row r="73" spans="1:6" ht="15" hidden="1" customHeight="1" x14ac:dyDescent="0.25">
      <c r="A73" s="5" t="s">
        <v>1730</v>
      </c>
      <c r="B73" s="14" t="str">
        <f>VLOOKUP(TAB_SAIDA[[#This Row],[COD_2_SAIDA]],TAB_ESTOQUE[[Codigo]:[Descrição Tecnica]],6,FALSE)</f>
        <v>FITA DE FIBRA P/ ALAT TEMPERATURA 3M COLEIRO</v>
      </c>
      <c r="C73" s="14">
        <f>IFERROR(VLOOKUP(TAB_SAIDA[[#This Row],[COD_2_SAIDA]],TAB_ESTOQUE[[Codigo]:[Referência Tec]],7,FALSE),"")</f>
        <v>0</v>
      </c>
      <c r="D73" s="14" t="str">
        <f>VLOOKUP(TAB_SAIDA[[#This Row],[COD_2_SAIDA]],TAB_ESTOQUE[[Codigo]:[Endereço2]],12,FALSE)</f>
        <v>E2203</v>
      </c>
      <c r="E73" s="81">
        <f>SUM(TAB_SAIDA[[#This Row],[20/05/2019]:[00/00/00]])</f>
        <v>0</v>
      </c>
      <c r="F73" s="3"/>
    </row>
    <row r="74" spans="1:6" ht="15" hidden="1" customHeight="1" x14ac:dyDescent="0.25">
      <c r="A74" s="5" t="s">
        <v>1731</v>
      </c>
      <c r="B74" s="14" t="str">
        <f>VLOOKUP(TAB_SAIDA[[#This Row],[COD_2_SAIDA]],TAB_ESTOQUE[[Codigo]:[Descrição Tecnica]],6,FALSE)</f>
        <v>CAIXA BOTOEIRA C/ BOTÃO DE EMERGÊNCIA SIEMENS - REF. 3SB3 801-0EG3</v>
      </c>
      <c r="C74" s="14">
        <f>IFERROR(VLOOKUP(TAB_SAIDA[[#This Row],[COD_2_SAIDA]],TAB_ESTOQUE[[Codigo]:[Referência Tec]],7,FALSE),"")</f>
        <v>0</v>
      </c>
      <c r="D74" s="14" t="str">
        <f>VLOOKUP(TAB_SAIDA[[#This Row],[COD_2_SAIDA]],TAB_ESTOQUE[[Codigo]:[Endereço2]],12,FALSE)</f>
        <v>A1306</v>
      </c>
      <c r="E74" s="81">
        <f>SUM(TAB_SAIDA[[#This Row],[20/05/2019]:[00/00/00]])</f>
        <v>0</v>
      </c>
      <c r="F74" s="3"/>
    </row>
    <row r="75" spans="1:6" ht="15" hidden="1" customHeight="1" x14ac:dyDescent="0.25">
      <c r="A75" s="5" t="s">
        <v>1732</v>
      </c>
      <c r="B75" s="14" t="str">
        <f>VLOOKUP(TAB_SAIDA[[#This Row],[COD_2_SAIDA]],TAB_ESTOQUE[[Codigo]:[Descrição Tecnica]],6,FALSE)</f>
        <v>BOMBA PNEUMATICA MECART MOD: MEC 24T</v>
      </c>
      <c r="C75" s="14">
        <f>IFERROR(VLOOKUP(TAB_SAIDA[[#This Row],[COD_2_SAIDA]],TAB_ESTOQUE[[Codigo]:[Referência Tec]],7,FALSE),"")</f>
        <v>0</v>
      </c>
      <c r="D75" s="14" t="str">
        <f>VLOOKUP(TAB_SAIDA[[#This Row],[COD_2_SAIDA]],TAB_ESTOQUE[[Codigo]:[Endereço2]],12,FALSE)</f>
        <v>F1305</v>
      </c>
      <c r="E75" s="81">
        <f>SUM(TAB_SAIDA[[#This Row],[20/05/2019]:[00/00/00]])</f>
        <v>0</v>
      </c>
      <c r="F75" s="3"/>
    </row>
    <row r="76" spans="1:6" ht="15" hidden="1" customHeight="1" x14ac:dyDescent="0.25">
      <c r="A76" s="5" t="s">
        <v>1733</v>
      </c>
      <c r="B76" s="14" t="str">
        <f>VLOOKUP(TAB_SAIDA[[#This Row],[COD_2_SAIDA]],TAB_ESTOQUE[[Codigo]:[Descrição Tecnica]],6,FALSE)</f>
        <v>MOTOBOMBA DE VACUO WEG IP55 855Hz</v>
      </c>
      <c r="C76" s="14">
        <f>IFERROR(VLOOKUP(TAB_SAIDA[[#This Row],[COD_2_SAIDA]],TAB_ESTOQUE[[Codigo]:[Referência Tec]],7,FALSE),"")</f>
        <v>0</v>
      </c>
      <c r="D76" s="14" t="str">
        <f>VLOOKUP(TAB_SAIDA[[#This Row],[COD_2_SAIDA]],TAB_ESTOQUE[[Codigo]:[Endereço2]],12,FALSE)</f>
        <v>F1304</v>
      </c>
      <c r="E76" s="81">
        <f>SUM(TAB_SAIDA[[#This Row],[20/05/2019]:[00/00/00]])</f>
        <v>0</v>
      </c>
      <c r="F76" s="3"/>
    </row>
    <row r="77" spans="1:6" ht="15" hidden="1" customHeight="1" x14ac:dyDescent="0.25">
      <c r="A77" s="5" t="s">
        <v>1734</v>
      </c>
      <c r="B77" s="14" t="str">
        <f>VLOOKUP(TAB_SAIDA[[#This Row],[COD_2_SAIDA]],TAB_ESTOQUE[[Codigo]:[Descrição Tecnica]],6,FALSE)</f>
        <v>CABO FLEX UNIPOLAR  1,5MM² -  BOBINA 100M CAIXA COM 100M CABO FLEX 1,5MM² AZ LAPP KABEL</v>
      </c>
      <c r="C77" s="14">
        <f>IFERROR(VLOOKUP(TAB_SAIDA[[#This Row],[COD_2_SAIDA]],TAB_ESTOQUE[[Codigo]:[Referência Tec]],7,FALSE),"")</f>
        <v>0</v>
      </c>
      <c r="D77" s="14" t="str">
        <f>VLOOKUP(TAB_SAIDA[[#This Row],[COD_2_SAIDA]],TAB_ESTOQUE[[Codigo]:[Endereço2]],12,FALSE)</f>
        <v>B2404</v>
      </c>
      <c r="E77" s="81">
        <f>SUM(TAB_SAIDA[[#This Row],[20/05/2019]:[00/00/00]])</f>
        <v>0</v>
      </c>
      <c r="F77" s="3"/>
    </row>
    <row r="78" spans="1:6" ht="15" hidden="1" customHeight="1" x14ac:dyDescent="0.25">
      <c r="A78" s="5" t="s">
        <v>1735</v>
      </c>
      <c r="B78" s="14" t="str">
        <f>VLOOKUP(TAB_SAIDA[[#This Row],[COD_2_SAIDA]],TAB_ESTOQUE[[Codigo]:[Descrição Tecnica]],6,FALSE)</f>
        <v>CABO FLEX UNIPOLAR AZUL 1MM² -  BOBINA 100M CABO FLEX 1MM³ LA LAPP KABEL</v>
      </c>
      <c r="C78" s="14">
        <f>IFERROR(VLOOKUP(TAB_SAIDA[[#This Row],[COD_2_SAIDA]],TAB_ESTOQUE[[Codigo]:[Referência Tec]],7,FALSE),"")</f>
        <v>0</v>
      </c>
      <c r="D78" s="14" t="str">
        <f>VLOOKUP(TAB_SAIDA[[#This Row],[COD_2_SAIDA]],TAB_ESTOQUE[[Codigo]:[Endereço2]],12,FALSE)</f>
        <v>B2404</v>
      </c>
      <c r="E78" s="81">
        <f>SUM(TAB_SAIDA[[#This Row],[20/05/2019]:[00/00/00]])</f>
        <v>0</v>
      </c>
      <c r="F78" s="3"/>
    </row>
    <row r="79" spans="1:6" ht="15" hidden="1" customHeight="1" x14ac:dyDescent="0.25">
      <c r="A79" s="5" t="s">
        <v>1736</v>
      </c>
      <c r="B79" s="14" t="str">
        <f>VLOOKUP(TAB_SAIDA[[#This Row],[COD_2_SAIDA]],TAB_ESTOQUE[[Codigo]:[Descrição Tecnica]],6,FALSE)</f>
        <v>CABO FLEX UNIPOLAR AZUL+BRANCO 1MM² - LAPP KABEL - BOBINA 100M CABO FLEX 1MM³ AZ+BR LAPP KABEL</v>
      </c>
      <c r="C79" s="14">
        <f>IFERROR(VLOOKUP(TAB_SAIDA[[#This Row],[COD_2_SAIDA]],TAB_ESTOQUE[[Codigo]:[Referência Tec]],7,FALSE),"")</f>
        <v>0</v>
      </c>
      <c r="D79" s="14" t="str">
        <f>VLOOKUP(TAB_SAIDA[[#This Row],[COD_2_SAIDA]],TAB_ESTOQUE[[Codigo]:[Endereço2]],12,FALSE)</f>
        <v>B2404</v>
      </c>
      <c r="E79" s="81">
        <f>SUM(TAB_SAIDA[[#This Row],[20/05/2019]:[00/00/00]])</f>
        <v>0</v>
      </c>
      <c r="F79" s="3"/>
    </row>
    <row r="80" spans="1:6" ht="15" hidden="1" customHeight="1" x14ac:dyDescent="0.25">
      <c r="A80" s="5" t="s">
        <v>1737</v>
      </c>
      <c r="B80" s="14" t="str">
        <f>VLOOKUP(TAB_SAIDA[[#This Row],[COD_2_SAIDA]],TAB_ESTOQUE[[Codigo]:[Descrição Tecnica]],6,FALSE)</f>
        <v>CABO COM CONECTOR RETO FEMEA M12 12 PINOS</v>
      </c>
      <c r="C80" s="14">
        <f>IFERROR(VLOOKUP(TAB_SAIDA[[#This Row],[COD_2_SAIDA]],TAB_ESTOQUE[[Codigo]:[Referência Tec]],7,FALSE),"")</f>
        <v>0</v>
      </c>
      <c r="D80" s="14" t="str">
        <f>VLOOKUP(TAB_SAIDA[[#This Row],[COD_2_SAIDA]],TAB_ESTOQUE[[Codigo]:[Endereço2]],12,FALSE)</f>
        <v>B1404</v>
      </c>
      <c r="E80" s="81">
        <f>SUM(TAB_SAIDA[[#This Row],[20/05/2019]:[00/00/00]])</f>
        <v>0</v>
      </c>
      <c r="F80" s="3"/>
    </row>
    <row r="81" spans="1:577" ht="15" hidden="1" customHeight="1" x14ac:dyDescent="0.25">
      <c r="A81" s="5" t="s">
        <v>1738</v>
      </c>
      <c r="B81" s="14" t="str">
        <f>VLOOKUP(TAB_SAIDA[[#This Row],[COD_2_SAIDA]],TAB_ESTOQUE[[Codigo]:[Descrição Tecnica]],6,FALSE)</f>
        <v>TAMPA CEGA PARA CONDULETES</v>
      </c>
      <c r="C81" s="14">
        <f>IFERROR(VLOOKUP(TAB_SAIDA[[#This Row],[COD_2_SAIDA]],TAB_ESTOQUE[[Codigo]:[Referência Tec]],7,FALSE),"")</f>
        <v>0</v>
      </c>
      <c r="D81" s="14" t="str">
        <f>VLOOKUP(TAB_SAIDA[[#This Row],[COD_2_SAIDA]],TAB_ESTOQUE[[Codigo]:[Endereço2]],12,FALSE)</f>
        <v>A1402</v>
      </c>
      <c r="E81" s="81">
        <f>SUM(TAB_SAIDA[[#This Row],[20/05/2019]:[00/00/00]])</f>
        <v>0</v>
      </c>
      <c r="F81" s="3"/>
    </row>
    <row r="82" spans="1:577" ht="15" hidden="1" customHeight="1" x14ac:dyDescent="0.25">
      <c r="A82" s="5" t="s">
        <v>1739</v>
      </c>
      <c r="B82" s="14" t="str">
        <f>VLOOKUP(TAB_SAIDA[[#This Row],[COD_2_SAIDA]],TAB_ESTOQUE[[Codigo]:[Descrição Tecnica]],6,FALSE)</f>
        <v>CONDULETE ALUM: E 1" 1/4" COM ROSCA</v>
      </c>
      <c r="C82" s="14">
        <f>IFERROR(VLOOKUP(TAB_SAIDA[[#This Row],[COD_2_SAIDA]],TAB_ESTOQUE[[Codigo]:[Referência Tec]],7,FALSE),"")</f>
        <v>0</v>
      </c>
      <c r="D82" s="14" t="str">
        <f>VLOOKUP(TAB_SAIDA[[#This Row],[COD_2_SAIDA]],TAB_ESTOQUE[[Codigo]:[Endereço2]],12,FALSE)</f>
        <v>A1402</v>
      </c>
      <c r="E82" s="81">
        <f>SUM(TAB_SAIDA[[#This Row],[20/05/2019]:[00/00/00]])</f>
        <v>0</v>
      </c>
      <c r="F82" s="3"/>
    </row>
    <row r="83" spans="1:577" ht="15" hidden="1" customHeight="1" x14ac:dyDescent="0.25">
      <c r="A83" s="5" t="s">
        <v>1740</v>
      </c>
      <c r="B83" s="14" t="str">
        <f>VLOOKUP(TAB_SAIDA[[#This Row],[COD_2_SAIDA]],TAB_ESTOQUE[[Codigo]:[Descrição Tecnica]],6,FALSE)</f>
        <v>CHAVE SECCIONADORA P/ FUSÍVEL NH TAMAHO 00 - IMAX. 160A - SIEMENS - REF. 3NP1133-1CA10</v>
      </c>
      <c r="C83" s="14">
        <f>IFERROR(VLOOKUP(TAB_SAIDA[[#This Row],[COD_2_SAIDA]],TAB_ESTOQUE[[Codigo]:[Referência Tec]],7,FALSE),"")</f>
        <v>0</v>
      </c>
      <c r="D83" s="14" t="str">
        <f>VLOOKUP(TAB_SAIDA[[#This Row],[COD_2_SAIDA]],TAB_ESTOQUE[[Codigo]:[Endereço2]],12,FALSE)</f>
        <v>A1403</v>
      </c>
      <c r="E83" s="81">
        <f>SUM(TAB_SAIDA[[#This Row],[20/05/2019]:[00/00/00]])</f>
        <v>0</v>
      </c>
      <c r="F83" s="3"/>
    </row>
    <row r="84" spans="1:577" ht="15" hidden="1" customHeight="1" x14ac:dyDescent="0.25">
      <c r="A84" s="5" t="s">
        <v>1741</v>
      </c>
      <c r="B84" s="14" t="str">
        <f>VLOOKUP(TAB_SAIDA[[#This Row],[COD_2_SAIDA]],TAB_ESTOQUE[[Codigo]:[Descrição Tecnica]],6,FALSE)</f>
        <v xml:space="preserve">CONTACTOR LC1 D09BD SCHNEIDER 25A </v>
      </c>
      <c r="C84" s="14">
        <f>IFERROR(VLOOKUP(TAB_SAIDA[[#This Row],[COD_2_SAIDA]],TAB_ESTOQUE[[Codigo]:[Referência Tec]],7,FALSE),"")</f>
        <v>0</v>
      </c>
      <c r="D84" s="14" t="str">
        <f>VLOOKUP(TAB_SAIDA[[#This Row],[COD_2_SAIDA]],TAB_ESTOQUE[[Codigo]:[Endereço2]],12,FALSE)</f>
        <v>A1403</v>
      </c>
      <c r="E84" s="81">
        <f>SUM(TAB_SAIDA[[#This Row],[20/05/2019]:[00/00/00]])</f>
        <v>0</v>
      </c>
      <c r="F84" s="3"/>
    </row>
    <row r="85" spans="1:577" ht="15" hidden="1" customHeight="1" x14ac:dyDescent="0.25">
      <c r="A85" s="5" t="s">
        <v>1742</v>
      </c>
      <c r="B85" s="14" t="str">
        <f>VLOOKUP(TAB_SAIDA[[#This Row],[COD_2_SAIDA]],TAB_ESTOQUE[[Codigo]:[Descrição Tecnica]],6,FALSE)</f>
        <v xml:space="preserve">CONTACTOR TRIPOLAR 25A (WEG) REF. CWC025-00-30V26 </v>
      </c>
      <c r="C85" s="14">
        <f>IFERROR(VLOOKUP(TAB_SAIDA[[#This Row],[COD_2_SAIDA]],TAB_ESTOQUE[[Codigo]:[Referência Tec]],7,FALSE),"")</f>
        <v>0</v>
      </c>
      <c r="D85" s="14" t="str">
        <f>VLOOKUP(TAB_SAIDA[[#This Row],[COD_2_SAIDA]],TAB_ESTOQUE[[Codigo]:[Endereço2]],12,FALSE)</f>
        <v>A1403</v>
      </c>
      <c r="E85" s="81">
        <f>SUM(TAB_SAIDA[[#This Row],[20/05/2019]:[00/00/00]])</f>
        <v>1</v>
      </c>
      <c r="F85" s="3"/>
      <c r="VE85" s="3">
        <v>1</v>
      </c>
    </row>
    <row r="86" spans="1:577" ht="15" hidden="1" customHeight="1" x14ac:dyDescent="0.25">
      <c r="A86" s="5" t="s">
        <v>1743</v>
      </c>
      <c r="B86" s="14" t="str">
        <f>VLOOKUP(TAB_SAIDA[[#This Row],[COD_2_SAIDA]],TAB_ESTOQUE[[Codigo]:[Descrição Tecnica]],6,FALSE)</f>
        <v>CONTATOR DE FORÇA AC-3: 9A 400V 380V 4KW 10E 1NO DC 24V SIEMENS</v>
      </c>
      <c r="C86" s="14">
        <f>IFERROR(VLOOKUP(TAB_SAIDA[[#This Row],[COD_2_SAIDA]],TAB_ESTOQUE[[Codigo]:[Referência Tec]],7,FALSE),"")</f>
        <v>0</v>
      </c>
      <c r="D86" s="14" t="str">
        <f>VLOOKUP(TAB_SAIDA[[#This Row],[COD_2_SAIDA]],TAB_ESTOQUE[[Codigo]:[Endereço2]],12,FALSE)</f>
        <v>A1403</v>
      </c>
      <c r="E86" s="81">
        <f>SUM(TAB_SAIDA[[#This Row],[20/05/2019]:[00/00/00]])</f>
        <v>0</v>
      </c>
      <c r="F86" s="3"/>
    </row>
    <row r="87" spans="1:577" ht="15" hidden="1" customHeight="1" x14ac:dyDescent="0.25">
      <c r="A87" s="5" t="s">
        <v>1744</v>
      </c>
      <c r="B87" s="14" t="str">
        <f>VLOOKUP(TAB_SAIDA[[#This Row],[COD_2_SAIDA]],TAB_ESTOQUE[[Codigo]:[Descrição Tecnica]],6,FALSE)</f>
        <v xml:space="preserve">CONTATOR DE FORÇA AC-3: 12A 400V 380V 5.5KW 10E 1NO SIEMENS </v>
      </c>
      <c r="C87" s="14">
        <f>IFERROR(VLOOKUP(TAB_SAIDA[[#This Row],[COD_2_SAIDA]],TAB_ESTOQUE[[Codigo]:[Referência Tec]],7,FALSE),"")</f>
        <v>0</v>
      </c>
      <c r="D87" s="14" t="str">
        <f>VLOOKUP(TAB_SAIDA[[#This Row],[COD_2_SAIDA]],TAB_ESTOQUE[[Codigo]:[Endereço2]],12,FALSE)</f>
        <v>A1403</v>
      </c>
      <c r="E87" s="81">
        <f>SUM(TAB_SAIDA[[#This Row],[20/05/2019]:[00/00/00]])</f>
        <v>0</v>
      </c>
      <c r="F87" s="3"/>
    </row>
    <row r="88" spans="1:577" ht="15" hidden="1" customHeight="1" x14ac:dyDescent="0.25">
      <c r="A88" s="5" t="s">
        <v>1745</v>
      </c>
      <c r="B88" s="14" t="str">
        <f>VLOOKUP(TAB_SAIDA[[#This Row],[COD_2_SAIDA]],TAB_ESTOQUE[[Codigo]:[Descrição Tecnica]],6,FALSE)</f>
        <v>CONTATOR DE FORÇA AC-3: 18A 400V 380V 7.5KW 10E 1NO</v>
      </c>
      <c r="C88" s="14">
        <f>IFERROR(VLOOKUP(TAB_SAIDA[[#This Row],[COD_2_SAIDA]],TAB_ESTOQUE[[Codigo]:[Referência Tec]],7,FALSE),"")</f>
        <v>0</v>
      </c>
      <c r="D88" s="14" t="str">
        <f>VLOOKUP(TAB_SAIDA[[#This Row],[COD_2_SAIDA]],TAB_ESTOQUE[[Codigo]:[Endereço2]],12,FALSE)</f>
        <v>A1403</v>
      </c>
      <c r="E88" s="81">
        <f>SUM(TAB_SAIDA[[#This Row],[20/05/2019]:[00/00/00]])</f>
        <v>0</v>
      </c>
      <c r="F88" s="3"/>
    </row>
    <row r="89" spans="1:577" ht="15" hidden="1" customHeight="1" x14ac:dyDescent="0.25">
      <c r="A89" s="5" t="s">
        <v>1746</v>
      </c>
      <c r="B89" s="14" t="str">
        <f>VLOOKUP(TAB_SAIDA[[#This Row],[COD_2_SAIDA]],TAB_ESTOQUE[[Codigo]:[Descrição Tecnica]],6,FALSE)</f>
        <v>CAIXA BOTOEIRA P/ BOTÃO DE COMANDO - MOD. LAY5-BOX1/W (LUKMA ELETRONIC)</v>
      </c>
      <c r="C89" s="14">
        <f>IFERROR(VLOOKUP(TAB_SAIDA[[#This Row],[COD_2_SAIDA]],TAB_ESTOQUE[[Codigo]:[Referência Tec]],7,FALSE),"")</f>
        <v>0</v>
      </c>
      <c r="D89" s="14" t="str">
        <f>VLOOKUP(TAB_SAIDA[[#This Row],[COD_2_SAIDA]],TAB_ESTOQUE[[Codigo]:[Endereço2]],12,FALSE)</f>
        <v>B1304</v>
      </c>
      <c r="E89" s="81">
        <f>SUM(TAB_SAIDA[[#This Row],[20/05/2019]:[00/00/00]])</f>
        <v>0</v>
      </c>
      <c r="F89" s="3"/>
    </row>
    <row r="90" spans="1:577" ht="15" hidden="1" customHeight="1" x14ac:dyDescent="0.25">
      <c r="A90" s="5" t="s">
        <v>1747</v>
      </c>
      <c r="B90" s="14" t="str">
        <f>VLOOKUP(TAB_SAIDA[[#This Row],[COD_2_SAIDA]],TAB_ESTOQUE[[Codigo]:[Descrição Tecnica]],6,FALSE)</f>
        <v>ACOPLAMENTO STECK FIXAR N5246 32-6h/380-440V 3P+N+ FEMEA VERMELHO</v>
      </c>
      <c r="C90" s="14">
        <f>IFERROR(VLOOKUP(TAB_SAIDA[[#This Row],[COD_2_SAIDA]],TAB_ESTOQUE[[Codigo]:[Referência Tec]],7,FALSE),"")</f>
        <v>0</v>
      </c>
      <c r="D90" s="14" t="str">
        <f>VLOOKUP(TAB_SAIDA[[#This Row],[COD_2_SAIDA]],TAB_ESTOQUE[[Codigo]:[Endereço2]],12,FALSE)</f>
        <v>A1404</v>
      </c>
      <c r="E90" s="81">
        <f>SUM(TAB_SAIDA[[#This Row],[20/05/2019]:[00/00/00]])</f>
        <v>0</v>
      </c>
      <c r="F90" s="3"/>
    </row>
    <row r="91" spans="1:577" ht="15" hidden="1" customHeight="1" x14ac:dyDescent="0.25">
      <c r="A91" s="5" t="s">
        <v>1748</v>
      </c>
      <c r="B91" s="14" t="str">
        <f>VLOOKUP(TAB_SAIDA[[#This Row],[COD_2_SAIDA]],TAB_ESTOQUE[[Codigo]:[Descrição Tecnica]],6,FALSE)</f>
        <v>ACOPLAMENTO STECK N4256 32A-6h 380V 440V 3P+ 052794 FEMEA VERMELHO</v>
      </c>
      <c r="C91" s="14">
        <f>IFERROR(VLOOKUP(TAB_SAIDA[[#This Row],[COD_2_SAIDA]],TAB_ESTOQUE[[Codigo]:[Referência Tec]],7,FALSE),"")</f>
        <v>0</v>
      </c>
      <c r="D91" s="14" t="str">
        <f>VLOOKUP(TAB_SAIDA[[#This Row],[COD_2_SAIDA]],TAB_ESTOQUE[[Codigo]:[Endereço2]],12,FALSE)</f>
        <v>A1404</v>
      </c>
      <c r="E91" s="81">
        <f>SUM(TAB_SAIDA[[#This Row],[20/05/2019]:[00/00/00]])</f>
        <v>0</v>
      </c>
      <c r="F91" s="3"/>
    </row>
    <row r="92" spans="1:577" ht="15" hidden="1" customHeight="1" x14ac:dyDescent="0.25">
      <c r="A92" s="5" t="s">
        <v>1749</v>
      </c>
      <c r="B92" s="14" t="str">
        <f>VLOOKUP(TAB_SAIDA[[#This Row],[COD_2_SAIDA]],TAB_ESTOQUE[[Codigo]:[Descrição Tecnica]],6,FALSE)</f>
        <v>ACOPLAMENTO STECK N3056 16A-6h 200V 250V 2P+ OSN20568 FEMEA AZUL</v>
      </c>
      <c r="C92" s="14">
        <f>IFERROR(VLOOKUP(TAB_SAIDA[[#This Row],[COD_2_SAIDA]],TAB_ESTOQUE[[Codigo]:[Referência Tec]],7,FALSE),"")</f>
        <v>0</v>
      </c>
      <c r="D92" s="14" t="str">
        <f>VLOOKUP(TAB_SAIDA[[#This Row],[COD_2_SAIDA]],TAB_ESTOQUE[[Codigo]:[Endereço2]],12,FALSE)</f>
        <v>A1404</v>
      </c>
      <c r="E92" s="81">
        <f>SUM(TAB_SAIDA[[#This Row],[20/05/2019]:[00/00/00]])</f>
        <v>0</v>
      </c>
      <c r="F92" s="3"/>
    </row>
    <row r="93" spans="1:577" ht="15" hidden="1" customHeight="1" x14ac:dyDescent="0.25">
      <c r="A93" s="5" t="s">
        <v>1750</v>
      </c>
      <c r="B93" s="14" t="str">
        <f>VLOOKUP(TAB_SAIDA[[#This Row],[COD_2_SAIDA]],TAB_ESTOQUE[[Codigo]:[Descrição Tecnica]],6,FALSE)</f>
        <v>ACOPLAMENTO NEWKON 2P+T 16A -6H 200/250V AZ IP44 SETCK - REF. N3076 AZUL MACHO</v>
      </c>
      <c r="C93" s="14">
        <f>IFERROR(VLOOKUP(TAB_SAIDA[[#This Row],[COD_2_SAIDA]],TAB_ESTOQUE[[Codigo]:[Referência Tec]],7,FALSE),"")</f>
        <v>0</v>
      </c>
      <c r="D93" s="14" t="str">
        <f>VLOOKUP(TAB_SAIDA[[#This Row],[COD_2_SAIDA]],TAB_ESTOQUE[[Codigo]:[Endereço2]],12,FALSE)</f>
        <v>A2404</v>
      </c>
      <c r="E93" s="81">
        <f>SUM(TAB_SAIDA[[#This Row],[20/05/2019]:[00/00/00]])</f>
        <v>0</v>
      </c>
      <c r="F93" s="3"/>
    </row>
    <row r="94" spans="1:577" ht="15" hidden="1" customHeight="1" x14ac:dyDescent="0.25">
      <c r="A94" s="5" t="s">
        <v>1751</v>
      </c>
      <c r="B94" s="14" t="str">
        <f>VLOOKUP(TAB_SAIDA[[#This Row],[COD_2_SAIDA]],TAB_ESTOQUE[[Codigo]:[Descrição Tecnica]],6,FALSE)</f>
        <v>ACOPLAMENTO STECK FIXAR N3006 2P+16A-6h 200-250V OSN24818 FEMEA AZUL</v>
      </c>
      <c r="C94" s="14">
        <f>IFERROR(VLOOKUP(TAB_SAIDA[[#This Row],[COD_2_SAIDA]],TAB_ESTOQUE[[Codigo]:[Referência Tec]],7,FALSE),"")</f>
        <v>0</v>
      </c>
      <c r="D94" s="14" t="str">
        <f>VLOOKUP(TAB_SAIDA[[#This Row],[COD_2_SAIDA]],TAB_ESTOQUE[[Codigo]:[Endereço2]],12,FALSE)</f>
        <v>A1404</v>
      </c>
      <c r="E94" s="81">
        <f>SUM(TAB_SAIDA[[#This Row],[20/05/2019]:[00/00/00]])</f>
        <v>0</v>
      </c>
      <c r="F94" s="3"/>
    </row>
    <row r="95" spans="1:577" ht="15" hidden="1" customHeight="1" x14ac:dyDescent="0.25">
      <c r="A95" s="5" t="s">
        <v>1752</v>
      </c>
      <c r="B95" s="14" t="str">
        <f>VLOOKUP(TAB_SAIDA[[#This Row],[COD_2_SAIDA]],TAB_ESTOQUE[[Codigo]:[Descrição Tecnica]],6,FALSE)</f>
        <v>ACOPLAMENTO 82</v>
      </c>
      <c r="C95" s="14">
        <f>IFERROR(VLOOKUP(TAB_SAIDA[[#This Row],[COD_2_SAIDA]],TAB_ESTOQUE[[Codigo]:[Referência Tec]],7,FALSE),"")</f>
        <v>0</v>
      </c>
      <c r="D95" s="14" t="str">
        <f>VLOOKUP(TAB_SAIDA[[#This Row],[COD_2_SAIDA]],TAB_ESTOQUE[[Codigo]:[Endereço2]],12,FALSE)</f>
        <v>E2204</v>
      </c>
      <c r="E95" s="81">
        <f>SUM(TAB_SAIDA[[#This Row],[20/05/2019]:[00/00/00]])</f>
        <v>0</v>
      </c>
      <c r="F95" s="3"/>
    </row>
    <row r="96" spans="1:577" ht="15" hidden="1" customHeight="1" x14ac:dyDescent="0.25">
      <c r="A96" s="5" t="s">
        <v>1753</v>
      </c>
      <c r="B96" s="14" t="str">
        <f>VLOOKUP(TAB_SAIDA[[#This Row],[COD_2_SAIDA]],TAB_ESTOQUE[[Codigo]:[Descrição Tecnica]],6,FALSE)</f>
        <v>AMORTECEDOR MOLA GAS 250N</v>
      </c>
      <c r="C96" s="14">
        <f>IFERROR(VLOOKUP(TAB_SAIDA[[#This Row],[COD_2_SAIDA]],TAB_ESTOQUE[[Codigo]:[Referência Tec]],7,FALSE),"")</f>
        <v>0</v>
      </c>
      <c r="D96" s="14" t="str">
        <f>VLOOKUP(TAB_SAIDA[[#This Row],[COD_2_SAIDA]],TAB_ESTOQUE[[Codigo]:[Endereço2]],12,FALSE)</f>
        <v>D2304</v>
      </c>
      <c r="E96" s="81">
        <f>SUM(TAB_SAIDA[[#This Row],[20/05/2019]:[00/00/00]])</f>
        <v>2</v>
      </c>
      <c r="F96" s="3"/>
      <c r="RT96" s="3">
        <v>1</v>
      </c>
      <c r="SB96" s="3">
        <v>1</v>
      </c>
    </row>
    <row r="97" spans="1:630" ht="15" hidden="1" customHeight="1" x14ac:dyDescent="0.25">
      <c r="A97" s="5" t="s">
        <v>1754</v>
      </c>
      <c r="B97" s="14" t="str">
        <f>VLOOKUP(TAB_SAIDA[[#This Row],[COD_2_SAIDA]],TAB_ESTOQUE[[Codigo]:[Descrição Tecnica]],6,FALSE)</f>
        <v>PRENSA TERMINAL AÇO 240MM</v>
      </c>
      <c r="C97" s="14">
        <f>IFERROR(VLOOKUP(TAB_SAIDA[[#This Row],[COD_2_SAIDA]],TAB_ESTOQUE[[Codigo]:[Referência Tec]],7,FALSE),"")</f>
        <v>0</v>
      </c>
      <c r="D97" s="14" t="str">
        <f>VLOOKUP(TAB_SAIDA[[#This Row],[COD_2_SAIDA]],TAB_ESTOQUE[[Codigo]:[Endereço2]],12,FALSE)</f>
        <v>A1202</v>
      </c>
      <c r="E97" s="81">
        <f>SUM(TAB_SAIDA[[#This Row],[20/05/2019]:[00/00/00]])</f>
        <v>0</v>
      </c>
      <c r="F97" s="3"/>
    </row>
    <row r="98" spans="1:630" ht="15" hidden="1" customHeight="1" x14ac:dyDescent="0.25">
      <c r="A98" s="5" t="s">
        <v>1755</v>
      </c>
      <c r="B98" s="14" t="str">
        <f>VLOOKUP(TAB_SAIDA[[#This Row],[COD_2_SAIDA]],TAB_ESTOQUE[[Codigo]:[Descrição Tecnica]],6,FALSE)</f>
        <v>PRENSA TERMINAL AÇO KL10/6</v>
      </c>
      <c r="C98" s="14">
        <f>IFERROR(VLOOKUP(TAB_SAIDA[[#This Row],[COD_2_SAIDA]],TAB_ESTOQUE[[Codigo]:[Referência Tec]],7,FALSE),"")</f>
        <v>0</v>
      </c>
      <c r="D98" s="14" t="str">
        <f>VLOOKUP(TAB_SAIDA[[#This Row],[COD_2_SAIDA]],TAB_ESTOQUE[[Codigo]:[Endereço2]],12,FALSE)</f>
        <v>A1202</v>
      </c>
      <c r="E98" s="81">
        <f>SUM(TAB_SAIDA[[#This Row],[20/05/2019]:[00/00/00]])</f>
        <v>0</v>
      </c>
      <c r="F98" s="3"/>
    </row>
    <row r="99" spans="1:630" ht="15" hidden="1" customHeight="1" x14ac:dyDescent="0.25">
      <c r="A99" s="5" t="s">
        <v>1756</v>
      </c>
      <c r="B99" s="14" t="str">
        <f>VLOOKUP(TAB_SAIDA[[#This Row],[COD_2_SAIDA]],TAB_ESTOQUE[[Codigo]:[Descrição Tecnica]],6,FALSE)</f>
        <v>PRENSA TERMINAL AÇO KL25/8</v>
      </c>
      <c r="C99" s="14">
        <f>IFERROR(VLOOKUP(TAB_SAIDA[[#This Row],[COD_2_SAIDA]],TAB_ESTOQUE[[Codigo]:[Referência Tec]],7,FALSE),"")</f>
        <v>0</v>
      </c>
      <c r="D99" s="14" t="str">
        <f>VLOOKUP(TAB_SAIDA[[#This Row],[COD_2_SAIDA]],TAB_ESTOQUE[[Codigo]:[Endereço2]],12,FALSE)</f>
        <v>A1202</v>
      </c>
      <c r="E99" s="81">
        <f>SUM(TAB_SAIDA[[#This Row],[20/05/2019]:[00/00/00]])</f>
        <v>0</v>
      </c>
      <c r="F99" s="3"/>
    </row>
    <row r="100" spans="1:630" ht="15" hidden="1" customHeight="1" x14ac:dyDescent="0.25">
      <c r="A100" s="5" t="s">
        <v>1757</v>
      </c>
      <c r="B100" s="14" t="str">
        <f>VLOOKUP(TAB_SAIDA[[#This Row],[COD_2_SAIDA]],TAB_ESTOQUE[[Codigo]:[Descrição Tecnica]],6,FALSE)</f>
        <v>PRENSA TERMINAL AÇO 25MM</v>
      </c>
      <c r="C100" s="14">
        <f>IFERROR(VLOOKUP(TAB_SAIDA[[#This Row],[COD_2_SAIDA]],TAB_ESTOQUE[[Codigo]:[Referência Tec]],7,FALSE),"")</f>
        <v>0</v>
      </c>
      <c r="D100" s="14" t="str">
        <f>VLOOKUP(TAB_SAIDA[[#This Row],[COD_2_SAIDA]],TAB_ESTOQUE[[Codigo]:[Endereço2]],12,FALSE)</f>
        <v>A1202</v>
      </c>
      <c r="E100" s="81">
        <f>SUM(TAB_SAIDA[[#This Row],[20/05/2019]:[00/00/00]])</f>
        <v>0</v>
      </c>
      <c r="F100" s="3"/>
    </row>
    <row r="101" spans="1:630" ht="15" hidden="1" customHeight="1" x14ac:dyDescent="0.25">
      <c r="A101" s="5" t="s">
        <v>1758</v>
      </c>
      <c r="B101" s="14" t="str">
        <f>VLOOKUP(TAB_SAIDA[[#This Row],[COD_2_SAIDA]],TAB_ESTOQUE[[Codigo]:[Descrição Tecnica]],6,FALSE)</f>
        <v>PRENSA TERMINAL AÇO 35MM</v>
      </c>
      <c r="C101" s="14">
        <f>IFERROR(VLOOKUP(TAB_SAIDA[[#This Row],[COD_2_SAIDA]],TAB_ESTOQUE[[Codigo]:[Referência Tec]],7,FALSE),"")</f>
        <v>0</v>
      </c>
      <c r="D101" s="14" t="str">
        <f>VLOOKUP(TAB_SAIDA[[#This Row],[COD_2_SAIDA]],TAB_ESTOQUE[[Codigo]:[Endereço2]],12,FALSE)</f>
        <v>A1202</v>
      </c>
      <c r="E101" s="81">
        <f>SUM(TAB_SAIDA[[#This Row],[20/05/2019]:[00/00/00]])</f>
        <v>0</v>
      </c>
      <c r="F101" s="3"/>
    </row>
    <row r="102" spans="1:630" ht="15" hidden="1" customHeight="1" x14ac:dyDescent="0.25">
      <c r="A102" s="5" t="s">
        <v>1759</v>
      </c>
      <c r="B102" s="14" t="str">
        <f>VLOOKUP(TAB_SAIDA[[#This Row],[COD_2_SAIDA]],TAB_ESTOQUE[[Codigo]:[Descrição Tecnica]],6,FALSE)</f>
        <v>PRENSA TERMINAL AÇO 50MM</v>
      </c>
      <c r="C102" s="14">
        <f>IFERROR(VLOOKUP(TAB_SAIDA[[#This Row],[COD_2_SAIDA]],TAB_ESTOQUE[[Codigo]:[Referência Tec]],7,FALSE),"")</f>
        <v>0</v>
      </c>
      <c r="D102" s="14" t="str">
        <f>VLOOKUP(TAB_SAIDA[[#This Row],[COD_2_SAIDA]],TAB_ESTOQUE[[Codigo]:[Endereço2]],12,FALSE)</f>
        <v>A1202</v>
      </c>
      <c r="E102" s="81">
        <f>SUM(TAB_SAIDA[[#This Row],[20/05/2019]:[00/00/00]])</f>
        <v>0</v>
      </c>
      <c r="F102" s="3"/>
    </row>
    <row r="103" spans="1:630" ht="15" hidden="1" customHeight="1" x14ac:dyDescent="0.25">
      <c r="A103" s="5" t="s">
        <v>1760</v>
      </c>
      <c r="B103" s="14" t="str">
        <f>VLOOKUP(TAB_SAIDA[[#This Row],[COD_2_SAIDA]],TAB_ESTOQUE[[Codigo]:[Descrição Tecnica]],6,FALSE)</f>
        <v>CAPA DO BICO ROBO COLA GTI PRO EFFICLENCY PN:ITW-PRO-100-TE40-K  DEVILBISS</v>
      </c>
      <c r="C103" s="14">
        <f>IFERROR(VLOOKUP(TAB_SAIDA[[#This Row],[COD_2_SAIDA]],TAB_ESTOQUE[[Codigo]:[Referência Tec]],7,FALSE),"")</f>
        <v>0</v>
      </c>
      <c r="D103" s="14" t="str">
        <f>VLOOKUP(TAB_SAIDA[[#This Row],[COD_2_SAIDA]],TAB_ESTOQUE[[Codigo]:[Endereço2]],12,FALSE)</f>
        <v>E2303</v>
      </c>
      <c r="E103" s="81">
        <f>SUM(TAB_SAIDA[[#This Row],[20/05/2019]:[00/00/00]])</f>
        <v>0</v>
      </c>
      <c r="F103" s="3"/>
    </row>
    <row r="104" spans="1:630" ht="15" hidden="1" customHeight="1" x14ac:dyDescent="0.25">
      <c r="A104" s="5" t="s">
        <v>1761</v>
      </c>
      <c r="B104" s="14" t="str">
        <f>VLOOKUP(TAB_SAIDA[[#This Row],[COD_2_SAIDA]],TAB_ESTOQUE[[Codigo]:[Descrição Tecnica]],6,FALSE)</f>
        <v>CAPA DE MALHA P/ ROBO BRANCO</v>
      </c>
      <c r="C104" s="14">
        <f>IFERROR(VLOOKUP(TAB_SAIDA[[#This Row],[COD_2_SAIDA]],TAB_ESTOQUE[[Codigo]:[Referência Tec]],7,FALSE),"")</f>
        <v>0</v>
      </c>
      <c r="D104" s="14" t="str">
        <f>VLOOKUP(TAB_SAIDA[[#This Row],[COD_2_SAIDA]],TAB_ESTOQUE[[Codigo]:[Endereço2]],12,FALSE)</f>
        <v>C1301</v>
      </c>
      <c r="E104" s="81">
        <f>SUM(TAB_SAIDA[[#This Row],[20/05/2019]:[00/00/00]])</f>
        <v>2</v>
      </c>
      <c r="F104" s="3"/>
      <c r="TF104" s="3">
        <v>1</v>
      </c>
      <c r="XC104" s="3">
        <v>1</v>
      </c>
    </row>
    <row r="105" spans="1:630" ht="15" customHeight="1" x14ac:dyDescent="0.25">
      <c r="A105" s="5" t="s">
        <v>1762</v>
      </c>
      <c r="B105" s="14" t="str">
        <f>VLOOKUP(TAB_SAIDA[[#This Row],[COD_2_SAIDA]],TAB_ESTOQUE[[Codigo]:[Descrição Tecnica]],6,FALSE)</f>
        <v>MANIFOLD PARA PISTOLA WARNING FLUDO 7BAR DEVIBILLS</v>
      </c>
      <c r="C105" s="14">
        <f>IFERROR(VLOOKUP(TAB_SAIDA[[#This Row],[COD_2_SAIDA]],TAB_ESTOQUE[[Codigo]:[Referência Tec]],7,FALSE),"")</f>
        <v>0</v>
      </c>
      <c r="D105" s="14" t="str">
        <f>VLOOKUP(TAB_SAIDA[[#This Row],[COD_2_SAIDA]],TAB_ESTOQUE[[Codigo]:[Endereço2]],12,FALSE)</f>
        <v>E2303</v>
      </c>
      <c r="E105" s="81">
        <f>SUM(TAB_SAIDA[[#This Row],[20/05/2019]:[00/00/00]])</f>
        <v>0</v>
      </c>
      <c r="F105" s="3"/>
    </row>
    <row r="106" spans="1:630" ht="15" hidden="1" customHeight="1" x14ac:dyDescent="0.25">
      <c r="A106" s="5" t="s">
        <v>1763</v>
      </c>
      <c r="B106" s="14" t="str">
        <f>VLOOKUP(TAB_SAIDA[[#This Row],[COD_2_SAIDA]],TAB_ESTOQUE[[Codigo]:[Descrição Tecnica]],6,FALSE)</f>
        <v>REGUA DE NIVEL BALLUFF BTL20C3 BTL7-A501-M1500-P-S32</v>
      </c>
      <c r="C106" s="14">
        <f>IFERROR(VLOOKUP(TAB_SAIDA[[#This Row],[COD_2_SAIDA]],TAB_ESTOQUE[[Codigo]:[Referência Tec]],7,FALSE),"")</f>
        <v>0</v>
      </c>
      <c r="D106" s="14" t="str">
        <f>VLOOKUP(TAB_SAIDA[[#This Row],[COD_2_SAIDA]],TAB_ESTOQUE[[Codigo]:[Endereço2]],12,FALSE)</f>
        <v>D2401</v>
      </c>
      <c r="E106" s="81">
        <f>SUM(TAB_SAIDA[[#This Row],[20/05/2019]:[00/00/00]])</f>
        <v>0</v>
      </c>
      <c r="F106" s="3"/>
    </row>
    <row r="107" spans="1:630" ht="15" hidden="1" customHeight="1" x14ac:dyDescent="0.25">
      <c r="A107" s="5" t="s">
        <v>1764</v>
      </c>
      <c r="B107" s="14" t="str">
        <f>VLOOKUP(TAB_SAIDA[[#This Row],[COD_2_SAIDA]],TAB_ESTOQUE[[Codigo]:[Descrição Tecnica]],6,FALSE)</f>
        <v>REISISTENCIA (M02)</v>
      </c>
      <c r="C107" s="14">
        <f>IFERROR(VLOOKUP(TAB_SAIDA[[#This Row],[COD_2_SAIDA]],TAB_ESTOQUE[[Codigo]:[Referência Tec]],7,FALSE),"")</f>
        <v>0</v>
      </c>
      <c r="D107" s="14" t="str">
        <f>VLOOKUP(TAB_SAIDA[[#This Row],[COD_2_SAIDA]],TAB_ESTOQUE[[Codigo]:[Endereço2]],12,FALSE)</f>
        <v>D2401</v>
      </c>
      <c r="E107" s="81">
        <f>SUM(TAB_SAIDA[[#This Row],[20/05/2019]:[00/00/00]])</f>
        <v>0</v>
      </c>
      <c r="F107" s="3"/>
    </row>
    <row r="108" spans="1:630" ht="15" customHeight="1" x14ac:dyDescent="0.25">
      <c r="A108" s="5" t="s">
        <v>1765</v>
      </c>
      <c r="B108" s="14" t="str">
        <f>VLOOKUP(TAB_SAIDA[[#This Row],[COD_2_SAIDA]],TAB_ESTOQUE[[Codigo]:[Descrição Tecnica]],6,FALSE)</f>
        <v>MANIFOLD PARA PISTOLA GRACO 288217</v>
      </c>
      <c r="C108" s="14">
        <f>IFERROR(VLOOKUP(TAB_SAIDA[[#This Row],[COD_2_SAIDA]],TAB_ESTOQUE[[Codigo]:[Referência Tec]],7,FALSE),"")</f>
        <v>0</v>
      </c>
      <c r="D108" s="14" t="str">
        <f>VLOOKUP(TAB_SAIDA[[#This Row],[COD_2_SAIDA]],TAB_ESTOQUE[[Codigo]:[Endereço2]],12,FALSE)</f>
        <v>E2303</v>
      </c>
      <c r="E108" s="81">
        <f>SUM(TAB_SAIDA[[#This Row],[20/05/2019]:[00/00/00]])</f>
        <v>2</v>
      </c>
      <c r="F108" s="3"/>
      <c r="XF108" s="3">
        <v>2</v>
      </c>
    </row>
    <row r="109" spans="1:630" ht="15" hidden="1" customHeight="1" x14ac:dyDescent="0.25">
      <c r="A109" s="5" t="s">
        <v>1766</v>
      </c>
      <c r="B109" s="14" t="str">
        <f>VLOOKUP(TAB_SAIDA[[#This Row],[COD_2_SAIDA]],TAB_ESTOQUE[[Codigo]:[Descrição Tecnica]],6,FALSE)</f>
        <v>CAPA ROBO GRACCO 289773</v>
      </c>
      <c r="C109" s="14">
        <f>IFERROR(VLOOKUP(TAB_SAIDA[[#This Row],[COD_2_SAIDA]],TAB_ESTOQUE[[Codigo]:[Referência Tec]],7,FALSE),"")</f>
        <v>0</v>
      </c>
      <c r="D109" s="14" t="str">
        <f>VLOOKUP(TAB_SAIDA[[#This Row],[COD_2_SAIDA]],TAB_ESTOQUE[[Codigo]:[Endereço2]],12,FALSE)</f>
        <v>E2303</v>
      </c>
      <c r="E109" s="81">
        <f>SUM(TAB_SAIDA[[#This Row],[20/05/2019]:[00/00/00]])</f>
        <v>0</v>
      </c>
      <c r="F109" s="3"/>
    </row>
    <row r="110" spans="1:630" ht="15" hidden="1" customHeight="1" x14ac:dyDescent="0.25">
      <c r="A110" s="5" t="s">
        <v>1767</v>
      </c>
      <c r="B110" s="14" t="str">
        <f>VLOOKUP(TAB_SAIDA[[#This Row],[COD_2_SAIDA]],TAB_ESTOQUE[[Codigo]:[Descrição Tecnica]],6,FALSE)</f>
        <v>PRENSA TERMINAL 16MM</v>
      </c>
      <c r="C110" s="14">
        <f>IFERROR(VLOOKUP(TAB_SAIDA[[#This Row],[COD_2_SAIDA]],TAB_ESTOQUE[[Codigo]:[Referência Tec]],7,FALSE),"")</f>
        <v>0</v>
      </c>
      <c r="D110" s="14" t="str">
        <f>VLOOKUP(TAB_SAIDA[[#This Row],[COD_2_SAIDA]],TAB_ESTOQUE[[Codigo]:[Endereço2]],12,FALSE)</f>
        <v>A1202</v>
      </c>
      <c r="E110" s="81">
        <f>SUM(TAB_SAIDA[[#This Row],[20/05/2019]:[00/00/00]])</f>
        <v>0</v>
      </c>
      <c r="F110" s="3"/>
    </row>
    <row r="111" spans="1:630" ht="15" hidden="1" customHeight="1" x14ac:dyDescent="0.25">
      <c r="A111" s="5" t="s">
        <v>1768</v>
      </c>
      <c r="B111" s="14" t="str">
        <f>VLOOKUP(TAB_SAIDA[[#This Row],[COD_2_SAIDA]],TAB_ESTOQUE[[Codigo]:[Descrição Tecnica]],6,FALSE)</f>
        <v>PLACA ABB 3HAC044168-001/05</v>
      </c>
      <c r="C111" s="14">
        <f>IFERROR(VLOOKUP(TAB_SAIDA[[#This Row],[COD_2_SAIDA]],TAB_ESTOQUE[[Codigo]:[Referência Tec]],7,FALSE),"")</f>
        <v>0</v>
      </c>
      <c r="D111" s="14" t="str">
        <f>VLOOKUP(TAB_SAIDA[[#This Row],[COD_2_SAIDA]],TAB_ESTOQUE[[Codigo]:[Endereço2]],12,FALSE)</f>
        <v>A1104</v>
      </c>
      <c r="E111" s="81">
        <f>SUM(TAB_SAIDA[[#This Row],[20/05/2019]:[00/00/00]])</f>
        <v>0</v>
      </c>
      <c r="F111" s="3"/>
    </row>
    <row r="112" spans="1:630" ht="15" hidden="1" customHeight="1" x14ac:dyDescent="0.25">
      <c r="A112" s="5" t="s">
        <v>1769</v>
      </c>
      <c r="B112" s="14" t="str">
        <f>VLOOKUP(TAB_SAIDA[[#This Row],[COD_2_SAIDA]],TAB_ESTOQUE[[Codigo]:[Descrição Tecnica]],6,FALSE)</f>
        <v>SENSOR DE TEMPERATURA SBWZ TAMANHO DE 78cm de 10 a 150 graus celsius</v>
      </c>
      <c r="C112" s="14">
        <f>IFERROR(VLOOKUP(TAB_SAIDA[[#This Row],[COD_2_SAIDA]],TAB_ESTOQUE[[Codigo]:[Referência Tec]],7,FALSE),"")</f>
        <v>0</v>
      </c>
      <c r="D112" s="14" t="str">
        <f>VLOOKUP(TAB_SAIDA[[#This Row],[COD_2_SAIDA]],TAB_ESTOQUE[[Codigo]:[Endereço2]],12,FALSE)</f>
        <v>A2301</v>
      </c>
      <c r="E112" s="81">
        <f>SUM(TAB_SAIDA[[#This Row],[20/05/2019]:[00/00/00]])</f>
        <v>0</v>
      </c>
      <c r="F112" s="3"/>
    </row>
    <row r="113" spans="1:618" ht="15" hidden="1" customHeight="1" x14ac:dyDescent="0.25">
      <c r="A113" s="5" t="s">
        <v>1770</v>
      </c>
      <c r="B113" s="14" t="str">
        <f>VLOOKUP(TAB_SAIDA[[#This Row],[COD_2_SAIDA]],TAB_ESTOQUE[[Codigo]:[Descrição Tecnica]],6,FALSE)</f>
        <v>LENTE SICK FRONTSCHEIBE ERSATZTEIL - 2027180</v>
      </c>
      <c r="C113" s="14">
        <f>IFERROR(VLOOKUP(TAB_SAIDA[[#This Row],[COD_2_SAIDA]],TAB_ESTOQUE[[Codigo]:[Referência Tec]],7,FALSE),"")</f>
        <v>0</v>
      </c>
      <c r="D113" s="14" t="str">
        <f>VLOOKUP(TAB_SAIDA[[#This Row],[COD_2_SAIDA]],TAB_ESTOQUE[[Codigo]:[Endereço2]],12,FALSE)</f>
        <v>A2201</v>
      </c>
      <c r="E113" s="81">
        <f>SUM(TAB_SAIDA[[#This Row],[20/05/2019]:[00/00/00]])</f>
        <v>0</v>
      </c>
      <c r="F113" s="3"/>
    </row>
    <row r="114" spans="1:618" ht="15" hidden="1" customHeight="1" x14ac:dyDescent="0.25">
      <c r="A114" s="5" t="s">
        <v>1771</v>
      </c>
      <c r="B114" s="14" t="str">
        <f>VLOOKUP(TAB_SAIDA[[#This Row],[COD_2_SAIDA]],TAB_ESTOQUE[[Codigo]:[Descrição Tecnica]],6,FALSE)</f>
        <v xml:space="preserve">LAMPADA FLUORESCENTE PHILIPS TL5 ESSENTIAL 28X/840 4000K  28W </v>
      </c>
      <c r="C114" s="14">
        <f>IFERROR(VLOOKUP(TAB_SAIDA[[#This Row],[COD_2_SAIDA]],TAB_ESTOQUE[[Codigo]:[Referência Tec]],7,FALSE),"")</f>
        <v>0</v>
      </c>
      <c r="D114" s="14" t="str">
        <f>VLOOKUP(TAB_SAIDA[[#This Row],[COD_2_SAIDA]],TAB_ESTOQUE[[Codigo]:[Endereço2]],12,FALSE)</f>
        <v>B1401</v>
      </c>
      <c r="E114" s="81">
        <f>SUM(TAB_SAIDA[[#This Row],[20/05/2019]:[00/00/00]])</f>
        <v>0</v>
      </c>
      <c r="F114" s="3"/>
    </row>
    <row r="115" spans="1:618" ht="15" hidden="1" customHeight="1" x14ac:dyDescent="0.25">
      <c r="A115" s="5" t="s">
        <v>1772</v>
      </c>
      <c r="B115" s="14" t="str">
        <f>VLOOKUP(TAB_SAIDA[[#This Row],[COD_2_SAIDA]],TAB_ESTOQUE[[Codigo]:[Descrição Tecnica]],6,FALSE)</f>
        <v>LAMPADA FLUORESCENTE PHILIPS ESSENTIAL SUPER 80 4000K 14W</v>
      </c>
      <c r="C115" s="14">
        <f>IFERROR(VLOOKUP(TAB_SAIDA[[#This Row],[COD_2_SAIDA]],TAB_ESTOQUE[[Codigo]:[Referência Tec]],7,FALSE),"")</f>
        <v>0</v>
      </c>
      <c r="D115" s="14" t="str">
        <f>VLOOKUP(TAB_SAIDA[[#This Row],[COD_2_SAIDA]],TAB_ESTOQUE[[Codigo]:[Endereço2]],12,FALSE)</f>
        <v>B1401</v>
      </c>
      <c r="E115" s="81">
        <f>SUM(TAB_SAIDA[[#This Row],[20/05/2019]:[00/00/00]])</f>
        <v>0</v>
      </c>
      <c r="F115" s="3"/>
    </row>
    <row r="116" spans="1:618" ht="15" hidden="1" customHeight="1" x14ac:dyDescent="0.25">
      <c r="A116" s="5" t="s">
        <v>1773</v>
      </c>
      <c r="B116" s="14" t="str">
        <f>VLOOKUP(TAB_SAIDA[[#This Row],[COD_2_SAIDA]],TAB_ESTOQUE[[Codigo]:[Descrição Tecnica]],6,FALSE)</f>
        <v>LAMPADA LED TUBE GLASS BASE TIP G13 9W</v>
      </c>
      <c r="C116" s="14">
        <f>IFERROR(VLOOKUP(TAB_SAIDA[[#This Row],[COD_2_SAIDA]],TAB_ESTOQUE[[Codigo]:[Referência Tec]],7,FALSE),"")</f>
        <v>0</v>
      </c>
      <c r="D116" s="14" t="str">
        <f>VLOOKUP(TAB_SAIDA[[#This Row],[COD_2_SAIDA]],TAB_ESTOQUE[[Codigo]:[Endereço2]],12,FALSE)</f>
        <v>B1401</v>
      </c>
      <c r="E116" s="81">
        <f>SUM(TAB_SAIDA[[#This Row],[20/05/2019]:[00/00/00]])</f>
        <v>0</v>
      </c>
      <c r="F116" s="3"/>
    </row>
    <row r="117" spans="1:618" ht="15" hidden="1" customHeight="1" x14ac:dyDescent="0.25">
      <c r="A117" s="5" t="s">
        <v>1774</v>
      </c>
      <c r="B117" s="14" t="str">
        <f>VLOOKUP(TAB_SAIDA[[#This Row],[COD_2_SAIDA]],TAB_ESTOQUE[[Codigo]:[Descrição Tecnica]],6,FALSE)</f>
        <v>IHM TS680 TOUCHSYSTEM CODE 9320680 SERIAL 141425</v>
      </c>
      <c r="C117" s="14">
        <f>IFERROR(VLOOKUP(TAB_SAIDA[[#This Row],[COD_2_SAIDA]],TAB_ESTOQUE[[Codigo]:[Referência Tec]],7,FALSE),"")</f>
        <v>0</v>
      </c>
      <c r="D117" s="14" t="str">
        <f>VLOOKUP(TAB_SAIDA[[#This Row],[COD_2_SAIDA]],TAB_ESTOQUE[[Codigo]:[Endereço2]],12,FALSE)</f>
        <v>A2202</v>
      </c>
      <c r="E117" s="81">
        <f>SUM(TAB_SAIDA[[#This Row],[20/05/2019]:[00/00/00]])</f>
        <v>0</v>
      </c>
      <c r="F117" s="3"/>
    </row>
    <row r="118" spans="1:618" ht="15" hidden="1" customHeight="1" x14ac:dyDescent="0.25">
      <c r="A118" s="5" t="s">
        <v>1775</v>
      </c>
      <c r="B118" s="14" t="str">
        <f>VLOOKUP(TAB_SAIDA[[#This Row],[COD_2_SAIDA]],TAB_ESTOQUE[[Codigo]:[Descrição Tecnica]],6,FALSE)</f>
        <v>IHM SIEMENS TP700 6AV2 124-0GC01-0AX0</v>
      </c>
      <c r="C118" s="14">
        <f>IFERROR(VLOOKUP(TAB_SAIDA[[#This Row],[COD_2_SAIDA]],TAB_ESTOQUE[[Codigo]:[Referência Tec]],7,FALSE),"")</f>
        <v>0</v>
      </c>
      <c r="D118" s="14" t="str">
        <f>VLOOKUP(TAB_SAIDA[[#This Row],[COD_2_SAIDA]],TAB_ESTOQUE[[Codigo]:[Endereço2]],12,FALSE)</f>
        <v>A2202</v>
      </c>
      <c r="E118" s="81">
        <f>SUM(TAB_SAIDA[[#This Row],[20/05/2019]:[00/00/00]])</f>
        <v>0</v>
      </c>
      <c r="F118" s="3"/>
    </row>
    <row r="119" spans="1:618" ht="15" hidden="1" customHeight="1" x14ac:dyDescent="0.25">
      <c r="A119" s="5" t="s">
        <v>1776</v>
      </c>
      <c r="B119" s="14" t="str">
        <f>VLOOKUP(TAB_SAIDA[[#This Row],[COD_2_SAIDA]],TAB_ESTOQUE[[Codigo]:[Descrição Tecnica]],6,FALSE)</f>
        <v>IHM SIEMENS TP900 6AV2 124-0JC01-0AX0</v>
      </c>
      <c r="C119" s="14">
        <f>IFERROR(VLOOKUP(TAB_SAIDA[[#This Row],[COD_2_SAIDA]],TAB_ESTOQUE[[Codigo]:[Referência Tec]],7,FALSE),"")</f>
        <v>0</v>
      </c>
      <c r="D119" s="14" t="str">
        <f>VLOOKUP(TAB_SAIDA[[#This Row],[COD_2_SAIDA]],TAB_ESTOQUE[[Codigo]:[Endereço2]],12,FALSE)</f>
        <v>A2202</v>
      </c>
      <c r="E119" s="81">
        <f>SUM(TAB_SAIDA[[#This Row],[20/05/2019]:[00/00/00]])</f>
        <v>0</v>
      </c>
      <c r="F119" s="3"/>
    </row>
    <row r="120" spans="1:618" ht="15" hidden="1" customHeight="1" x14ac:dyDescent="0.25">
      <c r="A120" s="5" t="s">
        <v>1777</v>
      </c>
      <c r="B120" s="14" t="str">
        <f>VLOOKUP(TAB_SAIDA[[#This Row],[COD_2_SAIDA]],TAB_ESTOQUE[[Codigo]:[Descrição Tecnica]],6,FALSE)</f>
        <v>CABO COM CONECTOR RETO MACHO M12 12 PINOS</v>
      </c>
      <c r="C120" s="14">
        <f>IFERROR(VLOOKUP(TAB_SAIDA[[#This Row],[COD_2_SAIDA]],TAB_ESTOQUE[[Codigo]:[Referência Tec]],7,FALSE),"")</f>
        <v>0</v>
      </c>
      <c r="D120" s="14" t="str">
        <f>VLOOKUP(TAB_SAIDA[[#This Row],[COD_2_SAIDA]],TAB_ESTOQUE[[Codigo]:[Endereço2]],12,FALSE)</f>
        <v>B1404</v>
      </c>
      <c r="E120" s="81">
        <f>SUM(TAB_SAIDA[[#This Row],[20/05/2019]:[00/00/00]])</f>
        <v>0</v>
      </c>
      <c r="F120" s="3"/>
    </row>
    <row r="121" spans="1:618" ht="15" hidden="1" customHeight="1" x14ac:dyDescent="0.25">
      <c r="A121" s="5" t="s">
        <v>1778</v>
      </c>
      <c r="B121" s="14" t="str">
        <f>VLOOKUP(TAB_SAIDA[[#This Row],[COD_2_SAIDA]],TAB_ESTOQUE[[Codigo]:[Descrição Tecnica]],6,FALSE)</f>
        <v>CONECTOR PARA SENSOR 5 POLO C091 T 3361  001 U</v>
      </c>
      <c r="C121" s="14">
        <f>IFERROR(VLOOKUP(TAB_SAIDA[[#This Row],[COD_2_SAIDA]],TAB_ESTOQUE[[Codigo]:[Referência Tec]],7,FALSE),"")</f>
        <v>0</v>
      </c>
      <c r="D121" s="14" t="str">
        <f>VLOOKUP(TAB_SAIDA[[#This Row],[COD_2_SAIDA]],TAB_ESTOQUE[[Codigo]:[Endereço2]],12,FALSE)</f>
        <v>A2204</v>
      </c>
      <c r="E121" s="81">
        <f>SUM(TAB_SAIDA[[#This Row],[20/05/2019]:[00/00/00]])</f>
        <v>0</v>
      </c>
      <c r="F121" s="3"/>
    </row>
    <row r="122" spans="1:618" ht="15" hidden="1" customHeight="1" x14ac:dyDescent="0.25">
      <c r="A122" s="5" t="s">
        <v>1779</v>
      </c>
      <c r="B122" s="14" t="str">
        <f>VLOOKUP(TAB_SAIDA[[#This Row],[COD_2_SAIDA]],TAB_ESTOQUE[[Codigo]:[Descrição Tecnica]],6,FALSE)</f>
        <v>SENSOR SCHMERSAL 101128195 ES12.18.2 BNS 33-12Z 2187 NR1015305492</v>
      </c>
      <c r="C122" s="14">
        <f>IFERROR(VLOOKUP(TAB_SAIDA[[#This Row],[COD_2_SAIDA]],TAB_ESTOQUE[[Codigo]:[Referência Tec]],7,FALSE),"")</f>
        <v>0</v>
      </c>
      <c r="D122" s="14" t="str">
        <f>VLOOKUP(TAB_SAIDA[[#This Row],[COD_2_SAIDA]],TAB_ESTOQUE[[Codigo]:[Endereço2]],12,FALSE)</f>
        <v>A2203</v>
      </c>
      <c r="E122" s="81">
        <f>SUM(TAB_SAIDA[[#This Row],[20/05/2019]:[00/00/00]])</f>
        <v>0</v>
      </c>
      <c r="F122" s="3"/>
    </row>
    <row r="123" spans="1:618" ht="15" hidden="1" customHeight="1" x14ac:dyDescent="0.25">
      <c r="A123" s="5" t="s">
        <v>1780</v>
      </c>
      <c r="B123" s="14" t="str">
        <f>VLOOKUP(TAB_SAIDA[[#This Row],[COD_2_SAIDA]],TAB_ESTOQUE[[Codigo]:[Descrição Tecnica]],6,FALSE)</f>
        <v>TERMINAL LUVA PARA CABO 35MM</v>
      </c>
      <c r="C123" s="14">
        <f>IFERROR(VLOOKUP(TAB_SAIDA[[#This Row],[COD_2_SAIDA]],TAB_ESTOQUE[[Codigo]:[Referência Tec]],7,FALSE),"")</f>
        <v>0</v>
      </c>
      <c r="D123" s="14" t="str">
        <f>VLOOKUP(TAB_SAIDA[[#This Row],[COD_2_SAIDA]],TAB_ESTOQUE[[Codigo]:[Endereço2]],12,FALSE)</f>
        <v>A1202</v>
      </c>
      <c r="E123" s="81">
        <f>SUM(TAB_SAIDA[[#This Row],[20/05/2019]:[00/00/00]])</f>
        <v>0</v>
      </c>
      <c r="F123" s="3"/>
    </row>
    <row r="124" spans="1:618" ht="15" hidden="1" customHeight="1" x14ac:dyDescent="0.25">
      <c r="A124" s="5" t="s">
        <v>1781</v>
      </c>
      <c r="B124" s="14" t="str">
        <f>VLOOKUP(TAB_SAIDA[[#This Row],[COD_2_SAIDA]],TAB_ESTOQUE[[Codigo]:[Descrição Tecnica]],6,FALSE)</f>
        <v>SENSOR INDUTIVO BLINDADO 134439 NCB1,5-18GM60-E2-D-V1</v>
      </c>
      <c r="C124" s="14">
        <f>IFERROR(VLOOKUP(TAB_SAIDA[[#This Row],[COD_2_SAIDA]],TAB_ESTOQUE[[Codigo]:[Referência Tec]],7,FALSE),"")</f>
        <v>0</v>
      </c>
      <c r="D124" s="14" t="str">
        <f>VLOOKUP(TAB_SAIDA[[#This Row],[COD_2_SAIDA]],TAB_ESTOQUE[[Codigo]:[Endereço2]],12,FALSE)</f>
        <v>A2203</v>
      </c>
      <c r="E124" s="81">
        <f>SUM(TAB_SAIDA[[#This Row],[20/05/2019]:[00/00/00]])</f>
        <v>2</v>
      </c>
      <c r="F124" s="3"/>
      <c r="G124" s="3">
        <v>1</v>
      </c>
      <c r="VE124" s="3">
        <v>1</v>
      </c>
    </row>
    <row r="125" spans="1:618" ht="15" hidden="1" customHeight="1" x14ac:dyDescent="0.25">
      <c r="A125" s="5" t="s">
        <v>1782</v>
      </c>
      <c r="B125" s="14" t="str">
        <f>VLOOKUP(TAB_SAIDA[[#This Row],[COD_2_SAIDA]],TAB_ESTOQUE[[Codigo]:[Descrição Tecnica]],6,FALSE)</f>
        <v>SENSOR INDUTIVO DO SITEMA BES 516-370-G-E5-YS4/BR</v>
      </c>
      <c r="C125" s="14">
        <f>IFERROR(VLOOKUP(TAB_SAIDA[[#This Row],[COD_2_SAIDA]],TAB_ESTOQUE[[Codigo]:[Referência Tec]],7,FALSE),"")</f>
        <v>0</v>
      </c>
      <c r="D125" s="14" t="str">
        <f>VLOOKUP(TAB_SAIDA[[#This Row],[COD_2_SAIDA]],TAB_ESTOQUE[[Codigo]:[Endereço2]],12,FALSE)</f>
        <v>A2203</v>
      </c>
      <c r="E125" s="81">
        <f>SUM(TAB_SAIDA[[#This Row],[20/05/2019]:[00/00/00]])</f>
        <v>0</v>
      </c>
      <c r="F125" s="3"/>
    </row>
    <row r="126" spans="1:618" ht="15" hidden="1" customHeight="1" x14ac:dyDescent="0.25">
      <c r="A126" s="5" t="s">
        <v>1783</v>
      </c>
      <c r="B126" s="14" t="str">
        <f>VLOOKUP(TAB_SAIDA[[#This Row],[COD_2_SAIDA]],TAB_ESTOQUE[[Codigo]:[Descrição Tecnica]],6,FALSE)</f>
        <v>CONECTOR PARA SENSOR  BCC M334-0000-20-000-31X450-000 (BALLUFF)</v>
      </c>
      <c r="C126" s="14">
        <f>IFERROR(VLOOKUP(TAB_SAIDA[[#This Row],[COD_2_SAIDA]],TAB_ESTOQUE[[Codigo]:[Referência Tec]],7,FALSE),"")</f>
        <v>0</v>
      </c>
      <c r="D126" s="14" t="str">
        <f>VLOOKUP(TAB_SAIDA[[#This Row],[COD_2_SAIDA]],TAB_ESTOQUE[[Codigo]:[Endereço2]],12,FALSE)</f>
        <v>A2204</v>
      </c>
      <c r="E126" s="81">
        <f>SUM(TAB_SAIDA[[#This Row],[20/05/2019]:[00/00/00]])</f>
        <v>0</v>
      </c>
      <c r="F126" s="3"/>
    </row>
    <row r="127" spans="1:618" ht="15" hidden="1" customHeight="1" x14ac:dyDescent="0.25">
      <c r="A127" s="5" t="s">
        <v>1784</v>
      </c>
      <c r="B127" s="14" t="str">
        <f>VLOOKUP(TAB_SAIDA[[#This Row],[COD_2_SAIDA]],TAB_ESTOQUE[[Codigo]:[Descrição Tecnica]],6,FALSE)</f>
        <v>TAMPÃO PROTETOR R161933920 REXROTH</v>
      </c>
      <c r="C127" s="14">
        <f>IFERROR(VLOOKUP(TAB_SAIDA[[#This Row],[COD_2_SAIDA]],TAB_ESTOQUE[[Codigo]:[Referência Tec]],7,FALSE),"")</f>
        <v>0</v>
      </c>
      <c r="D127" s="14" t="str">
        <f>VLOOKUP(TAB_SAIDA[[#This Row],[COD_2_SAIDA]],TAB_ESTOQUE[[Codigo]:[Endereço2]],12,FALSE)</f>
        <v>A2204</v>
      </c>
      <c r="E127" s="81">
        <f>SUM(TAB_SAIDA[[#This Row],[20/05/2019]:[00/00/00]])</f>
        <v>0</v>
      </c>
      <c r="F127" s="3"/>
    </row>
    <row r="128" spans="1:618" ht="15" hidden="1" customHeight="1" x14ac:dyDescent="0.25">
      <c r="A128" s="5" t="s">
        <v>1785</v>
      </c>
      <c r="B128" s="14" t="str">
        <f>VLOOKUP(TAB_SAIDA[[#This Row],[COD_2_SAIDA]],TAB_ESTOQUE[[Codigo]:[Descrição Tecnica]],6,FALSE)</f>
        <v>CONECTOR PARA SENSOR SICK DOS-1205-W</v>
      </c>
      <c r="C128" s="14">
        <f>IFERROR(VLOOKUP(TAB_SAIDA[[#This Row],[COD_2_SAIDA]],TAB_ESTOQUE[[Codigo]:[Referência Tec]],7,FALSE),"")</f>
        <v>0</v>
      </c>
      <c r="D128" s="14" t="str">
        <f>VLOOKUP(TAB_SAIDA[[#This Row],[COD_2_SAIDA]],TAB_ESTOQUE[[Codigo]:[Endereço2]],12,FALSE)</f>
        <v>A2204</v>
      </c>
      <c r="E128" s="81">
        <f>SUM(TAB_SAIDA[[#This Row],[20/05/2019]:[00/00/00]])</f>
        <v>2</v>
      </c>
      <c r="F128" s="3"/>
      <c r="WT128" s="3">
        <v>2</v>
      </c>
    </row>
    <row r="129" spans="1:625" ht="15" hidden="1" customHeight="1" x14ac:dyDescent="0.25">
      <c r="A129" s="5" t="s">
        <v>1786</v>
      </c>
      <c r="B129" s="14" t="str">
        <f>VLOOKUP(TAB_SAIDA[[#This Row],[COD_2_SAIDA]],TAB_ESTOQUE[[Codigo]:[Descrição Tecnica]],6,FALSE)</f>
        <v>SENSOR DE PROXIMIDADE PARA CILINDRO SMT-8M-A-PS-24V-E-0,3-M8D (FESTO)</v>
      </c>
      <c r="C129" s="14">
        <f>IFERROR(VLOOKUP(TAB_SAIDA[[#This Row],[COD_2_SAIDA]],TAB_ESTOQUE[[Codigo]:[Referência Tec]],7,FALSE),"")</f>
        <v>0</v>
      </c>
      <c r="D129" s="14" t="str">
        <f>VLOOKUP(TAB_SAIDA[[#This Row],[COD_2_SAIDA]],TAB_ESTOQUE[[Codigo]:[Endereço2]],12,FALSE)</f>
        <v>A2205</v>
      </c>
      <c r="E129" s="81">
        <f>SUM(TAB_SAIDA[[#This Row],[20/05/2019]:[00/00/00]])</f>
        <v>0</v>
      </c>
      <c r="F129" s="3"/>
    </row>
    <row r="130" spans="1:625" ht="15" hidden="1" customHeight="1" x14ac:dyDescent="0.25">
      <c r="A130" s="5" t="s">
        <v>1787</v>
      </c>
      <c r="B130" s="14" t="str">
        <f>VLOOKUP(TAB_SAIDA[[#This Row],[COD_2_SAIDA]],TAB_ESTOQUE[[Codigo]:[Descrição Tecnica]],6,FALSE)</f>
        <v>SENSOR DE PROXIMIDADE SME-8M-DS-24V-K-0,3 (FESTO)</v>
      </c>
      <c r="C130" s="14">
        <f>IFERROR(VLOOKUP(TAB_SAIDA[[#This Row],[COD_2_SAIDA]],TAB_ESTOQUE[[Codigo]:[Referência Tec]],7,FALSE),"")</f>
        <v>0</v>
      </c>
      <c r="D130" s="14" t="str">
        <f>VLOOKUP(TAB_SAIDA[[#This Row],[COD_2_SAIDA]],TAB_ESTOQUE[[Codigo]:[Endereço2]],12,FALSE)</f>
        <v>A2205</v>
      </c>
      <c r="E130" s="81">
        <f>SUM(TAB_SAIDA[[#This Row],[20/05/2019]:[00/00/00]])</f>
        <v>0</v>
      </c>
      <c r="F130" s="3"/>
    </row>
    <row r="131" spans="1:625" ht="15" hidden="1" customHeight="1" x14ac:dyDescent="0.25">
      <c r="A131" s="5" t="s">
        <v>1788</v>
      </c>
      <c r="B131" s="14" t="str">
        <f>VLOOKUP(TAB_SAIDA[[#This Row],[COD_2_SAIDA]],TAB_ESTOQUE[[Codigo]:[Descrição Tecnica]],6,FALSE)</f>
        <v>DIODO MURR 3124015 24V PC/DC MAX ,50 VA/W</v>
      </c>
      <c r="C131" s="14">
        <f>IFERROR(VLOOKUP(TAB_SAIDA[[#This Row],[COD_2_SAIDA]],TAB_ESTOQUE[[Codigo]:[Referência Tec]],7,FALSE),"")</f>
        <v>0</v>
      </c>
      <c r="D131" s="14" t="str">
        <f>VLOOKUP(TAB_SAIDA[[#This Row],[COD_2_SAIDA]],TAB_ESTOQUE[[Codigo]:[Endereço2]],12,FALSE)</f>
        <v>A2203</v>
      </c>
      <c r="E131" s="81">
        <f>SUM(TAB_SAIDA[[#This Row],[20/05/2019]:[00/00/00]])</f>
        <v>0</v>
      </c>
      <c r="F131" s="3"/>
    </row>
    <row r="132" spans="1:625" ht="15" hidden="1" customHeight="1" x14ac:dyDescent="0.25">
      <c r="A132" s="5" t="s">
        <v>1789</v>
      </c>
      <c r="B132" s="14" t="str">
        <f>VLOOKUP(TAB_SAIDA[[#This Row],[COD_2_SAIDA]],TAB_ESTOQUE[[Codigo]:[Descrição Tecnica]],6,FALSE)</f>
        <v>IHM KP300 6AV6 647-0AH11-3AX0</v>
      </c>
      <c r="C132" s="14">
        <f>IFERROR(VLOOKUP(TAB_SAIDA[[#This Row],[COD_2_SAIDA]],TAB_ESTOQUE[[Codigo]:[Referência Tec]],7,FALSE),"")</f>
        <v>0</v>
      </c>
      <c r="D132" s="14" t="str">
        <f>VLOOKUP(TAB_SAIDA[[#This Row],[COD_2_SAIDA]],TAB_ESTOQUE[[Codigo]:[Endereço2]],12,FALSE)</f>
        <v>A2202</v>
      </c>
      <c r="E132" s="81">
        <f>SUM(TAB_SAIDA[[#This Row],[20/05/2019]:[00/00/00]])</f>
        <v>0</v>
      </c>
      <c r="F132" s="3"/>
    </row>
    <row r="133" spans="1:625" ht="15" hidden="1" customHeight="1" x14ac:dyDescent="0.25">
      <c r="A133" s="5" t="s">
        <v>1790</v>
      </c>
      <c r="B133" s="14" t="str">
        <f>VLOOKUP(TAB_SAIDA[[#This Row],[COD_2_SAIDA]],TAB_ESTOQUE[[Codigo]:[Descrição Tecnica]],6,FALSE)</f>
        <v>SENSOR INDUTIVO M12 XS112B3PAM12 TELEMAQUINIQUE</v>
      </c>
      <c r="C133" s="14">
        <f>IFERROR(VLOOKUP(TAB_SAIDA[[#This Row],[COD_2_SAIDA]],TAB_ESTOQUE[[Codigo]:[Referência Tec]],7,FALSE),"")</f>
        <v>0</v>
      </c>
      <c r="D133" s="14" t="str">
        <f>VLOOKUP(TAB_SAIDA[[#This Row],[COD_2_SAIDA]],TAB_ESTOQUE[[Codigo]:[Endereço2]],12,FALSE)</f>
        <v>A2204</v>
      </c>
      <c r="E133" s="81">
        <f>SUM(TAB_SAIDA[[#This Row],[20/05/2019]:[00/00/00]])</f>
        <v>0</v>
      </c>
      <c r="F133" s="3"/>
    </row>
    <row r="134" spans="1:625" ht="15" hidden="1" customHeight="1" x14ac:dyDescent="0.25">
      <c r="A134" s="5" t="s">
        <v>1791</v>
      </c>
      <c r="B134" s="14" t="str">
        <f>VLOOKUP(TAB_SAIDA[[#This Row],[COD_2_SAIDA]],TAB_ESTOQUE[[Codigo]:[Descrição Tecnica]],6,FALSE)</f>
        <v>CONECTOR XZCC43FCP40B TELEMAQUINIQUE</v>
      </c>
      <c r="C134" s="14">
        <f>IFERROR(VLOOKUP(TAB_SAIDA[[#This Row],[COD_2_SAIDA]],TAB_ESTOQUE[[Codigo]:[Referência Tec]],7,FALSE),"")</f>
        <v>0</v>
      </c>
      <c r="D134" s="14" t="str">
        <f>VLOOKUP(TAB_SAIDA[[#This Row],[COD_2_SAIDA]],TAB_ESTOQUE[[Codigo]:[Endereço2]],12,FALSE)</f>
        <v>A2204</v>
      </c>
      <c r="E134" s="81">
        <f>SUM(TAB_SAIDA[[#This Row],[20/05/2019]:[00/00/00]])</f>
        <v>0</v>
      </c>
      <c r="F134" s="3"/>
    </row>
    <row r="135" spans="1:625" ht="15" hidden="1" customHeight="1" x14ac:dyDescent="0.25">
      <c r="A135" s="5" t="s">
        <v>1792</v>
      </c>
      <c r="B135" s="14" t="str">
        <f>VLOOKUP(TAB_SAIDA[[#This Row],[COD_2_SAIDA]],TAB_ESTOQUE[[Codigo]:[Descrição Tecnica]],6,FALSE)</f>
        <v>SENSOR MHL 15-P2236 1026 126 NP150</v>
      </c>
      <c r="C135" s="14">
        <f>IFERROR(VLOOKUP(TAB_SAIDA[[#This Row],[COD_2_SAIDA]],TAB_ESTOQUE[[Codigo]:[Referência Tec]],7,FALSE),"")</f>
        <v>0</v>
      </c>
      <c r="D135" s="14" t="str">
        <f>VLOOKUP(TAB_SAIDA[[#This Row],[COD_2_SAIDA]],TAB_ESTOQUE[[Codigo]:[Endereço2]],12,FALSE)</f>
        <v>A2204</v>
      </c>
      <c r="E135" s="81">
        <f>SUM(TAB_SAIDA[[#This Row],[20/05/2019]:[00/00/00]])</f>
        <v>0</v>
      </c>
      <c r="F135" s="3"/>
    </row>
    <row r="136" spans="1:625" ht="15" hidden="1" customHeight="1" x14ac:dyDescent="0.25">
      <c r="A136" s="5" t="s">
        <v>1793</v>
      </c>
      <c r="B136" s="14" t="str">
        <f>VLOOKUP(TAB_SAIDA[[#This Row],[COD_2_SAIDA]],TAB_ESTOQUE[[Codigo]:[Descrição Tecnica]],6,FALSE)</f>
        <v>CONECTOR PARA SENSOR N11 RFF 932 632-106 DIN EM 175201-804</v>
      </c>
      <c r="C136" s="14">
        <f>IFERROR(VLOOKUP(TAB_SAIDA[[#This Row],[COD_2_SAIDA]],TAB_ESTOQUE[[Codigo]:[Referência Tec]],7,FALSE),"")</f>
        <v>0</v>
      </c>
      <c r="D136" s="14" t="str">
        <f>VLOOKUP(TAB_SAIDA[[#This Row],[COD_2_SAIDA]],TAB_ESTOQUE[[Codigo]:[Endereço2]],12,FALSE)</f>
        <v>A2204</v>
      </c>
      <c r="E136" s="81">
        <f>SUM(TAB_SAIDA[[#This Row],[20/05/2019]:[00/00/00]])</f>
        <v>0</v>
      </c>
      <c r="F136" s="3"/>
    </row>
    <row r="137" spans="1:625" ht="15" hidden="1" customHeight="1" x14ac:dyDescent="0.25">
      <c r="A137" s="5" t="s">
        <v>1794</v>
      </c>
      <c r="B137" s="14" t="str">
        <f>VLOOKUP(TAB_SAIDA[[#This Row],[COD_2_SAIDA]],TAB_ESTOQUE[[Codigo]:[Descrição Tecnica]],6,FALSE)</f>
        <v>SENSOR DE SEGURANÇA  XU2S18PP340DR TELEMECANIQUE</v>
      </c>
      <c r="C137" s="14">
        <f>IFERROR(VLOOKUP(TAB_SAIDA[[#This Row],[COD_2_SAIDA]],TAB_ESTOQUE[[Codigo]:[Referência Tec]],7,FALSE),"")</f>
        <v>0</v>
      </c>
      <c r="D137" s="14" t="str">
        <f>VLOOKUP(TAB_SAIDA[[#This Row],[COD_2_SAIDA]],TAB_ESTOQUE[[Codigo]:[Endereço2]],12,FALSE)</f>
        <v>A2203</v>
      </c>
      <c r="E137" s="81">
        <f>SUM(TAB_SAIDA[[#This Row],[20/05/2019]:[00/00/00]])</f>
        <v>0</v>
      </c>
      <c r="F137" s="3"/>
    </row>
    <row r="138" spans="1:625" ht="15" hidden="1" customHeight="1" x14ac:dyDescent="0.25">
      <c r="A138" s="5" t="s">
        <v>1795</v>
      </c>
      <c r="B138" s="14" t="str">
        <f>VLOOKUP(TAB_SAIDA[[#This Row],[COD_2_SAIDA]],TAB_ESTOQUE[[Codigo]:[Descrição Tecnica]],6,FALSE)</f>
        <v>CONECTOR PARA CABO SICK STE-0803-G</v>
      </c>
      <c r="C138" s="14">
        <f>IFERROR(VLOOKUP(TAB_SAIDA[[#This Row],[COD_2_SAIDA]],TAB_ESTOQUE[[Codigo]:[Referência Tec]],7,FALSE),"")</f>
        <v>0</v>
      </c>
      <c r="D138" s="14" t="str">
        <f>VLOOKUP(TAB_SAIDA[[#This Row],[COD_2_SAIDA]],TAB_ESTOQUE[[Codigo]:[Endereço2]],12,FALSE)</f>
        <v>A2204</v>
      </c>
      <c r="E138" s="81">
        <f>SUM(TAB_SAIDA[[#This Row],[20/05/2019]:[00/00/00]])</f>
        <v>0</v>
      </c>
      <c r="F138" s="3"/>
    </row>
    <row r="139" spans="1:625" ht="15" hidden="1" customHeight="1" x14ac:dyDescent="0.25">
      <c r="A139" s="5" t="s">
        <v>1796</v>
      </c>
      <c r="B139" s="14" t="str">
        <f>VLOOKUP(TAB_SAIDA[[#This Row],[COD_2_SAIDA]],TAB_ESTOQUE[[Codigo]:[Descrição Tecnica]],6,FALSE)</f>
        <v>SENSOR INDUTIVO IME12-04BPSZCOS 1040764</v>
      </c>
      <c r="C139" s="14">
        <f>IFERROR(VLOOKUP(TAB_SAIDA[[#This Row],[COD_2_SAIDA]],TAB_ESTOQUE[[Codigo]:[Referência Tec]],7,FALSE),"")</f>
        <v>0</v>
      </c>
      <c r="D139" s="14" t="str">
        <f>VLOOKUP(TAB_SAIDA[[#This Row],[COD_2_SAIDA]],TAB_ESTOQUE[[Codigo]:[Endereço2]],12,FALSE)</f>
        <v>A2204</v>
      </c>
      <c r="E139" s="81">
        <f>SUM(TAB_SAIDA[[#This Row],[20/05/2019]:[00/00/00]])</f>
        <v>0</v>
      </c>
      <c r="F139" s="3"/>
    </row>
    <row r="140" spans="1:625" ht="15" hidden="1" customHeight="1" x14ac:dyDescent="0.25">
      <c r="A140" s="5" t="s">
        <v>1797</v>
      </c>
      <c r="B140" s="14" t="str">
        <f>VLOOKUP(TAB_SAIDA[[#This Row],[COD_2_SAIDA]],TAB_ESTOQUE[[Codigo]:[Descrição Tecnica]],6,FALSE)</f>
        <v>SENSOR DE PROXIMIDADE INDUTIVO IMB TIPO: IMB08-02BPSVT0S  COD:  1070168 (SICK)</v>
      </c>
      <c r="C140" s="14">
        <f>IFERROR(VLOOKUP(TAB_SAIDA[[#This Row],[COD_2_SAIDA]],TAB_ESTOQUE[[Codigo]:[Referência Tec]],7,FALSE),"")</f>
        <v>0</v>
      </c>
      <c r="D140" s="14" t="str">
        <f>VLOOKUP(TAB_SAIDA[[#This Row],[COD_2_SAIDA]],TAB_ESTOQUE[[Codigo]:[Endereço2]],12,FALSE)</f>
        <v>A2203</v>
      </c>
      <c r="E140" s="81">
        <f>SUM(TAB_SAIDA[[#This Row],[20/05/2019]:[00/00/00]])</f>
        <v>6</v>
      </c>
      <c r="F140" s="3"/>
      <c r="WT140" s="3">
        <v>4</v>
      </c>
      <c r="WZ140" s="3">
        <v>1</v>
      </c>
      <c r="XA140" s="3">
        <v>1</v>
      </c>
    </row>
    <row r="141" spans="1:625" ht="15" hidden="1" customHeight="1" x14ac:dyDescent="0.25">
      <c r="A141" s="5" t="s">
        <v>1798</v>
      </c>
      <c r="B141" s="14" t="str">
        <f>VLOOKUP(TAB_SAIDA[[#This Row],[COD_2_SAIDA]],TAB_ESTOQUE[[Codigo]:[Descrição Tecnica]],6,FALSE)</f>
        <v>SENSOR OPTICO SICK L273-3P3 730</v>
      </c>
      <c r="C141" s="14">
        <f>IFERROR(VLOOKUP(TAB_SAIDA[[#This Row],[COD_2_SAIDA]],TAB_ESTOQUE[[Codigo]:[Referência Tec]],7,FALSE),"")</f>
        <v>0</v>
      </c>
      <c r="D141" s="14" t="str">
        <f>VLOOKUP(TAB_SAIDA[[#This Row],[COD_2_SAIDA]],TAB_ESTOQUE[[Codigo]:[Endereço2]],12,FALSE)</f>
        <v>A2204</v>
      </c>
      <c r="E141" s="81">
        <f>SUM(TAB_SAIDA[[#This Row],[20/05/2019]:[00/00/00]])</f>
        <v>0</v>
      </c>
      <c r="F141" s="3"/>
    </row>
    <row r="142" spans="1:625" ht="15" hidden="1" customHeight="1" x14ac:dyDescent="0.25">
      <c r="A142" s="5" t="s">
        <v>1799</v>
      </c>
      <c r="B142" s="14" t="str">
        <f>VLOOKUP(TAB_SAIDA[[#This Row],[COD_2_SAIDA]],TAB_ESTOQUE[[Codigo]:[Descrição Tecnica]],6,FALSE)</f>
        <v>SENSOR OPTICO XUK0AKSAM12 TELEMECANIQUE</v>
      </c>
      <c r="C142" s="14">
        <f>IFERROR(VLOOKUP(TAB_SAIDA[[#This Row],[COD_2_SAIDA]],TAB_ESTOQUE[[Codigo]:[Referência Tec]],7,FALSE),"")</f>
        <v>0</v>
      </c>
      <c r="D142" s="14" t="str">
        <f>VLOOKUP(TAB_SAIDA[[#This Row],[COD_2_SAIDA]],TAB_ESTOQUE[[Codigo]:[Endereço2]],12,FALSE)</f>
        <v>A2204</v>
      </c>
      <c r="E142" s="81">
        <f>SUM(TAB_SAIDA[[#This Row],[20/05/2019]:[00/00/00]])</f>
        <v>0</v>
      </c>
      <c r="F142" s="3"/>
    </row>
    <row r="143" spans="1:625" ht="15" hidden="1" customHeight="1" x14ac:dyDescent="0.25">
      <c r="A143" s="5" t="s">
        <v>1800</v>
      </c>
      <c r="B143" s="14" t="str">
        <f>VLOOKUP(TAB_SAIDA[[#This Row],[COD_2_SAIDA]],TAB_ESTOQUE[[Codigo]:[Descrição Tecnica]],6,FALSE)</f>
        <v>ESPELHO REFLETIVO PARA SENSOR SICK</v>
      </c>
      <c r="C143" s="14">
        <f>IFERROR(VLOOKUP(TAB_SAIDA[[#This Row],[COD_2_SAIDA]],TAB_ESTOQUE[[Codigo]:[Referência Tec]],7,FALSE),"")</f>
        <v>0</v>
      </c>
      <c r="D143" s="14" t="str">
        <f>VLOOKUP(TAB_SAIDA[[#This Row],[COD_2_SAIDA]],TAB_ESTOQUE[[Codigo]:[Endereço2]],12,FALSE)</f>
        <v>A2304</v>
      </c>
      <c r="E143" s="81">
        <f>SUM(TAB_SAIDA[[#This Row],[20/05/2019]:[00/00/00]])</f>
        <v>0</v>
      </c>
      <c r="F143" s="3"/>
    </row>
    <row r="144" spans="1:625" ht="15" hidden="1" customHeight="1" x14ac:dyDescent="0.25">
      <c r="A144" s="5" t="s">
        <v>1801</v>
      </c>
      <c r="B144" s="14" t="str">
        <f>VLOOKUP(TAB_SAIDA[[#This Row],[COD_2_SAIDA]],TAB_ESTOQUE[[Codigo]:[Descrição Tecnica]],6,FALSE)</f>
        <v>SENSOR FOTO ELETRICO QS18V P6MPQ5 BANNER</v>
      </c>
      <c r="C144" s="14">
        <f>IFERROR(VLOOKUP(TAB_SAIDA[[#This Row],[COD_2_SAIDA]],TAB_ESTOQUE[[Codigo]:[Referência Tec]],7,FALSE),"")</f>
        <v>0</v>
      </c>
      <c r="D144" s="14" t="str">
        <f>VLOOKUP(TAB_SAIDA[[#This Row],[COD_2_SAIDA]],TAB_ESTOQUE[[Codigo]:[Endereço2]],12,FALSE)</f>
        <v>A2204</v>
      </c>
      <c r="E144" s="81">
        <f>SUM(TAB_SAIDA[[#This Row],[20/05/2019]:[00/00/00]])</f>
        <v>0</v>
      </c>
      <c r="F144" s="3"/>
    </row>
    <row r="145" spans="1:628" ht="15" hidden="1" customHeight="1" x14ac:dyDescent="0.25">
      <c r="A145" s="5" t="s">
        <v>1802</v>
      </c>
      <c r="B145" s="14" t="str">
        <f>VLOOKUP(TAB_SAIDA[[#This Row],[COD_2_SAIDA]],TAB_ESTOQUE[[Codigo]:[Descrição Tecnica]],6,FALSE)</f>
        <v>CHAVE SELETORA LUMINOSA SCHNEIDER XB5AK123B3 VERDE</v>
      </c>
      <c r="C145" s="14">
        <f>IFERROR(VLOOKUP(TAB_SAIDA[[#This Row],[COD_2_SAIDA]],TAB_ESTOQUE[[Codigo]:[Referência Tec]],7,FALSE),"")</f>
        <v>0</v>
      </c>
      <c r="D145" s="14" t="str">
        <f>VLOOKUP(TAB_SAIDA[[#This Row],[COD_2_SAIDA]],TAB_ESTOQUE[[Codigo]:[Endereço2]],12,FALSE)</f>
        <v>A2205</v>
      </c>
      <c r="E145" s="81">
        <f>SUM(TAB_SAIDA[[#This Row],[20/05/2019]:[00/00/00]])</f>
        <v>0</v>
      </c>
      <c r="F145" s="3"/>
    </row>
    <row r="146" spans="1:628" ht="15" hidden="1" customHeight="1" x14ac:dyDescent="0.25">
      <c r="A146" s="5" t="s">
        <v>1803</v>
      </c>
      <c r="B146" s="14" t="str">
        <f>VLOOKUP(TAB_SAIDA[[#This Row],[COD_2_SAIDA]],TAB_ESTOQUE[[Codigo]:[Descrição Tecnica]],6,FALSE)</f>
        <v>SENSOR FIM DE CURSO  XCKM115 X1</v>
      </c>
      <c r="C146" s="14">
        <f>IFERROR(VLOOKUP(TAB_SAIDA[[#This Row],[COD_2_SAIDA]],TAB_ESTOQUE[[Codigo]:[Referência Tec]],7,FALSE),"")</f>
        <v>0</v>
      </c>
      <c r="D146" s="14" t="str">
        <f>VLOOKUP(TAB_SAIDA[[#This Row],[COD_2_SAIDA]],TAB_ESTOQUE[[Codigo]:[Endereço2]],12,FALSE)</f>
        <v>A2205</v>
      </c>
      <c r="E146" s="81">
        <f>SUM(TAB_SAIDA[[#This Row],[20/05/2019]:[00/00/00]])</f>
        <v>0</v>
      </c>
      <c r="F146" s="3"/>
    </row>
    <row r="147" spans="1:628" ht="15" hidden="1" customHeight="1" x14ac:dyDescent="0.25">
      <c r="A147" s="5" t="s">
        <v>1804</v>
      </c>
      <c r="B147" s="14" t="str">
        <f>VLOOKUP(TAB_SAIDA[[#This Row],[COD_2_SAIDA]],TAB_ESTOQUE[[Codigo]:[Descrição Tecnica]],6,FALSE)</f>
        <v>CHAVE FIM DE CURSO 3SE5112-0LC02 - SIEMENS</v>
      </c>
      <c r="C147" s="14">
        <f>IFERROR(VLOOKUP(TAB_SAIDA[[#This Row],[COD_2_SAIDA]],TAB_ESTOQUE[[Codigo]:[Referência Tec]],7,FALSE),"")</f>
        <v>0</v>
      </c>
      <c r="D147" s="14" t="str">
        <f>VLOOKUP(TAB_SAIDA[[#This Row],[COD_2_SAIDA]],TAB_ESTOQUE[[Codigo]:[Endereço2]],12,FALSE)</f>
        <v>A2205</v>
      </c>
      <c r="E147" s="81">
        <f>SUM(TAB_SAIDA[[#This Row],[20/05/2019]:[00/00/00]])</f>
        <v>0</v>
      </c>
      <c r="F147" s="3"/>
    </row>
    <row r="148" spans="1:628" ht="15" hidden="1" customHeight="1" x14ac:dyDescent="0.25">
      <c r="A148" s="5" t="s">
        <v>1805</v>
      </c>
      <c r="B148" s="14" t="str">
        <f>VLOOKUP(TAB_SAIDA[[#This Row],[COD_2_SAIDA]],TAB_ESTOQUE[[Codigo]:[Descrição Tecnica]],6,FALSE)</f>
        <v>SENSOR FIM DE CURSO XCKN2118G11</v>
      </c>
      <c r="C148" s="14">
        <f>IFERROR(VLOOKUP(TAB_SAIDA[[#This Row],[COD_2_SAIDA]],TAB_ESTOQUE[[Codigo]:[Referência Tec]],7,FALSE),"")</f>
        <v>0</v>
      </c>
      <c r="D148" s="14" t="str">
        <f>VLOOKUP(TAB_SAIDA[[#This Row],[COD_2_SAIDA]],TAB_ESTOQUE[[Codigo]:[Endereço2]],12,FALSE)</f>
        <v>A2205</v>
      </c>
      <c r="E148" s="81">
        <f>SUM(TAB_SAIDA[[#This Row],[20/05/2019]:[00/00/00]])</f>
        <v>0</v>
      </c>
      <c r="F148" s="3"/>
    </row>
    <row r="149" spans="1:628" ht="15" hidden="1" customHeight="1" x14ac:dyDescent="0.25">
      <c r="A149" s="5" t="s">
        <v>1806</v>
      </c>
      <c r="B149" s="14" t="str">
        <f>VLOOKUP(TAB_SAIDA[[#This Row],[COD_2_SAIDA]],TAB_ESTOQUE[[Codigo]:[Descrição Tecnica]],6,FALSE)</f>
        <v>SENSOR SICK RE21-sA03 1059506</v>
      </c>
      <c r="C149" s="14">
        <f>IFERROR(VLOOKUP(TAB_SAIDA[[#This Row],[COD_2_SAIDA]],TAB_ESTOQUE[[Codigo]:[Referência Tec]],7,FALSE),"")</f>
        <v>0</v>
      </c>
      <c r="D149" s="14" t="str">
        <f>VLOOKUP(TAB_SAIDA[[#This Row],[COD_2_SAIDA]],TAB_ESTOQUE[[Codigo]:[Endereço2]],12,FALSE)</f>
        <v>A2203</v>
      </c>
      <c r="E149" s="81">
        <f>SUM(TAB_SAIDA[[#This Row],[20/05/2019]:[00/00/00]])</f>
        <v>0</v>
      </c>
      <c r="F149" s="3"/>
    </row>
    <row r="150" spans="1:628" ht="15" hidden="1" customHeight="1" x14ac:dyDescent="0.25">
      <c r="A150" s="5" t="s">
        <v>1807</v>
      </c>
      <c r="B150" s="14" t="str">
        <f>VLOOKUP(TAB_SAIDA[[#This Row],[COD_2_SAIDA]],TAB_ESTOQUE[[Codigo]:[Descrição Tecnica]],6,FALSE)</f>
        <v>SENSOR BALLUFF BES 516-324-EO-C05</v>
      </c>
      <c r="C150" s="14">
        <f>IFERROR(VLOOKUP(TAB_SAIDA[[#This Row],[COD_2_SAIDA]],TAB_ESTOQUE[[Codigo]:[Referência Tec]],7,FALSE),"")</f>
        <v>0</v>
      </c>
      <c r="D150" s="14" t="str">
        <f>VLOOKUP(TAB_SAIDA[[#This Row],[COD_2_SAIDA]],TAB_ESTOQUE[[Codigo]:[Endereço2]],12,FALSE)</f>
        <v>A2203</v>
      </c>
      <c r="E150" s="81">
        <f>SUM(TAB_SAIDA[[#This Row],[20/05/2019]:[00/00/00]])</f>
        <v>1</v>
      </c>
      <c r="F150" s="3"/>
      <c r="SY150" s="3">
        <v>1</v>
      </c>
    </row>
    <row r="151" spans="1:628" ht="15" hidden="1" customHeight="1" x14ac:dyDescent="0.25">
      <c r="A151" s="5" t="s">
        <v>1808</v>
      </c>
      <c r="B151" s="14" t="str">
        <f>VLOOKUP(TAB_SAIDA[[#This Row],[COD_2_SAIDA]],TAB_ESTOQUE[[Codigo]:[Descrição Tecnica]],6,FALSE)</f>
        <v>CONTROLADOR DE TEMPERATURA ATR142</v>
      </c>
      <c r="C151" s="14">
        <f>IFERROR(VLOOKUP(TAB_SAIDA[[#This Row],[COD_2_SAIDA]],TAB_ESTOQUE[[Codigo]:[Referência Tec]],7,FALSE),"")</f>
        <v>0</v>
      </c>
      <c r="D151" s="14" t="str">
        <f>VLOOKUP(TAB_SAIDA[[#This Row],[COD_2_SAIDA]],TAB_ESTOQUE[[Codigo]:[Endereço2]],12,FALSE)</f>
        <v>A2402</v>
      </c>
      <c r="E151" s="81">
        <f>SUM(TAB_SAIDA[[#This Row],[20/05/2019]:[00/00/00]])</f>
        <v>0</v>
      </c>
      <c r="F151" s="3"/>
    </row>
    <row r="152" spans="1:628" ht="15" hidden="1" customHeight="1" x14ac:dyDescent="0.25">
      <c r="A152" s="5" t="s">
        <v>1809</v>
      </c>
      <c r="B152" s="14" t="str">
        <f>VLOOKUP(TAB_SAIDA[[#This Row],[COD_2_SAIDA]],TAB_ESTOQUE[[Codigo]:[Descrição Tecnica]],6,FALSE)</f>
        <v>VALVULA PNEUMATICA 3/2 VIAS 1 BOBINA 24V 1/8</v>
      </c>
      <c r="C152" s="14">
        <f>IFERROR(VLOOKUP(TAB_SAIDA[[#This Row],[COD_2_SAIDA]],TAB_ESTOQUE[[Codigo]:[Referência Tec]],7,FALSE),"")</f>
        <v>0</v>
      </c>
      <c r="D152" s="14" t="str">
        <f>VLOOKUP(TAB_SAIDA[[#This Row],[COD_2_SAIDA]],TAB_ESTOQUE[[Codigo]:[Endereço2]],12,FALSE)</f>
        <v>C1104</v>
      </c>
      <c r="E152" s="81">
        <f>SUM(TAB_SAIDA[[#This Row],[20/05/2019]:[00/00/00]])</f>
        <v>0</v>
      </c>
      <c r="F152" s="3"/>
    </row>
    <row r="153" spans="1:628" s="197" customFormat="1" ht="15" hidden="1" customHeight="1" x14ac:dyDescent="0.25">
      <c r="A153" s="194" t="s">
        <v>1810</v>
      </c>
      <c r="B153" s="195" t="str">
        <f>VLOOKUP(TAB_SAIDA[[#This Row],[COD_2_SAIDA]],TAB_ESTOQUE[[Codigo]:[Descrição Tecnica]],6,FALSE)</f>
        <v>CABO COM CONECTOR RETO MACHO 2 LADOS M16 5 PINOS</v>
      </c>
      <c r="C153" s="195">
        <f>IFERROR(VLOOKUP(TAB_SAIDA[[#This Row],[COD_2_SAIDA]],TAB_ESTOQUE[[Codigo]:[Referência Tec]],7,FALSE),"")</f>
        <v>0</v>
      </c>
      <c r="D153" s="195" t="str">
        <f>VLOOKUP(TAB_SAIDA[[#This Row],[COD_2_SAIDA]],TAB_ESTOQUE[[Codigo]:[Endereço2]],12,FALSE)</f>
        <v>B1404</v>
      </c>
      <c r="E153" s="196">
        <f>SUM(TAB_SAIDA[[#This Row],[20/05/2019]:[00/00/00]])</f>
        <v>0</v>
      </c>
      <c r="BH153" s="198"/>
    </row>
    <row r="154" spans="1:628" ht="15" hidden="1" customHeight="1" x14ac:dyDescent="0.25">
      <c r="A154" s="5" t="s">
        <v>1811</v>
      </c>
      <c r="B154" s="14" t="str">
        <f>VLOOKUP(TAB_SAIDA[[#This Row],[COD_2_SAIDA]],TAB_ESTOQUE[[Codigo]:[Descrição Tecnica]],6,FALSE)</f>
        <v>ATUADOR P/ SENSOR MAGNÉTICO PILZ PSEN CS 3.1 - IDENT. NO. 541080 PILZ</v>
      </c>
      <c r="C154" s="14">
        <f>IFERROR(VLOOKUP(TAB_SAIDA[[#This Row],[COD_2_SAIDA]],TAB_ESTOQUE[[Codigo]:[Referência Tec]],7,FALSE),"")</f>
        <v>0</v>
      </c>
      <c r="D154" s="14" t="str">
        <f>VLOOKUP(TAB_SAIDA[[#This Row],[COD_2_SAIDA]],TAB_ESTOQUE[[Codigo]:[Endereço2]],12,FALSE)</f>
        <v>A2206</v>
      </c>
      <c r="E154" s="81">
        <f>SUM(TAB_SAIDA[[#This Row],[20/05/2019]:[00/00/00]])</f>
        <v>0</v>
      </c>
      <c r="F154" s="3"/>
    </row>
    <row r="155" spans="1:628" ht="15" hidden="1" customHeight="1" x14ac:dyDescent="0.25">
      <c r="A155" s="5" t="s">
        <v>1812</v>
      </c>
      <c r="B155" s="14" t="str">
        <f>VLOOKUP(TAB_SAIDA[[#This Row],[COD_2_SAIDA]],TAB_ESTOQUE[[Codigo]:[Descrição Tecnica]],6,FALSE)</f>
        <v>SENSOR MAGNÉTICO P/ PORTA PILZ PSEN CS 3.1A - IDENT. NO. 511061  PILZ</v>
      </c>
      <c r="C155" s="14">
        <f>IFERROR(VLOOKUP(TAB_SAIDA[[#This Row],[COD_2_SAIDA]],TAB_ESTOQUE[[Codigo]:[Referência Tec]],7,FALSE),"")</f>
        <v>0</v>
      </c>
      <c r="D155" s="14" t="str">
        <f>VLOOKUP(TAB_SAIDA[[#This Row],[COD_2_SAIDA]],TAB_ESTOQUE[[Codigo]:[Endereço2]],12,FALSE)</f>
        <v>A2206</v>
      </c>
      <c r="E155" s="81">
        <f>SUM(TAB_SAIDA[[#This Row],[20/05/2019]:[00/00/00]])</f>
        <v>0</v>
      </c>
      <c r="F155" s="3"/>
    </row>
    <row r="156" spans="1:628" ht="15" hidden="1" customHeight="1" x14ac:dyDescent="0.25">
      <c r="A156" s="5" t="s">
        <v>1813</v>
      </c>
      <c r="B156" s="14" t="str">
        <f>VLOOKUP(TAB_SAIDA[[#This Row],[COD_2_SAIDA]],TAB_ESTOQUE[[Codigo]:[Descrição Tecnica]],6,FALSE)</f>
        <v>SELO/REPARO EM NYLON DE ALTA PRESSÃO P/INTENSIFICADOR J5/HYPER SEAL ASSEMBLY 20422243 KMT</v>
      </c>
      <c r="C156" s="14">
        <f>IFERROR(VLOOKUP(TAB_SAIDA[[#This Row],[COD_2_SAIDA]],TAB_ESTOQUE[[Codigo]:[Referência Tec]],7,FALSE),"")</f>
        <v>0</v>
      </c>
      <c r="D156" s="14" t="str">
        <f>VLOOKUP(TAB_SAIDA[[#This Row],[COD_2_SAIDA]],TAB_ESTOQUE[[Codigo]:[Endereço2]],12,FALSE)</f>
        <v>ARMARIO</v>
      </c>
      <c r="E156" s="81">
        <f>SUM(TAB_SAIDA[[#This Row],[20/05/2019]:[00/00/00]])</f>
        <v>24</v>
      </c>
      <c r="F156" s="3"/>
      <c r="RZ156" s="3">
        <v>3</v>
      </c>
      <c r="SH156" s="3">
        <v>1</v>
      </c>
      <c r="SL156" s="3">
        <v>1</v>
      </c>
      <c r="SO156" s="3">
        <v>1</v>
      </c>
      <c r="SZ156" s="3">
        <v>1</v>
      </c>
      <c r="TA156" s="3">
        <v>1</v>
      </c>
      <c r="TH156" s="3">
        <v>1</v>
      </c>
      <c r="TJ156" s="3">
        <v>1</v>
      </c>
      <c r="UT156" s="3">
        <v>1</v>
      </c>
      <c r="UY156" s="3">
        <v>1</v>
      </c>
      <c r="VC156" s="3">
        <v>1</v>
      </c>
      <c r="VE156" s="3">
        <v>1</v>
      </c>
      <c r="VI156" s="3">
        <v>1</v>
      </c>
      <c r="VT156" s="3">
        <v>1</v>
      </c>
      <c r="VX156" s="3">
        <v>1</v>
      </c>
      <c r="WC156" s="3">
        <v>2</v>
      </c>
      <c r="WF156" s="3">
        <v>1</v>
      </c>
      <c r="WR156" s="3">
        <v>1</v>
      </c>
      <c r="WU156" s="3">
        <v>2</v>
      </c>
      <c r="XD156" s="3">
        <v>1</v>
      </c>
    </row>
    <row r="157" spans="1:628" ht="15" hidden="1" customHeight="1" x14ac:dyDescent="0.25">
      <c r="A157" s="5" t="s">
        <v>1814</v>
      </c>
      <c r="B157" s="14" t="str">
        <f>VLOOKUP(TAB_SAIDA[[#This Row],[COD_2_SAIDA]],TAB_ESTOQUE[[Codigo]:[Descrição Tecnica]],6,FALSE)</f>
        <v>CORREIA ARMALON 2410 MED. 1500X9110MM COM PINOS GUIAS</v>
      </c>
      <c r="C157" s="14">
        <f>IFERROR(VLOOKUP(TAB_SAIDA[[#This Row],[COD_2_SAIDA]],TAB_ESTOQUE[[Codigo]:[Referência Tec]],7,FALSE),"")</f>
        <v>0</v>
      </c>
      <c r="D157" s="14" t="str">
        <f>VLOOKUP(TAB_SAIDA[[#This Row],[COD_2_SAIDA]],TAB_ESTOQUE[[Codigo]:[Endereço2]],12,FALSE)</f>
        <v>CORREDOR 2</v>
      </c>
      <c r="E157" s="81">
        <f>SUM(TAB_SAIDA[[#This Row],[20/05/2019]:[00/00/00]])</f>
        <v>1</v>
      </c>
      <c r="F157" s="3"/>
      <c r="WF157" s="3">
        <v>1</v>
      </c>
    </row>
    <row r="158" spans="1:628" ht="15" hidden="1" customHeight="1" x14ac:dyDescent="0.25">
      <c r="A158" s="5" t="s">
        <v>1815</v>
      </c>
      <c r="B158" s="14" t="str">
        <f>VLOOKUP(TAB_SAIDA[[#This Row],[COD_2_SAIDA]],TAB_ESTOQUE[[Codigo]:[Descrição Tecnica]],6,FALSE)</f>
        <v>ACOPLAMENTO M04</v>
      </c>
      <c r="C158" s="14">
        <f>IFERROR(VLOOKUP(TAB_SAIDA[[#This Row],[COD_2_SAIDA]],TAB_ESTOQUE[[Codigo]:[Referência Tec]],7,FALSE),"")</f>
        <v>0</v>
      </c>
      <c r="D158" s="14" t="str">
        <f>VLOOKUP(TAB_SAIDA[[#This Row],[COD_2_SAIDA]],TAB_ESTOQUE[[Codigo]:[Endereço2]],12,FALSE)</f>
        <v>E2204</v>
      </c>
      <c r="E158" s="81">
        <f>SUM(TAB_SAIDA[[#This Row],[20/05/2019]:[00/00/00]])</f>
        <v>0</v>
      </c>
      <c r="F158" s="3"/>
    </row>
    <row r="159" spans="1:628" ht="15" hidden="1" customHeight="1" x14ac:dyDescent="0.25">
      <c r="A159" s="5" t="s">
        <v>1816</v>
      </c>
      <c r="B159" s="14" t="str">
        <f>VLOOKUP(TAB_SAIDA[[#This Row],[COD_2_SAIDA]],TAB_ESTOQUE[[Codigo]:[Descrição Tecnica]],6,FALSE)</f>
        <v>CHAVE V5 IEC- EM 60947-3 125A 3R1349</v>
      </c>
      <c r="C159" s="14">
        <f>IFERROR(VLOOKUP(TAB_SAIDA[[#This Row],[COD_2_SAIDA]],TAB_ESTOQUE[[Codigo]:[Referência Tec]],7,FALSE),"")</f>
        <v>0</v>
      </c>
      <c r="D159" s="14" t="str">
        <f>VLOOKUP(TAB_SAIDA[[#This Row],[COD_2_SAIDA]],TAB_ESTOQUE[[Codigo]:[Endereço2]],12,FALSE)</f>
        <v>A2302</v>
      </c>
      <c r="E159" s="81">
        <f>SUM(TAB_SAIDA[[#This Row],[20/05/2019]:[00/00/00]])</f>
        <v>0</v>
      </c>
      <c r="F159" s="3"/>
    </row>
    <row r="160" spans="1:628" ht="15" hidden="1" customHeight="1" x14ac:dyDescent="0.25">
      <c r="A160" s="5" t="s">
        <v>1817</v>
      </c>
      <c r="B160" s="14" t="str">
        <f>VLOOKUP(TAB_SAIDA[[#This Row],[COD_2_SAIDA]],TAB_ESTOQUE[[Codigo]:[Descrição Tecnica]],6,FALSE)</f>
        <v xml:space="preserve">TRANSFORMADOR DE TENSÃO POT.200W PRIM. 440V SEC. 220V FREQ. 50/60Hz </v>
      </c>
      <c r="C160" s="14">
        <f>IFERROR(VLOOKUP(TAB_SAIDA[[#This Row],[COD_2_SAIDA]],TAB_ESTOQUE[[Codigo]:[Referência Tec]],7,FALSE),"")</f>
        <v>0</v>
      </c>
      <c r="D160" s="14" t="str">
        <f>VLOOKUP(TAB_SAIDA[[#This Row],[COD_2_SAIDA]],TAB_ESTOQUE[[Codigo]:[Endereço2]],12,FALSE)</f>
        <v>A2303</v>
      </c>
      <c r="E160" s="81">
        <f>SUM(TAB_SAIDA[[#This Row],[20/05/2019]:[00/00/00]])</f>
        <v>0</v>
      </c>
      <c r="F160" s="3"/>
    </row>
    <row r="161" spans="1:540" ht="15" hidden="1" customHeight="1" x14ac:dyDescent="0.25">
      <c r="A161" s="5" t="s">
        <v>1818</v>
      </c>
      <c r="B161" s="14" t="str">
        <f>VLOOKUP(TAB_SAIDA[[#This Row],[COD_2_SAIDA]],TAB_ESTOQUE[[Codigo]:[Descrição Tecnica]],6,FALSE)</f>
        <v>FONTE DE ALIMENTAÇÃO CHAVEADA - TRIFÁSICA 3X380-500VAC - DC24V 20A - REF. ABL8 WPS24200 SCHNEIDER ELECTRIC</v>
      </c>
      <c r="C161" s="14">
        <f>IFERROR(VLOOKUP(TAB_SAIDA[[#This Row],[COD_2_SAIDA]],TAB_ESTOQUE[[Codigo]:[Referência Tec]],7,FALSE),"")</f>
        <v>0</v>
      </c>
      <c r="D161" s="14" t="str">
        <f>VLOOKUP(TAB_SAIDA[[#This Row],[COD_2_SAIDA]],TAB_ESTOQUE[[Codigo]:[Endereço2]],12,FALSE)</f>
        <v>A2302</v>
      </c>
      <c r="E161" s="81">
        <f>SUM(TAB_SAIDA[[#This Row],[20/05/2019]:[00/00/00]])</f>
        <v>0</v>
      </c>
      <c r="F161" s="3"/>
    </row>
    <row r="162" spans="1:540" ht="15" hidden="1" customHeight="1" x14ac:dyDescent="0.25">
      <c r="A162" s="5" t="s">
        <v>1819</v>
      </c>
      <c r="B162" s="14" t="str">
        <f>VLOOKUP(TAB_SAIDA[[#This Row],[COD_2_SAIDA]],TAB_ESTOQUE[[Codigo]:[Descrição Tecnica]],6,FALSE)</f>
        <v>TERMORESISTENCIA PT-100 3F 2,0MT 8,0MM</v>
      </c>
      <c r="C162" s="14">
        <f>IFERROR(VLOOKUP(TAB_SAIDA[[#This Row],[COD_2_SAIDA]],TAB_ESTOQUE[[Codigo]:[Referência Tec]],7,FALSE),"")</f>
        <v>0</v>
      </c>
      <c r="D162" s="14" t="str">
        <f>VLOOKUP(TAB_SAIDA[[#This Row],[COD_2_SAIDA]],TAB_ESTOQUE[[Codigo]:[Endereço2]],12,FALSE)</f>
        <v>A2302</v>
      </c>
      <c r="E162" s="81">
        <f>SUM(TAB_SAIDA[[#This Row],[20/05/2019]:[00/00/00]])</f>
        <v>0</v>
      </c>
      <c r="F162" s="3"/>
    </row>
    <row r="163" spans="1:540" ht="15" hidden="1" customHeight="1" x14ac:dyDescent="0.25">
      <c r="A163" s="5" t="s">
        <v>1820</v>
      </c>
      <c r="B163" s="14" t="str">
        <f>VLOOKUP(TAB_SAIDA[[#This Row],[COD_2_SAIDA]],TAB_ESTOQUE[[Codigo]:[Descrição Tecnica]],6,FALSE)</f>
        <v>CONTATOR DE FORÇA 24VAC LC1D09B7 (SCHNEIDER)</v>
      </c>
      <c r="C163" s="14">
        <f>IFERROR(VLOOKUP(TAB_SAIDA[[#This Row],[COD_2_SAIDA]],TAB_ESTOQUE[[Codigo]:[Referência Tec]],7,FALSE),"")</f>
        <v>0</v>
      </c>
      <c r="D163" s="14" t="str">
        <f>VLOOKUP(TAB_SAIDA[[#This Row],[COD_2_SAIDA]],TAB_ESTOQUE[[Codigo]:[Endereço2]],12,FALSE)</f>
        <v>A2303</v>
      </c>
      <c r="E163" s="81">
        <f>SUM(TAB_SAIDA[[#This Row],[20/05/2019]:[00/00/00]])</f>
        <v>0</v>
      </c>
      <c r="F163" s="3"/>
    </row>
    <row r="164" spans="1:540" ht="15" hidden="1" customHeight="1" x14ac:dyDescent="0.25">
      <c r="A164" s="5" t="s">
        <v>1821</v>
      </c>
      <c r="B164" s="14" t="str">
        <f>VLOOKUP(TAB_SAIDA[[#This Row],[COD_2_SAIDA]],TAB_ESTOQUE[[Codigo]:[Descrição Tecnica]],6,FALSE)</f>
        <v>CONTATOR TRIPOLAR 32A 24VCC LC1 D32B7</v>
      </c>
      <c r="C164" s="14">
        <f>IFERROR(VLOOKUP(TAB_SAIDA[[#This Row],[COD_2_SAIDA]],TAB_ESTOQUE[[Codigo]:[Referência Tec]],7,FALSE),"")</f>
        <v>0</v>
      </c>
      <c r="D164" s="14" t="str">
        <f>VLOOKUP(TAB_SAIDA[[#This Row],[COD_2_SAIDA]],TAB_ESTOQUE[[Codigo]:[Endereço2]],12,FALSE)</f>
        <v>G1103</v>
      </c>
      <c r="E164" s="81">
        <f>SUM(TAB_SAIDA[[#This Row],[20/05/2019]:[00/00/00]])</f>
        <v>0</v>
      </c>
      <c r="F164" s="3"/>
    </row>
    <row r="165" spans="1:540" ht="15" hidden="1" customHeight="1" x14ac:dyDescent="0.25">
      <c r="A165" s="5" t="s">
        <v>1822</v>
      </c>
      <c r="B165" s="14" t="str">
        <f>VLOOKUP(TAB_SAIDA[[#This Row],[COD_2_SAIDA]],TAB_ESTOQUE[[Codigo]:[Descrição Tecnica]],6,FALSE)</f>
        <v>BLOCO TEMPORIZADOR  LADT2 TESYS - 038589 - 0,1-30S 1NO+1NC SCHNEIDER ELECTRIC</v>
      </c>
      <c r="C165" s="14">
        <f>IFERROR(VLOOKUP(TAB_SAIDA[[#This Row],[COD_2_SAIDA]],TAB_ESTOQUE[[Codigo]:[Referência Tec]],7,FALSE),"")</f>
        <v>0</v>
      </c>
      <c r="D165" s="14" t="str">
        <f>VLOOKUP(TAB_SAIDA[[#This Row],[COD_2_SAIDA]],TAB_ESTOQUE[[Codigo]:[Endereço2]],12,FALSE)</f>
        <v>A2303</v>
      </c>
      <c r="E165" s="81">
        <f>SUM(TAB_SAIDA[[#This Row],[20/05/2019]:[00/00/00]])</f>
        <v>0</v>
      </c>
      <c r="F165" s="3"/>
    </row>
    <row r="166" spans="1:540" ht="15" hidden="1" customHeight="1" x14ac:dyDescent="0.25">
      <c r="A166" s="5" t="s">
        <v>1823</v>
      </c>
      <c r="B166" s="14" t="str">
        <f>VLOOKUP(TAB_SAIDA[[#This Row],[COD_2_SAIDA]],TAB_ESTOQUE[[Codigo]:[Descrição Tecnica]],6,FALSE)</f>
        <v>CONTATOR DE FORÇA LC1E32 IEC-EN60947-4-1 230V</v>
      </c>
      <c r="C166" s="14">
        <f>IFERROR(VLOOKUP(TAB_SAIDA[[#This Row],[COD_2_SAIDA]],TAB_ESTOQUE[[Codigo]:[Referência Tec]],7,FALSE),"")</f>
        <v>0</v>
      </c>
      <c r="D166" s="14" t="str">
        <f>VLOOKUP(TAB_SAIDA[[#This Row],[COD_2_SAIDA]],TAB_ESTOQUE[[Codigo]:[Endereço2]],12,FALSE)</f>
        <v>A2303</v>
      </c>
      <c r="E166" s="81">
        <f>SUM(TAB_SAIDA[[#This Row],[20/05/2019]:[00/00/00]])</f>
        <v>1</v>
      </c>
      <c r="F166" s="3"/>
      <c r="RT166" s="3">
        <v>1</v>
      </c>
    </row>
    <row r="167" spans="1:540" ht="15" hidden="1" customHeight="1" x14ac:dyDescent="0.25">
      <c r="A167" s="5" t="s">
        <v>1824</v>
      </c>
      <c r="B167" s="14" t="str">
        <f>VLOOKUP(TAB_SAIDA[[#This Row],[COD_2_SAIDA]],TAB_ESTOQUE[[Codigo]:[Descrição Tecnica]],6,FALSE)</f>
        <v>CONTACTOR AUXILIAR  - REF.LC1K0901B7 (SCHNEIDER)</v>
      </c>
      <c r="C167" s="14">
        <f>IFERROR(VLOOKUP(TAB_SAIDA[[#This Row],[COD_2_SAIDA]],TAB_ESTOQUE[[Codigo]:[Referência Tec]],7,FALSE),"")</f>
        <v>0</v>
      </c>
      <c r="D167" s="14" t="str">
        <f>VLOOKUP(TAB_SAIDA[[#This Row],[COD_2_SAIDA]],TAB_ESTOQUE[[Codigo]:[Endereço2]],12,FALSE)</f>
        <v>G1103</v>
      </c>
      <c r="E167" s="81">
        <f>SUM(TAB_SAIDA[[#This Row],[20/05/2019]:[00/00/00]])</f>
        <v>0</v>
      </c>
      <c r="F167" s="3"/>
    </row>
    <row r="168" spans="1:540" ht="15" hidden="1" customHeight="1" x14ac:dyDescent="0.25">
      <c r="A168" s="5" t="s">
        <v>1825</v>
      </c>
      <c r="B168" s="14" t="str">
        <f>VLOOKUP(TAB_SAIDA[[#This Row],[COD_2_SAIDA]],TAB_ESTOQUE[[Codigo]:[Descrição Tecnica]],6,FALSE)</f>
        <v>DISJUNTOR EASY9 3P 32A CURVA C 3000A EZ9F33332</v>
      </c>
      <c r="C168" s="14">
        <f>IFERROR(VLOOKUP(TAB_SAIDA[[#This Row],[COD_2_SAIDA]],TAB_ESTOQUE[[Codigo]:[Referência Tec]],7,FALSE),"")</f>
        <v>0</v>
      </c>
      <c r="D168" s="14" t="str">
        <f>VLOOKUP(TAB_SAIDA[[#This Row],[COD_2_SAIDA]],TAB_ESTOQUE[[Codigo]:[Endereço2]],12,FALSE)</f>
        <v>A2303</v>
      </c>
      <c r="E168" s="81">
        <f>SUM(TAB_SAIDA[[#This Row],[20/05/2019]:[00/00/00]])</f>
        <v>0</v>
      </c>
      <c r="F168" s="3"/>
    </row>
    <row r="169" spans="1:540" ht="15" hidden="1" customHeight="1" x14ac:dyDescent="0.25">
      <c r="A169" s="5" t="s">
        <v>1826</v>
      </c>
      <c r="B169" s="14" t="str">
        <f>VLOOKUP(TAB_SAIDA[[#This Row],[COD_2_SAIDA]],TAB_ESTOQUE[[Codigo]:[Descrição Tecnica]],6,FALSE)</f>
        <v>DISJUNTOR MOTOR 65A SCHNEIDER VE: 690V-50/60Hz uimp: 6KV</v>
      </c>
      <c r="C169" s="14">
        <f>IFERROR(VLOOKUP(TAB_SAIDA[[#This Row],[COD_2_SAIDA]],TAB_ESTOQUE[[Codigo]:[Referência Tec]],7,FALSE),"")</f>
        <v>0</v>
      </c>
      <c r="D169" s="14" t="str">
        <f>VLOOKUP(TAB_SAIDA[[#This Row],[COD_2_SAIDA]],TAB_ESTOQUE[[Codigo]:[Endereço2]],12,FALSE)</f>
        <v>A2303</v>
      </c>
      <c r="E169" s="81">
        <f>SUM(TAB_SAIDA[[#This Row],[20/05/2019]:[00/00/00]])</f>
        <v>1</v>
      </c>
      <c r="F169" s="3"/>
      <c r="TT169" s="3">
        <v>1</v>
      </c>
    </row>
    <row r="170" spans="1:540" ht="15" hidden="1" customHeight="1" x14ac:dyDescent="0.25">
      <c r="A170" s="5" t="s">
        <v>1827</v>
      </c>
      <c r="B170" s="14" t="str">
        <f>VLOOKUP(TAB_SAIDA[[#This Row],[COD_2_SAIDA]],TAB_ESTOQUE[[Codigo]:[Descrição Tecnica]],6,FALSE)</f>
        <v>MONITORADOR DE CORRENTE 716410 LUTZE LOCC-BOX-NT 7-6410 10A</v>
      </c>
      <c r="C170" s="14">
        <f>IFERROR(VLOOKUP(TAB_SAIDA[[#This Row],[COD_2_SAIDA]],TAB_ESTOQUE[[Codigo]:[Referência Tec]],7,FALSE),"")</f>
        <v>0</v>
      </c>
      <c r="D170" s="14" t="str">
        <f>VLOOKUP(TAB_SAIDA[[#This Row],[COD_2_SAIDA]],TAB_ESTOQUE[[Codigo]:[Endereço2]],12,FALSE)</f>
        <v>A2304</v>
      </c>
      <c r="E170" s="81">
        <f>SUM(TAB_SAIDA[[#This Row],[20/05/2019]:[00/00/00]])</f>
        <v>0</v>
      </c>
      <c r="F170" s="3"/>
    </row>
    <row r="171" spans="1:540" ht="15" hidden="1" customHeight="1" x14ac:dyDescent="0.25">
      <c r="A171" s="5" t="s">
        <v>1828</v>
      </c>
      <c r="B171" s="14" t="str">
        <f>VLOOKUP(TAB_SAIDA[[#This Row],[COD_2_SAIDA]],TAB_ESTOQUE[[Codigo]:[Descrição Tecnica]],6,FALSE)</f>
        <v>FUSÍVEL NH SIEMENS - REF. 3NA3 822, 63A 500V</v>
      </c>
      <c r="C171" s="14">
        <f>IFERROR(VLOOKUP(TAB_SAIDA[[#This Row],[COD_2_SAIDA]],TAB_ESTOQUE[[Codigo]:[Referência Tec]],7,FALSE),"")</f>
        <v>0</v>
      </c>
      <c r="D171" s="14" t="str">
        <f>VLOOKUP(TAB_SAIDA[[#This Row],[COD_2_SAIDA]],TAB_ESTOQUE[[Codigo]:[Endereço2]],12,FALSE)</f>
        <v>A1204</v>
      </c>
      <c r="E171" s="81">
        <f>SUM(TAB_SAIDA[[#This Row],[20/05/2019]:[00/00/00]])</f>
        <v>0</v>
      </c>
      <c r="F171" s="3"/>
    </row>
    <row r="172" spans="1:540" ht="15" hidden="1" customHeight="1" x14ac:dyDescent="0.25">
      <c r="A172" s="5" t="s">
        <v>1829</v>
      </c>
      <c r="B172" s="14" t="str">
        <f>VLOOKUP(TAB_SAIDA[[#This Row],[COD_2_SAIDA]],TAB_ESTOQUE[[Codigo]:[Descrição Tecnica]],6,FALSE)</f>
        <v>FUSÍVEL FERRAZ SHAWMUT - REF. NH000GG500V80, 80A 500VCA</v>
      </c>
      <c r="C172" s="14">
        <f>IFERROR(VLOOKUP(TAB_SAIDA[[#This Row],[COD_2_SAIDA]],TAB_ESTOQUE[[Codigo]:[Referência Tec]],7,FALSE),"")</f>
        <v>0</v>
      </c>
      <c r="D172" s="14" t="str">
        <f>VLOOKUP(TAB_SAIDA[[#This Row],[COD_2_SAIDA]],TAB_ESTOQUE[[Codigo]:[Endereço2]],12,FALSE)</f>
        <v>A1204</v>
      </c>
      <c r="E172" s="81">
        <f>SUM(TAB_SAIDA[[#This Row],[20/05/2019]:[00/00/00]])</f>
        <v>0</v>
      </c>
      <c r="F172" s="3"/>
    </row>
    <row r="173" spans="1:540" ht="15" hidden="1" customHeight="1" x14ac:dyDescent="0.25">
      <c r="A173" s="5" t="s">
        <v>1830</v>
      </c>
      <c r="B173" s="14" t="str">
        <f>VLOOKUP(TAB_SAIDA[[#This Row],[COD_2_SAIDA]],TAB_ESTOQUE[[Codigo]:[Descrição Tecnica]],6,FALSE)</f>
        <v>CABO COM CONECTOR RETO MACHO 2 LADOS M16 7 PINOS</v>
      </c>
      <c r="C173" s="14">
        <f>IFERROR(VLOOKUP(TAB_SAIDA[[#This Row],[COD_2_SAIDA]],TAB_ESTOQUE[[Codigo]:[Referência Tec]],7,FALSE),"")</f>
        <v>0</v>
      </c>
      <c r="D173" s="14" t="str">
        <f>VLOOKUP(TAB_SAIDA[[#This Row],[COD_2_SAIDA]],TAB_ESTOQUE[[Codigo]:[Endereço2]],12,FALSE)</f>
        <v>B1404</v>
      </c>
      <c r="E173" s="81">
        <f>SUM(TAB_SAIDA[[#This Row],[20/05/2019]:[00/00/00]])</f>
        <v>0</v>
      </c>
      <c r="F173" s="3"/>
    </row>
    <row r="174" spans="1:540" ht="15" hidden="1" customHeight="1" x14ac:dyDescent="0.25">
      <c r="A174" s="5" t="s">
        <v>1831</v>
      </c>
      <c r="B174" s="14" t="str">
        <f>VLOOKUP(TAB_SAIDA[[#This Row],[COD_2_SAIDA]],TAB_ESTOQUE[[Codigo]:[Descrição Tecnica]],6,FALSE)</f>
        <v>CONTATO AUXILIAR DE POTÊNCIA TIPO-N SCHNEIDER - REF. 055192 VZ13</v>
      </c>
      <c r="C174" s="14">
        <f>IFERROR(VLOOKUP(TAB_SAIDA[[#This Row],[COD_2_SAIDA]],TAB_ESTOQUE[[Codigo]:[Referência Tec]],7,FALSE),"")</f>
        <v>0</v>
      </c>
      <c r="D174" s="14" t="str">
        <f>VLOOKUP(TAB_SAIDA[[#This Row],[COD_2_SAIDA]],TAB_ESTOQUE[[Codigo]:[Endereço2]],12,FALSE)</f>
        <v>A2304</v>
      </c>
      <c r="E174" s="81">
        <f>SUM(TAB_SAIDA[[#This Row],[20/05/2019]:[00/00/00]])</f>
        <v>0</v>
      </c>
      <c r="F174" s="3"/>
    </row>
    <row r="175" spans="1:540" ht="15" hidden="1" customHeight="1" x14ac:dyDescent="0.25">
      <c r="A175" s="5" t="s">
        <v>1832</v>
      </c>
      <c r="B175" s="14" t="str">
        <f>VLOOKUP(TAB_SAIDA[[#This Row],[COD_2_SAIDA]],TAB_ESTOQUE[[Codigo]:[Descrição Tecnica]],6,FALSE)</f>
        <v>BOTÃO PULSADOR XB5AC51 AMARELO</v>
      </c>
      <c r="C175" s="14">
        <f>IFERROR(VLOOKUP(TAB_SAIDA[[#This Row],[COD_2_SAIDA]],TAB_ESTOQUE[[Codigo]:[Referência Tec]],7,FALSE),"")</f>
        <v>0</v>
      </c>
      <c r="D175" s="14" t="str">
        <f>VLOOKUP(TAB_SAIDA[[#This Row],[COD_2_SAIDA]],TAB_ESTOQUE[[Codigo]:[Endereço2]],12,FALSE)</f>
        <v>A2304</v>
      </c>
      <c r="E175" s="81">
        <f>SUM(TAB_SAIDA[[#This Row],[20/05/2019]:[00/00/00]])</f>
        <v>0</v>
      </c>
      <c r="F175" s="3"/>
    </row>
    <row r="176" spans="1:540" ht="15" hidden="1" customHeight="1" x14ac:dyDescent="0.25">
      <c r="A176" s="5" t="s">
        <v>1833</v>
      </c>
      <c r="B176" s="14" t="str">
        <f>VLOOKUP(TAB_SAIDA[[#This Row],[COD_2_SAIDA]],TAB_ESTOQUE[[Codigo]:[Descrição Tecnica]],6,FALSE)</f>
        <v>MÓDULO DE SEGURANÇA P/ SIST. EMERGÊNCIA XPSAF5121 SCHNEIDER</v>
      </c>
      <c r="C176" s="14">
        <f>IFERROR(VLOOKUP(TAB_SAIDA[[#This Row],[COD_2_SAIDA]],TAB_ESTOQUE[[Codigo]:[Referência Tec]],7,FALSE),"")</f>
        <v>0</v>
      </c>
      <c r="D176" s="14" t="str">
        <f>VLOOKUP(TAB_SAIDA[[#This Row],[COD_2_SAIDA]],TAB_ESTOQUE[[Codigo]:[Endereço2]],12,FALSE)</f>
        <v>A2304</v>
      </c>
      <c r="E176" s="81">
        <f>SUM(TAB_SAIDA[[#This Row],[20/05/2019]:[00/00/00]])</f>
        <v>0</v>
      </c>
      <c r="F176" s="3"/>
    </row>
    <row r="177" spans="1:596" ht="15" hidden="1" customHeight="1" x14ac:dyDescent="0.25">
      <c r="A177" s="5" t="s">
        <v>1834</v>
      </c>
      <c r="B177" s="14" t="str">
        <f>VLOOKUP(TAB_SAIDA[[#This Row],[COD_2_SAIDA]],TAB_ESTOQUE[[Codigo]:[Descrição Tecnica]],6,FALSE)</f>
        <v>TERMOSTATO DE CONTATO IMIT TIPO TC2 LSC1 1750 - COD. 542470, T80 1K/MIN IP40 0-90°C TC2 LSC11750</v>
      </c>
      <c r="C177" s="14">
        <f>IFERROR(VLOOKUP(TAB_SAIDA[[#This Row],[COD_2_SAIDA]],TAB_ESTOQUE[[Codigo]:[Referência Tec]],7,FALSE),"")</f>
        <v>0</v>
      </c>
      <c r="D177" s="14" t="str">
        <f>VLOOKUP(TAB_SAIDA[[#This Row],[COD_2_SAIDA]],TAB_ESTOQUE[[Codigo]:[Endereço2]],12,FALSE)</f>
        <v>A2304</v>
      </c>
      <c r="E177" s="81">
        <f>SUM(TAB_SAIDA[[#This Row],[20/05/2019]:[00/00/00]])</f>
        <v>0</v>
      </c>
      <c r="F177" s="3"/>
    </row>
    <row r="178" spans="1:596" ht="15" hidden="1" customHeight="1" x14ac:dyDescent="0.25">
      <c r="A178" s="5" t="s">
        <v>1835</v>
      </c>
      <c r="B178" s="14" t="str">
        <f>VLOOKUP(TAB_SAIDA[[#This Row],[COD_2_SAIDA]],TAB_ESTOQUE[[Codigo]:[Descrição Tecnica]],6,FALSE)</f>
        <v>MÓDULO DE SEGURANÇA P/ SIST. EMERGÊNCIA XPSAF5130 SCHNEIDER PREVENTA</v>
      </c>
      <c r="C178" s="14">
        <f>IFERROR(VLOOKUP(TAB_SAIDA[[#This Row],[COD_2_SAIDA]],TAB_ESTOQUE[[Codigo]:[Referência Tec]],7,FALSE),"")</f>
        <v>0</v>
      </c>
      <c r="D178" s="14" t="str">
        <f>VLOOKUP(TAB_SAIDA[[#This Row],[COD_2_SAIDA]],TAB_ESTOQUE[[Codigo]:[Endereço2]],12,FALSE)</f>
        <v>A2304</v>
      </c>
      <c r="E178" s="81">
        <f>SUM(TAB_SAIDA[[#This Row],[20/05/2019]:[00/00/00]])</f>
        <v>0</v>
      </c>
      <c r="F178" s="3"/>
    </row>
    <row r="179" spans="1:596" ht="15" hidden="1" customHeight="1" x14ac:dyDescent="0.25">
      <c r="A179" s="5" t="s">
        <v>1836</v>
      </c>
      <c r="B179" s="14" t="str">
        <f>VLOOKUP(TAB_SAIDA[[#This Row],[COD_2_SAIDA]],TAB_ESTOQUE[[Codigo]:[Descrição Tecnica]],6,FALSE)</f>
        <v>DISJUNTOR MONOPOLAR 2A SERIE CURVA C</v>
      </c>
      <c r="C179" s="14">
        <f>IFERROR(VLOOKUP(TAB_SAIDA[[#This Row],[COD_2_SAIDA]],TAB_ESTOQUE[[Codigo]:[Referência Tec]],7,FALSE),"")</f>
        <v>0</v>
      </c>
      <c r="D179" s="14" t="str">
        <f>VLOOKUP(TAB_SAIDA[[#This Row],[COD_2_SAIDA]],TAB_ESTOQUE[[Codigo]:[Endereço2]],12,FALSE)</f>
        <v>A1302</v>
      </c>
      <c r="E179" s="81">
        <f>SUM(TAB_SAIDA[[#This Row],[20/05/2019]:[00/00/00]])</f>
        <v>0</v>
      </c>
      <c r="F179" s="3"/>
    </row>
    <row r="180" spans="1:596" ht="15" hidden="1" customHeight="1" x14ac:dyDescent="0.25">
      <c r="A180" s="5" t="s">
        <v>1837</v>
      </c>
      <c r="B180" s="14" t="str">
        <f>VLOOKUP(TAB_SAIDA[[#This Row],[COD_2_SAIDA]],TAB_ESTOQUE[[Codigo]:[Descrição Tecnica]],6,FALSE)</f>
        <v>CONTROLADOR DE TEMPERATURA 6001 RDR01 supply: 100..240vac/dc 50/60Hz GEFRAN</v>
      </c>
      <c r="C180" s="14">
        <f>IFERROR(VLOOKUP(TAB_SAIDA[[#This Row],[COD_2_SAIDA]],TAB_ESTOQUE[[Codigo]:[Referência Tec]],7,FALSE),"")</f>
        <v>0</v>
      </c>
      <c r="D180" s="14" t="str">
        <f>VLOOKUP(TAB_SAIDA[[#This Row],[COD_2_SAIDA]],TAB_ESTOQUE[[Codigo]:[Endereço2]],12,FALSE)</f>
        <v>A2304</v>
      </c>
      <c r="E180" s="81">
        <f>SUM(TAB_SAIDA[[#This Row],[20/05/2019]:[00/00/00]])</f>
        <v>1</v>
      </c>
      <c r="F180" s="3"/>
      <c r="VE180" s="3">
        <v>1</v>
      </c>
    </row>
    <row r="181" spans="1:596" ht="15" hidden="1" customHeight="1" x14ac:dyDescent="0.25">
      <c r="A181" s="5" t="s">
        <v>1838</v>
      </c>
      <c r="B181" s="14" t="str">
        <f>VLOOKUP(TAB_SAIDA[[#This Row],[COD_2_SAIDA]],TAB_ESTOQUE[[Codigo]:[Descrição Tecnica]],6,FALSE)</f>
        <v>BOTÃO PULSADOR XB5AC21  PRETO</v>
      </c>
      <c r="C181" s="14">
        <f>IFERROR(VLOOKUP(TAB_SAIDA[[#This Row],[COD_2_SAIDA]],TAB_ESTOQUE[[Codigo]:[Referência Tec]],7,FALSE),"")</f>
        <v>0</v>
      </c>
      <c r="D181" s="14" t="str">
        <f>VLOOKUP(TAB_SAIDA[[#This Row],[COD_2_SAIDA]],TAB_ESTOQUE[[Codigo]:[Endereço2]],12,FALSE)</f>
        <v>A2304</v>
      </c>
      <c r="E181" s="81">
        <f>SUM(TAB_SAIDA[[#This Row],[20/05/2019]:[00/00/00]])</f>
        <v>1</v>
      </c>
      <c r="F181" s="3"/>
      <c r="UV181" s="3">
        <v>1</v>
      </c>
    </row>
    <row r="182" spans="1:596" ht="15" hidden="1" customHeight="1" x14ac:dyDescent="0.25">
      <c r="A182" s="5" t="s">
        <v>1839</v>
      </c>
      <c r="B182" s="14" t="str">
        <f>VLOOKUP(TAB_SAIDA[[#This Row],[COD_2_SAIDA]],TAB_ESTOQUE[[Codigo]:[Descrição Tecnica]],6,FALSE)</f>
        <v>COMUTADOR COM CHAVE 2 POSIÇÃO PRETO 22mm - SLCG8D0C</v>
      </c>
      <c r="C182" s="14">
        <f>IFERROR(VLOOKUP(TAB_SAIDA[[#This Row],[COD_2_SAIDA]],TAB_ESTOQUE[[Codigo]:[Referência Tec]],7,FALSE),"")</f>
        <v>0</v>
      </c>
      <c r="D182" s="14" t="str">
        <f>VLOOKUP(TAB_SAIDA[[#This Row],[COD_2_SAIDA]],TAB_ESTOQUE[[Codigo]:[Endereço2]],12,FALSE)</f>
        <v>A2305</v>
      </c>
      <c r="E182" s="81">
        <f>SUM(TAB_SAIDA[[#This Row],[20/05/2019]:[00/00/00]])</f>
        <v>0</v>
      </c>
      <c r="F182" s="3"/>
    </row>
    <row r="183" spans="1:596" ht="15" hidden="1" customHeight="1" x14ac:dyDescent="0.25">
      <c r="A183" s="5" t="s">
        <v>1840</v>
      </c>
      <c r="B183" s="14" t="str">
        <f>VLOOKUP(TAB_SAIDA[[#This Row],[COD_2_SAIDA]],TAB_ESTOQUE[[Codigo]:[Descrição Tecnica]],6,FALSE)</f>
        <v>SAIDA DO PONTO MODULAR TYPE:GRT1-0D8-1</v>
      </c>
      <c r="C183" s="14">
        <f>IFERROR(VLOOKUP(TAB_SAIDA[[#This Row],[COD_2_SAIDA]],TAB_ESTOQUE[[Codigo]:[Referência Tec]],7,FALSE),"")</f>
        <v>0</v>
      </c>
      <c r="D183" s="14" t="str">
        <f>VLOOKUP(TAB_SAIDA[[#This Row],[COD_2_SAIDA]],TAB_ESTOQUE[[Codigo]:[Endereço2]],12,FALSE)</f>
        <v>A2305</v>
      </c>
      <c r="E183" s="81">
        <f>SUM(TAB_SAIDA[[#This Row],[20/05/2019]:[00/00/00]])</f>
        <v>0</v>
      </c>
      <c r="F183" s="3"/>
    </row>
    <row r="184" spans="1:596" ht="15" hidden="1" customHeight="1" x14ac:dyDescent="0.25">
      <c r="A184" s="5" t="s">
        <v>1841</v>
      </c>
      <c r="B184" s="14" t="str">
        <f>VLOOKUP(TAB_SAIDA[[#This Row],[COD_2_SAIDA]],TAB_ESTOQUE[[Codigo]:[Descrição Tecnica]],6,FALSE)</f>
        <v>BOTOEIRA  C/ SINALIZAÇÃO AMARELO BHS - REF. TY-09C, 1NO Ø22MM BA9S VMAX 220V</v>
      </c>
      <c r="C184" s="14">
        <f>IFERROR(VLOOKUP(TAB_SAIDA[[#This Row],[COD_2_SAIDA]],TAB_ESTOQUE[[Codigo]:[Referência Tec]],7,FALSE),"")</f>
        <v>0</v>
      </c>
      <c r="D184" s="14" t="str">
        <f>VLOOKUP(TAB_SAIDA[[#This Row],[COD_2_SAIDA]],TAB_ESTOQUE[[Codigo]:[Endereço2]],12,FALSE)</f>
        <v>A2305</v>
      </c>
      <c r="E184" s="81">
        <f>SUM(TAB_SAIDA[[#This Row],[20/05/2019]:[00/00/00]])</f>
        <v>0</v>
      </c>
      <c r="F184" s="3"/>
    </row>
    <row r="185" spans="1:596" ht="15" hidden="1" customHeight="1" x14ac:dyDescent="0.25">
      <c r="A185" s="5" t="s">
        <v>1842</v>
      </c>
      <c r="B185" s="14" t="str">
        <f>VLOOKUP(TAB_SAIDA[[#This Row],[COD_2_SAIDA]],TAB_ESTOQUE[[Codigo]:[Descrição Tecnica]],6,FALSE)</f>
        <v>MÓDULO DE SEGURANÇA P/ SIST. EMERGÊNCIA SCHNEIDER PREVENTA  XPSAK311144</v>
      </c>
      <c r="C185" s="14">
        <f>IFERROR(VLOOKUP(TAB_SAIDA[[#This Row],[COD_2_SAIDA]],TAB_ESTOQUE[[Codigo]:[Referência Tec]],7,FALSE),"")</f>
        <v>0</v>
      </c>
      <c r="D185" s="14" t="str">
        <f>VLOOKUP(TAB_SAIDA[[#This Row],[COD_2_SAIDA]],TAB_ESTOQUE[[Codigo]:[Endereço2]],12,FALSE)</f>
        <v>A2304</v>
      </c>
      <c r="E185" s="81">
        <f>SUM(TAB_SAIDA[[#This Row],[20/05/2019]:[00/00/00]])</f>
        <v>0</v>
      </c>
      <c r="F185" s="3"/>
    </row>
    <row r="186" spans="1:596" ht="15" hidden="1" customHeight="1" x14ac:dyDescent="0.25">
      <c r="A186" s="5" t="s">
        <v>1843</v>
      </c>
      <c r="B186" s="14" t="str">
        <f>VLOOKUP(TAB_SAIDA[[#This Row],[COD_2_SAIDA]],TAB_ESTOQUE[[Codigo]:[Descrição Tecnica]],6,FALSE)</f>
        <v>BOTOEIRA  C/ SINALIZAÇÃO VERMELHO BHS - REF. TY-11E, 1NC Ø22MM BA9S VMAX 220V</v>
      </c>
      <c r="C186" s="14">
        <f>IFERROR(VLOOKUP(TAB_SAIDA[[#This Row],[COD_2_SAIDA]],TAB_ESTOQUE[[Codigo]:[Referência Tec]],7,FALSE),"")</f>
        <v>0</v>
      </c>
      <c r="D186" s="14" t="str">
        <f>VLOOKUP(TAB_SAIDA[[#This Row],[COD_2_SAIDA]],TAB_ESTOQUE[[Codigo]:[Endereço2]],12,FALSE)</f>
        <v>A2305</v>
      </c>
      <c r="E186" s="81">
        <f>SUM(TAB_SAIDA[[#This Row],[20/05/2019]:[00/00/00]])</f>
        <v>0</v>
      </c>
      <c r="F186" s="3"/>
    </row>
    <row r="187" spans="1:596" ht="15" hidden="1" customHeight="1" x14ac:dyDescent="0.25">
      <c r="A187" s="5" t="s">
        <v>1844</v>
      </c>
      <c r="B187" s="14" t="str">
        <f>VLOOKUP(TAB_SAIDA[[#This Row],[COD_2_SAIDA]],TAB_ESTOQUE[[Codigo]:[Descrição Tecnica]],6,FALSE)</f>
        <v>INVERSOR DA UNIDADE DAS FASES DE ENTRADA SERIE MX2  3G3MX2- A4015-V1 (OMRON)</v>
      </c>
      <c r="C187" s="14">
        <f>IFERROR(VLOOKUP(TAB_SAIDA[[#This Row],[COD_2_SAIDA]],TAB_ESTOQUE[[Codigo]:[Referência Tec]],7,FALSE),"")</f>
        <v>0</v>
      </c>
      <c r="D187" s="14" t="str">
        <f>VLOOKUP(TAB_SAIDA[[#This Row],[COD_2_SAIDA]],TAB_ESTOQUE[[Codigo]:[Endereço2]],12,FALSE)</f>
        <v>B1302</v>
      </c>
      <c r="E187" s="81">
        <f>SUM(TAB_SAIDA[[#This Row],[20/05/2019]:[00/00/00]])</f>
        <v>0</v>
      </c>
      <c r="F187" s="3"/>
    </row>
    <row r="188" spans="1:596" ht="15" hidden="1" customHeight="1" x14ac:dyDescent="0.25">
      <c r="A188" s="5" t="s">
        <v>1845</v>
      </c>
      <c r="B188" s="14" t="str">
        <f>VLOOKUP(TAB_SAIDA[[#This Row],[COD_2_SAIDA]],TAB_ESTOQUE[[Codigo]:[Descrição Tecnica]],6,FALSE)</f>
        <v>BOTÃO DE EMERGÊNCIA - REF. ZB2-BE102C, 2NC (SCHNEIDER)</v>
      </c>
      <c r="C188" s="14">
        <f>IFERROR(VLOOKUP(TAB_SAIDA[[#This Row],[COD_2_SAIDA]],TAB_ESTOQUE[[Codigo]:[Referência Tec]],7,FALSE),"")</f>
        <v>0</v>
      </c>
      <c r="D188" s="14" t="str">
        <f>VLOOKUP(TAB_SAIDA[[#This Row],[COD_2_SAIDA]],TAB_ESTOQUE[[Codigo]:[Endereço2]],12,FALSE)</f>
        <v>A2305</v>
      </c>
      <c r="E188" s="81">
        <f>SUM(TAB_SAIDA[[#This Row],[20/05/2019]:[00/00/00]])</f>
        <v>0</v>
      </c>
      <c r="F188" s="3"/>
    </row>
    <row r="189" spans="1:596" ht="15" hidden="1" customHeight="1" x14ac:dyDescent="0.25">
      <c r="A189" s="5" t="s">
        <v>1846</v>
      </c>
      <c r="B189" s="14" t="str">
        <f>VLOOKUP(TAB_SAIDA[[#This Row],[COD_2_SAIDA]],TAB_ESTOQUE[[Codigo]:[Descrição Tecnica]],6,FALSE)</f>
        <v xml:space="preserve">DISJUNTOR TRIPOLAR GV7-RE100  (SCHNEIDER) </v>
      </c>
      <c r="C189" s="14">
        <f>IFERROR(VLOOKUP(TAB_SAIDA[[#This Row],[COD_2_SAIDA]],TAB_ESTOQUE[[Codigo]:[Referência Tec]],7,FALSE),"")</f>
        <v>0</v>
      </c>
      <c r="D189" s="14" t="str">
        <f>VLOOKUP(TAB_SAIDA[[#This Row],[COD_2_SAIDA]],TAB_ESTOQUE[[Codigo]:[Endereço2]],12,FALSE)</f>
        <v>A2305</v>
      </c>
      <c r="E189" s="81">
        <f>SUM(TAB_SAIDA[[#This Row],[20/05/2019]:[00/00/00]])</f>
        <v>0</v>
      </c>
      <c r="F189" s="3"/>
    </row>
    <row r="190" spans="1:596" ht="15" hidden="1" customHeight="1" x14ac:dyDescent="0.25">
      <c r="A190" s="5" t="s">
        <v>1847</v>
      </c>
      <c r="B190" s="14" t="str">
        <f>VLOOKUP(TAB_SAIDA[[#This Row],[COD_2_SAIDA]],TAB_ESTOQUE[[Codigo]:[Descrição Tecnica]],6,FALSE)</f>
        <v>CABEÇA P/ BOTÃO DE EMERGÊNCIA  REF. 3SB3 000-1HA20 (SIEMENS)</v>
      </c>
      <c r="C190" s="14">
        <f>IFERROR(VLOOKUP(TAB_SAIDA[[#This Row],[COD_2_SAIDA]],TAB_ESTOQUE[[Codigo]:[Referência Tec]],7,FALSE),"")</f>
        <v>0</v>
      </c>
      <c r="D190" s="14" t="str">
        <f>VLOOKUP(TAB_SAIDA[[#This Row],[COD_2_SAIDA]],TAB_ESTOQUE[[Codigo]:[Endereço2]],12,FALSE)</f>
        <v>A2305</v>
      </c>
      <c r="E190" s="81">
        <f>SUM(TAB_SAIDA[[#This Row],[20/05/2019]:[00/00/00]])</f>
        <v>1</v>
      </c>
      <c r="F190" s="3"/>
      <c r="VX190" s="3">
        <v>1</v>
      </c>
    </row>
    <row r="191" spans="1:596" ht="15" hidden="1" customHeight="1" x14ac:dyDescent="0.25">
      <c r="A191" s="5" t="s">
        <v>1848</v>
      </c>
      <c r="B191" s="14" t="str">
        <f>VLOOKUP(TAB_SAIDA[[#This Row],[COD_2_SAIDA]],TAB_ESTOQUE[[Codigo]:[Descrição Tecnica]],6,FALSE)</f>
        <v>CONTACTOR TRIPOLAR 50A SCHNEIDER REF. LC1D50AP7</v>
      </c>
      <c r="C191" s="14">
        <f>IFERROR(VLOOKUP(TAB_SAIDA[[#This Row],[COD_2_SAIDA]],TAB_ESTOQUE[[Codigo]:[Referência Tec]],7,FALSE),"")</f>
        <v>0</v>
      </c>
      <c r="D191" s="14" t="str">
        <f>VLOOKUP(TAB_SAIDA[[#This Row],[COD_2_SAIDA]],TAB_ESTOQUE[[Codigo]:[Endereço2]],12,FALSE)</f>
        <v>A2305</v>
      </c>
      <c r="E191" s="81">
        <f>SUM(TAB_SAIDA[[#This Row],[20/05/2019]:[00/00/00]])</f>
        <v>0</v>
      </c>
      <c r="F191" s="3"/>
    </row>
    <row r="192" spans="1:596" ht="15" hidden="1" customHeight="1" x14ac:dyDescent="0.25">
      <c r="A192" s="5" t="s">
        <v>1849</v>
      </c>
      <c r="B192" s="14" t="str">
        <f>VLOOKUP(TAB_SAIDA[[#This Row],[COD_2_SAIDA]],TAB_ESTOQUE[[Codigo]:[Descrição Tecnica]],6,FALSE)</f>
        <v>BOTOEIRA PULSANTE XA2EA21  PRETO</v>
      </c>
      <c r="C192" s="14">
        <f>IFERROR(VLOOKUP(TAB_SAIDA[[#This Row],[COD_2_SAIDA]],TAB_ESTOQUE[[Codigo]:[Referência Tec]],7,FALSE),"")</f>
        <v>0</v>
      </c>
      <c r="D192" s="14" t="str">
        <f>VLOOKUP(TAB_SAIDA[[#This Row],[COD_2_SAIDA]],TAB_ESTOQUE[[Codigo]:[Endereço2]],12,FALSE)</f>
        <v>A2305</v>
      </c>
      <c r="E192" s="81">
        <f>SUM(TAB_SAIDA[[#This Row],[20/05/2019]:[00/00/00]])</f>
        <v>0</v>
      </c>
      <c r="F192" s="3"/>
    </row>
    <row r="193" spans="1:6" ht="15" hidden="1" customHeight="1" x14ac:dyDescent="0.25">
      <c r="A193" s="5" t="s">
        <v>1850</v>
      </c>
      <c r="B193" s="14" t="str">
        <f>VLOOKUP(TAB_SAIDA[[#This Row],[COD_2_SAIDA]],TAB_ESTOQUE[[Codigo]:[Descrição Tecnica]],6,FALSE)</f>
        <v>CARCAÇA PARA  INCERTO HAM 24 PINOS 1"</v>
      </c>
      <c r="C193" s="14">
        <f>IFERROR(VLOOKUP(TAB_SAIDA[[#This Row],[COD_2_SAIDA]],TAB_ESTOQUE[[Codigo]:[Referência Tec]],7,FALSE),"")</f>
        <v>0</v>
      </c>
      <c r="D193" s="14" t="str">
        <f>VLOOKUP(TAB_SAIDA[[#This Row],[COD_2_SAIDA]],TAB_ESTOQUE[[Codigo]:[Endereço2]],12,FALSE)</f>
        <v>A2306</v>
      </c>
      <c r="E193" s="81">
        <f>SUM(TAB_SAIDA[[#This Row],[20/05/2019]:[00/00/00]])</f>
        <v>0</v>
      </c>
      <c r="F193" s="3"/>
    </row>
    <row r="194" spans="1:6" ht="15" hidden="1" customHeight="1" x14ac:dyDescent="0.25">
      <c r="A194" s="5" t="s">
        <v>1851</v>
      </c>
      <c r="B194" s="14" t="str">
        <f>VLOOKUP(TAB_SAIDA[[#This Row],[COD_2_SAIDA]],TAB_ESTOQUE[[Codigo]:[Descrição Tecnica]],6,FALSE)</f>
        <v>INCERTO HAM  24 PINOS FEMEA</v>
      </c>
      <c r="C194" s="14">
        <f>IFERROR(VLOOKUP(TAB_SAIDA[[#This Row],[COD_2_SAIDA]],TAB_ESTOQUE[[Codigo]:[Referência Tec]],7,FALSE),"")</f>
        <v>0</v>
      </c>
      <c r="D194" s="14" t="str">
        <f>VLOOKUP(TAB_SAIDA[[#This Row],[COD_2_SAIDA]],TAB_ESTOQUE[[Codigo]:[Endereço2]],12,FALSE)</f>
        <v>A2406</v>
      </c>
      <c r="E194" s="81">
        <f>SUM(TAB_SAIDA[[#This Row],[20/05/2019]:[00/00/00]])</f>
        <v>0</v>
      </c>
      <c r="F194" s="3"/>
    </row>
    <row r="195" spans="1:6" ht="15" hidden="1" customHeight="1" x14ac:dyDescent="0.25">
      <c r="A195" s="5" t="s">
        <v>1852</v>
      </c>
      <c r="B195" s="14" t="str">
        <f>VLOOKUP(TAB_SAIDA[[#This Row],[COD_2_SAIDA]],TAB_ESTOQUE[[Codigo]:[Descrição Tecnica]],6,FALSE)</f>
        <v>INCERTO  HAM 24 PINOS MACHO</v>
      </c>
      <c r="C195" s="14">
        <f>IFERROR(VLOOKUP(TAB_SAIDA[[#This Row],[COD_2_SAIDA]],TAB_ESTOQUE[[Codigo]:[Referência Tec]],7,FALSE),"")</f>
        <v>0</v>
      </c>
      <c r="D195" s="14" t="str">
        <f>VLOOKUP(TAB_SAIDA[[#This Row],[COD_2_SAIDA]],TAB_ESTOQUE[[Codigo]:[Endereço2]],12,FALSE)</f>
        <v>A2406</v>
      </c>
      <c r="E195" s="81">
        <f>SUM(TAB_SAIDA[[#This Row],[20/05/2019]:[00/00/00]])</f>
        <v>0</v>
      </c>
      <c r="F195" s="3"/>
    </row>
    <row r="196" spans="1:6" ht="15" hidden="1" customHeight="1" x14ac:dyDescent="0.25">
      <c r="A196" s="5" t="s">
        <v>1853</v>
      </c>
      <c r="B196" s="14" t="str">
        <f>VLOOKUP(TAB_SAIDA[[#This Row],[COD_2_SAIDA]],TAB_ESTOQUE[[Codigo]:[Descrição Tecnica]],6,FALSE)</f>
        <v xml:space="preserve">CABO SEW 13354221.11/5,00 SN 1367146 </v>
      </c>
      <c r="C196" s="14">
        <f>IFERROR(VLOOKUP(TAB_SAIDA[[#This Row],[COD_2_SAIDA]],TAB_ESTOQUE[[Codigo]:[Referência Tec]],7,FALSE),"")</f>
        <v>0</v>
      </c>
      <c r="D196" s="14" t="str">
        <f>VLOOKUP(TAB_SAIDA[[#This Row],[COD_2_SAIDA]],TAB_ESTOQUE[[Codigo]:[Endereço2]],12,FALSE)</f>
        <v>B1405</v>
      </c>
      <c r="E196" s="81">
        <f>SUM(TAB_SAIDA[[#This Row],[20/05/2019]:[00/00/00]])</f>
        <v>0</v>
      </c>
      <c r="F196" s="3"/>
    </row>
    <row r="197" spans="1:6" ht="15" hidden="1" customHeight="1" x14ac:dyDescent="0.25">
      <c r="A197" s="5" t="s">
        <v>1854</v>
      </c>
      <c r="B197" s="14" t="str">
        <f>VLOOKUP(TAB_SAIDA[[#This Row],[COD_2_SAIDA]],TAB_ESTOQUE[[Codigo]:[Descrição Tecnica]],6,FALSE)</f>
        <v xml:space="preserve">CONTROLADOR DE TEMPERATURA code: F000175 TYPE 4T-96-4-01-0 SUPPLY: 11..27Vac/dc 50/60Hz 11VA VERS.: FW 3.24 </v>
      </c>
      <c r="C197" s="14">
        <f>IFERROR(VLOOKUP(TAB_SAIDA[[#This Row],[COD_2_SAIDA]],TAB_ESTOQUE[[Codigo]:[Referência Tec]],7,FALSE),"")</f>
        <v>0</v>
      </c>
      <c r="D197" s="14" t="str">
        <f>VLOOKUP(TAB_SAIDA[[#This Row],[COD_2_SAIDA]],TAB_ESTOQUE[[Codigo]:[Endereço2]],12,FALSE)</f>
        <v>A2402</v>
      </c>
      <c r="E197" s="81">
        <f>SUM(TAB_SAIDA[[#This Row],[20/05/2019]:[00/00/00]])</f>
        <v>0</v>
      </c>
      <c r="F197" s="3"/>
    </row>
    <row r="198" spans="1:6" ht="15" hidden="1" customHeight="1" x14ac:dyDescent="0.25">
      <c r="A198" s="5" t="s">
        <v>1855</v>
      </c>
      <c r="B198" s="14" t="str">
        <f>VLOOKUP(TAB_SAIDA[[#This Row],[COD_2_SAIDA]],TAB_ESTOQUE[[Codigo]:[Descrição Tecnica]],6,FALSE)</f>
        <v>SENSOR DE POSIÇÃO  GEFRAN PY-2-C-075</v>
      </c>
      <c r="C198" s="14">
        <f>IFERROR(VLOOKUP(TAB_SAIDA[[#This Row],[COD_2_SAIDA]],TAB_ESTOQUE[[Codigo]:[Referência Tec]],7,FALSE),"")</f>
        <v>0</v>
      </c>
      <c r="D198" s="14" t="str">
        <f>VLOOKUP(TAB_SAIDA[[#This Row],[COD_2_SAIDA]],TAB_ESTOQUE[[Codigo]:[Endereço2]],12,FALSE)</f>
        <v>A2402</v>
      </c>
      <c r="E198" s="81">
        <f>SUM(TAB_SAIDA[[#This Row],[20/05/2019]:[00/00/00]])</f>
        <v>0</v>
      </c>
      <c r="F198" s="3"/>
    </row>
    <row r="199" spans="1:6" ht="15" hidden="1" customHeight="1" x14ac:dyDescent="0.25">
      <c r="A199" s="5" t="s">
        <v>1856</v>
      </c>
      <c r="B199" s="14" t="str">
        <f>VLOOKUP(TAB_SAIDA[[#This Row],[COD_2_SAIDA]],TAB_ESTOQUE[[Codigo]:[Descrição Tecnica]],6,FALSE)</f>
        <v>CHAVE DE SEGURANÇA SCHMERSAL AZM 161CC-12/12RKA-024</v>
      </c>
      <c r="C199" s="14">
        <f>IFERROR(VLOOKUP(TAB_SAIDA[[#This Row],[COD_2_SAIDA]],TAB_ESTOQUE[[Codigo]:[Referência Tec]],7,FALSE),"")</f>
        <v>0</v>
      </c>
      <c r="D199" s="14" t="str">
        <f>VLOOKUP(TAB_SAIDA[[#This Row],[COD_2_SAIDA]],TAB_ESTOQUE[[Codigo]:[Endereço2]],12,FALSE)</f>
        <v>A2403</v>
      </c>
      <c r="E199" s="81">
        <f>SUM(TAB_SAIDA[[#This Row],[20/05/2019]:[00/00/00]])</f>
        <v>0</v>
      </c>
      <c r="F199" s="3"/>
    </row>
    <row r="200" spans="1:6" ht="15" hidden="1" customHeight="1" x14ac:dyDescent="0.25">
      <c r="A200" s="5" t="s">
        <v>1857</v>
      </c>
      <c r="B200" s="14" t="str">
        <f>VLOOKUP(TAB_SAIDA[[#This Row],[COD_2_SAIDA]],TAB_ESTOQUE[[Codigo]:[Descrição Tecnica]],6,FALSE)</f>
        <v>CHAVE DE SEGURANÇA SCHMERSAL  AZ 16-02ZVK-M16</v>
      </c>
      <c r="C200" s="14">
        <f>IFERROR(VLOOKUP(TAB_SAIDA[[#This Row],[COD_2_SAIDA]],TAB_ESTOQUE[[Codigo]:[Referência Tec]],7,FALSE),"")</f>
        <v>0</v>
      </c>
      <c r="D200" s="14" t="str">
        <f>VLOOKUP(TAB_SAIDA[[#This Row],[COD_2_SAIDA]],TAB_ESTOQUE[[Codigo]:[Endereço2]],12,FALSE)</f>
        <v>A2403</v>
      </c>
      <c r="E200" s="81">
        <f>SUM(TAB_SAIDA[[#This Row],[20/05/2019]:[00/00/00]])</f>
        <v>0</v>
      </c>
      <c r="F200" s="3"/>
    </row>
    <row r="201" spans="1:6" ht="15" hidden="1" customHeight="1" x14ac:dyDescent="0.25">
      <c r="A201" s="5" t="s">
        <v>1858</v>
      </c>
      <c r="B201" s="14" t="str">
        <f>VLOOKUP(TAB_SAIDA[[#This Row],[COD_2_SAIDA]],TAB_ESTOQUE[[Codigo]:[Descrição Tecnica]],6,FALSE)</f>
        <v>ACOPLAMENTO DE FIXAR STECK  N4206 32A-6H/380-440V 3P+ VERMELHO FEMEA</v>
      </c>
      <c r="C201" s="14">
        <f>IFERROR(VLOOKUP(TAB_SAIDA[[#This Row],[COD_2_SAIDA]],TAB_ESTOQUE[[Codigo]:[Referência Tec]],7,FALSE),"")</f>
        <v>0</v>
      </c>
      <c r="D201" s="14" t="str">
        <f>VLOOKUP(TAB_SAIDA[[#This Row],[COD_2_SAIDA]],TAB_ESTOQUE[[Codigo]:[Endereço2]],12,FALSE)</f>
        <v>A2404</v>
      </c>
      <c r="E201" s="81">
        <f>SUM(TAB_SAIDA[[#This Row],[20/05/2019]:[00/00/00]])</f>
        <v>0</v>
      </c>
      <c r="F201" s="3"/>
    </row>
    <row r="202" spans="1:6" ht="15" hidden="1" customHeight="1" x14ac:dyDescent="0.25">
      <c r="A202" s="5" t="s">
        <v>1859</v>
      </c>
      <c r="B202" s="14" t="str">
        <f>VLOOKUP(TAB_SAIDA[[#This Row],[COD_2_SAIDA]],TAB_ESTOQUE[[Codigo]:[Descrição Tecnica]],6,FALSE)</f>
        <v>DISJUNTOR MOTOR WEG MPW40-3-D063 1,6 - 2,5A</v>
      </c>
      <c r="C202" s="14">
        <f>IFERROR(VLOOKUP(TAB_SAIDA[[#This Row],[COD_2_SAIDA]],TAB_ESTOQUE[[Codigo]:[Referência Tec]],7,FALSE),"")</f>
        <v>0</v>
      </c>
      <c r="D202" s="14" t="str">
        <f>VLOOKUP(TAB_SAIDA[[#This Row],[COD_2_SAIDA]],TAB_ESTOQUE[[Codigo]:[Endereço2]],12,FALSE)</f>
        <v>A2403</v>
      </c>
      <c r="E202" s="81">
        <f>SUM(TAB_SAIDA[[#This Row],[20/05/2019]:[00/00/00]])</f>
        <v>0</v>
      </c>
      <c r="F202" s="3"/>
    </row>
    <row r="203" spans="1:6" ht="15" hidden="1" customHeight="1" x14ac:dyDescent="0.25">
      <c r="A203" s="5" t="s">
        <v>1860</v>
      </c>
      <c r="B203" s="14" t="str">
        <f>VLOOKUP(TAB_SAIDA[[#This Row],[COD_2_SAIDA]],TAB_ESTOQUE[[Codigo]:[Descrição Tecnica]],6,FALSE)</f>
        <v>DISJUNTOR MOTOR WEG MPW40-3-U004 2.5-4A</v>
      </c>
      <c r="C203" s="14">
        <f>IFERROR(VLOOKUP(TAB_SAIDA[[#This Row],[COD_2_SAIDA]],TAB_ESTOQUE[[Codigo]:[Referência Tec]],7,FALSE),"")</f>
        <v>0</v>
      </c>
      <c r="D203" s="14" t="str">
        <f>VLOOKUP(TAB_SAIDA[[#This Row],[COD_2_SAIDA]],TAB_ESTOQUE[[Codigo]:[Endereço2]],12,FALSE)</f>
        <v>A2403</v>
      </c>
      <c r="E203" s="81">
        <f>SUM(TAB_SAIDA[[#This Row],[20/05/2019]:[00/00/00]])</f>
        <v>0</v>
      </c>
      <c r="F203" s="3"/>
    </row>
    <row r="204" spans="1:6" ht="15" hidden="1" customHeight="1" x14ac:dyDescent="0.25">
      <c r="A204" s="5" t="s">
        <v>1861</v>
      </c>
      <c r="B204" s="14" t="str">
        <f>VLOOKUP(TAB_SAIDA[[#This Row],[COD_2_SAIDA]],TAB_ESTOQUE[[Codigo]:[Descrição Tecnica]],6,FALSE)</f>
        <v xml:space="preserve">DISJUNTOR MOTOR WEG MPW40-3-D063 4-6,3A </v>
      </c>
      <c r="C204" s="14">
        <f>IFERROR(VLOOKUP(TAB_SAIDA[[#This Row],[COD_2_SAIDA]],TAB_ESTOQUE[[Codigo]:[Referência Tec]],7,FALSE),"")</f>
        <v>0</v>
      </c>
      <c r="D204" s="14" t="str">
        <f>VLOOKUP(TAB_SAIDA[[#This Row],[COD_2_SAIDA]],TAB_ESTOQUE[[Codigo]:[Endereço2]],12,FALSE)</f>
        <v>G1102</v>
      </c>
      <c r="E204" s="81">
        <f>SUM(TAB_SAIDA[[#This Row],[20/05/2019]:[00/00/00]])</f>
        <v>0</v>
      </c>
      <c r="F204" s="3"/>
    </row>
    <row r="205" spans="1:6" ht="15" hidden="1" customHeight="1" x14ac:dyDescent="0.25">
      <c r="A205" s="5" t="s">
        <v>1862</v>
      </c>
      <c r="B205" s="14" t="str">
        <f>VLOOKUP(TAB_SAIDA[[#This Row],[COD_2_SAIDA]],TAB_ESTOQUE[[Codigo]:[Descrição Tecnica]],6,FALSE)</f>
        <v>DISJUNTOR MOTOR WEG MPW40-3-D063 10 - 16A</v>
      </c>
      <c r="C205" s="14">
        <f>IFERROR(VLOOKUP(TAB_SAIDA[[#This Row],[COD_2_SAIDA]],TAB_ESTOQUE[[Codigo]:[Referência Tec]],7,FALSE),"")</f>
        <v>0</v>
      </c>
      <c r="D205" s="14" t="str">
        <f>VLOOKUP(TAB_SAIDA[[#This Row],[COD_2_SAIDA]],TAB_ESTOQUE[[Codigo]:[Endereço2]],12,FALSE)</f>
        <v>A2403</v>
      </c>
      <c r="E205" s="81">
        <f>SUM(TAB_SAIDA[[#This Row],[20/05/2019]:[00/00/00]])</f>
        <v>0</v>
      </c>
      <c r="F205" s="3"/>
    </row>
    <row r="206" spans="1:6" ht="15" hidden="1" customHeight="1" x14ac:dyDescent="0.25">
      <c r="A206" s="5" t="s">
        <v>1863</v>
      </c>
      <c r="B206" s="14" t="str">
        <f>VLOOKUP(TAB_SAIDA[[#This Row],[COD_2_SAIDA]],TAB_ESTOQUE[[Codigo]:[Descrição Tecnica]],6,FALSE)</f>
        <v>DISJUNTOR MOTOR WEG MPW40-3-D063 20-25A</v>
      </c>
      <c r="C206" s="14">
        <f>IFERROR(VLOOKUP(TAB_SAIDA[[#This Row],[COD_2_SAIDA]],TAB_ESTOQUE[[Codigo]:[Referência Tec]],7,FALSE),"")</f>
        <v>0</v>
      </c>
      <c r="D206" s="14" t="str">
        <f>VLOOKUP(TAB_SAIDA[[#This Row],[COD_2_SAIDA]],TAB_ESTOQUE[[Codigo]:[Endereço2]],12,FALSE)</f>
        <v>A2403</v>
      </c>
      <c r="E206" s="81">
        <f>SUM(TAB_SAIDA[[#This Row],[20/05/2019]:[00/00/00]])</f>
        <v>0</v>
      </c>
      <c r="F206" s="3"/>
    </row>
    <row r="207" spans="1:6" ht="15" hidden="1" customHeight="1" x14ac:dyDescent="0.25">
      <c r="A207" s="5" t="s">
        <v>1864</v>
      </c>
      <c r="B207" s="14" t="str">
        <f>VLOOKUP(TAB_SAIDA[[#This Row],[COD_2_SAIDA]],TAB_ESTOQUE[[Codigo]:[Descrição Tecnica]],6,FALSE)</f>
        <v>ACOPLAMENTO STECK TLP16442 16A-9H 200-250V 3P+ VERMELHO MACHO</v>
      </c>
      <c r="C207" s="14">
        <f>IFERROR(VLOOKUP(TAB_SAIDA[[#This Row],[COD_2_SAIDA]],TAB_ESTOQUE[[Codigo]:[Referência Tec]],7,FALSE),"")</f>
        <v>0</v>
      </c>
      <c r="D207" s="14" t="str">
        <f>VLOOKUP(TAB_SAIDA[[#This Row],[COD_2_SAIDA]],TAB_ESTOQUE[[Codigo]:[Endereço2]],12,FALSE)</f>
        <v>A2404</v>
      </c>
      <c r="E207" s="81">
        <f>SUM(TAB_SAIDA[[#This Row],[20/05/2019]:[00/00/00]])</f>
        <v>0</v>
      </c>
      <c r="F207" s="3"/>
    </row>
    <row r="208" spans="1:6" ht="15" hidden="1" customHeight="1" x14ac:dyDescent="0.25">
      <c r="A208" s="5" t="s">
        <v>1865</v>
      </c>
      <c r="B208" s="14" t="str">
        <f>VLOOKUP(TAB_SAIDA[[#This Row],[COD_2_SAIDA]],TAB_ESTOQUE[[Codigo]:[Descrição Tecnica]],6,FALSE)</f>
        <v>ACOPLAMENTO LUKMA 3P+T 16A 380/440V 6H VM N4076 VERMELHO MACHO</v>
      </c>
      <c r="C208" s="14">
        <f>IFERROR(VLOOKUP(TAB_SAIDA[[#This Row],[COD_2_SAIDA]],TAB_ESTOQUE[[Codigo]:[Referência Tec]],7,FALSE),"")</f>
        <v>0</v>
      </c>
      <c r="D208" s="14" t="str">
        <f>VLOOKUP(TAB_SAIDA[[#This Row],[COD_2_SAIDA]],TAB_ESTOQUE[[Codigo]:[Endereço2]],12,FALSE)</f>
        <v>A2404</v>
      </c>
      <c r="E208" s="81">
        <f>SUM(TAB_SAIDA[[#This Row],[20/05/2019]:[00/00/00]])</f>
        <v>0</v>
      </c>
      <c r="F208" s="3"/>
    </row>
    <row r="209" spans="1:600" ht="15" hidden="1" customHeight="1" x14ac:dyDescent="0.25">
      <c r="A209" s="5" t="s">
        <v>1866</v>
      </c>
      <c r="B209" s="14" t="str">
        <f>VLOOKUP(TAB_SAIDA[[#This Row],[COD_2_SAIDA]],TAB_ESTOQUE[[Codigo]:[Descrição Tecnica]],6,FALSE)</f>
        <v>INTERRUPTOR HORARIO CCT15720 IHP</v>
      </c>
      <c r="C209" s="14">
        <f>IFERROR(VLOOKUP(TAB_SAIDA[[#This Row],[COD_2_SAIDA]],TAB_ESTOQUE[[Codigo]:[Referência Tec]],7,FALSE),"")</f>
        <v>0</v>
      </c>
      <c r="D209" s="14" t="str">
        <f>VLOOKUP(TAB_SAIDA[[#This Row],[COD_2_SAIDA]],TAB_ESTOQUE[[Codigo]:[Endereço2]],12,FALSE)</f>
        <v>A2405</v>
      </c>
      <c r="E209" s="81">
        <f>SUM(TAB_SAIDA[[#This Row],[20/05/2019]:[00/00/00]])</f>
        <v>0</v>
      </c>
      <c r="F209" s="3"/>
    </row>
    <row r="210" spans="1:600" ht="15" hidden="1" customHeight="1" x14ac:dyDescent="0.25">
      <c r="A210" s="5" t="s">
        <v>1867</v>
      </c>
      <c r="B210" s="14" t="str">
        <f>VLOOKUP(TAB_SAIDA[[#This Row],[COD_2_SAIDA]],TAB_ESTOQUE[[Codigo]:[Descrição Tecnica]],6,FALSE)</f>
        <v>SENSOR FIM DE CURSO 3SE5232-0HK80</v>
      </c>
      <c r="C210" s="14">
        <f>IFERROR(VLOOKUP(TAB_SAIDA[[#This Row],[COD_2_SAIDA]],TAB_ESTOQUE[[Codigo]:[Referência Tec]],7,FALSE),"")</f>
        <v>0</v>
      </c>
      <c r="D210" s="14" t="str">
        <f>VLOOKUP(TAB_SAIDA[[#This Row],[COD_2_SAIDA]],TAB_ESTOQUE[[Codigo]:[Endereço2]],12,FALSE)</f>
        <v>A2405</v>
      </c>
      <c r="E210" s="81">
        <f>SUM(TAB_SAIDA[[#This Row],[20/05/2019]:[00/00/00]])</f>
        <v>1</v>
      </c>
      <c r="F210" s="3"/>
      <c r="WB210" s="3">
        <v>1</v>
      </c>
    </row>
    <row r="211" spans="1:600" ht="15" hidden="1" customHeight="1" x14ac:dyDescent="0.25">
      <c r="A211" s="5" t="s">
        <v>1868</v>
      </c>
      <c r="B211" s="14" t="str">
        <f>VLOOKUP(TAB_SAIDA[[#This Row],[COD_2_SAIDA]],TAB_ESTOQUE[[Codigo]:[Descrição Tecnica]],6,FALSE)</f>
        <v>CAPA ROBO DEVILBISS COM 522 TRANS-TECH</v>
      </c>
      <c r="C211" s="14">
        <f>IFERROR(VLOOKUP(TAB_SAIDA[[#This Row],[COD_2_SAIDA]],TAB_ESTOQUE[[Codigo]:[Referência Tec]],7,FALSE),"")</f>
        <v>0</v>
      </c>
      <c r="D211" s="14" t="str">
        <f>VLOOKUP(TAB_SAIDA[[#This Row],[COD_2_SAIDA]],TAB_ESTOQUE[[Codigo]:[Endereço2]],12,FALSE)</f>
        <v>E2303</v>
      </c>
      <c r="E211" s="81">
        <f>SUM(TAB_SAIDA[[#This Row],[20/05/2019]:[00/00/00]])</f>
        <v>0</v>
      </c>
      <c r="F211" s="3"/>
    </row>
    <row r="212" spans="1:600" ht="15" hidden="1" customHeight="1" x14ac:dyDescent="0.25">
      <c r="A212" s="5" t="s">
        <v>1869</v>
      </c>
      <c r="B212" s="14" t="str">
        <f>VLOOKUP(TAB_SAIDA[[#This Row],[COD_2_SAIDA]],TAB_ESTOQUE[[Codigo]:[Descrição Tecnica]],6,FALSE)</f>
        <v>ABRAÇADEIRA MS 212</v>
      </c>
      <c r="C212" s="14">
        <f>IFERROR(VLOOKUP(TAB_SAIDA[[#This Row],[COD_2_SAIDA]],TAB_ESTOQUE[[Codigo]:[Referência Tec]],7,FALSE),"")</f>
        <v>0</v>
      </c>
      <c r="D212" s="14" t="str">
        <f>VLOOKUP(TAB_SAIDA[[#This Row],[COD_2_SAIDA]],TAB_ESTOQUE[[Codigo]:[Endereço2]],12,FALSE)</f>
        <v>F1403</v>
      </c>
      <c r="E212" s="81">
        <f>SUM(TAB_SAIDA[[#This Row],[20/05/2019]:[00/00/00]])</f>
        <v>0</v>
      </c>
      <c r="F212" s="3"/>
    </row>
    <row r="213" spans="1:600" s="197" customFormat="1" ht="15" hidden="1" customHeight="1" x14ac:dyDescent="0.25">
      <c r="A213" s="194" t="s">
        <v>1870</v>
      </c>
      <c r="B213" s="195" t="str">
        <f>VLOOKUP(TAB_SAIDA[[#This Row],[COD_2_SAIDA]],TAB_ESTOQUE[[Codigo]:[Descrição Tecnica]],6,FALSE)</f>
        <v>PRENSA TERMINAL DE AÇO  20MM</v>
      </c>
      <c r="C213" s="195">
        <f>IFERROR(VLOOKUP(TAB_SAIDA[[#This Row],[COD_2_SAIDA]],TAB_ESTOQUE[[Codigo]:[Referência Tec]],7,FALSE),"")</f>
        <v>0</v>
      </c>
      <c r="D213" s="195" t="str">
        <f>VLOOKUP(TAB_SAIDA[[#This Row],[COD_2_SAIDA]],TAB_ESTOQUE[[Codigo]:[Endereço2]],12,FALSE)</f>
        <v>A1202</v>
      </c>
      <c r="E213" s="196">
        <f>SUM(TAB_SAIDA[[#This Row],[20/05/2019]:[00/00/00]])</f>
        <v>0</v>
      </c>
      <c r="BH213" s="198"/>
    </row>
    <row r="214" spans="1:600" ht="15" hidden="1" customHeight="1" x14ac:dyDescent="0.25">
      <c r="A214" s="5" t="s">
        <v>1871</v>
      </c>
      <c r="B214" s="14" t="str">
        <f>VLOOKUP(TAB_SAIDA[[#This Row],[COD_2_SAIDA]],TAB_ESTOQUE[[Codigo]:[Descrição Tecnica]],6,FALSE)</f>
        <v>TERMINAL LUVA PARA CABO 50MM</v>
      </c>
      <c r="C214" s="14">
        <f>IFERROR(VLOOKUP(TAB_SAIDA[[#This Row],[COD_2_SAIDA]],TAB_ESTOQUE[[Codigo]:[Referência Tec]],7,FALSE),"")</f>
        <v>0</v>
      </c>
      <c r="D214" s="14" t="str">
        <f>VLOOKUP(TAB_SAIDA[[#This Row],[COD_2_SAIDA]],TAB_ESTOQUE[[Codigo]:[Endereço2]],12,FALSE)</f>
        <v>A1202</v>
      </c>
      <c r="E214" s="81">
        <f>SUM(TAB_SAIDA[[#This Row],[20/05/2019]:[00/00/00]])</f>
        <v>0</v>
      </c>
      <c r="F214" s="3"/>
    </row>
    <row r="215" spans="1:600" ht="15" hidden="1" customHeight="1" x14ac:dyDescent="0.25">
      <c r="A215" s="5" t="s">
        <v>1872</v>
      </c>
      <c r="B215" s="14" t="str">
        <f>VLOOKUP(TAB_SAIDA[[#This Row],[COD_2_SAIDA]],TAB_ESTOQUE[[Codigo]:[Descrição Tecnica]],6,FALSE)</f>
        <v>PRENSA TERMINAL DE AÇO  10MM</v>
      </c>
      <c r="C215" s="14">
        <f>IFERROR(VLOOKUP(TAB_SAIDA[[#This Row],[COD_2_SAIDA]],TAB_ESTOQUE[[Codigo]:[Referência Tec]],7,FALSE),"")</f>
        <v>0</v>
      </c>
      <c r="D215" s="14" t="str">
        <f>VLOOKUP(TAB_SAIDA[[#This Row],[COD_2_SAIDA]],TAB_ESTOQUE[[Codigo]:[Endereço2]],12,FALSE)</f>
        <v>A1202</v>
      </c>
      <c r="E215" s="81">
        <f>SUM(TAB_SAIDA[[#This Row],[20/05/2019]:[00/00/00]])</f>
        <v>10</v>
      </c>
      <c r="F215" s="3"/>
      <c r="UZ215" s="3">
        <v>10</v>
      </c>
    </row>
    <row r="216" spans="1:600" ht="15" hidden="1" customHeight="1" x14ac:dyDescent="0.25">
      <c r="A216" s="5" t="s">
        <v>1873</v>
      </c>
      <c r="B216" s="14" t="str">
        <f>VLOOKUP(TAB_SAIDA[[#This Row],[COD_2_SAIDA]],TAB_ESTOQUE[[Codigo]:[Descrição Tecnica]],6,FALSE)</f>
        <v>PRENSA TERMINAL DE AÇO  95MM</v>
      </c>
      <c r="C216" s="14">
        <f>IFERROR(VLOOKUP(TAB_SAIDA[[#This Row],[COD_2_SAIDA]],TAB_ESTOQUE[[Codigo]:[Referência Tec]],7,FALSE),"")</f>
        <v>0</v>
      </c>
      <c r="D216" s="14" t="str">
        <f>VLOOKUP(TAB_SAIDA[[#This Row],[COD_2_SAIDA]],TAB_ESTOQUE[[Codigo]:[Endereço2]],12,FALSE)</f>
        <v>A1202</v>
      </c>
      <c r="E216" s="81">
        <f>SUM(TAB_SAIDA[[#This Row],[20/05/2019]:[00/00/00]])</f>
        <v>0</v>
      </c>
      <c r="F216" s="3"/>
    </row>
    <row r="217" spans="1:600" ht="15" hidden="1" customHeight="1" x14ac:dyDescent="0.25">
      <c r="A217" s="5" t="s">
        <v>1874</v>
      </c>
      <c r="B217" s="14" t="str">
        <f>VLOOKUP(TAB_SAIDA[[#This Row],[COD_2_SAIDA]],TAB_ESTOQUE[[Codigo]:[Descrição Tecnica]],6,FALSE)</f>
        <v>PRENSA TERMINAL DE AÇO  70MM</v>
      </c>
      <c r="C217" s="14">
        <f>IFERROR(VLOOKUP(TAB_SAIDA[[#This Row],[COD_2_SAIDA]],TAB_ESTOQUE[[Codigo]:[Referência Tec]],7,FALSE),"")</f>
        <v>0</v>
      </c>
      <c r="D217" s="14" t="str">
        <f>VLOOKUP(TAB_SAIDA[[#This Row],[COD_2_SAIDA]],TAB_ESTOQUE[[Codigo]:[Endereço2]],12,FALSE)</f>
        <v>A1202</v>
      </c>
      <c r="E217" s="81">
        <f>SUM(TAB_SAIDA[[#This Row],[20/05/2019]:[00/00/00]])</f>
        <v>0</v>
      </c>
      <c r="F217" s="3"/>
    </row>
    <row r="218" spans="1:600" ht="15" hidden="1" customHeight="1" x14ac:dyDescent="0.25">
      <c r="A218" s="5" t="s">
        <v>1875</v>
      </c>
      <c r="B218" s="14" t="str">
        <f>VLOOKUP(TAB_SAIDA[[#This Row],[COD_2_SAIDA]],TAB_ESTOQUE[[Codigo]:[Descrição Tecnica]],6,FALSE)</f>
        <v>INVERSOR DE FREQUÊNCIA EM DRIVE FIT4P34-0150-5BFLS</v>
      </c>
      <c r="C218" s="14">
        <f>IFERROR(VLOOKUP(TAB_SAIDA[[#This Row],[COD_2_SAIDA]],TAB_ESTOQUE[[Codigo]:[Referência Tec]],7,FALSE),"")</f>
        <v>0</v>
      </c>
      <c r="D218" s="14" t="str">
        <f>VLOOKUP(TAB_SAIDA[[#This Row],[COD_2_SAIDA]],TAB_ESTOQUE[[Codigo]:[Endereço2]],12,FALSE)</f>
        <v>B1301</v>
      </c>
      <c r="E218" s="81">
        <f>SUM(TAB_SAIDA[[#This Row],[20/05/2019]:[00/00/00]])</f>
        <v>0</v>
      </c>
      <c r="F218" s="3"/>
    </row>
    <row r="219" spans="1:600" ht="15" hidden="1" customHeight="1" x14ac:dyDescent="0.25">
      <c r="A219" s="5" t="s">
        <v>1876</v>
      </c>
      <c r="B219" s="14" t="str">
        <f>VLOOKUP(TAB_SAIDA[[#This Row],[COD_2_SAIDA]],TAB_ESTOQUE[[Codigo]:[Descrição Tecnica]],6,FALSE)</f>
        <v>MODULO AMPLIFICADOR VT-MSPA 1-1-12/V010 (MNR:R900 70 2060) (REXROTH)</v>
      </c>
      <c r="C219" s="14">
        <f>IFERROR(VLOOKUP(TAB_SAIDA[[#This Row],[COD_2_SAIDA]],TAB_ESTOQUE[[Codigo]:[Referência Tec]],7,FALSE),"")</f>
        <v>0</v>
      </c>
      <c r="D219" s="14" t="str">
        <f>VLOOKUP(TAB_SAIDA[[#This Row],[COD_2_SAIDA]],TAB_ESTOQUE[[Codigo]:[Endereço2]],12,FALSE)</f>
        <v>B1202</v>
      </c>
      <c r="E219" s="81">
        <f>SUM(TAB_SAIDA[[#This Row],[20/05/2019]:[00/00/00]])</f>
        <v>0</v>
      </c>
      <c r="F219" s="3"/>
    </row>
    <row r="220" spans="1:600" ht="15" hidden="1" customHeight="1" x14ac:dyDescent="0.25">
      <c r="A220" s="5" t="s">
        <v>1877</v>
      </c>
      <c r="B220" s="14" t="str">
        <f>VLOOKUP(TAB_SAIDA[[#This Row],[COD_2_SAIDA]],TAB_ESTOQUE[[Codigo]:[Descrição Tecnica]],6,FALSE)</f>
        <v>MÓDULO AMPLIFICADOR VT- 11118-10 (MNR:R900211788)  (REXROTH)</v>
      </c>
      <c r="C220" s="14">
        <f>IFERROR(VLOOKUP(TAB_SAIDA[[#This Row],[COD_2_SAIDA]],TAB_ESTOQUE[[Codigo]:[Referência Tec]],7,FALSE),"")</f>
        <v>0</v>
      </c>
      <c r="D220" s="14" t="str">
        <f>VLOOKUP(TAB_SAIDA[[#This Row],[COD_2_SAIDA]],TAB_ESTOQUE[[Codigo]:[Endereço2]],12,FALSE)</f>
        <v>B1202</v>
      </c>
      <c r="E220" s="81">
        <f>SUM(TAB_SAIDA[[#This Row],[20/05/2019]:[00/00/00]])</f>
        <v>0</v>
      </c>
      <c r="F220" s="3"/>
    </row>
    <row r="221" spans="1:600" ht="15" hidden="1" customHeight="1" x14ac:dyDescent="0.25">
      <c r="A221" s="5" t="s">
        <v>1878</v>
      </c>
      <c r="B221" s="14" t="str">
        <f>VLOOKUP(TAB_SAIDA[[#This Row],[COD_2_SAIDA]],TAB_ESTOQUE[[Codigo]:[Descrição Tecnica]],6,FALSE)</f>
        <v>DISJUNTOR MODULAR TRIPOLAR NG 4P-125A-300mA-A NG125 19042</v>
      </c>
      <c r="C221" s="14">
        <f>IFERROR(VLOOKUP(TAB_SAIDA[[#This Row],[COD_2_SAIDA]],TAB_ESTOQUE[[Codigo]:[Referência Tec]],7,FALSE),"")</f>
        <v>0</v>
      </c>
      <c r="D221" s="14" t="str">
        <f>VLOOKUP(TAB_SAIDA[[#This Row],[COD_2_SAIDA]],TAB_ESTOQUE[[Codigo]:[Endereço2]],12,FALSE)</f>
        <v>B1202</v>
      </c>
      <c r="E221" s="81">
        <f>SUM(TAB_SAIDA[[#This Row],[20/05/2019]:[00/00/00]])</f>
        <v>0</v>
      </c>
      <c r="F221" s="3"/>
    </row>
    <row r="222" spans="1:600" ht="15" hidden="1" customHeight="1" x14ac:dyDescent="0.25">
      <c r="A222" s="5" t="s">
        <v>1879</v>
      </c>
      <c r="B222" s="14" t="str">
        <f>VLOOKUP(TAB_SAIDA[[#This Row],[COD_2_SAIDA]],TAB_ESTOQUE[[Codigo]:[Descrição Tecnica]],6,FALSE)</f>
        <v>RELE DE SEGURANÇA EU 410-UM 3TS IDENTE: 6026136 (SICK)</v>
      </c>
      <c r="C222" s="14">
        <f>IFERROR(VLOOKUP(TAB_SAIDA[[#This Row],[COD_2_SAIDA]],TAB_ESTOQUE[[Codigo]:[Referência Tec]],7,FALSE),"")</f>
        <v>0</v>
      </c>
      <c r="D222" s="14" t="str">
        <f>VLOOKUP(TAB_SAIDA[[#This Row],[COD_2_SAIDA]],TAB_ESTOQUE[[Codigo]:[Endereço2]],12,FALSE)</f>
        <v>B1205</v>
      </c>
      <c r="E222" s="81">
        <f>SUM(TAB_SAIDA[[#This Row],[20/05/2019]:[00/00/00]])</f>
        <v>0</v>
      </c>
      <c r="F222" s="3"/>
    </row>
    <row r="223" spans="1:600" ht="15" hidden="1" customHeight="1" x14ac:dyDescent="0.25">
      <c r="A223" s="5" t="s">
        <v>1880</v>
      </c>
      <c r="B223" s="14" t="str">
        <f>VLOOKUP(TAB_SAIDA[[#This Row],[COD_2_SAIDA]],TAB_ESTOQUE[[Codigo]:[Descrição Tecnica]],6,FALSE)</f>
        <v>PLC SIEMENS  S7-1500 6ES7 511-1AK01-0AB0</v>
      </c>
      <c r="C223" s="14">
        <f>IFERROR(VLOOKUP(TAB_SAIDA[[#This Row],[COD_2_SAIDA]],TAB_ESTOQUE[[Codigo]:[Referência Tec]],7,FALSE),"")</f>
        <v>0</v>
      </c>
      <c r="D223" s="14" t="str">
        <f>VLOOKUP(TAB_SAIDA[[#This Row],[COD_2_SAIDA]],TAB_ESTOQUE[[Codigo]:[Endereço2]],12,FALSE)</f>
        <v>B1202</v>
      </c>
      <c r="E223" s="81">
        <f>SUM(TAB_SAIDA[[#This Row],[20/05/2019]:[00/00/00]])</f>
        <v>0</v>
      </c>
      <c r="F223" s="3"/>
    </row>
    <row r="224" spans="1:600" ht="15" hidden="1" customHeight="1" x14ac:dyDescent="0.25">
      <c r="A224" s="5" t="s">
        <v>1881</v>
      </c>
      <c r="B224" s="14" t="str">
        <f>VLOOKUP(TAB_SAIDA[[#This Row],[COD_2_SAIDA]],TAB_ESTOQUE[[Codigo]:[Descrição Tecnica]],6,FALSE)</f>
        <v>TRANSMISSOR DE PASSAGEM 138802230012 (GM 8802C( A - 220223+4-20mA)</v>
      </c>
      <c r="C224" s="14">
        <f>IFERROR(VLOOKUP(TAB_SAIDA[[#This Row],[COD_2_SAIDA]],TAB_ESTOQUE[[Codigo]:[Referência Tec]],7,FALSE),"")</f>
        <v>0</v>
      </c>
      <c r="D224" s="14" t="str">
        <f>VLOOKUP(TAB_SAIDA[[#This Row],[COD_2_SAIDA]],TAB_ESTOQUE[[Codigo]:[Endereço2]],12,FALSE)</f>
        <v>B1202</v>
      </c>
      <c r="E224" s="81">
        <f>SUM(TAB_SAIDA[[#This Row],[20/05/2019]:[00/00/00]])</f>
        <v>0</v>
      </c>
      <c r="F224" s="3"/>
    </row>
    <row r="225" spans="1:6" ht="15" hidden="1" customHeight="1" x14ac:dyDescent="0.25">
      <c r="A225" s="5" t="s">
        <v>1882</v>
      </c>
      <c r="B225" s="14" t="str">
        <f>VLOOKUP(TAB_SAIDA[[#This Row],[COD_2_SAIDA]],TAB_ESTOQUE[[Codigo]:[Descrição Tecnica]],6,FALSE)</f>
        <v>MÓDULO DE ENTRADA DIGITAL PROFISAFE 4/8F-DI DC24 SIEMENS SIMATIC ET200S 6ES7 138-4FA05-0AB0</v>
      </c>
      <c r="C225" s="14">
        <f>IFERROR(VLOOKUP(TAB_SAIDA[[#This Row],[COD_2_SAIDA]],TAB_ESTOQUE[[Codigo]:[Referência Tec]],7,FALSE),"")</f>
        <v>0</v>
      </c>
      <c r="D225" s="14" t="str">
        <f>VLOOKUP(TAB_SAIDA[[#This Row],[COD_2_SAIDA]],TAB_ESTOQUE[[Codigo]:[Endereço2]],12,FALSE)</f>
        <v>B1203</v>
      </c>
      <c r="E225" s="81">
        <f>SUM(TAB_SAIDA[[#This Row],[20/05/2019]:[00/00/00]])</f>
        <v>0</v>
      </c>
      <c r="F225" s="3"/>
    </row>
    <row r="226" spans="1:6" ht="15" hidden="1" customHeight="1" x14ac:dyDescent="0.25">
      <c r="A226" s="5" t="s">
        <v>1883</v>
      </c>
      <c r="B226" s="14" t="str">
        <f>VLOOKUP(TAB_SAIDA[[#This Row],[COD_2_SAIDA]],TAB_ESTOQUE[[Codigo]:[Descrição Tecnica]],6,FALSE)</f>
        <v>MÓDULO DE SAÍDA DIGITAL PROFISAFE 4F-DO DC24V/2A SIEMENS SIMATIC ET-200 6ES7 138-4FB04-0AB0</v>
      </c>
      <c r="C226" s="14">
        <f>IFERROR(VLOOKUP(TAB_SAIDA[[#This Row],[COD_2_SAIDA]],TAB_ESTOQUE[[Codigo]:[Referência Tec]],7,FALSE),"")</f>
        <v>0</v>
      </c>
      <c r="D226" s="14" t="str">
        <f>VLOOKUP(TAB_SAIDA[[#This Row],[COD_2_SAIDA]],TAB_ESTOQUE[[Codigo]:[Endereço2]],12,FALSE)</f>
        <v>B1203</v>
      </c>
      <c r="E226" s="81">
        <f>SUM(TAB_SAIDA[[#This Row],[20/05/2019]:[00/00/00]])</f>
        <v>0</v>
      </c>
      <c r="F226" s="3"/>
    </row>
    <row r="227" spans="1:6" ht="15" hidden="1" customHeight="1" x14ac:dyDescent="0.25">
      <c r="A227" s="5" t="s">
        <v>1884</v>
      </c>
      <c r="B227" s="14" t="str">
        <f>VLOOKUP(TAB_SAIDA[[#This Row],[COD_2_SAIDA]],TAB_ESTOQUE[[Codigo]:[Descrição Tecnica]],6,FALSE)</f>
        <v>MÓDULO TERMINAL SIEMENS SIMATIC ET200S 6ES7 193-4CE10-0AA0</v>
      </c>
      <c r="C227" s="14">
        <f>IFERROR(VLOOKUP(TAB_SAIDA[[#This Row],[COD_2_SAIDA]],TAB_ESTOQUE[[Codigo]:[Referência Tec]],7,FALSE),"")</f>
        <v>0</v>
      </c>
      <c r="D227" s="14" t="str">
        <f>VLOOKUP(TAB_SAIDA[[#This Row],[COD_2_SAIDA]],TAB_ESTOQUE[[Codigo]:[Endereço2]],12,FALSE)</f>
        <v>B1203</v>
      </c>
      <c r="E227" s="81">
        <f>SUM(TAB_SAIDA[[#This Row],[20/05/2019]:[00/00/00]])</f>
        <v>0</v>
      </c>
      <c r="F227" s="3"/>
    </row>
    <row r="228" spans="1:6" ht="15" hidden="1" customHeight="1" x14ac:dyDescent="0.25">
      <c r="A228" s="5" t="s">
        <v>1885</v>
      </c>
      <c r="B228" s="14" t="str">
        <f>VLOOKUP(TAB_SAIDA[[#This Row],[COD_2_SAIDA]],TAB_ESTOQUE[[Codigo]:[Descrição Tecnica]],6,FALSE)</f>
        <v>MÓDULO DE ENTRADA DIGITAL 8 DI DC24 SIEMENS SIMATIC ET200S 6ES7 131-4BF00-0AA0</v>
      </c>
      <c r="C228" s="14">
        <f>IFERROR(VLOOKUP(TAB_SAIDA[[#This Row],[COD_2_SAIDA]],TAB_ESTOQUE[[Codigo]:[Referência Tec]],7,FALSE),"")</f>
        <v>0</v>
      </c>
      <c r="D228" s="14" t="str">
        <f>VLOOKUP(TAB_SAIDA[[#This Row],[COD_2_SAIDA]],TAB_ESTOQUE[[Codigo]:[Endereço2]],12,FALSE)</f>
        <v>B1203</v>
      </c>
      <c r="E228" s="81">
        <f>SUM(TAB_SAIDA[[#This Row],[20/05/2019]:[00/00/00]])</f>
        <v>0</v>
      </c>
      <c r="F228" s="3"/>
    </row>
    <row r="229" spans="1:6" ht="15" hidden="1" customHeight="1" x14ac:dyDescent="0.25">
      <c r="A229" s="5" t="s">
        <v>1886</v>
      </c>
      <c r="B229" s="14" t="str">
        <f>VLOOKUP(TAB_SAIDA[[#This Row],[COD_2_SAIDA]],TAB_ESTOQUE[[Codigo]:[Descrição Tecnica]],6,FALSE)</f>
        <v>MÓDULO DE SAÍDAS DIGITAIL 8 DO DC24V/0.5A SIEMENS SIMATIC ET200S 6ES7 132-4BF00-0AA0</v>
      </c>
      <c r="C229" s="14">
        <f>IFERROR(VLOOKUP(TAB_SAIDA[[#This Row],[COD_2_SAIDA]],TAB_ESTOQUE[[Codigo]:[Referência Tec]],7,FALSE),"")</f>
        <v>0</v>
      </c>
      <c r="D229" s="14" t="str">
        <f>VLOOKUP(TAB_SAIDA[[#This Row],[COD_2_SAIDA]],TAB_ESTOQUE[[Codigo]:[Endereço2]],12,FALSE)</f>
        <v>B1203</v>
      </c>
      <c r="E229" s="81">
        <f>SUM(TAB_SAIDA[[#This Row],[20/05/2019]:[00/00/00]])</f>
        <v>0</v>
      </c>
      <c r="F229" s="3"/>
    </row>
    <row r="230" spans="1:6" ht="15" hidden="1" customHeight="1" x14ac:dyDescent="0.25">
      <c r="A230" s="5" t="s">
        <v>1887</v>
      </c>
      <c r="B230" s="14" t="str">
        <f>VLOOKUP(TAB_SAIDA[[#This Row],[COD_2_SAIDA]],TAB_ESTOQUE[[Codigo]:[Descrição Tecnica]],6,FALSE)</f>
        <v>ADAPTADOR DEVICENET SMARTSLICE 64POSITION 24V DC GRT1-DRT (OMRON)</v>
      </c>
      <c r="C230" s="14">
        <f>IFERROR(VLOOKUP(TAB_SAIDA[[#This Row],[COD_2_SAIDA]],TAB_ESTOQUE[[Codigo]:[Referência Tec]],7,FALSE),"")</f>
        <v>0</v>
      </c>
      <c r="D230" s="14" t="str">
        <f>VLOOKUP(TAB_SAIDA[[#This Row],[COD_2_SAIDA]],TAB_ESTOQUE[[Codigo]:[Endereço2]],12,FALSE)</f>
        <v>B1103</v>
      </c>
      <c r="E230" s="81">
        <f>SUM(TAB_SAIDA[[#This Row],[20/05/2019]:[00/00/00]])</f>
        <v>0</v>
      </c>
      <c r="F230" s="3"/>
    </row>
    <row r="231" spans="1:6" ht="15" hidden="1" customHeight="1" x14ac:dyDescent="0.25">
      <c r="A231" s="5" t="s">
        <v>1888</v>
      </c>
      <c r="B231" s="14" t="str">
        <f>VLOOKUP(TAB_SAIDA[[#This Row],[COD_2_SAIDA]],TAB_ESTOQUE[[Codigo]:[Descrição Tecnica]],6,FALSE)</f>
        <v>FONTE DE ALIMENTAÇÃO TRIFÁSICA PSS-B24-240S 24VDC-10A COD:164225 240W</v>
      </c>
      <c r="C231" s="14">
        <f>IFERROR(VLOOKUP(TAB_SAIDA[[#This Row],[COD_2_SAIDA]],TAB_ESTOQUE[[Codigo]:[Referência Tec]],7,FALSE),"")</f>
        <v>0</v>
      </c>
      <c r="D231" s="14" t="str">
        <f>VLOOKUP(TAB_SAIDA[[#This Row],[COD_2_SAIDA]],TAB_ESTOQUE[[Codigo]:[Endereço2]],12,FALSE)</f>
        <v>G1104</v>
      </c>
      <c r="E231" s="81">
        <f>SUM(TAB_SAIDA[[#This Row],[20/05/2019]:[00/00/00]])</f>
        <v>0</v>
      </c>
      <c r="F231" s="3"/>
    </row>
    <row r="232" spans="1:6" ht="15" hidden="1" customHeight="1" x14ac:dyDescent="0.25">
      <c r="A232" s="5" t="s">
        <v>1889</v>
      </c>
      <c r="B232" s="14" t="str">
        <f>VLOOKUP(TAB_SAIDA[[#This Row],[COD_2_SAIDA]],TAB_ESTOQUE[[Codigo]:[Descrição Tecnica]],6,FALSE)</f>
        <v>MÓDULO PROFIBUS MICROMASTER 4 SIEMENS - REF. 6SE6400-1PB00-0AA0</v>
      </c>
      <c r="C232" s="14">
        <f>IFERROR(VLOOKUP(TAB_SAIDA[[#This Row],[COD_2_SAIDA]],TAB_ESTOQUE[[Codigo]:[Referência Tec]],7,FALSE),"")</f>
        <v>0</v>
      </c>
      <c r="D232" s="14" t="str">
        <f>VLOOKUP(TAB_SAIDA[[#This Row],[COD_2_SAIDA]],TAB_ESTOQUE[[Codigo]:[Endereço2]],12,FALSE)</f>
        <v>B1204</v>
      </c>
      <c r="E232" s="81">
        <f>SUM(TAB_SAIDA[[#This Row],[20/05/2019]:[00/00/00]])</f>
        <v>0</v>
      </c>
      <c r="F232" s="3"/>
    </row>
    <row r="233" spans="1:6" ht="15" hidden="1" customHeight="1" x14ac:dyDescent="0.25">
      <c r="A233" s="5" t="s">
        <v>1890</v>
      </c>
      <c r="B233" s="14" t="str">
        <f>VLOOKUP(TAB_SAIDA[[#This Row],[COD_2_SAIDA]],TAB_ESTOQUE[[Codigo]:[Descrição Tecnica]],6,FALSE)</f>
        <v>MÓDULO DE SAÍDAS ANALÓGICAS 2 AO VOLTAGE STANDARD SIEMENS SIMATIC ET200S 6ES7 135-4FB01-0AB0</v>
      </c>
      <c r="C233" s="14">
        <f>IFERROR(VLOOKUP(TAB_SAIDA[[#This Row],[COD_2_SAIDA]],TAB_ESTOQUE[[Codigo]:[Referência Tec]],7,FALSE),"")</f>
        <v>0</v>
      </c>
      <c r="D233" s="14" t="str">
        <f>VLOOKUP(TAB_SAIDA[[#This Row],[COD_2_SAIDA]],TAB_ESTOQUE[[Codigo]:[Endereço2]],12,FALSE)</f>
        <v>B1204</v>
      </c>
      <c r="E233" s="81">
        <f>SUM(TAB_SAIDA[[#This Row],[20/05/2019]:[00/00/00]])</f>
        <v>0</v>
      </c>
      <c r="F233" s="3"/>
    </row>
    <row r="234" spans="1:6" ht="15" hidden="1" customHeight="1" x14ac:dyDescent="0.25">
      <c r="A234" s="5" t="s">
        <v>1891</v>
      </c>
      <c r="B234" s="14" t="str">
        <f>VLOOKUP(TAB_SAIDA[[#This Row],[COD_2_SAIDA]],TAB_ESTOQUE[[Codigo]:[Descrição Tecnica]],6,FALSE)</f>
        <v>MÓDULO DE ENTRADAS ANALÓGICAS 2 AI - 2WIRE STANDARD SIEMENS SIMATIC ET200S 6ES7 134-4GB01-0AB0</v>
      </c>
      <c r="C234" s="14">
        <f>IFERROR(VLOOKUP(TAB_SAIDA[[#This Row],[COD_2_SAIDA]],TAB_ESTOQUE[[Codigo]:[Referência Tec]],7,FALSE),"")</f>
        <v>0</v>
      </c>
      <c r="D234" s="14" t="str">
        <f>VLOOKUP(TAB_SAIDA[[#This Row],[COD_2_SAIDA]],TAB_ESTOQUE[[Codigo]:[Endereço2]],12,FALSE)</f>
        <v>B1204</v>
      </c>
      <c r="E234" s="81">
        <f>SUM(TAB_SAIDA[[#This Row],[20/05/2019]:[00/00/00]])</f>
        <v>0</v>
      </c>
      <c r="F234" s="3"/>
    </row>
    <row r="235" spans="1:6" ht="15" hidden="1" customHeight="1" x14ac:dyDescent="0.25">
      <c r="A235" s="5" t="s">
        <v>1892</v>
      </c>
      <c r="B235" s="14" t="str">
        <f>VLOOKUP(TAB_SAIDA[[#This Row],[COD_2_SAIDA]],TAB_ESTOQUE[[Codigo]:[Descrição Tecnica]],6,FALSE)</f>
        <v>MÓDULO FONTE PM-E DC24V STANDARD SIEMENS SIMATIC ET200S 6ES7 138-4CA01-0AA0</v>
      </c>
      <c r="C235" s="14" t="str">
        <f>IFERROR(VLOOKUP(TAB_SAIDA[[#This Row],[COD_2_SAIDA]],TAB_ESTOQUE[[Codigo]:[Referência Tec]],7,FALSE),"")</f>
        <v xml:space="preserve"> </v>
      </c>
      <c r="D235" s="14" t="str">
        <f>VLOOKUP(TAB_SAIDA[[#This Row],[COD_2_SAIDA]],TAB_ESTOQUE[[Codigo]:[Endereço2]],12,FALSE)</f>
        <v>B1204</v>
      </c>
      <c r="E235" s="81">
        <f>SUM(TAB_SAIDA[[#This Row],[20/05/2019]:[00/00/00]])</f>
        <v>0</v>
      </c>
      <c r="F235" s="3"/>
    </row>
    <row r="236" spans="1:6" ht="15" hidden="1" customHeight="1" x14ac:dyDescent="0.25">
      <c r="A236" s="5" t="s">
        <v>1893</v>
      </c>
      <c r="B236" s="14" t="str">
        <f>VLOOKUP(TAB_SAIDA[[#This Row],[COD_2_SAIDA]],TAB_ESTOQUE[[Codigo]:[Descrição Tecnica]],6,FALSE)</f>
        <v>PONTO DE ENTRADA DA UNIDADE PNP GRT1-ID8-1</v>
      </c>
      <c r="C236" s="14">
        <f>IFERROR(VLOOKUP(TAB_SAIDA[[#This Row],[COD_2_SAIDA]],TAB_ESTOQUE[[Codigo]:[Referência Tec]],7,FALSE),"")</f>
        <v>0</v>
      </c>
      <c r="D236" s="14" t="str">
        <f>VLOOKUP(TAB_SAIDA[[#This Row],[COD_2_SAIDA]],TAB_ESTOQUE[[Codigo]:[Endereço2]],12,FALSE)</f>
        <v>B1204</v>
      </c>
      <c r="E236" s="81">
        <f>SUM(TAB_SAIDA[[#This Row],[20/05/2019]:[00/00/00]])</f>
        <v>0</v>
      </c>
      <c r="F236" s="3"/>
    </row>
    <row r="237" spans="1:6" ht="15" hidden="1" customHeight="1" x14ac:dyDescent="0.25">
      <c r="A237" s="5" t="s">
        <v>1894</v>
      </c>
      <c r="B237" s="14" t="str">
        <f>VLOOKUP(TAB_SAIDA[[#This Row],[COD_2_SAIDA]],TAB_ESTOQUE[[Codigo]:[Descrição Tecnica]],6,FALSE)</f>
        <v>SOFTSTARTER SIEMENS 37KW AC200-480V 3RW4038-1BB04</v>
      </c>
      <c r="C237" s="14">
        <f>IFERROR(VLOOKUP(TAB_SAIDA[[#This Row],[COD_2_SAIDA]],TAB_ESTOQUE[[Codigo]:[Referência Tec]],7,FALSE),"")</f>
        <v>0</v>
      </c>
      <c r="D237" s="14" t="str">
        <f>VLOOKUP(TAB_SAIDA[[#This Row],[COD_2_SAIDA]],TAB_ESTOQUE[[Codigo]:[Endereço2]],12,FALSE)</f>
        <v>B1205</v>
      </c>
      <c r="E237" s="81">
        <f>SUM(TAB_SAIDA[[#This Row],[20/05/2019]:[00/00/00]])</f>
        <v>0</v>
      </c>
      <c r="F237" s="3"/>
    </row>
    <row r="238" spans="1:6" ht="15" hidden="1" customHeight="1" x14ac:dyDescent="0.25">
      <c r="A238" s="5" t="s">
        <v>1895</v>
      </c>
      <c r="B238" s="14" t="str">
        <f>VLOOKUP(TAB_SAIDA[[#This Row],[COD_2_SAIDA]],TAB_ESTOQUE[[Codigo]:[Descrição Tecnica]],6,FALSE)</f>
        <v xml:space="preserve">TRANSMISSOR DE  NÍVEL , 10…A60cm,  0 a 10V/4 a 20 Ma - Cod:LR3000 </v>
      </c>
      <c r="C238" s="14">
        <f>IFERROR(VLOOKUP(TAB_SAIDA[[#This Row],[COD_2_SAIDA]],TAB_ESTOQUE[[Codigo]:[Referência Tec]],7,FALSE),"")</f>
        <v>0</v>
      </c>
      <c r="D238" s="14" t="str">
        <f>VLOOKUP(TAB_SAIDA[[#This Row],[COD_2_SAIDA]],TAB_ESTOQUE[[Codigo]:[Endereço2]],12,FALSE)</f>
        <v>G1104</v>
      </c>
      <c r="E238" s="81">
        <f>SUM(TAB_SAIDA[[#This Row],[20/05/2019]:[00/00/00]])</f>
        <v>0</v>
      </c>
      <c r="F238" s="3"/>
    </row>
    <row r="239" spans="1:6" ht="15" hidden="1" customHeight="1" x14ac:dyDescent="0.25">
      <c r="A239" s="5" t="s">
        <v>1896</v>
      </c>
      <c r="B239" s="14" t="str">
        <f>VLOOKUP(TAB_SAIDA[[#This Row],[COD_2_SAIDA]],TAB_ESTOQUE[[Codigo]:[Descrição Tecnica]],6,FALSE)</f>
        <v>MÓDULO INTERFACE IM 151-8F PN/DP CPU ET200S 6ES7 151-8FB01-0AB0 ( SIEMENS)</v>
      </c>
      <c r="C239" s="14">
        <f>IFERROR(VLOOKUP(TAB_SAIDA[[#This Row],[COD_2_SAIDA]],TAB_ESTOQUE[[Codigo]:[Referência Tec]],7,FALSE),"")</f>
        <v>0</v>
      </c>
      <c r="D239" s="14" t="str">
        <f>VLOOKUP(TAB_SAIDA[[#This Row],[COD_2_SAIDA]],TAB_ESTOQUE[[Codigo]:[Endereço2]],12,FALSE)</f>
        <v>B1205</v>
      </c>
      <c r="E239" s="81">
        <f>SUM(TAB_SAIDA[[#This Row],[20/05/2019]:[00/00/00]])</f>
        <v>0</v>
      </c>
      <c r="F239" s="3"/>
    </row>
    <row r="240" spans="1:6" ht="15" hidden="1" customHeight="1" x14ac:dyDescent="0.25">
      <c r="A240" s="5" t="s">
        <v>1897</v>
      </c>
      <c r="B240" s="14" t="str">
        <f>VLOOKUP(TAB_SAIDA[[#This Row],[COD_2_SAIDA]],TAB_ESTOQUE[[Codigo]:[Descrição Tecnica]],6,FALSE)</f>
        <v>MÓDULO TERMINAL DP TM-E15C24-01 SIEMENS SIMATIC ET200S 6ES7 193-4CG30-0AA0</v>
      </c>
      <c r="C240" s="14">
        <f>IFERROR(VLOOKUP(TAB_SAIDA[[#This Row],[COD_2_SAIDA]],TAB_ESTOQUE[[Codigo]:[Referência Tec]],7,FALSE),"")</f>
        <v>0</v>
      </c>
      <c r="D240" s="14" t="str">
        <f>VLOOKUP(TAB_SAIDA[[#This Row],[COD_2_SAIDA]],TAB_ESTOQUE[[Codigo]:[Endereço2]],12,FALSE)</f>
        <v>B1203</v>
      </c>
      <c r="E240" s="81">
        <f>SUM(TAB_SAIDA[[#This Row],[20/05/2019]:[00/00/00]])</f>
        <v>0</v>
      </c>
      <c r="F240" s="3"/>
    </row>
    <row r="241" spans="1:624" ht="15" hidden="1" customHeight="1" x14ac:dyDescent="0.25">
      <c r="A241" s="5" t="s">
        <v>1898</v>
      </c>
      <c r="B241" s="14" t="str">
        <f>VLOOKUP(TAB_SAIDA[[#This Row],[COD_2_SAIDA]],TAB_ESTOQUE[[Codigo]:[Descrição Tecnica]],6,FALSE)</f>
        <v>ENTRADA DO MODULO DE FORÇA  24VDC INPUT GRT1-PD2 MODULE, FEDD 1/0 POWER 24VDC INPUT</v>
      </c>
      <c r="C241" s="14">
        <f>IFERROR(VLOOKUP(TAB_SAIDA[[#This Row],[COD_2_SAIDA]],TAB_ESTOQUE[[Codigo]:[Referência Tec]],7,FALSE),"")</f>
        <v>0</v>
      </c>
      <c r="D241" s="14" t="str">
        <f>VLOOKUP(TAB_SAIDA[[#This Row],[COD_2_SAIDA]],TAB_ESTOQUE[[Codigo]:[Endereço2]],12,FALSE)</f>
        <v>B1204</v>
      </c>
      <c r="E241" s="81">
        <f>SUM(TAB_SAIDA[[#This Row],[20/05/2019]:[00/00/00]])</f>
        <v>0</v>
      </c>
      <c r="F241" s="3"/>
    </row>
    <row r="242" spans="1:624" ht="15" hidden="1" customHeight="1" x14ac:dyDescent="0.25">
      <c r="A242" s="5" t="s">
        <v>1899</v>
      </c>
      <c r="B242" s="14" t="str">
        <f>VLOOKUP(TAB_SAIDA[[#This Row],[COD_2_SAIDA]],TAB_ESTOQUE[[Codigo]:[Descrição Tecnica]],6,FALSE)</f>
        <v>MOTO REDUTOR NMRV 040  (MOTOR CE MS 711-4 SN NO 1512-047)</v>
      </c>
      <c r="C242" s="14">
        <f>IFERROR(VLOOKUP(TAB_SAIDA[[#This Row],[COD_2_SAIDA]],TAB_ESTOQUE[[Codigo]:[Referência Tec]],7,FALSE),"")</f>
        <v>0</v>
      </c>
      <c r="D242" s="14" t="str">
        <f>VLOOKUP(TAB_SAIDA[[#This Row],[COD_2_SAIDA]],TAB_ESTOQUE[[Codigo]:[Endereço2]],12,FALSE)</f>
        <v>E2103</v>
      </c>
      <c r="E242" s="81">
        <f>SUM(TAB_SAIDA[[#This Row],[20/05/2019]:[00/00/00]])</f>
        <v>0</v>
      </c>
      <c r="F242" s="3"/>
    </row>
    <row r="243" spans="1:624" ht="15" hidden="1" customHeight="1" x14ac:dyDescent="0.25">
      <c r="A243" s="5" t="s">
        <v>1900</v>
      </c>
      <c r="B243" s="14" t="str">
        <f>VLOOKUP(TAB_SAIDA[[#This Row],[COD_2_SAIDA]],TAB_ESTOQUE[[Codigo]:[Descrição Tecnica]],6,FALSE)</f>
        <v>CABOS SIEMENS 6XV1840-2AH10</v>
      </c>
      <c r="C243" s="14">
        <f>IFERROR(VLOOKUP(TAB_SAIDA[[#This Row],[COD_2_SAIDA]],TAB_ESTOQUE[[Codigo]:[Referência Tec]],7,FALSE),"")</f>
        <v>0</v>
      </c>
      <c r="D243" s="14" t="str">
        <f>VLOOKUP(TAB_SAIDA[[#This Row],[COD_2_SAIDA]],TAB_ESTOQUE[[Codigo]:[Endereço2]],12,FALSE)</f>
        <v>B1306</v>
      </c>
      <c r="E243" s="81">
        <f>SUM(TAB_SAIDA[[#This Row],[20/05/2019]:[00/00/00]])</f>
        <v>0</v>
      </c>
      <c r="F243" s="3"/>
    </row>
    <row r="244" spans="1:624" ht="15" hidden="1" customHeight="1" x14ac:dyDescent="0.25">
      <c r="A244" s="5" t="s">
        <v>1901</v>
      </c>
      <c r="B244" s="14" t="str">
        <f>VLOOKUP(TAB_SAIDA[[#This Row],[COD_2_SAIDA]],TAB_ESTOQUE[[Codigo]:[Descrição Tecnica]],6,FALSE)</f>
        <v>INVERSOR DE FREQUÊNCIA SIEMENS MICROMASTER 440 6SE6440-2UD27-5CA1</v>
      </c>
      <c r="C244" s="14">
        <f>IFERROR(VLOOKUP(TAB_SAIDA[[#This Row],[COD_2_SAIDA]],TAB_ESTOQUE[[Codigo]:[Referência Tec]],7,FALSE),"")</f>
        <v>0</v>
      </c>
      <c r="D244" s="14" t="str">
        <f>VLOOKUP(TAB_SAIDA[[#This Row],[COD_2_SAIDA]],TAB_ESTOQUE[[Codigo]:[Endereço2]],12,FALSE)</f>
        <v>B1302</v>
      </c>
      <c r="E244" s="81">
        <f>SUM(TAB_SAIDA[[#This Row],[20/05/2019]:[00/00/00]])</f>
        <v>0</v>
      </c>
      <c r="F244" s="3"/>
    </row>
    <row r="245" spans="1:624" ht="15" hidden="1" customHeight="1" x14ac:dyDescent="0.25">
      <c r="A245" s="5" t="s">
        <v>1902</v>
      </c>
      <c r="B245" s="14" t="str">
        <f>VLOOKUP(TAB_SAIDA[[#This Row],[COD_2_SAIDA]],TAB_ESTOQUE[[Codigo]:[Descrição Tecnica]],6,FALSE)</f>
        <v>INVERSOR DE FREQUÊNCIA SIEMENS MICROMASTER 420 6SE6420-2UD22-2BA1</v>
      </c>
      <c r="C245" s="14">
        <f>IFERROR(VLOOKUP(TAB_SAIDA[[#This Row],[COD_2_SAIDA]],TAB_ESTOQUE[[Codigo]:[Referência Tec]],7,FALSE),"")</f>
        <v>0</v>
      </c>
      <c r="D245" s="14" t="str">
        <f>VLOOKUP(TAB_SAIDA[[#This Row],[COD_2_SAIDA]],TAB_ESTOQUE[[Codigo]:[Endereço2]],12,FALSE)</f>
        <v>B1302</v>
      </c>
      <c r="E245" s="81">
        <f>SUM(TAB_SAIDA[[#This Row],[20/05/2019]:[00/00/00]])</f>
        <v>0</v>
      </c>
      <c r="F245" s="3"/>
    </row>
    <row r="246" spans="1:624" ht="15" hidden="1" customHeight="1" x14ac:dyDescent="0.25">
      <c r="A246" s="5" t="s">
        <v>1903</v>
      </c>
      <c r="B246" s="14" t="str">
        <f>VLOOKUP(TAB_SAIDA[[#This Row],[COD_2_SAIDA]],TAB_ESTOQUE[[Codigo]:[Descrição Tecnica]],6,FALSE)</f>
        <v>CONTACTOR LC1E95M7 120A  45KW</v>
      </c>
      <c r="C246" s="14">
        <f>IFERROR(VLOOKUP(TAB_SAIDA[[#This Row],[COD_2_SAIDA]],TAB_ESTOQUE[[Codigo]:[Referência Tec]],7,FALSE),"")</f>
        <v>0</v>
      </c>
      <c r="D246" s="14" t="str">
        <f>VLOOKUP(TAB_SAIDA[[#This Row],[COD_2_SAIDA]],TAB_ESTOQUE[[Codigo]:[Endereço2]],12,FALSE)</f>
        <v>B2103</v>
      </c>
      <c r="E246" s="81">
        <f>SUM(TAB_SAIDA[[#This Row],[20/05/2019]:[00/00/00]])</f>
        <v>4</v>
      </c>
      <c r="F246" s="3"/>
      <c r="SN246" s="3">
        <v>1</v>
      </c>
      <c r="WW246" s="3">
        <v>1</v>
      </c>
      <c r="WZ246" s="3">
        <v>2</v>
      </c>
    </row>
    <row r="247" spans="1:624" ht="15" hidden="1" customHeight="1" x14ac:dyDescent="0.25">
      <c r="A247" s="5" t="s">
        <v>1904</v>
      </c>
      <c r="B247" s="14" t="str">
        <f>VLOOKUP(TAB_SAIDA[[#This Row],[COD_2_SAIDA]],TAB_ESTOQUE[[Codigo]:[Descrição Tecnica]],6,FALSE)</f>
        <v>BLOCO DE CONTATO AUXILIAR LADN22 IEC 60947-5-1 (SCHNEIDER)</v>
      </c>
      <c r="C247" s="14">
        <f>IFERROR(VLOOKUP(TAB_SAIDA[[#This Row],[COD_2_SAIDA]],TAB_ESTOQUE[[Codigo]:[Referência Tec]],7,FALSE),"")</f>
        <v>0</v>
      </c>
      <c r="D247" s="14" t="str">
        <f>VLOOKUP(TAB_SAIDA[[#This Row],[COD_2_SAIDA]],TAB_ESTOQUE[[Codigo]:[Endereço2]],12,FALSE)</f>
        <v>A1204</v>
      </c>
      <c r="E247" s="81">
        <f>SUM(TAB_SAIDA[[#This Row],[20/05/2019]:[00/00/00]])</f>
        <v>0</v>
      </c>
      <c r="F247" s="3"/>
    </row>
    <row r="248" spans="1:624" ht="15" hidden="1" customHeight="1" x14ac:dyDescent="0.25">
      <c r="A248" s="5" t="s">
        <v>1905</v>
      </c>
      <c r="B248" s="14" t="str">
        <f>VLOOKUP(TAB_SAIDA[[#This Row],[COD_2_SAIDA]],TAB_ESTOQUE[[Codigo]:[Descrição Tecnica]],6,FALSE)</f>
        <v>VALVULA HIDRAULICA REXROTH REF: M-35ED 6 CK13/35OCG24N9K4</v>
      </c>
      <c r="C248" s="14">
        <f>IFERROR(VLOOKUP(TAB_SAIDA[[#This Row],[COD_2_SAIDA]],TAB_ESTOQUE[[Codigo]:[Referência Tec]],7,FALSE),"")</f>
        <v>0</v>
      </c>
      <c r="D248" s="14" t="str">
        <f>VLOOKUP(TAB_SAIDA[[#This Row],[COD_2_SAIDA]],TAB_ESTOQUE[[Codigo]:[Endereço2]],12,FALSE)</f>
        <v>C2203</v>
      </c>
      <c r="E248" s="81">
        <f>SUM(TAB_SAIDA[[#This Row],[20/05/2019]:[00/00/00]])</f>
        <v>0</v>
      </c>
      <c r="F248" s="3"/>
    </row>
    <row r="249" spans="1:624" ht="15" hidden="1" customHeight="1" x14ac:dyDescent="0.25">
      <c r="A249" s="5" t="s">
        <v>1906</v>
      </c>
      <c r="B249" s="14" t="str">
        <f>VLOOKUP(TAB_SAIDA[[#This Row],[COD_2_SAIDA]],TAB_ESTOQUE[[Codigo]:[Descrição Tecnica]],6,FALSE)</f>
        <v>VALVULA VD-3-PK-3 FESTO</v>
      </c>
      <c r="C249" s="14">
        <f>IFERROR(VLOOKUP(TAB_SAIDA[[#This Row],[COD_2_SAIDA]],TAB_ESTOQUE[[Codigo]:[Referência Tec]],7,FALSE),"")</f>
        <v>0</v>
      </c>
      <c r="D249" s="14" t="str">
        <f>VLOOKUP(TAB_SAIDA[[#This Row],[COD_2_SAIDA]],TAB_ESTOQUE[[Codigo]:[Endereço2]],12,FALSE)</f>
        <v>G1103</v>
      </c>
      <c r="E249" s="81">
        <f>SUM(TAB_SAIDA[[#This Row],[20/05/2019]:[00/00/00]])</f>
        <v>0</v>
      </c>
      <c r="F249" s="3"/>
    </row>
    <row r="250" spans="1:624" ht="15" hidden="1" customHeight="1" x14ac:dyDescent="0.25">
      <c r="A250" s="5" t="s">
        <v>1907</v>
      </c>
      <c r="B250" s="14" t="str">
        <f>VLOOKUP(TAB_SAIDA[[#This Row],[COD_2_SAIDA]],TAB_ESTOQUE[[Codigo]:[Descrição Tecnica]],6,FALSE)</f>
        <v>VALVULA HIDRAULICA WANDFLUH REF: SIS45V - G24</v>
      </c>
      <c r="C250" s="14">
        <f>IFERROR(VLOOKUP(TAB_SAIDA[[#This Row],[COD_2_SAIDA]],TAB_ESTOQUE[[Codigo]:[Referência Tec]],7,FALSE),"")</f>
        <v>0</v>
      </c>
      <c r="D250" s="14" t="str">
        <f>VLOOKUP(TAB_SAIDA[[#This Row],[COD_2_SAIDA]],TAB_ESTOQUE[[Codigo]:[Endereço2]],12,FALSE)</f>
        <v>C2203</v>
      </c>
      <c r="E250" s="81">
        <f>SUM(TAB_SAIDA[[#This Row],[20/05/2019]:[00/00/00]])</f>
        <v>0</v>
      </c>
      <c r="F250" s="3"/>
    </row>
    <row r="251" spans="1:624" ht="15" hidden="1" customHeight="1" x14ac:dyDescent="0.25">
      <c r="A251" s="5" t="s">
        <v>1908</v>
      </c>
      <c r="B251" s="14" t="str">
        <f>VLOOKUP(TAB_SAIDA[[#This Row],[COD_2_SAIDA]],TAB_ESTOQUE[[Codigo]:[Descrição Tecnica]],6,FALSE)</f>
        <v>VALVULA HIDRAULICA BOSCH REF: 0 811 004 100</v>
      </c>
      <c r="C251" s="14">
        <f>IFERROR(VLOOKUP(TAB_SAIDA[[#This Row],[COD_2_SAIDA]],TAB_ESTOQUE[[Codigo]:[Referência Tec]],7,FALSE),"")</f>
        <v>0</v>
      </c>
      <c r="D251" s="14" t="str">
        <f>VLOOKUP(TAB_SAIDA[[#This Row],[COD_2_SAIDA]],TAB_ESTOQUE[[Codigo]:[Endereço2]],12,FALSE)</f>
        <v>C2203</v>
      </c>
      <c r="E251" s="81">
        <f>SUM(TAB_SAIDA[[#This Row],[20/05/2019]:[00/00/00]])</f>
        <v>0</v>
      </c>
      <c r="F251" s="3"/>
    </row>
    <row r="252" spans="1:624" ht="15" hidden="1" customHeight="1" x14ac:dyDescent="0.25">
      <c r="A252" s="5" t="s">
        <v>1909</v>
      </c>
      <c r="B252" s="14" t="str">
        <f>VLOOKUP(TAB_SAIDA[[#This Row],[COD_2_SAIDA]],TAB_ESTOQUE[[Codigo]:[Descrição Tecnica]],6,FALSE)</f>
        <v>BLOCO FESTO VL/0-3-3/4</v>
      </c>
      <c r="C252" s="14">
        <f>IFERROR(VLOOKUP(TAB_SAIDA[[#This Row],[COD_2_SAIDA]],TAB_ESTOQUE[[Codigo]:[Referência Tec]],7,FALSE),"")</f>
        <v>0</v>
      </c>
      <c r="D252" s="14" t="str">
        <f>VLOOKUP(TAB_SAIDA[[#This Row],[COD_2_SAIDA]],TAB_ESTOQUE[[Codigo]:[Endereço2]],12,FALSE)</f>
        <v>G1105</v>
      </c>
      <c r="E252" s="81">
        <f>SUM(TAB_SAIDA[[#This Row],[20/05/2019]:[00/00/00]])</f>
        <v>0</v>
      </c>
      <c r="F252" s="3"/>
    </row>
    <row r="253" spans="1:624" ht="15" hidden="1" customHeight="1" x14ac:dyDescent="0.25">
      <c r="A253" s="5" t="s">
        <v>1910</v>
      </c>
      <c r="B253" s="14" t="str">
        <f>VLOOKUP(TAB_SAIDA[[#This Row],[COD_2_SAIDA]],TAB_ESTOQUE[[Codigo]:[Descrição Tecnica]],6,FALSE)</f>
        <v>VALVULA HIDRAULICA HUADE REF: 4WE6D61B/CG24N9Z5L</v>
      </c>
      <c r="C253" s="14">
        <f>IFERROR(VLOOKUP(TAB_SAIDA[[#This Row],[COD_2_SAIDA]],TAB_ESTOQUE[[Codigo]:[Referência Tec]],7,FALSE),"")</f>
        <v>0</v>
      </c>
      <c r="D253" s="14" t="str">
        <f>VLOOKUP(TAB_SAIDA[[#This Row],[COD_2_SAIDA]],TAB_ESTOQUE[[Codigo]:[Endereço2]],12,FALSE)</f>
        <v>C2205</v>
      </c>
      <c r="E253" s="81">
        <f>SUM(TAB_SAIDA[[#This Row],[20/05/2019]:[00/00/00]])</f>
        <v>0</v>
      </c>
      <c r="F253" s="3"/>
    </row>
    <row r="254" spans="1:624" ht="15" hidden="1" customHeight="1" x14ac:dyDescent="0.25">
      <c r="A254" s="5" t="s">
        <v>1911</v>
      </c>
      <c r="B254" s="14" t="str">
        <f>VLOOKUP(TAB_SAIDA[[#This Row],[COD_2_SAIDA]],TAB_ESTOQUE[[Codigo]:[Descrição Tecnica]],6,FALSE)</f>
        <v>CAIXA PARA CONTROLE LIGA DESLIGA DE COMANDO SERIE CS-102</v>
      </c>
      <c r="C254" s="14">
        <f>IFERROR(VLOOKUP(TAB_SAIDA[[#This Row],[COD_2_SAIDA]],TAB_ESTOQUE[[Codigo]:[Referência Tec]],7,FALSE),"")</f>
        <v>0</v>
      </c>
      <c r="D254" s="14" t="str">
        <f>VLOOKUP(TAB_SAIDA[[#This Row],[COD_2_SAIDA]],TAB_ESTOQUE[[Codigo]:[Endereço2]],12,FALSE)</f>
        <v>B1304</v>
      </c>
      <c r="E254" s="81">
        <f>SUM(TAB_SAIDA[[#This Row],[20/05/2019]:[00/00/00]])</f>
        <v>0</v>
      </c>
      <c r="F254" s="3"/>
    </row>
    <row r="255" spans="1:624" ht="15" hidden="1" customHeight="1" x14ac:dyDescent="0.25">
      <c r="A255" s="5" t="s">
        <v>1912</v>
      </c>
      <c r="B255" s="14" t="str">
        <f>VLOOKUP(TAB_SAIDA[[#This Row],[COD_2_SAIDA]],TAB_ESTOQUE[[Codigo]:[Descrição Tecnica]],6,FALSE)</f>
        <v>CAIXA DE PLASTICO PARA BOTOEIRA 4 BOTÕES 40X158</v>
      </c>
      <c r="C255" s="14">
        <f>IFERROR(VLOOKUP(TAB_SAIDA[[#This Row],[COD_2_SAIDA]],TAB_ESTOQUE[[Codigo]:[Referência Tec]],7,FALSE),"")</f>
        <v>0</v>
      </c>
      <c r="D255" s="14" t="str">
        <f>VLOOKUP(TAB_SAIDA[[#This Row],[COD_2_SAIDA]],TAB_ESTOQUE[[Codigo]:[Endereço2]],12,FALSE)</f>
        <v>B1304</v>
      </c>
      <c r="E255" s="81">
        <f>SUM(TAB_SAIDA[[#This Row],[20/05/2019]:[00/00/00]])</f>
        <v>0</v>
      </c>
      <c r="F255" s="3"/>
    </row>
    <row r="256" spans="1:624" ht="15" hidden="1" customHeight="1" x14ac:dyDescent="0.25">
      <c r="A256" s="5" t="s">
        <v>1913</v>
      </c>
      <c r="B256" s="14" t="str">
        <f>VLOOKUP(TAB_SAIDA[[#This Row],[COD_2_SAIDA]],TAB_ESTOQUE[[Codigo]:[Descrição Tecnica]],6,FALSE)</f>
        <v>CABO NOMINAL 1X2,5mm²</v>
      </c>
      <c r="C256" s="14">
        <f>IFERROR(VLOOKUP(TAB_SAIDA[[#This Row],[COD_2_SAIDA]],TAB_ESTOQUE[[Codigo]:[Referência Tec]],7,FALSE),"")</f>
        <v>0</v>
      </c>
      <c r="D256" s="14" t="str">
        <f>VLOOKUP(TAB_SAIDA[[#This Row],[COD_2_SAIDA]],TAB_ESTOQUE[[Codigo]:[Endereço2]],12,FALSE)</f>
        <v>B1305</v>
      </c>
      <c r="E256" s="81">
        <f>SUM(TAB_SAIDA[[#This Row],[20/05/2019]:[00/00/00]])</f>
        <v>0</v>
      </c>
      <c r="F256" s="3"/>
    </row>
    <row r="257" spans="1:520" ht="15" hidden="1" customHeight="1" x14ac:dyDescent="0.25">
      <c r="A257" s="5" t="s">
        <v>1914</v>
      </c>
      <c r="B257" s="14" t="str">
        <f>VLOOKUP(TAB_SAIDA[[#This Row],[COD_2_SAIDA]],TAB_ESTOQUE[[Codigo]:[Descrição Tecnica]],6,FALSE)</f>
        <v>CHAVE DE SEGURANÇA PARA BLOQUEIO DE PORTA XCSTE7312</v>
      </c>
      <c r="C257" s="14">
        <f>IFERROR(VLOOKUP(TAB_SAIDA[[#This Row],[COD_2_SAIDA]],TAB_ESTOQUE[[Codigo]:[Referência Tec]],7,FALSE),"")</f>
        <v>0</v>
      </c>
      <c r="D257" s="14" t="str">
        <f>VLOOKUP(TAB_SAIDA[[#This Row],[COD_2_SAIDA]],TAB_ESTOQUE[[Codigo]:[Endereço2]],12,FALSE)</f>
        <v>B1304</v>
      </c>
      <c r="E257" s="81">
        <f>SUM(TAB_SAIDA[[#This Row],[20/05/2019]:[00/00/00]])</f>
        <v>0</v>
      </c>
      <c r="F257" s="3"/>
    </row>
    <row r="258" spans="1:520" ht="15" hidden="1" customHeight="1" x14ac:dyDescent="0.25">
      <c r="A258" s="5" t="s">
        <v>1915</v>
      </c>
      <c r="B258" s="14" t="str">
        <f>VLOOKUP(TAB_SAIDA[[#This Row],[COD_2_SAIDA]],TAB_ESTOQUE[[Codigo]:[Descrição Tecnica]],6,FALSE)</f>
        <v>ROLAMENTO UC208 (F&amp;D)</v>
      </c>
      <c r="C258" s="14">
        <f>IFERROR(VLOOKUP(TAB_SAIDA[[#This Row],[COD_2_SAIDA]],TAB_ESTOQUE[[Codigo]:[Referência Tec]],7,FALSE),"")</f>
        <v>0</v>
      </c>
      <c r="D258" s="14" t="str">
        <f>VLOOKUP(TAB_SAIDA[[#This Row],[COD_2_SAIDA]],TAB_ESTOQUE[[Codigo]:[Endereço2]],12,FALSE)</f>
        <v>G1106</v>
      </c>
      <c r="E258" s="81">
        <f>SUM(TAB_SAIDA[[#This Row],[20/05/2019]:[00/00/00]])</f>
        <v>0</v>
      </c>
      <c r="F258" s="3"/>
    </row>
    <row r="259" spans="1:520" ht="15" hidden="1" customHeight="1" x14ac:dyDescent="0.25">
      <c r="A259" s="5" t="s">
        <v>1916</v>
      </c>
      <c r="B259" s="14" t="str">
        <f>VLOOKUP(TAB_SAIDA[[#This Row],[COD_2_SAIDA]],TAB_ESTOQUE[[Codigo]:[Descrição Tecnica]],6,FALSE)</f>
        <v>VALVULA PNEUMATICA  3/2 VIAS COM 1 BOBINA 24V</v>
      </c>
      <c r="C259" s="14">
        <f>IFERROR(VLOOKUP(TAB_SAIDA[[#This Row],[COD_2_SAIDA]],TAB_ESTOQUE[[Codigo]:[Referência Tec]],7,FALSE),"")</f>
        <v>0</v>
      </c>
      <c r="D259" s="14" t="str">
        <f>VLOOKUP(TAB_SAIDA[[#This Row],[COD_2_SAIDA]],TAB_ESTOQUE[[Codigo]:[Endereço2]],12,FALSE)</f>
        <v>C1103</v>
      </c>
      <c r="E259" s="81">
        <f>SUM(TAB_SAIDA[[#This Row],[20/05/2019]:[00/00/00]])</f>
        <v>0</v>
      </c>
      <c r="F259" s="3"/>
    </row>
    <row r="260" spans="1:520" ht="15" hidden="1" customHeight="1" x14ac:dyDescent="0.25">
      <c r="A260" s="5" t="s">
        <v>1917</v>
      </c>
      <c r="B260" s="14" t="str">
        <f>VLOOKUP(TAB_SAIDA[[#This Row],[COD_2_SAIDA]],TAB_ESTOQUE[[Codigo]:[Descrição Tecnica]],6,FALSE)</f>
        <v xml:space="preserve">CABO 3 VIAS 1MM </v>
      </c>
      <c r="C260" s="14">
        <f>IFERROR(VLOOKUP(TAB_SAIDA[[#This Row],[COD_2_SAIDA]],TAB_ESTOQUE[[Codigo]:[Referência Tec]],7,FALSE),"")</f>
        <v>0</v>
      </c>
      <c r="D260" s="14" t="str">
        <f>VLOOKUP(TAB_SAIDA[[#This Row],[COD_2_SAIDA]],TAB_ESTOQUE[[Codigo]:[Endereço2]],12,FALSE)</f>
        <v>B1405</v>
      </c>
      <c r="E260" s="81">
        <f>SUM(TAB_SAIDA[[#This Row],[20/05/2019]:[00/00/00]])</f>
        <v>0</v>
      </c>
      <c r="F260" s="3"/>
    </row>
    <row r="261" spans="1:520" ht="15" hidden="1" customHeight="1" x14ac:dyDescent="0.25">
      <c r="A261" s="5" t="s">
        <v>1918</v>
      </c>
      <c r="B261" s="14" t="str">
        <f>VLOOKUP(TAB_SAIDA[[#This Row],[COD_2_SAIDA]],TAB_ESTOQUE[[Codigo]:[Descrição Tecnica]],6,FALSE)</f>
        <v>CABO PARA SENSOR  5 PINOS M12</v>
      </c>
      <c r="C261" s="14">
        <f>IFERROR(VLOOKUP(TAB_SAIDA[[#This Row],[COD_2_SAIDA]],TAB_ESTOQUE[[Codigo]:[Referência Tec]],7,FALSE),"")</f>
        <v>0</v>
      </c>
      <c r="D261" s="14" t="str">
        <f>VLOOKUP(TAB_SAIDA[[#This Row],[COD_2_SAIDA]],TAB_ESTOQUE[[Codigo]:[Endereço2]],12,FALSE)</f>
        <v>B1404</v>
      </c>
      <c r="E261" s="81">
        <f>SUM(TAB_SAIDA[[#This Row],[20/05/2019]:[00/00/00]])</f>
        <v>0</v>
      </c>
      <c r="F261" s="3"/>
    </row>
    <row r="262" spans="1:520" ht="15" hidden="1" customHeight="1" x14ac:dyDescent="0.25">
      <c r="A262" s="5" t="s">
        <v>1919</v>
      </c>
      <c r="B262" s="14" t="str">
        <f>VLOOKUP(TAB_SAIDA[[#This Row],[COD_2_SAIDA]],TAB_ESTOQUE[[Codigo]:[Descrição Tecnica]],6,FALSE)</f>
        <v>CABOS DE CONTROLE CHAINFLEX CF77.UL.07.03.D  NUMERO DE CONDUTORES E SECÇÃO MM² 3G0.75</v>
      </c>
      <c r="C262" s="14">
        <f>IFERROR(VLOOKUP(TAB_SAIDA[[#This Row],[COD_2_SAIDA]],TAB_ESTOQUE[[Codigo]:[Referência Tec]],7,FALSE),"")</f>
        <v>0</v>
      </c>
      <c r="D262" s="14" t="str">
        <f>VLOOKUP(TAB_SAIDA[[#This Row],[COD_2_SAIDA]],TAB_ESTOQUE[[Codigo]:[Endereço2]],12,FALSE)</f>
        <v>B1406</v>
      </c>
      <c r="E262" s="81">
        <f>SUM(TAB_SAIDA[[#This Row],[20/05/2019]:[00/00/00]])</f>
        <v>0</v>
      </c>
      <c r="F262" s="3"/>
    </row>
    <row r="263" spans="1:520" ht="15" hidden="1" customHeight="1" x14ac:dyDescent="0.25">
      <c r="A263" s="5" t="s">
        <v>1920</v>
      </c>
      <c r="B263" s="14" t="str">
        <f>VLOOKUP(TAB_SAIDA[[#This Row],[COD_2_SAIDA]],TAB_ESTOQUE[[Codigo]:[Descrição Tecnica]],6,FALSE)</f>
        <v>CABO MURR MSUD VALVE PLUG FORM A 18MM PVC 3X0.75 GRAY 24V AC/DC +- 25%/4A 10METROS</v>
      </c>
      <c r="C263" s="14">
        <f>IFERROR(VLOOKUP(TAB_SAIDA[[#This Row],[COD_2_SAIDA]],TAB_ESTOQUE[[Codigo]:[Referência Tec]],7,FALSE),"")</f>
        <v>0</v>
      </c>
      <c r="D263" s="14" t="str">
        <f>VLOOKUP(TAB_SAIDA[[#This Row],[COD_2_SAIDA]],TAB_ESTOQUE[[Codigo]:[Endereço2]],12,FALSE)</f>
        <v>B1402</v>
      </c>
      <c r="E263" s="81">
        <f>SUM(TAB_SAIDA[[#This Row],[20/05/2019]:[00/00/00]])</f>
        <v>0</v>
      </c>
      <c r="F263" s="3"/>
    </row>
    <row r="264" spans="1:520" ht="15" hidden="1" customHeight="1" x14ac:dyDescent="0.25">
      <c r="A264" s="5" t="s">
        <v>1921</v>
      </c>
      <c r="B264" s="14" t="str">
        <f>VLOOKUP(TAB_SAIDA[[#This Row],[COD_2_SAIDA]],TAB_ESTOQUE[[Codigo]:[Descrição Tecnica]],6,FALSE)</f>
        <v>CABO MURR MSUD VALVE PLUG FORM A 18MM PVC 3X0.75 BLACK 24V AC/DC +- 25%/4A 5METROS</v>
      </c>
      <c r="C264" s="14">
        <f>IFERROR(VLOOKUP(TAB_SAIDA[[#This Row],[COD_2_SAIDA]],TAB_ESTOQUE[[Codigo]:[Referência Tec]],7,FALSE),"")</f>
        <v>0</v>
      </c>
      <c r="D264" s="14" t="str">
        <f>VLOOKUP(TAB_SAIDA[[#This Row],[COD_2_SAIDA]],TAB_ESTOQUE[[Codigo]:[Endereço2]],12,FALSE)</f>
        <v>B1402</v>
      </c>
      <c r="E264" s="81">
        <f>SUM(TAB_SAIDA[[#This Row],[20/05/2019]:[00/00/00]])</f>
        <v>1</v>
      </c>
      <c r="F264" s="3"/>
      <c r="SC264" s="3">
        <v>1</v>
      </c>
    </row>
    <row r="265" spans="1:520" ht="15" hidden="1" customHeight="1" x14ac:dyDescent="0.25">
      <c r="A265" s="5" t="s">
        <v>1922</v>
      </c>
      <c r="B265" s="14" t="str">
        <f>VLOOKUP(TAB_SAIDA[[#This Row],[COD_2_SAIDA]],TAB_ESTOQUE[[Codigo]:[Descrição Tecnica]],6,FALSE)</f>
        <v xml:space="preserve">CABO COM CONECTOR RETO M18 7 PINOS FEMEA </v>
      </c>
      <c r="C265" s="14">
        <f>IFERROR(VLOOKUP(TAB_SAIDA[[#This Row],[COD_2_SAIDA]],TAB_ESTOQUE[[Codigo]:[Referência Tec]],7,FALSE),"")</f>
        <v>0</v>
      </c>
      <c r="D265" s="14" t="str">
        <f>VLOOKUP(TAB_SAIDA[[#This Row],[COD_2_SAIDA]],TAB_ESTOQUE[[Codigo]:[Endereço2]],12,FALSE)</f>
        <v>B1402</v>
      </c>
      <c r="E265" s="81">
        <f>SUM(TAB_SAIDA[[#This Row],[20/05/2019]:[00/00/00]])</f>
        <v>0</v>
      </c>
      <c r="F265" s="3"/>
    </row>
    <row r="266" spans="1:520" ht="15" hidden="1" customHeight="1" x14ac:dyDescent="0.25">
      <c r="A266" s="5" t="s">
        <v>1923</v>
      </c>
      <c r="B266" s="14" t="str">
        <f>VLOOKUP(TAB_SAIDA[[#This Row],[COD_2_SAIDA]],TAB_ESTOQUE[[Codigo]:[Descrição Tecnica]],6,FALSE)</f>
        <v xml:space="preserve">CABO COM CONECTOR RETO M22 7 PINOS FEMEA </v>
      </c>
      <c r="C266" s="14">
        <f>IFERROR(VLOOKUP(TAB_SAIDA[[#This Row],[COD_2_SAIDA]],TAB_ESTOQUE[[Codigo]:[Referência Tec]],7,FALSE),"")</f>
        <v>0</v>
      </c>
      <c r="D266" s="14" t="str">
        <f>VLOOKUP(TAB_SAIDA[[#This Row],[COD_2_SAIDA]],TAB_ESTOQUE[[Codigo]:[Endereço2]],12,FALSE)</f>
        <v>B1402</v>
      </c>
      <c r="E266" s="81">
        <f>SUM(TAB_SAIDA[[#This Row],[20/05/2019]:[00/00/00]])</f>
        <v>0</v>
      </c>
      <c r="F266" s="3"/>
    </row>
    <row r="267" spans="1:520" ht="15" hidden="1" customHeight="1" x14ac:dyDescent="0.25">
      <c r="A267" s="5" t="s">
        <v>1924</v>
      </c>
      <c r="B267" s="14" t="str">
        <f>VLOOKUP(TAB_SAIDA[[#This Row],[COD_2_SAIDA]],TAB_ESTOQUE[[Codigo]:[Descrição Tecnica]],6,FALSE)</f>
        <v>VALVULA PNEUMATICA 2/1 VIAS 1 BOBINA 24V</v>
      </c>
      <c r="C267" s="14">
        <f>IFERROR(VLOOKUP(TAB_SAIDA[[#This Row],[COD_2_SAIDA]],TAB_ESTOQUE[[Codigo]:[Referência Tec]],7,FALSE),"")</f>
        <v>0</v>
      </c>
      <c r="D267" s="14" t="str">
        <f>VLOOKUP(TAB_SAIDA[[#This Row],[COD_2_SAIDA]],TAB_ESTOQUE[[Codigo]:[Endereço2]],12,FALSE)</f>
        <v>C1104</v>
      </c>
      <c r="E267" s="81">
        <f>SUM(TAB_SAIDA[[#This Row],[20/05/2019]:[00/00/00]])</f>
        <v>0</v>
      </c>
      <c r="F267" s="3"/>
    </row>
    <row r="268" spans="1:520" ht="15" hidden="1" customHeight="1" x14ac:dyDescent="0.25">
      <c r="A268" s="5" t="s">
        <v>1925</v>
      </c>
      <c r="B268" s="14" t="str">
        <f>VLOOKUP(TAB_SAIDA[[#This Row],[COD_2_SAIDA]],TAB_ESTOQUE[[Codigo]:[Descrição Tecnica]],6,FALSE)</f>
        <v>AGITADOR PNEUMATICO  1HP com eixo 1/2" MSD</v>
      </c>
      <c r="C268" s="14">
        <f>IFERROR(VLOOKUP(TAB_SAIDA[[#This Row],[COD_2_SAIDA]],TAB_ESTOQUE[[Codigo]:[Referência Tec]],7,FALSE),"")</f>
        <v>0</v>
      </c>
      <c r="D268" s="14" t="str">
        <f>VLOOKUP(TAB_SAIDA[[#This Row],[COD_2_SAIDA]],TAB_ESTOQUE[[Codigo]:[Endereço2]],12,FALSE)</f>
        <v>C1201</v>
      </c>
      <c r="E268" s="81">
        <f>SUM(TAB_SAIDA[[#This Row],[20/05/2019]:[00/00/00]])</f>
        <v>2</v>
      </c>
      <c r="F268" s="3"/>
      <c r="SL268" s="3">
        <v>1</v>
      </c>
      <c r="SZ268" s="3">
        <v>1</v>
      </c>
    </row>
    <row r="269" spans="1:520" ht="15" hidden="1" customHeight="1" x14ac:dyDescent="0.25">
      <c r="A269" s="5" t="s">
        <v>1926</v>
      </c>
      <c r="B269" s="14" t="str">
        <f>VLOOKUP(TAB_SAIDA[[#This Row],[COD_2_SAIDA]],TAB_ESTOQUE[[Codigo]:[Descrição Tecnica]],6,FALSE)</f>
        <v>MOTOR MARATHON HJN 80M1-4  440V</v>
      </c>
      <c r="C269" s="14">
        <f>IFERROR(VLOOKUP(TAB_SAIDA[[#This Row],[COD_2_SAIDA]],TAB_ESTOQUE[[Codigo]:[Referência Tec]],7,FALSE),"")</f>
        <v>0</v>
      </c>
      <c r="D269" s="14" t="str">
        <f>VLOOKUP(TAB_SAIDA[[#This Row],[COD_2_SAIDA]],TAB_ESTOQUE[[Codigo]:[Endereço2]],12,FALSE)</f>
        <v>F1304</v>
      </c>
      <c r="E269" s="81">
        <f>SUM(TAB_SAIDA[[#This Row],[20/05/2019]:[00/00/00]])</f>
        <v>0</v>
      </c>
      <c r="F269" s="3"/>
    </row>
    <row r="270" spans="1:520" ht="15" hidden="1" customHeight="1" x14ac:dyDescent="0.25">
      <c r="A270" s="5" t="s">
        <v>1927</v>
      </c>
      <c r="B270" s="14" t="str">
        <f>VLOOKUP(TAB_SAIDA[[#This Row],[COD_2_SAIDA]],TAB_ESTOQUE[[Codigo]:[Descrição Tecnica]],6,FALSE)</f>
        <v>CILINDRO PNEUMATICO DNCB-40-80-PPV-A</v>
      </c>
      <c r="C270" s="14">
        <f>IFERROR(VLOOKUP(TAB_SAIDA[[#This Row],[COD_2_SAIDA]],TAB_ESTOQUE[[Codigo]:[Referência Tec]],7,FALSE),"")</f>
        <v>0</v>
      </c>
      <c r="D270" s="14" t="str">
        <f>VLOOKUP(TAB_SAIDA[[#This Row],[COD_2_SAIDA]],TAB_ESTOQUE[[Codigo]:[Endereço2]],12,FALSE)</f>
        <v>C1101</v>
      </c>
      <c r="E270" s="81">
        <f>SUM(TAB_SAIDA[[#This Row],[20/05/2019]:[00/00/00]])</f>
        <v>0</v>
      </c>
      <c r="F270" s="3"/>
    </row>
    <row r="271" spans="1:520" ht="15" hidden="1" customHeight="1" x14ac:dyDescent="0.25">
      <c r="A271" s="5" t="s">
        <v>1928</v>
      </c>
      <c r="B271" s="14" t="str">
        <f>VLOOKUP(TAB_SAIDA[[#This Row],[COD_2_SAIDA]],TAB_ESTOQUE[[Codigo]:[Descrição Tecnica]],6,FALSE)</f>
        <v>CILINDRO PNEUMATICO 32-600</v>
      </c>
      <c r="C271" s="14">
        <f>IFERROR(VLOOKUP(TAB_SAIDA[[#This Row],[COD_2_SAIDA]],TAB_ESTOQUE[[Codigo]:[Referência Tec]],7,FALSE),"")</f>
        <v>0</v>
      </c>
      <c r="D271" s="14" t="str">
        <f>VLOOKUP(TAB_SAIDA[[#This Row],[COD_2_SAIDA]],TAB_ESTOQUE[[Codigo]:[Endereço2]],12,FALSE)</f>
        <v>C1101</v>
      </c>
      <c r="E271" s="81">
        <f>SUM(TAB_SAIDA[[#This Row],[20/05/2019]:[00/00/00]])</f>
        <v>0</v>
      </c>
      <c r="F271" s="3"/>
    </row>
    <row r="272" spans="1:520" ht="15" hidden="1" customHeight="1" x14ac:dyDescent="0.25">
      <c r="A272" s="5" t="s">
        <v>1929</v>
      </c>
      <c r="B272" s="14" t="str">
        <f>VLOOKUP(TAB_SAIDA[[#This Row],[COD_2_SAIDA]],TAB_ESTOQUE[[Codigo]:[Descrição Tecnica]],6,FALSE)</f>
        <v>VALVULA YHS-10 10BAR</v>
      </c>
      <c r="C272" s="14">
        <f>IFERROR(VLOOKUP(TAB_SAIDA[[#This Row],[COD_2_SAIDA]],TAB_ESTOQUE[[Codigo]:[Referência Tec]],7,FALSE),"")</f>
        <v>0</v>
      </c>
      <c r="D272" s="14" t="str">
        <f>VLOOKUP(TAB_SAIDA[[#This Row],[COD_2_SAIDA]],TAB_ESTOQUE[[Codigo]:[Endereço2]],12,FALSE)</f>
        <v>C1204</v>
      </c>
      <c r="E272" s="81">
        <f>SUM(TAB_SAIDA[[#This Row],[20/05/2019]:[00/00/00]])</f>
        <v>0</v>
      </c>
      <c r="F272" s="3"/>
    </row>
    <row r="273" spans="1:625" ht="15" hidden="1" customHeight="1" x14ac:dyDescent="0.25">
      <c r="A273" s="5" t="s">
        <v>1930</v>
      </c>
      <c r="B273" s="14" t="str">
        <f>VLOOKUP(TAB_SAIDA[[#This Row],[COD_2_SAIDA]],TAB_ESTOQUE[[Codigo]:[Descrição Tecnica]],6,FALSE)</f>
        <v xml:space="preserve">BLOCO DE DISTRIBUIDOR PNEUMÁTICO 3/2 MOD:10049. E955 10/ </v>
      </c>
      <c r="C273" s="14">
        <f>IFERROR(VLOOKUP(TAB_SAIDA[[#This Row],[COD_2_SAIDA]],TAB_ESTOQUE[[Codigo]:[Referência Tec]],7,FALSE),"")</f>
        <v>0</v>
      </c>
      <c r="D273" s="14" t="str">
        <f>VLOOKUP(TAB_SAIDA[[#This Row],[COD_2_SAIDA]],TAB_ESTOQUE[[Codigo]:[Endereço2]],12,FALSE)</f>
        <v>G1106</v>
      </c>
      <c r="E273" s="81">
        <f>SUM(TAB_SAIDA[[#This Row],[20/05/2019]:[00/00/00]])</f>
        <v>0</v>
      </c>
      <c r="F273" s="3"/>
    </row>
    <row r="274" spans="1:625" ht="15" hidden="1" customHeight="1" x14ac:dyDescent="0.25">
      <c r="A274" s="5" t="s">
        <v>1931</v>
      </c>
      <c r="B274" s="14" t="str">
        <f>VLOOKUP(TAB_SAIDA[[#This Row],[COD_2_SAIDA]],TAB_ESTOQUE[[Codigo]:[Descrição Tecnica]],6,FALSE)</f>
        <v>VALVULA FESTO MFH-3-1/2"</v>
      </c>
      <c r="C274" s="14">
        <f>IFERROR(VLOOKUP(TAB_SAIDA[[#This Row],[COD_2_SAIDA]],TAB_ESTOQUE[[Codigo]:[Referência Tec]],7,FALSE),"")</f>
        <v>0</v>
      </c>
      <c r="D274" s="14" t="str">
        <f>VLOOKUP(TAB_SAIDA[[#This Row],[COD_2_SAIDA]],TAB_ESTOQUE[[Codigo]:[Endereço2]],12,FALSE)</f>
        <v>C1204</v>
      </c>
      <c r="E274" s="81">
        <f>SUM(TAB_SAIDA[[#This Row],[20/05/2019]:[00/00/00]])</f>
        <v>0</v>
      </c>
      <c r="F274" s="3"/>
    </row>
    <row r="275" spans="1:625" ht="15" hidden="1" customHeight="1" x14ac:dyDescent="0.25">
      <c r="A275" s="5" t="s">
        <v>1932</v>
      </c>
      <c r="B275" s="14" t="str">
        <f>VLOOKUP(TAB_SAIDA[[#This Row],[COD_2_SAIDA]],TAB_ESTOQUE[[Codigo]:[Descrição Tecnica]],6,FALSE)</f>
        <v>BALANCIM HSB-1 (300-1200G), Carbografite 012343612</v>
      </c>
      <c r="C275" s="14">
        <f>IFERROR(VLOOKUP(TAB_SAIDA[[#This Row],[COD_2_SAIDA]],TAB_ESTOQUE[[Codigo]:[Referência Tec]],7,FALSE),"")</f>
        <v>0</v>
      </c>
      <c r="D275" s="14" t="str">
        <f>VLOOKUP(TAB_SAIDA[[#This Row],[COD_2_SAIDA]],TAB_ESTOQUE[[Codigo]:[Endereço2]],12,FALSE)</f>
        <v>D2304</v>
      </c>
      <c r="E275" s="81">
        <f>SUM(TAB_SAIDA[[#This Row],[20/05/2019]:[00/00/00]])</f>
        <v>3</v>
      </c>
      <c r="F275" s="3"/>
      <c r="RU275" s="3">
        <v>1</v>
      </c>
      <c r="WT275" s="3">
        <v>1</v>
      </c>
      <c r="XA275" s="3">
        <v>1</v>
      </c>
    </row>
    <row r="276" spans="1:625" ht="15" hidden="1" customHeight="1" x14ac:dyDescent="0.25">
      <c r="A276" s="5" t="s">
        <v>1933</v>
      </c>
      <c r="B276" s="14" t="str">
        <f>VLOOKUP(TAB_SAIDA[[#This Row],[COD_2_SAIDA]],TAB_ESTOQUE[[Codigo]:[Descrição Tecnica]],6,FALSE)</f>
        <v>ATUADOR PNEUMÁTICO DUPLA AÇÃO GNP 44</v>
      </c>
      <c r="C276" s="14">
        <f>IFERROR(VLOOKUP(TAB_SAIDA[[#This Row],[COD_2_SAIDA]],TAB_ESTOQUE[[Codigo]:[Referência Tec]],7,FALSE),"")</f>
        <v>0</v>
      </c>
      <c r="D276" s="14" t="str">
        <f>VLOOKUP(TAB_SAIDA[[#This Row],[COD_2_SAIDA]],TAB_ESTOQUE[[Codigo]:[Endereço2]],12,FALSE)</f>
        <v>C1205</v>
      </c>
      <c r="E276" s="81">
        <f>SUM(TAB_SAIDA[[#This Row],[20/05/2019]:[00/00/00]])</f>
        <v>2</v>
      </c>
      <c r="F276" s="3"/>
      <c r="RQ276" s="3">
        <v>2</v>
      </c>
    </row>
    <row r="277" spans="1:625" ht="15" hidden="1" customHeight="1" x14ac:dyDescent="0.25">
      <c r="A277" s="5" t="s">
        <v>1934</v>
      </c>
      <c r="B277" s="14" t="str">
        <f>VLOOKUP(TAB_SAIDA[[#This Row],[COD_2_SAIDA]],TAB_ESTOQUE[[Codigo]:[Descrição Tecnica]],6,FALSE)</f>
        <v>CONEXÃO PNEUMATICA 12mm  COM ROSCA 3/4"</v>
      </c>
      <c r="C277" s="14">
        <f>IFERROR(VLOOKUP(TAB_SAIDA[[#This Row],[COD_2_SAIDA]],TAB_ESTOQUE[[Codigo]:[Referência Tec]],7,FALSE),"")</f>
        <v>0</v>
      </c>
      <c r="D277" s="14" t="str">
        <f>VLOOKUP(TAB_SAIDA[[#This Row],[COD_2_SAIDA]],TAB_ESTOQUE[[Codigo]:[Endereço2]],12,FALSE)</f>
        <v>C1304</v>
      </c>
      <c r="E277" s="81">
        <f>SUM(TAB_SAIDA[[#This Row],[20/05/2019]:[00/00/00]])</f>
        <v>0</v>
      </c>
      <c r="F277" s="3"/>
    </row>
    <row r="278" spans="1:625" ht="15" hidden="1" customHeight="1" x14ac:dyDescent="0.25">
      <c r="A278" s="5" t="s">
        <v>1935</v>
      </c>
      <c r="B278" s="14" t="str">
        <f>VLOOKUP(TAB_SAIDA[[#This Row],[COD_2_SAIDA]],TAB_ESTOQUE[[Codigo]:[Descrição Tecnica]],6,FALSE)</f>
        <v>CONEXÃO PNEUMATICA  12mm COM ROSCA 1/4"</v>
      </c>
      <c r="C278" s="14">
        <f>IFERROR(VLOOKUP(TAB_SAIDA[[#This Row],[COD_2_SAIDA]],TAB_ESTOQUE[[Codigo]:[Referência Tec]],7,FALSE),"")</f>
        <v>0</v>
      </c>
      <c r="D278" s="14" t="str">
        <f>VLOOKUP(TAB_SAIDA[[#This Row],[COD_2_SAIDA]],TAB_ESTOQUE[[Codigo]:[Endereço2]],12,FALSE)</f>
        <v>C1304</v>
      </c>
      <c r="E278" s="81">
        <f>SUM(TAB_SAIDA[[#This Row],[20/05/2019]:[00/00/00]])</f>
        <v>0</v>
      </c>
      <c r="F278" s="3"/>
    </row>
    <row r="279" spans="1:625" ht="15" hidden="1" customHeight="1" x14ac:dyDescent="0.25">
      <c r="A279" s="5" t="s">
        <v>1936</v>
      </c>
      <c r="B279" s="14" t="str">
        <f>VLOOKUP(TAB_SAIDA[[#This Row],[COD_2_SAIDA]],TAB_ESTOQUE[[Codigo]:[Descrição Tecnica]],6,FALSE)</f>
        <v>CONEXÃO PNEUMATICA  12mm  COM ROSCA 1/2"</v>
      </c>
      <c r="C279" s="14">
        <f>IFERROR(VLOOKUP(TAB_SAIDA[[#This Row],[COD_2_SAIDA]],TAB_ESTOQUE[[Codigo]:[Referência Tec]],7,FALSE),"")</f>
        <v>0</v>
      </c>
      <c r="D279" s="14" t="str">
        <f>VLOOKUP(TAB_SAIDA[[#This Row],[COD_2_SAIDA]],TAB_ESTOQUE[[Codigo]:[Endereço2]],12,FALSE)</f>
        <v>C1304</v>
      </c>
      <c r="E279" s="81">
        <f>SUM(TAB_SAIDA[[#This Row],[20/05/2019]:[00/00/00]])</f>
        <v>1</v>
      </c>
      <c r="F279" s="3"/>
      <c r="SF279" s="3">
        <v>1</v>
      </c>
    </row>
    <row r="280" spans="1:625" ht="15" hidden="1" customHeight="1" x14ac:dyDescent="0.25">
      <c r="A280" s="5" t="s">
        <v>1937</v>
      </c>
      <c r="B280" s="14" t="str">
        <f>VLOOKUP(TAB_SAIDA[[#This Row],[COD_2_SAIDA]],TAB_ESTOQUE[[Codigo]:[Descrição Tecnica]],6,FALSE)</f>
        <v>CONEXÃO PNEUMATICA TIPO CRUZETA 4mm</v>
      </c>
      <c r="C280" s="14">
        <f>IFERROR(VLOOKUP(TAB_SAIDA[[#This Row],[COD_2_SAIDA]],TAB_ESTOQUE[[Codigo]:[Referência Tec]],7,FALSE),"")</f>
        <v>0</v>
      </c>
      <c r="D280" s="14" t="str">
        <f>VLOOKUP(TAB_SAIDA[[#This Row],[COD_2_SAIDA]],TAB_ESTOQUE[[Codigo]:[Endereço2]],12,FALSE)</f>
        <v>C1302</v>
      </c>
      <c r="E280" s="81">
        <f>SUM(TAB_SAIDA[[#This Row],[20/05/2019]:[00/00/00]])</f>
        <v>0</v>
      </c>
      <c r="F280" s="3"/>
    </row>
    <row r="281" spans="1:625" ht="15" hidden="1" customHeight="1" x14ac:dyDescent="0.25">
      <c r="A281" s="5" t="s">
        <v>1938</v>
      </c>
      <c r="B281" s="14" t="str">
        <f>VLOOKUP(TAB_SAIDA[[#This Row],[COD_2_SAIDA]],TAB_ESTOQUE[[Codigo]:[Descrição Tecnica]],6,FALSE)</f>
        <v>CONEXÃO PNEUMÁTICA TIPO REDUÇÃO 12mm X 10mm</v>
      </c>
      <c r="C281" s="14">
        <f>IFERROR(VLOOKUP(TAB_SAIDA[[#This Row],[COD_2_SAIDA]],TAB_ESTOQUE[[Codigo]:[Referência Tec]],7,FALSE),"")</f>
        <v>0</v>
      </c>
      <c r="D281" s="14" t="str">
        <f>VLOOKUP(TAB_SAIDA[[#This Row],[COD_2_SAIDA]],TAB_ESTOQUE[[Codigo]:[Endereço2]],12,FALSE)</f>
        <v>C1303</v>
      </c>
      <c r="E281" s="81">
        <f>SUM(TAB_SAIDA[[#This Row],[20/05/2019]:[00/00/00]])</f>
        <v>1</v>
      </c>
      <c r="F281" s="3"/>
      <c r="WU281" s="3">
        <v>1</v>
      </c>
    </row>
    <row r="282" spans="1:625" ht="15" hidden="1" customHeight="1" x14ac:dyDescent="0.25">
      <c r="A282" s="5" t="s">
        <v>1939</v>
      </c>
      <c r="B282" s="14" t="str">
        <f>VLOOKUP(TAB_SAIDA[[#This Row],[COD_2_SAIDA]],TAB_ESTOQUE[[Codigo]:[Descrição Tecnica]],6,FALSE)</f>
        <v xml:space="preserve">CONEXÃO PNEUMÁTICA  8mm X 8mm </v>
      </c>
      <c r="C282" s="14">
        <f>IFERROR(VLOOKUP(TAB_SAIDA[[#This Row],[COD_2_SAIDA]],TAB_ESTOQUE[[Codigo]:[Referência Tec]],7,FALSE),"")</f>
        <v>0</v>
      </c>
      <c r="D282" s="14" t="str">
        <f>VLOOKUP(TAB_SAIDA[[#This Row],[COD_2_SAIDA]],TAB_ESTOQUE[[Codigo]:[Endereço2]],12,FALSE)</f>
        <v>C1303</v>
      </c>
      <c r="E282" s="81">
        <f>SUM(TAB_SAIDA[[#This Row],[20/05/2019]:[00/00/00]])</f>
        <v>1</v>
      </c>
      <c r="F282" s="3"/>
      <c r="WS282" s="3">
        <v>1</v>
      </c>
    </row>
    <row r="283" spans="1:625" ht="15" hidden="1" customHeight="1" x14ac:dyDescent="0.25">
      <c r="A283" s="5" t="s">
        <v>1940</v>
      </c>
      <c r="B283" s="14" t="str">
        <f>VLOOKUP(TAB_SAIDA[[#This Row],[COD_2_SAIDA]],TAB_ESTOQUE[[Codigo]:[Descrição Tecnica]],6,FALSE)</f>
        <v>CONEXÃO PNEUMATICA TIPO CRUZETA 8mm</v>
      </c>
      <c r="C283" s="14">
        <f>IFERROR(VLOOKUP(TAB_SAIDA[[#This Row],[COD_2_SAIDA]],TAB_ESTOQUE[[Codigo]:[Referência Tec]],7,FALSE),"")</f>
        <v>0</v>
      </c>
      <c r="D283" s="14" t="str">
        <f>VLOOKUP(TAB_SAIDA[[#This Row],[COD_2_SAIDA]],TAB_ESTOQUE[[Codigo]:[Endereço2]],12,FALSE)</f>
        <v>C1302</v>
      </c>
      <c r="E283" s="81">
        <f>SUM(TAB_SAIDA[[#This Row],[20/05/2019]:[00/00/00]])</f>
        <v>0</v>
      </c>
      <c r="F283" s="3"/>
    </row>
    <row r="284" spans="1:625" ht="15" hidden="1" customHeight="1" x14ac:dyDescent="0.25">
      <c r="A284" s="5" t="s">
        <v>1941</v>
      </c>
      <c r="B284" s="14" t="str">
        <f>VLOOKUP(TAB_SAIDA[[#This Row],[COD_2_SAIDA]],TAB_ESTOQUE[[Codigo]:[Descrição Tecnica]],6,FALSE)</f>
        <v>CONEXÃO PNEUMATICA TIPO CRUZETA 6mm</v>
      </c>
      <c r="C284" s="14">
        <f>IFERROR(VLOOKUP(TAB_SAIDA[[#This Row],[COD_2_SAIDA]],TAB_ESTOQUE[[Codigo]:[Referência Tec]],7,FALSE),"")</f>
        <v>0</v>
      </c>
      <c r="D284" s="14" t="str">
        <f>VLOOKUP(TAB_SAIDA[[#This Row],[COD_2_SAIDA]],TAB_ESTOQUE[[Codigo]:[Endereço2]],12,FALSE)</f>
        <v>C1302</v>
      </c>
      <c r="E284" s="81">
        <f>SUM(TAB_SAIDA[[#This Row],[20/05/2019]:[00/00/00]])</f>
        <v>0</v>
      </c>
      <c r="F284" s="3"/>
    </row>
    <row r="285" spans="1:625" ht="15" hidden="1" customHeight="1" x14ac:dyDescent="0.25">
      <c r="A285" s="5" t="s">
        <v>1942</v>
      </c>
      <c r="B285" s="14" t="str">
        <f>VLOOKUP(TAB_SAIDA[[#This Row],[COD_2_SAIDA]],TAB_ESTOQUE[[Codigo]:[Descrição Tecnica]],6,FALSE)</f>
        <v>CONEXÃO PNEUMÁTICA TIPO REDUÇÃO 8mm X 6mm</v>
      </c>
      <c r="C285" s="14">
        <f>IFERROR(VLOOKUP(TAB_SAIDA[[#This Row],[COD_2_SAIDA]],TAB_ESTOQUE[[Codigo]:[Referência Tec]],7,FALSE),"")</f>
        <v>0</v>
      </c>
      <c r="D285" s="14" t="str">
        <f>VLOOKUP(TAB_SAIDA[[#This Row],[COD_2_SAIDA]],TAB_ESTOQUE[[Codigo]:[Endereço2]],12,FALSE)</f>
        <v>C1303</v>
      </c>
      <c r="E285" s="81">
        <f>SUM(TAB_SAIDA[[#This Row],[20/05/2019]:[00/00/00]])</f>
        <v>0</v>
      </c>
      <c r="F285" s="3"/>
    </row>
    <row r="286" spans="1:625" ht="15" hidden="1" customHeight="1" x14ac:dyDescent="0.25">
      <c r="A286" s="5" t="s">
        <v>1943</v>
      </c>
      <c r="B286" s="14" t="str">
        <f>VLOOKUP(TAB_SAIDA[[#This Row],[COD_2_SAIDA]],TAB_ESTOQUE[[Codigo]:[Descrição Tecnica]],6,FALSE)</f>
        <v>CONEXÃO PNEUMATICA TIPO T 8mm</v>
      </c>
      <c r="C286" s="14">
        <f>IFERROR(VLOOKUP(TAB_SAIDA[[#This Row],[COD_2_SAIDA]],TAB_ESTOQUE[[Codigo]:[Referência Tec]],7,FALSE),"")</f>
        <v>0</v>
      </c>
      <c r="D286" s="14" t="str">
        <f>VLOOKUP(TAB_SAIDA[[#This Row],[COD_2_SAIDA]],TAB_ESTOQUE[[Codigo]:[Endereço2]],12,FALSE)</f>
        <v>C1302</v>
      </c>
      <c r="E286" s="81">
        <f>SUM(TAB_SAIDA[[#This Row],[20/05/2019]:[00/00/00]])</f>
        <v>0</v>
      </c>
      <c r="F286" s="3"/>
    </row>
    <row r="287" spans="1:625" ht="15" hidden="1" customHeight="1" x14ac:dyDescent="0.25">
      <c r="A287" s="5" t="s">
        <v>1944</v>
      </c>
      <c r="B287" s="14" t="str">
        <f>VLOOKUP(TAB_SAIDA[[#This Row],[COD_2_SAIDA]],TAB_ESTOQUE[[Codigo]:[Descrição Tecnica]],6,FALSE)</f>
        <v>CONEXÃO PNEUMÁTICA 12mm X 12mm</v>
      </c>
      <c r="C287" s="14">
        <f>IFERROR(VLOOKUP(TAB_SAIDA[[#This Row],[COD_2_SAIDA]],TAB_ESTOQUE[[Codigo]:[Referência Tec]],7,FALSE),"")</f>
        <v>0</v>
      </c>
      <c r="D287" s="14" t="str">
        <f>VLOOKUP(TAB_SAIDA[[#This Row],[COD_2_SAIDA]],TAB_ESTOQUE[[Codigo]:[Endereço2]],12,FALSE)</f>
        <v>C1303</v>
      </c>
      <c r="E287" s="81">
        <f>SUM(TAB_SAIDA[[#This Row],[20/05/2019]:[00/00/00]])</f>
        <v>2</v>
      </c>
      <c r="F287" s="3"/>
      <c r="SH287" s="3">
        <v>1</v>
      </c>
      <c r="SL287" s="3">
        <v>1</v>
      </c>
    </row>
    <row r="288" spans="1:625" ht="15" hidden="1" customHeight="1" x14ac:dyDescent="0.25">
      <c r="A288" s="5" t="s">
        <v>1945</v>
      </c>
      <c r="B288" s="14" t="str">
        <f>VLOOKUP(TAB_SAIDA[[#This Row],[COD_2_SAIDA]],TAB_ESTOQUE[[Codigo]:[Descrição Tecnica]],6,FALSE)</f>
        <v>CONEXÃO PNEUMÁTICA TIPO REDUÇÃO 10mm X 6 mm</v>
      </c>
      <c r="C288" s="14">
        <f>IFERROR(VLOOKUP(TAB_SAIDA[[#This Row],[COD_2_SAIDA]],TAB_ESTOQUE[[Codigo]:[Referência Tec]],7,FALSE),"")</f>
        <v>0</v>
      </c>
      <c r="D288" s="14" t="str">
        <f>VLOOKUP(TAB_SAIDA[[#This Row],[COD_2_SAIDA]],TAB_ESTOQUE[[Codigo]:[Endereço2]],12,FALSE)</f>
        <v>C1303</v>
      </c>
      <c r="E288" s="81">
        <f>SUM(TAB_SAIDA[[#This Row],[20/05/2019]:[00/00/00]])</f>
        <v>4</v>
      </c>
      <c r="F288" s="3"/>
      <c r="SC288" s="3">
        <v>1</v>
      </c>
      <c r="SQ288" s="3">
        <v>1</v>
      </c>
      <c r="UV288" s="3">
        <v>1</v>
      </c>
      <c r="UW288" s="3">
        <v>1</v>
      </c>
    </row>
    <row r="289" spans="1:631" ht="15" hidden="1" customHeight="1" x14ac:dyDescent="0.25">
      <c r="A289" s="5" t="s">
        <v>1946</v>
      </c>
      <c r="B289" s="14" t="str">
        <f>VLOOKUP(TAB_SAIDA[[#This Row],[COD_2_SAIDA]],TAB_ESTOQUE[[Codigo]:[Descrição Tecnica]],6,FALSE)</f>
        <v>CONEXÃO PNEUMÁTICA  6mm X 6mm</v>
      </c>
      <c r="C289" s="14">
        <f>IFERROR(VLOOKUP(TAB_SAIDA[[#This Row],[COD_2_SAIDA]],TAB_ESTOQUE[[Codigo]:[Referência Tec]],7,FALSE),"")</f>
        <v>0</v>
      </c>
      <c r="D289" s="14" t="str">
        <f>VLOOKUP(TAB_SAIDA[[#This Row],[COD_2_SAIDA]],TAB_ESTOQUE[[Codigo]:[Endereço2]],12,FALSE)</f>
        <v>C1303</v>
      </c>
      <c r="E289" s="81">
        <f>SUM(TAB_SAIDA[[#This Row],[20/05/2019]:[00/00/00]])</f>
        <v>14</v>
      </c>
      <c r="F289" s="3"/>
      <c r="SC289" s="3">
        <v>3</v>
      </c>
      <c r="SD289" s="3">
        <v>2</v>
      </c>
      <c r="SS289" s="3">
        <v>6</v>
      </c>
      <c r="SU289" s="3">
        <v>1</v>
      </c>
      <c r="UP289" s="3">
        <v>1</v>
      </c>
      <c r="WZ289" s="3">
        <v>1</v>
      </c>
    </row>
    <row r="290" spans="1:631" ht="15" hidden="1" customHeight="1" x14ac:dyDescent="0.25">
      <c r="A290" s="5" t="s">
        <v>1947</v>
      </c>
      <c r="B290" s="14" t="str">
        <f>VLOOKUP(TAB_SAIDA[[#This Row],[COD_2_SAIDA]],TAB_ESTOQUE[[Codigo]:[Descrição Tecnica]],6,FALSE)</f>
        <v>CONEXÃO PNEUMÁTICA 4mm X 4 mm</v>
      </c>
      <c r="C290" s="14">
        <f>IFERROR(VLOOKUP(TAB_SAIDA[[#This Row],[COD_2_SAIDA]],TAB_ESTOQUE[[Codigo]:[Referência Tec]],7,FALSE),"")</f>
        <v>0</v>
      </c>
      <c r="D290" s="14" t="str">
        <f>VLOOKUP(TAB_SAIDA[[#This Row],[COD_2_SAIDA]],TAB_ESTOQUE[[Codigo]:[Endereço2]],12,FALSE)</f>
        <v>C1303</v>
      </c>
      <c r="E290" s="81">
        <f>SUM(TAB_SAIDA[[#This Row],[20/05/2019]:[00/00/00]])</f>
        <v>0</v>
      </c>
      <c r="F290" s="3"/>
    </row>
    <row r="291" spans="1:631" s="186" customFormat="1" ht="15" hidden="1" customHeight="1" x14ac:dyDescent="0.25">
      <c r="A291" s="194" t="s">
        <v>1948</v>
      </c>
      <c r="B291" s="195" t="str">
        <f>VLOOKUP(TAB_SAIDA[[#This Row],[COD_2_SAIDA]],TAB_ESTOQUE[[Codigo]:[Descrição Tecnica]],6,FALSE)</f>
        <v>CONEXÃO PNEUMÁTICA TIPO REDUÇÃO 12mm X 8mm</v>
      </c>
      <c r="C291" s="195">
        <f>IFERROR(VLOOKUP(TAB_SAIDA[[#This Row],[COD_2_SAIDA]],TAB_ESTOQUE[[Codigo]:[Referência Tec]],7,FALSE),"")</f>
        <v>0</v>
      </c>
      <c r="D291" s="195" t="str">
        <f>VLOOKUP(TAB_SAIDA[[#This Row],[COD_2_SAIDA]],TAB_ESTOQUE[[Codigo]:[Endereço2]],12,FALSE)</f>
        <v>C1303</v>
      </c>
      <c r="E291" s="196">
        <f>SUM(TAB_SAIDA[[#This Row],[20/05/2019]:[00/00/00]])</f>
        <v>1</v>
      </c>
      <c r="F291" s="197"/>
      <c r="G291" s="197"/>
      <c r="H291" s="197"/>
      <c r="I291" s="197"/>
      <c r="J291" s="197"/>
      <c r="K291" s="197"/>
      <c r="L291" s="197"/>
      <c r="M291" s="197"/>
      <c r="N291" s="197"/>
      <c r="O291" s="197"/>
      <c r="P291" s="197"/>
      <c r="Q291" s="197"/>
      <c r="R291" s="197"/>
      <c r="S291" s="197"/>
      <c r="T291" s="197"/>
      <c r="U291" s="197"/>
      <c r="V291" s="197"/>
      <c r="W291" s="197"/>
      <c r="X291" s="197"/>
      <c r="Y291" s="197"/>
      <c r="Z291" s="197"/>
      <c r="AA291" s="197"/>
      <c r="AB291" s="197"/>
      <c r="AC291" s="197"/>
      <c r="AD291" s="197"/>
      <c r="AE291" s="197"/>
      <c r="AF291" s="197"/>
      <c r="AG291" s="197"/>
      <c r="AH291" s="197"/>
      <c r="AI291" s="197"/>
      <c r="AJ291" s="197"/>
      <c r="AK291" s="197"/>
      <c r="AL291" s="197"/>
      <c r="AM291" s="197"/>
      <c r="AN291" s="197"/>
      <c r="AO291" s="197"/>
      <c r="AP291" s="197"/>
      <c r="AQ291" s="197"/>
      <c r="AR291" s="197"/>
      <c r="AS291" s="197"/>
      <c r="AT291" s="197"/>
      <c r="AU291" s="197"/>
      <c r="AV291" s="197"/>
      <c r="AW291" s="197"/>
      <c r="AX291" s="197"/>
      <c r="AY291" s="197"/>
      <c r="AZ291" s="197"/>
      <c r="BA291" s="197"/>
      <c r="BB291" s="197"/>
      <c r="BC291" s="197"/>
      <c r="BD291" s="197"/>
      <c r="BE291" s="197"/>
      <c r="BF291" s="197"/>
      <c r="BG291" s="197"/>
      <c r="BH291" s="198"/>
      <c r="BI291" s="197"/>
      <c r="BJ291" s="197"/>
      <c r="BK291" s="197"/>
      <c r="BL291" s="197"/>
      <c r="BM291" s="197"/>
      <c r="BN291" s="197"/>
      <c r="BO291" s="197"/>
      <c r="BP291" s="197"/>
      <c r="BQ291" s="197"/>
      <c r="BR291" s="197"/>
      <c r="BS291" s="197"/>
      <c r="BT291" s="197"/>
      <c r="BU291" s="197"/>
      <c r="BV291" s="197"/>
      <c r="BW291" s="197"/>
      <c r="BX291" s="197"/>
      <c r="BY291" s="197"/>
      <c r="BZ291" s="197"/>
      <c r="CA291" s="197"/>
      <c r="CB291" s="197"/>
      <c r="CC291" s="197"/>
      <c r="CD291" s="197"/>
      <c r="CE291" s="197"/>
      <c r="CF291" s="197"/>
      <c r="CG291" s="197"/>
      <c r="CH291" s="197"/>
      <c r="CI291" s="197"/>
      <c r="CJ291" s="197"/>
      <c r="CK291" s="197"/>
      <c r="CL291" s="197"/>
      <c r="CM291" s="197"/>
      <c r="CN291" s="197"/>
      <c r="CO291" s="197"/>
      <c r="CP291" s="197"/>
      <c r="CQ291" s="197"/>
      <c r="CR291" s="197"/>
      <c r="CS291" s="197"/>
      <c r="CT291" s="197"/>
      <c r="CU291" s="197"/>
      <c r="CV291" s="197"/>
      <c r="CW291" s="197"/>
      <c r="CX291" s="197"/>
      <c r="CY291" s="197"/>
      <c r="CZ291" s="197"/>
      <c r="DA291" s="197"/>
      <c r="DB291" s="197"/>
      <c r="DC291" s="197"/>
      <c r="DD291" s="197"/>
      <c r="DE291" s="197"/>
      <c r="DF291" s="197"/>
      <c r="DG291" s="197"/>
      <c r="DH291" s="197"/>
      <c r="DI291" s="197"/>
      <c r="DJ291" s="197"/>
      <c r="DK291" s="197"/>
      <c r="DL291" s="197"/>
      <c r="DM291" s="197"/>
      <c r="DN291" s="197"/>
      <c r="DO291" s="197"/>
      <c r="DP291" s="197"/>
      <c r="DQ291" s="197"/>
      <c r="DR291" s="197"/>
      <c r="DS291" s="197"/>
      <c r="DT291" s="197"/>
      <c r="DU291" s="197"/>
      <c r="DV291" s="197"/>
      <c r="DW291" s="197"/>
      <c r="DX291" s="197"/>
      <c r="DY291" s="197"/>
      <c r="DZ291" s="197"/>
      <c r="EA291" s="197"/>
      <c r="EB291" s="197"/>
      <c r="EC291" s="197"/>
      <c r="ED291" s="197"/>
      <c r="EE291" s="197"/>
      <c r="EF291" s="197"/>
      <c r="EG291" s="197"/>
      <c r="EH291" s="197"/>
      <c r="EI291" s="197"/>
      <c r="EJ291" s="197"/>
      <c r="EK291" s="197"/>
      <c r="EL291" s="197"/>
      <c r="EM291" s="197"/>
      <c r="EN291" s="197"/>
      <c r="EO291" s="197"/>
      <c r="EP291" s="197"/>
      <c r="EQ291" s="197"/>
      <c r="ER291" s="197"/>
      <c r="ES291" s="197"/>
      <c r="ET291" s="197"/>
      <c r="EU291" s="197"/>
      <c r="EV291" s="197"/>
      <c r="EW291" s="197"/>
      <c r="EX291" s="197"/>
      <c r="EY291" s="197"/>
      <c r="EZ291" s="197"/>
      <c r="FA291" s="197"/>
      <c r="FB291" s="197"/>
      <c r="FC291" s="197"/>
      <c r="FD291" s="197"/>
      <c r="FE291" s="197"/>
      <c r="FF291" s="197"/>
      <c r="FG291" s="197"/>
      <c r="FH291" s="197"/>
      <c r="FI291" s="197"/>
      <c r="FJ291" s="197"/>
      <c r="FK291" s="197"/>
      <c r="FL291" s="197"/>
      <c r="FM291" s="197"/>
      <c r="FN291" s="197"/>
      <c r="FO291" s="197"/>
      <c r="FP291" s="197"/>
      <c r="FQ291" s="197"/>
      <c r="FR291" s="197"/>
      <c r="FS291" s="197"/>
      <c r="FT291" s="197"/>
      <c r="FU291" s="197"/>
      <c r="FV291" s="197"/>
      <c r="FW291" s="197"/>
      <c r="FX291" s="197"/>
      <c r="FY291" s="197"/>
      <c r="FZ291" s="197"/>
      <c r="GA291" s="197"/>
      <c r="GB291" s="197"/>
      <c r="GC291" s="197"/>
      <c r="GD291" s="197"/>
      <c r="GE291" s="197"/>
      <c r="GF291" s="197"/>
      <c r="GG291" s="197"/>
      <c r="GH291" s="197"/>
      <c r="GI291" s="197"/>
      <c r="GJ291" s="197"/>
      <c r="GK291" s="197"/>
      <c r="GL291" s="197"/>
      <c r="GM291" s="197"/>
      <c r="GN291" s="197"/>
      <c r="GO291" s="197"/>
      <c r="GP291" s="197"/>
      <c r="GQ291" s="197"/>
      <c r="GR291" s="197"/>
      <c r="GS291" s="197"/>
      <c r="GT291" s="197"/>
      <c r="GU291" s="197"/>
      <c r="GV291" s="197"/>
      <c r="GW291" s="197"/>
      <c r="GX291" s="197"/>
      <c r="GY291" s="197"/>
      <c r="GZ291" s="197"/>
      <c r="HA291" s="197"/>
      <c r="HB291" s="197"/>
      <c r="HC291" s="197"/>
      <c r="HD291" s="197"/>
      <c r="HE291" s="197"/>
      <c r="HF291" s="197"/>
      <c r="HG291" s="197"/>
      <c r="HH291" s="197"/>
      <c r="HI291" s="197"/>
      <c r="HJ291" s="197"/>
      <c r="HK291" s="197"/>
      <c r="HL291" s="197"/>
      <c r="HM291" s="197"/>
      <c r="HN291" s="197"/>
      <c r="HO291" s="197"/>
      <c r="HP291" s="197"/>
      <c r="HQ291" s="197"/>
      <c r="HR291" s="197"/>
      <c r="HS291" s="197"/>
      <c r="HT291" s="197"/>
      <c r="HU291" s="197"/>
      <c r="HV291" s="197"/>
      <c r="HW291" s="197"/>
      <c r="HX291" s="197"/>
      <c r="HY291" s="197"/>
      <c r="HZ291" s="197"/>
      <c r="IA291" s="197"/>
      <c r="IB291" s="197"/>
      <c r="IC291" s="197"/>
      <c r="ID291" s="197"/>
      <c r="IE291" s="197"/>
      <c r="IF291" s="197"/>
      <c r="IG291" s="197"/>
      <c r="IH291" s="197"/>
      <c r="II291" s="197"/>
      <c r="IJ291" s="197"/>
      <c r="IK291" s="197"/>
      <c r="IL291" s="197"/>
      <c r="IM291" s="197"/>
      <c r="IN291" s="197"/>
      <c r="IO291" s="197"/>
      <c r="IP291" s="197"/>
      <c r="IQ291" s="197"/>
      <c r="IR291" s="197"/>
      <c r="IS291" s="197"/>
      <c r="IT291" s="197"/>
      <c r="IU291" s="197"/>
      <c r="IV291" s="197"/>
      <c r="IW291" s="197"/>
      <c r="IX291" s="197"/>
      <c r="IY291" s="197"/>
      <c r="IZ291" s="197"/>
      <c r="JA291" s="197"/>
      <c r="JB291" s="197"/>
      <c r="JC291" s="197"/>
      <c r="JD291" s="197"/>
      <c r="JE291" s="197"/>
      <c r="JF291" s="197"/>
      <c r="JG291" s="197"/>
      <c r="JH291" s="197"/>
      <c r="JI291" s="197"/>
      <c r="JJ291" s="197"/>
      <c r="JK291" s="197"/>
      <c r="JL291" s="197"/>
      <c r="JM291" s="197"/>
      <c r="JN291" s="197"/>
      <c r="JO291" s="197"/>
      <c r="JP291" s="197"/>
      <c r="JQ291" s="197"/>
      <c r="JR291" s="197"/>
      <c r="JS291" s="197"/>
      <c r="JT291" s="197"/>
      <c r="JU291" s="197"/>
      <c r="JV291" s="197"/>
      <c r="JW291" s="197"/>
      <c r="JX291" s="197"/>
      <c r="JY291" s="197"/>
      <c r="JZ291" s="197"/>
      <c r="KA291" s="197"/>
      <c r="KB291" s="197"/>
      <c r="KC291" s="197"/>
      <c r="KD291" s="197"/>
      <c r="KE291" s="197"/>
      <c r="KF291" s="197"/>
      <c r="KG291" s="197"/>
      <c r="KH291" s="197"/>
      <c r="KI291" s="197"/>
      <c r="KJ291" s="197"/>
      <c r="KK291" s="197"/>
      <c r="KL291" s="197"/>
      <c r="KM291" s="197"/>
      <c r="KN291" s="197"/>
      <c r="KO291" s="197"/>
      <c r="KP291" s="197"/>
      <c r="KQ291" s="197"/>
      <c r="KR291" s="197"/>
      <c r="KS291" s="197"/>
      <c r="KT291" s="197"/>
      <c r="KU291" s="197"/>
      <c r="KV291" s="197"/>
      <c r="KW291" s="197"/>
      <c r="KX291" s="197"/>
      <c r="KY291" s="197"/>
      <c r="KZ291" s="197"/>
      <c r="LA291" s="197"/>
      <c r="LB291" s="197"/>
      <c r="LC291" s="197"/>
      <c r="LD291" s="197"/>
      <c r="LE291" s="197"/>
      <c r="LF291" s="197"/>
      <c r="LG291" s="197"/>
      <c r="LH291" s="197"/>
      <c r="LI291" s="197"/>
      <c r="LJ291" s="197"/>
      <c r="LK291" s="197"/>
      <c r="LL291" s="197"/>
      <c r="LM291" s="197"/>
      <c r="LN291" s="197"/>
      <c r="LO291" s="197"/>
      <c r="LP291" s="197"/>
      <c r="LQ291" s="197"/>
      <c r="LR291" s="197"/>
      <c r="LS291" s="197"/>
      <c r="LT291" s="197"/>
      <c r="LU291" s="197"/>
      <c r="LV291" s="197"/>
      <c r="LW291" s="197"/>
      <c r="LX291" s="197"/>
      <c r="LY291" s="197"/>
      <c r="LZ291" s="197"/>
      <c r="MA291" s="197"/>
      <c r="MB291" s="197"/>
      <c r="MC291" s="197"/>
      <c r="MD291" s="197"/>
      <c r="ME291" s="197"/>
      <c r="MF291" s="197"/>
      <c r="MG291" s="197"/>
      <c r="MH291" s="197"/>
      <c r="MI291" s="197"/>
      <c r="MJ291" s="197"/>
      <c r="MK291" s="197"/>
      <c r="ML291" s="197"/>
      <c r="MM291" s="197"/>
      <c r="MN291" s="197"/>
      <c r="MO291" s="197"/>
      <c r="MP291" s="197"/>
      <c r="MQ291" s="197"/>
      <c r="MR291" s="197"/>
      <c r="MS291" s="197"/>
      <c r="MT291" s="197"/>
      <c r="MU291" s="197"/>
      <c r="MV291" s="197"/>
      <c r="MW291" s="197"/>
      <c r="MX291" s="197"/>
      <c r="MY291" s="197"/>
      <c r="MZ291" s="197"/>
      <c r="NA291" s="197"/>
      <c r="NB291" s="197"/>
      <c r="NC291" s="197"/>
      <c r="ND291" s="197"/>
      <c r="NE291" s="197"/>
      <c r="NF291" s="197"/>
      <c r="NG291" s="197"/>
      <c r="NH291" s="197"/>
      <c r="NI291" s="197"/>
      <c r="NJ291" s="197"/>
      <c r="NK291" s="197"/>
      <c r="NL291" s="197"/>
      <c r="NM291" s="197"/>
      <c r="NN291" s="197"/>
      <c r="NO291" s="197"/>
      <c r="NP291" s="197"/>
      <c r="NQ291" s="197"/>
      <c r="NR291" s="197"/>
      <c r="NS291" s="197"/>
      <c r="NT291" s="197"/>
      <c r="NU291" s="197"/>
      <c r="NV291" s="197"/>
      <c r="NW291" s="197"/>
      <c r="NX291" s="197"/>
      <c r="NY291" s="197"/>
      <c r="NZ291" s="197"/>
      <c r="OA291" s="197"/>
      <c r="OB291" s="197"/>
      <c r="OC291" s="197"/>
      <c r="OD291" s="197"/>
      <c r="OE291" s="197"/>
      <c r="OF291" s="197"/>
      <c r="OG291" s="197"/>
      <c r="OH291" s="197"/>
      <c r="OI291" s="197"/>
      <c r="OJ291" s="197"/>
      <c r="OK291" s="197"/>
      <c r="OL291" s="197"/>
      <c r="OM291" s="197"/>
      <c r="ON291" s="197"/>
      <c r="OO291" s="197"/>
      <c r="OP291" s="197"/>
      <c r="OQ291" s="197"/>
      <c r="OR291" s="197"/>
      <c r="OS291" s="197"/>
      <c r="OT291" s="197"/>
      <c r="OU291" s="197"/>
      <c r="OV291" s="197"/>
      <c r="OW291" s="197"/>
      <c r="OX291" s="197"/>
      <c r="OY291" s="197"/>
      <c r="OZ291" s="197"/>
      <c r="PA291" s="197"/>
      <c r="PB291" s="197"/>
      <c r="PC291" s="197"/>
      <c r="PD291" s="197"/>
      <c r="PE291" s="197"/>
      <c r="PF291" s="197"/>
      <c r="PG291" s="197"/>
      <c r="PH291" s="197"/>
      <c r="PI291" s="197"/>
      <c r="PJ291" s="197"/>
      <c r="PK291" s="197"/>
      <c r="PL291" s="197"/>
      <c r="PM291" s="197"/>
      <c r="PN291" s="197"/>
      <c r="PO291" s="197"/>
      <c r="PP291" s="197"/>
      <c r="PQ291" s="197"/>
      <c r="PR291" s="197"/>
      <c r="PS291" s="197"/>
      <c r="PT291" s="197"/>
      <c r="PU291" s="197"/>
      <c r="PV291" s="197"/>
      <c r="PW291" s="197"/>
      <c r="PX291" s="197"/>
      <c r="PY291" s="197"/>
      <c r="PZ291" s="197"/>
      <c r="QA291" s="197"/>
      <c r="QB291" s="197"/>
      <c r="QC291" s="197"/>
      <c r="QD291" s="197"/>
      <c r="QE291" s="197"/>
      <c r="QF291" s="197"/>
      <c r="QG291" s="197"/>
      <c r="QH291" s="197"/>
      <c r="QI291" s="197"/>
      <c r="QJ291" s="197"/>
      <c r="QK291" s="197"/>
      <c r="QL291" s="197"/>
      <c r="QM291" s="197"/>
      <c r="QN291" s="197"/>
      <c r="QO291" s="197"/>
      <c r="QP291" s="197"/>
      <c r="QQ291" s="197"/>
      <c r="QR291" s="197"/>
      <c r="QS291" s="197"/>
      <c r="QT291" s="197"/>
      <c r="QU291" s="197"/>
      <c r="QV291" s="197"/>
      <c r="QW291" s="197"/>
      <c r="QX291" s="197"/>
      <c r="QY291" s="197"/>
      <c r="QZ291" s="197"/>
      <c r="RA291" s="197"/>
      <c r="RB291" s="197"/>
      <c r="RC291" s="197"/>
      <c r="RD291" s="197"/>
      <c r="RE291" s="197"/>
      <c r="RF291" s="197"/>
      <c r="RG291" s="197"/>
      <c r="RH291" s="197"/>
      <c r="RI291" s="197"/>
      <c r="RJ291" s="197"/>
      <c r="RK291" s="197"/>
      <c r="RL291" s="197"/>
      <c r="RM291" s="197"/>
      <c r="RN291" s="197"/>
      <c r="RO291" s="197"/>
      <c r="RP291" s="197"/>
      <c r="RQ291" s="197"/>
      <c r="RR291" s="197"/>
      <c r="RS291" s="197"/>
      <c r="RT291" s="197"/>
      <c r="RU291" s="197"/>
      <c r="RV291" s="197"/>
      <c r="RW291" s="197"/>
      <c r="RX291" s="197"/>
      <c r="RY291" s="197"/>
      <c r="RZ291" s="197"/>
      <c r="SA291" s="197"/>
      <c r="SB291" s="197"/>
      <c r="SC291" s="197"/>
      <c r="SD291" s="197"/>
      <c r="SE291" s="197"/>
      <c r="SF291" s="197"/>
      <c r="SG291" s="197"/>
      <c r="SH291" s="197"/>
      <c r="SI291" s="197"/>
      <c r="SJ291" s="197"/>
      <c r="SK291" s="197"/>
      <c r="SL291" s="197"/>
      <c r="SM291" s="197"/>
      <c r="SN291" s="197"/>
      <c r="SO291" s="197"/>
      <c r="SP291" s="197"/>
      <c r="SQ291" s="197"/>
      <c r="SR291" s="197"/>
      <c r="SS291" s="197"/>
      <c r="ST291" s="197"/>
      <c r="SU291" s="197"/>
      <c r="SV291" s="197"/>
      <c r="SW291" s="197"/>
      <c r="SX291" s="197"/>
      <c r="SY291" s="197"/>
      <c r="SZ291" s="197"/>
      <c r="TA291" s="197"/>
      <c r="TB291" s="197"/>
      <c r="TC291" s="197"/>
      <c r="TD291" s="197"/>
      <c r="TE291" s="197"/>
      <c r="TF291" s="197"/>
      <c r="TG291" s="197"/>
      <c r="TH291" s="197"/>
      <c r="TI291" s="197"/>
      <c r="TJ291" s="197"/>
      <c r="TK291" s="197"/>
      <c r="TL291" s="197"/>
      <c r="TM291" s="197"/>
      <c r="TN291" s="197"/>
      <c r="TO291" s="197"/>
      <c r="TP291" s="197"/>
      <c r="TQ291" s="197"/>
      <c r="TR291" s="197"/>
      <c r="TS291" s="197"/>
      <c r="TT291" s="197"/>
      <c r="TU291" s="197"/>
      <c r="TV291" s="197"/>
      <c r="TW291" s="197"/>
      <c r="TX291" s="197"/>
      <c r="TY291" s="197"/>
      <c r="TZ291" s="197"/>
      <c r="UA291" s="197"/>
      <c r="UB291" s="197"/>
      <c r="UC291" s="197"/>
      <c r="UD291" s="197"/>
      <c r="UE291" s="197"/>
      <c r="UF291" s="197"/>
      <c r="UG291" s="197"/>
      <c r="UH291" s="197"/>
      <c r="UI291" s="197"/>
      <c r="UJ291" s="197"/>
      <c r="UK291" s="197"/>
      <c r="UL291" s="197"/>
      <c r="UM291" s="197"/>
      <c r="UN291" s="197"/>
      <c r="UO291" s="197"/>
      <c r="UP291" s="197"/>
      <c r="UQ291" s="197"/>
      <c r="UR291" s="197"/>
      <c r="US291" s="197"/>
      <c r="UT291" s="197"/>
      <c r="UU291" s="197"/>
      <c r="UV291" s="197"/>
      <c r="UW291" s="197"/>
      <c r="UX291" s="197"/>
      <c r="UY291" s="197"/>
      <c r="UZ291" s="197"/>
      <c r="VA291" s="197"/>
      <c r="VB291" s="197"/>
      <c r="VC291" s="197"/>
      <c r="VD291" s="197"/>
      <c r="VE291" s="197"/>
      <c r="VF291" s="197"/>
      <c r="VG291" s="197"/>
      <c r="VH291" s="197"/>
      <c r="VI291" s="197"/>
      <c r="VJ291" s="197"/>
      <c r="VK291" s="197"/>
      <c r="VL291" s="197"/>
      <c r="VM291" s="197"/>
      <c r="VN291" s="197"/>
      <c r="VO291" s="197"/>
      <c r="VP291" s="197"/>
      <c r="VQ291" s="197"/>
      <c r="VR291" s="197"/>
      <c r="VS291" s="197"/>
      <c r="VT291" s="197"/>
      <c r="VU291" s="197"/>
      <c r="VV291" s="197"/>
      <c r="VW291" s="197"/>
      <c r="VX291" s="197"/>
      <c r="VY291" s="197"/>
      <c r="VZ291" s="197"/>
      <c r="WA291" s="197"/>
      <c r="WB291" s="197"/>
      <c r="WC291" s="197"/>
      <c r="WD291" s="197"/>
      <c r="WE291" s="197"/>
      <c r="WF291" s="197"/>
      <c r="WG291" s="197"/>
      <c r="WH291" s="197"/>
      <c r="WI291" s="197"/>
      <c r="WJ291" s="197"/>
      <c r="WK291" s="197"/>
      <c r="WL291" s="197"/>
      <c r="WM291" s="197"/>
      <c r="WN291" s="197"/>
      <c r="WO291" s="197"/>
      <c r="WP291" s="197"/>
      <c r="WQ291" s="197"/>
      <c r="WR291" s="197"/>
      <c r="WS291" s="197"/>
      <c r="WT291" s="197"/>
      <c r="WU291" s="197"/>
      <c r="WV291" s="197"/>
      <c r="WW291" s="197"/>
      <c r="WX291" s="197">
        <v>1</v>
      </c>
      <c r="WY291" s="197"/>
      <c r="WZ291" s="197"/>
      <c r="XA291" s="197"/>
      <c r="XB291" s="197"/>
      <c r="XC291" s="197"/>
      <c r="XD291" s="197"/>
      <c r="XE291" s="197"/>
      <c r="XF291" s="197"/>
      <c r="XG291" s="197"/>
    </row>
    <row r="292" spans="1:631" ht="15" hidden="1" customHeight="1" x14ac:dyDescent="0.25">
      <c r="A292" s="5" t="s">
        <v>1949</v>
      </c>
      <c r="B292" s="14" t="str">
        <f>VLOOKUP(TAB_SAIDA[[#This Row],[COD_2_SAIDA]],TAB_ESTOQUE[[Codigo]:[Descrição Tecnica]],6,FALSE)</f>
        <v>CONEXÃO PNEUMATICA TIPO T 10mm</v>
      </c>
      <c r="C292" s="14">
        <f>IFERROR(VLOOKUP(TAB_SAIDA[[#This Row],[COD_2_SAIDA]],TAB_ESTOQUE[[Codigo]:[Referência Tec]],7,FALSE),"")</f>
        <v>0</v>
      </c>
      <c r="D292" s="14" t="str">
        <f>VLOOKUP(TAB_SAIDA[[#This Row],[COD_2_SAIDA]],TAB_ESTOQUE[[Codigo]:[Endereço2]],12,FALSE)</f>
        <v>C1302</v>
      </c>
      <c r="E292" s="81">
        <f>SUM(TAB_SAIDA[[#This Row],[20/05/2019]:[00/00/00]])</f>
        <v>3</v>
      </c>
      <c r="F292" s="3"/>
      <c r="SH292" s="3">
        <v>2</v>
      </c>
      <c r="SM292" s="3">
        <v>1</v>
      </c>
    </row>
    <row r="293" spans="1:631" ht="15" hidden="1" customHeight="1" x14ac:dyDescent="0.25">
      <c r="A293" s="5" t="s">
        <v>1950</v>
      </c>
      <c r="B293" s="14" t="str">
        <f>VLOOKUP(TAB_SAIDA[[#This Row],[COD_2_SAIDA]],TAB_ESTOQUE[[Codigo]:[Descrição Tecnica]],6,FALSE)</f>
        <v>CONEXÃO PNEUMÁTICA 10mm X 10mm</v>
      </c>
      <c r="C293" s="14">
        <f>IFERROR(VLOOKUP(TAB_SAIDA[[#This Row],[COD_2_SAIDA]],TAB_ESTOQUE[[Codigo]:[Referência Tec]],7,FALSE),"")</f>
        <v>0</v>
      </c>
      <c r="D293" s="14" t="str">
        <f>VLOOKUP(TAB_SAIDA[[#This Row],[COD_2_SAIDA]],TAB_ESTOQUE[[Codigo]:[Endereço2]],12,FALSE)</f>
        <v>C1303</v>
      </c>
      <c r="E293" s="81">
        <f>SUM(TAB_SAIDA[[#This Row],[20/05/2019]:[00/00/00]])</f>
        <v>8</v>
      </c>
      <c r="F293" s="3"/>
      <c r="SI293" s="3">
        <v>1</v>
      </c>
      <c r="TD293" s="3">
        <v>2</v>
      </c>
      <c r="TL293" s="3">
        <v>1</v>
      </c>
      <c r="UP293" s="3">
        <v>1</v>
      </c>
      <c r="VC293" s="3">
        <v>2</v>
      </c>
      <c r="WX293" s="3">
        <v>1</v>
      </c>
    </row>
    <row r="294" spans="1:631" ht="15" hidden="1" customHeight="1" x14ac:dyDescent="0.25">
      <c r="A294" s="5" t="s">
        <v>1951</v>
      </c>
      <c r="B294" s="14" t="str">
        <f>VLOOKUP(TAB_SAIDA[[#This Row],[COD_2_SAIDA]],TAB_ESTOQUE[[Codigo]:[Descrição Tecnica]],6,FALSE)</f>
        <v>CONEXÃO PNEUMÁTICA TIPO REDUÇÃO 6mm x 4mm</v>
      </c>
      <c r="C294" s="14">
        <f>IFERROR(VLOOKUP(TAB_SAIDA[[#This Row],[COD_2_SAIDA]],TAB_ESTOQUE[[Codigo]:[Referência Tec]],7,FALSE),"")</f>
        <v>0</v>
      </c>
      <c r="D294" s="14" t="str">
        <f>VLOOKUP(TAB_SAIDA[[#This Row],[COD_2_SAIDA]],TAB_ESTOQUE[[Codigo]:[Endereço2]],12,FALSE)</f>
        <v>C1303</v>
      </c>
      <c r="E294" s="81">
        <f>SUM(TAB_SAIDA[[#This Row],[20/05/2019]:[00/00/00]])</f>
        <v>0</v>
      </c>
      <c r="F294" s="3"/>
    </row>
    <row r="295" spans="1:631" ht="15" hidden="1" customHeight="1" x14ac:dyDescent="0.25">
      <c r="A295" s="5" t="s">
        <v>1952</v>
      </c>
      <c r="B295" s="14" t="str">
        <f>VLOOKUP(TAB_SAIDA[[#This Row],[COD_2_SAIDA]],TAB_ESTOQUE[[Codigo]:[Descrição Tecnica]],6,FALSE)</f>
        <v>CONEXÃO PNEUMÁTICA TIPO REDUÇÃO 8mm X 4mm</v>
      </c>
      <c r="C295" s="14">
        <f>IFERROR(VLOOKUP(TAB_SAIDA[[#This Row],[COD_2_SAIDA]],TAB_ESTOQUE[[Codigo]:[Referência Tec]],7,FALSE),"")</f>
        <v>0</v>
      </c>
      <c r="D295" s="14" t="str">
        <f>VLOOKUP(TAB_SAIDA[[#This Row],[COD_2_SAIDA]],TAB_ESTOQUE[[Codigo]:[Endereço2]],12,FALSE)</f>
        <v>C1303</v>
      </c>
      <c r="E295" s="81">
        <f>SUM(TAB_SAIDA[[#This Row],[20/05/2019]:[00/00/00]])</f>
        <v>0</v>
      </c>
      <c r="F295" s="3"/>
    </row>
    <row r="296" spans="1:631" ht="15" hidden="1" customHeight="1" x14ac:dyDescent="0.25">
      <c r="A296" s="5" t="s">
        <v>1953</v>
      </c>
      <c r="B296" s="14" t="str">
        <f>VLOOKUP(TAB_SAIDA[[#This Row],[COD_2_SAIDA]],TAB_ESTOQUE[[Codigo]:[Descrição Tecnica]],6,FALSE)</f>
        <v>CONEXÃO PNEUMÁTICA TIPO REDUÇÃO 10mm X 8mm</v>
      </c>
      <c r="C296" s="14">
        <f>IFERROR(VLOOKUP(TAB_SAIDA[[#This Row],[COD_2_SAIDA]],TAB_ESTOQUE[[Codigo]:[Referência Tec]],7,FALSE),"")</f>
        <v>0</v>
      </c>
      <c r="D296" s="14" t="str">
        <f>VLOOKUP(TAB_SAIDA[[#This Row],[COD_2_SAIDA]],TAB_ESTOQUE[[Codigo]:[Endereço2]],12,FALSE)</f>
        <v>C1303</v>
      </c>
      <c r="E296" s="81">
        <f>SUM(TAB_SAIDA[[#This Row],[20/05/2019]:[00/00/00]])</f>
        <v>18</v>
      </c>
      <c r="F296" s="3"/>
      <c r="RY296" s="3">
        <v>3</v>
      </c>
      <c r="SC296" s="3">
        <v>1</v>
      </c>
      <c r="SH296" s="3">
        <v>1</v>
      </c>
      <c r="SJ296" s="3">
        <v>2</v>
      </c>
      <c r="SM296" s="3">
        <v>2</v>
      </c>
      <c r="SQ296" s="3">
        <v>1</v>
      </c>
      <c r="SU296" s="3">
        <v>2</v>
      </c>
      <c r="SW296" s="3">
        <v>1</v>
      </c>
      <c r="TK296" s="3">
        <v>1</v>
      </c>
      <c r="WR296" s="3">
        <v>1</v>
      </c>
      <c r="WT296" s="3">
        <v>1</v>
      </c>
      <c r="WU296" s="3">
        <v>1</v>
      </c>
      <c r="XD296" s="3">
        <v>1</v>
      </c>
    </row>
    <row r="297" spans="1:631" ht="15" hidden="1" customHeight="1" x14ac:dyDescent="0.25">
      <c r="A297" s="5" t="s">
        <v>1954</v>
      </c>
      <c r="B297" s="14" t="str">
        <f>VLOOKUP(TAB_SAIDA[[#This Row],[COD_2_SAIDA]],TAB_ESTOQUE[[Codigo]:[Descrição Tecnica]],6,FALSE)</f>
        <v>CONEXÃO PNEUMATICO TIPO T 6mm</v>
      </c>
      <c r="C297" s="14">
        <f>IFERROR(VLOOKUP(TAB_SAIDA[[#This Row],[COD_2_SAIDA]],TAB_ESTOQUE[[Codigo]:[Referência Tec]],7,FALSE),"")</f>
        <v>0</v>
      </c>
      <c r="D297" s="14" t="str">
        <f>VLOOKUP(TAB_SAIDA[[#This Row],[COD_2_SAIDA]],TAB_ESTOQUE[[Codigo]:[Endereço2]],12,FALSE)</f>
        <v>C1302</v>
      </c>
      <c r="E297" s="81">
        <f>SUM(TAB_SAIDA[[#This Row],[20/05/2019]:[00/00/00]])</f>
        <v>2</v>
      </c>
      <c r="F297" s="3"/>
      <c r="TM297" s="3">
        <v>1</v>
      </c>
      <c r="WH297" s="3">
        <v>1</v>
      </c>
    </row>
    <row r="298" spans="1:631" ht="15" hidden="1" customHeight="1" x14ac:dyDescent="0.25">
      <c r="A298" s="5" t="s">
        <v>1955</v>
      </c>
      <c r="B298" s="14" t="str">
        <f>VLOOKUP(TAB_SAIDA[[#This Row],[COD_2_SAIDA]],TAB_ESTOQUE[[Codigo]:[Descrição Tecnica]],6,FALSE)</f>
        <v>CABO COM CONECTOR RETO FEMEA M08 4 PINOS</v>
      </c>
      <c r="C298" s="14">
        <f>IFERROR(VLOOKUP(TAB_SAIDA[[#This Row],[COD_2_SAIDA]],TAB_ESTOQUE[[Codigo]:[Referência Tec]],7,FALSE),"")</f>
        <v>0</v>
      </c>
      <c r="D298" s="14" t="str">
        <f>VLOOKUP(TAB_SAIDA[[#This Row],[COD_2_SAIDA]],TAB_ESTOQUE[[Codigo]:[Endereço2]],12,FALSE)</f>
        <v>B1403</v>
      </c>
      <c r="E298" s="81">
        <f>SUM(TAB_SAIDA[[#This Row],[20/05/2019]:[00/00/00]])</f>
        <v>0</v>
      </c>
      <c r="F298" s="3"/>
    </row>
    <row r="299" spans="1:631" ht="15" hidden="1" customHeight="1" x14ac:dyDescent="0.25">
      <c r="A299" s="5" t="s">
        <v>1956</v>
      </c>
      <c r="B299" s="14" t="str">
        <f>VLOOKUP(TAB_SAIDA[[#This Row],[COD_2_SAIDA]],TAB_ESTOQUE[[Codigo]:[Descrição Tecnica]],6,FALSE)</f>
        <v xml:space="preserve">CABO COM CONECTOR 90° FEMEA  M08 3 PINOS </v>
      </c>
      <c r="C299" s="14">
        <f>IFERROR(VLOOKUP(TAB_SAIDA[[#This Row],[COD_2_SAIDA]],TAB_ESTOQUE[[Codigo]:[Referência Tec]],7,FALSE),"")</f>
        <v>0</v>
      </c>
      <c r="D299" s="14" t="str">
        <f>VLOOKUP(TAB_SAIDA[[#This Row],[COD_2_SAIDA]],TAB_ESTOQUE[[Codigo]:[Endereço2]],12,FALSE)</f>
        <v>B1403</v>
      </c>
      <c r="E299" s="81">
        <f>SUM(TAB_SAIDA[[#This Row],[20/05/2019]:[00/00/00]])</f>
        <v>0</v>
      </c>
      <c r="F299" s="3"/>
    </row>
    <row r="300" spans="1:631" ht="15" hidden="1" customHeight="1" x14ac:dyDescent="0.25">
      <c r="A300" s="5" t="s">
        <v>1957</v>
      </c>
      <c r="B300" s="14" t="str">
        <f>VLOOKUP(TAB_SAIDA[[#This Row],[COD_2_SAIDA]],TAB_ESTOQUE[[Codigo]:[Descrição Tecnica]],6,FALSE)</f>
        <v>CABO COM CONECTOR 90° FEMEA M12 5 PINOS</v>
      </c>
      <c r="C300" s="14">
        <f>IFERROR(VLOOKUP(TAB_SAIDA[[#This Row],[COD_2_SAIDA]],TAB_ESTOQUE[[Codigo]:[Referência Tec]],7,FALSE),"")</f>
        <v>0</v>
      </c>
      <c r="D300" s="14" t="str">
        <f>VLOOKUP(TAB_SAIDA[[#This Row],[COD_2_SAIDA]],TAB_ESTOQUE[[Codigo]:[Endereço2]],12,FALSE)</f>
        <v>B1403</v>
      </c>
      <c r="E300" s="81">
        <f>SUM(TAB_SAIDA[[#This Row],[20/05/2019]:[00/00/00]])</f>
        <v>0</v>
      </c>
      <c r="F300" s="3"/>
    </row>
    <row r="301" spans="1:631" ht="15" hidden="1" customHeight="1" x14ac:dyDescent="0.25">
      <c r="A301" s="5" t="s">
        <v>1958</v>
      </c>
      <c r="B301" s="14" t="str">
        <f>VLOOKUP(TAB_SAIDA[[#This Row],[COD_2_SAIDA]],TAB_ESTOQUE[[Codigo]:[Descrição Tecnica]],6,FALSE)</f>
        <v xml:space="preserve">CABO COM CONECTOR RETO FEMEA M12 5 PINOS </v>
      </c>
      <c r="C301" s="14">
        <f>IFERROR(VLOOKUP(TAB_SAIDA[[#This Row],[COD_2_SAIDA]],TAB_ESTOQUE[[Codigo]:[Referência Tec]],7,FALSE),"")</f>
        <v>0</v>
      </c>
      <c r="D301" s="14" t="str">
        <f>VLOOKUP(TAB_SAIDA[[#This Row],[COD_2_SAIDA]],TAB_ESTOQUE[[Codigo]:[Endereço2]],12,FALSE)</f>
        <v>B1403</v>
      </c>
      <c r="E301" s="81">
        <f>SUM(TAB_SAIDA[[#This Row],[20/05/2019]:[00/00/00]])</f>
        <v>0</v>
      </c>
      <c r="F301" s="3"/>
    </row>
    <row r="302" spans="1:631" ht="15" hidden="1" customHeight="1" x14ac:dyDescent="0.25">
      <c r="A302" s="5" t="s">
        <v>1959</v>
      </c>
      <c r="B302" s="14" t="str">
        <f>VLOOKUP(TAB_SAIDA[[#This Row],[COD_2_SAIDA]],TAB_ESTOQUE[[Codigo]:[Descrição Tecnica]],6,FALSE)</f>
        <v>INVERSOR DE FREQUÊNCIA SIEMENS MICROMASTER 440 6SE6440-2UD31-8DB1</v>
      </c>
      <c r="C302" s="14">
        <f>IFERROR(VLOOKUP(TAB_SAIDA[[#This Row],[COD_2_SAIDA]],TAB_ESTOQUE[[Codigo]:[Referência Tec]],7,FALSE),"")</f>
        <v>0</v>
      </c>
      <c r="D302" s="14" t="str">
        <f>VLOOKUP(TAB_SAIDA[[#This Row],[COD_2_SAIDA]],TAB_ESTOQUE[[Codigo]:[Endereço2]],12,FALSE)</f>
        <v>B1201</v>
      </c>
      <c r="E302" s="81">
        <f>SUM(TAB_SAIDA[[#This Row],[20/05/2019]:[00/00/00]])</f>
        <v>0</v>
      </c>
      <c r="F302" s="3"/>
    </row>
    <row r="303" spans="1:631" ht="15" hidden="1" customHeight="1" x14ac:dyDescent="0.25">
      <c r="A303" s="5" t="s">
        <v>1960</v>
      </c>
      <c r="B303" s="14" t="str">
        <f>VLOOKUP(TAB_SAIDA[[#This Row],[COD_2_SAIDA]],TAB_ESTOQUE[[Codigo]:[Descrição Tecnica]],6,FALSE)</f>
        <v>FONTE 13108206 PSS24-W/5 (WEG)</v>
      </c>
      <c r="C303" s="14">
        <f>IFERROR(VLOOKUP(TAB_SAIDA[[#This Row],[COD_2_SAIDA]],TAB_ESTOQUE[[Codigo]:[Referência Tec]],7,FALSE),"")</f>
        <v>0</v>
      </c>
      <c r="D303" s="14" t="str">
        <f>VLOOKUP(TAB_SAIDA[[#This Row],[COD_2_SAIDA]],TAB_ESTOQUE[[Codigo]:[Endereço2]],12,FALSE)</f>
        <v>B1104</v>
      </c>
      <c r="E303" s="81">
        <f>SUM(TAB_SAIDA[[#This Row],[20/05/2019]:[00/00/00]])</f>
        <v>0</v>
      </c>
      <c r="F303" s="3"/>
    </row>
    <row r="304" spans="1:631" ht="15" hidden="1" customHeight="1" x14ac:dyDescent="0.25">
      <c r="A304" s="5" t="s">
        <v>1961</v>
      </c>
      <c r="B304" s="14" t="str">
        <f>VLOOKUP(TAB_SAIDA[[#This Row],[COD_2_SAIDA]],TAB_ESTOQUE[[Codigo]:[Descrição Tecnica]],6,FALSE)</f>
        <v>FONTE BAE 0009 BAE OS-XA-3Y-24-200-007 24VDC 20A (BALLUFF)</v>
      </c>
      <c r="C304" s="14">
        <f>IFERROR(VLOOKUP(TAB_SAIDA[[#This Row],[COD_2_SAIDA]],TAB_ESTOQUE[[Codigo]:[Referência Tec]],7,FALSE),"")</f>
        <v>0</v>
      </c>
      <c r="D304" s="14" t="str">
        <f>VLOOKUP(TAB_SAIDA[[#This Row],[COD_2_SAIDA]],TAB_ESTOQUE[[Codigo]:[Endereço2]],12,FALSE)</f>
        <v>B1104</v>
      </c>
      <c r="E304" s="81">
        <f>SUM(TAB_SAIDA[[#This Row],[20/05/2019]:[00/00/00]])</f>
        <v>0</v>
      </c>
      <c r="F304" s="3"/>
    </row>
    <row r="305" spans="1:577" ht="15" hidden="1" customHeight="1" x14ac:dyDescent="0.25">
      <c r="A305" s="5" t="s">
        <v>1962</v>
      </c>
      <c r="B305" s="14" t="str">
        <f>VLOOKUP(TAB_SAIDA[[#This Row],[COD_2_SAIDA]],TAB_ESTOQUE[[Codigo]:[Descrição Tecnica]],6,FALSE)</f>
        <v>CELULA DE CARGA  L6F-C3-100KG-3B6</v>
      </c>
      <c r="C305" s="14">
        <f>IFERROR(VLOOKUP(TAB_SAIDA[[#This Row],[COD_2_SAIDA]],TAB_ESTOQUE[[Codigo]:[Referência Tec]],7,FALSE),"")</f>
        <v>0</v>
      </c>
      <c r="D305" s="14" t="str">
        <f>VLOOKUP(TAB_SAIDA[[#This Row],[COD_2_SAIDA]],TAB_ESTOQUE[[Codigo]:[Endereço2]],12,FALSE)</f>
        <v>A1205</v>
      </c>
      <c r="E305" s="81">
        <f>SUM(TAB_SAIDA[[#This Row],[20/05/2019]:[00/00/00]])</f>
        <v>0</v>
      </c>
      <c r="F305" s="3"/>
    </row>
    <row r="306" spans="1:577" ht="15" hidden="1" customHeight="1" x14ac:dyDescent="0.25">
      <c r="A306" s="5" t="s">
        <v>1963</v>
      </c>
      <c r="B306" s="14" t="str">
        <f>VLOOKUP(TAB_SAIDA[[#This Row],[COD_2_SAIDA]],TAB_ESTOQUE[[Codigo]:[Descrição Tecnica]],6,FALSE)</f>
        <v>MÓDULO TERMINAL SIEMENS SIMATIC ET200S - 6ES7 193-4CB30-0AA0</v>
      </c>
      <c r="C306" s="14">
        <f>IFERROR(VLOOKUP(TAB_SAIDA[[#This Row],[COD_2_SAIDA]],TAB_ESTOQUE[[Codigo]:[Referência Tec]],7,FALSE),"")</f>
        <v>0</v>
      </c>
      <c r="D306" s="14" t="str">
        <f>VLOOKUP(TAB_SAIDA[[#This Row],[COD_2_SAIDA]],TAB_ESTOQUE[[Codigo]:[Endereço2]],12,FALSE)</f>
        <v>B1205</v>
      </c>
      <c r="E306" s="81">
        <f>SUM(TAB_SAIDA[[#This Row],[20/05/2019]:[00/00/00]])</f>
        <v>0</v>
      </c>
      <c r="F306" s="3"/>
    </row>
    <row r="307" spans="1:577" ht="15" hidden="1" customHeight="1" x14ac:dyDescent="0.25">
      <c r="A307" s="5" t="s">
        <v>1964</v>
      </c>
      <c r="B307" s="14" t="str">
        <f>VLOOKUP(TAB_SAIDA[[#This Row],[COD_2_SAIDA]],TAB_ESTOQUE[[Codigo]:[Descrição Tecnica]],6,FALSE)</f>
        <v>MODULO DE SAÍDA DIGITAL 16 PONTOS 0.5AMP 24VDC SM322 - REF. 6ES7-322-1BH01-0AA0 SIEMENS</v>
      </c>
      <c r="C307" s="14">
        <f>IFERROR(VLOOKUP(TAB_SAIDA[[#This Row],[COD_2_SAIDA]],TAB_ESTOQUE[[Codigo]:[Referência Tec]],7,FALSE),"")</f>
        <v>0</v>
      </c>
      <c r="D307" s="14" t="str">
        <f>VLOOKUP(TAB_SAIDA[[#This Row],[COD_2_SAIDA]],TAB_ESTOQUE[[Codigo]:[Endereço2]],12,FALSE)</f>
        <v>G1104</v>
      </c>
      <c r="E307" s="81">
        <f>SUM(TAB_SAIDA[[#This Row],[20/05/2019]:[00/00/00]])</f>
        <v>0</v>
      </c>
      <c r="F307" s="3"/>
    </row>
    <row r="308" spans="1:577" ht="15" hidden="1" customHeight="1" x14ac:dyDescent="0.25">
      <c r="A308" s="5" t="s">
        <v>1965</v>
      </c>
      <c r="B308" s="14" t="str">
        <f>VLOOKUP(TAB_SAIDA[[#This Row],[COD_2_SAIDA]],TAB_ESTOQUE[[Codigo]:[Descrição Tecnica]],6,FALSE)</f>
        <v>CABO DE COMANDO 25X1,00mm²   500V  70°C</v>
      </c>
      <c r="C308" s="14">
        <f>IFERROR(VLOOKUP(TAB_SAIDA[[#This Row],[COD_2_SAIDA]],TAB_ESTOQUE[[Codigo]:[Referência Tec]],7,FALSE),"")</f>
        <v>0</v>
      </c>
      <c r="D308" s="14" t="str">
        <f>VLOOKUP(TAB_SAIDA[[#This Row],[COD_2_SAIDA]],TAB_ESTOQUE[[Codigo]:[Endereço2]],12,FALSE)</f>
        <v>B1306</v>
      </c>
      <c r="E308" s="81">
        <f>SUM(TAB_SAIDA[[#This Row],[20/05/2019]:[00/00/00]])</f>
        <v>0</v>
      </c>
      <c r="F308" s="3"/>
    </row>
    <row r="309" spans="1:577" ht="15" hidden="1" customHeight="1" x14ac:dyDescent="0.25">
      <c r="A309" s="5" t="s">
        <v>1966</v>
      </c>
      <c r="B309" s="14" t="str">
        <f>VLOOKUP(TAB_SAIDA[[#This Row],[COD_2_SAIDA]],TAB_ESTOQUE[[Codigo]:[Descrição Tecnica]],6,FALSE)</f>
        <v>COOLER AXIAL PARA PAINEL 220VAC TA20060HBL-2</v>
      </c>
      <c r="C309" s="14">
        <f>IFERROR(VLOOKUP(TAB_SAIDA[[#This Row],[COD_2_SAIDA]],TAB_ESTOQUE[[Codigo]:[Referência Tec]],7,FALSE),"")</f>
        <v>0</v>
      </c>
      <c r="D309" s="14" t="str">
        <f>VLOOKUP(TAB_SAIDA[[#This Row],[COD_2_SAIDA]],TAB_ESTOQUE[[Codigo]:[Endereço2]],12,FALSE)</f>
        <v>B1105</v>
      </c>
      <c r="E309" s="81">
        <f>SUM(TAB_SAIDA[[#This Row],[20/05/2019]:[00/00/00]])</f>
        <v>1</v>
      </c>
      <c r="F309" s="3"/>
      <c r="VE309" s="3">
        <v>1</v>
      </c>
    </row>
    <row r="310" spans="1:577" ht="15" hidden="1" customHeight="1" x14ac:dyDescent="0.25">
      <c r="A310" s="5" t="s">
        <v>1967</v>
      </c>
      <c r="B310" s="14" t="str">
        <f>VLOOKUP(TAB_SAIDA[[#This Row],[COD_2_SAIDA]],TAB_ESTOQUE[[Codigo]:[Descrição Tecnica]],6,FALSE)</f>
        <v>INVERSOR DE FREQUÊNCIA EMK DRIVE FIT4P34-0185-5BFLS</v>
      </c>
      <c r="C310" s="14">
        <f>IFERROR(VLOOKUP(TAB_SAIDA[[#This Row],[COD_2_SAIDA]],TAB_ESTOQUE[[Codigo]:[Referência Tec]],7,FALSE),"")</f>
        <v>0</v>
      </c>
      <c r="D310" s="14" t="str">
        <f>VLOOKUP(TAB_SAIDA[[#This Row],[COD_2_SAIDA]],TAB_ESTOQUE[[Codigo]:[Endereço2]],12,FALSE)</f>
        <v>B1303</v>
      </c>
      <c r="E310" s="81">
        <f>SUM(TAB_SAIDA[[#This Row],[20/05/2019]:[00/00/00]])</f>
        <v>0</v>
      </c>
      <c r="F310" s="3"/>
    </row>
    <row r="311" spans="1:577" ht="15" hidden="1" customHeight="1" x14ac:dyDescent="0.25">
      <c r="A311" s="5" t="s">
        <v>1968</v>
      </c>
      <c r="B311" s="14" t="str">
        <f>VLOOKUP(TAB_SAIDA[[#This Row],[COD_2_SAIDA]],TAB_ESTOQUE[[Codigo]:[Descrição Tecnica]],6,FALSE)</f>
        <v>ENCODER RVP510</v>
      </c>
      <c r="C311" s="14">
        <f>IFERROR(VLOOKUP(TAB_SAIDA[[#This Row],[COD_2_SAIDA]],TAB_ESTOQUE[[Codigo]:[Referência Tec]],7,FALSE),"")</f>
        <v>0</v>
      </c>
      <c r="D311" s="14" t="str">
        <f>VLOOKUP(TAB_SAIDA[[#This Row],[COD_2_SAIDA]],TAB_ESTOQUE[[Codigo]:[Endereço2]],12,FALSE)</f>
        <v>A2104</v>
      </c>
      <c r="E311" s="81">
        <f>SUM(TAB_SAIDA[[#This Row],[20/05/2019]:[00/00/00]])</f>
        <v>0</v>
      </c>
      <c r="F311" s="3"/>
    </row>
    <row r="312" spans="1:577" ht="15" hidden="1" customHeight="1" x14ac:dyDescent="0.25">
      <c r="A312" s="5" t="s">
        <v>1969</v>
      </c>
      <c r="B312" s="14" t="str">
        <f>VLOOKUP(TAB_SAIDA[[#This Row],[COD_2_SAIDA]],TAB_ESTOQUE[[Codigo]:[Descrição Tecnica]],6,FALSE)</f>
        <v>CONJUNTO SENSOR / RELE DE SEGURANÇA / CABO DE LIGAÇÃO L27S-3D3730  (SICK)</v>
      </c>
      <c r="C312" s="14">
        <f>IFERROR(VLOOKUP(TAB_SAIDA[[#This Row],[COD_2_SAIDA]],TAB_ESTOQUE[[Codigo]:[Referência Tec]],7,FALSE),"")</f>
        <v>0</v>
      </c>
      <c r="D312" s="14" t="str">
        <f>VLOOKUP(TAB_SAIDA[[#This Row],[COD_2_SAIDA]],TAB_ESTOQUE[[Codigo]:[Endereço2]],12,FALSE)</f>
        <v>A2203</v>
      </c>
      <c r="E312" s="81">
        <f>SUM(TAB_SAIDA[[#This Row],[20/05/2019]:[00/00/00]])</f>
        <v>0</v>
      </c>
      <c r="F312" s="3"/>
    </row>
    <row r="313" spans="1:577" ht="15" hidden="1" customHeight="1" x14ac:dyDescent="0.25">
      <c r="A313" s="5" t="s">
        <v>1970</v>
      </c>
      <c r="B313" s="14" t="str">
        <f>VLOOKUP(TAB_SAIDA[[#This Row],[COD_2_SAIDA]],TAB_ESTOQUE[[Codigo]:[Descrição Tecnica]],6,FALSE)</f>
        <v>IHM SIEMENS SIMATIC 6AV2 642-0BA01-1AX1 TP177B PN/DP-6 CSTN</v>
      </c>
      <c r="C313" s="14">
        <f>IFERROR(VLOOKUP(TAB_SAIDA[[#This Row],[COD_2_SAIDA]],TAB_ESTOQUE[[Codigo]:[Referência Tec]],7,FALSE),"")</f>
        <v>0</v>
      </c>
      <c r="D313" s="14" t="str">
        <f>VLOOKUP(TAB_SAIDA[[#This Row],[COD_2_SAIDA]],TAB_ESTOQUE[[Codigo]:[Endereço2]],12,FALSE)</f>
        <v>A2202</v>
      </c>
      <c r="E313" s="81">
        <f>SUM(TAB_SAIDA[[#This Row],[20/05/2019]:[00/00/00]])</f>
        <v>0</v>
      </c>
      <c r="F313" s="3"/>
    </row>
    <row r="314" spans="1:577" ht="15" hidden="1" customHeight="1" x14ac:dyDescent="0.25">
      <c r="A314" s="5" t="s">
        <v>1971</v>
      </c>
      <c r="B314" s="14" t="str">
        <f>VLOOKUP(TAB_SAIDA[[#This Row],[COD_2_SAIDA]],TAB_ESTOQUE[[Codigo]:[Descrição Tecnica]],6,FALSE)</f>
        <v xml:space="preserve">MÓDULO DE ENTRADAS DIGITAIS S7-300 16DI 24VDC 20PIN - REF. 6ES7-321-1BH02-0AA0 SIEMENS </v>
      </c>
      <c r="C314" s="14">
        <f>IFERROR(VLOOKUP(TAB_SAIDA[[#This Row],[COD_2_SAIDA]],TAB_ESTOQUE[[Codigo]:[Referência Tec]],7,FALSE),"")</f>
        <v>0</v>
      </c>
      <c r="D314" s="14" t="str">
        <f>VLOOKUP(TAB_SAIDA[[#This Row],[COD_2_SAIDA]],TAB_ESTOQUE[[Codigo]:[Endereço2]],12,FALSE)</f>
        <v>G1104</v>
      </c>
      <c r="E314" s="81">
        <f>SUM(TAB_SAIDA[[#This Row],[20/05/2019]:[00/00/00]])</f>
        <v>0</v>
      </c>
      <c r="F314" s="3"/>
    </row>
    <row r="315" spans="1:577" ht="15" hidden="1" customHeight="1" x14ac:dyDescent="0.25">
      <c r="A315" s="5" t="s">
        <v>1972</v>
      </c>
      <c r="B315" s="14" t="str">
        <f>VLOOKUP(TAB_SAIDA[[#This Row],[COD_2_SAIDA]],TAB_ESTOQUE[[Codigo]:[Descrição Tecnica]],6,FALSE)</f>
        <v>MÓDULO DE ENTRADAS ANALÓGICAS 8AI - 13BIT SIEMENS SIMATIC S7-300  6ES7 331-1KF02-0AB0</v>
      </c>
      <c r="C315" s="14">
        <f>IFERROR(VLOOKUP(TAB_SAIDA[[#This Row],[COD_2_SAIDA]],TAB_ESTOQUE[[Codigo]:[Referência Tec]],7,FALSE),"")</f>
        <v>0</v>
      </c>
      <c r="D315" s="14" t="str">
        <f>VLOOKUP(TAB_SAIDA[[#This Row],[COD_2_SAIDA]],TAB_ESTOQUE[[Codigo]:[Endereço2]],12,FALSE)</f>
        <v>G1104</v>
      </c>
      <c r="E315" s="81">
        <f>SUM(TAB_SAIDA[[#This Row],[20/05/2019]:[00/00/00]])</f>
        <v>0</v>
      </c>
      <c r="F315" s="3"/>
    </row>
    <row r="316" spans="1:577" ht="15" hidden="1" customHeight="1" x14ac:dyDescent="0.25">
      <c r="A316" s="5" t="s">
        <v>1973</v>
      </c>
      <c r="B316" s="14" t="str">
        <f>VLOOKUP(TAB_SAIDA[[#This Row],[COD_2_SAIDA]],TAB_ESTOQUE[[Codigo]:[Descrição Tecnica]],6,FALSE)</f>
        <v>CPU 314C - 2PN/PD,SIMATIC S7-300,192KB,24DI16DO SIEMENS -  REF. 6ES7-314-6EH04-0AB0</v>
      </c>
      <c r="C316" s="14">
        <f>IFERROR(VLOOKUP(TAB_SAIDA[[#This Row],[COD_2_SAIDA]],TAB_ESTOQUE[[Codigo]:[Referência Tec]],7,FALSE),"")</f>
        <v>0</v>
      </c>
      <c r="D316" s="14" t="str">
        <f>VLOOKUP(TAB_SAIDA[[#This Row],[COD_2_SAIDA]],TAB_ESTOQUE[[Codigo]:[Endereço2]],12,FALSE)</f>
        <v>G1104</v>
      </c>
      <c r="E316" s="81">
        <f>SUM(TAB_SAIDA[[#This Row],[20/05/2019]:[00/00/00]])</f>
        <v>0</v>
      </c>
      <c r="F316" s="3"/>
    </row>
    <row r="317" spans="1:577" ht="15" hidden="1" customHeight="1" x14ac:dyDescent="0.25">
      <c r="A317" s="5" t="s">
        <v>1974</v>
      </c>
      <c r="B317" s="14" t="str">
        <f>VLOOKUP(TAB_SAIDA[[#This Row],[COD_2_SAIDA]],TAB_ESTOQUE[[Codigo]:[Descrição Tecnica]],6,FALSE)</f>
        <v>RELE DE SEGURANÇA SCHHMERSAL SRB 301MC-24V NAC</v>
      </c>
      <c r="C317" s="14">
        <f>IFERROR(VLOOKUP(TAB_SAIDA[[#This Row],[COD_2_SAIDA]],TAB_ESTOQUE[[Codigo]:[Referência Tec]],7,FALSE),"")</f>
        <v>0</v>
      </c>
      <c r="D317" s="14" t="str">
        <f>VLOOKUP(TAB_SAIDA[[#This Row],[COD_2_SAIDA]],TAB_ESTOQUE[[Codigo]:[Endereço2]],12,FALSE)</f>
        <v>B1204</v>
      </c>
      <c r="E317" s="81">
        <f>SUM(TAB_SAIDA[[#This Row],[20/05/2019]:[00/00/00]])</f>
        <v>0</v>
      </c>
      <c r="F317" s="3"/>
    </row>
    <row r="318" spans="1:577" ht="15" hidden="1" customHeight="1" x14ac:dyDescent="0.25">
      <c r="A318" s="5" t="s">
        <v>1975</v>
      </c>
      <c r="B318" s="14" t="str">
        <f>VLOOKUP(TAB_SAIDA[[#This Row],[COD_2_SAIDA]],TAB_ESTOQUE[[Codigo]:[Descrição Tecnica]],6,FALSE)</f>
        <v>CABO PARA REDE ASI-I RUBBER 3RX9020-0AA00  (PRETO)</v>
      </c>
      <c r="C318" s="14">
        <f>IFERROR(VLOOKUP(TAB_SAIDA[[#This Row],[COD_2_SAIDA]],TAB_ESTOQUE[[Codigo]:[Referência Tec]],7,FALSE),"")</f>
        <v>0</v>
      </c>
      <c r="D318" s="14" t="str">
        <f>VLOOKUP(TAB_SAIDA[[#This Row],[COD_2_SAIDA]],TAB_ESTOQUE[[Codigo]:[Endereço2]],12,FALSE)</f>
        <v>B1406</v>
      </c>
      <c r="E318" s="81">
        <f>SUM(TAB_SAIDA[[#This Row],[20/05/2019]:[00/00/00]])</f>
        <v>0</v>
      </c>
      <c r="F318" s="3"/>
    </row>
    <row r="319" spans="1:577" ht="15" hidden="1" customHeight="1" x14ac:dyDescent="0.25">
      <c r="A319" s="5" t="s">
        <v>1976</v>
      </c>
      <c r="B319" s="14" t="str">
        <f>VLOOKUP(TAB_SAIDA[[#This Row],[COD_2_SAIDA]],TAB_ESTOQUE[[Codigo]:[Descrição Tecnica]],6,FALSE)</f>
        <v>CABO FLEX PRETO 20X1,5MM</v>
      </c>
      <c r="C319" s="14">
        <f>IFERROR(VLOOKUP(TAB_SAIDA[[#This Row],[COD_2_SAIDA]],TAB_ESTOQUE[[Codigo]:[Referência Tec]],7,FALSE),"")</f>
        <v>0</v>
      </c>
      <c r="D319" s="14" t="str">
        <f>VLOOKUP(TAB_SAIDA[[#This Row],[COD_2_SAIDA]],TAB_ESTOQUE[[Codigo]:[Endereço2]],12,FALSE)</f>
        <v>B2402</v>
      </c>
      <c r="E319" s="81">
        <f>SUM(TAB_SAIDA[[#This Row],[20/05/2019]:[00/00/00]])</f>
        <v>0</v>
      </c>
      <c r="F319" s="3"/>
    </row>
    <row r="320" spans="1:577" ht="15" hidden="1" customHeight="1" x14ac:dyDescent="0.25">
      <c r="A320" s="5" t="s">
        <v>1977</v>
      </c>
      <c r="B320" s="14" t="str">
        <f>VLOOKUP(TAB_SAIDA[[#This Row],[COD_2_SAIDA]],TAB_ESTOQUE[[Codigo]:[Descrição Tecnica]],6,FALSE)</f>
        <v>CABO FLEX PRETO 2,5MM</v>
      </c>
      <c r="C320" s="14">
        <f>IFERROR(VLOOKUP(TAB_SAIDA[[#This Row],[COD_2_SAIDA]],TAB_ESTOQUE[[Codigo]:[Referência Tec]],7,FALSE),"")</f>
        <v>0</v>
      </c>
      <c r="D320" s="14" t="str">
        <f>VLOOKUP(TAB_SAIDA[[#This Row],[COD_2_SAIDA]],TAB_ESTOQUE[[Codigo]:[Endereço2]],12,FALSE)</f>
        <v>B2404</v>
      </c>
      <c r="E320" s="81">
        <f>SUM(TAB_SAIDA[[#This Row],[20/05/2019]:[00/00/00]])</f>
        <v>0</v>
      </c>
      <c r="F320" s="3"/>
    </row>
    <row r="321" spans="1:590" ht="15" hidden="1" customHeight="1" x14ac:dyDescent="0.25">
      <c r="A321" s="5" t="s">
        <v>1978</v>
      </c>
      <c r="B321" s="14" t="str">
        <f>VLOOKUP(TAB_SAIDA[[#This Row],[COD_2_SAIDA]],TAB_ESTOQUE[[Codigo]:[Descrição Tecnica]],6,FALSE)</f>
        <v>CABO FLEX AZUL 4 MM</v>
      </c>
      <c r="C321" s="14">
        <f>IFERROR(VLOOKUP(TAB_SAIDA[[#This Row],[COD_2_SAIDA]],TAB_ESTOQUE[[Codigo]:[Referência Tec]],7,FALSE),"")</f>
        <v>0</v>
      </c>
      <c r="D321" s="14" t="str">
        <f>VLOOKUP(TAB_SAIDA[[#This Row],[COD_2_SAIDA]],TAB_ESTOQUE[[Codigo]:[Endereço2]],12,FALSE)</f>
        <v>B2404</v>
      </c>
      <c r="E321" s="81">
        <f>SUM(TAB_SAIDA[[#This Row],[20/05/2019]:[00/00/00]])</f>
        <v>0</v>
      </c>
      <c r="F321" s="3"/>
    </row>
    <row r="322" spans="1:590" ht="15" hidden="1" customHeight="1" x14ac:dyDescent="0.25">
      <c r="A322" s="5" t="s">
        <v>1979</v>
      </c>
      <c r="B322" s="14" t="str">
        <f>VLOOKUP(TAB_SAIDA[[#This Row],[COD_2_SAIDA]],TAB_ESTOQUE[[Codigo]:[Descrição Tecnica]],6,FALSE)</f>
        <v>GRADE DE PROTEÇÃO PARA COOLER</v>
      </c>
      <c r="C322" s="14">
        <f>IFERROR(VLOOKUP(TAB_SAIDA[[#This Row],[COD_2_SAIDA]],TAB_ESTOQUE[[Codigo]:[Referência Tec]],7,FALSE),"")</f>
        <v>0</v>
      </c>
      <c r="D322" s="14" t="str">
        <f>VLOOKUP(TAB_SAIDA[[#This Row],[COD_2_SAIDA]],TAB_ESTOQUE[[Codigo]:[Endereço2]],12,FALSE)</f>
        <v>B1105</v>
      </c>
      <c r="E322" s="81">
        <f>SUM(TAB_SAIDA[[#This Row],[20/05/2019]:[00/00/00]])</f>
        <v>0</v>
      </c>
      <c r="F322" s="3"/>
    </row>
    <row r="323" spans="1:590" ht="15" hidden="1" customHeight="1" x14ac:dyDescent="0.25">
      <c r="A323" s="5" t="s">
        <v>1980</v>
      </c>
      <c r="B323" s="14" t="str">
        <f>VLOOKUP(TAB_SAIDA[[#This Row],[COD_2_SAIDA]],TAB_ESTOQUE[[Codigo]:[Descrição Tecnica]],6,FALSE)</f>
        <v>MODULO DE EXPANSÃO 3RK3211-1AA10</v>
      </c>
      <c r="C323" s="14">
        <f>IFERROR(VLOOKUP(TAB_SAIDA[[#This Row],[COD_2_SAIDA]],TAB_ESTOQUE[[Codigo]:[Referência Tec]],7,FALSE),"")</f>
        <v>0</v>
      </c>
      <c r="D323" s="14" t="str">
        <f>VLOOKUP(TAB_SAIDA[[#This Row],[COD_2_SAIDA]],TAB_ESTOQUE[[Codigo]:[Endereço2]],12,FALSE)</f>
        <v>B1103</v>
      </c>
      <c r="E323" s="81">
        <f>SUM(TAB_SAIDA[[#This Row],[20/05/2019]:[00/00/00]])</f>
        <v>1</v>
      </c>
      <c r="F323" s="3"/>
      <c r="VR323" s="3">
        <v>1</v>
      </c>
    </row>
    <row r="324" spans="1:590" ht="15" hidden="1" customHeight="1" x14ac:dyDescent="0.25">
      <c r="A324" s="5" t="s">
        <v>1981</v>
      </c>
      <c r="B324" s="14" t="str">
        <f>VLOOKUP(TAB_SAIDA[[#This Row],[COD_2_SAIDA]],TAB_ESTOQUE[[Codigo]:[Descrição Tecnica]],6,FALSE)</f>
        <v>FONTE SCHMERSAL PSS-B24-120S 100-240V ac/2 codigo: 164224</v>
      </c>
      <c r="C324" s="14">
        <f>IFERROR(VLOOKUP(TAB_SAIDA[[#This Row],[COD_2_SAIDA]],TAB_ESTOQUE[[Codigo]:[Referência Tec]],7,FALSE),"")</f>
        <v>0</v>
      </c>
      <c r="D324" s="14" t="str">
        <f>VLOOKUP(TAB_SAIDA[[#This Row],[COD_2_SAIDA]],TAB_ESTOQUE[[Codigo]:[Endereço2]],12,FALSE)</f>
        <v>B1203</v>
      </c>
      <c r="E324" s="81">
        <f>SUM(TAB_SAIDA[[#This Row],[20/05/2019]:[00/00/00]])</f>
        <v>0</v>
      </c>
      <c r="F324" s="3"/>
    </row>
    <row r="325" spans="1:590" ht="15" hidden="1" customHeight="1" x14ac:dyDescent="0.25">
      <c r="A325" s="5" t="s">
        <v>1982</v>
      </c>
      <c r="B325" s="14" t="str">
        <f>VLOOKUP(TAB_SAIDA[[#This Row],[COD_2_SAIDA]],TAB_ESTOQUE[[Codigo]:[Descrição Tecnica]],6,FALSE)</f>
        <v>FONTE SIEMENS  6EP1 333 1LB00</v>
      </c>
      <c r="C325" s="14">
        <f>IFERROR(VLOOKUP(TAB_SAIDA[[#This Row],[COD_2_SAIDA]],TAB_ESTOQUE[[Codigo]:[Referência Tec]],7,FALSE),"")</f>
        <v>0</v>
      </c>
      <c r="D325" s="14" t="str">
        <f>VLOOKUP(TAB_SAIDA[[#This Row],[COD_2_SAIDA]],TAB_ESTOQUE[[Codigo]:[Endereço2]],12,FALSE)</f>
        <v>B1103</v>
      </c>
      <c r="E325" s="81">
        <f>SUM(TAB_SAIDA[[#This Row],[20/05/2019]:[00/00/00]])</f>
        <v>0</v>
      </c>
      <c r="F325" s="3"/>
    </row>
    <row r="326" spans="1:590" ht="15" hidden="1" customHeight="1" x14ac:dyDescent="0.25">
      <c r="A326" s="5" t="s">
        <v>1983</v>
      </c>
      <c r="B326" s="14" t="str">
        <f>VLOOKUP(TAB_SAIDA[[#This Row],[COD_2_SAIDA]],TAB_ESTOQUE[[Codigo]:[Descrição Tecnica]],6,FALSE)</f>
        <v>KIT REPARO DA GERADORA DE VACUO 0109531 (PIAB)</v>
      </c>
      <c r="C326" s="14">
        <f>IFERROR(VLOOKUP(TAB_SAIDA[[#This Row],[COD_2_SAIDA]],TAB_ESTOQUE[[Codigo]:[Referência Tec]],7,FALSE),"")</f>
        <v>0</v>
      </c>
      <c r="D326" s="14" t="str">
        <f>VLOOKUP(TAB_SAIDA[[#This Row],[COD_2_SAIDA]],TAB_ESTOQUE[[Codigo]:[Endereço2]],12,FALSE)</f>
        <v>G2103</v>
      </c>
      <c r="E326" s="81">
        <f>SUM(TAB_SAIDA[[#This Row],[20/05/2019]:[00/00/00]])</f>
        <v>0</v>
      </c>
      <c r="F326" s="3"/>
    </row>
    <row r="327" spans="1:590" ht="15" hidden="1" customHeight="1" x14ac:dyDescent="0.25">
      <c r="A327" s="5" t="s">
        <v>1984</v>
      </c>
      <c r="B327" s="14" t="str">
        <f>VLOOKUP(TAB_SAIDA[[#This Row],[COD_2_SAIDA]],TAB_ESTOQUE[[Codigo]:[Descrição Tecnica]],6,FALSE)</f>
        <v>VALVULA PAINEL FRONTAL SV-5-M5-B</v>
      </c>
      <c r="C327" s="14">
        <f>IFERROR(VLOOKUP(TAB_SAIDA[[#This Row],[COD_2_SAIDA]],TAB_ESTOQUE[[Codigo]:[Referência Tec]],7,FALSE),"")</f>
        <v>0</v>
      </c>
      <c r="D327" s="14" t="str">
        <f>VLOOKUP(TAB_SAIDA[[#This Row],[COD_2_SAIDA]],TAB_ESTOQUE[[Codigo]:[Endereço2]],12,FALSE)</f>
        <v>C1204</v>
      </c>
      <c r="E327" s="81">
        <f>SUM(TAB_SAIDA[[#This Row],[20/05/2019]:[00/00/00]])</f>
        <v>0</v>
      </c>
      <c r="F327" s="3"/>
    </row>
    <row r="328" spans="1:590" ht="15" hidden="1" customHeight="1" x14ac:dyDescent="0.25">
      <c r="A328" s="5" t="s">
        <v>1985</v>
      </c>
      <c r="B328" s="14" t="str">
        <f>VLOOKUP(TAB_SAIDA[[#This Row],[COD_2_SAIDA]],TAB_ESTOQUE[[Codigo]:[Descrição Tecnica]],6,FALSE)</f>
        <v>PRESSOSTATO K53P</v>
      </c>
      <c r="C328" s="14">
        <f>IFERROR(VLOOKUP(TAB_SAIDA[[#This Row],[COD_2_SAIDA]],TAB_ESTOQUE[[Codigo]:[Referência Tec]],7,FALSE),"")</f>
        <v>0</v>
      </c>
      <c r="D328" s="14" t="str">
        <f>VLOOKUP(TAB_SAIDA[[#This Row],[COD_2_SAIDA]],TAB_ESTOQUE[[Codigo]:[Endereço2]],12,FALSE)</f>
        <v>D1303</v>
      </c>
      <c r="E328" s="81">
        <f>SUM(TAB_SAIDA[[#This Row],[20/05/2019]:[00/00/00]])</f>
        <v>0</v>
      </c>
      <c r="F328" s="3"/>
    </row>
    <row r="329" spans="1:590" ht="15" hidden="1" customHeight="1" x14ac:dyDescent="0.25">
      <c r="A329" s="5" t="s">
        <v>1986</v>
      </c>
      <c r="B329" s="14" t="str">
        <f>VLOOKUP(TAB_SAIDA[[#This Row],[COD_2_SAIDA]],TAB_ESTOQUE[[Codigo]:[Descrição Tecnica]],6,FALSE)</f>
        <v>SENSOR DFO0064 BFO D22-XAP-LB-EAK-30-02 (BALLUFF)</v>
      </c>
      <c r="C329" s="14">
        <f>IFERROR(VLOOKUP(TAB_SAIDA[[#This Row],[COD_2_SAIDA]],TAB_ESTOQUE[[Codigo]:[Referência Tec]],7,FALSE),"")</f>
        <v>0</v>
      </c>
      <c r="D329" s="14" t="str">
        <f>VLOOKUP(TAB_SAIDA[[#This Row],[COD_2_SAIDA]],TAB_ESTOQUE[[Codigo]:[Endereço2]],12,FALSE)</f>
        <v>A2203</v>
      </c>
      <c r="E329" s="81">
        <f>SUM(TAB_SAIDA[[#This Row],[20/05/2019]:[00/00/00]])</f>
        <v>0</v>
      </c>
      <c r="F329" s="3"/>
    </row>
    <row r="330" spans="1:590" ht="15" hidden="1" customHeight="1" x14ac:dyDescent="0.25">
      <c r="A330" s="5" t="s">
        <v>1987</v>
      </c>
      <c r="B330" s="14" t="str">
        <f>VLOOKUP(TAB_SAIDA[[#This Row],[COD_2_SAIDA]],TAB_ESTOQUE[[Codigo]:[Descrição Tecnica]],6,FALSE)</f>
        <v>PROGRAMADOR TM-DSDINA4 220VCA (METALTEX)</v>
      </c>
      <c r="C330" s="14">
        <f>IFERROR(VLOOKUP(TAB_SAIDA[[#This Row],[COD_2_SAIDA]],TAB_ESTOQUE[[Codigo]:[Referência Tec]],7,FALSE),"")</f>
        <v>0</v>
      </c>
      <c r="D330" s="14" t="str">
        <f>VLOOKUP(TAB_SAIDA[[#This Row],[COD_2_SAIDA]],TAB_ESTOQUE[[Codigo]:[Endereço2]],12,FALSE)</f>
        <v>A2104</v>
      </c>
      <c r="E330" s="81">
        <f>SUM(TAB_SAIDA[[#This Row],[20/05/2019]:[00/00/00]])</f>
        <v>0</v>
      </c>
      <c r="F330" s="3"/>
    </row>
    <row r="331" spans="1:590" ht="15" hidden="1" customHeight="1" x14ac:dyDescent="0.25">
      <c r="A331" s="5" t="s">
        <v>1988</v>
      </c>
      <c r="B331" s="14" t="str">
        <f>VLOOKUP(TAB_SAIDA[[#This Row],[COD_2_SAIDA]],TAB_ESTOQUE[[Codigo]:[Descrição Tecnica]],6,FALSE)</f>
        <v>VALVULA ESCAPE RAPIDO Q2000-01</v>
      </c>
      <c r="C331" s="14">
        <f>IFERROR(VLOOKUP(TAB_SAIDA[[#This Row],[COD_2_SAIDA]],TAB_ESTOQUE[[Codigo]:[Referência Tec]],7,FALSE),"")</f>
        <v>0</v>
      </c>
      <c r="D331" s="14" t="str">
        <f>VLOOKUP(TAB_SAIDA[[#This Row],[COD_2_SAIDA]],TAB_ESTOQUE[[Codigo]:[Endereço2]],12,FALSE)</f>
        <v>D1303</v>
      </c>
      <c r="E331" s="81">
        <f>SUM(TAB_SAIDA[[#This Row],[20/05/2019]:[00/00/00]])</f>
        <v>0</v>
      </c>
      <c r="F331" s="3"/>
    </row>
    <row r="332" spans="1:590" ht="15" hidden="1" customHeight="1" x14ac:dyDescent="0.25">
      <c r="A332" s="5" t="s">
        <v>1989</v>
      </c>
      <c r="B332" s="14" t="str">
        <f>VLOOKUP(TAB_SAIDA[[#This Row],[COD_2_SAIDA]],TAB_ESTOQUE[[Codigo]:[Descrição Tecnica]],6,FALSE)</f>
        <v>BOMBA BARMAG 6 CM 1502924</v>
      </c>
      <c r="C332" s="14">
        <f>IFERROR(VLOOKUP(TAB_SAIDA[[#This Row],[COD_2_SAIDA]],TAB_ESTOQUE[[Codigo]:[Referência Tec]],7,FALSE),"")</f>
        <v>0</v>
      </c>
      <c r="D332" s="14" t="str">
        <f>VLOOKUP(TAB_SAIDA[[#This Row],[COD_2_SAIDA]],TAB_ESTOQUE[[Codigo]:[Endereço2]],12,FALSE)</f>
        <v>D1204</v>
      </c>
      <c r="E332" s="81">
        <f>SUM(TAB_SAIDA[[#This Row],[20/05/2019]:[00/00/00]])</f>
        <v>0</v>
      </c>
      <c r="F332" s="3"/>
    </row>
    <row r="333" spans="1:590" ht="15" hidden="1" customHeight="1" x14ac:dyDescent="0.25">
      <c r="A333" s="5" t="s">
        <v>1990</v>
      </c>
      <c r="B333" s="14" t="str">
        <f>VLOOKUP(TAB_SAIDA[[#This Row],[COD_2_SAIDA]],TAB_ESTOQUE[[Codigo]:[Descrição Tecnica]],6,FALSE)</f>
        <v>KIT PRENSA EPILA (M15/M16)</v>
      </c>
      <c r="C333" s="14">
        <f>IFERROR(VLOOKUP(TAB_SAIDA[[#This Row],[COD_2_SAIDA]],TAB_ESTOQUE[[Codigo]:[Referência Tec]],7,FALSE),"")</f>
        <v>0</v>
      </c>
      <c r="D333" s="14" t="str">
        <f>VLOOKUP(TAB_SAIDA[[#This Row],[COD_2_SAIDA]],TAB_ESTOQUE[[Codigo]:[Endereço2]],12,FALSE)</f>
        <v>D1205</v>
      </c>
      <c r="E333" s="81">
        <f>SUM(TAB_SAIDA[[#This Row],[20/05/2019]:[00/00/00]])</f>
        <v>0</v>
      </c>
      <c r="F333" s="3"/>
    </row>
    <row r="334" spans="1:590" ht="15" hidden="1" customHeight="1" x14ac:dyDescent="0.25">
      <c r="A334" s="5" t="s">
        <v>1991</v>
      </c>
      <c r="B334" s="14" t="str">
        <f>VLOOKUP(TAB_SAIDA[[#This Row],[COD_2_SAIDA]],TAB_ESTOQUE[[Codigo]:[Descrição Tecnica]],6,FALSE)</f>
        <v>KIT PRENSA EPILA (M21)</v>
      </c>
      <c r="C334" s="14">
        <f>IFERROR(VLOOKUP(TAB_SAIDA[[#This Row],[COD_2_SAIDA]],TAB_ESTOQUE[[Codigo]:[Referência Tec]],7,FALSE),"")</f>
        <v>0</v>
      </c>
      <c r="D334" s="14" t="str">
        <f>VLOOKUP(TAB_SAIDA[[#This Row],[COD_2_SAIDA]],TAB_ESTOQUE[[Codigo]:[Endereço2]],12,FALSE)</f>
        <v>D1205</v>
      </c>
      <c r="E334" s="81">
        <f>SUM(TAB_SAIDA[[#This Row],[20/05/2019]:[00/00/00]])</f>
        <v>0</v>
      </c>
      <c r="F334" s="3"/>
    </row>
    <row r="335" spans="1:590" ht="15" hidden="1" customHeight="1" x14ac:dyDescent="0.25">
      <c r="A335" s="5" t="s">
        <v>1992</v>
      </c>
      <c r="B335" s="14" t="str">
        <f>VLOOKUP(TAB_SAIDA[[#This Row],[COD_2_SAIDA]],TAB_ESTOQUE[[Codigo]:[Descrição Tecnica]],6,FALSE)</f>
        <v>KIT PRENSA EPILA FCE001896/T</v>
      </c>
      <c r="C335" s="14">
        <f>IFERROR(VLOOKUP(TAB_SAIDA[[#This Row],[COD_2_SAIDA]],TAB_ESTOQUE[[Codigo]:[Referência Tec]],7,FALSE),"")</f>
        <v>0</v>
      </c>
      <c r="D335" s="14" t="str">
        <f>VLOOKUP(TAB_SAIDA[[#This Row],[COD_2_SAIDA]],TAB_ESTOQUE[[Codigo]:[Endereço2]],12,FALSE)</f>
        <v>D1205</v>
      </c>
      <c r="E335" s="81">
        <f>SUM(TAB_SAIDA[[#This Row],[20/05/2019]:[00/00/00]])</f>
        <v>0</v>
      </c>
      <c r="F335" s="3"/>
    </row>
    <row r="336" spans="1:590" ht="15" hidden="1" customHeight="1" x14ac:dyDescent="0.25">
      <c r="A336" s="5" t="s">
        <v>1993</v>
      </c>
      <c r="B336" s="14" t="str">
        <f>VLOOKUP(TAB_SAIDA[[#This Row],[COD_2_SAIDA]],TAB_ESTOQUE[[Codigo]:[Descrição Tecnica]],6,FALSE)</f>
        <v>IHM SIEMENS KTP400 6AV6 647-0AK11-3AX0</v>
      </c>
      <c r="C336" s="14">
        <f>IFERROR(VLOOKUP(TAB_SAIDA[[#This Row],[COD_2_SAIDA]],TAB_ESTOQUE[[Codigo]:[Referência Tec]],7,FALSE),"")</f>
        <v>0</v>
      </c>
      <c r="D336" s="14" t="str">
        <f>VLOOKUP(TAB_SAIDA[[#This Row],[COD_2_SAIDA]],TAB_ESTOQUE[[Codigo]:[Endereço2]],12,FALSE)</f>
        <v>A2102</v>
      </c>
      <c r="E336" s="81">
        <f>SUM(TAB_SAIDA[[#This Row],[20/05/2019]:[00/00/00]])</f>
        <v>0</v>
      </c>
      <c r="F336" s="3"/>
    </row>
    <row r="337" spans="1:584" ht="15" hidden="1" customHeight="1" x14ac:dyDescent="0.25">
      <c r="A337" s="5" t="s">
        <v>1994</v>
      </c>
      <c r="B337" s="14" t="str">
        <f>VLOOKUP(TAB_SAIDA[[#This Row],[COD_2_SAIDA]],TAB_ESTOQUE[[Codigo]:[Descrição Tecnica]],6,FALSE)</f>
        <v>PARAFUSADEIRA TIPO EMBREAGEM PUMA-AT-4054</v>
      </c>
      <c r="C337" s="14">
        <f>IFERROR(VLOOKUP(TAB_SAIDA[[#This Row],[COD_2_SAIDA]],TAB_ESTOQUE[[Codigo]:[Referência Tec]],7,FALSE),"")</f>
        <v>0</v>
      </c>
      <c r="D337" s="14" t="str">
        <f>VLOOKUP(TAB_SAIDA[[#This Row],[COD_2_SAIDA]],TAB_ESTOQUE[[Codigo]:[Endereço2]],12,FALSE)</f>
        <v>C1204</v>
      </c>
      <c r="E337" s="81">
        <f>SUM(TAB_SAIDA[[#This Row],[20/05/2019]:[00/00/00]])</f>
        <v>1</v>
      </c>
      <c r="F337" s="3"/>
      <c r="TM337" s="3">
        <v>1</v>
      </c>
    </row>
    <row r="338" spans="1:584" ht="15" hidden="1" customHeight="1" x14ac:dyDescent="0.25">
      <c r="A338" s="5" t="s">
        <v>1995</v>
      </c>
      <c r="B338" s="14" t="str">
        <f>VLOOKUP(TAB_SAIDA[[#This Row],[COD_2_SAIDA]],TAB_ESTOQUE[[Codigo]:[Descrição Tecnica]],6,FALSE)</f>
        <v>AMORTECEDOR MOLA GAS 150N</v>
      </c>
      <c r="C338" s="14">
        <f>IFERROR(VLOOKUP(TAB_SAIDA[[#This Row],[COD_2_SAIDA]],TAB_ESTOQUE[[Codigo]:[Referência Tec]],7,FALSE),"")</f>
        <v>0</v>
      </c>
      <c r="D338" s="14" t="str">
        <f>VLOOKUP(TAB_SAIDA[[#This Row],[COD_2_SAIDA]],TAB_ESTOQUE[[Codigo]:[Endereço2]],12,FALSE)</f>
        <v>D2303</v>
      </c>
      <c r="E338" s="81">
        <f>SUM(TAB_SAIDA[[#This Row],[20/05/2019]:[00/00/00]])</f>
        <v>11</v>
      </c>
      <c r="F338" s="3"/>
      <c r="VL338" s="3">
        <v>11</v>
      </c>
    </row>
    <row r="339" spans="1:584" ht="15" hidden="1" customHeight="1" x14ac:dyDescent="0.25">
      <c r="A339" s="5" t="s">
        <v>1996</v>
      </c>
      <c r="B339" s="14" t="str">
        <f>VLOOKUP(TAB_SAIDA[[#This Row],[COD_2_SAIDA]],TAB_ESTOQUE[[Codigo]:[Descrição Tecnica]],6,FALSE)</f>
        <v>KIT REPARO DO CILINDRO PNEUMATICO DSBC/G-32</v>
      </c>
      <c r="C339" s="14">
        <f>IFERROR(VLOOKUP(TAB_SAIDA[[#This Row],[COD_2_SAIDA]],TAB_ESTOQUE[[Codigo]:[Referência Tec]],7,FALSE),"")</f>
        <v>0</v>
      </c>
      <c r="D339" s="14" t="str">
        <f>VLOOKUP(TAB_SAIDA[[#This Row],[COD_2_SAIDA]],TAB_ESTOQUE[[Codigo]:[Endereço2]],12,FALSE)</f>
        <v>C1104</v>
      </c>
      <c r="E339" s="81">
        <f>SUM(TAB_SAIDA[[#This Row],[20/05/2019]:[00/00/00]])</f>
        <v>0</v>
      </c>
      <c r="F339" s="3"/>
    </row>
    <row r="340" spans="1:584" ht="15" hidden="1" customHeight="1" x14ac:dyDescent="0.25">
      <c r="A340" s="5" t="s">
        <v>1997</v>
      </c>
      <c r="B340" s="14" t="str">
        <f>VLOOKUP(TAB_SAIDA[[#This Row],[COD_2_SAIDA]],TAB_ESTOQUE[[Codigo]:[Descrição Tecnica]],6,FALSE)</f>
        <v>CONEXÃO PNEUMÁTICA 90° 12mm</v>
      </c>
      <c r="C340" s="14">
        <f>IFERROR(VLOOKUP(TAB_SAIDA[[#This Row],[COD_2_SAIDA]],TAB_ESTOQUE[[Codigo]:[Referência Tec]],7,FALSE),"")</f>
        <v>0</v>
      </c>
      <c r="D340" s="14" t="str">
        <f>VLOOKUP(TAB_SAIDA[[#This Row],[COD_2_SAIDA]],TAB_ESTOQUE[[Codigo]:[Endereço2]],12,FALSE)</f>
        <v>C1302</v>
      </c>
      <c r="E340" s="81">
        <f>SUM(TAB_SAIDA[[#This Row],[20/05/2019]:[00/00/00]])</f>
        <v>0</v>
      </c>
      <c r="F340" s="3"/>
    </row>
    <row r="341" spans="1:584" ht="15" customHeight="1" x14ac:dyDescent="0.25">
      <c r="A341" s="5" t="s">
        <v>1998</v>
      </c>
      <c r="B341" s="14" t="str">
        <f>VLOOKUP(TAB_SAIDA[[#This Row],[COD_2_SAIDA]],TAB_ESTOQUE[[Codigo]:[Descrição Tecnica]],6,FALSE)</f>
        <v>CORPO PISTOLA VALCO MELTON 912XX231</v>
      </c>
      <c r="C341" s="14">
        <f>IFERROR(VLOOKUP(TAB_SAIDA[[#This Row],[COD_2_SAIDA]],TAB_ESTOQUE[[Codigo]:[Referência Tec]],7,FALSE),"")</f>
        <v>0</v>
      </c>
      <c r="D341" s="14" t="str">
        <f>VLOOKUP(TAB_SAIDA[[#This Row],[COD_2_SAIDA]],TAB_ESTOQUE[[Codigo]:[Endereço2]],12,FALSE)</f>
        <v>E2302</v>
      </c>
      <c r="E341" s="81">
        <f>SUM(TAB_SAIDA[[#This Row],[20/05/2019]:[00/00/00]])</f>
        <v>0</v>
      </c>
      <c r="F341" s="3"/>
    </row>
    <row r="342" spans="1:584" ht="15" hidden="1" customHeight="1" x14ac:dyDescent="0.25">
      <c r="A342" s="5" t="s">
        <v>1999</v>
      </c>
      <c r="B342" s="14" t="str">
        <f>VLOOKUP(TAB_SAIDA[[#This Row],[COD_2_SAIDA]],TAB_ESTOQUE[[Codigo]:[Descrição Tecnica]],6,FALSE)</f>
        <v>CABO  PARA SENSOR PILZ 5333130</v>
      </c>
      <c r="C342" s="14">
        <f>IFERROR(VLOOKUP(TAB_SAIDA[[#This Row],[COD_2_SAIDA]],TAB_ESTOQUE[[Codigo]:[Referência Tec]],7,FALSE),"")</f>
        <v>0</v>
      </c>
      <c r="D342" s="14" t="str">
        <f>VLOOKUP(TAB_SAIDA[[#This Row],[COD_2_SAIDA]],TAB_ESTOQUE[[Codigo]:[Endereço2]],12,FALSE)</f>
        <v>B2402</v>
      </c>
      <c r="E342" s="81">
        <f>SUM(TAB_SAIDA[[#This Row],[20/05/2019]:[00/00/00]])</f>
        <v>0</v>
      </c>
      <c r="F342" s="3"/>
    </row>
    <row r="343" spans="1:584" ht="15" hidden="1" customHeight="1" x14ac:dyDescent="0.25">
      <c r="A343" s="5" t="s">
        <v>2000</v>
      </c>
      <c r="B343" s="14" t="str">
        <f>VLOOKUP(TAB_SAIDA[[#This Row],[COD_2_SAIDA]],TAB_ESTOQUE[[Codigo]:[Descrição Tecnica]],6,FALSE)</f>
        <v>BARREIRA SCHMERSAL SLC 440COM-ER-0890-30 890mm</v>
      </c>
      <c r="C343" s="14">
        <f>IFERROR(VLOOKUP(TAB_SAIDA[[#This Row],[COD_2_SAIDA]],TAB_ESTOQUE[[Codigo]:[Referência Tec]],7,FALSE),"")</f>
        <v>0</v>
      </c>
      <c r="D343" s="14" t="str">
        <f>VLOOKUP(TAB_SAIDA[[#This Row],[COD_2_SAIDA]],TAB_ESTOQUE[[Codigo]:[Endereço2]],12,FALSE)</f>
        <v>B2401</v>
      </c>
      <c r="E343" s="81">
        <f>SUM(TAB_SAIDA[[#This Row],[20/05/2019]:[00/00/00]])</f>
        <v>0</v>
      </c>
      <c r="F343" s="3"/>
    </row>
    <row r="344" spans="1:584" ht="15" hidden="1" customHeight="1" x14ac:dyDescent="0.25">
      <c r="A344" s="5" t="s">
        <v>2001</v>
      </c>
      <c r="B344" s="14" t="str">
        <f>VLOOKUP(TAB_SAIDA[[#This Row],[COD_2_SAIDA]],TAB_ESTOQUE[[Codigo]:[Descrição Tecnica]],6,FALSE)</f>
        <v>CABO PARA SENSOR  3HAC72361</v>
      </c>
      <c r="C344" s="14">
        <f>IFERROR(VLOOKUP(TAB_SAIDA[[#This Row],[COD_2_SAIDA]],TAB_ESTOQUE[[Codigo]:[Referência Tec]],7,FALSE),"")</f>
        <v>0</v>
      </c>
      <c r="D344" s="14" t="str">
        <f>VLOOKUP(TAB_SAIDA[[#This Row],[COD_2_SAIDA]],TAB_ESTOQUE[[Codigo]:[Endereço2]],12,FALSE)</f>
        <v>B2402</v>
      </c>
      <c r="E344" s="81">
        <f>SUM(TAB_SAIDA[[#This Row],[20/05/2019]:[00/00/00]])</f>
        <v>0</v>
      </c>
      <c r="F344" s="3"/>
    </row>
    <row r="345" spans="1:584" ht="15" hidden="1" customHeight="1" x14ac:dyDescent="0.25">
      <c r="A345" s="5" t="s">
        <v>2002</v>
      </c>
      <c r="B345" s="14" t="str">
        <f>VLOOKUP(TAB_SAIDA[[#This Row],[COD_2_SAIDA]],TAB_ESTOQUE[[Codigo]:[Descrição Tecnica]],6,FALSE)</f>
        <v>CABO COM PLUG FESTO KMF1-24-10-LED</v>
      </c>
      <c r="C345" s="14">
        <f>IFERROR(VLOOKUP(TAB_SAIDA[[#This Row],[COD_2_SAIDA]],TAB_ESTOQUE[[Codigo]:[Referência Tec]],7,FALSE),"")</f>
        <v>0</v>
      </c>
      <c r="D345" s="14" t="str">
        <f>VLOOKUP(TAB_SAIDA[[#This Row],[COD_2_SAIDA]],TAB_ESTOQUE[[Codigo]:[Endereço2]],12,FALSE)</f>
        <v>B2402</v>
      </c>
      <c r="E345" s="81">
        <f>SUM(TAB_SAIDA[[#This Row],[20/05/2019]:[00/00/00]])</f>
        <v>0</v>
      </c>
      <c r="F345" s="3"/>
    </row>
    <row r="346" spans="1:584" ht="15" hidden="1" customHeight="1" x14ac:dyDescent="0.25">
      <c r="A346" s="5" t="s">
        <v>2003</v>
      </c>
      <c r="B346" s="14" t="str">
        <f>VLOOKUP(TAB_SAIDA[[#This Row],[COD_2_SAIDA]],TAB_ESTOQUE[[Codigo]:[Descrição Tecnica]],6,FALSE)</f>
        <v>KIT CILINDRO FESTO ADN-50-P-A</v>
      </c>
      <c r="C346" s="14">
        <f>IFERROR(VLOOKUP(TAB_SAIDA[[#This Row],[COD_2_SAIDA]],TAB_ESTOQUE[[Codigo]:[Referência Tec]],7,FALSE),"")</f>
        <v>0</v>
      </c>
      <c r="D346" s="14" t="str">
        <f>VLOOKUP(TAB_SAIDA[[#This Row],[COD_2_SAIDA]],TAB_ESTOQUE[[Codigo]:[Endereço2]],12,FALSE)</f>
        <v>C1104</v>
      </c>
      <c r="E346" s="81">
        <f>SUM(TAB_SAIDA[[#This Row],[20/05/2019]:[00/00/00]])</f>
        <v>0</v>
      </c>
      <c r="F346" s="3"/>
    </row>
    <row r="347" spans="1:584" ht="15" hidden="1" customHeight="1" x14ac:dyDescent="0.25">
      <c r="A347" s="5" t="s">
        <v>2004</v>
      </c>
      <c r="B347" s="14" t="str">
        <f>VLOOKUP(TAB_SAIDA[[#This Row],[COD_2_SAIDA]],TAB_ESTOQUE[[Codigo]:[Descrição Tecnica]],6,FALSE)</f>
        <v>BOMBA DE ÓLEO TERMICO DA RZR 4.500</v>
      </c>
      <c r="C347" s="14">
        <f>IFERROR(VLOOKUP(TAB_SAIDA[[#This Row],[COD_2_SAIDA]],TAB_ESTOQUE[[Codigo]:[Referência Tec]],7,FALSE),"")</f>
        <v>0</v>
      </c>
      <c r="D347" s="14" t="str">
        <f>VLOOKUP(TAB_SAIDA[[#This Row],[COD_2_SAIDA]],TAB_ESTOQUE[[Codigo]:[Endereço2]],12,FALSE)</f>
        <v>E2306</v>
      </c>
      <c r="E347" s="81">
        <f>SUM(TAB_SAIDA[[#This Row],[20/05/2019]:[00/00/00]])</f>
        <v>0</v>
      </c>
      <c r="F347" s="3"/>
    </row>
    <row r="348" spans="1:584" ht="15" hidden="1" customHeight="1" x14ac:dyDescent="0.25">
      <c r="A348" s="5" t="s">
        <v>2005</v>
      </c>
      <c r="B348" s="14" t="str">
        <f>VLOOKUP(TAB_SAIDA[[#This Row],[COD_2_SAIDA]],TAB_ESTOQUE[[Codigo]:[Descrição Tecnica]],6,FALSE)</f>
        <v>BOSCHERT 30-40</v>
      </c>
      <c r="C348" s="14">
        <f>IFERROR(VLOOKUP(TAB_SAIDA[[#This Row],[COD_2_SAIDA]],TAB_ESTOQUE[[Codigo]:[Referência Tec]],7,FALSE),"")</f>
        <v>0</v>
      </c>
      <c r="D348" s="14" t="str">
        <f>VLOOKUP(TAB_SAIDA[[#This Row],[COD_2_SAIDA]],TAB_ESTOQUE[[Codigo]:[Endereço2]],12,FALSE)</f>
        <v>F1205</v>
      </c>
      <c r="E348" s="81">
        <f>SUM(TAB_SAIDA[[#This Row],[20/05/2019]:[00/00/00]])</f>
        <v>0</v>
      </c>
      <c r="F348" s="3"/>
    </row>
    <row r="349" spans="1:584" ht="15" hidden="1" customHeight="1" x14ac:dyDescent="0.25">
      <c r="A349" s="5" t="s">
        <v>2006</v>
      </c>
      <c r="B349" s="14" t="str">
        <f>VLOOKUP(TAB_SAIDA[[#This Row],[COD_2_SAIDA]],TAB_ESTOQUE[[Codigo]:[Descrição Tecnica]],6,FALSE)</f>
        <v>BARREIRA DE LUZ SICK C4000 STANDARD C40E-0703CA010</v>
      </c>
      <c r="C349" s="14">
        <f>IFERROR(VLOOKUP(TAB_SAIDA[[#This Row],[COD_2_SAIDA]],TAB_ESTOQUE[[Codigo]:[Referência Tec]],7,FALSE),"")</f>
        <v>0</v>
      </c>
      <c r="D349" s="14" t="str">
        <f>VLOOKUP(TAB_SAIDA[[#This Row],[COD_2_SAIDA]],TAB_ESTOQUE[[Codigo]:[Endereço2]],12,FALSE)</f>
        <v>B2101</v>
      </c>
      <c r="E349" s="81">
        <f>SUM(TAB_SAIDA[[#This Row],[20/05/2019]:[00/00/00]])</f>
        <v>1</v>
      </c>
      <c r="F349" s="3"/>
      <c r="RK349" s="3">
        <v>1</v>
      </c>
    </row>
    <row r="350" spans="1:584" ht="15" hidden="1" customHeight="1" x14ac:dyDescent="0.25">
      <c r="A350" s="5" t="s">
        <v>2007</v>
      </c>
      <c r="B350" s="14" t="str">
        <f>VLOOKUP(TAB_SAIDA[[#This Row],[COD_2_SAIDA]],TAB_ESTOQUE[[Codigo]:[Descrição Tecnica]],6,FALSE)</f>
        <v>CONJUNTO BARREIRA DE LUZ SICK (C465-1203CT 400)  (C46E-1203CV 400)</v>
      </c>
      <c r="C350" s="14">
        <f>IFERROR(VLOOKUP(TAB_SAIDA[[#This Row],[COD_2_SAIDA]],TAB_ESTOQUE[[Codigo]:[Referência Tec]],7,FALSE),"")</f>
        <v>0</v>
      </c>
      <c r="D350" s="14" t="str">
        <f>VLOOKUP(TAB_SAIDA[[#This Row],[COD_2_SAIDA]],TAB_ESTOQUE[[Codigo]:[Endereço2]],12,FALSE)</f>
        <v>F1201</v>
      </c>
      <c r="E350" s="81">
        <f>SUM(TAB_SAIDA[[#This Row],[20/05/2019]:[00/00/00]])</f>
        <v>0</v>
      </c>
      <c r="F350" s="3"/>
    </row>
    <row r="351" spans="1:584" ht="15" hidden="1" customHeight="1" x14ac:dyDescent="0.25">
      <c r="A351" s="5" t="s">
        <v>2008</v>
      </c>
      <c r="B351" s="14" t="str">
        <f>VLOOKUP(TAB_SAIDA[[#This Row],[COD_2_SAIDA]],TAB_ESTOQUE[[Codigo]:[Descrição Tecnica]],6,FALSE)</f>
        <v>BARREIRA DE LUZ SICK C405-1503DA040</v>
      </c>
      <c r="C351" s="14">
        <f>IFERROR(VLOOKUP(TAB_SAIDA[[#This Row],[COD_2_SAIDA]],TAB_ESTOQUE[[Codigo]:[Referência Tec]],7,FALSE),"")</f>
        <v>0</v>
      </c>
      <c r="D351" s="14" t="str">
        <f>VLOOKUP(TAB_SAIDA[[#This Row],[COD_2_SAIDA]],TAB_ESTOQUE[[Codigo]:[Endereço2]],12,FALSE)</f>
        <v>F1401</v>
      </c>
      <c r="E351" s="81">
        <f>SUM(TAB_SAIDA[[#This Row],[20/05/2019]:[00/00/00]])</f>
        <v>0</v>
      </c>
      <c r="F351" s="3"/>
    </row>
    <row r="352" spans="1:584" ht="15" hidden="1" customHeight="1" x14ac:dyDescent="0.25">
      <c r="A352" s="5" t="s">
        <v>2009</v>
      </c>
      <c r="B352" s="14" t="str">
        <f>VLOOKUP(TAB_SAIDA[[#This Row],[COD_2_SAIDA]],TAB_ESTOQUE[[Codigo]:[Descrição Tecnica]],6,FALSE)</f>
        <v>CILINDRO PNEUMATICO 40-50 ADN</v>
      </c>
      <c r="C352" s="14">
        <f>IFERROR(VLOOKUP(TAB_SAIDA[[#This Row],[COD_2_SAIDA]],TAB_ESTOQUE[[Codigo]:[Referência Tec]],7,FALSE),"")</f>
        <v>0</v>
      </c>
      <c r="D352" s="14" t="str">
        <f>VLOOKUP(TAB_SAIDA[[#This Row],[COD_2_SAIDA]],TAB_ESTOQUE[[Codigo]:[Endereço2]],12,FALSE)</f>
        <v>C1105</v>
      </c>
      <c r="E352" s="81">
        <f>SUM(TAB_SAIDA[[#This Row],[20/05/2019]:[00/00/00]])</f>
        <v>0</v>
      </c>
      <c r="F352" s="3"/>
    </row>
    <row r="353" spans="1:623" ht="15" hidden="1" customHeight="1" x14ac:dyDescent="0.25">
      <c r="A353" s="5" t="s">
        <v>2010</v>
      </c>
      <c r="B353" s="14" t="str">
        <f>VLOOKUP(TAB_SAIDA[[#This Row],[COD_2_SAIDA]],TAB_ESTOQUE[[Codigo]:[Descrição Tecnica]],6,FALSE)</f>
        <v>VALVULA PNEUMATICA 3/2 VIAS COM 2 BOBINA 220V</v>
      </c>
      <c r="C353" s="14">
        <f>IFERROR(VLOOKUP(TAB_SAIDA[[#This Row],[COD_2_SAIDA]],TAB_ESTOQUE[[Codigo]:[Referência Tec]],7,FALSE),"")</f>
        <v>0</v>
      </c>
      <c r="D353" s="14" t="str">
        <f>VLOOKUP(TAB_SAIDA[[#This Row],[COD_2_SAIDA]],TAB_ESTOQUE[[Codigo]:[Endereço2]],12,FALSE)</f>
        <v>C1103</v>
      </c>
      <c r="E353" s="81">
        <f>SUM(TAB_SAIDA[[#This Row],[20/05/2019]:[00/00/00]])</f>
        <v>0</v>
      </c>
      <c r="F353" s="3"/>
    </row>
    <row r="354" spans="1:623" ht="15" hidden="1" customHeight="1" x14ac:dyDescent="0.25">
      <c r="A354" s="5" t="s">
        <v>2011</v>
      </c>
      <c r="B354" s="14" t="str">
        <f>VLOOKUP(TAB_SAIDA[[#This Row],[COD_2_SAIDA]],TAB_ESTOQUE[[Codigo]:[Descrição Tecnica]],6,FALSE)</f>
        <v>VALVULA PNEUMATICA 2/2 VIAS COM 2 BOBINA 220V</v>
      </c>
      <c r="C354" s="14">
        <f>IFERROR(VLOOKUP(TAB_SAIDA[[#This Row],[COD_2_SAIDA]],TAB_ESTOQUE[[Codigo]:[Referência Tec]],7,FALSE),"")</f>
        <v>0</v>
      </c>
      <c r="D354" s="14" t="str">
        <f>VLOOKUP(TAB_SAIDA[[#This Row],[COD_2_SAIDA]],TAB_ESTOQUE[[Codigo]:[Endereço2]],12,FALSE)</f>
        <v>C1103</v>
      </c>
      <c r="E354" s="81">
        <f>SUM(TAB_SAIDA[[#This Row],[20/05/2019]:[00/00/00]])</f>
        <v>0</v>
      </c>
      <c r="F354" s="3"/>
    </row>
    <row r="355" spans="1:623" ht="15" hidden="1" customHeight="1" x14ac:dyDescent="0.25">
      <c r="A355" s="5" t="s">
        <v>2012</v>
      </c>
      <c r="B355" s="14" t="str">
        <f>VLOOKUP(TAB_SAIDA[[#This Row],[COD_2_SAIDA]],TAB_ESTOQUE[[Codigo]:[Descrição Tecnica]],6,FALSE)</f>
        <v>CILINDRO COMPACTO ADVU-63-100-P-A COM ROSCA EXTERNA NA HASTE</v>
      </c>
      <c r="C355" s="14">
        <f>IFERROR(VLOOKUP(TAB_SAIDA[[#This Row],[COD_2_SAIDA]],TAB_ESTOQUE[[Codigo]:[Referência Tec]],7,FALSE),"")</f>
        <v>0</v>
      </c>
      <c r="D355" s="14" t="str">
        <f>VLOOKUP(TAB_SAIDA[[#This Row],[COD_2_SAIDA]],TAB_ESTOQUE[[Codigo]:[Endereço2]],12,FALSE)</f>
        <v>C1105</v>
      </c>
      <c r="E355" s="81">
        <f>SUM(TAB_SAIDA[[#This Row],[20/05/2019]:[00/00/00]])</f>
        <v>0</v>
      </c>
      <c r="F355" s="3"/>
    </row>
    <row r="356" spans="1:623" ht="15" hidden="1" customHeight="1" x14ac:dyDescent="0.25">
      <c r="A356" s="5" t="s">
        <v>2013</v>
      </c>
      <c r="B356" s="14" t="str">
        <f>VLOOKUP(TAB_SAIDA[[#This Row],[COD_2_SAIDA]],TAB_ESTOQUE[[Codigo]:[Descrição Tecnica]],6,FALSE)</f>
        <v>SERVO MOTOR SEW EURODRIVE WA37B CMP50M/BK/KY/AKOH/SB1</v>
      </c>
      <c r="C356" s="14">
        <f>IFERROR(VLOOKUP(TAB_SAIDA[[#This Row],[COD_2_SAIDA]],TAB_ESTOQUE[[Codigo]:[Referência Tec]],7,FALSE),"")</f>
        <v>0</v>
      </c>
      <c r="D356" s="14" t="str">
        <f>VLOOKUP(TAB_SAIDA[[#This Row],[COD_2_SAIDA]],TAB_ESTOQUE[[Codigo]:[Endereço2]],12,FALSE)</f>
        <v>E2305</v>
      </c>
      <c r="E356" s="81">
        <f>SUM(TAB_SAIDA[[#This Row],[20/05/2019]:[00/00/00]])</f>
        <v>0</v>
      </c>
      <c r="F356" s="3"/>
    </row>
    <row r="357" spans="1:623" ht="15" hidden="1" customHeight="1" x14ac:dyDescent="0.25">
      <c r="A357" s="5" t="s">
        <v>2014</v>
      </c>
      <c r="B357" s="14" t="str">
        <f>VLOOKUP(TAB_SAIDA[[#This Row],[COD_2_SAIDA]],TAB_ESTOQUE[[Codigo]:[Descrição Tecnica]],6,FALSE)</f>
        <v>MANOMETRO ROSCA VERTICAL 1/4"NPT  400 BAR COM GLICERINA</v>
      </c>
      <c r="C357" s="14">
        <f>IFERROR(VLOOKUP(TAB_SAIDA[[#This Row],[COD_2_SAIDA]],TAB_ESTOQUE[[Codigo]:[Referência Tec]],7,FALSE),"")</f>
        <v>0</v>
      </c>
      <c r="D357" s="14" t="str">
        <f>VLOOKUP(TAB_SAIDA[[#This Row],[COD_2_SAIDA]],TAB_ESTOQUE[[Codigo]:[Endereço2]],12,FALSE)</f>
        <v>E2405</v>
      </c>
      <c r="E357" s="81">
        <f>SUM(TAB_SAIDA[[#This Row],[20/05/2019]:[00/00/00]])</f>
        <v>0</v>
      </c>
      <c r="F357" s="3"/>
    </row>
    <row r="358" spans="1:623" ht="15" hidden="1" customHeight="1" x14ac:dyDescent="0.25">
      <c r="A358" s="5" t="s">
        <v>2015</v>
      </c>
      <c r="B358" s="14" t="str">
        <f>VLOOKUP(TAB_SAIDA[[#This Row],[COD_2_SAIDA]],TAB_ESTOQUE[[Codigo]:[Descrição Tecnica]],6,FALSE)</f>
        <v>MANOMETRO INDICADOR DE SATURAÇÃO PÁRA FILTRO 1/8" COM ADAP.</v>
      </c>
      <c r="C358" s="14">
        <f>IFERROR(VLOOKUP(TAB_SAIDA[[#This Row],[COD_2_SAIDA]],TAB_ESTOQUE[[Codigo]:[Referência Tec]],7,FALSE),"")</f>
        <v>0</v>
      </c>
      <c r="D358" s="14" t="str">
        <f>VLOOKUP(TAB_SAIDA[[#This Row],[COD_2_SAIDA]],TAB_ESTOQUE[[Codigo]:[Endereço2]],12,FALSE)</f>
        <v>E2405</v>
      </c>
      <c r="E358" s="81">
        <f>SUM(TAB_SAIDA[[#This Row],[20/05/2019]:[00/00/00]])</f>
        <v>0</v>
      </c>
      <c r="F358" s="3"/>
    </row>
    <row r="359" spans="1:623" ht="15" hidden="1" customHeight="1" x14ac:dyDescent="0.25">
      <c r="A359" s="5" t="s">
        <v>2016</v>
      </c>
      <c r="B359" s="14" t="str">
        <f>VLOOKUP(TAB_SAIDA[[#This Row],[COD_2_SAIDA]],TAB_ESTOQUE[[Codigo]:[Descrição Tecnica]],6,FALSE)</f>
        <v>TERMOMETRO 150°C COM HASTE 60MM PARAFUSADA</v>
      </c>
      <c r="C359" s="14">
        <f>IFERROR(VLOOKUP(TAB_SAIDA[[#This Row],[COD_2_SAIDA]],TAB_ESTOQUE[[Codigo]:[Referência Tec]],7,FALSE),"")</f>
        <v>0</v>
      </c>
      <c r="D359" s="14" t="str">
        <f>VLOOKUP(TAB_SAIDA[[#This Row],[COD_2_SAIDA]],TAB_ESTOQUE[[Codigo]:[Endereço2]],12,FALSE)</f>
        <v>E2405</v>
      </c>
      <c r="E359" s="81">
        <f>SUM(TAB_SAIDA[[#This Row],[20/05/2019]:[00/00/00]])</f>
        <v>0</v>
      </c>
      <c r="F359" s="3"/>
    </row>
    <row r="360" spans="1:623" ht="15" hidden="1" customHeight="1" x14ac:dyDescent="0.25">
      <c r="A360" s="5" t="s">
        <v>2017</v>
      </c>
      <c r="B360" s="14" t="str">
        <f>VLOOKUP(TAB_SAIDA[[#This Row],[COD_2_SAIDA]],TAB_ESTOQUE[[Codigo]:[Descrição Tecnica]],6,FALSE)</f>
        <v>MANOMETRO COM ROSCA 1/4" VERTICAL 1500PSI 100BAR COM GLICERINA</v>
      </c>
      <c r="C360" s="14">
        <f>IFERROR(VLOOKUP(TAB_SAIDA[[#This Row],[COD_2_SAIDA]],TAB_ESTOQUE[[Codigo]:[Referência Tec]],7,FALSE),"")</f>
        <v>0</v>
      </c>
      <c r="D360" s="14" t="str">
        <f>VLOOKUP(TAB_SAIDA[[#This Row],[COD_2_SAIDA]],TAB_ESTOQUE[[Codigo]:[Endereço2]],12,FALSE)</f>
        <v>E2404</v>
      </c>
      <c r="E360" s="81">
        <f>SUM(TAB_SAIDA[[#This Row],[20/05/2019]:[00/00/00]])</f>
        <v>0</v>
      </c>
      <c r="F360" s="3"/>
    </row>
    <row r="361" spans="1:623" ht="15" hidden="1" customHeight="1" x14ac:dyDescent="0.25">
      <c r="A361" s="5" t="s">
        <v>2018</v>
      </c>
      <c r="B361" s="14" t="str">
        <f>VLOOKUP(TAB_SAIDA[[#This Row],[COD_2_SAIDA]],TAB_ESTOQUE[[Codigo]:[Descrição Tecnica]],6,FALSE)</f>
        <v>MANOMETRO COM ROSCA 1/2" VERTICAL 6000PSI 400BAR COM GLICERINA</v>
      </c>
      <c r="C361" s="14">
        <f>IFERROR(VLOOKUP(TAB_SAIDA[[#This Row],[COD_2_SAIDA]],TAB_ESTOQUE[[Codigo]:[Referência Tec]],7,FALSE),"")</f>
        <v>0</v>
      </c>
      <c r="D361" s="14" t="str">
        <f>VLOOKUP(TAB_SAIDA[[#This Row],[COD_2_SAIDA]],TAB_ESTOQUE[[Codigo]:[Endereço2]],12,FALSE)</f>
        <v>E2404</v>
      </c>
      <c r="E361" s="81">
        <f>SUM(TAB_SAIDA[[#This Row],[20/05/2019]:[00/00/00]])</f>
        <v>0</v>
      </c>
      <c r="F361" s="3"/>
    </row>
    <row r="362" spans="1:623" ht="15" hidden="1" customHeight="1" x14ac:dyDescent="0.25">
      <c r="A362" s="5" t="s">
        <v>2019</v>
      </c>
      <c r="B362" s="14" t="str">
        <f>VLOOKUP(TAB_SAIDA[[#This Row],[COD_2_SAIDA]],TAB_ESTOQUE[[Codigo]:[Descrição Tecnica]],6,FALSE)</f>
        <v>MANOMETRO COM ROSCA 1/2" HORIZONTAL 600PSI 400BAR COM GLICERINA</v>
      </c>
      <c r="C362" s="14">
        <f>IFERROR(VLOOKUP(TAB_SAIDA[[#This Row],[COD_2_SAIDA]],TAB_ESTOQUE[[Codigo]:[Referência Tec]],7,FALSE),"")</f>
        <v>0</v>
      </c>
      <c r="D362" s="14" t="str">
        <f>VLOOKUP(TAB_SAIDA[[#This Row],[COD_2_SAIDA]],TAB_ESTOQUE[[Codigo]:[Endereço2]],12,FALSE)</f>
        <v>E2404</v>
      </c>
      <c r="E362" s="81">
        <f>SUM(TAB_SAIDA[[#This Row],[20/05/2019]:[00/00/00]])</f>
        <v>0</v>
      </c>
      <c r="F362" s="3"/>
    </row>
    <row r="363" spans="1:623" ht="15" hidden="1" customHeight="1" x14ac:dyDescent="0.25">
      <c r="A363" s="5" t="s">
        <v>2020</v>
      </c>
      <c r="B363" s="14" t="str">
        <f>VLOOKUP(TAB_SAIDA[[#This Row],[COD_2_SAIDA]],TAB_ESTOQUE[[Codigo]:[Descrição Tecnica]],6,FALSE)</f>
        <v>MANOMETRO COM ROSCA 1/8" HORIZONTAL 140PSI 10 BAR</v>
      </c>
      <c r="C363" s="14">
        <f>IFERROR(VLOOKUP(TAB_SAIDA[[#This Row],[COD_2_SAIDA]],TAB_ESTOQUE[[Codigo]:[Referência Tec]],7,FALSE),"")</f>
        <v>0</v>
      </c>
      <c r="D363" s="14" t="str">
        <f>VLOOKUP(TAB_SAIDA[[#This Row],[COD_2_SAIDA]],TAB_ESTOQUE[[Codigo]:[Endereço2]],12,FALSE)</f>
        <v>E2404</v>
      </c>
      <c r="E363" s="81">
        <f>SUM(TAB_SAIDA[[#This Row],[20/05/2019]:[00/00/00]])</f>
        <v>0</v>
      </c>
      <c r="F363" s="3"/>
    </row>
    <row r="364" spans="1:623" ht="15" hidden="1" customHeight="1" x14ac:dyDescent="0.25">
      <c r="A364" s="5" t="s">
        <v>2021</v>
      </c>
      <c r="B364" s="14" t="str">
        <f>VLOOKUP(TAB_SAIDA[[#This Row],[COD_2_SAIDA]],TAB_ESTOQUE[[Codigo]:[Descrição Tecnica]],6,FALSE)</f>
        <v>VALVULA DIAFRAGMA 3/4" COM BOBINA 24V DC</v>
      </c>
      <c r="C364" s="14">
        <f>IFERROR(VLOOKUP(TAB_SAIDA[[#This Row],[COD_2_SAIDA]],TAB_ESTOQUE[[Codigo]:[Referência Tec]],7,FALSE),"")</f>
        <v>0</v>
      </c>
      <c r="D364" s="14" t="str">
        <f>VLOOKUP(TAB_SAIDA[[#This Row],[COD_2_SAIDA]],TAB_ESTOQUE[[Codigo]:[Endereço2]],12,FALSE)</f>
        <v>C1203</v>
      </c>
      <c r="E364" s="81">
        <f>SUM(TAB_SAIDA[[#This Row],[20/05/2019]:[00/00/00]])</f>
        <v>0</v>
      </c>
      <c r="F364" s="3"/>
    </row>
    <row r="365" spans="1:623" ht="15" hidden="1" customHeight="1" x14ac:dyDescent="0.25">
      <c r="A365" s="5" t="s">
        <v>2022</v>
      </c>
      <c r="B365" s="14" t="str">
        <f>VLOOKUP(TAB_SAIDA[[#This Row],[COD_2_SAIDA]],TAB_ESTOQUE[[Codigo]:[Descrição Tecnica]],6,FALSE)</f>
        <v>VALVULA DIAFRAGMA 1" COM BOBINA 24V DC</v>
      </c>
      <c r="C365" s="14">
        <f>IFERROR(VLOOKUP(TAB_SAIDA[[#This Row],[COD_2_SAIDA]],TAB_ESTOQUE[[Codigo]:[Referência Tec]],7,FALSE),"")</f>
        <v>0</v>
      </c>
      <c r="D365" s="14" t="str">
        <f>VLOOKUP(TAB_SAIDA[[#This Row],[COD_2_SAIDA]],TAB_ESTOQUE[[Codigo]:[Endereço2]],12,FALSE)</f>
        <v>C1203</v>
      </c>
      <c r="E365" s="81">
        <f>SUM(TAB_SAIDA[[#This Row],[20/05/2019]:[00/00/00]])</f>
        <v>0</v>
      </c>
      <c r="F365" s="3"/>
    </row>
    <row r="366" spans="1:623" ht="15" hidden="1" customHeight="1" x14ac:dyDescent="0.25">
      <c r="A366" s="5" t="s">
        <v>2023</v>
      </c>
      <c r="B366" s="14" t="str">
        <f>VLOOKUP(TAB_SAIDA[[#This Row],[COD_2_SAIDA]],TAB_ESTOQUE[[Codigo]:[Descrição Tecnica]],6,FALSE)</f>
        <v>CONEXÃO PNEUMÁTICA TIPO T 12mm</v>
      </c>
      <c r="C366" s="14">
        <f>IFERROR(VLOOKUP(TAB_SAIDA[[#This Row],[COD_2_SAIDA]],TAB_ESTOQUE[[Codigo]:[Referência Tec]],7,FALSE),"")</f>
        <v>0</v>
      </c>
      <c r="D366" s="14" t="str">
        <f>VLOOKUP(TAB_SAIDA[[#This Row],[COD_2_SAIDA]],TAB_ESTOQUE[[Codigo]:[Endereço2]],12,FALSE)</f>
        <v>C1302</v>
      </c>
      <c r="E366" s="81">
        <f>SUM(TAB_SAIDA[[#This Row],[20/05/2019]:[00/00/00]])</f>
        <v>1</v>
      </c>
      <c r="F366" s="3"/>
      <c r="WY366" s="3">
        <v>1</v>
      </c>
    </row>
    <row r="367" spans="1:623" ht="15" hidden="1" customHeight="1" x14ac:dyDescent="0.25">
      <c r="A367" s="5" t="s">
        <v>2024</v>
      </c>
      <c r="B367" s="14" t="str">
        <f>VLOOKUP(TAB_SAIDA[[#This Row],[COD_2_SAIDA]],TAB_ESTOQUE[[Codigo]:[Descrição Tecnica]],6,FALSE)</f>
        <v>SENSOR D-79183 IME08-02BPSZCOS 1051205</v>
      </c>
      <c r="C367" s="14">
        <f>IFERROR(VLOOKUP(TAB_SAIDA[[#This Row],[COD_2_SAIDA]],TAB_ESTOQUE[[Codigo]:[Referência Tec]],7,FALSE),"")</f>
        <v>0</v>
      </c>
      <c r="D367" s="14" t="str">
        <f>VLOOKUP(TAB_SAIDA[[#This Row],[COD_2_SAIDA]],TAB_ESTOQUE[[Codigo]:[Endereço2]],12,FALSE)</f>
        <v>A2203</v>
      </c>
      <c r="E367" s="81">
        <f>SUM(TAB_SAIDA[[#This Row],[20/05/2019]:[00/00/00]])</f>
        <v>0</v>
      </c>
      <c r="F367" s="3"/>
    </row>
    <row r="368" spans="1:623" ht="15" hidden="1" customHeight="1" x14ac:dyDescent="0.25">
      <c r="A368" s="5" t="s">
        <v>2025</v>
      </c>
      <c r="B368" s="14" t="str">
        <f>VLOOKUP(TAB_SAIDA[[#This Row],[COD_2_SAIDA]],TAB_ESTOQUE[[Codigo]:[Descrição Tecnica]],6,FALSE)</f>
        <v>CONEXÃO PNEUMÁTICA  10mm COM ROSCA 3/4"</v>
      </c>
      <c r="C368" s="14">
        <f>IFERROR(VLOOKUP(TAB_SAIDA[[#This Row],[COD_2_SAIDA]],TAB_ESTOQUE[[Codigo]:[Referência Tec]],7,FALSE),"")</f>
        <v>0</v>
      </c>
      <c r="D368" s="14" t="str">
        <f>VLOOKUP(TAB_SAIDA[[#This Row],[COD_2_SAIDA]],TAB_ESTOQUE[[Codigo]:[Endereço2]],12,FALSE)</f>
        <v>C1304</v>
      </c>
      <c r="E368" s="81">
        <f>SUM(TAB_SAIDA[[#This Row],[20/05/2019]:[00/00/00]])</f>
        <v>0</v>
      </c>
      <c r="F368" s="3"/>
    </row>
    <row r="369" spans="1:625" ht="15" hidden="1" customHeight="1" x14ac:dyDescent="0.25">
      <c r="A369" s="5" t="s">
        <v>2026</v>
      </c>
      <c r="B369" s="14" t="str">
        <f>VLOOKUP(TAB_SAIDA[[#This Row],[COD_2_SAIDA]],TAB_ESTOQUE[[Codigo]:[Descrição Tecnica]],6,FALSE)</f>
        <v>CONEXÃO PNEUMÁTICA 90° 6mm</v>
      </c>
      <c r="C369" s="14">
        <f>IFERROR(VLOOKUP(TAB_SAIDA[[#This Row],[COD_2_SAIDA]],TAB_ESTOQUE[[Codigo]:[Referência Tec]],7,FALSE),"")</f>
        <v>0</v>
      </c>
      <c r="D369" s="14" t="str">
        <f>VLOOKUP(TAB_SAIDA[[#This Row],[COD_2_SAIDA]],TAB_ESTOQUE[[Codigo]:[Endereço2]],12,FALSE)</f>
        <v>C1302</v>
      </c>
      <c r="E369" s="81">
        <f>SUM(TAB_SAIDA[[#This Row],[20/05/2019]:[00/00/00]])</f>
        <v>0</v>
      </c>
      <c r="F369" s="3"/>
    </row>
    <row r="370" spans="1:625" ht="15" hidden="1" customHeight="1" x14ac:dyDescent="0.25">
      <c r="A370" s="5" t="s">
        <v>2027</v>
      </c>
      <c r="B370" s="14" t="str">
        <f>VLOOKUP(TAB_SAIDA[[#This Row],[COD_2_SAIDA]],TAB_ESTOQUE[[Codigo]:[Descrição Tecnica]],6,FALSE)</f>
        <v>CONEXÃO PNEUMÁTICA 10mm COM ROSCA 1/4"</v>
      </c>
      <c r="C370" s="14">
        <f>IFERROR(VLOOKUP(TAB_SAIDA[[#This Row],[COD_2_SAIDA]],TAB_ESTOQUE[[Codigo]:[Referência Tec]],7,FALSE),"")</f>
        <v>0</v>
      </c>
      <c r="D370" s="14" t="str">
        <f>VLOOKUP(TAB_SAIDA[[#This Row],[COD_2_SAIDA]],TAB_ESTOQUE[[Codigo]:[Endereço2]],12,FALSE)</f>
        <v>C1304</v>
      </c>
      <c r="E370" s="81">
        <f>SUM(TAB_SAIDA[[#This Row],[20/05/2019]:[00/00/00]])</f>
        <v>11</v>
      </c>
      <c r="F370" s="3"/>
      <c r="SH370" s="3">
        <v>2</v>
      </c>
      <c r="SJ370" s="3">
        <v>1</v>
      </c>
      <c r="SL370" s="3">
        <v>4</v>
      </c>
      <c r="SN370" s="3">
        <v>1</v>
      </c>
      <c r="SU370" s="3">
        <v>1</v>
      </c>
      <c r="SW370" s="3">
        <v>2</v>
      </c>
    </row>
    <row r="371" spans="1:625" ht="15" hidden="1" customHeight="1" x14ac:dyDescent="0.25">
      <c r="A371" s="5" t="s">
        <v>2028</v>
      </c>
      <c r="B371" s="14" t="str">
        <f>VLOOKUP(TAB_SAIDA[[#This Row],[COD_2_SAIDA]],TAB_ESTOQUE[[Codigo]:[Descrição Tecnica]],6,FALSE)</f>
        <v>CONEXÃO PNEUTÁTICA 10mm COM ROSCA 1/2"</v>
      </c>
      <c r="C371" s="14">
        <f>IFERROR(VLOOKUP(TAB_SAIDA[[#This Row],[COD_2_SAIDA]],TAB_ESTOQUE[[Codigo]:[Referência Tec]],7,FALSE),"")</f>
        <v>0</v>
      </c>
      <c r="D371" s="14" t="str">
        <f>VLOOKUP(TAB_SAIDA[[#This Row],[COD_2_SAIDA]],TAB_ESTOQUE[[Codigo]:[Endereço2]],12,FALSE)</f>
        <v>C1304</v>
      </c>
      <c r="E371" s="81">
        <f>SUM(TAB_SAIDA[[#This Row],[20/05/2019]:[00/00/00]])</f>
        <v>2</v>
      </c>
      <c r="F371" s="3"/>
      <c r="SH371" s="3">
        <v>1</v>
      </c>
      <c r="WO371" s="3">
        <v>1</v>
      </c>
    </row>
    <row r="372" spans="1:625" ht="15" hidden="1" customHeight="1" x14ac:dyDescent="0.25">
      <c r="A372" s="5" t="s">
        <v>2029</v>
      </c>
      <c r="B372" s="14" t="str">
        <f>VLOOKUP(TAB_SAIDA[[#This Row],[COD_2_SAIDA]],TAB_ESTOQUE[[Codigo]:[Descrição Tecnica]],6,FALSE)</f>
        <v>CONEXÃO PNEUMÁTICA 8mm COM ROSCA 3/4"</v>
      </c>
      <c r="C372" s="14">
        <f>IFERROR(VLOOKUP(TAB_SAIDA[[#This Row],[COD_2_SAIDA]],TAB_ESTOQUE[[Codigo]:[Referência Tec]],7,FALSE),"")</f>
        <v>0</v>
      </c>
      <c r="D372" s="14" t="str">
        <f>VLOOKUP(TAB_SAIDA[[#This Row],[COD_2_SAIDA]],TAB_ESTOQUE[[Codigo]:[Endereço2]],12,FALSE)</f>
        <v>C1304</v>
      </c>
      <c r="E372" s="81">
        <f>SUM(TAB_SAIDA[[#This Row],[20/05/2019]:[00/00/00]])</f>
        <v>0</v>
      </c>
      <c r="F372" s="3"/>
    </row>
    <row r="373" spans="1:625" ht="15" hidden="1" customHeight="1" x14ac:dyDescent="0.25">
      <c r="A373" s="5" t="s">
        <v>2030</v>
      </c>
      <c r="B373" s="14" t="str">
        <f>VLOOKUP(TAB_SAIDA[[#This Row],[COD_2_SAIDA]],TAB_ESTOQUE[[Codigo]:[Descrição Tecnica]],6,FALSE)</f>
        <v>CONEXÃO PNEUMÁTICA 90° 8mm</v>
      </c>
      <c r="C373" s="14">
        <f>IFERROR(VLOOKUP(TAB_SAIDA[[#This Row],[COD_2_SAIDA]],TAB_ESTOQUE[[Codigo]:[Referência Tec]],7,FALSE),"")</f>
        <v>0</v>
      </c>
      <c r="D373" s="14" t="str">
        <f>VLOOKUP(TAB_SAIDA[[#This Row],[COD_2_SAIDA]],TAB_ESTOQUE[[Codigo]:[Endereço2]],12,FALSE)</f>
        <v>C1302</v>
      </c>
      <c r="E373" s="81">
        <f>SUM(TAB_SAIDA[[#This Row],[20/05/2019]:[00/00/00]])</f>
        <v>6</v>
      </c>
      <c r="F373" s="3"/>
      <c r="SJ373" s="3">
        <v>4</v>
      </c>
      <c r="SU373" s="3">
        <v>1</v>
      </c>
      <c r="TK373" s="3">
        <v>1</v>
      </c>
    </row>
    <row r="374" spans="1:625" ht="15" hidden="1" customHeight="1" x14ac:dyDescent="0.25">
      <c r="A374" s="5" t="s">
        <v>2031</v>
      </c>
      <c r="B374" s="14" t="str">
        <f>VLOOKUP(TAB_SAIDA[[#This Row],[COD_2_SAIDA]],TAB_ESTOQUE[[Codigo]:[Descrição Tecnica]],6,FALSE)</f>
        <v>CONEXÃO PNEUMÁTICA 8mm COM ROSCA 1/4"</v>
      </c>
      <c r="C374" s="14">
        <f>IFERROR(VLOOKUP(TAB_SAIDA[[#This Row],[COD_2_SAIDA]],TAB_ESTOQUE[[Codigo]:[Referência Tec]],7,FALSE),"")</f>
        <v>0</v>
      </c>
      <c r="D374" s="14" t="str">
        <f>VLOOKUP(TAB_SAIDA[[#This Row],[COD_2_SAIDA]],TAB_ESTOQUE[[Codigo]:[Endereço2]],12,FALSE)</f>
        <v>C1304</v>
      </c>
      <c r="E374" s="81">
        <f>SUM(TAB_SAIDA[[#This Row],[20/05/2019]:[00/00/00]])</f>
        <v>13</v>
      </c>
      <c r="F374" s="3"/>
      <c r="RF374" s="3">
        <v>1</v>
      </c>
      <c r="RZ374" s="3">
        <v>1</v>
      </c>
      <c r="SJ374" s="3">
        <v>3</v>
      </c>
      <c r="WH374" s="3">
        <v>1</v>
      </c>
      <c r="WL374" s="3">
        <v>1</v>
      </c>
      <c r="WO374" s="3">
        <v>2</v>
      </c>
      <c r="WR374" s="3">
        <v>1</v>
      </c>
      <c r="WV374" s="3">
        <v>1</v>
      </c>
      <c r="WY374" s="3">
        <v>1</v>
      </c>
      <c r="XA374" s="3">
        <v>1</v>
      </c>
    </row>
    <row r="375" spans="1:625" ht="15" hidden="1" customHeight="1" x14ac:dyDescent="0.25">
      <c r="A375" s="5" t="s">
        <v>2032</v>
      </c>
      <c r="B375" s="14" t="str">
        <f>VLOOKUP(TAB_SAIDA[[#This Row],[COD_2_SAIDA]],TAB_ESTOQUE[[Codigo]:[Descrição Tecnica]],6,FALSE)</f>
        <v>CONEXÃO PNEUMÁTICA TIPO CRUZETA 10mm</v>
      </c>
      <c r="C375" s="14">
        <f>IFERROR(VLOOKUP(TAB_SAIDA[[#This Row],[COD_2_SAIDA]],TAB_ESTOQUE[[Codigo]:[Referência Tec]],7,FALSE),"")</f>
        <v>0</v>
      </c>
      <c r="D375" s="14" t="str">
        <f>VLOOKUP(TAB_SAIDA[[#This Row],[COD_2_SAIDA]],TAB_ESTOQUE[[Codigo]:[Endereço2]],12,FALSE)</f>
        <v>C1302</v>
      </c>
      <c r="E375" s="81">
        <f>SUM(TAB_SAIDA[[#This Row],[20/05/2019]:[00/00/00]])</f>
        <v>1</v>
      </c>
      <c r="F375" s="3"/>
      <c r="TL375" s="3">
        <v>1</v>
      </c>
    </row>
    <row r="376" spans="1:625" ht="15" hidden="1" customHeight="1" x14ac:dyDescent="0.25">
      <c r="A376" s="5" t="s">
        <v>2033</v>
      </c>
      <c r="B376" s="14" t="str">
        <f>VLOOKUP(TAB_SAIDA[[#This Row],[COD_2_SAIDA]],TAB_ESTOQUE[[Codigo]:[Descrição Tecnica]],6,FALSE)</f>
        <v>CONEXÃO PNEUMÁTICA 8mm COM ROSCA 1/2"</v>
      </c>
      <c r="C376" s="14">
        <f>IFERROR(VLOOKUP(TAB_SAIDA[[#This Row],[COD_2_SAIDA]],TAB_ESTOQUE[[Codigo]:[Referência Tec]],7,FALSE),"")</f>
        <v>0</v>
      </c>
      <c r="D376" s="14" t="str">
        <f>VLOOKUP(TAB_SAIDA[[#This Row],[COD_2_SAIDA]],TAB_ESTOQUE[[Codigo]:[Endereço2]],12,FALSE)</f>
        <v>C1304</v>
      </c>
      <c r="E376" s="81">
        <f>SUM(TAB_SAIDA[[#This Row],[20/05/2019]:[00/00/00]])</f>
        <v>1</v>
      </c>
      <c r="F376" s="3"/>
      <c r="SH376" s="3">
        <v>1</v>
      </c>
    </row>
    <row r="377" spans="1:625" ht="15" hidden="1" customHeight="1" x14ac:dyDescent="0.25">
      <c r="A377" s="5" t="s">
        <v>2034</v>
      </c>
      <c r="B377" s="14" t="str">
        <f>VLOOKUP(TAB_SAIDA[[#This Row],[COD_2_SAIDA]],TAB_ESTOQUE[[Codigo]:[Descrição Tecnica]],6,FALSE)</f>
        <v>CONEXÃO PNEUMÁTICA 6mm COM ROSCA 1/4"</v>
      </c>
      <c r="C377" s="14">
        <f>IFERROR(VLOOKUP(TAB_SAIDA[[#This Row],[COD_2_SAIDA]],TAB_ESTOQUE[[Codigo]:[Referência Tec]],7,FALSE),"")</f>
        <v>0</v>
      </c>
      <c r="D377" s="14" t="str">
        <f>VLOOKUP(TAB_SAIDA[[#This Row],[COD_2_SAIDA]],TAB_ESTOQUE[[Codigo]:[Endereço2]],12,FALSE)</f>
        <v>C1304</v>
      </c>
      <c r="E377" s="81">
        <f>SUM(TAB_SAIDA[[#This Row],[20/05/2019]:[00/00/00]])</f>
        <v>0</v>
      </c>
      <c r="F377" s="3"/>
    </row>
    <row r="378" spans="1:625" ht="15" hidden="1" customHeight="1" x14ac:dyDescent="0.25">
      <c r="A378" s="5" t="s">
        <v>2035</v>
      </c>
      <c r="B378" s="14" t="str">
        <f>VLOOKUP(TAB_SAIDA[[#This Row],[COD_2_SAIDA]],TAB_ESTOQUE[[Codigo]:[Descrição Tecnica]],6,FALSE)</f>
        <v xml:space="preserve">ELEMENTO FILTRANTE REXROTH R928006809 </v>
      </c>
      <c r="C378" s="14">
        <f>IFERROR(VLOOKUP(TAB_SAIDA[[#This Row],[COD_2_SAIDA]],TAB_ESTOQUE[[Codigo]:[Referência Tec]],7,FALSE),"")</f>
        <v>0</v>
      </c>
      <c r="D378" s="14" t="str">
        <f>VLOOKUP(TAB_SAIDA[[#This Row],[COD_2_SAIDA]],TAB_ESTOQUE[[Codigo]:[Endereço2]],12,FALSE)</f>
        <v>C1403</v>
      </c>
      <c r="E378" s="81">
        <f>SUM(TAB_SAIDA[[#This Row],[20/05/2019]:[00/00/00]])</f>
        <v>0</v>
      </c>
      <c r="F378" s="3"/>
    </row>
    <row r="379" spans="1:625" ht="15" hidden="1" customHeight="1" x14ac:dyDescent="0.25">
      <c r="A379" s="5" t="s">
        <v>2036</v>
      </c>
      <c r="B379" s="14" t="str">
        <f>VLOOKUP(TAB_SAIDA[[#This Row],[COD_2_SAIDA]],TAB_ESTOQUE[[Codigo]:[Descrição Tecnica]],6,FALSE)</f>
        <v>CONEXÃO PNEUMÁTICA 6mm COM ROSCA 1/2"</v>
      </c>
      <c r="C379" s="14">
        <f>IFERROR(VLOOKUP(TAB_SAIDA[[#This Row],[COD_2_SAIDA]],TAB_ESTOQUE[[Codigo]:[Referência Tec]],7,FALSE),"")</f>
        <v>0</v>
      </c>
      <c r="D379" s="14" t="str">
        <f>VLOOKUP(TAB_SAIDA[[#This Row],[COD_2_SAIDA]],TAB_ESTOQUE[[Codigo]:[Endereço2]],12,FALSE)</f>
        <v>C1304</v>
      </c>
      <c r="E379" s="81">
        <f>SUM(TAB_SAIDA[[#This Row],[20/05/2019]:[00/00/00]])</f>
        <v>0</v>
      </c>
      <c r="F379" s="3"/>
    </row>
    <row r="380" spans="1:625" ht="15" hidden="1" customHeight="1" x14ac:dyDescent="0.25">
      <c r="A380" s="5" t="s">
        <v>2037</v>
      </c>
      <c r="B380" s="14" t="str">
        <f>VLOOKUP(TAB_SAIDA[[#This Row],[COD_2_SAIDA]],TAB_ESTOQUE[[Codigo]:[Descrição Tecnica]],6,FALSE)</f>
        <v>CONEXÃO PNEUMÁTICA 4mm COM ROSCA 1/4"</v>
      </c>
      <c r="C380" s="14">
        <f>IFERROR(VLOOKUP(TAB_SAIDA[[#This Row],[COD_2_SAIDA]],TAB_ESTOQUE[[Codigo]:[Referência Tec]],7,FALSE),"")</f>
        <v>0</v>
      </c>
      <c r="D380" s="14" t="str">
        <f>VLOOKUP(TAB_SAIDA[[#This Row],[COD_2_SAIDA]],TAB_ESTOQUE[[Codigo]:[Endereço2]],12,FALSE)</f>
        <v>C1304</v>
      </c>
      <c r="E380" s="81">
        <f>SUM(TAB_SAIDA[[#This Row],[20/05/2019]:[00/00/00]])</f>
        <v>0</v>
      </c>
      <c r="F380" s="3"/>
    </row>
    <row r="381" spans="1:625" ht="15" hidden="1" customHeight="1" x14ac:dyDescent="0.25">
      <c r="A381" s="5" t="s">
        <v>2038</v>
      </c>
      <c r="B381" s="14" t="str">
        <f>VLOOKUP(TAB_SAIDA[[#This Row],[COD_2_SAIDA]],TAB_ESTOQUE[[Codigo]:[Descrição Tecnica]],6,FALSE)</f>
        <v>CABO COM CONECTOR  RETO FEMEA M12 8 PINOS</v>
      </c>
      <c r="C381" s="14">
        <f>IFERROR(VLOOKUP(TAB_SAIDA[[#This Row],[COD_2_SAIDA]],TAB_ESTOQUE[[Codigo]:[Referência Tec]],7,FALSE),"")</f>
        <v>0</v>
      </c>
      <c r="D381" s="14" t="str">
        <f>VLOOKUP(TAB_SAIDA[[#This Row],[COD_2_SAIDA]],TAB_ESTOQUE[[Codigo]:[Endereço2]],12,FALSE)</f>
        <v>B1403</v>
      </c>
      <c r="E381" s="81">
        <f>SUM(TAB_SAIDA[[#This Row],[20/05/2019]:[00/00/00]])</f>
        <v>0</v>
      </c>
      <c r="F381" s="3"/>
    </row>
    <row r="382" spans="1:625" ht="15" hidden="1" customHeight="1" x14ac:dyDescent="0.25">
      <c r="A382" s="5" t="s">
        <v>2039</v>
      </c>
      <c r="B382" s="14" t="str">
        <f>VLOOKUP(TAB_SAIDA[[#This Row],[COD_2_SAIDA]],TAB_ESTOQUE[[Codigo]:[Descrição Tecnica]],6,FALSE)</f>
        <v>GAS REFRIGERANTE R-22</v>
      </c>
      <c r="C382" s="14">
        <f>IFERROR(VLOOKUP(TAB_SAIDA[[#This Row],[COD_2_SAIDA]],TAB_ESTOQUE[[Codigo]:[Referência Tec]],7,FALSE),"")</f>
        <v>0</v>
      </c>
      <c r="D382" s="14" t="str">
        <f>VLOOKUP(TAB_SAIDA[[#This Row],[COD_2_SAIDA]],TAB_ESTOQUE[[Codigo]:[Endereço2]],12,FALSE)</f>
        <v>E2101</v>
      </c>
      <c r="E382" s="81">
        <f>SUM(TAB_SAIDA[[#This Row],[20/05/2019]:[00/00/00]])</f>
        <v>0</v>
      </c>
      <c r="F382" s="3"/>
    </row>
    <row r="383" spans="1:625" ht="15" hidden="1" customHeight="1" x14ac:dyDescent="0.25">
      <c r="A383" s="5" t="s">
        <v>2040</v>
      </c>
      <c r="B383" s="14" t="str">
        <f>VLOOKUP(TAB_SAIDA[[#This Row],[COD_2_SAIDA]],TAB_ESTOQUE[[Codigo]:[Descrição Tecnica]],6,FALSE)</f>
        <v>FILTRO DO EXAUSTOR COLEPO</v>
      </c>
      <c r="C383" s="14">
        <f>IFERROR(VLOOKUP(TAB_SAIDA[[#This Row],[COD_2_SAIDA]],TAB_ESTOQUE[[Codigo]:[Referência Tec]],7,FALSE),"")</f>
        <v>0</v>
      </c>
      <c r="D383" s="14" t="str">
        <f>VLOOKUP(TAB_SAIDA[[#This Row],[COD_2_SAIDA]],TAB_ESTOQUE[[Codigo]:[Endereço2]],12,FALSE)</f>
        <v>CORREDOR 4</v>
      </c>
      <c r="E383" s="81">
        <f>SUM(TAB_SAIDA[[#This Row],[20/05/2019]:[00/00/00]])</f>
        <v>0</v>
      </c>
      <c r="F383" s="3"/>
    </row>
    <row r="384" spans="1:625" ht="15" hidden="1" customHeight="1" x14ac:dyDescent="0.25">
      <c r="A384" s="5" t="s">
        <v>2041</v>
      </c>
      <c r="B384" s="14" t="str">
        <f>VLOOKUP(TAB_SAIDA[[#This Row],[COD_2_SAIDA]],TAB_ESTOQUE[[Codigo]:[Descrição Tecnica]],6,FALSE)</f>
        <v>FACA CIRCULAR CORTANTE 31X23X10 cm  HAGANE  L.63917/2</v>
      </c>
      <c r="C384" s="14">
        <f>IFERROR(VLOOKUP(TAB_SAIDA[[#This Row],[COD_2_SAIDA]],TAB_ESTOQUE[[Codigo]:[Referência Tec]],7,FALSE),"")</f>
        <v>0</v>
      </c>
      <c r="D384" s="14" t="str">
        <f>VLOOKUP(TAB_SAIDA[[#This Row],[COD_2_SAIDA]],TAB_ESTOQUE[[Codigo]:[Endereço2]],12,FALSE)</f>
        <v>E1301</v>
      </c>
      <c r="E384" s="81">
        <f>SUM(TAB_SAIDA[[#This Row],[20/05/2019]:[00/00/00]])</f>
        <v>2</v>
      </c>
      <c r="F384" s="3"/>
      <c r="RJ384" s="3">
        <v>1</v>
      </c>
      <c r="TP384" s="3">
        <v>1</v>
      </c>
    </row>
    <row r="385" spans="1:6" ht="15" hidden="1" customHeight="1" x14ac:dyDescent="0.25">
      <c r="A385" s="5" t="s">
        <v>2042</v>
      </c>
      <c r="B385" s="14" t="str">
        <f>VLOOKUP(TAB_SAIDA[[#This Row],[COD_2_SAIDA]],TAB_ESTOQUE[[Codigo]:[Descrição Tecnica]],6,FALSE)</f>
        <v>ELEMENTO FILTRANTE  NEWTEC HR18010PH</v>
      </c>
      <c r="C385" s="14">
        <f>IFERROR(VLOOKUP(TAB_SAIDA[[#This Row],[COD_2_SAIDA]],TAB_ESTOQUE[[Codigo]:[Referência Tec]],7,FALSE),"")</f>
        <v>0</v>
      </c>
      <c r="D385" s="14" t="str">
        <f>VLOOKUP(TAB_SAIDA[[#This Row],[COD_2_SAIDA]],TAB_ESTOQUE[[Codigo]:[Endereço2]],12,FALSE)</f>
        <v>C1404</v>
      </c>
      <c r="E385" s="81">
        <f>SUM(TAB_SAIDA[[#This Row],[20/05/2019]:[00/00/00]])</f>
        <v>0</v>
      </c>
      <c r="F385" s="3"/>
    </row>
    <row r="386" spans="1:6" ht="15" hidden="1" customHeight="1" x14ac:dyDescent="0.25">
      <c r="A386" s="5" t="s">
        <v>2043</v>
      </c>
      <c r="B386" s="14" t="str">
        <f>VLOOKUP(TAB_SAIDA[[#This Row],[COD_2_SAIDA]],TAB_ESTOQUE[[Codigo]:[Descrição Tecnica]],6,FALSE)</f>
        <v>FILTRO REG 1" COD: XAW5000-10</v>
      </c>
      <c r="C386" s="14">
        <f>IFERROR(VLOOKUP(TAB_SAIDA[[#This Row],[COD_2_SAIDA]],TAB_ESTOQUE[[Codigo]:[Referência Tec]],7,FALSE),"")</f>
        <v>0</v>
      </c>
      <c r="D386" s="14" t="str">
        <f>VLOOKUP(TAB_SAIDA[[#This Row],[COD_2_SAIDA]],TAB_ESTOQUE[[Codigo]:[Endereço2]],12,FALSE)</f>
        <v>C2401</v>
      </c>
      <c r="E386" s="81">
        <f>SUM(TAB_SAIDA[[#This Row],[20/05/2019]:[00/00/00]])</f>
        <v>0</v>
      </c>
      <c r="F386" s="3"/>
    </row>
    <row r="387" spans="1:6" ht="15" hidden="1" customHeight="1" x14ac:dyDescent="0.25">
      <c r="A387" s="5" t="s">
        <v>2044</v>
      </c>
      <c r="B387" s="14" t="str">
        <f>VLOOKUP(TAB_SAIDA[[#This Row],[COD_2_SAIDA]],TAB_ESTOQUE[[Codigo]:[Descrição Tecnica]],6,FALSE)</f>
        <v>FILTRO REG 1/2" COD: 322C3223C2</v>
      </c>
      <c r="C387" s="14">
        <f>IFERROR(VLOOKUP(TAB_SAIDA[[#This Row],[COD_2_SAIDA]],TAB_ESTOQUE[[Codigo]:[Referência Tec]],7,FALSE),"")</f>
        <v>0</v>
      </c>
      <c r="D387" s="14" t="str">
        <f>VLOOKUP(TAB_SAIDA[[#This Row],[COD_2_SAIDA]],TAB_ESTOQUE[[Codigo]:[Endereço2]],12,FALSE)</f>
        <v>C2402</v>
      </c>
      <c r="E387" s="81">
        <f>SUM(TAB_SAIDA[[#This Row],[20/05/2019]:[00/00/00]])</f>
        <v>0</v>
      </c>
      <c r="F387" s="3"/>
    </row>
    <row r="388" spans="1:6" ht="15" hidden="1" customHeight="1" x14ac:dyDescent="0.25">
      <c r="A388" s="5" t="s">
        <v>2045</v>
      </c>
      <c r="B388" s="14" t="str">
        <f>VLOOKUP(TAB_SAIDA[[#This Row],[COD_2_SAIDA]],TAB_ESTOQUE[[Codigo]:[Descrição Tecnica]],6,FALSE)</f>
        <v>VALVULA DIAFRAGMA 1/2" COM BOBINA 24V DC</v>
      </c>
      <c r="C388" s="14">
        <f>IFERROR(VLOOKUP(TAB_SAIDA[[#This Row],[COD_2_SAIDA]],TAB_ESTOQUE[[Codigo]:[Referência Tec]],7,FALSE),"")</f>
        <v>0</v>
      </c>
      <c r="D388" s="14" t="str">
        <f>VLOOKUP(TAB_SAIDA[[#This Row],[COD_2_SAIDA]],TAB_ESTOQUE[[Codigo]:[Endereço2]],12,FALSE)</f>
        <v>C1203</v>
      </c>
      <c r="E388" s="81">
        <f>SUM(TAB_SAIDA[[#This Row],[20/05/2019]:[00/00/00]])</f>
        <v>0</v>
      </c>
      <c r="F388" s="3"/>
    </row>
    <row r="389" spans="1:6" ht="15" hidden="1" customHeight="1" x14ac:dyDescent="0.25">
      <c r="A389" s="5" t="s">
        <v>2046</v>
      </c>
      <c r="B389" s="14" t="str">
        <f>VLOOKUP(TAB_SAIDA[[#This Row],[COD_2_SAIDA]],TAB_ESTOQUE[[Codigo]:[Descrição Tecnica]],6,FALSE)</f>
        <v>FILTRO REG REF: 16bar /230 PS1 / 1.6 MPA MAX:60°C / 140°F</v>
      </c>
      <c r="C389" s="14">
        <f>IFERROR(VLOOKUP(TAB_SAIDA[[#This Row],[COD_2_SAIDA]],TAB_ESTOQUE[[Codigo]:[Referência Tec]],7,FALSE),"")</f>
        <v>0</v>
      </c>
      <c r="D389" s="14" t="str">
        <f>VLOOKUP(TAB_SAIDA[[#This Row],[COD_2_SAIDA]],TAB_ESTOQUE[[Codigo]:[Endereço2]],12,FALSE)</f>
        <v>C2402</v>
      </c>
      <c r="E389" s="81">
        <f>SUM(TAB_SAIDA[[#This Row],[20/05/2019]:[00/00/00]])</f>
        <v>0</v>
      </c>
      <c r="F389" s="3"/>
    </row>
    <row r="390" spans="1:6" ht="15" hidden="1" customHeight="1" x14ac:dyDescent="0.25">
      <c r="A390" s="5" t="s">
        <v>2047</v>
      </c>
      <c r="B390" s="14" t="str">
        <f>VLOOKUP(TAB_SAIDA[[#This Row],[COD_2_SAIDA]],TAB_ESTOQUE[[Codigo]:[Descrição Tecnica]],6,FALSE)</f>
        <v>LUBRIFIL COM REGULADOR DE PRESSÃO E ÓLEO BFC4000 41-140F° MAX PRESS - 135psi</v>
      </c>
      <c r="C390" s="14">
        <f>IFERROR(VLOOKUP(TAB_SAIDA[[#This Row],[COD_2_SAIDA]],TAB_ESTOQUE[[Codigo]:[Referência Tec]],7,FALSE),"")</f>
        <v>0</v>
      </c>
      <c r="D390" s="14" t="str">
        <f>VLOOKUP(TAB_SAIDA[[#This Row],[COD_2_SAIDA]],TAB_ESTOQUE[[Codigo]:[Endereço2]],12,FALSE)</f>
        <v>C2403</v>
      </c>
      <c r="E390" s="81">
        <f>SUM(TAB_SAIDA[[#This Row],[20/05/2019]:[00/00/00]])</f>
        <v>0</v>
      </c>
      <c r="F390" s="3"/>
    </row>
    <row r="391" spans="1:6" ht="15" hidden="1" customHeight="1" x14ac:dyDescent="0.25">
      <c r="A391" s="5" t="s">
        <v>2048</v>
      </c>
      <c r="B391" s="14" t="str">
        <f>VLOOKUP(TAB_SAIDA[[#This Row],[COD_2_SAIDA]],TAB_ESTOQUE[[Codigo]:[Descrição Tecnica]],6,FALSE)</f>
        <v>FILTRO REG REF: XOR-1/2" - MIDI</v>
      </c>
      <c r="C391" s="14">
        <f>IFERROR(VLOOKUP(TAB_SAIDA[[#This Row],[COD_2_SAIDA]],TAB_ESTOQUE[[Codigo]:[Referência Tec]],7,FALSE),"")</f>
        <v>0</v>
      </c>
      <c r="D391" s="14" t="str">
        <f>VLOOKUP(TAB_SAIDA[[#This Row],[COD_2_SAIDA]],TAB_ESTOQUE[[Codigo]:[Endereço2]],12,FALSE)</f>
        <v>C2402</v>
      </c>
      <c r="E391" s="81">
        <f>SUM(TAB_SAIDA[[#This Row],[20/05/2019]:[00/00/00]])</f>
        <v>0</v>
      </c>
      <c r="F391" s="3"/>
    </row>
    <row r="392" spans="1:6" ht="15" hidden="1" customHeight="1" x14ac:dyDescent="0.25">
      <c r="A392" s="5" t="s">
        <v>2049</v>
      </c>
      <c r="B392" s="14" t="str">
        <f>VLOOKUP(TAB_SAIDA[[#This Row],[COD_2_SAIDA]],TAB_ESTOQUE[[Codigo]:[Descrição Tecnica]],6,FALSE)</f>
        <v>ELEMENTO FILTRANTE NEWTEC BR 760 10 AH</v>
      </c>
      <c r="C392" s="14">
        <f>IFERROR(VLOOKUP(TAB_SAIDA[[#This Row],[COD_2_SAIDA]],TAB_ESTOQUE[[Codigo]:[Referência Tec]],7,FALSE),"")</f>
        <v>0</v>
      </c>
      <c r="D392" s="14" t="str">
        <f>VLOOKUP(TAB_SAIDA[[#This Row],[COD_2_SAIDA]],TAB_ESTOQUE[[Codigo]:[Endereço2]],12,FALSE)</f>
        <v>C1405</v>
      </c>
      <c r="E392" s="81">
        <f>SUM(TAB_SAIDA[[#This Row],[20/05/2019]:[00/00/00]])</f>
        <v>0</v>
      </c>
      <c r="F392" s="3"/>
    </row>
    <row r="393" spans="1:6" ht="15" hidden="1" customHeight="1" x14ac:dyDescent="0.25">
      <c r="A393" s="5" t="s">
        <v>2050</v>
      </c>
      <c r="B393" s="14" t="str">
        <f>VLOOKUP(TAB_SAIDA[[#This Row],[COD_2_SAIDA]],TAB_ESTOQUE[[Codigo]:[Descrição Tecnica]],6,FALSE)</f>
        <v>ELEMENTO FILTRANTE HYDAC 0060 R 010 ON</v>
      </c>
      <c r="C393" s="14">
        <f>IFERROR(VLOOKUP(TAB_SAIDA[[#This Row],[COD_2_SAIDA]],TAB_ESTOQUE[[Codigo]:[Referência Tec]],7,FALSE),"")</f>
        <v>0</v>
      </c>
      <c r="D393" s="14" t="str">
        <f>VLOOKUP(TAB_SAIDA[[#This Row],[COD_2_SAIDA]],TAB_ESTOQUE[[Codigo]:[Endereço2]],12,FALSE)</f>
        <v>C1404</v>
      </c>
      <c r="E393" s="81">
        <f>SUM(TAB_SAIDA[[#This Row],[20/05/2019]:[00/00/00]])</f>
        <v>0</v>
      </c>
      <c r="F393" s="3"/>
    </row>
    <row r="394" spans="1:6" ht="15" hidden="1" customHeight="1" x14ac:dyDescent="0.25">
      <c r="A394" s="5" t="s">
        <v>2051</v>
      </c>
      <c r="B394" s="14" t="str">
        <f>VLOOKUP(TAB_SAIDA[[#This Row],[COD_2_SAIDA]],TAB_ESTOQUE[[Codigo]:[Descrição Tecnica]],6,FALSE)</f>
        <v>FILTRO Y 2" CW617N</v>
      </c>
      <c r="C394" s="14">
        <f>IFERROR(VLOOKUP(TAB_SAIDA[[#This Row],[COD_2_SAIDA]],TAB_ESTOQUE[[Codigo]:[Referência Tec]],7,FALSE),"")</f>
        <v>0</v>
      </c>
      <c r="D394" s="14" t="str">
        <f>VLOOKUP(TAB_SAIDA[[#This Row],[COD_2_SAIDA]],TAB_ESTOQUE[[Codigo]:[Endereço2]],12,FALSE)</f>
        <v>D1402</v>
      </c>
      <c r="E394" s="81">
        <f>SUM(TAB_SAIDA[[#This Row],[20/05/2019]:[00/00/00]])</f>
        <v>0</v>
      </c>
      <c r="F394" s="3"/>
    </row>
    <row r="395" spans="1:6" ht="15" hidden="1" customHeight="1" x14ac:dyDescent="0.25">
      <c r="A395" s="5" t="s">
        <v>2052</v>
      </c>
      <c r="B395" s="14" t="str">
        <f>VLOOKUP(TAB_SAIDA[[#This Row],[COD_2_SAIDA]],TAB_ESTOQUE[[Codigo]:[Descrição Tecnica]],6,FALSE)</f>
        <v>VALVULA DIAFRAGMA 1/4" COM BOBINA 24V DC</v>
      </c>
      <c r="C395" s="14">
        <f>IFERROR(VLOOKUP(TAB_SAIDA[[#This Row],[COD_2_SAIDA]],TAB_ESTOQUE[[Codigo]:[Referência Tec]],7,FALSE),"")</f>
        <v>0</v>
      </c>
      <c r="D395" s="14" t="str">
        <f>VLOOKUP(TAB_SAIDA[[#This Row],[COD_2_SAIDA]],TAB_ESTOQUE[[Codigo]:[Endereço2]],12,FALSE)</f>
        <v>C1203</v>
      </c>
      <c r="E395" s="81">
        <f>SUM(TAB_SAIDA[[#This Row],[20/05/2019]:[00/00/00]])</f>
        <v>0</v>
      </c>
      <c r="F395" s="3"/>
    </row>
    <row r="396" spans="1:6" ht="15" hidden="1" customHeight="1" x14ac:dyDescent="0.25">
      <c r="A396" s="5" t="s">
        <v>2053</v>
      </c>
      <c r="B396" s="14" t="str">
        <f>VLOOKUP(TAB_SAIDA[[#This Row],[COD_2_SAIDA]],TAB_ESTOQUE[[Codigo]:[Descrição Tecnica]],6,FALSE)</f>
        <v>ELEMENTO FILTRANTE HYDAC 0165 R 010 BN4HC</v>
      </c>
      <c r="C396" s="14">
        <f>IFERROR(VLOOKUP(TAB_SAIDA[[#This Row],[COD_2_SAIDA]],TAB_ESTOQUE[[Codigo]:[Referência Tec]],7,FALSE),"")</f>
        <v>0</v>
      </c>
      <c r="D396" s="14" t="str">
        <f>VLOOKUP(TAB_SAIDA[[#This Row],[COD_2_SAIDA]],TAB_ESTOQUE[[Codigo]:[Endereço2]],12,FALSE)</f>
        <v>C1404</v>
      </c>
      <c r="E396" s="81">
        <f>SUM(TAB_SAIDA[[#This Row],[20/05/2019]:[00/00/00]])</f>
        <v>0</v>
      </c>
      <c r="F396" s="3"/>
    </row>
    <row r="397" spans="1:6" ht="15" hidden="1" customHeight="1" x14ac:dyDescent="0.25">
      <c r="A397" s="5" t="s">
        <v>2054</v>
      </c>
      <c r="B397" s="14" t="str">
        <f>VLOOKUP(TAB_SAIDA[[#This Row],[COD_2_SAIDA]],TAB_ESTOQUE[[Codigo]:[Descrição Tecnica]],6,FALSE)</f>
        <v>ELEMENTO FILTRANTE HYDAC 0500 R 010 BN4HC</v>
      </c>
      <c r="C397" s="14">
        <f>IFERROR(VLOOKUP(TAB_SAIDA[[#This Row],[COD_2_SAIDA]],TAB_ESTOQUE[[Codigo]:[Referência Tec]],7,FALSE),"")</f>
        <v>0</v>
      </c>
      <c r="D397" s="14" t="str">
        <f>VLOOKUP(TAB_SAIDA[[#This Row],[COD_2_SAIDA]],TAB_ESTOQUE[[Codigo]:[Endereço2]],12,FALSE)</f>
        <v>C1405</v>
      </c>
      <c r="E397" s="81">
        <f>SUM(TAB_SAIDA[[#This Row],[20/05/2019]:[00/00/00]])</f>
        <v>0</v>
      </c>
      <c r="F397" s="3"/>
    </row>
    <row r="398" spans="1:6" ht="15" hidden="1" customHeight="1" x14ac:dyDescent="0.25">
      <c r="A398" s="5" t="s">
        <v>2055</v>
      </c>
      <c r="B398" s="14" t="str">
        <f>VLOOKUP(TAB_SAIDA[[#This Row],[COD_2_SAIDA]],TAB_ESTOQUE[[Codigo]:[Descrição Tecnica]],6,FALSE)</f>
        <v>RETENTOR 40X50X4</v>
      </c>
      <c r="C398" s="14">
        <f>IFERROR(VLOOKUP(TAB_SAIDA[[#This Row],[COD_2_SAIDA]],TAB_ESTOQUE[[Codigo]:[Referência Tec]],7,FALSE),"")</f>
        <v>0</v>
      </c>
      <c r="D398" s="14" t="str">
        <f>VLOOKUP(TAB_SAIDA[[#This Row],[COD_2_SAIDA]],TAB_ESTOQUE[[Codigo]:[Endereço2]],12,FALSE)</f>
        <v>E1203</v>
      </c>
      <c r="E398" s="81">
        <f>SUM(TAB_SAIDA[[#This Row],[20/05/2019]:[00/00/00]])</f>
        <v>0</v>
      </c>
      <c r="F398" s="3"/>
    </row>
    <row r="399" spans="1:6" ht="15" hidden="1" customHeight="1" x14ac:dyDescent="0.25">
      <c r="A399" s="5" t="s">
        <v>2056</v>
      </c>
      <c r="B399" s="14" t="str">
        <f>VLOOKUP(TAB_SAIDA[[#This Row],[COD_2_SAIDA]],TAB_ESTOQUE[[Codigo]:[Descrição Tecnica]],6,FALSE)</f>
        <v>GAXETA 14,7X 18,9X1,5</v>
      </c>
      <c r="C399" s="14">
        <f>IFERROR(VLOOKUP(TAB_SAIDA[[#This Row],[COD_2_SAIDA]],TAB_ESTOQUE[[Codigo]:[Referência Tec]],7,FALSE),"")</f>
        <v>0</v>
      </c>
      <c r="D399" s="14" t="str">
        <f>VLOOKUP(TAB_SAIDA[[#This Row],[COD_2_SAIDA]],TAB_ESTOQUE[[Codigo]:[Endereço2]],12,FALSE)</f>
        <v>E1305</v>
      </c>
      <c r="E399" s="81">
        <f>SUM(TAB_SAIDA[[#This Row],[20/05/2019]:[00/00/00]])</f>
        <v>0</v>
      </c>
      <c r="F399" s="3"/>
    </row>
    <row r="400" spans="1:6" ht="15" hidden="1" customHeight="1" x14ac:dyDescent="0.25">
      <c r="A400" s="5" t="s">
        <v>2057</v>
      </c>
      <c r="B400" s="14" t="str">
        <f>VLOOKUP(TAB_SAIDA[[#This Row],[COD_2_SAIDA]],TAB_ESTOQUE[[Codigo]:[Descrição Tecnica]],6,FALSE)</f>
        <v>GAXETA 18,5X23,9X1,5</v>
      </c>
      <c r="C400" s="14">
        <f>IFERROR(VLOOKUP(TAB_SAIDA[[#This Row],[COD_2_SAIDA]],TAB_ESTOQUE[[Codigo]:[Referência Tec]],7,FALSE),"")</f>
        <v>0</v>
      </c>
      <c r="D400" s="14" t="str">
        <f>VLOOKUP(TAB_SAIDA[[#This Row],[COD_2_SAIDA]],TAB_ESTOQUE[[Codigo]:[Endereço2]],12,FALSE)</f>
        <v>E1305</v>
      </c>
      <c r="E400" s="81">
        <f>SUM(TAB_SAIDA[[#This Row],[20/05/2019]:[00/00/00]])</f>
        <v>0</v>
      </c>
      <c r="F400" s="3"/>
    </row>
    <row r="401" spans="1:631" ht="15" hidden="1" customHeight="1" x14ac:dyDescent="0.25">
      <c r="A401" s="5" t="s">
        <v>2058</v>
      </c>
      <c r="B401" s="14" t="str">
        <f>VLOOKUP(TAB_SAIDA[[#This Row],[COD_2_SAIDA]],TAB_ESTOQUE[[Codigo]:[Descrição Tecnica]],6,FALSE)</f>
        <v>GAXETA 27X2</v>
      </c>
      <c r="C401" s="14">
        <f>IFERROR(VLOOKUP(TAB_SAIDA[[#This Row],[COD_2_SAIDA]],TAB_ESTOQUE[[Codigo]:[Referência Tec]],7,FALSE),"")</f>
        <v>0</v>
      </c>
      <c r="D401" s="14" t="str">
        <f>VLOOKUP(TAB_SAIDA[[#This Row],[COD_2_SAIDA]],TAB_ESTOQUE[[Codigo]:[Endereço2]],12,FALSE)</f>
        <v>E1305</v>
      </c>
      <c r="E401" s="81">
        <f>SUM(TAB_SAIDA[[#This Row],[20/05/2019]:[00/00/00]])</f>
        <v>0</v>
      </c>
      <c r="F401" s="3"/>
    </row>
    <row r="402" spans="1:631" ht="15" hidden="1" customHeight="1" x14ac:dyDescent="0.25">
      <c r="A402" s="5" t="s">
        <v>2059</v>
      </c>
      <c r="B402" s="14" t="str">
        <f>VLOOKUP(TAB_SAIDA[[#This Row],[COD_2_SAIDA]],TAB_ESTOQUE[[Codigo]:[Descrição Tecnica]],6,FALSE)</f>
        <v>GAXETA  11,5X16,5</v>
      </c>
      <c r="C402" s="14">
        <f>IFERROR(VLOOKUP(TAB_SAIDA[[#This Row],[COD_2_SAIDA]],TAB_ESTOQUE[[Codigo]:[Referência Tec]],7,FALSE),"")</f>
        <v>0</v>
      </c>
      <c r="D402" s="14" t="str">
        <f>VLOOKUP(TAB_SAIDA[[#This Row],[COD_2_SAIDA]],TAB_ESTOQUE[[Codigo]:[Endereço2]],12,FALSE)</f>
        <v>E1305</v>
      </c>
      <c r="E402" s="81">
        <f>SUM(TAB_SAIDA[[#This Row],[20/05/2019]:[00/00/00]])</f>
        <v>0</v>
      </c>
      <c r="F402" s="3"/>
    </row>
    <row r="403" spans="1:631" ht="15" hidden="1" customHeight="1" x14ac:dyDescent="0.25">
      <c r="A403" s="5" t="s">
        <v>2060</v>
      </c>
      <c r="B403" s="14" t="str">
        <f>VLOOKUP(TAB_SAIDA[[#This Row],[COD_2_SAIDA]],TAB_ESTOQUE[[Codigo]:[Descrição Tecnica]],6,FALSE)</f>
        <v>GAXETA  DO FILTRO AUTO LIMPANTE ISOCIANATO 15X24X8 VITON</v>
      </c>
      <c r="C403" s="14">
        <f>IFERROR(VLOOKUP(TAB_SAIDA[[#This Row],[COD_2_SAIDA]],TAB_ESTOQUE[[Codigo]:[Referência Tec]],7,FALSE),"")</f>
        <v>0</v>
      </c>
      <c r="D403" s="14" t="str">
        <f>VLOOKUP(TAB_SAIDA[[#This Row],[COD_2_SAIDA]],TAB_ESTOQUE[[Codigo]:[Endereço2]],12,FALSE)</f>
        <v>E1303</v>
      </c>
      <c r="E403" s="81">
        <f>SUM(TAB_SAIDA[[#This Row],[20/05/2019]:[00/00/00]])</f>
        <v>0</v>
      </c>
      <c r="F403" s="3"/>
    </row>
    <row r="404" spans="1:631" s="186" customFormat="1" ht="15" hidden="1" customHeight="1" x14ac:dyDescent="0.25">
      <c r="A404" s="189" t="s">
        <v>2061</v>
      </c>
      <c r="B404" s="201" t="str">
        <f>VLOOKUP(TAB_SAIDA[[#This Row],[COD_2_SAIDA]],TAB_ESTOQUE[[Codigo]:[Descrição Tecnica]],6,FALSE)</f>
        <v>RETENTOR 40X62X7</v>
      </c>
      <c r="C404" s="201">
        <f>IFERROR(VLOOKUP(TAB_SAIDA[[#This Row],[COD_2_SAIDA]],TAB_ESTOQUE[[Codigo]:[Referência Tec]],7,FALSE),"")</f>
        <v>0</v>
      </c>
      <c r="D404" s="201" t="str">
        <f>VLOOKUP(TAB_SAIDA[[#This Row],[COD_2_SAIDA]],TAB_ESTOQUE[[Codigo]:[Endereço2]],12,FALSE)</f>
        <v>E1203</v>
      </c>
      <c r="E404" s="191">
        <f>SUM(TAB_SAIDA[[#This Row],[20/05/2019]:[00/00/00]])</f>
        <v>0</v>
      </c>
      <c r="F404" s="192"/>
      <c r="G404" s="192"/>
      <c r="H404" s="192"/>
      <c r="I404" s="192"/>
      <c r="J404" s="192"/>
      <c r="K404" s="192"/>
      <c r="L404" s="192"/>
      <c r="M404" s="192"/>
      <c r="N404" s="192"/>
      <c r="O404" s="192"/>
      <c r="P404" s="192"/>
      <c r="Q404" s="192"/>
      <c r="R404" s="192"/>
      <c r="S404" s="192"/>
      <c r="T404" s="192"/>
      <c r="U404" s="192"/>
      <c r="V404" s="192"/>
      <c r="W404" s="192"/>
      <c r="X404" s="192"/>
      <c r="Y404" s="192"/>
      <c r="Z404" s="192"/>
      <c r="AA404" s="192"/>
      <c r="AB404" s="192"/>
      <c r="AC404" s="192"/>
      <c r="AD404" s="192"/>
      <c r="AE404" s="192"/>
      <c r="AF404" s="192"/>
      <c r="AG404" s="192"/>
      <c r="AH404" s="192"/>
      <c r="AI404" s="192"/>
      <c r="AJ404" s="192"/>
      <c r="AK404" s="192"/>
      <c r="AL404" s="192"/>
      <c r="AM404" s="192"/>
      <c r="AN404" s="192"/>
      <c r="AO404" s="192"/>
      <c r="AP404" s="192"/>
      <c r="AQ404" s="192"/>
      <c r="AR404" s="192"/>
      <c r="AS404" s="192"/>
      <c r="AT404" s="192"/>
      <c r="AU404" s="192"/>
      <c r="AV404" s="192"/>
      <c r="AW404" s="192"/>
      <c r="AX404" s="192"/>
      <c r="AY404" s="192"/>
      <c r="AZ404" s="192"/>
      <c r="BA404" s="192"/>
      <c r="BB404" s="192"/>
      <c r="BC404" s="192"/>
      <c r="BD404" s="192"/>
      <c r="BE404" s="192"/>
      <c r="BF404" s="192"/>
      <c r="BG404" s="192"/>
      <c r="BH404" s="193"/>
      <c r="BI404" s="192"/>
      <c r="BJ404" s="192"/>
      <c r="BK404" s="192"/>
      <c r="BL404" s="192"/>
      <c r="BM404" s="192"/>
      <c r="BN404" s="192"/>
      <c r="BO404" s="192"/>
      <c r="BP404" s="192"/>
      <c r="BQ404" s="192"/>
      <c r="BR404" s="192"/>
      <c r="BS404" s="192"/>
      <c r="BT404" s="192"/>
      <c r="BU404" s="192"/>
      <c r="BV404" s="192"/>
      <c r="BW404" s="192"/>
      <c r="BX404" s="192"/>
      <c r="BY404" s="192"/>
      <c r="BZ404" s="192"/>
      <c r="CA404" s="192"/>
      <c r="CB404" s="192"/>
      <c r="CC404" s="192"/>
      <c r="CD404" s="192"/>
      <c r="CE404" s="192"/>
      <c r="CF404" s="192"/>
      <c r="CG404" s="192"/>
      <c r="CH404" s="192"/>
      <c r="CI404" s="192"/>
      <c r="CJ404" s="192"/>
      <c r="CK404" s="192"/>
      <c r="CL404" s="192"/>
      <c r="CM404" s="192"/>
      <c r="CN404" s="192"/>
      <c r="CO404" s="192"/>
      <c r="CP404" s="192"/>
      <c r="CQ404" s="192"/>
      <c r="CR404" s="192"/>
      <c r="CS404" s="192"/>
      <c r="CT404" s="192"/>
      <c r="CU404" s="192"/>
      <c r="CV404" s="192"/>
      <c r="CW404" s="192"/>
      <c r="CX404" s="192"/>
      <c r="CY404" s="192"/>
      <c r="CZ404" s="192"/>
      <c r="DA404" s="192"/>
      <c r="DB404" s="192"/>
      <c r="DC404" s="192"/>
      <c r="DD404" s="192"/>
      <c r="DE404" s="192"/>
      <c r="DF404" s="192"/>
      <c r="DG404" s="192"/>
      <c r="DH404" s="192"/>
      <c r="DI404" s="192"/>
      <c r="DJ404" s="192"/>
      <c r="DK404" s="192"/>
      <c r="DL404" s="192"/>
      <c r="DM404" s="192"/>
      <c r="DN404" s="192"/>
      <c r="DO404" s="192"/>
      <c r="DP404" s="192"/>
      <c r="DQ404" s="192"/>
      <c r="DR404" s="192"/>
      <c r="DS404" s="192"/>
      <c r="DT404" s="192"/>
      <c r="DU404" s="192"/>
      <c r="DV404" s="192"/>
      <c r="DW404" s="192"/>
      <c r="DX404" s="192"/>
      <c r="DY404" s="192"/>
      <c r="DZ404" s="192"/>
      <c r="EA404" s="192"/>
      <c r="EB404" s="192"/>
      <c r="EC404" s="192"/>
      <c r="ED404" s="192"/>
      <c r="EE404" s="192"/>
      <c r="EF404" s="192"/>
      <c r="EG404" s="192"/>
      <c r="EH404" s="192"/>
      <c r="EI404" s="192"/>
      <c r="EJ404" s="192"/>
      <c r="EK404" s="192"/>
      <c r="EL404" s="192"/>
      <c r="EM404" s="192"/>
      <c r="EN404" s="192"/>
      <c r="EO404" s="192"/>
      <c r="EP404" s="192"/>
      <c r="EQ404" s="192"/>
      <c r="ER404" s="192"/>
      <c r="ES404" s="192"/>
      <c r="ET404" s="192"/>
      <c r="EU404" s="192"/>
      <c r="EV404" s="192"/>
      <c r="EW404" s="192"/>
      <c r="EX404" s="192"/>
      <c r="EY404" s="192"/>
      <c r="EZ404" s="192"/>
      <c r="FA404" s="192"/>
      <c r="FB404" s="192"/>
      <c r="FC404" s="192"/>
      <c r="FD404" s="192"/>
      <c r="FE404" s="192"/>
      <c r="FF404" s="192"/>
      <c r="FG404" s="192"/>
      <c r="FH404" s="192"/>
      <c r="FI404" s="192"/>
      <c r="FJ404" s="192"/>
      <c r="FK404" s="192"/>
      <c r="FL404" s="192"/>
      <c r="FM404" s="192"/>
      <c r="FN404" s="192"/>
      <c r="FO404" s="192"/>
      <c r="FP404" s="192"/>
      <c r="FQ404" s="192"/>
      <c r="FR404" s="192"/>
      <c r="FS404" s="192"/>
      <c r="FT404" s="192"/>
      <c r="FU404" s="192"/>
      <c r="FV404" s="192"/>
      <c r="FW404" s="192"/>
      <c r="FX404" s="192"/>
      <c r="FY404" s="192"/>
      <c r="FZ404" s="192"/>
      <c r="GA404" s="192"/>
      <c r="GB404" s="192"/>
      <c r="GC404" s="192"/>
      <c r="GD404" s="192"/>
      <c r="GE404" s="192"/>
      <c r="GF404" s="192"/>
      <c r="GG404" s="192"/>
      <c r="GH404" s="192"/>
      <c r="GI404" s="192"/>
      <c r="GJ404" s="192"/>
      <c r="GK404" s="192"/>
      <c r="GL404" s="192"/>
      <c r="GM404" s="192"/>
      <c r="GN404" s="192"/>
      <c r="GO404" s="192"/>
      <c r="GP404" s="192"/>
      <c r="GQ404" s="192"/>
      <c r="GR404" s="192"/>
      <c r="GS404" s="192"/>
      <c r="GT404" s="192"/>
      <c r="GU404" s="192"/>
      <c r="GV404" s="192"/>
      <c r="GW404" s="192"/>
      <c r="GX404" s="192"/>
      <c r="GY404" s="192"/>
      <c r="GZ404" s="192"/>
      <c r="HA404" s="192"/>
      <c r="HB404" s="192"/>
      <c r="HC404" s="192"/>
      <c r="HD404" s="192"/>
      <c r="HE404" s="192"/>
      <c r="HF404" s="192"/>
      <c r="HG404" s="192"/>
      <c r="HH404" s="192"/>
      <c r="HI404" s="192"/>
      <c r="HJ404" s="192"/>
      <c r="HK404" s="192"/>
      <c r="HL404" s="192"/>
      <c r="HM404" s="192"/>
      <c r="HN404" s="192"/>
      <c r="HO404" s="192"/>
      <c r="HP404" s="192"/>
      <c r="HQ404" s="192"/>
      <c r="HR404" s="192"/>
      <c r="HS404" s="192"/>
      <c r="HT404" s="192"/>
      <c r="HU404" s="192"/>
      <c r="HV404" s="192"/>
      <c r="HW404" s="192"/>
      <c r="HX404" s="192"/>
      <c r="HY404" s="192"/>
      <c r="HZ404" s="192"/>
      <c r="IA404" s="192"/>
      <c r="IB404" s="192"/>
      <c r="IC404" s="192"/>
      <c r="ID404" s="192"/>
      <c r="IE404" s="192"/>
      <c r="IF404" s="192"/>
      <c r="IG404" s="192"/>
      <c r="IH404" s="192"/>
      <c r="II404" s="192"/>
      <c r="IJ404" s="192"/>
      <c r="IK404" s="192"/>
      <c r="IL404" s="192"/>
      <c r="IM404" s="192"/>
      <c r="IN404" s="192"/>
      <c r="IO404" s="192"/>
      <c r="IP404" s="192"/>
      <c r="IQ404" s="192"/>
      <c r="IR404" s="192"/>
      <c r="IS404" s="192"/>
      <c r="IT404" s="192"/>
      <c r="IU404" s="192"/>
      <c r="IV404" s="192"/>
      <c r="IW404" s="192"/>
      <c r="IX404" s="192"/>
      <c r="IY404" s="192"/>
      <c r="IZ404" s="192"/>
      <c r="JA404" s="192"/>
      <c r="JB404" s="192"/>
      <c r="JC404" s="192"/>
      <c r="JD404" s="192"/>
      <c r="JE404" s="192"/>
      <c r="JF404" s="192"/>
      <c r="JG404" s="192"/>
      <c r="JH404" s="192"/>
      <c r="JI404" s="192"/>
      <c r="JJ404" s="192"/>
      <c r="JK404" s="192"/>
      <c r="JL404" s="192"/>
      <c r="JM404" s="192"/>
      <c r="JN404" s="192"/>
      <c r="JO404" s="192"/>
      <c r="JP404" s="192"/>
      <c r="JQ404" s="192"/>
      <c r="JR404" s="192"/>
      <c r="JS404" s="192"/>
      <c r="JT404" s="192"/>
      <c r="JU404" s="192"/>
      <c r="JV404" s="192"/>
      <c r="JW404" s="192"/>
      <c r="JX404" s="192"/>
      <c r="JY404" s="192"/>
      <c r="JZ404" s="192"/>
      <c r="KA404" s="192"/>
      <c r="KB404" s="192"/>
      <c r="KC404" s="192"/>
      <c r="KD404" s="192"/>
      <c r="KE404" s="192"/>
      <c r="KF404" s="192"/>
      <c r="KG404" s="192"/>
      <c r="KH404" s="192"/>
      <c r="KI404" s="192"/>
      <c r="KJ404" s="192"/>
      <c r="KK404" s="192"/>
      <c r="KL404" s="192"/>
      <c r="KM404" s="192"/>
      <c r="KN404" s="192"/>
      <c r="KO404" s="192"/>
      <c r="KP404" s="192"/>
      <c r="KQ404" s="192"/>
      <c r="KR404" s="192"/>
      <c r="KS404" s="192"/>
      <c r="KT404" s="192"/>
      <c r="KU404" s="192"/>
      <c r="KV404" s="192"/>
      <c r="KW404" s="192"/>
      <c r="KX404" s="192"/>
      <c r="KY404" s="192"/>
      <c r="KZ404" s="192"/>
      <c r="LA404" s="192"/>
      <c r="LB404" s="192"/>
      <c r="LC404" s="192"/>
      <c r="LD404" s="192"/>
      <c r="LE404" s="192"/>
      <c r="LF404" s="192"/>
      <c r="LG404" s="192"/>
      <c r="LH404" s="192"/>
      <c r="LI404" s="192"/>
      <c r="LJ404" s="192"/>
      <c r="LK404" s="192"/>
      <c r="LL404" s="192"/>
      <c r="LM404" s="192"/>
      <c r="LN404" s="192"/>
      <c r="LO404" s="192"/>
      <c r="LP404" s="192"/>
      <c r="LQ404" s="192"/>
      <c r="LR404" s="192"/>
      <c r="LS404" s="192"/>
      <c r="LT404" s="192"/>
      <c r="LU404" s="192"/>
      <c r="LV404" s="192"/>
      <c r="LW404" s="192"/>
      <c r="LX404" s="192"/>
      <c r="LY404" s="192"/>
      <c r="LZ404" s="192"/>
      <c r="MA404" s="192"/>
      <c r="MB404" s="192"/>
      <c r="MC404" s="192"/>
      <c r="MD404" s="192"/>
      <c r="ME404" s="192"/>
      <c r="MF404" s="192"/>
      <c r="MG404" s="192"/>
      <c r="MH404" s="192"/>
      <c r="MI404" s="192"/>
      <c r="MJ404" s="192"/>
      <c r="MK404" s="192"/>
      <c r="ML404" s="192"/>
      <c r="MM404" s="192"/>
      <c r="MN404" s="192"/>
      <c r="MO404" s="192"/>
      <c r="MP404" s="192"/>
      <c r="MQ404" s="192"/>
      <c r="MR404" s="192"/>
      <c r="MS404" s="192"/>
      <c r="MT404" s="192"/>
      <c r="MU404" s="192"/>
      <c r="MV404" s="192"/>
      <c r="MW404" s="192"/>
      <c r="MX404" s="192"/>
      <c r="MY404" s="192"/>
      <c r="MZ404" s="192"/>
      <c r="NA404" s="192"/>
      <c r="NB404" s="192"/>
      <c r="NC404" s="192"/>
      <c r="ND404" s="192"/>
      <c r="NE404" s="192"/>
      <c r="NF404" s="192"/>
      <c r="NG404" s="192"/>
      <c r="NH404" s="192"/>
      <c r="NI404" s="192"/>
      <c r="NJ404" s="192"/>
      <c r="NK404" s="192"/>
      <c r="NL404" s="192"/>
      <c r="NM404" s="192"/>
      <c r="NN404" s="192"/>
      <c r="NO404" s="192"/>
      <c r="NP404" s="192"/>
      <c r="NQ404" s="192"/>
      <c r="NR404" s="192"/>
      <c r="NS404" s="192"/>
      <c r="NT404" s="192"/>
      <c r="NU404" s="192"/>
      <c r="NV404" s="192"/>
      <c r="NW404" s="192"/>
      <c r="NX404" s="192"/>
      <c r="NY404" s="192"/>
      <c r="NZ404" s="192"/>
      <c r="OA404" s="192"/>
      <c r="OB404" s="192"/>
      <c r="OC404" s="192"/>
      <c r="OD404" s="192"/>
      <c r="OE404" s="192"/>
      <c r="OF404" s="192"/>
      <c r="OG404" s="192"/>
      <c r="OH404" s="192"/>
      <c r="OI404" s="192"/>
      <c r="OJ404" s="192"/>
      <c r="OK404" s="192"/>
      <c r="OL404" s="192"/>
      <c r="OM404" s="192"/>
      <c r="ON404" s="192"/>
      <c r="OO404" s="192"/>
      <c r="OP404" s="192"/>
      <c r="OQ404" s="192"/>
      <c r="OR404" s="192"/>
      <c r="OS404" s="192"/>
      <c r="OT404" s="192"/>
      <c r="OU404" s="192"/>
      <c r="OV404" s="192"/>
      <c r="OW404" s="192"/>
      <c r="OX404" s="192"/>
      <c r="OY404" s="192"/>
      <c r="OZ404" s="192"/>
      <c r="PA404" s="192"/>
      <c r="PB404" s="192"/>
      <c r="PC404" s="192"/>
      <c r="PD404" s="192"/>
      <c r="PE404" s="192"/>
      <c r="PF404" s="192"/>
      <c r="PG404" s="192"/>
      <c r="PH404" s="192"/>
      <c r="PI404" s="192"/>
      <c r="PJ404" s="192"/>
      <c r="PK404" s="192"/>
      <c r="PL404" s="192"/>
      <c r="PM404" s="192"/>
      <c r="PN404" s="192"/>
      <c r="PO404" s="192"/>
      <c r="PP404" s="192"/>
      <c r="PQ404" s="192"/>
      <c r="PR404" s="192"/>
      <c r="PS404" s="192"/>
      <c r="PT404" s="192"/>
      <c r="PU404" s="192"/>
      <c r="PV404" s="192"/>
      <c r="PW404" s="192"/>
      <c r="PX404" s="192"/>
      <c r="PY404" s="192"/>
      <c r="PZ404" s="192"/>
      <c r="QA404" s="192"/>
      <c r="QB404" s="192"/>
      <c r="QC404" s="192"/>
      <c r="QD404" s="192"/>
      <c r="QE404" s="192"/>
      <c r="QF404" s="192"/>
      <c r="QG404" s="192"/>
      <c r="QH404" s="192"/>
      <c r="QI404" s="192"/>
      <c r="QJ404" s="192"/>
      <c r="QK404" s="192"/>
      <c r="QL404" s="192"/>
      <c r="QM404" s="192"/>
      <c r="QN404" s="192"/>
      <c r="QO404" s="192"/>
      <c r="QP404" s="192"/>
      <c r="QQ404" s="192"/>
      <c r="QR404" s="192"/>
      <c r="QS404" s="192"/>
      <c r="QT404" s="192"/>
      <c r="QU404" s="192"/>
      <c r="QV404" s="192"/>
      <c r="QW404" s="192"/>
      <c r="QX404" s="192"/>
      <c r="QY404" s="192"/>
      <c r="QZ404" s="192"/>
      <c r="RA404" s="192"/>
      <c r="RB404" s="192"/>
      <c r="RC404" s="192"/>
      <c r="RD404" s="192"/>
      <c r="RE404" s="192"/>
      <c r="RF404" s="192"/>
      <c r="RG404" s="192"/>
      <c r="RH404" s="192"/>
      <c r="RI404" s="192"/>
      <c r="RJ404" s="192"/>
      <c r="RK404" s="192"/>
      <c r="RL404" s="192"/>
      <c r="RM404" s="192"/>
      <c r="RN404" s="192"/>
      <c r="RO404" s="192"/>
      <c r="RP404" s="192"/>
      <c r="RQ404" s="192"/>
      <c r="RR404" s="192"/>
      <c r="RS404" s="192"/>
      <c r="RT404" s="192"/>
      <c r="RU404" s="192"/>
      <c r="RV404" s="192"/>
      <c r="RW404" s="192"/>
      <c r="RX404" s="192"/>
      <c r="RY404" s="192"/>
      <c r="RZ404" s="192"/>
      <c r="SA404" s="192"/>
      <c r="SB404" s="192"/>
      <c r="SC404" s="192"/>
      <c r="SD404" s="192"/>
      <c r="SE404" s="192"/>
      <c r="SF404" s="192"/>
      <c r="SG404" s="192"/>
      <c r="SH404" s="192"/>
      <c r="SI404" s="192"/>
      <c r="SJ404" s="192"/>
      <c r="SK404" s="192"/>
      <c r="SL404" s="192"/>
      <c r="SM404" s="192"/>
      <c r="SN404" s="192"/>
      <c r="SO404" s="192"/>
      <c r="SP404" s="192"/>
      <c r="SQ404" s="192"/>
      <c r="SR404" s="192"/>
      <c r="SS404" s="192"/>
      <c r="ST404" s="192"/>
      <c r="SU404" s="192"/>
      <c r="SV404" s="192"/>
      <c r="SW404" s="192"/>
      <c r="SX404" s="192"/>
      <c r="SY404" s="192"/>
      <c r="SZ404" s="192"/>
      <c r="TA404" s="192"/>
      <c r="TB404" s="192"/>
      <c r="TC404" s="192"/>
      <c r="TD404" s="192"/>
      <c r="TE404" s="192"/>
      <c r="TF404" s="192"/>
      <c r="TG404" s="192"/>
      <c r="TH404" s="192"/>
      <c r="TI404" s="192"/>
      <c r="TJ404" s="192"/>
      <c r="TK404" s="192"/>
      <c r="TL404" s="192"/>
      <c r="TM404" s="192"/>
      <c r="TN404" s="192"/>
      <c r="TO404" s="192"/>
      <c r="TP404" s="192"/>
      <c r="TQ404" s="192"/>
      <c r="TR404" s="192"/>
      <c r="TS404" s="192"/>
      <c r="TT404" s="192"/>
      <c r="TU404" s="192"/>
      <c r="TV404" s="192"/>
      <c r="TW404" s="192"/>
      <c r="TX404" s="192"/>
      <c r="TY404" s="192"/>
      <c r="TZ404" s="192"/>
      <c r="UA404" s="192"/>
      <c r="UB404" s="192"/>
      <c r="UC404" s="192"/>
      <c r="UD404" s="192"/>
      <c r="UE404" s="192"/>
      <c r="UF404" s="192"/>
      <c r="UG404" s="192"/>
      <c r="UH404" s="192"/>
      <c r="UI404" s="192"/>
      <c r="UJ404" s="192"/>
      <c r="UK404" s="192"/>
      <c r="UL404" s="192"/>
      <c r="UM404" s="192"/>
      <c r="UN404" s="192"/>
      <c r="UO404" s="192"/>
      <c r="UP404" s="192"/>
      <c r="UQ404" s="192"/>
      <c r="UR404" s="192"/>
      <c r="US404" s="192"/>
      <c r="UT404" s="192"/>
      <c r="UU404" s="192"/>
      <c r="UV404" s="192"/>
      <c r="UW404" s="192"/>
      <c r="UX404" s="192"/>
      <c r="UY404" s="192"/>
      <c r="UZ404" s="192"/>
      <c r="VA404" s="192"/>
      <c r="VB404" s="192"/>
      <c r="VC404" s="192"/>
      <c r="VD404" s="192"/>
      <c r="VE404" s="192"/>
      <c r="VF404" s="192"/>
      <c r="VG404" s="192"/>
      <c r="VH404" s="192"/>
      <c r="VI404" s="192"/>
      <c r="VJ404" s="192"/>
      <c r="VK404" s="192"/>
      <c r="VL404" s="192"/>
      <c r="VM404" s="192"/>
      <c r="VN404" s="192"/>
      <c r="VO404" s="192"/>
      <c r="VP404" s="192"/>
      <c r="VQ404" s="192"/>
      <c r="VR404" s="192"/>
      <c r="VS404" s="192"/>
      <c r="VT404" s="192"/>
      <c r="VU404" s="192"/>
      <c r="VV404" s="192"/>
      <c r="VW404" s="192"/>
      <c r="VX404" s="192"/>
      <c r="VY404" s="192"/>
      <c r="VZ404" s="192"/>
      <c r="WA404" s="192"/>
      <c r="WB404" s="192"/>
      <c r="WC404" s="192"/>
      <c r="WD404" s="192"/>
      <c r="WE404" s="192"/>
      <c r="WF404" s="192"/>
      <c r="WG404" s="192"/>
      <c r="WH404" s="192"/>
      <c r="WI404" s="192"/>
      <c r="WJ404" s="192"/>
      <c r="WK404" s="192"/>
      <c r="WL404" s="192"/>
      <c r="WM404" s="192"/>
      <c r="WN404" s="192"/>
      <c r="WO404" s="192"/>
      <c r="WP404" s="192"/>
      <c r="WQ404" s="192"/>
      <c r="WR404" s="192"/>
      <c r="WS404" s="192"/>
      <c r="WT404" s="192"/>
      <c r="WU404" s="192"/>
      <c r="WV404" s="192"/>
      <c r="WW404" s="192"/>
      <c r="WX404" s="192"/>
      <c r="WY404" s="192"/>
      <c r="WZ404" s="192"/>
      <c r="XA404" s="192"/>
      <c r="XB404" s="192"/>
      <c r="XC404" s="192"/>
      <c r="XD404" s="192"/>
      <c r="XE404" s="192"/>
      <c r="XF404" s="192"/>
      <c r="XG404" s="192"/>
    </row>
    <row r="405" spans="1:631" ht="15" hidden="1" customHeight="1" x14ac:dyDescent="0.25">
      <c r="A405" s="5" t="s">
        <v>2062</v>
      </c>
      <c r="B405" s="14" t="str">
        <f>VLOOKUP(TAB_SAIDA[[#This Row],[COD_2_SAIDA]],TAB_ESTOQUE[[Codigo]:[Descrição Tecnica]],6,FALSE)</f>
        <v>VEDAÇÃO VITON P/ BOMBA HID JLB 12 REXROTH</v>
      </c>
      <c r="C405" s="14">
        <f>IFERROR(VLOOKUP(TAB_SAIDA[[#This Row],[COD_2_SAIDA]],TAB_ESTOQUE[[Codigo]:[Referência Tec]],7,FALSE),"")</f>
        <v>0</v>
      </c>
      <c r="D405" s="14" t="str">
        <f>VLOOKUP(TAB_SAIDA[[#This Row],[COD_2_SAIDA]],TAB_ESTOQUE[[Codigo]:[Endereço2]],12,FALSE)</f>
        <v>E1303</v>
      </c>
      <c r="E405" s="81">
        <f>SUM(TAB_SAIDA[[#This Row],[20/05/2019]:[00/00/00]])</f>
        <v>0</v>
      </c>
      <c r="F405" s="3"/>
    </row>
    <row r="406" spans="1:631" ht="15" hidden="1" customHeight="1" x14ac:dyDescent="0.25">
      <c r="A406" s="5" t="s">
        <v>2063</v>
      </c>
      <c r="B406" s="14" t="str">
        <f>VLOOKUP(TAB_SAIDA[[#This Row],[COD_2_SAIDA]],TAB_ESTOQUE[[Codigo]:[Descrição Tecnica]],6,FALSE)</f>
        <v>RETENTOR 25X46X7</v>
      </c>
      <c r="C406" s="14">
        <f>IFERROR(VLOOKUP(TAB_SAIDA[[#This Row],[COD_2_SAIDA]],TAB_ESTOQUE[[Codigo]:[Referência Tec]],7,FALSE),"")</f>
        <v>0</v>
      </c>
      <c r="D406" s="14" t="str">
        <f>VLOOKUP(TAB_SAIDA[[#This Row],[COD_2_SAIDA]],TAB_ESTOQUE[[Codigo]:[Endereço2]],12,FALSE)</f>
        <v>E1203</v>
      </c>
      <c r="E406" s="81">
        <f>SUM(TAB_SAIDA[[#This Row],[20/05/2019]:[00/00/00]])</f>
        <v>0</v>
      </c>
      <c r="F406" s="3"/>
    </row>
    <row r="407" spans="1:631" ht="15" hidden="1" customHeight="1" x14ac:dyDescent="0.25">
      <c r="A407" s="5" t="s">
        <v>2064</v>
      </c>
      <c r="B407" s="14" t="str">
        <f>VLOOKUP(TAB_SAIDA[[#This Row],[COD_2_SAIDA]],TAB_ESTOQUE[[Codigo]:[Descrição Tecnica]],6,FALSE)</f>
        <v>RETENTOR 30X47X7</v>
      </c>
      <c r="C407" s="14">
        <f>IFERROR(VLOOKUP(TAB_SAIDA[[#This Row],[COD_2_SAIDA]],TAB_ESTOQUE[[Codigo]:[Referência Tec]],7,FALSE),"")</f>
        <v>0</v>
      </c>
      <c r="D407" s="14" t="str">
        <f>VLOOKUP(TAB_SAIDA[[#This Row],[COD_2_SAIDA]],TAB_ESTOQUE[[Codigo]:[Endereço2]],12,FALSE)</f>
        <v>E1204</v>
      </c>
      <c r="E407" s="81">
        <f>SUM(TAB_SAIDA[[#This Row],[20/05/2019]:[00/00/00]])</f>
        <v>0</v>
      </c>
      <c r="F407" s="3"/>
    </row>
    <row r="408" spans="1:631" ht="15" hidden="1" customHeight="1" x14ac:dyDescent="0.25">
      <c r="A408" s="5" t="s">
        <v>2065</v>
      </c>
      <c r="B408" s="14" t="str">
        <f>VLOOKUP(TAB_SAIDA[[#This Row],[COD_2_SAIDA]],TAB_ESTOQUE[[Codigo]:[Descrição Tecnica]],6,FALSE)</f>
        <v>RETENTOR 35X62X7</v>
      </c>
      <c r="C408" s="14">
        <f>IFERROR(VLOOKUP(TAB_SAIDA[[#This Row],[COD_2_SAIDA]],TAB_ESTOQUE[[Codigo]:[Referência Tec]],7,FALSE),"")</f>
        <v>0</v>
      </c>
      <c r="D408" s="14" t="str">
        <f>VLOOKUP(TAB_SAIDA[[#This Row],[COD_2_SAIDA]],TAB_ESTOQUE[[Codigo]:[Endereço2]],12,FALSE)</f>
        <v>E1204</v>
      </c>
      <c r="E408" s="81">
        <f>SUM(TAB_SAIDA[[#This Row],[20/05/2019]:[00/00/00]])</f>
        <v>0</v>
      </c>
      <c r="F408" s="3"/>
    </row>
    <row r="409" spans="1:631" ht="15" hidden="1" customHeight="1" x14ac:dyDescent="0.25">
      <c r="A409" s="5" t="s">
        <v>2066</v>
      </c>
      <c r="B409" s="14" t="str">
        <f>VLOOKUP(TAB_SAIDA[[#This Row],[COD_2_SAIDA]],TAB_ESTOQUE[[Codigo]:[Descrição Tecnica]],6,FALSE)</f>
        <v>RETENTOR FERRO 01046-BAG</v>
      </c>
      <c r="C409" s="14">
        <f>IFERROR(VLOOKUP(TAB_SAIDA[[#This Row],[COD_2_SAIDA]],TAB_ESTOQUE[[Codigo]:[Referência Tec]],7,FALSE),"")</f>
        <v>0</v>
      </c>
      <c r="D409" s="14" t="str">
        <f>VLOOKUP(TAB_SAIDA[[#This Row],[COD_2_SAIDA]],TAB_ESTOQUE[[Codigo]:[Endereço2]],12,FALSE)</f>
        <v>E1205</v>
      </c>
      <c r="E409" s="81">
        <f>SUM(TAB_SAIDA[[#This Row],[20/05/2019]:[00/00/00]])</f>
        <v>0</v>
      </c>
      <c r="F409" s="3"/>
    </row>
    <row r="410" spans="1:631" ht="15" hidden="1" customHeight="1" x14ac:dyDescent="0.25">
      <c r="A410" s="5" t="s">
        <v>2067</v>
      </c>
      <c r="B410" s="14" t="str">
        <f>VLOOKUP(TAB_SAIDA[[#This Row],[COD_2_SAIDA]],TAB_ESTOQUE[[Codigo]:[Descrição Tecnica]],6,FALSE)</f>
        <v>RETENTOR 65X90X12</v>
      </c>
      <c r="C410" s="14">
        <f>IFERROR(VLOOKUP(TAB_SAIDA[[#This Row],[COD_2_SAIDA]],TAB_ESTOQUE[[Codigo]:[Referência Tec]],7,FALSE),"")</f>
        <v>0</v>
      </c>
      <c r="D410" s="14" t="str">
        <f>VLOOKUP(TAB_SAIDA[[#This Row],[COD_2_SAIDA]],TAB_ESTOQUE[[Codigo]:[Endereço2]],12,FALSE)</f>
        <v>E1205</v>
      </c>
      <c r="E410" s="81">
        <f>SUM(TAB_SAIDA[[#This Row],[20/05/2019]:[00/00/00]])</f>
        <v>0</v>
      </c>
      <c r="F410" s="3"/>
    </row>
    <row r="411" spans="1:631" ht="15" hidden="1" customHeight="1" x14ac:dyDescent="0.25">
      <c r="A411" s="5" t="s">
        <v>2068</v>
      </c>
      <c r="B411" s="14" t="str">
        <f>VLOOKUP(TAB_SAIDA[[#This Row],[COD_2_SAIDA]],TAB_ESTOQUE[[Codigo]:[Descrição Tecnica]],6,FALSE)</f>
        <v>RETENTOR 50X72X12</v>
      </c>
      <c r="C411" s="14">
        <f>IFERROR(VLOOKUP(TAB_SAIDA[[#This Row],[COD_2_SAIDA]],TAB_ESTOQUE[[Codigo]:[Referência Tec]],7,FALSE),"")</f>
        <v>0</v>
      </c>
      <c r="D411" s="14" t="str">
        <f>VLOOKUP(TAB_SAIDA[[#This Row],[COD_2_SAIDA]],TAB_ESTOQUE[[Codigo]:[Endereço2]],12,FALSE)</f>
        <v>E1202</v>
      </c>
      <c r="E411" s="81">
        <f>SUM(TAB_SAIDA[[#This Row],[20/05/2019]:[00/00/00]])</f>
        <v>0</v>
      </c>
      <c r="F411" s="3"/>
    </row>
    <row r="412" spans="1:631" ht="15" hidden="1" customHeight="1" x14ac:dyDescent="0.25">
      <c r="A412" s="5" t="s">
        <v>2069</v>
      </c>
      <c r="B412" s="14" t="str">
        <f>VLOOKUP(TAB_SAIDA[[#This Row],[COD_2_SAIDA]],TAB_ESTOQUE[[Codigo]:[Descrição Tecnica]],6,FALSE)</f>
        <v>RETENTOR 25X47X10</v>
      </c>
      <c r="C412" s="14">
        <f>IFERROR(VLOOKUP(TAB_SAIDA[[#This Row],[COD_2_SAIDA]],TAB_ESTOQUE[[Codigo]:[Referência Tec]],7,FALSE),"")</f>
        <v>0</v>
      </c>
      <c r="D412" s="14" t="str">
        <f>VLOOKUP(TAB_SAIDA[[#This Row],[COD_2_SAIDA]],TAB_ESTOQUE[[Codigo]:[Endereço2]],12,FALSE)</f>
        <v>E1203</v>
      </c>
      <c r="E412" s="81">
        <f>SUM(TAB_SAIDA[[#This Row],[20/05/2019]:[00/00/00]])</f>
        <v>0</v>
      </c>
      <c r="F412" s="3"/>
    </row>
    <row r="413" spans="1:631" ht="15" hidden="1" customHeight="1" x14ac:dyDescent="0.25">
      <c r="A413" s="5" t="s">
        <v>2070</v>
      </c>
      <c r="B413" s="14" t="str">
        <f>VLOOKUP(TAB_SAIDA[[#This Row],[COD_2_SAIDA]],TAB_ESTOQUE[[Codigo]:[Descrição Tecnica]],6,FALSE)</f>
        <v>RETENTOR 54X90X12</v>
      </c>
      <c r="C413" s="14">
        <f>IFERROR(VLOOKUP(TAB_SAIDA[[#This Row],[COD_2_SAIDA]],TAB_ESTOQUE[[Codigo]:[Referência Tec]],7,FALSE),"")</f>
        <v>0</v>
      </c>
      <c r="D413" s="14" t="str">
        <f>VLOOKUP(TAB_SAIDA[[#This Row],[COD_2_SAIDA]],TAB_ESTOQUE[[Codigo]:[Endereço2]],12,FALSE)</f>
        <v>E1203</v>
      </c>
      <c r="E413" s="81">
        <f>SUM(TAB_SAIDA[[#This Row],[20/05/2019]:[00/00/00]])</f>
        <v>0</v>
      </c>
      <c r="F413" s="3"/>
    </row>
    <row r="414" spans="1:631" ht="15" hidden="1" customHeight="1" x14ac:dyDescent="0.25">
      <c r="A414" s="5" t="s">
        <v>2071</v>
      </c>
      <c r="B414" s="14" t="str">
        <f>VLOOKUP(TAB_SAIDA[[#This Row],[COD_2_SAIDA]],TAB_ESTOQUE[[Codigo]:[Descrição Tecnica]],6,FALSE)</f>
        <v>RETENTOR 60X85X8</v>
      </c>
      <c r="C414" s="14">
        <f>IFERROR(VLOOKUP(TAB_SAIDA[[#This Row],[COD_2_SAIDA]],TAB_ESTOQUE[[Codigo]:[Referência Tec]],7,FALSE),"")</f>
        <v>0</v>
      </c>
      <c r="D414" s="14" t="str">
        <f>VLOOKUP(TAB_SAIDA[[#This Row],[COD_2_SAIDA]],TAB_ESTOQUE[[Codigo]:[Endereço2]],12,FALSE)</f>
        <v>E1203</v>
      </c>
      <c r="E414" s="81">
        <f>SUM(TAB_SAIDA[[#This Row],[20/05/2019]:[00/00/00]])</f>
        <v>0</v>
      </c>
      <c r="F414" s="3"/>
    </row>
    <row r="415" spans="1:631" ht="15" hidden="1" customHeight="1" x14ac:dyDescent="0.25">
      <c r="A415" s="5" t="s">
        <v>2072</v>
      </c>
      <c r="B415" s="14" t="str">
        <f>VLOOKUP(TAB_SAIDA[[#This Row],[COD_2_SAIDA]],TAB_ESTOQUE[[Codigo]:[Descrição Tecnica]],6,FALSE)</f>
        <v>RETENTOR 85X45X50</v>
      </c>
      <c r="C415" s="14">
        <f>IFERROR(VLOOKUP(TAB_SAIDA[[#This Row],[COD_2_SAIDA]],TAB_ESTOQUE[[Codigo]:[Referência Tec]],7,FALSE),"")</f>
        <v>0</v>
      </c>
      <c r="D415" s="14" t="str">
        <f>VLOOKUP(TAB_SAIDA[[#This Row],[COD_2_SAIDA]],TAB_ESTOQUE[[Codigo]:[Endereço2]],12,FALSE)</f>
        <v>E1204</v>
      </c>
      <c r="E415" s="81">
        <f>SUM(TAB_SAIDA[[#This Row],[20/05/2019]:[00/00/00]])</f>
        <v>0</v>
      </c>
      <c r="F415" s="3"/>
    </row>
    <row r="416" spans="1:631" ht="15" hidden="1" customHeight="1" x14ac:dyDescent="0.25">
      <c r="A416" s="5" t="s">
        <v>2073</v>
      </c>
      <c r="B416" s="14" t="str">
        <f>VLOOKUP(TAB_SAIDA[[#This Row],[COD_2_SAIDA]],TAB_ESTOQUE[[Codigo]:[Descrição Tecnica]],6,FALSE)</f>
        <v>RETENTOR 45X62X10</v>
      </c>
      <c r="C416" s="14">
        <f>IFERROR(VLOOKUP(TAB_SAIDA[[#This Row],[COD_2_SAIDA]],TAB_ESTOQUE[[Codigo]:[Referência Tec]],7,FALSE),"")</f>
        <v>0</v>
      </c>
      <c r="D416" s="14" t="str">
        <f>VLOOKUP(TAB_SAIDA[[#This Row],[COD_2_SAIDA]],TAB_ESTOQUE[[Codigo]:[Endereço2]],12,FALSE)</f>
        <v>E1203</v>
      </c>
      <c r="E416" s="81">
        <f>SUM(TAB_SAIDA[[#This Row],[20/05/2019]:[00/00/00]])</f>
        <v>0</v>
      </c>
      <c r="F416" s="3"/>
    </row>
    <row r="417" spans="1:6" ht="15" hidden="1" customHeight="1" x14ac:dyDescent="0.25">
      <c r="A417" s="5" t="s">
        <v>2074</v>
      </c>
      <c r="B417" s="14" t="str">
        <f>VLOOKUP(TAB_SAIDA[[#This Row],[COD_2_SAIDA]],TAB_ESTOQUE[[Codigo]:[Descrição Tecnica]],6,FALSE)</f>
        <v>RETENTOR 57X73X1</v>
      </c>
      <c r="C417" s="14">
        <f>IFERROR(VLOOKUP(TAB_SAIDA[[#This Row],[COD_2_SAIDA]],TAB_ESTOQUE[[Codigo]:[Referência Tec]],7,FALSE),"")</f>
        <v>0</v>
      </c>
      <c r="D417" s="14" t="str">
        <f>VLOOKUP(TAB_SAIDA[[#This Row],[COD_2_SAIDA]],TAB_ESTOQUE[[Codigo]:[Endereço2]],12,FALSE)</f>
        <v>E1204</v>
      </c>
      <c r="E417" s="81">
        <f>SUM(TAB_SAIDA[[#This Row],[20/05/2019]:[00/00/00]])</f>
        <v>0</v>
      </c>
      <c r="F417" s="3"/>
    </row>
    <row r="418" spans="1:6" ht="15" hidden="1" customHeight="1" x14ac:dyDescent="0.25">
      <c r="A418" s="5" t="s">
        <v>2075</v>
      </c>
      <c r="B418" s="14" t="str">
        <f>VLOOKUP(TAB_SAIDA[[#This Row],[COD_2_SAIDA]],TAB_ESTOQUE[[Codigo]:[Descrição Tecnica]],6,FALSE)</f>
        <v>RASPADOR 25-S</v>
      </c>
      <c r="C418" s="14">
        <f>IFERROR(VLOOKUP(TAB_SAIDA[[#This Row],[COD_2_SAIDA]],TAB_ESTOQUE[[Codigo]:[Referência Tec]],7,FALSE),"")</f>
        <v>0</v>
      </c>
      <c r="D418" s="14" t="str">
        <f>VLOOKUP(TAB_SAIDA[[#This Row],[COD_2_SAIDA]],TAB_ESTOQUE[[Codigo]:[Endereço2]],12,FALSE)</f>
        <v>E1303</v>
      </c>
      <c r="E418" s="81">
        <f>SUM(TAB_SAIDA[[#This Row],[20/05/2019]:[00/00/00]])</f>
        <v>0</v>
      </c>
      <c r="F418" s="3"/>
    </row>
    <row r="419" spans="1:6" ht="15" hidden="1" customHeight="1" x14ac:dyDescent="0.25">
      <c r="A419" s="5" t="s">
        <v>2076</v>
      </c>
      <c r="B419" s="14" t="str">
        <f>VLOOKUP(TAB_SAIDA[[#This Row],[COD_2_SAIDA]],TAB_ESTOQUE[[Codigo]:[Descrição Tecnica]],6,FALSE)</f>
        <v>RASPADOR 20-S</v>
      </c>
      <c r="C419" s="14">
        <f>IFERROR(VLOOKUP(TAB_SAIDA[[#This Row],[COD_2_SAIDA]],TAB_ESTOQUE[[Codigo]:[Referência Tec]],7,FALSE),"")</f>
        <v>0</v>
      </c>
      <c r="D419" s="14" t="str">
        <f>VLOOKUP(TAB_SAIDA[[#This Row],[COD_2_SAIDA]],TAB_ESTOQUE[[Codigo]:[Endereço2]],12,FALSE)</f>
        <v>E1303</v>
      </c>
      <c r="E419" s="81">
        <f>SUM(TAB_SAIDA[[#This Row],[20/05/2019]:[00/00/00]])</f>
        <v>0</v>
      </c>
      <c r="F419" s="3"/>
    </row>
    <row r="420" spans="1:6" ht="15" hidden="1" customHeight="1" x14ac:dyDescent="0.25">
      <c r="A420" s="5" t="s">
        <v>2077</v>
      </c>
      <c r="B420" s="14" t="str">
        <f>VLOOKUP(TAB_SAIDA[[#This Row],[COD_2_SAIDA]],TAB_ESTOQUE[[Codigo]:[Descrição Tecnica]],6,FALSE)</f>
        <v>RASPADOR 30-S</v>
      </c>
      <c r="C420" s="14">
        <f>IFERROR(VLOOKUP(TAB_SAIDA[[#This Row],[COD_2_SAIDA]],TAB_ESTOQUE[[Codigo]:[Referência Tec]],7,FALSE),"")</f>
        <v>0</v>
      </c>
      <c r="D420" s="14" t="str">
        <f>VLOOKUP(TAB_SAIDA[[#This Row],[COD_2_SAIDA]],TAB_ESTOQUE[[Codigo]:[Endereço2]],12,FALSE)</f>
        <v>E1303</v>
      </c>
      <c r="E420" s="81">
        <f>SUM(TAB_SAIDA[[#This Row],[20/05/2019]:[00/00/00]])</f>
        <v>0</v>
      </c>
      <c r="F420" s="3"/>
    </row>
    <row r="421" spans="1:6" ht="15" hidden="1" customHeight="1" x14ac:dyDescent="0.25">
      <c r="A421" s="5" t="s">
        <v>2078</v>
      </c>
      <c r="B421" s="14" t="str">
        <f>VLOOKUP(TAB_SAIDA[[#This Row],[COD_2_SAIDA]],TAB_ESTOQUE[[Codigo]:[Descrição Tecnica]],6,FALSE)</f>
        <v>RASPADOR 16-S</v>
      </c>
      <c r="C421" s="14">
        <f>IFERROR(VLOOKUP(TAB_SAIDA[[#This Row],[COD_2_SAIDA]],TAB_ESTOQUE[[Codigo]:[Referência Tec]],7,FALSE),"")</f>
        <v>0</v>
      </c>
      <c r="D421" s="14" t="str">
        <f>VLOOKUP(TAB_SAIDA[[#This Row],[COD_2_SAIDA]],TAB_ESTOQUE[[Codigo]:[Endereço2]],12,FALSE)</f>
        <v>E1303</v>
      </c>
      <c r="E421" s="81">
        <f>SUM(TAB_SAIDA[[#This Row],[20/05/2019]:[00/00/00]])</f>
        <v>0</v>
      </c>
      <c r="F421" s="3"/>
    </row>
    <row r="422" spans="1:6" ht="15" hidden="1" customHeight="1" x14ac:dyDescent="0.25">
      <c r="A422" s="5" t="s">
        <v>2079</v>
      </c>
      <c r="B422" s="14" t="str">
        <f>VLOOKUP(TAB_SAIDA[[#This Row],[COD_2_SAIDA]],TAB_ESTOQUE[[Codigo]:[Descrição Tecnica]],6,FALSE)</f>
        <v>RASPADOR 12-S</v>
      </c>
      <c r="C422" s="14">
        <f>IFERROR(VLOOKUP(TAB_SAIDA[[#This Row],[COD_2_SAIDA]],TAB_ESTOQUE[[Codigo]:[Referência Tec]],7,FALSE),"")</f>
        <v>0</v>
      </c>
      <c r="D422" s="14" t="str">
        <f>VLOOKUP(TAB_SAIDA[[#This Row],[COD_2_SAIDA]],TAB_ESTOQUE[[Codigo]:[Endereço2]],12,FALSE)</f>
        <v>E1303</v>
      </c>
      <c r="E422" s="81">
        <f>SUM(TAB_SAIDA[[#This Row],[20/05/2019]:[00/00/00]])</f>
        <v>0</v>
      </c>
      <c r="F422" s="3"/>
    </row>
    <row r="423" spans="1:6" ht="15" hidden="1" customHeight="1" x14ac:dyDescent="0.25">
      <c r="A423" s="5" t="s">
        <v>2080</v>
      </c>
      <c r="B423" s="14" t="str">
        <f>VLOOKUP(TAB_SAIDA[[#This Row],[COD_2_SAIDA]],TAB_ESTOQUE[[Codigo]:[Descrição Tecnica]],6,FALSE)</f>
        <v>RETENTOR 33X16X2</v>
      </c>
      <c r="C423" s="14">
        <f>IFERROR(VLOOKUP(TAB_SAIDA[[#This Row],[COD_2_SAIDA]],TAB_ESTOQUE[[Codigo]:[Referência Tec]],7,FALSE),"")</f>
        <v>0</v>
      </c>
      <c r="D423" s="14" t="str">
        <f>VLOOKUP(TAB_SAIDA[[#This Row],[COD_2_SAIDA]],TAB_ESTOQUE[[Codigo]:[Endereço2]],12,FALSE)</f>
        <v>E1204</v>
      </c>
      <c r="E423" s="81">
        <f>SUM(TAB_SAIDA[[#This Row],[20/05/2019]:[00/00/00]])</f>
        <v>0</v>
      </c>
      <c r="F423" s="3"/>
    </row>
    <row r="424" spans="1:6" ht="15" hidden="1" customHeight="1" x14ac:dyDescent="0.25">
      <c r="A424" s="5" t="s">
        <v>2081</v>
      </c>
      <c r="B424" s="14" t="str">
        <f>VLOOKUP(TAB_SAIDA[[#This Row],[COD_2_SAIDA]],TAB_ESTOQUE[[Codigo]:[Descrição Tecnica]],6,FALSE)</f>
        <v>ANEL DE TEFLON 25X59X3</v>
      </c>
      <c r="C424" s="14">
        <f>IFERROR(VLOOKUP(TAB_SAIDA[[#This Row],[COD_2_SAIDA]],TAB_ESTOQUE[[Codigo]:[Referência Tec]],7,FALSE),"")</f>
        <v>0</v>
      </c>
      <c r="D424" s="14" t="str">
        <f>VLOOKUP(TAB_SAIDA[[#This Row],[COD_2_SAIDA]],TAB_ESTOQUE[[Codigo]:[Endereço2]],12,FALSE)</f>
        <v>E1303</v>
      </c>
      <c r="E424" s="81">
        <f>SUM(TAB_SAIDA[[#This Row],[20/05/2019]:[00/00/00]])</f>
        <v>0</v>
      </c>
      <c r="F424" s="3"/>
    </row>
    <row r="425" spans="1:6" ht="15" hidden="1" customHeight="1" x14ac:dyDescent="0.25">
      <c r="A425" s="5" t="s">
        <v>2082</v>
      </c>
      <c r="B425" s="14" t="str">
        <f>VLOOKUP(TAB_SAIDA[[#This Row],[COD_2_SAIDA]],TAB_ESTOQUE[[Codigo]:[Descrição Tecnica]],6,FALSE)</f>
        <v>RETENTOR 40X56X10</v>
      </c>
      <c r="C425" s="14">
        <f>IFERROR(VLOOKUP(TAB_SAIDA[[#This Row],[COD_2_SAIDA]],TAB_ESTOQUE[[Codigo]:[Referência Tec]],7,FALSE),"")</f>
        <v>0</v>
      </c>
      <c r="D425" s="14" t="str">
        <f>VLOOKUP(TAB_SAIDA[[#This Row],[COD_2_SAIDA]],TAB_ESTOQUE[[Codigo]:[Endereço2]],12,FALSE)</f>
        <v>E1203</v>
      </c>
      <c r="E425" s="81">
        <f>SUM(TAB_SAIDA[[#This Row],[20/05/2019]:[00/00/00]])</f>
        <v>0</v>
      </c>
      <c r="F425" s="3"/>
    </row>
    <row r="426" spans="1:6" ht="15" hidden="1" customHeight="1" x14ac:dyDescent="0.25">
      <c r="A426" s="5" t="s">
        <v>2083</v>
      </c>
      <c r="B426" s="14" t="str">
        <f>VLOOKUP(TAB_SAIDA[[#This Row],[COD_2_SAIDA]],TAB_ESTOQUE[[Codigo]:[Descrição Tecnica]],6,FALSE)</f>
        <v>CONTATO AUXILIAR WEG BCXMF01 A600 Q600</v>
      </c>
      <c r="C426" s="14">
        <f>IFERROR(VLOOKUP(TAB_SAIDA[[#This Row],[COD_2_SAIDA]],TAB_ESTOQUE[[Codigo]:[Referência Tec]],7,FALSE),"")</f>
        <v>0</v>
      </c>
      <c r="D426" s="14" t="str">
        <f>VLOOKUP(TAB_SAIDA[[#This Row],[COD_2_SAIDA]],TAB_ESTOQUE[[Codigo]:[Endereço2]],12,FALSE)</f>
        <v>A1304</v>
      </c>
      <c r="E426" s="81">
        <f>SUM(TAB_SAIDA[[#This Row],[20/05/2019]:[00/00/00]])</f>
        <v>0</v>
      </c>
      <c r="F426" s="3"/>
    </row>
    <row r="427" spans="1:6" ht="15" hidden="1" customHeight="1" x14ac:dyDescent="0.25">
      <c r="A427" s="5" t="s">
        <v>2084</v>
      </c>
      <c r="B427" s="14" t="str">
        <f>VLOOKUP(TAB_SAIDA[[#This Row],[COD_2_SAIDA]],TAB_ESTOQUE[[Codigo]:[Descrição Tecnica]],6,FALSE)</f>
        <v xml:space="preserve">ROLAMENTO 3205 </v>
      </c>
      <c r="C427" s="14">
        <f>IFERROR(VLOOKUP(TAB_SAIDA[[#This Row],[COD_2_SAIDA]],TAB_ESTOQUE[[Codigo]:[Referência Tec]],7,FALSE),"")</f>
        <v>0</v>
      </c>
      <c r="D427" s="14" t="str">
        <f>VLOOKUP(TAB_SAIDA[[#This Row],[COD_2_SAIDA]],TAB_ESTOQUE[[Codigo]:[Endereço2]],12,FALSE)</f>
        <v>D2104</v>
      </c>
      <c r="E427" s="81">
        <f>SUM(TAB_SAIDA[[#This Row],[20/05/2019]:[00/00/00]])</f>
        <v>0</v>
      </c>
      <c r="F427" s="3"/>
    </row>
    <row r="428" spans="1:6" ht="15" hidden="1" customHeight="1" x14ac:dyDescent="0.25">
      <c r="A428" s="5" t="s">
        <v>2085</v>
      </c>
      <c r="B428" s="14" t="str">
        <f>VLOOKUP(TAB_SAIDA[[#This Row],[COD_2_SAIDA]],TAB_ESTOQUE[[Codigo]:[Descrição Tecnica]],6,FALSE)</f>
        <v>ROLAMENTO RÍGIDO DE ESFERA 6207 (FAG)</v>
      </c>
      <c r="C428" s="14">
        <f>IFERROR(VLOOKUP(TAB_SAIDA[[#This Row],[COD_2_SAIDA]],TAB_ESTOQUE[[Codigo]:[Referência Tec]],7,FALSE),"")</f>
        <v>0</v>
      </c>
      <c r="D428" s="14" t="str">
        <f>VLOOKUP(TAB_SAIDA[[#This Row],[COD_2_SAIDA]],TAB_ESTOQUE[[Codigo]:[Endereço2]],12,FALSE)</f>
        <v>D2104</v>
      </c>
      <c r="E428" s="81">
        <f>SUM(TAB_SAIDA[[#This Row],[20/05/2019]:[00/00/00]])</f>
        <v>0</v>
      </c>
      <c r="F428" s="3"/>
    </row>
    <row r="429" spans="1:6" ht="16.5" hidden="1" customHeight="1" x14ac:dyDescent="0.25">
      <c r="A429" s="5" t="s">
        <v>2086</v>
      </c>
      <c r="B429" s="14" t="str">
        <f>VLOOKUP(TAB_SAIDA[[#This Row],[COD_2_SAIDA]],TAB_ESTOQUE[[Codigo]:[Descrição Tecnica]],6,FALSE)</f>
        <v>ROLAMENTO RKY52</v>
      </c>
      <c r="C429" s="14">
        <f>IFERROR(VLOOKUP(TAB_SAIDA[[#This Row],[COD_2_SAIDA]],TAB_ESTOQUE[[Codigo]:[Referência Tec]],7,FALSE),"")</f>
        <v>0</v>
      </c>
      <c r="D429" s="14" t="str">
        <f>VLOOKUP(TAB_SAIDA[[#This Row],[COD_2_SAIDA]],TAB_ESTOQUE[[Codigo]:[Endereço2]],12,FALSE)</f>
        <v>D2105</v>
      </c>
      <c r="E429" s="81">
        <f>SUM(TAB_SAIDA[[#This Row],[20/05/2019]:[00/00/00]])</f>
        <v>0</v>
      </c>
      <c r="F429" s="3"/>
    </row>
    <row r="430" spans="1:6" ht="15" hidden="1" customHeight="1" x14ac:dyDescent="0.25">
      <c r="A430" s="5" t="s">
        <v>2087</v>
      </c>
      <c r="B430" s="14" t="str">
        <f>VLOOKUP(TAB_SAIDA[[#This Row],[COD_2_SAIDA]],TAB_ESTOQUE[[Codigo]:[Descrição Tecnica]],6,FALSE)</f>
        <v>FILTRO REG REF: CR 303 - 12</v>
      </c>
      <c r="C430" s="14">
        <f>IFERROR(VLOOKUP(TAB_SAIDA[[#This Row],[COD_2_SAIDA]],TAB_ESTOQUE[[Codigo]:[Referência Tec]],7,FALSE),"")</f>
        <v>0</v>
      </c>
      <c r="D430" s="14" t="str">
        <f>VLOOKUP(TAB_SAIDA[[#This Row],[COD_2_SAIDA]],TAB_ESTOQUE[[Codigo]:[Endereço2]],12,FALSE)</f>
        <v>C2402</v>
      </c>
      <c r="E430" s="81">
        <f>SUM(TAB_SAIDA[[#This Row],[20/05/2019]:[00/00/00]])</f>
        <v>0</v>
      </c>
      <c r="F430" s="3"/>
    </row>
    <row r="431" spans="1:6" ht="15" hidden="1" customHeight="1" x14ac:dyDescent="0.25">
      <c r="A431" s="5" t="s">
        <v>2088</v>
      </c>
      <c r="B431" s="14" t="str">
        <f>VLOOKUP(TAB_SAIDA[[#This Row],[COD_2_SAIDA]],TAB_ESTOQUE[[Codigo]:[Descrição Tecnica]],6,FALSE)</f>
        <v>ROLAMENTO DE ESFERAS 62206</v>
      </c>
      <c r="C431" s="14">
        <f>IFERROR(VLOOKUP(TAB_SAIDA[[#This Row],[COD_2_SAIDA]],TAB_ESTOQUE[[Codigo]:[Referência Tec]],7,FALSE),"")</f>
        <v>0</v>
      </c>
      <c r="D431" s="14" t="str">
        <f>VLOOKUP(TAB_SAIDA[[#This Row],[COD_2_SAIDA]],TAB_ESTOQUE[[Codigo]:[Endereço2]],12,FALSE)</f>
        <v>D2105</v>
      </c>
      <c r="E431" s="81">
        <f>SUM(TAB_SAIDA[[#This Row],[20/05/2019]:[00/00/00]])</f>
        <v>0</v>
      </c>
      <c r="F431" s="3"/>
    </row>
    <row r="432" spans="1:6" ht="15" hidden="1" customHeight="1" x14ac:dyDescent="0.25">
      <c r="A432" s="5" t="s">
        <v>2089</v>
      </c>
      <c r="B432" s="14" t="str">
        <f>VLOOKUP(TAB_SAIDA[[#This Row],[COD_2_SAIDA]],TAB_ESTOQUE[[Codigo]:[Descrição Tecnica]],6,FALSE)</f>
        <v>RETENTOR 14X22X7</v>
      </c>
      <c r="C432" s="14">
        <f>IFERROR(VLOOKUP(TAB_SAIDA[[#This Row],[COD_2_SAIDA]],TAB_ESTOQUE[[Codigo]:[Referência Tec]],7,FALSE),"")</f>
        <v>0</v>
      </c>
      <c r="D432" s="14" t="str">
        <f>VLOOKUP(TAB_SAIDA[[#This Row],[COD_2_SAIDA]],TAB_ESTOQUE[[Codigo]:[Endereço2]],12,FALSE)</f>
        <v>E1202</v>
      </c>
      <c r="E432" s="81">
        <f>SUM(TAB_SAIDA[[#This Row],[20/05/2019]:[00/00/00]])</f>
        <v>0</v>
      </c>
      <c r="F432" s="3"/>
    </row>
    <row r="433" spans="1:611" ht="15" hidden="1" customHeight="1" x14ac:dyDescent="0.25">
      <c r="A433" s="5" t="s">
        <v>2090</v>
      </c>
      <c r="B433" s="14" t="str">
        <f>VLOOKUP(TAB_SAIDA[[#This Row],[COD_2_SAIDA]],TAB_ESTOQUE[[Codigo]:[Descrição Tecnica]],6,FALSE)</f>
        <v>RETENTOR 24X35X6</v>
      </c>
      <c r="C433" s="14">
        <f>IFERROR(VLOOKUP(TAB_SAIDA[[#This Row],[COD_2_SAIDA]],TAB_ESTOQUE[[Codigo]:[Referência Tec]],7,FALSE),"")</f>
        <v>0</v>
      </c>
      <c r="D433" s="14" t="str">
        <f>VLOOKUP(TAB_SAIDA[[#This Row],[COD_2_SAIDA]],TAB_ESTOQUE[[Codigo]:[Endereço2]],12,FALSE)</f>
        <v>E1202</v>
      </c>
      <c r="E433" s="81">
        <f>SUM(TAB_SAIDA[[#This Row],[20/05/2019]:[00/00/00]])</f>
        <v>0</v>
      </c>
      <c r="F433" s="3"/>
    </row>
    <row r="434" spans="1:611" ht="15" hidden="1" customHeight="1" x14ac:dyDescent="0.25">
      <c r="A434" s="5" t="s">
        <v>2091</v>
      </c>
      <c r="B434" s="14" t="str">
        <f>VLOOKUP(TAB_SAIDA[[#This Row],[COD_2_SAIDA]],TAB_ESTOQUE[[Codigo]:[Descrição Tecnica]],6,FALSE)</f>
        <v>AGULHAS DO CILINDRO (RAIO INOX M26)</v>
      </c>
      <c r="C434" s="14">
        <f>IFERROR(VLOOKUP(TAB_SAIDA[[#This Row],[COD_2_SAIDA]],TAB_ESTOQUE[[Codigo]:[Referência Tec]],7,FALSE),"")</f>
        <v>0</v>
      </c>
      <c r="D434" s="14" t="str">
        <f>VLOOKUP(TAB_SAIDA[[#This Row],[COD_2_SAIDA]],TAB_ESTOQUE[[Codigo]:[Endereço2]],12,FALSE)</f>
        <v>E1303</v>
      </c>
      <c r="E434" s="81">
        <f>SUM(TAB_SAIDA[[#This Row],[20/05/2019]:[00/00/00]])</f>
        <v>0</v>
      </c>
      <c r="F434" s="3"/>
    </row>
    <row r="435" spans="1:611" ht="15" hidden="1" customHeight="1" x14ac:dyDescent="0.25">
      <c r="A435" s="5" t="s">
        <v>2092</v>
      </c>
      <c r="B435" s="14" t="str">
        <f>VLOOKUP(TAB_SAIDA[[#This Row],[COD_2_SAIDA]],TAB_ESTOQUE[[Codigo]:[Descrição Tecnica]],6,FALSE)</f>
        <v>RETENTOR 25X47X7</v>
      </c>
      <c r="C435" s="14">
        <f>IFERROR(VLOOKUP(TAB_SAIDA[[#This Row],[COD_2_SAIDA]],TAB_ESTOQUE[[Codigo]:[Referência Tec]],7,FALSE),"")</f>
        <v>0</v>
      </c>
      <c r="D435" s="14" t="str">
        <f>VLOOKUP(TAB_SAIDA[[#This Row],[COD_2_SAIDA]],TAB_ESTOQUE[[Codigo]:[Endereço2]],12,FALSE)</f>
        <v>E1204</v>
      </c>
      <c r="E435" s="81">
        <f>SUM(TAB_SAIDA[[#This Row],[20/05/2019]:[00/00/00]])</f>
        <v>0</v>
      </c>
      <c r="F435" s="3"/>
    </row>
    <row r="436" spans="1:611" ht="15" hidden="1" customHeight="1" x14ac:dyDescent="0.25">
      <c r="A436" s="5" t="s">
        <v>2093</v>
      </c>
      <c r="B436" s="14" t="str">
        <f>VLOOKUP(TAB_SAIDA[[#This Row],[COD_2_SAIDA]],TAB_ESTOQUE[[Codigo]:[Descrição Tecnica]],6,FALSE)</f>
        <v>BOTÃO DE EMERGENCIA  SCHMERSAL MV-CLE2-40 REF:NO 51901933</v>
      </c>
      <c r="C436" s="14">
        <f>IFERROR(VLOOKUP(TAB_SAIDA[[#This Row],[COD_2_SAIDA]],TAB_ESTOQUE[[Codigo]:[Referência Tec]],7,FALSE),"")</f>
        <v>0</v>
      </c>
      <c r="D436" s="14" t="str">
        <f>VLOOKUP(TAB_SAIDA[[#This Row],[COD_2_SAIDA]],TAB_ESTOQUE[[Codigo]:[Endereço2]],12,FALSE)</f>
        <v>A2406</v>
      </c>
      <c r="E436" s="81">
        <f>SUM(TAB_SAIDA[[#This Row],[20/05/2019]:[00/00/00]])</f>
        <v>0</v>
      </c>
      <c r="F436" s="3"/>
    </row>
    <row r="437" spans="1:611" ht="15" hidden="1" customHeight="1" x14ac:dyDescent="0.25">
      <c r="A437" s="5" t="s">
        <v>2094</v>
      </c>
      <c r="B437" s="14" t="str">
        <f>VLOOKUP(TAB_SAIDA[[#This Row],[COD_2_SAIDA]],TAB_ESTOQUE[[Codigo]:[Descrição Tecnica]],6,FALSE)</f>
        <v>FILTRO REG REF: BFC-4000</v>
      </c>
      <c r="C437" s="14">
        <f>IFERROR(VLOOKUP(TAB_SAIDA[[#This Row],[COD_2_SAIDA]],TAB_ESTOQUE[[Codigo]:[Referência Tec]],7,FALSE),"")</f>
        <v>0</v>
      </c>
      <c r="D437" s="14" t="str">
        <f>VLOOKUP(TAB_SAIDA[[#This Row],[COD_2_SAIDA]],TAB_ESTOQUE[[Codigo]:[Endereço2]],12,FALSE)</f>
        <v>C2402</v>
      </c>
      <c r="E437" s="81">
        <f>SUM(TAB_SAIDA[[#This Row],[20/05/2019]:[00/00/00]])</f>
        <v>0</v>
      </c>
      <c r="F437" s="3"/>
    </row>
    <row r="438" spans="1:611" ht="15" hidden="1" customHeight="1" x14ac:dyDescent="0.25">
      <c r="A438" s="5" t="s">
        <v>2095</v>
      </c>
      <c r="B438" s="14" t="str">
        <f>VLOOKUP(TAB_SAIDA[[#This Row],[COD_2_SAIDA]],TAB_ESTOQUE[[Codigo]:[Descrição Tecnica]],6,FALSE)</f>
        <v>ROLAMENTO 6908</v>
      </c>
      <c r="C438" s="14">
        <f>IFERROR(VLOOKUP(TAB_SAIDA[[#This Row],[COD_2_SAIDA]],TAB_ESTOQUE[[Codigo]:[Referência Tec]],7,FALSE),"")</f>
        <v>0</v>
      </c>
      <c r="D438" s="14" t="str">
        <f>VLOOKUP(TAB_SAIDA[[#This Row],[COD_2_SAIDA]],TAB_ESTOQUE[[Codigo]:[Endereço2]],12,FALSE)</f>
        <v>D2102</v>
      </c>
      <c r="E438" s="81">
        <f>SUM(TAB_SAIDA[[#This Row],[20/05/2019]:[00/00/00]])</f>
        <v>0</v>
      </c>
      <c r="F438" s="3"/>
    </row>
    <row r="439" spans="1:611" ht="15" hidden="1" customHeight="1" x14ac:dyDescent="0.25">
      <c r="A439" s="5" t="s">
        <v>2096</v>
      </c>
      <c r="B439" s="14" t="str">
        <f>VLOOKUP(TAB_SAIDA[[#This Row],[COD_2_SAIDA]],TAB_ESTOQUE[[Codigo]:[Descrição Tecnica]],6,FALSE)</f>
        <v>GARRA DO CARPETE UTE 05</v>
      </c>
      <c r="C439" s="14">
        <f>IFERROR(VLOOKUP(TAB_SAIDA[[#This Row],[COD_2_SAIDA]],TAB_ESTOQUE[[Codigo]:[Referência Tec]],7,FALSE),"")</f>
        <v>0</v>
      </c>
      <c r="D439" s="14" t="str">
        <f>VLOOKUP(TAB_SAIDA[[#This Row],[COD_2_SAIDA]],TAB_ESTOQUE[[Codigo]:[Endereço2]],12,FALSE)</f>
        <v>D1202</v>
      </c>
      <c r="E439" s="81">
        <f>SUM(TAB_SAIDA[[#This Row],[20/05/2019]:[00/00/00]])</f>
        <v>0</v>
      </c>
      <c r="F439" s="3"/>
    </row>
    <row r="440" spans="1:611" ht="15" hidden="1" customHeight="1" x14ac:dyDescent="0.25">
      <c r="A440" s="5" t="s">
        <v>2097</v>
      </c>
      <c r="B440" s="14" t="str">
        <f>VLOOKUP(TAB_SAIDA[[#This Row],[COD_2_SAIDA]],TAB_ESTOQUE[[Codigo]:[Descrição Tecnica]],6,FALSE)</f>
        <v>MANCAL P204</v>
      </c>
      <c r="C440" s="14">
        <f>IFERROR(VLOOKUP(TAB_SAIDA[[#This Row],[COD_2_SAIDA]],TAB_ESTOQUE[[Codigo]:[Referência Tec]],7,FALSE),"")</f>
        <v>0</v>
      </c>
      <c r="D440" s="14" t="str">
        <f>VLOOKUP(TAB_SAIDA[[#This Row],[COD_2_SAIDA]],TAB_ESTOQUE[[Codigo]:[Endereço2]],12,FALSE)</f>
        <v>E1405</v>
      </c>
      <c r="E440" s="81">
        <f>SUM(TAB_SAIDA[[#This Row],[20/05/2019]:[00/00/00]])</f>
        <v>0</v>
      </c>
      <c r="F440" s="3"/>
    </row>
    <row r="441" spans="1:611" ht="15" hidden="1" customHeight="1" x14ac:dyDescent="0.25">
      <c r="A441" s="5" t="s">
        <v>2098</v>
      </c>
      <c r="B441" s="14" t="str">
        <f>VLOOKUP(TAB_SAIDA[[#This Row],[COD_2_SAIDA]],TAB_ESTOQUE[[Codigo]:[Descrição Tecnica]],6,FALSE)</f>
        <v>MANCAL T207 F&amp;D</v>
      </c>
      <c r="C441" s="14">
        <f>IFERROR(VLOOKUP(TAB_SAIDA[[#This Row],[COD_2_SAIDA]],TAB_ESTOQUE[[Codigo]:[Referência Tec]],7,FALSE),"")</f>
        <v>0</v>
      </c>
      <c r="D441" s="14" t="str">
        <f>VLOOKUP(TAB_SAIDA[[#This Row],[COD_2_SAIDA]],TAB_ESTOQUE[[Codigo]:[Endereço2]],12,FALSE)</f>
        <v>E1405</v>
      </c>
      <c r="E441" s="81">
        <f>SUM(TAB_SAIDA[[#This Row],[20/05/2019]:[00/00/00]])</f>
        <v>0</v>
      </c>
      <c r="F441" s="3"/>
    </row>
    <row r="442" spans="1:611" ht="15" hidden="1" customHeight="1" x14ac:dyDescent="0.25">
      <c r="A442" s="5" t="s">
        <v>2099</v>
      </c>
      <c r="B442" s="14" t="str">
        <f>VLOOKUP(TAB_SAIDA[[#This Row],[COD_2_SAIDA]],TAB_ESTOQUE[[Codigo]:[Descrição Tecnica]],6,FALSE)</f>
        <v>APARA DAS CALANDRAS GLASUTEC</v>
      </c>
      <c r="C442" s="14">
        <f>IFERROR(VLOOKUP(TAB_SAIDA[[#This Row],[COD_2_SAIDA]],TAB_ESTOQUE[[Codigo]:[Referência Tec]],7,FALSE),"")</f>
        <v>0</v>
      </c>
      <c r="D442" s="14" t="str">
        <f>VLOOKUP(TAB_SAIDA[[#This Row],[COD_2_SAIDA]],TAB_ESTOQUE[[Codigo]:[Endereço2]],12,FALSE)</f>
        <v>E1302</v>
      </c>
      <c r="E442" s="81">
        <f>SUM(TAB_SAIDA[[#This Row],[20/05/2019]:[00/00/00]])</f>
        <v>0</v>
      </c>
      <c r="F442" s="3"/>
    </row>
    <row r="443" spans="1:611" ht="15" hidden="1" customHeight="1" x14ac:dyDescent="0.25">
      <c r="A443" s="5" t="s">
        <v>2100</v>
      </c>
      <c r="B443" s="14" t="str">
        <f>VLOOKUP(TAB_SAIDA[[#This Row],[COD_2_SAIDA]],TAB_ESTOQUE[[Codigo]:[Descrição Tecnica]],6,FALSE)</f>
        <v>COOLER  MOD: KF0615H2SR-R JAMICON 24V----3.7W</v>
      </c>
      <c r="C443" s="14">
        <f>IFERROR(VLOOKUP(TAB_SAIDA[[#This Row],[COD_2_SAIDA]],TAB_ESTOQUE[[Codigo]:[Referência Tec]],7,FALSE),"")</f>
        <v>0</v>
      </c>
      <c r="D443" s="14" t="str">
        <f>VLOOKUP(TAB_SAIDA[[#This Row],[COD_2_SAIDA]],TAB_ESTOQUE[[Codigo]:[Endereço2]],12,FALSE)</f>
        <v>B1106</v>
      </c>
      <c r="E443" s="81">
        <f>SUM(TAB_SAIDA[[#This Row],[20/05/2019]:[00/00/00]])</f>
        <v>0</v>
      </c>
      <c r="F443" s="3"/>
    </row>
    <row r="444" spans="1:611" ht="15" hidden="1" customHeight="1" x14ac:dyDescent="0.25">
      <c r="A444" s="5" t="s">
        <v>2101</v>
      </c>
      <c r="B444" s="14" t="str">
        <f>VLOOKUP(TAB_SAIDA[[#This Row],[COD_2_SAIDA]],TAB_ESTOQUE[[Codigo]:[Descrição Tecnica]],6,FALSE)</f>
        <v>LAMINA MAQ. DE CORTE HORIZONTAL 9494X60X06</v>
      </c>
      <c r="C444" s="14">
        <f>IFERROR(VLOOKUP(TAB_SAIDA[[#This Row],[COD_2_SAIDA]],TAB_ESTOQUE[[Codigo]:[Referência Tec]],7,FALSE),"")</f>
        <v>0</v>
      </c>
      <c r="D444" s="14" t="str">
        <f>VLOOKUP(TAB_SAIDA[[#This Row],[COD_2_SAIDA]],TAB_ESTOQUE[[Codigo]:[Endereço2]],12,FALSE)</f>
        <v>E1201</v>
      </c>
      <c r="E444" s="81">
        <f>SUM(TAB_SAIDA[[#This Row],[20/05/2019]:[00/00/00]])</f>
        <v>14</v>
      </c>
      <c r="F444" s="3"/>
      <c r="RP444" s="3">
        <v>1</v>
      </c>
      <c r="SG444" s="3">
        <v>1</v>
      </c>
      <c r="SP444" s="3">
        <v>1</v>
      </c>
      <c r="TU444" s="3">
        <v>1</v>
      </c>
      <c r="TZ444" s="3">
        <v>1</v>
      </c>
      <c r="UB444" s="3">
        <v>1</v>
      </c>
      <c r="UG444" s="3">
        <v>1</v>
      </c>
      <c r="UI444" s="3">
        <v>1</v>
      </c>
      <c r="UP444" s="3">
        <v>1</v>
      </c>
      <c r="UV444" s="3">
        <v>1</v>
      </c>
      <c r="UY444" s="3">
        <v>1</v>
      </c>
      <c r="VS444" s="3">
        <v>1</v>
      </c>
      <c r="WB444" s="3">
        <v>1</v>
      </c>
      <c r="WM444" s="3">
        <v>1</v>
      </c>
    </row>
    <row r="445" spans="1:611" ht="15" hidden="1" customHeight="1" x14ac:dyDescent="0.25">
      <c r="A445" s="5" t="s">
        <v>2102</v>
      </c>
      <c r="B445" s="14" t="str">
        <f>VLOOKUP(TAB_SAIDA[[#This Row],[COD_2_SAIDA]],TAB_ESTOQUE[[Codigo]:[Descrição Tecnica]],6,FALSE)</f>
        <v>VALVULA PNEUMATICA 1/2 VIAS COM 1 BOBINA 24V</v>
      </c>
      <c r="C445" s="14">
        <f>IFERROR(VLOOKUP(TAB_SAIDA[[#This Row],[COD_2_SAIDA]],TAB_ESTOQUE[[Codigo]:[Referência Tec]],7,FALSE),"")</f>
        <v>0</v>
      </c>
      <c r="D445" s="14" t="str">
        <f>VLOOKUP(TAB_SAIDA[[#This Row],[COD_2_SAIDA]],TAB_ESTOQUE[[Codigo]:[Endereço2]],12,FALSE)</f>
        <v>C1103</v>
      </c>
      <c r="E445" s="81">
        <f>SUM(TAB_SAIDA[[#This Row],[20/05/2019]:[00/00/00]])</f>
        <v>0</v>
      </c>
      <c r="F445" s="3"/>
    </row>
    <row r="446" spans="1:611" ht="15" hidden="1" customHeight="1" x14ac:dyDescent="0.25">
      <c r="A446" s="5" t="s">
        <v>2103</v>
      </c>
      <c r="B446" s="14" t="str">
        <f>VLOOKUP(TAB_SAIDA[[#This Row],[COD_2_SAIDA]],TAB_ESTOQUE[[Codigo]:[Descrição Tecnica]],6,FALSE)</f>
        <v>CILINDRO PNEUMATICO ADVU-63-50-P-A</v>
      </c>
      <c r="C446" s="14">
        <f>IFERROR(VLOOKUP(TAB_SAIDA[[#This Row],[COD_2_SAIDA]],TAB_ESTOQUE[[Codigo]:[Referência Tec]],7,FALSE),"")</f>
        <v>0</v>
      </c>
      <c r="D446" s="14" t="str">
        <f>VLOOKUP(TAB_SAIDA[[#This Row],[COD_2_SAIDA]],TAB_ESTOQUE[[Codigo]:[Endereço2]],12,FALSE)</f>
        <v>C1105</v>
      </c>
      <c r="E446" s="81">
        <f>SUM(TAB_SAIDA[[#This Row],[20/05/2019]:[00/00/00]])</f>
        <v>0</v>
      </c>
      <c r="F446" s="3"/>
    </row>
    <row r="447" spans="1:611" ht="15" hidden="1" customHeight="1" x14ac:dyDescent="0.25">
      <c r="A447" s="5" t="s">
        <v>2104</v>
      </c>
      <c r="B447" s="14" t="str">
        <f>VLOOKUP(TAB_SAIDA[[#This Row],[COD_2_SAIDA]],TAB_ESTOQUE[[Codigo]:[Descrição Tecnica]],6,FALSE)</f>
        <v>CILINDRO PNEUMATICO ADVU 63-40-P-A</v>
      </c>
      <c r="C447" s="14">
        <f>IFERROR(VLOOKUP(TAB_SAIDA[[#This Row],[COD_2_SAIDA]],TAB_ESTOQUE[[Codigo]:[Referência Tec]],7,FALSE),"")</f>
        <v>0</v>
      </c>
      <c r="D447" s="14" t="str">
        <f>VLOOKUP(TAB_SAIDA[[#This Row],[COD_2_SAIDA]],TAB_ESTOQUE[[Codigo]:[Endereço2]],12,FALSE)</f>
        <v>C1105</v>
      </c>
      <c r="E447" s="81">
        <f>SUM(TAB_SAIDA[[#This Row],[20/05/2019]:[00/00/00]])</f>
        <v>0</v>
      </c>
      <c r="F447" s="3"/>
    </row>
    <row r="448" spans="1:611" ht="15" hidden="1" customHeight="1" x14ac:dyDescent="0.25">
      <c r="A448" s="5" t="s">
        <v>2105</v>
      </c>
      <c r="B448" s="14" t="str">
        <f>VLOOKUP(TAB_SAIDA[[#This Row],[COD_2_SAIDA]],TAB_ESTOQUE[[Codigo]:[Descrição Tecnica]],6,FALSE)</f>
        <v>CORRENTE DE TRANSMISSÃO DUPLA 08B-2 (TC TRANSCOR)</v>
      </c>
      <c r="C448" s="14">
        <f>IFERROR(VLOOKUP(TAB_SAIDA[[#This Row],[COD_2_SAIDA]],TAB_ESTOQUE[[Codigo]:[Referência Tec]],7,FALSE),"")</f>
        <v>0</v>
      </c>
      <c r="D448" s="14" t="str">
        <f>VLOOKUP(TAB_SAIDA[[#This Row],[COD_2_SAIDA]],TAB_ESTOQUE[[Codigo]:[Endereço2]],12,FALSE)</f>
        <v>E2202</v>
      </c>
      <c r="E448" s="81">
        <f>SUM(TAB_SAIDA[[#This Row],[20/05/2019]:[00/00/00]])</f>
        <v>0</v>
      </c>
      <c r="F448" s="3"/>
    </row>
    <row r="449" spans="1:631" ht="15" hidden="1" customHeight="1" x14ac:dyDescent="0.25">
      <c r="A449" s="5" t="s">
        <v>2106</v>
      </c>
      <c r="B449" s="14" t="str">
        <f>VLOOKUP(TAB_SAIDA[[#This Row],[COD_2_SAIDA]],TAB_ESTOQUE[[Codigo]:[Descrição Tecnica]],6,FALSE)</f>
        <v>ROLAMENTO RÍGIDO DE ESFERA 61903-2RS1 (SKF)</v>
      </c>
      <c r="C449" s="14">
        <f>IFERROR(VLOOKUP(TAB_SAIDA[[#This Row],[COD_2_SAIDA]],TAB_ESTOQUE[[Codigo]:[Referência Tec]],7,FALSE),"")</f>
        <v>0</v>
      </c>
      <c r="D449" s="14" t="str">
        <f>VLOOKUP(TAB_SAIDA[[#This Row],[COD_2_SAIDA]],TAB_ESTOQUE[[Codigo]:[Endereço2]],12,FALSE)</f>
        <v>D2103</v>
      </c>
      <c r="E449" s="81">
        <f>SUM(TAB_SAIDA[[#This Row],[20/05/2019]:[00/00/00]])</f>
        <v>0</v>
      </c>
      <c r="F449" s="3"/>
    </row>
    <row r="450" spans="1:631" s="186" customFormat="1" ht="15" hidden="1" customHeight="1" x14ac:dyDescent="0.25">
      <c r="A450" s="189" t="s">
        <v>2107</v>
      </c>
      <c r="B450" s="201" t="str">
        <f>VLOOKUP(TAB_SAIDA[[#This Row],[COD_2_SAIDA]],TAB_ESTOQUE[[Codigo]:[Descrição Tecnica]],6,FALSE)</f>
        <v>ROLAMENTO RÍGIDO DE ESFERA 6203-2Z (SKF)</v>
      </c>
      <c r="C450" s="201">
        <f>IFERROR(VLOOKUP(TAB_SAIDA[[#This Row],[COD_2_SAIDA]],TAB_ESTOQUE[[Codigo]:[Referência Tec]],7,FALSE),"")</f>
        <v>0</v>
      </c>
      <c r="D450" s="201" t="str">
        <f>VLOOKUP(TAB_SAIDA[[#This Row],[COD_2_SAIDA]],TAB_ESTOQUE[[Codigo]:[Endereço2]],12,FALSE)</f>
        <v>D2103</v>
      </c>
      <c r="E450" s="191">
        <f>SUM(TAB_SAIDA[[#This Row],[20/05/2019]:[00/00/00]])</f>
        <v>0</v>
      </c>
      <c r="F450" s="192"/>
      <c r="G450" s="192"/>
      <c r="H450" s="192"/>
      <c r="I450" s="192"/>
      <c r="J450" s="192"/>
      <c r="K450" s="192"/>
      <c r="L450" s="192"/>
      <c r="M450" s="192"/>
      <c r="N450" s="192"/>
      <c r="O450" s="192"/>
      <c r="P450" s="192"/>
      <c r="Q450" s="192"/>
      <c r="R450" s="192"/>
      <c r="S450" s="192"/>
      <c r="T450" s="192"/>
      <c r="U450" s="192"/>
      <c r="V450" s="192"/>
      <c r="W450" s="192"/>
      <c r="X450" s="192"/>
      <c r="Y450" s="192"/>
      <c r="Z450" s="192"/>
      <c r="AA450" s="192"/>
      <c r="AB450" s="192"/>
      <c r="AC450" s="192"/>
      <c r="AD450" s="192"/>
      <c r="AE450" s="192"/>
      <c r="AF450" s="192"/>
      <c r="AG450" s="192"/>
      <c r="AH450" s="192"/>
      <c r="AI450" s="192"/>
      <c r="AJ450" s="192"/>
      <c r="AK450" s="192"/>
      <c r="AL450" s="192"/>
      <c r="AM450" s="192"/>
      <c r="AN450" s="192"/>
      <c r="AO450" s="192"/>
      <c r="AP450" s="192"/>
      <c r="AQ450" s="192"/>
      <c r="AR450" s="192"/>
      <c r="AS450" s="192"/>
      <c r="AT450" s="192"/>
      <c r="AU450" s="192"/>
      <c r="AV450" s="192"/>
      <c r="AW450" s="192"/>
      <c r="AX450" s="192"/>
      <c r="AY450" s="192"/>
      <c r="AZ450" s="192"/>
      <c r="BA450" s="192"/>
      <c r="BB450" s="192"/>
      <c r="BC450" s="192"/>
      <c r="BD450" s="192"/>
      <c r="BE450" s="192"/>
      <c r="BF450" s="192"/>
      <c r="BG450" s="192"/>
      <c r="BH450" s="193"/>
      <c r="BI450" s="192"/>
      <c r="BJ450" s="192"/>
      <c r="BK450" s="192"/>
      <c r="BL450" s="192"/>
      <c r="BM450" s="192"/>
      <c r="BN450" s="192"/>
      <c r="BO450" s="192"/>
      <c r="BP450" s="192"/>
      <c r="BQ450" s="192"/>
      <c r="BR450" s="192"/>
      <c r="BS450" s="192"/>
      <c r="BT450" s="192"/>
      <c r="BU450" s="192"/>
      <c r="BV450" s="192"/>
      <c r="BW450" s="192"/>
      <c r="BX450" s="192"/>
      <c r="BY450" s="192"/>
      <c r="BZ450" s="192"/>
      <c r="CA450" s="192"/>
      <c r="CB450" s="192"/>
      <c r="CC450" s="192"/>
      <c r="CD450" s="192"/>
      <c r="CE450" s="192"/>
      <c r="CF450" s="192"/>
      <c r="CG450" s="192"/>
      <c r="CH450" s="192"/>
      <c r="CI450" s="192"/>
      <c r="CJ450" s="192"/>
      <c r="CK450" s="192"/>
      <c r="CL450" s="192"/>
      <c r="CM450" s="192"/>
      <c r="CN450" s="192"/>
      <c r="CO450" s="192"/>
      <c r="CP450" s="192"/>
      <c r="CQ450" s="192"/>
      <c r="CR450" s="192"/>
      <c r="CS450" s="192"/>
      <c r="CT450" s="192"/>
      <c r="CU450" s="192"/>
      <c r="CV450" s="192"/>
      <c r="CW450" s="192"/>
      <c r="CX450" s="192"/>
      <c r="CY450" s="192"/>
      <c r="CZ450" s="192"/>
      <c r="DA450" s="192"/>
      <c r="DB450" s="192"/>
      <c r="DC450" s="192"/>
      <c r="DD450" s="192"/>
      <c r="DE450" s="192"/>
      <c r="DF450" s="192"/>
      <c r="DG450" s="192"/>
      <c r="DH450" s="192"/>
      <c r="DI450" s="192"/>
      <c r="DJ450" s="192"/>
      <c r="DK450" s="192"/>
      <c r="DL450" s="192"/>
      <c r="DM450" s="192"/>
      <c r="DN450" s="192"/>
      <c r="DO450" s="192"/>
      <c r="DP450" s="192"/>
      <c r="DQ450" s="192"/>
      <c r="DR450" s="192"/>
      <c r="DS450" s="192"/>
      <c r="DT450" s="192"/>
      <c r="DU450" s="192"/>
      <c r="DV450" s="192"/>
      <c r="DW450" s="192"/>
      <c r="DX450" s="192"/>
      <c r="DY450" s="192"/>
      <c r="DZ450" s="192"/>
      <c r="EA450" s="192"/>
      <c r="EB450" s="192"/>
      <c r="EC450" s="192"/>
      <c r="ED450" s="192"/>
      <c r="EE450" s="192"/>
      <c r="EF450" s="192"/>
      <c r="EG450" s="192"/>
      <c r="EH450" s="192"/>
      <c r="EI450" s="192"/>
      <c r="EJ450" s="192"/>
      <c r="EK450" s="192"/>
      <c r="EL450" s="192"/>
      <c r="EM450" s="192"/>
      <c r="EN450" s="192"/>
      <c r="EO450" s="192"/>
      <c r="EP450" s="192"/>
      <c r="EQ450" s="192"/>
      <c r="ER450" s="192"/>
      <c r="ES450" s="192"/>
      <c r="ET450" s="192"/>
      <c r="EU450" s="192"/>
      <c r="EV450" s="192"/>
      <c r="EW450" s="192"/>
      <c r="EX450" s="192"/>
      <c r="EY450" s="192"/>
      <c r="EZ450" s="192"/>
      <c r="FA450" s="192"/>
      <c r="FB450" s="192"/>
      <c r="FC450" s="192"/>
      <c r="FD450" s="192"/>
      <c r="FE450" s="192"/>
      <c r="FF450" s="192"/>
      <c r="FG450" s="192"/>
      <c r="FH450" s="192"/>
      <c r="FI450" s="192"/>
      <c r="FJ450" s="192"/>
      <c r="FK450" s="192"/>
      <c r="FL450" s="192"/>
      <c r="FM450" s="192"/>
      <c r="FN450" s="192"/>
      <c r="FO450" s="192"/>
      <c r="FP450" s="192"/>
      <c r="FQ450" s="192"/>
      <c r="FR450" s="192"/>
      <c r="FS450" s="192"/>
      <c r="FT450" s="192"/>
      <c r="FU450" s="192"/>
      <c r="FV450" s="192"/>
      <c r="FW450" s="192"/>
      <c r="FX450" s="192"/>
      <c r="FY450" s="192"/>
      <c r="FZ450" s="192"/>
      <c r="GA450" s="192"/>
      <c r="GB450" s="192"/>
      <c r="GC450" s="192"/>
      <c r="GD450" s="192"/>
      <c r="GE450" s="192"/>
      <c r="GF450" s="192"/>
      <c r="GG450" s="192"/>
      <c r="GH450" s="192"/>
      <c r="GI450" s="192"/>
      <c r="GJ450" s="192"/>
      <c r="GK450" s="192"/>
      <c r="GL450" s="192"/>
      <c r="GM450" s="192"/>
      <c r="GN450" s="192"/>
      <c r="GO450" s="192"/>
      <c r="GP450" s="192"/>
      <c r="GQ450" s="192"/>
      <c r="GR450" s="192"/>
      <c r="GS450" s="192"/>
      <c r="GT450" s="192"/>
      <c r="GU450" s="192"/>
      <c r="GV450" s="192"/>
      <c r="GW450" s="192"/>
      <c r="GX450" s="192"/>
      <c r="GY450" s="192"/>
      <c r="GZ450" s="192"/>
      <c r="HA450" s="192"/>
      <c r="HB450" s="192"/>
      <c r="HC450" s="192"/>
      <c r="HD450" s="192"/>
      <c r="HE450" s="192"/>
      <c r="HF450" s="192"/>
      <c r="HG450" s="192"/>
      <c r="HH450" s="192"/>
      <c r="HI450" s="192"/>
      <c r="HJ450" s="192"/>
      <c r="HK450" s="192"/>
      <c r="HL450" s="192"/>
      <c r="HM450" s="192"/>
      <c r="HN450" s="192"/>
      <c r="HO450" s="192"/>
      <c r="HP450" s="192"/>
      <c r="HQ450" s="192"/>
      <c r="HR450" s="192"/>
      <c r="HS450" s="192"/>
      <c r="HT450" s="192"/>
      <c r="HU450" s="192"/>
      <c r="HV450" s="192"/>
      <c r="HW450" s="192"/>
      <c r="HX450" s="192"/>
      <c r="HY450" s="192"/>
      <c r="HZ450" s="192"/>
      <c r="IA450" s="192"/>
      <c r="IB450" s="192"/>
      <c r="IC450" s="192"/>
      <c r="ID450" s="192"/>
      <c r="IE450" s="192"/>
      <c r="IF450" s="192"/>
      <c r="IG450" s="192"/>
      <c r="IH450" s="192"/>
      <c r="II450" s="192"/>
      <c r="IJ450" s="192"/>
      <c r="IK450" s="192"/>
      <c r="IL450" s="192"/>
      <c r="IM450" s="192"/>
      <c r="IN450" s="192"/>
      <c r="IO450" s="192"/>
      <c r="IP450" s="192"/>
      <c r="IQ450" s="192"/>
      <c r="IR450" s="192"/>
      <c r="IS450" s="192"/>
      <c r="IT450" s="192"/>
      <c r="IU450" s="192"/>
      <c r="IV450" s="192"/>
      <c r="IW450" s="192"/>
      <c r="IX450" s="192"/>
      <c r="IY450" s="192"/>
      <c r="IZ450" s="192"/>
      <c r="JA450" s="192"/>
      <c r="JB450" s="192"/>
      <c r="JC450" s="192"/>
      <c r="JD450" s="192"/>
      <c r="JE450" s="192"/>
      <c r="JF450" s="192"/>
      <c r="JG450" s="192"/>
      <c r="JH450" s="192"/>
      <c r="JI450" s="192"/>
      <c r="JJ450" s="192"/>
      <c r="JK450" s="192"/>
      <c r="JL450" s="192"/>
      <c r="JM450" s="192"/>
      <c r="JN450" s="192"/>
      <c r="JO450" s="192"/>
      <c r="JP450" s="192"/>
      <c r="JQ450" s="192"/>
      <c r="JR450" s="192"/>
      <c r="JS450" s="192"/>
      <c r="JT450" s="192"/>
      <c r="JU450" s="192"/>
      <c r="JV450" s="192"/>
      <c r="JW450" s="192"/>
      <c r="JX450" s="192"/>
      <c r="JY450" s="192"/>
      <c r="JZ450" s="192"/>
      <c r="KA450" s="192"/>
      <c r="KB450" s="192"/>
      <c r="KC450" s="192"/>
      <c r="KD450" s="192"/>
      <c r="KE450" s="192"/>
      <c r="KF450" s="192"/>
      <c r="KG450" s="192"/>
      <c r="KH450" s="192"/>
      <c r="KI450" s="192"/>
      <c r="KJ450" s="192"/>
      <c r="KK450" s="192"/>
      <c r="KL450" s="192"/>
      <c r="KM450" s="192"/>
      <c r="KN450" s="192"/>
      <c r="KO450" s="192"/>
      <c r="KP450" s="192"/>
      <c r="KQ450" s="192"/>
      <c r="KR450" s="192"/>
      <c r="KS450" s="192"/>
      <c r="KT450" s="192"/>
      <c r="KU450" s="192"/>
      <c r="KV450" s="192"/>
      <c r="KW450" s="192"/>
      <c r="KX450" s="192"/>
      <c r="KY450" s="192"/>
      <c r="KZ450" s="192"/>
      <c r="LA450" s="192"/>
      <c r="LB450" s="192"/>
      <c r="LC450" s="192"/>
      <c r="LD450" s="192"/>
      <c r="LE450" s="192"/>
      <c r="LF450" s="192"/>
      <c r="LG450" s="192"/>
      <c r="LH450" s="192"/>
      <c r="LI450" s="192"/>
      <c r="LJ450" s="192"/>
      <c r="LK450" s="192"/>
      <c r="LL450" s="192"/>
      <c r="LM450" s="192"/>
      <c r="LN450" s="192"/>
      <c r="LO450" s="192"/>
      <c r="LP450" s="192"/>
      <c r="LQ450" s="192"/>
      <c r="LR450" s="192"/>
      <c r="LS450" s="192"/>
      <c r="LT450" s="192"/>
      <c r="LU450" s="192"/>
      <c r="LV450" s="192"/>
      <c r="LW450" s="192"/>
      <c r="LX450" s="192"/>
      <c r="LY450" s="192"/>
      <c r="LZ450" s="192"/>
      <c r="MA450" s="192"/>
      <c r="MB450" s="192"/>
      <c r="MC450" s="192"/>
      <c r="MD450" s="192"/>
      <c r="ME450" s="192"/>
      <c r="MF450" s="192"/>
      <c r="MG450" s="192"/>
      <c r="MH450" s="192"/>
      <c r="MI450" s="192"/>
      <c r="MJ450" s="192"/>
      <c r="MK450" s="192"/>
      <c r="ML450" s="192"/>
      <c r="MM450" s="192"/>
      <c r="MN450" s="192"/>
      <c r="MO450" s="192"/>
      <c r="MP450" s="192"/>
      <c r="MQ450" s="192"/>
      <c r="MR450" s="192"/>
      <c r="MS450" s="192"/>
      <c r="MT450" s="192"/>
      <c r="MU450" s="192"/>
      <c r="MV450" s="192"/>
      <c r="MW450" s="192"/>
      <c r="MX450" s="192"/>
      <c r="MY450" s="192"/>
      <c r="MZ450" s="192"/>
      <c r="NA450" s="192"/>
      <c r="NB450" s="192"/>
      <c r="NC450" s="192"/>
      <c r="ND450" s="192"/>
      <c r="NE450" s="192"/>
      <c r="NF450" s="192"/>
      <c r="NG450" s="192"/>
      <c r="NH450" s="192"/>
      <c r="NI450" s="192"/>
      <c r="NJ450" s="192"/>
      <c r="NK450" s="192"/>
      <c r="NL450" s="192"/>
      <c r="NM450" s="192"/>
      <c r="NN450" s="192"/>
      <c r="NO450" s="192"/>
      <c r="NP450" s="192"/>
      <c r="NQ450" s="192"/>
      <c r="NR450" s="192"/>
      <c r="NS450" s="192"/>
      <c r="NT450" s="192"/>
      <c r="NU450" s="192"/>
      <c r="NV450" s="192"/>
      <c r="NW450" s="192"/>
      <c r="NX450" s="192"/>
      <c r="NY450" s="192"/>
      <c r="NZ450" s="192"/>
      <c r="OA450" s="192"/>
      <c r="OB450" s="192"/>
      <c r="OC450" s="192"/>
      <c r="OD450" s="192"/>
      <c r="OE450" s="192"/>
      <c r="OF450" s="192"/>
      <c r="OG450" s="192"/>
      <c r="OH450" s="192"/>
      <c r="OI450" s="192"/>
      <c r="OJ450" s="192"/>
      <c r="OK450" s="192"/>
      <c r="OL450" s="192"/>
      <c r="OM450" s="192"/>
      <c r="ON450" s="192"/>
      <c r="OO450" s="192"/>
      <c r="OP450" s="192"/>
      <c r="OQ450" s="192"/>
      <c r="OR450" s="192"/>
      <c r="OS450" s="192"/>
      <c r="OT450" s="192"/>
      <c r="OU450" s="192"/>
      <c r="OV450" s="192"/>
      <c r="OW450" s="192"/>
      <c r="OX450" s="192"/>
      <c r="OY450" s="192"/>
      <c r="OZ450" s="192"/>
      <c r="PA450" s="192"/>
      <c r="PB450" s="192"/>
      <c r="PC450" s="192"/>
      <c r="PD450" s="192"/>
      <c r="PE450" s="192"/>
      <c r="PF450" s="192"/>
      <c r="PG450" s="192"/>
      <c r="PH450" s="192"/>
      <c r="PI450" s="192"/>
      <c r="PJ450" s="192"/>
      <c r="PK450" s="192"/>
      <c r="PL450" s="192"/>
      <c r="PM450" s="192"/>
      <c r="PN450" s="192"/>
      <c r="PO450" s="192"/>
      <c r="PP450" s="192"/>
      <c r="PQ450" s="192"/>
      <c r="PR450" s="192"/>
      <c r="PS450" s="192"/>
      <c r="PT450" s="192"/>
      <c r="PU450" s="192"/>
      <c r="PV450" s="192"/>
      <c r="PW450" s="192"/>
      <c r="PX450" s="192"/>
      <c r="PY450" s="192"/>
      <c r="PZ450" s="192"/>
      <c r="QA450" s="192"/>
      <c r="QB450" s="192"/>
      <c r="QC450" s="192"/>
      <c r="QD450" s="192"/>
      <c r="QE450" s="192"/>
      <c r="QF450" s="192"/>
      <c r="QG450" s="192"/>
      <c r="QH450" s="192"/>
      <c r="QI450" s="192"/>
      <c r="QJ450" s="192"/>
      <c r="QK450" s="192"/>
      <c r="QL450" s="192"/>
      <c r="QM450" s="192"/>
      <c r="QN450" s="192"/>
      <c r="QO450" s="192"/>
      <c r="QP450" s="192"/>
      <c r="QQ450" s="192"/>
      <c r="QR450" s="192"/>
      <c r="QS450" s="192"/>
      <c r="QT450" s="192"/>
      <c r="QU450" s="192"/>
      <c r="QV450" s="192"/>
      <c r="QW450" s="192"/>
      <c r="QX450" s="192"/>
      <c r="QY450" s="192"/>
      <c r="QZ450" s="192"/>
      <c r="RA450" s="192"/>
      <c r="RB450" s="192"/>
      <c r="RC450" s="192"/>
      <c r="RD450" s="192"/>
      <c r="RE450" s="192"/>
      <c r="RF450" s="192"/>
      <c r="RG450" s="192"/>
      <c r="RH450" s="192"/>
      <c r="RI450" s="192"/>
      <c r="RJ450" s="192"/>
      <c r="RK450" s="192"/>
      <c r="RL450" s="192"/>
      <c r="RM450" s="192"/>
      <c r="RN450" s="192"/>
      <c r="RO450" s="192"/>
      <c r="RP450" s="192"/>
      <c r="RQ450" s="192"/>
      <c r="RR450" s="192"/>
      <c r="RS450" s="192"/>
      <c r="RT450" s="192"/>
      <c r="RU450" s="192"/>
      <c r="RV450" s="192"/>
      <c r="RW450" s="192"/>
      <c r="RX450" s="192"/>
      <c r="RY450" s="192"/>
      <c r="RZ450" s="192"/>
      <c r="SA450" s="192"/>
      <c r="SB450" s="192"/>
      <c r="SC450" s="192"/>
      <c r="SD450" s="192"/>
      <c r="SE450" s="192"/>
      <c r="SF450" s="192"/>
      <c r="SG450" s="192"/>
      <c r="SH450" s="192"/>
      <c r="SI450" s="192"/>
      <c r="SJ450" s="192"/>
      <c r="SK450" s="192"/>
      <c r="SL450" s="192"/>
      <c r="SM450" s="192"/>
      <c r="SN450" s="192"/>
      <c r="SO450" s="192"/>
      <c r="SP450" s="192"/>
      <c r="SQ450" s="192"/>
      <c r="SR450" s="192"/>
      <c r="SS450" s="192"/>
      <c r="ST450" s="192"/>
      <c r="SU450" s="192"/>
      <c r="SV450" s="192"/>
      <c r="SW450" s="192"/>
      <c r="SX450" s="192"/>
      <c r="SY450" s="192"/>
      <c r="SZ450" s="192"/>
      <c r="TA450" s="192"/>
      <c r="TB450" s="192"/>
      <c r="TC450" s="192"/>
      <c r="TD450" s="192"/>
      <c r="TE450" s="192"/>
      <c r="TF450" s="192"/>
      <c r="TG450" s="192"/>
      <c r="TH450" s="192"/>
      <c r="TI450" s="192"/>
      <c r="TJ450" s="192"/>
      <c r="TK450" s="192"/>
      <c r="TL450" s="192"/>
      <c r="TM450" s="192"/>
      <c r="TN450" s="192"/>
      <c r="TO450" s="192"/>
      <c r="TP450" s="192"/>
      <c r="TQ450" s="192"/>
      <c r="TR450" s="192"/>
      <c r="TS450" s="192"/>
      <c r="TT450" s="192"/>
      <c r="TU450" s="192"/>
      <c r="TV450" s="192"/>
      <c r="TW450" s="192"/>
      <c r="TX450" s="192"/>
      <c r="TY450" s="192"/>
      <c r="TZ450" s="192"/>
      <c r="UA450" s="192"/>
      <c r="UB450" s="192"/>
      <c r="UC450" s="192"/>
      <c r="UD450" s="192"/>
      <c r="UE450" s="192"/>
      <c r="UF450" s="192"/>
      <c r="UG450" s="192"/>
      <c r="UH450" s="192"/>
      <c r="UI450" s="192"/>
      <c r="UJ450" s="192"/>
      <c r="UK450" s="192"/>
      <c r="UL450" s="192"/>
      <c r="UM450" s="192"/>
      <c r="UN450" s="192"/>
      <c r="UO450" s="192"/>
      <c r="UP450" s="192"/>
      <c r="UQ450" s="192"/>
      <c r="UR450" s="192"/>
      <c r="US450" s="192"/>
      <c r="UT450" s="192"/>
      <c r="UU450" s="192"/>
      <c r="UV450" s="192"/>
      <c r="UW450" s="192"/>
      <c r="UX450" s="192"/>
      <c r="UY450" s="192"/>
      <c r="UZ450" s="192"/>
      <c r="VA450" s="192"/>
      <c r="VB450" s="192"/>
      <c r="VC450" s="192"/>
      <c r="VD450" s="192"/>
      <c r="VE450" s="192"/>
      <c r="VF450" s="192"/>
      <c r="VG450" s="192"/>
      <c r="VH450" s="192"/>
      <c r="VI450" s="192"/>
      <c r="VJ450" s="192"/>
      <c r="VK450" s="192"/>
      <c r="VL450" s="192"/>
      <c r="VM450" s="192"/>
      <c r="VN450" s="192"/>
      <c r="VO450" s="192"/>
      <c r="VP450" s="192"/>
      <c r="VQ450" s="192"/>
      <c r="VR450" s="192"/>
      <c r="VS450" s="192"/>
      <c r="VT450" s="192"/>
      <c r="VU450" s="192"/>
      <c r="VV450" s="192"/>
      <c r="VW450" s="192"/>
      <c r="VX450" s="192"/>
      <c r="VY450" s="192"/>
      <c r="VZ450" s="192"/>
      <c r="WA450" s="192"/>
      <c r="WB450" s="192"/>
      <c r="WC450" s="192"/>
      <c r="WD450" s="192"/>
      <c r="WE450" s="192"/>
      <c r="WF450" s="192"/>
      <c r="WG450" s="192"/>
      <c r="WH450" s="192"/>
      <c r="WI450" s="192"/>
      <c r="WJ450" s="192"/>
      <c r="WK450" s="192"/>
      <c r="WL450" s="192"/>
      <c r="WM450" s="192"/>
      <c r="WN450" s="192"/>
      <c r="WO450" s="192"/>
      <c r="WP450" s="192"/>
      <c r="WQ450" s="192"/>
      <c r="WR450" s="192"/>
      <c r="WS450" s="192"/>
      <c r="WT450" s="192"/>
      <c r="WU450" s="192"/>
      <c r="WV450" s="192"/>
      <c r="WW450" s="192"/>
      <c r="WX450" s="192"/>
      <c r="WY450" s="192"/>
      <c r="WZ450" s="192"/>
      <c r="XA450" s="192"/>
      <c r="XB450" s="192"/>
      <c r="XC450" s="192"/>
      <c r="XD450" s="192"/>
      <c r="XE450" s="192"/>
      <c r="XF450" s="192"/>
      <c r="XG450" s="192"/>
    </row>
    <row r="451" spans="1:631" ht="15" hidden="1" customHeight="1" x14ac:dyDescent="0.25">
      <c r="A451" s="5" t="s">
        <v>2108</v>
      </c>
      <c r="B451" s="14" t="str">
        <f>VLOOKUP(TAB_SAIDA[[#This Row],[COD_2_SAIDA]],TAB_ESTOQUE[[Codigo]:[Descrição Tecnica]],6,FALSE)</f>
        <v>ROLAMENTO DE ESFERA 3204Z (MAK)</v>
      </c>
      <c r="C451" s="14">
        <f>IFERROR(VLOOKUP(TAB_SAIDA[[#This Row],[COD_2_SAIDA]],TAB_ESTOQUE[[Codigo]:[Referência Tec]],7,FALSE),"")</f>
        <v>0</v>
      </c>
      <c r="D451" s="14" t="str">
        <f>VLOOKUP(TAB_SAIDA[[#This Row],[COD_2_SAIDA]],TAB_ESTOQUE[[Codigo]:[Endereço2]],12,FALSE)</f>
        <v>D2103</v>
      </c>
      <c r="E451" s="81">
        <f>SUM(TAB_SAIDA[[#This Row],[20/05/2019]:[00/00/00]])</f>
        <v>0</v>
      </c>
      <c r="F451" s="3"/>
    </row>
    <row r="452" spans="1:631" ht="15" hidden="1" customHeight="1" x14ac:dyDescent="0.25">
      <c r="A452" s="5" t="s">
        <v>2109</v>
      </c>
      <c r="B452" s="14" t="str">
        <f>VLOOKUP(TAB_SAIDA[[#This Row],[COD_2_SAIDA]],TAB_ESTOQUE[[Codigo]:[Descrição Tecnica]],6,FALSE)</f>
        <v>ROLAMENTO RÍGIDO DE ESFERA 6003-2Z C3GJN</v>
      </c>
      <c r="C452" s="14">
        <f>IFERROR(VLOOKUP(TAB_SAIDA[[#This Row],[COD_2_SAIDA]],TAB_ESTOQUE[[Codigo]:[Referência Tec]],7,FALSE),"")</f>
        <v>0</v>
      </c>
      <c r="D452" s="14" t="str">
        <f>VLOOKUP(TAB_SAIDA[[#This Row],[COD_2_SAIDA]],TAB_ESTOQUE[[Codigo]:[Endereço2]],12,FALSE)</f>
        <v>D2103</v>
      </c>
      <c r="E452" s="81">
        <f>SUM(TAB_SAIDA[[#This Row],[20/05/2019]:[00/00/00]])</f>
        <v>0</v>
      </c>
      <c r="F452" s="3"/>
    </row>
    <row r="453" spans="1:631" ht="15" hidden="1" customHeight="1" x14ac:dyDescent="0.25">
      <c r="A453" s="5" t="s">
        <v>2110</v>
      </c>
      <c r="B453" s="14" t="str">
        <f>VLOOKUP(TAB_SAIDA[[#This Row],[COD_2_SAIDA]],TAB_ESTOQUE[[Codigo]:[Descrição Tecnica]],6,FALSE)</f>
        <v>SELO MECÂNICO PARA EIXO 1" INPACOM</v>
      </c>
      <c r="C453" s="14">
        <f>IFERROR(VLOOKUP(TAB_SAIDA[[#This Row],[COD_2_SAIDA]],TAB_ESTOQUE[[Codigo]:[Referência Tec]],7,FALSE),"")</f>
        <v>0</v>
      </c>
      <c r="D453" s="14" t="str">
        <f>VLOOKUP(TAB_SAIDA[[#This Row],[COD_2_SAIDA]],TAB_ESTOQUE[[Codigo]:[Endereço2]],12,FALSE)</f>
        <v>D1202</v>
      </c>
      <c r="E453" s="81">
        <f>SUM(TAB_SAIDA[[#This Row],[20/05/2019]:[00/00/00]])</f>
        <v>0</v>
      </c>
      <c r="F453" s="3"/>
    </row>
    <row r="454" spans="1:631" ht="15" hidden="1" customHeight="1" x14ac:dyDescent="0.25">
      <c r="A454" s="5" t="s">
        <v>2111</v>
      </c>
      <c r="B454" s="14" t="str">
        <f>VLOOKUP(TAB_SAIDA[[#This Row],[COD_2_SAIDA]],TAB_ESTOQUE[[Codigo]:[Descrição Tecnica]],6,FALSE)</f>
        <v xml:space="preserve">ROLAMENTO PERN IFOLLI  GC35 EE M AK </v>
      </c>
      <c r="C454" s="14">
        <f>IFERROR(VLOOKUP(TAB_SAIDA[[#This Row],[COD_2_SAIDA]],TAB_ESTOQUE[[Codigo]:[Referência Tec]],7,FALSE),"")</f>
        <v>0</v>
      </c>
      <c r="D454" s="14" t="str">
        <f>VLOOKUP(TAB_SAIDA[[#This Row],[COD_2_SAIDA]],TAB_ESTOQUE[[Codigo]:[Endereço2]],12,FALSE)</f>
        <v>D2102</v>
      </c>
      <c r="E454" s="81">
        <f>SUM(TAB_SAIDA[[#This Row],[20/05/2019]:[00/00/00]])</f>
        <v>0</v>
      </c>
      <c r="F454" s="3"/>
    </row>
    <row r="455" spans="1:631" ht="15" hidden="1" customHeight="1" x14ac:dyDescent="0.25">
      <c r="A455" s="5" t="s">
        <v>2112</v>
      </c>
      <c r="B455" s="14" t="str">
        <f>VLOOKUP(TAB_SAIDA[[#This Row],[COD_2_SAIDA]],TAB_ESTOQUE[[Codigo]:[Descrição Tecnica]],6,FALSE)</f>
        <v>ROLAMENTO 6902 (NSK)</v>
      </c>
      <c r="C455" s="14">
        <f>IFERROR(VLOOKUP(TAB_SAIDA[[#This Row],[COD_2_SAIDA]],TAB_ESTOQUE[[Codigo]:[Referência Tec]],7,FALSE),"")</f>
        <v>0</v>
      </c>
      <c r="D455" s="14" t="str">
        <f>VLOOKUP(TAB_SAIDA[[#This Row],[COD_2_SAIDA]],TAB_ESTOQUE[[Codigo]:[Endereço2]],12,FALSE)</f>
        <v>D2104</v>
      </c>
      <c r="E455" s="81">
        <f>SUM(TAB_SAIDA[[#This Row],[20/05/2019]:[00/00/00]])</f>
        <v>0</v>
      </c>
      <c r="F455" s="3"/>
    </row>
    <row r="456" spans="1:631" ht="15" hidden="1" customHeight="1" x14ac:dyDescent="0.25">
      <c r="A456" s="5" t="s">
        <v>2113</v>
      </c>
      <c r="B456" s="14" t="str">
        <f>VLOOKUP(TAB_SAIDA[[#This Row],[COD_2_SAIDA]],TAB_ESTOQUE[[Codigo]:[Descrição Tecnica]],6,FALSE)</f>
        <v>ROLAMENTO RÍGIDO DE ESFERA 6011 (NSK)</v>
      </c>
      <c r="C456" s="14">
        <f>IFERROR(VLOOKUP(TAB_SAIDA[[#This Row],[COD_2_SAIDA]],TAB_ESTOQUE[[Codigo]:[Referência Tec]],7,FALSE),"")</f>
        <v>0</v>
      </c>
      <c r="D456" s="14" t="str">
        <f>VLOOKUP(TAB_SAIDA[[#This Row],[COD_2_SAIDA]],TAB_ESTOQUE[[Codigo]:[Endereço2]],12,FALSE)</f>
        <v>D2104</v>
      </c>
      <c r="E456" s="81">
        <f>SUM(TAB_SAIDA[[#This Row],[20/05/2019]:[00/00/00]])</f>
        <v>0</v>
      </c>
      <c r="F456" s="3"/>
    </row>
    <row r="457" spans="1:631" ht="15" hidden="1" customHeight="1" x14ac:dyDescent="0.25">
      <c r="A457" s="5" t="s">
        <v>2114</v>
      </c>
      <c r="B457" s="14" t="str">
        <f>VLOOKUP(TAB_SAIDA[[#This Row],[COD_2_SAIDA]],TAB_ESTOQUE[[Codigo]:[Descrição Tecnica]],6,FALSE)</f>
        <v>RELE DE ESTADO SOLIDO HW-1-DA4880</v>
      </c>
      <c r="C457" s="14">
        <f>IFERROR(VLOOKUP(TAB_SAIDA[[#This Row],[COD_2_SAIDA]],TAB_ESTOQUE[[Codigo]:[Referência Tec]],7,FALSE),"")</f>
        <v>0</v>
      </c>
      <c r="D457" s="14" t="str">
        <f>VLOOKUP(TAB_SAIDA[[#This Row],[COD_2_SAIDA]],TAB_ESTOQUE[[Codigo]:[Endereço2]],12,FALSE)</f>
        <v>A1303</v>
      </c>
      <c r="E457" s="81">
        <f>SUM(TAB_SAIDA[[#This Row],[20/05/2019]:[00/00/00]])</f>
        <v>3</v>
      </c>
      <c r="F457" s="3"/>
      <c r="WC457" s="3">
        <v>2</v>
      </c>
      <c r="WX457" s="3">
        <v>1</v>
      </c>
    </row>
    <row r="458" spans="1:631" ht="15" hidden="1" customHeight="1" x14ac:dyDescent="0.25">
      <c r="A458" s="5" t="s">
        <v>2115</v>
      </c>
      <c r="B458" s="14" t="str">
        <f>VLOOKUP(TAB_SAIDA[[#This Row],[COD_2_SAIDA]],TAB_ESTOQUE[[Codigo]:[Descrição Tecnica]],6,FALSE)</f>
        <v>ROLAMENTO RÍGIDO DE ESFERA 6004 (FAG)</v>
      </c>
      <c r="C458" s="14">
        <f>IFERROR(VLOOKUP(TAB_SAIDA[[#This Row],[COD_2_SAIDA]],TAB_ESTOQUE[[Codigo]:[Referência Tec]],7,FALSE),"")</f>
        <v>0</v>
      </c>
      <c r="D458" s="14" t="str">
        <f>VLOOKUP(TAB_SAIDA[[#This Row],[COD_2_SAIDA]],TAB_ESTOQUE[[Codigo]:[Endereço2]],12,FALSE)</f>
        <v>D2104</v>
      </c>
      <c r="E458" s="81">
        <f>SUM(TAB_SAIDA[[#This Row],[20/05/2019]:[00/00/00]])</f>
        <v>0</v>
      </c>
      <c r="F458" s="3"/>
    </row>
    <row r="459" spans="1:631" ht="15" hidden="1" customHeight="1" x14ac:dyDescent="0.25">
      <c r="A459" s="5" t="s">
        <v>2116</v>
      </c>
      <c r="B459" s="14" t="str">
        <f>VLOOKUP(TAB_SAIDA[[#This Row],[COD_2_SAIDA]],TAB_ESTOQUE[[Codigo]:[Descrição Tecnica]],6,FALSE)</f>
        <v>ROLAMENTO (6306)</v>
      </c>
      <c r="C459" s="14">
        <f>IFERROR(VLOOKUP(TAB_SAIDA[[#This Row],[COD_2_SAIDA]],TAB_ESTOQUE[[Codigo]:[Referência Tec]],7,FALSE),"")</f>
        <v>0</v>
      </c>
      <c r="D459" s="14" t="str">
        <f>VLOOKUP(TAB_SAIDA[[#This Row],[COD_2_SAIDA]],TAB_ESTOQUE[[Codigo]:[Endereço2]],12,FALSE)</f>
        <v>D2104</v>
      </c>
      <c r="E459" s="81">
        <f>SUM(TAB_SAIDA[[#This Row],[20/05/2019]:[00/00/00]])</f>
        <v>0</v>
      </c>
      <c r="F459" s="3"/>
    </row>
    <row r="460" spans="1:631" ht="15" hidden="1" customHeight="1" x14ac:dyDescent="0.25">
      <c r="A460" s="5" t="s">
        <v>2117</v>
      </c>
      <c r="B460" s="14" t="str">
        <f>VLOOKUP(TAB_SAIDA[[#This Row],[COD_2_SAIDA]],TAB_ESTOQUE[[Codigo]:[Descrição Tecnica]],6,FALSE)</f>
        <v>ROLAMENTO RÍGIDO DE ESFERA 6006 2Z (FAG)</v>
      </c>
      <c r="C460" s="14">
        <f>IFERROR(VLOOKUP(TAB_SAIDA[[#This Row],[COD_2_SAIDA]],TAB_ESTOQUE[[Codigo]:[Referência Tec]],7,FALSE),"")</f>
        <v>0</v>
      </c>
      <c r="D460" s="14" t="str">
        <f>VLOOKUP(TAB_SAIDA[[#This Row],[COD_2_SAIDA]],TAB_ESTOQUE[[Codigo]:[Endereço2]],12,FALSE)</f>
        <v>D2104</v>
      </c>
      <c r="E460" s="81">
        <f>SUM(TAB_SAIDA[[#This Row],[20/05/2019]:[00/00/00]])</f>
        <v>0</v>
      </c>
      <c r="F460" s="3"/>
    </row>
    <row r="461" spans="1:631" ht="15" hidden="1" customHeight="1" x14ac:dyDescent="0.25">
      <c r="A461" s="5" t="s">
        <v>2118</v>
      </c>
      <c r="B461" s="14" t="str">
        <f>VLOOKUP(TAB_SAIDA[[#This Row],[COD_2_SAIDA]],TAB_ESTOQUE[[Codigo]:[Descrição Tecnica]],6,FALSE)</f>
        <v>ROLAMENTO RÍGIDO DE ESFERA 6206 (NSK)</v>
      </c>
      <c r="C461" s="14">
        <f>IFERROR(VLOOKUP(TAB_SAIDA[[#This Row],[COD_2_SAIDA]],TAB_ESTOQUE[[Codigo]:[Referência Tec]],7,FALSE),"")</f>
        <v>0</v>
      </c>
      <c r="D461" s="14" t="str">
        <f>VLOOKUP(TAB_SAIDA[[#This Row],[COD_2_SAIDA]],TAB_ESTOQUE[[Codigo]:[Endereço2]],12,FALSE)</f>
        <v>D2104</v>
      </c>
      <c r="E461" s="81">
        <f>SUM(TAB_SAIDA[[#This Row],[20/05/2019]:[00/00/00]])</f>
        <v>1</v>
      </c>
      <c r="F461" s="3"/>
      <c r="WZ461" s="3">
        <v>1</v>
      </c>
    </row>
    <row r="462" spans="1:631" ht="15" hidden="1" customHeight="1" x14ac:dyDescent="0.25">
      <c r="A462" s="5" t="s">
        <v>2119</v>
      </c>
      <c r="B462" s="14" t="str">
        <f>VLOOKUP(TAB_SAIDA[[#This Row],[COD_2_SAIDA]],TAB_ESTOQUE[[Codigo]:[Descrição Tecnica]],6,FALSE)</f>
        <v>ROLAMENTO COMBINADO 40.055/AP1</v>
      </c>
      <c r="C462" s="14">
        <f>IFERROR(VLOOKUP(TAB_SAIDA[[#This Row],[COD_2_SAIDA]],TAB_ESTOQUE[[Codigo]:[Referência Tec]],7,FALSE),"")</f>
        <v>0</v>
      </c>
      <c r="D462" s="14" t="str">
        <f>VLOOKUP(TAB_SAIDA[[#This Row],[COD_2_SAIDA]],TAB_ESTOQUE[[Codigo]:[Endereço2]],12,FALSE)</f>
        <v>D2102</v>
      </c>
      <c r="E462" s="81">
        <f>SUM(TAB_SAIDA[[#This Row],[20/05/2019]:[00/00/00]])</f>
        <v>0</v>
      </c>
      <c r="F462" s="3"/>
    </row>
    <row r="463" spans="1:631" ht="15" hidden="1" customHeight="1" x14ac:dyDescent="0.25">
      <c r="A463" s="5" t="s">
        <v>2120</v>
      </c>
      <c r="B463" s="14" t="str">
        <f>VLOOKUP(TAB_SAIDA[[#This Row],[COD_2_SAIDA]],TAB_ESTOQUE[[Codigo]:[Descrição Tecnica]],6,FALSE)</f>
        <v>ROLAMENTO RÍGIDO DE ESFERA 6008 DDU (NSK)</v>
      </c>
      <c r="C463" s="14">
        <f>IFERROR(VLOOKUP(TAB_SAIDA[[#This Row],[COD_2_SAIDA]],TAB_ESTOQUE[[Codigo]:[Referência Tec]],7,FALSE),"")</f>
        <v>0</v>
      </c>
      <c r="D463" s="14" t="str">
        <f>VLOOKUP(TAB_SAIDA[[#This Row],[COD_2_SAIDA]],TAB_ESTOQUE[[Codigo]:[Endereço2]],12,FALSE)</f>
        <v>D2104</v>
      </c>
      <c r="E463" s="81">
        <f>SUM(TAB_SAIDA[[#This Row],[20/05/2019]:[00/00/00]])</f>
        <v>0</v>
      </c>
      <c r="F463" s="3"/>
    </row>
    <row r="464" spans="1:631" ht="15" hidden="1" customHeight="1" x14ac:dyDescent="0.25">
      <c r="A464" s="5" t="s">
        <v>2121</v>
      </c>
      <c r="B464" s="14" t="str">
        <f>VLOOKUP(TAB_SAIDA[[#This Row],[COD_2_SAIDA]],TAB_ESTOQUE[[Codigo]:[Descrição Tecnica]],6,FALSE)</f>
        <v>ROLAMENTO (RL59)</v>
      </c>
      <c r="C464" s="14">
        <f>IFERROR(VLOOKUP(TAB_SAIDA[[#This Row],[COD_2_SAIDA]],TAB_ESTOQUE[[Codigo]:[Referência Tec]],7,FALSE),"")</f>
        <v>0</v>
      </c>
      <c r="D464" s="14" t="str">
        <f>VLOOKUP(TAB_SAIDA[[#This Row],[COD_2_SAIDA]],TAB_ESTOQUE[[Codigo]:[Endereço2]],12,FALSE)</f>
        <v>D2104</v>
      </c>
      <c r="E464" s="81">
        <f>SUM(TAB_SAIDA[[#This Row],[20/05/2019]:[00/00/00]])</f>
        <v>0</v>
      </c>
      <c r="F464" s="3"/>
    </row>
    <row r="465" spans="1:573" ht="15" hidden="1" customHeight="1" x14ac:dyDescent="0.25">
      <c r="A465" s="5" t="s">
        <v>2122</v>
      </c>
      <c r="B465" s="14" t="str">
        <f>VLOOKUP(TAB_SAIDA[[#This Row],[COD_2_SAIDA]],TAB_ESTOQUE[[Codigo]:[Descrição Tecnica]],6,FALSE)</f>
        <v>ROLAMENTO RÍGIDO DE ESFERA 6010 2Z (NSK)</v>
      </c>
      <c r="C465" s="14">
        <f>IFERROR(VLOOKUP(TAB_SAIDA[[#This Row],[COD_2_SAIDA]],TAB_ESTOQUE[[Codigo]:[Referência Tec]],7,FALSE),"")</f>
        <v>0</v>
      </c>
      <c r="D465" s="14" t="str">
        <f>VLOOKUP(TAB_SAIDA[[#This Row],[COD_2_SAIDA]],TAB_ESTOQUE[[Codigo]:[Endereço2]],12,FALSE)</f>
        <v>D2102</v>
      </c>
      <c r="E465" s="81">
        <f>SUM(TAB_SAIDA[[#This Row],[20/05/2019]:[00/00/00]])</f>
        <v>0</v>
      </c>
      <c r="F465" s="3"/>
    </row>
    <row r="466" spans="1:573" ht="15" hidden="1" customHeight="1" x14ac:dyDescent="0.25">
      <c r="A466" s="5" t="s">
        <v>2123</v>
      </c>
      <c r="B466" s="14" t="str">
        <f>VLOOKUP(TAB_SAIDA[[#This Row],[COD_2_SAIDA]],TAB_ESTOQUE[[Codigo]:[Descrição Tecnica]],6,FALSE)</f>
        <v>ROLAMENTO RÍGIDO DE ESFERA 6303 (NSK)</v>
      </c>
      <c r="C466" s="14">
        <f>IFERROR(VLOOKUP(TAB_SAIDA[[#This Row],[COD_2_SAIDA]],TAB_ESTOQUE[[Codigo]:[Referência Tec]],7,FALSE),"")</f>
        <v>0</v>
      </c>
      <c r="D466" s="14" t="str">
        <f>VLOOKUP(TAB_SAIDA[[#This Row],[COD_2_SAIDA]],TAB_ESTOQUE[[Codigo]:[Endereço2]],12,FALSE)</f>
        <v>D2104</v>
      </c>
      <c r="E466" s="81">
        <f>SUM(TAB_SAIDA[[#This Row],[20/05/2019]:[00/00/00]])</f>
        <v>0</v>
      </c>
      <c r="F466" s="3"/>
    </row>
    <row r="467" spans="1:573" ht="15" hidden="1" customHeight="1" x14ac:dyDescent="0.25">
      <c r="A467" s="5" t="s">
        <v>2124</v>
      </c>
      <c r="B467" s="14" t="str">
        <f>VLOOKUP(TAB_SAIDA[[#This Row],[COD_2_SAIDA]],TAB_ESTOQUE[[Codigo]:[Descrição Tecnica]],6,FALSE)</f>
        <v>ROLAMENTO AUTOCOMPENSADOR DE ESFERA 2207 2RS/1 (SKF)</v>
      </c>
      <c r="C467" s="14">
        <f>IFERROR(VLOOKUP(TAB_SAIDA[[#This Row],[COD_2_SAIDA]],TAB_ESTOQUE[[Codigo]:[Referência Tec]],7,FALSE),"")</f>
        <v>0</v>
      </c>
      <c r="D467" s="14" t="str">
        <f>VLOOKUP(TAB_SAIDA[[#This Row],[COD_2_SAIDA]],TAB_ESTOQUE[[Codigo]:[Endereço2]],12,FALSE)</f>
        <v>D2102</v>
      </c>
      <c r="E467" s="81">
        <f>SUM(TAB_SAIDA[[#This Row],[20/05/2019]:[00/00/00]])</f>
        <v>0</v>
      </c>
      <c r="F467" s="3"/>
    </row>
    <row r="468" spans="1:573" ht="15" hidden="1" customHeight="1" x14ac:dyDescent="0.25">
      <c r="A468" s="5" t="s">
        <v>2125</v>
      </c>
      <c r="B468" s="14" t="str">
        <f>VLOOKUP(TAB_SAIDA[[#This Row],[COD_2_SAIDA]],TAB_ESTOQUE[[Codigo]:[Descrição Tecnica]],6,FALSE)</f>
        <v>TERMINAL ROTULAR MACHO POS 30MM - ROSCA DIREITA</v>
      </c>
      <c r="C468" s="14">
        <f>IFERROR(VLOOKUP(TAB_SAIDA[[#This Row],[COD_2_SAIDA]],TAB_ESTOQUE[[Codigo]:[Referência Tec]],7,FALSE),"")</f>
        <v>0</v>
      </c>
      <c r="D468" s="14" t="str">
        <f>VLOOKUP(TAB_SAIDA[[#This Row],[COD_2_SAIDA]],TAB_ESTOQUE[[Codigo]:[Endereço2]],12,FALSE)</f>
        <v>E2405</v>
      </c>
      <c r="E468" s="81">
        <f>SUM(TAB_SAIDA[[#This Row],[20/05/2019]:[00/00/00]])</f>
        <v>1</v>
      </c>
      <c r="F468" s="3"/>
      <c r="VA468" s="3">
        <v>1</v>
      </c>
    </row>
    <row r="469" spans="1:573" ht="15" hidden="1" customHeight="1" x14ac:dyDescent="0.25">
      <c r="A469" s="5" t="s">
        <v>2126</v>
      </c>
      <c r="B469" s="14" t="str">
        <f>VLOOKUP(TAB_SAIDA[[#This Row],[COD_2_SAIDA]],TAB_ESTOQUE[[Codigo]:[Descrição Tecnica]],6,FALSE)</f>
        <v>EIXO DO QUADRO DE GIRO</v>
      </c>
      <c r="C469" s="14">
        <f>IFERROR(VLOOKUP(TAB_SAIDA[[#This Row],[COD_2_SAIDA]],TAB_ESTOQUE[[Codigo]:[Referência Tec]],7,FALSE),"")</f>
        <v>0</v>
      </c>
      <c r="D469" s="14" t="str">
        <f>VLOOKUP(TAB_SAIDA[[#This Row],[COD_2_SAIDA]],TAB_ESTOQUE[[Codigo]:[Endereço2]],12,FALSE)</f>
        <v>D1102</v>
      </c>
      <c r="E469" s="81">
        <f>SUM(TAB_SAIDA[[#This Row],[20/05/2019]:[00/00/00]])</f>
        <v>0</v>
      </c>
      <c r="F469" s="3"/>
    </row>
    <row r="470" spans="1:573" ht="15" hidden="1" customHeight="1" x14ac:dyDescent="0.25">
      <c r="A470" s="5" t="s">
        <v>2127</v>
      </c>
      <c r="B470" s="14" t="str">
        <f>VLOOKUP(TAB_SAIDA[[#This Row],[COD_2_SAIDA]],TAB_ESTOQUE[[Codigo]:[Descrição Tecnica]],6,FALSE)</f>
        <v>BUCHA FERRAMENTA TETO</v>
      </c>
      <c r="C470" s="14">
        <f>IFERROR(VLOOKUP(TAB_SAIDA[[#This Row],[COD_2_SAIDA]],TAB_ESTOQUE[[Codigo]:[Referência Tec]],7,FALSE),"")</f>
        <v>0</v>
      </c>
      <c r="D470" s="14" t="str">
        <f>VLOOKUP(TAB_SAIDA[[#This Row],[COD_2_SAIDA]],TAB_ESTOQUE[[Codigo]:[Endereço2]],12,FALSE)</f>
        <v>D1102</v>
      </c>
      <c r="E470" s="81">
        <f>SUM(TAB_SAIDA[[#This Row],[20/05/2019]:[00/00/00]])</f>
        <v>0</v>
      </c>
      <c r="F470" s="3"/>
    </row>
    <row r="471" spans="1:573" ht="15" hidden="1" customHeight="1" x14ac:dyDescent="0.25">
      <c r="A471" s="5" t="s">
        <v>2128</v>
      </c>
      <c r="B471" s="14" t="str">
        <f>VLOOKUP(TAB_SAIDA[[#This Row],[COD_2_SAIDA]],TAB_ESTOQUE[[Codigo]:[Descrição Tecnica]],6,FALSE)</f>
        <v>PINO FERRAMENTA TETO</v>
      </c>
      <c r="C471" s="14">
        <f>IFERROR(VLOOKUP(TAB_SAIDA[[#This Row],[COD_2_SAIDA]],TAB_ESTOQUE[[Codigo]:[Referência Tec]],7,FALSE),"")</f>
        <v>0</v>
      </c>
      <c r="D471" s="14" t="str">
        <f>VLOOKUP(TAB_SAIDA[[#This Row],[COD_2_SAIDA]],TAB_ESTOQUE[[Codigo]:[Endereço2]],12,FALSE)</f>
        <v>D1102</v>
      </c>
      <c r="E471" s="81">
        <f>SUM(TAB_SAIDA[[#This Row],[20/05/2019]:[00/00/00]])</f>
        <v>0</v>
      </c>
      <c r="F471" s="3"/>
    </row>
    <row r="472" spans="1:573" ht="15" hidden="1" customHeight="1" x14ac:dyDescent="0.25">
      <c r="A472" s="5" t="s">
        <v>2129</v>
      </c>
      <c r="B472" s="14" t="str">
        <f>VLOOKUP(TAB_SAIDA[[#This Row],[COD_2_SAIDA]],TAB_ESTOQUE[[Codigo]:[Descrição Tecnica]],6,FALSE)</f>
        <v>QUADRO DE COMANDO DE SOBREPOR  300X300MM</v>
      </c>
      <c r="C472" s="14">
        <f>IFERROR(VLOOKUP(TAB_SAIDA[[#This Row],[COD_2_SAIDA]],TAB_ESTOQUE[[Codigo]:[Referência Tec]],7,FALSE),"")</f>
        <v>0</v>
      </c>
      <c r="D472" s="14" t="str">
        <f>VLOOKUP(TAB_SAIDA[[#This Row],[COD_2_SAIDA]],TAB_ESTOQUE[[Codigo]:[Endereço2]],12,FALSE)</f>
        <v>A1301</v>
      </c>
      <c r="E472" s="81">
        <f>SUM(TAB_SAIDA[[#This Row],[20/05/2019]:[00/00/00]])</f>
        <v>0</v>
      </c>
      <c r="F472" s="3"/>
    </row>
    <row r="473" spans="1:573" ht="15" hidden="1" customHeight="1" x14ac:dyDescent="0.25">
      <c r="A473" s="5" t="s">
        <v>2130</v>
      </c>
      <c r="B473" s="14" t="str">
        <f>VLOOKUP(TAB_SAIDA[[#This Row],[COD_2_SAIDA]],TAB_ESTOQUE[[Codigo]:[Descrição Tecnica]],6,FALSE)</f>
        <v>ELEMENTO FILTRANTE HYDAC 0280 D 010 ON</v>
      </c>
      <c r="C473" s="14">
        <f>IFERROR(VLOOKUP(TAB_SAIDA[[#This Row],[COD_2_SAIDA]],TAB_ESTOQUE[[Codigo]:[Referência Tec]],7,FALSE),"")</f>
        <v>0</v>
      </c>
      <c r="D473" s="14" t="str">
        <f>VLOOKUP(TAB_SAIDA[[#This Row],[COD_2_SAIDA]],TAB_ESTOQUE[[Codigo]:[Endereço2]],12,FALSE)</f>
        <v>C1401</v>
      </c>
      <c r="E473" s="81">
        <f>SUM(TAB_SAIDA[[#This Row],[20/05/2019]:[00/00/00]])</f>
        <v>0</v>
      </c>
      <c r="F473" s="3"/>
    </row>
    <row r="474" spans="1:573" ht="15" hidden="1" customHeight="1" x14ac:dyDescent="0.25">
      <c r="A474" s="5" t="s">
        <v>2131</v>
      </c>
      <c r="B474" s="14" t="str">
        <f>VLOOKUP(TAB_SAIDA[[#This Row],[COD_2_SAIDA]],TAB_ESTOQUE[[Codigo]:[Descrição Tecnica]],6,FALSE)</f>
        <v>KIT REPARO DA BOMBA DE COLA</v>
      </c>
      <c r="C474" s="14">
        <f>IFERROR(VLOOKUP(TAB_SAIDA[[#This Row],[COD_2_SAIDA]],TAB_ESTOQUE[[Codigo]:[Referência Tec]],7,FALSE),"")</f>
        <v>0</v>
      </c>
      <c r="D474" s="14" t="str">
        <f>VLOOKUP(TAB_SAIDA[[#This Row],[COD_2_SAIDA]],TAB_ESTOQUE[[Codigo]:[Endereço2]],12,FALSE)</f>
        <v>D1204</v>
      </c>
      <c r="E474" s="81">
        <f>SUM(TAB_SAIDA[[#This Row],[20/05/2019]:[00/00/00]])</f>
        <v>4</v>
      </c>
      <c r="F474" s="3"/>
      <c r="UK474" s="3">
        <v>1</v>
      </c>
      <c r="UO474" s="3">
        <v>1</v>
      </c>
      <c r="UQ474" s="3">
        <v>1</v>
      </c>
      <c r="UU474" s="3">
        <v>1</v>
      </c>
    </row>
    <row r="475" spans="1:573" ht="15" hidden="1" customHeight="1" x14ac:dyDescent="0.25">
      <c r="A475" s="5" t="s">
        <v>2132</v>
      </c>
      <c r="B475" s="14" t="str">
        <f>VLOOKUP(TAB_SAIDA[[#This Row],[COD_2_SAIDA]],TAB_ESTOQUE[[Codigo]:[Descrição Tecnica]],6,FALSE)</f>
        <v>KIT REPARO DA BOMBA DE ATIVADOR</v>
      </c>
      <c r="C475" s="14">
        <f>IFERROR(VLOOKUP(TAB_SAIDA[[#This Row],[COD_2_SAIDA]],TAB_ESTOQUE[[Codigo]:[Referência Tec]],7,FALSE),"")</f>
        <v>0</v>
      </c>
      <c r="D475" s="14" t="str">
        <f>VLOOKUP(TAB_SAIDA[[#This Row],[COD_2_SAIDA]],TAB_ESTOQUE[[Codigo]:[Endereço2]],12,FALSE)</f>
        <v>D1204</v>
      </c>
      <c r="E475" s="81">
        <f>SUM(TAB_SAIDA[[#This Row],[20/05/2019]:[00/00/00]])</f>
        <v>6</v>
      </c>
      <c r="F475" s="3"/>
      <c r="UD475" s="3">
        <v>2</v>
      </c>
      <c r="UK475" s="3">
        <v>2</v>
      </c>
      <c r="UQ475" s="3">
        <v>1</v>
      </c>
      <c r="UU475" s="3">
        <v>1</v>
      </c>
    </row>
    <row r="476" spans="1:573" ht="15" hidden="1" customHeight="1" x14ac:dyDescent="0.25">
      <c r="A476" s="5" t="s">
        <v>2133</v>
      </c>
      <c r="B476" s="14" t="str">
        <f>VLOOKUP(TAB_SAIDA[[#This Row],[COD_2_SAIDA]],TAB_ESTOQUE[[Codigo]:[Descrição Tecnica]],6,FALSE)</f>
        <v>ELEMENTO FILTRANTE HYDAC 0250 DN 010 BN4HC</v>
      </c>
      <c r="C476" s="14">
        <f>IFERROR(VLOOKUP(TAB_SAIDA[[#This Row],[COD_2_SAIDA]],TAB_ESTOQUE[[Codigo]:[Referência Tec]],7,FALSE),"")</f>
        <v>0</v>
      </c>
      <c r="D476" s="14" t="str">
        <f>VLOOKUP(TAB_SAIDA[[#This Row],[COD_2_SAIDA]],TAB_ESTOQUE[[Codigo]:[Endereço2]],12,FALSE)</f>
        <v>C1405</v>
      </c>
      <c r="E476" s="81">
        <f>SUM(TAB_SAIDA[[#This Row],[20/05/2019]:[00/00/00]])</f>
        <v>0</v>
      </c>
      <c r="F476" s="3"/>
    </row>
    <row r="477" spans="1:573" ht="15" hidden="1" customHeight="1" x14ac:dyDescent="0.25">
      <c r="A477" s="5" t="s">
        <v>2134</v>
      </c>
      <c r="B477" s="14" t="str">
        <f>VLOOKUP(TAB_SAIDA[[#This Row],[COD_2_SAIDA]],TAB_ESTOQUE[[Codigo]:[Descrição Tecnica]],6,FALSE)</f>
        <v>FILTRO REG REF: 1/2" C/ MONOMETRO REF-9044</v>
      </c>
      <c r="C477" s="14">
        <f>IFERROR(VLOOKUP(TAB_SAIDA[[#This Row],[COD_2_SAIDA]],TAB_ESTOQUE[[Codigo]:[Referência Tec]],7,FALSE),"")</f>
        <v>0</v>
      </c>
      <c r="D477" s="14" t="str">
        <f>VLOOKUP(TAB_SAIDA[[#This Row],[COD_2_SAIDA]],TAB_ESTOQUE[[Codigo]:[Endereço2]],12,FALSE)</f>
        <v>C2402</v>
      </c>
      <c r="E477" s="81">
        <f>SUM(TAB_SAIDA[[#This Row],[20/05/2019]:[00/00/00]])</f>
        <v>0</v>
      </c>
      <c r="F477" s="3"/>
    </row>
    <row r="478" spans="1:573" ht="15" hidden="1" customHeight="1" x14ac:dyDescent="0.25">
      <c r="A478" s="5" t="s">
        <v>2135</v>
      </c>
      <c r="B478" s="14" t="str">
        <f>VLOOKUP(TAB_SAIDA[[#This Row],[COD_2_SAIDA]],TAB_ESTOQUE[[Codigo]:[Descrição Tecnica]],6,FALSE)</f>
        <v>RETENTOR 50X60X10</v>
      </c>
      <c r="C478" s="14">
        <f>IFERROR(VLOOKUP(TAB_SAIDA[[#This Row],[COD_2_SAIDA]],TAB_ESTOQUE[[Codigo]:[Referência Tec]],7,FALSE),"")</f>
        <v>0</v>
      </c>
      <c r="D478" s="14" t="str">
        <f>VLOOKUP(TAB_SAIDA[[#This Row],[COD_2_SAIDA]],TAB_ESTOQUE[[Codigo]:[Endereço2]],12,FALSE)</f>
        <v>E1202</v>
      </c>
      <c r="E478" s="81">
        <f>SUM(TAB_SAIDA[[#This Row],[20/05/2019]:[00/00/00]])</f>
        <v>0</v>
      </c>
      <c r="F478" s="3"/>
    </row>
    <row r="479" spans="1:573" ht="15" hidden="1" customHeight="1" x14ac:dyDescent="0.25">
      <c r="A479" s="5" t="s">
        <v>2136</v>
      </c>
      <c r="B479" s="14" t="str">
        <f>VLOOKUP(TAB_SAIDA[[#This Row],[COD_2_SAIDA]],TAB_ESTOQUE[[Codigo]:[Descrição Tecnica]],6,FALSE)</f>
        <v>RETENTOR 60X75X5</v>
      </c>
      <c r="C479" s="14">
        <f>IFERROR(VLOOKUP(TAB_SAIDA[[#This Row],[COD_2_SAIDA]],TAB_ESTOQUE[[Codigo]:[Referência Tec]],7,FALSE),"")</f>
        <v>0</v>
      </c>
      <c r="D479" s="14" t="str">
        <f>VLOOKUP(TAB_SAIDA[[#This Row],[COD_2_SAIDA]],TAB_ESTOQUE[[Codigo]:[Endereço2]],12,FALSE)</f>
        <v>E1204</v>
      </c>
      <c r="E479" s="81">
        <f>SUM(TAB_SAIDA[[#This Row],[20/05/2019]:[00/00/00]])</f>
        <v>0</v>
      </c>
      <c r="F479" s="3"/>
    </row>
    <row r="480" spans="1:573" ht="15" hidden="1" customHeight="1" x14ac:dyDescent="0.25">
      <c r="A480" s="5" t="s">
        <v>2137</v>
      </c>
      <c r="B480" s="14" t="str">
        <f>VLOOKUP(TAB_SAIDA[[#This Row],[COD_2_SAIDA]],TAB_ESTOQUE[[Codigo]:[Descrição Tecnica]],6,FALSE)</f>
        <v>ELEMENTO FILTRANTE HYDAC 0160 D 010 ON</v>
      </c>
      <c r="C480" s="14">
        <f>IFERROR(VLOOKUP(TAB_SAIDA[[#This Row],[COD_2_SAIDA]],TAB_ESTOQUE[[Codigo]:[Referência Tec]],7,FALSE),"")</f>
        <v>0</v>
      </c>
      <c r="D480" s="14" t="str">
        <f>VLOOKUP(TAB_SAIDA[[#This Row],[COD_2_SAIDA]],TAB_ESTOQUE[[Codigo]:[Endereço2]],12,FALSE)</f>
        <v>C1405</v>
      </c>
      <c r="E480" s="81">
        <f>SUM(TAB_SAIDA[[#This Row],[20/05/2019]:[00/00/00]])</f>
        <v>0</v>
      </c>
      <c r="F480" s="3"/>
    </row>
    <row r="481" spans="1:569" ht="15" hidden="1" customHeight="1" x14ac:dyDescent="0.25">
      <c r="A481" s="5" t="s">
        <v>2138</v>
      </c>
      <c r="B481" s="14" t="str">
        <f>VLOOKUP(TAB_SAIDA[[#This Row],[COD_2_SAIDA]],TAB_ESTOQUE[[Codigo]:[Descrição Tecnica]],6,FALSE)</f>
        <v>ELEMENTO FILTRANTE HYDAC 0330 R 020 ON</v>
      </c>
      <c r="C481" s="14">
        <f>IFERROR(VLOOKUP(TAB_SAIDA[[#This Row],[COD_2_SAIDA]],TAB_ESTOQUE[[Codigo]:[Referência Tec]],7,FALSE),"")</f>
        <v>0</v>
      </c>
      <c r="D481" s="14" t="str">
        <f>VLOOKUP(TAB_SAIDA[[#This Row],[COD_2_SAIDA]],TAB_ESTOQUE[[Codigo]:[Endereço2]],12,FALSE)</f>
        <v>C1403</v>
      </c>
      <c r="E481" s="81">
        <f>SUM(TAB_SAIDA[[#This Row],[20/05/2019]:[00/00/00]])</f>
        <v>0</v>
      </c>
      <c r="F481" s="3"/>
    </row>
    <row r="482" spans="1:569" ht="15" hidden="1" customHeight="1" x14ac:dyDescent="0.25">
      <c r="A482" s="5" t="s">
        <v>2139</v>
      </c>
      <c r="B482" s="14" t="str">
        <f>VLOOKUP(TAB_SAIDA[[#This Row],[COD_2_SAIDA]],TAB_ESTOQUE[[Codigo]:[Descrição Tecnica]],6,FALSE)</f>
        <v>FILTRO REG REF: AC4010-04</v>
      </c>
      <c r="C482" s="14">
        <f>IFERROR(VLOOKUP(TAB_SAIDA[[#This Row],[COD_2_SAIDA]],TAB_ESTOQUE[[Codigo]:[Referência Tec]],7,FALSE),"")</f>
        <v>0</v>
      </c>
      <c r="D482" s="14" t="str">
        <f>VLOOKUP(TAB_SAIDA[[#This Row],[COD_2_SAIDA]],TAB_ESTOQUE[[Codigo]:[Endereço2]],12,FALSE)</f>
        <v>C2402</v>
      </c>
      <c r="E482" s="81">
        <f>SUM(TAB_SAIDA[[#This Row],[20/05/2019]:[00/00/00]])</f>
        <v>0</v>
      </c>
      <c r="F482" s="3"/>
    </row>
    <row r="483" spans="1:569" ht="15" hidden="1" customHeight="1" x14ac:dyDescent="0.25">
      <c r="A483" s="5" t="s">
        <v>2140</v>
      </c>
      <c r="B483" s="14" t="str">
        <f>VLOOKUP(TAB_SAIDA[[#This Row],[COD_2_SAIDA]],TAB_ESTOQUE[[Codigo]:[Descrição Tecnica]],6,FALSE)</f>
        <v>FILTRO REG REF: PAW 4000-04</v>
      </c>
      <c r="C483" s="14">
        <f>IFERROR(VLOOKUP(TAB_SAIDA[[#This Row],[COD_2_SAIDA]],TAB_ESTOQUE[[Codigo]:[Referência Tec]],7,FALSE),"")</f>
        <v>0</v>
      </c>
      <c r="D483" s="14" t="str">
        <f>VLOOKUP(TAB_SAIDA[[#This Row],[COD_2_SAIDA]],TAB_ESTOQUE[[Codigo]:[Endereço2]],12,FALSE)</f>
        <v>C2402</v>
      </c>
      <c r="E483" s="81">
        <f>SUM(TAB_SAIDA[[#This Row],[20/05/2019]:[00/00/00]])</f>
        <v>0</v>
      </c>
      <c r="F483" s="3"/>
    </row>
    <row r="484" spans="1:569" ht="15" hidden="1" customHeight="1" x14ac:dyDescent="0.25">
      <c r="A484" s="5" t="s">
        <v>2141</v>
      </c>
      <c r="B484" s="14" t="str">
        <f>VLOOKUP(TAB_SAIDA[[#This Row],[COD_2_SAIDA]],TAB_ESTOQUE[[Codigo]:[Descrição Tecnica]],6,FALSE)</f>
        <v>ELEMENTO FILTRANTE HYDAC 0160 R 010 BN4HC</v>
      </c>
      <c r="C484" s="14">
        <f>IFERROR(VLOOKUP(TAB_SAIDA[[#This Row],[COD_2_SAIDA]],TAB_ESTOQUE[[Codigo]:[Referência Tec]],7,FALSE),"")</f>
        <v>0</v>
      </c>
      <c r="D484" s="14" t="str">
        <f>VLOOKUP(TAB_SAIDA[[#This Row],[COD_2_SAIDA]],TAB_ESTOQUE[[Codigo]:[Endereço2]],12,FALSE)</f>
        <v>C1403</v>
      </c>
      <c r="E484" s="81">
        <f>SUM(TAB_SAIDA[[#This Row],[20/05/2019]:[00/00/00]])</f>
        <v>0</v>
      </c>
      <c r="F484" s="3"/>
    </row>
    <row r="485" spans="1:569" ht="15" hidden="1" customHeight="1" x14ac:dyDescent="0.25">
      <c r="A485" s="5" t="s">
        <v>2142</v>
      </c>
      <c r="B485" s="14" t="str">
        <f>VLOOKUP(TAB_SAIDA[[#This Row],[COD_2_SAIDA]],TAB_ESTOQUE[[Codigo]:[Descrição Tecnica]],6,FALSE)</f>
        <v>ELEMENTO FILTRANTE REXROTH R928006863</v>
      </c>
      <c r="C485" s="14">
        <f>IFERROR(VLOOKUP(TAB_SAIDA[[#This Row],[COD_2_SAIDA]],TAB_ESTOQUE[[Codigo]:[Referência Tec]],7,FALSE),"")</f>
        <v>0</v>
      </c>
      <c r="D485" s="14" t="str">
        <f>VLOOKUP(TAB_SAIDA[[#This Row],[COD_2_SAIDA]],TAB_ESTOQUE[[Codigo]:[Endereço2]],12,FALSE)</f>
        <v>C1403</v>
      </c>
      <c r="E485" s="81">
        <f>SUM(TAB_SAIDA[[#This Row],[20/05/2019]:[00/00/00]])</f>
        <v>0</v>
      </c>
      <c r="F485" s="3"/>
    </row>
    <row r="486" spans="1:569" ht="15" hidden="1" customHeight="1" x14ac:dyDescent="0.25">
      <c r="A486" s="5" t="s">
        <v>2143</v>
      </c>
      <c r="B486" s="14" t="str">
        <f>VLOOKUP(TAB_SAIDA[[#This Row],[COD_2_SAIDA]],TAB_ESTOQUE[[Codigo]:[Descrição Tecnica]],6,FALSE)</f>
        <v>ELEMENTO FILTRANTE NEWTEC FHP528820ABS</v>
      </c>
      <c r="C486" s="14">
        <f>IFERROR(VLOOKUP(TAB_SAIDA[[#This Row],[COD_2_SAIDA]],TAB_ESTOQUE[[Codigo]:[Referência Tec]],7,FALSE),"")</f>
        <v>0</v>
      </c>
      <c r="D486" s="14" t="str">
        <f>VLOOKUP(TAB_SAIDA[[#This Row],[COD_2_SAIDA]],TAB_ESTOQUE[[Codigo]:[Endereço2]],12,FALSE)</f>
        <v>C1404</v>
      </c>
      <c r="E486" s="81">
        <f>SUM(TAB_SAIDA[[#This Row],[20/05/2019]:[00/00/00]])</f>
        <v>0</v>
      </c>
      <c r="F486" s="3"/>
    </row>
    <row r="487" spans="1:569" ht="15" hidden="1" customHeight="1" x14ac:dyDescent="0.25">
      <c r="A487" s="5" t="s">
        <v>2144</v>
      </c>
      <c r="B487" s="14" t="str">
        <f>VLOOKUP(TAB_SAIDA[[#This Row],[COD_2_SAIDA]],TAB_ESTOQUE[[Codigo]:[Descrição Tecnica]],6,FALSE)</f>
        <v>ELEMENTO FILTRANTE HYDAC 0240 D 010 ON</v>
      </c>
      <c r="C487" s="14">
        <f>IFERROR(VLOOKUP(TAB_SAIDA[[#This Row],[COD_2_SAIDA]],TAB_ESTOQUE[[Codigo]:[Referência Tec]],7,FALSE),"")</f>
        <v>0</v>
      </c>
      <c r="D487" s="14" t="str">
        <f>VLOOKUP(TAB_SAIDA[[#This Row],[COD_2_SAIDA]],TAB_ESTOQUE[[Codigo]:[Endereço2]],12,FALSE)</f>
        <v>C1403</v>
      </c>
      <c r="E487" s="81">
        <f>SUM(TAB_SAIDA[[#This Row],[20/05/2019]:[00/00/00]])</f>
        <v>0</v>
      </c>
      <c r="F487" s="3"/>
    </row>
    <row r="488" spans="1:569" ht="15" hidden="1" customHeight="1" x14ac:dyDescent="0.25">
      <c r="A488" s="5" t="s">
        <v>2145</v>
      </c>
      <c r="B488" s="14" t="str">
        <f>VLOOKUP(TAB_SAIDA[[#This Row],[COD_2_SAIDA]],TAB_ESTOQUE[[Codigo]:[Descrição Tecnica]],6,FALSE)</f>
        <v>REGULADOR  REF: AR20-FO2BE-B</v>
      </c>
      <c r="C488" s="14">
        <f>IFERROR(VLOOKUP(TAB_SAIDA[[#This Row],[COD_2_SAIDA]],TAB_ESTOQUE[[Codigo]:[Referência Tec]],7,FALSE),"")</f>
        <v>0</v>
      </c>
      <c r="D488" s="14" t="str">
        <f>VLOOKUP(TAB_SAIDA[[#This Row],[COD_2_SAIDA]],TAB_ESTOQUE[[Codigo]:[Endereço2]],12,FALSE)</f>
        <v>C2402</v>
      </c>
      <c r="E488" s="81">
        <f>SUM(TAB_SAIDA[[#This Row],[20/05/2019]:[00/00/00]])</f>
        <v>1</v>
      </c>
      <c r="F488" s="3"/>
      <c r="UW488" s="3">
        <v>1</v>
      </c>
    </row>
    <row r="489" spans="1:569" ht="15" hidden="1" customHeight="1" x14ac:dyDescent="0.25">
      <c r="A489" s="5" t="s">
        <v>2146</v>
      </c>
      <c r="B489" s="14" t="str">
        <f>VLOOKUP(TAB_SAIDA[[#This Row],[COD_2_SAIDA]],TAB_ESTOQUE[[Codigo]:[Descrição Tecnica]],6,FALSE)</f>
        <v>FILTRO REF: SAM G450-EL</v>
      </c>
      <c r="C489" s="14">
        <f>IFERROR(VLOOKUP(TAB_SAIDA[[#This Row],[COD_2_SAIDA]],TAB_ESTOQUE[[Codigo]:[Referência Tec]],7,FALSE),"")</f>
        <v>0</v>
      </c>
      <c r="D489" s="14" t="str">
        <f>VLOOKUP(TAB_SAIDA[[#This Row],[COD_2_SAIDA]],TAB_ESTOQUE[[Codigo]:[Endereço2]],12,FALSE)</f>
        <v>C2402</v>
      </c>
      <c r="E489" s="81">
        <f>SUM(TAB_SAIDA[[#This Row],[20/05/2019]:[00/00/00]])</f>
        <v>0</v>
      </c>
      <c r="F489" s="3"/>
    </row>
    <row r="490" spans="1:569" ht="15" hidden="1" customHeight="1" x14ac:dyDescent="0.25">
      <c r="A490" s="5" t="s">
        <v>2147</v>
      </c>
      <c r="B490" s="14" t="str">
        <f>VLOOKUP(TAB_SAIDA[[#This Row],[COD_2_SAIDA]],TAB_ESTOQUE[[Codigo]:[Descrição Tecnica]],6,FALSE)</f>
        <v>ELEMENTO FILTRANTE HYDAC 0660 R 010 BN4HC</v>
      </c>
      <c r="C490" s="14">
        <f>IFERROR(VLOOKUP(TAB_SAIDA[[#This Row],[COD_2_SAIDA]],TAB_ESTOQUE[[Codigo]:[Referência Tec]],7,FALSE),"")</f>
        <v>0</v>
      </c>
      <c r="D490" s="14" t="str">
        <f>VLOOKUP(TAB_SAIDA[[#This Row],[COD_2_SAIDA]],TAB_ESTOQUE[[Codigo]:[Endereço2]],12,FALSE)</f>
        <v>C1406</v>
      </c>
      <c r="E490" s="81">
        <f>SUM(TAB_SAIDA[[#This Row],[20/05/2019]:[00/00/00]])</f>
        <v>0</v>
      </c>
      <c r="F490" s="3"/>
    </row>
    <row r="491" spans="1:569" ht="15" hidden="1" customHeight="1" x14ac:dyDescent="0.25">
      <c r="A491" s="5" t="s">
        <v>2148</v>
      </c>
      <c r="B491" s="14" t="str">
        <f>VLOOKUP(TAB_SAIDA[[#This Row],[COD_2_SAIDA]],TAB_ESTOQUE[[Codigo]:[Descrição Tecnica]],6,FALSE)</f>
        <v>ELEMENTO FILTRANTE HYDAC 0330 R 010 BN4HC</v>
      </c>
      <c r="C491" s="14">
        <f>IFERROR(VLOOKUP(TAB_SAIDA[[#This Row],[COD_2_SAIDA]],TAB_ESTOQUE[[Codigo]:[Referência Tec]],7,FALSE),"")</f>
        <v>0</v>
      </c>
      <c r="D491" s="14" t="str">
        <f>VLOOKUP(TAB_SAIDA[[#This Row],[COD_2_SAIDA]],TAB_ESTOQUE[[Codigo]:[Endereço2]],12,FALSE)</f>
        <v>C1405</v>
      </c>
      <c r="E491" s="81">
        <f>SUM(TAB_SAIDA[[#This Row],[20/05/2019]:[00/00/00]])</f>
        <v>0</v>
      </c>
      <c r="F491" s="3"/>
    </row>
    <row r="492" spans="1:569" ht="15" hidden="1" customHeight="1" x14ac:dyDescent="0.25">
      <c r="A492" s="5" t="s">
        <v>2149</v>
      </c>
      <c r="B492" s="14" t="str">
        <f>VLOOKUP(TAB_SAIDA[[#This Row],[COD_2_SAIDA]],TAB_ESTOQUE[[Codigo]:[Descrição Tecnica]],6,FALSE)</f>
        <v>ELEMENTO FILTRANTE HYDAC 0160 DN 010 BN4HC</v>
      </c>
      <c r="C492" s="14">
        <f>IFERROR(VLOOKUP(TAB_SAIDA[[#This Row],[COD_2_SAIDA]],TAB_ESTOQUE[[Codigo]:[Referência Tec]],7,FALSE),"")</f>
        <v>0</v>
      </c>
      <c r="D492" s="14" t="str">
        <f>VLOOKUP(TAB_SAIDA[[#This Row],[COD_2_SAIDA]],TAB_ESTOQUE[[Codigo]:[Endereço2]],12,FALSE)</f>
        <v>C1403</v>
      </c>
      <c r="E492" s="81">
        <f>SUM(TAB_SAIDA[[#This Row],[20/05/2019]:[00/00/00]])</f>
        <v>0</v>
      </c>
      <c r="F492" s="3"/>
    </row>
    <row r="493" spans="1:569" ht="15" hidden="1" customHeight="1" x14ac:dyDescent="0.25">
      <c r="A493" s="5" t="s">
        <v>2150</v>
      </c>
      <c r="B493" s="14" t="str">
        <f>VLOOKUP(TAB_SAIDA[[#This Row],[COD_2_SAIDA]],TAB_ESTOQUE[[Codigo]:[Descrição Tecnica]],6,FALSE)</f>
        <v>LÂMINA DE SERRA DE FITA MAQ. DE CORTE VERTICAL</v>
      </c>
      <c r="C493" s="14">
        <f>IFERROR(VLOOKUP(TAB_SAIDA[[#This Row],[COD_2_SAIDA]],TAB_ESTOQUE[[Codigo]:[Referência Tec]],7,FALSE),"")</f>
        <v>0</v>
      </c>
      <c r="D493" s="14" t="str">
        <f>VLOOKUP(TAB_SAIDA[[#This Row],[COD_2_SAIDA]],TAB_ESTOQUE[[Codigo]:[Endereço2]],12,FALSE)</f>
        <v>E1301</v>
      </c>
      <c r="E493" s="81">
        <f>SUM(TAB_SAIDA[[#This Row],[20/05/2019]:[00/00/00]])</f>
        <v>0</v>
      </c>
      <c r="F493" s="3"/>
    </row>
    <row r="494" spans="1:569" ht="15" hidden="1" customHeight="1" x14ac:dyDescent="0.25">
      <c r="A494" s="5" t="s">
        <v>2151</v>
      </c>
      <c r="B494" s="14" t="str">
        <f>VLOOKUP(TAB_SAIDA[[#This Row],[COD_2_SAIDA]],TAB_ESTOQUE[[Codigo]:[Descrição Tecnica]],6,FALSE)</f>
        <v>RETENTOR 67X36X6</v>
      </c>
      <c r="C494" s="14">
        <f>IFERROR(VLOOKUP(TAB_SAIDA[[#This Row],[COD_2_SAIDA]],TAB_ESTOQUE[[Codigo]:[Referência Tec]],7,FALSE),"")</f>
        <v>0</v>
      </c>
      <c r="D494" s="14" t="str">
        <f>VLOOKUP(TAB_SAIDA[[#This Row],[COD_2_SAIDA]],TAB_ESTOQUE[[Codigo]:[Endereço2]],12,FALSE)</f>
        <v>E1204</v>
      </c>
      <c r="E494" s="81">
        <f>SUM(TAB_SAIDA[[#This Row],[20/05/2019]:[00/00/00]])</f>
        <v>0</v>
      </c>
      <c r="F494" s="3"/>
    </row>
    <row r="495" spans="1:569" ht="15" hidden="1" customHeight="1" x14ac:dyDescent="0.25">
      <c r="A495" s="5" t="s">
        <v>2152</v>
      </c>
      <c r="B495" s="14" t="str">
        <f>VLOOKUP(TAB_SAIDA[[#This Row],[COD_2_SAIDA]],TAB_ESTOQUE[[Codigo]:[Descrição Tecnica]],6,FALSE)</f>
        <v>RETENTOR 40X50X6</v>
      </c>
      <c r="C495" s="14">
        <f>IFERROR(VLOOKUP(TAB_SAIDA[[#This Row],[COD_2_SAIDA]],TAB_ESTOQUE[[Codigo]:[Referência Tec]],7,FALSE),"")</f>
        <v>0</v>
      </c>
      <c r="D495" s="14" t="str">
        <f>VLOOKUP(TAB_SAIDA[[#This Row],[COD_2_SAIDA]],TAB_ESTOQUE[[Codigo]:[Endereço2]],12,FALSE)</f>
        <v>E1203</v>
      </c>
      <c r="E495" s="81">
        <f>SUM(TAB_SAIDA[[#This Row],[20/05/2019]:[00/00/00]])</f>
        <v>0</v>
      </c>
      <c r="F495" s="3"/>
    </row>
    <row r="496" spans="1:569" ht="15" hidden="1" customHeight="1" x14ac:dyDescent="0.25">
      <c r="A496" s="5" t="s">
        <v>2153</v>
      </c>
      <c r="B496" s="14" t="str">
        <f>VLOOKUP(TAB_SAIDA[[#This Row],[COD_2_SAIDA]],TAB_ESTOQUE[[Codigo]:[Descrição Tecnica]],6,FALSE)</f>
        <v>RETENTOR  LATA POR FORA 55x63x5</v>
      </c>
      <c r="C496" s="14">
        <f>IFERROR(VLOOKUP(TAB_SAIDA[[#This Row],[COD_2_SAIDA]],TAB_ESTOQUE[[Codigo]:[Referência Tec]],7,FALSE),"")</f>
        <v>0</v>
      </c>
      <c r="D496" s="14" t="str">
        <f>VLOOKUP(TAB_SAIDA[[#This Row],[COD_2_SAIDA]],TAB_ESTOQUE[[Codigo]:[Endereço2]],12,FALSE)</f>
        <v>E1203</v>
      </c>
      <c r="E496" s="81">
        <f>SUM(TAB_SAIDA[[#This Row],[20/05/2019]:[00/00/00]])</f>
        <v>0</v>
      </c>
      <c r="F496" s="3"/>
    </row>
    <row r="497" spans="1:631" s="197" customFormat="1" ht="15" hidden="1" customHeight="1" x14ac:dyDescent="0.25">
      <c r="A497" s="194" t="s">
        <v>2154</v>
      </c>
      <c r="B497" s="195" t="str">
        <f>VLOOKUP(TAB_SAIDA[[#This Row],[COD_2_SAIDA]],TAB_ESTOQUE[[Codigo]:[Descrição Tecnica]],6,FALSE)</f>
        <v>RETENTOR 30x62x8</v>
      </c>
      <c r="C497" s="195">
        <f>IFERROR(VLOOKUP(TAB_SAIDA[[#This Row],[COD_2_SAIDA]],TAB_ESTOQUE[[Codigo]:[Referência Tec]],7,FALSE),"")</f>
        <v>0</v>
      </c>
      <c r="D497" s="195" t="str">
        <f>VLOOKUP(TAB_SAIDA[[#This Row],[COD_2_SAIDA]],TAB_ESTOQUE[[Codigo]:[Endereço2]],12,FALSE)</f>
        <v>E1203</v>
      </c>
      <c r="E497" s="196">
        <f>SUM(TAB_SAIDA[[#This Row],[20/05/2019]:[00/00/00]])</f>
        <v>0</v>
      </c>
      <c r="BH497" s="198"/>
    </row>
    <row r="498" spans="1:631" ht="15" hidden="1" customHeight="1" x14ac:dyDescent="0.25">
      <c r="A498" s="5" t="s">
        <v>2155</v>
      </c>
      <c r="B498" s="14" t="str">
        <f>VLOOKUP(TAB_SAIDA[[#This Row],[COD_2_SAIDA]],TAB_ESTOQUE[[Codigo]:[Descrição Tecnica]],6,FALSE)</f>
        <v>RETENTOR 30x62x7</v>
      </c>
      <c r="C498" s="14">
        <f>IFERROR(VLOOKUP(TAB_SAIDA[[#This Row],[COD_2_SAIDA]],TAB_ESTOQUE[[Codigo]:[Referência Tec]],7,FALSE),"")</f>
        <v>0</v>
      </c>
      <c r="D498" s="14" t="str">
        <f>VLOOKUP(TAB_SAIDA[[#This Row],[COD_2_SAIDA]],TAB_ESTOQUE[[Codigo]:[Endereço2]],12,FALSE)</f>
        <v>E1203</v>
      </c>
      <c r="E498" s="81">
        <f>SUM(TAB_SAIDA[[#This Row],[20/05/2019]:[00/00/00]])</f>
        <v>0</v>
      </c>
      <c r="F498" s="3"/>
    </row>
    <row r="499" spans="1:631" ht="15" hidden="1" customHeight="1" x14ac:dyDescent="0.25">
      <c r="A499" s="5" t="s">
        <v>2156</v>
      </c>
      <c r="B499" s="14" t="str">
        <f>VLOOKUP(TAB_SAIDA[[#This Row],[COD_2_SAIDA]],TAB_ESTOQUE[[Codigo]:[Descrição Tecnica]],6,FALSE)</f>
        <v>RETENTOR 25x35x7</v>
      </c>
      <c r="C499" s="14">
        <f>IFERROR(VLOOKUP(TAB_SAIDA[[#This Row],[COD_2_SAIDA]],TAB_ESTOQUE[[Codigo]:[Referência Tec]],7,FALSE),"")</f>
        <v>0</v>
      </c>
      <c r="D499" s="14" t="str">
        <f>VLOOKUP(TAB_SAIDA[[#This Row],[COD_2_SAIDA]],TAB_ESTOQUE[[Codigo]:[Endereço2]],12,FALSE)</f>
        <v>E1203</v>
      </c>
      <c r="E499" s="81">
        <f>SUM(TAB_SAIDA[[#This Row],[20/05/2019]:[00/00/00]])</f>
        <v>0</v>
      </c>
      <c r="F499" s="3"/>
    </row>
    <row r="500" spans="1:631" ht="15" hidden="1" customHeight="1" x14ac:dyDescent="0.25">
      <c r="A500" s="5" t="s">
        <v>2157</v>
      </c>
      <c r="B500" s="14" t="str">
        <f>VLOOKUP(TAB_SAIDA[[#This Row],[COD_2_SAIDA]],TAB_ESTOQUE[[Codigo]:[Descrição Tecnica]],6,FALSE)</f>
        <v>RETENTOR 45X62X8</v>
      </c>
      <c r="C500" s="14">
        <f>IFERROR(VLOOKUP(TAB_SAIDA[[#This Row],[COD_2_SAIDA]],TAB_ESTOQUE[[Codigo]:[Referência Tec]],7,FALSE),"")</f>
        <v>0</v>
      </c>
      <c r="D500" s="14" t="str">
        <f>VLOOKUP(TAB_SAIDA[[#This Row],[COD_2_SAIDA]],TAB_ESTOQUE[[Codigo]:[Endereço2]],12,FALSE)</f>
        <v>E1204</v>
      </c>
      <c r="E500" s="81">
        <f>SUM(TAB_SAIDA[[#This Row],[20/05/2019]:[00/00/00]])</f>
        <v>0</v>
      </c>
      <c r="F500" s="3"/>
    </row>
    <row r="501" spans="1:631" ht="15" hidden="1" customHeight="1" x14ac:dyDescent="0.25">
      <c r="A501" s="5" t="s">
        <v>2158</v>
      </c>
      <c r="B501" s="14" t="str">
        <f>VLOOKUP(TAB_SAIDA[[#This Row],[COD_2_SAIDA]],TAB_ESTOQUE[[Codigo]:[Descrição Tecnica]],6,FALSE)</f>
        <v>ANEL DE COBRE 38X49X2</v>
      </c>
      <c r="C501" s="14">
        <f>IFERROR(VLOOKUP(TAB_SAIDA[[#This Row],[COD_2_SAIDA]],TAB_ESTOQUE[[Codigo]:[Referência Tec]],7,FALSE),"")</f>
        <v>0</v>
      </c>
      <c r="D501" s="14" t="str">
        <f>VLOOKUP(TAB_SAIDA[[#This Row],[COD_2_SAIDA]],TAB_ESTOQUE[[Codigo]:[Endereço2]],12,FALSE)</f>
        <v>E1304</v>
      </c>
      <c r="E501" s="81">
        <f>SUM(TAB_SAIDA[[#This Row],[20/05/2019]:[00/00/00]])</f>
        <v>0</v>
      </c>
      <c r="F501" s="3"/>
    </row>
    <row r="502" spans="1:631" ht="15" hidden="1" customHeight="1" x14ac:dyDescent="0.25">
      <c r="A502" s="5" t="s">
        <v>2159</v>
      </c>
      <c r="B502" s="14" t="str">
        <f>VLOOKUP(TAB_SAIDA[[#This Row],[COD_2_SAIDA]],TAB_ESTOQUE[[Codigo]:[Descrição Tecnica]],6,FALSE)</f>
        <v>ANEL DE COBRE 33X40X2</v>
      </c>
      <c r="C502" s="14">
        <f>IFERROR(VLOOKUP(TAB_SAIDA[[#This Row],[COD_2_SAIDA]],TAB_ESTOQUE[[Codigo]:[Referência Tec]],7,FALSE),"")</f>
        <v>0</v>
      </c>
      <c r="D502" s="14" t="str">
        <f>VLOOKUP(TAB_SAIDA[[#This Row],[COD_2_SAIDA]],TAB_ESTOQUE[[Codigo]:[Endereço2]],12,FALSE)</f>
        <v>E1304</v>
      </c>
      <c r="E502" s="81">
        <f>SUM(TAB_SAIDA[[#This Row],[20/05/2019]:[00/00/00]])</f>
        <v>0</v>
      </c>
      <c r="F502" s="3"/>
    </row>
    <row r="503" spans="1:631" ht="15" hidden="1" customHeight="1" x14ac:dyDescent="0.25">
      <c r="A503" s="5" t="s">
        <v>2160</v>
      </c>
      <c r="B503" s="14" t="str">
        <f>VLOOKUP(TAB_SAIDA[[#This Row],[COD_2_SAIDA]],TAB_ESTOQUE[[Codigo]:[Descrição Tecnica]],6,FALSE)</f>
        <v>ANEL DE COBRE 24X30X1,5</v>
      </c>
      <c r="C503" s="14">
        <f>IFERROR(VLOOKUP(TAB_SAIDA[[#This Row],[COD_2_SAIDA]],TAB_ESTOQUE[[Codigo]:[Referência Tec]],7,FALSE),"")</f>
        <v>0</v>
      </c>
      <c r="D503" s="14" t="str">
        <f>VLOOKUP(TAB_SAIDA[[#This Row],[COD_2_SAIDA]],TAB_ESTOQUE[[Codigo]:[Endereço2]],12,FALSE)</f>
        <v>E1304</v>
      </c>
      <c r="E503" s="81">
        <f>SUM(TAB_SAIDA[[#This Row],[20/05/2019]:[00/00/00]])</f>
        <v>0</v>
      </c>
      <c r="F503" s="3"/>
    </row>
    <row r="504" spans="1:631" s="186" customFormat="1" ht="15" hidden="1" customHeight="1" x14ac:dyDescent="0.25">
      <c r="A504" s="189" t="s">
        <v>2161</v>
      </c>
      <c r="B504" s="201" t="str">
        <f>VLOOKUP(TAB_SAIDA[[#This Row],[COD_2_SAIDA]],TAB_ESTOQUE[[Codigo]:[Descrição Tecnica]],6,FALSE)</f>
        <v>ANEL DE COBRE 25X21X1.36</v>
      </c>
      <c r="C504" s="201">
        <f>IFERROR(VLOOKUP(TAB_SAIDA[[#This Row],[COD_2_SAIDA]],TAB_ESTOQUE[[Codigo]:[Referência Tec]],7,FALSE),"")</f>
        <v>0</v>
      </c>
      <c r="D504" s="201" t="str">
        <f>VLOOKUP(TAB_SAIDA[[#This Row],[COD_2_SAIDA]],TAB_ESTOQUE[[Codigo]:[Endereço2]],12,FALSE)</f>
        <v>E1304</v>
      </c>
      <c r="E504" s="191">
        <f>SUM(TAB_SAIDA[[#This Row],[20/05/2019]:[00/00/00]])</f>
        <v>0</v>
      </c>
      <c r="F504" s="192"/>
      <c r="G504" s="192"/>
      <c r="H504" s="192"/>
      <c r="I504" s="192"/>
      <c r="J504" s="192"/>
      <c r="K504" s="192"/>
      <c r="L504" s="192"/>
      <c r="M504" s="192"/>
      <c r="N504" s="192"/>
      <c r="O504" s="192"/>
      <c r="P504" s="192"/>
      <c r="Q504" s="192"/>
      <c r="R504" s="192"/>
      <c r="S504" s="192"/>
      <c r="T504" s="192"/>
      <c r="U504" s="192"/>
      <c r="V504" s="192"/>
      <c r="W504" s="192"/>
      <c r="X504" s="192"/>
      <c r="Y504" s="192"/>
      <c r="Z504" s="192"/>
      <c r="AA504" s="192"/>
      <c r="AB504" s="192"/>
      <c r="AC504" s="192"/>
      <c r="AD504" s="192"/>
      <c r="AE504" s="192"/>
      <c r="AF504" s="192"/>
      <c r="AG504" s="192"/>
      <c r="AH504" s="192"/>
      <c r="AI504" s="192"/>
      <c r="AJ504" s="192"/>
      <c r="AK504" s="192"/>
      <c r="AL504" s="192"/>
      <c r="AM504" s="192"/>
      <c r="AN504" s="192"/>
      <c r="AO504" s="192"/>
      <c r="AP504" s="192"/>
      <c r="AQ504" s="192"/>
      <c r="AR504" s="192"/>
      <c r="AS504" s="192"/>
      <c r="AT504" s="192"/>
      <c r="AU504" s="192"/>
      <c r="AV504" s="192"/>
      <c r="AW504" s="192"/>
      <c r="AX504" s="192"/>
      <c r="AY504" s="192"/>
      <c r="AZ504" s="192"/>
      <c r="BA504" s="192"/>
      <c r="BB504" s="192"/>
      <c r="BC504" s="192"/>
      <c r="BD504" s="192"/>
      <c r="BE504" s="192"/>
      <c r="BF504" s="192"/>
      <c r="BG504" s="192"/>
      <c r="BH504" s="193"/>
      <c r="BI504" s="192"/>
      <c r="BJ504" s="192"/>
      <c r="BK504" s="192"/>
      <c r="BL504" s="192"/>
      <c r="BM504" s="192"/>
      <c r="BN504" s="192"/>
      <c r="BO504" s="192"/>
      <c r="BP504" s="192"/>
      <c r="BQ504" s="192"/>
      <c r="BR504" s="192"/>
      <c r="BS504" s="192"/>
      <c r="BT504" s="192"/>
      <c r="BU504" s="192"/>
      <c r="BV504" s="192"/>
      <c r="BW504" s="192"/>
      <c r="BX504" s="192"/>
      <c r="BY504" s="192"/>
      <c r="BZ504" s="192"/>
      <c r="CA504" s="192"/>
      <c r="CB504" s="192"/>
      <c r="CC504" s="192"/>
      <c r="CD504" s="192"/>
      <c r="CE504" s="192"/>
      <c r="CF504" s="192"/>
      <c r="CG504" s="192"/>
      <c r="CH504" s="192"/>
      <c r="CI504" s="192"/>
      <c r="CJ504" s="192"/>
      <c r="CK504" s="192"/>
      <c r="CL504" s="192"/>
      <c r="CM504" s="192"/>
      <c r="CN504" s="192"/>
      <c r="CO504" s="192"/>
      <c r="CP504" s="192"/>
      <c r="CQ504" s="192"/>
      <c r="CR504" s="192"/>
      <c r="CS504" s="192"/>
      <c r="CT504" s="192"/>
      <c r="CU504" s="192"/>
      <c r="CV504" s="192"/>
      <c r="CW504" s="192"/>
      <c r="CX504" s="192"/>
      <c r="CY504" s="192"/>
      <c r="CZ504" s="192"/>
      <c r="DA504" s="192"/>
      <c r="DB504" s="192"/>
      <c r="DC504" s="192"/>
      <c r="DD504" s="192"/>
      <c r="DE504" s="192"/>
      <c r="DF504" s="192"/>
      <c r="DG504" s="192"/>
      <c r="DH504" s="192"/>
      <c r="DI504" s="192"/>
      <c r="DJ504" s="192"/>
      <c r="DK504" s="192"/>
      <c r="DL504" s="192"/>
      <c r="DM504" s="192"/>
      <c r="DN504" s="192"/>
      <c r="DO504" s="192"/>
      <c r="DP504" s="192"/>
      <c r="DQ504" s="192"/>
      <c r="DR504" s="192"/>
      <c r="DS504" s="192"/>
      <c r="DT504" s="192"/>
      <c r="DU504" s="192"/>
      <c r="DV504" s="192"/>
      <c r="DW504" s="192"/>
      <c r="DX504" s="192"/>
      <c r="DY504" s="192"/>
      <c r="DZ504" s="192"/>
      <c r="EA504" s="192"/>
      <c r="EB504" s="192"/>
      <c r="EC504" s="192"/>
      <c r="ED504" s="192"/>
      <c r="EE504" s="192"/>
      <c r="EF504" s="192"/>
      <c r="EG504" s="192"/>
      <c r="EH504" s="192"/>
      <c r="EI504" s="192"/>
      <c r="EJ504" s="192"/>
      <c r="EK504" s="192"/>
      <c r="EL504" s="192"/>
      <c r="EM504" s="192"/>
      <c r="EN504" s="192"/>
      <c r="EO504" s="192"/>
      <c r="EP504" s="192"/>
      <c r="EQ504" s="192"/>
      <c r="ER504" s="192"/>
      <c r="ES504" s="192"/>
      <c r="ET504" s="192"/>
      <c r="EU504" s="192"/>
      <c r="EV504" s="192"/>
      <c r="EW504" s="192"/>
      <c r="EX504" s="192"/>
      <c r="EY504" s="192"/>
      <c r="EZ504" s="192"/>
      <c r="FA504" s="192"/>
      <c r="FB504" s="192"/>
      <c r="FC504" s="192"/>
      <c r="FD504" s="192"/>
      <c r="FE504" s="192"/>
      <c r="FF504" s="192"/>
      <c r="FG504" s="192"/>
      <c r="FH504" s="192"/>
      <c r="FI504" s="192"/>
      <c r="FJ504" s="192"/>
      <c r="FK504" s="192"/>
      <c r="FL504" s="192"/>
      <c r="FM504" s="192"/>
      <c r="FN504" s="192"/>
      <c r="FO504" s="192"/>
      <c r="FP504" s="192"/>
      <c r="FQ504" s="192"/>
      <c r="FR504" s="192"/>
      <c r="FS504" s="192"/>
      <c r="FT504" s="192"/>
      <c r="FU504" s="192"/>
      <c r="FV504" s="192"/>
      <c r="FW504" s="192"/>
      <c r="FX504" s="192"/>
      <c r="FY504" s="192"/>
      <c r="FZ504" s="192"/>
      <c r="GA504" s="192"/>
      <c r="GB504" s="192"/>
      <c r="GC504" s="192"/>
      <c r="GD504" s="192"/>
      <c r="GE504" s="192"/>
      <c r="GF504" s="192"/>
      <c r="GG504" s="192"/>
      <c r="GH504" s="192"/>
      <c r="GI504" s="192"/>
      <c r="GJ504" s="192"/>
      <c r="GK504" s="192"/>
      <c r="GL504" s="192"/>
      <c r="GM504" s="192"/>
      <c r="GN504" s="192"/>
      <c r="GO504" s="192"/>
      <c r="GP504" s="192"/>
      <c r="GQ504" s="192"/>
      <c r="GR504" s="192"/>
      <c r="GS504" s="192"/>
      <c r="GT504" s="192"/>
      <c r="GU504" s="192"/>
      <c r="GV504" s="192"/>
      <c r="GW504" s="192"/>
      <c r="GX504" s="192"/>
      <c r="GY504" s="192"/>
      <c r="GZ504" s="192"/>
      <c r="HA504" s="192"/>
      <c r="HB504" s="192"/>
      <c r="HC504" s="192"/>
      <c r="HD504" s="192"/>
      <c r="HE504" s="192"/>
      <c r="HF504" s="192"/>
      <c r="HG504" s="192"/>
      <c r="HH504" s="192"/>
      <c r="HI504" s="192"/>
      <c r="HJ504" s="192"/>
      <c r="HK504" s="192"/>
      <c r="HL504" s="192"/>
      <c r="HM504" s="192"/>
      <c r="HN504" s="192"/>
      <c r="HO504" s="192"/>
      <c r="HP504" s="192"/>
      <c r="HQ504" s="192"/>
      <c r="HR504" s="192"/>
      <c r="HS504" s="192"/>
      <c r="HT504" s="192"/>
      <c r="HU504" s="192"/>
      <c r="HV504" s="192"/>
      <c r="HW504" s="192"/>
      <c r="HX504" s="192"/>
      <c r="HY504" s="192"/>
      <c r="HZ504" s="192"/>
      <c r="IA504" s="192"/>
      <c r="IB504" s="192"/>
      <c r="IC504" s="192"/>
      <c r="ID504" s="192"/>
      <c r="IE504" s="192"/>
      <c r="IF504" s="192"/>
      <c r="IG504" s="192"/>
      <c r="IH504" s="192"/>
      <c r="II504" s="192"/>
      <c r="IJ504" s="192"/>
      <c r="IK504" s="192"/>
      <c r="IL504" s="192"/>
      <c r="IM504" s="192"/>
      <c r="IN504" s="192"/>
      <c r="IO504" s="192"/>
      <c r="IP504" s="192"/>
      <c r="IQ504" s="192"/>
      <c r="IR504" s="192"/>
      <c r="IS504" s="192"/>
      <c r="IT504" s="192"/>
      <c r="IU504" s="192"/>
      <c r="IV504" s="192"/>
      <c r="IW504" s="192"/>
      <c r="IX504" s="192"/>
      <c r="IY504" s="192"/>
      <c r="IZ504" s="192"/>
      <c r="JA504" s="192"/>
      <c r="JB504" s="192"/>
      <c r="JC504" s="192"/>
      <c r="JD504" s="192"/>
      <c r="JE504" s="192"/>
      <c r="JF504" s="192"/>
      <c r="JG504" s="192"/>
      <c r="JH504" s="192"/>
      <c r="JI504" s="192"/>
      <c r="JJ504" s="192"/>
      <c r="JK504" s="192"/>
      <c r="JL504" s="192"/>
      <c r="JM504" s="192"/>
      <c r="JN504" s="192"/>
      <c r="JO504" s="192"/>
      <c r="JP504" s="192"/>
      <c r="JQ504" s="192"/>
      <c r="JR504" s="192"/>
      <c r="JS504" s="192"/>
      <c r="JT504" s="192"/>
      <c r="JU504" s="192"/>
      <c r="JV504" s="192"/>
      <c r="JW504" s="192"/>
      <c r="JX504" s="192"/>
      <c r="JY504" s="192"/>
      <c r="JZ504" s="192"/>
      <c r="KA504" s="192"/>
      <c r="KB504" s="192"/>
      <c r="KC504" s="192"/>
      <c r="KD504" s="192"/>
      <c r="KE504" s="192"/>
      <c r="KF504" s="192"/>
      <c r="KG504" s="192"/>
      <c r="KH504" s="192"/>
      <c r="KI504" s="192"/>
      <c r="KJ504" s="192"/>
      <c r="KK504" s="192"/>
      <c r="KL504" s="192"/>
      <c r="KM504" s="192"/>
      <c r="KN504" s="192"/>
      <c r="KO504" s="192"/>
      <c r="KP504" s="192"/>
      <c r="KQ504" s="192"/>
      <c r="KR504" s="192"/>
      <c r="KS504" s="192"/>
      <c r="KT504" s="192"/>
      <c r="KU504" s="192"/>
      <c r="KV504" s="192"/>
      <c r="KW504" s="192"/>
      <c r="KX504" s="192"/>
      <c r="KY504" s="192"/>
      <c r="KZ504" s="192"/>
      <c r="LA504" s="192"/>
      <c r="LB504" s="192"/>
      <c r="LC504" s="192"/>
      <c r="LD504" s="192"/>
      <c r="LE504" s="192"/>
      <c r="LF504" s="192"/>
      <c r="LG504" s="192"/>
      <c r="LH504" s="192"/>
      <c r="LI504" s="192"/>
      <c r="LJ504" s="192"/>
      <c r="LK504" s="192"/>
      <c r="LL504" s="192"/>
      <c r="LM504" s="192"/>
      <c r="LN504" s="192"/>
      <c r="LO504" s="192"/>
      <c r="LP504" s="192"/>
      <c r="LQ504" s="192"/>
      <c r="LR504" s="192"/>
      <c r="LS504" s="192"/>
      <c r="LT504" s="192"/>
      <c r="LU504" s="192"/>
      <c r="LV504" s="192"/>
      <c r="LW504" s="192"/>
      <c r="LX504" s="192"/>
      <c r="LY504" s="192"/>
      <c r="LZ504" s="192"/>
      <c r="MA504" s="192"/>
      <c r="MB504" s="192"/>
      <c r="MC504" s="192"/>
      <c r="MD504" s="192"/>
      <c r="ME504" s="192"/>
      <c r="MF504" s="192"/>
      <c r="MG504" s="192"/>
      <c r="MH504" s="192"/>
      <c r="MI504" s="192"/>
      <c r="MJ504" s="192"/>
      <c r="MK504" s="192"/>
      <c r="ML504" s="192"/>
      <c r="MM504" s="192"/>
      <c r="MN504" s="192"/>
      <c r="MO504" s="192"/>
      <c r="MP504" s="192"/>
      <c r="MQ504" s="192"/>
      <c r="MR504" s="192"/>
      <c r="MS504" s="192"/>
      <c r="MT504" s="192"/>
      <c r="MU504" s="192"/>
      <c r="MV504" s="192"/>
      <c r="MW504" s="192"/>
      <c r="MX504" s="192"/>
      <c r="MY504" s="192"/>
      <c r="MZ504" s="192"/>
      <c r="NA504" s="192"/>
      <c r="NB504" s="192"/>
      <c r="NC504" s="192"/>
      <c r="ND504" s="192"/>
      <c r="NE504" s="192"/>
      <c r="NF504" s="192"/>
      <c r="NG504" s="192"/>
      <c r="NH504" s="192"/>
      <c r="NI504" s="192"/>
      <c r="NJ504" s="192"/>
      <c r="NK504" s="192"/>
      <c r="NL504" s="192"/>
      <c r="NM504" s="192"/>
      <c r="NN504" s="192"/>
      <c r="NO504" s="192"/>
      <c r="NP504" s="192"/>
      <c r="NQ504" s="192"/>
      <c r="NR504" s="192"/>
      <c r="NS504" s="192"/>
      <c r="NT504" s="192"/>
      <c r="NU504" s="192"/>
      <c r="NV504" s="192"/>
      <c r="NW504" s="192"/>
      <c r="NX504" s="192"/>
      <c r="NY504" s="192"/>
      <c r="NZ504" s="192"/>
      <c r="OA504" s="192"/>
      <c r="OB504" s="192"/>
      <c r="OC504" s="192"/>
      <c r="OD504" s="192"/>
      <c r="OE504" s="192"/>
      <c r="OF504" s="192"/>
      <c r="OG504" s="192"/>
      <c r="OH504" s="192"/>
      <c r="OI504" s="192"/>
      <c r="OJ504" s="192"/>
      <c r="OK504" s="192"/>
      <c r="OL504" s="192"/>
      <c r="OM504" s="192"/>
      <c r="ON504" s="192"/>
      <c r="OO504" s="192"/>
      <c r="OP504" s="192"/>
      <c r="OQ504" s="192"/>
      <c r="OR504" s="192"/>
      <c r="OS504" s="192"/>
      <c r="OT504" s="192"/>
      <c r="OU504" s="192"/>
      <c r="OV504" s="192"/>
      <c r="OW504" s="192"/>
      <c r="OX504" s="192"/>
      <c r="OY504" s="192"/>
      <c r="OZ504" s="192"/>
      <c r="PA504" s="192"/>
      <c r="PB504" s="192"/>
      <c r="PC504" s="192"/>
      <c r="PD504" s="192"/>
      <c r="PE504" s="192"/>
      <c r="PF504" s="192"/>
      <c r="PG504" s="192"/>
      <c r="PH504" s="192"/>
      <c r="PI504" s="192"/>
      <c r="PJ504" s="192"/>
      <c r="PK504" s="192"/>
      <c r="PL504" s="192"/>
      <c r="PM504" s="192"/>
      <c r="PN504" s="192"/>
      <c r="PO504" s="192"/>
      <c r="PP504" s="192"/>
      <c r="PQ504" s="192"/>
      <c r="PR504" s="192"/>
      <c r="PS504" s="192"/>
      <c r="PT504" s="192"/>
      <c r="PU504" s="192"/>
      <c r="PV504" s="192"/>
      <c r="PW504" s="192"/>
      <c r="PX504" s="192"/>
      <c r="PY504" s="192"/>
      <c r="PZ504" s="192"/>
      <c r="QA504" s="192"/>
      <c r="QB504" s="192"/>
      <c r="QC504" s="192"/>
      <c r="QD504" s="192"/>
      <c r="QE504" s="192"/>
      <c r="QF504" s="192"/>
      <c r="QG504" s="192"/>
      <c r="QH504" s="192"/>
      <c r="QI504" s="192"/>
      <c r="QJ504" s="192"/>
      <c r="QK504" s="192"/>
      <c r="QL504" s="192"/>
      <c r="QM504" s="192"/>
      <c r="QN504" s="192"/>
      <c r="QO504" s="192"/>
      <c r="QP504" s="192"/>
      <c r="QQ504" s="192"/>
      <c r="QR504" s="192"/>
      <c r="QS504" s="192"/>
      <c r="QT504" s="192"/>
      <c r="QU504" s="192"/>
      <c r="QV504" s="192"/>
      <c r="QW504" s="192"/>
      <c r="QX504" s="192"/>
      <c r="QY504" s="192"/>
      <c r="QZ504" s="192"/>
      <c r="RA504" s="192"/>
      <c r="RB504" s="192"/>
      <c r="RC504" s="192"/>
      <c r="RD504" s="192"/>
      <c r="RE504" s="192"/>
      <c r="RF504" s="192"/>
      <c r="RG504" s="192"/>
      <c r="RH504" s="192"/>
      <c r="RI504" s="192"/>
      <c r="RJ504" s="192"/>
      <c r="RK504" s="192"/>
      <c r="RL504" s="192"/>
      <c r="RM504" s="192"/>
      <c r="RN504" s="192"/>
      <c r="RO504" s="192"/>
      <c r="RP504" s="192"/>
      <c r="RQ504" s="192"/>
      <c r="RR504" s="192"/>
      <c r="RS504" s="192"/>
      <c r="RT504" s="192"/>
      <c r="RU504" s="192"/>
      <c r="RV504" s="192"/>
      <c r="RW504" s="192"/>
      <c r="RX504" s="192"/>
      <c r="RY504" s="192"/>
      <c r="RZ504" s="192"/>
      <c r="SA504" s="192"/>
      <c r="SB504" s="192"/>
      <c r="SC504" s="192"/>
      <c r="SD504" s="192"/>
      <c r="SE504" s="192"/>
      <c r="SF504" s="192"/>
      <c r="SG504" s="192"/>
      <c r="SH504" s="192"/>
      <c r="SI504" s="192"/>
      <c r="SJ504" s="192"/>
      <c r="SK504" s="192"/>
      <c r="SL504" s="192"/>
      <c r="SM504" s="192"/>
      <c r="SN504" s="192"/>
      <c r="SO504" s="192"/>
      <c r="SP504" s="192"/>
      <c r="SQ504" s="192"/>
      <c r="SR504" s="192"/>
      <c r="SS504" s="192"/>
      <c r="ST504" s="192"/>
      <c r="SU504" s="192"/>
      <c r="SV504" s="192"/>
      <c r="SW504" s="192"/>
      <c r="SX504" s="192"/>
      <c r="SY504" s="192"/>
      <c r="SZ504" s="192"/>
      <c r="TA504" s="192"/>
      <c r="TB504" s="192"/>
      <c r="TC504" s="192"/>
      <c r="TD504" s="192"/>
      <c r="TE504" s="192"/>
      <c r="TF504" s="192"/>
      <c r="TG504" s="192"/>
      <c r="TH504" s="192"/>
      <c r="TI504" s="192"/>
      <c r="TJ504" s="192"/>
      <c r="TK504" s="192"/>
      <c r="TL504" s="192"/>
      <c r="TM504" s="192"/>
      <c r="TN504" s="192"/>
      <c r="TO504" s="192"/>
      <c r="TP504" s="192"/>
      <c r="TQ504" s="192"/>
      <c r="TR504" s="192"/>
      <c r="TS504" s="192"/>
      <c r="TT504" s="192"/>
      <c r="TU504" s="192"/>
      <c r="TV504" s="192"/>
      <c r="TW504" s="192"/>
      <c r="TX504" s="192"/>
      <c r="TY504" s="192"/>
      <c r="TZ504" s="192"/>
      <c r="UA504" s="192"/>
      <c r="UB504" s="192"/>
      <c r="UC504" s="192"/>
      <c r="UD504" s="192"/>
      <c r="UE504" s="192"/>
      <c r="UF504" s="192"/>
      <c r="UG504" s="192"/>
      <c r="UH504" s="192"/>
      <c r="UI504" s="192"/>
      <c r="UJ504" s="192"/>
      <c r="UK504" s="192"/>
      <c r="UL504" s="192"/>
      <c r="UM504" s="192"/>
      <c r="UN504" s="192"/>
      <c r="UO504" s="192"/>
      <c r="UP504" s="192"/>
      <c r="UQ504" s="192"/>
      <c r="UR504" s="192"/>
      <c r="US504" s="192"/>
      <c r="UT504" s="192"/>
      <c r="UU504" s="192"/>
      <c r="UV504" s="192"/>
      <c r="UW504" s="192"/>
      <c r="UX504" s="192"/>
      <c r="UY504" s="192"/>
      <c r="UZ504" s="192"/>
      <c r="VA504" s="192"/>
      <c r="VB504" s="192"/>
      <c r="VC504" s="192"/>
      <c r="VD504" s="192"/>
      <c r="VE504" s="192"/>
      <c r="VF504" s="192"/>
      <c r="VG504" s="192"/>
      <c r="VH504" s="192"/>
      <c r="VI504" s="192"/>
      <c r="VJ504" s="192"/>
      <c r="VK504" s="192"/>
      <c r="VL504" s="192"/>
      <c r="VM504" s="192"/>
      <c r="VN504" s="192"/>
      <c r="VO504" s="192"/>
      <c r="VP504" s="192"/>
      <c r="VQ504" s="192"/>
      <c r="VR504" s="192"/>
      <c r="VS504" s="192"/>
      <c r="VT504" s="192"/>
      <c r="VU504" s="192"/>
      <c r="VV504" s="192"/>
      <c r="VW504" s="192"/>
      <c r="VX504" s="192"/>
      <c r="VY504" s="192"/>
      <c r="VZ504" s="192"/>
      <c r="WA504" s="192"/>
      <c r="WB504" s="192"/>
      <c r="WC504" s="192"/>
      <c r="WD504" s="192"/>
      <c r="WE504" s="192"/>
      <c r="WF504" s="192"/>
      <c r="WG504" s="192"/>
      <c r="WH504" s="192"/>
      <c r="WI504" s="192"/>
      <c r="WJ504" s="192"/>
      <c r="WK504" s="192"/>
      <c r="WL504" s="192"/>
      <c r="WM504" s="192"/>
      <c r="WN504" s="192"/>
      <c r="WO504" s="192"/>
      <c r="WP504" s="192"/>
      <c r="WQ504" s="192"/>
      <c r="WR504" s="192"/>
      <c r="WS504" s="192"/>
      <c r="WT504" s="192"/>
      <c r="WU504" s="192"/>
      <c r="WV504" s="192"/>
      <c r="WW504" s="192"/>
      <c r="WX504" s="192"/>
      <c r="WY504" s="192"/>
      <c r="WZ504" s="192"/>
      <c r="XA504" s="192"/>
      <c r="XB504" s="192"/>
      <c r="XC504" s="192"/>
      <c r="XD504" s="192"/>
      <c r="XE504" s="192"/>
      <c r="XF504" s="192"/>
      <c r="XG504" s="192"/>
    </row>
    <row r="505" spans="1:631" ht="15" hidden="1" customHeight="1" x14ac:dyDescent="0.25">
      <c r="A505" s="5" t="s">
        <v>2162</v>
      </c>
      <c r="B505" s="14" t="str">
        <f>VLOOKUP(TAB_SAIDA[[#This Row],[COD_2_SAIDA]],TAB_ESTOQUE[[Codigo]:[Descrição Tecnica]],6,FALSE)</f>
        <v>ANEL DE COBRE 18X24X1,5</v>
      </c>
      <c r="C505" s="14">
        <f>IFERROR(VLOOKUP(TAB_SAIDA[[#This Row],[COD_2_SAIDA]],TAB_ESTOQUE[[Codigo]:[Referência Tec]],7,FALSE),"")</f>
        <v>0</v>
      </c>
      <c r="D505" s="14" t="str">
        <f>VLOOKUP(TAB_SAIDA[[#This Row],[COD_2_SAIDA]],TAB_ESTOQUE[[Codigo]:[Endereço2]],12,FALSE)</f>
        <v>E1304</v>
      </c>
      <c r="E505" s="81">
        <f>SUM(TAB_SAIDA[[#This Row],[20/05/2019]:[00/00/00]])</f>
        <v>0</v>
      </c>
      <c r="F505" s="3"/>
    </row>
    <row r="506" spans="1:631" ht="15" hidden="1" customHeight="1" x14ac:dyDescent="0.25">
      <c r="A506" s="5" t="s">
        <v>2163</v>
      </c>
      <c r="B506" s="14" t="str">
        <f>VLOOKUP(TAB_SAIDA[[#This Row],[COD_2_SAIDA]],TAB_ESTOQUE[[Codigo]:[Descrição Tecnica]],6,FALSE)</f>
        <v>ANEL DE COBRE 45X36X2,5</v>
      </c>
      <c r="C506" s="14">
        <f>IFERROR(VLOOKUP(TAB_SAIDA[[#This Row],[COD_2_SAIDA]],TAB_ESTOQUE[[Codigo]:[Referência Tec]],7,FALSE),"")</f>
        <v>0</v>
      </c>
      <c r="D506" s="14" t="str">
        <f>VLOOKUP(TAB_SAIDA[[#This Row],[COD_2_SAIDA]],TAB_ESTOQUE[[Codigo]:[Endereço2]],12,FALSE)</f>
        <v>E1304</v>
      </c>
      <c r="E506" s="81">
        <f>SUM(TAB_SAIDA[[#This Row],[20/05/2019]:[00/00/00]])</f>
        <v>0</v>
      </c>
      <c r="F506" s="3"/>
    </row>
    <row r="507" spans="1:631" ht="15" hidden="1" customHeight="1" x14ac:dyDescent="0.25">
      <c r="A507" s="5" t="s">
        <v>2164</v>
      </c>
      <c r="B507" s="14" t="str">
        <f>VLOOKUP(TAB_SAIDA[[#This Row],[COD_2_SAIDA]],TAB_ESTOQUE[[Codigo]:[Descrição Tecnica]],6,FALSE)</f>
        <v>ANEL DE COBRE 44X53X2</v>
      </c>
      <c r="C507" s="14">
        <f>IFERROR(VLOOKUP(TAB_SAIDA[[#This Row],[COD_2_SAIDA]],TAB_ESTOQUE[[Codigo]:[Referência Tec]],7,FALSE),"")</f>
        <v>0</v>
      </c>
      <c r="D507" s="14" t="str">
        <f>VLOOKUP(TAB_SAIDA[[#This Row],[COD_2_SAIDA]],TAB_ESTOQUE[[Codigo]:[Endereço2]],12,FALSE)</f>
        <v>E1304</v>
      </c>
      <c r="E507" s="81">
        <f>SUM(TAB_SAIDA[[#This Row],[20/05/2019]:[00/00/00]])</f>
        <v>0</v>
      </c>
      <c r="F507" s="3"/>
    </row>
    <row r="508" spans="1:631" ht="15" hidden="1" customHeight="1" x14ac:dyDescent="0.25">
      <c r="A508" s="5" t="s">
        <v>2165</v>
      </c>
      <c r="B508" s="14" t="str">
        <f>VLOOKUP(TAB_SAIDA[[#This Row],[COD_2_SAIDA]],TAB_ESTOQUE[[Codigo]:[Descrição Tecnica]],6,FALSE)</f>
        <v>ANEL DE COBRE 31X21X4</v>
      </c>
      <c r="C508" s="14">
        <f>IFERROR(VLOOKUP(TAB_SAIDA[[#This Row],[COD_2_SAIDA]],TAB_ESTOQUE[[Codigo]:[Referência Tec]],7,FALSE),"")</f>
        <v>0</v>
      </c>
      <c r="D508" s="14" t="str">
        <f>VLOOKUP(TAB_SAIDA[[#This Row],[COD_2_SAIDA]],TAB_ESTOQUE[[Codigo]:[Endereço2]],12,FALSE)</f>
        <v>E1304</v>
      </c>
      <c r="E508" s="81">
        <f>SUM(TAB_SAIDA[[#This Row],[20/05/2019]:[00/00/00]])</f>
        <v>0</v>
      </c>
      <c r="F508" s="3"/>
    </row>
    <row r="509" spans="1:631" ht="15" hidden="1" customHeight="1" x14ac:dyDescent="0.25">
      <c r="A509" s="5" t="s">
        <v>2166</v>
      </c>
      <c r="B509" s="14" t="str">
        <f>VLOOKUP(TAB_SAIDA[[#This Row],[COD_2_SAIDA]],TAB_ESTOQUE[[Codigo]:[Descrição Tecnica]],6,FALSE)</f>
        <v>RETENTOR 30X45X7</v>
      </c>
      <c r="C509" s="14">
        <f>IFERROR(VLOOKUP(TAB_SAIDA[[#This Row],[COD_2_SAIDA]],TAB_ESTOQUE[[Codigo]:[Referência Tec]],7,FALSE),"")</f>
        <v>0</v>
      </c>
      <c r="D509" s="14" t="str">
        <f>VLOOKUP(TAB_SAIDA[[#This Row],[COD_2_SAIDA]],TAB_ESTOQUE[[Codigo]:[Endereço2]],12,FALSE)</f>
        <v>E1203</v>
      </c>
      <c r="E509" s="81">
        <f>SUM(TAB_SAIDA[[#This Row],[20/05/2019]:[00/00/00]])</f>
        <v>0</v>
      </c>
      <c r="F509" s="3"/>
    </row>
    <row r="510" spans="1:631" ht="15" hidden="1" customHeight="1" x14ac:dyDescent="0.25">
      <c r="A510" s="5" t="s">
        <v>2167</v>
      </c>
      <c r="B510" s="14" t="str">
        <f>VLOOKUP(TAB_SAIDA[[#This Row],[COD_2_SAIDA]],TAB_ESTOQUE[[Codigo]:[Descrição Tecnica]],6,FALSE)</f>
        <v>RETENTOR 58X75X12</v>
      </c>
      <c r="C510" s="14">
        <f>IFERROR(VLOOKUP(TAB_SAIDA[[#This Row],[COD_2_SAIDA]],TAB_ESTOQUE[[Codigo]:[Referência Tec]],7,FALSE),"")</f>
        <v>0</v>
      </c>
      <c r="D510" s="14" t="str">
        <f>VLOOKUP(TAB_SAIDA[[#This Row],[COD_2_SAIDA]],TAB_ESTOQUE[[Codigo]:[Endereço2]],12,FALSE)</f>
        <v>E1204</v>
      </c>
      <c r="E510" s="81">
        <f>SUM(TAB_SAIDA[[#This Row],[20/05/2019]:[00/00/00]])</f>
        <v>0</v>
      </c>
      <c r="F510" s="3"/>
    </row>
    <row r="511" spans="1:631" ht="15" hidden="1" customHeight="1" x14ac:dyDescent="0.25">
      <c r="A511" s="5" t="s">
        <v>2168</v>
      </c>
      <c r="B511" s="14" t="str">
        <f>VLOOKUP(TAB_SAIDA[[#This Row],[COD_2_SAIDA]],TAB_ESTOQUE[[Codigo]:[Descrição Tecnica]],6,FALSE)</f>
        <v>ANEL ELASTICO PARA EIXO DE 16,5MM</v>
      </c>
      <c r="C511" s="14">
        <f>IFERROR(VLOOKUP(TAB_SAIDA[[#This Row],[COD_2_SAIDA]],TAB_ESTOQUE[[Codigo]:[Referência Tec]],7,FALSE),"")</f>
        <v>0</v>
      </c>
      <c r="D511" s="14" t="str">
        <f>VLOOKUP(TAB_SAIDA[[#This Row],[COD_2_SAIDA]],TAB_ESTOQUE[[Codigo]:[Endereço2]],12,FALSE)</f>
        <v>E1304</v>
      </c>
      <c r="E511" s="81">
        <f>SUM(TAB_SAIDA[[#This Row],[20/05/2019]:[00/00/00]])</f>
        <v>0</v>
      </c>
      <c r="F511" s="3"/>
    </row>
    <row r="512" spans="1:631" ht="15" hidden="1" customHeight="1" x14ac:dyDescent="0.25">
      <c r="A512" s="5" t="s">
        <v>2169</v>
      </c>
      <c r="B512" s="14" t="str">
        <f>VLOOKUP(TAB_SAIDA[[#This Row],[COD_2_SAIDA]],TAB_ESTOQUE[[Codigo]:[Descrição Tecnica]],6,FALSE)</f>
        <v>ANEL ELASTICO PARA EIXO DE 67,23MM</v>
      </c>
      <c r="C512" s="14">
        <f>IFERROR(VLOOKUP(TAB_SAIDA[[#This Row],[COD_2_SAIDA]],TAB_ESTOQUE[[Codigo]:[Referência Tec]],7,FALSE),"")</f>
        <v>0</v>
      </c>
      <c r="D512" s="14" t="str">
        <f>VLOOKUP(TAB_SAIDA[[#This Row],[COD_2_SAIDA]],TAB_ESTOQUE[[Codigo]:[Endereço2]],12,FALSE)</f>
        <v>E1304</v>
      </c>
      <c r="E512" s="81">
        <f>SUM(TAB_SAIDA[[#This Row],[20/05/2019]:[00/00/00]])</f>
        <v>0</v>
      </c>
      <c r="F512" s="3"/>
    </row>
    <row r="513" spans="1:631" ht="15" hidden="1" customHeight="1" x14ac:dyDescent="0.25">
      <c r="A513" s="5" t="s">
        <v>2170</v>
      </c>
      <c r="B513" s="14" t="str">
        <f>VLOOKUP(TAB_SAIDA[[#This Row],[COD_2_SAIDA]],TAB_ESTOQUE[[Codigo]:[Descrição Tecnica]],6,FALSE)</f>
        <v>ANEL ELASTICO PARA EIXO 60,18MM</v>
      </c>
      <c r="C513" s="14">
        <f>IFERROR(VLOOKUP(TAB_SAIDA[[#This Row],[COD_2_SAIDA]],TAB_ESTOQUE[[Codigo]:[Referência Tec]],7,FALSE),"")</f>
        <v>0</v>
      </c>
      <c r="D513" s="14" t="str">
        <f>VLOOKUP(TAB_SAIDA[[#This Row],[COD_2_SAIDA]],TAB_ESTOQUE[[Codigo]:[Endereço2]],12,FALSE)</f>
        <v>E1304</v>
      </c>
      <c r="E513" s="81">
        <f>SUM(TAB_SAIDA[[#This Row],[20/05/2019]:[00/00/00]])</f>
        <v>0</v>
      </c>
      <c r="F513" s="3"/>
    </row>
    <row r="514" spans="1:631" ht="15" hidden="1" customHeight="1" x14ac:dyDescent="0.25">
      <c r="A514" s="5" t="s">
        <v>2171</v>
      </c>
      <c r="B514" s="14" t="str">
        <f>VLOOKUP(TAB_SAIDA[[#This Row],[COD_2_SAIDA]],TAB_ESTOQUE[[Codigo]:[Descrição Tecnica]],6,FALSE)</f>
        <v>ANEL ELASTICO PARA EIXO 36,21</v>
      </c>
      <c r="C514" s="14">
        <f>IFERROR(VLOOKUP(TAB_SAIDA[[#This Row],[COD_2_SAIDA]],TAB_ESTOQUE[[Codigo]:[Referência Tec]],7,FALSE),"")</f>
        <v>0</v>
      </c>
      <c r="D514" s="14" t="str">
        <f>VLOOKUP(TAB_SAIDA[[#This Row],[COD_2_SAIDA]],TAB_ESTOQUE[[Codigo]:[Endereço2]],12,FALSE)</f>
        <v>E1304</v>
      </c>
      <c r="E514" s="81">
        <f>SUM(TAB_SAIDA[[#This Row],[20/05/2019]:[00/00/00]])</f>
        <v>0</v>
      </c>
      <c r="F514" s="3"/>
    </row>
    <row r="515" spans="1:631" ht="15" hidden="1" customHeight="1" x14ac:dyDescent="0.25">
      <c r="A515" s="5" t="s">
        <v>2172</v>
      </c>
      <c r="B515" s="14" t="str">
        <f>VLOOKUP(TAB_SAIDA[[#This Row],[COD_2_SAIDA]],TAB_ESTOQUE[[Codigo]:[Descrição Tecnica]],6,FALSE)</f>
        <v>RETENTOR 15X30X7</v>
      </c>
      <c r="C515" s="14">
        <f>IFERROR(VLOOKUP(TAB_SAIDA[[#This Row],[COD_2_SAIDA]],TAB_ESTOQUE[[Codigo]:[Referência Tec]],7,FALSE),"")</f>
        <v>0</v>
      </c>
      <c r="D515" s="14" t="str">
        <f>VLOOKUP(TAB_SAIDA[[#This Row],[COD_2_SAIDA]],TAB_ESTOQUE[[Codigo]:[Endereço2]],12,FALSE)</f>
        <v>E1204</v>
      </c>
      <c r="E515" s="81">
        <f>SUM(TAB_SAIDA[[#This Row],[20/05/2019]:[00/00/00]])</f>
        <v>0</v>
      </c>
      <c r="F515" s="3"/>
    </row>
    <row r="516" spans="1:631" ht="15" hidden="1" customHeight="1" x14ac:dyDescent="0.25">
      <c r="A516" s="5" t="s">
        <v>2173</v>
      </c>
      <c r="B516" s="14" t="str">
        <f>VLOOKUP(TAB_SAIDA[[#This Row],[COD_2_SAIDA]],TAB_ESTOQUE[[Codigo]:[Descrição Tecnica]],6,FALSE)</f>
        <v>RETENTOR 40X55X8</v>
      </c>
      <c r="C516" s="14">
        <f>IFERROR(VLOOKUP(TAB_SAIDA[[#This Row],[COD_2_SAIDA]],TAB_ESTOQUE[[Codigo]:[Referência Tec]],7,FALSE),"")</f>
        <v>0</v>
      </c>
      <c r="D516" s="14" t="str">
        <f>VLOOKUP(TAB_SAIDA[[#This Row],[COD_2_SAIDA]],TAB_ESTOQUE[[Codigo]:[Endereço2]],12,FALSE)</f>
        <v>E1204</v>
      </c>
      <c r="E516" s="81">
        <f>SUM(TAB_SAIDA[[#This Row],[20/05/2019]:[00/00/00]])</f>
        <v>0</v>
      </c>
      <c r="F516" s="3"/>
    </row>
    <row r="517" spans="1:631" s="186" customFormat="1" ht="15" hidden="1" customHeight="1" x14ac:dyDescent="0.25">
      <c r="A517" s="194" t="s">
        <v>2174</v>
      </c>
      <c r="B517" s="195" t="str">
        <f>VLOOKUP(TAB_SAIDA[[#This Row],[COD_2_SAIDA]],TAB_ESTOQUE[[Codigo]:[Descrição Tecnica]],6,FALSE)</f>
        <v>RETENTOR 45X65X8</v>
      </c>
      <c r="C517" s="195">
        <f>IFERROR(VLOOKUP(TAB_SAIDA[[#This Row],[COD_2_SAIDA]],TAB_ESTOQUE[[Codigo]:[Referência Tec]],7,FALSE),"")</f>
        <v>0</v>
      </c>
      <c r="D517" s="195" t="str">
        <f>VLOOKUP(TAB_SAIDA[[#This Row],[COD_2_SAIDA]],TAB_ESTOQUE[[Codigo]:[Endereço2]],12,FALSE)</f>
        <v>E1204</v>
      </c>
      <c r="E517" s="196">
        <f>SUM(TAB_SAIDA[[#This Row],[20/05/2019]:[00/00/00]])</f>
        <v>0</v>
      </c>
      <c r="F517" s="197"/>
      <c r="G517" s="197"/>
      <c r="H517" s="197"/>
      <c r="I517" s="197"/>
      <c r="J517" s="197"/>
      <c r="K517" s="197"/>
      <c r="L517" s="197"/>
      <c r="M517" s="197"/>
      <c r="N517" s="197"/>
      <c r="O517" s="197"/>
      <c r="P517" s="197"/>
      <c r="Q517" s="197"/>
      <c r="R517" s="197"/>
      <c r="S517" s="197"/>
      <c r="T517" s="197"/>
      <c r="U517" s="197"/>
      <c r="V517" s="197"/>
      <c r="W517" s="197"/>
      <c r="X517" s="197"/>
      <c r="Y517" s="197"/>
      <c r="Z517" s="197"/>
      <c r="AA517" s="197"/>
      <c r="AB517" s="197"/>
      <c r="AC517" s="197"/>
      <c r="AD517" s="197"/>
      <c r="AE517" s="197"/>
      <c r="AF517" s="197"/>
      <c r="AG517" s="197"/>
      <c r="AH517" s="197"/>
      <c r="AI517" s="197"/>
      <c r="AJ517" s="197"/>
      <c r="AK517" s="197"/>
      <c r="AL517" s="197"/>
      <c r="AM517" s="197"/>
      <c r="AN517" s="197"/>
      <c r="AO517" s="197"/>
      <c r="AP517" s="197"/>
      <c r="AQ517" s="197"/>
      <c r="AR517" s="197"/>
      <c r="AS517" s="197"/>
      <c r="AT517" s="197"/>
      <c r="AU517" s="197"/>
      <c r="AV517" s="197"/>
      <c r="AW517" s="197"/>
      <c r="AX517" s="197"/>
      <c r="AY517" s="197"/>
      <c r="AZ517" s="197"/>
      <c r="BA517" s="197"/>
      <c r="BB517" s="197"/>
      <c r="BC517" s="197"/>
      <c r="BD517" s="197"/>
      <c r="BE517" s="197"/>
      <c r="BF517" s="197"/>
      <c r="BG517" s="197"/>
      <c r="BH517" s="198"/>
      <c r="BI517" s="197"/>
      <c r="BJ517" s="197"/>
      <c r="BK517" s="197"/>
      <c r="BL517" s="197"/>
      <c r="BM517" s="197"/>
      <c r="BN517" s="197"/>
      <c r="BO517" s="197"/>
      <c r="BP517" s="197"/>
      <c r="BQ517" s="197"/>
      <c r="BR517" s="197"/>
      <c r="BS517" s="197"/>
      <c r="BT517" s="197"/>
      <c r="BU517" s="197"/>
      <c r="BV517" s="197"/>
      <c r="BW517" s="197"/>
      <c r="BX517" s="197"/>
      <c r="BY517" s="197"/>
      <c r="BZ517" s="197"/>
      <c r="CA517" s="197"/>
      <c r="CB517" s="197"/>
      <c r="CC517" s="197"/>
      <c r="CD517" s="197"/>
      <c r="CE517" s="197"/>
      <c r="CF517" s="197"/>
      <c r="CG517" s="197"/>
      <c r="CH517" s="197"/>
      <c r="CI517" s="197"/>
      <c r="CJ517" s="197"/>
      <c r="CK517" s="197"/>
      <c r="CL517" s="197"/>
      <c r="CM517" s="197"/>
      <c r="CN517" s="197"/>
      <c r="CO517" s="197"/>
      <c r="CP517" s="197"/>
      <c r="CQ517" s="197"/>
      <c r="CR517" s="197"/>
      <c r="CS517" s="197"/>
      <c r="CT517" s="197"/>
      <c r="CU517" s="197"/>
      <c r="CV517" s="197"/>
      <c r="CW517" s="197"/>
      <c r="CX517" s="197"/>
      <c r="CY517" s="197"/>
      <c r="CZ517" s="197"/>
      <c r="DA517" s="197"/>
      <c r="DB517" s="197"/>
      <c r="DC517" s="197"/>
      <c r="DD517" s="197"/>
      <c r="DE517" s="197"/>
      <c r="DF517" s="197"/>
      <c r="DG517" s="197"/>
      <c r="DH517" s="197"/>
      <c r="DI517" s="197"/>
      <c r="DJ517" s="197"/>
      <c r="DK517" s="197"/>
      <c r="DL517" s="197"/>
      <c r="DM517" s="197"/>
      <c r="DN517" s="197"/>
      <c r="DO517" s="197"/>
      <c r="DP517" s="197"/>
      <c r="DQ517" s="197"/>
      <c r="DR517" s="197"/>
      <c r="DS517" s="197"/>
      <c r="DT517" s="197"/>
      <c r="DU517" s="197"/>
      <c r="DV517" s="197"/>
      <c r="DW517" s="197"/>
      <c r="DX517" s="197"/>
      <c r="DY517" s="197"/>
      <c r="DZ517" s="197"/>
      <c r="EA517" s="197"/>
      <c r="EB517" s="197"/>
      <c r="EC517" s="197"/>
      <c r="ED517" s="197"/>
      <c r="EE517" s="197"/>
      <c r="EF517" s="197"/>
      <c r="EG517" s="197"/>
      <c r="EH517" s="197"/>
      <c r="EI517" s="197"/>
      <c r="EJ517" s="197"/>
      <c r="EK517" s="197"/>
      <c r="EL517" s="197"/>
      <c r="EM517" s="197"/>
      <c r="EN517" s="197"/>
      <c r="EO517" s="197"/>
      <c r="EP517" s="197"/>
      <c r="EQ517" s="197"/>
      <c r="ER517" s="197"/>
      <c r="ES517" s="197"/>
      <c r="ET517" s="197"/>
      <c r="EU517" s="197"/>
      <c r="EV517" s="197"/>
      <c r="EW517" s="197"/>
      <c r="EX517" s="197"/>
      <c r="EY517" s="197"/>
      <c r="EZ517" s="197"/>
      <c r="FA517" s="197"/>
      <c r="FB517" s="197"/>
      <c r="FC517" s="197"/>
      <c r="FD517" s="197"/>
      <c r="FE517" s="197"/>
      <c r="FF517" s="197"/>
      <c r="FG517" s="197"/>
      <c r="FH517" s="197"/>
      <c r="FI517" s="197"/>
      <c r="FJ517" s="197"/>
      <c r="FK517" s="197"/>
      <c r="FL517" s="197"/>
      <c r="FM517" s="197"/>
      <c r="FN517" s="197"/>
      <c r="FO517" s="197"/>
      <c r="FP517" s="197"/>
      <c r="FQ517" s="197"/>
      <c r="FR517" s="197"/>
      <c r="FS517" s="197"/>
      <c r="FT517" s="197"/>
      <c r="FU517" s="197"/>
      <c r="FV517" s="197"/>
      <c r="FW517" s="197"/>
      <c r="FX517" s="197"/>
      <c r="FY517" s="197"/>
      <c r="FZ517" s="197"/>
      <c r="GA517" s="197"/>
      <c r="GB517" s="197"/>
      <c r="GC517" s="197"/>
      <c r="GD517" s="197"/>
      <c r="GE517" s="197"/>
      <c r="GF517" s="197"/>
      <c r="GG517" s="197"/>
      <c r="GH517" s="197"/>
      <c r="GI517" s="197"/>
      <c r="GJ517" s="197"/>
      <c r="GK517" s="197"/>
      <c r="GL517" s="197"/>
      <c r="GM517" s="197"/>
      <c r="GN517" s="197"/>
      <c r="GO517" s="197"/>
      <c r="GP517" s="197"/>
      <c r="GQ517" s="197"/>
      <c r="GR517" s="197"/>
      <c r="GS517" s="197"/>
      <c r="GT517" s="197"/>
      <c r="GU517" s="197"/>
      <c r="GV517" s="197"/>
      <c r="GW517" s="197"/>
      <c r="GX517" s="197"/>
      <c r="GY517" s="197"/>
      <c r="GZ517" s="197"/>
      <c r="HA517" s="197"/>
      <c r="HB517" s="197"/>
      <c r="HC517" s="197"/>
      <c r="HD517" s="197"/>
      <c r="HE517" s="197"/>
      <c r="HF517" s="197"/>
      <c r="HG517" s="197"/>
      <c r="HH517" s="197"/>
      <c r="HI517" s="197"/>
      <c r="HJ517" s="197"/>
      <c r="HK517" s="197"/>
      <c r="HL517" s="197"/>
      <c r="HM517" s="197"/>
      <c r="HN517" s="197"/>
      <c r="HO517" s="197"/>
      <c r="HP517" s="197"/>
      <c r="HQ517" s="197"/>
      <c r="HR517" s="197"/>
      <c r="HS517" s="197"/>
      <c r="HT517" s="197"/>
      <c r="HU517" s="197"/>
      <c r="HV517" s="197"/>
      <c r="HW517" s="197"/>
      <c r="HX517" s="197"/>
      <c r="HY517" s="197"/>
      <c r="HZ517" s="197"/>
      <c r="IA517" s="197"/>
      <c r="IB517" s="197"/>
      <c r="IC517" s="197"/>
      <c r="ID517" s="197"/>
      <c r="IE517" s="197"/>
      <c r="IF517" s="197"/>
      <c r="IG517" s="197"/>
      <c r="IH517" s="197"/>
      <c r="II517" s="197"/>
      <c r="IJ517" s="197"/>
      <c r="IK517" s="197"/>
      <c r="IL517" s="197"/>
      <c r="IM517" s="197"/>
      <c r="IN517" s="197"/>
      <c r="IO517" s="197"/>
      <c r="IP517" s="197"/>
      <c r="IQ517" s="197"/>
      <c r="IR517" s="197"/>
      <c r="IS517" s="197"/>
      <c r="IT517" s="197"/>
      <c r="IU517" s="197"/>
      <c r="IV517" s="197"/>
      <c r="IW517" s="197"/>
      <c r="IX517" s="197"/>
      <c r="IY517" s="197"/>
      <c r="IZ517" s="197"/>
      <c r="JA517" s="197"/>
      <c r="JB517" s="197"/>
      <c r="JC517" s="197"/>
      <c r="JD517" s="197"/>
      <c r="JE517" s="197"/>
      <c r="JF517" s="197"/>
      <c r="JG517" s="197"/>
      <c r="JH517" s="197"/>
      <c r="JI517" s="197"/>
      <c r="JJ517" s="197"/>
      <c r="JK517" s="197"/>
      <c r="JL517" s="197"/>
      <c r="JM517" s="197"/>
      <c r="JN517" s="197"/>
      <c r="JO517" s="197"/>
      <c r="JP517" s="197"/>
      <c r="JQ517" s="197"/>
      <c r="JR517" s="197"/>
      <c r="JS517" s="197"/>
      <c r="JT517" s="197"/>
      <c r="JU517" s="197"/>
      <c r="JV517" s="197"/>
      <c r="JW517" s="197"/>
      <c r="JX517" s="197"/>
      <c r="JY517" s="197"/>
      <c r="JZ517" s="197"/>
      <c r="KA517" s="197"/>
      <c r="KB517" s="197"/>
      <c r="KC517" s="197"/>
      <c r="KD517" s="197"/>
      <c r="KE517" s="197"/>
      <c r="KF517" s="197"/>
      <c r="KG517" s="197"/>
      <c r="KH517" s="197"/>
      <c r="KI517" s="197"/>
      <c r="KJ517" s="197"/>
      <c r="KK517" s="197"/>
      <c r="KL517" s="197"/>
      <c r="KM517" s="197"/>
      <c r="KN517" s="197"/>
      <c r="KO517" s="197"/>
      <c r="KP517" s="197"/>
      <c r="KQ517" s="197"/>
      <c r="KR517" s="197"/>
      <c r="KS517" s="197"/>
      <c r="KT517" s="197"/>
      <c r="KU517" s="197"/>
      <c r="KV517" s="197"/>
      <c r="KW517" s="197"/>
      <c r="KX517" s="197"/>
      <c r="KY517" s="197"/>
      <c r="KZ517" s="197"/>
      <c r="LA517" s="197"/>
      <c r="LB517" s="197"/>
      <c r="LC517" s="197"/>
      <c r="LD517" s="197"/>
      <c r="LE517" s="197"/>
      <c r="LF517" s="197"/>
      <c r="LG517" s="197"/>
      <c r="LH517" s="197"/>
      <c r="LI517" s="197"/>
      <c r="LJ517" s="197"/>
      <c r="LK517" s="197"/>
      <c r="LL517" s="197"/>
      <c r="LM517" s="197"/>
      <c r="LN517" s="197"/>
      <c r="LO517" s="197"/>
      <c r="LP517" s="197"/>
      <c r="LQ517" s="197"/>
      <c r="LR517" s="197"/>
      <c r="LS517" s="197"/>
      <c r="LT517" s="197"/>
      <c r="LU517" s="197"/>
      <c r="LV517" s="197"/>
      <c r="LW517" s="197"/>
      <c r="LX517" s="197"/>
      <c r="LY517" s="197"/>
      <c r="LZ517" s="197"/>
      <c r="MA517" s="197"/>
      <c r="MB517" s="197"/>
      <c r="MC517" s="197"/>
      <c r="MD517" s="197"/>
      <c r="ME517" s="197"/>
      <c r="MF517" s="197"/>
      <c r="MG517" s="197"/>
      <c r="MH517" s="197"/>
      <c r="MI517" s="197"/>
      <c r="MJ517" s="197"/>
      <c r="MK517" s="197"/>
      <c r="ML517" s="197"/>
      <c r="MM517" s="197"/>
      <c r="MN517" s="197"/>
      <c r="MO517" s="197"/>
      <c r="MP517" s="197"/>
      <c r="MQ517" s="197"/>
      <c r="MR517" s="197"/>
      <c r="MS517" s="197"/>
      <c r="MT517" s="197"/>
      <c r="MU517" s="197"/>
      <c r="MV517" s="197"/>
      <c r="MW517" s="197"/>
      <c r="MX517" s="197"/>
      <c r="MY517" s="197"/>
      <c r="MZ517" s="197"/>
      <c r="NA517" s="197"/>
      <c r="NB517" s="197"/>
      <c r="NC517" s="197"/>
      <c r="ND517" s="197"/>
      <c r="NE517" s="197"/>
      <c r="NF517" s="197"/>
      <c r="NG517" s="197"/>
      <c r="NH517" s="197"/>
      <c r="NI517" s="197"/>
      <c r="NJ517" s="197"/>
      <c r="NK517" s="197"/>
      <c r="NL517" s="197"/>
      <c r="NM517" s="197"/>
      <c r="NN517" s="197"/>
      <c r="NO517" s="197"/>
      <c r="NP517" s="197"/>
      <c r="NQ517" s="197"/>
      <c r="NR517" s="197"/>
      <c r="NS517" s="197"/>
      <c r="NT517" s="197"/>
      <c r="NU517" s="197"/>
      <c r="NV517" s="197"/>
      <c r="NW517" s="197"/>
      <c r="NX517" s="197"/>
      <c r="NY517" s="197"/>
      <c r="NZ517" s="197"/>
      <c r="OA517" s="197"/>
      <c r="OB517" s="197"/>
      <c r="OC517" s="197"/>
      <c r="OD517" s="197"/>
      <c r="OE517" s="197"/>
      <c r="OF517" s="197"/>
      <c r="OG517" s="197"/>
      <c r="OH517" s="197"/>
      <c r="OI517" s="197"/>
      <c r="OJ517" s="197"/>
      <c r="OK517" s="197"/>
      <c r="OL517" s="197"/>
      <c r="OM517" s="197"/>
      <c r="ON517" s="197"/>
      <c r="OO517" s="197"/>
      <c r="OP517" s="197"/>
      <c r="OQ517" s="197"/>
      <c r="OR517" s="197"/>
      <c r="OS517" s="197"/>
      <c r="OT517" s="197"/>
      <c r="OU517" s="197"/>
      <c r="OV517" s="197"/>
      <c r="OW517" s="197"/>
      <c r="OX517" s="197"/>
      <c r="OY517" s="197"/>
      <c r="OZ517" s="197"/>
      <c r="PA517" s="197"/>
      <c r="PB517" s="197"/>
      <c r="PC517" s="197"/>
      <c r="PD517" s="197"/>
      <c r="PE517" s="197"/>
      <c r="PF517" s="197"/>
      <c r="PG517" s="197"/>
      <c r="PH517" s="197"/>
      <c r="PI517" s="197"/>
      <c r="PJ517" s="197"/>
      <c r="PK517" s="197"/>
      <c r="PL517" s="197"/>
      <c r="PM517" s="197"/>
      <c r="PN517" s="197"/>
      <c r="PO517" s="197"/>
      <c r="PP517" s="197"/>
      <c r="PQ517" s="197"/>
      <c r="PR517" s="197"/>
      <c r="PS517" s="197"/>
      <c r="PT517" s="197"/>
      <c r="PU517" s="197"/>
      <c r="PV517" s="197"/>
      <c r="PW517" s="197"/>
      <c r="PX517" s="197"/>
      <c r="PY517" s="197"/>
      <c r="PZ517" s="197"/>
      <c r="QA517" s="197"/>
      <c r="QB517" s="197"/>
      <c r="QC517" s="197"/>
      <c r="QD517" s="197"/>
      <c r="QE517" s="197"/>
      <c r="QF517" s="197"/>
      <c r="QG517" s="197"/>
      <c r="QH517" s="197"/>
      <c r="QI517" s="197"/>
      <c r="QJ517" s="197"/>
      <c r="QK517" s="197"/>
      <c r="QL517" s="197"/>
      <c r="QM517" s="197"/>
      <c r="QN517" s="197"/>
      <c r="QO517" s="197"/>
      <c r="QP517" s="197"/>
      <c r="QQ517" s="197"/>
      <c r="QR517" s="197"/>
      <c r="QS517" s="197"/>
      <c r="QT517" s="197"/>
      <c r="QU517" s="197"/>
      <c r="QV517" s="197"/>
      <c r="QW517" s="197"/>
      <c r="QX517" s="197"/>
      <c r="QY517" s="197"/>
      <c r="QZ517" s="197"/>
      <c r="RA517" s="197"/>
      <c r="RB517" s="197"/>
      <c r="RC517" s="197"/>
      <c r="RD517" s="197"/>
      <c r="RE517" s="197"/>
      <c r="RF517" s="197"/>
      <c r="RG517" s="197"/>
      <c r="RH517" s="197"/>
      <c r="RI517" s="197"/>
      <c r="RJ517" s="197"/>
      <c r="RK517" s="197"/>
      <c r="RL517" s="197"/>
      <c r="RM517" s="197"/>
      <c r="RN517" s="197"/>
      <c r="RO517" s="197"/>
      <c r="RP517" s="197"/>
      <c r="RQ517" s="197"/>
      <c r="RR517" s="197"/>
      <c r="RS517" s="197"/>
      <c r="RT517" s="197"/>
      <c r="RU517" s="197"/>
      <c r="RV517" s="197"/>
      <c r="RW517" s="197"/>
      <c r="RX517" s="197"/>
      <c r="RY517" s="197"/>
      <c r="RZ517" s="197"/>
      <c r="SA517" s="197"/>
      <c r="SB517" s="197"/>
      <c r="SC517" s="197"/>
      <c r="SD517" s="197"/>
      <c r="SE517" s="197"/>
      <c r="SF517" s="197"/>
      <c r="SG517" s="197"/>
      <c r="SH517" s="197"/>
      <c r="SI517" s="197"/>
      <c r="SJ517" s="197"/>
      <c r="SK517" s="197"/>
      <c r="SL517" s="197"/>
      <c r="SM517" s="197"/>
      <c r="SN517" s="197"/>
      <c r="SO517" s="197"/>
      <c r="SP517" s="197"/>
      <c r="SQ517" s="197"/>
      <c r="SR517" s="197"/>
      <c r="SS517" s="197"/>
      <c r="ST517" s="197"/>
      <c r="SU517" s="197"/>
      <c r="SV517" s="197"/>
      <c r="SW517" s="197"/>
      <c r="SX517" s="197"/>
      <c r="SY517" s="197"/>
      <c r="SZ517" s="197"/>
      <c r="TA517" s="197"/>
      <c r="TB517" s="197"/>
      <c r="TC517" s="197"/>
      <c r="TD517" s="197"/>
      <c r="TE517" s="197"/>
      <c r="TF517" s="197"/>
      <c r="TG517" s="197"/>
      <c r="TH517" s="197"/>
      <c r="TI517" s="197"/>
      <c r="TJ517" s="197"/>
      <c r="TK517" s="197"/>
      <c r="TL517" s="197"/>
      <c r="TM517" s="197"/>
      <c r="TN517" s="197"/>
      <c r="TO517" s="197"/>
      <c r="TP517" s="197"/>
      <c r="TQ517" s="197"/>
      <c r="TR517" s="197"/>
      <c r="TS517" s="197"/>
      <c r="TT517" s="197"/>
      <c r="TU517" s="197"/>
      <c r="TV517" s="197"/>
      <c r="TW517" s="197"/>
      <c r="TX517" s="197"/>
      <c r="TY517" s="197"/>
      <c r="TZ517" s="197"/>
      <c r="UA517" s="197"/>
      <c r="UB517" s="197"/>
      <c r="UC517" s="197"/>
      <c r="UD517" s="197"/>
      <c r="UE517" s="197"/>
      <c r="UF517" s="197"/>
      <c r="UG517" s="197"/>
      <c r="UH517" s="197"/>
      <c r="UI517" s="197"/>
      <c r="UJ517" s="197"/>
      <c r="UK517" s="197"/>
      <c r="UL517" s="197"/>
      <c r="UM517" s="197"/>
      <c r="UN517" s="197"/>
      <c r="UO517" s="197"/>
      <c r="UP517" s="197"/>
      <c r="UQ517" s="197"/>
      <c r="UR517" s="197"/>
      <c r="US517" s="197"/>
      <c r="UT517" s="197"/>
      <c r="UU517" s="197"/>
      <c r="UV517" s="197"/>
      <c r="UW517" s="197"/>
      <c r="UX517" s="197"/>
      <c r="UY517" s="197"/>
      <c r="UZ517" s="197"/>
      <c r="VA517" s="197"/>
      <c r="VB517" s="197"/>
      <c r="VC517" s="197"/>
      <c r="VD517" s="197"/>
      <c r="VE517" s="197"/>
      <c r="VF517" s="197"/>
      <c r="VG517" s="197"/>
      <c r="VH517" s="197"/>
      <c r="VI517" s="197"/>
      <c r="VJ517" s="197"/>
      <c r="VK517" s="197"/>
      <c r="VL517" s="197"/>
      <c r="VM517" s="197"/>
      <c r="VN517" s="197"/>
      <c r="VO517" s="197"/>
      <c r="VP517" s="197"/>
      <c r="VQ517" s="197"/>
      <c r="VR517" s="197"/>
      <c r="VS517" s="197"/>
      <c r="VT517" s="197"/>
      <c r="VU517" s="197"/>
      <c r="VV517" s="197"/>
      <c r="VW517" s="197"/>
      <c r="VX517" s="197"/>
      <c r="VY517" s="197"/>
      <c r="VZ517" s="197"/>
      <c r="WA517" s="197"/>
      <c r="WB517" s="197"/>
      <c r="WC517" s="197"/>
      <c r="WD517" s="197"/>
      <c r="WE517" s="197"/>
      <c r="WF517" s="197"/>
      <c r="WG517" s="197"/>
      <c r="WH517" s="197"/>
      <c r="WI517" s="197"/>
      <c r="WJ517" s="197"/>
      <c r="WK517" s="197"/>
      <c r="WL517" s="197"/>
      <c r="WM517" s="197"/>
      <c r="WN517" s="197"/>
      <c r="WO517" s="197"/>
      <c r="WP517" s="197"/>
      <c r="WQ517" s="197"/>
      <c r="WR517" s="197"/>
      <c r="WS517" s="197"/>
      <c r="WT517" s="197"/>
      <c r="WU517" s="197"/>
      <c r="WV517" s="197"/>
      <c r="WW517" s="197"/>
      <c r="WX517" s="197"/>
      <c r="WY517" s="197"/>
      <c r="WZ517" s="197"/>
      <c r="XA517" s="197"/>
      <c r="XB517" s="197"/>
      <c r="XC517" s="197"/>
      <c r="XD517" s="197"/>
      <c r="XE517" s="197"/>
      <c r="XF517" s="197"/>
      <c r="XG517" s="197"/>
    </row>
    <row r="518" spans="1:631" ht="15" hidden="1" customHeight="1" x14ac:dyDescent="0.25">
      <c r="A518" s="5" t="s">
        <v>2175</v>
      </c>
      <c r="B518" s="14" t="str">
        <f>VLOOKUP(TAB_SAIDA[[#This Row],[COD_2_SAIDA]],TAB_ESTOQUE[[Codigo]:[Descrição Tecnica]],6,FALSE)</f>
        <v>RETENTOR 35X52X7</v>
      </c>
      <c r="C518" s="14">
        <f>IFERROR(VLOOKUP(TAB_SAIDA[[#This Row],[COD_2_SAIDA]],TAB_ESTOQUE[[Codigo]:[Referência Tec]],7,FALSE),"")</f>
        <v>0</v>
      </c>
      <c r="D518" s="14" t="str">
        <f>VLOOKUP(TAB_SAIDA[[#This Row],[COD_2_SAIDA]],TAB_ESTOQUE[[Codigo]:[Endereço2]],12,FALSE)</f>
        <v>E1204</v>
      </c>
      <c r="E518" s="81">
        <f>SUM(TAB_SAIDA[[#This Row],[20/05/2019]:[00/00/00]])</f>
        <v>0</v>
      </c>
      <c r="F518" s="3"/>
    </row>
    <row r="519" spans="1:631" ht="15" hidden="1" customHeight="1" x14ac:dyDescent="0.25">
      <c r="A519" s="5" t="s">
        <v>2176</v>
      </c>
      <c r="B519" s="14" t="str">
        <f>VLOOKUP(TAB_SAIDA[[#This Row],[COD_2_SAIDA]],TAB_ESTOQUE[[Codigo]:[Descrição Tecnica]],6,FALSE)</f>
        <v>ORING DA AGULHA DO GICLE</v>
      </c>
      <c r="C519" s="14">
        <f>IFERROR(VLOOKUP(TAB_SAIDA[[#This Row],[COD_2_SAIDA]],TAB_ESTOQUE[[Codigo]:[Referência Tec]],7,FALSE),"")</f>
        <v>0</v>
      </c>
      <c r="D519" s="14" t="str">
        <f>VLOOKUP(TAB_SAIDA[[#This Row],[COD_2_SAIDA]],TAB_ESTOQUE[[Codigo]:[Endereço2]],12,FALSE)</f>
        <v>ARMARIO</v>
      </c>
      <c r="E519" s="81">
        <f>SUM(TAB_SAIDA[[#This Row],[20/05/2019]:[00/00/00]])</f>
        <v>0</v>
      </c>
      <c r="F519" s="3"/>
    </row>
    <row r="520" spans="1:631" ht="15" hidden="1" customHeight="1" x14ac:dyDescent="0.25">
      <c r="A520" s="5" t="s">
        <v>2177</v>
      </c>
      <c r="B520" s="14" t="str">
        <f>VLOOKUP(TAB_SAIDA[[#This Row],[COD_2_SAIDA]],TAB_ESTOQUE[[Codigo]:[Descrição Tecnica]],6,FALSE)</f>
        <v>VEDAÇÃO DOS GICLES 20X1</v>
      </c>
      <c r="C520" s="14">
        <f>IFERROR(VLOOKUP(TAB_SAIDA[[#This Row],[COD_2_SAIDA]],TAB_ESTOQUE[[Codigo]:[Referência Tec]],7,FALSE),"")</f>
        <v>0</v>
      </c>
      <c r="D520" s="14" t="str">
        <f>VLOOKUP(TAB_SAIDA[[#This Row],[COD_2_SAIDA]],TAB_ESTOQUE[[Codigo]:[Endereço2]],12,FALSE)</f>
        <v>ARMARIO</v>
      </c>
      <c r="E520" s="81">
        <f>SUM(TAB_SAIDA[[#This Row],[20/05/2019]:[00/00/00]])</f>
        <v>0</v>
      </c>
      <c r="F520" s="3"/>
    </row>
    <row r="521" spans="1:631" ht="15" hidden="1" customHeight="1" x14ac:dyDescent="0.25">
      <c r="A521" s="5" t="s">
        <v>2178</v>
      </c>
      <c r="B521" s="14" t="str">
        <f>VLOOKUP(TAB_SAIDA[[#This Row],[COD_2_SAIDA]],TAB_ESTOQUE[[Codigo]:[Descrição Tecnica]],6,FALSE)</f>
        <v>VEDAÇÃO DOS GICLES  TIPO 1</v>
      </c>
      <c r="C521" s="14">
        <f>IFERROR(VLOOKUP(TAB_SAIDA[[#This Row],[COD_2_SAIDA]],TAB_ESTOQUE[[Codigo]:[Referência Tec]],7,FALSE),"")</f>
        <v>0</v>
      </c>
      <c r="D521" s="14" t="str">
        <f>VLOOKUP(TAB_SAIDA[[#This Row],[COD_2_SAIDA]],TAB_ESTOQUE[[Codigo]:[Endereço2]],12,FALSE)</f>
        <v>ARMARIO</v>
      </c>
      <c r="E521" s="81">
        <f>SUM(TAB_SAIDA[[#This Row],[20/05/2019]:[00/00/00]])</f>
        <v>0</v>
      </c>
      <c r="F521" s="3"/>
    </row>
    <row r="522" spans="1:631" s="186" customFormat="1" ht="15" hidden="1" customHeight="1" x14ac:dyDescent="0.25">
      <c r="A522" s="189" t="s">
        <v>2179</v>
      </c>
      <c r="B522" s="201" t="str">
        <f>VLOOKUP(TAB_SAIDA[[#This Row],[COD_2_SAIDA]],TAB_ESTOQUE[[Codigo]:[Descrição Tecnica]],6,FALSE)</f>
        <v>VEDAÇÃO DOS GICLES  TIPO 2</v>
      </c>
      <c r="C522" s="201">
        <f>IFERROR(VLOOKUP(TAB_SAIDA[[#This Row],[COD_2_SAIDA]],TAB_ESTOQUE[[Codigo]:[Referência Tec]],7,FALSE),"")</f>
        <v>0</v>
      </c>
      <c r="D522" s="201" t="str">
        <f>VLOOKUP(TAB_SAIDA[[#This Row],[COD_2_SAIDA]],TAB_ESTOQUE[[Codigo]:[Endereço2]],12,FALSE)</f>
        <v>ARMARIO</v>
      </c>
      <c r="E522" s="191">
        <f>SUM(TAB_SAIDA[[#This Row],[20/05/2019]:[00/00/00]])</f>
        <v>0</v>
      </c>
      <c r="F522" s="192"/>
      <c r="G522" s="192"/>
      <c r="H522" s="192"/>
      <c r="I522" s="192"/>
      <c r="J522" s="192"/>
      <c r="K522" s="192"/>
      <c r="L522" s="192"/>
      <c r="M522" s="192"/>
      <c r="N522" s="192"/>
      <c r="O522" s="192"/>
      <c r="P522" s="192"/>
      <c r="Q522" s="192"/>
      <c r="R522" s="192"/>
      <c r="S522" s="192"/>
      <c r="T522" s="192"/>
      <c r="U522" s="192"/>
      <c r="V522" s="192"/>
      <c r="W522" s="192"/>
      <c r="X522" s="192"/>
      <c r="Y522" s="192"/>
      <c r="Z522" s="192"/>
      <c r="AA522" s="192"/>
      <c r="AB522" s="192"/>
      <c r="AC522" s="192"/>
      <c r="AD522" s="192"/>
      <c r="AE522" s="192"/>
      <c r="AF522" s="192"/>
      <c r="AG522" s="192"/>
      <c r="AH522" s="192"/>
      <c r="AI522" s="192"/>
      <c r="AJ522" s="192"/>
      <c r="AK522" s="192"/>
      <c r="AL522" s="192"/>
      <c r="AM522" s="192"/>
      <c r="AN522" s="192"/>
      <c r="AO522" s="192"/>
      <c r="AP522" s="192"/>
      <c r="AQ522" s="192"/>
      <c r="AR522" s="192"/>
      <c r="AS522" s="192"/>
      <c r="AT522" s="192"/>
      <c r="AU522" s="192"/>
      <c r="AV522" s="192"/>
      <c r="AW522" s="192"/>
      <c r="AX522" s="192"/>
      <c r="AY522" s="192"/>
      <c r="AZ522" s="192"/>
      <c r="BA522" s="192"/>
      <c r="BB522" s="192"/>
      <c r="BC522" s="192"/>
      <c r="BD522" s="192"/>
      <c r="BE522" s="192"/>
      <c r="BF522" s="192"/>
      <c r="BG522" s="192"/>
      <c r="BH522" s="193"/>
      <c r="BI522" s="192"/>
      <c r="BJ522" s="192"/>
      <c r="BK522" s="192"/>
      <c r="BL522" s="192"/>
      <c r="BM522" s="192"/>
      <c r="BN522" s="192"/>
      <c r="BO522" s="192"/>
      <c r="BP522" s="192"/>
      <c r="BQ522" s="192"/>
      <c r="BR522" s="192"/>
      <c r="BS522" s="192"/>
      <c r="BT522" s="192"/>
      <c r="BU522" s="192"/>
      <c r="BV522" s="192"/>
      <c r="BW522" s="192"/>
      <c r="BX522" s="192"/>
      <c r="BY522" s="192"/>
      <c r="BZ522" s="192"/>
      <c r="CA522" s="192"/>
      <c r="CB522" s="192"/>
      <c r="CC522" s="192"/>
      <c r="CD522" s="192"/>
      <c r="CE522" s="192"/>
      <c r="CF522" s="192"/>
      <c r="CG522" s="192"/>
      <c r="CH522" s="192"/>
      <c r="CI522" s="192"/>
      <c r="CJ522" s="192"/>
      <c r="CK522" s="192"/>
      <c r="CL522" s="192"/>
      <c r="CM522" s="192"/>
      <c r="CN522" s="192"/>
      <c r="CO522" s="192"/>
      <c r="CP522" s="192"/>
      <c r="CQ522" s="192"/>
      <c r="CR522" s="192"/>
      <c r="CS522" s="192"/>
      <c r="CT522" s="192"/>
      <c r="CU522" s="192"/>
      <c r="CV522" s="192"/>
      <c r="CW522" s="192"/>
      <c r="CX522" s="192"/>
      <c r="CY522" s="192"/>
      <c r="CZ522" s="192"/>
      <c r="DA522" s="192"/>
      <c r="DB522" s="192"/>
      <c r="DC522" s="192"/>
      <c r="DD522" s="192"/>
      <c r="DE522" s="192"/>
      <c r="DF522" s="192"/>
      <c r="DG522" s="192"/>
      <c r="DH522" s="192"/>
      <c r="DI522" s="192"/>
      <c r="DJ522" s="192"/>
      <c r="DK522" s="192"/>
      <c r="DL522" s="192"/>
      <c r="DM522" s="192"/>
      <c r="DN522" s="192"/>
      <c r="DO522" s="192"/>
      <c r="DP522" s="192"/>
      <c r="DQ522" s="192"/>
      <c r="DR522" s="192"/>
      <c r="DS522" s="192"/>
      <c r="DT522" s="192"/>
      <c r="DU522" s="192"/>
      <c r="DV522" s="192"/>
      <c r="DW522" s="192"/>
      <c r="DX522" s="192"/>
      <c r="DY522" s="192"/>
      <c r="DZ522" s="192"/>
      <c r="EA522" s="192"/>
      <c r="EB522" s="192"/>
      <c r="EC522" s="192"/>
      <c r="ED522" s="192"/>
      <c r="EE522" s="192"/>
      <c r="EF522" s="192"/>
      <c r="EG522" s="192"/>
      <c r="EH522" s="192"/>
      <c r="EI522" s="192"/>
      <c r="EJ522" s="192"/>
      <c r="EK522" s="192"/>
      <c r="EL522" s="192"/>
      <c r="EM522" s="192"/>
      <c r="EN522" s="192"/>
      <c r="EO522" s="192"/>
      <c r="EP522" s="192"/>
      <c r="EQ522" s="192"/>
      <c r="ER522" s="192"/>
      <c r="ES522" s="192"/>
      <c r="ET522" s="192"/>
      <c r="EU522" s="192"/>
      <c r="EV522" s="192"/>
      <c r="EW522" s="192"/>
      <c r="EX522" s="192"/>
      <c r="EY522" s="192"/>
      <c r="EZ522" s="192"/>
      <c r="FA522" s="192"/>
      <c r="FB522" s="192"/>
      <c r="FC522" s="192"/>
      <c r="FD522" s="192"/>
      <c r="FE522" s="192"/>
      <c r="FF522" s="192"/>
      <c r="FG522" s="192"/>
      <c r="FH522" s="192"/>
      <c r="FI522" s="192"/>
      <c r="FJ522" s="192"/>
      <c r="FK522" s="192"/>
      <c r="FL522" s="192"/>
      <c r="FM522" s="192"/>
      <c r="FN522" s="192"/>
      <c r="FO522" s="192"/>
      <c r="FP522" s="192"/>
      <c r="FQ522" s="192"/>
      <c r="FR522" s="192"/>
      <c r="FS522" s="192"/>
      <c r="FT522" s="192"/>
      <c r="FU522" s="192"/>
      <c r="FV522" s="192"/>
      <c r="FW522" s="192"/>
      <c r="FX522" s="192"/>
      <c r="FY522" s="192"/>
      <c r="FZ522" s="192"/>
      <c r="GA522" s="192"/>
      <c r="GB522" s="192"/>
      <c r="GC522" s="192"/>
      <c r="GD522" s="192"/>
      <c r="GE522" s="192"/>
      <c r="GF522" s="192"/>
      <c r="GG522" s="192"/>
      <c r="GH522" s="192"/>
      <c r="GI522" s="192"/>
      <c r="GJ522" s="192"/>
      <c r="GK522" s="192"/>
      <c r="GL522" s="192"/>
      <c r="GM522" s="192"/>
      <c r="GN522" s="192"/>
      <c r="GO522" s="192"/>
      <c r="GP522" s="192"/>
      <c r="GQ522" s="192"/>
      <c r="GR522" s="192"/>
      <c r="GS522" s="192"/>
      <c r="GT522" s="192"/>
      <c r="GU522" s="192"/>
      <c r="GV522" s="192"/>
      <c r="GW522" s="192"/>
      <c r="GX522" s="192"/>
      <c r="GY522" s="192"/>
      <c r="GZ522" s="192"/>
      <c r="HA522" s="192"/>
      <c r="HB522" s="192"/>
      <c r="HC522" s="192"/>
      <c r="HD522" s="192"/>
      <c r="HE522" s="192"/>
      <c r="HF522" s="192"/>
      <c r="HG522" s="192"/>
      <c r="HH522" s="192"/>
      <c r="HI522" s="192"/>
      <c r="HJ522" s="192"/>
      <c r="HK522" s="192"/>
      <c r="HL522" s="192"/>
      <c r="HM522" s="192"/>
      <c r="HN522" s="192"/>
      <c r="HO522" s="192"/>
      <c r="HP522" s="192"/>
      <c r="HQ522" s="192"/>
      <c r="HR522" s="192"/>
      <c r="HS522" s="192"/>
      <c r="HT522" s="192"/>
      <c r="HU522" s="192"/>
      <c r="HV522" s="192"/>
      <c r="HW522" s="192"/>
      <c r="HX522" s="192"/>
      <c r="HY522" s="192"/>
      <c r="HZ522" s="192"/>
      <c r="IA522" s="192"/>
      <c r="IB522" s="192"/>
      <c r="IC522" s="192"/>
      <c r="ID522" s="192"/>
      <c r="IE522" s="192"/>
      <c r="IF522" s="192"/>
      <c r="IG522" s="192"/>
      <c r="IH522" s="192"/>
      <c r="II522" s="192"/>
      <c r="IJ522" s="192"/>
      <c r="IK522" s="192"/>
      <c r="IL522" s="192"/>
      <c r="IM522" s="192"/>
      <c r="IN522" s="192"/>
      <c r="IO522" s="192"/>
      <c r="IP522" s="192"/>
      <c r="IQ522" s="192"/>
      <c r="IR522" s="192"/>
      <c r="IS522" s="192"/>
      <c r="IT522" s="192"/>
      <c r="IU522" s="192"/>
      <c r="IV522" s="192"/>
      <c r="IW522" s="192"/>
      <c r="IX522" s="192"/>
      <c r="IY522" s="192"/>
      <c r="IZ522" s="192"/>
      <c r="JA522" s="192"/>
      <c r="JB522" s="192"/>
      <c r="JC522" s="192"/>
      <c r="JD522" s="192"/>
      <c r="JE522" s="192"/>
      <c r="JF522" s="192"/>
      <c r="JG522" s="192"/>
      <c r="JH522" s="192"/>
      <c r="JI522" s="192"/>
      <c r="JJ522" s="192"/>
      <c r="JK522" s="192"/>
      <c r="JL522" s="192"/>
      <c r="JM522" s="192"/>
      <c r="JN522" s="192"/>
      <c r="JO522" s="192"/>
      <c r="JP522" s="192"/>
      <c r="JQ522" s="192"/>
      <c r="JR522" s="192"/>
      <c r="JS522" s="192"/>
      <c r="JT522" s="192"/>
      <c r="JU522" s="192"/>
      <c r="JV522" s="192"/>
      <c r="JW522" s="192"/>
      <c r="JX522" s="192"/>
      <c r="JY522" s="192"/>
      <c r="JZ522" s="192"/>
      <c r="KA522" s="192"/>
      <c r="KB522" s="192"/>
      <c r="KC522" s="192"/>
      <c r="KD522" s="192"/>
      <c r="KE522" s="192"/>
      <c r="KF522" s="192"/>
      <c r="KG522" s="192"/>
      <c r="KH522" s="192"/>
      <c r="KI522" s="192"/>
      <c r="KJ522" s="192"/>
      <c r="KK522" s="192"/>
      <c r="KL522" s="192"/>
      <c r="KM522" s="192"/>
      <c r="KN522" s="192"/>
      <c r="KO522" s="192"/>
      <c r="KP522" s="192"/>
      <c r="KQ522" s="192"/>
      <c r="KR522" s="192"/>
      <c r="KS522" s="192"/>
      <c r="KT522" s="192"/>
      <c r="KU522" s="192"/>
      <c r="KV522" s="192"/>
      <c r="KW522" s="192"/>
      <c r="KX522" s="192"/>
      <c r="KY522" s="192"/>
      <c r="KZ522" s="192"/>
      <c r="LA522" s="192"/>
      <c r="LB522" s="192"/>
      <c r="LC522" s="192"/>
      <c r="LD522" s="192"/>
      <c r="LE522" s="192"/>
      <c r="LF522" s="192"/>
      <c r="LG522" s="192"/>
      <c r="LH522" s="192"/>
      <c r="LI522" s="192"/>
      <c r="LJ522" s="192"/>
      <c r="LK522" s="192"/>
      <c r="LL522" s="192"/>
      <c r="LM522" s="192"/>
      <c r="LN522" s="192"/>
      <c r="LO522" s="192"/>
      <c r="LP522" s="192"/>
      <c r="LQ522" s="192"/>
      <c r="LR522" s="192"/>
      <c r="LS522" s="192"/>
      <c r="LT522" s="192"/>
      <c r="LU522" s="192"/>
      <c r="LV522" s="192"/>
      <c r="LW522" s="192"/>
      <c r="LX522" s="192"/>
      <c r="LY522" s="192"/>
      <c r="LZ522" s="192"/>
      <c r="MA522" s="192"/>
      <c r="MB522" s="192"/>
      <c r="MC522" s="192"/>
      <c r="MD522" s="192"/>
      <c r="ME522" s="192"/>
      <c r="MF522" s="192"/>
      <c r="MG522" s="192"/>
      <c r="MH522" s="192"/>
      <c r="MI522" s="192"/>
      <c r="MJ522" s="192"/>
      <c r="MK522" s="192"/>
      <c r="ML522" s="192"/>
      <c r="MM522" s="192"/>
      <c r="MN522" s="192"/>
      <c r="MO522" s="192"/>
      <c r="MP522" s="192"/>
      <c r="MQ522" s="192"/>
      <c r="MR522" s="192"/>
      <c r="MS522" s="192"/>
      <c r="MT522" s="192"/>
      <c r="MU522" s="192"/>
      <c r="MV522" s="192"/>
      <c r="MW522" s="192"/>
      <c r="MX522" s="192"/>
      <c r="MY522" s="192"/>
      <c r="MZ522" s="192"/>
      <c r="NA522" s="192"/>
      <c r="NB522" s="192"/>
      <c r="NC522" s="192"/>
      <c r="ND522" s="192"/>
      <c r="NE522" s="192"/>
      <c r="NF522" s="192"/>
      <c r="NG522" s="192"/>
      <c r="NH522" s="192"/>
      <c r="NI522" s="192"/>
      <c r="NJ522" s="192"/>
      <c r="NK522" s="192"/>
      <c r="NL522" s="192"/>
      <c r="NM522" s="192"/>
      <c r="NN522" s="192"/>
      <c r="NO522" s="192"/>
      <c r="NP522" s="192"/>
      <c r="NQ522" s="192"/>
      <c r="NR522" s="192"/>
      <c r="NS522" s="192"/>
      <c r="NT522" s="192"/>
      <c r="NU522" s="192"/>
      <c r="NV522" s="192"/>
      <c r="NW522" s="192"/>
      <c r="NX522" s="192"/>
      <c r="NY522" s="192"/>
      <c r="NZ522" s="192"/>
      <c r="OA522" s="192"/>
      <c r="OB522" s="192"/>
      <c r="OC522" s="192"/>
      <c r="OD522" s="192"/>
      <c r="OE522" s="192"/>
      <c r="OF522" s="192"/>
      <c r="OG522" s="192"/>
      <c r="OH522" s="192"/>
      <c r="OI522" s="192"/>
      <c r="OJ522" s="192"/>
      <c r="OK522" s="192"/>
      <c r="OL522" s="192"/>
      <c r="OM522" s="192"/>
      <c r="ON522" s="192"/>
      <c r="OO522" s="192"/>
      <c r="OP522" s="192"/>
      <c r="OQ522" s="192"/>
      <c r="OR522" s="192"/>
      <c r="OS522" s="192"/>
      <c r="OT522" s="192"/>
      <c r="OU522" s="192"/>
      <c r="OV522" s="192"/>
      <c r="OW522" s="192"/>
      <c r="OX522" s="192"/>
      <c r="OY522" s="192"/>
      <c r="OZ522" s="192"/>
      <c r="PA522" s="192"/>
      <c r="PB522" s="192"/>
      <c r="PC522" s="192"/>
      <c r="PD522" s="192"/>
      <c r="PE522" s="192"/>
      <c r="PF522" s="192"/>
      <c r="PG522" s="192"/>
      <c r="PH522" s="192"/>
      <c r="PI522" s="192"/>
      <c r="PJ522" s="192"/>
      <c r="PK522" s="192"/>
      <c r="PL522" s="192"/>
      <c r="PM522" s="192"/>
      <c r="PN522" s="192"/>
      <c r="PO522" s="192"/>
      <c r="PP522" s="192"/>
      <c r="PQ522" s="192"/>
      <c r="PR522" s="192"/>
      <c r="PS522" s="192"/>
      <c r="PT522" s="192"/>
      <c r="PU522" s="192"/>
      <c r="PV522" s="192"/>
      <c r="PW522" s="192"/>
      <c r="PX522" s="192"/>
      <c r="PY522" s="192"/>
      <c r="PZ522" s="192"/>
      <c r="QA522" s="192"/>
      <c r="QB522" s="192"/>
      <c r="QC522" s="192"/>
      <c r="QD522" s="192"/>
      <c r="QE522" s="192"/>
      <c r="QF522" s="192"/>
      <c r="QG522" s="192"/>
      <c r="QH522" s="192"/>
      <c r="QI522" s="192"/>
      <c r="QJ522" s="192"/>
      <c r="QK522" s="192"/>
      <c r="QL522" s="192"/>
      <c r="QM522" s="192"/>
      <c r="QN522" s="192"/>
      <c r="QO522" s="192"/>
      <c r="QP522" s="192"/>
      <c r="QQ522" s="192"/>
      <c r="QR522" s="192"/>
      <c r="QS522" s="192"/>
      <c r="QT522" s="192"/>
      <c r="QU522" s="192"/>
      <c r="QV522" s="192"/>
      <c r="QW522" s="192"/>
      <c r="QX522" s="192"/>
      <c r="QY522" s="192"/>
      <c r="QZ522" s="192"/>
      <c r="RA522" s="192"/>
      <c r="RB522" s="192"/>
      <c r="RC522" s="192"/>
      <c r="RD522" s="192"/>
      <c r="RE522" s="192"/>
      <c r="RF522" s="192"/>
      <c r="RG522" s="192"/>
      <c r="RH522" s="192"/>
      <c r="RI522" s="192"/>
      <c r="RJ522" s="192"/>
      <c r="RK522" s="192"/>
      <c r="RL522" s="192"/>
      <c r="RM522" s="192"/>
      <c r="RN522" s="192"/>
      <c r="RO522" s="192"/>
      <c r="RP522" s="192"/>
      <c r="RQ522" s="192"/>
      <c r="RR522" s="192"/>
      <c r="RS522" s="192"/>
      <c r="RT522" s="192"/>
      <c r="RU522" s="192"/>
      <c r="RV522" s="192"/>
      <c r="RW522" s="192"/>
      <c r="RX522" s="192"/>
      <c r="RY522" s="192"/>
      <c r="RZ522" s="192"/>
      <c r="SA522" s="192"/>
      <c r="SB522" s="192"/>
      <c r="SC522" s="192"/>
      <c r="SD522" s="192"/>
      <c r="SE522" s="192"/>
      <c r="SF522" s="192"/>
      <c r="SG522" s="192"/>
      <c r="SH522" s="192"/>
      <c r="SI522" s="192"/>
      <c r="SJ522" s="192"/>
      <c r="SK522" s="192"/>
      <c r="SL522" s="192"/>
      <c r="SM522" s="192"/>
      <c r="SN522" s="192"/>
      <c r="SO522" s="192"/>
      <c r="SP522" s="192"/>
      <c r="SQ522" s="192"/>
      <c r="SR522" s="192"/>
      <c r="SS522" s="192"/>
      <c r="ST522" s="192"/>
      <c r="SU522" s="192"/>
      <c r="SV522" s="192"/>
      <c r="SW522" s="192"/>
      <c r="SX522" s="192"/>
      <c r="SY522" s="192"/>
      <c r="SZ522" s="192"/>
      <c r="TA522" s="192"/>
      <c r="TB522" s="192"/>
      <c r="TC522" s="192"/>
      <c r="TD522" s="192"/>
      <c r="TE522" s="192"/>
      <c r="TF522" s="192"/>
      <c r="TG522" s="192"/>
      <c r="TH522" s="192"/>
      <c r="TI522" s="192"/>
      <c r="TJ522" s="192"/>
      <c r="TK522" s="192"/>
      <c r="TL522" s="192"/>
      <c r="TM522" s="192"/>
      <c r="TN522" s="192"/>
      <c r="TO522" s="192"/>
      <c r="TP522" s="192"/>
      <c r="TQ522" s="192"/>
      <c r="TR522" s="192"/>
      <c r="TS522" s="192"/>
      <c r="TT522" s="192"/>
      <c r="TU522" s="192"/>
      <c r="TV522" s="192"/>
      <c r="TW522" s="192"/>
      <c r="TX522" s="192"/>
      <c r="TY522" s="192"/>
      <c r="TZ522" s="192"/>
      <c r="UA522" s="192"/>
      <c r="UB522" s="192"/>
      <c r="UC522" s="192"/>
      <c r="UD522" s="192"/>
      <c r="UE522" s="192"/>
      <c r="UF522" s="192"/>
      <c r="UG522" s="192"/>
      <c r="UH522" s="192"/>
      <c r="UI522" s="192"/>
      <c r="UJ522" s="192"/>
      <c r="UK522" s="192"/>
      <c r="UL522" s="192"/>
      <c r="UM522" s="192"/>
      <c r="UN522" s="192"/>
      <c r="UO522" s="192"/>
      <c r="UP522" s="192"/>
      <c r="UQ522" s="192"/>
      <c r="UR522" s="192"/>
      <c r="US522" s="192"/>
      <c r="UT522" s="192"/>
      <c r="UU522" s="192"/>
      <c r="UV522" s="192"/>
      <c r="UW522" s="192"/>
      <c r="UX522" s="192"/>
      <c r="UY522" s="192"/>
      <c r="UZ522" s="192"/>
      <c r="VA522" s="192"/>
      <c r="VB522" s="192"/>
      <c r="VC522" s="192"/>
      <c r="VD522" s="192"/>
      <c r="VE522" s="192"/>
      <c r="VF522" s="192"/>
      <c r="VG522" s="192"/>
      <c r="VH522" s="192"/>
      <c r="VI522" s="192"/>
      <c r="VJ522" s="192"/>
      <c r="VK522" s="192"/>
      <c r="VL522" s="192"/>
      <c r="VM522" s="192"/>
      <c r="VN522" s="192"/>
      <c r="VO522" s="192"/>
      <c r="VP522" s="192"/>
      <c r="VQ522" s="192"/>
      <c r="VR522" s="192"/>
      <c r="VS522" s="192"/>
      <c r="VT522" s="192"/>
      <c r="VU522" s="192"/>
      <c r="VV522" s="192"/>
      <c r="VW522" s="192"/>
      <c r="VX522" s="192"/>
      <c r="VY522" s="192"/>
      <c r="VZ522" s="192"/>
      <c r="WA522" s="192"/>
      <c r="WB522" s="192"/>
      <c r="WC522" s="192"/>
      <c r="WD522" s="192"/>
      <c r="WE522" s="192"/>
      <c r="WF522" s="192"/>
      <c r="WG522" s="192"/>
      <c r="WH522" s="192"/>
      <c r="WI522" s="192"/>
      <c r="WJ522" s="192"/>
      <c r="WK522" s="192"/>
      <c r="WL522" s="192"/>
      <c r="WM522" s="192"/>
      <c r="WN522" s="192"/>
      <c r="WO522" s="192"/>
      <c r="WP522" s="192"/>
      <c r="WQ522" s="192"/>
      <c r="WR522" s="192"/>
      <c r="WS522" s="192"/>
      <c r="WT522" s="192"/>
      <c r="WU522" s="192"/>
      <c r="WV522" s="192"/>
      <c r="WW522" s="192"/>
      <c r="WX522" s="192"/>
      <c r="WY522" s="192"/>
      <c r="WZ522" s="192"/>
      <c r="XA522" s="192"/>
      <c r="XB522" s="192"/>
      <c r="XC522" s="192"/>
      <c r="XD522" s="192"/>
      <c r="XE522" s="192"/>
      <c r="XF522" s="192"/>
      <c r="XG522" s="192"/>
    </row>
    <row r="523" spans="1:631" ht="15" hidden="1" customHeight="1" x14ac:dyDescent="0.25">
      <c r="A523" s="5" t="s">
        <v>2180</v>
      </c>
      <c r="B523" s="14" t="str">
        <f>VLOOKUP(TAB_SAIDA[[#This Row],[COD_2_SAIDA]],TAB_ESTOQUE[[Codigo]:[Descrição Tecnica]],6,FALSE)</f>
        <v>VEDAÇÃO DOS GICLES S12</v>
      </c>
      <c r="C523" s="14">
        <f>IFERROR(VLOOKUP(TAB_SAIDA[[#This Row],[COD_2_SAIDA]],TAB_ESTOQUE[[Codigo]:[Referência Tec]],7,FALSE),"")</f>
        <v>0</v>
      </c>
      <c r="D523" s="14" t="str">
        <f>VLOOKUP(TAB_SAIDA[[#This Row],[COD_2_SAIDA]],TAB_ESTOQUE[[Codigo]:[Endereço2]],12,FALSE)</f>
        <v>ARMARIO</v>
      </c>
      <c r="E523" s="81">
        <f>SUM(TAB_SAIDA[[#This Row],[20/05/2019]:[00/00/00]])</f>
        <v>0</v>
      </c>
      <c r="F523" s="3"/>
    </row>
    <row r="524" spans="1:631" ht="15" hidden="1" customHeight="1" x14ac:dyDescent="0.25">
      <c r="A524" s="5" t="s">
        <v>2181</v>
      </c>
      <c r="B524" s="14" t="str">
        <f>VLOOKUP(TAB_SAIDA[[#This Row],[COD_2_SAIDA]],TAB_ESTOQUE[[Codigo]:[Descrição Tecnica]],6,FALSE)</f>
        <v>RETENTOR 55X90X8</v>
      </c>
      <c r="C524" s="14">
        <f>IFERROR(VLOOKUP(TAB_SAIDA[[#This Row],[COD_2_SAIDA]],TAB_ESTOQUE[[Codigo]:[Referência Tec]],7,FALSE),"")</f>
        <v>0</v>
      </c>
      <c r="D524" s="14" t="str">
        <f>VLOOKUP(TAB_SAIDA[[#This Row],[COD_2_SAIDA]],TAB_ESTOQUE[[Codigo]:[Endereço2]],12,FALSE)</f>
        <v>E1204</v>
      </c>
      <c r="E524" s="81">
        <f>SUM(TAB_SAIDA[[#This Row],[20/05/2019]:[00/00/00]])</f>
        <v>0</v>
      </c>
      <c r="F524" s="3"/>
    </row>
    <row r="525" spans="1:631" ht="15" hidden="1" customHeight="1" x14ac:dyDescent="0.25">
      <c r="A525" s="5" t="s">
        <v>2182</v>
      </c>
      <c r="B525" s="14" t="str">
        <f>VLOOKUP(TAB_SAIDA[[#This Row],[COD_2_SAIDA]],TAB_ESTOQUE[[Codigo]:[Descrição Tecnica]],6,FALSE)</f>
        <v>ROLAMENTO SA207</v>
      </c>
      <c r="C525" s="14">
        <f>IFERROR(VLOOKUP(TAB_SAIDA[[#This Row],[COD_2_SAIDA]],TAB_ESTOQUE[[Codigo]:[Referência Tec]],7,FALSE),"")</f>
        <v>0</v>
      </c>
      <c r="D525" s="14" t="str">
        <f>VLOOKUP(TAB_SAIDA[[#This Row],[COD_2_SAIDA]],TAB_ESTOQUE[[Codigo]:[Endereço2]],12,FALSE)</f>
        <v>D2106</v>
      </c>
      <c r="E525" s="81">
        <f>SUM(TAB_SAIDA[[#This Row],[20/05/2019]:[00/00/00]])</f>
        <v>0</v>
      </c>
      <c r="F525" s="3"/>
    </row>
    <row r="526" spans="1:631" ht="15" hidden="1" customHeight="1" x14ac:dyDescent="0.25">
      <c r="A526" s="5" t="s">
        <v>2183</v>
      </c>
      <c r="B526" s="14" t="str">
        <f>VLOOKUP(TAB_SAIDA[[#This Row],[COD_2_SAIDA]],TAB_ESTOQUE[[Codigo]:[Descrição Tecnica]],6,FALSE)</f>
        <v>RETENTOR 90X130X12</v>
      </c>
      <c r="C526" s="14">
        <f>IFERROR(VLOOKUP(TAB_SAIDA[[#This Row],[COD_2_SAIDA]],TAB_ESTOQUE[[Codigo]:[Referência Tec]],7,FALSE),"")</f>
        <v>0</v>
      </c>
      <c r="D526" s="14" t="str">
        <f>VLOOKUP(TAB_SAIDA[[#This Row],[COD_2_SAIDA]],TAB_ESTOQUE[[Codigo]:[Endereço2]],12,FALSE)</f>
        <v>E1205</v>
      </c>
      <c r="E526" s="81">
        <f>SUM(TAB_SAIDA[[#This Row],[20/05/2019]:[00/00/00]])</f>
        <v>0</v>
      </c>
      <c r="F526" s="3"/>
    </row>
    <row r="527" spans="1:631" ht="15" hidden="1" customHeight="1" x14ac:dyDescent="0.25">
      <c r="A527" s="5" t="s">
        <v>2184</v>
      </c>
      <c r="B527" s="14" t="str">
        <f>VLOOKUP(TAB_SAIDA[[#This Row],[COD_2_SAIDA]],TAB_ESTOQUE[[Codigo]:[Descrição Tecnica]],6,FALSE)</f>
        <v>FUSO DAS CALANDRAS GLASUTEC</v>
      </c>
      <c r="C527" s="14">
        <f>IFERROR(VLOOKUP(TAB_SAIDA[[#This Row],[COD_2_SAIDA]],TAB_ESTOQUE[[Codigo]:[Referência Tec]],7,FALSE),"")</f>
        <v>0</v>
      </c>
      <c r="D527" s="14" t="str">
        <f>VLOOKUP(TAB_SAIDA[[#This Row],[COD_2_SAIDA]],TAB_ESTOQUE[[Codigo]:[Endereço2]],12,FALSE)</f>
        <v>E1302</v>
      </c>
      <c r="E527" s="81">
        <f>SUM(TAB_SAIDA[[#This Row],[20/05/2019]:[00/00/00]])</f>
        <v>0</v>
      </c>
      <c r="F527" s="3"/>
    </row>
    <row r="528" spans="1:631" ht="15" hidden="1" customHeight="1" x14ac:dyDescent="0.25">
      <c r="A528" s="5" t="s">
        <v>2185</v>
      </c>
      <c r="B528" s="14" t="str">
        <f>VLOOKUP(TAB_SAIDA[[#This Row],[COD_2_SAIDA]],TAB_ESTOQUE[[Codigo]:[Descrição Tecnica]],6,FALSE)</f>
        <v>RETENTOR 01543-BR 15</v>
      </c>
      <c r="C528" s="14">
        <f>IFERROR(VLOOKUP(TAB_SAIDA[[#This Row],[COD_2_SAIDA]],TAB_ESTOQUE[[Codigo]:[Referência Tec]],7,FALSE),"")</f>
        <v>0</v>
      </c>
      <c r="D528" s="14" t="str">
        <f>VLOOKUP(TAB_SAIDA[[#This Row],[COD_2_SAIDA]],TAB_ESTOQUE[[Codigo]:[Endereço2]],12,FALSE)</f>
        <v>E1204</v>
      </c>
      <c r="E528" s="81">
        <f>SUM(TAB_SAIDA[[#This Row],[20/05/2019]:[00/00/00]])</f>
        <v>0</v>
      </c>
      <c r="F528" s="3"/>
    </row>
    <row r="529" spans="1:490" ht="15" hidden="1" customHeight="1" x14ac:dyDescent="0.25">
      <c r="A529" s="5" t="s">
        <v>2186</v>
      </c>
      <c r="B529" s="14" t="str">
        <f>VLOOKUP(TAB_SAIDA[[#This Row],[COD_2_SAIDA]],TAB_ESTOQUE[[Codigo]:[Descrição Tecnica]],6,FALSE)</f>
        <v>RETENTOR 43X62X75</v>
      </c>
      <c r="C529" s="14">
        <f>IFERROR(VLOOKUP(TAB_SAIDA[[#This Row],[COD_2_SAIDA]],TAB_ESTOQUE[[Codigo]:[Referência Tec]],7,FALSE),"")</f>
        <v>0</v>
      </c>
      <c r="D529" s="14" t="str">
        <f>VLOOKUP(TAB_SAIDA[[#This Row],[COD_2_SAIDA]],TAB_ESTOQUE[[Codigo]:[Endereço2]],12,FALSE)</f>
        <v>E1204</v>
      </c>
      <c r="E529" s="81">
        <f>SUM(TAB_SAIDA[[#This Row],[20/05/2019]:[00/00/00]])</f>
        <v>0</v>
      </c>
      <c r="F529" s="3"/>
    </row>
    <row r="530" spans="1:490" ht="15" hidden="1" customHeight="1" x14ac:dyDescent="0.25">
      <c r="A530" s="5" t="s">
        <v>2187</v>
      </c>
      <c r="B530" s="14" t="str">
        <f>VLOOKUP(TAB_SAIDA[[#This Row],[COD_2_SAIDA]],TAB_ESTOQUE[[Codigo]:[Descrição Tecnica]],6,FALSE)</f>
        <v>RETENTOR 25X42X8</v>
      </c>
      <c r="C530" s="14">
        <f>IFERROR(VLOOKUP(TAB_SAIDA[[#This Row],[COD_2_SAIDA]],TAB_ESTOQUE[[Codigo]:[Referência Tec]],7,FALSE),"")</f>
        <v>0</v>
      </c>
      <c r="D530" s="14" t="str">
        <f>VLOOKUP(TAB_SAIDA[[#This Row],[COD_2_SAIDA]],TAB_ESTOQUE[[Codigo]:[Endereço2]],12,FALSE)</f>
        <v>E1203</v>
      </c>
      <c r="E530" s="81">
        <f>SUM(TAB_SAIDA[[#This Row],[20/05/2019]:[00/00/00]])</f>
        <v>0</v>
      </c>
      <c r="F530" s="3"/>
    </row>
    <row r="531" spans="1:490" ht="15" hidden="1" customHeight="1" x14ac:dyDescent="0.25">
      <c r="A531" s="5" t="s">
        <v>2188</v>
      </c>
      <c r="B531" s="14" t="str">
        <f>VLOOKUP(TAB_SAIDA[[#This Row],[COD_2_SAIDA]],TAB_ESTOQUE[[Codigo]:[Descrição Tecnica]],6,FALSE)</f>
        <v>RETENTOR 28X47X7</v>
      </c>
      <c r="C531" s="14">
        <f>IFERROR(VLOOKUP(TAB_SAIDA[[#This Row],[COD_2_SAIDA]],TAB_ESTOQUE[[Codigo]:[Referência Tec]],7,FALSE),"")</f>
        <v>0</v>
      </c>
      <c r="D531" s="14" t="str">
        <f>VLOOKUP(TAB_SAIDA[[#This Row],[COD_2_SAIDA]],TAB_ESTOQUE[[Codigo]:[Endereço2]],12,FALSE)</f>
        <v>E1202</v>
      </c>
      <c r="E531" s="81">
        <f>SUM(TAB_SAIDA[[#This Row],[20/05/2019]:[00/00/00]])</f>
        <v>0</v>
      </c>
      <c r="F531" s="3"/>
    </row>
    <row r="532" spans="1:490" ht="15" hidden="1" customHeight="1" x14ac:dyDescent="0.25">
      <c r="A532" s="5" t="s">
        <v>2189</v>
      </c>
      <c r="B532" s="14" t="str">
        <f>VLOOKUP(TAB_SAIDA[[#This Row],[COD_2_SAIDA]],TAB_ESTOQUE[[Codigo]:[Descrição Tecnica]],6,FALSE)</f>
        <v>RETENTOR 60X85.1X12.7</v>
      </c>
      <c r="C532" s="14">
        <f>IFERROR(VLOOKUP(TAB_SAIDA[[#This Row],[COD_2_SAIDA]],TAB_ESTOQUE[[Codigo]:[Referência Tec]],7,FALSE),"")</f>
        <v>0</v>
      </c>
      <c r="D532" s="14" t="str">
        <f>VLOOKUP(TAB_SAIDA[[#This Row],[COD_2_SAIDA]],TAB_ESTOQUE[[Codigo]:[Endereço2]],12,FALSE)</f>
        <v>E1202</v>
      </c>
      <c r="E532" s="81">
        <f>SUM(TAB_SAIDA[[#This Row],[20/05/2019]:[00/00/00]])</f>
        <v>0</v>
      </c>
      <c r="F532" s="3"/>
    </row>
    <row r="533" spans="1:490" ht="15" hidden="1" customHeight="1" x14ac:dyDescent="0.25">
      <c r="A533" s="5" t="s">
        <v>2190</v>
      </c>
      <c r="B533" s="14" t="str">
        <f>VLOOKUP(TAB_SAIDA[[#This Row],[COD_2_SAIDA]],TAB_ESTOQUE[[Codigo]:[Descrição Tecnica]],6,FALSE)</f>
        <v>TAMPA DE ROLAMENTO PFL-203 BRM</v>
      </c>
      <c r="C533" s="14">
        <f>IFERROR(VLOOKUP(TAB_SAIDA[[#This Row],[COD_2_SAIDA]],TAB_ESTOQUE[[Codigo]:[Referência Tec]],7,FALSE),"")</f>
        <v>0</v>
      </c>
      <c r="D533" s="14" t="str">
        <f>VLOOKUP(TAB_SAIDA[[#This Row],[COD_2_SAIDA]],TAB_ESTOQUE[[Codigo]:[Endereço2]],12,FALSE)</f>
        <v>D1105</v>
      </c>
      <c r="E533" s="81">
        <f>SUM(TAB_SAIDA[[#This Row],[20/05/2019]:[00/00/00]])</f>
        <v>0</v>
      </c>
      <c r="F533" s="3"/>
    </row>
    <row r="534" spans="1:490" ht="15" hidden="1" customHeight="1" x14ac:dyDescent="0.25">
      <c r="A534" s="5" t="s">
        <v>2191</v>
      </c>
      <c r="B534" s="14" t="str">
        <f>VLOOKUP(TAB_SAIDA[[#This Row],[COD_2_SAIDA]],TAB_ESTOQUE[[Codigo]:[Descrição Tecnica]],6,FALSE)</f>
        <v>MANCAL FL204 FK</v>
      </c>
      <c r="C534" s="14">
        <f>IFERROR(VLOOKUP(TAB_SAIDA[[#This Row],[COD_2_SAIDA]],TAB_ESTOQUE[[Codigo]:[Referência Tec]],7,FALSE),"")</f>
        <v>0</v>
      </c>
      <c r="D534" s="14" t="str">
        <f>VLOOKUP(TAB_SAIDA[[#This Row],[COD_2_SAIDA]],TAB_ESTOQUE[[Codigo]:[Endereço2]],12,FALSE)</f>
        <v>E1405</v>
      </c>
      <c r="E534" s="81">
        <f>SUM(TAB_SAIDA[[#This Row],[20/05/2019]:[00/00/00]])</f>
        <v>0</v>
      </c>
      <c r="F534" s="3"/>
    </row>
    <row r="535" spans="1:490" ht="15" hidden="1" customHeight="1" x14ac:dyDescent="0.25">
      <c r="A535" s="5" t="s">
        <v>2192</v>
      </c>
      <c r="B535" s="14" t="str">
        <f>VLOOKUP(TAB_SAIDA[[#This Row],[COD_2_SAIDA]],TAB_ESTOQUE[[Codigo]:[Descrição Tecnica]],6,FALSE)</f>
        <v>MANCAL F205 FRM</v>
      </c>
      <c r="C535" s="14">
        <f>IFERROR(VLOOKUP(TAB_SAIDA[[#This Row],[COD_2_SAIDA]],TAB_ESTOQUE[[Codigo]:[Referência Tec]],7,FALSE),"")</f>
        <v>0</v>
      </c>
      <c r="D535" s="14" t="str">
        <f>VLOOKUP(TAB_SAIDA[[#This Row],[COD_2_SAIDA]],TAB_ESTOQUE[[Codigo]:[Endereço2]],12,FALSE)</f>
        <v>E1403</v>
      </c>
      <c r="E535" s="81">
        <f>SUM(TAB_SAIDA[[#This Row],[20/05/2019]:[00/00/00]])</f>
        <v>0</v>
      </c>
      <c r="F535" s="3"/>
    </row>
    <row r="536" spans="1:490" ht="15" hidden="1" customHeight="1" x14ac:dyDescent="0.25">
      <c r="A536" s="5" t="s">
        <v>2193</v>
      </c>
      <c r="B536" s="14" t="str">
        <f>VLOOKUP(TAB_SAIDA[[#This Row],[COD_2_SAIDA]],TAB_ESTOQUE[[Codigo]:[Descrição Tecnica]],6,FALSE)</f>
        <v xml:space="preserve">MANCAL P207 </v>
      </c>
      <c r="C536" s="14">
        <f>IFERROR(VLOOKUP(TAB_SAIDA[[#This Row],[COD_2_SAIDA]],TAB_ESTOQUE[[Codigo]:[Referência Tec]],7,FALSE),"")</f>
        <v>0</v>
      </c>
      <c r="D536" s="14" t="str">
        <f>VLOOKUP(TAB_SAIDA[[#This Row],[COD_2_SAIDA]],TAB_ESTOQUE[[Codigo]:[Endereço2]],12,FALSE)</f>
        <v>E1404</v>
      </c>
      <c r="E536" s="81">
        <f>SUM(TAB_SAIDA[[#This Row],[20/05/2019]:[00/00/00]])</f>
        <v>0</v>
      </c>
      <c r="F536" s="3"/>
    </row>
    <row r="537" spans="1:490" ht="15" hidden="1" customHeight="1" x14ac:dyDescent="0.25">
      <c r="A537" s="5" t="s">
        <v>2194</v>
      </c>
      <c r="B537" s="14" t="str">
        <f>VLOOKUP(TAB_SAIDA[[#This Row],[COD_2_SAIDA]],TAB_ESTOQUE[[Codigo]:[Descrição Tecnica]],6,FALSE)</f>
        <v>MANCAL 504 SKF</v>
      </c>
      <c r="C537" s="14">
        <f>IFERROR(VLOOKUP(TAB_SAIDA[[#This Row],[COD_2_SAIDA]],TAB_ESTOQUE[[Codigo]:[Referência Tec]],7,FALSE),"")</f>
        <v>0</v>
      </c>
      <c r="D537" s="14" t="str">
        <f>VLOOKUP(TAB_SAIDA[[#This Row],[COD_2_SAIDA]],TAB_ESTOQUE[[Codigo]:[Endereço2]],12,FALSE)</f>
        <v>E1405</v>
      </c>
      <c r="E537" s="81">
        <f>SUM(TAB_SAIDA[[#This Row],[20/05/2019]:[00/00/00]])</f>
        <v>0</v>
      </c>
      <c r="F537" s="3"/>
    </row>
    <row r="538" spans="1:490" ht="15" hidden="1" customHeight="1" x14ac:dyDescent="0.25">
      <c r="A538" s="5" t="s">
        <v>2195</v>
      </c>
      <c r="B538" s="14" t="str">
        <f>VLOOKUP(TAB_SAIDA[[#This Row],[COD_2_SAIDA]],TAB_ESTOQUE[[Codigo]:[Descrição Tecnica]],6,FALSE)</f>
        <v>CONJUNTO SUPORTE PARA FIXAR CABEÇOTE DA GANTRY</v>
      </c>
      <c r="C538" s="14">
        <f>IFERROR(VLOOKUP(TAB_SAIDA[[#This Row],[COD_2_SAIDA]],TAB_ESTOQUE[[Codigo]:[Referência Tec]],7,FALSE),"")</f>
        <v>0</v>
      </c>
      <c r="D538" s="14" t="str">
        <f>VLOOKUP(TAB_SAIDA[[#This Row],[COD_2_SAIDA]],TAB_ESTOQUE[[Codigo]:[Endereço2]],12,FALSE)</f>
        <v>E1105</v>
      </c>
      <c r="E538" s="81">
        <f>SUM(TAB_SAIDA[[#This Row],[20/05/2019]:[00/00/00]])</f>
        <v>0</v>
      </c>
      <c r="F538" s="3"/>
    </row>
    <row r="539" spans="1:490" ht="15" hidden="1" customHeight="1" x14ac:dyDescent="0.25">
      <c r="A539" s="5" t="s">
        <v>2196</v>
      </c>
      <c r="B539" s="14" t="str">
        <f>VLOOKUP(TAB_SAIDA[[#This Row],[COD_2_SAIDA]],TAB_ESTOQUE[[Codigo]:[Descrição Tecnica]],6,FALSE)</f>
        <v>ENGRENAGEM DO FUSO DAS CALANDRAS</v>
      </c>
      <c r="C539" s="14">
        <f>IFERROR(VLOOKUP(TAB_SAIDA[[#This Row],[COD_2_SAIDA]],TAB_ESTOQUE[[Codigo]:[Referência Tec]],7,FALSE),"")</f>
        <v>0</v>
      </c>
      <c r="D539" s="14" t="str">
        <f>VLOOKUP(TAB_SAIDA[[#This Row],[COD_2_SAIDA]],TAB_ESTOQUE[[Codigo]:[Endereço2]],12,FALSE)</f>
        <v>E1302</v>
      </c>
      <c r="E539" s="81">
        <f>SUM(TAB_SAIDA[[#This Row],[20/05/2019]:[00/00/00]])</f>
        <v>0</v>
      </c>
      <c r="F539" s="3"/>
    </row>
    <row r="540" spans="1:490" ht="15" hidden="1" customHeight="1" x14ac:dyDescent="0.25">
      <c r="A540" s="5" t="s">
        <v>2197</v>
      </c>
      <c r="B540" s="14" t="str">
        <f>VLOOKUP(TAB_SAIDA[[#This Row],[COD_2_SAIDA]],TAB_ESTOQUE[[Codigo]:[Descrição Tecnica]],6,FALSE)</f>
        <v>ROLAMENTO 6300</v>
      </c>
      <c r="C540" s="14">
        <f>IFERROR(VLOOKUP(TAB_SAIDA[[#This Row],[COD_2_SAIDA]],TAB_ESTOQUE[[Codigo]:[Referência Tec]],7,FALSE),"")</f>
        <v>0</v>
      </c>
      <c r="D540" s="14" t="str">
        <f>VLOOKUP(TAB_SAIDA[[#This Row],[COD_2_SAIDA]],TAB_ESTOQUE[[Codigo]:[Endereço2]],12,FALSE)</f>
        <v>D2103</v>
      </c>
      <c r="E540" s="81">
        <f>SUM(TAB_SAIDA[[#This Row],[20/05/2019]:[00/00/00]])</f>
        <v>0</v>
      </c>
      <c r="F540" s="3"/>
    </row>
    <row r="541" spans="1:490" ht="15" hidden="1" customHeight="1" x14ac:dyDescent="0.25">
      <c r="A541" s="5" t="s">
        <v>2198</v>
      </c>
      <c r="B541" s="14" t="str">
        <f>VLOOKUP(TAB_SAIDA[[#This Row],[COD_2_SAIDA]],TAB_ESTOQUE[[Codigo]:[Descrição Tecnica]],6,FALSE)</f>
        <v>ROLAMENTO 6002</v>
      </c>
      <c r="C541" s="14">
        <f>IFERROR(VLOOKUP(TAB_SAIDA[[#This Row],[COD_2_SAIDA]],TAB_ESTOQUE[[Codigo]:[Referência Tec]],7,FALSE),"")</f>
        <v>0</v>
      </c>
      <c r="D541" s="14" t="str">
        <f>VLOOKUP(TAB_SAIDA[[#This Row],[COD_2_SAIDA]],TAB_ESTOQUE[[Codigo]:[Endereço2]],12,FALSE)</f>
        <v>D2104</v>
      </c>
      <c r="E541" s="81">
        <f>SUM(TAB_SAIDA[[#This Row],[20/05/2019]:[00/00/00]])</f>
        <v>1</v>
      </c>
      <c r="F541" s="3"/>
      <c r="RV541" s="3">
        <v>1</v>
      </c>
    </row>
    <row r="542" spans="1:490" ht="15" hidden="1" customHeight="1" x14ac:dyDescent="0.25">
      <c r="A542" s="5" t="s">
        <v>2199</v>
      </c>
      <c r="B542" s="14" t="str">
        <f>VLOOKUP(TAB_SAIDA[[#This Row],[COD_2_SAIDA]],TAB_ESTOQUE[[Codigo]:[Descrição Tecnica]],6,FALSE)</f>
        <v>ROLAMENTO 6204</v>
      </c>
      <c r="C542" s="14">
        <f>IFERROR(VLOOKUP(TAB_SAIDA[[#This Row],[COD_2_SAIDA]],TAB_ESTOQUE[[Codigo]:[Referência Tec]],7,FALSE),"")</f>
        <v>0</v>
      </c>
      <c r="D542" s="14" t="str">
        <f>VLOOKUP(TAB_SAIDA[[#This Row],[COD_2_SAIDA]],TAB_ESTOQUE[[Codigo]:[Endereço2]],12,FALSE)</f>
        <v>D2104</v>
      </c>
      <c r="E542" s="81">
        <f>SUM(TAB_SAIDA[[#This Row],[20/05/2019]:[00/00/00]])</f>
        <v>0</v>
      </c>
      <c r="F542" s="3"/>
    </row>
    <row r="543" spans="1:490" ht="15" hidden="1" customHeight="1" x14ac:dyDescent="0.25">
      <c r="A543" s="5" t="s">
        <v>2200</v>
      </c>
      <c r="B543" s="14" t="str">
        <f>VLOOKUP(TAB_SAIDA[[#This Row],[COD_2_SAIDA]],TAB_ESTOQUE[[Codigo]:[Descrição Tecnica]],6,FALSE)</f>
        <v>ROLAMENTO 6307 C3</v>
      </c>
      <c r="C543" s="14">
        <f>IFERROR(VLOOKUP(TAB_SAIDA[[#This Row],[COD_2_SAIDA]],TAB_ESTOQUE[[Codigo]:[Referência Tec]],7,FALSE),"")</f>
        <v>0</v>
      </c>
      <c r="D543" s="14" t="str">
        <f>VLOOKUP(TAB_SAIDA[[#This Row],[COD_2_SAIDA]],TAB_ESTOQUE[[Codigo]:[Endereço2]],12,FALSE)</f>
        <v>D2106</v>
      </c>
      <c r="E543" s="81">
        <f>SUM(TAB_SAIDA[[#This Row],[20/05/2019]:[00/00/00]])</f>
        <v>0</v>
      </c>
      <c r="F543" s="3"/>
    </row>
    <row r="544" spans="1:490" ht="15" hidden="1" customHeight="1" x14ac:dyDescent="0.25">
      <c r="A544" s="5" t="s">
        <v>2201</v>
      </c>
      <c r="B544" s="14" t="str">
        <f>VLOOKUP(TAB_SAIDA[[#This Row],[COD_2_SAIDA]],TAB_ESTOQUE[[Codigo]:[Descrição Tecnica]],6,FALSE)</f>
        <v>ROLAMENTO 6305</v>
      </c>
      <c r="C544" s="14">
        <f>IFERROR(VLOOKUP(TAB_SAIDA[[#This Row],[COD_2_SAIDA]],TAB_ESTOQUE[[Codigo]:[Referência Tec]],7,FALSE),"")</f>
        <v>0</v>
      </c>
      <c r="D544" s="14" t="str">
        <f>VLOOKUP(TAB_SAIDA[[#This Row],[COD_2_SAIDA]],TAB_ESTOQUE[[Codigo]:[Endereço2]],12,FALSE)</f>
        <v>D2106</v>
      </c>
      <c r="E544" s="81">
        <f>SUM(TAB_SAIDA[[#This Row],[20/05/2019]:[00/00/00]])</f>
        <v>0</v>
      </c>
      <c r="F544" s="3"/>
    </row>
    <row r="545" spans="1:489" ht="15" hidden="1" customHeight="1" x14ac:dyDescent="0.25">
      <c r="A545" s="5" t="s">
        <v>2202</v>
      </c>
      <c r="B545" s="14" t="str">
        <f>VLOOKUP(TAB_SAIDA[[#This Row],[COD_2_SAIDA]],TAB_ESTOQUE[[Codigo]:[Descrição Tecnica]],6,FALSE)</f>
        <v>ROLAMENTO 6205</v>
      </c>
      <c r="C545" s="14">
        <f>IFERROR(VLOOKUP(TAB_SAIDA[[#This Row],[COD_2_SAIDA]],TAB_ESTOQUE[[Codigo]:[Referência Tec]],7,FALSE),"")</f>
        <v>0</v>
      </c>
      <c r="D545" s="14" t="str">
        <f>VLOOKUP(TAB_SAIDA[[#This Row],[COD_2_SAIDA]],TAB_ESTOQUE[[Codigo]:[Endereço2]],12,FALSE)</f>
        <v>D2106</v>
      </c>
      <c r="E545" s="81">
        <f>SUM(TAB_SAIDA[[#This Row],[20/05/2019]:[00/00/00]])</f>
        <v>0</v>
      </c>
      <c r="F545" s="3"/>
    </row>
    <row r="546" spans="1:489" ht="15" hidden="1" customHeight="1" x14ac:dyDescent="0.25">
      <c r="A546" s="5" t="s">
        <v>2203</v>
      </c>
      <c r="B546" s="14" t="str">
        <f>VLOOKUP(TAB_SAIDA[[#This Row],[COD_2_SAIDA]],TAB_ESTOQUE[[Codigo]:[Descrição Tecnica]],6,FALSE)</f>
        <v>ROLAMENTO RÍGIDO DE ESFERA 16004 (SKF)</v>
      </c>
      <c r="C546" s="14">
        <f>IFERROR(VLOOKUP(TAB_SAIDA[[#This Row],[COD_2_SAIDA]],TAB_ESTOQUE[[Codigo]:[Referência Tec]],7,FALSE),"")</f>
        <v>0</v>
      </c>
      <c r="D546" s="14" t="str">
        <f>VLOOKUP(TAB_SAIDA[[#This Row],[COD_2_SAIDA]],TAB_ESTOQUE[[Codigo]:[Endereço2]],12,FALSE)</f>
        <v>D2104</v>
      </c>
      <c r="E546" s="81">
        <f>SUM(TAB_SAIDA[[#This Row],[20/05/2019]:[00/00/00]])</f>
        <v>0</v>
      </c>
      <c r="F546" s="3"/>
    </row>
    <row r="547" spans="1:489" ht="15" hidden="1" customHeight="1" x14ac:dyDescent="0.25">
      <c r="A547" s="5" t="s">
        <v>2204</v>
      </c>
      <c r="B547" s="14" t="str">
        <f>VLOOKUP(TAB_SAIDA[[#This Row],[COD_2_SAIDA]],TAB_ESTOQUE[[Codigo]:[Descrição Tecnica]],6,FALSE)</f>
        <v>ROLAMENTO SB203 (BRM)</v>
      </c>
      <c r="C547" s="14">
        <f>IFERROR(VLOOKUP(TAB_SAIDA[[#This Row],[COD_2_SAIDA]],TAB_ESTOQUE[[Codigo]:[Referência Tec]],7,FALSE),"")</f>
        <v>0</v>
      </c>
      <c r="D547" s="14" t="str">
        <f>VLOOKUP(TAB_SAIDA[[#This Row],[COD_2_SAIDA]],TAB_ESTOQUE[[Codigo]:[Endereço2]],12,FALSE)</f>
        <v>D2105</v>
      </c>
      <c r="E547" s="81">
        <f>SUM(TAB_SAIDA[[#This Row],[20/05/2019]:[00/00/00]])</f>
        <v>0</v>
      </c>
      <c r="F547" s="3"/>
    </row>
    <row r="548" spans="1:489" ht="15" hidden="1" customHeight="1" x14ac:dyDescent="0.25">
      <c r="A548" s="5" t="s">
        <v>2205</v>
      </c>
      <c r="B548" s="14" t="str">
        <f>VLOOKUP(TAB_SAIDA[[#This Row],[COD_2_SAIDA]],TAB_ESTOQUE[[Codigo]:[Descrição Tecnica]],6,FALSE)</f>
        <v>ROLAMENTO SB202-10 (BRM)</v>
      </c>
      <c r="C548" s="14">
        <f>IFERROR(VLOOKUP(TAB_SAIDA[[#This Row],[COD_2_SAIDA]],TAB_ESTOQUE[[Codigo]:[Referência Tec]],7,FALSE),"")</f>
        <v>0</v>
      </c>
      <c r="D548" s="14" t="str">
        <f>VLOOKUP(TAB_SAIDA[[#This Row],[COD_2_SAIDA]],TAB_ESTOQUE[[Codigo]:[Endereço2]],12,FALSE)</f>
        <v>D2105</v>
      </c>
      <c r="E548" s="81">
        <f>SUM(TAB_SAIDA[[#This Row],[20/05/2019]:[00/00/00]])</f>
        <v>0</v>
      </c>
      <c r="F548" s="3"/>
    </row>
    <row r="549" spans="1:489" ht="15" hidden="1" customHeight="1" x14ac:dyDescent="0.25">
      <c r="A549" s="5" t="s">
        <v>2206</v>
      </c>
      <c r="B549" s="14" t="str">
        <f>VLOOKUP(TAB_SAIDA[[#This Row],[COD_2_SAIDA]],TAB_ESTOQUE[[Codigo]:[Descrição Tecnica]],6,FALSE)</f>
        <v>ROLAMENTO UC207 (F&amp;D)</v>
      </c>
      <c r="C549" s="14">
        <f>IFERROR(VLOOKUP(TAB_SAIDA[[#This Row],[COD_2_SAIDA]],TAB_ESTOQUE[[Codigo]:[Referência Tec]],7,FALSE),"")</f>
        <v>0</v>
      </c>
      <c r="D549" s="14" t="str">
        <f>VLOOKUP(TAB_SAIDA[[#This Row],[COD_2_SAIDA]],TAB_ESTOQUE[[Codigo]:[Endereço2]],12,FALSE)</f>
        <v>D2105</v>
      </c>
      <c r="E549" s="81">
        <f>SUM(TAB_SAIDA[[#This Row],[20/05/2019]:[00/00/00]])</f>
        <v>0</v>
      </c>
      <c r="F549" s="3"/>
    </row>
    <row r="550" spans="1:489" ht="15" hidden="1" customHeight="1" x14ac:dyDescent="0.25">
      <c r="A550" s="5" t="s">
        <v>2207</v>
      </c>
      <c r="B550" s="14" t="str">
        <f>VLOOKUP(TAB_SAIDA[[#This Row],[COD_2_SAIDA]],TAB_ESTOQUE[[Codigo]:[Descrição Tecnica]],6,FALSE)</f>
        <v>VALULA PNEUMATICA DSG-01-3C2-D24-N1 YUKEN-N.C.M 8481.20.90 DSG-01-3C2-D24-N1</v>
      </c>
      <c r="C550" s="14">
        <f>IFERROR(VLOOKUP(TAB_SAIDA[[#This Row],[COD_2_SAIDA]],TAB_ESTOQUE[[Codigo]:[Referência Tec]],7,FALSE),"")</f>
        <v>0</v>
      </c>
      <c r="D550" s="14" t="str">
        <f>VLOOKUP(TAB_SAIDA[[#This Row],[COD_2_SAIDA]],TAB_ESTOQUE[[Codigo]:[Endereço2]],12,FALSE)</f>
        <v>C2204</v>
      </c>
      <c r="E550" s="81">
        <f>SUM(TAB_SAIDA[[#This Row],[20/05/2019]:[00/00/00]])</f>
        <v>0</v>
      </c>
      <c r="F550" s="3"/>
    </row>
    <row r="551" spans="1:489" ht="15" hidden="1" customHeight="1" x14ac:dyDescent="0.25">
      <c r="A551" s="5" t="s">
        <v>2208</v>
      </c>
      <c r="B551" s="14" t="str">
        <f>VLOOKUP(TAB_SAIDA[[#This Row],[COD_2_SAIDA]],TAB_ESTOQUE[[Codigo]:[Descrição Tecnica]],6,FALSE)</f>
        <v>ROLAMENTO UC203 (POWELL)</v>
      </c>
      <c r="C551" s="14">
        <f>IFERROR(VLOOKUP(TAB_SAIDA[[#This Row],[COD_2_SAIDA]],TAB_ESTOQUE[[Codigo]:[Referência Tec]],7,FALSE),"")</f>
        <v>0</v>
      </c>
      <c r="D551" s="14" t="str">
        <f>VLOOKUP(TAB_SAIDA[[#This Row],[COD_2_SAIDA]],TAB_ESTOQUE[[Codigo]:[Endereço2]],12,FALSE)</f>
        <v>D2105</v>
      </c>
      <c r="E551" s="81">
        <f>SUM(TAB_SAIDA[[#This Row],[20/05/2019]:[00/00/00]])</f>
        <v>0</v>
      </c>
      <c r="F551" s="3"/>
    </row>
    <row r="552" spans="1:489" ht="15" hidden="1" customHeight="1" x14ac:dyDescent="0.25">
      <c r="A552" s="5" t="s">
        <v>2209</v>
      </c>
      <c r="B552" s="14" t="str">
        <f>VLOOKUP(TAB_SAIDA[[#This Row],[COD_2_SAIDA]],TAB_ESTOQUE[[Codigo]:[Descrição Tecnica]],6,FALSE)</f>
        <v>ROLAMENTO RÍGIDO DE ESFERA 6005-2z (SKF)</v>
      </c>
      <c r="C552" s="14">
        <f>IFERROR(VLOOKUP(TAB_SAIDA[[#This Row],[COD_2_SAIDA]],TAB_ESTOQUE[[Codigo]:[Referência Tec]],7,FALSE),"")</f>
        <v>0</v>
      </c>
      <c r="D552" s="14" t="str">
        <f>VLOOKUP(TAB_SAIDA[[#This Row],[COD_2_SAIDA]],TAB_ESTOQUE[[Codigo]:[Endereço2]],12,FALSE)</f>
        <v>D2103</v>
      </c>
      <c r="E552" s="81">
        <f>SUM(TAB_SAIDA[[#This Row],[20/05/2019]:[00/00/00]])</f>
        <v>0</v>
      </c>
      <c r="F552" s="3"/>
    </row>
    <row r="553" spans="1:489" ht="15" hidden="1" customHeight="1" x14ac:dyDescent="0.25">
      <c r="A553" s="5" t="s">
        <v>2210</v>
      </c>
      <c r="B553" s="14" t="str">
        <f>VLOOKUP(TAB_SAIDA[[#This Row],[COD_2_SAIDA]],TAB_ESTOQUE[[Codigo]:[Descrição Tecnica]],6,FALSE)</f>
        <v>ROLAMENTO 6201</v>
      </c>
      <c r="C553" s="14">
        <f>IFERROR(VLOOKUP(TAB_SAIDA[[#This Row],[COD_2_SAIDA]],TAB_ESTOQUE[[Codigo]:[Referência Tec]],7,FALSE),"")</f>
        <v>0</v>
      </c>
      <c r="D553" s="14" t="str">
        <f>VLOOKUP(TAB_SAIDA[[#This Row],[COD_2_SAIDA]],TAB_ESTOQUE[[Codigo]:[Endereço2]],12,FALSE)</f>
        <v>D2103</v>
      </c>
      <c r="E553" s="81">
        <f>SUM(TAB_SAIDA[[#This Row],[20/05/2019]:[00/00/00]])</f>
        <v>1</v>
      </c>
      <c r="F553" s="3"/>
      <c r="RU553" s="3">
        <v>1</v>
      </c>
    </row>
    <row r="554" spans="1:489" ht="15" hidden="1" customHeight="1" x14ac:dyDescent="0.25">
      <c r="A554" s="5" t="s">
        <v>2211</v>
      </c>
      <c r="B554" s="14" t="str">
        <f>VLOOKUP(TAB_SAIDA[[#This Row],[COD_2_SAIDA]],TAB_ESTOQUE[[Codigo]:[Descrição Tecnica]],6,FALSE)</f>
        <v>ROLAMENTO RÍGIDO DE ESFERA 6304 (SKF)</v>
      </c>
      <c r="C554" s="14">
        <f>IFERROR(VLOOKUP(TAB_SAIDA[[#This Row],[COD_2_SAIDA]],TAB_ESTOQUE[[Codigo]:[Referência Tec]],7,FALSE),"")</f>
        <v>0</v>
      </c>
      <c r="D554" s="14" t="str">
        <f>VLOOKUP(TAB_SAIDA[[#This Row],[COD_2_SAIDA]],TAB_ESTOQUE[[Codigo]:[Endereço2]],12,FALSE)</f>
        <v>D2103</v>
      </c>
      <c r="E554" s="81">
        <f>SUM(TAB_SAIDA[[#This Row],[20/05/2019]:[00/00/00]])</f>
        <v>2</v>
      </c>
      <c r="F554" s="3"/>
      <c r="RO554" s="3">
        <v>2</v>
      </c>
    </row>
    <row r="555" spans="1:489" ht="15" hidden="1" customHeight="1" x14ac:dyDescent="0.25">
      <c r="A555" s="5" t="s">
        <v>2212</v>
      </c>
      <c r="B555" s="14" t="str">
        <f>VLOOKUP(TAB_SAIDA[[#This Row],[COD_2_SAIDA]],TAB_ESTOQUE[[Codigo]:[Descrição Tecnica]],6,FALSE)</f>
        <v>ROLAMENTO AUTOCOMPENSADOR DE ESFERA 1204K C3</v>
      </c>
      <c r="C555" s="14">
        <f>IFERROR(VLOOKUP(TAB_SAIDA[[#This Row],[COD_2_SAIDA]],TAB_ESTOQUE[[Codigo]:[Referência Tec]],7,FALSE),"")</f>
        <v>0</v>
      </c>
      <c r="D555" s="14" t="str">
        <f>VLOOKUP(TAB_SAIDA[[#This Row],[COD_2_SAIDA]],TAB_ESTOQUE[[Codigo]:[Endereço2]],12,FALSE)</f>
        <v>D2103</v>
      </c>
      <c r="E555" s="81">
        <f>SUM(TAB_SAIDA[[#This Row],[20/05/2019]:[00/00/00]])</f>
        <v>0</v>
      </c>
      <c r="F555" s="3"/>
    </row>
    <row r="556" spans="1:489" ht="15" hidden="1" customHeight="1" x14ac:dyDescent="0.25">
      <c r="A556" s="5" t="s">
        <v>2213</v>
      </c>
      <c r="B556" s="14" t="str">
        <f>VLOOKUP(TAB_SAIDA[[#This Row],[COD_2_SAIDA]],TAB_ESTOQUE[[Codigo]:[Descrição Tecnica]],6,FALSE)</f>
        <v>ROLAMENTO RÍGIDO DE ESFERA 62305-2RS1 (SKF)</v>
      </c>
      <c r="C556" s="14">
        <f>IFERROR(VLOOKUP(TAB_SAIDA[[#This Row],[COD_2_SAIDA]],TAB_ESTOQUE[[Codigo]:[Referência Tec]],7,FALSE),"")</f>
        <v>0</v>
      </c>
      <c r="D556" s="14" t="str">
        <f>VLOOKUP(TAB_SAIDA[[#This Row],[COD_2_SAIDA]],TAB_ESTOQUE[[Codigo]:[Endereço2]],12,FALSE)</f>
        <v>D2103</v>
      </c>
      <c r="E556" s="81">
        <f>SUM(TAB_SAIDA[[#This Row],[20/05/2019]:[00/00/00]])</f>
        <v>0</v>
      </c>
      <c r="F556" s="3"/>
    </row>
    <row r="557" spans="1:489" ht="15" hidden="1" customHeight="1" x14ac:dyDescent="0.25">
      <c r="A557" s="5" t="s">
        <v>2214</v>
      </c>
      <c r="B557" s="14" t="str">
        <f>VLOOKUP(TAB_SAIDA[[#This Row],[COD_2_SAIDA]],TAB_ESTOQUE[[Codigo]:[Descrição Tecnica]],6,FALSE)</f>
        <v>ROLAMENTO Y208-V22 (FRM)</v>
      </c>
      <c r="C557" s="14">
        <f>IFERROR(VLOOKUP(TAB_SAIDA[[#This Row],[COD_2_SAIDA]],TAB_ESTOQUE[[Codigo]:[Referência Tec]],7,FALSE),"")</f>
        <v>0</v>
      </c>
      <c r="D557" s="14" t="str">
        <f>VLOOKUP(TAB_SAIDA[[#This Row],[COD_2_SAIDA]],TAB_ESTOQUE[[Codigo]:[Endereço2]],12,FALSE)</f>
        <v>G2106</v>
      </c>
      <c r="E557" s="81">
        <f>SUM(TAB_SAIDA[[#This Row],[20/05/2019]:[00/00/00]])</f>
        <v>0</v>
      </c>
      <c r="F557" s="3"/>
    </row>
    <row r="558" spans="1:489" ht="15" hidden="1" customHeight="1" x14ac:dyDescent="0.25">
      <c r="A558" s="5" t="s">
        <v>2215</v>
      </c>
      <c r="B558" s="14" t="str">
        <f>VLOOKUP(TAB_SAIDA[[#This Row],[COD_2_SAIDA]],TAB_ESTOQUE[[Codigo]:[Descrição Tecnica]],6,FALSE)</f>
        <v>ROLAMENTO 5205 (SKF)</v>
      </c>
      <c r="C558" s="14">
        <f>IFERROR(VLOOKUP(TAB_SAIDA[[#This Row],[COD_2_SAIDA]],TAB_ESTOQUE[[Codigo]:[Referência Tec]],7,FALSE),"")</f>
        <v>0</v>
      </c>
      <c r="D558" s="14" t="str">
        <f>VLOOKUP(TAB_SAIDA[[#This Row],[COD_2_SAIDA]],TAB_ESTOQUE[[Codigo]:[Endereço2]],12,FALSE)</f>
        <v>D2103</v>
      </c>
      <c r="E558" s="81">
        <f>SUM(TAB_SAIDA[[#This Row],[20/05/2019]:[00/00/00]])</f>
        <v>0</v>
      </c>
      <c r="F558" s="3"/>
    </row>
    <row r="559" spans="1:489" ht="15" hidden="1" customHeight="1" x14ac:dyDescent="0.25">
      <c r="A559" s="5" t="s">
        <v>2216</v>
      </c>
      <c r="B559" s="14" t="str">
        <f>VLOOKUP(TAB_SAIDA[[#This Row],[COD_2_SAIDA]],TAB_ESTOQUE[[Codigo]:[Descrição Tecnica]],6,FALSE)</f>
        <v>ROLAMENTO 30209 (FRM)</v>
      </c>
      <c r="C559" s="14">
        <f>IFERROR(VLOOKUP(TAB_SAIDA[[#This Row],[COD_2_SAIDA]],TAB_ESTOQUE[[Codigo]:[Referência Tec]],7,FALSE),"")</f>
        <v>0</v>
      </c>
      <c r="D559" s="14" t="str">
        <f>VLOOKUP(TAB_SAIDA[[#This Row],[COD_2_SAIDA]],TAB_ESTOQUE[[Codigo]:[Endereço2]],12,FALSE)</f>
        <v>D2103</v>
      </c>
      <c r="E559" s="81">
        <f>SUM(TAB_SAIDA[[#This Row],[20/05/2019]:[00/00/00]])</f>
        <v>0</v>
      </c>
      <c r="F559" s="3"/>
    </row>
    <row r="560" spans="1:489" ht="15" hidden="1" customHeight="1" x14ac:dyDescent="0.25">
      <c r="A560" s="5" t="s">
        <v>2217</v>
      </c>
      <c r="B560" s="14" t="str">
        <f>VLOOKUP(TAB_SAIDA[[#This Row],[COD_2_SAIDA]],TAB_ESTOQUE[[Codigo]:[Descrição Tecnica]],6,FALSE)</f>
        <v>ROLAMENTO RÍGIDO DE ESFERA 6009DDU (SKF)</v>
      </c>
      <c r="C560" s="14">
        <f>IFERROR(VLOOKUP(TAB_SAIDA[[#This Row],[COD_2_SAIDA]],TAB_ESTOQUE[[Codigo]:[Referência Tec]],7,FALSE),"")</f>
        <v>0</v>
      </c>
      <c r="D560" s="14" t="str">
        <f>VLOOKUP(TAB_SAIDA[[#This Row],[COD_2_SAIDA]],TAB_ESTOQUE[[Codigo]:[Endereço2]],12,FALSE)</f>
        <v>D2104</v>
      </c>
      <c r="E560" s="81">
        <f>SUM(TAB_SAIDA[[#This Row],[20/05/2019]:[00/00/00]])</f>
        <v>0</v>
      </c>
      <c r="F560" s="3"/>
    </row>
    <row r="561" spans="1:600" ht="15" hidden="1" customHeight="1" x14ac:dyDescent="0.25">
      <c r="A561" s="5" t="s">
        <v>2218</v>
      </c>
      <c r="B561" s="14" t="str">
        <f>VLOOKUP(TAB_SAIDA[[#This Row],[COD_2_SAIDA]],TAB_ESTOQUE[[Codigo]:[Descrição Tecnica]],6,FALSE)</f>
        <v>ROLAMENTO 6007 (SKF)</v>
      </c>
      <c r="C561" s="14">
        <f>IFERROR(VLOOKUP(TAB_SAIDA[[#This Row],[COD_2_SAIDA]],TAB_ESTOQUE[[Codigo]:[Referência Tec]],7,FALSE),"")</f>
        <v>0</v>
      </c>
      <c r="D561" s="14" t="str">
        <f>VLOOKUP(TAB_SAIDA[[#This Row],[COD_2_SAIDA]],TAB_ESTOQUE[[Codigo]:[Endereço2]],12,FALSE)</f>
        <v>D2103</v>
      </c>
      <c r="E561" s="81">
        <f>SUM(TAB_SAIDA[[#This Row],[20/05/2019]:[00/00/00]])</f>
        <v>0</v>
      </c>
      <c r="F561" s="3"/>
    </row>
    <row r="562" spans="1:600" ht="15" hidden="1" customHeight="1" x14ac:dyDescent="0.25">
      <c r="A562" s="5" t="s">
        <v>2219</v>
      </c>
      <c r="B562" s="14" t="str">
        <f>VLOOKUP(TAB_SAIDA[[#This Row],[COD_2_SAIDA]],TAB_ESTOQUE[[Codigo]:[Descrição Tecnica]],6,FALSE)</f>
        <v>SELO MECANICO TIPO MOLAS MULTIPLAS - DS 22 MM FACES CARVAO x SEDE CR-NI x VEDACOES EM CHEMRAZ 1150 RPM x 7 M3 / H x 3 BAR x 2 CST x 250ºC</v>
      </c>
      <c r="C562" s="14">
        <f>IFERROR(VLOOKUP(TAB_SAIDA[[#This Row],[COD_2_SAIDA]],TAB_ESTOQUE[[Codigo]:[Referência Tec]],7,FALSE),"")</f>
        <v>0</v>
      </c>
      <c r="D562" s="14" t="str">
        <f>VLOOKUP(TAB_SAIDA[[#This Row],[COD_2_SAIDA]],TAB_ESTOQUE[[Codigo]:[Endereço2]],12,FALSE)</f>
        <v>D1202</v>
      </c>
      <c r="E562" s="81">
        <f>SUM(TAB_SAIDA[[#This Row],[20/05/2019]:[00/00/00]])</f>
        <v>3</v>
      </c>
      <c r="F562" s="3"/>
      <c r="RM562" s="3">
        <v>1</v>
      </c>
      <c r="TC562" s="3">
        <v>2</v>
      </c>
    </row>
    <row r="563" spans="1:600" ht="15" hidden="1" customHeight="1" x14ac:dyDescent="0.25">
      <c r="A563" s="5" t="s">
        <v>2220</v>
      </c>
      <c r="B563" s="14" t="str">
        <f>VLOOKUP(TAB_SAIDA[[#This Row],[COD_2_SAIDA]],TAB_ESTOQUE[[Codigo]:[Descrição Tecnica]],6,FALSE)</f>
        <v>ROLAMENTO AUTOCOMPENSADOR DE ESFERA 2208 E-2RS1TN9 (SKF)</v>
      </c>
      <c r="C563" s="14">
        <f>IFERROR(VLOOKUP(TAB_SAIDA[[#This Row],[COD_2_SAIDA]],TAB_ESTOQUE[[Codigo]:[Referência Tec]],7,FALSE),"")</f>
        <v>0</v>
      </c>
      <c r="D563" s="14" t="str">
        <f>VLOOKUP(TAB_SAIDA[[#This Row],[COD_2_SAIDA]],TAB_ESTOQUE[[Codigo]:[Endereço2]],12,FALSE)</f>
        <v>D2102</v>
      </c>
      <c r="E563" s="81">
        <f>SUM(TAB_SAIDA[[#This Row],[20/05/2019]:[00/00/00]])</f>
        <v>0</v>
      </c>
      <c r="F563" s="3"/>
    </row>
    <row r="564" spans="1:600" ht="15" hidden="1" customHeight="1" x14ac:dyDescent="0.25">
      <c r="A564" s="5" t="s">
        <v>2221</v>
      </c>
      <c r="B564" s="14" t="str">
        <f>VLOOKUP(TAB_SAIDA[[#This Row],[COD_2_SAIDA]],TAB_ESTOQUE[[Codigo]:[Descrição Tecnica]],6,FALSE)</f>
        <v>ROLAMENTO UK210</v>
      </c>
      <c r="C564" s="14">
        <f>IFERROR(VLOOKUP(TAB_SAIDA[[#This Row],[COD_2_SAIDA]],TAB_ESTOQUE[[Codigo]:[Referência Tec]],7,FALSE),"")</f>
        <v>0</v>
      </c>
      <c r="D564" s="14" t="str">
        <f>VLOOKUP(TAB_SAIDA[[#This Row],[COD_2_SAIDA]],TAB_ESTOQUE[[Codigo]:[Endereço2]],12,FALSE)</f>
        <v>D2106</v>
      </c>
      <c r="E564" s="81">
        <f>SUM(TAB_SAIDA[[#This Row],[20/05/2019]:[00/00/00]])</f>
        <v>0</v>
      </c>
      <c r="F564" s="3"/>
    </row>
    <row r="565" spans="1:600" ht="15" hidden="1" customHeight="1" x14ac:dyDescent="0.25">
      <c r="A565" s="5" t="s">
        <v>2222</v>
      </c>
      <c r="B565" s="14" t="str">
        <f>VLOOKUP(TAB_SAIDA[[#This Row],[COD_2_SAIDA]],TAB_ESTOQUE[[Codigo]:[Descrição Tecnica]],6,FALSE)</f>
        <v>MANCAL DO FORNO P212</v>
      </c>
      <c r="C565" s="14">
        <f>IFERROR(VLOOKUP(TAB_SAIDA[[#This Row],[COD_2_SAIDA]],TAB_ESTOQUE[[Codigo]:[Referência Tec]],7,FALSE),"")</f>
        <v>0</v>
      </c>
      <c r="D565" s="14" t="str">
        <f>VLOOKUP(TAB_SAIDA[[#This Row],[COD_2_SAIDA]],TAB_ESTOQUE[[Codigo]:[Endereço2]],12,FALSE)</f>
        <v>E1404</v>
      </c>
      <c r="E565" s="81">
        <f>SUM(TAB_SAIDA[[#This Row],[20/05/2019]:[00/00/00]])</f>
        <v>0</v>
      </c>
      <c r="F565" s="3"/>
    </row>
    <row r="566" spans="1:600" ht="15" hidden="1" customHeight="1" x14ac:dyDescent="0.25">
      <c r="A566" s="5" t="s">
        <v>2223</v>
      </c>
      <c r="B566" s="14" t="str">
        <f>VLOOKUP(TAB_SAIDA[[#This Row],[COD_2_SAIDA]],TAB_ESTOQUE[[Codigo]:[Descrição Tecnica]],6,FALSE)</f>
        <v>MANCAL  COM ROLAMENTO PSHE30-N</v>
      </c>
      <c r="C566" s="14">
        <f>IFERROR(VLOOKUP(TAB_SAIDA[[#This Row],[COD_2_SAIDA]],TAB_ESTOQUE[[Codigo]:[Referência Tec]],7,FALSE),"")</f>
        <v>0</v>
      </c>
      <c r="D566" s="14" t="str">
        <f>VLOOKUP(TAB_SAIDA[[#This Row],[COD_2_SAIDA]],TAB_ESTOQUE[[Codigo]:[Endereço2]],12,FALSE)</f>
        <v>G1106</v>
      </c>
      <c r="E566" s="81">
        <f>SUM(TAB_SAIDA[[#This Row],[20/05/2019]:[00/00/00]])</f>
        <v>0</v>
      </c>
      <c r="F566" s="3"/>
    </row>
    <row r="567" spans="1:600" ht="15" hidden="1" customHeight="1" x14ac:dyDescent="0.25">
      <c r="A567" s="5" t="s">
        <v>2224</v>
      </c>
      <c r="B567" s="14" t="str">
        <f>VLOOKUP(TAB_SAIDA[[#This Row],[COD_2_SAIDA]],TAB_ESTOQUE[[Codigo]:[Descrição Tecnica]],6,FALSE)</f>
        <v>MANCAL P208 (F &amp; D)</v>
      </c>
      <c r="C567" s="14">
        <f>IFERROR(VLOOKUP(TAB_SAIDA[[#This Row],[COD_2_SAIDA]],TAB_ESTOQUE[[Codigo]:[Referência Tec]],7,FALSE),"")</f>
        <v>0</v>
      </c>
      <c r="D567" s="14" t="str">
        <f>VLOOKUP(TAB_SAIDA[[#This Row],[COD_2_SAIDA]],TAB_ESTOQUE[[Codigo]:[Endereço2]],12,FALSE)</f>
        <v>G1106</v>
      </c>
      <c r="E567" s="81">
        <f>SUM(TAB_SAIDA[[#This Row],[20/05/2019]:[00/00/00]])</f>
        <v>0</v>
      </c>
      <c r="F567" s="3"/>
    </row>
    <row r="568" spans="1:600" ht="15" hidden="1" customHeight="1" x14ac:dyDescent="0.25">
      <c r="A568" s="5" t="s">
        <v>2225</v>
      </c>
      <c r="B568" s="14" t="str">
        <f>VLOOKUP(TAB_SAIDA[[#This Row],[COD_2_SAIDA]],TAB_ESTOQUE[[Codigo]:[Descrição Tecnica]],6,FALSE)</f>
        <v>MANCAL FL208 FK</v>
      </c>
      <c r="C568" s="14">
        <f>IFERROR(VLOOKUP(TAB_SAIDA[[#This Row],[COD_2_SAIDA]],TAB_ESTOQUE[[Codigo]:[Referência Tec]],7,FALSE),"")</f>
        <v>0</v>
      </c>
      <c r="D568" s="14" t="str">
        <f>VLOOKUP(TAB_SAIDA[[#This Row],[COD_2_SAIDA]],TAB_ESTOQUE[[Codigo]:[Endereço2]],12,FALSE)</f>
        <v>E1404</v>
      </c>
      <c r="E568" s="81">
        <f>SUM(TAB_SAIDA[[#This Row],[20/05/2019]:[00/00/00]])</f>
        <v>0</v>
      </c>
      <c r="F568" s="3"/>
    </row>
    <row r="569" spans="1:600" ht="15" hidden="1" customHeight="1" x14ac:dyDescent="0.25">
      <c r="A569" s="5" t="s">
        <v>2226</v>
      </c>
      <c r="B569" s="14" t="str">
        <f>VLOOKUP(TAB_SAIDA[[#This Row],[COD_2_SAIDA]],TAB_ESTOQUE[[Codigo]:[Descrição Tecnica]],6,FALSE)</f>
        <v>SERPENTINA PARA EIXO 2 (NEW COIL AXIS 2 FOR FILTER LINE 1/4" COIL 16000) PN 305313 KMT WJ (DSR)</v>
      </c>
      <c r="C569" s="14">
        <f>IFERROR(VLOOKUP(TAB_SAIDA[[#This Row],[COD_2_SAIDA]],TAB_ESTOQUE[[Codigo]:[Referência Tec]],7,FALSE),"")</f>
        <v>0</v>
      </c>
      <c r="D569" s="14" t="str">
        <f>VLOOKUP(TAB_SAIDA[[#This Row],[COD_2_SAIDA]],TAB_ESTOQUE[[Codigo]:[Endereço2]],12,FALSE)</f>
        <v>D2201</v>
      </c>
      <c r="E569" s="81">
        <f>SUM(TAB_SAIDA[[#This Row],[20/05/2019]:[00/00/00]])</f>
        <v>1</v>
      </c>
      <c r="F569" s="3"/>
      <c r="WB569" s="3">
        <v>1</v>
      </c>
    </row>
    <row r="570" spans="1:600" ht="15" hidden="1" customHeight="1" x14ac:dyDescent="0.25">
      <c r="A570" s="5" t="s">
        <v>2227</v>
      </c>
      <c r="B570" s="14" t="str">
        <f>VLOOKUP(TAB_SAIDA[[#This Row],[COD_2_SAIDA]],TAB_ESTOQUE[[Codigo]:[Descrição Tecnica]],6,FALSE)</f>
        <v>SERPENTINA PARA EIXO 1 (SPIRE AXIS 1 ROBOT IRB 1600 COIL) PN 304415 KMT WJ  (DSR)</v>
      </c>
      <c r="C570" s="14">
        <f>IFERROR(VLOOKUP(TAB_SAIDA[[#This Row],[COD_2_SAIDA]],TAB_ESTOQUE[[Codigo]:[Referência Tec]],7,FALSE),"")</f>
        <v>0</v>
      </c>
      <c r="D570" s="14" t="str">
        <f>VLOOKUP(TAB_SAIDA[[#This Row],[COD_2_SAIDA]],TAB_ESTOQUE[[Codigo]:[Endereço2]],12,FALSE)</f>
        <v>D2201</v>
      </c>
      <c r="E570" s="81">
        <f>SUM(TAB_SAIDA[[#This Row],[20/05/2019]:[00/00/00]])</f>
        <v>1</v>
      </c>
      <c r="F570" s="3"/>
      <c r="VY570" s="3">
        <v>1</v>
      </c>
    </row>
    <row r="571" spans="1:600" ht="15" hidden="1" customHeight="1" x14ac:dyDescent="0.25">
      <c r="A571" s="5" t="s">
        <v>2228</v>
      </c>
      <c r="B571" s="14" t="str">
        <f>VLOOKUP(TAB_SAIDA[[#This Row],[COD_2_SAIDA]],TAB_ESTOQUE[[Codigo]:[Descrição Tecnica]],6,FALSE)</f>
        <v>SERPENTINA PARA EIXO 3 (SPIRE AXIS 3 ROBOT IRB 1600 COIL) PN 304297 KMT WJ  (DSR)</v>
      </c>
      <c r="C571" s="14">
        <f>IFERROR(VLOOKUP(TAB_SAIDA[[#This Row],[COD_2_SAIDA]],TAB_ESTOQUE[[Codigo]:[Referência Tec]],7,FALSE),"")</f>
        <v>0</v>
      </c>
      <c r="D571" s="14" t="str">
        <f>VLOOKUP(TAB_SAIDA[[#This Row],[COD_2_SAIDA]],TAB_ESTOQUE[[Codigo]:[Endereço2]],12,FALSE)</f>
        <v>D2201</v>
      </c>
      <c r="E571" s="81">
        <f>SUM(TAB_SAIDA[[#This Row],[20/05/2019]:[00/00/00]])</f>
        <v>0</v>
      </c>
      <c r="F571" s="3"/>
    </row>
    <row r="572" spans="1:600" ht="15" hidden="1" customHeight="1" x14ac:dyDescent="0.25">
      <c r="A572" s="5" t="s">
        <v>2229</v>
      </c>
      <c r="B572" s="14" t="str">
        <f>VLOOKUP(TAB_SAIDA[[#This Row],[COD_2_SAIDA]],TAB_ESTOQUE[[Codigo]:[Descrição Tecnica]],6,FALSE)</f>
        <v>BOMBA DE AGUA REF: PA0301HHCDN0034 9P2</v>
      </c>
      <c r="C572" s="14">
        <f>IFERROR(VLOOKUP(TAB_SAIDA[[#This Row],[COD_2_SAIDA]],TAB_ESTOQUE[[Codigo]:[Referência Tec]],7,FALSE),"")</f>
        <v>0</v>
      </c>
      <c r="D572" s="14" t="str">
        <f>VLOOKUP(TAB_SAIDA[[#This Row],[COD_2_SAIDA]],TAB_ESTOQUE[[Codigo]:[Endereço2]],12,FALSE)</f>
        <v>D1202</v>
      </c>
      <c r="E572" s="81">
        <f>SUM(TAB_SAIDA[[#This Row],[20/05/2019]:[00/00/00]])</f>
        <v>0</v>
      </c>
      <c r="F572" s="3"/>
    </row>
    <row r="573" spans="1:600" ht="15" hidden="1" customHeight="1" x14ac:dyDescent="0.25">
      <c r="A573" s="5" t="s">
        <v>2230</v>
      </c>
      <c r="B573" s="14" t="str">
        <f>VLOOKUP(TAB_SAIDA[[#This Row],[COD_2_SAIDA]],TAB_ESTOQUE[[Codigo]:[Descrição Tecnica]],6,FALSE)</f>
        <v>FILTRO W.J PART : 05049689</v>
      </c>
      <c r="C573" s="14">
        <f>IFERROR(VLOOKUP(TAB_SAIDA[[#This Row],[COD_2_SAIDA]],TAB_ESTOQUE[[Codigo]:[Referência Tec]],7,FALSE),"")</f>
        <v>0</v>
      </c>
      <c r="D573" s="14" t="str">
        <f>VLOOKUP(TAB_SAIDA[[#This Row],[COD_2_SAIDA]],TAB_ESTOQUE[[Codigo]:[Endereço2]],12,FALSE)</f>
        <v>C1405</v>
      </c>
      <c r="E573" s="81">
        <f>SUM(TAB_SAIDA[[#This Row],[20/05/2019]:[00/00/00]])</f>
        <v>0</v>
      </c>
      <c r="F573" s="3"/>
    </row>
    <row r="574" spans="1:600" ht="15" hidden="1" customHeight="1" x14ac:dyDescent="0.25">
      <c r="A574" s="5" t="s">
        <v>2231</v>
      </c>
      <c r="B574" s="14" t="str">
        <f>VLOOKUP(TAB_SAIDA[[#This Row],[COD_2_SAIDA]],TAB_ESTOQUE[[Codigo]:[Descrição Tecnica]],6,FALSE)</f>
        <v>SELO MECANICO TS-P 1" VITON</v>
      </c>
      <c r="C574" s="14">
        <f>IFERROR(VLOOKUP(TAB_SAIDA[[#This Row],[COD_2_SAIDA]],TAB_ESTOQUE[[Codigo]:[Referência Tec]],7,FALSE),"")</f>
        <v>0</v>
      </c>
      <c r="D574" s="14" t="str">
        <f>VLOOKUP(TAB_SAIDA[[#This Row],[COD_2_SAIDA]],TAB_ESTOQUE[[Codigo]:[Endereço2]],12,FALSE)</f>
        <v>D1202</v>
      </c>
      <c r="E574" s="81">
        <f>SUM(TAB_SAIDA[[#This Row],[20/05/2019]:[00/00/00]])</f>
        <v>0</v>
      </c>
      <c r="F574" s="3"/>
    </row>
    <row r="575" spans="1:600" ht="15" hidden="1" customHeight="1" x14ac:dyDescent="0.25">
      <c r="A575" s="5" t="s">
        <v>2232</v>
      </c>
      <c r="B575" s="14" t="str">
        <f>VLOOKUP(TAB_SAIDA[[#This Row],[COD_2_SAIDA]],TAB_ESTOQUE[[Codigo]:[Descrição Tecnica]],6,FALSE)</f>
        <v>TRANSDUTOR DE PRESSÃO TSA-E-1-Z-BV05-G-T-V-XP460 (GEFRA)</v>
      </c>
      <c r="C575" s="14">
        <f>IFERROR(VLOOKUP(TAB_SAIDA[[#This Row],[COD_2_SAIDA]],TAB_ESTOQUE[[Codigo]:[Referência Tec]],7,FALSE),"")</f>
        <v>0</v>
      </c>
      <c r="D575" s="14" t="str">
        <f>VLOOKUP(TAB_SAIDA[[#This Row],[COD_2_SAIDA]],TAB_ESTOQUE[[Codigo]:[Endereço2]],12,FALSE)</f>
        <v>A1104</v>
      </c>
      <c r="E575" s="81">
        <f>SUM(TAB_SAIDA[[#This Row],[20/05/2019]:[00/00/00]])</f>
        <v>0</v>
      </c>
      <c r="F575" s="3"/>
    </row>
    <row r="576" spans="1:600" ht="15" hidden="1" customHeight="1" x14ac:dyDescent="0.25">
      <c r="A576" s="5" t="s">
        <v>2233</v>
      </c>
      <c r="B576" s="14" t="str">
        <f>VLOOKUP(TAB_SAIDA[[#This Row],[COD_2_SAIDA]],TAB_ESTOQUE[[Codigo]:[Descrição Tecnica]],6,FALSE)</f>
        <v>CONECTOR PARA TRANSMISSOR DE PRESSÃO 5004109 (PARKER)</v>
      </c>
      <c r="C576" s="14">
        <f>IFERROR(VLOOKUP(TAB_SAIDA[[#This Row],[COD_2_SAIDA]],TAB_ESTOQUE[[Codigo]:[Referência Tec]],7,FALSE),"")</f>
        <v>0</v>
      </c>
      <c r="D576" s="14" t="str">
        <f>VLOOKUP(TAB_SAIDA[[#This Row],[COD_2_SAIDA]],TAB_ESTOQUE[[Codigo]:[Endereço2]],12,FALSE)</f>
        <v>A1104</v>
      </c>
      <c r="E576" s="81">
        <f>SUM(TAB_SAIDA[[#This Row],[20/05/2019]:[00/00/00]])</f>
        <v>0</v>
      </c>
      <c r="F576" s="3"/>
    </row>
    <row r="577" spans="1:628" ht="15" hidden="1" customHeight="1" x14ac:dyDescent="0.25">
      <c r="A577" s="5" t="s">
        <v>2234</v>
      </c>
      <c r="B577" s="14" t="str">
        <f>VLOOKUP(TAB_SAIDA[[#This Row],[COD_2_SAIDA]],TAB_ESTOQUE[[Codigo]:[Descrição Tecnica]],6,FALSE)</f>
        <v>RETENTOR 436275 28X42X8</v>
      </c>
      <c r="C577" s="14">
        <f>IFERROR(VLOOKUP(TAB_SAIDA[[#This Row],[COD_2_SAIDA]],TAB_ESTOQUE[[Codigo]:[Referência Tec]],7,FALSE),"")</f>
        <v>0</v>
      </c>
      <c r="D577" s="14" t="str">
        <f>VLOOKUP(TAB_SAIDA[[#This Row],[COD_2_SAIDA]],TAB_ESTOQUE[[Codigo]:[Endereço2]],12,FALSE)</f>
        <v>E1205</v>
      </c>
      <c r="E577" s="81">
        <f>SUM(TAB_SAIDA[[#This Row],[20/05/2019]:[00/00/00]])</f>
        <v>0</v>
      </c>
      <c r="F577" s="3"/>
    </row>
    <row r="578" spans="1:628" ht="15" hidden="1" customHeight="1" x14ac:dyDescent="0.25">
      <c r="A578" s="5" t="s">
        <v>2235</v>
      </c>
      <c r="B578" s="14" t="str">
        <f>VLOOKUP(TAB_SAIDA[[#This Row],[COD_2_SAIDA]],TAB_ESTOQUE[[Codigo]:[Descrição Tecnica]],6,FALSE)</f>
        <v>RETENTOR 30X42X7</v>
      </c>
      <c r="C578" s="14">
        <f>IFERROR(VLOOKUP(TAB_SAIDA[[#This Row],[COD_2_SAIDA]],TAB_ESTOQUE[[Codigo]:[Referência Tec]],7,FALSE),"")</f>
        <v>0</v>
      </c>
      <c r="D578" s="14" t="str">
        <f>VLOOKUP(TAB_SAIDA[[#This Row],[COD_2_SAIDA]],TAB_ESTOQUE[[Codigo]:[Endereço2]],12,FALSE)</f>
        <v>E1202</v>
      </c>
      <c r="E578" s="81">
        <f>SUM(TAB_SAIDA[[#This Row],[20/05/2019]:[00/00/00]])</f>
        <v>0</v>
      </c>
      <c r="F578" s="3"/>
    </row>
    <row r="579" spans="1:628" ht="15" customHeight="1" x14ac:dyDescent="0.25">
      <c r="A579" s="5" t="s">
        <v>2236</v>
      </c>
      <c r="B579" s="14" t="str">
        <f>VLOOKUP(TAB_SAIDA[[#This Row],[COD_2_SAIDA]],TAB_ESTOQUE[[Codigo]:[Descrição Tecnica]],6,FALSE)</f>
        <v>KIT REPARO PISTOLA VALCO MELTON 988XX344</v>
      </c>
      <c r="C579" s="14">
        <f>IFERROR(VLOOKUP(TAB_SAIDA[[#This Row],[COD_2_SAIDA]],TAB_ESTOQUE[[Codigo]:[Referência Tec]],7,FALSE),"")</f>
        <v>0</v>
      </c>
      <c r="D579" s="14" t="str">
        <f>VLOOKUP(TAB_SAIDA[[#This Row],[COD_2_SAIDA]],TAB_ESTOQUE[[Codigo]:[Endereço2]],12,FALSE)</f>
        <v>E2302</v>
      </c>
      <c r="E579" s="81">
        <f>SUM(TAB_SAIDA[[#This Row],[20/05/2019]:[00/00/00]])</f>
        <v>1</v>
      </c>
      <c r="F579" s="3"/>
      <c r="WM579" s="3">
        <v>1</v>
      </c>
    </row>
    <row r="580" spans="1:628" ht="15" hidden="1" customHeight="1" x14ac:dyDescent="0.25">
      <c r="A580" s="5" t="s">
        <v>2237</v>
      </c>
      <c r="B580" s="14" t="str">
        <f>VLOOKUP(TAB_SAIDA[[#This Row],[COD_2_SAIDA]],TAB_ESTOQUE[[Codigo]:[Descrição Tecnica]],6,FALSE)</f>
        <v>ANEL ELASTICO PARA EIXO 26,25</v>
      </c>
      <c r="C580" s="14">
        <f>IFERROR(VLOOKUP(TAB_SAIDA[[#This Row],[COD_2_SAIDA]],TAB_ESTOQUE[[Codigo]:[Referência Tec]],7,FALSE),"")</f>
        <v>0</v>
      </c>
      <c r="D580" s="14" t="str">
        <f>VLOOKUP(TAB_SAIDA[[#This Row],[COD_2_SAIDA]],TAB_ESTOQUE[[Codigo]:[Endereço2]],12,FALSE)</f>
        <v>E1304</v>
      </c>
      <c r="E580" s="81">
        <f>SUM(TAB_SAIDA[[#This Row],[20/05/2019]:[00/00/00]])</f>
        <v>0</v>
      </c>
      <c r="F580" s="3"/>
    </row>
    <row r="581" spans="1:628" ht="15" customHeight="1" x14ac:dyDescent="0.25">
      <c r="A581" s="5" t="s">
        <v>2238</v>
      </c>
      <c r="B581" s="14" t="str">
        <f>VLOOKUP(TAB_SAIDA[[#This Row],[COD_2_SAIDA]],TAB_ESTOQUE[[Codigo]:[Descrição Tecnica]],6,FALSE)</f>
        <v>AGULHA DA PISTOLA DE COLA GRACO 24A690 K19A</v>
      </c>
      <c r="C581" s="14">
        <f>IFERROR(VLOOKUP(TAB_SAIDA[[#This Row],[COD_2_SAIDA]],TAB_ESTOQUE[[Codigo]:[Referência Tec]],7,FALSE),"")</f>
        <v>0</v>
      </c>
      <c r="D581" s="14" t="str">
        <f>VLOOKUP(TAB_SAIDA[[#This Row],[COD_2_SAIDA]],TAB_ESTOQUE[[Codigo]:[Endereço2]],12,FALSE)</f>
        <v>E2303</v>
      </c>
      <c r="E581" s="81">
        <f>SUM(TAB_SAIDA[[#This Row],[20/05/2019]:[00/00/00]])</f>
        <v>4</v>
      </c>
      <c r="F581" s="3"/>
      <c r="SE581" s="3">
        <v>1</v>
      </c>
      <c r="SM581" s="3">
        <v>1</v>
      </c>
      <c r="SS581" s="3">
        <v>1</v>
      </c>
      <c r="SZ581" s="3">
        <v>1</v>
      </c>
    </row>
    <row r="582" spans="1:628" ht="15" hidden="1" customHeight="1" x14ac:dyDescent="0.25">
      <c r="A582" s="5" t="s">
        <v>2239</v>
      </c>
      <c r="B582" s="14" t="str">
        <f>VLOOKUP(TAB_SAIDA[[#This Row],[COD_2_SAIDA]],TAB_ESTOQUE[[Codigo]:[Descrição Tecnica]],6,FALSE)</f>
        <v>ELEMENTO FILTRANTE W.F PN: LP49834716</v>
      </c>
      <c r="C582" s="14">
        <f>IFERROR(VLOOKUP(TAB_SAIDA[[#This Row],[COD_2_SAIDA]],TAB_ESTOQUE[[Codigo]:[Referência Tec]],7,FALSE),"")</f>
        <v>0</v>
      </c>
      <c r="D582" s="14" t="str">
        <f>VLOOKUP(TAB_SAIDA[[#This Row],[COD_2_SAIDA]],TAB_ESTOQUE[[Codigo]:[Endereço2]],12,FALSE)</f>
        <v>C1401</v>
      </c>
      <c r="E582" s="81">
        <f>SUM(TAB_SAIDA[[#This Row],[20/05/2019]:[00/00/00]])</f>
        <v>0</v>
      </c>
      <c r="F582" s="3"/>
    </row>
    <row r="583" spans="1:628" ht="15" hidden="1" customHeight="1" x14ac:dyDescent="0.25">
      <c r="A583" s="5" t="s">
        <v>2240</v>
      </c>
      <c r="B583" s="14" t="str">
        <f>VLOOKUP(TAB_SAIDA[[#This Row],[COD_2_SAIDA]],TAB_ESTOQUE[[Codigo]:[Descrição Tecnica]],6,FALSE)</f>
        <v>ORING H20 JET 400043-240</v>
      </c>
      <c r="C583" s="14">
        <f>IFERROR(VLOOKUP(TAB_SAIDA[[#This Row],[COD_2_SAIDA]],TAB_ESTOQUE[[Codigo]:[Referência Tec]],7,FALSE),"")</f>
        <v>0</v>
      </c>
      <c r="D583" s="14" t="str">
        <f>VLOOKUP(TAB_SAIDA[[#This Row],[COD_2_SAIDA]],TAB_ESTOQUE[[Codigo]:[Endereço2]],12,FALSE)</f>
        <v>E1304</v>
      </c>
      <c r="E583" s="81">
        <f>SUM(TAB_SAIDA[[#This Row],[20/05/2019]:[00/00/00]])</f>
        <v>1</v>
      </c>
      <c r="F583" s="3"/>
      <c r="WQ583" s="3">
        <v>1</v>
      </c>
    </row>
    <row r="584" spans="1:628" ht="15" hidden="1" customHeight="1" x14ac:dyDescent="0.25">
      <c r="A584" s="5" t="s">
        <v>2241</v>
      </c>
      <c r="B584" s="14" t="str">
        <f>VLOOKUP(TAB_SAIDA[[#This Row],[COD_2_SAIDA]],TAB_ESTOQUE[[Codigo]:[Descrição Tecnica]],6,FALSE)</f>
        <v>CABEÇA DE VEDAÇÃO DO INTENSIFICADOR  / CHECK VALVE 20481009</v>
      </c>
      <c r="C584" s="14">
        <f>IFERROR(VLOOKUP(TAB_SAIDA[[#This Row],[COD_2_SAIDA]],TAB_ESTOQUE[[Codigo]:[Referência Tec]],7,FALSE),"")</f>
        <v>0</v>
      </c>
      <c r="D584" s="14" t="str">
        <f>VLOOKUP(TAB_SAIDA[[#This Row],[COD_2_SAIDA]],TAB_ESTOQUE[[Codigo]:[Endereço2]],12,FALSE)</f>
        <v>D2203</v>
      </c>
      <c r="E584" s="81">
        <f>SUM(TAB_SAIDA[[#This Row],[20/05/2019]:[00/00/00]])</f>
        <v>0</v>
      </c>
      <c r="F584" s="3"/>
    </row>
    <row r="585" spans="1:628" ht="15" hidden="1" customHeight="1" x14ac:dyDescent="0.25">
      <c r="A585" s="5" t="s">
        <v>2242</v>
      </c>
      <c r="B585" s="14" t="str">
        <f>VLOOKUP(TAB_SAIDA[[#This Row],[COD_2_SAIDA]],TAB_ESTOQUE[[Codigo]:[Descrição Tecnica]],6,FALSE)</f>
        <v>CILINDRO DE ALTA PRESSÃO (FLAUTA/LINER-HP CYLINDER) EM INOX 20497767</v>
      </c>
      <c r="C585" s="14">
        <f>IFERROR(VLOOKUP(TAB_SAIDA[[#This Row],[COD_2_SAIDA]],TAB_ESTOQUE[[Codigo]:[Referência Tec]],7,FALSE),"")</f>
        <v>0</v>
      </c>
      <c r="D585" s="14" t="str">
        <f>VLOOKUP(TAB_SAIDA[[#This Row],[COD_2_SAIDA]],TAB_ESTOQUE[[Codigo]:[Endereço2]],12,FALSE)</f>
        <v>D2205</v>
      </c>
      <c r="E585" s="81">
        <f>SUM(TAB_SAIDA[[#This Row],[20/05/2019]:[00/00/00]])</f>
        <v>1</v>
      </c>
      <c r="F585" s="3"/>
      <c r="XD585" s="3">
        <v>1</v>
      </c>
    </row>
    <row r="586" spans="1:628" ht="15" hidden="1" customHeight="1" x14ac:dyDescent="0.25">
      <c r="A586" s="5" t="s">
        <v>2243</v>
      </c>
      <c r="B586" s="14" t="str">
        <f>VLOOKUP(TAB_SAIDA[[#This Row],[COD_2_SAIDA]],TAB_ESTOQUE[[Codigo]:[Descrição Tecnica]],6,FALSE)</f>
        <v>BLOCO TEE KMT 10078590</v>
      </c>
      <c r="C586" s="14">
        <f>IFERROR(VLOOKUP(TAB_SAIDA[[#This Row],[COD_2_SAIDA]],TAB_ESTOQUE[[Codigo]:[Referência Tec]],7,FALSE),"")</f>
        <v>0</v>
      </c>
      <c r="D586" s="14" t="str">
        <f>VLOOKUP(TAB_SAIDA[[#This Row],[COD_2_SAIDA]],TAB_ESTOQUE[[Codigo]:[Endereço2]],12,FALSE)</f>
        <v>D2204</v>
      </c>
      <c r="E586" s="81">
        <f>SUM(TAB_SAIDA[[#This Row],[20/05/2019]:[00/00/00]])</f>
        <v>0</v>
      </c>
      <c r="F586" s="3"/>
    </row>
    <row r="587" spans="1:628" ht="15" hidden="1" customHeight="1" x14ac:dyDescent="0.25">
      <c r="A587" s="5" t="s">
        <v>2244</v>
      </c>
      <c r="B587" s="14" t="str">
        <f>VLOOKUP(TAB_SAIDA[[#This Row],[COD_2_SAIDA]],TAB_ESTOQUE[[Codigo]:[Descrição Tecnica]],6,FALSE)</f>
        <v>SELO HIDRÁULICO DO CARTUCHO REPARO DO ÓLEO 05130091</v>
      </c>
      <c r="C587" s="14">
        <f>IFERROR(VLOOKUP(TAB_SAIDA[[#This Row],[COD_2_SAIDA]],TAB_ESTOQUE[[Codigo]:[Referência Tec]],7,FALSE),"")</f>
        <v>0</v>
      </c>
      <c r="D587" s="14" t="str">
        <f>VLOOKUP(TAB_SAIDA[[#This Row],[COD_2_SAIDA]],TAB_ESTOQUE[[Codigo]:[Endereço2]],12,FALSE)</f>
        <v>ARMARIO</v>
      </c>
      <c r="E587" s="81">
        <f>SUM(TAB_SAIDA[[#This Row],[20/05/2019]:[00/00/00]])</f>
        <v>4</v>
      </c>
      <c r="F587" s="3"/>
      <c r="RZ587" s="3">
        <v>2</v>
      </c>
      <c r="UP587" s="3">
        <v>1</v>
      </c>
      <c r="UU587" s="3">
        <v>1</v>
      </c>
    </row>
    <row r="588" spans="1:628" ht="15" hidden="1" customHeight="1" x14ac:dyDescent="0.25">
      <c r="A588" s="5" t="s">
        <v>2245</v>
      </c>
      <c r="B588" s="14" t="str">
        <f>VLOOKUP(TAB_SAIDA[[#This Row],[COD_2_SAIDA]],TAB_ESTOQUE[[Codigo]:[Descrição Tecnica]],6,FALSE)</f>
        <v>POPPET PIN W.J  05116751</v>
      </c>
      <c r="C588" s="14">
        <f>IFERROR(VLOOKUP(TAB_SAIDA[[#This Row],[COD_2_SAIDA]],TAB_ESTOQUE[[Codigo]:[Referência Tec]],7,FALSE),"")</f>
        <v>0</v>
      </c>
      <c r="D588" s="14" t="str">
        <f>VLOOKUP(TAB_SAIDA[[#This Row],[COD_2_SAIDA]],TAB_ESTOQUE[[Codigo]:[Endereço2]],12,FALSE)</f>
        <v>D2203</v>
      </c>
      <c r="E588" s="81">
        <f>SUM(TAB_SAIDA[[#This Row],[20/05/2019]:[00/00/00]])</f>
        <v>0</v>
      </c>
      <c r="F588" s="3"/>
    </row>
    <row r="589" spans="1:628" ht="15" hidden="1" customHeight="1" x14ac:dyDescent="0.25">
      <c r="A589" s="5" t="s">
        <v>2246</v>
      </c>
      <c r="B589" s="14" t="str">
        <f>VLOOKUP(TAB_SAIDA[[#This Row],[COD_2_SAIDA]],TAB_ESTOQUE[[Codigo]:[Descrição Tecnica]],6,FALSE)</f>
        <v>PINO RETENTOR W.J  20474391</v>
      </c>
      <c r="C589" s="14">
        <f>IFERROR(VLOOKUP(TAB_SAIDA[[#This Row],[COD_2_SAIDA]],TAB_ESTOQUE[[Codigo]:[Referência Tec]],7,FALSE),"")</f>
        <v>0</v>
      </c>
      <c r="D589" s="14" t="str">
        <f>VLOOKUP(TAB_SAIDA[[#This Row],[COD_2_SAIDA]],TAB_ESTOQUE[[Codigo]:[Endereço2]],12,FALSE)</f>
        <v>D2203</v>
      </c>
      <c r="E589" s="81">
        <f>SUM(TAB_SAIDA[[#This Row],[20/05/2019]:[00/00/00]])</f>
        <v>0</v>
      </c>
      <c r="F589" s="3"/>
    </row>
    <row r="590" spans="1:628" ht="15" hidden="1" customHeight="1" x14ac:dyDescent="0.25">
      <c r="A590" s="5" t="s">
        <v>2247</v>
      </c>
      <c r="B590" s="14" t="str">
        <f>VLOOKUP(TAB_SAIDA[[#This Row],[COD_2_SAIDA]],TAB_ESTOQUE[[Codigo]:[Descrição Tecnica]],6,FALSE)</f>
        <v>BOCAL DA CANETA W.J PN: MISB2341</v>
      </c>
      <c r="C590" s="14">
        <f>IFERROR(VLOOKUP(TAB_SAIDA[[#This Row],[COD_2_SAIDA]],TAB_ESTOQUE[[Codigo]:[Referência Tec]],7,FALSE),"")</f>
        <v>0</v>
      </c>
      <c r="D590" s="14" t="str">
        <f>VLOOKUP(TAB_SAIDA[[#This Row],[COD_2_SAIDA]],TAB_ESTOQUE[[Codigo]:[Endereço2]],12,FALSE)</f>
        <v>D2204</v>
      </c>
      <c r="E590" s="81">
        <f>SUM(TAB_SAIDA[[#This Row],[20/05/2019]:[00/00/00]])</f>
        <v>0</v>
      </c>
      <c r="F590" s="3"/>
    </row>
    <row r="591" spans="1:628" ht="15" hidden="1" customHeight="1" x14ac:dyDescent="0.25">
      <c r="A591" s="5" t="s">
        <v>2248</v>
      </c>
      <c r="B591" s="14" t="str">
        <f>VLOOKUP(TAB_SAIDA[[#This Row],[COD_2_SAIDA]],TAB_ESTOQUE[[Codigo]:[Descrição Tecnica]],6,FALSE)</f>
        <v>MOLA DE COMPRESSÃO W.J SP05147863</v>
      </c>
      <c r="C591" s="14">
        <f>IFERROR(VLOOKUP(TAB_SAIDA[[#This Row],[COD_2_SAIDA]],TAB_ESTOQUE[[Codigo]:[Referência Tec]],7,FALSE),"")</f>
        <v>0</v>
      </c>
      <c r="D591" s="14" t="str">
        <f>VLOOKUP(TAB_SAIDA[[#This Row],[COD_2_SAIDA]],TAB_ESTOQUE[[Codigo]:[Endereço2]],12,FALSE)</f>
        <v>D2203</v>
      </c>
      <c r="E591" s="81">
        <f>SUM(TAB_SAIDA[[#This Row],[20/05/2019]:[00/00/00]])</f>
        <v>0</v>
      </c>
      <c r="F591" s="3"/>
    </row>
    <row r="592" spans="1:628" ht="15" hidden="1" customHeight="1" x14ac:dyDescent="0.25">
      <c r="A592" s="5" t="s">
        <v>2249</v>
      </c>
      <c r="B592" s="14" t="str">
        <f>VLOOKUP(TAB_SAIDA[[#This Row],[COD_2_SAIDA]],TAB_ESTOQUE[[Codigo]:[Descrição Tecnica]],6,FALSE)</f>
        <v>CANETA WATER JET PN:10138444 / SN:6513068</v>
      </c>
      <c r="C592" s="14">
        <f>IFERROR(VLOOKUP(TAB_SAIDA[[#This Row],[COD_2_SAIDA]],TAB_ESTOQUE[[Codigo]:[Referência Tec]],7,FALSE),"")</f>
        <v>0</v>
      </c>
      <c r="D592" s="14" t="str">
        <f>VLOOKUP(TAB_SAIDA[[#This Row],[COD_2_SAIDA]],TAB_ESTOQUE[[Codigo]:[Endereço2]],12,FALSE)</f>
        <v>D2203</v>
      </c>
      <c r="E592" s="81">
        <f>SUM(TAB_SAIDA[[#This Row],[20/05/2019]:[00/00/00]])</f>
        <v>1</v>
      </c>
      <c r="F592" s="3"/>
      <c r="SC592" s="3">
        <v>1</v>
      </c>
    </row>
    <row r="593" spans="1:6" ht="15" hidden="1" customHeight="1" x14ac:dyDescent="0.25">
      <c r="A593" s="5" t="s">
        <v>2250</v>
      </c>
      <c r="B593" s="14" t="str">
        <f>VLOOKUP(TAB_SAIDA[[#This Row],[COD_2_SAIDA]],TAB_ESTOQUE[[Codigo]:[Descrição Tecnica]],6,FALSE)</f>
        <v>POPPET RETAINER SCREW 20474391</v>
      </c>
      <c r="C593" s="14">
        <f>IFERROR(VLOOKUP(TAB_SAIDA[[#This Row],[COD_2_SAIDA]],TAB_ESTOQUE[[Codigo]:[Referência Tec]],7,FALSE),"")</f>
        <v>0</v>
      </c>
      <c r="D593" s="14" t="str">
        <f>VLOOKUP(TAB_SAIDA[[#This Row],[COD_2_SAIDA]],TAB_ESTOQUE[[Codigo]:[Endereço2]],12,FALSE)</f>
        <v>D2203</v>
      </c>
      <c r="E593" s="81">
        <f>SUM(TAB_SAIDA[[#This Row],[20/05/2019]:[00/00/00]])</f>
        <v>0</v>
      </c>
      <c r="F593" s="3"/>
    </row>
    <row r="594" spans="1:6" ht="15" hidden="1" customHeight="1" x14ac:dyDescent="0.25">
      <c r="A594" s="5" t="s">
        <v>2251</v>
      </c>
      <c r="B594" s="14" t="str">
        <f>VLOOKUP(TAB_SAIDA[[#This Row],[COD_2_SAIDA]],TAB_ESTOQUE[[Codigo]:[Descrição Tecnica]],6,FALSE)</f>
        <v>VALVULA  ESFERA 3/8" PN 25</v>
      </c>
      <c r="C594" s="14">
        <f>IFERROR(VLOOKUP(TAB_SAIDA[[#This Row],[COD_2_SAIDA]],TAB_ESTOQUE[[Codigo]:[Referência Tec]],7,FALSE),"")</f>
        <v>0</v>
      </c>
      <c r="D594" s="14" t="str">
        <f>VLOOKUP(TAB_SAIDA[[#This Row],[COD_2_SAIDA]],TAB_ESTOQUE[[Codigo]:[Endereço2]],12,FALSE)</f>
        <v>D2402</v>
      </c>
      <c r="E594" s="81">
        <f>SUM(TAB_SAIDA[[#This Row],[20/05/2019]:[00/00/00]])</f>
        <v>0</v>
      </c>
      <c r="F594" s="3"/>
    </row>
    <row r="595" spans="1:6" ht="15" hidden="1" customHeight="1" x14ac:dyDescent="0.25">
      <c r="A595" s="5" t="s">
        <v>2252</v>
      </c>
      <c r="B595" s="14" t="str">
        <f>VLOOKUP(TAB_SAIDA[[#This Row],[COD_2_SAIDA]],TAB_ESTOQUE[[Codigo]:[Descrição Tecnica]],6,FALSE)</f>
        <v>GUIA LINEAR THOMSON REF: 411N25EO</v>
      </c>
      <c r="C595" s="14">
        <f>IFERROR(VLOOKUP(TAB_SAIDA[[#This Row],[COD_2_SAIDA]],TAB_ESTOQUE[[Codigo]:[Referência Tec]],7,FALSE),"")</f>
        <v>0</v>
      </c>
      <c r="D595" s="14" t="str">
        <f>VLOOKUP(TAB_SAIDA[[#This Row],[COD_2_SAIDA]],TAB_ESTOQUE[[Codigo]:[Endereço2]],12,FALSE)</f>
        <v>D1106</v>
      </c>
      <c r="E595" s="81">
        <f>SUM(TAB_SAIDA[[#This Row],[20/05/2019]:[00/00/00]])</f>
        <v>0</v>
      </c>
      <c r="F595" s="3"/>
    </row>
    <row r="596" spans="1:6" ht="15" hidden="1" customHeight="1" x14ac:dyDescent="0.25">
      <c r="A596" s="5" t="s">
        <v>2253</v>
      </c>
      <c r="B596" s="14" t="str">
        <f>VLOOKUP(TAB_SAIDA[[#This Row],[COD_2_SAIDA]],TAB_ESTOQUE[[Codigo]:[Descrição Tecnica]],6,FALSE)</f>
        <v>VALVULA HIDRAULICA CONTROL STAR REF: 200161 (N.F)</v>
      </c>
      <c r="C596" s="14">
        <f>IFERROR(VLOOKUP(TAB_SAIDA[[#This Row],[COD_2_SAIDA]],TAB_ESTOQUE[[Codigo]:[Referência Tec]],7,FALSE),"")</f>
        <v>0</v>
      </c>
      <c r="D596" s="14" t="str">
        <f>VLOOKUP(TAB_SAIDA[[#This Row],[COD_2_SAIDA]],TAB_ESTOQUE[[Codigo]:[Endereço2]],12,FALSE)</f>
        <v>C2203</v>
      </c>
      <c r="E596" s="81">
        <f>SUM(TAB_SAIDA[[#This Row],[20/05/2019]:[00/00/00]])</f>
        <v>0</v>
      </c>
      <c r="F596" s="3"/>
    </row>
    <row r="597" spans="1:6" ht="15" hidden="1" customHeight="1" x14ac:dyDescent="0.25">
      <c r="A597" s="5" t="s">
        <v>2254</v>
      </c>
      <c r="B597" s="14" t="str">
        <f>VLOOKUP(TAB_SAIDA[[#This Row],[COD_2_SAIDA]],TAB_ESTOQUE[[Codigo]:[Descrição Tecnica]],6,FALSE)</f>
        <v>PRESSOSTATO HED80A1X/350K14KW</v>
      </c>
      <c r="C597" s="14">
        <f>IFERROR(VLOOKUP(TAB_SAIDA[[#This Row],[COD_2_SAIDA]],TAB_ESTOQUE[[Codigo]:[Referência Tec]],7,FALSE),"")</f>
        <v>0</v>
      </c>
      <c r="D597" s="14" t="str">
        <f>VLOOKUP(TAB_SAIDA[[#This Row],[COD_2_SAIDA]],TAB_ESTOQUE[[Codigo]:[Endereço2]],12,FALSE)</f>
        <v>D1303</v>
      </c>
      <c r="E597" s="81">
        <f>SUM(TAB_SAIDA[[#This Row],[20/05/2019]:[00/00/00]])</f>
        <v>0</v>
      </c>
      <c r="F597" s="3"/>
    </row>
    <row r="598" spans="1:6" ht="15" hidden="1" customHeight="1" x14ac:dyDescent="0.25">
      <c r="A598" s="5" t="s">
        <v>2255</v>
      </c>
      <c r="B598" s="14" t="str">
        <f>VLOOKUP(TAB_SAIDA[[#This Row],[COD_2_SAIDA]],TAB_ESTOQUE[[Codigo]:[Descrição Tecnica]],6,FALSE)</f>
        <v>VALVULA ESCAPE RAPIDO MOD: QE-04</v>
      </c>
      <c r="C598" s="14">
        <f>IFERROR(VLOOKUP(TAB_SAIDA[[#This Row],[COD_2_SAIDA]],TAB_ESTOQUE[[Codigo]:[Referência Tec]],7,FALSE),"")</f>
        <v>0</v>
      </c>
      <c r="D598" s="14" t="str">
        <f>VLOOKUP(TAB_SAIDA[[#This Row],[COD_2_SAIDA]],TAB_ESTOQUE[[Codigo]:[Endereço2]],12,FALSE)</f>
        <v>D1303</v>
      </c>
      <c r="E598" s="81">
        <f>SUM(TAB_SAIDA[[#This Row],[20/05/2019]:[00/00/00]])</f>
        <v>0</v>
      </c>
      <c r="F598" s="3"/>
    </row>
    <row r="599" spans="1:6" ht="15" hidden="1" customHeight="1" x14ac:dyDescent="0.25">
      <c r="A599" s="5" t="s">
        <v>2256</v>
      </c>
      <c r="B599" s="14" t="str">
        <f>VLOOKUP(TAB_SAIDA[[#This Row],[COD_2_SAIDA]],TAB_ESTOQUE[[Codigo]:[Descrição Tecnica]],6,FALSE)</f>
        <v>CILINDRO PNEUMATICO REF: DSBC-100-500 PPV-A-KP E943</v>
      </c>
      <c r="C599" s="14">
        <f>IFERROR(VLOOKUP(TAB_SAIDA[[#This Row],[COD_2_SAIDA]],TAB_ESTOQUE[[Codigo]:[Referência Tec]],7,FALSE),"")</f>
        <v>0</v>
      </c>
      <c r="D599" s="14" t="str">
        <f>VLOOKUP(TAB_SAIDA[[#This Row],[COD_2_SAIDA]],TAB_ESTOQUE[[Codigo]:[Endereço2]],12,FALSE)</f>
        <v>C2101</v>
      </c>
      <c r="E599" s="81">
        <f>SUM(TAB_SAIDA[[#This Row],[20/05/2019]:[00/00/00]])</f>
        <v>0</v>
      </c>
      <c r="F599" s="3"/>
    </row>
    <row r="600" spans="1:6" ht="15" hidden="1" customHeight="1" x14ac:dyDescent="0.25">
      <c r="A600" s="5" t="s">
        <v>2257</v>
      </c>
      <c r="B600" s="14" t="str">
        <f>VLOOKUP(TAB_SAIDA[[#This Row],[COD_2_SAIDA]],TAB_ESTOQUE[[Codigo]:[Descrição Tecnica]],6,FALSE)</f>
        <v>VALVULA HIDRAULICA REXROTH REF: H-4WEH 25 E68/6EG24N9K40M0G24</v>
      </c>
      <c r="C600" s="14">
        <f>IFERROR(VLOOKUP(TAB_SAIDA[[#This Row],[COD_2_SAIDA]],TAB_ESTOQUE[[Codigo]:[Referência Tec]],7,FALSE),"")</f>
        <v>0</v>
      </c>
      <c r="D600" s="14" t="str">
        <f>VLOOKUP(TAB_SAIDA[[#This Row],[COD_2_SAIDA]],TAB_ESTOQUE[[Codigo]:[Endereço2]],12,FALSE)</f>
        <v>C2102</v>
      </c>
      <c r="E600" s="81">
        <f>SUM(TAB_SAIDA[[#This Row],[20/05/2019]:[00/00/00]])</f>
        <v>0</v>
      </c>
      <c r="F600" s="3"/>
    </row>
    <row r="601" spans="1:6" ht="15" hidden="1" customHeight="1" x14ac:dyDescent="0.25">
      <c r="A601" s="5" t="s">
        <v>2258</v>
      </c>
      <c r="B601" s="14" t="str">
        <f>VLOOKUP(TAB_SAIDA[[#This Row],[COD_2_SAIDA]],TAB_ESTOQUE[[Codigo]:[Descrição Tecnica]],6,FALSE)</f>
        <v>VALVULA HIDRAULICA REXROTH REF:61/350G24K4V</v>
      </c>
      <c r="C601" s="14">
        <f>IFERROR(VLOOKUP(TAB_SAIDA[[#This Row],[COD_2_SAIDA]],TAB_ESTOQUE[[Codigo]:[Referência Tec]],7,FALSE),"")</f>
        <v>0</v>
      </c>
      <c r="D601" s="14" t="str">
        <f>VLOOKUP(TAB_SAIDA[[#This Row],[COD_2_SAIDA]],TAB_ESTOQUE[[Codigo]:[Endereço2]],12,FALSE)</f>
        <v>C2103</v>
      </c>
      <c r="E601" s="81">
        <f>SUM(TAB_SAIDA[[#This Row],[20/05/2019]:[00/00/00]])</f>
        <v>0</v>
      </c>
      <c r="F601" s="3"/>
    </row>
    <row r="602" spans="1:6" ht="15" hidden="1" customHeight="1" x14ac:dyDescent="0.25">
      <c r="A602" s="5" t="s">
        <v>2259</v>
      </c>
      <c r="B602" s="14" t="str">
        <f>VLOOKUP(TAB_SAIDA[[#This Row],[COD_2_SAIDA]],TAB_ESTOQUE[[Codigo]:[Descrição Tecnica]],6,FALSE)</f>
        <v>VALVULA PNEUMATICA 3/2 VIAS COM PILOTO MOLA</v>
      </c>
      <c r="C602" s="14">
        <f>IFERROR(VLOOKUP(TAB_SAIDA[[#This Row],[COD_2_SAIDA]],TAB_ESTOQUE[[Codigo]:[Referência Tec]],7,FALSE),"")</f>
        <v>0</v>
      </c>
      <c r="D602" s="14" t="str">
        <f>VLOOKUP(TAB_SAIDA[[#This Row],[COD_2_SAIDA]],TAB_ESTOQUE[[Codigo]:[Endereço2]],12,FALSE)</f>
        <v>C1103</v>
      </c>
      <c r="E602" s="81">
        <f>SUM(TAB_SAIDA[[#This Row],[20/05/2019]:[00/00/00]])</f>
        <v>0</v>
      </c>
      <c r="F602" s="3"/>
    </row>
    <row r="603" spans="1:6" ht="15" hidden="1" customHeight="1" x14ac:dyDescent="0.25">
      <c r="A603" s="5" t="s">
        <v>2260</v>
      </c>
      <c r="B603" s="14" t="str">
        <f>VLOOKUP(TAB_SAIDA[[#This Row],[COD_2_SAIDA]],TAB_ESTOQUE[[Codigo]:[Descrição Tecnica]],6,FALSE)</f>
        <v>VALVULA PNEUMATICA 3/2 VIAS COM 2 PILOTOS  MOLA 1/4</v>
      </c>
      <c r="C603" s="14">
        <f>IFERROR(VLOOKUP(TAB_SAIDA[[#This Row],[COD_2_SAIDA]],TAB_ESTOQUE[[Codigo]:[Referência Tec]],7,FALSE),"")</f>
        <v>0</v>
      </c>
      <c r="D603" s="14" t="str">
        <f>VLOOKUP(TAB_SAIDA[[#This Row],[COD_2_SAIDA]],TAB_ESTOQUE[[Codigo]:[Endereço2]],12,FALSE)</f>
        <v>C1103</v>
      </c>
      <c r="E603" s="81">
        <f>SUM(TAB_SAIDA[[#This Row],[20/05/2019]:[00/00/00]])</f>
        <v>0</v>
      </c>
      <c r="F603" s="3"/>
    </row>
    <row r="604" spans="1:6" ht="15" hidden="1" customHeight="1" x14ac:dyDescent="0.25">
      <c r="A604" s="5" t="s">
        <v>2261</v>
      </c>
      <c r="B604" s="14" t="str">
        <f>VLOOKUP(TAB_SAIDA[[#This Row],[COD_2_SAIDA]],TAB_ESTOQUE[[Codigo]:[Descrição Tecnica]],6,FALSE)</f>
        <v>VALVULA REDUTORA DE PRESSÃO GENEBRE REF: 3318 04</v>
      </c>
      <c r="C604" s="14">
        <f>IFERROR(VLOOKUP(TAB_SAIDA[[#This Row],[COD_2_SAIDA]],TAB_ESTOQUE[[Codigo]:[Referência Tec]],7,FALSE),"")</f>
        <v>0</v>
      </c>
      <c r="D604" s="14" t="str">
        <f>VLOOKUP(TAB_SAIDA[[#This Row],[COD_2_SAIDA]],TAB_ESTOQUE[[Codigo]:[Endereço2]],12,FALSE)</f>
        <v>D1303</v>
      </c>
      <c r="E604" s="81">
        <f>SUM(TAB_SAIDA[[#This Row],[20/05/2019]:[00/00/00]])</f>
        <v>0</v>
      </c>
      <c r="F604" s="3"/>
    </row>
    <row r="605" spans="1:6" ht="15" hidden="1" customHeight="1" x14ac:dyDescent="0.25">
      <c r="A605" s="5" t="s">
        <v>2262</v>
      </c>
      <c r="B605" s="14" t="str">
        <f>VLOOKUP(TAB_SAIDA[[#This Row],[COD_2_SAIDA]],TAB_ESTOQUE[[Codigo]:[Descrição Tecnica]],6,FALSE)</f>
        <v>VALVULA ESFERICA PARA ATUADOR 1"</v>
      </c>
      <c r="C605" s="14">
        <f>IFERROR(VLOOKUP(TAB_SAIDA[[#This Row],[COD_2_SAIDA]],TAB_ESTOQUE[[Codigo]:[Referência Tec]],7,FALSE),"")</f>
        <v>0</v>
      </c>
      <c r="D605" s="14" t="str">
        <f>VLOOKUP(TAB_SAIDA[[#This Row],[COD_2_SAIDA]],TAB_ESTOQUE[[Codigo]:[Endereço2]],12,FALSE)</f>
        <v>D1304</v>
      </c>
      <c r="E605" s="81">
        <f>SUM(TAB_SAIDA[[#This Row],[20/05/2019]:[00/00/00]])</f>
        <v>0</v>
      </c>
      <c r="F605" s="3"/>
    </row>
    <row r="606" spans="1:6" ht="15" hidden="1" customHeight="1" x14ac:dyDescent="0.25">
      <c r="A606" s="5" t="s">
        <v>2263</v>
      </c>
      <c r="B606" s="14" t="str">
        <f>VLOOKUP(TAB_SAIDA[[#This Row],[COD_2_SAIDA]],TAB_ESTOQUE[[Codigo]:[Descrição Tecnica]],6,FALSE)</f>
        <v>VALVULA ESFERICA 3VIAS PARA ATUADOR  REF: GE3G GT53011A000</v>
      </c>
      <c r="C606" s="14">
        <f>IFERROR(VLOOKUP(TAB_SAIDA[[#This Row],[COD_2_SAIDA]],TAB_ESTOQUE[[Codigo]:[Referência Tec]],7,FALSE),"")</f>
        <v>0</v>
      </c>
      <c r="D606" s="14" t="str">
        <f>VLOOKUP(TAB_SAIDA[[#This Row],[COD_2_SAIDA]],TAB_ESTOQUE[[Codigo]:[Endereço2]],12,FALSE)</f>
        <v>D1304</v>
      </c>
      <c r="E606" s="81">
        <f>SUM(TAB_SAIDA[[#This Row],[20/05/2019]:[00/00/00]])</f>
        <v>0</v>
      </c>
      <c r="F606" s="3"/>
    </row>
    <row r="607" spans="1:6" ht="15" hidden="1" customHeight="1" x14ac:dyDescent="0.25">
      <c r="A607" s="5" t="s">
        <v>2264</v>
      </c>
      <c r="B607" s="14" t="str">
        <f>VLOOKUP(TAB_SAIDA[[#This Row],[COD_2_SAIDA]],TAB_ESTOQUE[[Codigo]:[Descrição Tecnica]],6,FALSE)</f>
        <v>REGULADOR DE PRESSÃO WHITE MARTINS REF: R-81 ACETILENO</v>
      </c>
      <c r="C607" s="14">
        <f>IFERROR(VLOOKUP(TAB_SAIDA[[#This Row],[COD_2_SAIDA]],TAB_ESTOQUE[[Codigo]:[Referência Tec]],7,FALSE),"")</f>
        <v>0</v>
      </c>
      <c r="D607" s="14" t="str">
        <f>VLOOKUP(TAB_SAIDA[[#This Row],[COD_2_SAIDA]],TAB_ESTOQUE[[Codigo]:[Endereço2]],12,FALSE)</f>
        <v>D1304</v>
      </c>
      <c r="E607" s="81">
        <f>SUM(TAB_SAIDA[[#This Row],[20/05/2019]:[00/00/00]])</f>
        <v>0</v>
      </c>
      <c r="F607" s="3"/>
    </row>
    <row r="608" spans="1:6" ht="15" hidden="1" customHeight="1" x14ac:dyDescent="0.25">
      <c r="A608" s="5" t="s">
        <v>2265</v>
      </c>
      <c r="B608" s="14" t="str">
        <f>VLOOKUP(TAB_SAIDA[[#This Row],[COD_2_SAIDA]],TAB_ESTOQUE[[Codigo]:[Descrição Tecnica]],6,FALSE)</f>
        <v xml:space="preserve">MANCAL FRONT FENDER COM BUCHAMENTO </v>
      </c>
      <c r="C608" s="14">
        <f>IFERROR(VLOOKUP(TAB_SAIDA[[#This Row],[COD_2_SAIDA]],TAB_ESTOQUE[[Codigo]:[Referência Tec]],7,FALSE),"")</f>
        <v>0</v>
      </c>
      <c r="D608" s="14" t="str">
        <f>VLOOKUP(TAB_SAIDA[[#This Row],[COD_2_SAIDA]],TAB_ESTOQUE[[Codigo]:[Endereço2]],12,FALSE)</f>
        <v>E1403</v>
      </c>
      <c r="E608" s="81">
        <f>SUM(TAB_SAIDA[[#This Row],[20/05/2019]:[00/00/00]])</f>
        <v>0</v>
      </c>
      <c r="F608" s="3"/>
    </row>
    <row r="609" spans="1:608" ht="15" hidden="1" customHeight="1" x14ac:dyDescent="0.25">
      <c r="A609" s="5" t="s">
        <v>2266</v>
      </c>
      <c r="B609" s="14" t="str">
        <f>VLOOKUP(TAB_SAIDA[[#This Row],[COD_2_SAIDA]],TAB_ESTOQUE[[Codigo]:[Descrição Tecnica]],6,FALSE)</f>
        <v>FILTRO HIDRAULICO NEWTC HP70PB074TON</v>
      </c>
      <c r="C609" s="14">
        <f>IFERROR(VLOOKUP(TAB_SAIDA[[#This Row],[COD_2_SAIDA]],TAB_ESTOQUE[[Codigo]:[Referência Tec]],7,FALSE),"")</f>
        <v>0</v>
      </c>
      <c r="D609" s="14" t="str">
        <f>VLOOKUP(TAB_SAIDA[[#This Row],[COD_2_SAIDA]],TAB_ESTOQUE[[Codigo]:[Endereço2]],12,FALSE)</f>
        <v>C2403</v>
      </c>
      <c r="E609" s="81">
        <f>SUM(TAB_SAIDA[[#This Row],[20/05/2019]:[00/00/00]])</f>
        <v>1</v>
      </c>
      <c r="F609" s="3"/>
      <c r="VI609" s="3">
        <v>1</v>
      </c>
    </row>
    <row r="610" spans="1:608" ht="15" hidden="1" customHeight="1" x14ac:dyDescent="0.25">
      <c r="A610" s="5" t="s">
        <v>2267</v>
      </c>
      <c r="B610" s="14" t="str">
        <f>VLOOKUP(TAB_SAIDA[[#This Row],[COD_2_SAIDA]],TAB_ESTOQUE[[Codigo]:[Descrição Tecnica]],6,FALSE)</f>
        <v xml:space="preserve">REDUTOR DAS CALANDRAS MODRL: T3A 633-4 VOLT(V) 220/380 FREQ.(Hz) 60 POWER(kw) 0.25 </v>
      </c>
      <c r="C610" s="14">
        <f>IFERROR(VLOOKUP(TAB_SAIDA[[#This Row],[COD_2_SAIDA]],TAB_ESTOQUE[[Codigo]:[Referência Tec]],7,FALSE),"")</f>
        <v>0</v>
      </c>
      <c r="D610" s="14" t="str">
        <f>VLOOKUP(TAB_SAIDA[[#This Row],[COD_2_SAIDA]],TAB_ESTOQUE[[Codigo]:[Endereço2]],12,FALSE)</f>
        <v>E1106</v>
      </c>
      <c r="E610" s="81">
        <f>SUM(TAB_SAIDA[[#This Row],[20/05/2019]:[00/00/00]])</f>
        <v>0</v>
      </c>
      <c r="F610" s="3"/>
    </row>
    <row r="611" spans="1:608" ht="15" hidden="1" customHeight="1" x14ac:dyDescent="0.25">
      <c r="A611" s="5" t="s">
        <v>2268</v>
      </c>
      <c r="B611" s="14" t="str">
        <f>VLOOKUP(TAB_SAIDA[[#This Row],[COD_2_SAIDA]],TAB_ESTOQUE[[Codigo]:[Descrição Tecnica]],6,FALSE)</f>
        <v>KIT PRENSA (M19)</v>
      </c>
      <c r="C611" s="14">
        <f>IFERROR(VLOOKUP(TAB_SAIDA[[#This Row],[COD_2_SAIDA]],TAB_ESTOQUE[[Codigo]:[Referência Tec]],7,FALSE),"")</f>
        <v>0</v>
      </c>
      <c r="D611" s="14" t="str">
        <f>VLOOKUP(TAB_SAIDA[[#This Row],[COD_2_SAIDA]],TAB_ESTOQUE[[Codigo]:[Endereço2]],12,FALSE)</f>
        <v>D1305</v>
      </c>
      <c r="E611" s="81">
        <f>SUM(TAB_SAIDA[[#This Row],[20/05/2019]:[00/00/00]])</f>
        <v>0</v>
      </c>
      <c r="F611" s="3"/>
    </row>
    <row r="612" spans="1:608" ht="15" hidden="1" customHeight="1" x14ac:dyDescent="0.25">
      <c r="A612" s="5" t="s">
        <v>2269</v>
      </c>
      <c r="B612" s="14" t="str">
        <f>VLOOKUP(TAB_SAIDA[[#This Row],[COD_2_SAIDA]],TAB_ESTOQUE[[Codigo]:[Descrição Tecnica]],6,FALSE)</f>
        <v>MANCAL FRONT FENDER SEM BUCHAMENTO</v>
      </c>
      <c r="C612" s="14">
        <f>IFERROR(VLOOKUP(TAB_SAIDA[[#This Row],[COD_2_SAIDA]],TAB_ESTOQUE[[Codigo]:[Referência Tec]],7,FALSE),"")</f>
        <v>0</v>
      </c>
      <c r="D612" s="14" t="str">
        <f>VLOOKUP(TAB_SAIDA[[#This Row],[COD_2_SAIDA]],TAB_ESTOQUE[[Codigo]:[Endereço2]],12,FALSE)</f>
        <v>E1403</v>
      </c>
      <c r="E612" s="81">
        <f>SUM(TAB_SAIDA[[#This Row],[20/05/2019]:[00/00/00]])</f>
        <v>0</v>
      </c>
      <c r="F612" s="3"/>
    </row>
    <row r="613" spans="1:608" ht="15" hidden="1" customHeight="1" x14ac:dyDescent="0.25">
      <c r="A613" s="5" t="s">
        <v>2270</v>
      </c>
      <c r="B613" s="14" t="str">
        <f>VLOOKUP(TAB_SAIDA[[#This Row],[COD_2_SAIDA]],TAB_ESTOQUE[[Codigo]:[Descrição Tecnica]],6,FALSE)</f>
        <v xml:space="preserve">PRATO DO CILINDRO DE PREENCHIMENTO HIDRAULICO R900529340 </v>
      </c>
      <c r="C613" s="14">
        <f>IFERROR(VLOOKUP(TAB_SAIDA[[#This Row],[COD_2_SAIDA]],TAB_ESTOQUE[[Codigo]:[Referência Tec]],7,FALSE),"")</f>
        <v>0</v>
      </c>
      <c r="D613" s="14" t="str">
        <f>VLOOKUP(TAB_SAIDA[[#This Row],[COD_2_SAIDA]],TAB_ESTOQUE[[Codigo]:[Endereço2]],12,FALSE)</f>
        <v>E1403</v>
      </c>
      <c r="E613" s="81">
        <f>SUM(TAB_SAIDA[[#This Row],[20/05/2019]:[00/00/00]])</f>
        <v>0</v>
      </c>
      <c r="F613" s="3"/>
    </row>
    <row r="614" spans="1:608" ht="15" hidden="1" customHeight="1" x14ac:dyDescent="0.25">
      <c r="A614" s="5" t="s">
        <v>2271</v>
      </c>
      <c r="B614" s="14" t="str">
        <f>VLOOKUP(TAB_SAIDA[[#This Row],[COD_2_SAIDA]],TAB_ESTOQUE[[Codigo]:[Descrição Tecnica]],6,FALSE)</f>
        <v>REGISTRO HIDRAULICO SW14</v>
      </c>
      <c r="C614" s="14">
        <f>IFERROR(VLOOKUP(TAB_SAIDA[[#This Row],[COD_2_SAIDA]],TAB_ESTOQUE[[Codigo]:[Referência Tec]],7,FALSE),"")</f>
        <v>0</v>
      </c>
      <c r="D614" s="14" t="str">
        <f>VLOOKUP(TAB_SAIDA[[#This Row],[COD_2_SAIDA]],TAB_ESTOQUE[[Codigo]:[Endereço2]],12,FALSE)</f>
        <v>D1402</v>
      </c>
      <c r="E614" s="81">
        <f>SUM(TAB_SAIDA[[#This Row],[20/05/2019]:[00/00/00]])</f>
        <v>0</v>
      </c>
      <c r="F614" s="3"/>
    </row>
    <row r="615" spans="1:608" ht="15" hidden="1" customHeight="1" x14ac:dyDescent="0.25">
      <c r="A615" s="5" t="s">
        <v>2272</v>
      </c>
      <c r="B615" s="14" t="str">
        <f>VLOOKUP(TAB_SAIDA[[#This Row],[COD_2_SAIDA]],TAB_ESTOQUE[[Codigo]:[Descrição Tecnica]],6,FALSE)</f>
        <v>REGISTRO HIDRAULICO DN25 PN350</v>
      </c>
      <c r="C615" s="14">
        <f>IFERROR(VLOOKUP(TAB_SAIDA[[#This Row],[COD_2_SAIDA]],TAB_ESTOQUE[[Codigo]:[Referência Tec]],7,FALSE),"")</f>
        <v>0</v>
      </c>
      <c r="D615" s="14" t="str">
        <f>VLOOKUP(TAB_SAIDA[[#This Row],[COD_2_SAIDA]],TAB_ESTOQUE[[Codigo]:[Endereço2]],12,FALSE)</f>
        <v>D1402</v>
      </c>
      <c r="E615" s="81">
        <f>SUM(TAB_SAIDA[[#This Row],[20/05/2019]:[00/00/00]])</f>
        <v>1</v>
      </c>
      <c r="F615" s="3"/>
      <c r="TA615" s="3">
        <v>1</v>
      </c>
    </row>
    <row r="616" spans="1:608" ht="15" hidden="1" customHeight="1" x14ac:dyDescent="0.25">
      <c r="A616" s="5" t="s">
        <v>2273</v>
      </c>
      <c r="B616" s="14" t="str">
        <f>VLOOKUP(TAB_SAIDA[[#This Row],[COD_2_SAIDA]],TAB_ESTOQUE[[Codigo]:[Descrição Tecnica]],6,FALSE)</f>
        <v>VALVULA ESFERA 1,1/2"</v>
      </c>
      <c r="C616" s="14">
        <f>IFERROR(VLOOKUP(TAB_SAIDA[[#This Row],[COD_2_SAIDA]],TAB_ESTOQUE[[Codigo]:[Referência Tec]],7,FALSE),"")</f>
        <v>0</v>
      </c>
      <c r="D616" s="14" t="str">
        <f>VLOOKUP(TAB_SAIDA[[#This Row],[COD_2_SAIDA]],TAB_ESTOQUE[[Codigo]:[Endereço2]],12,FALSE)</f>
        <v>D1402</v>
      </c>
      <c r="E616" s="81">
        <f>SUM(TAB_SAIDA[[#This Row],[20/05/2019]:[00/00/00]])</f>
        <v>0</v>
      </c>
      <c r="F616" s="3"/>
    </row>
    <row r="617" spans="1:608" ht="15" hidden="1" customHeight="1" x14ac:dyDescent="0.25">
      <c r="A617" s="5" t="s">
        <v>2274</v>
      </c>
      <c r="B617" s="14" t="str">
        <f>VLOOKUP(TAB_SAIDA[[#This Row],[COD_2_SAIDA]],TAB_ESTOQUE[[Codigo]:[Descrição Tecnica]],6,FALSE)</f>
        <v>VALVULA ESFERA 2"</v>
      </c>
      <c r="C617" s="14">
        <f>IFERROR(VLOOKUP(TAB_SAIDA[[#This Row],[COD_2_SAIDA]],TAB_ESTOQUE[[Codigo]:[Referência Tec]],7,FALSE),"")</f>
        <v>0</v>
      </c>
      <c r="D617" s="14" t="str">
        <f>VLOOKUP(TAB_SAIDA[[#This Row],[COD_2_SAIDA]],TAB_ESTOQUE[[Codigo]:[Endereço2]],12,FALSE)</f>
        <v>D1402</v>
      </c>
      <c r="E617" s="81">
        <f>SUM(TAB_SAIDA[[#This Row],[20/05/2019]:[00/00/00]])</f>
        <v>0</v>
      </c>
      <c r="F617" s="3"/>
    </row>
    <row r="618" spans="1:608" ht="15" hidden="1" customHeight="1" x14ac:dyDescent="0.25">
      <c r="A618" s="5" t="s">
        <v>2275</v>
      </c>
      <c r="B618" s="14" t="str">
        <f>VLOOKUP(TAB_SAIDA[[#This Row],[COD_2_SAIDA]],TAB_ESTOQUE[[Codigo]:[Descrição Tecnica]],6,FALSE)</f>
        <v>VALVULA ESFERA 1,1/4"</v>
      </c>
      <c r="C618" s="14">
        <f>IFERROR(VLOOKUP(TAB_SAIDA[[#This Row],[COD_2_SAIDA]],TAB_ESTOQUE[[Codigo]:[Referência Tec]],7,FALSE),"")</f>
        <v>0</v>
      </c>
      <c r="D618" s="14" t="str">
        <f>VLOOKUP(TAB_SAIDA[[#This Row],[COD_2_SAIDA]],TAB_ESTOQUE[[Codigo]:[Endereço2]],12,FALSE)</f>
        <v>D2402</v>
      </c>
      <c r="E618" s="81">
        <f>SUM(TAB_SAIDA[[#This Row],[20/05/2019]:[00/00/00]])</f>
        <v>0</v>
      </c>
      <c r="F618" s="3"/>
    </row>
    <row r="619" spans="1:608" ht="15" hidden="1" customHeight="1" x14ac:dyDescent="0.25">
      <c r="A619" s="5" t="s">
        <v>2276</v>
      </c>
      <c r="B619" s="14" t="str">
        <f>VLOOKUP(TAB_SAIDA[[#This Row],[COD_2_SAIDA]],TAB_ESTOQUE[[Codigo]:[Descrição Tecnica]],6,FALSE)</f>
        <v>ENGATE RAPIDO PINO 15/16</v>
      </c>
      <c r="C619" s="14">
        <f>IFERROR(VLOOKUP(TAB_SAIDA[[#This Row],[COD_2_SAIDA]],TAB_ESTOQUE[[Codigo]:[Referência Tec]],7,FALSE),"")</f>
        <v>0</v>
      </c>
      <c r="D619" s="14" t="str">
        <f>VLOOKUP(TAB_SAIDA[[#This Row],[COD_2_SAIDA]],TAB_ESTOQUE[[Codigo]:[Endereço2]],12,FALSE)</f>
        <v>D1403</v>
      </c>
      <c r="E619" s="81">
        <f>SUM(TAB_SAIDA[[#This Row],[20/05/2019]:[00/00/00]])</f>
        <v>0</v>
      </c>
      <c r="F619" s="3"/>
    </row>
    <row r="620" spans="1:608" ht="15" hidden="1" customHeight="1" x14ac:dyDescent="0.25">
      <c r="A620" s="5" t="s">
        <v>2277</v>
      </c>
      <c r="B620" s="14" t="str">
        <f>VLOOKUP(TAB_SAIDA[[#This Row],[COD_2_SAIDA]],TAB_ESTOQUE[[Codigo]:[Descrição Tecnica]],6,FALSE)</f>
        <v>VALVULA ESFERA 1"</v>
      </c>
      <c r="C620" s="14">
        <f>IFERROR(VLOOKUP(TAB_SAIDA[[#This Row],[COD_2_SAIDA]],TAB_ESTOQUE[[Codigo]:[Referência Tec]],7,FALSE),"")</f>
        <v>0</v>
      </c>
      <c r="D620" s="14" t="str">
        <f>VLOOKUP(TAB_SAIDA[[#This Row],[COD_2_SAIDA]],TAB_ESTOQUE[[Codigo]:[Endereço2]],12,FALSE)</f>
        <v>D2402</v>
      </c>
      <c r="E620" s="81">
        <f>SUM(TAB_SAIDA[[#This Row],[20/05/2019]:[00/00/00]])</f>
        <v>3</v>
      </c>
      <c r="F620" s="3"/>
      <c r="SH620" s="3">
        <v>1</v>
      </c>
      <c r="WJ620" s="3">
        <v>2</v>
      </c>
    </row>
    <row r="621" spans="1:608" ht="15" hidden="1" customHeight="1" x14ac:dyDescent="0.25">
      <c r="A621" s="5" t="s">
        <v>2278</v>
      </c>
      <c r="B621" s="14" t="str">
        <f>VLOOKUP(TAB_SAIDA[[#This Row],[COD_2_SAIDA]],TAB_ESTOQUE[[Codigo]:[Descrição Tecnica]],6,FALSE)</f>
        <v>VALVULA ESFERA 3/4"</v>
      </c>
      <c r="C621" s="14">
        <f>IFERROR(VLOOKUP(TAB_SAIDA[[#This Row],[COD_2_SAIDA]],TAB_ESTOQUE[[Codigo]:[Referência Tec]],7,FALSE),"")</f>
        <v>0</v>
      </c>
      <c r="D621" s="14" t="str">
        <f>VLOOKUP(TAB_SAIDA[[#This Row],[COD_2_SAIDA]],TAB_ESTOQUE[[Codigo]:[Endereço2]],12,FALSE)</f>
        <v>D2402</v>
      </c>
      <c r="E621" s="81">
        <f>SUM(TAB_SAIDA[[#This Row],[20/05/2019]:[00/00/00]])</f>
        <v>0</v>
      </c>
      <c r="F621" s="3"/>
    </row>
    <row r="622" spans="1:608" ht="15" hidden="1" customHeight="1" x14ac:dyDescent="0.25">
      <c r="A622" s="5" t="s">
        <v>2279</v>
      </c>
      <c r="B622" s="14" t="str">
        <f>VLOOKUP(TAB_SAIDA[[#This Row],[COD_2_SAIDA]],TAB_ESTOQUE[[Codigo]:[Descrição Tecnica]],6,FALSE)</f>
        <v>REGUA DE NIVEL REF: EASS10110950</v>
      </c>
      <c r="C622" s="14">
        <f>IFERROR(VLOOKUP(TAB_SAIDA[[#This Row],[COD_2_SAIDA]],TAB_ESTOQUE[[Codigo]:[Referência Tec]],7,FALSE),"")</f>
        <v>0</v>
      </c>
      <c r="D622" s="14" t="str">
        <f>VLOOKUP(TAB_SAIDA[[#This Row],[COD_2_SAIDA]],TAB_ESTOQUE[[Codigo]:[Endereço2]],12,FALSE)</f>
        <v>D1401</v>
      </c>
      <c r="E622" s="81">
        <f>SUM(TAB_SAIDA[[#This Row],[20/05/2019]:[00/00/00]])</f>
        <v>0</v>
      </c>
      <c r="F622" s="3"/>
    </row>
    <row r="623" spans="1:608" ht="15" hidden="1" customHeight="1" x14ac:dyDescent="0.25">
      <c r="A623" s="5" t="s">
        <v>2280</v>
      </c>
      <c r="B623" s="14" t="str">
        <f>VLOOKUP(TAB_SAIDA[[#This Row],[COD_2_SAIDA]],TAB_ESTOQUE[[Codigo]:[Descrição Tecnica]],6,FALSE)</f>
        <v>REDUTOR 6286089-018NMRV 050</v>
      </c>
      <c r="C623" s="14">
        <f>IFERROR(VLOOKUP(TAB_SAIDA[[#This Row],[COD_2_SAIDA]],TAB_ESTOQUE[[Codigo]:[Referência Tec]],7,FALSE),"")</f>
        <v>0</v>
      </c>
      <c r="D623" s="14" t="str">
        <f>VLOOKUP(TAB_SAIDA[[#This Row],[COD_2_SAIDA]],TAB_ESTOQUE[[Codigo]:[Endereço2]],12,FALSE)</f>
        <v>E2406</v>
      </c>
      <c r="E623" s="81">
        <f>SUM(TAB_SAIDA[[#This Row],[20/05/2019]:[00/00/00]])</f>
        <v>0</v>
      </c>
      <c r="F623" s="3"/>
    </row>
    <row r="624" spans="1:608" ht="15" hidden="1" customHeight="1" x14ac:dyDescent="0.25">
      <c r="A624" s="5" t="s">
        <v>2281</v>
      </c>
      <c r="B624" s="14" t="str">
        <f>VLOOKUP(TAB_SAIDA[[#This Row],[COD_2_SAIDA]],TAB_ESTOQUE[[Codigo]:[Descrição Tecnica]],6,FALSE)</f>
        <v xml:space="preserve">ABRAÇADEIRA 11" </v>
      </c>
      <c r="C624" s="14">
        <f>IFERROR(VLOOKUP(TAB_SAIDA[[#This Row],[COD_2_SAIDA]],TAB_ESTOQUE[[Codigo]:[Referência Tec]],7,FALSE),"")</f>
        <v>0</v>
      </c>
      <c r="D624" s="14" t="str">
        <f>VLOOKUP(TAB_SAIDA[[#This Row],[COD_2_SAIDA]],TAB_ESTOQUE[[Codigo]:[Endereço2]],12,FALSE)</f>
        <v>F1303</v>
      </c>
      <c r="E624" s="81">
        <f>SUM(TAB_SAIDA[[#This Row],[20/05/2019]:[00/00/00]])</f>
        <v>0</v>
      </c>
      <c r="F624" s="3"/>
    </row>
    <row r="625" spans="1:628" ht="15" hidden="1" customHeight="1" x14ac:dyDescent="0.25">
      <c r="A625" s="5" t="s">
        <v>2282</v>
      </c>
      <c r="B625" s="14" t="str">
        <f>VLOOKUP(TAB_SAIDA[[#This Row],[COD_2_SAIDA]],TAB_ESTOQUE[[Codigo]:[Descrição Tecnica]],6,FALSE)</f>
        <v>VALVULA ESFERA 1/4"</v>
      </c>
      <c r="C625" s="14">
        <f>IFERROR(VLOOKUP(TAB_SAIDA[[#This Row],[COD_2_SAIDA]],TAB_ESTOQUE[[Codigo]:[Referência Tec]],7,FALSE),"")</f>
        <v>0</v>
      </c>
      <c r="D625" s="14" t="str">
        <f>VLOOKUP(TAB_SAIDA[[#This Row],[COD_2_SAIDA]],TAB_ESTOQUE[[Codigo]:[Endereço2]],12,FALSE)</f>
        <v>D2402</v>
      </c>
      <c r="E625" s="81">
        <f>SUM(TAB_SAIDA[[#This Row],[20/05/2019]:[00/00/00]])</f>
        <v>0</v>
      </c>
      <c r="F625" s="3"/>
    </row>
    <row r="626" spans="1:628" ht="15" hidden="1" customHeight="1" x14ac:dyDescent="0.25">
      <c r="A626" s="5" t="s">
        <v>2283</v>
      </c>
      <c r="B626" s="14" t="str">
        <f>VLOOKUP(TAB_SAIDA[[#This Row],[COD_2_SAIDA]],TAB_ESTOQUE[[Codigo]:[Descrição Tecnica]],6,FALSE)</f>
        <v>MANGUEIRA CAPILAR 400MM</v>
      </c>
      <c r="C626" s="14">
        <f>IFERROR(VLOOKUP(TAB_SAIDA[[#This Row],[COD_2_SAIDA]],TAB_ESTOQUE[[Codigo]:[Referência Tec]],7,FALSE),"")</f>
        <v>0</v>
      </c>
      <c r="D626" s="14" t="str">
        <f>VLOOKUP(TAB_SAIDA[[#This Row],[COD_2_SAIDA]],TAB_ESTOQUE[[Codigo]:[Endereço2]],12,FALSE)</f>
        <v>E1406</v>
      </c>
      <c r="E626" s="81">
        <f>SUM(TAB_SAIDA[[#This Row],[20/05/2019]:[00/00/00]])</f>
        <v>0</v>
      </c>
      <c r="F626" s="3"/>
    </row>
    <row r="627" spans="1:628" ht="15" hidden="1" customHeight="1" x14ac:dyDescent="0.25">
      <c r="A627" s="5" t="s">
        <v>2284</v>
      </c>
      <c r="B627" s="14" t="str">
        <f>VLOOKUP(TAB_SAIDA[[#This Row],[COD_2_SAIDA]],TAB_ESTOQUE[[Codigo]:[Descrição Tecnica]],6,FALSE)</f>
        <v xml:space="preserve">ESPIGÃO FIXO P/MANG (1/2X1/2) MACHO LUBE </v>
      </c>
      <c r="C627" s="14">
        <f>IFERROR(VLOOKUP(TAB_SAIDA[[#This Row],[COD_2_SAIDA]],TAB_ESTOQUE[[Codigo]:[Referência Tec]],7,FALSE),"")</f>
        <v>0</v>
      </c>
      <c r="D627" s="14" t="str">
        <f>VLOOKUP(TAB_SAIDA[[#This Row],[COD_2_SAIDA]],TAB_ESTOQUE[[Codigo]:[Endereço2]],12,FALSE)</f>
        <v>D2403</v>
      </c>
      <c r="E627" s="81">
        <f>SUM(TAB_SAIDA[[#This Row],[20/05/2019]:[00/00/00]])</f>
        <v>0</v>
      </c>
      <c r="F627" s="3"/>
    </row>
    <row r="628" spans="1:628" ht="15" hidden="1" customHeight="1" x14ac:dyDescent="0.25">
      <c r="A628" s="5" t="s">
        <v>2285</v>
      </c>
      <c r="B628" s="14" t="str">
        <f>VLOOKUP(TAB_SAIDA[[#This Row],[COD_2_SAIDA]],TAB_ESTOQUE[[Codigo]:[Descrição Tecnica]],6,FALSE)</f>
        <v>ESPIGÃO ROSCA 1,1/2" MANG 1"</v>
      </c>
      <c r="C628" s="14">
        <f>IFERROR(VLOOKUP(TAB_SAIDA[[#This Row],[COD_2_SAIDA]],TAB_ESTOQUE[[Codigo]:[Referência Tec]],7,FALSE),"")</f>
        <v>0</v>
      </c>
      <c r="D628" s="14" t="str">
        <f>VLOOKUP(TAB_SAIDA[[#This Row],[COD_2_SAIDA]],TAB_ESTOQUE[[Codigo]:[Endereço2]],12,FALSE)</f>
        <v>D2403</v>
      </c>
      <c r="E628" s="81">
        <f>SUM(TAB_SAIDA[[#This Row],[20/05/2019]:[00/00/00]])</f>
        <v>0</v>
      </c>
      <c r="F628" s="3"/>
    </row>
    <row r="629" spans="1:628" ht="15" hidden="1" customHeight="1" x14ac:dyDescent="0.25">
      <c r="A629" s="5" t="s">
        <v>2286</v>
      </c>
      <c r="B629" s="14" t="str">
        <f>VLOOKUP(TAB_SAIDA[[#This Row],[COD_2_SAIDA]],TAB_ESTOQUE[[Codigo]:[Descrição Tecnica]],6,FALSE)</f>
        <v>ESPIGÃO ROSCA  1,1/4 MANG 1,1/8"</v>
      </c>
      <c r="C629" s="14">
        <f>IFERROR(VLOOKUP(TAB_SAIDA[[#This Row],[COD_2_SAIDA]],TAB_ESTOQUE[[Codigo]:[Referência Tec]],7,FALSE),"")</f>
        <v>0</v>
      </c>
      <c r="D629" s="14" t="str">
        <f>VLOOKUP(TAB_SAIDA[[#This Row],[COD_2_SAIDA]],TAB_ESTOQUE[[Codigo]:[Endereço2]],12,FALSE)</f>
        <v>D2403</v>
      </c>
      <c r="E629" s="81">
        <f>SUM(TAB_SAIDA[[#This Row],[20/05/2019]:[00/00/00]])</f>
        <v>0</v>
      </c>
      <c r="F629" s="3"/>
    </row>
    <row r="630" spans="1:628" ht="15" hidden="1" customHeight="1" x14ac:dyDescent="0.25">
      <c r="A630" s="5" t="s">
        <v>2287</v>
      </c>
      <c r="B630" s="14" t="str">
        <f>VLOOKUP(TAB_SAIDA[[#This Row],[COD_2_SAIDA]],TAB_ESTOQUE[[Codigo]:[Descrição Tecnica]],6,FALSE)</f>
        <v>ESPIGÃO ROSCA 1" MANG 1"</v>
      </c>
      <c r="C630" s="14">
        <f>IFERROR(VLOOKUP(TAB_SAIDA[[#This Row],[COD_2_SAIDA]],TAB_ESTOQUE[[Codigo]:[Referência Tec]],7,FALSE),"")</f>
        <v>0</v>
      </c>
      <c r="D630" s="14" t="str">
        <f>VLOOKUP(TAB_SAIDA[[#This Row],[COD_2_SAIDA]],TAB_ESTOQUE[[Codigo]:[Endereço2]],12,FALSE)</f>
        <v>D2403</v>
      </c>
      <c r="E630" s="81">
        <f>SUM(TAB_SAIDA[[#This Row],[20/05/2019]:[00/00/00]])</f>
        <v>0</v>
      </c>
      <c r="F630" s="3"/>
    </row>
    <row r="631" spans="1:628" ht="15" hidden="1" customHeight="1" x14ac:dyDescent="0.25">
      <c r="A631" s="5" t="s">
        <v>2288</v>
      </c>
      <c r="B631" s="14" t="str">
        <f>VLOOKUP(TAB_SAIDA[[#This Row],[COD_2_SAIDA]],TAB_ESTOQUE[[Codigo]:[Descrição Tecnica]],6,FALSE)</f>
        <v>ESPIGÃO ROSCA 1" MANG 3/4"</v>
      </c>
      <c r="C631" s="14">
        <f>IFERROR(VLOOKUP(TAB_SAIDA[[#This Row],[COD_2_SAIDA]],TAB_ESTOQUE[[Codigo]:[Referência Tec]],7,FALSE),"")</f>
        <v>0</v>
      </c>
      <c r="D631" s="14" t="str">
        <f>VLOOKUP(TAB_SAIDA[[#This Row],[COD_2_SAIDA]],TAB_ESTOQUE[[Codigo]:[Endereço2]],12,FALSE)</f>
        <v>D2403</v>
      </c>
      <c r="E631" s="81">
        <f>SUM(TAB_SAIDA[[#This Row],[20/05/2019]:[00/00/00]])</f>
        <v>0</v>
      </c>
      <c r="F631" s="3"/>
    </row>
    <row r="632" spans="1:628" ht="15" hidden="1" customHeight="1" x14ac:dyDescent="0.25">
      <c r="A632" s="5" t="s">
        <v>2289</v>
      </c>
      <c r="B632" s="14" t="str">
        <f>VLOOKUP(TAB_SAIDA[[#This Row],[COD_2_SAIDA]],TAB_ESTOQUE[[Codigo]:[Descrição Tecnica]],6,FALSE)</f>
        <v>ENGATE RAPIDO P/ ÓLEO TERMICO MACHO  21919DUB33W</v>
      </c>
      <c r="C632" s="14">
        <f>IFERROR(VLOOKUP(TAB_SAIDA[[#This Row],[COD_2_SAIDA]],TAB_ESTOQUE[[Codigo]:[Referência Tec]],7,FALSE),"")</f>
        <v>0</v>
      </c>
      <c r="D632" s="14" t="str">
        <f>VLOOKUP(TAB_SAIDA[[#This Row],[COD_2_SAIDA]],TAB_ESTOQUE[[Codigo]:[Endereço2]],12,FALSE)</f>
        <v>D1403</v>
      </c>
      <c r="E632" s="81">
        <f>SUM(TAB_SAIDA[[#This Row],[20/05/2019]:[00/00/00]])</f>
        <v>0</v>
      </c>
      <c r="F632" s="3"/>
    </row>
    <row r="633" spans="1:628" ht="15" hidden="1" customHeight="1" x14ac:dyDescent="0.25">
      <c r="A633" s="5" t="s">
        <v>2290</v>
      </c>
      <c r="B633" s="14" t="str">
        <f>VLOOKUP(TAB_SAIDA[[#This Row],[COD_2_SAIDA]],TAB_ESTOQUE[[Codigo]:[Descrição Tecnica]],6,FALSE)</f>
        <v>ENGATE RAPIDO P/ ÓLEO TERMICO FEMEA BYR</v>
      </c>
      <c r="C633" s="14">
        <f>IFERROR(VLOOKUP(TAB_SAIDA[[#This Row],[COD_2_SAIDA]],TAB_ESTOQUE[[Codigo]:[Referência Tec]],7,FALSE),"")</f>
        <v>0</v>
      </c>
      <c r="D633" s="14" t="str">
        <f>VLOOKUP(TAB_SAIDA[[#This Row],[COD_2_SAIDA]],TAB_ESTOQUE[[Codigo]:[Endereço2]],12,FALSE)</f>
        <v>D1403</v>
      </c>
      <c r="E633" s="81">
        <f>SUM(TAB_SAIDA[[#This Row],[20/05/2019]:[00/00/00]])</f>
        <v>0</v>
      </c>
      <c r="F633" s="3"/>
    </row>
    <row r="634" spans="1:628" ht="15" hidden="1" customHeight="1" x14ac:dyDescent="0.25">
      <c r="A634" s="5" t="s">
        <v>2291</v>
      </c>
      <c r="B634" s="14" t="str">
        <f>VLOOKUP(TAB_SAIDA[[#This Row],[COD_2_SAIDA]],TAB_ESTOQUE[[Codigo]:[Descrição Tecnica]],6,FALSE)</f>
        <v>ENGATE RAPIDO PINO 1/2' LUBE</v>
      </c>
      <c r="C634" s="14">
        <f>IFERROR(VLOOKUP(TAB_SAIDA[[#This Row],[COD_2_SAIDA]],TAB_ESTOQUE[[Codigo]:[Referência Tec]],7,FALSE),"")</f>
        <v>0</v>
      </c>
      <c r="D634" s="14" t="str">
        <f>VLOOKUP(TAB_SAIDA[[#This Row],[COD_2_SAIDA]],TAB_ESTOQUE[[Codigo]:[Endereço2]],12,FALSE)</f>
        <v>D1403</v>
      </c>
      <c r="E634" s="81">
        <f>SUM(TAB_SAIDA[[#This Row],[20/05/2019]:[00/00/00]])</f>
        <v>0</v>
      </c>
      <c r="F634" s="3"/>
    </row>
    <row r="635" spans="1:628" ht="15" hidden="1" customHeight="1" x14ac:dyDescent="0.25">
      <c r="A635" s="5" t="s">
        <v>2292</v>
      </c>
      <c r="B635" s="14" t="str">
        <f>VLOOKUP(TAB_SAIDA[[#This Row],[COD_2_SAIDA]],TAB_ESTOQUE[[Codigo]:[Descrição Tecnica]],6,FALSE)</f>
        <v>ENGATE RAPIDO PINO STANYL-STH-400</v>
      </c>
      <c r="C635" s="14">
        <f>IFERROR(VLOOKUP(TAB_SAIDA[[#This Row],[COD_2_SAIDA]],TAB_ESTOQUE[[Codigo]:[Referência Tec]],7,FALSE),"")</f>
        <v>0</v>
      </c>
      <c r="D635" s="14" t="str">
        <f>VLOOKUP(TAB_SAIDA[[#This Row],[COD_2_SAIDA]],TAB_ESTOQUE[[Codigo]:[Endereço2]],12,FALSE)</f>
        <v>D1403</v>
      </c>
      <c r="E635" s="81">
        <f>SUM(TAB_SAIDA[[#This Row],[20/05/2019]:[00/00/00]])</f>
        <v>0</v>
      </c>
      <c r="F635" s="3"/>
    </row>
    <row r="636" spans="1:628" ht="15" hidden="1" customHeight="1" x14ac:dyDescent="0.25">
      <c r="A636" s="5" t="s">
        <v>2293</v>
      </c>
      <c r="B636" s="14" t="str">
        <f>VLOOKUP(TAB_SAIDA[[#This Row],[COD_2_SAIDA]],TAB_ESTOQUE[[Codigo]:[Descrição Tecnica]],6,FALSE)</f>
        <v>ENGATE RAPIDO FEMEA 1/2" LUBE</v>
      </c>
      <c r="C636" s="14">
        <f>IFERROR(VLOOKUP(TAB_SAIDA[[#This Row],[COD_2_SAIDA]],TAB_ESTOQUE[[Codigo]:[Referência Tec]],7,FALSE),"")</f>
        <v>0</v>
      </c>
      <c r="D636" s="14" t="str">
        <f>VLOOKUP(TAB_SAIDA[[#This Row],[COD_2_SAIDA]],TAB_ESTOQUE[[Codigo]:[Endereço2]],12,FALSE)</f>
        <v>D1403</v>
      </c>
      <c r="E636" s="81">
        <f>SUM(TAB_SAIDA[[#This Row],[20/05/2019]:[00/00/00]])</f>
        <v>0</v>
      </c>
      <c r="F636" s="3"/>
    </row>
    <row r="637" spans="1:628" ht="15" hidden="1" customHeight="1" x14ac:dyDescent="0.25">
      <c r="A637" s="5" t="s">
        <v>2294</v>
      </c>
      <c r="B637" s="14" t="str">
        <f>VLOOKUP(TAB_SAIDA[[#This Row],[COD_2_SAIDA]],TAB_ESTOQUE[[Codigo]:[Descrição Tecnica]],6,FALSE)</f>
        <v>CONJUNTO ENGATE RAPIDO 19/2</v>
      </c>
      <c r="C637" s="14">
        <f>IFERROR(VLOOKUP(TAB_SAIDA[[#This Row],[COD_2_SAIDA]],TAB_ESTOQUE[[Codigo]:[Referência Tec]],7,FALSE),"")</f>
        <v>0</v>
      </c>
      <c r="D637" s="14" t="str">
        <f>VLOOKUP(TAB_SAIDA[[#This Row],[COD_2_SAIDA]],TAB_ESTOQUE[[Codigo]:[Endereço2]],12,FALSE)</f>
        <v>D1403</v>
      </c>
      <c r="E637" s="81">
        <f>SUM(TAB_SAIDA[[#This Row],[20/05/2019]:[00/00/00]])</f>
        <v>0</v>
      </c>
      <c r="F637" s="3"/>
    </row>
    <row r="638" spans="1:628" ht="15" hidden="1" customHeight="1" x14ac:dyDescent="0.25">
      <c r="A638" s="5" t="s">
        <v>2295</v>
      </c>
      <c r="B638" s="14" t="str">
        <f>VLOOKUP(TAB_SAIDA[[#This Row],[COD_2_SAIDA]],TAB_ESTOQUE[[Codigo]:[Descrição Tecnica]],6,FALSE)</f>
        <v>CONJUNTO ENGATE RAPIDO 3/4"</v>
      </c>
      <c r="C638" s="14">
        <f>IFERROR(VLOOKUP(TAB_SAIDA[[#This Row],[COD_2_SAIDA]],TAB_ESTOQUE[[Codigo]:[Referência Tec]],7,FALSE),"")</f>
        <v>0</v>
      </c>
      <c r="D638" s="14" t="str">
        <f>VLOOKUP(TAB_SAIDA[[#This Row],[COD_2_SAIDA]],TAB_ESTOQUE[[Codigo]:[Endereço2]],12,FALSE)</f>
        <v>D1403</v>
      </c>
      <c r="E638" s="81">
        <f>SUM(TAB_SAIDA[[#This Row],[20/05/2019]:[00/00/00]])</f>
        <v>0</v>
      </c>
      <c r="F638" s="3"/>
    </row>
    <row r="639" spans="1:628" ht="15" hidden="1" customHeight="1" x14ac:dyDescent="0.25">
      <c r="A639" s="5" t="s">
        <v>2296</v>
      </c>
      <c r="B639" s="14" t="str">
        <f>VLOOKUP(TAB_SAIDA[[#This Row],[COD_2_SAIDA]],TAB_ESTOQUE[[Codigo]:[Descrição Tecnica]],6,FALSE)</f>
        <v>ENGATE RAPIDO ESPIGÃO</v>
      </c>
      <c r="C639" s="14">
        <f>IFERROR(VLOOKUP(TAB_SAIDA[[#This Row],[COD_2_SAIDA]],TAB_ESTOQUE[[Codigo]:[Referência Tec]],7,FALSE),"")</f>
        <v>0</v>
      </c>
      <c r="D639" s="14" t="str">
        <f>VLOOKUP(TAB_SAIDA[[#This Row],[COD_2_SAIDA]],TAB_ESTOQUE[[Codigo]:[Endereço2]],12,FALSE)</f>
        <v>D1403</v>
      </c>
      <c r="E639" s="81">
        <f>SUM(TAB_SAIDA[[#This Row],[20/05/2019]:[00/00/00]])</f>
        <v>0</v>
      </c>
      <c r="F639" s="3"/>
    </row>
    <row r="640" spans="1:628" ht="15" hidden="1" customHeight="1" x14ac:dyDescent="0.25">
      <c r="A640" s="5" t="s">
        <v>2297</v>
      </c>
      <c r="B640" s="14" t="str">
        <f>VLOOKUP(TAB_SAIDA[[#This Row],[COD_2_SAIDA]],TAB_ESTOQUE[[Codigo]:[Descrição Tecnica]],6,FALSE)</f>
        <v>SERPENTINA PARA EIXO 4-6 ( SPIRE AXIS 4-6 ROBOT IRB 1600 COIL) PN 304436 KMT WJ  (DSR)</v>
      </c>
      <c r="C640" s="14">
        <f>IFERROR(VLOOKUP(TAB_SAIDA[[#This Row],[COD_2_SAIDA]],TAB_ESTOQUE[[Codigo]:[Referência Tec]],7,FALSE),"")</f>
        <v>0</v>
      </c>
      <c r="D640" s="14" t="str">
        <f>VLOOKUP(TAB_SAIDA[[#This Row],[COD_2_SAIDA]],TAB_ESTOQUE[[Codigo]:[Endereço2]],12,FALSE)</f>
        <v>D2201</v>
      </c>
      <c r="E640" s="81">
        <f>SUM(TAB_SAIDA[[#This Row],[20/05/2019]:[00/00/00]])</f>
        <v>4</v>
      </c>
      <c r="F640" s="3"/>
      <c r="VU640" s="3">
        <v>1</v>
      </c>
      <c r="VX640" s="3">
        <v>1</v>
      </c>
      <c r="WN640" s="3">
        <v>1</v>
      </c>
      <c r="XD640" s="3">
        <v>1</v>
      </c>
    </row>
    <row r="641" spans="1:629" ht="15" hidden="1" customHeight="1" x14ac:dyDescent="0.25">
      <c r="A641" s="5" t="s">
        <v>2298</v>
      </c>
      <c r="B641" s="14" t="str">
        <f>VLOOKUP(TAB_SAIDA[[#This Row],[COD_2_SAIDA]],TAB_ESTOQUE[[Codigo]:[Descrição Tecnica]],6,FALSE)</f>
        <v>ASSENTO BLOCO DE CANETA VL10178697</v>
      </c>
      <c r="C641" s="14">
        <f>IFERROR(VLOOKUP(TAB_SAIDA[[#This Row],[COD_2_SAIDA]],TAB_ESTOQUE[[Codigo]:[Referência Tec]],7,FALSE),"")</f>
        <v>0</v>
      </c>
      <c r="D641" s="14" t="str">
        <f>VLOOKUP(TAB_SAIDA[[#This Row],[COD_2_SAIDA]],TAB_ESTOQUE[[Codigo]:[Endereço2]],12,FALSE)</f>
        <v>D2202</v>
      </c>
      <c r="E641" s="81">
        <f>SUM(TAB_SAIDA[[#This Row],[20/05/2019]:[00/00/00]])</f>
        <v>0</v>
      </c>
      <c r="F641" s="3"/>
    </row>
    <row r="642" spans="1:629" ht="15" hidden="1" customHeight="1" x14ac:dyDescent="0.25">
      <c r="A642" s="5" t="s">
        <v>2299</v>
      </c>
      <c r="B642" s="14" t="str">
        <f>VLOOKUP(TAB_SAIDA[[#This Row],[COD_2_SAIDA]],TAB_ESTOQUE[[Codigo]:[Descrição Tecnica]],6,FALSE)</f>
        <v>ATUADOR  VL10187250</v>
      </c>
      <c r="C642" s="14">
        <f>IFERROR(VLOOKUP(TAB_SAIDA[[#This Row],[COD_2_SAIDA]],TAB_ESTOQUE[[Codigo]:[Referência Tec]],7,FALSE),"")</f>
        <v>0</v>
      </c>
      <c r="D642" s="14" t="str">
        <f>VLOOKUP(TAB_SAIDA[[#This Row],[COD_2_SAIDA]],TAB_ESTOQUE[[Codigo]:[Endereço2]],12,FALSE)</f>
        <v>D2202</v>
      </c>
      <c r="E642" s="81">
        <f>SUM(TAB_SAIDA[[#This Row],[20/05/2019]:[00/00/00]])</f>
        <v>0</v>
      </c>
      <c r="F642" s="3"/>
    </row>
    <row r="643" spans="1:629" ht="15" hidden="1" customHeight="1" x14ac:dyDescent="0.25">
      <c r="A643" s="5" t="s">
        <v>2300</v>
      </c>
      <c r="B643" s="14" t="str">
        <f>VLOOKUP(TAB_SAIDA[[#This Row],[COD_2_SAIDA]],TAB_ESTOQUE[[Codigo]:[Descrição Tecnica]],6,FALSE)</f>
        <v>BLOCO DA CANETA VL1018918</v>
      </c>
      <c r="C643" s="14">
        <f>IFERROR(VLOOKUP(TAB_SAIDA[[#This Row],[COD_2_SAIDA]],TAB_ESTOQUE[[Codigo]:[Referência Tec]],7,FALSE),"")</f>
        <v>0</v>
      </c>
      <c r="D643" s="14" t="str">
        <f>VLOOKUP(TAB_SAIDA[[#This Row],[COD_2_SAIDA]],TAB_ESTOQUE[[Codigo]:[Endereço2]],12,FALSE)</f>
        <v>D2202</v>
      </c>
      <c r="E643" s="81">
        <f>SUM(TAB_SAIDA[[#This Row],[20/05/2019]:[00/00/00]])</f>
        <v>1</v>
      </c>
      <c r="F643" s="3"/>
      <c r="VF643" s="3">
        <v>1</v>
      </c>
    </row>
    <row r="644" spans="1:629" ht="15" hidden="1" customHeight="1" x14ac:dyDescent="0.25">
      <c r="A644" s="5" t="s">
        <v>2301</v>
      </c>
      <c r="B644" s="14" t="str">
        <f>VLOOKUP(TAB_SAIDA[[#This Row],[COD_2_SAIDA]],TAB_ESTOQUE[[Codigo]:[Descrição Tecnica]],6,FALSE)</f>
        <v>VALVULA DE COLA 7337C03 EVOLUT DRS</v>
      </c>
      <c r="C644" s="14">
        <f>IFERROR(VLOOKUP(TAB_SAIDA[[#This Row],[COD_2_SAIDA]],TAB_ESTOQUE[[Codigo]:[Referência Tec]],7,FALSE),"")</f>
        <v>0</v>
      </c>
      <c r="D644" s="14" t="str">
        <f>VLOOKUP(TAB_SAIDA[[#This Row],[COD_2_SAIDA]],TAB_ESTOQUE[[Codigo]:[Endereço2]],12,FALSE)</f>
        <v>D2202</v>
      </c>
      <c r="E644" s="81">
        <f>SUM(TAB_SAIDA[[#This Row],[20/05/2019]:[00/00/00]])</f>
        <v>0</v>
      </c>
      <c r="F644" s="3"/>
    </row>
    <row r="645" spans="1:629" ht="15" hidden="1" customHeight="1" x14ac:dyDescent="0.25">
      <c r="A645" s="5" t="s">
        <v>2302</v>
      </c>
      <c r="B645" s="14" t="str">
        <f>VLOOKUP(TAB_SAIDA[[#This Row],[COD_2_SAIDA]],TAB_ESTOQUE[[Codigo]:[Descrição Tecnica]],6,FALSE)</f>
        <v xml:space="preserve">VALVULA PNEUMATICA 3/2 VIAS COM DUPLO ACIONAMENTO MOLA 1/2 </v>
      </c>
      <c r="C645" s="14">
        <f>IFERROR(VLOOKUP(TAB_SAIDA[[#This Row],[COD_2_SAIDA]],TAB_ESTOQUE[[Codigo]:[Referência Tec]],7,FALSE),"")</f>
        <v>0</v>
      </c>
      <c r="D645" s="14" t="str">
        <f>VLOOKUP(TAB_SAIDA[[#This Row],[COD_2_SAIDA]],TAB_ESTOQUE[[Codigo]:[Endereço2]],12,FALSE)</f>
        <v>C1104</v>
      </c>
      <c r="E645" s="81">
        <f>SUM(TAB_SAIDA[[#This Row],[20/05/2019]:[00/00/00]])</f>
        <v>0</v>
      </c>
      <c r="F645" s="3"/>
    </row>
    <row r="646" spans="1:629" ht="15" hidden="1" customHeight="1" x14ac:dyDescent="0.25">
      <c r="A646" s="5" t="s">
        <v>2303</v>
      </c>
      <c r="B646" s="14" t="str">
        <f>VLOOKUP(TAB_SAIDA[[#This Row],[COD_2_SAIDA]],TAB_ESTOQUE[[Codigo]:[Descrição Tecnica]],6,FALSE)</f>
        <v>SAFIRA WATER JET  6 MM 003788-6</v>
      </c>
      <c r="C646" s="14">
        <f>IFERROR(VLOOKUP(TAB_SAIDA[[#This Row],[COD_2_SAIDA]],TAB_ESTOQUE[[Codigo]:[Referência Tec]],7,FALSE),"")</f>
        <v>0</v>
      </c>
      <c r="D646" s="14" t="str">
        <f>VLOOKUP(TAB_SAIDA[[#This Row],[COD_2_SAIDA]],TAB_ESTOQUE[[Codigo]:[Endereço2]],12,FALSE)</f>
        <v>ARMARIO</v>
      </c>
      <c r="E646" s="81">
        <f>SUM(TAB_SAIDA[[#This Row],[20/05/2019]:[00/00/00]])</f>
        <v>99</v>
      </c>
      <c r="F646" s="3"/>
      <c r="RT646" s="3">
        <v>1</v>
      </c>
      <c r="RX646" s="3">
        <v>1</v>
      </c>
      <c r="RY646" s="3">
        <v>1</v>
      </c>
      <c r="SI646" s="3">
        <v>2</v>
      </c>
      <c r="SN646" s="3">
        <v>1</v>
      </c>
      <c r="SO646" s="3">
        <v>1</v>
      </c>
      <c r="SP646" s="3">
        <v>2</v>
      </c>
      <c r="SQ646" s="3">
        <v>1</v>
      </c>
      <c r="SR646" s="3">
        <v>1</v>
      </c>
      <c r="SV646" s="3">
        <v>1</v>
      </c>
      <c r="SX646" s="3">
        <v>1</v>
      </c>
      <c r="SY646" s="3">
        <v>1</v>
      </c>
      <c r="TE646" s="3">
        <v>1</v>
      </c>
      <c r="TM646" s="3">
        <v>1</v>
      </c>
      <c r="TU646" s="3">
        <v>2</v>
      </c>
      <c r="TV646" s="3">
        <v>2</v>
      </c>
      <c r="TY646" s="3">
        <v>1</v>
      </c>
      <c r="TZ646" s="3">
        <v>4</v>
      </c>
      <c r="UC646" s="3">
        <v>2</v>
      </c>
      <c r="UF646" s="3">
        <v>3</v>
      </c>
      <c r="UG646" s="3">
        <v>1</v>
      </c>
      <c r="UH646" s="3">
        <v>4</v>
      </c>
      <c r="UI646" s="3">
        <v>1</v>
      </c>
      <c r="UJ646" s="3">
        <v>2</v>
      </c>
      <c r="UM646" s="3">
        <v>2</v>
      </c>
      <c r="UP646" s="3">
        <v>2</v>
      </c>
      <c r="UQ646" s="3">
        <v>2</v>
      </c>
      <c r="US646" s="3">
        <v>1</v>
      </c>
      <c r="UT646" s="3">
        <v>3</v>
      </c>
      <c r="UV646" s="3">
        <v>2</v>
      </c>
      <c r="UX646" s="3">
        <v>1</v>
      </c>
      <c r="UY646" s="3">
        <v>1</v>
      </c>
      <c r="VA646" s="3">
        <v>2</v>
      </c>
      <c r="VB646" s="3">
        <v>1</v>
      </c>
      <c r="VD646" s="3">
        <v>1</v>
      </c>
      <c r="VF646" s="3">
        <v>3</v>
      </c>
      <c r="VG646" s="3">
        <v>2</v>
      </c>
      <c r="VH646" s="3">
        <v>2</v>
      </c>
      <c r="VI646" s="3">
        <v>1</v>
      </c>
      <c r="VK646" s="3">
        <v>2</v>
      </c>
      <c r="VM646" s="3">
        <v>1</v>
      </c>
      <c r="VO646" s="3">
        <v>2</v>
      </c>
      <c r="VQ646" s="3">
        <v>2</v>
      </c>
      <c r="VR646" s="3">
        <v>1</v>
      </c>
      <c r="VS646" s="3">
        <v>2</v>
      </c>
      <c r="VT646" s="3">
        <v>2</v>
      </c>
      <c r="VU646" s="3">
        <v>2</v>
      </c>
      <c r="VW646" s="3">
        <v>2</v>
      </c>
      <c r="VX646" s="3">
        <v>1</v>
      </c>
      <c r="VY646" s="3">
        <v>2</v>
      </c>
      <c r="WB646" s="3">
        <v>2</v>
      </c>
      <c r="WE646" s="3">
        <v>2</v>
      </c>
      <c r="WF646" s="3">
        <v>2</v>
      </c>
      <c r="WM646" s="3">
        <v>1</v>
      </c>
      <c r="WP646" s="3">
        <v>1</v>
      </c>
      <c r="WR646" s="3">
        <v>1</v>
      </c>
      <c r="WS646" s="3">
        <v>1</v>
      </c>
      <c r="WU646" s="3">
        <v>1</v>
      </c>
      <c r="WX646" s="3">
        <v>1</v>
      </c>
      <c r="XA646" s="3">
        <v>1</v>
      </c>
      <c r="XD646" s="3">
        <v>1</v>
      </c>
      <c r="XE646" s="3">
        <v>2</v>
      </c>
    </row>
    <row r="647" spans="1:629" ht="15" hidden="1" customHeight="1" x14ac:dyDescent="0.25">
      <c r="A647" s="5" t="s">
        <v>2304</v>
      </c>
      <c r="B647" s="14" t="str">
        <f>VLOOKUP(TAB_SAIDA[[#This Row],[COD_2_SAIDA]],TAB_ESTOQUE[[Codigo]:[Descrição Tecnica]],6,FALSE)</f>
        <v>SAFIRA WATER JET 8MM 003788-8</v>
      </c>
      <c r="C647" s="14">
        <f>IFERROR(VLOOKUP(TAB_SAIDA[[#This Row],[COD_2_SAIDA]],TAB_ESTOQUE[[Codigo]:[Referência Tec]],7,FALSE),"")</f>
        <v>0</v>
      </c>
      <c r="D647" s="14" t="str">
        <f>VLOOKUP(TAB_SAIDA[[#This Row],[COD_2_SAIDA]],TAB_ESTOQUE[[Codigo]:[Endereço2]],12,FALSE)</f>
        <v>ARMARIO</v>
      </c>
      <c r="E647" s="81">
        <f>SUM(TAB_SAIDA[[#This Row],[20/05/2019]:[00/00/00]])</f>
        <v>231</v>
      </c>
      <c r="F647" s="3"/>
      <c r="JV647" s="3">
        <v>2</v>
      </c>
      <c r="KH647" s="3">
        <v>2</v>
      </c>
      <c r="KP647" s="3">
        <v>1</v>
      </c>
      <c r="LG647" s="3">
        <v>1</v>
      </c>
      <c r="RF647" s="3">
        <v>2</v>
      </c>
      <c r="RG647" s="3">
        <v>2</v>
      </c>
      <c r="RH647" s="3">
        <v>1</v>
      </c>
      <c r="RI647" s="3">
        <v>2</v>
      </c>
      <c r="RJ647" s="3">
        <v>3</v>
      </c>
      <c r="RK647" s="3">
        <v>2</v>
      </c>
      <c r="RL647" s="3">
        <v>1</v>
      </c>
      <c r="RM647" s="3">
        <v>2</v>
      </c>
      <c r="RN647" s="3">
        <v>1</v>
      </c>
      <c r="RO647" s="3">
        <v>2</v>
      </c>
      <c r="RP647" s="3">
        <v>2</v>
      </c>
      <c r="RQ647" s="3">
        <v>1</v>
      </c>
      <c r="RR647" s="3">
        <v>2</v>
      </c>
      <c r="RS647" s="3">
        <v>1</v>
      </c>
      <c r="RT647" s="3">
        <v>2</v>
      </c>
      <c r="RU647" s="3">
        <v>2</v>
      </c>
      <c r="RW647" s="3">
        <v>1</v>
      </c>
      <c r="RY647" s="3">
        <v>1</v>
      </c>
      <c r="SA647" s="3">
        <v>2</v>
      </c>
      <c r="SB647" s="3">
        <v>4</v>
      </c>
      <c r="SC647" s="3">
        <v>1</v>
      </c>
      <c r="SF647" s="3">
        <v>1</v>
      </c>
      <c r="SI647" s="3">
        <v>4</v>
      </c>
      <c r="SJ647" s="3">
        <v>1</v>
      </c>
      <c r="SL647" s="3">
        <v>1</v>
      </c>
      <c r="SN647" s="3">
        <v>5</v>
      </c>
      <c r="SP647" s="3">
        <v>4</v>
      </c>
      <c r="SR647" s="3">
        <v>3</v>
      </c>
      <c r="SS647" s="3">
        <v>1</v>
      </c>
      <c r="ST647" s="3">
        <v>2</v>
      </c>
      <c r="SV647" s="3">
        <v>1</v>
      </c>
      <c r="SW647" s="3">
        <v>3</v>
      </c>
      <c r="SY647" s="3">
        <v>2</v>
      </c>
      <c r="TB647" s="3">
        <v>1</v>
      </c>
      <c r="TJ647" s="3">
        <v>2</v>
      </c>
      <c r="TO647" s="3">
        <v>1</v>
      </c>
      <c r="TS647" s="3">
        <v>2</v>
      </c>
      <c r="TT647" s="3">
        <v>4</v>
      </c>
      <c r="TU647" s="3">
        <v>1</v>
      </c>
      <c r="TV647" s="3">
        <v>3</v>
      </c>
      <c r="TW647" s="3">
        <v>2</v>
      </c>
      <c r="TX647" s="3">
        <v>1</v>
      </c>
      <c r="TY647" s="3">
        <v>4</v>
      </c>
      <c r="UA647" s="3">
        <v>1</v>
      </c>
      <c r="UB647" s="3">
        <v>2</v>
      </c>
      <c r="UC647" s="3">
        <v>1</v>
      </c>
      <c r="UE647" s="3">
        <v>2</v>
      </c>
      <c r="UF647" s="3">
        <v>4</v>
      </c>
      <c r="UG647" s="3">
        <v>1</v>
      </c>
      <c r="UH647" s="3">
        <v>2</v>
      </c>
      <c r="UI647" s="3">
        <v>1</v>
      </c>
      <c r="UJ647" s="3">
        <v>4</v>
      </c>
      <c r="UK647" s="3">
        <v>1</v>
      </c>
      <c r="UL647" s="3">
        <v>4</v>
      </c>
      <c r="UM647" s="3">
        <v>1</v>
      </c>
      <c r="UN647" s="3">
        <v>2</v>
      </c>
      <c r="UP647" s="3">
        <v>2</v>
      </c>
      <c r="UQ647" s="3">
        <v>2</v>
      </c>
      <c r="UR647" s="3">
        <v>2</v>
      </c>
      <c r="US647" s="3">
        <v>2</v>
      </c>
      <c r="UT647" s="3">
        <v>1</v>
      </c>
      <c r="UU647" s="3">
        <v>1</v>
      </c>
      <c r="UV647" s="3">
        <v>4</v>
      </c>
      <c r="UW647" s="3">
        <v>3</v>
      </c>
      <c r="UX647" s="3">
        <v>2</v>
      </c>
      <c r="UZ647" s="3">
        <v>2</v>
      </c>
      <c r="VB647" s="3">
        <v>4</v>
      </c>
      <c r="VC647" s="3">
        <v>5</v>
      </c>
      <c r="VD647" s="3">
        <v>1</v>
      </c>
      <c r="VG647" s="3">
        <v>6</v>
      </c>
      <c r="VH647" s="3">
        <v>5</v>
      </c>
      <c r="VI647" s="3">
        <v>2</v>
      </c>
      <c r="VK647" s="3">
        <v>4</v>
      </c>
      <c r="VL647" s="3">
        <v>2</v>
      </c>
      <c r="VN647" s="3">
        <v>4</v>
      </c>
      <c r="VO647" s="3">
        <v>1</v>
      </c>
      <c r="VP647" s="3">
        <v>1</v>
      </c>
      <c r="VQ647" s="3">
        <v>1</v>
      </c>
      <c r="VR647" s="3">
        <v>4</v>
      </c>
      <c r="VU647" s="3">
        <v>4</v>
      </c>
      <c r="VV647" s="3">
        <v>2</v>
      </c>
      <c r="VX647" s="3">
        <v>4</v>
      </c>
      <c r="VY647" s="3">
        <v>1</v>
      </c>
      <c r="VZ647" s="3">
        <v>2</v>
      </c>
      <c r="WA647" s="3">
        <v>2</v>
      </c>
      <c r="WB647" s="3">
        <v>3</v>
      </c>
      <c r="WC647" s="3">
        <v>2</v>
      </c>
      <c r="WE647" s="3">
        <v>6</v>
      </c>
      <c r="WF647" s="3">
        <v>2</v>
      </c>
      <c r="WM647" s="3">
        <v>4</v>
      </c>
      <c r="WO647" s="3">
        <v>2</v>
      </c>
      <c r="WQ647" s="3">
        <v>2</v>
      </c>
      <c r="WR647" s="3">
        <v>1</v>
      </c>
      <c r="WT647" s="3">
        <v>1</v>
      </c>
      <c r="WU647" s="3">
        <v>4</v>
      </c>
      <c r="WY647" s="3">
        <v>2</v>
      </c>
      <c r="XA647" s="3">
        <v>2</v>
      </c>
      <c r="XB647" s="3">
        <v>4</v>
      </c>
      <c r="XC647" s="3">
        <v>2</v>
      </c>
    </row>
    <row r="648" spans="1:629" ht="15" hidden="1" customHeight="1" x14ac:dyDescent="0.25">
      <c r="A648" s="5" t="s">
        <v>2305</v>
      </c>
      <c r="B648" s="14" t="str">
        <f>VLOOKUP(TAB_SAIDA[[#This Row],[COD_2_SAIDA]],TAB_ESTOQUE[[Codigo]:[Descrição Tecnica]],6,FALSE)</f>
        <v>FILTRO DE ALTA PRESSÃO DO ROBO W.J FL05110531  1/4"</v>
      </c>
      <c r="C648" s="14">
        <f>IFERROR(VLOOKUP(TAB_SAIDA[[#This Row],[COD_2_SAIDA]],TAB_ESTOQUE[[Codigo]:[Referência Tec]],7,FALSE),"")</f>
        <v>0</v>
      </c>
      <c r="D648" s="14" t="str">
        <f>VLOOKUP(TAB_SAIDA[[#This Row],[COD_2_SAIDA]],TAB_ESTOQUE[[Codigo]:[Endereço2]],12,FALSE)</f>
        <v>D2203</v>
      </c>
      <c r="E648" s="81">
        <f>SUM(TAB_SAIDA[[#This Row],[20/05/2019]:[00/00/00]])</f>
        <v>0</v>
      </c>
      <c r="F648" s="3"/>
    </row>
    <row r="649" spans="1:629" ht="15" hidden="1" customHeight="1" x14ac:dyDescent="0.25">
      <c r="A649" s="5" t="s">
        <v>2306</v>
      </c>
      <c r="B649" s="14" t="str">
        <f>VLOOKUP(TAB_SAIDA[[#This Row],[COD_2_SAIDA]],TAB_ESTOQUE[[Codigo]:[Descrição Tecnica]],6,FALSE)</f>
        <v>ANILHA ROSQUEADA PARA EMENDA DE SERPENTINA ALC 40-316 (DSR)</v>
      </c>
      <c r="C649" s="14">
        <f>IFERROR(VLOOKUP(TAB_SAIDA[[#This Row],[COD_2_SAIDA]],TAB_ESTOQUE[[Codigo]:[Referência Tec]],7,FALSE),"")</f>
        <v>0</v>
      </c>
      <c r="D649" s="14" t="str">
        <f>VLOOKUP(TAB_SAIDA[[#This Row],[COD_2_SAIDA]],TAB_ESTOQUE[[Codigo]:[Endereço2]],12,FALSE)</f>
        <v>D2203</v>
      </c>
      <c r="E649" s="81">
        <f>SUM(TAB_SAIDA[[#This Row],[20/05/2019]:[00/00/00]])</f>
        <v>0</v>
      </c>
      <c r="F649" s="3"/>
    </row>
    <row r="650" spans="1:629" ht="15" hidden="1" customHeight="1" x14ac:dyDescent="0.25">
      <c r="A650" s="5" t="s">
        <v>2307</v>
      </c>
      <c r="B650" s="14" t="str">
        <f>VLOOKUP(TAB_SAIDA[[#This Row],[COD_2_SAIDA]],TAB_ESTOQUE[[Codigo]:[Descrição Tecnica]],6,FALSE)</f>
        <v>REPARO DO INTENSIFICADOR PN: SL 05112768</v>
      </c>
      <c r="C650" s="14">
        <f>IFERROR(VLOOKUP(TAB_SAIDA[[#This Row],[COD_2_SAIDA]],TAB_ESTOQUE[[Codigo]:[Referência Tec]],7,FALSE),"")</f>
        <v>0</v>
      </c>
      <c r="D650" s="14" t="str">
        <f>VLOOKUP(TAB_SAIDA[[#This Row],[COD_2_SAIDA]],TAB_ESTOQUE[[Codigo]:[Endereço2]],12,FALSE)</f>
        <v>D2203</v>
      </c>
      <c r="E650" s="81">
        <f>SUM(TAB_SAIDA[[#This Row],[20/05/2019]:[00/00/00]])</f>
        <v>1</v>
      </c>
      <c r="F650" s="3"/>
      <c r="WN650" s="3">
        <v>1</v>
      </c>
    </row>
    <row r="651" spans="1:629" ht="15" hidden="1" customHeight="1" x14ac:dyDescent="0.25">
      <c r="A651" s="5" t="s">
        <v>2308</v>
      </c>
      <c r="B651" s="14" t="str">
        <f>VLOOKUP(TAB_SAIDA[[#This Row],[COD_2_SAIDA]],TAB_ESTOQUE[[Codigo]:[Descrição Tecnica]],6,FALSE)</f>
        <v>ANILHA DA SERPENTINA FLOW A0792-1 W.J  (DSR)</v>
      </c>
      <c r="C651" s="14">
        <f>IFERROR(VLOOKUP(TAB_SAIDA[[#This Row],[COD_2_SAIDA]],TAB_ESTOQUE[[Codigo]:[Referência Tec]],7,FALSE),"")</f>
        <v>0</v>
      </c>
      <c r="D651" s="14" t="str">
        <f>VLOOKUP(TAB_SAIDA[[#This Row],[COD_2_SAIDA]],TAB_ESTOQUE[[Codigo]:[Endereço2]],12,FALSE)</f>
        <v>D2203</v>
      </c>
      <c r="E651" s="81">
        <f>SUM(TAB_SAIDA[[#This Row],[20/05/2019]:[00/00/00]])</f>
        <v>0</v>
      </c>
      <c r="F651" s="3"/>
    </row>
    <row r="652" spans="1:629" ht="15" hidden="1" customHeight="1" x14ac:dyDescent="0.25">
      <c r="A652" s="5" t="s">
        <v>2309</v>
      </c>
      <c r="B652" s="14" t="str">
        <f>VLOOKUP(TAB_SAIDA[[#This Row],[COD_2_SAIDA]],TAB_ESTOQUE[[Codigo]:[Descrição Tecnica]],6,FALSE)</f>
        <v>PULVERIZADOR DE PORCELANA PARA O INTENSIFICADOR .05119151</v>
      </c>
      <c r="C652" s="14">
        <f>IFERROR(VLOOKUP(TAB_SAIDA[[#This Row],[COD_2_SAIDA]],TAB_ESTOQUE[[Codigo]:[Referência Tec]],7,FALSE),"")</f>
        <v>0</v>
      </c>
      <c r="D652" s="14" t="str">
        <f>VLOOKUP(TAB_SAIDA[[#This Row],[COD_2_SAIDA]],TAB_ESTOQUE[[Codigo]:[Endereço2]],12,FALSE)</f>
        <v>D2203</v>
      </c>
      <c r="E652" s="81">
        <f>SUM(TAB_SAIDA[[#This Row],[20/05/2019]:[00/00/00]])</f>
        <v>0</v>
      </c>
      <c r="F652" s="3"/>
    </row>
    <row r="653" spans="1:629" ht="15" hidden="1" customHeight="1" x14ac:dyDescent="0.25">
      <c r="A653" s="5" t="s">
        <v>2310</v>
      </c>
      <c r="B653" s="14" t="str">
        <f>VLOOKUP(TAB_SAIDA[[#This Row],[COD_2_SAIDA]],TAB_ESTOQUE[[Codigo]:[Descrição Tecnica]],6,FALSE)</f>
        <v>VALVULA DE ALTA PRESSÃO</v>
      </c>
      <c r="C653" s="14">
        <f>IFERROR(VLOOKUP(TAB_SAIDA[[#This Row],[COD_2_SAIDA]],TAB_ESTOQUE[[Codigo]:[Referência Tec]],7,FALSE),"")</f>
        <v>0</v>
      </c>
      <c r="D653" s="14" t="str">
        <f>VLOOKUP(TAB_SAIDA[[#This Row],[COD_2_SAIDA]],TAB_ESTOQUE[[Codigo]:[Endereço2]],12,FALSE)</f>
        <v>D2203</v>
      </c>
      <c r="E653" s="81">
        <f>SUM(TAB_SAIDA[[#This Row],[20/05/2019]:[00/00/00]])</f>
        <v>0</v>
      </c>
      <c r="F653" s="3"/>
    </row>
    <row r="654" spans="1:629" ht="15" hidden="1" customHeight="1" x14ac:dyDescent="0.25">
      <c r="A654" s="5" t="s">
        <v>2311</v>
      </c>
      <c r="B654" s="14" t="str">
        <f>VLOOKUP(TAB_SAIDA[[#This Row],[COD_2_SAIDA]],TAB_ESTOQUE[[Codigo]:[Descrição Tecnica]],6,FALSE)</f>
        <v>CELULA DE CARGA  500K MOD:TA26  S.M 20163071</v>
      </c>
      <c r="C654" s="14">
        <f>IFERROR(VLOOKUP(TAB_SAIDA[[#This Row],[COD_2_SAIDA]],TAB_ESTOQUE[[Codigo]:[Referência Tec]],7,FALSE),"")</f>
        <v>0</v>
      </c>
      <c r="D654" s="14" t="str">
        <f>VLOOKUP(TAB_SAIDA[[#This Row],[COD_2_SAIDA]],TAB_ESTOQUE[[Codigo]:[Endereço2]],12,FALSE)</f>
        <v>A1205</v>
      </c>
      <c r="E654" s="81">
        <f>SUM(TAB_SAIDA[[#This Row],[20/05/2019]:[00/00/00]])</f>
        <v>0</v>
      </c>
      <c r="F654" s="3"/>
    </row>
    <row r="655" spans="1:629" ht="15" hidden="1" customHeight="1" x14ac:dyDescent="0.25">
      <c r="A655" s="5" t="s">
        <v>2312</v>
      </c>
      <c r="B655" s="14" t="str">
        <f>VLOOKUP(TAB_SAIDA[[#This Row],[COD_2_SAIDA]],TAB_ESTOQUE[[Codigo]:[Descrição Tecnica]],6,FALSE)</f>
        <v>VALVULA SEU 1/8"</v>
      </c>
      <c r="C655" s="14">
        <f>IFERROR(VLOOKUP(TAB_SAIDA[[#This Row],[COD_2_SAIDA]],TAB_ESTOQUE[[Codigo]:[Referência Tec]],7,FALSE),"")</f>
        <v>0</v>
      </c>
      <c r="D655" s="14" t="str">
        <f>VLOOKUP(TAB_SAIDA[[#This Row],[COD_2_SAIDA]],TAB_ESTOQUE[[Codigo]:[Endereço2]],12,FALSE)</f>
        <v>D2203</v>
      </c>
      <c r="E655" s="81">
        <f>SUM(TAB_SAIDA[[#This Row],[20/05/2019]:[00/00/00]])</f>
        <v>0</v>
      </c>
      <c r="F655" s="3"/>
    </row>
    <row r="656" spans="1:629" ht="15" hidden="1" customHeight="1" x14ac:dyDescent="0.25">
      <c r="A656" s="5" t="s">
        <v>2313</v>
      </c>
      <c r="B656" s="14" t="str">
        <f>VLOOKUP(TAB_SAIDA[[#This Row],[COD_2_SAIDA]],TAB_ESTOQUE[[Codigo]:[Descrição Tecnica]],6,FALSE)</f>
        <v>SENSOR DE POSIÇÃO CILINDRO 871D-BW2N524-N3</v>
      </c>
      <c r="C656" s="14">
        <f>IFERROR(VLOOKUP(TAB_SAIDA[[#This Row],[COD_2_SAIDA]],TAB_ESTOQUE[[Codigo]:[Referência Tec]],7,FALSE),"")</f>
        <v>0</v>
      </c>
      <c r="D656" s="14" t="str">
        <f>VLOOKUP(TAB_SAIDA[[#This Row],[COD_2_SAIDA]],TAB_ESTOQUE[[Codigo]:[Endereço2]],12,FALSE)</f>
        <v>D2204</v>
      </c>
      <c r="E656" s="81">
        <f>SUM(TAB_SAIDA[[#This Row],[20/05/2019]:[00/00/00]])</f>
        <v>0</v>
      </c>
      <c r="F656" s="3"/>
    </row>
    <row r="657" spans="1:626" ht="15" hidden="1" customHeight="1" x14ac:dyDescent="0.25">
      <c r="A657" s="5" t="s">
        <v>2314</v>
      </c>
      <c r="B657" s="14" t="str">
        <f>VLOOKUP(TAB_SAIDA[[#This Row],[COD_2_SAIDA]],TAB_ESTOQUE[[Codigo]:[Descrição Tecnica]],6,FALSE)</f>
        <v>MOLA DO ATUADOR DA CANETA .05054119</v>
      </c>
      <c r="C657" s="14">
        <f>IFERROR(VLOOKUP(TAB_SAIDA[[#This Row],[COD_2_SAIDA]],TAB_ESTOQUE[[Codigo]:[Referência Tec]],7,FALSE),"")</f>
        <v>0</v>
      </c>
      <c r="D657" s="14" t="str">
        <f>VLOOKUP(TAB_SAIDA[[#This Row],[COD_2_SAIDA]],TAB_ESTOQUE[[Codigo]:[Endereço2]],12,FALSE)</f>
        <v>D2204</v>
      </c>
      <c r="E657" s="81">
        <f>SUM(TAB_SAIDA[[#This Row],[20/05/2019]:[00/00/00]])</f>
        <v>0</v>
      </c>
      <c r="F657" s="3"/>
    </row>
    <row r="658" spans="1:626" ht="15" hidden="1" customHeight="1" x14ac:dyDescent="0.25">
      <c r="A658" s="5" t="s">
        <v>2315</v>
      </c>
      <c r="B658" s="14" t="str">
        <f>VLOOKUP(TAB_SAIDA[[#This Row],[COD_2_SAIDA]],TAB_ESTOQUE[[Codigo]:[Descrição Tecnica]],6,FALSE)</f>
        <v>BLOCO KMT 10078525 W00079581</v>
      </c>
      <c r="C658" s="14">
        <f>IFERROR(VLOOKUP(TAB_SAIDA[[#This Row],[COD_2_SAIDA]],TAB_ESTOQUE[[Codigo]:[Referência Tec]],7,FALSE),"")</f>
        <v>0</v>
      </c>
      <c r="D658" s="14" t="str">
        <f>VLOOKUP(TAB_SAIDA[[#This Row],[COD_2_SAIDA]],TAB_ESTOQUE[[Codigo]:[Endereço2]],12,FALSE)</f>
        <v>D2204</v>
      </c>
      <c r="E658" s="81">
        <f>SUM(TAB_SAIDA[[#This Row],[20/05/2019]:[00/00/00]])</f>
        <v>0</v>
      </c>
      <c r="F658" s="3"/>
    </row>
    <row r="659" spans="1:626" ht="15" hidden="1" customHeight="1" x14ac:dyDescent="0.25">
      <c r="A659" s="5" t="s">
        <v>2316</v>
      </c>
      <c r="B659" s="14" t="str">
        <f>VLOOKUP(TAB_SAIDA[[#This Row],[COD_2_SAIDA]],TAB_ESTOQUE[[Codigo]:[Descrição Tecnica]],6,FALSE)</f>
        <v>REPARO DA CANETA W.J NC  NORMAL FECHADO VL05116025</v>
      </c>
      <c r="C659" s="14">
        <f>IFERROR(VLOOKUP(TAB_SAIDA[[#This Row],[COD_2_SAIDA]],TAB_ESTOQUE[[Codigo]:[Referência Tec]],7,FALSE),"")</f>
        <v>0</v>
      </c>
      <c r="D659" s="14" t="str">
        <f>VLOOKUP(TAB_SAIDA[[#This Row],[COD_2_SAIDA]],TAB_ESTOQUE[[Codigo]:[Endereço2]],12,FALSE)</f>
        <v>ARMARIO</v>
      </c>
      <c r="E659" s="81">
        <f>SUM(TAB_SAIDA[[#This Row],[20/05/2019]:[00/00/00]])</f>
        <v>24</v>
      </c>
      <c r="F659" s="3"/>
      <c r="SB659" s="3">
        <v>1</v>
      </c>
      <c r="SU659" s="3">
        <v>1</v>
      </c>
      <c r="UM659" s="3">
        <v>1</v>
      </c>
      <c r="UN659" s="3">
        <v>1</v>
      </c>
      <c r="UQ659" s="3">
        <v>1</v>
      </c>
      <c r="UU659" s="3">
        <v>1</v>
      </c>
      <c r="UZ659" s="3">
        <v>1</v>
      </c>
      <c r="VD659" s="3">
        <v>1</v>
      </c>
      <c r="VF659" s="3">
        <v>1</v>
      </c>
      <c r="VR659" s="3">
        <v>1</v>
      </c>
      <c r="VY659" s="3">
        <v>1</v>
      </c>
      <c r="WC659" s="3">
        <v>2</v>
      </c>
      <c r="WM659" s="3">
        <v>2</v>
      </c>
      <c r="WU659" s="3">
        <v>5</v>
      </c>
      <c r="WY659" s="3">
        <v>2</v>
      </c>
      <c r="XA659" s="3">
        <v>1</v>
      </c>
      <c r="XB659" s="3">
        <v>1</v>
      </c>
    </row>
    <row r="660" spans="1:626" ht="15" hidden="1" customHeight="1" x14ac:dyDescent="0.25">
      <c r="A660" s="5" t="s">
        <v>2317</v>
      </c>
      <c r="B660" s="14" t="str">
        <f>VLOOKUP(TAB_SAIDA[[#This Row],[COD_2_SAIDA]],TAB_ESTOQUE[[Codigo]:[Descrição Tecnica]],6,FALSE)</f>
        <v>ANNEL DE RETENÇÃO W.J PN: SL5034798</v>
      </c>
      <c r="C660" s="14">
        <f>IFERROR(VLOOKUP(TAB_SAIDA[[#This Row],[COD_2_SAIDA]],TAB_ESTOQUE[[Codigo]:[Referência Tec]],7,FALSE),"")</f>
        <v>0</v>
      </c>
      <c r="D660" s="14" t="str">
        <f>VLOOKUP(TAB_SAIDA[[#This Row],[COD_2_SAIDA]],TAB_ESTOQUE[[Codigo]:[Endereço2]],12,FALSE)</f>
        <v>D2203</v>
      </c>
      <c r="E660" s="81">
        <f>SUM(TAB_SAIDA[[#This Row],[20/05/2019]:[00/00/00]])</f>
        <v>0</v>
      </c>
      <c r="F660" s="3"/>
    </row>
    <row r="661" spans="1:626" ht="15" hidden="1" customHeight="1" x14ac:dyDescent="0.25">
      <c r="A661" s="5" t="s">
        <v>2318</v>
      </c>
      <c r="B661" s="14" t="str">
        <f>VLOOKUP(TAB_SAIDA[[#This Row],[COD_2_SAIDA]],TAB_ESTOQUE[[Codigo]:[Descrição Tecnica]],6,FALSE)</f>
        <v>VALVULA DE DESCARGA W.J 05116561 DRS</v>
      </c>
      <c r="C661" s="14">
        <f>IFERROR(VLOOKUP(TAB_SAIDA[[#This Row],[COD_2_SAIDA]],TAB_ESTOQUE[[Codigo]:[Referência Tec]],7,FALSE),"")</f>
        <v>0</v>
      </c>
      <c r="D661" s="14" t="str">
        <f>VLOOKUP(TAB_SAIDA[[#This Row],[COD_2_SAIDA]],TAB_ESTOQUE[[Codigo]:[Endereço2]],12,FALSE)</f>
        <v>D2203</v>
      </c>
      <c r="E661" s="81">
        <f>SUM(TAB_SAIDA[[#This Row],[20/05/2019]:[00/00/00]])</f>
        <v>0</v>
      </c>
      <c r="F661" s="3"/>
    </row>
    <row r="662" spans="1:626" ht="15" hidden="1" customHeight="1" x14ac:dyDescent="0.25">
      <c r="A662" s="5" t="s">
        <v>2319</v>
      </c>
      <c r="B662" s="14" t="str">
        <f>VLOOKUP(TAB_SAIDA[[#This Row],[COD_2_SAIDA]],TAB_ESTOQUE[[Codigo]:[Descrição Tecnica]],6,FALSE)</f>
        <v>REPARO DA CANETA W.J NO NORMAL ABEERTO VL05116017</v>
      </c>
      <c r="C662" s="14">
        <f>IFERROR(VLOOKUP(TAB_SAIDA[[#This Row],[COD_2_SAIDA]],TAB_ESTOQUE[[Codigo]:[Referência Tec]],7,FALSE),"")</f>
        <v>0</v>
      </c>
      <c r="D662" s="14" t="str">
        <f>VLOOKUP(TAB_SAIDA[[#This Row],[COD_2_SAIDA]],TAB_ESTOQUE[[Codigo]:[Endereço2]],12,FALSE)</f>
        <v>ARMARIO</v>
      </c>
      <c r="E662" s="81">
        <f>SUM(TAB_SAIDA[[#This Row],[20/05/2019]:[00/00/00]])</f>
        <v>14</v>
      </c>
      <c r="F662" s="3"/>
      <c r="SP662" s="3">
        <v>1</v>
      </c>
      <c r="SZ662" s="3">
        <v>1</v>
      </c>
      <c r="TM662" s="3">
        <v>1</v>
      </c>
      <c r="UP662" s="3">
        <v>1</v>
      </c>
      <c r="US662" s="3">
        <v>2</v>
      </c>
      <c r="UV662" s="3">
        <v>1</v>
      </c>
      <c r="VF662" s="3">
        <v>1</v>
      </c>
      <c r="WM662" s="3">
        <v>1</v>
      </c>
      <c r="WN662" s="3">
        <v>1</v>
      </c>
      <c r="WS662" s="3">
        <v>1</v>
      </c>
      <c r="WU662" s="3">
        <v>3</v>
      </c>
    </row>
    <row r="663" spans="1:626" ht="15" hidden="1" customHeight="1" x14ac:dyDescent="0.25">
      <c r="A663" s="5" t="s">
        <v>2320</v>
      </c>
      <c r="B663" s="14" t="str">
        <f>VLOOKUP(TAB_SAIDA[[#This Row],[COD_2_SAIDA]],TAB_ESTOQUE[[Codigo]:[Descrição Tecnica]],6,FALSE)</f>
        <v>LUVA PARA SERPENTINA  1/4 FLOW A0780-1 W.J (DSR)</v>
      </c>
      <c r="C663" s="14">
        <f>IFERROR(VLOOKUP(TAB_SAIDA[[#This Row],[COD_2_SAIDA]],TAB_ESTOQUE[[Codigo]:[Referência Tec]],7,FALSE),"")</f>
        <v>0</v>
      </c>
      <c r="D663" s="14" t="str">
        <f>VLOOKUP(TAB_SAIDA[[#This Row],[COD_2_SAIDA]],TAB_ESTOQUE[[Codigo]:[Endereço2]],12,FALSE)</f>
        <v>D2203</v>
      </c>
      <c r="E663" s="81">
        <f>SUM(TAB_SAIDA[[#This Row],[20/05/2019]:[00/00/00]])</f>
        <v>0</v>
      </c>
      <c r="F663" s="3"/>
    </row>
    <row r="664" spans="1:626" ht="15" hidden="1" customHeight="1" x14ac:dyDescent="0.25">
      <c r="A664" s="5" t="s">
        <v>2321</v>
      </c>
      <c r="B664" s="14" t="str">
        <f>VLOOKUP(TAB_SAIDA[[#This Row],[COD_2_SAIDA]],TAB_ESTOQUE[[Codigo]:[Descrição Tecnica]],6,FALSE)</f>
        <v>VALVULA HIDRAULICA HUADE REF: 4WE 10 D31B/CG24N9Z4</v>
      </c>
      <c r="C664" s="14">
        <f>IFERROR(VLOOKUP(TAB_SAIDA[[#This Row],[COD_2_SAIDA]],TAB_ESTOQUE[[Codigo]:[Referência Tec]],7,FALSE),"")</f>
        <v>0</v>
      </c>
      <c r="D664" s="14" t="str">
        <f>VLOOKUP(TAB_SAIDA[[#This Row],[COD_2_SAIDA]],TAB_ESTOQUE[[Codigo]:[Endereço2]],12,FALSE)</f>
        <v>C2203</v>
      </c>
      <c r="E664" s="81">
        <f>SUM(TAB_SAIDA[[#This Row],[20/05/2019]:[00/00/00]])</f>
        <v>0</v>
      </c>
      <c r="F664" s="3"/>
    </row>
    <row r="665" spans="1:626" ht="15" hidden="1" customHeight="1" x14ac:dyDescent="0.25">
      <c r="A665" s="5" t="s">
        <v>2322</v>
      </c>
      <c r="B665" s="14" t="str">
        <f>VLOOKUP(TAB_SAIDA[[#This Row],[COD_2_SAIDA]],TAB_ESTOQUE[[Codigo]:[Descrição Tecnica]],6,FALSE)</f>
        <v>ROLAMENTO 5805</v>
      </c>
      <c r="C665" s="14">
        <f>IFERROR(VLOOKUP(TAB_SAIDA[[#This Row],[COD_2_SAIDA]],TAB_ESTOQUE[[Codigo]:[Referência Tec]],7,FALSE),"")</f>
        <v>0</v>
      </c>
      <c r="D665" s="14" t="str">
        <f>VLOOKUP(TAB_SAIDA[[#This Row],[COD_2_SAIDA]],TAB_ESTOQUE[[Codigo]:[Endereço2]],12,FALSE)</f>
        <v>D2106</v>
      </c>
      <c r="E665" s="81">
        <f>SUM(TAB_SAIDA[[#This Row],[20/05/2019]:[00/00/00]])</f>
        <v>0</v>
      </c>
      <c r="F665" s="3"/>
    </row>
    <row r="666" spans="1:626" ht="15" hidden="1" customHeight="1" x14ac:dyDescent="0.25">
      <c r="A666" s="5" t="s">
        <v>2323</v>
      </c>
      <c r="B666" s="14" t="str">
        <f>VLOOKUP(TAB_SAIDA[[#This Row],[COD_2_SAIDA]],TAB_ESTOQUE[[Codigo]:[Descrição Tecnica]],6,FALSE)</f>
        <v>ROLAMENTO UC205</v>
      </c>
      <c r="C666" s="14">
        <f>IFERROR(VLOOKUP(TAB_SAIDA[[#This Row],[COD_2_SAIDA]],TAB_ESTOQUE[[Codigo]:[Referência Tec]],7,FALSE),"")</f>
        <v>0</v>
      </c>
      <c r="D666" s="14" t="str">
        <f>VLOOKUP(TAB_SAIDA[[#This Row],[COD_2_SAIDA]],TAB_ESTOQUE[[Codigo]:[Endereço2]],12,FALSE)</f>
        <v>D2105</v>
      </c>
      <c r="E666" s="81">
        <f>SUM(TAB_SAIDA[[#This Row],[20/05/2019]:[00/00/00]])</f>
        <v>0</v>
      </c>
      <c r="F666" s="3"/>
    </row>
    <row r="667" spans="1:626" ht="15" hidden="1" customHeight="1" x14ac:dyDescent="0.25">
      <c r="A667" s="5" t="s">
        <v>2324</v>
      </c>
      <c r="B667" s="14" t="str">
        <f>VLOOKUP(TAB_SAIDA[[#This Row],[COD_2_SAIDA]],TAB_ESTOQUE[[Codigo]:[Descrição Tecnica]],6,FALSE)</f>
        <v>ROLAMENTO 6208</v>
      </c>
      <c r="C667" s="14">
        <f>IFERROR(VLOOKUP(TAB_SAIDA[[#This Row],[COD_2_SAIDA]],TAB_ESTOQUE[[Codigo]:[Referência Tec]],7,FALSE),"")</f>
        <v>0</v>
      </c>
      <c r="D667" s="14" t="str">
        <f>VLOOKUP(TAB_SAIDA[[#This Row],[COD_2_SAIDA]],TAB_ESTOQUE[[Codigo]:[Endereço2]],12,FALSE)</f>
        <v>D2105</v>
      </c>
      <c r="E667" s="81">
        <f>SUM(TAB_SAIDA[[#This Row],[20/05/2019]:[00/00/00]])</f>
        <v>0</v>
      </c>
      <c r="F667" s="3"/>
    </row>
    <row r="668" spans="1:626" ht="15" hidden="1" customHeight="1" x14ac:dyDescent="0.25">
      <c r="A668" s="5" t="s">
        <v>2325</v>
      </c>
      <c r="B668" s="14" t="str">
        <f>VLOOKUP(TAB_SAIDA[[#This Row],[COD_2_SAIDA]],TAB_ESTOQUE[[Codigo]:[Descrição Tecnica]],6,FALSE)</f>
        <v>ROLAMENTO 6209</v>
      </c>
      <c r="C668" s="14">
        <f>IFERROR(VLOOKUP(TAB_SAIDA[[#This Row],[COD_2_SAIDA]],TAB_ESTOQUE[[Codigo]:[Referência Tec]],7,FALSE),"")</f>
        <v>0</v>
      </c>
      <c r="D668" s="14" t="str">
        <f>VLOOKUP(TAB_SAIDA[[#This Row],[COD_2_SAIDA]],TAB_ESTOQUE[[Codigo]:[Endereço2]],12,FALSE)</f>
        <v>D2206</v>
      </c>
      <c r="E668" s="81">
        <f>SUM(TAB_SAIDA[[#This Row],[20/05/2019]:[00/00/00]])</f>
        <v>0</v>
      </c>
      <c r="F668" s="3"/>
    </row>
    <row r="669" spans="1:626" ht="15" hidden="1" customHeight="1" x14ac:dyDescent="0.25">
      <c r="A669" s="5" t="s">
        <v>2326</v>
      </c>
      <c r="B669" s="14" t="str">
        <f>VLOOKUP(TAB_SAIDA[[#This Row],[COD_2_SAIDA]],TAB_ESTOQUE[[Codigo]:[Descrição Tecnica]],6,FALSE)</f>
        <v>TEFLON ALTA TEMPERATURA ADESIVADO  Lençol armalon® C/Ade</v>
      </c>
      <c r="C669" s="14">
        <f>IFERROR(VLOOKUP(TAB_SAIDA[[#This Row],[COD_2_SAIDA]],TAB_ESTOQUE[[Codigo]:[Referência Tec]],7,FALSE),"")</f>
        <v>0</v>
      </c>
      <c r="D669" s="14" t="str">
        <f>VLOOKUP(TAB_SAIDA[[#This Row],[COD_2_SAIDA]],TAB_ESTOQUE[[Codigo]:[Endereço2]],12,FALSE)</f>
        <v>CORREDOR 2</v>
      </c>
      <c r="E669" s="81">
        <f>SUM(TAB_SAIDA[[#This Row],[20/05/2019]:[00/00/00]])</f>
        <v>0</v>
      </c>
      <c r="F669" s="3"/>
    </row>
    <row r="670" spans="1:626" ht="15" hidden="1" customHeight="1" x14ac:dyDescent="0.25">
      <c r="A670" s="5" t="s">
        <v>2327</v>
      </c>
      <c r="B670" s="14" t="str">
        <f>VLOOKUP(TAB_SAIDA[[#This Row],[COD_2_SAIDA]],TAB_ESTOQUE[[Codigo]:[Descrição Tecnica]],6,FALSE)</f>
        <v>TEFLON PARA ALTA TEMPERATURA SEM ADESIVO Lençol armalon® Sem/Ade</v>
      </c>
      <c r="C670" s="14">
        <f>IFERROR(VLOOKUP(TAB_SAIDA[[#This Row],[COD_2_SAIDA]],TAB_ESTOQUE[[Codigo]:[Referência Tec]],7,FALSE),"")</f>
        <v>0</v>
      </c>
      <c r="D670" s="14" t="str">
        <f>VLOOKUP(TAB_SAIDA[[#This Row],[COD_2_SAIDA]],TAB_ESTOQUE[[Codigo]:[Endereço2]],12,FALSE)</f>
        <v>CORREDOR 2</v>
      </c>
      <c r="E670" s="81">
        <f>SUM(TAB_SAIDA[[#This Row],[20/05/2019]:[00/00/00]])</f>
        <v>0</v>
      </c>
      <c r="F670" s="3"/>
    </row>
    <row r="671" spans="1:626" ht="15" hidden="1" customHeight="1" x14ac:dyDescent="0.25">
      <c r="A671" s="5" t="s">
        <v>2328</v>
      </c>
      <c r="B671" s="14" t="str">
        <f>VLOOKUP(TAB_SAIDA[[#This Row],[COD_2_SAIDA]],TAB_ESTOQUE[[Codigo]:[Descrição Tecnica]],6,FALSE)</f>
        <v>ESCAPE RAPIDO MOD: REV-3</v>
      </c>
      <c r="C671" s="14">
        <f>IFERROR(VLOOKUP(TAB_SAIDA[[#This Row],[COD_2_SAIDA]],TAB_ESTOQUE[[Codigo]:[Referência Tec]],7,FALSE),"")</f>
        <v>0</v>
      </c>
      <c r="D671" s="14" t="str">
        <f>VLOOKUP(TAB_SAIDA[[#This Row],[COD_2_SAIDA]],TAB_ESTOQUE[[Codigo]:[Endereço2]],12,FALSE)</f>
        <v>D2302</v>
      </c>
      <c r="E671" s="81">
        <f>SUM(TAB_SAIDA[[#This Row],[20/05/2019]:[00/00/00]])</f>
        <v>0</v>
      </c>
      <c r="F671" s="3"/>
    </row>
    <row r="672" spans="1:626" ht="15" hidden="1" customHeight="1" x14ac:dyDescent="0.25">
      <c r="A672" s="5" t="s">
        <v>2329</v>
      </c>
      <c r="B672" s="14" t="str">
        <f>VLOOKUP(TAB_SAIDA[[#This Row],[COD_2_SAIDA]],TAB_ESTOQUE[[Codigo]:[Descrição Tecnica]],6,FALSE)</f>
        <v>VALVULA HIDRAULICA PARKER REF: D1VW004KNJWT91</v>
      </c>
      <c r="C672" s="14">
        <f>IFERROR(VLOOKUP(TAB_SAIDA[[#This Row],[COD_2_SAIDA]],TAB_ESTOQUE[[Codigo]:[Referência Tec]],7,FALSE),"")</f>
        <v>0</v>
      </c>
      <c r="D672" s="14" t="str">
        <f>VLOOKUP(TAB_SAIDA[[#This Row],[COD_2_SAIDA]],TAB_ESTOQUE[[Codigo]:[Endereço2]],12,FALSE)</f>
        <v>C2103</v>
      </c>
      <c r="E672" s="81">
        <f>SUM(TAB_SAIDA[[#This Row],[20/05/2019]:[00/00/00]])</f>
        <v>0</v>
      </c>
      <c r="F672" s="3"/>
    </row>
    <row r="673" spans="1:6" ht="15" hidden="1" customHeight="1" x14ac:dyDescent="0.25">
      <c r="A673" s="5" t="s">
        <v>2330</v>
      </c>
      <c r="B673" s="14" t="str">
        <f>VLOOKUP(TAB_SAIDA[[#This Row],[COD_2_SAIDA]],TAB_ESTOQUE[[Codigo]:[Descrição Tecnica]],6,FALSE)</f>
        <v>VALVULA ESFERA TRIPARTIDA  1/2"</v>
      </c>
      <c r="C673" s="14">
        <f>IFERROR(VLOOKUP(TAB_SAIDA[[#This Row],[COD_2_SAIDA]],TAB_ESTOQUE[[Codigo]:[Referência Tec]],7,FALSE),"")</f>
        <v>0</v>
      </c>
      <c r="D673" s="14" t="str">
        <f>VLOOKUP(TAB_SAIDA[[#This Row],[COD_2_SAIDA]],TAB_ESTOQUE[[Codigo]:[Endereço2]],12,FALSE)</f>
        <v>D2402</v>
      </c>
      <c r="E673" s="81">
        <f>SUM(TAB_SAIDA[[#This Row],[20/05/2019]:[00/00/00]])</f>
        <v>0</v>
      </c>
      <c r="F673" s="3"/>
    </row>
    <row r="674" spans="1:6" ht="15" hidden="1" customHeight="1" x14ac:dyDescent="0.25">
      <c r="A674" s="5" t="s">
        <v>2331</v>
      </c>
      <c r="B674" s="14" t="str">
        <f>VLOOKUP(TAB_SAIDA[[#This Row],[COD_2_SAIDA]],TAB_ESTOQUE[[Codigo]:[Descrição Tecnica]],6,FALSE)</f>
        <v>VALVULA REXROTH R900919723</v>
      </c>
      <c r="C674" s="14">
        <f>IFERROR(VLOOKUP(TAB_SAIDA[[#This Row],[COD_2_SAIDA]],TAB_ESTOQUE[[Codigo]:[Referência Tec]],7,FALSE),"")</f>
        <v>0</v>
      </c>
      <c r="D674" s="14" t="str">
        <f>VLOOKUP(TAB_SAIDA[[#This Row],[COD_2_SAIDA]],TAB_ESTOQUE[[Codigo]:[Endereço2]],12,FALSE)</f>
        <v>D2302</v>
      </c>
      <c r="E674" s="81">
        <f>SUM(TAB_SAIDA[[#This Row],[20/05/2019]:[00/00/00]])</f>
        <v>0</v>
      </c>
      <c r="F674" s="3"/>
    </row>
    <row r="675" spans="1:6" ht="15" hidden="1" customHeight="1" x14ac:dyDescent="0.25">
      <c r="A675" s="5" t="s">
        <v>2332</v>
      </c>
      <c r="B675" s="14" t="str">
        <f>VLOOKUP(TAB_SAIDA[[#This Row],[COD_2_SAIDA]],TAB_ESTOQUE[[Codigo]:[Descrição Tecnica]],6,FALSE)</f>
        <v>LIXA D'AGUA 2000</v>
      </c>
      <c r="C675" s="14">
        <f>IFERROR(VLOOKUP(TAB_SAIDA[[#This Row],[COD_2_SAIDA]],TAB_ESTOQUE[[Codigo]:[Referência Tec]],7,FALSE),"")</f>
        <v>0</v>
      </c>
      <c r="D675" s="14" t="str">
        <f>VLOOKUP(TAB_SAIDA[[#This Row],[COD_2_SAIDA]],TAB_ESTOQUE[[Codigo]:[Endereço2]],12,FALSE)</f>
        <v>D1103</v>
      </c>
      <c r="E675" s="81">
        <f>SUM(TAB_SAIDA[[#This Row],[20/05/2019]:[00/00/00]])</f>
        <v>0</v>
      </c>
      <c r="F675" s="3"/>
    </row>
    <row r="676" spans="1:6" ht="15" hidden="1" customHeight="1" x14ac:dyDescent="0.25">
      <c r="A676" s="5" t="s">
        <v>2333</v>
      </c>
      <c r="B676" s="14" t="str">
        <f>VLOOKUP(TAB_SAIDA[[#This Row],[COD_2_SAIDA]],TAB_ESTOQUE[[Codigo]:[Descrição Tecnica]],6,FALSE)</f>
        <v>VALVULA REXROTH R900912549</v>
      </c>
      <c r="C676" s="14">
        <f>IFERROR(VLOOKUP(TAB_SAIDA[[#This Row],[COD_2_SAIDA]],TAB_ESTOQUE[[Codigo]:[Referência Tec]],7,FALSE),"")</f>
        <v>0</v>
      </c>
      <c r="D676" s="14" t="str">
        <f>VLOOKUP(TAB_SAIDA[[#This Row],[COD_2_SAIDA]],TAB_ESTOQUE[[Codigo]:[Endereço2]],12,FALSE)</f>
        <v>D2302</v>
      </c>
      <c r="E676" s="81">
        <f>SUM(TAB_SAIDA[[#This Row],[20/05/2019]:[00/00/00]])</f>
        <v>0</v>
      </c>
      <c r="F676" s="3"/>
    </row>
    <row r="677" spans="1:6" ht="15" hidden="1" customHeight="1" x14ac:dyDescent="0.25">
      <c r="A677" s="5" t="s">
        <v>2334</v>
      </c>
      <c r="B677" s="14" t="str">
        <f>VLOOKUP(TAB_SAIDA[[#This Row],[COD_2_SAIDA]],TAB_ESTOQUE[[Codigo]:[Descrição Tecnica]],6,FALSE)</f>
        <v>VALVULA REXROTH R900912531</v>
      </c>
      <c r="C677" s="14">
        <f>IFERROR(VLOOKUP(TAB_SAIDA[[#This Row],[COD_2_SAIDA]],TAB_ESTOQUE[[Codigo]:[Referência Tec]],7,FALSE),"")</f>
        <v>0</v>
      </c>
      <c r="D677" s="14" t="str">
        <f>VLOOKUP(TAB_SAIDA[[#This Row],[COD_2_SAIDA]],TAB_ESTOQUE[[Codigo]:[Endereço2]],12,FALSE)</f>
        <v>D2302</v>
      </c>
      <c r="E677" s="81">
        <f>SUM(TAB_SAIDA[[#This Row],[20/05/2019]:[00/00/00]])</f>
        <v>0</v>
      </c>
      <c r="F677" s="3"/>
    </row>
    <row r="678" spans="1:6" ht="15" hidden="1" customHeight="1" x14ac:dyDescent="0.25">
      <c r="A678" s="5" t="s">
        <v>2335</v>
      </c>
      <c r="B678" s="14" t="str">
        <f>VLOOKUP(TAB_SAIDA[[#This Row],[COD_2_SAIDA]],TAB_ESTOQUE[[Codigo]:[Descrição Tecnica]],6,FALSE)</f>
        <v>BLOCO HIDRAULICO REXROTH 0E15000 300 5500</v>
      </c>
      <c r="C678" s="14">
        <f>IFERROR(VLOOKUP(TAB_SAIDA[[#This Row],[COD_2_SAIDA]],TAB_ESTOQUE[[Codigo]:[Referência Tec]],7,FALSE),"")</f>
        <v>0</v>
      </c>
      <c r="D678" s="14" t="str">
        <f>VLOOKUP(TAB_SAIDA[[#This Row],[COD_2_SAIDA]],TAB_ESTOQUE[[Codigo]:[Endereço2]],12,FALSE)</f>
        <v>C2203</v>
      </c>
      <c r="E678" s="81">
        <f>SUM(TAB_SAIDA[[#This Row],[20/05/2019]:[00/00/00]])</f>
        <v>0</v>
      </c>
      <c r="F678" s="3"/>
    </row>
    <row r="679" spans="1:6" ht="15" hidden="1" customHeight="1" x14ac:dyDescent="0.25">
      <c r="A679" s="5" t="s">
        <v>2336</v>
      </c>
      <c r="B679" s="14" t="str">
        <f>VLOOKUP(TAB_SAIDA[[#This Row],[COD_2_SAIDA]],TAB_ESTOQUE[[Codigo]:[Descrição Tecnica]],6,FALSE)</f>
        <v>ESCAPE RAPIDO MOD: 1/8" WERR COD-10288</v>
      </c>
      <c r="C679" s="14">
        <f>IFERROR(VLOOKUP(TAB_SAIDA[[#This Row],[COD_2_SAIDA]],TAB_ESTOQUE[[Codigo]:[Referência Tec]],7,FALSE),"")</f>
        <v>0</v>
      </c>
      <c r="D679" s="14" t="str">
        <f>VLOOKUP(TAB_SAIDA[[#This Row],[COD_2_SAIDA]],TAB_ESTOQUE[[Codigo]:[Endereço2]],12,FALSE)</f>
        <v>D2302</v>
      </c>
      <c r="E679" s="81">
        <f>SUM(TAB_SAIDA[[#This Row],[20/05/2019]:[00/00/00]])</f>
        <v>0</v>
      </c>
      <c r="F679" s="3"/>
    </row>
    <row r="680" spans="1:6" ht="15" hidden="1" customHeight="1" x14ac:dyDescent="0.25">
      <c r="A680" s="5" t="s">
        <v>2337</v>
      </c>
      <c r="B680" s="14" t="str">
        <f>VLOOKUP(TAB_SAIDA[[#This Row],[COD_2_SAIDA]],TAB_ESTOQUE[[Codigo]:[Descrição Tecnica]],6,FALSE)</f>
        <v>VALVULA HIDRAULICA REGULAGEM REXROTH REF: DBD56K1C/315</v>
      </c>
      <c r="C680" s="14">
        <f>IFERROR(VLOOKUP(TAB_SAIDA[[#This Row],[COD_2_SAIDA]],TAB_ESTOQUE[[Codigo]:[Referência Tec]],7,FALSE),"")</f>
        <v>0</v>
      </c>
      <c r="D680" s="14" t="str">
        <f>VLOOKUP(TAB_SAIDA[[#This Row],[COD_2_SAIDA]],TAB_ESTOQUE[[Codigo]:[Endereço2]],12,FALSE)</f>
        <v>C2103</v>
      </c>
      <c r="E680" s="81">
        <f>SUM(TAB_SAIDA[[#This Row],[20/05/2019]:[00/00/00]])</f>
        <v>0</v>
      </c>
      <c r="F680" s="3"/>
    </row>
    <row r="681" spans="1:6" ht="15" hidden="1" customHeight="1" x14ac:dyDescent="0.25">
      <c r="A681" s="5" t="s">
        <v>2338</v>
      </c>
      <c r="B681" s="14" t="str">
        <f>VLOOKUP(TAB_SAIDA[[#This Row],[COD_2_SAIDA]],TAB_ESTOQUE[[Codigo]:[Descrição Tecnica]],6,FALSE)</f>
        <v>KIT PRENSA FCE001897/T</v>
      </c>
      <c r="C681" s="14">
        <f>IFERROR(VLOOKUP(TAB_SAIDA[[#This Row],[COD_2_SAIDA]],TAB_ESTOQUE[[Codigo]:[Referência Tec]],7,FALSE),"")</f>
        <v>0</v>
      </c>
      <c r="D681" s="14" t="str">
        <f>VLOOKUP(TAB_SAIDA[[#This Row],[COD_2_SAIDA]],TAB_ESTOQUE[[Codigo]:[Endereço2]],12,FALSE)</f>
        <v>D1305</v>
      </c>
      <c r="E681" s="81">
        <f>SUM(TAB_SAIDA[[#This Row],[20/05/2019]:[00/00/00]])</f>
        <v>0</v>
      </c>
      <c r="F681" s="3"/>
    </row>
    <row r="682" spans="1:6" ht="15" hidden="1" customHeight="1" x14ac:dyDescent="0.25">
      <c r="A682" s="5" t="s">
        <v>2339</v>
      </c>
      <c r="B682" s="14" t="str">
        <f>VLOOKUP(TAB_SAIDA[[#This Row],[COD_2_SAIDA]],TAB_ESTOQUE[[Codigo]:[Descrição Tecnica]],6,FALSE)</f>
        <v>VALVULA HIDRAULICA D1SE30 BNJW  PARKER</v>
      </c>
      <c r="C682" s="14">
        <f>IFERROR(VLOOKUP(TAB_SAIDA[[#This Row],[COD_2_SAIDA]],TAB_ESTOQUE[[Codigo]:[Referência Tec]],7,FALSE),"")</f>
        <v>0</v>
      </c>
      <c r="D682" s="14" t="str">
        <f>VLOOKUP(TAB_SAIDA[[#This Row],[COD_2_SAIDA]],TAB_ESTOQUE[[Codigo]:[Endereço2]],12,FALSE)</f>
        <v>C2104</v>
      </c>
      <c r="E682" s="81">
        <f>SUM(TAB_SAIDA[[#This Row],[20/05/2019]:[00/00/00]])</f>
        <v>0</v>
      </c>
      <c r="F682" s="3"/>
    </row>
    <row r="683" spans="1:6" ht="15" hidden="1" customHeight="1" x14ac:dyDescent="0.25">
      <c r="A683" s="5" t="s">
        <v>2340</v>
      </c>
      <c r="B683" s="14" t="str">
        <f>VLOOKUP(TAB_SAIDA[[#This Row],[COD_2_SAIDA]],TAB_ESTOQUE[[Codigo]:[Descrição Tecnica]],6,FALSE)</f>
        <v xml:space="preserve">TRAVA QUEDA 10M MOD: VIC29061P </v>
      </c>
      <c r="C683" s="14">
        <f>IFERROR(VLOOKUP(TAB_SAIDA[[#This Row],[COD_2_SAIDA]],TAB_ESTOQUE[[Codigo]:[Referência Tec]],7,FALSE),"")</f>
        <v>0</v>
      </c>
      <c r="D683" s="14" t="str">
        <f>VLOOKUP(TAB_SAIDA[[#This Row],[COD_2_SAIDA]],TAB_ESTOQUE[[Codigo]:[Endereço2]],12,FALSE)</f>
        <v>D1305</v>
      </c>
      <c r="E683" s="81">
        <f>SUM(TAB_SAIDA[[#This Row],[20/05/2019]:[00/00/00]])</f>
        <v>0</v>
      </c>
      <c r="F683" s="3"/>
    </row>
    <row r="684" spans="1:6" ht="15" hidden="1" customHeight="1" x14ac:dyDescent="0.25">
      <c r="A684" s="5" t="s">
        <v>2341</v>
      </c>
      <c r="B684" s="14" t="str">
        <f>VLOOKUP(TAB_SAIDA[[#This Row],[COD_2_SAIDA]],TAB_ESTOQUE[[Codigo]:[Descrição Tecnica]],6,FALSE)</f>
        <v>VALVULA HIDRAULICA SIMPLES SOLENOIDE RETORNO POR MOLA 4/3 VIAS DSG-03-2B2-D24-N1-50</v>
      </c>
      <c r="C684" s="14">
        <f>IFERROR(VLOOKUP(TAB_SAIDA[[#This Row],[COD_2_SAIDA]],TAB_ESTOQUE[[Codigo]:[Referência Tec]],7,FALSE),"")</f>
        <v>0</v>
      </c>
      <c r="D684" s="14" t="str">
        <f>VLOOKUP(TAB_SAIDA[[#This Row],[COD_2_SAIDA]],TAB_ESTOQUE[[Codigo]:[Endereço2]],12,FALSE)</f>
        <v>C2103</v>
      </c>
      <c r="E684" s="81">
        <f>SUM(TAB_SAIDA[[#This Row],[20/05/2019]:[00/00/00]])</f>
        <v>0</v>
      </c>
      <c r="F684" s="3"/>
    </row>
    <row r="685" spans="1:6" ht="15" hidden="1" customHeight="1" x14ac:dyDescent="0.25">
      <c r="A685" s="5" t="s">
        <v>2342</v>
      </c>
      <c r="B685" s="14" t="str">
        <f>VLOOKUP(TAB_SAIDA[[#This Row],[COD_2_SAIDA]],TAB_ESTOQUE[[Codigo]:[Descrição Tecnica]],6,FALSE)</f>
        <v>VALVULA FESTO ESCAPE RAPIDO REF: SE-1/2-B 9688</v>
      </c>
      <c r="C685" s="14">
        <f>IFERROR(VLOOKUP(TAB_SAIDA[[#This Row],[COD_2_SAIDA]],TAB_ESTOQUE[[Codigo]:[Referência Tec]],7,FALSE),"")</f>
        <v>0</v>
      </c>
      <c r="D685" s="14" t="str">
        <f>VLOOKUP(TAB_SAIDA[[#This Row],[COD_2_SAIDA]],TAB_ESTOQUE[[Codigo]:[Endereço2]],12,FALSE)</f>
        <v>D1303</v>
      </c>
      <c r="E685" s="81">
        <f>SUM(TAB_SAIDA[[#This Row],[20/05/2019]:[00/00/00]])</f>
        <v>0</v>
      </c>
      <c r="F685" s="3"/>
    </row>
    <row r="686" spans="1:6" ht="15" hidden="1" customHeight="1" x14ac:dyDescent="0.25">
      <c r="A686" s="5" t="s">
        <v>2343</v>
      </c>
      <c r="B686" s="14" t="str">
        <f>VLOOKUP(TAB_SAIDA[[#This Row],[COD_2_SAIDA]],TAB_ESTOQUE[[Codigo]:[Descrição Tecnica]],6,FALSE)</f>
        <v>VALVULA HIDRAULICA REGULAGEM REF: RBACKAN 1EG4</v>
      </c>
      <c r="C686" s="14">
        <f>IFERROR(VLOOKUP(TAB_SAIDA[[#This Row],[COD_2_SAIDA]],TAB_ESTOQUE[[Codigo]:[Referência Tec]],7,FALSE),"")</f>
        <v>0</v>
      </c>
      <c r="D686" s="14" t="str">
        <f>VLOOKUP(TAB_SAIDA[[#This Row],[COD_2_SAIDA]],TAB_ESTOQUE[[Codigo]:[Endereço2]],12,FALSE)</f>
        <v>C2103</v>
      </c>
      <c r="E686" s="81">
        <f>SUM(TAB_SAIDA[[#This Row],[20/05/2019]:[00/00/00]])</f>
        <v>0</v>
      </c>
      <c r="F686" s="3"/>
    </row>
    <row r="687" spans="1:6" ht="15" hidden="1" customHeight="1" x14ac:dyDescent="0.25">
      <c r="A687" s="5" t="s">
        <v>2344</v>
      </c>
      <c r="B687" s="14" t="str">
        <f>VLOOKUP(TAB_SAIDA[[#This Row],[COD_2_SAIDA]],TAB_ESTOQUE[[Codigo]:[Descrição Tecnica]],6,FALSE)</f>
        <v>VALVULA HIDRAULICA VISTA REF: V 4WE6D6X/OEG24NZ5L</v>
      </c>
      <c r="C687" s="14">
        <f>IFERROR(VLOOKUP(TAB_SAIDA[[#This Row],[COD_2_SAIDA]],TAB_ESTOQUE[[Codigo]:[Referência Tec]],7,FALSE),"")</f>
        <v>0</v>
      </c>
      <c r="D687" s="14" t="str">
        <f>VLOOKUP(TAB_SAIDA[[#This Row],[COD_2_SAIDA]],TAB_ESTOQUE[[Codigo]:[Endereço2]],12,FALSE)</f>
        <v>C2103</v>
      </c>
      <c r="E687" s="81">
        <f>SUM(TAB_SAIDA[[#This Row],[20/05/2019]:[00/00/00]])</f>
        <v>0</v>
      </c>
      <c r="F687" s="3"/>
    </row>
    <row r="688" spans="1:6" ht="15" hidden="1" customHeight="1" x14ac:dyDescent="0.25">
      <c r="A688" s="5" t="s">
        <v>2345</v>
      </c>
      <c r="B688" s="14" t="str">
        <f>VLOOKUP(TAB_SAIDA[[#This Row],[COD_2_SAIDA]],TAB_ESTOQUE[[Codigo]:[Descrição Tecnica]],6,FALSE)</f>
        <v>VALVULA HIDRAULICA YUKEN DIRECIONAL REF: DSG-1-2B8-D24-N-50L</v>
      </c>
      <c r="C688" s="14">
        <f>IFERROR(VLOOKUP(TAB_SAIDA[[#This Row],[COD_2_SAIDA]],TAB_ESTOQUE[[Codigo]:[Referência Tec]],7,FALSE),"")</f>
        <v>0</v>
      </c>
      <c r="D688" s="14" t="str">
        <f>VLOOKUP(TAB_SAIDA[[#This Row],[COD_2_SAIDA]],TAB_ESTOQUE[[Codigo]:[Endereço2]],12,FALSE)</f>
        <v>C2103</v>
      </c>
      <c r="E688" s="81">
        <f>SUM(TAB_SAIDA[[#This Row],[20/05/2019]:[00/00/00]])</f>
        <v>0</v>
      </c>
      <c r="F688" s="3"/>
    </row>
    <row r="689" spans="1:627" ht="15" hidden="1" customHeight="1" x14ac:dyDescent="0.25">
      <c r="A689" s="5" t="s">
        <v>2346</v>
      </c>
      <c r="B689" s="14" t="str">
        <f>VLOOKUP(TAB_SAIDA[[#This Row],[COD_2_SAIDA]],TAB_ESTOQUE[[Codigo]:[Descrição Tecnica]],6,FALSE)</f>
        <v>VALVULA HIDRAULICA AGT REF: 4WE10-D-30</v>
      </c>
      <c r="C689" s="14">
        <f>IFERROR(VLOOKUP(TAB_SAIDA[[#This Row],[COD_2_SAIDA]],TAB_ESTOQUE[[Codigo]:[Referência Tec]],7,FALSE),"")</f>
        <v>0</v>
      </c>
      <c r="D689" s="14" t="str">
        <f>VLOOKUP(TAB_SAIDA[[#This Row],[COD_2_SAIDA]],TAB_ESTOQUE[[Codigo]:[Endereço2]],12,FALSE)</f>
        <v>C2103</v>
      </c>
      <c r="E689" s="81">
        <f>SUM(TAB_SAIDA[[#This Row],[20/05/2019]:[00/00/00]])</f>
        <v>0</v>
      </c>
      <c r="F689" s="3"/>
    </row>
    <row r="690" spans="1:627" ht="15" hidden="1" customHeight="1" x14ac:dyDescent="0.25">
      <c r="A690" s="5" t="s">
        <v>2347</v>
      </c>
      <c r="B690" s="14" t="str">
        <f>VLOOKUP(TAB_SAIDA[[#This Row],[COD_2_SAIDA]],TAB_ESTOQUE[[Codigo]:[Descrição Tecnica]],6,FALSE)</f>
        <v>JUNÇÃO EM PVC 25 X 3/4"</v>
      </c>
      <c r="C690" s="14">
        <f>IFERROR(VLOOKUP(TAB_SAIDA[[#This Row],[COD_2_SAIDA]],TAB_ESTOQUE[[Codigo]:[Referência Tec]],7,FALSE),"")</f>
        <v>0</v>
      </c>
      <c r="D690" s="14" t="str">
        <f>VLOOKUP(TAB_SAIDA[[#This Row],[COD_2_SAIDA]],TAB_ESTOQUE[[Codigo]:[Endereço2]],12,FALSE)</f>
        <v>D1302</v>
      </c>
      <c r="E690" s="81">
        <f>SUM(TAB_SAIDA[[#This Row],[20/05/2019]:[00/00/00]])</f>
        <v>0</v>
      </c>
      <c r="F690" s="3"/>
    </row>
    <row r="691" spans="1:627" ht="15" hidden="1" customHeight="1" x14ac:dyDescent="0.25">
      <c r="A691" s="5" t="s">
        <v>2348</v>
      </c>
      <c r="B691" s="14" t="str">
        <f>VLOOKUP(TAB_SAIDA[[#This Row],[COD_2_SAIDA]],TAB_ESTOQUE[[Codigo]:[Descrição Tecnica]],6,FALSE)</f>
        <v>VALVULA HIDRAULICA PARKER REF: D1VW001ENJW</v>
      </c>
      <c r="C691" s="14">
        <f>IFERROR(VLOOKUP(TAB_SAIDA[[#This Row],[COD_2_SAIDA]],TAB_ESTOQUE[[Codigo]:[Referência Tec]],7,FALSE),"")</f>
        <v>0</v>
      </c>
      <c r="D691" s="14" t="str">
        <f>VLOOKUP(TAB_SAIDA[[#This Row],[COD_2_SAIDA]],TAB_ESTOQUE[[Codigo]:[Endereço2]],12,FALSE)</f>
        <v>C2104</v>
      </c>
      <c r="E691" s="81">
        <f>SUM(TAB_SAIDA[[#This Row],[20/05/2019]:[00/00/00]])</f>
        <v>0</v>
      </c>
      <c r="F691" s="3"/>
    </row>
    <row r="692" spans="1:627" ht="15" hidden="1" customHeight="1" x14ac:dyDescent="0.25">
      <c r="A692" s="5" t="s">
        <v>2349</v>
      </c>
      <c r="B692" s="14" t="str">
        <f>VLOOKUP(TAB_SAIDA[[#This Row],[COD_2_SAIDA]],TAB_ESTOQUE[[Codigo]:[Descrição Tecnica]],6,FALSE)</f>
        <v>PRESSOSTATO PNEUMATICO HLP110</v>
      </c>
      <c r="C692" s="14">
        <f>IFERROR(VLOOKUP(TAB_SAIDA[[#This Row],[COD_2_SAIDA]],TAB_ESTOQUE[[Codigo]:[Referência Tec]],7,FALSE),"")</f>
        <v>0</v>
      </c>
      <c r="D692" s="14" t="str">
        <f>VLOOKUP(TAB_SAIDA[[#This Row],[COD_2_SAIDA]],TAB_ESTOQUE[[Codigo]:[Endereço2]],12,FALSE)</f>
        <v>D1304</v>
      </c>
      <c r="E692" s="81">
        <f>SUM(TAB_SAIDA[[#This Row],[20/05/2019]:[00/00/00]])</f>
        <v>0</v>
      </c>
      <c r="F692" s="3"/>
    </row>
    <row r="693" spans="1:627" ht="15" hidden="1" customHeight="1" x14ac:dyDescent="0.25">
      <c r="A693" s="5" t="s">
        <v>2350</v>
      </c>
      <c r="B693" s="14" t="str">
        <f>VLOOKUP(TAB_SAIDA[[#This Row],[COD_2_SAIDA]],TAB_ESTOQUE[[Codigo]:[Descrição Tecnica]],6,FALSE)</f>
        <v>PAPEL JUNTA 2MM</v>
      </c>
      <c r="C693" s="14">
        <f>IFERROR(VLOOKUP(TAB_SAIDA[[#This Row],[COD_2_SAIDA]],TAB_ESTOQUE[[Codigo]:[Referência Tec]],7,FALSE),"")</f>
        <v>0</v>
      </c>
      <c r="D693" s="14" t="str">
        <f>VLOOKUP(TAB_SAIDA[[#This Row],[COD_2_SAIDA]],TAB_ESTOQUE[[Codigo]:[Endereço2]],12,FALSE)</f>
        <v>CORREDOR 3</v>
      </c>
      <c r="E693" s="81">
        <f>SUM(TAB_SAIDA[[#This Row],[20/05/2019]:[00/00/00]])</f>
        <v>0</v>
      </c>
      <c r="F693" s="3"/>
    </row>
    <row r="694" spans="1:627" ht="15" hidden="1" customHeight="1" x14ac:dyDescent="0.25">
      <c r="A694" s="5" t="s">
        <v>2351</v>
      </c>
      <c r="B694" s="14" t="str">
        <f>VLOOKUP(TAB_SAIDA[[#This Row],[COD_2_SAIDA]],TAB_ESTOQUE[[Codigo]:[Descrição Tecnica]],6,FALSE)</f>
        <v>PAPEL JUNTA 1MM</v>
      </c>
      <c r="C694" s="14">
        <f>IFERROR(VLOOKUP(TAB_SAIDA[[#This Row],[COD_2_SAIDA]],TAB_ESTOQUE[[Codigo]:[Referência Tec]],7,FALSE),"")</f>
        <v>0</v>
      </c>
      <c r="D694" s="14" t="str">
        <f>VLOOKUP(TAB_SAIDA[[#This Row],[COD_2_SAIDA]],TAB_ESTOQUE[[Codigo]:[Endereço2]],12,FALSE)</f>
        <v>CORREDOR 3</v>
      </c>
      <c r="E694" s="81">
        <f>SUM(TAB_SAIDA[[#This Row],[20/05/2019]:[00/00/00]])</f>
        <v>0</v>
      </c>
      <c r="F694" s="3"/>
    </row>
    <row r="695" spans="1:627" ht="15" hidden="1" customHeight="1" x14ac:dyDescent="0.25">
      <c r="A695" s="5" t="s">
        <v>2352</v>
      </c>
      <c r="B695" s="14" t="str">
        <f>VLOOKUP(TAB_SAIDA[[#This Row],[COD_2_SAIDA]],TAB_ESTOQUE[[Codigo]:[Descrição Tecnica]],6,FALSE)</f>
        <v>PAPEL JUNTA 0,5MM</v>
      </c>
      <c r="C695" s="14">
        <f>IFERROR(VLOOKUP(TAB_SAIDA[[#This Row],[COD_2_SAIDA]],TAB_ESTOQUE[[Codigo]:[Referência Tec]],7,FALSE),"")</f>
        <v>0</v>
      </c>
      <c r="D695" s="14" t="str">
        <f>VLOOKUP(TAB_SAIDA[[#This Row],[COD_2_SAIDA]],TAB_ESTOQUE[[Codigo]:[Endereço2]],12,FALSE)</f>
        <v>CORREDOR 3</v>
      </c>
      <c r="E695" s="81">
        <f>SUM(TAB_SAIDA[[#This Row],[20/05/2019]:[00/00/00]])</f>
        <v>0</v>
      </c>
      <c r="F695" s="3"/>
    </row>
    <row r="696" spans="1:627" ht="15" hidden="1" customHeight="1" x14ac:dyDescent="0.25">
      <c r="A696" s="5" t="s">
        <v>2353</v>
      </c>
      <c r="B696" s="14" t="str">
        <f>VLOOKUP(TAB_SAIDA[[#This Row],[COD_2_SAIDA]],TAB_ESTOQUE[[Codigo]:[Descrição Tecnica]],6,FALSE)</f>
        <v>ESCAPE RAPIDO MOD:QE-01</v>
      </c>
      <c r="C696" s="14">
        <f>IFERROR(VLOOKUP(TAB_SAIDA[[#This Row],[COD_2_SAIDA]],TAB_ESTOQUE[[Codigo]:[Referência Tec]],7,FALSE),"")</f>
        <v>0</v>
      </c>
      <c r="D696" s="14" t="str">
        <f>VLOOKUP(TAB_SAIDA[[#This Row],[COD_2_SAIDA]],TAB_ESTOQUE[[Codigo]:[Endereço2]],12,FALSE)</f>
        <v>D2302</v>
      </c>
      <c r="E696" s="81">
        <f>SUM(TAB_SAIDA[[#This Row],[20/05/2019]:[00/00/00]])</f>
        <v>0</v>
      </c>
      <c r="F696" s="3"/>
    </row>
    <row r="697" spans="1:627" ht="15" hidden="1" customHeight="1" x14ac:dyDescent="0.25">
      <c r="A697" s="5" t="s">
        <v>2354</v>
      </c>
      <c r="B697" s="14" t="str">
        <f>VLOOKUP(TAB_SAIDA[[#This Row],[COD_2_SAIDA]],TAB_ESTOQUE[[Codigo]:[Descrição Tecnica]],6,FALSE)</f>
        <v>REGISTRO ESFERA P/ ÓLEO TERMICO TRIPARTDA 3/4'</v>
      </c>
      <c r="C697" s="14">
        <f>IFERROR(VLOOKUP(TAB_SAIDA[[#This Row],[COD_2_SAIDA]],TAB_ESTOQUE[[Codigo]:[Referência Tec]],7,FALSE),"")</f>
        <v>0</v>
      </c>
      <c r="D697" s="14" t="str">
        <f>VLOOKUP(TAB_SAIDA[[#This Row],[COD_2_SAIDA]],TAB_ESTOQUE[[Codigo]:[Endereço2]],12,FALSE)</f>
        <v>D2402</v>
      </c>
      <c r="E697" s="81">
        <f>SUM(TAB_SAIDA[[#This Row],[20/05/2019]:[00/00/00]])</f>
        <v>0</v>
      </c>
      <c r="F697" s="3"/>
    </row>
    <row r="698" spans="1:627" ht="15" hidden="1" customHeight="1" x14ac:dyDescent="0.25">
      <c r="A698" s="5" t="s">
        <v>2355</v>
      </c>
      <c r="B698" s="14" t="str">
        <f>VLOOKUP(TAB_SAIDA[[#This Row],[COD_2_SAIDA]],TAB_ESTOQUE[[Codigo]:[Descrição Tecnica]],6,FALSE)</f>
        <v>VALVULA DE RETENÇÃO 1/2"</v>
      </c>
      <c r="C698" s="14">
        <f>IFERROR(VLOOKUP(TAB_SAIDA[[#This Row],[COD_2_SAIDA]],TAB_ESTOQUE[[Codigo]:[Referência Tec]],7,FALSE),"")</f>
        <v>0</v>
      </c>
      <c r="D698" s="14" t="str">
        <f>VLOOKUP(TAB_SAIDA[[#This Row],[COD_2_SAIDA]],TAB_ESTOQUE[[Codigo]:[Endereço2]],12,FALSE)</f>
        <v>D2402</v>
      </c>
      <c r="E698" s="81">
        <f>SUM(TAB_SAIDA[[#This Row],[20/05/2019]:[00/00/00]])</f>
        <v>0</v>
      </c>
      <c r="F698" s="3"/>
    </row>
    <row r="699" spans="1:627" ht="15" hidden="1" customHeight="1" x14ac:dyDescent="0.25">
      <c r="A699" s="5" t="s">
        <v>2356</v>
      </c>
      <c r="B699" s="14" t="str">
        <f>VLOOKUP(TAB_SAIDA[[#This Row],[COD_2_SAIDA]],TAB_ESTOQUE[[Codigo]:[Descrição Tecnica]],6,FALSE)</f>
        <v>VALVULA DE RETENÇÃO  1/4" S6A11</v>
      </c>
      <c r="C699" s="14">
        <f>IFERROR(VLOOKUP(TAB_SAIDA[[#This Row],[COD_2_SAIDA]],TAB_ESTOQUE[[Codigo]:[Referência Tec]],7,FALSE),"")</f>
        <v>0</v>
      </c>
      <c r="D699" s="14" t="str">
        <f>VLOOKUP(TAB_SAIDA[[#This Row],[COD_2_SAIDA]],TAB_ESTOQUE[[Codigo]:[Endereço2]],12,FALSE)</f>
        <v>D2403</v>
      </c>
      <c r="E699" s="81">
        <f>SUM(TAB_SAIDA[[#This Row],[20/05/2019]:[00/00/00]])</f>
        <v>0</v>
      </c>
      <c r="F699" s="3"/>
    </row>
    <row r="700" spans="1:627" ht="15" hidden="1" customHeight="1" x14ac:dyDescent="0.25">
      <c r="A700" s="5" t="s">
        <v>2357</v>
      </c>
      <c r="B700" s="14" t="str">
        <f>VLOOKUP(TAB_SAIDA[[#This Row],[COD_2_SAIDA]],TAB_ESTOQUE[[Codigo]:[Descrição Tecnica]],6,FALSE)</f>
        <v>VALVULA DE RETENÇÃO  P/ ÁGUA 1/2"</v>
      </c>
      <c r="C700" s="14">
        <f>IFERROR(VLOOKUP(TAB_SAIDA[[#This Row],[COD_2_SAIDA]],TAB_ESTOQUE[[Codigo]:[Referência Tec]],7,FALSE),"")</f>
        <v>0</v>
      </c>
      <c r="D700" s="14" t="str">
        <f>VLOOKUP(TAB_SAIDA[[#This Row],[COD_2_SAIDA]],TAB_ESTOQUE[[Codigo]:[Endereço2]],12,FALSE)</f>
        <v>D2403</v>
      </c>
      <c r="E700" s="81">
        <f>SUM(TAB_SAIDA[[#This Row],[20/05/2019]:[00/00/00]])</f>
        <v>0</v>
      </c>
      <c r="F700" s="3"/>
    </row>
    <row r="701" spans="1:627" ht="15" hidden="1" customHeight="1" x14ac:dyDescent="0.25">
      <c r="A701" s="5" t="s">
        <v>2358</v>
      </c>
      <c r="B701" s="14" t="str">
        <f>VLOOKUP(TAB_SAIDA[[#This Row],[COD_2_SAIDA]],TAB_ESTOQUE[[Codigo]:[Descrição Tecnica]],6,FALSE)</f>
        <v>VALVULA DE RETENÇÃO 1" PARA AGUA</v>
      </c>
      <c r="C701" s="14">
        <f>IFERROR(VLOOKUP(TAB_SAIDA[[#This Row],[COD_2_SAIDA]],TAB_ESTOQUE[[Codigo]:[Referência Tec]],7,FALSE),"")</f>
        <v>0</v>
      </c>
      <c r="D701" s="14" t="str">
        <f>VLOOKUP(TAB_SAIDA[[#This Row],[COD_2_SAIDA]],TAB_ESTOQUE[[Codigo]:[Endereço2]],12,FALSE)</f>
        <v>D2403</v>
      </c>
      <c r="E701" s="81">
        <f>SUM(TAB_SAIDA[[#This Row],[20/05/2019]:[00/00/00]])</f>
        <v>0</v>
      </c>
      <c r="F701" s="3"/>
    </row>
    <row r="702" spans="1:627" ht="15" hidden="1" customHeight="1" x14ac:dyDescent="0.25">
      <c r="A702" s="5" t="s">
        <v>2359</v>
      </c>
      <c r="B702" s="14" t="str">
        <f>VLOOKUP(TAB_SAIDA[[#This Row],[COD_2_SAIDA]],TAB_ESTOQUE[[Codigo]:[Descrição Tecnica]],6,FALSE)</f>
        <v>VALVULA DE RETENÇÃO 1"</v>
      </c>
      <c r="C702" s="14">
        <f>IFERROR(VLOOKUP(TAB_SAIDA[[#This Row],[COD_2_SAIDA]],TAB_ESTOQUE[[Codigo]:[Referência Tec]],7,FALSE),"")</f>
        <v>0</v>
      </c>
      <c r="D702" s="14" t="str">
        <f>VLOOKUP(TAB_SAIDA[[#This Row],[COD_2_SAIDA]],TAB_ESTOQUE[[Codigo]:[Endereço2]],12,FALSE)</f>
        <v>D2403</v>
      </c>
      <c r="E702" s="81">
        <f>SUM(TAB_SAIDA[[#This Row],[20/05/2019]:[00/00/00]])</f>
        <v>2</v>
      </c>
      <c r="F702" s="3"/>
      <c r="WJ702" s="3">
        <v>2</v>
      </c>
    </row>
    <row r="703" spans="1:627" ht="15" hidden="1" customHeight="1" x14ac:dyDescent="0.25">
      <c r="A703" s="5" t="s">
        <v>2360</v>
      </c>
      <c r="B703" s="14" t="str">
        <f>VLOOKUP(TAB_SAIDA[[#This Row],[COD_2_SAIDA]],TAB_ESTOQUE[[Codigo]:[Descrição Tecnica]],6,FALSE)</f>
        <v>PORCA T NORMA DIN</v>
      </c>
      <c r="C703" s="14">
        <f>IFERROR(VLOOKUP(TAB_SAIDA[[#This Row],[COD_2_SAIDA]],TAB_ESTOQUE[[Codigo]:[Referência Tec]],7,FALSE),"")</f>
        <v>0</v>
      </c>
      <c r="D703" s="14" t="str">
        <f>VLOOKUP(TAB_SAIDA[[#This Row],[COD_2_SAIDA]],TAB_ESTOQUE[[Codigo]:[Endereço2]],12,FALSE)</f>
        <v>F2102</v>
      </c>
      <c r="E703" s="81">
        <f>SUM(TAB_SAIDA[[#This Row],[20/05/2019]:[00/00/00]])</f>
        <v>14</v>
      </c>
      <c r="F703" s="3"/>
      <c r="TJ703" s="3">
        <v>4</v>
      </c>
      <c r="TN703" s="3">
        <v>5</v>
      </c>
      <c r="WW703" s="3">
        <v>3</v>
      </c>
      <c r="XC703" s="3">
        <v>2</v>
      </c>
    </row>
    <row r="704" spans="1:627" ht="15" hidden="1" customHeight="1" x14ac:dyDescent="0.25">
      <c r="A704" s="5" t="s">
        <v>2361</v>
      </c>
      <c r="B704" s="14" t="str">
        <f>VLOOKUP(TAB_SAIDA[[#This Row],[COD_2_SAIDA]],TAB_ESTOQUE[[Codigo]:[Descrição Tecnica]],6,FALSE)</f>
        <v>VALVULA DE RETENÇÃO 3/8" BSP</v>
      </c>
      <c r="C704" s="14">
        <f>IFERROR(VLOOKUP(TAB_SAIDA[[#This Row],[COD_2_SAIDA]],TAB_ESTOQUE[[Codigo]:[Referência Tec]],7,FALSE),"")</f>
        <v>0</v>
      </c>
      <c r="D704" s="14" t="str">
        <f>VLOOKUP(TAB_SAIDA[[#This Row],[COD_2_SAIDA]],TAB_ESTOQUE[[Codigo]:[Endereço2]],12,FALSE)</f>
        <v>D2403</v>
      </c>
      <c r="E704" s="81">
        <f>SUM(TAB_SAIDA[[#This Row],[20/05/2019]:[00/00/00]])</f>
        <v>0</v>
      </c>
      <c r="F704" s="3"/>
    </row>
    <row r="705" spans="1:6" ht="15" hidden="1" customHeight="1" x14ac:dyDescent="0.25">
      <c r="A705" s="5" t="s">
        <v>2362</v>
      </c>
      <c r="B705" s="14" t="str">
        <f>VLOOKUP(TAB_SAIDA[[#This Row],[COD_2_SAIDA]],TAB_ESTOQUE[[Codigo]:[Descrição Tecnica]],6,FALSE)</f>
        <v>ARRUELA PEQUENA PARA SETUP NORMA DIN</v>
      </c>
      <c r="C705" s="14">
        <f>IFERROR(VLOOKUP(TAB_SAIDA[[#This Row],[COD_2_SAIDA]],TAB_ESTOQUE[[Codigo]:[Referência Tec]],7,FALSE),"")</f>
        <v>0</v>
      </c>
      <c r="D705" s="14" t="str">
        <f>VLOOKUP(TAB_SAIDA[[#This Row],[COD_2_SAIDA]],TAB_ESTOQUE[[Codigo]:[Endereço2]],12,FALSE)</f>
        <v>F2102</v>
      </c>
      <c r="E705" s="81">
        <f>SUM(TAB_SAIDA[[#This Row],[20/05/2019]:[00/00/00]])</f>
        <v>0</v>
      </c>
      <c r="F705" s="3"/>
    </row>
    <row r="706" spans="1:6" ht="15" hidden="1" customHeight="1" x14ac:dyDescent="0.25">
      <c r="A706" s="5" t="s">
        <v>2363</v>
      </c>
      <c r="B706" s="14" t="str">
        <f>VLOOKUP(TAB_SAIDA[[#This Row],[COD_2_SAIDA]],TAB_ESTOQUE[[Codigo]:[Descrição Tecnica]],6,FALSE)</f>
        <v>ESPIGÃO ROSCA 3/4 MANG 3/4" 3/4 X 3/4"</v>
      </c>
      <c r="C706" s="14">
        <f>IFERROR(VLOOKUP(TAB_SAIDA[[#This Row],[COD_2_SAIDA]],TAB_ESTOQUE[[Codigo]:[Referência Tec]],7,FALSE),"")</f>
        <v>0</v>
      </c>
      <c r="D706" s="14" t="str">
        <f>VLOOKUP(TAB_SAIDA[[#This Row],[COD_2_SAIDA]],TAB_ESTOQUE[[Codigo]:[Endereço2]],12,FALSE)</f>
        <v>D2404</v>
      </c>
      <c r="E706" s="81">
        <f>SUM(TAB_SAIDA[[#This Row],[20/05/2019]:[00/00/00]])</f>
        <v>0</v>
      </c>
      <c r="F706" s="3"/>
    </row>
    <row r="707" spans="1:6" ht="15" hidden="1" customHeight="1" x14ac:dyDescent="0.25">
      <c r="A707" s="5" t="s">
        <v>2364</v>
      </c>
      <c r="B707" s="14" t="str">
        <f>VLOOKUP(TAB_SAIDA[[#This Row],[COD_2_SAIDA]],TAB_ESTOQUE[[Codigo]:[Descrição Tecnica]],6,FALSE)</f>
        <v>ESPIGÃO ROSCA DE 1/2 MANG DE 1/2" X 1/2"</v>
      </c>
      <c r="C707" s="14">
        <f>IFERROR(VLOOKUP(TAB_SAIDA[[#This Row],[COD_2_SAIDA]],TAB_ESTOQUE[[Codigo]:[Referência Tec]],7,FALSE),"")</f>
        <v>0</v>
      </c>
      <c r="D707" s="14" t="str">
        <f>VLOOKUP(TAB_SAIDA[[#This Row],[COD_2_SAIDA]],TAB_ESTOQUE[[Codigo]:[Endereço2]],12,FALSE)</f>
        <v>D2404</v>
      </c>
      <c r="E707" s="81">
        <f>SUM(TAB_SAIDA[[#This Row],[20/05/2019]:[00/00/00]])</f>
        <v>0</v>
      </c>
      <c r="F707" s="3"/>
    </row>
    <row r="708" spans="1:6" ht="15" hidden="1" customHeight="1" x14ac:dyDescent="0.25">
      <c r="A708" s="5" t="s">
        <v>2365</v>
      </c>
      <c r="B708" s="14" t="str">
        <f>VLOOKUP(TAB_SAIDA[[#This Row],[COD_2_SAIDA]],TAB_ESTOQUE[[Codigo]:[Descrição Tecnica]],6,FALSE)</f>
        <v>ESPIGÃO ROSCA DE 1/2 MANG 3/4" 1/2 X 3/4"</v>
      </c>
      <c r="C708" s="14">
        <f>IFERROR(VLOOKUP(TAB_SAIDA[[#This Row],[COD_2_SAIDA]],TAB_ESTOQUE[[Codigo]:[Referência Tec]],7,FALSE),"")</f>
        <v>0</v>
      </c>
      <c r="D708" s="14" t="str">
        <f>VLOOKUP(TAB_SAIDA[[#This Row],[COD_2_SAIDA]],TAB_ESTOQUE[[Codigo]:[Endereço2]],12,FALSE)</f>
        <v>D2404</v>
      </c>
      <c r="E708" s="81">
        <f>SUM(TAB_SAIDA[[#This Row],[20/05/2019]:[00/00/00]])</f>
        <v>0</v>
      </c>
      <c r="F708" s="3"/>
    </row>
    <row r="709" spans="1:6" ht="15" hidden="1" customHeight="1" x14ac:dyDescent="0.25">
      <c r="A709" s="5" t="s">
        <v>2366</v>
      </c>
      <c r="B709" s="14" t="str">
        <f>VLOOKUP(TAB_SAIDA[[#This Row],[COD_2_SAIDA]],TAB_ESTOQUE[[Codigo]:[Descrição Tecnica]],6,FALSE)</f>
        <v>PRISIONEIRO NORMA DIN</v>
      </c>
      <c r="C709" s="14">
        <f>IFERROR(VLOOKUP(TAB_SAIDA[[#This Row],[COD_2_SAIDA]],TAB_ESTOQUE[[Codigo]:[Referência Tec]],7,FALSE),"")</f>
        <v>0</v>
      </c>
      <c r="D709" s="14" t="str">
        <f>VLOOKUP(TAB_SAIDA[[#This Row],[COD_2_SAIDA]],TAB_ESTOQUE[[Codigo]:[Endereço2]],12,FALSE)</f>
        <v>D2404</v>
      </c>
      <c r="E709" s="81">
        <f>SUM(TAB_SAIDA[[#This Row],[20/05/2019]:[00/00/00]])</f>
        <v>0</v>
      </c>
      <c r="F709" s="3"/>
    </row>
    <row r="710" spans="1:6" ht="15" hidden="1" customHeight="1" x14ac:dyDescent="0.25">
      <c r="A710" s="5" t="s">
        <v>2367</v>
      </c>
      <c r="B710" s="14" t="str">
        <f>VLOOKUP(TAB_SAIDA[[#This Row],[COD_2_SAIDA]],TAB_ESTOQUE[[Codigo]:[Descrição Tecnica]],6,FALSE)</f>
        <v>ESPPIGÃO REOSCA 1/4 MANG 1/4"</v>
      </c>
      <c r="C710" s="14">
        <f>IFERROR(VLOOKUP(TAB_SAIDA[[#This Row],[COD_2_SAIDA]],TAB_ESTOQUE[[Codigo]:[Referência Tec]],7,FALSE),"")</f>
        <v>0</v>
      </c>
      <c r="D710" s="14" t="str">
        <f>VLOOKUP(TAB_SAIDA[[#This Row],[COD_2_SAIDA]],TAB_ESTOQUE[[Codigo]:[Endereço2]],12,FALSE)</f>
        <v>D2404</v>
      </c>
      <c r="E710" s="81">
        <f>SUM(TAB_SAIDA[[#This Row],[20/05/2019]:[00/00/00]])</f>
        <v>0</v>
      </c>
      <c r="F710" s="3"/>
    </row>
    <row r="711" spans="1:6" ht="15" hidden="1" customHeight="1" x14ac:dyDescent="0.25">
      <c r="A711" s="5" t="s">
        <v>2368</v>
      </c>
      <c r="B711" s="14" t="str">
        <f>VLOOKUP(TAB_SAIDA[[#This Row],[COD_2_SAIDA]],TAB_ESTOQUE[[Codigo]:[Descrição Tecnica]],6,FALSE)</f>
        <v>ESPIGÃO ROSCA 3/8 MANG 1/4"</v>
      </c>
      <c r="C711" s="14">
        <f>IFERROR(VLOOKUP(TAB_SAIDA[[#This Row],[COD_2_SAIDA]],TAB_ESTOQUE[[Codigo]:[Referência Tec]],7,FALSE),"")</f>
        <v>0</v>
      </c>
      <c r="D711" s="14" t="str">
        <f>VLOOKUP(TAB_SAIDA[[#This Row],[COD_2_SAIDA]],TAB_ESTOQUE[[Codigo]:[Endereço2]],12,FALSE)</f>
        <v>D2404</v>
      </c>
      <c r="E711" s="81">
        <f>SUM(TAB_SAIDA[[#This Row],[20/05/2019]:[00/00/00]])</f>
        <v>0</v>
      </c>
      <c r="F711" s="3"/>
    </row>
    <row r="712" spans="1:6" ht="15" hidden="1" customHeight="1" x14ac:dyDescent="0.25">
      <c r="A712" s="5" t="s">
        <v>2369</v>
      </c>
      <c r="B712" s="14" t="str">
        <f>VLOOKUP(TAB_SAIDA[[#This Row],[COD_2_SAIDA]],TAB_ESTOQUE[[Codigo]:[Descrição Tecnica]],6,FALSE)</f>
        <v>ESPIGÃO ROSCA DE 1/2" MANG 1/4"</v>
      </c>
      <c r="C712" s="14">
        <f>IFERROR(VLOOKUP(TAB_SAIDA[[#This Row],[COD_2_SAIDA]],TAB_ESTOQUE[[Codigo]:[Referência Tec]],7,FALSE),"")</f>
        <v>0</v>
      </c>
      <c r="D712" s="14" t="str">
        <f>VLOOKUP(TAB_SAIDA[[#This Row],[COD_2_SAIDA]],TAB_ESTOQUE[[Codigo]:[Endereço2]],12,FALSE)</f>
        <v>D2404</v>
      </c>
      <c r="E712" s="81">
        <f>SUM(TAB_SAIDA[[#This Row],[20/05/2019]:[00/00/00]])</f>
        <v>0</v>
      </c>
      <c r="F712" s="3"/>
    </row>
    <row r="713" spans="1:6" ht="15" hidden="1" customHeight="1" x14ac:dyDescent="0.25">
      <c r="A713" s="5" t="s">
        <v>2370</v>
      </c>
      <c r="B713" s="14" t="str">
        <f>VLOOKUP(TAB_SAIDA[[#This Row],[COD_2_SAIDA]],TAB_ESTOQUE[[Codigo]:[Descrição Tecnica]],6,FALSE)</f>
        <v>ESSPIGÃO ROSCA 3/4 MANG 1/2"</v>
      </c>
      <c r="C713" s="14">
        <f>IFERROR(VLOOKUP(TAB_SAIDA[[#This Row],[COD_2_SAIDA]],TAB_ESTOQUE[[Codigo]:[Referência Tec]],7,FALSE),"")</f>
        <v>0</v>
      </c>
      <c r="D713" s="14" t="str">
        <f>VLOOKUP(TAB_SAIDA[[#This Row],[COD_2_SAIDA]],TAB_ESTOQUE[[Codigo]:[Endereço2]],12,FALSE)</f>
        <v>D2404</v>
      </c>
      <c r="E713" s="81">
        <f>SUM(TAB_SAIDA[[#This Row],[20/05/2019]:[00/00/00]])</f>
        <v>0</v>
      </c>
      <c r="F713" s="3"/>
    </row>
    <row r="714" spans="1:6" ht="15" hidden="1" customHeight="1" x14ac:dyDescent="0.25">
      <c r="A714" s="5" t="s">
        <v>2371</v>
      </c>
      <c r="B714" s="14" t="str">
        <f>VLOOKUP(TAB_SAIDA[[#This Row],[COD_2_SAIDA]],TAB_ESTOQUE[[Codigo]:[Descrição Tecnica]],6,FALSE)</f>
        <v>ESPIGÃO PARA MANG DE 3/4"</v>
      </c>
      <c r="C714" s="14">
        <f>IFERROR(VLOOKUP(TAB_SAIDA[[#This Row],[COD_2_SAIDA]],TAB_ESTOQUE[[Codigo]:[Referência Tec]],7,FALSE),"")</f>
        <v>0</v>
      </c>
      <c r="D714" s="14" t="str">
        <f>VLOOKUP(TAB_SAIDA[[#This Row],[COD_2_SAIDA]],TAB_ESTOQUE[[Codigo]:[Endereço2]],12,FALSE)</f>
        <v>D2404</v>
      </c>
      <c r="E714" s="81">
        <f>SUM(TAB_SAIDA[[#This Row],[20/05/2019]:[00/00/00]])</f>
        <v>0</v>
      </c>
      <c r="F714" s="3"/>
    </row>
    <row r="715" spans="1:6" ht="15" hidden="1" customHeight="1" x14ac:dyDescent="0.25">
      <c r="A715" s="5" t="s">
        <v>2372</v>
      </c>
      <c r="B715" s="14" t="str">
        <f>VLOOKUP(TAB_SAIDA[[#This Row],[COD_2_SAIDA]],TAB_ESTOQUE[[Codigo]:[Descrição Tecnica]],6,FALSE)</f>
        <v>ESPIGÃO ROSCA 3/4" MANG 1"</v>
      </c>
      <c r="C715" s="14">
        <f>IFERROR(VLOOKUP(TAB_SAIDA[[#This Row],[COD_2_SAIDA]],TAB_ESTOQUE[[Codigo]:[Referência Tec]],7,FALSE),"")</f>
        <v>0</v>
      </c>
      <c r="D715" s="14" t="str">
        <f>VLOOKUP(TAB_SAIDA[[#This Row],[COD_2_SAIDA]],TAB_ESTOQUE[[Codigo]:[Endereço2]],12,FALSE)</f>
        <v>D2404</v>
      </c>
      <c r="E715" s="81">
        <f>SUM(TAB_SAIDA[[#This Row],[20/05/2019]:[00/00/00]])</f>
        <v>0</v>
      </c>
      <c r="F715" s="3"/>
    </row>
    <row r="716" spans="1:6" ht="15" hidden="1" customHeight="1" x14ac:dyDescent="0.25">
      <c r="A716" s="5" t="s">
        <v>2373</v>
      </c>
      <c r="B716" s="14" t="str">
        <f>VLOOKUP(TAB_SAIDA[[#This Row],[COD_2_SAIDA]],TAB_ESTOQUE[[Codigo]:[Descrição Tecnica]],6,FALSE)</f>
        <v>SUPORTE PARA NIVELAMENTO</v>
      </c>
      <c r="C716" s="14">
        <f>IFERROR(VLOOKUP(TAB_SAIDA[[#This Row],[COD_2_SAIDA]],TAB_ESTOQUE[[Codigo]:[Referência Tec]],7,FALSE),"")</f>
        <v>0</v>
      </c>
      <c r="D716" s="14" t="str">
        <f>VLOOKUP(TAB_SAIDA[[#This Row],[COD_2_SAIDA]],TAB_ESTOQUE[[Codigo]:[Endereço2]],12,FALSE)</f>
        <v>D2405</v>
      </c>
      <c r="E716" s="81">
        <f>SUM(TAB_SAIDA[[#This Row],[20/05/2019]:[00/00/00]])</f>
        <v>0</v>
      </c>
      <c r="F716" s="3"/>
    </row>
    <row r="717" spans="1:6" ht="15" hidden="1" customHeight="1" x14ac:dyDescent="0.25">
      <c r="A717" s="5" t="s">
        <v>2374</v>
      </c>
      <c r="B717" s="14" t="str">
        <f>VLOOKUP(TAB_SAIDA[[#This Row],[COD_2_SAIDA]],TAB_ESTOQUE[[Codigo]:[Descrição Tecnica]],6,FALSE)</f>
        <v>VALVULA ESFERICA DN 15 1/2"</v>
      </c>
      <c r="C717" s="14">
        <f>IFERROR(VLOOKUP(TAB_SAIDA[[#This Row],[COD_2_SAIDA]],TAB_ESTOQUE[[Codigo]:[Referência Tec]],7,FALSE),"")</f>
        <v>0</v>
      </c>
      <c r="D717" s="14" t="str">
        <f>VLOOKUP(TAB_SAIDA[[#This Row],[COD_2_SAIDA]],TAB_ESTOQUE[[Codigo]:[Endereço2]],12,FALSE)</f>
        <v>D1403</v>
      </c>
      <c r="E717" s="81">
        <f>SUM(TAB_SAIDA[[#This Row],[20/05/2019]:[00/00/00]])</f>
        <v>0</v>
      </c>
      <c r="F717" s="3"/>
    </row>
    <row r="718" spans="1:6" ht="15" hidden="1" customHeight="1" x14ac:dyDescent="0.25">
      <c r="A718" s="5" t="s">
        <v>2375</v>
      </c>
      <c r="B718" s="14" t="str">
        <f>VLOOKUP(TAB_SAIDA[[#This Row],[COD_2_SAIDA]],TAB_ESTOQUE[[Codigo]:[Descrição Tecnica]],6,FALSE)</f>
        <v>CONJUNTO ENGATE RAPIDO 1/2"</v>
      </c>
      <c r="C718" s="14">
        <f>IFERROR(VLOOKUP(TAB_SAIDA[[#This Row],[COD_2_SAIDA]],TAB_ESTOQUE[[Codigo]:[Referência Tec]],7,FALSE),"")</f>
        <v>0</v>
      </c>
      <c r="D718" s="14" t="str">
        <f>VLOOKUP(TAB_SAIDA[[#This Row],[COD_2_SAIDA]],TAB_ESTOQUE[[Codigo]:[Endereço2]],12,FALSE)</f>
        <v>D1403</v>
      </c>
      <c r="E718" s="81">
        <f>SUM(TAB_SAIDA[[#This Row],[20/05/2019]:[00/00/00]])</f>
        <v>0</v>
      </c>
      <c r="F718" s="3"/>
    </row>
    <row r="719" spans="1:6" ht="15" hidden="1" customHeight="1" x14ac:dyDescent="0.25">
      <c r="A719" s="5" t="s">
        <v>2376</v>
      </c>
      <c r="B719" s="14" t="str">
        <f>VLOOKUP(TAB_SAIDA[[#This Row],[COD_2_SAIDA]],TAB_ESTOQUE[[Codigo]:[Descrição Tecnica]],6,FALSE)</f>
        <v>ENGATE RAPIDO 1/2" PINO</v>
      </c>
      <c r="C719" s="14">
        <f>IFERROR(VLOOKUP(TAB_SAIDA[[#This Row],[COD_2_SAIDA]],TAB_ESTOQUE[[Codigo]:[Referência Tec]],7,FALSE),"")</f>
        <v>0</v>
      </c>
      <c r="D719" s="14" t="str">
        <f>VLOOKUP(TAB_SAIDA[[#This Row],[COD_2_SAIDA]],TAB_ESTOQUE[[Codigo]:[Endereço2]],12,FALSE)</f>
        <v>D1403</v>
      </c>
      <c r="E719" s="81">
        <f>SUM(TAB_SAIDA[[#This Row],[20/05/2019]:[00/00/00]])</f>
        <v>0</v>
      </c>
      <c r="F719" s="3"/>
    </row>
    <row r="720" spans="1:6" ht="15" hidden="1" customHeight="1" x14ac:dyDescent="0.25">
      <c r="A720" s="5" t="s">
        <v>2377</v>
      </c>
      <c r="B720" s="14" t="str">
        <f>VLOOKUP(TAB_SAIDA[[#This Row],[COD_2_SAIDA]],TAB_ESTOQUE[[Codigo]:[Descrição Tecnica]],6,FALSE)</f>
        <v>ARRUELA GRANDE PARA SETUP NORMA DIN</v>
      </c>
      <c r="C720" s="14">
        <f>IFERROR(VLOOKUP(TAB_SAIDA[[#This Row],[COD_2_SAIDA]],TAB_ESTOQUE[[Codigo]:[Referência Tec]],7,FALSE),"")</f>
        <v>0</v>
      </c>
      <c r="D720" s="14" t="str">
        <f>VLOOKUP(TAB_SAIDA[[#This Row],[COD_2_SAIDA]],TAB_ESTOQUE[[Codigo]:[Endereço2]],12,FALSE)</f>
        <v>F2102</v>
      </c>
      <c r="E720" s="81">
        <f>SUM(TAB_SAIDA[[#This Row],[20/05/2019]:[00/00/00]])</f>
        <v>0</v>
      </c>
      <c r="F720" s="3"/>
    </row>
    <row r="721" spans="1:6" ht="15" hidden="1" customHeight="1" x14ac:dyDescent="0.25">
      <c r="A721" s="5" t="s">
        <v>2378</v>
      </c>
      <c r="B721" s="14" t="str">
        <f>VLOOKUP(TAB_SAIDA[[#This Row],[COD_2_SAIDA]],TAB_ESTOQUE[[Codigo]:[Descrição Tecnica]],6,FALSE)</f>
        <v>CONJUNTO ENGATE RAPIDO PCL 6501-12B</v>
      </c>
      <c r="C721" s="14">
        <f>IFERROR(VLOOKUP(TAB_SAIDA[[#This Row],[COD_2_SAIDA]],TAB_ESTOQUE[[Codigo]:[Referência Tec]],7,FALSE),"")</f>
        <v>0</v>
      </c>
      <c r="D721" s="14" t="str">
        <f>VLOOKUP(TAB_SAIDA[[#This Row],[COD_2_SAIDA]],TAB_ESTOQUE[[Codigo]:[Endereço2]],12,FALSE)</f>
        <v>D1403</v>
      </c>
      <c r="E721" s="81">
        <f>SUM(TAB_SAIDA[[#This Row],[20/05/2019]:[00/00/00]])</f>
        <v>0</v>
      </c>
      <c r="F721" s="3"/>
    </row>
    <row r="722" spans="1:6" ht="15" hidden="1" customHeight="1" x14ac:dyDescent="0.25">
      <c r="A722" s="5" t="s">
        <v>2379</v>
      </c>
      <c r="B722" s="14" t="str">
        <f>VLOOKUP(TAB_SAIDA[[#This Row],[COD_2_SAIDA]],TAB_ESTOQUE[[Codigo]:[Descrição Tecnica]],6,FALSE)</f>
        <v>CILINDRO HIDRAULICA ATOS MOD:CK-63/42* 0200-N062-HW-B1</v>
      </c>
      <c r="C722" s="14">
        <f>IFERROR(VLOOKUP(TAB_SAIDA[[#This Row],[COD_2_SAIDA]],TAB_ESTOQUE[[Codigo]:[Referência Tec]],7,FALSE),"")</f>
        <v>0</v>
      </c>
      <c r="D722" s="14" t="str">
        <f>VLOOKUP(TAB_SAIDA[[#This Row],[COD_2_SAIDA]],TAB_ESTOQUE[[Codigo]:[Endereço2]],12,FALSE)</f>
        <v>E1105</v>
      </c>
      <c r="E722" s="81">
        <f>SUM(TAB_SAIDA[[#This Row],[20/05/2019]:[00/00/00]])</f>
        <v>0</v>
      </c>
      <c r="F722" s="3"/>
    </row>
    <row r="723" spans="1:6" ht="15" hidden="1" customHeight="1" x14ac:dyDescent="0.25">
      <c r="A723" s="5" t="s">
        <v>2380</v>
      </c>
      <c r="B723" s="14" t="str">
        <f>VLOOKUP(TAB_SAIDA[[#This Row],[COD_2_SAIDA]],TAB_ESTOQUE[[Codigo]:[Descrição Tecnica]],6,FALSE)</f>
        <v>MOLA 18X3</v>
      </c>
      <c r="C723" s="14">
        <f>IFERROR(VLOOKUP(TAB_SAIDA[[#This Row],[COD_2_SAIDA]],TAB_ESTOQUE[[Codigo]:[Referência Tec]],7,FALSE),"")</f>
        <v>0</v>
      </c>
      <c r="D723" s="14" t="str">
        <f>VLOOKUP(TAB_SAIDA[[#This Row],[COD_2_SAIDA]],TAB_ESTOQUE[[Codigo]:[Endereço2]],12,FALSE)</f>
        <v>E1304</v>
      </c>
      <c r="E723" s="81">
        <f>SUM(TAB_SAIDA[[#This Row],[20/05/2019]:[00/00/00]])</f>
        <v>0</v>
      </c>
      <c r="F723" s="3"/>
    </row>
    <row r="724" spans="1:6" ht="15" hidden="1" customHeight="1" x14ac:dyDescent="0.25">
      <c r="A724" s="5" t="s">
        <v>2381</v>
      </c>
      <c r="B724" s="14" t="str">
        <f>VLOOKUP(TAB_SAIDA[[#This Row],[COD_2_SAIDA]],TAB_ESTOQUE[[Codigo]:[Descrição Tecnica]],6,FALSE)</f>
        <v xml:space="preserve">ROLAMENTO MNR: R103863020 Rexroth </v>
      </c>
      <c r="C724" s="14">
        <f>IFERROR(VLOOKUP(TAB_SAIDA[[#This Row],[COD_2_SAIDA]],TAB_ESTOQUE[[Codigo]:[Referência Tec]],7,FALSE),"")</f>
        <v>0</v>
      </c>
      <c r="D724" s="14" t="str">
        <f>VLOOKUP(TAB_SAIDA[[#This Row],[COD_2_SAIDA]],TAB_ESTOQUE[[Codigo]:[Endereço2]],12,FALSE)</f>
        <v>D1106</v>
      </c>
      <c r="E724" s="81">
        <f>SUM(TAB_SAIDA[[#This Row],[20/05/2019]:[00/00/00]])</f>
        <v>0</v>
      </c>
      <c r="F724" s="3"/>
    </row>
    <row r="725" spans="1:6" ht="15" hidden="1" customHeight="1" x14ac:dyDescent="0.25">
      <c r="A725" s="5" t="s">
        <v>2382</v>
      </c>
      <c r="B725" s="14" t="str">
        <f>VLOOKUP(TAB_SAIDA[[#This Row],[COD_2_SAIDA]],TAB_ESTOQUE[[Codigo]:[Descrição Tecnica]],6,FALSE)</f>
        <v>FILTRO MSD AZUL</v>
      </c>
      <c r="C725" s="14">
        <f>IFERROR(VLOOKUP(TAB_SAIDA[[#This Row],[COD_2_SAIDA]],TAB_ESTOQUE[[Codigo]:[Referência Tec]],7,FALSE),"")</f>
        <v>0</v>
      </c>
      <c r="D725" s="14" t="str">
        <f>VLOOKUP(TAB_SAIDA[[#This Row],[COD_2_SAIDA]],TAB_ESTOQUE[[Codigo]:[Endereço2]],12,FALSE)</f>
        <v>C2403</v>
      </c>
      <c r="E725" s="81">
        <f>SUM(TAB_SAIDA[[#This Row],[20/05/2019]:[00/00/00]])</f>
        <v>0</v>
      </c>
      <c r="F725" s="3"/>
    </row>
    <row r="726" spans="1:6" ht="15" hidden="1" customHeight="1" x14ac:dyDescent="0.25">
      <c r="A726" s="5" t="s">
        <v>2383</v>
      </c>
      <c r="B726" s="14" t="str">
        <f>VLOOKUP(TAB_SAIDA[[#This Row],[COD_2_SAIDA]],TAB_ESTOQUE[[Codigo]:[Descrição Tecnica]],6,FALSE)</f>
        <v>PLACA SCHIRMACHER S&amp;H-3 RJ 94V-0 ARTIKEL NR: 9999.377</v>
      </c>
      <c r="C726" s="14">
        <f>IFERROR(VLOOKUP(TAB_SAIDA[[#This Row],[COD_2_SAIDA]],TAB_ESTOQUE[[Codigo]:[Referência Tec]],7,FALSE),"")</f>
        <v>0</v>
      </c>
      <c r="D726" s="14" t="str">
        <f>VLOOKUP(TAB_SAIDA[[#This Row],[COD_2_SAIDA]],TAB_ESTOQUE[[Codigo]:[Endereço2]],12,FALSE)</f>
        <v>A2104</v>
      </c>
      <c r="E726" s="81">
        <f>SUM(TAB_SAIDA[[#This Row],[20/05/2019]:[00/00/00]])</f>
        <v>0</v>
      </c>
      <c r="F726" s="3"/>
    </row>
    <row r="727" spans="1:6" ht="15" hidden="1" customHeight="1" x14ac:dyDescent="0.25">
      <c r="A727" s="5" t="s">
        <v>2384</v>
      </c>
      <c r="B727" s="14" t="str">
        <f>VLOOKUP(TAB_SAIDA[[#This Row],[COD_2_SAIDA]],TAB_ESTOQUE[[Codigo]:[Descrição Tecnica]],6,FALSE)</f>
        <v>CORREIA DENTADA XPB2410</v>
      </c>
      <c r="C727" s="14">
        <f>IFERROR(VLOOKUP(TAB_SAIDA[[#This Row],[COD_2_SAIDA]],TAB_ESTOQUE[[Codigo]:[Referência Tec]],7,FALSE),"")</f>
        <v>0</v>
      </c>
      <c r="D727" s="14" t="str">
        <f>VLOOKUP(TAB_SAIDA[[#This Row],[COD_2_SAIDA]],TAB_ESTOQUE[[Codigo]:[Endereço2]],12,FALSE)</f>
        <v>S702</v>
      </c>
      <c r="E727" s="81">
        <f>SUM(TAB_SAIDA[[#This Row],[20/05/2019]:[00/00/00]])</f>
        <v>0</v>
      </c>
      <c r="F727" s="3"/>
    </row>
    <row r="728" spans="1:6" ht="15" hidden="1" customHeight="1" x14ac:dyDescent="0.25">
      <c r="A728" s="5" t="s">
        <v>2385</v>
      </c>
      <c r="B728" s="14" t="str">
        <f>VLOOKUP(TAB_SAIDA[[#This Row],[COD_2_SAIDA]],TAB_ESTOQUE[[Codigo]:[Descrição Tecnica]],6,FALSE)</f>
        <v>PRESSOSTATO PSG DIG HYDAC EDS3408-5-0040-1/2"</v>
      </c>
      <c r="C728" s="14">
        <f>IFERROR(VLOOKUP(TAB_SAIDA[[#This Row],[COD_2_SAIDA]],TAB_ESTOQUE[[Codigo]:[Referência Tec]],7,FALSE),"")</f>
        <v>0</v>
      </c>
      <c r="D728" s="14" t="str">
        <f>VLOOKUP(TAB_SAIDA[[#This Row],[COD_2_SAIDA]],TAB_ESTOQUE[[Codigo]:[Endereço2]],12,FALSE)</f>
        <v>A2104</v>
      </c>
      <c r="E728" s="81">
        <f>SUM(TAB_SAIDA[[#This Row],[20/05/2019]:[00/00/00]])</f>
        <v>0</v>
      </c>
      <c r="F728" s="3"/>
    </row>
    <row r="729" spans="1:6" ht="15" hidden="1" customHeight="1" x14ac:dyDescent="0.25">
      <c r="A729" s="5" t="s">
        <v>2386</v>
      </c>
      <c r="B729" s="14" t="str">
        <f>VLOOKUP(TAB_SAIDA[[#This Row],[COD_2_SAIDA]],TAB_ESTOQUE[[Codigo]:[Descrição Tecnica]],6,FALSE)</f>
        <v>SERVO MOTOR ABB 3HAC040408-00101</v>
      </c>
      <c r="C729" s="14">
        <f>IFERROR(VLOOKUP(TAB_SAIDA[[#This Row],[COD_2_SAIDA]],TAB_ESTOQUE[[Codigo]:[Referência Tec]],7,FALSE),"")</f>
        <v>0</v>
      </c>
      <c r="D729" s="14" t="str">
        <f>VLOOKUP(TAB_SAIDA[[#This Row],[COD_2_SAIDA]],TAB_ESTOQUE[[Codigo]:[Endereço2]],12,FALSE)</f>
        <v>E2406</v>
      </c>
      <c r="E729" s="81">
        <f>SUM(TAB_SAIDA[[#This Row],[20/05/2019]:[00/00/00]])</f>
        <v>0</v>
      </c>
      <c r="F729" s="3"/>
    </row>
    <row r="730" spans="1:6" ht="15" hidden="1" customHeight="1" x14ac:dyDescent="0.25">
      <c r="A730" s="5" t="s">
        <v>2387</v>
      </c>
      <c r="B730" s="14" t="str">
        <f>VLOOKUP(TAB_SAIDA[[#This Row],[COD_2_SAIDA]],TAB_ESTOQUE[[Codigo]:[Descrição Tecnica]],6,FALSE)</f>
        <v>CONTATO AUXILIAR LAEN22 SCHNEIDER</v>
      </c>
      <c r="C730" s="14">
        <f>IFERROR(VLOOKUP(TAB_SAIDA[[#This Row],[COD_2_SAIDA]],TAB_ESTOQUE[[Codigo]:[Referência Tec]],7,FALSE),"")</f>
        <v>0</v>
      </c>
      <c r="D730" s="14" t="str">
        <f>VLOOKUP(TAB_SAIDA[[#This Row],[COD_2_SAIDA]],TAB_ESTOQUE[[Codigo]:[Endereço2]],12,FALSE)</f>
        <v>A1305</v>
      </c>
      <c r="E730" s="81">
        <f>SUM(TAB_SAIDA[[#This Row],[20/05/2019]:[00/00/00]])</f>
        <v>0</v>
      </c>
      <c r="F730" s="3"/>
    </row>
    <row r="731" spans="1:6" ht="15" hidden="1" customHeight="1" x14ac:dyDescent="0.25">
      <c r="A731" s="5" t="s">
        <v>2388</v>
      </c>
      <c r="B731" s="14" t="str">
        <f>VLOOKUP(TAB_SAIDA[[#This Row],[COD_2_SAIDA]],TAB_ESTOQUE[[Codigo]:[Descrição Tecnica]],6,FALSE)</f>
        <v>TRANSFORMADOR RM153027 BATE PE</v>
      </c>
      <c r="C731" s="14">
        <f>IFERROR(VLOOKUP(TAB_SAIDA[[#This Row],[COD_2_SAIDA]],TAB_ESTOQUE[[Codigo]:[Referência Tec]],7,FALSE),"")</f>
        <v>0</v>
      </c>
      <c r="D731" s="14" t="str">
        <f>VLOOKUP(TAB_SAIDA[[#This Row],[COD_2_SAIDA]],TAB_ESTOQUE[[Codigo]:[Endereço2]],12,FALSE)</f>
        <v>D1406</v>
      </c>
      <c r="E731" s="81">
        <f>SUM(TAB_SAIDA[[#This Row],[20/05/2019]:[00/00/00]])</f>
        <v>0</v>
      </c>
      <c r="F731" s="3"/>
    </row>
    <row r="732" spans="1:6" ht="15" hidden="1" customHeight="1" x14ac:dyDescent="0.25">
      <c r="A732" s="5" t="s">
        <v>2389</v>
      </c>
      <c r="B732" s="14" t="str">
        <f>VLOOKUP(TAB_SAIDA[[#This Row],[COD_2_SAIDA]],TAB_ESTOQUE[[Codigo]:[Descrição Tecnica]],6,FALSE)</f>
        <v>TORNEIRA EM PVC DE JARDIN</v>
      </c>
      <c r="C732" s="14">
        <f>IFERROR(VLOOKUP(TAB_SAIDA[[#This Row],[COD_2_SAIDA]],TAB_ESTOQUE[[Codigo]:[Referência Tec]],7,FALSE),"")</f>
        <v>0</v>
      </c>
      <c r="D732" s="14" t="str">
        <f>VLOOKUP(TAB_SAIDA[[#This Row],[COD_2_SAIDA]],TAB_ESTOQUE[[Codigo]:[Endereço2]],12,FALSE)</f>
        <v>D1403</v>
      </c>
      <c r="E732" s="81">
        <f>SUM(TAB_SAIDA[[#This Row],[20/05/2019]:[00/00/00]])</f>
        <v>0</v>
      </c>
      <c r="F732" s="3"/>
    </row>
    <row r="733" spans="1:6" ht="15" hidden="1" customHeight="1" x14ac:dyDescent="0.25">
      <c r="A733" s="5" t="s">
        <v>2390</v>
      </c>
      <c r="B733" s="14" t="str">
        <f>VLOOKUP(TAB_SAIDA[[#This Row],[COD_2_SAIDA]],TAB_ESTOQUE[[Codigo]:[Descrição Tecnica]],6,FALSE)</f>
        <v>CONJUNTO INJETORA CANNON VALVULA 3/8 COM SOLENOIDE Z17383CA0 (PARKER)</v>
      </c>
      <c r="C733" s="14">
        <f>IFERROR(VLOOKUP(TAB_SAIDA[[#This Row],[COD_2_SAIDA]],TAB_ESTOQUE[[Codigo]:[Referência Tec]],7,FALSE),"")</f>
        <v>0</v>
      </c>
      <c r="D733" s="14" t="str">
        <f>VLOOKUP(TAB_SAIDA[[#This Row],[COD_2_SAIDA]],TAB_ESTOQUE[[Codigo]:[Endereço2]],12,FALSE)</f>
        <v>C2204</v>
      </c>
      <c r="E733" s="81">
        <f>SUM(TAB_SAIDA[[#This Row],[20/05/2019]:[00/00/00]])</f>
        <v>0</v>
      </c>
      <c r="F733" s="3"/>
    </row>
    <row r="734" spans="1:6" ht="15" hidden="1" customHeight="1" x14ac:dyDescent="0.25">
      <c r="A734" s="5" t="s">
        <v>2391</v>
      </c>
      <c r="B734" s="14" t="str">
        <f>VLOOKUP(TAB_SAIDA[[#This Row],[COD_2_SAIDA]],TAB_ESTOQUE[[Codigo]:[Descrição Tecnica]],6,FALSE)</f>
        <v>CILINDRO PADRÃO FESTO - REF. DSBC-100-500 PPV-A-KP E943</v>
      </c>
      <c r="C734" s="14">
        <f>IFERROR(VLOOKUP(TAB_SAIDA[[#This Row],[COD_2_SAIDA]],TAB_ESTOQUE[[Codigo]:[Referência Tec]],7,FALSE),"")</f>
        <v>0</v>
      </c>
      <c r="D734" s="14" t="str">
        <f>VLOOKUP(TAB_SAIDA[[#This Row],[COD_2_SAIDA]],TAB_ESTOQUE[[Codigo]:[Endereço2]],12,FALSE)</f>
        <v>G2106</v>
      </c>
      <c r="E734" s="81">
        <f>SUM(TAB_SAIDA[[#This Row],[20/05/2019]:[00/00/00]])</f>
        <v>0</v>
      </c>
      <c r="F734" s="3"/>
    </row>
    <row r="735" spans="1:6" ht="15" hidden="1" customHeight="1" x14ac:dyDescent="0.25">
      <c r="A735" s="5" t="s">
        <v>2392</v>
      </c>
      <c r="B735" s="14" t="str">
        <f>VLOOKUP(TAB_SAIDA[[#This Row],[COD_2_SAIDA]],TAB_ESTOQUE[[Codigo]:[Descrição Tecnica]],6,FALSE)</f>
        <v>MANCAL GG.ASE08</v>
      </c>
      <c r="C735" s="14">
        <f>IFERROR(VLOOKUP(TAB_SAIDA[[#This Row],[COD_2_SAIDA]],TAB_ESTOQUE[[Codigo]:[Referência Tec]],7,FALSE),"")</f>
        <v>0</v>
      </c>
      <c r="D735" s="14" t="str">
        <f>VLOOKUP(TAB_SAIDA[[#This Row],[COD_2_SAIDA]],TAB_ESTOQUE[[Codigo]:[Endereço2]],12,FALSE)</f>
        <v>E1405</v>
      </c>
      <c r="E735" s="81">
        <f>SUM(TAB_SAIDA[[#This Row],[20/05/2019]:[00/00/00]])</f>
        <v>0</v>
      </c>
      <c r="F735" s="3"/>
    </row>
    <row r="736" spans="1:6" ht="15" hidden="1" customHeight="1" x14ac:dyDescent="0.25">
      <c r="A736" s="5" t="s">
        <v>2393</v>
      </c>
      <c r="B736" s="14" t="str">
        <f>VLOOKUP(TAB_SAIDA[[#This Row],[COD_2_SAIDA]],TAB_ESTOQUE[[Codigo]:[Descrição Tecnica]],6,FALSE)</f>
        <v>BLOCO HIDRAULICO REXROTH 0C1009012 R900990630</v>
      </c>
      <c r="C736" s="14">
        <f>IFERROR(VLOOKUP(TAB_SAIDA[[#This Row],[COD_2_SAIDA]],TAB_ESTOQUE[[Codigo]:[Referência Tec]],7,FALSE),"")</f>
        <v>0</v>
      </c>
      <c r="D736" s="14" t="str">
        <f>VLOOKUP(TAB_SAIDA[[#This Row],[COD_2_SAIDA]],TAB_ESTOQUE[[Codigo]:[Endereço2]],12,FALSE)</f>
        <v>C2203</v>
      </c>
      <c r="E736" s="81">
        <f>SUM(TAB_SAIDA[[#This Row],[20/05/2019]:[00/00/00]])</f>
        <v>0</v>
      </c>
      <c r="F736" s="3"/>
    </row>
    <row r="737" spans="1:538" ht="15" hidden="1" customHeight="1" x14ac:dyDescent="0.25">
      <c r="A737" s="5" t="s">
        <v>2394</v>
      </c>
      <c r="B737" s="14" t="str">
        <f>VLOOKUP(TAB_SAIDA[[#This Row],[COD_2_SAIDA]],TAB_ESTOQUE[[Codigo]:[Descrição Tecnica]],6,FALSE)</f>
        <v>KIT REPARO ENGATE RAPIDO 30X33,5X1,20</v>
      </c>
      <c r="C737" s="14">
        <f>IFERROR(VLOOKUP(TAB_SAIDA[[#This Row],[COD_2_SAIDA]],TAB_ESTOQUE[[Codigo]:[Referência Tec]],7,FALSE),"")</f>
        <v>0</v>
      </c>
      <c r="D737" s="14" t="str">
        <f>VLOOKUP(TAB_SAIDA[[#This Row],[COD_2_SAIDA]],TAB_ESTOQUE[[Codigo]:[Endereço2]],12,FALSE)</f>
        <v>E1304</v>
      </c>
      <c r="E737" s="81">
        <f>SUM(TAB_SAIDA[[#This Row],[20/05/2019]:[00/00/00]])</f>
        <v>0</v>
      </c>
      <c r="F737" s="3"/>
    </row>
    <row r="738" spans="1:538" ht="15" hidden="1" customHeight="1" x14ac:dyDescent="0.25">
      <c r="A738" s="5" t="s">
        <v>2395</v>
      </c>
      <c r="B738" s="14" t="str">
        <f>VLOOKUP(TAB_SAIDA[[#This Row],[COD_2_SAIDA]],TAB_ESTOQUE[[Codigo]:[Descrição Tecnica]],6,FALSE)</f>
        <v>KIT REPARO ENGATE RAPIDO 36X40X1,5</v>
      </c>
      <c r="C738" s="14">
        <f>IFERROR(VLOOKUP(TAB_SAIDA[[#This Row],[COD_2_SAIDA]],TAB_ESTOQUE[[Codigo]:[Referência Tec]],7,FALSE),"")</f>
        <v>0</v>
      </c>
      <c r="D738" s="14" t="str">
        <f>VLOOKUP(TAB_SAIDA[[#This Row],[COD_2_SAIDA]],TAB_ESTOQUE[[Codigo]:[Endereço2]],12,FALSE)</f>
        <v>E1304</v>
      </c>
      <c r="E738" s="81">
        <f>SUM(TAB_SAIDA[[#This Row],[20/05/2019]:[00/00/00]])</f>
        <v>0</v>
      </c>
      <c r="F738" s="3"/>
    </row>
    <row r="739" spans="1:538" ht="15" hidden="1" customHeight="1" x14ac:dyDescent="0.25">
      <c r="A739" s="5" t="s">
        <v>2396</v>
      </c>
      <c r="B739" s="14" t="str">
        <f>VLOOKUP(TAB_SAIDA[[#This Row],[COD_2_SAIDA]],TAB_ESTOQUE[[Codigo]:[Descrição Tecnica]],6,FALSE)</f>
        <v>RESISTENCIA DO COLEIRO COM HASTE DE 300MM 220V 700W 42/16 110471N</v>
      </c>
      <c r="C739" s="14">
        <f>IFERROR(VLOOKUP(TAB_SAIDA[[#This Row],[COD_2_SAIDA]],TAB_ESTOQUE[[Codigo]:[Referência Tec]],7,FALSE),"")</f>
        <v>0</v>
      </c>
      <c r="D739" s="14" t="str">
        <f>VLOOKUP(TAB_SAIDA[[#This Row],[COD_2_SAIDA]],TAB_ESTOQUE[[Codigo]:[Endereço2]],12,FALSE)</f>
        <v>A2402</v>
      </c>
      <c r="E739" s="81">
        <f>SUM(TAB_SAIDA[[#This Row],[20/05/2019]:[00/00/00]])</f>
        <v>0</v>
      </c>
      <c r="F739" s="3"/>
    </row>
    <row r="740" spans="1:538" ht="15" hidden="1" customHeight="1" x14ac:dyDescent="0.25">
      <c r="A740" s="5" t="s">
        <v>2397</v>
      </c>
      <c r="B740" s="14" t="str">
        <f>VLOOKUP(TAB_SAIDA[[#This Row],[COD_2_SAIDA]],TAB_ESTOQUE[[Codigo]:[Descrição Tecnica]],6,FALSE)</f>
        <v>RESISTENCIA DO COLEIRO BACKEP MARA THON HR 37013T 240W 150W</v>
      </c>
      <c r="C740" s="14">
        <f>IFERROR(VLOOKUP(TAB_SAIDA[[#This Row],[COD_2_SAIDA]],TAB_ESTOQUE[[Codigo]:[Referência Tec]],7,FALSE),"")</f>
        <v>0</v>
      </c>
      <c r="D740" s="14" t="str">
        <f>VLOOKUP(TAB_SAIDA[[#This Row],[COD_2_SAIDA]],TAB_ESTOQUE[[Codigo]:[Endereço2]],12,FALSE)</f>
        <v>A2402</v>
      </c>
      <c r="E740" s="81">
        <f>SUM(TAB_SAIDA[[#This Row],[20/05/2019]:[00/00/00]])</f>
        <v>0</v>
      </c>
      <c r="F740" s="3"/>
    </row>
    <row r="741" spans="1:538" ht="15" hidden="1" customHeight="1" x14ac:dyDescent="0.25">
      <c r="A741" s="5" t="s">
        <v>2398</v>
      </c>
      <c r="B741" s="14" t="str">
        <f>VLOOKUP(TAB_SAIDA[[#This Row],[COD_2_SAIDA]],TAB_ESTOQUE[[Codigo]:[Descrição Tecnica]],6,FALSE)</f>
        <v>SENSOR DE TEMPERATURA PT-100 2 FIOS C/ CABO BRANCO</v>
      </c>
      <c r="C741" s="14">
        <f>IFERROR(VLOOKUP(TAB_SAIDA[[#This Row],[COD_2_SAIDA]],TAB_ESTOQUE[[Codigo]:[Referência Tec]],7,FALSE),"")</f>
        <v>0</v>
      </c>
      <c r="D741" s="14" t="str">
        <f>VLOOKUP(TAB_SAIDA[[#This Row],[COD_2_SAIDA]],TAB_ESTOQUE[[Codigo]:[Endereço2]],12,FALSE)</f>
        <v>A2402</v>
      </c>
      <c r="E741" s="81">
        <f>SUM(TAB_SAIDA[[#This Row],[20/05/2019]:[00/00/00]])</f>
        <v>0</v>
      </c>
      <c r="F741" s="3"/>
    </row>
    <row r="742" spans="1:538" ht="15" customHeight="1" x14ac:dyDescent="0.25">
      <c r="A742" s="5" t="s">
        <v>2399</v>
      </c>
      <c r="B742" s="14" t="str">
        <f>VLOOKUP(TAB_SAIDA[[#This Row],[COD_2_SAIDA]],TAB_ESTOQUE[[Codigo]:[Descrição Tecnica]],6,FALSE)</f>
        <v>PISTOLA DE COLA DO ROBO DEVIBILLS HVLP AUTO 1,0MM AG362-TE40-10-L</v>
      </c>
      <c r="C742" s="14">
        <f>IFERROR(VLOOKUP(TAB_SAIDA[[#This Row],[COD_2_SAIDA]],TAB_ESTOQUE[[Codigo]:[Referência Tec]],7,FALSE),"")</f>
        <v>0</v>
      </c>
      <c r="D742" s="14" t="str">
        <f>VLOOKUP(TAB_SAIDA[[#This Row],[COD_2_SAIDA]],TAB_ESTOQUE[[Codigo]:[Endereço2]],12,FALSE)</f>
        <v>E2303</v>
      </c>
      <c r="E742" s="81">
        <f>SUM(TAB_SAIDA[[#This Row],[20/05/2019]:[00/00/00]])</f>
        <v>0</v>
      </c>
      <c r="F742" s="3"/>
    </row>
    <row r="743" spans="1:538" ht="15" customHeight="1" x14ac:dyDescent="0.25">
      <c r="A743" s="5" t="s">
        <v>2400</v>
      </c>
      <c r="B743" s="14" t="str">
        <f>VLOOKUP(TAB_SAIDA[[#This Row],[COD_2_SAIDA]],TAB_ESTOQUE[[Codigo]:[Descrição Tecnica]],6,FALSE)</f>
        <v xml:space="preserve">PISTOLA MAKMELT MODELO:020002N </v>
      </c>
      <c r="C743" s="14">
        <f>IFERROR(VLOOKUP(TAB_SAIDA[[#This Row],[COD_2_SAIDA]],TAB_ESTOQUE[[Codigo]:[Referência Tec]],7,FALSE),"")</f>
        <v>0</v>
      </c>
      <c r="D743" s="14" t="str">
        <f>VLOOKUP(TAB_SAIDA[[#This Row],[COD_2_SAIDA]],TAB_ESTOQUE[[Codigo]:[Endereço2]],12,FALSE)</f>
        <v>A1102</v>
      </c>
      <c r="E743" s="81">
        <f>SUM(TAB_SAIDA[[#This Row],[20/05/2019]:[00/00/00]])</f>
        <v>1</v>
      </c>
      <c r="F743" s="3"/>
      <c r="TR743" s="3">
        <v>1</v>
      </c>
    </row>
    <row r="744" spans="1:538" ht="15" hidden="1" customHeight="1" x14ac:dyDescent="0.25">
      <c r="A744" s="5" t="s">
        <v>2401</v>
      </c>
      <c r="B744" s="14" t="str">
        <f>VLOOKUP(TAB_SAIDA[[#This Row],[COD_2_SAIDA]],TAB_ESTOQUE[[Codigo]:[Descrição Tecnica]],6,FALSE)</f>
        <v>VALVULA HIDRAULICA REXROTH REF: ZDR 6 DP2-43/210YM</v>
      </c>
      <c r="C744" s="14">
        <f>IFERROR(VLOOKUP(TAB_SAIDA[[#This Row],[COD_2_SAIDA]],TAB_ESTOQUE[[Codigo]:[Referência Tec]],7,FALSE),"")</f>
        <v>0</v>
      </c>
      <c r="D744" s="14" t="str">
        <f>VLOOKUP(TAB_SAIDA[[#This Row],[COD_2_SAIDA]],TAB_ESTOQUE[[Codigo]:[Endereço2]],12,FALSE)</f>
        <v>C2104</v>
      </c>
      <c r="E744" s="81">
        <f>SUM(TAB_SAIDA[[#This Row],[20/05/2019]:[00/00/00]])</f>
        <v>0</v>
      </c>
      <c r="F744" s="3"/>
    </row>
    <row r="745" spans="1:538" ht="15" hidden="1" customHeight="1" x14ac:dyDescent="0.25">
      <c r="A745" s="5" t="s">
        <v>2402</v>
      </c>
      <c r="B745" s="14" t="str">
        <f>VLOOKUP(TAB_SAIDA[[#This Row],[COD_2_SAIDA]],TAB_ESTOQUE[[Codigo]:[Descrição Tecnica]],6,FALSE)</f>
        <v>VALVULA DE SEGURANÇA PARA AGUA 3/4"</v>
      </c>
      <c r="C745" s="14">
        <f>IFERROR(VLOOKUP(TAB_SAIDA[[#This Row],[COD_2_SAIDA]],TAB_ESTOQUE[[Codigo]:[Referência Tec]],7,FALSE),"")</f>
        <v>0</v>
      </c>
      <c r="D745" s="14" t="str">
        <f>VLOOKUP(TAB_SAIDA[[#This Row],[COD_2_SAIDA]],TAB_ESTOQUE[[Codigo]:[Endereço2]],12,FALSE)</f>
        <v>E1402</v>
      </c>
      <c r="E745" s="81">
        <f>SUM(TAB_SAIDA[[#This Row],[20/05/2019]:[00/00/00]])</f>
        <v>0</v>
      </c>
      <c r="F745" s="3"/>
    </row>
    <row r="746" spans="1:538" ht="15" hidden="1" customHeight="1" x14ac:dyDescent="0.25">
      <c r="A746" s="5" t="s">
        <v>2403</v>
      </c>
      <c r="B746" s="14" t="str">
        <f>VLOOKUP(TAB_SAIDA[[#This Row],[COD_2_SAIDA]],TAB_ESTOQUE[[Codigo]:[Descrição Tecnica]],6,FALSE)</f>
        <v>LUBRIPLATE FML-2</v>
      </c>
      <c r="C746" s="14">
        <f>IFERROR(VLOOKUP(TAB_SAIDA[[#This Row],[COD_2_SAIDA]],TAB_ESTOQUE[[Codigo]:[Referência Tec]],7,FALSE),"")</f>
        <v>0</v>
      </c>
      <c r="D746" s="14" t="str">
        <f>VLOOKUP(TAB_SAIDA[[#This Row],[COD_2_SAIDA]],TAB_ESTOQUE[[Codigo]:[Endereço2]],12,FALSE)</f>
        <v>ARMARIO</v>
      </c>
      <c r="E746" s="81">
        <f>SUM(TAB_SAIDA[[#This Row],[20/05/2019]:[00/00/00]])</f>
        <v>0</v>
      </c>
      <c r="F746" s="3"/>
    </row>
    <row r="747" spans="1:538" ht="15" hidden="1" customHeight="1" x14ac:dyDescent="0.25">
      <c r="A747" s="5" t="s">
        <v>2404</v>
      </c>
      <c r="B747" s="14" t="str">
        <f>VLOOKUP(TAB_SAIDA[[#This Row],[COD_2_SAIDA]],TAB_ESTOQUE[[Codigo]:[Descrição Tecnica]],6,FALSE)</f>
        <v>PURE GOOP</v>
      </c>
      <c r="C747" s="14">
        <f>IFERROR(VLOOKUP(TAB_SAIDA[[#This Row],[COD_2_SAIDA]],TAB_ESTOQUE[[Codigo]:[Referência Tec]],7,FALSE),"")</f>
        <v>0</v>
      </c>
      <c r="D747" s="14" t="str">
        <f>VLOOKUP(TAB_SAIDA[[#This Row],[COD_2_SAIDA]],TAB_ESTOQUE[[Codigo]:[Endereço2]],12,FALSE)</f>
        <v>ARMARIO</v>
      </c>
      <c r="E747" s="81">
        <f>SUM(TAB_SAIDA[[#This Row],[20/05/2019]:[00/00/00]])</f>
        <v>0</v>
      </c>
      <c r="F747" s="3"/>
    </row>
    <row r="748" spans="1:538" ht="15" hidden="1" customHeight="1" x14ac:dyDescent="0.25">
      <c r="A748" s="5" t="s">
        <v>2405</v>
      </c>
      <c r="B748" s="14" t="str">
        <f>VLOOKUP(TAB_SAIDA[[#This Row],[COD_2_SAIDA]],TAB_ESTOQUE[[Codigo]:[Descrição Tecnica]],6,FALSE)</f>
        <v>BEXIGA PARA ACUMULADOR DE PRESSÃO BLADDER NXQ-A-6.3/31.5-L-Y</v>
      </c>
      <c r="C748" s="14">
        <f>IFERROR(VLOOKUP(TAB_SAIDA[[#This Row],[COD_2_SAIDA]],TAB_ESTOQUE[[Codigo]:[Referência Tec]],7,FALSE),"")</f>
        <v>0</v>
      </c>
      <c r="D748" s="14" t="str">
        <f>VLOOKUP(TAB_SAIDA[[#This Row],[COD_2_SAIDA]],TAB_ESTOQUE[[Codigo]:[Endereço2]],12,FALSE)</f>
        <v>C2201</v>
      </c>
      <c r="E748" s="81">
        <f>SUM(TAB_SAIDA[[#This Row],[20/05/2019]:[00/00/00]])</f>
        <v>0</v>
      </c>
      <c r="F748" s="3"/>
    </row>
    <row r="749" spans="1:538" ht="15" hidden="1" customHeight="1" x14ac:dyDescent="0.25">
      <c r="A749" s="5" t="s">
        <v>2406</v>
      </c>
      <c r="B749" s="14" t="str">
        <f>VLOOKUP(TAB_SAIDA[[#This Row],[COD_2_SAIDA]],TAB_ESTOQUE[[Codigo]:[Descrição Tecnica]],6,FALSE)</f>
        <v>ACOPLAMENTO EA 148</v>
      </c>
      <c r="C749" s="14">
        <f>IFERROR(VLOOKUP(TAB_SAIDA[[#This Row],[COD_2_SAIDA]],TAB_ESTOQUE[[Codigo]:[Referência Tec]],7,FALSE),"")</f>
        <v>0</v>
      </c>
      <c r="D749" s="14" t="str">
        <f>VLOOKUP(TAB_SAIDA[[#This Row],[COD_2_SAIDA]],TAB_ESTOQUE[[Codigo]:[Endereço2]],12,FALSE)</f>
        <v>E2204</v>
      </c>
      <c r="E749" s="81">
        <f>SUM(TAB_SAIDA[[#This Row],[20/05/2019]:[00/00/00]])</f>
        <v>0</v>
      </c>
      <c r="F749" s="3"/>
    </row>
    <row r="750" spans="1:538" ht="15" hidden="1" customHeight="1" x14ac:dyDescent="0.25">
      <c r="A750" s="5" t="s">
        <v>2407</v>
      </c>
      <c r="B750" s="14" t="str">
        <f>VLOOKUP(TAB_SAIDA[[#This Row],[COD_2_SAIDA]],TAB_ESTOQUE[[Codigo]:[Descrição Tecnica]],6,FALSE)</f>
        <v>ACOPLAMENTO REXROTH 38</v>
      </c>
      <c r="C750" s="14">
        <f>IFERROR(VLOOKUP(TAB_SAIDA[[#This Row],[COD_2_SAIDA]],TAB_ESTOQUE[[Codigo]:[Referência Tec]],7,FALSE),"")</f>
        <v>0</v>
      </c>
      <c r="D750" s="14" t="str">
        <f>VLOOKUP(TAB_SAIDA[[#This Row],[COD_2_SAIDA]],TAB_ESTOQUE[[Codigo]:[Endereço2]],12,FALSE)</f>
        <v>E2204</v>
      </c>
      <c r="E750" s="81">
        <f>SUM(TAB_SAIDA[[#This Row],[20/05/2019]:[00/00/00]])</f>
        <v>0</v>
      </c>
      <c r="F750" s="3"/>
    </row>
    <row r="751" spans="1:538" ht="15" hidden="1" customHeight="1" x14ac:dyDescent="0.25">
      <c r="A751" s="5" t="s">
        <v>2408</v>
      </c>
      <c r="B751" s="14" t="str">
        <f>VLOOKUP(TAB_SAIDA[[#This Row],[COD_2_SAIDA]],TAB_ESTOQUE[[Codigo]:[Descrição Tecnica]],6,FALSE)</f>
        <v>ACOPLAMENTO 67</v>
      </c>
      <c r="C751" s="14">
        <f>IFERROR(VLOOKUP(TAB_SAIDA[[#This Row],[COD_2_SAIDA]],TAB_ESTOQUE[[Codigo]:[Referência Tec]],7,FALSE),"")</f>
        <v>0</v>
      </c>
      <c r="D751" s="14" t="str">
        <f>VLOOKUP(TAB_SAIDA[[#This Row],[COD_2_SAIDA]],TAB_ESTOQUE[[Codigo]:[Endereço2]],12,FALSE)</f>
        <v>E2204</v>
      </c>
      <c r="E751" s="81">
        <f>SUM(TAB_SAIDA[[#This Row],[20/05/2019]:[00/00/00]])</f>
        <v>0</v>
      </c>
      <c r="F751" s="3"/>
    </row>
    <row r="752" spans="1:538" ht="15" hidden="1" customHeight="1" x14ac:dyDescent="0.25">
      <c r="A752" s="5" t="s">
        <v>2409</v>
      </c>
      <c r="B752" s="14" t="str">
        <f>VLOOKUP(TAB_SAIDA[[#This Row],[COD_2_SAIDA]],TAB_ESTOQUE[[Codigo]:[Descrição Tecnica]],6,FALSE)</f>
        <v>VALVULA DIAFRAGMA 3/8" CO BOBINA 24V DC</v>
      </c>
      <c r="C752" s="14">
        <f>IFERROR(VLOOKUP(TAB_SAIDA[[#This Row],[COD_2_SAIDA]],TAB_ESTOQUE[[Codigo]:[Referência Tec]],7,FALSE),"")</f>
        <v>0</v>
      </c>
      <c r="D752" s="14" t="str">
        <f>VLOOKUP(TAB_SAIDA[[#This Row],[COD_2_SAIDA]],TAB_ESTOQUE[[Codigo]:[Endereço2]],12,FALSE)</f>
        <v>C1203</v>
      </c>
      <c r="E752" s="81">
        <f>SUM(TAB_SAIDA[[#This Row],[20/05/2019]:[00/00/00]])</f>
        <v>0</v>
      </c>
      <c r="F752" s="3"/>
    </row>
    <row r="753" spans="1:6" ht="15" hidden="1" customHeight="1" x14ac:dyDescent="0.25">
      <c r="A753" s="5" t="s">
        <v>2410</v>
      </c>
      <c r="B753" s="14" t="str">
        <f>VLOOKUP(TAB_SAIDA[[#This Row],[COD_2_SAIDA]],TAB_ESTOQUE[[Codigo]:[Descrição Tecnica]],6,FALSE)</f>
        <v>CAIXA DE DERIVAÇÃO ( PASSAGEM )  DUAS SAIDAS ZAG3 SKRINKA HLINIKOVA 98X</v>
      </c>
      <c r="C753" s="14">
        <f>IFERROR(VLOOKUP(TAB_SAIDA[[#This Row],[COD_2_SAIDA]],TAB_ESTOQUE[[Codigo]:[Referência Tec]],7,FALSE),"")</f>
        <v>0</v>
      </c>
      <c r="D753" s="14" t="str">
        <f>VLOOKUP(TAB_SAIDA[[#This Row],[COD_2_SAIDA]],TAB_ESTOQUE[[Codigo]:[Endereço2]],12,FALSE)</f>
        <v>B1304</v>
      </c>
      <c r="E753" s="81">
        <f>SUM(TAB_SAIDA[[#This Row],[20/05/2019]:[00/00/00]])</f>
        <v>0</v>
      </c>
      <c r="F753" s="3"/>
    </row>
    <row r="754" spans="1:6" ht="15" hidden="1" customHeight="1" x14ac:dyDescent="0.25">
      <c r="A754" s="5" t="s">
        <v>2411</v>
      </c>
      <c r="B754" s="14" t="str">
        <f>VLOOKUP(TAB_SAIDA[[#This Row],[COD_2_SAIDA]],TAB_ESTOQUE[[Codigo]:[Descrição Tecnica]],6,FALSE)</f>
        <v>CAIXA DE DERIVAÇÃO ( PASSAGEM )  TRES SAIDAS ZAG4 SKRINKA HLINIKOVA 150X64X36</v>
      </c>
      <c r="C754" s="14">
        <f>IFERROR(VLOOKUP(TAB_SAIDA[[#This Row],[COD_2_SAIDA]],TAB_ESTOQUE[[Codigo]:[Referência Tec]],7,FALSE),"")</f>
        <v>0</v>
      </c>
      <c r="D754" s="14" t="str">
        <f>VLOOKUP(TAB_SAIDA[[#This Row],[COD_2_SAIDA]],TAB_ESTOQUE[[Codigo]:[Endereço2]],12,FALSE)</f>
        <v>B1304</v>
      </c>
      <c r="E754" s="81">
        <f>SUM(TAB_SAIDA[[#This Row],[20/05/2019]:[00/00/00]])</f>
        <v>0</v>
      </c>
      <c r="F754" s="3"/>
    </row>
    <row r="755" spans="1:6" ht="15" hidden="1" customHeight="1" x14ac:dyDescent="0.25">
      <c r="A755" s="5" t="s">
        <v>2412</v>
      </c>
      <c r="B755" s="14" t="str">
        <f>VLOOKUP(TAB_SAIDA[[#This Row],[COD_2_SAIDA]],TAB_ESTOQUE[[Codigo]:[Descrição Tecnica]],6,FALSE)</f>
        <v>MANGUEIRA 4MM VALCO MELTON TEFLON 988XX205</v>
      </c>
      <c r="C755" s="14">
        <f>IFERROR(VLOOKUP(TAB_SAIDA[[#This Row],[COD_2_SAIDA]],TAB_ESTOQUE[[Codigo]:[Referência Tec]],7,FALSE),"")</f>
        <v>0</v>
      </c>
      <c r="D755" s="14" t="str">
        <f>VLOOKUP(TAB_SAIDA[[#This Row],[COD_2_SAIDA]],TAB_ESTOQUE[[Codigo]:[Endereço2]],12,FALSE)</f>
        <v>E2302</v>
      </c>
      <c r="E755" s="81">
        <f>SUM(TAB_SAIDA[[#This Row],[20/05/2019]:[00/00/00]])</f>
        <v>0</v>
      </c>
      <c r="F755" s="3"/>
    </row>
    <row r="756" spans="1:6" ht="15" hidden="1" customHeight="1" x14ac:dyDescent="0.25">
      <c r="A756" s="5" t="s">
        <v>2413</v>
      </c>
      <c r="B756" s="14" t="str">
        <f>VLOOKUP(TAB_SAIDA[[#This Row],[COD_2_SAIDA]],TAB_ESTOQUE[[Codigo]:[Descrição Tecnica]],6,FALSE)</f>
        <v>BOMBA HIDRAULICA  ALTA PRESSAO PARKER PV080R1K1T1NHLC</v>
      </c>
      <c r="C756" s="14">
        <f>IFERROR(VLOOKUP(TAB_SAIDA[[#This Row],[COD_2_SAIDA]],TAB_ESTOQUE[[Codigo]:[Referência Tec]],7,FALSE),"")</f>
        <v>0</v>
      </c>
      <c r="D756" s="14" t="str">
        <f>VLOOKUP(TAB_SAIDA[[#This Row],[COD_2_SAIDA]],TAB_ESTOQUE[[Codigo]:[Endereço2]],12,FALSE)</f>
        <v>F1405</v>
      </c>
      <c r="E756" s="81">
        <f>SUM(TAB_SAIDA[[#This Row],[20/05/2019]:[00/00/00]])</f>
        <v>0</v>
      </c>
      <c r="F756" s="3"/>
    </row>
    <row r="757" spans="1:6" ht="15" hidden="1" customHeight="1" x14ac:dyDescent="0.25">
      <c r="A757" s="5" t="s">
        <v>2414</v>
      </c>
      <c r="B757" s="14" t="str">
        <f>VLOOKUP(TAB_SAIDA[[#This Row],[COD_2_SAIDA]],TAB_ESTOQUE[[Codigo]:[Descrição Tecnica]],6,FALSE)</f>
        <v>BOMBA HIDRAULICA  REXROTH R910983523/001 A10VS0100DFR1/31R</v>
      </c>
      <c r="C757" s="14">
        <f>IFERROR(VLOOKUP(TAB_SAIDA[[#This Row],[COD_2_SAIDA]],TAB_ESTOQUE[[Codigo]:[Referência Tec]],7,FALSE),"")</f>
        <v>0</v>
      </c>
      <c r="D757" s="14" t="str">
        <f>VLOOKUP(TAB_SAIDA[[#This Row],[COD_2_SAIDA]],TAB_ESTOQUE[[Codigo]:[Endereço2]],12,FALSE)</f>
        <v>E2306</v>
      </c>
      <c r="E757" s="81">
        <f>SUM(TAB_SAIDA[[#This Row],[20/05/2019]:[00/00/00]])</f>
        <v>0</v>
      </c>
      <c r="F757" s="3"/>
    </row>
    <row r="758" spans="1:6" ht="15" hidden="1" customHeight="1" x14ac:dyDescent="0.25">
      <c r="A758" s="5" t="s">
        <v>2415</v>
      </c>
      <c r="B758" s="14" t="str">
        <f>VLOOKUP(TAB_SAIDA[[#This Row],[COD_2_SAIDA]],TAB_ESTOQUE[[Codigo]:[Descrição Tecnica]],6,FALSE)</f>
        <v>ELEMENTO FILTRANTE PP 0.2 U D2 5X10</v>
      </c>
      <c r="C758" s="14">
        <f>IFERROR(VLOOKUP(TAB_SAIDA[[#This Row],[COD_2_SAIDA]],TAB_ESTOQUE[[Codigo]:[Referência Tec]],7,FALSE),"")</f>
        <v>0</v>
      </c>
      <c r="D758" s="14" t="str">
        <f>VLOOKUP(TAB_SAIDA[[#This Row],[COD_2_SAIDA]],TAB_ESTOQUE[[Codigo]:[Endereço2]],12,FALSE)</f>
        <v>C1402</v>
      </c>
      <c r="E758" s="81">
        <f>SUM(TAB_SAIDA[[#This Row],[20/05/2019]:[00/00/00]])</f>
        <v>0</v>
      </c>
      <c r="F758" s="3"/>
    </row>
    <row r="759" spans="1:6" ht="15" hidden="1" customHeight="1" x14ac:dyDescent="0.25">
      <c r="A759" s="5" t="s">
        <v>2416</v>
      </c>
      <c r="B759" s="14" t="str">
        <f>VLOOKUP(TAB_SAIDA[[#This Row],[COD_2_SAIDA]],TAB_ESTOQUE[[Codigo]:[Descrição Tecnica]],6,FALSE)</f>
        <v>VALVULA GLOBO  2"</v>
      </c>
      <c r="C759" s="14">
        <f>IFERROR(VLOOKUP(TAB_SAIDA[[#This Row],[COD_2_SAIDA]],TAB_ESTOQUE[[Codigo]:[Referência Tec]],7,FALSE),"")</f>
        <v>0</v>
      </c>
      <c r="D759" s="14" t="str">
        <f>VLOOKUP(TAB_SAIDA[[#This Row],[COD_2_SAIDA]],TAB_ESTOQUE[[Codigo]:[Endereço2]],12,FALSE)</f>
        <v>D2402</v>
      </c>
      <c r="E759" s="81">
        <f>SUM(TAB_SAIDA[[#This Row],[20/05/2019]:[00/00/00]])</f>
        <v>0</v>
      </c>
      <c r="F759" s="3"/>
    </row>
    <row r="760" spans="1:6" ht="15" hidden="1" customHeight="1" x14ac:dyDescent="0.25">
      <c r="A760" s="5" t="s">
        <v>2417</v>
      </c>
      <c r="B760" s="14" t="str">
        <f>VLOOKUP(TAB_SAIDA[[#This Row],[COD_2_SAIDA]],TAB_ESTOQUE[[Codigo]:[Descrição Tecnica]],6,FALSE)</f>
        <v>VALVULA PNEUMATICA 3/2 VIAS COM 2 BOBINA 24V</v>
      </c>
      <c r="C760" s="14">
        <f>IFERROR(VLOOKUP(TAB_SAIDA[[#This Row],[COD_2_SAIDA]],TAB_ESTOQUE[[Codigo]:[Referência Tec]],7,FALSE),"")</f>
        <v>0</v>
      </c>
      <c r="D760" s="14" t="str">
        <f>VLOOKUP(TAB_SAIDA[[#This Row],[COD_2_SAIDA]],TAB_ESTOQUE[[Codigo]:[Endereço2]],12,FALSE)</f>
        <v>C1103</v>
      </c>
      <c r="E760" s="81">
        <f>SUM(TAB_SAIDA[[#This Row],[20/05/2019]:[00/00/00]])</f>
        <v>0</v>
      </c>
      <c r="F760" s="3"/>
    </row>
    <row r="761" spans="1:6" ht="15" hidden="1" customHeight="1" x14ac:dyDescent="0.25">
      <c r="A761" s="5" t="s">
        <v>2418</v>
      </c>
      <c r="B761" s="14" t="str">
        <f>VLOOKUP(TAB_SAIDA[[#This Row],[COD_2_SAIDA]],TAB_ESTOQUE[[Codigo]:[Descrição Tecnica]],6,FALSE)</f>
        <v>VALVULA BLOQUEIO - REF. K140612</v>
      </c>
      <c r="C761" s="14">
        <f>IFERROR(VLOOKUP(TAB_SAIDA[[#This Row],[COD_2_SAIDA]],TAB_ESTOQUE[[Codigo]:[Referência Tec]],7,FALSE),"")</f>
        <v>0</v>
      </c>
      <c r="D761" s="14" t="str">
        <f>VLOOKUP(TAB_SAIDA[[#This Row],[COD_2_SAIDA]],TAB_ESTOQUE[[Codigo]:[Endereço2]],12,FALSE)</f>
        <v>E1402</v>
      </c>
      <c r="E761" s="81">
        <f>SUM(TAB_SAIDA[[#This Row],[20/05/2019]:[00/00/00]])</f>
        <v>0</v>
      </c>
      <c r="F761" s="3"/>
    </row>
    <row r="762" spans="1:6" ht="15" hidden="1" customHeight="1" x14ac:dyDescent="0.25">
      <c r="A762" s="5" t="s">
        <v>2419</v>
      </c>
      <c r="B762" s="14" t="str">
        <f>VLOOKUP(TAB_SAIDA[[#This Row],[COD_2_SAIDA]],TAB_ESTOQUE[[Codigo]:[Descrição Tecnica]],6,FALSE)</f>
        <v>VALVULA REGULADORA DE FLUXO 1/2"</v>
      </c>
      <c r="C762" s="14">
        <f>IFERROR(VLOOKUP(TAB_SAIDA[[#This Row],[COD_2_SAIDA]],TAB_ESTOQUE[[Codigo]:[Referência Tec]],7,FALSE),"")</f>
        <v>0</v>
      </c>
      <c r="D762" s="14" t="str">
        <f>VLOOKUP(TAB_SAIDA[[#This Row],[COD_2_SAIDA]],TAB_ESTOQUE[[Codigo]:[Endereço2]],12,FALSE)</f>
        <v>E1402</v>
      </c>
      <c r="E762" s="81">
        <f>SUM(TAB_SAIDA[[#This Row],[20/05/2019]:[00/00/00]])</f>
        <v>0</v>
      </c>
      <c r="F762" s="3"/>
    </row>
    <row r="763" spans="1:6" ht="15" hidden="1" customHeight="1" x14ac:dyDescent="0.25">
      <c r="A763" s="5" t="s">
        <v>2420</v>
      </c>
      <c r="B763" s="14" t="str">
        <f>VLOOKUP(TAB_SAIDA[[#This Row],[COD_2_SAIDA]],TAB_ESTOQUE[[Codigo]:[Descrição Tecnica]],6,FALSE)</f>
        <v>VALVULA FLUXO YF08</v>
      </c>
      <c r="C763" s="14">
        <f>IFERROR(VLOOKUP(TAB_SAIDA[[#This Row],[COD_2_SAIDA]],TAB_ESTOQUE[[Codigo]:[Referência Tec]],7,FALSE),"")</f>
        <v>0</v>
      </c>
      <c r="D763" s="14" t="str">
        <f>VLOOKUP(TAB_SAIDA[[#This Row],[COD_2_SAIDA]],TAB_ESTOQUE[[Codigo]:[Endereço2]],12,FALSE)</f>
        <v>E1402</v>
      </c>
      <c r="E763" s="81">
        <f>SUM(TAB_SAIDA[[#This Row],[20/05/2019]:[00/00/00]])</f>
        <v>0</v>
      </c>
      <c r="F763" s="3"/>
    </row>
    <row r="764" spans="1:6" ht="15" hidden="1" customHeight="1" x14ac:dyDescent="0.25">
      <c r="A764" s="5" t="s">
        <v>2421</v>
      </c>
      <c r="B764" s="14" t="str">
        <f>VLOOKUP(TAB_SAIDA[[#This Row],[COD_2_SAIDA]],TAB_ESTOQUE[[Codigo]:[Descrição Tecnica]],6,FALSE)</f>
        <v>VALVULA FLUXO YF06</v>
      </c>
      <c r="C764" s="14">
        <f>IFERROR(VLOOKUP(TAB_SAIDA[[#This Row],[COD_2_SAIDA]],TAB_ESTOQUE[[Codigo]:[Referência Tec]],7,FALSE),"")</f>
        <v>0</v>
      </c>
      <c r="D764" s="14" t="str">
        <f>VLOOKUP(TAB_SAIDA[[#This Row],[COD_2_SAIDA]],TAB_ESTOQUE[[Codigo]:[Endereço2]],12,FALSE)</f>
        <v>E1402</v>
      </c>
      <c r="E764" s="81">
        <f>SUM(TAB_SAIDA[[#This Row],[20/05/2019]:[00/00/00]])</f>
        <v>0</v>
      </c>
      <c r="F764" s="3"/>
    </row>
    <row r="765" spans="1:6" ht="15" hidden="1" customHeight="1" x14ac:dyDescent="0.25">
      <c r="A765" s="5" t="s">
        <v>2422</v>
      </c>
      <c r="B765" s="14" t="str">
        <f>VLOOKUP(TAB_SAIDA[[#This Row],[COD_2_SAIDA]],TAB_ESTOQUE[[Codigo]:[Descrição Tecnica]],6,FALSE)</f>
        <v>KIT REPARO GRACO 241657</v>
      </c>
      <c r="C765" s="14">
        <f>IFERROR(VLOOKUP(TAB_SAIDA[[#This Row],[COD_2_SAIDA]],TAB_ESTOQUE[[Codigo]:[Referência Tec]],7,FALSE),"")</f>
        <v>0</v>
      </c>
      <c r="D765" s="14" t="str">
        <f>VLOOKUP(TAB_SAIDA[[#This Row],[COD_2_SAIDA]],TAB_ESTOQUE[[Codigo]:[Endereço2]],12,FALSE)</f>
        <v>E1302</v>
      </c>
      <c r="E765" s="81">
        <f>SUM(TAB_SAIDA[[#This Row],[20/05/2019]:[00/00/00]])</f>
        <v>0</v>
      </c>
      <c r="F765" s="3"/>
    </row>
    <row r="766" spans="1:6" ht="15" hidden="1" customHeight="1" x14ac:dyDescent="0.25">
      <c r="A766" s="5" t="s">
        <v>2423</v>
      </c>
      <c r="B766" s="14" t="str">
        <f>VLOOKUP(TAB_SAIDA[[#This Row],[COD_2_SAIDA]],TAB_ESTOQUE[[Codigo]:[Descrição Tecnica]],6,FALSE)</f>
        <v>TERMOMETRO 200°C COM ROSCA DE 3/4" HASTE DE 50MM</v>
      </c>
      <c r="C766" s="14">
        <f>IFERROR(VLOOKUP(TAB_SAIDA[[#This Row],[COD_2_SAIDA]],TAB_ESTOQUE[[Codigo]:[Referência Tec]],7,FALSE),"")</f>
        <v>0</v>
      </c>
      <c r="D766" s="14" t="str">
        <f>VLOOKUP(TAB_SAIDA[[#This Row],[COD_2_SAIDA]],TAB_ESTOQUE[[Codigo]:[Endereço2]],12,FALSE)</f>
        <v>E2404</v>
      </c>
      <c r="E766" s="81">
        <f>SUM(TAB_SAIDA[[#This Row],[20/05/2019]:[00/00/00]])</f>
        <v>0</v>
      </c>
      <c r="F766" s="3"/>
    </row>
    <row r="767" spans="1:6" ht="15" hidden="1" customHeight="1" x14ac:dyDescent="0.25">
      <c r="A767" s="5" t="s">
        <v>2424</v>
      </c>
      <c r="B767" s="14" t="str">
        <f>VLOOKUP(TAB_SAIDA[[#This Row],[COD_2_SAIDA]],TAB_ESTOQUE[[Codigo]:[Descrição Tecnica]],6,FALSE)</f>
        <v>TERMOMETRO 100°C COM ROSCA DE 3/4" HASTE DE 70MM</v>
      </c>
      <c r="C767" s="14">
        <f>IFERROR(VLOOKUP(TAB_SAIDA[[#This Row],[COD_2_SAIDA]],TAB_ESTOQUE[[Codigo]:[Referência Tec]],7,FALSE),"")</f>
        <v>0</v>
      </c>
      <c r="D767" s="14" t="str">
        <f>VLOOKUP(TAB_SAIDA[[#This Row],[COD_2_SAIDA]],TAB_ESTOQUE[[Codigo]:[Endereço2]],12,FALSE)</f>
        <v>E2404</v>
      </c>
      <c r="E767" s="81">
        <f>SUM(TAB_SAIDA[[#This Row],[20/05/2019]:[00/00/00]])</f>
        <v>0</v>
      </c>
      <c r="F767" s="3"/>
    </row>
    <row r="768" spans="1:6" ht="15" hidden="1" customHeight="1" x14ac:dyDescent="0.25">
      <c r="A768" s="5" t="s">
        <v>2425</v>
      </c>
      <c r="B768" s="14" t="str">
        <f>VLOOKUP(TAB_SAIDA[[#This Row],[COD_2_SAIDA]],TAB_ESTOQUE[[Codigo]:[Descrição Tecnica]],6,FALSE)</f>
        <v>MANOMETRO COM ROSCA 1/8" VERTICAL 160PSI 11BAR</v>
      </c>
      <c r="C768" s="14">
        <f>IFERROR(VLOOKUP(TAB_SAIDA[[#This Row],[COD_2_SAIDA]],TAB_ESTOQUE[[Codigo]:[Referência Tec]],7,FALSE),"")</f>
        <v>0</v>
      </c>
      <c r="D768" s="14" t="str">
        <f>VLOOKUP(TAB_SAIDA[[#This Row],[COD_2_SAIDA]],TAB_ESTOQUE[[Codigo]:[Endereço2]],12,FALSE)</f>
        <v>E2404</v>
      </c>
      <c r="E768" s="81">
        <f>SUM(TAB_SAIDA[[#This Row],[20/05/2019]:[00/00/00]])</f>
        <v>0</v>
      </c>
      <c r="F768" s="3"/>
    </row>
    <row r="769" spans="1:626" ht="15" hidden="1" customHeight="1" x14ac:dyDescent="0.25">
      <c r="A769" s="5" t="s">
        <v>2426</v>
      </c>
      <c r="B769" s="14" t="str">
        <f>VLOOKUP(TAB_SAIDA[[#This Row],[COD_2_SAIDA]],TAB_ESTOQUE[[Codigo]:[Descrição Tecnica]],6,FALSE)</f>
        <v>VACUOSTATO SMC PRESSURE ZSE30A-01-P 12-24VDC 40MA MAX 0--10LKPA</v>
      </c>
      <c r="C769" s="14">
        <f>IFERROR(VLOOKUP(TAB_SAIDA[[#This Row],[COD_2_SAIDA]],TAB_ESTOQUE[[Codigo]:[Referência Tec]],7,FALSE),"")</f>
        <v>0</v>
      </c>
      <c r="D769" s="14" t="str">
        <f>VLOOKUP(TAB_SAIDA[[#This Row],[COD_2_SAIDA]],TAB_ESTOQUE[[Codigo]:[Endereço2]],12,FALSE)</f>
        <v>A2103</v>
      </c>
      <c r="E769" s="81">
        <f>SUM(TAB_SAIDA[[#This Row],[20/05/2019]:[00/00/00]])</f>
        <v>1</v>
      </c>
      <c r="F769" s="3"/>
      <c r="UW769" s="3">
        <v>1</v>
      </c>
    </row>
    <row r="770" spans="1:626" ht="15" hidden="1" customHeight="1" x14ac:dyDescent="0.25">
      <c r="A770" s="5" t="s">
        <v>2427</v>
      </c>
      <c r="B770" s="14" t="str">
        <f>VLOOKUP(TAB_SAIDA[[#This Row],[COD_2_SAIDA]],TAB_ESTOQUE[[Codigo]:[Descrição Tecnica]],6,FALSE)</f>
        <v>ABRAÇADEIRA PARA TUBO 8MM</v>
      </c>
      <c r="C770" s="14">
        <f>IFERROR(VLOOKUP(TAB_SAIDA[[#This Row],[COD_2_SAIDA]],TAB_ESTOQUE[[Codigo]:[Referência Tec]],7,FALSE),"")</f>
        <v>0</v>
      </c>
      <c r="D770" s="14" t="str">
        <f>VLOOKUP(TAB_SAIDA[[#This Row],[COD_2_SAIDA]],TAB_ESTOQUE[[Codigo]:[Endereço2]],12,FALSE)</f>
        <v>F1303</v>
      </c>
      <c r="E770" s="81">
        <f>SUM(TAB_SAIDA[[#This Row],[20/05/2019]:[00/00/00]])</f>
        <v>0</v>
      </c>
      <c r="F770" s="3"/>
    </row>
    <row r="771" spans="1:626" ht="15" hidden="1" customHeight="1" x14ac:dyDescent="0.25">
      <c r="A771" s="5" t="s">
        <v>2428</v>
      </c>
      <c r="B771" s="14" t="str">
        <f>VLOOKUP(TAB_SAIDA[[#This Row],[COD_2_SAIDA]],TAB_ESTOQUE[[Codigo]:[Descrição Tecnica]],6,FALSE)</f>
        <v>BLOCO DENISON C1C08 18 A1 A12 POO TOO 526 59804 0 0113776</v>
      </c>
      <c r="C771" s="14">
        <f>IFERROR(VLOOKUP(TAB_SAIDA[[#This Row],[COD_2_SAIDA]],TAB_ESTOQUE[[Codigo]:[Referência Tec]],7,FALSE),"")</f>
        <v>0</v>
      </c>
      <c r="D771" s="14" t="str">
        <f>VLOOKUP(TAB_SAIDA[[#This Row],[COD_2_SAIDA]],TAB_ESTOQUE[[Codigo]:[Endereço2]],12,FALSE)</f>
        <v>C2204</v>
      </c>
      <c r="E771" s="81">
        <f>SUM(TAB_SAIDA[[#This Row],[20/05/2019]:[00/00/00]])</f>
        <v>0</v>
      </c>
      <c r="F771" s="3"/>
    </row>
    <row r="772" spans="1:626" ht="15" hidden="1" customHeight="1" x14ac:dyDescent="0.25">
      <c r="A772" s="5" t="s">
        <v>2429</v>
      </c>
      <c r="B772" s="14" t="str">
        <f>VLOOKUP(TAB_SAIDA[[#This Row],[COD_2_SAIDA]],TAB_ESTOQUE[[Codigo]:[Descrição Tecnica]],6,FALSE)</f>
        <v>FITA VEDA ROSCA 18mm X 25m</v>
      </c>
      <c r="C772" s="14">
        <f>IFERROR(VLOOKUP(TAB_SAIDA[[#This Row],[COD_2_SAIDA]],TAB_ESTOQUE[[Codigo]:[Referência Tec]],7,FALSE),"")</f>
        <v>0</v>
      </c>
      <c r="D772" s="14" t="str">
        <f>VLOOKUP(TAB_SAIDA[[#This Row],[COD_2_SAIDA]],TAB_ESTOQUE[[Codigo]:[Endereço2]],12,FALSE)</f>
        <v>ARMARIO</v>
      </c>
      <c r="E772" s="81">
        <f>SUM(TAB_SAIDA[[#This Row],[20/05/2019]:[00/00/00]])</f>
        <v>52</v>
      </c>
      <c r="F772" s="3"/>
      <c r="SH772" s="3">
        <v>3</v>
      </c>
      <c r="SR772" s="3">
        <v>1</v>
      </c>
      <c r="TS772" s="3">
        <v>10</v>
      </c>
      <c r="UT772" s="3">
        <v>8</v>
      </c>
      <c r="UY772" s="3">
        <v>1</v>
      </c>
      <c r="VA772" s="3">
        <v>4</v>
      </c>
      <c r="VC772" s="3">
        <v>2</v>
      </c>
      <c r="VE772" s="3">
        <v>1</v>
      </c>
      <c r="VG772" s="3">
        <v>5</v>
      </c>
      <c r="VI772" s="3">
        <v>1</v>
      </c>
      <c r="VM772" s="3">
        <v>4</v>
      </c>
      <c r="VR772" s="3">
        <v>2</v>
      </c>
      <c r="WI772" s="3">
        <v>1</v>
      </c>
      <c r="WJ772" s="3">
        <v>6</v>
      </c>
      <c r="WM772" s="3">
        <v>1</v>
      </c>
      <c r="WO772" s="3">
        <v>2</v>
      </c>
    </row>
    <row r="773" spans="1:626" ht="15" hidden="1" customHeight="1" x14ac:dyDescent="0.25">
      <c r="A773" s="5" t="s">
        <v>2430</v>
      </c>
      <c r="B773" s="14" t="str">
        <f>VLOOKUP(TAB_SAIDA[[#This Row],[COD_2_SAIDA]],TAB_ESTOQUE[[Codigo]:[Descrição Tecnica]],6,FALSE)</f>
        <v>MARCADOR INDUSTRIAL</v>
      </c>
      <c r="C773" s="14">
        <f>IFERROR(VLOOKUP(TAB_SAIDA[[#This Row],[COD_2_SAIDA]],TAB_ESTOQUE[[Codigo]:[Referência Tec]],7,FALSE),"")</f>
        <v>0</v>
      </c>
      <c r="D773" s="14" t="str">
        <f>VLOOKUP(TAB_SAIDA[[#This Row],[COD_2_SAIDA]],TAB_ESTOQUE[[Codigo]:[Endereço2]],12,FALSE)</f>
        <v>ARMARIO</v>
      </c>
      <c r="E773" s="81">
        <f>SUM(TAB_SAIDA[[#This Row],[20/05/2019]:[00/00/00]])</f>
        <v>0</v>
      </c>
      <c r="F773" s="3"/>
    </row>
    <row r="774" spans="1:626" ht="15" hidden="1" customHeight="1" x14ac:dyDescent="0.25">
      <c r="A774" s="5" t="s">
        <v>2431</v>
      </c>
      <c r="B774" s="14" t="str">
        <f>VLOOKUP(TAB_SAIDA[[#This Row],[COD_2_SAIDA]],TAB_ESTOQUE[[Codigo]:[Descrição Tecnica]],6,FALSE)</f>
        <v>TRAVA ROSCA LOCTITE 243 50G - MÉDIA RESISTÊNCIA - 1344482</v>
      </c>
      <c r="C774" s="14">
        <f>IFERROR(VLOOKUP(TAB_SAIDA[[#This Row],[COD_2_SAIDA]],TAB_ESTOQUE[[Codigo]:[Referência Tec]],7,FALSE),"")</f>
        <v>0</v>
      </c>
      <c r="D774" s="14" t="str">
        <f>VLOOKUP(TAB_SAIDA[[#This Row],[COD_2_SAIDA]],TAB_ESTOQUE[[Codigo]:[Endereço2]],12,FALSE)</f>
        <v>ARMARIO</v>
      </c>
      <c r="E774" s="81">
        <f>SUM(TAB_SAIDA[[#This Row],[20/05/2019]:[00/00/00]])</f>
        <v>0</v>
      </c>
      <c r="F774" s="3"/>
    </row>
    <row r="775" spans="1:626" ht="15" hidden="1" customHeight="1" x14ac:dyDescent="0.25">
      <c r="A775" s="5" t="s">
        <v>2432</v>
      </c>
      <c r="B775" s="14" t="str">
        <f>VLOOKUP(TAB_SAIDA[[#This Row],[COD_2_SAIDA]],TAB_ESTOQUE[[Codigo]:[Descrição Tecnica]],6,FALSE)</f>
        <v>COLA TERMICA TIGRE BISNAGA75g</v>
      </c>
      <c r="C775" s="14">
        <f>IFERROR(VLOOKUP(TAB_SAIDA[[#This Row],[COD_2_SAIDA]],TAB_ESTOQUE[[Codigo]:[Referência Tec]],7,FALSE),"")</f>
        <v>0</v>
      </c>
      <c r="D775" s="14" t="str">
        <f>VLOOKUP(TAB_SAIDA[[#This Row],[COD_2_SAIDA]],TAB_ESTOQUE[[Codigo]:[Endereço2]],12,FALSE)</f>
        <v>ARMARIO</v>
      </c>
      <c r="E775" s="81">
        <f>SUM(TAB_SAIDA[[#This Row],[20/05/2019]:[00/00/00]])</f>
        <v>0</v>
      </c>
      <c r="F775" s="3"/>
    </row>
    <row r="776" spans="1:626" ht="15" hidden="1" customHeight="1" x14ac:dyDescent="0.25">
      <c r="A776" s="5" t="s">
        <v>2433</v>
      </c>
      <c r="B776" s="14" t="str">
        <f>VLOOKUP(TAB_SAIDA[[#This Row],[COD_2_SAIDA]],TAB_ESTOQUE[[Codigo]:[Descrição Tecnica]],6,FALSE)</f>
        <v>VALVULA OW1-5132-0121C</v>
      </c>
      <c r="C776" s="14">
        <f>IFERROR(VLOOKUP(TAB_SAIDA[[#This Row],[COD_2_SAIDA]],TAB_ESTOQUE[[Codigo]:[Referência Tec]],7,FALSE),"")</f>
        <v>0</v>
      </c>
      <c r="D776" s="14" t="str">
        <f>VLOOKUP(TAB_SAIDA[[#This Row],[COD_2_SAIDA]],TAB_ESTOQUE[[Codigo]:[Endereço2]],12,FALSE)</f>
        <v>C1204</v>
      </c>
      <c r="E776" s="81">
        <f>SUM(TAB_SAIDA[[#This Row],[20/05/2019]:[00/00/00]])</f>
        <v>0</v>
      </c>
      <c r="F776" s="3"/>
    </row>
    <row r="777" spans="1:626" ht="15" hidden="1" customHeight="1" x14ac:dyDescent="0.25">
      <c r="A777" s="5" t="s">
        <v>2434</v>
      </c>
      <c r="B777" s="14" t="str">
        <f>VLOOKUP(TAB_SAIDA[[#This Row],[COD_2_SAIDA]],TAB_ESTOQUE[[Codigo]:[Descrição Tecnica]],6,FALSE)</f>
        <v>MANGUEIRA CAPILAR  1500MM</v>
      </c>
      <c r="C777" s="14">
        <f>IFERROR(VLOOKUP(TAB_SAIDA[[#This Row],[COD_2_SAIDA]],TAB_ESTOQUE[[Codigo]:[Referência Tec]],7,FALSE),"")</f>
        <v>0</v>
      </c>
      <c r="D777" s="14" t="str">
        <f>VLOOKUP(TAB_SAIDA[[#This Row],[COD_2_SAIDA]],TAB_ESTOQUE[[Codigo]:[Endereço2]],12,FALSE)</f>
        <v>E1406</v>
      </c>
      <c r="E777" s="81">
        <f>SUM(TAB_SAIDA[[#This Row],[20/05/2019]:[00/00/00]])</f>
        <v>0</v>
      </c>
      <c r="F777" s="3"/>
    </row>
    <row r="778" spans="1:626" ht="15" hidden="1" customHeight="1" x14ac:dyDescent="0.25">
      <c r="A778" s="5" t="s">
        <v>2435</v>
      </c>
      <c r="B778" s="14" t="str">
        <f>VLOOKUP(TAB_SAIDA[[#This Row],[COD_2_SAIDA]],TAB_ESTOQUE[[Codigo]:[Descrição Tecnica]],6,FALSE)</f>
        <v>BOMBA TRIPLA AZPFF-022-022-006-R-01-01-01-MB</v>
      </c>
      <c r="C778" s="14">
        <f>IFERROR(VLOOKUP(TAB_SAIDA[[#This Row],[COD_2_SAIDA]],TAB_ESTOQUE[[Codigo]:[Referência Tec]],7,FALSE),"")</f>
        <v>0</v>
      </c>
      <c r="D778" s="14" t="str">
        <f>VLOOKUP(TAB_SAIDA[[#This Row],[COD_2_SAIDA]],TAB_ESTOQUE[[Codigo]:[Endereço2]],12,FALSE)</f>
        <v>E2402</v>
      </c>
      <c r="E778" s="81">
        <f>SUM(TAB_SAIDA[[#This Row],[20/05/2019]:[00/00/00]])</f>
        <v>0</v>
      </c>
      <c r="F778" s="3"/>
    </row>
    <row r="779" spans="1:626" ht="15" hidden="1" customHeight="1" x14ac:dyDescent="0.25">
      <c r="A779" s="5" t="s">
        <v>2436</v>
      </c>
      <c r="B779" s="14" t="str">
        <f>VLOOKUP(TAB_SAIDA[[#This Row],[COD_2_SAIDA]],TAB_ESTOQUE[[Codigo]:[Descrição Tecnica]],6,FALSE)</f>
        <v>BOMBA DE PISTÃO 23CC - REF. JLB28MAORP2-S02  REXROTH</v>
      </c>
      <c r="C779" s="14">
        <f>IFERROR(VLOOKUP(TAB_SAIDA[[#This Row],[COD_2_SAIDA]],TAB_ESTOQUE[[Codigo]:[Referência Tec]],7,FALSE),"")</f>
        <v>0</v>
      </c>
      <c r="D779" s="14" t="str">
        <f>VLOOKUP(TAB_SAIDA[[#This Row],[COD_2_SAIDA]],TAB_ESTOQUE[[Codigo]:[Endereço2]],12,FALSE)</f>
        <v>G2106</v>
      </c>
      <c r="E779" s="81">
        <f>SUM(TAB_SAIDA[[#This Row],[20/05/2019]:[00/00/00]])</f>
        <v>0</v>
      </c>
      <c r="F779" s="3"/>
    </row>
    <row r="780" spans="1:626" ht="15" hidden="1" customHeight="1" x14ac:dyDescent="0.25">
      <c r="A780" s="5" t="s">
        <v>2437</v>
      </c>
      <c r="B780" s="14" t="str">
        <f>VLOOKUP(TAB_SAIDA[[#This Row],[COD_2_SAIDA]],TAB_ESTOQUE[[Codigo]:[Descrição Tecnica]],6,FALSE)</f>
        <v>BOMBA DE POLIOL</v>
      </c>
      <c r="C780" s="14">
        <f>IFERROR(VLOOKUP(TAB_SAIDA[[#This Row],[COD_2_SAIDA]],TAB_ESTOQUE[[Codigo]:[Referência Tec]],7,FALSE),"")</f>
        <v>0</v>
      </c>
      <c r="D780" s="14" t="str">
        <f>VLOOKUP(TAB_SAIDA[[#This Row],[COD_2_SAIDA]],TAB_ESTOQUE[[Codigo]:[Endereço2]],12,FALSE)</f>
        <v>E2106</v>
      </c>
      <c r="E780" s="81">
        <f>SUM(TAB_SAIDA[[#This Row],[20/05/2019]:[00/00/00]])</f>
        <v>1</v>
      </c>
      <c r="F780" s="3"/>
      <c r="RN780" s="3">
        <v>1</v>
      </c>
    </row>
    <row r="781" spans="1:626" ht="15" hidden="1" customHeight="1" x14ac:dyDescent="0.25">
      <c r="A781" s="5" t="s">
        <v>2438</v>
      </c>
      <c r="B781" s="14" t="str">
        <f>VLOOKUP(TAB_SAIDA[[#This Row],[COD_2_SAIDA]],TAB_ESTOQUE[[Codigo]:[Descrição Tecnica]],6,FALSE)</f>
        <v>LAMINA DE CONTATO M36 TIPO  A CHAPA 120X180X3,0MM</v>
      </c>
      <c r="C781" s="14">
        <f>IFERROR(VLOOKUP(TAB_SAIDA[[#This Row],[COD_2_SAIDA]],TAB_ESTOQUE[[Codigo]:[Referência Tec]],7,FALSE),"")</f>
        <v>0</v>
      </c>
      <c r="D781" s="14" t="str">
        <f>VLOOKUP(TAB_SAIDA[[#This Row],[COD_2_SAIDA]],TAB_ESTOQUE[[Codigo]:[Endereço2]],12,FALSE)</f>
        <v>A2106</v>
      </c>
      <c r="E781" s="81">
        <f>SUM(TAB_SAIDA[[#This Row],[20/05/2019]:[00/00/00]])</f>
        <v>2</v>
      </c>
      <c r="F781" s="3"/>
      <c r="XB781" s="3">
        <v>2</v>
      </c>
    </row>
    <row r="782" spans="1:626" ht="15" hidden="1" customHeight="1" x14ac:dyDescent="0.25">
      <c r="A782" s="5" t="s">
        <v>2439</v>
      </c>
      <c r="B782" s="14" t="str">
        <f>VLOOKUP(TAB_SAIDA[[#This Row],[COD_2_SAIDA]],TAB_ESTOQUE[[Codigo]:[Descrição Tecnica]],6,FALSE)</f>
        <v>PLACA TYP: SE67 AUFTRAGS NR: 440582-3</v>
      </c>
      <c r="C782" s="14">
        <f>IFERROR(VLOOKUP(TAB_SAIDA[[#This Row],[COD_2_SAIDA]],TAB_ESTOQUE[[Codigo]:[Referência Tec]],7,FALSE),"")</f>
        <v>0</v>
      </c>
      <c r="D782" s="14" t="str">
        <f>VLOOKUP(TAB_SAIDA[[#This Row],[COD_2_SAIDA]],TAB_ESTOQUE[[Codigo]:[Endereço2]],12,FALSE)</f>
        <v>A2106</v>
      </c>
      <c r="E782" s="81">
        <f>SUM(TAB_SAIDA[[#This Row],[20/05/2019]:[00/00/00]])</f>
        <v>0</v>
      </c>
      <c r="F782" s="3"/>
    </row>
    <row r="783" spans="1:626" ht="15" hidden="1" customHeight="1" x14ac:dyDescent="0.25">
      <c r="A783" s="5" t="s">
        <v>2440</v>
      </c>
      <c r="B783" s="14" t="str">
        <f>VLOOKUP(TAB_SAIDA[[#This Row],[COD_2_SAIDA]],TAB_ESTOQUE[[Codigo]:[Descrição Tecnica]],6,FALSE)</f>
        <v>LAMINA DE CONTATO M36 TIPO  B CHAPA 100X75X0,5mm</v>
      </c>
      <c r="C783" s="14">
        <f>IFERROR(VLOOKUP(TAB_SAIDA[[#This Row],[COD_2_SAIDA]],TAB_ESTOQUE[[Codigo]:[Referência Tec]],7,FALSE),"")</f>
        <v>0</v>
      </c>
      <c r="D783" s="14" t="str">
        <f>VLOOKUP(TAB_SAIDA[[#This Row],[COD_2_SAIDA]],TAB_ESTOQUE[[Codigo]:[Endereço2]],12,FALSE)</f>
        <v>A2106</v>
      </c>
      <c r="E783" s="81">
        <f>SUM(TAB_SAIDA[[#This Row],[20/05/2019]:[00/00/00]])</f>
        <v>49</v>
      </c>
      <c r="F783" s="3"/>
      <c r="XB783" s="3">
        <v>49</v>
      </c>
    </row>
    <row r="784" spans="1:626" ht="15" hidden="1" customHeight="1" x14ac:dyDescent="0.25">
      <c r="A784" s="5" t="s">
        <v>2441</v>
      </c>
      <c r="B784" s="14" t="str">
        <f>VLOOKUP(TAB_SAIDA[[#This Row],[COD_2_SAIDA]],TAB_ESTOQUE[[Codigo]:[Descrição Tecnica]],6,FALSE)</f>
        <v>PLACA ELETRONICA DO SERVOMOTOR GDM12Z</v>
      </c>
      <c r="C784" s="14">
        <f>IFERROR(VLOOKUP(TAB_SAIDA[[#This Row],[COD_2_SAIDA]],TAB_ESTOQUE[[Codigo]:[Referência Tec]],7,FALSE),"")</f>
        <v>0</v>
      </c>
      <c r="D784" s="14" t="str">
        <f>VLOOKUP(TAB_SAIDA[[#This Row],[COD_2_SAIDA]],TAB_ESTOQUE[[Codigo]:[Endereço2]],12,FALSE)</f>
        <v>A1106</v>
      </c>
      <c r="E784" s="81">
        <f>SUM(TAB_SAIDA[[#This Row],[20/05/2019]:[00/00/00]])</f>
        <v>0</v>
      </c>
      <c r="F784" s="3"/>
    </row>
    <row r="785" spans="1:627" ht="15" hidden="1" customHeight="1" x14ac:dyDescent="0.25">
      <c r="A785" s="5" t="s">
        <v>2442</v>
      </c>
      <c r="B785" s="14" t="str">
        <f>VLOOKUP(TAB_SAIDA[[#This Row],[COD_2_SAIDA]],TAB_ESTOQUE[[Codigo]:[Descrição Tecnica]],6,FALSE)</f>
        <v>PLACA ELETRONICA DO GERADOR HSMODU 25KW</v>
      </c>
      <c r="C785" s="14">
        <f>IFERROR(VLOOKUP(TAB_SAIDA[[#This Row],[COD_2_SAIDA]],TAB_ESTOQUE[[Codigo]:[Referência Tec]],7,FALSE),"")</f>
        <v>0</v>
      </c>
      <c r="D785" s="14" t="str">
        <f>VLOOKUP(TAB_SAIDA[[#This Row],[COD_2_SAIDA]],TAB_ESTOQUE[[Codigo]:[Endereço2]],12,FALSE)</f>
        <v>A1106</v>
      </c>
      <c r="E785" s="81">
        <f>SUM(TAB_SAIDA[[#This Row],[20/05/2019]:[00/00/00]])</f>
        <v>0</v>
      </c>
      <c r="F785" s="3"/>
    </row>
    <row r="786" spans="1:627" ht="15" hidden="1" customHeight="1" x14ac:dyDescent="0.25">
      <c r="A786" s="5" t="s">
        <v>2443</v>
      </c>
      <c r="B786" s="14" t="str">
        <f>VLOOKUP(TAB_SAIDA[[#This Row],[COD_2_SAIDA]],TAB_ESTOQUE[[Codigo]:[Descrição Tecnica]],6,FALSE)</f>
        <v>FUSIVEL KRAH 02/14 D GS 16X63 A 470R K</v>
      </c>
      <c r="C786" s="14">
        <f>IFERROR(VLOOKUP(TAB_SAIDA[[#This Row],[COD_2_SAIDA]],TAB_ESTOQUE[[Codigo]:[Referência Tec]],7,FALSE),"")</f>
        <v>0</v>
      </c>
      <c r="D786" s="14" t="str">
        <f>VLOOKUP(TAB_SAIDA[[#This Row],[COD_2_SAIDA]],TAB_ESTOQUE[[Codigo]:[Endereço2]],12,FALSE)</f>
        <v>A1106</v>
      </c>
      <c r="E786" s="81">
        <f>SUM(TAB_SAIDA[[#This Row],[20/05/2019]:[00/00/00]])</f>
        <v>0</v>
      </c>
      <c r="F786" s="3"/>
    </row>
    <row r="787" spans="1:627" ht="15" hidden="1" customHeight="1" x14ac:dyDescent="0.25">
      <c r="A787" s="5" t="s">
        <v>2444</v>
      </c>
      <c r="B787" s="14" t="str">
        <f>VLOOKUP(TAB_SAIDA[[#This Row],[COD_2_SAIDA]],TAB_ESTOQUE[[Codigo]:[Descrição Tecnica]],6,FALSE)</f>
        <v>ACOPLAMENTO 19</v>
      </c>
      <c r="C787" s="14">
        <f>IFERROR(VLOOKUP(TAB_SAIDA[[#This Row],[COD_2_SAIDA]],TAB_ESTOQUE[[Codigo]:[Referência Tec]],7,FALSE),"")</f>
        <v>0</v>
      </c>
      <c r="D787" s="14" t="str">
        <f>VLOOKUP(TAB_SAIDA[[#This Row],[COD_2_SAIDA]],TAB_ESTOQUE[[Codigo]:[Endereço2]],12,FALSE)</f>
        <v>E2204</v>
      </c>
      <c r="E787" s="81">
        <f>SUM(TAB_SAIDA[[#This Row],[20/05/2019]:[00/00/00]])</f>
        <v>0</v>
      </c>
      <c r="F787" s="3"/>
    </row>
    <row r="788" spans="1:627" ht="15" hidden="1" customHeight="1" x14ac:dyDescent="0.25">
      <c r="A788" s="5" t="s">
        <v>2445</v>
      </c>
      <c r="B788" s="14" t="str">
        <f>VLOOKUP(TAB_SAIDA[[#This Row],[COD_2_SAIDA]],TAB_ESTOQUE[[Codigo]:[Descrição Tecnica]],6,FALSE)</f>
        <v>PORCA RETA VALCO MELTON 943XX068N</v>
      </c>
      <c r="C788" s="14">
        <f>IFERROR(VLOOKUP(TAB_SAIDA[[#This Row],[COD_2_SAIDA]],TAB_ESTOQUE[[Codigo]:[Referência Tec]],7,FALSE),"")</f>
        <v>0</v>
      </c>
      <c r="D788" s="14" t="str">
        <f>VLOOKUP(TAB_SAIDA[[#This Row],[COD_2_SAIDA]],TAB_ESTOQUE[[Codigo]:[Endereço2]],12,FALSE)</f>
        <v>E2302</v>
      </c>
      <c r="E788" s="81">
        <f>SUM(TAB_SAIDA[[#This Row],[20/05/2019]:[00/00/00]])</f>
        <v>0</v>
      </c>
      <c r="F788" s="3"/>
    </row>
    <row r="789" spans="1:627" ht="15" hidden="1" customHeight="1" x14ac:dyDescent="0.25">
      <c r="A789" s="5" t="s">
        <v>2446</v>
      </c>
      <c r="B789" s="14" t="str">
        <f>VLOOKUP(TAB_SAIDA[[#This Row],[COD_2_SAIDA]],TAB_ESTOQUE[[Codigo]:[Descrição Tecnica]],6,FALSE)</f>
        <v>MANOMETRO 30015294-1 GA-PR 0-5000 PSI/BAR KMT  (KMT)</v>
      </c>
      <c r="C789" s="14">
        <f>IFERROR(VLOOKUP(TAB_SAIDA[[#This Row],[COD_2_SAIDA]],TAB_ESTOQUE[[Codigo]:[Referência Tec]],7,FALSE),"")</f>
        <v>0</v>
      </c>
      <c r="D789" s="14" t="str">
        <f>VLOOKUP(TAB_SAIDA[[#This Row],[COD_2_SAIDA]],TAB_ESTOQUE[[Codigo]:[Endereço2]],12,FALSE)</f>
        <v>E2405</v>
      </c>
      <c r="E789" s="81">
        <f>SUM(TAB_SAIDA[[#This Row],[20/05/2019]:[00/00/00]])</f>
        <v>0</v>
      </c>
      <c r="F789" s="3"/>
    </row>
    <row r="790" spans="1:627" ht="15" hidden="1" customHeight="1" x14ac:dyDescent="0.25">
      <c r="A790" s="5" t="s">
        <v>2447</v>
      </c>
      <c r="B790" s="14" t="str">
        <f>VLOOKUP(TAB_SAIDA[[#This Row],[COD_2_SAIDA]],TAB_ESTOQUE[[Codigo]:[Descrição Tecnica]],6,FALSE)</f>
        <v>ROLAMENTO  LINEAR MNR: R162379420</v>
      </c>
      <c r="C790" s="14">
        <f>IFERROR(VLOOKUP(TAB_SAIDA[[#This Row],[COD_2_SAIDA]],TAB_ESTOQUE[[Codigo]:[Referência Tec]],7,FALSE),"")</f>
        <v>0</v>
      </c>
      <c r="D790" s="14" t="str">
        <f>VLOOKUP(TAB_SAIDA[[#This Row],[COD_2_SAIDA]],TAB_ESTOQUE[[Codigo]:[Endereço2]],12,FALSE)</f>
        <v>D2106</v>
      </c>
      <c r="E790" s="81">
        <f>SUM(TAB_SAIDA[[#This Row],[20/05/2019]:[00/00/00]])</f>
        <v>0</v>
      </c>
      <c r="F790" s="3"/>
    </row>
    <row r="791" spans="1:627" ht="15" hidden="1" customHeight="1" x14ac:dyDescent="0.25">
      <c r="A791" s="5" t="s">
        <v>2448</v>
      </c>
      <c r="B791" s="14" t="str">
        <f>VLOOKUP(TAB_SAIDA[[#This Row],[COD_2_SAIDA]],TAB_ESTOQUE[[Codigo]:[Descrição Tecnica]],6,FALSE)</f>
        <v>PARAFUSOS SEXTAVADO ROSCA TOTAL M20 X 100 DUREZA 8.8</v>
      </c>
      <c r="C791" s="14">
        <f>IFERROR(VLOOKUP(TAB_SAIDA[[#This Row],[COD_2_SAIDA]],TAB_ESTOQUE[[Codigo]:[Referência Tec]],7,FALSE),"")</f>
        <v>0</v>
      </c>
      <c r="D791" s="14" t="str">
        <f>VLOOKUP(TAB_SAIDA[[#This Row],[COD_2_SAIDA]],TAB_ESTOQUE[[Codigo]:[Endereço2]],12,FALSE)</f>
        <v>D2403</v>
      </c>
      <c r="E791" s="81">
        <f>SUM(TAB_SAIDA[[#This Row],[20/05/2019]:[00/00/00]])</f>
        <v>4</v>
      </c>
      <c r="F791" s="3"/>
      <c r="WS791" s="3">
        <v>1</v>
      </c>
      <c r="WW791" s="3">
        <v>1</v>
      </c>
      <c r="XC791" s="3">
        <v>2</v>
      </c>
    </row>
    <row r="792" spans="1:627" ht="15" hidden="1" customHeight="1" x14ac:dyDescent="0.25">
      <c r="A792" s="5" t="s">
        <v>2449</v>
      </c>
      <c r="B792" s="14" t="str">
        <f>VLOOKUP(TAB_SAIDA[[#This Row],[COD_2_SAIDA]],TAB_ESTOQUE[[Codigo]:[Descrição Tecnica]],6,FALSE)</f>
        <v>UNIDADE DE SERVIÇO COMBINADA P/ TRATAMENTO DE AR  - REF. MSB6 / 531030 (FESTO)</v>
      </c>
      <c r="C792" s="14">
        <f>IFERROR(VLOOKUP(TAB_SAIDA[[#This Row],[COD_2_SAIDA]],TAB_ESTOQUE[[Codigo]:[Referência Tec]],7,FALSE),"")</f>
        <v>0</v>
      </c>
      <c r="D792" s="14" t="str">
        <f>VLOOKUP(TAB_SAIDA[[#This Row],[COD_2_SAIDA]],TAB_ESTOQUE[[Codigo]:[Endereço2]],12,FALSE)</f>
        <v>G1104</v>
      </c>
      <c r="E792" s="81">
        <f>SUM(TAB_SAIDA[[#This Row],[20/05/2019]:[00/00/00]])</f>
        <v>0</v>
      </c>
      <c r="F792" s="3"/>
    </row>
    <row r="793" spans="1:627" ht="15" hidden="1" customHeight="1" x14ac:dyDescent="0.25">
      <c r="A793" s="5" t="s">
        <v>2450</v>
      </c>
      <c r="B793" s="14" t="str">
        <f>VLOOKUP(TAB_SAIDA[[#This Row],[COD_2_SAIDA]],TAB_ESTOQUE[[Codigo]:[Descrição Tecnica]],6,FALSE)</f>
        <v>CILINDRO PADRÃO DE DUPLA AÇÃO - REF. DNCB-40-80-PPV-A / COD. 532740 (FESTO)</v>
      </c>
      <c r="C793" s="14">
        <f>IFERROR(VLOOKUP(TAB_SAIDA[[#This Row],[COD_2_SAIDA]],TAB_ESTOQUE[[Codigo]:[Referência Tec]],7,FALSE),"")</f>
        <v>0</v>
      </c>
      <c r="D793" s="14" t="str">
        <f>VLOOKUP(TAB_SAIDA[[#This Row],[COD_2_SAIDA]],TAB_ESTOQUE[[Codigo]:[Endereço2]],12,FALSE)</f>
        <v>C1102</v>
      </c>
      <c r="E793" s="81">
        <f>SUM(TAB_SAIDA[[#This Row],[20/05/2019]:[00/00/00]])</f>
        <v>0</v>
      </c>
      <c r="F793" s="3"/>
    </row>
    <row r="794" spans="1:627" ht="15" hidden="1" customHeight="1" x14ac:dyDescent="0.25">
      <c r="A794" s="5" t="s">
        <v>2451</v>
      </c>
      <c r="B794" s="14" t="str">
        <f>VLOOKUP(TAB_SAIDA[[#This Row],[COD_2_SAIDA]],TAB_ESTOQUE[[Codigo]:[Descrição Tecnica]],6,FALSE)</f>
        <v>FOLE COMPACTO PNEUMÁTICO ATUAÇÃO SIMPLES NORGREN - REF. M/31141 / COD RAT 8674</v>
      </c>
      <c r="C794" s="14">
        <f>IFERROR(VLOOKUP(TAB_SAIDA[[#This Row],[COD_2_SAIDA]],TAB_ESTOQUE[[Codigo]:[Referência Tec]],7,FALSE),"")</f>
        <v>0</v>
      </c>
      <c r="D794" s="14" t="str">
        <f>VLOOKUP(TAB_SAIDA[[#This Row],[COD_2_SAIDA]],TAB_ESTOQUE[[Codigo]:[Endereço2]],12,FALSE)</f>
        <v>G2101</v>
      </c>
      <c r="E794" s="81">
        <f>SUM(TAB_SAIDA[[#This Row],[20/05/2019]:[00/00/00]])</f>
        <v>0</v>
      </c>
      <c r="F794" s="3"/>
    </row>
    <row r="795" spans="1:627" ht="15" hidden="1" customHeight="1" x14ac:dyDescent="0.25">
      <c r="A795" s="5" t="s">
        <v>2452</v>
      </c>
      <c r="B795" s="14" t="str">
        <f>VLOOKUP(TAB_SAIDA[[#This Row],[COD_2_SAIDA]],TAB_ESTOQUE[[Codigo]:[Descrição Tecnica]],6,FALSE)</f>
        <v>MANOMETRO COM ROSCA 1/4" HORIZONTAL 4MPA</v>
      </c>
      <c r="C795" s="14">
        <f>IFERROR(VLOOKUP(TAB_SAIDA[[#This Row],[COD_2_SAIDA]],TAB_ESTOQUE[[Codigo]:[Referência Tec]],7,FALSE),"")</f>
        <v>0</v>
      </c>
      <c r="D795" s="14" t="str">
        <f>VLOOKUP(TAB_SAIDA[[#This Row],[COD_2_SAIDA]],TAB_ESTOQUE[[Codigo]:[Endereço2]],12,FALSE)</f>
        <v>E2404</v>
      </c>
      <c r="E795" s="81">
        <f>SUM(TAB_SAIDA[[#This Row],[20/05/2019]:[00/00/00]])</f>
        <v>0</v>
      </c>
      <c r="F795" s="3"/>
    </row>
    <row r="796" spans="1:627" ht="15" hidden="1" customHeight="1" x14ac:dyDescent="0.25">
      <c r="A796" s="5" t="s">
        <v>2453</v>
      </c>
      <c r="B796" s="14" t="str">
        <f>VLOOKUP(TAB_SAIDA[[#This Row],[COD_2_SAIDA]],TAB_ESTOQUE[[Codigo]:[Descrição Tecnica]],6,FALSE)</f>
        <v>VALVULA HIDRAULICA DSG-01-3C2-D24-N1- YUKEN -N.C.M 8481.20.90 DSG-01-3C2-D24-N1</v>
      </c>
      <c r="C796" s="14">
        <f>IFERROR(VLOOKUP(TAB_SAIDA[[#This Row],[COD_2_SAIDA]],TAB_ESTOQUE[[Codigo]:[Referência Tec]],7,FALSE),"")</f>
        <v>0</v>
      </c>
      <c r="D796" s="14" t="str">
        <f>VLOOKUP(TAB_SAIDA[[#This Row],[COD_2_SAIDA]],TAB_ESTOQUE[[Codigo]:[Endereço2]],12,FALSE)</f>
        <v>C2103</v>
      </c>
      <c r="E796" s="81">
        <f>SUM(TAB_SAIDA[[#This Row],[20/05/2019]:[00/00/00]])</f>
        <v>0</v>
      </c>
      <c r="F796" s="3"/>
    </row>
    <row r="797" spans="1:627" ht="15" hidden="1" customHeight="1" x14ac:dyDescent="0.25">
      <c r="A797" s="5" t="s">
        <v>2454</v>
      </c>
      <c r="B797" s="14" t="str">
        <f>VLOOKUP(TAB_SAIDA[[#This Row],[COD_2_SAIDA]],TAB_ESTOQUE[[Codigo]:[Descrição Tecnica]],6,FALSE)</f>
        <v>RESISTENCIA TUBO INOX 220V 3KW</v>
      </c>
      <c r="C797" s="14">
        <f>IFERROR(VLOOKUP(TAB_SAIDA[[#This Row],[COD_2_SAIDA]],TAB_ESTOQUE[[Codigo]:[Referência Tec]],7,FALSE),"")</f>
        <v>0</v>
      </c>
      <c r="D797" s="14" t="str">
        <f>VLOOKUP(TAB_SAIDA[[#This Row],[COD_2_SAIDA]],TAB_ESTOQUE[[Codigo]:[Endereço2]],12,FALSE)</f>
        <v>A1206</v>
      </c>
      <c r="E797" s="81">
        <f>SUM(TAB_SAIDA[[#This Row],[20/05/2019]:[00/00/00]])</f>
        <v>0</v>
      </c>
      <c r="F797" s="3"/>
    </row>
    <row r="798" spans="1:627" ht="15" hidden="1" customHeight="1" x14ac:dyDescent="0.25">
      <c r="A798" s="5" t="s">
        <v>2455</v>
      </c>
      <c r="B798" s="14" t="str">
        <f>VLOOKUP(TAB_SAIDA[[#This Row],[COD_2_SAIDA]],TAB_ESTOQUE[[Codigo]:[Descrição Tecnica]],6,FALSE)</f>
        <v>BICO DO COLEIRO 971 XX604</v>
      </c>
      <c r="C798" s="14">
        <f>IFERROR(VLOOKUP(TAB_SAIDA[[#This Row],[COD_2_SAIDA]],TAB_ESTOQUE[[Codigo]:[Referência Tec]],7,FALSE),"")</f>
        <v>0</v>
      </c>
      <c r="D798" s="14" t="str">
        <f>VLOOKUP(TAB_SAIDA[[#This Row],[COD_2_SAIDA]],TAB_ESTOQUE[[Codigo]:[Endereço2]],12,FALSE)</f>
        <v>E2303</v>
      </c>
      <c r="E798" s="81">
        <f>SUM(TAB_SAIDA[[#This Row],[20/05/2019]:[00/00/00]])</f>
        <v>4</v>
      </c>
      <c r="F798" s="3"/>
      <c r="SH798" s="3">
        <v>1</v>
      </c>
      <c r="SY798" s="3">
        <v>2</v>
      </c>
      <c r="UA798" s="3">
        <v>1</v>
      </c>
    </row>
    <row r="799" spans="1:627" ht="15" hidden="1" customHeight="1" x14ac:dyDescent="0.25">
      <c r="A799" s="5" t="s">
        <v>2456</v>
      </c>
      <c r="B799" s="14" t="str">
        <f>VLOOKUP(TAB_SAIDA[[#This Row],[COD_2_SAIDA]],TAB_ESTOQUE[[Codigo]:[Descrição Tecnica]],6,FALSE)</f>
        <v>SENSOR DE TEMPERATURA  PT100 HUA LONGX THERMOCOURLES PT100 LGNGTH; 1M</v>
      </c>
      <c r="C799" s="14">
        <f>IFERROR(VLOOKUP(TAB_SAIDA[[#This Row],[COD_2_SAIDA]],TAB_ESTOQUE[[Codigo]:[Referência Tec]],7,FALSE),"")</f>
        <v>0</v>
      </c>
      <c r="D799" s="14" t="str">
        <f>VLOOKUP(TAB_SAIDA[[#This Row],[COD_2_SAIDA]],TAB_ESTOQUE[[Codigo]:[Endereço2]],12,FALSE)</f>
        <v>A2302</v>
      </c>
      <c r="E799" s="81">
        <f>SUM(TAB_SAIDA[[#This Row],[20/05/2019]:[00/00/00]])</f>
        <v>0</v>
      </c>
      <c r="F799" s="3"/>
    </row>
    <row r="800" spans="1:627" ht="15" hidden="1" customHeight="1" x14ac:dyDescent="0.25">
      <c r="A800" s="5" t="s">
        <v>2457</v>
      </c>
      <c r="B800" s="14" t="str">
        <f>VLOOKUP(TAB_SAIDA[[#This Row],[COD_2_SAIDA]],TAB_ESTOQUE[[Codigo]:[Descrição Tecnica]],6,FALSE)</f>
        <v>SERVO MOTOR SCHNEIDER BMH1002P06A2A</v>
      </c>
      <c r="C800" s="14">
        <f>IFERROR(VLOOKUP(TAB_SAIDA[[#This Row],[COD_2_SAIDA]],TAB_ESTOQUE[[Codigo]:[Referência Tec]],7,FALSE),"")</f>
        <v>0</v>
      </c>
      <c r="D800" s="14" t="str">
        <f>VLOOKUP(TAB_SAIDA[[#This Row],[COD_2_SAIDA]],TAB_ESTOQUE[[Codigo]:[Endereço2]],12,FALSE)</f>
        <v>E2305</v>
      </c>
      <c r="E800" s="81">
        <f>SUM(TAB_SAIDA[[#This Row],[20/05/2019]:[00/00/00]])</f>
        <v>0</v>
      </c>
      <c r="F800" s="3"/>
    </row>
    <row r="801" spans="1:620" ht="15" hidden="1" customHeight="1" x14ac:dyDescent="0.25">
      <c r="A801" s="5" t="s">
        <v>2458</v>
      </c>
      <c r="B801" s="14" t="str">
        <f>VLOOKUP(TAB_SAIDA[[#This Row],[COD_2_SAIDA]],TAB_ESTOQUE[[Codigo]:[Descrição Tecnica]],6,FALSE)</f>
        <v>MANOMETRO COM ROSCA 1/8" HORIZONTAL 1MPA 10KGF/CM²</v>
      </c>
      <c r="C801" s="14">
        <f>IFERROR(VLOOKUP(TAB_SAIDA[[#This Row],[COD_2_SAIDA]],TAB_ESTOQUE[[Codigo]:[Referência Tec]],7,FALSE),"")</f>
        <v>0</v>
      </c>
      <c r="D801" s="14" t="str">
        <f>VLOOKUP(TAB_SAIDA[[#This Row],[COD_2_SAIDA]],TAB_ESTOQUE[[Codigo]:[Endereço2]],12,FALSE)</f>
        <v>E2404</v>
      </c>
      <c r="E801" s="81">
        <f>SUM(TAB_SAIDA[[#This Row],[20/05/2019]:[00/00/00]])</f>
        <v>0</v>
      </c>
      <c r="F801" s="3"/>
    </row>
    <row r="802" spans="1:620" ht="15" hidden="1" customHeight="1" x14ac:dyDescent="0.25">
      <c r="A802" s="5" t="s">
        <v>2459</v>
      </c>
      <c r="B802" s="14" t="str">
        <f>VLOOKUP(TAB_SAIDA[[#This Row],[COD_2_SAIDA]],TAB_ESTOQUE[[Codigo]:[Descrição Tecnica]],6,FALSE)</f>
        <v>TERMOSTATO ADD KSD301 250V 10A A 200C NF</v>
      </c>
      <c r="C802" s="14">
        <f>IFERROR(VLOOKUP(TAB_SAIDA[[#This Row],[COD_2_SAIDA]],TAB_ESTOQUE[[Codigo]:[Referência Tec]],7,FALSE),"")</f>
        <v>0</v>
      </c>
      <c r="D802" s="14" t="str">
        <f>VLOOKUP(TAB_SAIDA[[#This Row],[COD_2_SAIDA]],TAB_ESTOQUE[[Codigo]:[Endereço2]],12,FALSE)</f>
        <v>A1104</v>
      </c>
      <c r="E802" s="81">
        <f>SUM(TAB_SAIDA[[#This Row],[20/05/2019]:[00/00/00]])</f>
        <v>0</v>
      </c>
      <c r="F802" s="3"/>
    </row>
    <row r="803" spans="1:620" ht="15" hidden="1" customHeight="1" x14ac:dyDescent="0.25">
      <c r="A803" s="5" t="s">
        <v>2460</v>
      </c>
      <c r="B803" s="14" t="str">
        <f>VLOOKUP(TAB_SAIDA[[#This Row],[COD_2_SAIDA]],TAB_ESTOQUE[[Codigo]:[Descrição Tecnica]],6,FALSE)</f>
        <v>POLIAMAUREY BG52X 3/4"</v>
      </c>
      <c r="C803" s="14">
        <f>IFERROR(VLOOKUP(TAB_SAIDA[[#This Row],[COD_2_SAIDA]],TAB_ESTOQUE[[Codigo]:[Referência Tec]],7,FALSE),"")</f>
        <v>0</v>
      </c>
      <c r="D803" s="14" t="str">
        <f>VLOOKUP(TAB_SAIDA[[#This Row],[COD_2_SAIDA]],TAB_ESTOQUE[[Codigo]:[Endereço2]],12,FALSE)</f>
        <v>E2304</v>
      </c>
      <c r="E803" s="81">
        <f>SUM(TAB_SAIDA[[#This Row],[20/05/2019]:[00/00/00]])</f>
        <v>0</v>
      </c>
      <c r="F803" s="3"/>
    </row>
    <row r="804" spans="1:620" ht="15" hidden="1" customHeight="1" x14ac:dyDescent="0.25">
      <c r="A804" s="5" t="s">
        <v>2461</v>
      </c>
      <c r="B804" s="14" t="str">
        <f>VLOOKUP(TAB_SAIDA[[#This Row],[COD_2_SAIDA]],TAB_ESTOQUE[[Codigo]:[Descrição Tecnica]],6,FALSE)</f>
        <v>FILTRO DE ISO HOP 6406 74 MICRAS NEWTEC</v>
      </c>
      <c r="C804" s="14">
        <f>IFERROR(VLOOKUP(TAB_SAIDA[[#This Row],[COD_2_SAIDA]],TAB_ESTOQUE[[Codigo]:[Referência Tec]],7,FALSE),"")</f>
        <v>0</v>
      </c>
      <c r="D804" s="14" t="str">
        <f>VLOOKUP(TAB_SAIDA[[#This Row],[COD_2_SAIDA]],TAB_ESTOQUE[[Codigo]:[Endereço2]],12,FALSE)</f>
        <v>C2402</v>
      </c>
      <c r="E804" s="81">
        <f>SUM(TAB_SAIDA[[#This Row],[20/05/2019]:[00/00/00]])</f>
        <v>15</v>
      </c>
      <c r="F804" s="3"/>
      <c r="SO804" s="3">
        <v>1</v>
      </c>
      <c r="SZ804" s="3">
        <v>1</v>
      </c>
      <c r="VB804" s="3">
        <v>1</v>
      </c>
      <c r="VH804" s="3">
        <v>1</v>
      </c>
      <c r="VK804" s="3">
        <v>1</v>
      </c>
      <c r="VO804" s="3">
        <v>1</v>
      </c>
      <c r="VS804" s="3">
        <v>1</v>
      </c>
      <c r="VY804" s="3">
        <v>1</v>
      </c>
      <c r="WA804" s="3">
        <v>1</v>
      </c>
      <c r="WB804" s="3">
        <v>2</v>
      </c>
      <c r="WF804" s="3">
        <v>1</v>
      </c>
      <c r="WK804" s="3">
        <v>1</v>
      </c>
      <c r="WS804" s="3">
        <v>1</v>
      </c>
      <c r="WV804" s="3">
        <v>1</v>
      </c>
    </row>
    <row r="805" spans="1:620" ht="15" hidden="1" customHeight="1" x14ac:dyDescent="0.25">
      <c r="A805" s="5" t="s">
        <v>2462</v>
      </c>
      <c r="B805" s="14" t="str">
        <f>VLOOKUP(TAB_SAIDA[[#This Row],[COD_2_SAIDA]],TAB_ESTOQUE[[Codigo]:[Descrição Tecnica]],6,FALSE)</f>
        <v>BOMBA DE ENGRENAGEM DO SISTEMA HIDRAULICO HGP3AF17R</v>
      </c>
      <c r="C805" s="14">
        <f>IFERROR(VLOOKUP(TAB_SAIDA[[#This Row],[COD_2_SAIDA]],TAB_ESTOQUE[[Codigo]:[Referência Tec]],7,FALSE),"")</f>
        <v>0</v>
      </c>
      <c r="D805" s="14" t="str">
        <f>VLOOKUP(TAB_SAIDA[[#This Row],[COD_2_SAIDA]],TAB_ESTOQUE[[Codigo]:[Endereço2]],12,FALSE)</f>
        <v>E2206</v>
      </c>
      <c r="E805" s="81">
        <f>SUM(TAB_SAIDA[[#This Row],[20/05/2019]:[00/00/00]])</f>
        <v>0</v>
      </c>
      <c r="F805" s="3"/>
    </row>
    <row r="806" spans="1:620" ht="15" hidden="1" customHeight="1" x14ac:dyDescent="0.25">
      <c r="A806" s="5" t="s">
        <v>2463</v>
      </c>
      <c r="B806" s="14" t="str">
        <f>VLOOKUP(TAB_SAIDA[[#This Row],[COD_2_SAIDA]],TAB_ESTOQUE[[Codigo]:[Descrição Tecnica]],6,FALSE)</f>
        <v>VALVULA CRU-102</v>
      </c>
      <c r="C806" s="14">
        <f>IFERROR(VLOOKUP(TAB_SAIDA[[#This Row],[COD_2_SAIDA]],TAB_ESTOQUE[[Codigo]:[Referência Tec]],7,FALSE),"")</f>
        <v>0</v>
      </c>
      <c r="D806" s="14" t="str">
        <f>VLOOKUP(TAB_SAIDA[[#This Row],[COD_2_SAIDA]],TAB_ESTOQUE[[Codigo]:[Endereço2]],12,FALSE)</f>
        <v>E1402</v>
      </c>
      <c r="E806" s="81">
        <f>SUM(TAB_SAIDA[[#This Row],[20/05/2019]:[00/00/00]])</f>
        <v>0</v>
      </c>
      <c r="F806" s="3"/>
    </row>
    <row r="807" spans="1:620" ht="15" hidden="1" customHeight="1" x14ac:dyDescent="0.25">
      <c r="A807" s="5" t="s">
        <v>2464</v>
      </c>
      <c r="B807" s="14" t="str">
        <f>VLOOKUP(TAB_SAIDA[[#This Row],[COD_2_SAIDA]],TAB_ESTOQUE[[Codigo]:[Descrição Tecnica]],6,FALSE)</f>
        <v>MANOMETRO COM ROSCA 1/8" HORIZONTAL 10BAR K1.1.6</v>
      </c>
      <c r="C807" s="14">
        <f>IFERROR(VLOOKUP(TAB_SAIDA[[#This Row],[COD_2_SAIDA]],TAB_ESTOQUE[[Codigo]:[Referência Tec]],7,FALSE),"")</f>
        <v>0</v>
      </c>
      <c r="D807" s="14" t="str">
        <f>VLOOKUP(TAB_SAIDA[[#This Row],[COD_2_SAIDA]],TAB_ESTOQUE[[Codigo]:[Endereço2]],12,FALSE)</f>
        <v>E2404</v>
      </c>
      <c r="E807" s="81">
        <f>SUM(TAB_SAIDA[[#This Row],[20/05/2019]:[00/00/00]])</f>
        <v>0</v>
      </c>
      <c r="F807" s="3"/>
    </row>
    <row r="808" spans="1:620" ht="15" hidden="1" customHeight="1" x14ac:dyDescent="0.25">
      <c r="A808" s="5" t="s">
        <v>2465</v>
      </c>
      <c r="B808" s="14" t="str">
        <f>VLOOKUP(TAB_SAIDA[[#This Row],[COD_2_SAIDA]],TAB_ESTOQUE[[Codigo]:[Descrição Tecnica]],6,FALSE)</f>
        <v>BOMBA HIDRAULICA 32207621</v>
      </c>
      <c r="C808" s="14">
        <f>IFERROR(VLOOKUP(TAB_SAIDA[[#This Row],[COD_2_SAIDA]],TAB_ESTOQUE[[Codigo]:[Referência Tec]],7,FALSE),"")</f>
        <v>0</v>
      </c>
      <c r="D808" s="14" t="str">
        <f>VLOOKUP(TAB_SAIDA[[#This Row],[COD_2_SAIDA]],TAB_ESTOQUE[[Codigo]:[Endereço2]],12,FALSE)</f>
        <v>E2402</v>
      </c>
      <c r="E808" s="81">
        <f>SUM(TAB_SAIDA[[#This Row],[20/05/2019]:[00/00/00]])</f>
        <v>0</v>
      </c>
      <c r="F808" s="3"/>
    </row>
    <row r="809" spans="1:620" ht="15" hidden="1" customHeight="1" x14ac:dyDescent="0.25">
      <c r="A809" s="5" t="s">
        <v>2466</v>
      </c>
      <c r="B809" s="14" t="str">
        <f>VLOOKUP(TAB_SAIDA[[#This Row],[COD_2_SAIDA]],TAB_ESTOQUE[[Codigo]:[Descrição Tecnica]],6,FALSE)</f>
        <v>BOMBA HIDRAULICA DO CARPETE 34494459/602</v>
      </c>
      <c r="C809" s="14">
        <f>IFERROR(VLOOKUP(TAB_SAIDA[[#This Row],[COD_2_SAIDA]],TAB_ESTOQUE[[Codigo]:[Referência Tec]],7,FALSE),"")</f>
        <v>0</v>
      </c>
      <c r="D809" s="14" t="str">
        <f>VLOOKUP(TAB_SAIDA[[#This Row],[COD_2_SAIDA]],TAB_ESTOQUE[[Codigo]:[Endereço2]],12,FALSE)</f>
        <v>E2206</v>
      </c>
      <c r="E809" s="81">
        <f>SUM(TAB_SAIDA[[#This Row],[20/05/2019]:[00/00/00]])</f>
        <v>0</v>
      </c>
      <c r="F809" s="3"/>
    </row>
    <row r="810" spans="1:620" ht="15" hidden="1" customHeight="1" x14ac:dyDescent="0.25">
      <c r="A810" s="5" t="s">
        <v>2467</v>
      </c>
      <c r="B810" s="14" t="str">
        <f>VLOOKUP(TAB_SAIDA[[#This Row],[COD_2_SAIDA]],TAB_ESTOQUE[[Codigo]:[Descrição Tecnica]],6,FALSE)</f>
        <v>RÉGUA DE NIVEL INJETORA CHINESA 912076155605</v>
      </c>
      <c r="C810" s="14">
        <f>IFERROR(VLOOKUP(TAB_SAIDA[[#This Row],[COD_2_SAIDA]],TAB_ESTOQUE[[Codigo]:[Referência Tec]],7,FALSE),"")</f>
        <v>0</v>
      </c>
      <c r="D810" s="14" t="str">
        <f>VLOOKUP(TAB_SAIDA[[#This Row],[COD_2_SAIDA]],TAB_ESTOQUE[[Codigo]:[Endereço2]],12,FALSE)</f>
        <v>D1401</v>
      </c>
      <c r="E810" s="81">
        <f>SUM(TAB_SAIDA[[#This Row],[20/05/2019]:[00/00/00]])</f>
        <v>0</v>
      </c>
      <c r="F810" s="3"/>
    </row>
    <row r="811" spans="1:620" ht="15" hidden="1" customHeight="1" x14ac:dyDescent="0.25">
      <c r="A811" s="5" t="s">
        <v>2468</v>
      </c>
      <c r="B811" s="14" t="str">
        <f>VLOOKUP(TAB_SAIDA[[#This Row],[COD_2_SAIDA]],TAB_ESTOQUE[[Codigo]:[Descrição Tecnica]],6,FALSE)</f>
        <v>RESISTENCIA TUB INOX  Ø1/2 U9 1490 12mm 9,6KW/254/440V E3</v>
      </c>
      <c r="C811" s="14">
        <f>IFERROR(VLOOKUP(TAB_SAIDA[[#This Row],[COD_2_SAIDA]],TAB_ESTOQUE[[Codigo]:[Referência Tec]],7,FALSE),"")</f>
        <v>0</v>
      </c>
      <c r="D811" s="14" t="str">
        <f>VLOOKUP(TAB_SAIDA[[#This Row],[COD_2_SAIDA]],TAB_ESTOQUE[[Codigo]:[Endereço2]],12,FALSE)</f>
        <v>A1206</v>
      </c>
      <c r="E811" s="81">
        <f>SUM(TAB_SAIDA[[#This Row],[20/05/2019]:[00/00/00]])</f>
        <v>0</v>
      </c>
      <c r="F811" s="3"/>
    </row>
    <row r="812" spans="1:620" ht="15" hidden="1" customHeight="1" x14ac:dyDescent="0.25">
      <c r="A812" s="5" t="s">
        <v>2469</v>
      </c>
      <c r="B812" s="14" t="str">
        <f>VLOOKUP(TAB_SAIDA[[#This Row],[COD_2_SAIDA]],TAB_ESTOQUE[[Codigo]:[Descrição Tecnica]],6,FALSE)</f>
        <v>MOTOR WEG POTENCIA 1.5CV ET448/001</v>
      </c>
      <c r="C812" s="14">
        <f>IFERROR(VLOOKUP(TAB_SAIDA[[#This Row],[COD_2_SAIDA]],TAB_ESTOQUE[[Codigo]:[Referência Tec]],7,FALSE),"")</f>
        <v>0</v>
      </c>
      <c r="D812" s="14" t="str">
        <f>VLOOKUP(TAB_SAIDA[[#This Row],[COD_2_SAIDA]],TAB_ESTOQUE[[Codigo]:[Endereço2]],12,FALSE)</f>
        <v>E2406</v>
      </c>
      <c r="E812" s="81">
        <f>SUM(TAB_SAIDA[[#This Row],[20/05/2019]:[00/00/00]])</f>
        <v>0</v>
      </c>
      <c r="F812" s="3"/>
    </row>
    <row r="813" spans="1:620" ht="15" hidden="1" customHeight="1" x14ac:dyDescent="0.25">
      <c r="A813" s="5" t="s">
        <v>2470</v>
      </c>
      <c r="B813" s="14" t="str">
        <f>VLOOKUP(TAB_SAIDA[[#This Row],[COD_2_SAIDA]],TAB_ESTOQUE[[Codigo]:[Descrição Tecnica]],6,FALSE)</f>
        <v>BOMBA RZR CO56-16 (REZINA)</v>
      </c>
      <c r="C813" s="14">
        <f>IFERROR(VLOOKUP(TAB_SAIDA[[#This Row],[COD_2_SAIDA]],TAB_ESTOQUE[[Codigo]:[Referência Tec]],7,FALSE),"")</f>
        <v>0</v>
      </c>
      <c r="D813" s="14" t="str">
        <f>VLOOKUP(TAB_SAIDA[[#This Row],[COD_2_SAIDA]],TAB_ESTOQUE[[Codigo]:[Endereço2]],12,FALSE)</f>
        <v>E2306</v>
      </c>
      <c r="E813" s="81">
        <f>SUM(TAB_SAIDA[[#This Row],[20/05/2019]:[00/00/00]])</f>
        <v>0</v>
      </c>
      <c r="F813" s="3"/>
    </row>
    <row r="814" spans="1:620" ht="15" hidden="1" customHeight="1" x14ac:dyDescent="0.25">
      <c r="A814" s="5" t="s">
        <v>2471</v>
      </c>
      <c r="B814" s="14" t="str">
        <f>VLOOKUP(TAB_SAIDA[[#This Row],[COD_2_SAIDA]],TAB_ESTOQUE[[Codigo]:[Descrição Tecnica]],6,FALSE)</f>
        <v>RESISTENCIA  TUB INOX Ø3/8 ROSCA 1.1/4 230mm 3KW/220V 380V E3</v>
      </c>
      <c r="C814" s="14">
        <f>IFERROR(VLOOKUP(TAB_SAIDA[[#This Row],[COD_2_SAIDA]],TAB_ESTOQUE[[Codigo]:[Referência Tec]],7,FALSE),"")</f>
        <v>0</v>
      </c>
      <c r="D814" s="14" t="str">
        <f>VLOOKUP(TAB_SAIDA[[#This Row],[COD_2_SAIDA]],TAB_ESTOQUE[[Codigo]:[Endereço2]],12,FALSE)</f>
        <v>A1206</v>
      </c>
      <c r="E814" s="81">
        <f>SUM(TAB_SAIDA[[#This Row],[20/05/2019]:[00/00/00]])</f>
        <v>0</v>
      </c>
      <c r="F814" s="3"/>
    </row>
    <row r="815" spans="1:620" ht="15" hidden="1" customHeight="1" x14ac:dyDescent="0.25">
      <c r="A815" s="5" t="s">
        <v>2472</v>
      </c>
      <c r="B815" s="14" t="str">
        <f>VLOOKUP(TAB_SAIDA[[#This Row],[COD_2_SAIDA]],TAB_ESTOQUE[[Codigo]:[Descrição Tecnica]],6,FALSE)</f>
        <v>TRANSMISSOR DE PRESSÃO XMLR040G2P05</v>
      </c>
      <c r="C815" s="14">
        <f>IFERROR(VLOOKUP(TAB_SAIDA[[#This Row],[COD_2_SAIDA]],TAB_ESTOQUE[[Codigo]:[Referência Tec]],7,FALSE),"")</f>
        <v>0</v>
      </c>
      <c r="D815" s="14" t="str">
        <f>VLOOKUP(TAB_SAIDA[[#This Row],[COD_2_SAIDA]],TAB_ESTOQUE[[Codigo]:[Endereço2]],12,FALSE)</f>
        <v>G1104</v>
      </c>
      <c r="E815" s="81">
        <f>SUM(TAB_SAIDA[[#This Row],[20/05/2019]:[00/00/00]])</f>
        <v>0</v>
      </c>
      <c r="F815" s="3"/>
    </row>
    <row r="816" spans="1:620" ht="15" hidden="1" customHeight="1" x14ac:dyDescent="0.25">
      <c r="A816" s="5" t="s">
        <v>2473</v>
      </c>
      <c r="B816" s="14" t="str">
        <f>VLOOKUP(TAB_SAIDA[[#This Row],[COD_2_SAIDA]],TAB_ESTOQUE[[Codigo]:[Descrição Tecnica]],6,FALSE)</f>
        <v>TRANSMISSOR DE PRESSÃO BSP001A (BALLUFF)</v>
      </c>
      <c r="C816" s="14">
        <f>IFERROR(VLOOKUP(TAB_SAIDA[[#This Row],[COD_2_SAIDA]],TAB_ESTOQUE[[Codigo]:[Referência Tec]],7,FALSE),"")</f>
        <v>0</v>
      </c>
      <c r="D816" s="14" t="str">
        <f>VLOOKUP(TAB_SAIDA[[#This Row],[COD_2_SAIDA]],TAB_ESTOQUE[[Codigo]:[Endereço2]],12,FALSE)</f>
        <v>G1104</v>
      </c>
      <c r="E816" s="81">
        <f>SUM(TAB_SAIDA[[#This Row],[20/05/2019]:[00/00/00]])</f>
        <v>0</v>
      </c>
      <c r="F816" s="3"/>
    </row>
    <row r="817" spans="1:610" ht="15" hidden="1" customHeight="1" x14ac:dyDescent="0.25">
      <c r="A817" s="5" t="s">
        <v>2474</v>
      </c>
      <c r="B817" s="14" t="str">
        <f>VLOOKUP(TAB_SAIDA[[#This Row],[COD_2_SAIDA]],TAB_ESTOQUE[[Codigo]:[Descrição Tecnica]],6,FALSE)</f>
        <v>SENSOR DE PRESSÃO  XMLR010G1P25</v>
      </c>
      <c r="C817" s="14">
        <f>IFERROR(VLOOKUP(TAB_SAIDA[[#This Row],[COD_2_SAIDA]],TAB_ESTOQUE[[Codigo]:[Referência Tec]],7,FALSE),"")</f>
        <v>0</v>
      </c>
      <c r="D817" s="14" t="str">
        <f>VLOOKUP(TAB_SAIDA[[#This Row],[COD_2_SAIDA]],TAB_ESTOQUE[[Codigo]:[Endereço2]],12,FALSE)</f>
        <v>G1104</v>
      </c>
      <c r="E817" s="81">
        <f>SUM(TAB_SAIDA[[#This Row],[20/05/2019]:[00/00/00]])</f>
        <v>0</v>
      </c>
      <c r="F817" s="3"/>
    </row>
    <row r="818" spans="1:610" ht="15" hidden="1" customHeight="1" x14ac:dyDescent="0.25">
      <c r="A818" s="5" t="s">
        <v>2475</v>
      </c>
      <c r="B818" s="14" t="str">
        <f>VLOOKUP(TAB_SAIDA[[#This Row],[COD_2_SAIDA]],TAB_ESTOQUE[[Codigo]:[Descrição Tecnica]],6,FALSE)</f>
        <v>MANOMETRO COM ROSCA 1/8" 160PSI 11BAR 1.1MPA</v>
      </c>
      <c r="C818" s="14">
        <f>IFERROR(VLOOKUP(TAB_SAIDA[[#This Row],[COD_2_SAIDA]],TAB_ESTOQUE[[Codigo]:[Referência Tec]],7,FALSE),"")</f>
        <v>0</v>
      </c>
      <c r="D818" s="14" t="str">
        <f>VLOOKUP(TAB_SAIDA[[#This Row],[COD_2_SAIDA]],TAB_ESTOQUE[[Codigo]:[Endereço2]],12,FALSE)</f>
        <v>E2404</v>
      </c>
      <c r="E818" s="81">
        <f>SUM(TAB_SAIDA[[#This Row],[20/05/2019]:[00/00/00]])</f>
        <v>0</v>
      </c>
      <c r="F818" s="3"/>
    </row>
    <row r="819" spans="1:610" ht="15" hidden="1" customHeight="1" x14ac:dyDescent="0.25">
      <c r="A819" s="5" t="s">
        <v>2476</v>
      </c>
      <c r="B819" s="14" t="str">
        <f>VLOOKUP(TAB_SAIDA[[#This Row],[COD_2_SAIDA]],TAB_ESTOQUE[[Codigo]:[Descrição Tecnica]],6,FALSE)</f>
        <v>MANOMETRO COM ROSCA 1/4" HORIZONTAL 150PSI 10BAR</v>
      </c>
      <c r="C819" s="14">
        <f>IFERROR(VLOOKUP(TAB_SAIDA[[#This Row],[COD_2_SAIDA]],TAB_ESTOQUE[[Codigo]:[Referência Tec]],7,FALSE),"")</f>
        <v>0</v>
      </c>
      <c r="D819" s="14" t="str">
        <f>VLOOKUP(TAB_SAIDA[[#This Row],[COD_2_SAIDA]],TAB_ESTOQUE[[Codigo]:[Endereço2]],12,FALSE)</f>
        <v>E2404</v>
      </c>
      <c r="E819" s="81">
        <f>SUM(TAB_SAIDA[[#This Row],[20/05/2019]:[00/00/00]])</f>
        <v>0</v>
      </c>
      <c r="F819" s="3"/>
    </row>
    <row r="820" spans="1:610" ht="15" hidden="1" customHeight="1" x14ac:dyDescent="0.25">
      <c r="A820" s="5" t="s">
        <v>2477</v>
      </c>
      <c r="B820" s="14" t="str">
        <f>VLOOKUP(TAB_SAIDA[[#This Row],[COD_2_SAIDA]],TAB_ESTOQUE[[Codigo]:[Descrição Tecnica]],6,FALSE)</f>
        <v>VALVULA DE RETENÇÃO PARA ISOCIANATO 1"</v>
      </c>
      <c r="C820" s="14">
        <f>IFERROR(VLOOKUP(TAB_SAIDA[[#This Row],[COD_2_SAIDA]],TAB_ESTOQUE[[Codigo]:[Referência Tec]],7,FALSE),"")</f>
        <v>0</v>
      </c>
      <c r="D820" s="14" t="str">
        <f>VLOOKUP(TAB_SAIDA[[#This Row],[COD_2_SAIDA]],TAB_ESTOQUE[[Codigo]:[Endereço2]],12,FALSE)</f>
        <v>E2403</v>
      </c>
      <c r="E820" s="81">
        <f>SUM(TAB_SAIDA[[#This Row],[20/05/2019]:[00/00/00]])</f>
        <v>0</v>
      </c>
      <c r="F820" s="3"/>
    </row>
    <row r="821" spans="1:610" ht="15" hidden="1" customHeight="1" x14ac:dyDescent="0.25">
      <c r="A821" s="5" t="s">
        <v>2478</v>
      </c>
      <c r="B821" s="14" t="str">
        <f>VLOOKUP(TAB_SAIDA[[#This Row],[COD_2_SAIDA]],TAB_ESTOQUE[[Codigo]:[Descrição Tecnica]],6,FALSE)</f>
        <v>VALVULA DE RETENÇÃO PARA ISOCIANATO 2"</v>
      </c>
      <c r="C821" s="14">
        <f>IFERROR(VLOOKUP(TAB_SAIDA[[#This Row],[COD_2_SAIDA]],TAB_ESTOQUE[[Codigo]:[Referência Tec]],7,FALSE),"")</f>
        <v>0</v>
      </c>
      <c r="D821" s="14" t="str">
        <f>VLOOKUP(TAB_SAIDA[[#This Row],[COD_2_SAIDA]],TAB_ESTOQUE[[Codigo]:[Endereço2]],12,FALSE)</f>
        <v>E2403</v>
      </c>
      <c r="E821" s="81">
        <f>SUM(TAB_SAIDA[[#This Row],[20/05/2019]:[00/00/00]])</f>
        <v>0</v>
      </c>
      <c r="F821" s="3"/>
    </row>
    <row r="822" spans="1:610" ht="15" hidden="1" customHeight="1" x14ac:dyDescent="0.25">
      <c r="A822" s="5" t="s">
        <v>2479</v>
      </c>
      <c r="B822" s="14" t="str">
        <f>VLOOKUP(TAB_SAIDA[[#This Row],[COD_2_SAIDA]],TAB_ESTOQUE[[Codigo]:[Descrição Tecnica]],6,FALSE)</f>
        <v xml:space="preserve">PONTA MONTADA B21  </v>
      </c>
      <c r="C822" s="14">
        <f>IFERROR(VLOOKUP(TAB_SAIDA[[#This Row],[COD_2_SAIDA]],TAB_ESTOQUE[[Codigo]:[Referência Tec]],7,FALSE),"")</f>
        <v>0</v>
      </c>
      <c r="D822" s="14" t="str">
        <f>VLOOKUP(TAB_SAIDA[[#This Row],[COD_2_SAIDA]],TAB_ESTOQUE[[Codigo]:[Endereço2]],12,FALSE)</f>
        <v>E2405</v>
      </c>
      <c r="E822" s="81">
        <f>SUM(TAB_SAIDA[[#This Row],[20/05/2019]:[00/00/00]])</f>
        <v>0</v>
      </c>
      <c r="F822" s="3"/>
    </row>
    <row r="823" spans="1:610" ht="15" hidden="1" customHeight="1" x14ac:dyDescent="0.25">
      <c r="A823" s="5" t="s">
        <v>2480</v>
      </c>
      <c r="B823" s="14" t="str">
        <f>VLOOKUP(TAB_SAIDA[[#This Row],[COD_2_SAIDA]],TAB_ESTOQUE[[Codigo]:[Descrição Tecnica]],6,FALSE)</f>
        <v>PONTA MONTADA A-004</v>
      </c>
      <c r="C823" s="14">
        <f>IFERROR(VLOOKUP(TAB_SAIDA[[#This Row],[COD_2_SAIDA]],TAB_ESTOQUE[[Codigo]:[Referência Tec]],7,FALSE),"")</f>
        <v>0</v>
      </c>
      <c r="D823" s="14" t="str">
        <f>VLOOKUP(TAB_SAIDA[[#This Row],[COD_2_SAIDA]],TAB_ESTOQUE[[Codigo]:[Endereço2]],12,FALSE)</f>
        <v>E2405</v>
      </c>
      <c r="E823" s="81">
        <f>SUM(TAB_SAIDA[[#This Row],[20/05/2019]:[00/00/00]])</f>
        <v>0</v>
      </c>
      <c r="F823" s="3"/>
    </row>
    <row r="824" spans="1:610" ht="15" hidden="1" customHeight="1" x14ac:dyDescent="0.25">
      <c r="A824" s="5" t="s">
        <v>2481</v>
      </c>
      <c r="B824" s="14" t="str">
        <f>VLOOKUP(TAB_SAIDA[[#This Row],[COD_2_SAIDA]],TAB_ESTOQUE[[Codigo]:[Descrição Tecnica]],6,FALSE)</f>
        <v>PONTA MONTADA A22</v>
      </c>
      <c r="C824" s="14">
        <f>IFERROR(VLOOKUP(TAB_SAIDA[[#This Row],[COD_2_SAIDA]],TAB_ESTOQUE[[Codigo]:[Referência Tec]],7,FALSE),"")</f>
        <v>0</v>
      </c>
      <c r="D824" s="14" t="str">
        <f>VLOOKUP(TAB_SAIDA[[#This Row],[COD_2_SAIDA]],TAB_ESTOQUE[[Codigo]:[Endereço2]],12,FALSE)</f>
        <v>E2405</v>
      </c>
      <c r="E824" s="81">
        <f>SUM(TAB_SAIDA[[#This Row],[20/05/2019]:[00/00/00]])</f>
        <v>1</v>
      </c>
      <c r="F824" s="3"/>
      <c r="WL824" s="3">
        <v>1</v>
      </c>
    </row>
    <row r="825" spans="1:610" ht="15" hidden="1" customHeight="1" x14ac:dyDescent="0.25">
      <c r="A825" s="5" t="s">
        <v>2482</v>
      </c>
      <c r="B825" s="14" t="str">
        <f>VLOOKUP(TAB_SAIDA[[#This Row],[COD_2_SAIDA]],TAB_ESTOQUE[[Codigo]:[Descrição Tecnica]],6,FALSE)</f>
        <v>PONTA MONTADA A-024</v>
      </c>
      <c r="C825" s="14">
        <f>IFERROR(VLOOKUP(TAB_SAIDA[[#This Row],[COD_2_SAIDA]],TAB_ESTOQUE[[Codigo]:[Referência Tec]],7,FALSE),"")</f>
        <v>0</v>
      </c>
      <c r="D825" s="14" t="str">
        <f>VLOOKUP(TAB_SAIDA[[#This Row],[COD_2_SAIDA]],TAB_ESTOQUE[[Codigo]:[Endereço2]],12,FALSE)</f>
        <v>E2405</v>
      </c>
      <c r="E825" s="81">
        <f>SUM(TAB_SAIDA[[#This Row],[20/05/2019]:[00/00/00]])</f>
        <v>0</v>
      </c>
      <c r="F825" s="3"/>
    </row>
    <row r="826" spans="1:610" ht="15" hidden="1" customHeight="1" x14ac:dyDescent="0.25">
      <c r="A826" s="5" t="s">
        <v>2483</v>
      </c>
      <c r="B826" s="14" t="str">
        <f>VLOOKUP(TAB_SAIDA[[#This Row],[COD_2_SAIDA]],TAB_ESTOQUE[[Codigo]:[Descrição Tecnica]],6,FALSE)</f>
        <v>PONTA MONTADA A35</v>
      </c>
      <c r="C826" s="14">
        <f>IFERROR(VLOOKUP(TAB_SAIDA[[#This Row],[COD_2_SAIDA]],TAB_ESTOQUE[[Codigo]:[Referência Tec]],7,FALSE),"")</f>
        <v>0</v>
      </c>
      <c r="D826" s="14" t="str">
        <f>VLOOKUP(TAB_SAIDA[[#This Row],[COD_2_SAIDA]],TAB_ESTOQUE[[Codigo]:[Endereço2]],12,FALSE)</f>
        <v>E2405</v>
      </c>
      <c r="E826" s="81">
        <f>SUM(TAB_SAIDA[[#This Row],[20/05/2019]:[00/00/00]])</f>
        <v>0</v>
      </c>
      <c r="F826" s="3"/>
    </row>
    <row r="827" spans="1:610" ht="15" hidden="1" customHeight="1" x14ac:dyDescent="0.25">
      <c r="A827" s="5" t="s">
        <v>2484</v>
      </c>
      <c r="B827" s="14" t="str">
        <f>VLOOKUP(TAB_SAIDA[[#This Row],[COD_2_SAIDA]],TAB_ESTOQUE[[Codigo]:[Descrição Tecnica]],6,FALSE)</f>
        <v>PONTA MONTADA B41</v>
      </c>
      <c r="C827" s="14">
        <f>IFERROR(VLOOKUP(TAB_SAIDA[[#This Row],[COD_2_SAIDA]],TAB_ESTOQUE[[Codigo]:[Referência Tec]],7,FALSE),"")</f>
        <v>0</v>
      </c>
      <c r="D827" s="14" t="str">
        <f>VLOOKUP(TAB_SAIDA[[#This Row],[COD_2_SAIDA]],TAB_ESTOQUE[[Codigo]:[Endereço2]],12,FALSE)</f>
        <v>E2405</v>
      </c>
      <c r="E827" s="81">
        <f>SUM(TAB_SAIDA[[#This Row],[20/05/2019]:[00/00/00]])</f>
        <v>0</v>
      </c>
      <c r="F827" s="3"/>
    </row>
    <row r="828" spans="1:610" ht="15" hidden="1" customHeight="1" x14ac:dyDescent="0.25">
      <c r="A828" s="5" t="s">
        <v>2485</v>
      </c>
      <c r="B828" s="14" t="str">
        <f>VLOOKUP(TAB_SAIDA[[#This Row],[COD_2_SAIDA]],TAB_ESTOQUE[[Codigo]:[Descrição Tecnica]],6,FALSE)</f>
        <v>PONTA MONTADA A5</v>
      </c>
      <c r="C828" s="14">
        <f>IFERROR(VLOOKUP(TAB_SAIDA[[#This Row],[COD_2_SAIDA]],TAB_ESTOQUE[[Codigo]:[Referência Tec]],7,FALSE),"")</f>
        <v>0</v>
      </c>
      <c r="D828" s="14" t="str">
        <f>VLOOKUP(TAB_SAIDA[[#This Row],[COD_2_SAIDA]],TAB_ESTOQUE[[Codigo]:[Endereço2]],12,FALSE)</f>
        <v>E2405</v>
      </c>
      <c r="E828" s="81">
        <f>SUM(TAB_SAIDA[[#This Row],[20/05/2019]:[00/00/00]])</f>
        <v>0</v>
      </c>
      <c r="F828" s="3"/>
    </row>
    <row r="829" spans="1:610" ht="15" hidden="1" customHeight="1" x14ac:dyDescent="0.25">
      <c r="A829" s="5" t="s">
        <v>2486</v>
      </c>
      <c r="B829" s="14" t="str">
        <f>VLOOKUP(TAB_SAIDA[[#This Row],[COD_2_SAIDA]],TAB_ESTOQUE[[Codigo]:[Descrição Tecnica]],6,FALSE)</f>
        <v>PONTA MONTADA A18</v>
      </c>
      <c r="C829" s="14">
        <f>IFERROR(VLOOKUP(TAB_SAIDA[[#This Row],[COD_2_SAIDA]],TAB_ESTOQUE[[Codigo]:[Referência Tec]],7,FALSE),"")</f>
        <v>0</v>
      </c>
      <c r="D829" s="14" t="str">
        <f>VLOOKUP(TAB_SAIDA[[#This Row],[COD_2_SAIDA]],TAB_ESTOQUE[[Codigo]:[Endereço2]],12,FALSE)</f>
        <v>E2405</v>
      </c>
      <c r="E829" s="81">
        <f>SUM(TAB_SAIDA[[#This Row],[20/05/2019]:[00/00/00]])</f>
        <v>0</v>
      </c>
      <c r="F829" s="3"/>
    </row>
    <row r="830" spans="1:610" ht="15" hidden="1" customHeight="1" x14ac:dyDescent="0.25">
      <c r="A830" s="5" t="s">
        <v>2487</v>
      </c>
      <c r="B830" s="14" t="str">
        <f>VLOOKUP(TAB_SAIDA[[#This Row],[COD_2_SAIDA]],TAB_ESTOQUE[[Codigo]:[Descrição Tecnica]],6,FALSE)</f>
        <v>PONTA MONTADA A24</v>
      </c>
      <c r="C830" s="14">
        <f>IFERROR(VLOOKUP(TAB_SAIDA[[#This Row],[COD_2_SAIDA]],TAB_ESTOQUE[[Codigo]:[Referência Tec]],7,FALSE),"")</f>
        <v>0</v>
      </c>
      <c r="D830" s="14" t="str">
        <f>VLOOKUP(TAB_SAIDA[[#This Row],[COD_2_SAIDA]],TAB_ESTOQUE[[Codigo]:[Endereço2]],12,FALSE)</f>
        <v>E2405</v>
      </c>
      <c r="E830" s="81">
        <f>SUM(TAB_SAIDA[[#This Row],[20/05/2019]:[00/00/00]])</f>
        <v>0</v>
      </c>
      <c r="F830" s="3"/>
    </row>
    <row r="831" spans="1:610" ht="15" hidden="1" customHeight="1" x14ac:dyDescent="0.25">
      <c r="A831" s="5" t="s">
        <v>2488</v>
      </c>
      <c r="B831" s="14" t="str">
        <f>VLOOKUP(TAB_SAIDA[[#This Row],[COD_2_SAIDA]],TAB_ESTOQUE[[Codigo]:[Descrição Tecnica]],6,FALSE)</f>
        <v>PONTA MANTADA A34</v>
      </c>
      <c r="C831" s="14">
        <f>IFERROR(VLOOKUP(TAB_SAIDA[[#This Row],[COD_2_SAIDA]],TAB_ESTOQUE[[Codigo]:[Referência Tec]],7,FALSE),"")</f>
        <v>0</v>
      </c>
      <c r="D831" s="14" t="str">
        <f>VLOOKUP(TAB_SAIDA[[#This Row],[COD_2_SAIDA]],TAB_ESTOQUE[[Codigo]:[Endereço2]],12,FALSE)</f>
        <v>E2405</v>
      </c>
      <c r="E831" s="81">
        <f>SUM(TAB_SAIDA[[#This Row],[20/05/2019]:[00/00/00]])</f>
        <v>0</v>
      </c>
      <c r="F831" s="3"/>
    </row>
    <row r="832" spans="1:610" ht="15" hidden="1" customHeight="1" x14ac:dyDescent="0.25">
      <c r="A832" s="5" t="s">
        <v>2489</v>
      </c>
      <c r="B832" s="14" t="str">
        <f>VLOOKUP(TAB_SAIDA[[#This Row],[COD_2_SAIDA]],TAB_ESTOQUE[[Codigo]:[Descrição Tecnica]],6,FALSE)</f>
        <v>PONTA MONTADA B52</v>
      </c>
      <c r="C832" s="14">
        <f>IFERROR(VLOOKUP(TAB_SAIDA[[#This Row],[COD_2_SAIDA]],TAB_ESTOQUE[[Codigo]:[Referência Tec]],7,FALSE),"")</f>
        <v>0</v>
      </c>
      <c r="D832" s="14" t="str">
        <f>VLOOKUP(TAB_SAIDA[[#This Row],[COD_2_SAIDA]],TAB_ESTOQUE[[Codigo]:[Endereço2]],12,FALSE)</f>
        <v>E2405</v>
      </c>
      <c r="E832" s="81">
        <f>SUM(TAB_SAIDA[[#This Row],[20/05/2019]:[00/00/00]])</f>
        <v>0</v>
      </c>
      <c r="F832" s="3"/>
    </row>
    <row r="833" spans="1:622" ht="15" hidden="1" customHeight="1" x14ac:dyDescent="0.25">
      <c r="A833" s="5" t="s">
        <v>2490</v>
      </c>
      <c r="B833" s="14" t="str">
        <f>VLOOKUP(TAB_SAIDA[[#This Row],[COD_2_SAIDA]],TAB_ESTOQUE[[Codigo]:[Descrição Tecnica]],6,FALSE)</f>
        <v>PONTA MONTADA A21</v>
      </c>
      <c r="C833" s="14">
        <f>IFERROR(VLOOKUP(TAB_SAIDA[[#This Row],[COD_2_SAIDA]],TAB_ESTOQUE[[Codigo]:[Referência Tec]],7,FALSE),"")</f>
        <v>0</v>
      </c>
      <c r="D833" s="14" t="str">
        <f>VLOOKUP(TAB_SAIDA[[#This Row],[COD_2_SAIDA]],TAB_ESTOQUE[[Codigo]:[Endereço2]],12,FALSE)</f>
        <v>E2405</v>
      </c>
      <c r="E833" s="81">
        <f>SUM(TAB_SAIDA[[#This Row],[20/05/2019]:[00/00/00]])</f>
        <v>0</v>
      </c>
      <c r="F833" s="3"/>
    </row>
    <row r="834" spans="1:622" ht="15" hidden="1" customHeight="1" x14ac:dyDescent="0.25">
      <c r="A834" s="5" t="s">
        <v>2491</v>
      </c>
      <c r="B834" s="14" t="str">
        <f>VLOOKUP(TAB_SAIDA[[#This Row],[COD_2_SAIDA]],TAB_ESTOQUE[[Codigo]:[Descrição Tecnica]],6,FALSE)</f>
        <v>PONTA MONTADA A36</v>
      </c>
      <c r="C834" s="14">
        <f>IFERROR(VLOOKUP(TAB_SAIDA[[#This Row],[COD_2_SAIDA]],TAB_ESTOQUE[[Codigo]:[Referência Tec]],7,FALSE),"")</f>
        <v>0</v>
      </c>
      <c r="D834" s="14" t="str">
        <f>VLOOKUP(TAB_SAIDA[[#This Row],[COD_2_SAIDA]],TAB_ESTOQUE[[Codigo]:[Endereço2]],12,FALSE)</f>
        <v>E2405</v>
      </c>
      <c r="E834" s="81">
        <f>SUM(TAB_SAIDA[[#This Row],[20/05/2019]:[00/00/00]])</f>
        <v>0</v>
      </c>
      <c r="F834" s="3"/>
    </row>
    <row r="835" spans="1:622" ht="15" hidden="1" customHeight="1" x14ac:dyDescent="0.25">
      <c r="A835" s="5" t="s">
        <v>2492</v>
      </c>
      <c r="B835" s="14" t="str">
        <f>VLOOKUP(TAB_SAIDA[[#This Row],[COD_2_SAIDA]],TAB_ESTOQUE[[Codigo]:[Descrição Tecnica]],6,FALSE)</f>
        <v>PONTA MONTADA A-004</v>
      </c>
      <c r="C835" s="14">
        <f>IFERROR(VLOOKUP(TAB_SAIDA[[#This Row],[COD_2_SAIDA]],TAB_ESTOQUE[[Codigo]:[Referência Tec]],7,FALSE),"")</f>
        <v>0</v>
      </c>
      <c r="D835" s="14" t="str">
        <f>VLOOKUP(TAB_SAIDA[[#This Row],[COD_2_SAIDA]],TAB_ESTOQUE[[Codigo]:[Endereço2]],12,FALSE)</f>
        <v>E2405</v>
      </c>
      <c r="E835" s="81">
        <f>SUM(TAB_SAIDA[[#This Row],[20/05/2019]:[00/00/00]])</f>
        <v>0</v>
      </c>
      <c r="F835" s="3"/>
    </row>
    <row r="836" spans="1:622" ht="15" hidden="1" customHeight="1" x14ac:dyDescent="0.25">
      <c r="A836" s="5" t="s">
        <v>2493</v>
      </c>
      <c r="B836" s="14" t="str">
        <f>VLOOKUP(TAB_SAIDA[[#This Row],[COD_2_SAIDA]],TAB_ESTOQUE[[Codigo]:[Descrição Tecnica]],6,FALSE)</f>
        <v>MANOMETRO ROSCA 1/8" HORIZONTAL 200PSI 14KGF/CM²</v>
      </c>
      <c r="C836" s="14">
        <f>IFERROR(VLOOKUP(TAB_SAIDA[[#This Row],[COD_2_SAIDA]],TAB_ESTOQUE[[Codigo]:[Referência Tec]],7,FALSE),"")</f>
        <v>0</v>
      </c>
      <c r="D836" s="14" t="str">
        <f>VLOOKUP(TAB_SAIDA[[#This Row],[COD_2_SAIDA]],TAB_ESTOQUE[[Codigo]:[Endereço2]],12,FALSE)</f>
        <v>E2404</v>
      </c>
      <c r="E836" s="81">
        <f>SUM(TAB_SAIDA[[#This Row],[20/05/2019]:[00/00/00]])</f>
        <v>0</v>
      </c>
      <c r="F836" s="3"/>
    </row>
    <row r="837" spans="1:622" ht="15" hidden="1" customHeight="1" x14ac:dyDescent="0.25">
      <c r="A837" s="5" t="s">
        <v>2494</v>
      </c>
      <c r="B837" s="14" t="str">
        <f>VLOOKUP(TAB_SAIDA[[#This Row],[COD_2_SAIDA]],TAB_ESTOQUE[[Codigo]:[Descrição Tecnica]],6,FALSE)</f>
        <v>Desengripante Spray White Lub Super 300 ml</v>
      </c>
      <c r="C837" s="14">
        <f>IFERROR(VLOOKUP(TAB_SAIDA[[#This Row],[COD_2_SAIDA]],TAB_ESTOQUE[[Codigo]:[Referência Tec]],7,FALSE),"")</f>
        <v>0</v>
      </c>
      <c r="D837" s="14" t="str">
        <f>VLOOKUP(TAB_SAIDA[[#This Row],[COD_2_SAIDA]],TAB_ESTOQUE[[Codigo]:[Endereço2]],12,FALSE)</f>
        <v>ARMARIO</v>
      </c>
      <c r="E837" s="81">
        <f>SUM(TAB_SAIDA[[#This Row],[20/05/2019]:[00/00/00]])</f>
        <v>39</v>
      </c>
      <c r="F837" s="3"/>
      <c r="SA837" s="3">
        <v>1</v>
      </c>
      <c r="SK837" s="3">
        <v>1</v>
      </c>
      <c r="SO837" s="3">
        <v>1</v>
      </c>
      <c r="SQ837" s="3">
        <v>1</v>
      </c>
      <c r="SW837" s="3">
        <v>1</v>
      </c>
      <c r="SZ837" s="3">
        <v>1</v>
      </c>
      <c r="TD837" s="3">
        <v>2</v>
      </c>
      <c r="TH837" s="3">
        <v>6</v>
      </c>
      <c r="TN837" s="3">
        <v>2</v>
      </c>
      <c r="TQ837" s="3">
        <v>4</v>
      </c>
      <c r="UI837" s="3">
        <v>1</v>
      </c>
      <c r="UP837" s="3">
        <v>1</v>
      </c>
      <c r="UR837" s="3">
        <v>1</v>
      </c>
      <c r="UV837" s="3">
        <v>1</v>
      </c>
      <c r="UZ837" s="3">
        <v>1</v>
      </c>
      <c r="VD837" s="3">
        <v>1</v>
      </c>
      <c r="VE837" s="3">
        <v>1</v>
      </c>
      <c r="VL837" s="3">
        <v>1</v>
      </c>
      <c r="VQ837" s="3">
        <v>1</v>
      </c>
      <c r="VT837" s="3">
        <v>2</v>
      </c>
      <c r="VX837" s="3">
        <v>1</v>
      </c>
      <c r="WC837" s="3">
        <v>1</v>
      </c>
      <c r="WF837" s="3">
        <v>1</v>
      </c>
      <c r="WP837" s="3">
        <v>1</v>
      </c>
      <c r="WQ837" s="3">
        <v>1</v>
      </c>
      <c r="WS837" s="3">
        <v>1</v>
      </c>
      <c r="WU837" s="3">
        <v>1</v>
      </c>
      <c r="WX837" s="3">
        <v>1</v>
      </c>
    </row>
    <row r="838" spans="1:622" ht="15" hidden="1" customHeight="1" x14ac:dyDescent="0.25">
      <c r="A838" s="5" t="s">
        <v>2495</v>
      </c>
      <c r="B838" s="14" t="str">
        <f>VLOOKUP(TAB_SAIDA[[#This Row],[COD_2_SAIDA]],TAB_ESTOQUE[[Codigo]:[Descrição Tecnica]],6,FALSE)</f>
        <v>VASELINA SPRAY 250ml ORBI-5315</v>
      </c>
      <c r="C838" s="14">
        <f>IFERROR(VLOOKUP(TAB_SAIDA[[#This Row],[COD_2_SAIDA]],TAB_ESTOQUE[[Codigo]:[Referência Tec]],7,FALSE),"")</f>
        <v>0</v>
      </c>
      <c r="D838" s="14" t="str">
        <f>VLOOKUP(TAB_SAIDA[[#This Row],[COD_2_SAIDA]],TAB_ESTOQUE[[Codigo]:[Endereço2]],12,FALSE)</f>
        <v>ARMARIO</v>
      </c>
      <c r="E838" s="81">
        <f>SUM(TAB_SAIDA[[#This Row],[20/05/2019]:[00/00/00]])</f>
        <v>0</v>
      </c>
      <c r="F838" s="3"/>
    </row>
    <row r="839" spans="1:622" ht="15" hidden="1" customHeight="1" x14ac:dyDescent="0.25">
      <c r="A839" s="5" t="s">
        <v>2496</v>
      </c>
      <c r="B839" s="14" t="str">
        <f>VLOOKUP(TAB_SAIDA[[#This Row],[COD_2_SAIDA]],TAB_ESTOQUE[[Codigo]:[Descrição Tecnica]],6,FALSE)</f>
        <v>LUBRIFICANTE SECO GRAFITE SPRAY 300ml ORBI</v>
      </c>
      <c r="C839" s="14">
        <f>IFERROR(VLOOKUP(TAB_SAIDA[[#This Row],[COD_2_SAIDA]],TAB_ESTOQUE[[Codigo]:[Referência Tec]],7,FALSE),"")</f>
        <v>0</v>
      </c>
      <c r="D839" s="14" t="str">
        <f>VLOOKUP(TAB_SAIDA[[#This Row],[COD_2_SAIDA]],TAB_ESTOQUE[[Codigo]:[Endereço2]],12,FALSE)</f>
        <v>ARMARIO</v>
      </c>
      <c r="E839" s="81">
        <f>SUM(TAB_SAIDA[[#This Row],[20/05/2019]:[00/00/00]])</f>
        <v>0</v>
      </c>
      <c r="F839" s="3"/>
    </row>
    <row r="840" spans="1:622" ht="15" hidden="1" customHeight="1" x14ac:dyDescent="0.25">
      <c r="A840" s="5" t="s">
        <v>2497</v>
      </c>
      <c r="B840" s="14" t="str">
        <f>VLOOKUP(TAB_SAIDA[[#This Row],[COD_2_SAIDA]],TAB_ESTOQUE[[Codigo]:[Descrição Tecnica]],6,FALSE)</f>
        <v xml:space="preserve">ADESIVO PARA JUNTAS DE MOTORES DISEL 75g </v>
      </c>
      <c r="C840" s="14">
        <f>IFERROR(VLOOKUP(TAB_SAIDA[[#This Row],[COD_2_SAIDA]],TAB_ESTOQUE[[Codigo]:[Referência Tec]],7,FALSE),"")</f>
        <v>0</v>
      </c>
      <c r="D840" s="14" t="str">
        <f>VLOOKUP(TAB_SAIDA[[#This Row],[COD_2_SAIDA]],TAB_ESTOQUE[[Codigo]:[Endereço2]],12,FALSE)</f>
        <v>ARMARIO</v>
      </c>
      <c r="E840" s="81">
        <f>SUM(TAB_SAIDA[[#This Row],[20/05/2019]:[00/00/00]])</f>
        <v>0</v>
      </c>
      <c r="F840" s="3"/>
    </row>
    <row r="841" spans="1:622" ht="15" hidden="1" customHeight="1" x14ac:dyDescent="0.25">
      <c r="A841" s="5" t="s">
        <v>2498</v>
      </c>
      <c r="B841" s="14" t="str">
        <f>VLOOKUP(TAB_SAIDA[[#This Row],[COD_2_SAIDA]],TAB_ESTOQUE[[Codigo]:[Descrição Tecnica]],6,FALSE)</f>
        <v>MASSA ADESIVA EPOXI DUREPOXI LOCTITE 100g</v>
      </c>
      <c r="C841" s="14">
        <f>IFERROR(VLOOKUP(TAB_SAIDA[[#This Row],[COD_2_SAIDA]],TAB_ESTOQUE[[Codigo]:[Referência Tec]],7,FALSE),"")</f>
        <v>0</v>
      </c>
      <c r="D841" s="14" t="str">
        <f>VLOOKUP(TAB_SAIDA[[#This Row],[COD_2_SAIDA]],TAB_ESTOQUE[[Codigo]:[Endereço2]],12,FALSE)</f>
        <v>ARMARIO</v>
      </c>
      <c r="E841" s="81">
        <f>SUM(TAB_SAIDA[[#This Row],[20/05/2019]:[00/00/00]])</f>
        <v>0</v>
      </c>
      <c r="F841" s="3"/>
    </row>
    <row r="842" spans="1:622" ht="15" hidden="1" customHeight="1" x14ac:dyDescent="0.25">
      <c r="A842" s="5" t="s">
        <v>2499</v>
      </c>
      <c r="B842" s="14" t="str">
        <f>VLOOKUP(TAB_SAIDA[[#This Row],[COD_2_SAIDA]],TAB_ESTOQUE[[Codigo]:[Descrição Tecnica]],6,FALSE)</f>
        <v xml:space="preserve">SILICONE ASSEPTICO PROFISSIONAL 280g </v>
      </c>
      <c r="C842" s="14">
        <f>IFERROR(VLOOKUP(TAB_SAIDA[[#This Row],[COD_2_SAIDA]],TAB_ESTOQUE[[Codigo]:[Referência Tec]],7,FALSE),"")</f>
        <v>0</v>
      </c>
      <c r="D842" s="14" t="str">
        <f>VLOOKUP(TAB_SAIDA[[#This Row],[COD_2_SAIDA]],TAB_ESTOQUE[[Codigo]:[Endereço2]],12,FALSE)</f>
        <v>ARMARIO</v>
      </c>
      <c r="E842" s="81">
        <f>SUM(TAB_SAIDA[[#This Row],[20/05/2019]:[00/00/00]])</f>
        <v>0</v>
      </c>
      <c r="F842" s="3"/>
    </row>
    <row r="843" spans="1:622" ht="15" hidden="1" customHeight="1" x14ac:dyDescent="0.25">
      <c r="A843" s="5" t="s">
        <v>2500</v>
      </c>
      <c r="B843" s="14" t="str">
        <f>VLOOKUP(TAB_SAIDA[[#This Row],[COD_2_SAIDA]],TAB_ESTOQUE[[Codigo]:[Descrição Tecnica]],6,FALSE)</f>
        <v>CERABAR code; PMP21-1R13/0 -1...100bar 0...100bar 4-20mA Ser.no.: s400d21516A</v>
      </c>
      <c r="C843" s="14">
        <f>IFERROR(VLOOKUP(TAB_SAIDA[[#This Row],[COD_2_SAIDA]],TAB_ESTOQUE[[Codigo]:[Referência Tec]],7,FALSE),"")</f>
        <v>0</v>
      </c>
      <c r="D843" s="14" t="str">
        <f>VLOOKUP(TAB_SAIDA[[#This Row],[COD_2_SAIDA]],TAB_ESTOQUE[[Codigo]:[Endereço2]],12,FALSE)</f>
        <v>B1104</v>
      </c>
      <c r="E843" s="81">
        <f>SUM(TAB_SAIDA[[#This Row],[20/05/2019]:[00/00/00]])</f>
        <v>0</v>
      </c>
      <c r="F843" s="3"/>
    </row>
    <row r="844" spans="1:622" ht="15" hidden="1" customHeight="1" x14ac:dyDescent="0.25">
      <c r="A844" s="5" t="s">
        <v>2501</v>
      </c>
      <c r="B844" s="14" t="str">
        <f>VLOOKUP(TAB_SAIDA[[#This Row],[COD_2_SAIDA]],TAB_ESTOQUE[[Codigo]:[Descrição Tecnica]],6,FALSE)</f>
        <v>LIMPA CONTATO SPRAY 7349  300ML WURTH</v>
      </c>
      <c r="C844" s="14">
        <f>IFERROR(VLOOKUP(TAB_SAIDA[[#This Row],[COD_2_SAIDA]],TAB_ESTOQUE[[Codigo]:[Referência Tec]],7,FALSE),"")</f>
        <v>0</v>
      </c>
      <c r="D844" s="14" t="str">
        <f>VLOOKUP(TAB_SAIDA[[#This Row],[COD_2_SAIDA]],TAB_ESTOQUE[[Codigo]:[Endereço2]],12,FALSE)</f>
        <v>ARMARIO</v>
      </c>
      <c r="E844" s="81">
        <f>SUM(TAB_SAIDA[[#This Row],[20/05/2019]:[00/00/00]])</f>
        <v>32</v>
      </c>
      <c r="F844" s="3"/>
      <c r="SM844" s="3">
        <v>1</v>
      </c>
      <c r="TV844" s="3">
        <v>1</v>
      </c>
      <c r="TY844" s="3">
        <v>2</v>
      </c>
      <c r="UC844" s="3">
        <v>2</v>
      </c>
      <c r="UF844" s="3">
        <v>1</v>
      </c>
      <c r="UP844" s="3">
        <v>1</v>
      </c>
      <c r="UQ844" s="3">
        <v>2</v>
      </c>
      <c r="US844" s="3">
        <v>1</v>
      </c>
      <c r="UT844" s="3">
        <v>1</v>
      </c>
      <c r="UV844" s="3">
        <v>1</v>
      </c>
      <c r="UY844" s="3">
        <v>2</v>
      </c>
      <c r="UZ844" s="3">
        <v>2</v>
      </c>
      <c r="VC844" s="3">
        <v>1</v>
      </c>
      <c r="VE844" s="3">
        <v>1</v>
      </c>
      <c r="VF844" s="3">
        <v>1</v>
      </c>
      <c r="VG844" s="3">
        <v>1</v>
      </c>
      <c r="VI844" s="3">
        <v>1</v>
      </c>
      <c r="VO844" s="3">
        <v>1</v>
      </c>
      <c r="VQ844" s="3">
        <v>2</v>
      </c>
      <c r="VS844" s="3">
        <v>1</v>
      </c>
      <c r="VV844" s="3">
        <v>1</v>
      </c>
      <c r="WA844" s="3">
        <v>2</v>
      </c>
      <c r="WE844" s="3">
        <v>1</v>
      </c>
      <c r="WN844" s="3">
        <v>1</v>
      </c>
      <c r="WW844" s="3">
        <v>1</v>
      </c>
    </row>
    <row r="845" spans="1:622" ht="15" hidden="1" customHeight="1" x14ac:dyDescent="0.25">
      <c r="A845" s="5" t="s">
        <v>2502</v>
      </c>
      <c r="B845" s="14" t="str">
        <f>VLOOKUP(TAB_SAIDA[[#This Row],[COD_2_SAIDA]],TAB_ESTOQUE[[Codigo]:[Descrição Tecnica]],6,FALSE)</f>
        <v>PLACA ELETRONICA DO CLP 047-68969390</v>
      </c>
      <c r="C845" s="14">
        <f>IFERROR(VLOOKUP(TAB_SAIDA[[#This Row],[COD_2_SAIDA]],TAB_ESTOQUE[[Codigo]:[Referência Tec]],7,FALSE),"")</f>
        <v>0</v>
      </c>
      <c r="D845" s="14" t="str">
        <f>VLOOKUP(TAB_SAIDA[[#This Row],[COD_2_SAIDA]],TAB_ESTOQUE[[Codigo]:[Endereço2]],12,FALSE)</f>
        <v>A1102</v>
      </c>
      <c r="E845" s="81">
        <f>SUM(TAB_SAIDA[[#This Row],[20/05/2019]:[00/00/00]])</f>
        <v>0</v>
      </c>
      <c r="F845" s="3"/>
    </row>
    <row r="846" spans="1:622" ht="15" hidden="1" customHeight="1" x14ac:dyDescent="0.25">
      <c r="A846" s="5" t="s">
        <v>2503</v>
      </c>
      <c r="B846" s="14" t="str">
        <f>VLOOKUP(TAB_SAIDA[[#This Row],[COD_2_SAIDA]],TAB_ESTOQUE[[Codigo]:[Descrição Tecnica]],6,FALSE)</f>
        <v>CABEÇOTE- REF. DHV1218 - 2K</v>
      </c>
      <c r="C846" s="14">
        <f>IFERROR(VLOOKUP(TAB_SAIDA[[#This Row],[COD_2_SAIDA]],TAB_ESTOQUE[[Codigo]:[Referência Tec]],7,FALSE),"")</f>
        <v>0</v>
      </c>
      <c r="D846" s="14" t="str">
        <f>VLOOKUP(TAB_SAIDA[[#This Row],[COD_2_SAIDA]],TAB_ESTOQUE[[Codigo]:[Endereço2]],12,FALSE)</f>
        <v>E2103</v>
      </c>
      <c r="E846" s="81">
        <f>SUM(TAB_SAIDA[[#This Row],[20/05/2019]:[00/00/00]])</f>
        <v>0</v>
      </c>
      <c r="F846" s="3"/>
    </row>
    <row r="847" spans="1:622" ht="15" hidden="1" customHeight="1" x14ac:dyDescent="0.25">
      <c r="A847" s="5" t="s">
        <v>2504</v>
      </c>
      <c r="B847" s="14" t="str">
        <f>VLOOKUP(TAB_SAIDA[[#This Row],[COD_2_SAIDA]],TAB_ESTOQUE[[Codigo]:[Descrição Tecnica]],6,FALSE)</f>
        <v>BOMBA DE VACUO MOD: G-BH1 2BH1310-7HH26</v>
      </c>
      <c r="C847" s="14">
        <f>IFERROR(VLOOKUP(TAB_SAIDA[[#This Row],[COD_2_SAIDA]],TAB_ESTOQUE[[Codigo]:[Referência Tec]],7,FALSE),"")</f>
        <v>0</v>
      </c>
      <c r="D847" s="14" t="str">
        <f>VLOOKUP(TAB_SAIDA[[#This Row],[COD_2_SAIDA]],TAB_ESTOQUE[[Codigo]:[Endereço2]],12,FALSE)</f>
        <v>E2104</v>
      </c>
      <c r="E847" s="81">
        <f>SUM(TAB_SAIDA[[#This Row],[20/05/2019]:[00/00/00]])</f>
        <v>0</v>
      </c>
      <c r="F847" s="3"/>
    </row>
    <row r="848" spans="1:622" ht="15" hidden="1" customHeight="1" x14ac:dyDescent="0.25">
      <c r="A848" s="5" t="s">
        <v>2505</v>
      </c>
      <c r="B848" s="14" t="str">
        <f>VLOOKUP(TAB_SAIDA[[#This Row],[COD_2_SAIDA]],TAB_ESTOQUE[[Codigo]:[Descrição Tecnica]],6,FALSE)</f>
        <v>AQUECEDOR PARA AGUA (MAPRE)</v>
      </c>
      <c r="C848" s="14">
        <f>IFERROR(VLOOKUP(TAB_SAIDA[[#This Row],[COD_2_SAIDA]],TAB_ESTOQUE[[Codigo]:[Referência Tec]],7,FALSE),"")</f>
        <v>0</v>
      </c>
      <c r="D848" s="14" t="str">
        <f>VLOOKUP(TAB_SAIDA[[#This Row],[COD_2_SAIDA]],TAB_ESTOQUE[[Codigo]:[Endereço2]],12,FALSE)</f>
        <v>CORREDOR 5</v>
      </c>
      <c r="E848" s="81">
        <f>SUM(TAB_SAIDA[[#This Row],[20/05/2019]:[00/00/00]])</f>
        <v>0</v>
      </c>
      <c r="F848" s="3"/>
    </row>
    <row r="849" spans="1:6" ht="15" hidden="1" customHeight="1" x14ac:dyDescent="0.25">
      <c r="A849" s="5" t="s">
        <v>2506</v>
      </c>
      <c r="B849" s="14" t="str">
        <f>VLOOKUP(TAB_SAIDA[[#This Row],[COD_2_SAIDA]],TAB_ESTOQUE[[Codigo]:[Descrição Tecnica]],6,FALSE)</f>
        <v xml:space="preserve">NIPLE GALV   (1/2") BSP 280 TUPY  </v>
      </c>
      <c r="C849" s="14">
        <f>IFERROR(VLOOKUP(TAB_SAIDA[[#This Row],[COD_2_SAIDA]],TAB_ESTOQUE[[Codigo]:[Referência Tec]],7,FALSE),"")</f>
        <v>0</v>
      </c>
      <c r="D849" s="14" t="str">
        <f>VLOOKUP(TAB_SAIDA[[#This Row],[COD_2_SAIDA]],TAB_ESTOQUE[[Codigo]:[Endereço2]],12,FALSE)</f>
        <v>F2202</v>
      </c>
      <c r="E849" s="81">
        <f>SUM(TAB_SAIDA[[#This Row],[20/05/2019]:[00/00/00]])</f>
        <v>0</v>
      </c>
      <c r="F849" s="3"/>
    </row>
    <row r="850" spans="1:6" ht="15" hidden="1" customHeight="1" x14ac:dyDescent="0.25">
      <c r="A850" s="5" t="s">
        <v>2507</v>
      </c>
      <c r="B850" s="14" t="str">
        <f>VLOOKUP(TAB_SAIDA[[#This Row],[COD_2_SAIDA]],TAB_ESTOQUE[[Codigo]:[Descrição Tecnica]],6,FALSE)</f>
        <v>NIPLE DE 1"</v>
      </c>
      <c r="C850" s="14">
        <f>IFERROR(VLOOKUP(TAB_SAIDA[[#This Row],[COD_2_SAIDA]],TAB_ESTOQUE[[Codigo]:[Referência Tec]],7,FALSE),"")</f>
        <v>0</v>
      </c>
      <c r="D850" s="14" t="str">
        <f>VLOOKUP(TAB_SAIDA[[#This Row],[COD_2_SAIDA]],TAB_ESTOQUE[[Codigo]:[Endereço2]],12,FALSE)</f>
        <v>F2202</v>
      </c>
      <c r="E850" s="81">
        <f>SUM(TAB_SAIDA[[#This Row],[20/05/2019]:[00/00/00]])</f>
        <v>0</v>
      </c>
      <c r="F850" s="3"/>
    </row>
    <row r="851" spans="1:6" ht="15" hidden="1" customHeight="1" x14ac:dyDescent="0.25">
      <c r="A851" s="5" t="s">
        <v>2508</v>
      </c>
      <c r="B851" s="14" t="str">
        <f>VLOOKUP(TAB_SAIDA[[#This Row],[COD_2_SAIDA]],TAB_ESTOQUE[[Codigo]:[Descrição Tecnica]],6,FALSE)</f>
        <v>BLOCO DE COMANDO BIMANUAL FESTO - REF. ZSB-1/8-B / COD. 576656 (FESTO)</v>
      </c>
      <c r="C851" s="14">
        <f>IFERROR(VLOOKUP(TAB_SAIDA[[#This Row],[COD_2_SAIDA]],TAB_ESTOQUE[[Codigo]:[Referência Tec]],7,FALSE),"")</f>
        <v>0</v>
      </c>
      <c r="D851" s="14" t="str">
        <f>VLOOKUP(TAB_SAIDA[[#This Row],[COD_2_SAIDA]],TAB_ESTOQUE[[Codigo]:[Endereço2]],12,FALSE)</f>
        <v>G1102</v>
      </c>
      <c r="E851" s="81">
        <f>SUM(TAB_SAIDA[[#This Row],[20/05/2019]:[00/00/00]])</f>
        <v>0</v>
      </c>
      <c r="F851" s="3"/>
    </row>
    <row r="852" spans="1:6" ht="15" hidden="1" customHeight="1" x14ac:dyDescent="0.25">
      <c r="A852" s="5" t="s">
        <v>2509</v>
      </c>
      <c r="B852" s="14" t="str">
        <f>VLOOKUP(TAB_SAIDA[[#This Row],[COD_2_SAIDA]],TAB_ESTOQUE[[Codigo]:[Descrição Tecnica]],6,FALSE)</f>
        <v>VÁLVULA REGULADORA DE PRESÃO G1/2 - REF. MS6-LR-1/2-D7-AS / COD. 529993 (FESTO)</v>
      </c>
      <c r="C852" s="14">
        <f>IFERROR(VLOOKUP(TAB_SAIDA[[#This Row],[COD_2_SAIDA]],TAB_ESTOQUE[[Codigo]:[Referência Tec]],7,FALSE),"")</f>
        <v>0</v>
      </c>
      <c r="D852" s="15" t="str">
        <f>VLOOKUP(TAB_SAIDA[[#This Row],[COD_2_SAIDA]],TAB_ESTOQUE[[Codigo]:[Endereço2]],12,FALSE)</f>
        <v>G1103</v>
      </c>
      <c r="E852" s="81">
        <f>SUM(TAB_SAIDA[[#This Row],[20/05/2019]:[00/00/00]])</f>
        <v>0</v>
      </c>
      <c r="F852" s="3"/>
    </row>
    <row r="853" spans="1:6" ht="15" hidden="1" customHeight="1" x14ac:dyDescent="0.25">
      <c r="A853" s="5" t="s">
        <v>2510</v>
      </c>
      <c r="B853" s="14" t="str">
        <f>VLOOKUP(TAB_SAIDA[[#This Row],[COD_2_SAIDA]],TAB_ESTOQUE[[Codigo]:[Descrição Tecnica]],6,FALSE)</f>
        <v>TEMPORIZADOR 20..300SEG PNEUMÁTICO FESTO - REF. PZVT-300-SEC / COD. 150239</v>
      </c>
      <c r="C853" s="14">
        <f>IFERROR(VLOOKUP(TAB_SAIDA[[#This Row],[COD_2_SAIDA]],TAB_ESTOQUE[[Codigo]:[Referência Tec]],7,FALSE),"")</f>
        <v>0</v>
      </c>
      <c r="D853" s="14" t="str">
        <f>VLOOKUP(TAB_SAIDA[[#This Row],[COD_2_SAIDA]],TAB_ESTOQUE[[Codigo]:[Endereço2]],12,FALSE)</f>
        <v>G1103</v>
      </c>
      <c r="E853" s="81">
        <f>SUM(TAB_SAIDA[[#This Row],[20/05/2019]:[00/00/00]])</f>
        <v>0</v>
      </c>
      <c r="F853" s="3"/>
    </row>
    <row r="854" spans="1:6" ht="15" hidden="1" customHeight="1" x14ac:dyDescent="0.25">
      <c r="A854" s="5" t="s">
        <v>2511</v>
      </c>
      <c r="B854" s="14" t="str">
        <f>VLOOKUP(TAB_SAIDA[[#This Row],[COD_2_SAIDA]],TAB_ESTOQUE[[Codigo]:[Descrição Tecnica]],6,FALSE)</f>
        <v>VÁLVULA PNEUMÁTICA 5/3 VIAS CENTRO FECHADO FESTO - REF. VL-5/3G-3/8-B / COD. 14950 (FESTO)</v>
      </c>
      <c r="C854" s="14">
        <f>IFERROR(VLOOKUP(TAB_SAIDA[[#This Row],[COD_2_SAIDA]],TAB_ESTOQUE[[Codigo]:[Referência Tec]],7,FALSE),"")</f>
        <v>0</v>
      </c>
      <c r="D854" s="14" t="str">
        <f>VLOOKUP(TAB_SAIDA[[#This Row],[COD_2_SAIDA]],TAB_ESTOQUE[[Codigo]:[Endereço2]],12,FALSE)</f>
        <v>G1102</v>
      </c>
      <c r="E854" s="81">
        <f>SUM(TAB_SAIDA[[#This Row],[20/05/2019]:[00/00/00]])</f>
        <v>0</v>
      </c>
      <c r="F854" s="3"/>
    </row>
    <row r="855" spans="1:6" ht="15" hidden="1" customHeight="1" x14ac:dyDescent="0.25">
      <c r="A855" s="5" t="s">
        <v>2512</v>
      </c>
      <c r="B855" s="14" t="str">
        <f>VLOOKUP(TAB_SAIDA[[#This Row],[COD_2_SAIDA]],TAB_ESTOQUE[[Codigo]:[Descrição Tecnica]],6,FALSE)</f>
        <v>ATUADOR TIPO SELETOR P/ PAINEL FESTO - REF. N-22-SW / COD. 7803 E602 (FESTO)</v>
      </c>
      <c r="C855" s="14">
        <f>IFERROR(VLOOKUP(TAB_SAIDA[[#This Row],[COD_2_SAIDA]],TAB_ESTOQUE[[Codigo]:[Referência Tec]],7,FALSE),"")</f>
        <v>0</v>
      </c>
      <c r="D855" s="14" t="str">
        <f>VLOOKUP(TAB_SAIDA[[#This Row],[COD_2_SAIDA]],TAB_ESTOQUE[[Codigo]:[Endereço2]],12,FALSE)</f>
        <v>G1103</v>
      </c>
      <c r="E855" s="81">
        <f>SUM(TAB_SAIDA[[#This Row],[20/05/2019]:[00/00/00]])</f>
        <v>0</v>
      </c>
      <c r="F855" s="3"/>
    </row>
    <row r="856" spans="1:6" ht="15" hidden="1" customHeight="1" x14ac:dyDescent="0.25">
      <c r="A856" s="5" t="s">
        <v>2513</v>
      </c>
      <c r="B856" s="14" t="str">
        <f>VLOOKUP(TAB_SAIDA[[#This Row],[COD_2_SAIDA]],TAB_ESTOQUE[[Codigo]:[Descrição Tecnica]],6,FALSE)</f>
        <v>VÁVULA PNEUMÁTICA COMPACTA FESTO - REF. J-3-PK-3 / COD. 10772 (FESTO)</v>
      </c>
      <c r="C856" s="14">
        <f>IFERROR(VLOOKUP(TAB_SAIDA[[#This Row],[COD_2_SAIDA]],TAB_ESTOQUE[[Codigo]:[Referência Tec]],7,FALSE),"")</f>
        <v>0</v>
      </c>
      <c r="D856" s="14" t="str">
        <f>VLOOKUP(TAB_SAIDA[[#This Row],[COD_2_SAIDA]],TAB_ESTOQUE[[Codigo]:[Endereço2]],12,FALSE)</f>
        <v>G1103</v>
      </c>
      <c r="E856" s="81">
        <f>SUM(TAB_SAIDA[[#This Row],[20/05/2019]:[00/00/00]])</f>
        <v>0</v>
      </c>
      <c r="F856" s="3"/>
    </row>
    <row r="857" spans="1:6" ht="15" hidden="1" customHeight="1" x14ac:dyDescent="0.25">
      <c r="A857" s="5" t="s">
        <v>2514</v>
      </c>
      <c r="B857" s="14" t="str">
        <f>VLOOKUP(TAB_SAIDA[[#This Row],[COD_2_SAIDA]],TAB_ESTOQUE[[Codigo]:[Descrição Tecnica]],6,FALSE)</f>
        <v>VALVULA PNEUMÁTICA 3/2 VIAS FESTO - REF. VL/O-3-1/8-B / COD. 4245 E702 8bar (FESTO)</v>
      </c>
      <c r="C857" s="14">
        <f>IFERROR(VLOOKUP(TAB_SAIDA[[#This Row],[COD_2_SAIDA]],TAB_ESTOQUE[[Codigo]:[Referência Tec]],7,FALSE),"")</f>
        <v>0</v>
      </c>
      <c r="D857" s="14" t="str">
        <f>VLOOKUP(TAB_SAIDA[[#This Row],[COD_2_SAIDA]],TAB_ESTOQUE[[Codigo]:[Endereço2]],12,FALSE)</f>
        <v>G1103</v>
      </c>
      <c r="E857" s="81">
        <f>SUM(TAB_SAIDA[[#This Row],[20/05/2019]:[00/00/00]])</f>
        <v>0</v>
      </c>
      <c r="F857" s="3"/>
    </row>
    <row r="858" spans="1:6" ht="15" hidden="1" customHeight="1" x14ac:dyDescent="0.25">
      <c r="A858" s="5" t="s">
        <v>2515</v>
      </c>
      <c r="B858" s="14" t="str">
        <f>VLOOKUP(TAB_SAIDA[[#This Row],[COD_2_SAIDA]],TAB_ESTOQUE[[Codigo]:[Descrição Tecnica]],6,FALSE)</f>
        <v>VÁLVULA PNEUMÁTICA 5/3 VIAS CENTRO FECHADO FESTO - REF. VL-5/3G-D-3-C / COD. 151867 E743 (FESTO)</v>
      </c>
      <c r="C858" s="14">
        <f>IFERROR(VLOOKUP(TAB_SAIDA[[#This Row],[COD_2_SAIDA]],TAB_ESTOQUE[[Codigo]:[Referência Tec]],7,FALSE),"")</f>
        <v>0</v>
      </c>
      <c r="D858" s="14" t="str">
        <f>VLOOKUP(TAB_SAIDA[[#This Row],[COD_2_SAIDA]],TAB_ESTOQUE[[Codigo]:[Endereço2]],12,FALSE)</f>
        <v>G1103</v>
      </c>
      <c r="E858" s="81">
        <f>SUM(TAB_SAIDA[[#This Row],[20/05/2019]:[00/00/00]])</f>
        <v>0</v>
      </c>
      <c r="F858" s="3"/>
    </row>
    <row r="859" spans="1:6" ht="15" hidden="1" customHeight="1" x14ac:dyDescent="0.25">
      <c r="A859" s="5" t="s">
        <v>2516</v>
      </c>
      <c r="B859" s="14" t="str">
        <f>VLOOKUP(TAB_SAIDA[[#This Row],[COD_2_SAIDA]],TAB_ESTOQUE[[Codigo]:[Descrição Tecnica]],6,FALSE)</f>
        <v>BLOCO LÓGICO "E" PNEUMÁTICO - REF. ZK-PK-3-6/3 / COD. 4204 (FESTO)</v>
      </c>
      <c r="C859" s="14">
        <f>IFERROR(VLOOKUP(TAB_SAIDA[[#This Row],[COD_2_SAIDA]],TAB_ESTOQUE[[Codigo]:[Referência Tec]],7,FALSE),"")</f>
        <v>0</v>
      </c>
      <c r="D859" s="14" t="str">
        <f>VLOOKUP(TAB_SAIDA[[#This Row],[COD_2_SAIDA]],TAB_ESTOQUE[[Codigo]:[Endereço2]],12,FALSE)</f>
        <v>G1103</v>
      </c>
      <c r="E859" s="81">
        <f>SUM(TAB_SAIDA[[#This Row],[20/05/2019]:[00/00/00]])</f>
        <v>0</v>
      </c>
      <c r="F859" s="3"/>
    </row>
    <row r="860" spans="1:6" ht="15" hidden="1" customHeight="1" x14ac:dyDescent="0.25">
      <c r="A860" s="5" t="s">
        <v>2517</v>
      </c>
      <c r="B860" s="14" t="str">
        <f>VLOOKUP(TAB_SAIDA[[#This Row],[COD_2_SAIDA]],TAB_ESTOQUE[[Codigo]:[Descrição Tecnica]],6,FALSE)</f>
        <v>VÁLVULA PNEUMÁTICA 3/2 VIAS NORM. ABERTA FESTO - REF. VL/O-3-PK-3x2 / COD. 151863 E643 (FESTO)</v>
      </c>
      <c r="C860" s="14">
        <f>IFERROR(VLOOKUP(TAB_SAIDA[[#This Row],[COD_2_SAIDA]],TAB_ESTOQUE[[Codigo]:[Referência Tec]],7,FALSE),"")</f>
        <v>0</v>
      </c>
      <c r="D860" s="14" t="str">
        <f>VLOOKUP(TAB_SAIDA[[#This Row],[COD_2_SAIDA]],TAB_ESTOQUE[[Codigo]:[Endereço2]],12,FALSE)</f>
        <v>G1103</v>
      </c>
      <c r="E860" s="81">
        <f>SUM(TAB_SAIDA[[#This Row],[20/05/2019]:[00/00/00]])</f>
        <v>0</v>
      </c>
      <c r="F860" s="3"/>
    </row>
    <row r="861" spans="1:6" ht="15" hidden="1" customHeight="1" x14ac:dyDescent="0.25">
      <c r="A861" s="5" t="s">
        <v>2518</v>
      </c>
      <c r="B861" s="14" t="str">
        <f>VLOOKUP(TAB_SAIDA[[#This Row],[COD_2_SAIDA]],TAB_ESTOQUE[[Codigo]:[Descrição Tecnica]],6,FALSE)</f>
        <v>BLOCO DISTRIBUIDOR 12 SAÍDAS  - REF. FR-12-PK-3-B / COD. 8761 (FESTO)</v>
      </c>
      <c r="C861" s="14">
        <f>IFERROR(VLOOKUP(TAB_SAIDA[[#This Row],[COD_2_SAIDA]],TAB_ESTOQUE[[Codigo]:[Referência Tec]],7,FALSE),"")</f>
        <v>0</v>
      </c>
      <c r="D861" s="14" t="str">
        <f>VLOOKUP(TAB_SAIDA[[#This Row],[COD_2_SAIDA]],TAB_ESTOQUE[[Codigo]:[Endereço2]],12,FALSE)</f>
        <v>G1103</v>
      </c>
      <c r="E861" s="81">
        <f>SUM(TAB_SAIDA[[#This Row],[20/05/2019]:[00/00/00]])</f>
        <v>0</v>
      </c>
      <c r="F861" s="3"/>
    </row>
    <row r="862" spans="1:6" ht="15" hidden="1" customHeight="1" x14ac:dyDescent="0.25">
      <c r="A862" s="5" t="s">
        <v>2519</v>
      </c>
      <c r="B862" s="14" t="str">
        <f>VLOOKUP(TAB_SAIDA[[#This Row],[COD_2_SAIDA]],TAB_ESTOQUE[[Codigo]:[Descrição Tecnica]],6,FALSE)</f>
        <v>VÁLVULA DE RETENÇÃO PILOTADA ROSCA G1/2 TUBO 12MM FESTO - REF. HGL-1/2-QS-12 / COD. 530045</v>
      </c>
      <c r="C862" s="14">
        <f>IFERROR(VLOOKUP(TAB_SAIDA[[#This Row],[COD_2_SAIDA]],TAB_ESTOQUE[[Codigo]:[Referência Tec]],7,FALSE),"")</f>
        <v>0</v>
      </c>
      <c r="D862" s="14" t="str">
        <f>VLOOKUP(TAB_SAIDA[[#This Row],[COD_2_SAIDA]],TAB_ESTOQUE[[Codigo]:[Endereço2]],12,FALSE)</f>
        <v>G1103</v>
      </c>
      <c r="E862" s="81">
        <f>SUM(TAB_SAIDA[[#This Row],[20/05/2019]:[00/00/00]])</f>
        <v>0</v>
      </c>
      <c r="F862" s="3"/>
    </row>
    <row r="863" spans="1:6" ht="15" hidden="1" customHeight="1" x14ac:dyDescent="0.25">
      <c r="A863" s="5" t="s">
        <v>2520</v>
      </c>
      <c r="B863" s="14" t="str">
        <f>VLOOKUP(TAB_SAIDA[[#This Row],[COD_2_SAIDA]],TAB_ESTOQUE[[Codigo]:[Descrição Tecnica]],6,FALSE)</f>
        <v>CONJUNTO BARREIRA DE LUZ SICK C400 GUEST (C46E-0403CT400) (C465-0403CT400)</v>
      </c>
      <c r="C863" s="14">
        <f>IFERROR(VLOOKUP(TAB_SAIDA[[#This Row],[COD_2_SAIDA]],TAB_ESTOQUE[[Codigo]:[Referência Tec]],7,FALSE),"")</f>
        <v>0</v>
      </c>
      <c r="D863" s="14" t="str">
        <f>VLOOKUP(TAB_SAIDA[[#This Row],[COD_2_SAIDA]],TAB_ESTOQUE[[Codigo]:[Endereço2]],12,FALSE)</f>
        <v>B1101</v>
      </c>
      <c r="E863" s="81">
        <f>SUM(TAB_SAIDA[[#This Row],[20/05/2019]:[00/00/00]])</f>
        <v>0</v>
      </c>
      <c r="F863" s="3"/>
    </row>
    <row r="864" spans="1:6" ht="15" hidden="1" customHeight="1" x14ac:dyDescent="0.25">
      <c r="A864" s="5" t="s">
        <v>2521</v>
      </c>
      <c r="B864" s="14" t="str">
        <f>VLOOKUP(TAB_SAIDA[[#This Row],[COD_2_SAIDA]],TAB_ESTOQUE[[Codigo]:[Descrição Tecnica]],6,FALSE)</f>
        <v>MOTOR MEZ 230/400V</v>
      </c>
      <c r="C864" s="14">
        <f>IFERROR(VLOOKUP(TAB_SAIDA[[#This Row],[COD_2_SAIDA]],TAB_ESTOQUE[[Codigo]:[Referência Tec]],7,FALSE),"")</f>
        <v>0</v>
      </c>
      <c r="D864" s="14" t="str">
        <f>VLOOKUP(TAB_SAIDA[[#This Row],[COD_2_SAIDA]],TAB_ESTOQUE[[Codigo]:[Endereço2]],12,FALSE)</f>
        <v>F1304</v>
      </c>
      <c r="E864" s="81">
        <f>SUM(TAB_SAIDA[[#This Row],[20/05/2019]:[00/00/00]])</f>
        <v>0</v>
      </c>
      <c r="F864" s="3"/>
    </row>
    <row r="865" spans="1:596" ht="15" hidden="1" customHeight="1" x14ac:dyDescent="0.25">
      <c r="A865" s="5" t="s">
        <v>2522</v>
      </c>
      <c r="B865" s="14" t="str">
        <f>VLOOKUP(TAB_SAIDA[[#This Row],[COD_2_SAIDA]],TAB_ESTOQUE[[Codigo]:[Descrição Tecnica]],6,FALSE)</f>
        <v>GRAXA MULTIFAK EP2</v>
      </c>
      <c r="C865" s="14">
        <f>IFERROR(VLOOKUP(TAB_SAIDA[[#This Row],[COD_2_SAIDA]],TAB_ESTOQUE[[Codigo]:[Referência Tec]],7,FALSE),"")</f>
        <v>0</v>
      </c>
      <c r="D865" s="14" t="str">
        <f>VLOOKUP(TAB_SAIDA[[#This Row],[COD_2_SAIDA]],TAB_ESTOQUE[[Codigo]:[Endereço2]],12,FALSE)</f>
        <v>QUIMICO</v>
      </c>
      <c r="E865" s="81">
        <f>SUM(TAB_SAIDA[[#This Row],[20/05/2019]:[00/00/00]])</f>
        <v>0</v>
      </c>
      <c r="F865" s="3"/>
    </row>
    <row r="866" spans="1:596" ht="15" hidden="1" customHeight="1" x14ac:dyDescent="0.25">
      <c r="A866" s="5" t="s">
        <v>2523</v>
      </c>
      <c r="B866" s="14" t="str">
        <f>VLOOKUP(TAB_SAIDA[[#This Row],[COD_2_SAIDA]],TAB_ESTOQUE[[Codigo]:[Descrição Tecnica]],6,FALSE)</f>
        <v>ÓLEO HIDRAULICO HLP 68 DENSIDADE 68</v>
      </c>
      <c r="C866" s="14">
        <f>IFERROR(VLOOKUP(TAB_SAIDA[[#This Row],[COD_2_SAIDA]],TAB_ESTOQUE[[Codigo]:[Referência Tec]],7,FALSE),"")</f>
        <v>0</v>
      </c>
      <c r="D866" s="14" t="str">
        <f>VLOOKUP(TAB_SAIDA[[#This Row],[COD_2_SAIDA]],TAB_ESTOQUE[[Codigo]:[Endereço2]],12,FALSE)</f>
        <v>QUIMICO</v>
      </c>
      <c r="E866" s="81">
        <f>SUM(TAB_SAIDA[[#This Row],[20/05/2019]:[00/00/00]])</f>
        <v>200</v>
      </c>
      <c r="F866" s="3"/>
      <c r="UZ866" s="3">
        <v>140</v>
      </c>
      <c r="VF866" s="3">
        <v>40</v>
      </c>
      <c r="VX866" s="3">
        <v>20</v>
      </c>
    </row>
    <row r="867" spans="1:596" ht="15" hidden="1" customHeight="1" x14ac:dyDescent="0.25">
      <c r="A867" s="5" t="s">
        <v>2524</v>
      </c>
      <c r="B867" s="14" t="str">
        <f>VLOOKUP(TAB_SAIDA[[#This Row],[COD_2_SAIDA]],TAB_ESTOQUE[[Codigo]:[Descrição Tecnica]],6,FALSE)</f>
        <v xml:space="preserve">OLEO PNEUMATICO MOBIL UNILUB-10 S10 </v>
      </c>
      <c r="C867" s="14">
        <f>IFERROR(VLOOKUP(TAB_SAIDA[[#This Row],[COD_2_SAIDA]],TAB_ESTOQUE[[Codigo]:[Referência Tec]],7,FALSE),"")</f>
        <v>0</v>
      </c>
      <c r="D867" s="14" t="str">
        <f>VLOOKUP(TAB_SAIDA[[#This Row],[COD_2_SAIDA]],TAB_ESTOQUE[[Codigo]:[Endereço2]],12,FALSE)</f>
        <v>QUIMICO</v>
      </c>
      <c r="E867" s="81">
        <f>SUM(TAB_SAIDA[[#This Row],[20/05/2019]:[00/00/00]])</f>
        <v>160</v>
      </c>
      <c r="F867" s="3">
        <v>160</v>
      </c>
    </row>
    <row r="868" spans="1:596" ht="15" hidden="1" customHeight="1" x14ac:dyDescent="0.25">
      <c r="A868" s="5" t="s">
        <v>2525</v>
      </c>
      <c r="B868" s="14" t="str">
        <f>VLOOKUP(TAB_SAIDA[[#This Row],[COD_2_SAIDA]],TAB_ESTOQUE[[Codigo]:[Descrição Tecnica]],6,FALSE)</f>
        <v>OELO SAE 140</v>
      </c>
      <c r="C868" s="14">
        <f>IFERROR(VLOOKUP(TAB_SAIDA[[#This Row],[COD_2_SAIDA]],TAB_ESTOQUE[[Codigo]:[Referência Tec]],7,FALSE),"")</f>
        <v>0</v>
      </c>
      <c r="D868" s="14" t="str">
        <f>VLOOKUP(TAB_SAIDA[[#This Row],[COD_2_SAIDA]],TAB_ESTOQUE[[Codigo]:[Endereço2]],12,FALSE)</f>
        <v>QUIMICO</v>
      </c>
      <c r="E868" s="81">
        <f>SUM(TAB_SAIDA[[#This Row],[20/05/2019]:[00/00/00]])</f>
        <v>19</v>
      </c>
      <c r="F868" s="3"/>
      <c r="RX868" s="3">
        <v>9</v>
      </c>
      <c r="TE868" s="3">
        <v>10</v>
      </c>
    </row>
    <row r="869" spans="1:596" ht="15" hidden="1" customHeight="1" x14ac:dyDescent="0.25">
      <c r="A869" s="5" t="s">
        <v>2526</v>
      </c>
      <c r="B869" s="14" t="str">
        <f>VLOOKUP(TAB_SAIDA[[#This Row],[COD_2_SAIDA]],TAB_ESTOQUE[[Codigo]:[Descrição Tecnica]],6,FALSE)</f>
        <v>ÓLEO TERMICO TAMBOR 200L DENSIDADE 100/1200</v>
      </c>
      <c r="C869" s="14">
        <f>IFERROR(VLOOKUP(TAB_SAIDA[[#This Row],[COD_2_SAIDA]],TAB_ESTOQUE[[Codigo]:[Referência Tec]],7,FALSE),"")</f>
        <v>0</v>
      </c>
      <c r="D869" s="14" t="str">
        <f>VLOOKUP(TAB_SAIDA[[#This Row],[COD_2_SAIDA]],TAB_ESTOQUE[[Codigo]:[Endereço2]],12,FALSE)</f>
        <v>QUIMICO</v>
      </c>
      <c r="E869" s="81">
        <f>SUM(TAB_SAIDA[[#This Row],[20/05/2019]:[00/00/00]])</f>
        <v>380</v>
      </c>
      <c r="F869" s="3"/>
      <c r="UO869" s="3">
        <v>100</v>
      </c>
      <c r="UV869" s="3">
        <v>60</v>
      </c>
      <c r="UZ869" s="3">
        <v>100</v>
      </c>
      <c r="VG869" s="3">
        <v>120</v>
      </c>
    </row>
    <row r="870" spans="1:596" ht="15" hidden="1" customHeight="1" x14ac:dyDescent="0.25">
      <c r="A870" s="5" t="s">
        <v>2527</v>
      </c>
      <c r="B870" s="14" t="str">
        <f>VLOOKUP(TAB_SAIDA[[#This Row],[COD_2_SAIDA]],TAB_ESTOQUE[[Codigo]:[Descrição Tecnica]],6,FALSE)</f>
        <v xml:space="preserve">MANGUERIA EM ACO 3/8 700mm </v>
      </c>
      <c r="C870" s="14">
        <f>IFERROR(VLOOKUP(TAB_SAIDA[[#This Row],[COD_2_SAIDA]],TAB_ESTOQUE[[Codigo]:[Referência Tec]],7,FALSE),"")</f>
        <v>0</v>
      </c>
      <c r="D870" s="14" t="str">
        <f>VLOOKUP(TAB_SAIDA[[#This Row],[COD_2_SAIDA]],TAB_ESTOQUE[[Codigo]:[Endereço2]],12,FALSE)</f>
        <v>S602</v>
      </c>
      <c r="E870" s="81">
        <f>SUM(TAB_SAIDA[[#This Row],[20/05/2019]:[00/00/00]])</f>
        <v>0</v>
      </c>
      <c r="F870" s="3"/>
    </row>
    <row r="871" spans="1:596" ht="15" hidden="1" customHeight="1" x14ac:dyDescent="0.25">
      <c r="A871" s="5" t="s">
        <v>2528</v>
      </c>
      <c r="B871" s="14" t="str">
        <f>VLOOKUP(TAB_SAIDA[[#This Row],[COD_2_SAIDA]],TAB_ESTOQUE[[Codigo]:[Descrição Tecnica]],6,FALSE)</f>
        <v>MANGUEIRA TEFLON 6MM</v>
      </c>
      <c r="C871" s="14">
        <f>IFERROR(VLOOKUP(TAB_SAIDA[[#This Row],[COD_2_SAIDA]],TAB_ESTOQUE[[Codigo]:[Referência Tec]],7,FALSE),"")</f>
        <v>0</v>
      </c>
      <c r="D871" s="14" t="str">
        <f>VLOOKUP(TAB_SAIDA[[#This Row],[COD_2_SAIDA]],TAB_ESTOQUE[[Codigo]:[Endereço2]],12,FALSE)</f>
        <v>S201</v>
      </c>
      <c r="E871" s="81">
        <f>SUM(TAB_SAIDA[[#This Row],[20/05/2019]:[00/00/00]])</f>
        <v>0</v>
      </c>
      <c r="F871" s="3"/>
    </row>
    <row r="872" spans="1:596" ht="15" hidden="1" customHeight="1" x14ac:dyDescent="0.25">
      <c r="A872" s="5" t="s">
        <v>2529</v>
      </c>
      <c r="B872" s="14" t="str">
        <f>VLOOKUP(TAB_SAIDA[[#This Row],[COD_2_SAIDA]],TAB_ESTOQUE[[Codigo]:[Descrição Tecnica]],6,FALSE)</f>
        <v xml:space="preserve">MANGUEIRA ALTA PRESSAO 100mm 1/2 </v>
      </c>
      <c r="C872" s="14">
        <f>IFERROR(VLOOKUP(TAB_SAIDA[[#This Row],[COD_2_SAIDA]],TAB_ESTOQUE[[Codigo]:[Referência Tec]],7,FALSE),"")</f>
        <v>0</v>
      </c>
      <c r="D872" s="14" t="str">
        <f>VLOOKUP(TAB_SAIDA[[#This Row],[COD_2_SAIDA]],TAB_ESTOQUE[[Codigo]:[Endereço2]],12,FALSE)</f>
        <v>S603</v>
      </c>
      <c r="E872" s="81">
        <f>SUM(TAB_SAIDA[[#This Row],[20/05/2019]:[00/00/00]])</f>
        <v>0</v>
      </c>
      <c r="F872" s="3"/>
    </row>
    <row r="873" spans="1:596" ht="15" hidden="1" customHeight="1" x14ac:dyDescent="0.25">
      <c r="A873" s="5" t="s">
        <v>2530</v>
      </c>
      <c r="B873" s="14" t="str">
        <f>VLOOKUP(TAB_SAIDA[[#This Row],[COD_2_SAIDA]],TAB_ESTOQUE[[Codigo]:[Descrição Tecnica]],6,FALSE)</f>
        <v>MANGUEIRA DE ALTA PRESSAO 1/2POL 1500MM</v>
      </c>
      <c r="C873" s="14">
        <f>IFERROR(VLOOKUP(TAB_SAIDA[[#This Row],[COD_2_SAIDA]],TAB_ESTOQUE[[Codigo]:[Referência Tec]],7,FALSE),"")</f>
        <v>0</v>
      </c>
      <c r="D873" s="14" t="str">
        <f>VLOOKUP(TAB_SAIDA[[#This Row],[COD_2_SAIDA]],TAB_ESTOQUE[[Codigo]:[Endereço2]],12,FALSE)</f>
        <v>S603</v>
      </c>
      <c r="E873" s="81">
        <f>SUM(TAB_SAIDA[[#This Row],[20/05/2019]:[00/00/00]])</f>
        <v>0</v>
      </c>
      <c r="F873" s="3"/>
    </row>
    <row r="874" spans="1:596" ht="15" hidden="1" customHeight="1" x14ac:dyDescent="0.25">
      <c r="A874" s="5" t="s">
        <v>2531</v>
      </c>
      <c r="B874" s="14" t="str">
        <f>VLOOKUP(TAB_SAIDA[[#This Row],[COD_2_SAIDA]],TAB_ESTOQUE[[Codigo]:[Descrição Tecnica]],6,FALSE)</f>
        <v>MANGUEIRA TEFLON REVESTIMENTO ACO 1/4 BSP 1000MM RABICHO</v>
      </c>
      <c r="C874" s="14">
        <f>IFERROR(VLOOKUP(TAB_SAIDA[[#This Row],[COD_2_SAIDA]],TAB_ESTOQUE[[Codigo]:[Referência Tec]],7,FALSE),"")</f>
        <v>0</v>
      </c>
      <c r="D874" s="14" t="str">
        <f>VLOOKUP(TAB_SAIDA[[#This Row],[COD_2_SAIDA]],TAB_ESTOQUE[[Codigo]:[Endereço2]],12,FALSE)</f>
        <v>S602</v>
      </c>
      <c r="E874" s="81">
        <f>SUM(TAB_SAIDA[[#This Row],[20/05/2019]:[00/00/00]])</f>
        <v>0</v>
      </c>
      <c r="F874" s="3"/>
    </row>
    <row r="875" spans="1:596" ht="15" hidden="1" customHeight="1" x14ac:dyDescent="0.25">
      <c r="A875" s="5" t="s">
        <v>2532</v>
      </c>
      <c r="B875" s="14" t="str">
        <f>VLOOKUP(TAB_SAIDA[[#This Row],[COD_2_SAIDA]],TAB_ESTOQUE[[Codigo]:[Descrição Tecnica]],6,FALSE)</f>
        <v>MANGUEIRA TEFLON REVESTIMENTO ACO 1000mm  1/4</v>
      </c>
      <c r="C875" s="14">
        <f>IFERROR(VLOOKUP(TAB_SAIDA[[#This Row],[COD_2_SAIDA]],TAB_ESTOQUE[[Codigo]:[Referência Tec]],7,FALSE),"")</f>
        <v>0</v>
      </c>
      <c r="D875" s="14" t="str">
        <f>VLOOKUP(TAB_SAIDA[[#This Row],[COD_2_SAIDA]],TAB_ESTOQUE[[Codigo]:[Endereço2]],12,FALSE)</f>
        <v>S602</v>
      </c>
      <c r="E875" s="81">
        <f>SUM(TAB_SAIDA[[#This Row],[20/05/2019]:[00/00/00]])</f>
        <v>0</v>
      </c>
      <c r="F875" s="3"/>
    </row>
    <row r="876" spans="1:596" ht="15" hidden="1" customHeight="1" x14ac:dyDescent="0.25">
      <c r="A876" s="5" t="s">
        <v>2533</v>
      </c>
      <c r="B876" s="14" t="str">
        <f>VLOOKUP(TAB_SAIDA[[#This Row],[COD_2_SAIDA]],TAB_ESTOQUE[[Codigo]:[Descrição Tecnica]],6,FALSE)</f>
        <v xml:space="preserve">MANGUEIRA TEFLON REVESTIMENTO ACO 1000mm  </v>
      </c>
      <c r="C876" s="14">
        <f>IFERROR(VLOOKUP(TAB_SAIDA[[#This Row],[COD_2_SAIDA]],TAB_ESTOQUE[[Codigo]:[Referência Tec]],7,FALSE),"")</f>
        <v>0</v>
      </c>
      <c r="D876" s="14" t="str">
        <f>VLOOKUP(TAB_SAIDA[[#This Row],[COD_2_SAIDA]],TAB_ESTOQUE[[Codigo]:[Endereço2]],12,FALSE)</f>
        <v>S602</v>
      </c>
      <c r="E876" s="81">
        <f>SUM(TAB_SAIDA[[#This Row],[20/05/2019]:[00/00/00]])</f>
        <v>0</v>
      </c>
      <c r="F876" s="3"/>
    </row>
    <row r="877" spans="1:596" ht="15" hidden="1" customHeight="1" x14ac:dyDescent="0.25">
      <c r="A877" s="5" t="s">
        <v>2534</v>
      </c>
      <c r="B877" s="14" t="str">
        <f>VLOOKUP(TAB_SAIDA[[#This Row],[COD_2_SAIDA]],TAB_ESTOQUE[[Codigo]:[Descrição Tecnica]],6,FALSE)</f>
        <v xml:space="preserve">MANGUEIRA TEFLON REVESTIMENTO DE ACO JIT 3/4POL 1500MM </v>
      </c>
      <c r="C877" s="14">
        <f>IFERROR(VLOOKUP(TAB_SAIDA[[#This Row],[COD_2_SAIDA]],TAB_ESTOQUE[[Codigo]:[Referência Tec]],7,FALSE),"")</f>
        <v>0</v>
      </c>
      <c r="D877" s="14" t="str">
        <f>VLOOKUP(TAB_SAIDA[[#This Row],[COD_2_SAIDA]],TAB_ESTOQUE[[Codigo]:[Endereço2]],12,FALSE)</f>
        <v>S601</v>
      </c>
      <c r="E877" s="81">
        <f>SUM(TAB_SAIDA[[#This Row],[20/05/2019]:[00/00/00]])</f>
        <v>0</v>
      </c>
      <c r="F877" s="3"/>
    </row>
    <row r="878" spans="1:596" ht="15" hidden="1" customHeight="1" x14ac:dyDescent="0.25">
      <c r="A878" s="5" t="s">
        <v>2535</v>
      </c>
      <c r="B878" s="14" t="str">
        <f>VLOOKUP(TAB_SAIDA[[#This Row],[COD_2_SAIDA]],TAB_ESTOQUE[[Codigo]:[Descrição Tecnica]],6,FALSE)</f>
        <v>MANGUEIRA HIDRÁULICA DE ALTA PRESSÃO 5/8"</v>
      </c>
      <c r="C878" s="14">
        <f>IFERROR(VLOOKUP(TAB_SAIDA[[#This Row],[COD_2_SAIDA]],TAB_ESTOQUE[[Codigo]:[Referência Tec]],7,FALSE),"")</f>
        <v>0</v>
      </c>
      <c r="D878" s="14" t="str">
        <f>VLOOKUP(TAB_SAIDA[[#This Row],[COD_2_SAIDA]],TAB_ESTOQUE[[Codigo]:[Endereço2]],12,FALSE)</f>
        <v>S502</v>
      </c>
      <c r="E878" s="81">
        <f>SUM(TAB_SAIDA[[#This Row],[20/05/2019]:[00/00/00]])</f>
        <v>0</v>
      </c>
      <c r="F878" s="3"/>
    </row>
    <row r="879" spans="1:596" ht="15" hidden="1" customHeight="1" x14ac:dyDescent="0.25">
      <c r="A879" s="5" t="s">
        <v>2536</v>
      </c>
      <c r="B879" s="14" t="str">
        <f>VLOOKUP(TAB_SAIDA[[#This Row],[COD_2_SAIDA]],TAB_ESTOQUE[[Codigo]:[Descrição Tecnica]],6,FALSE)</f>
        <v>MANGUEIRA PNEUMATICA DE POLIURETANO TUBO 4MM EXTER AZUL ACIMA DE 10 bar</v>
      </c>
      <c r="C879" s="14">
        <f>IFERROR(VLOOKUP(TAB_SAIDA[[#This Row],[COD_2_SAIDA]],TAB_ESTOQUE[[Codigo]:[Referência Tec]],7,FALSE),"")</f>
        <v>0</v>
      </c>
      <c r="D879" s="14" t="str">
        <f>VLOOKUP(TAB_SAIDA[[#This Row],[COD_2_SAIDA]],TAB_ESTOQUE[[Codigo]:[Endereço2]],12,FALSE)</f>
        <v>S202</v>
      </c>
      <c r="E879" s="81">
        <f>SUM(TAB_SAIDA[[#This Row],[20/05/2019]:[00/00/00]])</f>
        <v>0</v>
      </c>
      <c r="F879" s="3"/>
    </row>
    <row r="880" spans="1:596" ht="15" hidden="1" customHeight="1" x14ac:dyDescent="0.25">
      <c r="A880" s="5" t="s">
        <v>2537</v>
      </c>
      <c r="B880" s="14" t="str">
        <f>VLOOKUP(TAB_SAIDA[[#This Row],[COD_2_SAIDA]],TAB_ESTOQUE[[Codigo]:[Descrição Tecnica]],6,FALSE)</f>
        <v>MANGUEIRA PNEUMATICA DE POLIURETANO TUBO 8MM EXTER AZUL ACIMA DE 10 bar</v>
      </c>
      <c r="C880" s="14">
        <f>IFERROR(VLOOKUP(TAB_SAIDA[[#This Row],[COD_2_SAIDA]],TAB_ESTOQUE[[Codigo]:[Referência Tec]],7,FALSE),"")</f>
        <v>0</v>
      </c>
      <c r="D880" s="14" t="str">
        <f>VLOOKUP(TAB_SAIDA[[#This Row],[COD_2_SAIDA]],TAB_ESTOQUE[[Codigo]:[Endereço2]],12,FALSE)</f>
        <v>S103</v>
      </c>
      <c r="E880" s="81">
        <f>SUM(TAB_SAIDA[[#This Row],[20/05/2019]:[00/00/00]])</f>
        <v>0</v>
      </c>
      <c r="F880" s="3"/>
    </row>
    <row r="881" spans="1:616" ht="15" hidden="1" customHeight="1" x14ac:dyDescent="0.25">
      <c r="A881" s="5" t="s">
        <v>2538</v>
      </c>
      <c r="B881" s="14" t="str">
        <f>VLOOKUP(TAB_SAIDA[[#This Row],[COD_2_SAIDA]],TAB_ESTOQUE[[Codigo]:[Descrição Tecnica]],6,FALSE)</f>
        <v>MANGUEIRA PNEUMATICA DE POLIURETANO TUBO 12MM EXTER AZUL ACIMA DE 10 bar</v>
      </c>
      <c r="C881" s="14">
        <f>IFERROR(VLOOKUP(TAB_SAIDA[[#This Row],[COD_2_SAIDA]],TAB_ESTOQUE[[Codigo]:[Referência Tec]],7,FALSE),"")</f>
        <v>0</v>
      </c>
      <c r="D881" s="14" t="str">
        <f>VLOOKUP(TAB_SAIDA[[#This Row],[COD_2_SAIDA]],TAB_ESTOQUE[[Codigo]:[Endereço2]],12,FALSE)</f>
        <v>S101</v>
      </c>
      <c r="E881" s="81">
        <f>SUM(TAB_SAIDA[[#This Row],[20/05/2019]:[00/00/00]])</f>
        <v>0</v>
      </c>
      <c r="F881" s="3"/>
    </row>
    <row r="882" spans="1:616" ht="15" hidden="1" customHeight="1" x14ac:dyDescent="0.25">
      <c r="A882" s="5" t="s">
        <v>2539</v>
      </c>
      <c r="B882" s="14" t="str">
        <f>VLOOKUP(TAB_SAIDA[[#This Row],[COD_2_SAIDA]],TAB_ESTOQUE[[Codigo]:[Descrição Tecnica]],6,FALSE)</f>
        <v>MANGUEIRA TERMOPLASTICA  3/8' 2500MM</v>
      </c>
      <c r="C882" s="14">
        <f>IFERROR(VLOOKUP(TAB_SAIDA[[#This Row],[COD_2_SAIDA]],TAB_ESTOQUE[[Codigo]:[Referência Tec]],7,FALSE),"")</f>
        <v>0</v>
      </c>
      <c r="D882" s="14" t="str">
        <f>VLOOKUP(TAB_SAIDA[[#This Row],[COD_2_SAIDA]],TAB_ESTOQUE[[Codigo]:[Endereço2]],12,FALSE)</f>
        <v>CAIXA</v>
      </c>
      <c r="E882" s="81">
        <f>SUM(TAB_SAIDA[[#This Row],[20/05/2019]:[00/00/00]])</f>
        <v>0</v>
      </c>
      <c r="F882" s="3"/>
    </row>
    <row r="883" spans="1:616" ht="15" hidden="1" customHeight="1" x14ac:dyDescent="0.25">
      <c r="A883" s="5" t="s">
        <v>2540</v>
      </c>
      <c r="B883" s="14" t="str">
        <f>VLOOKUP(TAB_SAIDA[[#This Row],[COD_2_SAIDA]],TAB_ESTOQUE[[Codigo]:[Descrição Tecnica]],6,FALSE)</f>
        <v>MANGUEIRA HIDRAULICA 1/4  2M BSP</v>
      </c>
      <c r="C883" s="14">
        <f>IFERROR(VLOOKUP(TAB_SAIDA[[#This Row],[COD_2_SAIDA]],TAB_ESTOQUE[[Codigo]:[Referência Tec]],7,FALSE),"")</f>
        <v>0</v>
      </c>
      <c r="D883" s="14" t="str">
        <f>VLOOKUP(TAB_SAIDA[[#This Row],[COD_2_SAIDA]],TAB_ESTOQUE[[Codigo]:[Endereço2]],12,FALSE)</f>
        <v>CAIXA</v>
      </c>
      <c r="E883" s="81">
        <f>SUM(TAB_SAIDA[[#This Row],[20/05/2019]:[00/00/00]])</f>
        <v>0</v>
      </c>
      <c r="F883" s="3"/>
    </row>
    <row r="884" spans="1:616" ht="15" hidden="1" customHeight="1" x14ac:dyDescent="0.25">
      <c r="A884" s="5" t="s">
        <v>2541</v>
      </c>
      <c r="B884" s="14" t="str">
        <f>VLOOKUP(TAB_SAIDA[[#This Row],[COD_2_SAIDA]],TAB_ESTOQUE[[Codigo]:[Descrição Tecnica]],6,FALSE)</f>
        <v>MANGUEIRA HIDRAULICA 1000MM   1/4"  3250PSI</v>
      </c>
      <c r="C884" s="14">
        <f>IFERROR(VLOOKUP(TAB_SAIDA[[#This Row],[COD_2_SAIDA]],TAB_ESTOQUE[[Codigo]:[Referência Tec]],7,FALSE),"")</f>
        <v>0</v>
      </c>
      <c r="D884" s="14" t="str">
        <f>VLOOKUP(TAB_SAIDA[[#This Row],[COD_2_SAIDA]],TAB_ESTOQUE[[Codigo]:[Endereço2]],12,FALSE)</f>
        <v>CAIXA</v>
      </c>
      <c r="E884" s="81">
        <f>SUM(TAB_SAIDA[[#This Row],[20/05/2019]:[00/00/00]])</f>
        <v>0</v>
      </c>
      <c r="F884" s="3"/>
    </row>
    <row r="885" spans="1:616" ht="15" hidden="1" customHeight="1" x14ac:dyDescent="0.25">
      <c r="A885" s="5" t="s">
        <v>2542</v>
      </c>
      <c r="B885" s="14" t="str">
        <f>VLOOKUP(TAB_SAIDA[[#This Row],[COD_2_SAIDA]],TAB_ESTOQUE[[Codigo]:[Descrição Tecnica]],6,FALSE)</f>
        <v xml:space="preserve">MANGUEIRA 3/4 ALMA DE ACO </v>
      </c>
      <c r="C885" s="14">
        <f>IFERROR(VLOOKUP(TAB_SAIDA[[#This Row],[COD_2_SAIDA]],TAB_ESTOQUE[[Codigo]:[Referência Tec]],7,FALSE),"")</f>
        <v>0</v>
      </c>
      <c r="D885" s="14" t="str">
        <f>VLOOKUP(TAB_SAIDA[[#This Row],[COD_2_SAIDA]],TAB_ESTOQUE[[Codigo]:[Endereço2]],12,FALSE)</f>
        <v>CAIXA</v>
      </c>
      <c r="E885" s="81">
        <f>SUM(TAB_SAIDA[[#This Row],[20/05/2019]:[00/00/00]])</f>
        <v>0</v>
      </c>
      <c r="F885" s="3"/>
    </row>
    <row r="886" spans="1:616" ht="15" hidden="1" customHeight="1" x14ac:dyDescent="0.25">
      <c r="A886" s="5" t="s">
        <v>2543</v>
      </c>
      <c r="B886" s="14" t="str">
        <f>VLOOKUP(TAB_SAIDA[[#This Row],[COD_2_SAIDA]],TAB_ESTOQUE[[Codigo]:[Descrição Tecnica]],6,FALSE)</f>
        <v>MANGUEIRA PARA AGUA 3/4"</v>
      </c>
      <c r="C886" s="14">
        <f>IFERROR(VLOOKUP(TAB_SAIDA[[#This Row],[COD_2_SAIDA]],TAB_ESTOQUE[[Codigo]:[Referência Tec]],7,FALSE),"")</f>
        <v>0</v>
      </c>
      <c r="D886" s="14" t="str">
        <f>VLOOKUP(TAB_SAIDA[[#This Row],[COD_2_SAIDA]],TAB_ESTOQUE[[Codigo]:[Endereço2]],12,FALSE)</f>
        <v>CAIXA</v>
      </c>
      <c r="E886" s="81">
        <f>SUM(TAB_SAIDA[[#This Row],[20/05/2019]:[00/00/00]])</f>
        <v>0</v>
      </c>
      <c r="F886" s="3"/>
    </row>
    <row r="887" spans="1:616" ht="15" hidden="1" customHeight="1" x14ac:dyDescent="0.25">
      <c r="A887" s="5" t="s">
        <v>2544</v>
      </c>
      <c r="B887" s="14" t="str">
        <f>VLOOKUP(TAB_SAIDA[[#This Row],[COD_2_SAIDA]],TAB_ESTOQUE[[Codigo]:[Descrição Tecnica]],6,FALSE)</f>
        <v>MANGUEIRA HIDRAULICA 1 POL 2390 PSI 500MM</v>
      </c>
      <c r="C887" s="14">
        <f>IFERROR(VLOOKUP(TAB_SAIDA[[#This Row],[COD_2_SAIDA]],TAB_ESTOQUE[[Codigo]:[Referência Tec]],7,FALSE),"")</f>
        <v>0</v>
      </c>
      <c r="D887" s="14" t="str">
        <f>VLOOKUP(TAB_SAIDA[[#This Row],[COD_2_SAIDA]],TAB_ESTOQUE[[Codigo]:[Endereço2]],12,FALSE)</f>
        <v>CAIXA</v>
      </c>
      <c r="E887" s="81">
        <f>SUM(TAB_SAIDA[[#This Row],[20/05/2019]:[00/00/00]])</f>
        <v>0</v>
      </c>
      <c r="F887" s="3"/>
    </row>
    <row r="888" spans="1:616" ht="15" hidden="1" customHeight="1" x14ac:dyDescent="0.25">
      <c r="A888" s="5" t="s">
        <v>2545</v>
      </c>
      <c r="B888" s="14" t="str">
        <f>VLOOKUP(TAB_SAIDA[[#This Row],[COD_2_SAIDA]],TAB_ESTOQUE[[Codigo]:[Descrição Tecnica]],6,FALSE)</f>
        <v xml:space="preserve">MANGUEIRA HIDRAULICA 3/4 3100PSI 800MM </v>
      </c>
      <c r="C888" s="14">
        <f>IFERROR(VLOOKUP(TAB_SAIDA[[#This Row],[COD_2_SAIDA]],TAB_ESTOQUE[[Codigo]:[Referência Tec]],7,FALSE),"")</f>
        <v>0</v>
      </c>
      <c r="D888" s="14" t="str">
        <f>VLOOKUP(TAB_SAIDA[[#This Row],[COD_2_SAIDA]],TAB_ESTOQUE[[Codigo]:[Endereço2]],12,FALSE)</f>
        <v>CAIXA</v>
      </c>
      <c r="E888" s="81">
        <f>SUM(TAB_SAIDA[[#This Row],[20/05/2019]:[00/00/00]])</f>
        <v>0</v>
      </c>
      <c r="F888" s="3"/>
    </row>
    <row r="889" spans="1:616" ht="15" hidden="1" customHeight="1" x14ac:dyDescent="0.25">
      <c r="A889" s="5" t="s">
        <v>2546</v>
      </c>
      <c r="B889" s="14" t="str">
        <f>VLOOKUP(TAB_SAIDA[[#This Row],[COD_2_SAIDA]],TAB_ESTOQUE[[Codigo]:[Descrição Tecnica]],6,FALSE)</f>
        <v>MANGUEIRA PNEUMATICA DE POLIURETANO TUBO 6MM EXTER AZUL ACIMA DE 10 bar</v>
      </c>
      <c r="C889" s="14">
        <f>IFERROR(VLOOKUP(TAB_SAIDA[[#This Row],[COD_2_SAIDA]],TAB_ESTOQUE[[Codigo]:[Referência Tec]],7,FALSE),"")</f>
        <v>0</v>
      </c>
      <c r="D889" s="14" t="str">
        <f>VLOOKUP(TAB_SAIDA[[#This Row],[COD_2_SAIDA]],TAB_ESTOQUE[[Codigo]:[Endereço2]],12,FALSE)</f>
        <v>S201</v>
      </c>
      <c r="E889" s="81">
        <f>SUM(TAB_SAIDA[[#This Row],[20/05/2019]:[00/00/00]])</f>
        <v>0</v>
      </c>
      <c r="F889" s="3"/>
    </row>
    <row r="890" spans="1:616" ht="15" hidden="1" customHeight="1" x14ac:dyDescent="0.25">
      <c r="A890" s="5" t="s">
        <v>2547</v>
      </c>
      <c r="B890" s="14" t="str">
        <f>VLOOKUP(TAB_SAIDA[[#This Row],[COD_2_SAIDA]],TAB_ESTOQUE[[Codigo]:[Descrição Tecnica]],6,FALSE)</f>
        <v>MANGUEIRA PARA OLEO TERMICO 1,5 METROS</v>
      </c>
      <c r="C890" s="14">
        <f>IFERROR(VLOOKUP(TAB_SAIDA[[#This Row],[COD_2_SAIDA]],TAB_ESTOQUE[[Codigo]:[Referência Tec]],7,FALSE),"")</f>
        <v>0</v>
      </c>
      <c r="D890" s="14" t="str">
        <f>VLOOKUP(TAB_SAIDA[[#This Row],[COD_2_SAIDA]],TAB_ESTOQUE[[Codigo]:[Endereço2]],12,FALSE)</f>
        <v>S602</v>
      </c>
      <c r="E890" s="81">
        <f>SUM(TAB_SAIDA[[#This Row],[20/05/2019]:[00/00/00]])</f>
        <v>0</v>
      </c>
      <c r="F890" s="3"/>
    </row>
    <row r="891" spans="1:616" ht="15" hidden="1" customHeight="1" x14ac:dyDescent="0.25">
      <c r="A891" s="5" t="s">
        <v>2548</v>
      </c>
      <c r="B891" s="14" t="str">
        <f>VLOOKUP(TAB_SAIDA[[#This Row],[COD_2_SAIDA]],TAB_ESTOQUE[[Codigo]:[Descrição Tecnica]],6,FALSE)</f>
        <v>MANGUEIRA PARA OLEO TERMICO 2300mm</v>
      </c>
      <c r="C891" s="14">
        <f>IFERROR(VLOOKUP(TAB_SAIDA[[#This Row],[COD_2_SAIDA]],TAB_ESTOQUE[[Codigo]:[Referência Tec]],7,FALSE),"")</f>
        <v>0</v>
      </c>
      <c r="D891" s="14" t="str">
        <f>VLOOKUP(TAB_SAIDA[[#This Row],[COD_2_SAIDA]],TAB_ESTOQUE[[Codigo]:[Endereço2]],12,FALSE)</f>
        <v>S602</v>
      </c>
      <c r="E891" s="81">
        <f>SUM(TAB_SAIDA[[#This Row],[20/05/2019]:[00/00/00]])</f>
        <v>1</v>
      </c>
      <c r="F891" s="3"/>
      <c r="WR891" s="3">
        <v>1</v>
      </c>
    </row>
    <row r="892" spans="1:616" ht="15" hidden="1" customHeight="1" x14ac:dyDescent="0.25">
      <c r="A892" s="5" t="s">
        <v>2549</v>
      </c>
      <c r="B892" s="14" t="str">
        <f>VLOOKUP(TAB_SAIDA[[#This Row],[COD_2_SAIDA]],TAB_ESTOQUE[[Codigo]:[Descrição Tecnica]],6,FALSE)</f>
        <v>MANGUEIRA PARA AGUA 1/2"</v>
      </c>
      <c r="C892" s="14">
        <f>IFERROR(VLOOKUP(TAB_SAIDA[[#This Row],[COD_2_SAIDA]],TAB_ESTOQUE[[Codigo]:[Referência Tec]],7,FALSE),"")</f>
        <v>0</v>
      </c>
      <c r="D892" s="14" t="str">
        <f>VLOOKUP(TAB_SAIDA[[#This Row],[COD_2_SAIDA]],TAB_ESTOQUE[[Codigo]:[Endereço2]],12,FALSE)</f>
        <v>S503</v>
      </c>
      <c r="E892" s="81">
        <f>SUM(TAB_SAIDA[[#This Row],[20/05/2019]:[00/00/00]])</f>
        <v>0</v>
      </c>
      <c r="F892" s="3"/>
    </row>
    <row r="893" spans="1:616" ht="15" hidden="1" customHeight="1" x14ac:dyDescent="0.25">
      <c r="A893" s="5" t="s">
        <v>2550</v>
      </c>
      <c r="B893" s="14" t="str">
        <f>VLOOKUP(TAB_SAIDA[[#This Row],[COD_2_SAIDA]],TAB_ESTOQUE[[Codigo]:[Descrição Tecnica]],6,FALSE)</f>
        <v>CORREIA DENTADA 1700H</v>
      </c>
      <c r="C893" s="14">
        <f>IFERROR(VLOOKUP(TAB_SAIDA[[#This Row],[COD_2_SAIDA]],TAB_ESTOQUE[[Codigo]:[Referência Tec]],7,FALSE),"")</f>
        <v>0</v>
      </c>
      <c r="D893" s="14" t="str">
        <f>VLOOKUP(TAB_SAIDA[[#This Row],[COD_2_SAIDA]],TAB_ESTOQUE[[Codigo]:[Endereço2]],12,FALSE)</f>
        <v>S701</v>
      </c>
      <c r="E893" s="81">
        <f>SUM(TAB_SAIDA[[#This Row],[20/05/2019]:[00/00/00]])</f>
        <v>0</v>
      </c>
      <c r="F893" s="3"/>
    </row>
    <row r="894" spans="1:616" ht="15" hidden="1" customHeight="1" x14ac:dyDescent="0.25">
      <c r="A894" s="5" t="s">
        <v>2551</v>
      </c>
      <c r="B894" s="14" t="str">
        <f>VLOOKUP(TAB_SAIDA[[#This Row],[COD_2_SAIDA]],TAB_ESTOQUE[[Codigo]:[Descrição Tecnica]],6,FALSE)</f>
        <v>CORREIA DENTADA 360H</v>
      </c>
      <c r="C894" s="14">
        <f>IFERROR(VLOOKUP(TAB_SAIDA[[#This Row],[COD_2_SAIDA]],TAB_ESTOQUE[[Codigo]:[Referência Tec]],7,FALSE),"")</f>
        <v>0</v>
      </c>
      <c r="D894" s="14" t="str">
        <f>VLOOKUP(TAB_SAIDA[[#This Row],[COD_2_SAIDA]],TAB_ESTOQUE[[Codigo]:[Endereço2]],12,FALSE)</f>
        <v>S703</v>
      </c>
      <c r="E894" s="81">
        <f>SUM(TAB_SAIDA[[#This Row],[20/05/2019]:[00/00/00]])</f>
        <v>0</v>
      </c>
      <c r="F894" s="3"/>
    </row>
    <row r="895" spans="1:616" ht="15" hidden="1" customHeight="1" x14ac:dyDescent="0.25">
      <c r="A895" s="5" t="s">
        <v>2552</v>
      </c>
      <c r="B895" s="14" t="str">
        <f>VLOOKUP(TAB_SAIDA[[#This Row],[COD_2_SAIDA]],TAB_ESTOQUE[[Codigo]:[Descrição Tecnica]],6,FALSE)</f>
        <v>CORREIA DENTADA T10-810AD</v>
      </c>
      <c r="C895" s="14">
        <f>IFERROR(VLOOKUP(TAB_SAIDA[[#This Row],[COD_2_SAIDA]],TAB_ESTOQUE[[Codigo]:[Referência Tec]],7,FALSE),"")</f>
        <v>0</v>
      </c>
      <c r="D895" s="14" t="str">
        <f>VLOOKUP(TAB_SAIDA[[#This Row],[COD_2_SAIDA]],TAB_ESTOQUE[[Codigo]:[Endereço2]],12,FALSE)</f>
        <v>S701</v>
      </c>
      <c r="E895" s="81">
        <f>SUM(TAB_SAIDA[[#This Row],[20/05/2019]:[00/00/00]])</f>
        <v>0</v>
      </c>
      <c r="F895" s="3"/>
    </row>
    <row r="896" spans="1:616" ht="15" hidden="1" customHeight="1" x14ac:dyDescent="0.25">
      <c r="A896" s="5" t="s">
        <v>2553</v>
      </c>
      <c r="B896" s="14" t="str">
        <f>VLOOKUP(TAB_SAIDA[[#This Row],[COD_2_SAIDA]],TAB_ESTOQUE[[Codigo]:[Descrição Tecnica]],6,FALSE)</f>
        <v>CORREIA DENTADA T10-450</v>
      </c>
      <c r="C896" s="14">
        <f>IFERROR(VLOOKUP(TAB_SAIDA[[#This Row],[COD_2_SAIDA]],TAB_ESTOQUE[[Codigo]:[Referência Tec]],7,FALSE),"")</f>
        <v>0</v>
      </c>
      <c r="D896" s="14" t="str">
        <f>VLOOKUP(TAB_SAIDA[[#This Row],[COD_2_SAIDA]],TAB_ESTOQUE[[Codigo]:[Endereço2]],12,FALSE)</f>
        <v>S701</v>
      </c>
      <c r="E896" s="81">
        <f>SUM(TAB_SAIDA[[#This Row],[20/05/2019]:[00/00/00]])</f>
        <v>0</v>
      </c>
      <c r="F896" s="3"/>
    </row>
    <row r="897" spans="1:631" ht="15" hidden="1" customHeight="1" x14ac:dyDescent="0.25">
      <c r="A897" s="5" t="s">
        <v>2554</v>
      </c>
      <c r="B897" s="14" t="str">
        <f>VLOOKUP(TAB_SAIDA[[#This Row],[COD_2_SAIDA]],TAB_ESTOQUE[[Codigo]:[Descrição Tecnica]],6,FALSE)</f>
        <v>CORREIA DENTADA T10-530</v>
      </c>
      <c r="C897" s="14">
        <f>IFERROR(VLOOKUP(TAB_SAIDA[[#This Row],[COD_2_SAIDA]],TAB_ESTOQUE[[Codigo]:[Referência Tec]],7,FALSE),"")</f>
        <v>0</v>
      </c>
      <c r="D897" s="14" t="str">
        <f>VLOOKUP(TAB_SAIDA[[#This Row],[COD_2_SAIDA]],TAB_ESTOQUE[[Codigo]:[Endereço2]],12,FALSE)</f>
        <v>S701</v>
      </c>
      <c r="E897" s="81">
        <f>SUM(TAB_SAIDA[[#This Row],[20/05/2019]:[00/00/00]])</f>
        <v>0</v>
      </c>
      <c r="F897" s="3"/>
    </row>
    <row r="898" spans="1:631" ht="15" hidden="1" customHeight="1" x14ac:dyDescent="0.25">
      <c r="A898" s="5" t="s">
        <v>2555</v>
      </c>
      <c r="B898" s="14" t="str">
        <f>VLOOKUP(TAB_SAIDA[[#This Row],[COD_2_SAIDA]],TAB_ESTOQUE[[Codigo]:[Descrição Tecnica]],6,FALSE)</f>
        <v>CORREIA DENTADA BX381815</v>
      </c>
      <c r="C898" s="14">
        <f>IFERROR(VLOOKUP(TAB_SAIDA[[#This Row],[COD_2_SAIDA]],TAB_ESTOQUE[[Codigo]:[Referência Tec]],7,FALSE),"")</f>
        <v>0</v>
      </c>
      <c r="D898" s="14" t="str">
        <f>VLOOKUP(TAB_SAIDA[[#This Row],[COD_2_SAIDA]],TAB_ESTOQUE[[Codigo]:[Endereço2]],12,FALSE)</f>
        <v>S703</v>
      </c>
      <c r="E898" s="81">
        <f>SUM(TAB_SAIDA[[#This Row],[20/05/2019]:[00/00/00]])</f>
        <v>0</v>
      </c>
      <c r="F898" s="3"/>
    </row>
    <row r="899" spans="1:631" ht="15" hidden="1" customHeight="1" x14ac:dyDescent="0.25">
      <c r="A899" s="5" t="s">
        <v>2556</v>
      </c>
      <c r="B899" s="14" t="str">
        <f>VLOOKUP(TAB_SAIDA[[#This Row],[COD_2_SAIDA]],TAB_ESTOQUE[[Codigo]:[Descrição Tecnica]],6,FALSE)</f>
        <v>CORREIA DENTADA BSX33</v>
      </c>
      <c r="C899" s="14">
        <f>IFERROR(VLOOKUP(TAB_SAIDA[[#This Row],[COD_2_SAIDA]],TAB_ESTOQUE[[Codigo]:[Referência Tec]],7,FALSE),"")</f>
        <v>0</v>
      </c>
      <c r="D899" s="14" t="str">
        <f>VLOOKUP(TAB_SAIDA[[#This Row],[COD_2_SAIDA]],TAB_ESTOQUE[[Codigo]:[Endereço2]],12,FALSE)</f>
        <v>S703</v>
      </c>
      <c r="E899" s="81">
        <f>SUM(TAB_SAIDA[[#This Row],[20/05/2019]:[00/00/00]])</f>
        <v>0</v>
      </c>
      <c r="F899" s="3"/>
    </row>
    <row r="900" spans="1:631" ht="15" hidden="1" customHeight="1" x14ac:dyDescent="0.25">
      <c r="A900" s="5" t="s">
        <v>2557</v>
      </c>
      <c r="B900" s="14" t="str">
        <f>VLOOKUP(TAB_SAIDA[[#This Row],[COD_2_SAIDA]],TAB_ESTOQUE[[Codigo]:[Descrição Tecnica]],6,FALSE)</f>
        <v>CORREIA DENTADA T10660</v>
      </c>
      <c r="C900" s="14">
        <f>IFERROR(VLOOKUP(TAB_SAIDA[[#This Row],[COD_2_SAIDA]],TAB_ESTOQUE[[Codigo]:[Referência Tec]],7,FALSE),"")</f>
        <v>0</v>
      </c>
      <c r="D900" s="14" t="str">
        <f>VLOOKUP(TAB_SAIDA[[#This Row],[COD_2_SAIDA]],TAB_ESTOQUE[[Codigo]:[Endereço2]],12,FALSE)</f>
        <v>S704</v>
      </c>
      <c r="E900" s="81">
        <f>SUM(TAB_SAIDA[[#This Row],[20/05/2019]:[00/00/00]])</f>
        <v>0</v>
      </c>
      <c r="F900" s="3"/>
    </row>
    <row r="901" spans="1:631" ht="15" hidden="1" customHeight="1" x14ac:dyDescent="0.25">
      <c r="A901" s="5" t="s">
        <v>2558</v>
      </c>
      <c r="B901" s="14" t="str">
        <f>VLOOKUP(TAB_SAIDA[[#This Row],[COD_2_SAIDA]],TAB_ESTOQUE[[Codigo]:[Descrição Tecnica]],6,FALSE)</f>
        <v>CORREIA DENTADA 14KJB</v>
      </c>
      <c r="C901" s="14">
        <f>IFERROR(VLOOKUP(TAB_SAIDA[[#This Row],[COD_2_SAIDA]],TAB_ESTOQUE[[Codigo]:[Referência Tec]],7,FALSE),"")</f>
        <v>0</v>
      </c>
      <c r="D901" s="14" t="str">
        <f>VLOOKUP(TAB_SAIDA[[#This Row],[COD_2_SAIDA]],TAB_ESTOQUE[[Codigo]:[Endereço2]],12,FALSE)</f>
        <v>S702</v>
      </c>
      <c r="E901" s="81">
        <f>SUM(TAB_SAIDA[[#This Row],[20/05/2019]:[00/00/00]])</f>
        <v>0</v>
      </c>
      <c r="F901" s="3"/>
    </row>
    <row r="902" spans="1:631" ht="15" hidden="1" customHeight="1" x14ac:dyDescent="0.25">
      <c r="A902" s="5" t="s">
        <v>2559</v>
      </c>
      <c r="B902" s="14" t="str">
        <f>VLOOKUP(TAB_SAIDA[[#This Row],[COD_2_SAIDA]],TAB_ESTOQUE[[Codigo]:[Descrição Tecnica]],6,FALSE)</f>
        <v>CORREIA DENTADA HTD500-5M</v>
      </c>
      <c r="C902" s="14">
        <f>IFERROR(VLOOKUP(TAB_SAIDA[[#This Row],[COD_2_SAIDA]],TAB_ESTOQUE[[Codigo]:[Referência Tec]],7,FALSE),"")</f>
        <v>0</v>
      </c>
      <c r="D902" s="14" t="str">
        <f>VLOOKUP(TAB_SAIDA[[#This Row],[COD_2_SAIDA]],TAB_ESTOQUE[[Codigo]:[Endereço2]],12,FALSE)</f>
        <v>S701</v>
      </c>
      <c r="E902" s="81">
        <f>SUM(TAB_SAIDA[[#This Row],[20/05/2019]:[00/00/00]])</f>
        <v>0</v>
      </c>
      <c r="F902" s="3"/>
    </row>
    <row r="903" spans="1:631" ht="15" hidden="1" customHeight="1" x14ac:dyDescent="0.25">
      <c r="A903" s="5" t="s">
        <v>2560</v>
      </c>
      <c r="B903" s="14" t="str">
        <f>VLOOKUP(TAB_SAIDA[[#This Row],[COD_2_SAIDA]],TAB_ESTOQUE[[Codigo]:[Descrição Tecnica]],6,FALSE)</f>
        <v>CORREIA LISA B36</v>
      </c>
      <c r="C903" s="14">
        <f>IFERROR(VLOOKUP(TAB_SAIDA[[#This Row],[COD_2_SAIDA]],TAB_ESTOQUE[[Codigo]:[Referência Tec]],7,FALSE),"")</f>
        <v>0</v>
      </c>
      <c r="D903" s="14" t="str">
        <f>VLOOKUP(TAB_SAIDA[[#This Row],[COD_2_SAIDA]],TAB_ESTOQUE[[Codigo]:[Endereço2]],12,FALSE)</f>
        <v>S703</v>
      </c>
      <c r="E903" s="81">
        <f>SUM(TAB_SAIDA[[#This Row],[20/05/2019]:[00/00/00]])</f>
        <v>1</v>
      </c>
      <c r="F903" s="3"/>
      <c r="SE903" s="3">
        <v>1</v>
      </c>
    </row>
    <row r="904" spans="1:631" ht="15" hidden="1" customHeight="1" x14ac:dyDescent="0.25">
      <c r="A904" s="5" t="s">
        <v>2561</v>
      </c>
      <c r="B904" s="14" t="str">
        <f>VLOOKUP(TAB_SAIDA[[#This Row],[COD_2_SAIDA]],TAB_ESTOQUE[[Codigo]:[Descrição Tecnica]],6,FALSE)</f>
        <v>CORREIA LISA 5L-380</v>
      </c>
      <c r="C904" s="14">
        <f>IFERROR(VLOOKUP(TAB_SAIDA[[#This Row],[COD_2_SAIDA]],TAB_ESTOQUE[[Codigo]:[Referência Tec]],7,FALSE),"")</f>
        <v>0</v>
      </c>
      <c r="D904" s="14" t="str">
        <f>VLOOKUP(TAB_SAIDA[[#This Row],[COD_2_SAIDA]],TAB_ESTOQUE[[Codigo]:[Endereço2]],12,FALSE)</f>
        <v>S703</v>
      </c>
      <c r="E904" s="81">
        <f>SUM(TAB_SAIDA[[#This Row],[20/05/2019]:[00/00/00]])</f>
        <v>0</v>
      </c>
      <c r="F904" s="3"/>
    </row>
    <row r="905" spans="1:631" ht="15" hidden="1" customHeight="1" x14ac:dyDescent="0.25">
      <c r="A905" s="5" t="s">
        <v>2562</v>
      </c>
      <c r="B905" s="14" t="str">
        <f>VLOOKUP(TAB_SAIDA[[#This Row],[COD_2_SAIDA]],TAB_ESTOQUE[[Codigo]:[Descrição Tecnica]],6,FALSE)</f>
        <v>MANGUEIRA PARA AGUA 1"</v>
      </c>
      <c r="C905" s="14">
        <f>IFERROR(VLOOKUP(TAB_SAIDA[[#This Row],[COD_2_SAIDA]],TAB_ESTOQUE[[Codigo]:[Referência Tec]],7,FALSE),"")</f>
        <v>0</v>
      </c>
      <c r="D905" s="14" t="str">
        <f>VLOOKUP(TAB_SAIDA[[#This Row],[COD_2_SAIDA]],TAB_ESTOQUE[[Codigo]:[Endereço2]],12,FALSE)</f>
        <v>CAIXA</v>
      </c>
      <c r="E905" s="81">
        <f>SUM(TAB_SAIDA[[#This Row],[20/05/2019]:[00/00/00]])</f>
        <v>0</v>
      </c>
      <c r="F905" s="3"/>
    </row>
    <row r="906" spans="1:631" ht="15" hidden="1" customHeight="1" x14ac:dyDescent="0.25">
      <c r="A906" s="5" t="s">
        <v>2563</v>
      </c>
      <c r="B906" s="14" t="str">
        <f>VLOOKUP(TAB_SAIDA[[#This Row],[COD_2_SAIDA]],TAB_ESTOQUE[[Codigo]:[Descrição Tecnica]],6,FALSE)</f>
        <v>BOMBA DIAFRAGMAN GRACCO HUSKY 716 AIR-OPERATED</v>
      </c>
      <c r="C906" s="14">
        <f>IFERROR(VLOOKUP(TAB_SAIDA[[#This Row],[COD_2_SAIDA]],TAB_ESTOQUE[[Codigo]:[Referência Tec]],7,FALSE),"")</f>
        <v>0</v>
      </c>
      <c r="D906" s="14" t="str">
        <f>VLOOKUP(TAB_SAIDA[[#This Row],[COD_2_SAIDA]],TAB_ESTOQUE[[Codigo]:[Endereço2]],12,FALSE)</f>
        <v>E1101</v>
      </c>
      <c r="E906" s="81">
        <f>SUM(TAB_SAIDA[[#This Row],[20/05/2019]:[00/00/00]])</f>
        <v>0</v>
      </c>
      <c r="F906" s="3"/>
    </row>
    <row r="907" spans="1:631" ht="15" hidden="1" customHeight="1" x14ac:dyDescent="0.25">
      <c r="A907" s="5" t="s">
        <v>2564</v>
      </c>
      <c r="B907" s="14" t="str">
        <f>VLOOKUP(TAB_SAIDA[[#This Row],[COD_2_SAIDA]],TAB_ESTOQUE[[Codigo]:[Descrição Tecnica]],6,FALSE)</f>
        <v>MANGUEIRA PNEUMATICA DE POLIURETANO TUBO 10MM EXTER AZUL ACIMA DE 10 bar</v>
      </c>
      <c r="C907" s="14">
        <f>IFERROR(VLOOKUP(TAB_SAIDA[[#This Row],[COD_2_SAIDA]],TAB_ESTOQUE[[Codigo]:[Referência Tec]],7,FALSE),"")</f>
        <v>0</v>
      </c>
      <c r="D907" s="14" t="str">
        <f>VLOOKUP(TAB_SAIDA[[#This Row],[COD_2_SAIDA]],TAB_ESTOQUE[[Codigo]:[Endereço2]],12,FALSE)</f>
        <v>S502</v>
      </c>
      <c r="E907" s="81">
        <f>SUM(TAB_SAIDA[[#This Row],[20/05/2019]:[00/00/00]])</f>
        <v>0</v>
      </c>
      <c r="F907" s="3"/>
    </row>
    <row r="908" spans="1:631" ht="15" hidden="1" customHeight="1" x14ac:dyDescent="0.25">
      <c r="A908" s="5" t="s">
        <v>2565</v>
      </c>
      <c r="B908" s="14" t="str">
        <f>VLOOKUP(TAB_SAIDA[[#This Row],[COD_2_SAIDA]],TAB_ESTOQUE[[Codigo]:[Descrição Tecnica]],6,FALSE)</f>
        <v>RESOLVER SICK D-78166 SKM36S</v>
      </c>
      <c r="C908" s="14">
        <f>IFERROR(VLOOKUP(TAB_SAIDA[[#This Row],[COD_2_SAIDA]],TAB_ESTOQUE[[Codigo]:[Referência Tec]],7,FALSE),"")</f>
        <v>0</v>
      </c>
      <c r="D908" s="14" t="str">
        <f>VLOOKUP(TAB_SAIDA[[#This Row],[COD_2_SAIDA]],TAB_ESTOQUE[[Codigo]:[Endereço2]],12,FALSE)</f>
        <v>B1103</v>
      </c>
      <c r="E908" s="81">
        <f>SUM(TAB_SAIDA[[#This Row],[20/05/2019]:[00/00/00]])</f>
        <v>0</v>
      </c>
      <c r="F908" s="3"/>
    </row>
    <row r="909" spans="1:631" s="186" customFormat="1" ht="15" hidden="1" customHeight="1" x14ac:dyDescent="0.25">
      <c r="A909" s="194" t="s">
        <v>2566</v>
      </c>
      <c r="B909" s="195" t="str">
        <f>VLOOKUP(TAB_SAIDA[[#This Row],[COD_2_SAIDA]],TAB_ESTOQUE[[Codigo]:[Descrição Tecnica]],6,FALSE)</f>
        <v>REDUTOR ECHTOP MS711-4</v>
      </c>
      <c r="C909" s="195">
        <f>IFERROR(VLOOKUP(TAB_SAIDA[[#This Row],[COD_2_SAIDA]],TAB_ESTOQUE[[Codigo]:[Referência Tec]],7,FALSE),"")</f>
        <v>0</v>
      </c>
      <c r="D909" s="195" t="str">
        <f>VLOOKUP(TAB_SAIDA[[#This Row],[COD_2_SAIDA]],TAB_ESTOQUE[[Codigo]:[Endereço2]],12,FALSE)</f>
        <v>E1103</v>
      </c>
      <c r="E909" s="196">
        <f>SUM(TAB_SAIDA[[#This Row],[20/05/2019]:[00/00/00]])</f>
        <v>0</v>
      </c>
      <c r="F909" s="197"/>
      <c r="G909" s="197"/>
      <c r="H909" s="197"/>
      <c r="I909" s="197"/>
      <c r="J909" s="197"/>
      <c r="K909" s="197"/>
      <c r="L909" s="197"/>
      <c r="M909" s="197"/>
      <c r="N909" s="197"/>
      <c r="O909" s="197"/>
      <c r="P909" s="197"/>
      <c r="Q909" s="197"/>
      <c r="R909" s="197"/>
      <c r="S909" s="197"/>
      <c r="T909" s="197"/>
      <c r="U909" s="197"/>
      <c r="V909" s="197"/>
      <c r="W909" s="197"/>
      <c r="X909" s="197"/>
      <c r="Y909" s="197"/>
      <c r="Z909" s="197"/>
      <c r="AA909" s="197"/>
      <c r="AB909" s="197"/>
      <c r="AC909" s="197"/>
      <c r="AD909" s="197"/>
      <c r="AE909" s="197"/>
      <c r="AF909" s="197"/>
      <c r="AG909" s="197"/>
      <c r="AH909" s="197"/>
      <c r="AI909" s="197"/>
      <c r="AJ909" s="197"/>
      <c r="AK909" s="197"/>
      <c r="AL909" s="197"/>
      <c r="AM909" s="197"/>
      <c r="AN909" s="197"/>
      <c r="AO909" s="197"/>
      <c r="AP909" s="197"/>
      <c r="AQ909" s="197"/>
      <c r="AR909" s="197"/>
      <c r="AS909" s="197"/>
      <c r="AT909" s="197"/>
      <c r="AU909" s="197"/>
      <c r="AV909" s="197"/>
      <c r="AW909" s="197"/>
      <c r="AX909" s="197"/>
      <c r="AY909" s="197"/>
      <c r="AZ909" s="197"/>
      <c r="BA909" s="197"/>
      <c r="BB909" s="197"/>
      <c r="BC909" s="197"/>
      <c r="BD909" s="197"/>
      <c r="BE909" s="197"/>
      <c r="BF909" s="197"/>
      <c r="BG909" s="197"/>
      <c r="BH909" s="198"/>
      <c r="BI909" s="197"/>
      <c r="BJ909" s="197"/>
      <c r="BK909" s="197"/>
      <c r="BL909" s="197"/>
      <c r="BM909" s="197"/>
      <c r="BN909" s="197"/>
      <c r="BO909" s="197"/>
      <c r="BP909" s="197"/>
      <c r="BQ909" s="197"/>
      <c r="BR909" s="197"/>
      <c r="BS909" s="197"/>
      <c r="BT909" s="197"/>
      <c r="BU909" s="197"/>
      <c r="BV909" s="197"/>
      <c r="BW909" s="197"/>
      <c r="BX909" s="197"/>
      <c r="BY909" s="197"/>
      <c r="BZ909" s="197"/>
      <c r="CA909" s="197"/>
      <c r="CB909" s="197"/>
      <c r="CC909" s="197"/>
      <c r="CD909" s="197"/>
      <c r="CE909" s="197"/>
      <c r="CF909" s="197"/>
      <c r="CG909" s="197"/>
      <c r="CH909" s="197"/>
      <c r="CI909" s="197"/>
      <c r="CJ909" s="197"/>
      <c r="CK909" s="197"/>
      <c r="CL909" s="197"/>
      <c r="CM909" s="197"/>
      <c r="CN909" s="197"/>
      <c r="CO909" s="197"/>
      <c r="CP909" s="197"/>
      <c r="CQ909" s="197"/>
      <c r="CR909" s="197"/>
      <c r="CS909" s="197"/>
      <c r="CT909" s="197"/>
      <c r="CU909" s="197"/>
      <c r="CV909" s="197"/>
      <c r="CW909" s="197"/>
      <c r="CX909" s="197"/>
      <c r="CY909" s="197"/>
      <c r="CZ909" s="197"/>
      <c r="DA909" s="197"/>
      <c r="DB909" s="197"/>
      <c r="DC909" s="197"/>
      <c r="DD909" s="197"/>
      <c r="DE909" s="197"/>
      <c r="DF909" s="197"/>
      <c r="DG909" s="197"/>
      <c r="DH909" s="197"/>
      <c r="DI909" s="197"/>
      <c r="DJ909" s="197"/>
      <c r="DK909" s="197"/>
      <c r="DL909" s="197"/>
      <c r="DM909" s="197"/>
      <c r="DN909" s="197"/>
      <c r="DO909" s="197"/>
      <c r="DP909" s="197"/>
      <c r="DQ909" s="197"/>
      <c r="DR909" s="197"/>
      <c r="DS909" s="197"/>
      <c r="DT909" s="197"/>
      <c r="DU909" s="197"/>
      <c r="DV909" s="197"/>
      <c r="DW909" s="197"/>
      <c r="DX909" s="197"/>
      <c r="DY909" s="197"/>
      <c r="DZ909" s="197"/>
      <c r="EA909" s="197"/>
      <c r="EB909" s="197"/>
      <c r="EC909" s="197"/>
      <c r="ED909" s="197"/>
      <c r="EE909" s="197"/>
      <c r="EF909" s="197"/>
      <c r="EG909" s="197"/>
      <c r="EH909" s="197"/>
      <c r="EI909" s="197"/>
      <c r="EJ909" s="197"/>
      <c r="EK909" s="197"/>
      <c r="EL909" s="197"/>
      <c r="EM909" s="197"/>
      <c r="EN909" s="197"/>
      <c r="EO909" s="197"/>
      <c r="EP909" s="197"/>
      <c r="EQ909" s="197"/>
      <c r="ER909" s="197"/>
      <c r="ES909" s="197"/>
      <c r="ET909" s="197"/>
      <c r="EU909" s="197"/>
      <c r="EV909" s="197"/>
      <c r="EW909" s="197"/>
      <c r="EX909" s="197"/>
      <c r="EY909" s="197"/>
      <c r="EZ909" s="197"/>
      <c r="FA909" s="197"/>
      <c r="FB909" s="197"/>
      <c r="FC909" s="197"/>
      <c r="FD909" s="197"/>
      <c r="FE909" s="197"/>
      <c r="FF909" s="197"/>
      <c r="FG909" s="197"/>
      <c r="FH909" s="197"/>
      <c r="FI909" s="197"/>
      <c r="FJ909" s="197"/>
      <c r="FK909" s="197"/>
      <c r="FL909" s="197"/>
      <c r="FM909" s="197"/>
      <c r="FN909" s="197"/>
      <c r="FO909" s="197"/>
      <c r="FP909" s="197"/>
      <c r="FQ909" s="197"/>
      <c r="FR909" s="197"/>
      <c r="FS909" s="197"/>
      <c r="FT909" s="197"/>
      <c r="FU909" s="197"/>
      <c r="FV909" s="197"/>
      <c r="FW909" s="197"/>
      <c r="FX909" s="197"/>
      <c r="FY909" s="197"/>
      <c r="FZ909" s="197"/>
      <c r="GA909" s="197"/>
      <c r="GB909" s="197"/>
      <c r="GC909" s="197"/>
      <c r="GD909" s="197"/>
      <c r="GE909" s="197"/>
      <c r="GF909" s="197"/>
      <c r="GG909" s="197"/>
      <c r="GH909" s="197"/>
      <c r="GI909" s="197"/>
      <c r="GJ909" s="197"/>
      <c r="GK909" s="197"/>
      <c r="GL909" s="197"/>
      <c r="GM909" s="197"/>
      <c r="GN909" s="197"/>
      <c r="GO909" s="197"/>
      <c r="GP909" s="197"/>
      <c r="GQ909" s="197"/>
      <c r="GR909" s="197"/>
      <c r="GS909" s="197"/>
      <c r="GT909" s="197"/>
      <c r="GU909" s="197"/>
      <c r="GV909" s="197"/>
      <c r="GW909" s="197"/>
      <c r="GX909" s="197"/>
      <c r="GY909" s="197"/>
      <c r="GZ909" s="197"/>
      <c r="HA909" s="197"/>
      <c r="HB909" s="197"/>
      <c r="HC909" s="197"/>
      <c r="HD909" s="197"/>
      <c r="HE909" s="197"/>
      <c r="HF909" s="197"/>
      <c r="HG909" s="197"/>
      <c r="HH909" s="197"/>
      <c r="HI909" s="197"/>
      <c r="HJ909" s="197"/>
      <c r="HK909" s="197"/>
      <c r="HL909" s="197"/>
      <c r="HM909" s="197"/>
      <c r="HN909" s="197"/>
      <c r="HO909" s="197"/>
      <c r="HP909" s="197"/>
      <c r="HQ909" s="197"/>
      <c r="HR909" s="197"/>
      <c r="HS909" s="197"/>
      <c r="HT909" s="197"/>
      <c r="HU909" s="197"/>
      <c r="HV909" s="197"/>
      <c r="HW909" s="197"/>
      <c r="HX909" s="197"/>
      <c r="HY909" s="197"/>
      <c r="HZ909" s="197"/>
      <c r="IA909" s="197"/>
      <c r="IB909" s="197"/>
      <c r="IC909" s="197"/>
      <c r="ID909" s="197"/>
      <c r="IE909" s="197"/>
      <c r="IF909" s="197"/>
      <c r="IG909" s="197"/>
      <c r="IH909" s="197"/>
      <c r="II909" s="197"/>
      <c r="IJ909" s="197"/>
      <c r="IK909" s="197"/>
      <c r="IL909" s="197"/>
      <c r="IM909" s="197"/>
      <c r="IN909" s="197"/>
      <c r="IO909" s="197"/>
      <c r="IP909" s="197"/>
      <c r="IQ909" s="197"/>
      <c r="IR909" s="197"/>
      <c r="IS909" s="197"/>
      <c r="IT909" s="197"/>
      <c r="IU909" s="197"/>
      <c r="IV909" s="197"/>
      <c r="IW909" s="197"/>
      <c r="IX909" s="197"/>
      <c r="IY909" s="197"/>
      <c r="IZ909" s="197"/>
      <c r="JA909" s="197"/>
      <c r="JB909" s="197"/>
      <c r="JC909" s="197"/>
      <c r="JD909" s="197"/>
      <c r="JE909" s="197"/>
      <c r="JF909" s="197"/>
      <c r="JG909" s="197"/>
      <c r="JH909" s="197"/>
      <c r="JI909" s="197"/>
      <c r="JJ909" s="197"/>
      <c r="JK909" s="197"/>
      <c r="JL909" s="197"/>
      <c r="JM909" s="197"/>
      <c r="JN909" s="197"/>
      <c r="JO909" s="197"/>
      <c r="JP909" s="197"/>
      <c r="JQ909" s="197"/>
      <c r="JR909" s="197"/>
      <c r="JS909" s="197"/>
      <c r="JT909" s="197"/>
      <c r="JU909" s="197"/>
      <c r="JV909" s="197"/>
      <c r="JW909" s="197"/>
      <c r="JX909" s="197"/>
      <c r="JY909" s="197"/>
      <c r="JZ909" s="197"/>
      <c r="KA909" s="197"/>
      <c r="KB909" s="197"/>
      <c r="KC909" s="197"/>
      <c r="KD909" s="197"/>
      <c r="KE909" s="197"/>
      <c r="KF909" s="197"/>
      <c r="KG909" s="197"/>
      <c r="KH909" s="197"/>
      <c r="KI909" s="197"/>
      <c r="KJ909" s="197"/>
      <c r="KK909" s="197"/>
      <c r="KL909" s="197"/>
      <c r="KM909" s="197"/>
      <c r="KN909" s="197"/>
      <c r="KO909" s="197"/>
      <c r="KP909" s="197"/>
      <c r="KQ909" s="197"/>
      <c r="KR909" s="197"/>
      <c r="KS909" s="197"/>
      <c r="KT909" s="197"/>
      <c r="KU909" s="197"/>
      <c r="KV909" s="197"/>
      <c r="KW909" s="197"/>
      <c r="KX909" s="197"/>
      <c r="KY909" s="197"/>
      <c r="KZ909" s="197"/>
      <c r="LA909" s="197"/>
      <c r="LB909" s="197"/>
      <c r="LC909" s="197"/>
      <c r="LD909" s="197"/>
      <c r="LE909" s="197"/>
      <c r="LF909" s="197"/>
      <c r="LG909" s="197"/>
      <c r="LH909" s="197"/>
      <c r="LI909" s="197"/>
      <c r="LJ909" s="197"/>
      <c r="LK909" s="197"/>
      <c r="LL909" s="197"/>
      <c r="LM909" s="197"/>
      <c r="LN909" s="197"/>
      <c r="LO909" s="197"/>
      <c r="LP909" s="197"/>
      <c r="LQ909" s="197"/>
      <c r="LR909" s="197"/>
      <c r="LS909" s="197"/>
      <c r="LT909" s="197"/>
      <c r="LU909" s="197"/>
      <c r="LV909" s="197"/>
      <c r="LW909" s="197"/>
      <c r="LX909" s="197"/>
      <c r="LY909" s="197"/>
      <c r="LZ909" s="197"/>
      <c r="MA909" s="197"/>
      <c r="MB909" s="197"/>
      <c r="MC909" s="197"/>
      <c r="MD909" s="197"/>
      <c r="ME909" s="197"/>
      <c r="MF909" s="197"/>
      <c r="MG909" s="197"/>
      <c r="MH909" s="197"/>
      <c r="MI909" s="197"/>
      <c r="MJ909" s="197"/>
      <c r="MK909" s="197"/>
      <c r="ML909" s="197"/>
      <c r="MM909" s="197"/>
      <c r="MN909" s="197"/>
      <c r="MO909" s="197"/>
      <c r="MP909" s="197"/>
      <c r="MQ909" s="197"/>
      <c r="MR909" s="197"/>
      <c r="MS909" s="197"/>
      <c r="MT909" s="197"/>
      <c r="MU909" s="197"/>
      <c r="MV909" s="197"/>
      <c r="MW909" s="197"/>
      <c r="MX909" s="197"/>
      <c r="MY909" s="197"/>
      <c r="MZ909" s="197"/>
      <c r="NA909" s="197"/>
      <c r="NB909" s="197"/>
      <c r="NC909" s="197"/>
      <c r="ND909" s="197"/>
      <c r="NE909" s="197"/>
      <c r="NF909" s="197"/>
      <c r="NG909" s="197"/>
      <c r="NH909" s="197"/>
      <c r="NI909" s="197"/>
      <c r="NJ909" s="197"/>
      <c r="NK909" s="197"/>
      <c r="NL909" s="197"/>
      <c r="NM909" s="197"/>
      <c r="NN909" s="197"/>
      <c r="NO909" s="197"/>
      <c r="NP909" s="197"/>
      <c r="NQ909" s="197"/>
      <c r="NR909" s="197"/>
      <c r="NS909" s="197"/>
      <c r="NT909" s="197"/>
      <c r="NU909" s="197"/>
      <c r="NV909" s="197"/>
      <c r="NW909" s="197"/>
      <c r="NX909" s="197"/>
      <c r="NY909" s="197"/>
      <c r="NZ909" s="197"/>
      <c r="OA909" s="197"/>
      <c r="OB909" s="197"/>
      <c r="OC909" s="197"/>
      <c r="OD909" s="197"/>
      <c r="OE909" s="197"/>
      <c r="OF909" s="197"/>
      <c r="OG909" s="197"/>
      <c r="OH909" s="197"/>
      <c r="OI909" s="197"/>
      <c r="OJ909" s="197"/>
      <c r="OK909" s="197"/>
      <c r="OL909" s="197"/>
      <c r="OM909" s="197"/>
      <c r="ON909" s="197"/>
      <c r="OO909" s="197"/>
      <c r="OP909" s="197"/>
      <c r="OQ909" s="197"/>
      <c r="OR909" s="197"/>
      <c r="OS909" s="197"/>
      <c r="OT909" s="197"/>
      <c r="OU909" s="197"/>
      <c r="OV909" s="197"/>
      <c r="OW909" s="197"/>
      <c r="OX909" s="197"/>
      <c r="OY909" s="197"/>
      <c r="OZ909" s="197"/>
      <c r="PA909" s="197"/>
      <c r="PB909" s="197"/>
      <c r="PC909" s="197"/>
      <c r="PD909" s="197"/>
      <c r="PE909" s="197"/>
      <c r="PF909" s="197"/>
      <c r="PG909" s="197"/>
      <c r="PH909" s="197"/>
      <c r="PI909" s="197"/>
      <c r="PJ909" s="197"/>
      <c r="PK909" s="197"/>
      <c r="PL909" s="197"/>
      <c r="PM909" s="197"/>
      <c r="PN909" s="197"/>
      <c r="PO909" s="197"/>
      <c r="PP909" s="197"/>
      <c r="PQ909" s="197"/>
      <c r="PR909" s="197"/>
      <c r="PS909" s="197"/>
      <c r="PT909" s="197"/>
      <c r="PU909" s="197"/>
      <c r="PV909" s="197"/>
      <c r="PW909" s="197"/>
      <c r="PX909" s="197"/>
      <c r="PY909" s="197"/>
      <c r="PZ909" s="197"/>
      <c r="QA909" s="197"/>
      <c r="QB909" s="197"/>
      <c r="QC909" s="197"/>
      <c r="QD909" s="197"/>
      <c r="QE909" s="197"/>
      <c r="QF909" s="197"/>
      <c r="QG909" s="197"/>
      <c r="QH909" s="197"/>
      <c r="QI909" s="197"/>
      <c r="QJ909" s="197"/>
      <c r="QK909" s="197"/>
      <c r="QL909" s="197"/>
      <c r="QM909" s="197"/>
      <c r="QN909" s="197"/>
      <c r="QO909" s="197"/>
      <c r="QP909" s="197"/>
      <c r="QQ909" s="197"/>
      <c r="QR909" s="197"/>
      <c r="QS909" s="197"/>
      <c r="QT909" s="197"/>
      <c r="QU909" s="197"/>
      <c r="QV909" s="197"/>
      <c r="QW909" s="197"/>
      <c r="QX909" s="197"/>
      <c r="QY909" s="197"/>
      <c r="QZ909" s="197"/>
      <c r="RA909" s="197"/>
      <c r="RB909" s="197"/>
      <c r="RC909" s="197"/>
      <c r="RD909" s="197"/>
      <c r="RE909" s="197"/>
      <c r="RF909" s="197"/>
      <c r="RG909" s="197"/>
      <c r="RH909" s="197"/>
      <c r="RI909" s="197"/>
      <c r="RJ909" s="197"/>
      <c r="RK909" s="197"/>
      <c r="RL909" s="197"/>
      <c r="RM909" s="197"/>
      <c r="RN909" s="197"/>
      <c r="RO909" s="197"/>
      <c r="RP909" s="197"/>
      <c r="RQ909" s="197"/>
      <c r="RR909" s="197"/>
      <c r="RS909" s="197"/>
      <c r="RT909" s="197"/>
      <c r="RU909" s="197"/>
      <c r="RV909" s="197"/>
      <c r="RW909" s="197"/>
      <c r="RX909" s="197"/>
      <c r="RY909" s="197"/>
      <c r="RZ909" s="197"/>
      <c r="SA909" s="197"/>
      <c r="SB909" s="197"/>
      <c r="SC909" s="197"/>
      <c r="SD909" s="197"/>
      <c r="SE909" s="197"/>
      <c r="SF909" s="197"/>
      <c r="SG909" s="197"/>
      <c r="SH909" s="197"/>
      <c r="SI909" s="197"/>
      <c r="SJ909" s="197"/>
      <c r="SK909" s="197"/>
      <c r="SL909" s="197"/>
      <c r="SM909" s="197"/>
      <c r="SN909" s="197"/>
      <c r="SO909" s="197"/>
      <c r="SP909" s="197"/>
      <c r="SQ909" s="197"/>
      <c r="SR909" s="197"/>
      <c r="SS909" s="197"/>
      <c r="ST909" s="197"/>
      <c r="SU909" s="197"/>
      <c r="SV909" s="197"/>
      <c r="SW909" s="197"/>
      <c r="SX909" s="197"/>
      <c r="SY909" s="197"/>
      <c r="SZ909" s="197"/>
      <c r="TA909" s="197"/>
      <c r="TB909" s="197"/>
      <c r="TC909" s="197"/>
      <c r="TD909" s="197"/>
      <c r="TE909" s="197"/>
      <c r="TF909" s="197"/>
      <c r="TG909" s="197"/>
      <c r="TH909" s="197"/>
      <c r="TI909" s="197"/>
      <c r="TJ909" s="197"/>
      <c r="TK909" s="197"/>
      <c r="TL909" s="197"/>
      <c r="TM909" s="197"/>
      <c r="TN909" s="197"/>
      <c r="TO909" s="197"/>
      <c r="TP909" s="197"/>
      <c r="TQ909" s="197"/>
      <c r="TR909" s="197"/>
      <c r="TS909" s="197"/>
      <c r="TT909" s="197"/>
      <c r="TU909" s="197"/>
      <c r="TV909" s="197"/>
      <c r="TW909" s="197"/>
      <c r="TX909" s="197"/>
      <c r="TY909" s="197"/>
      <c r="TZ909" s="197"/>
      <c r="UA909" s="197"/>
      <c r="UB909" s="197"/>
      <c r="UC909" s="197"/>
      <c r="UD909" s="197"/>
      <c r="UE909" s="197"/>
      <c r="UF909" s="197"/>
      <c r="UG909" s="197"/>
      <c r="UH909" s="197"/>
      <c r="UI909" s="197"/>
      <c r="UJ909" s="197"/>
      <c r="UK909" s="197"/>
      <c r="UL909" s="197"/>
      <c r="UM909" s="197"/>
      <c r="UN909" s="197"/>
      <c r="UO909" s="197"/>
      <c r="UP909" s="197"/>
      <c r="UQ909" s="197"/>
      <c r="UR909" s="197"/>
      <c r="US909" s="197"/>
      <c r="UT909" s="197"/>
      <c r="UU909" s="197"/>
      <c r="UV909" s="197"/>
      <c r="UW909" s="197"/>
      <c r="UX909" s="197"/>
      <c r="UY909" s="197"/>
      <c r="UZ909" s="197"/>
      <c r="VA909" s="197"/>
      <c r="VB909" s="197"/>
      <c r="VC909" s="197"/>
      <c r="VD909" s="197"/>
      <c r="VE909" s="197"/>
      <c r="VF909" s="197"/>
      <c r="VG909" s="197"/>
      <c r="VH909" s="197"/>
      <c r="VI909" s="197"/>
      <c r="VJ909" s="197"/>
      <c r="VK909" s="197"/>
      <c r="VL909" s="197"/>
      <c r="VM909" s="197"/>
      <c r="VN909" s="197"/>
      <c r="VO909" s="197"/>
      <c r="VP909" s="197"/>
      <c r="VQ909" s="197"/>
      <c r="VR909" s="197"/>
      <c r="VS909" s="197"/>
      <c r="VT909" s="197"/>
      <c r="VU909" s="197"/>
      <c r="VV909" s="197"/>
      <c r="VW909" s="197"/>
      <c r="VX909" s="197"/>
      <c r="VY909" s="197"/>
      <c r="VZ909" s="197"/>
      <c r="WA909" s="197"/>
      <c r="WB909" s="197"/>
      <c r="WC909" s="197"/>
      <c r="WD909" s="197"/>
      <c r="WE909" s="197"/>
      <c r="WF909" s="197"/>
      <c r="WG909" s="197"/>
      <c r="WH909" s="197"/>
      <c r="WI909" s="197"/>
      <c r="WJ909" s="197"/>
      <c r="WK909" s="197"/>
      <c r="WL909" s="197"/>
      <c r="WM909" s="197"/>
      <c r="WN909" s="197"/>
      <c r="WO909" s="197"/>
      <c r="WP909" s="197"/>
      <c r="WQ909" s="197"/>
      <c r="WR909" s="197"/>
      <c r="WS909" s="197"/>
      <c r="WT909" s="197"/>
      <c r="WU909" s="197"/>
      <c r="WV909" s="197"/>
      <c r="WW909" s="197"/>
      <c r="WX909" s="197"/>
      <c r="WY909" s="197"/>
      <c r="WZ909" s="197"/>
      <c r="XA909" s="197"/>
      <c r="XB909" s="197"/>
      <c r="XC909" s="197"/>
      <c r="XD909" s="197"/>
      <c r="XE909" s="197"/>
      <c r="XF909" s="197"/>
      <c r="XG909" s="197"/>
    </row>
    <row r="910" spans="1:631" ht="15" hidden="1" customHeight="1" x14ac:dyDescent="0.25">
      <c r="A910" s="5" t="s">
        <v>2567</v>
      </c>
      <c r="B910" s="14" t="str">
        <f>VLOOKUP(TAB_SAIDA[[#This Row],[COD_2_SAIDA]],TAB_ESTOQUE[[Codigo]:[Descrição Tecnica]],6,FALSE)</f>
        <v xml:space="preserve">FUSIVEL KRAH GS 24X165C 2K5  K </v>
      </c>
      <c r="C910" s="14">
        <f>IFERROR(VLOOKUP(TAB_SAIDA[[#This Row],[COD_2_SAIDA]],TAB_ESTOQUE[[Codigo]:[Referência Tec]],7,FALSE),"")</f>
        <v>0</v>
      </c>
      <c r="D910" s="14" t="str">
        <f>VLOOKUP(TAB_SAIDA[[#This Row],[COD_2_SAIDA]],TAB_ESTOQUE[[Codigo]:[Endereço2]],12,FALSE)</f>
        <v>A1106</v>
      </c>
      <c r="E910" s="81">
        <f>SUM(TAB_SAIDA[[#This Row],[20/05/2019]:[00/00/00]])</f>
        <v>0</v>
      </c>
      <c r="F910" s="3"/>
    </row>
    <row r="911" spans="1:631" ht="15" hidden="1" customHeight="1" x14ac:dyDescent="0.25">
      <c r="A911" s="5" t="s">
        <v>2568</v>
      </c>
      <c r="B911" s="14" t="str">
        <f>VLOOKUP(TAB_SAIDA[[#This Row],[COD_2_SAIDA]],TAB_ESTOQUE[[Codigo]:[Descrição Tecnica]],6,FALSE)</f>
        <v>ELEMENTO  FILTRANTE QNQ2 ID 5770</v>
      </c>
      <c r="C911" s="14">
        <f>IFERROR(VLOOKUP(TAB_SAIDA[[#This Row],[COD_2_SAIDA]],TAB_ESTOQUE[[Codigo]:[Referência Tec]],7,FALSE),"")</f>
        <v>0</v>
      </c>
      <c r="D911" s="14" t="str">
        <f>VLOOKUP(TAB_SAIDA[[#This Row],[COD_2_SAIDA]],TAB_ESTOQUE[[Codigo]:[Endereço2]],12,FALSE)</f>
        <v>C1404</v>
      </c>
      <c r="E911" s="81">
        <f>SUM(TAB_SAIDA[[#This Row],[20/05/2019]:[00/00/00]])</f>
        <v>0</v>
      </c>
      <c r="F911" s="3"/>
    </row>
    <row r="912" spans="1:631" ht="15" hidden="1" customHeight="1" x14ac:dyDescent="0.25">
      <c r="A912" s="5" t="s">
        <v>2569</v>
      </c>
      <c r="B912" s="14" t="str">
        <f>VLOOKUP(TAB_SAIDA[[#This Row],[COD_2_SAIDA]],TAB_ESTOQUE[[Codigo]:[Descrição Tecnica]],6,FALSE)</f>
        <v xml:space="preserve">ANILHA PARA SERPENTINA FTACL40 COLLAR 1/4" </v>
      </c>
      <c r="C912" s="14">
        <f>IFERROR(VLOOKUP(TAB_SAIDA[[#This Row],[COD_2_SAIDA]],TAB_ESTOQUE[[Codigo]:[Referência Tec]],7,FALSE),"")</f>
        <v>0</v>
      </c>
      <c r="D912" s="14" t="str">
        <f>VLOOKUP(TAB_SAIDA[[#This Row],[COD_2_SAIDA]],TAB_ESTOQUE[[Codigo]:[Endereço2]],12,FALSE)</f>
        <v>D2203</v>
      </c>
      <c r="E912" s="81">
        <f>SUM(TAB_SAIDA[[#This Row],[20/05/2019]:[00/00/00]])</f>
        <v>0</v>
      </c>
      <c r="F912" s="3"/>
    </row>
    <row r="913" spans="1:562" ht="15" hidden="1" customHeight="1" x14ac:dyDescent="0.25">
      <c r="A913" s="5" t="s">
        <v>2570</v>
      </c>
      <c r="B913" s="14" t="str">
        <f>VLOOKUP(TAB_SAIDA[[#This Row],[COD_2_SAIDA]],TAB_ESTOQUE[[Codigo]:[Descrição Tecnica]],6,FALSE)</f>
        <v>ROLAMENTO AGULHA NK 20/20</v>
      </c>
      <c r="C913" s="14">
        <f>IFERROR(VLOOKUP(TAB_SAIDA[[#This Row],[COD_2_SAIDA]],TAB_ESTOQUE[[Codigo]:[Referência Tec]],7,FALSE),"")</f>
        <v>0</v>
      </c>
      <c r="D913" s="14" t="str">
        <f>VLOOKUP(TAB_SAIDA[[#This Row],[COD_2_SAIDA]],TAB_ESTOQUE[[Codigo]:[Endereço2]],12,FALSE)</f>
        <v>D2106</v>
      </c>
      <c r="E913" s="81">
        <f>SUM(TAB_SAIDA[[#This Row],[20/05/2019]:[00/00/00]])</f>
        <v>1</v>
      </c>
      <c r="F913" s="3"/>
      <c r="RR913" s="3">
        <v>1</v>
      </c>
    </row>
    <row r="914" spans="1:562" ht="15" hidden="1" customHeight="1" x14ac:dyDescent="0.25">
      <c r="A914" s="5" t="s">
        <v>2571</v>
      </c>
      <c r="B914" s="14" t="str">
        <f>VLOOKUP(TAB_SAIDA[[#This Row],[COD_2_SAIDA]],TAB_ESTOQUE[[Codigo]:[Descrição Tecnica]],6,FALSE)</f>
        <v>DOSADOR D3RE 3000</v>
      </c>
      <c r="C914" s="14">
        <f>IFERROR(VLOOKUP(TAB_SAIDA[[#This Row],[COD_2_SAIDA]],TAB_ESTOQUE[[Codigo]:[Referência Tec]],7,FALSE),"")</f>
        <v>0</v>
      </c>
      <c r="D914" s="14" t="str">
        <f>VLOOKUP(TAB_SAIDA[[#This Row],[COD_2_SAIDA]],TAB_ESTOQUE[[Codigo]:[Endereço2]],12,FALSE)</f>
        <v>C2401</v>
      </c>
      <c r="E914" s="81">
        <f>SUM(TAB_SAIDA[[#This Row],[20/05/2019]:[00/00/00]])</f>
        <v>0</v>
      </c>
      <c r="F914" s="3"/>
    </row>
    <row r="915" spans="1:562" ht="15" hidden="1" customHeight="1" x14ac:dyDescent="0.25">
      <c r="A915" s="5" t="s">
        <v>2572</v>
      </c>
      <c r="B915" s="14" t="str">
        <f>VLOOKUP(TAB_SAIDA[[#This Row],[COD_2_SAIDA]],TAB_ESTOQUE[[Codigo]:[Descrição Tecnica]],6,FALSE)</f>
        <v>ROLAMENTO 6303</v>
      </c>
      <c r="C915" s="14">
        <f>IFERROR(VLOOKUP(TAB_SAIDA[[#This Row],[COD_2_SAIDA]],TAB_ESTOQUE[[Codigo]:[Referência Tec]],7,FALSE),"")</f>
        <v>0</v>
      </c>
      <c r="D915" s="14" t="str">
        <f>VLOOKUP(TAB_SAIDA[[#This Row],[COD_2_SAIDA]],TAB_ESTOQUE[[Codigo]:[Endereço2]],12,FALSE)</f>
        <v>D2104</v>
      </c>
      <c r="E915" s="81">
        <f>SUM(TAB_SAIDA[[#This Row],[20/05/2019]:[00/00/00]])</f>
        <v>0</v>
      </c>
      <c r="F915" s="3"/>
    </row>
    <row r="916" spans="1:562" ht="15" hidden="1" customHeight="1" x14ac:dyDescent="0.25">
      <c r="A916" s="5" t="s">
        <v>2573</v>
      </c>
      <c r="B916" s="14" t="str">
        <f>VLOOKUP(TAB_SAIDA[[#This Row],[COD_2_SAIDA]],TAB_ESTOQUE[[Codigo]:[Descrição Tecnica]],6,FALSE)</f>
        <v>CINTA 3T</v>
      </c>
      <c r="C916" s="14">
        <f>IFERROR(VLOOKUP(TAB_SAIDA[[#This Row],[COD_2_SAIDA]],TAB_ESTOQUE[[Codigo]:[Referência Tec]],7,FALSE),"")</f>
        <v>0</v>
      </c>
      <c r="D916" s="14" t="str">
        <f>VLOOKUP(TAB_SAIDA[[#This Row],[COD_2_SAIDA]],TAB_ESTOQUE[[Codigo]:[Endereço2]],12,FALSE)</f>
        <v>ARMARIO</v>
      </c>
      <c r="E916" s="81">
        <f>SUM(TAB_SAIDA[[#This Row],[20/05/2019]:[00/00/00]])</f>
        <v>0</v>
      </c>
      <c r="F916" s="3"/>
    </row>
    <row r="917" spans="1:562" ht="15" hidden="1" customHeight="1" x14ac:dyDescent="0.25">
      <c r="A917" s="5" t="s">
        <v>2574</v>
      </c>
      <c r="B917" s="14" t="str">
        <f>VLOOKUP(TAB_SAIDA[[#This Row],[COD_2_SAIDA]],TAB_ESTOQUE[[Codigo]:[Descrição Tecnica]],6,FALSE)</f>
        <v>ENGATE RAPIDO STANYL -400</v>
      </c>
      <c r="C917" s="14">
        <f>IFERROR(VLOOKUP(TAB_SAIDA[[#This Row],[COD_2_SAIDA]],TAB_ESTOQUE[[Codigo]:[Referência Tec]],7,FALSE),"")</f>
        <v>0</v>
      </c>
      <c r="D917" s="14" t="str">
        <f>VLOOKUP(TAB_SAIDA[[#This Row],[COD_2_SAIDA]],TAB_ESTOQUE[[Codigo]:[Endereço2]],12,FALSE)</f>
        <v>D1104</v>
      </c>
      <c r="E917" s="81">
        <f>SUM(TAB_SAIDA[[#This Row],[20/05/2019]:[00/00/00]])</f>
        <v>0</v>
      </c>
      <c r="F917" s="3"/>
    </row>
    <row r="918" spans="1:562" ht="15" hidden="1" customHeight="1" x14ac:dyDescent="0.25">
      <c r="A918" s="5" t="s">
        <v>2575</v>
      </c>
      <c r="B918" s="14" t="str">
        <f>VLOOKUP(TAB_SAIDA[[#This Row],[COD_2_SAIDA]],TAB_ESTOQUE[[Codigo]:[Descrição Tecnica]],6,FALSE)</f>
        <v>BICO ESPIGÃO 3/8</v>
      </c>
      <c r="C918" s="14">
        <f>IFERROR(VLOOKUP(TAB_SAIDA[[#This Row],[COD_2_SAIDA]],TAB_ESTOQUE[[Codigo]:[Referência Tec]],7,FALSE),"")</f>
        <v>0</v>
      </c>
      <c r="D918" s="14" t="str">
        <f>VLOOKUP(TAB_SAIDA[[#This Row],[COD_2_SAIDA]],TAB_ESTOQUE[[Codigo]:[Endereço2]],12,FALSE)</f>
        <v>D2404</v>
      </c>
      <c r="E918" s="81">
        <f>SUM(TAB_SAIDA[[#This Row],[20/05/2019]:[00/00/00]])</f>
        <v>0</v>
      </c>
      <c r="F918" s="3"/>
    </row>
    <row r="919" spans="1:562" ht="15" hidden="1" customHeight="1" x14ac:dyDescent="0.25">
      <c r="A919" s="5" t="s">
        <v>2576</v>
      </c>
      <c r="B919" s="14" t="str">
        <f>VLOOKUP(TAB_SAIDA[[#This Row],[COD_2_SAIDA]],TAB_ESTOQUE[[Codigo]:[Descrição Tecnica]],6,FALSE)</f>
        <v>VALVULA  FLUXO 11N15 DRV 1/4"</v>
      </c>
      <c r="C919" s="14">
        <f>IFERROR(VLOOKUP(TAB_SAIDA[[#This Row],[COD_2_SAIDA]],TAB_ESTOQUE[[Codigo]:[Referência Tec]],7,FALSE),"")</f>
        <v>0</v>
      </c>
      <c r="D919" s="14" t="str">
        <f>VLOOKUP(TAB_SAIDA[[#This Row],[COD_2_SAIDA]],TAB_ESTOQUE[[Codigo]:[Endereço2]],12,FALSE)</f>
        <v>E1402</v>
      </c>
      <c r="E919" s="81">
        <f>SUM(TAB_SAIDA[[#This Row],[20/05/2019]:[00/00/00]])</f>
        <v>0</v>
      </c>
      <c r="F919" s="3"/>
    </row>
    <row r="920" spans="1:562" ht="15" hidden="1" customHeight="1" x14ac:dyDescent="0.25">
      <c r="A920" s="5" t="s">
        <v>2577</v>
      </c>
      <c r="B920" s="14" t="str">
        <f>VLOOKUP(TAB_SAIDA[[#This Row],[COD_2_SAIDA]],TAB_ESTOQUE[[Codigo]:[Descrição Tecnica]],6,FALSE)</f>
        <v>MANOMETRO COM ROSCA 1/8" HORIZONTAL 10 BAR 150 PSI</v>
      </c>
      <c r="C920" s="14">
        <f>IFERROR(VLOOKUP(TAB_SAIDA[[#This Row],[COD_2_SAIDA]],TAB_ESTOQUE[[Codigo]:[Referência Tec]],7,FALSE),"")</f>
        <v>0</v>
      </c>
      <c r="D920" s="14" t="str">
        <f>VLOOKUP(TAB_SAIDA[[#This Row],[COD_2_SAIDA]],TAB_ESTOQUE[[Codigo]:[Endereço2]],12,FALSE)</f>
        <v>E2404</v>
      </c>
      <c r="E920" s="81">
        <f>SUM(TAB_SAIDA[[#This Row],[20/05/2019]:[00/00/00]])</f>
        <v>0</v>
      </c>
      <c r="F920" s="3"/>
    </row>
    <row r="921" spans="1:562" ht="15" hidden="1" customHeight="1" x14ac:dyDescent="0.25">
      <c r="A921" s="5" t="s">
        <v>2578</v>
      </c>
      <c r="B921" s="14" t="str">
        <f>VLOOKUP(TAB_SAIDA[[#This Row],[COD_2_SAIDA]],TAB_ESTOQUE[[Codigo]:[Descrição Tecnica]],6,FALSE)</f>
        <v>MANOMETRO COM ROSCA 1/4" HORIZONTAL 16BAR 220PSI</v>
      </c>
      <c r="C921" s="14">
        <f>IFERROR(VLOOKUP(TAB_SAIDA[[#This Row],[COD_2_SAIDA]],TAB_ESTOQUE[[Codigo]:[Referência Tec]],7,FALSE),"")</f>
        <v>0</v>
      </c>
      <c r="D921" s="14" t="str">
        <f>VLOOKUP(TAB_SAIDA[[#This Row],[COD_2_SAIDA]],TAB_ESTOQUE[[Codigo]:[Endereço2]],12,FALSE)</f>
        <v>E2404</v>
      </c>
      <c r="E921" s="81">
        <f>SUM(TAB_SAIDA[[#This Row],[20/05/2019]:[00/00/00]])</f>
        <v>0</v>
      </c>
      <c r="F921" s="3"/>
    </row>
    <row r="922" spans="1:562" ht="15" hidden="1" customHeight="1" x14ac:dyDescent="0.25">
      <c r="A922" s="5" t="s">
        <v>2579</v>
      </c>
      <c r="B922" s="14" t="str">
        <f>VLOOKUP(TAB_SAIDA[[#This Row],[COD_2_SAIDA]],TAB_ESTOQUE[[Codigo]:[Descrição Tecnica]],6,FALSE)</f>
        <v>INCERTO HAN 16 PINOS MACHO</v>
      </c>
      <c r="C922" s="14">
        <f>IFERROR(VLOOKUP(TAB_SAIDA[[#This Row],[COD_2_SAIDA]],TAB_ESTOQUE[[Codigo]:[Referência Tec]],7,FALSE),"")</f>
        <v>0</v>
      </c>
      <c r="D922" s="14" t="str">
        <f>VLOOKUP(TAB_SAIDA[[#This Row],[COD_2_SAIDA]],TAB_ESTOQUE[[Codigo]:[Endereço2]],12,FALSE)</f>
        <v>A2406</v>
      </c>
      <c r="E922" s="81">
        <f>SUM(TAB_SAIDA[[#This Row],[20/05/2019]:[00/00/00]])</f>
        <v>0</v>
      </c>
      <c r="F922" s="3"/>
    </row>
    <row r="923" spans="1:562" ht="15" hidden="1" customHeight="1" x14ac:dyDescent="0.25">
      <c r="A923" s="5" t="s">
        <v>2580</v>
      </c>
      <c r="B923" s="14" t="str">
        <f>VLOOKUP(TAB_SAIDA[[#This Row],[COD_2_SAIDA]],TAB_ESTOQUE[[Codigo]:[Descrição Tecnica]],6,FALSE)</f>
        <v xml:space="preserve">TAMPA PARA HAN 10 PINOS </v>
      </c>
      <c r="C923" s="14">
        <f>IFERROR(VLOOKUP(TAB_SAIDA[[#This Row],[COD_2_SAIDA]],TAB_ESTOQUE[[Codigo]:[Referência Tec]],7,FALSE),"")</f>
        <v>0</v>
      </c>
      <c r="D923" s="14" t="str">
        <f>VLOOKUP(TAB_SAIDA[[#This Row],[COD_2_SAIDA]],TAB_ESTOQUE[[Codigo]:[Endereço2]],12,FALSE)</f>
        <v>A2406</v>
      </c>
      <c r="E923" s="81">
        <f>SUM(TAB_SAIDA[[#This Row],[20/05/2019]:[00/00/00]])</f>
        <v>0</v>
      </c>
      <c r="F923" s="3"/>
    </row>
    <row r="924" spans="1:562" ht="15" hidden="1" customHeight="1" x14ac:dyDescent="0.25">
      <c r="A924" s="5" t="s">
        <v>2581</v>
      </c>
      <c r="B924" s="14" t="str">
        <f>VLOOKUP(TAB_SAIDA[[#This Row],[COD_2_SAIDA]],TAB_ESTOQUE[[Codigo]:[Descrição Tecnica]],6,FALSE)</f>
        <v>BASE SEPARADOR PARA RELE RXMZ.1  RXZE2S108M (SCHNEIDER)</v>
      </c>
      <c r="C924" s="14">
        <f>IFERROR(VLOOKUP(TAB_SAIDA[[#This Row],[COD_2_SAIDA]],TAB_ESTOQUE[[Codigo]:[Referência Tec]],7,FALSE),"")</f>
        <v>0</v>
      </c>
      <c r="D924" s="14" t="str">
        <f>VLOOKUP(TAB_SAIDA[[#This Row],[COD_2_SAIDA]],TAB_ESTOQUE[[Codigo]:[Endereço2]],12,FALSE)</f>
        <v>A1304</v>
      </c>
      <c r="E924" s="81">
        <f>SUM(TAB_SAIDA[[#This Row],[20/05/2019]:[00/00/00]])</f>
        <v>0</v>
      </c>
      <c r="F924" s="3"/>
    </row>
    <row r="925" spans="1:562" ht="15" hidden="1" customHeight="1" x14ac:dyDescent="0.25">
      <c r="A925" s="5" t="s">
        <v>2582</v>
      </c>
      <c r="B925" s="14" t="str">
        <f>VLOOKUP(TAB_SAIDA[[#This Row],[COD_2_SAIDA]],TAB_ESTOQUE[[Codigo]:[Descrição Tecnica]],6,FALSE)</f>
        <v>HAN 10 PINOS FEMEA</v>
      </c>
      <c r="C925" s="14">
        <f>IFERROR(VLOOKUP(TAB_SAIDA[[#This Row],[COD_2_SAIDA]],TAB_ESTOQUE[[Codigo]:[Referência Tec]],7,FALSE),"")</f>
        <v>0</v>
      </c>
      <c r="D925" s="14" t="str">
        <f>VLOOKUP(TAB_SAIDA[[#This Row],[COD_2_SAIDA]],TAB_ESTOQUE[[Codigo]:[Endereço2]],12,FALSE)</f>
        <v>A2406</v>
      </c>
      <c r="E925" s="81">
        <f>SUM(TAB_SAIDA[[#This Row],[20/05/2019]:[00/00/00]])</f>
        <v>0</v>
      </c>
      <c r="F925" s="3"/>
    </row>
    <row r="926" spans="1:562" ht="15" hidden="1" customHeight="1" x14ac:dyDescent="0.25">
      <c r="A926" s="5" t="s">
        <v>2583</v>
      </c>
      <c r="B926" s="14" t="str">
        <f>VLOOKUP(TAB_SAIDA[[#This Row],[COD_2_SAIDA]],TAB_ESTOQUE[[Codigo]:[Descrição Tecnica]],6,FALSE)</f>
        <v>MANGUEIRA P/ AQUECIMENTO DE ADESIVO / COLA MAKMELT BR17G294 6MT 230V 660W 1200SI</v>
      </c>
      <c r="C926" s="14">
        <f>IFERROR(VLOOKUP(TAB_SAIDA[[#This Row],[COD_2_SAIDA]],TAB_ESTOQUE[[Codigo]:[Referência Tec]],7,FALSE),"")</f>
        <v>0</v>
      </c>
      <c r="D926" s="14" t="str">
        <f>VLOOKUP(TAB_SAIDA[[#This Row],[COD_2_SAIDA]],TAB_ESTOQUE[[Codigo]:[Endereço2]],12,FALSE)</f>
        <v>A1101</v>
      </c>
      <c r="E926" s="81">
        <f>SUM(TAB_SAIDA[[#This Row],[20/05/2019]:[00/00/00]])</f>
        <v>4</v>
      </c>
      <c r="F926" s="3"/>
      <c r="RU926" s="3">
        <v>1</v>
      </c>
      <c r="SG926" s="3">
        <v>1</v>
      </c>
      <c r="UP926" s="3">
        <v>2</v>
      </c>
    </row>
    <row r="927" spans="1:562" ht="15" hidden="1" customHeight="1" x14ac:dyDescent="0.25">
      <c r="A927" s="5" t="s">
        <v>2584</v>
      </c>
      <c r="B927" s="14" t="str">
        <f>VLOOKUP(TAB_SAIDA[[#This Row],[COD_2_SAIDA]],TAB_ESTOQUE[[Codigo]:[Descrição Tecnica]],6,FALSE)</f>
        <v xml:space="preserve">INVERSOR DE FREQUENCIA WEG CFW500A043T4NB20 380-480VAC 5,2A </v>
      </c>
      <c r="C927" s="14">
        <f>IFERROR(VLOOKUP(TAB_SAIDA[[#This Row],[COD_2_SAIDA]],TAB_ESTOQUE[[Codigo]:[Referência Tec]],7,FALSE),"")</f>
        <v>0</v>
      </c>
      <c r="D927" s="14" t="str">
        <f>VLOOKUP(TAB_SAIDA[[#This Row],[COD_2_SAIDA]],TAB_ESTOQUE[[Codigo]:[Endereço2]],12,FALSE)</f>
        <v>B1303</v>
      </c>
      <c r="E927" s="81">
        <f>SUM(TAB_SAIDA[[#This Row],[20/05/2019]:[00/00/00]])</f>
        <v>0</v>
      </c>
      <c r="F927" s="3"/>
    </row>
    <row r="928" spans="1:562" ht="15" hidden="1" customHeight="1" x14ac:dyDescent="0.25">
      <c r="A928" s="5" t="s">
        <v>2585</v>
      </c>
      <c r="B928" s="14" t="str">
        <f>VLOOKUP(TAB_SAIDA[[#This Row],[COD_2_SAIDA]],TAB_ESTOQUE[[Codigo]:[Descrição Tecnica]],6,FALSE)</f>
        <v xml:space="preserve">IHM CONTROLADOR MAKMELT MOD. RK221-V2.5 90-240VCA </v>
      </c>
      <c r="C928" s="14">
        <f>IFERROR(VLOOKUP(TAB_SAIDA[[#This Row],[COD_2_SAIDA]],TAB_ESTOQUE[[Codigo]:[Referência Tec]],7,FALSE),"")</f>
        <v>0</v>
      </c>
      <c r="D928" s="14" t="str">
        <f>VLOOKUP(TAB_SAIDA[[#This Row],[COD_2_SAIDA]],TAB_ESTOQUE[[Codigo]:[Endereço2]],12,FALSE)</f>
        <v>A2202</v>
      </c>
      <c r="E928" s="81">
        <f>SUM(TAB_SAIDA[[#This Row],[20/05/2019]:[00/00/00]])</f>
        <v>0</v>
      </c>
      <c r="F928" s="3"/>
    </row>
    <row r="929" spans="1:6" ht="15" hidden="1" customHeight="1" x14ac:dyDescent="0.25">
      <c r="A929" s="5" t="s">
        <v>2586</v>
      </c>
      <c r="B929" s="14" t="str">
        <f>VLOOKUP(TAB_SAIDA[[#This Row],[COD_2_SAIDA]],TAB_ESTOQUE[[Codigo]:[Descrição Tecnica]],6,FALSE)</f>
        <v xml:space="preserve">MOLA DE COMPRESSAO DIN.20 X 120 X FIO 10 CHATO PASSO 10 BASE RETA </v>
      </c>
      <c r="C929" s="14">
        <f>IFERROR(VLOOKUP(TAB_SAIDA[[#This Row],[COD_2_SAIDA]],TAB_ESTOQUE[[Codigo]:[Referência Tec]],7,FALSE),"")</f>
        <v>0</v>
      </c>
      <c r="D929" s="14" t="str">
        <f>VLOOKUP(TAB_SAIDA[[#This Row],[COD_2_SAIDA]],TAB_ESTOQUE[[Codigo]:[Endereço2]],12,FALSE)</f>
        <v>D1106</v>
      </c>
      <c r="E929" s="81">
        <f>SUM(TAB_SAIDA[[#This Row],[20/05/2019]:[00/00/00]])</f>
        <v>0</v>
      </c>
      <c r="F929" s="3"/>
    </row>
    <row r="930" spans="1:6" ht="15" hidden="1" customHeight="1" x14ac:dyDescent="0.25">
      <c r="A930" s="5" t="s">
        <v>2587</v>
      </c>
      <c r="B930" s="14" t="str">
        <f>VLOOKUP(TAB_SAIDA[[#This Row],[COD_2_SAIDA]],TAB_ESTOQUE[[Codigo]:[Descrição Tecnica]],6,FALSE)</f>
        <v xml:space="preserve">TOMADA MACHO SIMPLES 2P +T 10A 280V  PLUG </v>
      </c>
      <c r="C930" s="14">
        <f>IFERROR(VLOOKUP(TAB_SAIDA[[#This Row],[COD_2_SAIDA]],TAB_ESTOQUE[[Codigo]:[Referência Tec]],7,FALSE),"")</f>
        <v>0</v>
      </c>
      <c r="D930" s="14" t="str">
        <f>VLOOKUP(TAB_SAIDA[[#This Row],[COD_2_SAIDA]],TAB_ESTOQUE[[Codigo]:[Endereço2]],12,FALSE)</f>
        <v>A1103</v>
      </c>
      <c r="E930" s="81">
        <f>SUM(TAB_SAIDA[[#This Row],[20/05/2019]:[00/00/00]])</f>
        <v>0</v>
      </c>
      <c r="F930" s="3"/>
    </row>
    <row r="931" spans="1:6" ht="15" hidden="1" customHeight="1" x14ac:dyDescent="0.25">
      <c r="A931" s="5" t="s">
        <v>2588</v>
      </c>
      <c r="B931" s="14" t="str">
        <f>VLOOKUP(TAB_SAIDA[[#This Row],[COD_2_SAIDA]],TAB_ESTOQUE[[Codigo]:[Descrição Tecnica]],6,FALSE)</f>
        <v>BLOCO DA CANETA TEE:60 KSI;3/8IN G2003</v>
      </c>
      <c r="C931" s="14">
        <f>IFERROR(VLOOKUP(TAB_SAIDA[[#This Row],[COD_2_SAIDA]],TAB_ESTOQUE[[Codigo]:[Referência Tec]],7,FALSE),"")</f>
        <v>0</v>
      </c>
      <c r="D931" s="14" t="str">
        <f>VLOOKUP(TAB_SAIDA[[#This Row],[COD_2_SAIDA]],TAB_ESTOQUE[[Codigo]:[Endereço2]],12,FALSE)</f>
        <v>D2204</v>
      </c>
      <c r="E931" s="81">
        <f>SUM(TAB_SAIDA[[#This Row],[20/05/2019]:[00/00/00]])</f>
        <v>0</v>
      </c>
      <c r="F931" s="3"/>
    </row>
    <row r="932" spans="1:6" ht="15" hidden="1" customHeight="1" x14ac:dyDescent="0.25">
      <c r="A932" s="5" t="s">
        <v>2589</v>
      </c>
      <c r="B932" s="14" t="str">
        <f>VLOOKUP(TAB_SAIDA[[#This Row],[COD_2_SAIDA]],TAB_ESTOQUE[[Codigo]:[Descrição Tecnica]],6,FALSE)</f>
        <v>CURVA R-CURTO 90° SOLDAVEL PVC 25MM</v>
      </c>
      <c r="C932" s="14">
        <f>IFERROR(VLOOKUP(TAB_SAIDA[[#This Row],[COD_2_SAIDA]],TAB_ESTOQUE[[Codigo]:[Referência Tec]],7,FALSE),"")</f>
        <v>0</v>
      </c>
      <c r="D932" s="14" t="str">
        <f>VLOOKUP(TAB_SAIDA[[#This Row],[COD_2_SAIDA]],TAB_ESTOQUE[[Codigo]:[Endereço2]],12,FALSE)</f>
        <v>D1302</v>
      </c>
      <c r="E932" s="81">
        <f>SUM(TAB_SAIDA[[#This Row],[20/05/2019]:[00/00/00]])</f>
        <v>0</v>
      </c>
      <c r="F932" s="3"/>
    </row>
    <row r="933" spans="1:6" ht="15" hidden="1" customHeight="1" x14ac:dyDescent="0.25">
      <c r="A933" s="5" t="s">
        <v>2590</v>
      </c>
      <c r="B933" s="14" t="str">
        <f>VLOOKUP(TAB_SAIDA[[#This Row],[COD_2_SAIDA]],TAB_ESTOQUE[[Codigo]:[Descrição Tecnica]],6,FALSE)</f>
        <v xml:space="preserve">UNIAO L/R 25X3/4" PVC </v>
      </c>
      <c r="C933" s="14">
        <f>IFERROR(VLOOKUP(TAB_SAIDA[[#This Row],[COD_2_SAIDA]],TAB_ESTOQUE[[Codigo]:[Referência Tec]],7,FALSE),"")</f>
        <v>0</v>
      </c>
      <c r="D933" s="14" t="str">
        <f>VLOOKUP(TAB_SAIDA[[#This Row],[COD_2_SAIDA]],TAB_ESTOQUE[[Codigo]:[Endereço2]],12,FALSE)</f>
        <v>D1302</v>
      </c>
      <c r="E933" s="81">
        <f>SUM(TAB_SAIDA[[#This Row],[20/05/2019]:[00/00/00]])</f>
        <v>0</v>
      </c>
      <c r="F933" s="3"/>
    </row>
    <row r="934" spans="1:6" ht="15" hidden="1" customHeight="1" x14ac:dyDescent="0.25">
      <c r="A934" s="5" t="s">
        <v>2591</v>
      </c>
      <c r="B934" s="14" t="str">
        <f>VLOOKUP(TAB_SAIDA[[#This Row],[COD_2_SAIDA]],TAB_ESTOQUE[[Codigo]:[Descrição Tecnica]],6,FALSE)</f>
        <v xml:space="preserve">T SOLDAVEL PVC 25MM </v>
      </c>
      <c r="C934" s="14">
        <f>IFERROR(VLOOKUP(TAB_SAIDA[[#This Row],[COD_2_SAIDA]],TAB_ESTOQUE[[Codigo]:[Referência Tec]],7,FALSE),"")</f>
        <v>0</v>
      </c>
      <c r="D934" s="14" t="str">
        <f>VLOOKUP(TAB_SAIDA[[#This Row],[COD_2_SAIDA]],TAB_ESTOQUE[[Codigo]:[Endereço2]],12,FALSE)</f>
        <v>D1302</v>
      </c>
      <c r="E934" s="81">
        <f>SUM(TAB_SAIDA[[#This Row],[20/05/2019]:[00/00/00]])</f>
        <v>0</v>
      </c>
      <c r="F934" s="3"/>
    </row>
    <row r="935" spans="1:6" ht="15" hidden="1" customHeight="1" x14ac:dyDescent="0.25">
      <c r="A935" s="5" t="s">
        <v>2592</v>
      </c>
      <c r="B935" s="14" t="str">
        <f>VLOOKUP(TAB_SAIDA[[#This Row],[COD_2_SAIDA]],TAB_ESTOQUE[[Codigo]:[Descrição Tecnica]],6,FALSE)</f>
        <v>VALVULA ESFERICA MANUAL SOLDAVEL PVC 25MM</v>
      </c>
      <c r="C935" s="14">
        <f>IFERROR(VLOOKUP(TAB_SAIDA[[#This Row],[COD_2_SAIDA]],TAB_ESTOQUE[[Codigo]:[Referência Tec]],7,FALSE),"")</f>
        <v>0</v>
      </c>
      <c r="D935" s="14" t="str">
        <f>VLOOKUP(TAB_SAIDA[[#This Row],[COD_2_SAIDA]],TAB_ESTOQUE[[Codigo]:[Endereço2]],12,FALSE)</f>
        <v>D1302</v>
      </c>
      <c r="E935" s="81">
        <f>SUM(TAB_SAIDA[[#This Row],[20/05/2019]:[00/00/00]])</f>
        <v>0</v>
      </c>
      <c r="F935" s="3"/>
    </row>
    <row r="936" spans="1:6" ht="15" hidden="1" customHeight="1" x14ac:dyDescent="0.25">
      <c r="A936" s="5" t="s">
        <v>2593</v>
      </c>
      <c r="B936" s="14" t="str">
        <f>VLOOKUP(TAB_SAIDA[[#This Row],[COD_2_SAIDA]],TAB_ESTOQUE[[Codigo]:[Descrição Tecnica]],6,FALSE)</f>
        <v>MANGUEIRA P/ AQUECIMENTO DE ADESIVO / COLA VALCO MELTON MOD. 981XX208 H6060 230V 840W 100BAR 230°C 4,8MT 16FT</v>
      </c>
      <c r="C936" s="14">
        <f>IFERROR(VLOOKUP(TAB_SAIDA[[#This Row],[COD_2_SAIDA]],TAB_ESTOQUE[[Codigo]:[Referência Tec]],7,FALSE),"")</f>
        <v>0</v>
      </c>
      <c r="D936" s="14" t="str">
        <f>VLOOKUP(TAB_SAIDA[[#This Row],[COD_2_SAIDA]],TAB_ESTOQUE[[Codigo]:[Endereço2]],12,FALSE)</f>
        <v>A1101</v>
      </c>
      <c r="E936" s="81">
        <f>SUM(TAB_SAIDA[[#This Row],[20/05/2019]:[00/00/00]])</f>
        <v>0</v>
      </c>
      <c r="F936" s="3"/>
    </row>
    <row r="937" spans="1:6" ht="15" hidden="1" customHeight="1" x14ac:dyDescent="0.25">
      <c r="A937" s="5" t="s">
        <v>2594</v>
      </c>
      <c r="B937" s="14" t="str">
        <f>VLOOKUP(TAB_SAIDA[[#This Row],[COD_2_SAIDA]],TAB_ESTOQUE[[Codigo]:[Descrição Tecnica]],6,FALSE)</f>
        <v>CILINDRO DO CABECOTE DE ALTA PRESSAO WSI PN: SP05144647 SLIV;  SLV    HP CYLINDER 72119544</v>
      </c>
      <c r="C937" s="14">
        <f>IFERROR(VLOOKUP(TAB_SAIDA[[#This Row],[COD_2_SAIDA]],TAB_ESTOQUE[[Codigo]:[Referência Tec]],7,FALSE),"")</f>
        <v>0</v>
      </c>
      <c r="D937" s="14" t="str">
        <f>VLOOKUP(TAB_SAIDA[[#This Row],[COD_2_SAIDA]],TAB_ESTOQUE[[Codigo]:[Endereço2]],12,FALSE)</f>
        <v>E2103</v>
      </c>
      <c r="E937" s="81">
        <f>SUM(TAB_SAIDA[[#This Row],[20/05/2019]:[00/00/00]])</f>
        <v>0</v>
      </c>
      <c r="F937" s="3"/>
    </row>
    <row r="938" spans="1:6" ht="15" hidden="1" customHeight="1" x14ac:dyDescent="0.25">
      <c r="A938" s="5" t="s">
        <v>2595</v>
      </c>
      <c r="B938" s="14" t="str">
        <f>VLOOKUP(TAB_SAIDA[[#This Row],[COD_2_SAIDA]],TAB_ESTOQUE[[Codigo]:[Descrição Tecnica]],6,FALSE)</f>
        <v>SENSOR FIM DE CURSO ZCKD02</v>
      </c>
      <c r="C938" s="14">
        <f>IFERROR(VLOOKUP(TAB_SAIDA[[#This Row],[COD_2_SAIDA]],TAB_ESTOQUE[[Codigo]:[Referência Tec]],7,FALSE),"")</f>
        <v>0</v>
      </c>
      <c r="D938" s="14" t="str">
        <f>VLOOKUP(TAB_SAIDA[[#This Row],[COD_2_SAIDA]],TAB_ESTOQUE[[Codigo]:[Endereço2]],12,FALSE)</f>
        <v>A2205</v>
      </c>
      <c r="E938" s="81">
        <f>SUM(TAB_SAIDA[[#This Row],[20/05/2019]:[00/00/00]])</f>
        <v>0</v>
      </c>
      <c r="F938" s="3"/>
    </row>
    <row r="939" spans="1:6" ht="15" hidden="1" customHeight="1" x14ac:dyDescent="0.25">
      <c r="A939" s="5" t="s">
        <v>2596</v>
      </c>
      <c r="B939" s="14" t="str">
        <f>VLOOKUP(TAB_SAIDA[[#This Row],[COD_2_SAIDA]],TAB_ESTOQUE[[Codigo]:[Descrição Tecnica]],6,FALSE)</f>
        <v>CANJUNTO BARREIRA DE LUZ SCHMERSAL (5C100112015) (5C10011161)</v>
      </c>
      <c r="C939" s="14">
        <f>IFERROR(VLOOKUP(TAB_SAIDA[[#This Row],[COD_2_SAIDA]],TAB_ESTOQUE[[Codigo]:[Referência Tec]],7,FALSE),"")</f>
        <v>0</v>
      </c>
      <c r="D939" s="14" t="str">
        <f>VLOOKUP(TAB_SAIDA[[#This Row],[COD_2_SAIDA]],TAB_ESTOQUE[[Codigo]:[Endereço2]],12,FALSE)</f>
        <v>F2401</v>
      </c>
      <c r="E939" s="81">
        <f>SUM(TAB_SAIDA[[#This Row],[20/05/2019]:[00/00/00]])</f>
        <v>0</v>
      </c>
      <c r="F939" s="3"/>
    </row>
    <row r="940" spans="1:6" ht="15" hidden="1" customHeight="1" x14ac:dyDescent="0.25">
      <c r="A940" s="5" t="s">
        <v>2597</v>
      </c>
      <c r="B940" s="14" t="str">
        <f>VLOOKUP(TAB_SAIDA[[#This Row],[COD_2_SAIDA]],TAB_ESTOQUE[[Codigo]:[Descrição Tecnica]],6,FALSE)</f>
        <v xml:space="preserve">REDUTOR  MOTOVARIO 6728786-003 </v>
      </c>
      <c r="C940" s="14">
        <f>IFERROR(VLOOKUP(TAB_SAIDA[[#This Row],[COD_2_SAIDA]],TAB_ESTOQUE[[Codigo]:[Referência Tec]],7,FALSE),"")</f>
        <v>0</v>
      </c>
      <c r="D940" s="14" t="str">
        <f>VLOOKUP(TAB_SAIDA[[#This Row],[COD_2_SAIDA]],TAB_ESTOQUE[[Codigo]:[Endereço2]],12,FALSE)</f>
        <v>G1105</v>
      </c>
      <c r="E940" s="81">
        <f>SUM(TAB_SAIDA[[#This Row],[20/05/2019]:[00/00/00]])</f>
        <v>0</v>
      </c>
      <c r="F940" s="3"/>
    </row>
    <row r="941" spans="1:6" ht="15" hidden="1" customHeight="1" x14ac:dyDescent="0.25">
      <c r="A941" s="5" t="s">
        <v>2598</v>
      </c>
      <c r="B941" s="14" t="str">
        <f>VLOOKUP(TAB_SAIDA[[#This Row],[COD_2_SAIDA]],TAB_ESTOQUE[[Codigo]:[Descrição Tecnica]],6,FALSE)</f>
        <v>MODULO REDUTOR  MOTOVARIO NMRV 040</v>
      </c>
      <c r="C941" s="14">
        <f>IFERROR(VLOOKUP(TAB_SAIDA[[#This Row],[COD_2_SAIDA]],TAB_ESTOQUE[[Codigo]:[Referência Tec]],7,FALSE),"")</f>
        <v>0</v>
      </c>
      <c r="D941" s="14" t="str">
        <f>VLOOKUP(TAB_SAIDA[[#This Row],[COD_2_SAIDA]],TAB_ESTOQUE[[Codigo]:[Endereço2]],12,FALSE)</f>
        <v>E2103</v>
      </c>
      <c r="E941" s="81">
        <f>SUM(TAB_SAIDA[[#This Row],[20/05/2019]:[00/00/00]])</f>
        <v>0</v>
      </c>
      <c r="F941" s="3"/>
    </row>
    <row r="942" spans="1:6" ht="15" hidden="1" customHeight="1" x14ac:dyDescent="0.25">
      <c r="A942" s="5" t="s">
        <v>2599</v>
      </c>
      <c r="B942" s="14" t="str">
        <f>VLOOKUP(TAB_SAIDA[[#This Row],[COD_2_SAIDA]],TAB_ESTOQUE[[Codigo]:[Descrição Tecnica]],6,FALSE)</f>
        <v>ROLAMENTO LINEAR BARRA/ROSCA PMI S4-16000376-20 1RS0-10T6-FSIN-106-9RF S15010329</v>
      </c>
      <c r="C942" s="14">
        <f>IFERROR(VLOOKUP(TAB_SAIDA[[#This Row],[COD_2_SAIDA]],TAB_ESTOQUE[[Codigo]:[Referência Tec]],7,FALSE),"")</f>
        <v>0</v>
      </c>
      <c r="D942" s="14" t="str">
        <f>VLOOKUP(TAB_SAIDA[[#This Row],[COD_2_SAIDA]],TAB_ESTOQUE[[Codigo]:[Endereço2]],12,FALSE)</f>
        <v>D1105</v>
      </c>
      <c r="E942" s="81">
        <f>SUM(TAB_SAIDA[[#This Row],[20/05/2019]:[00/00/00]])</f>
        <v>0</v>
      </c>
      <c r="F942" s="3"/>
    </row>
    <row r="943" spans="1:6" ht="15" hidden="1" customHeight="1" x14ac:dyDescent="0.25">
      <c r="A943" s="5" t="s">
        <v>2600</v>
      </c>
      <c r="B943" s="14" t="str">
        <f>VLOOKUP(TAB_SAIDA[[#This Row],[COD_2_SAIDA]],TAB_ESTOQUE[[Codigo]:[Descrição Tecnica]],6,FALSE)</f>
        <v xml:space="preserve">MODULO REDUTOR  MOTOVARIO NMRV 030 </v>
      </c>
      <c r="C943" s="14">
        <f>IFERROR(VLOOKUP(TAB_SAIDA[[#This Row],[COD_2_SAIDA]],TAB_ESTOQUE[[Codigo]:[Referência Tec]],7,FALSE),"")</f>
        <v>0</v>
      </c>
      <c r="D943" s="14" t="str">
        <f>VLOOKUP(TAB_SAIDA[[#This Row],[COD_2_SAIDA]],TAB_ESTOQUE[[Codigo]:[Endereço2]],12,FALSE)</f>
        <v>G1106</v>
      </c>
      <c r="E943" s="81">
        <f>SUM(TAB_SAIDA[[#This Row],[20/05/2019]:[00/00/00]])</f>
        <v>0</v>
      </c>
      <c r="F943" s="3"/>
    </row>
    <row r="944" spans="1:6" ht="15" hidden="1" customHeight="1" x14ac:dyDescent="0.25">
      <c r="A944" s="5" t="s">
        <v>2601</v>
      </c>
      <c r="B944" s="14" t="str">
        <f>VLOOKUP(TAB_SAIDA[[#This Row],[COD_2_SAIDA]],TAB_ESTOQUE[[Codigo]:[Descrição Tecnica]],6,FALSE)</f>
        <v xml:space="preserve">SENSOR OPTICO SICK WTB12-3P2431 </v>
      </c>
      <c r="C944" s="14">
        <f>IFERROR(VLOOKUP(TAB_SAIDA[[#This Row],[COD_2_SAIDA]],TAB_ESTOQUE[[Codigo]:[Referência Tec]],7,FALSE),"")</f>
        <v>0</v>
      </c>
      <c r="D944" s="14" t="str">
        <f>VLOOKUP(TAB_SAIDA[[#This Row],[COD_2_SAIDA]],TAB_ESTOQUE[[Codigo]:[Endereço2]],12,FALSE)</f>
        <v>A1103</v>
      </c>
      <c r="E944" s="81">
        <f>SUM(TAB_SAIDA[[#This Row],[20/05/2019]:[00/00/00]])</f>
        <v>0</v>
      </c>
      <c r="F944" s="3"/>
    </row>
    <row r="945" spans="1:526" ht="15" hidden="1" customHeight="1" x14ac:dyDescent="0.25">
      <c r="A945" s="5" t="s">
        <v>2602</v>
      </c>
      <c r="B945" s="14" t="str">
        <f>VLOOKUP(TAB_SAIDA[[#This Row],[COD_2_SAIDA]],TAB_ESTOQUE[[Codigo]:[Descrição Tecnica]],6,FALSE)</f>
        <v>INVERSOR LENZE E84AVBDE2512SX0</v>
      </c>
      <c r="C945" s="14">
        <f>IFERROR(VLOOKUP(TAB_SAIDA[[#This Row],[COD_2_SAIDA]],TAB_ESTOQUE[[Codigo]:[Referência Tec]],7,FALSE),"")</f>
        <v>0</v>
      </c>
      <c r="D945" s="14" t="str">
        <f>VLOOKUP(TAB_SAIDA[[#This Row],[COD_2_SAIDA]],TAB_ESTOQUE[[Codigo]:[Endereço2]],12,FALSE)</f>
        <v>B1303</v>
      </c>
      <c r="E945" s="81">
        <f>SUM(TAB_SAIDA[[#This Row],[20/05/2019]:[00/00/00]])</f>
        <v>0</v>
      </c>
      <c r="F945" s="3"/>
    </row>
    <row r="946" spans="1:526" ht="15" hidden="1" customHeight="1" x14ac:dyDescent="0.25">
      <c r="A946" s="5" t="s">
        <v>2603</v>
      </c>
      <c r="B946" s="14" t="str">
        <f>VLOOKUP(TAB_SAIDA[[#This Row],[COD_2_SAIDA]],TAB_ESTOQUE[[Codigo]:[Descrição Tecnica]],6,FALSE)</f>
        <v>CHAVE ELETRICA REVERSORA MARGIRUIS CR830 30A SERIE 800</v>
      </c>
      <c r="C946" s="14">
        <f>IFERROR(VLOOKUP(TAB_SAIDA[[#This Row],[COD_2_SAIDA]],TAB_ESTOQUE[[Codigo]:[Referência Tec]],7,FALSE),"")</f>
        <v>0</v>
      </c>
      <c r="D946" s="14" t="str">
        <f>VLOOKUP(TAB_SAIDA[[#This Row],[COD_2_SAIDA]],TAB_ESTOQUE[[Codigo]:[Endereço2]],12,FALSE)</f>
        <v>A1103</v>
      </c>
      <c r="E946" s="81">
        <f>SUM(TAB_SAIDA[[#This Row],[20/05/2019]:[00/00/00]])</f>
        <v>0</v>
      </c>
      <c r="F946" s="3"/>
    </row>
    <row r="947" spans="1:526" ht="15" hidden="1" customHeight="1" x14ac:dyDescent="0.25">
      <c r="A947" s="5" t="s">
        <v>2604</v>
      </c>
      <c r="B947" s="14" t="str">
        <f>VLOOKUP(TAB_SAIDA[[#This Row],[COD_2_SAIDA]],TAB_ESTOQUE[[Codigo]:[Descrição Tecnica]],6,FALSE)</f>
        <v xml:space="preserve">REDUTOR MECANICO UNIMEC TIPO TPR-00204 1/5 FOMA B </v>
      </c>
      <c r="C947" s="14">
        <f>IFERROR(VLOOKUP(TAB_SAIDA[[#This Row],[COD_2_SAIDA]],TAB_ESTOQUE[[Codigo]:[Referência Tec]],7,FALSE),"")</f>
        <v>0</v>
      </c>
      <c r="D947" s="14" t="str">
        <f>VLOOKUP(TAB_SAIDA[[#This Row],[COD_2_SAIDA]],TAB_ESTOQUE[[Codigo]:[Endereço2]],12,FALSE)</f>
        <v>G2101</v>
      </c>
      <c r="E947" s="81">
        <f>SUM(TAB_SAIDA[[#This Row],[20/05/2019]:[00/00/00]])</f>
        <v>0</v>
      </c>
      <c r="F947" s="3"/>
    </row>
    <row r="948" spans="1:526" ht="15" hidden="1" customHeight="1" x14ac:dyDescent="0.25">
      <c r="A948" s="5" t="s">
        <v>2605</v>
      </c>
      <c r="B948" s="14" t="str">
        <f>VLOOKUP(TAB_SAIDA[[#This Row],[COD_2_SAIDA]],TAB_ESTOQUE[[Codigo]:[Descrição Tecnica]],6,FALSE)</f>
        <v xml:space="preserve">TOMADA FEMEA SIMPLES 2P 10A 250V PLUG </v>
      </c>
      <c r="C948" s="14">
        <f>IFERROR(VLOOKUP(TAB_SAIDA[[#This Row],[COD_2_SAIDA]],TAB_ESTOQUE[[Codigo]:[Referência Tec]],7,FALSE),"")</f>
        <v>0</v>
      </c>
      <c r="D948" s="14" t="str">
        <f>VLOOKUP(TAB_SAIDA[[#This Row],[COD_2_SAIDA]],TAB_ESTOQUE[[Codigo]:[Endereço2]],12,FALSE)</f>
        <v>A1103</v>
      </c>
      <c r="E948" s="81">
        <f>SUM(TAB_SAIDA[[#This Row],[20/05/2019]:[00/00/00]])</f>
        <v>1</v>
      </c>
      <c r="F948" s="3"/>
      <c r="TF948" s="3">
        <v>1</v>
      </c>
    </row>
    <row r="949" spans="1:526" ht="15" hidden="1" customHeight="1" x14ac:dyDescent="0.25">
      <c r="A949" s="5" t="s">
        <v>2606</v>
      </c>
      <c r="B949" s="14" t="str">
        <f>VLOOKUP(TAB_SAIDA[[#This Row],[COD_2_SAIDA]],TAB_ESTOQUE[[Codigo]:[Descrição Tecnica]],6,FALSE)</f>
        <v xml:space="preserve">ROLAMENTO RIGIDO DE ESFERA 6902D NSK </v>
      </c>
      <c r="C949" s="14">
        <f>IFERROR(VLOOKUP(TAB_SAIDA[[#This Row],[COD_2_SAIDA]],TAB_ESTOQUE[[Codigo]:[Referência Tec]],7,FALSE),"")</f>
        <v>0</v>
      </c>
      <c r="D949" s="14" t="str">
        <f>VLOOKUP(TAB_SAIDA[[#This Row],[COD_2_SAIDA]],TAB_ESTOQUE[[Codigo]:[Endereço2]],12,FALSE)</f>
        <v>D2104</v>
      </c>
      <c r="E949" s="81">
        <f>SUM(TAB_SAIDA[[#This Row],[20/05/2019]:[00/00/00]])</f>
        <v>0</v>
      </c>
      <c r="F949" s="3"/>
    </row>
    <row r="950" spans="1:526" ht="15" hidden="1" customHeight="1" x14ac:dyDescent="0.25">
      <c r="A950" s="5" t="s">
        <v>2607</v>
      </c>
      <c r="B950" s="14" t="str">
        <f>VLOOKUP(TAB_SAIDA[[#This Row],[COD_2_SAIDA]],TAB_ESTOQUE[[Codigo]:[Descrição Tecnica]],6,FALSE)</f>
        <v>ASSENTO BLOCO DE CANETA VL 10188233</v>
      </c>
      <c r="C950" s="14">
        <f>IFERROR(VLOOKUP(TAB_SAIDA[[#This Row],[COD_2_SAIDA]],TAB_ESTOQUE[[Codigo]:[Referência Tec]],7,FALSE),"")</f>
        <v>0</v>
      </c>
      <c r="D950" s="14" t="str">
        <f>VLOOKUP(TAB_SAIDA[[#This Row],[COD_2_SAIDA]],TAB_ESTOQUE[[Codigo]:[Endereço2]],12,FALSE)</f>
        <v>D2203</v>
      </c>
      <c r="E950" s="81">
        <f>SUM(TAB_SAIDA[[#This Row],[20/05/2019]:[00/00/00]])</f>
        <v>0</v>
      </c>
      <c r="F950" s="3"/>
    </row>
    <row r="951" spans="1:526" ht="15" hidden="1" customHeight="1" x14ac:dyDescent="0.25">
      <c r="A951" s="5" t="s">
        <v>2608</v>
      </c>
      <c r="B951" s="14" t="str">
        <f>VLOOKUP(TAB_SAIDA[[#This Row],[COD_2_SAIDA]],TAB_ESTOQUE[[Codigo]:[Descrição Tecnica]],6,FALSE)</f>
        <v>SUPORTE PARA SENSOR 2012938 D-79183 SICK</v>
      </c>
      <c r="C951" s="14">
        <f>IFERROR(VLOOKUP(TAB_SAIDA[[#This Row],[COD_2_SAIDA]],TAB_ESTOQUE[[Codigo]:[Referência Tec]],7,FALSE),"")</f>
        <v>0</v>
      </c>
      <c r="D951" s="14" t="str">
        <f>VLOOKUP(TAB_SAIDA[[#This Row],[COD_2_SAIDA]],TAB_ESTOQUE[[Codigo]:[Endereço2]],12,FALSE)</f>
        <v>A2103</v>
      </c>
      <c r="E951" s="81">
        <f>SUM(TAB_SAIDA[[#This Row],[20/05/2019]:[00/00/00]])</f>
        <v>0</v>
      </c>
      <c r="F951" s="3"/>
    </row>
    <row r="952" spans="1:526" ht="15" hidden="1" customHeight="1" x14ac:dyDescent="0.25">
      <c r="A952" s="5" t="s">
        <v>2609</v>
      </c>
      <c r="B952" s="14" t="str">
        <f>VLOOKUP(TAB_SAIDA[[#This Row],[COD_2_SAIDA]],TAB_ESTOQUE[[Codigo]:[Descrição Tecnica]],6,FALSE)</f>
        <v>SUPORTE PARA SENSOR 2013942 SICK AG, D-79183</v>
      </c>
      <c r="C952" s="14">
        <f>IFERROR(VLOOKUP(TAB_SAIDA[[#This Row],[COD_2_SAIDA]],TAB_ESTOQUE[[Codigo]:[Referência Tec]],7,FALSE),"")</f>
        <v>0</v>
      </c>
      <c r="D952" s="14" t="str">
        <f>VLOOKUP(TAB_SAIDA[[#This Row],[COD_2_SAIDA]],TAB_ESTOQUE[[Codigo]:[Endereço2]],12,FALSE)</f>
        <v>A2103</v>
      </c>
      <c r="E952" s="81">
        <f>SUM(TAB_SAIDA[[#This Row],[20/05/2019]:[00/00/00]])</f>
        <v>0</v>
      </c>
      <c r="F952" s="3"/>
    </row>
    <row r="953" spans="1:526" ht="15" hidden="1" customHeight="1" x14ac:dyDescent="0.25">
      <c r="A953" s="5" t="s">
        <v>2610</v>
      </c>
      <c r="B953" s="14" t="str">
        <f>VLOOKUP(TAB_SAIDA[[#This Row],[COD_2_SAIDA]],TAB_ESTOQUE[[Codigo]:[Descrição Tecnica]],6,FALSE)</f>
        <v>FUSIVEL DE VIDRO 1A</v>
      </c>
      <c r="C953" s="14">
        <f>IFERROR(VLOOKUP(TAB_SAIDA[[#This Row],[COD_2_SAIDA]],TAB_ESTOQUE[[Codigo]:[Referência Tec]],7,FALSE),"")</f>
        <v>0</v>
      </c>
      <c r="D953" s="14" t="str">
        <f>VLOOKUP(TAB_SAIDA[[#This Row],[COD_2_SAIDA]],TAB_ESTOQUE[[Codigo]:[Endereço2]],12,FALSE)</f>
        <v>A1204</v>
      </c>
      <c r="E953" s="81">
        <f>SUM(TAB_SAIDA[[#This Row],[20/05/2019]:[00/00/00]])</f>
        <v>0</v>
      </c>
      <c r="F953" s="3"/>
    </row>
    <row r="954" spans="1:526" ht="15" hidden="1" customHeight="1" x14ac:dyDescent="0.25">
      <c r="A954" s="5" t="s">
        <v>2611</v>
      </c>
      <c r="B954" s="14" t="str">
        <f>VLOOKUP(TAB_SAIDA[[#This Row],[COD_2_SAIDA]],TAB_ESTOQUE[[Codigo]:[Descrição Tecnica]],6,FALSE)</f>
        <v>PRENSA TERMINAL DE AÇO CPH 8-10</v>
      </c>
      <c r="C954" s="14">
        <f>IFERROR(VLOOKUP(TAB_SAIDA[[#This Row],[COD_2_SAIDA]],TAB_ESTOQUE[[Codigo]:[Referência Tec]],7,FALSE),"")</f>
        <v>0</v>
      </c>
      <c r="D954" s="14" t="str">
        <f>VLOOKUP(TAB_SAIDA[[#This Row],[COD_2_SAIDA]],TAB_ESTOQUE[[Codigo]:[Endereço2]],12,FALSE)</f>
        <v>A1202</v>
      </c>
      <c r="E954" s="81">
        <f>SUM(TAB_SAIDA[[#This Row],[20/05/2019]:[00/00/00]])</f>
        <v>0</v>
      </c>
      <c r="F954" s="3"/>
    </row>
    <row r="955" spans="1:526" ht="15" hidden="1" customHeight="1" x14ac:dyDescent="0.25">
      <c r="A955" s="5" t="s">
        <v>2612</v>
      </c>
      <c r="B955" s="14" t="str">
        <f>VLOOKUP(TAB_SAIDA[[#This Row],[COD_2_SAIDA]],TAB_ESTOQUE[[Codigo]:[Descrição Tecnica]],6,FALSE)</f>
        <v>PRENSA TERMINAL DE AÇO 120MM</v>
      </c>
      <c r="C955" s="14">
        <f>IFERROR(VLOOKUP(TAB_SAIDA[[#This Row],[COD_2_SAIDA]],TAB_ESTOQUE[[Codigo]:[Referência Tec]],7,FALSE),"")</f>
        <v>0</v>
      </c>
      <c r="D955" s="14" t="str">
        <f>VLOOKUP(TAB_SAIDA[[#This Row],[COD_2_SAIDA]],TAB_ESTOQUE[[Codigo]:[Endereço2]],12,FALSE)</f>
        <v>A1202</v>
      </c>
      <c r="E955" s="81">
        <f>SUM(TAB_SAIDA[[#This Row],[20/05/2019]:[00/00/00]])</f>
        <v>0</v>
      </c>
      <c r="F955" s="3"/>
    </row>
    <row r="956" spans="1:526" ht="15" hidden="1" customHeight="1" x14ac:dyDescent="0.25">
      <c r="A956" s="5" t="s">
        <v>2613</v>
      </c>
      <c r="B956" s="14" t="str">
        <f>VLOOKUP(TAB_SAIDA[[#This Row],[COD_2_SAIDA]],TAB_ESTOQUE[[Codigo]:[Descrição Tecnica]],6,FALSE)</f>
        <v>AMORTECEDOR MOLA GAS 1250N MG06 159 0422 1250K</v>
      </c>
      <c r="C956" s="14">
        <f>IFERROR(VLOOKUP(TAB_SAIDA[[#This Row],[COD_2_SAIDA]],TAB_ESTOQUE[[Codigo]:[Referência Tec]],7,FALSE),"")</f>
        <v>0</v>
      </c>
      <c r="D956" s="14" t="str">
        <f>VLOOKUP(TAB_SAIDA[[#This Row],[COD_2_SAIDA]],TAB_ESTOQUE[[Codigo]:[Endereço2]],12,FALSE)</f>
        <v>D2304</v>
      </c>
      <c r="E956" s="81">
        <f>SUM(TAB_SAIDA[[#This Row],[20/05/2019]:[00/00/00]])</f>
        <v>0</v>
      </c>
      <c r="F956" s="3"/>
    </row>
    <row r="957" spans="1:526" ht="15" customHeight="1" x14ac:dyDescent="0.25">
      <c r="A957" s="5" t="s">
        <v>2614</v>
      </c>
      <c r="B957" s="14" t="str">
        <f>VLOOKUP(TAB_SAIDA[[#This Row],[COD_2_SAIDA]],TAB_ESTOQUE[[Codigo]:[Descrição Tecnica]],6,FALSE)</f>
        <v>KIT PISTOLA DE COLA TS-2007B-14 (MSD)</v>
      </c>
      <c r="C957" s="14">
        <f>IFERROR(VLOOKUP(TAB_SAIDA[[#This Row],[COD_2_SAIDA]],TAB_ESTOQUE[[Codigo]:[Referência Tec]],7,FALSE),"")</f>
        <v>0</v>
      </c>
      <c r="D957" s="14" t="str">
        <f>VLOOKUP(TAB_SAIDA[[#This Row],[COD_2_SAIDA]],TAB_ESTOQUE[[Codigo]:[Endereço2]],12,FALSE)</f>
        <v>E2302</v>
      </c>
      <c r="E957" s="81">
        <f>SUM(TAB_SAIDA[[#This Row],[20/05/2019]:[00/00/00]])</f>
        <v>0</v>
      </c>
      <c r="F957" s="3"/>
    </row>
    <row r="958" spans="1:526" ht="15" hidden="1" customHeight="1" x14ac:dyDescent="0.25">
      <c r="A958" s="5" t="s">
        <v>2615</v>
      </c>
      <c r="B958" s="14" t="str">
        <f>VLOOKUP(TAB_SAIDA[[#This Row],[COD_2_SAIDA]],TAB_ESTOQUE[[Codigo]:[Descrição Tecnica]],6,FALSE)</f>
        <v>BORNE CINZA UJ5-2.5</v>
      </c>
      <c r="C958" s="14">
        <f>IFERROR(VLOOKUP(TAB_SAIDA[[#This Row],[COD_2_SAIDA]],TAB_ESTOQUE[[Codigo]:[Referência Tec]],7,FALSE),"")</f>
        <v>0</v>
      </c>
      <c r="D958" s="14" t="str">
        <f>VLOOKUP(TAB_SAIDA[[#This Row],[COD_2_SAIDA]],TAB_ESTOQUE[[Codigo]:[Endereço2]],12,FALSE)</f>
        <v>A2103</v>
      </c>
      <c r="E958" s="81">
        <f>SUM(TAB_SAIDA[[#This Row],[20/05/2019]:[00/00/00]])</f>
        <v>0</v>
      </c>
      <c r="F958" s="3"/>
    </row>
    <row r="959" spans="1:526" ht="15" hidden="1" customHeight="1" x14ac:dyDescent="0.25">
      <c r="A959" s="5" t="s">
        <v>2616</v>
      </c>
      <c r="B959" s="14" t="str">
        <f>VLOOKUP(TAB_SAIDA[[#This Row],[COD_2_SAIDA]],TAB_ESTOQUE[[Codigo]:[Descrição Tecnica]],6,FALSE)</f>
        <v>BORNE GREME UT2-2.5(T)</v>
      </c>
      <c r="C959" s="14">
        <f>IFERROR(VLOOKUP(TAB_SAIDA[[#This Row],[COD_2_SAIDA]],TAB_ESTOQUE[[Codigo]:[Referência Tec]],7,FALSE),"")</f>
        <v>0</v>
      </c>
      <c r="D959" s="14" t="str">
        <f>VLOOKUP(TAB_SAIDA[[#This Row],[COD_2_SAIDA]],TAB_ESTOQUE[[Codigo]:[Endereço2]],12,FALSE)</f>
        <v>A2103</v>
      </c>
      <c r="E959" s="81">
        <f>SUM(TAB_SAIDA[[#This Row],[20/05/2019]:[00/00/00]])</f>
        <v>0</v>
      </c>
      <c r="F959" s="3"/>
    </row>
    <row r="960" spans="1:526" ht="15" hidden="1" customHeight="1" x14ac:dyDescent="0.25">
      <c r="A960" s="5" t="s">
        <v>2617</v>
      </c>
      <c r="B960" s="14" t="str">
        <f>VLOOKUP(TAB_SAIDA[[#This Row],[COD_2_SAIDA]],TAB_ESTOQUE[[Codigo]:[Descrição Tecnica]],6,FALSE)</f>
        <v>BRONE AZUL UT2-6(T)</v>
      </c>
      <c r="C960" s="14">
        <f>IFERROR(VLOOKUP(TAB_SAIDA[[#This Row],[COD_2_SAIDA]],TAB_ESTOQUE[[Codigo]:[Referência Tec]],7,FALSE),"")</f>
        <v>0</v>
      </c>
      <c r="D960" s="14" t="str">
        <f>VLOOKUP(TAB_SAIDA[[#This Row],[COD_2_SAIDA]],TAB_ESTOQUE[[Codigo]:[Endereço2]],12,FALSE)</f>
        <v>A2103</v>
      </c>
      <c r="E960" s="81">
        <f>SUM(TAB_SAIDA[[#This Row],[20/05/2019]:[00/00/00]])</f>
        <v>0</v>
      </c>
      <c r="F960" s="3"/>
    </row>
    <row r="961" spans="1:614" ht="15" hidden="1" customHeight="1" x14ac:dyDescent="0.25">
      <c r="A961" s="5" t="s">
        <v>2618</v>
      </c>
      <c r="B961" s="14" t="str">
        <f>VLOOKUP(TAB_SAIDA[[#This Row],[COD_2_SAIDA]],TAB_ESTOQUE[[Codigo]:[Descrição Tecnica]],6,FALSE)</f>
        <v>BORNE MARROM EW35</v>
      </c>
      <c r="C961" s="14">
        <f>IFERROR(VLOOKUP(TAB_SAIDA[[#This Row],[COD_2_SAIDA]],TAB_ESTOQUE[[Codigo]:[Referência Tec]],7,FALSE),"")</f>
        <v>0</v>
      </c>
      <c r="D961" s="14" t="str">
        <f>VLOOKUP(TAB_SAIDA[[#This Row],[COD_2_SAIDA]],TAB_ESTOQUE[[Codigo]:[Endereço2]],12,FALSE)</f>
        <v>A2103</v>
      </c>
      <c r="E961" s="81">
        <f>SUM(TAB_SAIDA[[#This Row],[20/05/2019]:[00/00/00]])</f>
        <v>0</v>
      </c>
      <c r="F961" s="3"/>
    </row>
    <row r="962" spans="1:614" ht="15" hidden="1" customHeight="1" x14ac:dyDescent="0.25">
      <c r="A962" s="5" t="s">
        <v>2619</v>
      </c>
      <c r="B962" s="14" t="str">
        <f>VLOOKUP(TAB_SAIDA[[#This Row],[COD_2_SAIDA]],TAB_ESTOQUE[[Codigo]:[Descrição Tecnica]],6,FALSE)</f>
        <v xml:space="preserve">BOTÃO DUPLO FACEADO CEW-BDM-11000000 (WEG)  LIGAR  DESLIGA  1NA + 1NF </v>
      </c>
      <c r="C962" s="14">
        <f>IFERROR(VLOOKUP(TAB_SAIDA[[#This Row],[COD_2_SAIDA]],TAB_ESTOQUE[[Codigo]:[Referência Tec]],7,FALSE),"")</f>
        <v>0</v>
      </c>
      <c r="D962" s="14" t="str">
        <f>VLOOKUP(TAB_SAIDA[[#This Row],[COD_2_SAIDA]],TAB_ESTOQUE[[Codigo]:[Endereço2]],12,FALSE)</f>
        <v>A1305</v>
      </c>
      <c r="E962" s="81">
        <f>SUM(TAB_SAIDA[[#This Row],[20/05/2019]:[00/00/00]])</f>
        <v>0</v>
      </c>
      <c r="F962" s="3"/>
    </row>
    <row r="963" spans="1:614" ht="15" hidden="1" customHeight="1" x14ac:dyDescent="0.25">
      <c r="A963" s="5" t="s">
        <v>2620</v>
      </c>
      <c r="B963" s="14" t="str">
        <f>VLOOKUP(TAB_SAIDA[[#This Row],[COD_2_SAIDA]],TAB_ESTOQUE[[Codigo]:[Descrição Tecnica]],6,FALSE)</f>
        <v>AMORTECEDOR MOLA GAS 900N MG10 220 0542 0900J (RUBIGRUN)</v>
      </c>
      <c r="C963" s="14">
        <f>IFERROR(VLOOKUP(TAB_SAIDA[[#This Row],[COD_2_SAIDA]],TAB_ESTOQUE[[Codigo]:[Referência Tec]],7,FALSE),"")</f>
        <v>0</v>
      </c>
      <c r="D963" s="14" t="str">
        <f>VLOOKUP(TAB_SAIDA[[#This Row],[COD_2_SAIDA]],TAB_ESTOQUE[[Codigo]:[Endereço2]],12,FALSE)</f>
        <v>D2303</v>
      </c>
      <c r="E963" s="81">
        <f>SUM(TAB_SAIDA[[#This Row],[20/05/2019]:[00/00/00]])</f>
        <v>1</v>
      </c>
      <c r="F963" s="3"/>
      <c r="RT963" s="3">
        <v>1</v>
      </c>
    </row>
    <row r="964" spans="1:614" ht="15" hidden="1" customHeight="1" x14ac:dyDescent="0.25">
      <c r="A964" s="5" t="s">
        <v>2621</v>
      </c>
      <c r="B964" s="14" t="str">
        <f>VLOOKUP(TAB_SAIDA[[#This Row],[COD_2_SAIDA]],TAB_ESTOQUE[[Codigo]:[Descrição Tecnica]],6,FALSE)</f>
        <v>FLANGER ROSCADO 1" ANSI B16.5 300LBS</v>
      </c>
      <c r="C964" s="14">
        <f>IFERROR(VLOOKUP(TAB_SAIDA[[#This Row],[COD_2_SAIDA]],TAB_ESTOQUE[[Codigo]:[Referência Tec]],7,FALSE),"")</f>
        <v>0</v>
      </c>
      <c r="D964" s="14" t="str">
        <f>VLOOKUP(TAB_SAIDA[[#This Row],[COD_2_SAIDA]],TAB_ESTOQUE[[Codigo]:[Endereço2]],12,FALSE)</f>
        <v>D1102</v>
      </c>
      <c r="E964" s="81">
        <f>SUM(TAB_SAIDA[[#This Row],[20/05/2019]:[00/00/00]])</f>
        <v>0</v>
      </c>
      <c r="F964" s="3"/>
    </row>
    <row r="965" spans="1:614" ht="15" hidden="1" customHeight="1" x14ac:dyDescent="0.25">
      <c r="A965" s="5" t="s">
        <v>2622</v>
      </c>
      <c r="B965" s="14" t="str">
        <f>VLOOKUP(TAB_SAIDA[[#This Row],[COD_2_SAIDA]],TAB_ESTOQUE[[Codigo]:[Descrição Tecnica]],6,FALSE)</f>
        <v>VALVULA FLUXO DRV-10-013/0 3/4"</v>
      </c>
      <c r="C965" s="14">
        <f>IFERROR(VLOOKUP(TAB_SAIDA[[#This Row],[COD_2_SAIDA]],TAB_ESTOQUE[[Codigo]:[Referência Tec]],7,FALSE),"")</f>
        <v>0</v>
      </c>
      <c r="D965" s="14" t="str">
        <f>VLOOKUP(TAB_SAIDA[[#This Row],[COD_2_SAIDA]],TAB_ESTOQUE[[Codigo]:[Endereço2]],12,FALSE)</f>
        <v>E1402</v>
      </c>
      <c r="E965" s="81">
        <f>SUM(TAB_SAIDA[[#This Row],[20/05/2019]:[00/00/00]])</f>
        <v>0</v>
      </c>
      <c r="F965" s="3"/>
    </row>
    <row r="966" spans="1:614" ht="15" hidden="1" customHeight="1" x14ac:dyDescent="0.25">
      <c r="A966" s="5" t="s">
        <v>2623</v>
      </c>
      <c r="B966" s="14" t="str">
        <f>VLOOKUP(TAB_SAIDA[[#This Row],[COD_2_SAIDA]],TAB_ESTOQUE[[Codigo]:[Descrição Tecnica]],6,FALSE)</f>
        <v>TRANSFORMADOR 250 VA 50/60Hz (LEGRAND)</v>
      </c>
      <c r="C966" s="14">
        <f>IFERROR(VLOOKUP(TAB_SAIDA[[#This Row],[COD_2_SAIDA]],TAB_ESTOQUE[[Codigo]:[Referência Tec]],7,FALSE),"")</f>
        <v>0</v>
      </c>
      <c r="D966" s="14" t="str">
        <f>VLOOKUP(TAB_SAIDA[[#This Row],[COD_2_SAIDA]],TAB_ESTOQUE[[Codigo]:[Endereço2]],12,FALSE)</f>
        <v>A2302</v>
      </c>
      <c r="E966" s="81">
        <f>SUM(TAB_SAIDA[[#This Row],[20/05/2019]:[00/00/00]])</f>
        <v>0</v>
      </c>
      <c r="F966" s="3"/>
    </row>
    <row r="967" spans="1:614" ht="15" hidden="1" customHeight="1" x14ac:dyDescent="0.25">
      <c r="A967" s="5" t="s">
        <v>2624</v>
      </c>
      <c r="B967" s="14" t="str">
        <f>VLOOKUP(TAB_SAIDA[[#This Row],[COD_2_SAIDA]],TAB_ESTOQUE[[Codigo]:[Descrição Tecnica]],6,FALSE)</f>
        <v>ESTEIRA PORTA CABOS FB.370.75.175</v>
      </c>
      <c r="C967" s="14">
        <f>IFERROR(VLOOKUP(TAB_SAIDA[[#This Row],[COD_2_SAIDA]],TAB_ESTOQUE[[Codigo]:[Referência Tec]],7,FALSE),"")</f>
        <v>0</v>
      </c>
      <c r="D967" s="14" t="str">
        <f>VLOOKUP(TAB_SAIDA[[#This Row],[COD_2_SAIDA]],TAB_ESTOQUE[[Codigo]:[Endereço2]],12,FALSE)</f>
        <v>D1101</v>
      </c>
      <c r="E967" s="81">
        <f>SUM(TAB_SAIDA[[#This Row],[20/05/2019]:[00/00/00]])</f>
        <v>0</v>
      </c>
      <c r="F967" s="3"/>
    </row>
    <row r="968" spans="1:614" ht="15" hidden="1" customHeight="1" x14ac:dyDescent="0.25">
      <c r="A968" s="5" t="s">
        <v>2625</v>
      </c>
      <c r="B968" s="14" t="str">
        <f>VLOOKUP(TAB_SAIDA[[#This Row],[COD_2_SAIDA]],TAB_ESTOQUE[[Codigo]:[Descrição Tecnica]],6,FALSE)</f>
        <v>MOTOR BALDOR 35A012Q223G1</v>
      </c>
      <c r="C968" s="14">
        <f>IFERROR(VLOOKUP(TAB_SAIDA[[#This Row],[COD_2_SAIDA]],TAB_ESTOQUE[[Codigo]:[Referência Tec]],7,FALSE),"")</f>
        <v>0</v>
      </c>
      <c r="D968" s="14" t="str">
        <f>VLOOKUP(TAB_SAIDA[[#This Row],[COD_2_SAIDA]],TAB_ESTOQUE[[Codigo]:[Endereço2]],12,FALSE)</f>
        <v>E1104</v>
      </c>
      <c r="E968" s="81">
        <f>SUM(TAB_SAIDA[[#This Row],[20/05/2019]:[00/00/00]])</f>
        <v>0</v>
      </c>
      <c r="F968" s="3"/>
    </row>
    <row r="969" spans="1:614" ht="15" hidden="1" customHeight="1" x14ac:dyDescent="0.25">
      <c r="A969" s="5" t="s">
        <v>2626</v>
      </c>
      <c r="B969" s="14" t="str">
        <f>VLOOKUP(TAB_SAIDA[[#This Row],[COD_2_SAIDA]],TAB_ESTOQUE[[Codigo]:[Descrição Tecnica]],6,FALSE)</f>
        <v>DISJUNTOR STECK SD C32 230/400V 50/60Hz 3000A</v>
      </c>
      <c r="C969" s="14">
        <f>IFERROR(VLOOKUP(TAB_SAIDA[[#This Row],[COD_2_SAIDA]],TAB_ESTOQUE[[Codigo]:[Referência Tec]],7,FALSE),"")</f>
        <v>0</v>
      </c>
      <c r="D969" s="14" t="str">
        <f>VLOOKUP(TAB_SAIDA[[#This Row],[COD_2_SAIDA]],TAB_ESTOQUE[[Codigo]:[Endereço2]],12,FALSE)</f>
        <v>A1302</v>
      </c>
      <c r="E969" s="81">
        <f>SUM(TAB_SAIDA[[#This Row],[20/05/2019]:[00/00/00]])</f>
        <v>1</v>
      </c>
      <c r="F969" s="3"/>
      <c r="WP969" s="3">
        <v>1</v>
      </c>
    </row>
    <row r="970" spans="1:614" ht="15" hidden="1" customHeight="1" x14ac:dyDescent="0.25">
      <c r="A970" s="5" t="s">
        <v>2627</v>
      </c>
      <c r="B970" s="14" t="str">
        <f>VLOOKUP(TAB_SAIDA[[#This Row],[COD_2_SAIDA]],TAB_ESTOQUE[[Codigo]:[Descrição Tecnica]],6,FALSE)</f>
        <v>ROLAMENTO RIGIDO DE ESFERA  6202-2Z</v>
      </c>
      <c r="C970" s="14">
        <f>IFERROR(VLOOKUP(TAB_SAIDA[[#This Row],[COD_2_SAIDA]],TAB_ESTOQUE[[Codigo]:[Referência Tec]],7,FALSE),"")</f>
        <v>0</v>
      </c>
      <c r="D970" s="14" t="str">
        <f>VLOOKUP(TAB_SAIDA[[#This Row],[COD_2_SAIDA]],TAB_ESTOQUE[[Codigo]:[Endereço2]],12,FALSE)</f>
        <v>D2103</v>
      </c>
      <c r="E970" s="81">
        <f>SUM(TAB_SAIDA[[#This Row],[20/05/2019]:[00/00/00]])</f>
        <v>0</v>
      </c>
      <c r="F970" s="3"/>
    </row>
    <row r="971" spans="1:614" ht="15" hidden="1" customHeight="1" x14ac:dyDescent="0.25">
      <c r="A971" s="5" t="s">
        <v>2628</v>
      </c>
      <c r="B971" s="14" t="str">
        <f>VLOOKUP(TAB_SAIDA[[#This Row],[COD_2_SAIDA]],TAB_ESTOQUE[[Codigo]:[Descrição Tecnica]],6,FALSE)</f>
        <v>TAMPA PARA TOMADA REGIDA WETZEL</v>
      </c>
      <c r="C971" s="14">
        <f>IFERROR(VLOOKUP(TAB_SAIDA[[#This Row],[COD_2_SAIDA]],TAB_ESTOQUE[[Codigo]:[Referência Tec]],7,FALSE),"")</f>
        <v>0</v>
      </c>
      <c r="D971" s="14" t="str">
        <f>VLOOKUP(TAB_SAIDA[[#This Row],[COD_2_SAIDA]],TAB_ESTOQUE[[Codigo]:[Endereço2]],12,FALSE)</f>
        <v>A1402</v>
      </c>
      <c r="E971" s="81">
        <f>SUM(TAB_SAIDA[[#This Row],[20/05/2019]:[00/00/00]])</f>
        <v>0</v>
      </c>
      <c r="F971" s="3"/>
    </row>
    <row r="972" spans="1:614" ht="15" hidden="1" customHeight="1" x14ac:dyDescent="0.25">
      <c r="A972" s="5" t="s">
        <v>2629</v>
      </c>
      <c r="B972" s="14" t="str">
        <f>VLOOKUP(TAB_SAIDA[[#This Row],[COD_2_SAIDA]],TAB_ESTOQUE[[Codigo]:[Descrição Tecnica]],6,FALSE)</f>
        <v>ANILHA DA SERPENTINA 1/4" KGL40 314AE</v>
      </c>
      <c r="C972" s="14">
        <f>IFERROR(VLOOKUP(TAB_SAIDA[[#This Row],[COD_2_SAIDA]],TAB_ESTOQUE[[Codigo]:[Referência Tec]],7,FALSE),"")</f>
        <v>0</v>
      </c>
      <c r="D972" s="14" t="str">
        <f>VLOOKUP(TAB_SAIDA[[#This Row],[COD_2_SAIDA]],TAB_ESTOQUE[[Codigo]:[Endereço2]],12,FALSE)</f>
        <v>D2203</v>
      </c>
      <c r="E972" s="81">
        <f>SUM(TAB_SAIDA[[#This Row],[20/05/2019]:[00/00/00]])</f>
        <v>0</v>
      </c>
      <c r="F972" s="3"/>
    </row>
    <row r="973" spans="1:614" ht="15" hidden="1" customHeight="1" x14ac:dyDescent="0.25">
      <c r="A973" s="5" t="s">
        <v>2630</v>
      </c>
      <c r="B973" s="14" t="str">
        <f>VLOOKUP(TAB_SAIDA[[#This Row],[COD_2_SAIDA]],TAB_ESTOQUE[[Codigo]:[Descrição Tecnica]],6,FALSE)</f>
        <v>SENSOR MAGNETICO REER  MG M20 M30 2NO M8 4POLES CONN</v>
      </c>
      <c r="C973" s="14">
        <f>IFERROR(VLOOKUP(TAB_SAIDA[[#This Row],[COD_2_SAIDA]],TAB_ESTOQUE[[Codigo]:[Referência Tec]],7,FALSE),"")</f>
        <v>0</v>
      </c>
      <c r="D973" s="14" t="str">
        <f>VLOOKUP(TAB_SAIDA[[#This Row],[COD_2_SAIDA]],TAB_ESTOQUE[[Codigo]:[Endereço2]],12,FALSE)</f>
        <v>A2204</v>
      </c>
      <c r="E973" s="81">
        <f>SUM(TAB_SAIDA[[#This Row],[20/05/2019]:[00/00/00]])</f>
        <v>0</v>
      </c>
      <c r="F973" s="3"/>
    </row>
    <row r="974" spans="1:614" ht="15" hidden="1" customHeight="1" x14ac:dyDescent="0.25">
      <c r="A974" s="5" t="s">
        <v>2631</v>
      </c>
      <c r="B974" s="14" t="str">
        <f>VLOOKUP(TAB_SAIDA[[#This Row],[COD_2_SAIDA]],TAB_ESTOQUE[[Codigo]:[Descrição Tecnica]],6,FALSE)</f>
        <v>CONECTOR SICK D0S-0804-G</v>
      </c>
      <c r="C974" s="14">
        <f>IFERROR(VLOOKUP(TAB_SAIDA[[#This Row],[COD_2_SAIDA]],TAB_ESTOQUE[[Codigo]:[Referência Tec]],7,FALSE),"")</f>
        <v>0</v>
      </c>
      <c r="D974" s="14" t="str">
        <f>VLOOKUP(TAB_SAIDA[[#This Row],[COD_2_SAIDA]],TAB_ESTOQUE[[Codigo]:[Endereço2]],12,FALSE)</f>
        <v>A2204</v>
      </c>
      <c r="E974" s="81">
        <f>SUM(TAB_SAIDA[[#This Row],[20/05/2019]:[00/00/00]])</f>
        <v>0</v>
      </c>
      <c r="F974" s="3"/>
    </row>
    <row r="975" spans="1:614" ht="15" hidden="1" customHeight="1" x14ac:dyDescent="0.25">
      <c r="A975" s="5" t="s">
        <v>2632</v>
      </c>
      <c r="B975" s="14" t="str">
        <f>VLOOKUP(TAB_SAIDA[[#This Row],[COD_2_SAIDA]],TAB_ESTOQUE[[Codigo]:[Descrição Tecnica]],6,FALSE)</f>
        <v>INCREMENTAL AND ABSOLUTE ER63G 102425/Z8P 15X3JR (ELTRA)</v>
      </c>
      <c r="C975" s="14">
        <f>IFERROR(VLOOKUP(TAB_SAIDA[[#This Row],[COD_2_SAIDA]],TAB_ESTOQUE[[Codigo]:[Referência Tec]],7,FALSE),"")</f>
        <v>0</v>
      </c>
      <c r="D975" s="14" t="str">
        <f>VLOOKUP(TAB_SAIDA[[#This Row],[COD_2_SAIDA]],TAB_ESTOQUE[[Codigo]:[Endereço2]],12,FALSE)</f>
        <v>A1302</v>
      </c>
      <c r="E975" s="81">
        <f>SUM(TAB_SAIDA[[#This Row],[20/05/2019]:[00/00/00]])</f>
        <v>0</v>
      </c>
      <c r="F975" s="3"/>
    </row>
    <row r="976" spans="1:614" ht="15" hidden="1" customHeight="1" x14ac:dyDescent="0.25">
      <c r="A976" s="5" t="s">
        <v>2633</v>
      </c>
      <c r="B976" s="14" t="str">
        <f>VLOOKUP(TAB_SAIDA[[#This Row],[COD_2_SAIDA]],TAB_ESTOQUE[[Codigo]:[Descrição Tecnica]],6,FALSE)</f>
        <v>INCREMENTAL AND ABSOLUTE EH 80P 100028/Z4P 15X3PR2 (ELTRA)</v>
      </c>
      <c r="C976" s="14">
        <f>IFERROR(VLOOKUP(TAB_SAIDA[[#This Row],[COD_2_SAIDA]],TAB_ESTOQUE[[Codigo]:[Referência Tec]],7,FALSE),"")</f>
        <v>0</v>
      </c>
      <c r="D976" s="14" t="str">
        <f>VLOOKUP(TAB_SAIDA[[#This Row],[COD_2_SAIDA]],TAB_ESTOQUE[[Codigo]:[Endereço2]],12,FALSE)</f>
        <v>A1302</v>
      </c>
      <c r="E976" s="81">
        <f>SUM(TAB_SAIDA[[#This Row],[20/05/2019]:[00/00/00]])</f>
        <v>0</v>
      </c>
      <c r="F976" s="3"/>
    </row>
    <row r="977" spans="1:589" ht="15" hidden="1" customHeight="1" x14ac:dyDescent="0.25">
      <c r="A977" s="5" t="s">
        <v>2634</v>
      </c>
      <c r="B977" s="14" t="str">
        <f>VLOOKUP(TAB_SAIDA[[#This Row],[COD_2_SAIDA]],TAB_ESTOQUE[[Codigo]:[Descrição Tecnica]],6,FALSE)</f>
        <v>ACOPLAMENTO AN44</v>
      </c>
      <c r="C977" s="14">
        <f>IFERROR(VLOOKUP(TAB_SAIDA[[#This Row],[COD_2_SAIDA]],TAB_ESTOQUE[[Codigo]:[Referência Tec]],7,FALSE),"")</f>
        <v>0</v>
      </c>
      <c r="D977" s="14" t="str">
        <f>VLOOKUP(TAB_SAIDA[[#This Row],[COD_2_SAIDA]],TAB_ESTOQUE[[Codigo]:[Endereço2]],12,FALSE)</f>
        <v>E2204</v>
      </c>
      <c r="E977" s="81">
        <f>SUM(TAB_SAIDA[[#This Row],[20/05/2019]:[00/00/00]])</f>
        <v>0</v>
      </c>
      <c r="F977" s="3"/>
    </row>
    <row r="978" spans="1:589" ht="15" hidden="1" customHeight="1" x14ac:dyDescent="0.25">
      <c r="A978" s="5" t="s">
        <v>2635</v>
      </c>
      <c r="B978" s="14" t="str">
        <f>VLOOKUP(TAB_SAIDA[[#This Row],[COD_2_SAIDA]],TAB_ESTOQUE[[Codigo]:[Descrição Tecnica]],6,FALSE)</f>
        <v>T PVC AMANCO DN 42 NBR 15884</v>
      </c>
      <c r="C978" s="14">
        <f>IFERROR(VLOOKUP(TAB_SAIDA[[#This Row],[COD_2_SAIDA]],TAB_ESTOQUE[[Codigo]:[Referência Tec]],7,FALSE),"")</f>
        <v>0</v>
      </c>
      <c r="D978" s="14" t="str">
        <f>VLOOKUP(TAB_SAIDA[[#This Row],[COD_2_SAIDA]],TAB_ESTOQUE[[Codigo]:[Endereço2]],12,FALSE)</f>
        <v>D1302</v>
      </c>
      <c r="E978" s="81">
        <f>SUM(TAB_SAIDA[[#This Row],[20/05/2019]:[00/00/00]])</f>
        <v>0</v>
      </c>
      <c r="F978" s="3"/>
    </row>
    <row r="979" spans="1:589" ht="15" hidden="1" customHeight="1" x14ac:dyDescent="0.25">
      <c r="A979" s="5" t="s">
        <v>2636</v>
      </c>
      <c r="B979" s="14" t="str">
        <f>VLOOKUP(TAB_SAIDA[[#This Row],[COD_2_SAIDA]],TAB_ESTOQUE[[Codigo]:[Descrição Tecnica]],6,FALSE)</f>
        <v>NIPLE PVC ROSQUEADO  ROSCA2"</v>
      </c>
      <c r="C979" s="14">
        <f>IFERROR(VLOOKUP(TAB_SAIDA[[#This Row],[COD_2_SAIDA]],TAB_ESTOQUE[[Codigo]:[Referência Tec]],7,FALSE),"")</f>
        <v>0</v>
      </c>
      <c r="D979" s="14" t="str">
        <f>VLOOKUP(TAB_SAIDA[[#This Row],[COD_2_SAIDA]],TAB_ESTOQUE[[Codigo]:[Endereço2]],12,FALSE)</f>
        <v>D1302</v>
      </c>
      <c r="E979" s="81">
        <f>SUM(TAB_SAIDA[[#This Row],[20/05/2019]:[00/00/00]])</f>
        <v>0</v>
      </c>
      <c r="F979" s="3"/>
    </row>
    <row r="980" spans="1:589" ht="15" hidden="1" customHeight="1" x14ac:dyDescent="0.25">
      <c r="A980" s="5" t="s">
        <v>2637</v>
      </c>
      <c r="B980" s="14" t="str">
        <f>VLOOKUP(TAB_SAIDA[[#This Row],[COD_2_SAIDA]],TAB_ESTOQUE[[Codigo]:[Descrição Tecnica]],6,FALSE)</f>
        <v>CURVA R-CURTO 90° ROSQUEADA PVC 2"</v>
      </c>
      <c r="C980" s="14">
        <f>IFERROR(VLOOKUP(TAB_SAIDA[[#This Row],[COD_2_SAIDA]],TAB_ESTOQUE[[Codigo]:[Referência Tec]],7,FALSE),"")</f>
        <v>0</v>
      </c>
      <c r="D980" s="14" t="str">
        <f>VLOOKUP(TAB_SAIDA[[#This Row],[COD_2_SAIDA]],TAB_ESTOQUE[[Codigo]:[Endereço2]],12,FALSE)</f>
        <v>D1302</v>
      </c>
      <c r="E980" s="81">
        <f>SUM(TAB_SAIDA[[#This Row],[20/05/2019]:[00/00/00]])</f>
        <v>0</v>
      </c>
      <c r="F980" s="3"/>
    </row>
    <row r="981" spans="1:589" ht="15" hidden="1" customHeight="1" x14ac:dyDescent="0.25">
      <c r="A981" s="5" t="s">
        <v>2638</v>
      </c>
      <c r="B981" s="14" t="str">
        <f>VLOOKUP(TAB_SAIDA[[#This Row],[COD_2_SAIDA]],TAB_ESTOQUE[[Codigo]:[Descrição Tecnica]],6,FALSE)</f>
        <v>RELE 24V BOOTON VIEW 1726W2 5A G2R-2-SN(S)  (OMRON)</v>
      </c>
      <c r="C981" s="14">
        <f>IFERROR(VLOOKUP(TAB_SAIDA[[#This Row],[COD_2_SAIDA]],TAB_ESTOQUE[[Codigo]:[Referência Tec]],7,FALSE),"")</f>
        <v>0</v>
      </c>
      <c r="D981" s="14" t="str">
        <f>VLOOKUP(TAB_SAIDA[[#This Row],[COD_2_SAIDA]],TAB_ESTOQUE[[Codigo]:[Endereço2]],12,FALSE)</f>
        <v>A1304</v>
      </c>
      <c r="E981" s="81">
        <f>SUM(TAB_SAIDA[[#This Row],[20/05/2019]:[00/00/00]])</f>
        <v>0</v>
      </c>
      <c r="F981" s="3"/>
    </row>
    <row r="982" spans="1:589" ht="15" hidden="1" customHeight="1" x14ac:dyDescent="0.25">
      <c r="A982" s="5" t="s">
        <v>2639</v>
      </c>
      <c r="B982" s="14" t="str">
        <f>VLOOKUP(TAB_SAIDA[[#This Row],[COD_2_SAIDA]],TAB_ESTOQUE[[Codigo]:[Descrição Tecnica]],6,FALSE)</f>
        <v>SENSOR IFM KG5065 KG-3120NFAKGP2T/US</v>
      </c>
      <c r="C982" s="14">
        <f>IFERROR(VLOOKUP(TAB_SAIDA[[#This Row],[COD_2_SAIDA]],TAB_ESTOQUE[[Codigo]:[Referência Tec]],7,FALSE),"")</f>
        <v>0</v>
      </c>
      <c r="D982" s="14" t="str">
        <f>VLOOKUP(TAB_SAIDA[[#This Row],[COD_2_SAIDA]],TAB_ESTOQUE[[Codigo]:[Endereço2]],12,FALSE)</f>
        <v>A2203</v>
      </c>
      <c r="E982" s="81">
        <f>SUM(TAB_SAIDA[[#This Row],[20/05/2019]:[00/00/00]])</f>
        <v>0</v>
      </c>
      <c r="F982" s="3"/>
    </row>
    <row r="983" spans="1:589" ht="15" hidden="1" customHeight="1" x14ac:dyDescent="0.25">
      <c r="A983" s="5" t="s">
        <v>2640</v>
      </c>
      <c r="B983" s="14" t="str">
        <f>VLOOKUP(TAB_SAIDA[[#This Row],[COD_2_SAIDA]],TAB_ESTOQUE[[Codigo]:[Descrição Tecnica]],6,FALSE)</f>
        <v>SENSOR BALLUFF BAS0026 BES M08MH1-POC15B-S046</v>
      </c>
      <c r="C983" s="14">
        <f>IFERROR(VLOOKUP(TAB_SAIDA[[#This Row],[COD_2_SAIDA]],TAB_ESTOQUE[[Codigo]:[Referência Tec]],7,FALSE),"")</f>
        <v>0</v>
      </c>
      <c r="D983" s="14" t="str">
        <f>VLOOKUP(TAB_SAIDA[[#This Row],[COD_2_SAIDA]],TAB_ESTOQUE[[Codigo]:[Endereço2]],12,FALSE)</f>
        <v>A2204</v>
      </c>
      <c r="E983" s="81">
        <f>SUM(TAB_SAIDA[[#This Row],[20/05/2019]:[00/00/00]])</f>
        <v>1</v>
      </c>
      <c r="F983" s="3"/>
      <c r="SD983" s="3">
        <v>1</v>
      </c>
    </row>
    <row r="984" spans="1:589" ht="15" hidden="1" customHeight="1" x14ac:dyDescent="0.25">
      <c r="A984" s="5" t="s">
        <v>2641</v>
      </c>
      <c r="B984" s="14" t="str">
        <f>VLOOKUP(TAB_SAIDA[[#This Row],[COD_2_SAIDA]],TAB_ESTOQUE[[Codigo]:[Descrição Tecnica]],6,FALSE)</f>
        <v xml:space="preserve">SUPORTE PARA BARREIRA </v>
      </c>
      <c r="C984" s="14">
        <f>IFERROR(VLOOKUP(TAB_SAIDA[[#This Row],[COD_2_SAIDA]],TAB_ESTOQUE[[Codigo]:[Referência Tec]],7,FALSE),"")</f>
        <v>0</v>
      </c>
      <c r="D984" s="14" t="str">
        <f>VLOOKUP(TAB_SAIDA[[#This Row],[COD_2_SAIDA]],TAB_ESTOQUE[[Codigo]:[Endereço2]],12,FALSE)</f>
        <v>A2103</v>
      </c>
      <c r="E984" s="81">
        <f>SUM(TAB_SAIDA[[#This Row],[20/05/2019]:[00/00/00]])</f>
        <v>0</v>
      </c>
      <c r="F984" s="3"/>
    </row>
    <row r="985" spans="1:589" ht="15" hidden="1" customHeight="1" x14ac:dyDescent="0.25">
      <c r="A985" s="5" t="s">
        <v>2642</v>
      </c>
      <c r="B985" s="14" t="str">
        <f>VLOOKUP(TAB_SAIDA[[#This Row],[COD_2_SAIDA]],TAB_ESTOQUE[[Codigo]:[Descrição Tecnica]],6,FALSE)</f>
        <v>ATUADOR PNEUMATICO MODELO: RP75DA 10BAR</v>
      </c>
      <c r="C985" s="14">
        <f>IFERROR(VLOOKUP(TAB_SAIDA[[#This Row],[COD_2_SAIDA]],TAB_ESTOQUE[[Codigo]:[Referência Tec]],7,FALSE),"")</f>
        <v>0</v>
      </c>
      <c r="D985" s="14" t="str">
        <f>VLOOKUP(TAB_SAIDA[[#This Row],[COD_2_SAIDA]],TAB_ESTOQUE[[Codigo]:[Endereço2]],12,FALSE)</f>
        <v>C1205</v>
      </c>
      <c r="E985" s="81">
        <f>SUM(TAB_SAIDA[[#This Row],[20/05/2019]:[00/00/00]])</f>
        <v>1</v>
      </c>
      <c r="F985" s="3"/>
      <c r="SO985" s="3">
        <v>1</v>
      </c>
    </row>
    <row r="986" spans="1:589" ht="15" hidden="1" customHeight="1" x14ac:dyDescent="0.25">
      <c r="A986" s="5" t="s">
        <v>2643</v>
      </c>
      <c r="B986" s="14" t="str">
        <f>VLOOKUP(TAB_SAIDA[[#This Row],[COD_2_SAIDA]],TAB_ESTOQUE[[Codigo]:[Descrição Tecnica]],6,FALSE)</f>
        <v>SELO MECANICO TS-D 1 3/8"</v>
      </c>
      <c r="C986" s="14">
        <f>IFERROR(VLOOKUP(TAB_SAIDA[[#This Row],[COD_2_SAIDA]],TAB_ESTOQUE[[Codigo]:[Referência Tec]],7,FALSE),"")</f>
        <v>0</v>
      </c>
      <c r="D986" s="14" t="str">
        <f>VLOOKUP(TAB_SAIDA[[#This Row],[COD_2_SAIDA]],TAB_ESTOQUE[[Codigo]:[Endereço2]],12,FALSE)</f>
        <v>D1202</v>
      </c>
      <c r="E986" s="81">
        <f>SUM(TAB_SAIDA[[#This Row],[20/05/2019]:[00/00/00]])</f>
        <v>0</v>
      </c>
      <c r="F986" s="3"/>
    </row>
    <row r="987" spans="1:589" ht="15" hidden="1" customHeight="1" x14ac:dyDescent="0.25">
      <c r="A987" s="5" t="s">
        <v>2644</v>
      </c>
      <c r="B987" s="14" t="str">
        <f>VLOOKUP(TAB_SAIDA[[#This Row],[COD_2_SAIDA]],TAB_ESTOQUE[[Codigo]:[Descrição Tecnica]],6,FALSE)</f>
        <v>CABO COM CONECTOR  RETO FEMEA M16 8 PINOS</v>
      </c>
      <c r="C987" s="14">
        <f>IFERROR(VLOOKUP(TAB_SAIDA[[#This Row],[COD_2_SAIDA]],TAB_ESTOQUE[[Codigo]:[Referência Tec]],7,FALSE),"")</f>
        <v>0</v>
      </c>
      <c r="D987" s="14" t="str">
        <f>VLOOKUP(TAB_SAIDA[[#This Row],[COD_2_SAIDA]],TAB_ESTOQUE[[Codigo]:[Endereço2]],12,FALSE)</f>
        <v>B1403</v>
      </c>
      <c r="E987" s="81">
        <f>SUM(TAB_SAIDA[[#This Row],[20/05/2019]:[00/00/00]])</f>
        <v>0</v>
      </c>
      <c r="F987" s="3"/>
    </row>
    <row r="988" spans="1:589" ht="15" hidden="1" customHeight="1" x14ac:dyDescent="0.25">
      <c r="A988" s="5" t="s">
        <v>2645</v>
      </c>
      <c r="B988" s="14" t="str">
        <f>VLOOKUP(TAB_SAIDA[[#This Row],[COD_2_SAIDA]],TAB_ESTOQUE[[Codigo]:[Descrição Tecnica]],6,FALSE)</f>
        <v>FUSIVEL KRAH ZS 24/100 VCF 100R K</v>
      </c>
      <c r="C988" s="14">
        <f>IFERROR(VLOOKUP(TAB_SAIDA[[#This Row],[COD_2_SAIDA]],TAB_ESTOQUE[[Codigo]:[Referência Tec]],7,FALSE),"")</f>
        <v>0</v>
      </c>
      <c r="D988" s="14" t="str">
        <f>VLOOKUP(TAB_SAIDA[[#This Row],[COD_2_SAIDA]],TAB_ESTOQUE[[Codigo]:[Endereço2]],12,FALSE)</f>
        <v>A1106</v>
      </c>
      <c r="E988" s="81">
        <f>SUM(TAB_SAIDA[[#This Row],[20/05/2019]:[00/00/00]])</f>
        <v>0</v>
      </c>
      <c r="F988" s="3"/>
    </row>
    <row r="989" spans="1:589" ht="15" hidden="1" customHeight="1" x14ac:dyDescent="0.25">
      <c r="A989" s="5" t="s">
        <v>2646</v>
      </c>
      <c r="B989" s="14" t="str">
        <f>VLOOKUP(TAB_SAIDA[[#This Row],[COD_2_SAIDA]],TAB_ESTOQUE[[Codigo]:[Descrição Tecnica]],6,FALSE)</f>
        <v>ROLAMENTO 6203</v>
      </c>
      <c r="C989" s="14">
        <f>IFERROR(VLOOKUP(TAB_SAIDA[[#This Row],[COD_2_SAIDA]],TAB_ESTOQUE[[Codigo]:[Referência Tec]],7,FALSE),"")</f>
        <v>0</v>
      </c>
      <c r="D989" s="14" t="str">
        <f>VLOOKUP(TAB_SAIDA[[#This Row],[COD_2_SAIDA]],TAB_ESTOQUE[[Codigo]:[Endereço2]],12,FALSE)</f>
        <v>D2103</v>
      </c>
      <c r="E989" s="81">
        <f>SUM(TAB_SAIDA[[#This Row],[20/05/2019]:[00/00/00]])</f>
        <v>0</v>
      </c>
      <c r="F989" s="3"/>
    </row>
    <row r="990" spans="1:589" ht="15" hidden="1" customHeight="1" x14ac:dyDescent="0.25">
      <c r="A990" s="5" t="s">
        <v>2647</v>
      </c>
      <c r="B990" s="14" t="str">
        <f>VLOOKUP(TAB_SAIDA[[#This Row],[COD_2_SAIDA]],TAB_ESTOQUE[[Codigo]:[Descrição Tecnica]],6,FALSE)</f>
        <v>SENSOR INDUTIVO BALLUFF BIC0009 REMOTE 1804HU H2-S11</v>
      </c>
      <c r="C990" s="14">
        <f>IFERROR(VLOOKUP(TAB_SAIDA[[#This Row],[COD_2_SAIDA]],TAB_ESTOQUE[[Codigo]:[Referência Tec]],7,FALSE),"")</f>
        <v>0</v>
      </c>
      <c r="D990" s="14" t="str">
        <f>VLOOKUP(TAB_SAIDA[[#This Row],[COD_2_SAIDA]],TAB_ESTOQUE[[Codigo]:[Endereço2]],12,FALSE)</f>
        <v>A2203</v>
      </c>
      <c r="E990" s="81">
        <f>SUM(TAB_SAIDA[[#This Row],[20/05/2019]:[00/00/00]])</f>
        <v>0</v>
      </c>
      <c r="F990" s="3"/>
    </row>
    <row r="991" spans="1:589" ht="15" hidden="1" customHeight="1" x14ac:dyDescent="0.25">
      <c r="A991" s="5" t="s">
        <v>2648</v>
      </c>
      <c r="B991" s="14" t="str">
        <f>VLOOKUP(TAB_SAIDA[[#This Row],[COD_2_SAIDA]],TAB_ESTOQUE[[Codigo]:[Descrição Tecnica]],6,FALSE)</f>
        <v>ACOPLAMENTO SOPRANO AZUL 32A-6H 220-240V</v>
      </c>
      <c r="C991" s="14">
        <f>IFERROR(VLOOKUP(TAB_SAIDA[[#This Row],[COD_2_SAIDA]],TAB_ESTOQUE[[Codigo]:[Referência Tec]],7,FALSE),"")</f>
        <v>0</v>
      </c>
      <c r="D991" s="14" t="str">
        <f>VLOOKUP(TAB_SAIDA[[#This Row],[COD_2_SAIDA]],TAB_ESTOQUE[[Codigo]:[Endereço2]],12,FALSE)</f>
        <v>A2404</v>
      </c>
      <c r="E991" s="81">
        <f>SUM(TAB_SAIDA[[#This Row],[20/05/2019]:[00/00/00]])</f>
        <v>1</v>
      </c>
      <c r="F991" s="3"/>
      <c r="VQ991" s="3">
        <v>1</v>
      </c>
    </row>
    <row r="992" spans="1:589" ht="15" hidden="1" customHeight="1" x14ac:dyDescent="0.25">
      <c r="A992" s="5" t="s">
        <v>2649</v>
      </c>
      <c r="B992" s="14" t="str">
        <f>VLOOKUP(TAB_SAIDA[[#This Row],[COD_2_SAIDA]],TAB_ESTOQUE[[Codigo]:[Descrição Tecnica]],6,FALSE)</f>
        <v>CILINDRO HIDRAULICO MOD; w32flncsf 2x80</v>
      </c>
      <c r="C992" s="14">
        <f>IFERROR(VLOOKUP(TAB_SAIDA[[#This Row],[COD_2_SAIDA]],TAB_ESTOQUE[[Codigo]:[Referência Tec]],7,FALSE),"")</f>
        <v>0</v>
      </c>
      <c r="D992" s="14" t="str">
        <f>VLOOKUP(TAB_SAIDA[[#This Row],[COD_2_SAIDA]],TAB_ESTOQUE[[Codigo]:[Endereço2]],12,FALSE)</f>
        <v>E1105</v>
      </c>
      <c r="E992" s="81">
        <f>SUM(TAB_SAIDA[[#This Row],[20/05/2019]:[00/00/00]])</f>
        <v>0</v>
      </c>
      <c r="F992" s="3"/>
    </row>
    <row r="993" spans="1:620" ht="15" hidden="1" customHeight="1" x14ac:dyDescent="0.25">
      <c r="A993" s="5" t="s">
        <v>2650</v>
      </c>
      <c r="B993" s="14" t="str">
        <f>VLOOKUP(TAB_SAIDA[[#This Row],[COD_2_SAIDA]],TAB_ESTOQUE[[Codigo]:[Descrição Tecnica]],6,FALSE)</f>
        <v>CILINDRO DOT-39 NRC 260/325 M1003</v>
      </c>
      <c r="C993" s="14">
        <f>IFERROR(VLOOKUP(TAB_SAIDA[[#This Row],[COD_2_SAIDA]],TAB_ESTOQUE[[Codigo]:[Referência Tec]],7,FALSE),"")</f>
        <v>0</v>
      </c>
      <c r="D993" s="14" t="str">
        <f>VLOOKUP(TAB_SAIDA[[#This Row],[COD_2_SAIDA]],TAB_ESTOQUE[[Codigo]:[Endereço2]],12,FALSE)</f>
        <v>E1101</v>
      </c>
      <c r="E993" s="81">
        <f>SUM(TAB_SAIDA[[#This Row],[20/05/2019]:[00/00/00]])</f>
        <v>0</v>
      </c>
      <c r="F993" s="3"/>
    </row>
    <row r="994" spans="1:620" ht="15" hidden="1" customHeight="1" x14ac:dyDescent="0.25">
      <c r="A994" s="5" t="s">
        <v>2651</v>
      </c>
      <c r="B994" s="14" t="str">
        <f>VLOOKUP(TAB_SAIDA[[#This Row],[COD_2_SAIDA]],TAB_ESTOQUE[[Codigo]:[Descrição Tecnica]],6,FALSE)</f>
        <v>BOTAO SCHNEIDER 2BSA 5839</v>
      </c>
      <c r="C994" s="14">
        <f>IFERROR(VLOOKUP(TAB_SAIDA[[#This Row],[COD_2_SAIDA]],TAB_ESTOQUE[[Codigo]:[Referência Tec]],7,FALSE),"")</f>
        <v>0</v>
      </c>
      <c r="D994" s="14" t="str">
        <f>VLOOKUP(TAB_SAIDA[[#This Row],[COD_2_SAIDA]],TAB_ESTOQUE[[Codigo]:[Endereço2]],12,FALSE)</f>
        <v>A2305</v>
      </c>
      <c r="E994" s="81">
        <f>SUM(TAB_SAIDA[[#This Row],[20/05/2019]:[00/00/00]])</f>
        <v>0</v>
      </c>
      <c r="F994" s="3"/>
    </row>
    <row r="995" spans="1:620" ht="15" hidden="1" customHeight="1" x14ac:dyDescent="0.25">
      <c r="A995" s="5" t="s">
        <v>2652</v>
      </c>
      <c r="B995" s="14" t="str">
        <f>VLOOKUP(TAB_SAIDA[[#This Row],[COD_2_SAIDA]],TAB_ESTOQUE[[Codigo]:[Descrição Tecnica]],6,FALSE)</f>
        <v>CHAVE SELETORA Plástica Manopla Curta Pos Fixas XA2ED21 WH18365515 SCHNEIDER</v>
      </c>
      <c r="C995" s="14">
        <f>IFERROR(VLOOKUP(TAB_SAIDA[[#This Row],[COD_2_SAIDA]],TAB_ESTOQUE[[Codigo]:[Referência Tec]],7,FALSE),"")</f>
        <v>0</v>
      </c>
      <c r="D995" s="14" t="str">
        <f>VLOOKUP(TAB_SAIDA[[#This Row],[COD_2_SAIDA]],TAB_ESTOQUE[[Codigo]:[Endereço2]],12,FALSE)</f>
        <v>A2305</v>
      </c>
      <c r="E995" s="81">
        <f>SUM(TAB_SAIDA[[#This Row],[20/05/2019]:[00/00/00]])</f>
        <v>0</v>
      </c>
      <c r="F995" s="3"/>
    </row>
    <row r="996" spans="1:620" ht="15" hidden="1" customHeight="1" x14ac:dyDescent="0.25">
      <c r="A996" s="5" t="s">
        <v>2653</v>
      </c>
      <c r="B996" s="14" t="str">
        <f>VLOOKUP(TAB_SAIDA[[#This Row],[COD_2_SAIDA]],TAB_ESTOQUE[[Codigo]:[Descrição Tecnica]],6,FALSE)</f>
        <v>RELE DE SEGURANCA XPSLCMUT1160</v>
      </c>
      <c r="C996" s="14">
        <f>IFERROR(VLOOKUP(TAB_SAIDA[[#This Row],[COD_2_SAIDA]],TAB_ESTOQUE[[Codigo]:[Referência Tec]],7,FALSE),"")</f>
        <v>0</v>
      </c>
      <c r="D996" s="14" t="str">
        <f>VLOOKUP(TAB_SAIDA[[#This Row],[COD_2_SAIDA]],TAB_ESTOQUE[[Codigo]:[Endereço2]],12,FALSE)</f>
        <v>A1303</v>
      </c>
      <c r="E996" s="81">
        <f>SUM(TAB_SAIDA[[#This Row],[20/05/2019]:[00/00/00]])</f>
        <v>0</v>
      </c>
      <c r="F996" s="3"/>
    </row>
    <row r="997" spans="1:620" ht="15" hidden="1" customHeight="1" x14ac:dyDescent="0.25">
      <c r="A997" s="5" t="s">
        <v>2654</v>
      </c>
      <c r="B997" s="14" t="str">
        <f>VLOOKUP(TAB_SAIDA[[#This Row],[COD_2_SAIDA]],TAB_ESTOQUE[[Codigo]:[Descrição Tecnica]],6,FALSE)</f>
        <v>MINI CONTATOR WEG CWC09-10-30C03</v>
      </c>
      <c r="C997" s="14">
        <f>IFERROR(VLOOKUP(TAB_SAIDA[[#This Row],[COD_2_SAIDA]],TAB_ESTOQUE[[Codigo]:[Referência Tec]],7,FALSE),"")</f>
        <v>0</v>
      </c>
      <c r="D997" s="14" t="str">
        <f>VLOOKUP(TAB_SAIDA[[#This Row],[COD_2_SAIDA]],TAB_ESTOQUE[[Codigo]:[Endereço2]],12,FALSE)</f>
        <v>A1403</v>
      </c>
      <c r="E997" s="81">
        <f>SUM(TAB_SAIDA[[#This Row],[20/05/2019]:[00/00/00]])</f>
        <v>0</v>
      </c>
      <c r="F997" s="3"/>
    </row>
    <row r="998" spans="1:620" ht="15" hidden="1" customHeight="1" x14ac:dyDescent="0.25">
      <c r="A998" s="5" t="s">
        <v>2655</v>
      </c>
      <c r="B998" s="14" t="str">
        <f>VLOOKUP(TAB_SAIDA[[#This Row],[COD_2_SAIDA]],TAB_ESTOQUE[[Codigo]:[Descrição Tecnica]],6,FALSE)</f>
        <v>ROLAMENTO PEE 6082KSP-V2</v>
      </c>
      <c r="C998" s="14">
        <f>IFERROR(VLOOKUP(TAB_SAIDA[[#This Row],[COD_2_SAIDA]],TAB_ESTOQUE[[Codigo]:[Referência Tec]],7,FALSE),"")</f>
        <v>0</v>
      </c>
      <c r="D998" s="14" t="str">
        <f>VLOOKUP(TAB_SAIDA[[#This Row],[COD_2_SAIDA]],TAB_ESTOQUE[[Codigo]:[Endereço2]],12,FALSE)</f>
        <v>D2104</v>
      </c>
      <c r="E998" s="81">
        <f>SUM(TAB_SAIDA[[#This Row],[20/05/2019]:[00/00/00]])</f>
        <v>0</v>
      </c>
      <c r="F998" s="3"/>
    </row>
    <row r="999" spans="1:620" ht="15" hidden="1" customHeight="1" x14ac:dyDescent="0.25">
      <c r="A999" s="5" t="s">
        <v>2656</v>
      </c>
      <c r="B999" s="14" t="str">
        <f>VLOOKUP(TAB_SAIDA[[#This Row],[COD_2_SAIDA]],TAB_ESTOQUE[[Codigo]:[Descrição Tecnica]],6,FALSE)</f>
        <v>ROLAMENTO 6903 2RS</v>
      </c>
      <c r="C999" s="14">
        <f>IFERROR(VLOOKUP(TAB_SAIDA[[#This Row],[COD_2_SAIDA]],TAB_ESTOQUE[[Codigo]:[Referência Tec]],7,FALSE),"")</f>
        <v>0</v>
      </c>
      <c r="D999" s="14" t="str">
        <f>VLOOKUP(TAB_SAIDA[[#This Row],[COD_2_SAIDA]],TAB_ESTOQUE[[Codigo]:[Endereço2]],12,FALSE)</f>
        <v>D2103</v>
      </c>
      <c r="E999" s="81">
        <f>SUM(TAB_SAIDA[[#This Row],[20/05/2019]:[00/00/00]])</f>
        <v>0</v>
      </c>
      <c r="F999" s="3"/>
    </row>
    <row r="1000" spans="1:620" ht="15" hidden="1" customHeight="1" x14ac:dyDescent="0.25">
      <c r="A1000" s="5" t="s">
        <v>2657</v>
      </c>
      <c r="B1000" s="14" t="str">
        <f>VLOOKUP(TAB_SAIDA[[#This Row],[COD_2_SAIDA]],TAB_ESTOQUE[[Codigo]:[Descrição Tecnica]],6,FALSE)</f>
        <v>LIXA D'AGUA A80</v>
      </c>
      <c r="C1000" s="14">
        <f>IFERROR(VLOOKUP(TAB_SAIDA[[#This Row],[COD_2_SAIDA]],TAB_ESTOQUE[[Codigo]:[Referência Tec]],7,FALSE),"")</f>
        <v>0</v>
      </c>
      <c r="D1000" s="14" t="str">
        <f>VLOOKUP(TAB_SAIDA[[#This Row],[COD_2_SAIDA]],TAB_ESTOQUE[[Codigo]:[Endereço2]],12,FALSE)</f>
        <v>D1104</v>
      </c>
      <c r="E1000" s="81">
        <f>SUM(TAB_SAIDA[[#This Row],[20/05/2019]:[00/00/00]])</f>
        <v>6</v>
      </c>
      <c r="F1000" s="3"/>
      <c r="RZ1000" s="3">
        <v>5</v>
      </c>
      <c r="SC1000" s="3">
        <v>1</v>
      </c>
    </row>
    <row r="1001" spans="1:620" ht="15" hidden="1" customHeight="1" x14ac:dyDescent="0.25">
      <c r="A1001" s="5" t="s">
        <v>2658</v>
      </c>
      <c r="B1001" s="14" t="str">
        <f>VLOOKUP(TAB_SAIDA[[#This Row],[COD_2_SAIDA]],TAB_ESTOQUE[[Codigo]:[Descrição Tecnica]],6,FALSE)</f>
        <v>LIXA D'AGUA 220</v>
      </c>
      <c r="C1001" s="14">
        <f>IFERROR(VLOOKUP(TAB_SAIDA[[#This Row],[COD_2_SAIDA]],TAB_ESTOQUE[[Codigo]:[Referência Tec]],7,FALSE),"")</f>
        <v>0</v>
      </c>
      <c r="D1001" s="14" t="str">
        <f>VLOOKUP(TAB_SAIDA[[#This Row],[COD_2_SAIDA]],TAB_ESTOQUE[[Codigo]:[Endereço2]],12,FALSE)</f>
        <v>D1104</v>
      </c>
      <c r="E1001" s="81">
        <f>SUM(TAB_SAIDA[[#This Row],[20/05/2019]:[00/00/00]])</f>
        <v>9</v>
      </c>
      <c r="F1001" s="3"/>
      <c r="RZ1001" s="3">
        <v>5</v>
      </c>
      <c r="SF1001" s="3">
        <v>1</v>
      </c>
      <c r="TL1001" s="3">
        <v>2</v>
      </c>
      <c r="WV1001" s="3">
        <v>1</v>
      </c>
    </row>
    <row r="1002" spans="1:620" ht="15" hidden="1" customHeight="1" x14ac:dyDescent="0.25">
      <c r="A1002" s="5" t="s">
        <v>2659</v>
      </c>
      <c r="B1002" s="14" t="str">
        <f>VLOOKUP(TAB_SAIDA[[#This Row],[COD_2_SAIDA]],TAB_ESTOQUE[[Codigo]:[Descrição Tecnica]],6,FALSE)</f>
        <v>LIXA D'AGUA 600</v>
      </c>
      <c r="C1002" s="14">
        <f>IFERROR(VLOOKUP(TAB_SAIDA[[#This Row],[COD_2_SAIDA]],TAB_ESTOQUE[[Codigo]:[Referência Tec]],7,FALSE),"")</f>
        <v>0</v>
      </c>
      <c r="D1002" s="14" t="str">
        <f>VLOOKUP(TAB_SAIDA[[#This Row],[COD_2_SAIDA]],TAB_ESTOQUE[[Codigo]:[Endereço2]],12,FALSE)</f>
        <v>D1103</v>
      </c>
      <c r="E1002" s="81">
        <f>SUM(TAB_SAIDA[[#This Row],[20/05/2019]:[00/00/00]])</f>
        <v>6</v>
      </c>
      <c r="F1002" s="3"/>
      <c r="RZ1002" s="3">
        <v>5</v>
      </c>
      <c r="SN1002" s="3">
        <v>1</v>
      </c>
    </row>
    <row r="1003" spans="1:620" ht="15" hidden="1" customHeight="1" x14ac:dyDescent="0.25">
      <c r="A1003" s="5" t="s">
        <v>2660</v>
      </c>
      <c r="B1003" s="14" t="str">
        <f>VLOOKUP(TAB_SAIDA[[#This Row],[COD_2_SAIDA]],TAB_ESTOQUE[[Codigo]:[Descrição Tecnica]],6,FALSE)</f>
        <v>ADITIVO PLASTICO DOP</v>
      </c>
      <c r="C1003" s="14">
        <f>IFERROR(VLOOKUP(TAB_SAIDA[[#This Row],[COD_2_SAIDA]],TAB_ESTOQUE[[Codigo]:[Referência Tec]],7,FALSE),"")</f>
        <v>0</v>
      </c>
      <c r="D1003" s="14" t="str">
        <f>VLOOKUP(TAB_SAIDA[[#This Row],[COD_2_SAIDA]],TAB_ESTOQUE[[Codigo]:[Endereço2]],12,FALSE)</f>
        <v>QUIMICO</v>
      </c>
      <c r="E1003" s="81">
        <f>SUM(TAB_SAIDA[[#This Row],[20/05/2019]:[00/00/00]])</f>
        <v>0</v>
      </c>
      <c r="F1003" s="3"/>
    </row>
    <row r="1004" spans="1:620" ht="15" hidden="1" customHeight="1" x14ac:dyDescent="0.25">
      <c r="A1004" s="5" t="s">
        <v>2661</v>
      </c>
      <c r="B1004" s="14" t="str">
        <f>VLOOKUP(TAB_SAIDA[[#This Row],[COD_2_SAIDA]],TAB_ESTOQUE[[Codigo]:[Descrição Tecnica]],6,FALSE)</f>
        <v>OLEO ALL HLP 32</v>
      </c>
      <c r="C1004" s="14">
        <f>IFERROR(VLOOKUP(TAB_SAIDA[[#This Row],[COD_2_SAIDA]],TAB_ESTOQUE[[Codigo]:[Referência Tec]],7,FALSE),"")</f>
        <v>0</v>
      </c>
      <c r="D1004" s="14" t="str">
        <f>VLOOKUP(TAB_SAIDA[[#This Row],[COD_2_SAIDA]],TAB_ESTOQUE[[Codigo]:[Endereço2]],12,FALSE)</f>
        <v>QUIMICO</v>
      </c>
      <c r="E1004" s="81">
        <f>SUM(TAB_SAIDA[[#This Row],[20/05/2019]:[00/00/00]])</f>
        <v>20</v>
      </c>
      <c r="F1004" s="3"/>
      <c r="TD1004" s="3">
        <v>10</v>
      </c>
      <c r="UL1004" s="3">
        <v>10</v>
      </c>
    </row>
    <row r="1005" spans="1:620" ht="15" hidden="1" customHeight="1" x14ac:dyDescent="0.25">
      <c r="A1005" s="5" t="s">
        <v>2662</v>
      </c>
      <c r="B1005" s="14" t="str">
        <f>VLOOKUP(TAB_SAIDA[[#This Row],[COD_2_SAIDA]],TAB_ESTOQUE[[Codigo]:[Descrição Tecnica]],6,FALSE)</f>
        <v xml:space="preserve">OLEO DIESEL </v>
      </c>
      <c r="C1005" s="14">
        <f>IFERROR(VLOOKUP(TAB_SAIDA[[#This Row],[COD_2_SAIDA]],TAB_ESTOQUE[[Codigo]:[Referência Tec]],7,FALSE),"")</f>
        <v>0</v>
      </c>
      <c r="D1005" s="14" t="str">
        <f>VLOOKUP(TAB_SAIDA[[#This Row],[COD_2_SAIDA]],TAB_ESTOQUE[[Codigo]:[Endereço2]],12,FALSE)</f>
        <v>QUIMICO</v>
      </c>
      <c r="E1005" s="81">
        <f>SUM(TAB_SAIDA[[#This Row],[20/05/2019]:[00/00/00]])</f>
        <v>180</v>
      </c>
      <c r="F1005" s="3"/>
      <c r="UR1005" s="3">
        <v>40</v>
      </c>
      <c r="UV1005" s="3">
        <v>50</v>
      </c>
      <c r="VC1005" s="3">
        <v>10</v>
      </c>
      <c r="VJ1005" s="3">
        <v>80</v>
      </c>
    </row>
    <row r="1006" spans="1:620" ht="15" hidden="1" customHeight="1" x14ac:dyDescent="0.25">
      <c r="A1006" s="5" t="s">
        <v>2663</v>
      </c>
      <c r="B1006" s="14" t="str">
        <f>VLOOKUP(TAB_SAIDA[[#This Row],[COD_2_SAIDA]],TAB_ESTOQUE[[Codigo]:[Descrição Tecnica]],6,FALSE)</f>
        <v>ROLAMENTO R6Z</v>
      </c>
      <c r="C1006" s="14">
        <f>IFERROR(VLOOKUP(TAB_SAIDA[[#This Row],[COD_2_SAIDA]],TAB_ESTOQUE[[Codigo]:[Referência Tec]],7,FALSE),"")</f>
        <v>0</v>
      </c>
      <c r="D1006" s="14" t="str">
        <f>VLOOKUP(TAB_SAIDA[[#This Row],[COD_2_SAIDA]],TAB_ESTOQUE[[Codigo]:[Endereço2]],12,FALSE)</f>
        <v>D2103</v>
      </c>
      <c r="E1006" s="81">
        <f>SUM(TAB_SAIDA[[#This Row],[20/05/2019]:[00/00/00]])</f>
        <v>0</v>
      </c>
      <c r="F1006" s="3"/>
    </row>
    <row r="1007" spans="1:620" ht="15" hidden="1" customHeight="1" x14ac:dyDescent="0.25">
      <c r="A1007" s="5" t="s">
        <v>2664</v>
      </c>
      <c r="B1007" s="14" t="str">
        <f>VLOOKUP(TAB_SAIDA[[#This Row],[COD_2_SAIDA]],TAB_ESTOQUE[[Codigo]:[Descrição Tecnica]],6,FALSE)</f>
        <v>CAPA DE AR DO BICO ROBO DE COLA AIRPRO 1,4MM GR-289773</v>
      </c>
      <c r="C1007" s="14">
        <f>IFERROR(VLOOKUP(TAB_SAIDA[[#This Row],[COD_2_SAIDA]],TAB_ESTOQUE[[Codigo]:[Referência Tec]],7,FALSE),"")</f>
        <v>0</v>
      </c>
      <c r="D1007" s="14" t="str">
        <f>VLOOKUP(TAB_SAIDA[[#This Row],[COD_2_SAIDA]],TAB_ESTOQUE[[Codigo]:[Endereço2]],12,FALSE)</f>
        <v>E2303</v>
      </c>
      <c r="E1007" s="81">
        <f>SUM(TAB_SAIDA[[#This Row],[20/05/2019]:[00/00/00]])</f>
        <v>2</v>
      </c>
      <c r="F1007" s="3"/>
      <c r="UX1007" s="3">
        <v>2</v>
      </c>
    </row>
    <row r="1008" spans="1:620" ht="15" hidden="1" customHeight="1" x14ac:dyDescent="0.25">
      <c r="A1008" s="5" t="s">
        <v>2665</v>
      </c>
      <c r="B1008" s="15" t="str">
        <f>VLOOKUP(TAB_SAIDA[[#This Row],[COD_2_SAIDA]],TAB_ESTOQUE[[Codigo]:[Descrição Tecnica]],6,FALSE)</f>
        <v>RELE MINIATURA RXM4AB2BD 24VDC  IEC 61810-1  (SCHNEIDER)</v>
      </c>
      <c r="C1008" s="15">
        <f>IFERROR(VLOOKUP(TAB_SAIDA[[#This Row],[COD_2_SAIDA]],TAB_ESTOQUE[[Codigo]:[Referência Tec]],7,FALSE),"")</f>
        <v>0</v>
      </c>
      <c r="D1008" s="15" t="str">
        <f>VLOOKUP(TAB_SAIDA[[#This Row],[COD_2_SAIDA]],TAB_ESTOQUE[[Codigo]:[Endereço2]],12,FALSE)</f>
        <v>A1304</v>
      </c>
      <c r="E1008" s="81">
        <f>SUM(TAB_SAIDA[[#This Row],[20/05/2019]:[00/00/00]])</f>
        <v>0</v>
      </c>
      <c r="F1008" s="3"/>
    </row>
    <row r="1009" spans="1:631" ht="15" hidden="1" customHeight="1" x14ac:dyDescent="0.25">
      <c r="A1009" s="5" t="s">
        <v>2666</v>
      </c>
      <c r="B1009" s="15" t="str">
        <f>VLOOKUP(TAB_SAIDA[[#This Row],[COD_2_SAIDA]],TAB_ESTOQUE[[Codigo]:[Descrição Tecnica]],6,FALSE)</f>
        <v>RELE FINDER DE DUPLO CONTATO S/BASE TIPO 40.52 8A 250V 24V DC</v>
      </c>
      <c r="C1009" s="15">
        <f>IFERROR(VLOOKUP(TAB_SAIDA[[#This Row],[COD_2_SAIDA]],TAB_ESTOQUE[[Codigo]:[Referência Tec]],7,FALSE),"")</f>
        <v>0</v>
      </c>
      <c r="D1009" s="15" t="str">
        <f>VLOOKUP(TAB_SAIDA[[#This Row],[COD_2_SAIDA]],TAB_ESTOQUE[[Codigo]:[Endereço2]],12,FALSE)</f>
        <v>A1304</v>
      </c>
      <c r="E1009" s="81">
        <f>SUM(TAB_SAIDA[[#This Row],[20/05/2019]:[00/00/00]])</f>
        <v>28</v>
      </c>
      <c r="F1009" s="3"/>
      <c r="SX1009" s="3">
        <v>3</v>
      </c>
      <c r="TF1009" s="3">
        <v>3</v>
      </c>
      <c r="VG1009" s="3">
        <v>5</v>
      </c>
      <c r="VX1009" s="3">
        <v>4</v>
      </c>
      <c r="VZ1009" s="3">
        <v>2</v>
      </c>
      <c r="WB1009" s="3">
        <v>6</v>
      </c>
      <c r="WE1009" s="3">
        <v>5</v>
      </c>
    </row>
    <row r="1010" spans="1:631" ht="15" hidden="1" customHeight="1" x14ac:dyDescent="0.25">
      <c r="A1010" s="5" t="s">
        <v>2667</v>
      </c>
      <c r="B1010" s="15" t="str">
        <f>VLOOKUP(TAB_SAIDA[[#This Row],[COD_2_SAIDA]],TAB_ESTOQUE[[Codigo]:[Descrição Tecnica]],6,FALSE)</f>
        <v>ANTE-RESPINGO SPRAY BASE H2O WURTH</v>
      </c>
      <c r="C1010" s="15">
        <f>IFERROR(VLOOKUP(TAB_SAIDA[[#This Row],[COD_2_SAIDA]],TAB_ESTOQUE[[Codigo]:[Referência Tec]],7,FALSE),"")</f>
        <v>0</v>
      </c>
      <c r="D1010" s="15" t="str">
        <f>VLOOKUP(TAB_SAIDA[[#This Row],[COD_2_SAIDA]],TAB_ESTOQUE[[Codigo]:[Endereço2]],12,FALSE)</f>
        <v>ARMARIO</v>
      </c>
      <c r="E1010" s="81">
        <f>SUM(TAB_SAIDA[[#This Row],[20/05/2019]:[00/00/00]])</f>
        <v>0</v>
      </c>
      <c r="F1010" s="3"/>
    </row>
    <row r="1011" spans="1:631" ht="15" hidden="1" customHeight="1" x14ac:dyDescent="0.25">
      <c r="A1011" s="5" t="s">
        <v>2668</v>
      </c>
      <c r="B1011" s="15" t="str">
        <f>VLOOKUP(TAB_SAIDA[[#This Row],[COD_2_SAIDA]],TAB_ESTOQUE[[Codigo]:[Descrição Tecnica]],6,FALSE)</f>
        <v>FITA AUTO ADESIVA 3MM X 50MM X 20M VIDOFLEX (ISOLAMENTO)</v>
      </c>
      <c r="C1011" s="15">
        <f>IFERROR(VLOOKUP(TAB_SAIDA[[#This Row],[COD_2_SAIDA]],TAB_ESTOQUE[[Codigo]:[Referência Tec]],7,FALSE),"")</f>
        <v>0</v>
      </c>
      <c r="D1011" s="15" t="str">
        <f>VLOOKUP(TAB_SAIDA[[#This Row],[COD_2_SAIDA]],TAB_ESTOQUE[[Codigo]:[Endereço2]],12,FALSE)</f>
        <v>E1103</v>
      </c>
      <c r="E1011" s="81">
        <f>SUM(TAB_SAIDA[[#This Row],[20/05/2019]:[00/00/00]])</f>
        <v>0</v>
      </c>
      <c r="F1011" s="3"/>
    </row>
    <row r="1012" spans="1:631" ht="15" hidden="1" customHeight="1" x14ac:dyDescent="0.25">
      <c r="A1012" s="5" t="s">
        <v>2669</v>
      </c>
      <c r="B1012" s="15" t="str">
        <f>VLOOKUP(TAB_SAIDA[[#This Row],[COD_2_SAIDA]],TAB_ESTOQUE[[Codigo]:[Descrição Tecnica]],6,FALSE)</f>
        <v>ACOPLAMENTO STECK N4276 32A-6H / 380-440V VERMELHO</v>
      </c>
      <c r="C1012" s="15">
        <f>IFERROR(VLOOKUP(TAB_SAIDA[[#This Row],[COD_2_SAIDA]],TAB_ESTOQUE[[Codigo]:[Referência Tec]],7,FALSE),"")</f>
        <v>0</v>
      </c>
      <c r="D1012" s="15" t="str">
        <f>VLOOKUP(TAB_SAIDA[[#This Row],[COD_2_SAIDA]],TAB_ESTOQUE[[Codigo]:[Endereço2]],12,FALSE)</f>
        <v>A2404</v>
      </c>
      <c r="E1012" s="81">
        <f>SUM(TAB_SAIDA[[#This Row],[20/05/2019]:[00/00/00]])</f>
        <v>1</v>
      </c>
      <c r="F1012" s="3"/>
      <c r="VN1012" s="3">
        <v>1</v>
      </c>
    </row>
    <row r="1013" spans="1:631" ht="15" hidden="1" customHeight="1" x14ac:dyDescent="0.25">
      <c r="A1013" s="5" t="s">
        <v>2670</v>
      </c>
      <c r="B1013" s="15" t="str">
        <f>VLOOKUP(TAB_SAIDA[[#This Row],[COD_2_SAIDA]],TAB_ESTOQUE[[Codigo]:[Descrição Tecnica]],6,FALSE)</f>
        <v>CABO USB to RS-232, 4-PIN M8 cable (2 m) DSL-8U04G2M025KM1 SICK</v>
      </c>
      <c r="C1013" s="15">
        <f>IFERROR(VLOOKUP(TAB_SAIDA[[#This Row],[COD_2_SAIDA]],TAB_ESTOQUE[[Codigo]:[Referência Tec]],7,FALSE),"")</f>
        <v>0</v>
      </c>
      <c r="D1013" s="15" t="str">
        <f>VLOOKUP(TAB_SAIDA[[#This Row],[COD_2_SAIDA]],TAB_ESTOQUE[[Codigo]:[Endereço2]],12,FALSE)</f>
        <v>A2102</v>
      </c>
      <c r="E1013" s="81">
        <f>SUM(TAB_SAIDA[[#This Row],[20/05/2019]:[00/00/00]])</f>
        <v>0</v>
      </c>
      <c r="F1013" s="3"/>
    </row>
    <row r="1014" spans="1:631" ht="15" hidden="1" customHeight="1" x14ac:dyDescent="0.25">
      <c r="A1014" s="5" t="s">
        <v>2671</v>
      </c>
      <c r="B1014" s="15" t="str">
        <f>VLOOKUP(TAB_SAIDA[[#This Row],[COD_2_SAIDA]],TAB_ESTOQUE[[Codigo]:[Descrição Tecnica]],6,FALSE)</f>
        <v>IHM MT8071iE S/N: 1811280946 24VDC+- 20% 450mA  (WEINTEK)</v>
      </c>
      <c r="C1014" s="15">
        <f>IFERROR(VLOOKUP(TAB_SAIDA[[#This Row],[COD_2_SAIDA]],TAB_ESTOQUE[[Codigo]:[Referência Tec]],7,FALSE),"")</f>
        <v>0</v>
      </c>
      <c r="D1014" s="15" t="str">
        <f>VLOOKUP(TAB_SAIDA[[#This Row],[COD_2_SAIDA]],TAB_ESTOQUE[[Codigo]:[Endereço2]],12,FALSE)</f>
        <v>A2102</v>
      </c>
      <c r="E1014" s="81">
        <f>SUM(TAB_SAIDA[[#This Row],[20/05/2019]:[00/00/00]])</f>
        <v>0</v>
      </c>
      <c r="F1014" s="3"/>
    </row>
    <row r="1015" spans="1:631" ht="15" hidden="1" customHeight="1" x14ac:dyDescent="0.25">
      <c r="A1015" s="5" t="s">
        <v>2672</v>
      </c>
      <c r="B1015" s="15" t="str">
        <f>VLOOKUP(TAB_SAIDA[[#This Row],[COD_2_SAIDA]],TAB_ESTOQUE[[Codigo]:[Descrição Tecnica]],6,FALSE)</f>
        <v>ACOPLAMENTO ROSCA 1/4 PARA SENSOR TIPO SONDA PT100 8MM</v>
      </c>
      <c r="C1015" s="15">
        <f>IFERROR(VLOOKUP(TAB_SAIDA[[#This Row],[COD_2_SAIDA]],TAB_ESTOQUE[[Codigo]:[Referência Tec]],7,FALSE),"")</f>
        <v>0</v>
      </c>
      <c r="D1015" s="15" t="str">
        <f>VLOOKUP(TAB_SAIDA[[#This Row],[COD_2_SAIDA]],TAB_ESTOQUE[[Codigo]:[Endereço2]],12,FALSE)</f>
        <v>A2301</v>
      </c>
      <c r="E1015" s="81">
        <f>SUM(TAB_SAIDA[[#This Row],[20/05/2019]:[00/00/00]])</f>
        <v>1</v>
      </c>
      <c r="F1015" s="3"/>
      <c r="WM1015" s="3">
        <v>1</v>
      </c>
    </row>
    <row r="1016" spans="1:631" ht="15" hidden="1" customHeight="1" x14ac:dyDescent="0.25">
      <c r="A1016" s="5" t="s">
        <v>2673</v>
      </c>
      <c r="B1016" s="15" t="str">
        <f>VLOOKUP(TAB_SAIDA[[#This Row],[COD_2_SAIDA]],TAB_ESTOQUE[[Codigo]:[Descrição Tecnica]],6,FALSE)</f>
        <v>SENSOR PT100 TIPO BAIONETA 3 FIOS 8X150mm C/ CABO 2000mm FIBRA C/TRAÇA</v>
      </c>
      <c r="C1016" s="15">
        <f>IFERROR(VLOOKUP(TAB_SAIDA[[#This Row],[COD_2_SAIDA]],TAB_ESTOQUE[[Codigo]:[Referência Tec]],7,FALSE),"")</f>
        <v>0</v>
      </c>
      <c r="D1016" s="15" t="str">
        <f>VLOOKUP(TAB_SAIDA[[#This Row],[COD_2_SAIDA]],TAB_ESTOQUE[[Codigo]:[Endereço2]],12,FALSE)</f>
        <v>A2301</v>
      </c>
      <c r="E1016" s="81">
        <f>SUM(TAB_SAIDA[[#This Row],[20/05/2019]:[00/00/00]])</f>
        <v>7</v>
      </c>
      <c r="F1016" s="3"/>
      <c r="VK1016" s="3">
        <v>1</v>
      </c>
      <c r="VN1016" s="3">
        <v>2</v>
      </c>
      <c r="VU1016" s="3">
        <v>3</v>
      </c>
      <c r="VZ1016" s="3">
        <v>1</v>
      </c>
    </row>
    <row r="1017" spans="1:631" ht="15" hidden="1" customHeight="1" x14ac:dyDescent="0.25">
      <c r="A1017" s="5" t="s">
        <v>2674</v>
      </c>
      <c r="B1017" s="15" t="str">
        <f>VLOOKUP(TAB_SAIDA[[#This Row],[COD_2_SAIDA]],TAB_ESTOQUE[[Codigo]:[Descrição Tecnica]],6,FALSE)</f>
        <v>ABRAÇADEIRA 210</v>
      </c>
      <c r="C1017" s="15">
        <f>IFERROR(VLOOKUP(TAB_SAIDA[[#This Row],[COD_2_SAIDA]],TAB_ESTOQUE[[Codigo]:[Referência Tec]],7,FALSE),"")</f>
        <v>0</v>
      </c>
      <c r="D1017" s="15" t="str">
        <f>VLOOKUP(TAB_SAIDA[[#This Row],[COD_2_SAIDA]],TAB_ESTOQUE[[Codigo]:[Endereço2]],12,FALSE)</f>
        <v>F1403</v>
      </c>
      <c r="E1017" s="81">
        <f>SUM(TAB_SAIDA[[#This Row],[20/05/2019]:[00/00/00]])</f>
        <v>0</v>
      </c>
      <c r="F1017" s="3"/>
    </row>
    <row r="1018" spans="1:631" ht="15" hidden="1" customHeight="1" x14ac:dyDescent="0.25">
      <c r="A1018" s="5" t="s">
        <v>2675</v>
      </c>
      <c r="B1018" s="15" t="str">
        <f>VLOOKUP(TAB_SAIDA[[#This Row],[COD_2_SAIDA]],TAB_ESTOQUE[[Codigo]:[Descrição Tecnica]],6,FALSE)</f>
        <v>RELE DE SEGURANÇA FX3-XTI084002 IDENT:1044125 (SICK)</v>
      </c>
      <c r="C1018" s="15">
        <f>IFERROR(VLOOKUP(TAB_SAIDA[[#This Row],[COD_2_SAIDA]],TAB_ESTOQUE[[Codigo]:[Referência Tec]],7,FALSE),"")</f>
        <v>0</v>
      </c>
      <c r="D1018" s="15" t="str">
        <f>VLOOKUP(TAB_SAIDA[[#This Row],[COD_2_SAIDA]],TAB_ESTOQUE[[Codigo]:[Endereço2]],12,FALSE)</f>
        <v>B1205</v>
      </c>
      <c r="E1018" s="81">
        <f>SUM(TAB_SAIDA[[#This Row],[20/05/2019]:[00/00/00]])</f>
        <v>0</v>
      </c>
      <c r="F1018" s="3"/>
    </row>
    <row r="1019" spans="1:631" ht="15" hidden="1" customHeight="1" x14ac:dyDescent="0.25">
      <c r="A1019" s="5" t="s">
        <v>2676</v>
      </c>
      <c r="B1019" s="15" t="str">
        <f>VLOOKUP(TAB_SAIDA[[#This Row],[COD_2_SAIDA]],TAB_ESTOQUE[[Codigo]:[Descrição Tecnica]],6,FALSE)</f>
        <v xml:space="preserve"> ROLO CABO  PT-100</v>
      </c>
      <c r="C1019" s="15">
        <f>IFERROR(VLOOKUP(TAB_SAIDA[[#This Row],[COD_2_SAIDA]],TAB_ESTOQUE[[Codigo]:[Referência Tec]],7,FALSE),"")</f>
        <v>0</v>
      </c>
      <c r="D1019" s="15" t="str">
        <f>VLOOKUP(TAB_SAIDA[[#This Row],[COD_2_SAIDA]],TAB_ESTOQUE[[Codigo]:[Endereço2]],12,FALSE)</f>
        <v>A2301</v>
      </c>
      <c r="E1019" s="81">
        <f>SUM(TAB_SAIDA[[#This Row],[20/05/2019]:[00/00/00]])</f>
        <v>0</v>
      </c>
      <c r="F1019" s="3"/>
    </row>
    <row r="1020" spans="1:631" s="186" customFormat="1" ht="15" hidden="1" customHeight="1" x14ac:dyDescent="0.25">
      <c r="A1020" s="189" t="s">
        <v>2677</v>
      </c>
      <c r="B1020" s="190" t="str">
        <f>VLOOKUP(TAB_SAIDA[[#This Row],[COD_2_SAIDA]],TAB_ESTOQUE[[Codigo]:[Descrição Tecnica]],6,FALSE)</f>
        <v>BOTAO SCHMERSAL CLP110 + CLP101 + PLACA EMERG</v>
      </c>
      <c r="C1020" s="190">
        <f>IFERROR(VLOOKUP(TAB_SAIDA[[#This Row],[COD_2_SAIDA]],TAB_ESTOQUE[[Codigo]:[Referência Tec]],7,FALSE),"")</f>
        <v>0</v>
      </c>
      <c r="D1020" s="190" t="str">
        <f>VLOOKUP(TAB_SAIDA[[#This Row],[COD_2_SAIDA]],TAB_ESTOQUE[[Codigo]:[Endereço2]],12,FALSE)</f>
        <v>A2304</v>
      </c>
      <c r="E1020" s="191">
        <f>SUM(TAB_SAIDA[[#This Row],[20/05/2019]:[00/00/00]])</f>
        <v>0</v>
      </c>
      <c r="F1020" s="192"/>
      <c r="G1020" s="192"/>
      <c r="H1020" s="192"/>
      <c r="I1020" s="192"/>
      <c r="J1020" s="192"/>
      <c r="K1020" s="192"/>
      <c r="L1020" s="192"/>
      <c r="M1020" s="192"/>
      <c r="N1020" s="192"/>
      <c r="O1020" s="192"/>
      <c r="P1020" s="192"/>
      <c r="Q1020" s="192"/>
      <c r="R1020" s="192"/>
      <c r="S1020" s="192"/>
      <c r="T1020" s="192"/>
      <c r="U1020" s="192"/>
      <c r="V1020" s="192"/>
      <c r="W1020" s="192"/>
      <c r="X1020" s="192"/>
      <c r="Y1020" s="192"/>
      <c r="Z1020" s="192"/>
      <c r="AA1020" s="192"/>
      <c r="AB1020" s="192"/>
      <c r="AC1020" s="192"/>
      <c r="AD1020" s="192"/>
      <c r="AE1020" s="192"/>
      <c r="AF1020" s="192"/>
      <c r="AG1020" s="192"/>
      <c r="AH1020" s="192"/>
      <c r="AI1020" s="192"/>
      <c r="AJ1020" s="192"/>
      <c r="AK1020" s="192"/>
      <c r="AL1020" s="192"/>
      <c r="AM1020" s="192"/>
      <c r="AN1020" s="192"/>
      <c r="AO1020" s="192"/>
      <c r="AP1020" s="192"/>
      <c r="AQ1020" s="192"/>
      <c r="AR1020" s="192"/>
      <c r="AS1020" s="192"/>
      <c r="AT1020" s="192"/>
      <c r="AU1020" s="192"/>
      <c r="AV1020" s="192"/>
      <c r="AW1020" s="192"/>
      <c r="AX1020" s="192"/>
      <c r="AY1020" s="192"/>
      <c r="AZ1020" s="192"/>
      <c r="BA1020" s="192"/>
      <c r="BB1020" s="192"/>
      <c r="BC1020" s="192"/>
      <c r="BD1020" s="192"/>
      <c r="BE1020" s="192"/>
      <c r="BF1020" s="192"/>
      <c r="BG1020" s="192"/>
      <c r="BH1020" s="193"/>
      <c r="BI1020" s="192"/>
      <c r="BJ1020" s="192"/>
      <c r="BK1020" s="192"/>
      <c r="BL1020" s="192"/>
      <c r="BM1020" s="192"/>
      <c r="BN1020" s="192"/>
      <c r="BO1020" s="192"/>
      <c r="BP1020" s="192"/>
      <c r="BQ1020" s="192"/>
      <c r="BR1020" s="192"/>
      <c r="BS1020" s="192"/>
      <c r="BT1020" s="192"/>
      <c r="BU1020" s="192"/>
      <c r="BV1020" s="192"/>
      <c r="BW1020" s="192"/>
      <c r="BX1020" s="192"/>
      <c r="BY1020" s="192"/>
      <c r="BZ1020" s="192"/>
      <c r="CA1020" s="192"/>
      <c r="CB1020" s="192"/>
      <c r="CC1020" s="192"/>
      <c r="CD1020" s="192"/>
      <c r="CE1020" s="192"/>
      <c r="CF1020" s="192"/>
      <c r="CG1020" s="192"/>
      <c r="CH1020" s="192"/>
      <c r="CI1020" s="192"/>
      <c r="CJ1020" s="192"/>
      <c r="CK1020" s="192"/>
      <c r="CL1020" s="192"/>
      <c r="CM1020" s="192"/>
      <c r="CN1020" s="192"/>
      <c r="CO1020" s="192"/>
      <c r="CP1020" s="192"/>
      <c r="CQ1020" s="192"/>
      <c r="CR1020" s="192"/>
      <c r="CS1020" s="192"/>
      <c r="CT1020" s="192"/>
      <c r="CU1020" s="192"/>
      <c r="CV1020" s="192"/>
      <c r="CW1020" s="192"/>
      <c r="CX1020" s="192"/>
      <c r="CY1020" s="192"/>
      <c r="CZ1020" s="192"/>
      <c r="DA1020" s="192"/>
      <c r="DB1020" s="192"/>
      <c r="DC1020" s="192"/>
      <c r="DD1020" s="192"/>
      <c r="DE1020" s="192"/>
      <c r="DF1020" s="192"/>
      <c r="DG1020" s="192"/>
      <c r="DH1020" s="192"/>
      <c r="DI1020" s="192"/>
      <c r="DJ1020" s="192"/>
      <c r="DK1020" s="192"/>
      <c r="DL1020" s="192"/>
      <c r="DM1020" s="192"/>
      <c r="DN1020" s="192"/>
      <c r="DO1020" s="192"/>
      <c r="DP1020" s="192"/>
      <c r="DQ1020" s="192"/>
      <c r="DR1020" s="192"/>
      <c r="DS1020" s="192"/>
      <c r="DT1020" s="192"/>
      <c r="DU1020" s="192"/>
      <c r="DV1020" s="192"/>
      <c r="DW1020" s="192"/>
      <c r="DX1020" s="192"/>
      <c r="DY1020" s="192"/>
      <c r="DZ1020" s="192"/>
      <c r="EA1020" s="192"/>
      <c r="EB1020" s="192"/>
      <c r="EC1020" s="192"/>
      <c r="ED1020" s="192"/>
      <c r="EE1020" s="192"/>
      <c r="EF1020" s="192"/>
      <c r="EG1020" s="192"/>
      <c r="EH1020" s="192"/>
      <c r="EI1020" s="192"/>
      <c r="EJ1020" s="192"/>
      <c r="EK1020" s="192"/>
      <c r="EL1020" s="192"/>
      <c r="EM1020" s="192"/>
      <c r="EN1020" s="192"/>
      <c r="EO1020" s="192"/>
      <c r="EP1020" s="192"/>
      <c r="EQ1020" s="192"/>
      <c r="ER1020" s="192"/>
      <c r="ES1020" s="192"/>
      <c r="ET1020" s="192"/>
      <c r="EU1020" s="192"/>
      <c r="EV1020" s="192"/>
      <c r="EW1020" s="192"/>
      <c r="EX1020" s="192"/>
      <c r="EY1020" s="192"/>
      <c r="EZ1020" s="192"/>
      <c r="FA1020" s="192"/>
      <c r="FB1020" s="192"/>
      <c r="FC1020" s="192"/>
      <c r="FD1020" s="192"/>
      <c r="FE1020" s="192"/>
      <c r="FF1020" s="192"/>
      <c r="FG1020" s="192"/>
      <c r="FH1020" s="192"/>
      <c r="FI1020" s="192"/>
      <c r="FJ1020" s="192"/>
      <c r="FK1020" s="192"/>
      <c r="FL1020" s="192"/>
      <c r="FM1020" s="192"/>
      <c r="FN1020" s="192"/>
      <c r="FO1020" s="192"/>
      <c r="FP1020" s="192"/>
      <c r="FQ1020" s="192"/>
      <c r="FR1020" s="192"/>
      <c r="FS1020" s="192"/>
      <c r="FT1020" s="192"/>
      <c r="FU1020" s="192"/>
      <c r="FV1020" s="192"/>
      <c r="FW1020" s="192"/>
      <c r="FX1020" s="192"/>
      <c r="FY1020" s="192"/>
      <c r="FZ1020" s="192"/>
      <c r="GA1020" s="192"/>
      <c r="GB1020" s="192"/>
      <c r="GC1020" s="192"/>
      <c r="GD1020" s="192"/>
      <c r="GE1020" s="192"/>
      <c r="GF1020" s="192"/>
      <c r="GG1020" s="192"/>
      <c r="GH1020" s="192"/>
      <c r="GI1020" s="192"/>
      <c r="GJ1020" s="192"/>
      <c r="GK1020" s="192"/>
      <c r="GL1020" s="192"/>
      <c r="GM1020" s="192"/>
      <c r="GN1020" s="192"/>
      <c r="GO1020" s="192"/>
      <c r="GP1020" s="192"/>
      <c r="GQ1020" s="192"/>
      <c r="GR1020" s="192"/>
      <c r="GS1020" s="192"/>
      <c r="GT1020" s="192"/>
      <c r="GU1020" s="192"/>
      <c r="GV1020" s="192"/>
      <c r="GW1020" s="192"/>
      <c r="GX1020" s="192"/>
      <c r="GY1020" s="192"/>
      <c r="GZ1020" s="192"/>
      <c r="HA1020" s="192"/>
      <c r="HB1020" s="192"/>
      <c r="HC1020" s="192"/>
      <c r="HD1020" s="192"/>
      <c r="HE1020" s="192"/>
      <c r="HF1020" s="192"/>
      <c r="HG1020" s="192"/>
      <c r="HH1020" s="192"/>
      <c r="HI1020" s="192"/>
      <c r="HJ1020" s="192"/>
      <c r="HK1020" s="192"/>
      <c r="HL1020" s="192"/>
      <c r="HM1020" s="192"/>
      <c r="HN1020" s="192"/>
      <c r="HO1020" s="192"/>
      <c r="HP1020" s="192"/>
      <c r="HQ1020" s="192"/>
      <c r="HR1020" s="192"/>
      <c r="HS1020" s="192"/>
      <c r="HT1020" s="192"/>
      <c r="HU1020" s="192"/>
      <c r="HV1020" s="192"/>
      <c r="HW1020" s="192"/>
      <c r="HX1020" s="192"/>
      <c r="HY1020" s="192"/>
      <c r="HZ1020" s="192"/>
      <c r="IA1020" s="192"/>
      <c r="IB1020" s="192"/>
      <c r="IC1020" s="192"/>
      <c r="ID1020" s="192"/>
      <c r="IE1020" s="192"/>
      <c r="IF1020" s="192"/>
      <c r="IG1020" s="192"/>
      <c r="IH1020" s="192"/>
      <c r="II1020" s="192"/>
      <c r="IJ1020" s="192"/>
      <c r="IK1020" s="192"/>
      <c r="IL1020" s="192"/>
      <c r="IM1020" s="192"/>
      <c r="IN1020" s="192"/>
      <c r="IO1020" s="192"/>
      <c r="IP1020" s="192"/>
      <c r="IQ1020" s="192"/>
      <c r="IR1020" s="192"/>
      <c r="IS1020" s="192"/>
      <c r="IT1020" s="192"/>
      <c r="IU1020" s="192"/>
      <c r="IV1020" s="192"/>
      <c r="IW1020" s="192"/>
      <c r="IX1020" s="192"/>
      <c r="IY1020" s="192"/>
      <c r="IZ1020" s="192"/>
      <c r="JA1020" s="192"/>
      <c r="JB1020" s="192"/>
      <c r="JC1020" s="192"/>
      <c r="JD1020" s="192"/>
      <c r="JE1020" s="192"/>
      <c r="JF1020" s="192"/>
      <c r="JG1020" s="192"/>
      <c r="JH1020" s="192"/>
      <c r="JI1020" s="192"/>
      <c r="JJ1020" s="192"/>
      <c r="JK1020" s="192"/>
      <c r="JL1020" s="192"/>
      <c r="JM1020" s="192"/>
      <c r="JN1020" s="192"/>
      <c r="JO1020" s="192"/>
      <c r="JP1020" s="192"/>
      <c r="JQ1020" s="192"/>
      <c r="JR1020" s="192"/>
      <c r="JS1020" s="192"/>
      <c r="JT1020" s="192"/>
      <c r="JU1020" s="192"/>
      <c r="JV1020" s="192"/>
      <c r="JW1020" s="192"/>
      <c r="JX1020" s="192"/>
      <c r="JY1020" s="192"/>
      <c r="JZ1020" s="192"/>
      <c r="KA1020" s="192"/>
      <c r="KB1020" s="192"/>
      <c r="KC1020" s="192"/>
      <c r="KD1020" s="192"/>
      <c r="KE1020" s="192"/>
      <c r="KF1020" s="192"/>
      <c r="KG1020" s="192"/>
      <c r="KH1020" s="192"/>
      <c r="KI1020" s="192"/>
      <c r="KJ1020" s="192"/>
      <c r="KK1020" s="192"/>
      <c r="KL1020" s="192"/>
      <c r="KM1020" s="192"/>
      <c r="KN1020" s="192"/>
      <c r="KO1020" s="192"/>
      <c r="KP1020" s="192"/>
      <c r="KQ1020" s="192"/>
      <c r="KR1020" s="192"/>
      <c r="KS1020" s="192"/>
      <c r="KT1020" s="192"/>
      <c r="KU1020" s="192"/>
      <c r="KV1020" s="192"/>
      <c r="KW1020" s="192"/>
      <c r="KX1020" s="192"/>
      <c r="KY1020" s="192"/>
      <c r="KZ1020" s="192"/>
      <c r="LA1020" s="192"/>
      <c r="LB1020" s="192"/>
      <c r="LC1020" s="192"/>
      <c r="LD1020" s="192"/>
      <c r="LE1020" s="192"/>
      <c r="LF1020" s="192"/>
      <c r="LG1020" s="192"/>
      <c r="LH1020" s="192"/>
      <c r="LI1020" s="192"/>
      <c r="LJ1020" s="192"/>
      <c r="LK1020" s="192"/>
      <c r="LL1020" s="192"/>
      <c r="LM1020" s="192"/>
      <c r="LN1020" s="192"/>
      <c r="LO1020" s="192"/>
      <c r="LP1020" s="192"/>
      <c r="LQ1020" s="192"/>
      <c r="LR1020" s="192"/>
      <c r="LS1020" s="192"/>
      <c r="LT1020" s="192"/>
      <c r="LU1020" s="192"/>
      <c r="LV1020" s="192"/>
      <c r="LW1020" s="192"/>
      <c r="LX1020" s="192"/>
      <c r="LY1020" s="192"/>
      <c r="LZ1020" s="192"/>
      <c r="MA1020" s="192"/>
      <c r="MB1020" s="192"/>
      <c r="MC1020" s="192"/>
      <c r="MD1020" s="192"/>
      <c r="ME1020" s="192"/>
      <c r="MF1020" s="192"/>
      <c r="MG1020" s="192"/>
      <c r="MH1020" s="192"/>
      <c r="MI1020" s="192"/>
      <c r="MJ1020" s="192"/>
      <c r="MK1020" s="192"/>
      <c r="ML1020" s="192"/>
      <c r="MM1020" s="192"/>
      <c r="MN1020" s="192"/>
      <c r="MO1020" s="192"/>
      <c r="MP1020" s="192"/>
      <c r="MQ1020" s="192"/>
      <c r="MR1020" s="192"/>
      <c r="MS1020" s="192"/>
      <c r="MT1020" s="192"/>
      <c r="MU1020" s="192"/>
      <c r="MV1020" s="192"/>
      <c r="MW1020" s="192"/>
      <c r="MX1020" s="192"/>
      <c r="MY1020" s="192"/>
      <c r="MZ1020" s="192"/>
      <c r="NA1020" s="192"/>
      <c r="NB1020" s="192"/>
      <c r="NC1020" s="192"/>
      <c r="ND1020" s="192"/>
      <c r="NE1020" s="192"/>
      <c r="NF1020" s="192"/>
      <c r="NG1020" s="192"/>
      <c r="NH1020" s="192"/>
      <c r="NI1020" s="192"/>
      <c r="NJ1020" s="192"/>
      <c r="NK1020" s="192"/>
      <c r="NL1020" s="192"/>
      <c r="NM1020" s="192"/>
      <c r="NN1020" s="192"/>
      <c r="NO1020" s="192"/>
      <c r="NP1020" s="192"/>
      <c r="NQ1020" s="192"/>
      <c r="NR1020" s="192"/>
      <c r="NS1020" s="192"/>
      <c r="NT1020" s="192"/>
      <c r="NU1020" s="192"/>
      <c r="NV1020" s="192"/>
      <c r="NW1020" s="192"/>
      <c r="NX1020" s="192"/>
      <c r="NY1020" s="192"/>
      <c r="NZ1020" s="192"/>
      <c r="OA1020" s="192"/>
      <c r="OB1020" s="192"/>
      <c r="OC1020" s="192"/>
      <c r="OD1020" s="192"/>
      <c r="OE1020" s="192"/>
      <c r="OF1020" s="192"/>
      <c r="OG1020" s="192"/>
      <c r="OH1020" s="192"/>
      <c r="OI1020" s="192"/>
      <c r="OJ1020" s="192"/>
      <c r="OK1020" s="192"/>
      <c r="OL1020" s="192"/>
      <c r="OM1020" s="192"/>
      <c r="ON1020" s="192"/>
      <c r="OO1020" s="192"/>
      <c r="OP1020" s="192"/>
      <c r="OQ1020" s="192"/>
      <c r="OR1020" s="192"/>
      <c r="OS1020" s="192"/>
      <c r="OT1020" s="192"/>
      <c r="OU1020" s="192"/>
      <c r="OV1020" s="192"/>
      <c r="OW1020" s="192"/>
      <c r="OX1020" s="192"/>
      <c r="OY1020" s="192"/>
      <c r="OZ1020" s="192"/>
      <c r="PA1020" s="192"/>
      <c r="PB1020" s="192"/>
      <c r="PC1020" s="192"/>
      <c r="PD1020" s="192"/>
      <c r="PE1020" s="192"/>
      <c r="PF1020" s="192"/>
      <c r="PG1020" s="192"/>
      <c r="PH1020" s="192"/>
      <c r="PI1020" s="192"/>
      <c r="PJ1020" s="192"/>
      <c r="PK1020" s="192"/>
      <c r="PL1020" s="192"/>
      <c r="PM1020" s="192"/>
      <c r="PN1020" s="192"/>
      <c r="PO1020" s="192"/>
      <c r="PP1020" s="192"/>
      <c r="PQ1020" s="192"/>
      <c r="PR1020" s="192"/>
      <c r="PS1020" s="192"/>
      <c r="PT1020" s="192"/>
      <c r="PU1020" s="192"/>
      <c r="PV1020" s="192"/>
      <c r="PW1020" s="192"/>
      <c r="PX1020" s="192"/>
      <c r="PY1020" s="192"/>
      <c r="PZ1020" s="192"/>
      <c r="QA1020" s="192"/>
      <c r="QB1020" s="192"/>
      <c r="QC1020" s="192"/>
      <c r="QD1020" s="192"/>
      <c r="QE1020" s="192"/>
      <c r="QF1020" s="192"/>
      <c r="QG1020" s="192"/>
      <c r="QH1020" s="192"/>
      <c r="QI1020" s="192"/>
      <c r="QJ1020" s="192"/>
      <c r="QK1020" s="192"/>
      <c r="QL1020" s="192"/>
      <c r="QM1020" s="192"/>
      <c r="QN1020" s="192"/>
      <c r="QO1020" s="192"/>
      <c r="QP1020" s="192"/>
      <c r="QQ1020" s="192"/>
      <c r="QR1020" s="192"/>
      <c r="QS1020" s="192"/>
      <c r="QT1020" s="192"/>
      <c r="QU1020" s="192"/>
      <c r="QV1020" s="192"/>
      <c r="QW1020" s="192"/>
      <c r="QX1020" s="192"/>
      <c r="QY1020" s="192"/>
      <c r="QZ1020" s="192"/>
      <c r="RA1020" s="192"/>
      <c r="RB1020" s="192"/>
      <c r="RC1020" s="192"/>
      <c r="RD1020" s="192"/>
      <c r="RE1020" s="192"/>
      <c r="RF1020" s="192"/>
      <c r="RG1020" s="192"/>
      <c r="RH1020" s="192"/>
      <c r="RI1020" s="192"/>
      <c r="RJ1020" s="192"/>
      <c r="RK1020" s="192"/>
      <c r="RL1020" s="192"/>
      <c r="RM1020" s="192"/>
      <c r="RN1020" s="192"/>
      <c r="RO1020" s="192"/>
      <c r="RP1020" s="192"/>
      <c r="RQ1020" s="192"/>
      <c r="RR1020" s="192"/>
      <c r="RS1020" s="192"/>
      <c r="RT1020" s="192"/>
      <c r="RU1020" s="192"/>
      <c r="RV1020" s="192"/>
      <c r="RW1020" s="192"/>
      <c r="RX1020" s="192"/>
      <c r="RY1020" s="192"/>
      <c r="RZ1020" s="192"/>
      <c r="SA1020" s="192"/>
      <c r="SB1020" s="192"/>
      <c r="SC1020" s="192"/>
      <c r="SD1020" s="192"/>
      <c r="SE1020" s="192"/>
      <c r="SF1020" s="192"/>
      <c r="SG1020" s="192"/>
      <c r="SH1020" s="192"/>
      <c r="SI1020" s="192"/>
      <c r="SJ1020" s="192"/>
      <c r="SK1020" s="192"/>
      <c r="SL1020" s="192"/>
      <c r="SM1020" s="192"/>
      <c r="SN1020" s="192"/>
      <c r="SO1020" s="192"/>
      <c r="SP1020" s="192"/>
      <c r="SQ1020" s="192"/>
      <c r="SR1020" s="192"/>
      <c r="SS1020" s="192"/>
      <c r="ST1020" s="192"/>
      <c r="SU1020" s="192"/>
      <c r="SV1020" s="192"/>
      <c r="SW1020" s="192"/>
      <c r="SX1020" s="192"/>
      <c r="SY1020" s="192"/>
      <c r="SZ1020" s="192"/>
      <c r="TA1020" s="192"/>
      <c r="TB1020" s="192"/>
      <c r="TC1020" s="192"/>
      <c r="TD1020" s="192"/>
      <c r="TE1020" s="192"/>
      <c r="TF1020" s="192"/>
      <c r="TG1020" s="192"/>
      <c r="TH1020" s="192"/>
      <c r="TI1020" s="192"/>
      <c r="TJ1020" s="192"/>
      <c r="TK1020" s="192"/>
      <c r="TL1020" s="192"/>
      <c r="TM1020" s="192"/>
      <c r="TN1020" s="192"/>
      <c r="TO1020" s="192"/>
      <c r="TP1020" s="192"/>
      <c r="TQ1020" s="192"/>
      <c r="TR1020" s="192"/>
      <c r="TS1020" s="192"/>
      <c r="TT1020" s="192"/>
      <c r="TU1020" s="192"/>
      <c r="TV1020" s="192"/>
      <c r="TW1020" s="192"/>
      <c r="TX1020" s="192"/>
      <c r="TY1020" s="192"/>
      <c r="TZ1020" s="192"/>
      <c r="UA1020" s="192"/>
      <c r="UB1020" s="192"/>
      <c r="UC1020" s="192"/>
      <c r="UD1020" s="192"/>
      <c r="UE1020" s="192"/>
      <c r="UF1020" s="192"/>
      <c r="UG1020" s="192"/>
      <c r="UH1020" s="192"/>
      <c r="UI1020" s="192"/>
      <c r="UJ1020" s="192"/>
      <c r="UK1020" s="192"/>
      <c r="UL1020" s="192"/>
      <c r="UM1020" s="192"/>
      <c r="UN1020" s="192"/>
      <c r="UO1020" s="192"/>
      <c r="UP1020" s="192"/>
      <c r="UQ1020" s="192"/>
      <c r="UR1020" s="192"/>
      <c r="US1020" s="192"/>
      <c r="UT1020" s="192"/>
      <c r="UU1020" s="192"/>
      <c r="UV1020" s="192"/>
      <c r="UW1020" s="192"/>
      <c r="UX1020" s="192"/>
      <c r="UY1020" s="192"/>
      <c r="UZ1020" s="192"/>
      <c r="VA1020" s="192"/>
      <c r="VB1020" s="192"/>
      <c r="VC1020" s="192"/>
      <c r="VD1020" s="192"/>
      <c r="VE1020" s="192"/>
      <c r="VF1020" s="192"/>
      <c r="VG1020" s="192"/>
      <c r="VH1020" s="192"/>
      <c r="VI1020" s="192"/>
      <c r="VJ1020" s="192"/>
      <c r="VK1020" s="192"/>
      <c r="VL1020" s="192"/>
      <c r="VM1020" s="192"/>
      <c r="VN1020" s="192"/>
      <c r="VO1020" s="192"/>
      <c r="VP1020" s="192"/>
      <c r="VQ1020" s="192"/>
      <c r="VR1020" s="192"/>
      <c r="VS1020" s="192"/>
      <c r="VT1020" s="192"/>
      <c r="VU1020" s="192"/>
      <c r="VV1020" s="192"/>
      <c r="VW1020" s="192"/>
      <c r="VX1020" s="192"/>
      <c r="VY1020" s="192"/>
      <c r="VZ1020" s="192"/>
      <c r="WA1020" s="192"/>
      <c r="WB1020" s="192"/>
      <c r="WC1020" s="192"/>
      <c r="WD1020" s="192"/>
      <c r="WE1020" s="192"/>
      <c r="WF1020" s="192"/>
      <c r="WG1020" s="192"/>
      <c r="WH1020" s="192"/>
      <c r="WI1020" s="192"/>
      <c r="WJ1020" s="192"/>
      <c r="WK1020" s="192"/>
      <c r="WL1020" s="192"/>
      <c r="WM1020" s="192"/>
      <c r="WN1020" s="192"/>
      <c r="WO1020" s="192"/>
      <c r="WP1020" s="192"/>
      <c r="WQ1020" s="192"/>
      <c r="WR1020" s="192"/>
      <c r="WS1020" s="192"/>
      <c r="WT1020" s="192"/>
      <c r="WU1020" s="192"/>
      <c r="WV1020" s="192"/>
      <c r="WW1020" s="192"/>
      <c r="WX1020" s="192"/>
      <c r="WY1020" s="192"/>
      <c r="WZ1020" s="192"/>
      <c r="XA1020" s="192"/>
      <c r="XB1020" s="192"/>
      <c r="XC1020" s="192"/>
      <c r="XD1020" s="192"/>
      <c r="XE1020" s="192"/>
      <c r="XF1020" s="192"/>
      <c r="XG1020" s="192"/>
    </row>
    <row r="1021" spans="1:631" ht="15" hidden="1" customHeight="1" x14ac:dyDescent="0.25">
      <c r="A1021" s="5" t="s">
        <v>2678</v>
      </c>
      <c r="B1021" s="15" t="str">
        <f>VLOOKUP(TAB_SAIDA[[#This Row],[COD_2_SAIDA]],TAB_ESTOQUE[[Codigo]:[Descrição Tecnica]],6,FALSE)</f>
        <v>ARAME GALVANIZADO BWG 16 E=1,24MM</v>
      </c>
      <c r="C1021" s="15">
        <f>IFERROR(VLOOKUP(TAB_SAIDA[[#This Row],[COD_2_SAIDA]],TAB_ESTOQUE[[Codigo]:[Referência Tec]],7,FALSE),"")</f>
        <v>0</v>
      </c>
      <c r="D1021" s="15" t="str">
        <f>VLOOKUP(TAB_SAIDA[[#This Row],[COD_2_SAIDA]],TAB_ESTOQUE[[Codigo]:[Endereço2]],12,FALSE)</f>
        <v>E2102</v>
      </c>
      <c r="E1021" s="81">
        <f>SUM(TAB_SAIDA[[#This Row],[20/05/2019]:[00/00/00]])</f>
        <v>0</v>
      </c>
      <c r="F1021" s="3"/>
    </row>
    <row r="1022" spans="1:631" ht="15" hidden="1" customHeight="1" x14ac:dyDescent="0.25">
      <c r="A1022" s="5" t="s">
        <v>2679</v>
      </c>
      <c r="B1022" s="15" t="str">
        <f>VLOOKUP(TAB_SAIDA[[#This Row],[COD_2_SAIDA]],TAB_ESTOQUE[[Codigo]:[Descrição Tecnica]],6,FALSE)</f>
        <v>BASE FIBRO 2031.70.040</v>
      </c>
      <c r="C1022" s="15">
        <f>IFERROR(VLOOKUP(TAB_SAIDA[[#This Row],[COD_2_SAIDA]],TAB_ESTOQUE[[Codigo]:[Referência Tec]],7,FALSE),"")</f>
        <v>0</v>
      </c>
      <c r="D1022" s="15" t="str">
        <f>VLOOKUP(TAB_SAIDA[[#This Row],[COD_2_SAIDA]],TAB_ESTOQUE[[Codigo]:[Endereço2]],12,FALSE)</f>
        <v>F1403</v>
      </c>
      <c r="E1022" s="81">
        <f>SUM(TAB_SAIDA[[#This Row],[20/05/2019]:[00/00/00]])</f>
        <v>0</v>
      </c>
      <c r="F1022" s="3"/>
    </row>
    <row r="1023" spans="1:631" ht="15" hidden="1" customHeight="1" x14ac:dyDescent="0.25">
      <c r="A1023" s="5" t="s">
        <v>2680</v>
      </c>
      <c r="B1023" s="15" t="str">
        <f>VLOOKUP(TAB_SAIDA[[#This Row],[COD_2_SAIDA]],TAB_ESTOQUE[[Codigo]:[Descrição Tecnica]],6,FALSE)</f>
        <v>CHUMBADOR PBA 5/8" X 7</v>
      </c>
      <c r="C1023" s="15">
        <f>IFERROR(VLOOKUP(TAB_SAIDA[[#This Row],[COD_2_SAIDA]],TAB_ESTOQUE[[Codigo]:[Referência Tec]],7,FALSE),"")</f>
        <v>0</v>
      </c>
      <c r="D1023" s="15" t="str">
        <f>VLOOKUP(TAB_SAIDA[[#This Row],[COD_2_SAIDA]],TAB_ESTOQUE[[Codigo]:[Endereço2]],12,FALSE)</f>
        <v>F2106</v>
      </c>
      <c r="E1023" s="81">
        <f>SUM(TAB_SAIDA[[#This Row],[20/05/2019]:[00/00/00]])</f>
        <v>0</v>
      </c>
      <c r="F1023" s="3"/>
    </row>
    <row r="1024" spans="1:631" ht="15" hidden="1" customHeight="1" x14ac:dyDescent="0.25">
      <c r="A1024" s="5" t="s">
        <v>2681</v>
      </c>
      <c r="B1024" s="15" t="str">
        <f>VLOOKUP(TAB_SAIDA[[#This Row],[COD_2_SAIDA]],TAB_ESTOQUE[[Codigo]:[Descrição Tecnica]],6,FALSE)</f>
        <v>BOMBA DE PALHETA FZP-2/4.0 HYDAC</v>
      </c>
      <c r="C1024" s="15">
        <f>IFERROR(VLOOKUP(TAB_SAIDA[[#This Row],[COD_2_SAIDA]],TAB_ESTOQUE[[Codigo]:[Referência Tec]],7,FALSE),"")</f>
        <v>0</v>
      </c>
      <c r="D1024" s="15" t="str">
        <f>VLOOKUP(TAB_SAIDA[[#This Row],[COD_2_SAIDA]],TAB_ESTOQUE[[Codigo]:[Endereço2]],12,FALSE)</f>
        <v>E2304</v>
      </c>
      <c r="E1024" s="81">
        <f>SUM(TAB_SAIDA[[#This Row],[20/05/2019]:[00/00/00]])</f>
        <v>0</v>
      </c>
      <c r="F1024" s="3"/>
    </row>
    <row r="1025" spans="1:623" ht="15" hidden="1" customHeight="1" x14ac:dyDescent="0.25">
      <c r="A1025" s="5" t="s">
        <v>2682</v>
      </c>
      <c r="B1025" s="15" t="str">
        <f>VLOOKUP(TAB_SAIDA[[#This Row],[COD_2_SAIDA]],TAB_ESTOQUE[[Codigo]:[Descrição Tecnica]],6,FALSE)</f>
        <v>VAZILINA SPRAY</v>
      </c>
      <c r="C1025" s="15">
        <f>IFERROR(VLOOKUP(TAB_SAIDA[[#This Row],[COD_2_SAIDA]],TAB_ESTOQUE[[Codigo]:[Referência Tec]],7,FALSE),"")</f>
        <v>0</v>
      </c>
      <c r="D1025" s="15" t="str">
        <f>VLOOKUP(TAB_SAIDA[[#This Row],[COD_2_SAIDA]],TAB_ESTOQUE[[Codigo]:[Endereço2]],12,FALSE)</f>
        <v>ARMARIO</v>
      </c>
      <c r="E1025" s="81">
        <f>SUM(TAB_SAIDA[[#This Row],[20/05/2019]:[00/00/00]])</f>
        <v>0</v>
      </c>
      <c r="F1025" s="3"/>
    </row>
    <row r="1026" spans="1:623" ht="15" hidden="1" customHeight="1" x14ac:dyDescent="0.25">
      <c r="A1026" s="5" t="s">
        <v>2683</v>
      </c>
      <c r="B1026" s="15" t="str">
        <f>VLOOKUP(TAB_SAIDA[[#This Row],[COD_2_SAIDA]],TAB_ESTOQUE[[Codigo]:[Descrição Tecnica]],6,FALSE)</f>
        <v>CORREIA LISA HTA 500-5M</v>
      </c>
      <c r="C1026" s="15">
        <f>IFERROR(VLOOKUP(TAB_SAIDA[[#This Row],[COD_2_SAIDA]],TAB_ESTOQUE[[Codigo]:[Referência Tec]],7,FALSE),"")</f>
        <v>0</v>
      </c>
      <c r="D1026" s="15" t="str">
        <f>VLOOKUP(TAB_SAIDA[[#This Row],[COD_2_SAIDA]],TAB_ESTOQUE[[Codigo]:[Endereço2]],12,FALSE)</f>
        <v>S601</v>
      </c>
      <c r="E1026" s="81">
        <f>SUM(TAB_SAIDA[[#This Row],[20/05/2019]:[00/00/00]])</f>
        <v>0</v>
      </c>
      <c r="F1026" s="3"/>
    </row>
    <row r="1027" spans="1:623" ht="15" hidden="1" customHeight="1" x14ac:dyDescent="0.25">
      <c r="A1027" s="5" t="s">
        <v>2684</v>
      </c>
      <c r="B1027" s="15" t="str">
        <f>VLOOKUP(TAB_SAIDA[[#This Row],[COD_2_SAIDA]],TAB_ESTOQUE[[Codigo]:[Descrição Tecnica]],6,FALSE)</f>
        <v>CORREIA LISA B-36</v>
      </c>
      <c r="C1027" s="15">
        <f>IFERROR(VLOOKUP(TAB_SAIDA[[#This Row],[COD_2_SAIDA]],TAB_ESTOQUE[[Codigo]:[Referência Tec]],7,FALSE),"")</f>
        <v>0</v>
      </c>
      <c r="D1027" s="15" t="str">
        <f>VLOOKUP(TAB_SAIDA[[#This Row],[COD_2_SAIDA]],TAB_ESTOQUE[[Codigo]:[Endereço2]],12,FALSE)</f>
        <v>S601</v>
      </c>
      <c r="E1027" s="81">
        <f>SUM(TAB_SAIDA[[#This Row],[20/05/2019]:[00/00/00]])</f>
        <v>0</v>
      </c>
      <c r="F1027" s="3"/>
    </row>
    <row r="1028" spans="1:623" ht="15" hidden="1" customHeight="1" x14ac:dyDescent="0.25">
      <c r="A1028" s="5" t="s">
        <v>2685</v>
      </c>
      <c r="B1028" s="15" t="str">
        <f>VLOOKUP(TAB_SAIDA[[#This Row],[COD_2_SAIDA]],TAB_ESTOQUE[[Codigo]:[Descrição Tecnica]],6,FALSE)</f>
        <v>CORREIA LISA A-37</v>
      </c>
      <c r="C1028" s="15">
        <f>IFERROR(VLOOKUP(TAB_SAIDA[[#This Row],[COD_2_SAIDA]],TAB_ESTOQUE[[Codigo]:[Referência Tec]],7,FALSE),"")</f>
        <v>0</v>
      </c>
      <c r="D1028" s="15" t="str">
        <f>VLOOKUP(TAB_SAIDA[[#This Row],[COD_2_SAIDA]],TAB_ESTOQUE[[Codigo]:[Endereço2]],12,FALSE)</f>
        <v>S601</v>
      </c>
      <c r="E1028" s="81">
        <f>SUM(TAB_SAIDA[[#This Row],[20/05/2019]:[00/00/00]])</f>
        <v>0</v>
      </c>
      <c r="F1028" s="3"/>
    </row>
    <row r="1029" spans="1:623" ht="15" hidden="1" customHeight="1" x14ac:dyDescent="0.25">
      <c r="A1029" s="5" t="s">
        <v>2686</v>
      </c>
      <c r="B1029" s="15" t="str">
        <f>VLOOKUP(TAB_SAIDA[[#This Row],[COD_2_SAIDA]],TAB_ESTOQUE[[Codigo]:[Descrição Tecnica]],6,FALSE)</f>
        <v>CORREIA LISA 3L-380</v>
      </c>
      <c r="C1029" s="15">
        <f>IFERROR(VLOOKUP(TAB_SAIDA[[#This Row],[COD_2_SAIDA]],TAB_ESTOQUE[[Codigo]:[Referência Tec]],7,FALSE),"")</f>
        <v>0</v>
      </c>
      <c r="D1029" s="15" t="str">
        <f>VLOOKUP(TAB_SAIDA[[#This Row],[COD_2_SAIDA]],TAB_ESTOQUE[[Codigo]:[Endereço2]],12,FALSE)</f>
        <v>S601</v>
      </c>
      <c r="E1029" s="81">
        <f>SUM(TAB_SAIDA[[#This Row],[20/05/2019]:[00/00/00]])</f>
        <v>0</v>
      </c>
      <c r="F1029" s="3"/>
    </row>
    <row r="1030" spans="1:623" ht="15" hidden="1" customHeight="1" x14ac:dyDescent="0.25">
      <c r="A1030" s="5" t="s">
        <v>2687</v>
      </c>
      <c r="B1030" s="15" t="str">
        <f>VLOOKUP(TAB_SAIDA[[#This Row],[COD_2_SAIDA]],TAB_ESTOQUE[[Codigo]:[Descrição Tecnica]],6,FALSE)</f>
        <v>CORREIA LISA DU15-506</v>
      </c>
      <c r="C1030" s="15">
        <f>IFERROR(VLOOKUP(TAB_SAIDA[[#This Row],[COD_2_SAIDA]],TAB_ESTOQUE[[Codigo]:[Referência Tec]],7,FALSE),"")</f>
        <v>0</v>
      </c>
      <c r="D1030" s="15" t="str">
        <f>VLOOKUP(TAB_SAIDA[[#This Row],[COD_2_SAIDA]],TAB_ESTOQUE[[Codigo]:[Endereço2]],12,FALSE)</f>
        <v>S601</v>
      </c>
      <c r="E1030" s="81">
        <f>SUM(TAB_SAIDA[[#This Row],[20/05/2019]:[00/00/00]])</f>
        <v>0</v>
      </c>
      <c r="F1030" s="3"/>
    </row>
    <row r="1031" spans="1:623" ht="15" hidden="1" customHeight="1" x14ac:dyDescent="0.25">
      <c r="A1031" s="5" t="s">
        <v>2688</v>
      </c>
      <c r="B1031" s="15" t="str">
        <f>VLOOKUP(TAB_SAIDA[[#This Row],[COD_2_SAIDA]],TAB_ESTOQUE[[Codigo]:[Descrição Tecnica]],6,FALSE)</f>
        <v>CORREIA LISA B38 17 X 9652</v>
      </c>
      <c r="C1031" s="15">
        <f>IFERROR(VLOOKUP(TAB_SAIDA[[#This Row],[COD_2_SAIDA]],TAB_ESTOQUE[[Codigo]:[Referência Tec]],7,FALSE),"")</f>
        <v>0</v>
      </c>
      <c r="D1031" s="15" t="str">
        <f>VLOOKUP(TAB_SAIDA[[#This Row],[COD_2_SAIDA]],TAB_ESTOQUE[[Codigo]:[Endereço2]],12,FALSE)</f>
        <v>S601</v>
      </c>
      <c r="E1031" s="81">
        <f>SUM(TAB_SAIDA[[#This Row],[20/05/2019]:[00/00/00]])</f>
        <v>0</v>
      </c>
      <c r="F1031" s="3"/>
    </row>
    <row r="1032" spans="1:623" ht="15" hidden="1" customHeight="1" x14ac:dyDescent="0.25">
      <c r="A1032" s="5" t="s">
        <v>2689</v>
      </c>
      <c r="B1032" s="15" t="str">
        <f>VLOOKUP(TAB_SAIDA[[#This Row],[COD_2_SAIDA]],TAB_ESTOQUE[[Codigo]:[Descrição Tecnica]],6,FALSE)</f>
        <v>CORREIA DENTADA TORQUE FLEX XPB 2410</v>
      </c>
      <c r="C1032" s="15">
        <f>IFERROR(VLOOKUP(TAB_SAIDA[[#This Row],[COD_2_SAIDA]],TAB_ESTOQUE[[Codigo]:[Referência Tec]],7,FALSE),"")</f>
        <v>0</v>
      </c>
      <c r="D1032" s="15" t="str">
        <f>VLOOKUP(TAB_SAIDA[[#This Row],[COD_2_SAIDA]],TAB_ESTOQUE[[Codigo]:[Endereço2]],12,FALSE)</f>
        <v>S601</v>
      </c>
      <c r="E1032" s="81">
        <f>SUM(TAB_SAIDA[[#This Row],[20/05/2019]:[00/00/00]])</f>
        <v>0</v>
      </c>
      <c r="F1032" s="3"/>
    </row>
    <row r="1033" spans="1:623" ht="15" hidden="1" customHeight="1" x14ac:dyDescent="0.25">
      <c r="A1033" s="5" t="s">
        <v>2690</v>
      </c>
      <c r="B1033" s="15" t="str">
        <f>VLOOKUP(TAB_SAIDA[[#This Row],[COD_2_SAIDA]],TAB_ESTOQUE[[Codigo]:[Descrição Tecnica]],6,FALSE)</f>
        <v>MOTOR WEG W22 PLUSS 220/380/440</v>
      </c>
      <c r="C1033" s="15">
        <f>IFERROR(VLOOKUP(TAB_SAIDA[[#This Row],[COD_2_SAIDA]],TAB_ESTOQUE[[Codigo]:[Referência Tec]],7,FALSE),"")</f>
        <v>0</v>
      </c>
      <c r="D1033" s="15" t="str">
        <f>VLOOKUP(TAB_SAIDA[[#This Row],[COD_2_SAIDA]],TAB_ESTOQUE[[Codigo]:[Endereço2]],12,FALSE)</f>
        <v>F1404</v>
      </c>
      <c r="E1033" s="81">
        <f>SUM(TAB_SAIDA[[#This Row],[20/05/2019]:[00/00/00]])</f>
        <v>0</v>
      </c>
      <c r="F1033" s="3"/>
    </row>
    <row r="1034" spans="1:623" ht="15" hidden="1" customHeight="1" x14ac:dyDescent="0.25">
      <c r="A1034" s="5" t="s">
        <v>2691</v>
      </c>
      <c r="B1034" s="15" t="str">
        <f>VLOOKUP(TAB_SAIDA[[#This Row],[COD_2_SAIDA]],TAB_ESTOQUE[[Codigo]:[Descrição Tecnica]],6,FALSE)</f>
        <v>MOTOR BOMBA AUTO-ASPIRANTE  110/127 VALTS</v>
      </c>
      <c r="C1034" s="15">
        <f>IFERROR(VLOOKUP(TAB_SAIDA[[#This Row],[COD_2_SAIDA]],TAB_ESTOQUE[[Codigo]:[Referência Tec]],7,FALSE),"")</f>
        <v>0</v>
      </c>
      <c r="D1034" s="15" t="str">
        <f>VLOOKUP(TAB_SAIDA[[#This Row],[COD_2_SAIDA]],TAB_ESTOQUE[[Codigo]:[Endereço2]],12,FALSE)</f>
        <v>F1404</v>
      </c>
      <c r="E1034" s="81">
        <f>SUM(TAB_SAIDA[[#This Row],[20/05/2019]:[00/00/00]])</f>
        <v>0</v>
      </c>
      <c r="F1034" s="3"/>
    </row>
    <row r="1035" spans="1:623" ht="15" hidden="1" customHeight="1" x14ac:dyDescent="0.25">
      <c r="A1035" s="5" t="s">
        <v>2692</v>
      </c>
      <c r="B1035" s="15" t="str">
        <f>VLOOKUP(TAB_SAIDA[[#This Row],[COD_2_SAIDA]],TAB_ESTOQUE[[Codigo]:[Descrição Tecnica]],6,FALSE)</f>
        <v>BOMBA FB MOD: FBE 1STD</v>
      </c>
      <c r="C1035" s="15">
        <f>IFERROR(VLOOKUP(TAB_SAIDA[[#This Row],[COD_2_SAIDA]],TAB_ESTOQUE[[Codigo]:[Referência Tec]],7,FALSE),"")</f>
        <v>0</v>
      </c>
      <c r="D1035" s="15" t="str">
        <f>VLOOKUP(TAB_SAIDA[[#This Row],[COD_2_SAIDA]],TAB_ESTOQUE[[Codigo]:[Endereço2]],12,FALSE)</f>
        <v>F1404</v>
      </c>
      <c r="E1035" s="81">
        <f>SUM(TAB_SAIDA[[#This Row],[20/05/2019]:[00/00/00]])</f>
        <v>0</v>
      </c>
      <c r="F1035" s="3"/>
    </row>
    <row r="1036" spans="1:623" ht="15" hidden="1" customHeight="1" x14ac:dyDescent="0.25">
      <c r="A1036" s="5" t="s">
        <v>2693</v>
      </c>
      <c r="B1036" s="15" t="str">
        <f>VLOOKUP(TAB_SAIDA[[#This Row],[COD_2_SAIDA]],TAB_ESTOQUE[[Codigo]:[Descrição Tecnica]],6,FALSE)</f>
        <v>BOMBA KRACHT KF200 BF7</v>
      </c>
      <c r="C1036" s="15">
        <f>IFERROR(VLOOKUP(TAB_SAIDA[[#This Row],[COD_2_SAIDA]],TAB_ESTOQUE[[Codigo]:[Referência Tec]],7,FALSE),"")</f>
        <v>0</v>
      </c>
      <c r="D1036" s="15" t="str">
        <f>VLOOKUP(TAB_SAIDA[[#This Row],[COD_2_SAIDA]],TAB_ESTOQUE[[Codigo]:[Endereço2]],12,FALSE)</f>
        <v>F1405</v>
      </c>
      <c r="E1036" s="81">
        <f>SUM(TAB_SAIDA[[#This Row],[20/05/2019]:[00/00/00]])</f>
        <v>0</v>
      </c>
      <c r="F1036" s="3"/>
    </row>
    <row r="1037" spans="1:623" ht="15" hidden="1" customHeight="1" x14ac:dyDescent="0.25">
      <c r="A1037" s="5" t="s">
        <v>2694</v>
      </c>
      <c r="B1037" s="15" t="str">
        <f>VLOOKUP(TAB_SAIDA[[#This Row],[COD_2_SAIDA]],TAB_ESTOQUE[[Codigo]:[Descrição Tecnica]],6,FALSE)</f>
        <v>MOTOR REDUTOR SEW KA47B CMP63M/KY/AKOH/5M1</v>
      </c>
      <c r="C1037" s="15">
        <f>IFERROR(VLOOKUP(TAB_SAIDA[[#This Row],[COD_2_SAIDA]],TAB_ESTOQUE[[Codigo]:[Referência Tec]],7,FALSE),"")</f>
        <v>0</v>
      </c>
      <c r="D1037" s="15" t="str">
        <f>VLOOKUP(TAB_SAIDA[[#This Row],[COD_2_SAIDA]],TAB_ESTOQUE[[Codigo]:[Endereço2]],12,FALSE)</f>
        <v>F1406</v>
      </c>
      <c r="E1037" s="81">
        <f>SUM(TAB_SAIDA[[#This Row],[20/05/2019]:[00/00/00]])</f>
        <v>0</v>
      </c>
      <c r="F1037" s="3"/>
    </row>
    <row r="1038" spans="1:623" ht="15" hidden="1" customHeight="1" x14ac:dyDescent="0.25">
      <c r="A1038" s="5" t="s">
        <v>2695</v>
      </c>
      <c r="B1038" s="15" t="str">
        <f>VLOOKUP(TAB_SAIDA[[#This Row],[COD_2_SAIDA]],TAB_ESTOQUE[[Codigo]:[Descrição Tecnica]],6,FALSE)</f>
        <v>MOTOR WEG COM REDUTOR + EIXO W22 220/380</v>
      </c>
      <c r="C1038" s="15">
        <f>IFERROR(VLOOKUP(TAB_SAIDA[[#This Row],[COD_2_SAIDA]],TAB_ESTOQUE[[Codigo]:[Referência Tec]],7,FALSE),"")</f>
        <v>0</v>
      </c>
      <c r="D1038" s="15" t="str">
        <f>VLOOKUP(TAB_SAIDA[[#This Row],[COD_2_SAIDA]],TAB_ESTOQUE[[Codigo]:[Endereço2]],12,FALSE)</f>
        <v>F1406</v>
      </c>
      <c r="E1038" s="81">
        <f>SUM(TAB_SAIDA[[#This Row],[20/05/2019]:[00/00/00]])</f>
        <v>0</v>
      </c>
      <c r="F1038" s="3"/>
    </row>
    <row r="1039" spans="1:623" ht="15" hidden="1" customHeight="1" x14ac:dyDescent="0.25">
      <c r="A1039" s="5" t="s">
        <v>2696</v>
      </c>
      <c r="B1039" s="15" t="str">
        <f>VLOOKUP(TAB_SAIDA[[#This Row],[COD_2_SAIDA]],TAB_ESTOQUE[[Codigo]:[Descrição Tecnica]],6,FALSE)</f>
        <v>LIXA D´AGUA 1,200</v>
      </c>
      <c r="C1039" s="15">
        <f>IFERROR(VLOOKUP(TAB_SAIDA[[#This Row],[COD_2_SAIDA]],TAB_ESTOQUE[[Codigo]:[Referência Tec]],7,FALSE),"")</f>
        <v>0</v>
      </c>
      <c r="D1039" s="15" t="str">
        <f>VLOOKUP(TAB_SAIDA[[#This Row],[COD_2_SAIDA]],TAB_ESTOQUE[[Codigo]:[Endereço2]],12,FALSE)</f>
        <v>D1104</v>
      </c>
      <c r="E1039" s="81">
        <f>SUM(TAB_SAIDA[[#This Row],[20/05/2019]:[00/00/00]])</f>
        <v>10</v>
      </c>
      <c r="F1039" s="3"/>
      <c r="RZ1039" s="3">
        <v>5</v>
      </c>
      <c r="SF1039" s="3">
        <v>1</v>
      </c>
      <c r="TC1039" s="3">
        <v>1</v>
      </c>
      <c r="VE1039" s="3">
        <v>1</v>
      </c>
      <c r="WV1039" s="3">
        <v>1</v>
      </c>
      <c r="WY1039" s="3">
        <v>1</v>
      </c>
    </row>
    <row r="1040" spans="1:623" ht="15" hidden="1" customHeight="1" x14ac:dyDescent="0.25">
      <c r="A1040" s="5" t="s">
        <v>2697</v>
      </c>
      <c r="B1040" s="15" t="str">
        <f>VLOOKUP(TAB_SAIDA[[#This Row],[COD_2_SAIDA]],TAB_ESTOQUE[[Codigo]:[Descrição Tecnica]],6,FALSE)</f>
        <v>LIXA D´AGUA 320</v>
      </c>
      <c r="C1040" s="15">
        <f>IFERROR(VLOOKUP(TAB_SAIDA[[#This Row],[COD_2_SAIDA]],TAB_ESTOQUE[[Codigo]:[Referência Tec]],7,FALSE),"")</f>
        <v>0</v>
      </c>
      <c r="D1040" s="15" t="str">
        <f>VLOOKUP(TAB_SAIDA[[#This Row],[COD_2_SAIDA]],TAB_ESTOQUE[[Codigo]:[Endereço2]],12,FALSE)</f>
        <v>D1104</v>
      </c>
      <c r="E1040" s="81">
        <f>SUM(TAB_SAIDA[[#This Row],[20/05/2019]:[00/00/00]])</f>
        <v>0</v>
      </c>
      <c r="F1040" s="3"/>
    </row>
    <row r="1041" spans="1:6" ht="15" hidden="1" customHeight="1" x14ac:dyDescent="0.25">
      <c r="A1041" s="5" t="s">
        <v>2698</v>
      </c>
      <c r="B1041" s="15" t="str">
        <f>VLOOKUP(TAB_SAIDA[[#This Row],[COD_2_SAIDA]],TAB_ESTOQUE[[Codigo]:[Descrição Tecnica]],6,FALSE)</f>
        <v>MOTOR ELÉTRICO TRIFÁSICO 2.2KW (3HP) - REF. Y2-100L1-4</v>
      </c>
      <c r="C1041" s="15">
        <f>IFERROR(VLOOKUP(TAB_SAIDA[[#This Row],[COD_2_SAIDA]],TAB_ESTOQUE[[Codigo]:[Referência Tec]],7,FALSE),"")</f>
        <v>0</v>
      </c>
      <c r="D1041" s="15" t="str">
        <f>VLOOKUP(TAB_SAIDA[[#This Row],[COD_2_SAIDA]],TAB_ESTOQUE[[Codigo]:[Endereço2]],12,FALSE)</f>
        <v>PISO 01</v>
      </c>
      <c r="E1041" s="81">
        <f>SUM(TAB_SAIDA[[#This Row],[20/05/2019]:[00/00/00]])</f>
        <v>0</v>
      </c>
      <c r="F1041" s="3"/>
    </row>
    <row r="1042" spans="1:6" ht="15" hidden="1" customHeight="1" x14ac:dyDescent="0.25">
      <c r="A1042" s="5" t="s">
        <v>2699</v>
      </c>
      <c r="B1042" s="15" t="str">
        <f>VLOOKUP(TAB_SAIDA[[#This Row],[COD_2_SAIDA]],TAB_ESTOQUE[[Codigo]:[Descrição Tecnica]],6,FALSE)</f>
        <v>LUVA PVC 25</v>
      </c>
      <c r="C1042" s="15">
        <f>IFERROR(VLOOKUP(TAB_SAIDA[[#This Row],[COD_2_SAIDA]],TAB_ESTOQUE[[Codigo]:[Referência Tec]],7,FALSE),"")</f>
        <v>0</v>
      </c>
      <c r="D1042" s="15" t="str">
        <f>VLOOKUP(TAB_SAIDA[[#This Row],[COD_2_SAIDA]],TAB_ESTOQUE[[Codigo]:[Endereço2]],12,FALSE)</f>
        <v>D1403</v>
      </c>
      <c r="E1042" s="81">
        <f>SUM(TAB_SAIDA[[#This Row],[20/05/2019]:[00/00/00]])</f>
        <v>0</v>
      </c>
      <c r="F1042" s="3"/>
    </row>
    <row r="1043" spans="1:6" ht="15" hidden="1" customHeight="1" x14ac:dyDescent="0.25">
      <c r="A1043" s="5" t="s">
        <v>2700</v>
      </c>
      <c r="B1043" s="15" t="str">
        <f>VLOOKUP(TAB_SAIDA[[#This Row],[COD_2_SAIDA]],TAB_ESTOQUE[[Codigo]:[Descrição Tecnica]],6,FALSE)</f>
        <v>FONTE DE ALIMENTAÇÃO CHAVEADA 24V 200W - REF. NES-200-24</v>
      </c>
      <c r="C1043" s="15">
        <f>IFERROR(VLOOKUP(TAB_SAIDA[[#This Row],[COD_2_SAIDA]],TAB_ESTOQUE[[Codigo]:[Referência Tec]],7,FALSE),"")</f>
        <v>0</v>
      </c>
      <c r="D1043" s="15" t="str">
        <f>VLOOKUP(TAB_SAIDA[[#This Row],[COD_2_SAIDA]],TAB_ESTOQUE[[Codigo]:[Endereço2]],12,FALSE)</f>
        <v>G1104</v>
      </c>
      <c r="E1043" s="81">
        <f>SUM(TAB_SAIDA[[#This Row],[20/05/2019]:[00/00/00]])</f>
        <v>0</v>
      </c>
      <c r="F1043" s="3"/>
    </row>
    <row r="1044" spans="1:6" ht="15" hidden="1" customHeight="1" x14ac:dyDescent="0.25">
      <c r="A1044" s="5" t="s">
        <v>2701</v>
      </c>
      <c r="B1044" s="15" t="str">
        <f>VLOOKUP(TAB_SAIDA[[#This Row],[COD_2_SAIDA]],TAB_ESTOQUE[[Codigo]:[Descrição Tecnica]],6,FALSE)</f>
        <v>DISJUNTOR MOTOR TERMOMAGNÉTICO SCHNEIDER - REF. GV2-ME02C / 0.16-0.25A</v>
      </c>
      <c r="C1044" s="15">
        <f>IFERROR(VLOOKUP(TAB_SAIDA[[#This Row],[COD_2_SAIDA]],TAB_ESTOQUE[[Codigo]:[Referência Tec]],7,FALSE),"")</f>
        <v>0</v>
      </c>
      <c r="D1044" s="15" t="str">
        <f>VLOOKUP(TAB_SAIDA[[#This Row],[COD_2_SAIDA]],TAB_ESTOQUE[[Codigo]:[Endereço2]],12,FALSE)</f>
        <v>A1303</v>
      </c>
      <c r="E1044" s="81">
        <f>SUM(TAB_SAIDA[[#This Row],[20/05/2019]:[00/00/00]])</f>
        <v>0</v>
      </c>
      <c r="F1044" s="3"/>
    </row>
    <row r="1045" spans="1:6" ht="15" hidden="1" customHeight="1" x14ac:dyDescent="0.25">
      <c r="A1045" s="5" t="s">
        <v>2702</v>
      </c>
      <c r="B1045" s="15" t="str">
        <f>VLOOKUP(TAB_SAIDA[[#This Row],[COD_2_SAIDA]],TAB_ESTOQUE[[Codigo]:[Descrição Tecnica]],6,FALSE)</f>
        <v>BOTÃO DE EMERGÊNCIA COM TRAVA DE BLACKOUT VM CLE2 40</v>
      </c>
      <c r="C1045" s="15">
        <f>IFERROR(VLOOKUP(TAB_SAIDA[[#This Row],[COD_2_SAIDA]],TAB_ESTOQUE[[Codigo]:[Referência Tec]],7,FALSE),"")</f>
        <v>0</v>
      </c>
      <c r="D1045" s="15" t="str">
        <f>VLOOKUP(TAB_SAIDA[[#This Row],[COD_2_SAIDA]],TAB_ESTOQUE[[Codigo]:[Endereço2]],12,FALSE)</f>
        <v>A2406</v>
      </c>
      <c r="E1045" s="81">
        <f>SUM(TAB_SAIDA[[#This Row],[20/05/2019]:[00/00/00]])</f>
        <v>0</v>
      </c>
      <c r="F1045" s="3"/>
    </row>
    <row r="1046" spans="1:6" ht="15" hidden="1" customHeight="1" x14ac:dyDescent="0.25">
      <c r="A1046" s="5" t="s">
        <v>2703</v>
      </c>
      <c r="B1046" s="15" t="str">
        <f>VLOOKUP(TAB_SAIDA[[#This Row],[COD_2_SAIDA]],TAB_ESTOQUE[[Codigo]:[Descrição Tecnica]],6,FALSE)</f>
        <v>ATUADOR PNEUMATICO MODELO: GNP-44 8BAR</v>
      </c>
      <c r="C1046" s="15">
        <f>IFERROR(VLOOKUP(TAB_SAIDA[[#This Row],[COD_2_SAIDA]],TAB_ESTOQUE[[Codigo]:[Referência Tec]],7,FALSE),"")</f>
        <v>0</v>
      </c>
      <c r="D1046" s="15" t="str">
        <f>VLOOKUP(TAB_SAIDA[[#This Row],[COD_2_SAIDA]],TAB_ESTOQUE[[Codigo]:[Endereço2]],12,FALSE)</f>
        <v>C1205</v>
      </c>
      <c r="E1046" s="81">
        <f>SUM(TAB_SAIDA[[#This Row],[20/05/2019]:[00/00/00]])</f>
        <v>0</v>
      </c>
      <c r="F1046" s="3"/>
    </row>
    <row r="1047" spans="1:6" ht="15" hidden="1" customHeight="1" x14ac:dyDescent="0.25">
      <c r="A1047" s="5" t="s">
        <v>2704</v>
      </c>
      <c r="B1047" s="15" t="str">
        <f>VLOOKUP(TAB_SAIDA[[#This Row],[COD_2_SAIDA]],TAB_ESTOQUE[[Codigo]:[Descrição Tecnica]],6,FALSE)</f>
        <v>PLACA COLEIRO 151XX680 (MADE FROM 152XX680) KRM 0007; VER M1 *PCB ASSY 12-ZONE GEAR- PUMP NI-120 18041 625 (VALCO MELTON)</v>
      </c>
      <c r="C1047" s="15">
        <f>IFERROR(VLOOKUP(TAB_SAIDA[[#This Row],[COD_2_SAIDA]],TAB_ESTOQUE[[Codigo]:[Referência Tec]],7,FALSE),"")</f>
        <v>0</v>
      </c>
      <c r="D1047" s="15" t="str">
        <f>VLOOKUP(TAB_SAIDA[[#This Row],[COD_2_SAIDA]],TAB_ESTOQUE[[Codigo]:[Endereço2]],12,FALSE)</f>
        <v>A1102</v>
      </c>
      <c r="E1047" s="81">
        <f>SUM(TAB_SAIDA[[#This Row],[20/05/2019]:[00/00/00]])</f>
        <v>0</v>
      </c>
      <c r="F1047" s="3"/>
    </row>
    <row r="1048" spans="1:6" ht="15" hidden="1" customHeight="1" x14ac:dyDescent="0.25">
      <c r="A1048" s="5" t="s">
        <v>2705</v>
      </c>
      <c r="B1048" s="15" t="str">
        <f>VLOOKUP(TAB_SAIDA[[#This Row],[COD_2_SAIDA]],TAB_ESTOQUE[[Codigo]:[Descrição Tecnica]],6,FALSE)</f>
        <v>IHM COLEIRO  SCS STATIC SHIELDING BAG (BATCH NO: 82209 PIN;782XX308) (AXE318) (VALCO MELTON)</v>
      </c>
      <c r="C1048" s="15">
        <f>IFERROR(VLOOKUP(TAB_SAIDA[[#This Row],[COD_2_SAIDA]],TAB_ESTOQUE[[Codigo]:[Referência Tec]],7,FALSE),"")</f>
        <v>0</v>
      </c>
      <c r="D1048" s="15" t="str">
        <f>VLOOKUP(TAB_SAIDA[[#This Row],[COD_2_SAIDA]],TAB_ESTOQUE[[Codigo]:[Endereço2]],12,FALSE)</f>
        <v>A2202</v>
      </c>
      <c r="E1048" s="81">
        <f>SUM(TAB_SAIDA[[#This Row],[20/05/2019]:[00/00/00]])</f>
        <v>0</v>
      </c>
      <c r="F1048" s="3"/>
    </row>
    <row r="1049" spans="1:6" ht="15" hidden="1" customHeight="1" x14ac:dyDescent="0.25">
      <c r="A1049" s="5" t="s">
        <v>2706</v>
      </c>
      <c r="B1049" s="15" t="str">
        <f>VLOOKUP(TAB_SAIDA[[#This Row],[COD_2_SAIDA]],TAB_ESTOQUE[[Codigo]:[Descrição Tecnica]],6,FALSE)</f>
        <v>FUSIVEL KRAH ZS 36X330 C 56R K</v>
      </c>
      <c r="C1049" s="15">
        <f>IFERROR(VLOOKUP(TAB_SAIDA[[#This Row],[COD_2_SAIDA]],TAB_ESTOQUE[[Codigo]:[Referência Tec]],7,FALSE),"")</f>
        <v>0</v>
      </c>
      <c r="D1049" s="15" t="str">
        <f>VLOOKUP(TAB_SAIDA[[#This Row],[COD_2_SAIDA]],TAB_ESTOQUE[[Codigo]:[Endereço2]],12,FALSE)</f>
        <v>A1106</v>
      </c>
      <c r="E1049" s="81">
        <f>SUM(TAB_SAIDA[[#This Row],[20/05/2019]:[00/00/00]])</f>
        <v>0</v>
      </c>
      <c r="F1049" s="3"/>
    </row>
    <row r="1050" spans="1:6" ht="15" hidden="1" customHeight="1" x14ac:dyDescent="0.25">
      <c r="A1050" s="5" t="s">
        <v>2707</v>
      </c>
      <c r="B1050" s="15" t="str">
        <f>VLOOKUP(TAB_SAIDA[[#This Row],[COD_2_SAIDA]],TAB_ESTOQUE[[Codigo]:[Descrição Tecnica]],6,FALSE)</f>
        <v>ORING 12X2mm 910XX049 (VALCO MELTON)</v>
      </c>
      <c r="C1050" s="15">
        <f>IFERROR(VLOOKUP(TAB_SAIDA[[#This Row],[COD_2_SAIDA]],TAB_ESTOQUE[[Codigo]:[Referência Tec]],7,FALSE),"")</f>
        <v>0</v>
      </c>
      <c r="D1050" s="15" t="str">
        <f>VLOOKUP(TAB_SAIDA[[#This Row],[COD_2_SAIDA]],TAB_ESTOQUE[[Codigo]:[Endereço2]],12,FALSE)</f>
        <v>E1202</v>
      </c>
      <c r="E1050" s="81">
        <f>SUM(TAB_SAIDA[[#This Row],[20/05/2019]:[00/00/00]])</f>
        <v>0</v>
      </c>
      <c r="F1050" s="3"/>
    </row>
    <row r="1051" spans="1:6" ht="15" hidden="1" customHeight="1" x14ac:dyDescent="0.25">
      <c r="A1051" s="5" t="s">
        <v>2708</v>
      </c>
      <c r="B1051" s="15" t="str">
        <f>VLOOKUP(TAB_SAIDA[[#This Row],[COD_2_SAIDA]],TAB_ESTOQUE[[Codigo]:[Descrição Tecnica]],6,FALSE)</f>
        <v>PLACA PCB ASSY DUAL-VFD +/-15 HMU 151XX701 (VALCO MELTON)</v>
      </c>
      <c r="C1051" s="15">
        <f>IFERROR(VLOOKUP(TAB_SAIDA[[#This Row],[COD_2_SAIDA]],TAB_ESTOQUE[[Codigo]:[Referência Tec]],7,FALSE),"")</f>
        <v>0</v>
      </c>
      <c r="D1051" s="15" t="str">
        <f>VLOOKUP(TAB_SAIDA[[#This Row],[COD_2_SAIDA]],TAB_ESTOQUE[[Codigo]:[Endereço2]],12,FALSE)</f>
        <v>A1103</v>
      </c>
      <c r="E1051" s="81">
        <f>SUM(TAB_SAIDA[[#This Row],[20/05/2019]:[00/00/00]])</f>
        <v>0</v>
      </c>
      <c r="F1051" s="3"/>
    </row>
    <row r="1052" spans="1:6" ht="15" hidden="1" customHeight="1" x14ac:dyDescent="0.25">
      <c r="A1052" s="5" t="s">
        <v>2709</v>
      </c>
      <c r="B1052" s="15" t="str">
        <f>VLOOKUP(TAB_SAIDA[[#This Row],[COD_2_SAIDA]],TAB_ESTOQUE[[Codigo]:[Descrição Tecnica]],6,FALSE)</f>
        <v xml:space="preserve">RESISTENCIA ELETROTHERMO 2FTRZ 800W 240V </v>
      </c>
      <c r="C1052" s="15">
        <f>IFERROR(VLOOKUP(TAB_SAIDA[[#This Row],[COD_2_SAIDA]],TAB_ESTOQUE[[Codigo]:[Referência Tec]],7,FALSE),"")</f>
        <v>0</v>
      </c>
      <c r="D1052" s="15" t="str">
        <f>VLOOKUP(TAB_SAIDA[[#This Row],[COD_2_SAIDA]],TAB_ESTOQUE[[Codigo]:[Endereço2]],12,FALSE)</f>
        <v>A2105</v>
      </c>
      <c r="E1052" s="81">
        <f>SUM(TAB_SAIDA[[#This Row],[20/05/2019]:[00/00/00]])</f>
        <v>0</v>
      </c>
      <c r="F1052" s="3"/>
    </row>
    <row r="1053" spans="1:6" ht="15" hidden="1" customHeight="1" x14ac:dyDescent="0.25">
      <c r="A1053" s="5" t="s">
        <v>2710</v>
      </c>
      <c r="B1053" s="15" t="str">
        <f>VLOOKUP(TAB_SAIDA[[#This Row],[COD_2_SAIDA]],TAB_ESTOQUE[[Codigo]:[Descrição Tecnica]],6,FALSE)</f>
        <v>RELE MINIATURA RXM2ABBD 12A 24VDC+LED ZELIO RELAY 940347</v>
      </c>
      <c r="C1053" s="15">
        <f>IFERROR(VLOOKUP(TAB_SAIDA[[#This Row],[COD_2_SAIDA]],TAB_ESTOQUE[[Codigo]:[Referência Tec]],7,FALSE),"")</f>
        <v>0</v>
      </c>
      <c r="D1053" s="15" t="str">
        <f>VLOOKUP(TAB_SAIDA[[#This Row],[COD_2_SAIDA]],TAB_ESTOQUE[[Codigo]:[Endereço2]],12,FALSE)</f>
        <v>A1304</v>
      </c>
      <c r="E1053" s="81">
        <f>SUM(TAB_SAIDA[[#This Row],[20/05/2019]:[00/00/00]])</f>
        <v>0</v>
      </c>
      <c r="F1053" s="3"/>
    </row>
    <row r="1054" spans="1:6" ht="15" hidden="1" customHeight="1" x14ac:dyDescent="0.25">
      <c r="A1054" s="5" t="s">
        <v>2711</v>
      </c>
      <c r="B1054" s="15" t="str">
        <f>VLOOKUP(TAB_SAIDA[[#This Row],[COD_2_SAIDA]],TAB_ESTOQUE[[Codigo]:[Descrição Tecnica]],6,FALSE)</f>
        <v>ACOPLAMENTO FIXAR STECK N3049 16A-9h 380-440V 2P+  FEMEA VERMELHO</v>
      </c>
      <c r="C1054" s="15">
        <f>IFERROR(VLOOKUP(TAB_SAIDA[[#This Row],[COD_2_SAIDA]],TAB_ESTOQUE[[Codigo]:[Referência Tec]],7,FALSE),"")</f>
        <v>0</v>
      </c>
      <c r="D1054" s="15" t="str">
        <f>VLOOKUP(TAB_SAIDA[[#This Row],[COD_2_SAIDA]],TAB_ESTOQUE[[Codigo]:[Endereço2]],12,FALSE)</f>
        <v>A1405</v>
      </c>
      <c r="E1054" s="81">
        <f>SUM(TAB_SAIDA[[#This Row],[20/05/2019]:[00/00/00]])</f>
        <v>0</v>
      </c>
      <c r="F1054" s="3"/>
    </row>
    <row r="1055" spans="1:6" ht="15" hidden="1" customHeight="1" x14ac:dyDescent="0.25">
      <c r="A1055" s="5" t="s">
        <v>2712</v>
      </c>
      <c r="B1055" s="15" t="str">
        <f>VLOOKUP(TAB_SAIDA[[#This Row],[COD_2_SAIDA]],TAB_ESTOQUE[[Codigo]:[Descrição Tecnica]],6,FALSE)</f>
        <v>BLOCO DE CONTATO 10A SCHNEIDER JIS C4531 A600-Q600</v>
      </c>
      <c r="C1055" s="15">
        <f>IFERROR(VLOOKUP(TAB_SAIDA[[#This Row],[COD_2_SAIDA]],TAB_ESTOQUE[[Codigo]:[Referência Tec]],7,FALSE),"")</f>
        <v>0</v>
      </c>
      <c r="D1055" s="15" t="str">
        <f>VLOOKUP(TAB_SAIDA[[#This Row],[COD_2_SAIDA]],TAB_ESTOQUE[[Codigo]:[Endereço2]],12,FALSE)</f>
        <v>A1204</v>
      </c>
      <c r="E1055" s="81">
        <f>SUM(TAB_SAIDA[[#This Row],[20/05/2019]:[00/00/00]])</f>
        <v>0</v>
      </c>
      <c r="F1055" s="3"/>
    </row>
    <row r="1056" spans="1:6" ht="15" hidden="1" customHeight="1" x14ac:dyDescent="0.25">
      <c r="A1056" s="5" t="s">
        <v>2713</v>
      </c>
      <c r="B1056" s="15" t="str">
        <f>VLOOKUP(TAB_SAIDA[[#This Row],[COD_2_SAIDA]],TAB_ESTOQUE[[Codigo]:[Descrição Tecnica]],6,FALSE)</f>
        <v>BLOCO DE CONTATO LA1 KN22 IEC/EM 60947-5-1 J15 C4531 10A</v>
      </c>
      <c r="C1056" s="15">
        <f>IFERROR(VLOOKUP(TAB_SAIDA[[#This Row],[COD_2_SAIDA]],TAB_ESTOQUE[[Codigo]:[Referência Tec]],7,FALSE),"")</f>
        <v>0</v>
      </c>
      <c r="D1056" s="15" t="str">
        <f>VLOOKUP(TAB_SAIDA[[#This Row],[COD_2_SAIDA]],TAB_ESTOQUE[[Codigo]:[Endereço2]],12,FALSE)</f>
        <v>A1204</v>
      </c>
      <c r="E1056" s="81">
        <f>SUM(TAB_SAIDA[[#This Row],[20/05/2019]:[00/00/00]])</f>
        <v>0</v>
      </c>
      <c r="F1056" s="3"/>
    </row>
    <row r="1057" spans="1:631" ht="15" hidden="1" customHeight="1" x14ac:dyDescent="0.25">
      <c r="A1057" s="5" t="s">
        <v>2714</v>
      </c>
      <c r="B1057" s="15"/>
      <c r="C1057" s="15">
        <f>IFERROR(VLOOKUP(TAB_SAIDA[[#This Row],[COD_2_SAIDA]],TAB_ESTOQUE[[Codigo]:[Referência Tec]],7,FALSE),"")</f>
        <v>0</v>
      </c>
      <c r="D1057" s="15" t="str">
        <f>VLOOKUP(TAB_SAIDA[[#This Row],[COD_2_SAIDA]],TAB_ESTOQUE[[Codigo]:[Endereço2]],12,FALSE)</f>
        <v>A1204</v>
      </c>
      <c r="E1057" s="81">
        <f>SUM(TAB_SAIDA[[#This Row],[20/05/2019]:[00/00/00]])</f>
        <v>0</v>
      </c>
      <c r="F1057" s="3"/>
    </row>
    <row r="1058" spans="1:631" ht="15" hidden="1" customHeight="1" x14ac:dyDescent="0.25">
      <c r="A1058" s="5" t="s">
        <v>2715</v>
      </c>
      <c r="B1058" s="15" t="str">
        <f>VLOOKUP(TAB_SAIDA[[#This Row],[COD_2_SAIDA]],TAB_ESTOQUE[[Codigo]:[Descrição Tecnica]],6,FALSE)</f>
        <v>BLOCO DE CONTATO  (SIEMENS) 3RH1911-1GA22</v>
      </c>
      <c r="C1058" s="15">
        <f>IFERROR(VLOOKUP(TAB_SAIDA[[#This Row],[COD_2_SAIDA]],TAB_ESTOQUE[[Codigo]:[Referência Tec]],7,FALSE),"")</f>
        <v>0</v>
      </c>
      <c r="D1058" s="15" t="str">
        <f>VLOOKUP(TAB_SAIDA[[#This Row],[COD_2_SAIDA]],TAB_ESTOQUE[[Codigo]:[Endereço2]],12,FALSE)</f>
        <v>A1204</v>
      </c>
      <c r="E1058" s="81">
        <f>SUM(TAB_SAIDA[[#This Row],[20/05/2019]:[00/00/00]])</f>
        <v>0</v>
      </c>
      <c r="F1058" s="3"/>
    </row>
    <row r="1059" spans="1:631" ht="15" hidden="1" customHeight="1" x14ac:dyDescent="0.25">
      <c r="A1059" s="5" t="s">
        <v>2716</v>
      </c>
      <c r="B1059" s="15" t="str">
        <f>VLOOKUP(TAB_SAIDA[[#This Row],[COD_2_SAIDA]],TAB_ESTOQUE[[Codigo]:[Descrição Tecnica]],6,FALSE)</f>
        <v xml:space="preserve">QUADRO DE COMANDO DE SOBREPOR 400X400X200 </v>
      </c>
      <c r="C1059" s="15">
        <f>IFERROR(VLOOKUP(TAB_SAIDA[[#This Row],[COD_2_SAIDA]],TAB_ESTOQUE[[Codigo]:[Referência Tec]],7,FALSE),"")</f>
        <v>0</v>
      </c>
      <c r="D1059" s="15" t="str">
        <f>VLOOKUP(TAB_SAIDA[[#This Row],[COD_2_SAIDA]],TAB_ESTOQUE[[Codigo]:[Endereço2]],12,FALSE)</f>
        <v>A1401</v>
      </c>
      <c r="E1059" s="81">
        <f>SUM(TAB_SAIDA[[#This Row],[20/05/2019]:[00/00/00]])</f>
        <v>0</v>
      </c>
      <c r="F1059" s="3"/>
    </row>
    <row r="1060" spans="1:631" ht="15" hidden="1" customHeight="1" x14ac:dyDescent="0.25">
      <c r="A1060" s="5" t="s">
        <v>2717</v>
      </c>
      <c r="B1060" s="15" t="str">
        <f>VLOOKUP(TAB_SAIDA[[#This Row],[COD_2_SAIDA]],TAB_ESTOQUE[[Codigo]:[Descrição Tecnica]],6,FALSE)</f>
        <v>QUADRO DE COMANDO DE SOBREPOR 400X300X200</v>
      </c>
      <c r="C1060" s="15">
        <f>IFERROR(VLOOKUP(TAB_SAIDA[[#This Row],[COD_2_SAIDA]],TAB_ESTOQUE[[Codigo]:[Referência Tec]],7,FALSE),"")</f>
        <v>0</v>
      </c>
      <c r="D1060" s="15" t="str">
        <f>VLOOKUP(TAB_SAIDA[[#This Row],[COD_2_SAIDA]],TAB_ESTOQUE[[Codigo]:[Endereço2]],12,FALSE)</f>
        <v>A1401</v>
      </c>
      <c r="E1060" s="81">
        <f>SUM(TAB_SAIDA[[#This Row],[20/05/2019]:[00/00/00]])</f>
        <v>1</v>
      </c>
      <c r="F1060" s="3"/>
      <c r="WL1060" s="3">
        <v>1</v>
      </c>
    </row>
    <row r="1061" spans="1:631" s="186" customFormat="1" ht="15" hidden="1" customHeight="1" x14ac:dyDescent="0.25">
      <c r="A1061" s="194" t="s">
        <v>2718</v>
      </c>
      <c r="B1061" s="200" t="str">
        <f>VLOOKUP(TAB_SAIDA[[#This Row],[COD_2_SAIDA]],TAB_ESTOQUE[[Codigo]:[Descrição Tecnica]],6,FALSE)</f>
        <v>BOMBA HIDRAULICA PISTÃO  BOSCH/REXROTH A4VSO180LR2Z/30E</v>
      </c>
      <c r="C1061" s="200">
        <f>IFERROR(VLOOKUP(TAB_SAIDA[[#This Row],[COD_2_SAIDA]],TAB_ESTOQUE[[Codigo]:[Referência Tec]],7,FALSE),"")</f>
        <v>0</v>
      </c>
      <c r="D1061" s="200" t="str">
        <f>VLOOKUP(TAB_SAIDA[[#This Row],[COD_2_SAIDA]],TAB_ESTOQUE[[Codigo]:[Endereço2]],12,FALSE)</f>
        <v>F1205</v>
      </c>
      <c r="E1061" s="196">
        <f>SUM(TAB_SAIDA[[#This Row],[20/05/2019]:[00/00/00]])</f>
        <v>0</v>
      </c>
      <c r="F1061" s="197"/>
      <c r="G1061" s="197"/>
      <c r="H1061" s="197"/>
      <c r="I1061" s="197"/>
      <c r="J1061" s="197"/>
      <c r="K1061" s="197"/>
      <c r="L1061" s="197"/>
      <c r="M1061" s="197"/>
      <c r="N1061" s="197"/>
      <c r="O1061" s="197"/>
      <c r="P1061" s="197"/>
      <c r="Q1061" s="197"/>
      <c r="R1061" s="197"/>
      <c r="S1061" s="197"/>
      <c r="T1061" s="197"/>
      <c r="U1061" s="197"/>
      <c r="V1061" s="197"/>
      <c r="W1061" s="197"/>
      <c r="X1061" s="197"/>
      <c r="Y1061" s="197"/>
      <c r="Z1061" s="197"/>
      <c r="AA1061" s="197"/>
      <c r="AB1061" s="197"/>
      <c r="AC1061" s="197"/>
      <c r="AD1061" s="197"/>
      <c r="AE1061" s="197"/>
      <c r="AF1061" s="197"/>
      <c r="AG1061" s="197"/>
      <c r="AH1061" s="197"/>
      <c r="AI1061" s="197"/>
      <c r="AJ1061" s="197"/>
      <c r="AK1061" s="197"/>
      <c r="AL1061" s="197"/>
      <c r="AM1061" s="197"/>
      <c r="AN1061" s="197"/>
      <c r="AO1061" s="197"/>
      <c r="AP1061" s="197"/>
      <c r="AQ1061" s="197"/>
      <c r="AR1061" s="197"/>
      <c r="AS1061" s="197"/>
      <c r="AT1061" s="197"/>
      <c r="AU1061" s="197"/>
      <c r="AV1061" s="197"/>
      <c r="AW1061" s="197"/>
      <c r="AX1061" s="197"/>
      <c r="AY1061" s="197"/>
      <c r="AZ1061" s="197"/>
      <c r="BA1061" s="197"/>
      <c r="BB1061" s="197"/>
      <c r="BC1061" s="197"/>
      <c r="BD1061" s="197"/>
      <c r="BE1061" s="197"/>
      <c r="BF1061" s="197"/>
      <c r="BG1061" s="197"/>
      <c r="BH1061" s="198"/>
      <c r="BI1061" s="197"/>
      <c r="BJ1061" s="197"/>
      <c r="BK1061" s="197"/>
      <c r="BL1061" s="197"/>
      <c r="BM1061" s="197"/>
      <c r="BN1061" s="197"/>
      <c r="BO1061" s="197"/>
      <c r="BP1061" s="197"/>
      <c r="BQ1061" s="197"/>
      <c r="BR1061" s="197"/>
      <c r="BS1061" s="197"/>
      <c r="BT1061" s="197"/>
      <c r="BU1061" s="197"/>
      <c r="BV1061" s="197"/>
      <c r="BW1061" s="197"/>
      <c r="BX1061" s="197"/>
      <c r="BY1061" s="197"/>
      <c r="BZ1061" s="197"/>
      <c r="CA1061" s="197"/>
      <c r="CB1061" s="197"/>
      <c r="CC1061" s="197"/>
      <c r="CD1061" s="197"/>
      <c r="CE1061" s="197"/>
      <c r="CF1061" s="197"/>
      <c r="CG1061" s="197"/>
      <c r="CH1061" s="197"/>
      <c r="CI1061" s="197"/>
      <c r="CJ1061" s="197"/>
      <c r="CK1061" s="197"/>
      <c r="CL1061" s="197"/>
      <c r="CM1061" s="197"/>
      <c r="CN1061" s="197"/>
      <c r="CO1061" s="197"/>
      <c r="CP1061" s="197"/>
      <c r="CQ1061" s="197"/>
      <c r="CR1061" s="197"/>
      <c r="CS1061" s="197"/>
      <c r="CT1061" s="197"/>
      <c r="CU1061" s="197"/>
      <c r="CV1061" s="197"/>
      <c r="CW1061" s="197"/>
      <c r="CX1061" s="197"/>
      <c r="CY1061" s="197"/>
      <c r="CZ1061" s="197"/>
      <c r="DA1061" s="197"/>
      <c r="DB1061" s="197"/>
      <c r="DC1061" s="197"/>
      <c r="DD1061" s="197"/>
      <c r="DE1061" s="197"/>
      <c r="DF1061" s="197"/>
      <c r="DG1061" s="197"/>
      <c r="DH1061" s="197"/>
      <c r="DI1061" s="197"/>
      <c r="DJ1061" s="197"/>
      <c r="DK1061" s="197"/>
      <c r="DL1061" s="197"/>
      <c r="DM1061" s="197"/>
      <c r="DN1061" s="197"/>
      <c r="DO1061" s="197"/>
      <c r="DP1061" s="197"/>
      <c r="DQ1061" s="197"/>
      <c r="DR1061" s="197"/>
      <c r="DS1061" s="197"/>
      <c r="DT1061" s="197"/>
      <c r="DU1061" s="197"/>
      <c r="DV1061" s="197"/>
      <c r="DW1061" s="197"/>
      <c r="DX1061" s="197"/>
      <c r="DY1061" s="197"/>
      <c r="DZ1061" s="197"/>
      <c r="EA1061" s="197"/>
      <c r="EB1061" s="197"/>
      <c r="EC1061" s="197"/>
      <c r="ED1061" s="197"/>
      <c r="EE1061" s="197"/>
      <c r="EF1061" s="197"/>
      <c r="EG1061" s="197"/>
      <c r="EH1061" s="197"/>
      <c r="EI1061" s="197"/>
      <c r="EJ1061" s="197"/>
      <c r="EK1061" s="197"/>
      <c r="EL1061" s="197"/>
      <c r="EM1061" s="197"/>
      <c r="EN1061" s="197"/>
      <c r="EO1061" s="197"/>
      <c r="EP1061" s="197"/>
      <c r="EQ1061" s="197"/>
      <c r="ER1061" s="197"/>
      <c r="ES1061" s="197"/>
      <c r="ET1061" s="197"/>
      <c r="EU1061" s="197"/>
      <c r="EV1061" s="197"/>
      <c r="EW1061" s="197"/>
      <c r="EX1061" s="197"/>
      <c r="EY1061" s="197"/>
      <c r="EZ1061" s="197"/>
      <c r="FA1061" s="197"/>
      <c r="FB1061" s="197"/>
      <c r="FC1061" s="197"/>
      <c r="FD1061" s="197"/>
      <c r="FE1061" s="197"/>
      <c r="FF1061" s="197"/>
      <c r="FG1061" s="197"/>
      <c r="FH1061" s="197"/>
      <c r="FI1061" s="197"/>
      <c r="FJ1061" s="197"/>
      <c r="FK1061" s="197"/>
      <c r="FL1061" s="197"/>
      <c r="FM1061" s="197"/>
      <c r="FN1061" s="197"/>
      <c r="FO1061" s="197"/>
      <c r="FP1061" s="197"/>
      <c r="FQ1061" s="197"/>
      <c r="FR1061" s="197"/>
      <c r="FS1061" s="197"/>
      <c r="FT1061" s="197"/>
      <c r="FU1061" s="197"/>
      <c r="FV1061" s="197"/>
      <c r="FW1061" s="197"/>
      <c r="FX1061" s="197"/>
      <c r="FY1061" s="197"/>
      <c r="FZ1061" s="197"/>
      <c r="GA1061" s="197"/>
      <c r="GB1061" s="197"/>
      <c r="GC1061" s="197"/>
      <c r="GD1061" s="197"/>
      <c r="GE1061" s="197"/>
      <c r="GF1061" s="197"/>
      <c r="GG1061" s="197"/>
      <c r="GH1061" s="197"/>
      <c r="GI1061" s="197"/>
      <c r="GJ1061" s="197"/>
      <c r="GK1061" s="197"/>
      <c r="GL1061" s="197"/>
      <c r="GM1061" s="197"/>
      <c r="GN1061" s="197"/>
      <c r="GO1061" s="197"/>
      <c r="GP1061" s="197"/>
      <c r="GQ1061" s="197"/>
      <c r="GR1061" s="197"/>
      <c r="GS1061" s="197"/>
      <c r="GT1061" s="197"/>
      <c r="GU1061" s="197"/>
      <c r="GV1061" s="197"/>
      <c r="GW1061" s="197"/>
      <c r="GX1061" s="197"/>
      <c r="GY1061" s="197"/>
      <c r="GZ1061" s="197"/>
      <c r="HA1061" s="197"/>
      <c r="HB1061" s="197"/>
      <c r="HC1061" s="197"/>
      <c r="HD1061" s="197"/>
      <c r="HE1061" s="197"/>
      <c r="HF1061" s="197"/>
      <c r="HG1061" s="197"/>
      <c r="HH1061" s="197"/>
      <c r="HI1061" s="197"/>
      <c r="HJ1061" s="197"/>
      <c r="HK1061" s="197"/>
      <c r="HL1061" s="197"/>
      <c r="HM1061" s="197"/>
      <c r="HN1061" s="197"/>
      <c r="HO1061" s="197"/>
      <c r="HP1061" s="197"/>
      <c r="HQ1061" s="197"/>
      <c r="HR1061" s="197"/>
      <c r="HS1061" s="197"/>
      <c r="HT1061" s="197"/>
      <c r="HU1061" s="197"/>
      <c r="HV1061" s="197"/>
      <c r="HW1061" s="197"/>
      <c r="HX1061" s="197"/>
      <c r="HY1061" s="197"/>
      <c r="HZ1061" s="197"/>
      <c r="IA1061" s="197"/>
      <c r="IB1061" s="197"/>
      <c r="IC1061" s="197"/>
      <c r="ID1061" s="197"/>
      <c r="IE1061" s="197"/>
      <c r="IF1061" s="197"/>
      <c r="IG1061" s="197"/>
      <c r="IH1061" s="197"/>
      <c r="II1061" s="197"/>
      <c r="IJ1061" s="197"/>
      <c r="IK1061" s="197"/>
      <c r="IL1061" s="197"/>
      <c r="IM1061" s="197"/>
      <c r="IN1061" s="197"/>
      <c r="IO1061" s="197"/>
      <c r="IP1061" s="197"/>
      <c r="IQ1061" s="197"/>
      <c r="IR1061" s="197"/>
      <c r="IS1061" s="197"/>
      <c r="IT1061" s="197"/>
      <c r="IU1061" s="197"/>
      <c r="IV1061" s="197"/>
      <c r="IW1061" s="197"/>
      <c r="IX1061" s="197"/>
      <c r="IY1061" s="197"/>
      <c r="IZ1061" s="197"/>
      <c r="JA1061" s="197"/>
      <c r="JB1061" s="197"/>
      <c r="JC1061" s="197"/>
      <c r="JD1061" s="197"/>
      <c r="JE1061" s="197"/>
      <c r="JF1061" s="197"/>
      <c r="JG1061" s="197"/>
      <c r="JH1061" s="197"/>
      <c r="JI1061" s="197"/>
      <c r="JJ1061" s="197"/>
      <c r="JK1061" s="197"/>
      <c r="JL1061" s="197"/>
      <c r="JM1061" s="197"/>
      <c r="JN1061" s="197"/>
      <c r="JO1061" s="197"/>
      <c r="JP1061" s="197"/>
      <c r="JQ1061" s="197"/>
      <c r="JR1061" s="197"/>
      <c r="JS1061" s="197"/>
      <c r="JT1061" s="197"/>
      <c r="JU1061" s="197"/>
      <c r="JV1061" s="197"/>
      <c r="JW1061" s="197"/>
      <c r="JX1061" s="197"/>
      <c r="JY1061" s="197"/>
      <c r="JZ1061" s="197"/>
      <c r="KA1061" s="197"/>
      <c r="KB1061" s="197"/>
      <c r="KC1061" s="197"/>
      <c r="KD1061" s="197"/>
      <c r="KE1061" s="197"/>
      <c r="KF1061" s="197"/>
      <c r="KG1061" s="197"/>
      <c r="KH1061" s="197"/>
      <c r="KI1061" s="197"/>
      <c r="KJ1061" s="197"/>
      <c r="KK1061" s="197"/>
      <c r="KL1061" s="197"/>
      <c r="KM1061" s="197"/>
      <c r="KN1061" s="197"/>
      <c r="KO1061" s="197"/>
      <c r="KP1061" s="197"/>
      <c r="KQ1061" s="197"/>
      <c r="KR1061" s="197"/>
      <c r="KS1061" s="197"/>
      <c r="KT1061" s="197"/>
      <c r="KU1061" s="197"/>
      <c r="KV1061" s="197"/>
      <c r="KW1061" s="197"/>
      <c r="KX1061" s="197"/>
      <c r="KY1061" s="197"/>
      <c r="KZ1061" s="197"/>
      <c r="LA1061" s="197"/>
      <c r="LB1061" s="197"/>
      <c r="LC1061" s="197"/>
      <c r="LD1061" s="197"/>
      <c r="LE1061" s="197"/>
      <c r="LF1061" s="197"/>
      <c r="LG1061" s="197"/>
      <c r="LH1061" s="197"/>
      <c r="LI1061" s="197"/>
      <c r="LJ1061" s="197"/>
      <c r="LK1061" s="197"/>
      <c r="LL1061" s="197"/>
      <c r="LM1061" s="197"/>
      <c r="LN1061" s="197"/>
      <c r="LO1061" s="197"/>
      <c r="LP1061" s="197"/>
      <c r="LQ1061" s="197"/>
      <c r="LR1061" s="197"/>
      <c r="LS1061" s="197"/>
      <c r="LT1061" s="197"/>
      <c r="LU1061" s="197"/>
      <c r="LV1061" s="197"/>
      <c r="LW1061" s="197"/>
      <c r="LX1061" s="197"/>
      <c r="LY1061" s="197"/>
      <c r="LZ1061" s="197"/>
      <c r="MA1061" s="197"/>
      <c r="MB1061" s="197"/>
      <c r="MC1061" s="197"/>
      <c r="MD1061" s="197"/>
      <c r="ME1061" s="197"/>
      <c r="MF1061" s="197"/>
      <c r="MG1061" s="197"/>
      <c r="MH1061" s="197"/>
      <c r="MI1061" s="197"/>
      <c r="MJ1061" s="197"/>
      <c r="MK1061" s="197"/>
      <c r="ML1061" s="197"/>
      <c r="MM1061" s="197"/>
      <c r="MN1061" s="197"/>
      <c r="MO1061" s="197"/>
      <c r="MP1061" s="197"/>
      <c r="MQ1061" s="197"/>
      <c r="MR1061" s="197"/>
      <c r="MS1061" s="197"/>
      <c r="MT1061" s="197"/>
      <c r="MU1061" s="197"/>
      <c r="MV1061" s="197"/>
      <c r="MW1061" s="197"/>
      <c r="MX1061" s="197"/>
      <c r="MY1061" s="197"/>
      <c r="MZ1061" s="197"/>
      <c r="NA1061" s="197"/>
      <c r="NB1061" s="197"/>
      <c r="NC1061" s="197"/>
      <c r="ND1061" s="197"/>
      <c r="NE1061" s="197"/>
      <c r="NF1061" s="197"/>
      <c r="NG1061" s="197"/>
      <c r="NH1061" s="197"/>
      <c r="NI1061" s="197"/>
      <c r="NJ1061" s="197"/>
      <c r="NK1061" s="197"/>
      <c r="NL1061" s="197"/>
      <c r="NM1061" s="197"/>
      <c r="NN1061" s="197"/>
      <c r="NO1061" s="197"/>
      <c r="NP1061" s="197"/>
      <c r="NQ1061" s="197"/>
      <c r="NR1061" s="197"/>
      <c r="NS1061" s="197"/>
      <c r="NT1061" s="197"/>
      <c r="NU1061" s="197"/>
      <c r="NV1061" s="197"/>
      <c r="NW1061" s="197"/>
      <c r="NX1061" s="197"/>
      <c r="NY1061" s="197"/>
      <c r="NZ1061" s="197"/>
      <c r="OA1061" s="197"/>
      <c r="OB1061" s="197"/>
      <c r="OC1061" s="197"/>
      <c r="OD1061" s="197"/>
      <c r="OE1061" s="197"/>
      <c r="OF1061" s="197"/>
      <c r="OG1061" s="197"/>
      <c r="OH1061" s="197"/>
      <c r="OI1061" s="197"/>
      <c r="OJ1061" s="197"/>
      <c r="OK1061" s="197"/>
      <c r="OL1061" s="197"/>
      <c r="OM1061" s="197"/>
      <c r="ON1061" s="197"/>
      <c r="OO1061" s="197"/>
      <c r="OP1061" s="197"/>
      <c r="OQ1061" s="197"/>
      <c r="OR1061" s="197"/>
      <c r="OS1061" s="197"/>
      <c r="OT1061" s="197"/>
      <c r="OU1061" s="197"/>
      <c r="OV1061" s="197"/>
      <c r="OW1061" s="197"/>
      <c r="OX1061" s="197"/>
      <c r="OY1061" s="197"/>
      <c r="OZ1061" s="197"/>
      <c r="PA1061" s="197"/>
      <c r="PB1061" s="197"/>
      <c r="PC1061" s="197"/>
      <c r="PD1061" s="197"/>
      <c r="PE1061" s="197"/>
      <c r="PF1061" s="197"/>
      <c r="PG1061" s="197"/>
      <c r="PH1061" s="197"/>
      <c r="PI1061" s="197"/>
      <c r="PJ1061" s="197"/>
      <c r="PK1061" s="197"/>
      <c r="PL1061" s="197"/>
      <c r="PM1061" s="197"/>
      <c r="PN1061" s="197"/>
      <c r="PO1061" s="197"/>
      <c r="PP1061" s="197"/>
      <c r="PQ1061" s="197"/>
      <c r="PR1061" s="197"/>
      <c r="PS1061" s="197"/>
      <c r="PT1061" s="197"/>
      <c r="PU1061" s="197"/>
      <c r="PV1061" s="197"/>
      <c r="PW1061" s="197"/>
      <c r="PX1061" s="197"/>
      <c r="PY1061" s="197"/>
      <c r="PZ1061" s="197"/>
      <c r="QA1061" s="197"/>
      <c r="QB1061" s="197"/>
      <c r="QC1061" s="197"/>
      <c r="QD1061" s="197"/>
      <c r="QE1061" s="197"/>
      <c r="QF1061" s="197"/>
      <c r="QG1061" s="197"/>
      <c r="QH1061" s="197"/>
      <c r="QI1061" s="197"/>
      <c r="QJ1061" s="197"/>
      <c r="QK1061" s="197"/>
      <c r="QL1061" s="197"/>
      <c r="QM1061" s="197"/>
      <c r="QN1061" s="197"/>
      <c r="QO1061" s="197"/>
      <c r="QP1061" s="197"/>
      <c r="QQ1061" s="197"/>
      <c r="QR1061" s="197"/>
      <c r="QS1061" s="197"/>
      <c r="QT1061" s="197"/>
      <c r="QU1061" s="197"/>
      <c r="QV1061" s="197"/>
      <c r="QW1061" s="197"/>
      <c r="QX1061" s="197"/>
      <c r="QY1061" s="197"/>
      <c r="QZ1061" s="197"/>
      <c r="RA1061" s="197"/>
      <c r="RB1061" s="197"/>
      <c r="RC1061" s="197"/>
      <c r="RD1061" s="197"/>
      <c r="RE1061" s="197"/>
      <c r="RF1061" s="197"/>
      <c r="RG1061" s="197"/>
      <c r="RH1061" s="197"/>
      <c r="RI1061" s="197"/>
      <c r="RJ1061" s="197"/>
      <c r="RK1061" s="197"/>
      <c r="RL1061" s="197"/>
      <c r="RM1061" s="197"/>
      <c r="RN1061" s="197"/>
      <c r="RO1061" s="197"/>
      <c r="RP1061" s="197"/>
      <c r="RQ1061" s="197"/>
      <c r="RR1061" s="197"/>
      <c r="RS1061" s="197"/>
      <c r="RT1061" s="197"/>
      <c r="RU1061" s="197"/>
      <c r="RV1061" s="197"/>
      <c r="RW1061" s="197"/>
      <c r="RX1061" s="197"/>
      <c r="RY1061" s="197"/>
      <c r="RZ1061" s="197"/>
      <c r="SA1061" s="197"/>
      <c r="SB1061" s="197"/>
      <c r="SC1061" s="197"/>
      <c r="SD1061" s="197"/>
      <c r="SE1061" s="197"/>
      <c r="SF1061" s="197"/>
      <c r="SG1061" s="197"/>
      <c r="SH1061" s="197"/>
      <c r="SI1061" s="197"/>
      <c r="SJ1061" s="197"/>
      <c r="SK1061" s="197"/>
      <c r="SL1061" s="197"/>
      <c r="SM1061" s="197"/>
      <c r="SN1061" s="197"/>
      <c r="SO1061" s="197"/>
      <c r="SP1061" s="197"/>
      <c r="SQ1061" s="197"/>
      <c r="SR1061" s="197"/>
      <c r="SS1061" s="197"/>
      <c r="ST1061" s="197"/>
      <c r="SU1061" s="197"/>
      <c r="SV1061" s="197"/>
      <c r="SW1061" s="197"/>
      <c r="SX1061" s="197"/>
      <c r="SY1061" s="197"/>
      <c r="SZ1061" s="197"/>
      <c r="TA1061" s="197"/>
      <c r="TB1061" s="197"/>
      <c r="TC1061" s="197"/>
      <c r="TD1061" s="197"/>
      <c r="TE1061" s="197"/>
      <c r="TF1061" s="197"/>
      <c r="TG1061" s="197"/>
      <c r="TH1061" s="197"/>
      <c r="TI1061" s="197"/>
      <c r="TJ1061" s="197"/>
      <c r="TK1061" s="197"/>
      <c r="TL1061" s="197"/>
      <c r="TM1061" s="197"/>
      <c r="TN1061" s="197"/>
      <c r="TO1061" s="197"/>
      <c r="TP1061" s="197"/>
      <c r="TQ1061" s="197"/>
      <c r="TR1061" s="197"/>
      <c r="TS1061" s="197"/>
      <c r="TT1061" s="197"/>
      <c r="TU1061" s="197"/>
      <c r="TV1061" s="197"/>
      <c r="TW1061" s="197"/>
      <c r="TX1061" s="197"/>
      <c r="TY1061" s="197"/>
      <c r="TZ1061" s="197"/>
      <c r="UA1061" s="197"/>
      <c r="UB1061" s="197"/>
      <c r="UC1061" s="197"/>
      <c r="UD1061" s="197"/>
      <c r="UE1061" s="197"/>
      <c r="UF1061" s="197"/>
      <c r="UG1061" s="197"/>
      <c r="UH1061" s="197"/>
      <c r="UI1061" s="197"/>
      <c r="UJ1061" s="197"/>
      <c r="UK1061" s="197"/>
      <c r="UL1061" s="197"/>
      <c r="UM1061" s="197"/>
      <c r="UN1061" s="197"/>
      <c r="UO1061" s="197"/>
      <c r="UP1061" s="197"/>
      <c r="UQ1061" s="197"/>
      <c r="UR1061" s="197"/>
      <c r="US1061" s="197"/>
      <c r="UT1061" s="197"/>
      <c r="UU1061" s="197"/>
      <c r="UV1061" s="197"/>
      <c r="UW1061" s="197"/>
      <c r="UX1061" s="197"/>
      <c r="UY1061" s="197"/>
      <c r="UZ1061" s="197"/>
      <c r="VA1061" s="197"/>
      <c r="VB1061" s="197"/>
      <c r="VC1061" s="197"/>
      <c r="VD1061" s="197"/>
      <c r="VE1061" s="197"/>
      <c r="VF1061" s="197"/>
      <c r="VG1061" s="197"/>
      <c r="VH1061" s="197"/>
      <c r="VI1061" s="197"/>
      <c r="VJ1061" s="197"/>
      <c r="VK1061" s="197"/>
      <c r="VL1061" s="197"/>
      <c r="VM1061" s="197"/>
      <c r="VN1061" s="197"/>
      <c r="VO1061" s="197"/>
      <c r="VP1061" s="197"/>
      <c r="VQ1061" s="197"/>
      <c r="VR1061" s="197"/>
      <c r="VS1061" s="197"/>
      <c r="VT1061" s="197"/>
      <c r="VU1061" s="197"/>
      <c r="VV1061" s="197"/>
      <c r="VW1061" s="197"/>
      <c r="VX1061" s="197"/>
      <c r="VY1061" s="197"/>
      <c r="VZ1061" s="197"/>
      <c r="WA1061" s="197"/>
      <c r="WB1061" s="197"/>
      <c r="WC1061" s="197"/>
      <c r="WD1061" s="197"/>
      <c r="WE1061" s="197"/>
      <c r="WF1061" s="197"/>
      <c r="WG1061" s="197"/>
      <c r="WH1061" s="197"/>
      <c r="WI1061" s="197"/>
      <c r="WJ1061" s="197"/>
      <c r="WK1061" s="197"/>
      <c r="WL1061" s="197"/>
      <c r="WM1061" s="197"/>
      <c r="WN1061" s="197"/>
      <c r="WO1061" s="197"/>
      <c r="WP1061" s="197"/>
      <c r="WQ1061" s="197"/>
      <c r="WR1061" s="197"/>
      <c r="WS1061" s="197"/>
      <c r="WT1061" s="197"/>
      <c r="WU1061" s="197"/>
      <c r="WV1061" s="197"/>
      <c r="WW1061" s="197"/>
      <c r="WX1061" s="197"/>
      <c r="WY1061" s="197"/>
      <c r="WZ1061" s="197"/>
      <c r="XA1061" s="197"/>
      <c r="XB1061" s="197"/>
      <c r="XC1061" s="197"/>
      <c r="XD1061" s="197"/>
      <c r="XE1061" s="197"/>
      <c r="XF1061" s="197"/>
      <c r="XG1061" s="197"/>
    </row>
    <row r="1062" spans="1:631" ht="15" hidden="1" customHeight="1" x14ac:dyDescent="0.25">
      <c r="A1062" s="5" t="s">
        <v>2719</v>
      </c>
      <c r="B1062" s="15" t="str">
        <f>VLOOKUP(TAB_SAIDA[[#This Row],[COD_2_SAIDA]],TAB_ESTOQUE[[Codigo]:[Descrição Tecnica]],6,FALSE)</f>
        <v>MOTOR ELETRICO V230-50HZ - NBR500-1</v>
      </c>
      <c r="C1062" s="15">
        <f>IFERROR(VLOOKUP(TAB_SAIDA[[#This Row],[COD_2_SAIDA]],TAB_ESTOQUE[[Codigo]:[Referência Tec]],7,FALSE),"")</f>
        <v>0</v>
      </c>
      <c r="D1062" s="15" t="str">
        <f>VLOOKUP(TAB_SAIDA[[#This Row],[COD_2_SAIDA]],TAB_ESTOQUE[[Codigo]:[Endereço2]],12,FALSE)</f>
        <v>BOX</v>
      </c>
      <c r="E1062" s="81">
        <f>SUM(TAB_SAIDA[[#This Row],[20/05/2019]:[00/00/00]])</f>
        <v>0</v>
      </c>
      <c r="F1062" s="3"/>
    </row>
    <row r="1063" spans="1:631" ht="15" hidden="1" customHeight="1" x14ac:dyDescent="0.25">
      <c r="A1063" s="5" t="s">
        <v>2720</v>
      </c>
      <c r="B1063" s="15" t="str">
        <f>VLOOKUP(TAB_SAIDA[[#This Row],[COD_2_SAIDA]],TAB_ESTOQUE[[Codigo]:[Descrição Tecnica]],6,FALSE)</f>
        <v>MOTOR ELETRICO MOV FACA 5.5 KW 5500W B5</v>
      </c>
      <c r="C1063" s="15">
        <f>IFERROR(VLOOKUP(TAB_SAIDA[[#This Row],[COD_2_SAIDA]],TAB_ESTOQUE[[Codigo]:[Referência Tec]],7,FALSE),"")</f>
        <v>0</v>
      </c>
      <c r="D1063" s="15" t="str">
        <f>VLOOKUP(TAB_SAIDA[[#This Row],[COD_2_SAIDA]],TAB_ESTOQUE[[Codigo]:[Endereço2]],12,FALSE)</f>
        <v>BOX</v>
      </c>
      <c r="E1063" s="81">
        <f>SUM(TAB_SAIDA[[#This Row],[20/05/2019]:[00/00/00]])</f>
        <v>0</v>
      </c>
      <c r="F1063" s="3"/>
    </row>
    <row r="1064" spans="1:631" ht="15" hidden="1" customHeight="1" x14ac:dyDescent="0.25">
      <c r="A1064" s="5" t="s">
        <v>2721</v>
      </c>
      <c r="B1064" s="15" t="str">
        <f>VLOOKUP(TAB_SAIDA[[#This Row],[COD_2_SAIDA]],TAB_ESTOQUE[[Codigo]:[Descrição Tecnica]],6,FALSE)</f>
        <v>ROLAMENTO ESFERA 6210 2 RS 50X90X20</v>
      </c>
      <c r="C1064" s="15">
        <f>IFERROR(VLOOKUP(TAB_SAIDA[[#This Row],[COD_2_SAIDA]],TAB_ESTOQUE[[Codigo]:[Referência Tec]],7,FALSE),"")</f>
        <v>0</v>
      </c>
      <c r="D1064" s="15" t="str">
        <f>VLOOKUP(TAB_SAIDA[[#This Row],[COD_2_SAIDA]],TAB_ESTOQUE[[Codigo]:[Endereço2]],12,FALSE)</f>
        <v>D2104</v>
      </c>
      <c r="E1064" s="81">
        <f>SUM(TAB_SAIDA[[#This Row],[20/05/2019]:[00/00/00]])</f>
        <v>0</v>
      </c>
      <c r="F1064" s="3"/>
    </row>
    <row r="1065" spans="1:631" ht="15" hidden="1" customHeight="1" x14ac:dyDescent="0.25">
      <c r="A1065" s="5" t="s">
        <v>2722</v>
      </c>
      <c r="B1065" s="15" t="str">
        <f>VLOOKUP(TAB_SAIDA[[#This Row],[COD_2_SAIDA]],TAB_ESTOQUE[[Codigo]:[Descrição Tecnica]],6,FALSE)</f>
        <v>ROLAMENTO ESFERA 62206 2 RS 30X62X20</v>
      </c>
      <c r="C1065" s="15">
        <f>IFERROR(VLOOKUP(TAB_SAIDA[[#This Row],[COD_2_SAIDA]],TAB_ESTOQUE[[Codigo]:[Referência Tec]],7,FALSE),"")</f>
        <v>0</v>
      </c>
      <c r="D1065" s="15" t="str">
        <f>VLOOKUP(TAB_SAIDA[[#This Row],[COD_2_SAIDA]],TAB_ESTOQUE[[Codigo]:[Endereço2]],12,FALSE)</f>
        <v>D1105</v>
      </c>
      <c r="E1065" s="81">
        <f>SUM(TAB_SAIDA[[#This Row],[20/05/2019]:[00/00/00]])</f>
        <v>0</v>
      </c>
      <c r="F1065" s="3"/>
    </row>
    <row r="1066" spans="1:631" ht="15" hidden="1" customHeight="1" x14ac:dyDescent="0.25">
      <c r="A1066" s="5" t="s">
        <v>2723</v>
      </c>
      <c r="B1066" s="15" t="str">
        <f>VLOOKUP(TAB_SAIDA[[#This Row],[COD_2_SAIDA]],TAB_ESTOQUE[[Codigo]:[Descrição Tecnica]],6,FALSE)</f>
        <v>MANCAL DO ROLAMENTO UPC 210 HOLE 50</v>
      </c>
      <c r="C1066" s="15">
        <f>IFERROR(VLOOKUP(TAB_SAIDA[[#This Row],[COD_2_SAIDA]],TAB_ESTOQUE[[Codigo]:[Referência Tec]],7,FALSE),"")</f>
        <v>0</v>
      </c>
      <c r="D1066" s="15" t="str">
        <f>VLOOKUP(TAB_SAIDA[[#This Row],[COD_2_SAIDA]],TAB_ESTOQUE[[Codigo]:[Endereço2]],12,FALSE)</f>
        <v>E1406</v>
      </c>
      <c r="E1066" s="81">
        <f>SUM(TAB_SAIDA[[#This Row],[20/05/2019]:[00/00/00]])</f>
        <v>0</v>
      </c>
      <c r="F1066" s="3"/>
    </row>
    <row r="1067" spans="1:631" ht="15" hidden="1" customHeight="1" x14ac:dyDescent="0.25">
      <c r="A1067" s="5" t="s">
        <v>2724</v>
      </c>
      <c r="B1067" s="15" t="str">
        <f>VLOOKUP(TAB_SAIDA[[#This Row],[COD_2_SAIDA]],TAB_ESTOQUE[[Codigo]:[Descrição Tecnica]],6,FALSE)</f>
        <v>MANCAL DO ROLAMENTO UCF 206 HOLE D30</v>
      </c>
      <c r="C1067" s="15">
        <f>IFERROR(VLOOKUP(TAB_SAIDA[[#This Row],[COD_2_SAIDA]],TAB_ESTOQUE[[Codigo]:[Referência Tec]],7,FALSE),"")</f>
        <v>0</v>
      </c>
      <c r="D1067" s="15" t="str">
        <f>VLOOKUP(TAB_SAIDA[[#This Row],[COD_2_SAIDA]],TAB_ESTOQUE[[Codigo]:[Endereço2]],12,FALSE)</f>
        <v>F2</v>
      </c>
      <c r="E1067" s="81">
        <f>SUM(TAB_SAIDA[[#This Row],[20/05/2019]:[00/00/00]])</f>
        <v>0</v>
      </c>
      <c r="F1067" s="3"/>
    </row>
    <row r="1068" spans="1:631" ht="15" hidden="1" customHeight="1" x14ac:dyDescent="0.25">
      <c r="A1068" s="5" t="s">
        <v>2725</v>
      </c>
      <c r="B1068" s="15" t="str">
        <f>VLOOKUP(TAB_SAIDA[[#This Row],[COD_2_SAIDA]],TAB_ESTOQUE[[Codigo]:[Descrição Tecnica]],6,FALSE)</f>
        <v>MANCAL DO ROLAMENTO P210</v>
      </c>
      <c r="C1068" s="15">
        <f>IFERROR(VLOOKUP(TAB_SAIDA[[#This Row],[COD_2_SAIDA]],TAB_ESTOQUE[[Codigo]:[Referência Tec]],7,FALSE),"")</f>
        <v>0</v>
      </c>
      <c r="D1068" s="15" t="str">
        <f>VLOOKUP(TAB_SAIDA[[#This Row],[COD_2_SAIDA]],TAB_ESTOQUE[[Codigo]:[Endereço2]],12,FALSE)</f>
        <v>E1405</v>
      </c>
      <c r="E1068" s="81">
        <f>SUM(TAB_SAIDA[[#This Row],[20/05/2019]:[00/00/00]])</f>
        <v>0</v>
      </c>
      <c r="F1068" s="3"/>
    </row>
    <row r="1069" spans="1:631" ht="15" hidden="1" customHeight="1" x14ac:dyDescent="0.25">
      <c r="A1069" s="5" t="s">
        <v>2726</v>
      </c>
      <c r="B1069" s="15" t="str">
        <f>VLOOKUP(TAB_SAIDA[[#This Row],[COD_2_SAIDA]],TAB_ESTOQUE[[Codigo]:[Descrição Tecnica]],6,FALSE)</f>
        <v>MANCAL QUADRADO DO ROLAMENTO T 210</v>
      </c>
      <c r="C1069" s="15">
        <f>IFERROR(VLOOKUP(TAB_SAIDA[[#This Row],[COD_2_SAIDA]],TAB_ESTOQUE[[Codigo]:[Referência Tec]],7,FALSE),"")</f>
        <v>0</v>
      </c>
      <c r="D1069" s="15" t="str">
        <f>VLOOKUP(TAB_SAIDA[[#This Row],[COD_2_SAIDA]],TAB_ESTOQUE[[Codigo]:[Endereço2]],12,FALSE)</f>
        <v>E1405</v>
      </c>
      <c r="E1069" s="81">
        <f>SUM(TAB_SAIDA[[#This Row],[20/05/2019]:[00/00/00]])</f>
        <v>0</v>
      </c>
      <c r="F1069" s="3"/>
    </row>
    <row r="1070" spans="1:631" ht="15" hidden="1" customHeight="1" x14ac:dyDescent="0.25">
      <c r="A1070" s="5" t="s">
        <v>2727</v>
      </c>
      <c r="B1070" s="15" t="str">
        <f>VLOOKUP(TAB_SAIDA[[#This Row],[COD_2_SAIDA]],TAB_ESTOQUE[[Codigo]:[Descrição Tecnica]],6,FALSE)</f>
        <v>MANCAL QUADRADO DO ROLAMENTO UCF 204 D 2</v>
      </c>
      <c r="C1070" s="15">
        <f>IFERROR(VLOOKUP(TAB_SAIDA[[#This Row],[COD_2_SAIDA]],TAB_ESTOQUE[[Codigo]:[Referência Tec]],7,FALSE),"")</f>
        <v>0</v>
      </c>
      <c r="D1070" s="15" t="str">
        <f>VLOOKUP(TAB_SAIDA[[#This Row],[COD_2_SAIDA]],TAB_ESTOQUE[[Codigo]:[Endereço2]],12,FALSE)</f>
        <v>F2</v>
      </c>
      <c r="E1070" s="81">
        <f>SUM(TAB_SAIDA[[#This Row],[20/05/2019]:[00/00/00]])</f>
        <v>0</v>
      </c>
      <c r="F1070" s="3"/>
    </row>
    <row r="1071" spans="1:631" ht="15" hidden="1" customHeight="1" x14ac:dyDescent="0.25">
      <c r="A1071" s="5" t="s">
        <v>2728</v>
      </c>
      <c r="B1071" s="15" t="str">
        <f>VLOOKUP(TAB_SAIDA[[#This Row],[COD_2_SAIDA]],TAB_ESTOQUE[[Codigo]:[Descrição Tecnica]],6,FALSE)</f>
        <v>ENGRENAGEM CONICA ESPIRAL PCM BG12 A</v>
      </c>
      <c r="C1071" s="15">
        <f>IFERROR(VLOOKUP(TAB_SAIDA[[#This Row],[COD_2_SAIDA]],TAB_ESTOQUE[[Codigo]:[Referência Tec]],7,FALSE),"")</f>
        <v>0</v>
      </c>
      <c r="D1071" s="15" t="str">
        <f>VLOOKUP(TAB_SAIDA[[#This Row],[COD_2_SAIDA]],TAB_ESTOQUE[[Codigo]:[Endereço2]],12,FALSE)</f>
        <v>F2</v>
      </c>
      <c r="E1071" s="81">
        <f>SUM(TAB_SAIDA[[#This Row],[20/05/2019]:[00/00/00]])</f>
        <v>0</v>
      </c>
      <c r="F1071" s="3"/>
    </row>
    <row r="1072" spans="1:631" ht="15" hidden="1" customHeight="1" x14ac:dyDescent="0.25">
      <c r="A1072" s="5" t="s">
        <v>2729</v>
      </c>
      <c r="B1072" s="15" t="str">
        <f>VLOOKUP(TAB_SAIDA[[#This Row],[COD_2_SAIDA]],TAB_ESTOQUE[[Codigo]:[Descrição Tecnica]],6,FALSE)</f>
        <v>UNTA UNIVERSAL 04G CODE SG0S 1200</v>
      </c>
      <c r="C1072" s="15">
        <f>IFERROR(VLOOKUP(TAB_SAIDA[[#This Row],[COD_2_SAIDA]],TAB_ESTOQUE[[Codigo]:[Referência Tec]],7,FALSE),"")</f>
        <v>0</v>
      </c>
      <c r="D1072" s="15" t="str">
        <f>VLOOKUP(TAB_SAIDA[[#This Row],[COD_2_SAIDA]],TAB_ESTOQUE[[Codigo]:[Endereço2]],12,FALSE)</f>
        <v>F2</v>
      </c>
      <c r="E1072" s="81">
        <f>SUM(TAB_SAIDA[[#This Row],[20/05/2019]:[00/00/00]])</f>
        <v>0</v>
      </c>
      <c r="F1072" s="3"/>
    </row>
    <row r="1073" spans="1:6" ht="15" hidden="1" customHeight="1" x14ac:dyDescent="0.25">
      <c r="A1073" s="5" t="s">
        <v>2730</v>
      </c>
      <c r="B1073" s="15" t="str">
        <f>VLOOKUP(TAB_SAIDA[[#This Row],[COD_2_SAIDA]],TAB_ESTOQUE[[Codigo]:[Descrição Tecnica]],6,FALSE)</f>
        <v>PORCA AUTO TRAVANTE GUK M20 X 1</v>
      </c>
      <c r="C1073" s="15">
        <f>IFERROR(VLOOKUP(TAB_SAIDA[[#This Row],[COD_2_SAIDA]],TAB_ESTOQUE[[Codigo]:[Referência Tec]],7,FALSE),"")</f>
        <v>0</v>
      </c>
      <c r="D1073" s="15" t="str">
        <f>VLOOKUP(TAB_SAIDA[[#This Row],[COD_2_SAIDA]],TAB_ESTOQUE[[Codigo]:[Endereço2]],12,FALSE)</f>
        <v>F2</v>
      </c>
      <c r="E1073" s="81">
        <f>SUM(TAB_SAIDA[[#This Row],[20/05/2019]:[00/00/00]])</f>
        <v>0</v>
      </c>
      <c r="F1073" s="3"/>
    </row>
    <row r="1074" spans="1:6" ht="15" hidden="1" customHeight="1" x14ac:dyDescent="0.25">
      <c r="A1074" s="5" t="s">
        <v>2731</v>
      </c>
      <c r="B1074" s="15" t="str">
        <f>VLOOKUP(TAB_SAIDA[[#This Row],[COD_2_SAIDA]],TAB_ESTOQUE[[Codigo]:[Descrição Tecnica]],6,FALSE)</f>
        <v>PORCA AUTO TRAVANTE GUK M 50</v>
      </c>
      <c r="C1074" s="15">
        <f>IFERROR(VLOOKUP(TAB_SAIDA[[#This Row],[COD_2_SAIDA]],TAB_ESTOQUE[[Codigo]:[Referência Tec]],7,FALSE),"")</f>
        <v>0</v>
      </c>
      <c r="D1074" s="15" t="str">
        <f>VLOOKUP(TAB_SAIDA[[#This Row],[COD_2_SAIDA]],TAB_ESTOQUE[[Codigo]:[Endereço2]],12,FALSE)</f>
        <v>F2</v>
      </c>
      <c r="E1074" s="81">
        <f>SUM(TAB_SAIDA[[#This Row],[20/05/2019]:[00/00/00]])</f>
        <v>0</v>
      </c>
      <c r="F1074" s="3"/>
    </row>
    <row r="1075" spans="1:6" ht="15" hidden="1" customHeight="1" x14ac:dyDescent="0.25">
      <c r="A1075" s="5" t="s">
        <v>2732</v>
      </c>
      <c r="B1075" s="15" t="str">
        <f>VLOOKUP(TAB_SAIDA[[#This Row],[COD_2_SAIDA]],TAB_ESTOQUE[[Codigo]:[Descrição Tecnica]],6,FALSE)</f>
        <v>JUNTA BORRACHA RCK 70 40X65 VULCANIZADA</v>
      </c>
      <c r="C1075" s="15">
        <f>IFERROR(VLOOKUP(TAB_SAIDA[[#This Row],[COD_2_SAIDA]],TAB_ESTOQUE[[Codigo]:[Referência Tec]],7,FALSE),"")</f>
        <v>0</v>
      </c>
      <c r="D1075" s="15" t="str">
        <f>VLOOKUP(TAB_SAIDA[[#This Row],[COD_2_SAIDA]],TAB_ESTOQUE[[Codigo]:[Endereço2]],12,FALSE)</f>
        <v>CORREDOR 3</v>
      </c>
      <c r="E1075" s="81">
        <f>SUM(TAB_SAIDA[[#This Row],[20/05/2019]:[00/00/00]])</f>
        <v>0</v>
      </c>
      <c r="F1075" s="3"/>
    </row>
    <row r="1076" spans="1:6" ht="15" hidden="1" customHeight="1" x14ac:dyDescent="0.25">
      <c r="A1076" s="5" t="s">
        <v>2733</v>
      </c>
      <c r="B1076" s="15" t="str">
        <f>VLOOKUP(TAB_SAIDA[[#This Row],[COD_2_SAIDA]],TAB_ESTOQUE[[Codigo]:[Descrição Tecnica]],6,FALSE)</f>
        <v>JUNTA TRANSMISÃO MOTOVARIO H062U</v>
      </c>
      <c r="C1076" s="15">
        <f>IFERROR(VLOOKUP(TAB_SAIDA[[#This Row],[COD_2_SAIDA]],TAB_ESTOQUE[[Codigo]:[Referência Tec]],7,FALSE),"")</f>
        <v>0</v>
      </c>
      <c r="D1076" s="15" t="str">
        <f>VLOOKUP(TAB_SAIDA[[#This Row],[COD_2_SAIDA]],TAB_ESTOQUE[[Codigo]:[Endereço2]],12,FALSE)</f>
        <v>CORREDOR 3</v>
      </c>
      <c r="E1076" s="81">
        <f>SUM(TAB_SAIDA[[#This Row],[20/05/2019]:[00/00/00]])</f>
        <v>0</v>
      </c>
      <c r="F1076" s="3"/>
    </row>
    <row r="1077" spans="1:6" ht="15" hidden="1" customHeight="1" x14ac:dyDescent="0.25">
      <c r="A1077" s="5" t="s">
        <v>2734</v>
      </c>
      <c r="B1077" s="15" t="str">
        <f>VLOOKUP(TAB_SAIDA[[#This Row],[COD_2_SAIDA]],TAB_ESTOQUE[[Codigo]:[Descrição Tecnica]],6,FALSE)</f>
        <v>ENGRENAGEM CONICA 1:1 M=3 Z=25</v>
      </c>
      <c r="C1077" s="15">
        <f>IFERROR(VLOOKUP(TAB_SAIDA[[#This Row],[COD_2_SAIDA]],TAB_ESTOQUE[[Codigo]:[Referência Tec]],7,FALSE),"")</f>
        <v>0</v>
      </c>
      <c r="D1077" s="15" t="str">
        <f>VLOOKUP(TAB_SAIDA[[#This Row],[COD_2_SAIDA]],TAB_ESTOQUE[[Codigo]:[Endereço2]],12,FALSE)</f>
        <v>F2</v>
      </c>
      <c r="E1077" s="81">
        <f>SUM(TAB_SAIDA[[#This Row],[20/05/2019]:[00/00/00]])</f>
        <v>0</v>
      </c>
      <c r="F1077" s="3"/>
    </row>
    <row r="1078" spans="1:6" ht="15" hidden="1" customHeight="1" x14ac:dyDescent="0.25">
      <c r="A1078" s="5" t="s">
        <v>2735</v>
      </c>
      <c r="B1078" s="15" t="str">
        <f>VLOOKUP(TAB_SAIDA[[#This Row],[COD_2_SAIDA]],TAB_ESTOQUE[[Codigo]:[Descrição Tecnica]],6,FALSE)</f>
        <v>REDUTOR COAXIAL B-A72 FA LAM BLOCO HORIZ</v>
      </c>
      <c r="C1078" s="15">
        <f>IFERROR(VLOOKUP(TAB_SAIDA[[#This Row],[COD_2_SAIDA]],TAB_ESTOQUE[[Codigo]:[Referência Tec]],7,FALSE),"")</f>
        <v>0</v>
      </c>
      <c r="D1078" s="15" t="str">
        <f>VLOOKUP(TAB_SAIDA[[#This Row],[COD_2_SAIDA]],TAB_ESTOQUE[[Codigo]:[Endereço2]],12,FALSE)</f>
        <v>F2</v>
      </c>
      <c r="E1078" s="81">
        <f>SUM(TAB_SAIDA[[#This Row],[20/05/2019]:[00/00/00]])</f>
        <v>0</v>
      </c>
      <c r="F1078" s="3"/>
    </row>
    <row r="1079" spans="1:6" ht="15" hidden="1" customHeight="1" x14ac:dyDescent="0.25">
      <c r="A1079" s="5" t="s">
        <v>2736</v>
      </c>
      <c r="B1079" s="15" t="str">
        <f>VLOOKUP(TAB_SAIDA[[#This Row],[COD_2_SAIDA]],TAB_ESTOQUE[[Codigo]:[Descrição Tecnica]],6,FALSE)</f>
        <v>ACOPLAMENTO MAGNETICO JYY180M</v>
      </c>
      <c r="C1079" s="15">
        <f>IFERROR(VLOOKUP(TAB_SAIDA[[#This Row],[COD_2_SAIDA]],TAB_ESTOQUE[[Codigo]:[Referência Tec]],7,FALSE),"")</f>
        <v>0</v>
      </c>
      <c r="D1079" s="15" t="str">
        <f>VLOOKUP(TAB_SAIDA[[#This Row],[COD_2_SAIDA]],TAB_ESTOQUE[[Codigo]:[Endereço2]],12,FALSE)</f>
        <v>F2</v>
      </c>
      <c r="E1079" s="81">
        <f>SUM(TAB_SAIDA[[#This Row],[20/05/2019]:[00/00/00]])</f>
        <v>0</v>
      </c>
      <c r="F1079" s="3"/>
    </row>
    <row r="1080" spans="1:6" ht="15" hidden="1" customHeight="1" x14ac:dyDescent="0.25">
      <c r="A1080" s="5" t="s">
        <v>2737</v>
      </c>
      <c r="B1080" s="15" t="str">
        <f>VLOOKUP(TAB_SAIDA[[#This Row],[COD_2_SAIDA]],TAB_ESTOQUE[[Codigo]:[Descrição Tecnica]],6,FALSE)</f>
        <v>MOTOR ELET. ELEVAÇÃO CILINDRO KW0,25 4 P</v>
      </c>
      <c r="C1080" s="15">
        <f>IFERROR(VLOOKUP(TAB_SAIDA[[#This Row],[COD_2_SAIDA]],TAB_ESTOQUE[[Codigo]:[Referência Tec]],7,FALSE),"")</f>
        <v>0</v>
      </c>
      <c r="D1080" s="15" t="str">
        <f>VLOOKUP(TAB_SAIDA[[#This Row],[COD_2_SAIDA]],TAB_ESTOQUE[[Codigo]:[Endereço2]],12,FALSE)</f>
        <v>BOX</v>
      </c>
      <c r="E1080" s="81">
        <f>SUM(TAB_SAIDA[[#This Row],[20/05/2019]:[00/00/00]])</f>
        <v>0</v>
      </c>
      <c r="F1080" s="3"/>
    </row>
    <row r="1081" spans="1:6" ht="15" hidden="1" customHeight="1" x14ac:dyDescent="0.25">
      <c r="A1081" s="5" t="s">
        <v>2738</v>
      </c>
      <c r="B1081" s="15" t="str">
        <f>VLOOKUP(TAB_SAIDA[[#This Row],[COD_2_SAIDA]],TAB_ESTOQUE[[Codigo]:[Descrição Tecnica]],6,FALSE)</f>
        <v>MOTOR ELETRICO  0,25 KW 250 KW 4 POLES B</v>
      </c>
      <c r="C1081" s="15">
        <f>IFERROR(VLOOKUP(TAB_SAIDA[[#This Row],[COD_2_SAIDA]],TAB_ESTOQUE[[Codigo]:[Referência Tec]],7,FALSE),"")</f>
        <v>0</v>
      </c>
      <c r="D1081" s="15" t="str">
        <f>VLOOKUP(TAB_SAIDA[[#This Row],[COD_2_SAIDA]],TAB_ESTOQUE[[Codigo]:[Endereço2]],12,FALSE)</f>
        <v>BOX</v>
      </c>
      <c r="E1081" s="81">
        <f>SUM(TAB_SAIDA[[#This Row],[20/05/2019]:[00/00/00]])</f>
        <v>0</v>
      </c>
      <c r="F1081" s="3"/>
    </row>
    <row r="1082" spans="1:6" ht="15" hidden="1" customHeight="1" x14ac:dyDescent="0.25">
      <c r="A1082" s="5" t="s">
        <v>2739</v>
      </c>
      <c r="B1082" s="15" t="str">
        <f>VLOOKUP(TAB_SAIDA[[#This Row],[COD_2_SAIDA]],TAB_ESTOQUE[[Codigo]:[Descrição Tecnica]],6,FALSE)</f>
        <v>MOTOR AJUSTE FACA 0.18 KW 4 POLOS B14</v>
      </c>
      <c r="C1082" s="15">
        <f>IFERROR(VLOOKUP(TAB_SAIDA[[#This Row],[COD_2_SAIDA]],TAB_ESTOQUE[[Codigo]:[Referência Tec]],7,FALSE),"")</f>
        <v>0</v>
      </c>
      <c r="D1082" s="15" t="str">
        <f>VLOOKUP(TAB_SAIDA[[#This Row],[COD_2_SAIDA]],TAB_ESTOQUE[[Codigo]:[Endereço2]],12,FALSE)</f>
        <v>BOX</v>
      </c>
      <c r="E1082" s="81">
        <f>SUM(TAB_SAIDA[[#This Row],[20/05/2019]:[00/00/00]])</f>
        <v>0</v>
      </c>
      <c r="F1082" s="3"/>
    </row>
    <row r="1083" spans="1:6" ht="15" hidden="1" customHeight="1" x14ac:dyDescent="0.25">
      <c r="A1083" s="5" t="s">
        <v>2740</v>
      </c>
      <c r="B1083" s="15" t="str">
        <f>VLOOKUP(TAB_SAIDA[[#This Row],[COD_2_SAIDA]],TAB_ESTOQUE[[Codigo]:[Descrição Tecnica]],6,FALSE)</f>
        <v>MOTOR ELÉTRICO FRENO CC 230V. SBR440-1</v>
      </c>
      <c r="C1083" s="15">
        <f>IFERROR(VLOOKUP(TAB_SAIDA[[#This Row],[COD_2_SAIDA]],TAB_ESTOQUE[[Codigo]:[Referência Tec]],7,FALSE),"")</f>
        <v>0</v>
      </c>
      <c r="D1083" s="15" t="str">
        <f>VLOOKUP(TAB_SAIDA[[#This Row],[COD_2_SAIDA]],TAB_ESTOQUE[[Codigo]:[Endereço2]],12,FALSE)</f>
        <v>BOX</v>
      </c>
      <c r="E1083" s="81">
        <f>SUM(TAB_SAIDA[[#This Row],[20/05/2019]:[00/00/00]])</f>
        <v>0</v>
      </c>
      <c r="F1083" s="3"/>
    </row>
    <row r="1084" spans="1:6" ht="15" hidden="1" customHeight="1" x14ac:dyDescent="0.25">
      <c r="A1084" s="5" t="s">
        <v>2741</v>
      </c>
      <c r="B1084" s="15" t="str">
        <f>VLOOKUP(TAB_SAIDA[[#This Row],[COD_2_SAIDA]],TAB_ESTOQUE[[Codigo]:[Descrição Tecnica]],6,FALSE)</f>
        <v>MOTOR TT 90L 1.5 KW 4 POLES 1420 REVS</v>
      </c>
      <c r="C1084" s="15">
        <f>IFERROR(VLOOKUP(TAB_SAIDA[[#This Row],[COD_2_SAIDA]],TAB_ESTOQUE[[Codigo]:[Referência Tec]],7,FALSE),"")</f>
        <v>0</v>
      </c>
      <c r="D1084" s="15" t="str">
        <f>VLOOKUP(TAB_SAIDA[[#This Row],[COD_2_SAIDA]],TAB_ESTOQUE[[Codigo]:[Endereço2]],12,FALSE)</f>
        <v>PISO 01</v>
      </c>
      <c r="E1084" s="81">
        <f>SUM(TAB_SAIDA[[#This Row],[20/05/2019]:[00/00/00]])</f>
        <v>0</v>
      </c>
      <c r="F1084" s="3"/>
    </row>
    <row r="1085" spans="1:6" ht="15" hidden="1" customHeight="1" x14ac:dyDescent="0.25">
      <c r="A1085" s="5" t="s">
        <v>2742</v>
      </c>
      <c r="B1085" s="15" t="str">
        <f>VLOOKUP(TAB_SAIDA[[#This Row],[COD_2_SAIDA]],TAB_ESTOQUE[[Codigo]:[Descrição Tecnica]],6,FALSE)</f>
        <v>BLOCOS DE PROTEÇÃO CONECTOR 3-POLE, 3+ 5SD7463-0 SURGE ARRESTER TIPO 2 EXIGÊNCIA CATEGORIA C, UC 350V (SIEMENS)</v>
      </c>
      <c r="C1085" s="15">
        <f>IFERROR(VLOOKUP(TAB_SAIDA[[#This Row],[COD_2_SAIDA]],TAB_ESTOQUE[[Codigo]:[Referência Tec]],7,FALSE),"")</f>
        <v>0</v>
      </c>
      <c r="D1085" s="15" t="str">
        <f>VLOOKUP(TAB_SAIDA[[#This Row],[COD_2_SAIDA]],TAB_ESTOQUE[[Codigo]:[Endereço2]],12,FALSE)</f>
        <v>A1105</v>
      </c>
      <c r="E1085" s="81">
        <f>SUM(TAB_SAIDA[[#This Row],[20/05/2019]:[00/00/00]])</f>
        <v>0</v>
      </c>
      <c r="F1085" s="3"/>
    </row>
    <row r="1086" spans="1:6" ht="15" hidden="1" customHeight="1" x14ac:dyDescent="0.25">
      <c r="A1086" s="5" t="s">
        <v>2743</v>
      </c>
      <c r="B1086" s="15" t="str">
        <f>VLOOKUP(TAB_SAIDA[[#This Row],[COD_2_SAIDA]],TAB_ESTOQUE[[Codigo]:[Descrição Tecnica]],6,FALSE)</f>
        <v>DISJUNTOR CIRCUITO 5SP4391-7   400 V 10KA, 3-POLE, C, 100A, D 70 MM (SIEMENS)</v>
      </c>
      <c r="C1086" s="15">
        <f>IFERROR(VLOOKUP(TAB_SAIDA[[#This Row],[COD_2_SAIDA]],TAB_ESTOQUE[[Codigo]:[Referência Tec]],7,FALSE),"")</f>
        <v>0</v>
      </c>
      <c r="D1086" s="15" t="str">
        <f>VLOOKUP(TAB_SAIDA[[#This Row],[COD_2_SAIDA]],TAB_ESTOQUE[[Codigo]:[Endereço2]],12,FALSE)</f>
        <v>A1105</v>
      </c>
      <c r="E1086" s="81">
        <f>SUM(TAB_SAIDA[[#This Row],[20/05/2019]:[00/00/00]])</f>
        <v>0</v>
      </c>
      <c r="F1086" s="3"/>
    </row>
    <row r="1087" spans="1:6" ht="15" hidden="1" customHeight="1" x14ac:dyDescent="0.25">
      <c r="A1087" s="5" t="s">
        <v>2744</v>
      </c>
      <c r="B1087" s="15" t="str">
        <f>VLOOKUP(TAB_SAIDA[[#This Row],[COD_2_SAIDA]],TAB_ESTOQUE[[Codigo]:[Descrição Tecnica]],6,FALSE)</f>
        <v>DISJUNTOR  5SY8332-7 (SIEMENS)</v>
      </c>
      <c r="C1087" s="15">
        <f>IFERROR(VLOOKUP(TAB_SAIDA[[#This Row],[COD_2_SAIDA]],TAB_ESTOQUE[[Codigo]:[Referência Tec]],7,FALSE),"")</f>
        <v>0</v>
      </c>
      <c r="D1087" s="15" t="str">
        <f>VLOOKUP(TAB_SAIDA[[#This Row],[COD_2_SAIDA]],TAB_ESTOQUE[[Codigo]:[Endereço2]],12,FALSE)</f>
        <v>A1105</v>
      </c>
      <c r="E1087" s="81">
        <f>SUM(TAB_SAIDA[[#This Row],[20/05/2019]:[00/00/00]])</f>
        <v>0</v>
      </c>
      <c r="F1087" s="3"/>
    </row>
    <row r="1088" spans="1:6" ht="15" hidden="1" customHeight="1" x14ac:dyDescent="0.25">
      <c r="A1088" s="5" t="s">
        <v>2745</v>
      </c>
      <c r="B1088" s="15" t="str">
        <f>VLOOKUP(TAB_SAIDA[[#This Row],[COD_2_SAIDA]],TAB_ESTOQUE[[Codigo]:[Descrição Tecnica]],6,FALSE)</f>
        <v xml:space="preserve">DISJUNTOR ELETRICO C10 EZ9F33210 (SCHNEIDER) </v>
      </c>
      <c r="C1088" s="15">
        <f>IFERROR(VLOOKUP(TAB_SAIDA[[#This Row],[COD_2_SAIDA]],TAB_ESTOQUE[[Codigo]:[Referência Tec]],7,FALSE),"")</f>
        <v>0</v>
      </c>
      <c r="D1088" s="15" t="str">
        <f>VLOOKUP(TAB_SAIDA[[#This Row],[COD_2_SAIDA]],TAB_ESTOQUE[[Codigo]:[Endereço2]],12,FALSE)</f>
        <v>A1304</v>
      </c>
      <c r="E1088" s="81">
        <f>SUM(TAB_SAIDA[[#This Row],[20/05/2019]:[00/00/00]])</f>
        <v>0</v>
      </c>
      <c r="F1088" s="3"/>
    </row>
    <row r="1089" spans="1:626" ht="15" hidden="1" customHeight="1" x14ac:dyDescent="0.25">
      <c r="A1089" s="5" t="s">
        <v>2746</v>
      </c>
      <c r="B1089" s="15" t="str">
        <f>VLOOKUP(TAB_SAIDA[[#This Row],[COD_2_SAIDA]],TAB_ESTOQUE[[Codigo]:[Descrição Tecnica]],6,FALSE)</f>
        <v>CHAVE SECCIONADORA COM BLOQUEIO EM 60947-3 LW30-63 300010 690V 50Hz</v>
      </c>
      <c r="C1089" s="15">
        <f>IFERROR(VLOOKUP(TAB_SAIDA[[#This Row],[COD_2_SAIDA]],TAB_ESTOQUE[[Codigo]:[Referência Tec]],7,FALSE),"")</f>
        <v>0</v>
      </c>
      <c r="D1089" s="15" t="str">
        <f>VLOOKUP(TAB_SAIDA[[#This Row],[COD_2_SAIDA]],TAB_ESTOQUE[[Codigo]:[Endereço2]],12,FALSE)</f>
        <v>A2303</v>
      </c>
      <c r="E1089" s="81">
        <f>SUM(TAB_SAIDA[[#This Row],[20/05/2019]:[00/00/00]])</f>
        <v>0</v>
      </c>
      <c r="F1089" s="3"/>
    </row>
    <row r="1090" spans="1:626" ht="15" hidden="1" customHeight="1" x14ac:dyDescent="0.25">
      <c r="A1090" s="5" t="s">
        <v>2747</v>
      </c>
      <c r="B1090" s="15" t="str">
        <f>VLOOKUP(TAB_SAIDA[[#This Row],[COD_2_SAIDA]],TAB_ESTOQUE[[Codigo]:[Descrição Tecnica]],6,FALSE)</f>
        <v>CONVERSOR SERIAL RS232/RS485 CS485-V</v>
      </c>
      <c r="C1090" s="15">
        <f>IFERROR(VLOOKUP(TAB_SAIDA[[#This Row],[COD_2_SAIDA]],TAB_ESTOQUE[[Codigo]:[Referência Tec]],7,FALSE),"")</f>
        <v>0</v>
      </c>
      <c r="D1090" s="15" t="str">
        <f>VLOOKUP(TAB_SAIDA[[#This Row],[COD_2_SAIDA]],TAB_ESTOQUE[[Codigo]:[Endereço2]],12,FALSE)</f>
        <v>A2102</v>
      </c>
      <c r="E1090" s="81">
        <f>SUM(TAB_SAIDA[[#This Row],[20/05/2019]:[00/00/00]])</f>
        <v>0</v>
      </c>
      <c r="F1090" s="3"/>
    </row>
    <row r="1091" spans="1:626" ht="15" hidden="1" customHeight="1" x14ac:dyDescent="0.25">
      <c r="A1091" s="5" t="s">
        <v>2748</v>
      </c>
      <c r="B1091" s="15" t="str">
        <f>VLOOKUP(TAB_SAIDA[[#This Row],[COD_2_SAIDA]],TAB_ESTOQUE[[Codigo]:[Descrição Tecnica]],6,FALSE)</f>
        <v>PROGRAMADOR LOGICO CONTROLLER K7M-DT30U (V3.40) LSR-G7M-DT30U-N (A) S/N: 5008310031D</v>
      </c>
      <c r="C1091" s="15">
        <f>IFERROR(VLOOKUP(TAB_SAIDA[[#This Row],[COD_2_SAIDA]],TAB_ESTOQUE[[Codigo]:[Referência Tec]],7,FALSE),"")</f>
        <v>0</v>
      </c>
      <c r="D1091" s="15" t="str">
        <f>VLOOKUP(TAB_SAIDA[[#This Row],[COD_2_SAIDA]],TAB_ESTOQUE[[Codigo]:[Endereço2]],12,FALSE)</f>
        <v>A2102</v>
      </c>
      <c r="E1091" s="81">
        <f>SUM(TAB_SAIDA[[#This Row],[20/05/2019]:[00/00/00]])</f>
        <v>0</v>
      </c>
      <c r="F1091" s="3"/>
    </row>
    <row r="1092" spans="1:626" ht="15" hidden="1" customHeight="1" x14ac:dyDescent="0.25">
      <c r="A1092" s="5" t="s">
        <v>2749</v>
      </c>
      <c r="B1092" s="15" t="str">
        <f>VLOOKUP(TAB_SAIDA[[#This Row],[COD_2_SAIDA]],TAB_ESTOQUE[[Codigo]:[Descrição Tecnica]],6,FALSE)</f>
        <v>CILINDRO DE ALTA PRESSÃO (FLAUTA/LINER-HP CYLINDER) EM LATÃO</v>
      </c>
      <c r="C1092" s="15">
        <f>IFERROR(VLOOKUP(TAB_SAIDA[[#This Row],[COD_2_SAIDA]],TAB_ESTOQUE[[Codigo]:[Referência Tec]],7,FALSE),"")</f>
        <v>0</v>
      </c>
      <c r="D1092" s="15" t="str">
        <f>VLOOKUP(TAB_SAIDA[[#This Row],[COD_2_SAIDA]],TAB_ESTOQUE[[Codigo]:[Endereço2]],12,FALSE)</f>
        <v>D2205</v>
      </c>
      <c r="E1092" s="81">
        <f>SUM(TAB_SAIDA[[#This Row],[20/05/2019]:[00/00/00]])</f>
        <v>0</v>
      </c>
      <c r="F1092" s="3"/>
    </row>
    <row r="1093" spans="1:626" ht="15" hidden="1" customHeight="1" x14ac:dyDescent="0.25">
      <c r="A1093" s="5" t="s">
        <v>2750</v>
      </c>
      <c r="B1093" s="15" t="str">
        <f>VLOOKUP(TAB_SAIDA[[#This Row],[COD_2_SAIDA]],TAB_ESTOQUE[[Codigo]:[Descrição Tecnica]],6,FALSE)</f>
        <v xml:space="preserve">MOTOR ELÉTRICO TRIFÁSICO 1.5 KW , 1400rpm, 0,35A (380V/60HZ) </v>
      </c>
      <c r="C1093" s="15">
        <f>IFERROR(VLOOKUP(TAB_SAIDA[[#This Row],[COD_2_SAIDA]],TAB_ESTOQUE[[Codigo]:[Referência Tec]],7,FALSE),"")</f>
        <v>0</v>
      </c>
      <c r="D1093" s="15" t="str">
        <f>VLOOKUP(TAB_SAIDA[[#This Row],[COD_2_SAIDA]],TAB_ESTOQUE[[Codigo]:[Endereço2]],12,FALSE)</f>
        <v>PISO 01</v>
      </c>
      <c r="E1093" s="81">
        <f>SUM(TAB_SAIDA[[#This Row],[20/05/2019]:[00/00/00]])</f>
        <v>0</v>
      </c>
      <c r="F1093" s="3"/>
    </row>
    <row r="1094" spans="1:626" ht="15" hidden="1" customHeight="1" x14ac:dyDescent="0.25">
      <c r="A1094" s="5" t="s">
        <v>2751</v>
      </c>
      <c r="B1094" s="15" t="str">
        <f>VLOOKUP(TAB_SAIDA[[#This Row],[COD_2_SAIDA]],TAB_ESTOQUE[[Codigo]:[Descrição Tecnica]],6,FALSE)</f>
        <v>MOTOR ELÉTRICO TRIFÁSICO 2.2KW, 220-380V - 60Hz - 1140rpm</v>
      </c>
      <c r="C1094" s="15">
        <f>IFERROR(VLOOKUP(TAB_SAIDA[[#This Row],[COD_2_SAIDA]],TAB_ESTOQUE[[Codigo]:[Referência Tec]],7,FALSE),"")</f>
        <v>0</v>
      </c>
      <c r="D1094" s="15" t="str">
        <f>VLOOKUP(TAB_SAIDA[[#This Row],[COD_2_SAIDA]],TAB_ESTOQUE[[Codigo]:[Endereço2]],12,FALSE)</f>
        <v>PISO 01</v>
      </c>
      <c r="E1094" s="81">
        <f>SUM(TAB_SAIDA[[#This Row],[20/05/2019]:[00/00/00]])</f>
        <v>0</v>
      </c>
      <c r="F1094" s="3"/>
    </row>
    <row r="1095" spans="1:626" ht="15" hidden="1" customHeight="1" x14ac:dyDescent="0.25">
      <c r="A1095" s="5" t="s">
        <v>2752</v>
      </c>
      <c r="B1095" s="15" t="str">
        <f>VLOOKUP(TAB_SAIDA[[#This Row],[COD_2_SAIDA]],TAB_ESTOQUE[[Codigo]:[Descrição Tecnica]],6,FALSE)</f>
        <v>MOTOR ELÉTRICO TRIFÁSICO 1.5KW - 380V - 1400rpm - 60 Hz</v>
      </c>
      <c r="C1095" s="15">
        <f>IFERROR(VLOOKUP(TAB_SAIDA[[#This Row],[COD_2_SAIDA]],TAB_ESTOQUE[[Codigo]:[Referência Tec]],7,FALSE),"")</f>
        <v>0</v>
      </c>
      <c r="D1095" s="15" t="str">
        <f>VLOOKUP(TAB_SAIDA[[#This Row],[COD_2_SAIDA]],TAB_ESTOQUE[[Codigo]:[Endereço2]],12,FALSE)</f>
        <v>PISO 01</v>
      </c>
      <c r="E1095" s="81">
        <f>SUM(TAB_SAIDA[[#This Row],[20/05/2019]:[00/00/00]])</f>
        <v>0</v>
      </c>
      <c r="F1095" s="3"/>
    </row>
    <row r="1096" spans="1:626" ht="15" hidden="1" customHeight="1" x14ac:dyDescent="0.25">
      <c r="A1096" s="5" t="s">
        <v>2753</v>
      </c>
      <c r="B1096" s="15" t="str">
        <f>VLOOKUP(TAB_SAIDA[[#This Row],[COD_2_SAIDA]],TAB_ESTOQUE[[Codigo]:[Descrição Tecnica]],6,FALSE)</f>
        <v>MOTOR ELÉTRICO 380V - 0,35A - 60HZ - 1400RPM , 45W</v>
      </c>
      <c r="C1096" s="15">
        <f>IFERROR(VLOOKUP(TAB_SAIDA[[#This Row],[COD_2_SAIDA]],TAB_ESTOQUE[[Codigo]:[Referência Tec]],7,FALSE),"")</f>
        <v>0</v>
      </c>
      <c r="D1096" s="15" t="str">
        <f>VLOOKUP(TAB_SAIDA[[#This Row],[COD_2_SAIDA]],TAB_ESTOQUE[[Codigo]:[Endereço2]],12,FALSE)</f>
        <v>PISO 01</v>
      </c>
      <c r="E1096" s="81">
        <f>SUM(TAB_SAIDA[[#This Row],[20/05/2019]:[00/00/00]])</f>
        <v>0</v>
      </c>
      <c r="F1096" s="3"/>
    </row>
    <row r="1097" spans="1:626" ht="15" hidden="1" customHeight="1" x14ac:dyDescent="0.25">
      <c r="A1097" s="5" t="s">
        <v>2754</v>
      </c>
      <c r="B1097" s="15" t="str">
        <f>VLOOKUP(TAB_SAIDA[[#This Row],[COD_2_SAIDA]],TAB_ESTOQUE[[Codigo]:[Descrição Tecnica]],6,FALSE)</f>
        <v>MOTOR ELÉTRICO TRIFÁSICO B5 1,5KW, 1390rpm, 3.7A (380V/60HZ) - REF YP2-90L-4</v>
      </c>
      <c r="C1097" s="15">
        <f>IFERROR(VLOOKUP(TAB_SAIDA[[#This Row],[COD_2_SAIDA]],TAB_ESTOQUE[[Codigo]:[Referência Tec]],7,FALSE),"")</f>
        <v>0</v>
      </c>
      <c r="D1097" s="15" t="str">
        <f>VLOOKUP(TAB_SAIDA[[#This Row],[COD_2_SAIDA]],TAB_ESTOQUE[[Codigo]:[Endereço2]],12,FALSE)</f>
        <v>PISO 01</v>
      </c>
      <c r="E1097" s="81">
        <f>SUM(TAB_SAIDA[[#This Row],[20/05/2019]:[00/00/00]])</f>
        <v>0</v>
      </c>
      <c r="F1097" s="3"/>
    </row>
    <row r="1098" spans="1:626" ht="15" hidden="1" customHeight="1" x14ac:dyDescent="0.25">
      <c r="A1098" s="5" t="s">
        <v>2755</v>
      </c>
      <c r="B1098" s="15" t="str">
        <f>VLOOKUP(TAB_SAIDA[[#This Row],[COD_2_SAIDA]],TAB_ESTOQUE[[Codigo]:[Descrição Tecnica]],6,FALSE)</f>
        <v>MOTOR ELÉTRICO TRIFÁSICO 1.5KW - 380V - 1850rpm - 60 Hz</v>
      </c>
      <c r="C1098" s="15">
        <f>IFERROR(VLOOKUP(TAB_SAIDA[[#This Row],[COD_2_SAIDA]],TAB_ESTOQUE[[Codigo]:[Referência Tec]],7,FALSE),"")</f>
        <v>0</v>
      </c>
      <c r="D1098" s="15" t="str">
        <f>VLOOKUP(TAB_SAIDA[[#This Row],[COD_2_SAIDA]],TAB_ESTOQUE[[Codigo]:[Endereço2]],12,FALSE)</f>
        <v>PISO 01</v>
      </c>
      <c r="E1098" s="81">
        <f>SUM(TAB_SAIDA[[#This Row],[20/05/2019]:[00/00/00]])</f>
        <v>0</v>
      </c>
      <c r="F1098" s="3"/>
    </row>
    <row r="1099" spans="1:626" ht="15" hidden="1" customHeight="1" x14ac:dyDescent="0.25">
      <c r="A1099" s="5" t="s">
        <v>2756</v>
      </c>
      <c r="B1099" s="15" t="str">
        <f>VLOOKUP(TAB_SAIDA[[#This Row],[COD_2_SAIDA]],TAB_ESTOQUE[[Codigo]:[Descrição Tecnica]],6,FALSE)</f>
        <v>MOTOR ELÉTRICO TRIFÁSICO 380V - 5.1A - 1410RPM - 60Hz</v>
      </c>
      <c r="C1099" s="15">
        <f>IFERROR(VLOOKUP(TAB_SAIDA[[#This Row],[COD_2_SAIDA]],TAB_ESTOQUE[[Codigo]:[Referência Tec]],7,FALSE),"")</f>
        <v>0</v>
      </c>
      <c r="D1099" s="15" t="str">
        <f>VLOOKUP(TAB_SAIDA[[#This Row],[COD_2_SAIDA]],TAB_ESTOQUE[[Codigo]:[Endereço2]],12,FALSE)</f>
        <v>PISO 01</v>
      </c>
      <c r="E1099" s="81">
        <f>SUM(TAB_SAIDA[[#This Row],[20/05/2019]:[00/00/00]])</f>
        <v>0</v>
      </c>
      <c r="F1099" s="3"/>
    </row>
    <row r="1100" spans="1:626" ht="15" hidden="1" customHeight="1" x14ac:dyDescent="0.25">
      <c r="A1100" s="5" t="s">
        <v>2757</v>
      </c>
      <c r="B1100" s="15" t="str">
        <f>VLOOKUP(TAB_SAIDA[[#This Row],[COD_2_SAIDA]],TAB_ESTOQUE[[Codigo]:[Descrição Tecnica]],6,FALSE)</f>
        <v>KIT PRENSA EPILA FCE 001 898/T</v>
      </c>
      <c r="C1100" s="15">
        <f>IFERROR(VLOOKUP(TAB_SAIDA[[#This Row],[COD_2_SAIDA]],TAB_ESTOQUE[[Codigo]:[Referência Tec]],7,FALSE),"")</f>
        <v>0</v>
      </c>
      <c r="D1100" s="15" t="str">
        <f>VLOOKUP(TAB_SAIDA[[#This Row],[COD_2_SAIDA]],TAB_ESTOQUE[[Codigo]:[Endereço2]],12,FALSE)</f>
        <v>D1205</v>
      </c>
      <c r="E1100" s="81">
        <f>SUM(TAB_SAIDA[[#This Row],[20/05/2019]:[00/00/00]])</f>
        <v>0</v>
      </c>
      <c r="F1100" s="3"/>
    </row>
    <row r="1101" spans="1:626" ht="15" customHeight="1" x14ac:dyDescent="0.25">
      <c r="A1101" s="5" t="s">
        <v>2758</v>
      </c>
      <c r="B1101" s="15" t="str">
        <f>VLOOKUP(TAB_SAIDA[[#This Row],[COD_2_SAIDA]],TAB_ESTOQUE[[Codigo]:[Descrição Tecnica]],6,FALSE)</f>
        <v>PISTOLA DE AR COMPRIMIDO PARA LIMPEZA COM BICO LATÃO</v>
      </c>
      <c r="C1101" s="15">
        <f>IFERROR(VLOOKUP(TAB_SAIDA[[#This Row],[COD_2_SAIDA]],TAB_ESTOQUE[[Codigo]:[Referência Tec]],7,FALSE),"")</f>
        <v>0</v>
      </c>
      <c r="D1101" s="15" t="str">
        <f>VLOOKUP(TAB_SAIDA[[#This Row],[COD_2_SAIDA]],TAB_ESTOQUE[[Codigo]:[Endereço2]],12,FALSE)</f>
        <v>C1106</v>
      </c>
      <c r="E1101" s="81">
        <f>SUM(TAB_SAIDA[[#This Row],[20/05/2019]:[00/00/00]])</f>
        <v>3</v>
      </c>
      <c r="F1101" s="3"/>
      <c r="US1101" s="3">
        <v>1</v>
      </c>
      <c r="WO1101" s="3">
        <v>1</v>
      </c>
      <c r="XB1101" s="3">
        <v>1</v>
      </c>
    </row>
    <row r="1102" spans="1:626" ht="15" hidden="1" customHeight="1" x14ac:dyDescent="0.25">
      <c r="A1102" s="5" t="s">
        <v>2759</v>
      </c>
      <c r="B1102" s="15" t="str">
        <f>VLOOKUP(TAB_SAIDA[[#This Row],[COD_2_SAIDA]],TAB_ESTOQUE[[Codigo]:[Descrição Tecnica]],6,FALSE)</f>
        <v>MANGUEIRA PNEUMATICA TUBO ASPIRAL 08,00X05,X03,50M AZUL PU</v>
      </c>
      <c r="C1102" s="15">
        <f>IFERROR(VLOOKUP(TAB_SAIDA[[#This Row],[COD_2_SAIDA]],TAB_ESTOQUE[[Codigo]:[Referência Tec]],7,FALSE),"")</f>
        <v>0</v>
      </c>
      <c r="D1102" s="15" t="str">
        <f>VLOOKUP(TAB_SAIDA[[#This Row],[COD_2_SAIDA]],TAB_ESTOQUE[[Codigo]:[Endereço2]],12,FALSE)</f>
        <v>C1106</v>
      </c>
      <c r="E1102" s="81">
        <f>SUM(TAB_SAIDA[[#This Row],[20/05/2019]:[00/00/00]])</f>
        <v>3</v>
      </c>
      <c r="F1102" s="3"/>
      <c r="SJ1102" s="3">
        <v>2</v>
      </c>
      <c r="WO1102" s="3">
        <v>1</v>
      </c>
    </row>
    <row r="1103" spans="1:626" ht="15" hidden="1" customHeight="1" x14ac:dyDescent="0.25">
      <c r="A1103" s="5" t="s">
        <v>2760</v>
      </c>
      <c r="B1103" s="15" t="str">
        <f>VLOOKUP(TAB_SAIDA[[#This Row],[COD_2_SAIDA]],TAB_ESTOQUE[[Codigo]:[Descrição Tecnica]],6,FALSE)</f>
        <v>FONTE BAE 003 BAE OS-XA-1W-24-200-005 24VDC 20A (BALLUFF)</v>
      </c>
      <c r="C1103" s="15">
        <f>IFERROR(VLOOKUP(TAB_SAIDA[[#This Row],[COD_2_SAIDA]],TAB_ESTOQUE[[Codigo]:[Referência Tec]],7,FALSE),"")</f>
        <v>0</v>
      </c>
      <c r="D1103" s="15" t="str">
        <f>VLOOKUP(TAB_SAIDA[[#This Row],[COD_2_SAIDA]],TAB_ESTOQUE[[Codigo]:[Endereço2]],12,FALSE)</f>
        <v>B1104</v>
      </c>
      <c r="E1103" s="81">
        <f>SUM(TAB_SAIDA[[#This Row],[20/05/2019]:[00/00/00]])</f>
        <v>0</v>
      </c>
      <c r="F1103" s="3"/>
    </row>
    <row r="1104" spans="1:626" ht="15" hidden="1" customHeight="1" x14ac:dyDescent="0.25">
      <c r="A1104" s="5" t="s">
        <v>2761</v>
      </c>
      <c r="B1104" s="15" t="str">
        <f>VLOOKUP(TAB_SAIDA[[#This Row],[COD_2_SAIDA]],TAB_ESTOQUE[[Codigo]:[Descrição Tecnica]],6,FALSE)</f>
        <v>TERMINAIS PRE ISOLADOS LU2694 (CRIMPER)</v>
      </c>
      <c r="C1104" s="15">
        <f>IFERROR(VLOOKUP(TAB_SAIDA[[#This Row],[COD_2_SAIDA]],TAB_ESTOQUE[[Codigo]:[Referência Tec]],7,FALSE),"")</f>
        <v>0</v>
      </c>
      <c r="D1104" s="15" t="str">
        <f>VLOOKUP(TAB_SAIDA[[#This Row],[COD_2_SAIDA]],TAB_ESTOQUE[[Codigo]:[Endereço2]],12,FALSE)</f>
        <v>A1203</v>
      </c>
      <c r="E1104" s="81">
        <f>SUM(TAB_SAIDA[[#This Row],[20/05/2019]:[00/00/00]])</f>
        <v>0</v>
      </c>
      <c r="F1104" s="3"/>
    </row>
    <row r="1105" spans="1:487" ht="15" hidden="1" customHeight="1" x14ac:dyDescent="0.25">
      <c r="A1105" s="5" t="s">
        <v>2762</v>
      </c>
      <c r="B1105" s="15" t="str">
        <f>VLOOKUP(TAB_SAIDA[[#This Row],[COD_2_SAIDA]],TAB_ESTOQUE[[Codigo]:[Descrição Tecnica]],6,FALSE)</f>
        <v xml:space="preserve">BOIA DE NÍVEL (MAPRE) TRAMA CABO SILICONE 2X0,50 MM 300-C 750V NTT 16 </v>
      </c>
      <c r="C1105" s="15">
        <f>IFERROR(VLOOKUP(TAB_SAIDA[[#This Row],[COD_2_SAIDA]],TAB_ESTOQUE[[Codigo]:[Referência Tec]],7,FALSE),"")</f>
        <v>0</v>
      </c>
      <c r="D1105" s="15" t="str">
        <f>VLOOKUP(TAB_SAIDA[[#This Row],[COD_2_SAIDA]],TAB_ESTOQUE[[Codigo]:[Endereço2]],12,FALSE)</f>
        <v>A1205</v>
      </c>
      <c r="E1105" s="81">
        <f>SUM(TAB_SAIDA[[#This Row],[20/05/2019]:[00/00/00]])</f>
        <v>2</v>
      </c>
      <c r="F1105" s="3"/>
      <c r="RS1105" s="3">
        <v>2</v>
      </c>
    </row>
    <row r="1106" spans="1:487" ht="15" hidden="1" customHeight="1" x14ac:dyDescent="0.25">
      <c r="A1106" s="5" t="s">
        <v>2763</v>
      </c>
      <c r="B1106" s="15" t="str">
        <f>VLOOKUP(TAB_SAIDA[[#This Row],[COD_2_SAIDA]],TAB_ESTOQUE[[Codigo]:[Descrição Tecnica]],6,FALSE)</f>
        <v xml:space="preserve">TRANSFORMADOR POT:100 WATTS ENT:220/380/440V SAIDA 110V/220V </v>
      </c>
      <c r="C1106" s="15">
        <f>IFERROR(VLOOKUP(TAB_SAIDA[[#This Row],[COD_2_SAIDA]],TAB_ESTOQUE[[Codigo]:[Referência Tec]],7,FALSE),"")</f>
        <v>0</v>
      </c>
      <c r="D1106" s="15" t="str">
        <f>VLOOKUP(TAB_SAIDA[[#This Row],[COD_2_SAIDA]],TAB_ESTOQUE[[Codigo]:[Endereço2]],12,FALSE)</f>
        <v>A2302</v>
      </c>
      <c r="E1106" s="81">
        <f>SUM(TAB_SAIDA[[#This Row],[20/05/2019]:[00/00/00]])</f>
        <v>0</v>
      </c>
      <c r="F1106" s="3"/>
    </row>
    <row r="1107" spans="1:487" ht="15" hidden="1" customHeight="1" x14ac:dyDescent="0.25">
      <c r="A1107" s="5" t="s">
        <v>2764</v>
      </c>
      <c r="B1107" s="15" t="str">
        <f>VLOOKUP(TAB_SAIDA[[#This Row],[COD_2_SAIDA]],TAB_ESTOQUE[[Codigo]:[Descrição Tecnica]],6,FALSE)</f>
        <v>CONTACTOR AUXILIAR LP1K0901BD (SCHINEDER)</v>
      </c>
      <c r="C1107" s="15">
        <f>IFERROR(VLOOKUP(TAB_SAIDA[[#This Row],[COD_2_SAIDA]],TAB_ESTOQUE[[Codigo]:[Referência Tec]],7,FALSE),"")</f>
        <v>0</v>
      </c>
      <c r="D1107" s="15" t="str">
        <f>VLOOKUP(TAB_SAIDA[[#This Row],[COD_2_SAIDA]],TAB_ESTOQUE[[Codigo]:[Endereço2]],12,FALSE)</f>
        <v>A1204</v>
      </c>
      <c r="E1107" s="81">
        <f>SUM(TAB_SAIDA[[#This Row],[20/05/2019]:[00/00/00]])</f>
        <v>0</v>
      </c>
      <c r="F1107" s="3"/>
    </row>
    <row r="1108" spans="1:487" ht="15" hidden="1" customHeight="1" x14ac:dyDescent="0.25">
      <c r="A1108" s="5" t="s">
        <v>2765</v>
      </c>
      <c r="B1108" s="15" t="str">
        <f>VLOOKUP(TAB_SAIDA[[#This Row],[COD_2_SAIDA]],TAB_ESTOQUE[[Codigo]:[Descrição Tecnica]],6,FALSE)</f>
        <v xml:space="preserve">CONTACTOR AUXILIAR LC1K0910Q7 </v>
      </c>
      <c r="C1108" s="15">
        <f>IFERROR(VLOOKUP(TAB_SAIDA[[#This Row],[COD_2_SAIDA]],TAB_ESTOQUE[[Codigo]:[Referência Tec]],7,FALSE),"")</f>
        <v>0</v>
      </c>
      <c r="D1108" s="15" t="str">
        <f>VLOOKUP(TAB_SAIDA[[#This Row],[COD_2_SAIDA]],TAB_ESTOQUE[[Codigo]:[Endereço2]],12,FALSE)</f>
        <v>A1204</v>
      </c>
      <c r="E1108" s="81">
        <f>SUM(TAB_SAIDA[[#This Row],[20/05/2019]:[00/00/00]])</f>
        <v>0</v>
      </c>
      <c r="F1108" s="3"/>
    </row>
    <row r="1109" spans="1:487" ht="15" hidden="1" customHeight="1" x14ac:dyDescent="0.25">
      <c r="A1109" s="5" t="s">
        <v>2766</v>
      </c>
      <c r="B1109" s="15" t="str">
        <f>VLOOKUP(TAB_SAIDA[[#This Row],[COD_2_SAIDA]],TAB_ESTOQUE[[Codigo]:[Descrição Tecnica]],6,FALSE)</f>
        <v>DISJUNTOR TERMOMAGNETICO NM 60898 IEC60947-2SD 1P C16 230-400V</v>
      </c>
      <c r="C1109" s="15">
        <f>IFERROR(VLOOKUP(TAB_SAIDA[[#This Row],[COD_2_SAIDA]],TAB_ESTOQUE[[Codigo]:[Referência Tec]],7,FALSE),"")</f>
        <v>0</v>
      </c>
      <c r="D1109" s="15" t="str">
        <f>VLOOKUP(TAB_SAIDA[[#This Row],[COD_2_SAIDA]],TAB_ESTOQUE[[Codigo]:[Endereço2]],12,FALSE)</f>
        <v>A1302</v>
      </c>
      <c r="E1109" s="81">
        <f>SUM(TAB_SAIDA[[#This Row],[20/05/2019]:[00/00/00]])</f>
        <v>0</v>
      </c>
      <c r="F1109" s="3"/>
    </row>
    <row r="1110" spans="1:487" ht="15" hidden="1" customHeight="1" x14ac:dyDescent="0.25">
      <c r="A1110" s="5" t="s">
        <v>2767</v>
      </c>
      <c r="B1110" s="15" t="str">
        <f>VLOOKUP(TAB_SAIDA[[#This Row],[COD_2_SAIDA]],TAB_ESTOQUE[[Codigo]:[Descrição Tecnica]],6,FALSE)</f>
        <v>FUSÍVEL 3NA3 830 SIEMENS 500V 100A</v>
      </c>
      <c r="C1110" s="15">
        <f>IFERROR(VLOOKUP(TAB_SAIDA[[#This Row],[COD_2_SAIDA]],TAB_ESTOQUE[[Codigo]:[Referência Tec]],7,FALSE),"")</f>
        <v>0</v>
      </c>
      <c r="D1110" s="15" t="str">
        <f>VLOOKUP(TAB_SAIDA[[#This Row],[COD_2_SAIDA]],TAB_ESTOQUE[[Codigo]:[Endereço2]],12,FALSE)</f>
        <v>A1204</v>
      </c>
      <c r="E1110" s="81">
        <f>SUM(TAB_SAIDA[[#This Row],[20/05/2019]:[00/00/00]])</f>
        <v>0</v>
      </c>
      <c r="F1110" s="3"/>
    </row>
    <row r="1111" spans="1:487" ht="15" hidden="1" customHeight="1" x14ac:dyDescent="0.25">
      <c r="A1111" s="5" t="s">
        <v>2768</v>
      </c>
      <c r="B1111" s="15" t="str">
        <f>VLOOKUP(TAB_SAIDA[[#This Row],[COD_2_SAIDA]],TAB_ESTOQUE[[Codigo]:[Descrição Tecnica]],6,FALSE)</f>
        <v>SENSOR SICK IMP12-1B5PSVCOC 6050119</v>
      </c>
      <c r="C1111" s="15">
        <f>IFERROR(VLOOKUP(TAB_SAIDA[[#This Row],[COD_2_SAIDA]],TAB_ESTOQUE[[Codigo]:[Referência Tec]],7,FALSE),"")</f>
        <v>0</v>
      </c>
      <c r="D1111" s="15" t="str">
        <f>VLOOKUP(TAB_SAIDA[[#This Row],[COD_2_SAIDA]],TAB_ESTOQUE[[Codigo]:[Endereço2]],12,FALSE)</f>
        <v>A2203</v>
      </c>
      <c r="E1111" s="81">
        <f>SUM(TAB_SAIDA[[#This Row],[20/05/2019]:[00/00/00]])</f>
        <v>0</v>
      </c>
      <c r="F1111" s="3"/>
    </row>
    <row r="1112" spans="1:487" ht="15" hidden="1" customHeight="1" x14ac:dyDescent="0.25">
      <c r="A1112" s="5" t="s">
        <v>2769</v>
      </c>
      <c r="B1112" s="15" t="str">
        <f>VLOOKUP(TAB_SAIDA[[#This Row],[COD_2_SAIDA]],TAB_ESTOQUE[[Codigo]:[Descrição Tecnica]],6,FALSE)</f>
        <v>SENSOR XS108 BLPAL2 TELEMECANIQUE</v>
      </c>
      <c r="C1112" s="15">
        <f>IFERROR(VLOOKUP(TAB_SAIDA[[#This Row],[COD_2_SAIDA]],TAB_ESTOQUE[[Codigo]:[Referência Tec]],7,FALSE),"")</f>
        <v>0</v>
      </c>
      <c r="D1112" s="15" t="str">
        <f>VLOOKUP(TAB_SAIDA[[#This Row],[COD_2_SAIDA]],TAB_ESTOQUE[[Codigo]:[Endereço2]],12,FALSE)</f>
        <v>A2204</v>
      </c>
      <c r="E1112" s="81">
        <f>SUM(TAB_SAIDA[[#This Row],[20/05/2019]:[00/00/00]])</f>
        <v>0</v>
      </c>
      <c r="F1112" s="3"/>
    </row>
    <row r="1113" spans="1:487" ht="15" hidden="1" customHeight="1" x14ac:dyDescent="0.25">
      <c r="A1113" s="5" t="s">
        <v>2770</v>
      </c>
      <c r="B1113" s="15" t="str">
        <f>VLOOKUP(TAB_SAIDA[[#This Row],[COD_2_SAIDA]],TAB_ESTOQUE[[Codigo]:[Descrição Tecnica]],6,FALSE)</f>
        <v>PEPPERL+FUHS TYPE:NBB20-L2-E2-V1  PART NO.: 187481 10-30VDC/200nA</v>
      </c>
      <c r="C1113" s="15">
        <f>IFERROR(VLOOKUP(TAB_SAIDA[[#This Row],[COD_2_SAIDA]],TAB_ESTOQUE[[Codigo]:[Referência Tec]],7,FALSE),"")</f>
        <v>0</v>
      </c>
      <c r="D1113" s="15" t="str">
        <f>VLOOKUP(TAB_SAIDA[[#This Row],[COD_2_SAIDA]],TAB_ESTOQUE[[Codigo]:[Endereço2]],12,FALSE)</f>
        <v>A2103</v>
      </c>
      <c r="E1113" s="81">
        <f>SUM(TAB_SAIDA[[#This Row],[20/05/2019]:[00/00/00]])</f>
        <v>0</v>
      </c>
      <c r="F1113" s="3"/>
    </row>
    <row r="1114" spans="1:487" ht="15" hidden="1" customHeight="1" x14ac:dyDescent="0.25">
      <c r="A1114" s="5" t="s">
        <v>2860</v>
      </c>
      <c r="B1114" s="15" t="str">
        <f>VLOOKUP(TAB_SAIDA[[#This Row],[COD_2_SAIDA]],TAB_ESTOQUE[[Codigo]:[Descrição Tecnica]],6,FALSE)</f>
        <v xml:space="preserve">CERABAR T PMP 131-A1401A70 MWP100BAR </v>
      </c>
      <c r="C1114" s="15">
        <f>IFERROR(VLOOKUP(TAB_SAIDA[[#This Row],[COD_2_SAIDA]],TAB_ESTOQUE[[Codigo]:[Referência Tec]],7,FALSE),"")</f>
        <v>0</v>
      </c>
      <c r="D1114" s="15" t="str">
        <f>VLOOKUP(TAB_SAIDA[[#This Row],[COD_2_SAIDA]],TAB_ESTOQUE[[Codigo]:[Endereço2]],12,FALSE)</f>
        <v>A2104</v>
      </c>
      <c r="E1114" s="81">
        <f>SUM(TAB_SAIDA[[#This Row],[20/05/2019]:[00/00/00]])</f>
        <v>0</v>
      </c>
      <c r="F1114" s="3"/>
    </row>
    <row r="1115" spans="1:487" ht="15" hidden="1" customHeight="1" x14ac:dyDescent="0.25">
      <c r="A1115" s="5" t="s">
        <v>2868</v>
      </c>
      <c r="B1115" s="15" t="str">
        <f>VLOOKUP(TAB_SAIDA[[#This Row],[COD_2_SAIDA]],TAB_ESTOQUE[[Codigo]:[Descrição Tecnica]],6,FALSE)</f>
        <v>DISJUNTOR MODULAR TRIPOLAR NG 4P-100A NG125N 18660 (SCHINEDER)</v>
      </c>
      <c r="C1115" s="15">
        <f>IFERROR(VLOOKUP(TAB_SAIDA[[#This Row],[COD_2_SAIDA]],TAB_ESTOQUE[[Codigo]:[Referência Tec]],7,FALSE),"")</f>
        <v>0</v>
      </c>
      <c r="D1115" s="15" t="str">
        <f>VLOOKUP(TAB_SAIDA[[#This Row],[COD_2_SAIDA]],TAB_ESTOQUE[[Codigo]:[Endereço2]],12,FALSE)</f>
        <v>B1202</v>
      </c>
      <c r="E1115" s="81">
        <f>SUM(TAB_SAIDA[[#This Row],[20/05/2019]:[00/00/00]])</f>
        <v>0</v>
      </c>
      <c r="F1115" s="3"/>
    </row>
    <row r="1116" spans="1:487" ht="15" hidden="1" customHeight="1" x14ac:dyDescent="0.25">
      <c r="A1116" s="5" t="s">
        <v>2871</v>
      </c>
      <c r="B1116" s="15" t="str">
        <f>VLOOKUP(TAB_SAIDA[[#This Row],[COD_2_SAIDA]],TAB_ESTOQUE[[Codigo]:[Descrição Tecnica]],6,FALSE)</f>
        <v>MÓDULO DE ENTRADAS ANALÓGICAS 2 AI - I 4WIRE 1P 6ES7 134-4G B62-0AB0</v>
      </c>
      <c r="C1116" s="15">
        <f>IFERROR(VLOOKUP(TAB_SAIDA[[#This Row],[COD_2_SAIDA]],TAB_ESTOQUE[[Codigo]:[Referência Tec]],7,FALSE),"")</f>
        <v>0</v>
      </c>
      <c r="D1116" s="15" t="str">
        <f>VLOOKUP(TAB_SAIDA[[#This Row],[COD_2_SAIDA]],TAB_ESTOQUE[[Codigo]:[Endereço2]],12,FALSE)</f>
        <v>B1203</v>
      </c>
      <c r="E1116" s="81">
        <f>SUM(TAB_SAIDA[[#This Row],[20/05/2019]:[00/00/00]])</f>
        <v>0</v>
      </c>
      <c r="F1116" s="3"/>
    </row>
    <row r="1117" spans="1:487" ht="15" hidden="1" customHeight="1" x14ac:dyDescent="0.25">
      <c r="A1117" s="5" t="s">
        <v>2881</v>
      </c>
      <c r="B1117" s="15" t="str">
        <f>VLOOKUP(TAB_SAIDA[[#This Row],[COD_2_SAIDA]],TAB_ESTOQUE[[Codigo]:[Descrição Tecnica]],6,FALSE)</f>
        <v>PLACA DO AQUECEDOR AINTEC AM5TW-4805S-RZ1114</v>
      </c>
      <c r="C1117" s="15">
        <f>IFERROR(VLOOKUP(TAB_SAIDA[[#This Row],[COD_2_SAIDA]],TAB_ESTOQUE[[Codigo]:[Referência Tec]],7,FALSE),"")</f>
        <v>0</v>
      </c>
      <c r="D1117" s="15" t="str">
        <f>VLOOKUP(TAB_SAIDA[[#This Row],[COD_2_SAIDA]],TAB_ESTOQUE[[Codigo]:[Endereço2]],12,FALSE)</f>
        <v>A1102</v>
      </c>
      <c r="E1117" s="81">
        <f>SUM(TAB_SAIDA[[#This Row],[20/05/2019]:[00/00/00]])</f>
        <v>0</v>
      </c>
      <c r="F1117" s="3"/>
    </row>
    <row r="1118" spans="1:487" ht="15" hidden="1" customHeight="1" x14ac:dyDescent="0.25">
      <c r="A1118" s="5" t="s">
        <v>2894</v>
      </c>
      <c r="B1118" s="15" t="str">
        <f>VLOOKUP(TAB_SAIDA[[#This Row],[COD_2_SAIDA]],TAB_ESTOQUE[[Codigo]:[Descrição Tecnica]],6,FALSE)</f>
        <v>COOLER MODEL:NF 12038HP-24V (NEW FLOW)</v>
      </c>
      <c r="C1118" s="15">
        <f>IFERROR(VLOOKUP(TAB_SAIDA[[#This Row],[COD_2_SAIDA]],TAB_ESTOQUE[[Codigo]:[Referência Tec]],7,FALSE),"")</f>
        <v>0</v>
      </c>
      <c r="D1118" s="15" t="str">
        <f>VLOOKUP(TAB_SAIDA[[#This Row],[COD_2_SAIDA]],TAB_ESTOQUE[[Codigo]:[Endereço2]],12,FALSE)</f>
        <v>B1105</v>
      </c>
      <c r="E1118" s="81">
        <f>SUM(TAB_SAIDA[[#This Row],[20/05/2019]:[00/00/00]])</f>
        <v>0</v>
      </c>
      <c r="F1118" s="3"/>
    </row>
    <row r="1119" spans="1:487" ht="15" hidden="1" customHeight="1" x14ac:dyDescent="0.25">
      <c r="A1119" s="5" t="s">
        <v>3063</v>
      </c>
      <c r="B1119" s="15" t="str">
        <f>VLOOKUP(TAB_SAIDA[[#This Row],[COD_2_SAIDA]],TAB_ESTOQUE[[Codigo]:[Descrição Tecnica]],6,FALSE)</f>
        <v xml:space="preserve">SENSOR AG.D-79183 WALDKIRCH  LL3-TB01 SICK </v>
      </c>
      <c r="C1119" s="15">
        <f>IFERROR(VLOOKUP(TAB_SAIDA[[#This Row],[COD_2_SAIDA]],TAB_ESTOQUE[[Codigo]:[Referência Tec]],7,FALSE),"")</f>
        <v>0</v>
      </c>
      <c r="D1119" s="15" t="str">
        <f>VLOOKUP(TAB_SAIDA[[#This Row],[COD_2_SAIDA]],TAB_ESTOQUE[[Codigo]:[Endereço2]],12,FALSE)</f>
        <v>A2104</v>
      </c>
      <c r="E1119" s="81">
        <f>SUM(TAB_SAIDA[[#This Row],[20/05/2019]:[00/00/00]])</f>
        <v>0</v>
      </c>
      <c r="F1119" s="3"/>
    </row>
    <row r="1120" spans="1:487" ht="15" hidden="1" customHeight="1" x14ac:dyDescent="0.25">
      <c r="A1120" s="5" t="s">
        <v>3064</v>
      </c>
      <c r="B1120" s="15" t="str">
        <f>VLOOKUP(TAB_SAIDA[[#This Row],[COD_2_SAIDA]],TAB_ESTOQUE[[Codigo]:[Descrição Tecnica]],6,FALSE)</f>
        <v>SENSOR PEPPERL+FUCHS NBB5-18 GM 50-E2-V1 Part No:84195</v>
      </c>
      <c r="C1120" s="15">
        <f>IFERROR(VLOOKUP(TAB_SAIDA[[#This Row],[COD_2_SAIDA]],TAB_ESTOQUE[[Codigo]:[Referência Tec]],7,FALSE),"")</f>
        <v>0</v>
      </c>
      <c r="D1120" s="15" t="str">
        <f>VLOOKUP(TAB_SAIDA[[#This Row],[COD_2_SAIDA]],TAB_ESTOQUE[[Codigo]:[Endereço2]],12,FALSE)</f>
        <v>A2203</v>
      </c>
      <c r="E1120" s="81">
        <f>SUM(TAB_SAIDA[[#This Row],[20/05/2019]:[00/00/00]])</f>
        <v>0</v>
      </c>
      <c r="F1120" s="3"/>
    </row>
    <row r="1121" spans="1:6" ht="15" hidden="1" customHeight="1" x14ac:dyDescent="0.25">
      <c r="A1121" s="5" t="s">
        <v>3065</v>
      </c>
      <c r="B1121" s="15" t="str">
        <f>VLOOKUP(TAB_SAIDA[[#This Row],[COD_2_SAIDA]],TAB_ESTOQUE[[Codigo]:[Descrição Tecnica]],6,FALSE)</f>
        <v>SENSOR FES-N11CP#E4L93194B</v>
      </c>
      <c r="C1121" s="15">
        <f>IFERROR(VLOOKUP(TAB_SAIDA[[#This Row],[COD_2_SAIDA]],TAB_ESTOQUE[[Codigo]:[Referência Tec]],7,FALSE),"")</f>
        <v>0</v>
      </c>
      <c r="D1121" s="15" t="str">
        <f>VLOOKUP(TAB_SAIDA[[#This Row],[COD_2_SAIDA]],TAB_ESTOQUE[[Codigo]:[Endereço2]],12,FALSE)</f>
        <v>A2104</v>
      </c>
      <c r="E1121" s="81">
        <f>SUM(TAB_SAIDA[[#This Row],[20/05/2019]:[00/00/00]])</f>
        <v>0</v>
      </c>
      <c r="F1121" s="3"/>
    </row>
    <row r="1122" spans="1:6" ht="15" hidden="1" customHeight="1" x14ac:dyDescent="0.25">
      <c r="A1122" s="5" t="s">
        <v>3066</v>
      </c>
      <c r="B1122" s="15" t="str">
        <f>VLOOKUP(TAB_SAIDA[[#This Row],[COD_2_SAIDA]],TAB_ESTOQUE[[Codigo]:[Descrição Tecnica]],6,FALSE)</f>
        <v>KIT REPARO DA GERADORA DE VACUO 0125615 (PIAB)</v>
      </c>
      <c r="C1122" s="15">
        <f>IFERROR(VLOOKUP(TAB_SAIDA[[#This Row],[COD_2_SAIDA]],TAB_ESTOQUE[[Codigo]:[Referência Tec]],7,FALSE),"")</f>
        <v>0</v>
      </c>
      <c r="D1122" s="15" t="str">
        <f>VLOOKUP(TAB_SAIDA[[#This Row],[COD_2_SAIDA]],TAB_ESTOQUE[[Codigo]:[Endereço2]],12,FALSE)</f>
        <v>G1103</v>
      </c>
      <c r="E1122" s="81">
        <f>SUM(TAB_SAIDA[[#This Row],[20/05/2019]:[00/00/00]])</f>
        <v>0</v>
      </c>
      <c r="F1122" s="3"/>
    </row>
    <row r="1123" spans="1:6" ht="15" hidden="1" customHeight="1" x14ac:dyDescent="0.25">
      <c r="A1123" s="5" t="s">
        <v>3069</v>
      </c>
      <c r="B1123" s="15" t="str">
        <f>VLOOKUP(TAB_SAIDA[[#This Row],[COD_2_SAIDA]],TAB_ESTOQUE[[Codigo]:[Descrição Tecnica]],6,FALSE)</f>
        <v>QUADRO DE COMANDO DE SOBREPOR 300X200X120 REF:SEX322 053031 (STECK)</v>
      </c>
      <c r="C1123" s="15">
        <f>IFERROR(VLOOKUP(TAB_SAIDA[[#This Row],[COD_2_SAIDA]],TAB_ESTOQUE[[Codigo]:[Referência Tec]],7,FALSE),"")</f>
        <v>0</v>
      </c>
      <c r="D1123" s="15" t="str">
        <f>VLOOKUP(TAB_SAIDA[[#This Row],[COD_2_SAIDA]],TAB_ESTOQUE[[Codigo]:[Endereço2]],12,FALSE)</f>
        <v>A1301</v>
      </c>
      <c r="E1123" s="81">
        <f>SUM(TAB_SAIDA[[#This Row],[20/05/2019]:[00/00/00]])</f>
        <v>0</v>
      </c>
      <c r="F1123" s="3"/>
    </row>
    <row r="1124" spans="1:6" ht="15" hidden="1" customHeight="1" x14ac:dyDescent="0.25">
      <c r="A1124" s="5" t="s">
        <v>3070</v>
      </c>
      <c r="B1124" s="15" t="str">
        <f>VLOOKUP(TAB_SAIDA[[#This Row],[COD_2_SAIDA]],TAB_ESTOQUE[[Codigo]:[Descrição Tecnica]],6,FALSE)</f>
        <v>QUADRO DE COMANDO DE SOBREPOR SEX171 059771 IP55 (STECK)</v>
      </c>
      <c r="C1124" s="15">
        <f>IFERROR(VLOOKUP(TAB_SAIDA[[#This Row],[COD_2_SAIDA]],TAB_ESTOQUE[[Codigo]:[Referência Tec]],7,FALSE),"")</f>
        <v>0</v>
      </c>
      <c r="D1124" s="15" t="str">
        <f>VLOOKUP(TAB_SAIDA[[#This Row],[COD_2_SAIDA]],TAB_ESTOQUE[[Codigo]:[Endereço2]],12,FALSE)</f>
        <v>A1301</v>
      </c>
      <c r="E1124" s="81">
        <f>SUM(TAB_SAIDA[[#This Row],[20/05/2019]:[00/00/00]])</f>
        <v>0</v>
      </c>
      <c r="F1124" s="3"/>
    </row>
    <row r="1125" spans="1:6" ht="15" hidden="1" customHeight="1" x14ac:dyDescent="0.25">
      <c r="A1125" s="5" t="s">
        <v>3090</v>
      </c>
      <c r="B1125" s="15" t="str">
        <f>VLOOKUP(TAB_SAIDA[[#This Row],[COD_2_SAIDA]],TAB_ESTOQUE[[Codigo]:[Descrição Tecnica]],6,FALSE)</f>
        <v>ROLAMENTO PERNI FOLLI GC 35</v>
      </c>
      <c r="C1125" s="15">
        <f>IFERROR(VLOOKUP(TAB_SAIDA[[#This Row],[COD_2_SAIDA]],TAB_ESTOQUE[[Codigo]:[Referência Tec]],7,FALSE),"")</f>
        <v>0</v>
      </c>
      <c r="D1125" s="15" t="str">
        <f>VLOOKUP(TAB_SAIDA[[#This Row],[COD_2_SAIDA]],TAB_ESTOQUE[[Codigo]:[Endereço2]],12,FALSE)</f>
        <v>D2102</v>
      </c>
      <c r="E1125" s="81">
        <f>SUM(TAB_SAIDA[[#This Row],[20/05/2019]:[00/00/00]])</f>
        <v>0</v>
      </c>
      <c r="F1125" s="3"/>
    </row>
    <row r="1126" spans="1:6" ht="15" hidden="1" customHeight="1" x14ac:dyDescent="0.25">
      <c r="A1126" s="5" t="s">
        <v>3092</v>
      </c>
      <c r="B1126" s="15" t="str">
        <f>VLOOKUP(TAB_SAIDA[[#This Row],[COD_2_SAIDA]],TAB_ESTOQUE[[Codigo]:[Descrição Tecnica]],6,FALSE)</f>
        <v>ROLAMENTO JAPAN CF168UUR</v>
      </c>
      <c r="C1126" s="15">
        <f>IFERROR(VLOOKUP(TAB_SAIDA[[#This Row],[COD_2_SAIDA]],TAB_ESTOQUE[[Codigo]:[Referência Tec]],7,FALSE),"")</f>
        <v>0</v>
      </c>
      <c r="D1126" s="15" t="str">
        <f>VLOOKUP(TAB_SAIDA[[#This Row],[COD_2_SAIDA]],TAB_ESTOQUE[[Codigo]:[Endereço2]],12,FALSE)</f>
        <v>D2102</v>
      </c>
      <c r="E1126" s="81">
        <f>SUM(TAB_SAIDA[[#This Row],[20/05/2019]:[00/00/00]])</f>
        <v>0</v>
      </c>
      <c r="F1126" s="3"/>
    </row>
    <row r="1127" spans="1:6" ht="15" hidden="1" customHeight="1" x14ac:dyDescent="0.25">
      <c r="A1127" s="5" t="s">
        <v>3097</v>
      </c>
      <c r="B1127" s="15" t="str">
        <f>VLOOKUP(TAB_SAIDA[[#This Row],[COD_2_SAIDA]],TAB_ESTOQUE[[Codigo]:[Descrição Tecnica]],6,FALSE)</f>
        <v>ROLAMENTO 608-2RSP</v>
      </c>
      <c r="C1127" s="15">
        <f>IFERROR(VLOOKUP(TAB_SAIDA[[#This Row],[COD_2_SAIDA]],TAB_ESTOQUE[[Codigo]:[Referência Tec]],7,FALSE),"")</f>
        <v>0</v>
      </c>
      <c r="D1127" s="15" t="str">
        <f>VLOOKUP(TAB_SAIDA[[#This Row],[COD_2_SAIDA]],TAB_ESTOQUE[[Codigo]:[Endereço2]],12,FALSE)</f>
        <v>D2104</v>
      </c>
      <c r="E1127" s="81">
        <f>SUM(TAB_SAIDA[[#This Row],[20/05/2019]:[00/00/00]])</f>
        <v>0</v>
      </c>
      <c r="F1127" s="3"/>
    </row>
    <row r="1128" spans="1:6" ht="15" hidden="1" customHeight="1" x14ac:dyDescent="0.25">
      <c r="A1128" s="5" t="s">
        <v>3098</v>
      </c>
      <c r="B1128" s="15" t="str">
        <f>VLOOKUP(TAB_SAIDA[[#This Row],[COD_2_SAIDA]],TAB_ESTOQUE[[Codigo]:[Descrição Tecnica]],6,FALSE)</f>
        <v>MASSA SOLDA A FRIO COMPOSTO DE AÇO COM RESINAS 4:1 RESINA A 4:1 ENDURECEDOR B</v>
      </c>
      <c r="C1128" s="15">
        <f>IFERROR(VLOOKUP(TAB_SAIDA[[#This Row],[COD_2_SAIDA]],TAB_ESTOQUE[[Codigo]:[Referência Tec]],7,FALSE),"")</f>
        <v>0</v>
      </c>
      <c r="D1128" s="15" t="str">
        <f>VLOOKUP(TAB_SAIDA[[#This Row],[COD_2_SAIDA]],TAB_ESTOQUE[[Codigo]:[Endereço2]],12,FALSE)</f>
        <v>E2101</v>
      </c>
      <c r="E1128" s="81">
        <f>SUM(TAB_SAIDA[[#This Row],[20/05/2019]:[00/00/00]])</f>
        <v>0</v>
      </c>
      <c r="F1128" s="3"/>
    </row>
    <row r="1129" spans="1:6" ht="15" hidden="1" customHeight="1" x14ac:dyDescent="0.25">
      <c r="A1129" s="5" t="s">
        <v>3099</v>
      </c>
      <c r="B1129" s="15" t="str">
        <f>VLOOKUP(TAB_SAIDA[[#This Row],[COD_2_SAIDA]],TAB_ESTOQUE[[Codigo]:[Descrição Tecnica]],6,FALSE)</f>
        <v>FOLE COMPACTO PNEUMÁTICO WBZ 500 ECO MAX:0-8bar TEMP RANJE -40ºC -50ºC (MAX+70ºC) (WEFORMA)</v>
      </c>
      <c r="C1129" s="15">
        <f>IFERROR(VLOOKUP(TAB_SAIDA[[#This Row],[COD_2_SAIDA]],TAB_ESTOQUE[[Codigo]:[Referência Tec]],7,FALSE),"")</f>
        <v>0</v>
      </c>
      <c r="D1129" s="15" t="str">
        <f>VLOOKUP(TAB_SAIDA[[#This Row],[COD_2_SAIDA]],TAB_ESTOQUE[[Codigo]:[Endereço2]],12,FALSE)</f>
        <v>C2201</v>
      </c>
      <c r="E1129" s="81">
        <f>SUM(TAB_SAIDA[[#This Row],[20/05/2019]:[00/00/00]])</f>
        <v>0</v>
      </c>
      <c r="F1129" s="3"/>
    </row>
    <row r="1130" spans="1:6" ht="15" hidden="1" customHeight="1" x14ac:dyDescent="0.25">
      <c r="A1130" s="5" t="s">
        <v>3104</v>
      </c>
      <c r="B1130" s="15" t="str">
        <f>VLOOKUP(TAB_SAIDA[[#This Row],[COD_2_SAIDA]],TAB_ESTOQUE[[Codigo]:[Descrição Tecnica]],6,FALSE)</f>
        <v>ACIONADOR PNEUMATICO MOD:4H210-06L PRESSURE:0-0. 8MPA</v>
      </c>
      <c r="C1130" s="15">
        <f>IFERROR(VLOOKUP(TAB_SAIDA[[#This Row],[COD_2_SAIDA]],TAB_ESTOQUE[[Codigo]:[Referência Tec]],7,FALSE),"")</f>
        <v>0</v>
      </c>
      <c r="D1130" s="15" t="str">
        <f>VLOOKUP(TAB_SAIDA[[#This Row],[COD_2_SAIDA]],TAB_ESTOQUE[[Codigo]:[Endereço2]],12,FALSE)</f>
        <v>G1103</v>
      </c>
      <c r="E1130" s="81">
        <f>SUM(TAB_SAIDA[[#This Row],[20/05/2019]:[00/00/00]])</f>
        <v>0</v>
      </c>
      <c r="F1130" s="3"/>
    </row>
    <row r="1131" spans="1:6" ht="15" hidden="1" customHeight="1" x14ac:dyDescent="0.25">
      <c r="A1131" s="5" t="s">
        <v>3105</v>
      </c>
      <c r="B1131" s="15" t="str">
        <f>VLOOKUP(TAB_SAIDA[[#This Row],[COD_2_SAIDA]],TAB_ESTOQUE[[Codigo]:[Descrição Tecnica]],6,FALSE)</f>
        <v>CILINDRO PNEUMATICO MOD:DSN25X125-S (FERGE)</v>
      </c>
      <c r="C1131" s="15">
        <f>IFERROR(VLOOKUP(TAB_SAIDA[[#This Row],[COD_2_SAIDA]],TAB_ESTOQUE[[Codigo]:[Referência Tec]],7,FALSE),"")</f>
        <v>0</v>
      </c>
      <c r="D1131" s="15" t="str">
        <f>VLOOKUP(TAB_SAIDA[[#This Row],[COD_2_SAIDA]],TAB_ESTOQUE[[Codigo]:[Endereço2]],12,FALSE)</f>
        <v>C1105</v>
      </c>
      <c r="E1131" s="81">
        <f>SUM(TAB_SAIDA[[#This Row],[20/05/2019]:[00/00/00]])</f>
        <v>0</v>
      </c>
      <c r="F1131" s="3"/>
    </row>
    <row r="1132" spans="1:6" ht="15" hidden="1" customHeight="1" x14ac:dyDescent="0.25">
      <c r="A1132" s="5" t="s">
        <v>3106</v>
      </c>
      <c r="B1132" s="15" t="str">
        <f>VLOOKUP(TAB_SAIDA[[#This Row],[COD_2_SAIDA]],TAB_ESTOQUE[[Codigo]:[Descrição Tecnica]],6,FALSE)</f>
        <v>ATUADOR PNEUMATICO COM VALVULA DE ESFERA 1"</v>
      </c>
      <c r="C1132" s="15">
        <f>IFERROR(VLOOKUP(TAB_SAIDA[[#This Row],[COD_2_SAIDA]],TAB_ESTOQUE[[Codigo]:[Referência Tec]],7,FALSE),"")</f>
        <v>0</v>
      </c>
      <c r="D1132" s="15" t="str">
        <f>VLOOKUP(TAB_SAIDA[[#This Row],[COD_2_SAIDA]],TAB_ESTOQUE[[Codigo]:[Endereço2]],12,FALSE)</f>
        <v>C1206</v>
      </c>
      <c r="E1132" s="81">
        <f>SUM(TAB_SAIDA[[#This Row],[20/05/2019]:[00/00/00]])</f>
        <v>0</v>
      </c>
      <c r="F1132" s="3"/>
    </row>
    <row r="1133" spans="1:6" ht="15" hidden="1" customHeight="1" x14ac:dyDescent="0.25">
      <c r="A1133" s="5" t="s">
        <v>5989</v>
      </c>
      <c r="B1133" s="15" t="str">
        <f>VLOOKUP(TAB_SAIDA[[#This Row],[COD_2_SAIDA]],TAB_ESTOQUE[[Codigo]:[Descrição Tecnica]],6,FALSE)</f>
        <v>CILINDRO COMPACTO CURSO 40MM FESTO - REF. ADVU-25-40-P-A / COD 156528</v>
      </c>
      <c r="C1133" s="15">
        <f>IFERROR(VLOOKUP(TAB_SAIDA[[#This Row],[COD_2_SAIDA]],TAB_ESTOQUE[[Codigo]:[Referência Tec]],7,FALSE),"")</f>
        <v>0</v>
      </c>
      <c r="D1133" s="15" t="str">
        <f>VLOOKUP(TAB_SAIDA[[#This Row],[COD_2_SAIDA]],TAB_ESTOQUE[[Codigo]:[Endereço2]],12,FALSE)</f>
        <v>C1105</v>
      </c>
      <c r="E1133" s="81">
        <f>SUM(TAB_SAIDA[[#This Row],[20/05/2019]:[00/00/00]])</f>
        <v>0</v>
      </c>
      <c r="F1133" s="3"/>
    </row>
    <row r="1134" spans="1:6" ht="15" hidden="1" customHeight="1" x14ac:dyDescent="0.25">
      <c r="A1134" s="5" t="s">
        <v>5990</v>
      </c>
      <c r="B1134" s="15" t="str">
        <f>VLOOKUP(TAB_SAIDA[[#This Row],[COD_2_SAIDA]],TAB_ESTOQUE[[Codigo]:[Descrição Tecnica]],6,FALSE)</f>
        <v xml:space="preserve">ROLAMENTO MOD:2208 STB </v>
      </c>
      <c r="C1134" s="15">
        <f>IFERROR(VLOOKUP(TAB_SAIDA[[#This Row],[COD_2_SAIDA]],TAB_ESTOQUE[[Codigo]:[Referência Tec]],7,FALSE),"")</f>
        <v>0</v>
      </c>
      <c r="D1134" s="15" t="str">
        <f>VLOOKUP(TAB_SAIDA[[#This Row],[COD_2_SAIDA]],TAB_ESTOQUE[[Codigo]:[Endereço2]],12,FALSE)</f>
        <v>D2106</v>
      </c>
      <c r="E1134" s="81">
        <f>SUM(TAB_SAIDA[[#This Row],[20/05/2019]:[00/00/00]])</f>
        <v>0</v>
      </c>
      <c r="F1134" s="3"/>
    </row>
    <row r="1135" spans="1:6" ht="15" hidden="1" customHeight="1" x14ac:dyDescent="0.25">
      <c r="A1135" s="5" t="s">
        <v>5991</v>
      </c>
      <c r="B1135" s="15" t="str">
        <f>VLOOKUP(TAB_SAIDA[[#This Row],[COD_2_SAIDA]],TAB_ESTOQUE[[Codigo]:[Descrição Tecnica]],6,FALSE)</f>
        <v>TERMOMETRO 100°C COM ROSCA DE 1/4" HASTE DE 50MM</v>
      </c>
      <c r="C1135" s="15">
        <f>IFERROR(VLOOKUP(TAB_SAIDA[[#This Row],[COD_2_SAIDA]],TAB_ESTOQUE[[Codigo]:[Referência Tec]],7,FALSE),"")</f>
        <v>0</v>
      </c>
      <c r="D1135" s="15" t="str">
        <f>VLOOKUP(TAB_SAIDA[[#This Row],[COD_2_SAIDA]],TAB_ESTOQUE[[Codigo]:[Endereço2]],12,FALSE)</f>
        <v>E2404</v>
      </c>
      <c r="E1135" s="81">
        <f>SUM(TAB_SAIDA[[#This Row],[20/05/2019]:[00/00/00]])</f>
        <v>0</v>
      </c>
      <c r="F1135" s="3"/>
    </row>
    <row r="1136" spans="1:6" ht="15" hidden="1" customHeight="1" x14ac:dyDescent="0.25">
      <c r="A1136" s="5" t="s">
        <v>5992</v>
      </c>
      <c r="B1136" s="15" t="str">
        <f>VLOOKUP(TAB_SAIDA[[#This Row],[COD_2_SAIDA]],TAB_ESTOQUE[[Codigo]:[Descrição Tecnica]],6,FALSE)</f>
        <v>PONTA MONTADA A34</v>
      </c>
      <c r="C1136" s="15">
        <f>IFERROR(VLOOKUP(TAB_SAIDA[[#This Row],[COD_2_SAIDA]],TAB_ESTOQUE[[Codigo]:[Referência Tec]],7,FALSE),"")</f>
        <v>0</v>
      </c>
      <c r="D1136" s="15" t="str">
        <f>VLOOKUP(TAB_SAIDA[[#This Row],[COD_2_SAIDA]],TAB_ESTOQUE[[Codigo]:[Endereço2]],12,FALSE)</f>
        <v>E2405</v>
      </c>
      <c r="E1136" s="81">
        <f>SUM(TAB_SAIDA[[#This Row],[20/05/2019]:[00/00/00]])</f>
        <v>0</v>
      </c>
      <c r="F1136" s="3"/>
    </row>
    <row r="1137" spans="1:486" ht="15" hidden="1" customHeight="1" x14ac:dyDescent="0.25">
      <c r="A1137" s="5" t="s">
        <v>5993</v>
      </c>
      <c r="B1137" s="15" t="str">
        <f>VLOOKUP(TAB_SAIDA[[#This Row],[COD_2_SAIDA]],TAB_ESTOQUE[[Codigo]:[Descrição Tecnica]],6,FALSE)</f>
        <v>ROLAMENTO NATR5PP 300122</v>
      </c>
      <c r="C1137" s="15">
        <f>IFERROR(VLOOKUP(TAB_SAIDA[[#This Row],[COD_2_SAIDA]],TAB_ESTOQUE[[Codigo]:[Referência Tec]],7,FALSE),"")</f>
        <v>0</v>
      </c>
      <c r="D1137" s="15" t="str">
        <f>VLOOKUP(TAB_SAIDA[[#This Row],[COD_2_SAIDA]],TAB_ESTOQUE[[Codigo]:[Endereço2]],12,FALSE)</f>
        <v>D1105</v>
      </c>
      <c r="E1137" s="81">
        <f>SUM(TAB_SAIDA[[#This Row],[20/05/2019]:[00/00/00]])</f>
        <v>0</v>
      </c>
      <c r="F1137" s="3"/>
    </row>
    <row r="1138" spans="1:486" ht="15" hidden="1" customHeight="1" x14ac:dyDescent="0.25">
      <c r="A1138" s="5" t="s">
        <v>5994</v>
      </c>
      <c r="B1138" s="15" t="str">
        <f>VLOOKUP(TAB_SAIDA[[#This Row],[COD_2_SAIDA]],TAB_ESTOQUE[[Codigo]:[Descrição Tecnica]],6,FALSE)</f>
        <v xml:space="preserve">ELEMENTO FILTRANTE SHB-0965 HIDRAULICO R 1" X 12 UNF </v>
      </c>
      <c r="C1138" s="15">
        <f>IFERROR(VLOOKUP(TAB_SAIDA[[#This Row],[COD_2_SAIDA]],TAB_ESTOQUE[[Codigo]:[Referência Tec]],7,FALSE),"")</f>
        <v>0</v>
      </c>
      <c r="D1138" s="15" t="str">
        <f>VLOOKUP(TAB_SAIDA[[#This Row],[COD_2_SAIDA]],TAB_ESTOQUE[[Codigo]:[Endereço2]],12,FALSE)</f>
        <v>C1404</v>
      </c>
      <c r="E1138" s="81">
        <f>SUM(TAB_SAIDA[[#This Row],[20/05/2019]:[00/00/00]])</f>
        <v>0</v>
      </c>
      <c r="F1138" s="3"/>
    </row>
    <row r="1139" spans="1:486" ht="15" hidden="1" customHeight="1" x14ac:dyDescent="0.25">
      <c r="A1139" s="5" t="s">
        <v>5995</v>
      </c>
      <c r="B1139" s="15" t="str">
        <f>VLOOKUP(TAB_SAIDA[[#This Row],[COD_2_SAIDA]],TAB_ESTOQUE[[Codigo]:[Descrição Tecnica]],6,FALSE)</f>
        <v>RETENTOR 17X35X10X2</v>
      </c>
      <c r="C1139" s="15">
        <f>IFERROR(VLOOKUP(TAB_SAIDA[[#This Row],[COD_2_SAIDA]],TAB_ESTOQUE[[Codigo]:[Referência Tec]],7,FALSE),"")</f>
        <v>0</v>
      </c>
      <c r="D1139" s="15" t="str">
        <f>VLOOKUP(TAB_SAIDA[[#This Row],[COD_2_SAIDA]],TAB_ESTOQUE[[Codigo]:[Endereço2]],12,FALSE)</f>
        <v>E1204</v>
      </c>
      <c r="E1139" s="81">
        <f>SUM(TAB_SAIDA[[#This Row],[20/05/2019]:[00/00/00]])</f>
        <v>1</v>
      </c>
      <c r="F1139" s="3"/>
      <c r="RR1139" s="3">
        <v>1</v>
      </c>
    </row>
    <row r="1140" spans="1:486" ht="15" hidden="1" customHeight="1" x14ac:dyDescent="0.25">
      <c r="A1140" s="5" t="s">
        <v>5996</v>
      </c>
      <c r="B1140" s="15" t="str">
        <f>VLOOKUP(TAB_SAIDA[[#This Row],[COD_2_SAIDA]],TAB_ESTOQUE[[Codigo]:[Descrição Tecnica]],6,FALSE)</f>
        <v>QUAD RING 88X32,5X1,5</v>
      </c>
      <c r="C1140" s="15">
        <f>IFERROR(VLOOKUP(TAB_SAIDA[[#This Row],[COD_2_SAIDA]],TAB_ESTOQUE[[Codigo]:[Referência Tec]],7,FALSE),"")</f>
        <v>0</v>
      </c>
      <c r="D1140" s="15" t="str">
        <f>VLOOKUP(TAB_SAIDA[[#This Row],[COD_2_SAIDA]],TAB_ESTOQUE[[Codigo]:[Endereço2]],12,FALSE)</f>
        <v>E1304</v>
      </c>
      <c r="E1140" s="81">
        <f>SUM(TAB_SAIDA[[#This Row],[20/05/2019]:[00/00/00]])</f>
        <v>0</v>
      </c>
      <c r="F1140" s="3"/>
    </row>
    <row r="1141" spans="1:486" ht="15" hidden="1" customHeight="1" x14ac:dyDescent="0.25">
      <c r="A1141" s="5" t="s">
        <v>5997</v>
      </c>
      <c r="B1141" s="15" t="str">
        <f>VLOOKUP(TAB_SAIDA[[#This Row],[COD_2_SAIDA]],TAB_ESTOQUE[[Codigo]:[Descrição Tecnica]],6,FALSE)</f>
        <v>QUAD RING 102X95X1,20</v>
      </c>
      <c r="C1141" s="15">
        <f>IFERROR(VLOOKUP(TAB_SAIDA[[#This Row],[COD_2_SAIDA]],TAB_ESTOQUE[[Codigo]:[Referência Tec]],7,FALSE),"")</f>
        <v>0</v>
      </c>
      <c r="D1141" s="15" t="str">
        <f>VLOOKUP(TAB_SAIDA[[#This Row],[COD_2_SAIDA]],TAB_ESTOQUE[[Codigo]:[Endereço2]],12,FALSE)</f>
        <v>E1304</v>
      </c>
      <c r="E1141" s="81">
        <f>SUM(TAB_SAIDA[[#This Row],[20/05/2019]:[00/00/00]])</f>
        <v>0</v>
      </c>
      <c r="F1141" s="3"/>
    </row>
    <row r="1142" spans="1:486" ht="15" hidden="1" customHeight="1" x14ac:dyDescent="0.25">
      <c r="A1142" s="5" t="s">
        <v>5998</v>
      </c>
      <c r="B1142" s="15" t="str">
        <f>VLOOKUP(TAB_SAIDA[[#This Row],[COD_2_SAIDA]],TAB_ESTOQUE[[Codigo]:[Descrição Tecnica]],6,FALSE)</f>
        <v>CORDAO DE BORRACHA 6MM</v>
      </c>
      <c r="C1142" s="15">
        <f>IFERROR(VLOOKUP(TAB_SAIDA[[#This Row],[COD_2_SAIDA]],TAB_ESTOQUE[[Codigo]:[Referência Tec]],7,FALSE),"")</f>
        <v>0</v>
      </c>
      <c r="D1142" s="15" t="str">
        <f>VLOOKUP(TAB_SAIDA[[#This Row],[COD_2_SAIDA]],TAB_ESTOQUE[[Codigo]:[Endereço2]],12,FALSE)</f>
        <v>E1306</v>
      </c>
      <c r="E1142" s="81">
        <f>SUM(TAB_SAIDA[[#This Row],[20/05/2019]:[00/00/00]])</f>
        <v>0</v>
      </c>
      <c r="F1142" s="3"/>
    </row>
    <row r="1143" spans="1:486" ht="15" hidden="1" customHeight="1" x14ac:dyDescent="0.25">
      <c r="A1143" s="5" t="s">
        <v>5999</v>
      </c>
      <c r="B1143" s="15" t="str">
        <f>VLOOKUP(TAB_SAIDA[[#This Row],[COD_2_SAIDA]],TAB_ESTOQUE[[Codigo]:[Descrição Tecnica]],6,FALSE)</f>
        <v>CORDAO DE BORRACHA 4MM</v>
      </c>
      <c r="C1143" s="15">
        <f>IFERROR(VLOOKUP(TAB_SAIDA[[#This Row],[COD_2_SAIDA]],TAB_ESTOQUE[[Codigo]:[Referência Tec]],7,FALSE),"")</f>
        <v>0</v>
      </c>
      <c r="D1143" s="15" t="str">
        <f>VLOOKUP(TAB_SAIDA[[#This Row],[COD_2_SAIDA]],TAB_ESTOQUE[[Codigo]:[Endereço2]],12,FALSE)</f>
        <v>E1306</v>
      </c>
      <c r="E1143" s="81">
        <f>SUM(TAB_SAIDA[[#This Row],[20/05/2019]:[00/00/00]])</f>
        <v>0</v>
      </c>
      <c r="F1143" s="3"/>
    </row>
    <row r="1144" spans="1:486" ht="15" hidden="1" customHeight="1" x14ac:dyDescent="0.25">
      <c r="A1144" s="5" t="s">
        <v>6000</v>
      </c>
      <c r="B1144" s="15" t="str">
        <f>VLOOKUP(TAB_SAIDA[[#This Row],[COD_2_SAIDA]],TAB_ESTOQUE[[Codigo]:[Descrição Tecnica]],6,FALSE)</f>
        <v>ROLAMENTO LINEAR 411N30F0 (THOMSON)</v>
      </c>
      <c r="C1144" s="15">
        <f>IFERROR(VLOOKUP(TAB_SAIDA[[#This Row],[COD_2_SAIDA]],TAB_ESTOQUE[[Codigo]:[Referência Tec]],7,FALSE),"")</f>
        <v>0</v>
      </c>
      <c r="D1144" s="15" t="str">
        <f>VLOOKUP(TAB_SAIDA[[#This Row],[COD_2_SAIDA]],TAB_ESTOQUE[[Codigo]:[Endereço2]],12,FALSE)</f>
        <v>D1106</v>
      </c>
      <c r="E1144" s="81">
        <f>SUM(TAB_SAIDA[[#This Row],[20/05/2019]:[00/00/00]])</f>
        <v>0</v>
      </c>
      <c r="F1144" s="3"/>
    </row>
    <row r="1145" spans="1:486" ht="15" hidden="1" customHeight="1" x14ac:dyDescent="0.25">
      <c r="A1145" s="5" t="s">
        <v>6001</v>
      </c>
      <c r="B1145" s="15" t="str">
        <f>VLOOKUP(TAB_SAIDA[[#This Row],[COD_2_SAIDA]],TAB_ESTOQUE[[Codigo]:[Descrição Tecnica]],6,FALSE)</f>
        <v>CONEXÃO PNEUMÁTICA TIPO T 4mm X 4 mm</v>
      </c>
      <c r="C1145" s="15">
        <f>IFERROR(VLOOKUP(TAB_SAIDA[[#This Row],[COD_2_SAIDA]],TAB_ESTOQUE[[Codigo]:[Referência Tec]],7,FALSE),"")</f>
        <v>0</v>
      </c>
      <c r="D1145" s="15" t="str">
        <f>VLOOKUP(TAB_SAIDA[[#This Row],[COD_2_SAIDA]],TAB_ESTOQUE[[Codigo]:[Endereço2]],12,FALSE)</f>
        <v>C1302</v>
      </c>
      <c r="E1145" s="81">
        <f>SUM(TAB_SAIDA[[#This Row],[20/05/2019]:[00/00/00]])</f>
        <v>0</v>
      </c>
      <c r="F1145" s="3"/>
    </row>
    <row r="1146" spans="1:486" ht="15" hidden="1" customHeight="1" x14ac:dyDescent="0.25">
      <c r="A1146" s="5" t="s">
        <v>6002</v>
      </c>
      <c r="B1146" s="15" t="str">
        <f>VLOOKUP(TAB_SAIDA[[#This Row],[COD_2_SAIDA]],TAB_ESTOQUE[[Codigo]:[Descrição Tecnica]],6,FALSE)</f>
        <v>CONEXÃO PNEUMÁTICA 4mm COM ROSCA 3/4"</v>
      </c>
      <c r="C1146" s="15">
        <f>IFERROR(VLOOKUP(TAB_SAIDA[[#This Row],[COD_2_SAIDA]],TAB_ESTOQUE[[Codigo]:[Referência Tec]],7,FALSE),"")</f>
        <v>0</v>
      </c>
      <c r="D1146" s="15" t="str">
        <f>VLOOKUP(TAB_SAIDA[[#This Row],[COD_2_SAIDA]],TAB_ESTOQUE[[Codigo]:[Endereço2]],12,FALSE)</f>
        <v>C1304</v>
      </c>
      <c r="E1146" s="81">
        <f>SUM(TAB_SAIDA[[#This Row],[20/05/2019]:[00/00/00]])</f>
        <v>0</v>
      </c>
      <c r="F1146" s="3"/>
    </row>
    <row r="1147" spans="1:486" ht="15" hidden="1" customHeight="1" x14ac:dyDescent="0.25">
      <c r="A1147" s="5" t="s">
        <v>6003</v>
      </c>
      <c r="B1147" s="15" t="str">
        <f>VLOOKUP(TAB_SAIDA[[#This Row],[COD_2_SAIDA]],TAB_ESTOQUE[[Codigo]:[Descrição Tecnica]],6,FALSE)</f>
        <v>CONEXÃO PNEUMÁTICA 90° 10mm</v>
      </c>
      <c r="C1147" s="15">
        <f>IFERROR(VLOOKUP(TAB_SAIDA[[#This Row],[COD_2_SAIDA]],TAB_ESTOQUE[[Codigo]:[Referência Tec]],7,FALSE),"")</f>
        <v>0</v>
      </c>
      <c r="D1147" s="15" t="str">
        <f>VLOOKUP(TAB_SAIDA[[#This Row],[COD_2_SAIDA]],TAB_ESTOQUE[[Codigo]:[Endereço2]],12,FALSE)</f>
        <v>C1302</v>
      </c>
      <c r="E1147" s="81">
        <f>SUM(TAB_SAIDA[[#This Row],[20/05/2019]:[00/00/00]])</f>
        <v>0</v>
      </c>
      <c r="F1147" s="3"/>
    </row>
    <row r="1148" spans="1:486" ht="15" hidden="1" customHeight="1" x14ac:dyDescent="0.25">
      <c r="A1148" s="5" t="s">
        <v>6004</v>
      </c>
      <c r="B1148" s="15" t="str">
        <f>VLOOKUP(TAB_SAIDA[[#This Row],[COD_2_SAIDA]],TAB_ESTOQUE[[Codigo]:[Descrição Tecnica]],6,FALSE)</f>
        <v xml:space="preserve">CONEXÃO PNEUMÁTICA 90° 4mm </v>
      </c>
      <c r="C1148" s="15">
        <f>IFERROR(VLOOKUP(TAB_SAIDA[[#This Row],[COD_2_SAIDA]],TAB_ESTOQUE[[Codigo]:[Referência Tec]],7,FALSE),"")</f>
        <v>0</v>
      </c>
      <c r="D1148" s="15" t="str">
        <f>VLOOKUP(TAB_SAIDA[[#This Row],[COD_2_SAIDA]],TAB_ESTOQUE[[Codigo]:[Endereço2]],12,FALSE)</f>
        <v>C1302</v>
      </c>
      <c r="E1148" s="81">
        <f>SUM(TAB_SAIDA[[#This Row],[20/05/2019]:[00/00/00]])</f>
        <v>0</v>
      </c>
      <c r="F1148" s="3"/>
    </row>
    <row r="1149" spans="1:486" ht="15" hidden="1" customHeight="1" x14ac:dyDescent="0.25">
      <c r="A1149" s="5" t="s">
        <v>6005</v>
      </c>
      <c r="B1149" s="15" t="str">
        <f>VLOOKUP(TAB_SAIDA[[#This Row],[COD_2_SAIDA]],TAB_ESTOQUE[[Codigo]:[Descrição Tecnica]],6,FALSE)</f>
        <v>CONEXÃO PNEUMÁTICA 12mm COM ROSCA 1/8"</v>
      </c>
      <c r="C1149" s="15">
        <f>IFERROR(VLOOKUP(TAB_SAIDA[[#This Row],[COD_2_SAIDA]],TAB_ESTOQUE[[Codigo]:[Referência Tec]],7,FALSE),"")</f>
        <v>0</v>
      </c>
      <c r="D1149" s="15" t="str">
        <f>VLOOKUP(TAB_SAIDA[[#This Row],[COD_2_SAIDA]],TAB_ESTOQUE[[Codigo]:[Endereço2]],12,FALSE)</f>
        <v>C1305</v>
      </c>
      <c r="E1149" s="81">
        <f>SUM(TAB_SAIDA[[#This Row],[20/05/2019]:[00/00/00]])</f>
        <v>0</v>
      </c>
      <c r="F1149" s="3"/>
    </row>
    <row r="1150" spans="1:486" ht="15" hidden="1" customHeight="1" x14ac:dyDescent="0.25">
      <c r="A1150" s="5" t="s">
        <v>6006</v>
      </c>
      <c r="B1150" s="15" t="str">
        <f>VLOOKUP(TAB_SAIDA[[#This Row],[COD_2_SAIDA]],TAB_ESTOQUE[[Codigo]:[Descrição Tecnica]],6,FALSE)</f>
        <v>MANOMETRO ROSCA VERTICAL 1/8"NPT  400 BAR COM GLICERINA</v>
      </c>
      <c r="C1150" s="15">
        <f>IFERROR(VLOOKUP(TAB_SAIDA[[#This Row],[COD_2_SAIDA]],TAB_ESTOQUE[[Codigo]:[Referência Tec]],7,FALSE),"")</f>
        <v>0</v>
      </c>
      <c r="D1150" s="15" t="str">
        <f>VLOOKUP(TAB_SAIDA[[#This Row],[COD_2_SAIDA]],TAB_ESTOQUE[[Codigo]:[Endereço2]],12,FALSE)</f>
        <v>E2405</v>
      </c>
      <c r="E1150" s="81">
        <f>SUM(TAB_SAIDA[[#This Row],[20/05/2019]:[00/00/00]])</f>
        <v>0</v>
      </c>
      <c r="F1150" s="3"/>
    </row>
    <row r="1151" spans="1:486" ht="15" hidden="1" customHeight="1" x14ac:dyDescent="0.25">
      <c r="A1151" s="5" t="s">
        <v>6007</v>
      </c>
      <c r="B1151" s="15" t="str">
        <f>VLOOKUP(TAB_SAIDA[[#This Row],[COD_2_SAIDA]],TAB_ESTOQUE[[Codigo]:[Descrição Tecnica]],6,FALSE)</f>
        <v>ROLAMENTO UC 210 HT2 V22</v>
      </c>
      <c r="C1151" s="15">
        <f>IFERROR(VLOOKUP(TAB_SAIDA[[#This Row],[COD_2_SAIDA]],TAB_ESTOQUE[[Codigo]:[Referência Tec]],7,FALSE),"")</f>
        <v>0</v>
      </c>
      <c r="D1151" s="15" t="str">
        <f>VLOOKUP(TAB_SAIDA[[#This Row],[COD_2_SAIDA]],TAB_ESTOQUE[[Codigo]:[Endereço2]],12,FALSE)</f>
        <v>D1105</v>
      </c>
      <c r="E1151" s="81">
        <f>SUM(TAB_SAIDA[[#This Row],[20/05/2019]:[00/00/00]])</f>
        <v>0</v>
      </c>
      <c r="F1151" s="3"/>
    </row>
    <row r="1152" spans="1:486" ht="15" hidden="1" customHeight="1" x14ac:dyDescent="0.25">
      <c r="A1152" s="5" t="s">
        <v>6008</v>
      </c>
      <c r="B1152" s="15" t="str">
        <f>VLOOKUP(TAB_SAIDA[[#This Row],[COD_2_SAIDA]],TAB_ESTOQUE[[Codigo]:[Descrição Tecnica]],6,FALSE)</f>
        <v>LUMINARIA LED 500W IP66 45000 LED</v>
      </c>
      <c r="C1152" s="15">
        <f>IFERROR(VLOOKUP(TAB_SAIDA[[#This Row],[COD_2_SAIDA]],TAB_ESTOQUE[[Codigo]:[Referência Tec]],7,FALSE),"")</f>
        <v>0</v>
      </c>
      <c r="D1152" s="15" t="str">
        <f>VLOOKUP(TAB_SAIDA[[#This Row],[COD_2_SAIDA]],TAB_ESTOQUE[[Codigo]:[Endereço2]],12,FALSE)</f>
        <v>B1102</v>
      </c>
      <c r="E1152" s="81">
        <f>SUM(TAB_SAIDA[[#This Row],[20/05/2019]:[00/00/00]])</f>
        <v>0</v>
      </c>
      <c r="F1152" s="3"/>
    </row>
    <row r="1153" spans="1:628" ht="15" hidden="1" customHeight="1" x14ac:dyDescent="0.25">
      <c r="A1153" s="5" t="s">
        <v>6009</v>
      </c>
      <c r="B1153" s="15" t="str">
        <f>VLOOKUP(TAB_SAIDA[[#This Row],[COD_2_SAIDA]],TAB_ESTOQUE[[Codigo]:[Descrição Tecnica]],6,FALSE)</f>
        <v>FILTRO DE VACOU 3/4 ASSEMBLY MOD: 3116652 (PPSF.75-X35) PIAB</v>
      </c>
      <c r="C1153" s="15">
        <f>IFERROR(VLOOKUP(TAB_SAIDA[[#This Row],[COD_2_SAIDA]],TAB_ESTOQUE[[Codigo]:[Referência Tec]],7,FALSE),"")</f>
        <v>0</v>
      </c>
      <c r="D1153" s="15" t="str">
        <f>VLOOKUP(TAB_SAIDA[[#This Row],[COD_2_SAIDA]],TAB_ESTOQUE[[Codigo]:[Endereço2]],12,FALSE)</f>
        <v>C1402</v>
      </c>
      <c r="E1153" s="81">
        <f>SUM(TAB_SAIDA[[#This Row],[20/05/2019]:[00/00/00]])</f>
        <v>0</v>
      </c>
      <c r="F1153" s="3"/>
    </row>
    <row r="1154" spans="1:628" ht="15" hidden="1" customHeight="1" x14ac:dyDescent="0.25">
      <c r="A1154" s="5" t="s">
        <v>6010</v>
      </c>
      <c r="B1154" s="15" t="str">
        <f>VLOOKUP(TAB_SAIDA[[#This Row],[COD_2_SAIDA]],TAB_ESTOQUE[[Codigo]:[Descrição Tecnica]],6,FALSE)</f>
        <v>ELEMENTO DO FILTRO ASSEMBLY MOD: 3116674 PIAB</v>
      </c>
      <c r="C1154" s="15">
        <f>IFERROR(VLOOKUP(TAB_SAIDA[[#This Row],[COD_2_SAIDA]],TAB_ESTOQUE[[Codigo]:[Referência Tec]],7,FALSE),"")</f>
        <v>0</v>
      </c>
      <c r="D1154" s="15" t="str">
        <f>VLOOKUP(TAB_SAIDA[[#This Row],[COD_2_SAIDA]],TAB_ESTOQUE[[Codigo]:[Endereço2]],12,FALSE)</f>
        <v>C1402</v>
      </c>
      <c r="E1154" s="81">
        <f>SUM(TAB_SAIDA[[#This Row],[20/05/2019]:[00/00/00]])</f>
        <v>0</v>
      </c>
      <c r="F1154" s="3"/>
    </row>
    <row r="1155" spans="1:628" ht="15" hidden="1" customHeight="1" x14ac:dyDescent="0.25">
      <c r="A1155" s="5" t="s">
        <v>6011</v>
      </c>
      <c r="B1155" s="15" t="str">
        <f>VLOOKUP(TAB_SAIDA[[#This Row],[COD_2_SAIDA]],TAB_ESTOQUE[[Codigo]:[Descrição Tecnica]],6,FALSE)</f>
        <v>RETENTOR LATA 33,7X47,6X9</v>
      </c>
      <c r="C1155" s="15">
        <f>IFERROR(VLOOKUP(TAB_SAIDA[[#This Row],[COD_2_SAIDA]],TAB_ESTOQUE[[Codigo]:[Referência Tec]],7,FALSE),"")</f>
        <v>0</v>
      </c>
      <c r="D1155" s="15" t="str">
        <f>VLOOKUP(TAB_SAIDA[[#This Row],[COD_2_SAIDA]],TAB_ESTOQUE[[Codigo]:[Endereço2]],12,FALSE)</f>
        <v>E1202</v>
      </c>
      <c r="E1155" s="81">
        <f>SUM(TAB_SAIDA[[#This Row],[20/05/2019]:[00/00/00]])</f>
        <v>0</v>
      </c>
      <c r="F1155" s="3"/>
    </row>
    <row r="1156" spans="1:628" ht="15" hidden="1" customHeight="1" x14ac:dyDescent="0.25">
      <c r="A1156" s="5" t="s">
        <v>6012</v>
      </c>
      <c r="B1156" s="15" t="str">
        <f>VLOOKUP(TAB_SAIDA[[#This Row],[COD_2_SAIDA]],TAB_ESTOQUE[[Codigo]:[Descrição Tecnica]],6,FALSE)</f>
        <v>RETENTOR 20X32X7</v>
      </c>
      <c r="C1156" s="15">
        <f>IFERROR(VLOOKUP(TAB_SAIDA[[#This Row],[COD_2_SAIDA]],TAB_ESTOQUE[[Codigo]:[Referência Tec]],7,FALSE),"")</f>
        <v>0</v>
      </c>
      <c r="D1156" s="15" t="str">
        <f>VLOOKUP(TAB_SAIDA[[#This Row],[COD_2_SAIDA]],TAB_ESTOQUE[[Codigo]:[Endereço2]],12,FALSE)</f>
        <v>E1203</v>
      </c>
      <c r="E1156" s="81">
        <f>SUM(TAB_SAIDA[[#This Row],[20/05/2019]:[00/00/00]])</f>
        <v>0</v>
      </c>
      <c r="F1156" s="3"/>
    </row>
    <row r="1157" spans="1:628" ht="15" hidden="1" customHeight="1" x14ac:dyDescent="0.25">
      <c r="A1157" s="5" t="s">
        <v>6013</v>
      </c>
      <c r="B1157" s="15" t="str">
        <f>VLOOKUP(TAB_SAIDA[[#This Row],[COD_2_SAIDA]],TAB_ESTOQUE[[Codigo]:[Descrição Tecnica]],6,FALSE)</f>
        <v>RETENTOR 30X42X5</v>
      </c>
      <c r="C1157" s="15">
        <f>IFERROR(VLOOKUP(TAB_SAIDA[[#This Row],[COD_2_SAIDA]],TAB_ESTOQUE[[Codigo]:[Referência Tec]],7,FALSE),"")</f>
        <v>0</v>
      </c>
      <c r="D1157" s="15" t="str">
        <f>VLOOKUP(TAB_SAIDA[[#This Row],[COD_2_SAIDA]],TAB_ESTOQUE[[Codigo]:[Endereço2]],12,FALSE)</f>
        <v>E1203</v>
      </c>
      <c r="E1157" s="81">
        <f>SUM(TAB_SAIDA[[#This Row],[20/05/2019]:[00/00/00]])</f>
        <v>0</v>
      </c>
      <c r="F1157" s="3"/>
    </row>
    <row r="1158" spans="1:628" ht="15" hidden="1" customHeight="1" x14ac:dyDescent="0.25">
      <c r="A1158" s="5" t="s">
        <v>6024</v>
      </c>
      <c r="B1158" s="15" t="str">
        <f>VLOOKUP(TAB_SAIDA[[#This Row],[COD_2_SAIDA]],TAB_ESTOQUE[[Codigo]:[Descrição Tecnica]],6,FALSE)</f>
        <v>RETENTOR 25X46X7</v>
      </c>
      <c r="C1158" s="15">
        <f>IFERROR(VLOOKUP(TAB_SAIDA[[#This Row],[COD_2_SAIDA]],TAB_ESTOQUE[[Codigo]:[Referência Tec]],7,FALSE),"")</f>
        <v>0</v>
      </c>
      <c r="D1158" s="15" t="str">
        <f>VLOOKUP(TAB_SAIDA[[#This Row],[COD_2_SAIDA]],TAB_ESTOQUE[[Codigo]:[Endereço2]],12,FALSE)</f>
        <v>E1203</v>
      </c>
      <c r="E1158" s="81">
        <f>SUM(TAB_SAIDA[[#This Row],[20/05/2019]:[00/00/00]])</f>
        <v>0</v>
      </c>
      <c r="F1158" s="3"/>
    </row>
    <row r="1159" spans="1:628" ht="15" hidden="1" customHeight="1" x14ac:dyDescent="0.25">
      <c r="A1159" s="5" t="s">
        <v>6025</v>
      </c>
      <c r="B1159" s="15" t="str">
        <f>VLOOKUP(TAB_SAIDA[[#This Row],[COD_2_SAIDA]],TAB_ESTOQUE[[Codigo]:[Descrição Tecnica]],6,FALSE)</f>
        <v>CORDAO DE BORRACHA 3,8MM</v>
      </c>
      <c r="C1159" s="15">
        <f>IFERROR(VLOOKUP(TAB_SAIDA[[#This Row],[COD_2_SAIDA]],TAB_ESTOQUE[[Codigo]:[Referência Tec]],7,FALSE),"")</f>
        <v>0</v>
      </c>
      <c r="D1159" s="15" t="str">
        <f>VLOOKUP(TAB_SAIDA[[#This Row],[COD_2_SAIDA]],TAB_ESTOQUE[[Codigo]:[Endereço2]],12,FALSE)</f>
        <v>E1306</v>
      </c>
      <c r="E1159" s="81">
        <f>SUM(TAB_SAIDA[[#This Row],[20/05/2019]:[00/00/00]])</f>
        <v>0</v>
      </c>
      <c r="F1159" s="3"/>
    </row>
    <row r="1160" spans="1:628" ht="15" hidden="1" customHeight="1" x14ac:dyDescent="0.25">
      <c r="A1160" s="5" t="s">
        <v>6026</v>
      </c>
      <c r="B1160" s="15" t="str">
        <f>VLOOKUP(TAB_SAIDA[[#This Row],[COD_2_SAIDA]],TAB_ESTOQUE[[Codigo]:[Descrição Tecnica]],6,FALSE)</f>
        <v>CORDAO DE BORRACHA 7MM</v>
      </c>
      <c r="C1160" s="15">
        <f>IFERROR(VLOOKUP(TAB_SAIDA[[#This Row],[COD_2_SAIDA]],TAB_ESTOQUE[[Codigo]:[Referência Tec]],7,FALSE),"")</f>
        <v>0</v>
      </c>
      <c r="D1160" s="15" t="str">
        <f>VLOOKUP(TAB_SAIDA[[#This Row],[COD_2_SAIDA]],TAB_ESTOQUE[[Codigo]:[Endereço2]],12,FALSE)</f>
        <v>E1306</v>
      </c>
      <c r="E1160" s="81">
        <f>SUM(TAB_SAIDA[[#This Row],[20/05/2019]:[00/00/00]])</f>
        <v>0</v>
      </c>
      <c r="F1160" s="3"/>
    </row>
    <row r="1161" spans="1:628" ht="15" hidden="1" customHeight="1" x14ac:dyDescent="0.25">
      <c r="A1161" s="5" t="s">
        <v>6031</v>
      </c>
      <c r="B1161" s="15" t="str">
        <f>VLOOKUP(TAB_SAIDA[[#This Row],[COD_2_SAIDA]],TAB_ESTOQUE[[Codigo]:[Descrição Tecnica]],6,FALSE)</f>
        <v>CORDAO DE BORRACHA 3MM</v>
      </c>
      <c r="C1161" s="15">
        <f>IFERROR(VLOOKUP(TAB_SAIDA[[#This Row],[COD_2_SAIDA]],TAB_ESTOQUE[[Codigo]:[Referência Tec]],7,FALSE),"")</f>
        <v>0</v>
      </c>
      <c r="D1161" s="15" t="str">
        <f>VLOOKUP(TAB_SAIDA[[#This Row],[COD_2_SAIDA]],TAB_ESTOQUE[[Codigo]:[Endereço2]],12,FALSE)</f>
        <v>E1306</v>
      </c>
      <c r="E1161" s="81">
        <f>SUM(TAB_SAIDA[[#This Row],[20/05/2019]:[00/00/00]])</f>
        <v>0</v>
      </c>
      <c r="F1161" s="3"/>
    </row>
    <row r="1162" spans="1:628" ht="15" hidden="1" customHeight="1" x14ac:dyDescent="0.25">
      <c r="A1162" s="5" t="s">
        <v>6037</v>
      </c>
      <c r="B1162" s="15" t="str">
        <f>VLOOKUP(TAB_SAIDA[[#This Row],[COD_2_SAIDA]],TAB_ESTOQUE[[Codigo]:[Descrição Tecnica]],6,FALSE)</f>
        <v>ROLAMENTO NUP 306 EWL3</v>
      </c>
      <c r="C1162" s="15">
        <f>IFERROR(VLOOKUP(TAB_SAIDA[[#This Row],[COD_2_SAIDA]],TAB_ESTOQUE[[Codigo]:[Referência Tec]],7,FALSE),"")</f>
        <v>0</v>
      </c>
      <c r="D1162" s="15" t="str">
        <f>VLOOKUP(TAB_SAIDA[[#This Row],[COD_2_SAIDA]],TAB_ESTOQUE[[Codigo]:[Endereço2]],12,FALSE)</f>
        <v>D2104</v>
      </c>
      <c r="E1162" s="81">
        <f>SUM(TAB_SAIDA[[#This Row],[20/05/2019]:[00/00/00]])</f>
        <v>0</v>
      </c>
      <c r="F1162" s="3"/>
    </row>
    <row r="1163" spans="1:628" ht="15" hidden="1" customHeight="1" x14ac:dyDescent="0.25">
      <c r="A1163" s="5" t="s">
        <v>6039</v>
      </c>
      <c r="B1163" s="15" t="str">
        <f>VLOOKUP(TAB_SAIDA[[#This Row],[COD_2_SAIDA]],TAB_ESTOQUE[[Codigo]:[Descrição Tecnica]],6,FALSE)</f>
        <v>DISJUNTOR MOTOR STECK SLS2252C - 3P 25A 20-25A</v>
      </c>
      <c r="C1163" s="15">
        <f>IFERROR(VLOOKUP(TAB_SAIDA[[#This Row],[COD_2_SAIDA]],TAB_ESTOQUE[[Codigo]:[Referência Tec]],7,FALSE),"")</f>
        <v>0</v>
      </c>
      <c r="D1163" s="15" t="str">
        <f>VLOOKUP(TAB_SAIDA[[#This Row],[COD_2_SAIDA]],TAB_ESTOQUE[[Codigo]:[Endereço2]],12,FALSE)</f>
        <v>A2405</v>
      </c>
      <c r="E1163" s="81">
        <f>SUM(TAB_SAIDA[[#This Row],[20/05/2019]:[00/00/00]])</f>
        <v>2</v>
      </c>
      <c r="F1163" s="3"/>
      <c r="VK1163" s="3">
        <v>1</v>
      </c>
      <c r="WF1163" s="3">
        <v>1</v>
      </c>
    </row>
    <row r="1164" spans="1:628" ht="15" hidden="1" customHeight="1" x14ac:dyDescent="0.25">
      <c r="A1164" s="5" t="s">
        <v>6042</v>
      </c>
      <c r="B1164" s="15" t="str">
        <f>VLOOKUP(TAB_SAIDA[[#This Row],[COD_2_SAIDA]],TAB_ESTOQUE[[Codigo]:[Descrição Tecnica]],6,FALSE)</f>
        <v>VALVULA HIDRAULICA REXROTH REF: DR 6 DP2-53/75YM</v>
      </c>
      <c r="C1164" s="15">
        <f>IFERROR(VLOOKUP(TAB_SAIDA[[#This Row],[COD_2_SAIDA]],TAB_ESTOQUE[[Codigo]:[Referência Tec]],7,FALSE),"")</f>
        <v>0</v>
      </c>
      <c r="D1164" s="15" t="str">
        <f>VLOOKUP(TAB_SAIDA[[#This Row],[COD_2_SAIDA]],TAB_ESTOQUE[[Codigo]:[Endereço2]],12,FALSE)</f>
        <v>C2104</v>
      </c>
      <c r="E1164" s="81">
        <f>SUM(TAB_SAIDA[[#This Row],[20/05/2019]:[00/00/00]])</f>
        <v>0</v>
      </c>
      <c r="F1164" s="3"/>
    </row>
    <row r="1165" spans="1:628" ht="15" hidden="1" customHeight="1" x14ac:dyDescent="0.25">
      <c r="A1165" s="5" t="s">
        <v>6065</v>
      </c>
      <c r="B1165" s="15" t="str">
        <f>VLOOKUP(TAB_SAIDA[[#This Row],[COD_2_SAIDA]],TAB_ESTOQUE[[Codigo]:[Descrição Tecnica]],6,FALSE)</f>
        <v xml:space="preserve">VALVULA PNEUMATICA PARA OLEO TERMICO </v>
      </c>
      <c r="C1165" s="15">
        <f>IFERROR(VLOOKUP(TAB_SAIDA[[#This Row],[COD_2_SAIDA]],TAB_ESTOQUE[[Codigo]:[Referência Tec]],7,FALSE),"")</f>
        <v>0</v>
      </c>
      <c r="D1165" s="15" t="str">
        <f>VLOOKUP(TAB_SAIDA[[#This Row],[COD_2_SAIDA]],TAB_ESTOQUE[[Codigo]:[Endereço2]],12,FALSE)</f>
        <v>C2206</v>
      </c>
      <c r="E1165" s="81">
        <f>SUM(TAB_SAIDA[[#This Row],[20/05/2019]:[00/00/00]])</f>
        <v>0</v>
      </c>
      <c r="F1165" s="3"/>
    </row>
    <row r="1166" spans="1:628" ht="15" hidden="1" customHeight="1" x14ac:dyDescent="0.25">
      <c r="A1166" s="5" t="s">
        <v>6255</v>
      </c>
      <c r="B1166" s="15" t="str">
        <f>VLOOKUP(TAB_SAIDA[[#This Row],[COD_2_SAIDA]],TAB_ESTOQUE[[Codigo]:[Descrição Tecnica]],6,FALSE)</f>
        <v>ROLAMENTO UC202</v>
      </c>
      <c r="C1166" s="15">
        <f>IFERROR(VLOOKUP(TAB_SAIDA[[#This Row],[COD_2_SAIDA]],TAB_ESTOQUE[[Codigo]:[Referência Tec]],7,FALSE),"")</f>
        <v>0</v>
      </c>
      <c r="D1166" s="15" t="str">
        <f>VLOOKUP(TAB_SAIDA[[#This Row],[COD_2_SAIDA]],TAB_ESTOQUE[[Codigo]:[Endereço2]],12,FALSE)</f>
        <v>D2105</v>
      </c>
      <c r="E1166" s="81">
        <f>SUM(TAB_SAIDA[[#This Row],[20/05/2019]:[00/00/00]])</f>
        <v>0</v>
      </c>
      <c r="F1166" s="3"/>
    </row>
    <row r="1167" spans="1:628" ht="15" hidden="1" customHeight="1" x14ac:dyDescent="0.25">
      <c r="A1167" s="5" t="s">
        <v>6256</v>
      </c>
      <c r="B1167" s="15" t="str">
        <f>VLOOKUP(TAB_SAIDA[[#This Row],[COD_2_SAIDA]],TAB_ESTOQUE[[Codigo]:[Descrição Tecnica]],6,FALSE)</f>
        <v>BITS Nº 2X50mm S2 PH2</v>
      </c>
      <c r="C1167" s="15">
        <f>IFERROR(VLOOKUP(TAB_SAIDA[[#This Row],[COD_2_SAIDA]],TAB_ESTOQUE[[Codigo]:[Referência Tec]],7,FALSE),"")</f>
        <v>0</v>
      </c>
      <c r="D1167" s="15" t="str">
        <f>VLOOKUP(TAB_SAIDA[[#This Row],[COD_2_SAIDA]],TAB_ESTOQUE[[Codigo]:[Endereço2]],12,FALSE)</f>
        <v>D1105</v>
      </c>
      <c r="E1167" s="81">
        <f>SUM(TAB_SAIDA[[#This Row],[20/05/2019]:[00/00/00]])</f>
        <v>15</v>
      </c>
      <c r="F1167" s="3"/>
      <c r="SC1167" s="3">
        <v>1</v>
      </c>
      <c r="SN1167" s="3">
        <v>1</v>
      </c>
      <c r="SS1167" s="3">
        <v>1</v>
      </c>
      <c r="UR1167" s="3">
        <v>1</v>
      </c>
      <c r="UW1167" s="3">
        <v>1</v>
      </c>
      <c r="VE1167" s="3">
        <v>1</v>
      </c>
      <c r="VH1167" s="3">
        <v>1</v>
      </c>
      <c r="VJ1167" s="3">
        <v>1</v>
      </c>
      <c r="VP1167" s="3">
        <v>1</v>
      </c>
      <c r="VT1167" s="3">
        <v>1</v>
      </c>
      <c r="VV1167" s="3">
        <v>1</v>
      </c>
      <c r="VY1167" s="3">
        <v>1</v>
      </c>
      <c r="WF1167" s="3">
        <v>2</v>
      </c>
      <c r="WU1167" s="3">
        <v>1</v>
      </c>
    </row>
    <row r="1168" spans="1:628" ht="15" hidden="1" customHeight="1" x14ac:dyDescent="0.25">
      <c r="A1168" s="5" t="s">
        <v>6257</v>
      </c>
      <c r="B1168" s="15" t="str">
        <f>VLOOKUP(TAB_SAIDA[[#This Row],[COD_2_SAIDA]],TAB_ESTOQUE[[Codigo]:[Descrição Tecnica]],6,FALSE)</f>
        <v>BITS T-20</v>
      </c>
      <c r="C1168" s="15">
        <f>IFERROR(VLOOKUP(TAB_SAIDA[[#This Row],[COD_2_SAIDA]],TAB_ESTOQUE[[Codigo]:[Referência Tec]],7,FALSE),"")</f>
        <v>0</v>
      </c>
      <c r="D1168" s="15" t="str">
        <f>VLOOKUP(TAB_SAIDA[[#This Row],[COD_2_SAIDA]],TAB_ESTOQUE[[Codigo]:[Endereço2]],12,FALSE)</f>
        <v>D1105</v>
      </c>
      <c r="E1168" s="81">
        <f>SUM(TAB_SAIDA[[#This Row],[20/05/2019]:[00/00/00]])</f>
        <v>44</v>
      </c>
      <c r="F1168" s="3"/>
      <c r="RW1168" s="3">
        <v>1</v>
      </c>
      <c r="RY1168" s="3">
        <v>1</v>
      </c>
      <c r="SM1168" s="3">
        <v>2</v>
      </c>
      <c r="SP1168" s="3">
        <v>1</v>
      </c>
      <c r="SS1168" s="3">
        <v>1</v>
      </c>
      <c r="TV1168" s="3">
        <v>2</v>
      </c>
      <c r="TY1168" s="3">
        <v>1</v>
      </c>
      <c r="UB1168" s="3">
        <v>1</v>
      </c>
      <c r="UD1168" s="3">
        <v>2</v>
      </c>
      <c r="UH1168" s="3">
        <v>2</v>
      </c>
      <c r="UL1168" s="3">
        <v>2</v>
      </c>
      <c r="UO1168" s="3">
        <v>2</v>
      </c>
      <c r="UU1168" s="3">
        <v>1</v>
      </c>
      <c r="VA1168" s="3">
        <v>2</v>
      </c>
      <c r="VC1168" s="3">
        <v>2</v>
      </c>
      <c r="VH1168" s="3">
        <v>1</v>
      </c>
      <c r="VI1168" s="3">
        <v>2</v>
      </c>
      <c r="VN1168" s="3">
        <v>1</v>
      </c>
      <c r="VS1168" s="3">
        <v>1</v>
      </c>
      <c r="VX1168" s="3">
        <v>4</v>
      </c>
      <c r="WE1168" s="3">
        <v>2</v>
      </c>
      <c r="WK1168" s="3">
        <v>2</v>
      </c>
      <c r="WL1168" s="3">
        <v>4</v>
      </c>
      <c r="WN1168" s="3">
        <v>1</v>
      </c>
      <c r="WS1168" s="3">
        <v>1</v>
      </c>
      <c r="WX1168" s="3">
        <v>1</v>
      </c>
      <c r="XD1168" s="3">
        <v>1</v>
      </c>
    </row>
    <row r="1169" spans="1:514" ht="15" hidden="1" customHeight="1" x14ac:dyDescent="0.25">
      <c r="A1169" s="5" t="s">
        <v>6258</v>
      </c>
      <c r="B1169" s="15" t="str">
        <f>VLOOKUP(TAB_SAIDA[[#This Row],[COD_2_SAIDA]],TAB_ESTOQUE[[Codigo]:[Descrição Tecnica]],6,FALSE)</f>
        <v>SUPORTE PARA O BITS T-20</v>
      </c>
      <c r="C1169" s="15">
        <f>IFERROR(VLOOKUP(TAB_SAIDA[[#This Row],[COD_2_SAIDA]],TAB_ESTOQUE[[Codigo]:[Referência Tec]],7,FALSE),"")</f>
        <v>0</v>
      </c>
      <c r="D1169" s="15" t="str">
        <f>VLOOKUP(TAB_SAIDA[[#This Row],[COD_2_SAIDA]],TAB_ESTOQUE[[Codigo]:[Endereço2]],12,FALSE)</f>
        <v>D1105</v>
      </c>
      <c r="E1169" s="81">
        <f>SUM(TAB_SAIDA[[#This Row],[20/05/2019]:[00/00/00]])</f>
        <v>0</v>
      </c>
      <c r="F1169" s="3"/>
    </row>
    <row r="1170" spans="1:514" ht="15" hidden="1" customHeight="1" x14ac:dyDescent="0.25">
      <c r="A1170" s="5" t="s">
        <v>6259</v>
      </c>
      <c r="B1170" s="15" t="str">
        <f>VLOOKUP(TAB_SAIDA[[#This Row],[COD_2_SAIDA]],TAB_ESTOQUE[[Codigo]:[Descrição Tecnica]],6,FALSE)</f>
        <v xml:space="preserve">REFLETOR LED 100-240V </v>
      </c>
      <c r="C1170" s="15">
        <f>IFERROR(VLOOKUP(TAB_SAIDA[[#This Row],[COD_2_SAIDA]],TAB_ESTOQUE[[Codigo]:[Referência Tec]],7,FALSE),"")</f>
        <v>0</v>
      </c>
      <c r="D1170" s="15" t="str">
        <f>VLOOKUP(TAB_SAIDA[[#This Row],[COD_2_SAIDA]],TAB_ESTOQUE[[Codigo]:[Endereço2]],12,FALSE)</f>
        <v>B1102</v>
      </c>
      <c r="E1170" s="81">
        <f>SUM(TAB_SAIDA[[#This Row],[20/05/2019]:[00/00/00]])</f>
        <v>0</v>
      </c>
      <c r="F1170" s="3"/>
    </row>
    <row r="1171" spans="1:514" ht="15" hidden="1" customHeight="1" x14ac:dyDescent="0.25">
      <c r="A1171" s="5" t="s">
        <v>6260</v>
      </c>
      <c r="B1171" s="15" t="str">
        <f>VLOOKUP(TAB_SAIDA[[#This Row],[COD_2_SAIDA]],TAB_ESTOQUE[[Codigo]:[Descrição Tecnica]],6,FALSE)</f>
        <v>CHAVE SIEMENS 3SE5322-0SD21 IEC/EM 60947-5-1 AC15 240V 3A 1P 66/67</v>
      </c>
      <c r="C1171" s="15">
        <f>IFERROR(VLOOKUP(TAB_SAIDA[[#This Row],[COD_2_SAIDA]],TAB_ESTOQUE[[Codigo]:[Referência Tec]],7,FALSE),"")</f>
        <v>0</v>
      </c>
      <c r="D1171" s="15" t="str">
        <f>VLOOKUP(TAB_SAIDA[[#This Row],[COD_2_SAIDA]],TAB_ESTOQUE[[Codigo]:[Endereço2]],12,FALSE)</f>
        <v>B2103</v>
      </c>
      <c r="E1171" s="81">
        <f>SUM(TAB_SAIDA[[#This Row],[20/05/2019]:[00/00/00]])</f>
        <v>0</v>
      </c>
      <c r="F1171" s="3"/>
    </row>
    <row r="1172" spans="1:514" ht="15" hidden="1" customHeight="1" x14ac:dyDescent="0.25">
      <c r="A1172" s="5" t="s">
        <v>6261</v>
      </c>
      <c r="B1172" s="15" t="str">
        <f>VLOOKUP(TAB_SAIDA[[#This Row],[COD_2_SAIDA]],TAB_ESTOQUE[[Codigo]:[Descrição Tecnica]],6,FALSE)</f>
        <v>CHAVE SICK D-79183 2N/C 1N/O BBM M20 I17-SA213 IDENT. NO. 602567</v>
      </c>
      <c r="C1172" s="15">
        <f>IFERROR(VLOOKUP(TAB_SAIDA[[#This Row],[COD_2_SAIDA]],TAB_ESTOQUE[[Codigo]:[Referência Tec]],7,FALSE),"")</f>
        <v>0</v>
      </c>
      <c r="D1172" s="15" t="str">
        <f>VLOOKUP(TAB_SAIDA[[#This Row],[COD_2_SAIDA]],TAB_ESTOQUE[[Codigo]:[Endereço2]],12,FALSE)</f>
        <v>B2103</v>
      </c>
      <c r="E1172" s="81">
        <f>SUM(TAB_SAIDA[[#This Row],[20/05/2019]:[00/00/00]])</f>
        <v>0</v>
      </c>
      <c r="F1172" s="3"/>
    </row>
    <row r="1173" spans="1:514" ht="15" customHeight="1" x14ac:dyDescent="0.25">
      <c r="A1173" s="5" t="s">
        <v>6067</v>
      </c>
      <c r="B1173" s="15" t="str">
        <f>VLOOKUP(TAB_SAIDA[[#This Row],[COD_2_SAIDA]],TAB_ESTOQUE[[Codigo]:[Descrição Tecnica]],6,FALSE)</f>
        <v xml:space="preserve">PISTOLA AUTOMATICA DE PINTURA PICCOLA MDS 80mm </v>
      </c>
      <c r="C1173" s="15">
        <f>IFERROR(VLOOKUP(TAB_SAIDA[[#This Row],[COD_2_SAIDA]],TAB_ESTOQUE[[Codigo]:[Referência Tec]],7,FALSE),"")</f>
        <v>0</v>
      </c>
      <c r="D1173" s="15" t="str">
        <f>VLOOKUP(TAB_SAIDA[[#This Row],[COD_2_SAIDA]],TAB_ESTOQUE[[Codigo]:[Endereço2]],12,FALSE)</f>
        <v>E2302</v>
      </c>
      <c r="E1173" s="81">
        <f>SUM(TAB_SAIDA[[#This Row],[20/05/2019]:[00/00/00]])</f>
        <v>1</v>
      </c>
      <c r="F1173" s="3"/>
      <c r="ST1173" s="3">
        <v>1</v>
      </c>
    </row>
    <row r="1174" spans="1:514" ht="15" hidden="1" customHeight="1" x14ac:dyDescent="0.25">
      <c r="A1174" s="5" t="s">
        <v>6244</v>
      </c>
      <c r="B1174" s="15" t="str">
        <f>VLOOKUP(TAB_SAIDA[[#This Row],[COD_2_SAIDA]],TAB_ESTOQUE[[Codigo]:[Descrição Tecnica]],6,FALSE)</f>
        <v>KIT AUTOMATICA DE PINTURA PICCOLA 03mm POS.10 (MDS)</v>
      </c>
      <c r="C1174" s="15">
        <f>IFERROR(VLOOKUP(TAB_SAIDA[[#This Row],[COD_2_SAIDA]],TAB_ESTOQUE[[Codigo]:[Referência Tec]],7,FALSE),"")</f>
        <v>0</v>
      </c>
      <c r="D1174" s="15" t="str">
        <f>VLOOKUP(TAB_SAIDA[[#This Row],[COD_2_SAIDA]],TAB_ESTOQUE[[Codigo]:[Endereço2]],12,FALSE)</f>
        <v>E2302</v>
      </c>
      <c r="E1174" s="81">
        <f>SUM(TAB_SAIDA[[#This Row],[20/05/2019]:[00/00/00]])</f>
        <v>0</v>
      </c>
      <c r="F1174" s="3"/>
    </row>
    <row r="1175" spans="1:514" ht="15" hidden="1" customHeight="1" x14ac:dyDescent="0.25">
      <c r="A1175" s="5" t="s">
        <v>6245</v>
      </c>
      <c r="B1175" s="15" t="str">
        <f>VLOOKUP(TAB_SAIDA[[#This Row],[COD_2_SAIDA]],TAB_ESTOQUE[[Codigo]:[Descrição Tecnica]],6,FALSE)</f>
        <v>ACOPLAMENTO 28</v>
      </c>
      <c r="C1175" s="15">
        <f>IFERROR(VLOOKUP(TAB_SAIDA[[#This Row],[COD_2_SAIDA]],TAB_ESTOQUE[[Codigo]:[Referência Tec]],7,FALSE),"")</f>
        <v>0</v>
      </c>
      <c r="D1175" s="15" t="str">
        <f>VLOOKUP(TAB_SAIDA[[#This Row],[COD_2_SAIDA]],TAB_ESTOQUE[[Codigo]:[Endereço2]],12,FALSE)</f>
        <v>E2204</v>
      </c>
      <c r="E1175" s="81">
        <f>SUM(TAB_SAIDA[[#This Row],[20/05/2019]:[00/00/00]])</f>
        <v>0</v>
      </c>
      <c r="F1175" s="3"/>
    </row>
    <row r="1176" spans="1:514" ht="15" hidden="1" customHeight="1" x14ac:dyDescent="0.25">
      <c r="A1176" s="5" t="s">
        <v>6262</v>
      </c>
      <c r="B1176" s="15" t="str">
        <f>VLOOKUP(TAB_SAIDA[[#This Row],[COD_2_SAIDA]],TAB_ESTOQUE[[Codigo]:[Descrição Tecnica]],6,FALSE)</f>
        <v>ELEMENTO ELASTICO 65</v>
      </c>
      <c r="C1176" s="15">
        <f>IFERROR(VLOOKUP(TAB_SAIDA[[#This Row],[COD_2_SAIDA]],TAB_ESTOQUE[[Codigo]:[Referência Tec]],7,FALSE),"")</f>
        <v>0</v>
      </c>
      <c r="D1176" s="15" t="str">
        <f>VLOOKUP(TAB_SAIDA[[#This Row],[COD_2_SAIDA]],TAB_ESTOQUE[[Codigo]:[Endereço2]],12,FALSE)</f>
        <v>E2203</v>
      </c>
      <c r="E1176" s="81">
        <f>SUM(TAB_SAIDA[[#This Row],[20/05/2019]:[00/00/00]])</f>
        <v>0</v>
      </c>
      <c r="F1176" s="3"/>
    </row>
    <row r="1177" spans="1:514" ht="15" hidden="1" customHeight="1" x14ac:dyDescent="0.25">
      <c r="A1177" s="5" t="s">
        <v>6263</v>
      </c>
      <c r="B1177" s="15" t="str">
        <f>VLOOKUP(TAB_SAIDA[[#This Row],[COD_2_SAIDA]],TAB_ESTOQUE[[Codigo]:[Descrição Tecnica]],6,FALSE)</f>
        <v>ELEMENTO ELASTICO 48</v>
      </c>
      <c r="C1177" s="15">
        <f>IFERROR(VLOOKUP(TAB_SAIDA[[#This Row],[COD_2_SAIDA]],TAB_ESTOQUE[[Codigo]:[Referência Tec]],7,FALSE),"")</f>
        <v>0</v>
      </c>
      <c r="D1177" s="15" t="str">
        <f>VLOOKUP(TAB_SAIDA[[#This Row],[COD_2_SAIDA]],TAB_ESTOQUE[[Codigo]:[Endereço2]],12,FALSE)</f>
        <v>E2203</v>
      </c>
      <c r="E1177" s="81">
        <f>SUM(TAB_SAIDA[[#This Row],[20/05/2019]:[00/00/00]])</f>
        <v>0</v>
      </c>
      <c r="F1177" s="3"/>
    </row>
    <row r="1178" spans="1:514" ht="15" hidden="1" customHeight="1" x14ac:dyDescent="0.25">
      <c r="A1178" s="5" t="s">
        <v>6264</v>
      </c>
      <c r="B1178" s="15" t="str">
        <f>VLOOKUP(TAB_SAIDA[[#This Row],[COD_2_SAIDA]],TAB_ESTOQUE[[Codigo]:[Descrição Tecnica]],6,FALSE)</f>
        <v>ELEMENTO ELASTICO 42</v>
      </c>
      <c r="C1178" s="15">
        <f>IFERROR(VLOOKUP(TAB_SAIDA[[#This Row],[COD_2_SAIDA]],TAB_ESTOQUE[[Codigo]:[Referência Tec]],7,FALSE),"")</f>
        <v>0</v>
      </c>
      <c r="D1178" s="15" t="str">
        <f>VLOOKUP(TAB_SAIDA[[#This Row],[COD_2_SAIDA]],TAB_ESTOQUE[[Codigo]:[Endereço2]],12,FALSE)</f>
        <v>E2203</v>
      </c>
      <c r="E1178" s="81">
        <f>SUM(TAB_SAIDA[[#This Row],[20/05/2019]:[00/00/00]])</f>
        <v>0</v>
      </c>
      <c r="F1178" s="3"/>
    </row>
    <row r="1179" spans="1:514" ht="15" hidden="1" customHeight="1" x14ac:dyDescent="0.25">
      <c r="A1179" s="5" t="s">
        <v>6265</v>
      </c>
      <c r="B1179" s="15" t="str">
        <f>VLOOKUP(TAB_SAIDA[[#This Row],[COD_2_SAIDA]],TAB_ESTOQUE[[Codigo]:[Descrição Tecnica]],6,FALSE)</f>
        <v>ELEMENTO ELASTICO 38</v>
      </c>
      <c r="C1179" s="15">
        <f>IFERROR(VLOOKUP(TAB_SAIDA[[#This Row],[COD_2_SAIDA]],TAB_ESTOQUE[[Codigo]:[Referência Tec]],7,FALSE),"")</f>
        <v>0</v>
      </c>
      <c r="D1179" s="15" t="str">
        <f>VLOOKUP(TAB_SAIDA[[#This Row],[COD_2_SAIDA]],TAB_ESTOQUE[[Codigo]:[Endereço2]],12,FALSE)</f>
        <v>E2203</v>
      </c>
      <c r="E1179" s="81">
        <f>SUM(TAB_SAIDA[[#This Row],[20/05/2019]:[00/00/00]])</f>
        <v>0</v>
      </c>
      <c r="F1179" s="3"/>
    </row>
    <row r="1180" spans="1:514" ht="15" hidden="1" customHeight="1" x14ac:dyDescent="0.25">
      <c r="A1180" s="5" t="s">
        <v>6266</v>
      </c>
      <c r="B1180" s="15" t="str">
        <f>VLOOKUP(TAB_SAIDA[[#This Row],[COD_2_SAIDA]],TAB_ESTOQUE[[Codigo]:[Descrição Tecnica]],6,FALSE)</f>
        <v>ELEMENTO ELASTICO 24</v>
      </c>
      <c r="C1180" s="15">
        <f>IFERROR(VLOOKUP(TAB_SAIDA[[#This Row],[COD_2_SAIDA]],TAB_ESTOQUE[[Codigo]:[Referência Tec]],7,FALSE),"")</f>
        <v>0</v>
      </c>
      <c r="D1180" s="15" t="str">
        <f>VLOOKUP(TAB_SAIDA[[#This Row],[COD_2_SAIDA]],TAB_ESTOQUE[[Codigo]:[Endereço2]],12,FALSE)</f>
        <v>E2203</v>
      </c>
      <c r="E1180" s="81">
        <f>SUM(TAB_SAIDA[[#This Row],[20/05/2019]:[00/00/00]])</f>
        <v>0</v>
      </c>
      <c r="F1180" s="3"/>
    </row>
    <row r="1181" spans="1:514" ht="15" hidden="1" customHeight="1" x14ac:dyDescent="0.25">
      <c r="A1181" s="5" t="s">
        <v>6267</v>
      </c>
      <c r="B1181" s="15" t="str">
        <f>VLOOKUP(TAB_SAIDA[[#This Row],[COD_2_SAIDA]],TAB_ESTOQUE[[Codigo]:[Descrição Tecnica]],6,FALSE)</f>
        <v>ELEMENTO ELASTICO 19</v>
      </c>
      <c r="C1181" s="15">
        <f>IFERROR(VLOOKUP(TAB_SAIDA[[#This Row],[COD_2_SAIDA]],TAB_ESTOQUE[[Codigo]:[Referência Tec]],7,FALSE),"")</f>
        <v>0</v>
      </c>
      <c r="D1181" s="15" t="str">
        <f>VLOOKUP(TAB_SAIDA[[#This Row],[COD_2_SAIDA]],TAB_ESTOQUE[[Codigo]:[Endereço2]],12,FALSE)</f>
        <v>E2203</v>
      </c>
      <c r="E1181" s="81">
        <f>SUM(TAB_SAIDA[[#This Row],[20/05/2019]:[00/00/00]])</f>
        <v>0</v>
      </c>
      <c r="F1181" s="3"/>
    </row>
    <row r="1182" spans="1:514" ht="15" hidden="1" customHeight="1" x14ac:dyDescent="0.25">
      <c r="A1182" s="5" t="s">
        <v>6268</v>
      </c>
      <c r="B1182" s="15" t="str">
        <f>VLOOKUP(TAB_SAIDA[[#This Row],[COD_2_SAIDA]],TAB_ESTOQUE[[Codigo]:[Descrição Tecnica]],6,FALSE)</f>
        <v>ELEMENTO ELASTICO EA82</v>
      </c>
      <c r="C1182" s="15">
        <f>IFERROR(VLOOKUP(TAB_SAIDA[[#This Row],[COD_2_SAIDA]],TAB_ESTOQUE[[Codigo]:[Referência Tec]],7,FALSE),"")</f>
        <v>0</v>
      </c>
      <c r="D1182" s="15" t="str">
        <f>VLOOKUP(TAB_SAIDA[[#This Row],[COD_2_SAIDA]],TAB_ESTOQUE[[Codigo]:[Endereço2]],12,FALSE)</f>
        <v>E2203</v>
      </c>
      <c r="E1182" s="81">
        <f>SUM(TAB_SAIDA[[#This Row],[20/05/2019]:[00/00/00]])</f>
        <v>0</v>
      </c>
      <c r="F1182" s="3"/>
    </row>
    <row r="1183" spans="1:514" ht="15" hidden="1" customHeight="1" x14ac:dyDescent="0.25">
      <c r="A1183" s="5" t="s">
        <v>6269</v>
      </c>
      <c r="B1183" s="15" t="str">
        <f>VLOOKUP(TAB_SAIDA[[#This Row],[COD_2_SAIDA]],TAB_ESTOQUE[[Codigo]:[Descrição Tecnica]],6,FALSE)</f>
        <v>ENGRENAGEM 64 DENTES EIXO DE 20MM</v>
      </c>
      <c r="C1183" s="15">
        <f>IFERROR(VLOOKUP(TAB_SAIDA[[#This Row],[COD_2_SAIDA]],TAB_ESTOQUE[[Codigo]:[Referência Tec]],7,FALSE),"")</f>
        <v>0</v>
      </c>
      <c r="D1183" s="15" t="str">
        <f>VLOOKUP(TAB_SAIDA[[#This Row],[COD_2_SAIDA]],TAB_ESTOQUE[[Codigo]:[Endereço2]],12,FALSE)</f>
        <v>E2205</v>
      </c>
      <c r="E1183" s="81">
        <f>SUM(TAB_SAIDA[[#This Row],[20/05/2019]:[00/00/00]])</f>
        <v>0</v>
      </c>
      <c r="F1183" s="3"/>
    </row>
    <row r="1184" spans="1:514" ht="15" hidden="1" customHeight="1" x14ac:dyDescent="0.25">
      <c r="A1184" s="5" t="s">
        <v>6270</v>
      </c>
      <c r="B1184" s="15" t="str">
        <f>VLOOKUP(TAB_SAIDA[[#This Row],[COD_2_SAIDA]],TAB_ESTOQUE[[Codigo]:[Descrição Tecnica]],6,FALSE)</f>
        <v>ENGRENAGEM 32 DENTES EIXO DE 20MM</v>
      </c>
      <c r="C1184" s="15">
        <f>IFERROR(VLOOKUP(TAB_SAIDA[[#This Row],[COD_2_SAIDA]],TAB_ESTOQUE[[Codigo]:[Referência Tec]],7,FALSE),"")</f>
        <v>0</v>
      </c>
      <c r="D1184" s="15" t="str">
        <f>VLOOKUP(TAB_SAIDA[[#This Row],[COD_2_SAIDA]],TAB_ESTOQUE[[Codigo]:[Endereço2]],12,FALSE)</f>
        <v>E2205</v>
      </c>
      <c r="E1184" s="81">
        <f>SUM(TAB_SAIDA[[#This Row],[20/05/2019]:[00/00/00]])</f>
        <v>0</v>
      </c>
      <c r="F1184" s="3"/>
    </row>
    <row r="1185" spans="1:628" ht="15" customHeight="1" x14ac:dyDescent="0.25">
      <c r="A1185" s="5" t="s">
        <v>6271</v>
      </c>
      <c r="B1185" s="15" t="str">
        <f>VLOOKUP(TAB_SAIDA[[#This Row],[COD_2_SAIDA]],TAB_ESTOQUE[[Codigo]:[Descrição Tecnica]],6,FALSE)</f>
        <v>KIT DA PISTOLA MANUAL MD 05 HVLP</v>
      </c>
      <c r="C1185" s="15">
        <f>IFERROR(VLOOKUP(TAB_SAIDA[[#This Row],[COD_2_SAIDA]],TAB_ESTOQUE[[Codigo]:[Referência Tec]],7,FALSE),"")</f>
        <v>0</v>
      </c>
      <c r="D1185" s="15" t="str">
        <f>VLOOKUP(TAB_SAIDA[[#This Row],[COD_2_SAIDA]],TAB_ESTOQUE[[Codigo]:[Endereço2]],12,FALSE)</f>
        <v>E2303</v>
      </c>
      <c r="E1185" s="81">
        <f>SUM(TAB_SAIDA[[#This Row],[20/05/2019]:[00/00/00]])</f>
        <v>0</v>
      </c>
      <c r="F1185" s="3"/>
    </row>
    <row r="1186" spans="1:628" ht="15" hidden="1" customHeight="1" x14ac:dyDescent="0.25">
      <c r="A1186" s="5" t="s">
        <v>6272</v>
      </c>
      <c r="B1186" s="15" t="str">
        <f>VLOOKUP(TAB_SAIDA[[#This Row],[COD_2_SAIDA]],TAB_ESTOQUE[[Codigo]:[Descrição Tecnica]],6,FALSE)</f>
        <v>CILINDRO HIDRAULICO TELESCÓPIO (1° ESTÁGIO 90X50MM / 2° ESTÁGIO 110X80MM)</v>
      </c>
      <c r="C1186" s="15">
        <f>IFERROR(VLOOKUP(TAB_SAIDA[[#This Row],[COD_2_SAIDA]],TAB_ESTOQUE[[Codigo]:[Referência Tec]],7,FALSE),"")</f>
        <v>0</v>
      </c>
      <c r="D1186" s="15" t="str">
        <f>VLOOKUP(TAB_SAIDA[[#This Row],[COD_2_SAIDA]],TAB_ESTOQUE[[Codigo]:[Endereço2]],12,FALSE)</f>
        <v>CORREDOR 4</v>
      </c>
      <c r="E1186" s="81">
        <f>SUM(TAB_SAIDA[[#This Row],[20/05/2019]:[00/00/00]])</f>
        <v>0</v>
      </c>
      <c r="F1186" s="3"/>
    </row>
    <row r="1187" spans="1:628" ht="15" hidden="1" customHeight="1" x14ac:dyDescent="0.25">
      <c r="A1187" s="5" t="s">
        <v>6273</v>
      </c>
      <c r="B1187" s="15" t="str">
        <f>VLOOKUP(TAB_SAIDA[[#This Row],[COD_2_SAIDA]],TAB_ESTOQUE[[Codigo]:[Descrição Tecnica]],6,FALSE)</f>
        <v>COROA DE BRONZE DO FUSO DA CALANDRA DA M14</v>
      </c>
      <c r="C1187" s="15">
        <f>IFERROR(VLOOKUP(TAB_SAIDA[[#This Row],[COD_2_SAIDA]],TAB_ESTOQUE[[Codigo]:[Referência Tec]],7,FALSE),"")</f>
        <v>0</v>
      </c>
      <c r="D1187" s="15" t="str">
        <f>VLOOKUP(TAB_SAIDA[[#This Row],[COD_2_SAIDA]],TAB_ESTOQUE[[Codigo]:[Endereço2]],12,FALSE)</f>
        <v>E1302</v>
      </c>
      <c r="E1187" s="81">
        <f>SUM(TAB_SAIDA[[#This Row],[20/05/2019]:[00/00/00]])</f>
        <v>0</v>
      </c>
      <c r="F1187" s="3"/>
    </row>
    <row r="1188" spans="1:628" ht="15" hidden="1" customHeight="1" x14ac:dyDescent="0.25">
      <c r="A1188" s="5" t="s">
        <v>6392</v>
      </c>
      <c r="B1188" s="15" t="str">
        <f>VLOOKUP(TAB_SAIDA[[#This Row],[COD_2_SAIDA]],TAB_ESTOQUE[[Codigo]:[Descrição Tecnica]],6,FALSE)</f>
        <v>ESCAPE RAPIDO MOD: 618E</v>
      </c>
      <c r="C1188" s="15">
        <f>IFERROR(VLOOKUP(TAB_SAIDA[[#This Row],[COD_2_SAIDA]],TAB_ESTOQUE[[Codigo]:[Referência Tec]],7,FALSE),"")</f>
        <v>0</v>
      </c>
      <c r="D1188" s="15" t="str">
        <f>VLOOKUP(TAB_SAIDA[[#This Row],[COD_2_SAIDA]],TAB_ESTOQUE[[Codigo]:[Endereço2]],12,FALSE)</f>
        <v>D2302</v>
      </c>
      <c r="E1188" s="81">
        <f>SUM(TAB_SAIDA[[#This Row],[20/05/2019]:[00/00/00]])</f>
        <v>0</v>
      </c>
      <c r="F1188" s="3"/>
    </row>
    <row r="1189" spans="1:628" ht="15" hidden="1" customHeight="1" x14ac:dyDescent="0.25">
      <c r="A1189" s="5" t="s">
        <v>6397</v>
      </c>
      <c r="B1189" s="15" t="str">
        <f>VLOOKUP(TAB_SAIDA[[#This Row],[COD_2_SAIDA]],TAB_ESTOQUE[[Codigo]:[Descrição Tecnica]],6,FALSE)</f>
        <v>MODULO LINHA CP 916XX001 (VALCO MELTON)</v>
      </c>
      <c r="C1189" s="15">
        <f>IFERROR(VLOOKUP(TAB_SAIDA[[#This Row],[COD_2_SAIDA]],TAB_ESTOQUE[[Codigo]:[Referência Tec]],7,FALSE),"")</f>
        <v>0</v>
      </c>
      <c r="D1189" s="15" t="str">
        <f>VLOOKUP(TAB_SAIDA[[#This Row],[COD_2_SAIDA]],TAB_ESTOQUE[[Codigo]:[Endereço2]],12,FALSE)</f>
        <v>E2302</v>
      </c>
      <c r="E1189" s="81">
        <f>SUM(TAB_SAIDA[[#This Row],[20/05/2019]:[00/00/00]])</f>
        <v>4</v>
      </c>
      <c r="F1189" s="3"/>
      <c r="RZ1189" s="3">
        <v>1</v>
      </c>
      <c r="WQ1189" s="3">
        <v>1</v>
      </c>
      <c r="XA1189" s="3">
        <v>1</v>
      </c>
      <c r="XD1189" s="3">
        <v>1</v>
      </c>
    </row>
    <row r="1190" spans="1:628" ht="15" hidden="1" customHeight="1" x14ac:dyDescent="0.25">
      <c r="A1190" s="5" t="s">
        <v>6402</v>
      </c>
      <c r="B1190" s="15" t="str">
        <f>VLOOKUP(TAB_SAIDA[[#This Row],[COD_2_SAIDA]],TAB_ESTOQUE[[Codigo]:[Descrição Tecnica]],6,FALSE)</f>
        <v>PONTEIRA LINHA 910XX318 (VALCO MELTON)</v>
      </c>
      <c r="C1190" s="15">
        <f>IFERROR(VLOOKUP(TAB_SAIDA[[#This Row],[COD_2_SAIDA]],TAB_ESTOQUE[[Codigo]:[Referência Tec]],7,FALSE),"")</f>
        <v>0</v>
      </c>
      <c r="D1190" s="15" t="str">
        <f>VLOOKUP(TAB_SAIDA[[#This Row],[COD_2_SAIDA]],TAB_ESTOQUE[[Codigo]:[Endereço2]],12,FALSE)</f>
        <v>E2302</v>
      </c>
      <c r="E1190" s="81">
        <f>SUM(TAB_SAIDA[[#This Row],[20/05/2019]:[00/00/00]])</f>
        <v>0</v>
      </c>
      <c r="F1190" s="3"/>
    </row>
    <row r="1191" spans="1:628" ht="15" hidden="1" customHeight="1" x14ac:dyDescent="0.25">
      <c r="A1191" s="5" t="s">
        <v>6407</v>
      </c>
      <c r="B1191" s="15" t="str">
        <f>VLOOKUP(TAB_SAIDA[[#This Row],[COD_2_SAIDA]],TAB_ESTOQUE[[Codigo]:[Descrição Tecnica]],6,FALSE)</f>
        <v>MANGUEIRA 8AGR2*100FJ-10*3600</v>
      </c>
      <c r="C1191" s="15">
        <f>IFERROR(VLOOKUP(TAB_SAIDA[[#This Row],[COD_2_SAIDA]],TAB_ESTOQUE[[Codigo]:[Referência Tec]],7,FALSE),"")</f>
        <v>0</v>
      </c>
      <c r="D1191" s="15" t="str">
        <f>VLOOKUP(TAB_SAIDA[[#This Row],[COD_2_SAIDA]],TAB_ESTOQUE[[Codigo]:[Endereço2]],12,FALSE)</f>
        <v>S502</v>
      </c>
      <c r="E1191" s="81">
        <f>SUM(TAB_SAIDA[[#This Row],[20/05/2019]:[00/00/00]])</f>
        <v>0</v>
      </c>
      <c r="F1191" s="3"/>
    </row>
    <row r="1192" spans="1:628" ht="15" hidden="1" customHeight="1" x14ac:dyDescent="0.25">
      <c r="A1192" s="5" t="s">
        <v>6405</v>
      </c>
      <c r="B1192" s="15" t="str">
        <f>VLOOKUP(TAB_SAIDA[[#This Row],[COD_2_SAIDA]],TAB_ESTOQUE[[Codigo]:[Descrição Tecnica]],6,FALSE)</f>
        <v>MANGUEIRA 8AGR2*100DL-15*1600</v>
      </c>
      <c r="C1192" s="15">
        <f>IFERROR(VLOOKUP(TAB_SAIDA[[#This Row],[COD_2_SAIDA]],TAB_ESTOQUE[[Codigo]:[Referência Tec]],7,FALSE),"")</f>
        <v>0</v>
      </c>
      <c r="D1192" s="15" t="str">
        <f>VLOOKUP(TAB_SAIDA[[#This Row],[COD_2_SAIDA]],TAB_ESTOQUE[[Codigo]:[Endereço2]],12,FALSE)</f>
        <v>S601</v>
      </c>
      <c r="E1192" s="81">
        <f>SUM(TAB_SAIDA[[#This Row],[20/05/2019]:[00/00/00]])</f>
        <v>0</v>
      </c>
      <c r="F1192" s="3"/>
    </row>
    <row r="1193" spans="1:628" ht="15" hidden="1" customHeight="1" x14ac:dyDescent="0.25">
      <c r="A1193" s="5" t="s">
        <v>6406</v>
      </c>
      <c r="B1193" s="15" t="str">
        <f>VLOOKUP(TAB_SAIDA[[#This Row],[COD_2_SAIDA]],TAB_ESTOQUE[[Codigo]:[Descrição Tecnica]],6,FALSE)</f>
        <v>MANGUEIRA 4SH-20*200DP-38*1310</v>
      </c>
      <c r="C1193" s="15">
        <f>IFERROR(VLOOKUP(TAB_SAIDA[[#This Row],[COD_2_SAIDA]],TAB_ESTOQUE[[Codigo]:[Referência Tec]],7,FALSE),"")</f>
        <v>0</v>
      </c>
      <c r="D1193" s="15" t="str">
        <f>VLOOKUP(TAB_SAIDA[[#This Row],[COD_2_SAIDA]],TAB_ESTOQUE[[Codigo]:[Endereço2]],12,FALSE)</f>
        <v>S601</v>
      </c>
      <c r="E1193" s="81">
        <f>SUM(TAB_SAIDA[[#This Row],[20/05/2019]:[00/00/00]])</f>
        <v>0</v>
      </c>
      <c r="F1193" s="3"/>
    </row>
    <row r="1194" spans="1:628" ht="15" hidden="1" customHeight="1" x14ac:dyDescent="0.25">
      <c r="A1194" s="5" t="s">
        <v>6415</v>
      </c>
      <c r="B1194" s="15" t="str">
        <f>VLOOKUP(TAB_SAIDA[[#This Row],[COD_2_SAIDA]],TAB_ESTOQUE[[Codigo]:[Descrição Tecnica]],6,FALSE)</f>
        <v>CABO DE AÇO PASTIF (3/32X1/8)</v>
      </c>
      <c r="C1194" s="15">
        <f>IFERROR(VLOOKUP(TAB_SAIDA[[#This Row],[COD_2_SAIDA]],TAB_ESTOQUE[[Codigo]:[Referência Tec]],7,FALSE),"")</f>
        <v>0</v>
      </c>
      <c r="D1194" s="15" t="str">
        <f>VLOOKUP(TAB_SAIDA[[#This Row],[COD_2_SAIDA]],TAB_ESTOQUE[[Codigo]:[Endereço2]],12,FALSE)</f>
        <v>E2102</v>
      </c>
      <c r="E1194" s="81">
        <f>SUM(TAB_SAIDA[[#This Row],[20/05/2019]:[00/00/00]])</f>
        <v>0</v>
      </c>
      <c r="F1194" s="3"/>
    </row>
    <row r="1195" spans="1:628" ht="15" hidden="1" customHeight="1" x14ac:dyDescent="0.25">
      <c r="A1195" s="5" t="s">
        <v>6420</v>
      </c>
      <c r="B1195" s="15" t="str">
        <f>VLOOKUP(TAB_SAIDA[[#This Row],[COD_2_SAIDA]],TAB_ESTOQUE[[Codigo]:[Descrição Tecnica]],6,FALSE)</f>
        <v>COPO PARA FILTRO HYDAC RFM BN/HC 330 BF10E 1.0/-G</v>
      </c>
      <c r="C1195" s="15">
        <f>IFERROR(VLOOKUP(TAB_SAIDA[[#This Row],[COD_2_SAIDA]],TAB_ESTOQUE[[Codigo]:[Referência Tec]],7,FALSE),"")</f>
        <v>0</v>
      </c>
      <c r="D1195" s="15" t="str">
        <f>VLOOKUP(TAB_SAIDA[[#This Row],[COD_2_SAIDA]],TAB_ESTOQUE[[Codigo]:[Endereço2]],12,FALSE)</f>
        <v>C2404</v>
      </c>
      <c r="E1195" s="81">
        <f>SUM(TAB_SAIDA[[#This Row],[20/05/2019]:[00/00/00]])</f>
        <v>0</v>
      </c>
      <c r="F1195" s="3"/>
    </row>
    <row r="1196" spans="1:628" ht="15" hidden="1" customHeight="1" x14ac:dyDescent="0.25">
      <c r="A1196" s="5" t="s">
        <v>6423</v>
      </c>
      <c r="B1196" s="15" t="str">
        <f>VLOOKUP(TAB_SAIDA[[#This Row],[COD_2_SAIDA]],TAB_ESTOQUE[[Codigo]:[Descrição Tecnica]],6,FALSE)</f>
        <v>PARAFUSO SEXT AUTO-BROCANTE (7/32X4)CR</v>
      </c>
      <c r="C1196" s="15">
        <f>IFERROR(VLOOKUP(TAB_SAIDA[[#This Row],[COD_2_SAIDA]],TAB_ESTOQUE[[Codigo]:[Referência Tec]],7,FALSE),"")</f>
        <v>0</v>
      </c>
      <c r="D1196" s="15" t="str">
        <f>VLOOKUP(TAB_SAIDA[[#This Row],[COD_2_SAIDA]],TAB_ESTOQUE[[Codigo]:[Endereço2]],12,FALSE)</f>
        <v>F2202</v>
      </c>
      <c r="E1196" s="81">
        <f>SUM(TAB_SAIDA[[#This Row],[20/05/2019]:[00/00/00]])</f>
        <v>0</v>
      </c>
      <c r="F1196" s="3"/>
    </row>
    <row r="1197" spans="1:628" ht="15" hidden="1" customHeight="1" x14ac:dyDescent="0.25">
      <c r="A1197" s="5" t="s">
        <v>6426</v>
      </c>
      <c r="B1197" s="15" t="str">
        <f>VLOOKUP(TAB_SAIDA[[#This Row],[COD_2_SAIDA]],TAB_ESTOQUE[[Codigo]:[Descrição Tecnica]],6,FALSE)</f>
        <v>CORREIA SINCRONIZADORA PV/ACO 16MM LLT0 16M</v>
      </c>
      <c r="C1197" s="15">
        <f>IFERROR(VLOOKUP(TAB_SAIDA[[#This Row],[COD_2_SAIDA]],TAB_ESTOQUE[[Codigo]:[Referência Tec]],7,FALSE),"")</f>
        <v>0</v>
      </c>
      <c r="D1197" s="15" t="str">
        <f>VLOOKUP(TAB_SAIDA[[#This Row],[COD_2_SAIDA]],TAB_ESTOQUE[[Codigo]:[Endereço2]],12,FALSE)</f>
        <v>S601</v>
      </c>
      <c r="E1197" s="81">
        <f>SUM(TAB_SAIDA[[#This Row],[20/05/2019]:[00/00/00]])</f>
        <v>0</v>
      </c>
      <c r="F1197" s="3"/>
    </row>
    <row r="1198" spans="1:628" ht="15" hidden="1" customHeight="1" x14ac:dyDescent="0.25">
      <c r="A1198" s="5" t="s">
        <v>6430</v>
      </c>
      <c r="B1198" s="15" t="str">
        <f>VLOOKUP(TAB_SAIDA[[#This Row],[COD_2_SAIDA]],TAB_ESTOQUE[[Codigo]:[Descrição Tecnica]],6,FALSE)</f>
        <v>TOMADAS DE 20 AMPERES</v>
      </c>
      <c r="C1198" s="15">
        <f>IFERROR(VLOOKUP(TAB_SAIDA[[#This Row],[COD_2_SAIDA]],TAB_ESTOQUE[[Codigo]:[Referência Tec]],7,FALSE),"")</f>
        <v>0</v>
      </c>
      <c r="D1198" s="15" t="str">
        <f>VLOOKUP(TAB_SAIDA[[#This Row],[COD_2_SAIDA]],TAB_ESTOQUE[[Codigo]:[Endereço2]],12,FALSE)</f>
        <v>A1402</v>
      </c>
      <c r="E1198" s="81">
        <f>SUM(TAB_SAIDA[[#This Row],[20/05/2019]:[00/00/00]])</f>
        <v>0</v>
      </c>
      <c r="F1198" s="3"/>
    </row>
    <row r="1199" spans="1:628" ht="15" hidden="1" customHeight="1" x14ac:dyDescent="0.25">
      <c r="A1199" s="5" t="s">
        <v>6432</v>
      </c>
      <c r="B1199" s="15" t="str">
        <f>VLOOKUP(TAB_SAIDA[[#This Row],[COD_2_SAIDA]],TAB_ESTOQUE[[Codigo]:[Descrição Tecnica]],6,FALSE)</f>
        <v>JOELHO EM AÇO CARBONO PARA SOLDA DE 1"</v>
      </c>
      <c r="C1199" s="15">
        <f>IFERROR(VLOOKUP(TAB_SAIDA[[#This Row],[COD_2_SAIDA]],TAB_ESTOQUE[[Codigo]:[Referência Tec]],7,FALSE),"")</f>
        <v>0</v>
      </c>
      <c r="D1199" s="15" t="str">
        <f>VLOOKUP(TAB_SAIDA[[#This Row],[COD_2_SAIDA]],TAB_ESTOQUE[[Codigo]:[Endereço2]],12,FALSE)</f>
        <v>F2104</v>
      </c>
      <c r="E1199" s="81">
        <f>SUM(TAB_SAIDA[[#This Row],[20/05/2019]:[00/00/00]])</f>
        <v>0</v>
      </c>
      <c r="F1199" s="3"/>
    </row>
    <row r="1200" spans="1:628" s="192" customFormat="1" ht="15" hidden="1" customHeight="1" x14ac:dyDescent="0.25">
      <c r="A1200" s="189" t="s">
        <v>6442</v>
      </c>
      <c r="B1200" s="190" t="str">
        <f>VLOOKUP(TAB_SAIDA[[#This Row],[COD_2_SAIDA]],TAB_ESTOQUE[[Codigo]:[Descrição Tecnica]],6,FALSE)</f>
        <v>JUNTA BPAIL ENCAPSULADA TEFLON 240X20 (VALCO MELTON)</v>
      </c>
      <c r="C1200" s="190">
        <f>IFERROR(VLOOKUP(TAB_SAIDA[[#This Row],[COD_2_SAIDA]],TAB_ESTOQUE[[Codigo]:[Referência Tec]],7,FALSE),"")</f>
        <v>0</v>
      </c>
      <c r="D1200" s="190" t="str">
        <f>VLOOKUP(TAB_SAIDA[[#This Row],[COD_2_SAIDA]],TAB_ESTOQUE[[Codigo]:[Endereço2]],12,FALSE)</f>
        <v>E1202</v>
      </c>
      <c r="E1200" s="191">
        <f>SUM(TAB_SAIDA[[#This Row],[20/05/2019]:[00/00/00]])</f>
        <v>0</v>
      </c>
      <c r="BH1200" s="193"/>
    </row>
    <row r="1201" spans="1:627" ht="15" hidden="1" customHeight="1" x14ac:dyDescent="0.25">
      <c r="A1201" s="5" t="s">
        <v>6451</v>
      </c>
      <c r="B1201" s="15" t="str">
        <f>VLOOKUP(TAB_SAIDA[[#This Row],[COD_2_SAIDA]],TAB_ESTOQUE[[Codigo]:[Descrição Tecnica]],6,FALSE)</f>
        <v>CONECTOR SICK D0S-1205-G</v>
      </c>
      <c r="C1201" s="15">
        <f>IFERROR(VLOOKUP(TAB_SAIDA[[#This Row],[COD_2_SAIDA]],TAB_ESTOQUE[[Codigo]:[Referência Tec]],7,FALSE),"")</f>
        <v>0</v>
      </c>
      <c r="D1201" s="15" t="str">
        <f>VLOOKUP(TAB_SAIDA[[#This Row],[COD_2_SAIDA]],TAB_ESTOQUE[[Codigo]:[Endereço2]],12,FALSE)</f>
        <v>A2204</v>
      </c>
      <c r="E1201" s="81">
        <f>SUM(TAB_SAIDA[[#This Row],[20/05/2019]:[00/00/00]])</f>
        <v>0</v>
      </c>
      <c r="F1201" s="3"/>
    </row>
    <row r="1202" spans="1:627" ht="15" hidden="1" customHeight="1" x14ac:dyDescent="0.25">
      <c r="A1202" s="5" t="s">
        <v>6457</v>
      </c>
      <c r="B1202" s="15" t="str">
        <f>VLOOKUP(TAB_SAIDA[[#This Row],[COD_2_SAIDA]],TAB_ESTOQUE[[Codigo]:[Descrição Tecnica]],6,FALSE)</f>
        <v>CONECTOR SICK D0S-0803-G</v>
      </c>
      <c r="C1202" s="15">
        <f>IFERROR(VLOOKUP(TAB_SAIDA[[#This Row],[COD_2_SAIDA]],TAB_ESTOQUE[[Codigo]:[Referência Tec]],7,FALSE),"")</f>
        <v>0</v>
      </c>
      <c r="D1202" s="15" t="str">
        <f>VLOOKUP(TAB_SAIDA[[#This Row],[COD_2_SAIDA]],TAB_ESTOQUE[[Codigo]:[Endereço2]],12,FALSE)</f>
        <v>A2204</v>
      </c>
      <c r="E1202" s="81">
        <f>SUM(TAB_SAIDA[[#This Row],[20/05/2019]:[00/00/00]])</f>
        <v>0</v>
      </c>
      <c r="F1202" s="3"/>
    </row>
    <row r="1203" spans="1:627" ht="15" hidden="1" customHeight="1" x14ac:dyDescent="0.25">
      <c r="A1203" s="5" t="s">
        <v>6463</v>
      </c>
      <c r="B1203" s="15" t="str">
        <f>VLOOKUP(TAB_SAIDA[[#This Row],[COD_2_SAIDA]],TAB_ESTOQUE[[Codigo]:[Descrição Tecnica]],6,FALSE)</f>
        <v>SENSOR FIM DE CURSO XCKM A300-Q300</v>
      </c>
      <c r="C1203" s="15">
        <f>IFERROR(VLOOKUP(TAB_SAIDA[[#This Row],[COD_2_SAIDA]],TAB_ESTOQUE[[Codigo]:[Referência Tec]],7,FALSE),"")</f>
        <v>0</v>
      </c>
      <c r="D1203" s="15" t="str">
        <f>VLOOKUP(TAB_SAIDA[[#This Row],[COD_2_SAIDA]],TAB_ESTOQUE[[Codigo]:[Endereço2]],12,FALSE)</f>
        <v>A2205</v>
      </c>
      <c r="E1203" s="81">
        <f>SUM(TAB_SAIDA[[#This Row],[20/05/2019]:[00/00/00]])</f>
        <v>0</v>
      </c>
      <c r="F1203" s="3"/>
    </row>
    <row r="1204" spans="1:627" ht="15" hidden="1" customHeight="1" x14ac:dyDescent="0.25">
      <c r="A1204" s="5" t="s">
        <v>6474</v>
      </c>
      <c r="B1204" s="15" t="str">
        <f>VLOOKUP(TAB_SAIDA[[#This Row],[COD_2_SAIDA]],TAB_ESTOQUE[[Codigo]:[Descrição Tecnica]],6,FALSE)</f>
        <v>CABO SR2 USB01 ZELIO-920400</v>
      </c>
      <c r="C1204" s="15">
        <f>IFERROR(VLOOKUP(TAB_SAIDA[[#This Row],[COD_2_SAIDA]],TAB_ESTOQUE[[Codigo]:[Referência Tec]],7,FALSE),"")</f>
        <v>0</v>
      </c>
      <c r="D1204" s="15" t="str">
        <f>VLOOKUP(TAB_SAIDA[[#This Row],[COD_2_SAIDA]],TAB_ESTOQUE[[Codigo]:[Endereço2]],12,FALSE)</f>
        <v>A2102</v>
      </c>
      <c r="E1204" s="81">
        <f>SUM(TAB_SAIDA[[#This Row],[20/05/2019]:[00/00/00]])</f>
        <v>0</v>
      </c>
      <c r="F1204" s="3"/>
    </row>
    <row r="1205" spans="1:627" ht="15" hidden="1" customHeight="1" x14ac:dyDescent="0.25">
      <c r="A1205" s="5" t="s">
        <v>6477</v>
      </c>
      <c r="B1205" s="15" t="str">
        <f>VLOOKUP(TAB_SAIDA[[#This Row],[COD_2_SAIDA]],TAB_ESTOQUE[[Codigo]:[Descrição Tecnica]],6,FALSE)</f>
        <v>SENSOR FIM DE CURSO ZCKM1</v>
      </c>
      <c r="C1205" s="15">
        <f>IFERROR(VLOOKUP(TAB_SAIDA[[#This Row],[COD_2_SAIDA]],TAB_ESTOQUE[[Codigo]:[Referência Tec]],7,FALSE),"")</f>
        <v>0</v>
      </c>
      <c r="D1205" s="15" t="str">
        <f>VLOOKUP(TAB_SAIDA[[#This Row],[COD_2_SAIDA]],TAB_ESTOQUE[[Codigo]:[Endereço2]],12,FALSE)</f>
        <v>A2205</v>
      </c>
      <c r="E1205" s="81">
        <f>SUM(TAB_SAIDA[[#This Row],[20/05/2019]:[00/00/00]])</f>
        <v>0</v>
      </c>
      <c r="F1205" s="3"/>
    </row>
    <row r="1206" spans="1:627" ht="15" hidden="1" customHeight="1" x14ac:dyDescent="0.25">
      <c r="A1206" s="5" t="s">
        <v>6479</v>
      </c>
      <c r="B1206" s="15" t="str">
        <f>VLOOKUP(TAB_SAIDA[[#This Row],[COD_2_SAIDA]],TAB_ESTOQUE[[Codigo]:[Descrição Tecnica]],6,FALSE)</f>
        <v>BOMBA VALCO MELTON 8cc/g 1804629</v>
      </c>
      <c r="C1206" s="15">
        <f>IFERROR(VLOOKUP(TAB_SAIDA[[#This Row],[COD_2_SAIDA]],TAB_ESTOQUE[[Codigo]:[Referência Tec]],7,FALSE),"")</f>
        <v>0</v>
      </c>
      <c r="D1206" s="15" t="str">
        <f>VLOOKUP(TAB_SAIDA[[#This Row],[COD_2_SAIDA]],TAB_ESTOQUE[[Codigo]:[Endereço2]],12,FALSE)</f>
        <v>E2302</v>
      </c>
      <c r="E1206" s="81">
        <f>SUM(TAB_SAIDA[[#This Row],[20/05/2019]:[00/00/00]])</f>
        <v>0</v>
      </c>
      <c r="F1206" s="3"/>
    </row>
    <row r="1207" spans="1:627" ht="15" hidden="1" customHeight="1" x14ac:dyDescent="0.25">
      <c r="A1207" s="5" t="s">
        <v>6480</v>
      </c>
      <c r="B1207" s="15" t="str">
        <f>VLOOKUP(TAB_SAIDA[[#This Row],[COD_2_SAIDA]],TAB_ESTOQUE[[Codigo]:[Descrição Tecnica]],6,FALSE)</f>
        <v>SENSOR D-79183 IME'8-05BPSZCOS 1040934</v>
      </c>
      <c r="C1207" s="15">
        <f>IFERROR(VLOOKUP(TAB_SAIDA[[#This Row],[COD_2_SAIDA]],TAB_ESTOQUE[[Codigo]:[Referência Tec]],7,FALSE),"")</f>
        <v>0</v>
      </c>
      <c r="D1207" s="15" t="str">
        <f>VLOOKUP(TAB_SAIDA[[#This Row],[COD_2_SAIDA]],TAB_ESTOQUE[[Codigo]:[Endereço2]],12,FALSE)</f>
        <v>A2203</v>
      </c>
      <c r="E1207" s="81">
        <f>SUM(TAB_SAIDA[[#This Row],[20/05/2019]:[00/00/00]])</f>
        <v>0</v>
      </c>
      <c r="F1207" s="3"/>
    </row>
    <row r="1208" spans="1:627" ht="15" hidden="1" customHeight="1" x14ac:dyDescent="0.25">
      <c r="A1208" s="5" t="s">
        <v>6481</v>
      </c>
      <c r="B1208" s="15" t="str">
        <f>VLOOKUP(TAB_SAIDA[[#This Row],[COD_2_SAIDA]],TAB_ESTOQUE[[Codigo]:[Descrição Tecnica]],6,FALSE)</f>
        <v>BOMBA ENERPAC P392 1000PSI 700BAR</v>
      </c>
      <c r="C1208" s="15">
        <f>IFERROR(VLOOKUP(TAB_SAIDA[[#This Row],[COD_2_SAIDA]],TAB_ESTOQUE[[Codigo]:[Referência Tec]],7,FALSE),"")</f>
        <v>0</v>
      </c>
      <c r="D1208" s="15" t="str">
        <f>VLOOKUP(TAB_SAIDA[[#This Row],[COD_2_SAIDA]],TAB_ESTOQUE[[Codigo]:[Endereço2]],12,FALSE)</f>
        <v>F1202</v>
      </c>
      <c r="E1208" s="81">
        <f>SUM(TAB_SAIDA[[#This Row],[20/05/2019]:[00/00/00]])</f>
        <v>0</v>
      </c>
      <c r="F1208" s="3"/>
    </row>
    <row r="1209" spans="1:627" ht="15" hidden="1" customHeight="1" x14ac:dyDescent="0.25">
      <c r="A1209" s="5" t="s">
        <v>6482</v>
      </c>
      <c r="B1209" s="15" t="str">
        <f>VLOOKUP(TAB_SAIDA[[#This Row],[COD_2_SAIDA]],TAB_ESTOQUE[[Codigo]:[Descrição Tecnica]],6,FALSE)</f>
        <v xml:space="preserve">FITA ANTICORROS. 100MMX30M SCOTH </v>
      </c>
      <c r="C1209" s="15">
        <f>IFERROR(VLOOKUP(TAB_SAIDA[[#This Row],[COD_2_SAIDA]],TAB_ESTOQUE[[Codigo]:[Referência Tec]],7,FALSE),"")</f>
        <v>0</v>
      </c>
      <c r="D1209" s="15" t="str">
        <f>VLOOKUP(TAB_SAIDA[[#This Row],[COD_2_SAIDA]],TAB_ESTOQUE[[Codigo]:[Endereço2]],12,FALSE)</f>
        <v>A1405</v>
      </c>
      <c r="E1209" s="81">
        <f>SUM(TAB_SAIDA[[#This Row],[20/05/2019]:[00/00/00]])</f>
        <v>0</v>
      </c>
      <c r="F1209" s="3"/>
    </row>
    <row r="1210" spans="1:627" ht="15" hidden="1" customHeight="1" x14ac:dyDescent="0.25">
      <c r="A1210" s="5" t="s">
        <v>6483</v>
      </c>
      <c r="B1210" s="15" t="str">
        <f>VLOOKUP(TAB_SAIDA[[#This Row],[COD_2_SAIDA]],TAB_ESTOQUE[[Codigo]:[Descrição Tecnica]],6,FALSE)</f>
        <v>NIPLE DUPLO 3/4 FIG. 280 DIM.3/4CLASS. BSP</v>
      </c>
      <c r="C1210" s="15">
        <f>IFERROR(VLOOKUP(TAB_SAIDA[[#This Row],[COD_2_SAIDA]],TAB_ESTOQUE[[Codigo]:[Referência Tec]],7,FALSE),"")</f>
        <v>0</v>
      </c>
      <c r="D1210" s="15" t="str">
        <f>VLOOKUP(TAB_SAIDA[[#This Row],[COD_2_SAIDA]],TAB_ESTOQUE[[Codigo]:[Endereço2]],12,FALSE)</f>
        <v>F2104</v>
      </c>
      <c r="E1210" s="81">
        <f>SUM(TAB_SAIDA[[#This Row],[20/05/2019]:[00/00/00]])</f>
        <v>0</v>
      </c>
      <c r="F1210" s="3"/>
    </row>
    <row r="1211" spans="1:627" ht="15" hidden="1" customHeight="1" x14ac:dyDescent="0.25">
      <c r="A1211" s="5" t="s">
        <v>6484</v>
      </c>
      <c r="B1211" s="15" t="str">
        <f>VLOOKUP(TAB_SAIDA[[#This Row],[COD_2_SAIDA]],TAB_ESTOQUE[[Codigo]:[Descrição Tecnica]],6,FALSE)</f>
        <v>LIXA D'AGUA 180</v>
      </c>
      <c r="C1211" s="15">
        <f>IFERROR(VLOOKUP(TAB_SAIDA[[#This Row],[COD_2_SAIDA]],TAB_ESTOQUE[[Codigo]:[Referência Tec]],7,FALSE),"")</f>
        <v>0</v>
      </c>
      <c r="D1211" s="15" t="str">
        <f>VLOOKUP(TAB_SAIDA[[#This Row],[COD_2_SAIDA]],TAB_ESTOQUE[[Codigo]:[Endereço2]],12,FALSE)</f>
        <v>D1104</v>
      </c>
      <c r="E1211" s="81">
        <f>SUM(TAB_SAIDA[[#This Row],[20/05/2019]:[00/00/00]])</f>
        <v>11</v>
      </c>
      <c r="F1211" s="3"/>
      <c r="RZ1211" s="3">
        <v>5</v>
      </c>
      <c r="SR1211" s="3">
        <v>2</v>
      </c>
      <c r="VE1211" s="3">
        <v>1</v>
      </c>
      <c r="WO1211" s="3">
        <v>2</v>
      </c>
      <c r="XC1211" s="3">
        <v>1</v>
      </c>
    </row>
    <row r="1212" spans="1:627" ht="15" hidden="1" customHeight="1" x14ac:dyDescent="0.25">
      <c r="A1212" s="5" t="s">
        <v>6485</v>
      </c>
      <c r="B1212" s="15" t="str">
        <f>VLOOKUP(TAB_SAIDA[[#This Row],[COD_2_SAIDA]],TAB_ESTOQUE[[Codigo]:[Descrição Tecnica]],6,FALSE)</f>
        <v>ROLAMENTO Y208 V22</v>
      </c>
      <c r="C1212" s="15">
        <f>IFERROR(VLOOKUP(TAB_SAIDA[[#This Row],[COD_2_SAIDA]],TAB_ESTOQUE[[Codigo]:[Referência Tec]],7,FALSE),"")</f>
        <v>0</v>
      </c>
      <c r="D1212" s="15" t="str">
        <f>VLOOKUP(TAB_SAIDA[[#This Row],[COD_2_SAIDA]],TAB_ESTOQUE[[Codigo]:[Endereço2]],12,FALSE)</f>
        <v>D1105</v>
      </c>
      <c r="E1212" s="81">
        <f>SUM(TAB_SAIDA[[#This Row],[20/05/2019]:[00/00/00]])</f>
        <v>0</v>
      </c>
      <c r="F1212" s="3"/>
    </row>
    <row r="1213" spans="1:627" ht="15" hidden="1" customHeight="1" x14ac:dyDescent="0.25">
      <c r="A1213" s="5" t="s">
        <v>6486</v>
      </c>
      <c r="B1213" s="15" t="str">
        <f>VLOOKUP(TAB_SAIDA[[#This Row],[COD_2_SAIDA]],TAB_ESTOQUE[[Codigo]:[Descrição Tecnica]],6,FALSE)</f>
        <v>ELEMENTO FILTRANTE 0007 L 003 P</v>
      </c>
      <c r="C1213" s="15">
        <f>IFERROR(VLOOKUP(TAB_SAIDA[[#This Row],[COD_2_SAIDA]],TAB_ESTOQUE[[Codigo]:[Referência Tec]],7,FALSE),"")</f>
        <v>0</v>
      </c>
      <c r="D1213" s="15" t="str">
        <f>VLOOKUP(TAB_SAIDA[[#This Row],[COD_2_SAIDA]],TAB_ESTOQUE[[Codigo]:[Endereço2]],12,FALSE)</f>
        <v>C2404</v>
      </c>
      <c r="E1213" s="81">
        <f>SUM(TAB_SAIDA[[#This Row],[20/05/2019]:[00/00/00]])</f>
        <v>0</v>
      </c>
      <c r="F1213" s="3"/>
    </row>
    <row r="1214" spans="1:627" ht="15" hidden="1" customHeight="1" x14ac:dyDescent="0.25">
      <c r="A1214" s="5" t="s">
        <v>6487</v>
      </c>
      <c r="B1214" s="15" t="str">
        <f>VLOOKUP(TAB_SAIDA[[#This Row],[COD_2_SAIDA]],TAB_ESTOQUE[[Codigo]:[Descrição Tecnica]],6,FALSE)</f>
        <v>CHAVE VCF5 SCHNEIDER TESYS 080463</v>
      </c>
      <c r="C1214" s="15">
        <f>IFERROR(VLOOKUP(TAB_SAIDA[[#This Row],[COD_2_SAIDA]],TAB_ESTOQUE[[Codigo]:[Referência Tec]],7,FALSE),"")</f>
        <v>0</v>
      </c>
      <c r="D1214" s="15" t="str">
        <f>VLOOKUP(TAB_SAIDA[[#This Row],[COD_2_SAIDA]],TAB_ESTOQUE[[Codigo]:[Endereço2]],12,FALSE)</f>
        <v>A1103</v>
      </c>
      <c r="E1214" s="81">
        <f>SUM(TAB_SAIDA[[#This Row],[20/05/2019]:[00/00/00]])</f>
        <v>0</v>
      </c>
      <c r="F1214" s="3"/>
    </row>
    <row r="1215" spans="1:627" ht="15" hidden="1" customHeight="1" x14ac:dyDescent="0.25">
      <c r="A1215" s="5" t="s">
        <v>6488</v>
      </c>
      <c r="B1215" s="15" t="str">
        <f>VLOOKUP(TAB_SAIDA[[#This Row],[COD_2_SAIDA]],TAB_ESTOQUE[[Codigo]:[Descrição Tecnica]],6,FALSE)</f>
        <v>CONTACTOR LC1E80M7 110A 37KW</v>
      </c>
      <c r="C1215" s="15">
        <f>IFERROR(VLOOKUP(TAB_SAIDA[[#This Row],[COD_2_SAIDA]],TAB_ESTOQUE[[Codigo]:[Referência Tec]],7,FALSE),"")</f>
        <v>0</v>
      </c>
      <c r="D1215" s="15" t="str">
        <f>VLOOKUP(TAB_SAIDA[[#This Row],[COD_2_SAIDA]],TAB_ESTOQUE[[Codigo]:[Endereço2]],12,FALSE)</f>
        <v>B2103</v>
      </c>
      <c r="E1215" s="81">
        <f>SUM(TAB_SAIDA[[#This Row],[20/05/2019]:[00/00/00]])</f>
        <v>0</v>
      </c>
      <c r="F1215" s="3"/>
    </row>
    <row r="1216" spans="1:627" ht="15" hidden="1" customHeight="1" x14ac:dyDescent="0.25">
      <c r="A1216" s="5" t="s">
        <v>6544</v>
      </c>
      <c r="B1216" s="15" t="str">
        <f>VLOOKUP(TAB_SAIDA[[#This Row],[COD_2_SAIDA]],TAB_ESTOQUE[[Codigo]:[Descrição Tecnica]],6,FALSE)</f>
        <v>CHAVE DE SEGURANÇA SCHMERSAL AZ16-12ZVRK-M16</v>
      </c>
      <c r="C1216" s="15">
        <f>IFERROR(VLOOKUP(TAB_SAIDA[[#This Row],[COD_2_SAIDA]],TAB_ESTOQUE[[Codigo]:[Referência Tec]],7,FALSE),"")</f>
        <v>0</v>
      </c>
      <c r="D1216" s="15" t="str">
        <f>VLOOKUP(TAB_SAIDA[[#This Row],[COD_2_SAIDA]],TAB_ESTOQUE[[Codigo]:[Endereço2]],12,FALSE)</f>
        <v>B2103</v>
      </c>
      <c r="E1216" s="81">
        <f>SUM(TAB_SAIDA[[#This Row],[20/05/2019]:[00/00/00]])</f>
        <v>0</v>
      </c>
      <c r="F1216" s="3"/>
    </row>
    <row r="1217" spans="1:585" ht="15" hidden="1" customHeight="1" x14ac:dyDescent="0.25">
      <c r="A1217" s="5" t="s">
        <v>6545</v>
      </c>
      <c r="B1217" s="15" t="str">
        <f>VLOOKUP(TAB_SAIDA[[#This Row],[COD_2_SAIDA]],TAB_ESTOQUE[[Codigo]:[Descrição Tecnica]],6,FALSE)</f>
        <v>MANCAL UKF210</v>
      </c>
      <c r="C1217" s="15">
        <f>IFERROR(VLOOKUP(TAB_SAIDA[[#This Row],[COD_2_SAIDA]],TAB_ESTOQUE[[Codigo]:[Referência Tec]],7,FALSE),"")</f>
        <v>0</v>
      </c>
      <c r="D1217" s="15" t="str">
        <f>VLOOKUP(TAB_SAIDA[[#This Row],[COD_2_SAIDA]],TAB_ESTOQUE[[Codigo]:[Endereço2]],12,FALSE)</f>
        <v>E1406</v>
      </c>
      <c r="E1217" s="81">
        <f>SUM(TAB_SAIDA[[#This Row],[20/05/2019]:[00/00/00]])</f>
        <v>0</v>
      </c>
      <c r="F1217" s="3"/>
    </row>
    <row r="1218" spans="1:585" ht="15" hidden="1" customHeight="1" x14ac:dyDescent="0.25">
      <c r="A1218" s="5" t="s">
        <v>6546</v>
      </c>
      <c r="B1218" s="15" t="str">
        <f>VLOOKUP(TAB_SAIDA[[#This Row],[COD_2_SAIDA]],TAB_ESTOQUE[[Codigo]:[Descrição Tecnica]],6,FALSE)</f>
        <v>MANCAL UCF204</v>
      </c>
      <c r="C1218" s="15">
        <f>IFERROR(VLOOKUP(TAB_SAIDA[[#This Row],[COD_2_SAIDA]],TAB_ESTOQUE[[Codigo]:[Referência Tec]],7,FALSE),"")</f>
        <v>0</v>
      </c>
      <c r="D1218" s="15" t="str">
        <f>VLOOKUP(TAB_SAIDA[[#This Row],[COD_2_SAIDA]],TAB_ESTOQUE[[Codigo]:[Endereço2]],12,FALSE)</f>
        <v>E1406</v>
      </c>
      <c r="E1218" s="81">
        <f>SUM(TAB_SAIDA[[#This Row],[20/05/2019]:[00/00/00]])</f>
        <v>0</v>
      </c>
      <c r="F1218" s="3"/>
    </row>
    <row r="1219" spans="1:585" ht="15" hidden="1" customHeight="1" x14ac:dyDescent="0.25">
      <c r="A1219" s="5" t="s">
        <v>6547</v>
      </c>
      <c r="B1219" s="15" t="str">
        <f>VLOOKUP(TAB_SAIDA[[#This Row],[COD_2_SAIDA]],TAB_ESTOQUE[[Codigo]:[Descrição Tecnica]],6,FALSE)</f>
        <v>MANCAL UCPA204</v>
      </c>
      <c r="C1219" s="15">
        <f>IFERROR(VLOOKUP(TAB_SAIDA[[#This Row],[COD_2_SAIDA]],TAB_ESTOQUE[[Codigo]:[Referência Tec]],7,FALSE),"")</f>
        <v>0</v>
      </c>
      <c r="D1219" s="15" t="str">
        <f>VLOOKUP(TAB_SAIDA[[#This Row],[COD_2_SAIDA]],TAB_ESTOQUE[[Codigo]:[Endereço2]],12,FALSE)</f>
        <v>E1406</v>
      </c>
      <c r="E1219" s="81">
        <f>SUM(TAB_SAIDA[[#This Row],[20/05/2019]:[00/00/00]])</f>
        <v>0</v>
      </c>
      <c r="F1219" s="3"/>
    </row>
    <row r="1220" spans="1:585" ht="15" hidden="1" customHeight="1" x14ac:dyDescent="0.25">
      <c r="A1220" s="5" t="s">
        <v>6548</v>
      </c>
      <c r="B1220" s="15" t="str">
        <f>VLOOKUP(TAB_SAIDA[[#This Row],[COD_2_SAIDA]],TAB_ESTOQUE[[Codigo]:[Descrição Tecnica]],6,FALSE)</f>
        <v>MANCAL UCF206</v>
      </c>
      <c r="C1220" s="15">
        <f>IFERROR(VLOOKUP(TAB_SAIDA[[#This Row],[COD_2_SAIDA]],TAB_ESTOQUE[[Codigo]:[Referência Tec]],7,FALSE),"")</f>
        <v>0</v>
      </c>
      <c r="D1220" s="15" t="str">
        <f>VLOOKUP(TAB_SAIDA[[#This Row],[COD_2_SAIDA]],TAB_ESTOQUE[[Codigo]:[Endereço2]],12,FALSE)</f>
        <v>E1405</v>
      </c>
      <c r="E1220" s="81">
        <f>SUM(TAB_SAIDA[[#This Row],[20/05/2019]:[00/00/00]])</f>
        <v>0</v>
      </c>
      <c r="F1220" s="3"/>
    </row>
    <row r="1221" spans="1:585" ht="15" hidden="1" customHeight="1" x14ac:dyDescent="0.25">
      <c r="A1221" s="5" t="s">
        <v>6567</v>
      </c>
      <c r="B1221" s="15" t="str">
        <f>VLOOKUP(TAB_SAIDA[[#This Row],[COD_2_SAIDA]],TAB_ESTOQUE[[Codigo]:[Descrição Tecnica]],6,FALSE)</f>
        <v>BLOCO DE PROTEÇÃO CONECTOR 5SD7464-0</v>
      </c>
      <c r="C1221" s="15">
        <f>IFERROR(VLOOKUP(TAB_SAIDA[[#This Row],[COD_2_SAIDA]],TAB_ESTOQUE[[Codigo]:[Referência Tec]],7,FALSE),"")</f>
        <v>0</v>
      </c>
      <c r="D1221" s="15" t="str">
        <f>VLOOKUP(TAB_SAIDA[[#This Row],[COD_2_SAIDA]],TAB_ESTOQUE[[Codigo]:[Endereço2]],12,FALSE)</f>
        <v>A1105</v>
      </c>
      <c r="E1221" s="81">
        <f>SUM(TAB_SAIDA[[#This Row],[20/05/2019]:[00/00/00]])</f>
        <v>0</v>
      </c>
      <c r="F1221" s="3"/>
    </row>
    <row r="1222" spans="1:585" ht="15" hidden="1" customHeight="1" x14ac:dyDescent="0.25">
      <c r="A1222" s="5" t="s">
        <v>6568</v>
      </c>
      <c r="B1222" s="15" t="str">
        <f>VLOOKUP(TAB_SAIDA[[#This Row],[COD_2_SAIDA]],TAB_ESTOQUE[[Codigo]:[Descrição Tecnica]],6,FALSE)</f>
        <v>BLOCO DE CONTATO 3RH1911-1HA22</v>
      </c>
      <c r="C1222" s="15">
        <f>IFERROR(VLOOKUP(TAB_SAIDA[[#This Row],[COD_2_SAIDA]],TAB_ESTOQUE[[Codigo]:[Referência Tec]],7,FALSE),"")</f>
        <v>0</v>
      </c>
      <c r="D1222" s="15" t="str">
        <f>VLOOKUP(TAB_SAIDA[[#This Row],[COD_2_SAIDA]],TAB_ESTOQUE[[Codigo]:[Endereço2]],12,FALSE)</f>
        <v>A1204</v>
      </c>
      <c r="E1222" s="81">
        <f>SUM(TAB_SAIDA[[#This Row],[20/05/2019]:[00/00/00]])</f>
        <v>0</v>
      </c>
      <c r="F1222" s="3"/>
    </row>
    <row r="1223" spans="1:585" ht="15" hidden="1" customHeight="1" x14ac:dyDescent="0.25">
      <c r="A1223" s="5" t="s">
        <v>6569</v>
      </c>
      <c r="B1223" s="15" t="str">
        <f>VLOOKUP(TAB_SAIDA[[#This Row],[COD_2_SAIDA]],TAB_ESTOQUE[[Codigo]:[Descrição Tecnica]],6,FALSE)</f>
        <v>BLOCO DE CONTATO WEG IEC 60947-5-1  10A</v>
      </c>
      <c r="C1223" s="15">
        <f>IFERROR(VLOOKUP(TAB_SAIDA[[#This Row],[COD_2_SAIDA]],TAB_ESTOQUE[[Codigo]:[Referência Tec]],7,FALSE),"")</f>
        <v>0</v>
      </c>
      <c r="D1223" s="15" t="str">
        <f>VLOOKUP(TAB_SAIDA[[#This Row],[COD_2_SAIDA]],TAB_ESTOQUE[[Codigo]:[Endereço2]],12,FALSE)</f>
        <v>A1204</v>
      </c>
      <c r="E1223" s="81">
        <f>SUM(TAB_SAIDA[[#This Row],[20/05/2019]:[00/00/00]])</f>
        <v>0</v>
      </c>
      <c r="F1223" s="3"/>
    </row>
    <row r="1224" spans="1:585" ht="15" hidden="1" customHeight="1" x14ac:dyDescent="0.25">
      <c r="A1224" s="5" t="s">
        <v>6570</v>
      </c>
      <c r="B1224" s="15" t="str">
        <f>VLOOKUP(TAB_SAIDA[[#This Row],[COD_2_SAIDA]],TAB_ESTOQUE[[Codigo]:[Descrição Tecnica]],6,FALSE)</f>
        <v>LUMINARIA INDUSTRIAL LED HIGH BAY 100W. AC100-277V,50/60HZ</v>
      </c>
      <c r="C1224" s="15">
        <f>IFERROR(VLOOKUP(TAB_SAIDA[[#This Row],[COD_2_SAIDA]],TAB_ESTOQUE[[Codigo]:[Referência Tec]],7,FALSE),"")</f>
        <v>0</v>
      </c>
      <c r="D1224" s="15" t="str">
        <f>VLOOKUP(TAB_SAIDA[[#This Row],[COD_2_SAIDA]],TAB_ESTOQUE[[Codigo]:[Endereço2]],12,FALSE)</f>
        <v>A1201</v>
      </c>
      <c r="E1224" s="81">
        <f>SUM(TAB_SAIDA[[#This Row],[20/05/2019]:[00/00/00]])</f>
        <v>0</v>
      </c>
      <c r="F1224" s="3"/>
    </row>
    <row r="1225" spans="1:585" ht="15" hidden="1" customHeight="1" x14ac:dyDescent="0.25">
      <c r="A1225" s="5" t="s">
        <v>6571</v>
      </c>
      <c r="B1225" s="15" t="str">
        <f>VLOOKUP(TAB_SAIDA[[#This Row],[COD_2_SAIDA]],TAB_ESTOQUE[[Codigo]:[Descrição Tecnica]],6,FALSE)</f>
        <v>LUZ SONORA VERMELHA INDICADORA DE ALARME - AC/DC24V - REF. AD17-SM</v>
      </c>
      <c r="C1225" s="15">
        <f>IFERROR(VLOOKUP(TAB_SAIDA[[#This Row],[COD_2_SAIDA]],TAB_ESTOQUE[[Codigo]:[Referência Tec]],7,FALSE),"")</f>
        <v>0</v>
      </c>
      <c r="D1225" s="15" t="str">
        <f>VLOOKUP(TAB_SAIDA[[#This Row],[COD_2_SAIDA]],TAB_ESTOQUE[[Codigo]:[Endereço2]],12,FALSE)</f>
        <v>A2305</v>
      </c>
      <c r="E1225" s="81">
        <f>SUM(TAB_SAIDA[[#This Row],[20/05/2019]:[00/00/00]])</f>
        <v>0</v>
      </c>
      <c r="F1225" s="3"/>
    </row>
    <row r="1226" spans="1:585" ht="15" hidden="1" customHeight="1" x14ac:dyDescent="0.25">
      <c r="A1226" s="5" t="s">
        <v>6572</v>
      </c>
      <c r="B1226" s="15" t="str">
        <f>VLOOKUP(TAB_SAIDA[[#This Row],[COD_2_SAIDA]],TAB_ESTOQUE[[Codigo]:[Descrição Tecnica]],6,FALSE)</f>
        <v>TORRE DE LED -24VDC-LARANJA/VERDE/VERMELHO - REF. TPTB7-24</v>
      </c>
      <c r="C1226" s="15">
        <f>IFERROR(VLOOKUP(TAB_SAIDA[[#This Row],[COD_2_SAIDA]],TAB_ESTOQUE[[Codigo]:[Referência Tec]],7,FALSE),"")</f>
        <v>0</v>
      </c>
      <c r="D1226" s="15" t="str">
        <f>VLOOKUP(TAB_SAIDA[[#This Row],[COD_2_SAIDA]],TAB_ESTOQUE[[Codigo]:[Endereço2]],12,FALSE)</f>
        <v>B1105</v>
      </c>
      <c r="E1226" s="81">
        <f>SUM(TAB_SAIDA[[#This Row],[20/05/2019]:[00/00/00]])</f>
        <v>1</v>
      </c>
      <c r="F1226" s="3"/>
      <c r="VM1226" s="3">
        <v>1</v>
      </c>
    </row>
    <row r="1227" spans="1:585" ht="15" hidden="1" customHeight="1" x14ac:dyDescent="0.25">
      <c r="A1227" s="5" t="s">
        <v>6573</v>
      </c>
      <c r="B1227" s="15" t="str">
        <f>VLOOKUP(TAB_SAIDA[[#This Row],[COD_2_SAIDA]],TAB_ESTOQUE[[Codigo]:[Descrição Tecnica]],6,FALSE)</f>
        <v>LUZ INDICADORA VERDE , CL-502G</v>
      </c>
      <c r="C1227" s="15">
        <f>IFERROR(VLOOKUP(TAB_SAIDA[[#This Row],[COD_2_SAIDA]],TAB_ESTOQUE[[Codigo]:[Referência Tec]],7,FALSE),"")</f>
        <v>0</v>
      </c>
      <c r="D1227" s="15" t="str">
        <f>VLOOKUP(TAB_SAIDA[[#This Row],[COD_2_SAIDA]],TAB_ESTOQUE[[Codigo]:[Endereço2]],12,FALSE)</f>
        <v>A2305</v>
      </c>
      <c r="E1227" s="81">
        <f>SUM(TAB_SAIDA[[#This Row],[20/05/2019]:[00/00/00]])</f>
        <v>0</v>
      </c>
      <c r="F1227" s="3"/>
    </row>
    <row r="1228" spans="1:585" ht="15" hidden="1" customHeight="1" x14ac:dyDescent="0.25">
      <c r="A1228" s="5" t="s">
        <v>6574</v>
      </c>
      <c r="B1228" s="15" t="str">
        <f>VLOOKUP(TAB_SAIDA[[#This Row],[COD_2_SAIDA]],TAB_ESTOQUE[[Codigo]:[Descrição Tecnica]],6,FALSE)</f>
        <v>MANGUEIRA CORRUGADA C/ BICO PESCADOR</v>
      </c>
      <c r="C1228" s="15">
        <f>IFERROR(VLOOKUP(TAB_SAIDA[[#This Row],[COD_2_SAIDA]],TAB_ESTOQUE[[Codigo]:[Referência Tec]],7,FALSE),"")</f>
        <v>0</v>
      </c>
      <c r="D1228" s="15" t="str">
        <f>VLOOKUP(TAB_SAIDA[[#This Row],[COD_2_SAIDA]],TAB_ESTOQUE[[Codigo]:[Endereço2]],12,FALSE)</f>
        <v>S301</v>
      </c>
      <c r="E1228" s="81">
        <f>SUM(TAB_SAIDA[[#This Row],[20/05/2019]:[00/00/00]])</f>
        <v>0</v>
      </c>
      <c r="F1228" s="3"/>
    </row>
    <row r="1229" spans="1:585" ht="15" hidden="1" customHeight="1" x14ac:dyDescent="0.25">
      <c r="A1229" s="5" t="s">
        <v>6575</v>
      </c>
      <c r="B1229" s="15" t="str">
        <f>VLOOKUP(TAB_SAIDA[[#This Row],[COD_2_SAIDA]],TAB_ESTOQUE[[Codigo]:[Descrição Tecnica]],6,FALSE)</f>
        <v>BOMBA BARMAG 0,6CM 1710958</v>
      </c>
      <c r="C1229" s="15">
        <f>IFERROR(VLOOKUP(TAB_SAIDA[[#This Row],[COD_2_SAIDA]],TAB_ESTOQUE[[Codigo]:[Referência Tec]],7,FALSE),"")</f>
        <v>0</v>
      </c>
      <c r="D1229" s="15" t="str">
        <f>VLOOKUP(TAB_SAIDA[[#This Row],[COD_2_SAIDA]],TAB_ESTOQUE[[Codigo]:[Endereço2]],12,FALSE)</f>
        <v>D1204</v>
      </c>
      <c r="E1229" s="81">
        <f>SUM(TAB_SAIDA[[#This Row],[20/05/2019]:[00/00/00]])</f>
        <v>0</v>
      </c>
      <c r="F1229" s="3"/>
    </row>
    <row r="1230" spans="1:585" ht="15" hidden="1" customHeight="1" x14ac:dyDescent="0.25">
      <c r="A1230" s="5" t="s">
        <v>6576</v>
      </c>
      <c r="B1230" s="15" t="str">
        <f>VLOOKUP(TAB_SAIDA[[#This Row],[COD_2_SAIDA]],TAB_ESTOQUE[[Codigo]:[Descrição Tecnica]],6,FALSE)</f>
        <v>MANOMETRO ROSCA 1/8" VERTICAL 140 PSI 10BAR</v>
      </c>
      <c r="C1230" s="15">
        <f>IFERROR(VLOOKUP(TAB_SAIDA[[#This Row],[COD_2_SAIDA]],TAB_ESTOQUE[[Codigo]:[Referência Tec]],7,FALSE),"")</f>
        <v>0</v>
      </c>
      <c r="D1230" s="15" t="str">
        <f>VLOOKUP(TAB_SAIDA[[#This Row],[COD_2_SAIDA]],TAB_ESTOQUE[[Codigo]:[Endereço2]],12,FALSE)</f>
        <v>E2404</v>
      </c>
      <c r="E1230" s="81">
        <f>SUM(TAB_SAIDA[[#This Row],[20/05/2019]:[00/00/00]])</f>
        <v>0</v>
      </c>
      <c r="F1230" s="3"/>
    </row>
    <row r="1231" spans="1:585" ht="15" hidden="1" customHeight="1" x14ac:dyDescent="0.25">
      <c r="A1231" s="5" t="s">
        <v>6577</v>
      </c>
      <c r="B1231" s="15" t="str">
        <f>VLOOKUP(TAB_SAIDA[[#This Row],[COD_2_SAIDA]],TAB_ESTOQUE[[Codigo]:[Descrição Tecnica]],6,FALSE)</f>
        <v>MANOMETRO ROSCA 1/8" HORIZONTAL 11BAR 160PSI</v>
      </c>
      <c r="C1231" s="15">
        <f>IFERROR(VLOOKUP(TAB_SAIDA[[#This Row],[COD_2_SAIDA]],TAB_ESTOQUE[[Codigo]:[Referência Tec]],7,FALSE),"")</f>
        <v>0</v>
      </c>
      <c r="D1231" s="15" t="str">
        <f>VLOOKUP(TAB_SAIDA[[#This Row],[COD_2_SAIDA]],TAB_ESTOQUE[[Codigo]:[Endereço2]],12,FALSE)</f>
        <v>E2404</v>
      </c>
      <c r="E1231" s="81">
        <f>SUM(TAB_SAIDA[[#This Row],[20/05/2019]:[00/00/00]])</f>
        <v>1</v>
      </c>
      <c r="F1231" s="3"/>
      <c r="SF1231" s="3">
        <v>1</v>
      </c>
    </row>
    <row r="1232" spans="1:585" ht="15" hidden="1" customHeight="1" x14ac:dyDescent="0.25">
      <c r="A1232" s="5" t="s">
        <v>6608</v>
      </c>
      <c r="B1232" s="15" t="str">
        <f>VLOOKUP(TAB_SAIDA[[#This Row],[COD_2_SAIDA]],TAB_ESTOQUE[[Codigo]:[Descrição Tecnica]],6,FALSE)</f>
        <v>TROCADOR DE CALOR DE PLACAS 5M³ - REF. BL95B-54D</v>
      </c>
      <c r="C1232" s="15">
        <f>IFERROR(VLOOKUP(TAB_SAIDA[[#This Row],[COD_2_SAIDA]],TAB_ESTOQUE[[Codigo]:[Referência Tec]],7,FALSE),"")</f>
        <v>0</v>
      </c>
      <c r="D1232" s="15" t="str">
        <f>VLOOKUP(TAB_SAIDA[[#This Row],[COD_2_SAIDA]],TAB_ESTOQUE[[Codigo]:[Endereço2]],12,FALSE)</f>
        <v>D1101</v>
      </c>
      <c r="E1232" s="81">
        <f>SUM(TAB_SAIDA[[#This Row],[20/05/2019]:[00/00/00]])</f>
        <v>0</v>
      </c>
      <c r="F1232" s="3"/>
    </row>
    <row r="1233" spans="1:60" ht="15" hidden="1" customHeight="1" x14ac:dyDescent="0.25">
      <c r="A1233" s="5" t="s">
        <v>6652</v>
      </c>
      <c r="B1233" s="15" t="str">
        <f>VLOOKUP(TAB_SAIDA[[#This Row],[COD_2_SAIDA]],TAB_ESTOQUE[[Codigo]:[Descrição Tecnica]],6,FALSE)</f>
        <v>TROCADOR DE CALOR DE PLACAS 3M³ - REF. BL95B-32D</v>
      </c>
      <c r="C1233" s="15">
        <f>IFERROR(VLOOKUP(TAB_SAIDA[[#This Row],[COD_2_SAIDA]],TAB_ESTOQUE[[Codigo]:[Referência Tec]],7,FALSE),"")</f>
        <v>0</v>
      </c>
      <c r="D1233" s="15" t="str">
        <f>VLOOKUP(TAB_SAIDA[[#This Row],[COD_2_SAIDA]],TAB_ESTOQUE[[Codigo]:[Endereço2]],12,FALSE)</f>
        <v>D1101</v>
      </c>
      <c r="E1233" s="81">
        <f>SUM(TAB_SAIDA[[#This Row],[20/05/2019]:[00/00/00]])</f>
        <v>0</v>
      </c>
      <c r="F1233" s="3"/>
    </row>
    <row r="1234" spans="1:60" ht="15" hidden="1" customHeight="1" x14ac:dyDescent="0.25">
      <c r="A1234" s="5" t="s">
        <v>6653</v>
      </c>
      <c r="B1234" s="15" t="str">
        <f>VLOOKUP(TAB_SAIDA[[#This Row],[COD_2_SAIDA]],TAB_ESTOQUE[[Codigo]:[Descrição Tecnica]],6,FALSE)</f>
        <v>ACUMULADOR DE PRESSÃO</v>
      </c>
      <c r="C1234" s="15">
        <f>IFERROR(VLOOKUP(TAB_SAIDA[[#This Row],[COD_2_SAIDA]],TAB_ESTOQUE[[Codigo]:[Referência Tec]],7,FALSE),"")</f>
        <v>0</v>
      </c>
      <c r="D1234" s="15" t="str">
        <f>VLOOKUP(TAB_SAIDA[[#This Row],[COD_2_SAIDA]],TAB_ESTOQUE[[Codigo]:[Endereço2]],12,FALSE)</f>
        <v>G1101</v>
      </c>
      <c r="E1234" s="81">
        <f>SUM(TAB_SAIDA[[#This Row],[20/05/2019]:[00/00/00]])</f>
        <v>0</v>
      </c>
      <c r="F1234" s="3"/>
    </row>
    <row r="1235" spans="1:60" ht="15" hidden="1" customHeight="1" x14ac:dyDescent="0.25">
      <c r="A1235" s="5" t="s">
        <v>6654</v>
      </c>
      <c r="B1235" s="15" t="str">
        <f>VLOOKUP(TAB_SAIDA[[#This Row],[COD_2_SAIDA]],TAB_ESTOQUE[[Codigo]:[Descrição Tecnica]],6,FALSE)</f>
        <v>TRAVA QUEDA 40X50Kg</v>
      </c>
      <c r="C1235" s="15">
        <f>IFERROR(VLOOKUP(TAB_SAIDA[[#This Row],[COD_2_SAIDA]],TAB_ESTOQUE[[Codigo]:[Referência Tec]],7,FALSE),"")</f>
        <v>0</v>
      </c>
      <c r="D1235" s="15" t="str">
        <f>VLOOKUP(TAB_SAIDA[[#This Row],[COD_2_SAIDA]],TAB_ESTOQUE[[Codigo]:[Endereço2]],12,FALSE)</f>
        <v>F1205</v>
      </c>
      <c r="E1235" s="81">
        <f>SUM(TAB_SAIDA[[#This Row],[20/05/2019]:[00/00/00]])</f>
        <v>0</v>
      </c>
      <c r="F1235" s="3"/>
    </row>
    <row r="1236" spans="1:60" ht="15" hidden="1" customHeight="1" x14ac:dyDescent="0.25">
      <c r="A1236" s="5" t="s">
        <v>6655</v>
      </c>
      <c r="B1236" s="15" t="str">
        <f>VLOOKUP(TAB_SAIDA[[#This Row],[COD_2_SAIDA]],TAB_ESTOQUE[[Codigo]:[Descrição Tecnica]],6,FALSE)</f>
        <v>CHAVE SELETORA 10 POSIÇÕES - PN 201407022 , REF: CA10</v>
      </c>
      <c r="C1236" s="15">
        <f>IFERROR(VLOOKUP(TAB_SAIDA[[#This Row],[COD_2_SAIDA]],TAB_ESTOQUE[[Codigo]:[Referência Tec]],7,FALSE),"")</f>
        <v>0</v>
      </c>
      <c r="D1236" s="15" t="str">
        <f>VLOOKUP(TAB_SAIDA[[#This Row],[COD_2_SAIDA]],TAB_ESTOQUE[[Codigo]:[Endereço2]],12,FALSE)</f>
        <v>A2305</v>
      </c>
      <c r="E1236" s="81">
        <f>SUM(TAB_SAIDA[[#This Row],[20/05/2019]:[00/00/00]])</f>
        <v>0</v>
      </c>
      <c r="F1236" s="3"/>
    </row>
    <row r="1237" spans="1:60" ht="15" hidden="1" customHeight="1" x14ac:dyDescent="0.25">
      <c r="A1237" s="5" t="s">
        <v>6656</v>
      </c>
      <c r="B1237" s="15" t="str">
        <f>VLOOKUP(TAB_SAIDA[[#This Row],[COD_2_SAIDA]],TAB_ESTOQUE[[Codigo]:[Descrição Tecnica]],6,FALSE)</f>
        <v>PLACA DE MONTAGEM FESTO MOUNTING LATE - REF. APL-2N-GRP / COD. 10391</v>
      </c>
      <c r="C1237" s="15">
        <f>IFERROR(VLOOKUP(TAB_SAIDA[[#This Row],[COD_2_SAIDA]],TAB_ESTOQUE[[Codigo]:[Referência Tec]],7,FALSE),"")</f>
        <v>0</v>
      </c>
      <c r="D1237" s="15" t="str">
        <f>VLOOKUP(TAB_SAIDA[[#This Row],[COD_2_SAIDA]],TAB_ESTOQUE[[Codigo]:[Endereço2]],12,FALSE)</f>
        <v>G1106</v>
      </c>
      <c r="E1237" s="81">
        <f>SUM(TAB_SAIDA[[#This Row],[20/05/2019]:[00/00/00]])</f>
        <v>0</v>
      </c>
      <c r="F1237" s="3"/>
    </row>
    <row r="1238" spans="1:60" ht="15" hidden="1" customHeight="1" x14ac:dyDescent="0.25">
      <c r="A1238" s="5" t="s">
        <v>6657</v>
      </c>
      <c r="B1238" s="15" t="str">
        <f>VLOOKUP(TAB_SAIDA[[#This Row],[COD_2_SAIDA]],TAB_ESTOQUE[[Codigo]:[Descrição Tecnica]],6,FALSE)</f>
        <v>CONEXÃO PNEUMÁTICA TIPO CRUZETA 12mm</v>
      </c>
      <c r="C1238" s="15">
        <f>IFERROR(VLOOKUP(TAB_SAIDA[[#This Row],[COD_2_SAIDA]],TAB_ESTOQUE[[Codigo]:[Referência Tec]],7,FALSE),"")</f>
        <v>0</v>
      </c>
      <c r="D1238" s="15" t="str">
        <f>VLOOKUP(TAB_SAIDA[[#This Row],[COD_2_SAIDA]],TAB_ESTOQUE[[Codigo]:[Endereço2]],12,FALSE)</f>
        <v>C1302</v>
      </c>
      <c r="E1238" s="81">
        <f>SUM(TAB_SAIDA[[#This Row],[20/05/2019]:[00/00/00]])</f>
        <v>0</v>
      </c>
      <c r="F1238" s="3"/>
    </row>
    <row r="1239" spans="1:60" ht="15" hidden="1" customHeight="1" x14ac:dyDescent="0.25">
      <c r="A1239" s="5" t="s">
        <v>6658</v>
      </c>
      <c r="B1239" s="15" t="str">
        <f>VLOOKUP(TAB_SAIDA[[#This Row],[COD_2_SAIDA]],TAB_ESTOQUE[[Codigo]:[Descrição Tecnica]],6,FALSE)</f>
        <v>REGUA BALLUFF BTL027U BTL5-E10-M0500-P-532</v>
      </c>
      <c r="C1239" s="15">
        <f>IFERROR(VLOOKUP(TAB_SAIDA[[#This Row],[COD_2_SAIDA]],TAB_ESTOQUE[[Codigo]:[Referência Tec]],7,FALSE),"")</f>
        <v>0</v>
      </c>
      <c r="D1239" s="15" t="str">
        <f>VLOOKUP(TAB_SAIDA[[#This Row],[COD_2_SAIDA]],TAB_ESTOQUE[[Codigo]:[Endereço2]],12,FALSE)</f>
        <v>D1301</v>
      </c>
      <c r="E1239" s="81">
        <f>SUM(TAB_SAIDA[[#This Row],[20/05/2019]:[00/00/00]])</f>
        <v>0</v>
      </c>
      <c r="F1239" s="3"/>
    </row>
    <row r="1240" spans="1:60" ht="15" hidden="1" customHeight="1" x14ac:dyDescent="0.25">
      <c r="A1240" s="5" t="s">
        <v>6659</v>
      </c>
      <c r="B1240" s="15" t="str">
        <f>VLOOKUP(TAB_SAIDA[[#This Row],[COD_2_SAIDA]],TAB_ESTOQUE[[Codigo]:[Descrição Tecnica]],6,FALSE)</f>
        <v>CONJUNTO DE PLACAS FINAIS ISO FESTO - REF. NEV-3DA/DB-ISSO / COD. 10176</v>
      </c>
      <c r="C1240" s="15">
        <f>IFERROR(VLOOKUP(TAB_SAIDA[[#This Row],[COD_2_SAIDA]],TAB_ESTOQUE[[Codigo]:[Referência Tec]],7,FALSE),"")</f>
        <v>0</v>
      </c>
      <c r="D1240" s="15" t="str">
        <f>VLOOKUP(TAB_SAIDA[[#This Row],[COD_2_SAIDA]],TAB_ESTOQUE[[Codigo]:[Endereço2]],12,FALSE)</f>
        <v>G1104</v>
      </c>
      <c r="E1240" s="81">
        <f>SUM(TAB_SAIDA[[#This Row],[20/05/2019]:[00/00/00]])</f>
        <v>0</v>
      </c>
      <c r="F1240" s="3"/>
    </row>
    <row r="1241" spans="1:60" ht="15" hidden="1" customHeight="1" x14ac:dyDescent="0.25">
      <c r="A1241" s="5" t="s">
        <v>6739</v>
      </c>
      <c r="B1241" s="15" t="str">
        <f>VLOOKUP(TAB_SAIDA[[#This Row],[COD_2_SAIDA]],TAB_ESTOQUE[[Codigo]:[Descrição Tecnica]],6,FALSE)</f>
        <v>BLOCO DE MONTAGEM P/ VÁLVULA FESTO - REF. NAV-1/2-3C-ISO / COD. 10175</v>
      </c>
      <c r="C1241" s="15">
        <f>IFERROR(VLOOKUP(TAB_SAIDA[[#This Row],[COD_2_SAIDA]],TAB_ESTOQUE[[Codigo]:[Referência Tec]],7,FALSE),"")</f>
        <v>0</v>
      </c>
      <c r="D1241" s="15" t="str">
        <f>VLOOKUP(TAB_SAIDA[[#This Row],[COD_2_SAIDA]],TAB_ESTOQUE[[Codigo]:[Endereço2]],12,FALSE)</f>
        <v>G1104</v>
      </c>
      <c r="E1241" s="81">
        <f>SUM(TAB_SAIDA[[#This Row],[20/05/2019]:[00/00/00]])</f>
        <v>0</v>
      </c>
      <c r="F1241" s="3"/>
    </row>
    <row r="1242" spans="1:60" ht="15" hidden="1" customHeight="1" x14ac:dyDescent="0.25">
      <c r="A1242" s="5" t="s">
        <v>6749</v>
      </c>
      <c r="B1242" s="15" t="str">
        <f>VLOOKUP(TAB_SAIDA[[#This Row],[COD_2_SAIDA]],TAB_ESTOQUE[[Codigo]:[Descrição Tecnica]],6,FALSE)</f>
        <v>VALVULA PNEUMATICA 3/2 VIAS COM ENCAIXE LATERAL COM BOBINA 220V</v>
      </c>
      <c r="C1242" s="15">
        <f>IFERROR(VLOOKUP(TAB_SAIDA[[#This Row],[COD_2_SAIDA]],TAB_ESTOQUE[[Codigo]:[Referência Tec]],7,FALSE),"")</f>
        <v>0</v>
      </c>
      <c r="D1242" s="15" t="str">
        <f>VLOOKUP(TAB_SAIDA[[#This Row],[COD_2_SAIDA]],TAB_ESTOQUE[[Codigo]:[Endereço2]],12,FALSE)</f>
        <v>C1103</v>
      </c>
      <c r="E1242" s="81">
        <f>SUM(TAB_SAIDA[[#This Row],[20/05/2019]:[00/00/00]])</f>
        <v>0</v>
      </c>
      <c r="F1242" s="3"/>
      <c r="BH1242" s="3"/>
    </row>
    <row r="1243" spans="1:60" ht="15" hidden="1" customHeight="1" x14ac:dyDescent="0.25">
      <c r="A1243" s="5" t="s">
        <v>6759</v>
      </c>
      <c r="B1243" s="15" t="str">
        <f>VLOOKUP(TAB_SAIDA[[#This Row],[COD_2_SAIDA]],TAB_ESTOQUE[[Codigo]:[Descrição Tecnica]],6,FALSE)</f>
        <v xml:space="preserve">CPU SIEMENS 6ES7 212-1HE40-0XB0 </v>
      </c>
      <c r="C1243" s="15">
        <f>IFERROR(VLOOKUP(TAB_SAIDA[[#This Row],[COD_2_SAIDA]],TAB_ESTOQUE[[Codigo]:[Referência Tec]],7,FALSE),"")</f>
        <v>0</v>
      </c>
      <c r="D1243" s="15" t="str">
        <f>VLOOKUP(TAB_SAIDA[[#This Row],[COD_2_SAIDA]],TAB_ESTOQUE[[Codigo]:[Endereço2]],12,FALSE)</f>
        <v>B1103</v>
      </c>
      <c r="E1243" s="81">
        <f>SUM(TAB_SAIDA[[#This Row],[20/05/2019]:[00/00/00]])</f>
        <v>0</v>
      </c>
      <c r="F1243" s="3"/>
      <c r="BH1243" s="3"/>
    </row>
    <row r="1244" spans="1:60" ht="15" hidden="1" customHeight="1" x14ac:dyDescent="0.25">
      <c r="A1244" s="5" t="s">
        <v>6790</v>
      </c>
      <c r="B1244" s="15" t="str">
        <f>VLOOKUP(TAB_SAIDA[[#This Row],[COD_2_SAIDA]],TAB_ESTOQUE[[Codigo]:[Descrição Tecnica]],6,FALSE)</f>
        <v>SCALANCE XB005 6GK5005-0BA00-1AB2</v>
      </c>
      <c r="C1244" s="15">
        <f>IFERROR(VLOOKUP(TAB_SAIDA[[#This Row],[COD_2_SAIDA]],TAB_ESTOQUE[[Codigo]:[Referência Tec]],7,FALSE),"")</f>
        <v>0</v>
      </c>
      <c r="D1244" s="15" t="str">
        <f>VLOOKUP(TAB_SAIDA[[#This Row],[COD_2_SAIDA]],TAB_ESTOQUE[[Codigo]:[Endereço2]],12,FALSE)</f>
        <v>B1103</v>
      </c>
      <c r="E1244" s="81">
        <f>SUM(TAB_SAIDA[[#This Row],[20/05/2019]:[00/00/00]])</f>
        <v>0</v>
      </c>
      <c r="F1244" s="3"/>
      <c r="BH1244" s="3"/>
    </row>
    <row r="1245" spans="1:60" ht="15" hidden="1" customHeight="1" x14ac:dyDescent="0.25">
      <c r="A1245" s="5" t="s">
        <v>6791</v>
      </c>
      <c r="B1245" s="15" t="str">
        <f>VLOOKUP(TAB_SAIDA[[#This Row],[COD_2_SAIDA]],TAB_ESTOQUE[[Codigo]:[Descrição Tecnica]],6,FALSE)</f>
        <v xml:space="preserve">QUADRO DE COMANDO DE SOBREPOR CBCHP 460-5/22 </v>
      </c>
      <c r="C1245" s="15">
        <f>IFERROR(VLOOKUP(TAB_SAIDA[[#This Row],[COD_2_SAIDA]],TAB_ESTOQUE[[Codigo]:[Referência Tec]],7,FALSE),"")</f>
        <v>0</v>
      </c>
      <c r="D1245" s="15" t="str">
        <f>VLOOKUP(TAB_SAIDA[[#This Row],[COD_2_SAIDA]],TAB_ESTOQUE[[Codigo]:[Endereço2]],12,FALSE)</f>
        <v>A1301</v>
      </c>
      <c r="E1245" s="81">
        <f>SUM(TAB_SAIDA[[#This Row],[20/05/2019]:[00/00/00]])</f>
        <v>0</v>
      </c>
      <c r="F1245" s="3"/>
      <c r="BH1245" s="3"/>
    </row>
    <row r="1246" spans="1:60" ht="15" hidden="1" customHeight="1" x14ac:dyDescent="0.25">
      <c r="A1246" s="5" t="s">
        <v>6792</v>
      </c>
      <c r="B1246" s="15" t="str">
        <f>VLOOKUP(TAB_SAIDA[[#This Row],[COD_2_SAIDA]],TAB_ESTOQUE[[Codigo]:[Descrição Tecnica]],6,FALSE)</f>
        <v>BUCHA CENTRALIZADORA NORELEM- REF. 03154-235040 / COD. RAT 64436</v>
      </c>
      <c r="C1246" s="15">
        <f>IFERROR(VLOOKUP(TAB_SAIDA[[#This Row],[COD_2_SAIDA]],TAB_ESTOQUE[[Codigo]:[Referência Tec]],7,FALSE),"")</f>
        <v>0</v>
      </c>
      <c r="D1246" s="15" t="str">
        <f>VLOOKUP(TAB_SAIDA[[#This Row],[COD_2_SAIDA]],TAB_ESTOQUE[[Codigo]:[Endereço2]],12,FALSE)</f>
        <v>E1304</v>
      </c>
      <c r="E1246" s="81">
        <f>SUM(TAB_SAIDA[[#This Row],[20/05/2019]:[00/00/00]])</f>
        <v>0</v>
      </c>
      <c r="F1246" s="3"/>
      <c r="BH1246" s="3"/>
    </row>
    <row r="1247" spans="1:60" ht="15" hidden="1" customHeight="1" x14ac:dyDescent="0.25">
      <c r="A1247" s="5" t="s">
        <v>6793</v>
      </c>
      <c r="B1247" s="15" t="str">
        <f>VLOOKUP(TAB_SAIDA[[#This Row],[COD_2_SAIDA]],TAB_ESTOQUE[[Codigo]:[Descrição Tecnica]],6,FALSE)</f>
        <v>BUCHA  RCK70 40X65</v>
      </c>
      <c r="C1247" s="15">
        <f>IFERROR(VLOOKUP(TAB_SAIDA[[#This Row],[COD_2_SAIDA]],TAB_ESTOQUE[[Codigo]:[Referência Tec]],7,FALSE),"")</f>
        <v>0</v>
      </c>
      <c r="D1247" s="15" t="str">
        <f>VLOOKUP(TAB_SAIDA[[#This Row],[COD_2_SAIDA]],TAB_ESTOQUE[[Codigo]:[Endereço2]],12,FALSE)</f>
        <v>D1106</v>
      </c>
      <c r="E1247" s="81">
        <f>SUM(TAB_SAIDA[[#This Row],[20/05/2019]:[00/00/00]])</f>
        <v>0</v>
      </c>
      <c r="F1247" s="3"/>
      <c r="BH1247" s="3"/>
    </row>
    <row r="1248" spans="1:60" ht="15" hidden="1" customHeight="1" x14ac:dyDescent="0.25">
      <c r="A1248" s="5" t="s">
        <v>6794</v>
      </c>
      <c r="B1248" s="15" t="str">
        <f>VLOOKUP(TAB_SAIDA[[#This Row],[COD_2_SAIDA]],TAB_ESTOQUE[[Codigo]:[Descrição Tecnica]],6,FALSE)</f>
        <v>BUCHA CENTRALIZADORA NORELEM- REF.03154-235020 / COD. RAT 64340</v>
      </c>
      <c r="C1248" s="15">
        <f>IFERROR(VLOOKUP(TAB_SAIDA[[#This Row],[COD_2_SAIDA]],TAB_ESTOQUE[[Codigo]:[Referência Tec]],7,FALSE),"")</f>
        <v>0</v>
      </c>
      <c r="D1248" s="15" t="str">
        <f>VLOOKUP(TAB_SAIDA[[#This Row],[COD_2_SAIDA]],TAB_ESTOQUE[[Codigo]:[Endereço2]],12,FALSE)</f>
        <v>D1304</v>
      </c>
      <c r="E1248" s="81">
        <f>SUM(TAB_SAIDA[[#This Row],[20/05/2019]:[00/00/00]])</f>
        <v>0</v>
      </c>
      <c r="F1248" s="3"/>
      <c r="BH1248" s="3"/>
    </row>
    <row r="1249" spans="1:631" ht="15" hidden="1" customHeight="1" x14ac:dyDescent="0.25">
      <c r="A1249" s="5" t="s">
        <v>6797</v>
      </c>
      <c r="B1249" s="15" t="str">
        <f>VLOOKUP(TAB_SAIDA[[#This Row],[COD_2_SAIDA]],TAB_ESTOQUE[[Codigo]:[Descrição Tecnica]],6,FALSE)</f>
        <v>BUCHA CENTRALIZADORA NORELEM- REF.03154-235040 / COD. RAT 64436</v>
      </c>
      <c r="C1249" s="15">
        <f>IFERROR(VLOOKUP(TAB_SAIDA[[#This Row],[COD_2_SAIDA]],TAB_ESTOQUE[[Codigo]:[Referência Tec]],7,FALSE),"")</f>
        <v>0</v>
      </c>
      <c r="D1249" s="15" t="str">
        <f>VLOOKUP(TAB_SAIDA[[#This Row],[COD_2_SAIDA]],TAB_ESTOQUE[[Codigo]:[Endereço2]],12,FALSE)</f>
        <v>D1304</v>
      </c>
      <c r="E1249" s="81">
        <f>SUM(TAB_SAIDA[[#This Row],[20/05/2019]:[00/00/00]])</f>
        <v>0</v>
      </c>
      <c r="F1249" s="3"/>
      <c r="BH1249" s="3"/>
    </row>
    <row r="1250" spans="1:631" ht="15" hidden="1" customHeight="1" x14ac:dyDescent="0.25">
      <c r="A1250" s="5" t="s">
        <v>6798</v>
      </c>
      <c r="B1250" s="15" t="str">
        <f>VLOOKUP(TAB_SAIDA[[#This Row],[COD_2_SAIDA]],TAB_ESTOQUE[[Codigo]:[Descrição Tecnica]],6,FALSE)</f>
        <v>TRAVA QUEDA 38X52Kg</v>
      </c>
      <c r="C1250" s="15">
        <f>IFERROR(VLOOKUP(TAB_SAIDA[[#This Row],[COD_2_SAIDA]],TAB_ESTOQUE[[Codigo]:[Referência Tec]],7,FALSE),"")</f>
        <v>0</v>
      </c>
      <c r="D1250" s="15" t="str">
        <f>VLOOKUP(TAB_SAIDA[[#This Row],[COD_2_SAIDA]],TAB_ESTOQUE[[Codigo]:[Endereço2]],12,FALSE)</f>
        <v>F1205</v>
      </c>
      <c r="E1250" s="81">
        <f>SUM(TAB_SAIDA[[#This Row],[20/05/2019]:[00/00/00]])</f>
        <v>0</v>
      </c>
      <c r="F1250" s="3"/>
      <c r="BH1250" s="3"/>
    </row>
    <row r="1251" spans="1:631" ht="15" hidden="1" customHeight="1" x14ac:dyDescent="0.25">
      <c r="A1251" s="5" t="s">
        <v>6799</v>
      </c>
      <c r="B1251" s="15" t="str">
        <f>VLOOKUP(TAB_SAIDA[[#This Row],[COD_2_SAIDA]],TAB_ESTOQUE[[Codigo]:[Descrição Tecnica]],6,FALSE)</f>
        <v>MANGUEIRA FLEXÍVEL CORRUGADA TIPO VÁCUO-AR 1.1/2" AZUL</v>
      </c>
      <c r="C1251" s="15">
        <f>IFERROR(VLOOKUP(TAB_SAIDA[[#This Row],[COD_2_SAIDA]],TAB_ESTOQUE[[Codigo]:[Referência Tec]],7,FALSE),"")</f>
        <v>0</v>
      </c>
      <c r="D1251" s="15" t="str">
        <f>VLOOKUP(TAB_SAIDA[[#This Row],[COD_2_SAIDA]],TAB_ESTOQUE[[Codigo]:[Endereço2]],12,FALSE)</f>
        <v>S504</v>
      </c>
      <c r="E1251" s="81">
        <f>SUM(TAB_SAIDA[[#This Row],[20/05/2019]:[00/00/00]])</f>
        <v>0</v>
      </c>
      <c r="F1251" s="3"/>
      <c r="BH1251" s="3"/>
    </row>
    <row r="1252" spans="1:631" ht="15" hidden="1" customHeight="1" x14ac:dyDescent="0.25">
      <c r="A1252" s="5" t="s">
        <v>6800</v>
      </c>
      <c r="B1252" s="15" t="str">
        <f>VLOOKUP(TAB_SAIDA[[#This Row],[COD_2_SAIDA]],TAB_ESTOQUE[[Codigo]:[Descrição Tecnica]],6,FALSE)</f>
        <v>MANGUEIRA FLEXÍVEL CORRUGADA TIPO VÁCUO-AR 1" AZUL</v>
      </c>
      <c r="C1252" s="15">
        <f>IFERROR(VLOOKUP(TAB_SAIDA[[#This Row],[COD_2_SAIDA]],TAB_ESTOQUE[[Codigo]:[Referência Tec]],7,FALSE),"")</f>
        <v>0</v>
      </c>
      <c r="D1252" s="15" t="str">
        <f>VLOOKUP(TAB_SAIDA[[#This Row],[COD_2_SAIDA]],TAB_ESTOQUE[[Codigo]:[Endereço2]],12,FALSE)</f>
        <v>S504</v>
      </c>
      <c r="E1252" s="81">
        <f>SUM(TAB_SAIDA[[#This Row],[20/05/2019]:[00/00/00]])</f>
        <v>0</v>
      </c>
      <c r="F1252" s="3"/>
      <c r="BH1252" s="3"/>
    </row>
    <row r="1253" spans="1:631" ht="15" hidden="1" customHeight="1" x14ac:dyDescent="0.25">
      <c r="A1253" s="5" t="s">
        <v>6801</v>
      </c>
      <c r="B1253" s="15" t="str">
        <f>VLOOKUP(TAB_SAIDA[[#This Row],[COD_2_SAIDA]],TAB_ESTOQUE[[Codigo]:[Descrição Tecnica]],6,FALSE)</f>
        <v>ESPELHO EMOLDURADO C/ SUPORTE 1770mm PARA CORTINA DE LUZ</v>
      </c>
      <c r="C1253" s="15">
        <f>IFERROR(VLOOKUP(TAB_SAIDA[[#This Row],[COD_2_SAIDA]],TAB_ESTOQUE[[Codigo]:[Referência Tec]],7,FALSE),"")</f>
        <v>0</v>
      </c>
      <c r="D1253" s="15" t="str">
        <f>VLOOKUP(TAB_SAIDA[[#This Row],[COD_2_SAIDA]],TAB_ESTOQUE[[Codigo]:[Endereço2]],12,FALSE)</f>
        <v>B1101</v>
      </c>
      <c r="E1253" s="81">
        <f>SUM(TAB_SAIDA[[#This Row],[20/05/2019]:[00/00/00]])</f>
        <v>0</v>
      </c>
      <c r="F1253" s="3"/>
      <c r="BH1253" s="3"/>
    </row>
    <row r="1254" spans="1:631" ht="15" hidden="1" customHeight="1" x14ac:dyDescent="0.25">
      <c r="A1254" s="5" t="s">
        <v>6802</v>
      </c>
      <c r="B1254" s="15" t="str">
        <f>VLOOKUP(TAB_SAIDA[[#This Row],[COD_2_SAIDA]],TAB_ESTOQUE[[Codigo]:[Descrição Tecnica]],6,FALSE)</f>
        <v>TRILHO PARA REGUA DE BORNE</v>
      </c>
      <c r="C1254" s="15">
        <f>IFERROR(VLOOKUP(TAB_SAIDA[[#This Row],[COD_2_SAIDA]],TAB_ESTOQUE[[Codigo]:[Referência Tec]],7,FALSE),"")</f>
        <v>0</v>
      </c>
      <c r="D1254" s="15" t="str">
        <f>VLOOKUP(TAB_SAIDA[[#This Row],[COD_2_SAIDA]],TAB_ESTOQUE[[Codigo]:[Endereço2]],12,FALSE)</f>
        <v>B2302</v>
      </c>
      <c r="E1254" s="81">
        <f>SUM(TAB_SAIDA[[#This Row],[20/05/2019]:[00/00/00]])</f>
        <v>0</v>
      </c>
      <c r="F1254" s="3"/>
      <c r="BH1254" s="3"/>
    </row>
    <row r="1255" spans="1:631" ht="15" hidden="1" customHeight="1" x14ac:dyDescent="0.25">
      <c r="A1255" s="5" t="s">
        <v>6803</v>
      </c>
      <c r="B1255" s="15" t="str">
        <f>VLOOKUP(TAB_SAIDA[[#This Row],[COD_2_SAIDA]],TAB_ESTOQUE[[Codigo]:[Descrição Tecnica]],6,FALSE)</f>
        <v>BLOCO DE VÁLVULA G1/8 FESTO - REF. PRS-3/8-2-B / COD. 30682</v>
      </c>
      <c r="C1255" s="15">
        <f>IFERROR(VLOOKUP(TAB_SAIDA[[#This Row],[COD_2_SAIDA]],TAB_ESTOQUE[[Codigo]:[Referência Tec]],7,FALSE),"")</f>
        <v>0</v>
      </c>
      <c r="D1255" s="15" t="str">
        <f>VLOOKUP(TAB_SAIDA[[#This Row],[COD_2_SAIDA]],TAB_ESTOQUE[[Codigo]:[Endereço2]],12,FALSE)</f>
        <v>G1103</v>
      </c>
      <c r="E1255" s="81">
        <f>SUM(TAB_SAIDA[[#This Row],[20/05/2019]:[00/00/00]])</f>
        <v>0</v>
      </c>
      <c r="F1255" s="3"/>
      <c r="BH1255" s="3"/>
    </row>
    <row r="1256" spans="1:631" ht="15" hidden="1" customHeight="1" x14ac:dyDescent="0.25">
      <c r="A1256" s="5" t="s">
        <v>6804</v>
      </c>
      <c r="B1256" s="15" t="str">
        <f>VLOOKUP(TAB_SAIDA[[#This Row],[COD_2_SAIDA]],TAB_ESTOQUE[[Codigo]:[Descrição Tecnica]],6,FALSE)</f>
        <v>VÁLVULA DE RETENÇÃO PILOTADA ROSCA G1/2 TUBO 12MM FESTO - REF. HGL-1/2-QS-12 / COD. 530045</v>
      </c>
      <c r="C1256" s="15">
        <f>IFERROR(VLOOKUP(TAB_SAIDA[[#This Row],[COD_2_SAIDA]],TAB_ESTOQUE[[Codigo]:[Referência Tec]],7,FALSE),"")</f>
        <v>0</v>
      </c>
      <c r="D1256" s="15" t="str">
        <f>VLOOKUP(TAB_SAIDA[[#This Row],[COD_2_SAIDA]],TAB_ESTOQUE[[Codigo]:[Endereço2]],12,FALSE)</f>
        <v>G1105</v>
      </c>
      <c r="E1256" s="81">
        <f>SUM(TAB_SAIDA[[#This Row],[20/05/2019]:[00/00/00]])</f>
        <v>0</v>
      </c>
      <c r="F1256" s="3"/>
      <c r="BH1256" s="3"/>
    </row>
    <row r="1257" spans="1:631" ht="15" hidden="1" customHeight="1" x14ac:dyDescent="0.25">
      <c r="A1257" s="5" t="s">
        <v>6805</v>
      </c>
      <c r="B1257" s="15" t="str">
        <f>VLOOKUP(TAB_SAIDA[[#This Row],[COD_2_SAIDA]],TAB_ESTOQUE[[Codigo]:[Descrição Tecnica]],6,FALSE)</f>
        <v>REDUÇÃO LUVA  25 X ROSCA 3/4"</v>
      </c>
      <c r="C1257" s="15">
        <f>IFERROR(VLOOKUP(TAB_SAIDA[[#This Row],[COD_2_SAIDA]],TAB_ESTOQUE[[Codigo]:[Referência Tec]],7,FALSE),"")</f>
        <v>0</v>
      </c>
      <c r="D1257" s="15" t="str">
        <f>VLOOKUP(TAB_SAIDA[[#This Row],[COD_2_SAIDA]],TAB_ESTOQUE[[Codigo]:[Endereço2]],12,FALSE)</f>
        <v>D1403</v>
      </c>
      <c r="E1257" s="81">
        <f>SUM(TAB_SAIDA[[#This Row],[20/05/2019]:[00/00/00]])</f>
        <v>0</v>
      </c>
      <c r="F1257" s="3"/>
      <c r="BH1257" s="3"/>
    </row>
    <row r="1258" spans="1:631" ht="15" hidden="1" customHeight="1" x14ac:dyDescent="0.25">
      <c r="A1258" s="5" t="s">
        <v>6806</v>
      </c>
      <c r="B1258" s="15" t="str">
        <f>VLOOKUP(TAB_SAIDA[[#This Row],[COD_2_SAIDA]],TAB_ESTOQUE[[Codigo]:[Descrição Tecnica]],6,FALSE)</f>
        <v>MOTOR ELÉTRICO TRIFÁSICO PARA BOMBA WP 601, 5052146, 460V, 60HZ, 0,5 KW, 1.1A, 3380 RPM, Q 60L/min, MODELO: TM-601-110.0005, REF: 5052146</v>
      </c>
      <c r="C1258" s="15">
        <f>IFERROR(VLOOKUP(TAB_SAIDA[[#This Row],[COD_2_SAIDA]],TAB_ESTOQUE[[Codigo]:[Referência Tec]],7,FALSE),"")</f>
        <v>0</v>
      </c>
      <c r="D1258" s="15" t="str">
        <f>VLOOKUP(TAB_SAIDA[[#This Row],[COD_2_SAIDA]],TAB_ESTOQUE[[Codigo]:[Endereço2]],12,FALSE)</f>
        <v>PISO 01</v>
      </c>
      <c r="E1258" s="81">
        <f>SUM(TAB_SAIDA[[#This Row],[20/05/2019]:[00/00/00]])</f>
        <v>0</v>
      </c>
      <c r="F1258" s="3"/>
      <c r="BH1258" s="3"/>
    </row>
    <row r="1259" spans="1:631" ht="15" hidden="1" customHeight="1" x14ac:dyDescent="0.25">
      <c r="A1259" s="5" t="s">
        <v>6807</v>
      </c>
      <c r="B1259" s="15" t="str">
        <f>VLOOKUP(TAB_SAIDA[[#This Row],[COD_2_SAIDA]],TAB_ESTOQUE[[Codigo]:[Descrição Tecnica]],6,FALSE)</f>
        <v>RESISTÊNCIA 9KW,  MARCA: GWK - (380V/50/60Hz) - REF: 9051046</v>
      </c>
      <c r="C1259" s="15">
        <f>IFERROR(VLOOKUP(TAB_SAIDA[[#This Row],[COD_2_SAIDA]],TAB_ESTOQUE[[Codigo]:[Referência Tec]],7,FALSE),"")</f>
        <v>0</v>
      </c>
      <c r="D1259" s="15" t="str">
        <f>VLOOKUP(TAB_SAIDA[[#This Row],[COD_2_SAIDA]],TAB_ESTOQUE[[Codigo]:[Endereço2]],12,FALSE)</f>
        <v>A1306</v>
      </c>
      <c r="E1259" s="81">
        <f>SUM(TAB_SAIDA[[#This Row],[20/05/2019]:[00/00/00]])</f>
        <v>0</v>
      </c>
      <c r="F1259" s="3"/>
      <c r="BH1259" s="3"/>
    </row>
    <row r="1260" spans="1:631" ht="15" hidden="1" customHeight="1" x14ac:dyDescent="0.25">
      <c r="A1260" s="5" t="s">
        <v>6808</v>
      </c>
      <c r="B1260" s="15" t="str">
        <f>VLOOKUP(TAB_SAIDA[[#This Row],[COD_2_SAIDA]],TAB_ESTOQUE[[Codigo]:[Descrição Tecnica]],6,FALSE)</f>
        <v>CORDAO DE BORRACHA 2MM</v>
      </c>
      <c r="C1260" s="15">
        <f>IFERROR(VLOOKUP(TAB_SAIDA[[#This Row],[COD_2_SAIDA]],TAB_ESTOQUE[[Codigo]:[Referência Tec]],7,FALSE),"")</f>
        <v>0</v>
      </c>
      <c r="D1260" s="15" t="str">
        <f>VLOOKUP(TAB_SAIDA[[#This Row],[COD_2_SAIDA]],TAB_ESTOQUE[[Codigo]:[Endereço2]],12,FALSE)</f>
        <v>E1306</v>
      </c>
      <c r="E1260" s="81">
        <f>SUM(TAB_SAIDA[[#This Row],[20/05/2019]:[00/00/00]])</f>
        <v>0</v>
      </c>
      <c r="F1260" s="3"/>
      <c r="BH1260" s="3"/>
    </row>
    <row r="1261" spans="1:631" ht="15" hidden="1" customHeight="1" x14ac:dyDescent="0.25">
      <c r="A1261" s="5" t="s">
        <v>6809</v>
      </c>
      <c r="B1261" s="15" t="str">
        <f>VLOOKUP(TAB_SAIDA[[#This Row],[COD_2_SAIDA]],TAB_ESTOQUE[[Codigo]:[Descrição Tecnica]],6,FALSE)</f>
        <v>SERPENTINA DE REFRIGERAÇÃO - REF: 0332243</v>
      </c>
      <c r="C1261" s="15">
        <f>IFERROR(VLOOKUP(TAB_SAIDA[[#This Row],[COD_2_SAIDA]],TAB_ESTOQUE[[Codigo]:[Referência Tec]],7,FALSE),"")</f>
        <v>0</v>
      </c>
      <c r="D1261" s="15" t="str">
        <f>VLOOKUP(TAB_SAIDA[[#This Row],[COD_2_SAIDA]],TAB_ESTOQUE[[Codigo]:[Endereço2]],12,FALSE)</f>
        <v>CORREDOR 6</v>
      </c>
      <c r="E1261" s="81">
        <f>SUM(TAB_SAIDA[[#This Row],[20/05/2019]:[00/00/00]])</f>
        <v>0</v>
      </c>
      <c r="F1261" s="3"/>
      <c r="BH1261" s="3"/>
    </row>
    <row r="1262" spans="1:631" ht="15" hidden="1" customHeight="1" x14ac:dyDescent="0.25">
      <c r="A1262" s="5" t="s">
        <v>6810</v>
      </c>
      <c r="B1262" s="15" t="str">
        <f>VLOOKUP(TAB_SAIDA[[#This Row],[COD_2_SAIDA]],TAB_ESTOQUE[[Codigo]:[Descrição Tecnica]],6,FALSE)</f>
        <v>CORDAO DE BORRACHA 8MM</v>
      </c>
      <c r="C1262" s="15">
        <f>IFERROR(VLOOKUP(TAB_SAIDA[[#This Row],[COD_2_SAIDA]],TAB_ESTOQUE[[Codigo]:[Referência Tec]],7,FALSE),"")</f>
        <v>0</v>
      </c>
      <c r="D1262" s="15" t="str">
        <f>VLOOKUP(TAB_SAIDA[[#This Row],[COD_2_SAIDA]],TAB_ESTOQUE[[Codigo]:[Endereço2]],12,FALSE)</f>
        <v>E1306</v>
      </c>
      <c r="E1262" s="81">
        <f>SUM(TAB_SAIDA[[#This Row],[20/05/2019]:[00/00/00]])</f>
        <v>0</v>
      </c>
      <c r="F1262" s="3"/>
      <c r="BH1262" s="3"/>
    </row>
    <row r="1263" spans="1:631" s="186" customFormat="1" ht="15" hidden="1" customHeight="1" x14ac:dyDescent="0.25">
      <c r="A1263" s="194" t="s">
        <v>6811</v>
      </c>
      <c r="B1263" s="200" t="str">
        <f>VLOOKUP(TAB_SAIDA[[#This Row],[COD_2_SAIDA]],TAB_ESTOQUE[[Codigo]:[Descrição Tecnica]],6,FALSE)</f>
        <v xml:space="preserve">CONTATOR DE POTÊNCIA DOS RELES , MARCA: SCHNEIDER, MODELO: LC1D12,REF: 9121027
</v>
      </c>
      <c r="C1263" s="200">
        <f>IFERROR(VLOOKUP(TAB_SAIDA[[#This Row],[COD_2_SAIDA]],TAB_ESTOQUE[[Codigo]:[Referência Tec]],7,FALSE),"")</f>
        <v>0</v>
      </c>
      <c r="D1263" s="200" t="str">
        <f>VLOOKUP(TAB_SAIDA[[#This Row],[COD_2_SAIDA]],TAB_ESTOQUE[[Codigo]:[Endereço2]],12,FALSE)</f>
        <v>A1303</v>
      </c>
      <c r="E1263" s="196">
        <f>SUM(TAB_SAIDA[[#This Row],[20/05/2019]:[00/00/00]])</f>
        <v>0</v>
      </c>
      <c r="F1263" s="197"/>
      <c r="G1263" s="197"/>
      <c r="H1263" s="197"/>
      <c r="I1263" s="197"/>
      <c r="J1263" s="197"/>
      <c r="K1263" s="197"/>
      <c r="L1263" s="197"/>
      <c r="M1263" s="197"/>
      <c r="N1263" s="197"/>
      <c r="O1263" s="197"/>
      <c r="P1263" s="197"/>
      <c r="Q1263" s="197"/>
      <c r="R1263" s="197"/>
      <c r="S1263" s="197"/>
      <c r="T1263" s="197"/>
      <c r="U1263" s="197"/>
      <c r="V1263" s="197"/>
      <c r="W1263" s="197"/>
      <c r="X1263" s="197"/>
      <c r="Y1263" s="197"/>
      <c r="Z1263" s="197"/>
      <c r="AA1263" s="197"/>
      <c r="AB1263" s="197"/>
      <c r="AC1263" s="197"/>
      <c r="AD1263" s="197"/>
      <c r="AE1263" s="197"/>
      <c r="AF1263" s="197"/>
      <c r="AG1263" s="197"/>
      <c r="AH1263" s="197"/>
      <c r="AI1263" s="197"/>
      <c r="AJ1263" s="197"/>
      <c r="AK1263" s="197"/>
      <c r="AL1263" s="197"/>
      <c r="AM1263" s="197"/>
      <c r="AN1263" s="197"/>
      <c r="AO1263" s="197"/>
      <c r="AP1263" s="197"/>
      <c r="AQ1263" s="197"/>
      <c r="AR1263" s="197"/>
      <c r="AS1263" s="197"/>
      <c r="AT1263" s="197"/>
      <c r="AU1263" s="197"/>
      <c r="AV1263" s="197"/>
      <c r="AW1263" s="197"/>
      <c r="AX1263" s="197"/>
      <c r="AY1263" s="197"/>
      <c r="AZ1263" s="197"/>
      <c r="BA1263" s="197"/>
      <c r="BB1263" s="197"/>
      <c r="BC1263" s="197"/>
      <c r="BD1263" s="197"/>
      <c r="BE1263" s="197"/>
      <c r="BF1263" s="197"/>
      <c r="BG1263" s="197"/>
      <c r="BH1263" s="197"/>
      <c r="BI1263" s="197"/>
      <c r="BJ1263" s="197"/>
      <c r="BK1263" s="197"/>
      <c r="BL1263" s="197"/>
      <c r="BM1263" s="197"/>
      <c r="BN1263" s="197"/>
      <c r="BO1263" s="197"/>
      <c r="BP1263" s="197"/>
      <c r="BQ1263" s="197"/>
      <c r="BR1263" s="197"/>
      <c r="BS1263" s="197"/>
      <c r="BT1263" s="197"/>
      <c r="BU1263" s="197"/>
      <c r="BV1263" s="197"/>
      <c r="BW1263" s="197"/>
      <c r="BX1263" s="197"/>
      <c r="BY1263" s="197"/>
      <c r="BZ1263" s="197"/>
      <c r="CA1263" s="197"/>
      <c r="CB1263" s="197"/>
      <c r="CC1263" s="197"/>
      <c r="CD1263" s="197"/>
      <c r="CE1263" s="197"/>
      <c r="CF1263" s="197"/>
      <c r="CG1263" s="197"/>
      <c r="CH1263" s="197"/>
      <c r="CI1263" s="197"/>
      <c r="CJ1263" s="197"/>
      <c r="CK1263" s="197"/>
      <c r="CL1263" s="197"/>
      <c r="CM1263" s="197"/>
      <c r="CN1263" s="197"/>
      <c r="CO1263" s="197"/>
      <c r="CP1263" s="197"/>
      <c r="CQ1263" s="197"/>
      <c r="CR1263" s="197"/>
      <c r="CS1263" s="197"/>
      <c r="CT1263" s="197"/>
      <c r="CU1263" s="197"/>
      <c r="CV1263" s="197"/>
      <c r="CW1263" s="197"/>
      <c r="CX1263" s="197"/>
      <c r="CY1263" s="197"/>
      <c r="CZ1263" s="197"/>
      <c r="DA1263" s="197"/>
      <c r="DB1263" s="197"/>
      <c r="DC1263" s="197"/>
      <c r="DD1263" s="197"/>
      <c r="DE1263" s="197"/>
      <c r="DF1263" s="197"/>
      <c r="DG1263" s="197"/>
      <c r="DH1263" s="197"/>
      <c r="DI1263" s="197"/>
      <c r="DJ1263" s="197"/>
      <c r="DK1263" s="197"/>
      <c r="DL1263" s="197"/>
      <c r="DM1263" s="197"/>
      <c r="DN1263" s="197"/>
      <c r="DO1263" s="197"/>
      <c r="DP1263" s="197"/>
      <c r="DQ1263" s="197"/>
      <c r="DR1263" s="197"/>
      <c r="DS1263" s="197"/>
      <c r="DT1263" s="197"/>
      <c r="DU1263" s="197"/>
      <c r="DV1263" s="197"/>
      <c r="DW1263" s="197"/>
      <c r="DX1263" s="197"/>
      <c r="DY1263" s="197"/>
      <c r="DZ1263" s="197"/>
      <c r="EA1263" s="197"/>
      <c r="EB1263" s="197"/>
      <c r="EC1263" s="197"/>
      <c r="ED1263" s="197"/>
      <c r="EE1263" s="197"/>
      <c r="EF1263" s="197"/>
      <c r="EG1263" s="197"/>
      <c r="EH1263" s="197"/>
      <c r="EI1263" s="197"/>
      <c r="EJ1263" s="197"/>
      <c r="EK1263" s="197"/>
      <c r="EL1263" s="197"/>
      <c r="EM1263" s="197"/>
      <c r="EN1263" s="197"/>
      <c r="EO1263" s="197"/>
      <c r="EP1263" s="197"/>
      <c r="EQ1263" s="197"/>
      <c r="ER1263" s="197"/>
      <c r="ES1263" s="197"/>
      <c r="ET1263" s="197"/>
      <c r="EU1263" s="197"/>
      <c r="EV1263" s="197"/>
      <c r="EW1263" s="197"/>
      <c r="EX1263" s="197"/>
      <c r="EY1263" s="197"/>
      <c r="EZ1263" s="197"/>
      <c r="FA1263" s="197"/>
      <c r="FB1263" s="197"/>
      <c r="FC1263" s="197"/>
      <c r="FD1263" s="197"/>
      <c r="FE1263" s="197"/>
      <c r="FF1263" s="197"/>
      <c r="FG1263" s="197"/>
      <c r="FH1263" s="197"/>
      <c r="FI1263" s="197"/>
      <c r="FJ1263" s="197"/>
      <c r="FK1263" s="197"/>
      <c r="FL1263" s="197"/>
      <c r="FM1263" s="197"/>
      <c r="FN1263" s="197"/>
      <c r="FO1263" s="197"/>
      <c r="FP1263" s="197"/>
      <c r="FQ1263" s="197"/>
      <c r="FR1263" s="197"/>
      <c r="FS1263" s="197"/>
      <c r="FT1263" s="197"/>
      <c r="FU1263" s="197"/>
      <c r="FV1263" s="197"/>
      <c r="FW1263" s="197"/>
      <c r="FX1263" s="197"/>
      <c r="FY1263" s="197"/>
      <c r="FZ1263" s="197"/>
      <c r="GA1263" s="197"/>
      <c r="GB1263" s="197"/>
      <c r="GC1263" s="197"/>
      <c r="GD1263" s="197"/>
      <c r="GE1263" s="197"/>
      <c r="GF1263" s="197"/>
      <c r="GG1263" s="197"/>
      <c r="GH1263" s="197"/>
      <c r="GI1263" s="197"/>
      <c r="GJ1263" s="197"/>
      <c r="GK1263" s="197"/>
      <c r="GL1263" s="197"/>
      <c r="GM1263" s="197"/>
      <c r="GN1263" s="197"/>
      <c r="GO1263" s="197"/>
      <c r="GP1263" s="197"/>
      <c r="GQ1263" s="197"/>
      <c r="GR1263" s="197"/>
      <c r="GS1263" s="197"/>
      <c r="GT1263" s="197"/>
      <c r="GU1263" s="197"/>
      <c r="GV1263" s="197"/>
      <c r="GW1263" s="197"/>
      <c r="GX1263" s="197"/>
      <c r="GY1263" s="197"/>
      <c r="GZ1263" s="197"/>
      <c r="HA1263" s="197"/>
      <c r="HB1263" s="197"/>
      <c r="HC1263" s="197"/>
      <c r="HD1263" s="197"/>
      <c r="HE1263" s="197"/>
      <c r="HF1263" s="197"/>
      <c r="HG1263" s="197"/>
      <c r="HH1263" s="197"/>
      <c r="HI1263" s="197"/>
      <c r="HJ1263" s="197"/>
      <c r="HK1263" s="197"/>
      <c r="HL1263" s="197"/>
      <c r="HM1263" s="197"/>
      <c r="HN1263" s="197"/>
      <c r="HO1263" s="197"/>
      <c r="HP1263" s="197"/>
      <c r="HQ1263" s="197"/>
      <c r="HR1263" s="197"/>
      <c r="HS1263" s="197"/>
      <c r="HT1263" s="197"/>
      <c r="HU1263" s="197"/>
      <c r="HV1263" s="197"/>
      <c r="HW1263" s="197"/>
      <c r="HX1263" s="197"/>
      <c r="HY1263" s="197"/>
      <c r="HZ1263" s="197"/>
      <c r="IA1263" s="197"/>
      <c r="IB1263" s="197"/>
      <c r="IC1263" s="197"/>
      <c r="ID1263" s="197"/>
      <c r="IE1263" s="197"/>
      <c r="IF1263" s="197"/>
      <c r="IG1263" s="197"/>
      <c r="IH1263" s="197"/>
      <c r="II1263" s="197"/>
      <c r="IJ1263" s="197"/>
      <c r="IK1263" s="197"/>
      <c r="IL1263" s="197"/>
      <c r="IM1263" s="197"/>
      <c r="IN1263" s="197"/>
      <c r="IO1263" s="197"/>
      <c r="IP1263" s="197"/>
      <c r="IQ1263" s="197"/>
      <c r="IR1263" s="197"/>
      <c r="IS1263" s="197"/>
      <c r="IT1263" s="197"/>
      <c r="IU1263" s="197"/>
      <c r="IV1263" s="197"/>
      <c r="IW1263" s="197"/>
      <c r="IX1263" s="197"/>
      <c r="IY1263" s="197"/>
      <c r="IZ1263" s="197"/>
      <c r="JA1263" s="197"/>
      <c r="JB1263" s="197"/>
      <c r="JC1263" s="197"/>
      <c r="JD1263" s="197"/>
      <c r="JE1263" s="197"/>
      <c r="JF1263" s="197"/>
      <c r="JG1263" s="197"/>
      <c r="JH1263" s="197"/>
      <c r="JI1263" s="197"/>
      <c r="JJ1263" s="197"/>
      <c r="JK1263" s="197"/>
      <c r="JL1263" s="197"/>
      <c r="JM1263" s="197"/>
      <c r="JN1263" s="197"/>
      <c r="JO1263" s="197"/>
      <c r="JP1263" s="197"/>
      <c r="JQ1263" s="197"/>
      <c r="JR1263" s="197"/>
      <c r="JS1263" s="197"/>
      <c r="JT1263" s="197"/>
      <c r="JU1263" s="197"/>
      <c r="JV1263" s="197"/>
      <c r="JW1263" s="197"/>
      <c r="JX1263" s="197"/>
      <c r="JY1263" s="197"/>
      <c r="JZ1263" s="197"/>
      <c r="KA1263" s="197"/>
      <c r="KB1263" s="197"/>
      <c r="KC1263" s="197"/>
      <c r="KD1263" s="197"/>
      <c r="KE1263" s="197"/>
      <c r="KF1263" s="197"/>
      <c r="KG1263" s="197"/>
      <c r="KH1263" s="197"/>
      <c r="KI1263" s="197"/>
      <c r="KJ1263" s="197"/>
      <c r="KK1263" s="197"/>
      <c r="KL1263" s="197"/>
      <c r="KM1263" s="197"/>
      <c r="KN1263" s="197"/>
      <c r="KO1263" s="197"/>
      <c r="KP1263" s="197"/>
      <c r="KQ1263" s="197"/>
      <c r="KR1263" s="197"/>
      <c r="KS1263" s="197"/>
      <c r="KT1263" s="197"/>
      <c r="KU1263" s="197"/>
      <c r="KV1263" s="197"/>
      <c r="KW1263" s="197"/>
      <c r="KX1263" s="197"/>
      <c r="KY1263" s="197"/>
      <c r="KZ1263" s="197"/>
      <c r="LA1263" s="197"/>
      <c r="LB1263" s="197"/>
      <c r="LC1263" s="197"/>
      <c r="LD1263" s="197"/>
      <c r="LE1263" s="197"/>
      <c r="LF1263" s="197"/>
      <c r="LG1263" s="197"/>
      <c r="LH1263" s="197"/>
      <c r="LI1263" s="197"/>
      <c r="LJ1263" s="197"/>
      <c r="LK1263" s="197"/>
      <c r="LL1263" s="197"/>
      <c r="LM1263" s="197"/>
      <c r="LN1263" s="197"/>
      <c r="LO1263" s="197"/>
      <c r="LP1263" s="197"/>
      <c r="LQ1263" s="197"/>
      <c r="LR1263" s="197"/>
      <c r="LS1263" s="197"/>
      <c r="LT1263" s="197"/>
      <c r="LU1263" s="197"/>
      <c r="LV1263" s="197"/>
      <c r="LW1263" s="197"/>
      <c r="LX1263" s="197"/>
      <c r="LY1263" s="197"/>
      <c r="LZ1263" s="197"/>
      <c r="MA1263" s="197"/>
      <c r="MB1263" s="197"/>
      <c r="MC1263" s="197"/>
      <c r="MD1263" s="197"/>
      <c r="ME1263" s="197"/>
      <c r="MF1263" s="197"/>
      <c r="MG1263" s="197"/>
      <c r="MH1263" s="197"/>
      <c r="MI1263" s="197"/>
      <c r="MJ1263" s="197"/>
      <c r="MK1263" s="197"/>
      <c r="ML1263" s="197"/>
      <c r="MM1263" s="197"/>
      <c r="MN1263" s="197"/>
      <c r="MO1263" s="197"/>
      <c r="MP1263" s="197"/>
      <c r="MQ1263" s="197"/>
      <c r="MR1263" s="197"/>
      <c r="MS1263" s="197"/>
      <c r="MT1263" s="197"/>
      <c r="MU1263" s="197"/>
      <c r="MV1263" s="197"/>
      <c r="MW1263" s="197"/>
      <c r="MX1263" s="197"/>
      <c r="MY1263" s="197"/>
      <c r="MZ1263" s="197"/>
      <c r="NA1263" s="197"/>
      <c r="NB1263" s="197"/>
      <c r="NC1263" s="197"/>
      <c r="ND1263" s="197"/>
      <c r="NE1263" s="197"/>
      <c r="NF1263" s="197"/>
      <c r="NG1263" s="197"/>
      <c r="NH1263" s="197"/>
      <c r="NI1263" s="197"/>
      <c r="NJ1263" s="197"/>
      <c r="NK1263" s="197"/>
      <c r="NL1263" s="197"/>
      <c r="NM1263" s="197"/>
      <c r="NN1263" s="197"/>
      <c r="NO1263" s="197"/>
      <c r="NP1263" s="197"/>
      <c r="NQ1263" s="197"/>
      <c r="NR1263" s="197"/>
      <c r="NS1263" s="197"/>
      <c r="NT1263" s="197"/>
      <c r="NU1263" s="197"/>
      <c r="NV1263" s="197"/>
      <c r="NW1263" s="197"/>
      <c r="NX1263" s="197"/>
      <c r="NY1263" s="197"/>
      <c r="NZ1263" s="197"/>
      <c r="OA1263" s="197"/>
      <c r="OB1263" s="197"/>
      <c r="OC1263" s="197"/>
      <c r="OD1263" s="197"/>
      <c r="OE1263" s="197"/>
      <c r="OF1263" s="197"/>
      <c r="OG1263" s="197"/>
      <c r="OH1263" s="197"/>
      <c r="OI1263" s="197"/>
      <c r="OJ1263" s="197"/>
      <c r="OK1263" s="197"/>
      <c r="OL1263" s="197"/>
      <c r="OM1263" s="197"/>
      <c r="ON1263" s="197"/>
      <c r="OO1263" s="197"/>
      <c r="OP1263" s="197"/>
      <c r="OQ1263" s="197"/>
      <c r="OR1263" s="197"/>
      <c r="OS1263" s="197"/>
      <c r="OT1263" s="197"/>
      <c r="OU1263" s="197"/>
      <c r="OV1263" s="197"/>
      <c r="OW1263" s="197"/>
      <c r="OX1263" s="197"/>
      <c r="OY1263" s="197"/>
      <c r="OZ1263" s="197"/>
      <c r="PA1263" s="197"/>
      <c r="PB1263" s="197"/>
      <c r="PC1263" s="197"/>
      <c r="PD1263" s="197"/>
      <c r="PE1263" s="197"/>
      <c r="PF1263" s="197"/>
      <c r="PG1263" s="197"/>
      <c r="PH1263" s="197"/>
      <c r="PI1263" s="197"/>
      <c r="PJ1263" s="197"/>
      <c r="PK1263" s="197"/>
      <c r="PL1263" s="197"/>
      <c r="PM1263" s="197"/>
      <c r="PN1263" s="197"/>
      <c r="PO1263" s="197"/>
      <c r="PP1263" s="197"/>
      <c r="PQ1263" s="197"/>
      <c r="PR1263" s="197"/>
      <c r="PS1263" s="197"/>
      <c r="PT1263" s="197"/>
      <c r="PU1263" s="197"/>
      <c r="PV1263" s="197"/>
      <c r="PW1263" s="197"/>
      <c r="PX1263" s="197"/>
      <c r="PY1263" s="197"/>
      <c r="PZ1263" s="197"/>
      <c r="QA1263" s="197"/>
      <c r="QB1263" s="197"/>
      <c r="QC1263" s="197"/>
      <c r="QD1263" s="197"/>
      <c r="QE1263" s="197"/>
      <c r="QF1263" s="197"/>
      <c r="QG1263" s="197"/>
      <c r="QH1263" s="197"/>
      <c r="QI1263" s="197"/>
      <c r="QJ1263" s="197"/>
      <c r="QK1263" s="197"/>
      <c r="QL1263" s="197"/>
      <c r="QM1263" s="197"/>
      <c r="QN1263" s="197"/>
      <c r="QO1263" s="197"/>
      <c r="QP1263" s="197"/>
      <c r="QQ1263" s="197"/>
      <c r="QR1263" s="197"/>
      <c r="QS1263" s="197"/>
      <c r="QT1263" s="197"/>
      <c r="QU1263" s="197"/>
      <c r="QV1263" s="197"/>
      <c r="QW1263" s="197"/>
      <c r="QX1263" s="197"/>
      <c r="QY1263" s="197"/>
      <c r="QZ1263" s="197"/>
      <c r="RA1263" s="197"/>
      <c r="RB1263" s="197"/>
      <c r="RC1263" s="197"/>
      <c r="RD1263" s="197"/>
      <c r="RE1263" s="197"/>
      <c r="RF1263" s="197"/>
      <c r="RG1263" s="197"/>
      <c r="RH1263" s="197"/>
      <c r="RI1263" s="197"/>
      <c r="RJ1263" s="197"/>
      <c r="RK1263" s="197"/>
      <c r="RL1263" s="197"/>
      <c r="RM1263" s="197"/>
      <c r="RN1263" s="197"/>
      <c r="RO1263" s="197"/>
      <c r="RP1263" s="197"/>
      <c r="RQ1263" s="197"/>
      <c r="RR1263" s="197"/>
      <c r="RS1263" s="197"/>
      <c r="RT1263" s="197"/>
      <c r="RU1263" s="197"/>
      <c r="RV1263" s="197"/>
      <c r="RW1263" s="197"/>
      <c r="RX1263" s="197"/>
      <c r="RY1263" s="197"/>
      <c r="RZ1263" s="197"/>
      <c r="SA1263" s="197"/>
      <c r="SB1263" s="197"/>
      <c r="SC1263" s="197"/>
      <c r="SD1263" s="197"/>
      <c r="SE1263" s="197"/>
      <c r="SF1263" s="197"/>
      <c r="SG1263" s="197"/>
      <c r="SH1263" s="197"/>
      <c r="SI1263" s="197"/>
      <c r="SJ1263" s="197"/>
      <c r="SK1263" s="197"/>
      <c r="SL1263" s="197"/>
      <c r="SM1263" s="197"/>
      <c r="SN1263" s="197"/>
      <c r="SO1263" s="197"/>
      <c r="SP1263" s="197"/>
      <c r="SQ1263" s="197"/>
      <c r="SR1263" s="197"/>
      <c r="SS1263" s="197"/>
      <c r="ST1263" s="197"/>
      <c r="SU1263" s="197"/>
      <c r="SV1263" s="197"/>
      <c r="SW1263" s="197"/>
      <c r="SX1263" s="197"/>
      <c r="SY1263" s="197"/>
      <c r="SZ1263" s="197"/>
      <c r="TA1263" s="197"/>
      <c r="TB1263" s="197"/>
      <c r="TC1263" s="197"/>
      <c r="TD1263" s="197"/>
      <c r="TE1263" s="197"/>
      <c r="TF1263" s="197"/>
      <c r="TG1263" s="197"/>
      <c r="TH1263" s="197"/>
      <c r="TI1263" s="197"/>
      <c r="TJ1263" s="197"/>
      <c r="TK1263" s="197"/>
      <c r="TL1263" s="197"/>
      <c r="TM1263" s="197"/>
      <c r="TN1263" s="197"/>
      <c r="TO1263" s="197"/>
      <c r="TP1263" s="197"/>
      <c r="TQ1263" s="197"/>
      <c r="TR1263" s="197"/>
      <c r="TS1263" s="197"/>
      <c r="TT1263" s="197"/>
      <c r="TU1263" s="197"/>
      <c r="TV1263" s="197"/>
      <c r="TW1263" s="197"/>
      <c r="TX1263" s="197"/>
      <c r="TY1263" s="197"/>
      <c r="TZ1263" s="197"/>
      <c r="UA1263" s="197"/>
      <c r="UB1263" s="197"/>
      <c r="UC1263" s="197"/>
      <c r="UD1263" s="197"/>
      <c r="UE1263" s="197"/>
      <c r="UF1263" s="197"/>
      <c r="UG1263" s="197"/>
      <c r="UH1263" s="197"/>
      <c r="UI1263" s="197"/>
      <c r="UJ1263" s="197"/>
      <c r="UK1263" s="197"/>
      <c r="UL1263" s="197"/>
      <c r="UM1263" s="197"/>
      <c r="UN1263" s="197"/>
      <c r="UO1263" s="197"/>
      <c r="UP1263" s="197"/>
      <c r="UQ1263" s="197"/>
      <c r="UR1263" s="197"/>
      <c r="US1263" s="197"/>
      <c r="UT1263" s="197"/>
      <c r="UU1263" s="197"/>
      <c r="UV1263" s="197"/>
      <c r="UW1263" s="197"/>
      <c r="UX1263" s="197"/>
      <c r="UY1263" s="197"/>
      <c r="UZ1263" s="197"/>
      <c r="VA1263" s="197"/>
      <c r="VB1263" s="197"/>
      <c r="VC1263" s="197"/>
      <c r="VD1263" s="197"/>
      <c r="VE1263" s="197"/>
      <c r="VF1263" s="197"/>
      <c r="VG1263" s="197"/>
      <c r="VH1263" s="197"/>
      <c r="VI1263" s="197"/>
      <c r="VJ1263" s="197"/>
      <c r="VK1263" s="197"/>
      <c r="VL1263" s="197"/>
      <c r="VM1263" s="197"/>
      <c r="VN1263" s="197"/>
      <c r="VO1263" s="197"/>
      <c r="VP1263" s="197"/>
      <c r="VQ1263" s="197"/>
      <c r="VR1263" s="197"/>
      <c r="VS1263" s="197"/>
      <c r="VT1263" s="197"/>
      <c r="VU1263" s="197"/>
      <c r="VV1263" s="197"/>
      <c r="VW1263" s="197"/>
      <c r="VX1263" s="197"/>
      <c r="VY1263" s="197"/>
      <c r="VZ1263" s="197"/>
      <c r="WA1263" s="197"/>
      <c r="WB1263" s="197"/>
      <c r="WC1263" s="197"/>
      <c r="WD1263" s="197"/>
      <c r="WE1263" s="197"/>
      <c r="WF1263" s="197"/>
      <c r="WG1263" s="197"/>
      <c r="WH1263" s="197"/>
      <c r="WI1263" s="197"/>
      <c r="WJ1263" s="197"/>
      <c r="WK1263" s="197"/>
      <c r="WL1263" s="197"/>
      <c r="WM1263" s="197"/>
      <c r="WN1263" s="197"/>
      <c r="WO1263" s="197"/>
      <c r="WP1263" s="197"/>
      <c r="WQ1263" s="197"/>
      <c r="WR1263" s="197"/>
      <c r="WS1263" s="197"/>
      <c r="WT1263" s="197"/>
      <c r="WU1263" s="197"/>
      <c r="WV1263" s="197"/>
      <c r="WW1263" s="197"/>
      <c r="WX1263" s="197"/>
      <c r="WY1263" s="197"/>
      <c r="WZ1263" s="197"/>
      <c r="XA1263" s="197"/>
      <c r="XB1263" s="197"/>
      <c r="XC1263" s="197"/>
      <c r="XD1263" s="197"/>
      <c r="XE1263" s="197"/>
      <c r="XF1263" s="197"/>
      <c r="XG1263" s="197"/>
    </row>
    <row r="1264" spans="1:631" ht="15" hidden="1" customHeight="1" x14ac:dyDescent="0.25">
      <c r="A1264" s="5" t="s">
        <v>6812</v>
      </c>
      <c r="B1264" s="15" t="str">
        <f>VLOOKUP(TAB_SAIDA[[#This Row],[COD_2_SAIDA]],TAB_ESTOQUE[[Codigo]:[Descrição Tecnica]],6,FALSE)</f>
        <v>CHAVE GERAL,MODELO: 1132/N3/7ZM/Z10/20/PE 34W - REF : 9150843</v>
      </c>
      <c r="C1264" s="15">
        <f>IFERROR(VLOOKUP(TAB_SAIDA[[#This Row],[COD_2_SAIDA]],TAB_ESTOQUE[[Codigo]:[Referência Tec]],7,FALSE),"")</f>
        <v>0</v>
      </c>
      <c r="D1264" s="15" t="str">
        <f>VLOOKUP(TAB_SAIDA[[#This Row],[COD_2_SAIDA]],TAB_ESTOQUE[[Codigo]:[Endereço2]],12,FALSE)</f>
        <v>G1104</v>
      </c>
      <c r="E1264" s="81">
        <f>SUM(TAB_SAIDA[[#This Row],[20/05/2019]:[00/00/00]])</f>
        <v>0</v>
      </c>
      <c r="F1264" s="3"/>
      <c r="BH1264" s="3"/>
    </row>
    <row r="1265" spans="1:631" ht="15" hidden="1" customHeight="1" x14ac:dyDescent="0.25">
      <c r="A1265" s="5" t="s">
        <v>6813</v>
      </c>
      <c r="B1265" s="15" t="str">
        <f>VLOOKUP(TAB_SAIDA[[#This Row],[COD_2_SAIDA]],TAB_ESTOQUE[[Codigo]:[Descrição Tecnica]],6,FALSE)</f>
        <v>TRANSFORMADOR 420/24V ,0.063KVA,  2,6A, 50/60Hz, MARCA: GWK - REF: 9190449</v>
      </c>
      <c r="C1265" s="15">
        <f>IFERROR(VLOOKUP(TAB_SAIDA[[#This Row],[COD_2_SAIDA]],TAB_ESTOQUE[[Codigo]:[Referência Tec]],7,FALSE),"")</f>
        <v>0</v>
      </c>
      <c r="D1265" s="15" t="str">
        <f>VLOOKUP(TAB_SAIDA[[#This Row],[COD_2_SAIDA]],TAB_ESTOQUE[[Codigo]:[Endereço2]],12,FALSE)</f>
        <v>G1104</v>
      </c>
      <c r="E1265" s="81">
        <f>SUM(TAB_SAIDA[[#This Row],[20/05/2019]:[00/00/00]])</f>
        <v>0</v>
      </c>
      <c r="F1265" s="3"/>
      <c r="BH1265" s="3"/>
    </row>
    <row r="1266" spans="1:631" ht="15" hidden="1" customHeight="1" x14ac:dyDescent="0.25">
      <c r="A1266" s="5" t="s">
        <v>6814</v>
      </c>
      <c r="B1266" s="15" t="str">
        <f>VLOOKUP(TAB_SAIDA[[#This Row],[COD_2_SAIDA]],TAB_ESTOQUE[[Codigo]:[Descrição Tecnica]],6,FALSE)</f>
        <v>PLACA DE CIRCUITO IMPRESSO, CSREG V1.0, REF: 9070855</v>
      </c>
      <c r="C1266" s="15">
        <f>IFERROR(VLOOKUP(TAB_SAIDA[[#This Row],[COD_2_SAIDA]],TAB_ESTOQUE[[Codigo]:[Referência Tec]],7,FALSE),"")</f>
        <v>0</v>
      </c>
      <c r="D1266" s="15" t="str">
        <f>VLOOKUP(TAB_SAIDA[[#This Row],[COD_2_SAIDA]],TAB_ESTOQUE[[Codigo]:[Endereço2]],12,FALSE)</f>
        <v>G1104</v>
      </c>
      <c r="E1266" s="81">
        <f>SUM(TAB_SAIDA[[#This Row],[20/05/2019]:[00/00/00]])</f>
        <v>0</v>
      </c>
      <c r="F1266" s="3"/>
      <c r="BH1266" s="3"/>
    </row>
    <row r="1267" spans="1:631" ht="15" hidden="1" customHeight="1" x14ac:dyDescent="0.25">
      <c r="A1267" s="5" t="s">
        <v>6815</v>
      </c>
      <c r="B1267" s="15" t="str">
        <f>VLOOKUP(TAB_SAIDA[[#This Row],[COD_2_SAIDA]],TAB_ESTOQUE[[Codigo]:[Descrição Tecnica]],6,FALSE)</f>
        <v>PAINEL TOUCH SCREEN, REF: 9071111</v>
      </c>
      <c r="C1267" s="15">
        <f>IFERROR(VLOOKUP(TAB_SAIDA[[#This Row],[COD_2_SAIDA]],TAB_ESTOQUE[[Codigo]:[Referência Tec]],7,FALSE),"")</f>
        <v>0</v>
      </c>
      <c r="D1267" s="15" t="str">
        <f>VLOOKUP(TAB_SAIDA[[#This Row],[COD_2_SAIDA]],TAB_ESTOQUE[[Codigo]:[Endereço2]],12,FALSE)</f>
        <v>G1104</v>
      </c>
      <c r="E1267" s="81">
        <f>SUM(TAB_SAIDA[[#This Row],[20/05/2019]:[00/00/00]])</f>
        <v>0</v>
      </c>
      <c r="F1267" s="3"/>
      <c r="BH1267" s="3"/>
    </row>
    <row r="1268" spans="1:631" ht="15" hidden="1" customHeight="1" x14ac:dyDescent="0.25">
      <c r="A1268" s="5" t="s">
        <v>6816</v>
      </c>
      <c r="B1268" s="15" t="str">
        <f>VLOOKUP(TAB_SAIDA[[#This Row],[COD_2_SAIDA]],TAB_ESTOQUE[[Codigo]:[Descrição Tecnica]],6,FALSE)</f>
        <v>TRANSMISSOR DE SINAIS , REF: 9030150</v>
      </c>
      <c r="C1268" s="15">
        <f>IFERROR(VLOOKUP(TAB_SAIDA[[#This Row],[COD_2_SAIDA]],TAB_ESTOQUE[[Codigo]:[Referência Tec]],7,FALSE),"")</f>
        <v>0</v>
      </c>
      <c r="D1268" s="15" t="str">
        <f>VLOOKUP(TAB_SAIDA[[#This Row],[COD_2_SAIDA]],TAB_ESTOQUE[[Codigo]:[Endereço2]],12,FALSE)</f>
        <v>G1104</v>
      </c>
      <c r="E1268" s="81">
        <f>SUM(TAB_SAIDA[[#This Row],[20/05/2019]:[00/00/00]])</f>
        <v>0</v>
      </c>
      <c r="F1268" s="3"/>
      <c r="BH1268" s="3"/>
    </row>
    <row r="1269" spans="1:631" ht="15" hidden="1" customHeight="1" x14ac:dyDescent="0.25">
      <c r="A1269" s="5" t="s">
        <v>6817</v>
      </c>
      <c r="B1269" s="15" t="str">
        <f>VLOOKUP(TAB_SAIDA[[#This Row],[COD_2_SAIDA]],TAB_ESTOQUE[[Codigo]:[Descrição Tecnica]],6,FALSE)</f>
        <v>TRANSMISSOR DE TEMPERATURA GWK KABEL, MODELO S&amp;S KW 12/14-L 407 PT100, REF: 9914933, posição 3</v>
      </c>
      <c r="C1269" s="15">
        <f>IFERROR(VLOOKUP(TAB_SAIDA[[#This Row],[COD_2_SAIDA]],TAB_ESTOQUE[[Codigo]:[Referência Tec]],7,FALSE),"")</f>
        <v>0</v>
      </c>
      <c r="D1269" s="15" t="str">
        <f>VLOOKUP(TAB_SAIDA[[#This Row],[COD_2_SAIDA]],TAB_ESTOQUE[[Codigo]:[Endereço2]],12,FALSE)</f>
        <v>G1104</v>
      </c>
      <c r="E1269" s="81">
        <f>SUM(TAB_SAIDA[[#This Row],[20/05/2019]:[00/00/00]])</f>
        <v>0</v>
      </c>
      <c r="F1269" s="3"/>
      <c r="BH1269" s="3"/>
    </row>
    <row r="1270" spans="1:631" ht="15" hidden="1" customHeight="1" x14ac:dyDescent="0.25">
      <c r="A1270" s="5" t="s">
        <v>6818</v>
      </c>
      <c r="B1270" s="15" t="str">
        <f>VLOOKUP(TAB_SAIDA[[#This Row],[COD_2_SAIDA]],TAB_ESTOQUE[[Codigo]:[Descrição Tecnica]],6,FALSE)</f>
        <v>MICRO COMUTADOR , REF: 9150754 , posição 9</v>
      </c>
      <c r="C1270" s="15">
        <f>IFERROR(VLOOKUP(TAB_SAIDA[[#This Row],[COD_2_SAIDA]],TAB_ESTOQUE[[Codigo]:[Referência Tec]],7,FALSE),"")</f>
        <v>0</v>
      </c>
      <c r="D1270" s="15" t="str">
        <f>VLOOKUP(TAB_SAIDA[[#This Row],[COD_2_SAIDA]],TAB_ESTOQUE[[Codigo]:[Endereço2]],12,FALSE)</f>
        <v>G1104</v>
      </c>
      <c r="E1270" s="81">
        <f>SUM(TAB_SAIDA[[#This Row],[20/05/2019]:[00/00/00]])</f>
        <v>0</v>
      </c>
      <c r="F1270" s="3"/>
      <c r="BH1270" s="3"/>
    </row>
    <row r="1271" spans="1:631" ht="15" hidden="1" customHeight="1" x14ac:dyDescent="0.25">
      <c r="A1271" s="5" t="s">
        <v>6838</v>
      </c>
      <c r="B1271" s="15" t="str">
        <f>VLOOKUP(TAB_SAIDA[[#This Row],[COD_2_SAIDA]],TAB_ESTOQUE[[Codigo]:[Descrição Tecnica]],6,FALSE)</f>
        <v>RELÉ DE ACIONAMENTO DA VALVULA - MARCA: CELDUC - REF: SO867970</v>
      </c>
      <c r="C1271" s="15">
        <f>IFERROR(VLOOKUP(TAB_SAIDA[[#This Row],[COD_2_SAIDA]],TAB_ESTOQUE[[Codigo]:[Referência Tec]],7,FALSE),"")</f>
        <v>0</v>
      </c>
      <c r="D1271" s="15" t="str">
        <f>VLOOKUP(TAB_SAIDA[[#This Row],[COD_2_SAIDA]],TAB_ESTOQUE[[Codigo]:[Endereço2]],12,FALSE)</f>
        <v>G1104</v>
      </c>
      <c r="E1271" s="81">
        <f>SUM(TAB_SAIDA[[#This Row],[20/05/2019]:[00/00/00]])</f>
        <v>0</v>
      </c>
      <c r="F1271" s="3"/>
      <c r="BH1271" s="3"/>
    </row>
    <row r="1272" spans="1:631" ht="15" hidden="1" customHeight="1" x14ac:dyDescent="0.25">
      <c r="A1272" s="5" t="s">
        <v>6839</v>
      </c>
      <c r="B1272" s="15" t="str">
        <f>VLOOKUP(TAB_SAIDA[[#This Row],[COD_2_SAIDA]],TAB_ESTOQUE[[Codigo]:[Descrição Tecnica]],6,FALSE)</f>
        <v>ENGATE RAPIDO MACHO DN19</v>
      </c>
      <c r="C1272" s="15">
        <f>IFERROR(VLOOKUP(TAB_SAIDA[[#This Row],[COD_2_SAIDA]],TAB_ESTOQUE[[Codigo]:[Referência Tec]],7,FALSE),"")</f>
        <v>0</v>
      </c>
      <c r="D1272" s="15" t="str">
        <f>VLOOKUP(TAB_SAIDA[[#This Row],[COD_2_SAIDA]],TAB_ESTOQUE[[Codigo]:[Endereço2]],12,FALSE)</f>
        <v>D1404</v>
      </c>
      <c r="E1272" s="81">
        <f>SUM(TAB_SAIDA[[#This Row],[20/05/2019]:[00/00/00]])</f>
        <v>0</v>
      </c>
      <c r="F1272" s="3"/>
      <c r="BH1272" s="3"/>
    </row>
    <row r="1273" spans="1:631" ht="15" hidden="1" customHeight="1" x14ac:dyDescent="0.25">
      <c r="A1273" s="5" t="s">
        <v>6840</v>
      </c>
      <c r="B1273" s="15" t="str">
        <f>VLOOKUP(TAB_SAIDA[[#This Row],[COD_2_SAIDA]],TAB_ESTOQUE[[Codigo]:[Descrição Tecnica]],6,FALSE)</f>
        <v>GERADOR DE VÁCUO PNEUMÁTICO PIAB CODE: PCL.X2BN.S.10D.SV</v>
      </c>
      <c r="C1273" s="15">
        <f>IFERROR(VLOOKUP(TAB_SAIDA[[#This Row],[COD_2_SAIDA]],TAB_ESTOQUE[[Codigo]:[Referência Tec]],7,FALSE),"")</f>
        <v>0</v>
      </c>
      <c r="D1273" s="15" t="str">
        <f>VLOOKUP(TAB_SAIDA[[#This Row],[COD_2_SAIDA]],TAB_ESTOQUE[[Codigo]:[Endereço2]],12,FALSE)</f>
        <v>G1101</v>
      </c>
      <c r="E1273" s="81">
        <f>SUM(TAB_SAIDA[[#This Row],[20/05/2019]:[00/00/00]])</f>
        <v>1</v>
      </c>
      <c r="F1273" s="3"/>
      <c r="BH1273" s="3"/>
      <c r="WM1273" s="3">
        <v>1</v>
      </c>
    </row>
    <row r="1274" spans="1:631" ht="15" hidden="1" customHeight="1" x14ac:dyDescent="0.25">
      <c r="A1274" s="5" t="s">
        <v>6841</v>
      </c>
      <c r="B1274" s="15" t="str">
        <f>VLOOKUP(TAB_SAIDA[[#This Row],[COD_2_SAIDA]],TAB_ESTOQUE[[Codigo]:[Descrição Tecnica]],6,FALSE)</f>
        <v>CONECTOR SINDAL 10MM DE PORCELANA</v>
      </c>
      <c r="C1274" s="15">
        <f>IFERROR(VLOOKUP(TAB_SAIDA[[#This Row],[COD_2_SAIDA]],TAB_ESTOQUE[[Codigo]:[Referência Tec]],7,FALSE),"")</f>
        <v>0</v>
      </c>
      <c r="D1274" s="15" t="str">
        <f>VLOOKUP(TAB_SAIDA[[#This Row],[COD_2_SAIDA]],TAB_ESTOQUE[[Codigo]:[Endereço2]],12,FALSE)</f>
        <v>B2104</v>
      </c>
      <c r="E1274" s="81">
        <f>SUM(TAB_SAIDA[[#This Row],[20/05/2019]:[00/00/00]])</f>
        <v>0</v>
      </c>
      <c r="F1274" s="3"/>
      <c r="BH1274" s="3"/>
    </row>
    <row r="1275" spans="1:631" ht="15" hidden="1" customHeight="1" x14ac:dyDescent="0.25">
      <c r="A1275" s="5" t="s">
        <v>6842</v>
      </c>
      <c r="B1275" s="15" t="str">
        <f>VLOOKUP(TAB_SAIDA[[#This Row],[COD_2_SAIDA]],TAB_ESTOQUE[[Codigo]:[Descrição Tecnica]],6,FALSE)</f>
        <v>DISJUNTOR MOTOR GZ1E07 B</v>
      </c>
      <c r="C1275" s="15">
        <f>IFERROR(VLOOKUP(TAB_SAIDA[[#This Row],[COD_2_SAIDA]],TAB_ESTOQUE[[Codigo]:[Referência Tec]],7,FALSE),"")</f>
        <v>0</v>
      </c>
      <c r="D1275" s="15" t="str">
        <f>VLOOKUP(TAB_SAIDA[[#This Row],[COD_2_SAIDA]],TAB_ESTOQUE[[Codigo]:[Endereço2]],12,FALSE)</f>
        <v>A1303</v>
      </c>
      <c r="E1275" s="81">
        <f>SUM(TAB_SAIDA[[#This Row],[20/05/2019]:[00/00/00]])</f>
        <v>0</v>
      </c>
      <c r="F1275" s="3"/>
      <c r="BH1275" s="3"/>
    </row>
    <row r="1276" spans="1:631" ht="15" hidden="1" customHeight="1" x14ac:dyDescent="0.25">
      <c r="A1276" s="5" t="s">
        <v>6900</v>
      </c>
      <c r="B1276" s="15" t="str">
        <f>VLOOKUP(TAB_SAIDA[[#This Row],[COD_2_SAIDA]],TAB_ESTOQUE[[Codigo]:[Descrição Tecnica]],6,FALSE)</f>
        <v xml:space="preserve">MODULO DE EXPANSAO SR3 XT141BD </v>
      </c>
      <c r="C1276" s="15">
        <f>IFERROR(VLOOKUP(TAB_SAIDA[[#This Row],[COD_2_SAIDA]],TAB_ESTOQUE[[Codigo]:[Referência Tec]],7,FALSE),"")</f>
        <v>0</v>
      </c>
      <c r="D1276" s="15" t="str">
        <f>VLOOKUP(TAB_SAIDA[[#This Row],[COD_2_SAIDA]],TAB_ESTOQUE[[Codigo]:[Endereço2]],12,FALSE)</f>
        <v>A1304</v>
      </c>
      <c r="E1276" s="81">
        <f>SUM(TAB_SAIDA[[#This Row],[20/05/2019]:[00/00/00]])</f>
        <v>0</v>
      </c>
      <c r="F1276" s="3"/>
      <c r="BH1276" s="3"/>
    </row>
    <row r="1277" spans="1:631" ht="15" hidden="1" customHeight="1" x14ac:dyDescent="0.25">
      <c r="A1277" s="5" t="s">
        <v>6915</v>
      </c>
      <c r="B1277" s="15" t="str">
        <f>VLOOKUP(TAB_SAIDA[[#This Row],[COD_2_SAIDA]],TAB_ESTOQUE[[Codigo]:[Descrição Tecnica]],6,FALSE)</f>
        <v xml:space="preserve">TERMINAL BLOCK ID No.: 774195   PILZ </v>
      </c>
      <c r="C1277" s="15">
        <f>IFERROR(VLOOKUP(TAB_SAIDA[[#This Row],[COD_2_SAIDA]],TAB_ESTOQUE[[Codigo]:[Referência Tec]],7,FALSE),"")</f>
        <v>0</v>
      </c>
      <c r="D1277" s="15" t="str">
        <f>VLOOKUP(TAB_SAIDA[[#This Row],[COD_2_SAIDA]],TAB_ESTOQUE[[Codigo]:[Endereço2]],12,FALSE)</f>
        <v>A1304</v>
      </c>
      <c r="E1277" s="81">
        <f>SUM(TAB_SAIDA[[#This Row],[20/05/2019]:[00/00/00]])</f>
        <v>0</v>
      </c>
      <c r="F1277" s="3"/>
      <c r="BH1277" s="3"/>
    </row>
    <row r="1278" spans="1:631" ht="15" hidden="1" customHeight="1" x14ac:dyDescent="0.25">
      <c r="A1278" s="5" t="s">
        <v>6916</v>
      </c>
      <c r="B1278" s="15" t="str">
        <f>VLOOKUP(TAB_SAIDA[[#This Row],[COD_2_SAIDA]],TAB_ESTOQUE[[Codigo]:[Descrição Tecnica]],6,FALSE)</f>
        <v>SENSOR OPTICO BANNER EID: 3094849 LTF12IC2LDQ</v>
      </c>
      <c r="C1278" s="15">
        <f>IFERROR(VLOOKUP(TAB_SAIDA[[#This Row],[COD_2_SAIDA]],TAB_ESTOQUE[[Codigo]:[Referência Tec]],7,FALSE),"")</f>
        <v>0</v>
      </c>
      <c r="D1278" s="15" t="str">
        <f>VLOOKUP(TAB_SAIDA[[#This Row],[COD_2_SAIDA]],TAB_ESTOQUE[[Codigo]:[Endereço2]],12,FALSE)</f>
        <v>A1104</v>
      </c>
      <c r="E1278" s="81">
        <f>SUM(TAB_SAIDA[[#This Row],[20/05/2019]:[00/00/00]])</f>
        <v>0</v>
      </c>
      <c r="F1278" s="3"/>
      <c r="BH1278" s="3"/>
    </row>
    <row r="1279" spans="1:631" ht="15" hidden="1" customHeight="1" x14ac:dyDescent="0.25">
      <c r="A1279" s="5" t="s">
        <v>6917</v>
      </c>
      <c r="B1279" s="15" t="str">
        <f>VLOOKUP(TAB_SAIDA[[#This Row],[COD_2_SAIDA]],TAB_ESTOQUE[[Codigo]:[Descrição Tecnica]],6,FALSE)</f>
        <v>PRESSOSTATO HYDAC VM 2 D.0/-L24 FILTER CLOGGING INDICATORS</v>
      </c>
      <c r="C1279" s="15">
        <f>IFERROR(VLOOKUP(TAB_SAIDA[[#This Row],[COD_2_SAIDA]],TAB_ESTOQUE[[Codigo]:[Referência Tec]],7,FALSE),"")</f>
        <v>0</v>
      </c>
      <c r="D1279" s="15" t="str">
        <f>VLOOKUP(TAB_SAIDA[[#This Row],[COD_2_SAIDA]],TAB_ESTOQUE[[Codigo]:[Endereço2]],12,FALSE)</f>
        <v>A1103</v>
      </c>
      <c r="E1279" s="81">
        <f>SUM(TAB_SAIDA[[#This Row],[20/05/2019]:[00/00/00]])</f>
        <v>0</v>
      </c>
      <c r="F1279" s="3"/>
      <c r="BH1279" s="3"/>
    </row>
    <row r="1280" spans="1:631" s="186" customFormat="1" ht="15" hidden="1" customHeight="1" x14ac:dyDescent="0.25">
      <c r="A1280" s="189" t="s">
        <v>6918</v>
      </c>
      <c r="B1280" s="190" t="str">
        <f>VLOOKUP(TAB_SAIDA[[#This Row],[COD_2_SAIDA]],TAB_ESTOQUE[[Codigo]:[Descrição Tecnica]],6,FALSE)</f>
        <v xml:space="preserve">PRESILHA 3/8 PARA CABO DE AÇO </v>
      </c>
      <c r="C1280" s="190">
        <f>IFERROR(VLOOKUP(TAB_SAIDA[[#This Row],[COD_2_SAIDA]],TAB_ESTOQUE[[Codigo]:[Referência Tec]],7,FALSE),"")</f>
        <v>0</v>
      </c>
      <c r="D1280" s="190" t="str">
        <f>VLOOKUP(TAB_SAIDA[[#This Row],[COD_2_SAIDA]],TAB_ESTOQUE[[Codigo]:[Endereço2]],12,FALSE)</f>
        <v>F2104</v>
      </c>
      <c r="E1280" s="191">
        <f>SUM(TAB_SAIDA[[#This Row],[20/05/2019]:[00/00/00]])</f>
        <v>0</v>
      </c>
      <c r="F1280" s="192"/>
      <c r="G1280" s="192"/>
      <c r="H1280" s="192"/>
      <c r="I1280" s="192"/>
      <c r="J1280" s="192"/>
      <c r="K1280" s="192"/>
      <c r="L1280" s="192"/>
      <c r="M1280" s="192"/>
      <c r="N1280" s="192"/>
      <c r="O1280" s="192"/>
      <c r="P1280" s="192"/>
      <c r="Q1280" s="192"/>
      <c r="R1280" s="192"/>
      <c r="S1280" s="192"/>
      <c r="T1280" s="192"/>
      <c r="U1280" s="192"/>
      <c r="V1280" s="192"/>
      <c r="W1280" s="192"/>
      <c r="X1280" s="192"/>
      <c r="Y1280" s="192"/>
      <c r="Z1280" s="192"/>
      <c r="AA1280" s="192"/>
      <c r="AB1280" s="192"/>
      <c r="AC1280" s="192"/>
      <c r="AD1280" s="192"/>
      <c r="AE1280" s="192"/>
      <c r="AF1280" s="192"/>
      <c r="AG1280" s="192"/>
      <c r="AH1280" s="192"/>
      <c r="AI1280" s="192"/>
      <c r="AJ1280" s="192"/>
      <c r="AK1280" s="192"/>
      <c r="AL1280" s="192"/>
      <c r="AM1280" s="192"/>
      <c r="AN1280" s="192"/>
      <c r="AO1280" s="192"/>
      <c r="AP1280" s="192"/>
      <c r="AQ1280" s="192"/>
      <c r="AR1280" s="192"/>
      <c r="AS1280" s="192"/>
      <c r="AT1280" s="192"/>
      <c r="AU1280" s="192"/>
      <c r="AV1280" s="192"/>
      <c r="AW1280" s="192"/>
      <c r="AX1280" s="192"/>
      <c r="AY1280" s="192"/>
      <c r="AZ1280" s="192"/>
      <c r="BA1280" s="192"/>
      <c r="BB1280" s="192"/>
      <c r="BC1280" s="192"/>
      <c r="BD1280" s="192"/>
      <c r="BE1280" s="192"/>
      <c r="BF1280" s="192"/>
      <c r="BG1280" s="192"/>
      <c r="BH1280" s="192"/>
      <c r="BI1280" s="192"/>
      <c r="BJ1280" s="192"/>
      <c r="BK1280" s="192"/>
      <c r="BL1280" s="192"/>
      <c r="BM1280" s="192"/>
      <c r="BN1280" s="192"/>
      <c r="BO1280" s="192"/>
      <c r="BP1280" s="192"/>
      <c r="BQ1280" s="192"/>
      <c r="BR1280" s="192"/>
      <c r="BS1280" s="192"/>
      <c r="BT1280" s="192"/>
      <c r="BU1280" s="192"/>
      <c r="BV1280" s="192"/>
      <c r="BW1280" s="192"/>
      <c r="BX1280" s="192"/>
      <c r="BY1280" s="192"/>
      <c r="BZ1280" s="192"/>
      <c r="CA1280" s="192"/>
      <c r="CB1280" s="192"/>
      <c r="CC1280" s="192"/>
      <c r="CD1280" s="192"/>
      <c r="CE1280" s="192"/>
      <c r="CF1280" s="192"/>
      <c r="CG1280" s="192"/>
      <c r="CH1280" s="192"/>
      <c r="CI1280" s="192"/>
      <c r="CJ1280" s="192"/>
      <c r="CK1280" s="192"/>
      <c r="CL1280" s="192"/>
      <c r="CM1280" s="192"/>
      <c r="CN1280" s="192"/>
      <c r="CO1280" s="192"/>
      <c r="CP1280" s="192"/>
      <c r="CQ1280" s="192"/>
      <c r="CR1280" s="192"/>
      <c r="CS1280" s="192"/>
      <c r="CT1280" s="192"/>
      <c r="CU1280" s="192"/>
      <c r="CV1280" s="192"/>
      <c r="CW1280" s="192"/>
      <c r="CX1280" s="192"/>
      <c r="CY1280" s="192"/>
      <c r="CZ1280" s="192"/>
      <c r="DA1280" s="192"/>
      <c r="DB1280" s="192"/>
      <c r="DC1280" s="192"/>
      <c r="DD1280" s="192"/>
      <c r="DE1280" s="192"/>
      <c r="DF1280" s="192"/>
      <c r="DG1280" s="192"/>
      <c r="DH1280" s="192"/>
      <c r="DI1280" s="192"/>
      <c r="DJ1280" s="192"/>
      <c r="DK1280" s="192"/>
      <c r="DL1280" s="192"/>
      <c r="DM1280" s="192"/>
      <c r="DN1280" s="192"/>
      <c r="DO1280" s="192"/>
      <c r="DP1280" s="192"/>
      <c r="DQ1280" s="192"/>
      <c r="DR1280" s="192"/>
      <c r="DS1280" s="192"/>
      <c r="DT1280" s="192"/>
      <c r="DU1280" s="192"/>
      <c r="DV1280" s="192"/>
      <c r="DW1280" s="192"/>
      <c r="DX1280" s="192"/>
      <c r="DY1280" s="192"/>
      <c r="DZ1280" s="192"/>
      <c r="EA1280" s="192"/>
      <c r="EB1280" s="192"/>
      <c r="EC1280" s="192"/>
      <c r="ED1280" s="192"/>
      <c r="EE1280" s="192"/>
      <c r="EF1280" s="192"/>
      <c r="EG1280" s="192"/>
      <c r="EH1280" s="192"/>
      <c r="EI1280" s="192"/>
      <c r="EJ1280" s="192"/>
      <c r="EK1280" s="192"/>
      <c r="EL1280" s="192"/>
      <c r="EM1280" s="192"/>
      <c r="EN1280" s="192"/>
      <c r="EO1280" s="192"/>
      <c r="EP1280" s="192"/>
      <c r="EQ1280" s="192"/>
      <c r="ER1280" s="192"/>
      <c r="ES1280" s="192"/>
      <c r="ET1280" s="192"/>
      <c r="EU1280" s="192"/>
      <c r="EV1280" s="192"/>
      <c r="EW1280" s="192"/>
      <c r="EX1280" s="192"/>
      <c r="EY1280" s="192"/>
      <c r="EZ1280" s="192"/>
      <c r="FA1280" s="192"/>
      <c r="FB1280" s="192"/>
      <c r="FC1280" s="192"/>
      <c r="FD1280" s="192"/>
      <c r="FE1280" s="192"/>
      <c r="FF1280" s="192"/>
      <c r="FG1280" s="192"/>
      <c r="FH1280" s="192"/>
      <c r="FI1280" s="192"/>
      <c r="FJ1280" s="192"/>
      <c r="FK1280" s="192"/>
      <c r="FL1280" s="192"/>
      <c r="FM1280" s="192"/>
      <c r="FN1280" s="192"/>
      <c r="FO1280" s="192"/>
      <c r="FP1280" s="192"/>
      <c r="FQ1280" s="192"/>
      <c r="FR1280" s="192"/>
      <c r="FS1280" s="192"/>
      <c r="FT1280" s="192"/>
      <c r="FU1280" s="192"/>
      <c r="FV1280" s="192"/>
      <c r="FW1280" s="192"/>
      <c r="FX1280" s="192"/>
      <c r="FY1280" s="192"/>
      <c r="FZ1280" s="192"/>
      <c r="GA1280" s="192"/>
      <c r="GB1280" s="192"/>
      <c r="GC1280" s="192"/>
      <c r="GD1280" s="192"/>
      <c r="GE1280" s="192"/>
      <c r="GF1280" s="192"/>
      <c r="GG1280" s="192"/>
      <c r="GH1280" s="192"/>
      <c r="GI1280" s="192"/>
      <c r="GJ1280" s="192"/>
      <c r="GK1280" s="192"/>
      <c r="GL1280" s="192"/>
      <c r="GM1280" s="192"/>
      <c r="GN1280" s="192"/>
      <c r="GO1280" s="192"/>
      <c r="GP1280" s="192"/>
      <c r="GQ1280" s="192"/>
      <c r="GR1280" s="192"/>
      <c r="GS1280" s="192"/>
      <c r="GT1280" s="192"/>
      <c r="GU1280" s="192"/>
      <c r="GV1280" s="192"/>
      <c r="GW1280" s="192"/>
      <c r="GX1280" s="192"/>
      <c r="GY1280" s="192"/>
      <c r="GZ1280" s="192"/>
      <c r="HA1280" s="192"/>
      <c r="HB1280" s="192"/>
      <c r="HC1280" s="192"/>
      <c r="HD1280" s="192"/>
      <c r="HE1280" s="192"/>
      <c r="HF1280" s="192"/>
      <c r="HG1280" s="192"/>
      <c r="HH1280" s="192"/>
      <c r="HI1280" s="192"/>
      <c r="HJ1280" s="192"/>
      <c r="HK1280" s="192"/>
      <c r="HL1280" s="192"/>
      <c r="HM1280" s="192"/>
      <c r="HN1280" s="192"/>
      <c r="HO1280" s="192"/>
      <c r="HP1280" s="192"/>
      <c r="HQ1280" s="192"/>
      <c r="HR1280" s="192"/>
      <c r="HS1280" s="192"/>
      <c r="HT1280" s="192"/>
      <c r="HU1280" s="192"/>
      <c r="HV1280" s="192"/>
      <c r="HW1280" s="192"/>
      <c r="HX1280" s="192"/>
      <c r="HY1280" s="192"/>
      <c r="HZ1280" s="192"/>
      <c r="IA1280" s="192"/>
      <c r="IB1280" s="192"/>
      <c r="IC1280" s="192"/>
      <c r="ID1280" s="192"/>
      <c r="IE1280" s="192"/>
      <c r="IF1280" s="192"/>
      <c r="IG1280" s="192"/>
      <c r="IH1280" s="192"/>
      <c r="II1280" s="192"/>
      <c r="IJ1280" s="192"/>
      <c r="IK1280" s="192"/>
      <c r="IL1280" s="192"/>
      <c r="IM1280" s="192"/>
      <c r="IN1280" s="192"/>
      <c r="IO1280" s="192"/>
      <c r="IP1280" s="192"/>
      <c r="IQ1280" s="192"/>
      <c r="IR1280" s="192"/>
      <c r="IS1280" s="192"/>
      <c r="IT1280" s="192"/>
      <c r="IU1280" s="192"/>
      <c r="IV1280" s="192"/>
      <c r="IW1280" s="192"/>
      <c r="IX1280" s="192"/>
      <c r="IY1280" s="192"/>
      <c r="IZ1280" s="192"/>
      <c r="JA1280" s="192"/>
      <c r="JB1280" s="192"/>
      <c r="JC1280" s="192"/>
      <c r="JD1280" s="192"/>
      <c r="JE1280" s="192"/>
      <c r="JF1280" s="192"/>
      <c r="JG1280" s="192"/>
      <c r="JH1280" s="192"/>
      <c r="JI1280" s="192"/>
      <c r="JJ1280" s="192"/>
      <c r="JK1280" s="192"/>
      <c r="JL1280" s="192"/>
      <c r="JM1280" s="192"/>
      <c r="JN1280" s="192"/>
      <c r="JO1280" s="192"/>
      <c r="JP1280" s="192"/>
      <c r="JQ1280" s="192"/>
      <c r="JR1280" s="192"/>
      <c r="JS1280" s="192"/>
      <c r="JT1280" s="192"/>
      <c r="JU1280" s="192"/>
      <c r="JV1280" s="192"/>
      <c r="JW1280" s="192"/>
      <c r="JX1280" s="192"/>
      <c r="JY1280" s="192"/>
      <c r="JZ1280" s="192"/>
      <c r="KA1280" s="192"/>
      <c r="KB1280" s="192"/>
      <c r="KC1280" s="192"/>
      <c r="KD1280" s="192"/>
      <c r="KE1280" s="192"/>
      <c r="KF1280" s="192"/>
      <c r="KG1280" s="192"/>
      <c r="KH1280" s="192"/>
      <c r="KI1280" s="192"/>
      <c r="KJ1280" s="192"/>
      <c r="KK1280" s="192"/>
      <c r="KL1280" s="192"/>
      <c r="KM1280" s="192"/>
      <c r="KN1280" s="192"/>
      <c r="KO1280" s="192"/>
      <c r="KP1280" s="192"/>
      <c r="KQ1280" s="192"/>
      <c r="KR1280" s="192"/>
      <c r="KS1280" s="192"/>
      <c r="KT1280" s="192"/>
      <c r="KU1280" s="192"/>
      <c r="KV1280" s="192"/>
      <c r="KW1280" s="192"/>
      <c r="KX1280" s="192"/>
      <c r="KY1280" s="192"/>
      <c r="KZ1280" s="192"/>
      <c r="LA1280" s="192"/>
      <c r="LB1280" s="192"/>
      <c r="LC1280" s="192"/>
      <c r="LD1280" s="192"/>
      <c r="LE1280" s="192"/>
      <c r="LF1280" s="192"/>
      <c r="LG1280" s="192"/>
      <c r="LH1280" s="192"/>
      <c r="LI1280" s="192"/>
      <c r="LJ1280" s="192"/>
      <c r="LK1280" s="192"/>
      <c r="LL1280" s="192"/>
      <c r="LM1280" s="192"/>
      <c r="LN1280" s="192"/>
      <c r="LO1280" s="192"/>
      <c r="LP1280" s="192"/>
      <c r="LQ1280" s="192"/>
      <c r="LR1280" s="192"/>
      <c r="LS1280" s="192"/>
      <c r="LT1280" s="192"/>
      <c r="LU1280" s="192"/>
      <c r="LV1280" s="192"/>
      <c r="LW1280" s="192"/>
      <c r="LX1280" s="192"/>
      <c r="LY1280" s="192"/>
      <c r="LZ1280" s="192"/>
      <c r="MA1280" s="192"/>
      <c r="MB1280" s="192"/>
      <c r="MC1280" s="192"/>
      <c r="MD1280" s="192"/>
      <c r="ME1280" s="192"/>
      <c r="MF1280" s="192"/>
      <c r="MG1280" s="192"/>
      <c r="MH1280" s="192"/>
      <c r="MI1280" s="192"/>
      <c r="MJ1280" s="192"/>
      <c r="MK1280" s="192"/>
      <c r="ML1280" s="192"/>
      <c r="MM1280" s="192"/>
      <c r="MN1280" s="192"/>
      <c r="MO1280" s="192"/>
      <c r="MP1280" s="192"/>
      <c r="MQ1280" s="192"/>
      <c r="MR1280" s="192"/>
      <c r="MS1280" s="192"/>
      <c r="MT1280" s="192"/>
      <c r="MU1280" s="192"/>
      <c r="MV1280" s="192"/>
      <c r="MW1280" s="192"/>
      <c r="MX1280" s="192"/>
      <c r="MY1280" s="192"/>
      <c r="MZ1280" s="192"/>
      <c r="NA1280" s="192"/>
      <c r="NB1280" s="192"/>
      <c r="NC1280" s="192"/>
      <c r="ND1280" s="192"/>
      <c r="NE1280" s="192"/>
      <c r="NF1280" s="192"/>
      <c r="NG1280" s="192"/>
      <c r="NH1280" s="192"/>
      <c r="NI1280" s="192"/>
      <c r="NJ1280" s="192"/>
      <c r="NK1280" s="192"/>
      <c r="NL1280" s="192"/>
      <c r="NM1280" s="192"/>
      <c r="NN1280" s="192"/>
      <c r="NO1280" s="192"/>
      <c r="NP1280" s="192"/>
      <c r="NQ1280" s="192"/>
      <c r="NR1280" s="192"/>
      <c r="NS1280" s="192"/>
      <c r="NT1280" s="192"/>
      <c r="NU1280" s="192"/>
      <c r="NV1280" s="192"/>
      <c r="NW1280" s="192"/>
      <c r="NX1280" s="192"/>
      <c r="NY1280" s="192"/>
      <c r="NZ1280" s="192"/>
      <c r="OA1280" s="192"/>
      <c r="OB1280" s="192"/>
      <c r="OC1280" s="192"/>
      <c r="OD1280" s="192"/>
      <c r="OE1280" s="192"/>
      <c r="OF1280" s="192"/>
      <c r="OG1280" s="192"/>
      <c r="OH1280" s="192"/>
      <c r="OI1280" s="192"/>
      <c r="OJ1280" s="192"/>
      <c r="OK1280" s="192"/>
      <c r="OL1280" s="192"/>
      <c r="OM1280" s="192"/>
      <c r="ON1280" s="192"/>
      <c r="OO1280" s="192"/>
      <c r="OP1280" s="192"/>
      <c r="OQ1280" s="192"/>
      <c r="OR1280" s="192"/>
      <c r="OS1280" s="192"/>
      <c r="OT1280" s="192"/>
      <c r="OU1280" s="192"/>
      <c r="OV1280" s="192"/>
      <c r="OW1280" s="192"/>
      <c r="OX1280" s="192"/>
      <c r="OY1280" s="192"/>
      <c r="OZ1280" s="192"/>
      <c r="PA1280" s="192"/>
      <c r="PB1280" s="192"/>
      <c r="PC1280" s="192"/>
      <c r="PD1280" s="192"/>
      <c r="PE1280" s="192"/>
      <c r="PF1280" s="192"/>
      <c r="PG1280" s="192"/>
      <c r="PH1280" s="192"/>
      <c r="PI1280" s="192"/>
      <c r="PJ1280" s="192"/>
      <c r="PK1280" s="192"/>
      <c r="PL1280" s="192"/>
      <c r="PM1280" s="192"/>
      <c r="PN1280" s="192"/>
      <c r="PO1280" s="192"/>
      <c r="PP1280" s="192"/>
      <c r="PQ1280" s="192"/>
      <c r="PR1280" s="192"/>
      <c r="PS1280" s="192"/>
      <c r="PT1280" s="192"/>
      <c r="PU1280" s="192"/>
      <c r="PV1280" s="192"/>
      <c r="PW1280" s="192"/>
      <c r="PX1280" s="192"/>
      <c r="PY1280" s="192"/>
      <c r="PZ1280" s="192"/>
      <c r="QA1280" s="192"/>
      <c r="QB1280" s="192"/>
      <c r="QC1280" s="192"/>
      <c r="QD1280" s="192"/>
      <c r="QE1280" s="192"/>
      <c r="QF1280" s="192"/>
      <c r="QG1280" s="192"/>
      <c r="QH1280" s="192"/>
      <c r="QI1280" s="192"/>
      <c r="QJ1280" s="192"/>
      <c r="QK1280" s="192"/>
      <c r="QL1280" s="192"/>
      <c r="QM1280" s="192"/>
      <c r="QN1280" s="192"/>
      <c r="QO1280" s="192"/>
      <c r="QP1280" s="192"/>
      <c r="QQ1280" s="192"/>
      <c r="QR1280" s="192"/>
      <c r="QS1280" s="192"/>
      <c r="QT1280" s="192"/>
      <c r="QU1280" s="192"/>
      <c r="QV1280" s="192"/>
      <c r="QW1280" s="192"/>
      <c r="QX1280" s="192"/>
      <c r="QY1280" s="192"/>
      <c r="QZ1280" s="192"/>
      <c r="RA1280" s="192"/>
      <c r="RB1280" s="192"/>
      <c r="RC1280" s="192"/>
      <c r="RD1280" s="192"/>
      <c r="RE1280" s="192"/>
      <c r="RF1280" s="192"/>
      <c r="RG1280" s="192"/>
      <c r="RH1280" s="192"/>
      <c r="RI1280" s="192"/>
      <c r="RJ1280" s="192"/>
      <c r="RK1280" s="192"/>
      <c r="RL1280" s="192"/>
      <c r="RM1280" s="192"/>
      <c r="RN1280" s="192"/>
      <c r="RO1280" s="192"/>
      <c r="RP1280" s="192"/>
      <c r="RQ1280" s="192"/>
      <c r="RR1280" s="192"/>
      <c r="RS1280" s="192"/>
      <c r="RT1280" s="192"/>
      <c r="RU1280" s="192"/>
      <c r="RV1280" s="192"/>
      <c r="RW1280" s="192"/>
      <c r="RX1280" s="192"/>
      <c r="RY1280" s="192"/>
      <c r="RZ1280" s="192"/>
      <c r="SA1280" s="192"/>
      <c r="SB1280" s="192"/>
      <c r="SC1280" s="192"/>
      <c r="SD1280" s="192"/>
      <c r="SE1280" s="192"/>
      <c r="SF1280" s="192"/>
      <c r="SG1280" s="192"/>
      <c r="SH1280" s="192"/>
      <c r="SI1280" s="192"/>
      <c r="SJ1280" s="192"/>
      <c r="SK1280" s="192"/>
      <c r="SL1280" s="192"/>
      <c r="SM1280" s="192"/>
      <c r="SN1280" s="192"/>
      <c r="SO1280" s="192"/>
      <c r="SP1280" s="192"/>
      <c r="SQ1280" s="192"/>
      <c r="SR1280" s="192"/>
      <c r="SS1280" s="192"/>
      <c r="ST1280" s="192"/>
      <c r="SU1280" s="192"/>
      <c r="SV1280" s="192"/>
      <c r="SW1280" s="192"/>
      <c r="SX1280" s="192"/>
      <c r="SY1280" s="192"/>
      <c r="SZ1280" s="192"/>
      <c r="TA1280" s="192"/>
      <c r="TB1280" s="192"/>
      <c r="TC1280" s="192"/>
      <c r="TD1280" s="192"/>
      <c r="TE1280" s="192"/>
      <c r="TF1280" s="192"/>
      <c r="TG1280" s="192"/>
      <c r="TH1280" s="192"/>
      <c r="TI1280" s="192"/>
      <c r="TJ1280" s="192"/>
      <c r="TK1280" s="192"/>
      <c r="TL1280" s="192"/>
      <c r="TM1280" s="192"/>
      <c r="TN1280" s="192"/>
      <c r="TO1280" s="192"/>
      <c r="TP1280" s="192"/>
      <c r="TQ1280" s="192"/>
      <c r="TR1280" s="192"/>
      <c r="TS1280" s="192"/>
      <c r="TT1280" s="192"/>
      <c r="TU1280" s="192"/>
      <c r="TV1280" s="192"/>
      <c r="TW1280" s="192"/>
      <c r="TX1280" s="192"/>
      <c r="TY1280" s="192"/>
      <c r="TZ1280" s="192"/>
      <c r="UA1280" s="192"/>
      <c r="UB1280" s="192"/>
      <c r="UC1280" s="192"/>
      <c r="UD1280" s="192"/>
      <c r="UE1280" s="192"/>
      <c r="UF1280" s="192"/>
      <c r="UG1280" s="192"/>
      <c r="UH1280" s="192"/>
      <c r="UI1280" s="192"/>
      <c r="UJ1280" s="192"/>
      <c r="UK1280" s="192"/>
      <c r="UL1280" s="192"/>
      <c r="UM1280" s="192"/>
      <c r="UN1280" s="192"/>
      <c r="UO1280" s="192"/>
      <c r="UP1280" s="192"/>
      <c r="UQ1280" s="192"/>
      <c r="UR1280" s="192"/>
      <c r="US1280" s="192"/>
      <c r="UT1280" s="192"/>
      <c r="UU1280" s="192"/>
      <c r="UV1280" s="192"/>
      <c r="UW1280" s="192"/>
      <c r="UX1280" s="192"/>
      <c r="UY1280" s="192"/>
      <c r="UZ1280" s="192"/>
      <c r="VA1280" s="192"/>
      <c r="VB1280" s="192"/>
      <c r="VC1280" s="192"/>
      <c r="VD1280" s="192"/>
      <c r="VE1280" s="192"/>
      <c r="VF1280" s="192"/>
      <c r="VG1280" s="192"/>
      <c r="VH1280" s="192"/>
      <c r="VI1280" s="192"/>
      <c r="VJ1280" s="192"/>
      <c r="VK1280" s="192"/>
      <c r="VL1280" s="192"/>
      <c r="VM1280" s="192"/>
      <c r="VN1280" s="192"/>
      <c r="VO1280" s="192"/>
      <c r="VP1280" s="192"/>
      <c r="VQ1280" s="192"/>
      <c r="VR1280" s="192"/>
      <c r="VS1280" s="192"/>
      <c r="VT1280" s="192"/>
      <c r="VU1280" s="192"/>
      <c r="VV1280" s="192"/>
      <c r="VW1280" s="192"/>
      <c r="VX1280" s="192"/>
      <c r="VY1280" s="192"/>
      <c r="VZ1280" s="192"/>
      <c r="WA1280" s="192"/>
      <c r="WB1280" s="192"/>
      <c r="WC1280" s="192"/>
      <c r="WD1280" s="192"/>
      <c r="WE1280" s="192"/>
      <c r="WF1280" s="192"/>
      <c r="WG1280" s="192"/>
      <c r="WH1280" s="192"/>
      <c r="WI1280" s="192"/>
      <c r="WJ1280" s="192"/>
      <c r="WK1280" s="192"/>
      <c r="WL1280" s="192"/>
      <c r="WM1280" s="192"/>
      <c r="WN1280" s="192"/>
      <c r="WO1280" s="192"/>
      <c r="WP1280" s="192"/>
      <c r="WQ1280" s="192"/>
      <c r="WR1280" s="192"/>
      <c r="WS1280" s="192"/>
      <c r="WT1280" s="192"/>
      <c r="WU1280" s="192"/>
      <c r="WV1280" s="192"/>
      <c r="WW1280" s="192"/>
      <c r="WX1280" s="192"/>
      <c r="WY1280" s="192"/>
      <c r="WZ1280" s="192"/>
      <c r="XA1280" s="192"/>
      <c r="XB1280" s="192"/>
      <c r="XC1280" s="192"/>
      <c r="XD1280" s="192"/>
      <c r="XE1280" s="192"/>
      <c r="XF1280" s="192"/>
      <c r="XG1280" s="192"/>
    </row>
    <row r="1281" spans="1:631" s="186" customFormat="1" ht="15" hidden="1" customHeight="1" x14ac:dyDescent="0.25">
      <c r="A1281" s="194" t="s">
        <v>6919</v>
      </c>
      <c r="B1281" s="200" t="str">
        <f>VLOOKUP(TAB_SAIDA[[#This Row],[COD_2_SAIDA]],TAB_ESTOQUE[[Codigo]:[Descrição Tecnica]],6,FALSE)</f>
        <v xml:space="preserve">SENSOR COM CABO INDUTIVO SCHMERSAL IFL 4-12-11P 171676 </v>
      </c>
      <c r="C1281" s="200">
        <f>IFERROR(VLOOKUP(TAB_SAIDA[[#This Row],[COD_2_SAIDA]],TAB_ESTOQUE[[Codigo]:[Referência Tec]],7,FALSE),"")</f>
        <v>0</v>
      </c>
      <c r="D1281" s="200" t="str">
        <f>VLOOKUP(TAB_SAIDA[[#This Row],[COD_2_SAIDA]],TAB_ESTOQUE[[Codigo]:[Endereço2]],12,FALSE)</f>
        <v>A2203</v>
      </c>
      <c r="E1281" s="196">
        <f>SUM(TAB_SAIDA[[#This Row],[20/05/2019]:[00/00/00]])</f>
        <v>1</v>
      </c>
      <c r="F1281" s="197"/>
      <c r="G1281" s="197"/>
      <c r="H1281" s="197"/>
      <c r="I1281" s="197"/>
      <c r="J1281" s="197"/>
      <c r="K1281" s="197"/>
      <c r="L1281" s="197"/>
      <c r="M1281" s="197"/>
      <c r="N1281" s="197"/>
      <c r="O1281" s="197"/>
      <c r="P1281" s="197"/>
      <c r="Q1281" s="197"/>
      <c r="R1281" s="197"/>
      <c r="S1281" s="197"/>
      <c r="T1281" s="197"/>
      <c r="U1281" s="197"/>
      <c r="V1281" s="197"/>
      <c r="W1281" s="197"/>
      <c r="X1281" s="197"/>
      <c r="Y1281" s="197"/>
      <c r="Z1281" s="197"/>
      <c r="AA1281" s="197"/>
      <c r="AB1281" s="197"/>
      <c r="AC1281" s="197"/>
      <c r="AD1281" s="197"/>
      <c r="AE1281" s="197"/>
      <c r="AF1281" s="197"/>
      <c r="AG1281" s="197"/>
      <c r="AH1281" s="197"/>
      <c r="AI1281" s="197"/>
      <c r="AJ1281" s="197"/>
      <c r="AK1281" s="197"/>
      <c r="AL1281" s="197"/>
      <c r="AM1281" s="197"/>
      <c r="AN1281" s="197"/>
      <c r="AO1281" s="197"/>
      <c r="AP1281" s="197"/>
      <c r="AQ1281" s="197"/>
      <c r="AR1281" s="197"/>
      <c r="AS1281" s="197"/>
      <c r="AT1281" s="197"/>
      <c r="AU1281" s="197"/>
      <c r="AV1281" s="197"/>
      <c r="AW1281" s="197"/>
      <c r="AX1281" s="197"/>
      <c r="AY1281" s="197"/>
      <c r="AZ1281" s="197"/>
      <c r="BA1281" s="197"/>
      <c r="BB1281" s="197"/>
      <c r="BC1281" s="197"/>
      <c r="BD1281" s="197"/>
      <c r="BE1281" s="197"/>
      <c r="BF1281" s="197"/>
      <c r="BG1281" s="197"/>
      <c r="BH1281" s="197"/>
      <c r="BI1281" s="197"/>
      <c r="BJ1281" s="197"/>
      <c r="BK1281" s="197"/>
      <c r="BL1281" s="197"/>
      <c r="BM1281" s="197"/>
      <c r="BN1281" s="197"/>
      <c r="BO1281" s="197"/>
      <c r="BP1281" s="197"/>
      <c r="BQ1281" s="197"/>
      <c r="BR1281" s="197"/>
      <c r="BS1281" s="197"/>
      <c r="BT1281" s="197"/>
      <c r="BU1281" s="197"/>
      <c r="BV1281" s="197"/>
      <c r="BW1281" s="197"/>
      <c r="BX1281" s="197"/>
      <c r="BY1281" s="197"/>
      <c r="BZ1281" s="197"/>
      <c r="CA1281" s="197"/>
      <c r="CB1281" s="197"/>
      <c r="CC1281" s="197"/>
      <c r="CD1281" s="197"/>
      <c r="CE1281" s="197"/>
      <c r="CF1281" s="197"/>
      <c r="CG1281" s="197"/>
      <c r="CH1281" s="197"/>
      <c r="CI1281" s="197"/>
      <c r="CJ1281" s="197"/>
      <c r="CK1281" s="197"/>
      <c r="CL1281" s="197"/>
      <c r="CM1281" s="197"/>
      <c r="CN1281" s="197"/>
      <c r="CO1281" s="197"/>
      <c r="CP1281" s="197"/>
      <c r="CQ1281" s="197"/>
      <c r="CR1281" s="197"/>
      <c r="CS1281" s="197"/>
      <c r="CT1281" s="197"/>
      <c r="CU1281" s="197"/>
      <c r="CV1281" s="197"/>
      <c r="CW1281" s="197"/>
      <c r="CX1281" s="197"/>
      <c r="CY1281" s="197"/>
      <c r="CZ1281" s="197"/>
      <c r="DA1281" s="197"/>
      <c r="DB1281" s="197"/>
      <c r="DC1281" s="197"/>
      <c r="DD1281" s="197"/>
      <c r="DE1281" s="197"/>
      <c r="DF1281" s="197"/>
      <c r="DG1281" s="197"/>
      <c r="DH1281" s="197"/>
      <c r="DI1281" s="197"/>
      <c r="DJ1281" s="197"/>
      <c r="DK1281" s="197"/>
      <c r="DL1281" s="197"/>
      <c r="DM1281" s="197"/>
      <c r="DN1281" s="197"/>
      <c r="DO1281" s="197"/>
      <c r="DP1281" s="197"/>
      <c r="DQ1281" s="197"/>
      <c r="DR1281" s="197"/>
      <c r="DS1281" s="197"/>
      <c r="DT1281" s="197"/>
      <c r="DU1281" s="197"/>
      <c r="DV1281" s="197"/>
      <c r="DW1281" s="197"/>
      <c r="DX1281" s="197"/>
      <c r="DY1281" s="197"/>
      <c r="DZ1281" s="197"/>
      <c r="EA1281" s="197"/>
      <c r="EB1281" s="197"/>
      <c r="EC1281" s="197"/>
      <c r="ED1281" s="197"/>
      <c r="EE1281" s="197"/>
      <c r="EF1281" s="197"/>
      <c r="EG1281" s="197"/>
      <c r="EH1281" s="197"/>
      <c r="EI1281" s="197"/>
      <c r="EJ1281" s="197"/>
      <c r="EK1281" s="197"/>
      <c r="EL1281" s="197"/>
      <c r="EM1281" s="197"/>
      <c r="EN1281" s="197"/>
      <c r="EO1281" s="197"/>
      <c r="EP1281" s="197"/>
      <c r="EQ1281" s="197"/>
      <c r="ER1281" s="197"/>
      <c r="ES1281" s="197"/>
      <c r="ET1281" s="197"/>
      <c r="EU1281" s="197"/>
      <c r="EV1281" s="197"/>
      <c r="EW1281" s="197"/>
      <c r="EX1281" s="197"/>
      <c r="EY1281" s="197"/>
      <c r="EZ1281" s="197"/>
      <c r="FA1281" s="197"/>
      <c r="FB1281" s="197"/>
      <c r="FC1281" s="197"/>
      <c r="FD1281" s="197"/>
      <c r="FE1281" s="197"/>
      <c r="FF1281" s="197"/>
      <c r="FG1281" s="197"/>
      <c r="FH1281" s="197"/>
      <c r="FI1281" s="197"/>
      <c r="FJ1281" s="197"/>
      <c r="FK1281" s="197"/>
      <c r="FL1281" s="197"/>
      <c r="FM1281" s="197"/>
      <c r="FN1281" s="197"/>
      <c r="FO1281" s="197"/>
      <c r="FP1281" s="197"/>
      <c r="FQ1281" s="197"/>
      <c r="FR1281" s="197"/>
      <c r="FS1281" s="197"/>
      <c r="FT1281" s="197"/>
      <c r="FU1281" s="197"/>
      <c r="FV1281" s="197"/>
      <c r="FW1281" s="197"/>
      <c r="FX1281" s="197"/>
      <c r="FY1281" s="197"/>
      <c r="FZ1281" s="197"/>
      <c r="GA1281" s="197"/>
      <c r="GB1281" s="197"/>
      <c r="GC1281" s="197"/>
      <c r="GD1281" s="197"/>
      <c r="GE1281" s="197"/>
      <c r="GF1281" s="197"/>
      <c r="GG1281" s="197"/>
      <c r="GH1281" s="197"/>
      <c r="GI1281" s="197"/>
      <c r="GJ1281" s="197"/>
      <c r="GK1281" s="197"/>
      <c r="GL1281" s="197"/>
      <c r="GM1281" s="197"/>
      <c r="GN1281" s="197"/>
      <c r="GO1281" s="197"/>
      <c r="GP1281" s="197"/>
      <c r="GQ1281" s="197"/>
      <c r="GR1281" s="197"/>
      <c r="GS1281" s="197"/>
      <c r="GT1281" s="197"/>
      <c r="GU1281" s="197"/>
      <c r="GV1281" s="197"/>
      <c r="GW1281" s="197"/>
      <c r="GX1281" s="197"/>
      <c r="GY1281" s="197"/>
      <c r="GZ1281" s="197"/>
      <c r="HA1281" s="197"/>
      <c r="HB1281" s="197"/>
      <c r="HC1281" s="197"/>
      <c r="HD1281" s="197"/>
      <c r="HE1281" s="197"/>
      <c r="HF1281" s="197"/>
      <c r="HG1281" s="197"/>
      <c r="HH1281" s="197"/>
      <c r="HI1281" s="197"/>
      <c r="HJ1281" s="197"/>
      <c r="HK1281" s="197"/>
      <c r="HL1281" s="197"/>
      <c r="HM1281" s="197"/>
      <c r="HN1281" s="197"/>
      <c r="HO1281" s="197"/>
      <c r="HP1281" s="197"/>
      <c r="HQ1281" s="197"/>
      <c r="HR1281" s="197"/>
      <c r="HS1281" s="197"/>
      <c r="HT1281" s="197"/>
      <c r="HU1281" s="197"/>
      <c r="HV1281" s="197"/>
      <c r="HW1281" s="197"/>
      <c r="HX1281" s="197"/>
      <c r="HY1281" s="197"/>
      <c r="HZ1281" s="197"/>
      <c r="IA1281" s="197"/>
      <c r="IB1281" s="197"/>
      <c r="IC1281" s="197"/>
      <c r="ID1281" s="197"/>
      <c r="IE1281" s="197"/>
      <c r="IF1281" s="197"/>
      <c r="IG1281" s="197"/>
      <c r="IH1281" s="197"/>
      <c r="II1281" s="197"/>
      <c r="IJ1281" s="197"/>
      <c r="IK1281" s="197"/>
      <c r="IL1281" s="197"/>
      <c r="IM1281" s="197"/>
      <c r="IN1281" s="197"/>
      <c r="IO1281" s="197"/>
      <c r="IP1281" s="197"/>
      <c r="IQ1281" s="197"/>
      <c r="IR1281" s="197"/>
      <c r="IS1281" s="197"/>
      <c r="IT1281" s="197"/>
      <c r="IU1281" s="197"/>
      <c r="IV1281" s="197"/>
      <c r="IW1281" s="197"/>
      <c r="IX1281" s="197"/>
      <c r="IY1281" s="197"/>
      <c r="IZ1281" s="197"/>
      <c r="JA1281" s="197"/>
      <c r="JB1281" s="197"/>
      <c r="JC1281" s="197"/>
      <c r="JD1281" s="197"/>
      <c r="JE1281" s="197"/>
      <c r="JF1281" s="197"/>
      <c r="JG1281" s="197"/>
      <c r="JH1281" s="197"/>
      <c r="JI1281" s="197"/>
      <c r="JJ1281" s="197"/>
      <c r="JK1281" s="197"/>
      <c r="JL1281" s="197"/>
      <c r="JM1281" s="197"/>
      <c r="JN1281" s="197"/>
      <c r="JO1281" s="197"/>
      <c r="JP1281" s="197"/>
      <c r="JQ1281" s="197"/>
      <c r="JR1281" s="197"/>
      <c r="JS1281" s="197"/>
      <c r="JT1281" s="197"/>
      <c r="JU1281" s="197"/>
      <c r="JV1281" s="197"/>
      <c r="JW1281" s="197"/>
      <c r="JX1281" s="197"/>
      <c r="JY1281" s="197"/>
      <c r="JZ1281" s="197"/>
      <c r="KA1281" s="197"/>
      <c r="KB1281" s="197"/>
      <c r="KC1281" s="197"/>
      <c r="KD1281" s="197"/>
      <c r="KE1281" s="197"/>
      <c r="KF1281" s="197"/>
      <c r="KG1281" s="197"/>
      <c r="KH1281" s="197"/>
      <c r="KI1281" s="197"/>
      <c r="KJ1281" s="197"/>
      <c r="KK1281" s="197"/>
      <c r="KL1281" s="197"/>
      <c r="KM1281" s="197"/>
      <c r="KN1281" s="197"/>
      <c r="KO1281" s="197"/>
      <c r="KP1281" s="197"/>
      <c r="KQ1281" s="197"/>
      <c r="KR1281" s="197"/>
      <c r="KS1281" s="197"/>
      <c r="KT1281" s="197"/>
      <c r="KU1281" s="197"/>
      <c r="KV1281" s="197"/>
      <c r="KW1281" s="197"/>
      <c r="KX1281" s="197"/>
      <c r="KY1281" s="197"/>
      <c r="KZ1281" s="197"/>
      <c r="LA1281" s="197"/>
      <c r="LB1281" s="197"/>
      <c r="LC1281" s="197"/>
      <c r="LD1281" s="197"/>
      <c r="LE1281" s="197"/>
      <c r="LF1281" s="197"/>
      <c r="LG1281" s="197"/>
      <c r="LH1281" s="197"/>
      <c r="LI1281" s="197"/>
      <c r="LJ1281" s="197"/>
      <c r="LK1281" s="197"/>
      <c r="LL1281" s="197"/>
      <c r="LM1281" s="197"/>
      <c r="LN1281" s="197"/>
      <c r="LO1281" s="197"/>
      <c r="LP1281" s="197"/>
      <c r="LQ1281" s="197"/>
      <c r="LR1281" s="197"/>
      <c r="LS1281" s="197"/>
      <c r="LT1281" s="197"/>
      <c r="LU1281" s="197"/>
      <c r="LV1281" s="197"/>
      <c r="LW1281" s="197"/>
      <c r="LX1281" s="197"/>
      <c r="LY1281" s="197"/>
      <c r="LZ1281" s="197"/>
      <c r="MA1281" s="197"/>
      <c r="MB1281" s="197"/>
      <c r="MC1281" s="197"/>
      <c r="MD1281" s="197"/>
      <c r="ME1281" s="197"/>
      <c r="MF1281" s="197"/>
      <c r="MG1281" s="197"/>
      <c r="MH1281" s="197"/>
      <c r="MI1281" s="197"/>
      <c r="MJ1281" s="197"/>
      <c r="MK1281" s="197"/>
      <c r="ML1281" s="197"/>
      <c r="MM1281" s="197"/>
      <c r="MN1281" s="197"/>
      <c r="MO1281" s="197"/>
      <c r="MP1281" s="197"/>
      <c r="MQ1281" s="197"/>
      <c r="MR1281" s="197"/>
      <c r="MS1281" s="197"/>
      <c r="MT1281" s="197"/>
      <c r="MU1281" s="197"/>
      <c r="MV1281" s="197"/>
      <c r="MW1281" s="197"/>
      <c r="MX1281" s="197"/>
      <c r="MY1281" s="197"/>
      <c r="MZ1281" s="197"/>
      <c r="NA1281" s="197"/>
      <c r="NB1281" s="197"/>
      <c r="NC1281" s="197"/>
      <c r="ND1281" s="197"/>
      <c r="NE1281" s="197"/>
      <c r="NF1281" s="197"/>
      <c r="NG1281" s="197"/>
      <c r="NH1281" s="197"/>
      <c r="NI1281" s="197"/>
      <c r="NJ1281" s="197"/>
      <c r="NK1281" s="197"/>
      <c r="NL1281" s="197"/>
      <c r="NM1281" s="197"/>
      <c r="NN1281" s="197"/>
      <c r="NO1281" s="197"/>
      <c r="NP1281" s="197"/>
      <c r="NQ1281" s="197"/>
      <c r="NR1281" s="197"/>
      <c r="NS1281" s="197"/>
      <c r="NT1281" s="197"/>
      <c r="NU1281" s="197"/>
      <c r="NV1281" s="197"/>
      <c r="NW1281" s="197"/>
      <c r="NX1281" s="197"/>
      <c r="NY1281" s="197"/>
      <c r="NZ1281" s="197"/>
      <c r="OA1281" s="197"/>
      <c r="OB1281" s="197"/>
      <c r="OC1281" s="197"/>
      <c r="OD1281" s="197"/>
      <c r="OE1281" s="197"/>
      <c r="OF1281" s="197"/>
      <c r="OG1281" s="197"/>
      <c r="OH1281" s="197"/>
      <c r="OI1281" s="197"/>
      <c r="OJ1281" s="197"/>
      <c r="OK1281" s="197"/>
      <c r="OL1281" s="197"/>
      <c r="OM1281" s="197"/>
      <c r="ON1281" s="197"/>
      <c r="OO1281" s="197"/>
      <c r="OP1281" s="197"/>
      <c r="OQ1281" s="197"/>
      <c r="OR1281" s="197"/>
      <c r="OS1281" s="197"/>
      <c r="OT1281" s="197"/>
      <c r="OU1281" s="197"/>
      <c r="OV1281" s="197"/>
      <c r="OW1281" s="197"/>
      <c r="OX1281" s="197"/>
      <c r="OY1281" s="197"/>
      <c r="OZ1281" s="197"/>
      <c r="PA1281" s="197"/>
      <c r="PB1281" s="197"/>
      <c r="PC1281" s="197"/>
      <c r="PD1281" s="197"/>
      <c r="PE1281" s="197"/>
      <c r="PF1281" s="197"/>
      <c r="PG1281" s="197"/>
      <c r="PH1281" s="197"/>
      <c r="PI1281" s="197"/>
      <c r="PJ1281" s="197"/>
      <c r="PK1281" s="197"/>
      <c r="PL1281" s="197"/>
      <c r="PM1281" s="197"/>
      <c r="PN1281" s="197"/>
      <c r="PO1281" s="197"/>
      <c r="PP1281" s="197"/>
      <c r="PQ1281" s="197"/>
      <c r="PR1281" s="197"/>
      <c r="PS1281" s="197"/>
      <c r="PT1281" s="197"/>
      <c r="PU1281" s="197"/>
      <c r="PV1281" s="197"/>
      <c r="PW1281" s="197"/>
      <c r="PX1281" s="197"/>
      <c r="PY1281" s="197"/>
      <c r="PZ1281" s="197"/>
      <c r="QA1281" s="197"/>
      <c r="QB1281" s="197"/>
      <c r="QC1281" s="197"/>
      <c r="QD1281" s="197"/>
      <c r="QE1281" s="197"/>
      <c r="QF1281" s="197"/>
      <c r="QG1281" s="197"/>
      <c r="QH1281" s="197"/>
      <c r="QI1281" s="197"/>
      <c r="QJ1281" s="197"/>
      <c r="QK1281" s="197"/>
      <c r="QL1281" s="197"/>
      <c r="QM1281" s="197"/>
      <c r="QN1281" s="197"/>
      <c r="QO1281" s="197"/>
      <c r="QP1281" s="197"/>
      <c r="QQ1281" s="197"/>
      <c r="QR1281" s="197"/>
      <c r="QS1281" s="197"/>
      <c r="QT1281" s="197"/>
      <c r="QU1281" s="197"/>
      <c r="QV1281" s="197"/>
      <c r="QW1281" s="197"/>
      <c r="QX1281" s="197"/>
      <c r="QY1281" s="197"/>
      <c r="QZ1281" s="197"/>
      <c r="RA1281" s="197"/>
      <c r="RB1281" s="197"/>
      <c r="RC1281" s="197"/>
      <c r="RD1281" s="197"/>
      <c r="RE1281" s="197"/>
      <c r="RF1281" s="197"/>
      <c r="RG1281" s="197"/>
      <c r="RH1281" s="197"/>
      <c r="RI1281" s="197"/>
      <c r="RJ1281" s="197"/>
      <c r="RK1281" s="197"/>
      <c r="RL1281" s="197"/>
      <c r="RM1281" s="197"/>
      <c r="RN1281" s="197"/>
      <c r="RO1281" s="197"/>
      <c r="RP1281" s="197"/>
      <c r="RQ1281" s="197"/>
      <c r="RR1281" s="197"/>
      <c r="RS1281" s="197"/>
      <c r="RT1281" s="197"/>
      <c r="RU1281" s="197"/>
      <c r="RV1281" s="197"/>
      <c r="RW1281" s="197"/>
      <c r="RX1281" s="197"/>
      <c r="RY1281" s="197"/>
      <c r="RZ1281" s="197"/>
      <c r="SA1281" s="197"/>
      <c r="SB1281" s="197"/>
      <c r="SC1281" s="197"/>
      <c r="SD1281" s="197">
        <v>1</v>
      </c>
      <c r="SE1281" s="197"/>
      <c r="SF1281" s="197"/>
      <c r="SG1281" s="197"/>
      <c r="SH1281" s="197"/>
      <c r="SI1281" s="197"/>
      <c r="SJ1281" s="197"/>
      <c r="SK1281" s="197"/>
      <c r="SL1281" s="197"/>
      <c r="SM1281" s="197"/>
      <c r="SN1281" s="197"/>
      <c r="SO1281" s="197"/>
      <c r="SP1281" s="197"/>
      <c r="SQ1281" s="197"/>
      <c r="SR1281" s="197"/>
      <c r="SS1281" s="197"/>
      <c r="ST1281" s="197"/>
      <c r="SU1281" s="197"/>
      <c r="SV1281" s="197"/>
      <c r="SW1281" s="197"/>
      <c r="SX1281" s="197"/>
      <c r="SY1281" s="197"/>
      <c r="SZ1281" s="197"/>
      <c r="TA1281" s="197"/>
      <c r="TB1281" s="197"/>
      <c r="TC1281" s="197"/>
      <c r="TD1281" s="197"/>
      <c r="TE1281" s="197"/>
      <c r="TF1281" s="197"/>
      <c r="TG1281" s="197"/>
      <c r="TH1281" s="197"/>
      <c r="TI1281" s="197"/>
      <c r="TJ1281" s="197"/>
      <c r="TK1281" s="197"/>
      <c r="TL1281" s="197"/>
      <c r="TM1281" s="197"/>
      <c r="TN1281" s="197"/>
      <c r="TO1281" s="197"/>
      <c r="TP1281" s="197"/>
      <c r="TQ1281" s="197"/>
      <c r="TR1281" s="197"/>
      <c r="TS1281" s="197"/>
      <c r="TT1281" s="197"/>
      <c r="TU1281" s="197"/>
      <c r="TV1281" s="197"/>
      <c r="TW1281" s="197"/>
      <c r="TX1281" s="197"/>
      <c r="TY1281" s="197"/>
      <c r="TZ1281" s="197"/>
      <c r="UA1281" s="197"/>
      <c r="UB1281" s="197"/>
      <c r="UC1281" s="197"/>
      <c r="UD1281" s="197"/>
      <c r="UE1281" s="197"/>
      <c r="UF1281" s="197"/>
      <c r="UG1281" s="197"/>
      <c r="UH1281" s="197"/>
      <c r="UI1281" s="197"/>
      <c r="UJ1281" s="197"/>
      <c r="UK1281" s="197"/>
      <c r="UL1281" s="197"/>
      <c r="UM1281" s="197"/>
      <c r="UN1281" s="197"/>
      <c r="UO1281" s="197"/>
      <c r="UP1281" s="197"/>
      <c r="UQ1281" s="197"/>
      <c r="UR1281" s="197"/>
      <c r="US1281" s="197"/>
      <c r="UT1281" s="197"/>
      <c r="UU1281" s="197"/>
      <c r="UV1281" s="197"/>
      <c r="UW1281" s="197"/>
      <c r="UX1281" s="197"/>
      <c r="UY1281" s="197"/>
      <c r="UZ1281" s="197"/>
      <c r="VA1281" s="197"/>
      <c r="VB1281" s="197"/>
      <c r="VC1281" s="197"/>
      <c r="VD1281" s="197"/>
      <c r="VE1281" s="197"/>
      <c r="VF1281" s="197"/>
      <c r="VG1281" s="197"/>
      <c r="VH1281" s="197"/>
      <c r="VI1281" s="197"/>
      <c r="VJ1281" s="197"/>
      <c r="VK1281" s="197"/>
      <c r="VL1281" s="197"/>
      <c r="VM1281" s="197"/>
      <c r="VN1281" s="197"/>
      <c r="VO1281" s="197"/>
      <c r="VP1281" s="197"/>
      <c r="VQ1281" s="197"/>
      <c r="VR1281" s="197"/>
      <c r="VS1281" s="197"/>
      <c r="VT1281" s="197"/>
      <c r="VU1281" s="197"/>
      <c r="VV1281" s="197"/>
      <c r="VW1281" s="197"/>
      <c r="VX1281" s="197"/>
      <c r="VY1281" s="197"/>
      <c r="VZ1281" s="197"/>
      <c r="WA1281" s="197"/>
      <c r="WB1281" s="197"/>
      <c r="WC1281" s="197"/>
      <c r="WD1281" s="197"/>
      <c r="WE1281" s="197"/>
      <c r="WF1281" s="197"/>
      <c r="WG1281" s="197"/>
      <c r="WH1281" s="197"/>
      <c r="WI1281" s="197"/>
      <c r="WJ1281" s="197"/>
      <c r="WK1281" s="197"/>
      <c r="WL1281" s="197"/>
      <c r="WM1281" s="197"/>
      <c r="WN1281" s="197"/>
      <c r="WO1281" s="197"/>
      <c r="WP1281" s="197"/>
      <c r="WQ1281" s="197"/>
      <c r="WR1281" s="197"/>
      <c r="WS1281" s="197"/>
      <c r="WT1281" s="197"/>
      <c r="WU1281" s="197"/>
      <c r="WV1281" s="197"/>
      <c r="WW1281" s="197"/>
      <c r="WX1281" s="197"/>
      <c r="WY1281" s="197"/>
      <c r="WZ1281" s="197"/>
      <c r="XA1281" s="197"/>
      <c r="XB1281" s="197"/>
      <c r="XC1281" s="197"/>
      <c r="XD1281" s="197"/>
      <c r="XE1281" s="197"/>
      <c r="XF1281" s="197"/>
      <c r="XG1281" s="197"/>
    </row>
    <row r="1282" spans="1:631" ht="15" hidden="1" customHeight="1" x14ac:dyDescent="0.25">
      <c r="A1282" s="5" t="s">
        <v>6920</v>
      </c>
      <c r="B1282" s="15" t="str">
        <f>VLOOKUP(TAB_SAIDA[[#This Row],[COD_2_SAIDA]],TAB_ESTOQUE[[Codigo]:[Descrição Tecnica]],6,FALSE)</f>
        <v>CHAVE SELETORA MANOPLA CURTA 2NA 3P XA2ED33</v>
      </c>
      <c r="C1282" s="15">
        <f>IFERROR(VLOOKUP(TAB_SAIDA[[#This Row],[COD_2_SAIDA]],TAB_ESTOQUE[[Codigo]:[Referência Tec]],7,FALSE),"")</f>
        <v>0</v>
      </c>
      <c r="D1282" s="15" t="str">
        <f>VLOOKUP(TAB_SAIDA[[#This Row],[COD_2_SAIDA]],TAB_ESTOQUE[[Codigo]:[Endereço2]],12,FALSE)</f>
        <v>A2305</v>
      </c>
      <c r="E1282" s="81">
        <f>SUM(TAB_SAIDA[[#This Row],[20/05/2019]:[00/00/00]])</f>
        <v>3</v>
      </c>
      <c r="F1282" s="3"/>
      <c r="BH1282" s="3"/>
      <c r="UZ1282" s="3">
        <v>3</v>
      </c>
    </row>
    <row r="1283" spans="1:631" ht="15" hidden="1" customHeight="1" x14ac:dyDescent="0.25">
      <c r="A1283" s="5" t="s">
        <v>6921</v>
      </c>
      <c r="B1283" s="15" t="str">
        <f>VLOOKUP(TAB_SAIDA[[#This Row],[COD_2_SAIDA]],TAB_ESTOQUE[[Codigo]:[Descrição Tecnica]],6,FALSE)</f>
        <v>CHAVE SELETORA MANOPLA CURTA 1NF 2  XA2ED25</v>
      </c>
      <c r="C1283" s="15">
        <f>IFERROR(VLOOKUP(TAB_SAIDA[[#This Row],[COD_2_SAIDA]],TAB_ESTOQUE[[Codigo]:[Referência Tec]],7,FALSE),"")</f>
        <v>0</v>
      </c>
      <c r="D1283" s="15" t="str">
        <f>VLOOKUP(TAB_SAIDA[[#This Row],[COD_2_SAIDA]],TAB_ESTOQUE[[Codigo]:[Endereço2]],12,FALSE)</f>
        <v>A2305</v>
      </c>
      <c r="E1283" s="81">
        <f>SUM(TAB_SAIDA[[#This Row],[20/05/2019]:[00/00/00]])</f>
        <v>0</v>
      </c>
      <c r="F1283" s="3"/>
      <c r="BH1283" s="3"/>
    </row>
    <row r="1284" spans="1:631" ht="15" hidden="1" customHeight="1" x14ac:dyDescent="0.25">
      <c r="A1284" s="5" t="s">
        <v>6925</v>
      </c>
      <c r="B1284" s="15" t="str">
        <f>VLOOKUP(TAB_SAIDA[[#This Row],[COD_2_SAIDA]],TAB_ESTOQUE[[Codigo]:[Descrição Tecnica]],6,FALSE)</f>
        <v>RELE TEMPORIZADOR  RE17RLMU ZELIO TIME GB/T14048.5</v>
      </c>
      <c r="C1284" s="15">
        <f>IFERROR(VLOOKUP(TAB_SAIDA[[#This Row],[COD_2_SAIDA]],TAB_ESTOQUE[[Codigo]:[Referência Tec]],7,FALSE),"")</f>
        <v>0</v>
      </c>
      <c r="D1284" s="15" t="str">
        <f>VLOOKUP(TAB_SAIDA[[#This Row],[COD_2_SAIDA]],TAB_ESTOQUE[[Codigo]:[Endereço2]],12,FALSE)</f>
        <v>A1303</v>
      </c>
      <c r="E1284" s="81">
        <f>SUM(TAB_SAIDA[[#This Row],[20/05/2019]:[00/00/00]])</f>
        <v>0</v>
      </c>
      <c r="F1284" s="3"/>
      <c r="BH1284" s="3"/>
    </row>
    <row r="1285" spans="1:631" ht="15" hidden="1" customHeight="1" x14ac:dyDescent="0.25">
      <c r="A1285" s="5" t="s">
        <v>6926</v>
      </c>
      <c r="B1285" s="15" t="str">
        <f>VLOOKUP(TAB_SAIDA[[#This Row],[COD_2_SAIDA]],TAB_ESTOQUE[[Codigo]:[Descrição Tecnica]],6,FALSE)</f>
        <v>MODULAR SMART RELAY ZELIO CLOCK-DISPLAY SR3 B261BD 24VDC</v>
      </c>
      <c r="C1285" s="15">
        <f>IFERROR(VLOOKUP(TAB_SAIDA[[#This Row],[COD_2_SAIDA]],TAB_ESTOQUE[[Codigo]:[Referência Tec]],7,FALSE),"")</f>
        <v>0</v>
      </c>
      <c r="D1285" s="15" t="str">
        <f>VLOOKUP(TAB_SAIDA[[#This Row],[COD_2_SAIDA]],TAB_ESTOQUE[[Codigo]:[Endereço2]],12,FALSE)</f>
        <v>A1303</v>
      </c>
      <c r="E1285" s="81">
        <f>SUM(TAB_SAIDA[[#This Row],[20/05/2019]:[00/00/00]])</f>
        <v>0</v>
      </c>
      <c r="F1285" s="3"/>
      <c r="BH1285" s="3"/>
    </row>
    <row r="1286" spans="1:631" ht="15" hidden="1" customHeight="1" x14ac:dyDescent="0.25">
      <c r="A1286" s="5" t="s">
        <v>6927</v>
      </c>
      <c r="B1286" s="15" t="str">
        <f>VLOOKUP(TAB_SAIDA[[#This Row],[COD_2_SAIDA]],TAB_ESTOQUE[[Codigo]:[Descrição Tecnica]],6,FALSE)</f>
        <v>FONTE ABL2REM24100H SCHNEIDER 24VDC 250W</v>
      </c>
      <c r="C1286" s="15">
        <f>IFERROR(VLOOKUP(TAB_SAIDA[[#This Row],[COD_2_SAIDA]],TAB_ESTOQUE[[Codigo]:[Referência Tec]],7,FALSE),"")</f>
        <v>0</v>
      </c>
      <c r="D1286" s="15" t="str">
        <f>VLOOKUP(TAB_SAIDA[[#This Row],[COD_2_SAIDA]],TAB_ESTOQUE[[Codigo]:[Endereço2]],12,FALSE)</f>
        <v>A2302</v>
      </c>
      <c r="E1286" s="81">
        <f>SUM(TAB_SAIDA[[#This Row],[20/05/2019]:[00/00/00]])</f>
        <v>1</v>
      </c>
      <c r="F1286" s="3"/>
      <c r="BH1286" s="3"/>
      <c r="WR1286" s="3">
        <v>1</v>
      </c>
    </row>
    <row r="1287" spans="1:631" ht="15" hidden="1" customHeight="1" x14ac:dyDescent="0.25">
      <c r="A1287" s="5" t="s">
        <v>6928</v>
      </c>
      <c r="B1287" s="15" t="str">
        <f>VLOOKUP(TAB_SAIDA[[#This Row],[COD_2_SAIDA]],TAB_ESTOQUE[[Codigo]:[Descrição Tecnica]],6,FALSE)</f>
        <v>Bomba De Refrigeração Asten  CD:30921  NS:2002951  450W  Ip/In 4.17/3.87 FP 0.83/0.87  NBR 7094</v>
      </c>
      <c r="C1287" s="15">
        <f>IFERROR(VLOOKUP(TAB_SAIDA[[#This Row],[COD_2_SAIDA]],TAB_ESTOQUE[[Codigo]:[Referência Tec]],7,FALSE),"")</f>
        <v>0</v>
      </c>
      <c r="D1287" s="15" t="str">
        <f>VLOOKUP(TAB_SAIDA[[#This Row],[COD_2_SAIDA]],TAB_ESTOQUE[[Codigo]:[Endereço2]],12,FALSE)</f>
        <v>E1103</v>
      </c>
      <c r="E1287" s="81">
        <f>SUM(TAB_SAIDA[[#This Row],[20/05/2019]:[00/00/00]])</f>
        <v>0</v>
      </c>
      <c r="F1287" s="3"/>
      <c r="BH1287" s="3"/>
    </row>
    <row r="1288" spans="1:631" ht="15" hidden="1" customHeight="1" x14ac:dyDescent="0.25">
      <c r="A1288" s="5" t="s">
        <v>6929</v>
      </c>
      <c r="B1288" s="15" t="str">
        <f>VLOOKUP(TAB_SAIDA[[#This Row],[COD_2_SAIDA]],TAB_ESTOQUE[[Codigo]:[Descrição Tecnica]],6,FALSE)</f>
        <v>TERMINAL FLANGE 1.1/2 - NCM 7307.19.20</v>
      </c>
      <c r="C1288" s="15">
        <f>IFERROR(VLOOKUP(TAB_SAIDA[[#This Row],[COD_2_SAIDA]],TAB_ESTOQUE[[Codigo]:[Referência Tec]],7,FALSE),"")</f>
        <v>0</v>
      </c>
      <c r="D1288" s="15" t="str">
        <f>VLOOKUP(TAB_SAIDA[[#This Row],[COD_2_SAIDA]],TAB_ESTOQUE[[Codigo]:[Endereço2]],12,FALSE)</f>
        <v>E2304</v>
      </c>
      <c r="E1288" s="81">
        <f>SUM(TAB_SAIDA[[#This Row],[20/05/2019]:[00/00/00]])</f>
        <v>0</v>
      </c>
      <c r="F1288" s="3"/>
      <c r="BH1288" s="3"/>
    </row>
    <row r="1289" spans="1:631" ht="15" hidden="1" customHeight="1" x14ac:dyDescent="0.25">
      <c r="A1289" s="5" t="s">
        <v>6930</v>
      </c>
      <c r="B1289" s="15" t="str">
        <f>VLOOKUP(TAB_SAIDA[[#This Row],[COD_2_SAIDA]],TAB_ESTOQUE[[Codigo]:[Descrição Tecnica]],6,FALSE)</f>
        <v xml:space="preserve">ELEMENTOS ELASTICOS 24                        </v>
      </c>
      <c r="C1289" s="15">
        <f>IFERROR(VLOOKUP(TAB_SAIDA[[#This Row],[COD_2_SAIDA]],TAB_ESTOQUE[[Codigo]:[Referência Tec]],7,FALSE),"")</f>
        <v>0</v>
      </c>
      <c r="D1289" s="15" t="str">
        <f>VLOOKUP(TAB_SAIDA[[#This Row],[COD_2_SAIDA]],TAB_ESTOQUE[[Codigo]:[Endereço2]],12,FALSE)</f>
        <v>E2203</v>
      </c>
      <c r="E1289" s="81">
        <f>SUM(TAB_SAIDA[[#This Row],[20/05/2019]:[00/00/00]])</f>
        <v>0</v>
      </c>
      <c r="F1289" s="3"/>
      <c r="BH1289" s="3"/>
    </row>
    <row r="1290" spans="1:631" ht="15" hidden="1" customHeight="1" x14ac:dyDescent="0.25">
      <c r="A1290" s="5" t="s">
        <v>6931</v>
      </c>
      <c r="B1290" s="15" t="str">
        <f>VLOOKUP(TAB_SAIDA[[#This Row],[COD_2_SAIDA]],TAB_ESTOQUE[[Codigo]:[Descrição Tecnica]],6,FALSE)</f>
        <v xml:space="preserve">ELEMENTOS ELASTICOS 52                        </v>
      </c>
      <c r="C1290" s="15">
        <f>IFERROR(VLOOKUP(TAB_SAIDA[[#This Row],[COD_2_SAIDA]],TAB_ESTOQUE[[Codigo]:[Referência Tec]],7,FALSE),"")</f>
        <v>0</v>
      </c>
      <c r="D1290" s="15" t="str">
        <f>VLOOKUP(TAB_SAIDA[[#This Row],[COD_2_SAIDA]],TAB_ESTOQUE[[Codigo]:[Endereço2]],12,FALSE)</f>
        <v>E2203</v>
      </c>
      <c r="E1290" s="81">
        <f>SUM(TAB_SAIDA[[#This Row],[20/05/2019]:[00/00/00]])</f>
        <v>0</v>
      </c>
      <c r="F1290" s="3"/>
      <c r="BH1290" s="3"/>
    </row>
    <row r="1291" spans="1:631" ht="15" hidden="1" customHeight="1" x14ac:dyDescent="0.25">
      <c r="A1291" s="5" t="s">
        <v>6932</v>
      </c>
      <c r="B1291" s="15" t="str">
        <f>VLOOKUP(TAB_SAIDA[[#This Row],[COD_2_SAIDA]],TAB_ESTOQUE[[Codigo]:[Descrição Tecnica]],6,FALSE)</f>
        <v xml:space="preserve">ELEMENTOS ELASTICOS 48                        </v>
      </c>
      <c r="C1291" s="15">
        <f>IFERROR(VLOOKUP(TAB_SAIDA[[#This Row],[COD_2_SAIDA]],TAB_ESTOQUE[[Codigo]:[Referência Tec]],7,FALSE),"")</f>
        <v>0</v>
      </c>
      <c r="D1291" s="15" t="str">
        <f>VLOOKUP(TAB_SAIDA[[#This Row],[COD_2_SAIDA]],TAB_ESTOQUE[[Codigo]:[Endereço2]],12,FALSE)</f>
        <v>E2203</v>
      </c>
      <c r="E1291" s="81">
        <f>SUM(TAB_SAIDA[[#This Row],[20/05/2019]:[00/00/00]])</f>
        <v>0</v>
      </c>
      <c r="F1291" s="3"/>
      <c r="BH1291" s="3"/>
    </row>
    <row r="1292" spans="1:631" ht="15" hidden="1" customHeight="1" x14ac:dyDescent="0.25">
      <c r="A1292" s="5" t="s">
        <v>6933</v>
      </c>
      <c r="B1292" s="15" t="str">
        <f>VLOOKUP(TAB_SAIDA[[#This Row],[COD_2_SAIDA]],TAB_ESTOQUE[[Codigo]:[Descrição Tecnica]],6,FALSE)</f>
        <v>MANGUEIRA MTF-05X100-04-04X100-04-1000mm</v>
      </c>
      <c r="C1292" s="15">
        <f>IFERROR(VLOOKUP(TAB_SAIDA[[#This Row],[COD_2_SAIDA]],TAB_ESTOQUE[[Codigo]:[Referência Tec]],7,FALSE),"")</f>
        <v>0</v>
      </c>
      <c r="D1292" s="15" t="str">
        <f>VLOOKUP(TAB_SAIDA[[#This Row],[COD_2_SAIDA]],TAB_ESTOQUE[[Codigo]:[Endereço2]],12,FALSE)</f>
        <v>S504</v>
      </c>
      <c r="E1292" s="81">
        <f>SUM(TAB_SAIDA[[#This Row],[20/05/2019]:[00/00/00]])</f>
        <v>0</v>
      </c>
      <c r="F1292" s="3"/>
      <c r="BH1292" s="3"/>
    </row>
    <row r="1293" spans="1:631" ht="15" hidden="1" customHeight="1" x14ac:dyDescent="0.25">
      <c r="A1293" s="5" t="s">
        <v>6934</v>
      </c>
      <c r="B1293" s="15" t="str">
        <f>VLOOKUP(TAB_SAIDA[[#This Row],[COD_2_SAIDA]],TAB_ESTOQUE[[Codigo]:[Descrição Tecnica]],6,FALSE)</f>
        <v>MANGUEIRA MTF-05X100-04-04X100-04-1000mm</v>
      </c>
      <c r="C1293" s="15">
        <f>IFERROR(VLOOKUP(TAB_SAIDA[[#This Row],[COD_2_SAIDA]],TAB_ESTOQUE[[Codigo]:[Referência Tec]],7,FALSE),"")</f>
        <v>0</v>
      </c>
      <c r="D1293" s="15" t="str">
        <f>VLOOKUP(TAB_SAIDA[[#This Row],[COD_2_SAIDA]],TAB_ESTOQUE[[Codigo]:[Endereço2]],12,FALSE)</f>
        <v>S504</v>
      </c>
      <c r="E1293" s="81">
        <f>SUM(TAB_SAIDA[[#This Row],[20/05/2019]:[00/00/00]])</f>
        <v>0</v>
      </c>
      <c r="F1293" s="3"/>
      <c r="BH1293" s="3"/>
    </row>
    <row r="1294" spans="1:631" ht="15" hidden="1" customHeight="1" x14ac:dyDescent="0.25">
      <c r="A1294" s="5" t="s">
        <v>6935</v>
      </c>
      <c r="B1294" s="15" t="str">
        <f>VLOOKUP(TAB_SAIDA[[#This Row],[COD_2_SAIDA]],TAB_ESTOQUE[[Codigo]:[Descrição Tecnica]],6,FALSE)</f>
        <v>FUSIVEL SIEMENS 5SE2 325 NEOZED  D02 25A  gG 400V a.c.  250 d.c.</v>
      </c>
      <c r="C1294" s="15">
        <f>IFERROR(VLOOKUP(TAB_SAIDA[[#This Row],[COD_2_SAIDA]],TAB_ESTOQUE[[Codigo]:[Referência Tec]],7,FALSE),"")</f>
        <v>0</v>
      </c>
      <c r="D1294" s="15" t="str">
        <f>VLOOKUP(TAB_SAIDA[[#This Row],[COD_2_SAIDA]],TAB_ESTOQUE[[Codigo]:[Endereço2]],12,FALSE)</f>
        <v>A1204</v>
      </c>
      <c r="E1294" s="81">
        <f>SUM(TAB_SAIDA[[#This Row],[20/05/2019]:[00/00/00]])</f>
        <v>0</v>
      </c>
      <c r="F1294" s="3"/>
      <c r="BH1294" s="3"/>
    </row>
    <row r="1295" spans="1:631" ht="15" hidden="1" customHeight="1" x14ac:dyDescent="0.25">
      <c r="A1295" s="5" t="s">
        <v>6936</v>
      </c>
      <c r="B1295" s="15" t="str">
        <f>VLOOKUP(TAB_SAIDA[[#This Row],[COD_2_SAIDA]],TAB_ESTOQUE[[Codigo]:[Descrição Tecnica]],6,FALSE)</f>
        <v>ROLAMENTO RLS9ZZ</v>
      </c>
      <c r="C1295" s="15">
        <f>IFERROR(VLOOKUP(TAB_SAIDA[[#This Row],[COD_2_SAIDA]],TAB_ESTOQUE[[Codigo]:[Referência Tec]],7,FALSE),"")</f>
        <v>0</v>
      </c>
      <c r="D1295" s="15" t="str">
        <f>VLOOKUP(TAB_SAIDA[[#This Row],[COD_2_SAIDA]],TAB_ESTOQUE[[Codigo]:[Endereço2]],12,FALSE)</f>
        <v>D2104</v>
      </c>
      <c r="E1295" s="81">
        <f>SUM(TAB_SAIDA[[#This Row],[20/05/2019]:[00/00/00]])</f>
        <v>0</v>
      </c>
      <c r="F1295" s="3"/>
      <c r="BH1295" s="3"/>
    </row>
    <row r="1296" spans="1:631" ht="15" hidden="1" customHeight="1" x14ac:dyDescent="0.25">
      <c r="A1296" s="5" t="s">
        <v>6937</v>
      </c>
      <c r="B1296" s="15" t="str">
        <f>VLOOKUP(TAB_SAIDA[[#This Row],[COD_2_SAIDA]],TAB_ESTOQUE[[Codigo]:[Descrição Tecnica]],6,FALSE)</f>
        <v>SENSOR PRESSURE XMLR400M1P25  X1</v>
      </c>
      <c r="C1296" s="15">
        <f>IFERROR(VLOOKUP(TAB_SAIDA[[#This Row],[COD_2_SAIDA]],TAB_ESTOQUE[[Codigo]:[Referência Tec]],7,FALSE),"")</f>
        <v>0</v>
      </c>
      <c r="D1296" s="15" t="str">
        <f>VLOOKUP(TAB_SAIDA[[#This Row],[COD_2_SAIDA]],TAB_ESTOQUE[[Codigo]:[Endereço2]],12,FALSE)</f>
        <v>G1104</v>
      </c>
      <c r="E1296" s="81">
        <f>SUM(TAB_SAIDA[[#This Row],[20/05/2019]:[00/00/00]])</f>
        <v>0</v>
      </c>
      <c r="F1296" s="3"/>
      <c r="BH1296" s="3"/>
    </row>
    <row r="1297" spans="1:618" ht="15" hidden="1" customHeight="1" x14ac:dyDescent="0.25">
      <c r="A1297" s="5" t="s">
        <v>6938</v>
      </c>
      <c r="B1297" s="15" t="str">
        <f>VLOOKUP(TAB_SAIDA[[#This Row],[COD_2_SAIDA]],TAB_ESTOQUE[[Codigo]:[Descrição Tecnica]],6,FALSE)</f>
        <v>ENGATE RAPIDO FEMEA DN19</v>
      </c>
      <c r="C1297" s="15">
        <f>IFERROR(VLOOKUP(TAB_SAIDA[[#This Row],[COD_2_SAIDA]],TAB_ESTOQUE[[Codigo]:[Referência Tec]],7,FALSE),"")</f>
        <v>0</v>
      </c>
      <c r="D1297" s="15" t="str">
        <f>VLOOKUP(TAB_SAIDA[[#This Row],[COD_2_SAIDA]],TAB_ESTOQUE[[Codigo]:[Endereço2]],12,FALSE)</f>
        <v>D1404</v>
      </c>
      <c r="E1297" s="81">
        <f>SUM(TAB_SAIDA[[#This Row],[20/05/2019]:[00/00/00]])</f>
        <v>0</v>
      </c>
      <c r="F1297" s="3"/>
      <c r="BH1297" s="3"/>
    </row>
    <row r="1298" spans="1:618" ht="15" hidden="1" customHeight="1" x14ac:dyDescent="0.25">
      <c r="A1298" s="5" t="s">
        <v>6939</v>
      </c>
      <c r="B1298" s="15" t="str">
        <f>VLOOKUP(TAB_SAIDA[[#This Row],[COD_2_SAIDA]],TAB_ESTOQUE[[Codigo]:[Descrição Tecnica]],6,FALSE)</f>
        <v>MANG. 100R2-16X100-16X112-16-16X3000MM</v>
      </c>
      <c r="C1298" s="15">
        <f>IFERROR(VLOOKUP(TAB_SAIDA[[#This Row],[COD_2_SAIDA]],TAB_ESTOQUE[[Codigo]:[Referência Tec]],7,FALSE),"")</f>
        <v>0</v>
      </c>
      <c r="D1298" s="15" t="str">
        <f>VLOOKUP(TAB_SAIDA[[#This Row],[COD_2_SAIDA]],TAB_ESTOQUE[[Codigo]:[Endereço2]],12,FALSE)</f>
        <v>S504</v>
      </c>
      <c r="E1298" s="81">
        <f>SUM(TAB_SAIDA[[#This Row],[20/05/2019]:[00/00/00]])</f>
        <v>0</v>
      </c>
      <c r="F1298" s="3"/>
      <c r="BH1298" s="3"/>
    </row>
    <row r="1299" spans="1:618" ht="15" hidden="1" customHeight="1" x14ac:dyDescent="0.25">
      <c r="A1299" s="5" t="s">
        <v>6940</v>
      </c>
      <c r="B1299" s="15" t="str">
        <f>VLOOKUP(TAB_SAIDA[[#This Row],[COD_2_SAIDA]],TAB_ESTOQUE[[Codigo]:[Descrição Tecnica]],6,FALSE)</f>
        <v xml:space="preserve">REDUÇÃO F/M 3/4X1" </v>
      </c>
      <c r="C1299" s="15">
        <f>IFERROR(VLOOKUP(TAB_SAIDA[[#This Row],[COD_2_SAIDA]],TAB_ESTOQUE[[Codigo]:[Referência Tec]],7,FALSE),"")</f>
        <v>0</v>
      </c>
      <c r="D1299" s="15" t="str">
        <f>VLOOKUP(TAB_SAIDA[[#This Row],[COD_2_SAIDA]],TAB_ESTOQUE[[Codigo]:[Endereço2]],12,FALSE)</f>
        <v>F2202</v>
      </c>
      <c r="E1299" s="81">
        <f>SUM(TAB_SAIDA[[#This Row],[20/05/2019]:[00/00/00]])</f>
        <v>0</v>
      </c>
      <c r="F1299" s="3"/>
      <c r="BH1299" s="3"/>
    </row>
    <row r="1300" spans="1:618" ht="15" hidden="1" customHeight="1" x14ac:dyDescent="0.25">
      <c r="A1300" s="5" t="s">
        <v>6976</v>
      </c>
      <c r="B1300" s="15" t="str">
        <f>VLOOKUP(TAB_SAIDA[[#This Row],[COD_2_SAIDA]],TAB_ESTOQUE[[Codigo]:[Descrição Tecnica]],6,FALSE)</f>
        <v>MANGUEIRA PARA OLEO TERMICO 2 METROS</v>
      </c>
      <c r="C1300" s="15">
        <f>IFERROR(VLOOKUP(TAB_SAIDA[[#This Row],[COD_2_SAIDA]],TAB_ESTOQUE[[Codigo]:[Referência Tec]],7,FALSE),"")</f>
        <v>0</v>
      </c>
      <c r="D1300" s="15" t="str">
        <f>VLOOKUP(TAB_SAIDA[[#This Row],[COD_2_SAIDA]],TAB_ESTOQUE[[Codigo]:[Endereço2]],12,FALSE)</f>
        <v>S602</v>
      </c>
      <c r="E1300" s="81">
        <f>SUM(TAB_SAIDA[[#This Row],[20/05/2019]:[00/00/00]])</f>
        <v>0</v>
      </c>
      <c r="F1300" s="3"/>
      <c r="BH1300" s="3"/>
    </row>
    <row r="1301" spans="1:618" ht="15" hidden="1" customHeight="1" x14ac:dyDescent="0.25">
      <c r="A1301" s="5" t="s">
        <v>6977</v>
      </c>
      <c r="B1301" s="15" t="str">
        <f>VLOOKUP(TAB_SAIDA[[#This Row],[COD_2_SAIDA]],TAB_ESTOQUE[[Codigo]:[Descrição Tecnica]],6,FALSE)</f>
        <v>MANGUEIRA PARA OLEO TERMICO 1 METROS</v>
      </c>
      <c r="C1301" s="15">
        <f>IFERROR(VLOOKUP(TAB_SAIDA[[#This Row],[COD_2_SAIDA]],TAB_ESTOQUE[[Codigo]:[Referência Tec]],7,FALSE),"")</f>
        <v>0</v>
      </c>
      <c r="D1301" s="15" t="str">
        <f>VLOOKUP(TAB_SAIDA[[#This Row],[COD_2_SAIDA]],TAB_ESTOQUE[[Codigo]:[Endereço2]],12,FALSE)</f>
        <v>S602</v>
      </c>
      <c r="E1301" s="81">
        <f>SUM(TAB_SAIDA[[#This Row],[20/05/2019]:[00/00/00]])</f>
        <v>0</v>
      </c>
      <c r="F1301" s="3"/>
      <c r="BH1301" s="3"/>
    </row>
    <row r="1302" spans="1:618" ht="15" hidden="1" customHeight="1" x14ac:dyDescent="0.25">
      <c r="A1302" s="5" t="s">
        <v>6978</v>
      </c>
      <c r="B1302" s="15" t="str">
        <f>VLOOKUP(TAB_SAIDA[[#This Row],[COD_2_SAIDA]],TAB_ESTOQUE[[Codigo]:[Descrição Tecnica]],6,FALSE)</f>
        <v>NIPLE LATAO  3/4" NPT</v>
      </c>
      <c r="C1302" s="15">
        <f>IFERROR(VLOOKUP(TAB_SAIDA[[#This Row],[COD_2_SAIDA]],TAB_ESTOQUE[[Codigo]:[Referência Tec]],7,FALSE),"")</f>
        <v>0</v>
      </c>
      <c r="D1302" s="15" t="str">
        <f>VLOOKUP(TAB_SAIDA[[#This Row],[COD_2_SAIDA]],TAB_ESTOQUE[[Codigo]:[Endereço2]],12,FALSE)</f>
        <v>F2202</v>
      </c>
      <c r="E1302" s="81">
        <f>SUM(TAB_SAIDA[[#This Row],[20/05/2019]:[00/00/00]])</f>
        <v>0</v>
      </c>
      <c r="F1302" s="3"/>
      <c r="BH1302" s="3"/>
    </row>
    <row r="1303" spans="1:618" ht="15" hidden="1" customHeight="1" x14ac:dyDescent="0.25">
      <c r="A1303" s="5" t="s">
        <v>6979</v>
      </c>
      <c r="B1303" s="15" t="str">
        <f>VLOOKUP(TAB_SAIDA[[#This Row],[COD_2_SAIDA]],TAB_ESTOQUE[[Codigo]:[Descrição Tecnica]],6,FALSE)</f>
        <v xml:space="preserve">REGISTRO ESF. FEMEA 3/4" PAS PLENA </v>
      </c>
      <c r="C1303" s="15">
        <f>IFERROR(VLOOKUP(TAB_SAIDA[[#This Row],[COD_2_SAIDA]],TAB_ESTOQUE[[Codigo]:[Referência Tec]],7,FALSE),"")</f>
        <v>0</v>
      </c>
      <c r="D1303" s="15" t="str">
        <f>VLOOKUP(TAB_SAIDA[[#This Row],[COD_2_SAIDA]],TAB_ESTOQUE[[Codigo]:[Endereço2]],12,FALSE)</f>
        <v>D2402</v>
      </c>
      <c r="E1303" s="81">
        <f>SUM(TAB_SAIDA[[#This Row],[20/05/2019]:[00/00/00]])</f>
        <v>0</v>
      </c>
      <c r="F1303" s="3"/>
      <c r="BH1303" s="3"/>
    </row>
    <row r="1304" spans="1:618" ht="15" hidden="1" customHeight="1" x14ac:dyDescent="0.25">
      <c r="A1304" s="5" t="s">
        <v>6980</v>
      </c>
      <c r="B1304" s="15" t="str">
        <f>VLOOKUP(TAB_SAIDA[[#This Row],[COD_2_SAIDA]],TAB_ESTOQUE[[Codigo]:[Descrição Tecnica]],6,FALSE)</f>
        <v xml:space="preserve">UNIÃO MACHO NPT X UNF </v>
      </c>
      <c r="C1304" s="15">
        <f>IFERROR(VLOOKUP(TAB_SAIDA[[#This Row],[COD_2_SAIDA]],TAB_ESTOQUE[[Codigo]:[Referência Tec]],7,FALSE),"")</f>
        <v>0</v>
      </c>
      <c r="D1304" s="15" t="str">
        <f>VLOOKUP(TAB_SAIDA[[#This Row],[COD_2_SAIDA]],TAB_ESTOQUE[[Codigo]:[Endereço2]],12,FALSE)</f>
        <v>F2204</v>
      </c>
      <c r="E1304" s="81">
        <f>SUM(TAB_SAIDA[[#This Row],[20/05/2019]:[00/00/00]])</f>
        <v>0</v>
      </c>
      <c r="F1304" s="3"/>
      <c r="BH1304" s="3"/>
    </row>
    <row r="1305" spans="1:618" ht="15" hidden="1" customHeight="1" x14ac:dyDescent="0.25">
      <c r="A1305" s="5" t="s">
        <v>6981</v>
      </c>
      <c r="B1305" s="15" t="str">
        <f>VLOOKUP(TAB_SAIDA[[#This Row],[COD_2_SAIDA]],TAB_ESTOQUE[[Codigo]:[Descrição Tecnica]],6,FALSE)</f>
        <v>MANGUEIRA PARA OLEO TERMICO 3,50 METROS</v>
      </c>
      <c r="C1305" s="15">
        <f>IFERROR(VLOOKUP(TAB_SAIDA[[#This Row],[COD_2_SAIDA]],TAB_ESTOQUE[[Codigo]:[Referência Tec]],7,FALSE),"")</f>
        <v>0</v>
      </c>
      <c r="D1305" s="15" t="str">
        <f>VLOOKUP(TAB_SAIDA[[#This Row],[COD_2_SAIDA]],TAB_ESTOQUE[[Codigo]:[Endereço2]],12,FALSE)</f>
        <v>S504</v>
      </c>
      <c r="E1305" s="81">
        <f>SUM(TAB_SAIDA[[#This Row],[20/05/2019]:[00/00/00]])</f>
        <v>0</v>
      </c>
      <c r="F1305" s="3"/>
      <c r="BH1305" s="3"/>
    </row>
    <row r="1306" spans="1:618" ht="15" hidden="1" customHeight="1" x14ac:dyDescent="0.25">
      <c r="A1306" s="5" t="s">
        <v>7027</v>
      </c>
      <c r="B1306" s="15" t="str">
        <f>VLOOKUP(TAB_SAIDA[[#This Row],[COD_2_SAIDA]],TAB_ESTOQUE[[Codigo]:[Descrição Tecnica]],6,FALSE)</f>
        <v>Escova Cilíndrica em Base PP 30mm x Furo do Eixo 12mm x Em Cerdas de Nylon 0,50mm  -  Ø Total 100mm x Comprimento 30mm</v>
      </c>
      <c r="C1306" s="15">
        <f>IFERROR(VLOOKUP(TAB_SAIDA[[#This Row],[COD_2_SAIDA]],TAB_ESTOQUE[[Codigo]:[Referência Tec]],7,FALSE),"")</f>
        <v>0</v>
      </c>
      <c r="D1306" s="15" t="str">
        <f>VLOOKUP(TAB_SAIDA[[#This Row],[COD_2_SAIDA]],TAB_ESTOQUE[[Codigo]:[Endereço2]],12,FALSE)</f>
        <v>D1204</v>
      </c>
      <c r="E1306" s="81">
        <f>SUM(TAB_SAIDA[[#This Row],[20/05/2019]:[00/00/00]])</f>
        <v>8</v>
      </c>
      <c r="F1306" s="3"/>
      <c r="BH1306" s="3"/>
      <c r="WD1306" s="3">
        <v>4</v>
      </c>
      <c r="WT1306" s="3">
        <v>4</v>
      </c>
    </row>
    <row r="1307" spans="1:618" ht="15" hidden="1" customHeight="1" x14ac:dyDescent="0.25">
      <c r="A1307" s="5" t="s">
        <v>7028</v>
      </c>
      <c r="B1307" s="15" t="str">
        <f>VLOOKUP(TAB_SAIDA[[#This Row],[COD_2_SAIDA]],TAB_ESTOQUE[[Codigo]:[Descrição Tecnica]],6,FALSE)</f>
        <v>SENSOR DE PRESENÇA SOBREPOR PAREDE MPS-40F ALCANCE 10M ÂNGULO 100 4min/1min/5seg TENÇÃO 220V</v>
      </c>
      <c r="C1307" s="15">
        <f>IFERROR(VLOOKUP(TAB_SAIDA[[#This Row],[COD_2_SAIDA]],TAB_ESTOQUE[[Codigo]:[Referência Tec]],7,FALSE),"")</f>
        <v>0</v>
      </c>
      <c r="D1307" s="15" t="str">
        <f>VLOOKUP(TAB_SAIDA[[#This Row],[COD_2_SAIDA]],TAB_ESTOQUE[[Codigo]:[Endereço2]],12,FALSE)</f>
        <v>B2102</v>
      </c>
      <c r="E1307" s="81">
        <f>SUM(TAB_SAIDA[[#This Row],[20/05/2019]:[00/00/00]])</f>
        <v>0</v>
      </c>
      <c r="F1307" s="3"/>
      <c r="BH1307" s="3"/>
    </row>
    <row r="1308" spans="1:618" ht="15" hidden="1" customHeight="1" x14ac:dyDescent="0.25">
      <c r="A1308" s="5" t="s">
        <v>7029</v>
      </c>
      <c r="B1308" s="15" t="str">
        <f>VLOOKUP(TAB_SAIDA[[#This Row],[COD_2_SAIDA]],TAB_ESTOQUE[[Codigo]:[Descrição Tecnica]],6,FALSE)</f>
        <v>DISJUNTOR-MOTOR  MPW18-3-D016 12429368 X1  1-1,6 A</v>
      </c>
      <c r="C1308" s="15">
        <f>IFERROR(VLOOKUP(TAB_SAIDA[[#This Row],[COD_2_SAIDA]],TAB_ESTOQUE[[Codigo]:[Referência Tec]],7,FALSE),"")</f>
        <v>0</v>
      </c>
      <c r="D1308" s="15" t="str">
        <f>VLOOKUP(TAB_SAIDA[[#This Row],[COD_2_SAIDA]],TAB_ESTOQUE[[Codigo]:[Endereço2]],12,FALSE)</f>
        <v>A2405</v>
      </c>
      <c r="E1308" s="81">
        <f>SUM(TAB_SAIDA[[#This Row],[20/05/2019]:[00/00/00]])</f>
        <v>0</v>
      </c>
      <c r="F1308" s="3"/>
      <c r="BH1308" s="3"/>
    </row>
    <row r="1309" spans="1:618" ht="15" hidden="1" customHeight="1" x14ac:dyDescent="0.25">
      <c r="A1309" s="5" t="s">
        <v>7032</v>
      </c>
      <c r="B1309" s="15" t="str">
        <f>VLOOKUP(TAB_SAIDA[[#This Row],[COD_2_SAIDA]],TAB_ESTOQUE[[Codigo]:[Descrição Tecnica]],6,FALSE)</f>
        <v>CONTATO AUXILIAR C300 R300 2.5/240 V WEG CP420 - 89256-900</v>
      </c>
      <c r="C1309" s="15">
        <f>IFERROR(VLOOKUP(TAB_SAIDA[[#This Row],[COD_2_SAIDA]],TAB_ESTOQUE[[Codigo]:[Referência Tec]],7,FALSE),"")</f>
        <v>0</v>
      </c>
      <c r="D1309" s="15" t="str">
        <f>VLOOKUP(TAB_SAIDA[[#This Row],[COD_2_SAIDA]],TAB_ESTOQUE[[Codigo]:[Endereço2]],12,FALSE)</f>
        <v>A2405</v>
      </c>
      <c r="E1309" s="81">
        <f>SUM(TAB_SAIDA[[#This Row],[20/05/2019]:[00/00/00]])</f>
        <v>0</v>
      </c>
      <c r="F1309" s="3"/>
      <c r="BH1309" s="3"/>
    </row>
    <row r="1310" spans="1:618" ht="15" hidden="1" customHeight="1" x14ac:dyDescent="0.25">
      <c r="A1310" s="5" t="s">
        <v>7033</v>
      </c>
      <c r="B1310" s="15" t="str">
        <f>VLOOKUP(TAB_SAIDA[[#This Row],[COD_2_SAIDA]],TAB_ESTOQUE[[Codigo]:[Descrição Tecnica]],6,FALSE)</f>
        <v>SINALEIRO SONORO VERMELHO 80d  Ref:SSA-22VM</v>
      </c>
      <c r="C1310" s="15">
        <f>IFERROR(VLOOKUP(TAB_SAIDA[[#This Row],[COD_2_SAIDA]],TAB_ESTOQUE[[Codigo]:[Referência Tec]],7,FALSE),"")</f>
        <v>0</v>
      </c>
      <c r="D1310" s="15" t="str">
        <f>VLOOKUP(TAB_SAIDA[[#This Row],[COD_2_SAIDA]],TAB_ESTOQUE[[Codigo]:[Endereço2]],12,FALSE)</f>
        <v>A2304</v>
      </c>
      <c r="E1310" s="81">
        <f>SUM(TAB_SAIDA[[#This Row],[20/05/2019]:[00/00/00]])</f>
        <v>0</v>
      </c>
      <c r="F1310" s="3"/>
      <c r="BH1310" s="3"/>
    </row>
    <row r="1311" spans="1:618" ht="15" hidden="1" customHeight="1" x14ac:dyDescent="0.25">
      <c r="A1311" s="5" t="s">
        <v>7049</v>
      </c>
      <c r="B1311" s="15" t="str">
        <f>VLOOKUP(TAB_SAIDA[[#This Row],[COD_2_SAIDA]],TAB_ESTOQUE[[Codigo]:[Descrição Tecnica]],6,FALSE)</f>
        <v>CILINDRO COMPACTO MACHO 50-80</v>
      </c>
      <c r="C1311" s="15">
        <f>IFERROR(VLOOKUP(TAB_SAIDA[[#This Row],[COD_2_SAIDA]],TAB_ESTOQUE[[Codigo]:[Referência Tec]],7,FALSE),"")</f>
        <v>0</v>
      </c>
      <c r="D1311" s="15" t="str">
        <f>VLOOKUP(TAB_SAIDA[[#This Row],[COD_2_SAIDA]],TAB_ESTOQUE[[Codigo]:[Endereço2]],12,FALSE)</f>
        <v>C1105</v>
      </c>
      <c r="E1311" s="81">
        <f>SUM(TAB_SAIDA[[#This Row],[20/05/2019]:[00/00/00]])</f>
        <v>0</v>
      </c>
      <c r="F1311" s="3"/>
      <c r="BH1311" s="3"/>
    </row>
    <row r="1312" spans="1:618" ht="15" hidden="1" customHeight="1" x14ac:dyDescent="0.25">
      <c r="A1312" s="5" t="s">
        <v>7050</v>
      </c>
      <c r="B1312" s="15" t="str">
        <f>VLOOKUP(TAB_SAIDA[[#This Row],[COD_2_SAIDA]],TAB_ESTOQUE[[Codigo]:[Descrição Tecnica]],6,FALSE)</f>
        <v>PHOENIX CONTACT D-32823 BLOMBERG CB TM1 2A M1 P 2800848</v>
      </c>
      <c r="C1312" s="15">
        <f>IFERROR(VLOOKUP(TAB_SAIDA[[#This Row],[COD_2_SAIDA]],TAB_ESTOQUE[[Codigo]:[Referência Tec]],7,FALSE),"")</f>
        <v>0</v>
      </c>
      <c r="D1312" s="15" t="str">
        <f>VLOOKUP(TAB_SAIDA[[#This Row],[COD_2_SAIDA]],TAB_ESTOQUE[[Codigo]:[Endereço2]],12,FALSE)</f>
        <v>B2103</v>
      </c>
      <c r="E1312" s="81">
        <f>SUM(TAB_SAIDA[[#This Row],[20/05/2019]:[00/00/00]])</f>
        <v>0</v>
      </c>
      <c r="F1312" s="3"/>
      <c r="BH1312" s="3"/>
    </row>
    <row r="1313" spans="1:631" ht="15" hidden="1" customHeight="1" x14ac:dyDescent="0.25">
      <c r="A1313" s="5" t="s">
        <v>7051</v>
      </c>
      <c r="B1313" s="15" t="str">
        <f>VLOOKUP(TAB_SAIDA[[#This Row],[COD_2_SAIDA]],TAB_ESTOQUE[[Codigo]:[Descrição Tecnica]],6,FALSE)</f>
        <v xml:space="preserve">SINALIZADOR GIROFLEX JNG LTE-1122 220V VERMELHO </v>
      </c>
      <c r="C1313" s="15">
        <f>IFERROR(VLOOKUP(TAB_SAIDA[[#This Row],[COD_2_SAIDA]],TAB_ESTOQUE[[Codigo]:[Referência Tec]],7,FALSE),"")</f>
        <v>0</v>
      </c>
      <c r="D1313" s="15" t="str">
        <f>VLOOKUP(TAB_SAIDA[[#This Row],[COD_2_SAIDA]],TAB_ESTOQUE[[Codigo]:[Endereço2]],12,FALSE)</f>
        <v>B2104</v>
      </c>
      <c r="E1313" s="81">
        <f>SUM(TAB_SAIDA[[#This Row],[20/05/2019]:[00/00/00]])</f>
        <v>0</v>
      </c>
      <c r="F1313" s="3"/>
      <c r="BH1313" s="3"/>
    </row>
    <row r="1314" spans="1:631" s="186" customFormat="1" ht="15" hidden="1" customHeight="1" x14ac:dyDescent="0.25">
      <c r="A1314" s="189" t="s">
        <v>7052</v>
      </c>
      <c r="B1314" s="190" t="str">
        <f>VLOOKUP(TAB_SAIDA[[#This Row],[COD_2_SAIDA]],TAB_ESTOQUE[[Codigo]:[Descrição Tecnica]],6,FALSE)</f>
        <v>VALVULA HIDRAULICA REXROTH REF: 4WE6H61/EG24N9K4</v>
      </c>
      <c r="C1314" s="190">
        <f>IFERROR(VLOOKUP(TAB_SAIDA[[#This Row],[COD_2_SAIDA]],TAB_ESTOQUE[[Codigo]:[Referência Tec]],7,FALSE),"")</f>
        <v>0</v>
      </c>
      <c r="D1314" s="190" t="str">
        <f>VLOOKUP(TAB_SAIDA[[#This Row],[COD_2_SAIDA]],TAB_ESTOQUE[[Codigo]:[Endereço2]],12,FALSE)</f>
        <v>C2104</v>
      </c>
      <c r="E1314" s="191">
        <f>SUM(TAB_SAIDA[[#This Row],[20/05/2019]:[00/00/00]])</f>
        <v>0</v>
      </c>
      <c r="F1314" s="192"/>
      <c r="G1314" s="192"/>
      <c r="H1314" s="192"/>
      <c r="I1314" s="192"/>
      <c r="J1314" s="192"/>
      <c r="K1314" s="192"/>
      <c r="L1314" s="192"/>
      <c r="M1314" s="192"/>
      <c r="N1314" s="192"/>
      <c r="O1314" s="192"/>
      <c r="P1314" s="192"/>
      <c r="Q1314" s="192"/>
      <c r="R1314" s="192"/>
      <c r="S1314" s="192"/>
      <c r="T1314" s="192"/>
      <c r="U1314" s="192"/>
      <c r="V1314" s="192"/>
      <c r="W1314" s="192"/>
      <c r="X1314" s="192"/>
      <c r="Y1314" s="192"/>
      <c r="Z1314" s="192"/>
      <c r="AA1314" s="192"/>
      <c r="AB1314" s="192"/>
      <c r="AC1314" s="192"/>
      <c r="AD1314" s="192"/>
      <c r="AE1314" s="192"/>
      <c r="AF1314" s="192"/>
      <c r="AG1314" s="192"/>
      <c r="AH1314" s="192"/>
      <c r="AI1314" s="192"/>
      <c r="AJ1314" s="192"/>
      <c r="AK1314" s="192"/>
      <c r="AL1314" s="192"/>
      <c r="AM1314" s="192"/>
      <c r="AN1314" s="192"/>
      <c r="AO1314" s="192"/>
      <c r="AP1314" s="192"/>
      <c r="AQ1314" s="192"/>
      <c r="AR1314" s="192"/>
      <c r="AS1314" s="192"/>
      <c r="AT1314" s="192"/>
      <c r="AU1314" s="192"/>
      <c r="AV1314" s="192"/>
      <c r="AW1314" s="192"/>
      <c r="AX1314" s="192"/>
      <c r="AY1314" s="192"/>
      <c r="AZ1314" s="192"/>
      <c r="BA1314" s="192"/>
      <c r="BB1314" s="192"/>
      <c r="BC1314" s="192"/>
      <c r="BD1314" s="192"/>
      <c r="BE1314" s="192"/>
      <c r="BF1314" s="192"/>
      <c r="BG1314" s="192"/>
      <c r="BH1314" s="192"/>
      <c r="BI1314" s="192"/>
      <c r="BJ1314" s="192"/>
      <c r="BK1314" s="192"/>
      <c r="BL1314" s="192"/>
      <c r="BM1314" s="192"/>
      <c r="BN1314" s="192"/>
      <c r="BO1314" s="192"/>
      <c r="BP1314" s="192"/>
      <c r="BQ1314" s="192"/>
      <c r="BR1314" s="192"/>
      <c r="BS1314" s="192"/>
      <c r="BT1314" s="192"/>
      <c r="BU1314" s="192"/>
      <c r="BV1314" s="192"/>
      <c r="BW1314" s="192"/>
      <c r="BX1314" s="192"/>
      <c r="BY1314" s="192"/>
      <c r="BZ1314" s="192"/>
      <c r="CA1314" s="192"/>
      <c r="CB1314" s="192"/>
      <c r="CC1314" s="192"/>
      <c r="CD1314" s="192"/>
      <c r="CE1314" s="192"/>
      <c r="CF1314" s="192"/>
      <c r="CG1314" s="192"/>
      <c r="CH1314" s="192"/>
      <c r="CI1314" s="192"/>
      <c r="CJ1314" s="192"/>
      <c r="CK1314" s="192"/>
      <c r="CL1314" s="192"/>
      <c r="CM1314" s="192"/>
      <c r="CN1314" s="192"/>
      <c r="CO1314" s="192"/>
      <c r="CP1314" s="192"/>
      <c r="CQ1314" s="192"/>
      <c r="CR1314" s="192"/>
      <c r="CS1314" s="192"/>
      <c r="CT1314" s="192"/>
      <c r="CU1314" s="192"/>
      <c r="CV1314" s="192"/>
      <c r="CW1314" s="192"/>
      <c r="CX1314" s="192"/>
      <c r="CY1314" s="192"/>
      <c r="CZ1314" s="192"/>
      <c r="DA1314" s="192"/>
      <c r="DB1314" s="192"/>
      <c r="DC1314" s="192"/>
      <c r="DD1314" s="192"/>
      <c r="DE1314" s="192"/>
      <c r="DF1314" s="192"/>
      <c r="DG1314" s="192"/>
      <c r="DH1314" s="192"/>
      <c r="DI1314" s="192"/>
      <c r="DJ1314" s="192"/>
      <c r="DK1314" s="192"/>
      <c r="DL1314" s="192"/>
      <c r="DM1314" s="192"/>
      <c r="DN1314" s="192"/>
      <c r="DO1314" s="192"/>
      <c r="DP1314" s="192"/>
      <c r="DQ1314" s="192"/>
      <c r="DR1314" s="192"/>
      <c r="DS1314" s="192"/>
      <c r="DT1314" s="192"/>
      <c r="DU1314" s="192"/>
      <c r="DV1314" s="192"/>
      <c r="DW1314" s="192"/>
      <c r="DX1314" s="192"/>
      <c r="DY1314" s="192"/>
      <c r="DZ1314" s="192"/>
      <c r="EA1314" s="192"/>
      <c r="EB1314" s="192"/>
      <c r="EC1314" s="192"/>
      <c r="ED1314" s="192"/>
      <c r="EE1314" s="192"/>
      <c r="EF1314" s="192"/>
      <c r="EG1314" s="192"/>
      <c r="EH1314" s="192"/>
      <c r="EI1314" s="192"/>
      <c r="EJ1314" s="192"/>
      <c r="EK1314" s="192"/>
      <c r="EL1314" s="192"/>
      <c r="EM1314" s="192"/>
      <c r="EN1314" s="192"/>
      <c r="EO1314" s="192"/>
      <c r="EP1314" s="192"/>
      <c r="EQ1314" s="192"/>
      <c r="ER1314" s="192"/>
      <c r="ES1314" s="192"/>
      <c r="ET1314" s="192"/>
      <c r="EU1314" s="192"/>
      <c r="EV1314" s="192"/>
      <c r="EW1314" s="192"/>
      <c r="EX1314" s="192"/>
      <c r="EY1314" s="192"/>
      <c r="EZ1314" s="192"/>
      <c r="FA1314" s="192"/>
      <c r="FB1314" s="192"/>
      <c r="FC1314" s="192"/>
      <c r="FD1314" s="192"/>
      <c r="FE1314" s="192"/>
      <c r="FF1314" s="192"/>
      <c r="FG1314" s="192"/>
      <c r="FH1314" s="192"/>
      <c r="FI1314" s="192"/>
      <c r="FJ1314" s="192"/>
      <c r="FK1314" s="192"/>
      <c r="FL1314" s="192"/>
      <c r="FM1314" s="192"/>
      <c r="FN1314" s="192"/>
      <c r="FO1314" s="192"/>
      <c r="FP1314" s="192"/>
      <c r="FQ1314" s="192"/>
      <c r="FR1314" s="192"/>
      <c r="FS1314" s="192"/>
      <c r="FT1314" s="192"/>
      <c r="FU1314" s="192"/>
      <c r="FV1314" s="192"/>
      <c r="FW1314" s="192"/>
      <c r="FX1314" s="192"/>
      <c r="FY1314" s="192"/>
      <c r="FZ1314" s="192"/>
      <c r="GA1314" s="192"/>
      <c r="GB1314" s="192"/>
      <c r="GC1314" s="192"/>
      <c r="GD1314" s="192"/>
      <c r="GE1314" s="192"/>
      <c r="GF1314" s="192"/>
      <c r="GG1314" s="192"/>
      <c r="GH1314" s="192"/>
      <c r="GI1314" s="192"/>
      <c r="GJ1314" s="192"/>
      <c r="GK1314" s="192"/>
      <c r="GL1314" s="192"/>
      <c r="GM1314" s="192"/>
      <c r="GN1314" s="192"/>
      <c r="GO1314" s="192"/>
      <c r="GP1314" s="192"/>
      <c r="GQ1314" s="192"/>
      <c r="GR1314" s="192"/>
      <c r="GS1314" s="192"/>
      <c r="GT1314" s="192"/>
      <c r="GU1314" s="192"/>
      <c r="GV1314" s="192"/>
      <c r="GW1314" s="192"/>
      <c r="GX1314" s="192"/>
      <c r="GY1314" s="192"/>
      <c r="GZ1314" s="192"/>
      <c r="HA1314" s="192"/>
      <c r="HB1314" s="192"/>
      <c r="HC1314" s="192"/>
      <c r="HD1314" s="192"/>
      <c r="HE1314" s="192"/>
      <c r="HF1314" s="192"/>
      <c r="HG1314" s="192"/>
      <c r="HH1314" s="192"/>
      <c r="HI1314" s="192"/>
      <c r="HJ1314" s="192"/>
      <c r="HK1314" s="192"/>
      <c r="HL1314" s="192"/>
      <c r="HM1314" s="192"/>
      <c r="HN1314" s="192"/>
      <c r="HO1314" s="192"/>
      <c r="HP1314" s="192"/>
      <c r="HQ1314" s="192"/>
      <c r="HR1314" s="192"/>
      <c r="HS1314" s="192"/>
      <c r="HT1314" s="192"/>
      <c r="HU1314" s="192"/>
      <c r="HV1314" s="192"/>
      <c r="HW1314" s="192"/>
      <c r="HX1314" s="192"/>
      <c r="HY1314" s="192"/>
      <c r="HZ1314" s="192"/>
      <c r="IA1314" s="192"/>
      <c r="IB1314" s="192"/>
      <c r="IC1314" s="192"/>
      <c r="ID1314" s="192"/>
      <c r="IE1314" s="192"/>
      <c r="IF1314" s="192"/>
      <c r="IG1314" s="192"/>
      <c r="IH1314" s="192"/>
      <c r="II1314" s="192"/>
      <c r="IJ1314" s="192"/>
      <c r="IK1314" s="192"/>
      <c r="IL1314" s="192"/>
      <c r="IM1314" s="192"/>
      <c r="IN1314" s="192"/>
      <c r="IO1314" s="192"/>
      <c r="IP1314" s="192"/>
      <c r="IQ1314" s="192"/>
      <c r="IR1314" s="192"/>
      <c r="IS1314" s="192"/>
      <c r="IT1314" s="192"/>
      <c r="IU1314" s="192"/>
      <c r="IV1314" s="192"/>
      <c r="IW1314" s="192"/>
      <c r="IX1314" s="192"/>
      <c r="IY1314" s="192"/>
      <c r="IZ1314" s="192"/>
      <c r="JA1314" s="192"/>
      <c r="JB1314" s="192"/>
      <c r="JC1314" s="192"/>
      <c r="JD1314" s="192"/>
      <c r="JE1314" s="192"/>
      <c r="JF1314" s="192"/>
      <c r="JG1314" s="192"/>
      <c r="JH1314" s="192"/>
      <c r="JI1314" s="192"/>
      <c r="JJ1314" s="192"/>
      <c r="JK1314" s="192"/>
      <c r="JL1314" s="192"/>
      <c r="JM1314" s="192"/>
      <c r="JN1314" s="192"/>
      <c r="JO1314" s="192"/>
      <c r="JP1314" s="192"/>
      <c r="JQ1314" s="192"/>
      <c r="JR1314" s="192"/>
      <c r="JS1314" s="192"/>
      <c r="JT1314" s="192"/>
      <c r="JU1314" s="192"/>
      <c r="JV1314" s="192"/>
      <c r="JW1314" s="192"/>
      <c r="JX1314" s="192"/>
      <c r="JY1314" s="192"/>
      <c r="JZ1314" s="192"/>
      <c r="KA1314" s="192"/>
      <c r="KB1314" s="192"/>
      <c r="KC1314" s="192"/>
      <c r="KD1314" s="192"/>
      <c r="KE1314" s="192"/>
      <c r="KF1314" s="192"/>
      <c r="KG1314" s="192"/>
      <c r="KH1314" s="192"/>
      <c r="KI1314" s="192"/>
      <c r="KJ1314" s="192"/>
      <c r="KK1314" s="192"/>
      <c r="KL1314" s="192"/>
      <c r="KM1314" s="192"/>
      <c r="KN1314" s="192"/>
      <c r="KO1314" s="192"/>
      <c r="KP1314" s="192"/>
      <c r="KQ1314" s="192"/>
      <c r="KR1314" s="192"/>
      <c r="KS1314" s="192"/>
      <c r="KT1314" s="192"/>
      <c r="KU1314" s="192"/>
      <c r="KV1314" s="192"/>
      <c r="KW1314" s="192"/>
      <c r="KX1314" s="192"/>
      <c r="KY1314" s="192"/>
      <c r="KZ1314" s="192"/>
      <c r="LA1314" s="192"/>
      <c r="LB1314" s="192"/>
      <c r="LC1314" s="192"/>
      <c r="LD1314" s="192"/>
      <c r="LE1314" s="192"/>
      <c r="LF1314" s="192"/>
      <c r="LG1314" s="192"/>
      <c r="LH1314" s="192"/>
      <c r="LI1314" s="192"/>
      <c r="LJ1314" s="192"/>
      <c r="LK1314" s="192"/>
      <c r="LL1314" s="192"/>
      <c r="LM1314" s="192"/>
      <c r="LN1314" s="192"/>
      <c r="LO1314" s="192"/>
      <c r="LP1314" s="192"/>
      <c r="LQ1314" s="192"/>
      <c r="LR1314" s="192"/>
      <c r="LS1314" s="192"/>
      <c r="LT1314" s="192"/>
      <c r="LU1314" s="192"/>
      <c r="LV1314" s="192"/>
      <c r="LW1314" s="192"/>
      <c r="LX1314" s="192"/>
      <c r="LY1314" s="192"/>
      <c r="LZ1314" s="192"/>
      <c r="MA1314" s="192"/>
      <c r="MB1314" s="192"/>
      <c r="MC1314" s="192"/>
      <c r="MD1314" s="192"/>
      <c r="ME1314" s="192"/>
      <c r="MF1314" s="192"/>
      <c r="MG1314" s="192"/>
      <c r="MH1314" s="192"/>
      <c r="MI1314" s="192"/>
      <c r="MJ1314" s="192"/>
      <c r="MK1314" s="192"/>
      <c r="ML1314" s="192"/>
      <c r="MM1314" s="192"/>
      <c r="MN1314" s="192"/>
      <c r="MO1314" s="192"/>
      <c r="MP1314" s="192"/>
      <c r="MQ1314" s="192"/>
      <c r="MR1314" s="192"/>
      <c r="MS1314" s="192"/>
      <c r="MT1314" s="192"/>
      <c r="MU1314" s="192"/>
      <c r="MV1314" s="192"/>
      <c r="MW1314" s="192"/>
      <c r="MX1314" s="192"/>
      <c r="MY1314" s="192"/>
      <c r="MZ1314" s="192"/>
      <c r="NA1314" s="192"/>
      <c r="NB1314" s="192"/>
      <c r="NC1314" s="192"/>
      <c r="ND1314" s="192"/>
      <c r="NE1314" s="192"/>
      <c r="NF1314" s="192"/>
      <c r="NG1314" s="192"/>
      <c r="NH1314" s="192"/>
      <c r="NI1314" s="192"/>
      <c r="NJ1314" s="192"/>
      <c r="NK1314" s="192"/>
      <c r="NL1314" s="192"/>
      <c r="NM1314" s="192"/>
      <c r="NN1314" s="192"/>
      <c r="NO1314" s="192"/>
      <c r="NP1314" s="192"/>
      <c r="NQ1314" s="192"/>
      <c r="NR1314" s="192"/>
      <c r="NS1314" s="192"/>
      <c r="NT1314" s="192"/>
      <c r="NU1314" s="192"/>
      <c r="NV1314" s="192"/>
      <c r="NW1314" s="192"/>
      <c r="NX1314" s="192"/>
      <c r="NY1314" s="192"/>
      <c r="NZ1314" s="192"/>
      <c r="OA1314" s="192"/>
      <c r="OB1314" s="192"/>
      <c r="OC1314" s="192"/>
      <c r="OD1314" s="192"/>
      <c r="OE1314" s="192"/>
      <c r="OF1314" s="192"/>
      <c r="OG1314" s="192"/>
      <c r="OH1314" s="192"/>
      <c r="OI1314" s="192"/>
      <c r="OJ1314" s="192"/>
      <c r="OK1314" s="192"/>
      <c r="OL1314" s="192"/>
      <c r="OM1314" s="192"/>
      <c r="ON1314" s="192"/>
      <c r="OO1314" s="192"/>
      <c r="OP1314" s="192"/>
      <c r="OQ1314" s="192"/>
      <c r="OR1314" s="192"/>
      <c r="OS1314" s="192"/>
      <c r="OT1314" s="192"/>
      <c r="OU1314" s="192"/>
      <c r="OV1314" s="192"/>
      <c r="OW1314" s="192"/>
      <c r="OX1314" s="192"/>
      <c r="OY1314" s="192"/>
      <c r="OZ1314" s="192"/>
      <c r="PA1314" s="192"/>
      <c r="PB1314" s="192"/>
      <c r="PC1314" s="192"/>
      <c r="PD1314" s="192"/>
      <c r="PE1314" s="192"/>
      <c r="PF1314" s="192"/>
      <c r="PG1314" s="192"/>
      <c r="PH1314" s="192"/>
      <c r="PI1314" s="192"/>
      <c r="PJ1314" s="192"/>
      <c r="PK1314" s="192"/>
      <c r="PL1314" s="192"/>
      <c r="PM1314" s="192"/>
      <c r="PN1314" s="192"/>
      <c r="PO1314" s="192"/>
      <c r="PP1314" s="192"/>
      <c r="PQ1314" s="192"/>
      <c r="PR1314" s="192"/>
      <c r="PS1314" s="192"/>
      <c r="PT1314" s="192"/>
      <c r="PU1314" s="192"/>
      <c r="PV1314" s="192"/>
      <c r="PW1314" s="192"/>
      <c r="PX1314" s="192"/>
      <c r="PY1314" s="192"/>
      <c r="PZ1314" s="192"/>
      <c r="QA1314" s="192"/>
      <c r="QB1314" s="192"/>
      <c r="QC1314" s="192"/>
      <c r="QD1314" s="192"/>
      <c r="QE1314" s="192"/>
      <c r="QF1314" s="192"/>
      <c r="QG1314" s="192"/>
      <c r="QH1314" s="192"/>
      <c r="QI1314" s="192"/>
      <c r="QJ1314" s="192"/>
      <c r="QK1314" s="192"/>
      <c r="QL1314" s="192"/>
      <c r="QM1314" s="192"/>
      <c r="QN1314" s="192"/>
      <c r="QO1314" s="192"/>
      <c r="QP1314" s="192"/>
      <c r="QQ1314" s="192"/>
      <c r="QR1314" s="192"/>
      <c r="QS1314" s="192"/>
      <c r="QT1314" s="192"/>
      <c r="QU1314" s="192"/>
      <c r="QV1314" s="192"/>
      <c r="QW1314" s="192"/>
      <c r="QX1314" s="192"/>
      <c r="QY1314" s="192"/>
      <c r="QZ1314" s="192"/>
      <c r="RA1314" s="192"/>
      <c r="RB1314" s="192"/>
      <c r="RC1314" s="192"/>
      <c r="RD1314" s="192"/>
      <c r="RE1314" s="192"/>
      <c r="RF1314" s="192"/>
      <c r="RG1314" s="192"/>
      <c r="RH1314" s="192"/>
      <c r="RI1314" s="192"/>
      <c r="RJ1314" s="192"/>
      <c r="RK1314" s="192"/>
      <c r="RL1314" s="192"/>
      <c r="RM1314" s="192"/>
      <c r="RN1314" s="192"/>
      <c r="RO1314" s="192"/>
      <c r="RP1314" s="192"/>
      <c r="RQ1314" s="192"/>
      <c r="RR1314" s="192"/>
      <c r="RS1314" s="192"/>
      <c r="RT1314" s="192"/>
      <c r="RU1314" s="192"/>
      <c r="RV1314" s="192"/>
      <c r="RW1314" s="192"/>
      <c r="RX1314" s="192"/>
      <c r="RY1314" s="192"/>
      <c r="RZ1314" s="192"/>
      <c r="SA1314" s="192"/>
      <c r="SB1314" s="192"/>
      <c r="SC1314" s="192"/>
      <c r="SD1314" s="192"/>
      <c r="SE1314" s="192"/>
      <c r="SF1314" s="192"/>
      <c r="SG1314" s="192"/>
      <c r="SH1314" s="192"/>
      <c r="SI1314" s="192"/>
      <c r="SJ1314" s="192"/>
      <c r="SK1314" s="192"/>
      <c r="SL1314" s="192"/>
      <c r="SM1314" s="192"/>
      <c r="SN1314" s="192"/>
      <c r="SO1314" s="192"/>
      <c r="SP1314" s="192"/>
      <c r="SQ1314" s="192"/>
      <c r="SR1314" s="192"/>
      <c r="SS1314" s="192"/>
      <c r="ST1314" s="192"/>
      <c r="SU1314" s="192"/>
      <c r="SV1314" s="192"/>
      <c r="SW1314" s="192"/>
      <c r="SX1314" s="192"/>
      <c r="SY1314" s="192"/>
      <c r="SZ1314" s="192"/>
      <c r="TA1314" s="192"/>
      <c r="TB1314" s="192"/>
      <c r="TC1314" s="192"/>
      <c r="TD1314" s="192"/>
      <c r="TE1314" s="192"/>
      <c r="TF1314" s="192"/>
      <c r="TG1314" s="192"/>
      <c r="TH1314" s="192"/>
      <c r="TI1314" s="192"/>
      <c r="TJ1314" s="192"/>
      <c r="TK1314" s="192"/>
      <c r="TL1314" s="192"/>
      <c r="TM1314" s="192"/>
      <c r="TN1314" s="192"/>
      <c r="TO1314" s="192"/>
      <c r="TP1314" s="192"/>
      <c r="TQ1314" s="192"/>
      <c r="TR1314" s="192"/>
      <c r="TS1314" s="192"/>
      <c r="TT1314" s="192"/>
      <c r="TU1314" s="192"/>
      <c r="TV1314" s="192"/>
      <c r="TW1314" s="192"/>
      <c r="TX1314" s="192"/>
      <c r="TY1314" s="192"/>
      <c r="TZ1314" s="192"/>
      <c r="UA1314" s="192"/>
      <c r="UB1314" s="192"/>
      <c r="UC1314" s="192"/>
      <c r="UD1314" s="192"/>
      <c r="UE1314" s="192"/>
      <c r="UF1314" s="192"/>
      <c r="UG1314" s="192"/>
      <c r="UH1314" s="192"/>
      <c r="UI1314" s="192"/>
      <c r="UJ1314" s="192"/>
      <c r="UK1314" s="192"/>
      <c r="UL1314" s="192"/>
      <c r="UM1314" s="192"/>
      <c r="UN1314" s="192"/>
      <c r="UO1314" s="192"/>
      <c r="UP1314" s="192"/>
      <c r="UQ1314" s="192"/>
      <c r="UR1314" s="192"/>
      <c r="US1314" s="192"/>
      <c r="UT1314" s="192"/>
      <c r="UU1314" s="192"/>
      <c r="UV1314" s="192"/>
      <c r="UW1314" s="192"/>
      <c r="UX1314" s="192"/>
      <c r="UY1314" s="192"/>
      <c r="UZ1314" s="192"/>
      <c r="VA1314" s="192"/>
      <c r="VB1314" s="192"/>
      <c r="VC1314" s="192"/>
      <c r="VD1314" s="192"/>
      <c r="VE1314" s="192"/>
      <c r="VF1314" s="192"/>
      <c r="VG1314" s="192"/>
      <c r="VH1314" s="192"/>
      <c r="VI1314" s="192"/>
      <c r="VJ1314" s="192"/>
      <c r="VK1314" s="192"/>
      <c r="VL1314" s="192"/>
      <c r="VM1314" s="192"/>
      <c r="VN1314" s="192"/>
      <c r="VO1314" s="192"/>
      <c r="VP1314" s="192"/>
      <c r="VQ1314" s="192"/>
      <c r="VR1314" s="192"/>
      <c r="VS1314" s="192"/>
      <c r="VT1314" s="192"/>
      <c r="VU1314" s="192"/>
      <c r="VV1314" s="192"/>
      <c r="VW1314" s="192"/>
      <c r="VX1314" s="192"/>
      <c r="VY1314" s="192"/>
      <c r="VZ1314" s="192"/>
      <c r="WA1314" s="192"/>
      <c r="WB1314" s="192"/>
      <c r="WC1314" s="192"/>
      <c r="WD1314" s="192"/>
      <c r="WE1314" s="192"/>
      <c r="WF1314" s="192"/>
      <c r="WG1314" s="192"/>
      <c r="WH1314" s="192"/>
      <c r="WI1314" s="192"/>
      <c r="WJ1314" s="192"/>
      <c r="WK1314" s="192"/>
      <c r="WL1314" s="192"/>
      <c r="WM1314" s="192"/>
      <c r="WN1314" s="192"/>
      <c r="WO1314" s="192"/>
      <c r="WP1314" s="192"/>
      <c r="WQ1314" s="192"/>
      <c r="WR1314" s="192"/>
      <c r="WS1314" s="192"/>
      <c r="WT1314" s="192"/>
      <c r="WU1314" s="192"/>
      <c r="WV1314" s="192"/>
      <c r="WW1314" s="192"/>
      <c r="WX1314" s="192"/>
      <c r="WY1314" s="192"/>
      <c r="WZ1314" s="192"/>
      <c r="XA1314" s="192"/>
      <c r="XB1314" s="192"/>
      <c r="XC1314" s="192"/>
      <c r="XD1314" s="192"/>
      <c r="XE1314" s="192"/>
      <c r="XF1314" s="192"/>
      <c r="XG1314" s="192"/>
    </row>
    <row r="1315" spans="1:631" ht="15" hidden="1" customHeight="1" x14ac:dyDescent="0.25">
      <c r="A1315" s="5" t="s">
        <v>7053</v>
      </c>
      <c r="B1315" s="15" t="str">
        <f>VLOOKUP(TAB_SAIDA[[#This Row],[COD_2_SAIDA]],TAB_ESTOQUE[[Codigo]:[Descrição Tecnica]],6,FALSE)</f>
        <v xml:space="preserve">BOMBA DE DIAFRAGMAN MSD BDM 160 P/ TRANSFERÊNCIA 1/2" </v>
      </c>
      <c r="C1315" s="15">
        <f>IFERROR(VLOOKUP(TAB_SAIDA[[#This Row],[COD_2_SAIDA]],TAB_ESTOQUE[[Codigo]:[Referência Tec]],7,FALSE),"")</f>
        <v>0</v>
      </c>
      <c r="D1315" s="15" t="str">
        <f>VLOOKUP(TAB_SAIDA[[#This Row],[COD_2_SAIDA]],TAB_ESTOQUE[[Codigo]:[Endereço2]],12,FALSE)</f>
        <v>F1106</v>
      </c>
      <c r="E1315" s="81">
        <f>SUM(TAB_SAIDA[[#This Row],[20/05/2019]:[00/00/00]])</f>
        <v>2</v>
      </c>
      <c r="F1315" s="3"/>
      <c r="BH1315" s="3"/>
      <c r="VD1315" s="3">
        <v>1</v>
      </c>
      <c r="WH1315" s="3">
        <v>1</v>
      </c>
    </row>
    <row r="1316" spans="1:631" ht="15" hidden="1" customHeight="1" x14ac:dyDescent="0.25">
      <c r="A1316" s="5" t="s">
        <v>7054</v>
      </c>
      <c r="B1316" s="15" t="str">
        <f>VLOOKUP(TAB_SAIDA[[#This Row],[COD_2_SAIDA]],TAB_ESTOQUE[[Codigo]:[Descrição Tecnica]],6,FALSE)</f>
        <v xml:space="preserve">AC2459-Módulo As-i Compacto 4E / 4S P </v>
      </c>
      <c r="C1316" s="15">
        <f>IFERROR(VLOOKUP(TAB_SAIDA[[#This Row],[COD_2_SAIDA]],TAB_ESTOQUE[[Codigo]:[Referência Tec]],7,FALSE),"")</f>
        <v>0</v>
      </c>
      <c r="D1316" s="15" t="str">
        <f>VLOOKUP(TAB_SAIDA[[#This Row],[COD_2_SAIDA]],TAB_ESTOQUE[[Codigo]:[Endereço2]],12,FALSE)</f>
        <v>B1103</v>
      </c>
      <c r="E1316" s="81">
        <f>SUM(TAB_SAIDA[[#This Row],[20/05/2019]:[00/00/00]])</f>
        <v>0</v>
      </c>
      <c r="F1316" s="3"/>
      <c r="BH1316" s="3"/>
    </row>
    <row r="1317" spans="1:631" ht="15" hidden="1" customHeight="1" x14ac:dyDescent="0.25">
      <c r="A1317" s="5" t="s">
        <v>7055</v>
      </c>
      <c r="B1317" s="15" t="str">
        <f>VLOOKUP(TAB_SAIDA[[#This Row],[COD_2_SAIDA]],TAB_ESTOQUE[[Codigo]:[Descrição Tecnica]],6,FALSE)</f>
        <v xml:space="preserve">PRESSOSTATOS FESTO SPAW-P100R G12M-2P-M12 8022757 K8 P110BEWNI 0...100bar Ub: 15...35V max. 600mA </v>
      </c>
      <c r="C1317" s="15">
        <f>IFERROR(VLOOKUP(TAB_SAIDA[[#This Row],[COD_2_SAIDA]],TAB_ESTOQUE[[Codigo]:[Referência Tec]],7,FALSE),"")</f>
        <v>0</v>
      </c>
      <c r="D1317" s="15" t="str">
        <f>VLOOKUP(TAB_SAIDA[[#This Row],[COD_2_SAIDA]],TAB_ESTOQUE[[Codigo]:[Endereço2]],12,FALSE)</f>
        <v>B2104</v>
      </c>
      <c r="E1317" s="81">
        <f>SUM(TAB_SAIDA[[#This Row],[20/05/2019]:[00/00/00]])</f>
        <v>0</v>
      </c>
      <c r="F1317" s="3"/>
      <c r="BH1317" s="3"/>
    </row>
    <row r="1318" spans="1:631" ht="15" hidden="1" customHeight="1" x14ac:dyDescent="0.25">
      <c r="A1318" s="5" t="s">
        <v>7056</v>
      </c>
      <c r="B1318" s="15" t="str">
        <f>VLOOKUP(TAB_SAIDA[[#This Row],[COD_2_SAIDA]],TAB_ESTOQUE[[Codigo]:[Descrição Tecnica]],6,FALSE)</f>
        <v>CILINDRO DE ALTA PRESSÃO (FLAUTA/LINER-HP CYLINDER) EM PLASTICO 20497767</v>
      </c>
      <c r="C1318" s="15">
        <f>IFERROR(VLOOKUP(TAB_SAIDA[[#This Row],[COD_2_SAIDA]],TAB_ESTOQUE[[Codigo]:[Referência Tec]],7,FALSE),"")</f>
        <v>0</v>
      </c>
      <c r="D1318" s="15" t="str">
        <f>VLOOKUP(TAB_SAIDA[[#This Row],[COD_2_SAIDA]],TAB_ESTOQUE[[Codigo]:[Endereço2]],12,FALSE)</f>
        <v>D2205</v>
      </c>
      <c r="E1318" s="81">
        <f>SUM(TAB_SAIDA[[#This Row],[20/05/2019]:[00/00/00]])</f>
        <v>2</v>
      </c>
      <c r="F1318" s="3"/>
      <c r="BH1318" s="3"/>
      <c r="SZ1318" s="3">
        <v>1</v>
      </c>
      <c r="VI1318" s="3">
        <v>1</v>
      </c>
    </row>
    <row r="1319" spans="1:631" ht="15" hidden="1" customHeight="1" x14ac:dyDescent="0.25">
      <c r="A1319" s="5" t="s">
        <v>7070</v>
      </c>
      <c r="B1319" s="15" t="str">
        <f>VLOOKUP(TAB_SAIDA[[#This Row],[COD_2_SAIDA]],TAB_ESTOQUE[[Codigo]:[Descrição Tecnica]],6,FALSE)</f>
        <v>MODULO E/S DIGITAL SM323 DO16 24VDC/0,5A  6ES73231BL000AA0</v>
      </c>
      <c r="C1319" s="15">
        <f>IFERROR(VLOOKUP(TAB_SAIDA[[#This Row],[COD_2_SAIDA]],TAB_ESTOQUE[[Codigo]:[Referência Tec]],7,FALSE),"")</f>
        <v>0</v>
      </c>
      <c r="D1319" s="15" t="str">
        <f>VLOOKUP(TAB_SAIDA[[#This Row],[COD_2_SAIDA]],TAB_ESTOQUE[[Codigo]:[Endereço2]],12,FALSE)</f>
        <v>B2104</v>
      </c>
      <c r="E1319" s="81">
        <f>SUM(TAB_SAIDA[[#This Row],[20/05/2019]:[00/00/00]])</f>
        <v>0</v>
      </c>
      <c r="F1319" s="3"/>
      <c r="BH1319" s="3"/>
    </row>
    <row r="1320" spans="1:631" ht="15" hidden="1" customHeight="1" x14ac:dyDescent="0.25">
      <c r="A1320" s="5" t="s">
        <v>7071</v>
      </c>
      <c r="B1320" s="15" t="str">
        <f>VLOOKUP(TAB_SAIDA[[#This Row],[COD_2_SAIDA]],TAB_ESTOQUE[[Codigo]:[Descrição Tecnica]],6,FALSE)</f>
        <v>MODULO SAIDA DIGITAL S7 SM322 DO16   6ES73221BH010AA0</v>
      </c>
      <c r="C1320" s="15">
        <f>IFERROR(VLOOKUP(TAB_SAIDA[[#This Row],[COD_2_SAIDA]],TAB_ESTOQUE[[Codigo]:[Referência Tec]],7,FALSE),"")</f>
        <v>0</v>
      </c>
      <c r="D1320" s="15" t="str">
        <f>VLOOKUP(TAB_SAIDA[[#This Row],[COD_2_SAIDA]],TAB_ESTOQUE[[Codigo]:[Endereço2]],12,FALSE)</f>
        <v>B2104</v>
      </c>
      <c r="E1320" s="81">
        <f>SUM(TAB_SAIDA[[#This Row],[20/05/2019]:[00/00/00]])</f>
        <v>0</v>
      </c>
      <c r="F1320" s="3"/>
      <c r="BH1320" s="3"/>
    </row>
    <row r="1321" spans="1:631" ht="15" hidden="1" customHeight="1" x14ac:dyDescent="0.25">
      <c r="A1321" s="5" t="s">
        <v>7072</v>
      </c>
      <c r="B1321" s="15" t="str">
        <f>VLOOKUP(TAB_SAIDA[[#This Row],[COD_2_SAIDA]],TAB_ESTOQUE[[Codigo]:[Descrição Tecnica]],6,FALSE)</f>
        <v>RESISTENCIA TUB INOX  Ø3/8 FLANGE 290mm 12KW/254/440V E3</v>
      </c>
      <c r="C1321" s="15">
        <f>IFERROR(VLOOKUP(TAB_SAIDA[[#This Row],[COD_2_SAIDA]],TAB_ESTOQUE[[Codigo]:[Referência Tec]],7,FALSE),"")</f>
        <v>0</v>
      </c>
      <c r="D1321" s="15" t="str">
        <f>VLOOKUP(TAB_SAIDA[[#This Row],[COD_2_SAIDA]],TAB_ESTOQUE[[Codigo]:[Endereço2]],12,FALSE)</f>
        <v>A1206</v>
      </c>
      <c r="E1321" s="81">
        <f>SUM(TAB_SAIDA[[#This Row],[20/05/2019]:[00/00/00]])</f>
        <v>0</v>
      </c>
      <c r="F1321" s="3"/>
      <c r="BH1321" s="3"/>
    </row>
    <row r="1322" spans="1:631" ht="15" hidden="1" customHeight="1" x14ac:dyDescent="0.25">
      <c r="A1322" s="5" t="s">
        <v>7073</v>
      </c>
      <c r="B1322" s="15" t="str">
        <f>VLOOKUP(TAB_SAIDA[[#This Row],[COD_2_SAIDA]],TAB_ESTOQUE[[Codigo]:[Descrição Tecnica]],6,FALSE)</f>
        <v>ATUADOR PNEUMATICO COM VALVULA DE ESFERA 3/4"</v>
      </c>
      <c r="C1322" s="15">
        <f>IFERROR(VLOOKUP(TAB_SAIDA[[#This Row],[COD_2_SAIDA]],TAB_ESTOQUE[[Codigo]:[Referência Tec]],7,FALSE),"")</f>
        <v>0</v>
      </c>
      <c r="D1322" s="15" t="str">
        <f>VLOOKUP(TAB_SAIDA[[#This Row],[COD_2_SAIDA]],TAB_ESTOQUE[[Codigo]:[Endereço2]],12,FALSE)</f>
        <v>C1206</v>
      </c>
      <c r="E1322" s="81">
        <f>SUM(TAB_SAIDA[[#This Row],[20/05/2019]:[00/00/00]])</f>
        <v>0</v>
      </c>
      <c r="F1322" s="3"/>
      <c r="BH1322" s="3"/>
    </row>
    <row r="1323" spans="1:631" ht="15" hidden="1" customHeight="1" x14ac:dyDescent="0.25">
      <c r="A1323" s="5" t="s">
        <v>7074</v>
      </c>
      <c r="B1323" s="15" t="str">
        <f>VLOOKUP(TAB_SAIDA[[#This Row],[COD_2_SAIDA]],TAB_ESTOQUE[[Codigo]:[Descrição Tecnica]],6,FALSE)</f>
        <v>CONEXÃO PNEUMÁTICA 10mm COM ROSCA 1/8"</v>
      </c>
      <c r="C1323" s="15">
        <f>IFERROR(VLOOKUP(TAB_SAIDA[[#This Row],[COD_2_SAIDA]],TAB_ESTOQUE[[Codigo]:[Referência Tec]],7,FALSE),"")</f>
        <v>0</v>
      </c>
      <c r="D1323" s="15" t="str">
        <f>VLOOKUP(TAB_SAIDA[[#This Row],[COD_2_SAIDA]],TAB_ESTOQUE[[Codigo]:[Endereço2]],12,FALSE)</f>
        <v>C1305</v>
      </c>
      <c r="E1323" s="81">
        <f>SUM(TAB_SAIDA[[#This Row],[20/05/2019]:[00/00/00]])</f>
        <v>0</v>
      </c>
      <c r="F1323" s="3"/>
      <c r="BH1323" s="3"/>
    </row>
    <row r="1324" spans="1:631" ht="15" hidden="1" customHeight="1" x14ac:dyDescent="0.25">
      <c r="A1324" s="5" t="s">
        <v>7075</v>
      </c>
      <c r="B1324" s="15" t="str">
        <f>VLOOKUP(TAB_SAIDA[[#This Row],[COD_2_SAIDA]],TAB_ESTOQUE[[Codigo]:[Descrição Tecnica]],6,FALSE)</f>
        <v>CORDÃO DE GAXETA 12,7mm 1/2" 2KG</v>
      </c>
      <c r="C1324" s="15">
        <f>IFERROR(VLOOKUP(TAB_SAIDA[[#This Row],[COD_2_SAIDA]],TAB_ESTOQUE[[Codigo]:[Referência Tec]],7,FALSE),"")</f>
        <v>0</v>
      </c>
      <c r="D1324" s="15" t="str">
        <f>VLOOKUP(TAB_SAIDA[[#This Row],[COD_2_SAIDA]],TAB_ESTOQUE[[Codigo]:[Endereço2]],12,FALSE)</f>
        <v>E1102</v>
      </c>
      <c r="E1324" s="81">
        <f>SUM(TAB_SAIDA[[#This Row],[20/05/2019]:[00/00/00]])</f>
        <v>0</v>
      </c>
      <c r="F1324" s="3"/>
      <c r="BH1324" s="3"/>
    </row>
    <row r="1325" spans="1:631" ht="15" hidden="1" customHeight="1" x14ac:dyDescent="0.25">
      <c r="A1325" s="5" t="s">
        <v>7076</v>
      </c>
      <c r="B1325" s="15" t="str">
        <f>VLOOKUP(TAB_SAIDA[[#This Row],[COD_2_SAIDA]],TAB_ESTOQUE[[Codigo]:[Descrição Tecnica]],6,FALSE)</f>
        <v>PINO GUIA DA FERRAMENTA DO TUNNEL</v>
      </c>
      <c r="C1325" s="15">
        <f>IFERROR(VLOOKUP(TAB_SAIDA[[#This Row],[COD_2_SAIDA]],TAB_ESTOQUE[[Codigo]:[Referência Tec]],7,FALSE),"")</f>
        <v>0</v>
      </c>
      <c r="D1325" s="15" t="str">
        <f>VLOOKUP(TAB_SAIDA[[#This Row],[COD_2_SAIDA]],TAB_ESTOQUE[[Codigo]:[Endereço2]],12,FALSE)</f>
        <v>D1105</v>
      </c>
      <c r="E1325" s="81">
        <f>SUM(TAB_SAIDA[[#This Row],[20/05/2019]:[00/00/00]])</f>
        <v>0</v>
      </c>
      <c r="F1325" s="3"/>
      <c r="BH1325" s="3"/>
    </row>
    <row r="1326" spans="1:631" ht="15" hidden="1" customHeight="1" x14ac:dyDescent="0.25">
      <c r="A1326" s="5" t="s">
        <v>7077</v>
      </c>
      <c r="B1326" s="15" t="str">
        <f>VLOOKUP(TAB_SAIDA[[#This Row],[COD_2_SAIDA]],TAB_ESTOQUE[[Codigo]:[Descrição Tecnica]],6,FALSE)</f>
        <v>INVERSOR SIEMENS SINAMICS V20 1P 6SL3210-5BE22-2UV0</v>
      </c>
      <c r="C1326" s="15">
        <f>IFERROR(VLOOKUP(TAB_SAIDA[[#This Row],[COD_2_SAIDA]],TAB_ESTOQUE[[Codigo]:[Referência Tec]],7,FALSE),"")</f>
        <v>0</v>
      </c>
      <c r="D1326" s="15" t="str">
        <f>VLOOKUP(TAB_SAIDA[[#This Row],[COD_2_SAIDA]],TAB_ESTOQUE[[Codigo]:[Endereço2]],12,FALSE)</f>
        <v>B1303</v>
      </c>
      <c r="E1326" s="81">
        <f>SUM(TAB_SAIDA[[#This Row],[20/05/2019]:[00/00/00]])</f>
        <v>1</v>
      </c>
      <c r="F1326" s="3"/>
      <c r="BH1326" s="3"/>
      <c r="VS1326" s="3">
        <v>1</v>
      </c>
    </row>
    <row r="1327" spans="1:631" ht="15" hidden="1" customHeight="1" x14ac:dyDescent="0.25">
      <c r="A1327" s="5" t="s">
        <v>7078</v>
      </c>
      <c r="B1327" s="15" t="str">
        <f>VLOOKUP(TAB_SAIDA[[#This Row],[COD_2_SAIDA]],TAB_ESTOQUE[[Codigo]:[Descrição Tecnica]],6,FALSE)</f>
        <v>PRESSOSTATO MOD: JC-OS-02L-3 AC250V-3A DC24V/20mA</v>
      </c>
      <c r="C1327" s="15">
        <f>IFERROR(VLOOKUP(TAB_SAIDA[[#This Row],[COD_2_SAIDA]],TAB_ESTOQUE[[Codigo]:[Referência Tec]],7,FALSE),"")</f>
        <v>0</v>
      </c>
      <c r="D1327" s="15" t="str">
        <f>VLOOKUP(TAB_SAIDA[[#This Row],[COD_2_SAIDA]],TAB_ESTOQUE[[Codigo]:[Endereço2]],12,FALSE)</f>
        <v>D1303</v>
      </c>
      <c r="E1327" s="81">
        <f>SUM(TAB_SAIDA[[#This Row],[20/05/2019]:[00/00/00]])</f>
        <v>0</v>
      </c>
      <c r="F1327" s="3"/>
      <c r="BH1327" s="3"/>
    </row>
    <row r="1328" spans="1:631" ht="15" hidden="1" customHeight="1" x14ac:dyDescent="0.25">
      <c r="A1328" s="5" t="s">
        <v>7079</v>
      </c>
      <c r="B1328" s="15" t="str">
        <f>VLOOKUP(TAB_SAIDA[[#This Row],[COD_2_SAIDA]],TAB_ESTOQUE[[Codigo]:[Descrição Tecnica]],6,FALSE)</f>
        <v xml:space="preserve">CHAVE FIM DE CURSO ROTATIVA GENEBRE </v>
      </c>
      <c r="C1328" s="15">
        <f>IFERROR(VLOOKUP(TAB_SAIDA[[#This Row],[COD_2_SAIDA]],TAB_ESTOQUE[[Codigo]:[Referência Tec]],7,FALSE),"")</f>
        <v>0</v>
      </c>
      <c r="D1328" s="15" t="str">
        <f>VLOOKUP(TAB_SAIDA[[#This Row],[COD_2_SAIDA]],TAB_ESTOQUE[[Codigo]:[Endereço2]],12,FALSE)</f>
        <v>B2104</v>
      </c>
      <c r="E1328" s="81">
        <f>SUM(TAB_SAIDA[[#This Row],[20/05/2019]:[00/00/00]])</f>
        <v>0</v>
      </c>
      <c r="F1328" s="3"/>
      <c r="BH1328" s="3"/>
    </row>
    <row r="1329" spans="1:627" ht="15" hidden="1" customHeight="1" x14ac:dyDescent="0.25">
      <c r="A1329" s="5" t="s">
        <v>7080</v>
      </c>
      <c r="B1329" s="15" t="str">
        <f>VLOOKUP(TAB_SAIDA[[#This Row],[COD_2_SAIDA]],TAB_ESTOQUE[[Codigo]:[Descrição Tecnica]],6,FALSE)</f>
        <v xml:space="preserve">DISJUNTOR MOTOR GV2ME05 0.63 - 1A  </v>
      </c>
      <c r="C1329" s="15">
        <f>IFERROR(VLOOKUP(TAB_SAIDA[[#This Row],[COD_2_SAIDA]],TAB_ESTOQUE[[Codigo]:[Referência Tec]],7,FALSE),"")</f>
        <v>0</v>
      </c>
      <c r="D1329" s="15" t="str">
        <f>VLOOKUP(TAB_SAIDA[[#This Row],[COD_2_SAIDA]],TAB_ESTOQUE[[Codigo]:[Endereço2]],12,FALSE)</f>
        <v>A1303</v>
      </c>
      <c r="E1329" s="81">
        <f>SUM(TAB_SAIDA[[#This Row],[20/05/2019]:[00/00/00]])</f>
        <v>0</v>
      </c>
      <c r="F1329" s="3"/>
      <c r="BH1329" s="3"/>
    </row>
    <row r="1330" spans="1:627" ht="15" hidden="1" customHeight="1" x14ac:dyDescent="0.25">
      <c r="A1330" s="5" t="s">
        <v>7081</v>
      </c>
      <c r="B1330" s="15" t="str">
        <f>VLOOKUP(TAB_SAIDA[[#This Row],[COD_2_SAIDA]],TAB_ESTOQUE[[Codigo]:[Descrição Tecnica]],6,FALSE)</f>
        <v>DISJUNTOR MOTOR GZ1E14 le: 6-10A Eu; 690 V,50/60Hz Uimp; 6 Kv</v>
      </c>
      <c r="C1330" s="15">
        <f>IFERROR(VLOOKUP(TAB_SAIDA[[#This Row],[COD_2_SAIDA]],TAB_ESTOQUE[[Codigo]:[Referência Tec]],7,FALSE),"")</f>
        <v>0</v>
      </c>
      <c r="D1330" s="15" t="str">
        <f>VLOOKUP(TAB_SAIDA[[#This Row],[COD_2_SAIDA]],TAB_ESTOQUE[[Codigo]:[Endereço2]],12,FALSE)</f>
        <v>A1303</v>
      </c>
      <c r="E1330" s="81">
        <f>SUM(TAB_SAIDA[[#This Row],[20/05/2019]:[00/00/00]])</f>
        <v>0</v>
      </c>
      <c r="F1330" s="3"/>
      <c r="BH1330" s="3"/>
    </row>
    <row r="1331" spans="1:627" ht="15" hidden="1" customHeight="1" x14ac:dyDescent="0.25">
      <c r="A1331" s="5" t="s">
        <v>7086</v>
      </c>
      <c r="B1331" s="15" t="str">
        <f>VLOOKUP(TAB_SAIDA[[#This Row],[COD_2_SAIDA]],TAB_ESTOQUE[[Codigo]:[Descrição Tecnica]],6,FALSE)</f>
        <v>CONTATO AUXILIAR LAEN11 8C2030</v>
      </c>
      <c r="C1331" s="15">
        <f>IFERROR(VLOOKUP(TAB_SAIDA[[#This Row],[COD_2_SAIDA]],TAB_ESTOQUE[[Codigo]:[Referência Tec]],7,FALSE),"")</f>
        <v>0</v>
      </c>
      <c r="D1331" s="15" t="str">
        <f>VLOOKUP(TAB_SAIDA[[#This Row],[COD_2_SAIDA]],TAB_ESTOQUE[[Codigo]:[Endereço2]],12,FALSE)</f>
        <v>A1204</v>
      </c>
      <c r="E1331" s="81">
        <f>SUM(TAB_SAIDA[[#This Row],[20/05/2019]:[00/00/00]])</f>
        <v>0</v>
      </c>
      <c r="F1331" s="3"/>
      <c r="BH1331" s="3"/>
    </row>
    <row r="1332" spans="1:627" ht="15" hidden="1" customHeight="1" x14ac:dyDescent="0.25">
      <c r="A1332" s="5" t="s">
        <v>7087</v>
      </c>
      <c r="B1332" s="15" t="str">
        <f>VLOOKUP(TAB_SAIDA[[#This Row],[COD_2_SAIDA]],TAB_ESTOQUE[[Codigo]:[Descrição Tecnica]],6,FALSE)</f>
        <v>ROLAMENTO 6903 2RS</v>
      </c>
      <c r="C1332" s="15">
        <f>IFERROR(VLOOKUP(TAB_SAIDA[[#This Row],[COD_2_SAIDA]],TAB_ESTOQUE[[Codigo]:[Referência Tec]],7,FALSE),"")</f>
        <v>0</v>
      </c>
      <c r="D1332" s="15" t="str">
        <f>VLOOKUP(TAB_SAIDA[[#This Row],[COD_2_SAIDA]],TAB_ESTOQUE[[Codigo]:[Endereço2]],12,FALSE)</f>
        <v>D2103</v>
      </c>
      <c r="E1332" s="81">
        <f>SUM(TAB_SAIDA[[#This Row],[20/05/2019]:[00/00/00]])</f>
        <v>0</v>
      </c>
      <c r="F1332" s="3"/>
      <c r="BH1332" s="3"/>
    </row>
    <row r="1333" spans="1:627" ht="15" hidden="1" customHeight="1" x14ac:dyDescent="0.25">
      <c r="A1333" s="5" t="s">
        <v>7088</v>
      </c>
      <c r="B1333" s="15" t="str">
        <f>VLOOKUP(TAB_SAIDA[[#This Row],[COD_2_SAIDA]],TAB_ESTOQUE[[Codigo]:[Descrição Tecnica]],6,FALSE)</f>
        <v xml:space="preserve">RESISTENCIA RT TUB INOX Ø3/8 FLANGER 280mm 12KW/254/440V E3 </v>
      </c>
      <c r="C1333" s="15">
        <f>IFERROR(VLOOKUP(TAB_SAIDA[[#This Row],[COD_2_SAIDA]],TAB_ESTOQUE[[Codigo]:[Referência Tec]],7,FALSE),"")</f>
        <v>0</v>
      </c>
      <c r="D1333" s="15" t="str">
        <f>VLOOKUP(TAB_SAIDA[[#This Row],[COD_2_SAIDA]],TAB_ESTOQUE[[Codigo]:[Endereço2]],12,FALSE)</f>
        <v>A1206</v>
      </c>
      <c r="E1333" s="81">
        <f>SUM(TAB_SAIDA[[#This Row],[20/05/2019]:[00/00/00]])</f>
        <v>0</v>
      </c>
      <c r="F1333" s="3"/>
      <c r="BH1333" s="3"/>
    </row>
    <row r="1334" spans="1:627" ht="15" hidden="1" customHeight="1" x14ac:dyDescent="0.25">
      <c r="A1334" s="5" t="s">
        <v>7089</v>
      </c>
      <c r="B1334" s="15" t="str">
        <f>VLOOKUP(TAB_SAIDA[[#This Row],[COD_2_SAIDA]],TAB_ESTOQUE[[Codigo]:[Descrição Tecnica]],6,FALSE)</f>
        <v>PONTE RETIFICADORA + LGE AC KBPC5010</v>
      </c>
      <c r="C1334" s="15">
        <f>IFERROR(VLOOKUP(TAB_SAIDA[[#This Row],[COD_2_SAIDA]],TAB_ESTOQUE[[Codigo]:[Referência Tec]],7,FALSE),"")</f>
        <v>0</v>
      </c>
      <c r="D1334" s="15" t="str">
        <f>VLOOKUP(TAB_SAIDA[[#This Row],[COD_2_SAIDA]],TAB_ESTOQUE[[Codigo]:[Endereço2]],12,FALSE)</f>
        <v>A1105</v>
      </c>
      <c r="E1334" s="81">
        <f>SUM(TAB_SAIDA[[#This Row],[20/05/2019]:[00/00/00]])</f>
        <v>0</v>
      </c>
      <c r="F1334" s="3"/>
      <c r="BH1334" s="3"/>
    </row>
    <row r="1335" spans="1:627" ht="15" hidden="1" customHeight="1" x14ac:dyDescent="0.25">
      <c r="A1335" s="5" t="s">
        <v>7090</v>
      </c>
      <c r="B1335" s="15" t="str">
        <f>VLOOKUP(TAB_SAIDA[[#This Row],[COD_2_SAIDA]],TAB_ESTOQUE[[Codigo]:[Descrição Tecnica]],6,FALSE)</f>
        <v>CONTROLADOR GEFRAN SN: B20380053 CODE: 6001RDW20 SUPPLY 11..27Vac/dc 50/60Hz</v>
      </c>
      <c r="C1335" s="15">
        <f>IFERROR(VLOOKUP(TAB_SAIDA[[#This Row],[COD_2_SAIDA]],TAB_ESTOQUE[[Codigo]:[Referência Tec]],7,FALSE),"")</f>
        <v>0</v>
      </c>
      <c r="D1335" s="15" t="str">
        <f>VLOOKUP(TAB_SAIDA[[#This Row],[COD_2_SAIDA]],TAB_ESTOQUE[[Codigo]:[Endereço2]],12,FALSE)</f>
        <v>A2304</v>
      </c>
      <c r="E1335" s="81">
        <f>SUM(TAB_SAIDA[[#This Row],[20/05/2019]:[00/00/00]])</f>
        <v>0</v>
      </c>
      <c r="F1335" s="3"/>
      <c r="BH1335" s="3"/>
    </row>
    <row r="1336" spans="1:627" ht="15" hidden="1" customHeight="1" x14ac:dyDescent="0.25">
      <c r="A1336" s="5" t="s">
        <v>7091</v>
      </c>
      <c r="B1336" s="15" t="str">
        <f>VLOOKUP(TAB_SAIDA[[#This Row],[COD_2_SAIDA]],TAB_ESTOQUE[[Codigo]:[Descrição Tecnica]],6,FALSE)</f>
        <v>SOFTSTARTER SIEMENS  3RW4024-1TB04 AC SEMICONDUCTOR MOTOR STARTER</v>
      </c>
      <c r="C1336" s="15">
        <f>IFERROR(VLOOKUP(TAB_SAIDA[[#This Row],[COD_2_SAIDA]],TAB_ESTOQUE[[Codigo]:[Referência Tec]],7,FALSE),"")</f>
        <v>0</v>
      </c>
      <c r="D1336" s="15" t="str">
        <f>VLOOKUP(TAB_SAIDA[[#This Row],[COD_2_SAIDA]],TAB_ESTOQUE[[Codigo]:[Endereço2]],12,FALSE)</f>
        <v>B1205</v>
      </c>
      <c r="E1336" s="81">
        <f>SUM(TAB_SAIDA[[#This Row],[20/05/2019]:[00/00/00]])</f>
        <v>0</v>
      </c>
      <c r="F1336" s="3"/>
      <c r="BH1336" s="3"/>
    </row>
    <row r="1337" spans="1:627" ht="15" hidden="1" customHeight="1" x14ac:dyDescent="0.25">
      <c r="A1337" s="5" t="s">
        <v>7092</v>
      </c>
      <c r="B1337" s="15" t="str">
        <f>VLOOKUP(TAB_SAIDA[[#This Row],[COD_2_SAIDA]],TAB_ESTOQUE[[Codigo]:[Descrição Tecnica]],6,FALSE)</f>
        <v>AGULHA DEVILBISS SPA-362-085-10-K</v>
      </c>
      <c r="C1337" s="15">
        <f>IFERROR(VLOOKUP(TAB_SAIDA[[#This Row],[COD_2_SAIDA]],TAB_ESTOQUE[[Codigo]:[Referência Tec]],7,FALSE),"")</f>
        <v>0</v>
      </c>
      <c r="D1337" s="15" t="str">
        <f>VLOOKUP(TAB_SAIDA[[#This Row],[COD_2_SAIDA]],TAB_ESTOQUE[[Codigo]:[Endereço2]],12,FALSE)</f>
        <v>E2303</v>
      </c>
      <c r="E1337" s="81">
        <f>SUM(TAB_SAIDA[[#This Row],[20/05/2019]:[00/00/00]])</f>
        <v>0</v>
      </c>
      <c r="F1337" s="3"/>
      <c r="BH1337" s="3"/>
    </row>
    <row r="1338" spans="1:627" ht="15" hidden="1" customHeight="1" x14ac:dyDescent="0.25">
      <c r="A1338" s="5" t="s">
        <v>7093</v>
      </c>
      <c r="B1338" s="15" t="str">
        <f>VLOOKUP(TAB_SAIDA[[#This Row],[COD_2_SAIDA]],TAB_ESTOQUE[[Codigo]:[Descrição Tecnica]],6,FALSE)</f>
        <v>CILINDRO FESTO ADN-32-100-A-PPS-A PMAX. 10BAR</v>
      </c>
      <c r="C1338" s="15">
        <f>IFERROR(VLOOKUP(TAB_SAIDA[[#This Row],[COD_2_SAIDA]],TAB_ESTOQUE[[Codigo]:[Referência Tec]],7,FALSE),"")</f>
        <v>0</v>
      </c>
      <c r="D1338" s="15" t="str">
        <f>VLOOKUP(TAB_SAIDA[[#This Row],[COD_2_SAIDA]],TAB_ESTOQUE[[Codigo]:[Endereço2]],12,FALSE)</f>
        <v>C1105</v>
      </c>
      <c r="E1338" s="81">
        <f>SUM(TAB_SAIDA[[#This Row],[20/05/2019]:[00/00/00]])</f>
        <v>0</v>
      </c>
      <c r="F1338" s="3"/>
      <c r="BH1338" s="3"/>
    </row>
    <row r="1339" spans="1:627" ht="15" hidden="1" customHeight="1" x14ac:dyDescent="0.25">
      <c r="A1339" s="5" t="s">
        <v>7094</v>
      </c>
      <c r="B1339" s="15" t="str">
        <f>VLOOKUP(TAB_SAIDA[[#This Row],[COD_2_SAIDA]],TAB_ESTOQUE[[Codigo]:[Descrição Tecnica]],6,FALSE)</f>
        <v>CONTATOR CWB9-11-30D02 9A 24V 50/60Hz weg</v>
      </c>
      <c r="C1339" s="15">
        <f>IFERROR(VLOOKUP(TAB_SAIDA[[#This Row],[COD_2_SAIDA]],TAB_ESTOQUE[[Codigo]:[Referência Tec]],7,FALSE),"")</f>
        <v>0</v>
      </c>
      <c r="D1339" s="15" t="str">
        <f>VLOOKUP(TAB_SAIDA[[#This Row],[COD_2_SAIDA]],TAB_ESTOQUE[[Codigo]:[Endereço2]],12,FALSE)</f>
        <v>A2403</v>
      </c>
      <c r="E1339" s="81">
        <f>SUM(TAB_SAIDA[[#This Row],[20/05/2019]:[00/00/00]])</f>
        <v>3</v>
      </c>
      <c r="F1339" s="3"/>
      <c r="BH1339" s="3"/>
      <c r="RZ1339" s="3">
        <v>1</v>
      </c>
      <c r="SC1339" s="3">
        <v>1</v>
      </c>
      <c r="SI1339" s="3">
        <v>1</v>
      </c>
    </row>
    <row r="1340" spans="1:627" ht="15" hidden="1" customHeight="1" x14ac:dyDescent="0.25">
      <c r="A1340" s="5" t="s">
        <v>7095</v>
      </c>
      <c r="B1340" s="15" t="str">
        <f>VLOOKUP(TAB_SAIDA[[#This Row],[COD_2_SAIDA]],TAB_ESTOQUE[[Codigo]:[Descrição Tecnica]],6,FALSE)</f>
        <v>NEEDLE REPAIR KIT PART # 912-060</v>
      </c>
      <c r="C1340" s="15">
        <f>IFERROR(VLOOKUP(TAB_SAIDA[[#This Row],[COD_2_SAIDA]],TAB_ESTOQUE[[Codigo]:[Referência Tec]],7,FALSE),"")</f>
        <v>0</v>
      </c>
      <c r="D1340" s="15" t="str">
        <f>VLOOKUP(TAB_SAIDA[[#This Row],[COD_2_SAIDA]],TAB_ESTOQUE[[Codigo]:[Endereço2]],12,FALSE)</f>
        <v>E2304</v>
      </c>
      <c r="E1340" s="81">
        <f>SUM(TAB_SAIDA[[#This Row],[20/05/2019]:[00/00/00]])</f>
        <v>0</v>
      </c>
      <c r="F1340" s="3"/>
      <c r="BH1340" s="3"/>
    </row>
    <row r="1341" spans="1:627" ht="15" hidden="1" customHeight="1" x14ac:dyDescent="0.25">
      <c r="A1341" s="5" t="s">
        <v>7096</v>
      </c>
      <c r="B1341" s="15" t="str">
        <f>VLOOKUP(TAB_SAIDA[[#This Row],[COD_2_SAIDA]],TAB_ESTOQUE[[Codigo]:[Descrição Tecnica]],6,FALSE)</f>
        <v>CA954-CABO PP 0,5 KV 4/4 MM</v>
      </c>
      <c r="C1341" s="15">
        <f>IFERROR(VLOOKUP(TAB_SAIDA[[#This Row],[COD_2_SAIDA]],TAB_ESTOQUE[[Codigo]:[Referência Tec]],7,FALSE),"")</f>
        <v>0</v>
      </c>
      <c r="D1341" s="15" t="str">
        <f>VLOOKUP(TAB_SAIDA[[#This Row],[COD_2_SAIDA]],TAB_ESTOQUE[[Codigo]:[Endereço2]],12,FALSE)</f>
        <v>SUPORTE</v>
      </c>
      <c r="E1341" s="81">
        <f>SUM(TAB_SAIDA[[#This Row],[20/05/2019]:[00/00/00]])</f>
        <v>0</v>
      </c>
      <c r="F1341" s="3"/>
      <c r="BH1341" s="3"/>
    </row>
    <row r="1342" spans="1:627" ht="15" hidden="1" customHeight="1" x14ac:dyDescent="0.25">
      <c r="A1342" s="5" t="s">
        <v>7097</v>
      </c>
      <c r="B1342" s="15" t="str">
        <f>VLOOKUP(TAB_SAIDA[[#This Row],[COD_2_SAIDA]],TAB_ESTOQUE[[Codigo]:[Descrição Tecnica]],6,FALSE)</f>
        <v>SOFTSTARTER SIEMENS  3RW3028-1BB04</v>
      </c>
      <c r="C1342" s="15">
        <f>IFERROR(VLOOKUP(TAB_SAIDA[[#This Row],[COD_2_SAIDA]],TAB_ESTOQUE[[Codigo]:[Referência Tec]],7,FALSE),"")</f>
        <v>0</v>
      </c>
      <c r="D1342" s="15" t="str">
        <f>VLOOKUP(TAB_SAIDA[[#This Row],[COD_2_SAIDA]],TAB_ESTOQUE[[Codigo]:[Endereço2]],12,FALSE)</f>
        <v>B1205</v>
      </c>
      <c r="E1342" s="81">
        <f>SUM(TAB_SAIDA[[#This Row],[20/05/2019]:[00/00/00]])</f>
        <v>0</v>
      </c>
      <c r="F1342" s="3"/>
      <c r="BH1342" s="3"/>
    </row>
    <row r="1343" spans="1:627" ht="15" hidden="1" customHeight="1" x14ac:dyDescent="0.25">
      <c r="A1343" s="5" t="s">
        <v>7105</v>
      </c>
      <c r="B1343" s="15" t="str">
        <f>VLOOKUP(TAB_SAIDA[[#This Row],[COD_2_SAIDA]],TAB_ESTOQUE[[Codigo]:[Descrição Tecnica]],6,FALSE)</f>
        <v>MANCAL PASE-40XL-N</v>
      </c>
      <c r="C1343" s="15">
        <f>IFERROR(VLOOKUP(TAB_SAIDA[[#This Row],[COD_2_SAIDA]],TAB_ESTOQUE[[Codigo]:[Referência Tec]],7,FALSE),"")</f>
        <v>0</v>
      </c>
      <c r="D1343" s="15" t="str">
        <f>VLOOKUP(TAB_SAIDA[[#This Row],[COD_2_SAIDA]],TAB_ESTOQUE[[Codigo]:[Endereço2]],12,FALSE)</f>
        <v>E1403</v>
      </c>
      <c r="E1343" s="81">
        <f>SUM(TAB_SAIDA[[#This Row],[20/05/2019]:[00/00/00]])</f>
        <v>0</v>
      </c>
      <c r="F1343" s="3"/>
      <c r="BH1343" s="3"/>
    </row>
    <row r="1344" spans="1:627" ht="15" hidden="1" customHeight="1" x14ac:dyDescent="0.25">
      <c r="A1344" s="5" t="s">
        <v>7106</v>
      </c>
      <c r="B1344" s="15" t="str">
        <f>VLOOKUP(TAB_SAIDA[[#This Row],[COD_2_SAIDA]],TAB_ESTOQUE[[Codigo]:[Descrição Tecnica]],6,FALSE)</f>
        <v>ENGATE RAPIDO FACE PLANA (ALTA PRESSÃO) DE 1/2" NPT - NCM 8481.80.96</v>
      </c>
      <c r="C1344" s="15">
        <f>IFERROR(VLOOKUP(TAB_SAIDA[[#This Row],[COD_2_SAIDA]],TAB_ESTOQUE[[Codigo]:[Referência Tec]],7,FALSE),"")</f>
        <v>0</v>
      </c>
      <c r="D1344" s="15" t="str">
        <f>VLOOKUP(TAB_SAIDA[[#This Row],[COD_2_SAIDA]],TAB_ESTOQUE[[Codigo]:[Endereço2]],12,FALSE)</f>
        <v>D1405</v>
      </c>
      <c r="E1344" s="81">
        <f>SUM(TAB_SAIDA[[#This Row],[20/05/2019]:[00/00/00]])</f>
        <v>2</v>
      </c>
      <c r="F1344" s="3"/>
      <c r="BH1344" s="3"/>
      <c r="XC1344" s="3">
        <v>2</v>
      </c>
    </row>
    <row r="1345" spans="1:518" ht="15" hidden="1" customHeight="1" x14ac:dyDescent="0.25">
      <c r="A1345" s="5" t="s">
        <v>7107</v>
      </c>
      <c r="B1345" s="15" t="str">
        <f>VLOOKUP(TAB_SAIDA[[#This Row],[COD_2_SAIDA]],TAB_ESTOQUE[[Codigo]:[Descrição Tecnica]],6,FALSE)</f>
        <v>KIT VEDAÇÃO DO CILINDRO FESTO ADN-50-P-A MAT.-NO.: 673625 SERIES: MD 14</v>
      </c>
      <c r="C1345" s="15">
        <f>IFERROR(VLOOKUP(TAB_SAIDA[[#This Row],[COD_2_SAIDA]],TAB_ESTOQUE[[Codigo]:[Referência Tec]],7,FALSE),"")</f>
        <v>0</v>
      </c>
      <c r="D1345" s="15" t="str">
        <f>VLOOKUP(TAB_SAIDA[[#This Row],[COD_2_SAIDA]],TAB_ESTOQUE[[Codigo]:[Endereço2]],12,FALSE)</f>
        <v>C1104</v>
      </c>
      <c r="E1345" s="81">
        <f>SUM(TAB_SAIDA[[#This Row],[20/05/2019]:[00/00/00]])</f>
        <v>0</v>
      </c>
      <c r="F1345" s="3"/>
      <c r="BH1345" s="3"/>
    </row>
    <row r="1346" spans="1:518" ht="15" hidden="1" customHeight="1" x14ac:dyDescent="0.25">
      <c r="A1346" s="5" t="s">
        <v>7108</v>
      </c>
      <c r="B1346" s="15" t="str">
        <f>VLOOKUP(TAB_SAIDA[[#This Row],[COD_2_SAIDA]],TAB_ESTOQUE[[Codigo]:[Descrição Tecnica]],6,FALSE)</f>
        <v>RODIZIO FIXO PLACA 514 UAS</v>
      </c>
      <c r="C1346" s="15">
        <f>IFERROR(VLOOKUP(TAB_SAIDA[[#This Row],[COD_2_SAIDA]],TAB_ESTOQUE[[Codigo]:[Referência Tec]],7,FALSE),"")</f>
        <v>0</v>
      </c>
      <c r="D1346" s="15" t="str">
        <f>VLOOKUP(TAB_SAIDA[[#This Row],[COD_2_SAIDA]],TAB_ESTOQUE[[Codigo]:[Endereço2]],12,FALSE)</f>
        <v>AR MARIO LOGISTICA</v>
      </c>
      <c r="E1346" s="81">
        <f>SUM(TAB_SAIDA[[#This Row],[20/05/2019]:[00/00/00]])</f>
        <v>0</v>
      </c>
      <c r="F1346" s="3"/>
      <c r="BH1346" s="3"/>
    </row>
    <row r="1347" spans="1:518" ht="15" hidden="1" customHeight="1" x14ac:dyDescent="0.25">
      <c r="A1347" s="5" t="s">
        <v>7109</v>
      </c>
      <c r="B1347" s="15" t="str">
        <f>VLOOKUP(TAB_SAIDA[[#This Row],[COD_2_SAIDA]],TAB_ESTOQUE[[Codigo]:[Descrição Tecnica]],6,FALSE)</f>
        <v>RODIZIO FIXO PLACA FL 514 UFS 3/8 ZN</v>
      </c>
      <c r="C1347" s="15">
        <f>IFERROR(VLOOKUP(TAB_SAIDA[[#This Row],[COD_2_SAIDA]],TAB_ESTOQUE[[Codigo]:[Referência Tec]],7,FALSE),"")</f>
        <v>0</v>
      </c>
      <c r="D1347" s="15" t="str">
        <f>VLOOKUP(TAB_SAIDA[[#This Row],[COD_2_SAIDA]],TAB_ESTOQUE[[Codigo]:[Endereço2]],12,FALSE)</f>
        <v>AR MARIO LOGISTICA</v>
      </c>
      <c r="E1347" s="81">
        <f>SUM(TAB_SAIDA[[#This Row],[20/05/2019]:[00/00/00]])</f>
        <v>0</v>
      </c>
      <c r="F1347" s="3"/>
      <c r="BH1347" s="3"/>
    </row>
    <row r="1348" spans="1:518" ht="15" hidden="1" customHeight="1" x14ac:dyDescent="0.25">
      <c r="A1348" s="5" t="s">
        <v>7110</v>
      </c>
      <c r="B1348" s="15" t="str">
        <f>VLOOKUP(TAB_SAIDA[[#This Row],[COD_2_SAIDA]],TAB_ESTOQUE[[Codigo]:[Descrição Tecnica]],6,FALSE)</f>
        <v>RODIZIO FIXO PLACA FM 52 UFS PADRÃO ZN</v>
      </c>
      <c r="C1348" s="15">
        <f>IFERROR(VLOOKUP(TAB_SAIDA[[#This Row],[COD_2_SAIDA]],TAB_ESTOQUE[[Codigo]:[Referência Tec]],7,FALSE),"")</f>
        <v>0</v>
      </c>
      <c r="D1348" s="15" t="str">
        <f>VLOOKUP(TAB_SAIDA[[#This Row],[COD_2_SAIDA]],TAB_ESTOQUE[[Codigo]:[Endereço2]],12,FALSE)</f>
        <v>AR MARIO LOGISTICA</v>
      </c>
      <c r="E1348" s="81">
        <f>SUM(TAB_SAIDA[[#This Row],[20/05/2019]:[00/00/00]])</f>
        <v>0</v>
      </c>
      <c r="F1348" s="3"/>
      <c r="BH1348" s="3"/>
    </row>
    <row r="1349" spans="1:518" ht="15" hidden="1" customHeight="1" x14ac:dyDescent="0.25">
      <c r="A1349" s="5" t="s">
        <v>7111</v>
      </c>
      <c r="B1349" s="15" t="str">
        <f>VLOOKUP(TAB_SAIDA[[#This Row],[COD_2_SAIDA]],TAB_ESTOQUE[[Codigo]:[Descrição Tecnica]],6,FALSE)</f>
        <v>RODIZIO FIXO PLACA 82 UAS SOFT SUPER CAMADA</v>
      </c>
      <c r="C1349" s="15">
        <f>IFERROR(VLOOKUP(TAB_SAIDA[[#This Row],[COD_2_SAIDA]],TAB_ESTOQUE[[Codigo]:[Referência Tec]],7,FALSE),"")</f>
        <v>0</v>
      </c>
      <c r="D1349" s="15" t="str">
        <f>VLOOKUP(TAB_SAIDA[[#This Row],[COD_2_SAIDA]],TAB_ESTOQUE[[Codigo]:[Endereço2]],12,FALSE)</f>
        <v>AR MARIO LOGISTICA</v>
      </c>
      <c r="E1349" s="81">
        <f>SUM(TAB_SAIDA[[#This Row],[20/05/2019]:[00/00/00]])</f>
        <v>0</v>
      </c>
      <c r="F1349" s="3"/>
      <c r="BH1349" s="3"/>
    </row>
    <row r="1350" spans="1:518" ht="15" hidden="1" customHeight="1" x14ac:dyDescent="0.25">
      <c r="A1350" s="5" t="s">
        <v>7112</v>
      </c>
      <c r="B1350" s="15" t="str">
        <f>VLOOKUP(TAB_SAIDA[[#This Row],[COD_2_SAIDA]],TAB_ESTOQUE[[Codigo]:[Descrição Tecnica]],6,FALSE)</f>
        <v>RODIZIO GIRATORIO PLACA 514 UAS C/ FREIO DUPLA AÇÃO</v>
      </c>
      <c r="C1350" s="15">
        <f>IFERROR(VLOOKUP(TAB_SAIDA[[#This Row],[COD_2_SAIDA]],TAB_ESTOQUE[[Codigo]:[Referência Tec]],7,FALSE),"")</f>
        <v>0</v>
      </c>
      <c r="D1350" s="15" t="str">
        <f>VLOOKUP(TAB_SAIDA[[#This Row],[COD_2_SAIDA]],TAB_ESTOQUE[[Codigo]:[Endereço2]],12,FALSE)</f>
        <v>AR MARIO LOGISTICA</v>
      </c>
      <c r="E1350" s="81">
        <f>SUM(TAB_SAIDA[[#This Row],[20/05/2019]:[00/00/00]])</f>
        <v>0</v>
      </c>
      <c r="F1350" s="3"/>
      <c r="BH1350" s="3"/>
    </row>
    <row r="1351" spans="1:518" ht="15" hidden="1" customHeight="1" x14ac:dyDescent="0.25">
      <c r="A1351" s="5" t="s">
        <v>7113</v>
      </c>
      <c r="B1351" s="15" t="str">
        <f>VLOOKUP(TAB_SAIDA[[#This Row],[COD_2_SAIDA]],TAB_ESTOQUE[[Codigo]:[Descrição Tecnica]],6,FALSE)</f>
        <v>RODIZIO GIRATORIO PLACA GL 514 UFS 3/8 ZN DA</v>
      </c>
      <c r="C1351" s="15">
        <f>IFERROR(VLOOKUP(TAB_SAIDA[[#This Row],[COD_2_SAIDA]],TAB_ESTOQUE[[Codigo]:[Referência Tec]],7,FALSE),"")</f>
        <v>0</v>
      </c>
      <c r="D1351" s="15" t="str">
        <f>VLOOKUP(TAB_SAIDA[[#This Row],[COD_2_SAIDA]],TAB_ESTOQUE[[Codigo]:[Endereço2]],12,FALSE)</f>
        <v>AR MARIO LOGISTICA</v>
      </c>
      <c r="E1351" s="81">
        <f>SUM(TAB_SAIDA[[#This Row],[20/05/2019]:[00/00/00]])</f>
        <v>0</v>
      </c>
      <c r="F1351" s="3"/>
      <c r="BH1351" s="3"/>
    </row>
    <row r="1352" spans="1:518" ht="15" hidden="1" customHeight="1" x14ac:dyDescent="0.25">
      <c r="A1352" s="5" t="s">
        <v>7114</v>
      </c>
      <c r="B1352" s="15" t="str">
        <f>VLOOKUP(TAB_SAIDA[[#This Row],[COD_2_SAIDA]],TAB_ESTOQUE[[Codigo]:[Descrição Tecnica]],6,FALSE)</f>
        <v>RODIZIO GIRATORIO PLACA GM 52 UFS PADRÃO ZN</v>
      </c>
      <c r="C1352" s="15">
        <f>IFERROR(VLOOKUP(TAB_SAIDA[[#This Row],[COD_2_SAIDA]],TAB_ESTOQUE[[Codigo]:[Referência Tec]],7,FALSE),"")</f>
        <v>0</v>
      </c>
      <c r="D1352" s="15" t="str">
        <f>VLOOKUP(TAB_SAIDA[[#This Row],[COD_2_SAIDA]],TAB_ESTOQUE[[Codigo]:[Endereço2]],12,FALSE)</f>
        <v>AR MARIO LOGISTICA</v>
      </c>
      <c r="E1352" s="81">
        <f>SUM(TAB_SAIDA[[#This Row],[20/05/2019]:[00/00/00]])</f>
        <v>0</v>
      </c>
      <c r="F1352" s="3"/>
      <c r="BH1352" s="3"/>
    </row>
    <row r="1353" spans="1:518" ht="15" hidden="1" customHeight="1" x14ac:dyDescent="0.25">
      <c r="A1353" s="5" t="s">
        <v>7115</v>
      </c>
      <c r="B1353" s="15" t="str">
        <f>VLOOKUP(TAB_SAIDA[[#This Row],[COD_2_SAIDA]],TAB_ESTOQUE[[Codigo]:[Descrição Tecnica]],6,FALSE)</f>
        <v>RODIZIO FIXO PLACA 52 UAS SUPER CAMADA</v>
      </c>
      <c r="C1353" s="15">
        <f>IFERROR(VLOOKUP(TAB_SAIDA[[#This Row],[COD_2_SAIDA]],TAB_ESTOQUE[[Codigo]:[Referência Tec]],7,FALSE),"")</f>
        <v>0</v>
      </c>
      <c r="D1353" s="15" t="str">
        <f>VLOOKUP(TAB_SAIDA[[#This Row],[COD_2_SAIDA]],TAB_ESTOQUE[[Codigo]:[Endereço2]],12,FALSE)</f>
        <v>AR MARIO LOGISTICA</v>
      </c>
      <c r="E1353" s="81">
        <f>SUM(TAB_SAIDA[[#This Row],[20/05/2019]:[00/00/00]])</f>
        <v>0</v>
      </c>
      <c r="F1353" s="3"/>
      <c r="BH1353" s="3"/>
    </row>
    <row r="1354" spans="1:518" ht="15" hidden="1" customHeight="1" x14ac:dyDescent="0.25">
      <c r="A1354" s="5" t="s">
        <v>7116</v>
      </c>
      <c r="B1354" s="15" t="str">
        <f>VLOOKUP(TAB_SAIDA[[#This Row],[COD_2_SAIDA]],TAB_ESTOQUE[[Codigo]:[Descrição Tecnica]],6,FALSE)</f>
        <v xml:space="preserve">RODIZIO FIXO PLACA 82 UAS SUPER CAMADA C/ FREIO PEDAL                             </v>
      </c>
      <c r="C1354" s="15">
        <f>IFERROR(VLOOKUP(TAB_SAIDA[[#This Row],[COD_2_SAIDA]],TAB_ESTOQUE[[Codigo]:[Referência Tec]],7,FALSE),"")</f>
        <v>0</v>
      </c>
      <c r="D1354" s="15" t="str">
        <f>VLOOKUP(TAB_SAIDA[[#This Row],[COD_2_SAIDA]],TAB_ESTOQUE[[Codigo]:[Endereço2]],12,FALSE)</f>
        <v>AR MARIO LOGISTICA</v>
      </c>
      <c r="E1354" s="81">
        <f>SUM(TAB_SAIDA[[#This Row],[20/05/2019]:[00/00/00]])</f>
        <v>0</v>
      </c>
      <c r="F1354" s="3"/>
      <c r="BH1354" s="3"/>
    </row>
    <row r="1355" spans="1:518" ht="15" hidden="1" customHeight="1" x14ac:dyDescent="0.25">
      <c r="A1355" s="5" t="s">
        <v>7117</v>
      </c>
      <c r="B1355" s="15" t="str">
        <f>VLOOKUP(TAB_SAIDA[[#This Row],[COD_2_SAIDA]],TAB_ESTOQUE[[Codigo]:[Descrição Tecnica]],6,FALSE)</f>
        <v xml:space="preserve">RODIZIO 82 UAS SUPER CAMADA                                                                                                    </v>
      </c>
      <c r="C1355" s="15">
        <f>IFERROR(VLOOKUP(TAB_SAIDA[[#This Row],[COD_2_SAIDA]],TAB_ESTOQUE[[Codigo]:[Referência Tec]],7,FALSE),"")</f>
        <v>0</v>
      </c>
      <c r="D1355" s="15" t="str">
        <f>VLOOKUP(TAB_SAIDA[[#This Row],[COD_2_SAIDA]],TAB_ESTOQUE[[Codigo]:[Endereço2]],12,FALSE)</f>
        <v>AR MARIO LOGISTICA</v>
      </c>
      <c r="E1355" s="81">
        <f>SUM(TAB_SAIDA[[#This Row],[20/05/2019]:[00/00/00]])</f>
        <v>0</v>
      </c>
      <c r="F1355" s="3"/>
      <c r="BH1355" s="3"/>
    </row>
    <row r="1356" spans="1:518" ht="15" hidden="1" customHeight="1" x14ac:dyDescent="0.25">
      <c r="A1356" s="5" t="s">
        <v>7118</v>
      </c>
      <c r="B1356" s="15" t="str">
        <f>VLOOKUP(TAB_SAIDA[[#This Row],[COD_2_SAIDA]],TAB_ESTOQUE[[Codigo]:[Descrição Tecnica]],6,FALSE)</f>
        <v>BASE PARA RELE RXZE2S114M CONTATOS MISTOS CONEXÕES POR PARAFUSOS</v>
      </c>
      <c r="C1356" s="15">
        <f>IFERROR(VLOOKUP(TAB_SAIDA[[#This Row],[COD_2_SAIDA]],TAB_ESTOQUE[[Codigo]:[Referência Tec]],7,FALSE),"")</f>
        <v>0</v>
      </c>
      <c r="D1356" s="15" t="str">
        <f>VLOOKUP(TAB_SAIDA[[#This Row],[COD_2_SAIDA]],TAB_ESTOQUE[[Codigo]:[Endereço2]],12,FALSE)</f>
        <v>A1304</v>
      </c>
      <c r="E1356" s="81">
        <f>SUM(TAB_SAIDA[[#This Row],[20/05/2019]:[00/00/00]])</f>
        <v>0</v>
      </c>
      <c r="F1356" s="3"/>
      <c r="BH1356" s="3"/>
    </row>
    <row r="1357" spans="1:518" ht="15" hidden="1" customHeight="1" x14ac:dyDescent="0.25">
      <c r="A1357" s="5" t="s">
        <v>7119</v>
      </c>
      <c r="B1357" s="15" t="str">
        <f>VLOOKUP(TAB_SAIDA[[#This Row],[COD_2_SAIDA]],TAB_ESTOQUE[[Codigo]:[Descrição Tecnica]],6,FALSE)</f>
        <v>ROLAMENTOS 2205 2RS</v>
      </c>
      <c r="C1357" s="15">
        <f>IFERROR(VLOOKUP(TAB_SAIDA[[#This Row],[COD_2_SAIDA]],TAB_ESTOQUE[[Codigo]:[Referência Tec]],7,FALSE),"")</f>
        <v>0</v>
      </c>
      <c r="D1357" s="15" t="str">
        <f>VLOOKUP(TAB_SAIDA[[#This Row],[COD_2_SAIDA]],TAB_ESTOQUE[[Codigo]:[Endereço2]],12,FALSE)</f>
        <v>D1106</v>
      </c>
      <c r="E1357" s="81">
        <f>SUM(TAB_SAIDA[[#This Row],[20/05/2019]:[00/00/00]])</f>
        <v>0</v>
      </c>
      <c r="F1357" s="3"/>
      <c r="BH1357" s="3"/>
    </row>
    <row r="1358" spans="1:518" ht="15" hidden="1" customHeight="1" x14ac:dyDescent="0.25">
      <c r="A1358" s="5" t="s">
        <v>7120</v>
      </c>
      <c r="B1358" s="15" t="str">
        <f>VLOOKUP(TAB_SAIDA[[#This Row],[COD_2_SAIDA]],TAB_ESTOQUE[[Codigo]:[Descrição Tecnica]],6,FALSE)</f>
        <v>DOTU DE AR EM PASTICO</v>
      </c>
      <c r="C1358" s="15">
        <f>IFERROR(VLOOKUP(TAB_SAIDA[[#This Row],[COD_2_SAIDA]],TAB_ESTOQUE[[Codigo]:[Referência Tec]],7,FALSE),"")</f>
        <v>0</v>
      </c>
      <c r="D1358" s="15" t="str">
        <f>VLOOKUP(TAB_SAIDA[[#This Row],[COD_2_SAIDA]],TAB_ESTOQUE[[Codigo]:[Endereço2]],12,FALSE)</f>
        <v>C1301</v>
      </c>
      <c r="E1358" s="81">
        <f>SUM(TAB_SAIDA[[#This Row],[20/05/2019]:[00/00/00]])</f>
        <v>22</v>
      </c>
      <c r="F1358" s="3"/>
      <c r="BH1358" s="3"/>
      <c r="SH1358" s="3">
        <v>17</v>
      </c>
      <c r="SX1358" s="3">
        <v>5</v>
      </c>
    </row>
    <row r="1359" spans="1:518" ht="15" hidden="1" customHeight="1" x14ac:dyDescent="0.25">
      <c r="A1359" s="5" t="s">
        <v>7121</v>
      </c>
      <c r="B1359" s="15" t="str">
        <f>VLOOKUP(TAB_SAIDA[[#This Row],[COD_2_SAIDA]],TAB_ESTOQUE[[Codigo]:[Descrição Tecnica]],6,FALSE)</f>
        <v>VALVULA HIDRAULICA PRE-APERADA TN 22 REF: H-4WEH22V14/6EG24N9ETKB14 (BLOCO HIDRAULICO REXROTH 4WE - 22V14-766EG24 N9 MNR R9/8027115)</v>
      </c>
      <c r="C1359" s="15">
        <f>IFERROR(VLOOKUP(TAB_SAIDA[[#This Row],[COD_2_SAIDA]],TAB_ESTOQUE[[Codigo]:[Referência Tec]],7,FALSE),"")</f>
        <v>0</v>
      </c>
      <c r="D1359" s="15" t="str">
        <f>VLOOKUP(TAB_SAIDA[[#This Row],[COD_2_SAIDA]],TAB_ESTOQUE[[Codigo]:[Endereço2]],12,FALSE)</f>
        <v>C2105</v>
      </c>
      <c r="E1359" s="81">
        <f>SUM(TAB_SAIDA[[#This Row],[20/05/2019]:[00/00/00]])</f>
        <v>0</v>
      </c>
      <c r="F1359" s="3"/>
      <c r="BH1359" s="3"/>
    </row>
    <row r="1360" spans="1:518" ht="15" hidden="1" customHeight="1" x14ac:dyDescent="0.25">
      <c r="A1360" s="5" t="s">
        <v>7122</v>
      </c>
      <c r="B1360" s="15" t="str">
        <f>VLOOKUP(TAB_SAIDA[[#This Row],[COD_2_SAIDA]],TAB_ESTOQUE[[Codigo]:[Descrição Tecnica]],6,FALSE)</f>
        <v>MEMORIA FLASH COMPACT 1GB ADAPTADOR 40 PIN SERVNEWS MASTRE 2eo-34</v>
      </c>
      <c r="C1360" s="15">
        <f>IFERROR(VLOOKUP(TAB_SAIDA[[#This Row],[COD_2_SAIDA]],TAB_ESTOQUE[[Codigo]:[Referência Tec]],7,FALSE),"")</f>
        <v>0</v>
      </c>
      <c r="D1360" s="15" t="str">
        <f>VLOOKUP(TAB_SAIDA[[#This Row],[COD_2_SAIDA]],TAB_ESTOQUE[[Codigo]:[Endereço2]],12,FALSE)</f>
        <v>A1104</v>
      </c>
      <c r="E1360" s="81">
        <f>SUM(TAB_SAIDA[[#This Row],[20/05/2019]:[00/00/00]])</f>
        <v>0</v>
      </c>
      <c r="F1360" s="3"/>
      <c r="BH1360" s="3"/>
    </row>
    <row r="1361" spans="1:530" ht="15" hidden="1" customHeight="1" x14ac:dyDescent="0.25">
      <c r="A1361" s="5" t="s">
        <v>7123</v>
      </c>
      <c r="B1361" s="15" t="str">
        <f>VLOOKUP(TAB_SAIDA[[#This Row],[COD_2_SAIDA]],TAB_ESTOQUE[[Codigo]:[Descrição Tecnica]],6,FALSE)</f>
        <v xml:space="preserve">Placa De Medição Dsqc 313, 3hab 3700-1, Robô Abb, SMB Board 3hab 2213-1 Serial </v>
      </c>
      <c r="C1361" s="15">
        <f>IFERROR(VLOOKUP(TAB_SAIDA[[#This Row],[COD_2_SAIDA]],TAB_ESTOQUE[[Codigo]:[Referência Tec]],7,FALSE),"")</f>
        <v>0</v>
      </c>
      <c r="D1361" s="15" t="str">
        <f>VLOOKUP(TAB_SAIDA[[#This Row],[COD_2_SAIDA]],TAB_ESTOQUE[[Codigo]:[Endereço2]],12,FALSE)</f>
        <v>A1104</v>
      </c>
      <c r="E1361" s="81">
        <f>SUM(TAB_SAIDA[[#This Row],[20/05/2019]:[00/00/00]])</f>
        <v>0</v>
      </c>
      <c r="F1361" s="3"/>
      <c r="BH1361" s="3"/>
    </row>
    <row r="1362" spans="1:530" ht="15" hidden="1" customHeight="1" x14ac:dyDescent="0.25">
      <c r="A1362" s="5" t="s">
        <v>7124</v>
      </c>
      <c r="B1362" s="15" t="str">
        <f>VLOOKUP(TAB_SAIDA[[#This Row],[COD_2_SAIDA]],TAB_ESTOQUE[[Codigo]:[Descrição Tecnica]],6,FALSE)</f>
        <v>KIT DE REPARO DA VALVULA LIGA/DESLIGA  010200-1  3063330000060</v>
      </c>
      <c r="C1362" s="15">
        <f>IFERROR(VLOOKUP(TAB_SAIDA[[#This Row],[COD_2_SAIDA]],TAB_ESTOQUE[[Codigo]:[Referência Tec]],7,FALSE),"")</f>
        <v>0</v>
      </c>
      <c r="D1362" s="15" t="str">
        <f>VLOOKUP(TAB_SAIDA[[#This Row],[COD_2_SAIDA]],TAB_ESTOQUE[[Codigo]:[Endereço2]],12,FALSE)</f>
        <v xml:space="preserve">ARMARIO </v>
      </c>
      <c r="E1362" s="81">
        <f>SUM(TAB_SAIDA[[#This Row],[20/05/2019]:[00/00/00]])</f>
        <v>2</v>
      </c>
      <c r="F1362" s="3"/>
      <c r="BH1362" s="3"/>
      <c r="TG1362" s="3">
        <v>1</v>
      </c>
      <c r="TJ1362" s="3">
        <v>1</v>
      </c>
    </row>
    <row r="1363" spans="1:530" ht="15" hidden="1" customHeight="1" x14ac:dyDescent="0.25">
      <c r="A1363" s="5" t="s">
        <v>7130</v>
      </c>
      <c r="B1363" s="15" t="str">
        <f>VLOOKUP(TAB_SAIDA[[#This Row],[COD_2_SAIDA]],TAB_ESTOQUE[[Codigo]:[Descrição Tecnica]],6,FALSE)</f>
        <v>KIT DE REPARO P/UNIÃO ROTATIVA DA C-5152 E C-5155 FLOW B-7447-1  30633000 -0062</v>
      </c>
      <c r="C1363" s="15">
        <f>IFERROR(VLOOKUP(TAB_SAIDA[[#This Row],[COD_2_SAIDA]],TAB_ESTOQUE[[Codigo]:[Referência Tec]],7,FALSE),"")</f>
        <v>0</v>
      </c>
      <c r="D1363" s="15" t="str">
        <f>VLOOKUP(TAB_SAIDA[[#This Row],[COD_2_SAIDA]],TAB_ESTOQUE[[Codigo]:[Endereço2]],12,FALSE)</f>
        <v xml:space="preserve">ARMARIO </v>
      </c>
      <c r="E1363" s="81">
        <f>SUM(TAB_SAIDA[[#This Row],[20/05/2019]:[00/00/00]])</f>
        <v>0</v>
      </c>
      <c r="F1363" s="3"/>
      <c r="BH1363" s="3"/>
    </row>
    <row r="1364" spans="1:530" ht="15" hidden="1" customHeight="1" x14ac:dyDescent="0.25">
      <c r="A1364" s="5" t="s">
        <v>7131</v>
      </c>
      <c r="B1364" s="15" t="str">
        <f>VLOOKUP(TAB_SAIDA[[#This Row],[COD_2_SAIDA]],TAB_ESTOQUE[[Codigo]:[Descrição Tecnica]],6,FALSE)</f>
        <v>KIT REPARO DA VALVULA LIGA/DESLIGA VALVULA DE RETENÇÃO  015866-1-306330000063</v>
      </c>
      <c r="C1364" s="15">
        <f>IFERROR(VLOOKUP(TAB_SAIDA[[#This Row],[COD_2_SAIDA]],TAB_ESTOQUE[[Codigo]:[Referência Tec]],7,FALSE),"")</f>
        <v>0</v>
      </c>
      <c r="D1364" s="15" t="str">
        <f>VLOOKUP(TAB_SAIDA[[#This Row],[COD_2_SAIDA]],TAB_ESTOQUE[[Codigo]:[Endereço2]],12,FALSE)</f>
        <v xml:space="preserve">ARMARIO </v>
      </c>
      <c r="E1364" s="81">
        <f>SUM(TAB_SAIDA[[#This Row],[20/05/2019]:[00/00/00]])</f>
        <v>0</v>
      </c>
      <c r="F1364" s="3"/>
      <c r="BH1364" s="3"/>
    </row>
    <row r="1365" spans="1:530" ht="15" hidden="1" customHeight="1" x14ac:dyDescent="0.25">
      <c r="A1365" s="5" t="s">
        <v>7132</v>
      </c>
      <c r="B1365" s="15" t="str">
        <f>VLOOKUP(TAB_SAIDA[[#This Row],[COD_2_SAIDA]],TAB_ESTOQUE[[Codigo]:[Descrição Tecnica]],6,FALSE)</f>
        <v>CORPO DA VALVULA LIGA/DESLIGA BOCAL  10104-1 3063300000041</v>
      </c>
      <c r="C1365" s="15">
        <f>IFERROR(VLOOKUP(TAB_SAIDA[[#This Row],[COD_2_SAIDA]],TAB_ESTOQUE[[Codigo]:[Referência Tec]],7,FALSE),"")</f>
        <v>0</v>
      </c>
      <c r="D1365" s="15" t="str">
        <f>VLOOKUP(TAB_SAIDA[[#This Row],[COD_2_SAIDA]],TAB_ESTOQUE[[Codigo]:[Endereço2]],12,FALSE)</f>
        <v xml:space="preserve">ARMARIO </v>
      </c>
      <c r="E1365" s="81">
        <f>SUM(TAB_SAIDA[[#This Row],[20/05/2019]:[00/00/00]])</f>
        <v>0</v>
      </c>
      <c r="F1365" s="3"/>
      <c r="BH1365" s="3"/>
    </row>
    <row r="1366" spans="1:530" ht="15" hidden="1" customHeight="1" x14ac:dyDescent="0.25">
      <c r="A1366" s="5" t="s">
        <v>7133</v>
      </c>
      <c r="B1366" s="15" t="str">
        <f>VLOOKUP(TAB_SAIDA[[#This Row],[COD_2_SAIDA]],TAB_ESTOQUE[[Codigo]:[Descrição Tecnica]],6,FALSE)</f>
        <v>KIT RETENTORES P/ALTA PRESSÃO ATE 60K (KIT REPARO FLOW VALVULA DE RETENÇÃO  001198-1  KIT DE VEDAÇÃO DE ALTA)</v>
      </c>
      <c r="C1366" s="15">
        <f>IFERROR(VLOOKUP(TAB_SAIDA[[#This Row],[COD_2_SAIDA]],TAB_ESTOQUE[[Codigo]:[Referência Tec]],7,FALSE),"")</f>
        <v>0</v>
      </c>
      <c r="D1366" s="15" t="str">
        <f>VLOOKUP(TAB_SAIDA[[#This Row],[COD_2_SAIDA]],TAB_ESTOQUE[[Codigo]:[Endereço2]],12,FALSE)</f>
        <v xml:space="preserve">ARMARIO </v>
      </c>
      <c r="E1366" s="81">
        <f>SUM(TAB_SAIDA[[#This Row],[20/05/2019]:[00/00/00]])</f>
        <v>0</v>
      </c>
      <c r="F1366" s="3"/>
      <c r="BH1366" s="3"/>
    </row>
    <row r="1367" spans="1:530" ht="15" hidden="1" customHeight="1" x14ac:dyDescent="0.25">
      <c r="A1367" s="5" t="s">
        <v>7134</v>
      </c>
      <c r="B1367" s="15" t="str">
        <f>VLOOKUP(TAB_SAIDA[[#This Row],[COD_2_SAIDA]],TAB_ESTOQUE[[Codigo]:[Descrição Tecnica]],6,FALSE)</f>
        <v>ANEL "O" DE BUNA DE 0240 DE DI (ANEL O-RING, BUNA-N 70 DUR, NO. 2-240 FLOW A 275-240</v>
      </c>
      <c r="C1367" s="15">
        <f>IFERROR(VLOOKUP(TAB_SAIDA[[#This Row],[COD_2_SAIDA]],TAB_ESTOQUE[[Codigo]:[Referência Tec]],7,FALSE),"")</f>
        <v>0</v>
      </c>
      <c r="D1367" s="15" t="str">
        <f>VLOOKUP(TAB_SAIDA[[#This Row],[COD_2_SAIDA]],TAB_ESTOQUE[[Codigo]:[Endereço2]],12,FALSE)</f>
        <v xml:space="preserve">ARMARIO </v>
      </c>
      <c r="E1367" s="81">
        <f>SUM(TAB_SAIDA[[#This Row],[20/05/2019]:[00/00/00]])</f>
        <v>0</v>
      </c>
      <c r="F1367" s="3"/>
      <c r="BH1367" s="3"/>
    </row>
    <row r="1368" spans="1:530" ht="15" hidden="1" customHeight="1" x14ac:dyDescent="0.25">
      <c r="A1368" s="5" t="s">
        <v>7159</v>
      </c>
      <c r="B1368" s="15" t="str">
        <f>VLOOKUP(TAB_SAIDA[[#This Row],[COD_2_SAIDA]],TAB_ESTOQUE[[Codigo]:[Descrição Tecnica]],6,FALSE)</f>
        <v>RETENTOR (GAXETA DE VEDAÇÃO POLY PAK FLOW A-1001 306330000074</v>
      </c>
      <c r="C1368" s="15">
        <f>IFERROR(VLOOKUP(TAB_SAIDA[[#This Row],[COD_2_SAIDA]],TAB_ESTOQUE[[Codigo]:[Referência Tec]],7,FALSE),"")</f>
        <v>0</v>
      </c>
      <c r="D1368" s="15" t="str">
        <f>VLOOKUP(TAB_SAIDA[[#This Row],[COD_2_SAIDA]],TAB_ESTOQUE[[Codigo]:[Endereço2]],12,FALSE)</f>
        <v xml:space="preserve">ARMARIO </v>
      </c>
      <c r="E1368" s="81">
        <f>SUM(TAB_SAIDA[[#This Row],[20/05/2019]:[00/00/00]])</f>
        <v>0</v>
      </c>
      <c r="F1368" s="3"/>
      <c r="BH1368" s="3"/>
    </row>
    <row r="1369" spans="1:530" ht="15" hidden="1" customHeight="1" x14ac:dyDescent="0.25">
      <c r="A1369" s="5" t="s">
        <v>7160</v>
      </c>
      <c r="B1369" s="15" t="str">
        <f>VLOOKUP(TAB_SAIDA[[#This Row],[COD_2_SAIDA]],TAB_ESTOQUE[[Codigo]:[Descrição Tecnica]],6,FALSE)</f>
        <v>ANEL DE ENCOSTO DE PLYMITE ( ANEL BACKUP RING 60KSI FLOW  A-00250-240 3063300000011)</v>
      </c>
      <c r="C1369" s="15">
        <f>IFERROR(VLOOKUP(TAB_SAIDA[[#This Row],[COD_2_SAIDA]],TAB_ESTOQUE[[Codigo]:[Referência Tec]],7,FALSE),"")</f>
        <v>0</v>
      </c>
      <c r="D1369" s="15" t="str">
        <f>VLOOKUP(TAB_SAIDA[[#This Row],[COD_2_SAIDA]],TAB_ESTOQUE[[Codigo]:[Endereço2]],12,FALSE)</f>
        <v xml:space="preserve">ARMARIO </v>
      </c>
      <c r="E1369" s="81">
        <f>SUM(TAB_SAIDA[[#This Row],[20/05/2019]:[00/00/00]])</f>
        <v>0</v>
      </c>
      <c r="F1369" s="3"/>
      <c r="BH1369" s="3"/>
    </row>
    <row r="1370" spans="1:530" ht="15" hidden="1" customHeight="1" x14ac:dyDescent="0.25">
      <c r="A1370" s="5" t="s">
        <v>7161</v>
      </c>
      <c r="B1370" s="15" t="str">
        <f>VLOOKUP(TAB_SAIDA[[#This Row],[COD_2_SAIDA]],TAB_ESTOQUE[[Codigo]:[Descrição Tecnica]],6,FALSE)</f>
        <v>EIXO CENTRAL DE ARTICULAÇÃO DA UNIÃO GIRATORIA B-7159-1 306330000048   TAIWAN 17100511</v>
      </c>
      <c r="C1370" s="15">
        <f>IFERROR(VLOOKUP(TAB_SAIDA[[#This Row],[COD_2_SAIDA]],TAB_ESTOQUE[[Codigo]:[Referência Tec]],7,FALSE),"")</f>
        <v>0</v>
      </c>
      <c r="D1370" s="15" t="str">
        <f>VLOOKUP(TAB_SAIDA[[#This Row],[COD_2_SAIDA]],TAB_ESTOQUE[[Codigo]:[Endereço2]],12,FALSE)</f>
        <v xml:space="preserve">ARMARIO </v>
      </c>
      <c r="E1370" s="81">
        <f>SUM(TAB_SAIDA[[#This Row],[20/05/2019]:[00/00/00]])</f>
        <v>0</v>
      </c>
      <c r="F1370" s="3"/>
      <c r="BH1370" s="3"/>
    </row>
    <row r="1371" spans="1:530" ht="15" hidden="1" customHeight="1" x14ac:dyDescent="0.25">
      <c r="A1371" s="5" t="s">
        <v>7162</v>
      </c>
      <c r="B1371" s="15" t="str">
        <f>VLOOKUP(TAB_SAIDA[[#This Row],[COD_2_SAIDA]],TAB_ESTOQUE[[Codigo]:[Descrição Tecnica]],6,FALSE)</f>
        <v>RETENTOR C/ 7/8" DE DIAMETRO INTERNO ( RETENTOR VEDAÇÃO DA HASTE A-11275 3063300000075)</v>
      </c>
      <c r="C1371" s="15">
        <f>IFERROR(VLOOKUP(TAB_SAIDA[[#This Row],[COD_2_SAIDA]],TAB_ESTOQUE[[Codigo]:[Referência Tec]],7,FALSE),"")</f>
        <v>0</v>
      </c>
      <c r="D1371" s="15" t="str">
        <f>VLOOKUP(TAB_SAIDA[[#This Row],[COD_2_SAIDA]],TAB_ESTOQUE[[Codigo]:[Endereço2]],12,FALSE)</f>
        <v xml:space="preserve">ARMARIO </v>
      </c>
      <c r="E1371" s="81">
        <f>SUM(TAB_SAIDA[[#This Row],[20/05/2019]:[00/00/00]])</f>
        <v>0</v>
      </c>
      <c r="F1371" s="3"/>
      <c r="BH1371" s="3"/>
    </row>
    <row r="1372" spans="1:530" ht="15" hidden="1" customHeight="1" x14ac:dyDescent="0.25">
      <c r="A1372" s="5" t="s">
        <v>7163</v>
      </c>
      <c r="B1372" s="15" t="str">
        <f>VLOOKUP(TAB_SAIDA[[#This Row],[COD_2_SAIDA]],TAB_ESTOQUE[[Codigo]:[Descrição Tecnica]],6,FALSE)</f>
        <v>VALVULA DE PREENCHIMENTO ZSF-40</v>
      </c>
      <c r="C1372" s="15">
        <f>IFERROR(VLOOKUP(TAB_SAIDA[[#This Row],[COD_2_SAIDA]],TAB_ESTOQUE[[Codigo]:[Referência Tec]],7,FALSE),"")</f>
        <v>0</v>
      </c>
      <c r="D1372" s="15" t="str">
        <f>VLOOKUP(TAB_SAIDA[[#This Row],[COD_2_SAIDA]],TAB_ESTOQUE[[Codigo]:[Endereço2]],12,FALSE)</f>
        <v xml:space="preserve">ARMARIO </v>
      </c>
      <c r="E1372" s="81">
        <f>SUM(TAB_SAIDA[[#This Row],[20/05/2019]:[00/00/00]])</f>
        <v>0</v>
      </c>
      <c r="F1372" s="3"/>
      <c r="BH1372" s="3"/>
    </row>
    <row r="1373" spans="1:530" ht="15" hidden="1" customHeight="1" x14ac:dyDescent="0.25">
      <c r="A1373" s="5" t="s">
        <v>7164</v>
      </c>
      <c r="B1373" s="15" t="str">
        <f>VLOOKUP(TAB_SAIDA[[#This Row],[COD_2_SAIDA]],TAB_ESTOQUE[[Codigo]:[Descrição Tecnica]],6,FALSE)</f>
        <v>CABOS PP 4/16</v>
      </c>
      <c r="C1373" s="15">
        <f>IFERROR(VLOOKUP(TAB_SAIDA[[#This Row],[COD_2_SAIDA]],TAB_ESTOQUE[[Codigo]:[Referência Tec]],7,FALSE),"")</f>
        <v>0</v>
      </c>
      <c r="D1373" s="15" t="str">
        <f>VLOOKUP(TAB_SAIDA[[#This Row],[COD_2_SAIDA]],TAB_ESTOQUE[[Codigo]:[Endereço2]],12,FALSE)</f>
        <v>SUPORTE</v>
      </c>
      <c r="E1373" s="81">
        <f>SUM(TAB_SAIDA[[#This Row],[20/05/2019]:[00/00/00]])</f>
        <v>0</v>
      </c>
      <c r="F1373" s="3"/>
      <c r="BH1373" s="3"/>
    </row>
    <row r="1374" spans="1:530" ht="15" hidden="1" customHeight="1" x14ac:dyDescent="0.25">
      <c r="A1374" s="5" t="s">
        <v>7165</v>
      </c>
      <c r="B1374" s="15" t="str">
        <f>VLOOKUP(TAB_SAIDA[[#This Row],[COD_2_SAIDA]],TAB_ESTOQUE[[Codigo]:[Descrição Tecnica]],6,FALSE)</f>
        <v>CABO PP 4/10</v>
      </c>
      <c r="C1374" s="15">
        <f>IFERROR(VLOOKUP(TAB_SAIDA[[#This Row],[COD_2_SAIDA]],TAB_ESTOQUE[[Codigo]:[Referência Tec]],7,FALSE),"")</f>
        <v>0</v>
      </c>
      <c r="D1374" s="15" t="str">
        <f>VLOOKUP(TAB_SAIDA[[#This Row],[COD_2_SAIDA]],TAB_ESTOQUE[[Codigo]:[Endereço2]],12,FALSE)</f>
        <v>SUPORTE</v>
      </c>
      <c r="E1374" s="81">
        <f>SUM(TAB_SAIDA[[#This Row],[20/05/2019]:[00/00/00]])</f>
        <v>0</v>
      </c>
      <c r="F1374" s="3"/>
      <c r="BH1374" s="3"/>
    </row>
    <row r="1375" spans="1:530" ht="15" hidden="1" customHeight="1" x14ac:dyDescent="0.25">
      <c r="A1375" s="5" t="s">
        <v>7166</v>
      </c>
      <c r="B1375" s="15" t="str">
        <f>VLOOKUP(TAB_SAIDA[[#This Row],[COD_2_SAIDA]],TAB_ESTOQUE[[Codigo]:[Descrição Tecnica]],6,FALSE)</f>
        <v>FONTE DE ALIMENTAÇÃO 24VDC 8,3A ABL2REM24085K</v>
      </c>
      <c r="C1375" s="15">
        <f>IFERROR(VLOOKUP(TAB_SAIDA[[#This Row],[COD_2_SAIDA]],TAB_ESTOQUE[[Codigo]:[Referência Tec]],7,FALSE),"")</f>
        <v>0</v>
      </c>
      <c r="D1375" s="15" t="str">
        <f>VLOOKUP(TAB_SAIDA[[#This Row],[COD_2_SAIDA]],TAB_ESTOQUE[[Codigo]:[Endereço2]],12,FALSE)</f>
        <v>A2302</v>
      </c>
      <c r="E1375" s="81">
        <f>SUM(TAB_SAIDA[[#This Row],[20/05/2019]:[00/00/00]])</f>
        <v>0</v>
      </c>
      <c r="F1375" s="3"/>
      <c r="BH1375" s="3"/>
    </row>
    <row r="1376" spans="1:530" ht="15" hidden="1" customHeight="1" x14ac:dyDescent="0.25">
      <c r="A1376" s="5" t="s">
        <v>7167</v>
      </c>
      <c r="B1376" s="15" t="str">
        <f>VLOOKUP(TAB_SAIDA[[#This Row],[COD_2_SAIDA]],TAB_ESTOQUE[[Codigo]:[Descrição Tecnica]],6,FALSE)</f>
        <v>BOMBA DE DIAFRAGMA SERE PRO</v>
      </c>
      <c r="C1376" s="15">
        <f>IFERROR(VLOOKUP(TAB_SAIDA[[#This Row],[COD_2_SAIDA]],TAB_ESTOQUE[[Codigo]:[Referência Tec]],7,FALSE),"")</f>
        <v>0</v>
      </c>
      <c r="D1376" s="15" t="str">
        <f>VLOOKUP(TAB_SAIDA[[#This Row],[COD_2_SAIDA]],TAB_ESTOQUE[[Codigo]:[Endereço2]],12,FALSE)</f>
        <v>F1106</v>
      </c>
      <c r="E1376" s="81">
        <f>SUM(TAB_SAIDA[[#This Row],[20/05/2019]:[00/00/00]])</f>
        <v>0</v>
      </c>
      <c r="F1376" s="3"/>
      <c r="BH1376" s="3"/>
    </row>
    <row r="1377" spans="1:631" ht="15" hidden="1" customHeight="1" x14ac:dyDescent="0.25">
      <c r="A1377" s="5" t="s">
        <v>7168</v>
      </c>
      <c r="B1377" s="15" t="str">
        <f>VLOOKUP(TAB_SAIDA[[#This Row],[COD_2_SAIDA]],TAB_ESTOQUE[[Codigo]:[Descrição Tecnica]],6,FALSE)</f>
        <v>ELEMENTO FILTRANTE PP 10 U D2 5X10</v>
      </c>
      <c r="C1377" s="15">
        <f>IFERROR(VLOOKUP(TAB_SAIDA[[#This Row],[COD_2_SAIDA]],TAB_ESTOQUE[[Codigo]:[Referência Tec]],7,FALSE),"")</f>
        <v>0</v>
      </c>
      <c r="D1377" s="15" t="str">
        <f>VLOOKUP(TAB_SAIDA[[#This Row],[COD_2_SAIDA]],TAB_ESTOQUE[[Codigo]:[Endereço2]],12,FALSE)</f>
        <v>C1402</v>
      </c>
      <c r="E1377" s="81">
        <f>SUM(TAB_SAIDA[[#This Row],[20/05/2019]:[00/00/00]])</f>
        <v>2</v>
      </c>
      <c r="F1377" s="3"/>
      <c r="BH1377" s="3"/>
      <c r="SH1377" s="3">
        <v>1</v>
      </c>
      <c r="XE1377" s="3">
        <v>1</v>
      </c>
    </row>
    <row r="1378" spans="1:631" s="186" customFormat="1" ht="15" hidden="1" customHeight="1" x14ac:dyDescent="0.25">
      <c r="A1378" s="189" t="s">
        <v>7169</v>
      </c>
      <c r="B1378" s="190" t="str">
        <f>VLOOKUP(TAB_SAIDA[[#This Row],[COD_2_SAIDA]],TAB_ESTOQUE[[Codigo]:[Descrição Tecnica]],6,FALSE)</f>
        <v>ELEMENTO FILTRANTE PP 20 U D2 5X10</v>
      </c>
      <c r="C1378" s="190">
        <f>IFERROR(VLOOKUP(TAB_SAIDA[[#This Row],[COD_2_SAIDA]],TAB_ESTOQUE[[Codigo]:[Referência Tec]],7,FALSE),"")</f>
        <v>0</v>
      </c>
      <c r="D1378" s="190" t="str">
        <f>VLOOKUP(TAB_SAIDA[[#This Row],[COD_2_SAIDA]],TAB_ESTOQUE[[Codigo]:[Endereço2]],12,FALSE)</f>
        <v>C1402</v>
      </c>
      <c r="E1378" s="191">
        <f>SUM(TAB_SAIDA[[#This Row],[20/05/2019]:[00/00/00]])</f>
        <v>2</v>
      </c>
      <c r="F1378" s="192"/>
      <c r="G1378" s="192"/>
      <c r="H1378" s="192"/>
      <c r="I1378" s="192"/>
      <c r="J1378" s="192"/>
      <c r="K1378" s="192"/>
      <c r="L1378" s="192"/>
      <c r="M1378" s="192"/>
      <c r="N1378" s="192"/>
      <c r="O1378" s="192"/>
      <c r="P1378" s="192"/>
      <c r="Q1378" s="192"/>
      <c r="R1378" s="192"/>
      <c r="S1378" s="192"/>
      <c r="T1378" s="192"/>
      <c r="U1378" s="192"/>
      <c r="V1378" s="192"/>
      <c r="W1378" s="192"/>
      <c r="X1378" s="192"/>
      <c r="Y1378" s="192"/>
      <c r="Z1378" s="192"/>
      <c r="AA1378" s="192"/>
      <c r="AB1378" s="192"/>
      <c r="AC1378" s="192"/>
      <c r="AD1378" s="192"/>
      <c r="AE1378" s="192"/>
      <c r="AF1378" s="192"/>
      <c r="AG1378" s="192"/>
      <c r="AH1378" s="192"/>
      <c r="AI1378" s="192"/>
      <c r="AJ1378" s="192"/>
      <c r="AK1378" s="192"/>
      <c r="AL1378" s="192"/>
      <c r="AM1378" s="192"/>
      <c r="AN1378" s="192"/>
      <c r="AO1378" s="192"/>
      <c r="AP1378" s="192"/>
      <c r="AQ1378" s="192"/>
      <c r="AR1378" s="192"/>
      <c r="AS1378" s="192"/>
      <c r="AT1378" s="192"/>
      <c r="AU1378" s="192"/>
      <c r="AV1378" s="192"/>
      <c r="AW1378" s="192"/>
      <c r="AX1378" s="192"/>
      <c r="AY1378" s="192"/>
      <c r="AZ1378" s="192"/>
      <c r="BA1378" s="192"/>
      <c r="BB1378" s="192"/>
      <c r="BC1378" s="192"/>
      <c r="BD1378" s="192"/>
      <c r="BE1378" s="192"/>
      <c r="BF1378" s="192"/>
      <c r="BG1378" s="192"/>
      <c r="BH1378" s="192"/>
      <c r="BI1378" s="192"/>
      <c r="BJ1378" s="192"/>
      <c r="BK1378" s="192"/>
      <c r="BL1378" s="192"/>
      <c r="BM1378" s="192"/>
      <c r="BN1378" s="192"/>
      <c r="BO1378" s="192"/>
      <c r="BP1378" s="192"/>
      <c r="BQ1378" s="192"/>
      <c r="BR1378" s="192"/>
      <c r="BS1378" s="192"/>
      <c r="BT1378" s="192"/>
      <c r="BU1378" s="192"/>
      <c r="BV1378" s="192"/>
      <c r="BW1378" s="192"/>
      <c r="BX1378" s="192"/>
      <c r="BY1378" s="192"/>
      <c r="BZ1378" s="192"/>
      <c r="CA1378" s="192"/>
      <c r="CB1378" s="192"/>
      <c r="CC1378" s="192"/>
      <c r="CD1378" s="192"/>
      <c r="CE1378" s="192"/>
      <c r="CF1378" s="192"/>
      <c r="CG1378" s="192"/>
      <c r="CH1378" s="192"/>
      <c r="CI1378" s="192"/>
      <c r="CJ1378" s="192"/>
      <c r="CK1378" s="192"/>
      <c r="CL1378" s="192"/>
      <c r="CM1378" s="192"/>
      <c r="CN1378" s="192"/>
      <c r="CO1378" s="192"/>
      <c r="CP1378" s="192"/>
      <c r="CQ1378" s="192"/>
      <c r="CR1378" s="192"/>
      <c r="CS1378" s="192"/>
      <c r="CT1378" s="192"/>
      <c r="CU1378" s="192"/>
      <c r="CV1378" s="192"/>
      <c r="CW1378" s="192"/>
      <c r="CX1378" s="192"/>
      <c r="CY1378" s="192"/>
      <c r="CZ1378" s="192"/>
      <c r="DA1378" s="192"/>
      <c r="DB1378" s="192"/>
      <c r="DC1378" s="192"/>
      <c r="DD1378" s="192"/>
      <c r="DE1378" s="192"/>
      <c r="DF1378" s="192"/>
      <c r="DG1378" s="192"/>
      <c r="DH1378" s="192"/>
      <c r="DI1378" s="192"/>
      <c r="DJ1378" s="192"/>
      <c r="DK1378" s="192"/>
      <c r="DL1378" s="192"/>
      <c r="DM1378" s="192"/>
      <c r="DN1378" s="192"/>
      <c r="DO1378" s="192"/>
      <c r="DP1378" s="192"/>
      <c r="DQ1378" s="192"/>
      <c r="DR1378" s="192"/>
      <c r="DS1378" s="192"/>
      <c r="DT1378" s="192"/>
      <c r="DU1378" s="192"/>
      <c r="DV1378" s="192"/>
      <c r="DW1378" s="192"/>
      <c r="DX1378" s="192"/>
      <c r="DY1378" s="192"/>
      <c r="DZ1378" s="192"/>
      <c r="EA1378" s="192"/>
      <c r="EB1378" s="192"/>
      <c r="EC1378" s="192"/>
      <c r="ED1378" s="192"/>
      <c r="EE1378" s="192"/>
      <c r="EF1378" s="192"/>
      <c r="EG1378" s="192"/>
      <c r="EH1378" s="192"/>
      <c r="EI1378" s="192"/>
      <c r="EJ1378" s="192"/>
      <c r="EK1378" s="192"/>
      <c r="EL1378" s="192"/>
      <c r="EM1378" s="192"/>
      <c r="EN1378" s="192"/>
      <c r="EO1378" s="192"/>
      <c r="EP1378" s="192"/>
      <c r="EQ1378" s="192"/>
      <c r="ER1378" s="192"/>
      <c r="ES1378" s="192"/>
      <c r="ET1378" s="192"/>
      <c r="EU1378" s="192"/>
      <c r="EV1378" s="192"/>
      <c r="EW1378" s="192"/>
      <c r="EX1378" s="192"/>
      <c r="EY1378" s="192"/>
      <c r="EZ1378" s="192"/>
      <c r="FA1378" s="192"/>
      <c r="FB1378" s="192"/>
      <c r="FC1378" s="192"/>
      <c r="FD1378" s="192"/>
      <c r="FE1378" s="192"/>
      <c r="FF1378" s="192"/>
      <c r="FG1378" s="192"/>
      <c r="FH1378" s="192"/>
      <c r="FI1378" s="192"/>
      <c r="FJ1378" s="192"/>
      <c r="FK1378" s="192"/>
      <c r="FL1378" s="192"/>
      <c r="FM1378" s="192"/>
      <c r="FN1378" s="192"/>
      <c r="FO1378" s="192"/>
      <c r="FP1378" s="192"/>
      <c r="FQ1378" s="192"/>
      <c r="FR1378" s="192"/>
      <c r="FS1378" s="192"/>
      <c r="FT1378" s="192"/>
      <c r="FU1378" s="192"/>
      <c r="FV1378" s="192"/>
      <c r="FW1378" s="192"/>
      <c r="FX1378" s="192"/>
      <c r="FY1378" s="192"/>
      <c r="FZ1378" s="192"/>
      <c r="GA1378" s="192"/>
      <c r="GB1378" s="192"/>
      <c r="GC1378" s="192"/>
      <c r="GD1378" s="192"/>
      <c r="GE1378" s="192"/>
      <c r="GF1378" s="192"/>
      <c r="GG1378" s="192"/>
      <c r="GH1378" s="192"/>
      <c r="GI1378" s="192"/>
      <c r="GJ1378" s="192"/>
      <c r="GK1378" s="192"/>
      <c r="GL1378" s="192"/>
      <c r="GM1378" s="192"/>
      <c r="GN1378" s="192"/>
      <c r="GO1378" s="192"/>
      <c r="GP1378" s="192"/>
      <c r="GQ1378" s="192"/>
      <c r="GR1378" s="192"/>
      <c r="GS1378" s="192"/>
      <c r="GT1378" s="192"/>
      <c r="GU1378" s="192"/>
      <c r="GV1378" s="192"/>
      <c r="GW1378" s="192"/>
      <c r="GX1378" s="192"/>
      <c r="GY1378" s="192"/>
      <c r="GZ1378" s="192"/>
      <c r="HA1378" s="192"/>
      <c r="HB1378" s="192"/>
      <c r="HC1378" s="192"/>
      <c r="HD1378" s="192"/>
      <c r="HE1378" s="192"/>
      <c r="HF1378" s="192"/>
      <c r="HG1378" s="192"/>
      <c r="HH1378" s="192"/>
      <c r="HI1378" s="192"/>
      <c r="HJ1378" s="192"/>
      <c r="HK1378" s="192"/>
      <c r="HL1378" s="192"/>
      <c r="HM1378" s="192"/>
      <c r="HN1378" s="192"/>
      <c r="HO1378" s="192"/>
      <c r="HP1378" s="192"/>
      <c r="HQ1378" s="192"/>
      <c r="HR1378" s="192"/>
      <c r="HS1378" s="192"/>
      <c r="HT1378" s="192"/>
      <c r="HU1378" s="192"/>
      <c r="HV1378" s="192"/>
      <c r="HW1378" s="192"/>
      <c r="HX1378" s="192"/>
      <c r="HY1378" s="192"/>
      <c r="HZ1378" s="192"/>
      <c r="IA1378" s="192"/>
      <c r="IB1378" s="192"/>
      <c r="IC1378" s="192"/>
      <c r="ID1378" s="192"/>
      <c r="IE1378" s="192"/>
      <c r="IF1378" s="192"/>
      <c r="IG1378" s="192"/>
      <c r="IH1378" s="192"/>
      <c r="II1378" s="192"/>
      <c r="IJ1378" s="192"/>
      <c r="IK1378" s="192"/>
      <c r="IL1378" s="192"/>
      <c r="IM1378" s="192"/>
      <c r="IN1378" s="192"/>
      <c r="IO1378" s="192"/>
      <c r="IP1378" s="192"/>
      <c r="IQ1378" s="192"/>
      <c r="IR1378" s="192"/>
      <c r="IS1378" s="192"/>
      <c r="IT1378" s="192"/>
      <c r="IU1378" s="192"/>
      <c r="IV1378" s="192"/>
      <c r="IW1378" s="192"/>
      <c r="IX1378" s="192"/>
      <c r="IY1378" s="192"/>
      <c r="IZ1378" s="192"/>
      <c r="JA1378" s="192"/>
      <c r="JB1378" s="192"/>
      <c r="JC1378" s="192"/>
      <c r="JD1378" s="192"/>
      <c r="JE1378" s="192"/>
      <c r="JF1378" s="192"/>
      <c r="JG1378" s="192"/>
      <c r="JH1378" s="192"/>
      <c r="JI1378" s="192"/>
      <c r="JJ1378" s="192"/>
      <c r="JK1378" s="192"/>
      <c r="JL1378" s="192"/>
      <c r="JM1378" s="192"/>
      <c r="JN1378" s="192"/>
      <c r="JO1378" s="192"/>
      <c r="JP1378" s="192"/>
      <c r="JQ1378" s="192"/>
      <c r="JR1378" s="192"/>
      <c r="JS1378" s="192"/>
      <c r="JT1378" s="192"/>
      <c r="JU1378" s="192"/>
      <c r="JV1378" s="192"/>
      <c r="JW1378" s="192"/>
      <c r="JX1378" s="192"/>
      <c r="JY1378" s="192"/>
      <c r="JZ1378" s="192"/>
      <c r="KA1378" s="192"/>
      <c r="KB1378" s="192"/>
      <c r="KC1378" s="192"/>
      <c r="KD1378" s="192"/>
      <c r="KE1378" s="192"/>
      <c r="KF1378" s="192"/>
      <c r="KG1378" s="192"/>
      <c r="KH1378" s="192"/>
      <c r="KI1378" s="192"/>
      <c r="KJ1378" s="192"/>
      <c r="KK1378" s="192"/>
      <c r="KL1378" s="192"/>
      <c r="KM1378" s="192"/>
      <c r="KN1378" s="192"/>
      <c r="KO1378" s="192"/>
      <c r="KP1378" s="192"/>
      <c r="KQ1378" s="192"/>
      <c r="KR1378" s="192"/>
      <c r="KS1378" s="192"/>
      <c r="KT1378" s="192"/>
      <c r="KU1378" s="192"/>
      <c r="KV1378" s="192"/>
      <c r="KW1378" s="192"/>
      <c r="KX1378" s="192"/>
      <c r="KY1378" s="192"/>
      <c r="KZ1378" s="192"/>
      <c r="LA1378" s="192"/>
      <c r="LB1378" s="192"/>
      <c r="LC1378" s="192"/>
      <c r="LD1378" s="192"/>
      <c r="LE1378" s="192"/>
      <c r="LF1378" s="192"/>
      <c r="LG1378" s="192"/>
      <c r="LH1378" s="192"/>
      <c r="LI1378" s="192"/>
      <c r="LJ1378" s="192"/>
      <c r="LK1378" s="192"/>
      <c r="LL1378" s="192"/>
      <c r="LM1378" s="192"/>
      <c r="LN1378" s="192"/>
      <c r="LO1378" s="192"/>
      <c r="LP1378" s="192"/>
      <c r="LQ1378" s="192"/>
      <c r="LR1378" s="192"/>
      <c r="LS1378" s="192"/>
      <c r="LT1378" s="192"/>
      <c r="LU1378" s="192"/>
      <c r="LV1378" s="192"/>
      <c r="LW1378" s="192"/>
      <c r="LX1378" s="192"/>
      <c r="LY1378" s="192"/>
      <c r="LZ1378" s="192"/>
      <c r="MA1378" s="192"/>
      <c r="MB1378" s="192"/>
      <c r="MC1378" s="192"/>
      <c r="MD1378" s="192"/>
      <c r="ME1378" s="192"/>
      <c r="MF1378" s="192"/>
      <c r="MG1378" s="192"/>
      <c r="MH1378" s="192"/>
      <c r="MI1378" s="192"/>
      <c r="MJ1378" s="192"/>
      <c r="MK1378" s="192"/>
      <c r="ML1378" s="192"/>
      <c r="MM1378" s="192"/>
      <c r="MN1378" s="192"/>
      <c r="MO1378" s="192"/>
      <c r="MP1378" s="192"/>
      <c r="MQ1378" s="192"/>
      <c r="MR1378" s="192"/>
      <c r="MS1378" s="192"/>
      <c r="MT1378" s="192"/>
      <c r="MU1378" s="192"/>
      <c r="MV1378" s="192"/>
      <c r="MW1378" s="192"/>
      <c r="MX1378" s="192"/>
      <c r="MY1378" s="192"/>
      <c r="MZ1378" s="192"/>
      <c r="NA1378" s="192"/>
      <c r="NB1378" s="192"/>
      <c r="NC1378" s="192"/>
      <c r="ND1378" s="192"/>
      <c r="NE1378" s="192"/>
      <c r="NF1378" s="192"/>
      <c r="NG1378" s="192"/>
      <c r="NH1378" s="192"/>
      <c r="NI1378" s="192"/>
      <c r="NJ1378" s="192"/>
      <c r="NK1378" s="192"/>
      <c r="NL1378" s="192"/>
      <c r="NM1378" s="192"/>
      <c r="NN1378" s="192"/>
      <c r="NO1378" s="192"/>
      <c r="NP1378" s="192"/>
      <c r="NQ1378" s="192"/>
      <c r="NR1378" s="192"/>
      <c r="NS1378" s="192"/>
      <c r="NT1378" s="192"/>
      <c r="NU1378" s="192"/>
      <c r="NV1378" s="192"/>
      <c r="NW1378" s="192"/>
      <c r="NX1378" s="192"/>
      <c r="NY1378" s="192"/>
      <c r="NZ1378" s="192"/>
      <c r="OA1378" s="192"/>
      <c r="OB1378" s="192"/>
      <c r="OC1378" s="192"/>
      <c r="OD1378" s="192"/>
      <c r="OE1378" s="192"/>
      <c r="OF1378" s="192"/>
      <c r="OG1378" s="192"/>
      <c r="OH1378" s="192"/>
      <c r="OI1378" s="192"/>
      <c r="OJ1378" s="192"/>
      <c r="OK1378" s="192"/>
      <c r="OL1378" s="192"/>
      <c r="OM1378" s="192"/>
      <c r="ON1378" s="192"/>
      <c r="OO1378" s="192"/>
      <c r="OP1378" s="192"/>
      <c r="OQ1378" s="192"/>
      <c r="OR1378" s="192"/>
      <c r="OS1378" s="192"/>
      <c r="OT1378" s="192"/>
      <c r="OU1378" s="192"/>
      <c r="OV1378" s="192"/>
      <c r="OW1378" s="192"/>
      <c r="OX1378" s="192"/>
      <c r="OY1378" s="192"/>
      <c r="OZ1378" s="192"/>
      <c r="PA1378" s="192"/>
      <c r="PB1378" s="192"/>
      <c r="PC1378" s="192"/>
      <c r="PD1378" s="192"/>
      <c r="PE1378" s="192"/>
      <c r="PF1378" s="192"/>
      <c r="PG1378" s="192"/>
      <c r="PH1378" s="192"/>
      <c r="PI1378" s="192"/>
      <c r="PJ1378" s="192"/>
      <c r="PK1378" s="192"/>
      <c r="PL1378" s="192"/>
      <c r="PM1378" s="192"/>
      <c r="PN1378" s="192"/>
      <c r="PO1378" s="192"/>
      <c r="PP1378" s="192"/>
      <c r="PQ1378" s="192"/>
      <c r="PR1378" s="192"/>
      <c r="PS1378" s="192"/>
      <c r="PT1378" s="192"/>
      <c r="PU1378" s="192"/>
      <c r="PV1378" s="192"/>
      <c r="PW1378" s="192"/>
      <c r="PX1378" s="192"/>
      <c r="PY1378" s="192"/>
      <c r="PZ1378" s="192"/>
      <c r="QA1378" s="192"/>
      <c r="QB1378" s="192"/>
      <c r="QC1378" s="192"/>
      <c r="QD1378" s="192"/>
      <c r="QE1378" s="192"/>
      <c r="QF1378" s="192"/>
      <c r="QG1378" s="192"/>
      <c r="QH1378" s="192"/>
      <c r="QI1378" s="192"/>
      <c r="QJ1378" s="192"/>
      <c r="QK1378" s="192"/>
      <c r="QL1378" s="192"/>
      <c r="QM1378" s="192"/>
      <c r="QN1378" s="192"/>
      <c r="QO1378" s="192"/>
      <c r="QP1378" s="192"/>
      <c r="QQ1378" s="192"/>
      <c r="QR1378" s="192"/>
      <c r="QS1378" s="192"/>
      <c r="QT1378" s="192"/>
      <c r="QU1378" s="192"/>
      <c r="QV1378" s="192"/>
      <c r="QW1378" s="192"/>
      <c r="QX1378" s="192"/>
      <c r="QY1378" s="192"/>
      <c r="QZ1378" s="192"/>
      <c r="RA1378" s="192"/>
      <c r="RB1378" s="192"/>
      <c r="RC1378" s="192"/>
      <c r="RD1378" s="192"/>
      <c r="RE1378" s="192"/>
      <c r="RF1378" s="192"/>
      <c r="RG1378" s="192"/>
      <c r="RH1378" s="192"/>
      <c r="RI1378" s="192"/>
      <c r="RJ1378" s="192"/>
      <c r="RK1378" s="192"/>
      <c r="RL1378" s="192"/>
      <c r="RM1378" s="192"/>
      <c r="RN1378" s="192"/>
      <c r="RO1378" s="192"/>
      <c r="RP1378" s="192"/>
      <c r="RQ1378" s="192"/>
      <c r="RR1378" s="192"/>
      <c r="RS1378" s="192"/>
      <c r="RT1378" s="192"/>
      <c r="RU1378" s="192"/>
      <c r="RV1378" s="192"/>
      <c r="RW1378" s="192"/>
      <c r="RX1378" s="192"/>
      <c r="RY1378" s="192"/>
      <c r="RZ1378" s="192"/>
      <c r="SA1378" s="192"/>
      <c r="SB1378" s="192"/>
      <c r="SC1378" s="192"/>
      <c r="SD1378" s="192"/>
      <c r="SE1378" s="192"/>
      <c r="SF1378" s="192"/>
      <c r="SG1378" s="192"/>
      <c r="SH1378" s="192"/>
      <c r="SI1378" s="192"/>
      <c r="SJ1378" s="192"/>
      <c r="SK1378" s="192"/>
      <c r="SL1378" s="192"/>
      <c r="SM1378" s="192"/>
      <c r="SN1378" s="192"/>
      <c r="SO1378" s="192"/>
      <c r="SP1378" s="192"/>
      <c r="SQ1378" s="192"/>
      <c r="SR1378" s="192"/>
      <c r="SS1378" s="192"/>
      <c r="ST1378" s="192"/>
      <c r="SU1378" s="192"/>
      <c r="SV1378" s="192"/>
      <c r="SW1378" s="192"/>
      <c r="SX1378" s="192"/>
      <c r="SY1378" s="192"/>
      <c r="SZ1378" s="192"/>
      <c r="TA1378" s="192"/>
      <c r="TB1378" s="192"/>
      <c r="TC1378" s="192"/>
      <c r="TD1378" s="192"/>
      <c r="TE1378" s="192"/>
      <c r="TF1378" s="192"/>
      <c r="TG1378" s="192"/>
      <c r="TH1378" s="192"/>
      <c r="TI1378" s="192"/>
      <c r="TJ1378" s="192"/>
      <c r="TK1378" s="192"/>
      <c r="TL1378" s="192"/>
      <c r="TM1378" s="192"/>
      <c r="TN1378" s="192"/>
      <c r="TO1378" s="192"/>
      <c r="TP1378" s="192"/>
      <c r="TQ1378" s="192"/>
      <c r="TR1378" s="192"/>
      <c r="TS1378" s="192"/>
      <c r="TT1378" s="192"/>
      <c r="TU1378" s="192"/>
      <c r="TV1378" s="192"/>
      <c r="TW1378" s="192"/>
      <c r="TX1378" s="192"/>
      <c r="TY1378" s="192"/>
      <c r="TZ1378" s="192"/>
      <c r="UA1378" s="192"/>
      <c r="UB1378" s="192"/>
      <c r="UC1378" s="192"/>
      <c r="UD1378" s="192"/>
      <c r="UE1378" s="192"/>
      <c r="UF1378" s="192"/>
      <c r="UG1378" s="192"/>
      <c r="UH1378" s="192"/>
      <c r="UI1378" s="192"/>
      <c r="UJ1378" s="192"/>
      <c r="UK1378" s="192"/>
      <c r="UL1378" s="192"/>
      <c r="UM1378" s="192"/>
      <c r="UN1378" s="192"/>
      <c r="UO1378" s="192"/>
      <c r="UP1378" s="192"/>
      <c r="UQ1378" s="192"/>
      <c r="UR1378" s="192"/>
      <c r="US1378" s="192"/>
      <c r="UT1378" s="192"/>
      <c r="UU1378" s="192"/>
      <c r="UV1378" s="192"/>
      <c r="UW1378" s="192"/>
      <c r="UX1378" s="192"/>
      <c r="UY1378" s="192"/>
      <c r="UZ1378" s="192"/>
      <c r="VA1378" s="192"/>
      <c r="VB1378" s="192"/>
      <c r="VC1378" s="192"/>
      <c r="VD1378" s="192"/>
      <c r="VE1378" s="192"/>
      <c r="VF1378" s="192"/>
      <c r="VG1378" s="192"/>
      <c r="VH1378" s="192"/>
      <c r="VI1378" s="192"/>
      <c r="VJ1378" s="192"/>
      <c r="VK1378" s="192"/>
      <c r="VL1378" s="192"/>
      <c r="VM1378" s="192"/>
      <c r="VN1378" s="192"/>
      <c r="VO1378" s="192"/>
      <c r="VP1378" s="192"/>
      <c r="VQ1378" s="192"/>
      <c r="VR1378" s="192"/>
      <c r="VS1378" s="192"/>
      <c r="VT1378" s="192"/>
      <c r="VU1378" s="192"/>
      <c r="VV1378" s="192"/>
      <c r="VW1378" s="192"/>
      <c r="VX1378" s="192"/>
      <c r="VY1378" s="192"/>
      <c r="VZ1378" s="192"/>
      <c r="WA1378" s="192"/>
      <c r="WB1378" s="192"/>
      <c r="WC1378" s="192"/>
      <c r="WD1378" s="192"/>
      <c r="WE1378" s="192"/>
      <c r="WF1378" s="192"/>
      <c r="WG1378" s="192"/>
      <c r="WH1378" s="192"/>
      <c r="WI1378" s="192"/>
      <c r="WJ1378" s="192"/>
      <c r="WK1378" s="192"/>
      <c r="WL1378" s="192"/>
      <c r="WM1378" s="192"/>
      <c r="WN1378" s="192"/>
      <c r="WO1378" s="192"/>
      <c r="WP1378" s="192"/>
      <c r="WQ1378" s="192">
        <v>1</v>
      </c>
      <c r="WR1378" s="192"/>
      <c r="WS1378" s="192"/>
      <c r="WT1378" s="192"/>
      <c r="WU1378" s="192"/>
      <c r="WV1378" s="192"/>
      <c r="WW1378" s="192"/>
      <c r="WX1378" s="192"/>
      <c r="WY1378" s="192">
        <v>1</v>
      </c>
      <c r="WZ1378" s="192"/>
      <c r="XA1378" s="192"/>
      <c r="XB1378" s="192"/>
      <c r="XC1378" s="192"/>
      <c r="XD1378" s="192"/>
      <c r="XE1378" s="192"/>
      <c r="XF1378" s="192"/>
      <c r="XG1378" s="192"/>
    </row>
    <row r="1379" spans="1:631" ht="15" hidden="1" customHeight="1" x14ac:dyDescent="0.25">
      <c r="A1379" s="5" t="s">
        <v>7192</v>
      </c>
      <c r="B1379" s="15" t="str">
        <f>VLOOKUP(TAB_SAIDA[[#This Row],[COD_2_SAIDA]],TAB_ESTOQUE[[Codigo]:[Descrição Tecnica]],6,FALSE)</f>
        <v>ELEMENTO FILTRANTE PP 05 U D2 5X10</v>
      </c>
      <c r="C1379" s="15">
        <f>IFERROR(VLOOKUP(TAB_SAIDA[[#This Row],[COD_2_SAIDA]],TAB_ESTOQUE[[Codigo]:[Referência Tec]],7,FALSE),"")</f>
        <v>0</v>
      </c>
      <c r="D1379" s="15" t="str">
        <f>VLOOKUP(TAB_SAIDA[[#This Row],[COD_2_SAIDA]],TAB_ESTOQUE[[Codigo]:[Endereço2]],12,FALSE)</f>
        <v>C1402</v>
      </c>
      <c r="E1379" s="15">
        <f>SUM(TAB_SAIDA[[#This Row],[20/05/2019]:[00/00/00]])</f>
        <v>2</v>
      </c>
      <c r="F1379" s="3"/>
      <c r="BH1379" s="3"/>
      <c r="WS1379" s="3">
        <v>1</v>
      </c>
      <c r="XE1379" s="3">
        <v>1</v>
      </c>
    </row>
    <row r="1380" spans="1:631" ht="15" hidden="1" customHeight="1" x14ac:dyDescent="0.25">
      <c r="A1380" s="5" t="s">
        <v>7193</v>
      </c>
      <c r="B1380" s="15" t="str">
        <f>VLOOKUP(TAB_SAIDA[[#This Row],[COD_2_SAIDA]],TAB_ESTOQUE[[Codigo]:[Descrição Tecnica]],6,FALSE)</f>
        <v>ELEMENTO FILTRANTE PP 50 U D2 5X10</v>
      </c>
      <c r="C1380" s="15">
        <f>IFERROR(VLOOKUP(TAB_SAIDA[[#This Row],[COD_2_SAIDA]],TAB_ESTOQUE[[Codigo]:[Referência Tec]],7,FALSE),"")</f>
        <v>0</v>
      </c>
      <c r="D1380" s="15" t="str">
        <f>VLOOKUP(TAB_SAIDA[[#This Row],[COD_2_SAIDA]],TAB_ESTOQUE[[Codigo]:[Endereço2]],12,FALSE)</f>
        <v>C1402</v>
      </c>
      <c r="E1380" s="15">
        <f>SUM(TAB_SAIDA[[#This Row],[20/05/2019]:[00/00/00]])</f>
        <v>3</v>
      </c>
      <c r="F1380" s="3"/>
      <c r="BH1380" s="3"/>
      <c r="SH1380" s="3">
        <v>2</v>
      </c>
      <c r="WS1380" s="3">
        <v>1</v>
      </c>
    </row>
    <row r="1381" spans="1:631" ht="15" hidden="1" customHeight="1" x14ac:dyDescent="0.25">
      <c r="A1381" s="5" t="s">
        <v>7194</v>
      </c>
      <c r="B1381" s="15" t="str">
        <f>VLOOKUP(TAB_SAIDA[[#This Row],[COD_2_SAIDA]],TAB_ESTOQUE[[Codigo]:[Descrição Tecnica]],6,FALSE)</f>
        <v>RESISTENCIA KDI 7.5KW 254V</v>
      </c>
      <c r="C1381" s="15">
        <f>IFERROR(VLOOKUP(TAB_SAIDA[[#This Row],[COD_2_SAIDA]],TAB_ESTOQUE[[Codigo]:[Referência Tec]],7,FALSE),"")</f>
        <v>0</v>
      </c>
      <c r="D1381" s="15" t="str">
        <f>VLOOKUP(TAB_SAIDA[[#This Row],[COD_2_SAIDA]],TAB_ESTOQUE[[Codigo]:[Endereço2]],12,FALSE)</f>
        <v>A1206</v>
      </c>
      <c r="E1381" s="15">
        <f>SUM(TAB_SAIDA[[#This Row],[20/05/2019]:[00/00/00]])</f>
        <v>0</v>
      </c>
      <c r="F1381" s="3"/>
      <c r="BH1381" s="3"/>
    </row>
    <row r="1382" spans="1:631" ht="15" hidden="1" customHeight="1" x14ac:dyDescent="0.25">
      <c r="A1382" s="5" t="s">
        <v>7195</v>
      </c>
      <c r="B1382" s="15" t="str">
        <f>VLOOKUP(TAB_SAIDA[[#This Row],[COD_2_SAIDA]],TAB_ESTOQUE[[Codigo]:[Descrição Tecnica]],6,FALSE)</f>
        <v>FUSIVEL CARTUCHO WEBER NHOO 120KA gG 63A 500V</v>
      </c>
      <c r="C1382" s="15">
        <f>IFERROR(VLOOKUP(TAB_SAIDA[[#This Row],[COD_2_SAIDA]],TAB_ESTOQUE[[Codigo]:[Referência Tec]],7,FALSE),"")</f>
        <v>0</v>
      </c>
      <c r="D1382" s="15" t="str">
        <f>VLOOKUP(TAB_SAIDA[[#This Row],[COD_2_SAIDA]],TAB_ESTOQUE[[Codigo]:[Endereço2]],12,FALSE)</f>
        <v>A1204</v>
      </c>
      <c r="E1382" s="15">
        <f>SUM(TAB_SAIDA[[#This Row],[20/05/2019]:[00/00/00]])</f>
        <v>0</v>
      </c>
      <c r="F1382" s="3"/>
      <c r="BH1382" s="3"/>
    </row>
    <row r="1383" spans="1:631" ht="15" hidden="1" customHeight="1" x14ac:dyDescent="0.25">
      <c r="A1383" s="5" t="s">
        <v>7196</v>
      </c>
      <c r="B1383" s="15" t="str">
        <f>VLOOKUP(TAB_SAIDA[[#This Row],[COD_2_SAIDA]],TAB_ESTOQUE[[Codigo]:[Descrição Tecnica]],6,FALSE)</f>
        <v>BLOCO DE CONTATO 3HR2911-1FA22</v>
      </c>
      <c r="C1383" s="15">
        <f>IFERROR(VLOOKUP(TAB_SAIDA[[#This Row],[COD_2_SAIDA]],TAB_ESTOQUE[[Codigo]:[Referência Tec]],7,FALSE),"")</f>
        <v>0</v>
      </c>
      <c r="D1383" s="15" t="str">
        <f>VLOOKUP(TAB_SAIDA[[#This Row],[COD_2_SAIDA]],TAB_ESTOQUE[[Codigo]:[Endereço2]],12,FALSE)</f>
        <v>A1204</v>
      </c>
      <c r="E1383" s="15">
        <f>SUM(TAB_SAIDA[[#This Row],[20/05/2019]:[00/00/00]])</f>
        <v>0</v>
      </c>
      <c r="F1383" s="3"/>
      <c r="BH1383" s="3"/>
    </row>
    <row r="1384" spans="1:631" ht="15" hidden="1" customHeight="1" x14ac:dyDescent="0.25">
      <c r="A1384" s="5" t="s">
        <v>7197</v>
      </c>
      <c r="B1384" s="15" t="str">
        <f>VLOOKUP(TAB_SAIDA[[#This Row],[COD_2_SAIDA]],TAB_ESTOQUE[[Codigo]:[Descrição Tecnica]],6,FALSE)</f>
        <v>BASE PARA RELE TELEMECANIQUE RUZC3M 10A 250V 2.5KV 3</v>
      </c>
      <c r="C1384" s="15">
        <f>IFERROR(VLOOKUP(TAB_SAIDA[[#This Row],[COD_2_SAIDA]],TAB_ESTOQUE[[Codigo]:[Referência Tec]],7,FALSE),"")</f>
        <v>0</v>
      </c>
      <c r="D1384" s="15" t="str">
        <f>VLOOKUP(TAB_SAIDA[[#This Row],[COD_2_SAIDA]],TAB_ESTOQUE[[Codigo]:[Endereço2]],12,FALSE)</f>
        <v>A1205</v>
      </c>
      <c r="E1384" s="15">
        <f>SUM(TAB_SAIDA[[#This Row],[20/05/2019]:[00/00/00]])</f>
        <v>0</v>
      </c>
      <c r="F1384" s="3"/>
      <c r="BH1384" s="3"/>
    </row>
    <row r="1385" spans="1:631" ht="15" hidden="1" customHeight="1" x14ac:dyDescent="0.25">
      <c r="A1385" s="5" t="s">
        <v>7198</v>
      </c>
      <c r="B1385" s="15" t="str">
        <f>VLOOKUP(TAB_SAIDA[[#This Row],[COD_2_SAIDA]],TAB_ESTOQUE[[Codigo]:[Descrição Tecnica]],6,FALSE)</f>
        <v>SUPRESSOR DE SURTO SIEMENS 3RT1916-1EH00</v>
      </c>
      <c r="C1385" s="15">
        <f>IFERROR(VLOOKUP(TAB_SAIDA[[#This Row],[COD_2_SAIDA]],TAB_ESTOQUE[[Codigo]:[Referência Tec]],7,FALSE),"")</f>
        <v>0</v>
      </c>
      <c r="D1385" s="15" t="str">
        <f>VLOOKUP(TAB_SAIDA[[#This Row],[COD_2_SAIDA]],TAB_ESTOQUE[[Codigo]:[Endereço2]],12,FALSE)</f>
        <v>A1305</v>
      </c>
      <c r="E1385" s="15">
        <f>SUM(TAB_SAIDA[[#This Row],[20/05/2019]:[00/00/00]])</f>
        <v>0</v>
      </c>
      <c r="F1385" s="3"/>
      <c r="BH1385" s="3"/>
    </row>
    <row r="1386" spans="1:631" ht="15" hidden="1" customHeight="1" x14ac:dyDescent="0.25">
      <c r="A1386" s="5" t="s">
        <v>7199</v>
      </c>
      <c r="B1386" s="15" t="str">
        <f>VLOOKUP(TAB_SAIDA[[#This Row],[COD_2_SAIDA]],TAB_ESTOQUE[[Codigo]:[Descrição Tecnica]],6,FALSE)</f>
        <v>ACOPLAMENTO FIXAR STECK N4006 16A-6h/380-440V 3P+ FEMEA VERMELHA</v>
      </c>
      <c r="C1386" s="15">
        <f>IFERROR(VLOOKUP(TAB_SAIDA[[#This Row],[COD_2_SAIDA]],TAB_ESTOQUE[[Codigo]:[Referência Tec]],7,FALSE),"")</f>
        <v>0</v>
      </c>
      <c r="D1386" s="15" t="str">
        <f>VLOOKUP(TAB_SAIDA[[#This Row],[COD_2_SAIDA]],TAB_ESTOQUE[[Codigo]:[Endereço2]],12,FALSE)</f>
        <v>A1405</v>
      </c>
      <c r="E1386" s="15">
        <f>SUM(TAB_SAIDA[[#This Row],[20/05/2019]:[00/00/00]])</f>
        <v>0</v>
      </c>
      <c r="F1386" s="3"/>
      <c r="BH1386" s="3"/>
    </row>
    <row r="1387" spans="1:631" ht="15" hidden="1" customHeight="1" x14ac:dyDescent="0.25">
      <c r="A1387" s="5" t="s">
        <v>7200</v>
      </c>
      <c r="B1387" s="15" t="str">
        <f>VLOOKUP(TAB_SAIDA[[#This Row],[COD_2_SAIDA]],TAB_ESTOQUE[[Codigo]:[Descrição Tecnica]],6,FALSE)</f>
        <v>CONDULETE ALUM: C 1" COM ROSCA</v>
      </c>
      <c r="C1387" s="15">
        <f>IFERROR(VLOOKUP(TAB_SAIDA[[#This Row],[COD_2_SAIDA]],TAB_ESTOQUE[[Codigo]:[Referência Tec]],7,FALSE),"")</f>
        <v>0</v>
      </c>
      <c r="D1387" s="15" t="str">
        <f>VLOOKUP(TAB_SAIDA[[#This Row],[COD_2_SAIDA]],TAB_ESTOQUE[[Codigo]:[Endereço2]],12,FALSE)</f>
        <v>A1402</v>
      </c>
      <c r="E1387" s="15">
        <f>SUM(TAB_SAIDA[[#This Row],[20/05/2019]:[00/00/00]])</f>
        <v>0</v>
      </c>
      <c r="F1387" s="3"/>
      <c r="BH1387" s="3"/>
    </row>
    <row r="1388" spans="1:631" ht="15" hidden="1" customHeight="1" x14ac:dyDescent="0.25">
      <c r="A1388" s="5" t="s">
        <v>7201</v>
      </c>
      <c r="B1388" s="15" t="str">
        <f>VLOOKUP(TAB_SAIDA[[#This Row],[COD_2_SAIDA]],TAB_ESTOQUE[[Codigo]:[Descrição Tecnica]],6,FALSE)</f>
        <v>CONDULETE ALUM: TB 1" COM ROSCA</v>
      </c>
      <c r="C1388" s="15">
        <f>IFERROR(VLOOKUP(TAB_SAIDA[[#This Row],[COD_2_SAIDA]],TAB_ESTOQUE[[Codigo]:[Referência Tec]],7,FALSE),"")</f>
        <v>0</v>
      </c>
      <c r="D1388" s="15" t="str">
        <f>VLOOKUP(TAB_SAIDA[[#This Row],[COD_2_SAIDA]],TAB_ESTOQUE[[Codigo]:[Endereço2]],12,FALSE)</f>
        <v>A1402</v>
      </c>
      <c r="E1388" s="15">
        <f>SUM(TAB_SAIDA[[#This Row],[20/05/2019]:[00/00/00]])</f>
        <v>0</v>
      </c>
      <c r="F1388" s="3"/>
      <c r="BH1388" s="3"/>
    </row>
    <row r="1389" spans="1:631" ht="15" hidden="1" customHeight="1" x14ac:dyDescent="0.25">
      <c r="A1389" s="5" t="s">
        <v>7202</v>
      </c>
      <c r="B1389" s="15" t="str">
        <f>VLOOKUP(TAB_SAIDA[[#This Row],[COD_2_SAIDA]],TAB_ESTOQUE[[Codigo]:[Descrição Tecnica]],6,FALSE)</f>
        <v>CONDULETE ALUM: C 1" SEM ROSCA</v>
      </c>
      <c r="C1389" s="15">
        <f>IFERROR(VLOOKUP(TAB_SAIDA[[#This Row],[COD_2_SAIDA]],TAB_ESTOQUE[[Codigo]:[Referência Tec]],7,FALSE),"")</f>
        <v>0</v>
      </c>
      <c r="D1389" s="15" t="str">
        <f>VLOOKUP(TAB_SAIDA[[#This Row],[COD_2_SAIDA]],TAB_ESTOQUE[[Codigo]:[Endereço2]],12,FALSE)</f>
        <v>A1402</v>
      </c>
      <c r="E1389" s="15">
        <f>SUM(TAB_SAIDA[[#This Row],[20/05/2019]:[00/00/00]])</f>
        <v>0</v>
      </c>
      <c r="F1389" s="3"/>
      <c r="BH1389" s="3"/>
    </row>
    <row r="1390" spans="1:631" ht="15" hidden="1" customHeight="1" x14ac:dyDescent="0.25">
      <c r="A1390" s="5" t="s">
        <v>7203</v>
      </c>
      <c r="B1390" s="15" t="str">
        <f>VLOOKUP(TAB_SAIDA[[#This Row],[COD_2_SAIDA]],TAB_ESTOQUE[[Codigo]:[Descrição Tecnica]],6,FALSE)</f>
        <v>CONDULETE ALUM: X 1" SEM ROSCA</v>
      </c>
      <c r="C1390" s="15">
        <f>IFERROR(VLOOKUP(TAB_SAIDA[[#This Row],[COD_2_SAIDA]],TAB_ESTOQUE[[Codigo]:[Referência Tec]],7,FALSE),"")</f>
        <v>0</v>
      </c>
      <c r="D1390" s="15" t="str">
        <f>VLOOKUP(TAB_SAIDA[[#This Row],[COD_2_SAIDA]],TAB_ESTOQUE[[Codigo]:[Endereço2]],12,FALSE)</f>
        <v>A1402</v>
      </c>
      <c r="E1390" s="15">
        <f>SUM(TAB_SAIDA[[#This Row],[20/05/2019]:[00/00/00]])</f>
        <v>0</v>
      </c>
      <c r="F1390" s="3"/>
      <c r="BH1390" s="3"/>
    </row>
    <row r="1391" spans="1:631" ht="15" hidden="1" customHeight="1" x14ac:dyDescent="0.25">
      <c r="A1391" s="5" t="s">
        <v>7260</v>
      </c>
      <c r="B1391" s="15" t="str">
        <f>VLOOKUP(TAB_SAIDA[[#This Row],[COD_2_SAIDA]],TAB_ESTOQUE[[Codigo]:[Descrição Tecnica]],6,FALSE)</f>
        <v>PEPPERL+FUCHS UC4000-L2-E6-V15 PORT NO:188208 10-3VDC</v>
      </c>
      <c r="C1391" s="15">
        <f>IFERROR(VLOOKUP(TAB_SAIDA[[#This Row],[COD_2_SAIDA]],TAB_ESTOQUE[[Codigo]:[Referência Tec]],7,FALSE),"")</f>
        <v>0</v>
      </c>
      <c r="D1391" s="15" t="str">
        <f>VLOOKUP(TAB_SAIDA[[#This Row],[COD_2_SAIDA]],TAB_ESTOQUE[[Codigo]:[Endereço2]],12,FALSE)</f>
        <v>A2103</v>
      </c>
      <c r="E1391" s="15">
        <f>SUM(TAB_SAIDA[[#This Row],[20/05/2019]:[00/00/00]])</f>
        <v>0</v>
      </c>
      <c r="F1391" s="3"/>
      <c r="BH1391" s="3"/>
    </row>
    <row r="1392" spans="1:631" ht="15" hidden="1" customHeight="1" x14ac:dyDescent="0.25">
      <c r="A1392" s="5" t="s">
        <v>7261</v>
      </c>
      <c r="B1392" s="15" t="str">
        <f>VLOOKUP(TAB_SAIDA[[#This Row],[COD_2_SAIDA]],TAB_ESTOQUE[[Codigo]:[Descrição Tecnica]],6,FALSE)</f>
        <v>PEPPERL+FUCHS PORT NO: 805076 SU19/110/115/123</v>
      </c>
      <c r="C1392" s="15">
        <f>IFERROR(VLOOKUP(TAB_SAIDA[[#This Row],[COD_2_SAIDA]],TAB_ESTOQUE[[Codigo]:[Referência Tec]],7,FALSE),"")</f>
        <v>0</v>
      </c>
      <c r="D1392" s="15" t="str">
        <f>VLOOKUP(TAB_SAIDA[[#This Row],[COD_2_SAIDA]],TAB_ESTOQUE[[Codigo]:[Endereço2]],12,FALSE)</f>
        <v>A2104</v>
      </c>
      <c r="E1392" s="15">
        <f>SUM(TAB_SAIDA[[#This Row],[20/05/2019]:[00/00/00]])</f>
        <v>0</v>
      </c>
      <c r="F1392" s="3"/>
      <c r="BH1392" s="3"/>
    </row>
    <row r="1393" spans="1:60" ht="15" hidden="1" customHeight="1" x14ac:dyDescent="0.25">
      <c r="A1393" s="5" t="s">
        <v>7262</v>
      </c>
      <c r="B1393" s="15" t="str">
        <f>VLOOKUP(TAB_SAIDA[[#This Row],[COD_2_SAIDA]],TAB_ESTOQUE[[Codigo]:[Descrição Tecnica]],6,FALSE)</f>
        <v>VOLTIMETRO SERIE: BC72 S/N:07015168 FREQUENCY RANGE 45...65 Hz</v>
      </c>
      <c r="C1393" s="15">
        <f>IFERROR(VLOOKUP(TAB_SAIDA[[#This Row],[COD_2_SAIDA]],TAB_ESTOQUE[[Codigo]:[Referência Tec]],7,FALSE),"")</f>
        <v>0</v>
      </c>
      <c r="D1393" s="15" t="str">
        <f>VLOOKUP(TAB_SAIDA[[#This Row],[COD_2_SAIDA]],TAB_ESTOQUE[[Codigo]:[Endereço2]],12,FALSE)</f>
        <v>A2104</v>
      </c>
      <c r="E1393" s="15">
        <f>SUM(TAB_SAIDA[[#This Row],[20/05/2019]:[00/00/00]])</f>
        <v>0</v>
      </c>
      <c r="F1393" s="3"/>
      <c r="BH1393" s="3"/>
    </row>
    <row r="1394" spans="1:60" ht="15" hidden="1" customHeight="1" x14ac:dyDescent="0.25">
      <c r="A1394" s="5" t="s">
        <v>7263</v>
      </c>
      <c r="B1394" s="15" t="str">
        <f>VLOOKUP(TAB_SAIDA[[#This Row],[COD_2_SAIDA]],TAB_ESTOQUE[[Codigo]:[Descrição Tecnica]],6,FALSE)</f>
        <v xml:space="preserve">MODULO DE ALTA FREQUENCIA </v>
      </c>
      <c r="C1394" s="15">
        <f>IFERROR(VLOOKUP(TAB_SAIDA[[#This Row],[COD_2_SAIDA]],TAB_ESTOQUE[[Codigo]:[Referência Tec]],7,FALSE),"")</f>
        <v>0</v>
      </c>
      <c r="D1394" s="15" t="str">
        <f>VLOOKUP(TAB_SAIDA[[#This Row],[COD_2_SAIDA]],TAB_ESTOQUE[[Codigo]:[Endereço2]],12,FALSE)</f>
        <v>A2106</v>
      </c>
      <c r="E1394" s="15">
        <f>SUM(TAB_SAIDA[[#This Row],[20/05/2019]:[00/00/00]])</f>
        <v>0</v>
      </c>
      <c r="F1394" s="3"/>
      <c r="BH1394" s="3"/>
    </row>
    <row r="1395" spans="1:60" ht="15" hidden="1" customHeight="1" x14ac:dyDescent="0.25">
      <c r="A1395" s="5" t="s">
        <v>7264</v>
      </c>
      <c r="B1395" s="15" t="str">
        <f>VLOOKUP(TAB_SAIDA[[#This Row],[COD_2_SAIDA]],TAB_ESTOQUE[[Codigo]:[Descrição Tecnica]],6,FALSE)</f>
        <v>SENSORES OPTICOS IFM 05DLCPKG/US</v>
      </c>
      <c r="C1395" s="15">
        <f>IFERROR(VLOOKUP(TAB_SAIDA[[#This Row],[COD_2_SAIDA]],TAB_ESTOQUE[[Codigo]:[Referência Tec]],7,FALSE),"")</f>
        <v>0</v>
      </c>
      <c r="D1395" s="15" t="str">
        <f>VLOOKUP(TAB_SAIDA[[#This Row],[COD_2_SAIDA]],TAB_ESTOQUE[[Codigo]:[Endereço2]],12,FALSE)</f>
        <v>A2103</v>
      </c>
      <c r="E1395" s="15">
        <f>SUM(TAB_SAIDA[[#This Row],[20/05/2019]:[00/00/00]])</f>
        <v>0</v>
      </c>
      <c r="F1395" s="3"/>
      <c r="BH1395" s="3"/>
    </row>
    <row r="1396" spans="1:60" ht="15" hidden="1" customHeight="1" x14ac:dyDescent="0.25">
      <c r="A1396" s="5" t="s">
        <v>7271</v>
      </c>
      <c r="B1396" s="15" t="str">
        <f>VLOOKUP(TAB_SAIDA[[#This Row],[COD_2_SAIDA]],TAB_ESTOQUE[[Codigo]:[Descrição Tecnica]],6,FALSE)</f>
        <v>CARCAÇA HAM 24 PINOS 1/2"</v>
      </c>
      <c r="C1396" s="15">
        <f>IFERROR(VLOOKUP(TAB_SAIDA[[#This Row],[COD_2_SAIDA]],TAB_ESTOQUE[[Codigo]:[Referência Tec]],7,FALSE),"")</f>
        <v>0</v>
      </c>
      <c r="D1396" s="15" t="str">
        <f>VLOOKUP(TAB_SAIDA[[#This Row],[COD_2_SAIDA]],TAB_ESTOQUE[[Codigo]:[Endereço2]],12,FALSE)</f>
        <v>A2306</v>
      </c>
      <c r="E1396" s="15">
        <f>SUM(TAB_SAIDA[[#This Row],[20/05/2019]:[00/00/00]])</f>
        <v>0</v>
      </c>
      <c r="F1396" s="3"/>
      <c r="BH1396" s="3"/>
    </row>
    <row r="1397" spans="1:60" ht="15" hidden="1" customHeight="1" x14ac:dyDescent="0.25">
      <c r="A1397" s="5" t="s">
        <v>7272</v>
      </c>
      <c r="B1397" s="15" t="str">
        <f>VLOOKUP(TAB_SAIDA[[#This Row],[COD_2_SAIDA]],TAB_ESTOQUE[[Codigo]:[Descrição Tecnica]],6,FALSE)</f>
        <v>CARCAÇA HAM 24 PINOS 3/4"</v>
      </c>
      <c r="C1397" s="15">
        <f>IFERROR(VLOOKUP(TAB_SAIDA[[#This Row],[COD_2_SAIDA]],TAB_ESTOQUE[[Codigo]:[Referência Tec]],7,FALSE),"")</f>
        <v>0</v>
      </c>
      <c r="D1397" s="15" t="str">
        <f>VLOOKUP(TAB_SAIDA[[#This Row],[COD_2_SAIDA]],TAB_ESTOQUE[[Codigo]:[Endereço2]],12,FALSE)</f>
        <v>A2306</v>
      </c>
      <c r="E1397" s="15">
        <f>SUM(TAB_SAIDA[[#This Row],[20/05/2019]:[00/00/00]])</f>
        <v>0</v>
      </c>
      <c r="F1397" s="3"/>
      <c r="BH1397" s="3"/>
    </row>
    <row r="1398" spans="1:60" ht="15" hidden="1" customHeight="1" x14ac:dyDescent="0.25">
      <c r="A1398" s="5" t="s">
        <v>7273</v>
      </c>
      <c r="B1398" s="15" t="str">
        <f>VLOOKUP(TAB_SAIDA[[#This Row],[COD_2_SAIDA]],TAB_ESTOQUE[[Codigo]:[Descrição Tecnica]],6,FALSE)</f>
        <v>CARCAÇA HAM 24 PINOS 3/4"</v>
      </c>
      <c r="C1398" s="15">
        <f>IFERROR(VLOOKUP(TAB_SAIDA[[#This Row],[COD_2_SAIDA]],TAB_ESTOQUE[[Codigo]:[Referência Tec]],7,FALSE),"")</f>
        <v>0</v>
      </c>
      <c r="D1398" s="15" t="str">
        <f>VLOOKUP(TAB_SAIDA[[#This Row],[COD_2_SAIDA]],TAB_ESTOQUE[[Codigo]:[Endereço2]],12,FALSE)</f>
        <v>A2306</v>
      </c>
      <c r="E1398" s="15">
        <f>SUM(TAB_SAIDA[[#This Row],[20/05/2019]:[00/00/00]])</f>
        <v>0</v>
      </c>
      <c r="F1398" s="3"/>
      <c r="BH1398" s="3"/>
    </row>
    <row r="1399" spans="1:60" ht="15" hidden="1" customHeight="1" x14ac:dyDescent="0.25">
      <c r="A1399" s="5" t="s">
        <v>7274</v>
      </c>
      <c r="B1399" s="15" t="str">
        <f>VLOOKUP(TAB_SAIDA[[#This Row],[COD_2_SAIDA]],TAB_ESTOQUE[[Codigo]:[Descrição Tecnica]],6,FALSE)</f>
        <v>CARCAÇA HAM 24 PINOS 3/4"</v>
      </c>
      <c r="C1399" s="15">
        <f>IFERROR(VLOOKUP(TAB_SAIDA[[#This Row],[COD_2_SAIDA]],TAB_ESTOQUE[[Codigo]:[Referência Tec]],7,FALSE),"")</f>
        <v>0</v>
      </c>
      <c r="D1399" s="15" t="str">
        <f>VLOOKUP(TAB_SAIDA[[#This Row],[COD_2_SAIDA]],TAB_ESTOQUE[[Codigo]:[Endereço2]],12,FALSE)</f>
        <v>A2306</v>
      </c>
      <c r="E1399" s="15">
        <f>SUM(TAB_SAIDA[[#This Row],[20/05/2019]:[00/00/00]])</f>
        <v>0</v>
      </c>
      <c r="F1399" s="3"/>
      <c r="BH1399" s="3"/>
    </row>
    <row r="1400" spans="1:60" ht="15" hidden="1" customHeight="1" x14ac:dyDescent="0.25">
      <c r="A1400" s="5" t="s">
        <v>7275</v>
      </c>
      <c r="B1400" s="15" t="str">
        <f>VLOOKUP(TAB_SAIDA[[#This Row],[COD_2_SAIDA]],TAB_ESTOQUE[[Codigo]:[Descrição Tecnica]],6,FALSE)</f>
        <v>CARCAÇA HAM 24 PINOS 3/4"</v>
      </c>
      <c r="C1400" s="15">
        <f>IFERROR(VLOOKUP(TAB_SAIDA[[#This Row],[COD_2_SAIDA]],TAB_ESTOQUE[[Codigo]:[Referência Tec]],7,FALSE),"")</f>
        <v>0</v>
      </c>
      <c r="D1400" s="15" t="str">
        <f>VLOOKUP(TAB_SAIDA[[#This Row],[COD_2_SAIDA]],TAB_ESTOQUE[[Codigo]:[Endereço2]],12,FALSE)</f>
        <v>A2306</v>
      </c>
      <c r="E1400" s="15">
        <f>SUM(TAB_SAIDA[[#This Row],[20/05/2019]:[00/00/00]])</f>
        <v>0</v>
      </c>
      <c r="F1400" s="3"/>
      <c r="BH1400" s="3"/>
    </row>
    <row r="1401" spans="1:60" ht="15" hidden="1" customHeight="1" x14ac:dyDescent="0.25">
      <c r="A1401" s="5" t="s">
        <v>7280</v>
      </c>
      <c r="B1401" s="15" t="str">
        <f>VLOOKUP(TAB_SAIDA[[#This Row],[COD_2_SAIDA]],TAB_ESTOQUE[[Codigo]:[Descrição Tecnica]],6,FALSE)</f>
        <v>CONJUNTO DE CARCAÇA HAM 24 PINOS 1"</v>
      </c>
      <c r="C1401" s="15">
        <f>IFERROR(VLOOKUP(TAB_SAIDA[[#This Row],[COD_2_SAIDA]],TAB_ESTOQUE[[Codigo]:[Referência Tec]],7,FALSE),"")</f>
        <v>0</v>
      </c>
      <c r="D1401" s="15" t="str">
        <f>VLOOKUP(TAB_SAIDA[[#This Row],[COD_2_SAIDA]],TAB_ESTOQUE[[Codigo]:[Endereço2]],12,FALSE)</f>
        <v>A2306</v>
      </c>
      <c r="E1401" s="15">
        <f>SUM(TAB_SAIDA[[#This Row],[20/05/2019]:[00/00/00]])</f>
        <v>0</v>
      </c>
      <c r="F1401" s="3"/>
      <c r="BH1401" s="3"/>
    </row>
    <row r="1402" spans="1:60" ht="15" hidden="1" customHeight="1" x14ac:dyDescent="0.25">
      <c r="A1402" s="5" t="s">
        <v>7283</v>
      </c>
      <c r="B1402" s="15" t="str">
        <f>VLOOKUP(TAB_SAIDA[[#This Row],[COD_2_SAIDA]],TAB_ESTOQUE[[Codigo]:[Descrição Tecnica]],6,FALSE)</f>
        <v>CONJUNTO DE CARCAÇA HAM 24 PINOS DE FIXAR 1"</v>
      </c>
      <c r="C1402" s="15">
        <f>IFERROR(VLOOKUP(TAB_SAIDA[[#This Row],[COD_2_SAIDA]],TAB_ESTOQUE[[Codigo]:[Referência Tec]],7,FALSE),"")</f>
        <v>0</v>
      </c>
      <c r="D1402" s="15" t="str">
        <f>VLOOKUP(TAB_SAIDA[[#This Row],[COD_2_SAIDA]],TAB_ESTOQUE[[Codigo]:[Endereço2]],12,FALSE)</f>
        <v>A2306</v>
      </c>
      <c r="E1402" s="15">
        <f>SUM(TAB_SAIDA[[#This Row],[20/05/2019]:[00/00/00]])</f>
        <v>0</v>
      </c>
      <c r="F1402" s="3"/>
      <c r="BH1402" s="3"/>
    </row>
    <row r="1403" spans="1:60" ht="15" hidden="1" customHeight="1" x14ac:dyDescent="0.25">
      <c r="A1403" s="5" t="s">
        <v>7285</v>
      </c>
      <c r="B1403" s="15" t="str">
        <f>VLOOKUP(TAB_SAIDA[[#This Row],[COD_2_SAIDA]],TAB_ESTOQUE[[Codigo]:[Descrição Tecnica]],6,FALSE)</f>
        <v>HAN 10 PINOS MACHO</v>
      </c>
      <c r="C1403" s="15">
        <f>IFERROR(VLOOKUP(TAB_SAIDA[[#This Row],[COD_2_SAIDA]],TAB_ESTOQUE[[Codigo]:[Referência Tec]],7,FALSE),"")</f>
        <v>0</v>
      </c>
      <c r="D1403" s="15" t="str">
        <f>VLOOKUP(TAB_SAIDA[[#This Row],[COD_2_SAIDA]],TAB_ESTOQUE[[Codigo]:[Endereço2]],12,FALSE)</f>
        <v>A2406</v>
      </c>
      <c r="E1403" s="15">
        <f>SUM(TAB_SAIDA[[#This Row],[20/05/2019]:[00/00/00]])</f>
        <v>0</v>
      </c>
      <c r="F1403" s="3"/>
      <c r="BH1403" s="3"/>
    </row>
    <row r="1404" spans="1:60" ht="15" hidden="1" customHeight="1" x14ac:dyDescent="0.25">
      <c r="A1404" s="5" t="s">
        <v>7286</v>
      </c>
      <c r="B1404" s="15" t="str">
        <f>VLOOKUP(TAB_SAIDA[[#This Row],[COD_2_SAIDA]],TAB_ESTOQUE[[Codigo]:[Descrição Tecnica]],6,FALSE)</f>
        <v>HAN 6 PINOS MACHO</v>
      </c>
      <c r="C1404" s="15">
        <f>IFERROR(VLOOKUP(TAB_SAIDA[[#This Row],[COD_2_SAIDA]],TAB_ESTOQUE[[Codigo]:[Referência Tec]],7,FALSE),"")</f>
        <v>0</v>
      </c>
      <c r="D1404" s="15" t="str">
        <f>VLOOKUP(TAB_SAIDA[[#This Row],[COD_2_SAIDA]],TAB_ESTOQUE[[Codigo]:[Endereço2]],12,FALSE)</f>
        <v>A2406</v>
      </c>
      <c r="E1404" s="15">
        <f>SUM(TAB_SAIDA[[#This Row],[20/05/2019]:[00/00/00]])</f>
        <v>0</v>
      </c>
      <c r="F1404" s="3"/>
      <c r="BH1404" s="3"/>
    </row>
    <row r="1405" spans="1:60" ht="15" hidden="1" customHeight="1" x14ac:dyDescent="0.25">
      <c r="A1405" s="5" t="s">
        <v>7287</v>
      </c>
      <c r="B1405" s="15" t="str">
        <f>VLOOKUP(TAB_SAIDA[[#This Row],[COD_2_SAIDA]],TAB_ESTOQUE[[Codigo]:[Descrição Tecnica]],6,FALSE)</f>
        <v xml:space="preserve">CONTATOR CWB 10-11-30D02 18A </v>
      </c>
      <c r="C1405" s="15">
        <f>IFERROR(VLOOKUP(TAB_SAIDA[[#This Row],[COD_2_SAIDA]],TAB_ESTOQUE[[Codigo]:[Referência Tec]],7,FALSE),"")</f>
        <v>0</v>
      </c>
      <c r="D1405" s="15" t="str">
        <f>VLOOKUP(TAB_SAIDA[[#This Row],[COD_2_SAIDA]],TAB_ESTOQUE[[Codigo]:[Endereço2]],12,FALSE)</f>
        <v>A2403</v>
      </c>
      <c r="E1405" s="15">
        <f>SUM(TAB_SAIDA[[#This Row],[20/05/2019]:[00/00/00]])</f>
        <v>0</v>
      </c>
      <c r="F1405" s="3"/>
      <c r="BH1405" s="3"/>
    </row>
    <row r="1406" spans="1:60" ht="15" hidden="1" customHeight="1" x14ac:dyDescent="0.25">
      <c r="A1406" s="5" t="s">
        <v>7294</v>
      </c>
      <c r="B1406" s="15" t="str">
        <f>VLOOKUP(TAB_SAIDA[[#This Row],[COD_2_SAIDA]],TAB_ESTOQUE[[Codigo]:[Descrição Tecnica]],6,FALSE)</f>
        <v>FONTE XCSW 120C 24V/5A  23.5-27.5V CABUR</v>
      </c>
      <c r="C1406" s="15">
        <f>IFERROR(VLOOKUP(TAB_SAIDA[[#This Row],[COD_2_SAIDA]],TAB_ESTOQUE[[Codigo]:[Referência Tec]],7,FALSE),"")</f>
        <v>0</v>
      </c>
      <c r="D1406" s="15" t="str">
        <f>VLOOKUP(TAB_SAIDA[[#This Row],[COD_2_SAIDA]],TAB_ESTOQUE[[Codigo]:[Endereço2]],12,FALSE)</f>
        <v>B1203</v>
      </c>
      <c r="E1406" s="15">
        <f>SUM(TAB_SAIDA[[#This Row],[20/05/2019]:[00/00/00]])</f>
        <v>0</v>
      </c>
      <c r="F1406" s="3"/>
      <c r="BH1406" s="3"/>
    </row>
    <row r="1407" spans="1:60" ht="15" hidden="1" customHeight="1" x14ac:dyDescent="0.25">
      <c r="A1407" s="5" t="s">
        <v>7295</v>
      </c>
      <c r="B1407" s="15" t="str">
        <f>VLOOKUP(TAB_SAIDA[[#This Row],[COD_2_SAIDA]],TAB_ESTOQUE[[Codigo]:[Descrição Tecnica]],6,FALSE)</f>
        <v>MODULO DE ENTRADA 6ES7 138-4CA00-0AA0</v>
      </c>
      <c r="C1407" s="15">
        <f>IFERROR(VLOOKUP(TAB_SAIDA[[#This Row],[COD_2_SAIDA]],TAB_ESTOQUE[[Codigo]:[Referência Tec]],7,FALSE),"")</f>
        <v>0</v>
      </c>
      <c r="D1407" s="15" t="str">
        <f>VLOOKUP(TAB_SAIDA[[#This Row],[COD_2_SAIDA]],TAB_ESTOQUE[[Codigo]:[Endereço2]],12,FALSE)</f>
        <v>B1204</v>
      </c>
      <c r="E1407" s="15">
        <f>SUM(TAB_SAIDA[[#This Row],[20/05/2019]:[00/00/00]])</f>
        <v>0</v>
      </c>
      <c r="F1407" s="3"/>
      <c r="BH1407" s="3"/>
    </row>
    <row r="1408" spans="1:60" ht="15" hidden="1" customHeight="1" x14ac:dyDescent="0.25">
      <c r="A1408" s="5" t="s">
        <v>7296</v>
      </c>
      <c r="B1408" s="15" t="str">
        <f>VLOOKUP(TAB_SAIDA[[#This Row],[COD_2_SAIDA]],TAB_ESTOQUE[[Codigo]:[Descrição Tecnica]],6,FALSE)</f>
        <v>RELE DE SEGURANÇA FX3-CPU 320002 IDENT: 1059305 (SICK)</v>
      </c>
      <c r="C1408" s="15">
        <f>IFERROR(VLOOKUP(TAB_SAIDA[[#This Row],[COD_2_SAIDA]],TAB_ESTOQUE[[Codigo]:[Referência Tec]],7,FALSE),"")</f>
        <v>0</v>
      </c>
      <c r="D1408" s="15" t="str">
        <f>VLOOKUP(TAB_SAIDA[[#This Row],[COD_2_SAIDA]],TAB_ESTOQUE[[Codigo]:[Endereço2]],12,FALSE)</f>
        <v>B1205</v>
      </c>
      <c r="E1408" s="15">
        <f>SUM(TAB_SAIDA[[#This Row],[20/05/2019]:[00/00/00]])</f>
        <v>0</v>
      </c>
      <c r="F1408" s="3"/>
      <c r="BH1408" s="3"/>
    </row>
    <row r="1409" spans="1:60" ht="15" hidden="1" customHeight="1" x14ac:dyDescent="0.25">
      <c r="A1409" s="5" t="s">
        <v>7297</v>
      </c>
      <c r="B1409" s="15" t="str">
        <f>VLOOKUP(TAB_SAIDA[[#This Row],[COD_2_SAIDA]],TAB_ESTOQUE[[Codigo]:[Descrição Tecnica]],6,FALSE)</f>
        <v>SENSOR FIM DE CURSO XCKP2106G11</v>
      </c>
      <c r="C1409" s="15">
        <f>IFERROR(VLOOKUP(TAB_SAIDA[[#This Row],[COD_2_SAIDA]],TAB_ESTOQUE[[Codigo]:[Referência Tec]],7,FALSE),"")</f>
        <v>0</v>
      </c>
      <c r="D1409" s="15" t="str">
        <f>VLOOKUP(TAB_SAIDA[[#This Row],[COD_2_SAIDA]],TAB_ESTOQUE[[Codigo]:[Endereço2]],12,FALSE)</f>
        <v>A2205</v>
      </c>
      <c r="E1409" s="15">
        <f>SUM(TAB_SAIDA[[#This Row],[20/05/2019]:[00/00/00]])</f>
        <v>0</v>
      </c>
      <c r="F1409" s="3"/>
      <c r="BH1409" s="3"/>
    </row>
    <row r="1410" spans="1:60" ht="15" hidden="1" customHeight="1" x14ac:dyDescent="0.25">
      <c r="A1410" s="5" t="s">
        <v>7350</v>
      </c>
      <c r="B1410" s="15" t="str">
        <f>VLOOKUP(TAB_SAIDA[[#This Row],[COD_2_SAIDA]],TAB_ESTOQUE[[Codigo]:[Descrição Tecnica]],6,FALSE)</f>
        <v>AMORTECEDOR MOLA GAS  F1 - 300N   MG07 200 0500 0300P</v>
      </c>
      <c r="C1410" s="15">
        <f>IFERROR(VLOOKUP(TAB_SAIDA[[#This Row],[COD_2_SAIDA]],TAB_ESTOQUE[[Codigo]:[Referência Tec]],7,FALSE),"")</f>
        <v>0</v>
      </c>
      <c r="D1410" s="15" t="str">
        <f>VLOOKUP(TAB_SAIDA[[#This Row],[COD_2_SAIDA]],TAB_ESTOQUE[[Codigo]:[Endereço2]],12,FALSE)</f>
        <v>D2305</v>
      </c>
      <c r="E1410" s="15">
        <f>SUM(TAB_SAIDA[[#This Row],[20/05/2019]:[00/00/00]])</f>
        <v>0</v>
      </c>
      <c r="F1410" s="3"/>
      <c r="BH1410" s="3"/>
    </row>
    <row r="1411" spans="1:60" ht="15" hidden="1" customHeight="1" x14ac:dyDescent="0.25">
      <c r="A1411" s="5" t="s">
        <v>7355</v>
      </c>
      <c r="B1411" s="15" t="str">
        <f>VLOOKUP(TAB_SAIDA[[#This Row],[COD_2_SAIDA]],TAB_ESTOQUE[[Codigo]:[Descrição Tecnica]],6,FALSE)</f>
        <v>VALVULA REGULADORA DE FLUXO LNV2-08-K (KETA)</v>
      </c>
      <c r="C1411" s="15">
        <f>IFERROR(VLOOKUP(TAB_SAIDA[[#This Row],[COD_2_SAIDA]],TAB_ESTOQUE[[Codigo]:[Referência Tec]],7,FALSE),"")</f>
        <v>0</v>
      </c>
      <c r="D1411" s="15" t="str">
        <f>VLOOKUP(TAB_SAIDA[[#This Row],[COD_2_SAIDA]],TAB_ESTOQUE[[Codigo]:[Endereço2]],12,FALSE)</f>
        <v>E1402</v>
      </c>
      <c r="E1411" s="15">
        <f>SUM(TAB_SAIDA[[#This Row],[20/05/2019]:[00/00/00]])</f>
        <v>0</v>
      </c>
      <c r="F1411" s="3"/>
      <c r="BH1411" s="3"/>
    </row>
    <row r="1412" spans="1:60" ht="15" hidden="1" customHeight="1" x14ac:dyDescent="0.25">
      <c r="A1412" s="5" t="s">
        <v>7356</v>
      </c>
      <c r="B1412" s="15" t="str">
        <f>VLOOKUP(TAB_SAIDA[[#This Row],[COD_2_SAIDA]],TAB_ESTOQUE[[Codigo]:[Descrição Tecnica]],6,FALSE)</f>
        <v>IHM SIEMENS 6AV6 647-0AA11-3AXO</v>
      </c>
      <c r="C1412" s="15">
        <f>IFERROR(VLOOKUP(TAB_SAIDA[[#This Row],[COD_2_SAIDA]],TAB_ESTOQUE[[Codigo]:[Referência Tec]],7,FALSE),"")</f>
        <v>0</v>
      </c>
      <c r="D1412" s="15" t="str">
        <f>VLOOKUP(TAB_SAIDA[[#This Row],[COD_2_SAIDA]],TAB_ESTOQUE[[Codigo]:[Endereço2]],12,FALSE)</f>
        <v>A2202</v>
      </c>
      <c r="E1412" s="15">
        <f>SUM(TAB_SAIDA[[#This Row],[20/05/2019]:[00/00/00]])</f>
        <v>0</v>
      </c>
      <c r="F1412" s="3"/>
      <c r="BH1412" s="3"/>
    </row>
    <row r="1413" spans="1:60" ht="15" hidden="1" customHeight="1" x14ac:dyDescent="0.25">
      <c r="A1413" s="5" t="s">
        <v>7357</v>
      </c>
      <c r="B1413" s="15" t="str">
        <f>VLOOKUP(TAB_SAIDA[[#This Row],[COD_2_SAIDA]],TAB_ESTOQUE[[Codigo]:[Descrição Tecnica]],6,FALSE)</f>
        <v>CHAVE PARA PLACAS COM INTERTRAVAMENTO ZQE 804 Pz.1</v>
      </c>
      <c r="C1413" s="15">
        <f>IFERROR(VLOOKUP(TAB_SAIDA[[#This Row],[COD_2_SAIDA]],TAB_ESTOQUE[[Codigo]:[Referência Tec]],7,FALSE),"")</f>
        <v>0</v>
      </c>
      <c r="D1413" s="15" t="str">
        <f>VLOOKUP(TAB_SAIDA[[#This Row],[COD_2_SAIDA]],TAB_ESTOQUE[[Codigo]:[Endereço2]],12,FALSE)</f>
        <v>A2303</v>
      </c>
      <c r="E1413" s="15">
        <f>SUM(TAB_SAIDA[[#This Row],[20/05/2019]:[00/00/00]])</f>
        <v>0</v>
      </c>
      <c r="F1413" s="3"/>
      <c r="BH1413" s="3"/>
    </row>
    <row r="1414" spans="1:60" ht="15" hidden="1" customHeight="1" x14ac:dyDescent="0.25">
      <c r="A1414" s="5" t="s">
        <v>7368</v>
      </c>
      <c r="B1414" s="15" t="str">
        <f>VLOOKUP(TAB_SAIDA[[#This Row],[COD_2_SAIDA]],TAB_ESTOQUE[[Codigo]:[Descrição Tecnica]],6,FALSE)</f>
        <v>TUBOS INOX 304L SEM COSTURA ASTM A-269 8MM X PAREDE 1MM C/ 6MTS</v>
      </c>
      <c r="C1414" s="15">
        <f>IFERROR(VLOOKUP(TAB_SAIDA[[#This Row],[COD_2_SAIDA]],TAB_ESTOQUE[[Codigo]:[Referência Tec]],7,FALSE),"")</f>
        <v>0</v>
      </c>
      <c r="D1414" s="15" t="str">
        <f>VLOOKUP(TAB_SAIDA[[#This Row],[COD_2_SAIDA]],TAB_ESTOQUE[[Codigo]:[Endereço2]],12,FALSE)</f>
        <v>BOX</v>
      </c>
      <c r="E1414" s="15">
        <f>SUM(TAB_SAIDA[[#This Row],[20/05/2019]:[00/00/00]])</f>
        <v>0</v>
      </c>
      <c r="F1414" s="3"/>
      <c r="BH1414" s="3"/>
    </row>
    <row r="1415" spans="1:60" ht="15" hidden="1" customHeight="1" x14ac:dyDescent="0.25">
      <c r="A1415" s="5" t="s">
        <v>7380</v>
      </c>
      <c r="B1415" s="15" t="str">
        <f>VLOOKUP(TAB_SAIDA[[#This Row],[COD_2_SAIDA]],TAB_ESTOQUE[[Codigo]:[Descrição Tecnica]],6,FALSE)</f>
        <v>TUBOS INOX 304L SEM COSTURA ASTM A-269 10MM X PAREDE 1MM C/ 6MTS</v>
      </c>
      <c r="C1415" s="15">
        <f>IFERROR(VLOOKUP(TAB_SAIDA[[#This Row],[COD_2_SAIDA]],TAB_ESTOQUE[[Codigo]:[Referência Tec]],7,FALSE),"")</f>
        <v>0</v>
      </c>
      <c r="D1415" s="15" t="str">
        <f>VLOOKUP(TAB_SAIDA[[#This Row],[COD_2_SAIDA]],TAB_ESTOQUE[[Codigo]:[Endereço2]],12,FALSE)</f>
        <v>BOX</v>
      </c>
      <c r="E1415" s="15">
        <f>SUM(TAB_SAIDA[[#This Row],[20/05/2019]:[00/00/00]])</f>
        <v>0</v>
      </c>
      <c r="F1415" s="3"/>
      <c r="BH1415" s="3"/>
    </row>
    <row r="1416" spans="1:60" ht="15" hidden="1" customHeight="1" x14ac:dyDescent="0.25">
      <c r="A1416" s="5" t="s">
        <v>7381</v>
      </c>
      <c r="B1416" s="15" t="str">
        <f>VLOOKUP(TAB_SAIDA[[#This Row],[COD_2_SAIDA]],TAB_ESTOQUE[[Codigo]:[Descrição Tecnica]],6,FALSE)</f>
        <v>TUBOS INOX 304L SEM COSTURA ASTM A-269 12MM X PAREDE 1MM C/ 6MTS</v>
      </c>
      <c r="C1416" s="15">
        <f>IFERROR(VLOOKUP(TAB_SAIDA[[#This Row],[COD_2_SAIDA]],TAB_ESTOQUE[[Codigo]:[Referência Tec]],7,FALSE),"")</f>
        <v>0</v>
      </c>
      <c r="D1416" s="15" t="str">
        <f>VLOOKUP(TAB_SAIDA[[#This Row],[COD_2_SAIDA]],TAB_ESTOQUE[[Codigo]:[Endereço2]],12,FALSE)</f>
        <v>BOX</v>
      </c>
      <c r="E1416" s="15">
        <f>SUM(TAB_SAIDA[[#This Row],[20/05/2019]:[00/00/00]])</f>
        <v>0</v>
      </c>
      <c r="F1416" s="3"/>
      <c r="BH1416" s="3"/>
    </row>
    <row r="1417" spans="1:60" ht="15" hidden="1" customHeight="1" x14ac:dyDescent="0.25">
      <c r="A1417" s="5" t="s">
        <v>7385</v>
      </c>
      <c r="B1417" s="15" t="str">
        <f>VLOOKUP(TAB_SAIDA[[#This Row],[COD_2_SAIDA]],TAB_ESTOQUE[[Codigo]:[Descrição Tecnica]],6,FALSE)</f>
        <v>PORCA FLANGE AÇO INOX 316 10MM</v>
      </c>
      <c r="C1417" s="15">
        <f>IFERROR(VLOOKUP(TAB_SAIDA[[#This Row],[COD_2_SAIDA]],TAB_ESTOQUE[[Codigo]:[Referência Tec]],7,FALSE),"")</f>
        <v>0</v>
      </c>
      <c r="D1417" s="15" t="str">
        <f>VLOOKUP(TAB_SAIDA[[#This Row],[COD_2_SAIDA]],TAB_ESTOQUE[[Codigo]:[Endereço2]],12,FALSE)</f>
        <v>F1203</v>
      </c>
      <c r="E1417" s="15">
        <f>SUM(TAB_SAIDA[[#This Row],[20/05/2019]:[00/00/00]])</f>
        <v>0</v>
      </c>
      <c r="F1417" s="3"/>
      <c r="BH1417" s="3"/>
    </row>
    <row r="1418" spans="1:60" ht="15" hidden="1" customHeight="1" x14ac:dyDescent="0.25">
      <c r="A1418" s="5" t="s">
        <v>7389</v>
      </c>
      <c r="B1418" s="15" t="str">
        <f>VLOOKUP(TAB_SAIDA[[#This Row],[COD_2_SAIDA]],TAB_ESTOQUE[[Codigo]:[Descrição Tecnica]],6,FALSE)</f>
        <v>PORCA FLANGE AÇO INOX 316 12MM</v>
      </c>
      <c r="C1418" s="15">
        <f>IFERROR(VLOOKUP(TAB_SAIDA[[#This Row],[COD_2_SAIDA]],TAB_ESTOQUE[[Codigo]:[Referência Tec]],7,FALSE),"")</f>
        <v>0</v>
      </c>
      <c r="D1418" s="15" t="str">
        <f>VLOOKUP(TAB_SAIDA[[#This Row],[COD_2_SAIDA]],TAB_ESTOQUE[[Codigo]:[Endereço2]],12,FALSE)</f>
        <v>F1203</v>
      </c>
      <c r="E1418" s="15">
        <f>SUM(TAB_SAIDA[[#This Row],[20/05/2019]:[00/00/00]])</f>
        <v>0</v>
      </c>
      <c r="F1418" s="3"/>
      <c r="BH1418" s="3"/>
    </row>
    <row r="1419" spans="1:60" ht="15" hidden="1" customHeight="1" x14ac:dyDescent="0.25">
      <c r="A1419" s="5" t="s">
        <v>7390</v>
      </c>
      <c r="B1419" s="15" t="str">
        <f>VLOOKUP(TAB_SAIDA[[#This Row],[COD_2_SAIDA]],TAB_ESTOQUE[[Codigo]:[Descrição Tecnica]],6,FALSE)</f>
        <v>PORCA FLANGE AÇO INOX 316 8MM</v>
      </c>
      <c r="C1419" s="15">
        <f>IFERROR(VLOOKUP(TAB_SAIDA[[#This Row],[COD_2_SAIDA]],TAB_ESTOQUE[[Codigo]:[Referência Tec]],7,FALSE),"")</f>
        <v>0</v>
      </c>
      <c r="D1419" s="15" t="str">
        <f>VLOOKUP(TAB_SAIDA[[#This Row],[COD_2_SAIDA]],TAB_ESTOQUE[[Codigo]:[Endereço2]],12,FALSE)</f>
        <v>F1203</v>
      </c>
      <c r="E1419" s="15">
        <f>SUM(TAB_SAIDA[[#This Row],[20/05/2019]:[00/00/00]])</f>
        <v>0</v>
      </c>
      <c r="F1419" s="3"/>
      <c r="BH1419" s="3"/>
    </row>
    <row r="1420" spans="1:60" ht="15" hidden="1" customHeight="1" x14ac:dyDescent="0.25">
      <c r="A1420" s="5" t="s">
        <v>7412</v>
      </c>
      <c r="B1420" s="15" t="str">
        <f>VLOOKUP(TAB_SAIDA[[#This Row],[COD_2_SAIDA]],TAB_ESTOQUE[[Codigo]:[Descrição Tecnica]],6,FALSE)</f>
        <v>ANILHA DIANTEIRA AÇO INOX 316 OD 10MM</v>
      </c>
      <c r="C1420" s="15">
        <f>IFERROR(VLOOKUP(TAB_SAIDA[[#This Row],[COD_2_SAIDA]],TAB_ESTOQUE[[Codigo]:[Referência Tec]],7,FALSE),"")</f>
        <v>0</v>
      </c>
      <c r="D1420" s="15" t="str">
        <f>VLOOKUP(TAB_SAIDA[[#This Row],[COD_2_SAIDA]],TAB_ESTOQUE[[Codigo]:[Endereço2]],12,FALSE)</f>
        <v>F1203</v>
      </c>
      <c r="E1420" s="15">
        <f>SUM(TAB_SAIDA[[#This Row],[20/05/2019]:[00/00/00]])</f>
        <v>0</v>
      </c>
      <c r="F1420" s="3"/>
      <c r="BH1420" s="3"/>
    </row>
    <row r="1421" spans="1:60" ht="15" hidden="1" customHeight="1" x14ac:dyDescent="0.25">
      <c r="A1421" s="5" t="s">
        <v>7423</v>
      </c>
      <c r="B1421" s="15" t="str">
        <f>VLOOKUP(TAB_SAIDA[[#This Row],[COD_2_SAIDA]],TAB_ESTOQUE[[Codigo]:[Descrição Tecnica]],6,FALSE)</f>
        <v>ANILHA DIANTEIRA AÇO INOX 316 OD 12MM</v>
      </c>
      <c r="C1421" s="15">
        <f>IFERROR(VLOOKUP(TAB_SAIDA[[#This Row],[COD_2_SAIDA]],TAB_ESTOQUE[[Codigo]:[Referência Tec]],7,FALSE),"")</f>
        <v>0</v>
      </c>
      <c r="D1421" s="15" t="str">
        <f>VLOOKUP(TAB_SAIDA[[#This Row],[COD_2_SAIDA]],TAB_ESTOQUE[[Codigo]:[Endereço2]],12,FALSE)</f>
        <v>F1203</v>
      </c>
      <c r="E1421" s="15">
        <f>SUM(TAB_SAIDA[[#This Row],[20/05/2019]:[00/00/00]])</f>
        <v>0</v>
      </c>
      <c r="F1421" s="3"/>
      <c r="BH1421" s="3"/>
    </row>
    <row r="1422" spans="1:60" ht="15" hidden="1" customHeight="1" x14ac:dyDescent="0.25">
      <c r="A1422" s="5" t="s">
        <v>7430</v>
      </c>
      <c r="B1422" s="15" t="str">
        <f>VLOOKUP(TAB_SAIDA[[#This Row],[COD_2_SAIDA]],TAB_ESTOQUE[[Codigo]:[Descrição Tecnica]],6,FALSE)</f>
        <v>ANILHA DIANTEIRA AÇO INOX 316 OD  8MM</v>
      </c>
      <c r="C1422" s="15">
        <f>IFERROR(VLOOKUP(TAB_SAIDA[[#This Row],[COD_2_SAIDA]],TAB_ESTOQUE[[Codigo]:[Referência Tec]],7,FALSE),"")</f>
        <v>0</v>
      </c>
      <c r="D1422" s="15" t="str">
        <f>VLOOKUP(TAB_SAIDA[[#This Row],[COD_2_SAIDA]],TAB_ESTOQUE[[Codigo]:[Endereço2]],12,FALSE)</f>
        <v>F1203</v>
      </c>
      <c r="E1422" s="15">
        <f>SUM(TAB_SAIDA[[#This Row],[20/05/2019]:[00/00/00]])</f>
        <v>0</v>
      </c>
      <c r="F1422" s="3"/>
      <c r="BH1422" s="3"/>
    </row>
    <row r="1423" spans="1:60" ht="15" hidden="1" customHeight="1" x14ac:dyDescent="0.25">
      <c r="A1423" s="5" t="s">
        <v>7435</v>
      </c>
      <c r="B1423" s="15" t="str">
        <f>VLOOKUP(TAB_SAIDA[[#This Row],[COD_2_SAIDA]],TAB_ESTOQUE[[Codigo]:[Descrição Tecnica]],6,FALSE)</f>
        <v>ANILHA TRASEIRA AÇO INOX 316 OD 10MM</v>
      </c>
      <c r="C1423" s="15">
        <f>IFERROR(VLOOKUP(TAB_SAIDA[[#This Row],[COD_2_SAIDA]],TAB_ESTOQUE[[Codigo]:[Referência Tec]],7,FALSE),"")</f>
        <v>0</v>
      </c>
      <c r="D1423" s="15" t="str">
        <f>VLOOKUP(TAB_SAIDA[[#This Row],[COD_2_SAIDA]],TAB_ESTOQUE[[Codigo]:[Endereço2]],12,FALSE)</f>
        <v>F1203</v>
      </c>
      <c r="E1423" s="15">
        <f>SUM(TAB_SAIDA[[#This Row],[20/05/2019]:[00/00/00]])</f>
        <v>0</v>
      </c>
      <c r="F1423" s="3"/>
      <c r="BH1423" s="3"/>
    </row>
    <row r="1424" spans="1:60" ht="15" hidden="1" customHeight="1" x14ac:dyDescent="0.25">
      <c r="A1424" s="5" t="s">
        <v>7436</v>
      </c>
      <c r="B1424" s="15" t="str">
        <f>VLOOKUP(TAB_SAIDA[[#This Row],[COD_2_SAIDA]],TAB_ESTOQUE[[Codigo]:[Descrição Tecnica]],6,FALSE)</f>
        <v>ANILHA TRASEIRA AÇO INOX 316 OD 12MM</v>
      </c>
      <c r="C1424" s="15">
        <f>IFERROR(VLOOKUP(TAB_SAIDA[[#This Row],[COD_2_SAIDA]],TAB_ESTOQUE[[Codigo]:[Referência Tec]],7,FALSE),"")</f>
        <v>0</v>
      </c>
      <c r="D1424" s="15" t="str">
        <f>VLOOKUP(TAB_SAIDA[[#This Row],[COD_2_SAIDA]],TAB_ESTOQUE[[Codigo]:[Endereço2]],12,FALSE)</f>
        <v>F1203</v>
      </c>
      <c r="E1424" s="15">
        <f>SUM(TAB_SAIDA[[#This Row],[20/05/2019]:[00/00/00]])</f>
        <v>0</v>
      </c>
      <c r="F1424" s="3"/>
      <c r="BH1424" s="3"/>
    </row>
    <row r="1425" spans="1:573" ht="15" hidden="1" customHeight="1" x14ac:dyDescent="0.25">
      <c r="A1425" s="5" t="s">
        <v>7461</v>
      </c>
      <c r="B1425" s="15" t="str">
        <f>VLOOKUP(TAB_SAIDA[[#This Row],[COD_2_SAIDA]],TAB_ESTOQUE[[Codigo]:[Descrição Tecnica]],6,FALSE)</f>
        <v>ANILHA TRASEIRA AÇO INOX 316 OD   8MM</v>
      </c>
      <c r="C1425" s="15">
        <f>IFERROR(VLOOKUP(TAB_SAIDA[[#This Row],[COD_2_SAIDA]],TAB_ESTOQUE[[Codigo]:[Referência Tec]],7,FALSE),"")</f>
        <v>0</v>
      </c>
      <c r="D1425" s="15" t="str">
        <f>VLOOKUP(TAB_SAIDA[[#This Row],[COD_2_SAIDA]],TAB_ESTOQUE[[Codigo]:[Endereço2]],12,FALSE)</f>
        <v>F1203</v>
      </c>
      <c r="E1425" s="15">
        <f>SUM(TAB_SAIDA[[#This Row],[20/05/2019]:[00/00/00]])</f>
        <v>0</v>
      </c>
      <c r="F1425" s="3"/>
      <c r="BH1425" s="3"/>
    </row>
    <row r="1426" spans="1:573" ht="15" hidden="1" customHeight="1" x14ac:dyDescent="0.25">
      <c r="A1426" s="5" t="s">
        <v>7462</v>
      </c>
      <c r="B1426" s="15" t="str">
        <f>VLOOKUP(TAB_SAIDA[[#This Row],[COD_2_SAIDA]],TAB_ESTOQUE[[Codigo]:[Descrição Tecnica]],6,FALSE)</f>
        <v>TRANSMISSOR DE TEMPERATURA PT100 P/SAIDA 4.20ma 0a 200 °C</v>
      </c>
      <c r="C1426" s="15">
        <f>IFERROR(VLOOKUP(TAB_SAIDA[[#This Row],[COD_2_SAIDA]],TAB_ESTOQUE[[Codigo]:[Referência Tec]],7,FALSE),"")</f>
        <v>0</v>
      </c>
      <c r="D1426" s="15" t="str">
        <f>VLOOKUP(TAB_SAIDA[[#This Row],[COD_2_SAIDA]],TAB_ESTOQUE[[Codigo]:[Endereço2]],12,FALSE)</f>
        <v>A2103</v>
      </c>
      <c r="E1426" s="15">
        <f>SUM(TAB_SAIDA[[#This Row],[20/05/2019]:[00/00/00]])</f>
        <v>0</v>
      </c>
      <c r="F1426" s="3"/>
      <c r="BH1426" s="3"/>
    </row>
    <row r="1427" spans="1:573" ht="15" hidden="1" customHeight="1" x14ac:dyDescent="0.25">
      <c r="A1427" s="5" t="s">
        <v>7463</v>
      </c>
      <c r="B1427" s="15" t="str">
        <f>VLOOKUP(TAB_SAIDA[[#This Row],[COD_2_SAIDA]],TAB_ESTOQUE[[Codigo]:[Descrição Tecnica]],6,FALSE)</f>
        <v>SENSOR PT 100 3FIOS 8 X 100MM C / CABO 700MM SILICONE</v>
      </c>
      <c r="C1427" s="15">
        <f>IFERROR(VLOOKUP(TAB_SAIDA[[#This Row],[COD_2_SAIDA]],TAB_ESTOQUE[[Codigo]:[Referência Tec]],7,FALSE),"")</f>
        <v>0</v>
      </c>
      <c r="D1427" s="15" t="str">
        <f>VLOOKUP(TAB_SAIDA[[#This Row],[COD_2_SAIDA]],TAB_ESTOQUE[[Codigo]:[Endereço2]],12,FALSE)</f>
        <v>A2303</v>
      </c>
      <c r="E1427" s="15">
        <f>SUM(TAB_SAIDA[[#This Row],[20/05/2019]:[00/00/00]])</f>
        <v>0</v>
      </c>
      <c r="F1427" s="3"/>
      <c r="BH1427" s="3"/>
    </row>
    <row r="1428" spans="1:573" ht="15" hidden="1" customHeight="1" x14ac:dyDescent="0.25">
      <c r="A1428" s="5" t="s">
        <v>7470</v>
      </c>
      <c r="B1428" s="15" t="str">
        <f>VLOOKUP(TAB_SAIDA[[#This Row],[COD_2_SAIDA]],TAB_ESTOQUE[[Codigo]:[Descrição Tecnica]],6,FALSE)</f>
        <v>SENSOR  PT100 3 FIOS 4,7 X 200MM, TAMPA BUCIM M12X1,5 C/ ANILHAS E CABO 3000MM</v>
      </c>
      <c r="C1428" s="15">
        <f>IFERROR(VLOOKUP(TAB_SAIDA[[#This Row],[COD_2_SAIDA]],TAB_ESTOQUE[[Codigo]:[Referência Tec]],7,FALSE),"")</f>
        <v>0</v>
      </c>
      <c r="D1428" s="15" t="str">
        <f>VLOOKUP(TAB_SAIDA[[#This Row],[COD_2_SAIDA]],TAB_ESTOQUE[[Codigo]:[Endereço2]],12,FALSE)</f>
        <v>A2303</v>
      </c>
      <c r="E1428" s="15">
        <f>SUM(TAB_SAIDA[[#This Row],[20/05/2019]:[00/00/00]])</f>
        <v>0</v>
      </c>
      <c r="F1428" s="3"/>
      <c r="BH1428" s="3"/>
    </row>
    <row r="1429" spans="1:573" ht="15" customHeight="1" x14ac:dyDescent="0.25">
      <c r="A1429" s="5" t="s">
        <v>7489</v>
      </c>
      <c r="B1429" s="15" t="str">
        <f>VLOOKUP(TAB_SAIDA[[#This Row],[COD_2_SAIDA]],TAB_ESTOQUE[[Codigo]:[Descrição Tecnica]],6,FALSE)</f>
        <v>PISTOLA VALCO MELTON  P/N 983XX198 VOLTS: 250 WATTS: 150</v>
      </c>
      <c r="C1429" s="15">
        <f>IFERROR(VLOOKUP(TAB_SAIDA[[#This Row],[COD_2_SAIDA]],TAB_ESTOQUE[[Codigo]:[Referência Tec]],7,FALSE),"")</f>
        <v>0</v>
      </c>
      <c r="D1429" s="15" t="str">
        <f>VLOOKUP(TAB_SAIDA[[#This Row],[COD_2_SAIDA]],TAB_ESTOQUE[[Codigo]:[Endereço2]],12,FALSE)</f>
        <v>A1105</v>
      </c>
      <c r="E1429" s="15">
        <f>SUM(TAB_SAIDA[[#This Row],[20/05/2019]:[00/00/00]])</f>
        <v>0</v>
      </c>
      <c r="F1429" s="3"/>
      <c r="BH1429" s="3"/>
    </row>
    <row r="1430" spans="1:573" ht="15" hidden="1" customHeight="1" x14ac:dyDescent="0.25">
      <c r="A1430" s="5" t="s">
        <v>7490</v>
      </c>
      <c r="B1430" s="15" t="str">
        <f>VLOOKUP(TAB_SAIDA[[#This Row],[COD_2_SAIDA]],TAB_ESTOQUE[[Codigo]:[Descrição Tecnica]],6,FALSE)</f>
        <v>SENSOR SICK RE21-SA05 1059507</v>
      </c>
      <c r="C1430" s="15">
        <f>IFERROR(VLOOKUP(TAB_SAIDA[[#This Row],[COD_2_SAIDA]],TAB_ESTOQUE[[Codigo]:[Referência Tec]],7,FALSE),"")</f>
        <v>0</v>
      </c>
      <c r="D1430" s="15" t="str">
        <f>VLOOKUP(TAB_SAIDA[[#This Row],[COD_2_SAIDA]],TAB_ESTOQUE[[Codigo]:[Endereço2]],12,FALSE)</f>
        <v>A2206</v>
      </c>
      <c r="E1430" s="15">
        <f>SUM(TAB_SAIDA[[#This Row],[20/05/2019]:[00/00/00]])</f>
        <v>1</v>
      </c>
      <c r="F1430" s="3"/>
      <c r="BH1430" s="3"/>
      <c r="VA1430" s="3">
        <v>1</v>
      </c>
    </row>
    <row r="1431" spans="1:573" ht="15" hidden="1" customHeight="1" x14ac:dyDescent="0.25">
      <c r="A1431" s="5" t="s">
        <v>7494</v>
      </c>
      <c r="B1431" s="15" t="str">
        <f>VLOOKUP(TAB_SAIDA[[#This Row],[COD_2_SAIDA]],TAB_ESTOQUE[[Codigo]:[Descrição Tecnica]],6,FALSE)</f>
        <v>RELE DE SEGURANÇA FX3-CPU000000 IDENT: 1043783</v>
      </c>
      <c r="C1431" s="15">
        <f>IFERROR(VLOOKUP(TAB_SAIDA[[#This Row],[COD_2_SAIDA]],TAB_ESTOQUE[[Codigo]:[Referência Tec]],7,FALSE),"")</f>
        <v>0</v>
      </c>
      <c r="D1431" s="15" t="str">
        <f>VLOOKUP(TAB_SAIDA[[#This Row],[COD_2_SAIDA]],TAB_ESTOQUE[[Codigo]:[Endereço2]],12,FALSE)</f>
        <v>B1205</v>
      </c>
      <c r="E1431" s="15">
        <f>SUM(TAB_SAIDA[[#This Row],[20/05/2019]:[00/00/00]])</f>
        <v>0</v>
      </c>
      <c r="F1431" s="3"/>
      <c r="BH1431" s="3"/>
    </row>
    <row r="1432" spans="1:573" ht="15" hidden="1" customHeight="1" x14ac:dyDescent="0.25">
      <c r="A1432" s="5" t="s">
        <v>7495</v>
      </c>
      <c r="B1432" s="15" t="str">
        <f>VLOOKUP(TAB_SAIDA[[#This Row],[COD_2_SAIDA]],TAB_ESTOQUE[[Codigo]:[Descrição Tecnica]],6,FALSE)</f>
        <v>IHM SCHNEIDER XBTGT4230 SN: 103696C005018</v>
      </c>
      <c r="C1432" s="15">
        <f>IFERROR(VLOOKUP(TAB_SAIDA[[#This Row],[COD_2_SAIDA]],TAB_ESTOQUE[[Codigo]:[Referência Tec]],7,FALSE),"")</f>
        <v>0</v>
      </c>
      <c r="D1432" s="15" t="str">
        <f>VLOOKUP(TAB_SAIDA[[#This Row],[COD_2_SAIDA]],TAB_ESTOQUE[[Codigo]:[Endereço2]],12,FALSE)</f>
        <v>A2102</v>
      </c>
      <c r="E1432" s="15">
        <f>SUM(TAB_SAIDA[[#This Row],[20/05/2019]:[00/00/00]])</f>
        <v>0</v>
      </c>
      <c r="F1432" s="3"/>
      <c r="BH1432" s="3"/>
    </row>
    <row r="1433" spans="1:573" ht="15" hidden="1" customHeight="1" x14ac:dyDescent="0.25">
      <c r="A1433" s="5" t="s">
        <v>7509</v>
      </c>
      <c r="B1433" s="15" t="str">
        <f>VLOOKUP(TAB_SAIDA[[#This Row],[COD_2_SAIDA]],TAB_ESTOQUE[[Codigo]:[Descrição Tecnica]],6,FALSE)</f>
        <v>INVERSOR SCHNEIDER ATV312H075N4 0,75KW-1HP</v>
      </c>
      <c r="C1433" s="15">
        <f>IFERROR(VLOOKUP(TAB_SAIDA[[#This Row],[COD_2_SAIDA]],TAB_ESTOQUE[[Codigo]:[Referência Tec]],7,FALSE),"")</f>
        <v>0</v>
      </c>
      <c r="D1433" s="15" t="str">
        <f>VLOOKUP(TAB_SAIDA[[#This Row],[COD_2_SAIDA]],TAB_ESTOQUE[[Codigo]:[Endereço2]],12,FALSE)</f>
        <v>B1303</v>
      </c>
      <c r="E1433" s="15">
        <f>SUM(TAB_SAIDA[[#This Row],[20/05/2019]:[00/00/00]])</f>
        <v>0</v>
      </c>
      <c r="F1433" s="3"/>
      <c r="BH1433" s="3"/>
    </row>
    <row r="1434" spans="1:573" ht="15" hidden="1" customHeight="1" x14ac:dyDescent="0.25">
      <c r="A1434" s="5" t="s">
        <v>7513</v>
      </c>
      <c r="B1434" s="15" t="str">
        <f>VLOOKUP(TAB_SAIDA[[#This Row],[COD_2_SAIDA]],TAB_ESTOQUE[[Codigo]:[Descrição Tecnica]],6,FALSE)</f>
        <v>MODULO DE EXPANSÃO TM2DDI16DT</v>
      </c>
      <c r="C1434" s="15">
        <f>IFERROR(VLOOKUP(TAB_SAIDA[[#This Row],[COD_2_SAIDA]],TAB_ESTOQUE[[Codigo]:[Referência Tec]],7,FALSE),"")</f>
        <v>0</v>
      </c>
      <c r="D1434" s="15" t="str">
        <f>VLOOKUP(TAB_SAIDA[[#This Row],[COD_2_SAIDA]],TAB_ESTOQUE[[Codigo]:[Endereço2]],12,FALSE)</f>
        <v>A2102</v>
      </c>
      <c r="E1434" s="15">
        <f>SUM(TAB_SAIDA[[#This Row],[20/05/2019]:[00/00/00]])</f>
        <v>0</v>
      </c>
      <c r="F1434" s="3"/>
      <c r="BH1434" s="3"/>
    </row>
    <row r="1435" spans="1:573" ht="15" hidden="1" customHeight="1" x14ac:dyDescent="0.25">
      <c r="A1435" s="5" t="s">
        <v>7515</v>
      </c>
      <c r="B1435" s="15" t="str">
        <f>VLOOKUP(TAB_SAIDA[[#This Row],[COD_2_SAIDA]],TAB_ESTOQUE[[Codigo]:[Descrição Tecnica]],6,FALSE)</f>
        <v>CONTROLADOR DE TEMPERATURA HW7000LRR--A 24V (COEL)</v>
      </c>
      <c r="C1435" s="15">
        <f>IFERROR(VLOOKUP(TAB_SAIDA[[#This Row],[COD_2_SAIDA]],TAB_ESTOQUE[[Codigo]:[Referência Tec]],7,FALSE),"")</f>
        <v>0</v>
      </c>
      <c r="D1435" s="15" t="str">
        <f>VLOOKUP(TAB_SAIDA[[#This Row],[COD_2_SAIDA]],TAB_ESTOQUE[[Codigo]:[Endereço2]],12,FALSE)</f>
        <v>A2304</v>
      </c>
      <c r="E1435" s="15">
        <f>SUM(TAB_SAIDA[[#This Row],[20/05/2019]:[00/00/00]])</f>
        <v>0</v>
      </c>
      <c r="F1435" s="3"/>
      <c r="BH1435" s="3"/>
    </row>
    <row r="1436" spans="1:573" ht="15" hidden="1" customHeight="1" x14ac:dyDescent="0.25">
      <c r="A1436" s="5" t="s">
        <v>7536</v>
      </c>
      <c r="B1436" s="15" t="str">
        <f>VLOOKUP(TAB_SAIDA[[#This Row],[COD_2_SAIDA]],TAB_ESTOQUE[[Codigo]:[Descrição Tecnica]],6,FALSE)</f>
        <v>PLACA 3HAC025784-001/00DSQC 651</v>
      </c>
      <c r="C1436" s="15">
        <f>IFERROR(VLOOKUP(TAB_SAIDA[[#This Row],[COD_2_SAIDA]],TAB_ESTOQUE[[Codigo]:[Referência Tec]],7,FALSE),"")</f>
        <v>0</v>
      </c>
      <c r="D1436" s="15" t="str">
        <f>VLOOKUP(TAB_SAIDA[[#This Row],[COD_2_SAIDA]],TAB_ESTOQUE[[Codigo]:[Endereço2]],12,FALSE)</f>
        <v>A1102</v>
      </c>
      <c r="E1436" s="15">
        <f>SUM(TAB_SAIDA[[#This Row],[20/05/2019]:[00/00/00]])</f>
        <v>0</v>
      </c>
      <c r="F1436" s="3"/>
      <c r="BH1436" s="3"/>
    </row>
    <row r="1437" spans="1:573" ht="15" hidden="1" customHeight="1" x14ac:dyDescent="0.25">
      <c r="A1437" s="5" t="s">
        <v>7538</v>
      </c>
      <c r="B1437" s="15" t="str">
        <f>VLOOKUP(TAB_SAIDA[[#This Row],[COD_2_SAIDA]],TAB_ESTOQUE[[Codigo]:[Descrição Tecnica]],6,FALSE)</f>
        <v>TRANSMISSOR DE PRESSÃO IP65 PN:VKP-027-A-11-42-999 RANGE:0...200BAR</v>
      </c>
      <c r="C1437" s="15">
        <f>IFERROR(VLOOKUP(TAB_SAIDA[[#This Row],[COD_2_SAIDA]],TAB_ESTOQUE[[Codigo]:[Referência Tec]],7,FALSE),"")</f>
        <v>0</v>
      </c>
      <c r="D1437" s="15" t="str">
        <f>VLOOKUP(TAB_SAIDA[[#This Row],[COD_2_SAIDA]],TAB_ESTOQUE[[Codigo]:[Endereço2]],12,FALSE)</f>
        <v>A1103</v>
      </c>
      <c r="E1437" s="15">
        <f>SUM(TAB_SAIDA[[#This Row],[20/05/2019]:[00/00/00]])</f>
        <v>0</v>
      </c>
      <c r="F1437" s="3"/>
      <c r="BH1437" s="3"/>
    </row>
    <row r="1438" spans="1:573" ht="15" hidden="1" customHeight="1" x14ac:dyDescent="0.25">
      <c r="A1438" s="5" t="s">
        <v>7548</v>
      </c>
      <c r="B1438" s="15" t="str">
        <f>VLOOKUP(TAB_SAIDA[[#This Row],[COD_2_SAIDA]],TAB_ESTOQUE[[Codigo]:[Descrição Tecnica]],6,FALSE)</f>
        <v>TRANSMISSOR DE PRESSÃO FLUSH N RANGER: 0....30 KGF/CM²</v>
      </c>
      <c r="C1438" s="15">
        <f>IFERROR(VLOOKUP(TAB_SAIDA[[#This Row],[COD_2_SAIDA]],TAB_ESTOQUE[[Codigo]:[Referência Tec]],7,FALSE),"")</f>
        <v>0</v>
      </c>
      <c r="D1438" s="15" t="str">
        <f>VLOOKUP(TAB_SAIDA[[#This Row],[COD_2_SAIDA]],TAB_ESTOQUE[[Codigo]:[Endereço2]],12,FALSE)</f>
        <v>A1104</v>
      </c>
      <c r="E1438" s="15">
        <f>SUM(TAB_SAIDA[[#This Row],[20/05/2019]:[00/00/00]])</f>
        <v>0</v>
      </c>
      <c r="F1438" s="3"/>
      <c r="BH1438" s="3"/>
    </row>
    <row r="1439" spans="1:573" ht="15" hidden="1" customHeight="1" x14ac:dyDescent="0.25">
      <c r="A1439" s="5" t="s">
        <v>7551</v>
      </c>
      <c r="B1439" s="15" t="str">
        <f>VLOOKUP(TAB_SAIDA[[#This Row],[COD_2_SAIDA]],TAB_ESTOQUE[[Codigo]:[Descrição Tecnica]],6,FALSE)</f>
        <v>CHAVE DE NIVEL MODELO: NC1-RA-T-2N L=150mm</v>
      </c>
      <c r="C1439" s="15">
        <f>IFERROR(VLOOKUP(TAB_SAIDA[[#This Row],[COD_2_SAIDA]],TAB_ESTOQUE[[Codigo]:[Referência Tec]],7,FALSE),"")</f>
        <v>0</v>
      </c>
      <c r="D1439" s="15" t="str">
        <f>VLOOKUP(TAB_SAIDA[[#This Row],[COD_2_SAIDA]],TAB_ESTOQUE[[Codigo]:[Endereço2]],12,FALSE)</f>
        <v>A1306</v>
      </c>
      <c r="E1439" s="15">
        <f>SUM(TAB_SAIDA[[#This Row],[20/05/2019]:[00/00/00]])</f>
        <v>0</v>
      </c>
      <c r="F1439" s="3"/>
      <c r="BH1439" s="3"/>
    </row>
    <row r="1440" spans="1:573" ht="15" hidden="1" customHeight="1" x14ac:dyDescent="0.25">
      <c r="A1440" s="5" t="s">
        <v>7552</v>
      </c>
      <c r="B1440" s="15" t="str">
        <f>VLOOKUP(TAB_SAIDA[[#This Row],[COD_2_SAIDA]],TAB_ESTOQUE[[Codigo]:[Descrição Tecnica]],6,FALSE)</f>
        <v>MANGUEIRA HOT MELT REF: HMTC</v>
      </c>
      <c r="C1440" s="15">
        <f>IFERROR(VLOOKUP(TAB_SAIDA[[#This Row],[COD_2_SAIDA]],TAB_ESTOQUE[[Codigo]:[Referência Tec]],7,FALSE),"")</f>
        <v>0</v>
      </c>
      <c r="D1440" s="15" t="str">
        <f>VLOOKUP(TAB_SAIDA[[#This Row],[COD_2_SAIDA]],TAB_ESTOQUE[[Codigo]:[Endereço2]],12,FALSE)</f>
        <v>A1201</v>
      </c>
      <c r="E1440" s="15">
        <f>SUM(TAB_SAIDA[[#This Row],[20/05/2019]:[00/00/00]])</f>
        <v>0</v>
      </c>
      <c r="F1440" s="3"/>
      <c r="BH1440" s="3"/>
    </row>
    <row r="1441" spans="1:622" ht="15" customHeight="1" x14ac:dyDescent="0.25">
      <c r="A1441" s="5" t="s">
        <v>7554</v>
      </c>
      <c r="B1441" s="15" t="str">
        <f>VLOOKUP(TAB_SAIDA[[#This Row],[COD_2_SAIDA]],TAB_ESTOQUE[[Codigo]:[Descrição Tecnica]],6,FALSE)</f>
        <v>PISTOLA HOT MELT P/N: XP-401-RS</v>
      </c>
      <c r="C1441" s="15">
        <f>IFERROR(VLOOKUP(TAB_SAIDA[[#This Row],[COD_2_SAIDA]],TAB_ESTOQUE[[Codigo]:[Referência Tec]],7,FALSE),"")</f>
        <v>0</v>
      </c>
      <c r="D1441" s="15" t="str">
        <f>VLOOKUP(TAB_SAIDA[[#This Row],[COD_2_SAIDA]],TAB_ESTOQUE[[Codigo]:[Endereço2]],12,FALSE)</f>
        <v>A1201</v>
      </c>
      <c r="E1441" s="15">
        <f>SUM(TAB_SAIDA[[#This Row],[20/05/2019]:[00/00/00]])</f>
        <v>0</v>
      </c>
      <c r="F1441" s="3"/>
      <c r="BH1441" s="3"/>
    </row>
    <row r="1442" spans="1:622" ht="15" hidden="1" customHeight="1" x14ac:dyDescent="0.25">
      <c r="A1442" s="5" t="s">
        <v>7559</v>
      </c>
      <c r="B1442" s="15" t="str">
        <f>VLOOKUP(TAB_SAIDA[[#This Row],[COD_2_SAIDA]],TAB_ESTOQUE[[Codigo]:[Descrição Tecnica]],6,FALSE)</f>
        <v>ATUADOR PNEUMATICO MODELO: AT201U EM ISSO 5211: F05+F07-N-17DS</v>
      </c>
      <c r="C1442" s="15">
        <f>IFERROR(VLOOKUP(TAB_SAIDA[[#This Row],[COD_2_SAIDA]],TAB_ESTOQUE[[Codigo]:[Referência Tec]],7,FALSE),"")</f>
        <v>0</v>
      </c>
      <c r="D1442" s="15" t="str">
        <f>VLOOKUP(TAB_SAIDA[[#This Row],[COD_2_SAIDA]],TAB_ESTOQUE[[Codigo]:[Endereço2]],12,FALSE)</f>
        <v>C1205</v>
      </c>
      <c r="E1442" s="15">
        <f>SUM(TAB_SAIDA[[#This Row],[20/05/2019]:[00/00/00]])</f>
        <v>1</v>
      </c>
      <c r="F1442" s="3"/>
      <c r="BH1442" s="3"/>
      <c r="SO1442" s="3">
        <v>1</v>
      </c>
    </row>
    <row r="1443" spans="1:622" ht="15" hidden="1" customHeight="1" x14ac:dyDescent="0.25">
      <c r="A1443" s="5" t="s">
        <v>7560</v>
      </c>
      <c r="B1443" s="15" t="str">
        <f>VLOOKUP(TAB_SAIDA[[#This Row],[COD_2_SAIDA]],TAB_ESTOQUE[[Codigo]:[Descrição Tecnica]],6,FALSE)</f>
        <v>SUPORTE PARA SONDA E43334 LR COAX TUBE 1200 SLOTTEED</v>
      </c>
      <c r="C1443" s="15">
        <f>IFERROR(VLOOKUP(TAB_SAIDA[[#This Row],[COD_2_SAIDA]],TAB_ESTOQUE[[Codigo]:[Referência Tec]],7,FALSE),"")</f>
        <v>0</v>
      </c>
      <c r="D1443" s="15" t="str">
        <f>VLOOKUP(TAB_SAIDA[[#This Row],[COD_2_SAIDA]],TAB_ESTOQUE[[Codigo]:[Endereço2]],12,FALSE)</f>
        <v>A2101</v>
      </c>
      <c r="E1443" s="15">
        <f>SUM(TAB_SAIDA[[#This Row],[20/05/2019]:[00/00/00]])</f>
        <v>2</v>
      </c>
      <c r="F1443" s="3"/>
      <c r="BH1443" s="3"/>
      <c r="TR1443" s="3">
        <v>1</v>
      </c>
      <c r="UM1443" s="3">
        <v>1</v>
      </c>
    </row>
    <row r="1444" spans="1:622" ht="15" hidden="1" customHeight="1" x14ac:dyDescent="0.25">
      <c r="A1444" s="5" t="s">
        <v>7561</v>
      </c>
      <c r="B1444" s="15" t="str">
        <f>VLOOKUP(TAB_SAIDA[[#This Row],[COD_2_SAIDA]],TAB_ESTOQUE[[Codigo]:[Descrição Tecnica]],6,FALSE)</f>
        <v>SONDA 1200mm E43208 IFM</v>
      </c>
      <c r="C1444" s="15">
        <f>IFERROR(VLOOKUP(TAB_SAIDA[[#This Row],[COD_2_SAIDA]],TAB_ESTOQUE[[Codigo]:[Referência Tec]],7,FALSE),"")</f>
        <v>0</v>
      </c>
      <c r="D1444" s="15" t="str">
        <f>VLOOKUP(TAB_SAIDA[[#This Row],[COD_2_SAIDA]],TAB_ESTOQUE[[Codigo]:[Endereço2]],12,FALSE)</f>
        <v>A2101</v>
      </c>
      <c r="E1444" s="15">
        <f>SUM(TAB_SAIDA[[#This Row],[20/05/2019]:[00/00/00]])</f>
        <v>2</v>
      </c>
      <c r="F1444" s="3"/>
      <c r="BH1444" s="3"/>
      <c r="TR1444" s="3">
        <v>1</v>
      </c>
      <c r="UM1444" s="3">
        <v>1</v>
      </c>
    </row>
    <row r="1445" spans="1:622" ht="15" hidden="1" customHeight="1" x14ac:dyDescent="0.25">
      <c r="A1445" s="5" t="s">
        <v>7562</v>
      </c>
      <c r="B1445" s="15" t="str">
        <f>VLOOKUP(TAB_SAIDA[[#This Row],[COD_2_SAIDA]],TAB_ESTOQUE[[Codigo]:[Descrição Tecnica]],6,FALSE)</f>
        <v xml:space="preserve">BOMBA POLIOL RECONDICIONADA HIDRAULICA </v>
      </c>
      <c r="C1445" s="15">
        <f>IFERROR(VLOOKUP(TAB_SAIDA[[#This Row],[COD_2_SAIDA]],TAB_ESTOQUE[[Codigo]:[Referência Tec]],7,FALSE),"")</f>
        <v>0</v>
      </c>
      <c r="D1445" s="15" t="str">
        <f>VLOOKUP(TAB_SAIDA[[#This Row],[COD_2_SAIDA]],TAB_ESTOQUE[[Codigo]:[Endereço2]],12,FALSE)</f>
        <v>F1205</v>
      </c>
      <c r="E1445" s="15">
        <f>SUM(TAB_SAIDA[[#This Row],[20/05/2019]:[00/00/00]])</f>
        <v>0</v>
      </c>
      <c r="F1445" s="3"/>
      <c r="BH1445" s="3"/>
    </row>
    <row r="1446" spans="1:622" ht="15" hidden="1" customHeight="1" x14ac:dyDescent="0.25">
      <c r="A1446" s="5" t="s">
        <v>7563</v>
      </c>
      <c r="B1446" s="15" t="str">
        <f>VLOOKUP(TAB_SAIDA[[#This Row],[COD_2_SAIDA]],TAB_ESTOQUE[[Codigo]:[Descrição Tecnica]],6,FALSE)</f>
        <v>KIT DE VEDAÇÃO P/ TAMPAO DO CILINDRO HYDRAULIKTEC PHK</v>
      </c>
      <c r="C1446" s="15">
        <f>IFERROR(VLOOKUP(TAB_SAIDA[[#This Row],[COD_2_SAIDA]],TAB_ESTOQUE[[Codigo]:[Referência Tec]],7,FALSE),"")</f>
        <v>0</v>
      </c>
      <c r="D1446" s="15" t="str">
        <f>VLOOKUP(TAB_SAIDA[[#This Row],[COD_2_SAIDA]],TAB_ESTOQUE[[Codigo]:[Endereço2]],12,FALSE)</f>
        <v xml:space="preserve">ARMARIO </v>
      </c>
      <c r="E1446" s="15">
        <f>SUM(TAB_SAIDA[[#This Row],[20/05/2019]:[00/00/00]])</f>
        <v>0</v>
      </c>
      <c r="F1446" s="3"/>
      <c r="BH1446" s="3"/>
    </row>
    <row r="1447" spans="1:622" ht="15" hidden="1" customHeight="1" x14ac:dyDescent="0.25">
      <c r="A1447" s="5" t="s">
        <v>7564</v>
      </c>
      <c r="B1447" s="15" t="str">
        <f>VLOOKUP(TAB_SAIDA[[#This Row],[COD_2_SAIDA]],TAB_ESTOQUE[[Codigo]:[Descrição Tecnica]],6,FALSE)</f>
        <v>GAXETA V2 LONA 80X100X12,5X0</v>
      </c>
      <c r="C1447" s="15">
        <f>IFERROR(VLOOKUP(TAB_SAIDA[[#This Row],[COD_2_SAIDA]],TAB_ESTOQUE[[Codigo]:[Referência Tec]],7,FALSE),"")</f>
        <v>0</v>
      </c>
      <c r="D1447" s="15" t="str">
        <f>VLOOKUP(TAB_SAIDA[[#This Row],[COD_2_SAIDA]],TAB_ESTOQUE[[Codigo]:[Endereço2]],12,FALSE)</f>
        <v xml:space="preserve">ARMARIO </v>
      </c>
      <c r="E1447" s="15">
        <f>SUM(TAB_SAIDA[[#This Row],[20/05/2019]:[00/00/00]])</f>
        <v>0</v>
      </c>
      <c r="F1447" s="3"/>
      <c r="BH1447" s="3"/>
    </row>
    <row r="1448" spans="1:622" ht="15" hidden="1" customHeight="1" x14ac:dyDescent="0.25">
      <c r="A1448" s="5" t="s">
        <v>7565</v>
      </c>
      <c r="B1448" s="15" t="str">
        <f>VLOOKUP(TAB_SAIDA[[#This Row],[COD_2_SAIDA]],TAB_ESTOQUE[[Codigo]:[Descrição Tecnica]],6,FALSE)</f>
        <v>KIT REPARO PARA CEBEÇOTE 7000</v>
      </c>
      <c r="C1448" s="15">
        <f>IFERROR(VLOOKUP(TAB_SAIDA[[#This Row],[COD_2_SAIDA]],TAB_ESTOQUE[[Codigo]:[Referência Tec]],7,FALSE),"")</f>
        <v>0</v>
      </c>
      <c r="D1448" s="15" t="str">
        <f>VLOOKUP(TAB_SAIDA[[#This Row],[COD_2_SAIDA]],TAB_ESTOQUE[[Codigo]:[Endereço2]],12,FALSE)</f>
        <v xml:space="preserve">ARMARIO </v>
      </c>
      <c r="E1448" s="15">
        <f>SUM(TAB_SAIDA[[#This Row],[20/05/2019]:[00/00/00]])</f>
        <v>0</v>
      </c>
      <c r="F1448" s="3"/>
      <c r="BH1448" s="3"/>
    </row>
    <row r="1449" spans="1:622" ht="15" hidden="1" customHeight="1" x14ac:dyDescent="0.25">
      <c r="A1449" s="5" t="s">
        <v>7566</v>
      </c>
      <c r="B1449" s="15" t="str">
        <f>VLOOKUP(TAB_SAIDA[[#This Row],[COD_2_SAIDA]],TAB_ESTOQUE[[Codigo]:[Descrição Tecnica]],6,FALSE)</f>
        <v>AGULHA DE INJEÇÃO C/ LIMITADOR</v>
      </c>
      <c r="C1449" s="15">
        <f>IFERROR(VLOOKUP(TAB_SAIDA[[#This Row],[COD_2_SAIDA]],TAB_ESTOQUE[[Codigo]:[Referência Tec]],7,FALSE),"")</f>
        <v>0</v>
      </c>
      <c r="D1449" s="15" t="str">
        <f>VLOOKUP(TAB_SAIDA[[#This Row],[COD_2_SAIDA]],TAB_ESTOQUE[[Codigo]:[Endereço2]],12,FALSE)</f>
        <v xml:space="preserve">ARMARIO </v>
      </c>
      <c r="E1449" s="15">
        <f>SUM(TAB_SAIDA[[#This Row],[20/05/2019]:[00/00/00]])</f>
        <v>0</v>
      </c>
      <c r="F1449" s="3"/>
      <c r="BH1449" s="3"/>
    </row>
    <row r="1450" spans="1:622" ht="15" hidden="1" customHeight="1" x14ac:dyDescent="0.25">
      <c r="A1450" s="5" t="s">
        <v>7567</v>
      </c>
      <c r="B1450" s="15" t="str">
        <f>VLOOKUP(TAB_SAIDA[[#This Row],[COD_2_SAIDA]],TAB_ESTOQUE[[Codigo]:[Descrição Tecnica]],6,FALSE)</f>
        <v>CONJ. BOMBA HIDRAULICA 12CC25 SUPOL 221.002.0133</v>
      </c>
      <c r="C1450" s="15">
        <f>IFERROR(VLOOKUP(TAB_SAIDA[[#This Row],[COD_2_SAIDA]],TAB_ESTOQUE[[Codigo]:[Referência Tec]],7,FALSE),"")</f>
        <v>0</v>
      </c>
      <c r="D1450" s="15" t="str">
        <f>VLOOKUP(TAB_SAIDA[[#This Row],[COD_2_SAIDA]],TAB_ESTOQUE[[Codigo]:[Endereço2]],12,FALSE)</f>
        <v>F1205</v>
      </c>
      <c r="E1450" s="15">
        <f>SUM(TAB_SAIDA[[#This Row],[20/05/2019]:[00/00/00]])</f>
        <v>0</v>
      </c>
      <c r="F1450" s="3"/>
      <c r="BH1450" s="3"/>
    </row>
    <row r="1451" spans="1:622" ht="15" hidden="1" customHeight="1" x14ac:dyDescent="0.25">
      <c r="A1451" s="5" t="s">
        <v>7568</v>
      </c>
      <c r="B1451" s="15" t="str">
        <f>VLOOKUP(TAB_SAIDA[[#This Row],[COD_2_SAIDA]],TAB_ESTOQUE[[Codigo]:[Descrição Tecnica]],6,FALSE)</f>
        <v>VALVULA HIDRAULICA REXROTH REF: H-4WEH 16 U10B72/6EG24K4QM0G24</v>
      </c>
      <c r="C1451" s="15">
        <f>IFERROR(VLOOKUP(TAB_SAIDA[[#This Row],[COD_2_SAIDA]],TAB_ESTOQUE[[Codigo]:[Referência Tec]],7,FALSE),"")</f>
        <v>0</v>
      </c>
      <c r="D1451" s="15" t="str">
        <f>VLOOKUP(TAB_SAIDA[[#This Row],[COD_2_SAIDA]],TAB_ESTOQUE[[Codigo]:[Endereço2]],12,FALSE)</f>
        <v>C2105</v>
      </c>
      <c r="E1451" s="15">
        <f>SUM(TAB_SAIDA[[#This Row],[20/05/2019]:[00/00/00]])</f>
        <v>0</v>
      </c>
      <c r="F1451" s="3"/>
      <c r="BH1451" s="3"/>
    </row>
    <row r="1452" spans="1:622" ht="15" hidden="1" customHeight="1" x14ac:dyDescent="0.25">
      <c r="A1452" s="5" t="s">
        <v>7616</v>
      </c>
      <c r="B1452" s="15" t="str">
        <f>VLOOKUP(TAB_SAIDA[[#This Row],[COD_2_SAIDA]],TAB_ESTOQUE[[Codigo]:[Descrição Tecnica]],6,FALSE)</f>
        <v>SENSOR FIM DE CURSO XCKP2118G11</v>
      </c>
      <c r="C1452" s="15">
        <f>IFERROR(VLOOKUP(TAB_SAIDA[[#This Row],[COD_2_SAIDA]],TAB_ESTOQUE[[Codigo]:[Referência Tec]],7,FALSE),"")</f>
        <v>0</v>
      </c>
      <c r="D1452" s="15" t="str">
        <f>VLOOKUP(TAB_SAIDA[[#This Row],[COD_2_SAIDA]],TAB_ESTOQUE[[Codigo]:[Endereço2]],12,FALSE)</f>
        <v>A2206</v>
      </c>
      <c r="E1452" s="15">
        <f>SUM(TAB_SAIDA[[#This Row],[20/05/2019]:[00/00/00]])</f>
        <v>2</v>
      </c>
      <c r="F1452" s="3"/>
      <c r="BH1452" s="3"/>
      <c r="SR1452" s="3">
        <v>1</v>
      </c>
      <c r="WX1452" s="3">
        <v>1</v>
      </c>
    </row>
    <row r="1453" spans="1:622" ht="15" hidden="1" customHeight="1" x14ac:dyDescent="0.25">
      <c r="A1453" s="5" t="s">
        <v>7617</v>
      </c>
      <c r="B1453" s="15" t="str">
        <f>VLOOKUP(TAB_SAIDA[[#This Row],[COD_2_SAIDA]],TAB_ESTOQUE[[Codigo]:[Descrição Tecnica]],6,FALSE)</f>
        <v>GUIA LINEAR THOMSON REF: 411N20A0</v>
      </c>
      <c r="C1453" s="15">
        <f>IFERROR(VLOOKUP(TAB_SAIDA[[#This Row],[COD_2_SAIDA]],TAB_ESTOQUE[[Codigo]:[Referência Tec]],7,FALSE),"")</f>
        <v>0</v>
      </c>
      <c r="D1453" s="15" t="str">
        <f>VLOOKUP(TAB_SAIDA[[#This Row],[COD_2_SAIDA]],TAB_ESTOQUE[[Codigo]:[Endereço2]],12,FALSE)</f>
        <v>D1106</v>
      </c>
      <c r="E1453" s="15">
        <f>SUM(TAB_SAIDA[[#This Row],[20/05/2019]:[00/00/00]])</f>
        <v>1</v>
      </c>
      <c r="F1453" s="3"/>
      <c r="BH1453" s="3"/>
      <c r="TP1453" s="3">
        <v>1</v>
      </c>
    </row>
    <row r="1454" spans="1:622" ht="15" hidden="1" customHeight="1" x14ac:dyDescent="0.25">
      <c r="A1454" s="5" t="s">
        <v>7621</v>
      </c>
      <c r="B1454" s="15" t="str">
        <f>VLOOKUP(TAB_SAIDA[[#This Row],[COD_2_SAIDA]],TAB_ESTOQUE[[Codigo]:[Descrição Tecnica]],6,FALSE)</f>
        <v>FUSIVEL CARTUCHO ULTRA RAPIDO 6X30 8A</v>
      </c>
      <c r="C1454" s="15">
        <f>IFERROR(VLOOKUP(TAB_SAIDA[[#This Row],[COD_2_SAIDA]],TAB_ESTOQUE[[Codigo]:[Referência Tec]],7,FALSE),"")</f>
        <v>0</v>
      </c>
      <c r="D1454" s="15" t="str">
        <f>VLOOKUP(TAB_SAIDA[[#This Row],[COD_2_SAIDA]],TAB_ESTOQUE[[Codigo]:[Endereço2]],12,FALSE)</f>
        <v>A1204</v>
      </c>
      <c r="E1454" s="15">
        <f>SUM(TAB_SAIDA[[#This Row],[20/05/2019]:[00/00/00]])</f>
        <v>0</v>
      </c>
      <c r="F1454" s="3"/>
      <c r="BH1454" s="3"/>
    </row>
    <row r="1455" spans="1:622" ht="15" hidden="1" customHeight="1" x14ac:dyDescent="0.25">
      <c r="A1455" s="5" t="s">
        <v>7626</v>
      </c>
      <c r="B1455" s="15" t="str">
        <f>VLOOKUP(TAB_SAIDA[[#This Row],[COD_2_SAIDA]],TAB_ESTOQUE[[Codigo]:[Descrição Tecnica]],6,FALSE)</f>
        <v>SENSOR SITEMA SICK IME12-04BPOZC0SS01  1042579</v>
      </c>
      <c r="C1455" s="15">
        <f>IFERROR(VLOOKUP(TAB_SAIDA[[#This Row],[COD_2_SAIDA]],TAB_ESTOQUE[[Codigo]:[Referência Tec]],7,FALSE),"")</f>
        <v>0</v>
      </c>
      <c r="D1455" s="15" t="str">
        <f>VLOOKUP(TAB_SAIDA[[#This Row],[COD_2_SAIDA]],TAB_ESTOQUE[[Codigo]:[Endereço2]],12,FALSE)</f>
        <v>A2203</v>
      </c>
      <c r="E1455" s="15">
        <f>SUM(TAB_SAIDA[[#This Row],[20/05/2019]:[00/00/00]])</f>
        <v>0</v>
      </c>
      <c r="F1455" s="3"/>
      <c r="BH1455" s="3"/>
    </row>
    <row r="1456" spans="1:622" ht="15" hidden="1" customHeight="1" x14ac:dyDescent="0.25">
      <c r="A1456" s="5" t="s">
        <v>7627</v>
      </c>
      <c r="B1456" s="15" t="str">
        <f>VLOOKUP(TAB_SAIDA[[#This Row],[COD_2_SAIDA]],TAB_ESTOQUE[[Codigo]:[Descrição Tecnica]],6,FALSE)</f>
        <v>SITEMA D-76187 Typ Type: KR 80 ID: kr 080 30 serial No. 105020  Gewicht Weight 57 Admissible load: 133 KN Operating pressure MIN 40bar MAX 250bar</v>
      </c>
      <c r="C1456" s="15">
        <f>IFERROR(VLOOKUP(TAB_SAIDA[[#This Row],[COD_2_SAIDA]],TAB_ESTOQUE[[Codigo]:[Referência Tec]],7,FALSE),"")</f>
        <v>0</v>
      </c>
      <c r="D1456" s="15" t="str">
        <f>VLOOKUP(TAB_SAIDA[[#This Row],[COD_2_SAIDA]],TAB_ESTOQUE[[Codigo]:[Endereço2]],12,FALSE)</f>
        <v>CAIXA</v>
      </c>
      <c r="E1456" s="15">
        <f>SUM(TAB_SAIDA[[#This Row],[20/05/2019]:[00/00/00]])</f>
        <v>0</v>
      </c>
      <c r="F1456" s="3"/>
      <c r="BH1456" s="3"/>
    </row>
    <row r="1457" spans="1:598" ht="15" hidden="1" customHeight="1" x14ac:dyDescent="0.25">
      <c r="A1457" s="5" t="s">
        <v>7628</v>
      </c>
      <c r="B1457" s="15" t="str">
        <f>VLOOKUP(TAB_SAIDA[[#This Row],[COD_2_SAIDA]],TAB_ESTOQUE[[Codigo]:[Descrição Tecnica]],6,FALSE)</f>
        <v xml:space="preserve">CABO 1PD 1100007 RAYCHEM H </v>
      </c>
      <c r="C1457" s="15">
        <f>IFERROR(VLOOKUP(TAB_SAIDA[[#This Row],[COD_2_SAIDA]],TAB_ESTOQUE[[Codigo]:[Referência Tec]],7,FALSE),"")</f>
        <v>0</v>
      </c>
      <c r="D1457" s="15" t="str">
        <f>VLOOKUP(TAB_SAIDA[[#This Row],[COD_2_SAIDA]],TAB_ESTOQUE[[Codigo]:[Endereço2]],12,FALSE)</f>
        <v>B1402</v>
      </c>
      <c r="E1457" s="15">
        <f>SUM(TAB_SAIDA[[#This Row],[20/05/2019]:[00/00/00]])</f>
        <v>0</v>
      </c>
      <c r="F1457" s="3"/>
      <c r="BH1457" s="3"/>
    </row>
    <row r="1458" spans="1:598" ht="15" hidden="1" customHeight="1" x14ac:dyDescent="0.25">
      <c r="A1458" s="5" t="s">
        <v>7629</v>
      </c>
      <c r="B1458" s="15" t="str">
        <f>VLOOKUP(TAB_SAIDA[[#This Row],[COD_2_SAIDA]],TAB_ESTOQUE[[Codigo]:[Descrição Tecnica]],6,FALSE)</f>
        <v>CABO FESTO 193458 ES13</v>
      </c>
      <c r="C1458" s="15">
        <f>IFERROR(VLOOKUP(TAB_SAIDA[[#This Row],[COD_2_SAIDA]],TAB_ESTOQUE[[Codigo]:[Referência Tec]],7,FALSE),"")</f>
        <v>0</v>
      </c>
      <c r="D1458" s="15" t="str">
        <f>VLOOKUP(TAB_SAIDA[[#This Row],[COD_2_SAIDA]],TAB_ESTOQUE[[Codigo]:[Endereço2]],12,FALSE)</f>
        <v>B1404</v>
      </c>
      <c r="E1458" s="15">
        <f>SUM(TAB_SAIDA[[#This Row],[20/05/2019]:[00/00/00]])</f>
        <v>0</v>
      </c>
      <c r="F1458" s="3"/>
      <c r="BH1458" s="3"/>
    </row>
    <row r="1459" spans="1:598" ht="15" hidden="1" customHeight="1" x14ac:dyDescent="0.25">
      <c r="A1459" s="5" t="s">
        <v>7630</v>
      </c>
      <c r="B1459" s="15" t="str">
        <f>VLOOKUP(TAB_SAIDA[[#This Row],[COD_2_SAIDA]],TAB_ESTOQUE[[Codigo]:[Descrição Tecnica]],6,FALSE)</f>
        <v xml:space="preserve">CABO COM CONECTOR RETO MACHO M08 3 PINOS </v>
      </c>
      <c r="C1459" s="15">
        <f>IFERROR(VLOOKUP(TAB_SAIDA[[#This Row],[COD_2_SAIDA]],TAB_ESTOQUE[[Codigo]:[Referência Tec]],7,FALSE),"")</f>
        <v>0</v>
      </c>
      <c r="D1459" s="15" t="str">
        <f>VLOOKUP(TAB_SAIDA[[#This Row],[COD_2_SAIDA]],TAB_ESTOQUE[[Codigo]:[Endereço2]],12,FALSE)</f>
        <v>B1404</v>
      </c>
      <c r="E1459" s="15">
        <f>SUM(TAB_SAIDA[[#This Row],[20/05/2019]:[00/00/00]])</f>
        <v>0</v>
      </c>
      <c r="F1459" s="3"/>
      <c r="BH1459" s="3"/>
    </row>
    <row r="1460" spans="1:598" ht="15" hidden="1" customHeight="1" x14ac:dyDescent="0.25">
      <c r="A1460" s="5" t="s">
        <v>7631</v>
      </c>
      <c r="B1460" s="15" t="str">
        <f>VLOOKUP(TAB_SAIDA[[#This Row],[COD_2_SAIDA]],TAB_ESTOQUE[[Codigo]:[Descrição Tecnica]],6,FALSE)</f>
        <v>ATUADOR PARA CHAVE DE SEGURANÇA SIEMENS 3SE5 000-0AV05</v>
      </c>
      <c r="C1460" s="15">
        <f>IFERROR(VLOOKUP(TAB_SAIDA[[#This Row],[COD_2_SAIDA]],TAB_ESTOQUE[[Codigo]:[Referência Tec]],7,FALSE),"")</f>
        <v>0</v>
      </c>
      <c r="D1460" s="15" t="str">
        <f>VLOOKUP(TAB_SAIDA[[#This Row],[COD_2_SAIDA]],TAB_ESTOQUE[[Codigo]:[Endereço2]],12,FALSE)</f>
        <v>B2103</v>
      </c>
      <c r="E1460" s="15">
        <f>SUM(TAB_SAIDA[[#This Row],[20/05/2019]:[00/00/00]])</f>
        <v>0</v>
      </c>
      <c r="F1460" s="3"/>
      <c r="BH1460" s="3"/>
    </row>
    <row r="1461" spans="1:598" ht="15" hidden="1" customHeight="1" x14ac:dyDescent="0.25">
      <c r="A1461" s="5" t="s">
        <v>7632</v>
      </c>
      <c r="B1461" s="15" t="str">
        <f>VLOOKUP(TAB_SAIDA[[#This Row],[COD_2_SAIDA]],TAB_ESTOQUE[[Codigo]:[Descrição Tecnica]],6,FALSE)</f>
        <v>CONTACTOR  LC1 D6511 8KW 80A</v>
      </c>
      <c r="C1461" s="15">
        <f>IFERROR(VLOOKUP(TAB_SAIDA[[#This Row],[COD_2_SAIDA]],TAB_ESTOQUE[[Codigo]:[Referência Tec]],7,FALSE),"")</f>
        <v>0</v>
      </c>
      <c r="D1461" s="15" t="str">
        <f>VLOOKUP(TAB_SAIDA[[#This Row],[COD_2_SAIDA]],TAB_ESTOQUE[[Codigo]:[Endereço2]],12,FALSE)</f>
        <v>B2103</v>
      </c>
      <c r="E1461" s="15">
        <f>SUM(TAB_SAIDA[[#This Row],[20/05/2019]:[00/00/00]])</f>
        <v>0</v>
      </c>
      <c r="F1461" s="3"/>
      <c r="BH1461" s="3"/>
    </row>
    <row r="1462" spans="1:598" ht="15" hidden="1" customHeight="1" x14ac:dyDescent="0.25">
      <c r="A1462" s="5" t="s">
        <v>7633</v>
      </c>
      <c r="B1462" s="15" t="str">
        <f>VLOOKUP(TAB_SAIDA[[#This Row],[COD_2_SAIDA]],TAB_ESTOQUE[[Codigo]:[Descrição Tecnica]],6,FALSE)</f>
        <v>CHAVE MOELLER NZM1</v>
      </c>
      <c r="C1462" s="15">
        <f>IFERROR(VLOOKUP(TAB_SAIDA[[#This Row],[COD_2_SAIDA]],TAB_ESTOQUE[[Codigo]:[Referência Tec]],7,FALSE),"")</f>
        <v>0</v>
      </c>
      <c r="D1462" s="15" t="str">
        <f>VLOOKUP(TAB_SAIDA[[#This Row],[COD_2_SAIDA]],TAB_ESTOQUE[[Codigo]:[Endereço2]],12,FALSE)</f>
        <v>B2104</v>
      </c>
      <c r="E1462" s="15">
        <f>SUM(TAB_SAIDA[[#This Row],[20/05/2019]:[00/00/00]])</f>
        <v>0</v>
      </c>
      <c r="F1462" s="3"/>
      <c r="BH1462" s="3"/>
    </row>
    <row r="1463" spans="1:598" ht="15" hidden="1" customHeight="1" x14ac:dyDescent="0.25">
      <c r="A1463" s="5" t="s">
        <v>7634</v>
      </c>
      <c r="B1463" s="15" t="str">
        <f>VLOOKUP(TAB_SAIDA[[#This Row],[COD_2_SAIDA]],TAB_ESTOQUE[[Codigo]:[Descrição Tecnica]],6,FALSE)</f>
        <v xml:space="preserve">CLP COMPLETO  6ES7 151-8FB01-0AB0 </v>
      </c>
      <c r="C1463" s="15">
        <f>IFERROR(VLOOKUP(TAB_SAIDA[[#This Row],[COD_2_SAIDA]],TAB_ESTOQUE[[Codigo]:[Referência Tec]],7,FALSE),"")</f>
        <v>0</v>
      </c>
      <c r="D1463" s="15" t="str">
        <f>VLOOKUP(TAB_SAIDA[[#This Row],[COD_2_SAIDA]],TAB_ESTOQUE[[Codigo]:[Endereço2]],12,FALSE)</f>
        <v>B2105</v>
      </c>
      <c r="E1463" s="15">
        <f>SUM(TAB_SAIDA[[#This Row],[20/05/2019]:[00/00/00]])</f>
        <v>0</v>
      </c>
      <c r="F1463" s="3"/>
      <c r="BH1463" s="3"/>
    </row>
    <row r="1464" spans="1:598" ht="15" hidden="1" customHeight="1" x14ac:dyDescent="0.25">
      <c r="A1464" s="5" t="s">
        <v>7635</v>
      </c>
      <c r="B1464" s="15" t="str">
        <f>VLOOKUP(TAB_SAIDA[[#This Row],[COD_2_SAIDA]],TAB_ESTOQUE[[Codigo]:[Descrição Tecnica]],6,FALSE)</f>
        <v>MODULO DE EXPANSÃO POWER SUPPLY 12-24VDC 10W SELV 850MA</v>
      </c>
      <c r="C1464" s="15">
        <f>IFERROR(VLOOKUP(TAB_SAIDA[[#This Row],[COD_2_SAIDA]],TAB_ESTOQUE[[Codigo]:[Referência Tec]],7,FALSE),"")</f>
        <v>0</v>
      </c>
      <c r="D1464" s="15" t="str">
        <f>VLOOKUP(TAB_SAIDA[[#This Row],[COD_2_SAIDA]],TAB_ESTOQUE[[Codigo]:[Endereço2]],12,FALSE)</f>
        <v>B2105</v>
      </c>
      <c r="E1464" s="15">
        <f>SUM(TAB_SAIDA[[#This Row],[20/05/2019]:[00/00/00]])</f>
        <v>0</v>
      </c>
      <c r="F1464" s="3"/>
      <c r="BH1464" s="3"/>
    </row>
    <row r="1465" spans="1:598" ht="15" hidden="1" customHeight="1" x14ac:dyDescent="0.25">
      <c r="A1465" s="5" t="s">
        <v>7645</v>
      </c>
      <c r="B1465" s="15" t="str">
        <f>VLOOKUP(TAB_SAIDA[[#This Row],[COD_2_SAIDA]],TAB_ESTOQUE[[Codigo]:[Descrição Tecnica]],6,FALSE)</f>
        <v>SUPORTE PARA SENSOR MANFROTTO 244 D2255341</v>
      </c>
      <c r="C1465" s="15">
        <f>IFERROR(VLOOKUP(TAB_SAIDA[[#This Row],[COD_2_SAIDA]],TAB_ESTOQUE[[Codigo]:[Referência Tec]],7,FALSE),"")</f>
        <v>0</v>
      </c>
      <c r="D1465" s="15" t="str">
        <f>VLOOKUP(TAB_SAIDA[[#This Row],[COD_2_SAIDA]],TAB_ESTOQUE[[Codigo]:[Endereço2]],12,FALSE)</f>
        <v>B2105</v>
      </c>
      <c r="E1465" s="15">
        <f>SUM(TAB_SAIDA[[#This Row],[20/05/2019]:[00/00/00]])</f>
        <v>0</v>
      </c>
      <c r="F1465" s="3"/>
      <c r="BH1465" s="3"/>
    </row>
    <row r="1466" spans="1:598" ht="15" hidden="1" customHeight="1" x14ac:dyDescent="0.25">
      <c r="A1466" s="5" t="s">
        <v>7646</v>
      </c>
      <c r="B1466" s="15" t="str">
        <f>VLOOKUP(TAB_SAIDA[[#This Row],[COD_2_SAIDA]],TAB_ESTOQUE[[Codigo]:[Descrição Tecnica]],6,FALSE)</f>
        <v>PLACA DA CELULA DE CARGA CS018-03-5</v>
      </c>
      <c r="C1466" s="15">
        <f>IFERROR(VLOOKUP(TAB_SAIDA[[#This Row],[COD_2_SAIDA]],TAB_ESTOQUE[[Codigo]:[Referência Tec]],7,FALSE),"")</f>
        <v>0</v>
      </c>
      <c r="D1466" s="15" t="str">
        <f>VLOOKUP(TAB_SAIDA[[#This Row],[COD_2_SAIDA]],TAB_ESTOQUE[[Codigo]:[Endereço2]],12,FALSE)</f>
        <v>B2105</v>
      </c>
      <c r="E1466" s="15">
        <f>SUM(TAB_SAIDA[[#This Row],[20/05/2019]:[00/00/00]])</f>
        <v>0</v>
      </c>
      <c r="F1466" s="3"/>
      <c r="BH1466" s="3"/>
    </row>
    <row r="1467" spans="1:598" ht="15" hidden="1" customHeight="1" x14ac:dyDescent="0.25">
      <c r="A1467" s="5" t="s">
        <v>7647</v>
      </c>
      <c r="B1467" s="15" t="str">
        <f>VLOOKUP(TAB_SAIDA[[#This Row],[COD_2_SAIDA]],TAB_ESTOQUE[[Codigo]:[Descrição Tecnica]],6,FALSE)</f>
        <v>VALVULA PNEUMATICA VSNB-F-M52-M G14-P2</v>
      </c>
      <c r="C1467" s="15">
        <f>IFERROR(VLOOKUP(TAB_SAIDA[[#This Row],[COD_2_SAIDA]],TAB_ESTOQUE[[Codigo]:[Referência Tec]],7,FALSE),"")</f>
        <v>0</v>
      </c>
      <c r="D1467" s="15" t="str">
        <f>VLOOKUP(TAB_SAIDA[[#This Row],[COD_2_SAIDA]],TAB_ESTOQUE[[Codigo]:[Endereço2]],12,FALSE)</f>
        <v>C1104</v>
      </c>
      <c r="E1467" s="15">
        <f>SUM(TAB_SAIDA[[#This Row],[20/05/2019]:[00/00/00]])</f>
        <v>0</v>
      </c>
      <c r="F1467" s="3"/>
      <c r="BH1467" s="3"/>
    </row>
    <row r="1468" spans="1:598" ht="15" hidden="1" customHeight="1" x14ac:dyDescent="0.25">
      <c r="A1468" s="5" t="s">
        <v>7648</v>
      </c>
      <c r="B1468" s="15" t="str">
        <f>VLOOKUP(TAB_SAIDA[[#This Row],[COD_2_SAIDA]],TAB_ESTOQUE[[Codigo]:[Descrição Tecnica]],6,FALSE)</f>
        <v>ATUADOR PNEUMATICO COM VALVULA DE ESFERA 1/2"</v>
      </c>
      <c r="C1468" s="15">
        <f>IFERROR(VLOOKUP(TAB_SAIDA[[#This Row],[COD_2_SAIDA]],TAB_ESTOQUE[[Codigo]:[Referência Tec]],7,FALSE),"")</f>
        <v>0</v>
      </c>
      <c r="D1468" s="15" t="str">
        <f>VLOOKUP(TAB_SAIDA[[#This Row],[COD_2_SAIDA]],TAB_ESTOQUE[[Codigo]:[Endereço2]],12,FALSE)</f>
        <v>C1206</v>
      </c>
      <c r="E1468" s="15">
        <f>SUM(TAB_SAIDA[[#This Row],[20/05/2019]:[00/00/00]])</f>
        <v>1</v>
      </c>
      <c r="F1468" s="3"/>
      <c r="BH1468" s="3"/>
      <c r="VZ1468" s="3">
        <v>1</v>
      </c>
    </row>
    <row r="1469" spans="1:598" ht="15" hidden="1" customHeight="1" x14ac:dyDescent="0.25">
      <c r="A1469" s="5" t="s">
        <v>7649</v>
      </c>
      <c r="B1469" s="15" t="str">
        <f>VLOOKUP(TAB_SAIDA[[#This Row],[COD_2_SAIDA]],TAB_ESTOQUE[[Codigo]:[Descrição Tecnica]],6,FALSE)</f>
        <v>CABO PARA REDE ASI-I RUBBER 3RX9010-0AA00  (AMARELO)</v>
      </c>
      <c r="C1469" s="15">
        <f>IFERROR(VLOOKUP(TAB_SAIDA[[#This Row],[COD_2_SAIDA]],TAB_ESTOQUE[[Codigo]:[Referência Tec]],7,FALSE),"")</f>
        <v>0</v>
      </c>
      <c r="D1469" s="15" t="str">
        <f>VLOOKUP(TAB_SAIDA[[#This Row],[COD_2_SAIDA]],TAB_ESTOQUE[[Codigo]:[Endereço2]],12,FALSE)</f>
        <v>B1406</v>
      </c>
      <c r="E1469" s="15">
        <f>SUM(TAB_SAIDA[[#This Row],[20/05/2019]:[00/00/00]])</f>
        <v>0</v>
      </c>
      <c r="F1469" s="3"/>
      <c r="BH1469" s="3"/>
    </row>
    <row r="1470" spans="1:598" ht="15" hidden="1" customHeight="1" x14ac:dyDescent="0.25">
      <c r="A1470" s="5" t="s">
        <v>7650</v>
      </c>
      <c r="B1470" s="15" t="str">
        <f>VLOOKUP(TAB_SAIDA[[#This Row],[COD_2_SAIDA]],TAB_ESTOQUE[[Codigo]:[Descrição Tecnica]],6,FALSE)</f>
        <v>CONEXÃO PNEUMÁTICA 8mm COM ROSCA 1/8"</v>
      </c>
      <c r="C1470" s="15">
        <f>IFERROR(VLOOKUP(TAB_SAIDA[[#This Row],[COD_2_SAIDA]],TAB_ESTOQUE[[Codigo]:[Referência Tec]],7,FALSE),"")</f>
        <v>0</v>
      </c>
      <c r="D1470" s="15" t="str">
        <f>VLOOKUP(TAB_SAIDA[[#This Row],[COD_2_SAIDA]],TAB_ESTOQUE[[Codigo]:[Endereço2]],12,FALSE)</f>
        <v>C1305</v>
      </c>
      <c r="E1470" s="15">
        <f>SUM(TAB_SAIDA[[#This Row],[20/05/2019]:[00/00/00]])</f>
        <v>0</v>
      </c>
      <c r="F1470" s="3"/>
      <c r="BH1470" s="3"/>
    </row>
    <row r="1471" spans="1:598" ht="15" hidden="1" customHeight="1" x14ac:dyDescent="0.25">
      <c r="A1471" s="5" t="s">
        <v>7651</v>
      </c>
      <c r="B1471" s="15" t="str">
        <f>VLOOKUP(TAB_SAIDA[[#This Row],[COD_2_SAIDA]],TAB_ESTOQUE[[Codigo]:[Descrição Tecnica]],6,FALSE)</f>
        <v>CONEXÃO PNEUMÁTICA 6mm COM ROSCA 1/8"</v>
      </c>
      <c r="C1471" s="15">
        <f>IFERROR(VLOOKUP(TAB_SAIDA[[#This Row],[COD_2_SAIDA]],TAB_ESTOQUE[[Codigo]:[Referência Tec]],7,FALSE),"")</f>
        <v>0</v>
      </c>
      <c r="D1471" s="15" t="str">
        <f>VLOOKUP(TAB_SAIDA[[#This Row],[COD_2_SAIDA]],TAB_ESTOQUE[[Codigo]:[Endereço2]],12,FALSE)</f>
        <v>C1305</v>
      </c>
      <c r="E1471" s="15">
        <f>SUM(TAB_SAIDA[[#This Row],[20/05/2019]:[00/00/00]])</f>
        <v>0</v>
      </c>
      <c r="F1471" s="3"/>
      <c r="BH1471" s="3"/>
    </row>
    <row r="1472" spans="1:598" ht="15" hidden="1" customHeight="1" x14ac:dyDescent="0.25">
      <c r="A1472" s="5" t="s">
        <v>7652</v>
      </c>
      <c r="B1472" s="15" t="str">
        <f>VLOOKUP(TAB_SAIDA[[#This Row],[COD_2_SAIDA]],TAB_ESTOQUE[[Codigo]:[Descrição Tecnica]],6,FALSE)</f>
        <v>CONEXÃO PNEUMÁTICA 4mm COM ROSCA 1/8"</v>
      </c>
      <c r="C1472" s="15">
        <f>IFERROR(VLOOKUP(TAB_SAIDA[[#This Row],[COD_2_SAIDA]],TAB_ESTOQUE[[Codigo]:[Referência Tec]],7,FALSE),"")</f>
        <v>0</v>
      </c>
      <c r="D1472" s="15" t="str">
        <f>VLOOKUP(TAB_SAIDA[[#This Row],[COD_2_SAIDA]],TAB_ESTOQUE[[Codigo]:[Endereço2]],12,FALSE)</f>
        <v>C1305</v>
      </c>
      <c r="E1472" s="15">
        <f>SUM(TAB_SAIDA[[#This Row],[20/05/2019]:[00/00/00]])</f>
        <v>0</v>
      </c>
      <c r="F1472" s="3"/>
      <c r="BH1472" s="3"/>
    </row>
    <row r="1473" spans="1:60" ht="15" hidden="1" customHeight="1" x14ac:dyDescent="0.25">
      <c r="A1473" s="5" t="s">
        <v>7653</v>
      </c>
      <c r="B1473" s="15" t="str">
        <f>VLOOKUP(TAB_SAIDA[[#This Row],[COD_2_SAIDA]],TAB_ESTOQUE[[Codigo]:[Descrição Tecnica]],6,FALSE)</f>
        <v>CONEXÃO PNEUMÁTICA 12mm DIVERSAS</v>
      </c>
      <c r="C1473" s="15">
        <f>IFERROR(VLOOKUP(TAB_SAIDA[[#This Row],[COD_2_SAIDA]],TAB_ESTOQUE[[Codigo]:[Referência Tec]],7,FALSE),"")</f>
        <v>0</v>
      </c>
      <c r="D1473" s="15" t="str">
        <f>VLOOKUP(TAB_SAIDA[[#This Row],[COD_2_SAIDA]],TAB_ESTOQUE[[Codigo]:[Endereço2]],12,FALSE)</f>
        <v>C1305</v>
      </c>
      <c r="E1473" s="15">
        <f>SUM(TAB_SAIDA[[#This Row],[20/05/2019]:[00/00/00]])</f>
        <v>0</v>
      </c>
      <c r="F1473" s="3"/>
      <c r="BH1473" s="3"/>
    </row>
    <row r="1474" spans="1:60" ht="15" hidden="1" customHeight="1" x14ac:dyDescent="0.25">
      <c r="A1474" s="5" t="s">
        <v>7654</v>
      </c>
      <c r="B1474" s="15" t="str">
        <f>VLOOKUP(TAB_SAIDA[[#This Row],[COD_2_SAIDA]],TAB_ESTOQUE[[Codigo]:[Descrição Tecnica]],6,FALSE)</f>
        <v>CONEXÃO PNEUMÁTICA 10mm DIVERSAS</v>
      </c>
      <c r="C1474" s="15">
        <f>IFERROR(VLOOKUP(TAB_SAIDA[[#This Row],[COD_2_SAIDA]],TAB_ESTOQUE[[Codigo]:[Referência Tec]],7,FALSE),"")</f>
        <v>0</v>
      </c>
      <c r="D1474" s="15" t="str">
        <f>VLOOKUP(TAB_SAIDA[[#This Row],[COD_2_SAIDA]],TAB_ESTOQUE[[Codigo]:[Endereço2]],12,FALSE)</f>
        <v>C1305</v>
      </c>
      <c r="E1474" s="15">
        <f>SUM(TAB_SAIDA[[#This Row],[20/05/2019]:[00/00/00]])</f>
        <v>0</v>
      </c>
      <c r="F1474" s="3"/>
      <c r="BH1474" s="3"/>
    </row>
    <row r="1475" spans="1:60" ht="15" hidden="1" customHeight="1" x14ac:dyDescent="0.25">
      <c r="A1475" s="5" t="s">
        <v>7655</v>
      </c>
      <c r="B1475" s="15" t="str">
        <f>VLOOKUP(TAB_SAIDA[[#This Row],[COD_2_SAIDA]],TAB_ESTOQUE[[Codigo]:[Descrição Tecnica]],6,FALSE)</f>
        <v>CONEXÃO PNEUMÁTICA 8mm DIVERSAS</v>
      </c>
      <c r="C1475" s="15">
        <f>IFERROR(VLOOKUP(TAB_SAIDA[[#This Row],[COD_2_SAIDA]],TAB_ESTOQUE[[Codigo]:[Referência Tec]],7,FALSE),"")</f>
        <v>0</v>
      </c>
      <c r="D1475" s="15" t="str">
        <f>VLOOKUP(TAB_SAIDA[[#This Row],[COD_2_SAIDA]],TAB_ESTOQUE[[Codigo]:[Endereço2]],12,FALSE)</f>
        <v>C1305</v>
      </c>
      <c r="E1475" s="15">
        <f>SUM(TAB_SAIDA[[#This Row],[20/05/2019]:[00/00/00]])</f>
        <v>0</v>
      </c>
      <c r="F1475" s="3"/>
      <c r="BH1475" s="3"/>
    </row>
    <row r="1476" spans="1:60" ht="15" hidden="1" customHeight="1" x14ac:dyDescent="0.25">
      <c r="A1476" s="5" t="s">
        <v>7656</v>
      </c>
      <c r="B1476" s="15" t="str">
        <f>VLOOKUP(TAB_SAIDA[[#This Row],[COD_2_SAIDA]],TAB_ESTOQUE[[Codigo]:[Descrição Tecnica]],6,FALSE)</f>
        <v>CONEXÃO PNEUMÁTICA 6mm DIVERSAS</v>
      </c>
      <c r="C1476" s="15">
        <f>IFERROR(VLOOKUP(TAB_SAIDA[[#This Row],[COD_2_SAIDA]],TAB_ESTOQUE[[Codigo]:[Referência Tec]],7,FALSE),"")</f>
        <v>0</v>
      </c>
      <c r="D1476" s="15" t="str">
        <f>VLOOKUP(TAB_SAIDA[[#This Row],[COD_2_SAIDA]],TAB_ESTOQUE[[Codigo]:[Endereço2]],12,FALSE)</f>
        <v>C1305</v>
      </c>
      <c r="E1476" s="15">
        <f>SUM(TAB_SAIDA[[#This Row],[20/05/2019]:[00/00/00]])</f>
        <v>0</v>
      </c>
      <c r="F1476" s="3"/>
      <c r="BH1476" s="3"/>
    </row>
    <row r="1477" spans="1:60" ht="15" hidden="1" customHeight="1" x14ac:dyDescent="0.25">
      <c r="A1477" s="5" t="s">
        <v>7657</v>
      </c>
      <c r="B1477" s="15" t="str">
        <f>VLOOKUP(TAB_SAIDA[[#This Row],[COD_2_SAIDA]],TAB_ESTOQUE[[Codigo]:[Descrição Tecnica]],6,FALSE)</f>
        <v>CONEXÃO PNEUMÁTICA 4mm DIVERSAS</v>
      </c>
      <c r="C1477" s="15">
        <f>IFERROR(VLOOKUP(TAB_SAIDA[[#This Row],[COD_2_SAIDA]],TAB_ESTOQUE[[Codigo]:[Referência Tec]],7,FALSE),"")</f>
        <v>0</v>
      </c>
      <c r="D1477" s="15" t="str">
        <f>VLOOKUP(TAB_SAIDA[[#This Row],[COD_2_SAIDA]],TAB_ESTOQUE[[Codigo]:[Endereço2]],12,FALSE)</f>
        <v>C1305</v>
      </c>
      <c r="E1477" s="15">
        <f>SUM(TAB_SAIDA[[#This Row],[20/05/2019]:[00/00/00]])</f>
        <v>0</v>
      </c>
      <c r="F1477" s="3"/>
      <c r="BH1477" s="3"/>
    </row>
    <row r="1478" spans="1:60" ht="15" hidden="1" customHeight="1" x14ac:dyDescent="0.25">
      <c r="A1478" s="5" t="s">
        <v>7658</v>
      </c>
      <c r="B1478" s="15" t="str">
        <f>VLOOKUP(TAB_SAIDA[[#This Row],[COD_2_SAIDA]],TAB_ESTOQUE[[Codigo]:[Descrição Tecnica]],6,FALSE)</f>
        <v>CONEXÃO PNEUMÁTICA TIPO T COM ROSCA DIVERSAS</v>
      </c>
      <c r="C1478" s="15">
        <f>IFERROR(VLOOKUP(TAB_SAIDA[[#This Row],[COD_2_SAIDA]],TAB_ESTOQUE[[Codigo]:[Referência Tec]],7,FALSE),"")</f>
        <v>0</v>
      </c>
      <c r="D1478" s="15" t="str">
        <f>VLOOKUP(TAB_SAIDA[[#This Row],[COD_2_SAIDA]],TAB_ESTOQUE[[Codigo]:[Endereço2]],12,FALSE)</f>
        <v>C1306</v>
      </c>
      <c r="E1478" s="15">
        <f>SUM(TAB_SAIDA[[#This Row],[20/05/2019]:[00/00/00]])</f>
        <v>0</v>
      </c>
      <c r="F1478" s="3"/>
      <c r="BH1478" s="3"/>
    </row>
    <row r="1479" spans="1:60" ht="15" hidden="1" customHeight="1" x14ac:dyDescent="0.25">
      <c r="A1479" s="5" t="s">
        <v>7659</v>
      </c>
      <c r="B1479" s="15" t="str">
        <f>VLOOKUP(TAB_SAIDA[[#This Row],[COD_2_SAIDA]],TAB_ESTOQUE[[Codigo]:[Descrição Tecnica]],6,FALSE)</f>
        <v xml:space="preserve">CONEXÃO PNEUMÁTICA DIVERSAS </v>
      </c>
      <c r="C1479" s="15">
        <f>IFERROR(VLOOKUP(TAB_SAIDA[[#This Row],[COD_2_SAIDA]],TAB_ESTOQUE[[Codigo]:[Referência Tec]],7,FALSE),"")</f>
        <v>0</v>
      </c>
      <c r="D1479" s="15" t="str">
        <f>VLOOKUP(TAB_SAIDA[[#This Row],[COD_2_SAIDA]],TAB_ESTOQUE[[Codigo]:[Endereço2]],12,FALSE)</f>
        <v>C1306</v>
      </c>
      <c r="E1479" s="15">
        <f>SUM(TAB_SAIDA[[#This Row],[20/05/2019]:[00/00/00]])</f>
        <v>0</v>
      </c>
      <c r="F1479" s="3"/>
      <c r="BH1479" s="3"/>
    </row>
    <row r="1480" spans="1:60" ht="15" hidden="1" customHeight="1" x14ac:dyDescent="0.25">
      <c r="A1480" s="5" t="s">
        <v>7660</v>
      </c>
      <c r="B1480" s="15" t="str">
        <f>VLOOKUP(TAB_SAIDA[[#This Row],[COD_2_SAIDA]],TAB_ESTOQUE[[Codigo]:[Descrição Tecnica]],6,FALSE)</f>
        <v>SILENCIADOR PNEUMATICOS DIVERSOS</v>
      </c>
      <c r="C1480" s="15">
        <f>IFERROR(VLOOKUP(TAB_SAIDA[[#This Row],[COD_2_SAIDA]],TAB_ESTOQUE[[Codigo]:[Referência Tec]],7,FALSE),"")</f>
        <v>0</v>
      </c>
      <c r="D1480" s="15" t="str">
        <f>VLOOKUP(TAB_SAIDA[[#This Row],[COD_2_SAIDA]],TAB_ESTOQUE[[Codigo]:[Endereço2]],12,FALSE)</f>
        <v>C1306</v>
      </c>
      <c r="E1480" s="15">
        <f>SUM(TAB_SAIDA[[#This Row],[20/05/2019]:[00/00/00]])</f>
        <v>0</v>
      </c>
      <c r="F1480" s="3"/>
      <c r="BH1480" s="3"/>
    </row>
    <row r="1481" spans="1:60" ht="15" hidden="1" customHeight="1" x14ac:dyDescent="0.25">
      <c r="A1481" s="5" t="s">
        <v>7703</v>
      </c>
      <c r="B1481" s="15" t="str">
        <f>VLOOKUP(TAB_SAIDA[[#This Row],[COD_2_SAIDA]],TAB_ESTOQUE[[Codigo]:[Descrição Tecnica]],6,FALSE)</f>
        <v>CABO SILICONE 02,50MM ALTA TEMPERATURA</v>
      </c>
      <c r="C1481" s="15">
        <f>IFERROR(VLOOKUP(TAB_SAIDA[[#This Row],[COD_2_SAIDA]],TAB_ESTOQUE[[Codigo]:[Referência Tec]],7,FALSE),"")</f>
        <v>0</v>
      </c>
      <c r="D1481" s="15" t="str">
        <f>VLOOKUP(TAB_SAIDA[[#This Row],[COD_2_SAIDA]],TAB_ESTOQUE[[Codigo]:[Endereço2]],12,FALSE)</f>
        <v>B2403</v>
      </c>
      <c r="E1481" s="15">
        <f>SUM(TAB_SAIDA[[#This Row],[20/05/2019]:[00/00/00]])</f>
        <v>0</v>
      </c>
      <c r="F1481" s="3"/>
      <c r="BH1481" s="3"/>
    </row>
    <row r="1482" spans="1:60" ht="15" hidden="1" customHeight="1" x14ac:dyDescent="0.25">
      <c r="A1482" s="5" t="s">
        <v>7704</v>
      </c>
      <c r="B1482" s="15" t="str">
        <f>VLOOKUP(TAB_SAIDA[[#This Row],[COD_2_SAIDA]],TAB_ESTOQUE[[Codigo]:[Descrição Tecnica]],6,FALSE)</f>
        <v>PRESSOSTATO PARKER SCPSD-250-14-15 Range: 0... 250bar 0... 3626 PSI 30VDC</v>
      </c>
      <c r="C1482" s="15">
        <f>IFERROR(VLOOKUP(TAB_SAIDA[[#This Row],[COD_2_SAIDA]],TAB_ESTOQUE[[Codigo]:[Referência Tec]],7,FALSE),"")</f>
        <v>0</v>
      </c>
      <c r="D1482" s="15" t="str">
        <f>VLOOKUP(TAB_SAIDA[[#This Row],[COD_2_SAIDA]],TAB_ESTOQUE[[Codigo]:[Endereço2]],12,FALSE)</f>
        <v>B2203</v>
      </c>
      <c r="E1482" s="15">
        <f>SUM(TAB_SAIDA[[#This Row],[20/05/2019]:[00/00/00]])</f>
        <v>0</v>
      </c>
      <c r="F1482" s="3"/>
      <c r="BH1482" s="3"/>
    </row>
    <row r="1483" spans="1:60" ht="15" hidden="1" customHeight="1" x14ac:dyDescent="0.25">
      <c r="A1483" s="5" t="s">
        <v>7705</v>
      </c>
      <c r="B1483" s="15" t="str">
        <f>VLOOKUP(TAB_SAIDA[[#This Row],[COD_2_SAIDA]],TAB_ESTOQUE[[Codigo]:[Descrição Tecnica]],6,FALSE)</f>
        <v>SERVO MOTO ABB 3HAC3403-1/2</v>
      </c>
      <c r="C1483" s="15">
        <f>IFERROR(VLOOKUP(TAB_SAIDA[[#This Row],[COD_2_SAIDA]],TAB_ESTOQUE[[Codigo]:[Referência Tec]],7,FALSE),"")</f>
        <v>0</v>
      </c>
      <c r="D1483" s="15" t="str">
        <f>VLOOKUP(TAB_SAIDA[[#This Row],[COD_2_SAIDA]],TAB_ESTOQUE[[Codigo]:[Endereço2]],12,FALSE)</f>
        <v>E2305</v>
      </c>
      <c r="E1483" s="15">
        <f>SUM(TAB_SAIDA[[#This Row],[20/05/2019]:[00/00/00]])</f>
        <v>0</v>
      </c>
      <c r="F1483" s="3"/>
      <c r="BH1483" s="3"/>
    </row>
    <row r="1484" spans="1:60" ht="15" hidden="1" customHeight="1" x14ac:dyDescent="0.25">
      <c r="A1484" s="5" t="s">
        <v>7706</v>
      </c>
      <c r="B1484" s="15" t="str">
        <f>VLOOKUP(TAB_SAIDA[[#This Row],[COD_2_SAIDA]],TAB_ESTOQUE[[Codigo]:[Descrição Tecnica]],6,FALSE)</f>
        <v>RETENTOR SAV 10280 90-130-12 2</v>
      </c>
      <c r="C1484" s="15">
        <f>IFERROR(VLOOKUP(TAB_SAIDA[[#This Row],[COD_2_SAIDA]],TAB_ESTOQUE[[Codigo]:[Referência Tec]],7,FALSE),"")</f>
        <v>0</v>
      </c>
      <c r="D1484" s="15" t="str">
        <f>VLOOKUP(TAB_SAIDA[[#This Row],[COD_2_SAIDA]],TAB_ESTOQUE[[Codigo]:[Endereço2]],12,FALSE)</f>
        <v>E1202</v>
      </c>
      <c r="E1484" s="15">
        <f>SUM(TAB_SAIDA[[#This Row],[20/05/2019]:[00/00/00]])</f>
        <v>0</v>
      </c>
      <c r="F1484" s="3"/>
      <c r="BH1484" s="3"/>
    </row>
    <row r="1485" spans="1:60" ht="15" hidden="1" customHeight="1" x14ac:dyDescent="0.25">
      <c r="A1485" s="5" t="s">
        <v>7707</v>
      </c>
      <c r="B1485" s="15" t="str">
        <f>VLOOKUP(TAB_SAIDA[[#This Row],[COD_2_SAIDA]],TAB_ESTOQUE[[Codigo]:[Descrição Tecnica]],6,FALSE)</f>
        <v>PRESSOSTATO PARKER SCPSD-400-14-15 Range: 0... 400bar 0... 3626 PSI 30VDC</v>
      </c>
      <c r="C1485" s="15">
        <f>IFERROR(VLOOKUP(TAB_SAIDA[[#This Row],[COD_2_SAIDA]],TAB_ESTOQUE[[Codigo]:[Referência Tec]],7,FALSE),"")</f>
        <v>0</v>
      </c>
      <c r="D1485" s="15" t="str">
        <f>VLOOKUP(TAB_SAIDA[[#This Row],[COD_2_SAIDA]],TAB_ESTOQUE[[Codigo]:[Endereço2]],12,FALSE)</f>
        <v>B2203</v>
      </c>
      <c r="E1485" s="15">
        <f>SUM(TAB_SAIDA[[#This Row],[20/05/2019]:[00/00/00]])</f>
        <v>0</v>
      </c>
      <c r="F1485" s="3"/>
      <c r="BH1485" s="3"/>
    </row>
    <row r="1486" spans="1:60" ht="15" hidden="1" customHeight="1" x14ac:dyDescent="0.25">
      <c r="A1486" s="5" t="s">
        <v>7708</v>
      </c>
      <c r="B1486" s="15" t="str">
        <f>VLOOKUP(TAB_SAIDA[[#This Row],[COD_2_SAIDA]],TAB_ESTOQUE[[Codigo]:[Descrição Tecnica]],6,FALSE)</f>
        <v>ELEMENTO FILTRANTE REXROTH R928006872</v>
      </c>
      <c r="C1486" s="15">
        <f>IFERROR(VLOOKUP(TAB_SAIDA[[#This Row],[COD_2_SAIDA]],TAB_ESTOQUE[[Codigo]:[Referência Tec]],7,FALSE),"")</f>
        <v>0</v>
      </c>
      <c r="D1486" s="15" t="str">
        <f>VLOOKUP(TAB_SAIDA[[#This Row],[COD_2_SAIDA]],TAB_ESTOQUE[[Codigo]:[Endereço2]],12,FALSE)</f>
        <v>C1403</v>
      </c>
      <c r="E1486" s="15">
        <f>SUM(TAB_SAIDA[[#This Row],[20/05/2019]:[00/00/00]])</f>
        <v>0</v>
      </c>
      <c r="F1486" s="3"/>
      <c r="BH1486" s="3"/>
    </row>
    <row r="1487" spans="1:60" ht="15" hidden="1" customHeight="1" x14ac:dyDescent="0.25">
      <c r="A1487" s="5" t="s">
        <v>7709</v>
      </c>
      <c r="B1487" s="15" t="str">
        <f>VLOOKUP(TAB_SAIDA[[#This Row],[COD_2_SAIDA]],TAB_ESTOQUE[[Codigo]:[Descrição Tecnica]],6,FALSE)</f>
        <v>ELEMENTO FILTRANTE HYDAC 0330 R 010 ON</v>
      </c>
      <c r="C1487" s="15">
        <f>IFERROR(VLOOKUP(TAB_SAIDA[[#This Row],[COD_2_SAIDA]],TAB_ESTOQUE[[Codigo]:[Referência Tec]],7,FALSE),"")</f>
        <v>0</v>
      </c>
      <c r="D1487" s="15" t="str">
        <f>VLOOKUP(TAB_SAIDA[[#This Row],[COD_2_SAIDA]],TAB_ESTOQUE[[Codigo]:[Endereço2]],12,FALSE)</f>
        <v>C1403</v>
      </c>
      <c r="E1487" s="15">
        <f>SUM(TAB_SAIDA[[#This Row],[20/05/2019]:[00/00/00]])</f>
        <v>0</v>
      </c>
      <c r="F1487" s="3"/>
      <c r="BH1487" s="3"/>
    </row>
    <row r="1488" spans="1:60" ht="15" hidden="1" customHeight="1" x14ac:dyDescent="0.25">
      <c r="A1488" s="5" t="s">
        <v>7710</v>
      </c>
      <c r="B1488" s="15" t="str">
        <f>VLOOKUP(TAB_SAIDA[[#This Row],[COD_2_SAIDA]],TAB_ESTOQUE[[Codigo]:[Descrição Tecnica]],6,FALSE)</f>
        <v>ELEMENTO FILTRANTE HYDAC 0500 R 010 ON</v>
      </c>
      <c r="C1488" s="15">
        <f>IFERROR(VLOOKUP(TAB_SAIDA[[#This Row],[COD_2_SAIDA]],TAB_ESTOQUE[[Codigo]:[Referência Tec]],7,FALSE),"")</f>
        <v>0</v>
      </c>
      <c r="D1488" s="15" t="str">
        <f>VLOOKUP(TAB_SAIDA[[#This Row],[COD_2_SAIDA]],TAB_ESTOQUE[[Codigo]:[Endereço2]],12,FALSE)</f>
        <v>C1404</v>
      </c>
      <c r="E1488" s="15">
        <f>SUM(TAB_SAIDA[[#This Row],[20/05/2019]:[00/00/00]])</f>
        <v>0</v>
      </c>
      <c r="F1488" s="3"/>
      <c r="BH1488" s="3"/>
    </row>
    <row r="1489" spans="1:60" ht="15" hidden="1" customHeight="1" x14ac:dyDescent="0.25">
      <c r="A1489" s="5" t="s">
        <v>7711</v>
      </c>
      <c r="B1489" s="15" t="str">
        <f>VLOOKUP(TAB_SAIDA[[#This Row],[COD_2_SAIDA]],TAB_ESTOQUE[[Codigo]:[Descrição Tecnica]],6,FALSE)</f>
        <v>ELEMENTO FILTRANTE HRT06010 PH</v>
      </c>
      <c r="C1489" s="15">
        <f>IFERROR(VLOOKUP(TAB_SAIDA[[#This Row],[COD_2_SAIDA]],TAB_ESTOQUE[[Codigo]:[Referência Tec]],7,FALSE),"")</f>
        <v>0</v>
      </c>
      <c r="D1489" s="15" t="str">
        <f>VLOOKUP(TAB_SAIDA[[#This Row],[COD_2_SAIDA]],TAB_ESTOQUE[[Codigo]:[Endereço2]],12,FALSE)</f>
        <v>C1404</v>
      </c>
      <c r="E1489" s="15">
        <f>SUM(TAB_SAIDA[[#This Row],[20/05/2019]:[00/00/00]])</f>
        <v>0</v>
      </c>
      <c r="F1489" s="3"/>
      <c r="BH1489" s="3"/>
    </row>
    <row r="1490" spans="1:60" ht="15" hidden="1" customHeight="1" x14ac:dyDescent="0.25">
      <c r="A1490" s="5" t="s">
        <v>7712</v>
      </c>
      <c r="B1490" s="15" t="str">
        <f>VLOOKUP(TAB_SAIDA[[#This Row],[COD_2_SAIDA]],TAB_ESTOQUE[[Codigo]:[Descrição Tecnica]],6,FALSE)</f>
        <v>ELEMENTO FILTRANTE HYDAC N5DM002</v>
      </c>
      <c r="C1490" s="15">
        <f>IFERROR(VLOOKUP(TAB_SAIDA[[#This Row],[COD_2_SAIDA]],TAB_ESTOQUE[[Codigo]:[Referência Tec]],7,FALSE),"")</f>
        <v>0</v>
      </c>
      <c r="D1490" s="15" t="str">
        <f>VLOOKUP(TAB_SAIDA[[#This Row],[COD_2_SAIDA]],TAB_ESTOQUE[[Codigo]:[Endereço2]],12,FALSE)</f>
        <v>C1406</v>
      </c>
      <c r="E1490" s="15">
        <f>SUM(TAB_SAIDA[[#This Row],[20/05/2019]:[00/00/00]])</f>
        <v>0</v>
      </c>
      <c r="F1490" s="3"/>
      <c r="BH1490" s="3"/>
    </row>
    <row r="1491" spans="1:60" ht="15" hidden="1" customHeight="1" x14ac:dyDescent="0.25">
      <c r="A1491" s="5" t="s">
        <v>7713</v>
      </c>
      <c r="B1491" s="15" t="str">
        <f>VLOOKUP(TAB_SAIDA[[#This Row],[COD_2_SAIDA]],TAB_ESTOQUE[[Codigo]:[Descrição Tecnica]],6,FALSE)</f>
        <v>ELEMENTO FILTRANTE HYDAC 0160 RN 010 BN4HC</v>
      </c>
      <c r="C1491" s="15">
        <f>IFERROR(VLOOKUP(TAB_SAIDA[[#This Row],[COD_2_SAIDA]],TAB_ESTOQUE[[Codigo]:[Referência Tec]],7,FALSE),"")</f>
        <v>0</v>
      </c>
      <c r="D1491" s="15" t="str">
        <f>VLOOKUP(TAB_SAIDA[[#This Row],[COD_2_SAIDA]],TAB_ESTOQUE[[Codigo]:[Endereço2]],12,FALSE)</f>
        <v>C1406</v>
      </c>
      <c r="E1491" s="15">
        <f>SUM(TAB_SAIDA[[#This Row],[20/05/2019]:[00/00/00]])</f>
        <v>0</v>
      </c>
      <c r="F1491" s="3"/>
      <c r="BH1491" s="3"/>
    </row>
    <row r="1492" spans="1:60" ht="15" hidden="1" customHeight="1" x14ac:dyDescent="0.25">
      <c r="A1492" s="5" t="s">
        <v>7714</v>
      </c>
      <c r="B1492" s="15" t="str">
        <f>VLOOKUP(TAB_SAIDA[[#This Row],[COD_2_SAIDA]],TAB_ESTOQUE[[Codigo]:[Descrição Tecnica]],6,FALSE)</f>
        <v>ELEMENTO FILTRANTE HYDAC 0660 R 010 ON</v>
      </c>
      <c r="C1492" s="15">
        <f>IFERROR(VLOOKUP(TAB_SAIDA[[#This Row],[COD_2_SAIDA]],TAB_ESTOQUE[[Codigo]:[Referência Tec]],7,FALSE),"")</f>
        <v>0</v>
      </c>
      <c r="D1492" s="15" t="str">
        <f>VLOOKUP(TAB_SAIDA[[#This Row],[COD_2_SAIDA]],TAB_ESTOQUE[[Codigo]:[Endereço2]],12,FALSE)</f>
        <v>C1406</v>
      </c>
      <c r="E1492" s="15">
        <f>SUM(TAB_SAIDA[[#This Row],[20/05/2019]:[00/00/00]])</f>
        <v>0</v>
      </c>
      <c r="F1492" s="3"/>
      <c r="BH1492" s="3"/>
    </row>
    <row r="1493" spans="1:60" ht="15" hidden="1" customHeight="1" x14ac:dyDescent="0.25">
      <c r="A1493" s="5" t="s">
        <v>7715</v>
      </c>
      <c r="B1493" s="15" t="str">
        <f>VLOOKUP(TAB_SAIDA[[#This Row],[COD_2_SAIDA]],TAB_ESTOQUE[[Codigo]:[Descrição Tecnica]],6,FALSE)</f>
        <v>CORREIA 16 T10 -16mm ( GATES )</v>
      </c>
      <c r="C1493" s="15">
        <f>IFERROR(VLOOKUP(TAB_SAIDA[[#This Row],[COD_2_SAIDA]],TAB_ESTOQUE[[Codigo]:[Referência Tec]],7,FALSE),"")</f>
        <v>0</v>
      </c>
      <c r="D1493" s="15" t="str">
        <f>VLOOKUP(TAB_SAIDA[[#This Row],[COD_2_SAIDA]],TAB_ESTOQUE[[Codigo]:[Endereço2]],12,FALSE)</f>
        <v>S603</v>
      </c>
      <c r="E1493" s="15">
        <f>SUM(TAB_SAIDA[[#This Row],[20/05/2019]:[00/00/00]])</f>
        <v>0</v>
      </c>
      <c r="F1493" s="3"/>
      <c r="BH1493" s="3"/>
    </row>
    <row r="1494" spans="1:60" ht="15" hidden="1" customHeight="1" x14ac:dyDescent="0.25">
      <c r="A1494" s="5" t="s">
        <v>7716</v>
      </c>
      <c r="B1494" s="15" t="str">
        <f>VLOOKUP(TAB_SAIDA[[#This Row],[COD_2_SAIDA]],TAB_ESTOQUE[[Codigo]:[Descrição Tecnica]],6,FALSE)</f>
        <v>VALVULA HIDRAULICA PARKER REF: D91FCZ31HC2NKOL10XG262</v>
      </c>
      <c r="C1494" s="15">
        <f>IFERROR(VLOOKUP(TAB_SAIDA[[#This Row],[COD_2_SAIDA]],TAB_ESTOQUE[[Codigo]:[Referência Tec]],7,FALSE),"")</f>
        <v>0</v>
      </c>
      <c r="D1494" s="15" t="str">
        <f>VLOOKUP(TAB_SAIDA[[#This Row],[COD_2_SAIDA]],TAB_ESTOQUE[[Codigo]:[Endereço2]],12,FALSE)</f>
        <v>C2105</v>
      </c>
      <c r="E1494" s="15">
        <f>SUM(TAB_SAIDA[[#This Row],[20/05/2019]:[00/00/00]])</f>
        <v>0</v>
      </c>
      <c r="F1494" s="3"/>
      <c r="BH1494" s="3"/>
    </row>
    <row r="1495" spans="1:60" ht="15" hidden="1" customHeight="1" x14ac:dyDescent="0.25">
      <c r="A1495" s="5" t="s">
        <v>7717</v>
      </c>
      <c r="B1495" s="15" t="str">
        <f>VLOOKUP(TAB_SAIDA[[#This Row],[COD_2_SAIDA]],TAB_ESTOQUE[[Codigo]:[Descrição Tecnica]],6,FALSE)</f>
        <v>HF HIGH SPEED DISCONNECTION REPLACEMENT</v>
      </c>
      <c r="C1495" s="15">
        <f>IFERROR(VLOOKUP(TAB_SAIDA[[#This Row],[COD_2_SAIDA]],TAB_ESTOQUE[[Codigo]:[Referência Tec]],7,FALSE),"")</f>
        <v>0</v>
      </c>
      <c r="D1495" s="15" t="str">
        <f>VLOOKUP(TAB_SAIDA[[#This Row],[COD_2_SAIDA]],TAB_ESTOQUE[[Codigo]:[Endereço2]],12,FALSE)</f>
        <v>A1105</v>
      </c>
      <c r="E1495" s="15">
        <f>SUM(TAB_SAIDA[[#This Row],[20/05/2019]:[00/00/00]])</f>
        <v>0</v>
      </c>
      <c r="F1495" s="3"/>
      <c r="BH1495" s="3"/>
    </row>
    <row r="1496" spans="1:60" ht="15" hidden="1" customHeight="1" x14ac:dyDescent="0.25">
      <c r="A1496" s="5" t="s">
        <v>7718</v>
      </c>
      <c r="B1496" s="15" t="str">
        <f>VLOOKUP(TAB_SAIDA[[#This Row],[COD_2_SAIDA]],TAB_ESTOQUE[[Codigo]:[Descrição Tecnica]],6,FALSE)</f>
        <v>THYRATRON TQ 1/2 CHRISTAL</v>
      </c>
      <c r="C1496" s="15">
        <f>IFERROR(VLOOKUP(TAB_SAIDA[[#This Row],[COD_2_SAIDA]],TAB_ESTOQUE[[Codigo]:[Referência Tec]],7,FALSE),"")</f>
        <v>0</v>
      </c>
      <c r="D1496" s="15" t="str">
        <f>VLOOKUP(TAB_SAIDA[[#This Row],[COD_2_SAIDA]],TAB_ESTOQUE[[Codigo]:[Endereço2]],12,FALSE)</f>
        <v>A1105</v>
      </c>
      <c r="E1496" s="15">
        <f>SUM(TAB_SAIDA[[#This Row],[20/05/2019]:[00/00/00]])</f>
        <v>0</v>
      </c>
      <c r="F1496" s="3"/>
      <c r="BH1496" s="3"/>
    </row>
    <row r="1497" spans="1:60" ht="15" hidden="1" customHeight="1" x14ac:dyDescent="0.25">
      <c r="A1497" s="5" t="s">
        <v>7719</v>
      </c>
      <c r="B1497" s="15" t="str">
        <f>VLOOKUP(TAB_SAIDA[[#This Row],[COD_2_SAIDA]],TAB_ESTOQUE[[Codigo]:[Descrição Tecnica]],6,FALSE)</f>
        <v>FUSIVEL VIDRO RAP 5 X 20 10AMP 250V</v>
      </c>
      <c r="C1497" s="15">
        <f>IFERROR(VLOOKUP(TAB_SAIDA[[#This Row],[COD_2_SAIDA]],TAB_ESTOQUE[[Codigo]:[Referência Tec]],7,FALSE),"")</f>
        <v>0</v>
      </c>
      <c r="D1497" s="15" t="str">
        <f>VLOOKUP(TAB_SAIDA[[#This Row],[COD_2_SAIDA]],TAB_ESTOQUE[[Codigo]:[Endereço2]],12,FALSE)</f>
        <v>A1204</v>
      </c>
      <c r="E1497" s="15">
        <f>SUM(TAB_SAIDA[[#This Row],[20/05/2019]:[00/00/00]])</f>
        <v>0</v>
      </c>
      <c r="F1497" s="3"/>
      <c r="BH1497" s="3"/>
    </row>
    <row r="1498" spans="1:60" ht="15" hidden="1" customHeight="1" x14ac:dyDescent="0.25">
      <c r="A1498" s="5" t="s">
        <v>7720</v>
      </c>
      <c r="B1498" s="15" t="str">
        <f>VLOOKUP(TAB_SAIDA[[#This Row],[COD_2_SAIDA]],TAB_ESTOQUE[[Codigo]:[Descrição Tecnica]],6,FALSE)</f>
        <v>FUSIVEL CARTUCHO CERAMICO 10X38 20A 250V C/RETARDO</v>
      </c>
      <c r="C1498" s="15">
        <f>IFERROR(VLOOKUP(TAB_SAIDA[[#This Row],[COD_2_SAIDA]],TAB_ESTOQUE[[Codigo]:[Referência Tec]],7,FALSE),"")</f>
        <v>0</v>
      </c>
      <c r="D1498" s="15" t="str">
        <f>VLOOKUP(TAB_SAIDA[[#This Row],[COD_2_SAIDA]],TAB_ESTOQUE[[Codigo]:[Endereço2]],12,FALSE)</f>
        <v>A1204</v>
      </c>
      <c r="E1498" s="15">
        <f>SUM(TAB_SAIDA[[#This Row],[20/05/2019]:[00/00/00]])</f>
        <v>0</v>
      </c>
      <c r="F1498" s="3"/>
      <c r="BH1498" s="3"/>
    </row>
    <row r="1499" spans="1:60" ht="15" hidden="1" customHeight="1" x14ac:dyDescent="0.25">
      <c r="A1499" s="5" t="s">
        <v>7721</v>
      </c>
      <c r="B1499" s="15" t="str">
        <f>VLOOKUP(TAB_SAIDA[[#This Row],[COD_2_SAIDA]],TAB_ESTOQUE[[Codigo]:[Descrição Tecnica]],6,FALSE)</f>
        <v>FUSIVEL CARTUCHO CERAMICO 6X32 8A 250V C/RETARDO</v>
      </c>
      <c r="C1499" s="15">
        <f>IFERROR(VLOOKUP(TAB_SAIDA[[#This Row],[COD_2_SAIDA]],TAB_ESTOQUE[[Codigo]:[Referência Tec]],7,FALSE),"")</f>
        <v>0</v>
      </c>
      <c r="D1499" s="15" t="str">
        <f>VLOOKUP(TAB_SAIDA[[#This Row],[COD_2_SAIDA]],TAB_ESTOQUE[[Codigo]:[Endereço2]],12,FALSE)</f>
        <v>A1204</v>
      </c>
      <c r="E1499" s="15">
        <f>SUM(TAB_SAIDA[[#This Row],[20/05/2019]:[00/00/00]])</f>
        <v>0</v>
      </c>
      <c r="F1499" s="3"/>
      <c r="BH1499" s="3"/>
    </row>
    <row r="1500" spans="1:60" ht="15" hidden="1" customHeight="1" x14ac:dyDescent="0.25">
      <c r="A1500" s="5" t="s">
        <v>7722</v>
      </c>
      <c r="B1500" s="15" t="str">
        <f>VLOOKUP(TAB_SAIDA[[#This Row],[COD_2_SAIDA]],TAB_ESTOQUE[[Codigo]:[Descrição Tecnica]],6,FALSE)</f>
        <v>FUSIVEL VIDRO RAP 5 X 20 6,3AMP 250V</v>
      </c>
      <c r="C1500" s="15">
        <f>IFERROR(VLOOKUP(TAB_SAIDA[[#This Row],[COD_2_SAIDA]],TAB_ESTOQUE[[Codigo]:[Referência Tec]],7,FALSE),"")</f>
        <v>0</v>
      </c>
      <c r="D1500" s="15" t="str">
        <f>VLOOKUP(TAB_SAIDA[[#This Row],[COD_2_SAIDA]],TAB_ESTOQUE[[Codigo]:[Endereço2]],12,FALSE)</f>
        <v>A1204</v>
      </c>
      <c r="E1500" s="15">
        <f>SUM(TAB_SAIDA[[#This Row],[20/05/2019]:[00/00/00]])</f>
        <v>0</v>
      </c>
      <c r="F1500" s="3"/>
      <c r="BH1500" s="3"/>
    </row>
    <row r="1501" spans="1:60" ht="15" hidden="1" customHeight="1" x14ac:dyDescent="0.25">
      <c r="A1501" s="5" t="s">
        <v>7723</v>
      </c>
      <c r="B1501" s="15" t="str">
        <f>VLOOKUP(TAB_SAIDA[[#This Row],[COD_2_SAIDA]],TAB_ESTOQUE[[Codigo]:[Descrição Tecnica]],6,FALSE)</f>
        <v>CILINDRO ADN-50-50-A-P-A-00050</v>
      </c>
      <c r="C1501" s="15">
        <f>IFERROR(VLOOKUP(TAB_SAIDA[[#This Row],[COD_2_SAIDA]],TAB_ESTOQUE[[Codigo]:[Referência Tec]],7,FALSE),"")</f>
        <v>0</v>
      </c>
      <c r="D1501" s="15" t="str">
        <f>VLOOKUP(TAB_SAIDA[[#This Row],[COD_2_SAIDA]],TAB_ESTOQUE[[Codigo]:[Endereço2]],12,FALSE)</f>
        <v>C1105</v>
      </c>
      <c r="E1501" s="15">
        <f>SUM(TAB_SAIDA[[#This Row],[20/05/2019]:[00/00/00]])</f>
        <v>0</v>
      </c>
      <c r="F1501" s="3"/>
      <c r="BH1501" s="3"/>
    </row>
    <row r="1502" spans="1:60" ht="15" hidden="1" customHeight="1" x14ac:dyDescent="0.25">
      <c r="A1502" s="5" t="s">
        <v>7724</v>
      </c>
      <c r="B1502" s="15" t="str">
        <f>VLOOKUP(TAB_SAIDA[[#This Row],[COD_2_SAIDA]],TAB_ESTOQUE[[Codigo]:[Descrição Tecnica]],6,FALSE)</f>
        <v xml:space="preserve">CAPACITOR CCG81-1 250PF 15KV 15KVA </v>
      </c>
      <c r="C1502" s="15">
        <f>IFERROR(VLOOKUP(TAB_SAIDA[[#This Row],[COD_2_SAIDA]],TAB_ESTOQUE[[Codigo]:[Referência Tec]],7,FALSE),"")</f>
        <v>0</v>
      </c>
      <c r="D1502" s="15" t="str">
        <f>VLOOKUP(TAB_SAIDA[[#This Row],[COD_2_SAIDA]],TAB_ESTOQUE[[Codigo]:[Endereço2]],12,FALSE)</f>
        <v>A1105</v>
      </c>
      <c r="E1502" s="15">
        <f>SUM(TAB_SAIDA[[#This Row],[20/05/2019]:[00/00/00]])</f>
        <v>0</v>
      </c>
      <c r="F1502" s="3"/>
      <c r="BH1502" s="3"/>
    </row>
    <row r="1503" spans="1:60" ht="15" hidden="1" customHeight="1" x14ac:dyDescent="0.25">
      <c r="A1503" s="5" t="s">
        <v>7725</v>
      </c>
      <c r="B1503" s="15" t="str">
        <f>VLOOKUP(TAB_SAIDA[[#This Row],[COD_2_SAIDA]],TAB_ESTOQUE[[Codigo]:[Descrição Tecnica]],6,FALSE)</f>
        <v>CILINDRO ADN-40-40-I-P-A</v>
      </c>
      <c r="C1503" s="15">
        <f>IFERROR(VLOOKUP(TAB_SAIDA[[#This Row],[COD_2_SAIDA]],TAB_ESTOQUE[[Codigo]:[Referência Tec]],7,FALSE),"")</f>
        <v>0</v>
      </c>
      <c r="D1503" s="15" t="str">
        <f>VLOOKUP(TAB_SAIDA[[#This Row],[COD_2_SAIDA]],TAB_ESTOQUE[[Codigo]:[Endereço2]],12,FALSE)</f>
        <v>C1105</v>
      </c>
      <c r="E1503" s="15">
        <f>SUM(TAB_SAIDA[[#This Row],[20/05/2019]:[00/00/00]])</f>
        <v>0</v>
      </c>
      <c r="F1503" s="3"/>
      <c r="BH1503" s="3"/>
    </row>
    <row r="1504" spans="1:60" ht="15" hidden="1" customHeight="1" x14ac:dyDescent="0.25">
      <c r="A1504" s="5" t="s">
        <v>7726</v>
      </c>
      <c r="B1504" s="15" t="str">
        <f>VLOOKUP(TAB_SAIDA[[#This Row],[COD_2_SAIDA]],TAB_ESTOQUE[[Codigo]:[Descrição Tecnica]],6,FALSE)</f>
        <v>CILINDRO  CWP-040714SE0-0015</v>
      </c>
      <c r="C1504" s="15">
        <f>IFERROR(VLOOKUP(TAB_SAIDA[[#This Row],[COD_2_SAIDA]],TAB_ESTOQUE[[Codigo]:[Referência Tec]],7,FALSE),"")</f>
        <v>0</v>
      </c>
      <c r="D1504" s="15" t="str">
        <f>VLOOKUP(TAB_SAIDA[[#This Row],[COD_2_SAIDA]],TAB_ESTOQUE[[Codigo]:[Endereço2]],12,FALSE)</f>
        <v>C1105</v>
      </c>
      <c r="E1504" s="15">
        <f>SUM(TAB_SAIDA[[#This Row],[20/05/2019]:[00/00/00]])</f>
        <v>0</v>
      </c>
      <c r="F1504" s="3"/>
      <c r="BH1504" s="3"/>
    </row>
    <row r="1505" spans="1:623" ht="15" hidden="1" customHeight="1" x14ac:dyDescent="0.25">
      <c r="A1505" s="5" t="s">
        <v>7727</v>
      </c>
      <c r="B1505" s="15" t="str">
        <f>VLOOKUP(TAB_SAIDA[[#This Row],[COD_2_SAIDA]],TAB_ESTOQUE[[Codigo]:[Descrição Tecnica]],6,FALSE)</f>
        <v>DISJUNTOR STECK SDZ C10 400V 6000A</v>
      </c>
      <c r="C1505" s="15">
        <f>IFERROR(VLOOKUP(TAB_SAIDA[[#This Row],[COD_2_SAIDA]],TAB_ESTOQUE[[Codigo]:[Referência Tec]],7,FALSE),"")</f>
        <v>0</v>
      </c>
      <c r="D1505" s="15" t="str">
        <f>VLOOKUP(TAB_SAIDA[[#This Row],[COD_2_SAIDA]],TAB_ESTOQUE[[Codigo]:[Endereço2]],12,FALSE)</f>
        <v>A2403</v>
      </c>
      <c r="E1505" s="15">
        <f>SUM(TAB_SAIDA[[#This Row],[20/05/2019]:[00/00/00]])</f>
        <v>1</v>
      </c>
      <c r="F1505" s="3"/>
      <c r="BH1505" s="3"/>
      <c r="RK1505" s="3">
        <v>1</v>
      </c>
    </row>
    <row r="1506" spans="1:623" ht="15" hidden="1" customHeight="1" x14ac:dyDescent="0.25">
      <c r="A1506" s="5" t="s">
        <v>7728</v>
      </c>
      <c r="B1506" s="15" t="str">
        <f>VLOOKUP(TAB_SAIDA[[#This Row],[COD_2_SAIDA]],TAB_ESTOQUE[[Codigo]:[Descrição Tecnica]],6,FALSE)</f>
        <v>DISJUNTOR SCHNEIDER C16 3000 EZ9F33216</v>
      </c>
      <c r="C1506" s="15">
        <f>IFERROR(VLOOKUP(TAB_SAIDA[[#This Row],[COD_2_SAIDA]],TAB_ESTOQUE[[Codigo]:[Referência Tec]],7,FALSE),"")</f>
        <v>0</v>
      </c>
      <c r="D1506" s="15" t="str">
        <f>VLOOKUP(TAB_SAIDA[[#This Row],[COD_2_SAIDA]],TAB_ESTOQUE[[Codigo]:[Endereço2]],12,FALSE)</f>
        <v>A2403</v>
      </c>
      <c r="E1506" s="15">
        <f>SUM(TAB_SAIDA[[#This Row],[20/05/2019]:[00/00/00]])</f>
        <v>1</v>
      </c>
      <c r="F1506" s="3"/>
      <c r="BH1506" s="3"/>
      <c r="WA1506" s="3">
        <v>1</v>
      </c>
    </row>
    <row r="1507" spans="1:623" ht="15" hidden="1" customHeight="1" x14ac:dyDescent="0.25">
      <c r="A1507" s="5" t="s">
        <v>7729</v>
      </c>
      <c r="B1507" s="15" t="str">
        <f>VLOOKUP(TAB_SAIDA[[#This Row],[COD_2_SAIDA]],TAB_ESTOQUE[[Codigo]:[Descrição Tecnica]],6,FALSE)</f>
        <v>CONTATOR JNG JZC4-22 (2NA=2NF) 660V 10A</v>
      </c>
      <c r="C1507" s="15">
        <f>IFERROR(VLOOKUP(TAB_SAIDA[[#This Row],[COD_2_SAIDA]],TAB_ESTOQUE[[Codigo]:[Referência Tec]],7,FALSE),"")</f>
        <v>0</v>
      </c>
      <c r="D1507" s="15" t="str">
        <f>VLOOKUP(TAB_SAIDA[[#This Row],[COD_2_SAIDA]],TAB_ESTOQUE[[Codigo]:[Endereço2]],12,FALSE)</f>
        <v>A1403</v>
      </c>
      <c r="E1507" s="15">
        <f>SUM(TAB_SAIDA[[#This Row],[20/05/2019]:[00/00/00]])</f>
        <v>0</v>
      </c>
      <c r="F1507" s="3"/>
      <c r="BH1507" s="3"/>
    </row>
    <row r="1508" spans="1:623" ht="15" hidden="1" customHeight="1" x14ac:dyDescent="0.25">
      <c r="A1508" s="5" t="s">
        <v>7730</v>
      </c>
      <c r="B1508" s="15" t="str">
        <f>VLOOKUP(TAB_SAIDA[[#This Row],[COD_2_SAIDA]],TAB_ESTOQUE[[Codigo]:[Descrição Tecnica]],6,FALSE)</f>
        <v>SENSOR MODELO: CS1-30P DC:5-30V. 200MA. 6W</v>
      </c>
      <c r="C1508" s="15">
        <f>IFERROR(VLOOKUP(TAB_SAIDA[[#This Row],[COD_2_SAIDA]],TAB_ESTOQUE[[Codigo]:[Referência Tec]],7,FALSE),"")</f>
        <v>0</v>
      </c>
      <c r="D1508" s="15" t="str">
        <f>VLOOKUP(TAB_SAIDA[[#This Row],[COD_2_SAIDA]],TAB_ESTOQUE[[Codigo]:[Endereço2]],12,FALSE)</f>
        <v>A2201</v>
      </c>
      <c r="E1508" s="15">
        <f>SUM(TAB_SAIDA[[#This Row],[20/05/2019]:[00/00/00]])</f>
        <v>0</v>
      </c>
      <c r="F1508" s="3"/>
      <c r="BH1508" s="3"/>
    </row>
    <row r="1509" spans="1:623" ht="15" hidden="1" customHeight="1" x14ac:dyDescent="0.25">
      <c r="A1509" s="5" t="s">
        <v>7731</v>
      </c>
      <c r="B1509" s="15" t="str">
        <f>VLOOKUP(TAB_SAIDA[[#This Row],[COD_2_SAIDA]],TAB_ESTOQUE[[Codigo]:[Descrição Tecnica]],6,FALSE)</f>
        <v xml:space="preserve">SENSOR SICK VSPI-4F2111 </v>
      </c>
      <c r="C1509" s="15">
        <f>IFERROR(VLOOKUP(TAB_SAIDA[[#This Row],[COD_2_SAIDA]],TAB_ESTOQUE[[Codigo]:[Referência Tec]],7,FALSE),"")</f>
        <v>0</v>
      </c>
      <c r="D1509" s="15" t="str">
        <f>VLOOKUP(TAB_SAIDA[[#This Row],[COD_2_SAIDA]],TAB_ESTOQUE[[Codigo]:[Endereço2]],12,FALSE)</f>
        <v>A1103</v>
      </c>
      <c r="E1509" s="15">
        <f>SUM(TAB_SAIDA[[#This Row],[20/05/2019]:[00/00/00]])</f>
        <v>0</v>
      </c>
      <c r="F1509" s="3"/>
      <c r="BH1509" s="3"/>
    </row>
    <row r="1510" spans="1:623" ht="15" hidden="1" customHeight="1" x14ac:dyDescent="0.25">
      <c r="A1510" s="5" t="s">
        <v>7732</v>
      </c>
      <c r="B1510" s="15" t="str">
        <f>VLOOKUP(TAB_SAIDA[[#This Row],[COD_2_SAIDA]],TAB_ESTOQUE[[Codigo]:[Descrição Tecnica]],6,FALSE)</f>
        <v>COOLER LUKMA LK-08038SE 80X80X38 mm 110V/220V</v>
      </c>
      <c r="C1510" s="15">
        <f>IFERROR(VLOOKUP(TAB_SAIDA[[#This Row],[COD_2_SAIDA]],TAB_ESTOQUE[[Codigo]:[Referência Tec]],7,FALSE),"")</f>
        <v>0</v>
      </c>
      <c r="D1510" s="15" t="str">
        <f>VLOOKUP(TAB_SAIDA[[#This Row],[COD_2_SAIDA]],TAB_ESTOQUE[[Codigo]:[Endereço2]],12,FALSE)</f>
        <v>B1106</v>
      </c>
      <c r="E1510" s="15">
        <f>SUM(TAB_SAIDA[[#This Row],[20/05/2019]:[00/00/00]])</f>
        <v>0</v>
      </c>
      <c r="F1510" s="3"/>
      <c r="BH1510" s="3"/>
    </row>
    <row r="1511" spans="1:623" ht="15" hidden="1" customHeight="1" x14ac:dyDescent="0.25">
      <c r="A1511" s="5" t="s">
        <v>7733</v>
      </c>
      <c r="B1511" s="15" t="str">
        <f>VLOOKUP(TAB_SAIDA[[#This Row],[COD_2_SAIDA]],TAB_ESTOQUE[[Codigo]:[Descrição Tecnica]],6,FALSE)</f>
        <v>FILTRO LUKMA MICRO VENTILADORES 80/80mm cod, 29043</v>
      </c>
      <c r="C1511" s="15">
        <f>IFERROR(VLOOKUP(TAB_SAIDA[[#This Row],[COD_2_SAIDA]],TAB_ESTOQUE[[Codigo]:[Referência Tec]],7,FALSE),"")</f>
        <v>0</v>
      </c>
      <c r="D1511" s="15" t="str">
        <f>VLOOKUP(TAB_SAIDA[[#This Row],[COD_2_SAIDA]],TAB_ESTOQUE[[Codigo]:[Endereço2]],12,FALSE)</f>
        <v>B1106</v>
      </c>
      <c r="E1511" s="15">
        <f>SUM(TAB_SAIDA[[#This Row],[20/05/2019]:[00/00/00]])</f>
        <v>0</v>
      </c>
      <c r="F1511" s="3"/>
      <c r="BH1511" s="3"/>
    </row>
    <row r="1512" spans="1:623" ht="15" hidden="1" customHeight="1" x14ac:dyDescent="0.25">
      <c r="A1512" s="5" t="s">
        <v>7734</v>
      </c>
      <c r="B1512" s="15" t="str">
        <f>VLOOKUP(TAB_SAIDA[[#This Row],[COD_2_SAIDA]],TAB_ESTOQUE[[Codigo]:[Descrição Tecnica]],6,FALSE)</f>
        <v>SENSOR SICK UM18-218161101  6048420</v>
      </c>
      <c r="C1512" s="15">
        <f>IFERROR(VLOOKUP(TAB_SAIDA[[#This Row],[COD_2_SAIDA]],TAB_ESTOQUE[[Codigo]:[Referência Tec]],7,FALSE),"")</f>
        <v>0</v>
      </c>
      <c r="D1512" s="15" t="str">
        <f>VLOOKUP(TAB_SAIDA[[#This Row],[COD_2_SAIDA]],TAB_ESTOQUE[[Codigo]:[Endereço2]],12,FALSE)</f>
        <v>A2206</v>
      </c>
      <c r="E1512" s="15">
        <f>SUM(TAB_SAIDA[[#This Row],[20/05/2019]:[00/00/00]])</f>
        <v>0</v>
      </c>
      <c r="F1512" s="3"/>
      <c r="BH1512" s="3"/>
    </row>
    <row r="1513" spans="1:623" ht="15" hidden="1" customHeight="1" x14ac:dyDescent="0.25">
      <c r="A1513" s="5" t="s">
        <v>7735</v>
      </c>
      <c r="B1513" s="15" t="str">
        <f>VLOOKUP(TAB_SAIDA[[#This Row],[COD_2_SAIDA]],TAB_ESTOQUE[[Codigo]:[Descrição Tecnica]],6,FALSE)</f>
        <v>PARAFUSOS SEM CABEÇA COM DIAMETRO 19,70MM X COMPRIMENTO 201,10MM EM AÇO 8.8 COM PASSE DE ROSCA 10G 3/4"</v>
      </c>
      <c r="C1513" s="15">
        <f>IFERROR(VLOOKUP(TAB_SAIDA[[#This Row],[COD_2_SAIDA]],TAB_ESTOQUE[[Codigo]:[Referência Tec]],7,FALSE),"")</f>
        <v>0</v>
      </c>
      <c r="D1513" s="15" t="str">
        <f>VLOOKUP(TAB_SAIDA[[#This Row],[COD_2_SAIDA]],TAB_ESTOQUE[[Codigo]:[Endereço2]],12,FALSE)</f>
        <v>F2303</v>
      </c>
      <c r="E1513" s="15">
        <f>SUM(TAB_SAIDA[[#This Row],[20/05/2019]:[00/00/00]])</f>
        <v>0</v>
      </c>
      <c r="F1513" s="3"/>
      <c r="BH1513" s="3"/>
    </row>
    <row r="1514" spans="1:623" ht="15" hidden="1" customHeight="1" x14ac:dyDescent="0.25">
      <c r="A1514" s="5" t="s">
        <v>7736</v>
      </c>
      <c r="B1514" s="15" t="str">
        <f>VLOOKUP(TAB_SAIDA[[#This Row],[COD_2_SAIDA]],TAB_ESTOQUE[[Codigo]:[Descrição Tecnica]],6,FALSE)</f>
        <v>BOMBA DE ISOCIANATO</v>
      </c>
      <c r="C1514" s="15">
        <f>IFERROR(VLOOKUP(TAB_SAIDA[[#This Row],[COD_2_SAIDA]],TAB_ESTOQUE[[Codigo]:[Referência Tec]],7,FALSE),"")</f>
        <v>0</v>
      </c>
      <c r="D1514" s="15" t="str">
        <f>VLOOKUP(TAB_SAIDA[[#This Row],[COD_2_SAIDA]],TAB_ESTOQUE[[Codigo]:[Endereço2]],12,FALSE)</f>
        <v>E2105</v>
      </c>
      <c r="E1514" s="15">
        <f>SUM(TAB_SAIDA[[#This Row],[20/05/2019]:[00/00/00]])</f>
        <v>0</v>
      </c>
      <c r="F1514" s="3"/>
      <c r="BH1514" s="3"/>
    </row>
    <row r="1515" spans="1:623" ht="15" hidden="1" customHeight="1" x14ac:dyDescent="0.25">
      <c r="A1515" s="5" t="s">
        <v>7737</v>
      </c>
      <c r="B1515" s="15" t="str">
        <f>VLOOKUP(TAB_SAIDA[[#This Row],[COD_2_SAIDA]],TAB_ESTOQUE[[Codigo]:[Descrição Tecnica]],6,FALSE)</f>
        <v>Rolamento DRS 85642 é a SKF, o número de referência na SKF é 22215EK. BLINDADO</v>
      </c>
      <c r="C1515" s="15">
        <f>IFERROR(VLOOKUP(TAB_SAIDA[[#This Row],[COD_2_SAIDA]],TAB_ESTOQUE[[Codigo]:[Referência Tec]],7,FALSE),"")</f>
        <v>0</v>
      </c>
      <c r="D1515" s="15" t="str">
        <f>VLOOKUP(TAB_SAIDA[[#This Row],[COD_2_SAIDA]],TAB_ESTOQUE[[Codigo]:[Endereço2]],12,FALSE)</f>
        <v>D1106</v>
      </c>
      <c r="E1515" s="15">
        <f>SUM(TAB_SAIDA[[#This Row],[20/05/2019]:[00/00/00]])</f>
        <v>0</v>
      </c>
      <c r="F1515" s="3"/>
      <c r="BH1515" s="3"/>
    </row>
    <row r="1516" spans="1:623" ht="15" hidden="1" customHeight="1" x14ac:dyDescent="0.25">
      <c r="A1516" s="5" t="s">
        <v>7738</v>
      </c>
      <c r="B1516" s="15" t="str">
        <f>VLOOKUP(TAB_SAIDA[[#This Row],[COD_2_SAIDA]],TAB_ESTOQUE[[Codigo]:[Descrição Tecnica]],6,FALSE)</f>
        <v>ENGATE RAPIDO (CONJ. CORPO+PINO) OLEO HIDRAULICO</v>
      </c>
      <c r="C1516" s="15">
        <f>IFERROR(VLOOKUP(TAB_SAIDA[[#This Row],[COD_2_SAIDA]],TAB_ESTOQUE[[Codigo]:[Referência Tec]],7,FALSE),"")</f>
        <v>0</v>
      </c>
      <c r="D1516" s="15" t="str">
        <f>VLOOKUP(TAB_SAIDA[[#This Row],[COD_2_SAIDA]],TAB_ESTOQUE[[Codigo]:[Endereço2]],12,FALSE)</f>
        <v>D1404</v>
      </c>
      <c r="E1516" s="15">
        <f>SUM(TAB_SAIDA[[#This Row],[20/05/2019]:[00/00/00]])</f>
        <v>3</v>
      </c>
      <c r="F1516" s="3"/>
      <c r="BH1516" s="3"/>
      <c r="RX1516" s="3">
        <v>1</v>
      </c>
      <c r="SR1516" s="3">
        <v>2</v>
      </c>
    </row>
    <row r="1517" spans="1:623" ht="15" hidden="1" customHeight="1" x14ac:dyDescent="0.25">
      <c r="A1517" s="5" t="s">
        <v>7739</v>
      </c>
      <c r="B1517" s="15" t="str">
        <f>VLOOKUP(TAB_SAIDA[[#This Row],[COD_2_SAIDA]],TAB_ESTOQUE[[Codigo]:[Descrição Tecnica]],6,FALSE)</f>
        <v>ABRAÇADEIRA DE AÇO INOX 1"</v>
      </c>
      <c r="C1517" s="15">
        <f>IFERROR(VLOOKUP(TAB_SAIDA[[#This Row],[COD_2_SAIDA]],TAB_ESTOQUE[[Codigo]:[Referência Tec]],7,FALSE),"")</f>
        <v>0</v>
      </c>
      <c r="D1517" s="15" t="str">
        <f>VLOOKUP(TAB_SAIDA[[#This Row],[COD_2_SAIDA]],TAB_ESTOQUE[[Codigo]:[Endereço2]],12,FALSE)</f>
        <v xml:space="preserve">ARMARIO </v>
      </c>
      <c r="E1517" s="15">
        <f>SUM(TAB_SAIDA[[#This Row],[20/05/2019]:[00/00/00]])</f>
        <v>0</v>
      </c>
      <c r="F1517" s="3"/>
      <c r="BH1517" s="3"/>
    </row>
    <row r="1518" spans="1:623" ht="15" hidden="1" customHeight="1" x14ac:dyDescent="0.25">
      <c r="A1518" s="5" t="s">
        <v>7740</v>
      </c>
      <c r="B1518" s="15" t="str">
        <f>VLOOKUP(TAB_SAIDA[[#This Row],[COD_2_SAIDA]],TAB_ESTOQUE[[Codigo]:[Descrição Tecnica]],6,FALSE)</f>
        <v>ABRAÇADEIRA DE AÇO INOX 3/4"</v>
      </c>
      <c r="C1518" s="15">
        <f>IFERROR(VLOOKUP(TAB_SAIDA[[#This Row],[COD_2_SAIDA]],TAB_ESTOQUE[[Codigo]:[Referência Tec]],7,FALSE),"")</f>
        <v>0</v>
      </c>
      <c r="D1518" s="15" t="str">
        <f>VLOOKUP(TAB_SAIDA[[#This Row],[COD_2_SAIDA]],TAB_ESTOQUE[[Codigo]:[Endereço2]],12,FALSE)</f>
        <v xml:space="preserve">ARMARIO </v>
      </c>
      <c r="E1518" s="15">
        <f>SUM(TAB_SAIDA[[#This Row],[20/05/2019]:[00/00/00]])</f>
        <v>1</v>
      </c>
      <c r="F1518" s="3"/>
      <c r="BH1518" s="3"/>
      <c r="WY1518" s="3">
        <v>1</v>
      </c>
    </row>
    <row r="1519" spans="1:623" ht="15" customHeight="1" x14ac:dyDescent="0.25">
      <c r="A1519" s="5" t="s">
        <v>7741</v>
      </c>
      <c r="B1519" s="15" t="str">
        <f>VLOOKUP(TAB_SAIDA[[#This Row],[COD_2_SAIDA]],TAB_ESTOQUE[[Codigo]:[Descrição Tecnica]],6,FALSE)</f>
        <v>PISTOLA DESMOLDANTE - PD10</v>
      </c>
      <c r="C1519" s="15">
        <f>IFERROR(VLOOKUP(TAB_SAIDA[[#This Row],[COD_2_SAIDA]],TAB_ESTOQUE[[Codigo]:[Referência Tec]],7,FALSE),"")</f>
        <v>0</v>
      </c>
      <c r="D1519" s="15" t="str">
        <f>VLOOKUP(TAB_SAIDA[[#This Row],[COD_2_SAIDA]],TAB_ESTOQUE[[Codigo]:[Endereço2]],12,FALSE)</f>
        <v>E2304</v>
      </c>
      <c r="E1519" s="15">
        <f>SUM(TAB_SAIDA[[#This Row],[20/05/2019]:[00/00/00]])</f>
        <v>0</v>
      </c>
      <c r="F1519" s="3"/>
      <c r="BH1519" s="3"/>
    </row>
    <row r="1520" spans="1:623" ht="15" hidden="1" customHeight="1" x14ac:dyDescent="0.25">
      <c r="A1520" s="5" t="s">
        <v>7742</v>
      </c>
      <c r="B1520" s="15" t="str">
        <f>VLOOKUP(TAB_SAIDA[[#This Row],[COD_2_SAIDA]],TAB_ESTOQUE[[Codigo]:[Descrição Tecnica]],6,FALSE)</f>
        <v>CILINDRO DE GAS MAP PROPILENO NRC 260/325 M1003</v>
      </c>
      <c r="C1520" s="15">
        <f>IFERROR(VLOOKUP(TAB_SAIDA[[#This Row],[COD_2_SAIDA]],TAB_ESTOQUE[[Codigo]:[Referência Tec]],7,FALSE),"")</f>
        <v>0</v>
      </c>
      <c r="D1520" s="15" t="str">
        <f>VLOOKUP(TAB_SAIDA[[#This Row],[COD_2_SAIDA]],TAB_ESTOQUE[[Codigo]:[Endereço2]],12,FALSE)</f>
        <v xml:space="preserve">ARMARIO </v>
      </c>
      <c r="E1520" s="15">
        <f>SUM(TAB_SAIDA[[#This Row],[20/05/2019]:[00/00/00]])</f>
        <v>0</v>
      </c>
      <c r="F1520" s="3"/>
      <c r="BH1520" s="3"/>
    </row>
    <row r="1521" spans="1:611" ht="15" hidden="1" customHeight="1" x14ac:dyDescent="0.25">
      <c r="A1521" s="5" t="s">
        <v>7743</v>
      </c>
      <c r="B1521" s="15" t="str">
        <f>VLOOKUP(TAB_SAIDA[[#This Row],[COD_2_SAIDA]],TAB_ESTOQUE[[Codigo]:[Descrição Tecnica]],6,FALSE)</f>
        <v>CORREIA PVC DUAS TELAS ADERENTE 4970X26X2mm</v>
      </c>
      <c r="C1521" s="15">
        <f>IFERROR(VLOOKUP(TAB_SAIDA[[#This Row],[COD_2_SAIDA]],TAB_ESTOQUE[[Codigo]:[Referência Tec]],7,FALSE),"")</f>
        <v>0</v>
      </c>
      <c r="D1521" s="15" t="str">
        <f>VLOOKUP(TAB_SAIDA[[#This Row],[COD_2_SAIDA]],TAB_ESTOQUE[[Codigo]:[Endereço2]],12,FALSE)</f>
        <v>E2202</v>
      </c>
      <c r="E1521" s="15">
        <f>SUM(TAB_SAIDA[[#This Row],[20/05/2019]:[00/00/00]])</f>
        <v>0</v>
      </c>
      <c r="F1521" s="3"/>
      <c r="BH1521" s="3"/>
    </row>
    <row r="1522" spans="1:611" ht="15" hidden="1" customHeight="1" x14ac:dyDescent="0.25">
      <c r="A1522" s="5" t="s">
        <v>7744</v>
      </c>
      <c r="B1522" s="15" t="str">
        <f>VLOOKUP(TAB_SAIDA[[#This Row],[COD_2_SAIDA]],TAB_ESTOQUE[[Codigo]:[Descrição Tecnica]],6,FALSE)</f>
        <v>CONTATOR WEG CWB25-11-30C03 25A 24VDC</v>
      </c>
      <c r="C1522" s="15">
        <f>IFERROR(VLOOKUP(TAB_SAIDA[[#This Row],[COD_2_SAIDA]],TAB_ESTOQUE[[Codigo]:[Referência Tec]],7,FALSE),"")</f>
        <v>0</v>
      </c>
      <c r="D1522" s="15" t="str">
        <f>VLOOKUP(TAB_SAIDA[[#This Row],[COD_2_SAIDA]],TAB_ESTOQUE[[Codigo]:[Endereço2]],12,FALSE)</f>
        <v>A1403</v>
      </c>
      <c r="E1522" s="15">
        <f>SUM(TAB_SAIDA[[#This Row],[20/05/2019]:[00/00/00]])</f>
        <v>0</v>
      </c>
      <c r="F1522" s="3"/>
      <c r="BH1522" s="3"/>
    </row>
    <row r="1523" spans="1:611" ht="15" hidden="1" customHeight="1" x14ac:dyDescent="0.25">
      <c r="A1523" s="5" t="s">
        <v>7745</v>
      </c>
      <c r="B1523" s="15" t="str">
        <f>VLOOKUP(TAB_SAIDA[[#This Row],[COD_2_SAIDA]],TAB_ESTOQUE[[Codigo]:[Descrição Tecnica]],6,FALSE)</f>
        <v>BOMBA HIDRAULICA HYBE 10501019013 VK02250</v>
      </c>
      <c r="C1523" s="15">
        <f>IFERROR(VLOOKUP(TAB_SAIDA[[#This Row],[COD_2_SAIDA]],TAB_ESTOQUE[[Codigo]:[Referência Tec]],7,FALSE),"")</f>
        <v>0</v>
      </c>
      <c r="D1523" s="15" t="str">
        <f>VLOOKUP(TAB_SAIDA[[#This Row],[COD_2_SAIDA]],TAB_ESTOQUE[[Codigo]:[Endereço2]],12,FALSE)</f>
        <v>E2206</v>
      </c>
      <c r="E1523" s="15">
        <f>SUM(TAB_SAIDA[[#This Row],[20/05/2019]:[00/00/00]])</f>
        <v>0</v>
      </c>
      <c r="F1523" s="3"/>
      <c r="BH1523" s="3"/>
    </row>
    <row r="1524" spans="1:611" ht="15" hidden="1" customHeight="1" x14ac:dyDescent="0.25">
      <c r="A1524" s="5" t="s">
        <v>7746</v>
      </c>
      <c r="B1524" s="15" t="str">
        <f>VLOOKUP(TAB_SAIDA[[#This Row],[COD_2_SAIDA]],TAB_ESTOQUE[[Codigo]:[Descrição Tecnica]],6,FALSE)</f>
        <v>SENSOR IFL-8-18-11STP SCHMERSAL</v>
      </c>
      <c r="C1524" s="15">
        <f>IFERROR(VLOOKUP(TAB_SAIDA[[#This Row],[COD_2_SAIDA]],TAB_ESTOQUE[[Codigo]:[Referência Tec]],7,FALSE),"")</f>
        <v>0</v>
      </c>
      <c r="D1524" s="15" t="str">
        <f>VLOOKUP(TAB_SAIDA[[#This Row],[COD_2_SAIDA]],TAB_ESTOQUE[[Codigo]:[Endereço2]],12,FALSE)</f>
        <v>A2203</v>
      </c>
      <c r="E1524" s="15">
        <f>SUM(TAB_SAIDA[[#This Row],[20/05/2019]:[00/00/00]])</f>
        <v>1</v>
      </c>
      <c r="F1524" s="3"/>
      <c r="BH1524" s="3"/>
      <c r="WM1524" s="3">
        <v>1</v>
      </c>
    </row>
    <row r="1525" spans="1:611" ht="15" hidden="1" customHeight="1" x14ac:dyDescent="0.25">
      <c r="A1525" s="5" t="s">
        <v>7747</v>
      </c>
      <c r="B1525" s="15" t="str">
        <f>VLOOKUP(TAB_SAIDA[[#This Row],[COD_2_SAIDA]],TAB_ESTOQUE[[Codigo]:[Descrição Tecnica]],6,FALSE)</f>
        <v>FUSIVEL DE VIDRO 5X10 10AMP</v>
      </c>
      <c r="C1525" s="15">
        <f>IFERROR(VLOOKUP(TAB_SAIDA[[#This Row],[COD_2_SAIDA]],TAB_ESTOQUE[[Codigo]:[Referência Tec]],7,FALSE),"")</f>
        <v>0</v>
      </c>
      <c r="D1525" s="15" t="str">
        <f>VLOOKUP(TAB_SAIDA[[#This Row],[COD_2_SAIDA]],TAB_ESTOQUE[[Codigo]:[Endereço2]],12,FALSE)</f>
        <v>A1204</v>
      </c>
      <c r="E1525" s="15">
        <f>SUM(TAB_SAIDA[[#This Row],[20/05/2019]:[00/00/00]])</f>
        <v>0</v>
      </c>
      <c r="F1525" s="3"/>
      <c r="BH1525" s="3"/>
    </row>
    <row r="1526" spans="1:611" ht="15" hidden="1" customHeight="1" x14ac:dyDescent="0.25">
      <c r="A1526" s="5" t="s">
        <v>7748</v>
      </c>
      <c r="B1526" s="15" t="str">
        <f>VLOOKUP(TAB_SAIDA[[#This Row],[COD_2_SAIDA]],TAB_ESTOQUE[[Codigo]:[Descrição Tecnica]],6,FALSE)</f>
        <v>ELEMENTO FILTRANTE HYDAC  0160 RN 006 BN4HC</v>
      </c>
      <c r="C1526" s="15">
        <f>IFERROR(VLOOKUP(TAB_SAIDA[[#This Row],[COD_2_SAIDA]],TAB_ESTOQUE[[Codigo]:[Referência Tec]],7,FALSE),"")</f>
        <v>0</v>
      </c>
      <c r="D1526" s="15" t="str">
        <f>VLOOKUP(TAB_SAIDA[[#This Row],[COD_2_SAIDA]],TAB_ESTOQUE[[Codigo]:[Endereço2]],12,FALSE)</f>
        <v>C1406</v>
      </c>
      <c r="E1526" s="15">
        <f>SUM(TAB_SAIDA[[#This Row],[20/05/2019]:[00/00/00]])</f>
        <v>0</v>
      </c>
      <c r="F1526" s="3"/>
      <c r="BH1526" s="3"/>
    </row>
    <row r="1527" spans="1:611" ht="15" hidden="1" customHeight="1" x14ac:dyDescent="0.25">
      <c r="A1527" s="5" t="s">
        <v>7749</v>
      </c>
      <c r="B1527" s="15" t="str">
        <f>VLOOKUP(TAB_SAIDA[[#This Row],[COD_2_SAIDA]],TAB_ESTOQUE[[Codigo]:[Descrição Tecnica]],6,FALSE)</f>
        <v>FILTRO DE AR 80 130 H 10XL</v>
      </c>
      <c r="C1527" s="15">
        <f>IFERROR(VLOOKUP(TAB_SAIDA[[#This Row],[COD_2_SAIDA]],TAB_ESTOQUE[[Codigo]:[Referência Tec]],7,FALSE),"")</f>
        <v>0</v>
      </c>
      <c r="D1527" s="15" t="str">
        <f>VLOOKUP(TAB_SAIDA[[#This Row],[COD_2_SAIDA]],TAB_ESTOQUE[[Codigo]:[Endereço2]],12,FALSE)</f>
        <v>C2405</v>
      </c>
      <c r="E1527" s="15">
        <f>SUM(TAB_SAIDA[[#This Row],[20/05/2019]:[00/00/00]])</f>
        <v>0</v>
      </c>
      <c r="F1527" s="3"/>
      <c r="BH1527" s="3"/>
    </row>
    <row r="1528" spans="1:611" ht="15" hidden="1" customHeight="1" x14ac:dyDescent="0.25">
      <c r="A1528" s="5" t="s">
        <v>7750</v>
      </c>
      <c r="B1528" s="15" t="str">
        <f>VLOOKUP(TAB_SAIDA[[#This Row],[COD_2_SAIDA]],TAB_ESTOQUE[[Codigo]:[Descrição Tecnica]],6,FALSE)</f>
        <v>BARREIRA DE LUZ SICK C4000 STANDARD C40E-0703CB010</v>
      </c>
      <c r="C1528" s="15">
        <f>IFERROR(VLOOKUP(TAB_SAIDA[[#This Row],[COD_2_SAIDA]],TAB_ESTOQUE[[Codigo]:[Referência Tec]],7,FALSE),"")</f>
        <v>0</v>
      </c>
      <c r="D1528" s="15" t="str">
        <f>VLOOKUP(TAB_SAIDA[[#This Row],[COD_2_SAIDA]],TAB_ESTOQUE[[Codigo]:[Endereço2]],12,FALSE)</f>
        <v>B2101</v>
      </c>
      <c r="E1528" s="15">
        <f>SUM(TAB_SAIDA[[#This Row],[20/05/2019]:[00/00/00]])</f>
        <v>0</v>
      </c>
      <c r="F1528" s="3"/>
      <c r="BH1528" s="3"/>
    </row>
    <row r="1529" spans="1:611" ht="15" hidden="1" customHeight="1" x14ac:dyDescent="0.25">
      <c r="A1529" s="5" t="s">
        <v>7751</v>
      </c>
      <c r="B1529" s="15" t="str">
        <f>VLOOKUP(TAB_SAIDA[[#This Row],[COD_2_SAIDA]],TAB_ESTOQUE[[Codigo]:[Descrição Tecnica]],6,FALSE)</f>
        <v>CABEÇA LEITORA CMS-R-EXM-SC (EUCHNER)</v>
      </c>
      <c r="C1529" s="15">
        <f>IFERROR(VLOOKUP(TAB_SAIDA[[#This Row],[COD_2_SAIDA]],TAB_ESTOQUE[[Codigo]:[Referência Tec]],7,FALSE),"")</f>
        <v>0</v>
      </c>
      <c r="D1529" s="15" t="str">
        <f>VLOOKUP(TAB_SAIDA[[#This Row],[COD_2_SAIDA]],TAB_ESTOQUE[[Codigo]:[Endereço2]],12,FALSE)</f>
        <v>A2206</v>
      </c>
      <c r="E1529" s="15">
        <f>SUM(TAB_SAIDA[[#This Row],[20/05/2019]:[00/00/00]])</f>
        <v>0</v>
      </c>
      <c r="F1529" s="3"/>
      <c r="BH1529" s="3"/>
    </row>
    <row r="1530" spans="1:611" ht="15" hidden="1" customHeight="1" x14ac:dyDescent="0.25">
      <c r="A1530" s="5" t="s">
        <v>7752</v>
      </c>
      <c r="B1530" s="15" t="str">
        <f>VLOOKUP(TAB_SAIDA[[#This Row],[COD_2_SAIDA]],TAB_ESTOQUE[[Codigo]:[Descrição Tecnica]],6,FALSE)</f>
        <v>ATUADOR MAGNETICO. CMS-M-EF (EUCHNER)</v>
      </c>
      <c r="C1530" s="15">
        <f>IFERROR(VLOOKUP(TAB_SAIDA[[#This Row],[COD_2_SAIDA]],TAB_ESTOQUE[[Codigo]:[Referência Tec]],7,FALSE),"")</f>
        <v>0</v>
      </c>
      <c r="D1530" s="15" t="str">
        <f>VLOOKUP(TAB_SAIDA[[#This Row],[COD_2_SAIDA]],TAB_ESTOQUE[[Codigo]:[Endereço2]],12,FALSE)</f>
        <v>A2206</v>
      </c>
      <c r="E1530" s="15">
        <f>SUM(TAB_SAIDA[[#This Row],[20/05/2019]:[00/00/00]])</f>
        <v>0</v>
      </c>
      <c r="F1530" s="3"/>
      <c r="BH1530" s="3"/>
    </row>
    <row r="1531" spans="1:611" ht="15" hidden="1" customHeight="1" x14ac:dyDescent="0.25">
      <c r="A1531" s="5" t="s">
        <v>7753</v>
      </c>
      <c r="B1531" s="15" t="str">
        <f>VLOOKUP(TAB_SAIDA[[#This Row],[COD_2_SAIDA]],TAB_ESTOQUE[[Codigo]:[Descrição Tecnica]],6,FALSE)</f>
        <v>CAIXA DE PLASTICO PARA BOTOEIRA 3 BOTÕES</v>
      </c>
      <c r="C1531" s="15">
        <f>IFERROR(VLOOKUP(TAB_SAIDA[[#This Row],[COD_2_SAIDA]],TAB_ESTOQUE[[Codigo]:[Referência Tec]],7,FALSE),"")</f>
        <v>0</v>
      </c>
      <c r="D1531" s="15" t="str">
        <f>VLOOKUP(TAB_SAIDA[[#This Row],[COD_2_SAIDA]],TAB_ESTOQUE[[Codigo]:[Endereço2]],12,FALSE)</f>
        <v>B1304</v>
      </c>
      <c r="E1531" s="15">
        <f>SUM(TAB_SAIDA[[#This Row],[20/05/2019]:[00/00/00]])</f>
        <v>0</v>
      </c>
      <c r="F1531" s="3"/>
      <c r="BH1531" s="3"/>
    </row>
    <row r="1532" spans="1:611" ht="15" hidden="1" customHeight="1" x14ac:dyDescent="0.25">
      <c r="A1532" s="5" t="s">
        <v>7754</v>
      </c>
      <c r="B1532" s="15" t="str">
        <f>VLOOKUP(TAB_SAIDA[[#This Row],[COD_2_SAIDA]],TAB_ESTOQUE[[Codigo]:[Descrição Tecnica]],6,FALSE)</f>
        <v>DESENGRAXANTE ALCALINO</v>
      </c>
      <c r="C1532" s="15">
        <f>IFERROR(VLOOKUP(TAB_SAIDA[[#This Row],[COD_2_SAIDA]],TAB_ESTOQUE[[Codigo]:[Referência Tec]],7,FALSE),"")</f>
        <v>0</v>
      </c>
      <c r="D1532" s="15" t="str">
        <f>VLOOKUP(TAB_SAIDA[[#This Row],[COD_2_SAIDA]],TAB_ESTOQUE[[Codigo]:[Endereço2]],12,FALSE)</f>
        <v>QUIMICO</v>
      </c>
      <c r="E1532" s="15">
        <f>SUM(TAB_SAIDA[[#This Row],[20/05/2019]:[00/00/00]])</f>
        <v>60</v>
      </c>
      <c r="F1532" s="3"/>
      <c r="BH1532" s="3"/>
      <c r="VA1532" s="3">
        <v>20</v>
      </c>
      <c r="VD1532" s="3">
        <v>20</v>
      </c>
      <c r="VH1532" s="3">
        <v>20</v>
      </c>
    </row>
    <row r="1533" spans="1:611" ht="15" hidden="1" customHeight="1" x14ac:dyDescent="0.25">
      <c r="A1533" s="5" t="s">
        <v>7755</v>
      </c>
      <c r="B1533" s="15" t="str">
        <f>VLOOKUP(TAB_SAIDA[[#This Row],[COD_2_SAIDA]],TAB_ESTOQUE[[Codigo]:[Descrição Tecnica]],6,FALSE)</f>
        <v>RESISTENCIA KDI 3.5KW 220V 380V</v>
      </c>
      <c r="C1533" s="15">
        <f>IFERROR(VLOOKUP(TAB_SAIDA[[#This Row],[COD_2_SAIDA]],TAB_ESTOQUE[[Codigo]:[Referência Tec]],7,FALSE),"")</f>
        <v>0</v>
      </c>
      <c r="D1533" s="15" t="str">
        <f>VLOOKUP(TAB_SAIDA[[#This Row],[COD_2_SAIDA]],TAB_ESTOQUE[[Codigo]:[Endereço2]],12,FALSE)</f>
        <v>A1206</v>
      </c>
      <c r="E1533" s="15">
        <f>SUM(TAB_SAIDA[[#This Row],[20/05/2019]:[00/00/00]])</f>
        <v>1</v>
      </c>
      <c r="F1533" s="3"/>
      <c r="BH1533" s="3"/>
      <c r="VX1533" s="3">
        <v>1</v>
      </c>
    </row>
    <row r="1534" spans="1:611" ht="15" hidden="1" customHeight="1" x14ac:dyDescent="0.25">
      <c r="A1534" s="5" t="s">
        <v>7756</v>
      </c>
      <c r="B1534" s="15" t="str">
        <f>VLOOKUP(TAB_SAIDA[[#This Row],[COD_2_SAIDA]],TAB_ESTOQUE[[Codigo]:[Descrição Tecnica]],6,FALSE)</f>
        <v>BARREIRA SICK C4P-SA18031A00</v>
      </c>
      <c r="C1534" s="15">
        <f>IFERROR(VLOOKUP(TAB_SAIDA[[#This Row],[COD_2_SAIDA]],TAB_ESTOQUE[[Codigo]:[Referência Tec]],7,FALSE),"")</f>
        <v>0</v>
      </c>
      <c r="D1534" s="15" t="str">
        <f>VLOOKUP(TAB_SAIDA[[#This Row],[COD_2_SAIDA]],TAB_ESTOQUE[[Codigo]:[Endereço2]],12,FALSE)</f>
        <v>B2201</v>
      </c>
      <c r="E1534" s="15">
        <f>SUM(TAB_SAIDA[[#This Row],[20/05/2019]:[00/00/00]])</f>
        <v>0</v>
      </c>
      <c r="F1534" s="3"/>
      <c r="BH1534" s="3"/>
    </row>
    <row r="1535" spans="1:611" ht="15" hidden="1" customHeight="1" x14ac:dyDescent="0.25">
      <c r="A1535" s="5" t="s">
        <v>7757</v>
      </c>
      <c r="B1535" s="15" t="str">
        <f>VLOOKUP(TAB_SAIDA[[#This Row],[COD_2_SAIDA]],TAB_ESTOQUE[[Codigo]:[Descrição Tecnica]],6,FALSE)</f>
        <v>BARREIRA SICK C4P-EA18031C00</v>
      </c>
      <c r="C1535" s="15">
        <f>IFERROR(VLOOKUP(TAB_SAIDA[[#This Row],[COD_2_SAIDA]],TAB_ESTOQUE[[Codigo]:[Referência Tec]],7,FALSE),"")</f>
        <v>0</v>
      </c>
      <c r="D1535" s="15" t="str">
        <f>VLOOKUP(TAB_SAIDA[[#This Row],[COD_2_SAIDA]],TAB_ESTOQUE[[Codigo]:[Endereço2]],12,FALSE)</f>
        <v>B2201</v>
      </c>
      <c r="E1535" s="15">
        <f>SUM(TAB_SAIDA[[#This Row],[20/05/2019]:[00/00/00]])</f>
        <v>0</v>
      </c>
      <c r="F1535" s="3"/>
      <c r="BH1535" s="3"/>
    </row>
    <row r="1536" spans="1:611" ht="15" hidden="1" customHeight="1" x14ac:dyDescent="0.25">
      <c r="A1536" s="5" t="s">
        <v>7758</v>
      </c>
      <c r="B1536" s="15" t="str">
        <f>VLOOKUP(TAB_SAIDA[[#This Row],[COD_2_SAIDA]],TAB_ESTOQUE[[Codigo]:[Descrição Tecnica]],6,FALSE)</f>
        <v>SUPORTE SICK BEF-1SHABS004</v>
      </c>
      <c r="C1536" s="15">
        <f>IFERROR(VLOOKUP(TAB_SAIDA[[#This Row],[COD_2_SAIDA]],TAB_ESTOQUE[[Codigo]:[Referência Tec]],7,FALSE),"")</f>
        <v>0</v>
      </c>
      <c r="D1536" s="15" t="str">
        <f>VLOOKUP(TAB_SAIDA[[#This Row],[COD_2_SAIDA]],TAB_ESTOQUE[[Codigo]:[Endereço2]],12,FALSE)</f>
        <v>B2202</v>
      </c>
      <c r="E1536" s="15">
        <f>SUM(TAB_SAIDA[[#This Row],[20/05/2019]:[00/00/00]])</f>
        <v>0</v>
      </c>
      <c r="F1536" s="3"/>
      <c r="BH1536" s="3"/>
    </row>
    <row r="1537" spans="1:627" ht="15" hidden="1" customHeight="1" x14ac:dyDescent="0.25">
      <c r="A1537" s="5" t="s">
        <v>7759</v>
      </c>
      <c r="B1537" s="15" t="str">
        <f>VLOOKUP(TAB_SAIDA[[#This Row],[COD_2_SAIDA]],TAB_ESTOQUE[[Codigo]:[Descrição Tecnica]],6,FALSE)</f>
        <v>SYSTEM PLUG SP1, M12-8 W/O</v>
      </c>
      <c r="C1537" s="15">
        <f>IFERROR(VLOOKUP(TAB_SAIDA[[#This Row],[COD_2_SAIDA]],TAB_ESTOQUE[[Codigo]:[Referência Tec]],7,FALSE),"")</f>
        <v>0</v>
      </c>
      <c r="D1537" s="15" t="str">
        <f>VLOOKUP(TAB_SAIDA[[#This Row],[COD_2_SAIDA]],TAB_ESTOQUE[[Codigo]:[Endereço2]],12,FALSE)</f>
        <v>B2202</v>
      </c>
      <c r="E1537" s="15">
        <f>SUM(TAB_SAIDA[[#This Row],[20/05/2019]:[00/00/00]])</f>
        <v>0</v>
      </c>
      <c r="F1537" s="3"/>
      <c r="BH1537" s="3"/>
    </row>
    <row r="1538" spans="1:627" ht="15" hidden="1" customHeight="1" x14ac:dyDescent="0.25">
      <c r="A1538" s="5" t="s">
        <v>7760</v>
      </c>
      <c r="B1538" s="15" t="str">
        <f>VLOOKUP(TAB_SAIDA[[#This Row],[COD_2_SAIDA]],TAB_ESTOQUE[[Codigo]:[Descrição Tecnica]],6,FALSE)</f>
        <v>MICRO FIM DE CURSO 5A 125 250V ~ 10T85 KW11-3Z</v>
      </c>
      <c r="C1538" s="15">
        <f>IFERROR(VLOOKUP(TAB_SAIDA[[#This Row],[COD_2_SAIDA]],TAB_ESTOQUE[[Codigo]:[Referência Tec]],7,FALSE),"")</f>
        <v>0</v>
      </c>
      <c r="D1538" s="15" t="str">
        <f>VLOOKUP(TAB_SAIDA[[#This Row],[COD_2_SAIDA]],TAB_ESTOQUE[[Codigo]:[Endereço2]],12,FALSE)</f>
        <v>B1202</v>
      </c>
      <c r="E1538" s="15">
        <f>SUM(TAB_SAIDA[[#This Row],[20/05/2019]:[00/00/00]])</f>
        <v>0</v>
      </c>
      <c r="F1538" s="3"/>
      <c r="BH1538" s="3"/>
    </row>
    <row r="1539" spans="1:627" ht="15" hidden="1" customHeight="1" x14ac:dyDescent="0.25">
      <c r="A1539" s="5" t="s">
        <v>7761</v>
      </c>
      <c r="B1539" s="15" t="str">
        <f>VLOOKUP(TAB_SAIDA[[#This Row],[COD_2_SAIDA]],TAB_ESTOQUE[[Codigo]:[Descrição Tecnica]],6,FALSE)</f>
        <v>UNIDADE DE SERVIÇO COMBINADA P/ TRATAMENTO DE AR  - REF. MSB6-1/2-FC7:J3M1  (FESTO)</v>
      </c>
      <c r="C1539" s="15">
        <f>IFERROR(VLOOKUP(TAB_SAIDA[[#This Row],[COD_2_SAIDA]],TAB_ESTOQUE[[Codigo]:[Referência Tec]],7,FALSE),"")</f>
        <v>0</v>
      </c>
      <c r="D1539" s="15" t="str">
        <f>VLOOKUP(TAB_SAIDA[[#This Row],[COD_2_SAIDA]],TAB_ESTOQUE[[Codigo]:[Endereço2]],12,FALSE)</f>
        <v>C2403</v>
      </c>
      <c r="E1539" s="15">
        <f>SUM(TAB_SAIDA[[#This Row],[20/05/2019]:[00/00/00]])</f>
        <v>0</v>
      </c>
      <c r="F1539" s="3"/>
      <c r="BH1539" s="3"/>
    </row>
    <row r="1540" spans="1:627" ht="15" hidden="1" customHeight="1" x14ac:dyDescent="0.25">
      <c r="A1540" s="5" t="s">
        <v>7762</v>
      </c>
      <c r="B1540" s="15" t="str">
        <f>VLOOKUP(TAB_SAIDA[[#This Row],[COD_2_SAIDA]],TAB_ESTOQUE[[Codigo]:[Descrição Tecnica]],6,FALSE)</f>
        <v>VALVULA DE RETENÇÃO 1/2" MODELO: KA6012 (WERK-SCHOTT)</v>
      </c>
      <c r="C1540" s="15">
        <f>IFERROR(VLOOKUP(TAB_SAIDA[[#This Row],[COD_2_SAIDA]],TAB_ESTOQUE[[Codigo]:[Referência Tec]],7,FALSE),"")</f>
        <v>0</v>
      </c>
      <c r="D1540" s="15" t="str">
        <f>VLOOKUP(TAB_SAIDA[[#This Row],[COD_2_SAIDA]],TAB_ESTOQUE[[Codigo]:[Endereço2]],12,FALSE)</f>
        <v>D1303</v>
      </c>
      <c r="E1540" s="15">
        <f>SUM(TAB_SAIDA[[#This Row],[20/05/2019]:[00/00/00]])</f>
        <v>0</v>
      </c>
      <c r="F1540" s="3"/>
      <c r="BH1540" s="3"/>
    </row>
    <row r="1541" spans="1:627" ht="15" hidden="1" customHeight="1" x14ac:dyDescent="0.25">
      <c r="A1541" s="5" t="s">
        <v>8050</v>
      </c>
      <c r="B1541" s="15" t="str">
        <f>VLOOKUP(TAB_SAIDA[[#This Row],[COD_2_SAIDA]],TAB_ESTOQUE[[Codigo]:[Descrição Tecnica]],6,FALSE)</f>
        <v xml:space="preserve">TIRANTE B-1000-2
</v>
      </c>
      <c r="C1541" s="15">
        <f>IFERROR(VLOOKUP(TAB_SAIDA[[#This Row],[COD_2_SAIDA]],TAB_ESTOQUE[[Codigo]:[Referência Tec]],7,FALSE),"")</f>
        <v>0</v>
      </c>
      <c r="D1541" s="15" t="str">
        <f>VLOOKUP(TAB_SAIDA[[#This Row],[COD_2_SAIDA]],TAB_ESTOQUE[[Codigo]:[Endereço2]],12,FALSE)</f>
        <v>D1102</v>
      </c>
      <c r="E1541" s="15">
        <f>SUM(TAB_SAIDA[[#This Row],[20/05/2019]:[00/00/00]])</f>
        <v>0</v>
      </c>
      <c r="F1541" s="3"/>
      <c r="BH1541" s="3"/>
    </row>
    <row r="1542" spans="1:627" ht="15" hidden="1" customHeight="1" x14ac:dyDescent="0.25">
      <c r="A1542" s="5" t="s">
        <v>8051</v>
      </c>
      <c r="B1542" s="15" t="str">
        <f>VLOOKUP(TAB_SAIDA[[#This Row],[COD_2_SAIDA]],TAB_ESTOQUE[[Codigo]:[Descrição Tecnica]],6,FALSE)</f>
        <v>PORCA PLASTICA DE PARADA DE 3/4" A-1000</v>
      </c>
      <c r="C1542" s="15">
        <f>IFERROR(VLOOKUP(TAB_SAIDA[[#This Row],[COD_2_SAIDA]],TAB_ESTOQUE[[Codigo]:[Referência Tec]],7,FALSE),"")</f>
        <v>0</v>
      </c>
      <c r="D1542" s="15" t="str">
        <f>VLOOKUP(TAB_SAIDA[[#This Row],[COD_2_SAIDA]],TAB_ESTOQUE[[Codigo]:[Endereço2]],12,FALSE)</f>
        <v>D1102</v>
      </c>
      <c r="E1542" s="15">
        <f>SUM(TAB_SAIDA[[#This Row],[20/05/2019]:[00/00/00]])</f>
        <v>0</v>
      </c>
      <c r="F1542" s="3"/>
      <c r="BH1542" s="3"/>
    </row>
    <row r="1543" spans="1:627" ht="15" hidden="1" customHeight="1" x14ac:dyDescent="0.25">
      <c r="A1543" s="5" t="s">
        <v>8052</v>
      </c>
      <c r="B1543" s="15" t="str">
        <f>VLOOKUP(TAB_SAIDA[[#This Row],[COD_2_SAIDA]],TAB_ESTOQUE[[Codigo]:[Descrição Tecnica]],6,FALSE)</f>
        <v>BOTÃO EMERGENCIA ABB DSQC679 3HAC028357-025  CE3T-10R-02</v>
      </c>
      <c r="C1543" s="15">
        <f>IFERROR(VLOOKUP(TAB_SAIDA[[#This Row],[COD_2_SAIDA]],TAB_ESTOQUE[[Codigo]:[Referência Tec]],7,FALSE),"")</f>
        <v>0</v>
      </c>
      <c r="D1543" s="15" t="str">
        <f>VLOOKUP(TAB_SAIDA[[#This Row],[COD_2_SAIDA]],TAB_ESTOQUE[[Codigo]:[Endereço2]],12,FALSE)</f>
        <v>B2102</v>
      </c>
      <c r="E1543" s="15">
        <f>SUM(TAB_SAIDA[[#This Row],[20/05/2019]:[00/00/00]])</f>
        <v>1</v>
      </c>
      <c r="F1543" s="3"/>
      <c r="BH1543" s="3"/>
      <c r="WG1543" s="3">
        <v>1</v>
      </c>
    </row>
    <row r="1544" spans="1:627" ht="15" hidden="1" customHeight="1" x14ac:dyDescent="0.25">
      <c r="A1544" s="5" t="s">
        <v>8053</v>
      </c>
      <c r="B1544" s="15" t="str">
        <f>VLOOKUP(TAB_SAIDA[[#This Row],[COD_2_SAIDA]],TAB_ESTOQUE[[Codigo]:[Descrição Tecnica]],6,FALSE)</f>
        <v>MEMBRANA KEYPAD FOR ABB ROBOT IRC5 FLEXPENDANT DSQC679 3HAC028357-02</v>
      </c>
      <c r="C1544" s="15">
        <f>IFERROR(VLOOKUP(TAB_SAIDA[[#This Row],[COD_2_SAIDA]],TAB_ESTOQUE[[Codigo]:[Referência Tec]],7,FALSE),"")</f>
        <v>0</v>
      </c>
      <c r="D1544" s="15" t="str">
        <f>VLOOKUP(TAB_SAIDA[[#This Row],[COD_2_SAIDA]],TAB_ESTOQUE[[Codigo]:[Endereço2]],12,FALSE)</f>
        <v>B2102</v>
      </c>
      <c r="E1544" s="15">
        <f>SUM(TAB_SAIDA[[#This Row],[20/05/2019]:[00/00/00]])</f>
        <v>2</v>
      </c>
      <c r="F1544" s="3"/>
      <c r="BH1544" s="3"/>
      <c r="WG1544" s="3">
        <v>2</v>
      </c>
    </row>
    <row r="1545" spans="1:627" ht="15" hidden="1" customHeight="1" x14ac:dyDescent="0.25">
      <c r="A1545" s="5" t="s">
        <v>8054</v>
      </c>
      <c r="B1545" s="15" t="str">
        <f>VLOOKUP(TAB_SAIDA[[#This Row],[COD_2_SAIDA]],TAB_ESTOQUE[[Codigo]:[Descrição Tecnica]],6,FALSE)</f>
        <v>GUIA LINEAR THOMSON REF: 411N30B0</v>
      </c>
      <c r="C1545" s="15">
        <f>IFERROR(VLOOKUP(TAB_SAIDA[[#This Row],[COD_2_SAIDA]],TAB_ESTOQUE[[Codigo]:[Referência Tec]],7,FALSE),"")</f>
        <v>0</v>
      </c>
      <c r="D1545" s="15" t="str">
        <f>VLOOKUP(TAB_SAIDA[[#This Row],[COD_2_SAIDA]],TAB_ESTOQUE[[Codigo]:[Endereço2]],12,FALSE)</f>
        <v>D1105</v>
      </c>
      <c r="E1545" s="15">
        <f>SUM(TAB_SAIDA[[#This Row],[20/05/2019]:[00/00/00]])</f>
        <v>0</v>
      </c>
      <c r="F1545" s="3"/>
      <c r="BH1545" s="3"/>
    </row>
    <row r="1546" spans="1:627" ht="15" hidden="1" customHeight="1" x14ac:dyDescent="0.25">
      <c r="A1546" s="5" t="s">
        <v>8055</v>
      </c>
      <c r="B1546" s="15" t="str">
        <f>VLOOKUP(TAB_SAIDA[[#This Row],[COD_2_SAIDA]],TAB_ESTOQUE[[Codigo]:[Descrição Tecnica]],6,FALSE)</f>
        <v>ROLAMENTO  LINEAR MNR: R165171420 (2º OPÇÃO)</v>
      </c>
      <c r="C1546" s="15">
        <f>IFERROR(VLOOKUP(TAB_SAIDA[[#This Row],[COD_2_SAIDA]],TAB_ESTOQUE[[Codigo]:[Referência Tec]],7,FALSE),"")</f>
        <v>0</v>
      </c>
      <c r="D1546" s="15" t="str">
        <f>VLOOKUP(TAB_SAIDA[[#This Row],[COD_2_SAIDA]],TAB_ESTOQUE[[Codigo]:[Endereço2]],12,FALSE)</f>
        <v>D1105</v>
      </c>
      <c r="E1546" s="15">
        <f>SUM(TAB_SAIDA[[#This Row],[20/05/2019]:[00/00/00]])</f>
        <v>0</v>
      </c>
      <c r="F1546" s="3"/>
      <c r="BH1546" s="3"/>
    </row>
    <row r="1547" spans="1:627" ht="15" hidden="1" customHeight="1" x14ac:dyDescent="0.25">
      <c r="A1547" s="5" t="s">
        <v>8056</v>
      </c>
      <c r="B1547" s="15" t="str">
        <f>VLOOKUP(TAB_SAIDA[[#This Row],[COD_2_SAIDA]],TAB_ESTOQUE[[Codigo]:[Descrição Tecnica]],6,FALSE)</f>
        <v>CORREIA DENTADA HTD 339-3M-10MM  (EIXO 5)</v>
      </c>
      <c r="C1547" s="15">
        <f>IFERROR(VLOOKUP(TAB_SAIDA[[#This Row],[COD_2_SAIDA]],TAB_ESTOQUE[[Codigo]:[Referência Tec]],7,FALSE),"")</f>
        <v>0</v>
      </c>
      <c r="D1547" s="15" t="str">
        <f>VLOOKUP(TAB_SAIDA[[#This Row],[COD_2_SAIDA]],TAB_ESTOQUE[[Codigo]:[Endereço2]],12,FALSE)</f>
        <v>B2203</v>
      </c>
      <c r="E1547" s="15">
        <f>SUM(TAB_SAIDA[[#This Row],[20/05/2019]:[00/00/00]])</f>
        <v>0</v>
      </c>
      <c r="F1547" s="3"/>
      <c r="BH1547" s="3"/>
    </row>
    <row r="1548" spans="1:627" ht="15" hidden="1" customHeight="1" x14ac:dyDescent="0.25">
      <c r="A1548" s="5" t="s">
        <v>8057</v>
      </c>
      <c r="B1548" s="15" t="str">
        <f>VLOOKUP(TAB_SAIDA[[#This Row],[COD_2_SAIDA]],TAB_ESTOQUE[[Codigo]:[Descrição Tecnica]],6,FALSE)</f>
        <v>CORREIA DENTADA HTD SH 20 106 10MM  (EIXO6)</v>
      </c>
      <c r="C1548" s="15">
        <f>IFERROR(VLOOKUP(TAB_SAIDA[[#This Row],[COD_2_SAIDA]],TAB_ESTOQUE[[Codigo]:[Referência Tec]],7,FALSE),"")</f>
        <v>0</v>
      </c>
      <c r="D1548" s="15" t="str">
        <f>VLOOKUP(TAB_SAIDA[[#This Row],[COD_2_SAIDA]],TAB_ESTOQUE[[Codigo]:[Endereço2]],12,FALSE)</f>
        <v>B2203</v>
      </c>
      <c r="E1548" s="15">
        <f>SUM(TAB_SAIDA[[#This Row],[20/05/2019]:[00/00/00]])</f>
        <v>0</v>
      </c>
      <c r="F1548" s="3"/>
      <c r="BH1548" s="3"/>
    </row>
    <row r="1549" spans="1:627" ht="15" hidden="1" customHeight="1" x14ac:dyDescent="0.25">
      <c r="A1549" s="5" t="s">
        <v>8058</v>
      </c>
      <c r="B1549" s="15" t="str">
        <f>VLOOKUP(TAB_SAIDA[[#This Row],[COD_2_SAIDA]],TAB_ESTOQUE[[Codigo]:[Descrição Tecnica]],6,FALSE)</f>
        <v>VALVULA DUPLO PILOTO BDM 30 COD:1011.52.1.8</v>
      </c>
      <c r="C1549" s="15">
        <f>IFERROR(VLOOKUP(TAB_SAIDA[[#This Row],[COD_2_SAIDA]],TAB_ESTOQUE[[Codigo]:[Referência Tec]],7,FALSE),"")</f>
        <v>0</v>
      </c>
      <c r="D1549" s="15" t="str">
        <f>VLOOKUP(TAB_SAIDA[[#This Row],[COD_2_SAIDA]],TAB_ESTOQUE[[Codigo]:[Endereço2]],12,FALSE)</f>
        <v>E2302</v>
      </c>
      <c r="E1549" s="227">
        <f>SUM(TAB_SAIDA[[#This Row],[20/05/2019]:[00/00/00]])</f>
        <v>2</v>
      </c>
      <c r="F1549" s="3"/>
      <c r="BH1549" s="3"/>
      <c r="WW1549" s="3">
        <v>1</v>
      </c>
      <c r="XC1549" s="3">
        <v>1</v>
      </c>
    </row>
    <row r="1550" spans="1:627" ht="15" hidden="1" customHeight="1" x14ac:dyDescent="0.25">
      <c r="A1550" s="5" t="s">
        <v>8059</v>
      </c>
      <c r="B1550" s="15" t="str">
        <f>VLOOKUP(TAB_SAIDA[[#This Row],[COD_2_SAIDA]],TAB_ESTOQUE[[Codigo]:[Descrição Tecnica]],6,FALSE)</f>
        <v xml:space="preserve">CONJUNTO DIAFRAGMA POS.14/15  BDM 160 P/ TRANSFERÊNCIA 1/2" </v>
      </c>
      <c r="C1550" s="15">
        <f>IFERROR(VLOOKUP(TAB_SAIDA[[#This Row],[COD_2_SAIDA]],TAB_ESTOQUE[[Codigo]:[Referência Tec]],7,FALSE),"")</f>
        <v>0</v>
      </c>
      <c r="D1550" s="15" t="str">
        <f>VLOOKUP(TAB_SAIDA[[#This Row],[COD_2_SAIDA]],TAB_ESTOQUE[[Codigo]:[Endereço2]],12,FALSE)</f>
        <v>E2302</v>
      </c>
      <c r="E1550" s="15">
        <f>SUM(TAB_SAIDA[[#This Row],[20/05/2019]:[00/00/00]])</f>
        <v>3</v>
      </c>
      <c r="F1550" s="3"/>
      <c r="BH1550" s="3"/>
      <c r="WV1550" s="3">
        <v>1</v>
      </c>
      <c r="XB1550" s="3">
        <v>2</v>
      </c>
    </row>
    <row r="1551" spans="1:627" ht="15" hidden="1" customHeight="1" x14ac:dyDescent="0.25">
      <c r="A1551" s="5" t="s">
        <v>8095</v>
      </c>
      <c r="B1551" s="15" t="str">
        <f>VLOOKUP(TAB_SAIDA[[#This Row],[COD_2_SAIDA]],TAB_ESTOQUE[[Codigo]:[Descrição Tecnica]],6,FALSE)</f>
        <v>MOLA COMPRESSAO - A-1606</v>
      </c>
      <c r="C1551" s="15">
        <f>IFERROR(VLOOKUP(TAB_SAIDA[[#This Row],[COD_2_SAIDA]],TAB_ESTOQUE[[Codigo]:[Referência Tec]],7,FALSE),"")</f>
        <v>0</v>
      </c>
      <c r="D1551" s="15" t="str">
        <f>VLOOKUP(TAB_SAIDA[[#This Row],[COD_2_SAIDA]],TAB_ESTOQUE[[Codigo]:[Endereço2]],12,FALSE)</f>
        <v xml:space="preserve">ARMARIO </v>
      </c>
      <c r="E1551" s="15">
        <f>SUM(TAB_SAIDA[[#This Row],[20/05/2019]:[00/00/00]])</f>
        <v>0</v>
      </c>
      <c r="F1551" s="3"/>
      <c r="BH1551" s="3"/>
    </row>
    <row r="1552" spans="1:627" ht="15" hidden="1" customHeight="1" x14ac:dyDescent="0.25">
      <c r="A1552" s="5" t="s">
        <v>8098</v>
      </c>
      <c r="B1552" s="15" t="str">
        <f>VLOOKUP(TAB_SAIDA[[#This Row],[COD_2_SAIDA]],TAB_ESTOQUE[[Codigo]:[Descrição Tecnica]],6,FALSE)</f>
        <v>GATILHO DE SAIDA - 5917-1 OUTLET POPPET TL-001016-1</v>
      </c>
      <c r="C1552" s="15">
        <f>IFERROR(VLOOKUP(TAB_SAIDA[[#This Row],[COD_2_SAIDA]],TAB_ESTOQUE[[Codigo]:[Referência Tec]],7,FALSE),"")</f>
        <v>0</v>
      </c>
      <c r="D1552" s="15" t="str">
        <f>VLOOKUP(TAB_SAIDA[[#This Row],[COD_2_SAIDA]],TAB_ESTOQUE[[Codigo]:[Endereço2]],12,FALSE)</f>
        <v xml:space="preserve">ARMARIO </v>
      </c>
      <c r="E1552" s="15">
        <f>SUM(TAB_SAIDA[[#This Row],[20/05/2019]:[00/00/00]])</f>
        <v>0</v>
      </c>
      <c r="F1552" s="3"/>
      <c r="BH1552" s="3"/>
    </row>
    <row r="1553" spans="1:630" ht="15" hidden="1" customHeight="1" x14ac:dyDescent="0.25">
      <c r="A1553" s="5" t="s">
        <v>8107</v>
      </c>
      <c r="B1553" s="15" t="str">
        <f>VLOOKUP(TAB_SAIDA[[#This Row],[COD_2_SAIDA]],TAB_ESTOQUE[[Codigo]:[Descrição Tecnica]],6,FALSE)</f>
        <v>ENCAIXE – INSERTO DO INTENSIFICADOR  004382-1 COUNTRYOF ORIGIN</v>
      </c>
      <c r="C1553" s="15">
        <f>IFERROR(VLOOKUP(TAB_SAIDA[[#This Row],[COD_2_SAIDA]],TAB_ESTOQUE[[Codigo]:[Referência Tec]],7,FALSE),"")</f>
        <v>0</v>
      </c>
      <c r="D1553" s="15" t="str">
        <f>VLOOKUP(TAB_SAIDA[[#This Row],[COD_2_SAIDA]],TAB_ESTOQUE[[Codigo]:[Endereço2]],12,FALSE)</f>
        <v xml:space="preserve">ARMARIO </v>
      </c>
      <c r="E1553" s="15">
        <f>SUM(TAB_SAIDA[[#This Row],[20/05/2019]:[00/00/00]])</f>
        <v>0</v>
      </c>
      <c r="F1553" s="3"/>
      <c r="BH1553" s="3"/>
    </row>
    <row r="1554" spans="1:630" ht="15" hidden="1" customHeight="1" x14ac:dyDescent="0.25">
      <c r="A1554" s="5" t="s">
        <v>8113</v>
      </c>
      <c r="B1554" s="15" t="str">
        <f>VLOOKUP(TAB_SAIDA[[#This Row],[COD_2_SAIDA]],TAB_ESTOQUE[[Codigo]:[Descrição Tecnica]],6,FALSE)</f>
        <v>VALVULA SOLENOIDE 5/2 VIAS COM BOBINA 24VDC</v>
      </c>
      <c r="C1554" s="15">
        <f>IFERROR(VLOOKUP(TAB_SAIDA[[#This Row],[COD_2_SAIDA]],TAB_ESTOQUE[[Codigo]:[Referência Tec]],7,FALSE),"")</f>
        <v>0</v>
      </c>
      <c r="D1554" s="15" t="str">
        <f>VLOOKUP(TAB_SAIDA[[#This Row],[COD_2_SAIDA]],TAB_ESTOQUE[[Codigo]:[Endereço2]],12,FALSE)</f>
        <v>C1104</v>
      </c>
      <c r="E1554" s="15">
        <f>SUM(TAB_SAIDA[[#This Row],[20/05/2019]:[00/00/00]])</f>
        <v>0</v>
      </c>
      <c r="F1554" s="3"/>
      <c r="BH1554" s="3"/>
    </row>
    <row r="1555" spans="1:630" ht="15" hidden="1" customHeight="1" x14ac:dyDescent="0.25">
      <c r="A1555" s="5" t="s">
        <v>8124</v>
      </c>
      <c r="B1555" s="15" t="str">
        <f>VLOOKUP(TAB_SAIDA[[#This Row],[COD_2_SAIDA]],TAB_ESTOQUE[[Codigo]:[Descrição Tecnica]],6,FALSE)</f>
        <v>GARRA MACIA TIPO VENTOSA COM ARMACAO DE AÇO REMOVIVEL F153 COM CONEXÃO FEMEAO PVC E FILTRO DE TELA PAA PROTEÇÃO REF&gt; PRCT153 1/2 PIAB B75</v>
      </c>
      <c r="C1555" s="15">
        <f>IFERROR(VLOOKUP(TAB_SAIDA[[#This Row],[COD_2_SAIDA]],TAB_ESTOQUE[[Codigo]:[Referência Tec]],7,FALSE),"")</f>
        <v>0</v>
      </c>
      <c r="D1555" s="15" t="str">
        <f>VLOOKUP(TAB_SAIDA[[#This Row],[COD_2_SAIDA]],TAB_ESTOQUE[[Codigo]:[Endereço2]],12,FALSE)</f>
        <v>C1102</v>
      </c>
      <c r="E1555" s="15">
        <f>SUM(TAB_SAIDA[[#This Row],[20/05/2019]:[00/00/00]])</f>
        <v>0</v>
      </c>
      <c r="F1555" s="3"/>
      <c r="BH1555" s="3"/>
    </row>
    <row r="1556" spans="1:630" ht="15" hidden="1" customHeight="1" x14ac:dyDescent="0.25">
      <c r="A1556" s="5" t="s">
        <v>8148</v>
      </c>
      <c r="B1556" s="15" t="str">
        <f>VLOOKUP(TAB_SAIDA[[#This Row],[COD_2_SAIDA]],TAB_ESTOQUE[[Codigo]:[Descrição Tecnica]],6,FALSE)</f>
        <v>VALVULA THERMOSTATIC VALVE AVTA 15 Size: G 1/2  Range:+ 25/+65°C Max. Water press.: + 16bar  Cap.tube: 2m Max. Sensor temp: 90°C</v>
      </c>
      <c r="C1556" s="15">
        <f>IFERROR(VLOOKUP(TAB_SAIDA[[#This Row],[COD_2_SAIDA]],TAB_ESTOQUE[[Codigo]:[Referência Tec]],7,FALSE),"")</f>
        <v>0</v>
      </c>
      <c r="D1556" s="15" t="str">
        <f>VLOOKUP(TAB_SAIDA[[#This Row],[COD_2_SAIDA]],TAB_ESTOQUE[[Codigo]:[Endereço2]],12,FALSE)</f>
        <v>B2203</v>
      </c>
      <c r="E1556" s="15">
        <f>SUM(TAB_SAIDA[[#This Row],[20/05/2019]:[00/00/00]])</f>
        <v>0</v>
      </c>
      <c r="F1556" s="3"/>
      <c r="BH1556" s="3"/>
    </row>
    <row r="1557" spans="1:630" ht="15" hidden="1" customHeight="1" x14ac:dyDescent="0.25">
      <c r="A1557" s="5" t="s">
        <v>8160</v>
      </c>
      <c r="B1557" s="15" t="str">
        <f>VLOOKUP(TAB_SAIDA[[#This Row],[COD_2_SAIDA]],TAB_ESTOQUE[[Codigo]:[Descrição Tecnica]],6,FALSE)</f>
        <v>TROCADOR DE CALOR DE PLACAS - HYDAC - HEX 5610 1 - NCM 8419.50.10</v>
      </c>
      <c r="C1557" s="15">
        <f>IFERROR(VLOOKUP(TAB_SAIDA[[#This Row],[COD_2_SAIDA]],TAB_ESTOQUE[[Codigo]:[Referência Tec]],7,FALSE),"")</f>
        <v>0</v>
      </c>
      <c r="D1557" s="15" t="str">
        <f>VLOOKUP(TAB_SAIDA[[#This Row],[COD_2_SAIDA]],TAB_ESTOQUE[[Codigo]:[Endereço2]],12,FALSE)</f>
        <v>D1103</v>
      </c>
      <c r="E1557" s="15">
        <f>SUM(TAB_SAIDA[[#This Row],[20/05/2019]:[00/00/00]])</f>
        <v>0</v>
      </c>
      <c r="F1557" s="3"/>
      <c r="BH1557" s="3"/>
    </row>
    <row r="1558" spans="1:630" ht="15" hidden="1" customHeight="1" x14ac:dyDescent="0.25">
      <c r="A1558" s="5" t="s">
        <v>8161</v>
      </c>
      <c r="B1558" s="15" t="str">
        <f>VLOOKUP(TAB_SAIDA[[#This Row],[COD_2_SAIDA]],TAB_ESTOQUE[[Codigo]:[Descrição Tecnica]],6,FALSE)</f>
        <v>CONJUNTO DE VALVULA HIDRAULICA DKZOR-AE-171-L5 10 ATOS  E-RI-AE-05F 10</v>
      </c>
      <c r="C1558" s="15">
        <f>IFERROR(VLOOKUP(TAB_SAIDA[[#This Row],[COD_2_SAIDA]],TAB_ESTOQUE[[Codigo]:[Referência Tec]],7,FALSE),"")</f>
        <v>0</v>
      </c>
      <c r="D1558" s="15" t="str">
        <f>VLOOKUP(TAB_SAIDA[[#This Row],[COD_2_SAIDA]],TAB_ESTOQUE[[Codigo]:[Endereço2]],12,FALSE)</f>
        <v>C2202</v>
      </c>
      <c r="E1558" s="15">
        <f>SUM(TAB_SAIDA[[#This Row],[20/05/2019]:[00/00/00]])</f>
        <v>0</v>
      </c>
      <c r="F1558" s="3"/>
      <c r="BH1558" s="3"/>
    </row>
    <row r="1559" spans="1:630" ht="15" hidden="1" customHeight="1" x14ac:dyDescent="0.25">
      <c r="A1559" s="5" t="s">
        <v>8169</v>
      </c>
      <c r="B1559" s="15" t="str">
        <f>VLOOKUP(TAB_SAIDA[[#This Row],[COD_2_SAIDA]],TAB_ESTOQUE[[Codigo]:[Descrição Tecnica]],6,FALSE)</f>
        <v>ANTIVIBRATÓRIO COXIM 3/8</v>
      </c>
      <c r="C1559" s="15">
        <f>IFERROR(VLOOKUP(TAB_SAIDA[[#This Row],[COD_2_SAIDA]],TAB_ESTOQUE[[Codigo]:[Referência Tec]],7,FALSE),"")</f>
        <v>0</v>
      </c>
      <c r="D1559" s="15" t="str">
        <f>VLOOKUP(TAB_SAIDA[[#This Row],[COD_2_SAIDA]],TAB_ESTOQUE[[Codigo]:[Endereço2]],12,FALSE)</f>
        <v>D2302</v>
      </c>
      <c r="E1559" s="15">
        <f>SUM(TAB_SAIDA[[#This Row],[20/05/2019]:[00/00/00]])</f>
        <v>3</v>
      </c>
      <c r="F1559" s="3"/>
      <c r="BH1559" s="3"/>
      <c r="XD1559" s="3">
        <v>3</v>
      </c>
    </row>
    <row r="1560" spans="1:630" ht="15" customHeight="1" x14ac:dyDescent="0.25">
      <c r="A1560" s="5" t="s">
        <v>8170</v>
      </c>
      <c r="B1560" s="15" t="str">
        <f>VLOOKUP(TAB_SAIDA[[#This Row],[COD_2_SAIDA]],TAB_ESTOQUE[[Codigo]:[Descrição Tecnica]],6,FALSE)</f>
        <v>PISTOLA AUTOMATICA AIR PRO 1.4 GRACO PART NO. 24A749  SERIES B22A</v>
      </c>
      <c r="C1560" s="15">
        <f>IFERROR(VLOOKUP(TAB_SAIDA[[#This Row],[COD_2_SAIDA]],TAB_ESTOQUE[[Codigo]:[Referência Tec]],7,FALSE),"")</f>
        <v>0</v>
      </c>
      <c r="D1560" s="15" t="str">
        <f>VLOOKUP(TAB_SAIDA[[#This Row],[COD_2_SAIDA]],TAB_ESTOQUE[[Codigo]:[Endereço2]],12,FALSE)</f>
        <v>E2303</v>
      </c>
      <c r="E1560" s="15">
        <f>SUM(TAB_SAIDA[[#This Row],[20/05/2019]:[00/00/00]])</f>
        <v>2</v>
      </c>
      <c r="F1560" s="3"/>
      <c r="BH1560" s="3"/>
      <c r="XF1560" s="3">
        <v>2</v>
      </c>
    </row>
    <row r="1561" spans="1:630" ht="15" hidden="1" customHeight="1" x14ac:dyDescent="0.25">
      <c r="A1561" s="5" t="s">
        <v>8171</v>
      </c>
      <c r="B1561" s="15" t="str">
        <f>VLOOKUP(TAB_SAIDA[[#This Row],[COD_2_SAIDA]],TAB_ESTOQUE[[Codigo]:[Descrição Tecnica]],6,FALSE)</f>
        <v>KIT VED.P/CIL. REPARO ESPECIAL-VITON OC:3479 COD- 22 EXACTCONTROL</v>
      </c>
      <c r="C1561" s="15">
        <f>IFERROR(VLOOKUP(TAB_SAIDA[[#This Row],[COD_2_SAIDA]],TAB_ESTOQUE[[Codigo]:[Referência Tec]],7,FALSE),"")</f>
        <v>0</v>
      </c>
      <c r="D1561" s="15" t="str">
        <f>VLOOKUP(TAB_SAIDA[[#This Row],[COD_2_SAIDA]],TAB_ESTOQUE[[Codigo]:[Endereço2]],12,FALSE)</f>
        <v>D1204</v>
      </c>
      <c r="E1561" s="15">
        <f>SUM(TAB_SAIDA[[#This Row],[20/05/2019]:[00/00/00]])</f>
        <v>0</v>
      </c>
      <c r="F1561" s="3"/>
      <c r="BH1561" s="3"/>
    </row>
    <row r="1562" spans="1:630" ht="15" hidden="1" customHeight="1" x14ac:dyDescent="0.25">
      <c r="A1562" s="5" t="s">
        <v>8179</v>
      </c>
      <c r="B1562" s="15" t="str">
        <f>VLOOKUP(TAB_SAIDA[[#This Row],[COD_2_SAIDA]],TAB_ESTOQUE[[Codigo]:[Descrição Tecnica]],6,FALSE)</f>
        <v>KIT COMPLET, ESFERA, ASSENTO, DIAFRAGMA TEFLON BOMBA HUSKY 515/716 3/4 E 1/2-2061</v>
      </c>
      <c r="C1562" s="15">
        <f>IFERROR(VLOOKUP(TAB_SAIDA[[#This Row],[COD_2_SAIDA]],TAB_ESTOQUE[[Codigo]:[Referência Tec]],7,FALSE),"")</f>
        <v>0</v>
      </c>
      <c r="D1562" s="15" t="str">
        <f>VLOOKUP(TAB_SAIDA[[#This Row],[COD_2_SAIDA]],TAB_ESTOQUE[[Codigo]:[Endereço2]],12,FALSE)</f>
        <v>D1204</v>
      </c>
      <c r="E1562" s="15">
        <f>SUM(TAB_SAIDA[[#This Row],[20/05/2019]:[00/00/00]])</f>
        <v>0</v>
      </c>
      <c r="F1562" s="3"/>
      <c r="BH1562" s="3"/>
    </row>
    <row r="1563" spans="1:630" ht="15" hidden="1" customHeight="1" x14ac:dyDescent="0.25">
      <c r="A1563" s="5" t="s">
        <v>8180</v>
      </c>
      <c r="B1563" s="15" t="str">
        <f>VLOOKUP(TAB_SAIDA[[#This Row],[COD_2_SAIDA]],TAB_ESTOQUE[[Codigo]:[Descrição Tecnica]],6,FALSE)</f>
        <v>Mang 1/4 5800 psi c/ term dko + adaptador c/ 1000 + manta de fibra de vidro e silicone - NCM 4009.22.10 Conexão DKO 12s M20 X 1,5</v>
      </c>
      <c r="C1563" s="15">
        <f>IFERROR(VLOOKUP(TAB_SAIDA[[#This Row],[COD_2_SAIDA]],TAB_ESTOQUE[[Codigo]:[Referência Tec]],7,FALSE),"")</f>
        <v>0</v>
      </c>
      <c r="D1563" s="15" t="str">
        <f>VLOOKUP(TAB_SAIDA[[#This Row],[COD_2_SAIDA]],TAB_ESTOQUE[[Codigo]:[Endereço2]],12,FALSE)</f>
        <v>SUPORTE</v>
      </c>
      <c r="E1563" s="15">
        <f>SUM(TAB_SAIDA[[#This Row],[20/05/2019]:[00/00/00]])</f>
        <v>0</v>
      </c>
      <c r="F1563" s="3"/>
      <c r="BH1563" s="3"/>
    </row>
    <row r="1564" spans="1:630" ht="15" hidden="1" customHeight="1" x14ac:dyDescent="0.25">
      <c r="A1564" s="5" t="s">
        <v>8181</v>
      </c>
      <c r="B1564" s="15" t="str">
        <f>VLOOKUP(TAB_SAIDA[[#This Row],[COD_2_SAIDA]],TAB_ESTOQUE[[Codigo]:[Descrição Tecnica]],6,FALSE)</f>
        <v>CARCAÇA BIG BLUE VAZÃO ATE 3.000 LITROS/HORA DIMENSÕES EXTERNA DA CARCAÇA: ALTURA 300mm, LARGURA 110mm ENTRADA E SAIDA 3/4"</v>
      </c>
      <c r="C1564" s="15">
        <f>IFERROR(VLOOKUP(TAB_SAIDA[[#This Row],[COD_2_SAIDA]],TAB_ESTOQUE[[Codigo]:[Referência Tec]],7,FALSE),"")</f>
        <v>0</v>
      </c>
      <c r="D1564" s="15" t="str">
        <f>VLOOKUP(TAB_SAIDA[[#This Row],[COD_2_SAIDA]],TAB_ESTOQUE[[Codigo]:[Endereço2]],12,FALSE)</f>
        <v>C1401</v>
      </c>
      <c r="E1564" s="15">
        <f>SUM(TAB_SAIDA[[#This Row],[20/05/2019]:[00/00/00]])</f>
        <v>0</v>
      </c>
      <c r="F1564" s="3"/>
      <c r="BH1564" s="3"/>
    </row>
    <row r="1565" spans="1:630" ht="15" hidden="1" customHeight="1" x14ac:dyDescent="0.25">
      <c r="A1565" s="5" t="s">
        <v>8182</v>
      </c>
      <c r="B1565" s="15" t="str">
        <f>VLOOKUP(TAB_SAIDA[[#This Row],[COD_2_SAIDA]],TAB_ESTOQUE[[Codigo]:[Descrição Tecnica]],6,FALSE)</f>
        <v>Abraçadeira de Nylon Branco View Tech 4,8 x 380mm 1</v>
      </c>
      <c r="C1565" s="15">
        <f>IFERROR(VLOOKUP(TAB_SAIDA[[#This Row],[COD_2_SAIDA]],TAB_ESTOQUE[[Codigo]:[Referência Tec]],7,FALSE),"")</f>
        <v>0</v>
      </c>
      <c r="D1565" s="15" t="str">
        <f>VLOOKUP(TAB_SAIDA[[#This Row],[COD_2_SAIDA]],TAB_ESTOQUE[[Codigo]:[Endereço2]],12,FALSE)</f>
        <v xml:space="preserve">ARMARIO </v>
      </c>
      <c r="E1565" s="15">
        <f>SUM(TAB_SAIDA[[#This Row],[20/05/2019]:[00/00/00]])</f>
        <v>18</v>
      </c>
      <c r="F1565" s="3"/>
      <c r="BH1565" s="3"/>
      <c r="XE1565" s="3">
        <v>10</v>
      </c>
      <c r="XF1565" s="3">
        <v>8</v>
      </c>
    </row>
    <row r="1566" spans="1:630" ht="15" hidden="1" customHeight="1" x14ac:dyDescent="0.25">
      <c r="A1566" s="5" t="s">
        <v>8209</v>
      </c>
      <c r="B1566" s="15" t="str">
        <f>VLOOKUP(TAB_SAIDA[[#This Row],[COD_2_SAIDA]],TAB_ESTOQUE[[Codigo]:[Descrição Tecnica]],6,FALSE)</f>
        <v xml:space="preserve">Abraçadeira Nylon 200 Mm X 2,5 Preta Thompson </v>
      </c>
      <c r="C1566" s="15">
        <f>IFERROR(VLOOKUP(TAB_SAIDA[[#This Row],[COD_2_SAIDA]],TAB_ESTOQUE[[Codigo]:[Referência Tec]],7,FALSE),"")</f>
        <v>0</v>
      </c>
      <c r="D1566" s="15" t="str">
        <f>VLOOKUP(TAB_SAIDA[[#This Row],[COD_2_SAIDA]],TAB_ESTOQUE[[Codigo]:[Endereço2]],12,FALSE)</f>
        <v xml:space="preserve">ARMARIO </v>
      </c>
      <c r="E1566" s="15">
        <f>SUM(TAB_SAIDA[[#This Row],[20/05/2019]:[00/00/00]])</f>
        <v>0</v>
      </c>
      <c r="F1566" s="3"/>
      <c r="BH1566" s="3"/>
    </row>
    <row r="1567" spans="1:630" ht="15" hidden="1" customHeight="1" x14ac:dyDescent="0.25">
      <c r="A1567" s="5" t="s">
        <v>8225</v>
      </c>
      <c r="B1567" s="15">
        <f>VLOOKUP(TAB_SAIDA[[#This Row],[COD_2_SAIDA]],TAB_ESTOQUE[[Codigo]:[Descrição Tecnica]],6,FALSE)</f>
        <v>0</v>
      </c>
      <c r="C1567" s="15">
        <f>IFERROR(VLOOKUP(TAB_SAIDA[[#This Row],[COD_2_SAIDA]],TAB_ESTOQUE[[Codigo]:[Referência Tec]],7,FALSE),"")</f>
        <v>0</v>
      </c>
      <c r="D1567" s="15">
        <f>VLOOKUP(TAB_SAIDA[[#This Row],[COD_2_SAIDA]],TAB_ESTOQUE[[Codigo]:[Endereço2]],12,FALSE)</f>
        <v>0</v>
      </c>
      <c r="E1567" s="15">
        <f>SUM(TAB_SAIDA[[#This Row],[20/05/2019]:[00/00/00]])</f>
        <v>0</v>
      </c>
      <c r="F1567" s="3"/>
      <c r="BH1567" s="3"/>
    </row>
    <row r="1568" spans="1:630" ht="15" hidden="1" customHeight="1" x14ac:dyDescent="0.25">
      <c r="A1568" s="5" t="s">
        <v>8229</v>
      </c>
      <c r="B1568" s="15">
        <f>VLOOKUP(TAB_SAIDA[[#This Row],[COD_2_SAIDA]],TAB_ESTOQUE[[Codigo]:[Descrição Tecnica]],6,FALSE)</f>
        <v>0</v>
      </c>
      <c r="C1568" s="15">
        <f>IFERROR(VLOOKUP(TAB_SAIDA[[#This Row],[COD_2_SAIDA]],TAB_ESTOQUE[[Codigo]:[Referência Tec]],7,FALSE),"")</f>
        <v>0</v>
      </c>
      <c r="D1568" s="15">
        <f>VLOOKUP(TAB_SAIDA[[#This Row],[COD_2_SAIDA]],TAB_ESTOQUE[[Codigo]:[Endereço2]],12,FALSE)</f>
        <v>0</v>
      </c>
      <c r="E1568" s="15">
        <f>SUM(TAB_SAIDA[[#This Row],[20/05/2019]:[00/00/00]])</f>
        <v>0</v>
      </c>
      <c r="F1568" s="3"/>
      <c r="BH1568" s="3"/>
    </row>
    <row r="1569" spans="1:60" ht="15" hidden="1" customHeight="1" x14ac:dyDescent="0.25">
      <c r="A1569" s="5" t="s">
        <v>8270</v>
      </c>
      <c r="B1569" s="15">
        <f>VLOOKUP(TAB_SAIDA[[#This Row],[COD_2_SAIDA]],TAB_ESTOQUE[[Codigo]:[Descrição Tecnica]],6,FALSE)</f>
        <v>0</v>
      </c>
      <c r="C1569" s="15">
        <f>IFERROR(VLOOKUP(TAB_SAIDA[[#This Row],[COD_2_SAIDA]],TAB_ESTOQUE[[Codigo]:[Referência Tec]],7,FALSE),"")</f>
        <v>0</v>
      </c>
      <c r="D1569" s="15">
        <f>VLOOKUP(TAB_SAIDA[[#This Row],[COD_2_SAIDA]],TAB_ESTOQUE[[Codigo]:[Endereço2]],12,FALSE)</f>
        <v>0</v>
      </c>
      <c r="E1569" s="15">
        <f>SUM(TAB_SAIDA[[#This Row],[20/05/2019]:[00/00/00]])</f>
        <v>0</v>
      </c>
      <c r="F1569" s="3"/>
      <c r="BH1569" s="3"/>
    </row>
    <row r="1570" spans="1:60" ht="15" hidden="1" customHeight="1" x14ac:dyDescent="0.25">
      <c r="A1570" s="5" t="s">
        <v>8271</v>
      </c>
      <c r="B1570" s="15">
        <f>VLOOKUP(TAB_SAIDA[[#This Row],[COD_2_SAIDA]],TAB_ESTOQUE[[Codigo]:[Descrição Tecnica]],6,FALSE)</f>
        <v>0</v>
      </c>
      <c r="C1570" s="15">
        <f>IFERROR(VLOOKUP(TAB_SAIDA[[#This Row],[COD_2_SAIDA]],TAB_ESTOQUE[[Codigo]:[Referência Tec]],7,FALSE),"")</f>
        <v>0</v>
      </c>
      <c r="D1570" s="15">
        <f>VLOOKUP(TAB_SAIDA[[#This Row],[COD_2_SAIDA]],TAB_ESTOQUE[[Codigo]:[Endereço2]],12,FALSE)</f>
        <v>0</v>
      </c>
      <c r="E1570" s="15">
        <f>SUM(TAB_SAIDA[[#This Row],[20/05/2019]:[00/00/00]])</f>
        <v>0</v>
      </c>
      <c r="F1570" s="3"/>
      <c r="BH1570" s="3"/>
    </row>
    <row r="1571" spans="1:60" ht="15" hidden="1" customHeight="1" x14ac:dyDescent="0.25">
      <c r="A1571" s="5" t="s">
        <v>8272</v>
      </c>
      <c r="B1571" s="15">
        <f>VLOOKUP(TAB_SAIDA[[#This Row],[COD_2_SAIDA]],TAB_ESTOQUE[[Codigo]:[Descrição Tecnica]],6,FALSE)</f>
        <v>0</v>
      </c>
      <c r="C1571" s="15">
        <f>IFERROR(VLOOKUP(TAB_SAIDA[[#This Row],[COD_2_SAIDA]],TAB_ESTOQUE[[Codigo]:[Referência Tec]],7,FALSE),"")</f>
        <v>0</v>
      </c>
      <c r="D1571" s="15">
        <f>VLOOKUP(TAB_SAIDA[[#This Row],[COD_2_SAIDA]],TAB_ESTOQUE[[Codigo]:[Endereço2]],12,FALSE)</f>
        <v>0</v>
      </c>
      <c r="E1571" s="15">
        <f>SUM(TAB_SAIDA[[#This Row],[20/05/2019]:[00/00/00]])</f>
        <v>0</v>
      </c>
      <c r="F1571" s="3"/>
      <c r="BH1571" s="3"/>
    </row>
    <row r="1572" spans="1:60" ht="15" hidden="1" customHeight="1" x14ac:dyDescent="0.25">
      <c r="A1572" s="5" t="s">
        <v>8273</v>
      </c>
      <c r="B1572" s="15">
        <f>VLOOKUP(TAB_SAIDA[[#This Row],[COD_2_SAIDA]],TAB_ESTOQUE[[Codigo]:[Descrição Tecnica]],6,FALSE)</f>
        <v>0</v>
      </c>
      <c r="C1572" s="15">
        <f>IFERROR(VLOOKUP(TAB_SAIDA[[#This Row],[COD_2_SAIDA]],TAB_ESTOQUE[[Codigo]:[Referência Tec]],7,FALSE),"")</f>
        <v>0</v>
      </c>
      <c r="D1572" s="15">
        <f>VLOOKUP(TAB_SAIDA[[#This Row],[COD_2_SAIDA]],TAB_ESTOQUE[[Codigo]:[Endereço2]],12,FALSE)</f>
        <v>0</v>
      </c>
      <c r="E1572" s="15">
        <f>SUM(TAB_SAIDA[[#This Row],[20/05/2019]:[00/00/00]])</f>
        <v>0</v>
      </c>
      <c r="F1572" s="3"/>
      <c r="BH1572" s="3"/>
    </row>
    <row r="1573" spans="1:60" ht="15" hidden="1" customHeight="1" x14ac:dyDescent="0.25">
      <c r="A1573" s="5" t="s">
        <v>8274</v>
      </c>
      <c r="B1573" s="15">
        <f>VLOOKUP(TAB_SAIDA[[#This Row],[COD_2_SAIDA]],TAB_ESTOQUE[[Codigo]:[Descrição Tecnica]],6,FALSE)</f>
        <v>0</v>
      </c>
      <c r="C1573" s="15">
        <f>IFERROR(VLOOKUP(TAB_SAIDA[[#This Row],[COD_2_SAIDA]],TAB_ESTOQUE[[Codigo]:[Referência Tec]],7,FALSE),"")</f>
        <v>0</v>
      </c>
      <c r="D1573" s="15">
        <f>VLOOKUP(TAB_SAIDA[[#This Row],[COD_2_SAIDA]],TAB_ESTOQUE[[Codigo]:[Endereço2]],12,FALSE)</f>
        <v>0</v>
      </c>
      <c r="E1573" s="15">
        <f>SUM(TAB_SAIDA[[#This Row],[20/05/2019]:[00/00/00]])</f>
        <v>0</v>
      </c>
      <c r="F1573" s="3"/>
      <c r="BH1573" s="3"/>
    </row>
    <row r="1574" spans="1:60" ht="15" hidden="1" customHeight="1" x14ac:dyDescent="0.25">
      <c r="A1574" s="5" t="s">
        <v>8275</v>
      </c>
      <c r="B1574" s="15">
        <f>VLOOKUP(TAB_SAIDA[[#This Row],[COD_2_SAIDA]],TAB_ESTOQUE[[Codigo]:[Descrição Tecnica]],6,FALSE)</f>
        <v>0</v>
      </c>
      <c r="C1574" s="15">
        <f>IFERROR(VLOOKUP(TAB_SAIDA[[#This Row],[COD_2_SAIDA]],TAB_ESTOQUE[[Codigo]:[Referência Tec]],7,FALSE),"")</f>
        <v>0</v>
      </c>
      <c r="D1574" s="15">
        <f>VLOOKUP(TAB_SAIDA[[#This Row],[COD_2_SAIDA]],TAB_ESTOQUE[[Codigo]:[Endereço2]],12,FALSE)</f>
        <v>0</v>
      </c>
      <c r="E1574" s="15">
        <f>SUM(TAB_SAIDA[[#This Row],[20/05/2019]:[00/00/00]])</f>
        <v>0</v>
      </c>
      <c r="F1574" s="3"/>
      <c r="BH1574" s="3"/>
    </row>
    <row r="1575" spans="1:60" ht="15" hidden="1" customHeight="1" x14ac:dyDescent="0.25">
      <c r="A1575" s="5" t="s">
        <v>8276</v>
      </c>
      <c r="B1575" s="15">
        <f>VLOOKUP(TAB_SAIDA[[#This Row],[COD_2_SAIDA]],TAB_ESTOQUE[[Codigo]:[Descrição Tecnica]],6,FALSE)</f>
        <v>0</v>
      </c>
      <c r="C1575" s="15">
        <f>IFERROR(VLOOKUP(TAB_SAIDA[[#This Row],[COD_2_SAIDA]],TAB_ESTOQUE[[Codigo]:[Referência Tec]],7,FALSE),"")</f>
        <v>0</v>
      </c>
      <c r="D1575" s="15">
        <f>VLOOKUP(TAB_SAIDA[[#This Row],[COD_2_SAIDA]],TAB_ESTOQUE[[Codigo]:[Endereço2]],12,FALSE)</f>
        <v>0</v>
      </c>
      <c r="E1575" s="15">
        <f>SUM(TAB_SAIDA[[#This Row],[20/05/2019]:[00/00/00]])</f>
        <v>0</v>
      </c>
      <c r="F1575" s="3"/>
      <c r="BH1575" s="3"/>
    </row>
    <row r="1576" spans="1:60" ht="15" hidden="1" customHeight="1" x14ac:dyDescent="0.25">
      <c r="A1576" s="5" t="s">
        <v>8277</v>
      </c>
      <c r="B1576" s="15">
        <f>VLOOKUP(TAB_SAIDA[[#This Row],[COD_2_SAIDA]],TAB_ESTOQUE[[Codigo]:[Descrição Tecnica]],6,FALSE)</f>
        <v>0</v>
      </c>
      <c r="C1576" s="15">
        <f>IFERROR(VLOOKUP(TAB_SAIDA[[#This Row],[COD_2_SAIDA]],TAB_ESTOQUE[[Codigo]:[Referência Tec]],7,FALSE),"")</f>
        <v>0</v>
      </c>
      <c r="D1576" s="15">
        <f>VLOOKUP(TAB_SAIDA[[#This Row],[COD_2_SAIDA]],TAB_ESTOQUE[[Codigo]:[Endereço2]],12,FALSE)</f>
        <v>0</v>
      </c>
      <c r="E1576" s="15">
        <f>SUM(TAB_SAIDA[[#This Row],[20/05/2019]:[00/00/00]])</f>
        <v>0</v>
      </c>
      <c r="F1576" s="3"/>
      <c r="BH1576" s="3"/>
    </row>
    <row r="1577" spans="1:60" ht="15" hidden="1" customHeight="1" x14ac:dyDescent="0.25">
      <c r="A1577" s="5" t="s">
        <v>8278</v>
      </c>
      <c r="B1577" s="15">
        <f>VLOOKUP(TAB_SAIDA[[#This Row],[COD_2_SAIDA]],TAB_ESTOQUE[[Codigo]:[Descrição Tecnica]],6,FALSE)</f>
        <v>0</v>
      </c>
      <c r="C1577" s="15">
        <f>IFERROR(VLOOKUP(TAB_SAIDA[[#This Row],[COD_2_SAIDA]],TAB_ESTOQUE[[Codigo]:[Referência Tec]],7,FALSE),"")</f>
        <v>0</v>
      </c>
      <c r="D1577" s="15">
        <f>VLOOKUP(TAB_SAIDA[[#This Row],[COD_2_SAIDA]],TAB_ESTOQUE[[Codigo]:[Endereço2]],12,FALSE)</f>
        <v>0</v>
      </c>
      <c r="E1577" s="15">
        <f>SUM(TAB_SAIDA[[#This Row],[20/05/2019]:[00/00/00]])</f>
        <v>0</v>
      </c>
      <c r="F1577" s="3"/>
      <c r="BH1577" s="3"/>
    </row>
    <row r="1578" spans="1:60" ht="15" hidden="1" customHeight="1" x14ac:dyDescent="0.25">
      <c r="A1578" s="5" t="s">
        <v>8279</v>
      </c>
      <c r="B1578" s="15">
        <f>VLOOKUP(TAB_SAIDA[[#This Row],[COD_2_SAIDA]],TAB_ESTOQUE[[Codigo]:[Descrição Tecnica]],6,FALSE)</f>
        <v>0</v>
      </c>
      <c r="C1578" s="15">
        <f>IFERROR(VLOOKUP(TAB_SAIDA[[#This Row],[COD_2_SAIDA]],TAB_ESTOQUE[[Codigo]:[Referência Tec]],7,FALSE),"")</f>
        <v>0</v>
      </c>
      <c r="D1578" s="15">
        <f>VLOOKUP(TAB_SAIDA[[#This Row],[COD_2_SAIDA]],TAB_ESTOQUE[[Codigo]:[Endereço2]],12,FALSE)</f>
        <v>0</v>
      </c>
      <c r="E1578" s="15">
        <f>SUM(TAB_SAIDA[[#This Row],[20/05/2019]:[00/00/00]])</f>
        <v>0</v>
      </c>
      <c r="F1578" s="3"/>
      <c r="BH1578" s="3"/>
    </row>
    <row r="1579" spans="1:60" ht="15" hidden="1" customHeight="1" x14ac:dyDescent="0.25">
      <c r="A1579" s="5" t="s">
        <v>8280</v>
      </c>
      <c r="B1579" s="15">
        <f>VLOOKUP(TAB_SAIDA[[#This Row],[COD_2_SAIDA]],TAB_ESTOQUE[[Codigo]:[Descrição Tecnica]],6,FALSE)</f>
        <v>0</v>
      </c>
      <c r="C1579" s="15">
        <f>IFERROR(VLOOKUP(TAB_SAIDA[[#This Row],[COD_2_SAIDA]],TAB_ESTOQUE[[Codigo]:[Referência Tec]],7,FALSE),"")</f>
        <v>0</v>
      </c>
      <c r="D1579" s="15">
        <f>VLOOKUP(TAB_SAIDA[[#This Row],[COD_2_SAIDA]],TAB_ESTOQUE[[Codigo]:[Endereço2]],12,FALSE)</f>
        <v>0</v>
      </c>
      <c r="E1579" s="15">
        <f>SUM(TAB_SAIDA[[#This Row],[20/05/2019]:[00/00/00]])</f>
        <v>0</v>
      </c>
      <c r="F1579" s="3"/>
      <c r="BH1579" s="3"/>
    </row>
    <row r="1580" spans="1:60" ht="15" hidden="1" customHeight="1" x14ac:dyDescent="0.25">
      <c r="A1580" s="5" t="s">
        <v>8306</v>
      </c>
      <c r="B1580" s="15">
        <f>VLOOKUP(TAB_SAIDA[[#This Row],[COD_2_SAIDA]],TAB_ESTOQUE[[Codigo]:[Descrição Tecnica]],6,FALSE)</f>
        <v>0</v>
      </c>
      <c r="C1580" s="15">
        <f>IFERROR(VLOOKUP(TAB_SAIDA[[#This Row],[COD_2_SAIDA]],TAB_ESTOQUE[[Codigo]:[Referência Tec]],7,FALSE),"")</f>
        <v>0</v>
      </c>
      <c r="D1580" s="15">
        <f>VLOOKUP(TAB_SAIDA[[#This Row],[COD_2_SAIDA]],TAB_ESTOQUE[[Codigo]:[Endereço2]],12,FALSE)</f>
        <v>0</v>
      </c>
      <c r="E1580" s="15">
        <f>SUM(TAB_SAIDA[[#This Row],[20/05/2019]:[00/00/00]])</f>
        <v>0</v>
      </c>
      <c r="F1580" s="3"/>
      <c r="BH1580" s="3"/>
    </row>
    <row r="1581" spans="1:60" ht="15" hidden="1" customHeight="1" x14ac:dyDescent="0.25">
      <c r="A1581" s="5" t="s">
        <v>8309</v>
      </c>
      <c r="B1581" s="15">
        <f>VLOOKUP(TAB_SAIDA[[#This Row],[COD_2_SAIDA]],TAB_ESTOQUE[[Codigo]:[Descrição Tecnica]],6,FALSE)</f>
        <v>0</v>
      </c>
      <c r="C1581" s="15">
        <f>IFERROR(VLOOKUP(TAB_SAIDA[[#This Row],[COD_2_SAIDA]],TAB_ESTOQUE[[Codigo]:[Referência Tec]],7,FALSE),"")</f>
        <v>0</v>
      </c>
      <c r="D1581" s="15">
        <f>VLOOKUP(TAB_SAIDA[[#This Row],[COD_2_SAIDA]],TAB_ESTOQUE[[Codigo]:[Endereço2]],12,FALSE)</f>
        <v>0</v>
      </c>
      <c r="E1581" s="15">
        <f>SUM(TAB_SAIDA[[#This Row],[20/05/2019]:[00/00/00]])</f>
        <v>0</v>
      </c>
      <c r="F1581" s="3"/>
      <c r="BH1581" s="3"/>
    </row>
    <row r="1582" spans="1:60" ht="15" hidden="1" customHeight="1" x14ac:dyDescent="0.25">
      <c r="A1582" s="5" t="s">
        <v>8330</v>
      </c>
      <c r="B1582" s="15">
        <f>VLOOKUP(TAB_SAIDA[[#This Row],[COD_2_SAIDA]],TAB_ESTOQUE[[Codigo]:[Descrição Tecnica]],6,FALSE)</f>
        <v>0</v>
      </c>
      <c r="C1582" s="15">
        <f>IFERROR(VLOOKUP(TAB_SAIDA[[#This Row],[COD_2_SAIDA]],TAB_ESTOQUE[[Codigo]:[Referência Tec]],7,FALSE),"")</f>
        <v>0</v>
      </c>
      <c r="D1582" s="15">
        <f>VLOOKUP(TAB_SAIDA[[#This Row],[COD_2_SAIDA]],TAB_ESTOQUE[[Codigo]:[Endereço2]],12,FALSE)</f>
        <v>0</v>
      </c>
      <c r="E1582" s="15">
        <f>SUM(TAB_SAIDA[[#This Row],[20/05/2019]:[00/00/00]])</f>
        <v>0</v>
      </c>
      <c r="F1582" s="3"/>
      <c r="BH1582" s="3"/>
    </row>
    <row r="1583" spans="1:60" ht="15" hidden="1" customHeight="1" x14ac:dyDescent="0.25">
      <c r="A1583" s="5" t="s">
        <v>8333</v>
      </c>
      <c r="B1583" s="15">
        <f>VLOOKUP(TAB_SAIDA[[#This Row],[COD_2_SAIDA]],TAB_ESTOQUE[[Codigo]:[Descrição Tecnica]],6,FALSE)</f>
        <v>0</v>
      </c>
      <c r="C1583" s="15">
        <f>IFERROR(VLOOKUP(TAB_SAIDA[[#This Row],[COD_2_SAIDA]],TAB_ESTOQUE[[Codigo]:[Referência Tec]],7,FALSE),"")</f>
        <v>0</v>
      </c>
      <c r="D1583" s="15">
        <f>VLOOKUP(TAB_SAIDA[[#This Row],[COD_2_SAIDA]],TAB_ESTOQUE[[Codigo]:[Endereço2]],12,FALSE)</f>
        <v>0</v>
      </c>
      <c r="E1583" s="15">
        <f>SUM(TAB_SAIDA[[#This Row],[20/05/2019]:[00/00/00]])</f>
        <v>0</v>
      </c>
      <c r="F1583" s="3"/>
      <c r="BH1583" s="3"/>
    </row>
    <row r="1584" spans="1:60" ht="15" hidden="1" customHeight="1" x14ac:dyDescent="0.25">
      <c r="A1584" s="5" t="s">
        <v>8335</v>
      </c>
      <c r="B1584" s="15">
        <f>VLOOKUP(TAB_SAIDA[[#This Row],[COD_2_SAIDA]],TAB_ESTOQUE[[Codigo]:[Descrição Tecnica]],6,FALSE)</f>
        <v>0</v>
      </c>
      <c r="C1584" s="15">
        <f>IFERROR(VLOOKUP(TAB_SAIDA[[#This Row],[COD_2_SAIDA]],TAB_ESTOQUE[[Codigo]:[Referência Tec]],7,FALSE),"")</f>
        <v>0</v>
      </c>
      <c r="D1584" s="15">
        <f>VLOOKUP(TAB_SAIDA[[#This Row],[COD_2_SAIDA]],TAB_ESTOQUE[[Codigo]:[Endereço2]],12,FALSE)</f>
        <v>0</v>
      </c>
      <c r="E1584" s="15">
        <f>SUM(TAB_SAIDA[[#This Row],[20/05/2019]:[00/00/00]])</f>
        <v>0</v>
      </c>
      <c r="F1584" s="3"/>
      <c r="BH1584" s="3"/>
    </row>
    <row r="1585" spans="1:60" ht="15" hidden="1" customHeight="1" x14ac:dyDescent="0.25">
      <c r="A1585" s="5" t="s">
        <v>8341</v>
      </c>
      <c r="B1585" s="15">
        <f>VLOOKUP(TAB_SAIDA[[#This Row],[COD_2_SAIDA]],TAB_ESTOQUE[[Codigo]:[Descrição Tecnica]],6,FALSE)</f>
        <v>0</v>
      </c>
      <c r="C1585" s="15">
        <f>IFERROR(VLOOKUP(TAB_SAIDA[[#This Row],[COD_2_SAIDA]],TAB_ESTOQUE[[Codigo]:[Referência Tec]],7,FALSE),"")</f>
        <v>0</v>
      </c>
      <c r="D1585" s="15">
        <f>VLOOKUP(TAB_SAIDA[[#This Row],[COD_2_SAIDA]],TAB_ESTOQUE[[Codigo]:[Endereço2]],12,FALSE)</f>
        <v>0</v>
      </c>
      <c r="E1585" s="15">
        <f>SUM(TAB_SAIDA[[#This Row],[20/05/2019]:[00/00/00]])</f>
        <v>0</v>
      </c>
      <c r="F1585" s="3"/>
      <c r="BH1585" s="3"/>
    </row>
    <row r="1586" spans="1:60" ht="15" hidden="1" customHeight="1" x14ac:dyDescent="0.25">
      <c r="A1586" s="5" t="s">
        <v>8348</v>
      </c>
      <c r="B1586" s="15">
        <f>VLOOKUP(TAB_SAIDA[[#This Row],[COD_2_SAIDA]],TAB_ESTOQUE[[Codigo]:[Descrição Tecnica]],6,FALSE)</f>
        <v>0</v>
      </c>
      <c r="C1586" s="15">
        <f>IFERROR(VLOOKUP(TAB_SAIDA[[#This Row],[COD_2_SAIDA]],TAB_ESTOQUE[[Codigo]:[Referência Tec]],7,FALSE),"")</f>
        <v>0</v>
      </c>
      <c r="D1586" s="15">
        <f>VLOOKUP(TAB_SAIDA[[#This Row],[COD_2_SAIDA]],TAB_ESTOQUE[[Codigo]:[Endereço2]],12,FALSE)</f>
        <v>0</v>
      </c>
      <c r="E1586" s="15">
        <f>SUM(TAB_SAIDA[[#This Row],[20/05/2019]:[00/00/00]])</f>
        <v>0</v>
      </c>
      <c r="F1586" s="3"/>
      <c r="BH1586" s="3"/>
    </row>
    <row r="1587" spans="1:60" ht="15" hidden="1" customHeight="1" x14ac:dyDescent="0.25">
      <c r="A1587" s="5" t="s">
        <v>8351</v>
      </c>
      <c r="B1587" s="15">
        <f>VLOOKUP(TAB_SAIDA[[#This Row],[COD_2_SAIDA]],TAB_ESTOQUE[[Codigo]:[Descrição Tecnica]],6,FALSE)</f>
        <v>0</v>
      </c>
      <c r="C1587" s="15">
        <f>IFERROR(VLOOKUP(TAB_SAIDA[[#This Row],[COD_2_SAIDA]],TAB_ESTOQUE[[Codigo]:[Referência Tec]],7,FALSE),"")</f>
        <v>0</v>
      </c>
      <c r="D1587" s="15">
        <f>VLOOKUP(TAB_SAIDA[[#This Row],[COD_2_SAIDA]],TAB_ESTOQUE[[Codigo]:[Endereço2]],12,FALSE)</f>
        <v>0</v>
      </c>
      <c r="E1587" s="15">
        <f>SUM(TAB_SAIDA[[#This Row],[20/05/2019]:[00/00/00]])</f>
        <v>0</v>
      </c>
      <c r="F1587" s="3"/>
      <c r="BH1587" s="3"/>
    </row>
    <row r="1588" spans="1:60" ht="15" hidden="1" customHeight="1" x14ac:dyDescent="0.25">
      <c r="A1588" s="5" t="s">
        <v>8355</v>
      </c>
      <c r="B1588" s="15">
        <f>VLOOKUP(TAB_SAIDA[[#This Row],[COD_2_SAIDA]],TAB_ESTOQUE[[Codigo]:[Descrição Tecnica]],6,FALSE)</f>
        <v>0</v>
      </c>
      <c r="C1588" s="15">
        <f>IFERROR(VLOOKUP(TAB_SAIDA[[#This Row],[COD_2_SAIDA]],TAB_ESTOQUE[[Codigo]:[Referência Tec]],7,FALSE),"")</f>
        <v>0</v>
      </c>
      <c r="D1588" s="15">
        <f>VLOOKUP(TAB_SAIDA[[#This Row],[COD_2_SAIDA]],TAB_ESTOQUE[[Codigo]:[Endereço2]],12,FALSE)</f>
        <v>0</v>
      </c>
      <c r="E1588" s="15">
        <f>SUM(TAB_SAIDA[[#This Row],[20/05/2019]:[00/00/00]])</f>
        <v>0</v>
      </c>
      <c r="F1588" s="3"/>
      <c r="BH1588" s="3"/>
    </row>
    <row r="1589" spans="1:60" ht="15" hidden="1" customHeight="1" x14ac:dyDescent="0.25">
      <c r="A1589" s="5" t="s">
        <v>8361</v>
      </c>
      <c r="B1589" s="15">
        <f>VLOOKUP(TAB_SAIDA[[#This Row],[COD_2_SAIDA]],TAB_ESTOQUE[[Codigo]:[Descrição Tecnica]],6,FALSE)</f>
        <v>0</v>
      </c>
      <c r="C1589" s="15">
        <f>IFERROR(VLOOKUP(TAB_SAIDA[[#This Row],[COD_2_SAIDA]],TAB_ESTOQUE[[Codigo]:[Referência Tec]],7,FALSE),"")</f>
        <v>0</v>
      </c>
      <c r="D1589" s="15">
        <f>VLOOKUP(TAB_SAIDA[[#This Row],[COD_2_SAIDA]],TAB_ESTOQUE[[Codigo]:[Endereço2]],12,FALSE)</f>
        <v>0</v>
      </c>
      <c r="E1589" s="15">
        <f>SUM(TAB_SAIDA[[#This Row],[20/05/2019]:[00/00/00]])</f>
        <v>0</v>
      </c>
      <c r="F1589" s="3"/>
      <c r="BH1589" s="3"/>
    </row>
    <row r="1590" spans="1:60" ht="15" hidden="1" customHeight="1" x14ac:dyDescent="0.25">
      <c r="A1590" s="5" t="s">
        <v>8364</v>
      </c>
      <c r="B1590" s="15">
        <f>VLOOKUP(TAB_SAIDA[[#This Row],[COD_2_SAIDA]],TAB_ESTOQUE[[Codigo]:[Descrição Tecnica]],6,FALSE)</f>
        <v>0</v>
      </c>
      <c r="C1590" s="15">
        <f>IFERROR(VLOOKUP(TAB_SAIDA[[#This Row],[COD_2_SAIDA]],TAB_ESTOQUE[[Codigo]:[Referência Tec]],7,FALSE),"")</f>
        <v>0</v>
      </c>
      <c r="D1590" s="15">
        <f>VLOOKUP(TAB_SAIDA[[#This Row],[COD_2_SAIDA]],TAB_ESTOQUE[[Codigo]:[Endereço2]],12,FALSE)</f>
        <v>0</v>
      </c>
      <c r="E1590" s="15">
        <f>SUM(TAB_SAIDA[[#This Row],[20/05/2019]:[00/00/00]])</f>
        <v>0</v>
      </c>
      <c r="F1590" s="3"/>
      <c r="BH1590" s="3"/>
    </row>
    <row r="1591" spans="1:60" ht="15" hidden="1" customHeight="1" x14ac:dyDescent="0.25">
      <c r="A1591" s="5" t="s">
        <v>8366</v>
      </c>
      <c r="B1591" s="15">
        <f>VLOOKUP(TAB_SAIDA[[#This Row],[COD_2_SAIDA]],TAB_ESTOQUE[[Codigo]:[Descrição Tecnica]],6,FALSE)</f>
        <v>0</v>
      </c>
      <c r="C1591" s="15">
        <f>IFERROR(VLOOKUP(TAB_SAIDA[[#This Row],[COD_2_SAIDA]],TAB_ESTOQUE[[Codigo]:[Referência Tec]],7,FALSE),"")</f>
        <v>0</v>
      </c>
      <c r="D1591" s="15">
        <f>VLOOKUP(TAB_SAIDA[[#This Row],[COD_2_SAIDA]],TAB_ESTOQUE[[Codigo]:[Endereço2]],12,FALSE)</f>
        <v>0</v>
      </c>
      <c r="E1591" s="15">
        <f>SUM(TAB_SAIDA[[#This Row],[20/05/2019]:[00/00/00]])</f>
        <v>0</v>
      </c>
      <c r="F1591" s="3"/>
      <c r="BH1591" s="3"/>
    </row>
    <row r="1592" spans="1:60" ht="15" hidden="1" customHeight="1" x14ac:dyDescent="0.25">
      <c r="A1592" s="5" t="s">
        <v>8373</v>
      </c>
      <c r="B1592" s="15">
        <f>VLOOKUP(TAB_SAIDA[[#This Row],[COD_2_SAIDA]],TAB_ESTOQUE[[Codigo]:[Descrição Tecnica]],6,FALSE)</f>
        <v>0</v>
      </c>
      <c r="C1592" s="15">
        <f>IFERROR(VLOOKUP(TAB_SAIDA[[#This Row],[COD_2_SAIDA]],TAB_ESTOQUE[[Codigo]:[Referência Tec]],7,FALSE),"")</f>
        <v>0</v>
      </c>
      <c r="D1592" s="15">
        <f>VLOOKUP(TAB_SAIDA[[#This Row],[COD_2_SAIDA]],TAB_ESTOQUE[[Codigo]:[Endereço2]],12,FALSE)</f>
        <v>0</v>
      </c>
      <c r="E1592" s="15">
        <f>SUM(TAB_SAIDA[[#This Row],[20/05/2019]:[00/00/00]])</f>
        <v>0</v>
      </c>
      <c r="F1592" s="3"/>
      <c r="BH1592" s="3"/>
    </row>
    <row r="1593" spans="1:60" ht="15" hidden="1" customHeight="1" x14ac:dyDescent="0.25">
      <c r="A1593" s="5" t="s">
        <v>8379</v>
      </c>
      <c r="B1593" s="15">
        <f>VLOOKUP(TAB_SAIDA[[#This Row],[COD_2_SAIDA]],TAB_ESTOQUE[[Codigo]:[Descrição Tecnica]],6,FALSE)</f>
        <v>0</v>
      </c>
      <c r="C1593" s="15">
        <f>IFERROR(VLOOKUP(TAB_SAIDA[[#This Row],[COD_2_SAIDA]],TAB_ESTOQUE[[Codigo]:[Referência Tec]],7,FALSE),"")</f>
        <v>0</v>
      </c>
      <c r="D1593" s="15">
        <f>VLOOKUP(TAB_SAIDA[[#This Row],[COD_2_SAIDA]],TAB_ESTOQUE[[Codigo]:[Endereço2]],12,FALSE)</f>
        <v>0</v>
      </c>
      <c r="E1593" s="15">
        <f>SUM(TAB_SAIDA[[#This Row],[20/05/2019]:[00/00/00]])</f>
        <v>0</v>
      </c>
      <c r="F1593" s="3"/>
      <c r="BH1593" s="3"/>
    </row>
    <row r="1594" spans="1:60" ht="15" hidden="1" customHeight="1" x14ac:dyDescent="0.25">
      <c r="A1594" s="5" t="s">
        <v>8384</v>
      </c>
      <c r="B1594" s="15">
        <f>VLOOKUP(TAB_SAIDA[[#This Row],[COD_2_SAIDA]],TAB_ESTOQUE[[Codigo]:[Descrição Tecnica]],6,FALSE)</f>
        <v>0</v>
      </c>
      <c r="C1594" s="15">
        <f>IFERROR(VLOOKUP(TAB_SAIDA[[#This Row],[COD_2_SAIDA]],TAB_ESTOQUE[[Codigo]:[Referência Tec]],7,FALSE),"")</f>
        <v>0</v>
      </c>
      <c r="D1594" s="15">
        <f>VLOOKUP(TAB_SAIDA[[#This Row],[COD_2_SAIDA]],TAB_ESTOQUE[[Codigo]:[Endereço2]],12,FALSE)</f>
        <v>0</v>
      </c>
      <c r="E1594" s="15">
        <f>SUM(TAB_SAIDA[[#This Row],[20/05/2019]:[00/00/00]])</f>
        <v>0</v>
      </c>
      <c r="F1594" s="3"/>
      <c r="BH1594" s="3"/>
    </row>
    <row r="1595" spans="1:60" ht="15" hidden="1" customHeight="1" x14ac:dyDescent="0.25">
      <c r="A1595" s="5" t="s">
        <v>8385</v>
      </c>
      <c r="B1595" s="15">
        <f>VLOOKUP(TAB_SAIDA[[#This Row],[COD_2_SAIDA]],TAB_ESTOQUE[[Codigo]:[Descrição Tecnica]],6,FALSE)</f>
        <v>0</v>
      </c>
      <c r="C1595" s="15">
        <f>IFERROR(VLOOKUP(TAB_SAIDA[[#This Row],[COD_2_SAIDA]],TAB_ESTOQUE[[Codigo]:[Referência Tec]],7,FALSE),"")</f>
        <v>0</v>
      </c>
      <c r="D1595" s="15">
        <f>VLOOKUP(TAB_SAIDA[[#This Row],[COD_2_SAIDA]],TAB_ESTOQUE[[Codigo]:[Endereço2]],12,FALSE)</f>
        <v>0</v>
      </c>
      <c r="E1595" s="15">
        <f>SUM(TAB_SAIDA[[#This Row],[20/05/2019]:[00/00/00]])</f>
        <v>0</v>
      </c>
      <c r="F1595" s="3"/>
      <c r="BH1595" s="3"/>
    </row>
    <row r="1596" spans="1:60" ht="15" hidden="1" customHeight="1" x14ac:dyDescent="0.25">
      <c r="A1596" s="5" t="s">
        <v>8414</v>
      </c>
      <c r="B1596" s="15">
        <f>VLOOKUP(TAB_SAIDA[[#This Row],[COD_2_SAIDA]],TAB_ESTOQUE[[Codigo]:[Descrição Tecnica]],6,FALSE)</f>
        <v>0</v>
      </c>
      <c r="C1596" s="15">
        <f>IFERROR(VLOOKUP(TAB_SAIDA[[#This Row],[COD_2_SAIDA]],TAB_ESTOQUE[[Codigo]:[Referência Tec]],7,FALSE),"")</f>
        <v>0</v>
      </c>
      <c r="D1596" s="15">
        <f>VLOOKUP(TAB_SAIDA[[#This Row],[COD_2_SAIDA]],TAB_ESTOQUE[[Codigo]:[Endereço2]],12,FALSE)</f>
        <v>0</v>
      </c>
      <c r="E1596" s="15">
        <f>SUM(TAB_SAIDA[[#This Row],[20/05/2019]:[00/00/00]])</f>
        <v>0</v>
      </c>
      <c r="F1596" s="3"/>
      <c r="BH1596" s="3"/>
    </row>
    <row r="1597" spans="1:60" ht="15" hidden="1" customHeight="1" x14ac:dyDescent="0.25">
      <c r="A1597" s="5" t="s">
        <v>8415</v>
      </c>
      <c r="B1597" s="15">
        <f>VLOOKUP(TAB_SAIDA[[#This Row],[COD_2_SAIDA]],TAB_ESTOQUE[[Codigo]:[Descrição Tecnica]],6,FALSE)</f>
        <v>0</v>
      </c>
      <c r="C1597" s="15">
        <f>IFERROR(VLOOKUP(TAB_SAIDA[[#This Row],[COD_2_SAIDA]],TAB_ESTOQUE[[Codigo]:[Referência Tec]],7,FALSE),"")</f>
        <v>0</v>
      </c>
      <c r="D1597" s="15">
        <f>VLOOKUP(TAB_SAIDA[[#This Row],[COD_2_SAIDA]],TAB_ESTOQUE[[Codigo]:[Endereço2]],12,FALSE)</f>
        <v>0</v>
      </c>
      <c r="E1597" s="15">
        <f>SUM(TAB_SAIDA[[#This Row],[20/05/2019]:[00/00/00]])</f>
        <v>0</v>
      </c>
      <c r="F1597" s="3"/>
      <c r="BH1597" s="3"/>
    </row>
    <row r="1598" spans="1:60" ht="15" hidden="1" customHeight="1" x14ac:dyDescent="0.25">
      <c r="A1598" s="5" t="s">
        <v>8416</v>
      </c>
      <c r="B1598" s="15">
        <f>VLOOKUP(TAB_SAIDA[[#This Row],[COD_2_SAIDA]],TAB_ESTOQUE[[Codigo]:[Descrição Tecnica]],6,FALSE)</f>
        <v>0</v>
      </c>
      <c r="C1598" s="15">
        <f>IFERROR(VLOOKUP(TAB_SAIDA[[#This Row],[COD_2_SAIDA]],TAB_ESTOQUE[[Codigo]:[Referência Tec]],7,FALSE),"")</f>
        <v>0</v>
      </c>
      <c r="D1598" s="15">
        <f>VLOOKUP(TAB_SAIDA[[#This Row],[COD_2_SAIDA]],TAB_ESTOQUE[[Codigo]:[Endereço2]],12,FALSE)</f>
        <v>0</v>
      </c>
      <c r="E1598" s="15">
        <f>SUM(TAB_SAIDA[[#This Row],[20/05/2019]:[00/00/00]])</f>
        <v>0</v>
      </c>
      <c r="F1598" s="3"/>
      <c r="BH1598" s="3"/>
    </row>
    <row r="1599" spans="1:60" ht="15" hidden="1" customHeight="1" x14ac:dyDescent="0.25">
      <c r="A1599" s="5" t="s">
        <v>8417</v>
      </c>
      <c r="B1599" s="15">
        <f>VLOOKUP(TAB_SAIDA[[#This Row],[COD_2_SAIDA]],TAB_ESTOQUE[[Codigo]:[Descrição Tecnica]],6,FALSE)</f>
        <v>0</v>
      </c>
      <c r="C1599" s="15">
        <f>IFERROR(VLOOKUP(TAB_SAIDA[[#This Row],[COD_2_SAIDA]],TAB_ESTOQUE[[Codigo]:[Referência Tec]],7,FALSE),"")</f>
        <v>0</v>
      </c>
      <c r="D1599" s="15">
        <f>VLOOKUP(TAB_SAIDA[[#This Row],[COD_2_SAIDA]],TAB_ESTOQUE[[Codigo]:[Endereço2]],12,FALSE)</f>
        <v>0</v>
      </c>
      <c r="E1599" s="15">
        <f>SUM(TAB_SAIDA[[#This Row],[20/05/2019]:[00/00/00]])</f>
        <v>0</v>
      </c>
      <c r="F1599" s="3"/>
      <c r="BH1599" s="3"/>
    </row>
    <row r="1600" spans="1:60" ht="15" hidden="1" customHeight="1" x14ac:dyDescent="0.25">
      <c r="A1600" s="5" t="s">
        <v>8423</v>
      </c>
      <c r="B1600" s="15">
        <f>VLOOKUP(TAB_SAIDA[[#This Row],[COD_2_SAIDA]],TAB_ESTOQUE[[Codigo]:[Descrição Tecnica]],6,FALSE)</f>
        <v>0</v>
      </c>
      <c r="C1600" s="15">
        <f>IFERROR(VLOOKUP(TAB_SAIDA[[#This Row],[COD_2_SAIDA]],TAB_ESTOQUE[[Codigo]:[Referência Tec]],7,FALSE),"")</f>
        <v>0</v>
      </c>
      <c r="D1600" s="15">
        <f>VLOOKUP(TAB_SAIDA[[#This Row],[COD_2_SAIDA]],TAB_ESTOQUE[[Codigo]:[Endereço2]],12,FALSE)</f>
        <v>0</v>
      </c>
      <c r="E1600" s="15">
        <f>SUM(TAB_SAIDA[[#This Row],[20/05/2019]:[00/00/00]])</f>
        <v>0</v>
      </c>
      <c r="F1600" s="3"/>
      <c r="BH1600" s="3"/>
    </row>
    <row r="1601" spans="1:60" ht="15" hidden="1" customHeight="1" x14ac:dyDescent="0.25">
      <c r="A1601" s="5" t="s">
        <v>8426</v>
      </c>
      <c r="B1601" s="15">
        <f>VLOOKUP(TAB_SAIDA[[#This Row],[COD_2_SAIDA]],TAB_ESTOQUE[[Codigo]:[Descrição Tecnica]],6,FALSE)</f>
        <v>0</v>
      </c>
      <c r="C1601" s="15">
        <f>IFERROR(VLOOKUP(TAB_SAIDA[[#This Row],[COD_2_SAIDA]],TAB_ESTOQUE[[Codigo]:[Referência Tec]],7,FALSE),"")</f>
        <v>0</v>
      </c>
      <c r="D1601" s="15">
        <f>VLOOKUP(TAB_SAIDA[[#This Row],[COD_2_SAIDA]],TAB_ESTOQUE[[Codigo]:[Endereço2]],12,FALSE)</f>
        <v>0</v>
      </c>
      <c r="E1601" s="15">
        <f>SUM(TAB_SAIDA[[#This Row],[20/05/2019]:[00/00/00]])</f>
        <v>0</v>
      </c>
      <c r="F1601" s="3"/>
      <c r="BH1601" s="3"/>
    </row>
    <row r="1602" spans="1:60" ht="15" hidden="1" customHeight="1" x14ac:dyDescent="0.25">
      <c r="A1602" s="5" t="s">
        <v>8428</v>
      </c>
      <c r="B1602" s="15">
        <f>VLOOKUP(TAB_SAIDA[[#This Row],[COD_2_SAIDA]],TAB_ESTOQUE[[Codigo]:[Descrição Tecnica]],6,FALSE)</f>
        <v>0</v>
      </c>
      <c r="C1602" s="15">
        <f>IFERROR(VLOOKUP(TAB_SAIDA[[#This Row],[COD_2_SAIDA]],TAB_ESTOQUE[[Codigo]:[Referência Tec]],7,FALSE),"")</f>
        <v>0</v>
      </c>
      <c r="D1602" s="15">
        <f>VLOOKUP(TAB_SAIDA[[#This Row],[COD_2_SAIDA]],TAB_ESTOQUE[[Codigo]:[Endereço2]],12,FALSE)</f>
        <v>0</v>
      </c>
      <c r="E1602" s="15">
        <f>SUM(TAB_SAIDA[[#This Row],[20/05/2019]:[00/00/00]])</f>
        <v>0</v>
      </c>
      <c r="F1602" s="3"/>
      <c r="BH1602" s="3"/>
    </row>
    <row r="1603" spans="1:60" ht="15" hidden="1" customHeight="1" x14ac:dyDescent="0.25">
      <c r="A1603" s="5" t="s">
        <v>8429</v>
      </c>
      <c r="B1603" s="15">
        <f>VLOOKUP(TAB_SAIDA[[#This Row],[COD_2_SAIDA]],TAB_ESTOQUE[[Codigo]:[Descrição Tecnica]],6,FALSE)</f>
        <v>0</v>
      </c>
      <c r="C1603" s="15">
        <f>IFERROR(VLOOKUP(TAB_SAIDA[[#This Row],[COD_2_SAIDA]],TAB_ESTOQUE[[Codigo]:[Referência Tec]],7,FALSE),"")</f>
        <v>0</v>
      </c>
      <c r="D1603" s="15">
        <f>VLOOKUP(TAB_SAIDA[[#This Row],[COD_2_SAIDA]],TAB_ESTOQUE[[Codigo]:[Endereço2]],12,FALSE)</f>
        <v>0</v>
      </c>
      <c r="E1603" s="15">
        <f>SUM(TAB_SAIDA[[#This Row],[20/05/2019]:[00/00/00]])</f>
        <v>0</v>
      </c>
      <c r="F1603" s="3"/>
      <c r="BH1603" s="3"/>
    </row>
    <row r="1604" spans="1:60" ht="15" hidden="1" customHeight="1" x14ac:dyDescent="0.25">
      <c r="A1604" s="5" t="s">
        <v>8430</v>
      </c>
      <c r="B1604" s="15">
        <f>VLOOKUP(TAB_SAIDA[[#This Row],[COD_2_SAIDA]],TAB_ESTOQUE[[Codigo]:[Descrição Tecnica]],6,FALSE)</f>
        <v>0</v>
      </c>
      <c r="C1604" s="15">
        <f>IFERROR(VLOOKUP(TAB_SAIDA[[#This Row],[COD_2_SAIDA]],TAB_ESTOQUE[[Codigo]:[Referência Tec]],7,FALSE),"")</f>
        <v>0</v>
      </c>
      <c r="D1604" s="15">
        <f>VLOOKUP(TAB_SAIDA[[#This Row],[COD_2_SAIDA]],TAB_ESTOQUE[[Codigo]:[Endereço2]],12,FALSE)</f>
        <v>0</v>
      </c>
      <c r="E1604" s="15">
        <f>SUM(TAB_SAIDA[[#This Row],[20/05/2019]:[00/00/00]])</f>
        <v>0</v>
      </c>
      <c r="F1604" s="3"/>
      <c r="BH1604" s="3"/>
    </row>
    <row r="1605" spans="1:60" ht="15" hidden="1" customHeight="1" x14ac:dyDescent="0.25">
      <c r="A1605" s="5" t="s">
        <v>8431</v>
      </c>
      <c r="B1605" s="15">
        <f>VLOOKUP(TAB_SAIDA[[#This Row],[COD_2_SAIDA]],TAB_ESTOQUE[[Codigo]:[Descrição Tecnica]],6,FALSE)</f>
        <v>0</v>
      </c>
      <c r="C1605" s="15">
        <f>IFERROR(VLOOKUP(TAB_SAIDA[[#This Row],[COD_2_SAIDA]],TAB_ESTOQUE[[Codigo]:[Referência Tec]],7,FALSE),"")</f>
        <v>0</v>
      </c>
      <c r="D1605" s="15">
        <f>VLOOKUP(TAB_SAIDA[[#This Row],[COD_2_SAIDA]],TAB_ESTOQUE[[Codigo]:[Endereço2]],12,FALSE)</f>
        <v>0</v>
      </c>
      <c r="E1605" s="15">
        <f>SUM(TAB_SAIDA[[#This Row],[20/05/2019]:[00/00/00]])</f>
        <v>0</v>
      </c>
      <c r="F1605" s="3"/>
      <c r="BH1605" s="3"/>
    </row>
    <row r="1606" spans="1:60" ht="15" hidden="1" customHeight="1" x14ac:dyDescent="0.25">
      <c r="A1606" s="5" t="s">
        <v>8432</v>
      </c>
      <c r="B1606" s="15">
        <f>VLOOKUP(TAB_SAIDA[[#This Row],[COD_2_SAIDA]],TAB_ESTOQUE[[Codigo]:[Descrição Tecnica]],6,FALSE)</f>
        <v>0</v>
      </c>
      <c r="C1606" s="15">
        <f>IFERROR(VLOOKUP(TAB_SAIDA[[#This Row],[COD_2_SAIDA]],TAB_ESTOQUE[[Codigo]:[Referência Tec]],7,FALSE),"")</f>
        <v>0</v>
      </c>
      <c r="D1606" s="15">
        <f>VLOOKUP(TAB_SAIDA[[#This Row],[COD_2_SAIDA]],TAB_ESTOQUE[[Codigo]:[Endereço2]],12,FALSE)</f>
        <v>0</v>
      </c>
      <c r="E1606" s="15">
        <f>SUM(TAB_SAIDA[[#This Row],[20/05/2019]:[00/00/00]])</f>
        <v>0</v>
      </c>
      <c r="F1606" s="3"/>
      <c r="BH1606" s="3"/>
    </row>
    <row r="1607" spans="1:60" ht="15" hidden="1" customHeight="1" x14ac:dyDescent="0.25">
      <c r="A1607" s="5" t="s">
        <v>8433</v>
      </c>
      <c r="B1607" s="15">
        <f>VLOOKUP(TAB_SAIDA[[#This Row],[COD_2_SAIDA]],TAB_ESTOQUE[[Codigo]:[Descrição Tecnica]],6,FALSE)</f>
        <v>0</v>
      </c>
      <c r="C1607" s="15">
        <f>IFERROR(VLOOKUP(TAB_SAIDA[[#This Row],[COD_2_SAIDA]],TAB_ESTOQUE[[Codigo]:[Referência Tec]],7,FALSE),"")</f>
        <v>0</v>
      </c>
      <c r="D1607" s="15">
        <f>VLOOKUP(TAB_SAIDA[[#This Row],[COD_2_SAIDA]],TAB_ESTOQUE[[Codigo]:[Endereço2]],12,FALSE)</f>
        <v>0</v>
      </c>
      <c r="E1607" s="15">
        <f>SUM(TAB_SAIDA[[#This Row],[20/05/2019]:[00/00/00]])</f>
        <v>0</v>
      </c>
      <c r="F1607" s="3"/>
      <c r="BH1607" s="3"/>
    </row>
    <row r="1608" spans="1:60" ht="15" hidden="1" customHeight="1" x14ac:dyDescent="0.25">
      <c r="A1608" s="5" t="s">
        <v>8434</v>
      </c>
      <c r="B1608" s="15">
        <f>VLOOKUP(TAB_SAIDA[[#This Row],[COD_2_SAIDA]],TAB_ESTOQUE[[Codigo]:[Descrição Tecnica]],6,FALSE)</f>
        <v>0</v>
      </c>
      <c r="C1608" s="15">
        <f>IFERROR(VLOOKUP(TAB_SAIDA[[#This Row],[COD_2_SAIDA]],TAB_ESTOQUE[[Codigo]:[Referência Tec]],7,FALSE),"")</f>
        <v>0</v>
      </c>
      <c r="D1608" s="15">
        <f>VLOOKUP(TAB_SAIDA[[#This Row],[COD_2_SAIDA]],TAB_ESTOQUE[[Codigo]:[Endereço2]],12,FALSE)</f>
        <v>0</v>
      </c>
      <c r="E1608" s="15">
        <f>SUM(TAB_SAIDA[[#This Row],[20/05/2019]:[00/00/00]])</f>
        <v>0</v>
      </c>
      <c r="F1608" s="3"/>
      <c r="BH1608" s="3"/>
    </row>
    <row r="1609" spans="1:60" ht="15" hidden="1" customHeight="1" x14ac:dyDescent="0.25">
      <c r="A1609" s="5" t="s">
        <v>8435</v>
      </c>
      <c r="B1609" s="15">
        <f>VLOOKUP(TAB_SAIDA[[#This Row],[COD_2_SAIDA]],TAB_ESTOQUE[[Codigo]:[Descrição Tecnica]],6,FALSE)</f>
        <v>0</v>
      </c>
      <c r="C1609" s="15">
        <f>IFERROR(VLOOKUP(TAB_SAIDA[[#This Row],[COD_2_SAIDA]],TAB_ESTOQUE[[Codigo]:[Referência Tec]],7,FALSE),"")</f>
        <v>0</v>
      </c>
      <c r="D1609" s="15">
        <f>VLOOKUP(TAB_SAIDA[[#This Row],[COD_2_SAIDA]],TAB_ESTOQUE[[Codigo]:[Endereço2]],12,FALSE)</f>
        <v>0</v>
      </c>
      <c r="E1609" s="15">
        <f>SUM(TAB_SAIDA[[#This Row],[20/05/2019]:[00/00/00]])</f>
        <v>0</v>
      </c>
      <c r="F1609" s="3"/>
      <c r="BH1609" s="3"/>
    </row>
    <row r="1610" spans="1:60" ht="15" hidden="1" customHeight="1" x14ac:dyDescent="0.25">
      <c r="A1610" s="5" t="s">
        <v>8436</v>
      </c>
      <c r="B1610" s="15">
        <f>VLOOKUP(TAB_SAIDA[[#This Row],[COD_2_SAIDA]],TAB_ESTOQUE[[Codigo]:[Descrição Tecnica]],6,FALSE)</f>
        <v>0</v>
      </c>
      <c r="C1610" s="15">
        <f>IFERROR(VLOOKUP(TAB_SAIDA[[#This Row],[COD_2_SAIDA]],TAB_ESTOQUE[[Codigo]:[Referência Tec]],7,FALSE),"")</f>
        <v>0</v>
      </c>
      <c r="D1610" s="15">
        <f>VLOOKUP(TAB_SAIDA[[#This Row],[COD_2_SAIDA]],TAB_ESTOQUE[[Codigo]:[Endereço2]],12,FALSE)</f>
        <v>0</v>
      </c>
      <c r="E1610" s="15">
        <f>SUM(TAB_SAIDA[[#This Row],[20/05/2019]:[00/00/00]])</f>
        <v>0</v>
      </c>
      <c r="F1610" s="3"/>
      <c r="BH1610" s="3"/>
    </row>
    <row r="1611" spans="1:60" ht="15" hidden="1" customHeight="1" x14ac:dyDescent="0.25">
      <c r="A1611" s="5" t="s">
        <v>8437</v>
      </c>
      <c r="B1611" s="15">
        <f>VLOOKUP(TAB_SAIDA[[#This Row],[COD_2_SAIDA]],TAB_ESTOQUE[[Codigo]:[Descrição Tecnica]],6,FALSE)</f>
        <v>0</v>
      </c>
      <c r="C1611" s="15">
        <f>IFERROR(VLOOKUP(TAB_SAIDA[[#This Row],[COD_2_SAIDA]],TAB_ESTOQUE[[Codigo]:[Referência Tec]],7,FALSE),"")</f>
        <v>0</v>
      </c>
      <c r="D1611" s="15">
        <f>VLOOKUP(TAB_SAIDA[[#This Row],[COD_2_SAIDA]],TAB_ESTOQUE[[Codigo]:[Endereço2]],12,FALSE)</f>
        <v>0</v>
      </c>
      <c r="E1611" s="15">
        <f>SUM(TAB_SAIDA[[#This Row],[20/05/2019]:[00/00/00]])</f>
        <v>0</v>
      </c>
      <c r="F1611" s="3"/>
      <c r="BH1611" s="3"/>
    </row>
    <row r="1612" spans="1:60" ht="15" hidden="1" customHeight="1" x14ac:dyDescent="0.25">
      <c r="A1612" s="5" t="s">
        <v>8438</v>
      </c>
      <c r="B1612" s="15">
        <f>VLOOKUP(TAB_SAIDA[[#This Row],[COD_2_SAIDA]],TAB_ESTOQUE[[Codigo]:[Descrição Tecnica]],6,FALSE)</f>
        <v>0</v>
      </c>
      <c r="C1612" s="15">
        <f>IFERROR(VLOOKUP(TAB_SAIDA[[#This Row],[COD_2_SAIDA]],TAB_ESTOQUE[[Codigo]:[Referência Tec]],7,FALSE),"")</f>
        <v>0</v>
      </c>
      <c r="D1612" s="15">
        <f>VLOOKUP(TAB_SAIDA[[#This Row],[COD_2_SAIDA]],TAB_ESTOQUE[[Codigo]:[Endereço2]],12,FALSE)</f>
        <v>0</v>
      </c>
      <c r="E1612" s="15">
        <f>SUM(TAB_SAIDA[[#This Row],[20/05/2019]:[00/00/00]])</f>
        <v>0</v>
      </c>
      <c r="F1612" s="3"/>
      <c r="BH1612" s="3"/>
    </row>
    <row r="1613" spans="1:60" x14ac:dyDescent="0.25">
      <c r="AE1613" s="3" t="s">
        <v>2772</v>
      </c>
    </row>
  </sheetData>
  <pageMargins left="0.511811024" right="0.511811024" top="0.78740157499999996" bottom="0.78740157499999996" header="0.31496062000000002" footer="0.31496062000000002"/>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tabColor rgb="FF00B050"/>
  </sheetPr>
  <dimension ref="A1:HH1612"/>
  <sheetViews>
    <sheetView showGridLines="0" workbookViewId="0">
      <pane xSplit="5" ySplit="2" topLeftCell="HC3" activePane="bottomRight" state="frozen"/>
      <selection activeCell="B1" sqref="B1"/>
      <selection pane="topRight" activeCell="B1" sqref="B1"/>
      <selection pane="bottomLeft" activeCell="B1" sqref="B1"/>
      <selection pane="bottomRight" activeCell="HD1565" sqref="HD1565"/>
    </sheetView>
  </sheetViews>
  <sheetFormatPr defaultRowHeight="15" x14ac:dyDescent="0.25"/>
  <cols>
    <col min="1" max="1" width="16.85546875" style="13" customWidth="1"/>
    <col min="2" max="2" width="85.7109375" style="14" customWidth="1"/>
    <col min="3" max="3" width="0.28515625" style="14" customWidth="1"/>
    <col min="4" max="4" width="14.28515625" style="14" customWidth="1"/>
    <col min="5" max="5" width="0.140625" style="14" customWidth="1"/>
    <col min="6" max="6" width="16.140625" style="5" customWidth="1"/>
    <col min="7" max="10" width="13" style="3" bestFit="1" customWidth="1"/>
    <col min="11" max="11" width="12.28515625" style="3" customWidth="1"/>
    <col min="12" max="12" width="12.42578125" style="3" customWidth="1"/>
    <col min="13" max="13" width="13.42578125" style="3" customWidth="1"/>
    <col min="14" max="14" width="12.42578125" style="3" customWidth="1"/>
    <col min="15" max="15" width="12.140625" style="3" customWidth="1"/>
    <col min="16" max="17" width="11" style="3" customWidth="1"/>
    <col min="18" max="18" width="10.28515625" style="3" customWidth="1"/>
    <col min="19" max="19" width="10.5703125" style="3" customWidth="1"/>
    <col min="20" max="20" width="11.28515625" style="3" customWidth="1"/>
    <col min="21" max="21" width="11.140625" style="3" customWidth="1"/>
    <col min="22" max="23" width="11.5703125" style="3" customWidth="1"/>
    <col min="24" max="24" width="11.7109375" style="3" customWidth="1"/>
    <col min="25" max="25" width="9.85546875" style="3" customWidth="1"/>
    <col min="26" max="26" width="10.140625" style="3" customWidth="1"/>
    <col min="27" max="29" width="10.7109375" style="3" customWidth="1"/>
    <col min="30" max="30" width="11" style="3" customWidth="1"/>
    <col min="31" max="31" width="10.85546875" style="3" customWidth="1"/>
    <col min="32" max="32" width="10.7109375" style="3" customWidth="1"/>
    <col min="33" max="33" width="10.5703125" style="3" customWidth="1"/>
    <col min="34" max="34" width="10.7109375" style="3" customWidth="1"/>
    <col min="35" max="35" width="10.42578125" style="3" customWidth="1"/>
    <col min="36" max="37" width="12.42578125" style="3" customWidth="1"/>
    <col min="38" max="38" width="11.7109375" style="3" customWidth="1"/>
    <col min="39" max="39" width="12" style="3" customWidth="1"/>
    <col min="40" max="40" width="11.5703125" style="3" customWidth="1"/>
    <col min="41" max="42" width="11" style="3" customWidth="1"/>
    <col min="43" max="43" width="10.28515625" style="3" customWidth="1"/>
    <col min="44" max="45" width="11.5703125" style="3" customWidth="1"/>
    <col min="46" max="46" width="12.140625" style="3" customWidth="1"/>
    <col min="47" max="47" width="11.28515625" style="3" customWidth="1"/>
    <col min="48" max="48" width="12.140625" style="3" customWidth="1"/>
    <col min="49" max="51" width="11.7109375" style="3" customWidth="1"/>
    <col min="52" max="52" width="11.5703125" style="3" customWidth="1"/>
    <col min="53" max="53" width="9.140625" style="3"/>
    <col min="54" max="54" width="10.5703125" style="3" customWidth="1"/>
    <col min="55" max="56" width="11.5703125" style="3" customWidth="1"/>
    <col min="57" max="58" width="11.28515625" style="3" customWidth="1"/>
    <col min="59" max="59" width="11.5703125" style="3" customWidth="1"/>
    <col min="60" max="60" width="11.140625" style="3" customWidth="1"/>
    <col min="61" max="61" width="12.140625" style="3" customWidth="1"/>
    <col min="62" max="63" width="12" style="3" customWidth="1"/>
    <col min="64" max="64" width="12.5703125" style="3" customWidth="1"/>
    <col min="65" max="65" width="11.5703125" style="3" customWidth="1"/>
    <col min="66" max="66" width="11.7109375" style="3" customWidth="1"/>
    <col min="67" max="67" width="11.28515625" style="3" customWidth="1"/>
    <col min="68" max="68" width="10.7109375" style="3" customWidth="1"/>
    <col min="69" max="71" width="11" style="3" customWidth="1"/>
    <col min="72" max="72" width="10.5703125" style="3" customWidth="1"/>
    <col min="73" max="73" width="11.5703125" style="3" customWidth="1"/>
    <col min="74" max="74" width="11.28515625" style="3" customWidth="1"/>
    <col min="75" max="75" width="11.85546875" style="3" customWidth="1"/>
    <col min="76" max="76" width="11.42578125" style="3" customWidth="1"/>
    <col min="77" max="77" width="11.5703125" style="3" customWidth="1"/>
    <col min="78" max="78" width="10.140625" style="3" customWidth="1"/>
    <col min="79" max="79" width="11.140625" style="3" customWidth="1"/>
    <col min="80" max="80" width="10.7109375" style="3" customWidth="1"/>
    <col min="81" max="81" width="11.140625" style="3" customWidth="1"/>
    <col min="82" max="82" width="10.5703125" style="3" customWidth="1"/>
    <col min="83" max="83" width="10.42578125" style="3" customWidth="1"/>
    <col min="84" max="84" width="11.42578125" style="3" customWidth="1"/>
    <col min="85" max="85" width="11.7109375" style="3" customWidth="1"/>
    <col min="86" max="86" width="11.5703125" style="3" customWidth="1"/>
    <col min="87" max="87" width="11.42578125" style="3" customWidth="1"/>
    <col min="88" max="89" width="11.28515625" style="3" customWidth="1"/>
    <col min="90" max="90" width="11.85546875" style="3" customWidth="1"/>
    <col min="91" max="92" width="11.7109375" style="3" customWidth="1"/>
    <col min="93" max="93" width="11.85546875" style="3" customWidth="1"/>
    <col min="94" max="94" width="12" style="3" customWidth="1"/>
    <col min="95" max="95" width="11.7109375" style="3" customWidth="1"/>
    <col min="96" max="96" width="10.7109375" style="3" customWidth="1"/>
    <col min="97" max="97" width="11.85546875" style="3" bestFit="1" customWidth="1"/>
    <col min="98" max="98" width="9.140625" style="3"/>
    <col min="99" max="99" width="11.7109375" style="3" customWidth="1"/>
    <col min="100" max="100" width="9.140625" style="3"/>
    <col min="101" max="101" width="10.5703125" style="3" customWidth="1"/>
    <col min="102" max="102" width="10.7109375" style="3" customWidth="1"/>
    <col min="103" max="103" width="10.85546875" style="3" customWidth="1"/>
    <col min="104" max="104" width="9.140625" style="3"/>
    <col min="105" max="105" width="10.85546875" style="3" customWidth="1"/>
    <col min="106" max="106" width="11.28515625" style="3" customWidth="1"/>
    <col min="107" max="107" width="11.42578125" style="3" customWidth="1"/>
    <col min="108" max="108" width="11.7109375" style="3" customWidth="1"/>
    <col min="109" max="109" width="9.7109375" style="3" customWidth="1"/>
    <col min="110" max="110" width="10.5703125" style="3" customWidth="1"/>
    <col min="111" max="111" width="11.28515625" style="3" customWidth="1"/>
    <col min="112" max="112" width="11.5703125" style="3" bestFit="1" customWidth="1"/>
    <col min="113" max="113" width="12" style="3" customWidth="1"/>
    <col min="114" max="114" width="11.42578125" style="3" customWidth="1"/>
    <col min="115" max="115" width="11.28515625" style="3" customWidth="1"/>
    <col min="116" max="117" width="11.140625" style="3" customWidth="1"/>
    <col min="118" max="118" width="11" style="3" customWidth="1"/>
    <col min="119" max="120" width="12" style="3" customWidth="1"/>
    <col min="121" max="122" width="11.85546875" style="3" customWidth="1"/>
    <col min="123" max="124" width="12.140625" style="3" customWidth="1"/>
    <col min="125" max="125" width="11.85546875" style="3" customWidth="1"/>
    <col min="126" max="126" width="10.5703125" style="3" bestFit="1" customWidth="1"/>
    <col min="127" max="127" width="10.7109375" style="3" customWidth="1"/>
    <col min="128" max="130" width="11.5703125" style="3" customWidth="1"/>
    <col min="131" max="131" width="9.140625" style="3"/>
    <col min="132" max="132" width="11.28515625" style="3" customWidth="1"/>
    <col min="133" max="134" width="12.140625" style="3" customWidth="1"/>
    <col min="135" max="135" width="10.85546875" style="3" customWidth="1"/>
    <col min="136" max="136" width="12" style="3" customWidth="1"/>
    <col min="137" max="139" width="11.85546875" style="3" customWidth="1"/>
    <col min="140" max="140" width="11.5703125" style="3" customWidth="1"/>
    <col min="141" max="141" width="11.85546875" style="3" customWidth="1"/>
    <col min="142" max="146" width="12.140625" style="3" customWidth="1"/>
    <col min="147" max="149" width="12.85546875" style="3" customWidth="1"/>
    <col min="150" max="150" width="11.42578125" style="3" customWidth="1"/>
    <col min="151" max="152" width="10.28515625" style="3" customWidth="1"/>
    <col min="153" max="160" width="11.140625" style="3" customWidth="1"/>
    <col min="161" max="166" width="11.7109375" style="3" customWidth="1"/>
    <col min="167" max="179" width="11.5703125" style="3" customWidth="1"/>
    <col min="180" max="184" width="12.140625" style="3" customWidth="1"/>
    <col min="185" max="185" width="11.140625" style="3" customWidth="1"/>
    <col min="186" max="197" width="11.7109375" style="3" customWidth="1"/>
    <col min="198" max="198" width="9.140625" style="3"/>
    <col min="199" max="202" width="12" style="3" customWidth="1"/>
    <col min="203" max="203" width="10.7109375" style="3" customWidth="1"/>
    <col min="204" max="213" width="12" style="3" customWidth="1"/>
    <col min="214" max="215" width="11" style="3" customWidth="1"/>
    <col min="216" max="16384" width="9.140625" style="3"/>
  </cols>
  <sheetData>
    <row r="1" spans="1:216" s="2" customFormat="1" ht="39" customHeight="1" x14ac:dyDescent="0.7">
      <c r="A1" s="16" t="s">
        <v>1149</v>
      </c>
      <c r="B1" s="16"/>
      <c r="C1" s="16"/>
      <c r="D1" s="16"/>
      <c r="E1" s="16"/>
      <c r="F1" s="10"/>
      <c r="G1" s="1"/>
      <c r="K1" s="6" t="s">
        <v>1158</v>
      </c>
    </row>
    <row r="2" spans="1:216" x14ac:dyDescent="0.25">
      <c r="A2" s="13" t="s">
        <v>1208</v>
      </c>
      <c r="B2" s="14" t="s">
        <v>1147</v>
      </c>
      <c r="C2" s="14" t="s">
        <v>1148</v>
      </c>
      <c r="D2" s="14" t="s">
        <v>1226</v>
      </c>
      <c r="E2" s="14" t="s">
        <v>1151</v>
      </c>
      <c r="F2" s="4" t="s">
        <v>1150</v>
      </c>
      <c r="G2" s="4" t="s">
        <v>1152</v>
      </c>
      <c r="H2" s="4" t="s">
        <v>1153</v>
      </c>
      <c r="I2" s="4" t="s">
        <v>1209</v>
      </c>
      <c r="J2" s="4" t="s">
        <v>1210</v>
      </c>
      <c r="K2" s="4" t="s">
        <v>1244</v>
      </c>
      <c r="L2" s="4" t="s">
        <v>1327</v>
      </c>
      <c r="M2" s="4" t="s">
        <v>1333</v>
      </c>
      <c r="N2" s="4" t="s">
        <v>1335</v>
      </c>
      <c r="O2" s="4" t="s">
        <v>1372</v>
      </c>
      <c r="P2" s="4" t="s">
        <v>1380</v>
      </c>
      <c r="Q2" s="4" t="s">
        <v>1430</v>
      </c>
      <c r="R2" s="4" t="s">
        <v>1396</v>
      </c>
      <c r="S2" s="4" t="s">
        <v>1437</v>
      </c>
      <c r="T2" s="4" t="s">
        <v>1588</v>
      </c>
      <c r="U2" s="4" t="s">
        <v>1590</v>
      </c>
      <c r="V2" s="4" t="s">
        <v>1614</v>
      </c>
      <c r="W2" s="4" t="s">
        <v>2774</v>
      </c>
      <c r="X2" s="4" t="s">
        <v>3115</v>
      </c>
      <c r="Y2" s="4" t="s">
        <v>3114</v>
      </c>
      <c r="Z2" s="4" t="s">
        <v>6016</v>
      </c>
      <c r="AA2" s="4" t="s">
        <v>6064</v>
      </c>
      <c r="AB2" s="4" t="s">
        <v>6069</v>
      </c>
      <c r="AC2" s="4" t="s">
        <v>6242</v>
      </c>
      <c r="AD2" s="4" t="s">
        <v>6248</v>
      </c>
      <c r="AE2" s="4" t="s">
        <v>6623</v>
      </c>
      <c r="AF2" s="4" t="s">
        <v>6631</v>
      </c>
      <c r="AG2" s="4" t="s">
        <v>6742</v>
      </c>
      <c r="AH2" s="4" t="s">
        <v>6744</v>
      </c>
      <c r="AI2" s="4" t="s">
        <v>6761</v>
      </c>
      <c r="AJ2" s="4" t="s">
        <v>6789</v>
      </c>
      <c r="AK2" s="4" t="s">
        <v>6827</v>
      </c>
      <c r="AL2" s="4" t="s">
        <v>6825</v>
      </c>
      <c r="AM2" s="4" t="s">
        <v>6849</v>
      </c>
      <c r="AN2" s="4" t="s">
        <v>6873</v>
      </c>
      <c r="AO2" s="4" t="s">
        <v>6875</v>
      </c>
      <c r="AP2" s="4" t="s">
        <v>6891</v>
      </c>
      <c r="AQ2" s="4" t="s">
        <v>6912</v>
      </c>
      <c r="AR2" s="4" t="s">
        <v>6945</v>
      </c>
      <c r="AS2" s="4" t="s">
        <v>6946</v>
      </c>
      <c r="AT2" s="4" t="s">
        <v>6985</v>
      </c>
      <c r="AU2" s="4" t="s">
        <v>6962</v>
      </c>
      <c r="AV2" s="4" t="s">
        <v>6964</v>
      </c>
      <c r="AW2" s="4" t="s">
        <v>6983</v>
      </c>
      <c r="AX2" s="4" t="s">
        <v>6967</v>
      </c>
      <c r="AY2" s="4" t="s">
        <v>6969</v>
      </c>
      <c r="AZ2" s="4" t="s">
        <v>6973</v>
      </c>
      <c r="BA2" s="4" t="s">
        <v>6984</v>
      </c>
      <c r="BB2" s="4" t="s">
        <v>7004</v>
      </c>
      <c r="BC2" s="4" t="s">
        <v>7005</v>
      </c>
      <c r="BD2" s="4" t="s">
        <v>7019</v>
      </c>
      <c r="BE2" s="4" t="s">
        <v>7025</v>
      </c>
      <c r="BF2" s="4" t="s">
        <v>7157</v>
      </c>
      <c r="BG2" s="4" t="s">
        <v>7178</v>
      </c>
      <c r="BH2" s="4" t="s">
        <v>7170</v>
      </c>
      <c r="BI2" s="4" t="s">
        <v>7173</v>
      </c>
      <c r="BJ2" s="9" t="s">
        <v>7179</v>
      </c>
      <c r="BK2" s="9" t="s">
        <v>7180</v>
      </c>
      <c r="BL2" s="9" t="s">
        <v>7231</v>
      </c>
      <c r="BM2" s="9" t="s">
        <v>7238</v>
      </c>
      <c r="BN2" s="9" t="s">
        <v>7239</v>
      </c>
      <c r="BO2" s="9" t="s">
        <v>7256</v>
      </c>
      <c r="BP2" s="9" t="s">
        <v>7282</v>
      </c>
      <c r="BQ2" s="9" t="s">
        <v>7290</v>
      </c>
      <c r="BR2" s="9" t="s">
        <v>7316</v>
      </c>
      <c r="BS2" s="9" t="s">
        <v>7336</v>
      </c>
      <c r="BT2" s="9" t="s">
        <v>7337</v>
      </c>
      <c r="BU2" s="9" t="s">
        <v>7338</v>
      </c>
      <c r="BV2" s="9" t="s">
        <v>7342</v>
      </c>
      <c r="BW2" s="9" t="s">
        <v>7344</v>
      </c>
      <c r="BX2" s="9" t="s">
        <v>7347</v>
      </c>
      <c r="BY2" s="9" t="s">
        <v>7358</v>
      </c>
      <c r="BZ2" s="9" t="s">
        <v>7361</v>
      </c>
      <c r="CA2" s="9" t="s">
        <v>7362</v>
      </c>
      <c r="CB2" s="9" t="s">
        <v>7366</v>
      </c>
      <c r="CC2" s="9" t="s">
        <v>7367</v>
      </c>
      <c r="CD2" s="9" t="s">
        <v>7379</v>
      </c>
      <c r="CE2" s="9" t="s">
        <v>7396</v>
      </c>
      <c r="CF2" s="9" t="s">
        <v>7397</v>
      </c>
      <c r="CG2" s="9" t="s">
        <v>7399</v>
      </c>
      <c r="CH2" s="9" t="s">
        <v>7407</v>
      </c>
      <c r="CI2" s="9" t="s">
        <v>7408</v>
      </c>
      <c r="CJ2" s="9" t="s">
        <v>7439</v>
      </c>
      <c r="CK2" s="9" t="s">
        <v>7440</v>
      </c>
      <c r="CL2" s="9" t="s">
        <v>7425</v>
      </c>
      <c r="CM2" s="9" t="s">
        <v>7428</v>
      </c>
      <c r="CN2" s="9" t="s">
        <v>7434</v>
      </c>
      <c r="CO2" s="9" t="s">
        <v>7438</v>
      </c>
      <c r="CP2" s="9" t="s">
        <v>7441</v>
      </c>
      <c r="CQ2" s="9" t="s">
        <v>7460</v>
      </c>
      <c r="CR2" s="9" t="s">
        <v>7469</v>
      </c>
      <c r="CS2" s="9" t="s">
        <v>7498</v>
      </c>
      <c r="CT2" s="9" t="s">
        <v>7493</v>
      </c>
      <c r="CU2" s="9" t="s">
        <v>7499</v>
      </c>
      <c r="CV2" s="9" t="s">
        <v>7488</v>
      </c>
      <c r="CW2" s="9" t="s">
        <v>7504</v>
      </c>
      <c r="CX2" s="9" t="s">
        <v>7503</v>
      </c>
      <c r="CY2" s="9" t="s">
        <v>7508</v>
      </c>
      <c r="CZ2" s="9" t="s">
        <v>7505</v>
      </c>
      <c r="DA2" s="9" t="s">
        <v>7539</v>
      </c>
      <c r="DB2" s="9" t="s">
        <v>7511</v>
      </c>
      <c r="DC2" s="9" t="s">
        <v>7517</v>
      </c>
      <c r="DD2" s="9" t="s">
        <v>7535</v>
      </c>
      <c r="DE2" s="9" t="s">
        <v>7546</v>
      </c>
      <c r="DF2" s="9" t="s">
        <v>7550</v>
      </c>
      <c r="DG2" s="9" t="s">
        <v>7556</v>
      </c>
      <c r="DH2" s="9" t="s">
        <v>7557</v>
      </c>
      <c r="DI2" s="9" t="s">
        <v>7578</v>
      </c>
      <c r="DJ2" s="9" t="s">
        <v>7598</v>
      </c>
      <c r="DK2" s="9" t="s">
        <v>7604</v>
      </c>
      <c r="DL2" s="9" t="s">
        <v>7609</v>
      </c>
      <c r="DM2" s="9" t="s">
        <v>7613</v>
      </c>
      <c r="DN2" s="9" t="s">
        <v>7612</v>
      </c>
      <c r="DO2" s="9" t="s">
        <v>7620</v>
      </c>
      <c r="DP2" s="9" t="s">
        <v>7637</v>
      </c>
      <c r="DQ2" s="9" t="s">
        <v>7625</v>
      </c>
      <c r="DR2" s="9" t="s">
        <v>7669</v>
      </c>
      <c r="DS2" s="9" t="s">
        <v>7674</v>
      </c>
      <c r="DT2" s="9" t="s">
        <v>7846</v>
      </c>
      <c r="DU2" s="9" t="s">
        <v>7827</v>
      </c>
      <c r="DV2" s="9" t="s">
        <v>7850</v>
      </c>
      <c r="DW2" s="9" t="s">
        <v>7875</v>
      </c>
      <c r="DX2" s="9" t="s">
        <v>7918</v>
      </c>
      <c r="DY2" s="9" t="s">
        <v>7906</v>
      </c>
      <c r="DZ2" s="9" t="s">
        <v>7936</v>
      </c>
      <c r="EA2" s="9" t="s">
        <v>7925</v>
      </c>
      <c r="EB2" s="9" t="s">
        <v>7953</v>
      </c>
      <c r="EC2" s="9" t="s">
        <v>7957</v>
      </c>
      <c r="ED2" s="9" t="s">
        <v>8030</v>
      </c>
      <c r="EE2" s="9" t="s">
        <v>7967</v>
      </c>
      <c r="EF2" s="9" t="s">
        <v>7980</v>
      </c>
      <c r="EG2" s="9" t="s">
        <v>7996</v>
      </c>
      <c r="EH2" s="9" t="s">
        <v>8018</v>
      </c>
      <c r="EI2" s="9" t="s">
        <v>8084</v>
      </c>
      <c r="EJ2" s="9" t="s">
        <v>8077</v>
      </c>
      <c r="EK2" s="9" t="s">
        <v>8080</v>
      </c>
      <c r="EL2" s="9" t="s">
        <v>8083</v>
      </c>
      <c r="EM2" s="9" t="s">
        <v>8331</v>
      </c>
      <c r="EN2" s="9" t="s">
        <v>8094</v>
      </c>
      <c r="EO2" s="9" t="s">
        <v>8101</v>
      </c>
      <c r="EP2" s="9" t="s">
        <v>8102</v>
      </c>
      <c r="EQ2" s="9" t="s">
        <v>8104</v>
      </c>
      <c r="ER2" s="9" t="s">
        <v>8126</v>
      </c>
      <c r="ES2" s="9" t="s">
        <v>8116</v>
      </c>
      <c r="ET2" s="9" t="s">
        <v>8115</v>
      </c>
      <c r="EU2" s="9" t="s">
        <v>8134</v>
      </c>
      <c r="EV2" s="9" t="s">
        <v>8135</v>
      </c>
      <c r="EW2" s="9" t="s">
        <v>8227</v>
      </c>
      <c r="EX2" s="9" t="s">
        <v>8292</v>
      </c>
      <c r="EY2" s="9" t="s">
        <v>8293</v>
      </c>
      <c r="EZ2" s="9" t="s">
        <v>8308</v>
      </c>
      <c r="FA2" s="9" t="s">
        <v>8375</v>
      </c>
      <c r="FB2" s="9" t="s">
        <v>8397</v>
      </c>
      <c r="FC2" s="9" t="s">
        <v>8336</v>
      </c>
      <c r="FD2" s="9" t="s">
        <v>8377</v>
      </c>
      <c r="FE2" s="9" t="s">
        <v>8383</v>
      </c>
      <c r="FF2" s="9" t="s">
        <v>8388</v>
      </c>
      <c r="FG2" s="9" t="s">
        <v>8412</v>
      </c>
      <c r="FH2" s="9" t="s">
        <v>8425</v>
      </c>
      <c r="FI2" s="9" t="s">
        <v>8451</v>
      </c>
      <c r="FJ2" s="9" t="s">
        <v>8456</v>
      </c>
      <c r="FK2" s="9" t="s">
        <v>8767</v>
      </c>
      <c r="FL2" s="9" t="s">
        <v>8769</v>
      </c>
      <c r="FM2" s="9" t="s">
        <v>8774</v>
      </c>
      <c r="FN2" s="9" t="s">
        <v>8775</v>
      </c>
      <c r="FO2" s="9" t="s">
        <v>8776</v>
      </c>
      <c r="FP2" s="9" t="s">
        <v>8779</v>
      </c>
      <c r="FQ2" s="9" t="s">
        <v>8801</v>
      </c>
      <c r="FR2" s="9" t="s">
        <v>8841</v>
      </c>
      <c r="FS2" s="9" t="s">
        <v>8846</v>
      </c>
      <c r="FT2" s="9" t="s">
        <v>8802</v>
      </c>
      <c r="FU2" s="9" t="s">
        <v>8804</v>
      </c>
      <c r="FV2" s="9" t="s">
        <v>8808</v>
      </c>
      <c r="FW2" s="9" t="s">
        <v>8813</v>
      </c>
      <c r="FX2" s="9" t="s">
        <v>8811</v>
      </c>
      <c r="FY2" s="9" t="s">
        <v>8814</v>
      </c>
      <c r="FZ2" s="9" t="s">
        <v>8842</v>
      </c>
      <c r="GA2" s="9" t="s">
        <v>8853</v>
      </c>
      <c r="GB2" s="9" t="s">
        <v>8854</v>
      </c>
      <c r="GC2" s="9" t="s">
        <v>8855</v>
      </c>
      <c r="GD2" s="9" t="s">
        <v>8857</v>
      </c>
      <c r="GE2" s="9" t="s">
        <v>8861</v>
      </c>
      <c r="GF2" s="9" t="s">
        <v>8888</v>
      </c>
      <c r="GG2" s="9" t="s">
        <v>8887</v>
      </c>
      <c r="GH2" s="9" t="s">
        <v>8893</v>
      </c>
      <c r="GI2" s="9" t="s">
        <v>8903</v>
      </c>
      <c r="GJ2" s="9" t="s">
        <v>8911</v>
      </c>
      <c r="GK2" s="9" t="s">
        <v>8913</v>
      </c>
      <c r="GL2" s="9" t="s">
        <v>8932</v>
      </c>
      <c r="GM2" s="9" t="s">
        <v>8914</v>
      </c>
      <c r="GN2" s="9" t="s">
        <v>8947</v>
      </c>
      <c r="GO2" s="9" t="s">
        <v>8938</v>
      </c>
      <c r="GP2" s="9" t="s">
        <v>8937</v>
      </c>
      <c r="GQ2" s="9" t="s">
        <v>8946</v>
      </c>
      <c r="GR2" s="9" t="s">
        <v>8948</v>
      </c>
      <c r="GS2" s="9" t="s">
        <v>8962</v>
      </c>
      <c r="GT2" s="9" t="s">
        <v>8961</v>
      </c>
      <c r="GU2" s="9" t="s">
        <v>8998</v>
      </c>
      <c r="GV2" s="9" t="s">
        <v>8982</v>
      </c>
      <c r="GW2" s="9" t="s">
        <v>8984</v>
      </c>
      <c r="GX2" s="9" t="s">
        <v>8988</v>
      </c>
      <c r="GY2" s="9" t="s">
        <v>8991</v>
      </c>
      <c r="GZ2" s="9" t="s">
        <v>9003</v>
      </c>
      <c r="HA2" s="9" t="s">
        <v>9005</v>
      </c>
      <c r="HB2" s="9" t="s">
        <v>9010</v>
      </c>
      <c r="HC2" s="9" t="s">
        <v>9014</v>
      </c>
      <c r="HD2" s="9" t="s">
        <v>9039</v>
      </c>
      <c r="HE2" s="9" t="s">
        <v>9046</v>
      </c>
      <c r="HF2" s="9" t="s">
        <v>9040</v>
      </c>
      <c r="HG2" s="9" t="s">
        <v>9042</v>
      </c>
      <c r="HH2" s="9" t="s">
        <v>7784</v>
      </c>
    </row>
    <row r="3" spans="1:216" x14ac:dyDescent="0.25">
      <c r="A3" s="5" t="s">
        <v>1660</v>
      </c>
      <c r="B3" s="14" t="str">
        <f>VLOOKUP(TAB_ENTRADA[[#This Row],[Cod_2_Entrada]],TAB_ESTOQUE[[Codigo]:[Descrição Tecnica]],6,FALSE)</f>
        <v>MODULO DE FREIO SEW  13000063 Uin24V DC Ue 20...30V DC  I n 5,0A DC</v>
      </c>
      <c r="C3" s="14">
        <f>IFERROR(VLOOKUP(TAB_ENTRADA[[#This Row],[Cod_2_Entrada]],TAB_ESTOQUE[[Codigo]:[Referência Tec]],7,FALSE),"")</f>
        <v>0</v>
      </c>
      <c r="D3" s="14" t="str">
        <f>VLOOKUP(TAB_ENTRADA[[#This Row],[Cod_2_Entrada]],TAB_ESTOQUE[[Codigo]:[Endereço2]],12,FALSE)</f>
        <v>B1103</v>
      </c>
      <c r="E3" s="14">
        <f>SUM(TAB_ENTRADA[[#This Row],[20/05/2019]:[Colunas1]])</f>
        <v>1</v>
      </c>
      <c r="F3" s="3"/>
      <c r="FK3" s="3">
        <v>1</v>
      </c>
    </row>
    <row r="4" spans="1:216" x14ac:dyDescent="0.25">
      <c r="A4" s="5" t="s">
        <v>1661</v>
      </c>
      <c r="B4" s="14" t="str">
        <f>VLOOKUP(TAB_ENTRADA[[#This Row],[Cod_2_Entrada]],TAB_ESTOQUE[[Codigo]:[Descrição Tecnica]],6,FALSE)</f>
        <v>FITA ISOLANTE PARA/ ALTA TENSÃO SCOTCH 23 - AUTOFUSÃO 19MM X 10M</v>
      </c>
      <c r="C4" s="14">
        <f>IFERROR(VLOOKUP(TAB_ENTRADA[[#This Row],[Cod_2_Entrada]],TAB_ESTOQUE[[Codigo]:[Referência Tec]],7,FALSE),"")</f>
        <v>0</v>
      </c>
      <c r="D4" s="14" t="str">
        <f>VLOOKUP(TAB_ENTRADA[[#This Row],[Cod_2_Entrada]],TAB_ESTOQUE[[Codigo]:[Endereço2]],12,FALSE)</f>
        <v>ARMARIO</v>
      </c>
      <c r="E4" s="14">
        <f>SUM(TAB_ENTRADA[[#This Row],[20/05/2019]:[Colunas1]])</f>
        <v>39</v>
      </c>
      <c r="F4" s="3"/>
      <c r="FK4" s="3">
        <v>9</v>
      </c>
      <c r="GF4" s="3">
        <v>30</v>
      </c>
    </row>
    <row r="5" spans="1:216" x14ac:dyDescent="0.25">
      <c r="A5" s="5" t="s">
        <v>1662</v>
      </c>
      <c r="B5" s="14" t="str">
        <f>VLOOKUP(TAB_ENTRADA[[#This Row],[Cod_2_Entrada]],TAB_ESTOQUE[[Codigo]:[Descrição Tecnica]],6,FALSE)</f>
        <v>FITA ISOLANTE PROFISSIONAL PRETA  / 19MM X 20M 33+</v>
      </c>
      <c r="C5" s="14">
        <f>IFERROR(VLOOKUP(TAB_ENTRADA[[#This Row],[Cod_2_Entrada]],TAB_ESTOQUE[[Codigo]:[Referência Tec]],7,FALSE),"")</f>
        <v>0</v>
      </c>
      <c r="D5" s="14" t="str">
        <f>VLOOKUP(TAB_ENTRADA[[#This Row],[Cod_2_Entrada]],TAB_ESTOQUE[[Codigo]:[Endereço2]],12,FALSE)</f>
        <v>ARMARIO</v>
      </c>
      <c r="E5" s="14">
        <f>SUM(TAB_ENTRADA[[#This Row],[20/05/2019]:[Colunas1]])</f>
        <v>79</v>
      </c>
      <c r="F5" s="3"/>
      <c r="FK5" s="3">
        <v>19</v>
      </c>
      <c r="GF5" s="3">
        <v>40</v>
      </c>
      <c r="HD5" s="3">
        <v>20</v>
      </c>
    </row>
    <row r="6" spans="1:216" x14ac:dyDescent="0.25">
      <c r="A6" s="5" t="s">
        <v>1663</v>
      </c>
      <c r="B6" s="14" t="str">
        <f>VLOOKUP(TAB_ENTRADA[[#This Row],[Cod_2_Entrada]],TAB_ESTOQUE[[Codigo]:[Descrição Tecnica]],6,FALSE)</f>
        <v xml:space="preserve">TOMADAS DE 10  AMPERES </v>
      </c>
      <c r="C6" s="14">
        <f>IFERROR(VLOOKUP(TAB_ENTRADA[[#This Row],[Cod_2_Entrada]],TAB_ESTOQUE[[Codigo]:[Referência Tec]],7,FALSE),"")</f>
        <v>0</v>
      </c>
      <c r="D6" s="14" t="str">
        <f>VLOOKUP(TAB_ENTRADA[[#This Row],[Cod_2_Entrada]],TAB_ESTOQUE[[Codigo]:[Endereço2]],12,FALSE)</f>
        <v>A1402</v>
      </c>
      <c r="E6" s="14">
        <f>SUM(TAB_ENTRADA[[#This Row],[20/05/2019]:[Colunas1]])</f>
        <v>8</v>
      </c>
      <c r="F6" s="3"/>
      <c r="FK6" s="3">
        <v>8</v>
      </c>
    </row>
    <row r="7" spans="1:216" x14ac:dyDescent="0.25">
      <c r="A7" s="5" t="s">
        <v>1664</v>
      </c>
      <c r="B7" s="14" t="str">
        <f>VLOOKUP(TAB_ENTRADA[[#This Row],[Cod_2_Entrada]],TAB_ESTOQUE[[Codigo]:[Descrição Tecnica]],6,FALSE)</f>
        <v>REATOR ELETRÔNICO PHILIPS 2X32W 127/230V - REF. EB232A16/26P</v>
      </c>
      <c r="C7" s="14">
        <f>IFERROR(VLOOKUP(TAB_ENTRADA[[#This Row],[Cod_2_Entrada]],TAB_ESTOQUE[[Codigo]:[Referência Tec]],7,FALSE),"")</f>
        <v>0</v>
      </c>
      <c r="D7" s="14" t="str">
        <f>VLOOKUP(TAB_ENTRADA[[#This Row],[Cod_2_Entrada]],TAB_ESTOQUE[[Codigo]:[Endereço2]],12,FALSE)</f>
        <v>A1405</v>
      </c>
      <c r="E7" s="14">
        <f>SUM(TAB_ENTRADA[[#This Row],[20/05/2019]:[Colunas1]])</f>
        <v>4</v>
      </c>
      <c r="F7" s="3"/>
      <c r="FK7" s="3">
        <v>4</v>
      </c>
    </row>
    <row r="8" spans="1:216" x14ac:dyDescent="0.25">
      <c r="A8" s="5" t="s">
        <v>1665</v>
      </c>
      <c r="B8" s="14" t="str">
        <f>VLOOKUP(TAB_ENTRADA[[#This Row],[Cod_2_Entrada]],TAB_ESTOQUE[[Codigo]:[Descrição Tecnica]],6,FALSE)</f>
        <v>CONDULETE ALUM: E 1" COM ROSCA</v>
      </c>
      <c r="C8" s="14">
        <f>IFERROR(VLOOKUP(TAB_ENTRADA[[#This Row],[Cod_2_Entrada]],TAB_ESTOQUE[[Codigo]:[Referência Tec]],7,FALSE),"")</f>
        <v>0</v>
      </c>
      <c r="D8" s="14" t="str">
        <f>VLOOKUP(TAB_ENTRADA[[#This Row],[Cod_2_Entrada]],TAB_ESTOQUE[[Codigo]:[Endereço2]],12,FALSE)</f>
        <v>A1402</v>
      </c>
      <c r="E8" s="14">
        <f>SUM(TAB_ENTRADA[[#This Row],[20/05/2019]:[Colunas1]])</f>
        <v>12</v>
      </c>
      <c r="F8" s="3"/>
      <c r="FK8" s="3">
        <v>12</v>
      </c>
    </row>
    <row r="9" spans="1:216" x14ac:dyDescent="0.25">
      <c r="A9" s="5" t="s">
        <v>1666</v>
      </c>
      <c r="B9" s="14" t="str">
        <f>VLOOKUP(TAB_ENTRADA[[#This Row],[Cod_2_Entrada]],TAB_ESTOQUE[[Codigo]:[Descrição Tecnica]],6,FALSE)</f>
        <v>ACOPLAMENTO STECK N3059 16A-9h/380-440V 2P+</v>
      </c>
      <c r="C9" s="14">
        <f>IFERROR(VLOOKUP(TAB_ENTRADA[[#This Row],[Cod_2_Entrada]],TAB_ESTOQUE[[Codigo]:[Referência Tec]],7,FALSE),"")</f>
        <v>0</v>
      </c>
      <c r="D9" s="14" t="str">
        <f>VLOOKUP(TAB_ENTRADA[[#This Row],[Cod_2_Entrada]],TAB_ESTOQUE[[Codigo]:[Endereço2]],12,FALSE)</f>
        <v>A1405</v>
      </c>
      <c r="E9" s="14">
        <f>SUM(TAB_ENTRADA[[#This Row],[20/05/2019]:[Colunas1]])</f>
        <v>5</v>
      </c>
      <c r="F9" s="3"/>
      <c r="FK9" s="3">
        <v>5</v>
      </c>
    </row>
    <row r="10" spans="1:216" x14ac:dyDescent="0.25">
      <c r="A10" s="5" t="s">
        <v>1667</v>
      </c>
      <c r="B10" s="14" t="str">
        <f>VLOOKUP(TAB_ENTRADA[[#This Row],[Cod_2_Entrada]],TAB_ESTOQUE[[Codigo]:[Descrição Tecnica]],6,FALSE)</f>
        <v>FUSIVEL CERAMICO RESISTENCIAS DO PARSEL SHELF 10A</v>
      </c>
      <c r="C10" s="14">
        <f>IFERROR(VLOOKUP(TAB_ENTRADA[[#This Row],[Cod_2_Entrada]],TAB_ESTOQUE[[Codigo]:[Referência Tec]],7,FALSE),"")</f>
        <v>0</v>
      </c>
      <c r="D10" s="14" t="str">
        <f>VLOOKUP(TAB_ENTRADA[[#This Row],[Cod_2_Entrada]],TAB_ESTOQUE[[Codigo]:[Endereço2]],12,FALSE)</f>
        <v>A1204</v>
      </c>
      <c r="E10" s="14">
        <f>SUM(TAB_ENTRADA[[#This Row],[20/05/2019]:[Colunas1]])</f>
        <v>72</v>
      </c>
      <c r="F10" s="3"/>
      <c r="FK10" s="3">
        <v>72</v>
      </c>
    </row>
    <row r="11" spans="1:216" x14ac:dyDescent="0.25">
      <c r="A11" s="5" t="s">
        <v>1668</v>
      </c>
      <c r="B11" s="14" t="str">
        <f>VLOOKUP(TAB_ENTRADA[[#This Row],[Cod_2_Entrada]],TAB_ESTOQUE[[Codigo]:[Descrição Tecnica]],6,FALSE)</f>
        <v>FUSIVEL DE VIDRO 1,5A</v>
      </c>
      <c r="C11" s="14">
        <f>IFERROR(VLOOKUP(TAB_ENTRADA[[#This Row],[Cod_2_Entrada]],TAB_ESTOQUE[[Codigo]:[Referência Tec]],7,FALSE),"")</f>
        <v>0</v>
      </c>
      <c r="D11" s="14" t="str">
        <f>VLOOKUP(TAB_ENTRADA[[#This Row],[Cod_2_Entrada]],TAB_ESTOQUE[[Codigo]:[Endereço2]],12,FALSE)</f>
        <v>A1204</v>
      </c>
      <c r="E11" s="14">
        <f>SUM(TAB_ENTRADA[[#This Row],[20/05/2019]:[Colunas1]])</f>
        <v>0</v>
      </c>
      <c r="F11" s="3"/>
      <c r="FK11" s="3">
        <v>0</v>
      </c>
    </row>
    <row r="12" spans="1:216" x14ac:dyDescent="0.25">
      <c r="A12" s="5" t="s">
        <v>1669</v>
      </c>
      <c r="B12" s="14" t="str">
        <f>VLOOKUP(TAB_ENTRADA[[#This Row],[Cod_2_Entrada]],TAB_ESTOQUE[[Codigo]:[Descrição Tecnica]],6,FALSE)</f>
        <v>FUSIVEL DE VIDRO  2,5A</v>
      </c>
      <c r="C12" s="14">
        <f>IFERROR(VLOOKUP(TAB_ENTRADA[[#This Row],[Cod_2_Entrada]],TAB_ESTOQUE[[Codigo]:[Referência Tec]],7,FALSE),"")</f>
        <v>0</v>
      </c>
      <c r="D12" s="14" t="str">
        <f>VLOOKUP(TAB_ENTRADA[[#This Row],[Cod_2_Entrada]],TAB_ESTOQUE[[Codigo]:[Endereço2]],12,FALSE)</f>
        <v>A1204</v>
      </c>
      <c r="E12" s="14">
        <f>SUM(TAB_ENTRADA[[#This Row],[20/05/2019]:[Colunas1]])</f>
        <v>0</v>
      </c>
      <c r="F12" s="3"/>
      <c r="FK12" s="3">
        <v>0</v>
      </c>
    </row>
    <row r="13" spans="1:216" x14ac:dyDescent="0.25">
      <c r="A13" s="5" t="s">
        <v>1670</v>
      </c>
      <c r="B13" s="14" t="str">
        <f>VLOOKUP(TAB_ENTRADA[[#This Row],[Cod_2_Entrada]],TAB_ESTOQUE[[Codigo]:[Descrição Tecnica]],6,FALSE)</f>
        <v>FUSIVEL DE VIDRO  3A</v>
      </c>
      <c r="C13" s="14">
        <f>IFERROR(VLOOKUP(TAB_ENTRADA[[#This Row],[Cod_2_Entrada]],TAB_ESTOQUE[[Codigo]:[Referência Tec]],7,FALSE),"")</f>
        <v>0</v>
      </c>
      <c r="D13" s="14" t="str">
        <f>VLOOKUP(TAB_ENTRADA[[#This Row],[Cod_2_Entrada]],TAB_ESTOQUE[[Codigo]:[Endereço2]],12,FALSE)</f>
        <v>A1204</v>
      </c>
      <c r="E13" s="14">
        <f>SUM(TAB_ENTRADA[[#This Row],[20/05/2019]:[Colunas1]])</f>
        <v>0</v>
      </c>
      <c r="F13" s="3"/>
      <c r="FK13" s="3">
        <v>0</v>
      </c>
    </row>
    <row r="14" spans="1:216" x14ac:dyDescent="0.25">
      <c r="A14" s="5" t="s">
        <v>1671</v>
      </c>
      <c r="B14" s="14" t="str">
        <f>VLOOKUP(TAB_ENTRADA[[#This Row],[Cod_2_Entrada]],TAB_ESTOQUE[[Codigo]:[Descrição Tecnica]],6,FALSE)</f>
        <v>FUSIVEL DE VIDRO 6A</v>
      </c>
      <c r="C14" s="14">
        <f>IFERROR(VLOOKUP(TAB_ENTRADA[[#This Row],[Cod_2_Entrada]],TAB_ESTOQUE[[Codigo]:[Referência Tec]],7,FALSE),"")</f>
        <v>0</v>
      </c>
      <c r="D14" s="14" t="str">
        <f>VLOOKUP(TAB_ENTRADA[[#This Row],[Cod_2_Entrada]],TAB_ESTOQUE[[Codigo]:[Endereço2]],12,FALSE)</f>
        <v>A1204</v>
      </c>
      <c r="E14" s="14">
        <f>SUM(TAB_ENTRADA[[#This Row],[20/05/2019]:[Colunas1]])</f>
        <v>22</v>
      </c>
      <c r="F14" s="3"/>
      <c r="FK14" s="3">
        <v>22</v>
      </c>
    </row>
    <row r="15" spans="1:216" x14ac:dyDescent="0.25">
      <c r="A15" s="5" t="s">
        <v>1672</v>
      </c>
      <c r="B15" s="14" t="str">
        <f>VLOOKUP(TAB_ENTRADA[[#This Row],[Cod_2_Entrada]],TAB_ESTOQUE[[Codigo]:[Descrição Tecnica]],6,FALSE)</f>
        <v>FUSIVEL DE VIDRO  4A</v>
      </c>
      <c r="C15" s="14">
        <f>IFERROR(VLOOKUP(TAB_ENTRADA[[#This Row],[Cod_2_Entrada]],TAB_ESTOQUE[[Codigo]:[Referência Tec]],7,FALSE),"")</f>
        <v>0</v>
      </c>
      <c r="D15" s="14" t="str">
        <f>VLOOKUP(TAB_ENTRADA[[#This Row],[Cod_2_Entrada]],TAB_ESTOQUE[[Codigo]:[Endereço2]],12,FALSE)</f>
        <v>A1204</v>
      </c>
      <c r="E15" s="14">
        <f>SUM(TAB_ENTRADA[[#This Row],[20/05/2019]:[Colunas1]])</f>
        <v>0</v>
      </c>
      <c r="F15" s="3"/>
      <c r="FK15" s="3">
        <v>0</v>
      </c>
    </row>
    <row r="16" spans="1:216" x14ac:dyDescent="0.25">
      <c r="A16" s="5" t="s">
        <v>1673</v>
      </c>
      <c r="B16" s="14" t="str">
        <f>VLOOKUP(TAB_ENTRADA[[#This Row],[Cod_2_Entrada]],TAB_ESTOQUE[[Codigo]:[Descrição Tecnica]],6,FALSE)</f>
        <v>FUSIVEL CARTUCHO ULTRA RAPIDO 10X38 4A</v>
      </c>
      <c r="C16" s="14">
        <f>IFERROR(VLOOKUP(TAB_ENTRADA[[#This Row],[Cod_2_Entrada]],TAB_ESTOQUE[[Codigo]:[Referência Tec]],7,FALSE),"")</f>
        <v>0</v>
      </c>
      <c r="D16" s="14" t="str">
        <f>VLOOKUP(TAB_ENTRADA[[#This Row],[Cod_2_Entrada]],TAB_ESTOQUE[[Codigo]:[Endereço2]],12,FALSE)</f>
        <v>A1204</v>
      </c>
      <c r="E16" s="14">
        <f>SUM(TAB_ENTRADA[[#This Row],[20/05/2019]:[Colunas1]])</f>
        <v>3</v>
      </c>
      <c r="F16" s="3"/>
      <c r="FK16" s="3">
        <v>3</v>
      </c>
    </row>
    <row r="17" spans="1:167" x14ac:dyDescent="0.25">
      <c r="A17" s="5" t="s">
        <v>1674</v>
      </c>
      <c r="B17" s="14" t="str">
        <f>VLOOKUP(TAB_ENTRADA[[#This Row],[Cod_2_Entrada]],TAB_ESTOQUE[[Codigo]:[Descrição Tecnica]],6,FALSE)</f>
        <v>FUSIVEL CARTUCHO ULTRA RAPIDO 10X38 2A</v>
      </c>
      <c r="C17" s="14">
        <f>IFERROR(VLOOKUP(TAB_ENTRADA[[#This Row],[Cod_2_Entrada]],TAB_ESTOQUE[[Codigo]:[Referência Tec]],7,FALSE),"")</f>
        <v>0</v>
      </c>
      <c r="D17" s="14" t="str">
        <f>VLOOKUP(TAB_ENTRADA[[#This Row],[Cod_2_Entrada]],TAB_ESTOQUE[[Codigo]:[Endereço2]],12,FALSE)</f>
        <v>A1204</v>
      </c>
      <c r="E17" s="14">
        <f>SUM(TAB_ENTRADA[[#This Row],[20/05/2019]:[Colunas1]])</f>
        <v>10</v>
      </c>
      <c r="F17" s="3"/>
      <c r="FK17" s="3">
        <v>10</v>
      </c>
    </row>
    <row r="18" spans="1:167" x14ac:dyDescent="0.25">
      <c r="A18" s="5" t="s">
        <v>1675</v>
      </c>
      <c r="B18" s="14" t="str">
        <f>VLOOKUP(TAB_ENTRADA[[#This Row],[Cod_2_Entrada]],TAB_ESTOQUE[[Codigo]:[Descrição Tecnica]],6,FALSE)</f>
        <v>FUSIVEL CARTUCHO ULTRA RAPIDO 10X38 6A</v>
      </c>
      <c r="C18" s="14">
        <f>IFERROR(VLOOKUP(TAB_ENTRADA[[#This Row],[Cod_2_Entrada]],TAB_ESTOQUE[[Codigo]:[Referência Tec]],7,FALSE),"")</f>
        <v>0</v>
      </c>
      <c r="D18" s="14" t="str">
        <f>VLOOKUP(TAB_ENTRADA[[#This Row],[Cod_2_Entrada]],TAB_ESTOQUE[[Codigo]:[Endereço2]],12,FALSE)</f>
        <v>A1204</v>
      </c>
      <c r="E18" s="14">
        <f>SUM(TAB_ENTRADA[[#This Row],[20/05/2019]:[Colunas1]])</f>
        <v>4</v>
      </c>
      <c r="F18" s="3"/>
      <c r="FK18" s="3">
        <v>4</v>
      </c>
    </row>
    <row r="19" spans="1:167" x14ac:dyDescent="0.25">
      <c r="A19" s="5" t="s">
        <v>1676</v>
      </c>
      <c r="B19" s="14" t="str">
        <f>VLOOKUP(TAB_ENTRADA[[#This Row],[Cod_2_Entrada]],TAB_ESTOQUE[[Codigo]:[Descrição Tecnica]],6,FALSE)</f>
        <v>FUSIVEL CARTUCHO ULTRA RAPIDO 10X38 10A</v>
      </c>
      <c r="C19" s="14">
        <f>IFERROR(VLOOKUP(TAB_ENTRADA[[#This Row],[Cod_2_Entrada]],TAB_ESTOQUE[[Codigo]:[Referência Tec]],7,FALSE),"")</f>
        <v>0</v>
      </c>
      <c r="D19" s="14" t="str">
        <f>VLOOKUP(TAB_ENTRADA[[#This Row],[Cod_2_Entrada]],TAB_ESTOQUE[[Codigo]:[Endereço2]],12,FALSE)</f>
        <v>A1204</v>
      </c>
      <c r="E19" s="14">
        <f>SUM(TAB_ENTRADA[[#This Row],[20/05/2019]:[Colunas1]])</f>
        <v>3</v>
      </c>
      <c r="F19" s="3"/>
      <c r="FK19" s="3">
        <v>3</v>
      </c>
    </row>
    <row r="20" spans="1:167" x14ac:dyDescent="0.25">
      <c r="A20" s="5" t="s">
        <v>1677</v>
      </c>
      <c r="B20" s="14" t="str">
        <f>VLOOKUP(TAB_ENTRADA[[#This Row],[Cod_2_Entrada]],TAB_ESTOQUE[[Codigo]:[Descrição Tecnica]],6,FALSE)</f>
        <v>AMORTECEDOR DE IMPACTO PARA PORTA DE PAINEL</v>
      </c>
      <c r="C20" s="14">
        <f>IFERROR(VLOOKUP(TAB_ENTRADA[[#This Row],[Cod_2_Entrada]],TAB_ESTOQUE[[Codigo]:[Referência Tec]],7,FALSE),"")</f>
        <v>0</v>
      </c>
      <c r="D20" s="14" t="str">
        <f>VLOOKUP(TAB_ENTRADA[[#This Row],[Cod_2_Entrada]],TAB_ESTOQUE[[Codigo]:[Endereço2]],12,FALSE)</f>
        <v>E2203</v>
      </c>
      <c r="E20" s="14">
        <f>SUM(TAB_ENTRADA[[#This Row],[20/05/2019]:[Colunas1]])</f>
        <v>1.5</v>
      </c>
      <c r="F20" s="3"/>
      <c r="FK20" s="3">
        <v>1.5</v>
      </c>
    </row>
    <row r="21" spans="1:167" x14ac:dyDescent="0.25">
      <c r="A21" s="5" t="s">
        <v>1678</v>
      </c>
      <c r="B21" s="14" t="str">
        <f>VLOOKUP(TAB_ENTRADA[[#This Row],[Cod_2_Entrada]],TAB_ESTOQUE[[Codigo]:[Descrição Tecnica]],6,FALSE)</f>
        <v>BLOCO DE CONTATO AUXILIAR SIEMENS 3RH1911-1FA22</v>
      </c>
      <c r="C21" s="14">
        <f>IFERROR(VLOOKUP(TAB_ENTRADA[[#This Row],[Cod_2_Entrada]],TAB_ESTOQUE[[Codigo]:[Referência Tec]],7,FALSE),"")</f>
        <v>0</v>
      </c>
      <c r="D21" s="14" t="str">
        <f>VLOOKUP(TAB_ENTRADA[[#This Row],[Cod_2_Entrada]],TAB_ESTOQUE[[Codigo]:[Endereço2]],12,FALSE)</f>
        <v>A1204</v>
      </c>
      <c r="E21" s="14">
        <f>SUM(TAB_ENTRADA[[#This Row],[20/05/2019]:[Colunas1]])</f>
        <v>1</v>
      </c>
      <c r="F21" s="3"/>
      <c r="FK21" s="3">
        <v>1</v>
      </c>
    </row>
    <row r="22" spans="1:167" x14ac:dyDescent="0.25">
      <c r="A22" s="5" t="s">
        <v>1679</v>
      </c>
      <c r="B22" s="14" t="str">
        <f>VLOOKUP(TAB_ENTRADA[[#This Row],[Cod_2_Entrada]],TAB_ESTOQUE[[Codigo]:[Descrição Tecnica]],6,FALSE)</f>
        <v>SENSOR FIM DE CURSO XCKM110 X1</v>
      </c>
      <c r="C22" s="14">
        <f>IFERROR(VLOOKUP(TAB_ENTRADA[[#This Row],[Cod_2_Entrada]],TAB_ESTOQUE[[Codigo]:[Referência Tec]],7,FALSE),"")</f>
        <v>0</v>
      </c>
      <c r="D22" s="14" t="str">
        <f>VLOOKUP(TAB_ENTRADA[[#This Row],[Cod_2_Entrada]],TAB_ESTOQUE[[Codigo]:[Endereço2]],12,FALSE)</f>
        <v>A1205</v>
      </c>
      <c r="E22" s="14">
        <f>SUM(TAB_ENTRADA[[#This Row],[20/05/2019]:[Colunas1]])</f>
        <v>4</v>
      </c>
      <c r="F22" s="3"/>
      <c r="FK22" s="3">
        <v>4</v>
      </c>
    </row>
    <row r="23" spans="1:167" x14ac:dyDescent="0.25">
      <c r="A23" s="5" t="s">
        <v>1680</v>
      </c>
      <c r="B23" s="14" t="str">
        <f>VLOOKUP(TAB_ENTRADA[[#This Row],[Cod_2_Entrada]],TAB_ESTOQUE[[Codigo]:[Descrição Tecnica]],6,FALSE)</f>
        <v>VENTOINHA 63 PARA MOTOR</v>
      </c>
      <c r="C23" s="14">
        <f>IFERROR(VLOOKUP(TAB_ENTRADA[[#This Row],[Cod_2_Entrada]],TAB_ESTOQUE[[Codigo]:[Referência Tec]],7,FALSE),"")</f>
        <v>0</v>
      </c>
      <c r="D23" s="14" t="str">
        <f>VLOOKUP(TAB_ENTRADA[[#This Row],[Cod_2_Entrada]],TAB_ESTOQUE[[Codigo]:[Endereço2]],12,FALSE)</f>
        <v>B1106</v>
      </c>
      <c r="E23" s="14">
        <f>SUM(TAB_ENTRADA[[#This Row],[20/05/2019]:[Colunas1]])</f>
        <v>5</v>
      </c>
      <c r="F23" s="3"/>
      <c r="FK23" s="3">
        <v>5</v>
      </c>
    </row>
    <row r="24" spans="1:167" x14ac:dyDescent="0.25">
      <c r="A24" s="5" t="s">
        <v>1681</v>
      </c>
      <c r="B24" s="14" t="str">
        <f>VLOOKUP(TAB_ENTRADA[[#This Row],[Cod_2_Entrada]],TAB_ESTOQUE[[Codigo]:[Descrição Tecnica]],6,FALSE)</f>
        <v>340210N BOMBA DE PISTÃO COMPLETA MAKMELT</v>
      </c>
      <c r="C24" s="14">
        <f>IFERROR(VLOOKUP(TAB_ENTRADA[[#This Row],[Cod_2_Entrada]],TAB_ESTOQUE[[Codigo]:[Referência Tec]],7,FALSE),"")</f>
        <v>0</v>
      </c>
      <c r="D24" s="14" t="str">
        <f>VLOOKUP(TAB_ENTRADA[[#This Row],[Cod_2_Entrada]],TAB_ESTOQUE[[Codigo]:[Endereço2]],12,FALSE)</f>
        <v>E2304</v>
      </c>
      <c r="E24" s="14">
        <f>SUM(TAB_ENTRADA[[#This Row],[20/05/2019]:[Colunas1]])</f>
        <v>0</v>
      </c>
      <c r="F24" s="3"/>
      <c r="FK24" s="3">
        <v>0</v>
      </c>
    </row>
    <row r="25" spans="1:167" x14ac:dyDescent="0.25">
      <c r="A25" s="5" t="s">
        <v>1682</v>
      </c>
      <c r="B25" s="14" t="str">
        <f>VLOOKUP(TAB_ENTRADA[[#This Row],[Cod_2_Entrada]],TAB_ESTOQUE[[Codigo]:[Descrição Tecnica]],6,FALSE)</f>
        <v>BOTÃO DE PRESSÃO CABEÇA DUPLA XB5AW7A3740B5</v>
      </c>
      <c r="C25" s="14">
        <f>IFERROR(VLOOKUP(TAB_ENTRADA[[#This Row],[Cod_2_Entrada]],TAB_ESTOQUE[[Codigo]:[Referência Tec]],7,FALSE),"")</f>
        <v>0</v>
      </c>
      <c r="D25" s="14" t="str">
        <f>VLOOKUP(TAB_ENTRADA[[#This Row],[Cod_2_Entrada]],TAB_ESTOQUE[[Codigo]:[Endereço2]],12,FALSE)</f>
        <v>B1304</v>
      </c>
      <c r="E25" s="14">
        <f>SUM(TAB_ENTRADA[[#This Row],[20/05/2019]:[Colunas1]])</f>
        <v>0</v>
      </c>
      <c r="F25" s="3"/>
      <c r="FK25" s="3">
        <v>0</v>
      </c>
    </row>
    <row r="26" spans="1:167" x14ac:dyDescent="0.25">
      <c r="A26" s="5" t="s">
        <v>1683</v>
      </c>
      <c r="B26" s="14" t="str">
        <f>VLOOKUP(TAB_ENTRADA[[#This Row],[Cod_2_Entrada]],TAB_ESTOQUE[[Codigo]:[Descrição Tecnica]],6,FALSE)</f>
        <v>RELE DE NIVEL  NC-COM-NO</v>
      </c>
      <c r="C26" s="14">
        <f>IFERROR(VLOOKUP(TAB_ENTRADA[[#This Row],[Cod_2_Entrada]],TAB_ESTOQUE[[Codigo]:[Referência Tec]],7,FALSE),"")</f>
        <v>0</v>
      </c>
      <c r="D26" s="14" t="str">
        <f>VLOOKUP(TAB_ENTRADA[[#This Row],[Cod_2_Entrada]],TAB_ESTOQUE[[Codigo]:[Endereço2]],12,FALSE)</f>
        <v>A1205</v>
      </c>
      <c r="E26" s="14">
        <f>SUM(TAB_ENTRADA[[#This Row],[20/05/2019]:[Colunas1]])</f>
        <v>4</v>
      </c>
      <c r="F26" s="3"/>
      <c r="FK26" s="3">
        <v>4</v>
      </c>
    </row>
    <row r="27" spans="1:167" x14ac:dyDescent="0.25">
      <c r="A27" s="5" t="s">
        <v>1684</v>
      </c>
      <c r="B27" s="14" t="str">
        <f>VLOOKUP(TAB_ENTRADA[[#This Row],[Cod_2_Entrada]],TAB_ESTOQUE[[Codigo]:[Descrição Tecnica]],6,FALSE)</f>
        <v>CHAVE PARA CONTATO ABERTO FECHADO ZB2BE102</v>
      </c>
      <c r="C27" s="14">
        <f>IFERROR(VLOOKUP(TAB_ENTRADA[[#This Row],[Cod_2_Entrada]],TAB_ESTOQUE[[Codigo]:[Referência Tec]],7,FALSE),"")</f>
        <v>0</v>
      </c>
      <c r="D27" s="14" t="str">
        <f>VLOOKUP(TAB_ENTRADA[[#This Row],[Cod_2_Entrada]],TAB_ESTOQUE[[Codigo]:[Endereço2]],12,FALSE)</f>
        <v>A1205</v>
      </c>
      <c r="E27" s="14">
        <f>SUM(TAB_ENTRADA[[#This Row],[20/05/2019]:[Colunas1]])</f>
        <v>0</v>
      </c>
      <c r="F27" s="3"/>
      <c r="FK27" s="3">
        <v>0</v>
      </c>
    </row>
    <row r="28" spans="1:167" x14ac:dyDescent="0.25">
      <c r="A28" s="5" t="s">
        <v>1685</v>
      </c>
      <c r="B28" s="14" t="str">
        <f>VLOOKUP(TAB_ENTRADA[[#This Row],[Cod_2_Entrada]],TAB_ESTOQUE[[Codigo]:[Descrição Tecnica]],6,FALSE)</f>
        <v>FUSIVEL LEGRAND 13301 10X38 Gg 1A 500V IEC 269-2 NFC 63 210/100KA</v>
      </c>
      <c r="C28" s="14">
        <f>IFERROR(VLOOKUP(TAB_ENTRADA[[#This Row],[Cod_2_Entrada]],TAB_ESTOQUE[[Codigo]:[Referência Tec]],7,FALSE),"")</f>
        <v>0</v>
      </c>
      <c r="D28" s="14" t="str">
        <f>VLOOKUP(TAB_ENTRADA[[#This Row],[Cod_2_Entrada]],TAB_ESTOQUE[[Codigo]:[Endereço2]],12,FALSE)</f>
        <v>A1204</v>
      </c>
      <c r="E28" s="14">
        <f>SUM(TAB_ENTRADA[[#This Row],[20/05/2019]:[Colunas1]])</f>
        <v>2</v>
      </c>
      <c r="F28" s="3"/>
      <c r="FK28" s="3">
        <v>2</v>
      </c>
    </row>
    <row r="29" spans="1:167" x14ac:dyDescent="0.25">
      <c r="A29" s="5" t="s">
        <v>1686</v>
      </c>
      <c r="B29" s="14" t="str">
        <f>VLOOKUP(TAB_ENTRADA[[#This Row],[Cod_2_Entrada]],TAB_ESTOQUE[[Codigo]:[Descrição Tecnica]],6,FALSE)</f>
        <v xml:space="preserve">CABO CONECTOR SICK 2022547 10,0M 12 PINOS </v>
      </c>
      <c r="C29" s="14">
        <f>IFERROR(VLOOKUP(TAB_ENTRADA[[#This Row],[Cod_2_Entrada]],TAB_ESTOQUE[[Codigo]:[Referência Tec]],7,FALSE),"")</f>
        <v>0</v>
      </c>
      <c r="D29" s="14" t="str">
        <f>VLOOKUP(TAB_ENTRADA[[#This Row],[Cod_2_Entrada]],TAB_ESTOQUE[[Codigo]:[Endereço2]],12,FALSE)</f>
        <v>B1405</v>
      </c>
      <c r="E29" s="14">
        <f>SUM(TAB_ENTRADA[[#This Row],[20/05/2019]:[Colunas1]])</f>
        <v>5</v>
      </c>
      <c r="F29" s="3"/>
      <c r="FK29" s="3">
        <v>5</v>
      </c>
    </row>
    <row r="30" spans="1:167" x14ac:dyDescent="0.25">
      <c r="A30" s="5" t="s">
        <v>1687</v>
      </c>
      <c r="B30" s="14" t="str">
        <f>VLOOKUP(TAB_ENTRADA[[#This Row],[Cod_2_Entrada]],TAB_ESTOQUE[[Codigo]:[Descrição Tecnica]],6,FALSE)</f>
        <v>DISTRIBUIDOR DE CONTATO PHOENIX D18D08</v>
      </c>
      <c r="C30" s="14">
        <f>IFERROR(VLOOKUP(TAB_ENTRADA[[#This Row],[Cod_2_Entrada]],TAB_ESTOQUE[[Codigo]:[Referência Tec]],7,FALSE),"")</f>
        <v>0</v>
      </c>
      <c r="D30" s="14" t="str">
        <f>VLOOKUP(TAB_ENTRADA[[#This Row],[Cod_2_Entrada]],TAB_ESTOQUE[[Codigo]:[Endereço2]],12,FALSE)</f>
        <v>A1205</v>
      </c>
      <c r="E30" s="14">
        <f>SUM(TAB_ENTRADA[[#This Row],[20/05/2019]:[Colunas1]])</f>
        <v>1</v>
      </c>
      <c r="F30" s="3"/>
      <c r="FK30" s="3">
        <v>1</v>
      </c>
    </row>
    <row r="31" spans="1:167" x14ac:dyDescent="0.25">
      <c r="A31" s="5" t="s">
        <v>1688</v>
      </c>
      <c r="B31" s="14" t="str">
        <f>VLOOKUP(TAB_ENTRADA[[#This Row],[Cod_2_Entrada]],TAB_ESTOQUE[[Codigo]:[Descrição Tecnica]],6,FALSE)</f>
        <v>MOTOR CANTONI SKH71-4A 440A</v>
      </c>
      <c r="C31" s="14">
        <f>IFERROR(VLOOKUP(TAB_ENTRADA[[#This Row],[Cod_2_Entrada]],TAB_ESTOQUE[[Codigo]:[Referência Tec]],7,FALSE),"")</f>
        <v>0</v>
      </c>
      <c r="D31" s="14" t="str">
        <f>VLOOKUP(TAB_ENTRADA[[#This Row],[Cod_2_Entrada]],TAB_ESTOQUE[[Codigo]:[Endereço2]],12,FALSE)</f>
        <v>F1402</v>
      </c>
      <c r="E31" s="14">
        <f>SUM(TAB_ENTRADA[[#This Row],[20/05/2019]:[Colunas1]])</f>
        <v>7</v>
      </c>
      <c r="F31" s="3"/>
      <c r="FK31" s="3">
        <v>7</v>
      </c>
    </row>
    <row r="32" spans="1:167" x14ac:dyDescent="0.25">
      <c r="A32" s="5" t="s">
        <v>1689</v>
      </c>
      <c r="B32" s="14" t="str">
        <f>VLOOKUP(TAB_ENTRADA[[#This Row],[Cod_2_Entrada]],TAB_ESTOQUE[[Codigo]:[Descrição Tecnica]],6,FALSE)</f>
        <v xml:space="preserve">REGUA COM ROLAMENTO PARA TROCA RAPIDA Roll bar with hydraulic. Increase R. A. T.-Article No. 58292 8.1834.5150 - L=1600mm
</v>
      </c>
      <c r="C32" s="14">
        <f>IFERROR(VLOOKUP(TAB_ENTRADA[[#This Row],[Cod_2_Entrada]],TAB_ESTOQUE[[Codigo]:[Referência Tec]],7,FALSE),"")</f>
        <v>0</v>
      </c>
      <c r="D32" s="14" t="str">
        <f>VLOOKUP(TAB_ENTRADA[[#This Row],[Cod_2_Entrada]],TAB_ESTOQUE[[Codigo]:[Endereço2]],12,FALSE)</f>
        <v>CORREDOR 1</v>
      </c>
      <c r="E32" s="14">
        <f>SUM(TAB_ENTRADA[[#This Row],[20/05/2019]:[Colunas1]])</f>
        <v>0</v>
      </c>
      <c r="F32" s="3"/>
      <c r="FK32" s="3">
        <v>0</v>
      </c>
    </row>
    <row r="33" spans="1:167" x14ac:dyDescent="0.25">
      <c r="A33" s="5" t="s">
        <v>1690</v>
      </c>
      <c r="B33" s="14" t="str">
        <f>VLOOKUP(TAB_ENTRADA[[#This Row],[Cod_2_Entrada]],TAB_ESTOQUE[[Codigo]:[Descrição Tecnica]],6,FALSE)</f>
        <v>SISTEMA X PARA CABEAMENTO CONTROLADOR POR NIVEL</v>
      </c>
      <c r="C33" s="14">
        <f>IFERROR(VLOOKUP(TAB_ENTRADA[[#This Row],[Cod_2_Entrada]],TAB_ESTOQUE[[Codigo]:[Referência Tec]],7,FALSE),"")</f>
        <v>0</v>
      </c>
      <c r="D33" s="14" t="str">
        <f>VLOOKUP(TAB_ENTRADA[[#This Row],[Cod_2_Entrada]],TAB_ESTOQUE[[Codigo]:[Endereço2]],12,FALSE)</f>
        <v>CORREDOR 1</v>
      </c>
      <c r="E33" s="14">
        <f>SUM(TAB_ENTRADA[[#This Row],[20/05/2019]:[Colunas1]])</f>
        <v>0</v>
      </c>
      <c r="F33" s="3"/>
      <c r="FK33" s="3">
        <v>0</v>
      </c>
    </row>
    <row r="34" spans="1:167" x14ac:dyDescent="0.25">
      <c r="A34" s="5" t="s">
        <v>1691</v>
      </c>
      <c r="B34" s="14" t="str">
        <f>VLOOKUP(TAB_ENTRADA[[#This Row],[Cod_2_Entrada]],TAB_ESTOQUE[[Codigo]:[Descrição Tecnica]],6,FALSE)</f>
        <v>DISJUNTOR MOTOR 3P 25A 2.5-4A REF: SLS2251C</v>
      </c>
      <c r="C34" s="14">
        <f>IFERROR(VLOOKUP(TAB_ENTRADA[[#This Row],[Cod_2_Entrada]],TAB_ESTOQUE[[Codigo]:[Referência Tec]],7,FALSE),"")</f>
        <v>0</v>
      </c>
      <c r="D34" s="14" t="str">
        <f>VLOOKUP(TAB_ENTRADA[[#This Row],[Cod_2_Entrada]],TAB_ESTOQUE[[Codigo]:[Endereço2]],12,FALSE)</f>
        <v>A2405</v>
      </c>
      <c r="E34" s="14">
        <f>SUM(TAB_ENTRADA[[#This Row],[20/05/2019]:[Colunas1]])</f>
        <v>0</v>
      </c>
      <c r="F34" s="3"/>
      <c r="FK34" s="3">
        <v>0</v>
      </c>
    </row>
    <row r="35" spans="1:167" x14ac:dyDescent="0.25">
      <c r="A35" s="5" t="s">
        <v>1692</v>
      </c>
      <c r="B35" s="14" t="str">
        <f>VLOOKUP(TAB_ENTRADA[[#This Row],[Cod_2_Entrada]],TAB_ESTOQUE[[Codigo]:[Descrição Tecnica]],6,FALSE)</f>
        <v>DISJUNTOR TRIPOLAR ROBUSTO EZC100N GB 14048.2</v>
      </c>
      <c r="C35" s="14">
        <f>IFERROR(VLOOKUP(TAB_ENTRADA[[#This Row],[Cod_2_Entrada]],TAB_ESTOQUE[[Codigo]:[Referência Tec]],7,FALSE),"")</f>
        <v>0</v>
      </c>
      <c r="D35" s="14" t="str">
        <f>VLOOKUP(TAB_ENTRADA[[#This Row],[Cod_2_Entrada]],TAB_ESTOQUE[[Codigo]:[Endereço2]],12,FALSE)</f>
        <v>A1302</v>
      </c>
      <c r="E35" s="14">
        <f>SUM(TAB_ENTRADA[[#This Row],[20/05/2019]:[Colunas1]])</f>
        <v>2</v>
      </c>
      <c r="F35" s="3"/>
      <c r="FK35" s="3">
        <v>2</v>
      </c>
    </row>
    <row r="36" spans="1:167" x14ac:dyDescent="0.25">
      <c r="A36" s="5" t="s">
        <v>1693</v>
      </c>
      <c r="B36" s="14" t="str">
        <f>VLOOKUP(TAB_ENTRADA[[#This Row],[Cod_2_Entrada]],TAB_ESTOQUE[[Codigo]:[Descrição Tecnica]],6,FALSE)</f>
        <v>DISJUNTOR SERIE c20 230/400v 50/60Hz 3000A</v>
      </c>
      <c r="C36" s="14">
        <f>IFERROR(VLOOKUP(TAB_ENTRADA[[#This Row],[Cod_2_Entrada]],TAB_ESTOQUE[[Codigo]:[Referência Tec]],7,FALSE),"")</f>
        <v>0</v>
      </c>
      <c r="D36" s="14" t="str">
        <f>VLOOKUP(TAB_ENTRADA[[#This Row],[Cod_2_Entrada]],TAB_ESTOQUE[[Codigo]:[Endereço2]],12,FALSE)</f>
        <v>A1302</v>
      </c>
      <c r="E36" s="14">
        <f>SUM(TAB_ENTRADA[[#This Row],[20/05/2019]:[Colunas1]])</f>
        <v>2</v>
      </c>
      <c r="F36" s="3"/>
      <c r="FK36" s="3">
        <v>2</v>
      </c>
    </row>
    <row r="37" spans="1:167" x14ac:dyDescent="0.25">
      <c r="A37" s="5" t="s">
        <v>1694</v>
      </c>
      <c r="B37" s="14" t="str">
        <f>VLOOKUP(TAB_ENTRADA[[#This Row],[Cod_2_Entrada]],TAB_ESTOQUE[[Codigo]:[Descrição Tecnica]],6,FALSE)</f>
        <v>INTERRUPTOR DIFERENCIAL RESIDUAL MDW C40 -230/400V WEG</v>
      </c>
      <c r="C37" s="14">
        <f>IFERROR(VLOOKUP(TAB_ENTRADA[[#This Row],[Cod_2_Entrada]],TAB_ESTOQUE[[Codigo]:[Referência Tec]],7,FALSE),"")</f>
        <v>0</v>
      </c>
      <c r="D37" s="14" t="str">
        <f>VLOOKUP(TAB_ENTRADA[[#This Row],[Cod_2_Entrada]],TAB_ESTOQUE[[Codigo]:[Endereço2]],12,FALSE)</f>
        <v>A1302</v>
      </c>
      <c r="E37" s="14">
        <f>SUM(TAB_ENTRADA[[#This Row],[20/05/2019]:[Colunas1]])</f>
        <v>6</v>
      </c>
      <c r="F37" s="3"/>
      <c r="FK37" s="3">
        <v>6</v>
      </c>
    </row>
    <row r="38" spans="1:167" x14ac:dyDescent="0.25">
      <c r="A38" s="5" t="s">
        <v>1695</v>
      </c>
      <c r="B38" s="14" t="str">
        <f>VLOOKUP(TAB_ENTRADA[[#This Row],[Cod_2_Entrada]],TAB_ESTOQUE[[Codigo]:[Descrição Tecnica]],6,FALSE)</f>
        <v>DISJUNTOR TERMOMAGNETICO EZ9F33316 (SCHNEIDER)</v>
      </c>
      <c r="C38" s="14">
        <f>IFERROR(VLOOKUP(TAB_ENTRADA[[#This Row],[Cod_2_Entrada]],TAB_ESTOQUE[[Codigo]:[Referência Tec]],7,FALSE),"")</f>
        <v>0</v>
      </c>
      <c r="D38" s="14" t="str">
        <f>VLOOKUP(TAB_ENTRADA[[#This Row],[Cod_2_Entrada]],TAB_ESTOQUE[[Codigo]:[Endereço2]],12,FALSE)</f>
        <v>A1302</v>
      </c>
      <c r="E38" s="14">
        <f>SUM(TAB_ENTRADA[[#This Row],[20/05/2019]:[Colunas1]])</f>
        <v>0</v>
      </c>
      <c r="F38" s="3"/>
      <c r="FK38" s="3">
        <v>0</v>
      </c>
    </row>
    <row r="39" spans="1:167" x14ac:dyDescent="0.25">
      <c r="A39" s="5" t="s">
        <v>1696</v>
      </c>
      <c r="B39" s="14" t="str">
        <f>VLOOKUP(TAB_ENTRADA[[#This Row],[Cod_2_Entrada]],TAB_ESTOQUE[[Codigo]:[Descrição Tecnica]],6,FALSE)</f>
        <v>DISJUNTOR TRIPOLAR DZ47-63 (LUKMA) 50/60Hz</v>
      </c>
      <c r="C39" s="14">
        <f>IFERROR(VLOOKUP(TAB_ENTRADA[[#This Row],[Cod_2_Entrada]],TAB_ESTOQUE[[Codigo]:[Referência Tec]],7,FALSE),"")</f>
        <v>0</v>
      </c>
      <c r="D39" s="14" t="str">
        <f>VLOOKUP(TAB_ENTRADA[[#This Row],[Cod_2_Entrada]],TAB_ESTOQUE[[Codigo]:[Endereço2]],12,FALSE)</f>
        <v>A1302</v>
      </c>
      <c r="E39" s="14">
        <f>SUM(TAB_ENTRADA[[#This Row],[20/05/2019]:[Colunas1]])</f>
        <v>0</v>
      </c>
      <c r="F39" s="3"/>
      <c r="FK39" s="3">
        <v>0</v>
      </c>
    </row>
    <row r="40" spans="1:167" x14ac:dyDescent="0.25">
      <c r="A40" s="5" t="s">
        <v>1697</v>
      </c>
      <c r="B40" s="14" t="str">
        <f>VLOOKUP(TAB_ENTRADA[[#This Row],[Cod_2_Entrada]],TAB_ESTOQUE[[Codigo]:[Descrição Tecnica]],6,FALSE)</f>
        <v>DISJUNTOR MOTOR IEC-EN 60947 MS116-1.0 1SAM250000R1005 (ABB)</v>
      </c>
      <c r="C40" s="14">
        <f>IFERROR(VLOOKUP(TAB_ENTRADA[[#This Row],[Cod_2_Entrada]],TAB_ESTOQUE[[Codigo]:[Referência Tec]],7,FALSE),"")</f>
        <v>0</v>
      </c>
      <c r="D40" s="14" t="str">
        <f>VLOOKUP(TAB_ENTRADA[[#This Row],[Cod_2_Entrada]],TAB_ESTOQUE[[Codigo]:[Endereço2]],12,FALSE)</f>
        <v>A1303</v>
      </c>
      <c r="E40" s="14">
        <f>SUM(TAB_ENTRADA[[#This Row],[20/05/2019]:[Colunas1]])</f>
        <v>1</v>
      </c>
      <c r="F40" s="3"/>
      <c r="FK40" s="3">
        <v>1</v>
      </c>
    </row>
    <row r="41" spans="1:167" x14ac:dyDescent="0.25">
      <c r="A41" s="5" t="s">
        <v>1698</v>
      </c>
      <c r="B41" s="14" t="str">
        <f>VLOOKUP(TAB_ENTRADA[[#This Row],[Cod_2_Entrada]],TAB_ESTOQUE[[Codigo]:[Descrição Tecnica]],6,FALSE)</f>
        <v>DISJUNTOR MOTOR TERMOMAGNETICO GV2 ME06 1-1.6A</v>
      </c>
      <c r="C41" s="14">
        <f>IFERROR(VLOOKUP(TAB_ENTRADA[[#This Row],[Cod_2_Entrada]],TAB_ESTOQUE[[Codigo]:[Referência Tec]],7,FALSE),"")</f>
        <v>0</v>
      </c>
      <c r="D41" s="14" t="str">
        <f>VLOOKUP(TAB_ENTRADA[[#This Row],[Cod_2_Entrada]],TAB_ESTOQUE[[Codigo]:[Endereço2]],12,FALSE)</f>
        <v>G1102</v>
      </c>
      <c r="E41" s="14">
        <f>SUM(TAB_ENTRADA[[#This Row],[20/05/2019]:[Colunas1]])</f>
        <v>1</v>
      </c>
      <c r="F41" s="3"/>
      <c r="FK41" s="3">
        <v>1</v>
      </c>
    </row>
    <row r="42" spans="1:167" x14ac:dyDescent="0.25">
      <c r="A42" s="5" t="s">
        <v>1699</v>
      </c>
      <c r="B42" s="14" t="str">
        <f>VLOOKUP(TAB_ENTRADA[[#This Row],[Cod_2_Entrada]],TAB_ESTOQUE[[Codigo]:[Descrição Tecnica]],6,FALSE)</f>
        <v>DISJUNTOR MOTOR GZ1M14 6-10A (SCHNEIDER)</v>
      </c>
      <c r="C42" s="14">
        <f>IFERROR(VLOOKUP(TAB_ENTRADA[[#This Row],[Cod_2_Entrada]],TAB_ESTOQUE[[Codigo]:[Referência Tec]],7,FALSE),"")</f>
        <v>0</v>
      </c>
      <c r="D42" s="14" t="str">
        <f>VLOOKUP(TAB_ENTRADA[[#This Row],[Cod_2_Entrada]],TAB_ESTOQUE[[Codigo]:[Endereço2]],12,FALSE)</f>
        <v>A1303</v>
      </c>
      <c r="E42" s="14">
        <f>SUM(TAB_ENTRADA[[#This Row],[20/05/2019]:[Colunas1]])</f>
        <v>2</v>
      </c>
      <c r="F42" s="3"/>
      <c r="FK42" s="3">
        <v>2</v>
      </c>
    </row>
    <row r="43" spans="1:167" x14ac:dyDescent="0.25">
      <c r="A43" s="5" t="s">
        <v>1700</v>
      </c>
      <c r="B43" s="14" t="str">
        <f>VLOOKUP(TAB_ENTRADA[[#This Row],[Cod_2_Entrada]],TAB_ESTOQUE[[Codigo]:[Descrição Tecnica]],6,FALSE)</f>
        <v>DISJUNTOR MOTOR TERMOMAGNÉTICO SCHNEIDER  - REF. GV2-ME08C / 2.5-4A</v>
      </c>
      <c r="C43" s="14">
        <f>IFERROR(VLOOKUP(TAB_ENTRADA[[#This Row],[Cod_2_Entrada]],TAB_ESTOQUE[[Codigo]:[Referência Tec]],7,FALSE),"")</f>
        <v>0</v>
      </c>
      <c r="D43" s="14" t="str">
        <f>VLOOKUP(TAB_ENTRADA[[#This Row],[Cod_2_Entrada]],TAB_ESTOQUE[[Codigo]:[Endereço2]],12,FALSE)</f>
        <v>G1102</v>
      </c>
      <c r="E43" s="14">
        <f>SUM(TAB_ENTRADA[[#This Row],[20/05/2019]:[Colunas1]])</f>
        <v>1</v>
      </c>
      <c r="F43" s="3"/>
      <c r="FK43" s="3">
        <v>1</v>
      </c>
    </row>
    <row r="44" spans="1:167" x14ac:dyDescent="0.25">
      <c r="A44" s="5" t="s">
        <v>1701</v>
      </c>
      <c r="B44" s="14" t="str">
        <f>VLOOKUP(TAB_ENTRADA[[#This Row],[Cod_2_Entrada]],TAB_ESTOQUE[[Codigo]:[Descrição Tecnica]],6,FALSE)</f>
        <v>BLOCO DE CONTATOS AUXILIARES FRONTAIS  - 3RH2911-1GA40 (SIEMENS)</v>
      </c>
      <c r="C44" s="14">
        <f>IFERROR(VLOOKUP(TAB_ENTRADA[[#This Row],[Cod_2_Entrada]],TAB_ESTOQUE[[Codigo]:[Referência Tec]],7,FALSE),"")</f>
        <v>0</v>
      </c>
      <c r="D44" s="14" t="str">
        <f>VLOOKUP(TAB_ENTRADA[[#This Row],[Cod_2_Entrada]],TAB_ESTOQUE[[Codigo]:[Endereço2]],12,FALSE)</f>
        <v>A1204</v>
      </c>
      <c r="E44" s="14">
        <f>SUM(TAB_ENTRADA[[#This Row],[20/05/2019]:[Colunas1]])</f>
        <v>5</v>
      </c>
      <c r="F44" s="3"/>
      <c r="FK44" s="3">
        <v>5</v>
      </c>
    </row>
    <row r="45" spans="1:167" x14ac:dyDescent="0.25">
      <c r="A45" s="5" t="s">
        <v>1702</v>
      </c>
      <c r="B45" s="14" t="str">
        <f>VLOOKUP(TAB_ENTRADA[[#This Row],[Cod_2_Entrada]],TAB_ESTOQUE[[Codigo]:[Descrição Tecnica]],6,FALSE)</f>
        <v>BASE C/ RELÉ SLIM PRT8-1/ JZ1RC3 24VDC METALTEX PRT8-1 (HIGHEND)</v>
      </c>
      <c r="C45" s="14">
        <f>IFERROR(VLOOKUP(TAB_ENTRADA[[#This Row],[Cod_2_Entrada]],TAB_ESTOQUE[[Codigo]:[Referência Tec]],7,FALSE),"")</f>
        <v>0</v>
      </c>
      <c r="D45" s="14" t="str">
        <f>VLOOKUP(TAB_ENTRADA[[#This Row],[Cod_2_Entrada]],TAB_ESTOQUE[[Codigo]:[Endereço2]],12,FALSE)</f>
        <v>A1304</v>
      </c>
      <c r="E45" s="14">
        <f>SUM(TAB_ENTRADA[[#This Row],[20/05/2019]:[Colunas1]])</f>
        <v>9</v>
      </c>
      <c r="F45" s="3"/>
      <c r="FK45" s="3">
        <v>9</v>
      </c>
    </row>
    <row r="46" spans="1:167" x14ac:dyDescent="0.25">
      <c r="A46" s="5" t="s">
        <v>1703</v>
      </c>
      <c r="B46" s="14" t="str">
        <f>VLOOKUP(TAB_ENTRADA[[#This Row],[Cod_2_Entrada]],TAB_ESTOQUE[[Codigo]:[Descrição Tecnica]],6,FALSE)</f>
        <v>FUSIVEL CARTUCHO HAGER NHOOO Gg 120KA 100A 500V</v>
      </c>
      <c r="C46" s="14">
        <f>IFERROR(VLOOKUP(TAB_ENTRADA[[#This Row],[Cod_2_Entrada]],TAB_ESTOQUE[[Codigo]:[Referência Tec]],7,FALSE),"")</f>
        <v>0</v>
      </c>
      <c r="D46" s="14" t="str">
        <f>VLOOKUP(TAB_ENTRADA[[#This Row],[Cod_2_Entrada]],TAB_ESTOQUE[[Codigo]:[Endereço2]],12,FALSE)</f>
        <v>A1204</v>
      </c>
      <c r="E46" s="14">
        <f>SUM(TAB_ENTRADA[[#This Row],[20/05/2019]:[Colunas1]])</f>
        <v>2</v>
      </c>
      <c r="F46" s="3"/>
      <c r="FK46" s="3">
        <v>2</v>
      </c>
    </row>
    <row r="47" spans="1:167" x14ac:dyDescent="0.25">
      <c r="A47" s="5" t="s">
        <v>1704</v>
      </c>
      <c r="B47" s="14" t="str">
        <f>VLOOKUP(TAB_ENTRADA[[#This Row],[Cod_2_Entrada]],TAB_ESTOQUE[[Codigo]:[Descrição Tecnica]],6,FALSE)</f>
        <v>CONTATO AUX PARA DISJUNTOR MOTOR GVAE11 SCHENEIDE</v>
      </c>
      <c r="C47" s="14">
        <f>IFERROR(VLOOKUP(TAB_ENTRADA[[#This Row],[Cod_2_Entrada]],TAB_ESTOQUE[[Codigo]:[Referência Tec]],7,FALSE),"")</f>
        <v>0</v>
      </c>
      <c r="D47" s="14" t="str">
        <f>VLOOKUP(TAB_ENTRADA[[#This Row],[Cod_2_Entrada]],TAB_ESTOQUE[[Codigo]:[Endereço2]],12,FALSE)</f>
        <v>A1304</v>
      </c>
      <c r="E47" s="14">
        <f>SUM(TAB_ENTRADA[[#This Row],[20/05/2019]:[Colunas1]])</f>
        <v>5</v>
      </c>
      <c r="F47" s="3"/>
      <c r="FK47" s="3">
        <v>5</v>
      </c>
    </row>
    <row r="48" spans="1:167" x14ac:dyDescent="0.25">
      <c r="A48" s="5" t="s">
        <v>1705</v>
      </c>
      <c r="B48" s="14" t="str">
        <f>VLOOKUP(TAB_ENTRADA[[#This Row],[Cod_2_Entrada]],TAB_ESTOQUE[[Codigo]:[Descrição Tecnica]],6,FALSE)</f>
        <v>DISJUNTOR MOTOR GZ1E32  X1  32A    Easy TVS-056791  (SCHINEIDER)</v>
      </c>
      <c r="C48" s="14">
        <f>IFERROR(VLOOKUP(TAB_ENTRADA[[#This Row],[Cod_2_Entrada]],TAB_ESTOQUE[[Codigo]:[Referência Tec]],7,FALSE),"")</f>
        <v>0</v>
      </c>
      <c r="D48" s="14" t="str">
        <f>VLOOKUP(TAB_ENTRADA[[#This Row],[Cod_2_Entrada]],TAB_ESTOQUE[[Codigo]:[Endereço2]],12,FALSE)</f>
        <v>G1102</v>
      </c>
      <c r="E48" s="14">
        <f>SUM(TAB_ENTRADA[[#This Row],[20/05/2019]:[Colunas1]])</f>
        <v>2</v>
      </c>
      <c r="F48" s="3"/>
      <c r="FK48" s="3">
        <v>2</v>
      </c>
    </row>
    <row r="49" spans="1:167" x14ac:dyDescent="0.25">
      <c r="A49" s="5" t="s">
        <v>1706</v>
      </c>
      <c r="B49" s="14" t="str">
        <f>VLOOKUP(TAB_ENTRADA[[#This Row],[Cod_2_Entrada]],TAB_ESTOQUE[[Codigo]:[Descrição Tecnica]],6,FALSE)</f>
        <v>CORPO FIM DE CURSO ZCP 21 M12 X1  GB14048.5</v>
      </c>
      <c r="C49" s="14">
        <f>IFERROR(VLOOKUP(TAB_ENTRADA[[#This Row],[Cod_2_Entrada]],TAB_ESTOQUE[[Codigo]:[Referência Tec]],7,FALSE),"")</f>
        <v>0</v>
      </c>
      <c r="D49" s="14" t="str">
        <f>VLOOKUP(TAB_ENTRADA[[#This Row],[Cod_2_Entrada]],TAB_ESTOQUE[[Codigo]:[Endereço2]],12,FALSE)</f>
        <v>A1304</v>
      </c>
      <c r="E49" s="14">
        <f>SUM(TAB_ENTRADA[[#This Row],[20/05/2019]:[Colunas1]])</f>
        <v>11</v>
      </c>
      <c r="F49" s="3"/>
      <c r="FK49" s="3">
        <v>11</v>
      </c>
    </row>
    <row r="50" spans="1:167" x14ac:dyDescent="0.25">
      <c r="A50" s="5" t="s">
        <v>1707</v>
      </c>
      <c r="B50" s="14" t="str">
        <f>VLOOKUP(TAB_ENTRADA[[#This Row],[Cod_2_Entrada]],TAB_ESTOQUE[[Codigo]:[Descrição Tecnica]],6,FALSE)</f>
        <v>DISJUNTOR MOTOR GZ1E03 GB14048.2 GB14048.4 (SCHINEIDER)</v>
      </c>
      <c r="C50" s="14">
        <f>IFERROR(VLOOKUP(TAB_ENTRADA[[#This Row],[Cod_2_Entrada]],TAB_ESTOQUE[[Codigo]:[Referência Tec]],7,FALSE),"")</f>
        <v>0</v>
      </c>
      <c r="D50" s="14" t="str">
        <f>VLOOKUP(TAB_ENTRADA[[#This Row],[Cod_2_Entrada]],TAB_ESTOQUE[[Codigo]:[Endereço2]],12,FALSE)</f>
        <v>G1102</v>
      </c>
      <c r="E50" s="14">
        <f>SUM(TAB_ENTRADA[[#This Row],[20/05/2019]:[Colunas1]])</f>
        <v>2</v>
      </c>
      <c r="F50" s="3"/>
      <c r="FK50" s="3">
        <v>2</v>
      </c>
    </row>
    <row r="51" spans="1:167" x14ac:dyDescent="0.25">
      <c r="A51" s="5" t="s">
        <v>1708</v>
      </c>
      <c r="B51" s="14" t="str">
        <f>VLOOKUP(TAB_ENTRADA[[#This Row],[Cod_2_Entrada]],TAB_ESTOQUE[[Codigo]:[Descrição Tecnica]],6,FALSE)</f>
        <v>DISJUNTOR BIPOLAR SCHINEIDER EZ9F13120</v>
      </c>
      <c r="C51" s="14">
        <f>IFERROR(VLOOKUP(TAB_ENTRADA[[#This Row],[Cod_2_Entrada]],TAB_ESTOQUE[[Codigo]:[Referência Tec]],7,FALSE),"")</f>
        <v>0</v>
      </c>
      <c r="D51" s="14" t="str">
        <f>VLOOKUP(TAB_ENTRADA[[#This Row],[Cod_2_Entrada]],TAB_ESTOQUE[[Codigo]:[Endereço2]],12,FALSE)</f>
        <v>G1102</v>
      </c>
      <c r="E51" s="14">
        <f>SUM(TAB_ENTRADA[[#This Row],[20/05/2019]:[Colunas1]])</f>
        <v>2</v>
      </c>
      <c r="F51" s="3"/>
      <c r="FK51" s="3">
        <v>2</v>
      </c>
    </row>
    <row r="52" spans="1:167" x14ac:dyDescent="0.25">
      <c r="A52" s="5" t="s">
        <v>1709</v>
      </c>
      <c r="B52" s="14" t="str">
        <f>VLOOKUP(TAB_ENTRADA[[#This Row],[Cod_2_Entrada]],TAB_ESTOQUE[[Codigo]:[Descrição Tecnica]],6,FALSE)</f>
        <v>DISJUNTOR MOTOR  GV2ME-16 X1   9-14A (SCHINEIDER)</v>
      </c>
      <c r="C52" s="22"/>
      <c r="D52" s="22" t="str">
        <f>VLOOKUP(TAB_ENTRADA[[#This Row],[Cod_2_Entrada]],TAB_ESTOQUE[[Codigo]:[Endereço2]],12,FALSE)</f>
        <v>G1102</v>
      </c>
      <c r="E52" s="14">
        <f>SUM(TAB_ENTRADA[[#This Row],[20/05/2019]:[Colunas1]])</f>
        <v>0</v>
      </c>
      <c r="F52" s="3"/>
      <c r="FK52" s="3">
        <v>0</v>
      </c>
    </row>
    <row r="53" spans="1:167" x14ac:dyDescent="0.25">
      <c r="A53" s="5" t="s">
        <v>1710</v>
      </c>
      <c r="B53" s="14" t="str">
        <f>VLOOKUP(TAB_ENTRADA[[#This Row],[Cod_2_Entrada]],TAB_ESTOQUE[[Codigo]:[Descrição Tecnica]],6,FALSE)</f>
        <v>RELE TERMICO DE SOBRECARGA LRD05 IEC-EM  60947-4-1 (SCHNEIDER) MAX:690V-50/60Hz 10A B600-R300</v>
      </c>
      <c r="C53" s="14">
        <f>IFERROR(VLOOKUP(TAB_ENTRADA[[#This Row],[Cod_2_Entrada]],TAB_ESTOQUE[[Codigo]:[Referência Tec]],7,FALSE),"")</f>
        <v>0</v>
      </c>
      <c r="D53" s="14" t="str">
        <f>VLOOKUP(TAB_ENTRADA[[#This Row],[Cod_2_Entrada]],TAB_ESTOQUE[[Codigo]:[Endereço2]],12,FALSE)</f>
        <v>A1304</v>
      </c>
      <c r="E53" s="14">
        <f>SUM(TAB_ENTRADA[[#This Row],[20/05/2019]:[Colunas1]])</f>
        <v>4</v>
      </c>
      <c r="F53" s="3"/>
      <c r="FK53" s="3">
        <v>4</v>
      </c>
    </row>
    <row r="54" spans="1:167" x14ac:dyDescent="0.25">
      <c r="A54" s="5" t="s">
        <v>1711</v>
      </c>
      <c r="B54" s="14" t="str">
        <f>VLOOKUP(TAB_ENTRADA[[#This Row],[Cod_2_Entrada]],TAB_ESTOQUE[[Codigo]:[Descrição Tecnica]],6,FALSE)</f>
        <v>CONTATOR TRIPOLAR  SCHNEIDER -  REF. LC1D09-M7</v>
      </c>
      <c r="C54" s="14">
        <f>IFERROR(VLOOKUP(TAB_ENTRADA[[#This Row],[Cod_2_Entrada]],TAB_ESTOQUE[[Codigo]:[Referência Tec]],7,FALSE),"")</f>
        <v>0</v>
      </c>
      <c r="D54" s="14" t="str">
        <f>VLOOKUP(TAB_ENTRADA[[#This Row],[Cod_2_Entrada]],TAB_ESTOQUE[[Codigo]:[Endereço2]],12,FALSE)</f>
        <v>G1102</v>
      </c>
      <c r="E54" s="14">
        <f>SUM(TAB_ENTRADA[[#This Row],[20/05/2019]:[Colunas1]])</f>
        <v>0</v>
      </c>
      <c r="F54" s="3"/>
      <c r="FK54" s="3">
        <v>0</v>
      </c>
    </row>
    <row r="55" spans="1:167" x14ac:dyDescent="0.25">
      <c r="A55" s="5" t="s">
        <v>1712</v>
      </c>
      <c r="B55" s="14" t="str">
        <f>VLOOKUP(TAB_ENTRADA[[#This Row],[Cod_2_Entrada]],TAB_ESTOQUE[[Codigo]:[Descrição Tecnica]],6,FALSE)</f>
        <v>BLOCO TERMINAL PARA RELE TERMICO LAD7B106 35X50,70 M4</v>
      </c>
      <c r="C55" s="14">
        <f>IFERROR(VLOOKUP(TAB_ENTRADA[[#This Row],[Cod_2_Entrada]],TAB_ESTOQUE[[Codigo]:[Referência Tec]],7,FALSE),"")</f>
        <v>0</v>
      </c>
      <c r="D55" s="14" t="str">
        <f>VLOOKUP(TAB_ENTRADA[[#This Row],[Cod_2_Entrada]],TAB_ESTOQUE[[Codigo]:[Endereço2]],12,FALSE)</f>
        <v>A1304</v>
      </c>
      <c r="E55" s="14">
        <f>SUM(TAB_ENTRADA[[#This Row],[20/05/2019]:[Colunas1]])</f>
        <v>2</v>
      </c>
      <c r="F55" s="3"/>
      <c r="FK55" s="3">
        <v>2</v>
      </c>
    </row>
    <row r="56" spans="1:167" x14ac:dyDescent="0.25">
      <c r="A56" s="5" t="s">
        <v>1713</v>
      </c>
      <c r="B56" s="14" t="str">
        <f>VLOOKUP(TAB_ENTRADA[[#This Row],[Cod_2_Entrada]],TAB_ESTOQUE[[Codigo]:[Descrição Tecnica]],6,FALSE)</f>
        <v>DISJUNTOR BIPOLAR EZ9F33206 IEC 60898-1   220V (SCHNEIDER) C6</v>
      </c>
      <c r="C56" s="14">
        <f>IFERROR(VLOOKUP(TAB_ENTRADA[[#This Row],[Cod_2_Entrada]],TAB_ESTOQUE[[Codigo]:[Referência Tec]],7,FALSE),"")</f>
        <v>0</v>
      </c>
      <c r="D56" s="14" t="str">
        <f>VLOOKUP(TAB_ENTRADA[[#This Row],[Cod_2_Entrada]],TAB_ESTOQUE[[Codigo]:[Endereço2]],12,FALSE)</f>
        <v>G1103</v>
      </c>
      <c r="E56" s="14">
        <f>SUM(TAB_ENTRADA[[#This Row],[20/05/2019]:[Colunas1]])</f>
        <v>0</v>
      </c>
      <c r="F56" s="3"/>
      <c r="FK56" s="3">
        <v>0</v>
      </c>
    </row>
    <row r="57" spans="1:167" x14ac:dyDescent="0.25">
      <c r="A57" s="5" t="s">
        <v>1714</v>
      </c>
      <c r="B57" s="14" t="str">
        <f>VLOOKUP(TAB_ENTRADA[[#This Row],[Cod_2_Entrada]],TAB_ESTOQUE[[Codigo]:[Descrição Tecnica]],6,FALSE)</f>
        <v>RELE DE NIVEL WEG RNW-ENE09 (WEG)</v>
      </c>
      <c r="C57" s="14">
        <f>IFERROR(VLOOKUP(TAB_ENTRADA[[#This Row],[Cod_2_Entrada]],TAB_ESTOQUE[[Codigo]:[Referência Tec]],7,FALSE),"")</f>
        <v>0</v>
      </c>
      <c r="D57" s="14" t="str">
        <f>VLOOKUP(TAB_ENTRADA[[#This Row],[Cod_2_Entrada]],TAB_ESTOQUE[[Codigo]:[Endereço2]],12,FALSE)</f>
        <v>A1304</v>
      </c>
      <c r="E57" s="14">
        <f>SUM(TAB_ENTRADA[[#This Row],[20/05/2019]:[Colunas1]])</f>
        <v>3</v>
      </c>
      <c r="F57" s="3"/>
      <c r="FK57" s="3">
        <v>3</v>
      </c>
    </row>
    <row r="58" spans="1:167" x14ac:dyDescent="0.25">
      <c r="A58" s="5" t="s">
        <v>1715</v>
      </c>
      <c r="B58" s="14" t="str">
        <f>VLOOKUP(TAB_ENTRADA[[#This Row],[Cod_2_Entrada]],TAB_ESTOQUE[[Codigo]:[Descrição Tecnica]],6,FALSE)</f>
        <v>DISJUNTOR MONOPOLAR 5SL11 MCB C6 IEC 60898-1 (SIEMENS)</v>
      </c>
      <c r="C58" s="14">
        <f>IFERROR(VLOOKUP(TAB_ENTRADA[[#This Row],[Cod_2_Entrada]],TAB_ESTOQUE[[Codigo]:[Referência Tec]],7,FALSE),"")</f>
        <v>0</v>
      </c>
      <c r="D58" s="14" t="str">
        <f>VLOOKUP(TAB_ENTRADA[[#This Row],[Cod_2_Entrada]],TAB_ESTOQUE[[Codigo]:[Endereço2]],12,FALSE)</f>
        <v>G1104</v>
      </c>
      <c r="E58" s="14">
        <f>SUM(TAB_ENTRADA[[#This Row],[20/05/2019]:[Colunas1]])</f>
        <v>0</v>
      </c>
      <c r="F58" s="3"/>
      <c r="FK58" s="3">
        <v>0</v>
      </c>
    </row>
    <row r="59" spans="1:167" x14ac:dyDescent="0.25">
      <c r="A59" s="5" t="s">
        <v>1716</v>
      </c>
      <c r="B59" s="14" t="str">
        <f>VLOOKUP(TAB_ENTRADA[[#This Row],[Cod_2_Entrada]],TAB_ESTOQUE[[Codigo]:[Descrição Tecnica]],6,FALSE)</f>
        <v>BOTOEIRA C/ SINALIZAÇÃO BRANCA BHS - REF. HB2-BE101, 1NO Ø22MM BA9S VMAX 220V BHS</v>
      </c>
      <c r="C59" s="14">
        <f>IFERROR(VLOOKUP(TAB_ENTRADA[[#This Row],[Cod_2_Entrada]],TAB_ESTOQUE[[Codigo]:[Referência Tec]],7,FALSE),"")</f>
        <v>0</v>
      </c>
      <c r="D59" s="14" t="str">
        <f>VLOOKUP(TAB_ENTRADA[[#This Row],[Cod_2_Entrada]],TAB_ESTOQUE[[Codigo]:[Endereço2]],12,FALSE)</f>
        <v>A1305</v>
      </c>
      <c r="E59" s="14">
        <f>SUM(TAB_ENTRADA[[#This Row],[20/05/2019]:[Colunas1]])</f>
        <v>11</v>
      </c>
      <c r="F59" s="3"/>
      <c r="FK59" s="3">
        <v>11</v>
      </c>
    </row>
    <row r="60" spans="1:167" x14ac:dyDescent="0.25">
      <c r="A60" s="5" t="s">
        <v>1717</v>
      </c>
      <c r="B60" s="14" t="str">
        <f>VLOOKUP(TAB_ENTRADA[[#This Row],[Cod_2_Entrada]],TAB_ESTOQUE[[Codigo]:[Descrição Tecnica]],6,FALSE)</f>
        <v>COOLER 220VAC 60HZ 1.4W 0,10A , F2E - 1205 - 230</v>
      </c>
      <c r="C60" s="14">
        <f>IFERROR(VLOOKUP(TAB_ENTRADA[[#This Row],[Cod_2_Entrada]],TAB_ESTOQUE[[Codigo]:[Referência Tec]],7,FALSE),"")</f>
        <v>0</v>
      </c>
      <c r="D60" s="14" t="str">
        <f>VLOOKUP(TAB_ENTRADA[[#This Row],[Cod_2_Entrada]],TAB_ESTOQUE[[Codigo]:[Endereço2]],12,FALSE)</f>
        <v>B1106</v>
      </c>
      <c r="E60" s="14">
        <f>SUM(TAB_ENTRADA[[#This Row],[20/05/2019]:[Colunas1]])</f>
        <v>0</v>
      </c>
      <c r="F60" s="3"/>
      <c r="FK60" s="3">
        <v>0</v>
      </c>
    </row>
    <row r="61" spans="1:167" x14ac:dyDescent="0.25">
      <c r="A61" s="5" t="s">
        <v>1718</v>
      </c>
      <c r="B61" s="14" t="str">
        <f>VLOOKUP(TAB_ENTRADA[[#This Row],[Cod_2_Entrada]],TAB_ESTOQUE[[Codigo]:[Descrição Tecnica]],6,FALSE)</f>
        <v>BOTOEIRA C/ SINALIZAÇÃO VERDE BHS - REF. TY-15A, 1NO Ø22MM BA9S VMAX 220V TY-15A BHS</v>
      </c>
      <c r="C61" s="14">
        <f>IFERROR(VLOOKUP(TAB_ENTRADA[[#This Row],[Cod_2_Entrada]],TAB_ESTOQUE[[Codigo]:[Referência Tec]],7,FALSE),"")</f>
        <v>0</v>
      </c>
      <c r="D61" s="14" t="str">
        <f>VLOOKUP(TAB_ENTRADA[[#This Row],[Cod_2_Entrada]],TAB_ESTOQUE[[Codigo]:[Endereço2]],12,FALSE)</f>
        <v>A1305</v>
      </c>
      <c r="E61" s="14">
        <f>SUM(TAB_ENTRADA[[#This Row],[20/05/2019]:[Colunas1]])</f>
        <v>4</v>
      </c>
      <c r="F61" s="3"/>
      <c r="FK61" s="3">
        <v>4</v>
      </c>
    </row>
    <row r="62" spans="1:167" x14ac:dyDescent="0.25">
      <c r="A62" s="5" t="s">
        <v>1719</v>
      </c>
      <c r="B62" s="14" t="str">
        <f>VLOOKUP(TAB_ENTRADA[[#This Row],[Cod_2_Entrada]],TAB_ESTOQUE[[Codigo]:[Descrição Tecnica]],6,FALSE)</f>
        <v>BASE PARA FUSIVEL CERAMICO (WOHNER)</v>
      </c>
      <c r="C62" s="14">
        <f>IFERROR(VLOOKUP(TAB_ENTRADA[[#This Row],[Cod_2_Entrada]],TAB_ESTOQUE[[Codigo]:[Referência Tec]],7,FALSE),"")</f>
        <v>0</v>
      </c>
      <c r="D62" s="14" t="str">
        <f>VLOOKUP(TAB_ENTRADA[[#This Row],[Cod_2_Entrada]],TAB_ESTOQUE[[Codigo]:[Endereço2]],12,FALSE)</f>
        <v>A1305</v>
      </c>
      <c r="E62" s="14">
        <f>SUM(TAB_ENTRADA[[#This Row],[20/05/2019]:[Colunas1]])</f>
        <v>1</v>
      </c>
      <c r="F62" s="3"/>
      <c r="FK62" s="3">
        <v>1</v>
      </c>
    </row>
    <row r="63" spans="1:167" x14ac:dyDescent="0.25">
      <c r="A63" s="5" t="s">
        <v>1720</v>
      </c>
      <c r="B63" s="14" t="str">
        <f>VLOOKUP(TAB_ENTRADA[[#This Row],[Cod_2_Entrada]],TAB_ESTOQUE[[Codigo]:[Descrição Tecnica]],6,FALSE)</f>
        <v>BOTOEIRA C/ SINALIZAÇÃO AZUL BHS - REF. TY-13C, 1NO Ø22MM BA9S VMAX 220V TY-13C BHS</v>
      </c>
      <c r="C63" s="14">
        <f>IFERROR(VLOOKUP(TAB_ENTRADA[[#This Row],[Cod_2_Entrada]],TAB_ESTOQUE[[Codigo]:[Referência Tec]],7,FALSE),"")</f>
        <v>0</v>
      </c>
      <c r="D63" s="14" t="str">
        <f>VLOOKUP(TAB_ENTRADA[[#This Row],[Cod_2_Entrada]],TAB_ESTOQUE[[Codigo]:[Endereço2]],12,FALSE)</f>
        <v>A1305</v>
      </c>
      <c r="E63" s="14">
        <f>SUM(TAB_ENTRADA[[#This Row],[20/05/2019]:[Colunas1]])</f>
        <v>4</v>
      </c>
      <c r="F63" s="3"/>
      <c r="FK63" s="3">
        <v>4</v>
      </c>
    </row>
    <row r="64" spans="1:167" x14ac:dyDescent="0.25">
      <c r="A64" s="5" t="s">
        <v>1721</v>
      </c>
      <c r="B64" s="14" t="str">
        <f>VLOOKUP(TAB_ENTRADA[[#This Row],[Cod_2_Entrada]],TAB_ESTOQUE[[Codigo]:[Descrição Tecnica]],6,FALSE)</f>
        <v>BASE COM FUSIVEL ETI 16A 002322009</v>
      </c>
      <c r="C64" s="14">
        <f>IFERROR(VLOOKUP(TAB_ENTRADA[[#This Row],[Cod_2_Entrada]],TAB_ESTOQUE[[Codigo]:[Referência Tec]],7,FALSE),"")</f>
        <v>0</v>
      </c>
      <c r="D64" s="14" t="str">
        <f>VLOOKUP(TAB_ENTRADA[[#This Row],[Cod_2_Entrada]],TAB_ESTOQUE[[Codigo]:[Endereço2]],12,FALSE)</f>
        <v>A1305</v>
      </c>
      <c r="E64" s="14">
        <f>SUM(TAB_ENTRADA[[#This Row],[20/05/2019]:[Colunas1]])</f>
        <v>2</v>
      </c>
      <c r="F64" s="3"/>
      <c r="FK64" s="3">
        <v>2</v>
      </c>
    </row>
    <row r="65" spans="1:167" x14ac:dyDescent="0.25">
      <c r="A65" s="5" t="s">
        <v>1722</v>
      </c>
      <c r="B65" s="14" t="str">
        <f>VLOOKUP(TAB_ENTRADA[[#This Row],[Cod_2_Entrada]],TAB_ESTOQUE[[Codigo]:[Descrição Tecnica]],6,FALSE)</f>
        <v>BOTÃO DE EMERGENCIA - TIPO C - IEC60947-5-5 (ABB)</v>
      </c>
      <c r="C65" s="14">
        <f>IFERROR(VLOOKUP(TAB_ENTRADA[[#This Row],[Cod_2_Entrada]],TAB_ESTOQUE[[Codigo]:[Referência Tec]],7,FALSE),"")</f>
        <v>0</v>
      </c>
      <c r="D65" s="14" t="str">
        <f>VLOOKUP(TAB_ENTRADA[[#This Row],[Cod_2_Entrada]],TAB_ESTOQUE[[Codigo]:[Endereço2]],12,FALSE)</f>
        <v>A1305</v>
      </c>
      <c r="E65" s="14">
        <f>SUM(TAB_ENTRADA[[#This Row],[20/05/2019]:[Colunas1]])</f>
        <v>1</v>
      </c>
      <c r="F65" s="3"/>
      <c r="FK65" s="3">
        <v>1</v>
      </c>
    </row>
    <row r="66" spans="1:167" x14ac:dyDescent="0.25">
      <c r="A66" s="5" t="s">
        <v>1723</v>
      </c>
      <c r="B66" s="14" t="str">
        <f>VLOOKUP(TAB_ENTRADA[[#This Row],[Cod_2_Entrada]],TAB_ESTOQUE[[Codigo]:[Descrição Tecnica]],6,FALSE)</f>
        <v>SUPRESSOR DE SURTO SIEMENS 3RT2916-1DG00 (SIEMENS)</v>
      </c>
      <c r="C66" s="14">
        <f>IFERROR(VLOOKUP(TAB_ENTRADA[[#This Row],[Cod_2_Entrada]],TAB_ESTOQUE[[Codigo]:[Referência Tec]],7,FALSE),"")</f>
        <v>0</v>
      </c>
      <c r="D66" s="14" t="str">
        <f>VLOOKUP(TAB_ENTRADA[[#This Row],[Cod_2_Entrada]],TAB_ESTOQUE[[Codigo]:[Endereço2]],12,FALSE)</f>
        <v>A1305</v>
      </c>
      <c r="E66" s="14">
        <f>SUM(TAB_ENTRADA[[#This Row],[20/05/2019]:[Colunas1]])</f>
        <v>8</v>
      </c>
      <c r="F66" s="3"/>
      <c r="FK66" s="3">
        <v>8</v>
      </c>
    </row>
    <row r="67" spans="1:167" x14ac:dyDescent="0.25">
      <c r="A67" s="5" t="s">
        <v>1724</v>
      </c>
      <c r="B67" s="14" t="str">
        <f>VLOOKUP(TAB_ENTRADA[[#This Row],[Cod_2_Entrada]],TAB_ESTOQUE[[Codigo]:[Descrição Tecnica]],6,FALSE)</f>
        <v>CABEÇA P/ BOTÃO DE EMERGÊNCIA REF. ZB5 AS 834 (SCHNEIDER)</v>
      </c>
      <c r="C67" s="14">
        <f>IFERROR(VLOOKUP(TAB_ENTRADA[[#This Row],[Cod_2_Entrada]],TAB_ESTOQUE[[Codigo]:[Referência Tec]],7,FALSE),"")</f>
        <v>0</v>
      </c>
      <c r="D67" s="14" t="str">
        <f>VLOOKUP(TAB_ENTRADA[[#This Row],[Cod_2_Entrada]],TAB_ESTOQUE[[Codigo]:[Endereço2]],12,FALSE)</f>
        <v>A1305</v>
      </c>
      <c r="E67" s="14">
        <f>SUM(TAB_ENTRADA[[#This Row],[20/05/2019]:[Colunas1]])</f>
        <v>4</v>
      </c>
      <c r="F67" s="3"/>
      <c r="FK67" s="3">
        <v>4</v>
      </c>
    </row>
    <row r="68" spans="1:167" x14ac:dyDescent="0.25">
      <c r="A68" s="5" t="s">
        <v>1725</v>
      </c>
      <c r="B68" s="14" t="str">
        <f>VLOOKUP(TAB_ENTRADA[[#This Row],[Cod_2_Entrada]],TAB_ESTOQUE[[Codigo]:[Descrição Tecnica]],6,FALSE)</f>
        <v>CONTROLADOR DE TEMPERATURA HW4900 PN: 8120200224</v>
      </c>
      <c r="C68" s="14">
        <f>IFERROR(VLOOKUP(TAB_ENTRADA[[#This Row],[Cod_2_Entrada]],TAB_ESTOQUE[[Codigo]:[Referência Tec]],7,FALSE),"")</f>
        <v>0</v>
      </c>
      <c r="D68" s="14" t="str">
        <f>VLOOKUP(TAB_ENTRADA[[#This Row],[Cod_2_Entrada]],TAB_ESTOQUE[[Codigo]:[Endereço2]],12,FALSE)</f>
        <v>A1305</v>
      </c>
      <c r="E68" s="14">
        <f>SUM(TAB_ENTRADA[[#This Row],[20/05/2019]:[Colunas1]])</f>
        <v>3</v>
      </c>
      <c r="F68" s="3"/>
      <c r="FK68" s="3">
        <v>3</v>
      </c>
    </row>
    <row r="69" spans="1:167" x14ac:dyDescent="0.25">
      <c r="A69" s="5" t="s">
        <v>1726</v>
      </c>
      <c r="B69" s="14" t="str">
        <f>VLOOKUP(TAB_ENTRADA[[#This Row],[Cod_2_Entrada]],TAB_ESTOQUE[[Codigo]:[Descrição Tecnica]],6,FALSE)</f>
        <v>FUSÍVEL CARTUCHO P/ BARRAMENTO 40A 500VAC NP5873 - AMERICAN FUSE NP5873</v>
      </c>
      <c r="C69" s="14">
        <f>IFERROR(VLOOKUP(TAB_ENTRADA[[#This Row],[Cod_2_Entrada]],TAB_ESTOQUE[[Codigo]:[Referência Tec]],7,FALSE),"")</f>
        <v>0</v>
      </c>
      <c r="D69" s="14" t="str">
        <f>VLOOKUP(TAB_ENTRADA[[#This Row],[Cod_2_Entrada]],TAB_ESTOQUE[[Codigo]:[Endereço2]],12,FALSE)</f>
        <v>A1204</v>
      </c>
      <c r="E69" s="14">
        <f>SUM(TAB_ENTRADA[[#This Row],[20/05/2019]:[Colunas1]])</f>
        <v>17</v>
      </c>
      <c r="F69" s="3"/>
      <c r="FK69" s="3">
        <v>17</v>
      </c>
    </row>
    <row r="70" spans="1:167" x14ac:dyDescent="0.25">
      <c r="A70" s="5" t="s">
        <v>1727</v>
      </c>
      <c r="B70" s="14" t="str">
        <f>VLOOKUP(TAB_ENTRADA[[#This Row],[Cod_2_Entrada]],TAB_ESTOQUE[[Codigo]:[Descrição Tecnica]],6,FALSE)</f>
        <v>PLUG P/ CABO PROFINET IE FC RJ45 PLUG 180 - REF. 6GK1901-1BB10-2AA0 6GK1901-1BB10-2AA0 SIEMENS</v>
      </c>
      <c r="C70" s="14">
        <f>IFERROR(VLOOKUP(TAB_ENTRADA[[#This Row],[Cod_2_Entrada]],TAB_ESTOQUE[[Codigo]:[Referência Tec]],7,FALSE),"")</f>
        <v>0</v>
      </c>
      <c r="D70" s="14" t="str">
        <f>VLOOKUP(TAB_ENTRADA[[#This Row],[Cod_2_Entrada]],TAB_ESTOQUE[[Codigo]:[Endereço2]],12,FALSE)</f>
        <v>A1305</v>
      </c>
      <c r="E70" s="14">
        <f>SUM(TAB_ENTRADA[[#This Row],[20/05/2019]:[Colunas1]])</f>
        <v>14</v>
      </c>
      <c r="F70" s="3"/>
      <c r="FK70" s="3">
        <v>14</v>
      </c>
    </row>
    <row r="71" spans="1:167" x14ac:dyDescent="0.25">
      <c r="A71" s="5" t="s">
        <v>1728</v>
      </c>
      <c r="B71" s="14" t="str">
        <f>VLOOKUP(TAB_ENTRADA[[#This Row],[Cod_2_Entrada]],TAB_ESTOQUE[[Codigo]:[Descrição Tecnica]],6,FALSE)</f>
        <v>CHAVE SECCIONADORA COMANDO MANUAL TRIPOLAR NSX100-160-250</v>
      </c>
      <c r="C71" s="14">
        <f>IFERROR(VLOOKUP(TAB_ENTRADA[[#This Row],[Cod_2_Entrada]],TAB_ESTOQUE[[Codigo]:[Referência Tec]],7,FALSE),"")</f>
        <v>0</v>
      </c>
      <c r="D71" s="14" t="str">
        <f>VLOOKUP(TAB_ENTRADA[[#This Row],[Cod_2_Entrada]],TAB_ESTOQUE[[Codigo]:[Endereço2]],12,FALSE)</f>
        <v>G1102</v>
      </c>
      <c r="E71" s="14">
        <f>SUM(TAB_ENTRADA[[#This Row],[20/05/2019]:[Colunas1]])</f>
        <v>1</v>
      </c>
      <c r="F71" s="3"/>
      <c r="FK71" s="3">
        <v>1</v>
      </c>
    </row>
    <row r="72" spans="1:167" x14ac:dyDescent="0.25">
      <c r="A72" s="5" t="s">
        <v>1729</v>
      </c>
      <c r="B72" s="14" t="str">
        <f>VLOOKUP(TAB_ENTRADA[[#This Row],[Cod_2_Entrada]],TAB_ESTOQUE[[Codigo]:[Descrição Tecnica]],6,FALSE)</f>
        <v>DISJUNTOR TRIPOLAR EZC630N3600N</v>
      </c>
      <c r="C72" s="14">
        <f>IFERROR(VLOOKUP(TAB_ENTRADA[[#This Row],[Cod_2_Entrada]],TAB_ESTOQUE[[Codigo]:[Referência Tec]],7,FALSE),"")</f>
        <v>0</v>
      </c>
      <c r="D72" s="14" t="str">
        <f>VLOOKUP(TAB_ENTRADA[[#This Row],[Cod_2_Entrada]],TAB_ESTOQUE[[Codigo]:[Endereço2]],12,FALSE)</f>
        <v>A1306</v>
      </c>
      <c r="E72" s="14">
        <f>SUM(TAB_ENTRADA[[#This Row],[20/05/2019]:[Colunas1]])</f>
        <v>1</v>
      </c>
      <c r="F72" s="3"/>
      <c r="FK72" s="3">
        <v>1</v>
      </c>
    </row>
    <row r="73" spans="1:167" x14ac:dyDescent="0.25">
      <c r="A73" s="5" t="s">
        <v>1730</v>
      </c>
      <c r="B73" s="14" t="str">
        <f>VLOOKUP(TAB_ENTRADA[[#This Row],[Cod_2_Entrada]],TAB_ESTOQUE[[Codigo]:[Descrição Tecnica]],6,FALSE)</f>
        <v>FITA DE FIBRA P/ ALAT TEMPERATURA 3M COLEIRO</v>
      </c>
      <c r="C73" s="14">
        <f>IFERROR(VLOOKUP(TAB_ENTRADA[[#This Row],[Cod_2_Entrada]],TAB_ESTOQUE[[Codigo]:[Referência Tec]],7,FALSE),"")</f>
        <v>0</v>
      </c>
      <c r="D73" s="14" t="str">
        <f>VLOOKUP(TAB_ENTRADA[[#This Row],[Cod_2_Entrada]],TAB_ESTOQUE[[Codigo]:[Endereço2]],12,FALSE)</f>
        <v>E2203</v>
      </c>
      <c r="E73" s="14">
        <f>SUM(TAB_ENTRADA[[#This Row],[20/05/2019]:[Colunas1]])</f>
        <v>0</v>
      </c>
      <c r="F73" s="3"/>
      <c r="FK73" s="3">
        <v>0</v>
      </c>
    </row>
    <row r="74" spans="1:167" x14ac:dyDescent="0.25">
      <c r="A74" s="5" t="s">
        <v>1731</v>
      </c>
      <c r="B74" s="14" t="str">
        <f>VLOOKUP(TAB_ENTRADA[[#This Row],[Cod_2_Entrada]],TAB_ESTOQUE[[Codigo]:[Descrição Tecnica]],6,FALSE)</f>
        <v>CAIXA BOTOEIRA C/ BOTÃO DE EMERGÊNCIA SIEMENS - REF. 3SB3 801-0EG3</v>
      </c>
      <c r="C74" s="14">
        <f>IFERROR(VLOOKUP(TAB_ENTRADA[[#This Row],[Cod_2_Entrada]],TAB_ESTOQUE[[Codigo]:[Referência Tec]],7,FALSE),"")</f>
        <v>0</v>
      </c>
      <c r="D74" s="14" t="str">
        <f>VLOOKUP(TAB_ENTRADA[[#This Row],[Cod_2_Entrada]],TAB_ESTOQUE[[Codigo]:[Endereço2]],12,FALSE)</f>
        <v>A1306</v>
      </c>
      <c r="E74" s="14">
        <f>SUM(TAB_ENTRADA[[#This Row],[20/05/2019]:[Colunas1]])</f>
        <v>2</v>
      </c>
      <c r="F74" s="3"/>
      <c r="FK74" s="3">
        <v>2</v>
      </c>
    </row>
    <row r="75" spans="1:167" x14ac:dyDescent="0.25">
      <c r="A75" s="5" t="s">
        <v>1732</v>
      </c>
      <c r="B75" s="14" t="str">
        <f>VLOOKUP(TAB_ENTRADA[[#This Row],[Cod_2_Entrada]],TAB_ESTOQUE[[Codigo]:[Descrição Tecnica]],6,FALSE)</f>
        <v>BOMBA PNEUMATICA MECART MOD: MEC 24T</v>
      </c>
      <c r="C75" s="14">
        <f>IFERROR(VLOOKUP(TAB_ENTRADA[[#This Row],[Cod_2_Entrada]],TAB_ESTOQUE[[Codigo]:[Referência Tec]],7,FALSE),"")</f>
        <v>0</v>
      </c>
      <c r="D75" s="14" t="str">
        <f>VLOOKUP(TAB_ENTRADA[[#This Row],[Cod_2_Entrada]],TAB_ESTOQUE[[Codigo]:[Endereço2]],12,FALSE)</f>
        <v>F1305</v>
      </c>
      <c r="E75" s="14">
        <f>SUM(TAB_ENTRADA[[#This Row],[20/05/2019]:[Colunas1]])</f>
        <v>1</v>
      </c>
      <c r="F75" s="3"/>
      <c r="FK75" s="3">
        <v>1</v>
      </c>
    </row>
    <row r="76" spans="1:167" x14ac:dyDescent="0.25">
      <c r="A76" s="5" t="s">
        <v>1733</v>
      </c>
      <c r="B76" s="14" t="str">
        <f>VLOOKUP(TAB_ENTRADA[[#This Row],[Cod_2_Entrada]],TAB_ESTOQUE[[Codigo]:[Descrição Tecnica]],6,FALSE)</f>
        <v>MOTOBOMBA DE VACUO WEG IP55 855Hz</v>
      </c>
      <c r="C76" s="14">
        <f>IFERROR(VLOOKUP(TAB_ENTRADA[[#This Row],[Cod_2_Entrada]],TAB_ESTOQUE[[Codigo]:[Referência Tec]],7,FALSE),"")</f>
        <v>0</v>
      </c>
      <c r="D76" s="14" t="str">
        <f>VLOOKUP(TAB_ENTRADA[[#This Row],[Cod_2_Entrada]],TAB_ESTOQUE[[Codigo]:[Endereço2]],12,FALSE)</f>
        <v>F1304</v>
      </c>
      <c r="E76" s="14">
        <f>SUM(TAB_ENTRADA[[#This Row],[20/05/2019]:[Colunas1]])</f>
        <v>1</v>
      </c>
      <c r="F76" s="3"/>
      <c r="FK76" s="3">
        <v>1</v>
      </c>
    </row>
    <row r="77" spans="1:167" x14ac:dyDescent="0.25">
      <c r="A77" s="5" t="s">
        <v>1734</v>
      </c>
      <c r="B77" s="14" t="str">
        <f>VLOOKUP(TAB_ENTRADA[[#This Row],[Cod_2_Entrada]],TAB_ESTOQUE[[Codigo]:[Descrição Tecnica]],6,FALSE)</f>
        <v>CABO FLEX UNIPOLAR  1,5MM² -  BOBINA 100M CAIXA COM 100M CABO FLEX 1,5MM² AZ LAPP KABEL</v>
      </c>
      <c r="C77" s="14">
        <f>IFERROR(VLOOKUP(TAB_ENTRADA[[#This Row],[Cod_2_Entrada]],TAB_ESTOQUE[[Codigo]:[Referência Tec]],7,FALSE),"")</f>
        <v>0</v>
      </c>
      <c r="D77" s="14" t="str">
        <f>VLOOKUP(TAB_ENTRADA[[#This Row],[Cod_2_Entrada]],TAB_ESTOQUE[[Codigo]:[Endereço2]],12,FALSE)</f>
        <v>B2404</v>
      </c>
      <c r="E77" s="14">
        <f>SUM(TAB_ENTRADA[[#This Row],[20/05/2019]:[Colunas1]])</f>
        <v>0</v>
      </c>
      <c r="F77" s="3"/>
      <c r="FK77" s="3">
        <v>0</v>
      </c>
    </row>
    <row r="78" spans="1:167" x14ac:dyDescent="0.25">
      <c r="A78" s="5" t="s">
        <v>1735</v>
      </c>
      <c r="B78" s="14" t="str">
        <f>VLOOKUP(TAB_ENTRADA[[#This Row],[Cod_2_Entrada]],TAB_ESTOQUE[[Codigo]:[Descrição Tecnica]],6,FALSE)</f>
        <v>CABO FLEX UNIPOLAR AZUL 1MM² -  BOBINA 100M CABO FLEX 1MM³ LA LAPP KABEL</v>
      </c>
      <c r="C78" s="14">
        <f>IFERROR(VLOOKUP(TAB_ENTRADA[[#This Row],[Cod_2_Entrada]],TAB_ESTOQUE[[Codigo]:[Referência Tec]],7,FALSE),"")</f>
        <v>0</v>
      </c>
      <c r="D78" s="14" t="str">
        <f>VLOOKUP(TAB_ENTRADA[[#This Row],[Cod_2_Entrada]],TAB_ESTOQUE[[Codigo]:[Endereço2]],12,FALSE)</f>
        <v>B2404</v>
      </c>
      <c r="E78" s="14">
        <f>SUM(TAB_ENTRADA[[#This Row],[20/05/2019]:[Colunas1]])</f>
        <v>0</v>
      </c>
      <c r="F78" s="3"/>
      <c r="FK78" s="3">
        <v>0</v>
      </c>
    </row>
    <row r="79" spans="1:167" x14ac:dyDescent="0.25">
      <c r="A79" s="5" t="s">
        <v>1736</v>
      </c>
      <c r="B79" s="14" t="str">
        <f>VLOOKUP(TAB_ENTRADA[[#This Row],[Cod_2_Entrada]],TAB_ESTOQUE[[Codigo]:[Descrição Tecnica]],6,FALSE)</f>
        <v>CABO FLEX UNIPOLAR AZUL+BRANCO 1MM² - LAPP KABEL - BOBINA 100M CABO FLEX 1MM³ AZ+BR LAPP KABEL</v>
      </c>
      <c r="C79" s="14">
        <f>IFERROR(VLOOKUP(TAB_ENTRADA[[#This Row],[Cod_2_Entrada]],TAB_ESTOQUE[[Codigo]:[Referência Tec]],7,FALSE),"")</f>
        <v>0</v>
      </c>
      <c r="D79" s="14" t="str">
        <f>VLOOKUP(TAB_ENTRADA[[#This Row],[Cod_2_Entrada]],TAB_ESTOQUE[[Codigo]:[Endereço2]],12,FALSE)</f>
        <v>B2404</v>
      </c>
      <c r="E79" s="14">
        <f>SUM(TAB_ENTRADA[[#This Row],[20/05/2019]:[Colunas1]])</f>
        <v>0</v>
      </c>
      <c r="F79" s="3"/>
      <c r="FK79" s="3">
        <v>0</v>
      </c>
    </row>
    <row r="80" spans="1:167" x14ac:dyDescent="0.25">
      <c r="A80" s="5" t="s">
        <v>1737</v>
      </c>
      <c r="B80" s="14" t="str">
        <f>VLOOKUP(TAB_ENTRADA[[#This Row],[Cod_2_Entrada]],TAB_ESTOQUE[[Codigo]:[Descrição Tecnica]],6,FALSE)</f>
        <v>CABO COM CONECTOR RETO FEMEA M12 12 PINOS</v>
      </c>
      <c r="C80" s="14">
        <f>IFERROR(VLOOKUP(TAB_ENTRADA[[#This Row],[Cod_2_Entrada]],TAB_ESTOQUE[[Codigo]:[Referência Tec]],7,FALSE),"")</f>
        <v>0</v>
      </c>
      <c r="D80" s="14" t="str">
        <f>VLOOKUP(TAB_ENTRADA[[#This Row],[Cod_2_Entrada]],TAB_ESTOQUE[[Codigo]:[Endereço2]],12,FALSE)</f>
        <v>B1404</v>
      </c>
      <c r="E80" s="14">
        <f>SUM(TAB_ENTRADA[[#This Row],[20/05/2019]:[Colunas1]])</f>
        <v>1</v>
      </c>
      <c r="F80" s="3"/>
      <c r="FK80" s="3">
        <v>1</v>
      </c>
    </row>
    <row r="81" spans="1:171" x14ac:dyDescent="0.25">
      <c r="A81" s="5" t="s">
        <v>1738</v>
      </c>
      <c r="B81" s="14" t="str">
        <f>VLOOKUP(TAB_ENTRADA[[#This Row],[Cod_2_Entrada]],TAB_ESTOQUE[[Codigo]:[Descrição Tecnica]],6,FALSE)</f>
        <v>TAMPA CEGA PARA CONDULETES</v>
      </c>
      <c r="C81" s="14">
        <f>IFERROR(VLOOKUP(TAB_ENTRADA[[#This Row],[Cod_2_Entrada]],TAB_ESTOQUE[[Codigo]:[Referência Tec]],7,FALSE),"")</f>
        <v>0</v>
      </c>
      <c r="D81" s="14" t="str">
        <f>VLOOKUP(TAB_ENTRADA[[#This Row],[Cod_2_Entrada]],TAB_ESTOQUE[[Codigo]:[Endereço2]],12,FALSE)</f>
        <v>A1402</v>
      </c>
      <c r="E81" s="14">
        <f>SUM(TAB_ENTRADA[[#This Row],[20/05/2019]:[Colunas1]])</f>
        <v>44</v>
      </c>
      <c r="F81" s="3"/>
      <c r="FK81" s="3">
        <v>44</v>
      </c>
    </row>
    <row r="82" spans="1:171" x14ac:dyDescent="0.25">
      <c r="A82" s="5" t="s">
        <v>1739</v>
      </c>
      <c r="B82" s="14" t="str">
        <f>VLOOKUP(TAB_ENTRADA[[#This Row],[Cod_2_Entrada]],TAB_ESTOQUE[[Codigo]:[Descrição Tecnica]],6,FALSE)</f>
        <v>CONDULETE ALUM: E 1" 1/4" COM ROSCA</v>
      </c>
      <c r="C82" s="14">
        <f>IFERROR(VLOOKUP(TAB_ENTRADA[[#This Row],[Cod_2_Entrada]],TAB_ESTOQUE[[Codigo]:[Referência Tec]],7,FALSE),"")</f>
        <v>0</v>
      </c>
      <c r="D82" s="14" t="str">
        <f>VLOOKUP(TAB_ENTRADA[[#This Row],[Cod_2_Entrada]],TAB_ESTOQUE[[Codigo]:[Endereço2]],12,FALSE)</f>
        <v>A1402</v>
      </c>
      <c r="E82" s="14">
        <f>SUM(TAB_ENTRADA[[#This Row],[20/05/2019]:[Colunas1]])</f>
        <v>2</v>
      </c>
      <c r="F82" s="3"/>
      <c r="FK82" s="3">
        <v>2</v>
      </c>
    </row>
    <row r="83" spans="1:171" x14ac:dyDescent="0.25">
      <c r="A83" s="5" t="s">
        <v>1740</v>
      </c>
      <c r="B83" s="14" t="str">
        <f>VLOOKUP(TAB_ENTRADA[[#This Row],[Cod_2_Entrada]],TAB_ESTOQUE[[Codigo]:[Descrição Tecnica]],6,FALSE)</f>
        <v>CHAVE SECCIONADORA P/ FUSÍVEL NH TAMAHO 00 - IMAX. 160A - SIEMENS - REF. 3NP1133-1CA10</v>
      </c>
      <c r="C83" s="14">
        <f>IFERROR(VLOOKUP(TAB_ENTRADA[[#This Row],[Cod_2_Entrada]],TAB_ESTOQUE[[Codigo]:[Referência Tec]],7,FALSE),"")</f>
        <v>0</v>
      </c>
      <c r="D83" s="14" t="str">
        <f>VLOOKUP(TAB_ENTRADA[[#This Row],[Cod_2_Entrada]],TAB_ESTOQUE[[Codigo]:[Endereço2]],12,FALSE)</f>
        <v>A1403</v>
      </c>
      <c r="E83" s="14">
        <f>SUM(TAB_ENTRADA[[#This Row],[20/05/2019]:[Colunas1]])</f>
        <v>2</v>
      </c>
      <c r="F83" s="3"/>
      <c r="FK83" s="3">
        <v>2</v>
      </c>
    </row>
    <row r="84" spans="1:171" x14ac:dyDescent="0.25">
      <c r="A84" s="5" t="s">
        <v>1741</v>
      </c>
      <c r="B84" s="14" t="str">
        <f>VLOOKUP(TAB_ENTRADA[[#This Row],[Cod_2_Entrada]],TAB_ESTOQUE[[Codigo]:[Descrição Tecnica]],6,FALSE)</f>
        <v xml:space="preserve">CONTACTOR LC1 D09BD SCHNEIDER 25A </v>
      </c>
      <c r="C84" s="14">
        <f>IFERROR(VLOOKUP(TAB_ENTRADA[[#This Row],[Cod_2_Entrada]],TAB_ESTOQUE[[Codigo]:[Referência Tec]],7,FALSE),"")</f>
        <v>0</v>
      </c>
      <c r="D84" s="14" t="str">
        <f>VLOOKUP(TAB_ENTRADA[[#This Row],[Cod_2_Entrada]],TAB_ESTOQUE[[Codigo]:[Endereço2]],12,FALSE)</f>
        <v>A1403</v>
      </c>
      <c r="E84" s="14">
        <f>SUM(TAB_ENTRADA[[#This Row],[20/05/2019]:[Colunas1]])</f>
        <v>3</v>
      </c>
      <c r="F84" s="3"/>
      <c r="FK84" s="3">
        <v>3</v>
      </c>
    </row>
    <row r="85" spans="1:171" x14ac:dyDescent="0.25">
      <c r="A85" s="5" t="s">
        <v>1742</v>
      </c>
      <c r="B85" s="14" t="str">
        <f>VLOOKUP(TAB_ENTRADA[[#This Row],[Cod_2_Entrada]],TAB_ESTOQUE[[Codigo]:[Descrição Tecnica]],6,FALSE)</f>
        <v xml:space="preserve">CONTACTOR TRIPOLAR 25A (WEG) REF. CWC025-00-30V26 </v>
      </c>
      <c r="C85" s="14">
        <f>IFERROR(VLOOKUP(TAB_ENTRADA[[#This Row],[Cod_2_Entrada]],TAB_ESTOQUE[[Codigo]:[Referência Tec]],7,FALSE),"")</f>
        <v>0</v>
      </c>
      <c r="D85" s="14" t="str">
        <f>VLOOKUP(TAB_ENTRADA[[#This Row],[Cod_2_Entrada]],TAB_ESTOQUE[[Codigo]:[Endereço2]],12,FALSE)</f>
        <v>A1403</v>
      </c>
      <c r="E85" s="14">
        <f>SUM(TAB_ENTRADA[[#This Row],[20/05/2019]:[Colunas1]])</f>
        <v>2</v>
      </c>
      <c r="F85" s="3"/>
      <c r="FK85" s="3">
        <v>2</v>
      </c>
    </row>
    <row r="86" spans="1:171" x14ac:dyDescent="0.25">
      <c r="A86" s="5" t="s">
        <v>1743</v>
      </c>
      <c r="B86" s="14" t="str">
        <f>VLOOKUP(TAB_ENTRADA[[#This Row],[Cod_2_Entrada]],TAB_ESTOQUE[[Codigo]:[Descrição Tecnica]],6,FALSE)</f>
        <v>CONTATOR DE FORÇA AC-3: 9A 400V 380V 4KW 10E 1NO DC 24V SIEMENS</v>
      </c>
      <c r="C86" s="14">
        <f>IFERROR(VLOOKUP(TAB_ENTRADA[[#This Row],[Cod_2_Entrada]],TAB_ESTOQUE[[Codigo]:[Referência Tec]],7,FALSE),"")</f>
        <v>0</v>
      </c>
      <c r="D86" s="14" t="str">
        <f>VLOOKUP(TAB_ENTRADA[[#This Row],[Cod_2_Entrada]],TAB_ESTOQUE[[Codigo]:[Endereço2]],12,FALSE)</f>
        <v>A1403</v>
      </c>
      <c r="E86" s="14">
        <f>SUM(TAB_ENTRADA[[#This Row],[20/05/2019]:[Colunas1]])</f>
        <v>2</v>
      </c>
      <c r="F86" s="3"/>
      <c r="FK86" s="3">
        <v>2</v>
      </c>
    </row>
    <row r="87" spans="1:171" x14ac:dyDescent="0.25">
      <c r="A87" s="5" t="s">
        <v>1744</v>
      </c>
      <c r="B87" s="14" t="str">
        <f>VLOOKUP(TAB_ENTRADA[[#This Row],[Cod_2_Entrada]],TAB_ESTOQUE[[Codigo]:[Descrição Tecnica]],6,FALSE)</f>
        <v xml:space="preserve">CONTATOR DE FORÇA AC-3: 12A 400V 380V 5.5KW 10E 1NO SIEMENS </v>
      </c>
      <c r="C87" s="14">
        <f>IFERROR(VLOOKUP(TAB_ENTRADA[[#This Row],[Cod_2_Entrada]],TAB_ESTOQUE[[Codigo]:[Referência Tec]],7,FALSE),"")</f>
        <v>0</v>
      </c>
      <c r="D87" s="14" t="str">
        <f>VLOOKUP(TAB_ENTRADA[[#This Row],[Cod_2_Entrada]],TAB_ESTOQUE[[Codigo]:[Endereço2]],12,FALSE)</f>
        <v>A1403</v>
      </c>
      <c r="E87" s="14">
        <f>SUM(TAB_ENTRADA[[#This Row],[20/05/2019]:[Colunas1]])</f>
        <v>2</v>
      </c>
      <c r="F87" s="3"/>
      <c r="FK87" s="3">
        <v>2</v>
      </c>
    </row>
    <row r="88" spans="1:171" x14ac:dyDescent="0.25">
      <c r="A88" s="5" t="s">
        <v>1745</v>
      </c>
      <c r="B88" s="14" t="str">
        <f>VLOOKUP(TAB_ENTRADA[[#This Row],[Cod_2_Entrada]],TAB_ESTOQUE[[Codigo]:[Descrição Tecnica]],6,FALSE)</f>
        <v>CONTATOR DE FORÇA AC-3: 18A 400V 380V 7.5KW 10E 1NO</v>
      </c>
      <c r="C88" s="14">
        <f>IFERROR(VLOOKUP(TAB_ENTRADA[[#This Row],[Cod_2_Entrada]],TAB_ESTOQUE[[Codigo]:[Referência Tec]],7,FALSE),"")</f>
        <v>0</v>
      </c>
      <c r="D88" s="14" t="str">
        <f>VLOOKUP(TAB_ENTRADA[[#This Row],[Cod_2_Entrada]],TAB_ESTOQUE[[Codigo]:[Endereço2]],12,FALSE)</f>
        <v>A1403</v>
      </c>
      <c r="E88" s="14">
        <f>SUM(TAB_ENTRADA[[#This Row],[20/05/2019]:[Colunas1]])</f>
        <v>2</v>
      </c>
      <c r="F88" s="3"/>
      <c r="FK88" s="3">
        <v>2</v>
      </c>
    </row>
    <row r="89" spans="1:171" x14ac:dyDescent="0.25">
      <c r="A89" s="5" t="s">
        <v>1746</v>
      </c>
      <c r="B89" s="14" t="str">
        <f>VLOOKUP(TAB_ENTRADA[[#This Row],[Cod_2_Entrada]],TAB_ESTOQUE[[Codigo]:[Descrição Tecnica]],6,FALSE)</f>
        <v>CAIXA BOTOEIRA P/ BOTÃO DE COMANDO - MOD. LAY5-BOX1/W (LUKMA ELETRONIC)</v>
      </c>
      <c r="C89" s="14">
        <f>IFERROR(VLOOKUP(TAB_ENTRADA[[#This Row],[Cod_2_Entrada]],TAB_ESTOQUE[[Codigo]:[Referência Tec]],7,FALSE),"")</f>
        <v>0</v>
      </c>
      <c r="D89" s="14" t="str">
        <f>VLOOKUP(TAB_ENTRADA[[#This Row],[Cod_2_Entrada]],TAB_ESTOQUE[[Codigo]:[Endereço2]],12,FALSE)</f>
        <v>B1304</v>
      </c>
      <c r="E89" s="14">
        <f>SUM(TAB_ENTRADA[[#This Row],[20/05/2019]:[Colunas1]])</f>
        <v>1</v>
      </c>
      <c r="F89" s="3"/>
      <c r="FK89" s="3">
        <v>1</v>
      </c>
    </row>
    <row r="90" spans="1:171" x14ac:dyDescent="0.25">
      <c r="A90" s="5" t="s">
        <v>1747</v>
      </c>
      <c r="B90" s="14" t="str">
        <f>VLOOKUP(TAB_ENTRADA[[#This Row],[Cod_2_Entrada]],TAB_ESTOQUE[[Codigo]:[Descrição Tecnica]],6,FALSE)</f>
        <v>ACOPLAMENTO STECK FIXAR N5246 32-6h/380-440V 3P+N+ FEMEA VERMELHO</v>
      </c>
      <c r="C90" s="14">
        <f>IFERROR(VLOOKUP(TAB_ENTRADA[[#This Row],[Cod_2_Entrada]],TAB_ESTOQUE[[Codigo]:[Referência Tec]],7,FALSE),"")</f>
        <v>0</v>
      </c>
      <c r="D90" s="14" t="str">
        <f>VLOOKUP(TAB_ENTRADA[[#This Row],[Cod_2_Entrada]],TAB_ESTOQUE[[Codigo]:[Endereço2]],12,FALSE)</f>
        <v>A1404</v>
      </c>
      <c r="E90" s="14">
        <f>SUM(TAB_ENTRADA[[#This Row],[20/05/2019]:[Colunas1]])</f>
        <v>2</v>
      </c>
      <c r="F90" s="3"/>
      <c r="FK90" s="3">
        <v>2</v>
      </c>
    </row>
    <row r="91" spans="1:171" x14ac:dyDescent="0.25">
      <c r="A91" s="5" t="s">
        <v>1748</v>
      </c>
      <c r="B91" s="14" t="str">
        <f>VLOOKUP(TAB_ENTRADA[[#This Row],[Cod_2_Entrada]],TAB_ESTOQUE[[Codigo]:[Descrição Tecnica]],6,FALSE)</f>
        <v>ACOPLAMENTO STECK N4256 32A-6h 380V 440V 3P+ 052794 FEMEA VERMELHO</v>
      </c>
      <c r="C91" s="14">
        <f>IFERROR(VLOOKUP(TAB_ENTRADA[[#This Row],[Cod_2_Entrada]],TAB_ESTOQUE[[Codigo]:[Referência Tec]],7,FALSE),"")</f>
        <v>0</v>
      </c>
      <c r="D91" s="14" t="str">
        <f>VLOOKUP(TAB_ENTRADA[[#This Row],[Cod_2_Entrada]],TAB_ESTOQUE[[Codigo]:[Endereço2]],12,FALSE)</f>
        <v>A1404</v>
      </c>
      <c r="E91" s="14">
        <f>SUM(TAB_ENTRADA[[#This Row],[20/05/2019]:[Colunas1]])</f>
        <v>0</v>
      </c>
      <c r="F91" s="3"/>
      <c r="FK91" s="3">
        <v>0</v>
      </c>
    </row>
    <row r="92" spans="1:171" x14ac:dyDescent="0.25">
      <c r="A92" s="5" t="s">
        <v>1749</v>
      </c>
      <c r="B92" s="14" t="str">
        <f>VLOOKUP(TAB_ENTRADA[[#This Row],[Cod_2_Entrada]],TAB_ESTOQUE[[Codigo]:[Descrição Tecnica]],6,FALSE)</f>
        <v>ACOPLAMENTO STECK N3056 16A-6h 200V 250V 2P+ OSN20568 FEMEA AZUL</v>
      </c>
      <c r="C92" s="14">
        <f>IFERROR(VLOOKUP(TAB_ENTRADA[[#This Row],[Cod_2_Entrada]],TAB_ESTOQUE[[Codigo]:[Referência Tec]],7,FALSE),"")</f>
        <v>0</v>
      </c>
      <c r="D92" s="14" t="str">
        <f>VLOOKUP(TAB_ENTRADA[[#This Row],[Cod_2_Entrada]],TAB_ESTOQUE[[Codigo]:[Endereço2]],12,FALSE)</f>
        <v>A1404</v>
      </c>
      <c r="E92" s="14">
        <f>SUM(TAB_ENTRADA[[#This Row],[20/05/2019]:[Colunas1]])</f>
        <v>1</v>
      </c>
      <c r="F92" s="3"/>
      <c r="FK92" s="3">
        <v>1</v>
      </c>
    </row>
    <row r="93" spans="1:171" x14ac:dyDescent="0.25">
      <c r="A93" s="5" t="s">
        <v>1750</v>
      </c>
      <c r="B93" s="14" t="str">
        <f>VLOOKUP(TAB_ENTRADA[[#This Row],[Cod_2_Entrada]],TAB_ESTOQUE[[Codigo]:[Descrição Tecnica]],6,FALSE)</f>
        <v>ACOPLAMENTO NEWKON 2P+T 16A -6H 200/250V AZ IP44 SETCK - REF. N3076 AZUL MACHO</v>
      </c>
      <c r="C93" s="14">
        <f>IFERROR(VLOOKUP(TAB_ENTRADA[[#This Row],[Cod_2_Entrada]],TAB_ESTOQUE[[Codigo]:[Referência Tec]],7,FALSE),"")</f>
        <v>0</v>
      </c>
      <c r="D93" s="14" t="str">
        <f>VLOOKUP(TAB_ENTRADA[[#This Row],[Cod_2_Entrada]],TAB_ESTOQUE[[Codigo]:[Endereço2]],12,FALSE)</f>
        <v>A2404</v>
      </c>
      <c r="E93" s="14">
        <f>SUM(TAB_ENTRADA[[#This Row],[20/05/2019]:[Colunas1]])</f>
        <v>0</v>
      </c>
      <c r="F93" s="3"/>
      <c r="FK93" s="3">
        <v>0</v>
      </c>
    </row>
    <row r="94" spans="1:171" x14ac:dyDescent="0.25">
      <c r="A94" s="5" t="s">
        <v>1751</v>
      </c>
      <c r="B94" s="14" t="str">
        <f>VLOOKUP(TAB_ENTRADA[[#This Row],[Cod_2_Entrada]],TAB_ESTOQUE[[Codigo]:[Descrição Tecnica]],6,FALSE)</f>
        <v>ACOPLAMENTO STECK FIXAR N3006 2P+16A-6h 200-250V OSN24818 FEMEA AZUL</v>
      </c>
      <c r="C94" s="14">
        <f>IFERROR(VLOOKUP(TAB_ENTRADA[[#This Row],[Cod_2_Entrada]],TAB_ESTOQUE[[Codigo]:[Referência Tec]],7,FALSE),"")</f>
        <v>0</v>
      </c>
      <c r="D94" s="14" t="str">
        <f>VLOOKUP(TAB_ENTRADA[[#This Row],[Cod_2_Entrada]],TAB_ESTOQUE[[Codigo]:[Endereço2]],12,FALSE)</f>
        <v>A1404</v>
      </c>
      <c r="E94" s="14">
        <f>SUM(TAB_ENTRADA[[#This Row],[20/05/2019]:[Colunas1]])</f>
        <v>3</v>
      </c>
      <c r="F94" s="3"/>
      <c r="FK94" s="3">
        <v>3</v>
      </c>
    </row>
    <row r="95" spans="1:171" x14ac:dyDescent="0.25">
      <c r="A95" s="5" t="s">
        <v>1752</v>
      </c>
      <c r="B95" s="14" t="str">
        <f>VLOOKUP(TAB_ENTRADA[[#This Row],[Cod_2_Entrada]],TAB_ESTOQUE[[Codigo]:[Descrição Tecnica]],6,FALSE)</f>
        <v>ACOPLAMENTO 82</v>
      </c>
      <c r="C95" s="14">
        <f>IFERROR(VLOOKUP(TAB_ENTRADA[[#This Row],[Cod_2_Entrada]],TAB_ESTOQUE[[Codigo]:[Referência Tec]],7,FALSE),"")</f>
        <v>0</v>
      </c>
      <c r="D95" s="14" t="str">
        <f>VLOOKUP(TAB_ENTRADA[[#This Row],[Cod_2_Entrada]],TAB_ESTOQUE[[Codigo]:[Endereço2]],12,FALSE)</f>
        <v>E2204</v>
      </c>
      <c r="E95" s="14">
        <f>SUM(TAB_ENTRADA[[#This Row],[20/05/2019]:[Colunas1]])</f>
        <v>3</v>
      </c>
      <c r="F95" s="3"/>
      <c r="FK95" s="3">
        <v>3</v>
      </c>
    </row>
    <row r="96" spans="1:171" x14ac:dyDescent="0.25">
      <c r="A96" s="5" t="s">
        <v>1753</v>
      </c>
      <c r="B96" s="14" t="str">
        <f>VLOOKUP(TAB_ENTRADA[[#This Row],[Cod_2_Entrada]],TAB_ESTOQUE[[Codigo]:[Descrição Tecnica]],6,FALSE)</f>
        <v>AMORTECEDOR MOLA GAS 250N</v>
      </c>
      <c r="C96" s="14">
        <f>IFERROR(VLOOKUP(TAB_ENTRADA[[#This Row],[Cod_2_Entrada]],TAB_ESTOQUE[[Codigo]:[Referência Tec]],7,FALSE),"")</f>
        <v>0</v>
      </c>
      <c r="D96" s="14" t="str">
        <f>VLOOKUP(TAB_ENTRADA[[#This Row],[Cod_2_Entrada]],TAB_ESTOQUE[[Codigo]:[Endereço2]],12,FALSE)</f>
        <v>D2304</v>
      </c>
      <c r="E96" s="14">
        <f>SUM(TAB_ENTRADA[[#This Row],[20/05/2019]:[Colunas1]])</f>
        <v>5</v>
      </c>
      <c r="F96" s="3"/>
      <c r="FK96" s="3">
        <v>1</v>
      </c>
      <c r="FO96" s="3">
        <v>4</v>
      </c>
    </row>
    <row r="97" spans="1:212" x14ac:dyDescent="0.25">
      <c r="A97" s="5" t="s">
        <v>1754</v>
      </c>
      <c r="B97" s="14" t="str">
        <f>VLOOKUP(TAB_ENTRADA[[#This Row],[Cod_2_Entrada]],TAB_ESTOQUE[[Codigo]:[Descrição Tecnica]],6,FALSE)</f>
        <v>PRENSA TERMINAL AÇO 240MM</v>
      </c>
      <c r="C97" s="14">
        <f>IFERROR(VLOOKUP(TAB_ENTRADA[[#This Row],[Cod_2_Entrada]],TAB_ESTOQUE[[Codigo]:[Referência Tec]],7,FALSE),"")</f>
        <v>0</v>
      </c>
      <c r="D97" s="14" t="str">
        <f>VLOOKUP(TAB_ENTRADA[[#This Row],[Cod_2_Entrada]],TAB_ESTOQUE[[Codigo]:[Endereço2]],12,FALSE)</f>
        <v>A1202</v>
      </c>
      <c r="E97" s="14">
        <f>SUM(TAB_ENTRADA[[#This Row],[20/05/2019]:[Colunas1]])</f>
        <v>10</v>
      </c>
      <c r="F97" s="3"/>
      <c r="FK97" s="3">
        <v>10</v>
      </c>
    </row>
    <row r="98" spans="1:212" x14ac:dyDescent="0.25">
      <c r="A98" s="5" t="s">
        <v>1755</v>
      </c>
      <c r="B98" s="14" t="str">
        <f>VLOOKUP(TAB_ENTRADA[[#This Row],[Cod_2_Entrada]],TAB_ESTOQUE[[Codigo]:[Descrição Tecnica]],6,FALSE)</f>
        <v>PRENSA TERMINAL AÇO KL10/6</v>
      </c>
      <c r="C98" s="14">
        <f>IFERROR(VLOOKUP(TAB_ENTRADA[[#This Row],[Cod_2_Entrada]],TAB_ESTOQUE[[Codigo]:[Referência Tec]],7,FALSE),"")</f>
        <v>0</v>
      </c>
      <c r="D98" s="14" t="str">
        <f>VLOOKUP(TAB_ENTRADA[[#This Row],[Cod_2_Entrada]],TAB_ESTOQUE[[Codigo]:[Endereço2]],12,FALSE)</f>
        <v>A1202</v>
      </c>
      <c r="E98" s="14">
        <f>SUM(TAB_ENTRADA[[#This Row],[20/05/2019]:[Colunas1]])</f>
        <v>89</v>
      </c>
      <c r="F98" s="3"/>
      <c r="FK98" s="3">
        <v>89</v>
      </c>
    </row>
    <row r="99" spans="1:212" x14ac:dyDescent="0.25">
      <c r="A99" s="5" t="s">
        <v>1756</v>
      </c>
      <c r="B99" s="14" t="str">
        <f>VLOOKUP(TAB_ENTRADA[[#This Row],[Cod_2_Entrada]],TAB_ESTOQUE[[Codigo]:[Descrição Tecnica]],6,FALSE)</f>
        <v>PRENSA TERMINAL AÇO KL25/8</v>
      </c>
      <c r="C99" s="14">
        <f>IFERROR(VLOOKUP(TAB_ENTRADA[[#This Row],[Cod_2_Entrada]],TAB_ESTOQUE[[Codigo]:[Referência Tec]],7,FALSE),"")</f>
        <v>0</v>
      </c>
      <c r="D99" s="14" t="str">
        <f>VLOOKUP(TAB_ENTRADA[[#This Row],[Cod_2_Entrada]],TAB_ESTOQUE[[Codigo]:[Endereço2]],12,FALSE)</f>
        <v>A1202</v>
      </c>
      <c r="E99" s="14">
        <f>SUM(TAB_ENTRADA[[#This Row],[20/05/2019]:[Colunas1]])</f>
        <v>26</v>
      </c>
      <c r="F99" s="3"/>
      <c r="FK99" s="3">
        <v>26</v>
      </c>
    </row>
    <row r="100" spans="1:212" x14ac:dyDescent="0.25">
      <c r="A100" s="5" t="s">
        <v>1757</v>
      </c>
      <c r="B100" s="14" t="str">
        <f>VLOOKUP(TAB_ENTRADA[[#This Row],[Cod_2_Entrada]],TAB_ESTOQUE[[Codigo]:[Descrição Tecnica]],6,FALSE)</f>
        <v>PRENSA TERMINAL AÇO 25MM</v>
      </c>
      <c r="C100" s="14">
        <f>IFERROR(VLOOKUP(TAB_ENTRADA[[#This Row],[Cod_2_Entrada]],TAB_ESTOQUE[[Codigo]:[Referência Tec]],7,FALSE),"")</f>
        <v>0</v>
      </c>
      <c r="D100" s="14" t="str">
        <f>VLOOKUP(TAB_ENTRADA[[#This Row],[Cod_2_Entrada]],TAB_ESTOQUE[[Codigo]:[Endereço2]],12,FALSE)</f>
        <v>A1202</v>
      </c>
      <c r="E100" s="14">
        <f>SUM(TAB_ENTRADA[[#This Row],[20/05/2019]:[Colunas1]])</f>
        <v>235</v>
      </c>
      <c r="F100" s="3"/>
      <c r="FK100" s="3">
        <v>235</v>
      </c>
    </row>
    <row r="101" spans="1:212" x14ac:dyDescent="0.25">
      <c r="A101" s="5" t="s">
        <v>1758</v>
      </c>
      <c r="B101" s="14" t="str">
        <f>VLOOKUP(TAB_ENTRADA[[#This Row],[Cod_2_Entrada]],TAB_ESTOQUE[[Codigo]:[Descrição Tecnica]],6,FALSE)</f>
        <v>PRENSA TERMINAL AÇO 35MM</v>
      </c>
      <c r="C101" s="14">
        <f>IFERROR(VLOOKUP(TAB_ENTRADA[[#This Row],[Cod_2_Entrada]],TAB_ESTOQUE[[Codigo]:[Referência Tec]],7,FALSE),"")</f>
        <v>0</v>
      </c>
      <c r="D101" s="14" t="str">
        <f>VLOOKUP(TAB_ENTRADA[[#This Row],[Cod_2_Entrada]],TAB_ESTOQUE[[Codigo]:[Endereço2]],12,FALSE)</f>
        <v>A1202</v>
      </c>
      <c r="E101" s="14">
        <f>SUM(TAB_ENTRADA[[#This Row],[20/05/2019]:[Colunas1]])</f>
        <v>138</v>
      </c>
      <c r="F101" s="3"/>
      <c r="FK101" s="3">
        <v>138</v>
      </c>
    </row>
    <row r="102" spans="1:212" x14ac:dyDescent="0.25">
      <c r="A102" s="5" t="s">
        <v>1759</v>
      </c>
      <c r="B102" s="14" t="str">
        <f>VLOOKUP(TAB_ENTRADA[[#This Row],[Cod_2_Entrada]],TAB_ESTOQUE[[Codigo]:[Descrição Tecnica]],6,FALSE)</f>
        <v>PRENSA TERMINAL AÇO 50MM</v>
      </c>
      <c r="C102" s="14">
        <f>IFERROR(VLOOKUP(TAB_ENTRADA[[#This Row],[Cod_2_Entrada]],TAB_ESTOQUE[[Codigo]:[Referência Tec]],7,FALSE),"")</f>
        <v>0</v>
      </c>
      <c r="D102" s="14" t="str">
        <f>VLOOKUP(TAB_ENTRADA[[#This Row],[Cod_2_Entrada]],TAB_ESTOQUE[[Codigo]:[Endereço2]],12,FALSE)</f>
        <v>A1202</v>
      </c>
      <c r="E102" s="14">
        <f>SUM(TAB_ENTRADA[[#This Row],[20/05/2019]:[Colunas1]])</f>
        <v>63</v>
      </c>
      <c r="F102" s="3"/>
      <c r="FK102" s="3">
        <v>63</v>
      </c>
    </row>
    <row r="103" spans="1:212" x14ac:dyDescent="0.25">
      <c r="A103" s="5" t="s">
        <v>1760</v>
      </c>
      <c r="B103" s="14" t="str">
        <f>VLOOKUP(TAB_ENTRADA[[#This Row],[Cod_2_Entrada]],TAB_ESTOQUE[[Codigo]:[Descrição Tecnica]],6,FALSE)</f>
        <v>CAPA DO BICO ROBO COLA GTI PRO EFFICLENCY PN:ITW-PRO-100-TE40-K  DEVILBISS</v>
      </c>
      <c r="C103" s="14">
        <f>IFERROR(VLOOKUP(TAB_ENTRADA[[#This Row],[Cod_2_Entrada]],TAB_ESTOQUE[[Codigo]:[Referência Tec]],7,FALSE),"")</f>
        <v>0</v>
      </c>
      <c r="D103" s="14" t="str">
        <f>VLOOKUP(TAB_ENTRADA[[#This Row],[Cod_2_Entrada]],TAB_ESTOQUE[[Codigo]:[Endereço2]],12,FALSE)</f>
        <v>E2303</v>
      </c>
      <c r="E103" s="14">
        <f>SUM(TAB_ENTRADA[[#This Row],[20/05/2019]:[Colunas1]])</f>
        <v>3</v>
      </c>
      <c r="F103" s="3"/>
      <c r="FK103" s="3">
        <v>3</v>
      </c>
    </row>
    <row r="104" spans="1:212" x14ac:dyDescent="0.25">
      <c r="A104" s="5" t="s">
        <v>1761</v>
      </c>
      <c r="B104" s="14" t="str">
        <f>VLOOKUP(TAB_ENTRADA[[#This Row],[Cod_2_Entrada]],TAB_ESTOQUE[[Codigo]:[Descrição Tecnica]],6,FALSE)</f>
        <v>CAPA DE MALHA P/ ROBO BRANCO</v>
      </c>
      <c r="C104" s="14">
        <f>IFERROR(VLOOKUP(TAB_ENTRADA[[#This Row],[Cod_2_Entrada]],TAB_ESTOQUE[[Codigo]:[Referência Tec]],7,FALSE),"")</f>
        <v>0</v>
      </c>
      <c r="D104" s="14" t="str">
        <f>VLOOKUP(TAB_ENTRADA[[#This Row],[Cod_2_Entrada]],TAB_ESTOQUE[[Codigo]:[Endereço2]],12,FALSE)</f>
        <v>C1301</v>
      </c>
      <c r="E104" s="14">
        <f>SUM(TAB_ENTRADA[[#This Row],[20/05/2019]:[Colunas1]])</f>
        <v>14</v>
      </c>
      <c r="F104" s="3"/>
      <c r="FK104" s="3">
        <v>14</v>
      </c>
    </row>
    <row r="105" spans="1:212" x14ac:dyDescent="0.25">
      <c r="A105" s="5" t="s">
        <v>1762</v>
      </c>
      <c r="B105" s="14" t="str">
        <f>VLOOKUP(TAB_ENTRADA[[#This Row],[Cod_2_Entrada]],TAB_ESTOQUE[[Codigo]:[Descrição Tecnica]],6,FALSE)</f>
        <v>MANIFOLD PARA PISTOLA WARNING FLUDO 7BAR DEVIBILLS</v>
      </c>
      <c r="C105" s="14">
        <f>IFERROR(VLOOKUP(TAB_ENTRADA[[#This Row],[Cod_2_Entrada]],TAB_ESTOQUE[[Codigo]:[Referência Tec]],7,FALSE),"")</f>
        <v>0</v>
      </c>
      <c r="D105" s="14" t="str">
        <f>VLOOKUP(TAB_ENTRADA[[#This Row],[Cod_2_Entrada]],TAB_ESTOQUE[[Codigo]:[Endereço2]],12,FALSE)</f>
        <v>E2303</v>
      </c>
      <c r="E105" s="14">
        <f>SUM(TAB_ENTRADA[[#This Row],[20/05/2019]:[Colunas1]])</f>
        <v>2</v>
      </c>
      <c r="F105" s="3"/>
      <c r="FK105" s="3">
        <v>2</v>
      </c>
    </row>
    <row r="106" spans="1:212" x14ac:dyDescent="0.25">
      <c r="A106" s="5" t="s">
        <v>1763</v>
      </c>
      <c r="B106" s="14" t="str">
        <f>VLOOKUP(TAB_ENTRADA[[#This Row],[Cod_2_Entrada]],TAB_ESTOQUE[[Codigo]:[Descrição Tecnica]],6,FALSE)</f>
        <v>REGUA DE NIVEL BALLUFF BTL20C3 BTL7-A501-M1500-P-S32</v>
      </c>
      <c r="C106" s="14">
        <f>IFERROR(VLOOKUP(TAB_ENTRADA[[#This Row],[Cod_2_Entrada]],TAB_ESTOQUE[[Codigo]:[Referência Tec]],7,FALSE),"")</f>
        <v>0</v>
      </c>
      <c r="D106" s="14" t="str">
        <f>VLOOKUP(TAB_ENTRADA[[#This Row],[Cod_2_Entrada]],TAB_ESTOQUE[[Codigo]:[Endereço2]],12,FALSE)</f>
        <v>D2401</v>
      </c>
      <c r="E106" s="14">
        <f>SUM(TAB_ENTRADA[[#This Row],[20/05/2019]:[Colunas1]])</f>
        <v>2</v>
      </c>
      <c r="F106" s="3"/>
      <c r="FK106" s="3">
        <v>2</v>
      </c>
    </row>
    <row r="107" spans="1:212" x14ac:dyDescent="0.25">
      <c r="A107" s="5" t="s">
        <v>1764</v>
      </c>
      <c r="B107" s="14" t="str">
        <f>VLOOKUP(TAB_ENTRADA[[#This Row],[Cod_2_Entrada]],TAB_ESTOQUE[[Codigo]:[Descrição Tecnica]],6,FALSE)</f>
        <v>REISISTENCIA (M02)</v>
      </c>
      <c r="C107" s="14">
        <f>IFERROR(VLOOKUP(TAB_ENTRADA[[#This Row],[Cod_2_Entrada]],TAB_ESTOQUE[[Codigo]:[Referência Tec]],7,FALSE),"")</f>
        <v>0</v>
      </c>
      <c r="D107" s="14" t="str">
        <f>VLOOKUP(TAB_ENTRADA[[#This Row],[Cod_2_Entrada]],TAB_ESTOQUE[[Codigo]:[Endereço2]],12,FALSE)</f>
        <v>D2401</v>
      </c>
      <c r="E107" s="14">
        <f>SUM(TAB_ENTRADA[[#This Row],[20/05/2019]:[Colunas1]])</f>
        <v>2</v>
      </c>
      <c r="F107" s="3"/>
      <c r="FK107" s="3">
        <v>2</v>
      </c>
    </row>
    <row r="108" spans="1:212" x14ac:dyDescent="0.25">
      <c r="A108" s="5" t="s">
        <v>1765</v>
      </c>
      <c r="B108" s="14" t="str">
        <f>VLOOKUP(TAB_ENTRADA[[#This Row],[Cod_2_Entrada]],TAB_ESTOQUE[[Codigo]:[Descrição Tecnica]],6,FALSE)</f>
        <v>MANIFOLD PARA PISTOLA GRACO 288217</v>
      </c>
      <c r="C108" s="14">
        <f>IFERROR(VLOOKUP(TAB_ENTRADA[[#This Row],[Cod_2_Entrada]],TAB_ESTOQUE[[Codigo]:[Referência Tec]],7,FALSE),"")</f>
        <v>0</v>
      </c>
      <c r="D108" s="14" t="str">
        <f>VLOOKUP(TAB_ENTRADA[[#This Row],[Cod_2_Entrada]],TAB_ESTOQUE[[Codigo]:[Endereço2]],12,FALSE)</f>
        <v>E2303</v>
      </c>
      <c r="E108" s="14">
        <f>SUM(TAB_ENTRADA[[#This Row],[20/05/2019]:[Colunas1]])</f>
        <v>4</v>
      </c>
      <c r="F108" s="3"/>
      <c r="FK108" s="3">
        <v>2</v>
      </c>
      <c r="HD108" s="3">
        <v>2</v>
      </c>
    </row>
    <row r="109" spans="1:212" x14ac:dyDescent="0.25">
      <c r="A109" s="5" t="s">
        <v>1766</v>
      </c>
      <c r="B109" s="14" t="str">
        <f>VLOOKUP(TAB_ENTRADA[[#This Row],[Cod_2_Entrada]],TAB_ESTOQUE[[Codigo]:[Descrição Tecnica]],6,FALSE)</f>
        <v>CAPA ROBO GRACCO 289773</v>
      </c>
      <c r="C109" s="14">
        <f>IFERROR(VLOOKUP(TAB_ENTRADA[[#This Row],[Cod_2_Entrada]],TAB_ESTOQUE[[Codigo]:[Referência Tec]],7,FALSE),"")</f>
        <v>0</v>
      </c>
      <c r="D109" s="14" t="str">
        <f>VLOOKUP(TAB_ENTRADA[[#This Row],[Cod_2_Entrada]],TAB_ESTOQUE[[Codigo]:[Endereço2]],12,FALSE)</f>
        <v>E2303</v>
      </c>
      <c r="E109" s="14">
        <f>SUM(TAB_ENTRADA[[#This Row],[20/05/2019]:[Colunas1]])</f>
        <v>6</v>
      </c>
      <c r="F109" s="3"/>
      <c r="FK109" s="3">
        <v>4</v>
      </c>
      <c r="GD109" s="3">
        <v>2</v>
      </c>
    </row>
    <row r="110" spans="1:212" x14ac:dyDescent="0.25">
      <c r="A110" s="5" t="s">
        <v>1767</v>
      </c>
      <c r="B110" s="14" t="str">
        <f>VLOOKUP(TAB_ENTRADA[[#This Row],[Cod_2_Entrada]],TAB_ESTOQUE[[Codigo]:[Descrição Tecnica]],6,FALSE)</f>
        <v>PRENSA TERMINAL 16MM</v>
      </c>
      <c r="C110" s="14">
        <f>IFERROR(VLOOKUP(TAB_ENTRADA[[#This Row],[Cod_2_Entrada]],TAB_ESTOQUE[[Codigo]:[Referência Tec]],7,FALSE),"")</f>
        <v>0</v>
      </c>
      <c r="D110" s="14" t="str">
        <f>VLOOKUP(TAB_ENTRADA[[#This Row],[Cod_2_Entrada]],TAB_ESTOQUE[[Codigo]:[Endereço2]],12,FALSE)</f>
        <v>A1202</v>
      </c>
      <c r="E110" s="14">
        <f>SUM(TAB_ENTRADA[[#This Row],[20/05/2019]:[Colunas1]])</f>
        <v>75</v>
      </c>
      <c r="F110" s="3"/>
      <c r="FK110" s="3">
        <v>75</v>
      </c>
    </row>
    <row r="111" spans="1:212" x14ac:dyDescent="0.25">
      <c r="A111" s="5" t="s">
        <v>1768</v>
      </c>
      <c r="B111" s="14" t="str">
        <f>VLOOKUP(TAB_ENTRADA[[#This Row],[Cod_2_Entrada]],TAB_ESTOQUE[[Codigo]:[Descrição Tecnica]],6,FALSE)</f>
        <v>PLACA ABB 3HAC044168-001/05</v>
      </c>
      <c r="C111" s="14">
        <f>IFERROR(VLOOKUP(TAB_ENTRADA[[#This Row],[Cod_2_Entrada]],TAB_ESTOQUE[[Codigo]:[Referência Tec]],7,FALSE),"")</f>
        <v>0</v>
      </c>
      <c r="D111" s="14" t="str">
        <f>VLOOKUP(TAB_ENTRADA[[#This Row],[Cod_2_Entrada]],TAB_ESTOQUE[[Codigo]:[Endereço2]],12,FALSE)</f>
        <v>A1104</v>
      </c>
      <c r="E111" s="14">
        <f>SUM(TAB_ENTRADA[[#This Row],[20/05/2019]:[Colunas1]])</f>
        <v>2</v>
      </c>
      <c r="F111" s="3"/>
      <c r="FK111" s="3">
        <v>2</v>
      </c>
    </row>
    <row r="112" spans="1:212" x14ac:dyDescent="0.25">
      <c r="A112" s="5" t="s">
        <v>1769</v>
      </c>
      <c r="B112" s="14" t="str">
        <f>VLOOKUP(TAB_ENTRADA[[#This Row],[Cod_2_Entrada]],TAB_ESTOQUE[[Codigo]:[Descrição Tecnica]],6,FALSE)</f>
        <v>SENSOR DE TEMPERATURA SBWZ TAMANHO DE 78cm de 10 a 150 graus celsius</v>
      </c>
      <c r="C112" s="14">
        <f>IFERROR(VLOOKUP(TAB_ENTRADA[[#This Row],[Cod_2_Entrada]],TAB_ESTOQUE[[Codigo]:[Referência Tec]],7,FALSE),"")</f>
        <v>0</v>
      </c>
      <c r="D112" s="14" t="str">
        <f>VLOOKUP(TAB_ENTRADA[[#This Row],[Cod_2_Entrada]],TAB_ESTOQUE[[Codigo]:[Endereço2]],12,FALSE)</f>
        <v>A2301</v>
      </c>
      <c r="E112" s="14">
        <f>SUM(TAB_ENTRADA[[#This Row],[20/05/2019]:[Colunas1]])</f>
        <v>0</v>
      </c>
      <c r="F112" s="3"/>
      <c r="FK112" s="3">
        <v>0</v>
      </c>
    </row>
    <row r="113" spans="1:199" x14ac:dyDescent="0.25">
      <c r="A113" s="5" t="s">
        <v>1770</v>
      </c>
      <c r="B113" s="14" t="str">
        <f>VLOOKUP(TAB_ENTRADA[[#This Row],[Cod_2_Entrada]],TAB_ESTOQUE[[Codigo]:[Descrição Tecnica]],6,FALSE)</f>
        <v>LENTE SICK FRONTSCHEIBE ERSATZTEIL - 2027180</v>
      </c>
      <c r="C113" s="14">
        <f>IFERROR(VLOOKUP(TAB_ENTRADA[[#This Row],[Cod_2_Entrada]],TAB_ESTOQUE[[Codigo]:[Referência Tec]],7,FALSE),"")</f>
        <v>0</v>
      </c>
      <c r="D113" s="14" t="str">
        <f>VLOOKUP(TAB_ENTRADA[[#This Row],[Cod_2_Entrada]],TAB_ESTOQUE[[Codigo]:[Endereço2]],12,FALSE)</f>
        <v>A2201</v>
      </c>
      <c r="E113" s="14">
        <f>SUM(TAB_ENTRADA[[#This Row],[20/05/2019]:[Colunas1]])</f>
        <v>2</v>
      </c>
      <c r="F113" s="3"/>
      <c r="FK113" s="3">
        <v>2</v>
      </c>
    </row>
    <row r="114" spans="1:199" x14ac:dyDescent="0.25">
      <c r="A114" s="5" t="s">
        <v>1771</v>
      </c>
      <c r="B114" s="14" t="str">
        <f>VLOOKUP(TAB_ENTRADA[[#This Row],[Cod_2_Entrada]],TAB_ESTOQUE[[Codigo]:[Descrição Tecnica]],6,FALSE)</f>
        <v xml:space="preserve">LAMPADA FLUORESCENTE PHILIPS TL5 ESSENTIAL 28X/840 4000K  28W </v>
      </c>
      <c r="C114" s="14">
        <f>IFERROR(VLOOKUP(TAB_ENTRADA[[#This Row],[Cod_2_Entrada]],TAB_ESTOQUE[[Codigo]:[Referência Tec]],7,FALSE),"")</f>
        <v>0</v>
      </c>
      <c r="D114" s="14" t="str">
        <f>VLOOKUP(TAB_ENTRADA[[#This Row],[Cod_2_Entrada]],TAB_ESTOQUE[[Codigo]:[Endereço2]],12,FALSE)</f>
        <v>B1401</v>
      </c>
      <c r="E114" s="14">
        <f>SUM(TAB_ENTRADA[[#This Row],[20/05/2019]:[Colunas1]])</f>
        <v>75</v>
      </c>
      <c r="F114" s="3"/>
      <c r="FK114" s="3">
        <v>75</v>
      </c>
    </row>
    <row r="115" spans="1:199" x14ac:dyDescent="0.25">
      <c r="A115" s="5" t="s">
        <v>1772</v>
      </c>
      <c r="B115" s="14" t="str">
        <f>VLOOKUP(TAB_ENTRADA[[#This Row],[Cod_2_Entrada]],TAB_ESTOQUE[[Codigo]:[Descrição Tecnica]],6,FALSE)</f>
        <v>LAMPADA FLUORESCENTE PHILIPS ESSENTIAL SUPER 80 4000K 14W</v>
      </c>
      <c r="C115" s="14">
        <f>IFERROR(VLOOKUP(TAB_ENTRADA[[#This Row],[Cod_2_Entrada]],TAB_ESTOQUE[[Codigo]:[Referência Tec]],7,FALSE),"")</f>
        <v>0</v>
      </c>
      <c r="D115" s="14" t="str">
        <f>VLOOKUP(TAB_ENTRADA[[#This Row],[Cod_2_Entrada]],TAB_ESTOQUE[[Codigo]:[Endereço2]],12,FALSE)</f>
        <v>B1401</v>
      </c>
      <c r="E115" s="14">
        <f>SUM(TAB_ENTRADA[[#This Row],[20/05/2019]:[Colunas1]])</f>
        <v>50</v>
      </c>
      <c r="F115" s="3"/>
      <c r="FK115" s="3">
        <v>50</v>
      </c>
    </row>
    <row r="116" spans="1:199" x14ac:dyDescent="0.25">
      <c r="A116" s="5" t="s">
        <v>1773</v>
      </c>
      <c r="B116" s="14" t="str">
        <f>VLOOKUP(TAB_ENTRADA[[#This Row],[Cod_2_Entrada]],TAB_ESTOQUE[[Codigo]:[Descrição Tecnica]],6,FALSE)</f>
        <v>LAMPADA LED TUBE GLASS BASE TIP G13 9W</v>
      </c>
      <c r="C116" s="14">
        <f>IFERROR(VLOOKUP(TAB_ENTRADA[[#This Row],[Cod_2_Entrada]],TAB_ESTOQUE[[Codigo]:[Referência Tec]],7,FALSE),"")</f>
        <v>0</v>
      </c>
      <c r="D116" s="14" t="str">
        <f>VLOOKUP(TAB_ENTRADA[[#This Row],[Cod_2_Entrada]],TAB_ESTOQUE[[Codigo]:[Endereço2]],12,FALSE)</f>
        <v>B1401</v>
      </c>
      <c r="E116" s="14">
        <f>SUM(TAB_ENTRADA[[#This Row],[20/05/2019]:[Colunas1]])</f>
        <v>1</v>
      </c>
      <c r="F116" s="3"/>
      <c r="FK116" s="3">
        <v>1</v>
      </c>
    </row>
    <row r="117" spans="1:199" x14ac:dyDescent="0.25">
      <c r="A117" s="5" t="s">
        <v>1774</v>
      </c>
      <c r="B117" s="14" t="str">
        <f>VLOOKUP(TAB_ENTRADA[[#This Row],[Cod_2_Entrada]],TAB_ESTOQUE[[Codigo]:[Descrição Tecnica]],6,FALSE)</f>
        <v>IHM TS680 TOUCHSYSTEM CODE 9320680 SERIAL 141425</v>
      </c>
      <c r="C117" s="14">
        <f>IFERROR(VLOOKUP(TAB_ENTRADA[[#This Row],[Cod_2_Entrada]],TAB_ESTOQUE[[Codigo]:[Referência Tec]],7,FALSE),"")</f>
        <v>0</v>
      </c>
      <c r="D117" s="14" t="str">
        <f>VLOOKUP(TAB_ENTRADA[[#This Row],[Cod_2_Entrada]],TAB_ESTOQUE[[Codigo]:[Endereço2]],12,FALSE)</f>
        <v>A2202</v>
      </c>
      <c r="E117" s="14">
        <f>SUM(TAB_ENTRADA[[#This Row],[20/05/2019]:[Colunas1]])</f>
        <v>1</v>
      </c>
      <c r="F117" s="3"/>
      <c r="FK117" s="3">
        <v>1</v>
      </c>
    </row>
    <row r="118" spans="1:199" x14ac:dyDescent="0.25">
      <c r="A118" s="5" t="s">
        <v>1775</v>
      </c>
      <c r="B118" s="14" t="str">
        <f>VLOOKUP(TAB_ENTRADA[[#This Row],[Cod_2_Entrada]],TAB_ESTOQUE[[Codigo]:[Descrição Tecnica]],6,FALSE)</f>
        <v>IHM SIEMENS TP700 6AV2 124-0GC01-0AX0</v>
      </c>
      <c r="C118" s="14">
        <f>IFERROR(VLOOKUP(TAB_ENTRADA[[#This Row],[Cod_2_Entrada]],TAB_ESTOQUE[[Codigo]:[Referência Tec]],7,FALSE),"")</f>
        <v>0</v>
      </c>
      <c r="D118" s="14" t="str">
        <f>VLOOKUP(TAB_ENTRADA[[#This Row],[Cod_2_Entrada]],TAB_ESTOQUE[[Codigo]:[Endereço2]],12,FALSE)</f>
        <v>A2202</v>
      </c>
      <c r="E118" s="14">
        <f>SUM(TAB_ENTRADA[[#This Row],[20/05/2019]:[Colunas1]])</f>
        <v>2</v>
      </c>
      <c r="F118" s="3"/>
      <c r="FK118" s="3">
        <v>2</v>
      </c>
    </row>
    <row r="119" spans="1:199" x14ac:dyDescent="0.25">
      <c r="A119" s="5" t="s">
        <v>1776</v>
      </c>
      <c r="B119" s="14" t="str">
        <f>VLOOKUP(TAB_ENTRADA[[#This Row],[Cod_2_Entrada]],TAB_ESTOQUE[[Codigo]:[Descrição Tecnica]],6,FALSE)</f>
        <v>IHM SIEMENS TP900 6AV2 124-0JC01-0AX0</v>
      </c>
      <c r="C119" s="14">
        <f>IFERROR(VLOOKUP(TAB_ENTRADA[[#This Row],[Cod_2_Entrada]],TAB_ESTOQUE[[Codigo]:[Referência Tec]],7,FALSE),"")</f>
        <v>0</v>
      </c>
      <c r="D119" s="14" t="str">
        <f>VLOOKUP(TAB_ENTRADA[[#This Row],[Cod_2_Entrada]],TAB_ESTOQUE[[Codigo]:[Endereço2]],12,FALSE)</f>
        <v>A2202</v>
      </c>
      <c r="E119" s="14">
        <f>SUM(TAB_ENTRADA[[#This Row],[20/05/2019]:[Colunas1]])</f>
        <v>1</v>
      </c>
      <c r="F119" s="3"/>
      <c r="FK119" s="3">
        <v>1</v>
      </c>
    </row>
    <row r="120" spans="1:199" x14ac:dyDescent="0.25">
      <c r="A120" s="5" t="s">
        <v>1777</v>
      </c>
      <c r="B120" s="14" t="str">
        <f>VLOOKUP(TAB_ENTRADA[[#This Row],[Cod_2_Entrada]],TAB_ESTOQUE[[Codigo]:[Descrição Tecnica]],6,FALSE)</f>
        <v>CABO COM CONECTOR RETO MACHO M12 12 PINOS</v>
      </c>
      <c r="C120" s="14">
        <f>IFERROR(VLOOKUP(TAB_ENTRADA[[#This Row],[Cod_2_Entrada]],TAB_ESTOQUE[[Codigo]:[Referência Tec]],7,FALSE),"")</f>
        <v>0</v>
      </c>
      <c r="D120" s="14" t="str">
        <f>VLOOKUP(TAB_ENTRADA[[#This Row],[Cod_2_Entrada]],TAB_ESTOQUE[[Codigo]:[Endereço2]],12,FALSE)</f>
        <v>B1404</v>
      </c>
      <c r="E120" s="14">
        <f>SUM(TAB_ENTRADA[[#This Row],[20/05/2019]:[Colunas1]])</f>
        <v>1</v>
      </c>
      <c r="F120" s="3"/>
      <c r="FK120" s="3">
        <v>1</v>
      </c>
    </row>
    <row r="121" spans="1:199" x14ac:dyDescent="0.25">
      <c r="A121" s="5" t="s">
        <v>1778</v>
      </c>
      <c r="B121" s="14" t="str">
        <f>VLOOKUP(TAB_ENTRADA[[#This Row],[Cod_2_Entrada]],TAB_ESTOQUE[[Codigo]:[Descrição Tecnica]],6,FALSE)</f>
        <v>CONECTOR PARA SENSOR 5 POLO C091 T 3361  001 U</v>
      </c>
      <c r="C121" s="14">
        <f>IFERROR(VLOOKUP(TAB_ENTRADA[[#This Row],[Cod_2_Entrada]],TAB_ESTOQUE[[Codigo]:[Referência Tec]],7,FALSE),"")</f>
        <v>0</v>
      </c>
      <c r="D121" s="14" t="str">
        <f>VLOOKUP(TAB_ENTRADA[[#This Row],[Cod_2_Entrada]],TAB_ESTOQUE[[Codigo]:[Endereço2]],12,FALSE)</f>
        <v>A2204</v>
      </c>
      <c r="E121" s="14">
        <f>SUM(TAB_ENTRADA[[#This Row],[20/05/2019]:[Colunas1]])</f>
        <v>3</v>
      </c>
      <c r="F121" s="3"/>
      <c r="FK121" s="3">
        <v>3</v>
      </c>
    </row>
    <row r="122" spans="1:199" x14ac:dyDescent="0.25">
      <c r="A122" s="5" t="s">
        <v>1779</v>
      </c>
      <c r="B122" s="14" t="str">
        <f>VLOOKUP(TAB_ENTRADA[[#This Row],[Cod_2_Entrada]],TAB_ESTOQUE[[Codigo]:[Descrição Tecnica]],6,FALSE)</f>
        <v>SENSOR SCHMERSAL 101128195 ES12.18.2 BNS 33-12Z 2187 NR1015305492</v>
      </c>
      <c r="C122" s="14">
        <f>IFERROR(VLOOKUP(TAB_ENTRADA[[#This Row],[Cod_2_Entrada]],TAB_ESTOQUE[[Codigo]:[Referência Tec]],7,FALSE),"")</f>
        <v>0</v>
      </c>
      <c r="D122" s="14" t="str">
        <f>VLOOKUP(TAB_ENTRADA[[#This Row],[Cod_2_Entrada]],TAB_ESTOQUE[[Codigo]:[Endereço2]],12,FALSE)</f>
        <v>A2203</v>
      </c>
      <c r="E122" s="14">
        <f>SUM(TAB_ENTRADA[[#This Row],[20/05/2019]:[Colunas1]])</f>
        <v>3</v>
      </c>
      <c r="F122" s="3"/>
      <c r="FK122" s="3">
        <v>3</v>
      </c>
    </row>
    <row r="123" spans="1:199" x14ac:dyDescent="0.25">
      <c r="A123" s="5" t="s">
        <v>1780</v>
      </c>
      <c r="B123" s="14" t="str">
        <f>VLOOKUP(TAB_ENTRADA[[#This Row],[Cod_2_Entrada]],TAB_ESTOQUE[[Codigo]:[Descrição Tecnica]],6,FALSE)</f>
        <v>TERMINAL LUVA PARA CABO 35MM</v>
      </c>
      <c r="C123" s="14">
        <f>IFERROR(VLOOKUP(TAB_ENTRADA[[#This Row],[Cod_2_Entrada]],TAB_ESTOQUE[[Codigo]:[Referência Tec]],7,FALSE),"")</f>
        <v>0</v>
      </c>
      <c r="D123" s="14" t="str">
        <f>VLOOKUP(TAB_ENTRADA[[#This Row],[Cod_2_Entrada]],TAB_ESTOQUE[[Codigo]:[Endereço2]],12,FALSE)</f>
        <v>A1202</v>
      </c>
      <c r="E123" s="14">
        <f>SUM(TAB_ENTRADA[[#This Row],[20/05/2019]:[Colunas1]])</f>
        <v>23</v>
      </c>
      <c r="F123" s="3"/>
      <c r="FK123" s="3">
        <v>23</v>
      </c>
    </row>
    <row r="124" spans="1:199" x14ac:dyDescent="0.25">
      <c r="A124" s="5" t="s">
        <v>1781</v>
      </c>
      <c r="B124" s="14" t="str">
        <f>VLOOKUP(TAB_ENTRADA[[#This Row],[Cod_2_Entrada]],TAB_ESTOQUE[[Codigo]:[Descrição Tecnica]],6,FALSE)</f>
        <v>SENSOR INDUTIVO BLINDADO 134439 NCB1,5-18GM60-E2-D-V1</v>
      </c>
      <c r="C124" s="14">
        <f>IFERROR(VLOOKUP(TAB_ENTRADA[[#This Row],[Cod_2_Entrada]],TAB_ESTOQUE[[Codigo]:[Referência Tec]],7,FALSE),"")</f>
        <v>0</v>
      </c>
      <c r="D124" s="14" t="str">
        <f>VLOOKUP(TAB_ENTRADA[[#This Row],[Cod_2_Entrada]],TAB_ESTOQUE[[Codigo]:[Endereço2]],12,FALSE)</f>
        <v>A2203</v>
      </c>
      <c r="E124" s="14">
        <f>SUM(TAB_ENTRADA[[#This Row],[20/05/2019]:[Colunas1]])</f>
        <v>3</v>
      </c>
      <c r="F124" s="3"/>
      <c r="FK124" s="3">
        <v>2</v>
      </c>
      <c r="GQ124" s="3">
        <v>1</v>
      </c>
    </row>
    <row r="125" spans="1:199" x14ac:dyDescent="0.25">
      <c r="A125" s="5" t="s">
        <v>1782</v>
      </c>
      <c r="B125" s="14" t="str">
        <f>VLOOKUP(TAB_ENTRADA[[#This Row],[Cod_2_Entrada]],TAB_ESTOQUE[[Codigo]:[Descrição Tecnica]],6,FALSE)</f>
        <v>SENSOR INDUTIVO DO SITEMA BES 516-370-G-E5-YS4/BR</v>
      </c>
      <c r="C125" s="14">
        <f>IFERROR(VLOOKUP(TAB_ENTRADA[[#This Row],[Cod_2_Entrada]],TAB_ESTOQUE[[Codigo]:[Referência Tec]],7,FALSE),"")</f>
        <v>0</v>
      </c>
      <c r="D125" s="14" t="str">
        <f>VLOOKUP(TAB_ENTRADA[[#This Row],[Cod_2_Entrada]],TAB_ESTOQUE[[Codigo]:[Endereço2]],12,FALSE)</f>
        <v>A2203</v>
      </c>
      <c r="E125" s="14">
        <f>SUM(TAB_ENTRADA[[#This Row],[20/05/2019]:[Colunas1]])</f>
        <v>0</v>
      </c>
      <c r="F125" s="3"/>
      <c r="FK125" s="3">
        <v>0</v>
      </c>
    </row>
    <row r="126" spans="1:199" x14ac:dyDescent="0.25">
      <c r="A126" s="5" t="s">
        <v>1783</v>
      </c>
      <c r="B126" s="14" t="str">
        <f>VLOOKUP(TAB_ENTRADA[[#This Row],[Cod_2_Entrada]],TAB_ESTOQUE[[Codigo]:[Descrição Tecnica]],6,FALSE)</f>
        <v>CONECTOR PARA SENSOR  BCC M334-0000-20-000-31X450-000 (BALLUFF)</v>
      </c>
      <c r="C126" s="14">
        <f>IFERROR(VLOOKUP(TAB_ENTRADA[[#This Row],[Cod_2_Entrada]],TAB_ESTOQUE[[Codigo]:[Referência Tec]],7,FALSE),"")</f>
        <v>0</v>
      </c>
      <c r="D126" s="14" t="str">
        <f>VLOOKUP(TAB_ENTRADA[[#This Row],[Cod_2_Entrada]],TAB_ESTOQUE[[Codigo]:[Endereço2]],12,FALSE)</f>
        <v>A2204</v>
      </c>
      <c r="E126" s="14">
        <f>SUM(TAB_ENTRADA[[#This Row],[20/05/2019]:[Colunas1]])</f>
        <v>5</v>
      </c>
      <c r="F126" s="3"/>
      <c r="FK126" s="3">
        <v>5</v>
      </c>
    </row>
    <row r="127" spans="1:199" x14ac:dyDescent="0.25">
      <c r="A127" s="5" t="s">
        <v>1784</v>
      </c>
      <c r="B127" s="14" t="str">
        <f>VLOOKUP(TAB_ENTRADA[[#This Row],[Cod_2_Entrada]],TAB_ESTOQUE[[Codigo]:[Descrição Tecnica]],6,FALSE)</f>
        <v>TAMPÃO PROTETOR R161933920 REXROTH</v>
      </c>
      <c r="C127" s="14">
        <f>IFERROR(VLOOKUP(TAB_ENTRADA[[#This Row],[Cod_2_Entrada]],TAB_ESTOQUE[[Codigo]:[Referência Tec]],7,FALSE),"")</f>
        <v>0</v>
      </c>
      <c r="D127" s="14" t="str">
        <f>VLOOKUP(TAB_ENTRADA[[#This Row],[Cod_2_Entrada]],TAB_ESTOQUE[[Codigo]:[Endereço2]],12,FALSE)</f>
        <v>A2204</v>
      </c>
      <c r="E127" s="14">
        <f>SUM(TAB_ENTRADA[[#This Row],[20/05/2019]:[Colunas1]])</f>
        <v>8</v>
      </c>
      <c r="F127" s="3"/>
      <c r="FK127" s="3">
        <v>8</v>
      </c>
    </row>
    <row r="128" spans="1:199" x14ac:dyDescent="0.25">
      <c r="A128" s="5" t="s">
        <v>1785</v>
      </c>
      <c r="B128" s="14" t="str">
        <f>VLOOKUP(TAB_ENTRADA[[#This Row],[Cod_2_Entrada]],TAB_ESTOQUE[[Codigo]:[Descrição Tecnica]],6,FALSE)</f>
        <v>CONECTOR PARA SENSOR SICK DOS-1205-W</v>
      </c>
      <c r="C128" s="14">
        <f>IFERROR(VLOOKUP(TAB_ENTRADA[[#This Row],[Cod_2_Entrada]],TAB_ESTOQUE[[Codigo]:[Referência Tec]],7,FALSE),"")</f>
        <v>0</v>
      </c>
      <c r="D128" s="14" t="str">
        <f>VLOOKUP(TAB_ENTRADA[[#This Row],[Cod_2_Entrada]],TAB_ESTOQUE[[Codigo]:[Endereço2]],12,FALSE)</f>
        <v>A2204</v>
      </c>
      <c r="E128" s="14">
        <f>SUM(TAB_ENTRADA[[#This Row],[20/05/2019]:[Colunas1]])</f>
        <v>2</v>
      </c>
      <c r="F128" s="3"/>
      <c r="FK128" s="3">
        <v>2</v>
      </c>
    </row>
    <row r="129" spans="1:206" x14ac:dyDescent="0.25">
      <c r="A129" s="5" t="s">
        <v>1786</v>
      </c>
      <c r="B129" s="14" t="str">
        <f>VLOOKUP(TAB_ENTRADA[[#This Row],[Cod_2_Entrada]],TAB_ESTOQUE[[Codigo]:[Descrição Tecnica]],6,FALSE)</f>
        <v>SENSOR DE PROXIMIDADE PARA CILINDRO SMT-8M-A-PS-24V-E-0,3-M8D (FESTO)</v>
      </c>
      <c r="C129" s="14">
        <f>IFERROR(VLOOKUP(TAB_ENTRADA[[#This Row],[Cod_2_Entrada]],TAB_ESTOQUE[[Codigo]:[Referência Tec]],7,FALSE),"")</f>
        <v>0</v>
      </c>
      <c r="D129" s="14" t="str">
        <f>VLOOKUP(TAB_ENTRADA[[#This Row],[Cod_2_Entrada]],TAB_ESTOQUE[[Codigo]:[Endereço2]],12,FALSE)</f>
        <v>A2205</v>
      </c>
      <c r="E129" s="14">
        <f>SUM(TAB_ENTRADA[[#This Row],[20/05/2019]:[Colunas1]])</f>
        <v>2</v>
      </c>
      <c r="F129" s="3"/>
      <c r="FK129" s="3">
        <v>2</v>
      </c>
    </row>
    <row r="130" spans="1:206" x14ac:dyDescent="0.25">
      <c r="A130" s="5" t="s">
        <v>1787</v>
      </c>
      <c r="B130" s="14" t="str">
        <f>VLOOKUP(TAB_ENTRADA[[#This Row],[Cod_2_Entrada]],TAB_ESTOQUE[[Codigo]:[Descrição Tecnica]],6,FALSE)</f>
        <v>SENSOR DE PROXIMIDADE SME-8M-DS-24V-K-0,3 (FESTO)</v>
      </c>
      <c r="C130" s="14">
        <f>IFERROR(VLOOKUP(TAB_ENTRADA[[#This Row],[Cod_2_Entrada]],TAB_ESTOQUE[[Codigo]:[Referência Tec]],7,FALSE),"")</f>
        <v>0</v>
      </c>
      <c r="D130" s="14" t="str">
        <f>VLOOKUP(TAB_ENTRADA[[#This Row],[Cod_2_Entrada]],TAB_ESTOQUE[[Codigo]:[Endereço2]],12,FALSE)</f>
        <v>A2205</v>
      </c>
      <c r="E130" s="14">
        <f>SUM(TAB_ENTRADA[[#This Row],[20/05/2019]:[Colunas1]])</f>
        <v>0</v>
      </c>
      <c r="F130" s="3"/>
      <c r="FK130" s="3">
        <v>0</v>
      </c>
    </row>
    <row r="131" spans="1:206" x14ac:dyDescent="0.25">
      <c r="A131" s="5" t="s">
        <v>1788</v>
      </c>
      <c r="B131" s="14" t="str">
        <f>VLOOKUP(TAB_ENTRADA[[#This Row],[Cod_2_Entrada]],TAB_ESTOQUE[[Codigo]:[Descrição Tecnica]],6,FALSE)</f>
        <v>DIODO MURR 3124015 24V PC/DC MAX ,50 VA/W</v>
      </c>
      <c r="C131" s="14">
        <f>IFERROR(VLOOKUP(TAB_ENTRADA[[#This Row],[Cod_2_Entrada]],TAB_ESTOQUE[[Codigo]:[Referência Tec]],7,FALSE),"")</f>
        <v>0</v>
      </c>
      <c r="D131" s="14" t="str">
        <f>VLOOKUP(TAB_ENTRADA[[#This Row],[Cod_2_Entrada]],TAB_ESTOQUE[[Codigo]:[Endereço2]],12,FALSE)</f>
        <v>A2203</v>
      </c>
      <c r="E131" s="14">
        <f>SUM(TAB_ENTRADA[[#This Row],[20/05/2019]:[Colunas1]])</f>
        <v>4</v>
      </c>
      <c r="F131" s="3"/>
      <c r="FK131" s="3">
        <v>4</v>
      </c>
    </row>
    <row r="132" spans="1:206" x14ac:dyDescent="0.25">
      <c r="A132" s="5" t="s">
        <v>1789</v>
      </c>
      <c r="B132" s="14" t="str">
        <f>VLOOKUP(TAB_ENTRADA[[#This Row],[Cod_2_Entrada]],TAB_ESTOQUE[[Codigo]:[Descrição Tecnica]],6,FALSE)</f>
        <v>IHM KP300 6AV6 647-0AH11-3AX0</v>
      </c>
      <c r="C132" s="14">
        <f>IFERROR(VLOOKUP(TAB_ENTRADA[[#This Row],[Cod_2_Entrada]],TAB_ESTOQUE[[Codigo]:[Referência Tec]],7,FALSE),"")</f>
        <v>0</v>
      </c>
      <c r="D132" s="14" t="str">
        <f>VLOOKUP(TAB_ENTRADA[[#This Row],[Cod_2_Entrada]],TAB_ESTOQUE[[Codigo]:[Endereço2]],12,FALSE)</f>
        <v>A2202</v>
      </c>
      <c r="E132" s="14">
        <f>SUM(TAB_ENTRADA[[#This Row],[20/05/2019]:[Colunas1]])</f>
        <v>1</v>
      </c>
      <c r="F132" s="3"/>
      <c r="FK132" s="3">
        <v>1</v>
      </c>
    </row>
    <row r="133" spans="1:206" x14ac:dyDescent="0.25">
      <c r="A133" s="5" t="s">
        <v>1790</v>
      </c>
      <c r="B133" s="14" t="str">
        <f>VLOOKUP(TAB_ENTRADA[[#This Row],[Cod_2_Entrada]],TAB_ESTOQUE[[Codigo]:[Descrição Tecnica]],6,FALSE)</f>
        <v>SENSOR INDUTIVO M12 XS112B3PAM12 TELEMAQUINIQUE</v>
      </c>
      <c r="C133" s="14">
        <f>IFERROR(VLOOKUP(TAB_ENTRADA[[#This Row],[Cod_2_Entrada]],TAB_ESTOQUE[[Codigo]:[Referência Tec]],7,FALSE),"")</f>
        <v>0</v>
      </c>
      <c r="D133" s="14" t="str">
        <f>VLOOKUP(TAB_ENTRADA[[#This Row],[Cod_2_Entrada]],TAB_ESTOQUE[[Codigo]:[Endereço2]],12,FALSE)</f>
        <v>A2204</v>
      </c>
      <c r="E133" s="14">
        <f>SUM(TAB_ENTRADA[[#This Row],[20/05/2019]:[Colunas1]])</f>
        <v>0</v>
      </c>
      <c r="F133" s="3"/>
      <c r="FK133" s="3">
        <v>0</v>
      </c>
    </row>
    <row r="134" spans="1:206" x14ac:dyDescent="0.25">
      <c r="A134" s="5" t="s">
        <v>1791</v>
      </c>
      <c r="B134" s="14" t="str">
        <f>VLOOKUP(TAB_ENTRADA[[#This Row],[Cod_2_Entrada]],TAB_ESTOQUE[[Codigo]:[Descrição Tecnica]],6,FALSE)</f>
        <v>CONECTOR XZCC43FCP40B TELEMAQUINIQUE</v>
      </c>
      <c r="C134" s="14">
        <f>IFERROR(VLOOKUP(TAB_ENTRADA[[#This Row],[Cod_2_Entrada]],TAB_ESTOQUE[[Codigo]:[Referência Tec]],7,FALSE),"")</f>
        <v>0</v>
      </c>
      <c r="D134" s="14" t="str">
        <f>VLOOKUP(TAB_ENTRADA[[#This Row],[Cod_2_Entrada]],TAB_ESTOQUE[[Codigo]:[Endereço2]],12,FALSE)</f>
        <v>A2204</v>
      </c>
      <c r="E134" s="14">
        <f>SUM(TAB_ENTRADA[[#This Row],[20/05/2019]:[Colunas1]])</f>
        <v>8</v>
      </c>
      <c r="F134" s="3"/>
      <c r="FK134" s="3">
        <v>8</v>
      </c>
    </row>
    <row r="135" spans="1:206" x14ac:dyDescent="0.25">
      <c r="A135" s="5" t="s">
        <v>1792</v>
      </c>
      <c r="B135" s="14" t="str">
        <f>VLOOKUP(TAB_ENTRADA[[#This Row],[Cod_2_Entrada]],TAB_ESTOQUE[[Codigo]:[Descrição Tecnica]],6,FALSE)</f>
        <v>SENSOR MHL 15-P2236 1026 126 NP150</v>
      </c>
      <c r="C135" s="14">
        <f>IFERROR(VLOOKUP(TAB_ENTRADA[[#This Row],[Cod_2_Entrada]],TAB_ESTOQUE[[Codigo]:[Referência Tec]],7,FALSE),"")</f>
        <v>0</v>
      </c>
      <c r="D135" s="14" t="str">
        <f>VLOOKUP(TAB_ENTRADA[[#This Row],[Cod_2_Entrada]],TAB_ESTOQUE[[Codigo]:[Endereço2]],12,FALSE)</f>
        <v>A2204</v>
      </c>
      <c r="E135" s="14">
        <f>SUM(TAB_ENTRADA[[#This Row],[20/05/2019]:[Colunas1]])</f>
        <v>2</v>
      </c>
      <c r="F135" s="3"/>
      <c r="FK135" s="3">
        <v>2</v>
      </c>
    </row>
    <row r="136" spans="1:206" x14ac:dyDescent="0.25">
      <c r="A136" s="5" t="s">
        <v>1793</v>
      </c>
      <c r="B136" s="14" t="str">
        <f>VLOOKUP(TAB_ENTRADA[[#This Row],[Cod_2_Entrada]],TAB_ESTOQUE[[Codigo]:[Descrição Tecnica]],6,FALSE)</f>
        <v>CONECTOR PARA SENSOR N11 RFF 932 632-106 DIN EM 175201-804</v>
      </c>
      <c r="C136" s="14">
        <f>IFERROR(VLOOKUP(TAB_ENTRADA[[#This Row],[Cod_2_Entrada]],TAB_ESTOQUE[[Codigo]:[Referência Tec]],7,FALSE),"")</f>
        <v>0</v>
      </c>
      <c r="D136" s="14" t="str">
        <f>VLOOKUP(TAB_ENTRADA[[#This Row],[Cod_2_Entrada]],TAB_ESTOQUE[[Codigo]:[Endereço2]],12,FALSE)</f>
        <v>A2204</v>
      </c>
      <c r="E136" s="14">
        <f>SUM(TAB_ENTRADA[[#This Row],[20/05/2019]:[Colunas1]])</f>
        <v>4</v>
      </c>
      <c r="F136" s="3"/>
      <c r="FK136" s="3">
        <v>4</v>
      </c>
    </row>
    <row r="137" spans="1:206" x14ac:dyDescent="0.25">
      <c r="A137" s="5" t="s">
        <v>1794</v>
      </c>
      <c r="B137" s="14" t="str">
        <f>VLOOKUP(TAB_ENTRADA[[#This Row],[Cod_2_Entrada]],TAB_ESTOQUE[[Codigo]:[Descrição Tecnica]],6,FALSE)</f>
        <v>SENSOR DE SEGURANÇA  XU2S18PP340DR TELEMECANIQUE</v>
      </c>
      <c r="C137" s="14">
        <f>IFERROR(VLOOKUP(TAB_ENTRADA[[#This Row],[Cod_2_Entrada]],TAB_ESTOQUE[[Codigo]:[Referência Tec]],7,FALSE),"")</f>
        <v>0</v>
      </c>
      <c r="D137" s="14" t="str">
        <f>VLOOKUP(TAB_ENTRADA[[#This Row],[Cod_2_Entrada]],TAB_ESTOQUE[[Codigo]:[Endereço2]],12,FALSE)</f>
        <v>A2203</v>
      </c>
      <c r="E137" s="14">
        <f>SUM(TAB_ENTRADA[[#This Row],[20/05/2019]:[Colunas1]])</f>
        <v>2</v>
      </c>
      <c r="F137" s="3"/>
      <c r="FK137" s="3">
        <v>2</v>
      </c>
    </row>
    <row r="138" spans="1:206" x14ac:dyDescent="0.25">
      <c r="A138" s="5" t="s">
        <v>1795</v>
      </c>
      <c r="B138" s="14" t="str">
        <f>VLOOKUP(TAB_ENTRADA[[#This Row],[Cod_2_Entrada]],TAB_ESTOQUE[[Codigo]:[Descrição Tecnica]],6,FALSE)</f>
        <v>CONECTOR PARA CABO SICK STE-0803-G</v>
      </c>
      <c r="C138" s="14">
        <f>IFERROR(VLOOKUP(TAB_ENTRADA[[#This Row],[Cod_2_Entrada]],TAB_ESTOQUE[[Codigo]:[Referência Tec]],7,FALSE),"")</f>
        <v>0</v>
      </c>
      <c r="D138" s="14" t="str">
        <f>VLOOKUP(TAB_ENTRADA[[#This Row],[Cod_2_Entrada]],TAB_ESTOQUE[[Codigo]:[Endereço2]],12,FALSE)</f>
        <v>A2204</v>
      </c>
      <c r="E138" s="14">
        <f>SUM(TAB_ENTRADA[[#This Row],[20/05/2019]:[Colunas1]])</f>
        <v>2</v>
      </c>
      <c r="F138" s="3"/>
      <c r="FK138" s="3">
        <v>2</v>
      </c>
    </row>
    <row r="139" spans="1:206" x14ac:dyDescent="0.25">
      <c r="A139" s="5" t="s">
        <v>1796</v>
      </c>
      <c r="B139" s="14" t="str">
        <f>VLOOKUP(TAB_ENTRADA[[#This Row],[Cod_2_Entrada]],TAB_ESTOQUE[[Codigo]:[Descrição Tecnica]],6,FALSE)</f>
        <v>SENSOR INDUTIVO IME12-04BPSZCOS 1040764</v>
      </c>
      <c r="C139" s="14">
        <f>IFERROR(VLOOKUP(TAB_ENTRADA[[#This Row],[Cod_2_Entrada]],TAB_ESTOQUE[[Codigo]:[Referência Tec]],7,FALSE),"")</f>
        <v>0</v>
      </c>
      <c r="D139" s="14" t="str">
        <f>VLOOKUP(TAB_ENTRADA[[#This Row],[Cod_2_Entrada]],TAB_ESTOQUE[[Codigo]:[Endereço2]],12,FALSE)</f>
        <v>A2204</v>
      </c>
      <c r="E139" s="14">
        <f>SUM(TAB_ENTRADA[[#This Row],[20/05/2019]:[Colunas1]])</f>
        <v>0</v>
      </c>
      <c r="F139" s="3"/>
      <c r="FK139" s="3">
        <v>0</v>
      </c>
    </row>
    <row r="140" spans="1:206" x14ac:dyDescent="0.25">
      <c r="A140" s="5" t="s">
        <v>1797</v>
      </c>
      <c r="B140" s="14" t="str">
        <f>VLOOKUP(TAB_ENTRADA[[#This Row],[Cod_2_Entrada]],TAB_ESTOQUE[[Codigo]:[Descrição Tecnica]],6,FALSE)</f>
        <v>SENSOR DE PROXIMIDADE INDUTIVO IMB TIPO: IMB08-02BPSVT0S  COD:  1070168 (SICK)</v>
      </c>
      <c r="C140" s="14">
        <f>IFERROR(VLOOKUP(TAB_ENTRADA[[#This Row],[Cod_2_Entrada]],TAB_ESTOQUE[[Codigo]:[Referência Tec]],7,FALSE),"")</f>
        <v>0</v>
      </c>
      <c r="D140" s="14" t="str">
        <f>VLOOKUP(TAB_ENTRADA[[#This Row],[Cod_2_Entrada]],TAB_ESTOQUE[[Codigo]:[Endereço2]],12,FALSE)</f>
        <v>A2203</v>
      </c>
      <c r="E140" s="14">
        <f>SUM(TAB_ENTRADA[[#This Row],[20/05/2019]:[Colunas1]])</f>
        <v>8</v>
      </c>
      <c r="F140" s="3"/>
      <c r="FK140" s="3">
        <v>0</v>
      </c>
      <c r="GX140" s="3">
        <v>8</v>
      </c>
    </row>
    <row r="141" spans="1:206" x14ac:dyDescent="0.25">
      <c r="A141" s="5" t="s">
        <v>1798</v>
      </c>
      <c r="B141" s="14" t="str">
        <f>VLOOKUP(TAB_ENTRADA[[#This Row],[Cod_2_Entrada]],TAB_ESTOQUE[[Codigo]:[Descrição Tecnica]],6,FALSE)</f>
        <v>SENSOR OPTICO SICK L273-3P3 730</v>
      </c>
      <c r="C141" s="14">
        <f>IFERROR(VLOOKUP(TAB_ENTRADA[[#This Row],[Cod_2_Entrada]],TAB_ESTOQUE[[Codigo]:[Referência Tec]],7,FALSE),"")</f>
        <v>0</v>
      </c>
      <c r="D141" s="14" t="str">
        <f>VLOOKUP(TAB_ENTRADA[[#This Row],[Cod_2_Entrada]],TAB_ESTOQUE[[Codigo]:[Endereço2]],12,FALSE)</f>
        <v>A2204</v>
      </c>
      <c r="E141" s="14">
        <f>SUM(TAB_ENTRADA[[#This Row],[20/05/2019]:[Colunas1]])</f>
        <v>2</v>
      </c>
      <c r="F141" s="3"/>
      <c r="FK141" s="3">
        <v>2</v>
      </c>
    </row>
    <row r="142" spans="1:206" x14ac:dyDescent="0.25">
      <c r="A142" s="5" t="s">
        <v>1799</v>
      </c>
      <c r="B142" s="14" t="str">
        <f>VLOOKUP(TAB_ENTRADA[[#This Row],[Cod_2_Entrada]],TAB_ESTOQUE[[Codigo]:[Descrição Tecnica]],6,FALSE)</f>
        <v>SENSOR OPTICO XUK0AKSAM12 TELEMECANIQUE</v>
      </c>
      <c r="C142" s="14">
        <f>IFERROR(VLOOKUP(TAB_ENTRADA[[#This Row],[Cod_2_Entrada]],TAB_ESTOQUE[[Codigo]:[Referência Tec]],7,FALSE),"")</f>
        <v>0</v>
      </c>
      <c r="D142" s="14" t="str">
        <f>VLOOKUP(TAB_ENTRADA[[#This Row],[Cod_2_Entrada]],TAB_ESTOQUE[[Codigo]:[Endereço2]],12,FALSE)</f>
        <v>A2204</v>
      </c>
      <c r="E142" s="14">
        <f>SUM(TAB_ENTRADA[[#This Row],[20/05/2019]:[Colunas1]])</f>
        <v>3</v>
      </c>
      <c r="F142" s="3"/>
      <c r="FK142" s="3">
        <v>3</v>
      </c>
    </row>
    <row r="143" spans="1:206" x14ac:dyDescent="0.25">
      <c r="A143" s="5" t="s">
        <v>1800</v>
      </c>
      <c r="B143" s="14" t="str">
        <f>VLOOKUP(TAB_ENTRADA[[#This Row],[Cod_2_Entrada]],TAB_ESTOQUE[[Codigo]:[Descrição Tecnica]],6,FALSE)</f>
        <v>ESPELHO REFLETIVO PARA SENSOR SICK</v>
      </c>
      <c r="C143" s="14">
        <f>IFERROR(VLOOKUP(TAB_ENTRADA[[#This Row],[Cod_2_Entrada]],TAB_ESTOQUE[[Codigo]:[Referência Tec]],7,FALSE),"")</f>
        <v>0</v>
      </c>
      <c r="D143" s="14" t="str">
        <f>VLOOKUP(TAB_ENTRADA[[#This Row],[Cod_2_Entrada]],TAB_ESTOQUE[[Codigo]:[Endereço2]],12,FALSE)</f>
        <v>A2304</v>
      </c>
      <c r="E143" s="14">
        <f>SUM(TAB_ENTRADA[[#This Row],[20/05/2019]:[Colunas1]])</f>
        <v>3</v>
      </c>
      <c r="F143" s="3"/>
      <c r="FK143" s="3">
        <v>3</v>
      </c>
    </row>
    <row r="144" spans="1:206" x14ac:dyDescent="0.25">
      <c r="A144" s="5" t="s">
        <v>1801</v>
      </c>
      <c r="B144" s="14" t="str">
        <f>VLOOKUP(TAB_ENTRADA[[#This Row],[Cod_2_Entrada]],TAB_ESTOQUE[[Codigo]:[Descrição Tecnica]],6,FALSE)</f>
        <v>SENSOR FOTO ELETRICO QS18V P6MPQ5 BANNER</v>
      </c>
      <c r="C144" s="14">
        <f>IFERROR(VLOOKUP(TAB_ENTRADA[[#This Row],[Cod_2_Entrada]],TAB_ESTOQUE[[Codigo]:[Referência Tec]],7,FALSE),"")</f>
        <v>0</v>
      </c>
      <c r="D144" s="14" t="str">
        <f>VLOOKUP(TAB_ENTRADA[[#This Row],[Cod_2_Entrada]],TAB_ESTOQUE[[Codigo]:[Endereço2]],12,FALSE)</f>
        <v>A2204</v>
      </c>
      <c r="E144" s="14">
        <f>SUM(TAB_ENTRADA[[#This Row],[20/05/2019]:[Colunas1]])</f>
        <v>3</v>
      </c>
      <c r="F144" s="3"/>
      <c r="FK144" s="3">
        <v>3</v>
      </c>
    </row>
    <row r="145" spans="1:215" x14ac:dyDescent="0.25">
      <c r="A145" s="5" t="s">
        <v>1802</v>
      </c>
      <c r="B145" s="14" t="str">
        <f>VLOOKUP(TAB_ENTRADA[[#This Row],[Cod_2_Entrada]],TAB_ESTOQUE[[Codigo]:[Descrição Tecnica]],6,FALSE)</f>
        <v>CHAVE SELETORA LUMINOSA SCHNEIDER XB5AK123B3 VERDE</v>
      </c>
      <c r="C145" s="14">
        <f>IFERROR(VLOOKUP(TAB_ENTRADA[[#This Row],[Cod_2_Entrada]],TAB_ESTOQUE[[Codigo]:[Referência Tec]],7,FALSE),"")</f>
        <v>0</v>
      </c>
      <c r="D145" s="14" t="str">
        <f>VLOOKUP(TAB_ENTRADA[[#This Row],[Cod_2_Entrada]],TAB_ESTOQUE[[Codigo]:[Endereço2]],12,FALSE)</f>
        <v>A2205</v>
      </c>
      <c r="E145" s="14">
        <f>SUM(TAB_ENTRADA[[#This Row],[20/05/2019]:[Colunas1]])</f>
        <v>2</v>
      </c>
      <c r="F145" s="3"/>
      <c r="FK145" s="3">
        <v>2</v>
      </c>
    </row>
    <row r="146" spans="1:215" x14ac:dyDescent="0.25">
      <c r="A146" s="5" t="s">
        <v>1803</v>
      </c>
      <c r="B146" s="14" t="str">
        <f>VLOOKUP(TAB_ENTRADA[[#This Row],[Cod_2_Entrada]],TAB_ESTOQUE[[Codigo]:[Descrição Tecnica]],6,FALSE)</f>
        <v>SENSOR FIM DE CURSO  XCKM115 X1</v>
      </c>
      <c r="C146" s="14">
        <f>IFERROR(VLOOKUP(TAB_ENTRADA[[#This Row],[Cod_2_Entrada]],TAB_ESTOQUE[[Codigo]:[Referência Tec]],7,FALSE),"")</f>
        <v>0</v>
      </c>
      <c r="D146" s="14" t="str">
        <f>VLOOKUP(TAB_ENTRADA[[#This Row],[Cod_2_Entrada]],TAB_ESTOQUE[[Codigo]:[Endereço2]],12,FALSE)</f>
        <v>A2205</v>
      </c>
      <c r="E146" s="14">
        <f>SUM(TAB_ENTRADA[[#This Row],[20/05/2019]:[Colunas1]])</f>
        <v>0</v>
      </c>
      <c r="F146" s="3"/>
      <c r="FK146" s="3">
        <v>0</v>
      </c>
    </row>
    <row r="147" spans="1:215" x14ac:dyDescent="0.25">
      <c r="A147" s="5" t="s">
        <v>1804</v>
      </c>
      <c r="B147" s="14" t="str">
        <f>VLOOKUP(TAB_ENTRADA[[#This Row],[Cod_2_Entrada]],TAB_ESTOQUE[[Codigo]:[Descrição Tecnica]],6,FALSE)</f>
        <v>CHAVE FIM DE CURSO 3SE5112-0LC02 - SIEMENS</v>
      </c>
      <c r="C147" s="14">
        <f>IFERROR(VLOOKUP(TAB_ENTRADA[[#This Row],[Cod_2_Entrada]],TAB_ESTOQUE[[Codigo]:[Referência Tec]],7,FALSE),"")</f>
        <v>0</v>
      </c>
      <c r="D147" s="14" t="str">
        <f>VLOOKUP(TAB_ENTRADA[[#This Row],[Cod_2_Entrada]],TAB_ESTOQUE[[Codigo]:[Endereço2]],12,FALSE)</f>
        <v>A2205</v>
      </c>
      <c r="E147" s="14">
        <f>SUM(TAB_ENTRADA[[#This Row],[20/05/2019]:[Colunas1]])</f>
        <v>0</v>
      </c>
      <c r="F147" s="3"/>
      <c r="FK147" s="3">
        <v>0</v>
      </c>
    </row>
    <row r="148" spans="1:215" x14ac:dyDescent="0.25">
      <c r="A148" s="5" t="s">
        <v>1805</v>
      </c>
      <c r="B148" s="14" t="str">
        <f>VLOOKUP(TAB_ENTRADA[[#This Row],[Cod_2_Entrada]],TAB_ESTOQUE[[Codigo]:[Descrição Tecnica]],6,FALSE)</f>
        <v>SENSOR FIM DE CURSO XCKN2118G11</v>
      </c>
      <c r="C148" s="14">
        <f>IFERROR(VLOOKUP(TAB_ENTRADA[[#This Row],[Cod_2_Entrada]],TAB_ESTOQUE[[Codigo]:[Referência Tec]],7,FALSE),"")</f>
        <v>0</v>
      </c>
      <c r="D148" s="14" t="str">
        <f>VLOOKUP(TAB_ENTRADA[[#This Row],[Cod_2_Entrada]],TAB_ESTOQUE[[Codigo]:[Endereço2]],12,FALSE)</f>
        <v>A2205</v>
      </c>
      <c r="E148" s="14">
        <f>SUM(TAB_ENTRADA[[#This Row],[20/05/2019]:[Colunas1]])</f>
        <v>2</v>
      </c>
      <c r="F148" s="3"/>
      <c r="FK148" s="3">
        <v>2</v>
      </c>
    </row>
    <row r="149" spans="1:215" x14ac:dyDescent="0.25">
      <c r="A149" s="5" t="s">
        <v>1806</v>
      </c>
      <c r="B149" s="14" t="str">
        <f>VLOOKUP(TAB_ENTRADA[[#This Row],[Cod_2_Entrada]],TAB_ESTOQUE[[Codigo]:[Descrição Tecnica]],6,FALSE)</f>
        <v>SENSOR SICK RE21-sA03 1059506</v>
      </c>
      <c r="C149" s="14">
        <f>IFERROR(VLOOKUP(TAB_ENTRADA[[#This Row],[Cod_2_Entrada]],TAB_ESTOQUE[[Codigo]:[Referência Tec]],7,FALSE),"")</f>
        <v>0</v>
      </c>
      <c r="D149" s="14" t="str">
        <f>VLOOKUP(TAB_ENTRADA[[#This Row],[Cod_2_Entrada]],TAB_ESTOQUE[[Codigo]:[Endereço2]],12,FALSE)</f>
        <v>A2203</v>
      </c>
      <c r="E149" s="14">
        <f>SUM(TAB_ENTRADA[[#This Row],[20/05/2019]:[Colunas1]])</f>
        <v>0</v>
      </c>
      <c r="F149" s="3"/>
      <c r="FK149" s="3">
        <v>0</v>
      </c>
    </row>
    <row r="150" spans="1:215" x14ac:dyDescent="0.25">
      <c r="A150" s="5" t="s">
        <v>1807</v>
      </c>
      <c r="B150" s="14" t="str">
        <f>VLOOKUP(TAB_ENTRADA[[#This Row],[Cod_2_Entrada]],TAB_ESTOQUE[[Codigo]:[Descrição Tecnica]],6,FALSE)</f>
        <v>SENSOR BALLUFF BES 516-324-EO-C05</v>
      </c>
      <c r="C150" s="14">
        <f>IFERROR(VLOOKUP(TAB_ENTRADA[[#This Row],[Cod_2_Entrada]],TAB_ESTOQUE[[Codigo]:[Referência Tec]],7,FALSE),"")</f>
        <v>0</v>
      </c>
      <c r="D150" s="14" t="str">
        <f>VLOOKUP(TAB_ENTRADA[[#This Row],[Cod_2_Entrada]],TAB_ESTOQUE[[Codigo]:[Endereço2]],12,FALSE)</f>
        <v>A2203</v>
      </c>
      <c r="E150" s="14">
        <f>SUM(TAB_ENTRADA[[#This Row],[20/05/2019]:[Colunas1]])</f>
        <v>2</v>
      </c>
      <c r="F150" s="3"/>
      <c r="FK150" s="3">
        <v>2</v>
      </c>
    </row>
    <row r="151" spans="1:215" x14ac:dyDescent="0.25">
      <c r="A151" s="5" t="s">
        <v>1808</v>
      </c>
      <c r="B151" s="14" t="str">
        <f>VLOOKUP(TAB_ENTRADA[[#This Row],[Cod_2_Entrada]],TAB_ESTOQUE[[Codigo]:[Descrição Tecnica]],6,FALSE)</f>
        <v>CONTROLADOR DE TEMPERATURA ATR142</v>
      </c>
      <c r="C151" s="14">
        <f>IFERROR(VLOOKUP(TAB_ENTRADA[[#This Row],[Cod_2_Entrada]],TAB_ESTOQUE[[Codigo]:[Referência Tec]],7,FALSE),"")</f>
        <v>0</v>
      </c>
      <c r="D151" s="14" t="str">
        <f>VLOOKUP(TAB_ENTRADA[[#This Row],[Cod_2_Entrada]],TAB_ESTOQUE[[Codigo]:[Endereço2]],12,FALSE)</f>
        <v>A2402</v>
      </c>
      <c r="E151" s="14">
        <f>SUM(TAB_ENTRADA[[#This Row],[20/05/2019]:[Colunas1]])</f>
        <v>0</v>
      </c>
      <c r="F151" s="3"/>
      <c r="FK151" s="3">
        <v>0</v>
      </c>
    </row>
    <row r="152" spans="1:215" x14ac:dyDescent="0.25">
      <c r="A152" s="5" t="s">
        <v>1809</v>
      </c>
      <c r="B152" s="14" t="str">
        <f>VLOOKUP(TAB_ENTRADA[[#This Row],[Cod_2_Entrada]],TAB_ESTOQUE[[Codigo]:[Descrição Tecnica]],6,FALSE)</f>
        <v>VALVULA PNEUMATICA 3/2 VIAS 1 BOBINA 24V 1/8</v>
      </c>
      <c r="C152" s="14">
        <f>IFERROR(VLOOKUP(TAB_ENTRADA[[#This Row],[Cod_2_Entrada]],TAB_ESTOQUE[[Codigo]:[Referência Tec]],7,FALSE),"")</f>
        <v>0</v>
      </c>
      <c r="D152" s="14" t="str">
        <f>VLOOKUP(TAB_ENTRADA[[#This Row],[Cod_2_Entrada]],TAB_ESTOQUE[[Codigo]:[Endereço2]],12,FALSE)</f>
        <v>C1104</v>
      </c>
      <c r="E152" s="14">
        <f>SUM(TAB_ENTRADA[[#This Row],[20/05/2019]:[Colunas1]])</f>
        <v>3</v>
      </c>
      <c r="F152" s="3"/>
      <c r="FK152" s="3">
        <v>3</v>
      </c>
    </row>
    <row r="153" spans="1:215" x14ac:dyDescent="0.25">
      <c r="A153" s="5" t="s">
        <v>1810</v>
      </c>
      <c r="B153" s="14" t="str">
        <f>VLOOKUP(TAB_ENTRADA[[#This Row],[Cod_2_Entrada]],TAB_ESTOQUE[[Codigo]:[Descrição Tecnica]],6,FALSE)</f>
        <v>CABO COM CONECTOR RETO MACHO 2 LADOS M16 5 PINOS</v>
      </c>
      <c r="C153" s="14">
        <f>IFERROR(VLOOKUP(TAB_ENTRADA[[#This Row],[Cod_2_Entrada]],TAB_ESTOQUE[[Codigo]:[Referência Tec]],7,FALSE),"")</f>
        <v>0</v>
      </c>
      <c r="D153" s="14" t="str">
        <f>VLOOKUP(TAB_ENTRADA[[#This Row],[Cod_2_Entrada]],TAB_ESTOQUE[[Codigo]:[Endereço2]],12,FALSE)</f>
        <v>B1404</v>
      </c>
      <c r="E153" s="14">
        <f>SUM(TAB_ENTRADA[[#This Row],[20/05/2019]:[Colunas1]])</f>
        <v>2</v>
      </c>
      <c r="F153" s="3"/>
      <c r="FK153" s="3">
        <v>2</v>
      </c>
    </row>
    <row r="154" spans="1:215" x14ac:dyDescent="0.25">
      <c r="A154" s="5" t="s">
        <v>1811</v>
      </c>
      <c r="B154" s="14" t="str">
        <f>VLOOKUP(TAB_ENTRADA[[#This Row],[Cod_2_Entrada]],TAB_ESTOQUE[[Codigo]:[Descrição Tecnica]],6,FALSE)</f>
        <v>ATUADOR P/ SENSOR MAGNÉTICO PILZ PSEN CS 3.1 - IDENT. NO. 541080 PILZ</v>
      </c>
      <c r="C154" s="14">
        <f>IFERROR(VLOOKUP(TAB_ENTRADA[[#This Row],[Cod_2_Entrada]],TAB_ESTOQUE[[Codigo]:[Referência Tec]],7,FALSE),"")</f>
        <v>0</v>
      </c>
      <c r="D154" s="14" t="str">
        <f>VLOOKUP(TAB_ENTRADA[[#This Row],[Cod_2_Entrada]],TAB_ESTOQUE[[Codigo]:[Endereço2]],12,FALSE)</f>
        <v>A2206</v>
      </c>
      <c r="E154" s="14">
        <f>SUM(TAB_ENTRADA[[#This Row],[20/05/2019]:[Colunas1]])</f>
        <v>0</v>
      </c>
      <c r="F154" s="3"/>
      <c r="FK154" s="3">
        <v>0</v>
      </c>
    </row>
    <row r="155" spans="1:215" x14ac:dyDescent="0.25">
      <c r="A155" s="5" t="s">
        <v>1812</v>
      </c>
      <c r="B155" s="14" t="str">
        <f>VLOOKUP(TAB_ENTRADA[[#This Row],[Cod_2_Entrada]],TAB_ESTOQUE[[Codigo]:[Descrição Tecnica]],6,FALSE)</f>
        <v>SENSOR MAGNÉTICO P/ PORTA PILZ PSEN CS 3.1A - IDENT. NO. 511061  PILZ</v>
      </c>
      <c r="C155" s="14">
        <f>IFERROR(VLOOKUP(TAB_ENTRADA[[#This Row],[Cod_2_Entrada]],TAB_ESTOQUE[[Codigo]:[Referência Tec]],7,FALSE),"")</f>
        <v>0</v>
      </c>
      <c r="D155" s="14" t="str">
        <f>VLOOKUP(TAB_ENTRADA[[#This Row],[Cod_2_Entrada]],TAB_ESTOQUE[[Codigo]:[Endereço2]],12,FALSE)</f>
        <v>A2206</v>
      </c>
      <c r="E155" s="14">
        <f>SUM(TAB_ENTRADA[[#This Row],[20/05/2019]:[Colunas1]])</f>
        <v>1</v>
      </c>
      <c r="F155" s="3"/>
      <c r="FK155" s="3">
        <v>1</v>
      </c>
    </row>
    <row r="156" spans="1:215" x14ac:dyDescent="0.25">
      <c r="A156" s="5" t="s">
        <v>1813</v>
      </c>
      <c r="B156" s="14" t="str">
        <f>VLOOKUP(TAB_ENTRADA[[#This Row],[Cod_2_Entrada]],TAB_ESTOQUE[[Codigo]:[Descrição Tecnica]],6,FALSE)</f>
        <v>SELO/REPARO EM NYLON DE ALTA PRESSÃO P/INTENSIFICADOR J5/HYPER SEAL ASSEMBLY 20422243 KMT</v>
      </c>
      <c r="C156" s="14">
        <f>IFERROR(VLOOKUP(TAB_ENTRADA[[#This Row],[Cod_2_Entrada]],TAB_ESTOQUE[[Codigo]:[Referência Tec]],7,FALSE),"")</f>
        <v>0</v>
      </c>
      <c r="D156" s="14" t="str">
        <f>VLOOKUP(TAB_ENTRADA[[#This Row],[Cod_2_Entrada]],TAB_ESTOQUE[[Codigo]:[Endereço2]],12,FALSE)</f>
        <v>ARMARIO</v>
      </c>
      <c r="E156" s="14">
        <f>SUM(TAB_ENTRADA[[#This Row],[20/05/2019]:[Colunas1]])</f>
        <v>31</v>
      </c>
      <c r="F156" s="3"/>
      <c r="FK156" s="3">
        <v>5</v>
      </c>
      <c r="FT156" s="3">
        <v>3</v>
      </c>
      <c r="FW156" s="3">
        <v>4</v>
      </c>
      <c r="GE156" s="3">
        <v>6</v>
      </c>
      <c r="GH156" s="3">
        <v>8</v>
      </c>
      <c r="GV156" s="3">
        <v>5</v>
      </c>
    </row>
    <row r="157" spans="1:215" x14ac:dyDescent="0.25">
      <c r="A157" s="5" t="s">
        <v>1814</v>
      </c>
      <c r="B157" s="14" t="str">
        <f>VLOOKUP(TAB_ENTRADA[[#This Row],[Cod_2_Entrada]],TAB_ESTOQUE[[Codigo]:[Descrição Tecnica]],6,FALSE)</f>
        <v>CORREIA ARMALON 2410 MED. 1500X9110MM COM PINOS GUIAS</v>
      </c>
      <c r="C157" s="14">
        <f>IFERROR(VLOOKUP(TAB_ENTRADA[[#This Row],[Cod_2_Entrada]],TAB_ESTOQUE[[Codigo]:[Referência Tec]],7,FALSE),"")</f>
        <v>0</v>
      </c>
      <c r="D157" s="14" t="str">
        <f>VLOOKUP(TAB_ENTRADA[[#This Row],[Cod_2_Entrada]],TAB_ESTOQUE[[Codigo]:[Endereço2]],12,FALSE)</f>
        <v>CORREDOR 2</v>
      </c>
      <c r="E157" s="14">
        <f>SUM(TAB_ENTRADA[[#This Row],[20/05/2019]:[Colunas1]])</f>
        <v>2</v>
      </c>
      <c r="F157" s="3"/>
      <c r="FK157" s="3">
        <v>0</v>
      </c>
      <c r="GD157" s="3">
        <v>1</v>
      </c>
      <c r="HG157" s="3">
        <v>1</v>
      </c>
    </row>
    <row r="158" spans="1:215" x14ac:dyDescent="0.25">
      <c r="A158" s="5" t="s">
        <v>1815</v>
      </c>
      <c r="B158" s="14" t="str">
        <f>VLOOKUP(TAB_ENTRADA[[#This Row],[Cod_2_Entrada]],TAB_ESTOQUE[[Codigo]:[Descrição Tecnica]],6,FALSE)</f>
        <v>ACOPLAMENTO M04</v>
      </c>
      <c r="C158" s="14">
        <f>IFERROR(VLOOKUP(TAB_ENTRADA[[#This Row],[Cod_2_Entrada]],TAB_ESTOQUE[[Codigo]:[Referência Tec]],7,FALSE),"")</f>
        <v>0</v>
      </c>
      <c r="D158" s="14" t="str">
        <f>VLOOKUP(TAB_ENTRADA[[#This Row],[Cod_2_Entrada]],TAB_ESTOQUE[[Codigo]:[Endereço2]],12,FALSE)</f>
        <v>E2204</v>
      </c>
      <c r="E158" s="14">
        <f>SUM(TAB_ENTRADA[[#This Row],[20/05/2019]:[Colunas1]])</f>
        <v>1</v>
      </c>
      <c r="F158" s="3"/>
      <c r="FK158" s="3">
        <v>1</v>
      </c>
    </row>
    <row r="159" spans="1:215" x14ac:dyDescent="0.25">
      <c r="A159" s="5" t="s">
        <v>1816</v>
      </c>
      <c r="B159" s="14" t="str">
        <f>VLOOKUP(TAB_ENTRADA[[#This Row],[Cod_2_Entrada]],TAB_ESTOQUE[[Codigo]:[Descrição Tecnica]],6,FALSE)</f>
        <v>CHAVE V5 IEC- EM 60947-3 125A 3R1349</v>
      </c>
      <c r="C159" s="14">
        <f>IFERROR(VLOOKUP(TAB_ENTRADA[[#This Row],[Cod_2_Entrada]],TAB_ESTOQUE[[Codigo]:[Referência Tec]],7,FALSE),"")</f>
        <v>0</v>
      </c>
      <c r="D159" s="14" t="str">
        <f>VLOOKUP(TAB_ENTRADA[[#This Row],[Cod_2_Entrada]],TAB_ESTOQUE[[Codigo]:[Endereço2]],12,FALSE)</f>
        <v>A2302</v>
      </c>
      <c r="E159" s="14">
        <f>SUM(TAB_ENTRADA[[#This Row],[20/05/2019]:[Colunas1]])</f>
        <v>1</v>
      </c>
      <c r="F159" s="3"/>
      <c r="FK159" s="3">
        <v>1</v>
      </c>
    </row>
    <row r="160" spans="1:215" x14ac:dyDescent="0.25">
      <c r="A160" s="5" t="s">
        <v>1817</v>
      </c>
      <c r="B160" s="14" t="str">
        <f>VLOOKUP(TAB_ENTRADA[[#This Row],[Cod_2_Entrada]],TAB_ESTOQUE[[Codigo]:[Descrição Tecnica]],6,FALSE)</f>
        <v xml:space="preserve">TRANSFORMADOR DE TENSÃO POT.200W PRIM. 440V SEC. 220V FREQ. 50/60Hz </v>
      </c>
      <c r="C160" s="14">
        <f>IFERROR(VLOOKUP(TAB_ENTRADA[[#This Row],[Cod_2_Entrada]],TAB_ESTOQUE[[Codigo]:[Referência Tec]],7,FALSE),"")</f>
        <v>0</v>
      </c>
      <c r="D160" s="14" t="str">
        <f>VLOOKUP(TAB_ENTRADA[[#This Row],[Cod_2_Entrada]],TAB_ESTOQUE[[Codigo]:[Endereço2]],12,FALSE)</f>
        <v>A2303</v>
      </c>
      <c r="E160" s="14">
        <f>SUM(TAB_ENTRADA[[#This Row],[20/05/2019]:[Colunas1]])</f>
        <v>0</v>
      </c>
      <c r="F160" s="3"/>
      <c r="FK160" s="3">
        <v>0</v>
      </c>
    </row>
    <row r="161" spans="1:167" x14ac:dyDescent="0.25">
      <c r="A161" s="5" t="s">
        <v>1818</v>
      </c>
      <c r="B161" s="14" t="str">
        <f>VLOOKUP(TAB_ENTRADA[[#This Row],[Cod_2_Entrada]],TAB_ESTOQUE[[Codigo]:[Descrição Tecnica]],6,FALSE)</f>
        <v>FONTE DE ALIMENTAÇÃO CHAVEADA - TRIFÁSICA 3X380-500VAC - DC24V 20A - REF. ABL8 WPS24200 SCHNEIDER ELECTRIC</v>
      </c>
      <c r="C161" s="14">
        <f>IFERROR(VLOOKUP(TAB_ENTRADA[[#This Row],[Cod_2_Entrada]],TAB_ESTOQUE[[Codigo]:[Referência Tec]],7,FALSE),"")</f>
        <v>0</v>
      </c>
      <c r="D161" s="14" t="str">
        <f>VLOOKUP(TAB_ENTRADA[[#This Row],[Cod_2_Entrada]],TAB_ESTOQUE[[Codigo]:[Endereço2]],12,FALSE)</f>
        <v>A2302</v>
      </c>
      <c r="E161" s="14">
        <f>SUM(TAB_ENTRADA[[#This Row],[20/05/2019]:[Colunas1]])</f>
        <v>1</v>
      </c>
      <c r="F161" s="3"/>
      <c r="FK161" s="3">
        <v>1</v>
      </c>
    </row>
    <row r="162" spans="1:167" x14ac:dyDescent="0.25">
      <c r="A162" s="5" t="s">
        <v>1819</v>
      </c>
      <c r="B162" s="14" t="str">
        <f>VLOOKUP(TAB_ENTRADA[[#This Row],[Cod_2_Entrada]],TAB_ESTOQUE[[Codigo]:[Descrição Tecnica]],6,FALSE)</f>
        <v>TERMORESISTENCIA PT-100 3F 2,0MT 8,0MM</v>
      </c>
      <c r="C162" s="14">
        <f>IFERROR(VLOOKUP(TAB_ENTRADA[[#This Row],[Cod_2_Entrada]],TAB_ESTOQUE[[Codigo]:[Referência Tec]],7,FALSE),"")</f>
        <v>0</v>
      </c>
      <c r="D162" s="14" t="str">
        <f>VLOOKUP(TAB_ENTRADA[[#This Row],[Cod_2_Entrada]],TAB_ESTOQUE[[Codigo]:[Endereço2]],12,FALSE)</f>
        <v>A2302</v>
      </c>
      <c r="E162" s="14">
        <f>SUM(TAB_ENTRADA[[#This Row],[20/05/2019]:[Colunas1]])</f>
        <v>5</v>
      </c>
      <c r="F162" s="3"/>
      <c r="FK162" s="3">
        <v>5</v>
      </c>
    </row>
    <row r="163" spans="1:167" x14ac:dyDescent="0.25">
      <c r="A163" s="5" t="s">
        <v>1820</v>
      </c>
      <c r="B163" s="14" t="str">
        <f>VLOOKUP(TAB_ENTRADA[[#This Row],[Cod_2_Entrada]],TAB_ESTOQUE[[Codigo]:[Descrição Tecnica]],6,FALSE)</f>
        <v>CONTATOR DE FORÇA 24VAC LC1D09B7 (SCHNEIDER)</v>
      </c>
      <c r="C163" s="14">
        <f>IFERROR(VLOOKUP(TAB_ENTRADA[[#This Row],[Cod_2_Entrada]],TAB_ESTOQUE[[Codigo]:[Referência Tec]],7,FALSE),"")</f>
        <v>0</v>
      </c>
      <c r="D163" s="14" t="str">
        <f>VLOOKUP(TAB_ENTRADA[[#This Row],[Cod_2_Entrada]],TAB_ESTOQUE[[Codigo]:[Endereço2]],12,FALSE)</f>
        <v>A2303</v>
      </c>
      <c r="E163" s="14">
        <f>SUM(TAB_ENTRADA[[#This Row],[20/05/2019]:[Colunas1]])</f>
        <v>0</v>
      </c>
      <c r="F163" s="3"/>
      <c r="FK163" s="3">
        <v>0</v>
      </c>
    </row>
    <row r="164" spans="1:167" x14ac:dyDescent="0.25">
      <c r="A164" s="5" t="s">
        <v>1821</v>
      </c>
      <c r="B164" s="14" t="str">
        <f>VLOOKUP(TAB_ENTRADA[[#This Row],[Cod_2_Entrada]],TAB_ESTOQUE[[Codigo]:[Descrição Tecnica]],6,FALSE)</f>
        <v>CONTATOR TRIPOLAR 32A 24VCC LC1 D32B7</v>
      </c>
      <c r="C164" s="14">
        <f>IFERROR(VLOOKUP(TAB_ENTRADA[[#This Row],[Cod_2_Entrada]],TAB_ESTOQUE[[Codigo]:[Referência Tec]],7,FALSE),"")</f>
        <v>0</v>
      </c>
      <c r="D164" s="14" t="str">
        <f>VLOOKUP(TAB_ENTRADA[[#This Row],[Cod_2_Entrada]],TAB_ESTOQUE[[Codigo]:[Endereço2]],12,FALSE)</f>
        <v>G1103</v>
      </c>
      <c r="E164" s="14">
        <f>SUM(TAB_ENTRADA[[#This Row],[20/05/2019]:[Colunas1]])</f>
        <v>0</v>
      </c>
      <c r="F164" s="3"/>
      <c r="FK164" s="3">
        <v>0</v>
      </c>
    </row>
    <row r="165" spans="1:167" x14ac:dyDescent="0.25">
      <c r="A165" s="5" t="s">
        <v>1822</v>
      </c>
      <c r="B165" s="14" t="str">
        <f>VLOOKUP(TAB_ENTRADA[[#This Row],[Cod_2_Entrada]],TAB_ESTOQUE[[Codigo]:[Descrição Tecnica]],6,FALSE)</f>
        <v>BLOCO TEMPORIZADOR  LADT2 TESYS - 038589 - 0,1-30S 1NO+1NC SCHNEIDER ELECTRIC</v>
      </c>
      <c r="C165" s="14">
        <f>IFERROR(VLOOKUP(TAB_ENTRADA[[#This Row],[Cod_2_Entrada]],TAB_ESTOQUE[[Codigo]:[Referência Tec]],7,FALSE),"")</f>
        <v>0</v>
      </c>
      <c r="D165" s="14" t="str">
        <f>VLOOKUP(TAB_ENTRADA[[#This Row],[Cod_2_Entrada]],TAB_ESTOQUE[[Codigo]:[Endereço2]],12,FALSE)</f>
        <v>A2303</v>
      </c>
      <c r="E165" s="14">
        <f>SUM(TAB_ENTRADA[[#This Row],[20/05/2019]:[Colunas1]])</f>
        <v>5</v>
      </c>
      <c r="F165" s="3"/>
      <c r="FK165" s="3">
        <v>5</v>
      </c>
    </row>
    <row r="166" spans="1:167" x14ac:dyDescent="0.25">
      <c r="A166" s="5" t="s">
        <v>1823</v>
      </c>
      <c r="B166" s="14" t="str">
        <f>VLOOKUP(TAB_ENTRADA[[#This Row],[Cod_2_Entrada]],TAB_ESTOQUE[[Codigo]:[Descrição Tecnica]],6,FALSE)</f>
        <v>CONTATOR DE FORÇA LC1E32 IEC-EN60947-4-1 230V</v>
      </c>
      <c r="C166" s="14">
        <f>IFERROR(VLOOKUP(TAB_ENTRADA[[#This Row],[Cod_2_Entrada]],TAB_ESTOQUE[[Codigo]:[Referência Tec]],7,FALSE),"")</f>
        <v>0</v>
      </c>
      <c r="D166" s="14" t="str">
        <f>VLOOKUP(TAB_ENTRADA[[#This Row],[Cod_2_Entrada]],TAB_ESTOQUE[[Codigo]:[Endereço2]],12,FALSE)</f>
        <v>A2303</v>
      </c>
      <c r="E166" s="14">
        <f>SUM(TAB_ENTRADA[[#This Row],[20/05/2019]:[Colunas1]])</f>
        <v>1</v>
      </c>
      <c r="F166" s="3"/>
      <c r="FK166" s="3">
        <v>1</v>
      </c>
    </row>
    <row r="167" spans="1:167" x14ac:dyDescent="0.25">
      <c r="A167" s="5" t="s">
        <v>1824</v>
      </c>
      <c r="B167" s="14" t="str">
        <f>VLOOKUP(TAB_ENTRADA[[#This Row],[Cod_2_Entrada]],TAB_ESTOQUE[[Codigo]:[Descrição Tecnica]],6,FALSE)</f>
        <v>CONTACTOR AUXILIAR  - REF.LC1K0901B7 (SCHNEIDER)</v>
      </c>
      <c r="C167" s="14">
        <f>IFERROR(VLOOKUP(TAB_ENTRADA[[#This Row],[Cod_2_Entrada]],TAB_ESTOQUE[[Codigo]:[Referência Tec]],7,FALSE),"")</f>
        <v>0</v>
      </c>
      <c r="D167" s="14" t="str">
        <f>VLOOKUP(TAB_ENTRADA[[#This Row],[Cod_2_Entrada]],TAB_ESTOQUE[[Codigo]:[Endereço2]],12,FALSE)</f>
        <v>G1103</v>
      </c>
      <c r="E167" s="14">
        <f>SUM(TAB_ENTRADA[[#This Row],[20/05/2019]:[Colunas1]])</f>
        <v>0</v>
      </c>
      <c r="F167" s="3"/>
      <c r="FK167" s="3">
        <v>0</v>
      </c>
    </row>
    <row r="168" spans="1:167" x14ac:dyDescent="0.25">
      <c r="A168" s="5" t="s">
        <v>1825</v>
      </c>
      <c r="B168" s="14" t="str">
        <f>VLOOKUP(TAB_ENTRADA[[#This Row],[Cod_2_Entrada]],TAB_ESTOQUE[[Codigo]:[Descrição Tecnica]],6,FALSE)</f>
        <v>DISJUNTOR EASY9 3P 32A CURVA C 3000A EZ9F33332</v>
      </c>
      <c r="C168" s="14">
        <f>IFERROR(VLOOKUP(TAB_ENTRADA[[#This Row],[Cod_2_Entrada]],TAB_ESTOQUE[[Codigo]:[Referência Tec]],7,FALSE),"")</f>
        <v>0</v>
      </c>
      <c r="D168" s="14" t="str">
        <f>VLOOKUP(TAB_ENTRADA[[#This Row],[Cod_2_Entrada]],TAB_ESTOQUE[[Codigo]:[Endereço2]],12,FALSE)</f>
        <v>A2303</v>
      </c>
      <c r="E168" s="14">
        <f>SUM(TAB_ENTRADA[[#This Row],[20/05/2019]:[Colunas1]])</f>
        <v>0</v>
      </c>
      <c r="F168" s="3"/>
      <c r="FK168" s="3">
        <v>0</v>
      </c>
    </row>
    <row r="169" spans="1:167" x14ac:dyDescent="0.25">
      <c r="A169" s="5" t="s">
        <v>1826</v>
      </c>
      <c r="B169" s="14" t="str">
        <f>VLOOKUP(TAB_ENTRADA[[#This Row],[Cod_2_Entrada]],TAB_ESTOQUE[[Codigo]:[Descrição Tecnica]],6,FALSE)</f>
        <v>DISJUNTOR MOTOR 65A SCHNEIDER VE: 690V-50/60Hz uimp: 6KV</v>
      </c>
      <c r="C169" s="14">
        <f>IFERROR(VLOOKUP(TAB_ENTRADA[[#This Row],[Cod_2_Entrada]],TAB_ESTOQUE[[Codigo]:[Referência Tec]],7,FALSE),"")</f>
        <v>0</v>
      </c>
      <c r="D169" s="14" t="str">
        <f>VLOOKUP(TAB_ENTRADA[[#This Row],[Cod_2_Entrada]],TAB_ESTOQUE[[Codigo]:[Endereço2]],12,FALSE)</f>
        <v>A2303</v>
      </c>
      <c r="E169" s="14">
        <f>SUM(TAB_ENTRADA[[#This Row],[20/05/2019]:[Colunas1]])</f>
        <v>1</v>
      </c>
      <c r="F169" s="3"/>
      <c r="FK169" s="3">
        <v>1</v>
      </c>
    </row>
    <row r="170" spans="1:167" x14ac:dyDescent="0.25">
      <c r="A170" s="5" t="s">
        <v>1827</v>
      </c>
      <c r="B170" s="14" t="str">
        <f>VLOOKUP(TAB_ENTRADA[[#This Row],[Cod_2_Entrada]],TAB_ESTOQUE[[Codigo]:[Descrição Tecnica]],6,FALSE)</f>
        <v>MONITORADOR DE CORRENTE 716410 LUTZE LOCC-BOX-NT 7-6410 10A</v>
      </c>
      <c r="C170" s="14">
        <f>IFERROR(VLOOKUP(TAB_ENTRADA[[#This Row],[Cod_2_Entrada]],TAB_ESTOQUE[[Codigo]:[Referência Tec]],7,FALSE),"")</f>
        <v>0</v>
      </c>
      <c r="D170" s="14" t="str">
        <f>VLOOKUP(TAB_ENTRADA[[#This Row],[Cod_2_Entrada]],TAB_ESTOQUE[[Codigo]:[Endereço2]],12,FALSE)</f>
        <v>A2304</v>
      </c>
      <c r="E170" s="14">
        <f>SUM(TAB_ENTRADA[[#This Row],[20/05/2019]:[Colunas1]])</f>
        <v>6</v>
      </c>
      <c r="F170" s="3"/>
      <c r="FK170" s="3">
        <v>6</v>
      </c>
    </row>
    <row r="171" spans="1:167" x14ac:dyDescent="0.25">
      <c r="A171" s="5" t="s">
        <v>1828</v>
      </c>
      <c r="B171" s="14" t="str">
        <f>VLOOKUP(TAB_ENTRADA[[#This Row],[Cod_2_Entrada]],TAB_ESTOQUE[[Codigo]:[Descrição Tecnica]],6,FALSE)</f>
        <v>FUSÍVEL NH SIEMENS - REF. 3NA3 822, 63A 500V</v>
      </c>
      <c r="C171" s="14">
        <f>IFERROR(VLOOKUP(TAB_ENTRADA[[#This Row],[Cod_2_Entrada]],TAB_ESTOQUE[[Codigo]:[Referência Tec]],7,FALSE),"")</f>
        <v>0</v>
      </c>
      <c r="D171" s="14" t="str">
        <f>VLOOKUP(TAB_ENTRADA[[#This Row],[Cod_2_Entrada]],TAB_ESTOQUE[[Codigo]:[Endereço2]],12,FALSE)</f>
        <v>A1204</v>
      </c>
      <c r="E171" s="14">
        <f>SUM(TAB_ENTRADA[[#This Row],[20/05/2019]:[Colunas1]])</f>
        <v>16</v>
      </c>
      <c r="F171" s="3"/>
      <c r="FK171" s="3">
        <v>16</v>
      </c>
    </row>
    <row r="172" spans="1:167" x14ac:dyDescent="0.25">
      <c r="A172" s="5" t="s">
        <v>1829</v>
      </c>
      <c r="B172" s="14" t="str">
        <f>VLOOKUP(TAB_ENTRADA[[#This Row],[Cod_2_Entrada]],TAB_ESTOQUE[[Codigo]:[Descrição Tecnica]],6,FALSE)</f>
        <v>FUSÍVEL FERRAZ SHAWMUT - REF. NH000GG500V80, 80A 500VCA</v>
      </c>
      <c r="C172" s="14">
        <f>IFERROR(VLOOKUP(TAB_ENTRADA[[#This Row],[Cod_2_Entrada]],TAB_ESTOQUE[[Codigo]:[Referência Tec]],7,FALSE),"")</f>
        <v>0</v>
      </c>
      <c r="D172" s="14" t="str">
        <f>VLOOKUP(TAB_ENTRADA[[#This Row],[Cod_2_Entrada]],TAB_ESTOQUE[[Codigo]:[Endereço2]],12,FALSE)</f>
        <v>A1204</v>
      </c>
      <c r="E172" s="14">
        <f>SUM(TAB_ENTRADA[[#This Row],[20/05/2019]:[Colunas1]])</f>
        <v>6</v>
      </c>
      <c r="F172" s="3"/>
      <c r="FK172" s="3">
        <v>6</v>
      </c>
    </row>
    <row r="173" spans="1:167" x14ac:dyDescent="0.25">
      <c r="A173" s="5" t="s">
        <v>1830</v>
      </c>
      <c r="B173" s="14" t="str">
        <f>VLOOKUP(TAB_ENTRADA[[#This Row],[Cod_2_Entrada]],TAB_ESTOQUE[[Codigo]:[Descrição Tecnica]],6,FALSE)</f>
        <v>CABO COM CONECTOR RETO MACHO 2 LADOS M16 7 PINOS</v>
      </c>
      <c r="C173" s="14">
        <f>IFERROR(VLOOKUP(TAB_ENTRADA[[#This Row],[Cod_2_Entrada]],TAB_ESTOQUE[[Codigo]:[Referência Tec]],7,FALSE),"")</f>
        <v>0</v>
      </c>
      <c r="D173" s="14" t="str">
        <f>VLOOKUP(TAB_ENTRADA[[#This Row],[Cod_2_Entrada]],TAB_ESTOQUE[[Codigo]:[Endereço2]],12,FALSE)</f>
        <v>B1404</v>
      </c>
      <c r="E173" s="14">
        <f>SUM(TAB_ENTRADA[[#This Row],[20/05/2019]:[Colunas1]])</f>
        <v>1</v>
      </c>
      <c r="F173" s="3"/>
      <c r="FK173" s="3">
        <v>1</v>
      </c>
    </row>
    <row r="174" spans="1:167" x14ac:dyDescent="0.25">
      <c r="A174" s="5" t="s">
        <v>1831</v>
      </c>
      <c r="B174" s="14" t="str">
        <f>VLOOKUP(TAB_ENTRADA[[#This Row],[Cod_2_Entrada]],TAB_ESTOQUE[[Codigo]:[Descrição Tecnica]],6,FALSE)</f>
        <v>CONTATO AUXILIAR DE POTÊNCIA TIPO-N SCHNEIDER - REF. 055192 VZ13</v>
      </c>
      <c r="C174" s="14">
        <f>IFERROR(VLOOKUP(TAB_ENTRADA[[#This Row],[Cod_2_Entrada]],TAB_ESTOQUE[[Codigo]:[Referência Tec]],7,FALSE),"")</f>
        <v>0</v>
      </c>
      <c r="D174" s="14" t="str">
        <f>VLOOKUP(TAB_ENTRADA[[#This Row],[Cod_2_Entrada]],TAB_ESTOQUE[[Codigo]:[Endereço2]],12,FALSE)</f>
        <v>A2304</v>
      </c>
      <c r="E174" s="14">
        <f>SUM(TAB_ENTRADA[[#This Row],[20/05/2019]:[Colunas1]])</f>
        <v>1</v>
      </c>
      <c r="F174" s="3"/>
      <c r="FK174" s="3">
        <v>1</v>
      </c>
    </row>
    <row r="175" spans="1:167" x14ac:dyDescent="0.25">
      <c r="A175" s="5" t="s">
        <v>1832</v>
      </c>
      <c r="B175" s="14" t="str">
        <f>VLOOKUP(TAB_ENTRADA[[#This Row],[Cod_2_Entrada]],TAB_ESTOQUE[[Codigo]:[Descrição Tecnica]],6,FALSE)</f>
        <v>BOTÃO PULSADOR XB5AC51 AMARELO</v>
      </c>
      <c r="C175" s="14">
        <f>IFERROR(VLOOKUP(TAB_ENTRADA[[#This Row],[Cod_2_Entrada]],TAB_ESTOQUE[[Codigo]:[Referência Tec]],7,FALSE),"")</f>
        <v>0</v>
      </c>
      <c r="D175" s="14" t="str">
        <f>VLOOKUP(TAB_ENTRADA[[#This Row],[Cod_2_Entrada]],TAB_ESTOQUE[[Codigo]:[Endereço2]],12,FALSE)</f>
        <v>A2304</v>
      </c>
      <c r="E175" s="14">
        <f>SUM(TAB_ENTRADA[[#This Row],[20/05/2019]:[Colunas1]])</f>
        <v>4</v>
      </c>
      <c r="F175" s="3"/>
      <c r="FK175" s="3">
        <v>4</v>
      </c>
    </row>
    <row r="176" spans="1:167" x14ac:dyDescent="0.25">
      <c r="A176" s="5" t="s">
        <v>1833</v>
      </c>
      <c r="B176" s="14" t="str">
        <f>VLOOKUP(TAB_ENTRADA[[#This Row],[Cod_2_Entrada]],TAB_ESTOQUE[[Codigo]:[Descrição Tecnica]],6,FALSE)</f>
        <v>MÓDULO DE SEGURANÇA P/ SIST. EMERGÊNCIA XPSAF5121 SCHNEIDER</v>
      </c>
      <c r="C176" s="14">
        <f>IFERROR(VLOOKUP(TAB_ENTRADA[[#This Row],[Cod_2_Entrada]],TAB_ESTOQUE[[Codigo]:[Referência Tec]],7,FALSE),"")</f>
        <v>0</v>
      </c>
      <c r="D176" s="14" t="str">
        <f>VLOOKUP(TAB_ENTRADA[[#This Row],[Cod_2_Entrada]],TAB_ESTOQUE[[Codigo]:[Endereço2]],12,FALSE)</f>
        <v>A2304</v>
      </c>
      <c r="E176" s="14">
        <f>SUM(TAB_ENTRADA[[#This Row],[20/05/2019]:[Colunas1]])</f>
        <v>1</v>
      </c>
      <c r="F176" s="3"/>
      <c r="FK176" s="3">
        <v>1</v>
      </c>
    </row>
    <row r="177" spans="1:167" x14ac:dyDescent="0.25">
      <c r="A177" s="5" t="s">
        <v>1834</v>
      </c>
      <c r="B177" s="14" t="str">
        <f>VLOOKUP(TAB_ENTRADA[[#This Row],[Cod_2_Entrada]],TAB_ESTOQUE[[Codigo]:[Descrição Tecnica]],6,FALSE)</f>
        <v>TERMOSTATO DE CONTATO IMIT TIPO TC2 LSC1 1750 - COD. 542470, T80 1K/MIN IP40 0-90°C TC2 LSC11750</v>
      </c>
      <c r="C177" s="14">
        <f>IFERROR(VLOOKUP(TAB_ENTRADA[[#This Row],[Cod_2_Entrada]],TAB_ESTOQUE[[Codigo]:[Referência Tec]],7,FALSE),"")</f>
        <v>0</v>
      </c>
      <c r="D177" s="14" t="str">
        <f>VLOOKUP(TAB_ENTRADA[[#This Row],[Cod_2_Entrada]],TAB_ESTOQUE[[Codigo]:[Endereço2]],12,FALSE)</f>
        <v>A2304</v>
      </c>
      <c r="E177" s="14">
        <f>SUM(TAB_ENTRADA[[#This Row],[20/05/2019]:[Colunas1]])</f>
        <v>1</v>
      </c>
      <c r="F177" s="3"/>
      <c r="FK177" s="3">
        <v>1</v>
      </c>
    </row>
    <row r="178" spans="1:167" x14ac:dyDescent="0.25">
      <c r="A178" s="5" t="s">
        <v>1835</v>
      </c>
      <c r="B178" s="14" t="str">
        <f>VLOOKUP(TAB_ENTRADA[[#This Row],[Cod_2_Entrada]],TAB_ESTOQUE[[Codigo]:[Descrição Tecnica]],6,FALSE)</f>
        <v>MÓDULO DE SEGURANÇA P/ SIST. EMERGÊNCIA XPSAF5130 SCHNEIDER PREVENTA</v>
      </c>
      <c r="C178" s="14">
        <f>IFERROR(VLOOKUP(TAB_ENTRADA[[#This Row],[Cod_2_Entrada]],TAB_ESTOQUE[[Codigo]:[Referência Tec]],7,FALSE),"")</f>
        <v>0</v>
      </c>
      <c r="D178" s="14" t="str">
        <f>VLOOKUP(TAB_ENTRADA[[#This Row],[Cod_2_Entrada]],TAB_ESTOQUE[[Codigo]:[Endereço2]],12,FALSE)</f>
        <v>A2304</v>
      </c>
      <c r="E178" s="14">
        <f>SUM(TAB_ENTRADA[[#This Row],[20/05/2019]:[Colunas1]])</f>
        <v>1</v>
      </c>
      <c r="F178" s="3"/>
      <c r="FK178" s="3">
        <v>1</v>
      </c>
    </row>
    <row r="179" spans="1:167" x14ac:dyDescent="0.25">
      <c r="A179" s="5" t="s">
        <v>1836</v>
      </c>
      <c r="B179" s="14" t="str">
        <f>VLOOKUP(TAB_ENTRADA[[#This Row],[Cod_2_Entrada]],TAB_ESTOQUE[[Codigo]:[Descrição Tecnica]],6,FALSE)</f>
        <v>DISJUNTOR MONOPOLAR 2A SERIE CURVA C</v>
      </c>
      <c r="C179" s="14">
        <f>IFERROR(VLOOKUP(TAB_ENTRADA[[#This Row],[Cod_2_Entrada]],TAB_ESTOQUE[[Codigo]:[Referência Tec]],7,FALSE),"")</f>
        <v>0</v>
      </c>
      <c r="D179" s="14" t="str">
        <f>VLOOKUP(TAB_ENTRADA[[#This Row],[Cod_2_Entrada]],TAB_ESTOQUE[[Codigo]:[Endereço2]],12,FALSE)</f>
        <v>A1302</v>
      </c>
      <c r="E179" s="14">
        <f>SUM(TAB_ENTRADA[[#This Row],[20/05/2019]:[Colunas1]])</f>
        <v>0</v>
      </c>
      <c r="F179" s="3"/>
      <c r="FK179" s="3">
        <v>0</v>
      </c>
    </row>
    <row r="180" spans="1:167" x14ac:dyDescent="0.25">
      <c r="A180" s="5" t="s">
        <v>1837</v>
      </c>
      <c r="B180" s="14" t="str">
        <f>VLOOKUP(TAB_ENTRADA[[#This Row],[Cod_2_Entrada]],TAB_ESTOQUE[[Codigo]:[Descrição Tecnica]],6,FALSE)</f>
        <v>CONTROLADOR DE TEMPERATURA 6001 RDR01 supply: 100..240vac/dc 50/60Hz GEFRAN</v>
      </c>
      <c r="C180" s="14">
        <f>IFERROR(VLOOKUP(TAB_ENTRADA[[#This Row],[Cod_2_Entrada]],TAB_ESTOQUE[[Codigo]:[Referência Tec]],7,FALSE),"")</f>
        <v>0</v>
      </c>
      <c r="D180" s="14" t="str">
        <f>VLOOKUP(TAB_ENTRADA[[#This Row],[Cod_2_Entrada]],TAB_ESTOQUE[[Codigo]:[Endereço2]],12,FALSE)</f>
        <v>A2304</v>
      </c>
      <c r="E180" s="14">
        <f>SUM(TAB_ENTRADA[[#This Row],[20/05/2019]:[Colunas1]])</f>
        <v>4</v>
      </c>
      <c r="F180" s="3"/>
      <c r="FK180" s="3">
        <v>4</v>
      </c>
    </row>
    <row r="181" spans="1:167" x14ac:dyDescent="0.25">
      <c r="A181" s="5" t="s">
        <v>1838</v>
      </c>
      <c r="B181" s="14" t="str">
        <f>VLOOKUP(TAB_ENTRADA[[#This Row],[Cod_2_Entrada]],TAB_ESTOQUE[[Codigo]:[Descrição Tecnica]],6,FALSE)</f>
        <v>BOTÃO PULSADOR XB5AC21  PRETO</v>
      </c>
      <c r="C181" s="14">
        <f>IFERROR(VLOOKUP(TAB_ENTRADA[[#This Row],[Cod_2_Entrada]],TAB_ESTOQUE[[Codigo]:[Referência Tec]],7,FALSE),"")</f>
        <v>0</v>
      </c>
      <c r="D181" s="14" t="str">
        <f>VLOOKUP(TAB_ENTRADA[[#This Row],[Cod_2_Entrada]],TAB_ESTOQUE[[Codigo]:[Endereço2]],12,FALSE)</f>
        <v>A2304</v>
      </c>
      <c r="E181" s="14">
        <f>SUM(TAB_ENTRADA[[#This Row],[20/05/2019]:[Colunas1]])</f>
        <v>2</v>
      </c>
      <c r="F181" s="3"/>
      <c r="FK181" s="3">
        <v>2</v>
      </c>
    </row>
    <row r="182" spans="1:167" x14ac:dyDescent="0.25">
      <c r="A182" s="5" t="s">
        <v>1839</v>
      </c>
      <c r="B182" s="14" t="str">
        <f>VLOOKUP(TAB_ENTRADA[[#This Row],[Cod_2_Entrada]],TAB_ESTOQUE[[Codigo]:[Descrição Tecnica]],6,FALSE)</f>
        <v>COMUTADOR COM CHAVE 2 POSIÇÃO PRETO 22mm - SLCG8D0C</v>
      </c>
      <c r="C182" s="14">
        <f>IFERROR(VLOOKUP(TAB_ENTRADA[[#This Row],[Cod_2_Entrada]],TAB_ESTOQUE[[Codigo]:[Referência Tec]],7,FALSE),"")</f>
        <v>0</v>
      </c>
      <c r="D182" s="14" t="str">
        <f>VLOOKUP(TAB_ENTRADA[[#This Row],[Cod_2_Entrada]],TAB_ESTOQUE[[Codigo]:[Endereço2]],12,FALSE)</f>
        <v>A2305</v>
      </c>
      <c r="E182" s="14">
        <f>SUM(TAB_ENTRADA[[#This Row],[20/05/2019]:[Colunas1]])</f>
        <v>0</v>
      </c>
      <c r="F182" s="3"/>
      <c r="FK182" s="3">
        <v>0</v>
      </c>
    </row>
    <row r="183" spans="1:167" x14ac:dyDescent="0.25">
      <c r="A183" s="5" t="s">
        <v>1840</v>
      </c>
      <c r="B183" s="14" t="str">
        <f>VLOOKUP(TAB_ENTRADA[[#This Row],[Cod_2_Entrada]],TAB_ESTOQUE[[Codigo]:[Descrição Tecnica]],6,FALSE)</f>
        <v>SAIDA DO PONTO MODULAR TYPE:GRT1-0D8-1</v>
      </c>
      <c r="C183" s="14">
        <f>IFERROR(VLOOKUP(TAB_ENTRADA[[#This Row],[Cod_2_Entrada]],TAB_ESTOQUE[[Codigo]:[Referência Tec]],7,FALSE),"")</f>
        <v>0</v>
      </c>
      <c r="D183" s="14" t="str">
        <f>VLOOKUP(TAB_ENTRADA[[#This Row],[Cod_2_Entrada]],TAB_ESTOQUE[[Codigo]:[Endereço2]],12,FALSE)</f>
        <v>A2305</v>
      </c>
      <c r="E183" s="14">
        <f>SUM(TAB_ENTRADA[[#This Row],[20/05/2019]:[Colunas1]])</f>
        <v>2</v>
      </c>
      <c r="F183" s="3"/>
      <c r="FK183" s="3">
        <v>2</v>
      </c>
    </row>
    <row r="184" spans="1:167" x14ac:dyDescent="0.25">
      <c r="A184" s="5" t="s">
        <v>1841</v>
      </c>
      <c r="B184" s="14" t="str">
        <f>VLOOKUP(TAB_ENTRADA[[#This Row],[Cod_2_Entrada]],TAB_ESTOQUE[[Codigo]:[Descrição Tecnica]],6,FALSE)</f>
        <v>BOTOEIRA  C/ SINALIZAÇÃO AMARELO BHS - REF. TY-09C, 1NO Ø22MM BA9S VMAX 220V</v>
      </c>
      <c r="C184" s="14">
        <f>IFERROR(VLOOKUP(TAB_ENTRADA[[#This Row],[Cod_2_Entrada]],TAB_ESTOQUE[[Codigo]:[Referência Tec]],7,FALSE),"")</f>
        <v>0</v>
      </c>
      <c r="D184" s="14" t="str">
        <f>VLOOKUP(TAB_ENTRADA[[#This Row],[Cod_2_Entrada]],TAB_ESTOQUE[[Codigo]:[Endereço2]],12,FALSE)</f>
        <v>A2305</v>
      </c>
      <c r="E184" s="14">
        <f>SUM(TAB_ENTRADA[[#This Row],[20/05/2019]:[Colunas1]])</f>
        <v>3</v>
      </c>
      <c r="F184" s="3"/>
      <c r="FK184" s="3">
        <v>3</v>
      </c>
    </row>
    <row r="185" spans="1:167" x14ac:dyDescent="0.25">
      <c r="A185" s="5" t="s">
        <v>1842</v>
      </c>
      <c r="B185" s="14" t="str">
        <f>VLOOKUP(TAB_ENTRADA[[#This Row],[Cod_2_Entrada]],TAB_ESTOQUE[[Codigo]:[Descrição Tecnica]],6,FALSE)</f>
        <v>MÓDULO DE SEGURANÇA P/ SIST. EMERGÊNCIA SCHNEIDER PREVENTA  XPSAK311144</v>
      </c>
      <c r="C185" s="14">
        <f>IFERROR(VLOOKUP(TAB_ENTRADA[[#This Row],[Cod_2_Entrada]],TAB_ESTOQUE[[Codigo]:[Referência Tec]],7,FALSE),"")</f>
        <v>0</v>
      </c>
      <c r="D185" s="14" t="str">
        <f>VLOOKUP(TAB_ENTRADA[[#This Row],[Cod_2_Entrada]],TAB_ESTOQUE[[Codigo]:[Endereço2]],12,FALSE)</f>
        <v>A2304</v>
      </c>
      <c r="E185" s="14">
        <f>SUM(TAB_ENTRADA[[#This Row],[20/05/2019]:[Colunas1]])</f>
        <v>1</v>
      </c>
      <c r="F185" s="3"/>
      <c r="FK185" s="3">
        <v>1</v>
      </c>
    </row>
    <row r="186" spans="1:167" x14ac:dyDescent="0.25">
      <c r="A186" s="5" t="s">
        <v>1843</v>
      </c>
      <c r="B186" s="14" t="str">
        <f>VLOOKUP(TAB_ENTRADA[[#This Row],[Cod_2_Entrada]],TAB_ESTOQUE[[Codigo]:[Descrição Tecnica]],6,FALSE)</f>
        <v>BOTOEIRA  C/ SINALIZAÇÃO VERMELHO BHS - REF. TY-11E, 1NC Ø22MM BA9S VMAX 220V</v>
      </c>
      <c r="C186" s="14">
        <f>IFERROR(VLOOKUP(TAB_ENTRADA[[#This Row],[Cod_2_Entrada]],TAB_ESTOQUE[[Codigo]:[Referência Tec]],7,FALSE),"")</f>
        <v>0</v>
      </c>
      <c r="D186" s="14" t="str">
        <f>VLOOKUP(TAB_ENTRADA[[#This Row],[Cod_2_Entrada]],TAB_ESTOQUE[[Codigo]:[Endereço2]],12,FALSE)</f>
        <v>A2305</v>
      </c>
      <c r="E186" s="14">
        <f>SUM(TAB_ENTRADA[[#This Row],[20/05/2019]:[Colunas1]])</f>
        <v>0</v>
      </c>
      <c r="F186" s="3"/>
      <c r="FK186" s="3">
        <v>0</v>
      </c>
    </row>
    <row r="187" spans="1:167" x14ac:dyDescent="0.25">
      <c r="A187" s="5" t="s">
        <v>1844</v>
      </c>
      <c r="B187" s="14" t="str">
        <f>VLOOKUP(TAB_ENTRADA[[#This Row],[Cod_2_Entrada]],TAB_ESTOQUE[[Codigo]:[Descrição Tecnica]],6,FALSE)</f>
        <v>INVERSOR DA UNIDADE DAS FASES DE ENTRADA SERIE MX2  3G3MX2- A4015-V1 (OMRON)</v>
      </c>
      <c r="C187" s="14">
        <f>IFERROR(VLOOKUP(TAB_ENTRADA[[#This Row],[Cod_2_Entrada]],TAB_ESTOQUE[[Codigo]:[Referência Tec]],7,FALSE),"")</f>
        <v>0</v>
      </c>
      <c r="D187" s="14" t="str">
        <f>VLOOKUP(TAB_ENTRADA[[#This Row],[Cod_2_Entrada]],TAB_ESTOQUE[[Codigo]:[Endereço2]],12,FALSE)</f>
        <v>B1302</v>
      </c>
      <c r="E187" s="14">
        <f>SUM(TAB_ENTRADA[[#This Row],[20/05/2019]:[Colunas1]])</f>
        <v>1</v>
      </c>
      <c r="F187" s="3"/>
      <c r="FK187" s="3">
        <v>1</v>
      </c>
    </row>
    <row r="188" spans="1:167" x14ac:dyDescent="0.25">
      <c r="A188" s="5" t="s">
        <v>1845</v>
      </c>
      <c r="B188" s="14" t="str">
        <f>VLOOKUP(TAB_ENTRADA[[#This Row],[Cod_2_Entrada]],TAB_ESTOQUE[[Codigo]:[Descrição Tecnica]],6,FALSE)</f>
        <v>BOTÃO DE EMERGÊNCIA - REF. ZB2-BE102C, 2NC (SCHNEIDER)</v>
      </c>
      <c r="C188" s="14">
        <f>IFERROR(VLOOKUP(TAB_ENTRADA[[#This Row],[Cod_2_Entrada]],TAB_ESTOQUE[[Codigo]:[Referência Tec]],7,FALSE),"")</f>
        <v>0</v>
      </c>
      <c r="D188" s="14" t="str">
        <f>VLOOKUP(TAB_ENTRADA[[#This Row],[Cod_2_Entrada]],TAB_ESTOQUE[[Codigo]:[Endereço2]],12,FALSE)</f>
        <v>A2305</v>
      </c>
      <c r="E188" s="14">
        <f>SUM(TAB_ENTRADA[[#This Row],[20/05/2019]:[Colunas1]])</f>
        <v>0</v>
      </c>
      <c r="F188" s="3"/>
      <c r="FK188" s="3">
        <v>0</v>
      </c>
    </row>
    <row r="189" spans="1:167" x14ac:dyDescent="0.25">
      <c r="A189" s="5" t="s">
        <v>1846</v>
      </c>
      <c r="B189" s="14" t="str">
        <f>VLOOKUP(TAB_ENTRADA[[#This Row],[Cod_2_Entrada]],TAB_ESTOQUE[[Codigo]:[Descrição Tecnica]],6,FALSE)</f>
        <v xml:space="preserve">DISJUNTOR TRIPOLAR GV7-RE100  (SCHNEIDER) </v>
      </c>
      <c r="C189" s="14">
        <f>IFERROR(VLOOKUP(TAB_ENTRADA[[#This Row],[Cod_2_Entrada]],TAB_ESTOQUE[[Codigo]:[Referência Tec]],7,FALSE),"")</f>
        <v>0</v>
      </c>
      <c r="D189" s="14" t="str">
        <f>VLOOKUP(TAB_ENTRADA[[#This Row],[Cod_2_Entrada]],TAB_ESTOQUE[[Codigo]:[Endereço2]],12,FALSE)</f>
        <v>A2305</v>
      </c>
      <c r="E189" s="14">
        <f>SUM(TAB_ENTRADA[[#This Row],[20/05/2019]:[Colunas1]])</f>
        <v>1</v>
      </c>
      <c r="F189" s="3"/>
      <c r="FK189" s="3">
        <v>1</v>
      </c>
    </row>
    <row r="190" spans="1:167" x14ac:dyDescent="0.25">
      <c r="A190" s="5" t="s">
        <v>1847</v>
      </c>
      <c r="B190" s="14" t="str">
        <f>VLOOKUP(TAB_ENTRADA[[#This Row],[Cod_2_Entrada]],TAB_ESTOQUE[[Codigo]:[Descrição Tecnica]],6,FALSE)</f>
        <v>CABEÇA P/ BOTÃO DE EMERGÊNCIA  REF. 3SB3 000-1HA20 (SIEMENS)</v>
      </c>
      <c r="C190" s="14">
        <f>IFERROR(VLOOKUP(TAB_ENTRADA[[#This Row],[Cod_2_Entrada]],TAB_ESTOQUE[[Codigo]:[Referência Tec]],7,FALSE),"")</f>
        <v>0</v>
      </c>
      <c r="D190" s="14" t="str">
        <f>VLOOKUP(TAB_ENTRADA[[#This Row],[Cod_2_Entrada]],TAB_ESTOQUE[[Codigo]:[Endereço2]],12,FALSE)</f>
        <v>A2305</v>
      </c>
      <c r="E190" s="14">
        <f>SUM(TAB_ENTRADA[[#This Row],[20/05/2019]:[Colunas1]])</f>
        <v>19</v>
      </c>
      <c r="F190" s="3"/>
      <c r="FK190" s="3">
        <v>19</v>
      </c>
    </row>
    <row r="191" spans="1:167" x14ac:dyDescent="0.25">
      <c r="A191" s="5" t="s">
        <v>1848</v>
      </c>
      <c r="B191" s="14" t="str">
        <f>VLOOKUP(TAB_ENTRADA[[#This Row],[Cod_2_Entrada]],TAB_ESTOQUE[[Codigo]:[Descrição Tecnica]],6,FALSE)</f>
        <v>CONTACTOR TRIPOLAR 50A SCHNEIDER REF. LC1D50AP7</v>
      </c>
      <c r="C191" s="14">
        <f>IFERROR(VLOOKUP(TAB_ENTRADA[[#This Row],[Cod_2_Entrada]],TAB_ESTOQUE[[Codigo]:[Referência Tec]],7,FALSE),"")</f>
        <v>0</v>
      </c>
      <c r="D191" s="14" t="str">
        <f>VLOOKUP(TAB_ENTRADA[[#This Row],[Cod_2_Entrada]],TAB_ESTOQUE[[Codigo]:[Endereço2]],12,FALSE)</f>
        <v>A2305</v>
      </c>
      <c r="E191" s="14">
        <f>SUM(TAB_ENTRADA[[#This Row],[20/05/2019]:[Colunas1]])</f>
        <v>0</v>
      </c>
      <c r="F191" s="3"/>
      <c r="FK191" s="3">
        <v>0</v>
      </c>
    </row>
    <row r="192" spans="1:167" x14ac:dyDescent="0.25">
      <c r="A192" s="5" t="s">
        <v>1849</v>
      </c>
      <c r="B192" s="14" t="str">
        <f>VLOOKUP(TAB_ENTRADA[[#This Row],[Cod_2_Entrada]],TAB_ESTOQUE[[Codigo]:[Descrição Tecnica]],6,FALSE)</f>
        <v>BOTOEIRA PULSANTE XA2EA21  PRETO</v>
      </c>
      <c r="C192" s="14">
        <f>IFERROR(VLOOKUP(TAB_ENTRADA[[#This Row],[Cod_2_Entrada]],TAB_ESTOQUE[[Codigo]:[Referência Tec]],7,FALSE),"")</f>
        <v>0</v>
      </c>
      <c r="D192" s="14" t="str">
        <f>VLOOKUP(TAB_ENTRADA[[#This Row],[Cod_2_Entrada]],TAB_ESTOQUE[[Codigo]:[Endereço2]],12,FALSE)</f>
        <v>A2305</v>
      </c>
      <c r="E192" s="14">
        <f>SUM(TAB_ENTRADA[[#This Row],[20/05/2019]:[Colunas1]])</f>
        <v>0</v>
      </c>
      <c r="F192" s="3"/>
      <c r="FK192" s="3">
        <v>0</v>
      </c>
    </row>
    <row r="193" spans="1:167" x14ac:dyDescent="0.25">
      <c r="A193" s="5" t="s">
        <v>1850</v>
      </c>
      <c r="B193" s="14" t="str">
        <f>VLOOKUP(TAB_ENTRADA[[#This Row],[Cod_2_Entrada]],TAB_ESTOQUE[[Codigo]:[Descrição Tecnica]],6,FALSE)</f>
        <v>CARCAÇA PARA  INCERTO HAM 24 PINOS 1"</v>
      </c>
      <c r="C193" s="14">
        <f>IFERROR(VLOOKUP(TAB_ENTRADA[[#This Row],[Cod_2_Entrada]],TAB_ESTOQUE[[Codigo]:[Referência Tec]],7,FALSE),"")</f>
        <v>0</v>
      </c>
      <c r="D193" s="14" t="str">
        <f>VLOOKUP(TAB_ENTRADA[[#This Row],[Cod_2_Entrada]],TAB_ESTOQUE[[Codigo]:[Endereço2]],12,FALSE)</f>
        <v>A2306</v>
      </c>
      <c r="E193" s="14">
        <f>SUM(TAB_ENTRADA[[#This Row],[20/05/2019]:[Colunas1]])</f>
        <v>6</v>
      </c>
      <c r="F193" s="3"/>
      <c r="FK193" s="3">
        <v>6</v>
      </c>
    </row>
    <row r="194" spans="1:167" x14ac:dyDescent="0.25">
      <c r="A194" s="5" t="s">
        <v>1851</v>
      </c>
      <c r="B194" s="14" t="str">
        <f>VLOOKUP(TAB_ENTRADA[[#This Row],[Cod_2_Entrada]],TAB_ESTOQUE[[Codigo]:[Descrição Tecnica]],6,FALSE)</f>
        <v>INCERTO HAM  24 PINOS FEMEA</v>
      </c>
      <c r="C194" s="14">
        <f>IFERROR(VLOOKUP(TAB_ENTRADA[[#This Row],[Cod_2_Entrada]],TAB_ESTOQUE[[Codigo]:[Referência Tec]],7,FALSE),"")</f>
        <v>0</v>
      </c>
      <c r="D194" s="14" t="str">
        <f>VLOOKUP(TAB_ENTRADA[[#This Row],[Cod_2_Entrada]],TAB_ESTOQUE[[Codigo]:[Endereço2]],12,FALSE)</f>
        <v>A2406</v>
      </c>
      <c r="E194" s="14">
        <f>SUM(TAB_ENTRADA[[#This Row],[20/05/2019]:[Colunas1]])</f>
        <v>8</v>
      </c>
      <c r="F194" s="3"/>
      <c r="FK194" s="3">
        <v>8</v>
      </c>
    </row>
    <row r="195" spans="1:167" x14ac:dyDescent="0.25">
      <c r="A195" s="5" t="s">
        <v>1852</v>
      </c>
      <c r="B195" s="14" t="str">
        <f>VLOOKUP(TAB_ENTRADA[[#This Row],[Cod_2_Entrada]],TAB_ESTOQUE[[Codigo]:[Descrição Tecnica]],6,FALSE)</f>
        <v>INCERTO  HAM 24 PINOS MACHO</v>
      </c>
      <c r="C195" s="14">
        <f>IFERROR(VLOOKUP(TAB_ENTRADA[[#This Row],[Cod_2_Entrada]],TAB_ESTOQUE[[Codigo]:[Referência Tec]],7,FALSE),"")</f>
        <v>0</v>
      </c>
      <c r="D195" s="14" t="str">
        <f>VLOOKUP(TAB_ENTRADA[[#This Row],[Cod_2_Entrada]],TAB_ESTOQUE[[Codigo]:[Endereço2]],12,FALSE)</f>
        <v>A2406</v>
      </c>
      <c r="E195" s="14">
        <f>SUM(TAB_ENTRADA[[#This Row],[20/05/2019]:[Colunas1]])</f>
        <v>9</v>
      </c>
      <c r="F195" s="3"/>
      <c r="FK195" s="3">
        <v>9</v>
      </c>
    </row>
    <row r="196" spans="1:167" x14ac:dyDescent="0.25">
      <c r="A196" s="5" t="s">
        <v>1853</v>
      </c>
      <c r="B196" s="14" t="str">
        <f>VLOOKUP(TAB_ENTRADA[[#This Row],[Cod_2_Entrada]],TAB_ESTOQUE[[Codigo]:[Descrição Tecnica]],6,FALSE)</f>
        <v xml:space="preserve">CABO SEW 13354221.11/5,00 SN 1367146 </v>
      </c>
      <c r="C196" s="14">
        <f>IFERROR(VLOOKUP(TAB_ENTRADA[[#This Row],[Cod_2_Entrada]],TAB_ESTOQUE[[Codigo]:[Referência Tec]],7,FALSE),"")</f>
        <v>0</v>
      </c>
      <c r="D196" s="14" t="str">
        <f>VLOOKUP(TAB_ENTRADA[[#This Row],[Cod_2_Entrada]],TAB_ESTOQUE[[Codigo]:[Endereço2]],12,FALSE)</f>
        <v>B1405</v>
      </c>
      <c r="E196" s="14">
        <f>SUM(TAB_ENTRADA[[#This Row],[20/05/2019]:[Colunas1]])</f>
        <v>3</v>
      </c>
      <c r="F196" s="3"/>
      <c r="FK196" s="3">
        <v>3</v>
      </c>
    </row>
    <row r="197" spans="1:167" x14ac:dyDescent="0.25">
      <c r="A197" s="5" t="s">
        <v>1854</v>
      </c>
      <c r="B197" s="14" t="str">
        <f>VLOOKUP(TAB_ENTRADA[[#This Row],[Cod_2_Entrada]],TAB_ESTOQUE[[Codigo]:[Descrição Tecnica]],6,FALSE)</f>
        <v xml:space="preserve">CONTROLADOR DE TEMPERATURA code: F000175 TYPE 4T-96-4-01-0 SUPPLY: 11..27Vac/dc 50/60Hz 11VA VERS.: FW 3.24 </v>
      </c>
      <c r="C197" s="14">
        <f>IFERROR(VLOOKUP(TAB_ENTRADA[[#This Row],[Cod_2_Entrada]],TAB_ESTOQUE[[Codigo]:[Referência Tec]],7,FALSE),"")</f>
        <v>0</v>
      </c>
      <c r="D197" s="14" t="str">
        <f>VLOOKUP(TAB_ENTRADA[[#This Row],[Cod_2_Entrada]],TAB_ESTOQUE[[Codigo]:[Endereço2]],12,FALSE)</f>
        <v>A2402</v>
      </c>
      <c r="E197" s="14">
        <f>SUM(TAB_ENTRADA[[#This Row],[20/05/2019]:[Colunas1]])</f>
        <v>2</v>
      </c>
      <c r="F197" s="3"/>
      <c r="FK197" s="3">
        <v>2</v>
      </c>
    </row>
    <row r="198" spans="1:167" x14ac:dyDescent="0.25">
      <c r="A198" s="5" t="s">
        <v>1855</v>
      </c>
      <c r="B198" s="14" t="str">
        <f>VLOOKUP(TAB_ENTRADA[[#This Row],[Cod_2_Entrada]],TAB_ESTOQUE[[Codigo]:[Descrição Tecnica]],6,FALSE)</f>
        <v>SENSOR DE POSIÇÃO  GEFRAN PY-2-C-075</v>
      </c>
      <c r="C198" s="14">
        <f>IFERROR(VLOOKUP(TAB_ENTRADA[[#This Row],[Cod_2_Entrada]],TAB_ESTOQUE[[Codigo]:[Referência Tec]],7,FALSE),"")</f>
        <v>0</v>
      </c>
      <c r="D198" s="14" t="str">
        <f>VLOOKUP(TAB_ENTRADA[[#This Row],[Cod_2_Entrada]],TAB_ESTOQUE[[Codigo]:[Endereço2]],12,FALSE)</f>
        <v>A2402</v>
      </c>
      <c r="E198" s="14">
        <f>SUM(TAB_ENTRADA[[#This Row],[20/05/2019]:[Colunas1]])</f>
        <v>2</v>
      </c>
      <c r="F198" s="3"/>
      <c r="FK198" s="3">
        <v>2</v>
      </c>
    </row>
    <row r="199" spans="1:167" x14ac:dyDescent="0.25">
      <c r="A199" s="5" t="s">
        <v>1856</v>
      </c>
      <c r="B199" s="14" t="str">
        <f>VLOOKUP(TAB_ENTRADA[[#This Row],[Cod_2_Entrada]],TAB_ESTOQUE[[Codigo]:[Descrição Tecnica]],6,FALSE)</f>
        <v>CHAVE DE SEGURANÇA SCHMERSAL AZM 161CC-12/12RKA-024</v>
      </c>
      <c r="C199" s="14">
        <f>IFERROR(VLOOKUP(TAB_ENTRADA[[#This Row],[Cod_2_Entrada]],TAB_ESTOQUE[[Codigo]:[Referência Tec]],7,FALSE),"")</f>
        <v>0</v>
      </c>
      <c r="D199" s="14" t="str">
        <f>VLOOKUP(TAB_ENTRADA[[#This Row],[Cod_2_Entrada]],TAB_ESTOQUE[[Codigo]:[Endereço2]],12,FALSE)</f>
        <v>A2403</v>
      </c>
      <c r="E199" s="14">
        <f>SUM(TAB_ENTRADA[[#This Row],[20/05/2019]:[Colunas1]])</f>
        <v>3</v>
      </c>
      <c r="F199" s="3"/>
      <c r="FK199" s="3">
        <v>3</v>
      </c>
    </row>
    <row r="200" spans="1:167" x14ac:dyDescent="0.25">
      <c r="A200" s="5" t="s">
        <v>1857</v>
      </c>
      <c r="B200" s="14" t="str">
        <f>VLOOKUP(TAB_ENTRADA[[#This Row],[Cod_2_Entrada]],TAB_ESTOQUE[[Codigo]:[Descrição Tecnica]],6,FALSE)</f>
        <v>CHAVE DE SEGURANÇA SCHMERSAL  AZ 16-02ZVK-M16</v>
      </c>
      <c r="C200" s="14">
        <f>IFERROR(VLOOKUP(TAB_ENTRADA[[#This Row],[Cod_2_Entrada]],TAB_ESTOQUE[[Codigo]:[Referência Tec]],7,FALSE),"")</f>
        <v>0</v>
      </c>
      <c r="D200" s="14" t="str">
        <f>VLOOKUP(TAB_ENTRADA[[#This Row],[Cod_2_Entrada]],TAB_ESTOQUE[[Codigo]:[Endereço2]],12,FALSE)</f>
        <v>A2403</v>
      </c>
      <c r="E200" s="14">
        <f>SUM(TAB_ENTRADA[[#This Row],[20/05/2019]:[Colunas1]])</f>
        <v>2</v>
      </c>
      <c r="F200" s="3"/>
      <c r="FK200" s="3">
        <v>2</v>
      </c>
    </row>
    <row r="201" spans="1:167" x14ac:dyDescent="0.25">
      <c r="A201" s="5" t="s">
        <v>1858</v>
      </c>
      <c r="B201" s="14" t="str">
        <f>VLOOKUP(TAB_ENTRADA[[#This Row],[Cod_2_Entrada]],TAB_ESTOQUE[[Codigo]:[Descrição Tecnica]],6,FALSE)</f>
        <v>ACOPLAMENTO DE FIXAR STECK  N4206 32A-6H/380-440V 3P+ VERMELHO FEMEA</v>
      </c>
      <c r="C201" s="14">
        <f>IFERROR(VLOOKUP(TAB_ENTRADA[[#This Row],[Cod_2_Entrada]],TAB_ESTOQUE[[Codigo]:[Referência Tec]],7,FALSE),"")</f>
        <v>0</v>
      </c>
      <c r="D201" s="14" t="str">
        <f>VLOOKUP(TAB_ENTRADA[[#This Row],[Cod_2_Entrada]],TAB_ESTOQUE[[Codigo]:[Endereço2]],12,FALSE)</f>
        <v>A2404</v>
      </c>
      <c r="E201" s="14">
        <f>SUM(TAB_ENTRADA[[#This Row],[20/05/2019]:[Colunas1]])</f>
        <v>3</v>
      </c>
      <c r="F201" s="3"/>
      <c r="FK201" s="3">
        <v>3</v>
      </c>
    </row>
    <row r="202" spans="1:167" x14ac:dyDescent="0.25">
      <c r="A202" s="5" t="s">
        <v>1859</v>
      </c>
      <c r="B202" s="14" t="str">
        <f>VLOOKUP(TAB_ENTRADA[[#This Row],[Cod_2_Entrada]],TAB_ESTOQUE[[Codigo]:[Descrição Tecnica]],6,FALSE)</f>
        <v>DISJUNTOR MOTOR WEG MPW40-3-D063 1,6 - 2,5A</v>
      </c>
      <c r="C202" s="14">
        <f>IFERROR(VLOOKUP(TAB_ENTRADA[[#This Row],[Cod_2_Entrada]],TAB_ESTOQUE[[Codigo]:[Referência Tec]],7,FALSE),"")</f>
        <v>0</v>
      </c>
      <c r="D202" s="14" t="str">
        <f>VLOOKUP(TAB_ENTRADA[[#This Row],[Cod_2_Entrada]],TAB_ESTOQUE[[Codigo]:[Endereço2]],12,FALSE)</f>
        <v>A2403</v>
      </c>
      <c r="E202" s="14">
        <f>SUM(TAB_ENTRADA[[#This Row],[20/05/2019]:[Colunas1]])</f>
        <v>0</v>
      </c>
      <c r="F202" s="3"/>
      <c r="FK202" s="3">
        <v>0</v>
      </c>
    </row>
    <row r="203" spans="1:167" x14ac:dyDescent="0.25">
      <c r="A203" s="5" t="s">
        <v>1860</v>
      </c>
      <c r="B203" s="14" t="str">
        <f>VLOOKUP(TAB_ENTRADA[[#This Row],[Cod_2_Entrada]],TAB_ESTOQUE[[Codigo]:[Descrição Tecnica]],6,FALSE)</f>
        <v>DISJUNTOR MOTOR WEG MPW40-3-U004 2.5-4A</v>
      </c>
      <c r="C203" s="14">
        <f>IFERROR(VLOOKUP(TAB_ENTRADA[[#This Row],[Cod_2_Entrada]],TAB_ESTOQUE[[Codigo]:[Referência Tec]],7,FALSE),"")</f>
        <v>0</v>
      </c>
      <c r="D203" s="14" t="str">
        <f>VLOOKUP(TAB_ENTRADA[[#This Row],[Cod_2_Entrada]],TAB_ESTOQUE[[Codigo]:[Endereço2]],12,FALSE)</f>
        <v>A2403</v>
      </c>
      <c r="E203" s="14">
        <f>SUM(TAB_ENTRADA[[#This Row],[20/05/2019]:[Colunas1]])</f>
        <v>0</v>
      </c>
      <c r="F203" s="3"/>
      <c r="FK203" s="3">
        <v>0</v>
      </c>
    </row>
    <row r="204" spans="1:167" x14ac:dyDescent="0.25">
      <c r="A204" s="5" t="s">
        <v>1861</v>
      </c>
      <c r="B204" s="14" t="str">
        <f>VLOOKUP(TAB_ENTRADA[[#This Row],[Cod_2_Entrada]],TAB_ESTOQUE[[Codigo]:[Descrição Tecnica]],6,FALSE)</f>
        <v xml:space="preserve">DISJUNTOR MOTOR WEG MPW40-3-D063 4-6,3A </v>
      </c>
      <c r="C204" s="14">
        <f>IFERROR(VLOOKUP(TAB_ENTRADA[[#This Row],[Cod_2_Entrada]],TAB_ESTOQUE[[Codigo]:[Referência Tec]],7,FALSE),"")</f>
        <v>0</v>
      </c>
      <c r="D204" s="14" t="str">
        <f>VLOOKUP(TAB_ENTRADA[[#This Row],[Cod_2_Entrada]],TAB_ESTOQUE[[Codigo]:[Endereço2]],12,FALSE)</f>
        <v>G1102</v>
      </c>
      <c r="E204" s="14">
        <f>SUM(TAB_ENTRADA[[#This Row],[20/05/2019]:[Colunas1]])</f>
        <v>0</v>
      </c>
      <c r="F204" s="3"/>
      <c r="FK204" s="3">
        <v>0</v>
      </c>
    </row>
    <row r="205" spans="1:167" x14ac:dyDescent="0.25">
      <c r="A205" s="5" t="s">
        <v>1862</v>
      </c>
      <c r="B205" s="14" t="str">
        <f>VLOOKUP(TAB_ENTRADA[[#This Row],[Cod_2_Entrada]],TAB_ESTOQUE[[Codigo]:[Descrição Tecnica]],6,FALSE)</f>
        <v>DISJUNTOR MOTOR WEG MPW40-3-D063 10 - 16A</v>
      </c>
      <c r="C205" s="14">
        <f>IFERROR(VLOOKUP(TAB_ENTRADA[[#This Row],[Cod_2_Entrada]],TAB_ESTOQUE[[Codigo]:[Referência Tec]],7,FALSE),"")</f>
        <v>0</v>
      </c>
      <c r="D205" s="14" t="str">
        <f>VLOOKUP(TAB_ENTRADA[[#This Row],[Cod_2_Entrada]],TAB_ESTOQUE[[Codigo]:[Endereço2]],12,FALSE)</f>
        <v>A2403</v>
      </c>
      <c r="E205" s="14">
        <f>SUM(TAB_ENTRADA[[#This Row],[20/05/2019]:[Colunas1]])</f>
        <v>0</v>
      </c>
      <c r="F205" s="3"/>
      <c r="FK205" s="3">
        <v>0</v>
      </c>
    </row>
    <row r="206" spans="1:167" x14ac:dyDescent="0.25">
      <c r="A206" s="5" t="s">
        <v>1863</v>
      </c>
      <c r="B206" s="14" t="str">
        <f>VLOOKUP(TAB_ENTRADA[[#This Row],[Cod_2_Entrada]],TAB_ESTOQUE[[Codigo]:[Descrição Tecnica]],6,FALSE)</f>
        <v>DISJUNTOR MOTOR WEG MPW40-3-D063 20-25A</v>
      </c>
      <c r="C206" s="14">
        <f>IFERROR(VLOOKUP(TAB_ENTRADA[[#This Row],[Cod_2_Entrada]],TAB_ESTOQUE[[Codigo]:[Referência Tec]],7,FALSE),"")</f>
        <v>0</v>
      </c>
      <c r="D206" s="14" t="str">
        <f>VLOOKUP(TAB_ENTRADA[[#This Row],[Cod_2_Entrada]],TAB_ESTOQUE[[Codigo]:[Endereço2]],12,FALSE)</f>
        <v>A2403</v>
      </c>
      <c r="E206" s="14">
        <f>SUM(TAB_ENTRADA[[#This Row],[20/05/2019]:[Colunas1]])</f>
        <v>0</v>
      </c>
      <c r="F206" s="3"/>
      <c r="FK206" s="3">
        <v>0</v>
      </c>
    </row>
    <row r="207" spans="1:167" x14ac:dyDescent="0.25">
      <c r="A207" s="5" t="s">
        <v>1864</v>
      </c>
      <c r="B207" s="14" t="str">
        <f>VLOOKUP(TAB_ENTRADA[[#This Row],[Cod_2_Entrada]],TAB_ESTOQUE[[Codigo]:[Descrição Tecnica]],6,FALSE)</f>
        <v>ACOPLAMENTO STECK TLP16442 16A-9H 200-250V 3P+ VERMELHO MACHO</v>
      </c>
      <c r="C207" s="14">
        <f>IFERROR(VLOOKUP(TAB_ENTRADA[[#This Row],[Cod_2_Entrada]],TAB_ESTOQUE[[Codigo]:[Referência Tec]],7,FALSE),"")</f>
        <v>0</v>
      </c>
      <c r="D207" s="14" t="str">
        <f>VLOOKUP(TAB_ENTRADA[[#This Row],[Cod_2_Entrada]],TAB_ESTOQUE[[Codigo]:[Endereço2]],12,FALSE)</f>
        <v>A2404</v>
      </c>
      <c r="E207" s="14">
        <f>SUM(TAB_ENTRADA[[#This Row],[20/05/2019]:[Colunas1]])</f>
        <v>0</v>
      </c>
      <c r="F207" s="3"/>
      <c r="FK207" s="3">
        <v>0</v>
      </c>
    </row>
    <row r="208" spans="1:167" x14ac:dyDescent="0.25">
      <c r="A208" s="5" t="s">
        <v>1865</v>
      </c>
      <c r="B208" s="14" t="str">
        <f>VLOOKUP(TAB_ENTRADA[[#This Row],[Cod_2_Entrada]],TAB_ESTOQUE[[Codigo]:[Descrição Tecnica]],6,FALSE)</f>
        <v>ACOPLAMENTO LUKMA 3P+T 16A 380/440V 6H VM N4076 VERMELHO MACHO</v>
      </c>
      <c r="C208" s="14">
        <f>IFERROR(VLOOKUP(TAB_ENTRADA[[#This Row],[Cod_2_Entrada]],TAB_ESTOQUE[[Codigo]:[Referência Tec]],7,FALSE),"")</f>
        <v>0</v>
      </c>
      <c r="D208" s="14" t="str">
        <f>VLOOKUP(TAB_ENTRADA[[#This Row],[Cod_2_Entrada]],TAB_ESTOQUE[[Codigo]:[Endereço2]],12,FALSE)</f>
        <v>A2404</v>
      </c>
      <c r="E208" s="14">
        <f>SUM(TAB_ENTRADA[[#This Row],[20/05/2019]:[Colunas1]])</f>
        <v>3</v>
      </c>
      <c r="F208" s="3"/>
      <c r="FK208" s="3">
        <v>3</v>
      </c>
    </row>
    <row r="209" spans="1:167" x14ac:dyDescent="0.25">
      <c r="A209" s="5" t="s">
        <v>1866</v>
      </c>
      <c r="B209" s="14" t="str">
        <f>VLOOKUP(TAB_ENTRADA[[#This Row],[Cod_2_Entrada]],TAB_ESTOQUE[[Codigo]:[Descrição Tecnica]],6,FALSE)</f>
        <v>INTERRUPTOR HORARIO CCT15720 IHP</v>
      </c>
      <c r="C209" s="14">
        <f>IFERROR(VLOOKUP(TAB_ENTRADA[[#This Row],[Cod_2_Entrada]],TAB_ESTOQUE[[Codigo]:[Referência Tec]],7,FALSE),"")</f>
        <v>0</v>
      </c>
      <c r="D209" s="14" t="str">
        <f>VLOOKUP(TAB_ENTRADA[[#This Row],[Cod_2_Entrada]],TAB_ESTOQUE[[Codigo]:[Endereço2]],12,FALSE)</f>
        <v>A2405</v>
      </c>
      <c r="E209" s="14">
        <f>SUM(TAB_ENTRADA[[#This Row],[20/05/2019]:[Colunas1]])</f>
        <v>9</v>
      </c>
      <c r="F209" s="3"/>
      <c r="FK209" s="3">
        <v>9</v>
      </c>
    </row>
    <row r="210" spans="1:167" x14ac:dyDescent="0.25">
      <c r="A210" s="5" t="s">
        <v>1867</v>
      </c>
      <c r="B210" s="14" t="str">
        <f>VLOOKUP(TAB_ENTRADA[[#This Row],[Cod_2_Entrada]],TAB_ESTOQUE[[Codigo]:[Descrição Tecnica]],6,FALSE)</f>
        <v>SENSOR FIM DE CURSO 3SE5232-0HK80</v>
      </c>
      <c r="C210" s="14">
        <f>IFERROR(VLOOKUP(TAB_ENTRADA[[#This Row],[Cod_2_Entrada]],TAB_ESTOQUE[[Codigo]:[Referência Tec]],7,FALSE),"")</f>
        <v>0</v>
      </c>
      <c r="D210" s="14" t="str">
        <f>VLOOKUP(TAB_ENTRADA[[#This Row],[Cod_2_Entrada]],TAB_ESTOQUE[[Codigo]:[Endereço2]],12,FALSE)</f>
        <v>A2405</v>
      </c>
      <c r="E210" s="14">
        <f>SUM(TAB_ENTRADA[[#This Row],[20/05/2019]:[Colunas1]])</f>
        <v>2</v>
      </c>
      <c r="F210" s="3"/>
      <c r="FK210" s="3">
        <v>2</v>
      </c>
    </row>
    <row r="211" spans="1:167" x14ac:dyDescent="0.25">
      <c r="A211" s="5" t="s">
        <v>1868</v>
      </c>
      <c r="B211" s="14" t="str">
        <f>VLOOKUP(TAB_ENTRADA[[#This Row],[Cod_2_Entrada]],TAB_ESTOQUE[[Codigo]:[Descrição Tecnica]],6,FALSE)</f>
        <v>CAPA ROBO DEVILBISS COM 522 TRANS-TECH</v>
      </c>
      <c r="C211" s="14">
        <f>IFERROR(VLOOKUP(TAB_ENTRADA[[#This Row],[Cod_2_Entrada]],TAB_ESTOQUE[[Codigo]:[Referência Tec]],7,FALSE),"")</f>
        <v>0</v>
      </c>
      <c r="D211" s="14" t="str">
        <f>VLOOKUP(TAB_ENTRADA[[#This Row],[Cod_2_Entrada]],TAB_ESTOQUE[[Codigo]:[Endereço2]],12,FALSE)</f>
        <v>E2303</v>
      </c>
      <c r="E211" s="14">
        <f>SUM(TAB_ENTRADA[[#This Row],[20/05/2019]:[Colunas1]])</f>
        <v>1</v>
      </c>
      <c r="F211" s="3"/>
      <c r="FK211" s="3">
        <v>1</v>
      </c>
    </row>
    <row r="212" spans="1:167" x14ac:dyDescent="0.25">
      <c r="A212" s="5" t="s">
        <v>1869</v>
      </c>
      <c r="B212" s="14" t="str">
        <f>VLOOKUP(TAB_ENTRADA[[#This Row],[Cod_2_Entrada]],TAB_ESTOQUE[[Codigo]:[Descrição Tecnica]],6,FALSE)</f>
        <v>ABRAÇADEIRA MS 212</v>
      </c>
      <c r="C212" s="14">
        <f>IFERROR(VLOOKUP(TAB_ENTRADA[[#This Row],[Cod_2_Entrada]],TAB_ESTOQUE[[Codigo]:[Referência Tec]],7,FALSE),"")</f>
        <v>0</v>
      </c>
      <c r="D212" s="14" t="str">
        <f>VLOOKUP(TAB_ENTRADA[[#This Row],[Cod_2_Entrada]],TAB_ESTOQUE[[Codigo]:[Endereço2]],12,FALSE)</f>
        <v>F1403</v>
      </c>
      <c r="E212" s="14">
        <f>SUM(TAB_ENTRADA[[#This Row],[20/05/2019]:[Colunas1]])</f>
        <v>2</v>
      </c>
      <c r="F212" s="3"/>
      <c r="FK212" s="3">
        <v>2</v>
      </c>
    </row>
    <row r="213" spans="1:167" x14ac:dyDescent="0.25">
      <c r="A213" s="5" t="s">
        <v>1870</v>
      </c>
      <c r="B213" s="14" t="str">
        <f>VLOOKUP(TAB_ENTRADA[[#This Row],[Cod_2_Entrada]],TAB_ESTOQUE[[Codigo]:[Descrição Tecnica]],6,FALSE)</f>
        <v>PRENSA TERMINAL DE AÇO  20MM</v>
      </c>
      <c r="C213" s="14">
        <f>IFERROR(VLOOKUP(TAB_ENTRADA[[#This Row],[Cod_2_Entrada]],TAB_ESTOQUE[[Codigo]:[Referência Tec]],7,FALSE),"")</f>
        <v>0</v>
      </c>
      <c r="D213" s="14" t="str">
        <f>VLOOKUP(TAB_ENTRADA[[#This Row],[Cod_2_Entrada]],TAB_ESTOQUE[[Codigo]:[Endereço2]],12,FALSE)</f>
        <v>A1202</v>
      </c>
      <c r="E213" s="14">
        <f>SUM(TAB_ENTRADA[[#This Row],[20/05/2019]:[Colunas1]])</f>
        <v>0</v>
      </c>
      <c r="F213" s="3"/>
      <c r="FK213" s="3">
        <v>0</v>
      </c>
    </row>
    <row r="214" spans="1:167" x14ac:dyDescent="0.25">
      <c r="A214" s="5" t="s">
        <v>1871</v>
      </c>
      <c r="B214" s="14" t="str">
        <f>VLOOKUP(TAB_ENTRADA[[#This Row],[Cod_2_Entrada]],TAB_ESTOQUE[[Codigo]:[Descrição Tecnica]],6,FALSE)</f>
        <v>TERMINAL LUVA PARA CABO 50MM</v>
      </c>
      <c r="C214" s="14">
        <f>IFERROR(VLOOKUP(TAB_ENTRADA[[#This Row],[Cod_2_Entrada]],TAB_ESTOQUE[[Codigo]:[Referência Tec]],7,FALSE),"")</f>
        <v>0</v>
      </c>
      <c r="D214" s="14" t="str">
        <f>VLOOKUP(TAB_ENTRADA[[#This Row],[Cod_2_Entrada]],TAB_ESTOQUE[[Codigo]:[Endereço2]],12,FALSE)</f>
        <v>A1202</v>
      </c>
      <c r="E214" s="14">
        <f>SUM(TAB_ENTRADA[[#This Row],[20/05/2019]:[Colunas1]])</f>
        <v>15</v>
      </c>
      <c r="F214" s="3"/>
      <c r="FK214" s="3">
        <v>15</v>
      </c>
    </row>
    <row r="215" spans="1:167" x14ac:dyDescent="0.25">
      <c r="A215" s="5" t="s">
        <v>1872</v>
      </c>
      <c r="B215" s="14" t="str">
        <f>VLOOKUP(TAB_ENTRADA[[#This Row],[Cod_2_Entrada]],TAB_ESTOQUE[[Codigo]:[Descrição Tecnica]],6,FALSE)</f>
        <v>PRENSA TERMINAL DE AÇO  10MM</v>
      </c>
      <c r="C215" s="14">
        <f>IFERROR(VLOOKUP(TAB_ENTRADA[[#This Row],[Cod_2_Entrada]],TAB_ESTOQUE[[Codigo]:[Referência Tec]],7,FALSE),"")</f>
        <v>0</v>
      </c>
      <c r="D215" s="14" t="str">
        <f>VLOOKUP(TAB_ENTRADA[[#This Row],[Cod_2_Entrada]],TAB_ESTOQUE[[Codigo]:[Endereço2]],12,FALSE)</f>
        <v>A1202</v>
      </c>
      <c r="E215" s="14">
        <f>SUM(TAB_ENTRADA[[#This Row],[20/05/2019]:[Colunas1]])</f>
        <v>105</v>
      </c>
      <c r="F215" s="3"/>
      <c r="FK215" s="3">
        <v>105</v>
      </c>
    </row>
    <row r="216" spans="1:167" x14ac:dyDescent="0.25">
      <c r="A216" s="5" t="s">
        <v>1873</v>
      </c>
      <c r="B216" s="14" t="str">
        <f>VLOOKUP(TAB_ENTRADA[[#This Row],[Cod_2_Entrada]],TAB_ESTOQUE[[Codigo]:[Descrição Tecnica]],6,FALSE)</f>
        <v>PRENSA TERMINAL DE AÇO  95MM</v>
      </c>
      <c r="C216" s="14">
        <f>IFERROR(VLOOKUP(TAB_ENTRADA[[#This Row],[Cod_2_Entrada]],TAB_ESTOQUE[[Codigo]:[Referência Tec]],7,FALSE),"")</f>
        <v>0</v>
      </c>
      <c r="D216" s="14" t="str">
        <f>VLOOKUP(TAB_ENTRADA[[#This Row],[Cod_2_Entrada]],TAB_ESTOQUE[[Codigo]:[Endereço2]],12,FALSE)</f>
        <v>A1202</v>
      </c>
      <c r="E216" s="14">
        <f>SUM(TAB_ENTRADA[[#This Row],[20/05/2019]:[Colunas1]])</f>
        <v>16</v>
      </c>
      <c r="F216" s="3"/>
      <c r="FK216" s="3">
        <v>16</v>
      </c>
    </row>
    <row r="217" spans="1:167" x14ac:dyDescent="0.25">
      <c r="A217" s="5" t="s">
        <v>1874</v>
      </c>
      <c r="B217" s="14" t="str">
        <f>VLOOKUP(TAB_ENTRADA[[#This Row],[Cod_2_Entrada]],TAB_ESTOQUE[[Codigo]:[Descrição Tecnica]],6,FALSE)</f>
        <v>PRENSA TERMINAL DE AÇO  70MM</v>
      </c>
      <c r="C217" s="14">
        <f>IFERROR(VLOOKUP(TAB_ENTRADA[[#This Row],[Cod_2_Entrada]],TAB_ESTOQUE[[Codigo]:[Referência Tec]],7,FALSE),"")</f>
        <v>0</v>
      </c>
      <c r="D217" s="14" t="str">
        <f>VLOOKUP(TAB_ENTRADA[[#This Row],[Cod_2_Entrada]],TAB_ESTOQUE[[Codigo]:[Endereço2]],12,FALSE)</f>
        <v>A1202</v>
      </c>
      <c r="E217" s="14">
        <f>SUM(TAB_ENTRADA[[#This Row],[20/05/2019]:[Colunas1]])</f>
        <v>97</v>
      </c>
      <c r="F217" s="3"/>
      <c r="FK217" s="3">
        <v>97</v>
      </c>
    </row>
    <row r="218" spans="1:167" x14ac:dyDescent="0.25">
      <c r="A218" s="5" t="s">
        <v>1875</v>
      </c>
      <c r="B218" s="14" t="str">
        <f>VLOOKUP(TAB_ENTRADA[[#This Row],[Cod_2_Entrada]],TAB_ESTOQUE[[Codigo]:[Descrição Tecnica]],6,FALSE)</f>
        <v>INVERSOR DE FREQUÊNCIA EM DRIVE FIT4P34-0150-5BFLS</v>
      </c>
      <c r="C218" s="14">
        <f>IFERROR(VLOOKUP(TAB_ENTRADA[[#This Row],[Cod_2_Entrada]],TAB_ESTOQUE[[Codigo]:[Referência Tec]],7,FALSE),"")</f>
        <v>0</v>
      </c>
      <c r="D218" s="14" t="str">
        <f>VLOOKUP(TAB_ENTRADA[[#This Row],[Cod_2_Entrada]],TAB_ESTOQUE[[Codigo]:[Endereço2]],12,FALSE)</f>
        <v>B1301</v>
      </c>
      <c r="E218" s="14">
        <f>SUM(TAB_ENTRADA[[#This Row],[20/05/2019]:[Colunas1]])</f>
        <v>2</v>
      </c>
      <c r="F218" s="3"/>
      <c r="FK218" s="3">
        <v>2</v>
      </c>
    </row>
    <row r="219" spans="1:167" x14ac:dyDescent="0.25">
      <c r="A219" s="5" t="s">
        <v>1876</v>
      </c>
      <c r="B219" s="14" t="str">
        <f>VLOOKUP(TAB_ENTRADA[[#This Row],[Cod_2_Entrada]],TAB_ESTOQUE[[Codigo]:[Descrição Tecnica]],6,FALSE)</f>
        <v>MODULO AMPLIFICADOR VT-MSPA 1-1-12/V010 (MNR:R900 70 2060) (REXROTH)</v>
      </c>
      <c r="C219" s="14">
        <f>IFERROR(VLOOKUP(TAB_ENTRADA[[#This Row],[Cod_2_Entrada]],TAB_ESTOQUE[[Codigo]:[Referência Tec]],7,FALSE),"")</f>
        <v>0</v>
      </c>
      <c r="D219" s="14" t="str">
        <f>VLOOKUP(TAB_ENTRADA[[#This Row],[Cod_2_Entrada]],TAB_ESTOQUE[[Codigo]:[Endereço2]],12,FALSE)</f>
        <v>B1202</v>
      </c>
      <c r="E219" s="14">
        <f>SUM(TAB_ENTRADA[[#This Row],[20/05/2019]:[Colunas1]])</f>
        <v>1</v>
      </c>
      <c r="F219" s="3"/>
      <c r="FK219" s="3">
        <v>1</v>
      </c>
    </row>
    <row r="220" spans="1:167" x14ac:dyDescent="0.25">
      <c r="A220" s="5" t="s">
        <v>1877</v>
      </c>
      <c r="B220" s="14" t="str">
        <f>VLOOKUP(TAB_ENTRADA[[#This Row],[Cod_2_Entrada]],TAB_ESTOQUE[[Codigo]:[Descrição Tecnica]],6,FALSE)</f>
        <v>MÓDULO AMPLIFICADOR VT- 11118-10 (MNR:R900211788)  (REXROTH)</v>
      </c>
      <c r="C220" s="14">
        <f>IFERROR(VLOOKUP(TAB_ENTRADA[[#This Row],[Cod_2_Entrada]],TAB_ESTOQUE[[Codigo]:[Referência Tec]],7,FALSE),"")</f>
        <v>0</v>
      </c>
      <c r="D220" s="14" t="str">
        <f>VLOOKUP(TAB_ENTRADA[[#This Row],[Cod_2_Entrada]],TAB_ESTOQUE[[Codigo]:[Endereço2]],12,FALSE)</f>
        <v>B1202</v>
      </c>
      <c r="E220" s="14">
        <f>SUM(TAB_ENTRADA[[#This Row],[20/05/2019]:[Colunas1]])</f>
        <v>1</v>
      </c>
      <c r="F220" s="3"/>
      <c r="FK220" s="3">
        <v>1</v>
      </c>
    </row>
    <row r="221" spans="1:167" x14ac:dyDescent="0.25">
      <c r="A221" s="5" t="s">
        <v>1878</v>
      </c>
      <c r="B221" s="14" t="str">
        <f>VLOOKUP(TAB_ENTRADA[[#This Row],[Cod_2_Entrada]],TAB_ESTOQUE[[Codigo]:[Descrição Tecnica]],6,FALSE)</f>
        <v>DISJUNTOR MODULAR TRIPOLAR NG 4P-125A-300mA-A NG125 19042</v>
      </c>
      <c r="C221" s="14">
        <f>IFERROR(VLOOKUP(TAB_ENTRADA[[#This Row],[Cod_2_Entrada]],TAB_ESTOQUE[[Codigo]:[Referência Tec]],7,FALSE),"")</f>
        <v>0</v>
      </c>
      <c r="D221" s="14" t="str">
        <f>VLOOKUP(TAB_ENTRADA[[#This Row],[Cod_2_Entrada]],TAB_ESTOQUE[[Codigo]:[Endereço2]],12,FALSE)</f>
        <v>B1202</v>
      </c>
      <c r="E221" s="14">
        <f>SUM(TAB_ENTRADA[[#This Row],[20/05/2019]:[Colunas1]])</f>
        <v>1</v>
      </c>
      <c r="F221" s="3"/>
      <c r="FK221" s="3">
        <v>1</v>
      </c>
    </row>
    <row r="222" spans="1:167" x14ac:dyDescent="0.25">
      <c r="A222" s="5" t="s">
        <v>1879</v>
      </c>
      <c r="B222" s="14" t="str">
        <f>VLOOKUP(TAB_ENTRADA[[#This Row],[Cod_2_Entrada]],TAB_ESTOQUE[[Codigo]:[Descrição Tecnica]],6,FALSE)</f>
        <v>RELE DE SEGURANÇA EU 410-UM 3TS IDENTE: 6026136 (SICK)</v>
      </c>
      <c r="C222" s="14">
        <f>IFERROR(VLOOKUP(TAB_ENTRADA[[#This Row],[Cod_2_Entrada]],TAB_ESTOQUE[[Codigo]:[Referência Tec]],7,FALSE),"")</f>
        <v>0</v>
      </c>
      <c r="D222" s="14" t="str">
        <f>VLOOKUP(TAB_ENTRADA[[#This Row],[Cod_2_Entrada]],TAB_ESTOQUE[[Codigo]:[Endereço2]],12,FALSE)</f>
        <v>B1205</v>
      </c>
      <c r="E222" s="14">
        <f>SUM(TAB_ENTRADA[[#This Row],[20/05/2019]:[Colunas1]])</f>
        <v>1</v>
      </c>
      <c r="F222" s="3"/>
      <c r="FK222" s="3">
        <v>1</v>
      </c>
    </row>
    <row r="223" spans="1:167" x14ac:dyDescent="0.25">
      <c r="A223" s="5" t="s">
        <v>1880</v>
      </c>
      <c r="B223" s="14" t="str">
        <f>VLOOKUP(TAB_ENTRADA[[#This Row],[Cod_2_Entrada]],TAB_ESTOQUE[[Codigo]:[Descrição Tecnica]],6,FALSE)</f>
        <v>PLC SIEMENS  S7-1500 6ES7 511-1AK01-0AB0</v>
      </c>
      <c r="C223" s="14">
        <f>IFERROR(VLOOKUP(TAB_ENTRADA[[#This Row],[Cod_2_Entrada]],TAB_ESTOQUE[[Codigo]:[Referência Tec]],7,FALSE),"")</f>
        <v>0</v>
      </c>
      <c r="D223" s="14" t="str">
        <f>VLOOKUP(TAB_ENTRADA[[#This Row],[Cod_2_Entrada]],TAB_ESTOQUE[[Codigo]:[Endereço2]],12,FALSE)</f>
        <v>B1202</v>
      </c>
      <c r="E223" s="14">
        <f>SUM(TAB_ENTRADA[[#This Row],[20/05/2019]:[Colunas1]])</f>
        <v>1</v>
      </c>
      <c r="F223" s="3"/>
      <c r="FK223" s="3">
        <v>1</v>
      </c>
    </row>
    <row r="224" spans="1:167" x14ac:dyDescent="0.25">
      <c r="A224" s="5" t="s">
        <v>1881</v>
      </c>
      <c r="B224" s="14" t="str">
        <f>VLOOKUP(TAB_ENTRADA[[#This Row],[Cod_2_Entrada]],TAB_ESTOQUE[[Codigo]:[Descrição Tecnica]],6,FALSE)</f>
        <v>TRANSMISSOR DE PASSAGEM 138802230012 (GM 8802C( A - 220223+4-20mA)</v>
      </c>
      <c r="C224" s="14">
        <f>IFERROR(VLOOKUP(TAB_ENTRADA[[#This Row],[Cod_2_Entrada]],TAB_ESTOQUE[[Codigo]:[Referência Tec]],7,FALSE),"")</f>
        <v>0</v>
      </c>
      <c r="D224" s="14" t="str">
        <f>VLOOKUP(TAB_ENTRADA[[#This Row],[Cod_2_Entrada]],TAB_ESTOQUE[[Codigo]:[Endereço2]],12,FALSE)</f>
        <v>B1202</v>
      </c>
      <c r="E224" s="14">
        <f>SUM(TAB_ENTRADA[[#This Row],[20/05/2019]:[Colunas1]])</f>
        <v>1</v>
      </c>
      <c r="F224" s="3"/>
      <c r="FK224" s="3">
        <v>1</v>
      </c>
    </row>
    <row r="225" spans="1:167" x14ac:dyDescent="0.25">
      <c r="A225" s="5" t="s">
        <v>1882</v>
      </c>
      <c r="B225" s="14" t="str">
        <f>VLOOKUP(TAB_ENTRADA[[#This Row],[Cod_2_Entrada]],TAB_ESTOQUE[[Codigo]:[Descrição Tecnica]],6,FALSE)</f>
        <v>MÓDULO DE ENTRADA DIGITAL PROFISAFE 4/8F-DI DC24 SIEMENS SIMATIC ET200S 6ES7 138-4FA05-0AB0</v>
      </c>
      <c r="C225" s="14">
        <f>IFERROR(VLOOKUP(TAB_ENTRADA[[#This Row],[Cod_2_Entrada]],TAB_ESTOQUE[[Codigo]:[Referência Tec]],7,FALSE),"")</f>
        <v>0</v>
      </c>
      <c r="D225" s="14" t="str">
        <f>VLOOKUP(TAB_ENTRADA[[#This Row],[Cod_2_Entrada]],TAB_ESTOQUE[[Codigo]:[Endereço2]],12,FALSE)</f>
        <v>B1203</v>
      </c>
      <c r="E225" s="14">
        <f>SUM(TAB_ENTRADA[[#This Row],[20/05/2019]:[Colunas1]])</f>
        <v>1</v>
      </c>
      <c r="F225" s="3"/>
      <c r="FK225" s="3">
        <v>1</v>
      </c>
    </row>
    <row r="226" spans="1:167" x14ac:dyDescent="0.25">
      <c r="A226" s="5" t="s">
        <v>1883</v>
      </c>
      <c r="B226" s="14" t="str">
        <f>VLOOKUP(TAB_ENTRADA[[#This Row],[Cod_2_Entrada]],TAB_ESTOQUE[[Codigo]:[Descrição Tecnica]],6,FALSE)</f>
        <v>MÓDULO DE SAÍDA DIGITAL PROFISAFE 4F-DO DC24V/2A SIEMENS SIMATIC ET-200 6ES7 138-4FB04-0AB0</v>
      </c>
      <c r="C226" s="14">
        <f>IFERROR(VLOOKUP(TAB_ENTRADA[[#This Row],[Cod_2_Entrada]],TAB_ESTOQUE[[Codigo]:[Referência Tec]],7,FALSE),"")</f>
        <v>0</v>
      </c>
      <c r="D226" s="14" t="str">
        <f>VLOOKUP(TAB_ENTRADA[[#This Row],[Cod_2_Entrada]],TAB_ESTOQUE[[Codigo]:[Endereço2]],12,FALSE)</f>
        <v>B1203</v>
      </c>
      <c r="E226" s="14">
        <f>SUM(TAB_ENTRADA[[#This Row],[20/05/2019]:[Colunas1]])</f>
        <v>1</v>
      </c>
      <c r="F226" s="3"/>
      <c r="FK226" s="3">
        <v>1</v>
      </c>
    </row>
    <row r="227" spans="1:167" x14ac:dyDescent="0.25">
      <c r="A227" s="5" t="s">
        <v>1884</v>
      </c>
      <c r="B227" s="14" t="str">
        <f>VLOOKUP(TAB_ENTRADA[[#This Row],[Cod_2_Entrada]],TAB_ESTOQUE[[Codigo]:[Descrição Tecnica]],6,FALSE)</f>
        <v>MÓDULO TERMINAL SIEMENS SIMATIC ET200S 6ES7 193-4CE10-0AA0</v>
      </c>
      <c r="C227" s="14">
        <f>IFERROR(VLOOKUP(TAB_ENTRADA[[#This Row],[Cod_2_Entrada]],TAB_ESTOQUE[[Codigo]:[Referência Tec]],7,FALSE),"")</f>
        <v>0</v>
      </c>
      <c r="D227" s="14" t="str">
        <f>VLOOKUP(TAB_ENTRADA[[#This Row],[Cod_2_Entrada]],TAB_ESTOQUE[[Codigo]:[Endereço2]],12,FALSE)</f>
        <v>B1203</v>
      </c>
      <c r="E227" s="14">
        <f>SUM(TAB_ENTRADA[[#This Row],[20/05/2019]:[Colunas1]])</f>
        <v>1</v>
      </c>
      <c r="F227" s="3"/>
      <c r="FK227" s="3">
        <v>1</v>
      </c>
    </row>
    <row r="228" spans="1:167" x14ac:dyDescent="0.25">
      <c r="A228" s="5" t="s">
        <v>1885</v>
      </c>
      <c r="B228" s="14" t="str">
        <f>VLOOKUP(TAB_ENTRADA[[#This Row],[Cod_2_Entrada]],TAB_ESTOQUE[[Codigo]:[Descrição Tecnica]],6,FALSE)</f>
        <v>MÓDULO DE ENTRADA DIGITAL 8 DI DC24 SIEMENS SIMATIC ET200S 6ES7 131-4BF00-0AA0</v>
      </c>
      <c r="C228" s="14">
        <f>IFERROR(VLOOKUP(TAB_ENTRADA[[#This Row],[Cod_2_Entrada]],TAB_ESTOQUE[[Codigo]:[Referência Tec]],7,FALSE),"")</f>
        <v>0</v>
      </c>
      <c r="D228" s="14" t="str">
        <f>VLOOKUP(TAB_ENTRADA[[#This Row],[Cod_2_Entrada]],TAB_ESTOQUE[[Codigo]:[Endereço2]],12,FALSE)</f>
        <v>B1203</v>
      </c>
      <c r="E228" s="14">
        <f>SUM(TAB_ENTRADA[[#This Row],[20/05/2019]:[Colunas1]])</f>
        <v>5</v>
      </c>
      <c r="F228" s="3"/>
      <c r="FK228" s="3">
        <v>5</v>
      </c>
    </row>
    <row r="229" spans="1:167" x14ac:dyDescent="0.25">
      <c r="A229" s="5" t="s">
        <v>1886</v>
      </c>
      <c r="B229" s="14" t="str">
        <f>VLOOKUP(TAB_ENTRADA[[#This Row],[Cod_2_Entrada]],TAB_ESTOQUE[[Codigo]:[Descrição Tecnica]],6,FALSE)</f>
        <v>MÓDULO DE SAÍDAS DIGITAIL 8 DO DC24V/0.5A SIEMENS SIMATIC ET200S 6ES7 132-4BF00-0AA0</v>
      </c>
      <c r="C229" s="14">
        <f>IFERROR(VLOOKUP(TAB_ENTRADA[[#This Row],[Cod_2_Entrada]],TAB_ESTOQUE[[Codigo]:[Referência Tec]],7,FALSE),"")</f>
        <v>0</v>
      </c>
      <c r="D229" s="14" t="str">
        <f>VLOOKUP(TAB_ENTRADA[[#This Row],[Cod_2_Entrada]],TAB_ESTOQUE[[Codigo]:[Endereço2]],12,FALSE)</f>
        <v>B1203</v>
      </c>
      <c r="E229" s="14">
        <f>SUM(TAB_ENTRADA[[#This Row],[20/05/2019]:[Colunas1]])</f>
        <v>7</v>
      </c>
      <c r="F229" s="3"/>
      <c r="FK229" s="3">
        <v>7</v>
      </c>
    </row>
    <row r="230" spans="1:167" x14ac:dyDescent="0.25">
      <c r="A230" s="5" t="s">
        <v>1887</v>
      </c>
      <c r="B230" s="14" t="str">
        <f>VLOOKUP(TAB_ENTRADA[[#This Row],[Cod_2_Entrada]],TAB_ESTOQUE[[Codigo]:[Descrição Tecnica]],6,FALSE)</f>
        <v>ADAPTADOR DEVICENET SMARTSLICE 64POSITION 24V DC GRT1-DRT (OMRON)</v>
      </c>
      <c r="C230" s="14">
        <f>IFERROR(VLOOKUP(TAB_ENTRADA[[#This Row],[Cod_2_Entrada]],TAB_ESTOQUE[[Codigo]:[Referência Tec]],7,FALSE),"")</f>
        <v>0</v>
      </c>
      <c r="D230" s="14" t="str">
        <f>VLOOKUP(TAB_ENTRADA[[#This Row],[Cod_2_Entrada]],TAB_ESTOQUE[[Codigo]:[Endereço2]],12,FALSE)</f>
        <v>B1103</v>
      </c>
      <c r="E230" s="14">
        <f>SUM(TAB_ENTRADA[[#This Row],[20/05/2019]:[Colunas1]])</f>
        <v>1</v>
      </c>
      <c r="F230" s="3"/>
      <c r="FK230" s="3">
        <v>1</v>
      </c>
    </row>
    <row r="231" spans="1:167" x14ac:dyDescent="0.25">
      <c r="A231" s="5" t="s">
        <v>1888</v>
      </c>
      <c r="B231" s="14" t="str">
        <f>VLOOKUP(TAB_ENTRADA[[#This Row],[Cod_2_Entrada]],TAB_ESTOQUE[[Codigo]:[Descrição Tecnica]],6,FALSE)</f>
        <v>FONTE DE ALIMENTAÇÃO TRIFÁSICA PSS-B24-240S 24VDC-10A COD:164225 240W</v>
      </c>
      <c r="C231" s="14">
        <f>IFERROR(VLOOKUP(TAB_ENTRADA[[#This Row],[Cod_2_Entrada]],TAB_ESTOQUE[[Codigo]:[Referência Tec]],7,FALSE),"")</f>
        <v>0</v>
      </c>
      <c r="D231" s="14" t="str">
        <f>VLOOKUP(TAB_ENTRADA[[#This Row],[Cod_2_Entrada]],TAB_ESTOQUE[[Codigo]:[Endereço2]],12,FALSE)</f>
        <v>G1104</v>
      </c>
      <c r="E231" s="14">
        <f>SUM(TAB_ENTRADA[[#This Row],[20/05/2019]:[Colunas1]])</f>
        <v>2</v>
      </c>
      <c r="F231" s="3"/>
      <c r="FK231" s="3">
        <v>2</v>
      </c>
    </row>
    <row r="232" spans="1:167" x14ac:dyDescent="0.25">
      <c r="A232" s="5" t="s">
        <v>1889</v>
      </c>
      <c r="B232" s="14" t="str">
        <f>VLOOKUP(TAB_ENTRADA[[#This Row],[Cod_2_Entrada]],TAB_ESTOQUE[[Codigo]:[Descrição Tecnica]],6,FALSE)</f>
        <v>MÓDULO PROFIBUS MICROMASTER 4 SIEMENS - REF. 6SE6400-1PB00-0AA0</v>
      </c>
      <c r="C232" s="14">
        <f>IFERROR(VLOOKUP(TAB_ENTRADA[[#This Row],[Cod_2_Entrada]],TAB_ESTOQUE[[Codigo]:[Referência Tec]],7,FALSE),"")</f>
        <v>0</v>
      </c>
      <c r="D232" s="14" t="str">
        <f>VLOOKUP(TAB_ENTRADA[[#This Row],[Cod_2_Entrada]],TAB_ESTOQUE[[Codigo]:[Endereço2]],12,FALSE)</f>
        <v>B1204</v>
      </c>
      <c r="E232" s="14">
        <f>SUM(TAB_ENTRADA[[#This Row],[20/05/2019]:[Colunas1]])</f>
        <v>1</v>
      </c>
      <c r="F232" s="3"/>
      <c r="FK232" s="3">
        <v>1</v>
      </c>
    </row>
    <row r="233" spans="1:167" x14ac:dyDescent="0.25">
      <c r="A233" s="5" t="s">
        <v>1890</v>
      </c>
      <c r="B233" s="14" t="str">
        <f>VLOOKUP(TAB_ENTRADA[[#This Row],[Cod_2_Entrada]],TAB_ESTOQUE[[Codigo]:[Descrição Tecnica]],6,FALSE)</f>
        <v>MÓDULO DE SAÍDAS ANALÓGICAS 2 AO VOLTAGE STANDARD SIEMENS SIMATIC ET200S 6ES7 135-4FB01-0AB0</v>
      </c>
      <c r="C233" s="14">
        <f>IFERROR(VLOOKUP(TAB_ENTRADA[[#This Row],[Cod_2_Entrada]],TAB_ESTOQUE[[Codigo]:[Referência Tec]],7,FALSE),"")</f>
        <v>0</v>
      </c>
      <c r="D233" s="14" t="str">
        <f>VLOOKUP(TAB_ENTRADA[[#This Row],[Cod_2_Entrada]],TAB_ESTOQUE[[Codigo]:[Endereço2]],12,FALSE)</f>
        <v>B1204</v>
      </c>
      <c r="E233" s="14">
        <f>SUM(TAB_ENTRADA[[#This Row],[20/05/2019]:[Colunas1]])</f>
        <v>0</v>
      </c>
      <c r="F233" s="3"/>
      <c r="FK233" s="3">
        <v>0</v>
      </c>
    </row>
    <row r="234" spans="1:167" x14ac:dyDescent="0.25">
      <c r="A234" s="5" t="s">
        <v>1891</v>
      </c>
      <c r="B234" s="14" t="str">
        <f>VLOOKUP(TAB_ENTRADA[[#This Row],[Cod_2_Entrada]],TAB_ESTOQUE[[Codigo]:[Descrição Tecnica]],6,FALSE)</f>
        <v>MÓDULO DE ENTRADAS ANALÓGICAS 2 AI - 2WIRE STANDARD SIEMENS SIMATIC ET200S 6ES7 134-4GB01-0AB0</v>
      </c>
      <c r="C234" s="14">
        <f>IFERROR(VLOOKUP(TAB_ENTRADA[[#This Row],[Cod_2_Entrada]],TAB_ESTOQUE[[Codigo]:[Referência Tec]],7,FALSE),"")</f>
        <v>0</v>
      </c>
      <c r="D234" s="14" t="str">
        <f>VLOOKUP(TAB_ENTRADA[[#This Row],[Cod_2_Entrada]],TAB_ESTOQUE[[Codigo]:[Endereço2]],12,FALSE)</f>
        <v>B1204</v>
      </c>
      <c r="E234" s="14">
        <f>SUM(TAB_ENTRADA[[#This Row],[20/05/2019]:[Colunas1]])</f>
        <v>5</v>
      </c>
      <c r="F234" s="3"/>
      <c r="FK234" s="3">
        <v>5</v>
      </c>
    </row>
    <row r="235" spans="1:167" x14ac:dyDescent="0.25">
      <c r="A235" s="5" t="s">
        <v>1892</v>
      </c>
      <c r="B235" s="14" t="str">
        <f>VLOOKUP(TAB_ENTRADA[[#This Row],[Cod_2_Entrada]],TAB_ESTOQUE[[Codigo]:[Descrição Tecnica]],6,FALSE)</f>
        <v>MÓDULO FONTE PM-E DC24V STANDARD SIEMENS SIMATIC ET200S 6ES7 138-4CA01-0AA0</v>
      </c>
      <c r="C235" s="14" t="str">
        <f>IFERROR(VLOOKUP(TAB_ENTRADA[[#This Row],[Cod_2_Entrada]],TAB_ESTOQUE[[Codigo]:[Referência Tec]],7,FALSE),"")</f>
        <v xml:space="preserve"> </v>
      </c>
      <c r="D235" s="14" t="str">
        <f>VLOOKUP(TAB_ENTRADA[[#This Row],[Cod_2_Entrada]],TAB_ESTOQUE[[Codigo]:[Endereço2]],12,FALSE)</f>
        <v>B1204</v>
      </c>
      <c r="E235" s="14">
        <f>SUM(TAB_ENTRADA[[#This Row],[20/05/2019]:[Colunas1]])</f>
        <v>6</v>
      </c>
      <c r="F235" s="3"/>
      <c r="FK235" s="3">
        <v>6</v>
      </c>
    </row>
    <row r="236" spans="1:167" x14ac:dyDescent="0.25">
      <c r="A236" s="5" t="s">
        <v>1893</v>
      </c>
      <c r="B236" s="14" t="str">
        <f>VLOOKUP(TAB_ENTRADA[[#This Row],[Cod_2_Entrada]],TAB_ESTOQUE[[Codigo]:[Descrição Tecnica]],6,FALSE)</f>
        <v>PONTO DE ENTRADA DA UNIDADE PNP GRT1-ID8-1</v>
      </c>
      <c r="C236" s="14">
        <f>IFERROR(VLOOKUP(TAB_ENTRADA[[#This Row],[Cod_2_Entrada]],TAB_ESTOQUE[[Codigo]:[Referência Tec]],7,FALSE),"")</f>
        <v>0</v>
      </c>
      <c r="D236" s="14" t="str">
        <f>VLOOKUP(TAB_ENTRADA[[#This Row],[Cod_2_Entrada]],TAB_ESTOQUE[[Codigo]:[Endereço2]],12,FALSE)</f>
        <v>B1204</v>
      </c>
      <c r="E236" s="14">
        <f>SUM(TAB_ENTRADA[[#This Row],[20/05/2019]:[Colunas1]])</f>
        <v>4</v>
      </c>
      <c r="F236" s="3"/>
      <c r="FK236" s="3">
        <v>4</v>
      </c>
    </row>
    <row r="237" spans="1:167" x14ac:dyDescent="0.25">
      <c r="A237" s="5" t="s">
        <v>1894</v>
      </c>
      <c r="B237" s="14" t="str">
        <f>VLOOKUP(TAB_ENTRADA[[#This Row],[Cod_2_Entrada]],TAB_ESTOQUE[[Codigo]:[Descrição Tecnica]],6,FALSE)</f>
        <v>SOFTSTARTER SIEMENS 37KW AC200-480V 3RW4038-1BB04</v>
      </c>
      <c r="C237" s="14">
        <f>IFERROR(VLOOKUP(TAB_ENTRADA[[#This Row],[Cod_2_Entrada]],TAB_ESTOQUE[[Codigo]:[Referência Tec]],7,FALSE),"")</f>
        <v>0</v>
      </c>
      <c r="D237" s="14" t="str">
        <f>VLOOKUP(TAB_ENTRADA[[#This Row],[Cod_2_Entrada]],TAB_ESTOQUE[[Codigo]:[Endereço2]],12,FALSE)</f>
        <v>B1205</v>
      </c>
      <c r="E237" s="14">
        <f>SUM(TAB_ENTRADA[[#This Row],[20/05/2019]:[Colunas1]])</f>
        <v>0</v>
      </c>
      <c r="F237" s="3"/>
      <c r="FK237" s="3">
        <v>0</v>
      </c>
    </row>
    <row r="238" spans="1:167" x14ac:dyDescent="0.25">
      <c r="A238" s="5" t="s">
        <v>1895</v>
      </c>
      <c r="B238" s="14" t="str">
        <f>VLOOKUP(TAB_ENTRADA[[#This Row],[Cod_2_Entrada]],TAB_ESTOQUE[[Codigo]:[Descrição Tecnica]],6,FALSE)</f>
        <v xml:space="preserve">TRANSMISSOR DE  NÍVEL , 10…A60cm,  0 a 10V/4 a 20 Ma - Cod:LR3000 </v>
      </c>
      <c r="C238" s="14">
        <f>IFERROR(VLOOKUP(TAB_ENTRADA[[#This Row],[Cod_2_Entrada]],TAB_ESTOQUE[[Codigo]:[Referência Tec]],7,FALSE),"")</f>
        <v>0</v>
      </c>
      <c r="D238" s="14" t="str">
        <f>VLOOKUP(TAB_ENTRADA[[#This Row],[Cod_2_Entrada]],TAB_ESTOQUE[[Codigo]:[Endereço2]],12,FALSE)</f>
        <v>G1104</v>
      </c>
      <c r="E238" s="14">
        <f>SUM(TAB_ENTRADA[[#This Row],[20/05/2019]:[Colunas1]])</f>
        <v>0</v>
      </c>
      <c r="F238" s="3"/>
      <c r="FK238" s="3">
        <v>0</v>
      </c>
    </row>
    <row r="239" spans="1:167" x14ac:dyDescent="0.25">
      <c r="A239" s="5" t="s">
        <v>1896</v>
      </c>
      <c r="B239" s="14" t="str">
        <f>VLOOKUP(TAB_ENTRADA[[#This Row],[Cod_2_Entrada]],TAB_ESTOQUE[[Codigo]:[Descrição Tecnica]],6,FALSE)</f>
        <v>MÓDULO INTERFACE IM 151-8F PN/DP CPU ET200S 6ES7 151-8FB01-0AB0 ( SIEMENS)</v>
      </c>
      <c r="C239" s="14">
        <f>IFERROR(VLOOKUP(TAB_ENTRADA[[#This Row],[Cod_2_Entrada]],TAB_ESTOQUE[[Codigo]:[Referência Tec]],7,FALSE),"")</f>
        <v>0</v>
      </c>
      <c r="D239" s="14" t="str">
        <f>VLOOKUP(TAB_ENTRADA[[#This Row],[Cod_2_Entrada]],TAB_ESTOQUE[[Codigo]:[Endereço2]],12,FALSE)</f>
        <v>B1205</v>
      </c>
      <c r="E239" s="14">
        <f>SUM(TAB_ENTRADA[[#This Row],[20/05/2019]:[Colunas1]])</f>
        <v>1</v>
      </c>
      <c r="F239" s="3"/>
      <c r="FK239" s="3">
        <v>1</v>
      </c>
    </row>
    <row r="240" spans="1:167" x14ac:dyDescent="0.25">
      <c r="A240" s="5" t="s">
        <v>1897</v>
      </c>
      <c r="B240" s="14" t="str">
        <f>VLOOKUP(TAB_ENTRADA[[#This Row],[Cod_2_Entrada]],TAB_ESTOQUE[[Codigo]:[Descrição Tecnica]],6,FALSE)</f>
        <v>MÓDULO TERMINAL DP TM-E15C24-01 SIEMENS SIMATIC ET200S 6ES7 193-4CG30-0AA0</v>
      </c>
      <c r="C240" s="14">
        <f>IFERROR(VLOOKUP(TAB_ENTRADA[[#This Row],[Cod_2_Entrada]],TAB_ESTOQUE[[Codigo]:[Referência Tec]],7,FALSE),"")</f>
        <v>0</v>
      </c>
      <c r="D240" s="14" t="str">
        <f>VLOOKUP(TAB_ENTRADA[[#This Row],[Cod_2_Entrada]],TAB_ESTOQUE[[Codigo]:[Endereço2]],12,FALSE)</f>
        <v>B1203</v>
      </c>
      <c r="E240" s="14">
        <f>SUM(TAB_ENTRADA[[#This Row],[20/05/2019]:[Colunas1]])</f>
        <v>1</v>
      </c>
      <c r="F240" s="3"/>
      <c r="FK240" s="3">
        <v>1</v>
      </c>
    </row>
    <row r="241" spans="1:211" x14ac:dyDescent="0.25">
      <c r="A241" s="5" t="s">
        <v>1898</v>
      </c>
      <c r="B241" s="14" t="str">
        <f>VLOOKUP(TAB_ENTRADA[[#This Row],[Cod_2_Entrada]],TAB_ESTOQUE[[Codigo]:[Descrição Tecnica]],6,FALSE)</f>
        <v>ENTRADA DO MODULO DE FORÇA  24VDC INPUT GRT1-PD2 MODULE, FEDD 1/0 POWER 24VDC INPUT</v>
      </c>
      <c r="C241" s="14">
        <f>IFERROR(VLOOKUP(TAB_ENTRADA[[#This Row],[Cod_2_Entrada]],TAB_ESTOQUE[[Codigo]:[Referência Tec]],7,FALSE),"")</f>
        <v>0</v>
      </c>
      <c r="D241" s="14" t="str">
        <f>VLOOKUP(TAB_ENTRADA[[#This Row],[Cod_2_Entrada]],TAB_ESTOQUE[[Codigo]:[Endereço2]],12,FALSE)</f>
        <v>B1204</v>
      </c>
      <c r="E241" s="14">
        <f>SUM(TAB_ENTRADA[[#This Row],[20/05/2019]:[Colunas1]])</f>
        <v>2</v>
      </c>
      <c r="F241" s="3"/>
      <c r="FK241" s="3">
        <v>2</v>
      </c>
    </row>
    <row r="242" spans="1:211" x14ac:dyDescent="0.25">
      <c r="A242" s="5" t="s">
        <v>1899</v>
      </c>
      <c r="B242" s="14" t="str">
        <f>VLOOKUP(TAB_ENTRADA[[#This Row],[Cod_2_Entrada]],TAB_ESTOQUE[[Codigo]:[Descrição Tecnica]],6,FALSE)</f>
        <v>MOTO REDUTOR NMRV 040  (MOTOR CE MS 711-4 SN NO 1512-047)</v>
      </c>
      <c r="C242" s="14">
        <f>IFERROR(VLOOKUP(TAB_ENTRADA[[#This Row],[Cod_2_Entrada]],TAB_ESTOQUE[[Codigo]:[Referência Tec]],7,FALSE),"")</f>
        <v>0</v>
      </c>
      <c r="D242" s="14" t="str">
        <f>VLOOKUP(TAB_ENTRADA[[#This Row],[Cod_2_Entrada]],TAB_ESTOQUE[[Codigo]:[Endereço2]],12,FALSE)</f>
        <v>E2103</v>
      </c>
      <c r="E242" s="14">
        <f>SUM(TAB_ENTRADA[[#This Row],[20/05/2019]:[Colunas1]])</f>
        <v>2</v>
      </c>
      <c r="F242" s="3"/>
      <c r="FK242" s="3">
        <v>2</v>
      </c>
    </row>
    <row r="243" spans="1:211" x14ac:dyDescent="0.25">
      <c r="A243" s="5" t="s">
        <v>1900</v>
      </c>
      <c r="B243" s="14" t="str">
        <f>VLOOKUP(TAB_ENTRADA[[#This Row],[Cod_2_Entrada]],TAB_ESTOQUE[[Codigo]:[Descrição Tecnica]],6,FALSE)</f>
        <v>CABOS SIEMENS 6XV1840-2AH10</v>
      </c>
      <c r="C243" s="14">
        <f>IFERROR(VLOOKUP(TAB_ENTRADA[[#This Row],[Cod_2_Entrada]],TAB_ESTOQUE[[Codigo]:[Referência Tec]],7,FALSE),"")</f>
        <v>0</v>
      </c>
      <c r="D243" s="14" t="str">
        <f>VLOOKUP(TAB_ENTRADA[[#This Row],[Cod_2_Entrada]],TAB_ESTOQUE[[Codigo]:[Endereço2]],12,FALSE)</f>
        <v>B1306</v>
      </c>
      <c r="E243" s="14">
        <f>SUM(TAB_ENTRADA[[#This Row],[20/05/2019]:[Colunas1]])</f>
        <v>100</v>
      </c>
      <c r="F243" s="3"/>
      <c r="FK243" s="3">
        <v>100</v>
      </c>
    </row>
    <row r="244" spans="1:211" x14ac:dyDescent="0.25">
      <c r="A244" s="5" t="s">
        <v>1901</v>
      </c>
      <c r="B244" s="14" t="str">
        <f>VLOOKUP(TAB_ENTRADA[[#This Row],[Cod_2_Entrada]],TAB_ESTOQUE[[Codigo]:[Descrição Tecnica]],6,FALSE)</f>
        <v>INVERSOR DE FREQUÊNCIA SIEMENS MICROMASTER 440 6SE6440-2UD27-5CA1</v>
      </c>
      <c r="C244" s="14">
        <f>IFERROR(VLOOKUP(TAB_ENTRADA[[#This Row],[Cod_2_Entrada]],TAB_ESTOQUE[[Codigo]:[Referência Tec]],7,FALSE),"")</f>
        <v>0</v>
      </c>
      <c r="D244" s="14" t="str">
        <f>VLOOKUP(TAB_ENTRADA[[#This Row],[Cod_2_Entrada]],TAB_ESTOQUE[[Codigo]:[Endereço2]],12,FALSE)</f>
        <v>B1302</v>
      </c>
      <c r="E244" s="14">
        <f>SUM(TAB_ENTRADA[[#This Row],[20/05/2019]:[Colunas1]])</f>
        <v>2</v>
      </c>
      <c r="F244" s="3"/>
      <c r="FK244" s="3">
        <v>2</v>
      </c>
    </row>
    <row r="245" spans="1:211" x14ac:dyDescent="0.25">
      <c r="A245" s="5" t="s">
        <v>1902</v>
      </c>
      <c r="B245" s="14" t="str">
        <f>VLOOKUP(TAB_ENTRADA[[#This Row],[Cod_2_Entrada]],TAB_ESTOQUE[[Codigo]:[Descrição Tecnica]],6,FALSE)</f>
        <v>INVERSOR DE FREQUÊNCIA SIEMENS MICROMASTER 420 6SE6420-2UD22-2BA1</v>
      </c>
      <c r="C245" s="14">
        <f>IFERROR(VLOOKUP(TAB_ENTRADA[[#This Row],[Cod_2_Entrada]],TAB_ESTOQUE[[Codigo]:[Referência Tec]],7,FALSE),"")</f>
        <v>0</v>
      </c>
      <c r="D245" s="14" t="str">
        <f>VLOOKUP(TAB_ENTRADA[[#This Row],[Cod_2_Entrada]],TAB_ESTOQUE[[Codigo]:[Endereço2]],12,FALSE)</f>
        <v>B1302</v>
      </c>
      <c r="E245" s="14">
        <f>SUM(TAB_ENTRADA[[#This Row],[20/05/2019]:[Colunas1]])</f>
        <v>1</v>
      </c>
      <c r="F245" s="3"/>
      <c r="FK245" s="3">
        <v>1</v>
      </c>
    </row>
    <row r="246" spans="1:211" x14ac:dyDescent="0.25">
      <c r="A246" s="5" t="s">
        <v>1903</v>
      </c>
      <c r="B246" s="14" t="str">
        <f>VLOOKUP(TAB_ENTRADA[[#This Row],[Cod_2_Entrada]],TAB_ESTOQUE[[Codigo]:[Descrição Tecnica]],6,FALSE)</f>
        <v>CONTACTOR LC1E95M7 120A  45KW</v>
      </c>
      <c r="C246" s="14">
        <f>IFERROR(VLOOKUP(TAB_ENTRADA[[#This Row],[Cod_2_Entrada]],TAB_ESTOQUE[[Codigo]:[Referência Tec]],7,FALSE),"")</f>
        <v>0</v>
      </c>
      <c r="D246" s="14" t="str">
        <f>VLOOKUP(TAB_ENTRADA[[#This Row],[Cod_2_Entrada]],TAB_ESTOQUE[[Codigo]:[Endereço2]],12,FALSE)</f>
        <v>B2103</v>
      </c>
      <c r="E246" s="14">
        <f>SUM(TAB_ENTRADA[[#This Row],[20/05/2019]:[Colunas1]])</f>
        <v>5</v>
      </c>
      <c r="F246" s="3"/>
      <c r="FK246" s="3">
        <v>1</v>
      </c>
      <c r="HC246" s="3">
        <v>4</v>
      </c>
    </row>
    <row r="247" spans="1:211" x14ac:dyDescent="0.25">
      <c r="A247" s="5" t="s">
        <v>1904</v>
      </c>
      <c r="B247" s="14" t="str">
        <f>VLOOKUP(TAB_ENTRADA[[#This Row],[Cod_2_Entrada]],TAB_ESTOQUE[[Codigo]:[Descrição Tecnica]],6,FALSE)</f>
        <v>BLOCO DE CONTATO AUXILIAR LADN22 IEC 60947-5-1 (SCHNEIDER)</v>
      </c>
      <c r="C247" s="14">
        <f>IFERROR(VLOOKUP(TAB_ENTRADA[[#This Row],[Cod_2_Entrada]],TAB_ESTOQUE[[Codigo]:[Referência Tec]],7,FALSE),"")</f>
        <v>0</v>
      </c>
      <c r="D247" s="14" t="str">
        <f>VLOOKUP(TAB_ENTRADA[[#This Row],[Cod_2_Entrada]],TAB_ESTOQUE[[Codigo]:[Endereço2]],12,FALSE)</f>
        <v>A1204</v>
      </c>
      <c r="E247" s="14">
        <f>SUM(TAB_ENTRADA[[#This Row],[20/05/2019]:[Colunas1]])</f>
        <v>0</v>
      </c>
      <c r="F247" s="3"/>
      <c r="FK247" s="3">
        <v>0</v>
      </c>
    </row>
    <row r="248" spans="1:211" x14ac:dyDescent="0.25">
      <c r="A248" s="5" t="s">
        <v>1905</v>
      </c>
      <c r="B248" s="14" t="str">
        <f>VLOOKUP(TAB_ENTRADA[[#This Row],[Cod_2_Entrada]],TAB_ESTOQUE[[Codigo]:[Descrição Tecnica]],6,FALSE)</f>
        <v>VALVULA HIDRAULICA REXROTH REF: M-35ED 6 CK13/35OCG24N9K4</v>
      </c>
      <c r="C248" s="14">
        <f>IFERROR(VLOOKUP(TAB_ENTRADA[[#This Row],[Cod_2_Entrada]],TAB_ESTOQUE[[Codigo]:[Referência Tec]],7,FALSE),"")</f>
        <v>0</v>
      </c>
      <c r="D248" s="14" t="str">
        <f>VLOOKUP(TAB_ENTRADA[[#This Row],[Cod_2_Entrada]],TAB_ESTOQUE[[Codigo]:[Endereço2]],12,FALSE)</f>
        <v>C2203</v>
      </c>
      <c r="E248" s="14">
        <f>SUM(TAB_ENTRADA[[#This Row],[20/05/2019]:[Colunas1]])</f>
        <v>1</v>
      </c>
      <c r="F248" s="3"/>
      <c r="FK248" s="3">
        <v>1</v>
      </c>
    </row>
    <row r="249" spans="1:211" x14ac:dyDescent="0.25">
      <c r="A249" s="5" t="s">
        <v>1906</v>
      </c>
      <c r="B249" s="14" t="str">
        <f>VLOOKUP(TAB_ENTRADA[[#This Row],[Cod_2_Entrada]],TAB_ESTOQUE[[Codigo]:[Descrição Tecnica]],6,FALSE)</f>
        <v>VALVULA VD-3-PK-3 FESTO</v>
      </c>
      <c r="C249" s="14">
        <f>IFERROR(VLOOKUP(TAB_ENTRADA[[#This Row],[Cod_2_Entrada]],TAB_ESTOQUE[[Codigo]:[Referência Tec]],7,FALSE),"")</f>
        <v>0</v>
      </c>
      <c r="D249" s="14" t="str">
        <f>VLOOKUP(TAB_ENTRADA[[#This Row],[Cod_2_Entrada]],TAB_ESTOQUE[[Codigo]:[Endereço2]],12,FALSE)</f>
        <v>G1103</v>
      </c>
      <c r="E249" s="14">
        <f>SUM(TAB_ENTRADA[[#This Row],[20/05/2019]:[Colunas1]])</f>
        <v>2</v>
      </c>
      <c r="F249" s="3"/>
      <c r="FK249" s="3">
        <v>2</v>
      </c>
    </row>
    <row r="250" spans="1:211" x14ac:dyDescent="0.25">
      <c r="A250" s="5" t="s">
        <v>1907</v>
      </c>
      <c r="B250" s="14" t="str">
        <f>VLOOKUP(TAB_ENTRADA[[#This Row],[Cod_2_Entrada]],TAB_ESTOQUE[[Codigo]:[Descrição Tecnica]],6,FALSE)</f>
        <v>VALVULA HIDRAULICA WANDFLUH REF: SIS45V - G24</v>
      </c>
      <c r="C250" s="14">
        <f>IFERROR(VLOOKUP(TAB_ENTRADA[[#This Row],[Cod_2_Entrada]],TAB_ESTOQUE[[Codigo]:[Referência Tec]],7,FALSE),"")</f>
        <v>0</v>
      </c>
      <c r="D250" s="14" t="str">
        <f>VLOOKUP(TAB_ENTRADA[[#This Row],[Cod_2_Entrada]],TAB_ESTOQUE[[Codigo]:[Endereço2]],12,FALSE)</f>
        <v>C2203</v>
      </c>
      <c r="E250" s="14">
        <f>SUM(TAB_ENTRADA[[#This Row],[20/05/2019]:[Colunas1]])</f>
        <v>2</v>
      </c>
      <c r="F250" s="3"/>
      <c r="FK250" s="3">
        <v>2</v>
      </c>
    </row>
    <row r="251" spans="1:211" x14ac:dyDescent="0.25">
      <c r="A251" s="5" t="s">
        <v>1908</v>
      </c>
      <c r="B251" s="14" t="str">
        <f>VLOOKUP(TAB_ENTRADA[[#This Row],[Cod_2_Entrada]],TAB_ESTOQUE[[Codigo]:[Descrição Tecnica]],6,FALSE)</f>
        <v>VALVULA HIDRAULICA BOSCH REF: 0 811 004 100</v>
      </c>
      <c r="C251" s="14">
        <f>IFERROR(VLOOKUP(TAB_ENTRADA[[#This Row],[Cod_2_Entrada]],TAB_ESTOQUE[[Codigo]:[Referência Tec]],7,FALSE),"")</f>
        <v>0</v>
      </c>
      <c r="D251" s="14" t="str">
        <f>VLOOKUP(TAB_ENTRADA[[#This Row],[Cod_2_Entrada]],TAB_ESTOQUE[[Codigo]:[Endereço2]],12,FALSE)</f>
        <v>C2203</v>
      </c>
      <c r="E251" s="14">
        <f>SUM(TAB_ENTRADA[[#This Row],[20/05/2019]:[Colunas1]])</f>
        <v>3</v>
      </c>
      <c r="F251" s="3"/>
      <c r="FK251" s="3">
        <v>3</v>
      </c>
    </row>
    <row r="252" spans="1:211" x14ac:dyDescent="0.25">
      <c r="A252" s="5" t="s">
        <v>1909</v>
      </c>
      <c r="B252" s="14" t="str">
        <f>VLOOKUP(TAB_ENTRADA[[#This Row],[Cod_2_Entrada]],TAB_ESTOQUE[[Codigo]:[Descrição Tecnica]],6,FALSE)</f>
        <v>BLOCO FESTO VL/0-3-3/4</v>
      </c>
      <c r="C252" s="14">
        <f>IFERROR(VLOOKUP(TAB_ENTRADA[[#This Row],[Cod_2_Entrada]],TAB_ESTOQUE[[Codigo]:[Referência Tec]],7,FALSE),"")</f>
        <v>0</v>
      </c>
      <c r="D252" s="14" t="str">
        <f>VLOOKUP(TAB_ENTRADA[[#This Row],[Cod_2_Entrada]],TAB_ESTOQUE[[Codigo]:[Endereço2]],12,FALSE)</f>
        <v>G1105</v>
      </c>
      <c r="E252" s="14">
        <f>SUM(TAB_ENTRADA[[#This Row],[20/05/2019]:[Colunas1]])</f>
        <v>3</v>
      </c>
      <c r="F252" s="3"/>
      <c r="FK252" s="3">
        <v>3</v>
      </c>
    </row>
    <row r="253" spans="1:211" x14ac:dyDescent="0.25">
      <c r="A253" s="5" t="s">
        <v>1910</v>
      </c>
      <c r="B253" s="14" t="str">
        <f>VLOOKUP(TAB_ENTRADA[[#This Row],[Cod_2_Entrada]],TAB_ESTOQUE[[Codigo]:[Descrição Tecnica]],6,FALSE)</f>
        <v>VALVULA HIDRAULICA HUADE REF: 4WE6D61B/CG24N9Z5L</v>
      </c>
      <c r="C253" s="14">
        <f>IFERROR(VLOOKUP(TAB_ENTRADA[[#This Row],[Cod_2_Entrada]],TAB_ESTOQUE[[Codigo]:[Referência Tec]],7,FALSE),"")</f>
        <v>0</v>
      </c>
      <c r="D253" s="14" t="str">
        <f>VLOOKUP(TAB_ENTRADA[[#This Row],[Cod_2_Entrada]],TAB_ESTOQUE[[Codigo]:[Endereço2]],12,FALSE)</f>
        <v>C2205</v>
      </c>
      <c r="E253" s="14">
        <f>SUM(TAB_ENTRADA[[#This Row],[20/05/2019]:[Colunas1]])</f>
        <v>2</v>
      </c>
      <c r="F253" s="3"/>
      <c r="FK253" s="3">
        <v>2</v>
      </c>
    </row>
    <row r="254" spans="1:211" x14ac:dyDescent="0.25">
      <c r="A254" s="5" t="s">
        <v>1911</v>
      </c>
      <c r="B254" s="14" t="str">
        <f>VLOOKUP(TAB_ENTRADA[[#This Row],[Cod_2_Entrada]],TAB_ESTOQUE[[Codigo]:[Descrição Tecnica]],6,FALSE)</f>
        <v>CAIXA PARA CONTROLE LIGA DESLIGA DE COMANDO SERIE CS-102</v>
      </c>
      <c r="C254" s="14">
        <f>IFERROR(VLOOKUP(TAB_ENTRADA[[#This Row],[Cod_2_Entrada]],TAB_ESTOQUE[[Codigo]:[Referência Tec]],7,FALSE),"")</f>
        <v>0</v>
      </c>
      <c r="D254" s="14" t="str">
        <f>VLOOKUP(TAB_ENTRADA[[#This Row],[Cod_2_Entrada]],TAB_ESTOQUE[[Codigo]:[Endereço2]],12,FALSE)</f>
        <v>B1304</v>
      </c>
      <c r="E254" s="14">
        <f>SUM(TAB_ENTRADA[[#This Row],[20/05/2019]:[Colunas1]])</f>
        <v>1</v>
      </c>
      <c r="F254" s="3"/>
      <c r="FK254" s="3">
        <v>1</v>
      </c>
    </row>
    <row r="255" spans="1:211" x14ac:dyDescent="0.25">
      <c r="A255" s="5" t="s">
        <v>1912</v>
      </c>
      <c r="B255" s="14" t="str">
        <f>VLOOKUP(TAB_ENTRADA[[#This Row],[Cod_2_Entrada]],TAB_ESTOQUE[[Codigo]:[Descrição Tecnica]],6,FALSE)</f>
        <v>CAIXA DE PLASTICO PARA BOTOEIRA 4 BOTÕES 40X158</v>
      </c>
      <c r="C255" s="14">
        <f>IFERROR(VLOOKUP(TAB_ENTRADA[[#This Row],[Cod_2_Entrada]],TAB_ESTOQUE[[Codigo]:[Referência Tec]],7,FALSE),"")</f>
        <v>0</v>
      </c>
      <c r="D255" s="14" t="str">
        <f>VLOOKUP(TAB_ENTRADA[[#This Row],[Cod_2_Entrada]],TAB_ESTOQUE[[Codigo]:[Endereço2]],12,FALSE)</f>
        <v>B1304</v>
      </c>
      <c r="E255" s="14">
        <f>SUM(TAB_ENTRADA[[#This Row],[20/05/2019]:[Colunas1]])</f>
        <v>4</v>
      </c>
      <c r="F255" s="3"/>
      <c r="Z255" s="3">
        <v>1</v>
      </c>
      <c r="FK255" s="3">
        <v>3</v>
      </c>
    </row>
    <row r="256" spans="1:211" x14ac:dyDescent="0.25">
      <c r="A256" s="5" t="s">
        <v>1913</v>
      </c>
      <c r="B256" s="14" t="str">
        <f>VLOOKUP(TAB_ENTRADA[[#This Row],[Cod_2_Entrada]],TAB_ESTOQUE[[Codigo]:[Descrição Tecnica]],6,FALSE)</f>
        <v>CABO NOMINAL 1X2,5mm²</v>
      </c>
      <c r="C256" s="14">
        <f>IFERROR(VLOOKUP(TAB_ENTRADA[[#This Row],[Cod_2_Entrada]],TAB_ESTOQUE[[Codigo]:[Referência Tec]],7,FALSE),"")</f>
        <v>0</v>
      </c>
      <c r="D256" s="14" t="str">
        <f>VLOOKUP(TAB_ENTRADA[[#This Row],[Cod_2_Entrada]],TAB_ESTOQUE[[Codigo]:[Endereço2]],12,FALSE)</f>
        <v>B1305</v>
      </c>
      <c r="E256" s="14">
        <f>SUM(TAB_ENTRADA[[#This Row],[20/05/2019]:[Colunas1]])</f>
        <v>800</v>
      </c>
      <c r="F256" s="3"/>
      <c r="FK256" s="3">
        <v>800</v>
      </c>
    </row>
    <row r="257" spans="1:211" x14ac:dyDescent="0.25">
      <c r="A257" s="5" t="s">
        <v>1914</v>
      </c>
      <c r="B257" s="14" t="str">
        <f>VLOOKUP(TAB_ENTRADA[[#This Row],[Cod_2_Entrada]],TAB_ESTOQUE[[Codigo]:[Descrição Tecnica]],6,FALSE)</f>
        <v>CHAVE DE SEGURANÇA PARA BLOQUEIO DE PORTA XCSTE7312</v>
      </c>
      <c r="C257" s="14">
        <f>IFERROR(VLOOKUP(TAB_ENTRADA[[#This Row],[Cod_2_Entrada]],TAB_ESTOQUE[[Codigo]:[Referência Tec]],7,FALSE),"")</f>
        <v>0</v>
      </c>
      <c r="D257" s="14" t="str">
        <f>VLOOKUP(TAB_ENTRADA[[#This Row],[Cod_2_Entrada]],TAB_ESTOQUE[[Codigo]:[Endereço2]],12,FALSE)</f>
        <v>B1304</v>
      </c>
      <c r="E257" s="14">
        <f>SUM(TAB_ENTRADA[[#This Row],[20/05/2019]:[Colunas1]])</f>
        <v>1</v>
      </c>
      <c r="F257" s="3"/>
      <c r="FK257" s="3">
        <v>1</v>
      </c>
    </row>
    <row r="258" spans="1:211" x14ac:dyDescent="0.25">
      <c r="A258" s="5" t="s">
        <v>1915</v>
      </c>
      <c r="B258" s="14" t="str">
        <f>VLOOKUP(TAB_ENTRADA[[#This Row],[Cod_2_Entrada]],TAB_ESTOQUE[[Codigo]:[Descrição Tecnica]],6,FALSE)</f>
        <v>ROLAMENTO UC208 (F&amp;D)</v>
      </c>
      <c r="C258" s="14">
        <f>IFERROR(VLOOKUP(TAB_ENTRADA[[#This Row],[Cod_2_Entrada]],TAB_ESTOQUE[[Codigo]:[Referência Tec]],7,FALSE),"")</f>
        <v>0</v>
      </c>
      <c r="D258" s="14" t="str">
        <f>VLOOKUP(TAB_ENTRADA[[#This Row],[Cod_2_Entrada]],TAB_ESTOQUE[[Codigo]:[Endereço2]],12,FALSE)</f>
        <v>G1106</v>
      </c>
      <c r="E258" s="14">
        <f>SUM(TAB_ENTRADA[[#This Row],[20/05/2019]:[Colunas1]])</f>
        <v>18</v>
      </c>
      <c r="F258" s="3"/>
      <c r="FK258" s="3">
        <v>18</v>
      </c>
    </row>
    <row r="259" spans="1:211" x14ac:dyDescent="0.25">
      <c r="A259" s="5" t="s">
        <v>1916</v>
      </c>
      <c r="B259" s="14" t="str">
        <f>VLOOKUP(TAB_ENTRADA[[#This Row],[Cod_2_Entrada]],TAB_ESTOQUE[[Codigo]:[Descrição Tecnica]],6,FALSE)</f>
        <v>VALVULA PNEUMATICA  3/2 VIAS COM 1 BOBINA 24V</v>
      </c>
      <c r="C259" s="14">
        <f>IFERROR(VLOOKUP(TAB_ENTRADA[[#This Row],[Cod_2_Entrada]],TAB_ESTOQUE[[Codigo]:[Referência Tec]],7,FALSE),"")</f>
        <v>0</v>
      </c>
      <c r="D259" s="14" t="str">
        <f>VLOOKUP(TAB_ENTRADA[[#This Row],[Cod_2_Entrada]],TAB_ESTOQUE[[Codigo]:[Endereço2]],12,FALSE)</f>
        <v>C1103</v>
      </c>
      <c r="E259" s="14">
        <f>SUM(TAB_ENTRADA[[#This Row],[20/05/2019]:[Colunas1]])</f>
        <v>0</v>
      </c>
      <c r="F259" s="3"/>
      <c r="FK259" s="3">
        <v>0</v>
      </c>
    </row>
    <row r="260" spans="1:211" x14ac:dyDescent="0.25">
      <c r="A260" s="5" t="s">
        <v>1917</v>
      </c>
      <c r="B260" s="14" t="str">
        <f>VLOOKUP(TAB_ENTRADA[[#This Row],[Cod_2_Entrada]],TAB_ESTOQUE[[Codigo]:[Descrição Tecnica]],6,FALSE)</f>
        <v xml:space="preserve">CABO 3 VIAS 1MM </v>
      </c>
      <c r="C260" s="14">
        <f>IFERROR(VLOOKUP(TAB_ENTRADA[[#This Row],[Cod_2_Entrada]],TAB_ESTOQUE[[Codigo]:[Referência Tec]],7,FALSE),"")</f>
        <v>0</v>
      </c>
      <c r="D260" s="14" t="str">
        <f>VLOOKUP(TAB_ENTRADA[[#This Row],[Cod_2_Entrada]],TAB_ESTOQUE[[Codigo]:[Endereço2]],12,FALSE)</f>
        <v>B1405</v>
      </c>
      <c r="E260" s="14">
        <f>SUM(TAB_ENTRADA[[#This Row],[20/05/2019]:[Colunas1]])</f>
        <v>40</v>
      </c>
      <c r="F260" s="3"/>
      <c r="FK260" s="3">
        <v>40</v>
      </c>
    </row>
    <row r="261" spans="1:211" x14ac:dyDescent="0.25">
      <c r="A261" s="5" t="s">
        <v>1918</v>
      </c>
      <c r="B261" s="14" t="str">
        <f>VLOOKUP(TAB_ENTRADA[[#This Row],[Cod_2_Entrada]],TAB_ESTOQUE[[Codigo]:[Descrição Tecnica]],6,FALSE)</f>
        <v>CABO PARA SENSOR  5 PINOS M12</v>
      </c>
      <c r="C261" s="14">
        <f>IFERROR(VLOOKUP(TAB_ENTRADA[[#This Row],[Cod_2_Entrada]],TAB_ESTOQUE[[Codigo]:[Referência Tec]],7,FALSE),"")</f>
        <v>0</v>
      </c>
      <c r="D261" s="14" t="str">
        <f>VLOOKUP(TAB_ENTRADA[[#This Row],[Cod_2_Entrada]],TAB_ESTOQUE[[Codigo]:[Endereço2]],12,FALSE)</f>
        <v>B1404</v>
      </c>
      <c r="E261" s="14">
        <f>SUM(TAB_ENTRADA[[#This Row],[20/05/2019]:[Colunas1]])</f>
        <v>0</v>
      </c>
      <c r="F261" s="3"/>
      <c r="FK261" s="3">
        <v>0</v>
      </c>
    </row>
    <row r="262" spans="1:211" x14ac:dyDescent="0.25">
      <c r="A262" s="5" t="s">
        <v>1919</v>
      </c>
      <c r="B262" s="14" t="str">
        <f>VLOOKUP(TAB_ENTRADA[[#This Row],[Cod_2_Entrada]],TAB_ESTOQUE[[Codigo]:[Descrição Tecnica]],6,FALSE)</f>
        <v>CABOS DE CONTROLE CHAINFLEX CF77.UL.07.03.D  NUMERO DE CONDUTORES E SECÇÃO MM² 3G0.75</v>
      </c>
      <c r="C262" s="14">
        <f>IFERROR(VLOOKUP(TAB_ENTRADA[[#This Row],[Cod_2_Entrada]],TAB_ESTOQUE[[Codigo]:[Referência Tec]],7,FALSE),"")</f>
        <v>0</v>
      </c>
      <c r="D262" s="14" t="str">
        <f>VLOOKUP(TAB_ENTRADA[[#This Row],[Cod_2_Entrada]],TAB_ESTOQUE[[Codigo]:[Endereço2]],12,FALSE)</f>
        <v>B1406</v>
      </c>
      <c r="E262" s="14">
        <f>SUM(TAB_ENTRADA[[#This Row],[20/05/2019]:[Colunas1]])</f>
        <v>50</v>
      </c>
      <c r="F262" s="3"/>
      <c r="FK262" s="3">
        <v>50</v>
      </c>
    </row>
    <row r="263" spans="1:211" x14ac:dyDescent="0.25">
      <c r="A263" s="5" t="s">
        <v>1920</v>
      </c>
      <c r="B263" s="14" t="str">
        <f>VLOOKUP(TAB_ENTRADA[[#This Row],[Cod_2_Entrada]],TAB_ESTOQUE[[Codigo]:[Descrição Tecnica]],6,FALSE)</f>
        <v>CABO MURR MSUD VALVE PLUG FORM A 18MM PVC 3X0.75 GRAY 24V AC/DC +- 25%/4A 10METROS</v>
      </c>
      <c r="C263" s="14">
        <f>IFERROR(VLOOKUP(TAB_ENTRADA[[#This Row],[Cod_2_Entrada]],TAB_ESTOQUE[[Codigo]:[Referência Tec]],7,FALSE),"")</f>
        <v>0</v>
      </c>
      <c r="D263" s="14" t="str">
        <f>VLOOKUP(TAB_ENTRADA[[#This Row],[Cod_2_Entrada]],TAB_ESTOQUE[[Codigo]:[Endereço2]],12,FALSE)</f>
        <v>B1402</v>
      </c>
      <c r="E263" s="14">
        <f>SUM(TAB_ENTRADA[[#This Row],[20/05/2019]:[Colunas1]])</f>
        <v>3</v>
      </c>
      <c r="F263" s="3"/>
      <c r="FK263" s="3">
        <v>3</v>
      </c>
    </row>
    <row r="264" spans="1:211" x14ac:dyDescent="0.25">
      <c r="A264" s="5" t="s">
        <v>1921</v>
      </c>
      <c r="B264" s="14" t="str">
        <f>VLOOKUP(TAB_ENTRADA[[#This Row],[Cod_2_Entrada]],TAB_ESTOQUE[[Codigo]:[Descrição Tecnica]],6,FALSE)</f>
        <v>CABO MURR MSUD VALVE PLUG FORM A 18MM PVC 3X0.75 BLACK 24V AC/DC +- 25%/4A 5METROS</v>
      </c>
      <c r="C264" s="14">
        <f>IFERROR(VLOOKUP(TAB_ENTRADA[[#This Row],[Cod_2_Entrada]],TAB_ESTOQUE[[Codigo]:[Referência Tec]],7,FALSE),"")</f>
        <v>0</v>
      </c>
      <c r="D264" s="14" t="str">
        <f>VLOOKUP(TAB_ENTRADA[[#This Row],[Cod_2_Entrada]],TAB_ESTOQUE[[Codigo]:[Endereço2]],12,FALSE)</f>
        <v>B1402</v>
      </c>
      <c r="E264" s="14">
        <f>SUM(TAB_ENTRADA[[#This Row],[20/05/2019]:[Colunas1]])</f>
        <v>2</v>
      </c>
      <c r="F264" s="3"/>
      <c r="FK264" s="3">
        <v>2</v>
      </c>
    </row>
    <row r="265" spans="1:211" x14ac:dyDescent="0.25">
      <c r="A265" s="5" t="s">
        <v>1922</v>
      </c>
      <c r="B265" s="14" t="str">
        <f>VLOOKUP(TAB_ENTRADA[[#This Row],[Cod_2_Entrada]],TAB_ESTOQUE[[Codigo]:[Descrição Tecnica]],6,FALSE)</f>
        <v xml:space="preserve">CABO COM CONECTOR RETO M18 7 PINOS FEMEA </v>
      </c>
      <c r="C265" s="14">
        <f>IFERROR(VLOOKUP(TAB_ENTRADA[[#This Row],[Cod_2_Entrada]],TAB_ESTOQUE[[Codigo]:[Referência Tec]],7,FALSE),"")</f>
        <v>0</v>
      </c>
      <c r="D265" s="14" t="str">
        <f>VLOOKUP(TAB_ENTRADA[[#This Row],[Cod_2_Entrada]],TAB_ESTOQUE[[Codigo]:[Endereço2]],12,FALSE)</f>
        <v>B1402</v>
      </c>
      <c r="E265" s="14">
        <f>SUM(TAB_ENTRADA[[#This Row],[20/05/2019]:[Colunas1]])</f>
        <v>1</v>
      </c>
      <c r="F265" s="3"/>
      <c r="FK265" s="3">
        <v>1</v>
      </c>
    </row>
    <row r="266" spans="1:211" x14ac:dyDescent="0.25">
      <c r="A266" s="5" t="s">
        <v>1923</v>
      </c>
      <c r="B266" s="14" t="str">
        <f>VLOOKUP(TAB_ENTRADA[[#This Row],[Cod_2_Entrada]],TAB_ESTOQUE[[Codigo]:[Descrição Tecnica]],6,FALSE)</f>
        <v xml:space="preserve">CABO COM CONECTOR RETO M22 7 PINOS FEMEA </v>
      </c>
      <c r="C266" s="14">
        <f>IFERROR(VLOOKUP(TAB_ENTRADA[[#This Row],[Cod_2_Entrada]],TAB_ESTOQUE[[Codigo]:[Referência Tec]],7,FALSE),"")</f>
        <v>0</v>
      </c>
      <c r="D266" s="14" t="str">
        <f>VLOOKUP(TAB_ENTRADA[[#This Row],[Cod_2_Entrada]],TAB_ESTOQUE[[Codigo]:[Endereço2]],12,FALSE)</f>
        <v>B1402</v>
      </c>
      <c r="E266" s="14">
        <f>SUM(TAB_ENTRADA[[#This Row],[20/05/2019]:[Colunas1]])</f>
        <v>4</v>
      </c>
      <c r="F266" s="3"/>
      <c r="FK266" s="3">
        <v>4</v>
      </c>
    </row>
    <row r="267" spans="1:211" x14ac:dyDescent="0.25">
      <c r="A267" s="5" t="s">
        <v>1924</v>
      </c>
      <c r="B267" s="14" t="str">
        <f>VLOOKUP(TAB_ENTRADA[[#This Row],[Cod_2_Entrada]],TAB_ESTOQUE[[Codigo]:[Descrição Tecnica]],6,FALSE)</f>
        <v>VALVULA PNEUMATICA 2/1 VIAS 1 BOBINA 24V</v>
      </c>
      <c r="C267" s="14">
        <f>IFERROR(VLOOKUP(TAB_ENTRADA[[#This Row],[Cod_2_Entrada]],TAB_ESTOQUE[[Codigo]:[Referência Tec]],7,FALSE),"")</f>
        <v>0</v>
      </c>
      <c r="D267" s="14" t="str">
        <f>VLOOKUP(TAB_ENTRADA[[#This Row],[Cod_2_Entrada]],TAB_ESTOQUE[[Codigo]:[Endereço2]],12,FALSE)</f>
        <v>C1104</v>
      </c>
      <c r="E267" s="14">
        <f>SUM(TAB_ENTRADA[[#This Row],[20/05/2019]:[Colunas1]])</f>
        <v>2</v>
      </c>
      <c r="F267" s="3"/>
      <c r="FK267" s="3">
        <v>2</v>
      </c>
    </row>
    <row r="268" spans="1:211" x14ac:dyDescent="0.25">
      <c r="A268" s="5" t="s">
        <v>1925</v>
      </c>
      <c r="B268" s="14" t="str">
        <f>VLOOKUP(TAB_ENTRADA[[#This Row],[Cod_2_Entrada]],TAB_ESTOQUE[[Codigo]:[Descrição Tecnica]],6,FALSE)</f>
        <v>AGITADOR PNEUMATICO  1HP com eixo 1/2" MSD</v>
      </c>
      <c r="C268" s="14">
        <f>IFERROR(VLOOKUP(TAB_ENTRADA[[#This Row],[Cod_2_Entrada]],TAB_ESTOQUE[[Codigo]:[Referência Tec]],7,FALSE),"")</f>
        <v>0</v>
      </c>
      <c r="D268" s="14" t="str">
        <f>VLOOKUP(TAB_ENTRADA[[#This Row],[Cod_2_Entrada]],TAB_ESTOQUE[[Codigo]:[Endereço2]],12,FALSE)</f>
        <v>C1201</v>
      </c>
      <c r="E268" s="14">
        <f>SUM(TAB_ENTRADA[[#This Row],[20/05/2019]:[Colunas1]])</f>
        <v>4</v>
      </c>
      <c r="F268" s="3"/>
      <c r="FK268" s="3">
        <v>1</v>
      </c>
      <c r="FQ268" s="3">
        <v>1</v>
      </c>
      <c r="HC268" s="3">
        <v>2</v>
      </c>
    </row>
    <row r="269" spans="1:211" x14ac:dyDescent="0.25">
      <c r="A269" s="5" t="s">
        <v>1926</v>
      </c>
      <c r="B269" s="14" t="str">
        <f>VLOOKUP(TAB_ENTRADA[[#This Row],[Cod_2_Entrada]],TAB_ESTOQUE[[Codigo]:[Descrição Tecnica]],6,FALSE)</f>
        <v>MOTOR MARATHON HJN 80M1-4  440V</v>
      </c>
      <c r="C269" s="14">
        <f>IFERROR(VLOOKUP(TAB_ENTRADA[[#This Row],[Cod_2_Entrada]],TAB_ESTOQUE[[Codigo]:[Referência Tec]],7,FALSE),"")</f>
        <v>0</v>
      </c>
      <c r="D269" s="14" t="str">
        <f>VLOOKUP(TAB_ENTRADA[[#This Row],[Cod_2_Entrada]],TAB_ESTOQUE[[Codigo]:[Endereço2]],12,FALSE)</f>
        <v>F1304</v>
      </c>
      <c r="E269" s="14">
        <f>SUM(TAB_ENTRADA[[#This Row],[20/05/2019]:[Colunas1]])</f>
        <v>1</v>
      </c>
      <c r="F269" s="3"/>
      <c r="FK269" s="3">
        <v>1</v>
      </c>
    </row>
    <row r="270" spans="1:211" x14ac:dyDescent="0.25">
      <c r="A270" s="5" t="s">
        <v>1927</v>
      </c>
      <c r="B270" s="14" t="str">
        <f>VLOOKUP(TAB_ENTRADA[[#This Row],[Cod_2_Entrada]],TAB_ESTOQUE[[Codigo]:[Descrição Tecnica]],6,FALSE)</f>
        <v>CILINDRO PNEUMATICO DNCB-40-80-PPV-A</v>
      </c>
      <c r="C270" s="14">
        <f>IFERROR(VLOOKUP(TAB_ENTRADA[[#This Row],[Cod_2_Entrada]],TAB_ESTOQUE[[Codigo]:[Referência Tec]],7,FALSE),"")</f>
        <v>0</v>
      </c>
      <c r="D270" s="14" t="str">
        <f>VLOOKUP(TAB_ENTRADA[[#This Row],[Cod_2_Entrada]],TAB_ESTOQUE[[Codigo]:[Endereço2]],12,FALSE)</f>
        <v>C1101</v>
      </c>
      <c r="E270" s="14">
        <f>SUM(TAB_ENTRADA[[#This Row],[20/05/2019]:[Colunas1]])</f>
        <v>1</v>
      </c>
      <c r="F270" s="3"/>
      <c r="FK270" s="3">
        <v>1</v>
      </c>
    </row>
    <row r="271" spans="1:211" x14ac:dyDescent="0.25">
      <c r="A271" s="5" t="s">
        <v>1928</v>
      </c>
      <c r="B271" s="14" t="str">
        <f>VLOOKUP(TAB_ENTRADA[[#This Row],[Cod_2_Entrada]],TAB_ESTOQUE[[Codigo]:[Descrição Tecnica]],6,FALSE)</f>
        <v>CILINDRO PNEUMATICO 32-600</v>
      </c>
      <c r="C271" s="14">
        <f>IFERROR(VLOOKUP(TAB_ENTRADA[[#This Row],[Cod_2_Entrada]],TAB_ESTOQUE[[Codigo]:[Referência Tec]],7,FALSE),"")</f>
        <v>0</v>
      </c>
      <c r="D271" s="14" t="str">
        <f>VLOOKUP(TAB_ENTRADA[[#This Row],[Cod_2_Entrada]],TAB_ESTOQUE[[Codigo]:[Endereço2]],12,FALSE)</f>
        <v>C1101</v>
      </c>
      <c r="E271" s="14">
        <f>SUM(TAB_ENTRADA[[#This Row],[20/05/2019]:[Colunas1]])</f>
        <v>0</v>
      </c>
      <c r="F271" s="3"/>
      <c r="FK271" s="3">
        <v>0</v>
      </c>
    </row>
    <row r="272" spans="1:211" x14ac:dyDescent="0.25">
      <c r="A272" s="5" t="s">
        <v>1929</v>
      </c>
      <c r="B272" s="14" t="str">
        <f>VLOOKUP(TAB_ENTRADA[[#This Row],[Cod_2_Entrada]],TAB_ESTOQUE[[Codigo]:[Descrição Tecnica]],6,FALSE)</f>
        <v>VALVULA YHS-10 10BAR</v>
      </c>
      <c r="C272" s="14">
        <f>IFERROR(VLOOKUP(TAB_ENTRADA[[#This Row],[Cod_2_Entrada]],TAB_ESTOQUE[[Codigo]:[Referência Tec]],7,FALSE),"")</f>
        <v>0</v>
      </c>
      <c r="D272" s="14" t="str">
        <f>VLOOKUP(TAB_ENTRADA[[#This Row],[Cod_2_Entrada]],TAB_ESTOQUE[[Codigo]:[Endereço2]],12,FALSE)</f>
        <v>C1204</v>
      </c>
      <c r="E272" s="14">
        <f>SUM(TAB_ENTRADA[[#This Row],[20/05/2019]:[Colunas1]])</f>
        <v>4</v>
      </c>
      <c r="F272" s="3"/>
      <c r="FK272" s="3">
        <v>4</v>
      </c>
    </row>
    <row r="273" spans="1:205" x14ac:dyDescent="0.25">
      <c r="A273" s="5" t="s">
        <v>1930</v>
      </c>
      <c r="B273" s="14" t="str">
        <f>VLOOKUP(TAB_ENTRADA[[#This Row],[Cod_2_Entrada]],TAB_ESTOQUE[[Codigo]:[Descrição Tecnica]],6,FALSE)</f>
        <v xml:space="preserve">BLOCO DE DISTRIBUIDOR PNEUMÁTICO 3/2 MOD:10049. E955 10/ </v>
      </c>
      <c r="C273" s="14">
        <f>IFERROR(VLOOKUP(TAB_ENTRADA[[#This Row],[Cod_2_Entrada]],TAB_ESTOQUE[[Codigo]:[Referência Tec]],7,FALSE),"")</f>
        <v>0</v>
      </c>
      <c r="D273" s="14" t="str">
        <f>VLOOKUP(TAB_ENTRADA[[#This Row],[Cod_2_Entrada]],TAB_ESTOQUE[[Codigo]:[Endereço2]],12,FALSE)</f>
        <v>G1106</v>
      </c>
      <c r="E273" s="14">
        <f>SUM(TAB_ENTRADA[[#This Row],[20/05/2019]:[Colunas1]])</f>
        <v>0</v>
      </c>
      <c r="F273" s="3"/>
      <c r="FK273" s="3">
        <v>0</v>
      </c>
    </row>
    <row r="274" spans="1:205" x14ac:dyDescent="0.25">
      <c r="A274" s="5" t="s">
        <v>1931</v>
      </c>
      <c r="B274" s="14" t="str">
        <f>VLOOKUP(TAB_ENTRADA[[#This Row],[Cod_2_Entrada]],TAB_ESTOQUE[[Codigo]:[Descrição Tecnica]],6,FALSE)</f>
        <v>VALVULA FESTO MFH-3-1/2"</v>
      </c>
      <c r="C274" s="14">
        <f>IFERROR(VLOOKUP(TAB_ENTRADA[[#This Row],[Cod_2_Entrada]],TAB_ESTOQUE[[Codigo]:[Referência Tec]],7,FALSE),"")</f>
        <v>0</v>
      </c>
      <c r="D274" s="14" t="str">
        <f>VLOOKUP(TAB_ENTRADA[[#This Row],[Cod_2_Entrada]],TAB_ESTOQUE[[Codigo]:[Endereço2]],12,FALSE)</f>
        <v>C1204</v>
      </c>
      <c r="E274" s="14">
        <f>SUM(TAB_ENTRADA[[#This Row],[20/05/2019]:[Colunas1]])</f>
        <v>1</v>
      </c>
      <c r="F274" s="3"/>
      <c r="FK274" s="3">
        <v>1</v>
      </c>
    </row>
    <row r="275" spans="1:205" x14ac:dyDescent="0.25">
      <c r="A275" s="5" t="s">
        <v>1932</v>
      </c>
      <c r="B275" s="14" t="str">
        <f>VLOOKUP(TAB_ENTRADA[[#This Row],[Cod_2_Entrada]],TAB_ESTOQUE[[Codigo]:[Descrição Tecnica]],6,FALSE)</f>
        <v>BALANCIM HSB-1 (300-1200G), Carbografite 012343612</v>
      </c>
      <c r="C275" s="14">
        <f>IFERROR(VLOOKUP(TAB_ENTRADA[[#This Row],[Cod_2_Entrada]],TAB_ESTOQUE[[Codigo]:[Referência Tec]],7,FALSE),"")</f>
        <v>0</v>
      </c>
      <c r="D275" s="14" t="str">
        <f>VLOOKUP(TAB_ENTRADA[[#This Row],[Cod_2_Entrada]],TAB_ESTOQUE[[Codigo]:[Endereço2]],12,FALSE)</f>
        <v>D2304</v>
      </c>
      <c r="E275" s="14">
        <f>SUM(TAB_ENTRADA[[#This Row],[20/05/2019]:[Colunas1]])</f>
        <v>5</v>
      </c>
      <c r="F275" s="3"/>
      <c r="FK275" s="3">
        <v>1</v>
      </c>
      <c r="GW275" s="3">
        <v>4</v>
      </c>
    </row>
    <row r="276" spans="1:205" x14ac:dyDescent="0.25">
      <c r="A276" s="5" t="s">
        <v>1933</v>
      </c>
      <c r="B276" s="14" t="str">
        <f>VLOOKUP(TAB_ENTRADA[[#This Row],[Cod_2_Entrada]],TAB_ESTOQUE[[Codigo]:[Descrição Tecnica]],6,FALSE)</f>
        <v>ATUADOR PNEUMÁTICO DUPLA AÇÃO GNP 44</v>
      </c>
      <c r="C276" s="14">
        <f>IFERROR(VLOOKUP(TAB_ENTRADA[[#This Row],[Cod_2_Entrada]],TAB_ESTOQUE[[Codigo]:[Referência Tec]],7,FALSE),"")</f>
        <v>0</v>
      </c>
      <c r="D276" s="14" t="str">
        <f>VLOOKUP(TAB_ENTRADA[[#This Row],[Cod_2_Entrada]],TAB_ESTOQUE[[Codigo]:[Endereço2]],12,FALSE)</f>
        <v>C1205</v>
      </c>
      <c r="E276" s="14">
        <f>SUM(TAB_ENTRADA[[#This Row],[20/05/2019]:[Colunas1]])</f>
        <v>3</v>
      </c>
      <c r="F276" s="3"/>
      <c r="FK276" s="3">
        <v>3</v>
      </c>
    </row>
    <row r="277" spans="1:205" x14ac:dyDescent="0.25">
      <c r="A277" s="5" t="s">
        <v>1934</v>
      </c>
      <c r="B277" s="14" t="str">
        <f>VLOOKUP(TAB_ENTRADA[[#This Row],[Cod_2_Entrada]],TAB_ESTOQUE[[Codigo]:[Descrição Tecnica]],6,FALSE)</f>
        <v>CONEXÃO PNEUMATICA 12mm  COM ROSCA 3/4"</v>
      </c>
      <c r="C277" s="14">
        <f>IFERROR(VLOOKUP(TAB_ENTRADA[[#This Row],[Cod_2_Entrada]],TAB_ESTOQUE[[Codigo]:[Referência Tec]],7,FALSE),"")</f>
        <v>0</v>
      </c>
      <c r="D277" s="14" t="str">
        <f>VLOOKUP(TAB_ENTRADA[[#This Row],[Cod_2_Entrada]],TAB_ESTOQUE[[Codigo]:[Endereço2]],12,FALSE)</f>
        <v>C1304</v>
      </c>
      <c r="E277" s="14">
        <f>SUM(TAB_ENTRADA[[#This Row],[20/05/2019]:[Colunas1]])</f>
        <v>21</v>
      </c>
      <c r="F277" s="3"/>
      <c r="FK277" s="3">
        <v>1</v>
      </c>
      <c r="GQ277" s="3">
        <v>20</v>
      </c>
    </row>
    <row r="278" spans="1:205" x14ac:dyDescent="0.25">
      <c r="A278" s="5" t="s">
        <v>1935</v>
      </c>
      <c r="B278" s="14" t="str">
        <f>VLOOKUP(TAB_ENTRADA[[#This Row],[Cod_2_Entrada]],TAB_ESTOQUE[[Codigo]:[Descrição Tecnica]],6,FALSE)</f>
        <v>CONEXÃO PNEUMATICA  12mm COM ROSCA 1/4"</v>
      </c>
      <c r="C278" s="14">
        <f>IFERROR(VLOOKUP(TAB_ENTRADA[[#This Row],[Cod_2_Entrada]],TAB_ESTOQUE[[Codigo]:[Referência Tec]],7,FALSE),"")</f>
        <v>0</v>
      </c>
      <c r="D278" s="14" t="str">
        <f>VLOOKUP(TAB_ENTRADA[[#This Row],[Cod_2_Entrada]],TAB_ESTOQUE[[Codigo]:[Endereço2]],12,FALSE)</f>
        <v>C1304</v>
      </c>
      <c r="E278" s="14">
        <f>SUM(TAB_ENTRADA[[#This Row],[20/05/2019]:[Colunas1]])</f>
        <v>21</v>
      </c>
      <c r="F278" s="3"/>
      <c r="FK278" s="3">
        <v>0</v>
      </c>
      <c r="GQ278" s="3">
        <v>21</v>
      </c>
    </row>
    <row r="279" spans="1:205" x14ac:dyDescent="0.25">
      <c r="A279" s="5" t="s">
        <v>1936</v>
      </c>
      <c r="B279" s="14" t="str">
        <f>VLOOKUP(TAB_ENTRADA[[#This Row],[Cod_2_Entrada]],TAB_ESTOQUE[[Codigo]:[Descrição Tecnica]],6,FALSE)</f>
        <v>CONEXÃO PNEUMATICA  12mm  COM ROSCA 1/2"</v>
      </c>
      <c r="C279" s="14">
        <f>IFERROR(VLOOKUP(TAB_ENTRADA[[#This Row],[Cod_2_Entrada]],TAB_ESTOQUE[[Codigo]:[Referência Tec]],7,FALSE),"")</f>
        <v>0</v>
      </c>
      <c r="D279" s="14" t="str">
        <f>VLOOKUP(TAB_ENTRADA[[#This Row],[Cod_2_Entrada]],TAB_ESTOQUE[[Codigo]:[Endereço2]],12,FALSE)</f>
        <v>C1304</v>
      </c>
      <c r="E279" s="14">
        <f>SUM(TAB_ENTRADA[[#This Row],[20/05/2019]:[Colunas1]])</f>
        <v>27</v>
      </c>
      <c r="F279" s="3"/>
      <c r="FK279" s="3">
        <v>3</v>
      </c>
      <c r="GQ279" s="3">
        <v>24</v>
      </c>
    </row>
    <row r="280" spans="1:205" x14ac:dyDescent="0.25">
      <c r="A280" s="5" t="s">
        <v>1937</v>
      </c>
      <c r="B280" s="14" t="str">
        <f>VLOOKUP(TAB_ENTRADA[[#This Row],[Cod_2_Entrada]],TAB_ESTOQUE[[Codigo]:[Descrição Tecnica]],6,FALSE)</f>
        <v>CONEXÃO PNEUMATICA TIPO CRUZETA 4mm</v>
      </c>
      <c r="C280" s="14">
        <f>IFERROR(VLOOKUP(TAB_ENTRADA[[#This Row],[Cod_2_Entrada]],TAB_ESTOQUE[[Codigo]:[Referência Tec]],7,FALSE),"")</f>
        <v>0</v>
      </c>
      <c r="D280" s="14" t="str">
        <f>VLOOKUP(TAB_ENTRADA[[#This Row],[Cod_2_Entrada]],TAB_ESTOQUE[[Codigo]:[Endereço2]],12,FALSE)</f>
        <v>C1302</v>
      </c>
      <c r="E280" s="14">
        <f>SUM(TAB_ENTRADA[[#This Row],[20/05/2019]:[Colunas1]])</f>
        <v>14</v>
      </c>
      <c r="F280" s="3"/>
      <c r="FK280" s="3">
        <v>14</v>
      </c>
    </row>
    <row r="281" spans="1:205" x14ac:dyDescent="0.25">
      <c r="A281" s="5" t="s">
        <v>1938</v>
      </c>
      <c r="B281" s="14" t="str">
        <f>VLOOKUP(TAB_ENTRADA[[#This Row],[Cod_2_Entrada]],TAB_ESTOQUE[[Codigo]:[Descrição Tecnica]],6,FALSE)</f>
        <v>CONEXÃO PNEUMÁTICA TIPO REDUÇÃO 12mm X 10mm</v>
      </c>
      <c r="C281" s="14">
        <f>IFERROR(VLOOKUP(TAB_ENTRADA[[#This Row],[Cod_2_Entrada]],TAB_ESTOQUE[[Codigo]:[Referência Tec]],7,FALSE),"")</f>
        <v>0</v>
      </c>
      <c r="D281" s="14" t="str">
        <f>VLOOKUP(TAB_ENTRADA[[#This Row],[Cod_2_Entrada]],TAB_ESTOQUE[[Codigo]:[Endereço2]],12,FALSE)</f>
        <v>C1303</v>
      </c>
      <c r="E281" s="14">
        <f>SUM(TAB_ENTRADA[[#This Row],[20/05/2019]:[Colunas1]])</f>
        <v>24</v>
      </c>
      <c r="F281" s="3"/>
      <c r="FK281" s="3">
        <v>0</v>
      </c>
      <c r="GQ281" s="3">
        <v>24</v>
      </c>
    </row>
    <row r="282" spans="1:205" x14ac:dyDescent="0.25">
      <c r="A282" s="5" t="s">
        <v>1939</v>
      </c>
      <c r="B282" s="14" t="str">
        <f>VLOOKUP(TAB_ENTRADA[[#This Row],[Cod_2_Entrada]],TAB_ESTOQUE[[Codigo]:[Descrição Tecnica]],6,FALSE)</f>
        <v xml:space="preserve">CONEXÃO PNEUMÁTICA  8mm X 8mm </v>
      </c>
      <c r="C282" s="14">
        <f>IFERROR(VLOOKUP(TAB_ENTRADA[[#This Row],[Cod_2_Entrada]],TAB_ESTOQUE[[Codigo]:[Referência Tec]],7,FALSE),"")</f>
        <v>0</v>
      </c>
      <c r="D282" s="14" t="str">
        <f>VLOOKUP(TAB_ENTRADA[[#This Row],[Cod_2_Entrada]],TAB_ESTOQUE[[Codigo]:[Endereço2]],12,FALSE)</f>
        <v>C1303</v>
      </c>
      <c r="E282" s="14">
        <f>SUM(TAB_ENTRADA[[#This Row],[20/05/2019]:[Colunas1]])</f>
        <v>29</v>
      </c>
      <c r="F282" s="3"/>
      <c r="FK282" s="3">
        <v>0</v>
      </c>
      <c r="GQ282" s="3">
        <v>29</v>
      </c>
    </row>
    <row r="283" spans="1:205" x14ac:dyDescent="0.25">
      <c r="A283" s="5" t="s">
        <v>1940</v>
      </c>
      <c r="B283" s="14" t="str">
        <f>VLOOKUP(TAB_ENTRADA[[#This Row],[Cod_2_Entrada]],TAB_ESTOQUE[[Codigo]:[Descrição Tecnica]],6,FALSE)</f>
        <v>CONEXÃO PNEUMATICA TIPO CRUZETA 8mm</v>
      </c>
      <c r="C283" s="14">
        <f>IFERROR(VLOOKUP(TAB_ENTRADA[[#This Row],[Cod_2_Entrada]],TAB_ESTOQUE[[Codigo]:[Referência Tec]],7,FALSE),"")</f>
        <v>0</v>
      </c>
      <c r="D283" s="14" t="str">
        <f>VLOOKUP(TAB_ENTRADA[[#This Row],[Cod_2_Entrada]],TAB_ESTOQUE[[Codigo]:[Endereço2]],12,FALSE)</f>
        <v>C1302</v>
      </c>
      <c r="E283" s="14">
        <f>SUM(TAB_ENTRADA[[#This Row],[20/05/2019]:[Colunas1]])</f>
        <v>23</v>
      </c>
      <c r="F283" s="3"/>
      <c r="FK283" s="3">
        <v>15</v>
      </c>
      <c r="GQ283" s="3">
        <v>8</v>
      </c>
    </row>
    <row r="284" spans="1:205" x14ac:dyDescent="0.25">
      <c r="A284" s="5" t="s">
        <v>1941</v>
      </c>
      <c r="B284" s="14" t="str">
        <f>VLOOKUP(TAB_ENTRADA[[#This Row],[Cod_2_Entrada]],TAB_ESTOQUE[[Codigo]:[Descrição Tecnica]],6,FALSE)</f>
        <v>CONEXÃO PNEUMATICA TIPO CRUZETA 6mm</v>
      </c>
      <c r="C284" s="14">
        <f>IFERROR(VLOOKUP(TAB_ENTRADA[[#This Row],[Cod_2_Entrada]],TAB_ESTOQUE[[Codigo]:[Referência Tec]],7,FALSE),"")</f>
        <v>0</v>
      </c>
      <c r="D284" s="14" t="str">
        <f>VLOOKUP(TAB_ENTRADA[[#This Row],[Cod_2_Entrada]],TAB_ESTOQUE[[Codigo]:[Endereço2]],12,FALSE)</f>
        <v>C1302</v>
      </c>
      <c r="E284" s="14">
        <f>SUM(TAB_ENTRADA[[#This Row],[20/05/2019]:[Colunas1]])</f>
        <v>4</v>
      </c>
      <c r="F284" s="3"/>
      <c r="FK284" s="3">
        <v>4</v>
      </c>
    </row>
    <row r="285" spans="1:205" x14ac:dyDescent="0.25">
      <c r="A285" s="5" t="s">
        <v>1942</v>
      </c>
      <c r="B285" s="14" t="str">
        <f>VLOOKUP(TAB_ENTRADA[[#This Row],[Cod_2_Entrada]],TAB_ESTOQUE[[Codigo]:[Descrição Tecnica]],6,FALSE)</f>
        <v>CONEXÃO PNEUMÁTICA TIPO REDUÇÃO 8mm X 6mm</v>
      </c>
      <c r="C285" s="14">
        <f>IFERROR(VLOOKUP(TAB_ENTRADA[[#This Row],[Cod_2_Entrada]],TAB_ESTOQUE[[Codigo]:[Referência Tec]],7,FALSE),"")</f>
        <v>0</v>
      </c>
      <c r="D285" s="14" t="str">
        <f>VLOOKUP(TAB_ENTRADA[[#This Row],[Cod_2_Entrada]],TAB_ESTOQUE[[Codigo]:[Endereço2]],12,FALSE)</f>
        <v>C1303</v>
      </c>
      <c r="E285" s="14">
        <f>SUM(TAB_ENTRADA[[#This Row],[20/05/2019]:[Colunas1]])</f>
        <v>0</v>
      </c>
      <c r="F285" s="3"/>
      <c r="FK285" s="3">
        <v>0</v>
      </c>
    </row>
    <row r="286" spans="1:205" x14ac:dyDescent="0.25">
      <c r="A286" s="5" t="s">
        <v>1943</v>
      </c>
      <c r="B286" s="14" t="str">
        <f>VLOOKUP(TAB_ENTRADA[[#This Row],[Cod_2_Entrada]],TAB_ESTOQUE[[Codigo]:[Descrição Tecnica]],6,FALSE)</f>
        <v>CONEXÃO PNEUMATICA TIPO T 8mm</v>
      </c>
      <c r="C286" s="14">
        <f>IFERROR(VLOOKUP(TAB_ENTRADA[[#This Row],[Cod_2_Entrada]],TAB_ESTOQUE[[Codigo]:[Referência Tec]],7,FALSE),"")</f>
        <v>0</v>
      </c>
      <c r="D286" s="14" t="str">
        <f>VLOOKUP(TAB_ENTRADA[[#This Row],[Cod_2_Entrada]],TAB_ESTOQUE[[Codigo]:[Endereço2]],12,FALSE)</f>
        <v>C1302</v>
      </c>
      <c r="E286" s="14">
        <f>SUM(TAB_ENTRADA[[#This Row],[20/05/2019]:[Colunas1]])</f>
        <v>0</v>
      </c>
      <c r="F286" s="3"/>
      <c r="FK286" s="3">
        <v>0</v>
      </c>
    </row>
    <row r="287" spans="1:205" x14ac:dyDescent="0.25">
      <c r="A287" s="5" t="s">
        <v>1944</v>
      </c>
      <c r="B287" s="14" t="str">
        <f>VLOOKUP(TAB_ENTRADA[[#This Row],[Cod_2_Entrada]],TAB_ESTOQUE[[Codigo]:[Descrição Tecnica]],6,FALSE)</f>
        <v>CONEXÃO PNEUMÁTICA 12mm X 12mm</v>
      </c>
      <c r="C287" s="14">
        <f>IFERROR(VLOOKUP(TAB_ENTRADA[[#This Row],[Cod_2_Entrada]],TAB_ESTOQUE[[Codigo]:[Referência Tec]],7,FALSE),"")</f>
        <v>0</v>
      </c>
      <c r="D287" s="14" t="str">
        <f>VLOOKUP(TAB_ENTRADA[[#This Row],[Cod_2_Entrada]],TAB_ESTOQUE[[Codigo]:[Endereço2]],12,FALSE)</f>
        <v>C1303</v>
      </c>
      <c r="E287" s="14">
        <f>SUM(TAB_ENTRADA[[#This Row],[20/05/2019]:[Colunas1]])</f>
        <v>30</v>
      </c>
      <c r="F287" s="3"/>
      <c r="FK287" s="3">
        <v>30</v>
      </c>
    </row>
    <row r="288" spans="1:205" x14ac:dyDescent="0.25">
      <c r="A288" s="5" t="s">
        <v>1945</v>
      </c>
      <c r="B288" s="14" t="str">
        <f>VLOOKUP(TAB_ENTRADA[[#This Row],[Cod_2_Entrada]],TAB_ESTOQUE[[Codigo]:[Descrição Tecnica]],6,FALSE)</f>
        <v>CONEXÃO PNEUMÁTICA TIPO REDUÇÃO 10mm X 6 mm</v>
      </c>
      <c r="C288" s="14">
        <f>IFERROR(VLOOKUP(TAB_ENTRADA[[#This Row],[Cod_2_Entrada]],TAB_ESTOQUE[[Codigo]:[Referência Tec]],7,FALSE),"")</f>
        <v>0</v>
      </c>
      <c r="D288" s="14" t="str">
        <f>VLOOKUP(TAB_ENTRADA[[#This Row],[Cod_2_Entrada]],TAB_ESTOQUE[[Codigo]:[Endereço2]],12,FALSE)</f>
        <v>C1303</v>
      </c>
      <c r="E288" s="14">
        <f>SUM(TAB_ENTRADA[[#This Row],[20/05/2019]:[Colunas1]])</f>
        <v>6</v>
      </c>
      <c r="F288" s="3"/>
      <c r="FK288" s="3">
        <v>6</v>
      </c>
    </row>
    <row r="289" spans="1:194" x14ac:dyDescent="0.25">
      <c r="A289" s="5" t="s">
        <v>1946</v>
      </c>
      <c r="B289" s="14" t="str">
        <f>VLOOKUP(TAB_ENTRADA[[#This Row],[Cod_2_Entrada]],TAB_ESTOQUE[[Codigo]:[Descrição Tecnica]],6,FALSE)</f>
        <v>CONEXÃO PNEUMÁTICA  6mm X 6mm</v>
      </c>
      <c r="C289" s="14">
        <f>IFERROR(VLOOKUP(TAB_ENTRADA[[#This Row],[Cod_2_Entrada]],TAB_ESTOQUE[[Codigo]:[Referência Tec]],7,FALSE),"")</f>
        <v>0</v>
      </c>
      <c r="D289" s="14" t="str">
        <f>VLOOKUP(TAB_ENTRADA[[#This Row],[Cod_2_Entrada]],TAB_ESTOQUE[[Codigo]:[Endereço2]],12,FALSE)</f>
        <v>C1303</v>
      </c>
      <c r="E289" s="14">
        <f>SUM(TAB_ENTRADA[[#This Row],[20/05/2019]:[Colunas1]])</f>
        <v>22</v>
      </c>
      <c r="F289" s="3"/>
      <c r="FK289" s="3">
        <v>2</v>
      </c>
      <c r="FN289" s="3">
        <v>20</v>
      </c>
    </row>
    <row r="290" spans="1:194" x14ac:dyDescent="0.25">
      <c r="A290" s="5" t="s">
        <v>1947</v>
      </c>
      <c r="B290" s="14" t="str">
        <f>VLOOKUP(TAB_ENTRADA[[#This Row],[Cod_2_Entrada]],TAB_ESTOQUE[[Codigo]:[Descrição Tecnica]],6,FALSE)</f>
        <v>CONEXÃO PNEUMÁTICA 4mm X 4 mm</v>
      </c>
      <c r="C290" s="14">
        <f>IFERROR(VLOOKUP(TAB_ENTRADA[[#This Row],[Cod_2_Entrada]],TAB_ESTOQUE[[Codigo]:[Referência Tec]],7,FALSE),"")</f>
        <v>0</v>
      </c>
      <c r="D290" s="14" t="str">
        <f>VLOOKUP(TAB_ENTRADA[[#This Row],[Cod_2_Entrada]],TAB_ESTOQUE[[Codigo]:[Endereço2]],12,FALSE)</f>
        <v>C1303</v>
      </c>
      <c r="E290" s="14">
        <f>SUM(TAB_ENTRADA[[#This Row],[20/05/2019]:[Colunas1]])</f>
        <v>14</v>
      </c>
      <c r="F290" s="3"/>
      <c r="FK290" s="3">
        <v>14</v>
      </c>
    </row>
    <row r="291" spans="1:194" x14ac:dyDescent="0.25">
      <c r="A291" s="5" t="s">
        <v>1948</v>
      </c>
      <c r="B291" s="14" t="str">
        <f>VLOOKUP(TAB_ENTRADA[[#This Row],[Cod_2_Entrada]],TAB_ESTOQUE[[Codigo]:[Descrição Tecnica]],6,FALSE)</f>
        <v>CONEXÃO PNEUMÁTICA TIPO REDUÇÃO 12mm X 8mm</v>
      </c>
      <c r="C291" s="14">
        <f>IFERROR(VLOOKUP(TAB_ENTRADA[[#This Row],[Cod_2_Entrada]],TAB_ESTOQUE[[Codigo]:[Referência Tec]],7,FALSE),"")</f>
        <v>0</v>
      </c>
      <c r="D291" s="14" t="str">
        <f>VLOOKUP(TAB_ENTRADA[[#This Row],[Cod_2_Entrada]],TAB_ESTOQUE[[Codigo]:[Endereço2]],12,FALSE)</f>
        <v>C1303</v>
      </c>
      <c r="E291" s="14">
        <f>SUM(TAB_ENTRADA[[#This Row],[20/05/2019]:[Colunas1]])</f>
        <v>1</v>
      </c>
      <c r="F291" s="3"/>
      <c r="FK291" s="3">
        <v>1</v>
      </c>
    </row>
    <row r="292" spans="1:194" x14ac:dyDescent="0.25">
      <c r="A292" s="5" t="s">
        <v>1949</v>
      </c>
      <c r="B292" s="14" t="str">
        <f>VLOOKUP(TAB_ENTRADA[[#This Row],[Cod_2_Entrada]],TAB_ESTOQUE[[Codigo]:[Descrição Tecnica]],6,FALSE)</f>
        <v>CONEXÃO PNEUMATICA TIPO T 10mm</v>
      </c>
      <c r="C292" s="14">
        <f>IFERROR(VLOOKUP(TAB_ENTRADA[[#This Row],[Cod_2_Entrada]],TAB_ESTOQUE[[Codigo]:[Referência Tec]],7,FALSE),"")</f>
        <v>0</v>
      </c>
      <c r="D292" s="14" t="str">
        <f>VLOOKUP(TAB_ENTRADA[[#This Row],[Cod_2_Entrada]],TAB_ESTOQUE[[Codigo]:[Endereço2]],12,FALSE)</f>
        <v>C1302</v>
      </c>
      <c r="E292" s="14">
        <f>SUM(TAB_ENTRADA[[#This Row],[20/05/2019]:[Colunas1]])</f>
        <v>6</v>
      </c>
      <c r="F292" s="3"/>
      <c r="FK292" s="3">
        <v>1</v>
      </c>
      <c r="FN292" s="3">
        <v>5</v>
      </c>
    </row>
    <row r="293" spans="1:194" x14ac:dyDescent="0.25">
      <c r="A293" s="5" t="s">
        <v>1950</v>
      </c>
      <c r="B293" s="14" t="str">
        <f>VLOOKUP(TAB_ENTRADA[[#This Row],[Cod_2_Entrada]],TAB_ESTOQUE[[Codigo]:[Descrição Tecnica]],6,FALSE)</f>
        <v>CONEXÃO PNEUMÁTICA 10mm X 10mm</v>
      </c>
      <c r="C293" s="14">
        <f>IFERROR(VLOOKUP(TAB_ENTRADA[[#This Row],[Cod_2_Entrada]],TAB_ESTOQUE[[Codigo]:[Referência Tec]],7,FALSE),"")</f>
        <v>0</v>
      </c>
      <c r="D293" s="14" t="str">
        <f>VLOOKUP(TAB_ENTRADA[[#This Row],[Cod_2_Entrada]],TAB_ESTOQUE[[Codigo]:[Endereço2]],12,FALSE)</f>
        <v>C1303</v>
      </c>
      <c r="E293" s="14">
        <f>SUM(TAB_ENTRADA[[#This Row],[20/05/2019]:[Colunas1]])</f>
        <v>20</v>
      </c>
      <c r="F293" s="3"/>
      <c r="FK293" s="3">
        <v>0</v>
      </c>
      <c r="FO293" s="3">
        <v>20</v>
      </c>
    </row>
    <row r="294" spans="1:194" x14ac:dyDescent="0.25">
      <c r="A294" s="5" t="s">
        <v>1951</v>
      </c>
      <c r="B294" s="14" t="str">
        <f>VLOOKUP(TAB_ENTRADA[[#This Row],[Cod_2_Entrada]],TAB_ESTOQUE[[Codigo]:[Descrição Tecnica]],6,FALSE)</f>
        <v>CONEXÃO PNEUMÁTICA TIPO REDUÇÃO 6mm x 4mm</v>
      </c>
      <c r="C294" s="14">
        <f>IFERROR(VLOOKUP(TAB_ENTRADA[[#This Row],[Cod_2_Entrada]],TAB_ESTOQUE[[Codigo]:[Referência Tec]],7,FALSE),"")</f>
        <v>0</v>
      </c>
      <c r="D294" s="14" t="str">
        <f>VLOOKUP(TAB_ENTRADA[[#This Row],[Cod_2_Entrada]],TAB_ESTOQUE[[Codigo]:[Endereço2]],12,FALSE)</f>
        <v>C1303</v>
      </c>
      <c r="E294" s="14">
        <f>SUM(TAB_ENTRADA[[#This Row],[20/05/2019]:[Colunas1]])</f>
        <v>18</v>
      </c>
      <c r="F294" s="3"/>
      <c r="FK294" s="3">
        <v>18</v>
      </c>
    </row>
    <row r="295" spans="1:194" x14ac:dyDescent="0.25">
      <c r="A295" s="5" t="s">
        <v>1952</v>
      </c>
      <c r="B295" s="14" t="str">
        <f>VLOOKUP(TAB_ENTRADA[[#This Row],[Cod_2_Entrada]],TAB_ESTOQUE[[Codigo]:[Descrição Tecnica]],6,FALSE)</f>
        <v>CONEXÃO PNEUMÁTICA TIPO REDUÇÃO 8mm X 4mm</v>
      </c>
      <c r="C295" s="14">
        <f>IFERROR(VLOOKUP(TAB_ENTRADA[[#This Row],[Cod_2_Entrada]],TAB_ESTOQUE[[Codigo]:[Referência Tec]],7,FALSE),"")</f>
        <v>0</v>
      </c>
      <c r="D295" s="14" t="str">
        <f>VLOOKUP(TAB_ENTRADA[[#This Row],[Cod_2_Entrada]],TAB_ESTOQUE[[Codigo]:[Endereço2]],12,FALSE)</f>
        <v>C1303</v>
      </c>
      <c r="E295" s="14">
        <f>SUM(TAB_ENTRADA[[#This Row],[20/05/2019]:[Colunas1]])</f>
        <v>10</v>
      </c>
      <c r="F295" s="3"/>
      <c r="FK295" s="3">
        <v>10</v>
      </c>
    </row>
    <row r="296" spans="1:194" x14ac:dyDescent="0.25">
      <c r="A296" s="5" t="s">
        <v>1953</v>
      </c>
      <c r="B296" s="14" t="str">
        <f>VLOOKUP(TAB_ENTRADA[[#This Row],[Cod_2_Entrada]],TAB_ESTOQUE[[Codigo]:[Descrição Tecnica]],6,FALSE)</f>
        <v>CONEXÃO PNEUMÁTICA TIPO REDUÇÃO 10mm X 8mm</v>
      </c>
      <c r="C296" s="14">
        <f>IFERROR(VLOOKUP(TAB_ENTRADA[[#This Row],[Cod_2_Entrada]],TAB_ESTOQUE[[Codigo]:[Referência Tec]],7,FALSE),"")</f>
        <v>0</v>
      </c>
      <c r="D296" s="14" t="str">
        <f>VLOOKUP(TAB_ENTRADA[[#This Row],[Cod_2_Entrada]],TAB_ESTOQUE[[Codigo]:[Endereço2]],12,FALSE)</f>
        <v>C1303</v>
      </c>
      <c r="E296" s="14">
        <f>SUM(TAB_ENTRADA[[#This Row],[20/05/2019]:[Colunas1]])</f>
        <v>20</v>
      </c>
      <c r="F296" s="3"/>
      <c r="FK296" s="3">
        <v>0</v>
      </c>
      <c r="FO296" s="3">
        <v>20</v>
      </c>
    </row>
    <row r="297" spans="1:194" x14ac:dyDescent="0.25">
      <c r="A297" s="5" t="s">
        <v>1954</v>
      </c>
      <c r="B297" s="14" t="str">
        <f>VLOOKUP(TAB_ENTRADA[[#This Row],[Cod_2_Entrada]],TAB_ESTOQUE[[Codigo]:[Descrição Tecnica]],6,FALSE)</f>
        <v>CONEXÃO PNEUMATICO TIPO T 6mm</v>
      </c>
      <c r="C297" s="14">
        <f>IFERROR(VLOOKUP(TAB_ENTRADA[[#This Row],[Cod_2_Entrada]],TAB_ESTOQUE[[Codigo]:[Referência Tec]],7,FALSE),"")</f>
        <v>0</v>
      </c>
      <c r="D297" s="14" t="str">
        <f>VLOOKUP(TAB_ENTRADA[[#This Row],[Cod_2_Entrada]],TAB_ESTOQUE[[Codigo]:[Endereço2]],12,FALSE)</f>
        <v>C1302</v>
      </c>
      <c r="E297" s="14">
        <f>SUM(TAB_ENTRADA[[#This Row],[20/05/2019]:[Colunas1]])</f>
        <v>25</v>
      </c>
      <c r="F297" s="3"/>
      <c r="FK297" s="3">
        <v>25</v>
      </c>
    </row>
    <row r="298" spans="1:194" x14ac:dyDescent="0.25">
      <c r="A298" s="5" t="s">
        <v>1955</v>
      </c>
      <c r="B298" s="14" t="str">
        <f>VLOOKUP(TAB_ENTRADA[[#This Row],[Cod_2_Entrada]],TAB_ESTOQUE[[Codigo]:[Descrição Tecnica]],6,FALSE)</f>
        <v>CABO COM CONECTOR RETO FEMEA M08 4 PINOS</v>
      </c>
      <c r="C298" s="14">
        <f>IFERROR(VLOOKUP(TAB_ENTRADA[[#This Row],[Cod_2_Entrada]],TAB_ESTOQUE[[Codigo]:[Referência Tec]],7,FALSE),"")</f>
        <v>0</v>
      </c>
      <c r="D298" s="14" t="str">
        <f>VLOOKUP(TAB_ENTRADA[[#This Row],[Cod_2_Entrada]],TAB_ESTOQUE[[Codigo]:[Endereço2]],12,FALSE)</f>
        <v>B1403</v>
      </c>
      <c r="E298" s="14">
        <f>SUM(TAB_ENTRADA[[#This Row],[20/05/2019]:[Colunas1]])</f>
        <v>9</v>
      </c>
      <c r="F298" s="3"/>
      <c r="FK298" s="3">
        <v>5</v>
      </c>
      <c r="GL298" s="3">
        <v>4</v>
      </c>
    </row>
    <row r="299" spans="1:194" x14ac:dyDescent="0.25">
      <c r="A299" s="5" t="s">
        <v>1956</v>
      </c>
      <c r="B299" s="14" t="str">
        <f>VLOOKUP(TAB_ENTRADA[[#This Row],[Cod_2_Entrada]],TAB_ESTOQUE[[Codigo]:[Descrição Tecnica]],6,FALSE)</f>
        <v xml:space="preserve">CABO COM CONECTOR 90° FEMEA  M08 3 PINOS </v>
      </c>
      <c r="C299" s="14">
        <f>IFERROR(VLOOKUP(TAB_ENTRADA[[#This Row],[Cod_2_Entrada]],TAB_ESTOQUE[[Codigo]:[Referência Tec]],7,FALSE),"")</f>
        <v>0</v>
      </c>
      <c r="D299" s="14" t="str">
        <f>VLOOKUP(TAB_ENTRADA[[#This Row],[Cod_2_Entrada]],TAB_ESTOQUE[[Codigo]:[Endereço2]],12,FALSE)</f>
        <v>B1403</v>
      </c>
      <c r="E299" s="14">
        <f>SUM(TAB_ENTRADA[[#This Row],[20/05/2019]:[Colunas1]])</f>
        <v>2</v>
      </c>
      <c r="F299" s="3"/>
      <c r="FK299" s="3">
        <v>2</v>
      </c>
    </row>
    <row r="300" spans="1:194" x14ac:dyDescent="0.25">
      <c r="A300" s="5" t="s">
        <v>1957</v>
      </c>
      <c r="B300" s="14" t="str">
        <f>VLOOKUP(TAB_ENTRADA[[#This Row],[Cod_2_Entrada]],TAB_ESTOQUE[[Codigo]:[Descrição Tecnica]],6,FALSE)</f>
        <v>CABO COM CONECTOR 90° FEMEA M12 5 PINOS</v>
      </c>
      <c r="C300" s="14">
        <f>IFERROR(VLOOKUP(TAB_ENTRADA[[#This Row],[Cod_2_Entrada]],TAB_ESTOQUE[[Codigo]:[Referência Tec]],7,FALSE),"")</f>
        <v>0</v>
      </c>
      <c r="D300" s="14" t="str">
        <f>VLOOKUP(TAB_ENTRADA[[#This Row],[Cod_2_Entrada]],TAB_ESTOQUE[[Codigo]:[Endereço2]],12,FALSE)</f>
        <v>B1403</v>
      </c>
      <c r="E300" s="14">
        <f>SUM(TAB_ENTRADA[[#This Row],[20/05/2019]:[Colunas1]])</f>
        <v>0</v>
      </c>
      <c r="F300" s="3"/>
      <c r="FK300" s="3">
        <v>0</v>
      </c>
    </row>
    <row r="301" spans="1:194" x14ac:dyDescent="0.25">
      <c r="A301" s="5" t="s">
        <v>1958</v>
      </c>
      <c r="B301" s="14" t="str">
        <f>VLOOKUP(TAB_ENTRADA[[#This Row],[Cod_2_Entrada]],TAB_ESTOQUE[[Codigo]:[Descrição Tecnica]],6,FALSE)</f>
        <v xml:space="preserve">CABO COM CONECTOR RETO FEMEA M12 5 PINOS </v>
      </c>
      <c r="C301" s="14">
        <f>IFERROR(VLOOKUP(TAB_ENTRADA[[#This Row],[Cod_2_Entrada]],TAB_ESTOQUE[[Codigo]:[Referência Tec]],7,FALSE),"")</f>
        <v>0</v>
      </c>
      <c r="D301" s="14" t="str">
        <f>VLOOKUP(TAB_ENTRADA[[#This Row],[Cod_2_Entrada]],TAB_ESTOQUE[[Codigo]:[Endereço2]],12,FALSE)</f>
        <v>B1403</v>
      </c>
      <c r="E301" s="14">
        <f>SUM(TAB_ENTRADA[[#This Row],[20/05/2019]:[Colunas1]])</f>
        <v>4</v>
      </c>
      <c r="F301" s="3"/>
      <c r="FK301" s="3">
        <v>2</v>
      </c>
      <c r="FT301" s="3">
        <v>2</v>
      </c>
    </row>
    <row r="302" spans="1:194" x14ac:dyDescent="0.25">
      <c r="A302" s="5" t="s">
        <v>1959</v>
      </c>
      <c r="B302" s="14" t="str">
        <f>VLOOKUP(TAB_ENTRADA[[#This Row],[Cod_2_Entrada]],TAB_ESTOQUE[[Codigo]:[Descrição Tecnica]],6,FALSE)</f>
        <v>INVERSOR DE FREQUÊNCIA SIEMENS MICROMASTER 440 6SE6440-2UD31-8DB1</v>
      </c>
      <c r="C302" s="14">
        <f>IFERROR(VLOOKUP(TAB_ENTRADA[[#This Row],[Cod_2_Entrada]],TAB_ESTOQUE[[Codigo]:[Referência Tec]],7,FALSE),"")</f>
        <v>0</v>
      </c>
      <c r="D302" s="14" t="str">
        <f>VLOOKUP(TAB_ENTRADA[[#This Row],[Cod_2_Entrada]],TAB_ESTOQUE[[Codigo]:[Endereço2]],12,FALSE)</f>
        <v>B1201</v>
      </c>
      <c r="E302" s="14">
        <f>SUM(TAB_ENTRADA[[#This Row],[20/05/2019]:[Colunas1]])</f>
        <v>3</v>
      </c>
      <c r="F302" s="3"/>
      <c r="FK302" s="3">
        <v>3</v>
      </c>
    </row>
    <row r="303" spans="1:194" x14ac:dyDescent="0.25">
      <c r="A303" s="5" t="s">
        <v>1960</v>
      </c>
      <c r="B303" s="14" t="str">
        <f>VLOOKUP(TAB_ENTRADA[[#This Row],[Cod_2_Entrada]],TAB_ESTOQUE[[Codigo]:[Descrição Tecnica]],6,FALSE)</f>
        <v>FONTE 13108206 PSS24-W/5 (WEG)</v>
      </c>
      <c r="C303" s="14">
        <f>IFERROR(VLOOKUP(TAB_ENTRADA[[#This Row],[Cod_2_Entrada]],TAB_ESTOQUE[[Codigo]:[Referência Tec]],7,FALSE),"")</f>
        <v>0</v>
      </c>
      <c r="D303" s="14" t="str">
        <f>VLOOKUP(TAB_ENTRADA[[#This Row],[Cod_2_Entrada]],TAB_ESTOQUE[[Codigo]:[Endereço2]],12,FALSE)</f>
        <v>B1104</v>
      </c>
      <c r="E303" s="14">
        <f>SUM(TAB_ENTRADA[[#This Row],[20/05/2019]:[Colunas1]])</f>
        <v>2</v>
      </c>
      <c r="F303" s="3"/>
      <c r="FK303" s="3">
        <v>2</v>
      </c>
    </row>
    <row r="304" spans="1:194" x14ac:dyDescent="0.25">
      <c r="A304" s="5" t="s">
        <v>1961</v>
      </c>
      <c r="B304" s="14" t="str">
        <f>VLOOKUP(TAB_ENTRADA[[#This Row],[Cod_2_Entrada]],TAB_ESTOQUE[[Codigo]:[Descrição Tecnica]],6,FALSE)</f>
        <v>FONTE BAE 0009 BAE OS-XA-3Y-24-200-007 24VDC 20A (BALLUFF)</v>
      </c>
      <c r="C304" s="14">
        <f>IFERROR(VLOOKUP(TAB_ENTRADA[[#This Row],[Cod_2_Entrada]],TAB_ESTOQUE[[Codigo]:[Referência Tec]],7,FALSE),"")</f>
        <v>0</v>
      </c>
      <c r="D304" s="14" t="str">
        <f>VLOOKUP(TAB_ENTRADA[[#This Row],[Cod_2_Entrada]],TAB_ESTOQUE[[Codigo]:[Endereço2]],12,FALSE)</f>
        <v>B1104</v>
      </c>
      <c r="E304" s="14">
        <f>SUM(TAB_ENTRADA[[#This Row],[20/05/2019]:[Colunas1]])</f>
        <v>1</v>
      </c>
      <c r="F304" s="3"/>
      <c r="FK304" s="3">
        <v>1</v>
      </c>
    </row>
    <row r="305" spans="1:167" x14ac:dyDescent="0.25">
      <c r="A305" s="5" t="s">
        <v>1962</v>
      </c>
      <c r="B305" s="14" t="str">
        <f>VLOOKUP(TAB_ENTRADA[[#This Row],[Cod_2_Entrada]],TAB_ESTOQUE[[Codigo]:[Descrição Tecnica]],6,FALSE)</f>
        <v>CELULA DE CARGA  L6F-C3-100KG-3B6</v>
      </c>
      <c r="C305" s="14">
        <f>IFERROR(VLOOKUP(TAB_ENTRADA[[#This Row],[Cod_2_Entrada]],TAB_ESTOQUE[[Codigo]:[Referência Tec]],7,FALSE),"")</f>
        <v>0</v>
      </c>
      <c r="D305" s="14" t="str">
        <f>VLOOKUP(TAB_ENTRADA[[#This Row],[Cod_2_Entrada]],TAB_ESTOQUE[[Codigo]:[Endereço2]],12,FALSE)</f>
        <v>A1205</v>
      </c>
      <c r="E305" s="14">
        <f>SUM(TAB_ENTRADA[[#This Row],[20/05/2019]:[Colunas1]])</f>
        <v>1</v>
      </c>
      <c r="F305" s="3"/>
      <c r="FK305" s="3">
        <v>1</v>
      </c>
    </row>
    <row r="306" spans="1:167" x14ac:dyDescent="0.25">
      <c r="A306" s="5" t="s">
        <v>1963</v>
      </c>
      <c r="B306" s="14" t="str">
        <f>VLOOKUP(TAB_ENTRADA[[#This Row],[Cod_2_Entrada]],TAB_ESTOQUE[[Codigo]:[Descrição Tecnica]],6,FALSE)</f>
        <v>MÓDULO TERMINAL SIEMENS SIMATIC ET200S - 6ES7 193-4CB30-0AA0</v>
      </c>
      <c r="C306" s="14">
        <f>IFERROR(VLOOKUP(TAB_ENTRADA[[#This Row],[Cod_2_Entrada]],TAB_ESTOQUE[[Codigo]:[Referência Tec]],7,FALSE),"")</f>
        <v>0</v>
      </c>
      <c r="D306" s="14" t="str">
        <f>VLOOKUP(TAB_ENTRADA[[#This Row],[Cod_2_Entrada]],TAB_ESTOQUE[[Codigo]:[Endereço2]],12,FALSE)</f>
        <v>B1205</v>
      </c>
      <c r="E306" s="14">
        <f>SUM(TAB_ENTRADA[[#This Row],[20/05/2019]:[Colunas1]])</f>
        <v>7</v>
      </c>
      <c r="F306" s="3"/>
      <c r="FK306" s="3">
        <v>7</v>
      </c>
    </row>
    <row r="307" spans="1:167" x14ac:dyDescent="0.25">
      <c r="A307" s="5" t="s">
        <v>1964</v>
      </c>
      <c r="B307" s="14" t="str">
        <f>VLOOKUP(TAB_ENTRADA[[#This Row],[Cod_2_Entrada]],TAB_ESTOQUE[[Codigo]:[Descrição Tecnica]],6,FALSE)</f>
        <v>MODULO DE SAÍDA DIGITAL 16 PONTOS 0.5AMP 24VDC SM322 - REF. 6ES7-322-1BH01-0AA0 SIEMENS</v>
      </c>
      <c r="C307" s="14">
        <f>IFERROR(VLOOKUP(TAB_ENTRADA[[#This Row],[Cod_2_Entrada]],TAB_ESTOQUE[[Codigo]:[Referência Tec]],7,FALSE),"")</f>
        <v>0</v>
      </c>
      <c r="D307" s="14" t="str">
        <f>VLOOKUP(TAB_ENTRADA[[#This Row],[Cod_2_Entrada]],TAB_ESTOQUE[[Codigo]:[Endereço2]],12,FALSE)</f>
        <v>G1104</v>
      </c>
      <c r="E307" s="14">
        <f>SUM(TAB_ENTRADA[[#This Row],[20/05/2019]:[Colunas1]])</f>
        <v>1</v>
      </c>
      <c r="F307" s="3"/>
      <c r="FK307" s="3">
        <v>1</v>
      </c>
    </row>
    <row r="308" spans="1:167" x14ac:dyDescent="0.25">
      <c r="A308" s="5" t="s">
        <v>1965</v>
      </c>
      <c r="B308" s="14" t="str">
        <f>VLOOKUP(TAB_ENTRADA[[#This Row],[Cod_2_Entrada]],TAB_ESTOQUE[[Codigo]:[Descrição Tecnica]],6,FALSE)</f>
        <v>CABO DE COMANDO 25X1,00mm²   500V  70°C</v>
      </c>
      <c r="C308" s="14">
        <f>IFERROR(VLOOKUP(TAB_ENTRADA[[#This Row],[Cod_2_Entrada]],TAB_ESTOQUE[[Codigo]:[Referência Tec]],7,FALSE),"")</f>
        <v>0</v>
      </c>
      <c r="D308" s="14" t="str">
        <f>VLOOKUP(TAB_ENTRADA[[#This Row],[Cod_2_Entrada]],TAB_ESTOQUE[[Codigo]:[Endereço2]],12,FALSE)</f>
        <v>B1306</v>
      </c>
      <c r="E308" s="14">
        <f>SUM(TAB_ENTRADA[[#This Row],[20/05/2019]:[Colunas1]])</f>
        <v>800</v>
      </c>
      <c r="F308" s="3"/>
      <c r="FK308" s="3">
        <v>800</v>
      </c>
    </row>
    <row r="309" spans="1:167" x14ac:dyDescent="0.25">
      <c r="A309" s="5" t="s">
        <v>1966</v>
      </c>
      <c r="B309" s="14" t="str">
        <f>VLOOKUP(TAB_ENTRADA[[#This Row],[Cod_2_Entrada]],TAB_ESTOQUE[[Codigo]:[Descrição Tecnica]],6,FALSE)</f>
        <v>COOLER AXIAL PARA PAINEL 220VAC TA20060HBL-2</v>
      </c>
      <c r="C309" s="14">
        <f>IFERROR(VLOOKUP(TAB_ENTRADA[[#This Row],[Cod_2_Entrada]],TAB_ESTOQUE[[Codigo]:[Referência Tec]],7,FALSE),"")</f>
        <v>0</v>
      </c>
      <c r="D309" s="14" t="str">
        <f>VLOOKUP(TAB_ENTRADA[[#This Row],[Cod_2_Entrada]],TAB_ESTOQUE[[Codigo]:[Endereço2]],12,FALSE)</f>
        <v>B1105</v>
      </c>
      <c r="E309" s="14">
        <f>SUM(TAB_ENTRADA[[#This Row],[20/05/2019]:[Colunas1]])</f>
        <v>1</v>
      </c>
      <c r="F309" s="3"/>
      <c r="FK309" s="3">
        <v>1</v>
      </c>
    </row>
    <row r="310" spans="1:167" x14ac:dyDescent="0.25">
      <c r="A310" s="5" t="s">
        <v>1967</v>
      </c>
      <c r="B310" s="14" t="str">
        <f>VLOOKUP(TAB_ENTRADA[[#This Row],[Cod_2_Entrada]],TAB_ESTOQUE[[Codigo]:[Descrição Tecnica]],6,FALSE)</f>
        <v>INVERSOR DE FREQUÊNCIA EMK DRIVE FIT4P34-0185-5BFLS</v>
      </c>
      <c r="C310" s="14">
        <f>IFERROR(VLOOKUP(TAB_ENTRADA[[#This Row],[Cod_2_Entrada]],TAB_ESTOQUE[[Codigo]:[Referência Tec]],7,FALSE),"")</f>
        <v>0</v>
      </c>
      <c r="D310" s="14" t="str">
        <f>VLOOKUP(TAB_ENTRADA[[#This Row],[Cod_2_Entrada]],TAB_ESTOQUE[[Codigo]:[Endereço2]],12,FALSE)</f>
        <v>B1303</v>
      </c>
      <c r="E310" s="14">
        <f>SUM(TAB_ENTRADA[[#This Row],[20/05/2019]:[Colunas1]])</f>
        <v>2</v>
      </c>
      <c r="F310" s="3"/>
      <c r="FK310" s="3">
        <v>2</v>
      </c>
    </row>
    <row r="311" spans="1:167" x14ac:dyDescent="0.25">
      <c r="A311" s="5" t="s">
        <v>1968</v>
      </c>
      <c r="B311" s="14" t="str">
        <f>VLOOKUP(TAB_ENTRADA[[#This Row],[Cod_2_Entrada]],TAB_ESTOQUE[[Codigo]:[Descrição Tecnica]],6,FALSE)</f>
        <v>ENCODER RVP510</v>
      </c>
      <c r="C311" s="14">
        <f>IFERROR(VLOOKUP(TAB_ENTRADA[[#This Row],[Cod_2_Entrada]],TAB_ESTOQUE[[Codigo]:[Referência Tec]],7,FALSE),"")</f>
        <v>0</v>
      </c>
      <c r="D311" s="14" t="str">
        <f>VLOOKUP(TAB_ENTRADA[[#This Row],[Cod_2_Entrada]],TAB_ESTOQUE[[Codigo]:[Endereço2]],12,FALSE)</f>
        <v>A2104</v>
      </c>
      <c r="E311" s="14">
        <f>SUM(TAB_ENTRADA[[#This Row],[20/05/2019]:[Colunas1]])</f>
        <v>1</v>
      </c>
      <c r="F311" s="3"/>
      <c r="FK311" s="3">
        <v>1</v>
      </c>
    </row>
    <row r="312" spans="1:167" x14ac:dyDescent="0.25">
      <c r="A312" s="5" t="s">
        <v>1969</v>
      </c>
      <c r="B312" s="14" t="str">
        <f>VLOOKUP(TAB_ENTRADA[[#This Row],[Cod_2_Entrada]],TAB_ESTOQUE[[Codigo]:[Descrição Tecnica]],6,FALSE)</f>
        <v>CONJUNTO SENSOR / RELE DE SEGURANÇA / CABO DE LIGAÇÃO L27S-3D3730  (SICK)</v>
      </c>
      <c r="C312" s="14">
        <f>IFERROR(VLOOKUP(TAB_ENTRADA[[#This Row],[Cod_2_Entrada]],TAB_ESTOQUE[[Codigo]:[Referência Tec]],7,FALSE),"")</f>
        <v>0</v>
      </c>
      <c r="D312" s="14" t="str">
        <f>VLOOKUP(TAB_ENTRADA[[#This Row],[Cod_2_Entrada]],TAB_ESTOQUE[[Codigo]:[Endereço2]],12,FALSE)</f>
        <v>A2203</v>
      </c>
      <c r="E312" s="14">
        <f>SUM(TAB_ENTRADA[[#This Row],[20/05/2019]:[Colunas1]])</f>
        <v>0</v>
      </c>
      <c r="F312" s="3"/>
      <c r="FK312" s="3">
        <v>0</v>
      </c>
    </row>
    <row r="313" spans="1:167" x14ac:dyDescent="0.25">
      <c r="A313" s="5" t="s">
        <v>1970</v>
      </c>
      <c r="B313" s="14" t="str">
        <f>VLOOKUP(TAB_ENTRADA[[#This Row],[Cod_2_Entrada]],TAB_ESTOQUE[[Codigo]:[Descrição Tecnica]],6,FALSE)</f>
        <v>IHM SIEMENS SIMATIC 6AV2 642-0BA01-1AX1 TP177B PN/DP-6 CSTN</v>
      </c>
      <c r="C313" s="14">
        <f>IFERROR(VLOOKUP(TAB_ENTRADA[[#This Row],[Cod_2_Entrada]],TAB_ESTOQUE[[Codigo]:[Referência Tec]],7,FALSE),"")</f>
        <v>0</v>
      </c>
      <c r="D313" s="14" t="str">
        <f>VLOOKUP(TAB_ENTRADA[[#This Row],[Cod_2_Entrada]],TAB_ESTOQUE[[Codigo]:[Endereço2]],12,FALSE)</f>
        <v>A2202</v>
      </c>
      <c r="E313" s="14">
        <f>SUM(TAB_ENTRADA[[#This Row],[20/05/2019]:[Colunas1]])</f>
        <v>1</v>
      </c>
      <c r="F313" s="3"/>
      <c r="FK313" s="3">
        <v>1</v>
      </c>
    </row>
    <row r="314" spans="1:167" x14ac:dyDescent="0.25">
      <c r="A314" s="5" t="s">
        <v>1971</v>
      </c>
      <c r="B314" s="14" t="str">
        <f>VLOOKUP(TAB_ENTRADA[[#This Row],[Cod_2_Entrada]],TAB_ESTOQUE[[Codigo]:[Descrição Tecnica]],6,FALSE)</f>
        <v xml:space="preserve">MÓDULO DE ENTRADAS DIGITAIS S7-300 16DI 24VDC 20PIN - REF. 6ES7-321-1BH02-0AA0 SIEMENS </v>
      </c>
      <c r="C314" s="14">
        <f>IFERROR(VLOOKUP(TAB_ENTRADA[[#This Row],[Cod_2_Entrada]],TAB_ESTOQUE[[Codigo]:[Referência Tec]],7,FALSE),"")</f>
        <v>0</v>
      </c>
      <c r="D314" s="14" t="str">
        <f>VLOOKUP(TAB_ENTRADA[[#This Row],[Cod_2_Entrada]],TAB_ESTOQUE[[Codigo]:[Endereço2]],12,FALSE)</f>
        <v>G1104</v>
      </c>
      <c r="E314" s="14">
        <f>SUM(TAB_ENTRADA[[#This Row],[20/05/2019]:[Colunas1]])</f>
        <v>1</v>
      </c>
      <c r="F314" s="3"/>
      <c r="FK314" s="3">
        <v>1</v>
      </c>
    </row>
    <row r="315" spans="1:167" x14ac:dyDescent="0.25">
      <c r="A315" s="5" t="s">
        <v>1972</v>
      </c>
      <c r="B315" s="14" t="str">
        <f>VLOOKUP(TAB_ENTRADA[[#This Row],[Cod_2_Entrada]],TAB_ESTOQUE[[Codigo]:[Descrição Tecnica]],6,FALSE)</f>
        <v>MÓDULO DE ENTRADAS ANALÓGICAS 8AI - 13BIT SIEMENS SIMATIC S7-300  6ES7 331-1KF02-0AB0</v>
      </c>
      <c r="C315" s="14">
        <f>IFERROR(VLOOKUP(TAB_ENTRADA[[#This Row],[Cod_2_Entrada]],TAB_ESTOQUE[[Codigo]:[Referência Tec]],7,FALSE),"")</f>
        <v>0</v>
      </c>
      <c r="D315" s="14" t="str">
        <f>VLOOKUP(TAB_ENTRADA[[#This Row],[Cod_2_Entrada]],TAB_ESTOQUE[[Codigo]:[Endereço2]],12,FALSE)</f>
        <v>G1104</v>
      </c>
      <c r="E315" s="14">
        <f>SUM(TAB_ENTRADA[[#This Row],[20/05/2019]:[Colunas1]])</f>
        <v>1</v>
      </c>
      <c r="F315" s="3"/>
      <c r="FK315" s="3">
        <v>1</v>
      </c>
    </row>
    <row r="316" spans="1:167" x14ac:dyDescent="0.25">
      <c r="A316" s="5" t="s">
        <v>1973</v>
      </c>
      <c r="B316" s="14" t="str">
        <f>VLOOKUP(TAB_ENTRADA[[#This Row],[Cod_2_Entrada]],TAB_ESTOQUE[[Codigo]:[Descrição Tecnica]],6,FALSE)</f>
        <v>CPU 314C - 2PN/PD,SIMATIC S7-300,192KB,24DI16DO SIEMENS -  REF. 6ES7-314-6EH04-0AB0</v>
      </c>
      <c r="C316" s="14">
        <f>IFERROR(VLOOKUP(TAB_ENTRADA[[#This Row],[Cod_2_Entrada]],TAB_ESTOQUE[[Codigo]:[Referência Tec]],7,FALSE),"")</f>
        <v>0</v>
      </c>
      <c r="D316" s="14" t="str">
        <f>VLOOKUP(TAB_ENTRADA[[#This Row],[Cod_2_Entrada]],TAB_ESTOQUE[[Codigo]:[Endereço2]],12,FALSE)</f>
        <v>G1104</v>
      </c>
      <c r="E316" s="14">
        <f>SUM(TAB_ENTRADA[[#This Row],[20/05/2019]:[Colunas1]])</f>
        <v>1</v>
      </c>
      <c r="F316" s="3"/>
      <c r="FK316" s="3">
        <v>1</v>
      </c>
    </row>
    <row r="317" spans="1:167" x14ac:dyDescent="0.25">
      <c r="A317" s="5" t="s">
        <v>1974</v>
      </c>
      <c r="B317" s="14" t="str">
        <f>VLOOKUP(TAB_ENTRADA[[#This Row],[Cod_2_Entrada]],TAB_ESTOQUE[[Codigo]:[Descrição Tecnica]],6,FALSE)</f>
        <v>RELE DE SEGURANÇA SCHHMERSAL SRB 301MC-24V NAC</v>
      </c>
      <c r="C317" s="14">
        <f>IFERROR(VLOOKUP(TAB_ENTRADA[[#This Row],[Cod_2_Entrada]],TAB_ESTOQUE[[Codigo]:[Referência Tec]],7,FALSE),"")</f>
        <v>0</v>
      </c>
      <c r="D317" s="14" t="str">
        <f>VLOOKUP(TAB_ENTRADA[[#This Row],[Cod_2_Entrada]],TAB_ESTOQUE[[Codigo]:[Endereço2]],12,FALSE)</f>
        <v>B1204</v>
      </c>
      <c r="E317" s="14">
        <f>SUM(TAB_ENTRADA[[#This Row],[20/05/2019]:[Colunas1]])</f>
        <v>6</v>
      </c>
      <c r="F317" s="3"/>
      <c r="FK317" s="3">
        <v>6</v>
      </c>
    </row>
    <row r="318" spans="1:167" x14ac:dyDescent="0.25">
      <c r="A318" s="5" t="s">
        <v>1975</v>
      </c>
      <c r="B318" s="14" t="str">
        <f>VLOOKUP(TAB_ENTRADA[[#This Row],[Cod_2_Entrada]],TAB_ESTOQUE[[Codigo]:[Descrição Tecnica]],6,FALSE)</f>
        <v>CABO PARA REDE ASI-I RUBBER 3RX9020-0AA00  (PRETO)</v>
      </c>
      <c r="C318" s="14">
        <f>IFERROR(VLOOKUP(TAB_ENTRADA[[#This Row],[Cod_2_Entrada]],TAB_ESTOQUE[[Codigo]:[Referência Tec]],7,FALSE),"")</f>
        <v>0</v>
      </c>
      <c r="D318" s="14" t="str">
        <f>VLOOKUP(TAB_ENTRADA[[#This Row],[Cod_2_Entrada]],TAB_ESTOQUE[[Codigo]:[Endereço2]],12,FALSE)</f>
        <v>B1406</v>
      </c>
      <c r="E318" s="14">
        <f>SUM(TAB_ENTRADA[[#This Row],[20/05/2019]:[Colunas1]])</f>
        <v>100</v>
      </c>
      <c r="F318" s="3"/>
      <c r="FK318" s="3">
        <v>100</v>
      </c>
    </row>
    <row r="319" spans="1:167" x14ac:dyDescent="0.25">
      <c r="A319" s="5" t="s">
        <v>1976</v>
      </c>
      <c r="B319" s="14" t="str">
        <f>VLOOKUP(TAB_ENTRADA[[#This Row],[Cod_2_Entrada]],TAB_ESTOQUE[[Codigo]:[Descrição Tecnica]],6,FALSE)</f>
        <v>CABO FLEX PRETO 20X1,5MM</v>
      </c>
      <c r="C319" s="14">
        <f>IFERROR(VLOOKUP(TAB_ENTRADA[[#This Row],[Cod_2_Entrada]],TAB_ESTOQUE[[Codigo]:[Referência Tec]],7,FALSE),"")</f>
        <v>0</v>
      </c>
      <c r="D319" s="14" t="str">
        <f>VLOOKUP(TAB_ENTRADA[[#This Row],[Cod_2_Entrada]],TAB_ESTOQUE[[Codigo]:[Endereço2]],12,FALSE)</f>
        <v>B2402</v>
      </c>
      <c r="E319" s="14">
        <f>SUM(TAB_ENTRADA[[#This Row],[20/05/2019]:[Colunas1]])</f>
        <v>0</v>
      </c>
      <c r="F319" s="3"/>
      <c r="FK319" s="3">
        <v>0</v>
      </c>
    </row>
    <row r="320" spans="1:167" x14ac:dyDescent="0.25">
      <c r="A320" s="5" t="s">
        <v>1977</v>
      </c>
      <c r="B320" s="14" t="str">
        <f>VLOOKUP(TAB_ENTRADA[[#This Row],[Cod_2_Entrada]],TAB_ESTOQUE[[Codigo]:[Descrição Tecnica]],6,FALSE)</f>
        <v>CABO FLEX PRETO 2,5MM</v>
      </c>
      <c r="C320" s="14">
        <f>IFERROR(VLOOKUP(TAB_ENTRADA[[#This Row],[Cod_2_Entrada]],TAB_ESTOQUE[[Codigo]:[Referência Tec]],7,FALSE),"")</f>
        <v>0</v>
      </c>
      <c r="D320" s="14" t="str">
        <f>VLOOKUP(TAB_ENTRADA[[#This Row],[Cod_2_Entrada]],TAB_ESTOQUE[[Codigo]:[Endereço2]],12,FALSE)</f>
        <v>B2404</v>
      </c>
      <c r="E320" s="14">
        <f>SUM(TAB_ENTRADA[[#This Row],[20/05/2019]:[Colunas1]])</f>
        <v>0</v>
      </c>
      <c r="F320" s="3"/>
      <c r="FK320" s="3">
        <v>0</v>
      </c>
    </row>
    <row r="321" spans="1:167" x14ac:dyDescent="0.25">
      <c r="A321" s="5" t="s">
        <v>1978</v>
      </c>
      <c r="B321" s="14" t="str">
        <f>VLOOKUP(TAB_ENTRADA[[#This Row],[Cod_2_Entrada]],TAB_ESTOQUE[[Codigo]:[Descrição Tecnica]],6,FALSE)</f>
        <v>CABO FLEX AZUL 4 MM</v>
      </c>
      <c r="C321" s="14">
        <f>IFERROR(VLOOKUP(TAB_ENTRADA[[#This Row],[Cod_2_Entrada]],TAB_ESTOQUE[[Codigo]:[Referência Tec]],7,FALSE),"")</f>
        <v>0</v>
      </c>
      <c r="D321" s="14" t="str">
        <f>VLOOKUP(TAB_ENTRADA[[#This Row],[Cod_2_Entrada]],TAB_ESTOQUE[[Codigo]:[Endereço2]],12,FALSE)</f>
        <v>B2404</v>
      </c>
      <c r="E321" s="14">
        <f>SUM(TAB_ENTRADA[[#This Row],[20/05/2019]:[Colunas1]])</f>
        <v>0</v>
      </c>
      <c r="F321" s="3"/>
      <c r="FK321" s="3">
        <v>0</v>
      </c>
    </row>
    <row r="322" spans="1:167" x14ac:dyDescent="0.25">
      <c r="A322" s="5" t="s">
        <v>1979</v>
      </c>
      <c r="B322" s="14" t="str">
        <f>VLOOKUP(TAB_ENTRADA[[#This Row],[Cod_2_Entrada]],TAB_ESTOQUE[[Codigo]:[Descrição Tecnica]],6,FALSE)</f>
        <v>GRADE DE PROTEÇÃO PARA COOLER</v>
      </c>
      <c r="C322" s="14">
        <f>IFERROR(VLOOKUP(TAB_ENTRADA[[#This Row],[Cod_2_Entrada]],TAB_ESTOQUE[[Codigo]:[Referência Tec]],7,FALSE),"")</f>
        <v>0</v>
      </c>
      <c r="D322" s="14" t="str">
        <f>VLOOKUP(TAB_ENTRADA[[#This Row],[Cod_2_Entrada]],TAB_ESTOQUE[[Codigo]:[Endereço2]],12,FALSE)</f>
        <v>B1105</v>
      </c>
      <c r="E322" s="14">
        <f>SUM(TAB_ENTRADA[[#This Row],[20/05/2019]:[Colunas1]])</f>
        <v>0</v>
      </c>
      <c r="F322" s="3"/>
      <c r="FK322" s="3">
        <v>0</v>
      </c>
    </row>
    <row r="323" spans="1:167" x14ac:dyDescent="0.25">
      <c r="A323" s="5" t="s">
        <v>1980</v>
      </c>
      <c r="B323" s="14" t="str">
        <f>VLOOKUP(TAB_ENTRADA[[#This Row],[Cod_2_Entrada]],TAB_ESTOQUE[[Codigo]:[Descrição Tecnica]],6,FALSE)</f>
        <v>MODULO DE EXPANSÃO 3RK3211-1AA10</v>
      </c>
      <c r="C323" s="14">
        <f>IFERROR(VLOOKUP(TAB_ENTRADA[[#This Row],[Cod_2_Entrada]],TAB_ESTOQUE[[Codigo]:[Referência Tec]],7,FALSE),"")</f>
        <v>0</v>
      </c>
      <c r="D323" s="14" t="str">
        <f>VLOOKUP(TAB_ENTRADA[[#This Row],[Cod_2_Entrada]],TAB_ESTOQUE[[Codigo]:[Endereço2]],12,FALSE)</f>
        <v>B1103</v>
      </c>
      <c r="E323" s="14">
        <f>SUM(TAB_ENTRADA[[#This Row],[20/05/2019]:[Colunas1]])</f>
        <v>1</v>
      </c>
      <c r="F323" s="3"/>
      <c r="FK323" s="3">
        <v>1</v>
      </c>
    </row>
    <row r="324" spans="1:167" x14ac:dyDescent="0.25">
      <c r="A324" s="5" t="s">
        <v>1981</v>
      </c>
      <c r="B324" s="14" t="str">
        <f>VLOOKUP(TAB_ENTRADA[[#This Row],[Cod_2_Entrada]],TAB_ESTOQUE[[Codigo]:[Descrição Tecnica]],6,FALSE)</f>
        <v>FONTE SCHMERSAL PSS-B24-120S 100-240V ac/2 codigo: 164224</v>
      </c>
      <c r="C324" s="14">
        <f>IFERROR(VLOOKUP(TAB_ENTRADA[[#This Row],[Cod_2_Entrada]],TAB_ESTOQUE[[Codigo]:[Referência Tec]],7,FALSE),"")</f>
        <v>0</v>
      </c>
      <c r="D324" s="14" t="str">
        <f>VLOOKUP(TAB_ENTRADA[[#This Row],[Cod_2_Entrada]],TAB_ESTOQUE[[Codigo]:[Endereço2]],12,FALSE)</f>
        <v>B1203</v>
      </c>
      <c r="E324" s="14">
        <f>SUM(TAB_ENTRADA[[#This Row],[20/05/2019]:[Colunas1]])</f>
        <v>0</v>
      </c>
      <c r="F324" s="3"/>
      <c r="FK324" s="3">
        <v>0</v>
      </c>
    </row>
    <row r="325" spans="1:167" x14ac:dyDescent="0.25">
      <c r="A325" s="5" t="s">
        <v>1982</v>
      </c>
      <c r="B325" s="14" t="str">
        <f>VLOOKUP(TAB_ENTRADA[[#This Row],[Cod_2_Entrada]],TAB_ESTOQUE[[Codigo]:[Descrição Tecnica]],6,FALSE)</f>
        <v>FONTE SIEMENS  6EP1 333 1LB00</v>
      </c>
      <c r="C325" s="14">
        <f>IFERROR(VLOOKUP(TAB_ENTRADA[[#This Row],[Cod_2_Entrada]],TAB_ESTOQUE[[Codigo]:[Referência Tec]],7,FALSE),"")</f>
        <v>0</v>
      </c>
      <c r="D325" s="14" t="str">
        <f>VLOOKUP(TAB_ENTRADA[[#This Row],[Cod_2_Entrada]],TAB_ESTOQUE[[Codigo]:[Endereço2]],12,FALSE)</f>
        <v>B1103</v>
      </c>
      <c r="E325" s="14">
        <f>SUM(TAB_ENTRADA[[#This Row],[20/05/2019]:[Colunas1]])</f>
        <v>2</v>
      </c>
      <c r="F325" s="3"/>
      <c r="FK325" s="3">
        <v>2</v>
      </c>
    </row>
    <row r="326" spans="1:167" x14ac:dyDescent="0.25">
      <c r="A326" s="5" t="s">
        <v>1983</v>
      </c>
      <c r="B326" s="14" t="str">
        <f>VLOOKUP(TAB_ENTRADA[[#This Row],[Cod_2_Entrada]],TAB_ESTOQUE[[Codigo]:[Descrição Tecnica]],6,FALSE)</f>
        <v>KIT REPARO DA GERADORA DE VACUO 0109531 (PIAB)</v>
      </c>
      <c r="C326" s="14">
        <f>IFERROR(VLOOKUP(TAB_ENTRADA[[#This Row],[Cod_2_Entrada]],TAB_ESTOQUE[[Codigo]:[Referência Tec]],7,FALSE),"")</f>
        <v>0</v>
      </c>
      <c r="D326" s="14" t="str">
        <f>VLOOKUP(TAB_ENTRADA[[#This Row],[Cod_2_Entrada]],TAB_ESTOQUE[[Codigo]:[Endereço2]],12,FALSE)</f>
        <v>G2103</v>
      </c>
      <c r="E326" s="14">
        <f>SUM(TAB_ENTRADA[[#This Row],[20/05/2019]:[Colunas1]])</f>
        <v>1</v>
      </c>
      <c r="F326" s="3"/>
      <c r="FK326" s="3">
        <v>1</v>
      </c>
    </row>
    <row r="327" spans="1:167" x14ac:dyDescent="0.25">
      <c r="A327" s="5" t="s">
        <v>1984</v>
      </c>
      <c r="B327" s="14" t="str">
        <f>VLOOKUP(TAB_ENTRADA[[#This Row],[Cod_2_Entrada]],TAB_ESTOQUE[[Codigo]:[Descrição Tecnica]],6,FALSE)</f>
        <v>VALVULA PAINEL FRONTAL SV-5-M5-B</v>
      </c>
      <c r="C327" s="14">
        <f>IFERROR(VLOOKUP(TAB_ENTRADA[[#This Row],[Cod_2_Entrada]],TAB_ESTOQUE[[Codigo]:[Referência Tec]],7,FALSE),"")</f>
        <v>0</v>
      </c>
      <c r="D327" s="14" t="str">
        <f>VLOOKUP(TAB_ENTRADA[[#This Row],[Cod_2_Entrada]],TAB_ESTOQUE[[Codigo]:[Endereço2]],12,FALSE)</f>
        <v>C1204</v>
      </c>
      <c r="E327" s="14">
        <f>SUM(TAB_ENTRADA[[#This Row],[20/05/2019]:[Colunas1]])</f>
        <v>2</v>
      </c>
      <c r="F327" s="3"/>
      <c r="FK327" s="3">
        <v>2</v>
      </c>
    </row>
    <row r="328" spans="1:167" x14ac:dyDescent="0.25">
      <c r="A328" s="5" t="s">
        <v>1985</v>
      </c>
      <c r="B328" s="14" t="str">
        <f>VLOOKUP(TAB_ENTRADA[[#This Row],[Cod_2_Entrada]],TAB_ESTOQUE[[Codigo]:[Descrição Tecnica]],6,FALSE)</f>
        <v>PRESSOSTATO K53P</v>
      </c>
      <c r="C328" s="14">
        <f>IFERROR(VLOOKUP(TAB_ENTRADA[[#This Row],[Cod_2_Entrada]],TAB_ESTOQUE[[Codigo]:[Referência Tec]],7,FALSE),"")</f>
        <v>0</v>
      </c>
      <c r="D328" s="14" t="str">
        <f>VLOOKUP(TAB_ENTRADA[[#This Row],[Cod_2_Entrada]],TAB_ESTOQUE[[Codigo]:[Endereço2]],12,FALSE)</f>
        <v>D1303</v>
      </c>
      <c r="E328" s="14">
        <f>SUM(TAB_ENTRADA[[#This Row],[20/05/2019]:[Colunas1]])</f>
        <v>1</v>
      </c>
      <c r="F328" s="3"/>
      <c r="FK328" s="3">
        <v>1</v>
      </c>
    </row>
    <row r="329" spans="1:167" x14ac:dyDescent="0.25">
      <c r="A329" s="5" t="s">
        <v>1986</v>
      </c>
      <c r="B329" s="14" t="str">
        <f>VLOOKUP(TAB_ENTRADA[[#This Row],[Cod_2_Entrada]],TAB_ESTOQUE[[Codigo]:[Descrição Tecnica]],6,FALSE)</f>
        <v>SENSOR DFO0064 BFO D22-XAP-LB-EAK-30-02 (BALLUFF)</v>
      </c>
      <c r="C329" s="14">
        <f>IFERROR(VLOOKUP(TAB_ENTRADA[[#This Row],[Cod_2_Entrada]],TAB_ESTOQUE[[Codigo]:[Referência Tec]],7,FALSE),"")</f>
        <v>0</v>
      </c>
      <c r="D329" s="14" t="str">
        <f>VLOOKUP(TAB_ENTRADA[[#This Row],[Cod_2_Entrada]],TAB_ESTOQUE[[Codigo]:[Endereço2]],12,FALSE)</f>
        <v>A2203</v>
      </c>
      <c r="E329" s="14">
        <f>SUM(TAB_ENTRADA[[#This Row],[20/05/2019]:[Colunas1]])</f>
        <v>2</v>
      </c>
      <c r="F329" s="3"/>
      <c r="FK329" s="3">
        <v>2</v>
      </c>
    </row>
    <row r="330" spans="1:167" x14ac:dyDescent="0.25">
      <c r="A330" s="5" t="s">
        <v>1987</v>
      </c>
      <c r="B330" s="14" t="str">
        <f>VLOOKUP(TAB_ENTRADA[[#This Row],[Cod_2_Entrada]],TAB_ESTOQUE[[Codigo]:[Descrição Tecnica]],6,FALSE)</f>
        <v>PROGRAMADOR TM-DSDINA4 220VCA (METALTEX)</v>
      </c>
      <c r="C330" s="14">
        <f>IFERROR(VLOOKUP(TAB_ENTRADA[[#This Row],[Cod_2_Entrada]],TAB_ESTOQUE[[Codigo]:[Referência Tec]],7,FALSE),"")</f>
        <v>0</v>
      </c>
      <c r="D330" s="14" t="str">
        <f>VLOOKUP(TAB_ENTRADA[[#This Row],[Cod_2_Entrada]],TAB_ESTOQUE[[Codigo]:[Endereço2]],12,FALSE)</f>
        <v>A2104</v>
      </c>
      <c r="E330" s="14">
        <f>SUM(TAB_ENTRADA[[#This Row],[20/05/2019]:[Colunas1]])</f>
        <v>4</v>
      </c>
      <c r="F330" s="3"/>
      <c r="FK330" s="3">
        <v>4</v>
      </c>
    </row>
    <row r="331" spans="1:167" x14ac:dyDescent="0.25">
      <c r="A331" s="5" t="s">
        <v>1988</v>
      </c>
      <c r="B331" s="14" t="str">
        <f>VLOOKUP(TAB_ENTRADA[[#This Row],[Cod_2_Entrada]],TAB_ESTOQUE[[Codigo]:[Descrição Tecnica]],6,FALSE)</f>
        <v>VALVULA ESCAPE RAPIDO Q2000-01</v>
      </c>
      <c r="C331" s="14">
        <f>IFERROR(VLOOKUP(TAB_ENTRADA[[#This Row],[Cod_2_Entrada]],TAB_ESTOQUE[[Codigo]:[Referência Tec]],7,FALSE),"")</f>
        <v>0</v>
      </c>
      <c r="D331" s="14" t="str">
        <f>VLOOKUP(TAB_ENTRADA[[#This Row],[Cod_2_Entrada]],TAB_ESTOQUE[[Codigo]:[Endereço2]],12,FALSE)</f>
        <v>D1303</v>
      </c>
      <c r="E331" s="14">
        <f>SUM(TAB_ENTRADA[[#This Row],[20/05/2019]:[Colunas1]])</f>
        <v>4</v>
      </c>
      <c r="F331" s="3"/>
      <c r="FK331" s="3">
        <v>4</v>
      </c>
    </row>
    <row r="332" spans="1:167" x14ac:dyDescent="0.25">
      <c r="A332" s="5" t="s">
        <v>1989</v>
      </c>
      <c r="B332" s="14" t="str">
        <f>VLOOKUP(TAB_ENTRADA[[#This Row],[Cod_2_Entrada]],TAB_ESTOQUE[[Codigo]:[Descrição Tecnica]],6,FALSE)</f>
        <v>BOMBA BARMAG 6 CM 1502924</v>
      </c>
      <c r="C332" s="14">
        <f>IFERROR(VLOOKUP(TAB_ENTRADA[[#This Row],[Cod_2_Entrada]],TAB_ESTOQUE[[Codigo]:[Referência Tec]],7,FALSE),"")</f>
        <v>0</v>
      </c>
      <c r="D332" s="14" t="str">
        <f>VLOOKUP(TAB_ENTRADA[[#This Row],[Cod_2_Entrada]],TAB_ESTOQUE[[Codigo]:[Endereço2]],12,FALSE)</f>
        <v>D1204</v>
      </c>
      <c r="E332" s="14">
        <f>SUM(TAB_ENTRADA[[#This Row],[20/05/2019]:[Colunas1]])</f>
        <v>3</v>
      </c>
      <c r="F332" s="3"/>
      <c r="FK332" s="3">
        <v>3</v>
      </c>
    </row>
    <row r="333" spans="1:167" x14ac:dyDescent="0.25">
      <c r="A333" s="5" t="s">
        <v>1990</v>
      </c>
      <c r="B333" s="14" t="str">
        <f>VLOOKUP(TAB_ENTRADA[[#This Row],[Cod_2_Entrada]],TAB_ESTOQUE[[Codigo]:[Descrição Tecnica]],6,FALSE)</f>
        <v>KIT PRENSA EPILA (M15/M16)</v>
      </c>
      <c r="C333" s="14">
        <f>IFERROR(VLOOKUP(TAB_ENTRADA[[#This Row],[Cod_2_Entrada]],TAB_ESTOQUE[[Codigo]:[Referência Tec]],7,FALSE),"")</f>
        <v>0</v>
      </c>
      <c r="D333" s="14" t="str">
        <f>VLOOKUP(TAB_ENTRADA[[#This Row],[Cod_2_Entrada]],TAB_ESTOQUE[[Codigo]:[Endereço2]],12,FALSE)</f>
        <v>D1205</v>
      </c>
      <c r="E333" s="14">
        <f>SUM(TAB_ENTRADA[[#This Row],[20/05/2019]:[Colunas1]])</f>
        <v>1</v>
      </c>
      <c r="F333" s="3"/>
      <c r="FK333" s="3">
        <v>1</v>
      </c>
    </row>
    <row r="334" spans="1:167" x14ac:dyDescent="0.25">
      <c r="A334" s="5" t="s">
        <v>1991</v>
      </c>
      <c r="B334" s="14" t="str">
        <f>VLOOKUP(TAB_ENTRADA[[#This Row],[Cod_2_Entrada]],TAB_ESTOQUE[[Codigo]:[Descrição Tecnica]],6,FALSE)</f>
        <v>KIT PRENSA EPILA (M21)</v>
      </c>
      <c r="C334" s="14">
        <f>IFERROR(VLOOKUP(TAB_ENTRADA[[#This Row],[Cod_2_Entrada]],TAB_ESTOQUE[[Codigo]:[Referência Tec]],7,FALSE),"")</f>
        <v>0</v>
      </c>
      <c r="D334" s="14" t="str">
        <f>VLOOKUP(TAB_ENTRADA[[#This Row],[Cod_2_Entrada]],TAB_ESTOQUE[[Codigo]:[Endereço2]],12,FALSE)</f>
        <v>D1205</v>
      </c>
      <c r="E334" s="14">
        <f>SUM(TAB_ENTRADA[[#This Row],[20/05/2019]:[Colunas1]])</f>
        <v>1</v>
      </c>
      <c r="F334" s="3"/>
      <c r="FK334" s="3">
        <v>1</v>
      </c>
    </row>
    <row r="335" spans="1:167" x14ac:dyDescent="0.25">
      <c r="A335" s="5" t="s">
        <v>1992</v>
      </c>
      <c r="B335" s="14" t="str">
        <f>VLOOKUP(TAB_ENTRADA[[#This Row],[Cod_2_Entrada]],TAB_ESTOQUE[[Codigo]:[Descrição Tecnica]],6,FALSE)</f>
        <v>KIT PRENSA EPILA FCE001896/T</v>
      </c>
      <c r="C335" s="14">
        <f>IFERROR(VLOOKUP(TAB_ENTRADA[[#This Row],[Cod_2_Entrada]],TAB_ESTOQUE[[Codigo]:[Referência Tec]],7,FALSE),"")</f>
        <v>0</v>
      </c>
      <c r="D335" s="14" t="str">
        <f>VLOOKUP(TAB_ENTRADA[[#This Row],[Cod_2_Entrada]],TAB_ESTOQUE[[Codigo]:[Endereço2]],12,FALSE)</f>
        <v>D1205</v>
      </c>
      <c r="E335" s="14">
        <f>SUM(TAB_ENTRADA[[#This Row],[20/05/2019]:[Colunas1]])</f>
        <v>1</v>
      </c>
      <c r="F335" s="3"/>
      <c r="FK335" s="3">
        <v>1</v>
      </c>
    </row>
    <row r="336" spans="1:167" x14ac:dyDescent="0.25">
      <c r="A336" s="5" t="s">
        <v>1993</v>
      </c>
      <c r="B336" s="14" t="str">
        <f>VLOOKUP(TAB_ENTRADA[[#This Row],[Cod_2_Entrada]],TAB_ESTOQUE[[Codigo]:[Descrição Tecnica]],6,FALSE)</f>
        <v>IHM SIEMENS KTP400 6AV6 647-0AK11-3AX0</v>
      </c>
      <c r="C336" s="14">
        <f>IFERROR(VLOOKUP(TAB_ENTRADA[[#This Row],[Cod_2_Entrada]],TAB_ESTOQUE[[Codigo]:[Referência Tec]],7,FALSE),"")</f>
        <v>0</v>
      </c>
      <c r="D336" s="14" t="str">
        <f>VLOOKUP(TAB_ENTRADA[[#This Row],[Cod_2_Entrada]],TAB_ESTOQUE[[Codigo]:[Endereço2]],12,FALSE)</f>
        <v>A2102</v>
      </c>
      <c r="E336" s="14">
        <f>SUM(TAB_ENTRADA[[#This Row],[20/05/2019]:[Colunas1]])</f>
        <v>1</v>
      </c>
      <c r="F336" s="3"/>
      <c r="FK336" s="3">
        <v>1</v>
      </c>
    </row>
    <row r="337" spans="1:207" x14ac:dyDescent="0.25">
      <c r="A337" s="5" t="s">
        <v>1994</v>
      </c>
      <c r="B337" s="14" t="str">
        <f>VLOOKUP(TAB_ENTRADA[[#This Row],[Cod_2_Entrada]],TAB_ESTOQUE[[Codigo]:[Descrição Tecnica]],6,FALSE)</f>
        <v>PARAFUSADEIRA TIPO EMBREAGEM PUMA-AT-4054</v>
      </c>
      <c r="C337" s="14">
        <f>IFERROR(VLOOKUP(TAB_ENTRADA[[#This Row],[Cod_2_Entrada]],TAB_ESTOQUE[[Codigo]:[Referência Tec]],7,FALSE),"")</f>
        <v>0</v>
      </c>
      <c r="D337" s="14" t="str">
        <f>VLOOKUP(TAB_ENTRADA[[#This Row],[Cod_2_Entrada]],TAB_ESTOQUE[[Codigo]:[Endereço2]],12,FALSE)</f>
        <v>C1204</v>
      </c>
      <c r="E337" s="14">
        <f>SUM(TAB_ENTRADA[[#This Row],[20/05/2019]:[Colunas1]])</f>
        <v>1</v>
      </c>
      <c r="F337" s="3"/>
      <c r="FK337" s="3">
        <v>0</v>
      </c>
      <c r="GB337" s="3">
        <v>1</v>
      </c>
    </row>
    <row r="338" spans="1:207" x14ac:dyDescent="0.25">
      <c r="A338" s="5" t="s">
        <v>1995</v>
      </c>
      <c r="B338" s="14" t="str">
        <f>VLOOKUP(TAB_ENTRADA[[#This Row],[Cod_2_Entrada]],TAB_ESTOQUE[[Codigo]:[Descrição Tecnica]],6,FALSE)</f>
        <v>AMORTECEDOR MOLA GAS 150N</v>
      </c>
      <c r="C338" s="14">
        <f>IFERROR(VLOOKUP(TAB_ENTRADA[[#This Row],[Cod_2_Entrada]],TAB_ESTOQUE[[Codigo]:[Referência Tec]],7,FALSE),"")</f>
        <v>0</v>
      </c>
      <c r="D338" s="14" t="str">
        <f>VLOOKUP(TAB_ENTRADA[[#This Row],[Cod_2_Entrada]],TAB_ESTOQUE[[Codigo]:[Endereço2]],12,FALSE)</f>
        <v>D2303</v>
      </c>
      <c r="E338" s="14">
        <f>SUM(TAB_ENTRADA[[#This Row],[20/05/2019]:[Colunas1]])</f>
        <v>19</v>
      </c>
      <c r="F338" s="3"/>
      <c r="FK338" s="3">
        <v>11</v>
      </c>
      <c r="GY338" s="3">
        <v>8</v>
      </c>
    </row>
    <row r="339" spans="1:207" x14ac:dyDescent="0.25">
      <c r="A339" s="5" t="s">
        <v>1996</v>
      </c>
      <c r="B339" s="14" t="str">
        <f>VLOOKUP(TAB_ENTRADA[[#This Row],[Cod_2_Entrada]],TAB_ESTOQUE[[Codigo]:[Descrição Tecnica]],6,FALSE)</f>
        <v>KIT REPARO DO CILINDRO PNEUMATICO DSBC/G-32</v>
      </c>
      <c r="C339" s="14">
        <f>IFERROR(VLOOKUP(TAB_ENTRADA[[#This Row],[Cod_2_Entrada]],TAB_ESTOQUE[[Codigo]:[Referência Tec]],7,FALSE),"")</f>
        <v>0</v>
      </c>
      <c r="D339" s="14" t="str">
        <f>VLOOKUP(TAB_ENTRADA[[#This Row],[Cod_2_Entrada]],TAB_ESTOQUE[[Codigo]:[Endereço2]],12,FALSE)</f>
        <v>C1104</v>
      </c>
      <c r="E339" s="14">
        <f>SUM(TAB_ENTRADA[[#This Row],[20/05/2019]:[Colunas1]])</f>
        <v>1</v>
      </c>
      <c r="F339" s="3"/>
      <c r="FK339" s="3">
        <v>1</v>
      </c>
    </row>
    <row r="340" spans="1:207" x14ac:dyDescent="0.25">
      <c r="A340" s="5" t="s">
        <v>1997</v>
      </c>
      <c r="B340" s="14" t="str">
        <f>VLOOKUP(TAB_ENTRADA[[#This Row],[Cod_2_Entrada]],TAB_ESTOQUE[[Codigo]:[Descrição Tecnica]],6,FALSE)</f>
        <v>CONEXÃO PNEUMÁTICA 90° 12mm</v>
      </c>
      <c r="C340" s="14">
        <f>IFERROR(VLOOKUP(TAB_ENTRADA[[#This Row],[Cod_2_Entrada]],TAB_ESTOQUE[[Codigo]:[Referência Tec]],7,FALSE),"")</f>
        <v>0</v>
      </c>
      <c r="D340" s="14" t="str">
        <f>VLOOKUP(TAB_ENTRADA[[#This Row],[Cod_2_Entrada]],TAB_ESTOQUE[[Codigo]:[Endereço2]],12,FALSE)</f>
        <v>C1302</v>
      </c>
      <c r="E340" s="14">
        <f>SUM(TAB_ENTRADA[[#This Row],[20/05/2019]:[Colunas1]])</f>
        <v>20</v>
      </c>
      <c r="F340" s="3"/>
      <c r="FK340" s="3">
        <v>20</v>
      </c>
    </row>
    <row r="341" spans="1:207" x14ac:dyDescent="0.25">
      <c r="A341" s="5" t="s">
        <v>1998</v>
      </c>
      <c r="B341" s="14" t="str">
        <f>VLOOKUP(TAB_ENTRADA[[#This Row],[Cod_2_Entrada]],TAB_ESTOQUE[[Codigo]:[Descrição Tecnica]],6,FALSE)</f>
        <v>CORPO PISTOLA VALCO MELTON 912XX231</v>
      </c>
      <c r="C341" s="14">
        <f>IFERROR(VLOOKUP(TAB_ENTRADA[[#This Row],[Cod_2_Entrada]],TAB_ESTOQUE[[Codigo]:[Referência Tec]],7,FALSE),"")</f>
        <v>0</v>
      </c>
      <c r="D341" s="14" t="str">
        <f>VLOOKUP(TAB_ENTRADA[[#This Row],[Cod_2_Entrada]],TAB_ESTOQUE[[Codigo]:[Endereço2]],12,FALSE)</f>
        <v>E2302</v>
      </c>
      <c r="E341" s="14">
        <f>SUM(TAB_ENTRADA[[#This Row],[20/05/2019]:[Colunas1]])</f>
        <v>2</v>
      </c>
      <c r="F341" s="3"/>
      <c r="FK341" s="3">
        <v>2</v>
      </c>
    </row>
    <row r="342" spans="1:207" x14ac:dyDescent="0.25">
      <c r="A342" s="5" t="s">
        <v>1999</v>
      </c>
      <c r="B342" s="14" t="str">
        <f>VLOOKUP(TAB_ENTRADA[[#This Row],[Cod_2_Entrada]],TAB_ESTOQUE[[Codigo]:[Descrição Tecnica]],6,FALSE)</f>
        <v>CABO  PARA SENSOR PILZ 5333130</v>
      </c>
      <c r="C342" s="14">
        <f>IFERROR(VLOOKUP(TAB_ENTRADA[[#This Row],[Cod_2_Entrada]],TAB_ESTOQUE[[Codigo]:[Referência Tec]],7,FALSE),"")</f>
        <v>0</v>
      </c>
      <c r="D342" s="14" t="str">
        <f>VLOOKUP(TAB_ENTRADA[[#This Row],[Cod_2_Entrada]],TAB_ESTOQUE[[Codigo]:[Endereço2]],12,FALSE)</f>
        <v>B2402</v>
      </c>
      <c r="E342" s="14">
        <f>SUM(TAB_ENTRADA[[#This Row],[20/05/2019]:[Colunas1]])</f>
        <v>0</v>
      </c>
      <c r="F342" s="3"/>
      <c r="FK342" s="3">
        <v>0</v>
      </c>
    </row>
    <row r="343" spans="1:207" x14ac:dyDescent="0.25">
      <c r="A343" s="5" t="s">
        <v>2000</v>
      </c>
      <c r="B343" s="14" t="str">
        <f>VLOOKUP(TAB_ENTRADA[[#This Row],[Cod_2_Entrada]],TAB_ESTOQUE[[Codigo]:[Descrição Tecnica]],6,FALSE)</f>
        <v>BARREIRA SCHMERSAL SLC 440COM-ER-0890-30 890mm</v>
      </c>
      <c r="C343" s="14">
        <f>IFERROR(VLOOKUP(TAB_ENTRADA[[#This Row],[Cod_2_Entrada]],TAB_ESTOQUE[[Codigo]:[Referência Tec]],7,FALSE),"")</f>
        <v>0</v>
      </c>
      <c r="D343" s="14" t="str">
        <f>VLOOKUP(TAB_ENTRADA[[#This Row],[Cod_2_Entrada]],TAB_ESTOQUE[[Codigo]:[Endereço2]],12,FALSE)</f>
        <v>B2401</v>
      </c>
      <c r="E343" s="14">
        <f>SUM(TAB_ENTRADA[[#This Row],[20/05/2019]:[Colunas1]])</f>
        <v>10</v>
      </c>
      <c r="F343" s="3"/>
      <c r="FK343" s="3">
        <v>10</v>
      </c>
    </row>
    <row r="344" spans="1:207" x14ac:dyDescent="0.25">
      <c r="A344" s="5" t="s">
        <v>2001</v>
      </c>
      <c r="B344" s="14" t="str">
        <f>VLOOKUP(TAB_ENTRADA[[#This Row],[Cod_2_Entrada]],TAB_ESTOQUE[[Codigo]:[Descrição Tecnica]],6,FALSE)</f>
        <v>CABO PARA SENSOR  3HAC72361</v>
      </c>
      <c r="C344" s="14">
        <f>IFERROR(VLOOKUP(TAB_ENTRADA[[#This Row],[Cod_2_Entrada]],TAB_ESTOQUE[[Codigo]:[Referência Tec]],7,FALSE),"")</f>
        <v>0</v>
      </c>
      <c r="D344" s="14" t="str">
        <f>VLOOKUP(TAB_ENTRADA[[#This Row],[Cod_2_Entrada]],TAB_ESTOQUE[[Codigo]:[Endereço2]],12,FALSE)</f>
        <v>B2402</v>
      </c>
      <c r="E344" s="14">
        <f>SUM(TAB_ENTRADA[[#This Row],[20/05/2019]:[Colunas1]])</f>
        <v>0</v>
      </c>
      <c r="F344" s="3"/>
      <c r="FK344" s="3">
        <v>0</v>
      </c>
    </row>
    <row r="345" spans="1:207" x14ac:dyDescent="0.25">
      <c r="A345" s="5" t="s">
        <v>2002</v>
      </c>
      <c r="B345" s="14" t="str">
        <f>VLOOKUP(TAB_ENTRADA[[#This Row],[Cod_2_Entrada]],TAB_ESTOQUE[[Codigo]:[Descrição Tecnica]],6,FALSE)</f>
        <v>CABO COM PLUG FESTO KMF1-24-10-LED</v>
      </c>
      <c r="C345" s="14">
        <f>IFERROR(VLOOKUP(TAB_ENTRADA[[#This Row],[Cod_2_Entrada]],TAB_ESTOQUE[[Codigo]:[Referência Tec]],7,FALSE),"")</f>
        <v>0</v>
      </c>
      <c r="D345" s="14" t="str">
        <f>VLOOKUP(TAB_ENTRADA[[#This Row],[Cod_2_Entrada]],TAB_ESTOQUE[[Codigo]:[Endereço2]],12,FALSE)</f>
        <v>B2402</v>
      </c>
      <c r="E345" s="14">
        <f>SUM(TAB_ENTRADA[[#This Row],[20/05/2019]:[Colunas1]])</f>
        <v>0</v>
      </c>
      <c r="F345" s="3"/>
      <c r="FK345" s="3">
        <v>0</v>
      </c>
    </row>
    <row r="346" spans="1:207" x14ac:dyDescent="0.25">
      <c r="A346" s="5" t="s">
        <v>2003</v>
      </c>
      <c r="B346" s="14" t="str">
        <f>VLOOKUP(TAB_ENTRADA[[#This Row],[Cod_2_Entrada]],TAB_ESTOQUE[[Codigo]:[Descrição Tecnica]],6,FALSE)</f>
        <v>KIT CILINDRO FESTO ADN-50-P-A</v>
      </c>
      <c r="C346" s="14">
        <f>IFERROR(VLOOKUP(TAB_ENTRADA[[#This Row],[Cod_2_Entrada]],TAB_ESTOQUE[[Codigo]:[Referência Tec]],7,FALSE),"")</f>
        <v>0</v>
      </c>
      <c r="D346" s="14" t="str">
        <f>VLOOKUP(TAB_ENTRADA[[#This Row],[Cod_2_Entrada]],TAB_ESTOQUE[[Codigo]:[Endereço2]],12,FALSE)</f>
        <v>C1104</v>
      </c>
      <c r="E346" s="14">
        <f>SUM(TAB_ENTRADA[[#This Row],[20/05/2019]:[Colunas1]])</f>
        <v>5</v>
      </c>
      <c r="F346" s="3"/>
      <c r="FK346" s="3">
        <v>5</v>
      </c>
    </row>
    <row r="347" spans="1:207" x14ac:dyDescent="0.25">
      <c r="A347" s="5" t="s">
        <v>2004</v>
      </c>
      <c r="B347" s="14" t="str">
        <f>VLOOKUP(TAB_ENTRADA[[#This Row],[Cod_2_Entrada]],TAB_ESTOQUE[[Codigo]:[Descrição Tecnica]],6,FALSE)</f>
        <v>BOMBA DE ÓLEO TERMICO DA RZR 4.500</v>
      </c>
      <c r="C347" s="14">
        <f>IFERROR(VLOOKUP(TAB_ENTRADA[[#This Row],[Cod_2_Entrada]],TAB_ESTOQUE[[Codigo]:[Referência Tec]],7,FALSE),"")</f>
        <v>0</v>
      </c>
      <c r="D347" s="14" t="str">
        <f>VLOOKUP(TAB_ENTRADA[[#This Row],[Cod_2_Entrada]],TAB_ESTOQUE[[Codigo]:[Endereço2]],12,FALSE)</f>
        <v>E2306</v>
      </c>
      <c r="E347" s="14">
        <f>SUM(TAB_ENTRADA[[#This Row],[20/05/2019]:[Colunas1]])</f>
        <v>1</v>
      </c>
      <c r="F347" s="3"/>
      <c r="FK347" s="3">
        <v>1</v>
      </c>
    </row>
    <row r="348" spans="1:207" x14ac:dyDescent="0.25">
      <c r="A348" s="5" t="s">
        <v>2005</v>
      </c>
      <c r="B348" s="14" t="str">
        <f>VLOOKUP(TAB_ENTRADA[[#This Row],[Cod_2_Entrada]],TAB_ESTOQUE[[Codigo]:[Descrição Tecnica]],6,FALSE)</f>
        <v>BOSCHERT 30-40</v>
      </c>
      <c r="C348" s="14">
        <f>IFERROR(VLOOKUP(TAB_ENTRADA[[#This Row],[Cod_2_Entrada]],TAB_ESTOQUE[[Codigo]:[Referência Tec]],7,FALSE),"")</f>
        <v>0</v>
      </c>
      <c r="D348" s="14" t="str">
        <f>VLOOKUP(TAB_ENTRADA[[#This Row],[Cod_2_Entrada]],TAB_ESTOQUE[[Codigo]:[Endereço2]],12,FALSE)</f>
        <v>F1205</v>
      </c>
      <c r="E348" s="14">
        <f>SUM(TAB_ENTRADA[[#This Row],[20/05/2019]:[Colunas1]])</f>
        <v>1</v>
      </c>
      <c r="F348" s="3"/>
      <c r="FK348" s="3">
        <v>1</v>
      </c>
    </row>
    <row r="349" spans="1:207" x14ac:dyDescent="0.25">
      <c r="A349" s="5" t="s">
        <v>2006</v>
      </c>
      <c r="B349" s="14" t="str">
        <f>VLOOKUP(TAB_ENTRADA[[#This Row],[Cod_2_Entrada]],TAB_ESTOQUE[[Codigo]:[Descrição Tecnica]],6,FALSE)</f>
        <v>BARREIRA DE LUZ SICK C4000 STANDARD C40E-0703CA010</v>
      </c>
      <c r="C349" s="14">
        <f>IFERROR(VLOOKUP(TAB_ENTRADA[[#This Row],[Cod_2_Entrada]],TAB_ESTOQUE[[Codigo]:[Referência Tec]],7,FALSE),"")</f>
        <v>0</v>
      </c>
      <c r="D349" s="14" t="str">
        <f>VLOOKUP(TAB_ENTRADA[[#This Row],[Cod_2_Entrada]],TAB_ESTOQUE[[Codigo]:[Endereço2]],12,FALSE)</f>
        <v>B2101</v>
      </c>
      <c r="E349" s="14">
        <f>SUM(TAB_ENTRADA[[#This Row],[20/05/2019]:[Colunas1]])</f>
        <v>2</v>
      </c>
      <c r="F349" s="3"/>
      <c r="FK349" s="3">
        <v>1</v>
      </c>
      <c r="GA349" s="3">
        <v>1</v>
      </c>
    </row>
    <row r="350" spans="1:207" x14ac:dyDescent="0.25">
      <c r="A350" s="5" t="s">
        <v>2007</v>
      </c>
      <c r="B350" s="14" t="str">
        <f>VLOOKUP(TAB_ENTRADA[[#This Row],[Cod_2_Entrada]],TAB_ESTOQUE[[Codigo]:[Descrição Tecnica]],6,FALSE)</f>
        <v>CONJUNTO BARREIRA DE LUZ SICK (C465-1203CT 400)  (C46E-1203CV 400)</v>
      </c>
      <c r="C350" s="14">
        <f>IFERROR(VLOOKUP(TAB_ENTRADA[[#This Row],[Cod_2_Entrada]],TAB_ESTOQUE[[Codigo]:[Referência Tec]],7,FALSE),"")</f>
        <v>0</v>
      </c>
      <c r="D350" s="14" t="str">
        <f>VLOOKUP(TAB_ENTRADA[[#This Row],[Cod_2_Entrada]],TAB_ESTOQUE[[Codigo]:[Endereço2]],12,FALSE)</f>
        <v>F1201</v>
      </c>
      <c r="E350" s="14">
        <f>SUM(TAB_ENTRADA[[#This Row],[20/05/2019]:[Colunas1]])</f>
        <v>1</v>
      </c>
      <c r="F350" s="3"/>
      <c r="FK350" s="3">
        <v>1</v>
      </c>
    </row>
    <row r="351" spans="1:207" x14ac:dyDescent="0.25">
      <c r="A351" s="5" t="s">
        <v>2008</v>
      </c>
      <c r="B351" s="14" t="str">
        <f>VLOOKUP(TAB_ENTRADA[[#This Row],[Cod_2_Entrada]],TAB_ESTOQUE[[Codigo]:[Descrição Tecnica]],6,FALSE)</f>
        <v>BARREIRA DE LUZ SICK C405-1503DA040</v>
      </c>
      <c r="C351" s="14">
        <f>IFERROR(VLOOKUP(TAB_ENTRADA[[#This Row],[Cod_2_Entrada]],TAB_ESTOQUE[[Codigo]:[Referência Tec]],7,FALSE),"")</f>
        <v>0</v>
      </c>
      <c r="D351" s="14" t="str">
        <f>VLOOKUP(TAB_ENTRADA[[#This Row],[Cod_2_Entrada]],TAB_ESTOQUE[[Codigo]:[Endereço2]],12,FALSE)</f>
        <v>F1401</v>
      </c>
      <c r="E351" s="14">
        <f>SUM(TAB_ENTRADA[[#This Row],[20/05/2019]:[Colunas1]])</f>
        <v>1</v>
      </c>
      <c r="F351" s="3"/>
      <c r="FK351" s="3">
        <v>1</v>
      </c>
    </row>
    <row r="352" spans="1:207" x14ac:dyDescent="0.25">
      <c r="A352" s="5" t="s">
        <v>2009</v>
      </c>
      <c r="B352" s="14" t="str">
        <f>VLOOKUP(TAB_ENTRADA[[#This Row],[Cod_2_Entrada]],TAB_ESTOQUE[[Codigo]:[Descrição Tecnica]],6,FALSE)</f>
        <v>CILINDRO PNEUMATICO 40-50 ADN</v>
      </c>
      <c r="C352" s="14">
        <f>IFERROR(VLOOKUP(TAB_ENTRADA[[#This Row],[Cod_2_Entrada]],TAB_ESTOQUE[[Codigo]:[Referência Tec]],7,FALSE),"")</f>
        <v>0</v>
      </c>
      <c r="D352" s="14" t="str">
        <f>VLOOKUP(TAB_ENTRADA[[#This Row],[Cod_2_Entrada]],TAB_ESTOQUE[[Codigo]:[Endereço2]],12,FALSE)</f>
        <v>C1105</v>
      </c>
      <c r="E352" s="14">
        <f>SUM(TAB_ENTRADA[[#This Row],[20/05/2019]:[Colunas1]])</f>
        <v>0</v>
      </c>
      <c r="F352" s="3"/>
      <c r="FK352" s="3">
        <v>0</v>
      </c>
    </row>
    <row r="353" spans="1:167" x14ac:dyDescent="0.25">
      <c r="A353" s="5" t="s">
        <v>2010</v>
      </c>
      <c r="B353" s="14" t="str">
        <f>VLOOKUP(TAB_ENTRADA[[#This Row],[Cod_2_Entrada]],TAB_ESTOQUE[[Codigo]:[Descrição Tecnica]],6,FALSE)</f>
        <v>VALVULA PNEUMATICA 3/2 VIAS COM 2 BOBINA 220V</v>
      </c>
      <c r="C353" s="14">
        <f>IFERROR(VLOOKUP(TAB_ENTRADA[[#This Row],[Cod_2_Entrada]],TAB_ESTOQUE[[Codigo]:[Referência Tec]],7,FALSE),"")</f>
        <v>0</v>
      </c>
      <c r="D353" s="14" t="str">
        <f>VLOOKUP(TAB_ENTRADA[[#This Row],[Cod_2_Entrada]],TAB_ESTOQUE[[Codigo]:[Endereço2]],12,FALSE)</f>
        <v>C1103</v>
      </c>
      <c r="E353" s="14">
        <f>SUM(TAB_ENTRADA[[#This Row],[20/05/2019]:[Colunas1]])</f>
        <v>4</v>
      </c>
      <c r="F353" s="3"/>
      <c r="FK353" s="3">
        <v>4</v>
      </c>
    </row>
    <row r="354" spans="1:167" x14ac:dyDescent="0.25">
      <c r="A354" s="5" t="s">
        <v>2011</v>
      </c>
      <c r="B354" s="14" t="str">
        <f>VLOOKUP(TAB_ENTRADA[[#This Row],[Cod_2_Entrada]],TAB_ESTOQUE[[Codigo]:[Descrição Tecnica]],6,FALSE)</f>
        <v>VALVULA PNEUMATICA 2/2 VIAS COM 2 BOBINA 220V</v>
      </c>
      <c r="C354" s="14">
        <f>IFERROR(VLOOKUP(TAB_ENTRADA[[#This Row],[Cod_2_Entrada]],TAB_ESTOQUE[[Codigo]:[Referência Tec]],7,FALSE),"")</f>
        <v>0</v>
      </c>
      <c r="D354" s="14" t="str">
        <f>VLOOKUP(TAB_ENTRADA[[#This Row],[Cod_2_Entrada]],TAB_ESTOQUE[[Codigo]:[Endereço2]],12,FALSE)</f>
        <v>C1103</v>
      </c>
      <c r="E354" s="14">
        <f>SUM(TAB_ENTRADA[[#This Row],[20/05/2019]:[Colunas1]])</f>
        <v>5</v>
      </c>
      <c r="F354" s="3"/>
      <c r="FK354" s="3">
        <v>5</v>
      </c>
    </row>
    <row r="355" spans="1:167" x14ac:dyDescent="0.25">
      <c r="A355" s="5" t="s">
        <v>2012</v>
      </c>
      <c r="B355" s="14" t="str">
        <f>VLOOKUP(TAB_ENTRADA[[#This Row],[Cod_2_Entrada]],TAB_ESTOQUE[[Codigo]:[Descrição Tecnica]],6,FALSE)</f>
        <v>CILINDRO COMPACTO ADVU-63-100-P-A COM ROSCA EXTERNA NA HASTE</v>
      </c>
      <c r="C355" s="14">
        <f>IFERROR(VLOOKUP(TAB_ENTRADA[[#This Row],[Cod_2_Entrada]],TAB_ESTOQUE[[Codigo]:[Referência Tec]],7,FALSE),"")</f>
        <v>0</v>
      </c>
      <c r="D355" s="14" t="str">
        <f>VLOOKUP(TAB_ENTRADA[[#This Row],[Cod_2_Entrada]],TAB_ESTOQUE[[Codigo]:[Endereço2]],12,FALSE)</f>
        <v>C1105</v>
      </c>
      <c r="E355" s="14">
        <f>SUM(TAB_ENTRADA[[#This Row],[20/05/2019]:[Colunas1]])</f>
        <v>1</v>
      </c>
      <c r="F355" s="3"/>
      <c r="FK355" s="3">
        <v>1</v>
      </c>
    </row>
    <row r="356" spans="1:167" x14ac:dyDescent="0.25">
      <c r="A356" s="5" t="s">
        <v>2013</v>
      </c>
      <c r="B356" s="14" t="str">
        <f>VLOOKUP(TAB_ENTRADA[[#This Row],[Cod_2_Entrada]],TAB_ESTOQUE[[Codigo]:[Descrição Tecnica]],6,FALSE)</f>
        <v>SERVO MOTOR SEW EURODRIVE WA37B CMP50M/BK/KY/AKOH/SB1</v>
      </c>
      <c r="C356" s="14">
        <f>IFERROR(VLOOKUP(TAB_ENTRADA[[#This Row],[Cod_2_Entrada]],TAB_ESTOQUE[[Codigo]:[Referência Tec]],7,FALSE),"")</f>
        <v>0</v>
      </c>
      <c r="D356" s="14" t="str">
        <f>VLOOKUP(TAB_ENTRADA[[#This Row],[Cod_2_Entrada]],TAB_ESTOQUE[[Codigo]:[Endereço2]],12,FALSE)</f>
        <v>E2305</v>
      </c>
      <c r="E356" s="14">
        <f>SUM(TAB_ENTRADA[[#This Row],[20/05/2019]:[Colunas1]])</f>
        <v>1</v>
      </c>
      <c r="F356" s="3"/>
      <c r="FK356" s="3">
        <v>1</v>
      </c>
    </row>
    <row r="357" spans="1:167" x14ac:dyDescent="0.25">
      <c r="A357" s="5" t="s">
        <v>2014</v>
      </c>
      <c r="B357" s="14" t="str">
        <f>VLOOKUP(TAB_ENTRADA[[#This Row],[Cod_2_Entrada]],TAB_ESTOQUE[[Codigo]:[Descrição Tecnica]],6,FALSE)</f>
        <v>MANOMETRO ROSCA VERTICAL 1/4"NPT  400 BAR COM GLICERINA</v>
      </c>
      <c r="C357" s="14">
        <f>IFERROR(VLOOKUP(TAB_ENTRADA[[#This Row],[Cod_2_Entrada]],TAB_ESTOQUE[[Codigo]:[Referência Tec]],7,FALSE),"")</f>
        <v>0</v>
      </c>
      <c r="D357" s="14" t="str">
        <f>VLOOKUP(TAB_ENTRADA[[#This Row],[Cod_2_Entrada]],TAB_ESTOQUE[[Codigo]:[Endereço2]],12,FALSE)</f>
        <v>E2405</v>
      </c>
      <c r="E357" s="14">
        <f>SUM(TAB_ENTRADA[[#This Row],[20/05/2019]:[Colunas1]])</f>
        <v>1</v>
      </c>
      <c r="F357" s="3"/>
      <c r="FK357" s="3">
        <v>1</v>
      </c>
    </row>
    <row r="358" spans="1:167" x14ac:dyDescent="0.25">
      <c r="A358" s="5" t="s">
        <v>2015</v>
      </c>
      <c r="B358" s="14" t="str">
        <f>VLOOKUP(TAB_ENTRADA[[#This Row],[Cod_2_Entrada]],TAB_ESTOQUE[[Codigo]:[Descrição Tecnica]],6,FALSE)</f>
        <v>MANOMETRO INDICADOR DE SATURAÇÃO PÁRA FILTRO 1/8" COM ADAP.</v>
      </c>
      <c r="C358" s="14">
        <f>IFERROR(VLOOKUP(TAB_ENTRADA[[#This Row],[Cod_2_Entrada]],TAB_ESTOQUE[[Codigo]:[Referência Tec]],7,FALSE),"")</f>
        <v>0</v>
      </c>
      <c r="D358" s="14" t="str">
        <f>VLOOKUP(TAB_ENTRADA[[#This Row],[Cod_2_Entrada]],TAB_ESTOQUE[[Codigo]:[Endereço2]],12,FALSE)</f>
        <v>E2405</v>
      </c>
      <c r="E358" s="14">
        <f>SUM(TAB_ENTRADA[[#This Row],[20/05/2019]:[Colunas1]])</f>
        <v>0</v>
      </c>
      <c r="F358" s="3"/>
      <c r="FK358" s="3">
        <v>0</v>
      </c>
    </row>
    <row r="359" spans="1:167" x14ac:dyDescent="0.25">
      <c r="A359" s="5" t="s">
        <v>2016</v>
      </c>
      <c r="B359" s="14" t="str">
        <f>VLOOKUP(TAB_ENTRADA[[#This Row],[Cod_2_Entrada]],TAB_ESTOQUE[[Codigo]:[Descrição Tecnica]],6,FALSE)</f>
        <v>TERMOMETRO 150°C COM HASTE 60MM PARAFUSADA</v>
      </c>
      <c r="C359" s="14">
        <f>IFERROR(VLOOKUP(TAB_ENTRADA[[#This Row],[Cod_2_Entrada]],TAB_ESTOQUE[[Codigo]:[Referência Tec]],7,FALSE),"")</f>
        <v>0</v>
      </c>
      <c r="D359" s="14" t="str">
        <f>VLOOKUP(TAB_ENTRADA[[#This Row],[Cod_2_Entrada]],TAB_ESTOQUE[[Codigo]:[Endereço2]],12,FALSE)</f>
        <v>E2405</v>
      </c>
      <c r="E359" s="14">
        <f>SUM(TAB_ENTRADA[[#This Row],[20/05/2019]:[Colunas1]])</f>
        <v>1</v>
      </c>
      <c r="F359" s="3"/>
      <c r="FK359" s="3">
        <v>1</v>
      </c>
    </row>
    <row r="360" spans="1:167" x14ac:dyDescent="0.25">
      <c r="A360" s="5" t="s">
        <v>2017</v>
      </c>
      <c r="B360" s="14" t="str">
        <f>VLOOKUP(TAB_ENTRADA[[#This Row],[Cod_2_Entrada]],TAB_ESTOQUE[[Codigo]:[Descrição Tecnica]],6,FALSE)</f>
        <v>MANOMETRO COM ROSCA 1/4" VERTICAL 1500PSI 100BAR COM GLICERINA</v>
      </c>
      <c r="C360" s="14">
        <f>IFERROR(VLOOKUP(TAB_ENTRADA[[#This Row],[Cod_2_Entrada]],TAB_ESTOQUE[[Codigo]:[Referência Tec]],7,FALSE),"")</f>
        <v>0</v>
      </c>
      <c r="D360" s="14" t="str">
        <f>VLOOKUP(TAB_ENTRADA[[#This Row],[Cod_2_Entrada]],TAB_ESTOQUE[[Codigo]:[Endereço2]],12,FALSE)</f>
        <v>E2404</v>
      </c>
      <c r="E360" s="14">
        <f>SUM(TAB_ENTRADA[[#This Row],[20/05/2019]:[Colunas1]])</f>
        <v>1</v>
      </c>
      <c r="F360" s="3"/>
      <c r="FK360" s="3">
        <v>1</v>
      </c>
    </row>
    <row r="361" spans="1:167" x14ac:dyDescent="0.25">
      <c r="A361" s="5" t="s">
        <v>2018</v>
      </c>
      <c r="B361" s="14" t="str">
        <f>VLOOKUP(TAB_ENTRADA[[#This Row],[Cod_2_Entrada]],TAB_ESTOQUE[[Codigo]:[Descrição Tecnica]],6,FALSE)</f>
        <v>MANOMETRO COM ROSCA 1/2" VERTICAL 6000PSI 400BAR COM GLICERINA</v>
      </c>
      <c r="C361" s="14">
        <f>IFERROR(VLOOKUP(TAB_ENTRADA[[#This Row],[Cod_2_Entrada]],TAB_ESTOQUE[[Codigo]:[Referência Tec]],7,FALSE),"")</f>
        <v>0</v>
      </c>
      <c r="D361" s="14" t="str">
        <f>VLOOKUP(TAB_ENTRADA[[#This Row],[Cod_2_Entrada]],TAB_ESTOQUE[[Codigo]:[Endereço2]],12,FALSE)</f>
        <v>E2404</v>
      </c>
      <c r="E361" s="14">
        <f>SUM(TAB_ENTRADA[[#This Row],[20/05/2019]:[Colunas1]])</f>
        <v>2</v>
      </c>
      <c r="F361" s="3"/>
      <c r="FK361" s="3">
        <v>2</v>
      </c>
    </row>
    <row r="362" spans="1:167" x14ac:dyDescent="0.25">
      <c r="A362" s="5" t="s">
        <v>2019</v>
      </c>
      <c r="B362" s="14" t="str">
        <f>VLOOKUP(TAB_ENTRADA[[#This Row],[Cod_2_Entrada]],TAB_ESTOQUE[[Codigo]:[Descrição Tecnica]],6,FALSE)</f>
        <v>MANOMETRO COM ROSCA 1/2" HORIZONTAL 600PSI 400BAR COM GLICERINA</v>
      </c>
      <c r="C362" s="14">
        <f>IFERROR(VLOOKUP(TAB_ENTRADA[[#This Row],[Cod_2_Entrada]],TAB_ESTOQUE[[Codigo]:[Referência Tec]],7,FALSE),"")</f>
        <v>0</v>
      </c>
      <c r="D362" s="14" t="str">
        <f>VLOOKUP(TAB_ENTRADA[[#This Row],[Cod_2_Entrada]],TAB_ESTOQUE[[Codigo]:[Endereço2]],12,FALSE)</f>
        <v>E2404</v>
      </c>
      <c r="E362" s="14">
        <f>SUM(TAB_ENTRADA[[#This Row],[20/05/2019]:[Colunas1]])</f>
        <v>1</v>
      </c>
      <c r="F362" s="3"/>
      <c r="FK362" s="3">
        <v>1</v>
      </c>
    </row>
    <row r="363" spans="1:167" x14ac:dyDescent="0.25">
      <c r="A363" s="5" t="s">
        <v>2020</v>
      </c>
      <c r="B363" s="14" t="str">
        <f>VLOOKUP(TAB_ENTRADA[[#This Row],[Cod_2_Entrada]],TAB_ESTOQUE[[Codigo]:[Descrição Tecnica]],6,FALSE)</f>
        <v>MANOMETRO COM ROSCA 1/8" HORIZONTAL 140PSI 10 BAR</v>
      </c>
      <c r="C363" s="14">
        <f>IFERROR(VLOOKUP(TAB_ENTRADA[[#This Row],[Cod_2_Entrada]],TAB_ESTOQUE[[Codigo]:[Referência Tec]],7,FALSE),"")</f>
        <v>0</v>
      </c>
      <c r="D363" s="14" t="str">
        <f>VLOOKUP(TAB_ENTRADA[[#This Row],[Cod_2_Entrada]],TAB_ESTOQUE[[Codigo]:[Endereço2]],12,FALSE)</f>
        <v>E2404</v>
      </c>
      <c r="E363" s="14">
        <f>SUM(TAB_ENTRADA[[#This Row],[20/05/2019]:[Colunas1]])</f>
        <v>3</v>
      </c>
      <c r="F363" s="3"/>
      <c r="FK363" s="3">
        <v>3</v>
      </c>
    </row>
    <row r="364" spans="1:167" x14ac:dyDescent="0.25">
      <c r="A364" s="5" t="s">
        <v>2021</v>
      </c>
      <c r="B364" s="14" t="str">
        <f>VLOOKUP(TAB_ENTRADA[[#This Row],[Cod_2_Entrada]],TAB_ESTOQUE[[Codigo]:[Descrição Tecnica]],6,FALSE)</f>
        <v>VALVULA DIAFRAGMA 3/4" COM BOBINA 24V DC</v>
      </c>
      <c r="C364" s="14">
        <f>IFERROR(VLOOKUP(TAB_ENTRADA[[#This Row],[Cod_2_Entrada]],TAB_ESTOQUE[[Codigo]:[Referência Tec]],7,FALSE),"")</f>
        <v>0</v>
      </c>
      <c r="D364" s="14" t="str">
        <f>VLOOKUP(TAB_ENTRADA[[#This Row],[Cod_2_Entrada]],TAB_ESTOQUE[[Codigo]:[Endereço2]],12,FALSE)</f>
        <v>C1203</v>
      </c>
      <c r="E364" s="14">
        <f>SUM(TAB_ENTRADA[[#This Row],[20/05/2019]:[Colunas1]])</f>
        <v>0</v>
      </c>
      <c r="F364" s="3"/>
      <c r="FK364" s="3">
        <v>0</v>
      </c>
    </row>
    <row r="365" spans="1:167" x14ac:dyDescent="0.25">
      <c r="A365" s="5" t="s">
        <v>2022</v>
      </c>
      <c r="B365" s="14" t="str">
        <f>VLOOKUP(TAB_ENTRADA[[#This Row],[Cod_2_Entrada]],TAB_ESTOQUE[[Codigo]:[Descrição Tecnica]],6,FALSE)</f>
        <v>VALVULA DIAFRAGMA 1" COM BOBINA 24V DC</v>
      </c>
      <c r="C365" s="14">
        <f>IFERROR(VLOOKUP(TAB_ENTRADA[[#This Row],[Cod_2_Entrada]],TAB_ESTOQUE[[Codigo]:[Referência Tec]],7,FALSE),"")</f>
        <v>0</v>
      </c>
      <c r="D365" s="14" t="str">
        <f>VLOOKUP(TAB_ENTRADA[[#This Row],[Cod_2_Entrada]],TAB_ESTOQUE[[Codigo]:[Endereço2]],12,FALSE)</f>
        <v>C1203</v>
      </c>
      <c r="E365" s="14">
        <f>SUM(TAB_ENTRADA[[#This Row],[20/05/2019]:[Colunas1]])</f>
        <v>0</v>
      </c>
      <c r="F365" s="3"/>
      <c r="FK365" s="3">
        <v>0</v>
      </c>
    </row>
    <row r="366" spans="1:167" x14ac:dyDescent="0.25">
      <c r="A366" s="5" t="s">
        <v>2023</v>
      </c>
      <c r="B366" s="14" t="str">
        <f>VLOOKUP(TAB_ENTRADA[[#This Row],[Cod_2_Entrada]],TAB_ESTOQUE[[Codigo]:[Descrição Tecnica]],6,FALSE)</f>
        <v>CONEXÃO PNEUMÁTICA TIPO T 12mm</v>
      </c>
      <c r="C366" s="14">
        <f>IFERROR(VLOOKUP(TAB_ENTRADA[[#This Row],[Cod_2_Entrada]],TAB_ESTOQUE[[Codigo]:[Referência Tec]],7,FALSE),"")</f>
        <v>0</v>
      </c>
      <c r="D366" s="14" t="str">
        <f>VLOOKUP(TAB_ENTRADA[[#This Row],[Cod_2_Entrada]],TAB_ESTOQUE[[Codigo]:[Endereço2]],12,FALSE)</f>
        <v>C1302</v>
      </c>
      <c r="E366" s="14">
        <f>SUM(TAB_ENTRADA[[#This Row],[20/05/2019]:[Colunas1]])</f>
        <v>3</v>
      </c>
      <c r="F366" s="3"/>
      <c r="FK366" s="3">
        <v>3</v>
      </c>
    </row>
    <row r="367" spans="1:167" x14ac:dyDescent="0.25">
      <c r="A367" s="5" t="s">
        <v>2024</v>
      </c>
      <c r="B367" s="14" t="str">
        <f>VLOOKUP(TAB_ENTRADA[[#This Row],[Cod_2_Entrada]],TAB_ESTOQUE[[Codigo]:[Descrição Tecnica]],6,FALSE)</f>
        <v>SENSOR D-79183 IME08-02BPSZCOS 1051205</v>
      </c>
      <c r="C367" s="14">
        <f>IFERROR(VLOOKUP(TAB_ENTRADA[[#This Row],[Cod_2_Entrada]],TAB_ESTOQUE[[Codigo]:[Referência Tec]],7,FALSE),"")</f>
        <v>0</v>
      </c>
      <c r="D367" s="14" t="str">
        <f>VLOOKUP(TAB_ENTRADA[[#This Row],[Cod_2_Entrada]],TAB_ESTOQUE[[Codigo]:[Endereço2]],12,FALSE)</f>
        <v>A2203</v>
      </c>
      <c r="E367" s="14">
        <f>SUM(TAB_ENTRADA[[#This Row],[20/05/2019]:[Colunas1]])</f>
        <v>0</v>
      </c>
      <c r="F367" s="3"/>
      <c r="FK367" s="3">
        <v>0</v>
      </c>
    </row>
    <row r="368" spans="1:167" x14ac:dyDescent="0.25">
      <c r="A368" s="5" t="s">
        <v>2025</v>
      </c>
      <c r="B368" s="14" t="str">
        <f>VLOOKUP(TAB_ENTRADA[[#This Row],[Cod_2_Entrada]],TAB_ESTOQUE[[Codigo]:[Descrição Tecnica]],6,FALSE)</f>
        <v>CONEXÃO PNEUMÁTICA  10mm COM ROSCA 3/4"</v>
      </c>
      <c r="C368" s="14">
        <f>IFERROR(VLOOKUP(TAB_ENTRADA[[#This Row],[Cod_2_Entrada]],TAB_ESTOQUE[[Codigo]:[Referência Tec]],7,FALSE),"")</f>
        <v>0</v>
      </c>
      <c r="D368" s="14" t="str">
        <f>VLOOKUP(TAB_ENTRADA[[#This Row],[Cod_2_Entrada]],TAB_ESTOQUE[[Codigo]:[Endereço2]],12,FALSE)</f>
        <v>C1304</v>
      </c>
      <c r="E368" s="14">
        <f>SUM(TAB_ENTRADA[[#This Row],[20/05/2019]:[Colunas1]])</f>
        <v>1</v>
      </c>
      <c r="F368" s="3"/>
      <c r="FK368" s="3">
        <v>1</v>
      </c>
    </row>
    <row r="369" spans="1:192" x14ac:dyDescent="0.25">
      <c r="A369" s="5" t="s">
        <v>2026</v>
      </c>
      <c r="B369" s="14" t="str">
        <f>VLOOKUP(TAB_ENTRADA[[#This Row],[Cod_2_Entrada]],TAB_ESTOQUE[[Codigo]:[Descrição Tecnica]],6,FALSE)</f>
        <v>CONEXÃO PNEUMÁTICA 90° 6mm</v>
      </c>
      <c r="C369" s="14">
        <f>IFERROR(VLOOKUP(TAB_ENTRADA[[#This Row],[Cod_2_Entrada]],TAB_ESTOQUE[[Codigo]:[Referência Tec]],7,FALSE),"")</f>
        <v>0</v>
      </c>
      <c r="D369" s="14" t="str">
        <f>VLOOKUP(TAB_ENTRADA[[#This Row],[Cod_2_Entrada]],TAB_ESTOQUE[[Codigo]:[Endereço2]],12,FALSE)</f>
        <v>C1302</v>
      </c>
      <c r="E369" s="14">
        <f>SUM(TAB_ENTRADA[[#This Row],[20/05/2019]:[Colunas1]])</f>
        <v>30</v>
      </c>
      <c r="F369" s="3"/>
      <c r="FK369" s="3">
        <v>30</v>
      </c>
    </row>
    <row r="370" spans="1:192" x14ac:dyDescent="0.25">
      <c r="A370" s="5" t="s">
        <v>2027</v>
      </c>
      <c r="B370" s="14" t="str">
        <f>VLOOKUP(TAB_ENTRADA[[#This Row],[Cod_2_Entrada]],TAB_ESTOQUE[[Codigo]:[Descrição Tecnica]],6,FALSE)</f>
        <v>CONEXÃO PNEUMÁTICA 10mm COM ROSCA 1/4"</v>
      </c>
      <c r="C370" s="14">
        <f>IFERROR(VLOOKUP(TAB_ENTRADA[[#This Row],[Cod_2_Entrada]],TAB_ESTOQUE[[Codigo]:[Referência Tec]],7,FALSE),"")</f>
        <v>0</v>
      </c>
      <c r="D370" s="14" t="str">
        <f>VLOOKUP(TAB_ENTRADA[[#This Row],[Cod_2_Entrada]],TAB_ESTOQUE[[Codigo]:[Endereço2]],12,FALSE)</f>
        <v>C1304</v>
      </c>
      <c r="E370" s="14">
        <f>SUM(TAB_ENTRADA[[#This Row],[20/05/2019]:[Colunas1]])</f>
        <v>11</v>
      </c>
      <c r="F370" s="3"/>
      <c r="FK370" s="3">
        <v>0</v>
      </c>
      <c r="FN370" s="3">
        <v>11</v>
      </c>
    </row>
    <row r="371" spans="1:192" x14ac:dyDescent="0.25">
      <c r="A371" s="5" t="s">
        <v>2028</v>
      </c>
      <c r="B371" s="14" t="str">
        <f>VLOOKUP(TAB_ENTRADA[[#This Row],[Cod_2_Entrada]],TAB_ESTOQUE[[Codigo]:[Descrição Tecnica]],6,FALSE)</f>
        <v>CONEXÃO PNEUTÁTICA 10mm COM ROSCA 1/2"</v>
      </c>
      <c r="C371" s="14">
        <f>IFERROR(VLOOKUP(TAB_ENTRADA[[#This Row],[Cod_2_Entrada]],TAB_ESTOQUE[[Codigo]:[Referência Tec]],7,FALSE),"")</f>
        <v>0</v>
      </c>
      <c r="D371" s="14" t="str">
        <f>VLOOKUP(TAB_ENTRADA[[#This Row],[Cod_2_Entrada]],TAB_ESTOQUE[[Codigo]:[Endereço2]],12,FALSE)</f>
        <v>C1304</v>
      </c>
      <c r="E371" s="14">
        <f>SUM(TAB_ENTRADA[[#This Row],[20/05/2019]:[Colunas1]])</f>
        <v>10</v>
      </c>
      <c r="F371" s="3"/>
      <c r="FK371" s="3">
        <v>10</v>
      </c>
    </row>
    <row r="372" spans="1:192" x14ac:dyDescent="0.25">
      <c r="A372" s="5" t="s">
        <v>2029</v>
      </c>
      <c r="B372" s="14" t="str">
        <f>VLOOKUP(TAB_ENTRADA[[#This Row],[Cod_2_Entrada]],TAB_ESTOQUE[[Codigo]:[Descrição Tecnica]],6,FALSE)</f>
        <v>CONEXÃO PNEUMÁTICA 8mm COM ROSCA 3/4"</v>
      </c>
      <c r="C372" s="14">
        <f>IFERROR(VLOOKUP(TAB_ENTRADA[[#This Row],[Cod_2_Entrada]],TAB_ESTOQUE[[Codigo]:[Referência Tec]],7,FALSE),"")</f>
        <v>0</v>
      </c>
      <c r="D372" s="14" t="str">
        <f>VLOOKUP(TAB_ENTRADA[[#This Row],[Cod_2_Entrada]],TAB_ESTOQUE[[Codigo]:[Endereço2]],12,FALSE)</f>
        <v>C1304</v>
      </c>
      <c r="E372" s="14">
        <f>SUM(TAB_ENTRADA[[#This Row],[20/05/2019]:[Colunas1]])</f>
        <v>0</v>
      </c>
      <c r="F372" s="3"/>
      <c r="FK372" s="3">
        <v>0</v>
      </c>
    </row>
    <row r="373" spans="1:192" x14ac:dyDescent="0.25">
      <c r="A373" s="5" t="s">
        <v>2030</v>
      </c>
      <c r="B373" s="14" t="str">
        <f>VLOOKUP(TAB_ENTRADA[[#This Row],[Cod_2_Entrada]],TAB_ESTOQUE[[Codigo]:[Descrição Tecnica]],6,FALSE)</f>
        <v>CONEXÃO PNEUMÁTICA 90° 8mm</v>
      </c>
      <c r="C373" s="14">
        <f>IFERROR(VLOOKUP(TAB_ENTRADA[[#This Row],[Cod_2_Entrada]],TAB_ESTOQUE[[Codigo]:[Referência Tec]],7,FALSE),"")</f>
        <v>0</v>
      </c>
      <c r="D373" s="14" t="str">
        <f>VLOOKUP(TAB_ENTRADA[[#This Row],[Cod_2_Entrada]],TAB_ESTOQUE[[Codigo]:[Endereço2]],12,FALSE)</f>
        <v>C1302</v>
      </c>
      <c r="E373" s="14">
        <f>SUM(TAB_ENTRADA[[#This Row],[20/05/2019]:[Colunas1]])</f>
        <v>25</v>
      </c>
      <c r="F373" s="3"/>
      <c r="FK373" s="3">
        <v>25</v>
      </c>
    </row>
    <row r="374" spans="1:192" x14ac:dyDescent="0.25">
      <c r="A374" s="5" t="s">
        <v>2031</v>
      </c>
      <c r="B374" s="14" t="str">
        <f>VLOOKUP(TAB_ENTRADA[[#This Row],[Cod_2_Entrada]],TAB_ESTOQUE[[Codigo]:[Descrição Tecnica]],6,FALSE)</f>
        <v>CONEXÃO PNEUMÁTICA 8mm COM ROSCA 1/4"</v>
      </c>
      <c r="C374" s="14">
        <f>IFERROR(VLOOKUP(TAB_ENTRADA[[#This Row],[Cod_2_Entrada]],TAB_ESTOQUE[[Codigo]:[Referência Tec]],7,FALSE),"")</f>
        <v>0</v>
      </c>
      <c r="D374" s="14" t="str">
        <f>VLOOKUP(TAB_ENTRADA[[#This Row],[Cod_2_Entrada]],TAB_ESTOQUE[[Codigo]:[Endereço2]],12,FALSE)</f>
        <v>C1304</v>
      </c>
      <c r="E374" s="14">
        <f>SUM(TAB_ENTRADA[[#This Row],[20/05/2019]:[Colunas1]])</f>
        <v>25</v>
      </c>
      <c r="F374" s="3"/>
      <c r="FK374" s="3">
        <v>1</v>
      </c>
      <c r="FN374" s="3">
        <v>4</v>
      </c>
      <c r="GB374" s="3">
        <v>20</v>
      </c>
    </row>
    <row r="375" spans="1:192" x14ac:dyDescent="0.25">
      <c r="A375" s="5" t="s">
        <v>2032</v>
      </c>
      <c r="B375" s="14" t="str">
        <f>VLOOKUP(TAB_ENTRADA[[#This Row],[Cod_2_Entrada]],TAB_ESTOQUE[[Codigo]:[Descrição Tecnica]],6,FALSE)</f>
        <v>CONEXÃO PNEUMÁTICA TIPO CRUZETA 10mm</v>
      </c>
      <c r="C375" s="14">
        <f>IFERROR(VLOOKUP(TAB_ENTRADA[[#This Row],[Cod_2_Entrada]],TAB_ESTOQUE[[Codigo]:[Referência Tec]],7,FALSE),"")</f>
        <v>0</v>
      </c>
      <c r="D375" s="14" t="str">
        <f>VLOOKUP(TAB_ENTRADA[[#This Row],[Cod_2_Entrada]],TAB_ESTOQUE[[Codigo]:[Endereço2]],12,FALSE)</f>
        <v>C1302</v>
      </c>
      <c r="E375" s="14">
        <f>SUM(TAB_ENTRADA[[#This Row],[20/05/2019]:[Colunas1]])</f>
        <v>15</v>
      </c>
      <c r="F375" s="3"/>
      <c r="FK375" s="3">
        <v>15</v>
      </c>
    </row>
    <row r="376" spans="1:192" x14ac:dyDescent="0.25">
      <c r="A376" s="5" t="s">
        <v>2033</v>
      </c>
      <c r="B376" s="14" t="str">
        <f>VLOOKUP(TAB_ENTRADA[[#This Row],[Cod_2_Entrada]],TAB_ESTOQUE[[Codigo]:[Descrição Tecnica]],6,FALSE)</f>
        <v>CONEXÃO PNEUMÁTICA 8mm COM ROSCA 1/2"</v>
      </c>
      <c r="C376" s="14">
        <f>IFERROR(VLOOKUP(TAB_ENTRADA[[#This Row],[Cod_2_Entrada]],TAB_ESTOQUE[[Codigo]:[Referência Tec]],7,FALSE),"")</f>
        <v>0</v>
      </c>
      <c r="D376" s="14" t="str">
        <f>VLOOKUP(TAB_ENTRADA[[#This Row],[Cod_2_Entrada]],TAB_ESTOQUE[[Codigo]:[Endereço2]],12,FALSE)</f>
        <v>C1304</v>
      </c>
      <c r="E376" s="14">
        <f>SUM(TAB_ENTRADA[[#This Row],[20/05/2019]:[Colunas1]])</f>
        <v>1</v>
      </c>
      <c r="F376" s="3"/>
      <c r="FK376" s="3">
        <v>0</v>
      </c>
      <c r="FN376" s="3">
        <v>1</v>
      </c>
    </row>
    <row r="377" spans="1:192" x14ac:dyDescent="0.25">
      <c r="A377" s="5" t="s">
        <v>2034</v>
      </c>
      <c r="B377" s="14" t="str">
        <f>VLOOKUP(TAB_ENTRADA[[#This Row],[Cod_2_Entrada]],TAB_ESTOQUE[[Codigo]:[Descrição Tecnica]],6,FALSE)</f>
        <v>CONEXÃO PNEUMÁTICA 6mm COM ROSCA 1/4"</v>
      </c>
      <c r="C377" s="14">
        <f>IFERROR(VLOOKUP(TAB_ENTRADA[[#This Row],[Cod_2_Entrada]],TAB_ESTOQUE[[Codigo]:[Referência Tec]],7,FALSE),"")</f>
        <v>0</v>
      </c>
      <c r="D377" s="14" t="str">
        <f>VLOOKUP(TAB_ENTRADA[[#This Row],[Cod_2_Entrada]],TAB_ESTOQUE[[Codigo]:[Endereço2]],12,FALSE)</f>
        <v>C1304</v>
      </c>
      <c r="E377" s="14">
        <f>SUM(TAB_ENTRADA[[#This Row],[20/05/2019]:[Colunas1]])</f>
        <v>25</v>
      </c>
      <c r="F377" s="3"/>
      <c r="FK377" s="3">
        <v>25</v>
      </c>
    </row>
    <row r="378" spans="1:192" x14ac:dyDescent="0.25">
      <c r="A378" s="5" t="s">
        <v>2035</v>
      </c>
      <c r="B378" s="14" t="str">
        <f>VLOOKUP(TAB_ENTRADA[[#This Row],[Cod_2_Entrada]],TAB_ESTOQUE[[Codigo]:[Descrição Tecnica]],6,FALSE)</f>
        <v xml:space="preserve">ELEMENTO FILTRANTE REXROTH R928006809 </v>
      </c>
      <c r="C378" s="14">
        <f>IFERROR(VLOOKUP(TAB_ENTRADA[[#This Row],[Cod_2_Entrada]],TAB_ESTOQUE[[Codigo]:[Referência Tec]],7,FALSE),"")</f>
        <v>0</v>
      </c>
      <c r="D378" s="14" t="str">
        <f>VLOOKUP(TAB_ENTRADA[[#This Row],[Cod_2_Entrada]],TAB_ESTOQUE[[Codigo]:[Endereço2]],12,FALSE)</f>
        <v>C1403</v>
      </c>
      <c r="E378" s="14">
        <f>SUM(TAB_ENTRADA[[#This Row],[20/05/2019]:[Colunas1]])</f>
        <v>3</v>
      </c>
      <c r="F378" s="3"/>
      <c r="FK378" s="3">
        <v>3</v>
      </c>
    </row>
    <row r="379" spans="1:192" x14ac:dyDescent="0.25">
      <c r="A379" s="5" t="s">
        <v>2036</v>
      </c>
      <c r="B379" s="14" t="str">
        <f>VLOOKUP(TAB_ENTRADA[[#This Row],[Cod_2_Entrada]],TAB_ESTOQUE[[Codigo]:[Descrição Tecnica]],6,FALSE)</f>
        <v>CONEXÃO PNEUMÁTICA 6mm COM ROSCA 1/2"</v>
      </c>
      <c r="C379" s="14">
        <f>IFERROR(VLOOKUP(TAB_ENTRADA[[#This Row],[Cod_2_Entrada]],TAB_ESTOQUE[[Codigo]:[Referência Tec]],7,FALSE),"")</f>
        <v>0</v>
      </c>
      <c r="D379" s="14" t="str">
        <f>VLOOKUP(TAB_ENTRADA[[#This Row],[Cod_2_Entrada]],TAB_ESTOQUE[[Codigo]:[Endereço2]],12,FALSE)</f>
        <v>C1304</v>
      </c>
      <c r="E379" s="14">
        <f>SUM(TAB_ENTRADA[[#This Row],[20/05/2019]:[Colunas1]])</f>
        <v>20</v>
      </c>
      <c r="F379" s="3"/>
      <c r="FK379" s="3">
        <v>20</v>
      </c>
    </row>
    <row r="380" spans="1:192" x14ac:dyDescent="0.25">
      <c r="A380" s="5" t="s">
        <v>2037</v>
      </c>
      <c r="B380" s="14" t="str">
        <f>VLOOKUP(TAB_ENTRADA[[#This Row],[Cod_2_Entrada]],TAB_ESTOQUE[[Codigo]:[Descrição Tecnica]],6,FALSE)</f>
        <v>CONEXÃO PNEUMÁTICA 4mm COM ROSCA 1/4"</v>
      </c>
      <c r="C380" s="14">
        <f>IFERROR(VLOOKUP(TAB_ENTRADA[[#This Row],[Cod_2_Entrada]],TAB_ESTOQUE[[Codigo]:[Referência Tec]],7,FALSE),"")</f>
        <v>0</v>
      </c>
      <c r="D380" s="14" t="str">
        <f>VLOOKUP(TAB_ENTRADA[[#This Row],[Cod_2_Entrada]],TAB_ESTOQUE[[Codigo]:[Endereço2]],12,FALSE)</f>
        <v>C1304</v>
      </c>
      <c r="E380" s="14">
        <f>SUM(TAB_ENTRADA[[#This Row],[20/05/2019]:[Colunas1]])</f>
        <v>30</v>
      </c>
      <c r="F380" s="3"/>
      <c r="FK380" s="3">
        <v>30</v>
      </c>
    </row>
    <row r="381" spans="1:192" x14ac:dyDescent="0.25">
      <c r="A381" s="5" t="s">
        <v>2038</v>
      </c>
      <c r="B381" s="14" t="str">
        <f>VLOOKUP(TAB_ENTRADA[[#This Row],[Cod_2_Entrada]],TAB_ESTOQUE[[Codigo]:[Descrição Tecnica]],6,FALSE)</f>
        <v>CABO COM CONECTOR  RETO FEMEA M12 8 PINOS</v>
      </c>
      <c r="C381" s="14">
        <f>IFERROR(VLOOKUP(TAB_ENTRADA[[#This Row],[Cod_2_Entrada]],TAB_ESTOQUE[[Codigo]:[Referência Tec]],7,FALSE),"")</f>
        <v>0</v>
      </c>
      <c r="D381" s="14" t="str">
        <f>VLOOKUP(TAB_ENTRADA[[#This Row],[Cod_2_Entrada]],TAB_ESTOQUE[[Codigo]:[Endereço2]],12,FALSE)</f>
        <v>B1403</v>
      </c>
      <c r="E381" s="14">
        <f>SUM(TAB_ENTRADA[[#This Row],[20/05/2019]:[Colunas1]])</f>
        <v>0</v>
      </c>
      <c r="F381" s="3"/>
      <c r="FK381" s="3">
        <v>0</v>
      </c>
    </row>
    <row r="382" spans="1:192" x14ac:dyDescent="0.25">
      <c r="A382" s="5" t="s">
        <v>2039</v>
      </c>
      <c r="B382" s="14" t="str">
        <f>VLOOKUP(TAB_ENTRADA[[#This Row],[Cod_2_Entrada]],TAB_ESTOQUE[[Codigo]:[Descrição Tecnica]],6,FALSE)</f>
        <v>GAS REFRIGERANTE R-22</v>
      </c>
      <c r="C382" s="14">
        <f>IFERROR(VLOOKUP(TAB_ENTRADA[[#This Row],[Cod_2_Entrada]],TAB_ESTOQUE[[Codigo]:[Referência Tec]],7,FALSE),"")</f>
        <v>0</v>
      </c>
      <c r="D382" s="14" t="str">
        <f>VLOOKUP(TAB_ENTRADA[[#This Row],[Cod_2_Entrada]],TAB_ESTOQUE[[Codigo]:[Endereço2]],12,FALSE)</f>
        <v>E2101</v>
      </c>
      <c r="E382" s="14">
        <f>SUM(TAB_ENTRADA[[#This Row],[20/05/2019]:[Colunas1]])</f>
        <v>1</v>
      </c>
      <c r="F382" s="3"/>
      <c r="FK382" s="3">
        <v>1</v>
      </c>
    </row>
    <row r="383" spans="1:192" x14ac:dyDescent="0.25">
      <c r="A383" s="5" t="s">
        <v>2040</v>
      </c>
      <c r="B383" s="14" t="str">
        <f>VLOOKUP(TAB_ENTRADA[[#This Row],[Cod_2_Entrada]],TAB_ESTOQUE[[Codigo]:[Descrição Tecnica]],6,FALSE)</f>
        <v>FILTRO DO EXAUSTOR COLEPO</v>
      </c>
      <c r="C383" s="14">
        <f>IFERROR(VLOOKUP(TAB_ENTRADA[[#This Row],[Cod_2_Entrada]],TAB_ESTOQUE[[Codigo]:[Referência Tec]],7,FALSE),"")</f>
        <v>0</v>
      </c>
      <c r="D383" s="14" t="str">
        <f>VLOOKUP(TAB_ENTRADA[[#This Row],[Cod_2_Entrada]],TAB_ESTOQUE[[Codigo]:[Endereço2]],12,FALSE)</f>
        <v>CORREDOR 4</v>
      </c>
      <c r="E383" s="14">
        <f>SUM(TAB_ENTRADA[[#This Row],[20/05/2019]:[Colunas1]])</f>
        <v>1</v>
      </c>
      <c r="F383" s="3"/>
      <c r="FK383" s="3">
        <v>1</v>
      </c>
    </row>
    <row r="384" spans="1:192" x14ac:dyDescent="0.25">
      <c r="A384" s="5" t="s">
        <v>2041</v>
      </c>
      <c r="B384" s="14" t="str">
        <f>VLOOKUP(TAB_ENTRADA[[#This Row],[Cod_2_Entrada]],TAB_ESTOQUE[[Codigo]:[Descrição Tecnica]],6,FALSE)</f>
        <v>FACA CIRCULAR CORTANTE 31X23X10 cm  HAGANE  L.63917/2</v>
      </c>
      <c r="C384" s="14">
        <f>IFERROR(VLOOKUP(TAB_ENTRADA[[#This Row],[Cod_2_Entrada]],TAB_ESTOQUE[[Codigo]:[Referência Tec]],7,FALSE),"")</f>
        <v>0</v>
      </c>
      <c r="D384" s="14" t="str">
        <f>VLOOKUP(TAB_ENTRADA[[#This Row],[Cod_2_Entrada]],TAB_ESTOQUE[[Codigo]:[Endereço2]],12,FALSE)</f>
        <v>E1301</v>
      </c>
      <c r="E384" s="14">
        <f>SUM(TAB_ENTRADA[[#This Row],[20/05/2019]:[Colunas1]])</f>
        <v>13</v>
      </c>
      <c r="F384" s="3"/>
      <c r="FK384" s="3">
        <v>3</v>
      </c>
      <c r="GJ384" s="3">
        <v>10</v>
      </c>
    </row>
    <row r="385" spans="1:167" x14ac:dyDescent="0.25">
      <c r="A385" s="5" t="s">
        <v>2042</v>
      </c>
      <c r="B385" s="14" t="str">
        <f>VLOOKUP(TAB_ENTRADA[[#This Row],[Cod_2_Entrada]],TAB_ESTOQUE[[Codigo]:[Descrição Tecnica]],6,FALSE)</f>
        <v>ELEMENTO FILTRANTE  NEWTEC HR18010PH</v>
      </c>
      <c r="C385" s="14">
        <f>IFERROR(VLOOKUP(TAB_ENTRADA[[#This Row],[Cod_2_Entrada]],TAB_ESTOQUE[[Codigo]:[Referência Tec]],7,FALSE),"")</f>
        <v>0</v>
      </c>
      <c r="D385" s="14" t="str">
        <f>VLOOKUP(TAB_ENTRADA[[#This Row],[Cod_2_Entrada]],TAB_ESTOQUE[[Codigo]:[Endereço2]],12,FALSE)</f>
        <v>C1404</v>
      </c>
      <c r="E385" s="14">
        <f>SUM(TAB_ENTRADA[[#This Row],[20/05/2019]:[Colunas1]])</f>
        <v>2</v>
      </c>
      <c r="F385" s="3"/>
      <c r="FK385" s="3">
        <v>2</v>
      </c>
    </row>
    <row r="386" spans="1:167" x14ac:dyDescent="0.25">
      <c r="A386" s="5" t="s">
        <v>2043</v>
      </c>
      <c r="B386" s="14" t="str">
        <f>VLOOKUP(TAB_ENTRADA[[#This Row],[Cod_2_Entrada]],TAB_ESTOQUE[[Codigo]:[Descrição Tecnica]],6,FALSE)</f>
        <v>FILTRO REG 1" COD: XAW5000-10</v>
      </c>
      <c r="C386" s="14">
        <f>IFERROR(VLOOKUP(TAB_ENTRADA[[#This Row],[Cod_2_Entrada]],TAB_ESTOQUE[[Codigo]:[Referência Tec]],7,FALSE),"")</f>
        <v>0</v>
      </c>
      <c r="D386" s="14" t="str">
        <f>VLOOKUP(TAB_ENTRADA[[#This Row],[Cod_2_Entrada]],TAB_ESTOQUE[[Codigo]:[Endereço2]],12,FALSE)</f>
        <v>C2401</v>
      </c>
      <c r="E386" s="14">
        <f>SUM(TAB_ENTRADA[[#This Row],[20/05/2019]:[Colunas1]])</f>
        <v>1</v>
      </c>
      <c r="F386" s="3"/>
      <c r="FK386" s="3">
        <v>1</v>
      </c>
    </row>
    <row r="387" spans="1:167" x14ac:dyDescent="0.25">
      <c r="A387" s="5" t="s">
        <v>2044</v>
      </c>
      <c r="B387" s="14" t="str">
        <f>VLOOKUP(TAB_ENTRADA[[#This Row],[Cod_2_Entrada]],TAB_ESTOQUE[[Codigo]:[Descrição Tecnica]],6,FALSE)</f>
        <v>FILTRO REG 1/2" COD: 322C3223C2</v>
      </c>
      <c r="C387" s="14">
        <f>IFERROR(VLOOKUP(TAB_ENTRADA[[#This Row],[Cod_2_Entrada]],TAB_ESTOQUE[[Codigo]:[Referência Tec]],7,FALSE),"")</f>
        <v>0</v>
      </c>
      <c r="D387" s="14" t="str">
        <f>VLOOKUP(TAB_ENTRADA[[#This Row],[Cod_2_Entrada]],TAB_ESTOQUE[[Codigo]:[Endereço2]],12,FALSE)</f>
        <v>C2402</v>
      </c>
      <c r="E387" s="14">
        <f>SUM(TAB_ENTRADA[[#This Row],[20/05/2019]:[Colunas1]])</f>
        <v>1</v>
      </c>
      <c r="F387" s="3"/>
      <c r="FK387" s="3">
        <v>1</v>
      </c>
    </row>
    <row r="388" spans="1:167" x14ac:dyDescent="0.25">
      <c r="A388" s="5" t="s">
        <v>2045</v>
      </c>
      <c r="B388" s="14" t="str">
        <f>VLOOKUP(TAB_ENTRADA[[#This Row],[Cod_2_Entrada]],TAB_ESTOQUE[[Codigo]:[Descrição Tecnica]],6,FALSE)</f>
        <v>VALVULA DIAFRAGMA 1/2" COM BOBINA 24V DC</v>
      </c>
      <c r="C388" s="14">
        <f>IFERROR(VLOOKUP(TAB_ENTRADA[[#This Row],[Cod_2_Entrada]],TAB_ESTOQUE[[Codigo]:[Referência Tec]],7,FALSE),"")</f>
        <v>0</v>
      </c>
      <c r="D388" s="14" t="str">
        <f>VLOOKUP(TAB_ENTRADA[[#This Row],[Cod_2_Entrada]],TAB_ESTOQUE[[Codigo]:[Endereço2]],12,FALSE)</f>
        <v>C1203</v>
      </c>
      <c r="E388" s="14">
        <f>SUM(TAB_ENTRADA[[#This Row],[20/05/2019]:[Colunas1]])</f>
        <v>0</v>
      </c>
      <c r="F388" s="3"/>
      <c r="FK388" s="3">
        <v>0</v>
      </c>
    </row>
    <row r="389" spans="1:167" x14ac:dyDescent="0.25">
      <c r="A389" s="5" t="s">
        <v>2046</v>
      </c>
      <c r="B389" s="14" t="str">
        <f>VLOOKUP(TAB_ENTRADA[[#This Row],[Cod_2_Entrada]],TAB_ESTOQUE[[Codigo]:[Descrição Tecnica]],6,FALSE)</f>
        <v>FILTRO REG REF: 16bar /230 PS1 / 1.6 MPA MAX:60°C / 140°F</v>
      </c>
      <c r="C389" s="14">
        <f>IFERROR(VLOOKUP(TAB_ENTRADA[[#This Row],[Cod_2_Entrada]],TAB_ESTOQUE[[Codigo]:[Referência Tec]],7,FALSE),"")</f>
        <v>0</v>
      </c>
      <c r="D389" s="14" t="str">
        <f>VLOOKUP(TAB_ENTRADA[[#This Row],[Cod_2_Entrada]],TAB_ESTOQUE[[Codigo]:[Endereço2]],12,FALSE)</f>
        <v>C2402</v>
      </c>
      <c r="E389" s="14">
        <f>SUM(TAB_ENTRADA[[#This Row],[20/05/2019]:[Colunas1]])</f>
        <v>2</v>
      </c>
      <c r="F389" s="3"/>
      <c r="FK389" s="3">
        <v>2</v>
      </c>
    </row>
    <row r="390" spans="1:167" x14ac:dyDescent="0.25">
      <c r="A390" s="5" t="s">
        <v>2047</v>
      </c>
      <c r="B390" s="14" t="str">
        <f>VLOOKUP(TAB_ENTRADA[[#This Row],[Cod_2_Entrada]],TAB_ESTOQUE[[Codigo]:[Descrição Tecnica]],6,FALSE)</f>
        <v>LUBRIFIL COM REGULADOR DE PRESSÃO E ÓLEO BFC4000 41-140F° MAX PRESS - 135psi</v>
      </c>
      <c r="C390" s="14">
        <f>IFERROR(VLOOKUP(TAB_ENTRADA[[#This Row],[Cod_2_Entrada]],TAB_ESTOQUE[[Codigo]:[Referência Tec]],7,FALSE),"")</f>
        <v>0</v>
      </c>
      <c r="D390" s="14" t="str">
        <f>VLOOKUP(TAB_ENTRADA[[#This Row],[Cod_2_Entrada]],TAB_ESTOQUE[[Codigo]:[Endereço2]],12,FALSE)</f>
        <v>C2403</v>
      </c>
      <c r="E390" s="14">
        <f>SUM(TAB_ENTRADA[[#This Row],[20/05/2019]:[Colunas1]])</f>
        <v>0</v>
      </c>
      <c r="F390" s="3"/>
      <c r="FK390" s="3">
        <v>0</v>
      </c>
    </row>
    <row r="391" spans="1:167" x14ac:dyDescent="0.25">
      <c r="A391" s="5" t="s">
        <v>2048</v>
      </c>
      <c r="B391" s="14" t="str">
        <f>VLOOKUP(TAB_ENTRADA[[#This Row],[Cod_2_Entrada]],TAB_ESTOQUE[[Codigo]:[Descrição Tecnica]],6,FALSE)</f>
        <v>FILTRO REG REF: XOR-1/2" - MIDI</v>
      </c>
      <c r="C391" s="14">
        <f>IFERROR(VLOOKUP(TAB_ENTRADA[[#This Row],[Cod_2_Entrada]],TAB_ESTOQUE[[Codigo]:[Referência Tec]],7,FALSE),"")</f>
        <v>0</v>
      </c>
      <c r="D391" s="14" t="str">
        <f>VLOOKUP(TAB_ENTRADA[[#This Row],[Cod_2_Entrada]],TAB_ESTOQUE[[Codigo]:[Endereço2]],12,FALSE)</f>
        <v>C2402</v>
      </c>
      <c r="E391" s="14">
        <f>SUM(TAB_ENTRADA[[#This Row],[20/05/2019]:[Colunas1]])</f>
        <v>1</v>
      </c>
      <c r="F391" s="3"/>
      <c r="FK391" s="3">
        <v>1</v>
      </c>
    </row>
    <row r="392" spans="1:167" x14ac:dyDescent="0.25">
      <c r="A392" s="5" t="s">
        <v>2049</v>
      </c>
      <c r="B392" s="14" t="str">
        <f>VLOOKUP(TAB_ENTRADA[[#This Row],[Cod_2_Entrada]],TAB_ESTOQUE[[Codigo]:[Descrição Tecnica]],6,FALSE)</f>
        <v>ELEMENTO FILTRANTE NEWTEC BR 760 10 AH</v>
      </c>
      <c r="C392" s="14">
        <f>IFERROR(VLOOKUP(TAB_ENTRADA[[#This Row],[Cod_2_Entrada]],TAB_ESTOQUE[[Codigo]:[Referência Tec]],7,FALSE),"")</f>
        <v>0</v>
      </c>
      <c r="D392" s="14" t="str">
        <f>VLOOKUP(TAB_ENTRADA[[#This Row],[Cod_2_Entrada]],TAB_ESTOQUE[[Codigo]:[Endereço2]],12,FALSE)</f>
        <v>C1405</v>
      </c>
      <c r="E392" s="14">
        <f>SUM(TAB_ENTRADA[[#This Row],[20/05/2019]:[Colunas1]])</f>
        <v>5</v>
      </c>
      <c r="F392" s="3"/>
      <c r="FK392" s="3">
        <v>5</v>
      </c>
    </row>
    <row r="393" spans="1:167" x14ac:dyDescent="0.25">
      <c r="A393" s="5" t="s">
        <v>2050</v>
      </c>
      <c r="B393" s="14" t="str">
        <f>VLOOKUP(TAB_ENTRADA[[#This Row],[Cod_2_Entrada]],TAB_ESTOQUE[[Codigo]:[Descrição Tecnica]],6,FALSE)</f>
        <v>ELEMENTO FILTRANTE HYDAC 0060 R 010 ON</v>
      </c>
      <c r="C393" s="14">
        <f>IFERROR(VLOOKUP(TAB_ENTRADA[[#This Row],[Cod_2_Entrada]],TAB_ESTOQUE[[Codigo]:[Referência Tec]],7,FALSE),"")</f>
        <v>0</v>
      </c>
      <c r="D393" s="14" t="str">
        <f>VLOOKUP(TAB_ENTRADA[[#This Row],[Cod_2_Entrada]],TAB_ESTOQUE[[Codigo]:[Endereço2]],12,FALSE)</f>
        <v>C1404</v>
      </c>
      <c r="E393" s="14">
        <f>SUM(TAB_ENTRADA[[#This Row],[20/05/2019]:[Colunas1]])</f>
        <v>3</v>
      </c>
      <c r="F393" s="3"/>
      <c r="FK393" s="3">
        <v>3</v>
      </c>
    </row>
    <row r="394" spans="1:167" x14ac:dyDescent="0.25">
      <c r="A394" s="5" t="s">
        <v>2051</v>
      </c>
      <c r="B394" s="14" t="str">
        <f>VLOOKUP(TAB_ENTRADA[[#This Row],[Cod_2_Entrada]],TAB_ESTOQUE[[Codigo]:[Descrição Tecnica]],6,FALSE)</f>
        <v>FILTRO Y 2" CW617N</v>
      </c>
      <c r="C394" s="14">
        <f>IFERROR(VLOOKUP(TAB_ENTRADA[[#This Row],[Cod_2_Entrada]],TAB_ESTOQUE[[Codigo]:[Referência Tec]],7,FALSE),"")</f>
        <v>0</v>
      </c>
      <c r="D394" s="14" t="str">
        <f>VLOOKUP(TAB_ENTRADA[[#This Row],[Cod_2_Entrada]],TAB_ESTOQUE[[Codigo]:[Endereço2]],12,FALSE)</f>
        <v>D1402</v>
      </c>
      <c r="E394" s="14">
        <f>SUM(TAB_ENTRADA[[#This Row],[20/05/2019]:[Colunas1]])</f>
        <v>2</v>
      </c>
      <c r="F394" s="3"/>
      <c r="FK394" s="3">
        <v>2</v>
      </c>
    </row>
    <row r="395" spans="1:167" x14ac:dyDescent="0.25">
      <c r="A395" s="5" t="s">
        <v>2052</v>
      </c>
      <c r="B395" s="14" t="str">
        <f>VLOOKUP(TAB_ENTRADA[[#This Row],[Cod_2_Entrada]],TAB_ESTOQUE[[Codigo]:[Descrição Tecnica]],6,FALSE)</f>
        <v>VALVULA DIAFRAGMA 1/4" COM BOBINA 24V DC</v>
      </c>
      <c r="C395" s="14">
        <f>IFERROR(VLOOKUP(TAB_ENTRADA[[#This Row],[Cod_2_Entrada]],TAB_ESTOQUE[[Codigo]:[Referência Tec]],7,FALSE),"")</f>
        <v>0</v>
      </c>
      <c r="D395" s="14" t="str">
        <f>VLOOKUP(TAB_ENTRADA[[#This Row],[Cod_2_Entrada]],TAB_ESTOQUE[[Codigo]:[Endereço2]],12,FALSE)</f>
        <v>C1203</v>
      </c>
      <c r="E395" s="14">
        <f>SUM(TAB_ENTRADA[[#This Row],[20/05/2019]:[Colunas1]])</f>
        <v>1</v>
      </c>
      <c r="F395" s="3"/>
      <c r="FK395" s="3">
        <v>1</v>
      </c>
    </row>
    <row r="396" spans="1:167" x14ac:dyDescent="0.25">
      <c r="A396" s="5" t="s">
        <v>2053</v>
      </c>
      <c r="B396" s="14" t="str">
        <f>VLOOKUP(TAB_ENTRADA[[#This Row],[Cod_2_Entrada]],TAB_ESTOQUE[[Codigo]:[Descrição Tecnica]],6,FALSE)</f>
        <v>ELEMENTO FILTRANTE HYDAC 0165 R 010 BN4HC</v>
      </c>
      <c r="C396" s="14">
        <f>IFERROR(VLOOKUP(TAB_ENTRADA[[#This Row],[Cod_2_Entrada]],TAB_ESTOQUE[[Codigo]:[Referência Tec]],7,FALSE),"")</f>
        <v>0</v>
      </c>
      <c r="D396" s="14" t="str">
        <f>VLOOKUP(TAB_ENTRADA[[#This Row],[Cod_2_Entrada]],TAB_ESTOQUE[[Codigo]:[Endereço2]],12,FALSE)</f>
        <v>C1404</v>
      </c>
      <c r="E396" s="14">
        <f>SUM(TAB_ENTRADA[[#This Row],[20/05/2019]:[Colunas1]])</f>
        <v>4</v>
      </c>
      <c r="F396" s="3"/>
      <c r="FK396" s="3">
        <v>4</v>
      </c>
    </row>
    <row r="397" spans="1:167" x14ac:dyDescent="0.25">
      <c r="A397" s="5" t="s">
        <v>2054</v>
      </c>
      <c r="B397" s="14" t="str">
        <f>VLOOKUP(TAB_ENTRADA[[#This Row],[Cod_2_Entrada]],TAB_ESTOQUE[[Codigo]:[Descrição Tecnica]],6,FALSE)</f>
        <v>ELEMENTO FILTRANTE HYDAC 0500 R 010 BN4HC</v>
      </c>
      <c r="C397" s="14">
        <f>IFERROR(VLOOKUP(TAB_ENTRADA[[#This Row],[Cod_2_Entrada]],TAB_ESTOQUE[[Codigo]:[Referência Tec]],7,FALSE),"")</f>
        <v>0</v>
      </c>
      <c r="D397" s="14" t="str">
        <f>VLOOKUP(TAB_ENTRADA[[#This Row],[Cod_2_Entrada]],TAB_ESTOQUE[[Codigo]:[Endereço2]],12,FALSE)</f>
        <v>C1405</v>
      </c>
      <c r="E397" s="14">
        <f>SUM(TAB_ENTRADA[[#This Row],[20/05/2019]:[Colunas1]])</f>
        <v>0</v>
      </c>
      <c r="F397" s="3"/>
      <c r="FK397" s="3">
        <v>0</v>
      </c>
    </row>
    <row r="398" spans="1:167" x14ac:dyDescent="0.25">
      <c r="A398" s="5" t="s">
        <v>2055</v>
      </c>
      <c r="B398" s="14" t="str">
        <f>VLOOKUP(TAB_ENTRADA[[#This Row],[Cod_2_Entrada]],TAB_ESTOQUE[[Codigo]:[Descrição Tecnica]],6,FALSE)</f>
        <v>RETENTOR 40X50X4</v>
      </c>
      <c r="C398" s="14">
        <f>IFERROR(VLOOKUP(TAB_ENTRADA[[#This Row],[Cod_2_Entrada]],TAB_ESTOQUE[[Codigo]:[Referência Tec]],7,FALSE),"")</f>
        <v>0</v>
      </c>
      <c r="D398" s="14" t="str">
        <f>VLOOKUP(TAB_ENTRADA[[#This Row],[Cod_2_Entrada]],TAB_ESTOQUE[[Codigo]:[Endereço2]],12,FALSE)</f>
        <v>E1203</v>
      </c>
      <c r="E398" s="14">
        <f>SUM(TAB_ENTRADA[[#This Row],[20/05/2019]:[Colunas1]])</f>
        <v>0</v>
      </c>
      <c r="F398" s="3"/>
      <c r="FK398" s="3">
        <v>0</v>
      </c>
    </row>
    <row r="399" spans="1:167" x14ac:dyDescent="0.25">
      <c r="A399" s="5" t="s">
        <v>2056</v>
      </c>
      <c r="B399" s="14" t="str">
        <f>VLOOKUP(TAB_ENTRADA[[#This Row],[Cod_2_Entrada]],TAB_ESTOQUE[[Codigo]:[Descrição Tecnica]],6,FALSE)</f>
        <v>GAXETA 14,7X 18,9X1,5</v>
      </c>
      <c r="C399" s="14">
        <f>IFERROR(VLOOKUP(TAB_ENTRADA[[#This Row],[Cod_2_Entrada]],TAB_ESTOQUE[[Codigo]:[Referência Tec]],7,FALSE),"")</f>
        <v>0</v>
      </c>
      <c r="D399" s="14" t="str">
        <f>VLOOKUP(TAB_ENTRADA[[#This Row],[Cod_2_Entrada]],TAB_ESTOQUE[[Codigo]:[Endereço2]],12,FALSE)</f>
        <v>E1305</v>
      </c>
      <c r="E399" s="14">
        <f>SUM(TAB_ENTRADA[[#This Row],[20/05/2019]:[Colunas1]])</f>
        <v>0</v>
      </c>
      <c r="F399" s="3"/>
      <c r="FK399" s="3">
        <v>0</v>
      </c>
    </row>
    <row r="400" spans="1:167" x14ac:dyDescent="0.25">
      <c r="A400" s="5" t="s">
        <v>2057</v>
      </c>
      <c r="B400" s="14" t="str">
        <f>VLOOKUP(TAB_ENTRADA[[#This Row],[Cod_2_Entrada]],TAB_ESTOQUE[[Codigo]:[Descrição Tecnica]],6,FALSE)</f>
        <v>GAXETA 18,5X23,9X1,5</v>
      </c>
      <c r="C400" s="14">
        <f>IFERROR(VLOOKUP(TAB_ENTRADA[[#This Row],[Cod_2_Entrada]],TAB_ESTOQUE[[Codigo]:[Referência Tec]],7,FALSE),"")</f>
        <v>0</v>
      </c>
      <c r="D400" s="14" t="str">
        <f>VLOOKUP(TAB_ENTRADA[[#This Row],[Cod_2_Entrada]],TAB_ESTOQUE[[Codigo]:[Endereço2]],12,FALSE)</f>
        <v>E1305</v>
      </c>
      <c r="E400" s="14">
        <f>SUM(TAB_ENTRADA[[#This Row],[20/05/2019]:[Colunas1]])</f>
        <v>0</v>
      </c>
      <c r="F400" s="3"/>
      <c r="FK400" s="3">
        <v>0</v>
      </c>
    </row>
    <row r="401" spans="1:167" x14ac:dyDescent="0.25">
      <c r="A401" s="5" t="s">
        <v>2058</v>
      </c>
      <c r="B401" s="14" t="str">
        <f>VLOOKUP(TAB_ENTRADA[[#This Row],[Cod_2_Entrada]],TAB_ESTOQUE[[Codigo]:[Descrição Tecnica]],6,FALSE)</f>
        <v>GAXETA 27X2</v>
      </c>
      <c r="C401" s="14">
        <f>IFERROR(VLOOKUP(TAB_ENTRADA[[#This Row],[Cod_2_Entrada]],TAB_ESTOQUE[[Codigo]:[Referência Tec]],7,FALSE),"")</f>
        <v>0</v>
      </c>
      <c r="D401" s="14" t="str">
        <f>VLOOKUP(TAB_ENTRADA[[#This Row],[Cod_2_Entrada]],TAB_ESTOQUE[[Codigo]:[Endereço2]],12,FALSE)</f>
        <v>E1305</v>
      </c>
      <c r="E401" s="14">
        <f>SUM(TAB_ENTRADA[[#This Row],[20/05/2019]:[Colunas1]])</f>
        <v>0</v>
      </c>
      <c r="F401" s="3"/>
      <c r="FK401" s="3">
        <v>0</v>
      </c>
    </row>
    <row r="402" spans="1:167" x14ac:dyDescent="0.25">
      <c r="A402" s="5" t="s">
        <v>2059</v>
      </c>
      <c r="B402" s="14" t="str">
        <f>VLOOKUP(TAB_ENTRADA[[#This Row],[Cod_2_Entrada]],TAB_ESTOQUE[[Codigo]:[Descrição Tecnica]],6,FALSE)</f>
        <v>GAXETA  11,5X16,5</v>
      </c>
      <c r="C402" s="14">
        <f>IFERROR(VLOOKUP(TAB_ENTRADA[[#This Row],[Cod_2_Entrada]],TAB_ESTOQUE[[Codigo]:[Referência Tec]],7,FALSE),"")</f>
        <v>0</v>
      </c>
      <c r="D402" s="14" t="str">
        <f>VLOOKUP(TAB_ENTRADA[[#This Row],[Cod_2_Entrada]],TAB_ESTOQUE[[Codigo]:[Endereço2]],12,FALSE)</f>
        <v>E1305</v>
      </c>
      <c r="E402" s="14">
        <f>SUM(TAB_ENTRADA[[#This Row],[20/05/2019]:[Colunas1]])</f>
        <v>0</v>
      </c>
      <c r="F402" s="3"/>
      <c r="FK402" s="3">
        <v>0</v>
      </c>
    </row>
    <row r="403" spans="1:167" x14ac:dyDescent="0.25">
      <c r="A403" s="5" t="s">
        <v>2060</v>
      </c>
      <c r="B403" s="14" t="str">
        <f>VLOOKUP(TAB_ENTRADA[[#This Row],[Cod_2_Entrada]],TAB_ESTOQUE[[Codigo]:[Descrição Tecnica]],6,FALSE)</f>
        <v>GAXETA  DO FILTRO AUTO LIMPANTE ISOCIANATO 15X24X8 VITON</v>
      </c>
      <c r="C403" s="14">
        <f>IFERROR(VLOOKUP(TAB_ENTRADA[[#This Row],[Cod_2_Entrada]],TAB_ESTOQUE[[Codigo]:[Referência Tec]],7,FALSE),"")</f>
        <v>0</v>
      </c>
      <c r="D403" s="14" t="str">
        <f>VLOOKUP(TAB_ENTRADA[[#This Row],[Cod_2_Entrada]],TAB_ESTOQUE[[Codigo]:[Endereço2]],12,FALSE)</f>
        <v>E1303</v>
      </c>
      <c r="E403" s="14">
        <f>SUM(TAB_ENTRADA[[#This Row],[20/05/2019]:[Colunas1]])</f>
        <v>18</v>
      </c>
      <c r="F403" s="3"/>
      <c r="FK403" s="3">
        <v>18</v>
      </c>
    </row>
    <row r="404" spans="1:167" x14ac:dyDescent="0.25">
      <c r="A404" s="5" t="s">
        <v>2061</v>
      </c>
      <c r="B404" s="14" t="str">
        <f>VLOOKUP(TAB_ENTRADA[[#This Row],[Cod_2_Entrada]],TAB_ESTOQUE[[Codigo]:[Descrição Tecnica]],6,FALSE)</f>
        <v>RETENTOR 40X62X7</v>
      </c>
      <c r="C404" s="14">
        <f>IFERROR(VLOOKUP(TAB_ENTRADA[[#This Row],[Cod_2_Entrada]],TAB_ESTOQUE[[Codigo]:[Referência Tec]],7,FALSE),"")</f>
        <v>0</v>
      </c>
      <c r="D404" s="14" t="str">
        <f>VLOOKUP(TAB_ENTRADA[[#This Row],[Cod_2_Entrada]],TAB_ESTOQUE[[Codigo]:[Endereço2]],12,FALSE)</f>
        <v>E1203</v>
      </c>
      <c r="E404" s="14">
        <f>SUM(TAB_ENTRADA[[#This Row],[20/05/2019]:[Colunas1]])</f>
        <v>4</v>
      </c>
      <c r="F404" s="3"/>
      <c r="FK404" s="3">
        <v>4</v>
      </c>
    </row>
    <row r="405" spans="1:167" x14ac:dyDescent="0.25">
      <c r="A405" s="5" t="s">
        <v>2062</v>
      </c>
      <c r="B405" s="14" t="str">
        <f>VLOOKUP(TAB_ENTRADA[[#This Row],[Cod_2_Entrada]],TAB_ESTOQUE[[Codigo]:[Descrição Tecnica]],6,FALSE)</f>
        <v>VEDAÇÃO VITON P/ BOMBA HID JLB 12 REXROTH</v>
      </c>
      <c r="C405" s="14">
        <f>IFERROR(VLOOKUP(TAB_ENTRADA[[#This Row],[Cod_2_Entrada]],TAB_ESTOQUE[[Codigo]:[Referência Tec]],7,FALSE),"")</f>
        <v>0</v>
      </c>
      <c r="D405" s="14" t="str">
        <f>VLOOKUP(TAB_ENTRADA[[#This Row],[Cod_2_Entrada]],TAB_ESTOQUE[[Codigo]:[Endereço2]],12,FALSE)</f>
        <v>E1303</v>
      </c>
      <c r="E405" s="14">
        <f>SUM(TAB_ENTRADA[[#This Row],[20/05/2019]:[Colunas1]])</f>
        <v>5</v>
      </c>
      <c r="F405" s="3"/>
      <c r="FK405" s="3">
        <v>5</v>
      </c>
    </row>
    <row r="406" spans="1:167" x14ac:dyDescent="0.25">
      <c r="A406" s="5" t="s">
        <v>2063</v>
      </c>
      <c r="B406" s="14" t="str">
        <f>VLOOKUP(TAB_ENTRADA[[#This Row],[Cod_2_Entrada]],TAB_ESTOQUE[[Codigo]:[Descrição Tecnica]],6,FALSE)</f>
        <v>RETENTOR 25X46X7</v>
      </c>
      <c r="C406" s="14">
        <f>IFERROR(VLOOKUP(TAB_ENTRADA[[#This Row],[Cod_2_Entrada]],TAB_ESTOQUE[[Codigo]:[Referência Tec]],7,FALSE),"")</f>
        <v>0</v>
      </c>
      <c r="D406" s="14" t="str">
        <f>VLOOKUP(TAB_ENTRADA[[#This Row],[Cod_2_Entrada]],TAB_ESTOQUE[[Codigo]:[Endereço2]],12,FALSE)</f>
        <v>E1203</v>
      </c>
      <c r="E406" s="14">
        <f>SUM(TAB_ENTRADA[[#This Row],[20/05/2019]:[Colunas1]])</f>
        <v>8</v>
      </c>
      <c r="F406" s="3"/>
      <c r="FK406" s="3">
        <v>8</v>
      </c>
    </row>
    <row r="407" spans="1:167" x14ac:dyDescent="0.25">
      <c r="A407" s="5" t="s">
        <v>2064</v>
      </c>
      <c r="B407" s="14" t="str">
        <f>VLOOKUP(TAB_ENTRADA[[#This Row],[Cod_2_Entrada]],TAB_ESTOQUE[[Codigo]:[Descrição Tecnica]],6,FALSE)</f>
        <v>RETENTOR 30X47X7</v>
      </c>
      <c r="C407" s="14">
        <f>IFERROR(VLOOKUP(TAB_ENTRADA[[#This Row],[Cod_2_Entrada]],TAB_ESTOQUE[[Codigo]:[Referência Tec]],7,FALSE),"")</f>
        <v>0</v>
      </c>
      <c r="D407" s="14" t="str">
        <f>VLOOKUP(TAB_ENTRADA[[#This Row],[Cod_2_Entrada]],TAB_ESTOQUE[[Codigo]:[Endereço2]],12,FALSE)</f>
        <v>E1204</v>
      </c>
      <c r="E407" s="14">
        <f>SUM(TAB_ENTRADA[[#This Row],[20/05/2019]:[Colunas1]])</f>
        <v>16</v>
      </c>
      <c r="F407" s="3"/>
      <c r="FK407" s="3">
        <v>16</v>
      </c>
    </row>
    <row r="408" spans="1:167" x14ac:dyDescent="0.25">
      <c r="A408" s="5" t="s">
        <v>2065</v>
      </c>
      <c r="B408" s="14" t="str">
        <f>VLOOKUP(TAB_ENTRADA[[#This Row],[Cod_2_Entrada]],TAB_ESTOQUE[[Codigo]:[Descrição Tecnica]],6,FALSE)</f>
        <v>RETENTOR 35X62X7</v>
      </c>
      <c r="C408" s="14">
        <f>IFERROR(VLOOKUP(TAB_ENTRADA[[#This Row],[Cod_2_Entrada]],TAB_ESTOQUE[[Codigo]:[Referência Tec]],7,FALSE),"")</f>
        <v>0</v>
      </c>
      <c r="D408" s="14" t="str">
        <f>VLOOKUP(TAB_ENTRADA[[#This Row],[Cod_2_Entrada]],TAB_ESTOQUE[[Codigo]:[Endereço2]],12,FALSE)</f>
        <v>E1204</v>
      </c>
      <c r="E408" s="14">
        <f>SUM(TAB_ENTRADA[[#This Row],[20/05/2019]:[Colunas1]])</f>
        <v>8</v>
      </c>
      <c r="F408" s="3"/>
      <c r="FK408" s="3">
        <v>8</v>
      </c>
    </row>
    <row r="409" spans="1:167" x14ac:dyDescent="0.25">
      <c r="A409" s="5" t="s">
        <v>2066</v>
      </c>
      <c r="B409" s="14" t="str">
        <f>VLOOKUP(TAB_ENTRADA[[#This Row],[Cod_2_Entrada]],TAB_ESTOQUE[[Codigo]:[Descrição Tecnica]],6,FALSE)</f>
        <v>RETENTOR FERRO 01046-BAG</v>
      </c>
      <c r="C409" s="14">
        <f>IFERROR(VLOOKUP(TAB_ENTRADA[[#This Row],[Cod_2_Entrada]],TAB_ESTOQUE[[Codigo]:[Referência Tec]],7,FALSE),"")</f>
        <v>0</v>
      </c>
      <c r="D409" s="14" t="str">
        <f>VLOOKUP(TAB_ENTRADA[[#This Row],[Cod_2_Entrada]],TAB_ESTOQUE[[Codigo]:[Endereço2]],12,FALSE)</f>
        <v>E1205</v>
      </c>
      <c r="E409" s="14">
        <f>SUM(TAB_ENTRADA[[#This Row],[20/05/2019]:[Colunas1]])</f>
        <v>2</v>
      </c>
      <c r="F409" s="3"/>
      <c r="FK409" s="3">
        <v>2</v>
      </c>
    </row>
    <row r="410" spans="1:167" x14ac:dyDescent="0.25">
      <c r="A410" s="5" t="s">
        <v>2067</v>
      </c>
      <c r="B410" s="14" t="str">
        <f>VLOOKUP(TAB_ENTRADA[[#This Row],[Cod_2_Entrada]],TAB_ESTOQUE[[Codigo]:[Descrição Tecnica]],6,FALSE)</f>
        <v>RETENTOR 65X90X12</v>
      </c>
      <c r="C410" s="14">
        <f>IFERROR(VLOOKUP(TAB_ENTRADA[[#This Row],[Cod_2_Entrada]],TAB_ESTOQUE[[Codigo]:[Referência Tec]],7,FALSE),"")</f>
        <v>0</v>
      </c>
      <c r="D410" s="14" t="str">
        <f>VLOOKUP(TAB_ENTRADA[[#This Row],[Cod_2_Entrada]],TAB_ESTOQUE[[Codigo]:[Endereço2]],12,FALSE)</f>
        <v>E1205</v>
      </c>
      <c r="E410" s="14">
        <f>SUM(TAB_ENTRADA[[#This Row],[20/05/2019]:[Colunas1]])</f>
        <v>4</v>
      </c>
      <c r="F410" s="3"/>
      <c r="FK410" s="3">
        <v>4</v>
      </c>
    </row>
    <row r="411" spans="1:167" x14ac:dyDescent="0.25">
      <c r="A411" s="5" t="s">
        <v>2068</v>
      </c>
      <c r="B411" s="14" t="str">
        <f>VLOOKUP(TAB_ENTRADA[[#This Row],[Cod_2_Entrada]],TAB_ESTOQUE[[Codigo]:[Descrição Tecnica]],6,FALSE)</f>
        <v>RETENTOR 50X72X12</v>
      </c>
      <c r="C411" s="14">
        <f>IFERROR(VLOOKUP(TAB_ENTRADA[[#This Row],[Cod_2_Entrada]],TAB_ESTOQUE[[Codigo]:[Referência Tec]],7,FALSE),"")</f>
        <v>0</v>
      </c>
      <c r="D411" s="14" t="str">
        <f>VLOOKUP(TAB_ENTRADA[[#This Row],[Cod_2_Entrada]],TAB_ESTOQUE[[Codigo]:[Endereço2]],12,FALSE)</f>
        <v>E1202</v>
      </c>
      <c r="E411" s="14">
        <f>SUM(TAB_ENTRADA[[#This Row],[20/05/2019]:[Colunas1]])</f>
        <v>3</v>
      </c>
      <c r="F411" s="3"/>
      <c r="FK411" s="3">
        <v>3</v>
      </c>
    </row>
    <row r="412" spans="1:167" x14ac:dyDescent="0.25">
      <c r="A412" s="5" t="s">
        <v>2069</v>
      </c>
      <c r="B412" s="14" t="str">
        <f>VLOOKUP(TAB_ENTRADA[[#This Row],[Cod_2_Entrada]],TAB_ESTOQUE[[Codigo]:[Descrição Tecnica]],6,FALSE)</f>
        <v>RETENTOR 25X47X10</v>
      </c>
      <c r="C412" s="14">
        <f>IFERROR(VLOOKUP(TAB_ENTRADA[[#This Row],[Cod_2_Entrada]],TAB_ESTOQUE[[Codigo]:[Referência Tec]],7,FALSE),"")</f>
        <v>0</v>
      </c>
      <c r="D412" s="14" t="str">
        <f>VLOOKUP(TAB_ENTRADA[[#This Row],[Cod_2_Entrada]],TAB_ESTOQUE[[Codigo]:[Endereço2]],12,FALSE)</f>
        <v>E1203</v>
      </c>
      <c r="E412" s="14">
        <f>SUM(TAB_ENTRADA[[#This Row],[20/05/2019]:[Colunas1]])</f>
        <v>7</v>
      </c>
      <c r="F412" s="3"/>
      <c r="FK412" s="3">
        <v>7</v>
      </c>
    </row>
    <row r="413" spans="1:167" x14ac:dyDescent="0.25">
      <c r="A413" s="5" t="s">
        <v>2070</v>
      </c>
      <c r="B413" s="14" t="str">
        <f>VLOOKUP(TAB_ENTRADA[[#This Row],[Cod_2_Entrada]],TAB_ESTOQUE[[Codigo]:[Descrição Tecnica]],6,FALSE)</f>
        <v>RETENTOR 54X90X12</v>
      </c>
      <c r="C413" s="14">
        <f>IFERROR(VLOOKUP(TAB_ENTRADA[[#This Row],[Cod_2_Entrada]],TAB_ESTOQUE[[Codigo]:[Referência Tec]],7,FALSE),"")</f>
        <v>0</v>
      </c>
      <c r="D413" s="14" t="str">
        <f>VLOOKUP(TAB_ENTRADA[[#This Row],[Cod_2_Entrada]],TAB_ESTOQUE[[Codigo]:[Endereço2]],12,FALSE)</f>
        <v>E1203</v>
      </c>
      <c r="E413" s="14">
        <f>SUM(TAB_ENTRADA[[#This Row],[20/05/2019]:[Colunas1]])</f>
        <v>8</v>
      </c>
      <c r="F413" s="3"/>
      <c r="FK413" s="3">
        <v>8</v>
      </c>
    </row>
    <row r="414" spans="1:167" x14ac:dyDescent="0.25">
      <c r="A414" s="5" t="s">
        <v>2071</v>
      </c>
      <c r="B414" s="14" t="str">
        <f>VLOOKUP(TAB_ENTRADA[[#This Row],[Cod_2_Entrada]],TAB_ESTOQUE[[Codigo]:[Descrição Tecnica]],6,FALSE)</f>
        <v>RETENTOR 60X85X8</v>
      </c>
      <c r="C414" s="14">
        <f>IFERROR(VLOOKUP(TAB_ENTRADA[[#This Row],[Cod_2_Entrada]],TAB_ESTOQUE[[Codigo]:[Referência Tec]],7,FALSE),"")</f>
        <v>0</v>
      </c>
      <c r="D414" s="14" t="str">
        <f>VLOOKUP(TAB_ENTRADA[[#This Row],[Cod_2_Entrada]],TAB_ESTOQUE[[Codigo]:[Endereço2]],12,FALSE)</f>
        <v>E1203</v>
      </c>
      <c r="E414" s="14">
        <f>SUM(TAB_ENTRADA[[#This Row],[20/05/2019]:[Colunas1]])</f>
        <v>10</v>
      </c>
      <c r="F414" s="3"/>
      <c r="FK414" s="3">
        <v>10</v>
      </c>
    </row>
    <row r="415" spans="1:167" x14ac:dyDescent="0.25">
      <c r="A415" s="5" t="s">
        <v>2072</v>
      </c>
      <c r="B415" s="14" t="str">
        <f>VLOOKUP(TAB_ENTRADA[[#This Row],[Cod_2_Entrada]],TAB_ESTOQUE[[Codigo]:[Descrição Tecnica]],6,FALSE)</f>
        <v>RETENTOR 85X45X50</v>
      </c>
      <c r="C415" s="14">
        <f>IFERROR(VLOOKUP(TAB_ENTRADA[[#This Row],[Cod_2_Entrada]],TAB_ESTOQUE[[Codigo]:[Referência Tec]],7,FALSE),"")</f>
        <v>0</v>
      </c>
      <c r="D415" s="14" t="str">
        <f>VLOOKUP(TAB_ENTRADA[[#This Row],[Cod_2_Entrada]],TAB_ESTOQUE[[Codigo]:[Endereço2]],12,FALSE)</f>
        <v>E1204</v>
      </c>
      <c r="E415" s="14">
        <f>SUM(TAB_ENTRADA[[#This Row],[20/05/2019]:[Colunas1]])</f>
        <v>0</v>
      </c>
      <c r="F415" s="3"/>
      <c r="FK415" s="3">
        <v>0</v>
      </c>
    </row>
    <row r="416" spans="1:167" x14ac:dyDescent="0.25">
      <c r="A416" s="5" t="s">
        <v>2073</v>
      </c>
      <c r="B416" s="14" t="str">
        <f>VLOOKUP(TAB_ENTRADA[[#This Row],[Cod_2_Entrada]],TAB_ESTOQUE[[Codigo]:[Descrição Tecnica]],6,FALSE)</f>
        <v>RETENTOR 45X62X10</v>
      </c>
      <c r="C416" s="14">
        <f>IFERROR(VLOOKUP(TAB_ENTRADA[[#This Row],[Cod_2_Entrada]],TAB_ESTOQUE[[Codigo]:[Referência Tec]],7,FALSE),"")</f>
        <v>0</v>
      </c>
      <c r="D416" s="14" t="str">
        <f>VLOOKUP(TAB_ENTRADA[[#This Row],[Cod_2_Entrada]],TAB_ESTOQUE[[Codigo]:[Endereço2]],12,FALSE)</f>
        <v>E1203</v>
      </c>
      <c r="E416" s="14">
        <f>SUM(TAB_ENTRADA[[#This Row],[20/05/2019]:[Colunas1]])</f>
        <v>42</v>
      </c>
      <c r="F416" s="3"/>
      <c r="FK416" s="3">
        <v>42</v>
      </c>
    </row>
    <row r="417" spans="1:167" x14ac:dyDescent="0.25">
      <c r="A417" s="5" t="s">
        <v>2074</v>
      </c>
      <c r="B417" s="14" t="str">
        <f>VLOOKUP(TAB_ENTRADA[[#This Row],[Cod_2_Entrada]],TAB_ESTOQUE[[Codigo]:[Descrição Tecnica]],6,FALSE)</f>
        <v>RETENTOR 57X73X1</v>
      </c>
      <c r="C417" s="14">
        <f>IFERROR(VLOOKUP(TAB_ENTRADA[[#This Row],[Cod_2_Entrada]],TAB_ESTOQUE[[Codigo]:[Referência Tec]],7,FALSE),"")</f>
        <v>0</v>
      </c>
      <c r="D417" s="14" t="str">
        <f>VLOOKUP(TAB_ENTRADA[[#This Row],[Cod_2_Entrada]],TAB_ESTOQUE[[Codigo]:[Endereço2]],12,FALSE)</f>
        <v>E1204</v>
      </c>
      <c r="E417" s="14">
        <f>SUM(TAB_ENTRADA[[#This Row],[20/05/2019]:[Colunas1]])</f>
        <v>16</v>
      </c>
      <c r="F417" s="3"/>
      <c r="FK417" s="3">
        <v>16</v>
      </c>
    </row>
    <row r="418" spans="1:167" x14ac:dyDescent="0.25">
      <c r="A418" s="5" t="s">
        <v>2075</v>
      </c>
      <c r="B418" s="14" t="str">
        <f>VLOOKUP(TAB_ENTRADA[[#This Row],[Cod_2_Entrada]],TAB_ESTOQUE[[Codigo]:[Descrição Tecnica]],6,FALSE)</f>
        <v>RASPADOR 25-S</v>
      </c>
      <c r="C418" s="14">
        <f>IFERROR(VLOOKUP(TAB_ENTRADA[[#This Row],[Cod_2_Entrada]],TAB_ESTOQUE[[Codigo]:[Referência Tec]],7,FALSE),"")</f>
        <v>0</v>
      </c>
      <c r="D418" s="14" t="str">
        <f>VLOOKUP(TAB_ENTRADA[[#This Row],[Cod_2_Entrada]],TAB_ESTOQUE[[Codigo]:[Endereço2]],12,FALSE)</f>
        <v>E1303</v>
      </c>
      <c r="E418" s="14">
        <f>SUM(TAB_ENTRADA[[#This Row],[20/05/2019]:[Colunas1]])</f>
        <v>15</v>
      </c>
      <c r="F418" s="3"/>
      <c r="FK418" s="3">
        <v>15</v>
      </c>
    </row>
    <row r="419" spans="1:167" x14ac:dyDescent="0.25">
      <c r="A419" s="5" t="s">
        <v>2076</v>
      </c>
      <c r="B419" s="14" t="str">
        <f>VLOOKUP(TAB_ENTRADA[[#This Row],[Cod_2_Entrada]],TAB_ESTOQUE[[Codigo]:[Descrição Tecnica]],6,FALSE)</f>
        <v>RASPADOR 20-S</v>
      </c>
      <c r="C419" s="14">
        <f>IFERROR(VLOOKUP(TAB_ENTRADA[[#This Row],[Cod_2_Entrada]],TAB_ESTOQUE[[Codigo]:[Referência Tec]],7,FALSE),"")</f>
        <v>0</v>
      </c>
      <c r="D419" s="14" t="str">
        <f>VLOOKUP(TAB_ENTRADA[[#This Row],[Cod_2_Entrada]],TAB_ESTOQUE[[Codigo]:[Endereço2]],12,FALSE)</f>
        <v>E1303</v>
      </c>
      <c r="E419" s="14">
        <f>SUM(TAB_ENTRADA[[#This Row],[20/05/2019]:[Colunas1]])</f>
        <v>25</v>
      </c>
      <c r="F419" s="3"/>
      <c r="FK419" s="3">
        <v>25</v>
      </c>
    </row>
    <row r="420" spans="1:167" x14ac:dyDescent="0.25">
      <c r="A420" s="5" t="s">
        <v>2077</v>
      </c>
      <c r="B420" s="14" t="str">
        <f>VLOOKUP(TAB_ENTRADA[[#This Row],[Cod_2_Entrada]],TAB_ESTOQUE[[Codigo]:[Descrição Tecnica]],6,FALSE)</f>
        <v>RASPADOR 30-S</v>
      </c>
      <c r="C420" s="14">
        <f>IFERROR(VLOOKUP(TAB_ENTRADA[[#This Row],[Cod_2_Entrada]],TAB_ESTOQUE[[Codigo]:[Referência Tec]],7,FALSE),"")</f>
        <v>0</v>
      </c>
      <c r="D420" s="14" t="str">
        <f>VLOOKUP(TAB_ENTRADA[[#This Row],[Cod_2_Entrada]],TAB_ESTOQUE[[Codigo]:[Endereço2]],12,FALSE)</f>
        <v>E1303</v>
      </c>
      <c r="E420" s="14">
        <f>SUM(TAB_ENTRADA[[#This Row],[20/05/2019]:[Colunas1]])</f>
        <v>14</v>
      </c>
      <c r="F420" s="3"/>
      <c r="FK420" s="3">
        <v>14</v>
      </c>
    </row>
    <row r="421" spans="1:167" x14ac:dyDescent="0.25">
      <c r="A421" s="5" t="s">
        <v>2078</v>
      </c>
      <c r="B421" s="14" t="str">
        <f>VLOOKUP(TAB_ENTRADA[[#This Row],[Cod_2_Entrada]],TAB_ESTOQUE[[Codigo]:[Descrição Tecnica]],6,FALSE)</f>
        <v>RASPADOR 16-S</v>
      </c>
      <c r="C421" s="14">
        <f>IFERROR(VLOOKUP(TAB_ENTRADA[[#This Row],[Cod_2_Entrada]],TAB_ESTOQUE[[Codigo]:[Referência Tec]],7,FALSE),"")</f>
        <v>0</v>
      </c>
      <c r="D421" s="14" t="str">
        <f>VLOOKUP(TAB_ENTRADA[[#This Row],[Cod_2_Entrada]],TAB_ESTOQUE[[Codigo]:[Endereço2]],12,FALSE)</f>
        <v>E1303</v>
      </c>
      <c r="E421" s="14">
        <f>SUM(TAB_ENTRADA[[#This Row],[20/05/2019]:[Colunas1]])</f>
        <v>8</v>
      </c>
      <c r="F421" s="3"/>
      <c r="FK421" s="3">
        <v>8</v>
      </c>
    </row>
    <row r="422" spans="1:167" x14ac:dyDescent="0.25">
      <c r="A422" s="5" t="s">
        <v>2079</v>
      </c>
      <c r="B422" s="14" t="str">
        <f>VLOOKUP(TAB_ENTRADA[[#This Row],[Cod_2_Entrada]],TAB_ESTOQUE[[Codigo]:[Descrição Tecnica]],6,FALSE)</f>
        <v>RASPADOR 12-S</v>
      </c>
      <c r="C422" s="14">
        <f>IFERROR(VLOOKUP(TAB_ENTRADA[[#This Row],[Cod_2_Entrada]],TAB_ESTOQUE[[Codigo]:[Referência Tec]],7,FALSE),"")</f>
        <v>0</v>
      </c>
      <c r="D422" s="14" t="str">
        <f>VLOOKUP(TAB_ENTRADA[[#This Row],[Cod_2_Entrada]],TAB_ESTOQUE[[Codigo]:[Endereço2]],12,FALSE)</f>
        <v>E1303</v>
      </c>
      <c r="E422" s="14">
        <f>SUM(TAB_ENTRADA[[#This Row],[20/05/2019]:[Colunas1]])</f>
        <v>16</v>
      </c>
      <c r="F422" s="3"/>
      <c r="FK422" s="3">
        <v>16</v>
      </c>
    </row>
    <row r="423" spans="1:167" x14ac:dyDescent="0.25">
      <c r="A423" s="5" t="s">
        <v>2080</v>
      </c>
      <c r="B423" s="14" t="str">
        <f>VLOOKUP(TAB_ENTRADA[[#This Row],[Cod_2_Entrada]],TAB_ESTOQUE[[Codigo]:[Descrição Tecnica]],6,FALSE)</f>
        <v>RETENTOR 33X16X2</v>
      </c>
      <c r="C423" s="14">
        <f>IFERROR(VLOOKUP(TAB_ENTRADA[[#This Row],[Cod_2_Entrada]],TAB_ESTOQUE[[Codigo]:[Referência Tec]],7,FALSE),"")</f>
        <v>0</v>
      </c>
      <c r="D423" s="14" t="str">
        <f>VLOOKUP(TAB_ENTRADA[[#This Row],[Cod_2_Entrada]],TAB_ESTOQUE[[Codigo]:[Endereço2]],12,FALSE)</f>
        <v>E1204</v>
      </c>
      <c r="E423" s="14">
        <f>SUM(TAB_ENTRADA[[#This Row],[20/05/2019]:[Colunas1]])</f>
        <v>0</v>
      </c>
      <c r="F423" s="3"/>
      <c r="FK423" s="3">
        <v>0</v>
      </c>
    </row>
    <row r="424" spans="1:167" x14ac:dyDescent="0.25">
      <c r="A424" s="5" t="s">
        <v>2081</v>
      </c>
      <c r="B424" s="14" t="str">
        <f>VLOOKUP(TAB_ENTRADA[[#This Row],[Cod_2_Entrada]],TAB_ESTOQUE[[Codigo]:[Descrição Tecnica]],6,FALSE)</f>
        <v>ANEL DE TEFLON 25X59X3</v>
      </c>
      <c r="C424" s="14">
        <f>IFERROR(VLOOKUP(TAB_ENTRADA[[#This Row],[Cod_2_Entrada]],TAB_ESTOQUE[[Codigo]:[Referência Tec]],7,FALSE),"")</f>
        <v>0</v>
      </c>
      <c r="D424" s="14" t="str">
        <f>VLOOKUP(TAB_ENTRADA[[#This Row],[Cod_2_Entrada]],TAB_ESTOQUE[[Codigo]:[Endereço2]],12,FALSE)</f>
        <v>E1303</v>
      </c>
      <c r="E424" s="14">
        <f>SUM(TAB_ENTRADA[[#This Row],[20/05/2019]:[Colunas1]])</f>
        <v>3</v>
      </c>
      <c r="F424" s="3"/>
      <c r="FK424" s="3">
        <v>3</v>
      </c>
    </row>
    <row r="425" spans="1:167" x14ac:dyDescent="0.25">
      <c r="A425" s="5" t="s">
        <v>2082</v>
      </c>
      <c r="B425" s="14" t="str">
        <f>VLOOKUP(TAB_ENTRADA[[#This Row],[Cod_2_Entrada]],TAB_ESTOQUE[[Codigo]:[Descrição Tecnica]],6,FALSE)</f>
        <v>RETENTOR 40X56X10</v>
      </c>
      <c r="C425" s="14">
        <f>IFERROR(VLOOKUP(TAB_ENTRADA[[#This Row],[Cod_2_Entrada]],TAB_ESTOQUE[[Codigo]:[Referência Tec]],7,FALSE),"")</f>
        <v>0</v>
      </c>
      <c r="D425" s="14" t="str">
        <f>VLOOKUP(TAB_ENTRADA[[#This Row],[Cod_2_Entrada]],TAB_ESTOQUE[[Codigo]:[Endereço2]],12,FALSE)</f>
        <v>E1203</v>
      </c>
      <c r="E425" s="14">
        <f>SUM(TAB_ENTRADA[[#This Row],[20/05/2019]:[Colunas1]])</f>
        <v>8</v>
      </c>
      <c r="F425" s="3"/>
      <c r="FK425" s="3">
        <v>8</v>
      </c>
    </row>
    <row r="426" spans="1:167" x14ac:dyDescent="0.25">
      <c r="A426" s="5" t="s">
        <v>2083</v>
      </c>
      <c r="B426" s="14" t="str">
        <f>VLOOKUP(TAB_ENTRADA[[#This Row],[Cod_2_Entrada]],TAB_ESTOQUE[[Codigo]:[Descrição Tecnica]],6,FALSE)</f>
        <v>CONTATO AUXILIAR WEG BCXMF01 A600 Q600</v>
      </c>
      <c r="C426" s="14">
        <f>IFERROR(VLOOKUP(TAB_ENTRADA[[#This Row],[Cod_2_Entrada]],TAB_ESTOQUE[[Codigo]:[Referência Tec]],7,FALSE),"")</f>
        <v>0</v>
      </c>
      <c r="D426" s="14" t="str">
        <f>VLOOKUP(TAB_ENTRADA[[#This Row],[Cod_2_Entrada]],TAB_ESTOQUE[[Codigo]:[Endereço2]],12,FALSE)</f>
        <v>A1304</v>
      </c>
      <c r="E426" s="14">
        <f>SUM(TAB_ENTRADA[[#This Row],[20/05/2019]:[Colunas1]])</f>
        <v>3</v>
      </c>
      <c r="F426" s="3"/>
      <c r="FK426" s="3">
        <v>3</v>
      </c>
    </row>
    <row r="427" spans="1:167" x14ac:dyDescent="0.25">
      <c r="A427" s="5" t="s">
        <v>2084</v>
      </c>
      <c r="B427" s="14" t="str">
        <f>VLOOKUP(TAB_ENTRADA[[#This Row],[Cod_2_Entrada]],TAB_ESTOQUE[[Codigo]:[Descrição Tecnica]],6,FALSE)</f>
        <v xml:space="preserve">ROLAMENTO 3205 </v>
      </c>
      <c r="C427" s="14">
        <f>IFERROR(VLOOKUP(TAB_ENTRADA[[#This Row],[Cod_2_Entrada]],TAB_ESTOQUE[[Codigo]:[Referência Tec]],7,FALSE),"")</f>
        <v>0</v>
      </c>
      <c r="D427" s="14" t="str">
        <f>VLOOKUP(TAB_ENTRADA[[#This Row],[Cod_2_Entrada]],TAB_ESTOQUE[[Codigo]:[Endereço2]],12,FALSE)</f>
        <v>D2104</v>
      </c>
      <c r="E427" s="14">
        <f>SUM(TAB_ENTRADA[[#This Row],[20/05/2019]:[Colunas1]])</f>
        <v>4</v>
      </c>
      <c r="F427" s="3"/>
      <c r="FK427" s="3">
        <v>4</v>
      </c>
    </row>
    <row r="428" spans="1:167" x14ac:dyDescent="0.25">
      <c r="A428" s="5" t="s">
        <v>2085</v>
      </c>
      <c r="B428" s="14" t="str">
        <f>VLOOKUP(TAB_ENTRADA[[#This Row],[Cod_2_Entrada]],TAB_ESTOQUE[[Codigo]:[Descrição Tecnica]],6,FALSE)</f>
        <v>ROLAMENTO RÍGIDO DE ESFERA 6207 (FAG)</v>
      </c>
      <c r="C428" s="14">
        <f>IFERROR(VLOOKUP(TAB_ENTRADA[[#This Row],[Cod_2_Entrada]],TAB_ESTOQUE[[Codigo]:[Referência Tec]],7,FALSE),"")</f>
        <v>0</v>
      </c>
      <c r="D428" s="14" t="str">
        <f>VLOOKUP(TAB_ENTRADA[[#This Row],[Cod_2_Entrada]],TAB_ESTOQUE[[Codigo]:[Endereço2]],12,FALSE)</f>
        <v>D2104</v>
      </c>
      <c r="E428" s="14">
        <f>SUM(TAB_ENTRADA[[#This Row],[20/05/2019]:[Colunas1]])</f>
        <v>11</v>
      </c>
      <c r="F428" s="3"/>
      <c r="FK428" s="3">
        <v>11</v>
      </c>
    </row>
    <row r="429" spans="1:167" x14ac:dyDescent="0.25">
      <c r="A429" s="5" t="s">
        <v>2086</v>
      </c>
      <c r="B429" s="14" t="str">
        <f>VLOOKUP(TAB_ENTRADA[[#This Row],[Cod_2_Entrada]],TAB_ESTOQUE[[Codigo]:[Descrição Tecnica]],6,FALSE)</f>
        <v>ROLAMENTO RKY52</v>
      </c>
      <c r="C429" s="14">
        <f>IFERROR(VLOOKUP(TAB_ENTRADA[[#This Row],[Cod_2_Entrada]],TAB_ESTOQUE[[Codigo]:[Referência Tec]],7,FALSE),"")</f>
        <v>0</v>
      </c>
      <c r="D429" s="14" t="str">
        <f>VLOOKUP(TAB_ENTRADA[[#This Row],[Cod_2_Entrada]],TAB_ESTOQUE[[Codigo]:[Endereço2]],12,FALSE)</f>
        <v>D2105</v>
      </c>
      <c r="E429" s="14">
        <f>SUM(TAB_ENTRADA[[#This Row],[20/05/2019]:[Colunas1]])</f>
        <v>2</v>
      </c>
      <c r="F429" s="3"/>
      <c r="FK429" s="3">
        <v>2</v>
      </c>
    </row>
    <row r="430" spans="1:167" x14ac:dyDescent="0.25">
      <c r="A430" s="5" t="s">
        <v>2087</v>
      </c>
      <c r="B430" s="14" t="str">
        <f>VLOOKUP(TAB_ENTRADA[[#This Row],[Cod_2_Entrada]],TAB_ESTOQUE[[Codigo]:[Descrição Tecnica]],6,FALSE)</f>
        <v>FILTRO REG REF: CR 303 - 12</v>
      </c>
      <c r="C430" s="14">
        <f>IFERROR(VLOOKUP(TAB_ENTRADA[[#This Row],[Cod_2_Entrada]],TAB_ESTOQUE[[Codigo]:[Referência Tec]],7,FALSE),"")</f>
        <v>0</v>
      </c>
      <c r="D430" s="14" t="str">
        <f>VLOOKUP(TAB_ENTRADA[[#This Row],[Cod_2_Entrada]],TAB_ESTOQUE[[Codigo]:[Endereço2]],12,FALSE)</f>
        <v>C2402</v>
      </c>
      <c r="E430" s="14">
        <f>SUM(TAB_ENTRADA[[#This Row],[20/05/2019]:[Colunas1]])</f>
        <v>2</v>
      </c>
      <c r="F430" s="3"/>
      <c r="FK430" s="3">
        <v>2</v>
      </c>
    </row>
    <row r="431" spans="1:167" x14ac:dyDescent="0.25">
      <c r="A431" s="5" t="s">
        <v>2088</v>
      </c>
      <c r="B431" s="14" t="str">
        <f>VLOOKUP(TAB_ENTRADA[[#This Row],[Cod_2_Entrada]],TAB_ESTOQUE[[Codigo]:[Descrição Tecnica]],6,FALSE)</f>
        <v>ROLAMENTO DE ESFERAS 62206</v>
      </c>
      <c r="C431" s="14">
        <f>IFERROR(VLOOKUP(TAB_ENTRADA[[#This Row],[Cod_2_Entrada]],TAB_ESTOQUE[[Codigo]:[Referência Tec]],7,FALSE),"")</f>
        <v>0</v>
      </c>
      <c r="D431" s="14" t="str">
        <f>VLOOKUP(TAB_ENTRADA[[#This Row],[Cod_2_Entrada]],TAB_ESTOQUE[[Codigo]:[Endereço2]],12,FALSE)</f>
        <v>D2105</v>
      </c>
      <c r="E431" s="14">
        <f>SUM(TAB_ENTRADA[[#This Row],[20/05/2019]:[Colunas1]])</f>
        <v>14</v>
      </c>
      <c r="F431" s="3"/>
      <c r="FK431" s="3">
        <v>14</v>
      </c>
    </row>
    <row r="432" spans="1:167" x14ac:dyDescent="0.25">
      <c r="A432" s="5" t="s">
        <v>2089</v>
      </c>
      <c r="B432" s="14" t="str">
        <f>VLOOKUP(TAB_ENTRADA[[#This Row],[Cod_2_Entrada]],TAB_ESTOQUE[[Codigo]:[Descrição Tecnica]],6,FALSE)</f>
        <v>RETENTOR 14X22X7</v>
      </c>
      <c r="C432" s="14">
        <f>IFERROR(VLOOKUP(TAB_ENTRADA[[#This Row],[Cod_2_Entrada]],TAB_ESTOQUE[[Codigo]:[Referência Tec]],7,FALSE),"")</f>
        <v>0</v>
      </c>
      <c r="D432" s="14" t="str">
        <f>VLOOKUP(TAB_ENTRADA[[#This Row],[Cod_2_Entrada]],TAB_ESTOQUE[[Codigo]:[Endereço2]],12,FALSE)</f>
        <v>E1202</v>
      </c>
      <c r="E432" s="14">
        <f>SUM(TAB_ENTRADA[[#This Row],[20/05/2019]:[Colunas1]])</f>
        <v>6</v>
      </c>
      <c r="F432" s="3"/>
      <c r="FK432" s="3">
        <v>6</v>
      </c>
    </row>
    <row r="433" spans="1:201" x14ac:dyDescent="0.25">
      <c r="A433" s="5" t="s">
        <v>2090</v>
      </c>
      <c r="B433" s="14" t="str">
        <f>VLOOKUP(TAB_ENTRADA[[#This Row],[Cod_2_Entrada]],TAB_ESTOQUE[[Codigo]:[Descrição Tecnica]],6,FALSE)</f>
        <v>RETENTOR 24X35X6</v>
      </c>
      <c r="C433" s="14">
        <f>IFERROR(VLOOKUP(TAB_ENTRADA[[#This Row],[Cod_2_Entrada]],TAB_ESTOQUE[[Codigo]:[Referência Tec]],7,FALSE),"")</f>
        <v>0</v>
      </c>
      <c r="D433" s="14" t="str">
        <f>VLOOKUP(TAB_ENTRADA[[#This Row],[Cod_2_Entrada]],TAB_ESTOQUE[[Codigo]:[Endereço2]],12,FALSE)</f>
        <v>E1202</v>
      </c>
      <c r="E433" s="14">
        <f>SUM(TAB_ENTRADA[[#This Row],[20/05/2019]:[Colunas1]])</f>
        <v>2</v>
      </c>
      <c r="F433" s="3"/>
      <c r="FK433" s="3">
        <v>2</v>
      </c>
    </row>
    <row r="434" spans="1:201" x14ac:dyDescent="0.25">
      <c r="A434" s="5" t="s">
        <v>2091</v>
      </c>
      <c r="B434" s="14" t="str">
        <f>VLOOKUP(TAB_ENTRADA[[#This Row],[Cod_2_Entrada]],TAB_ESTOQUE[[Codigo]:[Descrição Tecnica]],6,FALSE)</f>
        <v>AGULHAS DO CILINDRO (RAIO INOX M26)</v>
      </c>
      <c r="C434" s="14">
        <f>IFERROR(VLOOKUP(TAB_ENTRADA[[#This Row],[Cod_2_Entrada]],TAB_ESTOQUE[[Codigo]:[Referência Tec]],7,FALSE),"")</f>
        <v>0</v>
      </c>
      <c r="D434" s="14" t="str">
        <f>VLOOKUP(TAB_ENTRADA[[#This Row],[Cod_2_Entrada]],TAB_ESTOQUE[[Codigo]:[Endereço2]],12,FALSE)</f>
        <v>E1303</v>
      </c>
      <c r="E434" s="14">
        <f>SUM(TAB_ENTRADA[[#This Row],[20/05/2019]:[Colunas1]])</f>
        <v>3</v>
      </c>
      <c r="F434" s="3"/>
      <c r="FK434" s="3">
        <v>3</v>
      </c>
    </row>
    <row r="435" spans="1:201" x14ac:dyDescent="0.25">
      <c r="A435" s="5" t="s">
        <v>2092</v>
      </c>
      <c r="B435" s="14" t="str">
        <f>VLOOKUP(TAB_ENTRADA[[#This Row],[Cod_2_Entrada]],TAB_ESTOQUE[[Codigo]:[Descrição Tecnica]],6,FALSE)</f>
        <v>RETENTOR 25X47X7</v>
      </c>
      <c r="C435" s="14">
        <f>IFERROR(VLOOKUP(TAB_ENTRADA[[#This Row],[Cod_2_Entrada]],TAB_ESTOQUE[[Codigo]:[Referência Tec]],7,FALSE),"")</f>
        <v>0</v>
      </c>
      <c r="D435" s="14" t="str">
        <f>VLOOKUP(TAB_ENTRADA[[#This Row],[Cod_2_Entrada]],TAB_ESTOQUE[[Codigo]:[Endereço2]],12,FALSE)</f>
        <v>E1204</v>
      </c>
      <c r="E435" s="14">
        <f>SUM(TAB_ENTRADA[[#This Row],[20/05/2019]:[Colunas1]])</f>
        <v>10</v>
      </c>
      <c r="F435" s="3"/>
      <c r="FK435" s="3">
        <v>10</v>
      </c>
    </row>
    <row r="436" spans="1:201" x14ac:dyDescent="0.25">
      <c r="A436" s="5" t="s">
        <v>2093</v>
      </c>
      <c r="B436" s="14" t="str">
        <f>VLOOKUP(TAB_ENTRADA[[#This Row],[Cod_2_Entrada]],TAB_ESTOQUE[[Codigo]:[Descrição Tecnica]],6,FALSE)</f>
        <v>BOTÃO DE EMERGENCIA  SCHMERSAL MV-CLE2-40 REF:NO 51901933</v>
      </c>
      <c r="C436" s="14">
        <f>IFERROR(VLOOKUP(TAB_ENTRADA[[#This Row],[Cod_2_Entrada]],TAB_ESTOQUE[[Codigo]:[Referência Tec]],7,FALSE),"")</f>
        <v>0</v>
      </c>
      <c r="D436" s="14" t="str">
        <f>VLOOKUP(TAB_ENTRADA[[#This Row],[Cod_2_Entrada]],TAB_ESTOQUE[[Codigo]:[Endereço2]],12,FALSE)</f>
        <v>A2406</v>
      </c>
      <c r="E436" s="14">
        <f>SUM(TAB_ENTRADA[[#This Row],[20/05/2019]:[Colunas1]])</f>
        <v>19</v>
      </c>
      <c r="F436" s="3"/>
      <c r="FK436" s="3">
        <v>19</v>
      </c>
    </row>
    <row r="437" spans="1:201" x14ac:dyDescent="0.25">
      <c r="A437" s="5" t="s">
        <v>2094</v>
      </c>
      <c r="B437" s="14" t="str">
        <f>VLOOKUP(TAB_ENTRADA[[#This Row],[Cod_2_Entrada]],TAB_ESTOQUE[[Codigo]:[Descrição Tecnica]],6,FALSE)</f>
        <v>FILTRO REG REF: BFC-4000</v>
      </c>
      <c r="C437" s="14">
        <f>IFERROR(VLOOKUP(TAB_ENTRADA[[#This Row],[Cod_2_Entrada]],TAB_ESTOQUE[[Codigo]:[Referência Tec]],7,FALSE),"")</f>
        <v>0</v>
      </c>
      <c r="D437" s="14" t="str">
        <f>VLOOKUP(TAB_ENTRADA[[#This Row],[Cod_2_Entrada]],TAB_ESTOQUE[[Codigo]:[Endereço2]],12,FALSE)</f>
        <v>C2402</v>
      </c>
      <c r="E437" s="14">
        <f>SUM(TAB_ENTRADA[[#This Row],[20/05/2019]:[Colunas1]])</f>
        <v>1</v>
      </c>
      <c r="F437" s="3"/>
      <c r="FK437" s="3">
        <v>1</v>
      </c>
    </row>
    <row r="438" spans="1:201" x14ac:dyDescent="0.25">
      <c r="A438" s="5" t="s">
        <v>2095</v>
      </c>
      <c r="B438" s="14" t="str">
        <f>VLOOKUP(TAB_ENTRADA[[#This Row],[Cod_2_Entrada]],TAB_ESTOQUE[[Codigo]:[Descrição Tecnica]],6,FALSE)</f>
        <v>ROLAMENTO 6908</v>
      </c>
      <c r="C438" s="14">
        <f>IFERROR(VLOOKUP(TAB_ENTRADA[[#This Row],[Cod_2_Entrada]],TAB_ESTOQUE[[Codigo]:[Referência Tec]],7,FALSE),"")</f>
        <v>0</v>
      </c>
      <c r="D438" s="14" t="str">
        <f>VLOOKUP(TAB_ENTRADA[[#This Row],[Cod_2_Entrada]],TAB_ESTOQUE[[Codigo]:[Endereço2]],12,FALSE)</f>
        <v>D2102</v>
      </c>
      <c r="E438" s="14">
        <f>SUM(TAB_ENTRADA[[#This Row],[20/05/2019]:[Colunas1]])</f>
        <v>14</v>
      </c>
      <c r="F438" s="3"/>
      <c r="FK438" s="3">
        <v>14</v>
      </c>
    </row>
    <row r="439" spans="1:201" x14ac:dyDescent="0.25">
      <c r="A439" s="5" t="s">
        <v>2096</v>
      </c>
      <c r="B439" s="14" t="str">
        <f>VLOOKUP(TAB_ENTRADA[[#This Row],[Cod_2_Entrada]],TAB_ESTOQUE[[Codigo]:[Descrição Tecnica]],6,FALSE)</f>
        <v>GARRA DO CARPETE UTE 05</v>
      </c>
      <c r="C439" s="14">
        <f>IFERROR(VLOOKUP(TAB_ENTRADA[[#This Row],[Cod_2_Entrada]],TAB_ESTOQUE[[Codigo]:[Referência Tec]],7,FALSE),"")</f>
        <v>0</v>
      </c>
      <c r="D439" s="14" t="str">
        <f>VLOOKUP(TAB_ENTRADA[[#This Row],[Cod_2_Entrada]],TAB_ESTOQUE[[Codigo]:[Endereço2]],12,FALSE)</f>
        <v>D1202</v>
      </c>
      <c r="E439" s="14">
        <f>SUM(TAB_ENTRADA[[#This Row],[20/05/2019]:[Colunas1]])</f>
        <v>0</v>
      </c>
      <c r="F439" s="3"/>
      <c r="FK439" s="3">
        <v>0</v>
      </c>
    </row>
    <row r="440" spans="1:201" x14ac:dyDescent="0.25">
      <c r="A440" s="5" t="s">
        <v>2097</v>
      </c>
      <c r="B440" s="14" t="str">
        <f>VLOOKUP(TAB_ENTRADA[[#This Row],[Cod_2_Entrada]],TAB_ESTOQUE[[Codigo]:[Descrição Tecnica]],6,FALSE)</f>
        <v>MANCAL P204</v>
      </c>
      <c r="C440" s="14">
        <f>IFERROR(VLOOKUP(TAB_ENTRADA[[#This Row],[Cod_2_Entrada]],TAB_ESTOQUE[[Codigo]:[Referência Tec]],7,FALSE),"")</f>
        <v>0</v>
      </c>
      <c r="D440" s="14" t="str">
        <f>VLOOKUP(TAB_ENTRADA[[#This Row],[Cod_2_Entrada]],TAB_ESTOQUE[[Codigo]:[Endereço2]],12,FALSE)</f>
        <v>E1405</v>
      </c>
      <c r="E440" s="14">
        <f>SUM(TAB_ENTRADA[[#This Row],[20/05/2019]:[Colunas1]])</f>
        <v>5</v>
      </c>
      <c r="F440" s="3"/>
      <c r="FK440" s="3">
        <v>5</v>
      </c>
    </row>
    <row r="441" spans="1:201" x14ac:dyDescent="0.25">
      <c r="A441" s="5" t="s">
        <v>2098</v>
      </c>
      <c r="B441" s="14" t="str">
        <f>VLOOKUP(TAB_ENTRADA[[#This Row],[Cod_2_Entrada]],TAB_ESTOQUE[[Codigo]:[Descrição Tecnica]],6,FALSE)</f>
        <v>MANCAL T207 F&amp;D</v>
      </c>
      <c r="C441" s="14">
        <f>IFERROR(VLOOKUP(TAB_ENTRADA[[#This Row],[Cod_2_Entrada]],TAB_ESTOQUE[[Codigo]:[Referência Tec]],7,FALSE),"")</f>
        <v>0</v>
      </c>
      <c r="D441" s="14" t="str">
        <f>VLOOKUP(TAB_ENTRADA[[#This Row],[Cod_2_Entrada]],TAB_ESTOQUE[[Codigo]:[Endereço2]],12,FALSE)</f>
        <v>E1405</v>
      </c>
      <c r="E441" s="14">
        <f>SUM(TAB_ENTRADA[[#This Row],[20/05/2019]:[Colunas1]])</f>
        <v>3</v>
      </c>
      <c r="F441" s="3"/>
      <c r="FK441" s="3">
        <v>3</v>
      </c>
    </row>
    <row r="442" spans="1:201" x14ac:dyDescent="0.25">
      <c r="A442" s="5" t="s">
        <v>2099</v>
      </c>
      <c r="B442" s="14" t="str">
        <f>VLOOKUP(TAB_ENTRADA[[#This Row],[Cod_2_Entrada]],TAB_ESTOQUE[[Codigo]:[Descrição Tecnica]],6,FALSE)</f>
        <v>APARA DAS CALANDRAS GLASUTEC</v>
      </c>
      <c r="C442" s="14">
        <f>IFERROR(VLOOKUP(TAB_ENTRADA[[#This Row],[Cod_2_Entrada]],TAB_ESTOQUE[[Codigo]:[Referência Tec]],7,FALSE),"")</f>
        <v>0</v>
      </c>
      <c r="D442" s="14" t="str">
        <f>VLOOKUP(TAB_ENTRADA[[#This Row],[Cod_2_Entrada]],TAB_ESTOQUE[[Codigo]:[Endereço2]],12,FALSE)</f>
        <v>E1302</v>
      </c>
      <c r="E442" s="14">
        <f>SUM(TAB_ENTRADA[[#This Row],[20/05/2019]:[Colunas1]])</f>
        <v>0</v>
      </c>
      <c r="F442" s="3"/>
      <c r="FK442" s="3">
        <v>0</v>
      </c>
    </row>
    <row r="443" spans="1:201" x14ac:dyDescent="0.25">
      <c r="A443" s="5" t="s">
        <v>2100</v>
      </c>
      <c r="B443" s="14" t="str">
        <f>VLOOKUP(TAB_ENTRADA[[#This Row],[Cod_2_Entrada]],TAB_ESTOQUE[[Codigo]:[Descrição Tecnica]],6,FALSE)</f>
        <v>COOLER  MOD: KF0615H2SR-R JAMICON 24V----3.7W</v>
      </c>
      <c r="C443" s="14">
        <f>IFERROR(VLOOKUP(TAB_ENTRADA[[#This Row],[Cod_2_Entrada]],TAB_ESTOQUE[[Codigo]:[Referência Tec]],7,FALSE),"")</f>
        <v>0</v>
      </c>
      <c r="D443" s="14" t="str">
        <f>VLOOKUP(TAB_ENTRADA[[#This Row],[Cod_2_Entrada]],TAB_ESTOQUE[[Codigo]:[Endereço2]],12,FALSE)</f>
        <v>B1106</v>
      </c>
      <c r="E443" s="14">
        <f>SUM(TAB_ENTRADA[[#This Row],[20/05/2019]:[Colunas1]])</f>
        <v>0</v>
      </c>
      <c r="F443" s="3"/>
      <c r="FK443" s="3">
        <v>0</v>
      </c>
    </row>
    <row r="444" spans="1:201" x14ac:dyDescent="0.25">
      <c r="A444" s="5" t="s">
        <v>2101</v>
      </c>
      <c r="B444" s="14" t="str">
        <f>VLOOKUP(TAB_ENTRADA[[#This Row],[Cod_2_Entrada]],TAB_ESTOQUE[[Codigo]:[Descrição Tecnica]],6,FALSE)</f>
        <v>LAMINA MAQ. DE CORTE HORIZONTAL 9494X60X06</v>
      </c>
      <c r="C444" s="14">
        <f>IFERROR(VLOOKUP(TAB_ENTRADA[[#This Row],[Cod_2_Entrada]],TAB_ESTOQUE[[Codigo]:[Referência Tec]],7,FALSE),"")</f>
        <v>0</v>
      </c>
      <c r="D444" s="14" t="str">
        <f>VLOOKUP(TAB_ENTRADA[[#This Row],[Cod_2_Entrada]],TAB_ESTOQUE[[Codigo]:[Endereço2]],12,FALSE)</f>
        <v>E1201</v>
      </c>
      <c r="E444" s="14">
        <f>SUM(TAB_ENTRADA[[#This Row],[20/05/2019]:[Colunas1]])</f>
        <v>24</v>
      </c>
      <c r="F444" s="3"/>
      <c r="FK444" s="3">
        <v>9</v>
      </c>
      <c r="GG444" s="3">
        <v>5</v>
      </c>
      <c r="GS444" s="3">
        <v>10</v>
      </c>
    </row>
    <row r="445" spans="1:201" x14ac:dyDescent="0.25">
      <c r="A445" s="5" t="s">
        <v>2102</v>
      </c>
      <c r="B445" s="14" t="str">
        <f>VLOOKUP(TAB_ENTRADA[[#This Row],[Cod_2_Entrada]],TAB_ESTOQUE[[Codigo]:[Descrição Tecnica]],6,FALSE)</f>
        <v>VALVULA PNEUMATICA 1/2 VIAS COM 1 BOBINA 24V</v>
      </c>
      <c r="C445" s="14">
        <f>IFERROR(VLOOKUP(TAB_ENTRADA[[#This Row],[Cod_2_Entrada]],TAB_ESTOQUE[[Codigo]:[Referência Tec]],7,FALSE),"")</f>
        <v>0</v>
      </c>
      <c r="D445" s="14" t="str">
        <f>VLOOKUP(TAB_ENTRADA[[#This Row],[Cod_2_Entrada]],TAB_ESTOQUE[[Codigo]:[Endereço2]],12,FALSE)</f>
        <v>C1103</v>
      </c>
      <c r="E445" s="14">
        <f>SUM(TAB_ENTRADA[[#This Row],[20/05/2019]:[Colunas1]])</f>
        <v>0</v>
      </c>
      <c r="F445" s="3"/>
      <c r="FK445" s="3">
        <v>0</v>
      </c>
    </row>
    <row r="446" spans="1:201" x14ac:dyDescent="0.25">
      <c r="A446" s="5" t="s">
        <v>2103</v>
      </c>
      <c r="B446" s="14" t="str">
        <f>VLOOKUP(TAB_ENTRADA[[#This Row],[Cod_2_Entrada]],TAB_ESTOQUE[[Codigo]:[Descrição Tecnica]],6,FALSE)</f>
        <v>CILINDRO PNEUMATICO ADVU-63-50-P-A</v>
      </c>
      <c r="C446" s="14">
        <f>IFERROR(VLOOKUP(TAB_ENTRADA[[#This Row],[Cod_2_Entrada]],TAB_ESTOQUE[[Codigo]:[Referência Tec]],7,FALSE),"")</f>
        <v>0</v>
      </c>
      <c r="D446" s="14" t="str">
        <f>VLOOKUP(TAB_ENTRADA[[#This Row],[Cod_2_Entrada]],TAB_ESTOQUE[[Codigo]:[Endereço2]],12,FALSE)</f>
        <v>C1105</v>
      </c>
      <c r="E446" s="14">
        <f>SUM(TAB_ENTRADA[[#This Row],[20/05/2019]:[Colunas1]])</f>
        <v>2</v>
      </c>
      <c r="F446" s="3"/>
      <c r="FK446" s="3">
        <v>2</v>
      </c>
    </row>
    <row r="447" spans="1:201" x14ac:dyDescent="0.25">
      <c r="A447" s="5" t="s">
        <v>2104</v>
      </c>
      <c r="B447" s="14" t="str">
        <f>VLOOKUP(TAB_ENTRADA[[#This Row],[Cod_2_Entrada]],TAB_ESTOQUE[[Codigo]:[Descrição Tecnica]],6,FALSE)</f>
        <v>CILINDRO PNEUMATICO ADVU 63-40-P-A</v>
      </c>
      <c r="C447" s="14">
        <f>IFERROR(VLOOKUP(TAB_ENTRADA[[#This Row],[Cod_2_Entrada]],TAB_ESTOQUE[[Codigo]:[Referência Tec]],7,FALSE),"")</f>
        <v>0</v>
      </c>
      <c r="D447" s="14" t="str">
        <f>VLOOKUP(TAB_ENTRADA[[#This Row],[Cod_2_Entrada]],TAB_ESTOQUE[[Codigo]:[Endereço2]],12,FALSE)</f>
        <v>C1105</v>
      </c>
      <c r="E447" s="14">
        <f>SUM(TAB_ENTRADA[[#This Row],[20/05/2019]:[Colunas1]])</f>
        <v>0</v>
      </c>
      <c r="F447" s="3"/>
      <c r="FK447" s="3">
        <v>0</v>
      </c>
    </row>
    <row r="448" spans="1:201" x14ac:dyDescent="0.25">
      <c r="A448" s="5" t="s">
        <v>2105</v>
      </c>
      <c r="B448" s="14" t="str">
        <f>VLOOKUP(TAB_ENTRADA[[#This Row],[Cod_2_Entrada]],TAB_ESTOQUE[[Codigo]:[Descrição Tecnica]],6,FALSE)</f>
        <v>CORRENTE DE TRANSMISSÃO DUPLA 08B-2 (TC TRANSCOR)</v>
      </c>
      <c r="C448" s="14">
        <f>IFERROR(VLOOKUP(TAB_ENTRADA[[#This Row],[Cod_2_Entrada]],TAB_ESTOQUE[[Codigo]:[Referência Tec]],7,FALSE),"")</f>
        <v>0</v>
      </c>
      <c r="D448" s="14" t="str">
        <f>VLOOKUP(TAB_ENTRADA[[#This Row],[Cod_2_Entrada]],TAB_ESTOQUE[[Codigo]:[Endereço2]],12,FALSE)</f>
        <v>E2202</v>
      </c>
      <c r="E448" s="14">
        <f>SUM(TAB_ENTRADA[[#This Row],[20/05/2019]:[Colunas1]])</f>
        <v>4</v>
      </c>
      <c r="F448" s="3"/>
      <c r="FK448" s="3">
        <v>4</v>
      </c>
    </row>
    <row r="449" spans="1:168" x14ac:dyDescent="0.25">
      <c r="A449" s="5" t="s">
        <v>2106</v>
      </c>
      <c r="B449" s="14" t="str">
        <f>VLOOKUP(TAB_ENTRADA[[#This Row],[Cod_2_Entrada]],TAB_ESTOQUE[[Codigo]:[Descrição Tecnica]],6,FALSE)</f>
        <v>ROLAMENTO RÍGIDO DE ESFERA 61903-2RS1 (SKF)</v>
      </c>
      <c r="C449" s="14">
        <f>IFERROR(VLOOKUP(TAB_ENTRADA[[#This Row],[Cod_2_Entrada]],TAB_ESTOQUE[[Codigo]:[Referência Tec]],7,FALSE),"")</f>
        <v>0</v>
      </c>
      <c r="D449" s="14" t="str">
        <f>VLOOKUP(TAB_ENTRADA[[#This Row],[Cod_2_Entrada]],TAB_ESTOQUE[[Codigo]:[Endereço2]],12,FALSE)</f>
        <v>D2103</v>
      </c>
      <c r="E449" s="14">
        <f>SUM(TAB_ENTRADA[[#This Row],[20/05/2019]:[Colunas1]])</f>
        <v>3</v>
      </c>
      <c r="F449" s="3"/>
      <c r="FK449" s="3">
        <v>3</v>
      </c>
    </row>
    <row r="450" spans="1:168" x14ac:dyDescent="0.25">
      <c r="A450" s="5" t="s">
        <v>2107</v>
      </c>
      <c r="B450" s="14" t="str">
        <f>VLOOKUP(TAB_ENTRADA[[#This Row],[Cod_2_Entrada]],TAB_ESTOQUE[[Codigo]:[Descrição Tecnica]],6,FALSE)</f>
        <v>ROLAMENTO RÍGIDO DE ESFERA 6203-2Z (SKF)</v>
      </c>
      <c r="C450" s="14">
        <f>IFERROR(VLOOKUP(TAB_ENTRADA[[#This Row],[Cod_2_Entrada]],TAB_ESTOQUE[[Codigo]:[Referência Tec]],7,FALSE),"")</f>
        <v>0</v>
      </c>
      <c r="D450" s="14" t="str">
        <f>VLOOKUP(TAB_ENTRADA[[#This Row],[Cod_2_Entrada]],TAB_ESTOQUE[[Codigo]:[Endereço2]],12,FALSE)</f>
        <v>D2103</v>
      </c>
      <c r="E450" s="14">
        <f>SUM(TAB_ENTRADA[[#This Row],[20/05/2019]:[Colunas1]])</f>
        <v>4</v>
      </c>
      <c r="F450" s="3"/>
      <c r="FK450" s="3">
        <v>4</v>
      </c>
    </row>
    <row r="451" spans="1:168" x14ac:dyDescent="0.25">
      <c r="A451" s="5" t="s">
        <v>2108</v>
      </c>
      <c r="B451" s="14" t="str">
        <f>VLOOKUP(TAB_ENTRADA[[#This Row],[Cod_2_Entrada]],TAB_ESTOQUE[[Codigo]:[Descrição Tecnica]],6,FALSE)</f>
        <v>ROLAMENTO DE ESFERA 3204Z (MAK)</v>
      </c>
      <c r="C451" s="14">
        <f>IFERROR(VLOOKUP(TAB_ENTRADA[[#This Row],[Cod_2_Entrada]],TAB_ESTOQUE[[Codigo]:[Referência Tec]],7,FALSE),"")</f>
        <v>0</v>
      </c>
      <c r="D451" s="14" t="str">
        <f>VLOOKUP(TAB_ENTRADA[[#This Row],[Cod_2_Entrada]],TAB_ESTOQUE[[Codigo]:[Endereço2]],12,FALSE)</f>
        <v>D2103</v>
      </c>
      <c r="E451" s="14">
        <f>SUM(TAB_ENTRADA[[#This Row],[20/05/2019]:[Colunas1]])</f>
        <v>2</v>
      </c>
      <c r="F451" s="3"/>
      <c r="FK451" s="3">
        <v>2</v>
      </c>
    </row>
    <row r="452" spans="1:168" x14ac:dyDescent="0.25">
      <c r="A452" s="5" t="s">
        <v>2109</v>
      </c>
      <c r="B452" s="14" t="str">
        <f>VLOOKUP(TAB_ENTRADA[[#This Row],[Cod_2_Entrada]],TAB_ESTOQUE[[Codigo]:[Descrição Tecnica]],6,FALSE)</f>
        <v>ROLAMENTO RÍGIDO DE ESFERA 6003-2Z C3GJN</v>
      </c>
      <c r="C452" s="14">
        <f>IFERROR(VLOOKUP(TAB_ENTRADA[[#This Row],[Cod_2_Entrada]],TAB_ESTOQUE[[Codigo]:[Referência Tec]],7,FALSE),"")</f>
        <v>0</v>
      </c>
      <c r="D452" s="14" t="str">
        <f>VLOOKUP(TAB_ENTRADA[[#This Row],[Cod_2_Entrada]],TAB_ESTOQUE[[Codigo]:[Endereço2]],12,FALSE)</f>
        <v>D2103</v>
      </c>
      <c r="E452" s="14">
        <f>SUM(TAB_ENTRADA[[#This Row],[20/05/2019]:[Colunas1]])</f>
        <v>6</v>
      </c>
      <c r="F452" s="3"/>
      <c r="FK452" s="3">
        <v>6</v>
      </c>
    </row>
    <row r="453" spans="1:168" x14ac:dyDescent="0.25">
      <c r="A453" s="5" t="s">
        <v>2110</v>
      </c>
      <c r="B453" s="14" t="str">
        <f>VLOOKUP(TAB_ENTRADA[[#This Row],[Cod_2_Entrada]],TAB_ESTOQUE[[Codigo]:[Descrição Tecnica]],6,FALSE)</f>
        <v>SELO MECÂNICO PARA EIXO 1" INPACOM</v>
      </c>
      <c r="C453" s="14">
        <f>IFERROR(VLOOKUP(TAB_ENTRADA[[#This Row],[Cod_2_Entrada]],TAB_ESTOQUE[[Codigo]:[Referência Tec]],7,FALSE),"")</f>
        <v>0</v>
      </c>
      <c r="D453" s="14" t="str">
        <f>VLOOKUP(TAB_ENTRADA[[#This Row],[Cod_2_Entrada]],TAB_ESTOQUE[[Codigo]:[Endereço2]],12,FALSE)</f>
        <v>D1202</v>
      </c>
      <c r="E453" s="14">
        <f>SUM(TAB_ENTRADA[[#This Row],[20/05/2019]:[Colunas1]])</f>
        <v>2</v>
      </c>
      <c r="F453" s="3"/>
      <c r="FK453" s="3">
        <v>2</v>
      </c>
    </row>
    <row r="454" spans="1:168" x14ac:dyDescent="0.25">
      <c r="A454" s="5" t="s">
        <v>2111</v>
      </c>
      <c r="B454" s="14" t="str">
        <f>VLOOKUP(TAB_ENTRADA[[#This Row],[Cod_2_Entrada]],TAB_ESTOQUE[[Codigo]:[Descrição Tecnica]],6,FALSE)</f>
        <v xml:space="preserve">ROLAMENTO PERN IFOLLI  GC35 EE M AK </v>
      </c>
      <c r="C454" s="14">
        <f>IFERROR(VLOOKUP(TAB_ENTRADA[[#This Row],[Cod_2_Entrada]],TAB_ESTOQUE[[Codigo]:[Referência Tec]],7,FALSE),"")</f>
        <v>0</v>
      </c>
      <c r="D454" s="14" t="str">
        <f>VLOOKUP(TAB_ENTRADA[[#This Row],[Cod_2_Entrada]],TAB_ESTOQUE[[Codigo]:[Endereço2]],12,FALSE)</f>
        <v>D2102</v>
      </c>
      <c r="E454" s="14">
        <f>SUM(TAB_ENTRADA[[#This Row],[20/05/2019]:[Colunas1]])</f>
        <v>26</v>
      </c>
      <c r="F454" s="3"/>
      <c r="FK454" s="3">
        <v>26</v>
      </c>
    </row>
    <row r="455" spans="1:168" x14ac:dyDescent="0.25">
      <c r="A455" s="5" t="s">
        <v>2112</v>
      </c>
      <c r="B455" s="14" t="str">
        <f>VLOOKUP(TAB_ENTRADA[[#This Row],[Cod_2_Entrada]],TAB_ESTOQUE[[Codigo]:[Descrição Tecnica]],6,FALSE)</f>
        <v>ROLAMENTO 6902 (NSK)</v>
      </c>
      <c r="C455" s="14">
        <f>IFERROR(VLOOKUP(TAB_ENTRADA[[#This Row],[Cod_2_Entrada]],TAB_ESTOQUE[[Codigo]:[Referência Tec]],7,FALSE),"")</f>
        <v>0</v>
      </c>
      <c r="D455" s="14" t="str">
        <f>VLOOKUP(TAB_ENTRADA[[#This Row],[Cod_2_Entrada]],TAB_ESTOQUE[[Codigo]:[Endereço2]],12,FALSE)</f>
        <v>D2104</v>
      </c>
      <c r="E455" s="14">
        <f>SUM(TAB_ENTRADA[[#This Row],[20/05/2019]:[Colunas1]])</f>
        <v>0</v>
      </c>
      <c r="F455" s="3"/>
      <c r="FK455" s="3">
        <v>0</v>
      </c>
    </row>
    <row r="456" spans="1:168" x14ac:dyDescent="0.25">
      <c r="A456" s="5" t="s">
        <v>2113</v>
      </c>
      <c r="B456" s="14" t="str">
        <f>VLOOKUP(TAB_ENTRADA[[#This Row],[Cod_2_Entrada]],TAB_ESTOQUE[[Codigo]:[Descrição Tecnica]],6,FALSE)</f>
        <v>ROLAMENTO RÍGIDO DE ESFERA 6011 (NSK)</v>
      </c>
      <c r="C456" s="14">
        <f>IFERROR(VLOOKUP(TAB_ENTRADA[[#This Row],[Cod_2_Entrada]],TAB_ESTOQUE[[Codigo]:[Referência Tec]],7,FALSE),"")</f>
        <v>0</v>
      </c>
      <c r="D456" s="14" t="str">
        <f>VLOOKUP(TAB_ENTRADA[[#This Row],[Cod_2_Entrada]],TAB_ESTOQUE[[Codigo]:[Endereço2]],12,FALSE)</f>
        <v>D2104</v>
      </c>
      <c r="E456" s="14">
        <f>SUM(TAB_ENTRADA[[#This Row],[20/05/2019]:[Colunas1]])</f>
        <v>2</v>
      </c>
      <c r="F456" s="3"/>
      <c r="FK456" s="3">
        <v>2</v>
      </c>
    </row>
    <row r="457" spans="1:168" x14ac:dyDescent="0.25">
      <c r="A457" s="5" t="s">
        <v>2114</v>
      </c>
      <c r="B457" s="14" t="str">
        <f>VLOOKUP(TAB_ENTRADA[[#This Row],[Cod_2_Entrada]],TAB_ESTOQUE[[Codigo]:[Descrição Tecnica]],6,FALSE)</f>
        <v>RELE DE ESTADO SOLIDO HW-1-DA4880</v>
      </c>
      <c r="C457" s="14">
        <f>IFERROR(VLOOKUP(TAB_ENTRADA[[#This Row],[Cod_2_Entrada]],TAB_ESTOQUE[[Codigo]:[Referência Tec]],7,FALSE),"")</f>
        <v>0</v>
      </c>
      <c r="D457" s="14" t="str">
        <f>VLOOKUP(TAB_ENTRADA[[#This Row],[Cod_2_Entrada]],TAB_ESTOQUE[[Codigo]:[Endereço2]],12,FALSE)</f>
        <v>A1303</v>
      </c>
      <c r="E457" s="14">
        <f>SUM(TAB_ENTRADA[[#This Row],[20/05/2019]:[Colunas1]])</f>
        <v>8</v>
      </c>
      <c r="F457" s="3"/>
      <c r="FK457" s="3">
        <v>0</v>
      </c>
      <c r="FL457" s="3">
        <v>8</v>
      </c>
    </row>
    <row r="458" spans="1:168" x14ac:dyDescent="0.25">
      <c r="A458" s="5" t="s">
        <v>2115</v>
      </c>
      <c r="B458" s="14" t="str">
        <f>VLOOKUP(TAB_ENTRADA[[#This Row],[Cod_2_Entrada]],TAB_ESTOQUE[[Codigo]:[Descrição Tecnica]],6,FALSE)</f>
        <v>ROLAMENTO RÍGIDO DE ESFERA 6004 (FAG)</v>
      </c>
      <c r="C458" s="14">
        <f>IFERROR(VLOOKUP(TAB_ENTRADA[[#This Row],[Cod_2_Entrada]],TAB_ESTOQUE[[Codigo]:[Referência Tec]],7,FALSE),"")</f>
        <v>0</v>
      </c>
      <c r="D458" s="14" t="str">
        <f>VLOOKUP(TAB_ENTRADA[[#This Row],[Cod_2_Entrada]],TAB_ESTOQUE[[Codigo]:[Endereço2]],12,FALSE)</f>
        <v>D2104</v>
      </c>
      <c r="E458" s="14">
        <f>SUM(TAB_ENTRADA[[#This Row],[20/05/2019]:[Colunas1]])</f>
        <v>0</v>
      </c>
      <c r="F458" s="3"/>
      <c r="FK458" s="3">
        <v>0</v>
      </c>
    </row>
    <row r="459" spans="1:168" x14ac:dyDescent="0.25">
      <c r="A459" s="5" t="s">
        <v>2116</v>
      </c>
      <c r="B459" s="14" t="str">
        <f>VLOOKUP(TAB_ENTRADA[[#This Row],[Cod_2_Entrada]],TAB_ESTOQUE[[Codigo]:[Descrição Tecnica]],6,FALSE)</f>
        <v>ROLAMENTO (6306)</v>
      </c>
      <c r="C459" s="14">
        <f>IFERROR(VLOOKUP(TAB_ENTRADA[[#This Row],[Cod_2_Entrada]],TAB_ESTOQUE[[Codigo]:[Referência Tec]],7,FALSE),"")</f>
        <v>0</v>
      </c>
      <c r="D459" s="14" t="str">
        <f>VLOOKUP(TAB_ENTRADA[[#This Row],[Cod_2_Entrada]],TAB_ESTOQUE[[Codigo]:[Endereço2]],12,FALSE)</f>
        <v>D2104</v>
      </c>
      <c r="E459" s="14">
        <f>SUM(TAB_ENTRADA[[#This Row],[20/05/2019]:[Colunas1]])</f>
        <v>8</v>
      </c>
      <c r="F459" s="3"/>
      <c r="FK459" s="3">
        <v>8</v>
      </c>
    </row>
    <row r="460" spans="1:168" x14ac:dyDescent="0.25">
      <c r="A460" s="5" t="s">
        <v>2117</v>
      </c>
      <c r="B460" s="14" t="str">
        <f>VLOOKUP(TAB_ENTRADA[[#This Row],[Cod_2_Entrada]],TAB_ESTOQUE[[Codigo]:[Descrição Tecnica]],6,FALSE)</f>
        <v>ROLAMENTO RÍGIDO DE ESFERA 6006 2Z (FAG)</v>
      </c>
      <c r="C460" s="14">
        <f>IFERROR(VLOOKUP(TAB_ENTRADA[[#This Row],[Cod_2_Entrada]],TAB_ESTOQUE[[Codigo]:[Referência Tec]],7,FALSE),"")</f>
        <v>0</v>
      </c>
      <c r="D460" s="14" t="str">
        <f>VLOOKUP(TAB_ENTRADA[[#This Row],[Cod_2_Entrada]],TAB_ESTOQUE[[Codigo]:[Endereço2]],12,FALSE)</f>
        <v>D2104</v>
      </c>
      <c r="E460" s="14">
        <f>SUM(TAB_ENTRADA[[#This Row],[20/05/2019]:[Colunas1]])</f>
        <v>16</v>
      </c>
      <c r="F460" s="3"/>
      <c r="FK460" s="3">
        <v>16</v>
      </c>
    </row>
    <row r="461" spans="1:168" x14ac:dyDescent="0.25">
      <c r="A461" s="5" t="s">
        <v>2118</v>
      </c>
      <c r="B461" s="14" t="str">
        <f>VLOOKUP(TAB_ENTRADA[[#This Row],[Cod_2_Entrada]],TAB_ESTOQUE[[Codigo]:[Descrição Tecnica]],6,FALSE)</f>
        <v>ROLAMENTO RÍGIDO DE ESFERA 6206 (NSK)</v>
      </c>
      <c r="C461" s="14">
        <f>IFERROR(VLOOKUP(TAB_ENTRADA[[#This Row],[Cod_2_Entrada]],TAB_ESTOQUE[[Codigo]:[Referência Tec]],7,FALSE),"")</f>
        <v>0</v>
      </c>
      <c r="D461" s="14" t="str">
        <f>VLOOKUP(TAB_ENTRADA[[#This Row],[Cod_2_Entrada]],TAB_ESTOQUE[[Codigo]:[Endereço2]],12,FALSE)</f>
        <v>D2104</v>
      </c>
      <c r="E461" s="14">
        <f>SUM(TAB_ENTRADA[[#This Row],[20/05/2019]:[Colunas1]])</f>
        <v>5</v>
      </c>
      <c r="F461" s="3"/>
      <c r="FK461" s="3">
        <v>5</v>
      </c>
    </row>
    <row r="462" spans="1:168" x14ac:dyDescent="0.25">
      <c r="A462" s="5" t="s">
        <v>2119</v>
      </c>
      <c r="B462" s="14" t="str">
        <f>VLOOKUP(TAB_ENTRADA[[#This Row],[Cod_2_Entrada]],TAB_ESTOQUE[[Codigo]:[Descrição Tecnica]],6,FALSE)</f>
        <v>ROLAMENTO COMBINADO 40.055/AP1</v>
      </c>
      <c r="C462" s="14">
        <f>IFERROR(VLOOKUP(TAB_ENTRADA[[#This Row],[Cod_2_Entrada]],TAB_ESTOQUE[[Codigo]:[Referência Tec]],7,FALSE),"")</f>
        <v>0</v>
      </c>
      <c r="D462" s="14" t="str">
        <f>VLOOKUP(TAB_ENTRADA[[#This Row],[Cod_2_Entrada]],TAB_ESTOQUE[[Codigo]:[Endereço2]],12,FALSE)</f>
        <v>D2102</v>
      </c>
      <c r="E462" s="14">
        <f>SUM(TAB_ENTRADA[[#This Row],[20/05/2019]:[Colunas1]])</f>
        <v>4</v>
      </c>
      <c r="F462" s="3"/>
      <c r="FK462" s="3">
        <v>4</v>
      </c>
    </row>
    <row r="463" spans="1:168" x14ac:dyDescent="0.25">
      <c r="A463" s="5" t="s">
        <v>2120</v>
      </c>
      <c r="B463" s="14" t="str">
        <f>VLOOKUP(TAB_ENTRADA[[#This Row],[Cod_2_Entrada]],TAB_ESTOQUE[[Codigo]:[Descrição Tecnica]],6,FALSE)</f>
        <v>ROLAMENTO RÍGIDO DE ESFERA 6008 DDU (NSK)</v>
      </c>
      <c r="C463" s="14">
        <f>IFERROR(VLOOKUP(TAB_ENTRADA[[#This Row],[Cod_2_Entrada]],TAB_ESTOQUE[[Codigo]:[Referência Tec]],7,FALSE),"")</f>
        <v>0</v>
      </c>
      <c r="D463" s="14" t="str">
        <f>VLOOKUP(TAB_ENTRADA[[#This Row],[Cod_2_Entrada]],TAB_ESTOQUE[[Codigo]:[Endereço2]],12,FALSE)</f>
        <v>D2104</v>
      </c>
      <c r="E463" s="14">
        <f>SUM(TAB_ENTRADA[[#This Row],[20/05/2019]:[Colunas1]])</f>
        <v>17</v>
      </c>
      <c r="F463" s="3"/>
      <c r="FK463" s="3">
        <v>17</v>
      </c>
    </row>
    <row r="464" spans="1:168" x14ac:dyDescent="0.25">
      <c r="A464" s="5" t="s">
        <v>2121</v>
      </c>
      <c r="B464" s="14" t="str">
        <f>VLOOKUP(TAB_ENTRADA[[#This Row],[Cod_2_Entrada]],TAB_ESTOQUE[[Codigo]:[Descrição Tecnica]],6,FALSE)</f>
        <v>ROLAMENTO (RL59)</v>
      </c>
      <c r="C464" s="14">
        <f>IFERROR(VLOOKUP(TAB_ENTRADA[[#This Row],[Cod_2_Entrada]],TAB_ESTOQUE[[Codigo]:[Referência Tec]],7,FALSE),"")</f>
        <v>0</v>
      </c>
      <c r="D464" s="14" t="str">
        <f>VLOOKUP(TAB_ENTRADA[[#This Row],[Cod_2_Entrada]],TAB_ESTOQUE[[Codigo]:[Endereço2]],12,FALSE)</f>
        <v>D2104</v>
      </c>
      <c r="E464" s="14">
        <f>SUM(TAB_ENTRADA[[#This Row],[20/05/2019]:[Colunas1]])</f>
        <v>5</v>
      </c>
      <c r="F464" s="3"/>
      <c r="FK464" s="3">
        <v>5</v>
      </c>
    </row>
    <row r="465" spans="1:192" x14ac:dyDescent="0.25">
      <c r="A465" s="5" t="s">
        <v>2122</v>
      </c>
      <c r="B465" s="14" t="str">
        <f>VLOOKUP(TAB_ENTRADA[[#This Row],[Cod_2_Entrada]],TAB_ESTOQUE[[Codigo]:[Descrição Tecnica]],6,FALSE)</f>
        <v>ROLAMENTO RÍGIDO DE ESFERA 6010 2Z (NSK)</v>
      </c>
      <c r="C465" s="14">
        <f>IFERROR(VLOOKUP(TAB_ENTRADA[[#This Row],[Cod_2_Entrada]],TAB_ESTOQUE[[Codigo]:[Referência Tec]],7,FALSE),"")</f>
        <v>0</v>
      </c>
      <c r="D465" s="14" t="str">
        <f>VLOOKUP(TAB_ENTRADA[[#This Row],[Cod_2_Entrada]],TAB_ESTOQUE[[Codigo]:[Endereço2]],12,FALSE)</f>
        <v>D2102</v>
      </c>
      <c r="E465" s="14">
        <f>SUM(TAB_ENTRADA[[#This Row],[20/05/2019]:[Colunas1]])</f>
        <v>11</v>
      </c>
      <c r="F465" s="3"/>
      <c r="FK465" s="3">
        <v>11</v>
      </c>
    </row>
    <row r="466" spans="1:192" x14ac:dyDescent="0.25">
      <c r="A466" s="5" t="s">
        <v>2123</v>
      </c>
      <c r="B466" s="14" t="str">
        <f>VLOOKUP(TAB_ENTRADA[[#This Row],[Cod_2_Entrada]],TAB_ESTOQUE[[Codigo]:[Descrição Tecnica]],6,FALSE)</f>
        <v>ROLAMENTO RÍGIDO DE ESFERA 6303 (NSK)</v>
      </c>
      <c r="C466" s="14">
        <f>IFERROR(VLOOKUP(TAB_ENTRADA[[#This Row],[Cod_2_Entrada]],TAB_ESTOQUE[[Codigo]:[Referência Tec]],7,FALSE),"")</f>
        <v>0</v>
      </c>
      <c r="D466" s="14" t="str">
        <f>VLOOKUP(TAB_ENTRADA[[#This Row],[Cod_2_Entrada]],TAB_ESTOQUE[[Codigo]:[Endereço2]],12,FALSE)</f>
        <v>D2104</v>
      </c>
      <c r="E466" s="14">
        <f>SUM(TAB_ENTRADA[[#This Row],[20/05/2019]:[Colunas1]])</f>
        <v>11</v>
      </c>
      <c r="F466" s="3"/>
      <c r="FK466" s="3">
        <v>11</v>
      </c>
    </row>
    <row r="467" spans="1:192" x14ac:dyDescent="0.25">
      <c r="A467" s="5" t="s">
        <v>2124</v>
      </c>
      <c r="B467" s="14" t="str">
        <f>VLOOKUP(TAB_ENTRADA[[#This Row],[Cod_2_Entrada]],TAB_ESTOQUE[[Codigo]:[Descrição Tecnica]],6,FALSE)</f>
        <v>ROLAMENTO AUTOCOMPENSADOR DE ESFERA 2207 2RS/1 (SKF)</v>
      </c>
      <c r="C467" s="14">
        <f>IFERROR(VLOOKUP(TAB_ENTRADA[[#This Row],[Cod_2_Entrada]],TAB_ESTOQUE[[Codigo]:[Referência Tec]],7,FALSE),"")</f>
        <v>0</v>
      </c>
      <c r="D467" s="14" t="str">
        <f>VLOOKUP(TAB_ENTRADA[[#This Row],[Cod_2_Entrada]],TAB_ESTOQUE[[Codigo]:[Endereço2]],12,FALSE)</f>
        <v>D2102</v>
      </c>
      <c r="E467" s="14">
        <f>SUM(TAB_ENTRADA[[#This Row],[20/05/2019]:[Colunas1]])</f>
        <v>9</v>
      </c>
      <c r="F467" s="3"/>
      <c r="FK467" s="3">
        <v>9</v>
      </c>
    </row>
    <row r="468" spans="1:192" x14ac:dyDescent="0.25">
      <c r="A468" s="5" t="s">
        <v>2125</v>
      </c>
      <c r="B468" s="14" t="str">
        <f>VLOOKUP(TAB_ENTRADA[[#This Row],[Cod_2_Entrada]],TAB_ESTOQUE[[Codigo]:[Descrição Tecnica]],6,FALSE)</f>
        <v>TERMINAL ROTULAR MACHO POS 30MM - ROSCA DIREITA</v>
      </c>
      <c r="C468" s="14">
        <f>IFERROR(VLOOKUP(TAB_ENTRADA[[#This Row],[Cod_2_Entrada]],TAB_ESTOQUE[[Codigo]:[Referência Tec]],7,FALSE),"")</f>
        <v>0</v>
      </c>
      <c r="D468" s="14" t="str">
        <f>VLOOKUP(TAB_ENTRADA[[#This Row],[Cod_2_Entrada]],TAB_ESTOQUE[[Codigo]:[Endereço2]],12,FALSE)</f>
        <v>E2405</v>
      </c>
      <c r="E468" s="14">
        <f>SUM(TAB_ENTRADA[[#This Row],[20/05/2019]:[Colunas1]])</f>
        <v>7</v>
      </c>
      <c r="F468" s="3"/>
      <c r="FK468" s="3">
        <v>1</v>
      </c>
      <c r="FZ468" s="3">
        <v>6</v>
      </c>
    </row>
    <row r="469" spans="1:192" x14ac:dyDescent="0.25">
      <c r="A469" s="5" t="s">
        <v>2126</v>
      </c>
      <c r="B469" s="14" t="str">
        <f>VLOOKUP(TAB_ENTRADA[[#This Row],[Cod_2_Entrada]],TAB_ESTOQUE[[Codigo]:[Descrição Tecnica]],6,FALSE)</f>
        <v>EIXO DO QUADRO DE GIRO</v>
      </c>
      <c r="C469" s="14">
        <f>IFERROR(VLOOKUP(TAB_ENTRADA[[#This Row],[Cod_2_Entrada]],TAB_ESTOQUE[[Codigo]:[Referência Tec]],7,FALSE),"")</f>
        <v>0</v>
      </c>
      <c r="D469" s="14" t="str">
        <f>VLOOKUP(TAB_ENTRADA[[#This Row],[Cod_2_Entrada]],TAB_ESTOQUE[[Codigo]:[Endereço2]],12,FALSE)</f>
        <v>D1102</v>
      </c>
      <c r="E469" s="14">
        <f>SUM(TAB_ENTRADA[[#This Row],[20/05/2019]:[Colunas1]])</f>
        <v>3</v>
      </c>
      <c r="F469" s="3"/>
      <c r="FK469" s="3">
        <v>3</v>
      </c>
    </row>
    <row r="470" spans="1:192" x14ac:dyDescent="0.25">
      <c r="A470" s="5" t="s">
        <v>2127</v>
      </c>
      <c r="B470" s="14" t="str">
        <f>VLOOKUP(TAB_ENTRADA[[#This Row],[Cod_2_Entrada]],TAB_ESTOQUE[[Codigo]:[Descrição Tecnica]],6,FALSE)</f>
        <v>BUCHA FERRAMENTA TETO</v>
      </c>
      <c r="C470" s="14">
        <f>IFERROR(VLOOKUP(TAB_ENTRADA[[#This Row],[Cod_2_Entrada]],TAB_ESTOQUE[[Codigo]:[Referência Tec]],7,FALSE),"")</f>
        <v>0</v>
      </c>
      <c r="D470" s="14" t="str">
        <f>VLOOKUP(TAB_ENTRADA[[#This Row],[Cod_2_Entrada]],TAB_ESTOQUE[[Codigo]:[Endereço2]],12,FALSE)</f>
        <v>D1102</v>
      </c>
      <c r="E470" s="14">
        <f>SUM(TAB_ENTRADA[[#This Row],[20/05/2019]:[Colunas1]])</f>
        <v>42</v>
      </c>
      <c r="F470" s="3"/>
      <c r="FK470" s="3">
        <v>42</v>
      </c>
    </row>
    <row r="471" spans="1:192" x14ac:dyDescent="0.25">
      <c r="A471" s="5" t="s">
        <v>2128</v>
      </c>
      <c r="B471" s="14" t="str">
        <f>VLOOKUP(TAB_ENTRADA[[#This Row],[Cod_2_Entrada]],TAB_ESTOQUE[[Codigo]:[Descrição Tecnica]],6,FALSE)</f>
        <v>PINO FERRAMENTA TETO</v>
      </c>
      <c r="C471" s="14">
        <f>IFERROR(VLOOKUP(TAB_ENTRADA[[#This Row],[Cod_2_Entrada]],TAB_ESTOQUE[[Codigo]:[Referência Tec]],7,FALSE),"")</f>
        <v>0</v>
      </c>
      <c r="D471" s="14" t="str">
        <f>VLOOKUP(TAB_ENTRADA[[#This Row],[Cod_2_Entrada]],TAB_ESTOQUE[[Codigo]:[Endereço2]],12,FALSE)</f>
        <v>D1102</v>
      </c>
      <c r="E471" s="14">
        <f>SUM(TAB_ENTRADA[[#This Row],[20/05/2019]:[Colunas1]])</f>
        <v>22</v>
      </c>
      <c r="F471" s="3"/>
      <c r="FK471" s="3">
        <v>22</v>
      </c>
    </row>
    <row r="472" spans="1:192" x14ac:dyDescent="0.25">
      <c r="A472" s="5" t="s">
        <v>2129</v>
      </c>
      <c r="B472" s="14" t="str">
        <f>VLOOKUP(TAB_ENTRADA[[#This Row],[Cod_2_Entrada]],TAB_ESTOQUE[[Codigo]:[Descrição Tecnica]],6,FALSE)</f>
        <v>QUADRO DE COMANDO DE SOBREPOR  300X300MM</v>
      </c>
      <c r="C472" s="14">
        <f>IFERROR(VLOOKUP(TAB_ENTRADA[[#This Row],[Cod_2_Entrada]],TAB_ESTOQUE[[Codigo]:[Referência Tec]],7,FALSE),"")</f>
        <v>0</v>
      </c>
      <c r="D472" s="14" t="str">
        <f>VLOOKUP(TAB_ENTRADA[[#This Row],[Cod_2_Entrada]],TAB_ESTOQUE[[Codigo]:[Endereço2]],12,FALSE)</f>
        <v>A1301</v>
      </c>
      <c r="E472" s="14">
        <f>SUM(TAB_ENTRADA[[#This Row],[20/05/2019]:[Colunas1]])</f>
        <v>0</v>
      </c>
      <c r="F472" s="3"/>
      <c r="FK472" s="3">
        <v>0</v>
      </c>
    </row>
    <row r="473" spans="1:192" x14ac:dyDescent="0.25">
      <c r="A473" s="5" t="s">
        <v>2130</v>
      </c>
      <c r="B473" s="14" t="str">
        <f>VLOOKUP(TAB_ENTRADA[[#This Row],[Cod_2_Entrada]],TAB_ESTOQUE[[Codigo]:[Descrição Tecnica]],6,FALSE)</f>
        <v>ELEMENTO FILTRANTE HYDAC 0280 D 010 ON</v>
      </c>
      <c r="C473" s="14">
        <f>IFERROR(VLOOKUP(TAB_ENTRADA[[#This Row],[Cod_2_Entrada]],TAB_ESTOQUE[[Codigo]:[Referência Tec]],7,FALSE),"")</f>
        <v>0</v>
      </c>
      <c r="D473" s="14" t="str">
        <f>VLOOKUP(TAB_ENTRADA[[#This Row],[Cod_2_Entrada]],TAB_ESTOQUE[[Codigo]:[Endereço2]],12,FALSE)</f>
        <v>C1401</v>
      </c>
      <c r="E473" s="14">
        <f>SUM(TAB_ENTRADA[[#This Row],[20/05/2019]:[Colunas1]])</f>
        <v>1</v>
      </c>
      <c r="F473" s="3"/>
      <c r="FK473" s="3">
        <v>1</v>
      </c>
    </row>
    <row r="474" spans="1:192" x14ac:dyDescent="0.25">
      <c r="A474" s="5" t="s">
        <v>2131</v>
      </c>
      <c r="B474" s="14" t="str">
        <f>VLOOKUP(TAB_ENTRADA[[#This Row],[Cod_2_Entrada]],TAB_ESTOQUE[[Codigo]:[Descrição Tecnica]],6,FALSE)</f>
        <v>KIT REPARO DA BOMBA DE COLA</v>
      </c>
      <c r="C474" s="14">
        <f>IFERROR(VLOOKUP(TAB_ENTRADA[[#This Row],[Cod_2_Entrada]],TAB_ESTOQUE[[Codigo]:[Referência Tec]],7,FALSE),"")</f>
        <v>0</v>
      </c>
      <c r="D474" s="14" t="str">
        <f>VLOOKUP(TAB_ENTRADA[[#This Row],[Cod_2_Entrada]],TAB_ESTOQUE[[Codigo]:[Endereço2]],12,FALSE)</f>
        <v>D1204</v>
      </c>
      <c r="E474" s="14">
        <f>SUM(TAB_ENTRADA[[#This Row],[20/05/2019]:[Colunas1]])</f>
        <v>14</v>
      </c>
      <c r="F474" s="3"/>
      <c r="FK474" s="3">
        <v>4</v>
      </c>
      <c r="GJ474" s="3">
        <v>10</v>
      </c>
    </row>
    <row r="475" spans="1:192" x14ac:dyDescent="0.25">
      <c r="A475" s="5" t="s">
        <v>2132</v>
      </c>
      <c r="B475" s="14" t="str">
        <f>VLOOKUP(TAB_ENTRADA[[#This Row],[Cod_2_Entrada]],TAB_ESTOQUE[[Codigo]:[Descrição Tecnica]],6,FALSE)</f>
        <v>KIT REPARO DA BOMBA DE ATIVADOR</v>
      </c>
      <c r="C475" s="14">
        <f>IFERROR(VLOOKUP(TAB_ENTRADA[[#This Row],[Cod_2_Entrada]],TAB_ESTOQUE[[Codigo]:[Referência Tec]],7,FALSE),"")</f>
        <v>0</v>
      </c>
      <c r="D475" s="14" t="str">
        <f>VLOOKUP(TAB_ENTRADA[[#This Row],[Cod_2_Entrada]],TAB_ESTOQUE[[Codigo]:[Endereço2]],12,FALSE)</f>
        <v>D1204</v>
      </c>
      <c r="E475" s="14">
        <f>SUM(TAB_ENTRADA[[#This Row],[20/05/2019]:[Colunas1]])</f>
        <v>16</v>
      </c>
      <c r="F475" s="3"/>
      <c r="FK475" s="3">
        <v>6</v>
      </c>
      <c r="GJ475" s="3">
        <v>10</v>
      </c>
    </row>
    <row r="476" spans="1:192" x14ac:dyDescent="0.25">
      <c r="A476" s="5" t="s">
        <v>2133</v>
      </c>
      <c r="B476" s="14" t="str">
        <f>VLOOKUP(TAB_ENTRADA[[#This Row],[Cod_2_Entrada]],TAB_ESTOQUE[[Codigo]:[Descrição Tecnica]],6,FALSE)</f>
        <v>ELEMENTO FILTRANTE HYDAC 0250 DN 010 BN4HC</v>
      </c>
      <c r="C476" s="14">
        <f>IFERROR(VLOOKUP(TAB_ENTRADA[[#This Row],[Cod_2_Entrada]],TAB_ESTOQUE[[Codigo]:[Referência Tec]],7,FALSE),"")</f>
        <v>0</v>
      </c>
      <c r="D476" s="14" t="str">
        <f>VLOOKUP(TAB_ENTRADA[[#This Row],[Cod_2_Entrada]],TAB_ESTOQUE[[Codigo]:[Endereço2]],12,FALSE)</f>
        <v>C1405</v>
      </c>
      <c r="E476" s="14">
        <f>SUM(TAB_ENTRADA[[#This Row],[20/05/2019]:[Colunas1]])</f>
        <v>4</v>
      </c>
      <c r="F476" s="3"/>
      <c r="FK476" s="3">
        <v>4</v>
      </c>
    </row>
    <row r="477" spans="1:192" x14ac:dyDescent="0.25">
      <c r="A477" s="5" t="s">
        <v>2134</v>
      </c>
      <c r="B477" s="14" t="str">
        <f>VLOOKUP(TAB_ENTRADA[[#This Row],[Cod_2_Entrada]],TAB_ESTOQUE[[Codigo]:[Descrição Tecnica]],6,FALSE)</f>
        <v>FILTRO REG REF: 1/2" C/ MONOMETRO REF-9044</v>
      </c>
      <c r="C477" s="14">
        <f>IFERROR(VLOOKUP(TAB_ENTRADA[[#This Row],[Cod_2_Entrada]],TAB_ESTOQUE[[Codigo]:[Referência Tec]],7,FALSE),"")</f>
        <v>0</v>
      </c>
      <c r="D477" s="14" t="str">
        <f>VLOOKUP(TAB_ENTRADA[[#This Row],[Cod_2_Entrada]],TAB_ESTOQUE[[Codigo]:[Endereço2]],12,FALSE)</f>
        <v>C2402</v>
      </c>
      <c r="E477" s="14">
        <f>SUM(TAB_ENTRADA[[#This Row],[20/05/2019]:[Colunas1]])</f>
        <v>1</v>
      </c>
      <c r="F477" s="3"/>
      <c r="FK477" s="3">
        <v>1</v>
      </c>
    </row>
    <row r="478" spans="1:192" x14ac:dyDescent="0.25">
      <c r="A478" s="5" t="s">
        <v>2135</v>
      </c>
      <c r="B478" s="14" t="str">
        <f>VLOOKUP(TAB_ENTRADA[[#This Row],[Cod_2_Entrada]],TAB_ESTOQUE[[Codigo]:[Descrição Tecnica]],6,FALSE)</f>
        <v>RETENTOR 50X60X10</v>
      </c>
      <c r="C478" s="14">
        <f>IFERROR(VLOOKUP(TAB_ENTRADA[[#This Row],[Cod_2_Entrada]],TAB_ESTOQUE[[Codigo]:[Referência Tec]],7,FALSE),"")</f>
        <v>0</v>
      </c>
      <c r="D478" s="14" t="str">
        <f>VLOOKUP(TAB_ENTRADA[[#This Row],[Cod_2_Entrada]],TAB_ESTOQUE[[Codigo]:[Endereço2]],12,FALSE)</f>
        <v>E1202</v>
      </c>
      <c r="E478" s="14">
        <f>SUM(TAB_ENTRADA[[#This Row],[20/05/2019]:[Colunas1]])</f>
        <v>1</v>
      </c>
      <c r="F478" s="3"/>
      <c r="FK478" s="3">
        <v>1</v>
      </c>
    </row>
    <row r="479" spans="1:192" x14ac:dyDescent="0.25">
      <c r="A479" s="5" t="s">
        <v>2136</v>
      </c>
      <c r="B479" s="14" t="str">
        <f>VLOOKUP(TAB_ENTRADA[[#This Row],[Cod_2_Entrada]],TAB_ESTOQUE[[Codigo]:[Descrição Tecnica]],6,FALSE)</f>
        <v>RETENTOR 60X75X5</v>
      </c>
      <c r="C479" s="14">
        <f>IFERROR(VLOOKUP(TAB_ENTRADA[[#This Row],[Cod_2_Entrada]],TAB_ESTOQUE[[Codigo]:[Referência Tec]],7,FALSE),"")</f>
        <v>0</v>
      </c>
      <c r="D479" s="14" t="str">
        <f>VLOOKUP(TAB_ENTRADA[[#This Row],[Cod_2_Entrada]],TAB_ESTOQUE[[Codigo]:[Endereço2]],12,FALSE)</f>
        <v>E1204</v>
      </c>
      <c r="E479" s="14">
        <f>SUM(TAB_ENTRADA[[#This Row],[20/05/2019]:[Colunas1]])</f>
        <v>2</v>
      </c>
      <c r="F479" s="3"/>
      <c r="FK479" s="3">
        <v>2</v>
      </c>
    </row>
    <row r="480" spans="1:192" x14ac:dyDescent="0.25">
      <c r="A480" s="5" t="s">
        <v>2137</v>
      </c>
      <c r="B480" s="14" t="str">
        <f>VLOOKUP(TAB_ENTRADA[[#This Row],[Cod_2_Entrada]],TAB_ESTOQUE[[Codigo]:[Descrição Tecnica]],6,FALSE)</f>
        <v>ELEMENTO FILTRANTE HYDAC 0160 D 010 ON</v>
      </c>
      <c r="C480" s="14">
        <f>IFERROR(VLOOKUP(TAB_ENTRADA[[#This Row],[Cod_2_Entrada]],TAB_ESTOQUE[[Codigo]:[Referência Tec]],7,FALSE),"")</f>
        <v>0</v>
      </c>
      <c r="D480" s="14" t="str">
        <f>VLOOKUP(TAB_ENTRADA[[#This Row],[Cod_2_Entrada]],TAB_ESTOQUE[[Codigo]:[Endereço2]],12,FALSE)</f>
        <v>C1405</v>
      </c>
      <c r="E480" s="14">
        <f>SUM(TAB_ENTRADA[[#This Row],[20/05/2019]:[Colunas1]])</f>
        <v>0</v>
      </c>
      <c r="F480" s="3"/>
      <c r="FK480" s="3">
        <v>0</v>
      </c>
    </row>
    <row r="481" spans="1:167" x14ac:dyDescent="0.25">
      <c r="A481" s="5" t="s">
        <v>2138</v>
      </c>
      <c r="B481" s="14" t="str">
        <f>VLOOKUP(TAB_ENTRADA[[#This Row],[Cod_2_Entrada]],TAB_ESTOQUE[[Codigo]:[Descrição Tecnica]],6,FALSE)</f>
        <v>ELEMENTO FILTRANTE HYDAC 0330 R 020 ON</v>
      </c>
      <c r="C481" s="14">
        <f>IFERROR(VLOOKUP(TAB_ENTRADA[[#This Row],[Cod_2_Entrada]],TAB_ESTOQUE[[Codigo]:[Referência Tec]],7,FALSE),"")</f>
        <v>0</v>
      </c>
      <c r="D481" s="14" t="str">
        <f>VLOOKUP(TAB_ENTRADA[[#This Row],[Cod_2_Entrada]],TAB_ESTOQUE[[Codigo]:[Endereço2]],12,FALSE)</f>
        <v>C1403</v>
      </c>
      <c r="E481" s="14">
        <f>SUM(TAB_ENTRADA[[#This Row],[20/05/2019]:[Colunas1]])</f>
        <v>1</v>
      </c>
      <c r="F481" s="3"/>
      <c r="FK481" s="3">
        <v>1</v>
      </c>
    </row>
    <row r="482" spans="1:167" x14ac:dyDescent="0.25">
      <c r="A482" s="5" t="s">
        <v>2139</v>
      </c>
      <c r="B482" s="14" t="str">
        <f>VLOOKUP(TAB_ENTRADA[[#This Row],[Cod_2_Entrada]],TAB_ESTOQUE[[Codigo]:[Descrição Tecnica]],6,FALSE)</f>
        <v>FILTRO REG REF: AC4010-04</v>
      </c>
      <c r="C482" s="14">
        <f>IFERROR(VLOOKUP(TAB_ENTRADA[[#This Row],[Cod_2_Entrada]],TAB_ESTOQUE[[Codigo]:[Referência Tec]],7,FALSE),"")</f>
        <v>0</v>
      </c>
      <c r="D482" s="14" t="str">
        <f>VLOOKUP(TAB_ENTRADA[[#This Row],[Cod_2_Entrada]],TAB_ESTOQUE[[Codigo]:[Endereço2]],12,FALSE)</f>
        <v>C2402</v>
      </c>
      <c r="E482" s="14">
        <f>SUM(TAB_ENTRADA[[#This Row],[20/05/2019]:[Colunas1]])</f>
        <v>2</v>
      </c>
      <c r="F482" s="3"/>
      <c r="FK482" s="3">
        <v>2</v>
      </c>
    </row>
    <row r="483" spans="1:167" x14ac:dyDescent="0.25">
      <c r="A483" s="5" t="s">
        <v>2140</v>
      </c>
      <c r="B483" s="14" t="str">
        <f>VLOOKUP(TAB_ENTRADA[[#This Row],[Cod_2_Entrada]],TAB_ESTOQUE[[Codigo]:[Descrição Tecnica]],6,FALSE)</f>
        <v>FILTRO REG REF: PAW 4000-04</v>
      </c>
      <c r="C483" s="14">
        <f>IFERROR(VLOOKUP(TAB_ENTRADA[[#This Row],[Cod_2_Entrada]],TAB_ESTOQUE[[Codigo]:[Referência Tec]],7,FALSE),"")</f>
        <v>0</v>
      </c>
      <c r="D483" s="14" t="str">
        <f>VLOOKUP(TAB_ENTRADA[[#This Row],[Cod_2_Entrada]],TAB_ESTOQUE[[Codigo]:[Endereço2]],12,FALSE)</f>
        <v>C2402</v>
      </c>
      <c r="E483" s="14">
        <f>SUM(TAB_ENTRADA[[#This Row],[20/05/2019]:[Colunas1]])</f>
        <v>2</v>
      </c>
      <c r="F483" s="3"/>
      <c r="FK483" s="3">
        <v>2</v>
      </c>
    </row>
    <row r="484" spans="1:167" x14ac:dyDescent="0.25">
      <c r="A484" s="5" t="s">
        <v>2141</v>
      </c>
      <c r="B484" s="14" t="str">
        <f>VLOOKUP(TAB_ENTRADA[[#This Row],[Cod_2_Entrada]],TAB_ESTOQUE[[Codigo]:[Descrição Tecnica]],6,FALSE)</f>
        <v>ELEMENTO FILTRANTE HYDAC 0160 R 010 BN4HC</v>
      </c>
      <c r="C484" s="14">
        <f>IFERROR(VLOOKUP(TAB_ENTRADA[[#This Row],[Cod_2_Entrada]],TAB_ESTOQUE[[Codigo]:[Referência Tec]],7,FALSE),"")</f>
        <v>0</v>
      </c>
      <c r="D484" s="14" t="str">
        <f>VLOOKUP(TAB_ENTRADA[[#This Row],[Cod_2_Entrada]],TAB_ESTOQUE[[Codigo]:[Endereço2]],12,FALSE)</f>
        <v>C1403</v>
      </c>
      <c r="E484" s="14">
        <f>SUM(TAB_ENTRADA[[#This Row],[20/05/2019]:[Colunas1]])</f>
        <v>2</v>
      </c>
      <c r="F484" s="3"/>
      <c r="FK484" s="3">
        <v>2</v>
      </c>
    </row>
    <row r="485" spans="1:167" x14ac:dyDescent="0.25">
      <c r="A485" s="5" t="s">
        <v>2142</v>
      </c>
      <c r="B485" s="14" t="str">
        <f>VLOOKUP(TAB_ENTRADA[[#This Row],[Cod_2_Entrada]],TAB_ESTOQUE[[Codigo]:[Descrição Tecnica]],6,FALSE)</f>
        <v>ELEMENTO FILTRANTE REXROTH R928006863</v>
      </c>
      <c r="C485" s="14">
        <f>IFERROR(VLOOKUP(TAB_ENTRADA[[#This Row],[Cod_2_Entrada]],TAB_ESTOQUE[[Codigo]:[Referência Tec]],7,FALSE),"")</f>
        <v>0</v>
      </c>
      <c r="D485" s="14" t="str">
        <f>VLOOKUP(TAB_ENTRADA[[#This Row],[Cod_2_Entrada]],TAB_ESTOQUE[[Codigo]:[Endereço2]],12,FALSE)</f>
        <v>C1403</v>
      </c>
      <c r="E485" s="14">
        <f>SUM(TAB_ENTRADA[[#This Row],[20/05/2019]:[Colunas1]])</f>
        <v>1</v>
      </c>
      <c r="F485" s="3"/>
      <c r="FK485" s="3">
        <v>1</v>
      </c>
    </row>
    <row r="486" spans="1:167" x14ac:dyDescent="0.25">
      <c r="A486" s="5" t="s">
        <v>2143</v>
      </c>
      <c r="B486" s="14" t="str">
        <f>VLOOKUP(TAB_ENTRADA[[#This Row],[Cod_2_Entrada]],TAB_ESTOQUE[[Codigo]:[Descrição Tecnica]],6,FALSE)</f>
        <v>ELEMENTO FILTRANTE NEWTEC FHP528820ABS</v>
      </c>
      <c r="C486" s="14">
        <f>IFERROR(VLOOKUP(TAB_ENTRADA[[#This Row],[Cod_2_Entrada]],TAB_ESTOQUE[[Codigo]:[Referência Tec]],7,FALSE),"")</f>
        <v>0</v>
      </c>
      <c r="D486" s="14" t="str">
        <f>VLOOKUP(TAB_ENTRADA[[#This Row],[Cod_2_Entrada]],TAB_ESTOQUE[[Codigo]:[Endereço2]],12,FALSE)</f>
        <v>C1404</v>
      </c>
      <c r="E486" s="14">
        <f>SUM(TAB_ENTRADA[[#This Row],[20/05/2019]:[Colunas1]])</f>
        <v>1</v>
      </c>
      <c r="F486" s="3"/>
      <c r="FK486" s="3">
        <v>1</v>
      </c>
    </row>
    <row r="487" spans="1:167" x14ac:dyDescent="0.25">
      <c r="A487" s="5" t="s">
        <v>2144</v>
      </c>
      <c r="B487" s="14" t="str">
        <f>VLOOKUP(TAB_ENTRADA[[#This Row],[Cod_2_Entrada]],TAB_ESTOQUE[[Codigo]:[Descrição Tecnica]],6,FALSE)</f>
        <v>ELEMENTO FILTRANTE HYDAC 0240 D 010 ON</v>
      </c>
      <c r="C487" s="14">
        <f>IFERROR(VLOOKUP(TAB_ENTRADA[[#This Row],[Cod_2_Entrada]],TAB_ESTOQUE[[Codigo]:[Referência Tec]],7,FALSE),"")</f>
        <v>0</v>
      </c>
      <c r="D487" s="14" t="str">
        <f>VLOOKUP(TAB_ENTRADA[[#This Row],[Cod_2_Entrada]],TAB_ESTOQUE[[Codigo]:[Endereço2]],12,FALSE)</f>
        <v>C1403</v>
      </c>
      <c r="E487" s="14">
        <f>SUM(TAB_ENTRADA[[#This Row],[20/05/2019]:[Colunas1]])</f>
        <v>1</v>
      </c>
      <c r="F487" s="3"/>
      <c r="FK487" s="3">
        <v>1</v>
      </c>
    </row>
    <row r="488" spans="1:167" x14ac:dyDescent="0.25">
      <c r="A488" s="5" t="s">
        <v>2145</v>
      </c>
      <c r="B488" s="14" t="str">
        <f>VLOOKUP(TAB_ENTRADA[[#This Row],[Cod_2_Entrada]],TAB_ESTOQUE[[Codigo]:[Descrição Tecnica]],6,FALSE)</f>
        <v>REGULADOR  REF: AR20-FO2BE-B</v>
      </c>
      <c r="C488" s="14">
        <f>IFERROR(VLOOKUP(TAB_ENTRADA[[#This Row],[Cod_2_Entrada]],TAB_ESTOQUE[[Codigo]:[Referência Tec]],7,FALSE),"")</f>
        <v>0</v>
      </c>
      <c r="D488" s="14" t="str">
        <f>VLOOKUP(TAB_ENTRADA[[#This Row],[Cod_2_Entrada]],TAB_ESTOQUE[[Codigo]:[Endereço2]],12,FALSE)</f>
        <v>C2402</v>
      </c>
      <c r="E488" s="14">
        <f>SUM(TAB_ENTRADA[[#This Row],[20/05/2019]:[Colunas1]])</f>
        <v>1</v>
      </c>
      <c r="F488" s="3"/>
      <c r="FK488" s="3">
        <v>1</v>
      </c>
    </row>
    <row r="489" spans="1:167" x14ac:dyDescent="0.25">
      <c r="A489" s="5" t="s">
        <v>2146</v>
      </c>
      <c r="B489" s="14" t="str">
        <f>VLOOKUP(TAB_ENTRADA[[#This Row],[Cod_2_Entrada]],TAB_ESTOQUE[[Codigo]:[Descrição Tecnica]],6,FALSE)</f>
        <v>FILTRO REF: SAM G450-EL</v>
      </c>
      <c r="C489" s="14">
        <f>IFERROR(VLOOKUP(TAB_ENTRADA[[#This Row],[Cod_2_Entrada]],TAB_ESTOQUE[[Codigo]:[Referência Tec]],7,FALSE),"")</f>
        <v>0</v>
      </c>
      <c r="D489" s="14" t="str">
        <f>VLOOKUP(TAB_ENTRADA[[#This Row],[Cod_2_Entrada]],TAB_ESTOQUE[[Codigo]:[Endereço2]],12,FALSE)</f>
        <v>C2402</v>
      </c>
      <c r="E489" s="14">
        <f>SUM(TAB_ENTRADA[[#This Row],[20/05/2019]:[Colunas1]])</f>
        <v>1</v>
      </c>
      <c r="F489" s="3"/>
      <c r="FK489" s="3">
        <v>1</v>
      </c>
    </row>
    <row r="490" spans="1:167" x14ac:dyDescent="0.25">
      <c r="A490" s="5" t="s">
        <v>2147</v>
      </c>
      <c r="B490" s="14" t="str">
        <f>VLOOKUP(TAB_ENTRADA[[#This Row],[Cod_2_Entrada]],TAB_ESTOQUE[[Codigo]:[Descrição Tecnica]],6,FALSE)</f>
        <v>ELEMENTO FILTRANTE HYDAC 0660 R 010 BN4HC</v>
      </c>
      <c r="C490" s="14">
        <f>IFERROR(VLOOKUP(TAB_ENTRADA[[#This Row],[Cod_2_Entrada]],TAB_ESTOQUE[[Codigo]:[Referência Tec]],7,FALSE),"")</f>
        <v>0</v>
      </c>
      <c r="D490" s="14" t="str">
        <f>VLOOKUP(TAB_ENTRADA[[#This Row],[Cod_2_Entrada]],TAB_ESTOQUE[[Codigo]:[Endereço2]],12,FALSE)</f>
        <v>C1406</v>
      </c>
      <c r="E490" s="14">
        <f>SUM(TAB_ENTRADA[[#This Row],[20/05/2019]:[Colunas1]])</f>
        <v>1</v>
      </c>
      <c r="F490" s="3"/>
      <c r="FK490" s="3">
        <v>1</v>
      </c>
    </row>
    <row r="491" spans="1:167" x14ac:dyDescent="0.25">
      <c r="A491" s="5" t="s">
        <v>2148</v>
      </c>
      <c r="B491" s="14" t="str">
        <f>VLOOKUP(TAB_ENTRADA[[#This Row],[Cod_2_Entrada]],TAB_ESTOQUE[[Codigo]:[Descrição Tecnica]],6,FALSE)</f>
        <v>ELEMENTO FILTRANTE HYDAC 0330 R 010 BN4HC</v>
      </c>
      <c r="C491" s="14">
        <f>IFERROR(VLOOKUP(TAB_ENTRADA[[#This Row],[Cod_2_Entrada]],TAB_ESTOQUE[[Codigo]:[Referência Tec]],7,FALSE),"")</f>
        <v>0</v>
      </c>
      <c r="D491" s="14" t="str">
        <f>VLOOKUP(TAB_ENTRADA[[#This Row],[Cod_2_Entrada]],TAB_ESTOQUE[[Codigo]:[Endereço2]],12,FALSE)</f>
        <v>C1405</v>
      </c>
      <c r="E491" s="14">
        <f>SUM(TAB_ENTRADA[[#This Row],[20/05/2019]:[Colunas1]])</f>
        <v>0</v>
      </c>
      <c r="F491" s="3"/>
      <c r="FK491" s="3">
        <v>0</v>
      </c>
    </row>
    <row r="492" spans="1:167" x14ac:dyDescent="0.25">
      <c r="A492" s="5" t="s">
        <v>2149</v>
      </c>
      <c r="B492" s="14" t="str">
        <f>VLOOKUP(TAB_ENTRADA[[#This Row],[Cod_2_Entrada]],TAB_ESTOQUE[[Codigo]:[Descrição Tecnica]],6,FALSE)</f>
        <v>ELEMENTO FILTRANTE HYDAC 0160 DN 010 BN4HC</v>
      </c>
      <c r="C492" s="14">
        <f>IFERROR(VLOOKUP(TAB_ENTRADA[[#This Row],[Cod_2_Entrada]],TAB_ESTOQUE[[Codigo]:[Referência Tec]],7,FALSE),"")</f>
        <v>0</v>
      </c>
      <c r="D492" s="14" t="str">
        <f>VLOOKUP(TAB_ENTRADA[[#This Row],[Cod_2_Entrada]],TAB_ESTOQUE[[Codigo]:[Endereço2]],12,FALSE)</f>
        <v>C1403</v>
      </c>
      <c r="E492" s="14">
        <f>SUM(TAB_ENTRADA[[#This Row],[20/05/2019]:[Colunas1]])</f>
        <v>2</v>
      </c>
      <c r="F492" s="3"/>
      <c r="FK492" s="3">
        <v>2</v>
      </c>
    </row>
    <row r="493" spans="1:167" x14ac:dyDescent="0.25">
      <c r="A493" s="5" t="s">
        <v>2150</v>
      </c>
      <c r="B493" s="14" t="str">
        <f>VLOOKUP(TAB_ENTRADA[[#This Row],[Cod_2_Entrada]],TAB_ESTOQUE[[Codigo]:[Descrição Tecnica]],6,FALSE)</f>
        <v>LÂMINA DE SERRA DE FITA MAQ. DE CORTE VERTICAL</v>
      </c>
      <c r="C493" s="14">
        <f>IFERROR(VLOOKUP(TAB_ENTRADA[[#This Row],[Cod_2_Entrada]],TAB_ESTOQUE[[Codigo]:[Referência Tec]],7,FALSE),"")</f>
        <v>0</v>
      </c>
      <c r="D493" s="14" t="str">
        <f>VLOOKUP(TAB_ENTRADA[[#This Row],[Cod_2_Entrada]],TAB_ESTOQUE[[Codigo]:[Endereço2]],12,FALSE)</f>
        <v>E1301</v>
      </c>
      <c r="E493" s="14">
        <f>SUM(TAB_ENTRADA[[#This Row],[20/05/2019]:[Colunas1]])</f>
        <v>2</v>
      </c>
      <c r="F493" s="3"/>
      <c r="FK493" s="3">
        <v>2</v>
      </c>
    </row>
    <row r="494" spans="1:167" x14ac:dyDescent="0.25">
      <c r="A494" s="5" t="s">
        <v>2151</v>
      </c>
      <c r="B494" s="14" t="str">
        <f>VLOOKUP(TAB_ENTRADA[[#This Row],[Cod_2_Entrada]],TAB_ESTOQUE[[Codigo]:[Descrição Tecnica]],6,FALSE)</f>
        <v>RETENTOR 67X36X6</v>
      </c>
      <c r="C494" s="14">
        <f>IFERROR(VLOOKUP(TAB_ENTRADA[[#This Row],[Cod_2_Entrada]],TAB_ESTOQUE[[Codigo]:[Referência Tec]],7,FALSE),"")</f>
        <v>0</v>
      </c>
      <c r="D494" s="14" t="str">
        <f>VLOOKUP(TAB_ENTRADA[[#This Row],[Cod_2_Entrada]],TAB_ESTOQUE[[Codigo]:[Endereço2]],12,FALSE)</f>
        <v>E1204</v>
      </c>
      <c r="E494" s="14">
        <f>SUM(TAB_ENTRADA[[#This Row],[20/05/2019]:[Colunas1]])</f>
        <v>12</v>
      </c>
      <c r="F494" s="3"/>
      <c r="FK494" s="3">
        <v>12</v>
      </c>
    </row>
    <row r="495" spans="1:167" x14ac:dyDescent="0.25">
      <c r="A495" s="5" t="s">
        <v>2152</v>
      </c>
      <c r="B495" s="14" t="str">
        <f>VLOOKUP(TAB_ENTRADA[[#This Row],[Cod_2_Entrada]],TAB_ESTOQUE[[Codigo]:[Descrição Tecnica]],6,FALSE)</f>
        <v>RETENTOR 40X50X6</v>
      </c>
      <c r="C495" s="14">
        <f>IFERROR(VLOOKUP(TAB_ENTRADA[[#This Row],[Cod_2_Entrada]],TAB_ESTOQUE[[Codigo]:[Referência Tec]],7,FALSE),"")</f>
        <v>0</v>
      </c>
      <c r="D495" s="14" t="str">
        <f>VLOOKUP(TAB_ENTRADA[[#This Row],[Cod_2_Entrada]],TAB_ESTOQUE[[Codigo]:[Endereço2]],12,FALSE)</f>
        <v>E1203</v>
      </c>
      <c r="E495" s="14">
        <f>SUM(TAB_ENTRADA[[#This Row],[20/05/2019]:[Colunas1]])</f>
        <v>9</v>
      </c>
      <c r="F495" s="3"/>
      <c r="FK495" s="3">
        <v>9</v>
      </c>
    </row>
    <row r="496" spans="1:167" x14ac:dyDescent="0.25">
      <c r="A496" s="5" t="s">
        <v>2153</v>
      </c>
      <c r="B496" s="14" t="str">
        <f>VLOOKUP(TAB_ENTRADA[[#This Row],[Cod_2_Entrada]],TAB_ESTOQUE[[Codigo]:[Descrição Tecnica]],6,FALSE)</f>
        <v>RETENTOR  LATA POR FORA 55x63x5</v>
      </c>
      <c r="C496" s="14">
        <f>IFERROR(VLOOKUP(TAB_ENTRADA[[#This Row],[Cod_2_Entrada]],TAB_ESTOQUE[[Codigo]:[Referência Tec]],7,FALSE),"")</f>
        <v>0</v>
      </c>
      <c r="D496" s="14" t="str">
        <f>VLOOKUP(TAB_ENTRADA[[#This Row],[Cod_2_Entrada]],TAB_ESTOQUE[[Codigo]:[Endereço2]],12,FALSE)</f>
        <v>E1203</v>
      </c>
      <c r="E496" s="14">
        <f>SUM(TAB_ENTRADA[[#This Row],[20/05/2019]:[Colunas1]])</f>
        <v>12</v>
      </c>
      <c r="F496" s="3"/>
      <c r="FK496" s="3">
        <v>12</v>
      </c>
    </row>
    <row r="497" spans="1:167" x14ac:dyDescent="0.25">
      <c r="A497" s="5" t="s">
        <v>2154</v>
      </c>
      <c r="B497" s="14" t="str">
        <f>VLOOKUP(TAB_ENTRADA[[#This Row],[Cod_2_Entrada]],TAB_ESTOQUE[[Codigo]:[Descrição Tecnica]],6,FALSE)</f>
        <v>RETENTOR 30x62x8</v>
      </c>
      <c r="C497" s="14">
        <f>IFERROR(VLOOKUP(TAB_ENTRADA[[#This Row],[Cod_2_Entrada]],TAB_ESTOQUE[[Codigo]:[Referência Tec]],7,FALSE),"")</f>
        <v>0</v>
      </c>
      <c r="D497" s="14" t="str">
        <f>VLOOKUP(TAB_ENTRADA[[#This Row],[Cod_2_Entrada]],TAB_ESTOQUE[[Codigo]:[Endereço2]],12,FALSE)</f>
        <v>E1203</v>
      </c>
      <c r="E497" s="14">
        <f>SUM(TAB_ENTRADA[[#This Row],[20/05/2019]:[Colunas1]])</f>
        <v>9</v>
      </c>
      <c r="F497" s="3"/>
      <c r="FK497" s="3">
        <v>9</v>
      </c>
    </row>
    <row r="498" spans="1:167" x14ac:dyDescent="0.25">
      <c r="A498" s="5" t="s">
        <v>2155</v>
      </c>
      <c r="B498" s="14" t="str">
        <f>VLOOKUP(TAB_ENTRADA[[#This Row],[Cod_2_Entrada]],TAB_ESTOQUE[[Codigo]:[Descrição Tecnica]],6,FALSE)</f>
        <v>RETENTOR 30x62x7</v>
      </c>
      <c r="C498" s="14">
        <f>IFERROR(VLOOKUP(TAB_ENTRADA[[#This Row],[Cod_2_Entrada]],TAB_ESTOQUE[[Codigo]:[Referência Tec]],7,FALSE),"")</f>
        <v>0</v>
      </c>
      <c r="D498" s="14" t="str">
        <f>VLOOKUP(TAB_ENTRADA[[#This Row],[Cod_2_Entrada]],TAB_ESTOQUE[[Codigo]:[Endereço2]],12,FALSE)</f>
        <v>E1203</v>
      </c>
      <c r="E498" s="14">
        <f>SUM(TAB_ENTRADA[[#This Row],[20/05/2019]:[Colunas1]])</f>
        <v>6</v>
      </c>
      <c r="F498" s="3"/>
      <c r="FK498" s="3">
        <v>6</v>
      </c>
    </row>
    <row r="499" spans="1:167" x14ac:dyDescent="0.25">
      <c r="A499" s="5" t="s">
        <v>2156</v>
      </c>
      <c r="B499" s="14" t="str">
        <f>VLOOKUP(TAB_ENTRADA[[#This Row],[Cod_2_Entrada]],TAB_ESTOQUE[[Codigo]:[Descrição Tecnica]],6,FALSE)</f>
        <v>RETENTOR 25x35x7</v>
      </c>
      <c r="C499" s="14">
        <f>IFERROR(VLOOKUP(TAB_ENTRADA[[#This Row],[Cod_2_Entrada]],TAB_ESTOQUE[[Codigo]:[Referência Tec]],7,FALSE),"")</f>
        <v>0</v>
      </c>
      <c r="D499" s="14" t="str">
        <f>VLOOKUP(TAB_ENTRADA[[#This Row],[Cod_2_Entrada]],TAB_ESTOQUE[[Codigo]:[Endereço2]],12,FALSE)</f>
        <v>E1203</v>
      </c>
      <c r="E499" s="14">
        <f>SUM(TAB_ENTRADA[[#This Row],[20/05/2019]:[Colunas1]])</f>
        <v>0</v>
      </c>
      <c r="F499" s="3"/>
      <c r="FK499" s="3">
        <v>0</v>
      </c>
    </row>
    <row r="500" spans="1:167" x14ac:dyDescent="0.25">
      <c r="A500" s="5" t="s">
        <v>2157</v>
      </c>
      <c r="B500" s="14" t="str">
        <f>VLOOKUP(TAB_ENTRADA[[#This Row],[Cod_2_Entrada]],TAB_ESTOQUE[[Codigo]:[Descrição Tecnica]],6,FALSE)</f>
        <v>RETENTOR 45X62X8</v>
      </c>
      <c r="C500" s="14">
        <f>IFERROR(VLOOKUP(TAB_ENTRADA[[#This Row],[Cod_2_Entrada]],TAB_ESTOQUE[[Codigo]:[Referência Tec]],7,FALSE),"")</f>
        <v>0</v>
      </c>
      <c r="D500" s="14" t="str">
        <f>VLOOKUP(TAB_ENTRADA[[#This Row],[Cod_2_Entrada]],TAB_ESTOQUE[[Codigo]:[Endereço2]],12,FALSE)</f>
        <v>E1204</v>
      </c>
      <c r="E500" s="14">
        <f>SUM(TAB_ENTRADA[[#This Row],[20/05/2019]:[Colunas1]])</f>
        <v>4</v>
      </c>
      <c r="F500" s="3"/>
      <c r="FK500" s="3">
        <v>4</v>
      </c>
    </row>
    <row r="501" spans="1:167" x14ac:dyDescent="0.25">
      <c r="A501" s="5" t="s">
        <v>2158</v>
      </c>
      <c r="B501" s="14" t="str">
        <f>VLOOKUP(TAB_ENTRADA[[#This Row],[Cod_2_Entrada]],TAB_ESTOQUE[[Codigo]:[Descrição Tecnica]],6,FALSE)</f>
        <v>ANEL DE COBRE 38X49X2</v>
      </c>
      <c r="C501" s="14">
        <f>IFERROR(VLOOKUP(TAB_ENTRADA[[#This Row],[Cod_2_Entrada]],TAB_ESTOQUE[[Codigo]:[Referência Tec]],7,FALSE),"")</f>
        <v>0</v>
      </c>
      <c r="D501" s="14" t="str">
        <f>VLOOKUP(TAB_ENTRADA[[#This Row],[Cod_2_Entrada]],TAB_ESTOQUE[[Codigo]:[Endereço2]],12,FALSE)</f>
        <v>E1304</v>
      </c>
      <c r="E501" s="14">
        <f>SUM(TAB_ENTRADA[[#This Row],[20/05/2019]:[Colunas1]])</f>
        <v>13</v>
      </c>
      <c r="F501" s="3"/>
      <c r="FK501" s="3">
        <v>13</v>
      </c>
    </row>
    <row r="502" spans="1:167" x14ac:dyDescent="0.25">
      <c r="A502" s="5" t="s">
        <v>2159</v>
      </c>
      <c r="B502" s="14" t="str">
        <f>VLOOKUP(TAB_ENTRADA[[#This Row],[Cod_2_Entrada]],TAB_ESTOQUE[[Codigo]:[Descrição Tecnica]],6,FALSE)</f>
        <v>ANEL DE COBRE 33X40X2</v>
      </c>
      <c r="C502" s="14">
        <f>IFERROR(VLOOKUP(TAB_ENTRADA[[#This Row],[Cod_2_Entrada]],TAB_ESTOQUE[[Codigo]:[Referência Tec]],7,FALSE),"")</f>
        <v>0</v>
      </c>
      <c r="D502" s="14" t="str">
        <f>VLOOKUP(TAB_ENTRADA[[#This Row],[Cod_2_Entrada]],TAB_ESTOQUE[[Codigo]:[Endereço2]],12,FALSE)</f>
        <v>E1304</v>
      </c>
      <c r="E502" s="14">
        <f>SUM(TAB_ENTRADA[[#This Row],[20/05/2019]:[Colunas1]])</f>
        <v>2</v>
      </c>
      <c r="F502" s="3"/>
      <c r="FK502" s="3">
        <v>2</v>
      </c>
    </row>
    <row r="503" spans="1:167" x14ac:dyDescent="0.25">
      <c r="A503" s="5" t="s">
        <v>2160</v>
      </c>
      <c r="B503" s="14" t="str">
        <f>VLOOKUP(TAB_ENTRADA[[#This Row],[Cod_2_Entrada]],TAB_ESTOQUE[[Codigo]:[Descrição Tecnica]],6,FALSE)</f>
        <v>ANEL DE COBRE 24X30X1,5</v>
      </c>
      <c r="C503" s="14">
        <f>IFERROR(VLOOKUP(TAB_ENTRADA[[#This Row],[Cod_2_Entrada]],TAB_ESTOQUE[[Codigo]:[Referência Tec]],7,FALSE),"")</f>
        <v>0</v>
      </c>
      <c r="D503" s="14" t="str">
        <f>VLOOKUP(TAB_ENTRADA[[#This Row],[Cod_2_Entrada]],TAB_ESTOQUE[[Codigo]:[Endereço2]],12,FALSE)</f>
        <v>E1304</v>
      </c>
      <c r="E503" s="14">
        <f>SUM(TAB_ENTRADA[[#This Row],[20/05/2019]:[Colunas1]])</f>
        <v>5</v>
      </c>
      <c r="F503" s="3"/>
      <c r="FK503" s="3">
        <v>5</v>
      </c>
    </row>
    <row r="504" spans="1:167" x14ac:dyDescent="0.25">
      <c r="A504" s="5" t="s">
        <v>2161</v>
      </c>
      <c r="B504" s="14" t="str">
        <f>VLOOKUP(TAB_ENTRADA[[#This Row],[Cod_2_Entrada]],TAB_ESTOQUE[[Codigo]:[Descrição Tecnica]],6,FALSE)</f>
        <v>ANEL DE COBRE 25X21X1.36</v>
      </c>
      <c r="C504" s="14">
        <f>IFERROR(VLOOKUP(TAB_ENTRADA[[#This Row],[Cod_2_Entrada]],TAB_ESTOQUE[[Codigo]:[Referência Tec]],7,FALSE),"")</f>
        <v>0</v>
      </c>
      <c r="D504" s="14" t="str">
        <f>VLOOKUP(TAB_ENTRADA[[#This Row],[Cod_2_Entrada]],TAB_ESTOQUE[[Codigo]:[Endereço2]],12,FALSE)</f>
        <v>E1304</v>
      </c>
      <c r="E504" s="14">
        <f>SUM(TAB_ENTRADA[[#This Row],[20/05/2019]:[Colunas1]])</f>
        <v>19</v>
      </c>
      <c r="F504" s="3"/>
      <c r="FK504" s="3">
        <v>19</v>
      </c>
    </row>
    <row r="505" spans="1:167" x14ac:dyDescent="0.25">
      <c r="A505" s="5" t="s">
        <v>2162</v>
      </c>
      <c r="B505" s="14" t="str">
        <f>VLOOKUP(TAB_ENTRADA[[#This Row],[Cod_2_Entrada]],TAB_ESTOQUE[[Codigo]:[Descrição Tecnica]],6,FALSE)</f>
        <v>ANEL DE COBRE 18X24X1,5</v>
      </c>
      <c r="C505" s="14">
        <f>IFERROR(VLOOKUP(TAB_ENTRADA[[#This Row],[Cod_2_Entrada]],TAB_ESTOQUE[[Codigo]:[Referência Tec]],7,FALSE),"")</f>
        <v>0</v>
      </c>
      <c r="D505" s="14" t="str">
        <f>VLOOKUP(TAB_ENTRADA[[#This Row],[Cod_2_Entrada]],TAB_ESTOQUE[[Codigo]:[Endereço2]],12,FALSE)</f>
        <v>E1304</v>
      </c>
      <c r="E505" s="14">
        <f>SUM(TAB_ENTRADA[[#This Row],[20/05/2019]:[Colunas1]])</f>
        <v>5</v>
      </c>
      <c r="F505" s="3"/>
      <c r="FK505" s="3">
        <v>5</v>
      </c>
    </row>
    <row r="506" spans="1:167" x14ac:dyDescent="0.25">
      <c r="A506" s="5" t="s">
        <v>2163</v>
      </c>
      <c r="B506" s="14" t="str">
        <f>VLOOKUP(TAB_ENTRADA[[#This Row],[Cod_2_Entrada]],TAB_ESTOQUE[[Codigo]:[Descrição Tecnica]],6,FALSE)</f>
        <v>ANEL DE COBRE 45X36X2,5</v>
      </c>
      <c r="C506" s="14">
        <f>IFERROR(VLOOKUP(TAB_ENTRADA[[#This Row],[Cod_2_Entrada]],TAB_ESTOQUE[[Codigo]:[Referência Tec]],7,FALSE),"")</f>
        <v>0</v>
      </c>
      <c r="D506" s="14" t="str">
        <f>VLOOKUP(TAB_ENTRADA[[#This Row],[Cod_2_Entrada]],TAB_ESTOQUE[[Codigo]:[Endereço2]],12,FALSE)</f>
        <v>E1304</v>
      </c>
      <c r="E506" s="14">
        <f>SUM(TAB_ENTRADA[[#This Row],[20/05/2019]:[Colunas1]])</f>
        <v>3</v>
      </c>
      <c r="F506" s="3"/>
      <c r="FK506" s="3">
        <v>3</v>
      </c>
    </row>
    <row r="507" spans="1:167" x14ac:dyDescent="0.25">
      <c r="A507" s="5" t="s">
        <v>2164</v>
      </c>
      <c r="B507" s="14" t="str">
        <f>VLOOKUP(TAB_ENTRADA[[#This Row],[Cod_2_Entrada]],TAB_ESTOQUE[[Codigo]:[Descrição Tecnica]],6,FALSE)</f>
        <v>ANEL DE COBRE 44X53X2</v>
      </c>
      <c r="C507" s="14">
        <f>IFERROR(VLOOKUP(TAB_ENTRADA[[#This Row],[Cod_2_Entrada]],TAB_ESTOQUE[[Codigo]:[Referência Tec]],7,FALSE),"")</f>
        <v>0</v>
      </c>
      <c r="D507" s="14" t="str">
        <f>VLOOKUP(TAB_ENTRADA[[#This Row],[Cod_2_Entrada]],TAB_ESTOQUE[[Codigo]:[Endereço2]],12,FALSE)</f>
        <v>E1304</v>
      </c>
      <c r="E507" s="14">
        <f>SUM(TAB_ENTRADA[[#This Row],[20/05/2019]:[Colunas1]])</f>
        <v>8</v>
      </c>
      <c r="F507" s="3"/>
      <c r="FK507" s="3">
        <v>8</v>
      </c>
    </row>
    <row r="508" spans="1:167" x14ac:dyDescent="0.25">
      <c r="A508" s="5" t="s">
        <v>2165</v>
      </c>
      <c r="B508" s="14" t="str">
        <f>VLOOKUP(TAB_ENTRADA[[#This Row],[Cod_2_Entrada]],TAB_ESTOQUE[[Codigo]:[Descrição Tecnica]],6,FALSE)</f>
        <v>ANEL DE COBRE 31X21X4</v>
      </c>
      <c r="C508" s="14">
        <f>IFERROR(VLOOKUP(TAB_ENTRADA[[#This Row],[Cod_2_Entrada]],TAB_ESTOQUE[[Codigo]:[Referência Tec]],7,FALSE),"")</f>
        <v>0</v>
      </c>
      <c r="D508" s="14" t="str">
        <f>VLOOKUP(TAB_ENTRADA[[#This Row],[Cod_2_Entrada]],TAB_ESTOQUE[[Codigo]:[Endereço2]],12,FALSE)</f>
        <v>E1304</v>
      </c>
      <c r="E508" s="14">
        <f>SUM(TAB_ENTRADA[[#This Row],[20/05/2019]:[Colunas1]])</f>
        <v>10</v>
      </c>
      <c r="F508" s="3"/>
      <c r="FK508" s="3">
        <v>10</v>
      </c>
    </row>
    <row r="509" spans="1:167" x14ac:dyDescent="0.25">
      <c r="A509" s="5" t="s">
        <v>2166</v>
      </c>
      <c r="B509" s="14" t="str">
        <f>VLOOKUP(TAB_ENTRADA[[#This Row],[Cod_2_Entrada]],TAB_ESTOQUE[[Codigo]:[Descrição Tecnica]],6,FALSE)</f>
        <v>RETENTOR 30X45X7</v>
      </c>
      <c r="C509" s="14">
        <f>IFERROR(VLOOKUP(TAB_ENTRADA[[#This Row],[Cod_2_Entrada]],TAB_ESTOQUE[[Codigo]:[Referência Tec]],7,FALSE),"")</f>
        <v>0</v>
      </c>
      <c r="D509" s="14" t="str">
        <f>VLOOKUP(TAB_ENTRADA[[#This Row],[Cod_2_Entrada]],TAB_ESTOQUE[[Codigo]:[Endereço2]],12,FALSE)</f>
        <v>E1203</v>
      </c>
      <c r="E509" s="14">
        <f>SUM(TAB_ENTRADA[[#This Row],[20/05/2019]:[Colunas1]])</f>
        <v>1</v>
      </c>
      <c r="F509" s="3"/>
      <c r="FK509" s="3">
        <v>1</v>
      </c>
    </row>
    <row r="510" spans="1:167" x14ac:dyDescent="0.25">
      <c r="A510" s="5" t="s">
        <v>2167</v>
      </c>
      <c r="B510" s="14" t="str">
        <f>VLOOKUP(TAB_ENTRADA[[#This Row],[Cod_2_Entrada]],TAB_ESTOQUE[[Codigo]:[Descrição Tecnica]],6,FALSE)</f>
        <v>RETENTOR 58X75X12</v>
      </c>
      <c r="C510" s="14">
        <f>IFERROR(VLOOKUP(TAB_ENTRADA[[#This Row],[Cod_2_Entrada]],TAB_ESTOQUE[[Codigo]:[Referência Tec]],7,FALSE),"")</f>
        <v>0</v>
      </c>
      <c r="D510" s="14" t="str">
        <f>VLOOKUP(TAB_ENTRADA[[#This Row],[Cod_2_Entrada]],TAB_ESTOQUE[[Codigo]:[Endereço2]],12,FALSE)</f>
        <v>E1204</v>
      </c>
      <c r="E510" s="14">
        <f>SUM(TAB_ENTRADA[[#This Row],[20/05/2019]:[Colunas1]])</f>
        <v>10</v>
      </c>
      <c r="F510" s="3"/>
      <c r="FK510" s="3">
        <v>10</v>
      </c>
    </row>
    <row r="511" spans="1:167" x14ac:dyDescent="0.25">
      <c r="A511" s="5" t="s">
        <v>2168</v>
      </c>
      <c r="B511" s="14" t="str">
        <f>VLOOKUP(TAB_ENTRADA[[#This Row],[Cod_2_Entrada]],TAB_ESTOQUE[[Codigo]:[Descrição Tecnica]],6,FALSE)</f>
        <v>ANEL ELASTICO PARA EIXO DE 16,5MM</v>
      </c>
      <c r="C511" s="14">
        <f>IFERROR(VLOOKUP(TAB_ENTRADA[[#This Row],[Cod_2_Entrada]],TAB_ESTOQUE[[Codigo]:[Referência Tec]],7,FALSE),"")</f>
        <v>0</v>
      </c>
      <c r="D511" s="14" t="str">
        <f>VLOOKUP(TAB_ENTRADA[[#This Row],[Cod_2_Entrada]],TAB_ESTOQUE[[Codigo]:[Endereço2]],12,FALSE)</f>
        <v>E1304</v>
      </c>
      <c r="E511" s="14">
        <f>SUM(TAB_ENTRADA[[#This Row],[20/05/2019]:[Colunas1]])</f>
        <v>4</v>
      </c>
      <c r="F511" s="3"/>
      <c r="FK511" s="3">
        <v>4</v>
      </c>
    </row>
    <row r="512" spans="1:167" x14ac:dyDescent="0.25">
      <c r="A512" s="5" t="s">
        <v>2169</v>
      </c>
      <c r="B512" s="14" t="str">
        <f>VLOOKUP(TAB_ENTRADA[[#This Row],[Cod_2_Entrada]],TAB_ESTOQUE[[Codigo]:[Descrição Tecnica]],6,FALSE)</f>
        <v>ANEL ELASTICO PARA EIXO DE 67,23MM</v>
      </c>
      <c r="C512" s="14">
        <f>IFERROR(VLOOKUP(TAB_ENTRADA[[#This Row],[Cod_2_Entrada]],TAB_ESTOQUE[[Codigo]:[Referência Tec]],7,FALSE),"")</f>
        <v>0</v>
      </c>
      <c r="D512" s="14" t="str">
        <f>VLOOKUP(TAB_ENTRADA[[#This Row],[Cod_2_Entrada]],TAB_ESTOQUE[[Codigo]:[Endereço2]],12,FALSE)</f>
        <v>E1304</v>
      </c>
      <c r="E512" s="14">
        <f>SUM(TAB_ENTRADA[[#This Row],[20/05/2019]:[Colunas1]])</f>
        <v>20</v>
      </c>
      <c r="F512" s="3"/>
      <c r="FK512" s="3">
        <v>20</v>
      </c>
    </row>
    <row r="513" spans="1:167" x14ac:dyDescent="0.25">
      <c r="A513" s="5" t="s">
        <v>2170</v>
      </c>
      <c r="B513" s="14" t="str">
        <f>VLOOKUP(TAB_ENTRADA[[#This Row],[Cod_2_Entrada]],TAB_ESTOQUE[[Codigo]:[Descrição Tecnica]],6,FALSE)</f>
        <v>ANEL ELASTICO PARA EIXO 60,18MM</v>
      </c>
      <c r="C513" s="14">
        <f>IFERROR(VLOOKUP(TAB_ENTRADA[[#This Row],[Cod_2_Entrada]],TAB_ESTOQUE[[Codigo]:[Referência Tec]],7,FALSE),"")</f>
        <v>0</v>
      </c>
      <c r="D513" s="14" t="str">
        <f>VLOOKUP(TAB_ENTRADA[[#This Row],[Cod_2_Entrada]],TAB_ESTOQUE[[Codigo]:[Endereço2]],12,FALSE)</f>
        <v>E1304</v>
      </c>
      <c r="E513" s="14">
        <f>SUM(TAB_ENTRADA[[#This Row],[20/05/2019]:[Colunas1]])</f>
        <v>2</v>
      </c>
      <c r="F513" s="3"/>
      <c r="FK513" s="3">
        <v>2</v>
      </c>
    </row>
    <row r="514" spans="1:167" x14ac:dyDescent="0.25">
      <c r="A514" s="5" t="s">
        <v>2171</v>
      </c>
      <c r="B514" s="14" t="str">
        <f>VLOOKUP(TAB_ENTRADA[[#This Row],[Cod_2_Entrada]],TAB_ESTOQUE[[Codigo]:[Descrição Tecnica]],6,FALSE)</f>
        <v>ANEL ELASTICO PARA EIXO 36,21</v>
      </c>
      <c r="C514" s="14">
        <f>IFERROR(VLOOKUP(TAB_ENTRADA[[#This Row],[Cod_2_Entrada]],TAB_ESTOQUE[[Codigo]:[Referência Tec]],7,FALSE),"")</f>
        <v>0</v>
      </c>
      <c r="D514" s="14" t="str">
        <f>VLOOKUP(TAB_ENTRADA[[#This Row],[Cod_2_Entrada]],TAB_ESTOQUE[[Codigo]:[Endereço2]],12,FALSE)</f>
        <v>E1304</v>
      </c>
      <c r="E514" s="14">
        <f>SUM(TAB_ENTRADA[[#This Row],[20/05/2019]:[Colunas1]])</f>
        <v>20</v>
      </c>
      <c r="F514" s="3"/>
      <c r="FK514" s="3">
        <v>20</v>
      </c>
    </row>
    <row r="515" spans="1:167" x14ac:dyDescent="0.25">
      <c r="A515" s="5" t="s">
        <v>2172</v>
      </c>
      <c r="B515" s="14" t="str">
        <f>VLOOKUP(TAB_ENTRADA[[#This Row],[Cod_2_Entrada]],TAB_ESTOQUE[[Codigo]:[Descrição Tecnica]],6,FALSE)</f>
        <v>RETENTOR 15X30X7</v>
      </c>
      <c r="C515" s="14">
        <f>IFERROR(VLOOKUP(TAB_ENTRADA[[#This Row],[Cod_2_Entrada]],TAB_ESTOQUE[[Codigo]:[Referência Tec]],7,FALSE),"")</f>
        <v>0</v>
      </c>
      <c r="D515" s="14" t="str">
        <f>VLOOKUP(TAB_ENTRADA[[#This Row],[Cod_2_Entrada]],TAB_ESTOQUE[[Codigo]:[Endereço2]],12,FALSE)</f>
        <v>E1204</v>
      </c>
      <c r="E515" s="14">
        <f>SUM(TAB_ENTRADA[[#This Row],[20/05/2019]:[Colunas1]])</f>
        <v>6</v>
      </c>
      <c r="F515" s="3"/>
      <c r="FK515" s="3">
        <v>6</v>
      </c>
    </row>
    <row r="516" spans="1:167" x14ac:dyDescent="0.25">
      <c r="A516" s="5" t="s">
        <v>2173</v>
      </c>
      <c r="B516" s="14" t="str">
        <f>VLOOKUP(TAB_ENTRADA[[#This Row],[Cod_2_Entrada]],TAB_ESTOQUE[[Codigo]:[Descrição Tecnica]],6,FALSE)</f>
        <v>RETENTOR 40X55X8</v>
      </c>
      <c r="C516" s="14">
        <f>IFERROR(VLOOKUP(TAB_ENTRADA[[#This Row],[Cod_2_Entrada]],TAB_ESTOQUE[[Codigo]:[Referência Tec]],7,FALSE),"")</f>
        <v>0</v>
      </c>
      <c r="D516" s="14" t="str">
        <f>VLOOKUP(TAB_ENTRADA[[#This Row],[Cod_2_Entrada]],TAB_ESTOQUE[[Codigo]:[Endereço2]],12,FALSE)</f>
        <v>E1204</v>
      </c>
      <c r="E516" s="14">
        <f>SUM(TAB_ENTRADA[[#This Row],[20/05/2019]:[Colunas1]])</f>
        <v>8</v>
      </c>
      <c r="F516" s="3"/>
      <c r="FK516" s="3">
        <v>8</v>
      </c>
    </row>
    <row r="517" spans="1:167" x14ac:dyDescent="0.25">
      <c r="A517" s="5" t="s">
        <v>2174</v>
      </c>
      <c r="B517" s="14" t="str">
        <f>VLOOKUP(TAB_ENTRADA[[#This Row],[Cod_2_Entrada]],TAB_ESTOQUE[[Codigo]:[Descrição Tecnica]],6,FALSE)</f>
        <v>RETENTOR 45X65X8</v>
      </c>
      <c r="C517" s="14">
        <f>IFERROR(VLOOKUP(TAB_ENTRADA[[#This Row],[Cod_2_Entrada]],TAB_ESTOQUE[[Codigo]:[Referência Tec]],7,FALSE),"")</f>
        <v>0</v>
      </c>
      <c r="D517" s="14" t="str">
        <f>VLOOKUP(TAB_ENTRADA[[#This Row],[Cod_2_Entrada]],TAB_ESTOQUE[[Codigo]:[Endereço2]],12,FALSE)</f>
        <v>E1204</v>
      </c>
      <c r="E517" s="14">
        <f>SUM(TAB_ENTRADA[[#This Row],[20/05/2019]:[Colunas1]])</f>
        <v>7</v>
      </c>
      <c r="F517" s="3"/>
      <c r="FK517" s="3">
        <v>7</v>
      </c>
    </row>
    <row r="518" spans="1:167" x14ac:dyDescent="0.25">
      <c r="A518" s="5" t="s">
        <v>2175</v>
      </c>
      <c r="B518" s="14" t="str">
        <f>VLOOKUP(TAB_ENTRADA[[#This Row],[Cod_2_Entrada]],TAB_ESTOQUE[[Codigo]:[Descrição Tecnica]],6,FALSE)</f>
        <v>RETENTOR 35X52X7</v>
      </c>
      <c r="C518" s="14">
        <f>IFERROR(VLOOKUP(TAB_ENTRADA[[#This Row],[Cod_2_Entrada]],TAB_ESTOQUE[[Codigo]:[Referência Tec]],7,FALSE),"")</f>
        <v>0</v>
      </c>
      <c r="D518" s="14" t="str">
        <f>VLOOKUP(TAB_ENTRADA[[#This Row],[Cod_2_Entrada]],TAB_ESTOQUE[[Codigo]:[Endereço2]],12,FALSE)</f>
        <v>E1204</v>
      </c>
      <c r="E518" s="14">
        <f>SUM(TAB_ENTRADA[[#This Row],[20/05/2019]:[Colunas1]])</f>
        <v>6</v>
      </c>
      <c r="F518" s="3"/>
      <c r="FK518" s="3">
        <v>6</v>
      </c>
    </row>
    <row r="519" spans="1:167" x14ac:dyDescent="0.25">
      <c r="A519" s="5" t="s">
        <v>2176</v>
      </c>
      <c r="B519" s="14" t="str">
        <f>VLOOKUP(TAB_ENTRADA[[#This Row],[Cod_2_Entrada]],TAB_ESTOQUE[[Codigo]:[Descrição Tecnica]],6,FALSE)</f>
        <v>ORING DA AGULHA DO GICLE</v>
      </c>
      <c r="C519" s="14">
        <f>IFERROR(VLOOKUP(TAB_ENTRADA[[#This Row],[Cod_2_Entrada]],TAB_ESTOQUE[[Codigo]:[Referência Tec]],7,FALSE),"")</f>
        <v>0</v>
      </c>
      <c r="D519" s="14" t="str">
        <f>VLOOKUP(TAB_ENTRADA[[#This Row],[Cod_2_Entrada]],TAB_ESTOQUE[[Codigo]:[Endereço2]],12,FALSE)</f>
        <v>ARMARIO</v>
      </c>
      <c r="E519" s="14">
        <f>SUM(TAB_ENTRADA[[#This Row],[20/05/2019]:[Colunas1]])</f>
        <v>0</v>
      </c>
      <c r="F519" s="3"/>
      <c r="FK519" s="3">
        <v>0</v>
      </c>
    </row>
    <row r="520" spans="1:167" x14ac:dyDescent="0.25">
      <c r="A520" s="5" t="s">
        <v>2177</v>
      </c>
      <c r="B520" s="14" t="str">
        <f>VLOOKUP(TAB_ENTRADA[[#This Row],[Cod_2_Entrada]],TAB_ESTOQUE[[Codigo]:[Descrição Tecnica]],6,FALSE)</f>
        <v>VEDAÇÃO DOS GICLES 20X1</v>
      </c>
      <c r="C520" s="14">
        <f>IFERROR(VLOOKUP(TAB_ENTRADA[[#This Row],[Cod_2_Entrada]],TAB_ESTOQUE[[Codigo]:[Referência Tec]],7,FALSE),"")</f>
        <v>0</v>
      </c>
      <c r="D520" s="14" t="str">
        <f>VLOOKUP(TAB_ENTRADA[[#This Row],[Cod_2_Entrada]],TAB_ESTOQUE[[Codigo]:[Endereço2]],12,FALSE)</f>
        <v>ARMARIO</v>
      </c>
      <c r="E520" s="14">
        <f>SUM(TAB_ENTRADA[[#This Row],[20/05/2019]:[Colunas1]])</f>
        <v>0</v>
      </c>
      <c r="F520" s="3"/>
      <c r="FK520" s="3">
        <v>0</v>
      </c>
    </row>
    <row r="521" spans="1:167" x14ac:dyDescent="0.25">
      <c r="A521" s="5" t="s">
        <v>2178</v>
      </c>
      <c r="B521" s="14" t="str">
        <f>VLOOKUP(TAB_ENTRADA[[#This Row],[Cod_2_Entrada]],TAB_ESTOQUE[[Codigo]:[Descrição Tecnica]],6,FALSE)</f>
        <v>VEDAÇÃO DOS GICLES  TIPO 1</v>
      </c>
      <c r="C521" s="14">
        <f>IFERROR(VLOOKUP(TAB_ENTRADA[[#This Row],[Cod_2_Entrada]],TAB_ESTOQUE[[Codigo]:[Referência Tec]],7,FALSE),"")</f>
        <v>0</v>
      </c>
      <c r="D521" s="14" t="str">
        <f>VLOOKUP(TAB_ENTRADA[[#This Row],[Cod_2_Entrada]],TAB_ESTOQUE[[Codigo]:[Endereço2]],12,FALSE)</f>
        <v>ARMARIO</v>
      </c>
      <c r="E521" s="14">
        <f>SUM(TAB_ENTRADA[[#This Row],[20/05/2019]:[Colunas1]])</f>
        <v>0</v>
      </c>
      <c r="F521" s="3"/>
      <c r="FK521" s="3">
        <v>0</v>
      </c>
    </row>
    <row r="522" spans="1:167" x14ac:dyDescent="0.25">
      <c r="A522" s="5" t="s">
        <v>2179</v>
      </c>
      <c r="B522" s="14" t="str">
        <f>VLOOKUP(TAB_ENTRADA[[#This Row],[Cod_2_Entrada]],TAB_ESTOQUE[[Codigo]:[Descrição Tecnica]],6,FALSE)</f>
        <v>VEDAÇÃO DOS GICLES  TIPO 2</v>
      </c>
      <c r="C522" s="14">
        <f>IFERROR(VLOOKUP(TAB_ENTRADA[[#This Row],[Cod_2_Entrada]],TAB_ESTOQUE[[Codigo]:[Referência Tec]],7,FALSE),"")</f>
        <v>0</v>
      </c>
      <c r="D522" s="14" t="str">
        <f>VLOOKUP(TAB_ENTRADA[[#This Row],[Cod_2_Entrada]],TAB_ESTOQUE[[Codigo]:[Endereço2]],12,FALSE)</f>
        <v>ARMARIO</v>
      </c>
      <c r="E522" s="14">
        <f>SUM(TAB_ENTRADA[[#This Row],[20/05/2019]:[Colunas1]])</f>
        <v>0</v>
      </c>
      <c r="F522" s="3"/>
      <c r="FK522" s="3">
        <v>0</v>
      </c>
    </row>
    <row r="523" spans="1:167" x14ac:dyDescent="0.25">
      <c r="A523" s="5" t="s">
        <v>2180</v>
      </c>
      <c r="B523" s="14" t="str">
        <f>VLOOKUP(TAB_ENTRADA[[#This Row],[Cod_2_Entrada]],TAB_ESTOQUE[[Codigo]:[Descrição Tecnica]],6,FALSE)</f>
        <v>VEDAÇÃO DOS GICLES S12</v>
      </c>
      <c r="C523" s="14">
        <f>IFERROR(VLOOKUP(TAB_ENTRADA[[#This Row],[Cod_2_Entrada]],TAB_ESTOQUE[[Codigo]:[Referência Tec]],7,FALSE),"")</f>
        <v>0</v>
      </c>
      <c r="D523" s="14" t="str">
        <f>VLOOKUP(TAB_ENTRADA[[#This Row],[Cod_2_Entrada]],TAB_ESTOQUE[[Codigo]:[Endereço2]],12,FALSE)</f>
        <v>ARMARIO</v>
      </c>
      <c r="E523" s="14">
        <f>SUM(TAB_ENTRADA[[#This Row],[20/05/2019]:[Colunas1]])</f>
        <v>0</v>
      </c>
      <c r="F523" s="3"/>
      <c r="FK523" s="3">
        <v>0</v>
      </c>
    </row>
    <row r="524" spans="1:167" x14ac:dyDescent="0.25">
      <c r="A524" s="5" t="s">
        <v>2181</v>
      </c>
      <c r="B524" s="14" t="str">
        <f>VLOOKUP(TAB_ENTRADA[[#This Row],[Cod_2_Entrada]],TAB_ESTOQUE[[Codigo]:[Descrição Tecnica]],6,FALSE)</f>
        <v>RETENTOR 55X90X8</v>
      </c>
      <c r="C524" s="14">
        <f>IFERROR(VLOOKUP(TAB_ENTRADA[[#This Row],[Cod_2_Entrada]],TAB_ESTOQUE[[Codigo]:[Referência Tec]],7,FALSE),"")</f>
        <v>0</v>
      </c>
      <c r="D524" s="14" t="str">
        <f>VLOOKUP(TAB_ENTRADA[[#This Row],[Cod_2_Entrada]],TAB_ESTOQUE[[Codigo]:[Endereço2]],12,FALSE)</f>
        <v>E1204</v>
      </c>
      <c r="E524" s="14">
        <f>SUM(TAB_ENTRADA[[#This Row],[20/05/2019]:[Colunas1]])</f>
        <v>0</v>
      </c>
      <c r="F524" s="3"/>
      <c r="FK524" s="3">
        <v>0</v>
      </c>
    </row>
    <row r="525" spans="1:167" x14ac:dyDescent="0.25">
      <c r="A525" s="5" t="s">
        <v>2182</v>
      </c>
      <c r="B525" s="14" t="str">
        <f>VLOOKUP(TAB_ENTRADA[[#This Row],[Cod_2_Entrada]],TAB_ESTOQUE[[Codigo]:[Descrição Tecnica]],6,FALSE)</f>
        <v>ROLAMENTO SA207</v>
      </c>
      <c r="C525" s="14">
        <f>IFERROR(VLOOKUP(TAB_ENTRADA[[#This Row],[Cod_2_Entrada]],TAB_ESTOQUE[[Codigo]:[Referência Tec]],7,FALSE),"")</f>
        <v>0</v>
      </c>
      <c r="D525" s="14" t="str">
        <f>VLOOKUP(TAB_ENTRADA[[#This Row],[Cod_2_Entrada]],TAB_ESTOQUE[[Codigo]:[Endereço2]],12,FALSE)</f>
        <v>D2106</v>
      </c>
      <c r="E525" s="14">
        <f>SUM(TAB_ENTRADA[[#This Row],[20/05/2019]:[Colunas1]])</f>
        <v>7</v>
      </c>
      <c r="F525" s="3"/>
      <c r="FK525" s="3">
        <v>7</v>
      </c>
    </row>
    <row r="526" spans="1:167" x14ac:dyDescent="0.25">
      <c r="A526" s="5" t="s">
        <v>2183</v>
      </c>
      <c r="B526" s="14" t="str">
        <f>VLOOKUP(TAB_ENTRADA[[#This Row],[Cod_2_Entrada]],TAB_ESTOQUE[[Codigo]:[Descrição Tecnica]],6,FALSE)</f>
        <v>RETENTOR 90X130X12</v>
      </c>
      <c r="C526" s="14">
        <f>IFERROR(VLOOKUP(TAB_ENTRADA[[#This Row],[Cod_2_Entrada]],TAB_ESTOQUE[[Codigo]:[Referência Tec]],7,FALSE),"")</f>
        <v>0</v>
      </c>
      <c r="D526" s="14" t="str">
        <f>VLOOKUP(TAB_ENTRADA[[#This Row],[Cod_2_Entrada]],TAB_ESTOQUE[[Codigo]:[Endereço2]],12,FALSE)</f>
        <v>E1205</v>
      </c>
      <c r="E526" s="14">
        <f>SUM(TAB_ENTRADA[[#This Row],[20/05/2019]:[Colunas1]])</f>
        <v>2</v>
      </c>
      <c r="F526" s="3"/>
      <c r="FK526" s="3">
        <v>2</v>
      </c>
    </row>
    <row r="527" spans="1:167" x14ac:dyDescent="0.25">
      <c r="A527" s="5" t="s">
        <v>2184</v>
      </c>
      <c r="B527" s="14" t="str">
        <f>VLOOKUP(TAB_ENTRADA[[#This Row],[Cod_2_Entrada]],TAB_ESTOQUE[[Codigo]:[Descrição Tecnica]],6,FALSE)</f>
        <v>FUSO DAS CALANDRAS GLASUTEC</v>
      </c>
      <c r="C527" s="14">
        <f>IFERROR(VLOOKUP(TAB_ENTRADA[[#This Row],[Cod_2_Entrada]],TAB_ESTOQUE[[Codigo]:[Referência Tec]],7,FALSE),"")</f>
        <v>0</v>
      </c>
      <c r="D527" s="14" t="str">
        <f>VLOOKUP(TAB_ENTRADA[[#This Row],[Cod_2_Entrada]],TAB_ESTOQUE[[Codigo]:[Endereço2]],12,FALSE)</f>
        <v>E1302</v>
      </c>
      <c r="E527" s="14">
        <f>SUM(TAB_ENTRADA[[#This Row],[20/05/2019]:[Colunas1]])</f>
        <v>2</v>
      </c>
      <c r="F527" s="3"/>
      <c r="FK527" s="3">
        <v>2</v>
      </c>
    </row>
    <row r="528" spans="1:167" x14ac:dyDescent="0.25">
      <c r="A528" s="5" t="s">
        <v>2185</v>
      </c>
      <c r="B528" s="14" t="str">
        <f>VLOOKUP(TAB_ENTRADA[[#This Row],[Cod_2_Entrada]],TAB_ESTOQUE[[Codigo]:[Descrição Tecnica]],6,FALSE)</f>
        <v>RETENTOR 01543-BR 15</v>
      </c>
      <c r="C528" s="14">
        <f>IFERROR(VLOOKUP(TAB_ENTRADA[[#This Row],[Cod_2_Entrada]],TAB_ESTOQUE[[Codigo]:[Referência Tec]],7,FALSE),"")</f>
        <v>0</v>
      </c>
      <c r="D528" s="14" t="str">
        <f>VLOOKUP(TAB_ENTRADA[[#This Row],[Cod_2_Entrada]],TAB_ESTOQUE[[Codigo]:[Endereço2]],12,FALSE)</f>
        <v>E1204</v>
      </c>
      <c r="E528" s="14">
        <f>SUM(TAB_ENTRADA[[#This Row],[20/05/2019]:[Colunas1]])</f>
        <v>3</v>
      </c>
      <c r="F528" s="3"/>
      <c r="FK528" s="3">
        <v>3</v>
      </c>
    </row>
    <row r="529" spans="1:167" x14ac:dyDescent="0.25">
      <c r="A529" s="5" t="s">
        <v>2186</v>
      </c>
      <c r="B529" s="14" t="str">
        <f>VLOOKUP(TAB_ENTRADA[[#This Row],[Cod_2_Entrada]],TAB_ESTOQUE[[Codigo]:[Descrição Tecnica]],6,FALSE)</f>
        <v>RETENTOR 43X62X75</v>
      </c>
      <c r="C529" s="14">
        <f>IFERROR(VLOOKUP(TAB_ENTRADA[[#This Row],[Cod_2_Entrada]],TAB_ESTOQUE[[Codigo]:[Referência Tec]],7,FALSE),"")</f>
        <v>0</v>
      </c>
      <c r="D529" s="14" t="str">
        <f>VLOOKUP(TAB_ENTRADA[[#This Row],[Cod_2_Entrada]],TAB_ESTOQUE[[Codigo]:[Endereço2]],12,FALSE)</f>
        <v>E1204</v>
      </c>
      <c r="E529" s="14">
        <f>SUM(TAB_ENTRADA[[#This Row],[20/05/2019]:[Colunas1]])</f>
        <v>2</v>
      </c>
      <c r="F529" s="3"/>
      <c r="FK529" s="3">
        <v>2</v>
      </c>
    </row>
    <row r="530" spans="1:167" x14ac:dyDescent="0.25">
      <c r="A530" s="5" t="s">
        <v>2187</v>
      </c>
      <c r="B530" s="14" t="str">
        <f>VLOOKUP(TAB_ENTRADA[[#This Row],[Cod_2_Entrada]],TAB_ESTOQUE[[Codigo]:[Descrição Tecnica]],6,FALSE)</f>
        <v>RETENTOR 25X42X8</v>
      </c>
      <c r="C530" s="14">
        <f>IFERROR(VLOOKUP(TAB_ENTRADA[[#This Row],[Cod_2_Entrada]],TAB_ESTOQUE[[Codigo]:[Referência Tec]],7,FALSE),"")</f>
        <v>0</v>
      </c>
      <c r="D530" s="14" t="str">
        <f>VLOOKUP(TAB_ENTRADA[[#This Row],[Cod_2_Entrada]],TAB_ESTOQUE[[Codigo]:[Endereço2]],12,FALSE)</f>
        <v>E1203</v>
      </c>
      <c r="E530" s="14">
        <f>SUM(TAB_ENTRADA[[#This Row],[20/05/2019]:[Colunas1]])</f>
        <v>2</v>
      </c>
      <c r="F530" s="3"/>
      <c r="FK530" s="3">
        <v>2</v>
      </c>
    </row>
    <row r="531" spans="1:167" x14ac:dyDescent="0.25">
      <c r="A531" s="5" t="s">
        <v>2188</v>
      </c>
      <c r="B531" s="14" t="str">
        <f>VLOOKUP(TAB_ENTRADA[[#This Row],[Cod_2_Entrada]],TAB_ESTOQUE[[Codigo]:[Descrição Tecnica]],6,FALSE)</f>
        <v>RETENTOR 28X47X7</v>
      </c>
      <c r="C531" s="14">
        <f>IFERROR(VLOOKUP(TAB_ENTRADA[[#This Row],[Cod_2_Entrada]],TAB_ESTOQUE[[Codigo]:[Referência Tec]],7,FALSE),"")</f>
        <v>0</v>
      </c>
      <c r="D531" s="14" t="str">
        <f>VLOOKUP(TAB_ENTRADA[[#This Row],[Cod_2_Entrada]],TAB_ESTOQUE[[Codigo]:[Endereço2]],12,FALSE)</f>
        <v>E1202</v>
      </c>
      <c r="E531" s="14">
        <f>SUM(TAB_ENTRADA[[#This Row],[20/05/2019]:[Colunas1]])</f>
        <v>1</v>
      </c>
      <c r="F531" s="3"/>
      <c r="FK531" s="3">
        <v>1</v>
      </c>
    </row>
    <row r="532" spans="1:167" x14ac:dyDescent="0.25">
      <c r="A532" s="5" t="s">
        <v>2189</v>
      </c>
      <c r="B532" s="14" t="str">
        <f>VLOOKUP(TAB_ENTRADA[[#This Row],[Cod_2_Entrada]],TAB_ESTOQUE[[Codigo]:[Descrição Tecnica]],6,FALSE)</f>
        <v>RETENTOR 60X85.1X12.7</v>
      </c>
      <c r="C532" s="14">
        <f>IFERROR(VLOOKUP(TAB_ENTRADA[[#This Row],[Cod_2_Entrada]],TAB_ESTOQUE[[Codigo]:[Referência Tec]],7,FALSE),"")</f>
        <v>0</v>
      </c>
      <c r="D532" s="14" t="str">
        <f>VLOOKUP(TAB_ENTRADA[[#This Row],[Cod_2_Entrada]],TAB_ESTOQUE[[Codigo]:[Endereço2]],12,FALSE)</f>
        <v>E1202</v>
      </c>
      <c r="E532" s="14">
        <f>SUM(TAB_ENTRADA[[#This Row],[20/05/2019]:[Colunas1]])</f>
        <v>8</v>
      </c>
      <c r="F532" s="3"/>
      <c r="FK532" s="3">
        <v>8</v>
      </c>
    </row>
    <row r="533" spans="1:167" x14ac:dyDescent="0.25">
      <c r="A533" s="5" t="s">
        <v>2190</v>
      </c>
      <c r="B533" s="14" t="str">
        <f>VLOOKUP(TAB_ENTRADA[[#This Row],[Cod_2_Entrada]],TAB_ESTOQUE[[Codigo]:[Descrição Tecnica]],6,FALSE)</f>
        <v>TAMPA DE ROLAMENTO PFL-203 BRM</v>
      </c>
      <c r="C533" s="14">
        <f>IFERROR(VLOOKUP(TAB_ENTRADA[[#This Row],[Cod_2_Entrada]],TAB_ESTOQUE[[Codigo]:[Referência Tec]],7,FALSE),"")</f>
        <v>0</v>
      </c>
      <c r="D533" s="14" t="str">
        <f>VLOOKUP(TAB_ENTRADA[[#This Row],[Cod_2_Entrada]],TAB_ESTOQUE[[Codigo]:[Endereço2]],12,FALSE)</f>
        <v>D1105</v>
      </c>
      <c r="E533" s="14">
        <f>SUM(TAB_ENTRADA[[#This Row],[20/05/2019]:[Colunas1]])</f>
        <v>10</v>
      </c>
      <c r="F533" s="3"/>
      <c r="FK533" s="3">
        <v>10</v>
      </c>
    </row>
    <row r="534" spans="1:167" x14ac:dyDescent="0.25">
      <c r="A534" s="5" t="s">
        <v>2191</v>
      </c>
      <c r="B534" s="14" t="str">
        <f>VLOOKUP(TAB_ENTRADA[[#This Row],[Cod_2_Entrada]],TAB_ESTOQUE[[Codigo]:[Descrição Tecnica]],6,FALSE)</f>
        <v>MANCAL FL204 FK</v>
      </c>
      <c r="C534" s="14">
        <f>IFERROR(VLOOKUP(TAB_ENTRADA[[#This Row],[Cod_2_Entrada]],TAB_ESTOQUE[[Codigo]:[Referência Tec]],7,FALSE),"")</f>
        <v>0</v>
      </c>
      <c r="D534" s="14" t="str">
        <f>VLOOKUP(TAB_ENTRADA[[#This Row],[Cod_2_Entrada]],TAB_ESTOQUE[[Codigo]:[Endereço2]],12,FALSE)</f>
        <v>E1405</v>
      </c>
      <c r="E534" s="14">
        <f>SUM(TAB_ENTRADA[[#This Row],[20/05/2019]:[Colunas1]])</f>
        <v>6</v>
      </c>
      <c r="F534" s="3"/>
      <c r="FK534" s="3">
        <v>6</v>
      </c>
    </row>
    <row r="535" spans="1:167" x14ac:dyDescent="0.25">
      <c r="A535" s="5" t="s">
        <v>2192</v>
      </c>
      <c r="B535" s="14" t="str">
        <f>VLOOKUP(TAB_ENTRADA[[#This Row],[Cod_2_Entrada]],TAB_ESTOQUE[[Codigo]:[Descrição Tecnica]],6,FALSE)</f>
        <v>MANCAL F205 FRM</v>
      </c>
      <c r="C535" s="14">
        <f>IFERROR(VLOOKUP(TAB_ENTRADA[[#This Row],[Cod_2_Entrada]],TAB_ESTOQUE[[Codigo]:[Referência Tec]],7,FALSE),"")</f>
        <v>0</v>
      </c>
      <c r="D535" s="14" t="str">
        <f>VLOOKUP(TAB_ENTRADA[[#This Row],[Cod_2_Entrada]],TAB_ESTOQUE[[Codigo]:[Endereço2]],12,FALSE)</f>
        <v>E1403</v>
      </c>
      <c r="E535" s="14">
        <f>SUM(TAB_ENTRADA[[#This Row],[20/05/2019]:[Colunas1]])</f>
        <v>2</v>
      </c>
      <c r="F535" s="3"/>
      <c r="FK535" s="3">
        <v>2</v>
      </c>
    </row>
    <row r="536" spans="1:167" x14ac:dyDescent="0.25">
      <c r="A536" s="5" t="s">
        <v>2193</v>
      </c>
      <c r="B536" s="14" t="str">
        <f>VLOOKUP(TAB_ENTRADA[[#This Row],[Cod_2_Entrada]],TAB_ESTOQUE[[Codigo]:[Descrição Tecnica]],6,FALSE)</f>
        <v xml:space="preserve">MANCAL P207 </v>
      </c>
      <c r="C536" s="14">
        <f>IFERROR(VLOOKUP(TAB_ENTRADA[[#This Row],[Cod_2_Entrada]],TAB_ESTOQUE[[Codigo]:[Referência Tec]],7,FALSE),"")</f>
        <v>0</v>
      </c>
      <c r="D536" s="14" t="str">
        <f>VLOOKUP(TAB_ENTRADA[[#This Row],[Cod_2_Entrada]],TAB_ESTOQUE[[Codigo]:[Endereço2]],12,FALSE)</f>
        <v>E1404</v>
      </c>
      <c r="E536" s="14">
        <f>SUM(TAB_ENTRADA[[#This Row],[20/05/2019]:[Colunas1]])</f>
        <v>10</v>
      </c>
      <c r="F536" s="3"/>
      <c r="FK536" s="3">
        <v>10</v>
      </c>
    </row>
    <row r="537" spans="1:167" x14ac:dyDescent="0.25">
      <c r="A537" s="5" t="s">
        <v>2194</v>
      </c>
      <c r="B537" s="14" t="str">
        <f>VLOOKUP(TAB_ENTRADA[[#This Row],[Cod_2_Entrada]],TAB_ESTOQUE[[Codigo]:[Descrição Tecnica]],6,FALSE)</f>
        <v>MANCAL 504 SKF</v>
      </c>
      <c r="C537" s="14">
        <f>IFERROR(VLOOKUP(TAB_ENTRADA[[#This Row],[Cod_2_Entrada]],TAB_ESTOQUE[[Codigo]:[Referência Tec]],7,FALSE),"")</f>
        <v>0</v>
      </c>
      <c r="D537" s="14" t="str">
        <f>VLOOKUP(TAB_ENTRADA[[#This Row],[Cod_2_Entrada]],TAB_ESTOQUE[[Codigo]:[Endereço2]],12,FALSE)</f>
        <v>E1405</v>
      </c>
      <c r="E537" s="14">
        <f>SUM(TAB_ENTRADA[[#This Row],[20/05/2019]:[Colunas1]])</f>
        <v>1</v>
      </c>
      <c r="F537" s="3"/>
      <c r="FK537" s="3">
        <v>1</v>
      </c>
    </row>
    <row r="538" spans="1:167" x14ac:dyDescent="0.25">
      <c r="A538" s="5" t="s">
        <v>2195</v>
      </c>
      <c r="B538" s="14" t="str">
        <f>VLOOKUP(TAB_ENTRADA[[#This Row],[Cod_2_Entrada]],TAB_ESTOQUE[[Codigo]:[Descrição Tecnica]],6,FALSE)</f>
        <v>CONJUNTO SUPORTE PARA FIXAR CABEÇOTE DA GANTRY</v>
      </c>
      <c r="C538" s="14">
        <f>IFERROR(VLOOKUP(TAB_ENTRADA[[#This Row],[Cod_2_Entrada]],TAB_ESTOQUE[[Codigo]:[Referência Tec]],7,FALSE),"")</f>
        <v>0</v>
      </c>
      <c r="D538" s="14" t="str">
        <f>VLOOKUP(TAB_ENTRADA[[#This Row],[Cod_2_Entrada]],TAB_ESTOQUE[[Codigo]:[Endereço2]],12,FALSE)</f>
        <v>E1105</v>
      </c>
      <c r="E538" s="14">
        <f>SUM(TAB_ENTRADA[[#This Row],[20/05/2019]:[Colunas1]])</f>
        <v>1</v>
      </c>
      <c r="F538" s="3"/>
      <c r="FK538" s="3">
        <v>1</v>
      </c>
    </row>
    <row r="539" spans="1:167" x14ac:dyDescent="0.25">
      <c r="A539" s="5" t="s">
        <v>2196</v>
      </c>
      <c r="B539" s="14" t="str">
        <f>VLOOKUP(TAB_ENTRADA[[#This Row],[Cod_2_Entrada]],TAB_ESTOQUE[[Codigo]:[Descrição Tecnica]],6,FALSE)</f>
        <v>ENGRENAGEM DO FUSO DAS CALANDRAS</v>
      </c>
      <c r="C539" s="14">
        <f>IFERROR(VLOOKUP(TAB_ENTRADA[[#This Row],[Cod_2_Entrada]],TAB_ESTOQUE[[Codigo]:[Referência Tec]],7,FALSE),"")</f>
        <v>0</v>
      </c>
      <c r="D539" s="14" t="str">
        <f>VLOOKUP(TAB_ENTRADA[[#This Row],[Cod_2_Entrada]],TAB_ESTOQUE[[Codigo]:[Endereço2]],12,FALSE)</f>
        <v>E1302</v>
      </c>
      <c r="E539" s="14">
        <f>SUM(TAB_ENTRADA[[#This Row],[20/05/2019]:[Colunas1]])</f>
        <v>6</v>
      </c>
      <c r="F539" s="3"/>
      <c r="FK539" s="3">
        <v>6</v>
      </c>
    </row>
    <row r="540" spans="1:167" x14ac:dyDescent="0.25">
      <c r="A540" s="5" t="s">
        <v>2197</v>
      </c>
      <c r="B540" s="14" t="str">
        <f>VLOOKUP(TAB_ENTRADA[[#This Row],[Cod_2_Entrada]],TAB_ESTOQUE[[Codigo]:[Descrição Tecnica]],6,FALSE)</f>
        <v>ROLAMENTO 6300</v>
      </c>
      <c r="C540" s="14">
        <f>IFERROR(VLOOKUP(TAB_ENTRADA[[#This Row],[Cod_2_Entrada]],TAB_ESTOQUE[[Codigo]:[Referência Tec]],7,FALSE),"")</f>
        <v>0</v>
      </c>
      <c r="D540" s="14" t="str">
        <f>VLOOKUP(TAB_ENTRADA[[#This Row],[Cod_2_Entrada]],TAB_ESTOQUE[[Codigo]:[Endereço2]],12,FALSE)</f>
        <v>D2103</v>
      </c>
      <c r="E540" s="14">
        <f>SUM(TAB_ENTRADA[[#This Row],[20/05/2019]:[Colunas1]])</f>
        <v>12</v>
      </c>
      <c r="F540" s="3"/>
      <c r="FK540" s="3">
        <v>12</v>
      </c>
    </row>
    <row r="541" spans="1:167" x14ac:dyDescent="0.25">
      <c r="A541" s="5" t="s">
        <v>2198</v>
      </c>
      <c r="B541" s="14" t="str">
        <f>VLOOKUP(TAB_ENTRADA[[#This Row],[Cod_2_Entrada]],TAB_ESTOQUE[[Codigo]:[Descrição Tecnica]],6,FALSE)</f>
        <v>ROLAMENTO 6002</v>
      </c>
      <c r="C541" s="14">
        <f>IFERROR(VLOOKUP(TAB_ENTRADA[[#This Row],[Cod_2_Entrada]],TAB_ESTOQUE[[Codigo]:[Referência Tec]],7,FALSE),"")</f>
        <v>0</v>
      </c>
      <c r="D541" s="14" t="str">
        <f>VLOOKUP(TAB_ENTRADA[[#This Row],[Cod_2_Entrada]],TAB_ESTOQUE[[Codigo]:[Endereço2]],12,FALSE)</f>
        <v>D2104</v>
      </c>
      <c r="E541" s="14">
        <f>SUM(TAB_ENTRADA[[#This Row],[20/05/2019]:[Colunas1]])</f>
        <v>1</v>
      </c>
      <c r="F541" s="3"/>
      <c r="FK541" s="3">
        <v>1</v>
      </c>
    </row>
    <row r="542" spans="1:167" x14ac:dyDescent="0.25">
      <c r="A542" s="5" t="s">
        <v>2199</v>
      </c>
      <c r="B542" s="14" t="str">
        <f>VLOOKUP(TAB_ENTRADA[[#This Row],[Cod_2_Entrada]],TAB_ESTOQUE[[Codigo]:[Descrição Tecnica]],6,FALSE)</f>
        <v>ROLAMENTO 6204</v>
      </c>
      <c r="C542" s="14">
        <f>IFERROR(VLOOKUP(TAB_ENTRADA[[#This Row],[Cod_2_Entrada]],TAB_ESTOQUE[[Codigo]:[Referência Tec]],7,FALSE),"")</f>
        <v>0</v>
      </c>
      <c r="D542" s="14" t="str">
        <f>VLOOKUP(TAB_ENTRADA[[#This Row],[Cod_2_Entrada]],TAB_ESTOQUE[[Codigo]:[Endereço2]],12,FALSE)</f>
        <v>D2104</v>
      </c>
      <c r="E542" s="14">
        <f>SUM(TAB_ENTRADA[[#This Row],[20/05/2019]:[Colunas1]])</f>
        <v>13</v>
      </c>
      <c r="F542" s="3"/>
      <c r="FK542" s="3">
        <v>13</v>
      </c>
    </row>
    <row r="543" spans="1:167" x14ac:dyDescent="0.25">
      <c r="A543" s="5" t="s">
        <v>2200</v>
      </c>
      <c r="B543" s="14" t="str">
        <f>VLOOKUP(TAB_ENTRADA[[#This Row],[Cod_2_Entrada]],TAB_ESTOQUE[[Codigo]:[Descrição Tecnica]],6,FALSE)</f>
        <v>ROLAMENTO 6307 C3</v>
      </c>
      <c r="C543" s="14">
        <f>IFERROR(VLOOKUP(TAB_ENTRADA[[#This Row],[Cod_2_Entrada]],TAB_ESTOQUE[[Codigo]:[Referência Tec]],7,FALSE),"")</f>
        <v>0</v>
      </c>
      <c r="D543" s="14" t="str">
        <f>VLOOKUP(TAB_ENTRADA[[#This Row],[Cod_2_Entrada]],TAB_ESTOQUE[[Codigo]:[Endereço2]],12,FALSE)</f>
        <v>D2106</v>
      </c>
      <c r="E543" s="14">
        <f>SUM(TAB_ENTRADA[[#This Row],[20/05/2019]:[Colunas1]])</f>
        <v>1</v>
      </c>
      <c r="F543" s="3"/>
      <c r="FK543" s="3">
        <v>1</v>
      </c>
    </row>
    <row r="544" spans="1:167" x14ac:dyDescent="0.25">
      <c r="A544" s="5" t="s">
        <v>2201</v>
      </c>
      <c r="B544" s="14" t="str">
        <f>VLOOKUP(TAB_ENTRADA[[#This Row],[Cod_2_Entrada]],TAB_ESTOQUE[[Codigo]:[Descrição Tecnica]],6,FALSE)</f>
        <v>ROLAMENTO 6305</v>
      </c>
      <c r="C544" s="14">
        <f>IFERROR(VLOOKUP(TAB_ENTRADA[[#This Row],[Cod_2_Entrada]],TAB_ESTOQUE[[Codigo]:[Referência Tec]],7,FALSE),"")</f>
        <v>0</v>
      </c>
      <c r="D544" s="14" t="str">
        <f>VLOOKUP(TAB_ENTRADA[[#This Row],[Cod_2_Entrada]],TAB_ESTOQUE[[Codigo]:[Endereço2]],12,FALSE)</f>
        <v>D2106</v>
      </c>
      <c r="E544" s="14">
        <f>SUM(TAB_ENTRADA[[#This Row],[20/05/2019]:[Colunas1]])</f>
        <v>5</v>
      </c>
      <c r="F544" s="3"/>
      <c r="FK544" s="3">
        <v>5</v>
      </c>
    </row>
    <row r="545" spans="1:167" x14ac:dyDescent="0.25">
      <c r="A545" s="5" t="s">
        <v>2202</v>
      </c>
      <c r="B545" s="14" t="str">
        <f>VLOOKUP(TAB_ENTRADA[[#This Row],[Cod_2_Entrada]],TAB_ESTOQUE[[Codigo]:[Descrição Tecnica]],6,FALSE)</f>
        <v>ROLAMENTO 6205</v>
      </c>
      <c r="C545" s="14">
        <f>IFERROR(VLOOKUP(TAB_ENTRADA[[#This Row],[Cod_2_Entrada]],TAB_ESTOQUE[[Codigo]:[Referência Tec]],7,FALSE),"")</f>
        <v>0</v>
      </c>
      <c r="D545" s="14" t="str">
        <f>VLOOKUP(TAB_ENTRADA[[#This Row],[Cod_2_Entrada]],TAB_ESTOQUE[[Codigo]:[Endereço2]],12,FALSE)</f>
        <v>D2106</v>
      </c>
      <c r="E545" s="14">
        <f>SUM(TAB_ENTRADA[[#This Row],[20/05/2019]:[Colunas1]])</f>
        <v>8</v>
      </c>
      <c r="F545" s="3"/>
      <c r="FK545" s="3">
        <v>8</v>
      </c>
    </row>
    <row r="546" spans="1:167" x14ac:dyDescent="0.25">
      <c r="A546" s="5" t="s">
        <v>2203</v>
      </c>
      <c r="B546" s="14" t="str">
        <f>VLOOKUP(TAB_ENTRADA[[#This Row],[Cod_2_Entrada]],TAB_ESTOQUE[[Codigo]:[Descrição Tecnica]],6,FALSE)</f>
        <v>ROLAMENTO RÍGIDO DE ESFERA 16004 (SKF)</v>
      </c>
      <c r="C546" s="14">
        <f>IFERROR(VLOOKUP(TAB_ENTRADA[[#This Row],[Cod_2_Entrada]],TAB_ESTOQUE[[Codigo]:[Referência Tec]],7,FALSE),"")</f>
        <v>0</v>
      </c>
      <c r="D546" s="14" t="str">
        <f>VLOOKUP(TAB_ENTRADA[[#This Row],[Cod_2_Entrada]],TAB_ESTOQUE[[Codigo]:[Endereço2]],12,FALSE)</f>
        <v>D2104</v>
      </c>
      <c r="E546" s="14">
        <f>SUM(TAB_ENTRADA[[#This Row],[20/05/2019]:[Colunas1]])</f>
        <v>16</v>
      </c>
      <c r="F546" s="3"/>
      <c r="FK546" s="3">
        <v>16</v>
      </c>
    </row>
    <row r="547" spans="1:167" x14ac:dyDescent="0.25">
      <c r="A547" s="5" t="s">
        <v>2204</v>
      </c>
      <c r="B547" s="14" t="str">
        <f>VLOOKUP(TAB_ENTRADA[[#This Row],[Cod_2_Entrada]],TAB_ESTOQUE[[Codigo]:[Descrição Tecnica]],6,FALSE)</f>
        <v>ROLAMENTO SB203 (BRM)</v>
      </c>
      <c r="C547" s="14">
        <f>IFERROR(VLOOKUP(TAB_ENTRADA[[#This Row],[Cod_2_Entrada]],TAB_ESTOQUE[[Codigo]:[Referência Tec]],7,FALSE),"")</f>
        <v>0</v>
      </c>
      <c r="D547" s="14" t="str">
        <f>VLOOKUP(TAB_ENTRADA[[#This Row],[Cod_2_Entrada]],TAB_ESTOQUE[[Codigo]:[Endereço2]],12,FALSE)</f>
        <v>D2105</v>
      </c>
      <c r="E547" s="14">
        <f>SUM(TAB_ENTRADA[[#This Row],[20/05/2019]:[Colunas1]])</f>
        <v>7</v>
      </c>
      <c r="F547" s="3"/>
      <c r="FK547" s="3">
        <v>7</v>
      </c>
    </row>
    <row r="548" spans="1:167" x14ac:dyDescent="0.25">
      <c r="A548" s="5" t="s">
        <v>2205</v>
      </c>
      <c r="B548" s="14" t="str">
        <f>VLOOKUP(TAB_ENTRADA[[#This Row],[Cod_2_Entrada]],TAB_ESTOQUE[[Codigo]:[Descrição Tecnica]],6,FALSE)</f>
        <v>ROLAMENTO SB202-10 (BRM)</v>
      </c>
      <c r="C548" s="14">
        <f>IFERROR(VLOOKUP(TAB_ENTRADA[[#This Row],[Cod_2_Entrada]],TAB_ESTOQUE[[Codigo]:[Referência Tec]],7,FALSE),"")</f>
        <v>0</v>
      </c>
      <c r="D548" s="14" t="str">
        <f>VLOOKUP(TAB_ENTRADA[[#This Row],[Cod_2_Entrada]],TAB_ESTOQUE[[Codigo]:[Endereço2]],12,FALSE)</f>
        <v>D2105</v>
      </c>
      <c r="E548" s="14">
        <f>SUM(TAB_ENTRADA[[#This Row],[20/05/2019]:[Colunas1]])</f>
        <v>3</v>
      </c>
      <c r="F548" s="3"/>
      <c r="FK548" s="3">
        <v>3</v>
      </c>
    </row>
    <row r="549" spans="1:167" x14ac:dyDescent="0.25">
      <c r="A549" s="5" t="s">
        <v>2206</v>
      </c>
      <c r="B549" s="14" t="str">
        <f>VLOOKUP(TAB_ENTRADA[[#This Row],[Cod_2_Entrada]],TAB_ESTOQUE[[Codigo]:[Descrição Tecnica]],6,FALSE)</f>
        <v>ROLAMENTO UC207 (F&amp;D)</v>
      </c>
      <c r="C549" s="14">
        <f>IFERROR(VLOOKUP(TAB_ENTRADA[[#This Row],[Cod_2_Entrada]],TAB_ESTOQUE[[Codigo]:[Referência Tec]],7,FALSE),"")</f>
        <v>0</v>
      </c>
      <c r="D549" s="14" t="str">
        <f>VLOOKUP(TAB_ENTRADA[[#This Row],[Cod_2_Entrada]],TAB_ESTOQUE[[Codigo]:[Endereço2]],12,FALSE)</f>
        <v>D2105</v>
      </c>
      <c r="E549" s="14">
        <f>SUM(TAB_ENTRADA[[#This Row],[20/05/2019]:[Colunas1]])</f>
        <v>1</v>
      </c>
      <c r="F549" s="3"/>
      <c r="FK549" s="3">
        <v>1</v>
      </c>
    </row>
    <row r="550" spans="1:167" x14ac:dyDescent="0.25">
      <c r="A550" s="5" t="s">
        <v>2207</v>
      </c>
      <c r="B550" s="14" t="str">
        <f>VLOOKUP(TAB_ENTRADA[[#This Row],[Cod_2_Entrada]],TAB_ESTOQUE[[Codigo]:[Descrição Tecnica]],6,FALSE)</f>
        <v>VALULA PNEUMATICA DSG-01-3C2-D24-N1 YUKEN-N.C.M 8481.20.90 DSG-01-3C2-D24-N1</v>
      </c>
      <c r="C550" s="14">
        <f>IFERROR(VLOOKUP(TAB_ENTRADA[[#This Row],[Cod_2_Entrada]],TAB_ESTOQUE[[Codigo]:[Referência Tec]],7,FALSE),"")</f>
        <v>0</v>
      </c>
      <c r="D550" s="14" t="str">
        <f>VLOOKUP(TAB_ENTRADA[[#This Row],[Cod_2_Entrada]],TAB_ESTOQUE[[Codigo]:[Endereço2]],12,FALSE)</f>
        <v>C2204</v>
      </c>
      <c r="E550" s="14">
        <f>SUM(TAB_ENTRADA[[#This Row],[20/05/2019]:[Colunas1]])</f>
        <v>2</v>
      </c>
      <c r="F550" s="3"/>
      <c r="FK550" s="3">
        <v>2</v>
      </c>
    </row>
    <row r="551" spans="1:167" x14ac:dyDescent="0.25">
      <c r="A551" s="5" t="s">
        <v>2208</v>
      </c>
      <c r="B551" s="14" t="str">
        <f>VLOOKUP(TAB_ENTRADA[[#This Row],[Cod_2_Entrada]],TAB_ESTOQUE[[Codigo]:[Descrição Tecnica]],6,FALSE)</f>
        <v>ROLAMENTO UC203 (POWELL)</v>
      </c>
      <c r="C551" s="14">
        <f>IFERROR(VLOOKUP(TAB_ENTRADA[[#This Row],[Cod_2_Entrada]],TAB_ESTOQUE[[Codigo]:[Referência Tec]],7,FALSE),"")</f>
        <v>0</v>
      </c>
      <c r="D551" s="14" t="str">
        <f>VLOOKUP(TAB_ENTRADA[[#This Row],[Cod_2_Entrada]],TAB_ESTOQUE[[Codigo]:[Endereço2]],12,FALSE)</f>
        <v>D2105</v>
      </c>
      <c r="E551" s="14">
        <f>SUM(TAB_ENTRADA[[#This Row],[20/05/2019]:[Colunas1]])</f>
        <v>6</v>
      </c>
      <c r="F551" s="3"/>
      <c r="FK551" s="3">
        <v>6</v>
      </c>
    </row>
    <row r="552" spans="1:167" x14ac:dyDescent="0.25">
      <c r="A552" s="5" t="s">
        <v>2209</v>
      </c>
      <c r="B552" s="14" t="str">
        <f>VLOOKUP(TAB_ENTRADA[[#This Row],[Cod_2_Entrada]],TAB_ESTOQUE[[Codigo]:[Descrição Tecnica]],6,FALSE)</f>
        <v>ROLAMENTO RÍGIDO DE ESFERA 6005-2z (SKF)</v>
      </c>
      <c r="C552" s="14">
        <f>IFERROR(VLOOKUP(TAB_ENTRADA[[#This Row],[Cod_2_Entrada]],TAB_ESTOQUE[[Codigo]:[Referência Tec]],7,FALSE),"")</f>
        <v>0</v>
      </c>
      <c r="D552" s="14" t="str">
        <f>VLOOKUP(TAB_ENTRADA[[#This Row],[Cod_2_Entrada]],TAB_ESTOQUE[[Codigo]:[Endereço2]],12,FALSE)</f>
        <v>D2103</v>
      </c>
      <c r="E552" s="14">
        <f>SUM(TAB_ENTRADA[[#This Row],[20/05/2019]:[Colunas1]])</f>
        <v>13</v>
      </c>
      <c r="F552" s="3"/>
      <c r="FK552" s="3">
        <v>13</v>
      </c>
    </row>
    <row r="553" spans="1:167" x14ac:dyDescent="0.25">
      <c r="A553" s="5" t="s">
        <v>2210</v>
      </c>
      <c r="B553" s="14" t="str">
        <f>VLOOKUP(TAB_ENTRADA[[#This Row],[Cod_2_Entrada]],TAB_ESTOQUE[[Codigo]:[Descrição Tecnica]],6,FALSE)</f>
        <v>ROLAMENTO 6201</v>
      </c>
      <c r="C553" s="14">
        <f>IFERROR(VLOOKUP(TAB_ENTRADA[[#This Row],[Cod_2_Entrada]],TAB_ESTOQUE[[Codigo]:[Referência Tec]],7,FALSE),"")</f>
        <v>0</v>
      </c>
      <c r="D553" s="14" t="str">
        <f>VLOOKUP(TAB_ENTRADA[[#This Row],[Cod_2_Entrada]],TAB_ESTOQUE[[Codigo]:[Endereço2]],12,FALSE)</f>
        <v>D2103</v>
      </c>
      <c r="E553" s="14">
        <f>SUM(TAB_ENTRADA[[#This Row],[20/05/2019]:[Colunas1]])</f>
        <v>12</v>
      </c>
      <c r="F553" s="3"/>
      <c r="FK553" s="3">
        <v>12</v>
      </c>
    </row>
    <row r="554" spans="1:167" x14ac:dyDescent="0.25">
      <c r="A554" s="5" t="s">
        <v>2211</v>
      </c>
      <c r="B554" s="14" t="str">
        <f>VLOOKUP(TAB_ENTRADA[[#This Row],[Cod_2_Entrada]],TAB_ESTOQUE[[Codigo]:[Descrição Tecnica]],6,FALSE)</f>
        <v>ROLAMENTO RÍGIDO DE ESFERA 6304 (SKF)</v>
      </c>
      <c r="C554" s="14">
        <f>IFERROR(VLOOKUP(TAB_ENTRADA[[#This Row],[Cod_2_Entrada]],TAB_ESTOQUE[[Codigo]:[Referência Tec]],7,FALSE),"")</f>
        <v>0</v>
      </c>
      <c r="D554" s="14" t="str">
        <f>VLOOKUP(TAB_ENTRADA[[#This Row],[Cod_2_Entrada]],TAB_ESTOQUE[[Codigo]:[Endereço2]],12,FALSE)</f>
        <v>D2103</v>
      </c>
      <c r="E554" s="14">
        <f>SUM(TAB_ENTRADA[[#This Row],[20/05/2019]:[Colunas1]])</f>
        <v>17</v>
      </c>
      <c r="F554" s="3"/>
      <c r="FK554" s="3">
        <v>17</v>
      </c>
    </row>
    <row r="555" spans="1:167" x14ac:dyDescent="0.25">
      <c r="A555" s="5" t="s">
        <v>2212</v>
      </c>
      <c r="B555" s="14" t="str">
        <f>VLOOKUP(TAB_ENTRADA[[#This Row],[Cod_2_Entrada]],TAB_ESTOQUE[[Codigo]:[Descrição Tecnica]],6,FALSE)</f>
        <v>ROLAMENTO AUTOCOMPENSADOR DE ESFERA 1204K C3</v>
      </c>
      <c r="C555" s="14">
        <f>IFERROR(VLOOKUP(TAB_ENTRADA[[#This Row],[Cod_2_Entrada]],TAB_ESTOQUE[[Codigo]:[Referência Tec]],7,FALSE),"")</f>
        <v>0</v>
      </c>
      <c r="D555" s="14" t="str">
        <f>VLOOKUP(TAB_ENTRADA[[#This Row],[Cod_2_Entrada]],TAB_ESTOQUE[[Codigo]:[Endereço2]],12,FALSE)</f>
        <v>D2103</v>
      </c>
      <c r="E555" s="14">
        <f>SUM(TAB_ENTRADA[[#This Row],[20/05/2019]:[Colunas1]])</f>
        <v>4</v>
      </c>
      <c r="F555" s="3"/>
      <c r="FK555" s="3">
        <v>4</v>
      </c>
    </row>
    <row r="556" spans="1:167" x14ac:dyDescent="0.25">
      <c r="A556" s="5" t="s">
        <v>2213</v>
      </c>
      <c r="B556" s="14" t="str">
        <f>VLOOKUP(TAB_ENTRADA[[#This Row],[Cod_2_Entrada]],TAB_ESTOQUE[[Codigo]:[Descrição Tecnica]],6,FALSE)</f>
        <v>ROLAMENTO RÍGIDO DE ESFERA 62305-2RS1 (SKF)</v>
      </c>
      <c r="C556" s="14">
        <f>IFERROR(VLOOKUP(TAB_ENTRADA[[#This Row],[Cod_2_Entrada]],TAB_ESTOQUE[[Codigo]:[Referência Tec]],7,FALSE),"")</f>
        <v>0</v>
      </c>
      <c r="D556" s="14" t="str">
        <f>VLOOKUP(TAB_ENTRADA[[#This Row],[Cod_2_Entrada]],TAB_ESTOQUE[[Codigo]:[Endereço2]],12,FALSE)</f>
        <v>D2103</v>
      </c>
      <c r="E556" s="14">
        <f>SUM(TAB_ENTRADA[[#This Row],[20/05/2019]:[Colunas1]])</f>
        <v>5</v>
      </c>
      <c r="F556" s="3"/>
      <c r="FK556" s="3">
        <v>5</v>
      </c>
    </row>
    <row r="557" spans="1:167" x14ac:dyDescent="0.25">
      <c r="A557" s="5" t="s">
        <v>2214</v>
      </c>
      <c r="B557" s="14" t="str">
        <f>VLOOKUP(TAB_ENTRADA[[#This Row],[Cod_2_Entrada]],TAB_ESTOQUE[[Codigo]:[Descrição Tecnica]],6,FALSE)</f>
        <v>ROLAMENTO Y208-V22 (FRM)</v>
      </c>
      <c r="C557" s="14">
        <f>IFERROR(VLOOKUP(TAB_ENTRADA[[#This Row],[Cod_2_Entrada]],TAB_ESTOQUE[[Codigo]:[Referência Tec]],7,FALSE),"")</f>
        <v>0</v>
      </c>
      <c r="D557" s="14" t="str">
        <f>VLOOKUP(TAB_ENTRADA[[#This Row],[Cod_2_Entrada]],TAB_ESTOQUE[[Codigo]:[Endereço2]],12,FALSE)</f>
        <v>G2106</v>
      </c>
      <c r="E557" s="14">
        <f>SUM(TAB_ENTRADA[[#This Row],[20/05/2019]:[Colunas1]])</f>
        <v>1</v>
      </c>
      <c r="F557" s="3"/>
      <c r="FK557" s="3">
        <v>1</v>
      </c>
    </row>
    <row r="558" spans="1:167" x14ac:dyDescent="0.25">
      <c r="A558" s="5" t="s">
        <v>2215</v>
      </c>
      <c r="B558" s="14" t="str">
        <f>VLOOKUP(TAB_ENTRADA[[#This Row],[Cod_2_Entrada]],TAB_ESTOQUE[[Codigo]:[Descrição Tecnica]],6,FALSE)</f>
        <v>ROLAMENTO 5205 (SKF)</v>
      </c>
      <c r="C558" s="14">
        <f>IFERROR(VLOOKUP(TAB_ENTRADA[[#This Row],[Cod_2_Entrada]],TAB_ESTOQUE[[Codigo]:[Referência Tec]],7,FALSE),"")</f>
        <v>0</v>
      </c>
      <c r="D558" s="14" t="str">
        <f>VLOOKUP(TAB_ENTRADA[[#This Row],[Cod_2_Entrada]],TAB_ESTOQUE[[Codigo]:[Endereço2]],12,FALSE)</f>
        <v>D2103</v>
      </c>
      <c r="E558" s="14">
        <f>SUM(TAB_ENTRADA[[#This Row],[20/05/2019]:[Colunas1]])</f>
        <v>6</v>
      </c>
      <c r="F558" s="3"/>
      <c r="FK558" s="3">
        <v>6</v>
      </c>
    </row>
    <row r="559" spans="1:167" x14ac:dyDescent="0.25">
      <c r="A559" s="5" t="s">
        <v>2216</v>
      </c>
      <c r="B559" s="14" t="str">
        <f>VLOOKUP(TAB_ENTRADA[[#This Row],[Cod_2_Entrada]],TAB_ESTOQUE[[Codigo]:[Descrição Tecnica]],6,FALSE)</f>
        <v>ROLAMENTO 30209 (FRM)</v>
      </c>
      <c r="C559" s="14">
        <f>IFERROR(VLOOKUP(TAB_ENTRADA[[#This Row],[Cod_2_Entrada]],TAB_ESTOQUE[[Codigo]:[Referência Tec]],7,FALSE),"")</f>
        <v>0</v>
      </c>
      <c r="D559" s="14" t="str">
        <f>VLOOKUP(TAB_ENTRADA[[#This Row],[Cod_2_Entrada]],TAB_ESTOQUE[[Codigo]:[Endereço2]],12,FALSE)</f>
        <v>D2103</v>
      </c>
      <c r="E559" s="14">
        <f>SUM(TAB_ENTRADA[[#This Row],[20/05/2019]:[Colunas1]])</f>
        <v>4</v>
      </c>
      <c r="F559" s="3"/>
      <c r="FK559" s="3">
        <v>4</v>
      </c>
    </row>
    <row r="560" spans="1:167" x14ac:dyDescent="0.25">
      <c r="A560" s="5" t="s">
        <v>2217</v>
      </c>
      <c r="B560" s="14" t="str">
        <f>VLOOKUP(TAB_ENTRADA[[#This Row],[Cod_2_Entrada]],TAB_ESTOQUE[[Codigo]:[Descrição Tecnica]],6,FALSE)</f>
        <v>ROLAMENTO RÍGIDO DE ESFERA 6009DDU (SKF)</v>
      </c>
      <c r="C560" s="14">
        <f>IFERROR(VLOOKUP(TAB_ENTRADA[[#This Row],[Cod_2_Entrada]],TAB_ESTOQUE[[Codigo]:[Referência Tec]],7,FALSE),"")</f>
        <v>0</v>
      </c>
      <c r="D560" s="14" t="str">
        <f>VLOOKUP(TAB_ENTRADA[[#This Row],[Cod_2_Entrada]],TAB_ESTOQUE[[Codigo]:[Endereço2]],12,FALSE)</f>
        <v>D2104</v>
      </c>
      <c r="E560" s="14">
        <f>SUM(TAB_ENTRADA[[#This Row],[20/05/2019]:[Colunas1]])</f>
        <v>7</v>
      </c>
      <c r="F560" s="3"/>
      <c r="FK560" s="3">
        <v>7</v>
      </c>
    </row>
    <row r="561" spans="1:215" x14ac:dyDescent="0.25">
      <c r="A561" s="5" t="s">
        <v>2218</v>
      </c>
      <c r="B561" s="14" t="str">
        <f>VLOOKUP(TAB_ENTRADA[[#This Row],[Cod_2_Entrada]],TAB_ESTOQUE[[Codigo]:[Descrição Tecnica]],6,FALSE)</f>
        <v>ROLAMENTO 6007 (SKF)</v>
      </c>
      <c r="C561" s="14">
        <f>IFERROR(VLOOKUP(TAB_ENTRADA[[#This Row],[Cod_2_Entrada]],TAB_ESTOQUE[[Codigo]:[Referência Tec]],7,FALSE),"")</f>
        <v>0</v>
      </c>
      <c r="D561" s="14" t="str">
        <f>VLOOKUP(TAB_ENTRADA[[#This Row],[Cod_2_Entrada]],TAB_ESTOQUE[[Codigo]:[Endereço2]],12,FALSE)</f>
        <v>D2103</v>
      </c>
      <c r="E561" s="14">
        <f>SUM(TAB_ENTRADA[[#This Row],[20/05/2019]:[Colunas1]])</f>
        <v>14</v>
      </c>
      <c r="F561" s="3"/>
      <c r="FK561" s="3">
        <v>14</v>
      </c>
    </row>
    <row r="562" spans="1:215" x14ac:dyDescent="0.25">
      <c r="A562" s="5" t="s">
        <v>2219</v>
      </c>
      <c r="B562" s="14" t="str">
        <f>VLOOKUP(TAB_ENTRADA[[#This Row],[Cod_2_Entrada]],TAB_ESTOQUE[[Codigo]:[Descrição Tecnica]],6,FALSE)</f>
        <v>SELO MECANICO TIPO MOLAS MULTIPLAS - DS 22 MM FACES CARVAO x SEDE CR-NI x VEDACOES EM CHEMRAZ 1150 RPM x 7 M3 / H x 3 BAR x 2 CST x 250ºC</v>
      </c>
      <c r="C562" s="14">
        <f>IFERROR(VLOOKUP(TAB_ENTRADA[[#This Row],[Cod_2_Entrada]],TAB_ESTOQUE[[Codigo]:[Referência Tec]],7,FALSE),"")</f>
        <v>0</v>
      </c>
      <c r="D562" s="14" t="str">
        <f>VLOOKUP(TAB_ENTRADA[[#This Row],[Cod_2_Entrada]],TAB_ESTOQUE[[Codigo]:[Endereço2]],12,FALSE)</f>
        <v>D1202</v>
      </c>
      <c r="E562" s="14">
        <f>SUM(TAB_ENTRADA[[#This Row],[20/05/2019]:[Colunas1]])</f>
        <v>6</v>
      </c>
      <c r="F562" s="3"/>
      <c r="FK562" s="3">
        <v>3</v>
      </c>
      <c r="HG562" s="3">
        <v>3</v>
      </c>
    </row>
    <row r="563" spans="1:215" x14ac:dyDescent="0.25">
      <c r="A563" s="5" t="s">
        <v>2220</v>
      </c>
      <c r="B563" s="14" t="str">
        <f>VLOOKUP(TAB_ENTRADA[[#This Row],[Cod_2_Entrada]],TAB_ESTOQUE[[Codigo]:[Descrição Tecnica]],6,FALSE)</f>
        <v>ROLAMENTO AUTOCOMPENSADOR DE ESFERA 2208 E-2RS1TN9 (SKF)</v>
      </c>
      <c r="C563" s="14">
        <f>IFERROR(VLOOKUP(TAB_ENTRADA[[#This Row],[Cod_2_Entrada]],TAB_ESTOQUE[[Codigo]:[Referência Tec]],7,FALSE),"")</f>
        <v>0</v>
      </c>
      <c r="D563" s="14" t="str">
        <f>VLOOKUP(TAB_ENTRADA[[#This Row],[Cod_2_Entrada]],TAB_ESTOQUE[[Codigo]:[Endereço2]],12,FALSE)</f>
        <v>D2102</v>
      </c>
      <c r="E563" s="14">
        <f>SUM(TAB_ENTRADA[[#This Row],[20/05/2019]:[Colunas1]])</f>
        <v>24</v>
      </c>
      <c r="F563" s="3"/>
      <c r="FK563" s="3">
        <v>24</v>
      </c>
    </row>
    <row r="564" spans="1:215" x14ac:dyDescent="0.25">
      <c r="A564" s="5" t="s">
        <v>2221</v>
      </c>
      <c r="B564" s="14" t="str">
        <f>VLOOKUP(TAB_ENTRADA[[#This Row],[Cod_2_Entrada]],TAB_ESTOQUE[[Codigo]:[Descrição Tecnica]],6,FALSE)</f>
        <v>ROLAMENTO UK210</v>
      </c>
      <c r="C564" s="14">
        <f>IFERROR(VLOOKUP(TAB_ENTRADA[[#This Row],[Cod_2_Entrada]],TAB_ESTOQUE[[Codigo]:[Referência Tec]],7,FALSE),"")</f>
        <v>0</v>
      </c>
      <c r="D564" s="14" t="str">
        <f>VLOOKUP(TAB_ENTRADA[[#This Row],[Cod_2_Entrada]],TAB_ESTOQUE[[Codigo]:[Endereço2]],12,FALSE)</f>
        <v>D2106</v>
      </c>
      <c r="E564" s="14">
        <f>SUM(TAB_ENTRADA[[#This Row],[20/05/2019]:[Colunas1]])</f>
        <v>4</v>
      </c>
      <c r="F564" s="3"/>
      <c r="FK564" s="3">
        <v>4</v>
      </c>
    </row>
    <row r="565" spans="1:215" x14ac:dyDescent="0.25">
      <c r="A565" s="5" t="s">
        <v>2222</v>
      </c>
      <c r="B565" s="14" t="str">
        <f>VLOOKUP(TAB_ENTRADA[[#This Row],[Cod_2_Entrada]],TAB_ESTOQUE[[Codigo]:[Descrição Tecnica]],6,FALSE)</f>
        <v>MANCAL DO FORNO P212</v>
      </c>
      <c r="C565" s="14">
        <f>IFERROR(VLOOKUP(TAB_ENTRADA[[#This Row],[Cod_2_Entrada]],TAB_ESTOQUE[[Codigo]:[Referência Tec]],7,FALSE),"")</f>
        <v>0</v>
      </c>
      <c r="D565" s="14" t="str">
        <f>VLOOKUP(TAB_ENTRADA[[#This Row],[Cod_2_Entrada]],TAB_ESTOQUE[[Codigo]:[Endereço2]],12,FALSE)</f>
        <v>E1404</v>
      </c>
      <c r="E565" s="14">
        <f>SUM(TAB_ENTRADA[[#This Row],[20/05/2019]:[Colunas1]])</f>
        <v>4</v>
      </c>
      <c r="F565" s="3"/>
      <c r="FK565" s="3">
        <v>4</v>
      </c>
    </row>
    <row r="566" spans="1:215" x14ac:dyDescent="0.25">
      <c r="A566" s="5" t="s">
        <v>2223</v>
      </c>
      <c r="B566" s="14" t="str">
        <f>VLOOKUP(TAB_ENTRADA[[#This Row],[Cod_2_Entrada]],TAB_ESTOQUE[[Codigo]:[Descrição Tecnica]],6,FALSE)</f>
        <v>MANCAL  COM ROLAMENTO PSHE30-N</v>
      </c>
      <c r="C566" s="14">
        <f>IFERROR(VLOOKUP(TAB_ENTRADA[[#This Row],[Cod_2_Entrada]],TAB_ESTOQUE[[Codigo]:[Referência Tec]],7,FALSE),"")</f>
        <v>0</v>
      </c>
      <c r="D566" s="14" t="str">
        <f>VLOOKUP(TAB_ENTRADA[[#This Row],[Cod_2_Entrada]],TAB_ESTOQUE[[Codigo]:[Endereço2]],12,FALSE)</f>
        <v>G1106</v>
      </c>
      <c r="E566" s="14">
        <f>SUM(TAB_ENTRADA[[#This Row],[20/05/2019]:[Colunas1]])</f>
        <v>4</v>
      </c>
      <c r="F566" s="3"/>
      <c r="FK566" s="3">
        <v>4</v>
      </c>
    </row>
    <row r="567" spans="1:215" x14ac:dyDescent="0.25">
      <c r="A567" s="5" t="s">
        <v>2224</v>
      </c>
      <c r="B567" s="14" t="str">
        <f>VLOOKUP(TAB_ENTRADA[[#This Row],[Cod_2_Entrada]],TAB_ESTOQUE[[Codigo]:[Descrição Tecnica]],6,FALSE)</f>
        <v>MANCAL P208 (F &amp; D)</v>
      </c>
      <c r="C567" s="14">
        <f>IFERROR(VLOOKUP(TAB_ENTRADA[[#This Row],[Cod_2_Entrada]],TAB_ESTOQUE[[Codigo]:[Referência Tec]],7,FALSE),"")</f>
        <v>0</v>
      </c>
      <c r="D567" s="14" t="str">
        <f>VLOOKUP(TAB_ENTRADA[[#This Row],[Cod_2_Entrada]],TAB_ESTOQUE[[Codigo]:[Endereço2]],12,FALSE)</f>
        <v>G1106</v>
      </c>
      <c r="E567" s="14">
        <f>SUM(TAB_ENTRADA[[#This Row],[20/05/2019]:[Colunas1]])</f>
        <v>1</v>
      </c>
      <c r="F567" s="3"/>
      <c r="FK567" s="3">
        <v>1</v>
      </c>
    </row>
    <row r="568" spans="1:215" x14ac:dyDescent="0.25">
      <c r="A568" s="5" t="s">
        <v>2225</v>
      </c>
      <c r="B568" s="14" t="str">
        <f>VLOOKUP(TAB_ENTRADA[[#This Row],[Cod_2_Entrada]],TAB_ESTOQUE[[Codigo]:[Descrição Tecnica]],6,FALSE)</f>
        <v>MANCAL FL208 FK</v>
      </c>
      <c r="C568" s="14">
        <f>IFERROR(VLOOKUP(TAB_ENTRADA[[#This Row],[Cod_2_Entrada]],TAB_ESTOQUE[[Codigo]:[Referência Tec]],7,FALSE),"")</f>
        <v>0</v>
      </c>
      <c r="D568" s="14" t="str">
        <f>VLOOKUP(TAB_ENTRADA[[#This Row],[Cod_2_Entrada]],TAB_ESTOQUE[[Codigo]:[Endereço2]],12,FALSE)</f>
        <v>E1404</v>
      </c>
      <c r="E568" s="14">
        <f>SUM(TAB_ENTRADA[[#This Row],[20/05/2019]:[Colunas1]])</f>
        <v>6</v>
      </c>
      <c r="F568" s="3"/>
      <c r="FK568" s="3">
        <v>6</v>
      </c>
    </row>
    <row r="569" spans="1:215" x14ac:dyDescent="0.25">
      <c r="A569" s="5" t="s">
        <v>2226</v>
      </c>
      <c r="B569" s="14" t="str">
        <f>VLOOKUP(TAB_ENTRADA[[#This Row],[Cod_2_Entrada]],TAB_ESTOQUE[[Codigo]:[Descrição Tecnica]],6,FALSE)</f>
        <v>SERPENTINA PARA EIXO 2 (NEW COIL AXIS 2 FOR FILTER LINE 1/4" COIL 16000) PN 305313 KMT WJ (DSR)</v>
      </c>
      <c r="C569" s="14">
        <f>IFERROR(VLOOKUP(TAB_ENTRADA[[#This Row],[Cod_2_Entrada]],TAB_ESTOQUE[[Codigo]:[Referência Tec]],7,FALSE),"")</f>
        <v>0</v>
      </c>
      <c r="D569" s="14" t="str">
        <f>VLOOKUP(TAB_ENTRADA[[#This Row],[Cod_2_Entrada]],TAB_ESTOQUE[[Codigo]:[Endereço2]],12,FALSE)</f>
        <v>D2201</v>
      </c>
      <c r="E569" s="14">
        <f>SUM(TAB_ENTRADA[[#This Row],[20/05/2019]:[Colunas1]])</f>
        <v>1</v>
      </c>
      <c r="F569" s="3"/>
      <c r="GH569" s="3">
        <v>1</v>
      </c>
    </row>
    <row r="570" spans="1:215" x14ac:dyDescent="0.25">
      <c r="A570" s="5" t="s">
        <v>2227</v>
      </c>
      <c r="B570" s="14" t="str">
        <f>VLOOKUP(TAB_ENTRADA[[#This Row],[Cod_2_Entrada]],TAB_ESTOQUE[[Codigo]:[Descrição Tecnica]],6,FALSE)</f>
        <v>SERPENTINA PARA EIXO 1 (SPIRE AXIS 1 ROBOT IRB 1600 COIL) PN 304415 KMT WJ  (DSR)</v>
      </c>
      <c r="C570" s="14">
        <f>IFERROR(VLOOKUP(TAB_ENTRADA[[#This Row],[Cod_2_Entrada]],TAB_ESTOQUE[[Codigo]:[Referência Tec]],7,FALSE),"")</f>
        <v>0</v>
      </c>
      <c r="D570" s="14" t="str">
        <f>VLOOKUP(TAB_ENTRADA[[#This Row],[Cod_2_Entrada]],TAB_ESTOQUE[[Codigo]:[Endereço2]],12,FALSE)</f>
        <v>D2201</v>
      </c>
      <c r="E570" s="14">
        <f>SUM(TAB_ENTRADA[[#This Row],[20/05/2019]:[Colunas1]])</f>
        <v>1</v>
      </c>
      <c r="F570" s="3"/>
      <c r="FK570" s="3">
        <v>0</v>
      </c>
      <c r="GH570" s="3">
        <v>1</v>
      </c>
    </row>
    <row r="571" spans="1:215" x14ac:dyDescent="0.25">
      <c r="A571" s="5" t="s">
        <v>2228</v>
      </c>
      <c r="B571" s="14" t="str">
        <f>VLOOKUP(TAB_ENTRADA[[#This Row],[Cod_2_Entrada]],TAB_ESTOQUE[[Codigo]:[Descrição Tecnica]],6,FALSE)</f>
        <v>SERPENTINA PARA EIXO 3 (SPIRE AXIS 3 ROBOT IRB 1600 COIL) PN 304297 KMT WJ  (DSR)</v>
      </c>
      <c r="C571" s="14">
        <f>IFERROR(VLOOKUP(TAB_ENTRADA[[#This Row],[Cod_2_Entrada]],TAB_ESTOQUE[[Codigo]:[Referência Tec]],7,FALSE),"")</f>
        <v>0</v>
      </c>
      <c r="D571" s="14" t="str">
        <f>VLOOKUP(TAB_ENTRADA[[#This Row],[Cod_2_Entrada]],TAB_ESTOQUE[[Codigo]:[Endereço2]],12,FALSE)</f>
        <v>D2201</v>
      </c>
      <c r="E571" s="14">
        <f>SUM(TAB_ENTRADA[[#This Row],[20/05/2019]:[Colunas1]])</f>
        <v>1</v>
      </c>
      <c r="F571" s="3"/>
      <c r="FK571" s="3">
        <v>0</v>
      </c>
      <c r="GH571" s="3">
        <v>1</v>
      </c>
    </row>
    <row r="572" spans="1:215" x14ac:dyDescent="0.25">
      <c r="A572" s="5" t="s">
        <v>2229</v>
      </c>
      <c r="B572" s="14" t="str">
        <f>VLOOKUP(TAB_ENTRADA[[#This Row],[Cod_2_Entrada]],TAB_ESTOQUE[[Codigo]:[Descrição Tecnica]],6,FALSE)</f>
        <v>BOMBA DE AGUA REF: PA0301HHCDN0034 9P2</v>
      </c>
      <c r="C572" s="14">
        <f>IFERROR(VLOOKUP(TAB_ENTRADA[[#This Row],[Cod_2_Entrada]],TAB_ESTOQUE[[Codigo]:[Referência Tec]],7,FALSE),"")</f>
        <v>0</v>
      </c>
      <c r="D572" s="14" t="str">
        <f>VLOOKUP(TAB_ENTRADA[[#This Row],[Cod_2_Entrada]],TAB_ESTOQUE[[Codigo]:[Endereço2]],12,FALSE)</f>
        <v>D1202</v>
      </c>
      <c r="E572" s="14">
        <f>SUM(TAB_ENTRADA[[#This Row],[20/05/2019]:[Colunas1]])</f>
        <v>3</v>
      </c>
      <c r="F572" s="3"/>
      <c r="FK572" s="3">
        <v>3</v>
      </c>
    </row>
    <row r="573" spans="1:215" x14ac:dyDescent="0.25">
      <c r="A573" s="5" t="s">
        <v>2230</v>
      </c>
      <c r="B573" s="14" t="str">
        <f>VLOOKUP(TAB_ENTRADA[[#This Row],[Cod_2_Entrada]],TAB_ESTOQUE[[Codigo]:[Descrição Tecnica]],6,FALSE)</f>
        <v>FILTRO W.J PART : 05049689</v>
      </c>
      <c r="C573" s="14">
        <f>IFERROR(VLOOKUP(TAB_ENTRADA[[#This Row],[Cod_2_Entrada]],TAB_ESTOQUE[[Codigo]:[Referência Tec]],7,FALSE),"")</f>
        <v>0</v>
      </c>
      <c r="D573" s="14" t="str">
        <f>VLOOKUP(TAB_ENTRADA[[#This Row],[Cod_2_Entrada]],TAB_ESTOQUE[[Codigo]:[Endereço2]],12,FALSE)</f>
        <v>C1405</v>
      </c>
      <c r="E573" s="14">
        <f>SUM(TAB_ENTRADA[[#This Row],[20/05/2019]:[Colunas1]])</f>
        <v>1</v>
      </c>
      <c r="F573" s="3"/>
      <c r="FK573" s="3">
        <v>1</v>
      </c>
    </row>
    <row r="574" spans="1:215" x14ac:dyDescent="0.25">
      <c r="A574" s="5" t="s">
        <v>2231</v>
      </c>
      <c r="B574" s="14" t="str">
        <f>VLOOKUP(TAB_ENTRADA[[#This Row],[Cod_2_Entrada]],TAB_ESTOQUE[[Codigo]:[Descrição Tecnica]],6,FALSE)</f>
        <v>SELO MECANICO TS-P 1" VITON</v>
      </c>
      <c r="C574" s="14">
        <f>IFERROR(VLOOKUP(TAB_ENTRADA[[#This Row],[Cod_2_Entrada]],TAB_ESTOQUE[[Codigo]:[Referência Tec]],7,FALSE),"")</f>
        <v>0</v>
      </c>
      <c r="D574" s="14" t="str">
        <f>VLOOKUP(TAB_ENTRADA[[#This Row],[Cod_2_Entrada]],TAB_ESTOQUE[[Codigo]:[Endereço2]],12,FALSE)</f>
        <v>D1202</v>
      </c>
      <c r="E574" s="14">
        <f>SUM(TAB_ENTRADA[[#This Row],[20/05/2019]:[Colunas1]])</f>
        <v>5</v>
      </c>
      <c r="F574" s="3"/>
      <c r="FK574" s="3">
        <v>5</v>
      </c>
    </row>
    <row r="575" spans="1:215" x14ac:dyDescent="0.25">
      <c r="A575" s="5" t="s">
        <v>2232</v>
      </c>
      <c r="B575" s="14" t="str">
        <f>VLOOKUP(TAB_ENTRADA[[#This Row],[Cod_2_Entrada]],TAB_ESTOQUE[[Codigo]:[Descrição Tecnica]],6,FALSE)</f>
        <v>TRANSDUTOR DE PRESSÃO TSA-E-1-Z-BV05-G-T-V-XP460 (GEFRA)</v>
      </c>
      <c r="C575" s="14">
        <f>IFERROR(VLOOKUP(TAB_ENTRADA[[#This Row],[Cod_2_Entrada]],TAB_ESTOQUE[[Codigo]:[Referência Tec]],7,FALSE),"")</f>
        <v>0</v>
      </c>
      <c r="D575" s="14" t="str">
        <f>VLOOKUP(TAB_ENTRADA[[#This Row],[Cod_2_Entrada]],TAB_ESTOQUE[[Codigo]:[Endereço2]],12,FALSE)</f>
        <v>A1104</v>
      </c>
      <c r="E575" s="14">
        <f>SUM(TAB_ENTRADA[[#This Row],[20/05/2019]:[Colunas1]])</f>
        <v>1</v>
      </c>
      <c r="F575" s="3"/>
      <c r="FK575" s="3">
        <v>1</v>
      </c>
    </row>
    <row r="576" spans="1:215" x14ac:dyDescent="0.25">
      <c r="A576" s="5" t="s">
        <v>2233</v>
      </c>
      <c r="B576" s="14" t="str">
        <f>VLOOKUP(TAB_ENTRADA[[#This Row],[Cod_2_Entrada]],TAB_ESTOQUE[[Codigo]:[Descrição Tecnica]],6,FALSE)</f>
        <v>CONECTOR PARA TRANSMISSOR DE PRESSÃO 5004109 (PARKER)</v>
      </c>
      <c r="C576" s="14">
        <f>IFERROR(VLOOKUP(TAB_ENTRADA[[#This Row],[Cod_2_Entrada]],TAB_ESTOQUE[[Codigo]:[Referência Tec]],7,FALSE),"")</f>
        <v>0</v>
      </c>
      <c r="D576" s="14" t="str">
        <f>VLOOKUP(TAB_ENTRADA[[#This Row],[Cod_2_Entrada]],TAB_ESTOQUE[[Codigo]:[Endereço2]],12,FALSE)</f>
        <v>A1104</v>
      </c>
      <c r="E576" s="14">
        <f>SUM(TAB_ENTRADA[[#This Row],[20/05/2019]:[Colunas1]])</f>
        <v>2</v>
      </c>
      <c r="F576" s="3"/>
      <c r="FK576" s="3">
        <v>2</v>
      </c>
    </row>
    <row r="577" spans="1:204" x14ac:dyDescent="0.25">
      <c r="A577" s="5" t="s">
        <v>2234</v>
      </c>
      <c r="B577" s="14" t="str">
        <f>VLOOKUP(TAB_ENTRADA[[#This Row],[Cod_2_Entrada]],TAB_ESTOQUE[[Codigo]:[Descrição Tecnica]],6,FALSE)</f>
        <v>RETENTOR 436275 28X42X8</v>
      </c>
      <c r="C577" s="14">
        <f>IFERROR(VLOOKUP(TAB_ENTRADA[[#This Row],[Cod_2_Entrada]],TAB_ESTOQUE[[Codigo]:[Referência Tec]],7,FALSE),"")</f>
        <v>0</v>
      </c>
      <c r="D577" s="14" t="str">
        <f>VLOOKUP(TAB_ENTRADA[[#This Row],[Cod_2_Entrada]],TAB_ESTOQUE[[Codigo]:[Endereço2]],12,FALSE)</f>
        <v>E1205</v>
      </c>
      <c r="E577" s="14">
        <f>SUM(TAB_ENTRADA[[#This Row],[20/05/2019]:[Colunas1]])</f>
        <v>2</v>
      </c>
      <c r="F577" s="3"/>
      <c r="FK577" s="3">
        <v>2</v>
      </c>
    </row>
    <row r="578" spans="1:204" x14ac:dyDescent="0.25">
      <c r="A578" s="5" t="s">
        <v>2235</v>
      </c>
      <c r="B578" s="14" t="str">
        <f>VLOOKUP(TAB_ENTRADA[[#This Row],[Cod_2_Entrada]],TAB_ESTOQUE[[Codigo]:[Descrição Tecnica]],6,FALSE)</f>
        <v>RETENTOR 30X42X7</v>
      </c>
      <c r="C578" s="14">
        <f>IFERROR(VLOOKUP(TAB_ENTRADA[[#This Row],[Cod_2_Entrada]],TAB_ESTOQUE[[Codigo]:[Referência Tec]],7,FALSE),"")</f>
        <v>0</v>
      </c>
      <c r="D578" s="14" t="str">
        <f>VLOOKUP(TAB_ENTRADA[[#This Row],[Cod_2_Entrada]],TAB_ESTOQUE[[Codigo]:[Endereço2]],12,FALSE)</f>
        <v>E1202</v>
      </c>
      <c r="E578" s="14">
        <f>SUM(TAB_ENTRADA[[#This Row],[20/05/2019]:[Colunas1]])</f>
        <v>13</v>
      </c>
      <c r="F578" s="3"/>
      <c r="FK578" s="3">
        <v>13</v>
      </c>
    </row>
    <row r="579" spans="1:204" x14ac:dyDescent="0.25">
      <c r="A579" s="5" t="s">
        <v>2236</v>
      </c>
      <c r="B579" s="14" t="str">
        <f>VLOOKUP(TAB_ENTRADA[[#This Row],[Cod_2_Entrada]],TAB_ESTOQUE[[Codigo]:[Descrição Tecnica]],6,FALSE)</f>
        <v>KIT REPARO PISTOLA VALCO MELTON 988XX344</v>
      </c>
      <c r="C579" s="14">
        <f>IFERROR(VLOOKUP(TAB_ENTRADA[[#This Row],[Cod_2_Entrada]],TAB_ESTOQUE[[Codigo]:[Referência Tec]],7,FALSE),"")</f>
        <v>0</v>
      </c>
      <c r="D579" s="14" t="str">
        <f>VLOOKUP(TAB_ENTRADA[[#This Row],[Cod_2_Entrada]],TAB_ESTOQUE[[Codigo]:[Endereço2]],12,FALSE)</f>
        <v>E2302</v>
      </c>
      <c r="E579" s="14">
        <f>SUM(TAB_ENTRADA[[#This Row],[20/05/2019]:[Colunas1]])</f>
        <v>2</v>
      </c>
      <c r="F579" s="3"/>
      <c r="FK579" s="3">
        <v>2</v>
      </c>
    </row>
    <row r="580" spans="1:204" x14ac:dyDescent="0.25">
      <c r="A580" s="5" t="s">
        <v>2237</v>
      </c>
      <c r="B580" s="14" t="str">
        <f>VLOOKUP(TAB_ENTRADA[[#This Row],[Cod_2_Entrada]],TAB_ESTOQUE[[Codigo]:[Descrição Tecnica]],6,FALSE)</f>
        <v>ANEL ELASTICO PARA EIXO 26,25</v>
      </c>
      <c r="C580" s="14">
        <f>IFERROR(VLOOKUP(TAB_ENTRADA[[#This Row],[Cod_2_Entrada]],TAB_ESTOQUE[[Codigo]:[Referência Tec]],7,FALSE),"")</f>
        <v>0</v>
      </c>
      <c r="D580" s="14" t="str">
        <f>VLOOKUP(TAB_ENTRADA[[#This Row],[Cod_2_Entrada]],TAB_ESTOQUE[[Codigo]:[Endereço2]],12,FALSE)</f>
        <v>E1304</v>
      </c>
      <c r="E580" s="14">
        <f>SUM(TAB_ENTRADA[[#This Row],[20/05/2019]:[Colunas1]])</f>
        <v>15</v>
      </c>
      <c r="F580" s="3"/>
      <c r="FK580" s="3">
        <v>15</v>
      </c>
    </row>
    <row r="581" spans="1:204" x14ac:dyDescent="0.25">
      <c r="A581" s="5" t="s">
        <v>2238</v>
      </c>
      <c r="B581" s="14" t="str">
        <f>VLOOKUP(TAB_ENTRADA[[#This Row],[Cod_2_Entrada]],TAB_ESTOQUE[[Codigo]:[Descrição Tecnica]],6,FALSE)</f>
        <v>AGULHA DA PISTOLA DE COLA GRACO 24A690 K19A</v>
      </c>
      <c r="C581" s="14">
        <f>IFERROR(VLOOKUP(TAB_ENTRADA[[#This Row],[Cod_2_Entrada]],TAB_ESTOQUE[[Codigo]:[Referência Tec]],7,FALSE),"")</f>
        <v>0</v>
      </c>
      <c r="D581" s="14" t="str">
        <f>VLOOKUP(TAB_ENTRADA[[#This Row],[Cod_2_Entrada]],TAB_ESTOQUE[[Codigo]:[Endereço2]],12,FALSE)</f>
        <v>E2303</v>
      </c>
      <c r="E581" s="14">
        <f>SUM(TAB_ENTRADA[[#This Row],[20/05/2019]:[Colunas1]])</f>
        <v>10</v>
      </c>
      <c r="F581" s="3"/>
      <c r="FK581" s="3">
        <v>4</v>
      </c>
      <c r="GD581" s="3">
        <v>6</v>
      </c>
    </row>
    <row r="582" spans="1:204" x14ac:dyDescent="0.25">
      <c r="A582" s="5" t="s">
        <v>2239</v>
      </c>
      <c r="B582" s="14" t="str">
        <f>VLOOKUP(TAB_ENTRADA[[#This Row],[Cod_2_Entrada]],TAB_ESTOQUE[[Codigo]:[Descrição Tecnica]],6,FALSE)</f>
        <v>ELEMENTO FILTRANTE W.F PN: LP49834716</v>
      </c>
      <c r="C582" s="14">
        <f>IFERROR(VLOOKUP(TAB_ENTRADA[[#This Row],[Cod_2_Entrada]],TAB_ESTOQUE[[Codigo]:[Referência Tec]],7,FALSE),"")</f>
        <v>0</v>
      </c>
      <c r="D582" s="14" t="str">
        <f>VLOOKUP(TAB_ENTRADA[[#This Row],[Cod_2_Entrada]],TAB_ESTOQUE[[Codigo]:[Endereço2]],12,FALSE)</f>
        <v>C1401</v>
      </c>
      <c r="E582" s="14">
        <f>SUM(TAB_ENTRADA[[#This Row],[20/05/2019]:[Colunas1]])</f>
        <v>3</v>
      </c>
      <c r="F582" s="3"/>
      <c r="FK582" s="3">
        <v>3</v>
      </c>
    </row>
    <row r="583" spans="1:204" x14ac:dyDescent="0.25">
      <c r="A583" s="5" t="s">
        <v>2240</v>
      </c>
      <c r="B583" s="14" t="str">
        <f>VLOOKUP(TAB_ENTRADA[[#This Row],[Cod_2_Entrada]],TAB_ESTOQUE[[Codigo]:[Descrição Tecnica]],6,FALSE)</f>
        <v>ORING H20 JET 400043-240</v>
      </c>
      <c r="C583" s="14">
        <f>IFERROR(VLOOKUP(TAB_ENTRADA[[#This Row],[Cod_2_Entrada]],TAB_ESTOQUE[[Codigo]:[Referência Tec]],7,FALSE),"")</f>
        <v>0</v>
      </c>
      <c r="D583" s="14" t="str">
        <f>VLOOKUP(TAB_ENTRADA[[#This Row],[Cod_2_Entrada]],TAB_ESTOQUE[[Codigo]:[Endereço2]],12,FALSE)</f>
        <v>E1304</v>
      </c>
      <c r="E583" s="14">
        <f>SUM(TAB_ENTRADA[[#This Row],[20/05/2019]:[Colunas1]])</f>
        <v>8</v>
      </c>
      <c r="F583" s="3"/>
      <c r="FK583" s="3">
        <v>8</v>
      </c>
    </row>
    <row r="584" spans="1:204" x14ac:dyDescent="0.25">
      <c r="A584" s="5" t="s">
        <v>2241</v>
      </c>
      <c r="B584" s="14" t="str">
        <f>VLOOKUP(TAB_ENTRADA[[#This Row],[Cod_2_Entrada]],TAB_ESTOQUE[[Codigo]:[Descrição Tecnica]],6,FALSE)</f>
        <v>CABEÇA DE VEDAÇÃO DO INTENSIFICADOR  / CHECK VALVE 20481009</v>
      </c>
      <c r="C584" s="14">
        <f>IFERROR(VLOOKUP(TAB_ENTRADA[[#This Row],[Cod_2_Entrada]],TAB_ESTOQUE[[Codigo]:[Referência Tec]],7,FALSE),"")</f>
        <v>0</v>
      </c>
      <c r="D584" s="14" t="str">
        <f>VLOOKUP(TAB_ENTRADA[[#This Row],[Cod_2_Entrada]],TAB_ESTOQUE[[Codigo]:[Endereço2]],12,FALSE)</f>
        <v>D2203</v>
      </c>
      <c r="E584" s="14">
        <f>SUM(TAB_ENTRADA[[#This Row],[20/05/2019]:[Colunas1]])</f>
        <v>0</v>
      </c>
      <c r="F584" s="3"/>
      <c r="FK584" s="3">
        <v>0</v>
      </c>
    </row>
    <row r="585" spans="1:204" x14ac:dyDescent="0.25">
      <c r="A585" s="5" t="s">
        <v>2242</v>
      </c>
      <c r="B585" s="14" t="str">
        <f>VLOOKUP(TAB_ENTRADA[[#This Row],[Cod_2_Entrada]],TAB_ESTOQUE[[Codigo]:[Descrição Tecnica]],6,FALSE)</f>
        <v>CILINDRO DE ALTA PRESSÃO (FLAUTA/LINER-HP CYLINDER) EM INOX 20497767</v>
      </c>
      <c r="C585" s="14">
        <f>IFERROR(VLOOKUP(TAB_ENTRADA[[#This Row],[Cod_2_Entrada]],TAB_ESTOQUE[[Codigo]:[Referência Tec]],7,FALSE),"")</f>
        <v>0</v>
      </c>
      <c r="D585" s="14" t="str">
        <f>VLOOKUP(TAB_ENTRADA[[#This Row],[Cod_2_Entrada]],TAB_ESTOQUE[[Codigo]:[Endereço2]],12,FALSE)</f>
        <v>D2205</v>
      </c>
      <c r="E585" s="14">
        <f>SUM(TAB_ENTRADA[[#This Row],[20/05/2019]:[Colunas1]])</f>
        <v>2</v>
      </c>
      <c r="F585" s="3"/>
      <c r="FK585" s="3">
        <v>2</v>
      </c>
    </row>
    <row r="586" spans="1:204" x14ac:dyDescent="0.25">
      <c r="A586" s="5" t="s">
        <v>2243</v>
      </c>
      <c r="B586" s="14" t="str">
        <f>VLOOKUP(TAB_ENTRADA[[#This Row],[Cod_2_Entrada]],TAB_ESTOQUE[[Codigo]:[Descrição Tecnica]],6,FALSE)</f>
        <v>BLOCO TEE KMT 10078590</v>
      </c>
      <c r="C586" s="14">
        <f>IFERROR(VLOOKUP(TAB_ENTRADA[[#This Row],[Cod_2_Entrada]],TAB_ESTOQUE[[Codigo]:[Referência Tec]],7,FALSE),"")</f>
        <v>0</v>
      </c>
      <c r="D586" s="14" t="str">
        <f>VLOOKUP(TAB_ENTRADA[[#This Row],[Cod_2_Entrada]],TAB_ESTOQUE[[Codigo]:[Endereço2]],12,FALSE)</f>
        <v>D2204</v>
      </c>
      <c r="E586" s="14">
        <f>SUM(TAB_ENTRADA[[#This Row],[20/05/2019]:[Colunas1]])</f>
        <v>2</v>
      </c>
      <c r="F586" s="3"/>
      <c r="FK586" s="3">
        <v>2</v>
      </c>
    </row>
    <row r="587" spans="1:204" x14ac:dyDescent="0.25">
      <c r="A587" s="5" t="s">
        <v>2244</v>
      </c>
      <c r="B587" s="14" t="str">
        <f>VLOOKUP(TAB_ENTRADA[[#This Row],[Cod_2_Entrada]],TAB_ESTOQUE[[Codigo]:[Descrição Tecnica]],6,FALSE)</f>
        <v>SELO HIDRÁULICO DO CARTUCHO REPARO DO ÓLEO 05130091</v>
      </c>
      <c r="C587" s="14">
        <f>IFERROR(VLOOKUP(TAB_ENTRADA[[#This Row],[Cod_2_Entrada]],TAB_ESTOQUE[[Codigo]:[Referência Tec]],7,FALSE),"")</f>
        <v>0</v>
      </c>
      <c r="D587" s="14" t="str">
        <f>VLOOKUP(TAB_ENTRADA[[#This Row],[Cod_2_Entrada]],TAB_ESTOQUE[[Codigo]:[Endereço2]],12,FALSE)</f>
        <v>ARMARIO</v>
      </c>
      <c r="E587" s="14">
        <f>SUM(TAB_ENTRADA[[#This Row],[20/05/2019]:[Colunas1]])</f>
        <v>9</v>
      </c>
      <c r="F587" s="3"/>
      <c r="FK587" s="3">
        <v>2</v>
      </c>
      <c r="FW587" s="3">
        <v>1</v>
      </c>
      <c r="GH587" s="3">
        <v>4</v>
      </c>
      <c r="GV587" s="3">
        <v>2</v>
      </c>
    </row>
    <row r="588" spans="1:204" x14ac:dyDescent="0.25">
      <c r="A588" s="5" t="s">
        <v>2245</v>
      </c>
      <c r="B588" s="14" t="str">
        <f>VLOOKUP(TAB_ENTRADA[[#This Row],[Cod_2_Entrada]],TAB_ESTOQUE[[Codigo]:[Descrição Tecnica]],6,FALSE)</f>
        <v>POPPET PIN W.J  05116751</v>
      </c>
      <c r="C588" s="14">
        <f>IFERROR(VLOOKUP(TAB_ENTRADA[[#This Row],[Cod_2_Entrada]],TAB_ESTOQUE[[Codigo]:[Referência Tec]],7,FALSE),"")</f>
        <v>0</v>
      </c>
      <c r="D588" s="14" t="str">
        <f>VLOOKUP(TAB_ENTRADA[[#This Row],[Cod_2_Entrada]],TAB_ESTOQUE[[Codigo]:[Endereço2]],12,FALSE)</f>
        <v>D2203</v>
      </c>
      <c r="E588" s="14">
        <f>SUM(TAB_ENTRADA[[#This Row],[20/05/2019]:[Colunas1]])</f>
        <v>23</v>
      </c>
      <c r="F588" s="3"/>
      <c r="FK588" s="3">
        <v>23</v>
      </c>
    </row>
    <row r="589" spans="1:204" x14ac:dyDescent="0.25">
      <c r="A589" s="5" t="s">
        <v>2246</v>
      </c>
      <c r="B589" s="14" t="str">
        <f>VLOOKUP(TAB_ENTRADA[[#This Row],[Cod_2_Entrada]],TAB_ESTOQUE[[Codigo]:[Descrição Tecnica]],6,FALSE)</f>
        <v>PINO RETENTOR W.J  20474391</v>
      </c>
      <c r="C589" s="14">
        <f>IFERROR(VLOOKUP(TAB_ENTRADA[[#This Row],[Cod_2_Entrada]],TAB_ESTOQUE[[Codigo]:[Referência Tec]],7,FALSE),"")</f>
        <v>0</v>
      </c>
      <c r="D589" s="14" t="str">
        <f>VLOOKUP(TAB_ENTRADA[[#This Row],[Cod_2_Entrada]],TAB_ESTOQUE[[Codigo]:[Endereço2]],12,FALSE)</f>
        <v>D2203</v>
      </c>
      <c r="E589" s="14">
        <f>SUM(TAB_ENTRADA[[#This Row],[20/05/2019]:[Colunas1]])</f>
        <v>0</v>
      </c>
      <c r="F589" s="3"/>
      <c r="FK589" s="3">
        <v>0</v>
      </c>
    </row>
    <row r="590" spans="1:204" x14ac:dyDescent="0.25">
      <c r="A590" s="5" t="s">
        <v>2247</v>
      </c>
      <c r="B590" s="14" t="str">
        <f>VLOOKUP(TAB_ENTRADA[[#This Row],[Cod_2_Entrada]],TAB_ESTOQUE[[Codigo]:[Descrição Tecnica]],6,FALSE)</f>
        <v>BOCAL DA CANETA W.J PN: MISB2341</v>
      </c>
      <c r="C590" s="14">
        <f>IFERROR(VLOOKUP(TAB_ENTRADA[[#This Row],[Cod_2_Entrada]],TAB_ESTOQUE[[Codigo]:[Referência Tec]],7,FALSE),"")</f>
        <v>0</v>
      </c>
      <c r="D590" s="14" t="str">
        <f>VLOOKUP(TAB_ENTRADA[[#This Row],[Cod_2_Entrada]],TAB_ESTOQUE[[Codigo]:[Endereço2]],12,FALSE)</f>
        <v>D2204</v>
      </c>
      <c r="E590" s="14">
        <f>SUM(TAB_ENTRADA[[#This Row],[20/05/2019]:[Colunas1]])</f>
        <v>7</v>
      </c>
      <c r="F590" s="3"/>
      <c r="FK590" s="3">
        <v>7</v>
      </c>
    </row>
    <row r="591" spans="1:204" x14ac:dyDescent="0.25">
      <c r="A591" s="5" t="s">
        <v>2248</v>
      </c>
      <c r="B591" s="14" t="str">
        <f>VLOOKUP(TAB_ENTRADA[[#This Row],[Cod_2_Entrada]],TAB_ESTOQUE[[Codigo]:[Descrição Tecnica]],6,FALSE)</f>
        <v>MOLA DE COMPRESSÃO W.J SP05147863</v>
      </c>
      <c r="C591" s="14">
        <f>IFERROR(VLOOKUP(TAB_ENTRADA[[#This Row],[Cod_2_Entrada]],TAB_ESTOQUE[[Codigo]:[Referência Tec]],7,FALSE),"")</f>
        <v>0</v>
      </c>
      <c r="D591" s="14" t="str">
        <f>VLOOKUP(TAB_ENTRADA[[#This Row],[Cod_2_Entrada]],TAB_ESTOQUE[[Codigo]:[Endereço2]],12,FALSE)</f>
        <v>D2203</v>
      </c>
      <c r="E591" s="14">
        <f>SUM(TAB_ENTRADA[[#This Row],[20/05/2019]:[Colunas1]])</f>
        <v>18</v>
      </c>
      <c r="F591" s="3"/>
      <c r="FK591" s="3">
        <v>18</v>
      </c>
    </row>
    <row r="592" spans="1:204" x14ac:dyDescent="0.25">
      <c r="A592" s="5" t="s">
        <v>2249</v>
      </c>
      <c r="B592" s="14" t="str">
        <f>VLOOKUP(TAB_ENTRADA[[#This Row],[Cod_2_Entrada]],TAB_ESTOQUE[[Codigo]:[Descrição Tecnica]],6,FALSE)</f>
        <v>CANETA WATER JET PN:10138444 / SN:6513068</v>
      </c>
      <c r="C592" s="14">
        <f>IFERROR(VLOOKUP(TAB_ENTRADA[[#This Row],[Cod_2_Entrada]],TAB_ESTOQUE[[Codigo]:[Referência Tec]],7,FALSE),"")</f>
        <v>0</v>
      </c>
      <c r="D592" s="14" t="str">
        <f>VLOOKUP(TAB_ENTRADA[[#This Row],[Cod_2_Entrada]],TAB_ESTOQUE[[Codigo]:[Endereço2]],12,FALSE)</f>
        <v>D2203</v>
      </c>
      <c r="E592" s="14">
        <f>SUM(TAB_ENTRADA[[#This Row],[20/05/2019]:[Colunas1]])</f>
        <v>6</v>
      </c>
      <c r="F592" s="3"/>
      <c r="FK592" s="3">
        <v>2</v>
      </c>
      <c r="FU592" s="3">
        <v>2</v>
      </c>
      <c r="GH592" s="3">
        <v>2</v>
      </c>
    </row>
    <row r="593" spans="1:167" x14ac:dyDescent="0.25">
      <c r="A593" s="5" t="s">
        <v>2250</v>
      </c>
      <c r="B593" s="14" t="str">
        <f>VLOOKUP(TAB_ENTRADA[[#This Row],[Cod_2_Entrada]],TAB_ESTOQUE[[Codigo]:[Descrição Tecnica]],6,FALSE)</f>
        <v>POPPET RETAINER SCREW 20474391</v>
      </c>
      <c r="C593" s="14">
        <f>IFERROR(VLOOKUP(TAB_ENTRADA[[#This Row],[Cod_2_Entrada]],TAB_ESTOQUE[[Codigo]:[Referência Tec]],7,FALSE),"")</f>
        <v>0</v>
      </c>
      <c r="D593" s="14" t="str">
        <f>VLOOKUP(TAB_ENTRADA[[#This Row],[Cod_2_Entrada]],TAB_ESTOQUE[[Codigo]:[Endereço2]],12,FALSE)</f>
        <v>D2203</v>
      </c>
      <c r="E593" s="14">
        <f>SUM(TAB_ENTRADA[[#This Row],[20/05/2019]:[Colunas1]])</f>
        <v>14</v>
      </c>
      <c r="F593" s="3"/>
      <c r="FK593" s="3">
        <v>14</v>
      </c>
    </row>
    <row r="594" spans="1:167" x14ac:dyDescent="0.25">
      <c r="A594" s="5" t="s">
        <v>2251</v>
      </c>
      <c r="B594" s="14" t="str">
        <f>VLOOKUP(TAB_ENTRADA[[#This Row],[Cod_2_Entrada]],TAB_ESTOQUE[[Codigo]:[Descrição Tecnica]],6,FALSE)</f>
        <v>VALVULA  ESFERA 3/8" PN 25</v>
      </c>
      <c r="C594" s="14">
        <f>IFERROR(VLOOKUP(TAB_ENTRADA[[#This Row],[Cod_2_Entrada]],TAB_ESTOQUE[[Codigo]:[Referência Tec]],7,FALSE),"")</f>
        <v>0</v>
      </c>
      <c r="D594" s="14" t="str">
        <f>VLOOKUP(TAB_ENTRADA[[#This Row],[Cod_2_Entrada]],TAB_ESTOQUE[[Codigo]:[Endereço2]],12,FALSE)</f>
        <v>D2402</v>
      </c>
      <c r="E594" s="14">
        <f>SUM(TAB_ENTRADA[[#This Row],[20/05/2019]:[Colunas1]])</f>
        <v>9</v>
      </c>
      <c r="F594" s="3"/>
      <c r="FK594" s="3">
        <v>9</v>
      </c>
    </row>
    <row r="595" spans="1:167" x14ac:dyDescent="0.25">
      <c r="A595" s="5" t="s">
        <v>2252</v>
      </c>
      <c r="B595" s="14" t="str">
        <f>VLOOKUP(TAB_ENTRADA[[#This Row],[Cod_2_Entrada]],TAB_ESTOQUE[[Codigo]:[Descrição Tecnica]],6,FALSE)</f>
        <v>GUIA LINEAR THOMSON REF: 411N25EO</v>
      </c>
      <c r="C595" s="14">
        <f>IFERROR(VLOOKUP(TAB_ENTRADA[[#This Row],[Cod_2_Entrada]],TAB_ESTOQUE[[Codigo]:[Referência Tec]],7,FALSE),"")</f>
        <v>0</v>
      </c>
      <c r="D595" s="14" t="str">
        <f>VLOOKUP(TAB_ENTRADA[[#This Row],[Cod_2_Entrada]],TAB_ESTOQUE[[Codigo]:[Endereço2]],12,FALSE)</f>
        <v>D1106</v>
      </c>
      <c r="E595" s="14">
        <f>SUM(TAB_ENTRADA[[#This Row],[20/05/2019]:[Colunas1]])</f>
        <v>2</v>
      </c>
      <c r="F595" s="3"/>
      <c r="FK595" s="3">
        <v>2</v>
      </c>
    </row>
    <row r="596" spans="1:167" x14ac:dyDescent="0.25">
      <c r="A596" s="5" t="s">
        <v>2253</v>
      </c>
      <c r="B596" s="14" t="str">
        <f>VLOOKUP(TAB_ENTRADA[[#This Row],[Cod_2_Entrada]],TAB_ESTOQUE[[Codigo]:[Descrição Tecnica]],6,FALSE)</f>
        <v>VALVULA HIDRAULICA CONTROL STAR REF: 200161 (N.F)</v>
      </c>
      <c r="C596" s="14">
        <f>IFERROR(VLOOKUP(TAB_ENTRADA[[#This Row],[Cod_2_Entrada]],TAB_ESTOQUE[[Codigo]:[Referência Tec]],7,FALSE),"")</f>
        <v>0</v>
      </c>
      <c r="D596" s="14" t="str">
        <f>VLOOKUP(TAB_ENTRADA[[#This Row],[Cod_2_Entrada]],TAB_ESTOQUE[[Codigo]:[Endereço2]],12,FALSE)</f>
        <v>C2203</v>
      </c>
      <c r="E596" s="14">
        <f>SUM(TAB_ENTRADA[[#This Row],[20/05/2019]:[Colunas1]])</f>
        <v>3</v>
      </c>
      <c r="F596" s="3"/>
      <c r="FK596" s="3">
        <v>3</v>
      </c>
    </row>
    <row r="597" spans="1:167" x14ac:dyDescent="0.25">
      <c r="A597" s="5" t="s">
        <v>2254</v>
      </c>
      <c r="B597" s="14" t="str">
        <f>VLOOKUP(TAB_ENTRADA[[#This Row],[Cod_2_Entrada]],TAB_ESTOQUE[[Codigo]:[Descrição Tecnica]],6,FALSE)</f>
        <v>PRESSOSTATO HED80A1X/350K14KW</v>
      </c>
      <c r="C597" s="14">
        <f>IFERROR(VLOOKUP(TAB_ENTRADA[[#This Row],[Cod_2_Entrada]],TAB_ESTOQUE[[Codigo]:[Referência Tec]],7,FALSE),"")</f>
        <v>0</v>
      </c>
      <c r="D597" s="14" t="str">
        <f>VLOOKUP(TAB_ENTRADA[[#This Row],[Cod_2_Entrada]],TAB_ESTOQUE[[Codigo]:[Endereço2]],12,FALSE)</f>
        <v>D1303</v>
      </c>
      <c r="E597" s="14">
        <f>SUM(TAB_ENTRADA[[#This Row],[20/05/2019]:[Colunas1]])</f>
        <v>2</v>
      </c>
      <c r="F597" s="3"/>
      <c r="FK597" s="3">
        <v>2</v>
      </c>
    </row>
    <row r="598" spans="1:167" x14ac:dyDescent="0.25">
      <c r="A598" s="5" t="s">
        <v>2255</v>
      </c>
      <c r="B598" s="14" t="str">
        <f>VLOOKUP(TAB_ENTRADA[[#This Row],[Cod_2_Entrada]],TAB_ESTOQUE[[Codigo]:[Descrição Tecnica]],6,FALSE)</f>
        <v>VALVULA ESCAPE RAPIDO MOD: QE-04</v>
      </c>
      <c r="C598" s="14">
        <f>IFERROR(VLOOKUP(TAB_ENTRADA[[#This Row],[Cod_2_Entrada]],TAB_ESTOQUE[[Codigo]:[Referência Tec]],7,FALSE),"")</f>
        <v>0</v>
      </c>
      <c r="D598" s="14" t="str">
        <f>VLOOKUP(TAB_ENTRADA[[#This Row],[Cod_2_Entrada]],TAB_ESTOQUE[[Codigo]:[Endereço2]],12,FALSE)</f>
        <v>D1303</v>
      </c>
      <c r="E598" s="14">
        <f>SUM(TAB_ENTRADA[[#This Row],[20/05/2019]:[Colunas1]])</f>
        <v>2</v>
      </c>
      <c r="F598" s="3"/>
      <c r="FK598" s="3">
        <v>2</v>
      </c>
    </row>
    <row r="599" spans="1:167" x14ac:dyDescent="0.25">
      <c r="A599" s="5" t="s">
        <v>2256</v>
      </c>
      <c r="B599" s="14" t="str">
        <f>VLOOKUP(TAB_ENTRADA[[#This Row],[Cod_2_Entrada]],TAB_ESTOQUE[[Codigo]:[Descrição Tecnica]],6,FALSE)</f>
        <v>CILINDRO PNEUMATICO REF: DSBC-100-500 PPV-A-KP E943</v>
      </c>
      <c r="C599" s="14">
        <f>IFERROR(VLOOKUP(TAB_ENTRADA[[#This Row],[Cod_2_Entrada]],TAB_ESTOQUE[[Codigo]:[Referência Tec]],7,FALSE),"")</f>
        <v>0</v>
      </c>
      <c r="D599" s="14" t="str">
        <f>VLOOKUP(TAB_ENTRADA[[#This Row],[Cod_2_Entrada]],TAB_ESTOQUE[[Codigo]:[Endereço2]],12,FALSE)</f>
        <v>C2101</v>
      </c>
      <c r="E599" s="14">
        <f>SUM(TAB_ENTRADA[[#This Row],[20/05/2019]:[Colunas1]])</f>
        <v>1</v>
      </c>
      <c r="F599" s="3"/>
      <c r="FK599" s="3">
        <v>1</v>
      </c>
    </row>
    <row r="600" spans="1:167" x14ac:dyDescent="0.25">
      <c r="A600" s="5" t="s">
        <v>2257</v>
      </c>
      <c r="B600" s="14" t="str">
        <f>VLOOKUP(TAB_ENTRADA[[#This Row],[Cod_2_Entrada]],TAB_ESTOQUE[[Codigo]:[Descrição Tecnica]],6,FALSE)</f>
        <v>VALVULA HIDRAULICA REXROTH REF: H-4WEH 25 E68/6EG24N9K40M0G24</v>
      </c>
      <c r="C600" s="14">
        <f>IFERROR(VLOOKUP(TAB_ENTRADA[[#This Row],[Cod_2_Entrada]],TAB_ESTOQUE[[Codigo]:[Referência Tec]],7,FALSE),"")</f>
        <v>0</v>
      </c>
      <c r="D600" s="14" t="str">
        <f>VLOOKUP(TAB_ENTRADA[[#This Row],[Cod_2_Entrada]],TAB_ESTOQUE[[Codigo]:[Endereço2]],12,FALSE)</f>
        <v>C2102</v>
      </c>
      <c r="E600" s="14">
        <f>SUM(TAB_ENTRADA[[#This Row],[20/05/2019]:[Colunas1]])</f>
        <v>2</v>
      </c>
      <c r="F600" s="3"/>
      <c r="FK600" s="3">
        <v>2</v>
      </c>
    </row>
    <row r="601" spans="1:167" x14ac:dyDescent="0.25">
      <c r="A601" s="5" t="s">
        <v>2258</v>
      </c>
      <c r="B601" s="14" t="str">
        <f>VLOOKUP(TAB_ENTRADA[[#This Row],[Cod_2_Entrada]],TAB_ESTOQUE[[Codigo]:[Descrição Tecnica]],6,FALSE)</f>
        <v>VALVULA HIDRAULICA REXROTH REF:61/350G24K4V</v>
      </c>
      <c r="C601" s="14">
        <f>IFERROR(VLOOKUP(TAB_ENTRADA[[#This Row],[Cod_2_Entrada]],TAB_ESTOQUE[[Codigo]:[Referência Tec]],7,FALSE),"")</f>
        <v>0</v>
      </c>
      <c r="D601" s="14" t="str">
        <f>VLOOKUP(TAB_ENTRADA[[#This Row],[Cod_2_Entrada]],TAB_ESTOQUE[[Codigo]:[Endereço2]],12,FALSE)</f>
        <v>C2103</v>
      </c>
      <c r="E601" s="14">
        <f>SUM(TAB_ENTRADA[[#This Row],[20/05/2019]:[Colunas1]])</f>
        <v>1</v>
      </c>
      <c r="F601" s="3"/>
      <c r="FK601" s="3">
        <v>1</v>
      </c>
    </row>
    <row r="602" spans="1:167" x14ac:dyDescent="0.25">
      <c r="A602" s="5" t="s">
        <v>2259</v>
      </c>
      <c r="B602" s="14" t="str">
        <f>VLOOKUP(TAB_ENTRADA[[#This Row],[Cod_2_Entrada]],TAB_ESTOQUE[[Codigo]:[Descrição Tecnica]],6,FALSE)</f>
        <v>VALVULA PNEUMATICA 3/2 VIAS COM PILOTO MOLA</v>
      </c>
      <c r="C602" s="14">
        <f>IFERROR(VLOOKUP(TAB_ENTRADA[[#This Row],[Cod_2_Entrada]],TAB_ESTOQUE[[Codigo]:[Referência Tec]],7,FALSE),"")</f>
        <v>0</v>
      </c>
      <c r="D602" s="14" t="str">
        <f>VLOOKUP(TAB_ENTRADA[[#This Row],[Cod_2_Entrada]],TAB_ESTOQUE[[Codigo]:[Endereço2]],12,FALSE)</f>
        <v>C1103</v>
      </c>
      <c r="E602" s="14">
        <f>SUM(TAB_ENTRADA[[#This Row],[20/05/2019]:[Colunas1]])</f>
        <v>0</v>
      </c>
      <c r="F602" s="3"/>
      <c r="FK602" s="3">
        <v>0</v>
      </c>
    </row>
    <row r="603" spans="1:167" x14ac:dyDescent="0.25">
      <c r="A603" s="5" t="s">
        <v>2260</v>
      </c>
      <c r="B603" s="14" t="str">
        <f>VLOOKUP(TAB_ENTRADA[[#This Row],[Cod_2_Entrada]],TAB_ESTOQUE[[Codigo]:[Descrição Tecnica]],6,FALSE)</f>
        <v>VALVULA PNEUMATICA 3/2 VIAS COM 2 PILOTOS  MOLA 1/4</v>
      </c>
      <c r="C603" s="14">
        <f>IFERROR(VLOOKUP(TAB_ENTRADA[[#This Row],[Cod_2_Entrada]],TAB_ESTOQUE[[Codigo]:[Referência Tec]],7,FALSE),"")</f>
        <v>0</v>
      </c>
      <c r="D603" s="14" t="str">
        <f>VLOOKUP(TAB_ENTRADA[[#This Row],[Cod_2_Entrada]],TAB_ESTOQUE[[Codigo]:[Endereço2]],12,FALSE)</f>
        <v>C1103</v>
      </c>
      <c r="E603" s="14">
        <f>SUM(TAB_ENTRADA[[#This Row],[20/05/2019]:[Colunas1]])</f>
        <v>2</v>
      </c>
      <c r="F603" s="3"/>
      <c r="FK603" s="3">
        <v>2</v>
      </c>
    </row>
    <row r="604" spans="1:167" x14ac:dyDescent="0.25">
      <c r="A604" s="5" t="s">
        <v>2261</v>
      </c>
      <c r="B604" s="14" t="str">
        <f>VLOOKUP(TAB_ENTRADA[[#This Row],[Cod_2_Entrada]],TAB_ESTOQUE[[Codigo]:[Descrição Tecnica]],6,FALSE)</f>
        <v>VALVULA REDUTORA DE PRESSÃO GENEBRE REF: 3318 04</v>
      </c>
      <c r="C604" s="14">
        <f>IFERROR(VLOOKUP(TAB_ENTRADA[[#This Row],[Cod_2_Entrada]],TAB_ESTOQUE[[Codigo]:[Referência Tec]],7,FALSE),"")</f>
        <v>0</v>
      </c>
      <c r="D604" s="14" t="str">
        <f>VLOOKUP(TAB_ENTRADA[[#This Row],[Cod_2_Entrada]],TAB_ESTOQUE[[Codigo]:[Endereço2]],12,FALSE)</f>
        <v>D1303</v>
      </c>
      <c r="E604" s="14">
        <f>SUM(TAB_ENTRADA[[#This Row],[20/05/2019]:[Colunas1]])</f>
        <v>1</v>
      </c>
      <c r="F604" s="3"/>
      <c r="FK604" s="3">
        <v>1</v>
      </c>
    </row>
    <row r="605" spans="1:167" x14ac:dyDescent="0.25">
      <c r="A605" s="5" t="s">
        <v>2262</v>
      </c>
      <c r="B605" s="14" t="str">
        <f>VLOOKUP(TAB_ENTRADA[[#This Row],[Cod_2_Entrada]],TAB_ESTOQUE[[Codigo]:[Descrição Tecnica]],6,FALSE)</f>
        <v>VALVULA ESFERICA PARA ATUADOR 1"</v>
      </c>
      <c r="C605" s="14">
        <f>IFERROR(VLOOKUP(TAB_ENTRADA[[#This Row],[Cod_2_Entrada]],TAB_ESTOQUE[[Codigo]:[Referência Tec]],7,FALSE),"")</f>
        <v>0</v>
      </c>
      <c r="D605" s="14" t="str">
        <f>VLOOKUP(TAB_ENTRADA[[#This Row],[Cod_2_Entrada]],TAB_ESTOQUE[[Codigo]:[Endereço2]],12,FALSE)</f>
        <v>D1304</v>
      </c>
      <c r="E605" s="14">
        <f>SUM(TAB_ENTRADA[[#This Row],[20/05/2019]:[Colunas1]])</f>
        <v>3</v>
      </c>
      <c r="F605" s="3"/>
      <c r="FK605" s="3">
        <v>3</v>
      </c>
    </row>
    <row r="606" spans="1:167" x14ac:dyDescent="0.25">
      <c r="A606" s="5" t="s">
        <v>2263</v>
      </c>
      <c r="B606" s="14" t="str">
        <f>VLOOKUP(TAB_ENTRADA[[#This Row],[Cod_2_Entrada]],TAB_ESTOQUE[[Codigo]:[Descrição Tecnica]],6,FALSE)</f>
        <v>VALVULA ESFERICA 3VIAS PARA ATUADOR  REF: GE3G GT53011A000</v>
      </c>
      <c r="C606" s="14">
        <f>IFERROR(VLOOKUP(TAB_ENTRADA[[#This Row],[Cod_2_Entrada]],TAB_ESTOQUE[[Codigo]:[Referência Tec]],7,FALSE),"")</f>
        <v>0</v>
      </c>
      <c r="D606" s="14" t="str">
        <f>VLOOKUP(TAB_ENTRADA[[#This Row],[Cod_2_Entrada]],TAB_ESTOQUE[[Codigo]:[Endereço2]],12,FALSE)</f>
        <v>D1304</v>
      </c>
      <c r="E606" s="14">
        <f>SUM(TAB_ENTRADA[[#This Row],[20/05/2019]:[Colunas1]])</f>
        <v>1</v>
      </c>
      <c r="F606" s="3"/>
      <c r="FK606" s="3">
        <v>1</v>
      </c>
    </row>
    <row r="607" spans="1:167" x14ac:dyDescent="0.25">
      <c r="A607" s="5" t="s">
        <v>2264</v>
      </c>
      <c r="B607" s="14" t="str">
        <f>VLOOKUP(TAB_ENTRADA[[#This Row],[Cod_2_Entrada]],TAB_ESTOQUE[[Codigo]:[Descrição Tecnica]],6,FALSE)</f>
        <v>REGULADOR DE PRESSÃO WHITE MARTINS REF: R-81 ACETILENO</v>
      </c>
      <c r="C607" s="14">
        <f>IFERROR(VLOOKUP(TAB_ENTRADA[[#This Row],[Cod_2_Entrada]],TAB_ESTOQUE[[Codigo]:[Referência Tec]],7,FALSE),"")</f>
        <v>0</v>
      </c>
      <c r="D607" s="14" t="str">
        <f>VLOOKUP(TAB_ENTRADA[[#This Row],[Cod_2_Entrada]],TAB_ESTOQUE[[Codigo]:[Endereço2]],12,FALSE)</f>
        <v>D1304</v>
      </c>
      <c r="E607" s="14">
        <f>SUM(TAB_ENTRADA[[#This Row],[20/05/2019]:[Colunas1]])</f>
        <v>4</v>
      </c>
      <c r="F607" s="3"/>
      <c r="FK607" s="3">
        <v>4</v>
      </c>
    </row>
    <row r="608" spans="1:167" x14ac:dyDescent="0.25">
      <c r="A608" s="5" t="s">
        <v>2265</v>
      </c>
      <c r="B608" s="14" t="str">
        <f>VLOOKUP(TAB_ENTRADA[[#This Row],[Cod_2_Entrada]],TAB_ESTOQUE[[Codigo]:[Descrição Tecnica]],6,FALSE)</f>
        <v xml:space="preserve">MANCAL FRONT FENDER COM BUCHAMENTO </v>
      </c>
      <c r="C608" s="14">
        <f>IFERROR(VLOOKUP(TAB_ENTRADA[[#This Row],[Cod_2_Entrada]],TAB_ESTOQUE[[Codigo]:[Referência Tec]],7,FALSE),"")</f>
        <v>0</v>
      </c>
      <c r="D608" s="14" t="str">
        <f>VLOOKUP(TAB_ENTRADA[[#This Row],[Cod_2_Entrada]],TAB_ESTOQUE[[Codigo]:[Endereço2]],12,FALSE)</f>
        <v>E1403</v>
      </c>
      <c r="E608" s="14">
        <f>SUM(TAB_ENTRADA[[#This Row],[20/05/2019]:[Colunas1]])</f>
        <v>3</v>
      </c>
      <c r="F608" s="3"/>
      <c r="FK608" s="3">
        <v>3</v>
      </c>
    </row>
    <row r="609" spans="1:174" x14ac:dyDescent="0.25">
      <c r="A609" s="5" t="s">
        <v>2266</v>
      </c>
      <c r="B609" s="14" t="str">
        <f>VLOOKUP(TAB_ENTRADA[[#This Row],[Cod_2_Entrada]],TAB_ESTOQUE[[Codigo]:[Descrição Tecnica]],6,FALSE)</f>
        <v>FILTRO HIDRAULICO NEWTC HP70PB074TON</v>
      </c>
      <c r="C609" s="14">
        <f>IFERROR(VLOOKUP(TAB_ENTRADA[[#This Row],[Cod_2_Entrada]],TAB_ESTOQUE[[Codigo]:[Referência Tec]],7,FALSE),"")</f>
        <v>0</v>
      </c>
      <c r="D609" s="14" t="str">
        <f>VLOOKUP(TAB_ENTRADA[[#This Row],[Cod_2_Entrada]],TAB_ESTOQUE[[Codigo]:[Endereço2]],12,FALSE)</f>
        <v>C2403</v>
      </c>
      <c r="E609" s="14">
        <f>SUM(TAB_ENTRADA[[#This Row],[20/05/2019]:[Colunas1]])</f>
        <v>1</v>
      </c>
      <c r="F609" s="3"/>
      <c r="FK609" s="3">
        <v>1</v>
      </c>
    </row>
    <row r="610" spans="1:174" ht="14.25" customHeight="1" x14ac:dyDescent="0.25">
      <c r="A610" s="5" t="s">
        <v>2267</v>
      </c>
      <c r="B610" s="14" t="str">
        <f>VLOOKUP(TAB_ENTRADA[[#This Row],[Cod_2_Entrada]],TAB_ESTOQUE[[Codigo]:[Descrição Tecnica]],6,FALSE)</f>
        <v xml:space="preserve">REDUTOR DAS CALANDRAS MODRL: T3A 633-4 VOLT(V) 220/380 FREQ.(Hz) 60 POWER(kw) 0.25 </v>
      </c>
      <c r="C610" s="14">
        <f>IFERROR(VLOOKUP(TAB_ENTRADA[[#This Row],[Cod_2_Entrada]],TAB_ESTOQUE[[Codigo]:[Referência Tec]],7,FALSE),"")</f>
        <v>0</v>
      </c>
      <c r="D610" s="14" t="str">
        <f>VLOOKUP(TAB_ENTRADA[[#This Row],[Cod_2_Entrada]],TAB_ESTOQUE[[Codigo]:[Endereço2]],12,FALSE)</f>
        <v>E1106</v>
      </c>
      <c r="E610" s="14">
        <f>SUM(TAB_ENTRADA[[#This Row],[20/05/2019]:[Colunas1]])</f>
        <v>6</v>
      </c>
      <c r="F610" s="3"/>
      <c r="FK610" s="3">
        <v>6</v>
      </c>
    </row>
    <row r="611" spans="1:174" x14ac:dyDescent="0.25">
      <c r="A611" s="5" t="s">
        <v>2268</v>
      </c>
      <c r="B611" s="14" t="str">
        <f>VLOOKUP(TAB_ENTRADA[[#This Row],[Cod_2_Entrada]],TAB_ESTOQUE[[Codigo]:[Descrição Tecnica]],6,FALSE)</f>
        <v>KIT PRENSA (M19)</v>
      </c>
      <c r="C611" s="14">
        <f>IFERROR(VLOOKUP(TAB_ENTRADA[[#This Row],[Cod_2_Entrada]],TAB_ESTOQUE[[Codigo]:[Referência Tec]],7,FALSE),"")</f>
        <v>0</v>
      </c>
      <c r="D611" s="14" t="str">
        <f>VLOOKUP(TAB_ENTRADA[[#This Row],[Cod_2_Entrada]],TAB_ESTOQUE[[Codigo]:[Endereço2]],12,FALSE)</f>
        <v>D1305</v>
      </c>
      <c r="E611" s="14">
        <f>SUM(TAB_ENTRADA[[#This Row],[20/05/2019]:[Colunas1]])</f>
        <v>1</v>
      </c>
      <c r="F611" s="3"/>
      <c r="FK611" s="3">
        <v>1</v>
      </c>
    </row>
    <row r="612" spans="1:174" x14ac:dyDescent="0.25">
      <c r="A612" s="5" t="s">
        <v>2269</v>
      </c>
      <c r="B612" s="14" t="str">
        <f>VLOOKUP(TAB_ENTRADA[[#This Row],[Cod_2_Entrada]],TAB_ESTOQUE[[Codigo]:[Descrição Tecnica]],6,FALSE)</f>
        <v>MANCAL FRONT FENDER SEM BUCHAMENTO</v>
      </c>
      <c r="C612" s="14">
        <f>IFERROR(VLOOKUP(TAB_ENTRADA[[#This Row],[Cod_2_Entrada]],TAB_ESTOQUE[[Codigo]:[Referência Tec]],7,FALSE),"")</f>
        <v>0</v>
      </c>
      <c r="D612" s="14" t="str">
        <f>VLOOKUP(TAB_ENTRADA[[#This Row],[Cod_2_Entrada]],TAB_ESTOQUE[[Codigo]:[Endereço2]],12,FALSE)</f>
        <v>E1403</v>
      </c>
      <c r="E612" s="14">
        <f>SUM(TAB_ENTRADA[[#This Row],[20/05/2019]:[Colunas1]])</f>
        <v>4</v>
      </c>
      <c r="F612" s="3"/>
      <c r="FK612" s="3">
        <v>4</v>
      </c>
    </row>
    <row r="613" spans="1:174" x14ac:dyDescent="0.25">
      <c r="A613" s="5" t="s">
        <v>2270</v>
      </c>
      <c r="B613" s="14" t="str">
        <f>VLOOKUP(TAB_ENTRADA[[#This Row],[Cod_2_Entrada]],TAB_ESTOQUE[[Codigo]:[Descrição Tecnica]],6,FALSE)</f>
        <v xml:space="preserve">PRATO DO CILINDRO DE PREENCHIMENTO HIDRAULICO R900529340 </v>
      </c>
      <c r="C613" s="14">
        <f>IFERROR(VLOOKUP(TAB_ENTRADA[[#This Row],[Cod_2_Entrada]],TAB_ESTOQUE[[Codigo]:[Referência Tec]],7,FALSE),"")</f>
        <v>0</v>
      </c>
      <c r="D613" s="14" t="str">
        <f>VLOOKUP(TAB_ENTRADA[[#This Row],[Cod_2_Entrada]],TAB_ESTOQUE[[Codigo]:[Endereço2]],12,FALSE)</f>
        <v>E1403</v>
      </c>
      <c r="E613" s="14">
        <f>SUM(TAB_ENTRADA[[#This Row],[20/05/2019]:[Colunas1]])</f>
        <v>2</v>
      </c>
      <c r="F613" s="3"/>
      <c r="FK613" s="3">
        <v>2</v>
      </c>
    </row>
    <row r="614" spans="1:174" x14ac:dyDescent="0.25">
      <c r="A614" s="5" t="s">
        <v>2271</v>
      </c>
      <c r="B614" s="14" t="str">
        <f>VLOOKUP(TAB_ENTRADA[[#This Row],[Cod_2_Entrada]],TAB_ESTOQUE[[Codigo]:[Descrição Tecnica]],6,FALSE)</f>
        <v>REGISTRO HIDRAULICO SW14</v>
      </c>
      <c r="C614" s="14">
        <f>IFERROR(VLOOKUP(TAB_ENTRADA[[#This Row],[Cod_2_Entrada]],TAB_ESTOQUE[[Codigo]:[Referência Tec]],7,FALSE),"")</f>
        <v>0</v>
      </c>
      <c r="D614" s="14" t="str">
        <f>VLOOKUP(TAB_ENTRADA[[#This Row],[Cod_2_Entrada]],TAB_ESTOQUE[[Codigo]:[Endereço2]],12,FALSE)</f>
        <v>D1402</v>
      </c>
      <c r="E614" s="14">
        <f>SUM(TAB_ENTRADA[[#This Row],[20/05/2019]:[Colunas1]])</f>
        <v>36</v>
      </c>
      <c r="F614" s="3"/>
      <c r="FK614" s="3">
        <v>36</v>
      </c>
    </row>
    <row r="615" spans="1:174" x14ac:dyDescent="0.25">
      <c r="A615" s="5" t="s">
        <v>2272</v>
      </c>
      <c r="B615" s="14" t="str">
        <f>VLOOKUP(TAB_ENTRADA[[#This Row],[Cod_2_Entrada]],TAB_ESTOQUE[[Codigo]:[Descrição Tecnica]],6,FALSE)</f>
        <v>REGISTRO HIDRAULICO DN25 PN350</v>
      </c>
      <c r="C615" s="14">
        <f>IFERROR(VLOOKUP(TAB_ENTRADA[[#This Row],[Cod_2_Entrada]],TAB_ESTOQUE[[Codigo]:[Referência Tec]],7,FALSE),"")</f>
        <v>0</v>
      </c>
      <c r="D615" s="14" t="str">
        <f>VLOOKUP(TAB_ENTRADA[[#This Row],[Cod_2_Entrada]],TAB_ESTOQUE[[Codigo]:[Endereço2]],12,FALSE)</f>
        <v>D1402</v>
      </c>
      <c r="E615" s="14">
        <f>SUM(TAB_ENTRADA[[#This Row],[20/05/2019]:[Colunas1]])</f>
        <v>1</v>
      </c>
      <c r="F615" s="3"/>
      <c r="FK615" s="3">
        <v>1</v>
      </c>
    </row>
    <row r="616" spans="1:174" x14ac:dyDescent="0.25">
      <c r="A616" s="5" t="s">
        <v>2273</v>
      </c>
      <c r="B616" s="14" t="str">
        <f>VLOOKUP(TAB_ENTRADA[[#This Row],[Cod_2_Entrada]],TAB_ESTOQUE[[Codigo]:[Descrição Tecnica]],6,FALSE)</f>
        <v>VALVULA ESFERA 1,1/2"</v>
      </c>
      <c r="C616" s="14">
        <f>IFERROR(VLOOKUP(TAB_ENTRADA[[#This Row],[Cod_2_Entrada]],TAB_ESTOQUE[[Codigo]:[Referência Tec]],7,FALSE),"")</f>
        <v>0</v>
      </c>
      <c r="D616" s="14" t="str">
        <f>VLOOKUP(TAB_ENTRADA[[#This Row],[Cod_2_Entrada]],TAB_ESTOQUE[[Codigo]:[Endereço2]],12,FALSE)</f>
        <v>D1402</v>
      </c>
      <c r="E616" s="14">
        <f>SUM(TAB_ENTRADA[[#This Row],[20/05/2019]:[Colunas1]])</f>
        <v>8</v>
      </c>
      <c r="F616" s="3"/>
      <c r="FK616" s="3">
        <v>8</v>
      </c>
    </row>
    <row r="617" spans="1:174" x14ac:dyDescent="0.25">
      <c r="A617" s="5" t="s">
        <v>2274</v>
      </c>
      <c r="B617" s="14" t="str">
        <f>VLOOKUP(TAB_ENTRADA[[#This Row],[Cod_2_Entrada]],TAB_ESTOQUE[[Codigo]:[Descrição Tecnica]],6,FALSE)</f>
        <v>VALVULA ESFERA 2"</v>
      </c>
      <c r="C617" s="14">
        <f>IFERROR(VLOOKUP(TAB_ENTRADA[[#This Row],[Cod_2_Entrada]],TAB_ESTOQUE[[Codigo]:[Referência Tec]],7,FALSE),"")</f>
        <v>0</v>
      </c>
      <c r="D617" s="14" t="str">
        <f>VLOOKUP(TAB_ENTRADA[[#This Row],[Cod_2_Entrada]],TAB_ESTOQUE[[Codigo]:[Endereço2]],12,FALSE)</f>
        <v>D1402</v>
      </c>
      <c r="E617" s="14">
        <f>SUM(TAB_ENTRADA[[#This Row],[20/05/2019]:[Colunas1]])</f>
        <v>0</v>
      </c>
      <c r="F617" s="3"/>
      <c r="FK617" s="3">
        <v>0</v>
      </c>
    </row>
    <row r="618" spans="1:174" x14ac:dyDescent="0.25">
      <c r="A618" s="5" t="s">
        <v>2275</v>
      </c>
      <c r="B618" s="14" t="str">
        <f>VLOOKUP(TAB_ENTRADA[[#This Row],[Cod_2_Entrada]],TAB_ESTOQUE[[Codigo]:[Descrição Tecnica]],6,FALSE)</f>
        <v>VALVULA ESFERA 1,1/4"</v>
      </c>
      <c r="C618" s="14">
        <f>IFERROR(VLOOKUP(TAB_ENTRADA[[#This Row],[Cod_2_Entrada]],TAB_ESTOQUE[[Codigo]:[Referência Tec]],7,FALSE),"")</f>
        <v>0</v>
      </c>
      <c r="D618" s="14" t="str">
        <f>VLOOKUP(TAB_ENTRADA[[#This Row],[Cod_2_Entrada]],TAB_ESTOQUE[[Codigo]:[Endereço2]],12,FALSE)</f>
        <v>D2402</v>
      </c>
      <c r="E618" s="14">
        <f>SUM(TAB_ENTRADA[[#This Row],[20/05/2019]:[Colunas1]])</f>
        <v>0</v>
      </c>
      <c r="F618" s="3"/>
      <c r="FK618" s="3">
        <v>0</v>
      </c>
    </row>
    <row r="619" spans="1:174" x14ac:dyDescent="0.25">
      <c r="A619" s="5" t="s">
        <v>2276</v>
      </c>
      <c r="B619" s="14" t="str">
        <f>VLOOKUP(TAB_ENTRADA[[#This Row],[Cod_2_Entrada]],TAB_ESTOQUE[[Codigo]:[Descrição Tecnica]],6,FALSE)</f>
        <v>ENGATE RAPIDO PINO 15/16</v>
      </c>
      <c r="C619" s="14">
        <f>IFERROR(VLOOKUP(TAB_ENTRADA[[#This Row],[Cod_2_Entrada]],TAB_ESTOQUE[[Codigo]:[Referência Tec]],7,FALSE),"")</f>
        <v>0</v>
      </c>
      <c r="D619" s="14" t="str">
        <f>VLOOKUP(TAB_ENTRADA[[#This Row],[Cod_2_Entrada]],TAB_ESTOQUE[[Codigo]:[Endereço2]],12,FALSE)</f>
        <v>D1403</v>
      </c>
      <c r="E619" s="14">
        <f>SUM(TAB_ENTRADA[[#This Row],[20/05/2019]:[Colunas1]])</f>
        <v>2</v>
      </c>
      <c r="F619" s="3"/>
      <c r="FK619" s="3">
        <v>2</v>
      </c>
    </row>
    <row r="620" spans="1:174" x14ac:dyDescent="0.25">
      <c r="A620" s="5" t="s">
        <v>2277</v>
      </c>
      <c r="B620" s="14" t="str">
        <f>VLOOKUP(TAB_ENTRADA[[#This Row],[Cod_2_Entrada]],TAB_ESTOQUE[[Codigo]:[Descrição Tecnica]],6,FALSE)</f>
        <v>VALVULA ESFERA 1"</v>
      </c>
      <c r="C620" s="14">
        <f>IFERROR(VLOOKUP(TAB_ENTRADA[[#This Row],[Cod_2_Entrada]],TAB_ESTOQUE[[Codigo]:[Referência Tec]],7,FALSE),"")</f>
        <v>0</v>
      </c>
      <c r="D620" s="14" t="str">
        <f>VLOOKUP(TAB_ENTRADA[[#This Row],[Cod_2_Entrada]],TAB_ESTOQUE[[Codigo]:[Endereço2]],12,FALSE)</f>
        <v>D2402</v>
      </c>
      <c r="E620" s="14">
        <f>SUM(TAB_ENTRADA[[#This Row],[20/05/2019]:[Colunas1]])</f>
        <v>5</v>
      </c>
      <c r="F620" s="3"/>
      <c r="FK620" s="3">
        <v>4</v>
      </c>
      <c r="FR620" s="3">
        <v>1</v>
      </c>
    </row>
    <row r="621" spans="1:174" x14ac:dyDescent="0.25">
      <c r="A621" s="5" t="s">
        <v>2278</v>
      </c>
      <c r="B621" s="14" t="str">
        <f>VLOOKUP(TAB_ENTRADA[[#This Row],[Cod_2_Entrada]],TAB_ESTOQUE[[Codigo]:[Descrição Tecnica]],6,FALSE)</f>
        <v>VALVULA ESFERA 3/4"</v>
      </c>
      <c r="C621" s="14">
        <f>IFERROR(VLOOKUP(TAB_ENTRADA[[#This Row],[Cod_2_Entrada]],TAB_ESTOQUE[[Codigo]:[Referência Tec]],7,FALSE),"")</f>
        <v>0</v>
      </c>
      <c r="D621" s="14" t="str">
        <f>VLOOKUP(TAB_ENTRADA[[#This Row],[Cod_2_Entrada]],TAB_ESTOQUE[[Codigo]:[Endereço2]],12,FALSE)</f>
        <v>D2402</v>
      </c>
      <c r="E621" s="14">
        <f>SUM(TAB_ENTRADA[[#This Row],[20/05/2019]:[Colunas1]])</f>
        <v>1</v>
      </c>
      <c r="F621" s="3"/>
      <c r="FK621" s="3">
        <v>1</v>
      </c>
    </row>
    <row r="622" spans="1:174" x14ac:dyDescent="0.25">
      <c r="A622" s="5" t="s">
        <v>2279</v>
      </c>
      <c r="B622" s="14" t="str">
        <f>VLOOKUP(TAB_ENTRADA[[#This Row],[Cod_2_Entrada]],TAB_ESTOQUE[[Codigo]:[Descrição Tecnica]],6,FALSE)</f>
        <v>REGUA DE NIVEL REF: EASS10110950</v>
      </c>
      <c r="C622" s="14">
        <f>IFERROR(VLOOKUP(TAB_ENTRADA[[#This Row],[Cod_2_Entrada]],TAB_ESTOQUE[[Codigo]:[Referência Tec]],7,FALSE),"")</f>
        <v>0</v>
      </c>
      <c r="D622" s="14" t="str">
        <f>VLOOKUP(TAB_ENTRADA[[#This Row],[Cod_2_Entrada]],TAB_ESTOQUE[[Codigo]:[Endereço2]],12,FALSE)</f>
        <v>D1401</v>
      </c>
      <c r="E622" s="14">
        <f>SUM(TAB_ENTRADA[[#This Row],[20/05/2019]:[Colunas1]])</f>
        <v>1</v>
      </c>
      <c r="F622" s="3"/>
      <c r="FK622" s="3">
        <v>1</v>
      </c>
    </row>
    <row r="623" spans="1:174" x14ac:dyDescent="0.25">
      <c r="A623" s="5" t="s">
        <v>2280</v>
      </c>
      <c r="B623" s="14" t="str">
        <f>VLOOKUP(TAB_ENTRADA[[#This Row],[Cod_2_Entrada]],TAB_ESTOQUE[[Codigo]:[Descrição Tecnica]],6,FALSE)</f>
        <v>REDUTOR 6286089-018NMRV 050</v>
      </c>
      <c r="C623" s="14">
        <f>IFERROR(VLOOKUP(TAB_ENTRADA[[#This Row],[Cod_2_Entrada]],TAB_ESTOQUE[[Codigo]:[Referência Tec]],7,FALSE),"")</f>
        <v>0</v>
      </c>
      <c r="D623" s="14" t="str">
        <f>VLOOKUP(TAB_ENTRADA[[#This Row],[Cod_2_Entrada]],TAB_ESTOQUE[[Codigo]:[Endereço2]],12,FALSE)</f>
        <v>E2406</v>
      </c>
      <c r="E623" s="14">
        <f>SUM(TAB_ENTRADA[[#This Row],[20/05/2019]:[Colunas1]])</f>
        <v>1</v>
      </c>
      <c r="F623" s="3"/>
      <c r="FK623" s="3">
        <v>1</v>
      </c>
    </row>
    <row r="624" spans="1:174" x14ac:dyDescent="0.25">
      <c r="A624" s="5" t="s">
        <v>2281</v>
      </c>
      <c r="B624" s="14" t="str">
        <f>VLOOKUP(TAB_ENTRADA[[#This Row],[Cod_2_Entrada]],TAB_ESTOQUE[[Codigo]:[Descrição Tecnica]],6,FALSE)</f>
        <v xml:space="preserve">ABRAÇADEIRA 11" </v>
      </c>
      <c r="C624" s="14">
        <f>IFERROR(VLOOKUP(TAB_ENTRADA[[#This Row],[Cod_2_Entrada]],TAB_ESTOQUE[[Codigo]:[Referência Tec]],7,FALSE),"")</f>
        <v>0</v>
      </c>
      <c r="D624" s="14" t="str">
        <f>VLOOKUP(TAB_ENTRADA[[#This Row],[Cod_2_Entrada]],TAB_ESTOQUE[[Codigo]:[Endereço2]],12,FALSE)</f>
        <v>F1303</v>
      </c>
      <c r="E624" s="14">
        <f>SUM(TAB_ENTRADA[[#This Row],[20/05/2019]:[Colunas1]])</f>
        <v>13</v>
      </c>
      <c r="F624" s="3"/>
      <c r="FK624" s="3">
        <v>13</v>
      </c>
    </row>
    <row r="625" spans="1:212" x14ac:dyDescent="0.25">
      <c r="A625" s="5" t="s">
        <v>2282</v>
      </c>
      <c r="B625" s="14" t="str">
        <f>VLOOKUP(TAB_ENTRADA[[#This Row],[Cod_2_Entrada]],TAB_ESTOQUE[[Codigo]:[Descrição Tecnica]],6,FALSE)</f>
        <v>VALVULA ESFERA 1/4"</v>
      </c>
      <c r="C625" s="14">
        <f>IFERROR(VLOOKUP(TAB_ENTRADA[[#This Row],[Cod_2_Entrada]],TAB_ESTOQUE[[Codigo]:[Referência Tec]],7,FALSE),"")</f>
        <v>0</v>
      </c>
      <c r="D625" s="14" t="str">
        <f>VLOOKUP(TAB_ENTRADA[[#This Row],[Cod_2_Entrada]],TAB_ESTOQUE[[Codigo]:[Endereço2]],12,FALSE)</f>
        <v>D2402</v>
      </c>
      <c r="E625" s="14">
        <f>SUM(TAB_ENTRADA[[#This Row],[20/05/2019]:[Colunas1]])</f>
        <v>0</v>
      </c>
      <c r="F625" s="3"/>
      <c r="FK625" s="3">
        <v>0</v>
      </c>
    </row>
    <row r="626" spans="1:212" x14ac:dyDescent="0.25">
      <c r="A626" s="5" t="s">
        <v>2283</v>
      </c>
      <c r="B626" s="14" t="str">
        <f>VLOOKUP(TAB_ENTRADA[[#This Row],[Cod_2_Entrada]],TAB_ESTOQUE[[Codigo]:[Descrição Tecnica]],6,FALSE)</f>
        <v>MANGUEIRA CAPILAR 400MM</v>
      </c>
      <c r="C626" s="14">
        <f>IFERROR(VLOOKUP(TAB_ENTRADA[[#This Row],[Cod_2_Entrada]],TAB_ESTOQUE[[Codigo]:[Referência Tec]],7,FALSE),"")</f>
        <v>0</v>
      </c>
      <c r="D626" s="14" t="str">
        <f>VLOOKUP(TAB_ENTRADA[[#This Row],[Cod_2_Entrada]],TAB_ESTOQUE[[Codigo]:[Endereço2]],12,FALSE)</f>
        <v>E1406</v>
      </c>
      <c r="E626" s="14">
        <f>SUM(TAB_ENTRADA[[#This Row],[20/05/2019]:[Colunas1]])</f>
        <v>4</v>
      </c>
      <c r="F626" s="3"/>
      <c r="FK626" s="3">
        <v>4</v>
      </c>
    </row>
    <row r="627" spans="1:212" x14ac:dyDescent="0.25">
      <c r="A627" s="5" t="s">
        <v>2284</v>
      </c>
      <c r="B627" s="14" t="str">
        <f>VLOOKUP(TAB_ENTRADA[[#This Row],[Cod_2_Entrada]],TAB_ESTOQUE[[Codigo]:[Descrição Tecnica]],6,FALSE)</f>
        <v xml:space="preserve">ESPIGÃO FIXO P/MANG (1/2X1/2) MACHO LUBE </v>
      </c>
      <c r="C627" s="14">
        <f>IFERROR(VLOOKUP(TAB_ENTRADA[[#This Row],[Cod_2_Entrada]],TAB_ESTOQUE[[Codigo]:[Referência Tec]],7,FALSE),"")</f>
        <v>0</v>
      </c>
      <c r="D627" s="14" t="str">
        <f>VLOOKUP(TAB_ENTRADA[[#This Row],[Cod_2_Entrada]],TAB_ESTOQUE[[Codigo]:[Endereço2]],12,FALSE)</f>
        <v>D2403</v>
      </c>
      <c r="E627" s="14">
        <f>SUM(TAB_ENTRADA[[#This Row],[20/05/2019]:[Colunas1]])</f>
        <v>0</v>
      </c>
      <c r="F627" s="3"/>
      <c r="FK627" s="3">
        <v>0</v>
      </c>
    </row>
    <row r="628" spans="1:212" x14ac:dyDescent="0.25">
      <c r="A628" s="5" t="s">
        <v>2285</v>
      </c>
      <c r="B628" s="14" t="str">
        <f>VLOOKUP(TAB_ENTRADA[[#This Row],[Cod_2_Entrada]],TAB_ESTOQUE[[Codigo]:[Descrição Tecnica]],6,FALSE)</f>
        <v>ESPIGÃO ROSCA 1,1/2" MANG 1"</v>
      </c>
      <c r="C628" s="14">
        <f>IFERROR(VLOOKUP(TAB_ENTRADA[[#This Row],[Cod_2_Entrada]],TAB_ESTOQUE[[Codigo]:[Referência Tec]],7,FALSE),"")</f>
        <v>0</v>
      </c>
      <c r="D628" s="14" t="str">
        <f>VLOOKUP(TAB_ENTRADA[[#This Row],[Cod_2_Entrada]],TAB_ESTOQUE[[Codigo]:[Endereço2]],12,FALSE)</f>
        <v>D2403</v>
      </c>
      <c r="E628" s="14">
        <f>SUM(TAB_ENTRADA[[#This Row],[20/05/2019]:[Colunas1]])</f>
        <v>0</v>
      </c>
      <c r="F628" s="3"/>
      <c r="FK628" s="3">
        <v>0</v>
      </c>
    </row>
    <row r="629" spans="1:212" x14ac:dyDescent="0.25">
      <c r="A629" s="5" t="s">
        <v>2286</v>
      </c>
      <c r="B629" s="14" t="str">
        <f>VLOOKUP(TAB_ENTRADA[[#This Row],[Cod_2_Entrada]],TAB_ESTOQUE[[Codigo]:[Descrição Tecnica]],6,FALSE)</f>
        <v>ESPIGÃO ROSCA  1,1/4 MANG 1,1/8"</v>
      </c>
      <c r="C629" s="14">
        <f>IFERROR(VLOOKUP(TAB_ENTRADA[[#This Row],[Cod_2_Entrada]],TAB_ESTOQUE[[Codigo]:[Referência Tec]],7,FALSE),"")</f>
        <v>0</v>
      </c>
      <c r="D629" s="14" t="str">
        <f>VLOOKUP(TAB_ENTRADA[[#This Row],[Cod_2_Entrada]],TAB_ESTOQUE[[Codigo]:[Endereço2]],12,FALSE)</f>
        <v>D2403</v>
      </c>
      <c r="E629" s="14">
        <f>SUM(TAB_ENTRADA[[#This Row],[20/05/2019]:[Colunas1]])</f>
        <v>0</v>
      </c>
      <c r="F629" s="3"/>
      <c r="FK629" s="3">
        <v>0</v>
      </c>
    </row>
    <row r="630" spans="1:212" x14ac:dyDescent="0.25">
      <c r="A630" s="5" t="s">
        <v>2287</v>
      </c>
      <c r="B630" s="14" t="str">
        <f>VLOOKUP(TAB_ENTRADA[[#This Row],[Cod_2_Entrada]],TAB_ESTOQUE[[Codigo]:[Descrição Tecnica]],6,FALSE)</f>
        <v>ESPIGÃO ROSCA 1" MANG 1"</v>
      </c>
      <c r="C630" s="14">
        <f>IFERROR(VLOOKUP(TAB_ENTRADA[[#This Row],[Cod_2_Entrada]],TAB_ESTOQUE[[Codigo]:[Referência Tec]],7,FALSE),"")</f>
        <v>0</v>
      </c>
      <c r="D630" s="14" t="str">
        <f>VLOOKUP(TAB_ENTRADA[[#This Row],[Cod_2_Entrada]],TAB_ESTOQUE[[Codigo]:[Endereço2]],12,FALSE)</f>
        <v>D2403</v>
      </c>
      <c r="E630" s="14">
        <f>SUM(TAB_ENTRADA[[#This Row],[20/05/2019]:[Colunas1]])</f>
        <v>0</v>
      </c>
      <c r="F630" s="3"/>
      <c r="FK630" s="3">
        <v>0</v>
      </c>
    </row>
    <row r="631" spans="1:212" x14ac:dyDescent="0.25">
      <c r="A631" s="5" t="s">
        <v>2288</v>
      </c>
      <c r="B631" s="14" t="str">
        <f>VLOOKUP(TAB_ENTRADA[[#This Row],[Cod_2_Entrada]],TAB_ESTOQUE[[Codigo]:[Descrição Tecnica]],6,FALSE)</f>
        <v>ESPIGÃO ROSCA 1" MANG 3/4"</v>
      </c>
      <c r="C631" s="14">
        <f>IFERROR(VLOOKUP(TAB_ENTRADA[[#This Row],[Cod_2_Entrada]],TAB_ESTOQUE[[Codigo]:[Referência Tec]],7,FALSE),"")</f>
        <v>0</v>
      </c>
      <c r="D631" s="14" t="str">
        <f>VLOOKUP(TAB_ENTRADA[[#This Row],[Cod_2_Entrada]],TAB_ESTOQUE[[Codigo]:[Endereço2]],12,FALSE)</f>
        <v>D2403</v>
      </c>
      <c r="E631" s="14">
        <f>SUM(TAB_ENTRADA[[#This Row],[20/05/2019]:[Colunas1]])</f>
        <v>0</v>
      </c>
      <c r="F631" s="3"/>
      <c r="FK631" s="3">
        <v>0</v>
      </c>
    </row>
    <row r="632" spans="1:212" x14ac:dyDescent="0.25">
      <c r="A632" s="5" t="s">
        <v>2289</v>
      </c>
      <c r="B632" s="14" t="str">
        <f>VLOOKUP(TAB_ENTRADA[[#This Row],[Cod_2_Entrada]],TAB_ESTOQUE[[Codigo]:[Descrição Tecnica]],6,FALSE)</f>
        <v>ENGATE RAPIDO P/ ÓLEO TERMICO MACHO  21919DUB33W</v>
      </c>
      <c r="C632" s="14">
        <f>IFERROR(VLOOKUP(TAB_ENTRADA[[#This Row],[Cod_2_Entrada]],TAB_ESTOQUE[[Codigo]:[Referência Tec]],7,FALSE),"")</f>
        <v>0</v>
      </c>
      <c r="D632" s="14" t="str">
        <f>VLOOKUP(TAB_ENTRADA[[#This Row],[Cod_2_Entrada]],TAB_ESTOQUE[[Codigo]:[Endereço2]],12,FALSE)</f>
        <v>D1403</v>
      </c>
      <c r="E632" s="14">
        <f>SUM(TAB_ENTRADA[[#This Row],[20/05/2019]:[Colunas1]])</f>
        <v>0</v>
      </c>
      <c r="F632" s="3"/>
      <c r="FK632" s="3">
        <v>0</v>
      </c>
    </row>
    <row r="633" spans="1:212" x14ac:dyDescent="0.25">
      <c r="A633" s="5" t="s">
        <v>2290</v>
      </c>
      <c r="B633" s="14" t="str">
        <f>VLOOKUP(TAB_ENTRADA[[#This Row],[Cod_2_Entrada]],TAB_ESTOQUE[[Codigo]:[Descrição Tecnica]],6,FALSE)</f>
        <v>ENGATE RAPIDO P/ ÓLEO TERMICO FEMEA BYR</v>
      </c>
      <c r="C633" s="14">
        <f>IFERROR(VLOOKUP(TAB_ENTRADA[[#This Row],[Cod_2_Entrada]],TAB_ESTOQUE[[Codigo]:[Referência Tec]],7,FALSE),"")</f>
        <v>0</v>
      </c>
      <c r="D633" s="14" t="str">
        <f>VLOOKUP(TAB_ENTRADA[[#This Row],[Cod_2_Entrada]],TAB_ESTOQUE[[Codigo]:[Endereço2]],12,FALSE)</f>
        <v>D1403</v>
      </c>
      <c r="E633" s="14">
        <f>SUM(TAB_ENTRADA[[#This Row],[20/05/2019]:[Colunas1]])</f>
        <v>1</v>
      </c>
      <c r="F633" s="3"/>
      <c r="FK633" s="3">
        <v>1</v>
      </c>
    </row>
    <row r="634" spans="1:212" x14ac:dyDescent="0.25">
      <c r="A634" s="5" t="s">
        <v>2291</v>
      </c>
      <c r="B634" s="14" t="str">
        <f>VLOOKUP(TAB_ENTRADA[[#This Row],[Cod_2_Entrada]],TAB_ESTOQUE[[Codigo]:[Descrição Tecnica]],6,FALSE)</f>
        <v>ENGATE RAPIDO PINO 1/2' LUBE</v>
      </c>
      <c r="C634" s="14">
        <f>IFERROR(VLOOKUP(TAB_ENTRADA[[#This Row],[Cod_2_Entrada]],TAB_ESTOQUE[[Codigo]:[Referência Tec]],7,FALSE),"")</f>
        <v>0</v>
      </c>
      <c r="D634" s="14" t="str">
        <f>VLOOKUP(TAB_ENTRADA[[#This Row],[Cod_2_Entrada]],TAB_ESTOQUE[[Codigo]:[Endereço2]],12,FALSE)</f>
        <v>D1403</v>
      </c>
      <c r="E634" s="14">
        <f>SUM(TAB_ENTRADA[[#This Row],[20/05/2019]:[Colunas1]])</f>
        <v>3</v>
      </c>
      <c r="F634" s="3"/>
      <c r="FK634" s="3">
        <v>3</v>
      </c>
    </row>
    <row r="635" spans="1:212" x14ac:dyDescent="0.25">
      <c r="A635" s="5" t="s">
        <v>2292</v>
      </c>
      <c r="B635" s="14" t="str">
        <f>VLOOKUP(TAB_ENTRADA[[#This Row],[Cod_2_Entrada]],TAB_ESTOQUE[[Codigo]:[Descrição Tecnica]],6,FALSE)</f>
        <v>ENGATE RAPIDO PINO STANYL-STH-400</v>
      </c>
      <c r="C635" s="14">
        <f>IFERROR(VLOOKUP(TAB_ENTRADA[[#This Row],[Cod_2_Entrada]],TAB_ESTOQUE[[Codigo]:[Referência Tec]],7,FALSE),"")</f>
        <v>0</v>
      </c>
      <c r="D635" s="14" t="str">
        <f>VLOOKUP(TAB_ENTRADA[[#This Row],[Cod_2_Entrada]],TAB_ESTOQUE[[Codigo]:[Endereço2]],12,FALSE)</f>
        <v>D1403</v>
      </c>
      <c r="E635" s="14">
        <f>SUM(TAB_ENTRADA[[#This Row],[20/05/2019]:[Colunas1]])</f>
        <v>1</v>
      </c>
      <c r="F635" s="3"/>
      <c r="FK635" s="3">
        <v>1</v>
      </c>
    </row>
    <row r="636" spans="1:212" x14ac:dyDescent="0.25">
      <c r="A636" s="5" t="s">
        <v>2293</v>
      </c>
      <c r="B636" s="14" t="str">
        <f>VLOOKUP(TAB_ENTRADA[[#This Row],[Cod_2_Entrada]],TAB_ESTOQUE[[Codigo]:[Descrição Tecnica]],6,FALSE)</f>
        <v>ENGATE RAPIDO FEMEA 1/2" LUBE</v>
      </c>
      <c r="C636" s="14">
        <f>IFERROR(VLOOKUP(TAB_ENTRADA[[#This Row],[Cod_2_Entrada]],TAB_ESTOQUE[[Codigo]:[Referência Tec]],7,FALSE),"")</f>
        <v>0</v>
      </c>
      <c r="D636" s="14" t="str">
        <f>VLOOKUP(TAB_ENTRADA[[#This Row],[Cod_2_Entrada]],TAB_ESTOQUE[[Codigo]:[Endereço2]],12,FALSE)</f>
        <v>D1403</v>
      </c>
      <c r="E636" s="14">
        <f>SUM(TAB_ENTRADA[[#This Row],[20/05/2019]:[Colunas1]])</f>
        <v>2</v>
      </c>
      <c r="F636" s="3"/>
      <c r="FK636" s="3">
        <v>2</v>
      </c>
    </row>
    <row r="637" spans="1:212" x14ac:dyDescent="0.25">
      <c r="A637" s="5" t="s">
        <v>2294</v>
      </c>
      <c r="B637" s="14" t="str">
        <f>VLOOKUP(TAB_ENTRADA[[#This Row],[Cod_2_Entrada]],TAB_ESTOQUE[[Codigo]:[Descrição Tecnica]],6,FALSE)</f>
        <v>CONJUNTO ENGATE RAPIDO 19/2</v>
      </c>
      <c r="C637" s="14">
        <f>IFERROR(VLOOKUP(TAB_ENTRADA[[#This Row],[Cod_2_Entrada]],TAB_ESTOQUE[[Codigo]:[Referência Tec]],7,FALSE),"")</f>
        <v>0</v>
      </c>
      <c r="D637" s="14" t="str">
        <f>VLOOKUP(TAB_ENTRADA[[#This Row],[Cod_2_Entrada]],TAB_ESTOQUE[[Codigo]:[Endereço2]],12,FALSE)</f>
        <v>D1403</v>
      </c>
      <c r="E637" s="14">
        <f>SUM(TAB_ENTRADA[[#This Row],[20/05/2019]:[Colunas1]])</f>
        <v>2</v>
      </c>
      <c r="F637" s="3"/>
      <c r="FK637" s="3">
        <v>2</v>
      </c>
    </row>
    <row r="638" spans="1:212" x14ac:dyDescent="0.25">
      <c r="A638" s="5" t="s">
        <v>2295</v>
      </c>
      <c r="B638" s="14" t="str">
        <f>VLOOKUP(TAB_ENTRADA[[#This Row],[Cod_2_Entrada]],TAB_ESTOQUE[[Codigo]:[Descrição Tecnica]],6,FALSE)</f>
        <v>CONJUNTO ENGATE RAPIDO 3/4"</v>
      </c>
      <c r="C638" s="14">
        <f>IFERROR(VLOOKUP(TAB_ENTRADA[[#This Row],[Cod_2_Entrada]],TAB_ESTOQUE[[Codigo]:[Referência Tec]],7,FALSE),"")</f>
        <v>0</v>
      </c>
      <c r="D638" s="14" t="str">
        <f>VLOOKUP(TAB_ENTRADA[[#This Row],[Cod_2_Entrada]],TAB_ESTOQUE[[Codigo]:[Endereço2]],12,FALSE)</f>
        <v>D1403</v>
      </c>
      <c r="E638" s="14">
        <f>SUM(TAB_ENTRADA[[#This Row],[20/05/2019]:[Colunas1]])</f>
        <v>3</v>
      </c>
      <c r="F638" s="3"/>
      <c r="FK638" s="3">
        <v>3</v>
      </c>
    </row>
    <row r="639" spans="1:212" x14ac:dyDescent="0.25">
      <c r="A639" s="5" t="s">
        <v>2296</v>
      </c>
      <c r="B639" s="14" t="str">
        <f>VLOOKUP(TAB_ENTRADA[[#This Row],[Cod_2_Entrada]],TAB_ESTOQUE[[Codigo]:[Descrição Tecnica]],6,FALSE)</f>
        <v>ENGATE RAPIDO ESPIGÃO</v>
      </c>
      <c r="C639" s="14">
        <f>IFERROR(VLOOKUP(TAB_ENTRADA[[#This Row],[Cod_2_Entrada]],TAB_ESTOQUE[[Codigo]:[Referência Tec]],7,FALSE),"")</f>
        <v>0</v>
      </c>
      <c r="D639" s="14" t="str">
        <f>VLOOKUP(TAB_ENTRADA[[#This Row],[Cod_2_Entrada]],TAB_ESTOQUE[[Codigo]:[Endereço2]],12,FALSE)</f>
        <v>D1403</v>
      </c>
      <c r="E639" s="14">
        <f>SUM(TAB_ENTRADA[[#This Row],[20/05/2019]:[Colunas1]])</f>
        <v>6</v>
      </c>
      <c r="F639" s="3"/>
      <c r="FK639" s="3">
        <v>6</v>
      </c>
    </row>
    <row r="640" spans="1:212" x14ac:dyDescent="0.25">
      <c r="A640" s="5" t="s">
        <v>2297</v>
      </c>
      <c r="B640" s="14" t="str">
        <f>VLOOKUP(TAB_ENTRADA[[#This Row],[Cod_2_Entrada]],TAB_ESTOQUE[[Codigo]:[Descrição Tecnica]],6,FALSE)</f>
        <v>SERPENTINA PARA EIXO 4-6 ( SPIRE AXIS 4-6 ROBOT IRB 1600 COIL) PN 304436 KMT WJ  (DSR)</v>
      </c>
      <c r="C640" s="14">
        <f>IFERROR(VLOOKUP(TAB_ENTRADA[[#This Row],[Cod_2_Entrada]],TAB_ESTOQUE[[Codigo]:[Referência Tec]],7,FALSE),"")</f>
        <v>0</v>
      </c>
      <c r="D640" s="14" t="str">
        <f>VLOOKUP(TAB_ENTRADA[[#This Row],[Cod_2_Entrada]],TAB_ESTOQUE[[Codigo]:[Endereço2]],12,FALSE)</f>
        <v>D2201</v>
      </c>
      <c r="E640" s="14">
        <f>SUM(TAB_ENTRADA[[#This Row],[20/05/2019]:[Colunas1]])</f>
        <v>4</v>
      </c>
      <c r="F640" s="3"/>
      <c r="FK640" s="3">
        <v>0</v>
      </c>
      <c r="GH640" s="3">
        <v>3</v>
      </c>
      <c r="HD640" s="3">
        <v>1</v>
      </c>
    </row>
    <row r="641" spans="1:211" x14ac:dyDescent="0.25">
      <c r="A641" s="5" t="s">
        <v>2298</v>
      </c>
      <c r="B641" s="14" t="str">
        <f>VLOOKUP(TAB_ENTRADA[[#This Row],[Cod_2_Entrada]],TAB_ESTOQUE[[Codigo]:[Descrição Tecnica]],6,FALSE)</f>
        <v>ASSENTO BLOCO DE CANETA VL10178697</v>
      </c>
      <c r="C641" s="14">
        <f>IFERROR(VLOOKUP(TAB_ENTRADA[[#This Row],[Cod_2_Entrada]],TAB_ESTOQUE[[Codigo]:[Referência Tec]],7,FALSE),"")</f>
        <v>0</v>
      </c>
      <c r="D641" s="14" t="str">
        <f>VLOOKUP(TAB_ENTRADA[[#This Row],[Cod_2_Entrada]],TAB_ESTOQUE[[Codigo]:[Endereço2]],12,FALSE)</f>
        <v>D2202</v>
      </c>
      <c r="E641" s="14">
        <f>SUM(TAB_ENTRADA[[#This Row],[20/05/2019]:[Colunas1]])</f>
        <v>13</v>
      </c>
      <c r="F641" s="3"/>
      <c r="FK641" s="3">
        <v>13</v>
      </c>
    </row>
    <row r="642" spans="1:211" x14ac:dyDescent="0.25">
      <c r="A642" s="5" t="s">
        <v>2299</v>
      </c>
      <c r="B642" s="14" t="str">
        <f>VLOOKUP(TAB_ENTRADA[[#This Row],[Cod_2_Entrada]],TAB_ESTOQUE[[Codigo]:[Descrição Tecnica]],6,FALSE)</f>
        <v>ATUADOR  VL10187250</v>
      </c>
      <c r="C642" s="14">
        <f>IFERROR(VLOOKUP(TAB_ENTRADA[[#This Row],[Cod_2_Entrada]],TAB_ESTOQUE[[Codigo]:[Referência Tec]],7,FALSE),"")</f>
        <v>0</v>
      </c>
      <c r="D642" s="14" t="str">
        <f>VLOOKUP(TAB_ENTRADA[[#This Row],[Cod_2_Entrada]],TAB_ESTOQUE[[Codigo]:[Endereço2]],12,FALSE)</f>
        <v>D2202</v>
      </c>
      <c r="E642" s="14">
        <f>SUM(TAB_ENTRADA[[#This Row],[20/05/2019]:[Colunas1]])</f>
        <v>7</v>
      </c>
      <c r="F642" s="3"/>
      <c r="FK642" s="3">
        <v>7</v>
      </c>
    </row>
    <row r="643" spans="1:211" x14ac:dyDescent="0.25">
      <c r="A643" s="5" t="s">
        <v>2300</v>
      </c>
      <c r="B643" s="14" t="str">
        <f>VLOOKUP(TAB_ENTRADA[[#This Row],[Cod_2_Entrada]],TAB_ESTOQUE[[Codigo]:[Descrição Tecnica]],6,FALSE)</f>
        <v>BLOCO DA CANETA VL1018918</v>
      </c>
      <c r="C643" s="14">
        <f>IFERROR(VLOOKUP(TAB_ENTRADA[[#This Row],[Cod_2_Entrada]],TAB_ESTOQUE[[Codigo]:[Referência Tec]],7,FALSE),"")</f>
        <v>0</v>
      </c>
      <c r="D643" s="14" t="str">
        <f>VLOOKUP(TAB_ENTRADA[[#This Row],[Cod_2_Entrada]],TAB_ESTOQUE[[Codigo]:[Endereço2]],12,FALSE)</f>
        <v>D2202</v>
      </c>
      <c r="E643" s="14">
        <f>SUM(TAB_ENTRADA[[#This Row],[20/05/2019]:[Colunas1]])</f>
        <v>1</v>
      </c>
      <c r="F643" s="3"/>
      <c r="FK643" s="3">
        <v>1</v>
      </c>
    </row>
    <row r="644" spans="1:211" x14ac:dyDescent="0.25">
      <c r="A644" s="5" t="s">
        <v>2301</v>
      </c>
      <c r="B644" s="14" t="str">
        <f>VLOOKUP(TAB_ENTRADA[[#This Row],[Cod_2_Entrada]],TAB_ESTOQUE[[Codigo]:[Descrição Tecnica]],6,FALSE)</f>
        <v>VALVULA DE COLA 7337C03 EVOLUT DRS</v>
      </c>
      <c r="C644" s="14">
        <f>IFERROR(VLOOKUP(TAB_ENTRADA[[#This Row],[Cod_2_Entrada]],TAB_ESTOQUE[[Codigo]:[Referência Tec]],7,FALSE),"")</f>
        <v>0</v>
      </c>
      <c r="D644" s="14" t="str">
        <f>VLOOKUP(TAB_ENTRADA[[#This Row],[Cod_2_Entrada]],TAB_ESTOQUE[[Codigo]:[Endereço2]],12,FALSE)</f>
        <v>D2202</v>
      </c>
      <c r="E644" s="14">
        <f>SUM(TAB_ENTRADA[[#This Row],[20/05/2019]:[Colunas1]])</f>
        <v>2</v>
      </c>
      <c r="F644" s="3"/>
      <c r="FK644" s="3">
        <v>2</v>
      </c>
    </row>
    <row r="645" spans="1:211" x14ac:dyDescent="0.25">
      <c r="A645" s="5" t="s">
        <v>2302</v>
      </c>
      <c r="B645" s="14" t="str">
        <f>VLOOKUP(TAB_ENTRADA[[#This Row],[Cod_2_Entrada]],TAB_ESTOQUE[[Codigo]:[Descrição Tecnica]],6,FALSE)</f>
        <v xml:space="preserve">VALVULA PNEUMATICA 3/2 VIAS COM DUPLO ACIONAMENTO MOLA 1/2 </v>
      </c>
      <c r="C645" s="14">
        <f>IFERROR(VLOOKUP(TAB_ENTRADA[[#This Row],[Cod_2_Entrada]],TAB_ESTOQUE[[Codigo]:[Referência Tec]],7,FALSE),"")</f>
        <v>0</v>
      </c>
      <c r="D645" s="14" t="str">
        <f>VLOOKUP(TAB_ENTRADA[[#This Row],[Cod_2_Entrada]],TAB_ESTOQUE[[Codigo]:[Endereço2]],12,FALSE)</f>
        <v>C1104</v>
      </c>
      <c r="E645" s="14">
        <f>SUM(TAB_ENTRADA[[#This Row],[20/05/2019]:[Colunas1]])</f>
        <v>1</v>
      </c>
      <c r="F645" s="3"/>
      <c r="FK645" s="3">
        <v>1</v>
      </c>
    </row>
    <row r="646" spans="1:211" x14ac:dyDescent="0.25">
      <c r="A646" s="5" t="s">
        <v>2303</v>
      </c>
      <c r="B646" s="14" t="str">
        <f>VLOOKUP(TAB_ENTRADA[[#This Row],[Cod_2_Entrada]],TAB_ESTOQUE[[Codigo]:[Descrição Tecnica]],6,FALSE)</f>
        <v>SAFIRA WATER JET  6 MM 003788-6</v>
      </c>
      <c r="C646" s="14">
        <f>IFERROR(VLOOKUP(TAB_ENTRADA[[#This Row],[Cod_2_Entrada]],TAB_ESTOQUE[[Codigo]:[Referência Tec]],7,FALSE),"")</f>
        <v>0</v>
      </c>
      <c r="D646" s="14" t="str">
        <f>VLOOKUP(TAB_ENTRADA[[#This Row],[Cod_2_Entrada]],TAB_ESTOQUE[[Codigo]:[Endereço2]],12,FALSE)</f>
        <v>ARMARIO</v>
      </c>
      <c r="E646" s="14">
        <f>SUM(TAB_ENTRADA[[#This Row],[20/05/2019]:[Colunas1]])</f>
        <v>133</v>
      </c>
      <c r="F646" s="3"/>
      <c r="FK646" s="3">
        <v>33</v>
      </c>
      <c r="FL646" s="3">
        <v>30</v>
      </c>
      <c r="FQ646" s="3">
        <v>10</v>
      </c>
      <c r="FS646" s="3">
        <v>5</v>
      </c>
      <c r="FW646" s="3">
        <v>40</v>
      </c>
      <c r="GH646" s="3">
        <v>15</v>
      </c>
    </row>
    <row r="647" spans="1:211" x14ac:dyDescent="0.25">
      <c r="A647" s="5" t="s">
        <v>2304</v>
      </c>
      <c r="B647" s="14" t="str">
        <f>VLOOKUP(TAB_ENTRADA[[#This Row],[Cod_2_Entrada]],TAB_ESTOQUE[[Codigo]:[Descrição Tecnica]],6,FALSE)</f>
        <v>SAFIRA WATER JET 8MM 003788-8</v>
      </c>
      <c r="C647" s="14">
        <f>IFERROR(VLOOKUP(TAB_ENTRADA[[#This Row],[Cod_2_Entrada]],TAB_ESTOQUE[[Codigo]:[Referência Tec]],7,FALSE),"")</f>
        <v>0</v>
      </c>
      <c r="D647" s="14" t="str">
        <f>VLOOKUP(TAB_ENTRADA[[#This Row],[Cod_2_Entrada]],TAB_ESTOQUE[[Codigo]:[Endereço2]],12,FALSE)</f>
        <v>ARMARIO</v>
      </c>
      <c r="E647" s="14">
        <f>SUM(TAB_ENTRADA[[#This Row],[20/05/2019]:[Colunas1]])</f>
        <v>241</v>
      </c>
      <c r="F647" s="3"/>
      <c r="FK647" s="3">
        <v>1</v>
      </c>
      <c r="FL647" s="3">
        <v>40</v>
      </c>
      <c r="FQ647" s="3">
        <v>10</v>
      </c>
      <c r="FS647" s="3">
        <v>15</v>
      </c>
      <c r="FW647" s="3">
        <v>40</v>
      </c>
      <c r="GH647" s="3">
        <v>40</v>
      </c>
      <c r="GM647" s="3">
        <v>12</v>
      </c>
      <c r="GO647" s="3">
        <v>28</v>
      </c>
      <c r="GP647" s="3">
        <v>40</v>
      </c>
      <c r="HC647" s="3">
        <v>15</v>
      </c>
    </row>
    <row r="648" spans="1:211" x14ac:dyDescent="0.25">
      <c r="A648" s="5" t="s">
        <v>2305</v>
      </c>
      <c r="B648" s="14" t="str">
        <f>VLOOKUP(TAB_ENTRADA[[#This Row],[Cod_2_Entrada]],TAB_ESTOQUE[[Codigo]:[Descrição Tecnica]],6,FALSE)</f>
        <v>FILTRO DE ALTA PRESSÃO DO ROBO W.J FL05110531  1/4"</v>
      </c>
      <c r="C648" s="14">
        <f>IFERROR(VLOOKUP(TAB_ENTRADA[[#This Row],[Cod_2_Entrada]],TAB_ESTOQUE[[Codigo]:[Referência Tec]],7,FALSE),"")</f>
        <v>0</v>
      </c>
      <c r="D648" s="14" t="str">
        <f>VLOOKUP(TAB_ENTRADA[[#This Row],[Cod_2_Entrada]],TAB_ESTOQUE[[Codigo]:[Endereço2]],12,FALSE)</f>
        <v>D2203</v>
      </c>
      <c r="E648" s="14">
        <f>SUM(TAB_ENTRADA[[#This Row],[20/05/2019]:[Colunas1]])</f>
        <v>39</v>
      </c>
      <c r="F648" s="3"/>
      <c r="FK648" s="3">
        <v>39</v>
      </c>
    </row>
    <row r="649" spans="1:211" x14ac:dyDescent="0.25">
      <c r="A649" s="5" t="s">
        <v>2306</v>
      </c>
      <c r="B649" s="14" t="str">
        <f>VLOOKUP(TAB_ENTRADA[[#This Row],[Cod_2_Entrada]],TAB_ESTOQUE[[Codigo]:[Descrição Tecnica]],6,FALSE)</f>
        <v>ANILHA ROSQUEADA PARA EMENDA DE SERPENTINA ALC 40-316 (DSR)</v>
      </c>
      <c r="C649" s="14">
        <f>IFERROR(VLOOKUP(TAB_ENTRADA[[#This Row],[Cod_2_Entrada]],TAB_ESTOQUE[[Codigo]:[Referência Tec]],7,FALSE),"")</f>
        <v>0</v>
      </c>
      <c r="D649" s="14" t="str">
        <f>VLOOKUP(TAB_ENTRADA[[#This Row],[Cod_2_Entrada]],TAB_ESTOQUE[[Codigo]:[Endereço2]],12,FALSE)</f>
        <v>D2203</v>
      </c>
      <c r="E649" s="14">
        <f>SUM(TAB_ENTRADA[[#This Row],[20/05/2019]:[Colunas1]])</f>
        <v>6</v>
      </c>
      <c r="F649" s="3"/>
      <c r="FK649" s="3">
        <v>6</v>
      </c>
    </row>
    <row r="650" spans="1:211" x14ac:dyDescent="0.25">
      <c r="A650" s="5" t="s">
        <v>2307</v>
      </c>
      <c r="B650" s="14" t="str">
        <f>VLOOKUP(TAB_ENTRADA[[#This Row],[Cod_2_Entrada]],TAB_ESTOQUE[[Codigo]:[Descrição Tecnica]],6,FALSE)</f>
        <v>REPARO DO INTENSIFICADOR PN: SL 05112768</v>
      </c>
      <c r="C650" s="14">
        <f>IFERROR(VLOOKUP(TAB_ENTRADA[[#This Row],[Cod_2_Entrada]],TAB_ESTOQUE[[Codigo]:[Referência Tec]],7,FALSE),"")</f>
        <v>0</v>
      </c>
      <c r="D650" s="14" t="str">
        <f>VLOOKUP(TAB_ENTRADA[[#This Row],[Cod_2_Entrada]],TAB_ESTOQUE[[Codigo]:[Endereço2]],12,FALSE)</f>
        <v>D2203</v>
      </c>
      <c r="E650" s="14">
        <f>SUM(TAB_ENTRADA[[#This Row],[20/05/2019]:[Colunas1]])</f>
        <v>1</v>
      </c>
      <c r="F650" s="3"/>
      <c r="FK650" s="3">
        <v>1</v>
      </c>
    </row>
    <row r="651" spans="1:211" x14ac:dyDescent="0.25">
      <c r="A651" s="5" t="s">
        <v>2308</v>
      </c>
      <c r="B651" s="14" t="str">
        <f>VLOOKUP(TAB_ENTRADA[[#This Row],[Cod_2_Entrada]],TAB_ESTOQUE[[Codigo]:[Descrição Tecnica]],6,FALSE)</f>
        <v>ANILHA DA SERPENTINA FLOW A0792-1 W.J  (DSR)</v>
      </c>
      <c r="C651" s="14">
        <f>IFERROR(VLOOKUP(TAB_ENTRADA[[#This Row],[Cod_2_Entrada]],TAB_ESTOQUE[[Codigo]:[Referência Tec]],7,FALSE),"")</f>
        <v>0</v>
      </c>
      <c r="D651" s="14" t="str">
        <f>VLOOKUP(TAB_ENTRADA[[#This Row],[Cod_2_Entrada]],TAB_ESTOQUE[[Codigo]:[Endereço2]],12,FALSE)</f>
        <v>D2203</v>
      </c>
      <c r="E651" s="14">
        <f>SUM(TAB_ENTRADA[[#This Row],[20/05/2019]:[Colunas1]])</f>
        <v>2</v>
      </c>
      <c r="F651" s="3"/>
      <c r="FK651" s="3">
        <v>2</v>
      </c>
    </row>
    <row r="652" spans="1:211" x14ac:dyDescent="0.25">
      <c r="A652" s="5" t="s">
        <v>2309</v>
      </c>
      <c r="B652" s="14" t="str">
        <f>VLOOKUP(TAB_ENTRADA[[#This Row],[Cod_2_Entrada]],TAB_ESTOQUE[[Codigo]:[Descrição Tecnica]],6,FALSE)</f>
        <v>PULVERIZADOR DE PORCELANA PARA O INTENSIFICADOR .05119151</v>
      </c>
      <c r="C652" s="14">
        <f>IFERROR(VLOOKUP(TAB_ENTRADA[[#This Row],[Cod_2_Entrada]],TAB_ESTOQUE[[Codigo]:[Referência Tec]],7,FALSE),"")</f>
        <v>0</v>
      </c>
      <c r="D652" s="14" t="str">
        <f>VLOOKUP(TAB_ENTRADA[[#This Row],[Cod_2_Entrada]],TAB_ESTOQUE[[Codigo]:[Endereço2]],12,FALSE)</f>
        <v>D2203</v>
      </c>
      <c r="E652" s="14">
        <f>SUM(TAB_ENTRADA[[#This Row],[20/05/2019]:[Colunas1]])</f>
        <v>3</v>
      </c>
      <c r="F652" s="3"/>
      <c r="FK652" s="3">
        <v>3</v>
      </c>
    </row>
    <row r="653" spans="1:211" x14ac:dyDescent="0.25">
      <c r="A653" s="5" t="s">
        <v>2310</v>
      </c>
      <c r="B653" s="14" t="str">
        <f>VLOOKUP(TAB_ENTRADA[[#This Row],[Cod_2_Entrada]],TAB_ESTOQUE[[Codigo]:[Descrição Tecnica]],6,FALSE)</f>
        <v>VALVULA DE ALTA PRESSÃO</v>
      </c>
      <c r="C653" s="14">
        <f>IFERROR(VLOOKUP(TAB_ENTRADA[[#This Row],[Cod_2_Entrada]],TAB_ESTOQUE[[Codigo]:[Referência Tec]],7,FALSE),"")</f>
        <v>0</v>
      </c>
      <c r="D653" s="14" t="str">
        <f>VLOOKUP(TAB_ENTRADA[[#This Row],[Cod_2_Entrada]],TAB_ESTOQUE[[Codigo]:[Endereço2]],12,FALSE)</f>
        <v>D2203</v>
      </c>
      <c r="E653" s="14">
        <f>SUM(TAB_ENTRADA[[#This Row],[20/05/2019]:[Colunas1]])</f>
        <v>3</v>
      </c>
      <c r="F653" s="3"/>
      <c r="FK653" s="3">
        <v>3</v>
      </c>
    </row>
    <row r="654" spans="1:211" x14ac:dyDescent="0.25">
      <c r="A654" s="5" t="s">
        <v>2311</v>
      </c>
      <c r="B654" s="14" t="str">
        <f>VLOOKUP(TAB_ENTRADA[[#This Row],[Cod_2_Entrada]],TAB_ESTOQUE[[Codigo]:[Descrição Tecnica]],6,FALSE)</f>
        <v>CELULA DE CARGA  500K MOD:TA26  S.M 20163071</v>
      </c>
      <c r="C654" s="14">
        <f>IFERROR(VLOOKUP(TAB_ENTRADA[[#This Row],[Cod_2_Entrada]],TAB_ESTOQUE[[Codigo]:[Referência Tec]],7,FALSE),"")</f>
        <v>0</v>
      </c>
      <c r="D654" s="14" t="str">
        <f>VLOOKUP(TAB_ENTRADA[[#This Row],[Cod_2_Entrada]],TAB_ESTOQUE[[Codigo]:[Endereço2]],12,FALSE)</f>
        <v>A1205</v>
      </c>
      <c r="E654" s="14">
        <f>SUM(TAB_ENTRADA[[#This Row],[20/05/2019]:[Colunas1]])</f>
        <v>1</v>
      </c>
      <c r="F654" s="3"/>
      <c r="FK654" s="3">
        <v>1</v>
      </c>
    </row>
    <row r="655" spans="1:211" x14ac:dyDescent="0.25">
      <c r="A655" s="5" t="s">
        <v>2312</v>
      </c>
      <c r="B655" s="14" t="str">
        <f>VLOOKUP(TAB_ENTRADA[[#This Row],[Cod_2_Entrada]],TAB_ESTOQUE[[Codigo]:[Descrição Tecnica]],6,FALSE)</f>
        <v>VALVULA SEU 1/8"</v>
      </c>
      <c r="C655" s="14">
        <f>IFERROR(VLOOKUP(TAB_ENTRADA[[#This Row],[Cod_2_Entrada]],TAB_ESTOQUE[[Codigo]:[Referência Tec]],7,FALSE),"")</f>
        <v>0</v>
      </c>
      <c r="D655" s="14" t="str">
        <f>VLOOKUP(TAB_ENTRADA[[#This Row],[Cod_2_Entrada]],TAB_ESTOQUE[[Codigo]:[Endereço2]],12,FALSE)</f>
        <v>D2203</v>
      </c>
      <c r="E655" s="14">
        <f>SUM(TAB_ENTRADA[[#This Row],[20/05/2019]:[Colunas1]])</f>
        <v>10</v>
      </c>
      <c r="F655" s="3"/>
      <c r="FK655" s="3">
        <v>10</v>
      </c>
    </row>
    <row r="656" spans="1:211" x14ac:dyDescent="0.25">
      <c r="A656" s="5" t="s">
        <v>2313</v>
      </c>
      <c r="B656" s="14" t="str">
        <f>VLOOKUP(TAB_ENTRADA[[#This Row],[Cod_2_Entrada]],TAB_ESTOQUE[[Codigo]:[Descrição Tecnica]],6,FALSE)</f>
        <v>SENSOR DE POSIÇÃO CILINDRO 871D-BW2N524-N3</v>
      </c>
      <c r="C656" s="14">
        <f>IFERROR(VLOOKUP(TAB_ENTRADA[[#This Row],[Cod_2_Entrada]],TAB_ESTOQUE[[Codigo]:[Referência Tec]],7,FALSE),"")</f>
        <v>0</v>
      </c>
      <c r="D656" s="14" t="str">
        <f>VLOOKUP(TAB_ENTRADA[[#This Row],[Cod_2_Entrada]],TAB_ESTOQUE[[Codigo]:[Endereço2]],12,FALSE)</f>
        <v>D2204</v>
      </c>
      <c r="E656" s="14">
        <f>SUM(TAB_ENTRADA[[#This Row],[20/05/2019]:[Colunas1]])</f>
        <v>3</v>
      </c>
      <c r="F656" s="3"/>
      <c r="FK656" s="3">
        <v>3</v>
      </c>
    </row>
    <row r="657" spans="1:212" x14ac:dyDescent="0.25">
      <c r="A657" s="5" t="s">
        <v>2314</v>
      </c>
      <c r="B657" s="14" t="str">
        <f>VLOOKUP(TAB_ENTRADA[[#This Row],[Cod_2_Entrada]],TAB_ESTOQUE[[Codigo]:[Descrição Tecnica]],6,FALSE)</f>
        <v>MOLA DO ATUADOR DA CANETA .05054119</v>
      </c>
      <c r="C657" s="14">
        <f>IFERROR(VLOOKUP(TAB_ENTRADA[[#This Row],[Cod_2_Entrada]],TAB_ESTOQUE[[Codigo]:[Referência Tec]],7,FALSE),"")</f>
        <v>0</v>
      </c>
      <c r="D657" s="14" t="str">
        <f>VLOOKUP(TAB_ENTRADA[[#This Row],[Cod_2_Entrada]],TAB_ESTOQUE[[Codigo]:[Endereço2]],12,FALSE)</f>
        <v>D2204</v>
      </c>
      <c r="E657" s="14">
        <f>SUM(TAB_ENTRADA[[#This Row],[20/05/2019]:[Colunas1]])</f>
        <v>12</v>
      </c>
      <c r="F657" s="3"/>
      <c r="FK657" s="3">
        <v>12</v>
      </c>
    </row>
    <row r="658" spans="1:212" x14ac:dyDescent="0.25">
      <c r="A658" s="5" t="s">
        <v>2315</v>
      </c>
      <c r="B658" s="14" t="str">
        <f>VLOOKUP(TAB_ENTRADA[[#This Row],[Cod_2_Entrada]],TAB_ESTOQUE[[Codigo]:[Descrição Tecnica]],6,FALSE)</f>
        <v>BLOCO KMT 10078525 W00079581</v>
      </c>
      <c r="C658" s="14">
        <f>IFERROR(VLOOKUP(TAB_ENTRADA[[#This Row],[Cod_2_Entrada]],TAB_ESTOQUE[[Codigo]:[Referência Tec]],7,FALSE),"")</f>
        <v>0</v>
      </c>
      <c r="D658" s="14" t="str">
        <f>VLOOKUP(TAB_ENTRADA[[#This Row],[Cod_2_Entrada]],TAB_ESTOQUE[[Codigo]:[Endereço2]],12,FALSE)</f>
        <v>D2204</v>
      </c>
      <c r="E658" s="14">
        <f>SUM(TAB_ENTRADA[[#This Row],[20/05/2019]:[Colunas1]])</f>
        <v>3</v>
      </c>
      <c r="F658" s="3"/>
      <c r="FK658" s="3">
        <v>3</v>
      </c>
    </row>
    <row r="659" spans="1:212" x14ac:dyDescent="0.25">
      <c r="A659" s="5" t="s">
        <v>2316</v>
      </c>
      <c r="B659" s="14" t="str">
        <f>VLOOKUP(TAB_ENTRADA[[#This Row],[Cod_2_Entrada]],TAB_ESTOQUE[[Codigo]:[Descrição Tecnica]],6,FALSE)</f>
        <v>REPARO DA CANETA W.J NC  NORMAL FECHADO VL05116025</v>
      </c>
      <c r="C659" s="14">
        <f>IFERROR(VLOOKUP(TAB_ENTRADA[[#This Row],[Cod_2_Entrada]],TAB_ESTOQUE[[Codigo]:[Referência Tec]],7,FALSE),"")</f>
        <v>0</v>
      </c>
      <c r="D659" s="14" t="str">
        <f>VLOOKUP(TAB_ENTRADA[[#This Row],[Cod_2_Entrada]],TAB_ESTOQUE[[Codigo]:[Endereço2]],12,FALSE)</f>
        <v>ARMARIO</v>
      </c>
      <c r="E659" s="14">
        <f>SUM(TAB_ENTRADA[[#This Row],[20/05/2019]:[Colunas1]])</f>
        <v>24</v>
      </c>
      <c r="F659" s="3"/>
      <c r="FK659" s="3">
        <v>3</v>
      </c>
      <c r="FW659" s="3">
        <v>2</v>
      </c>
      <c r="GH659" s="3">
        <v>6</v>
      </c>
      <c r="GR659" s="3">
        <v>2</v>
      </c>
      <c r="GV659" s="3">
        <v>6</v>
      </c>
      <c r="HB659" s="3">
        <v>3</v>
      </c>
      <c r="HD659" s="3">
        <v>2</v>
      </c>
    </row>
    <row r="660" spans="1:212" x14ac:dyDescent="0.25">
      <c r="A660" s="5" t="s">
        <v>2317</v>
      </c>
      <c r="B660" s="14" t="str">
        <f>VLOOKUP(TAB_ENTRADA[[#This Row],[Cod_2_Entrada]],TAB_ESTOQUE[[Codigo]:[Descrição Tecnica]],6,FALSE)</f>
        <v>ANNEL DE RETENÇÃO W.J PN: SL5034798</v>
      </c>
      <c r="C660" s="14">
        <f>IFERROR(VLOOKUP(TAB_ENTRADA[[#This Row],[Cod_2_Entrada]],TAB_ESTOQUE[[Codigo]:[Referência Tec]],7,FALSE),"")</f>
        <v>0</v>
      </c>
      <c r="D660" s="14" t="str">
        <f>VLOOKUP(TAB_ENTRADA[[#This Row],[Cod_2_Entrada]],TAB_ESTOQUE[[Codigo]:[Endereço2]],12,FALSE)</f>
        <v>D2203</v>
      </c>
      <c r="E660" s="14">
        <f>SUM(TAB_ENTRADA[[#This Row],[20/05/2019]:[Colunas1]])</f>
        <v>18</v>
      </c>
      <c r="F660" s="3"/>
      <c r="FK660" s="3">
        <v>18</v>
      </c>
    </row>
    <row r="661" spans="1:212" x14ac:dyDescent="0.25">
      <c r="A661" s="5" t="s">
        <v>2318</v>
      </c>
      <c r="B661" s="14" t="str">
        <f>VLOOKUP(TAB_ENTRADA[[#This Row],[Cod_2_Entrada]],TAB_ESTOQUE[[Codigo]:[Descrição Tecnica]],6,FALSE)</f>
        <v>VALVULA DE DESCARGA W.J 05116561 DRS</v>
      </c>
      <c r="C661" s="14">
        <f>IFERROR(VLOOKUP(TAB_ENTRADA[[#This Row],[Cod_2_Entrada]],TAB_ESTOQUE[[Codigo]:[Referência Tec]],7,FALSE),"")</f>
        <v>0</v>
      </c>
      <c r="D661" s="14" t="str">
        <f>VLOOKUP(TAB_ENTRADA[[#This Row],[Cod_2_Entrada]],TAB_ESTOQUE[[Codigo]:[Endereço2]],12,FALSE)</f>
        <v>D2203</v>
      </c>
      <c r="E661" s="14">
        <f>SUM(TAB_ENTRADA[[#This Row],[20/05/2019]:[Colunas1]])</f>
        <v>9</v>
      </c>
      <c r="F661" s="3"/>
      <c r="FK661" s="3">
        <v>9</v>
      </c>
    </row>
    <row r="662" spans="1:212" x14ac:dyDescent="0.25">
      <c r="A662" s="5" t="s">
        <v>2319</v>
      </c>
      <c r="B662" s="14" t="str">
        <f>VLOOKUP(TAB_ENTRADA[[#This Row],[Cod_2_Entrada]],TAB_ESTOQUE[[Codigo]:[Descrição Tecnica]],6,FALSE)</f>
        <v>REPARO DA CANETA W.J NO NORMAL ABEERTO VL05116017</v>
      </c>
      <c r="C662" s="14">
        <f>IFERROR(VLOOKUP(TAB_ENTRADA[[#This Row],[Cod_2_Entrada]],TAB_ESTOQUE[[Codigo]:[Referência Tec]],7,FALSE),"")</f>
        <v>0</v>
      </c>
      <c r="D662" s="14" t="str">
        <f>VLOOKUP(TAB_ENTRADA[[#This Row],[Cod_2_Entrada]],TAB_ESTOQUE[[Codigo]:[Endereço2]],12,FALSE)</f>
        <v>ARMARIO</v>
      </c>
      <c r="E662" s="14">
        <f>SUM(TAB_ENTRADA[[#This Row],[20/05/2019]:[Colunas1]])</f>
        <v>16</v>
      </c>
      <c r="F662" s="3"/>
      <c r="FK662" s="3">
        <v>3</v>
      </c>
      <c r="FQ662" s="3">
        <v>6</v>
      </c>
      <c r="GH662" s="3">
        <v>3</v>
      </c>
      <c r="GR662" s="3">
        <v>2</v>
      </c>
      <c r="HD662" s="3">
        <v>2</v>
      </c>
    </row>
    <row r="663" spans="1:212" x14ac:dyDescent="0.25">
      <c r="A663" s="5" t="s">
        <v>2320</v>
      </c>
      <c r="B663" s="14" t="str">
        <f>VLOOKUP(TAB_ENTRADA[[#This Row],[Cod_2_Entrada]],TAB_ESTOQUE[[Codigo]:[Descrição Tecnica]],6,FALSE)</f>
        <v>LUVA PARA SERPENTINA  1/4 FLOW A0780-1 W.J (DSR)</v>
      </c>
      <c r="C663" s="14">
        <f>IFERROR(VLOOKUP(TAB_ENTRADA[[#This Row],[Cod_2_Entrada]],TAB_ESTOQUE[[Codigo]:[Referência Tec]],7,FALSE),"")</f>
        <v>0</v>
      </c>
      <c r="D663" s="14" t="str">
        <f>VLOOKUP(TAB_ENTRADA[[#This Row],[Cod_2_Entrada]],TAB_ESTOQUE[[Codigo]:[Endereço2]],12,FALSE)</f>
        <v>D2203</v>
      </c>
      <c r="E663" s="14">
        <f>SUM(TAB_ENTRADA[[#This Row],[20/05/2019]:[Colunas1]])</f>
        <v>5</v>
      </c>
      <c r="F663" s="3"/>
      <c r="FK663" s="3">
        <v>5</v>
      </c>
    </row>
    <row r="664" spans="1:212" x14ac:dyDescent="0.25">
      <c r="A664" s="5" t="s">
        <v>2321</v>
      </c>
      <c r="B664" s="14" t="str">
        <f>VLOOKUP(TAB_ENTRADA[[#This Row],[Cod_2_Entrada]],TAB_ESTOQUE[[Codigo]:[Descrição Tecnica]],6,FALSE)</f>
        <v>VALVULA HIDRAULICA HUADE REF: 4WE 10 D31B/CG24N9Z4</v>
      </c>
      <c r="C664" s="14">
        <f>IFERROR(VLOOKUP(TAB_ENTRADA[[#This Row],[Cod_2_Entrada]],TAB_ESTOQUE[[Codigo]:[Referência Tec]],7,FALSE),"")</f>
        <v>0</v>
      </c>
      <c r="D664" s="14" t="str">
        <f>VLOOKUP(TAB_ENTRADA[[#This Row],[Cod_2_Entrada]],TAB_ESTOQUE[[Codigo]:[Endereço2]],12,FALSE)</f>
        <v>C2203</v>
      </c>
      <c r="E664" s="14">
        <f>SUM(TAB_ENTRADA[[#This Row],[20/05/2019]:[Colunas1]])</f>
        <v>2</v>
      </c>
      <c r="F664" s="3"/>
      <c r="FK664" s="3">
        <v>2</v>
      </c>
    </row>
    <row r="665" spans="1:212" x14ac:dyDescent="0.25">
      <c r="A665" s="5" t="s">
        <v>2322</v>
      </c>
      <c r="B665" s="14" t="str">
        <f>VLOOKUP(TAB_ENTRADA[[#This Row],[Cod_2_Entrada]],TAB_ESTOQUE[[Codigo]:[Descrição Tecnica]],6,FALSE)</f>
        <v>ROLAMENTO 5805</v>
      </c>
      <c r="C665" s="14">
        <f>IFERROR(VLOOKUP(TAB_ENTRADA[[#This Row],[Cod_2_Entrada]],TAB_ESTOQUE[[Codigo]:[Referência Tec]],7,FALSE),"")</f>
        <v>0</v>
      </c>
      <c r="D665" s="14" t="str">
        <f>VLOOKUP(TAB_ENTRADA[[#This Row],[Cod_2_Entrada]],TAB_ESTOQUE[[Codigo]:[Endereço2]],12,FALSE)</f>
        <v>D2106</v>
      </c>
      <c r="E665" s="14">
        <f>SUM(TAB_ENTRADA[[#This Row],[20/05/2019]:[Colunas1]])</f>
        <v>4</v>
      </c>
      <c r="F665" s="3"/>
      <c r="FK665" s="3">
        <v>4</v>
      </c>
    </row>
    <row r="666" spans="1:212" x14ac:dyDescent="0.25">
      <c r="A666" s="5" t="s">
        <v>2323</v>
      </c>
      <c r="B666" s="14" t="str">
        <f>VLOOKUP(TAB_ENTRADA[[#This Row],[Cod_2_Entrada]],TAB_ESTOQUE[[Codigo]:[Descrição Tecnica]],6,FALSE)</f>
        <v>ROLAMENTO UC205</v>
      </c>
      <c r="C666" s="14">
        <f>IFERROR(VLOOKUP(TAB_ENTRADA[[#This Row],[Cod_2_Entrada]],TAB_ESTOQUE[[Codigo]:[Referência Tec]],7,FALSE),"")</f>
        <v>0</v>
      </c>
      <c r="D666" s="14" t="str">
        <f>VLOOKUP(TAB_ENTRADA[[#This Row],[Cod_2_Entrada]],TAB_ESTOQUE[[Codigo]:[Endereço2]],12,FALSE)</f>
        <v>D2105</v>
      </c>
      <c r="E666" s="14">
        <f>SUM(TAB_ENTRADA[[#This Row],[20/05/2019]:[Colunas1]])</f>
        <v>8</v>
      </c>
      <c r="F666" s="3"/>
      <c r="FK666" s="3">
        <v>8</v>
      </c>
    </row>
    <row r="667" spans="1:212" x14ac:dyDescent="0.25">
      <c r="A667" s="5" t="s">
        <v>2324</v>
      </c>
      <c r="B667" s="14" t="str">
        <f>VLOOKUP(TAB_ENTRADA[[#This Row],[Cod_2_Entrada]],TAB_ESTOQUE[[Codigo]:[Descrição Tecnica]],6,FALSE)</f>
        <v>ROLAMENTO 6208</v>
      </c>
      <c r="C667" s="14">
        <f>IFERROR(VLOOKUP(TAB_ENTRADA[[#This Row],[Cod_2_Entrada]],TAB_ESTOQUE[[Codigo]:[Referência Tec]],7,FALSE),"")</f>
        <v>0</v>
      </c>
      <c r="D667" s="14" t="str">
        <f>VLOOKUP(TAB_ENTRADA[[#This Row],[Cod_2_Entrada]],TAB_ESTOQUE[[Codigo]:[Endereço2]],12,FALSE)</f>
        <v>D2105</v>
      </c>
      <c r="E667" s="14">
        <f>SUM(TAB_ENTRADA[[#This Row],[20/05/2019]:[Colunas1]])</f>
        <v>4</v>
      </c>
      <c r="F667" s="3"/>
      <c r="FK667" s="3">
        <v>4</v>
      </c>
    </row>
    <row r="668" spans="1:212" x14ac:dyDescent="0.25">
      <c r="A668" s="5" t="s">
        <v>2325</v>
      </c>
      <c r="B668" s="14" t="str">
        <f>VLOOKUP(TAB_ENTRADA[[#This Row],[Cod_2_Entrada]],TAB_ESTOQUE[[Codigo]:[Descrição Tecnica]],6,FALSE)</f>
        <v>ROLAMENTO 6209</v>
      </c>
      <c r="C668" s="14">
        <f>IFERROR(VLOOKUP(TAB_ENTRADA[[#This Row],[Cod_2_Entrada]],TAB_ESTOQUE[[Codigo]:[Referência Tec]],7,FALSE),"")</f>
        <v>0</v>
      </c>
      <c r="D668" s="14" t="str">
        <f>VLOOKUP(TAB_ENTRADA[[#This Row],[Cod_2_Entrada]],TAB_ESTOQUE[[Codigo]:[Endereço2]],12,FALSE)</f>
        <v>D2206</v>
      </c>
      <c r="E668" s="14">
        <f>SUM(TAB_ENTRADA[[#This Row],[20/05/2019]:[Colunas1]])</f>
        <v>6</v>
      </c>
      <c r="F668" s="3"/>
      <c r="FK668" s="3">
        <v>6</v>
      </c>
    </row>
    <row r="669" spans="1:212" x14ac:dyDescent="0.25">
      <c r="A669" s="5" t="s">
        <v>2326</v>
      </c>
      <c r="B669" s="14" t="str">
        <f>VLOOKUP(TAB_ENTRADA[[#This Row],[Cod_2_Entrada]],TAB_ESTOQUE[[Codigo]:[Descrição Tecnica]],6,FALSE)</f>
        <v>TEFLON ALTA TEMPERATURA ADESIVADO  Lençol armalon® C/Ade</v>
      </c>
      <c r="C669" s="14">
        <f>IFERROR(VLOOKUP(TAB_ENTRADA[[#This Row],[Cod_2_Entrada]],TAB_ESTOQUE[[Codigo]:[Referência Tec]],7,FALSE),"")</f>
        <v>0</v>
      </c>
      <c r="D669" s="14" t="str">
        <f>VLOOKUP(TAB_ENTRADA[[#This Row],[Cod_2_Entrada]],TAB_ESTOQUE[[Codigo]:[Endereço2]],12,FALSE)</f>
        <v>CORREDOR 2</v>
      </c>
      <c r="E669" s="14">
        <f>SUM(TAB_ENTRADA[[#This Row],[20/05/2019]:[Colunas1]])</f>
        <v>10</v>
      </c>
      <c r="F669" s="3"/>
      <c r="FK669" s="3">
        <v>10</v>
      </c>
    </row>
    <row r="670" spans="1:212" x14ac:dyDescent="0.25">
      <c r="A670" s="5" t="s">
        <v>2327</v>
      </c>
      <c r="B670" s="14" t="str">
        <f>VLOOKUP(TAB_ENTRADA[[#This Row],[Cod_2_Entrada]],TAB_ESTOQUE[[Codigo]:[Descrição Tecnica]],6,FALSE)</f>
        <v>TEFLON PARA ALTA TEMPERATURA SEM ADESIVO Lençol armalon® Sem/Ade</v>
      </c>
      <c r="C670" s="14">
        <f>IFERROR(VLOOKUP(TAB_ENTRADA[[#This Row],[Cod_2_Entrada]],TAB_ESTOQUE[[Codigo]:[Referência Tec]],7,FALSE),"")</f>
        <v>0</v>
      </c>
      <c r="D670" s="14" t="str">
        <f>VLOOKUP(TAB_ENTRADA[[#This Row],[Cod_2_Entrada]],TAB_ESTOQUE[[Codigo]:[Endereço2]],12,FALSE)</f>
        <v>CORREDOR 2</v>
      </c>
      <c r="E670" s="14">
        <f>SUM(TAB_ENTRADA[[#This Row],[20/05/2019]:[Colunas1]])</f>
        <v>20</v>
      </c>
      <c r="F670" s="3"/>
      <c r="FK670" s="3">
        <v>20</v>
      </c>
    </row>
    <row r="671" spans="1:212" x14ac:dyDescent="0.25">
      <c r="A671" s="5" t="s">
        <v>2328</v>
      </c>
      <c r="B671" s="14" t="str">
        <f>VLOOKUP(TAB_ENTRADA[[#This Row],[Cod_2_Entrada]],TAB_ESTOQUE[[Codigo]:[Descrição Tecnica]],6,FALSE)</f>
        <v>ESCAPE RAPIDO MOD: REV-3</v>
      </c>
      <c r="C671" s="14">
        <f>IFERROR(VLOOKUP(TAB_ENTRADA[[#This Row],[Cod_2_Entrada]],TAB_ESTOQUE[[Codigo]:[Referência Tec]],7,FALSE),"")</f>
        <v>0</v>
      </c>
      <c r="D671" s="14" t="str">
        <f>VLOOKUP(TAB_ENTRADA[[#This Row],[Cod_2_Entrada]],TAB_ESTOQUE[[Codigo]:[Endereço2]],12,FALSE)</f>
        <v>D2302</v>
      </c>
      <c r="E671" s="14">
        <f>SUM(TAB_ENTRADA[[#This Row],[20/05/2019]:[Colunas1]])</f>
        <v>4</v>
      </c>
      <c r="F671" s="3"/>
      <c r="FK671" s="3">
        <v>4</v>
      </c>
    </row>
    <row r="672" spans="1:212" x14ac:dyDescent="0.25">
      <c r="A672" s="5" t="s">
        <v>2329</v>
      </c>
      <c r="B672" s="14" t="str">
        <f>VLOOKUP(TAB_ENTRADA[[#This Row],[Cod_2_Entrada]],TAB_ESTOQUE[[Codigo]:[Descrição Tecnica]],6,FALSE)</f>
        <v>VALVULA HIDRAULICA PARKER REF: D1VW004KNJWT91</v>
      </c>
      <c r="C672" s="14">
        <f>IFERROR(VLOOKUP(TAB_ENTRADA[[#This Row],[Cod_2_Entrada]],TAB_ESTOQUE[[Codigo]:[Referência Tec]],7,FALSE),"")</f>
        <v>0</v>
      </c>
      <c r="D672" s="14" t="str">
        <f>VLOOKUP(TAB_ENTRADA[[#This Row],[Cod_2_Entrada]],TAB_ESTOQUE[[Codigo]:[Endereço2]],12,FALSE)</f>
        <v>C2103</v>
      </c>
      <c r="E672" s="14">
        <f>SUM(TAB_ENTRADA[[#This Row],[20/05/2019]:[Colunas1]])</f>
        <v>1</v>
      </c>
      <c r="F672" s="3"/>
      <c r="FK672" s="3">
        <v>1</v>
      </c>
    </row>
    <row r="673" spans="1:167" x14ac:dyDescent="0.25">
      <c r="A673" s="5" t="s">
        <v>2330</v>
      </c>
      <c r="B673" s="14" t="str">
        <f>VLOOKUP(TAB_ENTRADA[[#This Row],[Cod_2_Entrada]],TAB_ESTOQUE[[Codigo]:[Descrição Tecnica]],6,FALSE)</f>
        <v>VALVULA ESFERA TRIPARTIDA  1/2"</v>
      </c>
      <c r="C673" s="14">
        <f>IFERROR(VLOOKUP(TAB_ENTRADA[[#This Row],[Cod_2_Entrada]],TAB_ESTOQUE[[Codigo]:[Referência Tec]],7,FALSE),"")</f>
        <v>0</v>
      </c>
      <c r="D673" s="14" t="str">
        <f>VLOOKUP(TAB_ENTRADA[[#This Row],[Cod_2_Entrada]],TAB_ESTOQUE[[Codigo]:[Endereço2]],12,FALSE)</f>
        <v>D2402</v>
      </c>
      <c r="E673" s="14">
        <f>SUM(TAB_ENTRADA[[#This Row],[20/05/2019]:[Colunas1]])</f>
        <v>0</v>
      </c>
      <c r="F673" s="3"/>
      <c r="FK673" s="3">
        <v>0</v>
      </c>
    </row>
    <row r="674" spans="1:167" x14ac:dyDescent="0.25">
      <c r="A674" s="5" t="s">
        <v>2331</v>
      </c>
      <c r="B674" s="14" t="str">
        <f>VLOOKUP(TAB_ENTRADA[[#This Row],[Cod_2_Entrada]],TAB_ESTOQUE[[Codigo]:[Descrição Tecnica]],6,FALSE)</f>
        <v>VALVULA REXROTH R900919723</v>
      </c>
      <c r="C674" s="14">
        <f>IFERROR(VLOOKUP(TAB_ENTRADA[[#This Row],[Cod_2_Entrada]],TAB_ESTOQUE[[Codigo]:[Referência Tec]],7,FALSE),"")</f>
        <v>0</v>
      </c>
      <c r="D674" s="14" t="str">
        <f>VLOOKUP(TAB_ENTRADA[[#This Row],[Cod_2_Entrada]],TAB_ESTOQUE[[Codigo]:[Endereço2]],12,FALSE)</f>
        <v>D2302</v>
      </c>
      <c r="E674" s="14">
        <f>SUM(TAB_ENTRADA[[#This Row],[20/05/2019]:[Colunas1]])</f>
        <v>3</v>
      </c>
      <c r="F674" s="3"/>
      <c r="FK674" s="3">
        <v>3</v>
      </c>
    </row>
    <row r="675" spans="1:167" x14ac:dyDescent="0.25">
      <c r="A675" s="5" t="s">
        <v>2332</v>
      </c>
      <c r="B675" s="14" t="str">
        <f>VLOOKUP(TAB_ENTRADA[[#This Row],[Cod_2_Entrada]],TAB_ESTOQUE[[Codigo]:[Descrição Tecnica]],6,FALSE)</f>
        <v>LIXA D'AGUA 2000</v>
      </c>
      <c r="C675" s="14">
        <f>IFERROR(VLOOKUP(TAB_ENTRADA[[#This Row],[Cod_2_Entrada]],TAB_ESTOQUE[[Codigo]:[Referência Tec]],7,FALSE),"")</f>
        <v>0</v>
      </c>
      <c r="D675" s="14" t="str">
        <f>VLOOKUP(TAB_ENTRADA[[#This Row],[Cod_2_Entrada]],TAB_ESTOQUE[[Codigo]:[Endereço2]],12,FALSE)</f>
        <v>D1103</v>
      </c>
      <c r="E675" s="14">
        <f>SUM(TAB_ENTRADA[[#This Row],[20/05/2019]:[Colunas1]])</f>
        <v>102</v>
      </c>
      <c r="F675" s="3"/>
      <c r="FK675" s="3">
        <v>102</v>
      </c>
    </row>
    <row r="676" spans="1:167" x14ac:dyDescent="0.25">
      <c r="A676" s="5" t="s">
        <v>2333</v>
      </c>
      <c r="B676" s="14" t="str">
        <f>VLOOKUP(TAB_ENTRADA[[#This Row],[Cod_2_Entrada]],TAB_ESTOQUE[[Codigo]:[Descrição Tecnica]],6,FALSE)</f>
        <v>VALVULA REXROTH R900912549</v>
      </c>
      <c r="C676" s="14">
        <f>IFERROR(VLOOKUP(TAB_ENTRADA[[#This Row],[Cod_2_Entrada]],TAB_ESTOQUE[[Codigo]:[Referência Tec]],7,FALSE),"")</f>
        <v>0</v>
      </c>
      <c r="D676" s="14" t="str">
        <f>VLOOKUP(TAB_ENTRADA[[#This Row],[Cod_2_Entrada]],TAB_ESTOQUE[[Codigo]:[Endereço2]],12,FALSE)</f>
        <v>D2302</v>
      </c>
      <c r="E676" s="14">
        <f>SUM(TAB_ENTRADA[[#This Row],[20/05/2019]:[Colunas1]])</f>
        <v>2</v>
      </c>
      <c r="F676" s="3"/>
      <c r="FK676" s="3">
        <v>2</v>
      </c>
    </row>
    <row r="677" spans="1:167" x14ac:dyDescent="0.25">
      <c r="A677" s="5" t="s">
        <v>2334</v>
      </c>
      <c r="B677" s="14" t="str">
        <f>VLOOKUP(TAB_ENTRADA[[#This Row],[Cod_2_Entrada]],TAB_ESTOQUE[[Codigo]:[Descrição Tecnica]],6,FALSE)</f>
        <v>VALVULA REXROTH R900912531</v>
      </c>
      <c r="C677" s="14">
        <f>IFERROR(VLOOKUP(TAB_ENTRADA[[#This Row],[Cod_2_Entrada]],TAB_ESTOQUE[[Codigo]:[Referência Tec]],7,FALSE),"")</f>
        <v>0</v>
      </c>
      <c r="D677" s="14" t="str">
        <f>VLOOKUP(TAB_ENTRADA[[#This Row],[Cod_2_Entrada]],TAB_ESTOQUE[[Codigo]:[Endereço2]],12,FALSE)</f>
        <v>D2302</v>
      </c>
      <c r="E677" s="14">
        <f>SUM(TAB_ENTRADA[[#This Row],[20/05/2019]:[Colunas1]])</f>
        <v>1</v>
      </c>
      <c r="F677" s="3"/>
      <c r="FK677" s="3">
        <v>1</v>
      </c>
    </row>
    <row r="678" spans="1:167" x14ac:dyDescent="0.25">
      <c r="A678" s="5" t="s">
        <v>2335</v>
      </c>
      <c r="B678" s="14" t="str">
        <f>VLOOKUP(TAB_ENTRADA[[#This Row],[Cod_2_Entrada]],TAB_ESTOQUE[[Codigo]:[Descrição Tecnica]],6,FALSE)</f>
        <v>BLOCO HIDRAULICO REXROTH 0E15000 300 5500</v>
      </c>
      <c r="C678" s="14">
        <f>IFERROR(VLOOKUP(TAB_ENTRADA[[#This Row],[Cod_2_Entrada]],TAB_ESTOQUE[[Codigo]:[Referência Tec]],7,FALSE),"")</f>
        <v>0</v>
      </c>
      <c r="D678" s="14" t="str">
        <f>VLOOKUP(TAB_ENTRADA[[#This Row],[Cod_2_Entrada]],TAB_ESTOQUE[[Codigo]:[Endereço2]],12,FALSE)</f>
        <v>C2203</v>
      </c>
      <c r="E678" s="14">
        <f>SUM(TAB_ENTRADA[[#This Row],[20/05/2019]:[Colunas1]])</f>
        <v>2</v>
      </c>
      <c r="F678" s="3"/>
      <c r="FK678" s="3">
        <v>2</v>
      </c>
    </row>
    <row r="679" spans="1:167" x14ac:dyDescent="0.25">
      <c r="A679" s="5" t="s">
        <v>2336</v>
      </c>
      <c r="B679" s="14" t="str">
        <f>VLOOKUP(TAB_ENTRADA[[#This Row],[Cod_2_Entrada]],TAB_ESTOQUE[[Codigo]:[Descrição Tecnica]],6,FALSE)</f>
        <v>ESCAPE RAPIDO MOD: 1/8" WERR COD-10288</v>
      </c>
      <c r="C679" s="14">
        <f>IFERROR(VLOOKUP(TAB_ENTRADA[[#This Row],[Cod_2_Entrada]],TAB_ESTOQUE[[Codigo]:[Referência Tec]],7,FALSE),"")</f>
        <v>0</v>
      </c>
      <c r="D679" s="14" t="str">
        <f>VLOOKUP(TAB_ENTRADA[[#This Row],[Cod_2_Entrada]],TAB_ESTOQUE[[Codigo]:[Endereço2]],12,FALSE)</f>
        <v>D2302</v>
      </c>
      <c r="E679" s="14">
        <f>SUM(TAB_ENTRADA[[#This Row],[20/05/2019]:[Colunas1]])</f>
        <v>3</v>
      </c>
      <c r="F679" s="3"/>
      <c r="FK679" s="3">
        <v>3</v>
      </c>
    </row>
    <row r="680" spans="1:167" x14ac:dyDescent="0.25">
      <c r="A680" s="5" t="s">
        <v>2337</v>
      </c>
      <c r="B680" s="14" t="str">
        <f>VLOOKUP(TAB_ENTRADA[[#This Row],[Cod_2_Entrada]],TAB_ESTOQUE[[Codigo]:[Descrição Tecnica]],6,FALSE)</f>
        <v>VALVULA HIDRAULICA REGULAGEM REXROTH REF: DBD56K1C/315</v>
      </c>
      <c r="C680" s="14">
        <f>IFERROR(VLOOKUP(TAB_ENTRADA[[#This Row],[Cod_2_Entrada]],TAB_ESTOQUE[[Codigo]:[Referência Tec]],7,FALSE),"")</f>
        <v>0</v>
      </c>
      <c r="D680" s="14" t="str">
        <f>VLOOKUP(TAB_ENTRADA[[#This Row],[Cod_2_Entrada]],TAB_ESTOQUE[[Codigo]:[Endereço2]],12,FALSE)</f>
        <v>C2103</v>
      </c>
      <c r="E680" s="14">
        <f>SUM(TAB_ENTRADA[[#This Row],[20/05/2019]:[Colunas1]])</f>
        <v>2</v>
      </c>
      <c r="F680" s="3"/>
      <c r="FK680" s="3">
        <v>2</v>
      </c>
    </row>
    <row r="681" spans="1:167" x14ac:dyDescent="0.25">
      <c r="A681" s="5" t="s">
        <v>2338</v>
      </c>
      <c r="B681" s="14" t="str">
        <f>VLOOKUP(TAB_ENTRADA[[#This Row],[Cod_2_Entrada]],TAB_ESTOQUE[[Codigo]:[Descrição Tecnica]],6,FALSE)</f>
        <v>KIT PRENSA FCE001897/T</v>
      </c>
      <c r="C681" s="14">
        <f>IFERROR(VLOOKUP(TAB_ENTRADA[[#This Row],[Cod_2_Entrada]],TAB_ESTOQUE[[Codigo]:[Referência Tec]],7,FALSE),"")</f>
        <v>0</v>
      </c>
      <c r="D681" s="14" t="str">
        <f>VLOOKUP(TAB_ENTRADA[[#This Row],[Cod_2_Entrada]],TAB_ESTOQUE[[Codigo]:[Endereço2]],12,FALSE)</f>
        <v>D1305</v>
      </c>
      <c r="E681" s="14">
        <f>SUM(TAB_ENTRADA[[#This Row],[20/05/2019]:[Colunas1]])</f>
        <v>1</v>
      </c>
      <c r="F681" s="3"/>
      <c r="FK681" s="3">
        <v>1</v>
      </c>
    </row>
    <row r="682" spans="1:167" x14ac:dyDescent="0.25">
      <c r="A682" s="5" t="s">
        <v>2339</v>
      </c>
      <c r="B682" s="14" t="str">
        <f>VLOOKUP(TAB_ENTRADA[[#This Row],[Cod_2_Entrada]],TAB_ESTOQUE[[Codigo]:[Descrição Tecnica]],6,FALSE)</f>
        <v>VALVULA HIDRAULICA D1SE30 BNJW  PARKER</v>
      </c>
      <c r="C682" s="14">
        <f>IFERROR(VLOOKUP(TAB_ENTRADA[[#This Row],[Cod_2_Entrada]],TAB_ESTOQUE[[Codigo]:[Referência Tec]],7,FALSE),"")</f>
        <v>0</v>
      </c>
      <c r="D682" s="14" t="str">
        <f>VLOOKUP(TAB_ENTRADA[[#This Row],[Cod_2_Entrada]],TAB_ESTOQUE[[Codigo]:[Endereço2]],12,FALSE)</f>
        <v>C2104</v>
      </c>
      <c r="E682" s="14">
        <f>SUM(TAB_ENTRADA[[#This Row],[20/05/2019]:[Colunas1]])</f>
        <v>7</v>
      </c>
      <c r="F682" s="3"/>
      <c r="FK682" s="3">
        <v>7</v>
      </c>
    </row>
    <row r="683" spans="1:167" x14ac:dyDescent="0.25">
      <c r="A683" s="5" t="s">
        <v>2340</v>
      </c>
      <c r="B683" s="14" t="str">
        <f>VLOOKUP(TAB_ENTRADA[[#This Row],[Cod_2_Entrada]],TAB_ESTOQUE[[Codigo]:[Descrição Tecnica]],6,FALSE)</f>
        <v xml:space="preserve">TRAVA QUEDA 10M MOD: VIC29061P </v>
      </c>
      <c r="C683" s="14">
        <f>IFERROR(VLOOKUP(TAB_ENTRADA[[#This Row],[Cod_2_Entrada]],TAB_ESTOQUE[[Codigo]:[Referência Tec]],7,FALSE),"")</f>
        <v>0</v>
      </c>
      <c r="D683" s="14" t="str">
        <f>VLOOKUP(TAB_ENTRADA[[#This Row],[Cod_2_Entrada]],TAB_ESTOQUE[[Codigo]:[Endereço2]],12,FALSE)</f>
        <v>D1305</v>
      </c>
      <c r="E683" s="14">
        <f>SUM(TAB_ENTRADA[[#This Row],[20/05/2019]:[Colunas1]])</f>
        <v>1</v>
      </c>
      <c r="F683" s="3"/>
      <c r="FK683" s="3">
        <v>1</v>
      </c>
    </row>
    <row r="684" spans="1:167" x14ac:dyDescent="0.25">
      <c r="A684" s="5" t="s">
        <v>2341</v>
      </c>
      <c r="B684" s="14" t="str">
        <f>VLOOKUP(TAB_ENTRADA[[#This Row],[Cod_2_Entrada]],TAB_ESTOQUE[[Codigo]:[Descrição Tecnica]],6,FALSE)</f>
        <v>VALVULA HIDRAULICA SIMPLES SOLENOIDE RETORNO POR MOLA 4/3 VIAS DSG-03-2B2-D24-N1-50</v>
      </c>
      <c r="C684" s="14">
        <f>IFERROR(VLOOKUP(TAB_ENTRADA[[#This Row],[Cod_2_Entrada]],TAB_ESTOQUE[[Codigo]:[Referência Tec]],7,FALSE),"")</f>
        <v>0</v>
      </c>
      <c r="D684" s="14" t="str">
        <f>VLOOKUP(TAB_ENTRADA[[#This Row],[Cod_2_Entrada]],TAB_ESTOQUE[[Codigo]:[Endereço2]],12,FALSE)</f>
        <v>C2103</v>
      </c>
      <c r="E684" s="14">
        <f>SUM(TAB_ENTRADA[[#This Row],[20/05/2019]:[Colunas1]])</f>
        <v>0</v>
      </c>
      <c r="F684" s="3"/>
      <c r="FK684" s="3">
        <v>0</v>
      </c>
    </row>
    <row r="685" spans="1:167" x14ac:dyDescent="0.25">
      <c r="A685" s="5" t="s">
        <v>2342</v>
      </c>
      <c r="B685" s="14" t="str">
        <f>VLOOKUP(TAB_ENTRADA[[#This Row],[Cod_2_Entrada]],TAB_ESTOQUE[[Codigo]:[Descrição Tecnica]],6,FALSE)</f>
        <v>VALVULA FESTO ESCAPE RAPIDO REF: SE-1/2-B 9688</v>
      </c>
      <c r="C685" s="14">
        <f>IFERROR(VLOOKUP(TAB_ENTRADA[[#This Row],[Cod_2_Entrada]],TAB_ESTOQUE[[Codigo]:[Referência Tec]],7,FALSE),"")</f>
        <v>0</v>
      </c>
      <c r="D685" s="14" t="str">
        <f>VLOOKUP(TAB_ENTRADA[[#This Row],[Cod_2_Entrada]],TAB_ESTOQUE[[Codigo]:[Endereço2]],12,FALSE)</f>
        <v>D1303</v>
      </c>
      <c r="E685" s="14">
        <f>SUM(TAB_ENTRADA[[#This Row],[20/05/2019]:[Colunas1]])</f>
        <v>1</v>
      </c>
      <c r="F685" s="3"/>
      <c r="FK685" s="3">
        <v>1</v>
      </c>
    </row>
    <row r="686" spans="1:167" x14ac:dyDescent="0.25">
      <c r="A686" s="5" t="s">
        <v>2343</v>
      </c>
      <c r="B686" s="14" t="str">
        <f>VLOOKUP(TAB_ENTRADA[[#This Row],[Cod_2_Entrada]],TAB_ESTOQUE[[Codigo]:[Descrição Tecnica]],6,FALSE)</f>
        <v>VALVULA HIDRAULICA REGULAGEM REF: RBACKAN 1EG4</v>
      </c>
      <c r="C686" s="14">
        <f>IFERROR(VLOOKUP(TAB_ENTRADA[[#This Row],[Cod_2_Entrada]],TAB_ESTOQUE[[Codigo]:[Referência Tec]],7,FALSE),"")</f>
        <v>0</v>
      </c>
      <c r="D686" s="14" t="str">
        <f>VLOOKUP(TAB_ENTRADA[[#This Row],[Cod_2_Entrada]],TAB_ESTOQUE[[Codigo]:[Endereço2]],12,FALSE)</f>
        <v>C2103</v>
      </c>
      <c r="E686" s="14">
        <f>SUM(TAB_ENTRADA[[#This Row],[20/05/2019]:[Colunas1]])</f>
        <v>2</v>
      </c>
      <c r="F686" s="3"/>
      <c r="FK686" s="3">
        <v>2</v>
      </c>
    </row>
    <row r="687" spans="1:167" x14ac:dyDescent="0.25">
      <c r="A687" s="5" t="s">
        <v>2344</v>
      </c>
      <c r="B687" s="14" t="str">
        <f>VLOOKUP(TAB_ENTRADA[[#This Row],[Cod_2_Entrada]],TAB_ESTOQUE[[Codigo]:[Descrição Tecnica]],6,FALSE)</f>
        <v>VALVULA HIDRAULICA VISTA REF: V 4WE6D6X/OEG24NZ5L</v>
      </c>
      <c r="C687" s="14">
        <f>IFERROR(VLOOKUP(TAB_ENTRADA[[#This Row],[Cod_2_Entrada]],TAB_ESTOQUE[[Codigo]:[Referência Tec]],7,FALSE),"")</f>
        <v>0</v>
      </c>
      <c r="D687" s="14" t="str">
        <f>VLOOKUP(TAB_ENTRADA[[#This Row],[Cod_2_Entrada]],TAB_ESTOQUE[[Codigo]:[Endereço2]],12,FALSE)</f>
        <v>C2103</v>
      </c>
      <c r="E687" s="14">
        <f>SUM(TAB_ENTRADA[[#This Row],[20/05/2019]:[Colunas1]])</f>
        <v>1</v>
      </c>
      <c r="F687" s="3"/>
      <c r="FK687" s="3">
        <v>1</v>
      </c>
    </row>
    <row r="688" spans="1:167" x14ac:dyDescent="0.25">
      <c r="A688" s="5" t="s">
        <v>2345</v>
      </c>
      <c r="B688" s="14" t="str">
        <f>VLOOKUP(TAB_ENTRADA[[#This Row],[Cod_2_Entrada]],TAB_ESTOQUE[[Codigo]:[Descrição Tecnica]],6,FALSE)</f>
        <v>VALVULA HIDRAULICA YUKEN DIRECIONAL REF: DSG-1-2B8-D24-N-50L</v>
      </c>
      <c r="C688" s="14">
        <f>IFERROR(VLOOKUP(TAB_ENTRADA[[#This Row],[Cod_2_Entrada]],TAB_ESTOQUE[[Codigo]:[Referência Tec]],7,FALSE),"")</f>
        <v>0</v>
      </c>
      <c r="D688" s="14" t="str">
        <f>VLOOKUP(TAB_ENTRADA[[#This Row],[Cod_2_Entrada]],TAB_ESTOQUE[[Codigo]:[Endereço2]],12,FALSE)</f>
        <v>C2103</v>
      </c>
      <c r="E688" s="14">
        <f>SUM(TAB_ENTRADA[[#This Row],[20/05/2019]:[Colunas1]])</f>
        <v>3</v>
      </c>
      <c r="F688" s="3"/>
      <c r="FK688" s="3">
        <v>3</v>
      </c>
    </row>
    <row r="689" spans="1:209" x14ac:dyDescent="0.25">
      <c r="A689" s="5" t="s">
        <v>2346</v>
      </c>
      <c r="B689" s="14" t="str">
        <f>VLOOKUP(TAB_ENTRADA[[#This Row],[Cod_2_Entrada]],TAB_ESTOQUE[[Codigo]:[Descrição Tecnica]],6,FALSE)</f>
        <v>VALVULA HIDRAULICA AGT REF: 4WE10-D-30</v>
      </c>
      <c r="C689" s="14">
        <f>IFERROR(VLOOKUP(TAB_ENTRADA[[#This Row],[Cod_2_Entrada]],TAB_ESTOQUE[[Codigo]:[Referência Tec]],7,FALSE),"")</f>
        <v>0</v>
      </c>
      <c r="D689" s="14" t="str">
        <f>VLOOKUP(TAB_ENTRADA[[#This Row],[Cod_2_Entrada]],TAB_ESTOQUE[[Codigo]:[Endereço2]],12,FALSE)</f>
        <v>C2103</v>
      </c>
      <c r="E689" s="14">
        <f>SUM(TAB_ENTRADA[[#This Row],[20/05/2019]:[Colunas1]])</f>
        <v>2</v>
      </c>
      <c r="F689" s="3"/>
      <c r="FK689" s="3">
        <v>2</v>
      </c>
    </row>
    <row r="690" spans="1:209" x14ac:dyDescent="0.25">
      <c r="A690" s="5" t="s">
        <v>2347</v>
      </c>
      <c r="B690" s="14" t="str">
        <f>VLOOKUP(TAB_ENTRADA[[#This Row],[Cod_2_Entrada]],TAB_ESTOQUE[[Codigo]:[Descrição Tecnica]],6,FALSE)</f>
        <v>JUNÇÃO EM PVC 25 X 3/4"</v>
      </c>
      <c r="C690" s="14">
        <f>IFERROR(VLOOKUP(TAB_ENTRADA[[#This Row],[Cod_2_Entrada]],TAB_ESTOQUE[[Codigo]:[Referência Tec]],7,FALSE),"")</f>
        <v>0</v>
      </c>
      <c r="D690" s="14" t="str">
        <f>VLOOKUP(TAB_ENTRADA[[#This Row],[Cod_2_Entrada]],TAB_ESTOQUE[[Codigo]:[Endereço2]],12,FALSE)</f>
        <v>D1302</v>
      </c>
      <c r="E690" s="14">
        <f>SUM(TAB_ENTRADA[[#This Row],[20/05/2019]:[Colunas1]])</f>
        <v>11</v>
      </c>
      <c r="F690" s="3"/>
      <c r="FK690" s="3">
        <v>11</v>
      </c>
    </row>
    <row r="691" spans="1:209" x14ac:dyDescent="0.25">
      <c r="A691" s="5" t="s">
        <v>2348</v>
      </c>
      <c r="B691" s="14" t="str">
        <f>VLOOKUP(TAB_ENTRADA[[#This Row],[Cod_2_Entrada]],TAB_ESTOQUE[[Codigo]:[Descrição Tecnica]],6,FALSE)</f>
        <v>VALVULA HIDRAULICA PARKER REF: D1VW001ENJW</v>
      </c>
      <c r="C691" s="14">
        <f>IFERROR(VLOOKUP(TAB_ENTRADA[[#This Row],[Cod_2_Entrada]],TAB_ESTOQUE[[Codigo]:[Referência Tec]],7,FALSE),"")</f>
        <v>0</v>
      </c>
      <c r="D691" s="14" t="str">
        <f>VLOOKUP(TAB_ENTRADA[[#This Row],[Cod_2_Entrada]],TAB_ESTOQUE[[Codigo]:[Endereço2]],12,FALSE)</f>
        <v>C2104</v>
      </c>
      <c r="E691" s="14">
        <f>SUM(TAB_ENTRADA[[#This Row],[20/05/2019]:[Colunas1]])</f>
        <v>1</v>
      </c>
      <c r="F691" s="3"/>
      <c r="FK691" s="3">
        <v>1</v>
      </c>
    </row>
    <row r="692" spans="1:209" x14ac:dyDescent="0.25">
      <c r="A692" s="5" t="s">
        <v>2349</v>
      </c>
      <c r="B692" s="14" t="str">
        <f>VLOOKUP(TAB_ENTRADA[[#This Row],[Cod_2_Entrada]],TAB_ESTOQUE[[Codigo]:[Descrição Tecnica]],6,FALSE)</f>
        <v>PRESSOSTATO PNEUMATICO HLP110</v>
      </c>
      <c r="C692" s="14">
        <f>IFERROR(VLOOKUP(TAB_ENTRADA[[#This Row],[Cod_2_Entrada]],TAB_ESTOQUE[[Codigo]:[Referência Tec]],7,FALSE),"")</f>
        <v>0</v>
      </c>
      <c r="D692" s="14" t="str">
        <f>VLOOKUP(TAB_ENTRADA[[#This Row],[Cod_2_Entrada]],TAB_ESTOQUE[[Codigo]:[Endereço2]],12,FALSE)</f>
        <v>D1304</v>
      </c>
      <c r="E692" s="14">
        <f>SUM(TAB_ENTRADA[[#This Row],[20/05/2019]:[Colunas1]])</f>
        <v>10</v>
      </c>
      <c r="F692" s="3"/>
      <c r="FK692" s="3">
        <v>10</v>
      </c>
    </row>
    <row r="693" spans="1:209" x14ac:dyDescent="0.25">
      <c r="A693" s="5" t="s">
        <v>2350</v>
      </c>
      <c r="B693" s="14" t="str">
        <f>VLOOKUP(TAB_ENTRADA[[#This Row],[Cod_2_Entrada]],TAB_ESTOQUE[[Codigo]:[Descrição Tecnica]],6,FALSE)</f>
        <v>PAPEL JUNTA 2MM</v>
      </c>
      <c r="C693" s="14">
        <f>IFERROR(VLOOKUP(TAB_ENTRADA[[#This Row],[Cod_2_Entrada]],TAB_ESTOQUE[[Codigo]:[Referência Tec]],7,FALSE),"")</f>
        <v>0</v>
      </c>
      <c r="D693" s="14" t="str">
        <f>VLOOKUP(TAB_ENTRADA[[#This Row],[Cod_2_Entrada]],TAB_ESTOQUE[[Codigo]:[Endereço2]],12,FALSE)</f>
        <v>CORREDOR 3</v>
      </c>
      <c r="E693" s="14">
        <f>SUM(TAB_ENTRADA[[#This Row],[20/05/2019]:[Colunas1]])</f>
        <v>0.2</v>
      </c>
      <c r="F693" s="3"/>
      <c r="FK693" s="3">
        <v>0.2</v>
      </c>
    </row>
    <row r="694" spans="1:209" x14ac:dyDescent="0.25">
      <c r="A694" s="5" t="s">
        <v>2351</v>
      </c>
      <c r="B694" s="14" t="str">
        <f>VLOOKUP(TAB_ENTRADA[[#This Row],[Cod_2_Entrada]],TAB_ESTOQUE[[Codigo]:[Descrição Tecnica]],6,FALSE)</f>
        <v>PAPEL JUNTA 1MM</v>
      </c>
      <c r="C694" s="14">
        <f>IFERROR(VLOOKUP(TAB_ENTRADA[[#This Row],[Cod_2_Entrada]],TAB_ESTOQUE[[Codigo]:[Referência Tec]],7,FALSE),"")</f>
        <v>0</v>
      </c>
      <c r="D694" s="14" t="str">
        <f>VLOOKUP(TAB_ENTRADA[[#This Row],[Cod_2_Entrada]],TAB_ESTOQUE[[Codigo]:[Endereço2]],12,FALSE)</f>
        <v>CORREDOR 3</v>
      </c>
      <c r="E694" s="14">
        <f>SUM(TAB_ENTRADA[[#This Row],[20/05/2019]:[Colunas1]])</f>
        <v>0.2</v>
      </c>
      <c r="F694" s="3"/>
      <c r="FK694" s="3">
        <v>0.2</v>
      </c>
    </row>
    <row r="695" spans="1:209" x14ac:dyDescent="0.25">
      <c r="A695" s="5" t="s">
        <v>2352</v>
      </c>
      <c r="B695" s="14" t="str">
        <f>VLOOKUP(TAB_ENTRADA[[#This Row],[Cod_2_Entrada]],TAB_ESTOQUE[[Codigo]:[Descrição Tecnica]],6,FALSE)</f>
        <v>PAPEL JUNTA 0,5MM</v>
      </c>
      <c r="C695" s="14">
        <f>IFERROR(VLOOKUP(TAB_ENTRADA[[#This Row],[Cod_2_Entrada]],TAB_ESTOQUE[[Codigo]:[Referência Tec]],7,FALSE),"")</f>
        <v>0</v>
      </c>
      <c r="D695" s="14" t="str">
        <f>VLOOKUP(TAB_ENTRADA[[#This Row],[Cod_2_Entrada]],TAB_ESTOQUE[[Codigo]:[Endereço2]],12,FALSE)</f>
        <v>CORREDOR 3</v>
      </c>
      <c r="E695" s="14">
        <f>SUM(TAB_ENTRADA[[#This Row],[20/05/2019]:[Colunas1]])</f>
        <v>0</v>
      </c>
      <c r="F695" s="3"/>
      <c r="FK695" s="3">
        <v>0</v>
      </c>
    </row>
    <row r="696" spans="1:209" x14ac:dyDescent="0.25">
      <c r="A696" s="5" t="s">
        <v>2353</v>
      </c>
      <c r="B696" s="14" t="str">
        <f>VLOOKUP(TAB_ENTRADA[[#This Row],[Cod_2_Entrada]],TAB_ESTOQUE[[Codigo]:[Descrição Tecnica]],6,FALSE)</f>
        <v>ESCAPE RAPIDO MOD:QE-01</v>
      </c>
      <c r="C696" s="14">
        <f>IFERROR(VLOOKUP(TAB_ENTRADA[[#This Row],[Cod_2_Entrada]],TAB_ESTOQUE[[Codigo]:[Referência Tec]],7,FALSE),"")</f>
        <v>0</v>
      </c>
      <c r="D696" s="14" t="str">
        <f>VLOOKUP(TAB_ENTRADA[[#This Row],[Cod_2_Entrada]],TAB_ESTOQUE[[Codigo]:[Endereço2]],12,FALSE)</f>
        <v>D2302</v>
      </c>
      <c r="E696" s="14">
        <f>SUM(TAB_ENTRADA[[#This Row],[20/05/2019]:[Colunas1]])</f>
        <v>1</v>
      </c>
      <c r="F696" s="3"/>
      <c r="FK696" s="3">
        <v>1</v>
      </c>
    </row>
    <row r="697" spans="1:209" x14ac:dyDescent="0.25">
      <c r="A697" s="5" t="s">
        <v>2354</v>
      </c>
      <c r="B697" s="14" t="str">
        <f>VLOOKUP(TAB_ENTRADA[[#This Row],[Cod_2_Entrada]],TAB_ESTOQUE[[Codigo]:[Descrição Tecnica]],6,FALSE)</f>
        <v>REGISTRO ESFERA P/ ÓLEO TERMICO TRIPARTDA 3/4'</v>
      </c>
      <c r="C697" s="14">
        <f>IFERROR(VLOOKUP(TAB_ENTRADA[[#This Row],[Cod_2_Entrada]],TAB_ESTOQUE[[Codigo]:[Referência Tec]],7,FALSE),"")</f>
        <v>0</v>
      </c>
      <c r="D697" s="14" t="str">
        <f>VLOOKUP(TAB_ENTRADA[[#This Row],[Cod_2_Entrada]],TAB_ESTOQUE[[Codigo]:[Endereço2]],12,FALSE)</f>
        <v>D2402</v>
      </c>
      <c r="E697" s="14">
        <f>SUM(TAB_ENTRADA[[#This Row],[20/05/2019]:[Colunas1]])</f>
        <v>1</v>
      </c>
      <c r="F697" s="3"/>
      <c r="FK697" s="3">
        <v>1</v>
      </c>
    </row>
    <row r="698" spans="1:209" x14ac:dyDescent="0.25">
      <c r="A698" s="5" t="s">
        <v>2355</v>
      </c>
      <c r="B698" s="14" t="str">
        <f>VLOOKUP(TAB_ENTRADA[[#This Row],[Cod_2_Entrada]],TAB_ESTOQUE[[Codigo]:[Descrição Tecnica]],6,FALSE)</f>
        <v>VALVULA DE RETENÇÃO 1/2"</v>
      </c>
      <c r="C698" s="14">
        <f>IFERROR(VLOOKUP(TAB_ENTRADA[[#This Row],[Cod_2_Entrada]],TAB_ESTOQUE[[Codigo]:[Referência Tec]],7,FALSE),"")</f>
        <v>0</v>
      </c>
      <c r="D698" s="14" t="str">
        <f>VLOOKUP(TAB_ENTRADA[[#This Row],[Cod_2_Entrada]],TAB_ESTOQUE[[Codigo]:[Endereço2]],12,FALSE)</f>
        <v>D2402</v>
      </c>
      <c r="E698" s="14">
        <f>SUM(TAB_ENTRADA[[#This Row],[20/05/2019]:[Colunas1]])</f>
        <v>0</v>
      </c>
      <c r="F698" s="3"/>
      <c r="FK698" s="3">
        <v>0</v>
      </c>
    </row>
    <row r="699" spans="1:209" x14ac:dyDescent="0.25">
      <c r="A699" s="5" t="s">
        <v>2356</v>
      </c>
      <c r="B699" s="14" t="str">
        <f>VLOOKUP(TAB_ENTRADA[[#This Row],[Cod_2_Entrada]],TAB_ESTOQUE[[Codigo]:[Descrição Tecnica]],6,FALSE)</f>
        <v>VALVULA DE RETENÇÃO  1/4" S6A11</v>
      </c>
      <c r="C699" s="14">
        <f>IFERROR(VLOOKUP(TAB_ENTRADA[[#This Row],[Cod_2_Entrada]],TAB_ESTOQUE[[Codigo]:[Referência Tec]],7,FALSE),"")</f>
        <v>0</v>
      </c>
      <c r="D699" s="14" t="str">
        <f>VLOOKUP(TAB_ENTRADA[[#This Row],[Cod_2_Entrada]],TAB_ESTOQUE[[Codigo]:[Endereço2]],12,FALSE)</f>
        <v>D2403</v>
      </c>
      <c r="E699" s="14">
        <f>SUM(TAB_ENTRADA[[#This Row],[20/05/2019]:[Colunas1]])</f>
        <v>4</v>
      </c>
      <c r="F699" s="3"/>
      <c r="FK699" s="3">
        <v>0</v>
      </c>
      <c r="FQ699" s="3">
        <v>4</v>
      </c>
    </row>
    <row r="700" spans="1:209" x14ac:dyDescent="0.25">
      <c r="A700" s="5" t="s">
        <v>2357</v>
      </c>
      <c r="B700" s="14" t="str">
        <f>VLOOKUP(TAB_ENTRADA[[#This Row],[Cod_2_Entrada]],TAB_ESTOQUE[[Codigo]:[Descrição Tecnica]],6,FALSE)</f>
        <v>VALVULA DE RETENÇÃO  P/ ÁGUA 1/2"</v>
      </c>
      <c r="C700" s="14">
        <f>IFERROR(VLOOKUP(TAB_ENTRADA[[#This Row],[Cod_2_Entrada]],TAB_ESTOQUE[[Codigo]:[Referência Tec]],7,FALSE),"")</f>
        <v>0</v>
      </c>
      <c r="D700" s="14" t="str">
        <f>VLOOKUP(TAB_ENTRADA[[#This Row],[Cod_2_Entrada]],TAB_ESTOQUE[[Codigo]:[Endereço2]],12,FALSE)</f>
        <v>D2403</v>
      </c>
      <c r="E700" s="14">
        <f>SUM(TAB_ENTRADA[[#This Row],[20/05/2019]:[Colunas1]])</f>
        <v>0</v>
      </c>
      <c r="F700" s="3"/>
      <c r="FK700" s="3">
        <v>0</v>
      </c>
    </row>
    <row r="701" spans="1:209" x14ac:dyDescent="0.25">
      <c r="A701" s="5" t="s">
        <v>2358</v>
      </c>
      <c r="B701" s="14" t="str">
        <f>VLOOKUP(TAB_ENTRADA[[#This Row],[Cod_2_Entrada]],TAB_ESTOQUE[[Codigo]:[Descrição Tecnica]],6,FALSE)</f>
        <v>VALVULA DE RETENÇÃO 1" PARA AGUA</v>
      </c>
      <c r="C701" s="14">
        <f>IFERROR(VLOOKUP(TAB_ENTRADA[[#This Row],[Cod_2_Entrada]],TAB_ESTOQUE[[Codigo]:[Referência Tec]],7,FALSE),"")</f>
        <v>0</v>
      </c>
      <c r="D701" s="14" t="str">
        <f>VLOOKUP(TAB_ENTRADA[[#This Row],[Cod_2_Entrada]],TAB_ESTOQUE[[Codigo]:[Endereço2]],12,FALSE)</f>
        <v>D2403</v>
      </c>
      <c r="E701" s="14">
        <f>SUM(TAB_ENTRADA[[#This Row],[20/05/2019]:[Colunas1]])</f>
        <v>0</v>
      </c>
      <c r="F701" s="3"/>
      <c r="FK701" s="3">
        <v>0</v>
      </c>
    </row>
    <row r="702" spans="1:209" x14ac:dyDescent="0.25">
      <c r="A702" s="5" t="s">
        <v>2359</v>
      </c>
      <c r="B702" s="14" t="str">
        <f>VLOOKUP(TAB_ENTRADA[[#This Row],[Cod_2_Entrada]],TAB_ESTOQUE[[Codigo]:[Descrição Tecnica]],6,FALSE)</f>
        <v>VALVULA DE RETENÇÃO 1"</v>
      </c>
      <c r="C702" s="14">
        <f>IFERROR(VLOOKUP(TAB_ENTRADA[[#This Row],[Cod_2_Entrada]],TAB_ESTOQUE[[Codigo]:[Referência Tec]],7,FALSE),"")</f>
        <v>0</v>
      </c>
      <c r="D702" s="14" t="str">
        <f>VLOOKUP(TAB_ENTRADA[[#This Row],[Cod_2_Entrada]],TAB_ESTOQUE[[Codigo]:[Endereço2]],12,FALSE)</f>
        <v>D2403</v>
      </c>
      <c r="E702" s="14">
        <f>SUM(TAB_ENTRADA[[#This Row],[20/05/2019]:[Colunas1]])</f>
        <v>2</v>
      </c>
      <c r="F702" s="3"/>
      <c r="FK702" s="3">
        <v>2</v>
      </c>
    </row>
    <row r="703" spans="1:209" x14ac:dyDescent="0.25">
      <c r="A703" s="5" t="s">
        <v>2360</v>
      </c>
      <c r="B703" s="14" t="str">
        <f>VLOOKUP(TAB_ENTRADA[[#This Row],[Cod_2_Entrada]],TAB_ESTOQUE[[Codigo]:[Descrição Tecnica]],6,FALSE)</f>
        <v>PORCA T NORMA DIN</v>
      </c>
      <c r="C703" s="14">
        <f>IFERROR(VLOOKUP(TAB_ENTRADA[[#This Row],[Cod_2_Entrada]],TAB_ESTOQUE[[Codigo]:[Referência Tec]],7,FALSE),"")</f>
        <v>0</v>
      </c>
      <c r="D703" s="14" t="str">
        <f>VLOOKUP(TAB_ENTRADA[[#This Row],[Cod_2_Entrada]],TAB_ESTOQUE[[Codigo]:[Endereço2]],12,FALSE)</f>
        <v>F2102</v>
      </c>
      <c r="E703" s="14">
        <f>SUM(TAB_ENTRADA[[#This Row],[20/05/2019]:[Colunas1]])</f>
        <v>39</v>
      </c>
      <c r="F703" s="3"/>
      <c r="FK703" s="3">
        <v>9</v>
      </c>
      <c r="HA703" s="3">
        <v>30</v>
      </c>
    </row>
    <row r="704" spans="1:209" x14ac:dyDescent="0.25">
      <c r="A704" s="5" t="s">
        <v>2361</v>
      </c>
      <c r="B704" s="14" t="str">
        <f>VLOOKUP(TAB_ENTRADA[[#This Row],[Cod_2_Entrada]],TAB_ESTOQUE[[Codigo]:[Descrição Tecnica]],6,FALSE)</f>
        <v>VALVULA DE RETENÇÃO 3/8" BSP</v>
      </c>
      <c r="C704" s="14">
        <f>IFERROR(VLOOKUP(TAB_ENTRADA[[#This Row],[Cod_2_Entrada]],TAB_ESTOQUE[[Codigo]:[Referência Tec]],7,FALSE),"")</f>
        <v>0</v>
      </c>
      <c r="D704" s="14" t="str">
        <f>VLOOKUP(TAB_ENTRADA[[#This Row],[Cod_2_Entrada]],TAB_ESTOQUE[[Codigo]:[Endereço2]],12,FALSE)</f>
        <v>D2403</v>
      </c>
      <c r="E704" s="14">
        <f>SUM(TAB_ENTRADA[[#This Row],[20/05/2019]:[Colunas1]])</f>
        <v>1</v>
      </c>
      <c r="F704" s="3"/>
      <c r="FK704" s="3">
        <v>1</v>
      </c>
    </row>
    <row r="705" spans="1:167" x14ac:dyDescent="0.25">
      <c r="A705" s="5" t="s">
        <v>2362</v>
      </c>
      <c r="B705" s="14" t="str">
        <f>VLOOKUP(TAB_ENTRADA[[#This Row],[Cod_2_Entrada]],TAB_ESTOQUE[[Codigo]:[Descrição Tecnica]],6,FALSE)</f>
        <v>ARRUELA PEQUENA PARA SETUP NORMA DIN</v>
      </c>
      <c r="C705" s="14">
        <f>IFERROR(VLOOKUP(TAB_ENTRADA[[#This Row],[Cod_2_Entrada]],TAB_ESTOQUE[[Codigo]:[Referência Tec]],7,FALSE),"")</f>
        <v>0</v>
      </c>
      <c r="D705" s="14" t="str">
        <f>VLOOKUP(TAB_ENTRADA[[#This Row],[Cod_2_Entrada]],TAB_ESTOQUE[[Codigo]:[Endereço2]],12,FALSE)</f>
        <v>F2102</v>
      </c>
      <c r="E705" s="14">
        <f>SUM(TAB_ENTRADA[[#This Row],[20/05/2019]:[Colunas1]])</f>
        <v>0</v>
      </c>
      <c r="F705" s="3"/>
      <c r="FK705" s="3">
        <v>0</v>
      </c>
    </row>
    <row r="706" spans="1:167" x14ac:dyDescent="0.25">
      <c r="A706" s="5" t="s">
        <v>2363</v>
      </c>
      <c r="B706" s="14" t="str">
        <f>VLOOKUP(TAB_ENTRADA[[#This Row],[Cod_2_Entrada]],TAB_ESTOQUE[[Codigo]:[Descrição Tecnica]],6,FALSE)</f>
        <v>ESPIGÃO ROSCA 3/4 MANG 3/4" 3/4 X 3/4"</v>
      </c>
      <c r="C706" s="14">
        <f>IFERROR(VLOOKUP(TAB_ENTRADA[[#This Row],[Cod_2_Entrada]],TAB_ESTOQUE[[Codigo]:[Referência Tec]],7,FALSE),"")</f>
        <v>0</v>
      </c>
      <c r="D706" s="14" t="str">
        <f>VLOOKUP(TAB_ENTRADA[[#This Row],[Cod_2_Entrada]],TAB_ESTOQUE[[Codigo]:[Endereço2]],12,FALSE)</f>
        <v>D2404</v>
      </c>
      <c r="E706" s="14">
        <f>SUM(TAB_ENTRADA[[#This Row],[20/05/2019]:[Colunas1]])</f>
        <v>26</v>
      </c>
      <c r="F706" s="3"/>
      <c r="FK706" s="3">
        <v>26</v>
      </c>
    </row>
    <row r="707" spans="1:167" x14ac:dyDescent="0.25">
      <c r="A707" s="5" t="s">
        <v>2364</v>
      </c>
      <c r="B707" s="14" t="str">
        <f>VLOOKUP(TAB_ENTRADA[[#This Row],[Cod_2_Entrada]],TAB_ESTOQUE[[Codigo]:[Descrição Tecnica]],6,FALSE)</f>
        <v>ESPIGÃO ROSCA DE 1/2 MANG DE 1/2" X 1/2"</v>
      </c>
      <c r="C707" s="14">
        <f>IFERROR(VLOOKUP(TAB_ENTRADA[[#This Row],[Cod_2_Entrada]],TAB_ESTOQUE[[Codigo]:[Referência Tec]],7,FALSE),"")</f>
        <v>0</v>
      </c>
      <c r="D707" s="14" t="str">
        <f>VLOOKUP(TAB_ENTRADA[[#This Row],[Cod_2_Entrada]],TAB_ESTOQUE[[Codigo]:[Endereço2]],12,FALSE)</f>
        <v>D2404</v>
      </c>
      <c r="E707" s="14">
        <f>SUM(TAB_ENTRADA[[#This Row],[20/05/2019]:[Colunas1]])</f>
        <v>0</v>
      </c>
      <c r="F707" s="3"/>
      <c r="FK707" s="3">
        <v>0</v>
      </c>
    </row>
    <row r="708" spans="1:167" x14ac:dyDescent="0.25">
      <c r="A708" s="5" t="s">
        <v>2365</v>
      </c>
      <c r="B708" s="14" t="str">
        <f>VLOOKUP(TAB_ENTRADA[[#This Row],[Cod_2_Entrada]],TAB_ESTOQUE[[Codigo]:[Descrição Tecnica]],6,FALSE)</f>
        <v>ESPIGÃO ROSCA DE 1/2 MANG 3/4" 1/2 X 3/4"</v>
      </c>
      <c r="C708" s="14">
        <f>IFERROR(VLOOKUP(TAB_ENTRADA[[#This Row],[Cod_2_Entrada]],TAB_ESTOQUE[[Codigo]:[Referência Tec]],7,FALSE),"")</f>
        <v>0</v>
      </c>
      <c r="D708" s="14" t="str">
        <f>VLOOKUP(TAB_ENTRADA[[#This Row],[Cod_2_Entrada]],TAB_ESTOQUE[[Codigo]:[Endereço2]],12,FALSE)</f>
        <v>D2404</v>
      </c>
      <c r="E708" s="14">
        <f>SUM(TAB_ENTRADA[[#This Row],[20/05/2019]:[Colunas1]])</f>
        <v>19</v>
      </c>
      <c r="F708" s="3"/>
      <c r="FK708" s="3">
        <v>19</v>
      </c>
    </row>
    <row r="709" spans="1:167" x14ac:dyDescent="0.25">
      <c r="A709" s="5" t="s">
        <v>2366</v>
      </c>
      <c r="B709" s="14" t="str">
        <f>VLOOKUP(TAB_ENTRADA[[#This Row],[Cod_2_Entrada]],TAB_ESTOQUE[[Codigo]:[Descrição Tecnica]],6,FALSE)</f>
        <v>PRISIONEIRO NORMA DIN</v>
      </c>
      <c r="C709" s="14">
        <f>IFERROR(VLOOKUP(TAB_ENTRADA[[#This Row],[Cod_2_Entrada]],TAB_ESTOQUE[[Codigo]:[Referência Tec]],7,FALSE),"")</f>
        <v>0</v>
      </c>
      <c r="D709" s="14" t="str">
        <f>VLOOKUP(TAB_ENTRADA[[#This Row],[Cod_2_Entrada]],TAB_ESTOQUE[[Codigo]:[Endereço2]],12,FALSE)</f>
        <v>D2404</v>
      </c>
      <c r="E709" s="14">
        <f>SUM(TAB_ENTRADA[[#This Row],[20/05/2019]:[Colunas1]])</f>
        <v>6</v>
      </c>
      <c r="F709" s="3"/>
      <c r="FK709" s="3">
        <v>6</v>
      </c>
    </row>
    <row r="710" spans="1:167" x14ac:dyDescent="0.25">
      <c r="A710" s="5" t="s">
        <v>2367</v>
      </c>
      <c r="B710" s="14" t="str">
        <f>VLOOKUP(TAB_ENTRADA[[#This Row],[Cod_2_Entrada]],TAB_ESTOQUE[[Codigo]:[Descrição Tecnica]],6,FALSE)</f>
        <v>ESPPIGÃO REOSCA 1/4 MANG 1/4"</v>
      </c>
      <c r="C710" s="14">
        <f>IFERROR(VLOOKUP(TAB_ENTRADA[[#This Row],[Cod_2_Entrada]],TAB_ESTOQUE[[Codigo]:[Referência Tec]],7,FALSE),"")</f>
        <v>0</v>
      </c>
      <c r="D710" s="14" t="str">
        <f>VLOOKUP(TAB_ENTRADA[[#This Row],[Cod_2_Entrada]],TAB_ESTOQUE[[Codigo]:[Endereço2]],12,FALSE)</f>
        <v>D2404</v>
      </c>
      <c r="E710" s="14">
        <f>SUM(TAB_ENTRADA[[#This Row],[20/05/2019]:[Colunas1]])</f>
        <v>9</v>
      </c>
      <c r="F710" s="3"/>
      <c r="FK710" s="3">
        <v>9</v>
      </c>
    </row>
    <row r="711" spans="1:167" x14ac:dyDescent="0.25">
      <c r="A711" s="5" t="s">
        <v>2368</v>
      </c>
      <c r="B711" s="14" t="str">
        <f>VLOOKUP(TAB_ENTRADA[[#This Row],[Cod_2_Entrada]],TAB_ESTOQUE[[Codigo]:[Descrição Tecnica]],6,FALSE)</f>
        <v>ESPIGÃO ROSCA 3/8 MANG 1/4"</v>
      </c>
      <c r="C711" s="14">
        <f>IFERROR(VLOOKUP(TAB_ENTRADA[[#This Row],[Cod_2_Entrada]],TAB_ESTOQUE[[Codigo]:[Referência Tec]],7,FALSE),"")</f>
        <v>0</v>
      </c>
      <c r="D711" s="14" t="str">
        <f>VLOOKUP(TAB_ENTRADA[[#This Row],[Cod_2_Entrada]],TAB_ESTOQUE[[Codigo]:[Endereço2]],12,FALSE)</f>
        <v>D2404</v>
      </c>
      <c r="E711" s="14">
        <f>SUM(TAB_ENTRADA[[#This Row],[20/05/2019]:[Colunas1]])</f>
        <v>2</v>
      </c>
      <c r="F711" s="3"/>
      <c r="FK711" s="3">
        <v>2</v>
      </c>
    </row>
    <row r="712" spans="1:167" x14ac:dyDescent="0.25">
      <c r="A712" s="5" t="s">
        <v>2369</v>
      </c>
      <c r="B712" s="14" t="str">
        <f>VLOOKUP(TAB_ENTRADA[[#This Row],[Cod_2_Entrada]],TAB_ESTOQUE[[Codigo]:[Descrição Tecnica]],6,FALSE)</f>
        <v>ESPIGÃO ROSCA DE 1/2" MANG 1/4"</v>
      </c>
      <c r="C712" s="14">
        <f>IFERROR(VLOOKUP(TAB_ENTRADA[[#This Row],[Cod_2_Entrada]],TAB_ESTOQUE[[Codigo]:[Referência Tec]],7,FALSE),"")</f>
        <v>0</v>
      </c>
      <c r="D712" s="14" t="str">
        <f>VLOOKUP(TAB_ENTRADA[[#This Row],[Cod_2_Entrada]],TAB_ESTOQUE[[Codigo]:[Endereço2]],12,FALSE)</f>
        <v>D2404</v>
      </c>
      <c r="E712" s="14">
        <f>SUM(TAB_ENTRADA[[#This Row],[20/05/2019]:[Colunas1]])</f>
        <v>9</v>
      </c>
      <c r="F712" s="3"/>
      <c r="FK712" s="3">
        <v>9</v>
      </c>
    </row>
    <row r="713" spans="1:167" x14ac:dyDescent="0.25">
      <c r="A713" s="5" t="s">
        <v>2370</v>
      </c>
      <c r="B713" s="14" t="str">
        <f>VLOOKUP(TAB_ENTRADA[[#This Row],[Cod_2_Entrada]],TAB_ESTOQUE[[Codigo]:[Descrição Tecnica]],6,FALSE)</f>
        <v>ESSPIGÃO ROSCA 3/4 MANG 1/2"</v>
      </c>
      <c r="C713" s="14">
        <f>IFERROR(VLOOKUP(TAB_ENTRADA[[#This Row],[Cod_2_Entrada]],TAB_ESTOQUE[[Codigo]:[Referência Tec]],7,FALSE),"")</f>
        <v>0</v>
      </c>
      <c r="D713" s="14" t="str">
        <f>VLOOKUP(TAB_ENTRADA[[#This Row],[Cod_2_Entrada]],TAB_ESTOQUE[[Codigo]:[Endereço2]],12,FALSE)</f>
        <v>D2404</v>
      </c>
      <c r="E713" s="14">
        <f>SUM(TAB_ENTRADA[[#This Row],[20/05/2019]:[Colunas1]])</f>
        <v>8</v>
      </c>
      <c r="F713" s="3"/>
      <c r="FK713" s="3">
        <v>8</v>
      </c>
    </row>
    <row r="714" spans="1:167" x14ac:dyDescent="0.25">
      <c r="A714" s="5" t="s">
        <v>2371</v>
      </c>
      <c r="B714" s="14" t="str">
        <f>VLOOKUP(TAB_ENTRADA[[#This Row],[Cod_2_Entrada]],TAB_ESTOQUE[[Codigo]:[Descrição Tecnica]],6,FALSE)</f>
        <v>ESPIGÃO PARA MANG DE 3/4"</v>
      </c>
      <c r="C714" s="14">
        <f>IFERROR(VLOOKUP(TAB_ENTRADA[[#This Row],[Cod_2_Entrada]],TAB_ESTOQUE[[Codigo]:[Referência Tec]],7,FALSE),"")</f>
        <v>0</v>
      </c>
      <c r="D714" s="14" t="str">
        <f>VLOOKUP(TAB_ENTRADA[[#This Row],[Cod_2_Entrada]],TAB_ESTOQUE[[Codigo]:[Endereço2]],12,FALSE)</f>
        <v>D2404</v>
      </c>
      <c r="E714" s="14">
        <f>SUM(TAB_ENTRADA[[#This Row],[20/05/2019]:[Colunas1]])</f>
        <v>0</v>
      </c>
      <c r="F714" s="3"/>
      <c r="FK714" s="3">
        <v>0</v>
      </c>
    </row>
    <row r="715" spans="1:167" x14ac:dyDescent="0.25">
      <c r="A715" s="5" t="s">
        <v>2372</v>
      </c>
      <c r="B715" s="14" t="str">
        <f>VLOOKUP(TAB_ENTRADA[[#This Row],[Cod_2_Entrada]],TAB_ESTOQUE[[Codigo]:[Descrição Tecnica]],6,FALSE)</f>
        <v>ESPIGÃO ROSCA 3/4" MANG 1"</v>
      </c>
      <c r="C715" s="14">
        <f>IFERROR(VLOOKUP(TAB_ENTRADA[[#This Row],[Cod_2_Entrada]],TAB_ESTOQUE[[Codigo]:[Referência Tec]],7,FALSE),"")</f>
        <v>0</v>
      </c>
      <c r="D715" s="14" t="str">
        <f>VLOOKUP(TAB_ENTRADA[[#This Row],[Cod_2_Entrada]],TAB_ESTOQUE[[Codigo]:[Endereço2]],12,FALSE)</f>
        <v>D2404</v>
      </c>
      <c r="E715" s="14">
        <f>SUM(TAB_ENTRADA[[#This Row],[20/05/2019]:[Colunas1]])</f>
        <v>5</v>
      </c>
      <c r="F715" s="3"/>
      <c r="FK715" s="3">
        <v>5</v>
      </c>
    </row>
    <row r="716" spans="1:167" x14ac:dyDescent="0.25">
      <c r="A716" s="5" t="s">
        <v>2373</v>
      </c>
      <c r="B716" s="14" t="str">
        <f>VLOOKUP(TAB_ENTRADA[[#This Row],[Cod_2_Entrada]],TAB_ESTOQUE[[Codigo]:[Descrição Tecnica]],6,FALSE)</f>
        <v>SUPORTE PARA NIVELAMENTO</v>
      </c>
      <c r="C716" s="14">
        <f>IFERROR(VLOOKUP(TAB_ENTRADA[[#This Row],[Cod_2_Entrada]],TAB_ESTOQUE[[Codigo]:[Referência Tec]],7,FALSE),"")</f>
        <v>0</v>
      </c>
      <c r="D716" s="14" t="str">
        <f>VLOOKUP(TAB_ENTRADA[[#This Row],[Cod_2_Entrada]],TAB_ESTOQUE[[Codigo]:[Endereço2]],12,FALSE)</f>
        <v>D2405</v>
      </c>
      <c r="E716" s="14">
        <f>SUM(TAB_ENTRADA[[#This Row],[20/05/2019]:[Colunas1]])</f>
        <v>4</v>
      </c>
      <c r="F716" s="3"/>
      <c r="FK716" s="3">
        <v>4</v>
      </c>
    </row>
    <row r="717" spans="1:167" x14ac:dyDescent="0.25">
      <c r="A717" s="5" t="s">
        <v>2374</v>
      </c>
      <c r="B717" s="14" t="str">
        <f>VLOOKUP(TAB_ENTRADA[[#This Row],[Cod_2_Entrada]],TAB_ESTOQUE[[Codigo]:[Descrição Tecnica]],6,FALSE)</f>
        <v>VALVULA ESFERICA DN 15 1/2"</v>
      </c>
      <c r="C717" s="14">
        <f>IFERROR(VLOOKUP(TAB_ENTRADA[[#This Row],[Cod_2_Entrada]],TAB_ESTOQUE[[Codigo]:[Referência Tec]],7,FALSE),"")</f>
        <v>0</v>
      </c>
      <c r="D717" s="14" t="str">
        <f>VLOOKUP(TAB_ENTRADA[[#This Row],[Cod_2_Entrada]],TAB_ESTOQUE[[Codigo]:[Endereço2]],12,FALSE)</f>
        <v>D1403</v>
      </c>
      <c r="E717" s="14">
        <f>SUM(TAB_ENTRADA[[#This Row],[20/05/2019]:[Colunas1]])</f>
        <v>3</v>
      </c>
      <c r="F717" s="3"/>
      <c r="FK717" s="3">
        <v>3</v>
      </c>
    </row>
    <row r="718" spans="1:167" x14ac:dyDescent="0.25">
      <c r="A718" s="5" t="s">
        <v>2375</v>
      </c>
      <c r="B718" s="14" t="str">
        <f>VLOOKUP(TAB_ENTRADA[[#This Row],[Cod_2_Entrada]],TAB_ESTOQUE[[Codigo]:[Descrição Tecnica]],6,FALSE)</f>
        <v>CONJUNTO ENGATE RAPIDO 1/2"</v>
      </c>
      <c r="C718" s="14">
        <f>IFERROR(VLOOKUP(TAB_ENTRADA[[#This Row],[Cod_2_Entrada]],TAB_ESTOQUE[[Codigo]:[Referência Tec]],7,FALSE),"")</f>
        <v>0</v>
      </c>
      <c r="D718" s="14" t="str">
        <f>VLOOKUP(TAB_ENTRADA[[#This Row],[Cod_2_Entrada]],TAB_ESTOQUE[[Codigo]:[Endereço2]],12,FALSE)</f>
        <v>D1403</v>
      </c>
      <c r="E718" s="14">
        <f>SUM(TAB_ENTRADA[[#This Row],[20/05/2019]:[Colunas1]])</f>
        <v>7</v>
      </c>
      <c r="F718" s="3"/>
      <c r="FK718" s="3">
        <v>7</v>
      </c>
    </row>
    <row r="719" spans="1:167" x14ac:dyDescent="0.25">
      <c r="A719" s="5" t="s">
        <v>2376</v>
      </c>
      <c r="B719" s="14" t="str">
        <f>VLOOKUP(TAB_ENTRADA[[#This Row],[Cod_2_Entrada]],TAB_ESTOQUE[[Codigo]:[Descrição Tecnica]],6,FALSE)</f>
        <v>ENGATE RAPIDO 1/2" PINO</v>
      </c>
      <c r="C719" s="14">
        <f>IFERROR(VLOOKUP(TAB_ENTRADA[[#This Row],[Cod_2_Entrada]],TAB_ESTOQUE[[Codigo]:[Referência Tec]],7,FALSE),"")</f>
        <v>0</v>
      </c>
      <c r="D719" s="14" t="str">
        <f>VLOOKUP(TAB_ENTRADA[[#This Row],[Cod_2_Entrada]],TAB_ESTOQUE[[Codigo]:[Endereço2]],12,FALSE)</f>
        <v>D1403</v>
      </c>
      <c r="E719" s="14">
        <f>SUM(TAB_ENTRADA[[#This Row],[20/05/2019]:[Colunas1]])</f>
        <v>6</v>
      </c>
      <c r="F719" s="3"/>
      <c r="FK719" s="3">
        <v>6</v>
      </c>
    </row>
    <row r="720" spans="1:167" x14ac:dyDescent="0.25">
      <c r="A720" s="5" t="s">
        <v>2377</v>
      </c>
      <c r="B720" s="14" t="str">
        <f>VLOOKUP(TAB_ENTRADA[[#This Row],[Cod_2_Entrada]],TAB_ESTOQUE[[Codigo]:[Descrição Tecnica]],6,FALSE)</f>
        <v>ARRUELA GRANDE PARA SETUP NORMA DIN</v>
      </c>
      <c r="C720" s="14">
        <f>IFERROR(VLOOKUP(TAB_ENTRADA[[#This Row],[Cod_2_Entrada]],TAB_ESTOQUE[[Codigo]:[Referência Tec]],7,FALSE),"")</f>
        <v>0</v>
      </c>
      <c r="D720" s="14" t="str">
        <f>VLOOKUP(TAB_ENTRADA[[#This Row],[Cod_2_Entrada]],TAB_ESTOQUE[[Codigo]:[Endereço2]],12,FALSE)</f>
        <v>F2102</v>
      </c>
      <c r="E720" s="14">
        <f>SUM(TAB_ENTRADA[[#This Row],[20/05/2019]:[Colunas1]])</f>
        <v>0</v>
      </c>
      <c r="F720" s="3"/>
      <c r="FK720" s="3">
        <v>0</v>
      </c>
    </row>
    <row r="721" spans="1:167" x14ac:dyDescent="0.25">
      <c r="A721" s="5" t="s">
        <v>2378</v>
      </c>
      <c r="B721" s="14" t="str">
        <f>VLOOKUP(TAB_ENTRADA[[#This Row],[Cod_2_Entrada]],TAB_ESTOQUE[[Codigo]:[Descrição Tecnica]],6,FALSE)</f>
        <v>CONJUNTO ENGATE RAPIDO PCL 6501-12B</v>
      </c>
      <c r="C721" s="14">
        <f>IFERROR(VLOOKUP(TAB_ENTRADA[[#This Row],[Cod_2_Entrada]],TAB_ESTOQUE[[Codigo]:[Referência Tec]],7,FALSE),"")</f>
        <v>0</v>
      </c>
      <c r="D721" s="14" t="str">
        <f>VLOOKUP(TAB_ENTRADA[[#This Row],[Cod_2_Entrada]],TAB_ESTOQUE[[Codigo]:[Endereço2]],12,FALSE)</f>
        <v>D1403</v>
      </c>
      <c r="E721" s="14">
        <f>SUM(TAB_ENTRADA[[#This Row],[20/05/2019]:[Colunas1]])</f>
        <v>10</v>
      </c>
      <c r="F721" s="3"/>
      <c r="FK721" s="3">
        <v>10</v>
      </c>
    </row>
    <row r="722" spans="1:167" x14ac:dyDescent="0.25">
      <c r="A722" s="5" t="s">
        <v>2379</v>
      </c>
      <c r="B722" s="14" t="str">
        <f>VLOOKUP(TAB_ENTRADA[[#This Row],[Cod_2_Entrada]],TAB_ESTOQUE[[Codigo]:[Descrição Tecnica]],6,FALSE)</f>
        <v>CILINDRO HIDRAULICA ATOS MOD:CK-63/42* 0200-N062-HW-B1</v>
      </c>
      <c r="C722" s="14">
        <f>IFERROR(VLOOKUP(TAB_ENTRADA[[#This Row],[Cod_2_Entrada]],TAB_ESTOQUE[[Codigo]:[Referência Tec]],7,FALSE),"")</f>
        <v>0</v>
      </c>
      <c r="D722" s="14" t="str">
        <f>VLOOKUP(TAB_ENTRADA[[#This Row],[Cod_2_Entrada]],TAB_ESTOQUE[[Codigo]:[Endereço2]],12,FALSE)</f>
        <v>E1105</v>
      </c>
      <c r="E722" s="14">
        <f>SUM(TAB_ENTRADA[[#This Row],[20/05/2019]:[Colunas1]])</f>
        <v>1</v>
      </c>
      <c r="F722" s="3"/>
      <c r="FK722" s="3">
        <v>1</v>
      </c>
    </row>
    <row r="723" spans="1:167" x14ac:dyDescent="0.25">
      <c r="A723" s="5" t="s">
        <v>2380</v>
      </c>
      <c r="B723" s="14" t="str">
        <f>VLOOKUP(TAB_ENTRADA[[#This Row],[Cod_2_Entrada]],TAB_ESTOQUE[[Codigo]:[Descrição Tecnica]],6,FALSE)</f>
        <v>MOLA 18X3</v>
      </c>
      <c r="C723" s="14">
        <f>IFERROR(VLOOKUP(TAB_ENTRADA[[#This Row],[Cod_2_Entrada]],TAB_ESTOQUE[[Codigo]:[Referência Tec]],7,FALSE),"")</f>
        <v>0</v>
      </c>
      <c r="D723" s="14" t="str">
        <f>VLOOKUP(TAB_ENTRADA[[#This Row],[Cod_2_Entrada]],TAB_ESTOQUE[[Codigo]:[Endereço2]],12,FALSE)</f>
        <v>E1304</v>
      </c>
      <c r="E723" s="14">
        <f>SUM(TAB_ENTRADA[[#This Row],[20/05/2019]:[Colunas1]])</f>
        <v>3</v>
      </c>
      <c r="F723" s="3"/>
      <c r="FK723" s="3">
        <v>3</v>
      </c>
    </row>
    <row r="724" spans="1:167" x14ac:dyDescent="0.25">
      <c r="A724" s="5" t="s">
        <v>2381</v>
      </c>
      <c r="B724" s="14" t="str">
        <f>VLOOKUP(TAB_ENTRADA[[#This Row],[Cod_2_Entrada]],TAB_ESTOQUE[[Codigo]:[Descrição Tecnica]],6,FALSE)</f>
        <v xml:space="preserve">ROLAMENTO MNR: R103863020 Rexroth </v>
      </c>
      <c r="C724" s="14">
        <f>IFERROR(VLOOKUP(TAB_ENTRADA[[#This Row],[Cod_2_Entrada]],TAB_ESTOQUE[[Codigo]:[Referência Tec]],7,FALSE),"")</f>
        <v>0</v>
      </c>
      <c r="D724" s="14" t="str">
        <f>VLOOKUP(TAB_ENTRADA[[#This Row],[Cod_2_Entrada]],TAB_ESTOQUE[[Codigo]:[Endereço2]],12,FALSE)</f>
        <v>D1106</v>
      </c>
      <c r="E724" s="14">
        <f>SUM(TAB_ENTRADA[[#This Row],[20/05/2019]:[Colunas1]])</f>
        <v>6</v>
      </c>
      <c r="F724" s="3"/>
      <c r="FK724" s="3">
        <v>6</v>
      </c>
    </row>
    <row r="725" spans="1:167" x14ac:dyDescent="0.25">
      <c r="A725" s="5" t="s">
        <v>2382</v>
      </c>
      <c r="B725" s="14" t="str">
        <f>VLOOKUP(TAB_ENTRADA[[#This Row],[Cod_2_Entrada]],TAB_ESTOQUE[[Codigo]:[Descrição Tecnica]],6,FALSE)</f>
        <v>FILTRO MSD AZUL</v>
      </c>
      <c r="C725" s="14">
        <f>IFERROR(VLOOKUP(TAB_ENTRADA[[#This Row],[Cod_2_Entrada]],TAB_ESTOQUE[[Codigo]:[Referência Tec]],7,FALSE),"")</f>
        <v>0</v>
      </c>
      <c r="D725" s="14" t="str">
        <f>VLOOKUP(TAB_ENTRADA[[#This Row],[Cod_2_Entrada]],TAB_ESTOQUE[[Codigo]:[Endereço2]],12,FALSE)</f>
        <v>C2403</v>
      </c>
      <c r="E725" s="14">
        <f>SUM(TAB_ENTRADA[[#This Row],[20/05/2019]:[Colunas1]])</f>
        <v>1</v>
      </c>
      <c r="F725" s="3"/>
      <c r="FK725" s="3">
        <v>1</v>
      </c>
    </row>
    <row r="726" spans="1:167" x14ac:dyDescent="0.25">
      <c r="A726" s="5" t="s">
        <v>2383</v>
      </c>
      <c r="B726" s="14" t="str">
        <f>VLOOKUP(TAB_ENTRADA[[#This Row],[Cod_2_Entrada]],TAB_ESTOQUE[[Codigo]:[Descrição Tecnica]],6,FALSE)</f>
        <v>PLACA SCHIRMACHER S&amp;H-3 RJ 94V-0 ARTIKEL NR: 9999.377</v>
      </c>
      <c r="C726" s="14">
        <f>IFERROR(VLOOKUP(TAB_ENTRADA[[#This Row],[Cod_2_Entrada]],TAB_ESTOQUE[[Codigo]:[Referência Tec]],7,FALSE),"")</f>
        <v>0</v>
      </c>
      <c r="D726" s="14" t="str">
        <f>VLOOKUP(TAB_ENTRADA[[#This Row],[Cod_2_Entrada]],TAB_ESTOQUE[[Codigo]:[Endereço2]],12,FALSE)</f>
        <v>A2104</v>
      </c>
      <c r="E726" s="14">
        <f>SUM(TAB_ENTRADA[[#This Row],[20/05/2019]:[Colunas1]])</f>
        <v>0</v>
      </c>
      <c r="F726" s="3"/>
      <c r="FK726" s="3">
        <v>0</v>
      </c>
    </row>
    <row r="727" spans="1:167" x14ac:dyDescent="0.25">
      <c r="A727" s="5" t="s">
        <v>2384</v>
      </c>
      <c r="B727" s="14" t="str">
        <f>VLOOKUP(TAB_ENTRADA[[#This Row],[Cod_2_Entrada]],TAB_ESTOQUE[[Codigo]:[Descrição Tecnica]],6,FALSE)</f>
        <v>CORREIA DENTADA XPB2410</v>
      </c>
      <c r="C727" s="14">
        <f>IFERROR(VLOOKUP(TAB_ENTRADA[[#This Row],[Cod_2_Entrada]],TAB_ESTOQUE[[Codigo]:[Referência Tec]],7,FALSE),"")</f>
        <v>0</v>
      </c>
      <c r="D727" s="14" t="str">
        <f>VLOOKUP(TAB_ENTRADA[[#This Row],[Cod_2_Entrada]],TAB_ESTOQUE[[Codigo]:[Endereço2]],12,FALSE)</f>
        <v>S702</v>
      </c>
      <c r="E727" s="14">
        <f>SUM(TAB_ENTRADA[[#This Row],[20/05/2019]:[Colunas1]])</f>
        <v>3</v>
      </c>
      <c r="F727" s="3"/>
      <c r="FK727" s="3">
        <v>3</v>
      </c>
    </row>
    <row r="728" spans="1:167" x14ac:dyDescent="0.25">
      <c r="A728" s="5" t="s">
        <v>2385</v>
      </c>
      <c r="B728" s="14" t="str">
        <f>VLOOKUP(TAB_ENTRADA[[#This Row],[Cod_2_Entrada]],TAB_ESTOQUE[[Codigo]:[Descrição Tecnica]],6,FALSE)</f>
        <v>PRESSOSTATO PSG DIG HYDAC EDS3408-5-0040-1/2"</v>
      </c>
      <c r="C728" s="14">
        <f>IFERROR(VLOOKUP(TAB_ENTRADA[[#This Row],[Cod_2_Entrada]],TAB_ESTOQUE[[Codigo]:[Referência Tec]],7,FALSE),"")</f>
        <v>0</v>
      </c>
      <c r="D728" s="14" t="str">
        <f>VLOOKUP(TAB_ENTRADA[[#This Row],[Cod_2_Entrada]],TAB_ESTOQUE[[Codigo]:[Endereço2]],12,FALSE)</f>
        <v>A2104</v>
      </c>
      <c r="E728" s="14">
        <f>SUM(TAB_ENTRADA[[#This Row],[20/05/2019]:[Colunas1]])</f>
        <v>0</v>
      </c>
      <c r="F728" s="3"/>
      <c r="FK728" s="3">
        <v>0</v>
      </c>
    </row>
    <row r="729" spans="1:167" x14ac:dyDescent="0.25">
      <c r="A729" s="5" t="s">
        <v>2386</v>
      </c>
      <c r="B729" s="14" t="str">
        <f>VLOOKUP(TAB_ENTRADA[[#This Row],[Cod_2_Entrada]],TAB_ESTOQUE[[Codigo]:[Descrição Tecnica]],6,FALSE)</f>
        <v>SERVO MOTOR ABB 3HAC040408-00101</v>
      </c>
      <c r="C729" s="14">
        <f>IFERROR(VLOOKUP(TAB_ENTRADA[[#This Row],[Cod_2_Entrada]],TAB_ESTOQUE[[Codigo]:[Referência Tec]],7,FALSE),"")</f>
        <v>0</v>
      </c>
      <c r="D729" s="14" t="str">
        <f>VLOOKUP(TAB_ENTRADA[[#This Row],[Cod_2_Entrada]],TAB_ESTOQUE[[Codigo]:[Endereço2]],12,FALSE)</f>
        <v>E2406</v>
      </c>
      <c r="E729" s="14">
        <f>SUM(TAB_ENTRADA[[#This Row],[20/05/2019]:[Colunas1]])</f>
        <v>1</v>
      </c>
      <c r="F729" s="3"/>
      <c r="FK729" s="3">
        <v>1</v>
      </c>
    </row>
    <row r="730" spans="1:167" x14ac:dyDescent="0.25">
      <c r="A730" s="5" t="s">
        <v>2387</v>
      </c>
      <c r="B730" s="14" t="str">
        <f>VLOOKUP(TAB_ENTRADA[[#This Row],[Cod_2_Entrada]],TAB_ESTOQUE[[Codigo]:[Descrição Tecnica]],6,FALSE)</f>
        <v>CONTATO AUXILIAR LAEN22 SCHNEIDER</v>
      </c>
      <c r="C730" s="14">
        <f>IFERROR(VLOOKUP(TAB_ENTRADA[[#This Row],[Cod_2_Entrada]],TAB_ESTOQUE[[Codigo]:[Referência Tec]],7,FALSE),"")</f>
        <v>0</v>
      </c>
      <c r="D730" s="14" t="str">
        <f>VLOOKUP(TAB_ENTRADA[[#This Row],[Cod_2_Entrada]],TAB_ESTOQUE[[Codigo]:[Endereço2]],12,FALSE)</f>
        <v>A1305</v>
      </c>
      <c r="E730" s="14">
        <f>SUM(TAB_ENTRADA[[#This Row],[20/05/2019]:[Colunas1]])</f>
        <v>10</v>
      </c>
      <c r="F730" s="3"/>
      <c r="FK730" s="3">
        <v>10</v>
      </c>
    </row>
    <row r="731" spans="1:167" x14ac:dyDescent="0.25">
      <c r="A731" s="5" t="s">
        <v>2388</v>
      </c>
      <c r="B731" s="14" t="str">
        <f>VLOOKUP(TAB_ENTRADA[[#This Row],[Cod_2_Entrada]],TAB_ESTOQUE[[Codigo]:[Descrição Tecnica]],6,FALSE)</f>
        <v>TRANSFORMADOR RM153027 BATE PE</v>
      </c>
      <c r="C731" s="14">
        <f>IFERROR(VLOOKUP(TAB_ENTRADA[[#This Row],[Cod_2_Entrada]],TAB_ESTOQUE[[Codigo]:[Referência Tec]],7,FALSE),"")</f>
        <v>0</v>
      </c>
      <c r="D731" s="14" t="str">
        <f>VLOOKUP(TAB_ENTRADA[[#This Row],[Cod_2_Entrada]],TAB_ESTOQUE[[Codigo]:[Endereço2]],12,FALSE)</f>
        <v>D1406</v>
      </c>
      <c r="E731" s="14">
        <f>SUM(TAB_ENTRADA[[#This Row],[20/05/2019]:[Colunas1]])</f>
        <v>1</v>
      </c>
      <c r="F731" s="3"/>
      <c r="FK731" s="3">
        <v>1</v>
      </c>
    </row>
    <row r="732" spans="1:167" x14ac:dyDescent="0.25">
      <c r="A732" s="5" t="s">
        <v>2389</v>
      </c>
      <c r="B732" s="14" t="str">
        <f>VLOOKUP(TAB_ENTRADA[[#This Row],[Cod_2_Entrada]],TAB_ESTOQUE[[Codigo]:[Descrição Tecnica]],6,FALSE)</f>
        <v>TORNEIRA EM PVC DE JARDIN</v>
      </c>
      <c r="C732" s="14">
        <f>IFERROR(VLOOKUP(TAB_ENTRADA[[#This Row],[Cod_2_Entrada]],TAB_ESTOQUE[[Codigo]:[Referência Tec]],7,FALSE),"")</f>
        <v>0</v>
      </c>
      <c r="D732" s="14" t="str">
        <f>VLOOKUP(TAB_ENTRADA[[#This Row],[Cod_2_Entrada]],TAB_ESTOQUE[[Codigo]:[Endereço2]],12,FALSE)</f>
        <v>D1403</v>
      </c>
      <c r="E732" s="14">
        <f>SUM(TAB_ENTRADA[[#This Row],[20/05/2019]:[Colunas1]])</f>
        <v>1</v>
      </c>
      <c r="F732" s="3"/>
      <c r="FK732" s="3">
        <v>1</v>
      </c>
    </row>
    <row r="733" spans="1:167" x14ac:dyDescent="0.25">
      <c r="A733" s="5" t="s">
        <v>2390</v>
      </c>
      <c r="B733" s="14" t="str">
        <f>VLOOKUP(TAB_ENTRADA[[#This Row],[Cod_2_Entrada]],TAB_ESTOQUE[[Codigo]:[Descrição Tecnica]],6,FALSE)</f>
        <v>CONJUNTO INJETORA CANNON VALVULA 3/8 COM SOLENOIDE Z17383CA0 (PARKER)</v>
      </c>
      <c r="C733" s="14">
        <f>IFERROR(VLOOKUP(TAB_ENTRADA[[#This Row],[Cod_2_Entrada]],TAB_ESTOQUE[[Codigo]:[Referência Tec]],7,FALSE),"")</f>
        <v>0</v>
      </c>
      <c r="D733" s="14" t="str">
        <f>VLOOKUP(TAB_ENTRADA[[#This Row],[Cod_2_Entrada]],TAB_ESTOQUE[[Codigo]:[Endereço2]],12,FALSE)</f>
        <v>C2204</v>
      </c>
      <c r="E733" s="14">
        <f>SUM(TAB_ENTRADA[[#This Row],[20/05/2019]:[Colunas1]])</f>
        <v>0</v>
      </c>
      <c r="F733" s="3"/>
      <c r="FK733" s="3">
        <v>0</v>
      </c>
    </row>
    <row r="734" spans="1:167" x14ac:dyDescent="0.25">
      <c r="A734" s="5" t="s">
        <v>2391</v>
      </c>
      <c r="B734" s="14" t="str">
        <f>VLOOKUP(TAB_ENTRADA[[#This Row],[Cod_2_Entrada]],TAB_ESTOQUE[[Codigo]:[Descrição Tecnica]],6,FALSE)</f>
        <v>CILINDRO PADRÃO FESTO - REF. DSBC-100-500 PPV-A-KP E943</v>
      </c>
      <c r="C734" s="14">
        <f>IFERROR(VLOOKUP(TAB_ENTRADA[[#This Row],[Cod_2_Entrada]],TAB_ESTOQUE[[Codigo]:[Referência Tec]],7,FALSE),"")</f>
        <v>0</v>
      </c>
      <c r="D734" s="14" t="str">
        <f>VLOOKUP(TAB_ENTRADA[[#This Row],[Cod_2_Entrada]],TAB_ESTOQUE[[Codigo]:[Endereço2]],12,FALSE)</f>
        <v>G2106</v>
      </c>
      <c r="E734" s="14">
        <f>SUM(TAB_ENTRADA[[#This Row],[20/05/2019]:[Colunas1]])</f>
        <v>1</v>
      </c>
      <c r="F734" s="3"/>
      <c r="FK734" s="3">
        <v>1</v>
      </c>
    </row>
    <row r="735" spans="1:167" x14ac:dyDescent="0.25">
      <c r="A735" s="5" t="s">
        <v>2392</v>
      </c>
      <c r="B735" s="14" t="str">
        <f>VLOOKUP(TAB_ENTRADA[[#This Row],[Cod_2_Entrada]],TAB_ESTOQUE[[Codigo]:[Descrição Tecnica]],6,FALSE)</f>
        <v>MANCAL GG.ASE08</v>
      </c>
      <c r="C735" s="14">
        <f>IFERROR(VLOOKUP(TAB_ENTRADA[[#This Row],[Cod_2_Entrada]],TAB_ESTOQUE[[Codigo]:[Referência Tec]],7,FALSE),"")</f>
        <v>0</v>
      </c>
      <c r="D735" s="14" t="str">
        <f>VLOOKUP(TAB_ENTRADA[[#This Row],[Cod_2_Entrada]],TAB_ESTOQUE[[Codigo]:[Endereço2]],12,FALSE)</f>
        <v>E1405</v>
      </c>
      <c r="E735" s="14">
        <f>SUM(TAB_ENTRADA[[#This Row],[20/05/2019]:[Colunas1]])</f>
        <v>2</v>
      </c>
      <c r="F735" s="3"/>
      <c r="FK735" s="3">
        <v>2</v>
      </c>
    </row>
    <row r="736" spans="1:167" x14ac:dyDescent="0.25">
      <c r="A736" s="5" t="s">
        <v>2393</v>
      </c>
      <c r="B736" s="14" t="str">
        <f>VLOOKUP(TAB_ENTRADA[[#This Row],[Cod_2_Entrada]],TAB_ESTOQUE[[Codigo]:[Descrição Tecnica]],6,FALSE)</f>
        <v>BLOCO HIDRAULICO REXROTH 0C1009012 R900990630</v>
      </c>
      <c r="C736" s="14">
        <f>IFERROR(VLOOKUP(TAB_ENTRADA[[#This Row],[Cod_2_Entrada]],TAB_ESTOQUE[[Codigo]:[Referência Tec]],7,FALSE),"")</f>
        <v>0</v>
      </c>
      <c r="D736" s="14" t="str">
        <f>VLOOKUP(TAB_ENTRADA[[#This Row],[Cod_2_Entrada]],TAB_ESTOQUE[[Codigo]:[Endereço2]],12,FALSE)</f>
        <v>C2203</v>
      </c>
      <c r="E736" s="14">
        <f>SUM(TAB_ENTRADA[[#This Row],[20/05/2019]:[Colunas1]])</f>
        <v>2</v>
      </c>
      <c r="F736" s="3"/>
      <c r="FK736" s="3">
        <v>2</v>
      </c>
    </row>
    <row r="737" spans="1:172" x14ac:dyDescent="0.25">
      <c r="A737" s="5" t="s">
        <v>2394</v>
      </c>
      <c r="B737" s="14" t="str">
        <f>VLOOKUP(TAB_ENTRADA[[#This Row],[Cod_2_Entrada]],TAB_ESTOQUE[[Codigo]:[Descrição Tecnica]],6,FALSE)</f>
        <v>KIT REPARO ENGATE RAPIDO 30X33,5X1,20</v>
      </c>
      <c r="C737" s="14">
        <f>IFERROR(VLOOKUP(TAB_ENTRADA[[#This Row],[Cod_2_Entrada]],TAB_ESTOQUE[[Codigo]:[Referência Tec]],7,FALSE),"")</f>
        <v>0</v>
      </c>
      <c r="D737" s="14" t="str">
        <f>VLOOKUP(TAB_ENTRADA[[#This Row],[Cod_2_Entrada]],TAB_ESTOQUE[[Codigo]:[Endereço2]],12,FALSE)</f>
        <v>E1304</v>
      </c>
      <c r="E737" s="14">
        <f>SUM(TAB_ENTRADA[[#This Row],[20/05/2019]:[Colunas1]])</f>
        <v>13</v>
      </c>
      <c r="F737" s="3"/>
      <c r="FK737" s="3">
        <v>13</v>
      </c>
    </row>
    <row r="738" spans="1:172" x14ac:dyDescent="0.25">
      <c r="A738" s="5" t="s">
        <v>2395</v>
      </c>
      <c r="B738" s="14" t="str">
        <f>VLOOKUP(TAB_ENTRADA[[#This Row],[Cod_2_Entrada]],TAB_ESTOQUE[[Codigo]:[Descrição Tecnica]],6,FALSE)</f>
        <v>KIT REPARO ENGATE RAPIDO 36X40X1,5</v>
      </c>
      <c r="C738" s="14">
        <f>IFERROR(VLOOKUP(TAB_ENTRADA[[#This Row],[Cod_2_Entrada]],TAB_ESTOQUE[[Codigo]:[Referência Tec]],7,FALSE),"")</f>
        <v>0</v>
      </c>
      <c r="D738" s="14" t="str">
        <f>VLOOKUP(TAB_ENTRADA[[#This Row],[Cod_2_Entrada]],TAB_ESTOQUE[[Codigo]:[Endereço2]],12,FALSE)</f>
        <v>E1304</v>
      </c>
      <c r="E738" s="14">
        <f>SUM(TAB_ENTRADA[[#This Row],[20/05/2019]:[Colunas1]])</f>
        <v>19</v>
      </c>
      <c r="F738" s="3"/>
      <c r="FK738" s="3">
        <v>19</v>
      </c>
    </row>
    <row r="739" spans="1:172" x14ac:dyDescent="0.25">
      <c r="A739" s="5" t="s">
        <v>2396</v>
      </c>
      <c r="B739" s="14" t="str">
        <f>VLOOKUP(TAB_ENTRADA[[#This Row],[Cod_2_Entrada]],TAB_ESTOQUE[[Codigo]:[Descrição Tecnica]],6,FALSE)</f>
        <v>RESISTENCIA DO COLEIRO COM HASTE DE 300MM 220V 700W 42/16 110471N</v>
      </c>
      <c r="C739" s="14">
        <f>IFERROR(VLOOKUP(TAB_ENTRADA[[#This Row],[Cod_2_Entrada]],TAB_ESTOQUE[[Codigo]:[Referência Tec]],7,FALSE),"")</f>
        <v>0</v>
      </c>
      <c r="D739" s="14" t="str">
        <f>VLOOKUP(TAB_ENTRADA[[#This Row],[Cod_2_Entrada]],TAB_ESTOQUE[[Codigo]:[Endereço2]],12,FALSE)</f>
        <v>A2402</v>
      </c>
      <c r="E739" s="14">
        <f>SUM(TAB_ENTRADA[[#This Row],[20/05/2019]:[Colunas1]])</f>
        <v>8</v>
      </c>
      <c r="F739" s="3"/>
      <c r="FK739" s="3">
        <v>8</v>
      </c>
    </row>
    <row r="740" spans="1:172" x14ac:dyDescent="0.25">
      <c r="A740" s="5" t="s">
        <v>2397</v>
      </c>
      <c r="B740" s="14" t="str">
        <f>VLOOKUP(TAB_ENTRADA[[#This Row],[Cod_2_Entrada]],TAB_ESTOQUE[[Codigo]:[Descrição Tecnica]],6,FALSE)</f>
        <v>RESISTENCIA DO COLEIRO BACKEP MARA THON HR 37013T 240W 150W</v>
      </c>
      <c r="C740" s="14">
        <f>IFERROR(VLOOKUP(TAB_ENTRADA[[#This Row],[Cod_2_Entrada]],TAB_ESTOQUE[[Codigo]:[Referência Tec]],7,FALSE),"")</f>
        <v>0</v>
      </c>
      <c r="D740" s="14" t="str">
        <f>VLOOKUP(TAB_ENTRADA[[#This Row],[Cod_2_Entrada]],TAB_ESTOQUE[[Codigo]:[Endereço2]],12,FALSE)</f>
        <v>A2402</v>
      </c>
      <c r="E740" s="14">
        <f>SUM(TAB_ENTRADA[[#This Row],[20/05/2019]:[Colunas1]])</f>
        <v>2</v>
      </c>
      <c r="F740" s="3"/>
      <c r="FK740" s="3">
        <v>2</v>
      </c>
    </row>
    <row r="741" spans="1:172" x14ac:dyDescent="0.25">
      <c r="A741" s="5" t="s">
        <v>2398</v>
      </c>
      <c r="B741" s="14" t="str">
        <f>VLOOKUP(TAB_ENTRADA[[#This Row],[Cod_2_Entrada]],TAB_ESTOQUE[[Codigo]:[Descrição Tecnica]],6,FALSE)</f>
        <v>SENSOR DE TEMPERATURA PT-100 2 FIOS C/ CABO BRANCO</v>
      </c>
      <c r="C741" s="14">
        <f>IFERROR(VLOOKUP(TAB_ENTRADA[[#This Row],[Cod_2_Entrada]],TAB_ESTOQUE[[Codigo]:[Referência Tec]],7,FALSE),"")</f>
        <v>0</v>
      </c>
      <c r="D741" s="14" t="str">
        <f>VLOOKUP(TAB_ENTRADA[[#This Row],[Cod_2_Entrada]],TAB_ESTOQUE[[Codigo]:[Endereço2]],12,FALSE)</f>
        <v>A2402</v>
      </c>
      <c r="E741" s="14">
        <f>SUM(TAB_ENTRADA[[#This Row],[20/05/2019]:[Colunas1]])</f>
        <v>1</v>
      </c>
      <c r="F741" s="3"/>
      <c r="FK741" s="3">
        <v>1</v>
      </c>
    </row>
    <row r="742" spans="1:172" x14ac:dyDescent="0.25">
      <c r="A742" s="5" t="s">
        <v>2399</v>
      </c>
      <c r="B742" s="14" t="str">
        <f>VLOOKUP(TAB_ENTRADA[[#This Row],[Cod_2_Entrada]],TAB_ESTOQUE[[Codigo]:[Descrição Tecnica]],6,FALSE)</f>
        <v>PISTOLA DE COLA DO ROBO DEVIBILLS HVLP AUTO 1,0MM AG362-TE40-10-L</v>
      </c>
      <c r="C742" s="14">
        <f>IFERROR(VLOOKUP(TAB_ENTRADA[[#This Row],[Cod_2_Entrada]],TAB_ESTOQUE[[Codigo]:[Referência Tec]],7,FALSE),"")</f>
        <v>0</v>
      </c>
      <c r="D742" s="14" t="str">
        <f>VLOOKUP(TAB_ENTRADA[[#This Row],[Cod_2_Entrada]],TAB_ESTOQUE[[Codigo]:[Endereço2]],12,FALSE)</f>
        <v>E2303</v>
      </c>
      <c r="E742" s="14">
        <f>SUM(TAB_ENTRADA[[#This Row],[20/05/2019]:[Colunas1]])</f>
        <v>1</v>
      </c>
      <c r="F742" s="3"/>
      <c r="FK742" s="3">
        <v>1</v>
      </c>
    </row>
    <row r="743" spans="1:172" x14ac:dyDescent="0.25">
      <c r="A743" s="5" t="s">
        <v>2400</v>
      </c>
      <c r="B743" s="14" t="str">
        <f>VLOOKUP(TAB_ENTRADA[[#This Row],[Cod_2_Entrada]],TAB_ESTOQUE[[Codigo]:[Descrição Tecnica]],6,FALSE)</f>
        <v xml:space="preserve">PISTOLA MAKMELT MODELO:020002N </v>
      </c>
      <c r="C743" s="14">
        <f>IFERROR(VLOOKUP(TAB_ENTRADA[[#This Row],[Cod_2_Entrada]],TAB_ESTOQUE[[Codigo]:[Referência Tec]],7,FALSE),"")</f>
        <v>0</v>
      </c>
      <c r="D743" s="14" t="str">
        <f>VLOOKUP(TAB_ENTRADA[[#This Row],[Cod_2_Entrada]],TAB_ESTOQUE[[Codigo]:[Endereço2]],12,FALSE)</f>
        <v>A1102</v>
      </c>
      <c r="E743" s="14">
        <f>SUM(TAB_ENTRADA[[#This Row],[20/05/2019]:[Colunas1]])</f>
        <v>3</v>
      </c>
      <c r="F743" s="3"/>
      <c r="FK743" s="3">
        <v>2</v>
      </c>
      <c r="FP743" s="3">
        <v>1</v>
      </c>
    </row>
    <row r="744" spans="1:172" x14ac:dyDescent="0.25">
      <c r="A744" s="5" t="s">
        <v>2401</v>
      </c>
      <c r="B744" s="14" t="str">
        <f>VLOOKUP(TAB_ENTRADA[[#This Row],[Cod_2_Entrada]],TAB_ESTOQUE[[Codigo]:[Descrição Tecnica]],6,FALSE)</f>
        <v>VALVULA HIDRAULICA REXROTH REF: ZDR 6 DP2-43/210YM</v>
      </c>
      <c r="C744" s="14">
        <f>IFERROR(VLOOKUP(TAB_ENTRADA[[#This Row],[Cod_2_Entrada]],TAB_ESTOQUE[[Codigo]:[Referência Tec]],7,FALSE),"")</f>
        <v>0</v>
      </c>
      <c r="D744" s="14" t="str">
        <f>VLOOKUP(TAB_ENTRADA[[#This Row],[Cod_2_Entrada]],TAB_ESTOQUE[[Codigo]:[Endereço2]],12,FALSE)</f>
        <v>C2104</v>
      </c>
      <c r="E744" s="14">
        <f>SUM(TAB_ENTRADA[[#This Row],[20/05/2019]:[Colunas1]])</f>
        <v>2</v>
      </c>
      <c r="F744" s="3"/>
      <c r="FK744" s="3">
        <v>2</v>
      </c>
    </row>
    <row r="745" spans="1:172" x14ac:dyDescent="0.25">
      <c r="A745" s="5" t="s">
        <v>2402</v>
      </c>
      <c r="B745" s="14" t="str">
        <f>VLOOKUP(TAB_ENTRADA[[#This Row],[Cod_2_Entrada]],TAB_ESTOQUE[[Codigo]:[Descrição Tecnica]],6,FALSE)</f>
        <v>VALVULA DE SEGURANÇA PARA AGUA 3/4"</v>
      </c>
      <c r="C745" s="14">
        <f>IFERROR(VLOOKUP(TAB_ENTRADA[[#This Row],[Cod_2_Entrada]],TAB_ESTOQUE[[Codigo]:[Referência Tec]],7,FALSE),"")</f>
        <v>0</v>
      </c>
      <c r="D745" s="14" t="str">
        <f>VLOOKUP(TAB_ENTRADA[[#This Row],[Cod_2_Entrada]],TAB_ESTOQUE[[Codigo]:[Endereço2]],12,FALSE)</f>
        <v>E1402</v>
      </c>
      <c r="E745" s="14">
        <f>SUM(TAB_ENTRADA[[#This Row],[20/05/2019]:[Colunas1]])</f>
        <v>1</v>
      </c>
      <c r="F745" s="3"/>
      <c r="FK745" s="3">
        <v>1</v>
      </c>
    </row>
    <row r="746" spans="1:172" x14ac:dyDescent="0.25">
      <c r="A746" s="5" t="s">
        <v>2403</v>
      </c>
      <c r="B746" s="14" t="str">
        <f>VLOOKUP(TAB_ENTRADA[[#This Row],[Cod_2_Entrada]],TAB_ESTOQUE[[Codigo]:[Descrição Tecnica]],6,FALSE)</f>
        <v>LUBRIPLATE FML-2</v>
      </c>
      <c r="C746" s="14">
        <f>IFERROR(VLOOKUP(TAB_ENTRADA[[#This Row],[Cod_2_Entrada]],TAB_ESTOQUE[[Codigo]:[Referência Tec]],7,FALSE),"")</f>
        <v>0</v>
      </c>
      <c r="D746" s="14" t="str">
        <f>VLOOKUP(TAB_ENTRADA[[#This Row],[Cod_2_Entrada]],TAB_ESTOQUE[[Codigo]:[Endereço2]],12,FALSE)</f>
        <v>ARMARIO</v>
      </c>
      <c r="E746" s="14">
        <f>SUM(TAB_ENTRADA[[#This Row],[20/05/2019]:[Colunas1]])</f>
        <v>1</v>
      </c>
      <c r="F746" s="3"/>
      <c r="FK746" s="3">
        <v>1</v>
      </c>
    </row>
    <row r="747" spans="1:172" x14ac:dyDescent="0.25">
      <c r="A747" s="5" t="s">
        <v>2404</v>
      </c>
      <c r="B747" s="14" t="str">
        <f>VLOOKUP(TAB_ENTRADA[[#This Row],[Cod_2_Entrada]],TAB_ESTOQUE[[Codigo]:[Descrição Tecnica]],6,FALSE)</f>
        <v>PURE GOOP</v>
      </c>
      <c r="C747" s="14">
        <f>IFERROR(VLOOKUP(TAB_ENTRADA[[#This Row],[Cod_2_Entrada]],TAB_ESTOQUE[[Codigo]:[Referência Tec]],7,FALSE),"")</f>
        <v>0</v>
      </c>
      <c r="D747" s="14" t="str">
        <f>VLOOKUP(TAB_ENTRADA[[#This Row],[Cod_2_Entrada]],TAB_ESTOQUE[[Codigo]:[Endereço2]],12,FALSE)</f>
        <v>ARMARIO</v>
      </c>
      <c r="E747" s="14">
        <f>SUM(TAB_ENTRADA[[#This Row],[20/05/2019]:[Colunas1]])</f>
        <v>5</v>
      </c>
      <c r="F747" s="3"/>
      <c r="FK747" s="3">
        <v>5</v>
      </c>
    </row>
    <row r="748" spans="1:172" x14ac:dyDescent="0.25">
      <c r="A748" s="5" t="s">
        <v>2405</v>
      </c>
      <c r="B748" s="14" t="str">
        <f>VLOOKUP(TAB_ENTRADA[[#This Row],[Cod_2_Entrada]],TAB_ESTOQUE[[Codigo]:[Descrição Tecnica]],6,FALSE)</f>
        <v>BEXIGA PARA ACUMULADOR DE PRESSÃO BLADDER NXQ-A-6.3/31.5-L-Y</v>
      </c>
      <c r="C748" s="14">
        <f>IFERROR(VLOOKUP(TAB_ENTRADA[[#This Row],[Cod_2_Entrada]],TAB_ESTOQUE[[Codigo]:[Referência Tec]],7,FALSE),"")</f>
        <v>0</v>
      </c>
      <c r="D748" s="14" t="str">
        <f>VLOOKUP(TAB_ENTRADA[[#This Row],[Cod_2_Entrada]],TAB_ESTOQUE[[Codigo]:[Endereço2]],12,FALSE)</f>
        <v>C2201</v>
      </c>
      <c r="E748" s="14">
        <f>SUM(TAB_ENTRADA[[#This Row],[20/05/2019]:[Colunas1]])</f>
        <v>0</v>
      </c>
      <c r="F748" s="3"/>
      <c r="FK748" s="3">
        <v>0</v>
      </c>
    </row>
    <row r="749" spans="1:172" x14ac:dyDescent="0.25">
      <c r="A749" s="5" t="s">
        <v>2406</v>
      </c>
      <c r="B749" s="14" t="str">
        <f>VLOOKUP(TAB_ENTRADA[[#This Row],[Cod_2_Entrada]],TAB_ESTOQUE[[Codigo]:[Descrição Tecnica]],6,FALSE)</f>
        <v>ACOPLAMENTO EA 148</v>
      </c>
      <c r="C749" s="14">
        <f>IFERROR(VLOOKUP(TAB_ENTRADA[[#This Row],[Cod_2_Entrada]],TAB_ESTOQUE[[Codigo]:[Referência Tec]],7,FALSE),"")</f>
        <v>0</v>
      </c>
      <c r="D749" s="14" t="str">
        <f>VLOOKUP(TAB_ENTRADA[[#This Row],[Cod_2_Entrada]],TAB_ESTOQUE[[Codigo]:[Endereço2]],12,FALSE)</f>
        <v>E2204</v>
      </c>
      <c r="E749" s="14">
        <f>SUM(TAB_ENTRADA[[#This Row],[20/05/2019]:[Colunas1]])</f>
        <v>2</v>
      </c>
      <c r="F749" s="3"/>
      <c r="FK749" s="3">
        <v>2</v>
      </c>
    </row>
    <row r="750" spans="1:172" x14ac:dyDescent="0.25">
      <c r="A750" s="5" t="s">
        <v>2407</v>
      </c>
      <c r="B750" s="14" t="str">
        <f>VLOOKUP(TAB_ENTRADA[[#This Row],[Cod_2_Entrada]],TAB_ESTOQUE[[Codigo]:[Descrição Tecnica]],6,FALSE)</f>
        <v>ACOPLAMENTO REXROTH 38</v>
      </c>
      <c r="C750" s="14">
        <f>IFERROR(VLOOKUP(TAB_ENTRADA[[#This Row],[Cod_2_Entrada]],TAB_ESTOQUE[[Codigo]:[Referência Tec]],7,FALSE),"")</f>
        <v>0</v>
      </c>
      <c r="D750" s="14" t="str">
        <f>VLOOKUP(TAB_ENTRADA[[#This Row],[Cod_2_Entrada]],TAB_ESTOQUE[[Codigo]:[Endereço2]],12,FALSE)</f>
        <v>E2204</v>
      </c>
      <c r="E750" s="14">
        <f>SUM(TAB_ENTRADA[[#This Row],[20/05/2019]:[Colunas1]])</f>
        <v>1</v>
      </c>
      <c r="F750" s="3"/>
      <c r="FK750" s="3">
        <v>1</v>
      </c>
    </row>
    <row r="751" spans="1:172" x14ac:dyDescent="0.25">
      <c r="A751" s="5" t="s">
        <v>2408</v>
      </c>
      <c r="B751" s="14" t="str">
        <f>VLOOKUP(TAB_ENTRADA[[#This Row],[Cod_2_Entrada]],TAB_ESTOQUE[[Codigo]:[Descrição Tecnica]],6,FALSE)</f>
        <v>ACOPLAMENTO 67</v>
      </c>
      <c r="C751" s="14">
        <f>IFERROR(VLOOKUP(TAB_ENTRADA[[#This Row],[Cod_2_Entrada]],TAB_ESTOQUE[[Codigo]:[Referência Tec]],7,FALSE),"")</f>
        <v>0</v>
      </c>
      <c r="D751" s="14" t="str">
        <f>VLOOKUP(TAB_ENTRADA[[#This Row],[Cod_2_Entrada]],TAB_ESTOQUE[[Codigo]:[Endereço2]],12,FALSE)</f>
        <v>E2204</v>
      </c>
      <c r="E751" s="14">
        <f>SUM(TAB_ENTRADA[[#This Row],[20/05/2019]:[Colunas1]])</f>
        <v>3</v>
      </c>
      <c r="F751" s="3"/>
      <c r="FK751" s="3">
        <v>3</v>
      </c>
    </row>
    <row r="752" spans="1:172" x14ac:dyDescent="0.25">
      <c r="A752" s="5" t="s">
        <v>2409</v>
      </c>
      <c r="B752" s="14" t="str">
        <f>VLOOKUP(TAB_ENTRADA[[#This Row],[Cod_2_Entrada]],TAB_ESTOQUE[[Codigo]:[Descrição Tecnica]],6,FALSE)</f>
        <v>VALVULA DIAFRAGMA 3/8" CO BOBINA 24V DC</v>
      </c>
      <c r="C752" s="14">
        <f>IFERROR(VLOOKUP(TAB_ENTRADA[[#This Row],[Cod_2_Entrada]],TAB_ESTOQUE[[Codigo]:[Referência Tec]],7,FALSE),"")</f>
        <v>0</v>
      </c>
      <c r="D752" s="14" t="str">
        <f>VLOOKUP(TAB_ENTRADA[[#This Row],[Cod_2_Entrada]],TAB_ESTOQUE[[Codigo]:[Endereço2]],12,FALSE)</f>
        <v>C1203</v>
      </c>
      <c r="E752" s="14">
        <f>SUM(TAB_ENTRADA[[#This Row],[20/05/2019]:[Colunas1]])</f>
        <v>3</v>
      </c>
      <c r="F752" s="3"/>
      <c r="FK752" s="3">
        <v>3</v>
      </c>
    </row>
    <row r="753" spans="1:167" x14ac:dyDescent="0.25">
      <c r="A753" s="5" t="s">
        <v>2410</v>
      </c>
      <c r="B753" s="14" t="str">
        <f>VLOOKUP(TAB_ENTRADA[[#This Row],[Cod_2_Entrada]],TAB_ESTOQUE[[Codigo]:[Descrição Tecnica]],6,FALSE)</f>
        <v>CAIXA DE DERIVAÇÃO ( PASSAGEM )  DUAS SAIDAS ZAG3 SKRINKA HLINIKOVA 98X</v>
      </c>
      <c r="C753" s="14">
        <f>IFERROR(VLOOKUP(TAB_ENTRADA[[#This Row],[Cod_2_Entrada]],TAB_ESTOQUE[[Codigo]:[Referência Tec]],7,FALSE),"")</f>
        <v>0</v>
      </c>
      <c r="D753" s="14" t="str">
        <f>VLOOKUP(TAB_ENTRADA[[#This Row],[Cod_2_Entrada]],TAB_ESTOQUE[[Codigo]:[Endereço2]],12,FALSE)</f>
        <v>B1304</v>
      </c>
      <c r="E753" s="14">
        <f>SUM(TAB_ENTRADA[[#This Row],[20/05/2019]:[Colunas1]])</f>
        <v>1</v>
      </c>
      <c r="F753" s="3"/>
      <c r="FK753" s="3">
        <v>1</v>
      </c>
    </row>
    <row r="754" spans="1:167" x14ac:dyDescent="0.25">
      <c r="A754" s="5" t="s">
        <v>2411</v>
      </c>
      <c r="B754" s="14" t="str">
        <f>VLOOKUP(TAB_ENTRADA[[#This Row],[Cod_2_Entrada]],TAB_ESTOQUE[[Codigo]:[Descrição Tecnica]],6,FALSE)</f>
        <v>CAIXA DE DERIVAÇÃO ( PASSAGEM )  TRES SAIDAS ZAG4 SKRINKA HLINIKOVA 150X64X36</v>
      </c>
      <c r="C754" s="14">
        <f>IFERROR(VLOOKUP(TAB_ENTRADA[[#This Row],[Cod_2_Entrada]],TAB_ESTOQUE[[Codigo]:[Referência Tec]],7,FALSE),"")</f>
        <v>0</v>
      </c>
      <c r="D754" s="14" t="str">
        <f>VLOOKUP(TAB_ENTRADA[[#This Row],[Cod_2_Entrada]],TAB_ESTOQUE[[Codigo]:[Endereço2]],12,FALSE)</f>
        <v>B1304</v>
      </c>
      <c r="E754" s="14">
        <f>SUM(TAB_ENTRADA[[#This Row],[20/05/2019]:[Colunas1]])</f>
        <v>1</v>
      </c>
      <c r="F754" s="3"/>
      <c r="FK754" s="3">
        <v>1</v>
      </c>
    </row>
    <row r="755" spans="1:167" x14ac:dyDescent="0.25">
      <c r="A755" s="5" t="s">
        <v>2412</v>
      </c>
      <c r="B755" s="14" t="str">
        <f>VLOOKUP(TAB_ENTRADA[[#This Row],[Cod_2_Entrada]],TAB_ESTOQUE[[Codigo]:[Descrição Tecnica]],6,FALSE)</f>
        <v>MANGUEIRA 4MM VALCO MELTON TEFLON 988XX205</v>
      </c>
      <c r="C755" s="14">
        <f>IFERROR(VLOOKUP(TAB_ENTRADA[[#This Row],[Cod_2_Entrada]],TAB_ESTOQUE[[Codigo]:[Referência Tec]],7,FALSE),"")</f>
        <v>0</v>
      </c>
      <c r="D755" s="14" t="str">
        <f>VLOOKUP(TAB_ENTRADA[[#This Row],[Cod_2_Entrada]],TAB_ESTOQUE[[Codigo]:[Endereço2]],12,FALSE)</f>
        <v>E2302</v>
      </c>
      <c r="E755" s="14">
        <f>SUM(TAB_ENTRADA[[#This Row],[20/05/2019]:[Colunas1]])</f>
        <v>2</v>
      </c>
      <c r="F755" s="3"/>
      <c r="FK755" s="3">
        <v>2</v>
      </c>
    </row>
    <row r="756" spans="1:167" x14ac:dyDescent="0.25">
      <c r="A756" s="5" t="s">
        <v>2413</v>
      </c>
      <c r="B756" s="14" t="str">
        <f>VLOOKUP(TAB_ENTRADA[[#This Row],[Cod_2_Entrada]],TAB_ESTOQUE[[Codigo]:[Descrição Tecnica]],6,FALSE)</f>
        <v>BOMBA HIDRAULICA  ALTA PRESSAO PARKER PV080R1K1T1NHLC</v>
      </c>
      <c r="C756" s="14">
        <f>IFERROR(VLOOKUP(TAB_ENTRADA[[#This Row],[Cod_2_Entrada]],TAB_ESTOQUE[[Codigo]:[Referência Tec]],7,FALSE),"")</f>
        <v>0</v>
      </c>
      <c r="D756" s="14" t="str">
        <f>VLOOKUP(TAB_ENTRADA[[#This Row],[Cod_2_Entrada]],TAB_ESTOQUE[[Codigo]:[Endereço2]],12,FALSE)</f>
        <v>F1405</v>
      </c>
      <c r="E756" s="14">
        <f>SUM(TAB_ENTRADA[[#This Row],[20/05/2019]:[Colunas1]])</f>
        <v>1</v>
      </c>
      <c r="F756" s="3"/>
      <c r="FK756" s="3">
        <v>1</v>
      </c>
    </row>
    <row r="757" spans="1:167" x14ac:dyDescent="0.25">
      <c r="A757" s="5" t="s">
        <v>2414</v>
      </c>
      <c r="B757" s="14" t="str">
        <f>VLOOKUP(TAB_ENTRADA[[#This Row],[Cod_2_Entrada]],TAB_ESTOQUE[[Codigo]:[Descrição Tecnica]],6,FALSE)</f>
        <v>BOMBA HIDRAULICA  REXROTH R910983523/001 A10VS0100DFR1/31R</v>
      </c>
      <c r="C757" s="14">
        <f>IFERROR(VLOOKUP(TAB_ENTRADA[[#This Row],[Cod_2_Entrada]],TAB_ESTOQUE[[Codigo]:[Referência Tec]],7,FALSE),"")</f>
        <v>0</v>
      </c>
      <c r="D757" s="14" t="str">
        <f>VLOOKUP(TAB_ENTRADA[[#This Row],[Cod_2_Entrada]],TAB_ESTOQUE[[Codigo]:[Endereço2]],12,FALSE)</f>
        <v>E2306</v>
      </c>
      <c r="E757" s="14">
        <f>SUM(TAB_ENTRADA[[#This Row],[20/05/2019]:[Colunas1]])</f>
        <v>1</v>
      </c>
      <c r="F757" s="3"/>
      <c r="FK757" s="3">
        <v>1</v>
      </c>
    </row>
    <row r="758" spans="1:167" x14ac:dyDescent="0.25">
      <c r="A758" s="5" t="s">
        <v>2415</v>
      </c>
      <c r="B758" s="14" t="str">
        <f>VLOOKUP(TAB_ENTRADA[[#This Row],[Cod_2_Entrada]],TAB_ESTOQUE[[Codigo]:[Descrição Tecnica]],6,FALSE)</f>
        <v>ELEMENTO FILTRANTE PP 0.2 U D2 5X10</v>
      </c>
      <c r="C758" s="14">
        <f>IFERROR(VLOOKUP(TAB_ENTRADA[[#This Row],[Cod_2_Entrada]],TAB_ESTOQUE[[Codigo]:[Referência Tec]],7,FALSE),"")</f>
        <v>0</v>
      </c>
      <c r="D758" s="14" t="str">
        <f>VLOOKUP(TAB_ENTRADA[[#This Row],[Cod_2_Entrada]],TAB_ESTOQUE[[Codigo]:[Endereço2]],12,FALSE)</f>
        <v>C1402</v>
      </c>
      <c r="E758" s="14">
        <f>SUM(TAB_ENTRADA[[#This Row],[20/05/2019]:[Colunas1]])</f>
        <v>0</v>
      </c>
      <c r="F758" s="3"/>
      <c r="FK758" s="3">
        <v>0</v>
      </c>
    </row>
    <row r="759" spans="1:167" x14ac:dyDescent="0.25">
      <c r="A759" s="5" t="s">
        <v>2416</v>
      </c>
      <c r="B759" s="14" t="str">
        <f>VLOOKUP(TAB_ENTRADA[[#This Row],[Cod_2_Entrada]],TAB_ESTOQUE[[Codigo]:[Descrição Tecnica]],6,FALSE)</f>
        <v>VALVULA GLOBO  2"</v>
      </c>
      <c r="C759" s="14">
        <f>IFERROR(VLOOKUP(TAB_ENTRADA[[#This Row],[Cod_2_Entrada]],TAB_ESTOQUE[[Codigo]:[Referência Tec]],7,FALSE),"")</f>
        <v>0</v>
      </c>
      <c r="D759" s="14" t="str">
        <f>VLOOKUP(TAB_ENTRADA[[#This Row],[Cod_2_Entrada]],TAB_ESTOQUE[[Codigo]:[Endereço2]],12,FALSE)</f>
        <v>D2402</v>
      </c>
      <c r="E759" s="14">
        <f>SUM(TAB_ENTRADA[[#This Row],[20/05/2019]:[Colunas1]])</f>
        <v>1</v>
      </c>
      <c r="F759" s="3"/>
      <c r="FK759" s="3">
        <v>1</v>
      </c>
    </row>
    <row r="760" spans="1:167" x14ac:dyDescent="0.25">
      <c r="A760" s="5" t="s">
        <v>2417</v>
      </c>
      <c r="B760" s="14" t="str">
        <f>VLOOKUP(TAB_ENTRADA[[#This Row],[Cod_2_Entrada]],TAB_ESTOQUE[[Codigo]:[Descrição Tecnica]],6,FALSE)</f>
        <v>VALVULA PNEUMATICA 3/2 VIAS COM 2 BOBINA 24V</v>
      </c>
      <c r="C760" s="14">
        <f>IFERROR(VLOOKUP(TAB_ENTRADA[[#This Row],[Cod_2_Entrada]],TAB_ESTOQUE[[Codigo]:[Referência Tec]],7,FALSE),"")</f>
        <v>0</v>
      </c>
      <c r="D760" s="14" t="str">
        <f>VLOOKUP(TAB_ENTRADA[[#This Row],[Cod_2_Entrada]],TAB_ESTOQUE[[Codigo]:[Endereço2]],12,FALSE)</f>
        <v>C1103</v>
      </c>
      <c r="E760" s="14">
        <f>SUM(TAB_ENTRADA[[#This Row],[20/05/2019]:[Colunas1]])</f>
        <v>4</v>
      </c>
      <c r="F760" s="3"/>
      <c r="FK760" s="3">
        <v>4</v>
      </c>
    </row>
    <row r="761" spans="1:167" x14ac:dyDescent="0.25">
      <c r="A761" s="5" t="s">
        <v>2418</v>
      </c>
      <c r="B761" s="14" t="str">
        <f>VLOOKUP(TAB_ENTRADA[[#This Row],[Cod_2_Entrada]],TAB_ESTOQUE[[Codigo]:[Descrição Tecnica]],6,FALSE)</f>
        <v>VALVULA BLOQUEIO - REF. K140612</v>
      </c>
      <c r="C761" s="14">
        <f>IFERROR(VLOOKUP(TAB_ENTRADA[[#This Row],[Cod_2_Entrada]],TAB_ESTOQUE[[Codigo]:[Referência Tec]],7,FALSE),"")</f>
        <v>0</v>
      </c>
      <c r="D761" s="14" t="str">
        <f>VLOOKUP(TAB_ENTRADA[[#This Row],[Cod_2_Entrada]],TAB_ESTOQUE[[Codigo]:[Endereço2]],12,FALSE)</f>
        <v>E1402</v>
      </c>
      <c r="E761" s="14">
        <f>SUM(TAB_ENTRADA[[#This Row],[20/05/2019]:[Colunas1]])</f>
        <v>0</v>
      </c>
      <c r="F761" s="3"/>
      <c r="FK761" s="3">
        <v>0</v>
      </c>
    </row>
    <row r="762" spans="1:167" x14ac:dyDescent="0.25">
      <c r="A762" s="5" t="s">
        <v>2419</v>
      </c>
      <c r="B762" s="14" t="str">
        <f>VLOOKUP(TAB_ENTRADA[[#This Row],[Cod_2_Entrada]],TAB_ESTOQUE[[Codigo]:[Descrição Tecnica]],6,FALSE)</f>
        <v>VALVULA REGULADORA DE FLUXO 1/2"</v>
      </c>
      <c r="C762" s="14">
        <f>IFERROR(VLOOKUP(TAB_ENTRADA[[#This Row],[Cod_2_Entrada]],TAB_ESTOQUE[[Codigo]:[Referência Tec]],7,FALSE),"")</f>
        <v>0</v>
      </c>
      <c r="D762" s="14" t="str">
        <f>VLOOKUP(TAB_ENTRADA[[#This Row],[Cod_2_Entrada]],TAB_ESTOQUE[[Codigo]:[Endereço2]],12,FALSE)</f>
        <v>E1402</v>
      </c>
      <c r="E762" s="14">
        <f>SUM(TAB_ENTRADA[[#This Row],[20/05/2019]:[Colunas1]])</f>
        <v>1</v>
      </c>
      <c r="F762" s="3"/>
      <c r="FK762" s="3">
        <v>1</v>
      </c>
    </row>
    <row r="763" spans="1:167" x14ac:dyDescent="0.25">
      <c r="A763" s="5" t="s">
        <v>2420</v>
      </c>
      <c r="B763" s="14" t="str">
        <f>VLOOKUP(TAB_ENTRADA[[#This Row],[Cod_2_Entrada]],TAB_ESTOQUE[[Codigo]:[Descrição Tecnica]],6,FALSE)</f>
        <v>VALVULA FLUXO YF08</v>
      </c>
      <c r="C763" s="14">
        <f>IFERROR(VLOOKUP(TAB_ENTRADA[[#This Row],[Cod_2_Entrada]],TAB_ESTOQUE[[Codigo]:[Referência Tec]],7,FALSE),"")</f>
        <v>0</v>
      </c>
      <c r="D763" s="14" t="str">
        <f>VLOOKUP(TAB_ENTRADA[[#This Row],[Cod_2_Entrada]],TAB_ESTOQUE[[Codigo]:[Endereço2]],12,FALSE)</f>
        <v>E1402</v>
      </c>
      <c r="E763" s="14">
        <f>SUM(TAB_ENTRADA[[#This Row],[20/05/2019]:[Colunas1]])</f>
        <v>4</v>
      </c>
      <c r="F763" s="3"/>
      <c r="FK763" s="3">
        <v>4</v>
      </c>
    </row>
    <row r="764" spans="1:167" x14ac:dyDescent="0.25">
      <c r="A764" s="5" t="s">
        <v>2421</v>
      </c>
      <c r="B764" s="14" t="str">
        <f>VLOOKUP(TAB_ENTRADA[[#This Row],[Cod_2_Entrada]],TAB_ESTOQUE[[Codigo]:[Descrição Tecnica]],6,FALSE)</f>
        <v>VALVULA FLUXO YF06</v>
      </c>
      <c r="C764" s="14">
        <f>IFERROR(VLOOKUP(TAB_ENTRADA[[#This Row],[Cod_2_Entrada]],TAB_ESTOQUE[[Codigo]:[Referência Tec]],7,FALSE),"")</f>
        <v>0</v>
      </c>
      <c r="D764" s="14" t="str">
        <f>VLOOKUP(TAB_ENTRADA[[#This Row],[Cod_2_Entrada]],TAB_ESTOQUE[[Codigo]:[Endereço2]],12,FALSE)</f>
        <v>E1402</v>
      </c>
      <c r="E764" s="14">
        <f>SUM(TAB_ENTRADA[[#This Row],[20/05/2019]:[Colunas1]])</f>
        <v>1</v>
      </c>
      <c r="F764" s="3"/>
      <c r="FK764" s="3">
        <v>1</v>
      </c>
    </row>
    <row r="765" spans="1:167" x14ac:dyDescent="0.25">
      <c r="A765" s="5" t="s">
        <v>2422</v>
      </c>
      <c r="B765" s="14" t="str">
        <f>VLOOKUP(TAB_ENTRADA[[#This Row],[Cod_2_Entrada]],TAB_ESTOQUE[[Codigo]:[Descrição Tecnica]],6,FALSE)</f>
        <v>KIT REPARO GRACO 241657</v>
      </c>
      <c r="C765" s="14">
        <f>IFERROR(VLOOKUP(TAB_ENTRADA[[#This Row],[Cod_2_Entrada]],TAB_ESTOQUE[[Codigo]:[Referência Tec]],7,FALSE),"")</f>
        <v>0</v>
      </c>
      <c r="D765" s="14" t="str">
        <f>VLOOKUP(TAB_ENTRADA[[#This Row],[Cod_2_Entrada]],TAB_ESTOQUE[[Codigo]:[Endereço2]],12,FALSE)</f>
        <v>E1302</v>
      </c>
      <c r="E765" s="14">
        <f>SUM(TAB_ENTRADA[[#This Row],[20/05/2019]:[Colunas1]])</f>
        <v>1</v>
      </c>
      <c r="F765" s="3"/>
      <c r="FK765" s="3">
        <v>1</v>
      </c>
    </row>
    <row r="766" spans="1:167" x14ac:dyDescent="0.25">
      <c r="A766" s="5" t="s">
        <v>2423</v>
      </c>
      <c r="B766" s="14" t="str">
        <f>VLOOKUP(TAB_ENTRADA[[#This Row],[Cod_2_Entrada]],TAB_ESTOQUE[[Codigo]:[Descrição Tecnica]],6,FALSE)</f>
        <v>TERMOMETRO 200°C COM ROSCA DE 3/4" HASTE DE 50MM</v>
      </c>
      <c r="C766" s="14">
        <f>IFERROR(VLOOKUP(TAB_ENTRADA[[#This Row],[Cod_2_Entrada]],TAB_ESTOQUE[[Codigo]:[Referência Tec]],7,FALSE),"")</f>
        <v>0</v>
      </c>
      <c r="D766" s="14" t="str">
        <f>VLOOKUP(TAB_ENTRADA[[#This Row],[Cod_2_Entrada]],TAB_ESTOQUE[[Codigo]:[Endereço2]],12,FALSE)</f>
        <v>E2404</v>
      </c>
      <c r="E766" s="14">
        <f>SUM(TAB_ENTRADA[[#This Row],[20/05/2019]:[Colunas1]])</f>
        <v>2</v>
      </c>
      <c r="F766" s="3"/>
      <c r="FK766" s="3">
        <v>2</v>
      </c>
    </row>
    <row r="767" spans="1:167" x14ac:dyDescent="0.25">
      <c r="A767" s="5" t="s">
        <v>2424</v>
      </c>
      <c r="B767" s="14" t="str">
        <f>VLOOKUP(TAB_ENTRADA[[#This Row],[Cod_2_Entrada]],TAB_ESTOQUE[[Codigo]:[Descrição Tecnica]],6,FALSE)</f>
        <v>TERMOMETRO 100°C COM ROSCA DE 3/4" HASTE DE 70MM</v>
      </c>
      <c r="C767" s="14">
        <f>IFERROR(VLOOKUP(TAB_ENTRADA[[#This Row],[Cod_2_Entrada]],TAB_ESTOQUE[[Codigo]:[Referência Tec]],7,FALSE),"")</f>
        <v>0</v>
      </c>
      <c r="D767" s="14" t="str">
        <f>VLOOKUP(TAB_ENTRADA[[#This Row],[Cod_2_Entrada]],TAB_ESTOQUE[[Codigo]:[Endereço2]],12,FALSE)</f>
        <v>E2404</v>
      </c>
      <c r="E767" s="14">
        <f>SUM(TAB_ENTRADA[[#This Row],[20/05/2019]:[Colunas1]])</f>
        <v>3</v>
      </c>
      <c r="F767" s="3"/>
      <c r="FK767" s="3">
        <v>3</v>
      </c>
    </row>
    <row r="768" spans="1:167" x14ac:dyDescent="0.25">
      <c r="A768" s="5" t="s">
        <v>2425</v>
      </c>
      <c r="B768" s="14" t="str">
        <f>VLOOKUP(TAB_ENTRADA[[#This Row],[Cod_2_Entrada]],TAB_ESTOQUE[[Codigo]:[Descrição Tecnica]],6,FALSE)</f>
        <v>MANOMETRO COM ROSCA 1/8" VERTICAL 160PSI 11BAR</v>
      </c>
      <c r="C768" s="14">
        <f>IFERROR(VLOOKUP(TAB_ENTRADA[[#This Row],[Cod_2_Entrada]],TAB_ESTOQUE[[Codigo]:[Referência Tec]],7,FALSE),"")</f>
        <v>0</v>
      </c>
      <c r="D768" s="14" t="str">
        <f>VLOOKUP(TAB_ENTRADA[[#This Row],[Cod_2_Entrada]],TAB_ESTOQUE[[Codigo]:[Endereço2]],12,FALSE)</f>
        <v>E2404</v>
      </c>
      <c r="E768" s="14">
        <f>SUM(TAB_ENTRADA[[#This Row],[20/05/2019]:[Colunas1]])</f>
        <v>1</v>
      </c>
      <c r="F768" s="3"/>
      <c r="FK768" s="3">
        <v>1</v>
      </c>
    </row>
    <row r="769" spans="1:212" x14ac:dyDescent="0.25">
      <c r="A769" s="5" t="s">
        <v>2426</v>
      </c>
      <c r="B769" s="14" t="str">
        <f>VLOOKUP(TAB_ENTRADA[[#This Row],[Cod_2_Entrada]],TAB_ESTOQUE[[Codigo]:[Descrição Tecnica]],6,FALSE)</f>
        <v>VACUOSTATO SMC PRESSURE ZSE30A-01-P 12-24VDC 40MA MAX 0--10LKPA</v>
      </c>
      <c r="C769" s="14">
        <f>IFERROR(VLOOKUP(TAB_ENTRADA[[#This Row],[Cod_2_Entrada]],TAB_ESTOQUE[[Codigo]:[Referência Tec]],7,FALSE),"")</f>
        <v>0</v>
      </c>
      <c r="D769" s="14" t="str">
        <f>VLOOKUP(TAB_ENTRADA[[#This Row],[Cod_2_Entrada]],TAB_ESTOQUE[[Codigo]:[Endereço2]],12,FALSE)</f>
        <v>A2103</v>
      </c>
      <c r="E769" s="14">
        <f>SUM(TAB_ENTRADA[[#This Row],[20/05/2019]:[Colunas1]])</f>
        <v>1</v>
      </c>
      <c r="F769" s="3">
        <v>1</v>
      </c>
    </row>
    <row r="770" spans="1:212" x14ac:dyDescent="0.25">
      <c r="A770" s="5" t="s">
        <v>2427</v>
      </c>
      <c r="B770" s="14" t="str">
        <f>VLOOKUP(TAB_ENTRADA[[#This Row],[Cod_2_Entrada]],TAB_ESTOQUE[[Codigo]:[Descrição Tecnica]],6,FALSE)</f>
        <v>ABRAÇADEIRA PARA TUBO 8MM</v>
      </c>
      <c r="C770" s="14">
        <f>IFERROR(VLOOKUP(TAB_ENTRADA[[#This Row],[Cod_2_Entrada]],TAB_ESTOQUE[[Codigo]:[Referência Tec]],7,FALSE),"")</f>
        <v>0</v>
      </c>
      <c r="D770" s="14" t="str">
        <f>VLOOKUP(TAB_ENTRADA[[#This Row],[Cod_2_Entrada]],TAB_ESTOQUE[[Codigo]:[Endereço2]],12,FALSE)</f>
        <v>F1303</v>
      </c>
      <c r="E770" s="14">
        <f>SUM(TAB_ENTRADA[[#This Row],[20/05/2019]:[Colunas1]])</f>
        <v>4</v>
      </c>
      <c r="F770" s="3"/>
      <c r="FK770" s="3">
        <v>4</v>
      </c>
    </row>
    <row r="771" spans="1:212" x14ac:dyDescent="0.25">
      <c r="A771" s="5" t="s">
        <v>2428</v>
      </c>
      <c r="B771" s="14" t="str">
        <f>VLOOKUP(TAB_ENTRADA[[#This Row],[Cod_2_Entrada]],TAB_ESTOQUE[[Codigo]:[Descrição Tecnica]],6,FALSE)</f>
        <v>BLOCO DENISON C1C08 18 A1 A12 POO TOO 526 59804 0 0113776</v>
      </c>
      <c r="C771" s="14">
        <f>IFERROR(VLOOKUP(TAB_ENTRADA[[#This Row],[Cod_2_Entrada]],TAB_ESTOQUE[[Codigo]:[Referência Tec]],7,FALSE),"")</f>
        <v>0</v>
      </c>
      <c r="D771" s="14" t="str">
        <f>VLOOKUP(TAB_ENTRADA[[#This Row],[Cod_2_Entrada]],TAB_ESTOQUE[[Codigo]:[Endereço2]],12,FALSE)</f>
        <v>C2204</v>
      </c>
      <c r="E771" s="14">
        <f>SUM(TAB_ENTRADA[[#This Row],[20/05/2019]:[Colunas1]])</f>
        <v>2</v>
      </c>
      <c r="F771" s="3"/>
      <c r="FK771" s="3">
        <v>2</v>
      </c>
    </row>
    <row r="772" spans="1:212" x14ac:dyDescent="0.25">
      <c r="A772" s="5" t="s">
        <v>2429</v>
      </c>
      <c r="B772" s="14" t="str">
        <f>VLOOKUP(TAB_ENTRADA[[#This Row],[Cod_2_Entrada]],TAB_ESTOQUE[[Codigo]:[Descrição Tecnica]],6,FALSE)</f>
        <v>FITA VEDA ROSCA 18mm X 25m</v>
      </c>
      <c r="C772" s="14">
        <f>IFERROR(VLOOKUP(TAB_ENTRADA[[#This Row],[Cod_2_Entrada]],TAB_ESTOQUE[[Codigo]:[Referência Tec]],7,FALSE),"")</f>
        <v>0</v>
      </c>
      <c r="D772" s="14" t="str">
        <f>VLOOKUP(TAB_ENTRADA[[#This Row],[Cod_2_Entrada]],TAB_ESTOQUE[[Codigo]:[Endereço2]],12,FALSE)</f>
        <v>ARMARIO</v>
      </c>
      <c r="E772" s="14">
        <f>SUM(TAB_ENTRADA[[#This Row],[20/05/2019]:[Colunas1]])</f>
        <v>102</v>
      </c>
      <c r="F772" s="3"/>
      <c r="FK772" s="3">
        <v>22</v>
      </c>
      <c r="GF772" s="3">
        <v>40</v>
      </c>
      <c r="HD772" s="3">
        <v>40</v>
      </c>
    </row>
    <row r="773" spans="1:212" x14ac:dyDescent="0.25">
      <c r="A773" s="5" t="s">
        <v>2430</v>
      </c>
      <c r="B773" s="14" t="str">
        <f>VLOOKUP(TAB_ENTRADA[[#This Row],[Cod_2_Entrada]],TAB_ESTOQUE[[Codigo]:[Descrição Tecnica]],6,FALSE)</f>
        <v>MARCADOR INDUSTRIAL</v>
      </c>
      <c r="C773" s="14">
        <f>IFERROR(VLOOKUP(TAB_ENTRADA[[#This Row],[Cod_2_Entrada]],TAB_ESTOQUE[[Codigo]:[Referência Tec]],7,FALSE),"")</f>
        <v>0</v>
      </c>
      <c r="D773" s="14" t="str">
        <f>VLOOKUP(TAB_ENTRADA[[#This Row],[Cod_2_Entrada]],TAB_ESTOQUE[[Codigo]:[Endereço2]],12,FALSE)</f>
        <v>ARMARIO</v>
      </c>
      <c r="E773" s="14">
        <f>SUM(TAB_ENTRADA[[#This Row],[20/05/2019]:[Colunas1]])</f>
        <v>2</v>
      </c>
      <c r="F773" s="3"/>
      <c r="FK773" s="3">
        <v>2</v>
      </c>
    </row>
    <row r="774" spans="1:212" x14ac:dyDescent="0.25">
      <c r="A774" s="5" t="s">
        <v>2431</v>
      </c>
      <c r="B774" s="14" t="str">
        <f>VLOOKUP(TAB_ENTRADA[[#This Row],[Cod_2_Entrada]],TAB_ESTOQUE[[Codigo]:[Descrição Tecnica]],6,FALSE)</f>
        <v>TRAVA ROSCA LOCTITE 243 50G - MÉDIA RESISTÊNCIA - 1344482</v>
      </c>
      <c r="C774" s="14">
        <f>IFERROR(VLOOKUP(TAB_ENTRADA[[#This Row],[Cod_2_Entrada]],TAB_ESTOQUE[[Codigo]:[Referência Tec]],7,FALSE),"")</f>
        <v>0</v>
      </c>
      <c r="D774" s="14" t="str">
        <f>VLOOKUP(TAB_ENTRADA[[#This Row],[Cod_2_Entrada]],TAB_ESTOQUE[[Codigo]:[Endereço2]],12,FALSE)</f>
        <v>ARMARIO</v>
      </c>
      <c r="E774" s="14">
        <f>SUM(TAB_ENTRADA[[#This Row],[20/05/2019]:[Colunas1]])</f>
        <v>0</v>
      </c>
      <c r="F774" s="3"/>
      <c r="FK774" s="3">
        <v>0</v>
      </c>
    </row>
    <row r="775" spans="1:212" x14ac:dyDescent="0.25">
      <c r="A775" s="5" t="s">
        <v>2432</v>
      </c>
      <c r="B775" s="14" t="str">
        <f>VLOOKUP(TAB_ENTRADA[[#This Row],[Cod_2_Entrada]],TAB_ESTOQUE[[Codigo]:[Descrição Tecnica]],6,FALSE)</f>
        <v>COLA TERMICA TIGRE BISNAGA75g</v>
      </c>
      <c r="C775" s="14">
        <f>IFERROR(VLOOKUP(TAB_ENTRADA[[#This Row],[Cod_2_Entrada]],TAB_ESTOQUE[[Codigo]:[Referência Tec]],7,FALSE),"")</f>
        <v>0</v>
      </c>
      <c r="D775" s="14" t="str">
        <f>VLOOKUP(TAB_ENTRADA[[#This Row],[Cod_2_Entrada]],TAB_ESTOQUE[[Codigo]:[Endereço2]],12,FALSE)</f>
        <v>ARMARIO</v>
      </c>
      <c r="E775" s="14">
        <f>SUM(TAB_ENTRADA[[#This Row],[20/05/2019]:[Colunas1]])</f>
        <v>0</v>
      </c>
      <c r="F775" s="3"/>
      <c r="FK775" s="3">
        <v>0</v>
      </c>
    </row>
    <row r="776" spans="1:212" x14ac:dyDescent="0.25">
      <c r="A776" s="5" t="s">
        <v>2433</v>
      </c>
      <c r="B776" s="14" t="str">
        <f>VLOOKUP(TAB_ENTRADA[[#This Row],[Cod_2_Entrada]],TAB_ESTOQUE[[Codigo]:[Descrição Tecnica]],6,FALSE)</f>
        <v>VALVULA OW1-5132-0121C</v>
      </c>
      <c r="C776" s="14">
        <f>IFERROR(VLOOKUP(TAB_ENTRADA[[#This Row],[Cod_2_Entrada]],TAB_ESTOQUE[[Codigo]:[Referência Tec]],7,FALSE),"")</f>
        <v>0</v>
      </c>
      <c r="D776" s="14" t="str">
        <f>VLOOKUP(TAB_ENTRADA[[#This Row],[Cod_2_Entrada]],TAB_ESTOQUE[[Codigo]:[Endereço2]],12,FALSE)</f>
        <v>C1204</v>
      </c>
      <c r="E776" s="14">
        <f>SUM(TAB_ENTRADA[[#This Row],[20/05/2019]:[Colunas1]])</f>
        <v>3</v>
      </c>
      <c r="F776" s="3"/>
      <c r="FK776" s="3">
        <v>3</v>
      </c>
    </row>
    <row r="777" spans="1:212" x14ac:dyDescent="0.25">
      <c r="A777" s="5" t="s">
        <v>2434</v>
      </c>
      <c r="B777" s="14" t="str">
        <f>VLOOKUP(TAB_ENTRADA[[#This Row],[Cod_2_Entrada]],TAB_ESTOQUE[[Codigo]:[Descrição Tecnica]],6,FALSE)</f>
        <v>MANGUEIRA CAPILAR  1500MM</v>
      </c>
      <c r="C777" s="14">
        <f>IFERROR(VLOOKUP(TAB_ENTRADA[[#This Row],[Cod_2_Entrada]],TAB_ESTOQUE[[Codigo]:[Referência Tec]],7,FALSE),"")</f>
        <v>0</v>
      </c>
      <c r="D777" s="14" t="str">
        <f>VLOOKUP(TAB_ENTRADA[[#This Row],[Cod_2_Entrada]],TAB_ESTOQUE[[Codigo]:[Endereço2]],12,FALSE)</f>
        <v>E1406</v>
      </c>
      <c r="E777" s="14">
        <f>SUM(TAB_ENTRADA[[#This Row],[20/05/2019]:[Colunas1]])</f>
        <v>6</v>
      </c>
      <c r="F777" s="3"/>
      <c r="FK777" s="3">
        <v>6</v>
      </c>
    </row>
    <row r="778" spans="1:212" x14ac:dyDescent="0.25">
      <c r="A778" s="5" t="s">
        <v>2435</v>
      </c>
      <c r="B778" s="14" t="str">
        <f>VLOOKUP(TAB_ENTRADA[[#This Row],[Cod_2_Entrada]],TAB_ESTOQUE[[Codigo]:[Descrição Tecnica]],6,FALSE)</f>
        <v>BOMBA TRIPLA AZPFF-022-022-006-R-01-01-01-MB</v>
      </c>
      <c r="C778" s="14">
        <f>IFERROR(VLOOKUP(TAB_ENTRADA[[#This Row],[Cod_2_Entrada]],TAB_ESTOQUE[[Codigo]:[Referência Tec]],7,FALSE),"")</f>
        <v>0</v>
      </c>
      <c r="D778" s="14" t="str">
        <f>VLOOKUP(TAB_ENTRADA[[#This Row],[Cod_2_Entrada]],TAB_ESTOQUE[[Codigo]:[Endereço2]],12,FALSE)</f>
        <v>E2402</v>
      </c>
      <c r="E778" s="14">
        <f>SUM(TAB_ENTRADA[[#This Row],[20/05/2019]:[Colunas1]])</f>
        <v>0</v>
      </c>
      <c r="F778" s="3"/>
      <c r="FK778" s="3">
        <v>0</v>
      </c>
    </row>
    <row r="779" spans="1:212" x14ac:dyDescent="0.25">
      <c r="A779" s="5" t="s">
        <v>2436</v>
      </c>
      <c r="B779" s="14" t="str">
        <f>VLOOKUP(TAB_ENTRADA[[#This Row],[Cod_2_Entrada]],TAB_ESTOQUE[[Codigo]:[Descrição Tecnica]],6,FALSE)</f>
        <v>BOMBA DE PISTÃO 23CC - REF. JLB28MAORP2-S02  REXROTH</v>
      </c>
      <c r="C779" s="14">
        <f>IFERROR(VLOOKUP(TAB_ENTRADA[[#This Row],[Cod_2_Entrada]],TAB_ESTOQUE[[Codigo]:[Referência Tec]],7,FALSE),"")</f>
        <v>0</v>
      </c>
      <c r="D779" s="14" t="str">
        <f>VLOOKUP(TAB_ENTRADA[[#This Row],[Cod_2_Entrada]],TAB_ESTOQUE[[Codigo]:[Endereço2]],12,FALSE)</f>
        <v>G2106</v>
      </c>
      <c r="E779" s="14">
        <f>SUM(TAB_ENTRADA[[#This Row],[20/05/2019]:[Colunas1]])</f>
        <v>0</v>
      </c>
      <c r="F779" s="3"/>
      <c r="FK779" s="3">
        <v>0</v>
      </c>
    </row>
    <row r="780" spans="1:212" x14ac:dyDescent="0.25">
      <c r="A780" s="5" t="s">
        <v>2437</v>
      </c>
      <c r="B780" s="14" t="str">
        <f>VLOOKUP(TAB_ENTRADA[[#This Row],[Cod_2_Entrada]],TAB_ESTOQUE[[Codigo]:[Descrição Tecnica]],6,FALSE)</f>
        <v>BOMBA DE POLIOL</v>
      </c>
      <c r="C780" s="14">
        <f>IFERROR(VLOOKUP(TAB_ENTRADA[[#This Row],[Cod_2_Entrada]],TAB_ESTOQUE[[Codigo]:[Referência Tec]],7,FALSE),"")</f>
        <v>0</v>
      </c>
      <c r="D780" s="14" t="str">
        <f>VLOOKUP(TAB_ENTRADA[[#This Row],[Cod_2_Entrada]],TAB_ESTOQUE[[Codigo]:[Endereço2]],12,FALSE)</f>
        <v>E2106</v>
      </c>
      <c r="E780" s="14">
        <f>SUM(TAB_ENTRADA[[#This Row],[20/05/2019]:[Colunas1]])</f>
        <v>2</v>
      </c>
      <c r="F780" s="3"/>
      <c r="FK780" s="3">
        <v>2</v>
      </c>
    </row>
    <row r="781" spans="1:212" x14ac:dyDescent="0.25">
      <c r="A781" s="5" t="s">
        <v>2438</v>
      </c>
      <c r="B781" s="14" t="str">
        <f>VLOOKUP(TAB_ENTRADA[[#This Row],[Cod_2_Entrada]],TAB_ESTOQUE[[Codigo]:[Descrição Tecnica]],6,FALSE)</f>
        <v>LAMINA DE CONTATO M36 TIPO  A CHAPA 120X180X3,0MM</v>
      </c>
      <c r="C781" s="14">
        <f>IFERROR(VLOOKUP(TAB_ENTRADA[[#This Row],[Cod_2_Entrada]],TAB_ESTOQUE[[Codigo]:[Referência Tec]],7,FALSE),"")</f>
        <v>0</v>
      </c>
      <c r="D781" s="14" t="str">
        <f>VLOOKUP(TAB_ENTRADA[[#This Row],[Cod_2_Entrada]],TAB_ESTOQUE[[Codigo]:[Endereço2]],12,FALSE)</f>
        <v>A2106</v>
      </c>
      <c r="E781" s="14">
        <f>SUM(TAB_ENTRADA[[#This Row],[20/05/2019]:[Colunas1]])</f>
        <v>3</v>
      </c>
      <c r="F781" s="3"/>
      <c r="FK781" s="3">
        <v>2</v>
      </c>
      <c r="GW781" s="3">
        <v>1</v>
      </c>
    </row>
    <row r="782" spans="1:212" x14ac:dyDescent="0.25">
      <c r="A782" s="5" t="s">
        <v>2439</v>
      </c>
      <c r="B782" s="14" t="str">
        <f>VLOOKUP(TAB_ENTRADA[[#This Row],[Cod_2_Entrada]],TAB_ESTOQUE[[Codigo]:[Descrição Tecnica]],6,FALSE)</f>
        <v>PLACA TYP: SE67 AUFTRAGS NR: 440582-3</v>
      </c>
      <c r="C782" s="14">
        <f>IFERROR(VLOOKUP(TAB_ENTRADA[[#This Row],[Cod_2_Entrada]],TAB_ESTOQUE[[Codigo]:[Referência Tec]],7,FALSE),"")</f>
        <v>0</v>
      </c>
      <c r="D782" s="14" t="str">
        <f>VLOOKUP(TAB_ENTRADA[[#This Row],[Cod_2_Entrada]],TAB_ESTOQUE[[Codigo]:[Endereço2]],12,FALSE)</f>
        <v>A2106</v>
      </c>
      <c r="E782" s="14">
        <f>SUM(TAB_ENTRADA[[#This Row],[20/05/2019]:[Colunas1]])</f>
        <v>0</v>
      </c>
      <c r="F782" s="3"/>
      <c r="FK782" s="3">
        <v>0</v>
      </c>
    </row>
    <row r="783" spans="1:212" x14ac:dyDescent="0.25">
      <c r="A783" s="5" t="s">
        <v>2440</v>
      </c>
      <c r="B783" s="14" t="str">
        <f>VLOOKUP(TAB_ENTRADA[[#This Row],[Cod_2_Entrada]],TAB_ESTOQUE[[Codigo]:[Descrição Tecnica]],6,FALSE)</f>
        <v>LAMINA DE CONTATO M36 TIPO  B CHAPA 100X75X0,5mm</v>
      </c>
      <c r="C783" s="14">
        <f>IFERROR(VLOOKUP(TAB_ENTRADA[[#This Row],[Cod_2_Entrada]],TAB_ESTOQUE[[Codigo]:[Referência Tec]],7,FALSE),"")</f>
        <v>0</v>
      </c>
      <c r="D783" s="14" t="str">
        <f>VLOOKUP(TAB_ENTRADA[[#This Row],[Cod_2_Entrada]],TAB_ESTOQUE[[Codigo]:[Endereço2]],12,FALSE)</f>
        <v>A2106</v>
      </c>
      <c r="E783" s="14">
        <f>SUM(TAB_ENTRADA[[#This Row],[20/05/2019]:[Colunas1]])</f>
        <v>50</v>
      </c>
      <c r="F783" s="3"/>
      <c r="FK783" s="3">
        <v>0</v>
      </c>
      <c r="GW783" s="3">
        <v>50</v>
      </c>
    </row>
    <row r="784" spans="1:212" x14ac:dyDescent="0.25">
      <c r="A784" s="5" t="s">
        <v>2441</v>
      </c>
      <c r="B784" s="14" t="str">
        <f>VLOOKUP(TAB_ENTRADA[[#This Row],[Cod_2_Entrada]],TAB_ESTOQUE[[Codigo]:[Descrição Tecnica]],6,FALSE)</f>
        <v>PLACA ELETRONICA DO SERVOMOTOR GDM12Z</v>
      </c>
      <c r="C784" s="14">
        <f>IFERROR(VLOOKUP(TAB_ENTRADA[[#This Row],[Cod_2_Entrada]],TAB_ESTOQUE[[Codigo]:[Referência Tec]],7,FALSE),"")</f>
        <v>0</v>
      </c>
      <c r="D784" s="14" t="str">
        <f>VLOOKUP(TAB_ENTRADA[[#This Row],[Cod_2_Entrada]],TAB_ESTOQUE[[Codigo]:[Endereço2]],12,FALSE)</f>
        <v>A1106</v>
      </c>
      <c r="E784" s="14">
        <f>SUM(TAB_ENTRADA[[#This Row],[20/05/2019]:[Colunas1]])</f>
        <v>1</v>
      </c>
      <c r="F784" s="3"/>
      <c r="FK784" s="3">
        <v>1</v>
      </c>
    </row>
    <row r="785" spans="1:210" x14ac:dyDescent="0.25">
      <c r="A785" s="5" t="s">
        <v>2442</v>
      </c>
      <c r="B785" s="14" t="str">
        <f>VLOOKUP(TAB_ENTRADA[[#This Row],[Cod_2_Entrada]],TAB_ESTOQUE[[Codigo]:[Descrição Tecnica]],6,FALSE)</f>
        <v>PLACA ELETRONICA DO GERADOR HSMODU 25KW</v>
      </c>
      <c r="C785" s="14">
        <f>IFERROR(VLOOKUP(TAB_ENTRADA[[#This Row],[Cod_2_Entrada]],TAB_ESTOQUE[[Codigo]:[Referência Tec]],7,FALSE),"")</f>
        <v>0</v>
      </c>
      <c r="D785" s="14" t="str">
        <f>VLOOKUP(TAB_ENTRADA[[#This Row],[Cod_2_Entrada]],TAB_ESTOQUE[[Codigo]:[Endereço2]],12,FALSE)</f>
        <v>A1106</v>
      </c>
      <c r="E785" s="14">
        <f>SUM(TAB_ENTRADA[[#This Row],[20/05/2019]:[Colunas1]])</f>
        <v>3</v>
      </c>
      <c r="F785" s="3"/>
      <c r="FK785" s="3">
        <v>3</v>
      </c>
    </row>
    <row r="786" spans="1:210" x14ac:dyDescent="0.25">
      <c r="A786" s="5" t="s">
        <v>2443</v>
      </c>
      <c r="B786" s="14" t="str">
        <f>VLOOKUP(TAB_ENTRADA[[#This Row],[Cod_2_Entrada]],TAB_ESTOQUE[[Codigo]:[Descrição Tecnica]],6,FALSE)</f>
        <v>FUSIVEL KRAH 02/14 D GS 16X63 A 470R K</v>
      </c>
      <c r="C786" s="14">
        <f>IFERROR(VLOOKUP(TAB_ENTRADA[[#This Row],[Cod_2_Entrada]],TAB_ESTOQUE[[Codigo]:[Referência Tec]],7,FALSE),"")</f>
        <v>0</v>
      </c>
      <c r="D786" s="14" t="str">
        <f>VLOOKUP(TAB_ENTRADA[[#This Row],[Cod_2_Entrada]],TAB_ESTOQUE[[Codigo]:[Endereço2]],12,FALSE)</f>
        <v>A1106</v>
      </c>
      <c r="E786" s="14">
        <f>SUM(TAB_ENTRADA[[#This Row],[20/05/2019]:[Colunas1]])</f>
        <v>0</v>
      </c>
      <c r="F786" s="3"/>
      <c r="FK786" s="3">
        <v>0</v>
      </c>
    </row>
    <row r="787" spans="1:210" x14ac:dyDescent="0.25">
      <c r="A787" s="5" t="s">
        <v>2444</v>
      </c>
      <c r="B787" s="14" t="str">
        <f>VLOOKUP(TAB_ENTRADA[[#This Row],[Cod_2_Entrada]],TAB_ESTOQUE[[Codigo]:[Descrição Tecnica]],6,FALSE)</f>
        <v>ACOPLAMENTO 19</v>
      </c>
      <c r="C787" s="14">
        <f>IFERROR(VLOOKUP(TAB_ENTRADA[[#This Row],[Cod_2_Entrada]],TAB_ESTOQUE[[Codigo]:[Referência Tec]],7,FALSE),"")</f>
        <v>0</v>
      </c>
      <c r="D787" s="14" t="str">
        <f>VLOOKUP(TAB_ENTRADA[[#This Row],[Cod_2_Entrada]],TAB_ESTOQUE[[Codigo]:[Endereço2]],12,FALSE)</f>
        <v>E2204</v>
      </c>
      <c r="E787" s="14">
        <f>SUM(TAB_ENTRADA[[#This Row],[20/05/2019]:[Colunas1]])</f>
        <v>1</v>
      </c>
      <c r="F787" s="3"/>
      <c r="FK787" s="3">
        <v>1</v>
      </c>
    </row>
    <row r="788" spans="1:210" x14ac:dyDescent="0.25">
      <c r="A788" s="5" t="s">
        <v>2445</v>
      </c>
      <c r="B788" s="14" t="str">
        <f>VLOOKUP(TAB_ENTRADA[[#This Row],[Cod_2_Entrada]],TAB_ESTOQUE[[Codigo]:[Descrição Tecnica]],6,FALSE)</f>
        <v>PORCA RETA VALCO MELTON 943XX068N</v>
      </c>
      <c r="C788" s="14">
        <f>IFERROR(VLOOKUP(TAB_ENTRADA[[#This Row],[Cod_2_Entrada]],TAB_ESTOQUE[[Codigo]:[Referência Tec]],7,FALSE),"")</f>
        <v>0</v>
      </c>
      <c r="D788" s="14" t="str">
        <f>VLOOKUP(TAB_ENTRADA[[#This Row],[Cod_2_Entrada]],TAB_ESTOQUE[[Codigo]:[Endereço2]],12,FALSE)</f>
        <v>E2302</v>
      </c>
      <c r="E788" s="14">
        <f>SUM(TAB_ENTRADA[[#This Row],[20/05/2019]:[Colunas1]])</f>
        <v>3</v>
      </c>
      <c r="F788" s="3"/>
      <c r="FK788" s="3">
        <v>3</v>
      </c>
    </row>
    <row r="789" spans="1:210" x14ac:dyDescent="0.25">
      <c r="A789" s="5" t="s">
        <v>2446</v>
      </c>
      <c r="B789" s="14" t="str">
        <f>VLOOKUP(TAB_ENTRADA[[#This Row],[Cod_2_Entrada]],TAB_ESTOQUE[[Codigo]:[Descrição Tecnica]],6,FALSE)</f>
        <v>MANOMETRO 30015294-1 GA-PR 0-5000 PSI/BAR KMT  (KMT)</v>
      </c>
      <c r="C789" s="14">
        <f>IFERROR(VLOOKUP(TAB_ENTRADA[[#This Row],[Cod_2_Entrada]],TAB_ESTOQUE[[Codigo]:[Referência Tec]],7,FALSE),"")</f>
        <v>0</v>
      </c>
      <c r="D789" s="14" t="str">
        <f>VLOOKUP(TAB_ENTRADA[[#This Row],[Cod_2_Entrada]],TAB_ESTOQUE[[Codigo]:[Endereço2]],12,FALSE)</f>
        <v>E2405</v>
      </c>
      <c r="E789" s="14">
        <f>SUM(TAB_ENTRADA[[#This Row],[20/05/2019]:[Colunas1]])</f>
        <v>1</v>
      </c>
      <c r="F789" s="3"/>
      <c r="FK789" s="3">
        <v>0</v>
      </c>
      <c r="GI789" s="3">
        <v>1</v>
      </c>
    </row>
    <row r="790" spans="1:210" x14ac:dyDescent="0.25">
      <c r="A790" s="5" t="s">
        <v>2447</v>
      </c>
      <c r="B790" s="14" t="str">
        <f>VLOOKUP(TAB_ENTRADA[[#This Row],[Cod_2_Entrada]],TAB_ESTOQUE[[Codigo]:[Descrição Tecnica]],6,FALSE)</f>
        <v>ROLAMENTO  LINEAR MNR: R162379420</v>
      </c>
      <c r="C790" s="14">
        <f>IFERROR(VLOOKUP(TAB_ENTRADA[[#This Row],[Cod_2_Entrada]],TAB_ESTOQUE[[Codigo]:[Referência Tec]],7,FALSE),"")</f>
        <v>0</v>
      </c>
      <c r="D790" s="14" t="str">
        <f>VLOOKUP(TAB_ENTRADA[[#This Row],[Cod_2_Entrada]],TAB_ESTOQUE[[Codigo]:[Endereço2]],12,FALSE)</f>
        <v>D2106</v>
      </c>
      <c r="E790" s="14">
        <f>SUM(TAB_ENTRADA[[#This Row],[20/05/2019]:[Colunas1]])</f>
        <v>5</v>
      </c>
      <c r="F790" s="3"/>
      <c r="FK790" s="3">
        <v>5</v>
      </c>
    </row>
    <row r="791" spans="1:210" x14ac:dyDescent="0.25">
      <c r="A791" s="5" t="s">
        <v>2448</v>
      </c>
      <c r="B791" s="14" t="str">
        <f>VLOOKUP(TAB_ENTRADA[[#This Row],[Cod_2_Entrada]],TAB_ESTOQUE[[Codigo]:[Descrição Tecnica]],6,FALSE)</f>
        <v>PARAFUSOS SEXTAVADO ROSCA TOTAL M20 X 100 DUREZA 8.8</v>
      </c>
      <c r="C791" s="14">
        <f>IFERROR(VLOOKUP(TAB_ENTRADA[[#This Row],[Cod_2_Entrada]],TAB_ESTOQUE[[Codigo]:[Referência Tec]],7,FALSE),"")</f>
        <v>0</v>
      </c>
      <c r="D791" s="14" t="str">
        <f>VLOOKUP(TAB_ENTRADA[[#This Row],[Cod_2_Entrada]],TAB_ESTOQUE[[Codigo]:[Endereço2]],12,FALSE)</f>
        <v>D2403</v>
      </c>
      <c r="E791" s="14">
        <f>SUM(TAB_ENTRADA[[#This Row],[20/05/2019]:[Colunas1]])</f>
        <v>30</v>
      </c>
      <c r="F791" s="3"/>
      <c r="FK791" s="3">
        <v>0</v>
      </c>
      <c r="GW791" s="3">
        <v>30</v>
      </c>
    </row>
    <row r="792" spans="1:210" x14ac:dyDescent="0.25">
      <c r="A792" s="5" t="s">
        <v>2449</v>
      </c>
      <c r="B792" s="14" t="str">
        <f>VLOOKUP(TAB_ENTRADA[[#This Row],[Cod_2_Entrada]],TAB_ESTOQUE[[Codigo]:[Descrição Tecnica]],6,FALSE)</f>
        <v>UNIDADE DE SERVIÇO COMBINADA P/ TRATAMENTO DE AR  - REF. MSB6 / 531030 (FESTO)</v>
      </c>
      <c r="C792" s="14">
        <f>IFERROR(VLOOKUP(TAB_ENTRADA[[#This Row],[Cod_2_Entrada]],TAB_ESTOQUE[[Codigo]:[Referência Tec]],7,FALSE),"")</f>
        <v>0</v>
      </c>
      <c r="D792" s="14" t="str">
        <f>VLOOKUP(TAB_ENTRADA[[#This Row],[Cod_2_Entrada]],TAB_ESTOQUE[[Codigo]:[Endereço2]],12,FALSE)</f>
        <v>G1104</v>
      </c>
      <c r="E792" s="14">
        <f>SUM(TAB_ENTRADA[[#This Row],[20/05/2019]:[Colunas1]])</f>
        <v>0</v>
      </c>
      <c r="F792" s="3"/>
      <c r="FK792" s="3">
        <v>0</v>
      </c>
    </row>
    <row r="793" spans="1:210" x14ac:dyDescent="0.25">
      <c r="A793" s="5" t="s">
        <v>2450</v>
      </c>
      <c r="B793" s="14" t="str">
        <f>VLOOKUP(TAB_ENTRADA[[#This Row],[Cod_2_Entrada]],TAB_ESTOQUE[[Codigo]:[Descrição Tecnica]],6,FALSE)</f>
        <v>CILINDRO PADRÃO DE DUPLA AÇÃO - REF. DNCB-40-80-PPV-A / COD. 532740 (FESTO)</v>
      </c>
      <c r="C793" s="14">
        <f>IFERROR(VLOOKUP(TAB_ENTRADA[[#This Row],[Cod_2_Entrada]],TAB_ESTOQUE[[Codigo]:[Referência Tec]],7,FALSE),"")</f>
        <v>0</v>
      </c>
      <c r="D793" s="14" t="str">
        <f>VLOOKUP(TAB_ENTRADA[[#This Row],[Cod_2_Entrada]],TAB_ESTOQUE[[Codigo]:[Endereço2]],12,FALSE)</f>
        <v>C1102</v>
      </c>
      <c r="E793" s="14">
        <f>SUM(TAB_ENTRADA[[#This Row],[20/05/2019]:[Colunas1]])</f>
        <v>0</v>
      </c>
      <c r="F793" s="3"/>
      <c r="FK793" s="3">
        <v>0</v>
      </c>
    </row>
    <row r="794" spans="1:210" x14ac:dyDescent="0.25">
      <c r="A794" s="5" t="s">
        <v>2451</v>
      </c>
      <c r="B794" s="14" t="str">
        <f>VLOOKUP(TAB_ENTRADA[[#This Row],[Cod_2_Entrada]],TAB_ESTOQUE[[Codigo]:[Descrição Tecnica]],6,FALSE)</f>
        <v>FOLE COMPACTO PNEUMÁTICO ATUAÇÃO SIMPLES NORGREN - REF. M/31141 / COD RAT 8674</v>
      </c>
      <c r="C794" s="14">
        <f>IFERROR(VLOOKUP(TAB_ENTRADA[[#This Row],[Cod_2_Entrada]],TAB_ESTOQUE[[Codigo]:[Referência Tec]],7,FALSE),"")</f>
        <v>0</v>
      </c>
      <c r="D794" s="14" t="str">
        <f>VLOOKUP(TAB_ENTRADA[[#This Row],[Cod_2_Entrada]],TAB_ESTOQUE[[Codigo]:[Endereço2]],12,FALSE)</f>
        <v>G2101</v>
      </c>
      <c r="E794" s="14">
        <f>SUM(TAB_ENTRADA[[#This Row],[20/05/2019]:[Colunas1]])</f>
        <v>0</v>
      </c>
      <c r="F794" s="3"/>
      <c r="FK794" s="3">
        <v>0</v>
      </c>
    </row>
    <row r="795" spans="1:210" x14ac:dyDescent="0.25">
      <c r="A795" s="5" t="s">
        <v>2452</v>
      </c>
      <c r="B795" s="14" t="str">
        <f>VLOOKUP(TAB_ENTRADA[[#This Row],[Cod_2_Entrada]],TAB_ESTOQUE[[Codigo]:[Descrição Tecnica]],6,FALSE)</f>
        <v>MANOMETRO COM ROSCA 1/4" HORIZONTAL 4MPA</v>
      </c>
      <c r="C795" s="14">
        <f>IFERROR(VLOOKUP(TAB_ENTRADA[[#This Row],[Cod_2_Entrada]],TAB_ESTOQUE[[Codigo]:[Referência Tec]],7,FALSE),"")</f>
        <v>0</v>
      </c>
      <c r="D795" s="14" t="str">
        <f>VLOOKUP(TAB_ENTRADA[[#This Row],[Cod_2_Entrada]],TAB_ESTOQUE[[Codigo]:[Endereço2]],12,FALSE)</f>
        <v>E2404</v>
      </c>
      <c r="E795" s="14">
        <f>SUM(TAB_ENTRADA[[#This Row],[20/05/2019]:[Colunas1]])</f>
        <v>2</v>
      </c>
      <c r="F795" s="3"/>
      <c r="FK795" s="3">
        <v>2</v>
      </c>
    </row>
    <row r="796" spans="1:210" x14ac:dyDescent="0.25">
      <c r="A796" s="5" t="s">
        <v>2453</v>
      </c>
      <c r="B796" s="14" t="str">
        <f>VLOOKUP(TAB_ENTRADA[[#This Row],[Cod_2_Entrada]],TAB_ESTOQUE[[Codigo]:[Descrição Tecnica]],6,FALSE)</f>
        <v>VALVULA HIDRAULICA DSG-01-3C2-D24-N1- YUKEN -N.C.M 8481.20.90 DSG-01-3C2-D24-N1</v>
      </c>
      <c r="C796" s="14">
        <f>IFERROR(VLOOKUP(TAB_ENTRADA[[#This Row],[Cod_2_Entrada]],TAB_ESTOQUE[[Codigo]:[Referência Tec]],7,FALSE),"")</f>
        <v>0</v>
      </c>
      <c r="D796" s="14" t="str">
        <f>VLOOKUP(TAB_ENTRADA[[#This Row],[Cod_2_Entrada]],TAB_ESTOQUE[[Codigo]:[Endereço2]],12,FALSE)</f>
        <v>C2103</v>
      </c>
      <c r="E796" s="14">
        <f>SUM(TAB_ENTRADA[[#This Row],[20/05/2019]:[Colunas1]])</f>
        <v>0</v>
      </c>
      <c r="F796" s="3"/>
      <c r="FK796" s="3">
        <v>0</v>
      </c>
    </row>
    <row r="797" spans="1:210" x14ac:dyDescent="0.25">
      <c r="A797" s="5" t="s">
        <v>2454</v>
      </c>
      <c r="B797" s="14" t="str">
        <f>VLOOKUP(TAB_ENTRADA[[#This Row],[Cod_2_Entrada]],TAB_ESTOQUE[[Codigo]:[Descrição Tecnica]],6,FALSE)</f>
        <v>RESISTENCIA TUBO INOX 220V 3KW</v>
      </c>
      <c r="C797" s="14">
        <f>IFERROR(VLOOKUP(TAB_ENTRADA[[#This Row],[Cod_2_Entrada]],TAB_ESTOQUE[[Codigo]:[Referência Tec]],7,FALSE),"")</f>
        <v>0</v>
      </c>
      <c r="D797" s="14" t="str">
        <f>VLOOKUP(TAB_ENTRADA[[#This Row],[Cod_2_Entrada]],TAB_ESTOQUE[[Codigo]:[Endereço2]],12,FALSE)</f>
        <v>A1206</v>
      </c>
      <c r="E797" s="14">
        <f>SUM(TAB_ENTRADA[[#This Row],[20/05/2019]:[Colunas1]])</f>
        <v>1</v>
      </c>
      <c r="F797" s="3"/>
      <c r="FK797" s="3">
        <v>1</v>
      </c>
    </row>
    <row r="798" spans="1:210" x14ac:dyDescent="0.25">
      <c r="A798" s="5" t="s">
        <v>2455</v>
      </c>
      <c r="B798" s="14" t="str">
        <f>VLOOKUP(TAB_ENTRADA[[#This Row],[Cod_2_Entrada]],TAB_ESTOQUE[[Codigo]:[Descrição Tecnica]],6,FALSE)</f>
        <v>BICO DO COLEIRO 971 XX604</v>
      </c>
      <c r="C798" s="14">
        <f>IFERROR(VLOOKUP(TAB_ENTRADA[[#This Row],[Cod_2_Entrada]],TAB_ESTOQUE[[Codigo]:[Referência Tec]],7,FALSE),"")</f>
        <v>0</v>
      </c>
      <c r="D798" s="14" t="str">
        <f>VLOOKUP(TAB_ENTRADA[[#This Row],[Cod_2_Entrada]],TAB_ESTOQUE[[Codigo]:[Endereço2]],12,FALSE)</f>
        <v>E2303</v>
      </c>
      <c r="E798" s="14">
        <f>SUM(TAB_ENTRADA[[#This Row],[20/05/2019]:[Colunas1]])</f>
        <v>6</v>
      </c>
      <c r="F798" s="3"/>
      <c r="FK798" s="3">
        <v>4</v>
      </c>
      <c r="HB798" s="3">
        <v>2</v>
      </c>
    </row>
    <row r="799" spans="1:210" x14ac:dyDescent="0.25">
      <c r="A799" s="5" t="s">
        <v>2456</v>
      </c>
      <c r="B799" s="14" t="str">
        <f>VLOOKUP(TAB_ENTRADA[[#This Row],[Cod_2_Entrada]],TAB_ESTOQUE[[Codigo]:[Descrição Tecnica]],6,FALSE)</f>
        <v>SENSOR DE TEMPERATURA  PT100 HUA LONGX THERMOCOURLES PT100 LGNGTH; 1M</v>
      </c>
      <c r="C799" s="14">
        <f>IFERROR(VLOOKUP(TAB_ENTRADA[[#This Row],[Cod_2_Entrada]],TAB_ESTOQUE[[Codigo]:[Referência Tec]],7,FALSE),"")</f>
        <v>0</v>
      </c>
      <c r="D799" s="14" t="str">
        <f>VLOOKUP(TAB_ENTRADA[[#This Row],[Cod_2_Entrada]],TAB_ESTOQUE[[Codigo]:[Endereço2]],12,FALSE)</f>
        <v>A2302</v>
      </c>
      <c r="E799" s="14">
        <f>SUM(TAB_ENTRADA[[#This Row],[20/05/2019]:[Colunas1]])</f>
        <v>7</v>
      </c>
      <c r="F799" s="3"/>
      <c r="FK799" s="3">
        <v>7</v>
      </c>
    </row>
    <row r="800" spans="1:210" x14ac:dyDescent="0.25">
      <c r="A800" s="5" t="s">
        <v>2457</v>
      </c>
      <c r="B800" s="14" t="str">
        <f>VLOOKUP(TAB_ENTRADA[[#This Row],[Cod_2_Entrada]],TAB_ESTOQUE[[Codigo]:[Descrição Tecnica]],6,FALSE)</f>
        <v>SERVO MOTOR SCHNEIDER BMH1002P06A2A</v>
      </c>
      <c r="C800" s="14">
        <f>IFERROR(VLOOKUP(TAB_ENTRADA[[#This Row],[Cod_2_Entrada]],TAB_ESTOQUE[[Codigo]:[Referência Tec]],7,FALSE),"")</f>
        <v>0</v>
      </c>
      <c r="D800" s="14" t="str">
        <f>VLOOKUP(TAB_ENTRADA[[#This Row],[Cod_2_Entrada]],TAB_ESTOQUE[[Codigo]:[Endereço2]],12,FALSE)</f>
        <v>E2305</v>
      </c>
      <c r="E800" s="14">
        <f>SUM(TAB_ENTRADA[[#This Row],[20/05/2019]:[Colunas1]])</f>
        <v>1</v>
      </c>
      <c r="F800" s="3"/>
      <c r="FK800" s="3">
        <v>1</v>
      </c>
    </row>
    <row r="801" spans="1:207" x14ac:dyDescent="0.25">
      <c r="A801" s="5" t="s">
        <v>2458</v>
      </c>
      <c r="B801" s="14" t="str">
        <f>VLOOKUP(TAB_ENTRADA[[#This Row],[Cod_2_Entrada]],TAB_ESTOQUE[[Codigo]:[Descrição Tecnica]],6,FALSE)</f>
        <v>MANOMETRO COM ROSCA 1/8" HORIZONTAL 1MPA 10KGF/CM²</v>
      </c>
      <c r="C801" s="14">
        <f>IFERROR(VLOOKUP(TAB_ENTRADA[[#This Row],[Cod_2_Entrada]],TAB_ESTOQUE[[Codigo]:[Referência Tec]],7,FALSE),"")</f>
        <v>0</v>
      </c>
      <c r="D801" s="14" t="str">
        <f>VLOOKUP(TAB_ENTRADA[[#This Row],[Cod_2_Entrada]],TAB_ESTOQUE[[Codigo]:[Endereço2]],12,FALSE)</f>
        <v>E2404</v>
      </c>
      <c r="E801" s="14">
        <f>SUM(TAB_ENTRADA[[#This Row],[20/05/2019]:[Colunas1]])</f>
        <v>1</v>
      </c>
      <c r="F801" s="3"/>
      <c r="FK801" s="3">
        <v>1</v>
      </c>
    </row>
    <row r="802" spans="1:207" x14ac:dyDescent="0.25">
      <c r="A802" s="5" t="s">
        <v>2459</v>
      </c>
      <c r="B802" s="14" t="str">
        <f>VLOOKUP(TAB_ENTRADA[[#This Row],[Cod_2_Entrada]],TAB_ESTOQUE[[Codigo]:[Descrição Tecnica]],6,FALSE)</f>
        <v>TERMOSTATO ADD KSD301 250V 10A A 200C NF</v>
      </c>
      <c r="C802" s="14">
        <f>IFERROR(VLOOKUP(TAB_ENTRADA[[#This Row],[Cod_2_Entrada]],TAB_ESTOQUE[[Codigo]:[Referência Tec]],7,FALSE),"")</f>
        <v>0</v>
      </c>
      <c r="D802" s="14" t="str">
        <f>VLOOKUP(TAB_ENTRADA[[#This Row],[Cod_2_Entrada]],TAB_ESTOQUE[[Codigo]:[Endereço2]],12,FALSE)</f>
        <v>A1104</v>
      </c>
      <c r="E802" s="14">
        <f>SUM(TAB_ENTRADA[[#This Row],[20/05/2019]:[Colunas1]])</f>
        <v>20</v>
      </c>
      <c r="F802" s="3"/>
      <c r="FK802" s="3">
        <v>20</v>
      </c>
    </row>
    <row r="803" spans="1:207" x14ac:dyDescent="0.25">
      <c r="A803" s="5" t="s">
        <v>2460</v>
      </c>
      <c r="B803" s="14" t="str">
        <f>VLOOKUP(TAB_ENTRADA[[#This Row],[Cod_2_Entrada]],TAB_ESTOQUE[[Codigo]:[Descrição Tecnica]],6,FALSE)</f>
        <v>POLIAMAUREY BG52X 3/4"</v>
      </c>
      <c r="C803" s="14">
        <f>IFERROR(VLOOKUP(TAB_ENTRADA[[#This Row],[Cod_2_Entrada]],TAB_ESTOQUE[[Codigo]:[Referência Tec]],7,FALSE),"")</f>
        <v>0</v>
      </c>
      <c r="D803" s="14" t="str">
        <f>VLOOKUP(TAB_ENTRADA[[#This Row],[Cod_2_Entrada]],TAB_ESTOQUE[[Codigo]:[Endereço2]],12,FALSE)</f>
        <v>E2304</v>
      </c>
      <c r="E803" s="14">
        <f>SUM(TAB_ENTRADA[[#This Row],[20/05/2019]:[Colunas1]])</f>
        <v>4</v>
      </c>
      <c r="F803" s="3"/>
      <c r="FK803" s="3">
        <v>4</v>
      </c>
    </row>
    <row r="804" spans="1:207" x14ac:dyDescent="0.25">
      <c r="A804" s="5" t="s">
        <v>2461</v>
      </c>
      <c r="B804" s="14" t="str">
        <f>VLOOKUP(TAB_ENTRADA[[#This Row],[Cod_2_Entrada]],TAB_ESTOQUE[[Codigo]:[Descrição Tecnica]],6,FALSE)</f>
        <v>FILTRO DE ISO HOP 6406 74 MICRAS NEWTEC</v>
      </c>
      <c r="C804" s="14">
        <f>IFERROR(VLOOKUP(TAB_ENTRADA[[#This Row],[Cod_2_Entrada]],TAB_ESTOQUE[[Codigo]:[Referência Tec]],7,FALSE),"")</f>
        <v>0</v>
      </c>
      <c r="D804" s="14" t="str">
        <f>VLOOKUP(TAB_ENTRADA[[#This Row],[Cod_2_Entrada]],TAB_ESTOQUE[[Codigo]:[Endereço2]],12,FALSE)</f>
        <v>C2402</v>
      </c>
      <c r="E804" s="14">
        <f>SUM(TAB_ENTRADA[[#This Row],[20/05/2019]:[Colunas1]])</f>
        <v>15</v>
      </c>
      <c r="F804" s="3"/>
      <c r="FK804" s="3">
        <v>4</v>
      </c>
      <c r="GN804" s="3">
        <v>4</v>
      </c>
      <c r="GR804" s="3">
        <v>4</v>
      </c>
      <c r="GY804" s="3">
        <v>3</v>
      </c>
    </row>
    <row r="805" spans="1:207" x14ac:dyDescent="0.25">
      <c r="A805" s="5" t="s">
        <v>2462</v>
      </c>
      <c r="B805" s="14" t="str">
        <f>VLOOKUP(TAB_ENTRADA[[#This Row],[Cod_2_Entrada]],TAB_ESTOQUE[[Codigo]:[Descrição Tecnica]],6,FALSE)</f>
        <v>BOMBA DE ENGRENAGEM DO SISTEMA HIDRAULICO HGP3AF17R</v>
      </c>
      <c r="C805" s="14">
        <f>IFERROR(VLOOKUP(TAB_ENTRADA[[#This Row],[Cod_2_Entrada]],TAB_ESTOQUE[[Codigo]:[Referência Tec]],7,FALSE),"")</f>
        <v>0</v>
      </c>
      <c r="D805" s="14" t="str">
        <f>VLOOKUP(TAB_ENTRADA[[#This Row],[Cod_2_Entrada]],TAB_ESTOQUE[[Codigo]:[Endereço2]],12,FALSE)</f>
        <v>E2206</v>
      </c>
      <c r="E805" s="14">
        <f>SUM(TAB_ENTRADA[[#This Row],[20/05/2019]:[Colunas1]])</f>
        <v>1</v>
      </c>
      <c r="F805" s="3"/>
      <c r="FK805" s="3">
        <v>1</v>
      </c>
    </row>
    <row r="806" spans="1:207" x14ac:dyDescent="0.25">
      <c r="A806" s="5" t="s">
        <v>2463</v>
      </c>
      <c r="B806" s="14" t="str">
        <f>VLOOKUP(TAB_ENTRADA[[#This Row],[Cod_2_Entrada]],TAB_ESTOQUE[[Codigo]:[Descrição Tecnica]],6,FALSE)</f>
        <v>VALVULA CRU-102</v>
      </c>
      <c r="C806" s="14">
        <f>IFERROR(VLOOKUP(TAB_ENTRADA[[#This Row],[Cod_2_Entrada]],TAB_ESTOQUE[[Codigo]:[Referência Tec]],7,FALSE),"")</f>
        <v>0</v>
      </c>
      <c r="D806" s="14" t="str">
        <f>VLOOKUP(TAB_ENTRADA[[#This Row],[Cod_2_Entrada]],TAB_ESTOQUE[[Codigo]:[Endereço2]],12,FALSE)</f>
        <v>E1402</v>
      </c>
      <c r="E806" s="14">
        <f>SUM(TAB_ENTRADA[[#This Row],[20/05/2019]:[Colunas1]])</f>
        <v>3</v>
      </c>
      <c r="F806" s="3"/>
      <c r="FK806" s="3">
        <v>3</v>
      </c>
    </row>
    <row r="807" spans="1:207" x14ac:dyDescent="0.25">
      <c r="A807" s="5" t="s">
        <v>2464</v>
      </c>
      <c r="B807" s="14" t="str">
        <f>VLOOKUP(TAB_ENTRADA[[#This Row],[Cod_2_Entrada]],TAB_ESTOQUE[[Codigo]:[Descrição Tecnica]],6,FALSE)</f>
        <v>MANOMETRO COM ROSCA 1/8" HORIZONTAL 10BAR K1.1.6</v>
      </c>
      <c r="C807" s="14">
        <f>IFERROR(VLOOKUP(TAB_ENTRADA[[#This Row],[Cod_2_Entrada]],TAB_ESTOQUE[[Codigo]:[Referência Tec]],7,FALSE),"")</f>
        <v>0</v>
      </c>
      <c r="D807" s="14" t="str">
        <f>VLOOKUP(TAB_ENTRADA[[#This Row],[Cod_2_Entrada]],TAB_ESTOQUE[[Codigo]:[Endereço2]],12,FALSE)</f>
        <v>E2404</v>
      </c>
      <c r="E807" s="14">
        <f>SUM(TAB_ENTRADA[[#This Row],[20/05/2019]:[Colunas1]])</f>
        <v>1</v>
      </c>
      <c r="F807" s="3"/>
      <c r="FK807" s="3">
        <v>1</v>
      </c>
    </row>
    <row r="808" spans="1:207" x14ac:dyDescent="0.25">
      <c r="A808" s="5" t="s">
        <v>2465</v>
      </c>
      <c r="B808" s="14" t="str">
        <f>VLOOKUP(TAB_ENTRADA[[#This Row],[Cod_2_Entrada]],TAB_ESTOQUE[[Codigo]:[Descrição Tecnica]],6,FALSE)</f>
        <v>BOMBA HIDRAULICA 32207621</v>
      </c>
      <c r="C808" s="14">
        <f>IFERROR(VLOOKUP(TAB_ENTRADA[[#This Row],[Cod_2_Entrada]],TAB_ESTOQUE[[Codigo]:[Referência Tec]],7,FALSE),"")</f>
        <v>0</v>
      </c>
      <c r="D808" s="14" t="str">
        <f>VLOOKUP(TAB_ENTRADA[[#This Row],[Cod_2_Entrada]],TAB_ESTOQUE[[Codigo]:[Endereço2]],12,FALSE)</f>
        <v>E2402</v>
      </c>
      <c r="E808" s="14">
        <f>SUM(TAB_ENTRADA[[#This Row],[20/05/2019]:[Colunas1]])</f>
        <v>0</v>
      </c>
      <c r="F808" s="3"/>
      <c r="FK808" s="3">
        <v>0</v>
      </c>
    </row>
    <row r="809" spans="1:207" x14ac:dyDescent="0.25">
      <c r="A809" s="5" t="s">
        <v>2466</v>
      </c>
      <c r="B809" s="14" t="str">
        <f>VLOOKUP(TAB_ENTRADA[[#This Row],[Cod_2_Entrada]],TAB_ESTOQUE[[Codigo]:[Descrição Tecnica]],6,FALSE)</f>
        <v>BOMBA HIDRAULICA DO CARPETE 34494459/602</v>
      </c>
      <c r="C809" s="14">
        <f>IFERROR(VLOOKUP(TAB_ENTRADA[[#This Row],[Cod_2_Entrada]],TAB_ESTOQUE[[Codigo]:[Referência Tec]],7,FALSE),"")</f>
        <v>0</v>
      </c>
      <c r="D809" s="14" t="str">
        <f>VLOOKUP(TAB_ENTRADA[[#This Row],[Cod_2_Entrada]],TAB_ESTOQUE[[Codigo]:[Endereço2]],12,FALSE)</f>
        <v>E2206</v>
      </c>
      <c r="E809" s="14">
        <f>SUM(TAB_ENTRADA[[#This Row],[20/05/2019]:[Colunas1]])</f>
        <v>0</v>
      </c>
      <c r="F809" s="3"/>
      <c r="FK809" s="3">
        <v>0</v>
      </c>
    </row>
    <row r="810" spans="1:207" x14ac:dyDescent="0.25">
      <c r="A810" s="5" t="s">
        <v>2467</v>
      </c>
      <c r="B810" s="14" t="str">
        <f>VLOOKUP(TAB_ENTRADA[[#This Row],[Cod_2_Entrada]],TAB_ESTOQUE[[Codigo]:[Descrição Tecnica]],6,FALSE)</f>
        <v>RÉGUA DE NIVEL INJETORA CHINESA 912076155605</v>
      </c>
      <c r="C810" s="14">
        <f>IFERROR(VLOOKUP(TAB_ENTRADA[[#This Row],[Cod_2_Entrada]],TAB_ESTOQUE[[Codigo]:[Referência Tec]],7,FALSE),"")</f>
        <v>0</v>
      </c>
      <c r="D810" s="14" t="str">
        <f>VLOOKUP(TAB_ENTRADA[[#This Row],[Cod_2_Entrada]],TAB_ESTOQUE[[Codigo]:[Endereço2]],12,FALSE)</f>
        <v>D1401</v>
      </c>
      <c r="E810" s="14">
        <f>SUM(TAB_ENTRADA[[#This Row],[20/05/2019]:[Colunas1]])</f>
        <v>1</v>
      </c>
      <c r="F810" s="3"/>
      <c r="FK810" s="3">
        <v>1</v>
      </c>
    </row>
    <row r="811" spans="1:207" x14ac:dyDescent="0.25">
      <c r="A811" s="5" t="s">
        <v>2468</v>
      </c>
      <c r="B811" s="14" t="str">
        <f>VLOOKUP(TAB_ENTRADA[[#This Row],[Cod_2_Entrada]],TAB_ESTOQUE[[Codigo]:[Descrição Tecnica]],6,FALSE)</f>
        <v>RESISTENCIA TUB INOX  Ø1/2 U9 1490 12mm 9,6KW/254/440V E3</v>
      </c>
      <c r="C811" s="14">
        <f>IFERROR(VLOOKUP(TAB_ENTRADA[[#This Row],[Cod_2_Entrada]],TAB_ESTOQUE[[Codigo]:[Referência Tec]],7,FALSE),"")</f>
        <v>0</v>
      </c>
      <c r="D811" s="14" t="str">
        <f>VLOOKUP(TAB_ENTRADA[[#This Row],[Cod_2_Entrada]],TAB_ESTOQUE[[Codigo]:[Endereço2]],12,FALSE)</f>
        <v>A1206</v>
      </c>
      <c r="E811" s="14">
        <f>SUM(TAB_ENTRADA[[#This Row],[20/05/2019]:[Colunas1]])</f>
        <v>4</v>
      </c>
      <c r="F811" s="3"/>
      <c r="FK811" s="3">
        <v>4</v>
      </c>
    </row>
    <row r="812" spans="1:207" x14ac:dyDescent="0.25">
      <c r="A812" s="5" t="s">
        <v>2469</v>
      </c>
      <c r="B812" s="14" t="str">
        <f>VLOOKUP(TAB_ENTRADA[[#This Row],[Cod_2_Entrada]],TAB_ESTOQUE[[Codigo]:[Descrição Tecnica]],6,FALSE)</f>
        <v>MOTOR WEG POTENCIA 1.5CV ET448/001</v>
      </c>
      <c r="C812" s="14">
        <f>IFERROR(VLOOKUP(TAB_ENTRADA[[#This Row],[Cod_2_Entrada]],TAB_ESTOQUE[[Codigo]:[Referência Tec]],7,FALSE),"")</f>
        <v>0</v>
      </c>
      <c r="D812" s="14" t="str">
        <f>VLOOKUP(TAB_ENTRADA[[#This Row],[Cod_2_Entrada]],TAB_ESTOQUE[[Codigo]:[Endereço2]],12,FALSE)</f>
        <v>E2406</v>
      </c>
      <c r="E812" s="14">
        <f>SUM(TAB_ENTRADA[[#This Row],[20/05/2019]:[Colunas1]])</f>
        <v>1</v>
      </c>
      <c r="F812" s="3"/>
      <c r="FK812" s="3">
        <v>1</v>
      </c>
    </row>
    <row r="813" spans="1:207" x14ac:dyDescent="0.25">
      <c r="A813" s="5" t="s">
        <v>2470</v>
      </c>
      <c r="B813" s="14" t="str">
        <f>VLOOKUP(TAB_ENTRADA[[#This Row],[Cod_2_Entrada]],TAB_ESTOQUE[[Codigo]:[Descrição Tecnica]],6,FALSE)</f>
        <v>BOMBA RZR CO56-16 (REZINA)</v>
      </c>
      <c r="C813" s="14">
        <f>IFERROR(VLOOKUP(TAB_ENTRADA[[#This Row],[Cod_2_Entrada]],TAB_ESTOQUE[[Codigo]:[Referência Tec]],7,FALSE),"")</f>
        <v>0</v>
      </c>
      <c r="D813" s="14" t="str">
        <f>VLOOKUP(TAB_ENTRADA[[#This Row],[Cod_2_Entrada]],TAB_ESTOQUE[[Codigo]:[Endereço2]],12,FALSE)</f>
        <v>E2306</v>
      </c>
      <c r="E813" s="14">
        <f>SUM(TAB_ENTRADA[[#This Row],[20/05/2019]:[Colunas1]])</f>
        <v>1</v>
      </c>
      <c r="F813" s="3"/>
      <c r="FK813" s="3">
        <v>1</v>
      </c>
    </row>
    <row r="814" spans="1:207" x14ac:dyDescent="0.25">
      <c r="A814" s="5" t="s">
        <v>2471</v>
      </c>
      <c r="B814" s="14" t="str">
        <f>VLOOKUP(TAB_ENTRADA[[#This Row],[Cod_2_Entrada]],TAB_ESTOQUE[[Codigo]:[Descrição Tecnica]],6,FALSE)</f>
        <v>RESISTENCIA  TUB INOX Ø3/8 ROSCA 1.1/4 230mm 3KW/220V 380V E3</v>
      </c>
      <c r="C814" s="14">
        <f>IFERROR(VLOOKUP(TAB_ENTRADA[[#This Row],[Cod_2_Entrada]],TAB_ESTOQUE[[Codigo]:[Referência Tec]],7,FALSE),"")</f>
        <v>0</v>
      </c>
      <c r="D814" s="14" t="str">
        <f>VLOOKUP(TAB_ENTRADA[[#This Row],[Cod_2_Entrada]],TAB_ESTOQUE[[Codigo]:[Endereço2]],12,FALSE)</f>
        <v>A1206</v>
      </c>
      <c r="E814" s="14">
        <f>SUM(TAB_ENTRADA[[#This Row],[20/05/2019]:[Colunas1]])</f>
        <v>2</v>
      </c>
      <c r="F814" s="3"/>
      <c r="FK814" s="3">
        <v>2</v>
      </c>
    </row>
    <row r="815" spans="1:207" x14ac:dyDescent="0.25">
      <c r="A815" s="5" t="s">
        <v>2472</v>
      </c>
      <c r="B815" s="14" t="str">
        <f>VLOOKUP(TAB_ENTRADA[[#This Row],[Cod_2_Entrada]],TAB_ESTOQUE[[Codigo]:[Descrição Tecnica]],6,FALSE)</f>
        <v>TRANSMISSOR DE PRESSÃO XMLR040G2P05</v>
      </c>
      <c r="C815" s="14">
        <f>IFERROR(VLOOKUP(TAB_ENTRADA[[#This Row],[Cod_2_Entrada]],TAB_ESTOQUE[[Codigo]:[Referência Tec]],7,FALSE),"")</f>
        <v>0</v>
      </c>
      <c r="D815" s="14" t="str">
        <f>VLOOKUP(TAB_ENTRADA[[#This Row],[Cod_2_Entrada]],TAB_ESTOQUE[[Codigo]:[Endereço2]],12,FALSE)</f>
        <v>G1104</v>
      </c>
      <c r="E815" s="14">
        <f>SUM(TAB_ENTRADA[[#This Row],[20/05/2019]:[Colunas1]])</f>
        <v>0</v>
      </c>
      <c r="F815" s="3"/>
      <c r="FK815" s="3">
        <v>0</v>
      </c>
    </row>
    <row r="816" spans="1:207" x14ac:dyDescent="0.25">
      <c r="A816" s="5" t="s">
        <v>2473</v>
      </c>
      <c r="B816" s="14" t="str">
        <f>VLOOKUP(TAB_ENTRADA[[#This Row],[Cod_2_Entrada]],TAB_ESTOQUE[[Codigo]:[Descrição Tecnica]],6,FALSE)</f>
        <v>TRANSMISSOR DE PRESSÃO BSP001A (BALLUFF)</v>
      </c>
      <c r="C816" s="14">
        <f>IFERROR(VLOOKUP(TAB_ENTRADA[[#This Row],[Cod_2_Entrada]],TAB_ESTOQUE[[Codigo]:[Referência Tec]],7,FALSE),"")</f>
        <v>0</v>
      </c>
      <c r="D816" s="14" t="str">
        <f>VLOOKUP(TAB_ENTRADA[[#This Row],[Cod_2_Entrada]],TAB_ESTOQUE[[Codigo]:[Endereço2]],12,FALSE)</f>
        <v>G1104</v>
      </c>
      <c r="E816" s="14">
        <f>SUM(TAB_ENTRADA[[#This Row],[20/05/2019]:[Colunas1]])</f>
        <v>1</v>
      </c>
      <c r="F816" s="3"/>
      <c r="FK816" s="3">
        <v>1</v>
      </c>
    </row>
    <row r="817" spans="1:167" x14ac:dyDescent="0.25">
      <c r="A817" s="5" t="s">
        <v>2474</v>
      </c>
      <c r="B817" s="14" t="str">
        <f>VLOOKUP(TAB_ENTRADA[[#This Row],[Cod_2_Entrada]],TAB_ESTOQUE[[Codigo]:[Descrição Tecnica]],6,FALSE)</f>
        <v>SENSOR DE PRESSÃO  XMLR010G1P25</v>
      </c>
      <c r="C817" s="14">
        <f>IFERROR(VLOOKUP(TAB_ENTRADA[[#This Row],[Cod_2_Entrada]],TAB_ESTOQUE[[Codigo]:[Referência Tec]],7,FALSE),"")</f>
        <v>0</v>
      </c>
      <c r="D817" s="14" t="str">
        <f>VLOOKUP(TAB_ENTRADA[[#This Row],[Cod_2_Entrada]],TAB_ESTOQUE[[Codigo]:[Endereço2]],12,FALSE)</f>
        <v>G1104</v>
      </c>
      <c r="E817" s="14">
        <f>SUM(TAB_ENTRADA[[#This Row],[20/05/2019]:[Colunas1]])</f>
        <v>2</v>
      </c>
      <c r="F817" s="3"/>
      <c r="FK817" s="3">
        <v>2</v>
      </c>
    </row>
    <row r="818" spans="1:167" x14ac:dyDescent="0.25">
      <c r="A818" s="5" t="s">
        <v>2475</v>
      </c>
      <c r="B818" s="14" t="str">
        <f>VLOOKUP(TAB_ENTRADA[[#This Row],[Cod_2_Entrada]],TAB_ESTOQUE[[Codigo]:[Descrição Tecnica]],6,FALSE)</f>
        <v>MANOMETRO COM ROSCA 1/8" 160PSI 11BAR 1.1MPA</v>
      </c>
      <c r="C818" s="14">
        <f>IFERROR(VLOOKUP(TAB_ENTRADA[[#This Row],[Cod_2_Entrada]],TAB_ESTOQUE[[Codigo]:[Referência Tec]],7,FALSE),"")</f>
        <v>0</v>
      </c>
      <c r="D818" s="14" t="str">
        <f>VLOOKUP(TAB_ENTRADA[[#This Row],[Cod_2_Entrada]],TAB_ESTOQUE[[Codigo]:[Endereço2]],12,FALSE)</f>
        <v>E2404</v>
      </c>
      <c r="E818" s="14">
        <f>SUM(TAB_ENTRADA[[#This Row],[20/05/2019]:[Colunas1]])</f>
        <v>1</v>
      </c>
      <c r="F818" s="3"/>
      <c r="FK818" s="3">
        <v>1</v>
      </c>
    </row>
    <row r="819" spans="1:167" x14ac:dyDescent="0.25">
      <c r="A819" s="5" t="s">
        <v>2476</v>
      </c>
      <c r="B819" s="14" t="str">
        <f>VLOOKUP(TAB_ENTRADA[[#This Row],[Cod_2_Entrada]],TAB_ESTOQUE[[Codigo]:[Descrição Tecnica]],6,FALSE)</f>
        <v>MANOMETRO COM ROSCA 1/4" HORIZONTAL 150PSI 10BAR</v>
      </c>
      <c r="C819" s="14">
        <f>IFERROR(VLOOKUP(TAB_ENTRADA[[#This Row],[Cod_2_Entrada]],TAB_ESTOQUE[[Codigo]:[Referência Tec]],7,FALSE),"")</f>
        <v>0</v>
      </c>
      <c r="D819" s="14" t="str">
        <f>VLOOKUP(TAB_ENTRADA[[#This Row],[Cod_2_Entrada]],TAB_ESTOQUE[[Codigo]:[Endereço2]],12,FALSE)</f>
        <v>E2404</v>
      </c>
      <c r="E819" s="14">
        <f>SUM(TAB_ENTRADA[[#This Row],[20/05/2019]:[Colunas1]])</f>
        <v>1</v>
      </c>
      <c r="F819" s="3"/>
      <c r="FK819" s="3">
        <v>1</v>
      </c>
    </row>
    <row r="820" spans="1:167" x14ac:dyDescent="0.25">
      <c r="A820" s="5" t="s">
        <v>2477</v>
      </c>
      <c r="B820" s="14" t="str">
        <f>VLOOKUP(TAB_ENTRADA[[#This Row],[Cod_2_Entrada]],TAB_ESTOQUE[[Codigo]:[Descrição Tecnica]],6,FALSE)</f>
        <v>VALVULA DE RETENÇÃO PARA ISOCIANATO 1"</v>
      </c>
      <c r="C820" s="14">
        <f>IFERROR(VLOOKUP(TAB_ENTRADA[[#This Row],[Cod_2_Entrada]],TAB_ESTOQUE[[Codigo]:[Referência Tec]],7,FALSE),"")</f>
        <v>0</v>
      </c>
      <c r="D820" s="14" t="str">
        <f>VLOOKUP(TAB_ENTRADA[[#This Row],[Cod_2_Entrada]],TAB_ESTOQUE[[Codigo]:[Endereço2]],12,FALSE)</f>
        <v>E2403</v>
      </c>
      <c r="E820" s="14">
        <f>SUM(TAB_ENTRADA[[#This Row],[20/05/2019]:[Colunas1]])</f>
        <v>0</v>
      </c>
      <c r="F820" s="3"/>
      <c r="FK820" s="3">
        <v>0</v>
      </c>
    </row>
    <row r="821" spans="1:167" x14ac:dyDescent="0.25">
      <c r="A821" s="5" t="s">
        <v>2478</v>
      </c>
      <c r="B821" s="14" t="str">
        <f>VLOOKUP(TAB_ENTRADA[[#This Row],[Cod_2_Entrada]],TAB_ESTOQUE[[Codigo]:[Descrição Tecnica]],6,FALSE)</f>
        <v>VALVULA DE RETENÇÃO PARA ISOCIANATO 2"</v>
      </c>
      <c r="C821" s="14">
        <f>IFERROR(VLOOKUP(TAB_ENTRADA[[#This Row],[Cod_2_Entrada]],TAB_ESTOQUE[[Codigo]:[Referência Tec]],7,FALSE),"")</f>
        <v>0</v>
      </c>
      <c r="D821" s="14" t="str">
        <f>VLOOKUP(TAB_ENTRADA[[#This Row],[Cod_2_Entrada]],TAB_ESTOQUE[[Codigo]:[Endereço2]],12,FALSE)</f>
        <v>E2403</v>
      </c>
      <c r="E821" s="14">
        <f>SUM(TAB_ENTRADA[[#This Row],[20/05/2019]:[Colunas1]])</f>
        <v>2</v>
      </c>
      <c r="F821" s="3"/>
      <c r="FK821" s="3">
        <v>2</v>
      </c>
    </row>
    <row r="822" spans="1:167" x14ac:dyDescent="0.25">
      <c r="A822" s="5" t="s">
        <v>2479</v>
      </c>
      <c r="B822" s="14" t="str">
        <f>VLOOKUP(TAB_ENTRADA[[#This Row],[Cod_2_Entrada]],TAB_ESTOQUE[[Codigo]:[Descrição Tecnica]],6,FALSE)</f>
        <v xml:space="preserve">PONTA MONTADA B21  </v>
      </c>
      <c r="C822" s="14">
        <f>IFERROR(VLOOKUP(TAB_ENTRADA[[#This Row],[Cod_2_Entrada]],TAB_ESTOQUE[[Codigo]:[Referência Tec]],7,FALSE),"")</f>
        <v>0</v>
      </c>
      <c r="D822" s="14" t="str">
        <f>VLOOKUP(TAB_ENTRADA[[#This Row],[Cod_2_Entrada]],TAB_ESTOQUE[[Codigo]:[Endereço2]],12,FALSE)</f>
        <v>E2405</v>
      </c>
      <c r="E822" s="14">
        <f>SUM(TAB_ENTRADA[[#This Row],[20/05/2019]:[Colunas1]])</f>
        <v>7</v>
      </c>
      <c r="F822" s="3"/>
      <c r="FK822" s="3">
        <v>7</v>
      </c>
    </row>
    <row r="823" spans="1:167" x14ac:dyDescent="0.25">
      <c r="A823" s="5" t="s">
        <v>2480</v>
      </c>
      <c r="B823" s="14" t="str">
        <f>VLOOKUP(TAB_ENTRADA[[#This Row],[Cod_2_Entrada]],TAB_ESTOQUE[[Codigo]:[Descrição Tecnica]],6,FALSE)</f>
        <v>PONTA MONTADA A-004</v>
      </c>
      <c r="C823" s="14">
        <f>IFERROR(VLOOKUP(TAB_ENTRADA[[#This Row],[Cod_2_Entrada]],TAB_ESTOQUE[[Codigo]:[Referência Tec]],7,FALSE),"")</f>
        <v>0</v>
      </c>
      <c r="D823" s="14" t="str">
        <f>VLOOKUP(TAB_ENTRADA[[#This Row],[Cod_2_Entrada]],TAB_ESTOQUE[[Codigo]:[Endereço2]],12,FALSE)</f>
        <v>E2405</v>
      </c>
      <c r="E823" s="14">
        <f>SUM(TAB_ENTRADA[[#This Row],[20/05/2019]:[Colunas1]])</f>
        <v>2</v>
      </c>
      <c r="F823" s="3"/>
      <c r="FK823" s="3">
        <v>2</v>
      </c>
    </row>
    <row r="824" spans="1:167" x14ac:dyDescent="0.25">
      <c r="A824" s="5" t="s">
        <v>2481</v>
      </c>
      <c r="B824" s="14" t="str">
        <f>VLOOKUP(TAB_ENTRADA[[#This Row],[Cod_2_Entrada]],TAB_ESTOQUE[[Codigo]:[Descrição Tecnica]],6,FALSE)</f>
        <v>PONTA MONTADA A22</v>
      </c>
      <c r="C824" s="14">
        <f>IFERROR(VLOOKUP(TAB_ENTRADA[[#This Row],[Cod_2_Entrada]],TAB_ESTOQUE[[Codigo]:[Referência Tec]],7,FALSE),"")</f>
        <v>0</v>
      </c>
      <c r="D824" s="14" t="str">
        <f>VLOOKUP(TAB_ENTRADA[[#This Row],[Cod_2_Entrada]],TAB_ESTOQUE[[Codigo]:[Endereço2]],12,FALSE)</f>
        <v>E2405</v>
      </c>
      <c r="E824" s="14">
        <f>SUM(TAB_ENTRADA[[#This Row],[20/05/2019]:[Colunas1]])</f>
        <v>10</v>
      </c>
      <c r="F824" s="3"/>
      <c r="FK824" s="3">
        <v>10</v>
      </c>
    </row>
    <row r="825" spans="1:167" x14ac:dyDescent="0.25">
      <c r="A825" s="5" t="s">
        <v>2482</v>
      </c>
      <c r="B825" s="14" t="str">
        <f>VLOOKUP(TAB_ENTRADA[[#This Row],[Cod_2_Entrada]],TAB_ESTOQUE[[Codigo]:[Descrição Tecnica]],6,FALSE)</f>
        <v>PONTA MONTADA A-024</v>
      </c>
      <c r="C825" s="14">
        <f>IFERROR(VLOOKUP(TAB_ENTRADA[[#This Row],[Cod_2_Entrada]],TAB_ESTOQUE[[Codigo]:[Referência Tec]],7,FALSE),"")</f>
        <v>0</v>
      </c>
      <c r="D825" s="14" t="str">
        <f>VLOOKUP(TAB_ENTRADA[[#This Row],[Cod_2_Entrada]],TAB_ESTOQUE[[Codigo]:[Endereço2]],12,FALSE)</f>
        <v>E2405</v>
      </c>
      <c r="E825" s="14">
        <f>SUM(TAB_ENTRADA[[#This Row],[20/05/2019]:[Colunas1]])</f>
        <v>2</v>
      </c>
      <c r="F825" s="3"/>
      <c r="FK825" s="3">
        <v>2</v>
      </c>
    </row>
    <row r="826" spans="1:167" x14ac:dyDescent="0.25">
      <c r="A826" s="5" t="s">
        <v>2483</v>
      </c>
      <c r="B826" s="14" t="str">
        <f>VLOOKUP(TAB_ENTRADA[[#This Row],[Cod_2_Entrada]],TAB_ESTOQUE[[Codigo]:[Descrição Tecnica]],6,FALSE)</f>
        <v>PONTA MONTADA A35</v>
      </c>
      <c r="C826" s="14">
        <f>IFERROR(VLOOKUP(TAB_ENTRADA[[#This Row],[Cod_2_Entrada]],TAB_ESTOQUE[[Codigo]:[Referência Tec]],7,FALSE),"")</f>
        <v>0</v>
      </c>
      <c r="D826" s="14" t="str">
        <f>VLOOKUP(TAB_ENTRADA[[#This Row],[Cod_2_Entrada]],TAB_ESTOQUE[[Codigo]:[Endereço2]],12,FALSE)</f>
        <v>E2405</v>
      </c>
      <c r="E826" s="14">
        <f>SUM(TAB_ENTRADA[[#This Row],[20/05/2019]:[Colunas1]])</f>
        <v>0</v>
      </c>
      <c r="F826" s="3"/>
      <c r="FK826" s="3">
        <v>0</v>
      </c>
    </row>
    <row r="827" spans="1:167" x14ac:dyDescent="0.25">
      <c r="A827" s="5" t="s">
        <v>2484</v>
      </c>
      <c r="B827" s="14" t="str">
        <f>VLOOKUP(TAB_ENTRADA[[#This Row],[Cod_2_Entrada]],TAB_ESTOQUE[[Codigo]:[Descrição Tecnica]],6,FALSE)</f>
        <v>PONTA MONTADA B41</v>
      </c>
      <c r="C827" s="14">
        <f>IFERROR(VLOOKUP(TAB_ENTRADA[[#This Row],[Cod_2_Entrada]],TAB_ESTOQUE[[Codigo]:[Referência Tec]],7,FALSE),"")</f>
        <v>0</v>
      </c>
      <c r="D827" s="14" t="str">
        <f>VLOOKUP(TAB_ENTRADA[[#This Row],[Cod_2_Entrada]],TAB_ESTOQUE[[Codigo]:[Endereço2]],12,FALSE)</f>
        <v>E2405</v>
      </c>
      <c r="E827" s="14">
        <f>SUM(TAB_ENTRADA[[#This Row],[20/05/2019]:[Colunas1]])</f>
        <v>5</v>
      </c>
      <c r="F827" s="3"/>
      <c r="FK827" s="3">
        <v>5</v>
      </c>
    </row>
    <row r="828" spans="1:167" x14ac:dyDescent="0.25">
      <c r="A828" s="5" t="s">
        <v>2485</v>
      </c>
      <c r="B828" s="14" t="str">
        <f>VLOOKUP(TAB_ENTRADA[[#This Row],[Cod_2_Entrada]],TAB_ESTOQUE[[Codigo]:[Descrição Tecnica]],6,FALSE)</f>
        <v>PONTA MONTADA A5</v>
      </c>
      <c r="C828" s="14">
        <f>IFERROR(VLOOKUP(TAB_ENTRADA[[#This Row],[Cod_2_Entrada]],TAB_ESTOQUE[[Codigo]:[Referência Tec]],7,FALSE),"")</f>
        <v>0</v>
      </c>
      <c r="D828" s="14" t="str">
        <f>VLOOKUP(TAB_ENTRADA[[#This Row],[Cod_2_Entrada]],TAB_ESTOQUE[[Codigo]:[Endereço2]],12,FALSE)</f>
        <v>E2405</v>
      </c>
      <c r="E828" s="14">
        <f>SUM(TAB_ENTRADA[[#This Row],[20/05/2019]:[Colunas1]])</f>
        <v>1</v>
      </c>
      <c r="F828" s="3"/>
      <c r="FK828" s="3">
        <v>1</v>
      </c>
    </row>
    <row r="829" spans="1:167" x14ac:dyDescent="0.25">
      <c r="A829" s="5" t="s">
        <v>2486</v>
      </c>
      <c r="B829" s="14" t="str">
        <f>VLOOKUP(TAB_ENTRADA[[#This Row],[Cod_2_Entrada]],TAB_ESTOQUE[[Codigo]:[Descrição Tecnica]],6,FALSE)</f>
        <v>PONTA MONTADA A18</v>
      </c>
      <c r="C829" s="14">
        <f>IFERROR(VLOOKUP(TAB_ENTRADA[[#This Row],[Cod_2_Entrada]],TAB_ESTOQUE[[Codigo]:[Referência Tec]],7,FALSE),"")</f>
        <v>0</v>
      </c>
      <c r="D829" s="14" t="str">
        <f>VLOOKUP(TAB_ENTRADA[[#This Row],[Cod_2_Entrada]],TAB_ESTOQUE[[Codigo]:[Endereço2]],12,FALSE)</f>
        <v>E2405</v>
      </c>
      <c r="E829" s="14">
        <f>SUM(TAB_ENTRADA[[#This Row],[20/05/2019]:[Colunas1]])</f>
        <v>0</v>
      </c>
      <c r="F829" s="3"/>
      <c r="FK829" s="3">
        <v>0</v>
      </c>
    </row>
    <row r="830" spans="1:167" x14ac:dyDescent="0.25">
      <c r="A830" s="5" t="s">
        <v>2487</v>
      </c>
      <c r="B830" s="14" t="str">
        <f>VLOOKUP(TAB_ENTRADA[[#This Row],[Cod_2_Entrada]],TAB_ESTOQUE[[Codigo]:[Descrição Tecnica]],6,FALSE)</f>
        <v>PONTA MONTADA A24</v>
      </c>
      <c r="C830" s="14">
        <f>IFERROR(VLOOKUP(TAB_ENTRADA[[#This Row],[Cod_2_Entrada]],TAB_ESTOQUE[[Codigo]:[Referência Tec]],7,FALSE),"")</f>
        <v>0</v>
      </c>
      <c r="D830" s="14" t="str">
        <f>VLOOKUP(TAB_ENTRADA[[#This Row],[Cod_2_Entrada]],TAB_ESTOQUE[[Codigo]:[Endereço2]],12,FALSE)</f>
        <v>E2405</v>
      </c>
      <c r="E830" s="14">
        <f>SUM(TAB_ENTRADA[[#This Row],[20/05/2019]:[Colunas1]])</f>
        <v>0</v>
      </c>
      <c r="F830" s="3"/>
      <c r="FK830" s="3">
        <v>0</v>
      </c>
    </row>
    <row r="831" spans="1:167" x14ac:dyDescent="0.25">
      <c r="A831" s="5" t="s">
        <v>2488</v>
      </c>
      <c r="B831" s="14" t="str">
        <f>VLOOKUP(TAB_ENTRADA[[#This Row],[Cod_2_Entrada]],TAB_ESTOQUE[[Codigo]:[Descrição Tecnica]],6,FALSE)</f>
        <v>PONTA MANTADA A34</v>
      </c>
      <c r="C831" s="14">
        <f>IFERROR(VLOOKUP(TAB_ENTRADA[[#This Row],[Cod_2_Entrada]],TAB_ESTOQUE[[Codigo]:[Referência Tec]],7,FALSE),"")</f>
        <v>0</v>
      </c>
      <c r="D831" s="14" t="str">
        <f>VLOOKUP(TAB_ENTRADA[[#This Row],[Cod_2_Entrada]],TAB_ESTOQUE[[Codigo]:[Endereço2]],12,FALSE)</f>
        <v>E2405</v>
      </c>
      <c r="E831" s="14">
        <f>SUM(TAB_ENTRADA[[#This Row],[20/05/2019]:[Colunas1]])</f>
        <v>0</v>
      </c>
      <c r="F831" s="3"/>
      <c r="FK831" s="3">
        <v>0</v>
      </c>
    </row>
    <row r="832" spans="1:167" x14ac:dyDescent="0.25">
      <c r="A832" s="5" t="s">
        <v>2489</v>
      </c>
      <c r="B832" s="14" t="str">
        <f>VLOOKUP(TAB_ENTRADA[[#This Row],[Cod_2_Entrada]],TAB_ESTOQUE[[Codigo]:[Descrição Tecnica]],6,FALSE)</f>
        <v>PONTA MONTADA B52</v>
      </c>
      <c r="C832" s="14">
        <f>IFERROR(VLOOKUP(TAB_ENTRADA[[#This Row],[Cod_2_Entrada]],TAB_ESTOQUE[[Codigo]:[Referência Tec]],7,FALSE),"")</f>
        <v>0</v>
      </c>
      <c r="D832" s="14" t="str">
        <f>VLOOKUP(TAB_ENTRADA[[#This Row],[Cod_2_Entrada]],TAB_ESTOQUE[[Codigo]:[Endereço2]],12,FALSE)</f>
        <v>E2405</v>
      </c>
      <c r="E832" s="14">
        <f>SUM(TAB_ENTRADA[[#This Row],[20/05/2019]:[Colunas1]])</f>
        <v>0</v>
      </c>
      <c r="F832" s="3"/>
      <c r="FK832" s="3">
        <v>0</v>
      </c>
    </row>
    <row r="833" spans="1:212" x14ac:dyDescent="0.25">
      <c r="A833" s="5" t="s">
        <v>2490</v>
      </c>
      <c r="B833" s="14" t="str">
        <f>VLOOKUP(TAB_ENTRADA[[#This Row],[Cod_2_Entrada]],TAB_ESTOQUE[[Codigo]:[Descrição Tecnica]],6,FALSE)</f>
        <v>PONTA MONTADA A21</v>
      </c>
      <c r="C833" s="14">
        <f>IFERROR(VLOOKUP(TAB_ENTRADA[[#This Row],[Cod_2_Entrada]],TAB_ESTOQUE[[Codigo]:[Referência Tec]],7,FALSE),"")</f>
        <v>0</v>
      </c>
      <c r="D833" s="14" t="str">
        <f>VLOOKUP(TAB_ENTRADA[[#This Row],[Cod_2_Entrada]],TAB_ESTOQUE[[Codigo]:[Endereço2]],12,FALSE)</f>
        <v>E2405</v>
      </c>
      <c r="E833" s="14">
        <f>SUM(TAB_ENTRADA[[#This Row],[20/05/2019]:[Colunas1]])</f>
        <v>0</v>
      </c>
      <c r="F833" s="3"/>
      <c r="FK833" s="3">
        <v>0</v>
      </c>
    </row>
    <row r="834" spans="1:212" x14ac:dyDescent="0.25">
      <c r="A834" s="5" t="s">
        <v>2491</v>
      </c>
      <c r="B834" s="14" t="str">
        <f>VLOOKUP(TAB_ENTRADA[[#This Row],[Cod_2_Entrada]],TAB_ESTOQUE[[Codigo]:[Descrição Tecnica]],6,FALSE)</f>
        <v>PONTA MONTADA A36</v>
      </c>
      <c r="C834" s="14">
        <f>IFERROR(VLOOKUP(TAB_ENTRADA[[#This Row],[Cod_2_Entrada]],TAB_ESTOQUE[[Codigo]:[Referência Tec]],7,FALSE),"")</f>
        <v>0</v>
      </c>
      <c r="D834" s="14" t="str">
        <f>VLOOKUP(TAB_ENTRADA[[#This Row],[Cod_2_Entrada]],TAB_ESTOQUE[[Codigo]:[Endereço2]],12,FALSE)</f>
        <v>E2405</v>
      </c>
      <c r="E834" s="14">
        <f>SUM(TAB_ENTRADA[[#This Row],[20/05/2019]:[Colunas1]])</f>
        <v>0</v>
      </c>
      <c r="F834" s="3"/>
      <c r="FK834" s="3">
        <v>0</v>
      </c>
    </row>
    <row r="835" spans="1:212" x14ac:dyDescent="0.25">
      <c r="A835" s="5" t="s">
        <v>2492</v>
      </c>
      <c r="B835" s="14" t="str">
        <f>VLOOKUP(TAB_ENTRADA[[#This Row],[Cod_2_Entrada]],TAB_ESTOQUE[[Codigo]:[Descrição Tecnica]],6,FALSE)</f>
        <v>PONTA MONTADA A-004</v>
      </c>
      <c r="C835" s="14">
        <f>IFERROR(VLOOKUP(TAB_ENTRADA[[#This Row],[Cod_2_Entrada]],TAB_ESTOQUE[[Codigo]:[Referência Tec]],7,FALSE),"")</f>
        <v>0</v>
      </c>
      <c r="D835" s="14" t="str">
        <f>VLOOKUP(TAB_ENTRADA[[#This Row],[Cod_2_Entrada]],TAB_ESTOQUE[[Codigo]:[Endereço2]],12,FALSE)</f>
        <v>E2405</v>
      </c>
      <c r="E835" s="14">
        <f>SUM(TAB_ENTRADA[[#This Row],[20/05/2019]:[Colunas1]])</f>
        <v>0</v>
      </c>
      <c r="F835" s="3"/>
      <c r="FK835" s="3">
        <v>0</v>
      </c>
    </row>
    <row r="836" spans="1:212" x14ac:dyDescent="0.25">
      <c r="A836" s="5" t="s">
        <v>2493</v>
      </c>
      <c r="B836" s="14" t="str">
        <f>VLOOKUP(TAB_ENTRADA[[#This Row],[Cod_2_Entrada]],TAB_ESTOQUE[[Codigo]:[Descrição Tecnica]],6,FALSE)</f>
        <v>MANOMETRO ROSCA 1/8" HORIZONTAL 200PSI 14KGF/CM²</v>
      </c>
      <c r="C836" s="14">
        <f>IFERROR(VLOOKUP(TAB_ENTRADA[[#This Row],[Cod_2_Entrada]],TAB_ESTOQUE[[Codigo]:[Referência Tec]],7,FALSE),"")</f>
        <v>0</v>
      </c>
      <c r="D836" s="14" t="str">
        <f>VLOOKUP(TAB_ENTRADA[[#This Row],[Cod_2_Entrada]],TAB_ESTOQUE[[Codigo]:[Endereço2]],12,FALSE)</f>
        <v>E2404</v>
      </c>
      <c r="E836" s="14">
        <f>SUM(TAB_ENTRADA[[#This Row],[20/05/2019]:[Colunas1]])</f>
        <v>1</v>
      </c>
      <c r="F836" s="3"/>
      <c r="FK836" s="3">
        <v>1</v>
      </c>
    </row>
    <row r="837" spans="1:212" x14ac:dyDescent="0.25">
      <c r="A837" s="5" t="s">
        <v>2494</v>
      </c>
      <c r="B837" s="14" t="str">
        <f>VLOOKUP(TAB_ENTRADA[[#This Row],[Cod_2_Entrada]],TAB_ESTOQUE[[Codigo]:[Descrição Tecnica]],6,FALSE)</f>
        <v>Desengripante Spray White Lub Super 300 ml</v>
      </c>
      <c r="C837" s="14">
        <f>IFERROR(VLOOKUP(TAB_ENTRADA[[#This Row],[Cod_2_Entrada]],TAB_ESTOQUE[[Codigo]:[Referência Tec]],7,FALSE),"")</f>
        <v>0</v>
      </c>
      <c r="D837" s="14" t="str">
        <f>VLOOKUP(TAB_ENTRADA[[#This Row],[Cod_2_Entrada]],TAB_ESTOQUE[[Codigo]:[Endereço2]],12,FALSE)</f>
        <v>ARMARIO</v>
      </c>
      <c r="E837" s="14">
        <f>SUM(TAB_ENTRADA[[#This Row],[20/05/2019]:[Colunas1]])</f>
        <v>70</v>
      </c>
      <c r="F837" s="3"/>
      <c r="FK837" s="3">
        <v>20</v>
      </c>
      <c r="GF837" s="3">
        <v>30</v>
      </c>
      <c r="HD837" s="3">
        <v>20</v>
      </c>
    </row>
    <row r="838" spans="1:212" x14ac:dyDescent="0.25">
      <c r="A838" s="5" t="s">
        <v>2495</v>
      </c>
      <c r="B838" s="14" t="str">
        <f>VLOOKUP(TAB_ENTRADA[[#This Row],[Cod_2_Entrada]],TAB_ESTOQUE[[Codigo]:[Descrição Tecnica]],6,FALSE)</f>
        <v>VASELINA SPRAY 250ml ORBI-5315</v>
      </c>
      <c r="C838" s="14">
        <f>IFERROR(VLOOKUP(TAB_ENTRADA[[#This Row],[Cod_2_Entrada]],TAB_ESTOQUE[[Codigo]:[Referência Tec]],7,FALSE),"")</f>
        <v>0</v>
      </c>
      <c r="D838" s="14" t="str">
        <f>VLOOKUP(TAB_ENTRADA[[#This Row],[Cod_2_Entrada]],TAB_ESTOQUE[[Codigo]:[Endereço2]],12,FALSE)</f>
        <v>ARMARIO</v>
      </c>
      <c r="E838" s="14">
        <f>SUM(TAB_ENTRADA[[#This Row],[20/05/2019]:[Colunas1]])</f>
        <v>0</v>
      </c>
      <c r="F838" s="3"/>
      <c r="FK838" s="3">
        <v>0</v>
      </c>
    </row>
    <row r="839" spans="1:212" x14ac:dyDescent="0.25">
      <c r="A839" s="5" t="s">
        <v>2496</v>
      </c>
      <c r="B839" s="14" t="str">
        <f>VLOOKUP(TAB_ENTRADA[[#This Row],[Cod_2_Entrada]],TAB_ESTOQUE[[Codigo]:[Descrição Tecnica]],6,FALSE)</f>
        <v>LUBRIFICANTE SECO GRAFITE SPRAY 300ml ORBI</v>
      </c>
      <c r="C839" s="14">
        <f>IFERROR(VLOOKUP(TAB_ENTRADA[[#This Row],[Cod_2_Entrada]],TAB_ESTOQUE[[Codigo]:[Referência Tec]],7,FALSE),"")</f>
        <v>0</v>
      </c>
      <c r="D839" s="14" t="str">
        <f>VLOOKUP(TAB_ENTRADA[[#This Row],[Cod_2_Entrada]],TAB_ESTOQUE[[Codigo]:[Endereço2]],12,FALSE)</f>
        <v>ARMARIO</v>
      </c>
      <c r="E839" s="14">
        <f>SUM(TAB_ENTRADA[[#This Row],[20/05/2019]:[Colunas1]])</f>
        <v>0</v>
      </c>
      <c r="F839" s="3"/>
      <c r="FK839" s="3">
        <v>0</v>
      </c>
    </row>
    <row r="840" spans="1:212" x14ac:dyDescent="0.25">
      <c r="A840" s="5" t="s">
        <v>2497</v>
      </c>
      <c r="B840" s="14" t="str">
        <f>VLOOKUP(TAB_ENTRADA[[#This Row],[Cod_2_Entrada]],TAB_ESTOQUE[[Codigo]:[Descrição Tecnica]],6,FALSE)</f>
        <v xml:space="preserve">ADESIVO PARA JUNTAS DE MOTORES DISEL 75g </v>
      </c>
      <c r="C840" s="14">
        <f>IFERROR(VLOOKUP(TAB_ENTRADA[[#This Row],[Cod_2_Entrada]],TAB_ESTOQUE[[Codigo]:[Referência Tec]],7,FALSE),"")</f>
        <v>0</v>
      </c>
      <c r="D840" s="14" t="str">
        <f>VLOOKUP(TAB_ENTRADA[[#This Row],[Cod_2_Entrada]],TAB_ESTOQUE[[Codigo]:[Endereço2]],12,FALSE)</f>
        <v>ARMARIO</v>
      </c>
      <c r="E840" s="14">
        <f>SUM(TAB_ENTRADA[[#This Row],[20/05/2019]:[Colunas1]])</f>
        <v>10</v>
      </c>
      <c r="F840" s="3"/>
      <c r="FK840" s="3">
        <v>10</v>
      </c>
    </row>
    <row r="841" spans="1:212" x14ac:dyDescent="0.25">
      <c r="A841" s="5" t="s">
        <v>2498</v>
      </c>
      <c r="B841" s="14" t="str">
        <f>VLOOKUP(TAB_ENTRADA[[#This Row],[Cod_2_Entrada]],TAB_ESTOQUE[[Codigo]:[Descrição Tecnica]],6,FALSE)</f>
        <v>MASSA ADESIVA EPOXI DUREPOXI LOCTITE 100g</v>
      </c>
      <c r="C841" s="14">
        <f>IFERROR(VLOOKUP(TAB_ENTRADA[[#This Row],[Cod_2_Entrada]],TAB_ESTOQUE[[Codigo]:[Referência Tec]],7,FALSE),"")</f>
        <v>0</v>
      </c>
      <c r="D841" s="14" t="str">
        <f>VLOOKUP(TAB_ENTRADA[[#This Row],[Cod_2_Entrada]],TAB_ESTOQUE[[Codigo]:[Endereço2]],12,FALSE)</f>
        <v>ARMARIO</v>
      </c>
      <c r="E841" s="14">
        <f>SUM(TAB_ENTRADA[[#This Row],[20/05/2019]:[Colunas1]])</f>
        <v>0</v>
      </c>
      <c r="F841" s="3"/>
      <c r="FK841" s="3">
        <v>0</v>
      </c>
    </row>
    <row r="842" spans="1:212" x14ac:dyDescent="0.25">
      <c r="A842" s="5" t="s">
        <v>2499</v>
      </c>
      <c r="B842" s="14" t="str">
        <f>VLOOKUP(TAB_ENTRADA[[#This Row],[Cod_2_Entrada]],TAB_ESTOQUE[[Codigo]:[Descrição Tecnica]],6,FALSE)</f>
        <v xml:space="preserve">SILICONE ASSEPTICO PROFISSIONAL 280g </v>
      </c>
      <c r="C842" s="14">
        <f>IFERROR(VLOOKUP(TAB_ENTRADA[[#This Row],[Cod_2_Entrada]],TAB_ESTOQUE[[Codigo]:[Referência Tec]],7,FALSE),"")</f>
        <v>0</v>
      </c>
      <c r="D842" s="14" t="str">
        <f>VLOOKUP(TAB_ENTRADA[[#This Row],[Cod_2_Entrada]],TAB_ESTOQUE[[Codigo]:[Endereço2]],12,FALSE)</f>
        <v>ARMARIO</v>
      </c>
      <c r="E842" s="14">
        <f>SUM(TAB_ENTRADA[[#This Row],[20/05/2019]:[Colunas1]])</f>
        <v>11</v>
      </c>
      <c r="F842" s="3"/>
      <c r="FK842" s="3">
        <v>11</v>
      </c>
    </row>
    <row r="843" spans="1:212" x14ac:dyDescent="0.25">
      <c r="A843" s="5" t="s">
        <v>2500</v>
      </c>
      <c r="B843" s="14" t="str">
        <f>VLOOKUP(TAB_ENTRADA[[#This Row],[Cod_2_Entrada]],TAB_ESTOQUE[[Codigo]:[Descrição Tecnica]],6,FALSE)</f>
        <v>CERABAR code; PMP21-1R13/0 -1...100bar 0...100bar 4-20mA Ser.no.: s400d21516A</v>
      </c>
      <c r="C843" s="14">
        <f>IFERROR(VLOOKUP(TAB_ENTRADA[[#This Row],[Cod_2_Entrada]],TAB_ESTOQUE[[Codigo]:[Referência Tec]],7,FALSE),"")</f>
        <v>0</v>
      </c>
      <c r="D843" s="14" t="str">
        <f>VLOOKUP(TAB_ENTRADA[[#This Row],[Cod_2_Entrada]],TAB_ESTOQUE[[Codigo]:[Endereço2]],12,FALSE)</f>
        <v>B1104</v>
      </c>
      <c r="E843" s="14">
        <f>SUM(TAB_ENTRADA[[#This Row],[20/05/2019]:[Colunas1]])</f>
        <v>2</v>
      </c>
      <c r="F843" s="3"/>
      <c r="FK843" s="3">
        <v>2</v>
      </c>
    </row>
    <row r="844" spans="1:212" x14ac:dyDescent="0.25">
      <c r="A844" s="5" t="s">
        <v>2501</v>
      </c>
      <c r="B844" s="14" t="str">
        <f>VLOOKUP(TAB_ENTRADA[[#This Row],[Cod_2_Entrada]],TAB_ESTOQUE[[Codigo]:[Descrição Tecnica]],6,FALSE)</f>
        <v>LIMPA CONTATO SPRAY 7349  300ML WURTH</v>
      </c>
      <c r="C844" s="14">
        <f>IFERROR(VLOOKUP(TAB_ENTRADA[[#This Row],[Cod_2_Entrada]],TAB_ESTOQUE[[Codigo]:[Referência Tec]],7,FALSE),"")</f>
        <v>0</v>
      </c>
      <c r="D844" s="14" t="str">
        <f>VLOOKUP(TAB_ENTRADA[[#This Row],[Cod_2_Entrada]],TAB_ESTOQUE[[Codigo]:[Endereço2]],12,FALSE)</f>
        <v>ARMARIO</v>
      </c>
      <c r="E844" s="14">
        <f>SUM(TAB_ENTRADA[[#This Row],[20/05/2019]:[Colunas1]])</f>
        <v>65</v>
      </c>
      <c r="F844" s="3"/>
      <c r="FK844" s="3">
        <v>15</v>
      </c>
      <c r="GF844" s="3">
        <v>30</v>
      </c>
      <c r="HD844" s="3">
        <v>20</v>
      </c>
    </row>
    <row r="845" spans="1:212" x14ac:dyDescent="0.25">
      <c r="A845" s="5" t="s">
        <v>2502</v>
      </c>
      <c r="B845" s="14" t="str">
        <f>VLOOKUP(TAB_ENTRADA[[#This Row],[Cod_2_Entrada]],TAB_ESTOQUE[[Codigo]:[Descrição Tecnica]],6,FALSE)</f>
        <v>PLACA ELETRONICA DO CLP 047-68969390</v>
      </c>
      <c r="C845" s="14">
        <f>IFERROR(VLOOKUP(TAB_ENTRADA[[#This Row],[Cod_2_Entrada]],TAB_ESTOQUE[[Codigo]:[Referência Tec]],7,FALSE),"")</f>
        <v>0</v>
      </c>
      <c r="D845" s="14" t="str">
        <f>VLOOKUP(TAB_ENTRADA[[#This Row],[Cod_2_Entrada]],TAB_ESTOQUE[[Codigo]:[Endereço2]],12,FALSE)</f>
        <v>A1102</v>
      </c>
      <c r="E845" s="14">
        <f>SUM(TAB_ENTRADA[[#This Row],[20/05/2019]:[Colunas1]])</f>
        <v>0</v>
      </c>
      <c r="F845" s="3"/>
      <c r="FK845" s="3">
        <v>0</v>
      </c>
    </row>
    <row r="846" spans="1:212" x14ac:dyDescent="0.25">
      <c r="A846" s="5" t="s">
        <v>2503</v>
      </c>
      <c r="B846" s="14" t="str">
        <f>VLOOKUP(TAB_ENTRADA[[#This Row],[Cod_2_Entrada]],TAB_ESTOQUE[[Codigo]:[Descrição Tecnica]],6,FALSE)</f>
        <v>CABEÇOTE- REF. DHV1218 - 2K</v>
      </c>
      <c r="C846" s="14">
        <f>IFERROR(VLOOKUP(TAB_ENTRADA[[#This Row],[Cod_2_Entrada]],TAB_ESTOQUE[[Codigo]:[Referência Tec]],7,FALSE),"")</f>
        <v>0</v>
      </c>
      <c r="D846" s="14" t="str">
        <f>VLOOKUP(TAB_ENTRADA[[#This Row],[Cod_2_Entrada]],TAB_ESTOQUE[[Codigo]:[Endereço2]],12,FALSE)</f>
        <v>E2103</v>
      </c>
      <c r="E846" s="14">
        <f>SUM(TAB_ENTRADA[[#This Row],[20/05/2019]:[Colunas1]])</f>
        <v>0</v>
      </c>
      <c r="F846" s="3"/>
      <c r="FK846" s="3">
        <v>0</v>
      </c>
    </row>
    <row r="847" spans="1:212" x14ac:dyDescent="0.25">
      <c r="A847" s="5" t="s">
        <v>2504</v>
      </c>
      <c r="B847" s="14" t="str">
        <f>VLOOKUP(TAB_ENTRADA[[#This Row],[Cod_2_Entrada]],TAB_ESTOQUE[[Codigo]:[Descrição Tecnica]],6,FALSE)</f>
        <v>BOMBA DE VACUO MOD: G-BH1 2BH1310-7HH26</v>
      </c>
      <c r="C847" s="14">
        <f>IFERROR(VLOOKUP(TAB_ENTRADA[[#This Row],[Cod_2_Entrada]],TAB_ESTOQUE[[Codigo]:[Referência Tec]],7,FALSE),"")</f>
        <v>0</v>
      </c>
      <c r="D847" s="14" t="str">
        <f>VLOOKUP(TAB_ENTRADA[[#This Row],[Cod_2_Entrada]],TAB_ESTOQUE[[Codigo]:[Endereço2]],12,FALSE)</f>
        <v>E2104</v>
      </c>
      <c r="E847" s="14">
        <f>SUM(TAB_ENTRADA[[#This Row],[20/05/2019]:[Colunas1]])</f>
        <v>0</v>
      </c>
      <c r="F847" s="3"/>
      <c r="FK847" s="3">
        <v>0</v>
      </c>
    </row>
    <row r="848" spans="1:212" x14ac:dyDescent="0.25">
      <c r="A848" s="5" t="s">
        <v>2505</v>
      </c>
      <c r="B848" s="14" t="str">
        <f>VLOOKUP(TAB_ENTRADA[[#This Row],[Cod_2_Entrada]],TAB_ESTOQUE[[Codigo]:[Descrição Tecnica]],6,FALSE)</f>
        <v>AQUECEDOR PARA AGUA (MAPRE)</v>
      </c>
      <c r="C848" s="14">
        <f>IFERROR(VLOOKUP(TAB_ENTRADA[[#This Row],[Cod_2_Entrada]],TAB_ESTOQUE[[Codigo]:[Referência Tec]],7,FALSE),"")</f>
        <v>0</v>
      </c>
      <c r="D848" s="14" t="str">
        <f>VLOOKUP(TAB_ENTRADA[[#This Row],[Cod_2_Entrada]],TAB_ESTOQUE[[Codigo]:[Endereço2]],12,FALSE)</f>
        <v>CORREDOR 5</v>
      </c>
      <c r="E848" s="14">
        <f>SUM(TAB_ENTRADA[[#This Row],[20/05/2019]:[Colunas1]])</f>
        <v>0</v>
      </c>
      <c r="F848" s="3"/>
      <c r="FK848" s="3">
        <v>0</v>
      </c>
    </row>
    <row r="849" spans="1:167" x14ac:dyDescent="0.25">
      <c r="A849" s="5" t="s">
        <v>2506</v>
      </c>
      <c r="B849" s="14" t="str">
        <f>VLOOKUP(TAB_ENTRADA[[#This Row],[Cod_2_Entrada]],TAB_ESTOQUE[[Codigo]:[Descrição Tecnica]],6,FALSE)</f>
        <v xml:space="preserve">NIPLE GALV   (1/2") BSP 280 TUPY  </v>
      </c>
      <c r="C849" s="14">
        <f>IFERROR(VLOOKUP(TAB_ENTRADA[[#This Row],[Cod_2_Entrada]],TAB_ESTOQUE[[Codigo]:[Referência Tec]],7,FALSE),"")</f>
        <v>0</v>
      </c>
      <c r="D849" s="14" t="str">
        <f>VLOOKUP(TAB_ENTRADA[[#This Row],[Cod_2_Entrada]],TAB_ESTOQUE[[Codigo]:[Endereço2]],12,FALSE)</f>
        <v>F2202</v>
      </c>
      <c r="E849" s="14">
        <f>SUM(TAB_ENTRADA[[#This Row],[20/05/2019]:[Colunas1]])</f>
        <v>10</v>
      </c>
      <c r="F849" s="3"/>
      <c r="FK849" s="3">
        <v>10</v>
      </c>
    </row>
    <row r="850" spans="1:167" x14ac:dyDescent="0.25">
      <c r="A850" s="5" t="s">
        <v>2507</v>
      </c>
      <c r="B850" s="14" t="str">
        <f>VLOOKUP(TAB_ENTRADA[[#This Row],[Cod_2_Entrada]],TAB_ESTOQUE[[Codigo]:[Descrição Tecnica]],6,FALSE)</f>
        <v>NIPLE DE 1"</v>
      </c>
      <c r="C850" s="14">
        <f>IFERROR(VLOOKUP(TAB_ENTRADA[[#This Row],[Cod_2_Entrada]],TAB_ESTOQUE[[Codigo]:[Referência Tec]],7,FALSE),"")</f>
        <v>0</v>
      </c>
      <c r="D850" s="14" t="str">
        <f>VLOOKUP(TAB_ENTRADA[[#This Row],[Cod_2_Entrada]],TAB_ESTOQUE[[Codigo]:[Endereço2]],12,FALSE)</f>
        <v>F2202</v>
      </c>
      <c r="E850" s="14">
        <f>SUM(TAB_ENTRADA[[#This Row],[20/05/2019]:[Colunas1]])</f>
        <v>1</v>
      </c>
      <c r="F850" s="3"/>
      <c r="FK850" s="3">
        <v>1</v>
      </c>
    </row>
    <row r="851" spans="1:167" x14ac:dyDescent="0.25">
      <c r="A851" s="5" t="s">
        <v>2508</v>
      </c>
      <c r="B851" s="14" t="str">
        <f>VLOOKUP(TAB_ENTRADA[[#This Row],[Cod_2_Entrada]],TAB_ESTOQUE[[Codigo]:[Descrição Tecnica]],6,FALSE)</f>
        <v>BLOCO DE COMANDO BIMANUAL FESTO - REF. ZSB-1/8-B / COD. 576656 (FESTO)</v>
      </c>
      <c r="C851" s="14">
        <f>IFERROR(VLOOKUP(TAB_ENTRADA[[#This Row],[Cod_2_Entrada]],TAB_ESTOQUE[[Codigo]:[Referência Tec]],7,FALSE),"")</f>
        <v>0</v>
      </c>
      <c r="D851" s="14" t="str">
        <f>VLOOKUP(TAB_ENTRADA[[#This Row],[Cod_2_Entrada]],TAB_ESTOQUE[[Codigo]:[Endereço2]],12,FALSE)</f>
        <v>G1102</v>
      </c>
      <c r="E851" s="14">
        <f>SUM(TAB_ENTRADA[[#This Row],[20/05/2019]:[Colunas1]])</f>
        <v>1</v>
      </c>
      <c r="F851" s="3"/>
      <c r="FK851" s="3">
        <v>1</v>
      </c>
    </row>
    <row r="852" spans="1:167" x14ac:dyDescent="0.25">
      <c r="A852" s="5" t="s">
        <v>2509</v>
      </c>
      <c r="B852" s="14" t="str">
        <f>VLOOKUP(TAB_ENTRADA[[#This Row],[Cod_2_Entrada]],TAB_ESTOQUE[[Codigo]:[Descrição Tecnica]],6,FALSE)</f>
        <v>VÁLVULA REGULADORA DE PRESÃO G1/2 - REF. MS6-LR-1/2-D7-AS / COD. 529993 (FESTO)</v>
      </c>
      <c r="C852" s="14">
        <f>IFERROR(VLOOKUP(TAB_ENTRADA[[#This Row],[Cod_2_Entrada]],TAB_ESTOQUE[[Codigo]:[Referência Tec]],7,FALSE),"")</f>
        <v>0</v>
      </c>
      <c r="D852" s="14" t="str">
        <f>VLOOKUP(TAB_ENTRADA[[#This Row],[Cod_2_Entrada]],TAB_ESTOQUE[[Codigo]:[Endereço2]],12,FALSE)</f>
        <v>G1103</v>
      </c>
      <c r="E852" s="14">
        <f>SUM(TAB_ENTRADA[[#This Row],[20/05/2019]:[Colunas1]])</f>
        <v>0</v>
      </c>
      <c r="F852" s="3"/>
      <c r="FK852" s="3">
        <v>0</v>
      </c>
    </row>
    <row r="853" spans="1:167" x14ac:dyDescent="0.25">
      <c r="A853" s="5" t="s">
        <v>2510</v>
      </c>
      <c r="B853" s="14" t="str">
        <f>VLOOKUP(TAB_ENTRADA[[#This Row],[Cod_2_Entrada]],TAB_ESTOQUE[[Codigo]:[Descrição Tecnica]],6,FALSE)</f>
        <v>TEMPORIZADOR 20..300SEG PNEUMÁTICO FESTO - REF. PZVT-300-SEC / COD. 150239</v>
      </c>
      <c r="C853" s="14">
        <f>IFERROR(VLOOKUP(TAB_ENTRADA[[#This Row],[Cod_2_Entrada]],TAB_ESTOQUE[[Codigo]:[Referência Tec]],7,FALSE),"")</f>
        <v>0</v>
      </c>
      <c r="D853" s="14" t="str">
        <f>VLOOKUP(TAB_ENTRADA[[#This Row],[Cod_2_Entrada]],TAB_ESTOQUE[[Codigo]:[Endereço2]],12,FALSE)</f>
        <v>G1103</v>
      </c>
      <c r="E853" s="14">
        <f>SUM(TAB_ENTRADA[[#This Row],[20/05/2019]:[Colunas1]])</f>
        <v>3</v>
      </c>
      <c r="F853" s="3"/>
      <c r="FK853" s="3">
        <v>3</v>
      </c>
    </row>
    <row r="854" spans="1:167" x14ac:dyDescent="0.25">
      <c r="A854" s="5" t="s">
        <v>2511</v>
      </c>
      <c r="B854" s="14" t="str">
        <f>VLOOKUP(TAB_ENTRADA[[#This Row],[Cod_2_Entrada]],TAB_ESTOQUE[[Codigo]:[Descrição Tecnica]],6,FALSE)</f>
        <v>VÁLVULA PNEUMÁTICA 5/3 VIAS CENTRO FECHADO FESTO - REF. VL-5/3G-3/8-B / COD. 14950 (FESTO)</v>
      </c>
      <c r="C854" s="14">
        <f>IFERROR(VLOOKUP(TAB_ENTRADA[[#This Row],[Cod_2_Entrada]],TAB_ESTOQUE[[Codigo]:[Referência Tec]],7,FALSE),"")</f>
        <v>0</v>
      </c>
      <c r="D854" s="14" t="str">
        <f>VLOOKUP(TAB_ENTRADA[[#This Row],[Cod_2_Entrada]],TAB_ESTOQUE[[Codigo]:[Endereço2]],12,FALSE)</f>
        <v>G1102</v>
      </c>
      <c r="E854" s="14">
        <f>SUM(TAB_ENTRADA[[#This Row],[20/05/2019]:[Colunas1]])</f>
        <v>1</v>
      </c>
      <c r="F854" s="3"/>
      <c r="FK854" s="3">
        <v>1</v>
      </c>
    </row>
    <row r="855" spans="1:167" x14ac:dyDescent="0.25">
      <c r="A855" s="5" t="s">
        <v>2512</v>
      </c>
      <c r="B855" s="14" t="str">
        <f>VLOOKUP(TAB_ENTRADA[[#This Row],[Cod_2_Entrada]],TAB_ESTOQUE[[Codigo]:[Descrição Tecnica]],6,FALSE)</f>
        <v>ATUADOR TIPO SELETOR P/ PAINEL FESTO - REF. N-22-SW / COD. 7803 E602 (FESTO)</v>
      </c>
      <c r="C855" s="14">
        <f>IFERROR(VLOOKUP(TAB_ENTRADA[[#This Row],[Cod_2_Entrada]],TAB_ESTOQUE[[Codigo]:[Referência Tec]],7,FALSE),"")</f>
        <v>0</v>
      </c>
      <c r="D855" s="14" t="str">
        <f>VLOOKUP(TAB_ENTRADA[[#This Row],[Cod_2_Entrada]],TAB_ESTOQUE[[Codigo]:[Endereço2]],12,FALSE)</f>
        <v>G1103</v>
      </c>
      <c r="E855" s="14">
        <f>SUM(TAB_ENTRADA[[#This Row],[20/05/2019]:[Colunas1]])</f>
        <v>0</v>
      </c>
      <c r="F855" s="3"/>
      <c r="FK855" s="3">
        <v>0</v>
      </c>
    </row>
    <row r="856" spans="1:167" x14ac:dyDescent="0.25">
      <c r="A856" s="5" t="s">
        <v>2513</v>
      </c>
      <c r="B856" s="14" t="str">
        <f>VLOOKUP(TAB_ENTRADA[[#This Row],[Cod_2_Entrada]],TAB_ESTOQUE[[Codigo]:[Descrição Tecnica]],6,FALSE)</f>
        <v>VÁVULA PNEUMÁTICA COMPACTA FESTO - REF. J-3-PK-3 / COD. 10772 (FESTO)</v>
      </c>
      <c r="C856" s="14">
        <f>IFERROR(VLOOKUP(TAB_ENTRADA[[#This Row],[Cod_2_Entrada]],TAB_ESTOQUE[[Codigo]:[Referência Tec]],7,FALSE),"")</f>
        <v>0</v>
      </c>
      <c r="D856" s="14" t="str">
        <f>VLOOKUP(TAB_ENTRADA[[#This Row],[Cod_2_Entrada]],TAB_ESTOQUE[[Codigo]:[Endereço2]],12,FALSE)</f>
        <v>G1103</v>
      </c>
      <c r="E856" s="14">
        <f>SUM(TAB_ENTRADA[[#This Row],[20/05/2019]:[Colunas1]])</f>
        <v>3</v>
      </c>
      <c r="F856" s="3"/>
      <c r="FK856" s="3">
        <v>3</v>
      </c>
    </row>
    <row r="857" spans="1:167" x14ac:dyDescent="0.25">
      <c r="A857" s="5" t="s">
        <v>2514</v>
      </c>
      <c r="B857" s="14" t="str">
        <f>VLOOKUP(TAB_ENTRADA[[#This Row],[Cod_2_Entrada]],TAB_ESTOQUE[[Codigo]:[Descrição Tecnica]],6,FALSE)</f>
        <v>VALVULA PNEUMÁTICA 3/2 VIAS FESTO - REF. VL/O-3-1/8-B / COD. 4245 E702 8bar (FESTO)</v>
      </c>
      <c r="C857" s="14">
        <f>IFERROR(VLOOKUP(TAB_ENTRADA[[#This Row],[Cod_2_Entrada]],TAB_ESTOQUE[[Codigo]:[Referência Tec]],7,FALSE),"")</f>
        <v>0</v>
      </c>
      <c r="D857" s="14" t="str">
        <f>VLOOKUP(TAB_ENTRADA[[#This Row],[Cod_2_Entrada]],TAB_ESTOQUE[[Codigo]:[Endereço2]],12,FALSE)</f>
        <v>G1103</v>
      </c>
      <c r="E857" s="14">
        <f>SUM(TAB_ENTRADA[[#This Row],[20/05/2019]:[Colunas1]])</f>
        <v>0</v>
      </c>
      <c r="F857" s="3"/>
      <c r="FK857" s="3">
        <v>0</v>
      </c>
    </row>
    <row r="858" spans="1:167" x14ac:dyDescent="0.25">
      <c r="A858" s="5" t="s">
        <v>2515</v>
      </c>
      <c r="B858" s="14" t="str">
        <f>VLOOKUP(TAB_ENTRADA[[#This Row],[Cod_2_Entrada]],TAB_ESTOQUE[[Codigo]:[Descrição Tecnica]],6,FALSE)</f>
        <v>VÁLVULA PNEUMÁTICA 5/3 VIAS CENTRO FECHADO FESTO - REF. VL-5/3G-D-3-C / COD. 151867 E743 (FESTO)</v>
      </c>
      <c r="C858" s="14">
        <f>IFERROR(VLOOKUP(TAB_ENTRADA[[#This Row],[Cod_2_Entrada]],TAB_ESTOQUE[[Codigo]:[Referência Tec]],7,FALSE),"")</f>
        <v>0</v>
      </c>
      <c r="D858" s="14" t="str">
        <f>VLOOKUP(TAB_ENTRADA[[#This Row],[Cod_2_Entrada]],TAB_ESTOQUE[[Codigo]:[Endereço2]],12,FALSE)</f>
        <v>G1103</v>
      </c>
      <c r="E858" s="14">
        <f>SUM(TAB_ENTRADA[[#This Row],[20/05/2019]:[Colunas1]])</f>
        <v>1</v>
      </c>
      <c r="F858" s="3"/>
      <c r="FK858" s="3">
        <v>1</v>
      </c>
    </row>
    <row r="859" spans="1:167" x14ac:dyDescent="0.25">
      <c r="A859" s="5" t="s">
        <v>2516</v>
      </c>
      <c r="B859" s="14" t="str">
        <f>VLOOKUP(TAB_ENTRADA[[#This Row],[Cod_2_Entrada]],TAB_ESTOQUE[[Codigo]:[Descrição Tecnica]],6,FALSE)</f>
        <v>BLOCO LÓGICO "E" PNEUMÁTICO - REF. ZK-PK-3-6/3 / COD. 4204 (FESTO)</v>
      </c>
      <c r="C859" s="14">
        <f>IFERROR(VLOOKUP(TAB_ENTRADA[[#This Row],[Cod_2_Entrada]],TAB_ESTOQUE[[Codigo]:[Referência Tec]],7,FALSE),"")</f>
        <v>0</v>
      </c>
      <c r="D859" s="14" t="str">
        <f>VLOOKUP(TAB_ENTRADA[[#This Row],[Cod_2_Entrada]],TAB_ESTOQUE[[Codigo]:[Endereço2]],12,FALSE)</f>
        <v>G1103</v>
      </c>
      <c r="E859" s="14">
        <f>SUM(TAB_ENTRADA[[#This Row],[20/05/2019]:[Colunas1]])</f>
        <v>4</v>
      </c>
      <c r="F859" s="3"/>
      <c r="FK859" s="3">
        <v>4</v>
      </c>
    </row>
    <row r="860" spans="1:167" x14ac:dyDescent="0.25">
      <c r="A860" s="5" t="s">
        <v>2517</v>
      </c>
      <c r="B860" s="14" t="str">
        <f>VLOOKUP(TAB_ENTRADA[[#This Row],[Cod_2_Entrada]],TAB_ESTOQUE[[Codigo]:[Descrição Tecnica]],6,FALSE)</f>
        <v>VÁLVULA PNEUMÁTICA 3/2 VIAS NORM. ABERTA FESTO - REF. VL/O-3-PK-3x2 / COD. 151863 E643 (FESTO)</v>
      </c>
      <c r="C860" s="14">
        <f>IFERROR(VLOOKUP(TAB_ENTRADA[[#This Row],[Cod_2_Entrada]],TAB_ESTOQUE[[Codigo]:[Referência Tec]],7,FALSE),"")</f>
        <v>0</v>
      </c>
      <c r="D860" s="14" t="str">
        <f>VLOOKUP(TAB_ENTRADA[[#This Row],[Cod_2_Entrada]],TAB_ESTOQUE[[Codigo]:[Endereço2]],12,FALSE)</f>
        <v>G1103</v>
      </c>
      <c r="E860" s="14">
        <f>SUM(TAB_ENTRADA[[#This Row],[20/05/2019]:[Colunas1]])</f>
        <v>0</v>
      </c>
      <c r="F860" s="3"/>
      <c r="FK860" s="3">
        <v>0</v>
      </c>
    </row>
    <row r="861" spans="1:167" x14ac:dyDescent="0.25">
      <c r="A861" s="5" t="s">
        <v>2518</v>
      </c>
      <c r="B861" s="14" t="str">
        <f>VLOOKUP(TAB_ENTRADA[[#This Row],[Cod_2_Entrada]],TAB_ESTOQUE[[Codigo]:[Descrição Tecnica]],6,FALSE)</f>
        <v>BLOCO DISTRIBUIDOR 12 SAÍDAS  - REF. FR-12-PK-3-B / COD. 8761 (FESTO)</v>
      </c>
      <c r="C861" s="14">
        <f>IFERROR(VLOOKUP(TAB_ENTRADA[[#This Row],[Cod_2_Entrada]],TAB_ESTOQUE[[Codigo]:[Referência Tec]],7,FALSE),"")</f>
        <v>0</v>
      </c>
      <c r="D861" s="14" t="str">
        <f>VLOOKUP(TAB_ENTRADA[[#This Row],[Cod_2_Entrada]],TAB_ESTOQUE[[Codigo]:[Endereço2]],12,FALSE)</f>
        <v>G1103</v>
      </c>
      <c r="E861" s="14">
        <f>SUM(TAB_ENTRADA[[#This Row],[20/05/2019]:[Colunas1]])</f>
        <v>1</v>
      </c>
      <c r="F861" s="3"/>
      <c r="FK861" s="3">
        <v>1</v>
      </c>
    </row>
    <row r="862" spans="1:167" x14ac:dyDescent="0.25">
      <c r="A862" s="5" t="s">
        <v>2519</v>
      </c>
      <c r="B862" s="14" t="str">
        <f>VLOOKUP(TAB_ENTRADA[[#This Row],[Cod_2_Entrada]],TAB_ESTOQUE[[Codigo]:[Descrição Tecnica]],6,FALSE)</f>
        <v>VÁLVULA DE RETENÇÃO PILOTADA ROSCA G1/2 TUBO 12MM FESTO - REF. HGL-1/2-QS-12 / COD. 530045</v>
      </c>
      <c r="C862" s="14">
        <f>IFERROR(VLOOKUP(TAB_ENTRADA[[#This Row],[Cod_2_Entrada]],TAB_ESTOQUE[[Codigo]:[Referência Tec]],7,FALSE),"")</f>
        <v>0</v>
      </c>
      <c r="D862" s="14" t="str">
        <f>VLOOKUP(TAB_ENTRADA[[#This Row],[Cod_2_Entrada]],TAB_ESTOQUE[[Codigo]:[Endereço2]],12,FALSE)</f>
        <v>G1103</v>
      </c>
      <c r="E862" s="14">
        <f>SUM(TAB_ENTRADA[[#This Row],[20/05/2019]:[Colunas1]])</f>
        <v>5</v>
      </c>
      <c r="F862" s="3"/>
      <c r="FK862" s="3">
        <v>5</v>
      </c>
    </row>
    <row r="863" spans="1:167" x14ac:dyDescent="0.25">
      <c r="A863" s="5" t="s">
        <v>2520</v>
      </c>
      <c r="B863" s="14" t="str">
        <f>VLOOKUP(TAB_ENTRADA[[#This Row],[Cod_2_Entrada]],TAB_ESTOQUE[[Codigo]:[Descrição Tecnica]],6,FALSE)</f>
        <v>CONJUNTO BARREIRA DE LUZ SICK C400 GUEST (C46E-0403CT400) (C465-0403CT400)</v>
      </c>
      <c r="C863" s="14">
        <f>IFERROR(VLOOKUP(TAB_ENTRADA[[#This Row],[Cod_2_Entrada]],TAB_ESTOQUE[[Codigo]:[Referência Tec]],7,FALSE),"")</f>
        <v>0</v>
      </c>
      <c r="D863" s="14" t="str">
        <f>VLOOKUP(TAB_ENTRADA[[#This Row],[Cod_2_Entrada]],TAB_ESTOQUE[[Codigo]:[Endereço2]],12,FALSE)</f>
        <v>B1101</v>
      </c>
      <c r="E863" s="14">
        <f>SUM(TAB_ENTRADA[[#This Row],[20/05/2019]:[Colunas1]])</f>
        <v>1</v>
      </c>
      <c r="F863" s="3"/>
      <c r="FK863" s="3">
        <v>1</v>
      </c>
    </row>
    <row r="864" spans="1:167" x14ac:dyDescent="0.25">
      <c r="A864" s="5" t="s">
        <v>2521</v>
      </c>
      <c r="B864" s="14" t="str">
        <f>VLOOKUP(TAB_ENTRADA[[#This Row],[Cod_2_Entrada]],TAB_ESTOQUE[[Codigo]:[Descrição Tecnica]],6,FALSE)</f>
        <v>MOTOR MEZ 230/400V</v>
      </c>
      <c r="C864" s="14">
        <f>IFERROR(VLOOKUP(TAB_ENTRADA[[#This Row],[Cod_2_Entrada]],TAB_ESTOQUE[[Codigo]:[Referência Tec]],7,FALSE),"")</f>
        <v>0</v>
      </c>
      <c r="D864" s="14" t="str">
        <f>VLOOKUP(TAB_ENTRADA[[#This Row],[Cod_2_Entrada]],TAB_ESTOQUE[[Codigo]:[Endereço2]],12,FALSE)</f>
        <v>F1304</v>
      </c>
      <c r="E864" s="14">
        <f>SUM(TAB_ENTRADA[[#This Row],[20/05/2019]:[Colunas1]])</f>
        <v>1</v>
      </c>
      <c r="F864" s="3"/>
      <c r="FK864" s="3">
        <v>1</v>
      </c>
    </row>
    <row r="865" spans="1:193" x14ac:dyDescent="0.25">
      <c r="A865" s="5" t="s">
        <v>2522</v>
      </c>
      <c r="B865" s="14" t="str">
        <f>VLOOKUP(TAB_ENTRADA[[#This Row],[Cod_2_Entrada]],TAB_ESTOQUE[[Codigo]:[Descrição Tecnica]],6,FALSE)</f>
        <v>GRAXA MULTIFAK EP2</v>
      </c>
      <c r="C865" s="14">
        <f>IFERROR(VLOOKUP(TAB_ENTRADA[[#This Row],[Cod_2_Entrada]],TAB_ESTOQUE[[Codigo]:[Referência Tec]],7,FALSE),"")</f>
        <v>0</v>
      </c>
      <c r="D865" s="14" t="str">
        <f>VLOOKUP(TAB_ENTRADA[[#This Row],[Cod_2_Entrada]],TAB_ESTOQUE[[Codigo]:[Endereço2]],12,FALSE)</f>
        <v>QUIMICO</v>
      </c>
      <c r="E865" s="14">
        <f>SUM(TAB_ENTRADA[[#This Row],[20/05/2019]:[Colunas1]])</f>
        <v>3</v>
      </c>
      <c r="F865" s="3"/>
      <c r="FK865" s="3">
        <v>3</v>
      </c>
    </row>
    <row r="866" spans="1:193" x14ac:dyDescent="0.25">
      <c r="A866" s="5" t="s">
        <v>2523</v>
      </c>
      <c r="B866" s="14" t="str">
        <f>VLOOKUP(TAB_ENTRADA[[#This Row],[Cod_2_Entrada]],TAB_ESTOQUE[[Codigo]:[Descrição Tecnica]],6,FALSE)</f>
        <v>ÓLEO HIDRAULICO HLP 68 DENSIDADE 68</v>
      </c>
      <c r="C866" s="14">
        <f>IFERROR(VLOOKUP(TAB_ENTRADA[[#This Row],[Cod_2_Entrada]],TAB_ESTOQUE[[Codigo]:[Referência Tec]],7,FALSE),"")</f>
        <v>0</v>
      </c>
      <c r="D866" s="14" t="str">
        <f>VLOOKUP(TAB_ENTRADA[[#This Row],[Cod_2_Entrada]],TAB_ESTOQUE[[Codigo]:[Endereço2]],12,FALSE)</f>
        <v>QUIMICO</v>
      </c>
      <c r="E866" s="14">
        <f>SUM(TAB_ENTRADA[[#This Row],[20/05/2019]:[Colunas1]])</f>
        <v>400</v>
      </c>
      <c r="F866" s="3"/>
      <c r="GK866" s="3">
        <v>400</v>
      </c>
    </row>
    <row r="867" spans="1:193" x14ac:dyDescent="0.25">
      <c r="A867" s="5" t="s">
        <v>2524</v>
      </c>
      <c r="B867" s="14" t="str">
        <f>VLOOKUP(TAB_ENTRADA[[#This Row],[Cod_2_Entrada]],TAB_ESTOQUE[[Codigo]:[Descrição Tecnica]],6,FALSE)</f>
        <v xml:space="preserve">OLEO PNEUMATICO MOBIL UNILUB-10 S10 </v>
      </c>
      <c r="C867" s="14">
        <f>IFERROR(VLOOKUP(TAB_ENTRADA[[#This Row],[Cod_2_Entrada]],TAB_ESTOQUE[[Codigo]:[Referência Tec]],7,FALSE),"")</f>
        <v>0</v>
      </c>
      <c r="D867" s="14" t="str">
        <f>VLOOKUP(TAB_ENTRADA[[#This Row],[Cod_2_Entrada]],TAB_ESTOQUE[[Codigo]:[Endereço2]],12,FALSE)</f>
        <v>QUIMICO</v>
      </c>
      <c r="E867" s="14">
        <f>SUM(TAB_ENTRADA[[#This Row],[20/05/2019]:[Colunas1]])</f>
        <v>160</v>
      </c>
      <c r="F867" s="3"/>
      <c r="FK867" s="3">
        <v>160</v>
      </c>
    </row>
    <row r="868" spans="1:193" x14ac:dyDescent="0.25">
      <c r="A868" s="5" t="s">
        <v>2525</v>
      </c>
      <c r="B868" s="14" t="str">
        <f>VLOOKUP(TAB_ENTRADA[[#This Row],[Cod_2_Entrada]],TAB_ESTOQUE[[Codigo]:[Descrição Tecnica]],6,FALSE)</f>
        <v>OELO SAE 140</v>
      </c>
      <c r="C868" s="14">
        <f>IFERROR(VLOOKUP(TAB_ENTRADA[[#This Row],[Cod_2_Entrada]],TAB_ESTOQUE[[Codigo]:[Referência Tec]],7,FALSE),"")</f>
        <v>0</v>
      </c>
      <c r="D868" s="14" t="str">
        <f>VLOOKUP(TAB_ENTRADA[[#This Row],[Cod_2_Entrada]],TAB_ESTOQUE[[Codigo]:[Endereço2]],12,FALSE)</f>
        <v>QUIMICO</v>
      </c>
      <c r="E868" s="14">
        <f>SUM(TAB_ENTRADA[[#This Row],[20/05/2019]:[Colunas1]])</f>
        <v>159</v>
      </c>
      <c r="F868" s="3">
        <v>140</v>
      </c>
      <c r="FK868" s="3">
        <v>19</v>
      </c>
    </row>
    <row r="869" spans="1:193" x14ac:dyDescent="0.25">
      <c r="A869" s="5" t="s">
        <v>2526</v>
      </c>
      <c r="B869" s="14" t="str">
        <f>VLOOKUP(TAB_ENTRADA[[#This Row],[Cod_2_Entrada]],TAB_ESTOQUE[[Codigo]:[Descrição Tecnica]],6,FALSE)</f>
        <v>ÓLEO TERMICO TAMBOR 200L DENSIDADE 100/1200</v>
      </c>
      <c r="C869" s="14">
        <f>IFERROR(VLOOKUP(TAB_ENTRADA[[#This Row],[Cod_2_Entrada]],TAB_ESTOQUE[[Codigo]:[Referência Tec]],7,FALSE),"")</f>
        <v>0</v>
      </c>
      <c r="D869" s="14" t="str">
        <f>VLOOKUP(TAB_ENTRADA[[#This Row],[Cod_2_Entrada]],TAB_ESTOQUE[[Codigo]:[Endereço2]],12,FALSE)</f>
        <v>QUIMICO</v>
      </c>
      <c r="E869" s="14">
        <f>SUM(TAB_ENTRADA[[#This Row],[20/05/2019]:[Colunas1]])</f>
        <v>600</v>
      </c>
      <c r="F869" s="3"/>
      <c r="FK869" s="3">
        <v>600</v>
      </c>
    </row>
    <row r="870" spans="1:193" x14ac:dyDescent="0.25">
      <c r="A870" s="5" t="s">
        <v>2527</v>
      </c>
      <c r="B870" s="14" t="str">
        <f>VLOOKUP(TAB_ENTRADA[[#This Row],[Cod_2_Entrada]],TAB_ESTOQUE[[Codigo]:[Descrição Tecnica]],6,FALSE)</f>
        <v xml:space="preserve">MANGUERIA EM ACO 3/8 700mm </v>
      </c>
      <c r="C870" s="14">
        <f>IFERROR(VLOOKUP(TAB_ENTRADA[[#This Row],[Cod_2_Entrada]],TAB_ESTOQUE[[Codigo]:[Referência Tec]],7,FALSE),"")</f>
        <v>0</v>
      </c>
      <c r="D870" s="14" t="str">
        <f>VLOOKUP(TAB_ENTRADA[[#This Row],[Cod_2_Entrada]],TAB_ESTOQUE[[Codigo]:[Endereço2]],12,FALSE)</f>
        <v>S602</v>
      </c>
      <c r="E870" s="14">
        <f>SUM(TAB_ENTRADA[[#This Row],[20/05/2019]:[Colunas1]])</f>
        <v>0</v>
      </c>
      <c r="F870" s="3"/>
      <c r="FK870" s="3">
        <v>0</v>
      </c>
    </row>
    <row r="871" spans="1:193" x14ac:dyDescent="0.25">
      <c r="A871" s="5" t="s">
        <v>2528</v>
      </c>
      <c r="B871" s="14" t="str">
        <f>VLOOKUP(TAB_ENTRADA[[#This Row],[Cod_2_Entrada]],TAB_ESTOQUE[[Codigo]:[Descrição Tecnica]],6,FALSE)</f>
        <v>MANGUEIRA TEFLON 6MM</v>
      </c>
      <c r="C871" s="14">
        <f>IFERROR(VLOOKUP(TAB_ENTRADA[[#This Row],[Cod_2_Entrada]],TAB_ESTOQUE[[Codigo]:[Referência Tec]],7,FALSE),"")</f>
        <v>0</v>
      </c>
      <c r="D871" s="14" t="str">
        <f>VLOOKUP(TAB_ENTRADA[[#This Row],[Cod_2_Entrada]],TAB_ESTOQUE[[Codigo]:[Endereço2]],12,FALSE)</f>
        <v>S201</v>
      </c>
      <c r="E871" s="14">
        <f>SUM(TAB_ENTRADA[[#This Row],[20/05/2019]:[Colunas1]])</f>
        <v>20</v>
      </c>
      <c r="F871" s="3"/>
      <c r="FK871" s="3">
        <v>20</v>
      </c>
    </row>
    <row r="872" spans="1:193" x14ac:dyDescent="0.25">
      <c r="A872" s="5" t="s">
        <v>2529</v>
      </c>
      <c r="B872" s="14" t="str">
        <f>VLOOKUP(TAB_ENTRADA[[#This Row],[Cod_2_Entrada]],TAB_ESTOQUE[[Codigo]:[Descrição Tecnica]],6,FALSE)</f>
        <v xml:space="preserve">MANGUEIRA ALTA PRESSAO 100mm 1/2 </v>
      </c>
      <c r="C872" s="14">
        <f>IFERROR(VLOOKUP(TAB_ENTRADA[[#This Row],[Cod_2_Entrada]],TAB_ESTOQUE[[Codigo]:[Referência Tec]],7,FALSE),"")</f>
        <v>0</v>
      </c>
      <c r="D872" s="14" t="str">
        <f>VLOOKUP(TAB_ENTRADA[[#This Row],[Cod_2_Entrada]],TAB_ESTOQUE[[Codigo]:[Endereço2]],12,FALSE)</f>
        <v>S603</v>
      </c>
      <c r="E872" s="14">
        <f>SUM(TAB_ENTRADA[[#This Row],[20/05/2019]:[Colunas1]])</f>
        <v>0</v>
      </c>
      <c r="F872" s="3"/>
      <c r="FK872" s="3">
        <v>0</v>
      </c>
    </row>
    <row r="873" spans="1:193" x14ac:dyDescent="0.25">
      <c r="A873" s="5" t="s">
        <v>2530</v>
      </c>
      <c r="B873" s="14" t="str">
        <f>VLOOKUP(TAB_ENTRADA[[#This Row],[Cod_2_Entrada]],TAB_ESTOQUE[[Codigo]:[Descrição Tecnica]],6,FALSE)</f>
        <v>MANGUEIRA DE ALTA PRESSAO 1/2POL 1500MM</v>
      </c>
      <c r="C873" s="14">
        <f>IFERROR(VLOOKUP(TAB_ENTRADA[[#This Row],[Cod_2_Entrada]],TAB_ESTOQUE[[Codigo]:[Referência Tec]],7,FALSE),"")</f>
        <v>0</v>
      </c>
      <c r="D873" s="14" t="str">
        <f>VLOOKUP(TAB_ENTRADA[[#This Row],[Cod_2_Entrada]],TAB_ESTOQUE[[Codigo]:[Endereço2]],12,FALSE)</f>
        <v>S603</v>
      </c>
      <c r="E873" s="14">
        <f>SUM(TAB_ENTRADA[[#This Row],[20/05/2019]:[Colunas1]])</f>
        <v>2</v>
      </c>
      <c r="F873" s="3"/>
      <c r="FK873" s="3">
        <v>2</v>
      </c>
    </row>
    <row r="874" spans="1:193" x14ac:dyDescent="0.25">
      <c r="A874" s="5" t="s">
        <v>2531</v>
      </c>
      <c r="B874" s="14" t="str">
        <f>VLOOKUP(TAB_ENTRADA[[#This Row],[Cod_2_Entrada]],TAB_ESTOQUE[[Codigo]:[Descrição Tecnica]],6,FALSE)</f>
        <v>MANGUEIRA TEFLON REVESTIMENTO ACO 1/4 BSP 1000MM RABICHO</v>
      </c>
      <c r="C874" s="14">
        <f>IFERROR(VLOOKUP(TAB_ENTRADA[[#This Row],[Cod_2_Entrada]],TAB_ESTOQUE[[Codigo]:[Referência Tec]],7,FALSE),"")</f>
        <v>0</v>
      </c>
      <c r="D874" s="14" t="str">
        <f>VLOOKUP(TAB_ENTRADA[[#This Row],[Cod_2_Entrada]],TAB_ESTOQUE[[Codigo]:[Endereço2]],12,FALSE)</f>
        <v>S602</v>
      </c>
      <c r="E874" s="14">
        <f>SUM(TAB_ENTRADA[[#This Row],[20/05/2019]:[Colunas1]])</f>
        <v>6</v>
      </c>
      <c r="F874" s="3"/>
      <c r="FK874" s="3">
        <v>6</v>
      </c>
    </row>
    <row r="875" spans="1:193" x14ac:dyDescent="0.25">
      <c r="A875" s="5" t="s">
        <v>2532</v>
      </c>
      <c r="B875" s="14" t="str">
        <f>VLOOKUP(TAB_ENTRADA[[#This Row],[Cod_2_Entrada]],TAB_ESTOQUE[[Codigo]:[Descrição Tecnica]],6,FALSE)</f>
        <v>MANGUEIRA TEFLON REVESTIMENTO ACO 1000mm  1/4</v>
      </c>
      <c r="C875" s="14">
        <f>IFERROR(VLOOKUP(TAB_ENTRADA[[#This Row],[Cod_2_Entrada]],TAB_ESTOQUE[[Codigo]:[Referência Tec]],7,FALSE),"")</f>
        <v>0</v>
      </c>
      <c r="D875" s="14" t="str">
        <f>VLOOKUP(TAB_ENTRADA[[#This Row],[Cod_2_Entrada]],TAB_ESTOQUE[[Codigo]:[Endereço2]],12,FALSE)</f>
        <v>S602</v>
      </c>
      <c r="E875" s="14">
        <f>SUM(TAB_ENTRADA[[#This Row],[20/05/2019]:[Colunas1]])</f>
        <v>0</v>
      </c>
      <c r="F875" s="3"/>
      <c r="FK875" s="3">
        <v>0</v>
      </c>
    </row>
    <row r="876" spans="1:193" x14ac:dyDescent="0.25">
      <c r="A876" s="5" t="s">
        <v>2533</v>
      </c>
      <c r="B876" s="14" t="str">
        <f>VLOOKUP(TAB_ENTRADA[[#This Row],[Cod_2_Entrada]],TAB_ESTOQUE[[Codigo]:[Descrição Tecnica]],6,FALSE)</f>
        <v xml:space="preserve">MANGUEIRA TEFLON REVESTIMENTO ACO 1000mm  </v>
      </c>
      <c r="C876" s="14">
        <f>IFERROR(VLOOKUP(TAB_ENTRADA[[#This Row],[Cod_2_Entrada]],TAB_ESTOQUE[[Codigo]:[Referência Tec]],7,FALSE),"")</f>
        <v>0</v>
      </c>
      <c r="D876" s="14" t="str">
        <f>VLOOKUP(TAB_ENTRADA[[#This Row],[Cod_2_Entrada]],TAB_ESTOQUE[[Codigo]:[Endereço2]],12,FALSE)</f>
        <v>S602</v>
      </c>
      <c r="E876" s="14">
        <f>SUM(TAB_ENTRADA[[#This Row],[20/05/2019]:[Colunas1]])</f>
        <v>0</v>
      </c>
      <c r="F876" s="3"/>
      <c r="FK876" s="3">
        <v>0</v>
      </c>
    </row>
    <row r="877" spans="1:193" x14ac:dyDescent="0.25">
      <c r="A877" s="5" t="s">
        <v>2534</v>
      </c>
      <c r="B877" s="14" t="str">
        <f>VLOOKUP(TAB_ENTRADA[[#This Row],[Cod_2_Entrada]],TAB_ESTOQUE[[Codigo]:[Descrição Tecnica]],6,FALSE)</f>
        <v xml:space="preserve">MANGUEIRA TEFLON REVESTIMENTO DE ACO JIT 3/4POL 1500MM </v>
      </c>
      <c r="C877" s="14">
        <f>IFERROR(VLOOKUP(TAB_ENTRADA[[#This Row],[Cod_2_Entrada]],TAB_ESTOQUE[[Codigo]:[Referência Tec]],7,FALSE),"")</f>
        <v>0</v>
      </c>
      <c r="D877" s="14" t="str">
        <f>VLOOKUP(TAB_ENTRADA[[#This Row],[Cod_2_Entrada]],TAB_ESTOQUE[[Codigo]:[Endereço2]],12,FALSE)</f>
        <v>S601</v>
      </c>
      <c r="E877" s="14">
        <f>SUM(TAB_ENTRADA[[#This Row],[20/05/2019]:[Colunas1]])</f>
        <v>0</v>
      </c>
      <c r="F877" s="3"/>
      <c r="FK877" s="3">
        <v>0</v>
      </c>
    </row>
    <row r="878" spans="1:193" x14ac:dyDescent="0.25">
      <c r="A878" s="5" t="s">
        <v>2535</v>
      </c>
      <c r="B878" s="14" t="str">
        <f>VLOOKUP(TAB_ENTRADA[[#This Row],[Cod_2_Entrada]],TAB_ESTOQUE[[Codigo]:[Descrição Tecnica]],6,FALSE)</f>
        <v>MANGUEIRA HIDRÁULICA DE ALTA PRESSÃO 5/8"</v>
      </c>
      <c r="C878" s="14">
        <f>IFERROR(VLOOKUP(TAB_ENTRADA[[#This Row],[Cod_2_Entrada]],TAB_ESTOQUE[[Codigo]:[Referência Tec]],7,FALSE),"")</f>
        <v>0</v>
      </c>
      <c r="D878" s="14" t="str">
        <f>VLOOKUP(TAB_ENTRADA[[#This Row],[Cod_2_Entrada]],TAB_ESTOQUE[[Codigo]:[Endereço2]],12,FALSE)</f>
        <v>S502</v>
      </c>
      <c r="E878" s="14">
        <f>SUM(TAB_ENTRADA[[#This Row],[20/05/2019]:[Colunas1]])</f>
        <v>0</v>
      </c>
      <c r="F878" s="3"/>
      <c r="FK878" s="3">
        <v>0</v>
      </c>
    </row>
    <row r="879" spans="1:193" x14ac:dyDescent="0.25">
      <c r="A879" s="5" t="s">
        <v>2536</v>
      </c>
      <c r="B879" s="14" t="str">
        <f>VLOOKUP(TAB_ENTRADA[[#This Row],[Cod_2_Entrada]],TAB_ESTOQUE[[Codigo]:[Descrição Tecnica]],6,FALSE)</f>
        <v>MANGUEIRA PNEUMATICA DE POLIURETANO TUBO 4MM EXTER AZUL ACIMA DE 10 bar</v>
      </c>
      <c r="C879" s="14">
        <f>IFERROR(VLOOKUP(TAB_ENTRADA[[#This Row],[Cod_2_Entrada]],TAB_ESTOQUE[[Codigo]:[Referência Tec]],7,FALSE),"")</f>
        <v>0</v>
      </c>
      <c r="D879" s="14" t="str">
        <f>VLOOKUP(TAB_ENTRADA[[#This Row],[Cod_2_Entrada]],TAB_ESTOQUE[[Codigo]:[Endereço2]],12,FALSE)</f>
        <v>S202</v>
      </c>
      <c r="E879" s="14">
        <f>SUM(TAB_ENTRADA[[#This Row],[20/05/2019]:[Colunas1]])</f>
        <v>100</v>
      </c>
      <c r="F879" s="3"/>
      <c r="FK879" s="3">
        <v>100</v>
      </c>
    </row>
    <row r="880" spans="1:193" x14ac:dyDescent="0.25">
      <c r="A880" s="5" t="s">
        <v>2537</v>
      </c>
      <c r="B880" s="14" t="str">
        <f>VLOOKUP(TAB_ENTRADA[[#This Row],[Cod_2_Entrada]],TAB_ESTOQUE[[Codigo]:[Descrição Tecnica]],6,FALSE)</f>
        <v>MANGUEIRA PNEUMATICA DE POLIURETANO TUBO 8MM EXTER AZUL ACIMA DE 10 bar</v>
      </c>
      <c r="C880" s="14">
        <f>IFERROR(VLOOKUP(TAB_ENTRADA[[#This Row],[Cod_2_Entrada]],TAB_ESTOQUE[[Codigo]:[Referência Tec]],7,FALSE),"")</f>
        <v>0</v>
      </c>
      <c r="D880" s="14" t="str">
        <f>VLOOKUP(TAB_ENTRADA[[#This Row],[Cod_2_Entrada]],TAB_ESTOQUE[[Codigo]:[Endereço2]],12,FALSE)</f>
        <v>S103</v>
      </c>
      <c r="E880" s="14">
        <f>SUM(TAB_ENTRADA[[#This Row],[20/05/2019]:[Colunas1]])</f>
        <v>100</v>
      </c>
      <c r="F880" s="3"/>
      <c r="FK880" s="3">
        <v>100</v>
      </c>
    </row>
    <row r="881" spans="1:167" x14ac:dyDescent="0.25">
      <c r="A881" s="5" t="s">
        <v>2538</v>
      </c>
      <c r="B881" s="14" t="str">
        <f>VLOOKUP(TAB_ENTRADA[[#This Row],[Cod_2_Entrada]],TAB_ESTOQUE[[Codigo]:[Descrição Tecnica]],6,FALSE)</f>
        <v>MANGUEIRA PNEUMATICA DE POLIURETANO TUBO 12MM EXTER AZUL ACIMA DE 10 bar</v>
      </c>
      <c r="C881" s="14">
        <f>IFERROR(VLOOKUP(TAB_ENTRADA[[#This Row],[Cod_2_Entrada]],TAB_ESTOQUE[[Codigo]:[Referência Tec]],7,FALSE),"")</f>
        <v>0</v>
      </c>
      <c r="D881" s="14" t="str">
        <f>VLOOKUP(TAB_ENTRADA[[#This Row],[Cod_2_Entrada]],TAB_ESTOQUE[[Codigo]:[Endereço2]],12,FALSE)</f>
        <v>S101</v>
      </c>
      <c r="E881" s="14">
        <f>SUM(TAB_ENTRADA[[#This Row],[20/05/2019]:[Colunas1]])</f>
        <v>150</v>
      </c>
      <c r="F881" s="3"/>
      <c r="FK881" s="3">
        <v>150</v>
      </c>
    </row>
    <row r="882" spans="1:167" x14ac:dyDescent="0.25">
      <c r="A882" s="5" t="s">
        <v>2539</v>
      </c>
      <c r="B882" s="14" t="str">
        <f>VLOOKUP(TAB_ENTRADA[[#This Row],[Cod_2_Entrada]],TAB_ESTOQUE[[Codigo]:[Descrição Tecnica]],6,FALSE)</f>
        <v>MANGUEIRA TERMOPLASTICA  3/8' 2500MM</v>
      </c>
      <c r="C882" s="14">
        <f>IFERROR(VLOOKUP(TAB_ENTRADA[[#This Row],[Cod_2_Entrada]],TAB_ESTOQUE[[Codigo]:[Referência Tec]],7,FALSE),"")</f>
        <v>0</v>
      </c>
      <c r="D882" s="14" t="str">
        <f>VLOOKUP(TAB_ENTRADA[[#This Row],[Cod_2_Entrada]],TAB_ESTOQUE[[Codigo]:[Endereço2]],12,FALSE)</f>
        <v>CAIXA</v>
      </c>
      <c r="E882" s="14">
        <f>SUM(TAB_ENTRADA[[#This Row],[20/05/2019]:[Colunas1]])</f>
        <v>10</v>
      </c>
      <c r="F882" s="3"/>
      <c r="FK882" s="3">
        <v>10</v>
      </c>
    </row>
    <row r="883" spans="1:167" x14ac:dyDescent="0.25">
      <c r="A883" s="5" t="s">
        <v>2540</v>
      </c>
      <c r="B883" s="14" t="str">
        <f>VLOOKUP(TAB_ENTRADA[[#This Row],[Cod_2_Entrada]],TAB_ESTOQUE[[Codigo]:[Descrição Tecnica]],6,FALSE)</f>
        <v>MANGUEIRA HIDRAULICA 1/4  2M BSP</v>
      </c>
      <c r="C883" s="14">
        <f>IFERROR(VLOOKUP(TAB_ENTRADA[[#This Row],[Cod_2_Entrada]],TAB_ESTOQUE[[Codigo]:[Referência Tec]],7,FALSE),"")</f>
        <v>0</v>
      </c>
      <c r="D883" s="14" t="str">
        <f>VLOOKUP(TAB_ENTRADA[[#This Row],[Cod_2_Entrada]],TAB_ESTOQUE[[Codigo]:[Endereço2]],12,FALSE)</f>
        <v>CAIXA</v>
      </c>
      <c r="E883" s="14">
        <f>SUM(TAB_ENTRADA[[#This Row],[20/05/2019]:[Colunas1]])</f>
        <v>9</v>
      </c>
      <c r="F883" s="3"/>
      <c r="FK883" s="3">
        <v>9</v>
      </c>
    </row>
    <row r="884" spans="1:167" x14ac:dyDescent="0.25">
      <c r="A884" s="5" t="s">
        <v>2541</v>
      </c>
      <c r="B884" s="14" t="str">
        <f>VLOOKUP(TAB_ENTRADA[[#This Row],[Cod_2_Entrada]],TAB_ESTOQUE[[Codigo]:[Descrição Tecnica]],6,FALSE)</f>
        <v>MANGUEIRA HIDRAULICA 1000MM   1/4"  3250PSI</v>
      </c>
      <c r="C884" s="14">
        <f>IFERROR(VLOOKUP(TAB_ENTRADA[[#This Row],[Cod_2_Entrada]],TAB_ESTOQUE[[Codigo]:[Referência Tec]],7,FALSE),"")</f>
        <v>0</v>
      </c>
      <c r="D884" s="14" t="str">
        <f>VLOOKUP(TAB_ENTRADA[[#This Row],[Cod_2_Entrada]],TAB_ESTOQUE[[Codigo]:[Endereço2]],12,FALSE)</f>
        <v>CAIXA</v>
      </c>
      <c r="E884" s="14">
        <f>SUM(TAB_ENTRADA[[#This Row],[20/05/2019]:[Colunas1]])</f>
        <v>0</v>
      </c>
      <c r="F884" s="3"/>
      <c r="FK884" s="3">
        <v>0</v>
      </c>
    </row>
    <row r="885" spans="1:167" x14ac:dyDescent="0.25">
      <c r="A885" s="5" t="s">
        <v>2542</v>
      </c>
      <c r="B885" s="14" t="str">
        <f>VLOOKUP(TAB_ENTRADA[[#This Row],[Cod_2_Entrada]],TAB_ESTOQUE[[Codigo]:[Descrição Tecnica]],6,FALSE)</f>
        <v xml:space="preserve">MANGUEIRA 3/4 ALMA DE ACO </v>
      </c>
      <c r="C885" s="14">
        <f>IFERROR(VLOOKUP(TAB_ENTRADA[[#This Row],[Cod_2_Entrada]],TAB_ESTOQUE[[Codigo]:[Referência Tec]],7,FALSE),"")</f>
        <v>0</v>
      </c>
      <c r="D885" s="14" t="str">
        <f>VLOOKUP(TAB_ENTRADA[[#This Row],[Cod_2_Entrada]],TAB_ESTOQUE[[Codigo]:[Endereço2]],12,FALSE)</f>
        <v>CAIXA</v>
      </c>
      <c r="E885" s="14">
        <f>SUM(TAB_ENTRADA[[#This Row],[20/05/2019]:[Colunas1]])</f>
        <v>3</v>
      </c>
      <c r="F885" s="3"/>
      <c r="FK885" s="3">
        <v>3</v>
      </c>
    </row>
    <row r="886" spans="1:167" x14ac:dyDescent="0.25">
      <c r="A886" s="5" t="s">
        <v>2543</v>
      </c>
      <c r="B886" s="14" t="str">
        <f>VLOOKUP(TAB_ENTRADA[[#This Row],[Cod_2_Entrada]],TAB_ESTOQUE[[Codigo]:[Descrição Tecnica]],6,FALSE)</f>
        <v>MANGUEIRA PARA AGUA 3/4"</v>
      </c>
      <c r="C886" s="14">
        <f>IFERROR(VLOOKUP(TAB_ENTRADA[[#This Row],[Cod_2_Entrada]],TAB_ESTOQUE[[Codigo]:[Referência Tec]],7,FALSE),"")</f>
        <v>0</v>
      </c>
      <c r="D886" s="14" t="str">
        <f>VLOOKUP(TAB_ENTRADA[[#This Row],[Cod_2_Entrada]],TAB_ESTOQUE[[Codigo]:[Endereço2]],12,FALSE)</f>
        <v>CAIXA</v>
      </c>
      <c r="E886" s="14">
        <f>SUM(TAB_ENTRADA[[#This Row],[20/05/2019]:[Colunas1]])</f>
        <v>40</v>
      </c>
      <c r="F886" s="3"/>
      <c r="FK886" s="3">
        <v>40</v>
      </c>
    </row>
    <row r="887" spans="1:167" x14ac:dyDescent="0.25">
      <c r="A887" s="5" t="s">
        <v>2544</v>
      </c>
      <c r="B887" s="14" t="str">
        <f>VLOOKUP(TAB_ENTRADA[[#This Row],[Cod_2_Entrada]],TAB_ESTOQUE[[Codigo]:[Descrição Tecnica]],6,FALSE)</f>
        <v>MANGUEIRA HIDRAULICA 1 POL 2390 PSI 500MM</v>
      </c>
      <c r="C887" s="14">
        <f>IFERROR(VLOOKUP(TAB_ENTRADA[[#This Row],[Cod_2_Entrada]],TAB_ESTOQUE[[Codigo]:[Referência Tec]],7,FALSE),"")</f>
        <v>0</v>
      </c>
      <c r="D887" s="14" t="str">
        <f>VLOOKUP(TAB_ENTRADA[[#This Row],[Cod_2_Entrada]],TAB_ESTOQUE[[Codigo]:[Endereço2]],12,FALSE)</f>
        <v>CAIXA</v>
      </c>
      <c r="E887" s="14">
        <f>SUM(TAB_ENTRADA[[#This Row],[20/05/2019]:[Colunas1]])</f>
        <v>0</v>
      </c>
      <c r="F887" s="3"/>
      <c r="FK887" s="3">
        <v>0</v>
      </c>
    </row>
    <row r="888" spans="1:167" x14ac:dyDescent="0.25">
      <c r="A888" s="5" t="s">
        <v>2545</v>
      </c>
      <c r="B888" s="14" t="str">
        <f>VLOOKUP(TAB_ENTRADA[[#This Row],[Cod_2_Entrada]],TAB_ESTOQUE[[Codigo]:[Descrição Tecnica]],6,FALSE)</f>
        <v xml:space="preserve">MANGUEIRA HIDRAULICA 3/4 3100PSI 800MM </v>
      </c>
      <c r="C888" s="14">
        <f>IFERROR(VLOOKUP(TAB_ENTRADA[[#This Row],[Cod_2_Entrada]],TAB_ESTOQUE[[Codigo]:[Referência Tec]],7,FALSE),"")</f>
        <v>0</v>
      </c>
      <c r="D888" s="14" t="str">
        <f>VLOOKUP(TAB_ENTRADA[[#This Row],[Cod_2_Entrada]],TAB_ESTOQUE[[Codigo]:[Endereço2]],12,FALSE)</f>
        <v>CAIXA</v>
      </c>
      <c r="E888" s="14">
        <f>SUM(TAB_ENTRADA[[#This Row],[20/05/2019]:[Colunas1]])</f>
        <v>0</v>
      </c>
      <c r="F888" s="3"/>
      <c r="FK888" s="3">
        <v>0</v>
      </c>
    </row>
    <row r="889" spans="1:167" x14ac:dyDescent="0.25">
      <c r="A889" s="5" t="s">
        <v>2546</v>
      </c>
      <c r="B889" s="14" t="str">
        <f>VLOOKUP(TAB_ENTRADA[[#This Row],[Cod_2_Entrada]],TAB_ESTOQUE[[Codigo]:[Descrição Tecnica]],6,FALSE)</f>
        <v>MANGUEIRA PNEUMATICA DE POLIURETANO TUBO 6MM EXTER AZUL ACIMA DE 10 bar</v>
      </c>
      <c r="C889" s="14">
        <f>IFERROR(VLOOKUP(TAB_ENTRADA[[#This Row],[Cod_2_Entrada]],TAB_ESTOQUE[[Codigo]:[Referência Tec]],7,FALSE),"")</f>
        <v>0</v>
      </c>
      <c r="D889" s="14" t="str">
        <f>VLOOKUP(TAB_ENTRADA[[#This Row],[Cod_2_Entrada]],TAB_ESTOQUE[[Codigo]:[Endereço2]],12,FALSE)</f>
        <v>S201</v>
      </c>
      <c r="E889" s="14">
        <f>SUM(TAB_ENTRADA[[#This Row],[20/05/2019]:[Colunas1]])</f>
        <v>100</v>
      </c>
      <c r="F889" s="3"/>
      <c r="FK889" s="3">
        <v>100</v>
      </c>
    </row>
    <row r="890" spans="1:167" x14ac:dyDescent="0.25">
      <c r="A890" s="5" t="s">
        <v>2547</v>
      </c>
      <c r="B890" s="14" t="str">
        <f>VLOOKUP(TAB_ENTRADA[[#This Row],[Cod_2_Entrada]],TAB_ESTOQUE[[Codigo]:[Descrição Tecnica]],6,FALSE)</f>
        <v>MANGUEIRA PARA OLEO TERMICO 1,5 METROS</v>
      </c>
      <c r="C890" s="14">
        <f>IFERROR(VLOOKUP(TAB_ENTRADA[[#This Row],[Cod_2_Entrada]],TAB_ESTOQUE[[Codigo]:[Referência Tec]],7,FALSE),"")</f>
        <v>0</v>
      </c>
      <c r="D890" s="14" t="str">
        <f>VLOOKUP(TAB_ENTRADA[[#This Row],[Cod_2_Entrada]],TAB_ESTOQUE[[Codigo]:[Endereço2]],12,FALSE)</f>
        <v>S602</v>
      </c>
      <c r="E890" s="14">
        <f>SUM(TAB_ENTRADA[[#This Row],[20/05/2019]:[Colunas1]])</f>
        <v>2</v>
      </c>
      <c r="F890" s="3"/>
      <c r="FK890" s="3">
        <v>2</v>
      </c>
    </row>
    <row r="891" spans="1:167" x14ac:dyDescent="0.25">
      <c r="A891" s="5" t="s">
        <v>2548</v>
      </c>
      <c r="B891" s="14" t="str">
        <f>VLOOKUP(TAB_ENTRADA[[#This Row],[Cod_2_Entrada]],TAB_ESTOQUE[[Codigo]:[Descrição Tecnica]],6,FALSE)</f>
        <v>MANGUEIRA PARA OLEO TERMICO 2300mm</v>
      </c>
      <c r="C891" s="14">
        <f>IFERROR(VLOOKUP(TAB_ENTRADA[[#This Row],[Cod_2_Entrada]],TAB_ESTOQUE[[Codigo]:[Referência Tec]],7,FALSE),"")</f>
        <v>0</v>
      </c>
      <c r="D891" s="14" t="str">
        <f>VLOOKUP(TAB_ENTRADA[[#This Row],[Cod_2_Entrada]],TAB_ESTOQUE[[Codigo]:[Endereço2]],12,FALSE)</f>
        <v>S602</v>
      </c>
      <c r="E891" s="14">
        <f>SUM(TAB_ENTRADA[[#This Row],[20/05/2019]:[Colunas1]])</f>
        <v>2</v>
      </c>
      <c r="F891" s="3"/>
      <c r="FK891" s="3">
        <v>2</v>
      </c>
    </row>
    <row r="892" spans="1:167" x14ac:dyDescent="0.25">
      <c r="A892" s="5" t="s">
        <v>2549</v>
      </c>
      <c r="B892" s="14" t="str">
        <f>VLOOKUP(TAB_ENTRADA[[#This Row],[Cod_2_Entrada]],TAB_ESTOQUE[[Codigo]:[Descrição Tecnica]],6,FALSE)</f>
        <v>MANGUEIRA PARA AGUA 1/2"</v>
      </c>
      <c r="C892" s="14">
        <f>IFERROR(VLOOKUP(TAB_ENTRADA[[#This Row],[Cod_2_Entrada]],TAB_ESTOQUE[[Codigo]:[Referência Tec]],7,FALSE),"")</f>
        <v>0</v>
      </c>
      <c r="D892" s="14" t="str">
        <f>VLOOKUP(TAB_ENTRADA[[#This Row],[Cod_2_Entrada]],TAB_ESTOQUE[[Codigo]:[Endereço2]],12,FALSE)</f>
        <v>S503</v>
      </c>
      <c r="E892" s="14">
        <f>SUM(TAB_ENTRADA[[#This Row],[20/05/2019]:[Colunas1]])</f>
        <v>20</v>
      </c>
      <c r="F892" s="3"/>
      <c r="FK892" s="3">
        <v>20</v>
      </c>
    </row>
    <row r="893" spans="1:167" x14ac:dyDescent="0.25">
      <c r="A893" s="5" t="s">
        <v>2550</v>
      </c>
      <c r="B893" s="14" t="str">
        <f>VLOOKUP(TAB_ENTRADA[[#This Row],[Cod_2_Entrada]],TAB_ESTOQUE[[Codigo]:[Descrição Tecnica]],6,FALSE)</f>
        <v>CORREIA DENTADA 1700H</v>
      </c>
      <c r="C893" s="14">
        <f>IFERROR(VLOOKUP(TAB_ENTRADA[[#This Row],[Cod_2_Entrada]],TAB_ESTOQUE[[Codigo]:[Referência Tec]],7,FALSE),"")</f>
        <v>0</v>
      </c>
      <c r="D893" s="14" t="str">
        <f>VLOOKUP(TAB_ENTRADA[[#This Row],[Cod_2_Entrada]],TAB_ESTOQUE[[Codigo]:[Endereço2]],12,FALSE)</f>
        <v>S701</v>
      </c>
      <c r="E893" s="14">
        <f>SUM(TAB_ENTRADA[[#This Row],[20/05/2019]:[Colunas1]])</f>
        <v>1</v>
      </c>
      <c r="F893" s="3"/>
      <c r="FK893" s="3">
        <v>1</v>
      </c>
    </row>
    <row r="894" spans="1:167" x14ac:dyDescent="0.25">
      <c r="A894" s="5" t="s">
        <v>2551</v>
      </c>
      <c r="B894" s="14" t="str">
        <f>VLOOKUP(TAB_ENTRADA[[#This Row],[Cod_2_Entrada]],TAB_ESTOQUE[[Codigo]:[Descrição Tecnica]],6,FALSE)</f>
        <v>CORREIA DENTADA 360H</v>
      </c>
      <c r="C894" s="14">
        <f>IFERROR(VLOOKUP(TAB_ENTRADA[[#This Row],[Cod_2_Entrada]],TAB_ESTOQUE[[Codigo]:[Referência Tec]],7,FALSE),"")</f>
        <v>0</v>
      </c>
      <c r="D894" s="14" t="str">
        <f>VLOOKUP(TAB_ENTRADA[[#This Row],[Cod_2_Entrada]],TAB_ESTOQUE[[Codigo]:[Endereço2]],12,FALSE)</f>
        <v>S703</v>
      </c>
      <c r="E894" s="14">
        <f>SUM(TAB_ENTRADA[[#This Row],[20/05/2019]:[Colunas1]])</f>
        <v>2</v>
      </c>
      <c r="F894" s="3"/>
      <c r="FK894" s="3">
        <v>2</v>
      </c>
    </row>
    <row r="895" spans="1:167" x14ac:dyDescent="0.25">
      <c r="A895" s="5" t="s">
        <v>2552</v>
      </c>
      <c r="B895" s="14" t="str">
        <f>VLOOKUP(TAB_ENTRADA[[#This Row],[Cod_2_Entrada]],TAB_ESTOQUE[[Codigo]:[Descrição Tecnica]],6,FALSE)</f>
        <v>CORREIA DENTADA T10-810AD</v>
      </c>
      <c r="C895" s="14">
        <f>IFERROR(VLOOKUP(TAB_ENTRADA[[#This Row],[Cod_2_Entrada]],TAB_ESTOQUE[[Codigo]:[Referência Tec]],7,FALSE),"")</f>
        <v>0</v>
      </c>
      <c r="D895" s="14" t="str">
        <f>VLOOKUP(TAB_ENTRADA[[#This Row],[Cod_2_Entrada]],TAB_ESTOQUE[[Codigo]:[Endereço2]],12,FALSE)</f>
        <v>S701</v>
      </c>
      <c r="E895" s="14">
        <f>SUM(TAB_ENTRADA[[#This Row],[20/05/2019]:[Colunas1]])</f>
        <v>1</v>
      </c>
      <c r="F895" s="3"/>
      <c r="FK895" s="3">
        <v>1</v>
      </c>
    </row>
    <row r="896" spans="1:167" x14ac:dyDescent="0.25">
      <c r="A896" s="5" t="s">
        <v>2553</v>
      </c>
      <c r="B896" s="14" t="str">
        <f>VLOOKUP(TAB_ENTRADA[[#This Row],[Cod_2_Entrada]],TAB_ESTOQUE[[Codigo]:[Descrição Tecnica]],6,FALSE)</f>
        <v>CORREIA DENTADA T10-450</v>
      </c>
      <c r="C896" s="14">
        <f>IFERROR(VLOOKUP(TAB_ENTRADA[[#This Row],[Cod_2_Entrada]],TAB_ESTOQUE[[Codigo]:[Referência Tec]],7,FALSE),"")</f>
        <v>0</v>
      </c>
      <c r="D896" s="14" t="str">
        <f>VLOOKUP(TAB_ENTRADA[[#This Row],[Cod_2_Entrada]],TAB_ESTOQUE[[Codigo]:[Endereço2]],12,FALSE)</f>
        <v>S701</v>
      </c>
      <c r="E896" s="14">
        <f>SUM(TAB_ENTRADA[[#This Row],[20/05/2019]:[Colunas1]])</f>
        <v>3</v>
      </c>
      <c r="F896" s="3"/>
      <c r="FK896" s="3">
        <v>3</v>
      </c>
    </row>
    <row r="897" spans="1:204" x14ac:dyDescent="0.25">
      <c r="A897" s="5" t="s">
        <v>2554</v>
      </c>
      <c r="B897" s="14" t="str">
        <f>VLOOKUP(TAB_ENTRADA[[#This Row],[Cod_2_Entrada]],TAB_ESTOQUE[[Codigo]:[Descrição Tecnica]],6,FALSE)</f>
        <v>CORREIA DENTADA T10-530</v>
      </c>
      <c r="C897" s="14">
        <f>IFERROR(VLOOKUP(TAB_ENTRADA[[#This Row],[Cod_2_Entrada]],TAB_ESTOQUE[[Codigo]:[Referência Tec]],7,FALSE),"")</f>
        <v>0</v>
      </c>
      <c r="D897" s="14" t="str">
        <f>VLOOKUP(TAB_ENTRADA[[#This Row],[Cod_2_Entrada]],TAB_ESTOQUE[[Codigo]:[Endereço2]],12,FALSE)</f>
        <v>S701</v>
      </c>
      <c r="E897" s="14">
        <f>SUM(TAB_ENTRADA[[#This Row],[20/05/2019]:[Colunas1]])</f>
        <v>1</v>
      </c>
      <c r="F897" s="3"/>
      <c r="FK897" s="3">
        <v>1</v>
      </c>
    </row>
    <row r="898" spans="1:204" x14ac:dyDescent="0.25">
      <c r="A898" s="5" t="s">
        <v>2555</v>
      </c>
      <c r="B898" s="14" t="str">
        <f>VLOOKUP(TAB_ENTRADA[[#This Row],[Cod_2_Entrada]],TAB_ESTOQUE[[Codigo]:[Descrição Tecnica]],6,FALSE)</f>
        <v>CORREIA DENTADA BX381815</v>
      </c>
      <c r="C898" s="14">
        <f>IFERROR(VLOOKUP(TAB_ENTRADA[[#This Row],[Cod_2_Entrada]],TAB_ESTOQUE[[Codigo]:[Referência Tec]],7,FALSE),"")</f>
        <v>0</v>
      </c>
      <c r="D898" s="14" t="str">
        <f>VLOOKUP(TAB_ENTRADA[[#This Row],[Cod_2_Entrada]],TAB_ESTOQUE[[Codigo]:[Endereço2]],12,FALSE)</f>
        <v>S703</v>
      </c>
      <c r="E898" s="14">
        <f>SUM(TAB_ENTRADA[[#This Row],[20/05/2019]:[Colunas1]])</f>
        <v>0</v>
      </c>
      <c r="F898" s="3"/>
      <c r="FK898" s="3">
        <v>0</v>
      </c>
    </row>
    <row r="899" spans="1:204" x14ac:dyDescent="0.25">
      <c r="A899" s="5" t="s">
        <v>2556</v>
      </c>
      <c r="B899" s="14" t="str">
        <f>VLOOKUP(TAB_ENTRADA[[#This Row],[Cod_2_Entrada]],TAB_ESTOQUE[[Codigo]:[Descrição Tecnica]],6,FALSE)</f>
        <v>CORREIA DENTADA BSX33</v>
      </c>
      <c r="C899" s="14">
        <f>IFERROR(VLOOKUP(TAB_ENTRADA[[#This Row],[Cod_2_Entrada]],TAB_ESTOQUE[[Codigo]:[Referência Tec]],7,FALSE),"")</f>
        <v>0</v>
      </c>
      <c r="D899" s="14" t="str">
        <f>VLOOKUP(TAB_ENTRADA[[#This Row],[Cod_2_Entrada]],TAB_ESTOQUE[[Codigo]:[Endereço2]],12,FALSE)</f>
        <v>S703</v>
      </c>
      <c r="E899" s="14">
        <f>SUM(TAB_ENTRADA[[#This Row],[20/05/2019]:[Colunas1]])</f>
        <v>3</v>
      </c>
      <c r="F899" s="3"/>
      <c r="FK899" s="3">
        <v>3</v>
      </c>
    </row>
    <row r="900" spans="1:204" x14ac:dyDescent="0.25">
      <c r="A900" s="5" t="s">
        <v>2557</v>
      </c>
      <c r="B900" s="14" t="str">
        <f>VLOOKUP(TAB_ENTRADA[[#This Row],[Cod_2_Entrada]],TAB_ESTOQUE[[Codigo]:[Descrição Tecnica]],6,FALSE)</f>
        <v>CORREIA DENTADA T10660</v>
      </c>
      <c r="C900" s="14">
        <f>IFERROR(VLOOKUP(TAB_ENTRADA[[#This Row],[Cod_2_Entrada]],TAB_ESTOQUE[[Codigo]:[Referência Tec]],7,FALSE),"")</f>
        <v>0</v>
      </c>
      <c r="D900" s="14" t="str">
        <f>VLOOKUP(TAB_ENTRADA[[#This Row],[Cod_2_Entrada]],TAB_ESTOQUE[[Codigo]:[Endereço2]],12,FALSE)</f>
        <v>S704</v>
      </c>
      <c r="E900" s="14">
        <f>SUM(TAB_ENTRADA[[#This Row],[20/05/2019]:[Colunas1]])</f>
        <v>3</v>
      </c>
      <c r="F900" s="3"/>
      <c r="FK900" s="3">
        <v>3</v>
      </c>
    </row>
    <row r="901" spans="1:204" x14ac:dyDescent="0.25">
      <c r="A901" s="5" t="s">
        <v>2558</v>
      </c>
      <c r="B901" s="14" t="str">
        <f>VLOOKUP(TAB_ENTRADA[[#This Row],[Cod_2_Entrada]],TAB_ESTOQUE[[Codigo]:[Descrição Tecnica]],6,FALSE)</f>
        <v>CORREIA DENTADA 14KJB</v>
      </c>
      <c r="C901" s="14">
        <f>IFERROR(VLOOKUP(TAB_ENTRADA[[#This Row],[Cod_2_Entrada]],TAB_ESTOQUE[[Codigo]:[Referência Tec]],7,FALSE),"")</f>
        <v>0</v>
      </c>
      <c r="D901" s="14" t="str">
        <f>VLOOKUP(TAB_ENTRADA[[#This Row],[Cod_2_Entrada]],TAB_ESTOQUE[[Codigo]:[Endereço2]],12,FALSE)</f>
        <v>S702</v>
      </c>
      <c r="E901" s="14">
        <f>SUM(TAB_ENTRADA[[#This Row],[20/05/2019]:[Colunas1]])</f>
        <v>1</v>
      </c>
      <c r="F901" s="3"/>
      <c r="FK901" s="3">
        <v>1</v>
      </c>
    </row>
    <row r="902" spans="1:204" x14ac:dyDescent="0.25">
      <c r="A902" s="5" t="s">
        <v>2559</v>
      </c>
      <c r="B902" s="14" t="str">
        <f>VLOOKUP(TAB_ENTRADA[[#This Row],[Cod_2_Entrada]],TAB_ESTOQUE[[Codigo]:[Descrição Tecnica]],6,FALSE)</f>
        <v>CORREIA DENTADA HTD500-5M</v>
      </c>
      <c r="C902" s="14">
        <f>IFERROR(VLOOKUP(TAB_ENTRADA[[#This Row],[Cod_2_Entrada]],TAB_ESTOQUE[[Codigo]:[Referência Tec]],7,FALSE),"")</f>
        <v>0</v>
      </c>
      <c r="D902" s="14" t="str">
        <f>VLOOKUP(TAB_ENTRADA[[#This Row],[Cod_2_Entrada]],TAB_ESTOQUE[[Codigo]:[Endereço2]],12,FALSE)</f>
        <v>S701</v>
      </c>
      <c r="E902" s="14">
        <f>SUM(TAB_ENTRADA[[#This Row],[20/05/2019]:[Colunas1]])</f>
        <v>3</v>
      </c>
      <c r="F902" s="3"/>
      <c r="FK902" s="3">
        <v>3</v>
      </c>
    </row>
    <row r="903" spans="1:204" x14ac:dyDescent="0.25">
      <c r="A903" s="5" t="s">
        <v>2560</v>
      </c>
      <c r="B903" s="14" t="str">
        <f>VLOOKUP(TAB_ENTRADA[[#This Row],[Cod_2_Entrada]],TAB_ESTOQUE[[Codigo]:[Descrição Tecnica]],6,FALSE)</f>
        <v>CORREIA LISA B36</v>
      </c>
      <c r="C903" s="14">
        <f>IFERROR(VLOOKUP(TAB_ENTRADA[[#This Row],[Cod_2_Entrada]],TAB_ESTOQUE[[Codigo]:[Referência Tec]],7,FALSE),"")</f>
        <v>0</v>
      </c>
      <c r="D903" s="14" t="str">
        <f>VLOOKUP(TAB_ENTRADA[[#This Row],[Cod_2_Entrada]],TAB_ESTOQUE[[Codigo]:[Endereço2]],12,FALSE)</f>
        <v>S703</v>
      </c>
      <c r="E903" s="14">
        <f>SUM(TAB_ENTRADA[[#This Row],[20/05/2019]:[Colunas1]])</f>
        <v>8</v>
      </c>
      <c r="F903" s="3"/>
      <c r="FK903" s="3">
        <v>8</v>
      </c>
    </row>
    <row r="904" spans="1:204" x14ac:dyDescent="0.25">
      <c r="A904" s="5" t="s">
        <v>2561</v>
      </c>
      <c r="B904" s="14" t="str">
        <f>VLOOKUP(TAB_ENTRADA[[#This Row],[Cod_2_Entrada]],TAB_ESTOQUE[[Codigo]:[Descrição Tecnica]],6,FALSE)</f>
        <v>CORREIA LISA 5L-380</v>
      </c>
      <c r="C904" s="14">
        <f>IFERROR(VLOOKUP(TAB_ENTRADA[[#This Row],[Cod_2_Entrada]],TAB_ESTOQUE[[Codigo]:[Referência Tec]],7,FALSE),"")</f>
        <v>0</v>
      </c>
      <c r="D904" s="14" t="str">
        <f>VLOOKUP(TAB_ENTRADA[[#This Row],[Cod_2_Entrada]],TAB_ESTOQUE[[Codigo]:[Endereço2]],12,FALSE)</f>
        <v>S703</v>
      </c>
      <c r="E904" s="14">
        <f>SUM(TAB_ENTRADA[[#This Row],[20/05/2019]:[Colunas1]])</f>
        <v>0</v>
      </c>
      <c r="F904" s="3"/>
      <c r="FK904" s="3">
        <v>0</v>
      </c>
    </row>
    <row r="905" spans="1:204" x14ac:dyDescent="0.25">
      <c r="A905" s="5" t="s">
        <v>2562</v>
      </c>
      <c r="B905" s="14" t="str">
        <f>VLOOKUP(TAB_ENTRADA[[#This Row],[Cod_2_Entrada]],TAB_ESTOQUE[[Codigo]:[Descrição Tecnica]],6,FALSE)</f>
        <v>MANGUEIRA PARA AGUA 1"</v>
      </c>
      <c r="C905" s="14">
        <f>IFERROR(VLOOKUP(TAB_ENTRADA[[#This Row],[Cod_2_Entrada]],TAB_ESTOQUE[[Codigo]:[Referência Tec]],7,FALSE),"")</f>
        <v>0</v>
      </c>
      <c r="D905" s="14" t="str">
        <f>VLOOKUP(TAB_ENTRADA[[#This Row],[Cod_2_Entrada]],TAB_ESTOQUE[[Codigo]:[Endereço2]],12,FALSE)</f>
        <v>CAIXA</v>
      </c>
      <c r="E905" s="14">
        <f>SUM(TAB_ENTRADA[[#This Row],[20/05/2019]:[Colunas1]])</f>
        <v>0</v>
      </c>
      <c r="F905" s="3"/>
      <c r="FK905" s="3">
        <v>0</v>
      </c>
    </row>
    <row r="906" spans="1:204" x14ac:dyDescent="0.25">
      <c r="A906" s="5" t="s">
        <v>2563</v>
      </c>
      <c r="B906" s="14" t="str">
        <f>VLOOKUP(TAB_ENTRADA[[#This Row],[Cod_2_Entrada]],TAB_ESTOQUE[[Codigo]:[Descrição Tecnica]],6,FALSE)</f>
        <v>BOMBA DIAFRAGMAN GRACCO HUSKY 716 AIR-OPERATED</v>
      </c>
      <c r="C906" s="14">
        <f>IFERROR(VLOOKUP(TAB_ENTRADA[[#This Row],[Cod_2_Entrada]],TAB_ESTOQUE[[Codigo]:[Referência Tec]],7,FALSE),"")</f>
        <v>0</v>
      </c>
      <c r="D906" s="14" t="str">
        <f>VLOOKUP(TAB_ENTRADA[[#This Row],[Cod_2_Entrada]],TAB_ESTOQUE[[Codigo]:[Endereço2]],12,FALSE)</f>
        <v>E1101</v>
      </c>
      <c r="E906" s="14">
        <f>SUM(TAB_ENTRADA[[#This Row],[20/05/2019]:[Colunas1]])</f>
        <v>1</v>
      </c>
      <c r="F906" s="3"/>
      <c r="FK906" s="3">
        <v>1</v>
      </c>
    </row>
    <row r="907" spans="1:204" x14ac:dyDescent="0.25">
      <c r="A907" s="5" t="s">
        <v>2564</v>
      </c>
      <c r="B907" s="14" t="str">
        <f>VLOOKUP(TAB_ENTRADA[[#This Row],[Cod_2_Entrada]],TAB_ESTOQUE[[Codigo]:[Descrição Tecnica]],6,FALSE)</f>
        <v>MANGUEIRA PNEUMATICA DE POLIURETANO TUBO 10MM EXTER AZUL ACIMA DE 10 bar</v>
      </c>
      <c r="C907" s="14">
        <f>IFERROR(VLOOKUP(TAB_ENTRADA[[#This Row],[Cod_2_Entrada]],TAB_ESTOQUE[[Codigo]:[Referência Tec]],7,FALSE),"")</f>
        <v>0</v>
      </c>
      <c r="D907" s="14" t="str">
        <f>VLOOKUP(TAB_ENTRADA[[#This Row],[Cod_2_Entrada]],TAB_ESTOQUE[[Codigo]:[Endereço2]],12,FALSE)</f>
        <v>S502</v>
      </c>
      <c r="E907" s="14">
        <f>SUM(TAB_ENTRADA[[#This Row],[20/05/2019]:[Colunas1]])</f>
        <v>200</v>
      </c>
      <c r="F907" s="3"/>
      <c r="FK907" s="3">
        <v>200</v>
      </c>
    </row>
    <row r="908" spans="1:204" x14ac:dyDescent="0.25">
      <c r="A908" s="5" t="s">
        <v>2565</v>
      </c>
      <c r="B908" s="14" t="str">
        <f>VLOOKUP(TAB_ENTRADA[[#This Row],[Cod_2_Entrada]],TAB_ESTOQUE[[Codigo]:[Descrição Tecnica]],6,FALSE)</f>
        <v>RESOLVER SICK D-78166 SKM36S</v>
      </c>
      <c r="C908" s="14">
        <f>IFERROR(VLOOKUP(TAB_ENTRADA[[#This Row],[Cod_2_Entrada]],TAB_ESTOQUE[[Codigo]:[Referência Tec]],7,FALSE),"")</f>
        <v>0</v>
      </c>
      <c r="D908" s="14" t="str">
        <f>VLOOKUP(TAB_ENTRADA[[#This Row],[Cod_2_Entrada]],TAB_ESTOQUE[[Codigo]:[Endereço2]],12,FALSE)</f>
        <v>B1103</v>
      </c>
      <c r="E908" s="14">
        <f>SUM(TAB_ENTRADA[[#This Row],[20/05/2019]:[Colunas1]])</f>
        <v>0</v>
      </c>
      <c r="F908" s="3"/>
      <c r="FK908" s="3">
        <v>0</v>
      </c>
    </row>
    <row r="909" spans="1:204" x14ac:dyDescent="0.25">
      <c r="A909" s="5" t="s">
        <v>2566</v>
      </c>
      <c r="B909" s="14" t="str">
        <f>VLOOKUP(TAB_ENTRADA[[#This Row],[Cod_2_Entrada]],TAB_ESTOQUE[[Codigo]:[Descrição Tecnica]],6,FALSE)</f>
        <v>REDUTOR ECHTOP MS711-4</v>
      </c>
      <c r="C909" s="14">
        <f>IFERROR(VLOOKUP(TAB_ENTRADA[[#This Row],[Cod_2_Entrada]],TAB_ESTOQUE[[Codigo]:[Referência Tec]],7,FALSE),"")</f>
        <v>0</v>
      </c>
      <c r="D909" s="14" t="str">
        <f>VLOOKUP(TAB_ENTRADA[[#This Row],[Cod_2_Entrada]],TAB_ESTOQUE[[Codigo]:[Endereço2]],12,FALSE)</f>
        <v>E1103</v>
      </c>
      <c r="E909" s="14">
        <f>SUM(TAB_ENTRADA[[#This Row],[20/05/2019]:[Colunas1]])</f>
        <v>2</v>
      </c>
      <c r="F909" s="3"/>
      <c r="FK909" s="3">
        <v>2</v>
      </c>
    </row>
    <row r="910" spans="1:204" x14ac:dyDescent="0.25">
      <c r="A910" s="5" t="s">
        <v>2567</v>
      </c>
      <c r="B910" s="14" t="str">
        <f>VLOOKUP(TAB_ENTRADA[[#This Row],[Cod_2_Entrada]],TAB_ESTOQUE[[Codigo]:[Descrição Tecnica]],6,FALSE)</f>
        <v xml:space="preserve">FUSIVEL KRAH GS 24X165C 2K5  K </v>
      </c>
      <c r="C910" s="14">
        <f>IFERROR(VLOOKUP(TAB_ENTRADA[[#This Row],[Cod_2_Entrada]],TAB_ESTOQUE[[Codigo]:[Referência Tec]],7,FALSE),"")</f>
        <v>0</v>
      </c>
      <c r="D910" s="14" t="str">
        <f>VLOOKUP(TAB_ENTRADA[[#This Row],[Cod_2_Entrada]],TAB_ESTOQUE[[Codigo]:[Endereço2]],12,FALSE)</f>
        <v>A1106</v>
      </c>
      <c r="E910" s="14">
        <f>SUM(TAB_ENTRADA[[#This Row],[20/05/2019]:[Colunas1]])</f>
        <v>5</v>
      </c>
      <c r="F910" s="3"/>
      <c r="FK910" s="3">
        <v>5</v>
      </c>
    </row>
    <row r="911" spans="1:204" x14ac:dyDescent="0.25">
      <c r="A911" s="5" t="s">
        <v>2568</v>
      </c>
      <c r="B911" s="14" t="str">
        <f>VLOOKUP(TAB_ENTRADA[[#This Row],[Cod_2_Entrada]],TAB_ESTOQUE[[Codigo]:[Descrição Tecnica]],6,FALSE)</f>
        <v>ELEMENTO  FILTRANTE QNQ2 ID 5770</v>
      </c>
      <c r="C911" s="14">
        <f>IFERROR(VLOOKUP(TAB_ENTRADA[[#This Row],[Cod_2_Entrada]],TAB_ESTOQUE[[Codigo]:[Referência Tec]],7,FALSE),"")</f>
        <v>0</v>
      </c>
      <c r="D911" s="14" t="str">
        <f>VLOOKUP(TAB_ENTRADA[[#This Row],[Cod_2_Entrada]],TAB_ESTOQUE[[Codigo]:[Endereço2]],12,FALSE)</f>
        <v>C1404</v>
      </c>
      <c r="E911" s="14">
        <f>SUM(TAB_ENTRADA[[#This Row],[20/05/2019]:[Colunas1]])</f>
        <v>1</v>
      </c>
      <c r="F911" s="3"/>
      <c r="FK911" s="3">
        <v>1</v>
      </c>
    </row>
    <row r="912" spans="1:204" x14ac:dyDescent="0.25">
      <c r="A912" s="5" t="s">
        <v>2569</v>
      </c>
      <c r="B912" s="14" t="str">
        <f>VLOOKUP(TAB_ENTRADA[[#This Row],[Cod_2_Entrada]],TAB_ESTOQUE[[Codigo]:[Descrição Tecnica]],6,FALSE)</f>
        <v xml:space="preserve">ANILHA PARA SERPENTINA FTACL40 COLLAR 1/4" </v>
      </c>
      <c r="C912" s="14">
        <f>IFERROR(VLOOKUP(TAB_ENTRADA[[#This Row],[Cod_2_Entrada]],TAB_ESTOQUE[[Codigo]:[Referência Tec]],7,FALSE),"")</f>
        <v>0</v>
      </c>
      <c r="D912" s="14" t="str">
        <f>VLOOKUP(TAB_ENTRADA[[#This Row],[Cod_2_Entrada]],TAB_ESTOQUE[[Codigo]:[Endereço2]],12,FALSE)</f>
        <v>D2203</v>
      </c>
      <c r="E912" s="14">
        <f>SUM(TAB_ENTRADA[[#This Row],[20/05/2019]:[Colunas1]])</f>
        <v>15</v>
      </c>
      <c r="F912" s="3"/>
      <c r="FK912" s="3">
        <v>0</v>
      </c>
      <c r="GV912" s="3">
        <v>15</v>
      </c>
    </row>
    <row r="913" spans="1:172" x14ac:dyDescent="0.25">
      <c r="A913" s="5" t="s">
        <v>2570</v>
      </c>
      <c r="B913" s="14" t="str">
        <f>VLOOKUP(TAB_ENTRADA[[#This Row],[Cod_2_Entrada]],TAB_ESTOQUE[[Codigo]:[Descrição Tecnica]],6,FALSE)</f>
        <v>ROLAMENTO AGULHA NK 20/20</v>
      </c>
      <c r="C913" s="14">
        <f>IFERROR(VLOOKUP(TAB_ENTRADA[[#This Row],[Cod_2_Entrada]],TAB_ESTOQUE[[Codigo]:[Referência Tec]],7,FALSE),"")</f>
        <v>0</v>
      </c>
      <c r="D913" s="14" t="str">
        <f>VLOOKUP(TAB_ENTRADA[[#This Row],[Cod_2_Entrada]],TAB_ESTOQUE[[Codigo]:[Endereço2]],12,FALSE)</f>
        <v>D2106</v>
      </c>
      <c r="E913" s="14">
        <f>SUM(TAB_ENTRADA[[#This Row],[20/05/2019]:[Colunas1]])</f>
        <v>2</v>
      </c>
      <c r="F913" s="3"/>
      <c r="FK913" s="3">
        <v>2</v>
      </c>
    </row>
    <row r="914" spans="1:172" x14ac:dyDescent="0.25">
      <c r="A914" s="5" t="s">
        <v>2571</v>
      </c>
      <c r="B914" s="14" t="str">
        <f>VLOOKUP(TAB_ENTRADA[[#This Row],[Cod_2_Entrada]],TAB_ESTOQUE[[Codigo]:[Descrição Tecnica]],6,FALSE)</f>
        <v>DOSADOR D3RE 3000</v>
      </c>
      <c r="C914" s="14">
        <f>IFERROR(VLOOKUP(TAB_ENTRADA[[#This Row],[Cod_2_Entrada]],TAB_ESTOQUE[[Codigo]:[Referência Tec]],7,FALSE),"")</f>
        <v>0</v>
      </c>
      <c r="D914" s="14" t="str">
        <f>VLOOKUP(TAB_ENTRADA[[#This Row],[Cod_2_Entrada]],TAB_ESTOQUE[[Codigo]:[Endereço2]],12,FALSE)</f>
        <v>C2401</v>
      </c>
      <c r="E914" s="14">
        <f>SUM(TAB_ENTRADA[[#This Row],[20/05/2019]:[Colunas1]])</f>
        <v>0</v>
      </c>
      <c r="F914" s="3"/>
      <c r="FK914" s="3">
        <v>0</v>
      </c>
    </row>
    <row r="915" spans="1:172" x14ac:dyDescent="0.25">
      <c r="A915" s="5" t="s">
        <v>2572</v>
      </c>
      <c r="B915" s="14" t="str">
        <f>VLOOKUP(TAB_ENTRADA[[#This Row],[Cod_2_Entrada]],TAB_ESTOQUE[[Codigo]:[Descrição Tecnica]],6,FALSE)</f>
        <v>ROLAMENTO 6303</v>
      </c>
      <c r="C915" s="14">
        <f>IFERROR(VLOOKUP(TAB_ENTRADA[[#This Row],[Cod_2_Entrada]],TAB_ESTOQUE[[Codigo]:[Referência Tec]],7,FALSE),"")</f>
        <v>0</v>
      </c>
      <c r="D915" s="14" t="str">
        <f>VLOOKUP(TAB_ENTRADA[[#This Row],[Cod_2_Entrada]],TAB_ESTOQUE[[Codigo]:[Endereço2]],12,FALSE)</f>
        <v>D2104</v>
      </c>
      <c r="E915" s="14">
        <f>SUM(TAB_ENTRADA[[#This Row],[20/05/2019]:[Colunas1]])</f>
        <v>11</v>
      </c>
      <c r="F915" s="3"/>
      <c r="FK915" s="3">
        <v>11</v>
      </c>
    </row>
    <row r="916" spans="1:172" x14ac:dyDescent="0.25">
      <c r="A916" s="5" t="s">
        <v>2573</v>
      </c>
      <c r="B916" s="14" t="str">
        <f>VLOOKUP(TAB_ENTRADA[[#This Row],[Cod_2_Entrada]],TAB_ESTOQUE[[Codigo]:[Descrição Tecnica]],6,FALSE)</f>
        <v>CINTA 3T</v>
      </c>
      <c r="C916" s="14">
        <f>IFERROR(VLOOKUP(TAB_ENTRADA[[#This Row],[Cod_2_Entrada]],TAB_ESTOQUE[[Codigo]:[Referência Tec]],7,FALSE),"")</f>
        <v>0</v>
      </c>
      <c r="D916" s="14" t="str">
        <f>VLOOKUP(TAB_ENTRADA[[#This Row],[Cod_2_Entrada]],TAB_ESTOQUE[[Codigo]:[Endereço2]],12,FALSE)</f>
        <v>ARMARIO</v>
      </c>
      <c r="E916" s="14">
        <f>SUM(TAB_ENTRADA[[#This Row],[20/05/2019]:[Colunas1]])</f>
        <v>2</v>
      </c>
      <c r="F916" s="3"/>
      <c r="FK916" s="3">
        <v>2</v>
      </c>
    </row>
    <row r="917" spans="1:172" x14ac:dyDescent="0.25">
      <c r="A917" s="5" t="s">
        <v>2574</v>
      </c>
      <c r="B917" s="14" t="str">
        <f>VLOOKUP(TAB_ENTRADA[[#This Row],[Cod_2_Entrada]],TAB_ESTOQUE[[Codigo]:[Descrição Tecnica]],6,FALSE)</f>
        <v>ENGATE RAPIDO STANYL -400</v>
      </c>
      <c r="C917" s="14">
        <f>IFERROR(VLOOKUP(TAB_ENTRADA[[#This Row],[Cod_2_Entrada]],TAB_ESTOQUE[[Codigo]:[Referência Tec]],7,FALSE),"")</f>
        <v>0</v>
      </c>
      <c r="D917" s="14" t="str">
        <f>VLOOKUP(TAB_ENTRADA[[#This Row],[Cod_2_Entrada]],TAB_ESTOQUE[[Codigo]:[Endereço2]],12,FALSE)</f>
        <v>D1104</v>
      </c>
      <c r="E917" s="14">
        <f>SUM(TAB_ENTRADA[[#This Row],[20/05/2019]:[Colunas1]])</f>
        <v>0</v>
      </c>
      <c r="F917" s="3"/>
      <c r="FK917" s="3">
        <v>0</v>
      </c>
    </row>
    <row r="918" spans="1:172" x14ac:dyDescent="0.25">
      <c r="A918" s="5" t="s">
        <v>2575</v>
      </c>
      <c r="B918" s="14" t="str">
        <f>VLOOKUP(TAB_ENTRADA[[#This Row],[Cod_2_Entrada]],TAB_ESTOQUE[[Codigo]:[Descrição Tecnica]],6,FALSE)</f>
        <v>BICO ESPIGÃO 3/8</v>
      </c>
      <c r="C918" s="14">
        <f>IFERROR(VLOOKUP(TAB_ENTRADA[[#This Row],[Cod_2_Entrada]],TAB_ESTOQUE[[Codigo]:[Referência Tec]],7,FALSE),"")</f>
        <v>0</v>
      </c>
      <c r="D918" s="14" t="str">
        <f>VLOOKUP(TAB_ENTRADA[[#This Row],[Cod_2_Entrada]],TAB_ESTOQUE[[Codigo]:[Endereço2]],12,FALSE)</f>
        <v>D2404</v>
      </c>
      <c r="E918" s="14">
        <f>SUM(TAB_ENTRADA[[#This Row],[20/05/2019]:[Colunas1]])</f>
        <v>4</v>
      </c>
      <c r="F918" s="3"/>
      <c r="FK918" s="3">
        <v>4</v>
      </c>
    </row>
    <row r="919" spans="1:172" x14ac:dyDescent="0.25">
      <c r="A919" s="5" t="s">
        <v>2576</v>
      </c>
      <c r="B919" s="14" t="str">
        <f>VLOOKUP(TAB_ENTRADA[[#This Row],[Cod_2_Entrada]],TAB_ESTOQUE[[Codigo]:[Descrição Tecnica]],6,FALSE)</f>
        <v>VALVULA  FLUXO 11N15 DRV 1/4"</v>
      </c>
      <c r="C919" s="14">
        <f>IFERROR(VLOOKUP(TAB_ENTRADA[[#This Row],[Cod_2_Entrada]],TAB_ESTOQUE[[Codigo]:[Referência Tec]],7,FALSE),"")</f>
        <v>0</v>
      </c>
      <c r="D919" s="14" t="str">
        <f>VLOOKUP(TAB_ENTRADA[[#This Row],[Cod_2_Entrada]],TAB_ESTOQUE[[Codigo]:[Endereço2]],12,FALSE)</f>
        <v>E1402</v>
      </c>
      <c r="E919" s="14">
        <f>SUM(TAB_ENTRADA[[#This Row],[20/05/2019]:[Colunas1]])</f>
        <v>2</v>
      </c>
      <c r="F919" s="3"/>
      <c r="FK919" s="3">
        <v>2</v>
      </c>
    </row>
    <row r="920" spans="1:172" x14ac:dyDescent="0.25">
      <c r="A920" s="5" t="s">
        <v>2577</v>
      </c>
      <c r="B920" s="14" t="str">
        <f>VLOOKUP(TAB_ENTRADA[[#This Row],[Cod_2_Entrada]],TAB_ESTOQUE[[Codigo]:[Descrição Tecnica]],6,FALSE)</f>
        <v>MANOMETRO COM ROSCA 1/8" HORIZONTAL 10 BAR 150 PSI</v>
      </c>
      <c r="C920" s="14">
        <f>IFERROR(VLOOKUP(TAB_ENTRADA[[#This Row],[Cod_2_Entrada]],TAB_ESTOQUE[[Codigo]:[Referência Tec]],7,FALSE),"")</f>
        <v>0</v>
      </c>
      <c r="D920" s="14" t="str">
        <f>VLOOKUP(TAB_ENTRADA[[#This Row],[Cod_2_Entrada]],TAB_ESTOQUE[[Codigo]:[Endereço2]],12,FALSE)</f>
        <v>E2404</v>
      </c>
      <c r="E920" s="14">
        <f>SUM(TAB_ENTRADA[[#This Row],[20/05/2019]:[Colunas1]])</f>
        <v>3</v>
      </c>
      <c r="F920" s="3"/>
      <c r="FK920" s="3">
        <v>3</v>
      </c>
    </row>
    <row r="921" spans="1:172" x14ac:dyDescent="0.25">
      <c r="A921" s="5" t="s">
        <v>2578</v>
      </c>
      <c r="B921" s="14" t="str">
        <f>VLOOKUP(TAB_ENTRADA[[#This Row],[Cod_2_Entrada]],TAB_ESTOQUE[[Codigo]:[Descrição Tecnica]],6,FALSE)</f>
        <v>MANOMETRO COM ROSCA 1/4" HORIZONTAL 16BAR 220PSI</v>
      </c>
      <c r="C921" s="14">
        <f>IFERROR(VLOOKUP(TAB_ENTRADA[[#This Row],[Cod_2_Entrada]],TAB_ESTOQUE[[Codigo]:[Referência Tec]],7,FALSE),"")</f>
        <v>0</v>
      </c>
      <c r="D921" s="14" t="str">
        <f>VLOOKUP(TAB_ENTRADA[[#This Row],[Cod_2_Entrada]],TAB_ESTOQUE[[Codigo]:[Endereço2]],12,FALSE)</f>
        <v>E2404</v>
      </c>
      <c r="E921" s="14">
        <f>SUM(TAB_ENTRADA[[#This Row],[20/05/2019]:[Colunas1]])</f>
        <v>1</v>
      </c>
      <c r="F921" s="3"/>
      <c r="FK921" s="3">
        <v>1</v>
      </c>
    </row>
    <row r="922" spans="1:172" x14ac:dyDescent="0.25">
      <c r="A922" s="5" t="s">
        <v>2579</v>
      </c>
      <c r="B922" s="14" t="str">
        <f>VLOOKUP(TAB_ENTRADA[[#This Row],[Cod_2_Entrada]],TAB_ESTOQUE[[Codigo]:[Descrição Tecnica]],6,FALSE)</f>
        <v>INCERTO HAN 16 PINOS MACHO</v>
      </c>
      <c r="C922" s="14">
        <f>IFERROR(VLOOKUP(TAB_ENTRADA[[#This Row],[Cod_2_Entrada]],TAB_ESTOQUE[[Codigo]:[Referência Tec]],7,FALSE),"")</f>
        <v>0</v>
      </c>
      <c r="D922" s="14" t="str">
        <f>VLOOKUP(TAB_ENTRADA[[#This Row],[Cod_2_Entrada]],TAB_ESTOQUE[[Codigo]:[Endereço2]],12,FALSE)</f>
        <v>A2406</v>
      </c>
      <c r="E922" s="14">
        <f>SUM(TAB_ENTRADA[[#This Row],[20/05/2019]:[Colunas1]])</f>
        <v>0</v>
      </c>
      <c r="F922" s="3"/>
      <c r="FK922" s="3">
        <v>0</v>
      </c>
    </row>
    <row r="923" spans="1:172" x14ac:dyDescent="0.25">
      <c r="A923" s="5" t="s">
        <v>2580</v>
      </c>
      <c r="B923" s="14" t="str">
        <f>VLOOKUP(TAB_ENTRADA[[#This Row],[Cod_2_Entrada]],TAB_ESTOQUE[[Codigo]:[Descrição Tecnica]],6,FALSE)</f>
        <v xml:space="preserve">TAMPA PARA HAN 10 PINOS </v>
      </c>
      <c r="C923" s="14">
        <f>IFERROR(VLOOKUP(TAB_ENTRADA[[#This Row],[Cod_2_Entrada]],TAB_ESTOQUE[[Codigo]:[Referência Tec]],7,FALSE),"")</f>
        <v>0</v>
      </c>
      <c r="D923" s="14" t="str">
        <f>VLOOKUP(TAB_ENTRADA[[#This Row],[Cod_2_Entrada]],TAB_ESTOQUE[[Codigo]:[Endereço2]],12,FALSE)</f>
        <v>A2406</v>
      </c>
      <c r="E923" s="14">
        <f>SUM(TAB_ENTRADA[[#This Row],[20/05/2019]:[Colunas1]])</f>
        <v>10</v>
      </c>
      <c r="F923" s="3"/>
      <c r="FK923" s="3">
        <v>10</v>
      </c>
    </row>
    <row r="924" spans="1:172" x14ac:dyDescent="0.25">
      <c r="A924" s="5" t="s">
        <v>2581</v>
      </c>
      <c r="B924" s="14" t="str">
        <f>VLOOKUP(TAB_ENTRADA[[#This Row],[Cod_2_Entrada]],TAB_ESTOQUE[[Codigo]:[Descrição Tecnica]],6,FALSE)</f>
        <v>BASE SEPARADOR PARA RELE RXMZ.1  RXZE2S108M (SCHNEIDER)</v>
      </c>
      <c r="C924" s="14">
        <f>IFERROR(VLOOKUP(TAB_ENTRADA[[#This Row],[Cod_2_Entrada]],TAB_ESTOQUE[[Codigo]:[Referência Tec]],7,FALSE),"")</f>
        <v>0</v>
      </c>
      <c r="D924" s="14" t="str">
        <f>VLOOKUP(TAB_ENTRADA[[#This Row],[Cod_2_Entrada]],TAB_ESTOQUE[[Codigo]:[Endereço2]],12,FALSE)</f>
        <v>A1304</v>
      </c>
      <c r="E924" s="14">
        <f>SUM(TAB_ENTRADA[[#This Row],[20/05/2019]:[Colunas1]])</f>
        <v>2</v>
      </c>
      <c r="F924" s="3"/>
      <c r="FK924" s="3">
        <v>2</v>
      </c>
    </row>
    <row r="925" spans="1:172" x14ac:dyDescent="0.25">
      <c r="A925" s="5" t="s">
        <v>2582</v>
      </c>
      <c r="B925" s="14" t="str">
        <f>VLOOKUP(TAB_ENTRADA[[#This Row],[Cod_2_Entrada]],TAB_ESTOQUE[[Codigo]:[Descrição Tecnica]],6,FALSE)</f>
        <v>HAN 10 PINOS FEMEA</v>
      </c>
      <c r="C925" s="14">
        <f>IFERROR(VLOOKUP(TAB_ENTRADA[[#This Row],[Cod_2_Entrada]],TAB_ESTOQUE[[Codigo]:[Referência Tec]],7,FALSE),"")</f>
        <v>0</v>
      </c>
      <c r="D925" s="14" t="str">
        <f>VLOOKUP(TAB_ENTRADA[[#This Row],[Cod_2_Entrada]],TAB_ESTOQUE[[Codigo]:[Endereço2]],12,FALSE)</f>
        <v>A2406</v>
      </c>
      <c r="E925" s="14">
        <f>SUM(TAB_ENTRADA[[#This Row],[20/05/2019]:[Colunas1]])</f>
        <v>1</v>
      </c>
      <c r="F925" s="3"/>
      <c r="FK925" s="3">
        <v>1</v>
      </c>
    </row>
    <row r="926" spans="1:172" x14ac:dyDescent="0.25">
      <c r="A926" s="5" t="s">
        <v>2583</v>
      </c>
      <c r="B926" s="14" t="str">
        <f>VLOOKUP(TAB_ENTRADA[[#This Row],[Cod_2_Entrada]],TAB_ESTOQUE[[Codigo]:[Descrição Tecnica]],6,FALSE)</f>
        <v>MANGUEIRA P/ AQUECIMENTO DE ADESIVO / COLA MAKMELT BR17G294 6MT 230V 660W 1200SI</v>
      </c>
      <c r="C926" s="14">
        <f>IFERROR(VLOOKUP(TAB_ENTRADA[[#This Row],[Cod_2_Entrada]],TAB_ESTOQUE[[Codigo]:[Referência Tec]],7,FALSE),"")</f>
        <v>0</v>
      </c>
      <c r="D926" s="14" t="str">
        <f>VLOOKUP(TAB_ENTRADA[[#This Row],[Cod_2_Entrada]],TAB_ESTOQUE[[Codigo]:[Endereço2]],12,FALSE)</f>
        <v>A1101</v>
      </c>
      <c r="E926" s="14">
        <f>SUM(TAB_ENTRADA[[#This Row],[20/05/2019]:[Colunas1]])</f>
        <v>5</v>
      </c>
      <c r="F926" s="3"/>
      <c r="FK926" s="3">
        <v>1</v>
      </c>
      <c r="FP926" s="3">
        <v>4</v>
      </c>
    </row>
    <row r="927" spans="1:172" x14ac:dyDescent="0.25">
      <c r="A927" s="5" t="s">
        <v>2584</v>
      </c>
      <c r="B927" s="14" t="str">
        <f>VLOOKUP(TAB_ENTRADA[[#This Row],[Cod_2_Entrada]],TAB_ESTOQUE[[Codigo]:[Descrição Tecnica]],6,FALSE)</f>
        <v xml:space="preserve">INVERSOR DE FREQUENCIA WEG CFW500A043T4NB20 380-480VAC 5,2A </v>
      </c>
      <c r="C927" s="14">
        <f>IFERROR(VLOOKUP(TAB_ENTRADA[[#This Row],[Cod_2_Entrada]],TAB_ESTOQUE[[Codigo]:[Referência Tec]],7,FALSE),"")</f>
        <v>0</v>
      </c>
      <c r="D927" s="14" t="str">
        <f>VLOOKUP(TAB_ENTRADA[[#This Row],[Cod_2_Entrada]],TAB_ESTOQUE[[Codigo]:[Endereço2]],12,FALSE)</f>
        <v>B1303</v>
      </c>
      <c r="E927" s="14">
        <f>SUM(TAB_ENTRADA[[#This Row],[20/05/2019]:[Colunas1]])</f>
        <v>0</v>
      </c>
      <c r="F927" s="3"/>
      <c r="FK927" s="3">
        <v>0</v>
      </c>
    </row>
    <row r="928" spans="1:172" x14ac:dyDescent="0.25">
      <c r="A928" s="5" t="s">
        <v>2585</v>
      </c>
      <c r="B928" s="14" t="str">
        <f>VLOOKUP(TAB_ENTRADA[[#This Row],[Cod_2_Entrada]],TAB_ESTOQUE[[Codigo]:[Descrição Tecnica]],6,FALSE)</f>
        <v xml:space="preserve">IHM CONTROLADOR MAKMELT MOD. RK221-V2.5 90-240VCA </v>
      </c>
      <c r="C928" s="14">
        <f>IFERROR(VLOOKUP(TAB_ENTRADA[[#This Row],[Cod_2_Entrada]],TAB_ESTOQUE[[Codigo]:[Referência Tec]],7,FALSE),"")</f>
        <v>0</v>
      </c>
      <c r="D928" s="14" t="str">
        <f>VLOOKUP(TAB_ENTRADA[[#This Row],[Cod_2_Entrada]],TAB_ESTOQUE[[Codigo]:[Endereço2]],12,FALSE)</f>
        <v>A2202</v>
      </c>
      <c r="E928" s="14">
        <f>SUM(TAB_ENTRADA[[#This Row],[20/05/2019]:[Colunas1]])</f>
        <v>3</v>
      </c>
      <c r="F928" s="3"/>
      <c r="FK928" s="3">
        <v>3</v>
      </c>
    </row>
    <row r="929" spans="1:167" x14ac:dyDescent="0.25">
      <c r="A929" s="5" t="s">
        <v>2586</v>
      </c>
      <c r="B929" s="14" t="str">
        <f>VLOOKUP(TAB_ENTRADA[[#This Row],[Cod_2_Entrada]],TAB_ESTOQUE[[Codigo]:[Descrição Tecnica]],6,FALSE)</f>
        <v xml:space="preserve">MOLA DE COMPRESSAO DIN.20 X 120 X FIO 10 CHATO PASSO 10 BASE RETA </v>
      </c>
      <c r="C929" s="14">
        <f>IFERROR(VLOOKUP(TAB_ENTRADA[[#This Row],[Cod_2_Entrada]],TAB_ESTOQUE[[Codigo]:[Referência Tec]],7,FALSE),"")</f>
        <v>0</v>
      </c>
      <c r="D929" s="14" t="str">
        <f>VLOOKUP(TAB_ENTRADA[[#This Row],[Cod_2_Entrada]],TAB_ESTOQUE[[Codigo]:[Endereço2]],12,FALSE)</f>
        <v>D1106</v>
      </c>
      <c r="E929" s="14">
        <f>SUM(TAB_ENTRADA[[#This Row],[20/05/2019]:[Colunas1]])</f>
        <v>8</v>
      </c>
      <c r="F929" s="3"/>
      <c r="FK929" s="3">
        <v>8</v>
      </c>
    </row>
    <row r="930" spans="1:167" x14ac:dyDescent="0.25">
      <c r="A930" s="5" t="s">
        <v>2587</v>
      </c>
      <c r="B930" s="14" t="str">
        <f>VLOOKUP(TAB_ENTRADA[[#This Row],[Cod_2_Entrada]],TAB_ESTOQUE[[Codigo]:[Descrição Tecnica]],6,FALSE)</f>
        <v xml:space="preserve">TOMADA MACHO SIMPLES 2P +T 10A 280V  PLUG </v>
      </c>
      <c r="C930" s="14">
        <f>IFERROR(VLOOKUP(TAB_ENTRADA[[#This Row],[Cod_2_Entrada]],TAB_ESTOQUE[[Codigo]:[Referência Tec]],7,FALSE),"")</f>
        <v>0</v>
      </c>
      <c r="D930" s="14" t="str">
        <f>VLOOKUP(TAB_ENTRADA[[#This Row],[Cod_2_Entrada]],TAB_ESTOQUE[[Codigo]:[Endereço2]],12,FALSE)</f>
        <v>A1103</v>
      </c>
      <c r="E930" s="14">
        <f>SUM(TAB_ENTRADA[[#This Row],[20/05/2019]:[Colunas1]])</f>
        <v>1</v>
      </c>
      <c r="F930" s="3"/>
      <c r="FK930" s="3">
        <v>1</v>
      </c>
    </row>
    <row r="931" spans="1:167" x14ac:dyDescent="0.25">
      <c r="A931" s="5" t="s">
        <v>2588</v>
      </c>
      <c r="B931" s="14" t="str">
        <f>VLOOKUP(TAB_ENTRADA[[#This Row],[Cod_2_Entrada]],TAB_ESTOQUE[[Codigo]:[Descrição Tecnica]],6,FALSE)</f>
        <v>BLOCO DA CANETA TEE:60 KSI;3/8IN G2003</v>
      </c>
      <c r="C931" s="14">
        <f>IFERROR(VLOOKUP(TAB_ENTRADA[[#This Row],[Cod_2_Entrada]],TAB_ESTOQUE[[Codigo]:[Referência Tec]],7,FALSE),"")</f>
        <v>0</v>
      </c>
      <c r="D931" s="14" t="str">
        <f>VLOOKUP(TAB_ENTRADA[[#This Row],[Cod_2_Entrada]],TAB_ESTOQUE[[Codigo]:[Endereço2]],12,FALSE)</f>
        <v>D2204</v>
      </c>
      <c r="E931" s="14">
        <f>SUM(TAB_ENTRADA[[#This Row],[20/05/2019]:[Colunas1]])</f>
        <v>2</v>
      </c>
      <c r="F931" s="3"/>
      <c r="FK931" s="3">
        <v>2</v>
      </c>
    </row>
    <row r="932" spans="1:167" x14ac:dyDescent="0.25">
      <c r="A932" s="5" t="s">
        <v>2589</v>
      </c>
      <c r="B932" s="14" t="str">
        <f>VLOOKUP(TAB_ENTRADA[[#This Row],[Cod_2_Entrada]],TAB_ESTOQUE[[Codigo]:[Descrição Tecnica]],6,FALSE)</f>
        <v>CURVA R-CURTO 90° SOLDAVEL PVC 25MM</v>
      </c>
      <c r="C932" s="14">
        <f>IFERROR(VLOOKUP(TAB_ENTRADA[[#This Row],[Cod_2_Entrada]],TAB_ESTOQUE[[Codigo]:[Referência Tec]],7,FALSE),"")</f>
        <v>0</v>
      </c>
      <c r="D932" s="14" t="str">
        <f>VLOOKUP(TAB_ENTRADA[[#This Row],[Cod_2_Entrada]],TAB_ESTOQUE[[Codigo]:[Endereço2]],12,FALSE)</f>
        <v>D1302</v>
      </c>
      <c r="E932" s="14">
        <f>SUM(TAB_ENTRADA[[#This Row],[20/05/2019]:[Colunas1]])</f>
        <v>21</v>
      </c>
      <c r="F932" s="3"/>
      <c r="FK932" s="3">
        <v>21</v>
      </c>
    </row>
    <row r="933" spans="1:167" x14ac:dyDescent="0.25">
      <c r="A933" s="5" t="s">
        <v>2590</v>
      </c>
      <c r="B933" s="14" t="str">
        <f>VLOOKUP(TAB_ENTRADA[[#This Row],[Cod_2_Entrada]],TAB_ESTOQUE[[Codigo]:[Descrição Tecnica]],6,FALSE)</f>
        <v xml:space="preserve">UNIAO L/R 25X3/4" PVC </v>
      </c>
      <c r="C933" s="14">
        <f>IFERROR(VLOOKUP(TAB_ENTRADA[[#This Row],[Cod_2_Entrada]],TAB_ESTOQUE[[Codigo]:[Referência Tec]],7,FALSE),"")</f>
        <v>0</v>
      </c>
      <c r="D933" s="14" t="str">
        <f>VLOOKUP(TAB_ENTRADA[[#This Row],[Cod_2_Entrada]],TAB_ESTOQUE[[Codigo]:[Endereço2]],12,FALSE)</f>
        <v>D1302</v>
      </c>
      <c r="E933" s="14">
        <f>SUM(TAB_ENTRADA[[#This Row],[20/05/2019]:[Colunas1]])</f>
        <v>3</v>
      </c>
      <c r="F933" s="3"/>
      <c r="FK933" s="3">
        <v>3</v>
      </c>
    </row>
    <row r="934" spans="1:167" x14ac:dyDescent="0.25">
      <c r="A934" s="5" t="s">
        <v>2591</v>
      </c>
      <c r="B934" s="14" t="str">
        <f>VLOOKUP(TAB_ENTRADA[[#This Row],[Cod_2_Entrada]],TAB_ESTOQUE[[Codigo]:[Descrição Tecnica]],6,FALSE)</f>
        <v xml:space="preserve">T SOLDAVEL PVC 25MM </v>
      </c>
      <c r="C934" s="14">
        <f>IFERROR(VLOOKUP(TAB_ENTRADA[[#This Row],[Cod_2_Entrada]],TAB_ESTOQUE[[Codigo]:[Referência Tec]],7,FALSE),"")</f>
        <v>0</v>
      </c>
      <c r="D934" s="14" t="str">
        <f>VLOOKUP(TAB_ENTRADA[[#This Row],[Cod_2_Entrada]],TAB_ESTOQUE[[Codigo]:[Endereço2]],12,FALSE)</f>
        <v>D1302</v>
      </c>
      <c r="E934" s="14">
        <f>SUM(TAB_ENTRADA[[#This Row],[20/05/2019]:[Colunas1]])</f>
        <v>2</v>
      </c>
      <c r="F934" s="3"/>
      <c r="FK934" s="3">
        <v>2</v>
      </c>
    </row>
    <row r="935" spans="1:167" x14ac:dyDescent="0.25">
      <c r="A935" s="5" t="s">
        <v>2592</v>
      </c>
      <c r="B935" s="14" t="str">
        <f>VLOOKUP(TAB_ENTRADA[[#This Row],[Cod_2_Entrada]],TAB_ESTOQUE[[Codigo]:[Descrição Tecnica]],6,FALSE)</f>
        <v>VALVULA ESFERICA MANUAL SOLDAVEL PVC 25MM</v>
      </c>
      <c r="C935" s="14">
        <f>IFERROR(VLOOKUP(TAB_ENTRADA[[#This Row],[Cod_2_Entrada]],TAB_ESTOQUE[[Codigo]:[Referência Tec]],7,FALSE),"")</f>
        <v>0</v>
      </c>
      <c r="D935" s="14" t="str">
        <f>VLOOKUP(TAB_ENTRADA[[#This Row],[Cod_2_Entrada]],TAB_ESTOQUE[[Codigo]:[Endereço2]],12,FALSE)</f>
        <v>D1302</v>
      </c>
      <c r="E935" s="14">
        <f>SUM(TAB_ENTRADA[[#This Row],[20/05/2019]:[Colunas1]])</f>
        <v>0</v>
      </c>
      <c r="F935" s="3"/>
      <c r="FK935" s="3">
        <v>0</v>
      </c>
    </row>
    <row r="936" spans="1:167" x14ac:dyDescent="0.25">
      <c r="A936" s="5" t="s">
        <v>2593</v>
      </c>
      <c r="B936" s="14" t="str">
        <f>VLOOKUP(TAB_ENTRADA[[#This Row],[Cod_2_Entrada]],TAB_ESTOQUE[[Codigo]:[Descrição Tecnica]],6,FALSE)</f>
        <v>MANGUEIRA P/ AQUECIMENTO DE ADESIVO / COLA VALCO MELTON MOD. 981XX208 H6060 230V 840W 100BAR 230°C 4,8MT 16FT</v>
      </c>
      <c r="C936" s="14">
        <f>IFERROR(VLOOKUP(TAB_ENTRADA[[#This Row],[Cod_2_Entrada]],TAB_ESTOQUE[[Codigo]:[Referência Tec]],7,FALSE),"")</f>
        <v>0</v>
      </c>
      <c r="D936" s="14" t="str">
        <f>VLOOKUP(TAB_ENTRADA[[#This Row],[Cod_2_Entrada]],TAB_ESTOQUE[[Codigo]:[Endereço2]],12,FALSE)</f>
        <v>A1101</v>
      </c>
      <c r="E936" s="14">
        <f>SUM(TAB_ENTRADA[[#This Row],[20/05/2019]:[Colunas1]])</f>
        <v>1</v>
      </c>
      <c r="F936" s="3"/>
      <c r="FK936" s="3">
        <v>1</v>
      </c>
    </row>
    <row r="937" spans="1:167" x14ac:dyDescent="0.25">
      <c r="A937" s="5" t="s">
        <v>2594</v>
      </c>
      <c r="B937" s="14" t="str">
        <f>VLOOKUP(TAB_ENTRADA[[#This Row],[Cod_2_Entrada]],TAB_ESTOQUE[[Codigo]:[Descrição Tecnica]],6,FALSE)</f>
        <v>CILINDRO DO CABECOTE DE ALTA PRESSAO WSI PN: SP05144647 SLIV;  SLV    HP CYLINDER 72119544</v>
      </c>
      <c r="C937" s="14">
        <f>IFERROR(VLOOKUP(TAB_ENTRADA[[#This Row],[Cod_2_Entrada]],TAB_ESTOQUE[[Codigo]:[Referência Tec]],7,FALSE),"")</f>
        <v>0</v>
      </c>
      <c r="D937" s="14" t="str">
        <f>VLOOKUP(TAB_ENTRADA[[#This Row],[Cod_2_Entrada]],TAB_ESTOQUE[[Codigo]:[Endereço2]],12,FALSE)</f>
        <v>E2103</v>
      </c>
      <c r="E937" s="14">
        <f>SUM(TAB_ENTRADA[[#This Row],[20/05/2019]:[Colunas1]])</f>
        <v>0</v>
      </c>
      <c r="F937" s="3"/>
      <c r="FK937" s="3">
        <v>0</v>
      </c>
    </row>
    <row r="938" spans="1:167" x14ac:dyDescent="0.25">
      <c r="A938" s="5" t="s">
        <v>2595</v>
      </c>
      <c r="B938" s="14" t="str">
        <f>VLOOKUP(TAB_ENTRADA[[#This Row],[Cod_2_Entrada]],TAB_ESTOQUE[[Codigo]:[Descrição Tecnica]],6,FALSE)</f>
        <v>SENSOR FIM DE CURSO ZCKD02</v>
      </c>
      <c r="C938" s="14">
        <f>IFERROR(VLOOKUP(TAB_ENTRADA[[#This Row],[Cod_2_Entrada]],TAB_ESTOQUE[[Codigo]:[Referência Tec]],7,FALSE),"")</f>
        <v>0</v>
      </c>
      <c r="D938" s="14" t="str">
        <f>VLOOKUP(TAB_ENTRADA[[#This Row],[Cod_2_Entrada]],TAB_ESTOQUE[[Codigo]:[Endereço2]],12,FALSE)</f>
        <v>A2205</v>
      </c>
      <c r="E938" s="14">
        <f>SUM(TAB_ENTRADA[[#This Row],[20/05/2019]:[Colunas1]])</f>
        <v>1</v>
      </c>
      <c r="F938" s="3"/>
      <c r="FK938" s="3">
        <v>1</v>
      </c>
    </row>
    <row r="939" spans="1:167" x14ac:dyDescent="0.25">
      <c r="A939" s="5" t="s">
        <v>2596</v>
      </c>
      <c r="B939" s="14" t="str">
        <f>VLOOKUP(TAB_ENTRADA[[#This Row],[Cod_2_Entrada]],TAB_ESTOQUE[[Codigo]:[Descrição Tecnica]],6,FALSE)</f>
        <v>CANJUNTO BARREIRA DE LUZ SCHMERSAL (5C100112015) (5C10011161)</v>
      </c>
      <c r="C939" s="14">
        <f>IFERROR(VLOOKUP(TAB_ENTRADA[[#This Row],[Cod_2_Entrada]],TAB_ESTOQUE[[Codigo]:[Referência Tec]],7,FALSE),"")</f>
        <v>0</v>
      </c>
      <c r="D939" s="14" t="str">
        <f>VLOOKUP(TAB_ENTRADA[[#This Row],[Cod_2_Entrada]],TAB_ESTOQUE[[Codigo]:[Endereço2]],12,FALSE)</f>
        <v>F2401</v>
      </c>
      <c r="E939" s="14">
        <f>SUM(TAB_ENTRADA[[#This Row],[20/05/2019]:[Colunas1]])</f>
        <v>1</v>
      </c>
      <c r="F939" s="3"/>
      <c r="FK939" s="3">
        <v>1</v>
      </c>
    </row>
    <row r="940" spans="1:167" x14ac:dyDescent="0.25">
      <c r="A940" s="5" t="s">
        <v>2597</v>
      </c>
      <c r="B940" s="14" t="str">
        <f>VLOOKUP(TAB_ENTRADA[[#This Row],[Cod_2_Entrada]],TAB_ESTOQUE[[Codigo]:[Descrição Tecnica]],6,FALSE)</f>
        <v xml:space="preserve">REDUTOR  MOTOVARIO 6728786-003 </v>
      </c>
      <c r="C940" s="14">
        <f>IFERROR(VLOOKUP(TAB_ENTRADA[[#This Row],[Cod_2_Entrada]],TAB_ESTOQUE[[Codigo]:[Referência Tec]],7,FALSE),"")</f>
        <v>0</v>
      </c>
      <c r="D940" s="14" t="str">
        <f>VLOOKUP(TAB_ENTRADA[[#This Row],[Cod_2_Entrada]],TAB_ESTOQUE[[Codigo]:[Endereço2]],12,FALSE)</f>
        <v>G1105</v>
      </c>
      <c r="E940" s="14">
        <f>SUM(TAB_ENTRADA[[#This Row],[20/05/2019]:[Colunas1]])</f>
        <v>1</v>
      </c>
      <c r="F940" s="3"/>
      <c r="FK940" s="3">
        <v>1</v>
      </c>
    </row>
    <row r="941" spans="1:167" x14ac:dyDescent="0.25">
      <c r="A941" s="5" t="s">
        <v>2598</v>
      </c>
      <c r="B941" s="14" t="str">
        <f>VLOOKUP(TAB_ENTRADA[[#This Row],[Cod_2_Entrada]],TAB_ESTOQUE[[Codigo]:[Descrição Tecnica]],6,FALSE)</f>
        <v>MODULO REDUTOR  MOTOVARIO NMRV 040</v>
      </c>
      <c r="C941" s="14">
        <f>IFERROR(VLOOKUP(TAB_ENTRADA[[#This Row],[Cod_2_Entrada]],TAB_ESTOQUE[[Codigo]:[Referência Tec]],7,FALSE),"")</f>
        <v>0</v>
      </c>
      <c r="D941" s="14" t="str">
        <f>VLOOKUP(TAB_ENTRADA[[#This Row],[Cod_2_Entrada]],TAB_ESTOQUE[[Codigo]:[Endereço2]],12,FALSE)</f>
        <v>E2103</v>
      </c>
      <c r="E941" s="14">
        <f>SUM(TAB_ENTRADA[[#This Row],[20/05/2019]:[Colunas1]])</f>
        <v>2</v>
      </c>
      <c r="F941" s="3"/>
      <c r="FK941" s="3">
        <v>2</v>
      </c>
    </row>
    <row r="942" spans="1:167" x14ac:dyDescent="0.25">
      <c r="A942" s="5" t="s">
        <v>2599</v>
      </c>
      <c r="B942" s="14" t="str">
        <f>VLOOKUP(TAB_ENTRADA[[#This Row],[Cod_2_Entrada]],TAB_ESTOQUE[[Codigo]:[Descrição Tecnica]],6,FALSE)</f>
        <v>ROLAMENTO LINEAR BARRA/ROSCA PMI S4-16000376-20 1RS0-10T6-FSIN-106-9RF S15010329</v>
      </c>
      <c r="C942" s="14">
        <f>IFERROR(VLOOKUP(TAB_ENTRADA[[#This Row],[Cod_2_Entrada]],TAB_ESTOQUE[[Codigo]:[Referência Tec]],7,FALSE),"")</f>
        <v>0</v>
      </c>
      <c r="D942" s="14" t="str">
        <f>VLOOKUP(TAB_ENTRADA[[#This Row],[Cod_2_Entrada]],TAB_ESTOQUE[[Codigo]:[Endereço2]],12,FALSE)</f>
        <v>D1105</v>
      </c>
      <c r="E942" s="14">
        <f>SUM(TAB_ENTRADA[[#This Row],[20/05/2019]:[Colunas1]])</f>
        <v>2</v>
      </c>
      <c r="F942" s="3"/>
      <c r="FK942" s="3">
        <v>2</v>
      </c>
    </row>
    <row r="943" spans="1:167" x14ac:dyDescent="0.25">
      <c r="A943" s="5" t="s">
        <v>2600</v>
      </c>
      <c r="B943" s="14" t="str">
        <f>VLOOKUP(TAB_ENTRADA[[#This Row],[Cod_2_Entrada]],TAB_ESTOQUE[[Codigo]:[Descrição Tecnica]],6,FALSE)</f>
        <v xml:space="preserve">MODULO REDUTOR  MOTOVARIO NMRV 030 </v>
      </c>
      <c r="C943" s="14">
        <f>IFERROR(VLOOKUP(TAB_ENTRADA[[#This Row],[Cod_2_Entrada]],TAB_ESTOQUE[[Codigo]:[Referência Tec]],7,FALSE),"")</f>
        <v>0</v>
      </c>
      <c r="D943" s="14" t="str">
        <f>VLOOKUP(TAB_ENTRADA[[#This Row],[Cod_2_Entrada]],TAB_ESTOQUE[[Codigo]:[Endereço2]],12,FALSE)</f>
        <v>G1106</v>
      </c>
      <c r="E943" s="14">
        <f>SUM(TAB_ENTRADA[[#This Row],[20/05/2019]:[Colunas1]])</f>
        <v>1</v>
      </c>
      <c r="F943" s="3"/>
      <c r="FK943" s="3">
        <v>1</v>
      </c>
    </row>
    <row r="944" spans="1:167" x14ac:dyDescent="0.25">
      <c r="A944" s="5" t="s">
        <v>2601</v>
      </c>
      <c r="B944" s="14" t="str">
        <f>VLOOKUP(TAB_ENTRADA[[#This Row],[Cod_2_Entrada]],TAB_ESTOQUE[[Codigo]:[Descrição Tecnica]],6,FALSE)</f>
        <v xml:space="preserve">SENSOR OPTICO SICK WTB12-3P2431 </v>
      </c>
      <c r="C944" s="14">
        <f>IFERROR(VLOOKUP(TAB_ENTRADA[[#This Row],[Cod_2_Entrada]],TAB_ESTOQUE[[Codigo]:[Referência Tec]],7,FALSE),"")</f>
        <v>0</v>
      </c>
      <c r="D944" s="14" t="str">
        <f>VLOOKUP(TAB_ENTRADA[[#This Row],[Cod_2_Entrada]],TAB_ESTOQUE[[Codigo]:[Endereço2]],12,FALSE)</f>
        <v>A1103</v>
      </c>
      <c r="E944" s="14">
        <f>SUM(TAB_ENTRADA[[#This Row],[20/05/2019]:[Colunas1]])</f>
        <v>7</v>
      </c>
      <c r="F944" s="3"/>
      <c r="FK944" s="3">
        <v>7</v>
      </c>
    </row>
    <row r="945" spans="1:167" x14ac:dyDescent="0.25">
      <c r="A945" s="5" t="s">
        <v>2602</v>
      </c>
      <c r="B945" s="14" t="str">
        <f>VLOOKUP(TAB_ENTRADA[[#This Row],[Cod_2_Entrada]],TAB_ESTOQUE[[Codigo]:[Descrição Tecnica]],6,FALSE)</f>
        <v>INVERSOR LENZE E84AVBDE2512SX0</v>
      </c>
      <c r="C945" s="14">
        <f>IFERROR(VLOOKUP(TAB_ENTRADA[[#This Row],[Cod_2_Entrada]],TAB_ESTOQUE[[Codigo]:[Referência Tec]],7,FALSE),"")</f>
        <v>0</v>
      </c>
      <c r="D945" s="14" t="str">
        <f>VLOOKUP(TAB_ENTRADA[[#This Row],[Cod_2_Entrada]],TAB_ESTOQUE[[Codigo]:[Endereço2]],12,FALSE)</f>
        <v>B1303</v>
      </c>
      <c r="E945" s="14">
        <f>SUM(TAB_ENTRADA[[#This Row],[20/05/2019]:[Colunas1]])</f>
        <v>1</v>
      </c>
      <c r="F945" s="3"/>
      <c r="FK945" s="3">
        <v>1</v>
      </c>
    </row>
    <row r="946" spans="1:167" x14ac:dyDescent="0.25">
      <c r="A946" s="5" t="s">
        <v>2603</v>
      </c>
      <c r="B946" s="14" t="str">
        <f>VLOOKUP(TAB_ENTRADA[[#This Row],[Cod_2_Entrada]],TAB_ESTOQUE[[Codigo]:[Descrição Tecnica]],6,FALSE)</f>
        <v>CHAVE ELETRICA REVERSORA MARGIRUIS CR830 30A SERIE 800</v>
      </c>
      <c r="C946" s="14">
        <f>IFERROR(VLOOKUP(TAB_ENTRADA[[#This Row],[Cod_2_Entrada]],TAB_ESTOQUE[[Codigo]:[Referência Tec]],7,FALSE),"")</f>
        <v>0</v>
      </c>
      <c r="D946" s="14" t="str">
        <f>VLOOKUP(TAB_ENTRADA[[#This Row],[Cod_2_Entrada]],TAB_ESTOQUE[[Codigo]:[Endereço2]],12,FALSE)</f>
        <v>A1103</v>
      </c>
      <c r="E946" s="14">
        <f>SUM(TAB_ENTRADA[[#This Row],[20/05/2019]:[Colunas1]])</f>
        <v>2</v>
      </c>
      <c r="F946" s="3"/>
      <c r="FK946" s="3">
        <v>2</v>
      </c>
    </row>
    <row r="947" spans="1:167" x14ac:dyDescent="0.25">
      <c r="A947" s="5" t="s">
        <v>2604</v>
      </c>
      <c r="B947" s="14" t="str">
        <f>VLOOKUP(TAB_ENTRADA[[#This Row],[Cod_2_Entrada]],TAB_ESTOQUE[[Codigo]:[Descrição Tecnica]],6,FALSE)</f>
        <v xml:space="preserve">REDUTOR MECANICO UNIMEC TIPO TPR-00204 1/5 FOMA B </v>
      </c>
      <c r="C947" s="14">
        <f>IFERROR(VLOOKUP(TAB_ENTRADA[[#This Row],[Cod_2_Entrada]],TAB_ESTOQUE[[Codigo]:[Referência Tec]],7,FALSE),"")</f>
        <v>0</v>
      </c>
      <c r="D947" s="14" t="str">
        <f>VLOOKUP(TAB_ENTRADA[[#This Row],[Cod_2_Entrada]],TAB_ESTOQUE[[Codigo]:[Endereço2]],12,FALSE)</f>
        <v>G2101</v>
      </c>
      <c r="E947" s="14">
        <f>SUM(TAB_ENTRADA[[#This Row],[20/05/2019]:[Colunas1]])</f>
        <v>2</v>
      </c>
      <c r="F947" s="3"/>
      <c r="FK947" s="3">
        <v>2</v>
      </c>
    </row>
    <row r="948" spans="1:167" x14ac:dyDescent="0.25">
      <c r="A948" s="5" t="s">
        <v>2605</v>
      </c>
      <c r="B948" s="14" t="str">
        <f>VLOOKUP(TAB_ENTRADA[[#This Row],[Cod_2_Entrada]],TAB_ESTOQUE[[Codigo]:[Descrição Tecnica]],6,FALSE)</f>
        <v xml:space="preserve">TOMADA FEMEA SIMPLES 2P 10A 250V PLUG </v>
      </c>
      <c r="C948" s="14">
        <f>IFERROR(VLOOKUP(TAB_ENTRADA[[#This Row],[Cod_2_Entrada]],TAB_ESTOQUE[[Codigo]:[Referência Tec]],7,FALSE),"")</f>
        <v>0</v>
      </c>
      <c r="D948" s="14" t="str">
        <f>VLOOKUP(TAB_ENTRADA[[#This Row],[Cod_2_Entrada]],TAB_ESTOQUE[[Codigo]:[Endereço2]],12,FALSE)</f>
        <v>A1103</v>
      </c>
      <c r="E948" s="14">
        <f>SUM(TAB_ENTRADA[[#This Row],[20/05/2019]:[Colunas1]])</f>
        <v>10</v>
      </c>
      <c r="F948" s="3"/>
      <c r="FK948" s="3">
        <v>10</v>
      </c>
    </row>
    <row r="949" spans="1:167" x14ac:dyDescent="0.25">
      <c r="A949" s="5" t="s">
        <v>2606</v>
      </c>
      <c r="B949" s="14" t="str">
        <f>VLOOKUP(TAB_ENTRADA[[#This Row],[Cod_2_Entrada]],TAB_ESTOQUE[[Codigo]:[Descrição Tecnica]],6,FALSE)</f>
        <v xml:space="preserve">ROLAMENTO RIGIDO DE ESFERA 6902D NSK </v>
      </c>
      <c r="C949" s="14">
        <f>IFERROR(VLOOKUP(TAB_ENTRADA[[#This Row],[Cod_2_Entrada]],TAB_ESTOQUE[[Codigo]:[Referência Tec]],7,FALSE),"")</f>
        <v>0</v>
      </c>
      <c r="D949" s="14" t="str">
        <f>VLOOKUP(TAB_ENTRADA[[#This Row],[Cod_2_Entrada]],TAB_ESTOQUE[[Codigo]:[Endereço2]],12,FALSE)</f>
        <v>D2104</v>
      </c>
      <c r="E949" s="14">
        <f>SUM(TAB_ENTRADA[[#This Row],[20/05/2019]:[Colunas1]])</f>
        <v>35</v>
      </c>
      <c r="F949" s="3"/>
      <c r="FK949" s="3">
        <v>35</v>
      </c>
    </row>
    <row r="950" spans="1:167" x14ac:dyDescent="0.25">
      <c r="A950" s="5" t="s">
        <v>2607</v>
      </c>
      <c r="B950" s="14" t="str">
        <f>VLOOKUP(TAB_ENTRADA[[#This Row],[Cod_2_Entrada]],TAB_ESTOQUE[[Codigo]:[Descrição Tecnica]],6,FALSE)</f>
        <v>ASSENTO BLOCO DE CANETA VL 10188233</v>
      </c>
      <c r="C950" s="14">
        <f>IFERROR(VLOOKUP(TAB_ENTRADA[[#This Row],[Cod_2_Entrada]],TAB_ESTOQUE[[Codigo]:[Referência Tec]],7,FALSE),"")</f>
        <v>0</v>
      </c>
      <c r="D950" s="14" t="str">
        <f>VLOOKUP(TAB_ENTRADA[[#This Row],[Cod_2_Entrada]],TAB_ESTOQUE[[Codigo]:[Endereço2]],12,FALSE)</f>
        <v>D2203</v>
      </c>
      <c r="E950" s="14">
        <f>SUM(TAB_ENTRADA[[#This Row],[20/05/2019]:[Colunas1]])</f>
        <v>3</v>
      </c>
      <c r="F950" s="3"/>
      <c r="FK950" s="3">
        <v>3</v>
      </c>
    </row>
    <row r="951" spans="1:167" x14ac:dyDescent="0.25">
      <c r="A951" s="5" t="s">
        <v>2608</v>
      </c>
      <c r="B951" s="14" t="str">
        <f>VLOOKUP(TAB_ENTRADA[[#This Row],[Cod_2_Entrada]],TAB_ESTOQUE[[Codigo]:[Descrição Tecnica]],6,FALSE)</f>
        <v>SUPORTE PARA SENSOR 2012938 D-79183 SICK</v>
      </c>
      <c r="C951" s="14">
        <f>IFERROR(VLOOKUP(TAB_ENTRADA[[#This Row],[Cod_2_Entrada]],TAB_ESTOQUE[[Codigo]:[Referência Tec]],7,FALSE),"")</f>
        <v>0</v>
      </c>
      <c r="D951" s="14" t="str">
        <f>VLOOKUP(TAB_ENTRADA[[#This Row],[Cod_2_Entrada]],TAB_ESTOQUE[[Codigo]:[Endereço2]],12,FALSE)</f>
        <v>A2103</v>
      </c>
      <c r="E951" s="14">
        <f>SUM(TAB_ENTRADA[[#This Row],[20/05/2019]:[Colunas1]])</f>
        <v>6</v>
      </c>
      <c r="F951" s="3"/>
      <c r="FK951" s="3">
        <v>6</v>
      </c>
    </row>
    <row r="952" spans="1:167" x14ac:dyDescent="0.25">
      <c r="A952" s="5" t="s">
        <v>2609</v>
      </c>
      <c r="B952" s="14" t="str">
        <f>VLOOKUP(TAB_ENTRADA[[#This Row],[Cod_2_Entrada]],TAB_ESTOQUE[[Codigo]:[Descrição Tecnica]],6,FALSE)</f>
        <v>SUPORTE PARA SENSOR 2013942 SICK AG, D-79183</v>
      </c>
      <c r="C952" s="14">
        <f>IFERROR(VLOOKUP(TAB_ENTRADA[[#This Row],[Cod_2_Entrada]],TAB_ESTOQUE[[Codigo]:[Referência Tec]],7,FALSE),"")</f>
        <v>0</v>
      </c>
      <c r="D952" s="14" t="str">
        <f>VLOOKUP(TAB_ENTRADA[[#This Row],[Cod_2_Entrada]],TAB_ESTOQUE[[Codigo]:[Endereço2]],12,FALSE)</f>
        <v>A2103</v>
      </c>
      <c r="E952" s="14">
        <f>SUM(TAB_ENTRADA[[#This Row],[20/05/2019]:[Colunas1]])</f>
        <v>9</v>
      </c>
      <c r="F952" s="3"/>
      <c r="FK952" s="3">
        <v>9</v>
      </c>
    </row>
    <row r="953" spans="1:167" x14ac:dyDescent="0.25">
      <c r="A953" s="5" t="s">
        <v>2610</v>
      </c>
      <c r="B953" s="14" t="str">
        <f>VLOOKUP(TAB_ENTRADA[[#This Row],[Cod_2_Entrada]],TAB_ESTOQUE[[Codigo]:[Descrição Tecnica]],6,FALSE)</f>
        <v>FUSIVEL DE VIDRO 1A</v>
      </c>
      <c r="C953" s="14">
        <f>IFERROR(VLOOKUP(TAB_ENTRADA[[#This Row],[Cod_2_Entrada]],TAB_ESTOQUE[[Codigo]:[Referência Tec]],7,FALSE),"")</f>
        <v>0</v>
      </c>
      <c r="D953" s="14" t="str">
        <f>VLOOKUP(TAB_ENTRADA[[#This Row],[Cod_2_Entrada]],TAB_ESTOQUE[[Codigo]:[Endereço2]],12,FALSE)</f>
        <v>A1204</v>
      </c>
      <c r="E953" s="14">
        <f>SUM(TAB_ENTRADA[[#This Row],[20/05/2019]:[Colunas1]])</f>
        <v>1</v>
      </c>
      <c r="F953" s="3"/>
      <c r="FK953" s="3">
        <v>1</v>
      </c>
    </row>
    <row r="954" spans="1:167" x14ac:dyDescent="0.25">
      <c r="A954" s="5" t="s">
        <v>2611</v>
      </c>
      <c r="B954" s="14" t="str">
        <f>VLOOKUP(TAB_ENTRADA[[#This Row],[Cod_2_Entrada]],TAB_ESTOQUE[[Codigo]:[Descrição Tecnica]],6,FALSE)</f>
        <v>PRENSA TERMINAL DE AÇO CPH 8-10</v>
      </c>
      <c r="C954" s="14">
        <f>IFERROR(VLOOKUP(TAB_ENTRADA[[#This Row],[Cod_2_Entrada]],TAB_ESTOQUE[[Codigo]:[Referência Tec]],7,FALSE),"")</f>
        <v>0</v>
      </c>
      <c r="D954" s="14" t="str">
        <f>VLOOKUP(TAB_ENTRADA[[#This Row],[Cod_2_Entrada]],TAB_ESTOQUE[[Codigo]:[Endereço2]],12,FALSE)</f>
        <v>A1202</v>
      </c>
      <c r="E954" s="14">
        <f>SUM(TAB_ENTRADA[[#This Row],[20/05/2019]:[Colunas1]])</f>
        <v>160</v>
      </c>
      <c r="F954" s="3"/>
      <c r="FK954" s="3">
        <v>160</v>
      </c>
    </row>
    <row r="955" spans="1:167" x14ac:dyDescent="0.25">
      <c r="A955" s="5" t="s">
        <v>2612</v>
      </c>
      <c r="B955" s="14" t="str">
        <f>VLOOKUP(TAB_ENTRADA[[#This Row],[Cod_2_Entrada]],TAB_ESTOQUE[[Codigo]:[Descrição Tecnica]],6,FALSE)</f>
        <v>PRENSA TERMINAL DE AÇO 120MM</v>
      </c>
      <c r="C955" s="14">
        <f>IFERROR(VLOOKUP(TAB_ENTRADA[[#This Row],[Cod_2_Entrada]],TAB_ESTOQUE[[Codigo]:[Referência Tec]],7,FALSE),"")</f>
        <v>0</v>
      </c>
      <c r="D955" s="14" t="str">
        <f>VLOOKUP(TAB_ENTRADA[[#This Row],[Cod_2_Entrada]],TAB_ESTOQUE[[Codigo]:[Endereço2]],12,FALSE)</f>
        <v>A1202</v>
      </c>
      <c r="E955" s="14">
        <f>SUM(TAB_ENTRADA[[#This Row],[20/05/2019]:[Colunas1]])</f>
        <v>0</v>
      </c>
      <c r="F955" s="3"/>
      <c r="FK955" s="3">
        <v>0</v>
      </c>
    </row>
    <row r="956" spans="1:167" x14ac:dyDescent="0.25">
      <c r="A956" s="5" t="s">
        <v>2613</v>
      </c>
      <c r="B956" s="14" t="str">
        <f>VLOOKUP(TAB_ENTRADA[[#This Row],[Cod_2_Entrada]],TAB_ESTOQUE[[Codigo]:[Descrição Tecnica]],6,FALSE)</f>
        <v>AMORTECEDOR MOLA GAS 1250N MG06 159 0422 1250K</v>
      </c>
      <c r="C956" s="14">
        <f>IFERROR(VLOOKUP(TAB_ENTRADA[[#This Row],[Cod_2_Entrada]],TAB_ESTOQUE[[Codigo]:[Referência Tec]],7,FALSE),"")</f>
        <v>0</v>
      </c>
      <c r="D956" s="14" t="str">
        <f>VLOOKUP(TAB_ENTRADA[[#This Row],[Cod_2_Entrada]],TAB_ESTOQUE[[Codigo]:[Endereço2]],12,FALSE)</f>
        <v>D2304</v>
      </c>
      <c r="E956" s="14">
        <f>SUM(TAB_ENTRADA[[#This Row],[20/05/2019]:[Colunas1]])</f>
        <v>3</v>
      </c>
      <c r="F956" s="3"/>
      <c r="FK956" s="3">
        <v>3</v>
      </c>
    </row>
    <row r="957" spans="1:167" x14ac:dyDescent="0.25">
      <c r="A957" s="5" t="s">
        <v>2614</v>
      </c>
      <c r="B957" s="14" t="str">
        <f>VLOOKUP(TAB_ENTRADA[[#This Row],[Cod_2_Entrada]],TAB_ESTOQUE[[Codigo]:[Descrição Tecnica]],6,FALSE)</f>
        <v>KIT PISTOLA DE COLA TS-2007B-14 (MSD)</v>
      </c>
      <c r="C957" s="14">
        <f>IFERROR(VLOOKUP(TAB_ENTRADA[[#This Row],[Cod_2_Entrada]],TAB_ESTOQUE[[Codigo]:[Referência Tec]],7,FALSE),"")</f>
        <v>0</v>
      </c>
      <c r="D957" s="14" t="str">
        <f>VLOOKUP(TAB_ENTRADA[[#This Row],[Cod_2_Entrada]],TAB_ESTOQUE[[Codigo]:[Endereço2]],12,FALSE)</f>
        <v>E2302</v>
      </c>
      <c r="E957" s="14">
        <f>SUM(TAB_ENTRADA[[#This Row],[20/05/2019]:[Colunas1]])</f>
        <v>0</v>
      </c>
      <c r="F957" s="3"/>
      <c r="FK957" s="3">
        <v>0</v>
      </c>
    </row>
    <row r="958" spans="1:167" x14ac:dyDescent="0.25">
      <c r="A958" s="5" t="s">
        <v>2615</v>
      </c>
      <c r="B958" s="14" t="str">
        <f>VLOOKUP(TAB_ENTRADA[[#This Row],[Cod_2_Entrada]],TAB_ESTOQUE[[Codigo]:[Descrição Tecnica]],6,FALSE)</f>
        <v>BORNE CINZA UJ5-2.5</v>
      </c>
      <c r="C958" s="14">
        <f>IFERROR(VLOOKUP(TAB_ENTRADA[[#This Row],[Cod_2_Entrada]],TAB_ESTOQUE[[Codigo]:[Referência Tec]],7,FALSE),"")</f>
        <v>0</v>
      </c>
      <c r="D958" s="14" t="str">
        <f>VLOOKUP(TAB_ENTRADA[[#This Row],[Cod_2_Entrada]],TAB_ESTOQUE[[Codigo]:[Endereço2]],12,FALSE)</f>
        <v>A2103</v>
      </c>
      <c r="E958" s="14">
        <f>SUM(TAB_ENTRADA[[#This Row],[20/05/2019]:[Colunas1]])</f>
        <v>4</v>
      </c>
      <c r="F958" s="3"/>
      <c r="FK958" s="3">
        <v>4</v>
      </c>
    </row>
    <row r="959" spans="1:167" x14ac:dyDescent="0.25">
      <c r="A959" s="5" t="s">
        <v>2616</v>
      </c>
      <c r="B959" s="14" t="str">
        <f>VLOOKUP(TAB_ENTRADA[[#This Row],[Cod_2_Entrada]],TAB_ESTOQUE[[Codigo]:[Descrição Tecnica]],6,FALSE)</f>
        <v>BORNE GREME UT2-2.5(T)</v>
      </c>
      <c r="C959" s="14">
        <f>IFERROR(VLOOKUP(TAB_ENTRADA[[#This Row],[Cod_2_Entrada]],TAB_ESTOQUE[[Codigo]:[Referência Tec]],7,FALSE),"")</f>
        <v>0</v>
      </c>
      <c r="D959" s="14" t="str">
        <f>VLOOKUP(TAB_ENTRADA[[#This Row],[Cod_2_Entrada]],TAB_ESTOQUE[[Codigo]:[Endereço2]],12,FALSE)</f>
        <v>A2103</v>
      </c>
      <c r="E959" s="14">
        <f>SUM(TAB_ENTRADA[[#This Row],[20/05/2019]:[Colunas1]])</f>
        <v>12</v>
      </c>
      <c r="F959" s="3"/>
      <c r="FK959" s="3">
        <v>12</v>
      </c>
    </row>
    <row r="960" spans="1:167" x14ac:dyDescent="0.25">
      <c r="A960" s="5" t="s">
        <v>2617</v>
      </c>
      <c r="B960" s="14" t="str">
        <f>VLOOKUP(TAB_ENTRADA[[#This Row],[Cod_2_Entrada]],TAB_ESTOQUE[[Codigo]:[Descrição Tecnica]],6,FALSE)</f>
        <v>BRONE AZUL UT2-6(T)</v>
      </c>
      <c r="C960" s="14">
        <f>IFERROR(VLOOKUP(TAB_ENTRADA[[#This Row],[Cod_2_Entrada]],TAB_ESTOQUE[[Codigo]:[Referência Tec]],7,FALSE),"")</f>
        <v>0</v>
      </c>
      <c r="D960" s="14" t="str">
        <f>VLOOKUP(TAB_ENTRADA[[#This Row],[Cod_2_Entrada]],TAB_ESTOQUE[[Codigo]:[Endereço2]],12,FALSE)</f>
        <v>A2103</v>
      </c>
      <c r="E960" s="14">
        <f>SUM(TAB_ENTRADA[[#This Row],[20/05/2019]:[Colunas1]])</f>
        <v>63</v>
      </c>
      <c r="F960" s="3"/>
      <c r="FK960" s="3">
        <v>63</v>
      </c>
    </row>
    <row r="961" spans="1:167" x14ac:dyDescent="0.25">
      <c r="A961" s="5" t="s">
        <v>2618</v>
      </c>
      <c r="B961" s="14" t="str">
        <f>VLOOKUP(TAB_ENTRADA[[#This Row],[Cod_2_Entrada]],TAB_ESTOQUE[[Codigo]:[Descrição Tecnica]],6,FALSE)</f>
        <v>BORNE MARROM EW35</v>
      </c>
      <c r="C961" s="14">
        <f>IFERROR(VLOOKUP(TAB_ENTRADA[[#This Row],[Cod_2_Entrada]],TAB_ESTOQUE[[Codigo]:[Referência Tec]],7,FALSE),"")</f>
        <v>0</v>
      </c>
      <c r="D961" s="14" t="str">
        <f>VLOOKUP(TAB_ENTRADA[[#This Row],[Cod_2_Entrada]],TAB_ESTOQUE[[Codigo]:[Endereço2]],12,FALSE)</f>
        <v>A2103</v>
      </c>
      <c r="E961" s="14">
        <f>SUM(TAB_ENTRADA[[#This Row],[20/05/2019]:[Colunas1]])</f>
        <v>8</v>
      </c>
      <c r="F961" s="3"/>
      <c r="FK961" s="3">
        <v>8</v>
      </c>
    </row>
    <row r="962" spans="1:167" x14ac:dyDescent="0.25">
      <c r="A962" s="5" t="s">
        <v>2619</v>
      </c>
      <c r="B962" s="14" t="str">
        <f>VLOOKUP(TAB_ENTRADA[[#This Row],[Cod_2_Entrada]],TAB_ESTOQUE[[Codigo]:[Descrição Tecnica]],6,FALSE)</f>
        <v xml:space="preserve">BOTÃO DUPLO FACEADO CEW-BDM-11000000 (WEG)  LIGAR  DESLIGA  1NA + 1NF </v>
      </c>
      <c r="C962" s="14">
        <f>IFERROR(VLOOKUP(TAB_ENTRADA[[#This Row],[Cod_2_Entrada]],TAB_ESTOQUE[[Codigo]:[Referência Tec]],7,FALSE),"")</f>
        <v>0</v>
      </c>
      <c r="D962" s="14" t="str">
        <f>VLOOKUP(TAB_ENTRADA[[#This Row],[Cod_2_Entrada]],TAB_ESTOQUE[[Codigo]:[Endereço2]],12,FALSE)</f>
        <v>A1305</v>
      </c>
      <c r="E962" s="14">
        <f>SUM(TAB_ENTRADA[[#This Row],[20/05/2019]:[Colunas1]])</f>
        <v>0</v>
      </c>
      <c r="F962" s="3"/>
      <c r="FK962" s="3">
        <v>0</v>
      </c>
    </row>
    <row r="963" spans="1:167" x14ac:dyDescent="0.25">
      <c r="A963" s="5" t="s">
        <v>2620</v>
      </c>
      <c r="B963" s="14" t="str">
        <f>VLOOKUP(TAB_ENTRADA[[#This Row],[Cod_2_Entrada]],TAB_ESTOQUE[[Codigo]:[Descrição Tecnica]],6,FALSE)</f>
        <v>AMORTECEDOR MOLA GAS 900N MG10 220 0542 0900J (RUBIGRUN)</v>
      </c>
      <c r="C963" s="14">
        <f>IFERROR(VLOOKUP(TAB_ENTRADA[[#This Row],[Cod_2_Entrada]],TAB_ESTOQUE[[Codigo]:[Referência Tec]],7,FALSE),"")</f>
        <v>0</v>
      </c>
      <c r="D963" s="14" t="str">
        <f>VLOOKUP(TAB_ENTRADA[[#This Row],[Cod_2_Entrada]],TAB_ESTOQUE[[Codigo]:[Endereço2]],12,FALSE)</f>
        <v>D2303</v>
      </c>
      <c r="E963" s="14">
        <f>SUM(TAB_ENTRADA[[#This Row],[20/05/2019]:[Colunas1]])</f>
        <v>4</v>
      </c>
      <c r="F963" s="3"/>
      <c r="FK963" s="3">
        <v>4</v>
      </c>
    </row>
    <row r="964" spans="1:167" x14ac:dyDescent="0.25">
      <c r="A964" s="5" t="s">
        <v>2621</v>
      </c>
      <c r="B964" s="14" t="str">
        <f>VLOOKUP(TAB_ENTRADA[[#This Row],[Cod_2_Entrada]],TAB_ESTOQUE[[Codigo]:[Descrição Tecnica]],6,FALSE)</f>
        <v>FLANGER ROSCADO 1" ANSI B16.5 300LBS</v>
      </c>
      <c r="C964" s="14">
        <f>IFERROR(VLOOKUP(TAB_ENTRADA[[#This Row],[Cod_2_Entrada]],TAB_ESTOQUE[[Codigo]:[Referência Tec]],7,FALSE),"")</f>
        <v>0</v>
      </c>
      <c r="D964" s="14" t="str">
        <f>VLOOKUP(TAB_ENTRADA[[#This Row],[Cod_2_Entrada]],TAB_ESTOQUE[[Codigo]:[Endereço2]],12,FALSE)</f>
        <v>D1102</v>
      </c>
      <c r="E964" s="14">
        <f>SUM(TAB_ENTRADA[[#This Row],[20/05/2019]:[Colunas1]])</f>
        <v>7</v>
      </c>
      <c r="F964" s="3"/>
      <c r="FK964" s="3">
        <v>7</v>
      </c>
    </row>
    <row r="965" spans="1:167" x14ac:dyDescent="0.25">
      <c r="A965" s="5" t="s">
        <v>2622</v>
      </c>
      <c r="B965" s="14" t="str">
        <f>VLOOKUP(TAB_ENTRADA[[#This Row],[Cod_2_Entrada]],TAB_ESTOQUE[[Codigo]:[Descrição Tecnica]],6,FALSE)</f>
        <v>VALVULA FLUXO DRV-10-013/0 3/4"</v>
      </c>
      <c r="C965" s="14">
        <f>IFERROR(VLOOKUP(TAB_ENTRADA[[#This Row],[Cod_2_Entrada]],TAB_ESTOQUE[[Codigo]:[Referência Tec]],7,FALSE),"")</f>
        <v>0</v>
      </c>
      <c r="D965" s="14" t="str">
        <f>VLOOKUP(TAB_ENTRADA[[#This Row],[Cod_2_Entrada]],TAB_ESTOQUE[[Codigo]:[Endereço2]],12,FALSE)</f>
        <v>E1402</v>
      </c>
      <c r="E965" s="14">
        <f>SUM(TAB_ENTRADA[[#This Row],[20/05/2019]:[Colunas1]])</f>
        <v>1</v>
      </c>
      <c r="F965" s="3"/>
      <c r="FK965" s="3">
        <v>1</v>
      </c>
    </row>
    <row r="966" spans="1:167" x14ac:dyDescent="0.25">
      <c r="A966" s="5" t="s">
        <v>2623</v>
      </c>
      <c r="B966" s="14" t="str">
        <f>VLOOKUP(TAB_ENTRADA[[#This Row],[Cod_2_Entrada]],TAB_ESTOQUE[[Codigo]:[Descrição Tecnica]],6,FALSE)</f>
        <v>TRANSFORMADOR 250 VA 50/60Hz (LEGRAND)</v>
      </c>
      <c r="C966" s="14">
        <f>IFERROR(VLOOKUP(TAB_ENTRADA[[#This Row],[Cod_2_Entrada]],TAB_ESTOQUE[[Codigo]:[Referência Tec]],7,FALSE),"")</f>
        <v>0</v>
      </c>
      <c r="D966" s="14" t="str">
        <f>VLOOKUP(TAB_ENTRADA[[#This Row],[Cod_2_Entrada]],TAB_ESTOQUE[[Codigo]:[Endereço2]],12,FALSE)</f>
        <v>A2302</v>
      </c>
      <c r="E966" s="14">
        <f>SUM(TAB_ENTRADA[[#This Row],[20/05/2019]:[Colunas1]])</f>
        <v>1</v>
      </c>
      <c r="F966" s="3"/>
      <c r="FK966" s="3">
        <v>1</v>
      </c>
    </row>
    <row r="967" spans="1:167" x14ac:dyDescent="0.25">
      <c r="A967" s="5" t="s">
        <v>2624</v>
      </c>
      <c r="B967" s="14" t="str">
        <f>VLOOKUP(TAB_ENTRADA[[#This Row],[Cod_2_Entrada]],TAB_ESTOQUE[[Codigo]:[Descrição Tecnica]],6,FALSE)</f>
        <v>ESTEIRA PORTA CABOS FB.370.75.175</v>
      </c>
      <c r="C967" s="14">
        <f>IFERROR(VLOOKUP(TAB_ENTRADA[[#This Row],[Cod_2_Entrada]],TAB_ESTOQUE[[Codigo]:[Referência Tec]],7,FALSE),"")</f>
        <v>0</v>
      </c>
      <c r="D967" s="14" t="str">
        <f>VLOOKUP(TAB_ENTRADA[[#This Row],[Cod_2_Entrada]],TAB_ESTOQUE[[Codigo]:[Endereço2]],12,FALSE)</f>
        <v>D1101</v>
      </c>
      <c r="E967" s="14">
        <f>SUM(TAB_ENTRADA[[#This Row],[20/05/2019]:[Colunas1]])</f>
        <v>1</v>
      </c>
      <c r="F967" s="3"/>
      <c r="FK967" s="3">
        <v>1</v>
      </c>
    </row>
    <row r="968" spans="1:167" x14ac:dyDescent="0.25">
      <c r="A968" s="5" t="s">
        <v>2625</v>
      </c>
      <c r="B968" s="14" t="str">
        <f>VLOOKUP(TAB_ENTRADA[[#This Row],[Cod_2_Entrada]],TAB_ESTOQUE[[Codigo]:[Descrição Tecnica]],6,FALSE)</f>
        <v>MOTOR BALDOR 35A012Q223G1</v>
      </c>
      <c r="C968" s="14">
        <f>IFERROR(VLOOKUP(TAB_ENTRADA[[#This Row],[Cod_2_Entrada]],TAB_ESTOQUE[[Codigo]:[Referência Tec]],7,FALSE),"")</f>
        <v>0</v>
      </c>
      <c r="D968" s="14" t="str">
        <f>VLOOKUP(TAB_ENTRADA[[#This Row],[Cod_2_Entrada]],TAB_ESTOQUE[[Codigo]:[Endereço2]],12,FALSE)</f>
        <v>E1104</v>
      </c>
      <c r="E968" s="14">
        <f>SUM(TAB_ENTRADA[[#This Row],[20/05/2019]:[Colunas1]])</f>
        <v>6</v>
      </c>
      <c r="F968" s="3"/>
      <c r="FK968" s="3">
        <v>6</v>
      </c>
    </row>
    <row r="969" spans="1:167" x14ac:dyDescent="0.25">
      <c r="A969" s="5" t="s">
        <v>2626</v>
      </c>
      <c r="B969" s="14" t="str">
        <f>VLOOKUP(TAB_ENTRADA[[#This Row],[Cod_2_Entrada]],TAB_ESTOQUE[[Codigo]:[Descrição Tecnica]],6,FALSE)</f>
        <v>DISJUNTOR STECK SD C32 230/400V 50/60Hz 3000A</v>
      </c>
      <c r="C969" s="14">
        <f>IFERROR(VLOOKUP(TAB_ENTRADA[[#This Row],[Cod_2_Entrada]],TAB_ESTOQUE[[Codigo]:[Referência Tec]],7,FALSE),"")</f>
        <v>0</v>
      </c>
      <c r="D969" s="14" t="str">
        <f>VLOOKUP(TAB_ENTRADA[[#This Row],[Cod_2_Entrada]],TAB_ESTOQUE[[Codigo]:[Endereço2]],12,FALSE)</f>
        <v>A1302</v>
      </c>
      <c r="E969" s="14">
        <f>SUM(TAB_ENTRADA[[#This Row],[20/05/2019]:[Colunas1]])</f>
        <v>1</v>
      </c>
      <c r="F969" s="3"/>
      <c r="FK969" s="3">
        <v>1</v>
      </c>
    </row>
    <row r="970" spans="1:167" x14ac:dyDescent="0.25">
      <c r="A970" s="5" t="s">
        <v>2627</v>
      </c>
      <c r="B970" s="14" t="str">
        <f>VLOOKUP(TAB_ENTRADA[[#This Row],[Cod_2_Entrada]],TAB_ESTOQUE[[Codigo]:[Descrição Tecnica]],6,FALSE)</f>
        <v>ROLAMENTO RIGIDO DE ESFERA  6202-2Z</v>
      </c>
      <c r="C970" s="14">
        <f>IFERROR(VLOOKUP(TAB_ENTRADA[[#This Row],[Cod_2_Entrada]],TAB_ESTOQUE[[Codigo]:[Referência Tec]],7,FALSE),"")</f>
        <v>0</v>
      </c>
      <c r="D970" s="14" t="str">
        <f>VLOOKUP(TAB_ENTRADA[[#This Row],[Cod_2_Entrada]],TAB_ESTOQUE[[Codigo]:[Endereço2]],12,FALSE)</f>
        <v>D2103</v>
      </c>
      <c r="E970" s="14">
        <f>SUM(TAB_ENTRADA[[#This Row],[20/05/2019]:[Colunas1]])</f>
        <v>0</v>
      </c>
      <c r="F970" s="3"/>
      <c r="FK970" s="3">
        <v>0</v>
      </c>
    </row>
    <row r="971" spans="1:167" x14ac:dyDescent="0.25">
      <c r="A971" s="5" t="s">
        <v>2628</v>
      </c>
      <c r="B971" s="14" t="str">
        <f>VLOOKUP(TAB_ENTRADA[[#This Row],[Cod_2_Entrada]],TAB_ESTOQUE[[Codigo]:[Descrição Tecnica]],6,FALSE)</f>
        <v>TAMPA PARA TOMADA REGIDA WETZEL</v>
      </c>
      <c r="C971" s="14">
        <f>IFERROR(VLOOKUP(TAB_ENTRADA[[#This Row],[Cod_2_Entrada]],TAB_ESTOQUE[[Codigo]:[Referência Tec]],7,FALSE),"")</f>
        <v>0</v>
      </c>
      <c r="D971" s="14" t="str">
        <f>VLOOKUP(TAB_ENTRADA[[#This Row],[Cod_2_Entrada]],TAB_ESTOQUE[[Codigo]:[Endereço2]],12,FALSE)</f>
        <v>A1402</v>
      </c>
      <c r="E971" s="14">
        <f>SUM(TAB_ENTRADA[[#This Row],[20/05/2019]:[Colunas1]])</f>
        <v>5</v>
      </c>
      <c r="F971" s="3"/>
      <c r="FK971" s="3">
        <v>5</v>
      </c>
    </row>
    <row r="972" spans="1:167" x14ac:dyDescent="0.25">
      <c r="A972" s="5" t="s">
        <v>2629</v>
      </c>
      <c r="B972" s="14" t="str">
        <f>VLOOKUP(TAB_ENTRADA[[#This Row],[Cod_2_Entrada]],TAB_ESTOQUE[[Codigo]:[Descrição Tecnica]],6,FALSE)</f>
        <v>ANILHA DA SERPENTINA 1/4" KGL40 314AE</v>
      </c>
      <c r="C972" s="14">
        <f>IFERROR(VLOOKUP(TAB_ENTRADA[[#This Row],[Cod_2_Entrada]],TAB_ESTOQUE[[Codigo]:[Referência Tec]],7,FALSE),"")</f>
        <v>0</v>
      </c>
      <c r="D972" s="14" t="str">
        <f>VLOOKUP(TAB_ENTRADA[[#This Row],[Cod_2_Entrada]],TAB_ESTOQUE[[Codigo]:[Endereço2]],12,FALSE)</f>
        <v>D2203</v>
      </c>
      <c r="E972" s="14">
        <f>SUM(TAB_ENTRADA[[#This Row],[20/05/2019]:[Colunas1]])</f>
        <v>0</v>
      </c>
      <c r="F972" s="3"/>
      <c r="FK972" s="3">
        <v>0</v>
      </c>
    </row>
    <row r="973" spans="1:167" x14ac:dyDescent="0.25">
      <c r="A973" s="5" t="s">
        <v>2630</v>
      </c>
      <c r="B973" s="14" t="str">
        <f>VLOOKUP(TAB_ENTRADA[[#This Row],[Cod_2_Entrada]],TAB_ESTOQUE[[Codigo]:[Descrição Tecnica]],6,FALSE)</f>
        <v>SENSOR MAGNETICO REER  MG M20 M30 2NO M8 4POLES CONN</v>
      </c>
      <c r="C973" s="14">
        <f>IFERROR(VLOOKUP(TAB_ENTRADA[[#This Row],[Cod_2_Entrada]],TAB_ESTOQUE[[Codigo]:[Referência Tec]],7,FALSE),"")</f>
        <v>0</v>
      </c>
      <c r="D973" s="14" t="str">
        <f>VLOOKUP(TAB_ENTRADA[[#This Row],[Cod_2_Entrada]],TAB_ESTOQUE[[Codigo]:[Endereço2]],12,FALSE)</f>
        <v>A2204</v>
      </c>
      <c r="E973" s="14">
        <f>SUM(TAB_ENTRADA[[#This Row],[20/05/2019]:[Colunas1]])</f>
        <v>3</v>
      </c>
      <c r="F973" s="3"/>
      <c r="FK973" s="3">
        <v>3</v>
      </c>
    </row>
    <row r="974" spans="1:167" x14ac:dyDescent="0.25">
      <c r="A974" s="5" t="s">
        <v>2631</v>
      </c>
      <c r="B974" s="14" t="str">
        <f>VLOOKUP(TAB_ENTRADA[[#This Row],[Cod_2_Entrada]],TAB_ESTOQUE[[Codigo]:[Descrição Tecnica]],6,FALSE)</f>
        <v>CONECTOR SICK D0S-0804-G</v>
      </c>
      <c r="C974" s="14">
        <f>IFERROR(VLOOKUP(TAB_ENTRADA[[#This Row],[Cod_2_Entrada]],TAB_ESTOQUE[[Codigo]:[Referência Tec]],7,FALSE),"")</f>
        <v>0</v>
      </c>
      <c r="D974" s="14" t="str">
        <f>VLOOKUP(TAB_ENTRADA[[#This Row],[Cod_2_Entrada]],TAB_ESTOQUE[[Codigo]:[Endereço2]],12,FALSE)</f>
        <v>A2204</v>
      </c>
      <c r="E974" s="14">
        <f>SUM(TAB_ENTRADA[[#This Row],[20/05/2019]:[Colunas1]])</f>
        <v>6</v>
      </c>
      <c r="F974" s="3"/>
      <c r="FK974" s="3">
        <v>6</v>
      </c>
    </row>
    <row r="975" spans="1:167" x14ac:dyDescent="0.25">
      <c r="A975" s="5" t="s">
        <v>2632</v>
      </c>
      <c r="B975" s="14" t="str">
        <f>VLOOKUP(TAB_ENTRADA[[#This Row],[Cod_2_Entrada]],TAB_ESTOQUE[[Codigo]:[Descrição Tecnica]],6,FALSE)</f>
        <v>INCREMENTAL AND ABSOLUTE ER63G 102425/Z8P 15X3JR (ELTRA)</v>
      </c>
      <c r="C975" s="14">
        <f>IFERROR(VLOOKUP(TAB_ENTRADA[[#This Row],[Cod_2_Entrada]],TAB_ESTOQUE[[Codigo]:[Referência Tec]],7,FALSE),"")</f>
        <v>0</v>
      </c>
      <c r="D975" s="14" t="str">
        <f>VLOOKUP(TAB_ENTRADA[[#This Row],[Cod_2_Entrada]],TAB_ESTOQUE[[Codigo]:[Endereço2]],12,FALSE)</f>
        <v>A1302</v>
      </c>
      <c r="E975" s="14">
        <f>SUM(TAB_ENTRADA[[#This Row],[20/05/2019]:[Colunas1]])</f>
        <v>1</v>
      </c>
      <c r="F975" s="3"/>
      <c r="FK975" s="3">
        <v>1</v>
      </c>
    </row>
    <row r="976" spans="1:167" x14ac:dyDescent="0.25">
      <c r="A976" s="5" t="s">
        <v>2633</v>
      </c>
      <c r="B976" s="14" t="str">
        <f>VLOOKUP(TAB_ENTRADA[[#This Row],[Cod_2_Entrada]],TAB_ESTOQUE[[Codigo]:[Descrição Tecnica]],6,FALSE)</f>
        <v>INCREMENTAL AND ABSOLUTE EH 80P 100028/Z4P 15X3PR2 (ELTRA)</v>
      </c>
      <c r="C976" s="14">
        <f>IFERROR(VLOOKUP(TAB_ENTRADA[[#This Row],[Cod_2_Entrada]],TAB_ESTOQUE[[Codigo]:[Referência Tec]],7,FALSE),"")</f>
        <v>0</v>
      </c>
      <c r="D976" s="14" t="str">
        <f>VLOOKUP(TAB_ENTRADA[[#This Row],[Cod_2_Entrada]],TAB_ESTOQUE[[Codigo]:[Endereço2]],12,FALSE)</f>
        <v>A1302</v>
      </c>
      <c r="E976" s="14">
        <f>SUM(TAB_ENTRADA[[#This Row],[20/05/2019]:[Colunas1]])</f>
        <v>1</v>
      </c>
      <c r="F976" s="3"/>
      <c r="FK976" s="3">
        <v>1</v>
      </c>
    </row>
    <row r="977" spans="1:167" x14ac:dyDescent="0.25">
      <c r="A977" s="5" t="s">
        <v>2634</v>
      </c>
      <c r="B977" s="14" t="str">
        <f>VLOOKUP(TAB_ENTRADA[[#This Row],[Cod_2_Entrada]],TAB_ESTOQUE[[Codigo]:[Descrição Tecnica]],6,FALSE)</f>
        <v>ACOPLAMENTO AN44</v>
      </c>
      <c r="C977" s="14">
        <f>IFERROR(VLOOKUP(TAB_ENTRADA[[#This Row],[Cod_2_Entrada]],TAB_ESTOQUE[[Codigo]:[Referência Tec]],7,FALSE),"")</f>
        <v>0</v>
      </c>
      <c r="D977" s="14" t="str">
        <f>VLOOKUP(TAB_ENTRADA[[#This Row],[Cod_2_Entrada]],TAB_ESTOQUE[[Codigo]:[Endereço2]],12,FALSE)</f>
        <v>E2204</v>
      </c>
      <c r="E977" s="14">
        <f>SUM(TAB_ENTRADA[[#This Row],[20/05/2019]:[Colunas1]])</f>
        <v>1</v>
      </c>
      <c r="F977" s="3"/>
      <c r="FK977" s="3">
        <v>1</v>
      </c>
    </row>
    <row r="978" spans="1:167" x14ac:dyDescent="0.25">
      <c r="A978" s="5" t="s">
        <v>2635</v>
      </c>
      <c r="B978" s="14" t="str">
        <f>VLOOKUP(TAB_ENTRADA[[#This Row],[Cod_2_Entrada]],TAB_ESTOQUE[[Codigo]:[Descrição Tecnica]],6,FALSE)</f>
        <v>T PVC AMANCO DN 42 NBR 15884</v>
      </c>
      <c r="C978" s="14">
        <f>IFERROR(VLOOKUP(TAB_ENTRADA[[#This Row],[Cod_2_Entrada]],TAB_ESTOQUE[[Codigo]:[Referência Tec]],7,FALSE),"")</f>
        <v>0</v>
      </c>
      <c r="D978" s="14" t="str">
        <f>VLOOKUP(TAB_ENTRADA[[#This Row],[Cod_2_Entrada]],TAB_ESTOQUE[[Codigo]:[Endereço2]],12,FALSE)</f>
        <v>D1302</v>
      </c>
      <c r="E978" s="14">
        <f>SUM(TAB_ENTRADA[[#This Row],[20/05/2019]:[Colunas1]])</f>
        <v>2</v>
      </c>
      <c r="F978" s="3"/>
      <c r="FK978" s="3">
        <v>2</v>
      </c>
    </row>
    <row r="979" spans="1:167" x14ac:dyDescent="0.25">
      <c r="A979" s="5" t="s">
        <v>2636</v>
      </c>
      <c r="B979" s="14" t="str">
        <f>VLOOKUP(TAB_ENTRADA[[#This Row],[Cod_2_Entrada]],TAB_ESTOQUE[[Codigo]:[Descrição Tecnica]],6,FALSE)</f>
        <v>NIPLE PVC ROSQUEADO  ROSCA2"</v>
      </c>
      <c r="C979" s="14">
        <f>IFERROR(VLOOKUP(TAB_ENTRADA[[#This Row],[Cod_2_Entrada]],TAB_ESTOQUE[[Codigo]:[Referência Tec]],7,FALSE),"")</f>
        <v>0</v>
      </c>
      <c r="D979" s="14" t="str">
        <f>VLOOKUP(TAB_ENTRADA[[#This Row],[Cod_2_Entrada]],TAB_ESTOQUE[[Codigo]:[Endereço2]],12,FALSE)</f>
        <v>D1302</v>
      </c>
      <c r="E979" s="14">
        <f>SUM(TAB_ENTRADA[[#This Row],[20/05/2019]:[Colunas1]])</f>
        <v>2</v>
      </c>
      <c r="F979" s="3"/>
      <c r="FK979" s="3">
        <v>2</v>
      </c>
    </row>
    <row r="980" spans="1:167" x14ac:dyDescent="0.25">
      <c r="A980" s="5" t="s">
        <v>2637</v>
      </c>
      <c r="B980" s="14" t="str">
        <f>VLOOKUP(TAB_ENTRADA[[#This Row],[Cod_2_Entrada]],TAB_ESTOQUE[[Codigo]:[Descrição Tecnica]],6,FALSE)</f>
        <v>CURVA R-CURTO 90° ROSQUEADA PVC 2"</v>
      </c>
      <c r="C980" s="14">
        <f>IFERROR(VLOOKUP(TAB_ENTRADA[[#This Row],[Cod_2_Entrada]],TAB_ESTOQUE[[Codigo]:[Referência Tec]],7,FALSE),"")</f>
        <v>0</v>
      </c>
      <c r="D980" s="14" t="str">
        <f>VLOOKUP(TAB_ENTRADA[[#This Row],[Cod_2_Entrada]],TAB_ESTOQUE[[Codigo]:[Endereço2]],12,FALSE)</f>
        <v>D1302</v>
      </c>
      <c r="E980" s="14">
        <f>SUM(TAB_ENTRADA[[#This Row],[20/05/2019]:[Colunas1]])</f>
        <v>2</v>
      </c>
      <c r="F980" s="3"/>
      <c r="FK980" s="3">
        <v>2</v>
      </c>
    </row>
    <row r="981" spans="1:167" x14ac:dyDescent="0.25">
      <c r="A981" s="5" t="s">
        <v>2638</v>
      </c>
      <c r="B981" s="14" t="str">
        <f>VLOOKUP(TAB_ENTRADA[[#This Row],[Cod_2_Entrada]],TAB_ESTOQUE[[Codigo]:[Descrição Tecnica]],6,FALSE)</f>
        <v>RELE 24V BOOTON VIEW 1726W2 5A G2R-2-SN(S)  (OMRON)</v>
      </c>
      <c r="C981" s="14">
        <f>IFERROR(VLOOKUP(TAB_ENTRADA[[#This Row],[Cod_2_Entrada]],TAB_ESTOQUE[[Codigo]:[Referência Tec]],7,FALSE),"")</f>
        <v>0</v>
      </c>
      <c r="D981" s="14" t="str">
        <f>VLOOKUP(TAB_ENTRADA[[#This Row],[Cod_2_Entrada]],TAB_ESTOQUE[[Codigo]:[Endereço2]],12,FALSE)</f>
        <v>A1304</v>
      </c>
      <c r="E981" s="14">
        <f>SUM(TAB_ENTRADA[[#This Row],[20/05/2019]:[Colunas1]])</f>
        <v>2</v>
      </c>
      <c r="F981" s="3"/>
      <c r="FK981" s="3">
        <v>2</v>
      </c>
    </row>
    <row r="982" spans="1:167" x14ac:dyDescent="0.25">
      <c r="A982" s="5" t="s">
        <v>2639</v>
      </c>
      <c r="B982" s="14" t="str">
        <f>VLOOKUP(TAB_ENTRADA[[#This Row],[Cod_2_Entrada]],TAB_ESTOQUE[[Codigo]:[Descrição Tecnica]],6,FALSE)</f>
        <v>SENSOR IFM KG5065 KG-3120NFAKGP2T/US</v>
      </c>
      <c r="C982" s="14">
        <f>IFERROR(VLOOKUP(TAB_ENTRADA[[#This Row],[Cod_2_Entrada]],TAB_ESTOQUE[[Codigo]:[Referência Tec]],7,FALSE),"")</f>
        <v>0</v>
      </c>
      <c r="D982" s="14" t="str">
        <f>VLOOKUP(TAB_ENTRADA[[#This Row],[Cod_2_Entrada]],TAB_ESTOQUE[[Codigo]:[Endereço2]],12,FALSE)</f>
        <v>A2203</v>
      </c>
      <c r="E982" s="14">
        <f>SUM(TAB_ENTRADA[[#This Row],[20/05/2019]:[Colunas1]])</f>
        <v>0</v>
      </c>
      <c r="F982" s="3"/>
      <c r="FK982" s="3">
        <v>0</v>
      </c>
    </row>
    <row r="983" spans="1:167" x14ac:dyDescent="0.25">
      <c r="A983" s="5" t="s">
        <v>2640</v>
      </c>
      <c r="B983" s="14" t="str">
        <f>VLOOKUP(TAB_ENTRADA[[#This Row],[Cod_2_Entrada]],TAB_ESTOQUE[[Codigo]:[Descrição Tecnica]],6,FALSE)</f>
        <v>SENSOR BALLUFF BAS0026 BES M08MH1-POC15B-S046</v>
      </c>
      <c r="C983" s="14">
        <f>IFERROR(VLOOKUP(TAB_ENTRADA[[#This Row],[Cod_2_Entrada]],TAB_ESTOQUE[[Codigo]:[Referência Tec]],7,FALSE),"")</f>
        <v>0</v>
      </c>
      <c r="D983" s="14" t="str">
        <f>VLOOKUP(TAB_ENTRADA[[#This Row],[Cod_2_Entrada]],TAB_ESTOQUE[[Codigo]:[Endereço2]],12,FALSE)</f>
        <v>A2204</v>
      </c>
      <c r="E983" s="14">
        <f>SUM(TAB_ENTRADA[[#This Row],[20/05/2019]:[Colunas1]])</f>
        <v>1</v>
      </c>
      <c r="F983" s="3"/>
      <c r="FK983" s="3">
        <v>1</v>
      </c>
    </row>
    <row r="984" spans="1:167" x14ac:dyDescent="0.25">
      <c r="A984" s="5" t="s">
        <v>2641</v>
      </c>
      <c r="B984" s="14" t="str">
        <f>VLOOKUP(TAB_ENTRADA[[#This Row],[Cod_2_Entrada]],TAB_ESTOQUE[[Codigo]:[Descrição Tecnica]],6,FALSE)</f>
        <v xml:space="preserve">SUPORTE PARA BARREIRA </v>
      </c>
      <c r="C984" s="14">
        <f>IFERROR(VLOOKUP(TAB_ENTRADA[[#This Row],[Cod_2_Entrada]],TAB_ESTOQUE[[Codigo]:[Referência Tec]],7,FALSE),"")</f>
        <v>0</v>
      </c>
      <c r="D984" s="14" t="str">
        <f>VLOOKUP(TAB_ENTRADA[[#This Row],[Cod_2_Entrada]],TAB_ESTOQUE[[Codigo]:[Endereço2]],12,FALSE)</f>
        <v>A2103</v>
      </c>
      <c r="E984" s="14">
        <f>SUM(TAB_ENTRADA[[#This Row],[20/05/2019]:[Colunas1]])</f>
        <v>12</v>
      </c>
      <c r="F984" s="3"/>
      <c r="FK984" s="3">
        <v>12</v>
      </c>
    </row>
    <row r="985" spans="1:167" x14ac:dyDescent="0.25">
      <c r="A985" s="5" t="s">
        <v>2642</v>
      </c>
      <c r="B985" s="14" t="str">
        <f>VLOOKUP(TAB_ENTRADA[[#This Row],[Cod_2_Entrada]],TAB_ESTOQUE[[Codigo]:[Descrição Tecnica]],6,FALSE)</f>
        <v>ATUADOR PNEUMATICO MODELO: RP75DA 10BAR</v>
      </c>
      <c r="C985" s="14">
        <f>IFERROR(VLOOKUP(TAB_ENTRADA[[#This Row],[Cod_2_Entrada]],TAB_ESTOQUE[[Codigo]:[Referência Tec]],7,FALSE),"")</f>
        <v>0</v>
      </c>
      <c r="D985" s="14" t="str">
        <f>VLOOKUP(TAB_ENTRADA[[#This Row],[Cod_2_Entrada]],TAB_ESTOQUE[[Codigo]:[Endereço2]],12,FALSE)</f>
        <v>C1205</v>
      </c>
      <c r="E985" s="14">
        <f>SUM(TAB_ENTRADA[[#This Row],[20/05/2019]:[Colunas1]])</f>
        <v>1</v>
      </c>
      <c r="F985" s="3"/>
      <c r="FK985" s="3">
        <v>1</v>
      </c>
    </row>
    <row r="986" spans="1:167" x14ac:dyDescent="0.25">
      <c r="A986" s="5" t="s">
        <v>2643</v>
      </c>
      <c r="B986" s="14" t="str">
        <f>VLOOKUP(TAB_ENTRADA[[#This Row],[Cod_2_Entrada]],TAB_ESTOQUE[[Codigo]:[Descrição Tecnica]],6,FALSE)</f>
        <v>SELO MECANICO TS-D 1 3/8"</v>
      </c>
      <c r="C986" s="14">
        <f>IFERROR(VLOOKUP(TAB_ENTRADA[[#This Row],[Cod_2_Entrada]],TAB_ESTOQUE[[Codigo]:[Referência Tec]],7,FALSE),"")</f>
        <v>0</v>
      </c>
      <c r="D986" s="14" t="str">
        <f>VLOOKUP(TAB_ENTRADA[[#This Row],[Cod_2_Entrada]],TAB_ESTOQUE[[Codigo]:[Endereço2]],12,FALSE)</f>
        <v>D1202</v>
      </c>
      <c r="E986" s="14">
        <f>SUM(TAB_ENTRADA[[#This Row],[20/05/2019]:[Colunas1]])</f>
        <v>5</v>
      </c>
      <c r="F986" s="3"/>
      <c r="FK986" s="3">
        <v>5</v>
      </c>
    </row>
    <row r="987" spans="1:167" x14ac:dyDescent="0.25">
      <c r="A987" s="5" t="s">
        <v>2644</v>
      </c>
      <c r="B987" s="14" t="str">
        <f>VLOOKUP(TAB_ENTRADA[[#This Row],[Cod_2_Entrada]],TAB_ESTOQUE[[Codigo]:[Descrição Tecnica]],6,FALSE)</f>
        <v>CABO COM CONECTOR  RETO FEMEA M16 8 PINOS</v>
      </c>
      <c r="C987" s="14">
        <f>IFERROR(VLOOKUP(TAB_ENTRADA[[#This Row],[Cod_2_Entrada]],TAB_ESTOQUE[[Codigo]:[Referência Tec]],7,FALSE),"")</f>
        <v>0</v>
      </c>
      <c r="D987" s="14" t="str">
        <f>VLOOKUP(TAB_ENTRADA[[#This Row],[Cod_2_Entrada]],TAB_ESTOQUE[[Codigo]:[Endereço2]],12,FALSE)</f>
        <v>B1403</v>
      </c>
      <c r="E987" s="14">
        <f>SUM(TAB_ENTRADA[[#This Row],[20/05/2019]:[Colunas1]])</f>
        <v>2</v>
      </c>
      <c r="F987" s="3"/>
      <c r="FK987" s="3">
        <v>2</v>
      </c>
    </row>
    <row r="988" spans="1:167" x14ac:dyDescent="0.25">
      <c r="A988" s="5" t="s">
        <v>2645</v>
      </c>
      <c r="B988" s="14" t="str">
        <f>VLOOKUP(TAB_ENTRADA[[#This Row],[Cod_2_Entrada]],TAB_ESTOQUE[[Codigo]:[Descrição Tecnica]],6,FALSE)</f>
        <v>FUSIVEL KRAH ZS 24/100 VCF 100R K</v>
      </c>
      <c r="C988" s="14">
        <f>IFERROR(VLOOKUP(TAB_ENTRADA[[#This Row],[Cod_2_Entrada]],TAB_ESTOQUE[[Codigo]:[Referência Tec]],7,FALSE),"")</f>
        <v>0</v>
      </c>
      <c r="D988" s="14" t="str">
        <f>VLOOKUP(TAB_ENTRADA[[#This Row],[Cod_2_Entrada]],TAB_ESTOQUE[[Codigo]:[Endereço2]],12,FALSE)</f>
        <v>A1106</v>
      </c>
      <c r="E988" s="14">
        <f>SUM(TAB_ENTRADA[[#This Row],[20/05/2019]:[Colunas1]])</f>
        <v>1</v>
      </c>
      <c r="F988" s="3"/>
      <c r="FK988" s="3">
        <v>1</v>
      </c>
    </row>
    <row r="989" spans="1:167" x14ac:dyDescent="0.25">
      <c r="A989" s="5" t="s">
        <v>2646</v>
      </c>
      <c r="B989" s="14" t="str">
        <f>VLOOKUP(TAB_ENTRADA[[#This Row],[Cod_2_Entrada]],TAB_ESTOQUE[[Codigo]:[Descrição Tecnica]],6,FALSE)</f>
        <v>ROLAMENTO 6203</v>
      </c>
      <c r="C989" s="14">
        <f>IFERROR(VLOOKUP(TAB_ENTRADA[[#This Row],[Cod_2_Entrada]],TAB_ESTOQUE[[Codigo]:[Referência Tec]],7,FALSE),"")</f>
        <v>0</v>
      </c>
      <c r="D989" s="14" t="str">
        <f>VLOOKUP(TAB_ENTRADA[[#This Row],[Cod_2_Entrada]],TAB_ESTOQUE[[Codigo]:[Endereço2]],12,FALSE)</f>
        <v>D2103</v>
      </c>
      <c r="E989" s="14">
        <f>SUM(TAB_ENTRADA[[#This Row],[20/05/2019]:[Colunas1]])</f>
        <v>0</v>
      </c>
      <c r="F989" s="3"/>
      <c r="FK989" s="3">
        <v>0</v>
      </c>
    </row>
    <row r="990" spans="1:167" x14ac:dyDescent="0.25">
      <c r="A990" s="5" t="s">
        <v>2647</v>
      </c>
      <c r="B990" s="14" t="str">
        <f>VLOOKUP(TAB_ENTRADA[[#This Row],[Cod_2_Entrada]],TAB_ESTOQUE[[Codigo]:[Descrição Tecnica]],6,FALSE)</f>
        <v>SENSOR INDUTIVO BALLUFF BIC0009 REMOTE 1804HU H2-S11</v>
      </c>
      <c r="C990" s="14">
        <f>IFERROR(VLOOKUP(TAB_ENTRADA[[#This Row],[Cod_2_Entrada]],TAB_ESTOQUE[[Codigo]:[Referência Tec]],7,FALSE),"")</f>
        <v>0</v>
      </c>
      <c r="D990" s="14" t="str">
        <f>VLOOKUP(TAB_ENTRADA[[#This Row],[Cod_2_Entrada]],TAB_ESTOQUE[[Codigo]:[Endereço2]],12,FALSE)</f>
        <v>A2203</v>
      </c>
      <c r="E990" s="14">
        <f>SUM(TAB_ENTRADA[[#This Row],[20/05/2019]:[Colunas1]])</f>
        <v>2</v>
      </c>
      <c r="F990" s="3"/>
      <c r="FK990" s="3">
        <v>2</v>
      </c>
    </row>
    <row r="991" spans="1:167" x14ac:dyDescent="0.25">
      <c r="A991" s="5" t="s">
        <v>2648</v>
      </c>
      <c r="B991" s="14" t="str">
        <f>VLOOKUP(TAB_ENTRADA[[#This Row],[Cod_2_Entrada]],TAB_ESTOQUE[[Codigo]:[Descrição Tecnica]],6,FALSE)</f>
        <v>ACOPLAMENTO SOPRANO AZUL 32A-6H 220-240V</v>
      </c>
      <c r="C991" s="14">
        <f>IFERROR(VLOOKUP(TAB_ENTRADA[[#This Row],[Cod_2_Entrada]],TAB_ESTOQUE[[Codigo]:[Referência Tec]],7,FALSE),"")</f>
        <v>0</v>
      </c>
      <c r="D991" s="14" t="str">
        <f>VLOOKUP(TAB_ENTRADA[[#This Row],[Cod_2_Entrada]],TAB_ESTOQUE[[Codigo]:[Endereço2]],12,FALSE)</f>
        <v>A2404</v>
      </c>
      <c r="E991" s="14">
        <f>SUM(TAB_ENTRADA[[#This Row],[20/05/2019]:[Colunas1]])</f>
        <v>1</v>
      </c>
      <c r="F991" s="3"/>
      <c r="FK991" s="3">
        <v>1</v>
      </c>
    </row>
    <row r="992" spans="1:167" x14ac:dyDescent="0.25">
      <c r="A992" s="5" t="s">
        <v>2649</v>
      </c>
      <c r="B992" s="14" t="str">
        <f>VLOOKUP(TAB_ENTRADA[[#This Row],[Cod_2_Entrada]],TAB_ESTOQUE[[Codigo]:[Descrição Tecnica]],6,FALSE)</f>
        <v>CILINDRO HIDRAULICO MOD; w32flncsf 2x80</v>
      </c>
      <c r="C992" s="14">
        <f>IFERROR(VLOOKUP(TAB_ENTRADA[[#This Row],[Cod_2_Entrada]],TAB_ESTOQUE[[Codigo]:[Referência Tec]],7,FALSE),"")</f>
        <v>0</v>
      </c>
      <c r="D992" s="14" t="str">
        <f>VLOOKUP(TAB_ENTRADA[[#This Row],[Cod_2_Entrada]],TAB_ESTOQUE[[Codigo]:[Endereço2]],12,FALSE)</f>
        <v>E1105</v>
      </c>
      <c r="E992" s="14">
        <f>SUM(TAB_ENTRADA[[#This Row],[20/05/2019]:[Colunas1]])</f>
        <v>1</v>
      </c>
      <c r="F992" s="3"/>
      <c r="FK992" s="3">
        <v>1</v>
      </c>
    </row>
    <row r="993" spans="1:167" x14ac:dyDescent="0.25">
      <c r="A993" s="5" t="s">
        <v>2650</v>
      </c>
      <c r="B993" s="14" t="str">
        <f>VLOOKUP(TAB_ENTRADA[[#This Row],[Cod_2_Entrada]],TAB_ESTOQUE[[Codigo]:[Descrição Tecnica]],6,FALSE)</f>
        <v>CILINDRO DOT-39 NRC 260/325 M1003</v>
      </c>
      <c r="C993" s="14">
        <f>IFERROR(VLOOKUP(TAB_ENTRADA[[#This Row],[Cod_2_Entrada]],TAB_ESTOQUE[[Codigo]:[Referência Tec]],7,FALSE),"")</f>
        <v>0</v>
      </c>
      <c r="D993" s="14" t="str">
        <f>VLOOKUP(TAB_ENTRADA[[#This Row],[Cod_2_Entrada]],TAB_ESTOQUE[[Codigo]:[Endereço2]],12,FALSE)</f>
        <v>E1101</v>
      </c>
      <c r="E993" s="14">
        <f>SUM(TAB_ENTRADA[[#This Row],[20/05/2019]:[Colunas1]])</f>
        <v>1</v>
      </c>
      <c r="F993" s="3"/>
      <c r="FK993" s="3">
        <v>1</v>
      </c>
    </row>
    <row r="994" spans="1:167" x14ac:dyDescent="0.25">
      <c r="A994" s="5" t="s">
        <v>2651</v>
      </c>
      <c r="B994" s="14" t="str">
        <f>VLOOKUP(TAB_ENTRADA[[#This Row],[Cod_2_Entrada]],TAB_ESTOQUE[[Codigo]:[Descrição Tecnica]],6,FALSE)</f>
        <v>BOTAO SCHNEIDER 2BSA 5839</v>
      </c>
      <c r="C994" s="14">
        <f>IFERROR(VLOOKUP(TAB_ENTRADA[[#This Row],[Cod_2_Entrada]],TAB_ESTOQUE[[Codigo]:[Referência Tec]],7,FALSE),"")</f>
        <v>0</v>
      </c>
      <c r="D994" s="14" t="str">
        <f>VLOOKUP(TAB_ENTRADA[[#This Row],[Cod_2_Entrada]],TAB_ESTOQUE[[Codigo]:[Endereço2]],12,FALSE)</f>
        <v>A2305</v>
      </c>
      <c r="E994" s="14">
        <f>SUM(TAB_ENTRADA[[#This Row],[20/05/2019]:[Colunas1]])</f>
        <v>0</v>
      </c>
      <c r="F994" s="3"/>
      <c r="FK994" s="3">
        <v>0</v>
      </c>
    </row>
    <row r="995" spans="1:167" x14ac:dyDescent="0.25">
      <c r="A995" s="5" t="s">
        <v>2652</v>
      </c>
      <c r="B995" s="14" t="str">
        <f>VLOOKUP(TAB_ENTRADA[[#This Row],[Cod_2_Entrada]],TAB_ESTOQUE[[Codigo]:[Descrição Tecnica]],6,FALSE)</f>
        <v>CHAVE SELETORA Plástica Manopla Curta Pos Fixas XA2ED21 WH18365515 SCHNEIDER</v>
      </c>
      <c r="C995" s="14">
        <f>IFERROR(VLOOKUP(TAB_ENTRADA[[#This Row],[Cod_2_Entrada]],TAB_ESTOQUE[[Codigo]:[Referência Tec]],7,FALSE),"")</f>
        <v>0</v>
      </c>
      <c r="D995" s="14" t="str">
        <f>VLOOKUP(TAB_ENTRADA[[#This Row],[Cod_2_Entrada]],TAB_ESTOQUE[[Codigo]:[Endereço2]],12,FALSE)</f>
        <v>A2305</v>
      </c>
      <c r="E995" s="14">
        <f>SUM(TAB_ENTRADA[[#This Row],[20/05/2019]:[Colunas1]])</f>
        <v>0</v>
      </c>
      <c r="F995" s="3"/>
      <c r="FK995" s="3">
        <v>0</v>
      </c>
    </row>
    <row r="996" spans="1:167" x14ac:dyDescent="0.25">
      <c r="A996" s="5" t="s">
        <v>2653</v>
      </c>
      <c r="B996" s="14" t="str">
        <f>VLOOKUP(TAB_ENTRADA[[#This Row],[Cod_2_Entrada]],TAB_ESTOQUE[[Codigo]:[Descrição Tecnica]],6,FALSE)</f>
        <v>RELE DE SEGURANCA XPSLCMUT1160</v>
      </c>
      <c r="C996" s="14">
        <f>IFERROR(VLOOKUP(TAB_ENTRADA[[#This Row],[Cod_2_Entrada]],TAB_ESTOQUE[[Codigo]:[Referência Tec]],7,FALSE),"")</f>
        <v>0</v>
      </c>
      <c r="D996" s="14" t="str">
        <f>VLOOKUP(TAB_ENTRADA[[#This Row],[Cod_2_Entrada]],TAB_ESTOQUE[[Codigo]:[Endereço2]],12,FALSE)</f>
        <v>A1303</v>
      </c>
      <c r="E996" s="14">
        <f>SUM(TAB_ENTRADA[[#This Row],[20/05/2019]:[Colunas1]])</f>
        <v>1</v>
      </c>
      <c r="F996" s="3"/>
      <c r="FK996" s="3">
        <v>1</v>
      </c>
    </row>
    <row r="997" spans="1:167" x14ac:dyDescent="0.25">
      <c r="A997" s="5" t="s">
        <v>2654</v>
      </c>
      <c r="B997" s="14" t="str">
        <f>VLOOKUP(TAB_ENTRADA[[#This Row],[Cod_2_Entrada]],TAB_ESTOQUE[[Codigo]:[Descrição Tecnica]],6,FALSE)</f>
        <v>MINI CONTATOR WEG CWC09-10-30C03</v>
      </c>
      <c r="C997" s="14">
        <f>IFERROR(VLOOKUP(TAB_ENTRADA[[#This Row],[Cod_2_Entrada]],TAB_ESTOQUE[[Codigo]:[Referência Tec]],7,FALSE),"")</f>
        <v>0</v>
      </c>
      <c r="D997" s="14" t="str">
        <f>VLOOKUP(TAB_ENTRADA[[#This Row],[Cod_2_Entrada]],TAB_ESTOQUE[[Codigo]:[Endereço2]],12,FALSE)</f>
        <v>A1403</v>
      </c>
      <c r="E997" s="14">
        <f>SUM(TAB_ENTRADA[[#This Row],[20/05/2019]:[Colunas1]])</f>
        <v>0</v>
      </c>
      <c r="F997" s="3"/>
      <c r="FK997" s="3">
        <v>0</v>
      </c>
    </row>
    <row r="998" spans="1:167" x14ac:dyDescent="0.25">
      <c r="A998" s="5" t="s">
        <v>2655</v>
      </c>
      <c r="B998" s="14" t="str">
        <f>VLOOKUP(TAB_ENTRADA[[#This Row],[Cod_2_Entrada]],TAB_ESTOQUE[[Codigo]:[Descrição Tecnica]],6,FALSE)</f>
        <v>ROLAMENTO PEE 6082KSP-V2</v>
      </c>
      <c r="C998" s="14">
        <f>IFERROR(VLOOKUP(TAB_ENTRADA[[#This Row],[Cod_2_Entrada]],TAB_ESTOQUE[[Codigo]:[Referência Tec]],7,FALSE),"")</f>
        <v>0</v>
      </c>
      <c r="D998" s="14" t="str">
        <f>VLOOKUP(TAB_ENTRADA[[#This Row],[Cod_2_Entrada]],TAB_ESTOQUE[[Codigo]:[Endereço2]],12,FALSE)</f>
        <v>D2104</v>
      </c>
      <c r="E998" s="15">
        <f>SUM(TAB_ENTRADA[[#This Row],[20/05/2019]:[Colunas1]])</f>
        <v>0</v>
      </c>
      <c r="F998" s="3"/>
      <c r="FK998" s="3">
        <v>0</v>
      </c>
    </row>
    <row r="999" spans="1:167" x14ac:dyDescent="0.25">
      <c r="A999" s="5" t="s">
        <v>2656</v>
      </c>
      <c r="B999" s="14" t="str">
        <f>VLOOKUP(TAB_ENTRADA[[#This Row],[Cod_2_Entrada]],TAB_ESTOQUE[[Codigo]:[Descrição Tecnica]],6,FALSE)</f>
        <v>ROLAMENTO 6903 2RS</v>
      </c>
      <c r="C999" s="14">
        <f>IFERROR(VLOOKUP(TAB_ENTRADA[[#This Row],[Cod_2_Entrada]],TAB_ESTOQUE[[Codigo]:[Referência Tec]],7,FALSE),"")</f>
        <v>0</v>
      </c>
      <c r="D999" s="14" t="str">
        <f>VLOOKUP(TAB_ENTRADA[[#This Row],[Cod_2_Entrada]],TAB_ESTOQUE[[Codigo]:[Endereço2]],12,FALSE)</f>
        <v>D2103</v>
      </c>
      <c r="E999" s="15">
        <f>SUM(TAB_ENTRADA[[#This Row],[20/05/2019]:[Colunas1]])</f>
        <v>12</v>
      </c>
      <c r="F999" s="3"/>
      <c r="FK999" s="3">
        <v>12</v>
      </c>
    </row>
    <row r="1000" spans="1:167" x14ac:dyDescent="0.25">
      <c r="A1000" s="5" t="s">
        <v>2657</v>
      </c>
      <c r="B1000" s="14" t="str">
        <f>VLOOKUP(TAB_ENTRADA[[#This Row],[Cod_2_Entrada]],TAB_ESTOQUE[[Codigo]:[Descrição Tecnica]],6,FALSE)</f>
        <v>LIXA D'AGUA A80</v>
      </c>
      <c r="C1000" s="14">
        <f>IFERROR(VLOOKUP(TAB_ENTRADA[[#This Row],[Cod_2_Entrada]],TAB_ESTOQUE[[Codigo]:[Referência Tec]],7,FALSE),"")</f>
        <v>0</v>
      </c>
      <c r="D1000" s="14" t="str">
        <f>VLOOKUP(TAB_ENTRADA[[#This Row],[Cod_2_Entrada]],TAB_ESTOQUE[[Codigo]:[Endereço2]],12,FALSE)</f>
        <v>D1104</v>
      </c>
      <c r="E1000" s="15">
        <f>SUM(TAB_ENTRADA[[#This Row],[20/05/2019]:[Colunas1]])</f>
        <v>23</v>
      </c>
      <c r="F1000" s="3"/>
      <c r="FK1000" s="3">
        <v>23</v>
      </c>
    </row>
    <row r="1001" spans="1:167" x14ac:dyDescent="0.25">
      <c r="A1001" s="5" t="s">
        <v>2658</v>
      </c>
      <c r="B1001" s="14" t="str">
        <f>VLOOKUP(TAB_ENTRADA[[#This Row],[Cod_2_Entrada]],TAB_ESTOQUE[[Codigo]:[Descrição Tecnica]],6,FALSE)</f>
        <v>LIXA D'AGUA 220</v>
      </c>
      <c r="C1001" s="14">
        <f>IFERROR(VLOOKUP(TAB_ENTRADA[[#This Row],[Cod_2_Entrada]],TAB_ESTOQUE[[Codigo]:[Referência Tec]],7,FALSE),"")</f>
        <v>0</v>
      </c>
      <c r="D1001" s="14" t="str">
        <f>VLOOKUP(TAB_ENTRADA[[#This Row],[Cod_2_Entrada]],TAB_ESTOQUE[[Codigo]:[Endereço2]],12,FALSE)</f>
        <v>D1104</v>
      </c>
      <c r="E1001" s="15">
        <f>SUM(TAB_ENTRADA[[#This Row],[20/05/2019]:[Colunas1]])</f>
        <v>43</v>
      </c>
      <c r="F1001" s="3"/>
      <c r="FK1001" s="3">
        <v>43</v>
      </c>
    </row>
    <row r="1002" spans="1:167" x14ac:dyDescent="0.25">
      <c r="A1002" s="5" t="s">
        <v>2659</v>
      </c>
      <c r="B1002" s="14" t="str">
        <f>VLOOKUP(TAB_ENTRADA[[#This Row],[Cod_2_Entrada]],TAB_ESTOQUE[[Codigo]:[Descrição Tecnica]],6,FALSE)</f>
        <v>LIXA D'AGUA 600</v>
      </c>
      <c r="C1002" s="14">
        <f>IFERROR(VLOOKUP(TAB_ENTRADA[[#This Row],[Cod_2_Entrada]],TAB_ESTOQUE[[Codigo]:[Referência Tec]],7,FALSE),"")</f>
        <v>0</v>
      </c>
      <c r="D1002" s="14" t="str">
        <f>VLOOKUP(TAB_ENTRADA[[#This Row],[Cod_2_Entrada]],TAB_ESTOQUE[[Codigo]:[Endereço2]],12,FALSE)</f>
        <v>D1103</v>
      </c>
      <c r="E1002" s="15">
        <f>SUM(TAB_ENTRADA[[#This Row],[20/05/2019]:[Colunas1]])</f>
        <v>14</v>
      </c>
      <c r="F1002" s="3"/>
      <c r="FK1002" s="3">
        <v>14</v>
      </c>
    </row>
    <row r="1003" spans="1:167" x14ac:dyDescent="0.25">
      <c r="A1003" s="5" t="s">
        <v>2660</v>
      </c>
      <c r="B1003" s="14" t="str">
        <f>VLOOKUP(TAB_ENTRADA[[#This Row],[Cod_2_Entrada]],TAB_ESTOQUE[[Codigo]:[Descrição Tecnica]],6,FALSE)</f>
        <v>ADITIVO PLASTICO DOP</v>
      </c>
      <c r="C1003" s="14">
        <f>IFERROR(VLOOKUP(TAB_ENTRADA[[#This Row],[Cod_2_Entrada]],TAB_ESTOQUE[[Codigo]:[Referência Tec]],7,FALSE),"")</f>
        <v>0</v>
      </c>
      <c r="D1003" s="14" t="str">
        <f>VLOOKUP(TAB_ENTRADA[[#This Row],[Cod_2_Entrada]],TAB_ESTOQUE[[Codigo]:[Endereço2]],12,FALSE)</f>
        <v>QUIMICO</v>
      </c>
      <c r="E1003" s="15">
        <f>SUM(TAB_ENTRADA[[#This Row],[20/05/2019]:[Colunas1]])</f>
        <v>80</v>
      </c>
      <c r="F1003" s="3"/>
      <c r="FK1003" s="3">
        <v>80</v>
      </c>
    </row>
    <row r="1004" spans="1:167" x14ac:dyDescent="0.25">
      <c r="A1004" s="5" t="s">
        <v>2661</v>
      </c>
      <c r="B1004" s="14" t="str">
        <f>VLOOKUP(TAB_ENTRADA[[#This Row],[Cod_2_Entrada]],TAB_ESTOQUE[[Codigo]:[Descrição Tecnica]],6,FALSE)</f>
        <v>OLEO ALL HLP 32</v>
      </c>
      <c r="C1004" s="14">
        <f>IFERROR(VLOOKUP(TAB_ENTRADA[[#This Row],[Cod_2_Entrada]],TAB_ESTOQUE[[Codigo]:[Referência Tec]],7,FALSE),"")</f>
        <v>0</v>
      </c>
      <c r="D1004" s="14" t="str">
        <f>VLOOKUP(TAB_ENTRADA[[#This Row],[Cod_2_Entrada]],TAB_ESTOQUE[[Codigo]:[Endereço2]],12,FALSE)</f>
        <v>QUIMICO</v>
      </c>
      <c r="E1004" s="15">
        <f>SUM(TAB_ENTRADA[[#This Row],[20/05/2019]:[Colunas1]])</f>
        <v>60</v>
      </c>
      <c r="F1004" s="3"/>
      <c r="FK1004" s="3">
        <v>60</v>
      </c>
    </row>
    <row r="1005" spans="1:167" x14ac:dyDescent="0.25">
      <c r="A1005" s="5" t="s">
        <v>2662</v>
      </c>
      <c r="B1005" s="14" t="str">
        <f>VLOOKUP(TAB_ENTRADA[[#This Row],[Cod_2_Entrada]],TAB_ESTOQUE[[Codigo]:[Descrição Tecnica]],6,FALSE)</f>
        <v xml:space="preserve">OLEO DIESEL </v>
      </c>
      <c r="C1005" s="14">
        <f>IFERROR(VLOOKUP(TAB_ENTRADA[[#This Row],[Cod_2_Entrada]],TAB_ESTOQUE[[Codigo]:[Referência Tec]],7,FALSE),"")</f>
        <v>0</v>
      </c>
      <c r="D1005" s="14" t="str">
        <f>VLOOKUP(TAB_ENTRADA[[#This Row],[Cod_2_Entrada]],TAB_ESTOQUE[[Codigo]:[Endereço2]],12,FALSE)</f>
        <v>QUIMICO</v>
      </c>
      <c r="E1005" s="15">
        <f>SUM(TAB_ENTRADA[[#This Row],[20/05/2019]:[Colunas1]])</f>
        <v>200</v>
      </c>
      <c r="F1005" s="3"/>
      <c r="FK1005" s="3">
        <v>200</v>
      </c>
    </row>
    <row r="1006" spans="1:167" x14ac:dyDescent="0.25">
      <c r="A1006" s="5" t="s">
        <v>2663</v>
      </c>
      <c r="B1006" s="14" t="str">
        <f>VLOOKUP(TAB_ENTRADA[[#This Row],[Cod_2_Entrada]],TAB_ESTOQUE[[Codigo]:[Descrição Tecnica]],6,FALSE)</f>
        <v>ROLAMENTO R6Z</v>
      </c>
      <c r="C1006" s="14">
        <f>IFERROR(VLOOKUP(TAB_ENTRADA[[#This Row],[Cod_2_Entrada]],TAB_ESTOQUE[[Codigo]:[Referência Tec]],7,FALSE),"")</f>
        <v>0</v>
      </c>
      <c r="D1006" s="14" t="str">
        <f>VLOOKUP(TAB_ENTRADA[[#This Row],[Cod_2_Entrada]],TAB_ESTOQUE[[Codigo]:[Endereço2]],12,FALSE)</f>
        <v>D2103</v>
      </c>
      <c r="E1006" s="15">
        <f>SUM(TAB_ENTRADA[[#This Row],[20/05/2019]:[Colunas1]])</f>
        <v>6</v>
      </c>
      <c r="F1006" s="3"/>
      <c r="FK1006" s="3">
        <v>6</v>
      </c>
    </row>
    <row r="1007" spans="1:167" x14ac:dyDescent="0.25">
      <c r="A1007" s="5" t="s">
        <v>2664</v>
      </c>
      <c r="B1007" s="14" t="str">
        <f>VLOOKUP(TAB_ENTRADA[[#This Row],[Cod_2_Entrada]],TAB_ESTOQUE[[Codigo]:[Descrição Tecnica]],6,FALSE)</f>
        <v>CAPA DE AR DO BICO ROBO DE COLA AIRPRO 1,4MM GR-289773</v>
      </c>
      <c r="C1007" s="14">
        <f>IFERROR(VLOOKUP(TAB_ENTRADA[[#This Row],[Cod_2_Entrada]],TAB_ESTOQUE[[Codigo]:[Referência Tec]],7,FALSE),"")</f>
        <v>0</v>
      </c>
      <c r="D1007" s="14" t="str">
        <f>VLOOKUP(TAB_ENTRADA[[#This Row],[Cod_2_Entrada]],TAB_ESTOQUE[[Codigo]:[Endereço2]],12,FALSE)</f>
        <v>E2303</v>
      </c>
      <c r="E1007" s="15">
        <f>SUM(TAB_ENTRADA[[#This Row],[20/05/2019]:[Colunas1]])</f>
        <v>4</v>
      </c>
      <c r="F1007" s="3"/>
      <c r="FK1007" s="3">
        <v>4</v>
      </c>
    </row>
    <row r="1008" spans="1:167" x14ac:dyDescent="0.25">
      <c r="A1008" s="5" t="s">
        <v>2665</v>
      </c>
      <c r="B1008" s="15" t="str">
        <f>VLOOKUP(TAB_ENTRADA[[#This Row],[Cod_2_Entrada]],TAB_ESTOQUE[[Codigo]:[Descrição Tecnica]],6,FALSE)</f>
        <v>RELE MINIATURA RXM4AB2BD 24VDC  IEC 61810-1  (SCHNEIDER)</v>
      </c>
      <c r="C1008" s="15">
        <f>IFERROR(VLOOKUP(TAB_ENTRADA[[#This Row],[Cod_2_Entrada]],TAB_ESTOQUE[[Codigo]:[Referência Tec]],7,FALSE),"")</f>
        <v>0</v>
      </c>
      <c r="D1008" s="15" t="str">
        <f>VLOOKUP(TAB_ENTRADA[[#This Row],[Cod_2_Entrada]],TAB_ESTOQUE[[Codigo]:[Endereço2]],12,FALSE)</f>
        <v>A1304</v>
      </c>
      <c r="E1008" s="15">
        <f>SUM(TAB_ENTRADA[[#This Row],[20/05/2019]:[Colunas1]])</f>
        <v>9</v>
      </c>
      <c r="F1008" s="3"/>
      <c r="FK1008" s="3">
        <v>9</v>
      </c>
    </row>
    <row r="1009" spans="1:182" x14ac:dyDescent="0.25">
      <c r="A1009" s="5" t="s">
        <v>2666</v>
      </c>
      <c r="B1009" s="15" t="str">
        <f>VLOOKUP(TAB_ENTRADA[[#This Row],[Cod_2_Entrada]],TAB_ESTOQUE[[Codigo]:[Descrição Tecnica]],6,FALSE)</f>
        <v>RELE FINDER DE DUPLO CONTATO S/BASE TIPO 40.52 8A 250V 24V DC</v>
      </c>
      <c r="C1009" s="15">
        <f>IFERROR(VLOOKUP(TAB_ENTRADA[[#This Row],[Cod_2_Entrada]],TAB_ESTOQUE[[Codigo]:[Referência Tec]],7,FALSE),"")</f>
        <v>0</v>
      </c>
      <c r="D1009" s="15" t="str">
        <f>VLOOKUP(TAB_ENTRADA[[#This Row],[Cod_2_Entrada]],TAB_ESTOQUE[[Codigo]:[Endereço2]],12,FALSE)</f>
        <v>A1304</v>
      </c>
      <c r="E1009" s="15">
        <f>SUM(TAB_ENTRADA[[#This Row],[20/05/2019]:[Colunas1]])</f>
        <v>31</v>
      </c>
      <c r="F1009" s="3"/>
      <c r="FK1009" s="3">
        <v>1</v>
      </c>
      <c r="FZ1009" s="3">
        <v>30</v>
      </c>
    </row>
    <row r="1010" spans="1:182" x14ac:dyDescent="0.25">
      <c r="A1010" s="5" t="s">
        <v>2667</v>
      </c>
      <c r="B1010" s="15" t="str">
        <f>VLOOKUP(TAB_ENTRADA[[#This Row],[Cod_2_Entrada]],TAB_ESTOQUE[[Codigo]:[Descrição Tecnica]],6,FALSE)</f>
        <v>ANTE-RESPINGO SPRAY BASE H2O WURTH</v>
      </c>
      <c r="C1010" s="15">
        <f>IFERROR(VLOOKUP(TAB_ENTRADA[[#This Row],[Cod_2_Entrada]],TAB_ESTOQUE[[Codigo]:[Referência Tec]],7,FALSE),"")</f>
        <v>0</v>
      </c>
      <c r="D1010" s="15" t="str">
        <f>VLOOKUP(TAB_ENTRADA[[#This Row],[Cod_2_Entrada]],TAB_ESTOQUE[[Codigo]:[Endereço2]],12,FALSE)</f>
        <v>ARMARIO</v>
      </c>
      <c r="E1010" s="15">
        <f>SUM(TAB_ENTRADA[[#This Row],[20/05/2019]:[Colunas1]])</f>
        <v>0</v>
      </c>
      <c r="F1010" s="3"/>
      <c r="FK1010" s="3">
        <v>0</v>
      </c>
    </row>
    <row r="1011" spans="1:182" x14ac:dyDescent="0.25">
      <c r="A1011" s="5" t="s">
        <v>2668</v>
      </c>
      <c r="B1011" s="15" t="str">
        <f>VLOOKUP(TAB_ENTRADA[[#This Row],[Cod_2_Entrada]],TAB_ESTOQUE[[Codigo]:[Descrição Tecnica]],6,FALSE)</f>
        <v>FITA AUTO ADESIVA 3MM X 50MM X 20M VIDOFLEX (ISOLAMENTO)</v>
      </c>
      <c r="C1011" s="15">
        <f>IFERROR(VLOOKUP(TAB_ENTRADA[[#This Row],[Cod_2_Entrada]],TAB_ESTOQUE[[Codigo]:[Referência Tec]],7,FALSE),"")</f>
        <v>0</v>
      </c>
      <c r="D1011" s="15" t="str">
        <f>VLOOKUP(TAB_ENTRADA[[#This Row],[Cod_2_Entrada]],TAB_ESTOQUE[[Codigo]:[Endereço2]],12,FALSE)</f>
        <v>E1103</v>
      </c>
      <c r="E1011" s="15">
        <f>SUM(TAB_ENTRADA[[#This Row],[20/05/2019]:[Colunas1]])</f>
        <v>0</v>
      </c>
      <c r="F1011" s="3"/>
      <c r="FK1011" s="3">
        <v>0</v>
      </c>
    </row>
    <row r="1012" spans="1:182" x14ac:dyDescent="0.25">
      <c r="A1012" s="5" t="s">
        <v>2669</v>
      </c>
      <c r="B1012" s="15" t="str">
        <f>VLOOKUP(TAB_ENTRADA[[#This Row],[Cod_2_Entrada]],TAB_ESTOQUE[[Codigo]:[Descrição Tecnica]],6,FALSE)</f>
        <v>ACOPLAMENTO STECK N4276 32A-6H / 380-440V VERMELHO</v>
      </c>
      <c r="C1012" s="15">
        <f>IFERROR(VLOOKUP(TAB_ENTRADA[[#This Row],[Cod_2_Entrada]],TAB_ESTOQUE[[Codigo]:[Referência Tec]],7,FALSE),"")</f>
        <v>0</v>
      </c>
      <c r="D1012" s="15" t="str">
        <f>VLOOKUP(TAB_ENTRADA[[#This Row],[Cod_2_Entrada]],TAB_ESTOQUE[[Codigo]:[Endereço2]],12,FALSE)</f>
        <v>A2404</v>
      </c>
      <c r="E1012" s="15">
        <f>SUM(TAB_ENTRADA[[#This Row],[20/05/2019]:[Colunas1]])</f>
        <v>1</v>
      </c>
      <c r="F1012" s="3"/>
      <c r="FK1012" s="3">
        <v>1</v>
      </c>
    </row>
    <row r="1013" spans="1:182" x14ac:dyDescent="0.25">
      <c r="A1013" s="5" t="s">
        <v>2670</v>
      </c>
      <c r="B1013" s="15" t="str">
        <f>VLOOKUP(TAB_ENTRADA[[#This Row],[Cod_2_Entrada]],TAB_ESTOQUE[[Codigo]:[Descrição Tecnica]],6,FALSE)</f>
        <v>CABO USB to RS-232, 4-PIN M8 cable (2 m) DSL-8U04G2M025KM1 SICK</v>
      </c>
      <c r="C1013" s="15">
        <f>IFERROR(VLOOKUP(TAB_ENTRADA[[#This Row],[Cod_2_Entrada]],TAB_ESTOQUE[[Codigo]:[Referência Tec]],7,FALSE),"")</f>
        <v>0</v>
      </c>
      <c r="D1013" s="15" t="str">
        <f>VLOOKUP(TAB_ENTRADA[[#This Row],[Cod_2_Entrada]],TAB_ESTOQUE[[Codigo]:[Endereço2]],12,FALSE)</f>
        <v>A2102</v>
      </c>
      <c r="E1013" s="15">
        <f>SUM(TAB_ENTRADA[[#This Row],[20/05/2019]:[Colunas1]])</f>
        <v>3</v>
      </c>
      <c r="F1013" s="3"/>
      <c r="FK1013" s="3">
        <v>3</v>
      </c>
    </row>
    <row r="1014" spans="1:182" x14ac:dyDescent="0.25">
      <c r="A1014" s="5" t="s">
        <v>2671</v>
      </c>
      <c r="B1014" s="15" t="str">
        <f>VLOOKUP(TAB_ENTRADA[[#This Row],[Cod_2_Entrada]],TAB_ESTOQUE[[Codigo]:[Descrição Tecnica]],6,FALSE)</f>
        <v>IHM MT8071iE S/N: 1811280946 24VDC+- 20% 450mA  (WEINTEK)</v>
      </c>
      <c r="C1014" s="15">
        <f>IFERROR(VLOOKUP(TAB_ENTRADA[[#This Row],[Cod_2_Entrada]],TAB_ESTOQUE[[Codigo]:[Referência Tec]],7,FALSE),"")</f>
        <v>0</v>
      </c>
      <c r="D1014" s="15" t="str">
        <f>VLOOKUP(TAB_ENTRADA[[#This Row],[Cod_2_Entrada]],TAB_ESTOQUE[[Codigo]:[Endereço2]],12,FALSE)</f>
        <v>A2102</v>
      </c>
      <c r="E1014" s="15">
        <f>SUM(TAB_ENTRADA[[#This Row],[20/05/2019]:[Colunas1]])</f>
        <v>0</v>
      </c>
      <c r="F1014" s="3"/>
      <c r="FK1014" s="3">
        <v>0</v>
      </c>
    </row>
    <row r="1015" spans="1:182" x14ac:dyDescent="0.25">
      <c r="A1015" s="5" t="s">
        <v>2672</v>
      </c>
      <c r="B1015" s="15" t="str">
        <f>VLOOKUP(TAB_ENTRADA[[#This Row],[Cod_2_Entrada]],TAB_ESTOQUE[[Codigo]:[Descrição Tecnica]],6,FALSE)</f>
        <v>ACOPLAMENTO ROSCA 1/4 PARA SENSOR TIPO SONDA PT100 8MM</v>
      </c>
      <c r="C1015" s="15">
        <f>IFERROR(VLOOKUP(TAB_ENTRADA[[#This Row],[Cod_2_Entrada]],TAB_ESTOQUE[[Codigo]:[Referência Tec]],7,FALSE),"")</f>
        <v>0</v>
      </c>
      <c r="D1015" s="15" t="str">
        <f>VLOOKUP(TAB_ENTRADA[[#This Row],[Cod_2_Entrada]],TAB_ESTOQUE[[Codigo]:[Endereço2]],12,FALSE)</f>
        <v>A2301</v>
      </c>
      <c r="E1015" s="15">
        <f>SUM(TAB_ENTRADA[[#This Row],[20/05/2019]:[Colunas1]])</f>
        <v>24</v>
      </c>
      <c r="F1015" s="3"/>
      <c r="FK1015" s="3">
        <v>24</v>
      </c>
    </row>
    <row r="1016" spans="1:182" x14ac:dyDescent="0.25">
      <c r="A1016" s="5" t="s">
        <v>2673</v>
      </c>
      <c r="B1016" s="15" t="str">
        <f>VLOOKUP(TAB_ENTRADA[[#This Row],[Cod_2_Entrada]],TAB_ESTOQUE[[Codigo]:[Descrição Tecnica]],6,FALSE)</f>
        <v>SENSOR PT100 TIPO BAIONETA 3 FIOS 8X150mm C/ CABO 2000mm FIBRA C/TRAÇA</v>
      </c>
      <c r="C1016" s="15">
        <f>IFERROR(VLOOKUP(TAB_ENTRADA[[#This Row],[Cod_2_Entrada]],TAB_ESTOQUE[[Codigo]:[Referência Tec]],7,FALSE),"")</f>
        <v>0</v>
      </c>
      <c r="D1016" s="15" t="str">
        <f>VLOOKUP(TAB_ENTRADA[[#This Row],[Cod_2_Entrada]],TAB_ESTOQUE[[Codigo]:[Endereço2]],12,FALSE)</f>
        <v>A2301</v>
      </c>
      <c r="E1016" s="15">
        <f>SUM(TAB_ENTRADA[[#This Row],[20/05/2019]:[Colunas1]])</f>
        <v>8</v>
      </c>
      <c r="F1016" s="3"/>
      <c r="FK1016" s="3">
        <v>8</v>
      </c>
    </row>
    <row r="1017" spans="1:182" x14ac:dyDescent="0.25">
      <c r="A1017" s="5" t="s">
        <v>2674</v>
      </c>
      <c r="B1017" s="15" t="str">
        <f>VLOOKUP(TAB_ENTRADA[[#This Row],[Cod_2_Entrada]],TAB_ESTOQUE[[Codigo]:[Descrição Tecnica]],6,FALSE)</f>
        <v>ABRAÇADEIRA 210</v>
      </c>
      <c r="C1017" s="15">
        <f>IFERROR(VLOOKUP(TAB_ENTRADA[[#This Row],[Cod_2_Entrada]],TAB_ESTOQUE[[Codigo]:[Referência Tec]],7,FALSE),"")</f>
        <v>0</v>
      </c>
      <c r="D1017" s="15" t="str">
        <f>VLOOKUP(TAB_ENTRADA[[#This Row],[Cod_2_Entrada]],TAB_ESTOQUE[[Codigo]:[Endereço2]],12,FALSE)</f>
        <v>F1403</v>
      </c>
      <c r="E1017" s="15">
        <f>SUM(TAB_ENTRADA[[#This Row],[20/05/2019]:[Colunas1]])</f>
        <v>2</v>
      </c>
      <c r="F1017" s="3"/>
      <c r="FK1017" s="3">
        <v>2</v>
      </c>
    </row>
    <row r="1018" spans="1:182" x14ac:dyDescent="0.25">
      <c r="A1018" s="5" t="s">
        <v>2675</v>
      </c>
      <c r="B1018" s="15" t="str">
        <f>VLOOKUP(TAB_ENTRADA[[#This Row],[Cod_2_Entrada]],TAB_ESTOQUE[[Codigo]:[Descrição Tecnica]],6,FALSE)</f>
        <v>RELE DE SEGURANÇA FX3-XTI084002 IDENT:1044125 (SICK)</v>
      </c>
      <c r="C1018" s="15">
        <f>IFERROR(VLOOKUP(TAB_ENTRADA[[#This Row],[Cod_2_Entrada]],TAB_ESTOQUE[[Codigo]:[Referência Tec]],7,FALSE),"")</f>
        <v>0</v>
      </c>
      <c r="D1018" s="15" t="str">
        <f>VLOOKUP(TAB_ENTRADA[[#This Row],[Cod_2_Entrada]],TAB_ESTOQUE[[Codigo]:[Endereço2]],12,FALSE)</f>
        <v>B1205</v>
      </c>
      <c r="E1018" s="15">
        <f>SUM(TAB_ENTRADA[[#This Row],[20/05/2019]:[Colunas1]])</f>
        <v>1</v>
      </c>
      <c r="F1018" s="3"/>
      <c r="FK1018" s="3">
        <v>1</v>
      </c>
    </row>
    <row r="1019" spans="1:182" x14ac:dyDescent="0.25">
      <c r="A1019" s="5" t="s">
        <v>2676</v>
      </c>
      <c r="B1019" s="15" t="str">
        <f>VLOOKUP(TAB_ENTRADA[[#This Row],[Cod_2_Entrada]],TAB_ESTOQUE[[Codigo]:[Descrição Tecnica]],6,FALSE)</f>
        <v xml:space="preserve"> ROLO CABO  PT-100</v>
      </c>
      <c r="C1019" s="15">
        <f>IFERROR(VLOOKUP(TAB_ENTRADA[[#This Row],[Cod_2_Entrada]],TAB_ESTOQUE[[Codigo]:[Referência Tec]],7,FALSE),"")</f>
        <v>0</v>
      </c>
      <c r="D1019" s="15" t="str">
        <f>VLOOKUP(TAB_ENTRADA[[#This Row],[Cod_2_Entrada]],TAB_ESTOQUE[[Codigo]:[Endereço2]],12,FALSE)</f>
        <v>A2301</v>
      </c>
      <c r="E1019" s="15">
        <f>SUM(TAB_ENTRADA[[#This Row],[20/05/2019]:[Colunas1]])</f>
        <v>89</v>
      </c>
      <c r="F1019" s="3"/>
      <c r="FK1019" s="3">
        <v>89</v>
      </c>
    </row>
    <row r="1020" spans="1:182" x14ac:dyDescent="0.25">
      <c r="A1020" s="5" t="s">
        <v>2677</v>
      </c>
      <c r="B1020" s="15" t="str">
        <f>VLOOKUP(TAB_ENTRADA[[#This Row],[Cod_2_Entrada]],TAB_ESTOQUE[[Codigo]:[Descrição Tecnica]],6,FALSE)</f>
        <v>BOTAO SCHMERSAL CLP110 + CLP101 + PLACA EMERG</v>
      </c>
      <c r="C1020" s="15">
        <f>IFERROR(VLOOKUP(TAB_ENTRADA[[#This Row],[Cod_2_Entrada]],TAB_ESTOQUE[[Codigo]:[Referência Tec]],7,FALSE),"")</f>
        <v>0</v>
      </c>
      <c r="D1020" s="15" t="str">
        <f>VLOOKUP(TAB_ENTRADA[[#This Row],[Cod_2_Entrada]],TAB_ESTOQUE[[Codigo]:[Endereço2]],12,FALSE)</f>
        <v>A2304</v>
      </c>
      <c r="E1020" s="15">
        <f>SUM(TAB_ENTRADA[[#This Row],[20/05/2019]:[Colunas1]])</f>
        <v>0</v>
      </c>
      <c r="F1020" s="3"/>
      <c r="FK1020" s="3">
        <v>0</v>
      </c>
    </row>
    <row r="1021" spans="1:182" x14ac:dyDescent="0.25">
      <c r="A1021" s="5" t="s">
        <v>2678</v>
      </c>
      <c r="B1021" s="15" t="str">
        <f>VLOOKUP(TAB_ENTRADA[[#This Row],[Cod_2_Entrada]],TAB_ESTOQUE[[Codigo]:[Descrição Tecnica]],6,FALSE)</f>
        <v>ARAME GALVANIZADO BWG 16 E=1,24MM</v>
      </c>
      <c r="C1021" s="15">
        <f>IFERROR(VLOOKUP(TAB_ENTRADA[[#This Row],[Cod_2_Entrada]],TAB_ESTOQUE[[Codigo]:[Referência Tec]],7,FALSE),"")</f>
        <v>0</v>
      </c>
      <c r="D1021" s="15" t="str">
        <f>VLOOKUP(TAB_ENTRADA[[#This Row],[Cod_2_Entrada]],TAB_ESTOQUE[[Codigo]:[Endereço2]],12,FALSE)</f>
        <v>E2102</v>
      </c>
      <c r="E1021" s="15">
        <f>SUM(TAB_ENTRADA[[#This Row],[20/05/2019]:[Colunas1]])</f>
        <v>85</v>
      </c>
      <c r="F1021" s="3"/>
      <c r="FK1021" s="3">
        <v>85</v>
      </c>
    </row>
    <row r="1022" spans="1:182" x14ac:dyDescent="0.25">
      <c r="A1022" s="5" t="s">
        <v>2679</v>
      </c>
      <c r="B1022" s="15" t="str">
        <f>VLOOKUP(TAB_ENTRADA[[#This Row],[Cod_2_Entrada]],TAB_ESTOQUE[[Codigo]:[Descrição Tecnica]],6,FALSE)</f>
        <v>BASE FIBRO 2031.70.040</v>
      </c>
      <c r="C1022" s="15">
        <f>IFERROR(VLOOKUP(TAB_ENTRADA[[#This Row],[Cod_2_Entrada]],TAB_ESTOQUE[[Codigo]:[Referência Tec]],7,FALSE),"")</f>
        <v>0</v>
      </c>
      <c r="D1022" s="15" t="str">
        <f>VLOOKUP(TAB_ENTRADA[[#This Row],[Cod_2_Entrada]],TAB_ESTOQUE[[Codigo]:[Endereço2]],12,FALSE)</f>
        <v>F1403</v>
      </c>
      <c r="E1022" s="15">
        <f>SUM(TAB_ENTRADA[[#This Row],[20/05/2019]:[Colunas1]])</f>
        <v>5</v>
      </c>
      <c r="F1022" s="3"/>
      <c r="FK1022" s="3">
        <v>5</v>
      </c>
    </row>
    <row r="1023" spans="1:182" x14ac:dyDescent="0.25">
      <c r="A1023" s="5" t="s">
        <v>2680</v>
      </c>
      <c r="B1023" s="15" t="str">
        <f>VLOOKUP(TAB_ENTRADA[[#This Row],[Cod_2_Entrada]],TAB_ESTOQUE[[Codigo]:[Descrição Tecnica]],6,FALSE)</f>
        <v>CHUMBADOR PBA 5/8" X 7</v>
      </c>
      <c r="C1023" s="15">
        <f>IFERROR(VLOOKUP(TAB_ENTRADA[[#This Row],[Cod_2_Entrada]],TAB_ESTOQUE[[Codigo]:[Referência Tec]],7,FALSE),"")</f>
        <v>0</v>
      </c>
      <c r="D1023" s="15" t="str">
        <f>VLOOKUP(TAB_ENTRADA[[#This Row],[Cod_2_Entrada]],TAB_ESTOQUE[[Codigo]:[Endereço2]],12,FALSE)</f>
        <v>F2106</v>
      </c>
      <c r="E1023" s="15">
        <f>SUM(TAB_ENTRADA[[#This Row],[20/05/2019]:[Colunas1]])</f>
        <v>0</v>
      </c>
      <c r="F1023" s="3"/>
      <c r="FK1023" s="3">
        <v>0</v>
      </c>
    </row>
    <row r="1024" spans="1:182" x14ac:dyDescent="0.25">
      <c r="A1024" s="5" t="s">
        <v>2681</v>
      </c>
      <c r="B1024" s="15" t="str">
        <f>VLOOKUP(TAB_ENTRADA[[#This Row],[Cod_2_Entrada]],TAB_ESTOQUE[[Codigo]:[Descrição Tecnica]],6,FALSE)</f>
        <v>BOMBA DE PALHETA FZP-2/4.0 HYDAC</v>
      </c>
      <c r="C1024" s="15">
        <f>IFERROR(VLOOKUP(TAB_ENTRADA[[#This Row],[Cod_2_Entrada]],TAB_ESTOQUE[[Codigo]:[Referência Tec]],7,FALSE),"")</f>
        <v>0</v>
      </c>
      <c r="D1024" s="15" t="str">
        <f>VLOOKUP(TAB_ENTRADA[[#This Row],[Cod_2_Entrada]],TAB_ESTOQUE[[Codigo]:[Endereço2]],12,FALSE)</f>
        <v>E2304</v>
      </c>
      <c r="E1024" s="15">
        <f>SUM(TAB_ENTRADA[[#This Row],[20/05/2019]:[Colunas1]])</f>
        <v>1</v>
      </c>
      <c r="F1024" s="3"/>
      <c r="FK1024" s="3">
        <v>1</v>
      </c>
    </row>
    <row r="1025" spans="1:167" x14ac:dyDescent="0.25">
      <c r="A1025" s="5" t="s">
        <v>2682</v>
      </c>
      <c r="B1025" s="15" t="str">
        <f>VLOOKUP(TAB_ENTRADA[[#This Row],[Cod_2_Entrada]],TAB_ESTOQUE[[Codigo]:[Descrição Tecnica]],6,FALSE)</f>
        <v>VAZILINA SPRAY</v>
      </c>
      <c r="C1025" s="15">
        <f>IFERROR(VLOOKUP(TAB_ENTRADA[[#This Row],[Cod_2_Entrada]],TAB_ESTOQUE[[Codigo]:[Referência Tec]],7,FALSE),"")</f>
        <v>0</v>
      </c>
      <c r="D1025" s="15" t="str">
        <f>VLOOKUP(TAB_ENTRADA[[#This Row],[Cod_2_Entrada]],TAB_ESTOQUE[[Codigo]:[Endereço2]],12,FALSE)</f>
        <v>ARMARIO</v>
      </c>
      <c r="E1025" s="15">
        <f>SUM(TAB_ENTRADA[[#This Row],[20/05/2019]:[Colunas1]])</f>
        <v>0</v>
      </c>
      <c r="F1025" s="3"/>
      <c r="FK1025" s="3">
        <v>0</v>
      </c>
    </row>
    <row r="1026" spans="1:167" x14ac:dyDescent="0.25">
      <c r="A1026" s="5" t="s">
        <v>2683</v>
      </c>
      <c r="B1026" s="15" t="str">
        <f>VLOOKUP(TAB_ENTRADA[[#This Row],[Cod_2_Entrada]],TAB_ESTOQUE[[Codigo]:[Descrição Tecnica]],6,FALSE)</f>
        <v>CORREIA LISA HTA 500-5M</v>
      </c>
      <c r="C1026" s="15">
        <f>IFERROR(VLOOKUP(TAB_ENTRADA[[#This Row],[Cod_2_Entrada]],TAB_ESTOQUE[[Codigo]:[Referência Tec]],7,FALSE),"")</f>
        <v>0</v>
      </c>
      <c r="D1026" s="15" t="str">
        <f>VLOOKUP(TAB_ENTRADA[[#This Row],[Cod_2_Entrada]],TAB_ESTOQUE[[Codigo]:[Endereço2]],12,FALSE)</f>
        <v>S601</v>
      </c>
      <c r="E1026" s="15">
        <f>SUM(TAB_ENTRADA[[#This Row],[20/05/2019]:[Colunas1]])</f>
        <v>0</v>
      </c>
      <c r="F1026" s="3"/>
      <c r="FK1026" s="3">
        <v>0</v>
      </c>
    </row>
    <row r="1027" spans="1:167" x14ac:dyDescent="0.25">
      <c r="A1027" s="5" t="s">
        <v>2684</v>
      </c>
      <c r="B1027" s="15" t="str">
        <f>VLOOKUP(TAB_ENTRADA[[#This Row],[Cod_2_Entrada]],TAB_ESTOQUE[[Codigo]:[Descrição Tecnica]],6,FALSE)</f>
        <v>CORREIA LISA B-36</v>
      </c>
      <c r="C1027" s="15">
        <f>IFERROR(VLOOKUP(TAB_ENTRADA[[#This Row],[Cod_2_Entrada]],TAB_ESTOQUE[[Codigo]:[Referência Tec]],7,FALSE),"")</f>
        <v>0</v>
      </c>
      <c r="D1027" s="15" t="str">
        <f>VLOOKUP(TAB_ENTRADA[[#This Row],[Cod_2_Entrada]],TAB_ESTOQUE[[Codigo]:[Endereço2]],12,FALSE)</f>
        <v>S601</v>
      </c>
      <c r="E1027" s="15">
        <f>SUM(TAB_ENTRADA[[#This Row],[20/05/2019]:[Colunas1]])</f>
        <v>7</v>
      </c>
      <c r="F1027" s="3"/>
      <c r="FK1027" s="3">
        <v>7</v>
      </c>
    </row>
    <row r="1028" spans="1:167" x14ac:dyDescent="0.25">
      <c r="A1028" s="5" t="s">
        <v>2685</v>
      </c>
      <c r="B1028" s="15" t="str">
        <f>VLOOKUP(TAB_ENTRADA[[#This Row],[Cod_2_Entrada]],TAB_ESTOQUE[[Codigo]:[Descrição Tecnica]],6,FALSE)</f>
        <v>CORREIA LISA A-37</v>
      </c>
      <c r="C1028" s="15">
        <f>IFERROR(VLOOKUP(TAB_ENTRADA[[#This Row],[Cod_2_Entrada]],TAB_ESTOQUE[[Codigo]:[Referência Tec]],7,FALSE),"")</f>
        <v>0</v>
      </c>
      <c r="D1028" s="15" t="str">
        <f>VLOOKUP(TAB_ENTRADA[[#This Row],[Cod_2_Entrada]],TAB_ESTOQUE[[Codigo]:[Endereço2]],12,FALSE)</f>
        <v>S601</v>
      </c>
      <c r="E1028" s="15">
        <f>SUM(TAB_ENTRADA[[#This Row],[20/05/2019]:[Colunas1]])</f>
        <v>8</v>
      </c>
      <c r="F1028" s="3"/>
      <c r="FK1028" s="3">
        <v>8</v>
      </c>
    </row>
    <row r="1029" spans="1:167" x14ac:dyDescent="0.25">
      <c r="A1029" s="5" t="s">
        <v>2686</v>
      </c>
      <c r="B1029" s="15" t="str">
        <f>VLOOKUP(TAB_ENTRADA[[#This Row],[Cod_2_Entrada]],TAB_ESTOQUE[[Codigo]:[Descrição Tecnica]],6,FALSE)</f>
        <v>CORREIA LISA 3L-380</v>
      </c>
      <c r="C1029" s="15">
        <f>IFERROR(VLOOKUP(TAB_ENTRADA[[#This Row],[Cod_2_Entrada]],TAB_ESTOQUE[[Codigo]:[Referência Tec]],7,FALSE),"")</f>
        <v>0</v>
      </c>
      <c r="D1029" s="15" t="str">
        <f>VLOOKUP(TAB_ENTRADA[[#This Row],[Cod_2_Entrada]],TAB_ESTOQUE[[Codigo]:[Endereço2]],12,FALSE)</f>
        <v>S601</v>
      </c>
      <c r="E1029" s="15">
        <f>SUM(TAB_ENTRADA[[#This Row],[20/05/2019]:[Colunas1]])</f>
        <v>4</v>
      </c>
      <c r="F1029" s="3"/>
      <c r="FK1029" s="3">
        <v>4</v>
      </c>
    </row>
    <row r="1030" spans="1:167" x14ac:dyDescent="0.25">
      <c r="A1030" s="5" t="s">
        <v>2687</v>
      </c>
      <c r="B1030" s="15" t="str">
        <f>VLOOKUP(TAB_ENTRADA[[#This Row],[Cod_2_Entrada]],TAB_ESTOQUE[[Codigo]:[Descrição Tecnica]],6,FALSE)</f>
        <v>CORREIA LISA DU15-506</v>
      </c>
      <c r="C1030" s="15">
        <f>IFERROR(VLOOKUP(TAB_ENTRADA[[#This Row],[Cod_2_Entrada]],TAB_ESTOQUE[[Codigo]:[Referência Tec]],7,FALSE),"")</f>
        <v>0</v>
      </c>
      <c r="D1030" s="15" t="str">
        <f>VLOOKUP(TAB_ENTRADA[[#This Row],[Cod_2_Entrada]],TAB_ESTOQUE[[Codigo]:[Endereço2]],12,FALSE)</f>
        <v>S601</v>
      </c>
      <c r="E1030" s="15">
        <f>SUM(TAB_ENTRADA[[#This Row],[20/05/2019]:[Colunas1]])</f>
        <v>2</v>
      </c>
      <c r="F1030" s="3"/>
      <c r="FK1030" s="3">
        <v>2</v>
      </c>
    </row>
    <row r="1031" spans="1:167" x14ac:dyDescent="0.25">
      <c r="A1031" s="5" t="s">
        <v>2688</v>
      </c>
      <c r="B1031" s="15" t="str">
        <f>VLOOKUP(TAB_ENTRADA[[#This Row],[Cod_2_Entrada]],TAB_ESTOQUE[[Codigo]:[Descrição Tecnica]],6,FALSE)</f>
        <v>CORREIA LISA B38 17 X 9652</v>
      </c>
      <c r="C1031" s="15">
        <f>IFERROR(VLOOKUP(TAB_ENTRADA[[#This Row],[Cod_2_Entrada]],TAB_ESTOQUE[[Codigo]:[Referência Tec]],7,FALSE),"")</f>
        <v>0</v>
      </c>
      <c r="D1031" s="15" t="str">
        <f>VLOOKUP(TAB_ENTRADA[[#This Row],[Cod_2_Entrada]],TAB_ESTOQUE[[Codigo]:[Endereço2]],12,FALSE)</f>
        <v>S601</v>
      </c>
      <c r="E1031" s="15">
        <f>SUM(TAB_ENTRADA[[#This Row],[20/05/2019]:[Colunas1]])</f>
        <v>1</v>
      </c>
      <c r="F1031" s="3"/>
      <c r="FK1031" s="3">
        <v>1</v>
      </c>
    </row>
    <row r="1032" spans="1:167" x14ac:dyDescent="0.25">
      <c r="A1032" s="5" t="s">
        <v>2689</v>
      </c>
      <c r="B1032" s="15" t="str">
        <f>VLOOKUP(TAB_ENTRADA[[#This Row],[Cod_2_Entrada]],TAB_ESTOQUE[[Codigo]:[Descrição Tecnica]],6,FALSE)</f>
        <v>CORREIA DENTADA TORQUE FLEX XPB 2410</v>
      </c>
      <c r="C1032" s="15">
        <f>IFERROR(VLOOKUP(TAB_ENTRADA[[#This Row],[Cod_2_Entrada]],TAB_ESTOQUE[[Codigo]:[Referência Tec]],7,FALSE),"")</f>
        <v>0</v>
      </c>
      <c r="D1032" s="15" t="str">
        <f>VLOOKUP(TAB_ENTRADA[[#This Row],[Cod_2_Entrada]],TAB_ESTOQUE[[Codigo]:[Endereço2]],12,FALSE)</f>
        <v>S601</v>
      </c>
      <c r="E1032" s="15">
        <f>SUM(TAB_ENTRADA[[#This Row],[20/05/2019]:[Colunas1]])</f>
        <v>2</v>
      </c>
      <c r="F1032" s="3"/>
      <c r="FK1032" s="3">
        <v>2</v>
      </c>
    </row>
    <row r="1033" spans="1:167" x14ac:dyDescent="0.25">
      <c r="A1033" s="5" t="s">
        <v>2690</v>
      </c>
      <c r="B1033" s="15" t="str">
        <f>VLOOKUP(TAB_ENTRADA[[#This Row],[Cod_2_Entrada]],TAB_ESTOQUE[[Codigo]:[Descrição Tecnica]],6,FALSE)</f>
        <v>MOTOR WEG W22 PLUSS 220/380/440</v>
      </c>
      <c r="C1033" s="15">
        <f>IFERROR(VLOOKUP(TAB_ENTRADA[[#This Row],[Cod_2_Entrada]],TAB_ESTOQUE[[Codigo]:[Referência Tec]],7,FALSE),"")</f>
        <v>0</v>
      </c>
      <c r="D1033" s="15" t="str">
        <f>VLOOKUP(TAB_ENTRADA[[#This Row],[Cod_2_Entrada]],TAB_ESTOQUE[[Codigo]:[Endereço2]],12,FALSE)</f>
        <v>F1404</v>
      </c>
      <c r="E1033" s="15">
        <f>SUM(TAB_ENTRADA[[#This Row],[20/05/2019]:[Colunas1]])</f>
        <v>1</v>
      </c>
      <c r="F1033" s="3"/>
      <c r="FK1033" s="3">
        <v>1</v>
      </c>
    </row>
    <row r="1034" spans="1:167" x14ac:dyDescent="0.25">
      <c r="A1034" s="5" t="s">
        <v>2691</v>
      </c>
      <c r="B1034" s="15" t="str">
        <f>VLOOKUP(TAB_ENTRADA[[#This Row],[Cod_2_Entrada]],TAB_ESTOQUE[[Codigo]:[Descrição Tecnica]],6,FALSE)</f>
        <v>MOTOR BOMBA AUTO-ASPIRANTE  110/127 VALTS</v>
      </c>
      <c r="C1034" s="15">
        <f>IFERROR(VLOOKUP(TAB_ENTRADA[[#This Row],[Cod_2_Entrada]],TAB_ESTOQUE[[Codigo]:[Referência Tec]],7,FALSE),"")</f>
        <v>0</v>
      </c>
      <c r="D1034" s="15" t="str">
        <f>VLOOKUP(TAB_ENTRADA[[#This Row],[Cod_2_Entrada]],TAB_ESTOQUE[[Codigo]:[Endereço2]],12,FALSE)</f>
        <v>F1404</v>
      </c>
      <c r="E1034" s="15">
        <f>SUM(TAB_ENTRADA[[#This Row],[20/05/2019]:[Colunas1]])</f>
        <v>1</v>
      </c>
      <c r="F1034" s="3"/>
      <c r="FK1034" s="3">
        <v>1</v>
      </c>
    </row>
    <row r="1035" spans="1:167" x14ac:dyDescent="0.25">
      <c r="A1035" s="5" t="s">
        <v>2692</v>
      </c>
      <c r="B1035" s="15" t="str">
        <f>VLOOKUP(TAB_ENTRADA[[#This Row],[Cod_2_Entrada]],TAB_ESTOQUE[[Codigo]:[Descrição Tecnica]],6,FALSE)</f>
        <v>BOMBA FB MOD: FBE 1STD</v>
      </c>
      <c r="C1035" s="15">
        <f>IFERROR(VLOOKUP(TAB_ENTRADA[[#This Row],[Cod_2_Entrada]],TAB_ESTOQUE[[Codigo]:[Referência Tec]],7,FALSE),"")</f>
        <v>0</v>
      </c>
      <c r="D1035" s="15" t="str">
        <f>VLOOKUP(TAB_ENTRADA[[#This Row],[Cod_2_Entrada]],TAB_ESTOQUE[[Codigo]:[Endereço2]],12,FALSE)</f>
        <v>F1404</v>
      </c>
      <c r="E1035" s="15">
        <f>SUM(TAB_ENTRADA[[#This Row],[20/05/2019]:[Colunas1]])</f>
        <v>1</v>
      </c>
      <c r="F1035" s="3"/>
      <c r="FK1035" s="3">
        <v>1</v>
      </c>
    </row>
    <row r="1036" spans="1:167" x14ac:dyDescent="0.25">
      <c r="A1036" s="5" t="s">
        <v>2693</v>
      </c>
      <c r="B1036" s="15" t="str">
        <f>VLOOKUP(TAB_ENTRADA[[#This Row],[Cod_2_Entrada]],TAB_ESTOQUE[[Codigo]:[Descrição Tecnica]],6,FALSE)</f>
        <v>BOMBA KRACHT KF200 BF7</v>
      </c>
      <c r="C1036" s="15">
        <f>IFERROR(VLOOKUP(TAB_ENTRADA[[#This Row],[Cod_2_Entrada]],TAB_ESTOQUE[[Codigo]:[Referência Tec]],7,FALSE),"")</f>
        <v>0</v>
      </c>
      <c r="D1036" s="15" t="str">
        <f>VLOOKUP(TAB_ENTRADA[[#This Row],[Cod_2_Entrada]],TAB_ESTOQUE[[Codigo]:[Endereço2]],12,FALSE)</f>
        <v>F1405</v>
      </c>
      <c r="E1036" s="15">
        <f>SUM(TAB_ENTRADA[[#This Row],[20/05/2019]:[Colunas1]])</f>
        <v>1</v>
      </c>
      <c r="F1036" s="3"/>
      <c r="FK1036" s="3">
        <v>1</v>
      </c>
    </row>
    <row r="1037" spans="1:167" x14ac:dyDescent="0.25">
      <c r="A1037" s="5" t="s">
        <v>2694</v>
      </c>
      <c r="B1037" s="15" t="str">
        <f>VLOOKUP(TAB_ENTRADA[[#This Row],[Cod_2_Entrada]],TAB_ESTOQUE[[Codigo]:[Descrição Tecnica]],6,FALSE)</f>
        <v>MOTOR REDUTOR SEW KA47B CMP63M/KY/AKOH/5M1</v>
      </c>
      <c r="C1037" s="15">
        <f>IFERROR(VLOOKUP(TAB_ENTRADA[[#This Row],[Cod_2_Entrada]],TAB_ESTOQUE[[Codigo]:[Referência Tec]],7,FALSE),"")</f>
        <v>0</v>
      </c>
      <c r="D1037" s="15" t="str">
        <f>VLOOKUP(TAB_ENTRADA[[#This Row],[Cod_2_Entrada]],TAB_ESTOQUE[[Codigo]:[Endereço2]],12,FALSE)</f>
        <v>F1406</v>
      </c>
      <c r="E1037" s="15">
        <f>SUM(TAB_ENTRADA[[#This Row],[20/05/2019]:[Colunas1]])</f>
        <v>1</v>
      </c>
      <c r="F1037" s="3"/>
      <c r="FK1037" s="3">
        <v>1</v>
      </c>
    </row>
    <row r="1038" spans="1:167" x14ac:dyDescent="0.25">
      <c r="A1038" s="5" t="s">
        <v>2695</v>
      </c>
      <c r="B1038" s="15" t="str">
        <f>VLOOKUP(TAB_ENTRADA[[#This Row],[Cod_2_Entrada]],TAB_ESTOQUE[[Codigo]:[Descrição Tecnica]],6,FALSE)</f>
        <v>MOTOR WEG COM REDUTOR + EIXO W22 220/380</v>
      </c>
      <c r="C1038" s="15">
        <f>IFERROR(VLOOKUP(TAB_ENTRADA[[#This Row],[Cod_2_Entrada]],TAB_ESTOQUE[[Codigo]:[Referência Tec]],7,FALSE),"")</f>
        <v>0</v>
      </c>
      <c r="D1038" s="15" t="str">
        <f>VLOOKUP(TAB_ENTRADA[[#This Row],[Cod_2_Entrada]],TAB_ESTOQUE[[Codigo]:[Endereço2]],12,FALSE)</f>
        <v>F1406</v>
      </c>
      <c r="E1038" s="15">
        <f>SUM(TAB_ENTRADA[[#This Row],[20/05/2019]:[Colunas1]])</f>
        <v>1</v>
      </c>
      <c r="F1038" s="3"/>
      <c r="FK1038" s="3">
        <v>1</v>
      </c>
    </row>
    <row r="1039" spans="1:167" x14ac:dyDescent="0.25">
      <c r="A1039" s="5" t="s">
        <v>2696</v>
      </c>
      <c r="B1039" s="15" t="str">
        <f>VLOOKUP(TAB_ENTRADA[[#This Row],[Cod_2_Entrada]],TAB_ESTOQUE[[Codigo]:[Descrição Tecnica]],6,FALSE)</f>
        <v>LIXA D´AGUA 1,200</v>
      </c>
      <c r="C1039" s="15">
        <f>IFERROR(VLOOKUP(TAB_ENTRADA[[#This Row],[Cod_2_Entrada]],TAB_ESTOQUE[[Codigo]:[Referência Tec]],7,FALSE),"")</f>
        <v>0</v>
      </c>
      <c r="D1039" s="15" t="str">
        <f>VLOOKUP(TAB_ENTRADA[[#This Row],[Cod_2_Entrada]],TAB_ESTOQUE[[Codigo]:[Endereço2]],12,FALSE)</f>
        <v>D1104</v>
      </c>
      <c r="E1039" s="15">
        <f>SUM(TAB_ENTRADA[[#This Row],[20/05/2019]:[Colunas1]])</f>
        <v>135</v>
      </c>
      <c r="F1039" s="3"/>
      <c r="FK1039" s="3">
        <v>135</v>
      </c>
    </row>
    <row r="1040" spans="1:167" x14ac:dyDescent="0.25">
      <c r="A1040" s="5" t="s">
        <v>2697</v>
      </c>
      <c r="B1040" s="15" t="str">
        <f>VLOOKUP(TAB_ENTRADA[[#This Row],[Cod_2_Entrada]],TAB_ESTOQUE[[Codigo]:[Descrição Tecnica]],6,FALSE)</f>
        <v>LIXA D´AGUA 320</v>
      </c>
      <c r="C1040" s="15">
        <f>IFERROR(VLOOKUP(TAB_ENTRADA[[#This Row],[Cod_2_Entrada]],TAB_ESTOQUE[[Codigo]:[Referência Tec]],7,FALSE),"")</f>
        <v>0</v>
      </c>
      <c r="D1040" s="15" t="str">
        <f>VLOOKUP(TAB_ENTRADA[[#This Row],[Cod_2_Entrada]],TAB_ESTOQUE[[Codigo]:[Endereço2]],12,FALSE)</f>
        <v>D1104</v>
      </c>
      <c r="E1040" s="15">
        <f>SUM(TAB_ENTRADA[[#This Row],[20/05/2019]:[Colunas1]])</f>
        <v>5</v>
      </c>
      <c r="F1040" s="3"/>
      <c r="FK1040" s="3">
        <v>5</v>
      </c>
    </row>
    <row r="1041" spans="1:183" x14ac:dyDescent="0.25">
      <c r="A1041" s="5" t="s">
        <v>2698</v>
      </c>
      <c r="B1041" s="15" t="str">
        <f>VLOOKUP(TAB_ENTRADA[[#This Row],[Cod_2_Entrada]],TAB_ESTOQUE[[Codigo]:[Descrição Tecnica]],6,FALSE)</f>
        <v>MOTOR ELÉTRICO TRIFÁSICO 2.2KW (3HP) - REF. Y2-100L1-4</v>
      </c>
      <c r="C1041" s="15">
        <f>IFERROR(VLOOKUP(TAB_ENTRADA[[#This Row],[Cod_2_Entrada]],TAB_ESTOQUE[[Codigo]:[Referência Tec]],7,FALSE),"")</f>
        <v>0</v>
      </c>
      <c r="D1041" s="15" t="str">
        <f>VLOOKUP(TAB_ENTRADA[[#This Row],[Cod_2_Entrada]],TAB_ESTOQUE[[Codigo]:[Endereço2]],12,FALSE)</f>
        <v>PISO 01</v>
      </c>
      <c r="E1041" s="15">
        <f>SUM(TAB_ENTRADA[[#This Row],[20/05/2019]:[Colunas1]])</f>
        <v>2</v>
      </c>
      <c r="F1041" s="3"/>
      <c r="FK1041" s="3">
        <v>2</v>
      </c>
    </row>
    <row r="1042" spans="1:183" x14ac:dyDescent="0.25">
      <c r="A1042" s="5" t="s">
        <v>2699</v>
      </c>
      <c r="B1042" s="15" t="str">
        <f>VLOOKUP(TAB_ENTRADA[[#This Row],[Cod_2_Entrada]],TAB_ESTOQUE[[Codigo]:[Descrição Tecnica]],6,FALSE)</f>
        <v>LUVA PVC 25</v>
      </c>
      <c r="C1042" s="15">
        <f>IFERROR(VLOOKUP(TAB_ENTRADA[[#This Row],[Cod_2_Entrada]],TAB_ESTOQUE[[Codigo]:[Referência Tec]],7,FALSE),"")</f>
        <v>0</v>
      </c>
      <c r="D1042" s="15" t="str">
        <f>VLOOKUP(TAB_ENTRADA[[#This Row],[Cod_2_Entrada]],TAB_ESTOQUE[[Codigo]:[Endereço2]],12,FALSE)</f>
        <v>D1403</v>
      </c>
      <c r="E1042" s="15">
        <f>SUM(TAB_ENTRADA[[#This Row],[20/05/2019]:[Colunas1]])</f>
        <v>3</v>
      </c>
      <c r="F1042" s="3"/>
      <c r="FK1042" s="3">
        <v>3</v>
      </c>
    </row>
    <row r="1043" spans="1:183" x14ac:dyDescent="0.25">
      <c r="A1043" s="5" t="s">
        <v>2700</v>
      </c>
      <c r="B1043" s="15" t="str">
        <f>VLOOKUP(TAB_ENTRADA[[#This Row],[Cod_2_Entrada]],TAB_ESTOQUE[[Codigo]:[Descrição Tecnica]],6,FALSE)</f>
        <v>FONTE DE ALIMENTAÇÃO CHAVEADA 24V 200W - REF. NES-200-24</v>
      </c>
      <c r="C1043" s="15">
        <f>IFERROR(VLOOKUP(TAB_ENTRADA[[#This Row],[Cod_2_Entrada]],TAB_ESTOQUE[[Codigo]:[Referência Tec]],7,FALSE),"")</f>
        <v>0</v>
      </c>
      <c r="D1043" s="15" t="str">
        <f>VLOOKUP(TAB_ENTRADA[[#This Row],[Cod_2_Entrada]],TAB_ESTOQUE[[Codigo]:[Endereço2]],12,FALSE)</f>
        <v>G1104</v>
      </c>
      <c r="E1043" s="15">
        <f>SUM(TAB_ENTRADA[[#This Row],[20/05/2019]:[Colunas1]])</f>
        <v>0</v>
      </c>
      <c r="F1043" s="3"/>
      <c r="FK1043" s="3">
        <v>0</v>
      </c>
    </row>
    <row r="1044" spans="1:183" x14ac:dyDescent="0.25">
      <c r="A1044" s="5" t="s">
        <v>2701</v>
      </c>
      <c r="B1044" s="15" t="str">
        <f>VLOOKUP(TAB_ENTRADA[[#This Row],[Cod_2_Entrada]],TAB_ESTOQUE[[Codigo]:[Descrição Tecnica]],6,FALSE)</f>
        <v>DISJUNTOR MOTOR TERMOMAGNÉTICO SCHNEIDER - REF. GV2-ME02C / 0.16-0.25A</v>
      </c>
      <c r="C1044" s="15">
        <f>IFERROR(VLOOKUP(TAB_ENTRADA[[#This Row],[Cod_2_Entrada]],TAB_ESTOQUE[[Codigo]:[Referência Tec]],7,FALSE),"")</f>
        <v>0</v>
      </c>
      <c r="D1044" s="15" t="str">
        <f>VLOOKUP(TAB_ENTRADA[[#This Row],[Cod_2_Entrada]],TAB_ESTOQUE[[Codigo]:[Endereço2]],12,FALSE)</f>
        <v>A1303</v>
      </c>
      <c r="E1044" s="15">
        <f>SUM(TAB_ENTRADA[[#This Row],[20/05/2019]:[Colunas1]])</f>
        <v>0</v>
      </c>
      <c r="F1044" s="3"/>
      <c r="FK1044" s="3">
        <v>0</v>
      </c>
    </row>
    <row r="1045" spans="1:183" x14ac:dyDescent="0.25">
      <c r="A1045" s="5" t="s">
        <v>2702</v>
      </c>
      <c r="B1045" s="15" t="str">
        <f>VLOOKUP(TAB_ENTRADA[[#This Row],[Cod_2_Entrada]],TAB_ESTOQUE[[Codigo]:[Descrição Tecnica]],6,FALSE)</f>
        <v>BOTÃO DE EMERGÊNCIA COM TRAVA DE BLACKOUT VM CLE2 40</v>
      </c>
      <c r="C1045" s="15">
        <f>IFERROR(VLOOKUP(TAB_ENTRADA[[#This Row],[Cod_2_Entrada]],TAB_ESTOQUE[[Codigo]:[Referência Tec]],7,FALSE),"")</f>
        <v>0</v>
      </c>
      <c r="D1045" s="15" t="str">
        <f>VLOOKUP(TAB_ENTRADA[[#This Row],[Cod_2_Entrada]],TAB_ESTOQUE[[Codigo]:[Endereço2]],12,FALSE)</f>
        <v>A2406</v>
      </c>
      <c r="E1045" s="15">
        <f>SUM(TAB_ENTRADA[[#This Row],[20/05/2019]:[Colunas1]])</f>
        <v>0</v>
      </c>
      <c r="F1045" s="3"/>
      <c r="FK1045" s="3">
        <v>0</v>
      </c>
    </row>
    <row r="1046" spans="1:183" x14ac:dyDescent="0.25">
      <c r="A1046" s="5" t="s">
        <v>2703</v>
      </c>
      <c r="B1046" s="15" t="str">
        <f>VLOOKUP(TAB_ENTRADA[[#This Row],[Cod_2_Entrada]],TAB_ESTOQUE[[Codigo]:[Descrição Tecnica]],6,FALSE)</f>
        <v>ATUADOR PNEUMATICO MODELO: GNP-44 8BAR</v>
      </c>
      <c r="C1046" s="15">
        <f>IFERROR(VLOOKUP(TAB_ENTRADA[[#This Row],[Cod_2_Entrada]],TAB_ESTOQUE[[Codigo]:[Referência Tec]],7,FALSE),"")</f>
        <v>0</v>
      </c>
      <c r="D1046" s="15" t="str">
        <f>VLOOKUP(TAB_ENTRADA[[#This Row],[Cod_2_Entrada]],TAB_ESTOQUE[[Codigo]:[Endereço2]],12,FALSE)</f>
        <v>C1205</v>
      </c>
      <c r="E1046" s="15">
        <f>SUM(TAB_ENTRADA[[#This Row],[20/05/2019]:[Colunas1]])</f>
        <v>3</v>
      </c>
      <c r="F1046" s="3"/>
      <c r="FK1046" s="3">
        <v>3</v>
      </c>
    </row>
    <row r="1047" spans="1:183" x14ac:dyDescent="0.25">
      <c r="A1047" s="5" t="s">
        <v>2704</v>
      </c>
      <c r="B1047" s="15" t="str">
        <f>VLOOKUP(TAB_ENTRADA[[#This Row],[Cod_2_Entrada]],TAB_ESTOQUE[[Codigo]:[Descrição Tecnica]],6,FALSE)</f>
        <v>PLACA COLEIRO 151XX680 (MADE FROM 152XX680) KRM 0007; VER M1 *PCB ASSY 12-ZONE GEAR- PUMP NI-120 18041 625 (VALCO MELTON)</v>
      </c>
      <c r="C1047" s="15">
        <f>IFERROR(VLOOKUP(TAB_ENTRADA[[#This Row],[Cod_2_Entrada]],TAB_ESTOQUE[[Codigo]:[Referência Tec]],7,FALSE),"")</f>
        <v>0</v>
      </c>
      <c r="D1047" s="15" t="str">
        <f>VLOOKUP(TAB_ENTRADA[[#This Row],[Cod_2_Entrada]],TAB_ESTOQUE[[Codigo]:[Endereço2]],12,FALSE)</f>
        <v>A1102</v>
      </c>
      <c r="E1047" s="15">
        <f>SUM(TAB_ENTRADA[[#This Row],[20/05/2019]:[Colunas1]])</f>
        <v>1</v>
      </c>
      <c r="F1047" s="3"/>
      <c r="FK1047" s="3">
        <v>1</v>
      </c>
    </row>
    <row r="1048" spans="1:183" x14ac:dyDescent="0.25">
      <c r="A1048" s="5" t="s">
        <v>2705</v>
      </c>
      <c r="B1048" s="15" t="str">
        <f>VLOOKUP(TAB_ENTRADA[[#This Row],[Cod_2_Entrada]],TAB_ESTOQUE[[Codigo]:[Descrição Tecnica]],6,FALSE)</f>
        <v>IHM COLEIRO  SCS STATIC SHIELDING BAG (BATCH NO: 82209 PIN;782XX308) (AXE318) (VALCO MELTON)</v>
      </c>
      <c r="C1048" s="15">
        <f>IFERROR(VLOOKUP(TAB_ENTRADA[[#This Row],[Cod_2_Entrada]],TAB_ESTOQUE[[Codigo]:[Referência Tec]],7,FALSE),"")</f>
        <v>0</v>
      </c>
      <c r="D1048" s="15" t="str">
        <f>VLOOKUP(TAB_ENTRADA[[#This Row],[Cod_2_Entrada]],TAB_ESTOQUE[[Codigo]:[Endereço2]],12,FALSE)</f>
        <v>A2202</v>
      </c>
      <c r="E1048" s="15">
        <f>SUM(TAB_ENTRADA[[#This Row],[20/05/2019]:[Colunas1]])</f>
        <v>1</v>
      </c>
      <c r="F1048" s="3"/>
      <c r="FK1048" s="3">
        <v>1</v>
      </c>
    </row>
    <row r="1049" spans="1:183" x14ac:dyDescent="0.25">
      <c r="A1049" s="5" t="s">
        <v>2706</v>
      </c>
      <c r="B1049" s="15" t="str">
        <f>VLOOKUP(TAB_ENTRADA[[#This Row],[Cod_2_Entrada]],TAB_ESTOQUE[[Codigo]:[Descrição Tecnica]],6,FALSE)</f>
        <v>FUSIVEL KRAH ZS 36X330 C 56R K</v>
      </c>
      <c r="C1049" s="15">
        <f>IFERROR(VLOOKUP(TAB_ENTRADA[[#This Row],[Cod_2_Entrada]],TAB_ESTOQUE[[Codigo]:[Referência Tec]],7,FALSE),"")</f>
        <v>0</v>
      </c>
      <c r="D1049" s="15" t="str">
        <f>VLOOKUP(TAB_ENTRADA[[#This Row],[Cod_2_Entrada]],TAB_ESTOQUE[[Codigo]:[Endereço2]],12,FALSE)</f>
        <v>A1106</v>
      </c>
      <c r="E1049" s="15">
        <f>SUM(TAB_ENTRADA[[#This Row],[20/05/2019]:[Colunas1]])</f>
        <v>1</v>
      </c>
      <c r="F1049" s="3"/>
      <c r="FK1049" s="3">
        <v>1</v>
      </c>
    </row>
    <row r="1050" spans="1:183" x14ac:dyDescent="0.25">
      <c r="A1050" s="5" t="s">
        <v>2707</v>
      </c>
      <c r="B1050" s="15" t="str">
        <f>VLOOKUP(TAB_ENTRADA[[#This Row],[Cod_2_Entrada]],TAB_ESTOQUE[[Codigo]:[Descrição Tecnica]],6,FALSE)</f>
        <v>ORING 12X2mm 910XX049 (VALCO MELTON)</v>
      </c>
      <c r="C1050" s="15">
        <f>IFERROR(VLOOKUP(TAB_ENTRADA[[#This Row],[Cod_2_Entrada]],TAB_ESTOQUE[[Codigo]:[Referência Tec]],7,FALSE),"")</f>
        <v>0</v>
      </c>
      <c r="D1050" s="15" t="str">
        <f>VLOOKUP(TAB_ENTRADA[[#This Row],[Cod_2_Entrada]],TAB_ESTOQUE[[Codigo]:[Endereço2]],12,FALSE)</f>
        <v>E1202</v>
      </c>
      <c r="E1050" s="15">
        <f>SUM(TAB_ENTRADA[[#This Row],[20/05/2019]:[Colunas1]])</f>
        <v>0</v>
      </c>
      <c r="F1050" s="3"/>
      <c r="FK1050" s="3">
        <v>0</v>
      </c>
    </row>
    <row r="1051" spans="1:183" x14ac:dyDescent="0.25">
      <c r="A1051" s="5" t="s">
        <v>2708</v>
      </c>
      <c r="B1051" s="15" t="str">
        <f>VLOOKUP(TAB_ENTRADA[[#This Row],[Cod_2_Entrada]],TAB_ESTOQUE[[Codigo]:[Descrição Tecnica]],6,FALSE)</f>
        <v>PLACA PCB ASSY DUAL-VFD +/-15 HMU 151XX701 (VALCO MELTON)</v>
      </c>
      <c r="C1051" s="15">
        <f>IFERROR(VLOOKUP(TAB_ENTRADA[[#This Row],[Cod_2_Entrada]],TAB_ESTOQUE[[Codigo]:[Referência Tec]],7,FALSE),"")</f>
        <v>0</v>
      </c>
      <c r="D1051" s="15" t="str">
        <f>VLOOKUP(TAB_ENTRADA[[#This Row],[Cod_2_Entrada]],TAB_ESTOQUE[[Codigo]:[Endereço2]],12,FALSE)</f>
        <v>A1103</v>
      </c>
      <c r="E1051" s="15">
        <f>SUM(TAB_ENTRADA[[#This Row],[20/05/2019]:[Colunas1]])</f>
        <v>1</v>
      </c>
      <c r="F1051" s="3"/>
      <c r="FK1051" s="3">
        <v>1</v>
      </c>
    </row>
    <row r="1052" spans="1:183" x14ac:dyDescent="0.25">
      <c r="A1052" s="5" t="s">
        <v>2709</v>
      </c>
      <c r="B1052" s="15" t="str">
        <f>VLOOKUP(TAB_ENTRADA[[#This Row],[Cod_2_Entrada]],TAB_ESTOQUE[[Codigo]:[Descrição Tecnica]],6,FALSE)</f>
        <v xml:space="preserve">RESISTENCIA ELETROTHERMO 2FTRZ 800W 240V </v>
      </c>
      <c r="C1052" s="15">
        <f>IFERROR(VLOOKUP(TAB_ENTRADA[[#This Row],[Cod_2_Entrada]],TAB_ESTOQUE[[Codigo]:[Referência Tec]],7,FALSE),"")</f>
        <v>0</v>
      </c>
      <c r="D1052" s="15" t="str">
        <f>VLOOKUP(TAB_ENTRADA[[#This Row],[Cod_2_Entrada]],TAB_ESTOQUE[[Codigo]:[Endereço2]],12,FALSE)</f>
        <v>A2105</v>
      </c>
      <c r="E1052" s="15">
        <f>SUM(TAB_ENTRADA[[#This Row],[20/05/2019]:[Colunas1]])</f>
        <v>44</v>
      </c>
      <c r="F1052" s="3"/>
      <c r="FK1052" s="3">
        <v>14</v>
      </c>
      <c r="GA1052" s="3">
        <v>30</v>
      </c>
    </row>
    <row r="1053" spans="1:183" x14ac:dyDescent="0.25">
      <c r="A1053" s="5" t="s">
        <v>2710</v>
      </c>
      <c r="B1053" s="15" t="str">
        <f>VLOOKUP(TAB_ENTRADA[[#This Row],[Cod_2_Entrada]],TAB_ESTOQUE[[Codigo]:[Descrição Tecnica]],6,FALSE)</f>
        <v>RELE MINIATURA RXM2ABBD 12A 24VDC+LED ZELIO RELAY 940347</v>
      </c>
      <c r="C1053" s="15">
        <f>IFERROR(VLOOKUP(TAB_ENTRADA[[#This Row],[Cod_2_Entrada]],TAB_ESTOQUE[[Codigo]:[Referência Tec]],7,FALSE),"")</f>
        <v>0</v>
      </c>
      <c r="D1053" s="15" t="str">
        <f>VLOOKUP(TAB_ENTRADA[[#This Row],[Cod_2_Entrada]],TAB_ESTOQUE[[Codigo]:[Endereço2]],12,FALSE)</f>
        <v>A1304</v>
      </c>
      <c r="E1053" s="15">
        <f>SUM(TAB_ENTRADA[[#This Row],[20/05/2019]:[Colunas1]])</f>
        <v>9</v>
      </c>
      <c r="F1053" s="3"/>
      <c r="FK1053" s="3">
        <v>9</v>
      </c>
    </row>
    <row r="1054" spans="1:183" x14ac:dyDescent="0.25">
      <c r="A1054" s="5" t="s">
        <v>2711</v>
      </c>
      <c r="B1054" s="15" t="str">
        <f>VLOOKUP(TAB_ENTRADA[[#This Row],[Cod_2_Entrada]],TAB_ESTOQUE[[Codigo]:[Descrição Tecnica]],6,FALSE)</f>
        <v>ACOPLAMENTO FIXAR STECK N3049 16A-9h 380-440V 2P+  FEMEA VERMELHO</v>
      </c>
      <c r="C1054" s="15">
        <f>IFERROR(VLOOKUP(TAB_ENTRADA[[#This Row],[Cod_2_Entrada]],TAB_ESTOQUE[[Codigo]:[Referência Tec]],7,FALSE),"")</f>
        <v>0</v>
      </c>
      <c r="D1054" s="15" t="str">
        <f>VLOOKUP(TAB_ENTRADA[[#This Row],[Cod_2_Entrada]],TAB_ESTOQUE[[Codigo]:[Endereço2]],12,FALSE)</f>
        <v>A1405</v>
      </c>
      <c r="E1054" s="15">
        <f>SUM(TAB_ENTRADA[[#This Row],[20/05/2019]:[Colunas1]])</f>
        <v>2</v>
      </c>
      <c r="F1054" s="3"/>
      <c r="FK1054" s="3">
        <v>2</v>
      </c>
    </row>
    <row r="1055" spans="1:183" x14ac:dyDescent="0.25">
      <c r="A1055" s="5" t="s">
        <v>2712</v>
      </c>
      <c r="B1055" s="15" t="str">
        <f>VLOOKUP(TAB_ENTRADA[[#This Row],[Cod_2_Entrada]],TAB_ESTOQUE[[Codigo]:[Descrição Tecnica]],6,FALSE)</f>
        <v>BLOCO DE CONTATO 10A SCHNEIDER JIS C4531 A600-Q600</v>
      </c>
      <c r="C1055" s="15">
        <f>IFERROR(VLOOKUP(TAB_ENTRADA[[#This Row],[Cod_2_Entrada]],TAB_ESTOQUE[[Codigo]:[Referência Tec]],7,FALSE),"")</f>
        <v>0</v>
      </c>
      <c r="D1055" s="15" t="str">
        <f>VLOOKUP(TAB_ENTRADA[[#This Row],[Cod_2_Entrada]],TAB_ESTOQUE[[Codigo]:[Endereço2]],12,FALSE)</f>
        <v>A1204</v>
      </c>
      <c r="E1055" s="15">
        <f>SUM(TAB_ENTRADA[[#This Row],[20/05/2019]:[Colunas1]])</f>
        <v>3</v>
      </c>
      <c r="F1055" s="3"/>
      <c r="FK1055" s="3">
        <v>3</v>
      </c>
    </row>
    <row r="1056" spans="1:183" x14ac:dyDescent="0.25">
      <c r="A1056" s="5" t="s">
        <v>2713</v>
      </c>
      <c r="B1056" s="15" t="str">
        <f>VLOOKUP(TAB_ENTRADA[[#This Row],[Cod_2_Entrada]],TAB_ESTOQUE[[Codigo]:[Descrição Tecnica]],6,FALSE)</f>
        <v>BLOCO DE CONTATO LA1 KN22 IEC/EM 60947-5-1 J15 C4531 10A</v>
      </c>
      <c r="C1056" s="15">
        <f>IFERROR(VLOOKUP(TAB_ENTRADA[[#This Row],[Cod_2_Entrada]],TAB_ESTOQUE[[Codigo]:[Referência Tec]],7,FALSE),"")</f>
        <v>0</v>
      </c>
      <c r="D1056" s="15" t="str">
        <f>VLOOKUP(TAB_ENTRADA[[#This Row],[Cod_2_Entrada]],TAB_ESTOQUE[[Codigo]:[Endereço2]],12,FALSE)</f>
        <v>A1204</v>
      </c>
      <c r="E1056" s="15">
        <f>SUM(TAB_ENTRADA[[#This Row],[20/05/2019]:[Colunas1]])</f>
        <v>0</v>
      </c>
      <c r="F1056" s="3"/>
      <c r="FK1056" s="3">
        <v>0</v>
      </c>
    </row>
    <row r="1057" spans="1:167" x14ac:dyDescent="0.25">
      <c r="A1057" s="5" t="s">
        <v>2714</v>
      </c>
      <c r="B1057" s="15" t="str">
        <f>VLOOKUP(TAB_ENTRADA[[#This Row],[Cod_2_Entrada]],TAB_ESTOQUE[[Codigo]:[Descrição Tecnica]],6,FALSE)</f>
        <v>BLOCO DE CONTATO IEC 60947 3RH1921-1HA22</v>
      </c>
      <c r="C1057" s="15">
        <f>IFERROR(VLOOKUP(TAB_ENTRADA[[#This Row],[Cod_2_Entrada]],TAB_ESTOQUE[[Codigo]:[Referência Tec]],7,FALSE),"")</f>
        <v>0</v>
      </c>
      <c r="D1057" s="15" t="str">
        <f>VLOOKUP(TAB_ENTRADA[[#This Row],[Cod_2_Entrada]],TAB_ESTOQUE[[Codigo]:[Endereço2]],12,FALSE)</f>
        <v>A1204</v>
      </c>
      <c r="E1057" s="15">
        <f>SUM(TAB_ENTRADA[[#This Row],[20/05/2019]:[Colunas1]])</f>
        <v>1</v>
      </c>
      <c r="F1057" s="3"/>
      <c r="FK1057" s="3">
        <v>1</v>
      </c>
    </row>
    <row r="1058" spans="1:167" x14ac:dyDescent="0.25">
      <c r="A1058" s="5" t="s">
        <v>2715</v>
      </c>
      <c r="B1058" s="15" t="str">
        <f>VLOOKUP(TAB_ENTRADA[[#This Row],[Cod_2_Entrada]],TAB_ESTOQUE[[Codigo]:[Descrição Tecnica]],6,FALSE)</f>
        <v>BLOCO DE CONTATO  (SIEMENS) 3RH1911-1GA22</v>
      </c>
      <c r="C1058" s="15">
        <f>IFERROR(VLOOKUP(TAB_ENTRADA[[#This Row],[Cod_2_Entrada]],TAB_ESTOQUE[[Codigo]:[Referência Tec]],7,FALSE),"")</f>
        <v>0</v>
      </c>
      <c r="D1058" s="15" t="str">
        <f>VLOOKUP(TAB_ENTRADA[[#This Row],[Cod_2_Entrada]],TAB_ESTOQUE[[Codigo]:[Endereço2]],12,FALSE)</f>
        <v>A1204</v>
      </c>
      <c r="E1058" s="15">
        <f>SUM(TAB_ENTRADA[[#This Row],[20/05/2019]:[Colunas1]])</f>
        <v>1</v>
      </c>
      <c r="F1058" s="3"/>
      <c r="FK1058" s="3">
        <v>1</v>
      </c>
    </row>
    <row r="1059" spans="1:167" x14ac:dyDescent="0.25">
      <c r="A1059" s="5" t="s">
        <v>2716</v>
      </c>
      <c r="B1059" s="15" t="str">
        <f>VLOOKUP(TAB_ENTRADA[[#This Row],[Cod_2_Entrada]],TAB_ESTOQUE[[Codigo]:[Descrição Tecnica]],6,FALSE)</f>
        <v xml:space="preserve">QUADRO DE COMANDO DE SOBREPOR 400X400X200 </v>
      </c>
      <c r="C1059" s="15">
        <f>IFERROR(VLOOKUP(TAB_ENTRADA[[#This Row],[Cod_2_Entrada]],TAB_ESTOQUE[[Codigo]:[Referência Tec]],7,FALSE),"")</f>
        <v>0</v>
      </c>
      <c r="D1059" s="15" t="str">
        <f>VLOOKUP(TAB_ENTRADA[[#This Row],[Cod_2_Entrada]],TAB_ESTOQUE[[Codigo]:[Endereço2]],12,FALSE)</f>
        <v>A1401</v>
      </c>
      <c r="E1059" s="15">
        <f>SUM(TAB_ENTRADA[[#This Row],[20/05/2019]:[Colunas1]])</f>
        <v>4</v>
      </c>
      <c r="F1059" s="3"/>
      <c r="FK1059" s="3">
        <v>4</v>
      </c>
    </row>
    <row r="1060" spans="1:167" x14ac:dyDescent="0.25">
      <c r="A1060" s="5" t="s">
        <v>2717</v>
      </c>
      <c r="B1060" s="15" t="str">
        <f>VLOOKUP(TAB_ENTRADA[[#This Row],[Cod_2_Entrada]],TAB_ESTOQUE[[Codigo]:[Descrição Tecnica]],6,FALSE)</f>
        <v>QUADRO DE COMANDO DE SOBREPOR 400X300X200</v>
      </c>
      <c r="C1060" s="15">
        <f>IFERROR(VLOOKUP(TAB_ENTRADA[[#This Row],[Cod_2_Entrada]],TAB_ESTOQUE[[Codigo]:[Referência Tec]],7,FALSE),"")</f>
        <v>0</v>
      </c>
      <c r="D1060" s="15" t="str">
        <f>VLOOKUP(TAB_ENTRADA[[#This Row],[Cod_2_Entrada]],TAB_ESTOQUE[[Codigo]:[Endereço2]],12,FALSE)</f>
        <v>A1401</v>
      </c>
      <c r="E1060" s="15">
        <f>SUM(TAB_ENTRADA[[#This Row],[20/05/2019]:[Colunas1]])</f>
        <v>1</v>
      </c>
      <c r="F1060" s="3"/>
      <c r="FK1060" s="3">
        <v>1</v>
      </c>
    </row>
    <row r="1061" spans="1:167" x14ac:dyDescent="0.25">
      <c r="A1061" s="5" t="s">
        <v>2718</v>
      </c>
      <c r="B1061" s="15" t="str">
        <f>VLOOKUP(TAB_ENTRADA[[#This Row],[Cod_2_Entrada]],TAB_ESTOQUE[[Codigo]:[Descrição Tecnica]],6,FALSE)</f>
        <v>BOMBA HIDRAULICA PISTÃO  BOSCH/REXROTH A4VSO180LR2Z/30E</v>
      </c>
      <c r="C1061" s="15">
        <f>IFERROR(VLOOKUP(TAB_ENTRADA[[#This Row],[Cod_2_Entrada]],TAB_ESTOQUE[[Codigo]:[Referência Tec]],7,FALSE),"")</f>
        <v>0</v>
      </c>
      <c r="D1061" s="15" t="str">
        <f>VLOOKUP(TAB_ENTRADA[[#This Row],[Cod_2_Entrada]],TAB_ESTOQUE[[Codigo]:[Endereço2]],12,FALSE)</f>
        <v>F1205</v>
      </c>
      <c r="E1061" s="15">
        <f>SUM(TAB_ENTRADA[[#This Row],[20/05/2019]:[Colunas1]])</f>
        <v>0</v>
      </c>
      <c r="F1061" s="3"/>
      <c r="FK1061" s="3">
        <v>0</v>
      </c>
    </row>
    <row r="1062" spans="1:167" x14ac:dyDescent="0.25">
      <c r="A1062" s="5" t="s">
        <v>2719</v>
      </c>
      <c r="B1062" s="15" t="str">
        <f>VLOOKUP(TAB_ENTRADA[[#This Row],[Cod_2_Entrada]],TAB_ESTOQUE[[Codigo]:[Descrição Tecnica]],6,FALSE)</f>
        <v>MOTOR ELETRICO V230-50HZ - NBR500-1</v>
      </c>
      <c r="C1062" s="15">
        <f>IFERROR(VLOOKUP(TAB_ENTRADA[[#This Row],[Cod_2_Entrada]],TAB_ESTOQUE[[Codigo]:[Referência Tec]],7,FALSE),"")</f>
        <v>0</v>
      </c>
      <c r="D1062" s="15" t="str">
        <f>VLOOKUP(TAB_ENTRADA[[#This Row],[Cod_2_Entrada]],TAB_ESTOQUE[[Codigo]:[Endereço2]],12,FALSE)</f>
        <v>BOX</v>
      </c>
      <c r="E1062" s="15">
        <f>SUM(TAB_ENTRADA[[#This Row],[20/05/2019]:[Colunas1]])</f>
        <v>1</v>
      </c>
      <c r="F1062" s="3"/>
      <c r="FK1062" s="3">
        <v>1</v>
      </c>
    </row>
    <row r="1063" spans="1:167" x14ac:dyDescent="0.25">
      <c r="A1063" s="5" t="s">
        <v>2720</v>
      </c>
      <c r="B1063" s="15" t="str">
        <f>VLOOKUP(TAB_ENTRADA[[#This Row],[Cod_2_Entrada]],TAB_ESTOQUE[[Codigo]:[Descrição Tecnica]],6,FALSE)</f>
        <v>MOTOR ELETRICO MOV FACA 5.5 KW 5500W B5</v>
      </c>
      <c r="C1063" s="15">
        <f>IFERROR(VLOOKUP(TAB_ENTRADA[[#This Row],[Cod_2_Entrada]],TAB_ESTOQUE[[Codigo]:[Referência Tec]],7,FALSE),"")</f>
        <v>0</v>
      </c>
      <c r="D1063" s="15" t="str">
        <f>VLOOKUP(TAB_ENTRADA[[#This Row],[Cod_2_Entrada]],TAB_ESTOQUE[[Codigo]:[Endereço2]],12,FALSE)</f>
        <v>BOX</v>
      </c>
      <c r="E1063" s="15">
        <f>SUM(TAB_ENTRADA[[#This Row],[20/05/2019]:[Colunas1]])</f>
        <v>1</v>
      </c>
      <c r="F1063" s="3"/>
      <c r="FK1063" s="3">
        <v>1</v>
      </c>
    </row>
    <row r="1064" spans="1:167" x14ac:dyDescent="0.25">
      <c r="A1064" s="5" t="s">
        <v>2721</v>
      </c>
      <c r="B1064" s="15" t="str">
        <f>VLOOKUP(TAB_ENTRADA[[#This Row],[Cod_2_Entrada]],TAB_ESTOQUE[[Codigo]:[Descrição Tecnica]],6,FALSE)</f>
        <v>ROLAMENTO ESFERA 6210 2 RS 50X90X20</v>
      </c>
      <c r="C1064" s="15">
        <f>IFERROR(VLOOKUP(TAB_ENTRADA[[#This Row],[Cod_2_Entrada]],TAB_ESTOQUE[[Codigo]:[Referência Tec]],7,FALSE),"")</f>
        <v>0</v>
      </c>
      <c r="D1064" s="15" t="str">
        <f>VLOOKUP(TAB_ENTRADA[[#This Row],[Cod_2_Entrada]],TAB_ESTOQUE[[Codigo]:[Endereço2]],12,FALSE)</f>
        <v>D2104</v>
      </c>
      <c r="E1064" s="15">
        <f>SUM(TAB_ENTRADA[[#This Row],[20/05/2019]:[Colunas1]])</f>
        <v>6</v>
      </c>
      <c r="F1064" s="3"/>
      <c r="FK1064" s="3">
        <v>6</v>
      </c>
    </row>
    <row r="1065" spans="1:167" x14ac:dyDescent="0.25">
      <c r="A1065" s="5" t="s">
        <v>2722</v>
      </c>
      <c r="B1065" s="15" t="str">
        <f>VLOOKUP(TAB_ENTRADA[[#This Row],[Cod_2_Entrada]],TAB_ESTOQUE[[Codigo]:[Descrição Tecnica]],6,FALSE)</f>
        <v>ROLAMENTO ESFERA 62206 2 RS 30X62X20</v>
      </c>
      <c r="C1065" s="15">
        <f>IFERROR(VLOOKUP(TAB_ENTRADA[[#This Row],[Cod_2_Entrada]],TAB_ESTOQUE[[Codigo]:[Referência Tec]],7,FALSE),"")</f>
        <v>0</v>
      </c>
      <c r="D1065" s="15" t="str">
        <f>VLOOKUP(TAB_ENTRADA[[#This Row],[Cod_2_Entrada]],TAB_ESTOQUE[[Codigo]:[Endereço2]],12,FALSE)</f>
        <v>D1105</v>
      </c>
      <c r="E1065" s="15">
        <f>SUM(TAB_ENTRADA[[#This Row],[20/05/2019]:[Colunas1]])</f>
        <v>0</v>
      </c>
      <c r="F1065" s="3"/>
      <c r="FK1065" s="3">
        <v>0</v>
      </c>
    </row>
    <row r="1066" spans="1:167" x14ac:dyDescent="0.25">
      <c r="A1066" s="5" t="s">
        <v>2723</v>
      </c>
      <c r="B1066" s="15" t="str">
        <f>VLOOKUP(TAB_ENTRADA[[#This Row],[Cod_2_Entrada]],TAB_ESTOQUE[[Codigo]:[Descrição Tecnica]],6,FALSE)</f>
        <v>MANCAL DO ROLAMENTO UPC 210 HOLE 50</v>
      </c>
      <c r="C1066" s="15">
        <f>IFERROR(VLOOKUP(TAB_ENTRADA[[#This Row],[Cod_2_Entrada]],TAB_ESTOQUE[[Codigo]:[Referência Tec]],7,FALSE),"")</f>
        <v>0</v>
      </c>
      <c r="D1066" s="15" t="str">
        <f>VLOOKUP(TAB_ENTRADA[[#This Row],[Cod_2_Entrada]],TAB_ESTOQUE[[Codigo]:[Endereço2]],12,FALSE)</f>
        <v>E1406</v>
      </c>
      <c r="E1066" s="15">
        <f>SUM(TAB_ENTRADA[[#This Row],[20/05/2019]:[Colunas1]])</f>
        <v>0</v>
      </c>
      <c r="F1066" s="3"/>
      <c r="FK1066" s="3">
        <v>0</v>
      </c>
    </row>
    <row r="1067" spans="1:167" x14ac:dyDescent="0.25">
      <c r="A1067" s="5" t="s">
        <v>2724</v>
      </c>
      <c r="B1067" s="15" t="str">
        <f>VLOOKUP(TAB_ENTRADA[[#This Row],[Cod_2_Entrada]],TAB_ESTOQUE[[Codigo]:[Descrição Tecnica]],6,FALSE)</f>
        <v>MANCAL DO ROLAMENTO UCF 206 HOLE D30</v>
      </c>
      <c r="C1067" s="15">
        <f>IFERROR(VLOOKUP(TAB_ENTRADA[[#This Row],[Cod_2_Entrada]],TAB_ESTOQUE[[Codigo]:[Referência Tec]],7,FALSE),"")</f>
        <v>0</v>
      </c>
      <c r="D1067" s="15" t="str">
        <f>VLOOKUP(TAB_ENTRADA[[#This Row],[Cod_2_Entrada]],TAB_ESTOQUE[[Codigo]:[Endereço2]],12,FALSE)</f>
        <v>F2</v>
      </c>
      <c r="E1067" s="15">
        <f>SUM(TAB_ENTRADA[[#This Row],[20/05/2019]:[Colunas1]])</f>
        <v>0</v>
      </c>
      <c r="F1067" s="3"/>
      <c r="FK1067" s="3">
        <v>0</v>
      </c>
    </row>
    <row r="1068" spans="1:167" x14ac:dyDescent="0.25">
      <c r="A1068" s="5" t="s">
        <v>2725</v>
      </c>
      <c r="B1068" s="15" t="str">
        <f>VLOOKUP(TAB_ENTRADA[[#This Row],[Cod_2_Entrada]],TAB_ESTOQUE[[Codigo]:[Descrição Tecnica]],6,FALSE)</f>
        <v>MANCAL DO ROLAMENTO P210</v>
      </c>
      <c r="C1068" s="15">
        <f>IFERROR(VLOOKUP(TAB_ENTRADA[[#This Row],[Cod_2_Entrada]],TAB_ESTOQUE[[Codigo]:[Referência Tec]],7,FALSE),"")</f>
        <v>0</v>
      </c>
      <c r="D1068" s="15" t="str">
        <f>VLOOKUP(TAB_ENTRADA[[#This Row],[Cod_2_Entrada]],TAB_ESTOQUE[[Codigo]:[Endereço2]],12,FALSE)</f>
        <v>E1405</v>
      </c>
      <c r="E1068" s="15">
        <f>SUM(TAB_ENTRADA[[#This Row],[20/05/2019]:[Colunas1]])</f>
        <v>3</v>
      </c>
      <c r="F1068" s="3"/>
      <c r="FK1068" s="3">
        <v>3</v>
      </c>
    </row>
    <row r="1069" spans="1:167" x14ac:dyDescent="0.25">
      <c r="A1069" s="5" t="s">
        <v>2726</v>
      </c>
      <c r="B1069" s="15" t="str">
        <f>VLOOKUP(TAB_ENTRADA[[#This Row],[Cod_2_Entrada]],TAB_ESTOQUE[[Codigo]:[Descrição Tecnica]],6,FALSE)</f>
        <v>MANCAL QUADRADO DO ROLAMENTO T 210</v>
      </c>
      <c r="C1069" s="15">
        <f>IFERROR(VLOOKUP(TAB_ENTRADA[[#This Row],[Cod_2_Entrada]],TAB_ESTOQUE[[Codigo]:[Referência Tec]],7,FALSE),"")</f>
        <v>0</v>
      </c>
      <c r="D1069" s="15" t="str">
        <f>VLOOKUP(TAB_ENTRADA[[#This Row],[Cod_2_Entrada]],TAB_ESTOQUE[[Codigo]:[Endereço2]],12,FALSE)</f>
        <v>E1405</v>
      </c>
      <c r="E1069" s="15">
        <f>SUM(TAB_ENTRADA[[#This Row],[20/05/2019]:[Colunas1]])</f>
        <v>2</v>
      </c>
      <c r="F1069" s="3"/>
      <c r="FK1069" s="3">
        <v>2</v>
      </c>
    </row>
    <row r="1070" spans="1:167" x14ac:dyDescent="0.25">
      <c r="A1070" s="5" t="s">
        <v>2727</v>
      </c>
      <c r="B1070" s="15" t="str">
        <f>VLOOKUP(TAB_ENTRADA[[#This Row],[Cod_2_Entrada]],TAB_ESTOQUE[[Codigo]:[Descrição Tecnica]],6,FALSE)</f>
        <v>MANCAL QUADRADO DO ROLAMENTO UCF 204 D 2</v>
      </c>
      <c r="C1070" s="15">
        <f>IFERROR(VLOOKUP(TAB_ENTRADA[[#This Row],[Cod_2_Entrada]],TAB_ESTOQUE[[Codigo]:[Referência Tec]],7,FALSE),"")</f>
        <v>0</v>
      </c>
      <c r="D1070" s="15" t="str">
        <f>VLOOKUP(TAB_ENTRADA[[#This Row],[Cod_2_Entrada]],TAB_ESTOQUE[[Codigo]:[Endereço2]],12,FALSE)</f>
        <v>F2</v>
      </c>
      <c r="E1070" s="15">
        <f>SUM(TAB_ENTRADA[[#This Row],[20/05/2019]:[Colunas1]])</f>
        <v>0</v>
      </c>
      <c r="F1070" s="3"/>
      <c r="FK1070" s="3">
        <v>0</v>
      </c>
    </row>
    <row r="1071" spans="1:167" x14ac:dyDescent="0.25">
      <c r="A1071" s="5" t="s">
        <v>2728</v>
      </c>
      <c r="B1071" s="15" t="str">
        <f>VLOOKUP(TAB_ENTRADA[[#This Row],[Cod_2_Entrada]],TAB_ESTOQUE[[Codigo]:[Descrição Tecnica]],6,FALSE)</f>
        <v>ENGRENAGEM CONICA ESPIRAL PCM BG12 A</v>
      </c>
      <c r="C1071" s="15">
        <f>IFERROR(VLOOKUP(TAB_ENTRADA[[#This Row],[Cod_2_Entrada]],TAB_ESTOQUE[[Codigo]:[Referência Tec]],7,FALSE),"")</f>
        <v>0</v>
      </c>
      <c r="D1071" s="15" t="str">
        <f>VLOOKUP(TAB_ENTRADA[[#This Row],[Cod_2_Entrada]],TAB_ESTOQUE[[Codigo]:[Endereço2]],12,FALSE)</f>
        <v>F2</v>
      </c>
      <c r="E1071" s="15">
        <f>SUM(TAB_ENTRADA[[#This Row],[20/05/2019]:[Colunas1]])</f>
        <v>0</v>
      </c>
      <c r="F1071" s="3"/>
      <c r="FK1071" s="3">
        <v>0</v>
      </c>
    </row>
    <row r="1072" spans="1:167" x14ac:dyDescent="0.25">
      <c r="A1072" s="5" t="s">
        <v>2729</v>
      </c>
      <c r="B1072" s="15" t="str">
        <f>VLOOKUP(TAB_ENTRADA[[#This Row],[Cod_2_Entrada]],TAB_ESTOQUE[[Codigo]:[Descrição Tecnica]],6,FALSE)</f>
        <v>UNTA UNIVERSAL 04G CODE SG0S 1200</v>
      </c>
      <c r="C1072" s="15">
        <f>IFERROR(VLOOKUP(TAB_ENTRADA[[#This Row],[Cod_2_Entrada]],TAB_ESTOQUE[[Codigo]:[Referência Tec]],7,FALSE),"")</f>
        <v>0</v>
      </c>
      <c r="D1072" s="15" t="str">
        <f>VLOOKUP(TAB_ENTRADA[[#This Row],[Cod_2_Entrada]],TAB_ESTOQUE[[Codigo]:[Endereço2]],12,FALSE)</f>
        <v>F2</v>
      </c>
      <c r="E1072" s="15">
        <f>SUM(TAB_ENTRADA[[#This Row],[20/05/2019]:[Colunas1]])</f>
        <v>0</v>
      </c>
      <c r="F1072" s="3"/>
      <c r="FK1072" s="3">
        <v>0</v>
      </c>
    </row>
    <row r="1073" spans="1:167" x14ac:dyDescent="0.25">
      <c r="A1073" s="5" t="s">
        <v>2730</v>
      </c>
      <c r="B1073" s="15" t="str">
        <f>VLOOKUP(TAB_ENTRADA[[#This Row],[Cod_2_Entrada]],TAB_ESTOQUE[[Codigo]:[Descrição Tecnica]],6,FALSE)</f>
        <v>PORCA AUTO TRAVANTE GUK M20 X 1</v>
      </c>
      <c r="C1073" s="15">
        <f>IFERROR(VLOOKUP(TAB_ENTRADA[[#This Row],[Cod_2_Entrada]],TAB_ESTOQUE[[Codigo]:[Referência Tec]],7,FALSE),"")</f>
        <v>0</v>
      </c>
      <c r="D1073" s="15" t="str">
        <f>VLOOKUP(TAB_ENTRADA[[#This Row],[Cod_2_Entrada]],TAB_ESTOQUE[[Codigo]:[Endereço2]],12,FALSE)</f>
        <v>F2</v>
      </c>
      <c r="E1073" s="15">
        <f>SUM(TAB_ENTRADA[[#This Row],[20/05/2019]:[Colunas1]])</f>
        <v>0</v>
      </c>
      <c r="F1073" s="3"/>
      <c r="FK1073" s="3">
        <v>0</v>
      </c>
    </row>
    <row r="1074" spans="1:167" x14ac:dyDescent="0.25">
      <c r="A1074" s="5" t="s">
        <v>2731</v>
      </c>
      <c r="B1074" s="15" t="str">
        <f>VLOOKUP(TAB_ENTRADA[[#This Row],[Cod_2_Entrada]],TAB_ESTOQUE[[Codigo]:[Descrição Tecnica]],6,FALSE)</f>
        <v>PORCA AUTO TRAVANTE GUK M 50</v>
      </c>
      <c r="C1074" s="15">
        <f>IFERROR(VLOOKUP(TAB_ENTRADA[[#This Row],[Cod_2_Entrada]],TAB_ESTOQUE[[Codigo]:[Referência Tec]],7,FALSE),"")</f>
        <v>0</v>
      </c>
      <c r="D1074" s="15" t="str">
        <f>VLOOKUP(TAB_ENTRADA[[#This Row],[Cod_2_Entrada]],TAB_ESTOQUE[[Codigo]:[Endereço2]],12,FALSE)</f>
        <v>F2</v>
      </c>
      <c r="E1074" s="15">
        <f>SUM(TAB_ENTRADA[[#This Row],[20/05/2019]:[Colunas1]])</f>
        <v>0</v>
      </c>
      <c r="F1074" s="3"/>
      <c r="FK1074" s="3">
        <v>0</v>
      </c>
    </row>
    <row r="1075" spans="1:167" x14ac:dyDescent="0.25">
      <c r="A1075" s="5" t="s">
        <v>2732</v>
      </c>
      <c r="B1075" s="15" t="str">
        <f>VLOOKUP(TAB_ENTRADA[[#This Row],[Cod_2_Entrada]],TAB_ESTOQUE[[Codigo]:[Descrição Tecnica]],6,FALSE)</f>
        <v>JUNTA BORRACHA RCK 70 40X65 VULCANIZADA</v>
      </c>
      <c r="C1075" s="15">
        <f>IFERROR(VLOOKUP(TAB_ENTRADA[[#This Row],[Cod_2_Entrada]],TAB_ESTOQUE[[Codigo]:[Referência Tec]],7,FALSE),"")</f>
        <v>0</v>
      </c>
      <c r="D1075" s="15" t="str">
        <f>VLOOKUP(TAB_ENTRADA[[#This Row],[Cod_2_Entrada]],TAB_ESTOQUE[[Codigo]:[Endereço2]],12,FALSE)</f>
        <v>CORREDOR 3</v>
      </c>
      <c r="E1075" s="15">
        <f>SUM(TAB_ENTRADA[[#This Row],[20/05/2019]:[Colunas1]])</f>
        <v>1</v>
      </c>
      <c r="F1075" s="3"/>
      <c r="FK1075" s="3">
        <v>1</v>
      </c>
    </row>
    <row r="1076" spans="1:167" x14ac:dyDescent="0.25">
      <c r="A1076" s="5" t="s">
        <v>2733</v>
      </c>
      <c r="B1076" s="15" t="str">
        <f>VLOOKUP(TAB_ENTRADA[[#This Row],[Cod_2_Entrada]],TAB_ESTOQUE[[Codigo]:[Descrição Tecnica]],6,FALSE)</f>
        <v>JUNTA TRANSMISÃO MOTOVARIO H062U</v>
      </c>
      <c r="C1076" s="15">
        <f>IFERROR(VLOOKUP(TAB_ENTRADA[[#This Row],[Cod_2_Entrada]],TAB_ESTOQUE[[Codigo]:[Referência Tec]],7,FALSE),"")</f>
        <v>0</v>
      </c>
      <c r="D1076" s="15" t="str">
        <f>VLOOKUP(TAB_ENTRADA[[#This Row],[Cod_2_Entrada]],TAB_ESTOQUE[[Codigo]:[Endereço2]],12,FALSE)</f>
        <v>CORREDOR 3</v>
      </c>
      <c r="E1076" s="15">
        <f>SUM(TAB_ENTRADA[[#This Row],[20/05/2019]:[Colunas1]])</f>
        <v>1</v>
      </c>
      <c r="F1076" s="3"/>
      <c r="FK1076" s="3">
        <v>1</v>
      </c>
    </row>
    <row r="1077" spans="1:167" x14ac:dyDescent="0.25">
      <c r="A1077" s="5" t="s">
        <v>2734</v>
      </c>
      <c r="B1077" s="15" t="str">
        <f>VLOOKUP(TAB_ENTRADA[[#This Row],[Cod_2_Entrada]],TAB_ESTOQUE[[Codigo]:[Descrição Tecnica]],6,FALSE)</f>
        <v>ENGRENAGEM CONICA 1:1 M=3 Z=25</v>
      </c>
      <c r="C1077" s="15">
        <f>IFERROR(VLOOKUP(TAB_ENTRADA[[#This Row],[Cod_2_Entrada]],TAB_ESTOQUE[[Codigo]:[Referência Tec]],7,FALSE),"")</f>
        <v>0</v>
      </c>
      <c r="D1077" s="15" t="str">
        <f>VLOOKUP(TAB_ENTRADA[[#This Row],[Cod_2_Entrada]],TAB_ESTOQUE[[Codigo]:[Endereço2]],12,FALSE)</f>
        <v>F2</v>
      </c>
      <c r="E1077" s="15">
        <f>SUM(TAB_ENTRADA[[#This Row],[20/05/2019]:[Colunas1]])</f>
        <v>0</v>
      </c>
      <c r="F1077" s="3"/>
      <c r="FK1077" s="3">
        <v>0</v>
      </c>
    </row>
    <row r="1078" spans="1:167" x14ac:dyDescent="0.25">
      <c r="A1078" s="5" t="s">
        <v>2735</v>
      </c>
      <c r="B1078" s="15" t="str">
        <f>VLOOKUP(TAB_ENTRADA[[#This Row],[Cod_2_Entrada]],TAB_ESTOQUE[[Codigo]:[Descrição Tecnica]],6,FALSE)</f>
        <v>REDUTOR COAXIAL B-A72 FA LAM BLOCO HORIZ</v>
      </c>
      <c r="C1078" s="15">
        <f>IFERROR(VLOOKUP(TAB_ENTRADA[[#This Row],[Cod_2_Entrada]],TAB_ESTOQUE[[Codigo]:[Referência Tec]],7,FALSE),"")</f>
        <v>0</v>
      </c>
      <c r="D1078" s="15" t="str">
        <f>VLOOKUP(TAB_ENTRADA[[#This Row],[Cod_2_Entrada]],TAB_ESTOQUE[[Codigo]:[Endereço2]],12,FALSE)</f>
        <v>F2</v>
      </c>
      <c r="E1078" s="15">
        <f>SUM(TAB_ENTRADA[[#This Row],[20/05/2019]:[Colunas1]])</f>
        <v>2</v>
      </c>
      <c r="F1078" s="3"/>
      <c r="FK1078" s="3">
        <v>2</v>
      </c>
    </row>
    <row r="1079" spans="1:167" x14ac:dyDescent="0.25">
      <c r="A1079" s="5" t="s">
        <v>2736</v>
      </c>
      <c r="B1079" s="15" t="str">
        <f>VLOOKUP(TAB_ENTRADA[[#This Row],[Cod_2_Entrada]],TAB_ESTOQUE[[Codigo]:[Descrição Tecnica]],6,FALSE)</f>
        <v>ACOPLAMENTO MAGNETICO JYY180M</v>
      </c>
      <c r="C1079" s="15">
        <f>IFERROR(VLOOKUP(TAB_ENTRADA[[#This Row],[Cod_2_Entrada]],TAB_ESTOQUE[[Codigo]:[Referência Tec]],7,FALSE),"")</f>
        <v>0</v>
      </c>
      <c r="D1079" s="15" t="str">
        <f>VLOOKUP(TAB_ENTRADA[[#This Row],[Cod_2_Entrada]],TAB_ESTOQUE[[Codigo]:[Endereço2]],12,FALSE)</f>
        <v>F2</v>
      </c>
      <c r="E1079" s="15">
        <f>SUM(TAB_ENTRADA[[#This Row],[20/05/2019]:[Colunas1]])</f>
        <v>1</v>
      </c>
      <c r="F1079" s="3"/>
      <c r="FK1079" s="3">
        <v>1</v>
      </c>
    </row>
    <row r="1080" spans="1:167" x14ac:dyDescent="0.25">
      <c r="A1080" s="5" t="s">
        <v>2737</v>
      </c>
      <c r="B1080" s="15" t="str">
        <f>VLOOKUP(TAB_ENTRADA[[#This Row],[Cod_2_Entrada]],TAB_ESTOQUE[[Codigo]:[Descrição Tecnica]],6,FALSE)</f>
        <v>MOTOR ELET. ELEVAÇÃO CILINDRO KW0,25 4 P</v>
      </c>
      <c r="C1080" s="15">
        <f>IFERROR(VLOOKUP(TAB_ENTRADA[[#This Row],[Cod_2_Entrada]],TAB_ESTOQUE[[Codigo]:[Referência Tec]],7,FALSE),"")</f>
        <v>0</v>
      </c>
      <c r="D1080" s="15" t="str">
        <f>VLOOKUP(TAB_ENTRADA[[#This Row],[Cod_2_Entrada]],TAB_ESTOQUE[[Codigo]:[Endereço2]],12,FALSE)</f>
        <v>BOX</v>
      </c>
      <c r="E1080" s="15">
        <f>SUM(TAB_ENTRADA[[#This Row],[20/05/2019]:[Colunas1]])</f>
        <v>0</v>
      </c>
      <c r="F1080" s="3"/>
      <c r="FK1080" s="3">
        <v>0</v>
      </c>
    </row>
    <row r="1081" spans="1:167" x14ac:dyDescent="0.25">
      <c r="A1081" s="5" t="s">
        <v>2738</v>
      </c>
      <c r="B1081" s="15" t="str">
        <f>VLOOKUP(TAB_ENTRADA[[#This Row],[Cod_2_Entrada]],TAB_ESTOQUE[[Codigo]:[Descrição Tecnica]],6,FALSE)</f>
        <v>MOTOR ELETRICO  0,25 KW 250 KW 4 POLES B</v>
      </c>
      <c r="C1081" s="15">
        <f>IFERROR(VLOOKUP(TAB_ENTRADA[[#This Row],[Cod_2_Entrada]],TAB_ESTOQUE[[Codigo]:[Referência Tec]],7,FALSE),"")</f>
        <v>0</v>
      </c>
      <c r="D1081" s="15" t="str">
        <f>VLOOKUP(TAB_ENTRADA[[#This Row],[Cod_2_Entrada]],TAB_ESTOQUE[[Codigo]:[Endereço2]],12,FALSE)</f>
        <v>BOX</v>
      </c>
      <c r="E1081" s="15">
        <f>SUM(TAB_ENTRADA[[#This Row],[20/05/2019]:[Colunas1]])</f>
        <v>0</v>
      </c>
      <c r="F1081" s="3"/>
      <c r="FK1081" s="3">
        <v>0</v>
      </c>
    </row>
    <row r="1082" spans="1:167" x14ac:dyDescent="0.25">
      <c r="A1082" s="5" t="s">
        <v>2739</v>
      </c>
      <c r="B1082" s="15" t="str">
        <f>VLOOKUP(TAB_ENTRADA[[#This Row],[Cod_2_Entrada]],TAB_ESTOQUE[[Codigo]:[Descrição Tecnica]],6,FALSE)</f>
        <v>MOTOR AJUSTE FACA 0.18 KW 4 POLOS B14</v>
      </c>
      <c r="C1082" s="15">
        <f>IFERROR(VLOOKUP(TAB_ENTRADA[[#This Row],[Cod_2_Entrada]],TAB_ESTOQUE[[Codigo]:[Referência Tec]],7,FALSE),"")</f>
        <v>0</v>
      </c>
      <c r="D1082" s="15" t="str">
        <f>VLOOKUP(TAB_ENTRADA[[#This Row],[Cod_2_Entrada]],TAB_ESTOQUE[[Codigo]:[Endereço2]],12,FALSE)</f>
        <v>BOX</v>
      </c>
      <c r="E1082" s="15">
        <f>SUM(TAB_ENTRADA[[#This Row],[20/05/2019]:[Colunas1]])</f>
        <v>0</v>
      </c>
      <c r="F1082" s="3"/>
      <c r="FK1082" s="3">
        <v>0</v>
      </c>
    </row>
    <row r="1083" spans="1:167" x14ac:dyDescent="0.25">
      <c r="A1083" s="5" t="s">
        <v>2740</v>
      </c>
      <c r="B1083" s="15" t="str">
        <f>VLOOKUP(TAB_ENTRADA[[#This Row],[Cod_2_Entrada]],TAB_ESTOQUE[[Codigo]:[Descrição Tecnica]],6,FALSE)</f>
        <v>MOTOR ELÉTRICO FRENO CC 230V. SBR440-1</v>
      </c>
      <c r="C1083" s="15">
        <f>IFERROR(VLOOKUP(TAB_ENTRADA[[#This Row],[Cod_2_Entrada]],TAB_ESTOQUE[[Codigo]:[Referência Tec]],7,FALSE),"")</f>
        <v>0</v>
      </c>
      <c r="D1083" s="15" t="str">
        <f>VLOOKUP(TAB_ENTRADA[[#This Row],[Cod_2_Entrada]],TAB_ESTOQUE[[Codigo]:[Endereço2]],12,FALSE)</f>
        <v>BOX</v>
      </c>
      <c r="E1083" s="15">
        <f>SUM(TAB_ENTRADA[[#This Row],[20/05/2019]:[Colunas1]])</f>
        <v>1</v>
      </c>
      <c r="F1083" s="3"/>
      <c r="FK1083" s="3">
        <v>1</v>
      </c>
    </row>
    <row r="1084" spans="1:167" x14ac:dyDescent="0.25">
      <c r="A1084" s="5" t="s">
        <v>2741</v>
      </c>
      <c r="B1084" s="15" t="str">
        <f>VLOOKUP(TAB_ENTRADA[[#This Row],[Cod_2_Entrada]],TAB_ESTOQUE[[Codigo]:[Descrição Tecnica]],6,FALSE)</f>
        <v>MOTOR TT 90L 1.5 KW 4 POLES 1420 REVS</v>
      </c>
      <c r="C1084" s="15">
        <f>IFERROR(VLOOKUP(TAB_ENTRADA[[#This Row],[Cod_2_Entrada]],TAB_ESTOQUE[[Codigo]:[Referência Tec]],7,FALSE),"")</f>
        <v>0</v>
      </c>
      <c r="D1084" s="15" t="str">
        <f>VLOOKUP(TAB_ENTRADA[[#This Row],[Cod_2_Entrada]],TAB_ESTOQUE[[Codigo]:[Endereço2]],12,FALSE)</f>
        <v>PISO 01</v>
      </c>
      <c r="E1084" s="15">
        <f>SUM(TAB_ENTRADA[[#This Row],[20/05/2019]:[Colunas1]])</f>
        <v>1</v>
      </c>
      <c r="F1084" s="3"/>
      <c r="FK1084" s="3">
        <v>1</v>
      </c>
    </row>
    <row r="1085" spans="1:167" x14ac:dyDescent="0.25">
      <c r="A1085" s="5" t="s">
        <v>2742</v>
      </c>
      <c r="B1085" s="15" t="str">
        <f>VLOOKUP(TAB_ENTRADA[[#This Row],[Cod_2_Entrada]],TAB_ESTOQUE[[Codigo]:[Descrição Tecnica]],6,FALSE)</f>
        <v>BLOCOS DE PROTEÇÃO CONECTOR 3-POLE, 3+ 5SD7463-0 SURGE ARRESTER TIPO 2 EXIGÊNCIA CATEGORIA C, UC 350V (SIEMENS)</v>
      </c>
      <c r="C1085" s="15">
        <f>IFERROR(VLOOKUP(TAB_ENTRADA[[#This Row],[Cod_2_Entrada]],TAB_ESTOQUE[[Codigo]:[Referência Tec]],7,FALSE),"")</f>
        <v>0</v>
      </c>
      <c r="D1085" s="15" t="str">
        <f>VLOOKUP(TAB_ENTRADA[[#This Row],[Cod_2_Entrada]],TAB_ESTOQUE[[Codigo]:[Endereço2]],12,FALSE)</f>
        <v>A1105</v>
      </c>
      <c r="E1085" s="15">
        <f>SUM(TAB_ENTRADA[[#This Row],[20/05/2019]:[Colunas1]])</f>
        <v>3</v>
      </c>
      <c r="F1085" s="3"/>
      <c r="FK1085" s="3">
        <v>3</v>
      </c>
    </row>
    <row r="1086" spans="1:167" x14ac:dyDescent="0.25">
      <c r="A1086" s="5" t="s">
        <v>2743</v>
      </c>
      <c r="B1086" s="15" t="str">
        <f>VLOOKUP(TAB_ENTRADA[[#This Row],[Cod_2_Entrada]],TAB_ESTOQUE[[Codigo]:[Descrição Tecnica]],6,FALSE)</f>
        <v>DISJUNTOR CIRCUITO 5SP4391-7   400 V 10KA, 3-POLE, C, 100A, D 70 MM (SIEMENS)</v>
      </c>
      <c r="C1086" s="15">
        <f>IFERROR(VLOOKUP(TAB_ENTRADA[[#This Row],[Cod_2_Entrada]],TAB_ESTOQUE[[Codigo]:[Referência Tec]],7,FALSE),"")</f>
        <v>0</v>
      </c>
      <c r="D1086" s="15" t="str">
        <f>VLOOKUP(TAB_ENTRADA[[#This Row],[Cod_2_Entrada]],TAB_ESTOQUE[[Codigo]:[Endereço2]],12,FALSE)</f>
        <v>A1105</v>
      </c>
      <c r="E1086" s="15">
        <f>SUM(TAB_ENTRADA[[#This Row],[20/05/2019]:[Colunas1]])</f>
        <v>1</v>
      </c>
      <c r="F1086" s="3"/>
      <c r="FK1086" s="3">
        <v>1</v>
      </c>
    </row>
    <row r="1087" spans="1:167" x14ac:dyDescent="0.25">
      <c r="A1087" s="5" t="s">
        <v>2744</v>
      </c>
      <c r="B1087" s="15" t="str">
        <f>VLOOKUP(TAB_ENTRADA[[#This Row],[Cod_2_Entrada]],TAB_ESTOQUE[[Codigo]:[Descrição Tecnica]],6,FALSE)</f>
        <v>DISJUNTOR  5SY8332-7 (SIEMENS)</v>
      </c>
      <c r="C1087" s="15">
        <f>IFERROR(VLOOKUP(TAB_ENTRADA[[#This Row],[Cod_2_Entrada]],TAB_ESTOQUE[[Codigo]:[Referência Tec]],7,FALSE),"")</f>
        <v>0</v>
      </c>
      <c r="D1087" s="15" t="str">
        <f>VLOOKUP(TAB_ENTRADA[[#This Row],[Cod_2_Entrada]],TAB_ESTOQUE[[Codigo]:[Endereço2]],12,FALSE)</f>
        <v>A1105</v>
      </c>
      <c r="E1087" s="15">
        <f>SUM(TAB_ENTRADA[[#This Row],[20/05/2019]:[Colunas1]])</f>
        <v>2</v>
      </c>
      <c r="F1087" s="3"/>
      <c r="FK1087" s="3">
        <v>2</v>
      </c>
    </row>
    <row r="1088" spans="1:167" x14ac:dyDescent="0.25">
      <c r="A1088" s="5" t="s">
        <v>2745</v>
      </c>
      <c r="B1088" s="15" t="str">
        <f>VLOOKUP(TAB_ENTRADA[[#This Row],[Cod_2_Entrada]],TAB_ESTOQUE[[Codigo]:[Descrição Tecnica]],6,FALSE)</f>
        <v xml:space="preserve">DISJUNTOR ELETRICO C10 EZ9F33210 (SCHNEIDER) </v>
      </c>
      <c r="C1088" s="15">
        <f>IFERROR(VLOOKUP(TAB_ENTRADA[[#This Row],[Cod_2_Entrada]],TAB_ESTOQUE[[Codigo]:[Referência Tec]],7,FALSE),"")</f>
        <v>0</v>
      </c>
      <c r="D1088" s="15" t="str">
        <f>VLOOKUP(TAB_ENTRADA[[#This Row],[Cod_2_Entrada]],TAB_ESTOQUE[[Codigo]:[Endereço2]],12,FALSE)</f>
        <v>A1304</v>
      </c>
      <c r="E1088" s="15">
        <f>SUM(TAB_ENTRADA[[#This Row],[20/05/2019]:[Colunas1]])</f>
        <v>0</v>
      </c>
      <c r="F1088" s="3"/>
      <c r="FK1088" s="3">
        <v>0</v>
      </c>
    </row>
    <row r="1089" spans="1:181" x14ac:dyDescent="0.25">
      <c r="A1089" s="5" t="s">
        <v>2746</v>
      </c>
      <c r="B1089" s="15" t="str">
        <f>VLOOKUP(TAB_ENTRADA[[#This Row],[Cod_2_Entrada]],TAB_ESTOQUE[[Codigo]:[Descrição Tecnica]],6,FALSE)</f>
        <v>CHAVE SECCIONADORA COM BLOQUEIO EM 60947-3 LW30-63 300010 690V 50Hz</v>
      </c>
      <c r="C1089" s="15">
        <f>IFERROR(VLOOKUP(TAB_ENTRADA[[#This Row],[Cod_2_Entrada]],TAB_ESTOQUE[[Codigo]:[Referência Tec]],7,FALSE),"")</f>
        <v>0</v>
      </c>
      <c r="D1089" s="15" t="str">
        <f>VLOOKUP(TAB_ENTRADA[[#This Row],[Cod_2_Entrada]],TAB_ESTOQUE[[Codigo]:[Endereço2]],12,FALSE)</f>
        <v>A2303</v>
      </c>
      <c r="E1089" s="15">
        <f>SUM(TAB_ENTRADA[[#This Row],[20/05/2019]:[Colunas1]])</f>
        <v>1</v>
      </c>
      <c r="F1089" s="3"/>
      <c r="FK1089" s="3">
        <v>1</v>
      </c>
    </row>
    <row r="1090" spans="1:181" x14ac:dyDescent="0.25">
      <c r="A1090" s="5" t="s">
        <v>2747</v>
      </c>
      <c r="B1090" s="15" t="str">
        <f>VLOOKUP(TAB_ENTRADA[[#This Row],[Cod_2_Entrada]],TAB_ESTOQUE[[Codigo]:[Descrição Tecnica]],6,FALSE)</f>
        <v>CONVERSOR SERIAL RS232/RS485 CS485-V</v>
      </c>
      <c r="C1090" s="15">
        <f>IFERROR(VLOOKUP(TAB_ENTRADA[[#This Row],[Cod_2_Entrada]],TAB_ESTOQUE[[Codigo]:[Referência Tec]],7,FALSE),"")</f>
        <v>0</v>
      </c>
      <c r="D1090" s="15" t="str">
        <f>VLOOKUP(TAB_ENTRADA[[#This Row],[Cod_2_Entrada]],TAB_ESTOQUE[[Codigo]:[Endereço2]],12,FALSE)</f>
        <v>A2102</v>
      </c>
      <c r="E1090" s="15">
        <f>SUM(TAB_ENTRADA[[#This Row],[20/05/2019]:[Colunas1]])</f>
        <v>0</v>
      </c>
      <c r="F1090" s="3"/>
      <c r="FK1090" s="3">
        <v>0</v>
      </c>
    </row>
    <row r="1091" spans="1:181" x14ac:dyDescent="0.25">
      <c r="A1091" s="5" t="s">
        <v>2748</v>
      </c>
      <c r="B1091" s="15" t="str">
        <f>VLOOKUP(TAB_ENTRADA[[#This Row],[Cod_2_Entrada]],TAB_ESTOQUE[[Codigo]:[Descrição Tecnica]],6,FALSE)</f>
        <v>PROGRAMADOR LOGICO CONTROLLER K7M-DT30U (V3.40) LSR-G7M-DT30U-N (A) S/N: 5008310031D</v>
      </c>
      <c r="C1091" s="15">
        <f>IFERROR(VLOOKUP(TAB_ENTRADA[[#This Row],[Cod_2_Entrada]],TAB_ESTOQUE[[Codigo]:[Referência Tec]],7,FALSE),"")</f>
        <v>0</v>
      </c>
      <c r="D1091" s="15" t="str">
        <f>VLOOKUP(TAB_ENTRADA[[#This Row],[Cod_2_Entrada]],TAB_ESTOQUE[[Codigo]:[Endereço2]],12,FALSE)</f>
        <v>A2102</v>
      </c>
      <c r="E1091" s="15">
        <f>SUM(TAB_ENTRADA[[#This Row],[20/05/2019]:[Colunas1]])</f>
        <v>1</v>
      </c>
      <c r="F1091" s="3"/>
      <c r="FK1091" s="3">
        <v>1</v>
      </c>
    </row>
    <row r="1092" spans="1:181" x14ac:dyDescent="0.25">
      <c r="A1092" s="5" t="s">
        <v>2749</v>
      </c>
      <c r="B1092" s="15" t="str">
        <f>VLOOKUP(TAB_ENTRADA[[#This Row],[Cod_2_Entrada]],TAB_ESTOQUE[[Codigo]:[Descrição Tecnica]],6,FALSE)</f>
        <v>CILINDRO DE ALTA PRESSÃO (FLAUTA/LINER-HP CYLINDER) EM LATÃO</v>
      </c>
      <c r="C1092" s="15">
        <f>IFERROR(VLOOKUP(TAB_ENTRADA[[#This Row],[Cod_2_Entrada]],TAB_ESTOQUE[[Codigo]:[Referência Tec]],7,FALSE),"")</f>
        <v>0</v>
      </c>
      <c r="D1092" s="15" t="str">
        <f>VLOOKUP(TAB_ENTRADA[[#This Row],[Cod_2_Entrada]],TAB_ESTOQUE[[Codigo]:[Endereço2]],12,FALSE)</f>
        <v>D2205</v>
      </c>
      <c r="E1092" s="15">
        <f>SUM(TAB_ENTRADA[[#This Row],[20/05/2019]:[Colunas1]])</f>
        <v>2</v>
      </c>
      <c r="F1092" s="3"/>
      <c r="FK1092" s="3">
        <v>2</v>
      </c>
    </row>
    <row r="1093" spans="1:181" x14ac:dyDescent="0.25">
      <c r="A1093" s="5" t="s">
        <v>2750</v>
      </c>
      <c r="B1093" s="15" t="str">
        <f>VLOOKUP(TAB_ENTRADA[[#This Row],[Cod_2_Entrada]],TAB_ESTOQUE[[Codigo]:[Descrição Tecnica]],6,FALSE)</f>
        <v xml:space="preserve">MOTOR ELÉTRICO TRIFÁSICO 1.5 KW , 1400rpm, 0,35A (380V/60HZ) </v>
      </c>
      <c r="C1093" s="15">
        <f>IFERROR(VLOOKUP(TAB_ENTRADA[[#This Row],[Cod_2_Entrada]],TAB_ESTOQUE[[Codigo]:[Referência Tec]],7,FALSE),"")</f>
        <v>0</v>
      </c>
      <c r="D1093" s="15" t="str">
        <f>VLOOKUP(TAB_ENTRADA[[#This Row],[Cod_2_Entrada]],TAB_ESTOQUE[[Codigo]:[Endereço2]],12,FALSE)</f>
        <v>PISO 01</v>
      </c>
      <c r="E1093" s="15">
        <f>SUM(TAB_ENTRADA[[#This Row],[20/05/2019]:[Colunas1]])</f>
        <v>1</v>
      </c>
      <c r="F1093" s="3"/>
      <c r="FK1093" s="3">
        <v>1</v>
      </c>
    </row>
    <row r="1094" spans="1:181" x14ac:dyDescent="0.25">
      <c r="A1094" s="5" t="s">
        <v>2751</v>
      </c>
      <c r="B1094" s="15" t="str">
        <f>VLOOKUP(TAB_ENTRADA[[#This Row],[Cod_2_Entrada]],TAB_ESTOQUE[[Codigo]:[Descrição Tecnica]],6,FALSE)</f>
        <v>MOTOR ELÉTRICO TRIFÁSICO 2.2KW, 220-380V - 60Hz - 1140rpm</v>
      </c>
      <c r="C1094" s="15">
        <f>IFERROR(VLOOKUP(TAB_ENTRADA[[#This Row],[Cod_2_Entrada]],TAB_ESTOQUE[[Codigo]:[Referência Tec]],7,FALSE),"")</f>
        <v>0</v>
      </c>
      <c r="D1094" s="15" t="str">
        <f>VLOOKUP(TAB_ENTRADA[[#This Row],[Cod_2_Entrada]],TAB_ESTOQUE[[Codigo]:[Endereço2]],12,FALSE)</f>
        <v>PISO 01</v>
      </c>
      <c r="E1094" s="15">
        <f>SUM(TAB_ENTRADA[[#This Row],[20/05/2019]:[Colunas1]])</f>
        <v>1</v>
      </c>
      <c r="F1094" s="3"/>
      <c r="FK1094" s="3">
        <v>1</v>
      </c>
    </row>
    <row r="1095" spans="1:181" x14ac:dyDescent="0.25">
      <c r="A1095" s="5" t="s">
        <v>2752</v>
      </c>
      <c r="B1095" s="15" t="str">
        <f>VLOOKUP(TAB_ENTRADA[[#This Row],[Cod_2_Entrada]],TAB_ESTOQUE[[Codigo]:[Descrição Tecnica]],6,FALSE)</f>
        <v>MOTOR ELÉTRICO TRIFÁSICO 1.5KW - 380V - 1400rpm - 60 Hz</v>
      </c>
      <c r="C1095" s="15">
        <f>IFERROR(VLOOKUP(TAB_ENTRADA[[#This Row],[Cod_2_Entrada]],TAB_ESTOQUE[[Codigo]:[Referência Tec]],7,FALSE),"")</f>
        <v>0</v>
      </c>
      <c r="D1095" s="15" t="str">
        <f>VLOOKUP(TAB_ENTRADA[[#This Row],[Cod_2_Entrada]],TAB_ESTOQUE[[Codigo]:[Endereço2]],12,FALSE)</f>
        <v>PISO 01</v>
      </c>
      <c r="E1095" s="15">
        <f>SUM(TAB_ENTRADA[[#This Row],[20/05/2019]:[Colunas1]])</f>
        <v>1</v>
      </c>
      <c r="F1095" s="3"/>
      <c r="FK1095" s="3">
        <v>1</v>
      </c>
    </row>
    <row r="1096" spans="1:181" x14ac:dyDescent="0.25">
      <c r="A1096" s="5" t="s">
        <v>2753</v>
      </c>
      <c r="B1096" s="15" t="str">
        <f>VLOOKUP(TAB_ENTRADA[[#This Row],[Cod_2_Entrada]],TAB_ESTOQUE[[Codigo]:[Descrição Tecnica]],6,FALSE)</f>
        <v>MOTOR ELÉTRICO 380V - 0,35A - 60HZ - 1400RPM , 45W</v>
      </c>
      <c r="C1096" s="15">
        <f>IFERROR(VLOOKUP(TAB_ENTRADA[[#This Row],[Cod_2_Entrada]],TAB_ESTOQUE[[Codigo]:[Referência Tec]],7,FALSE),"")</f>
        <v>0</v>
      </c>
      <c r="D1096" s="15" t="str">
        <f>VLOOKUP(TAB_ENTRADA[[#This Row],[Cod_2_Entrada]],TAB_ESTOQUE[[Codigo]:[Endereço2]],12,FALSE)</f>
        <v>PISO 01</v>
      </c>
      <c r="E1096" s="15">
        <f>SUM(TAB_ENTRADA[[#This Row],[20/05/2019]:[Colunas1]])</f>
        <v>1</v>
      </c>
      <c r="F1096" s="3"/>
      <c r="FK1096" s="3">
        <v>1</v>
      </c>
    </row>
    <row r="1097" spans="1:181" x14ac:dyDescent="0.25">
      <c r="A1097" s="5" t="s">
        <v>2754</v>
      </c>
      <c r="B1097" s="15" t="str">
        <f>VLOOKUP(TAB_ENTRADA[[#This Row],[Cod_2_Entrada]],TAB_ESTOQUE[[Codigo]:[Descrição Tecnica]],6,FALSE)</f>
        <v>MOTOR ELÉTRICO TRIFÁSICO B5 1,5KW, 1390rpm, 3.7A (380V/60HZ) - REF YP2-90L-4</v>
      </c>
      <c r="C1097" s="15">
        <f>IFERROR(VLOOKUP(TAB_ENTRADA[[#This Row],[Cod_2_Entrada]],TAB_ESTOQUE[[Codigo]:[Referência Tec]],7,FALSE),"")</f>
        <v>0</v>
      </c>
      <c r="D1097" s="15" t="str">
        <f>VLOOKUP(TAB_ENTRADA[[#This Row],[Cod_2_Entrada]],TAB_ESTOQUE[[Codigo]:[Endereço2]],12,FALSE)</f>
        <v>PISO 01</v>
      </c>
      <c r="E1097" s="15">
        <f>SUM(TAB_ENTRADA[[#This Row],[20/05/2019]:[Colunas1]])</f>
        <v>1</v>
      </c>
      <c r="F1097" s="3"/>
      <c r="FK1097" s="3">
        <v>1</v>
      </c>
    </row>
    <row r="1098" spans="1:181" x14ac:dyDescent="0.25">
      <c r="A1098" s="5" t="s">
        <v>2755</v>
      </c>
      <c r="B1098" s="15" t="str">
        <f>VLOOKUP(TAB_ENTRADA[[#This Row],[Cod_2_Entrada]],TAB_ESTOQUE[[Codigo]:[Descrição Tecnica]],6,FALSE)</f>
        <v>MOTOR ELÉTRICO TRIFÁSICO 1.5KW - 380V - 1850rpm - 60 Hz</v>
      </c>
      <c r="C1098" s="15">
        <f>IFERROR(VLOOKUP(TAB_ENTRADA[[#This Row],[Cod_2_Entrada]],TAB_ESTOQUE[[Codigo]:[Referência Tec]],7,FALSE),"")</f>
        <v>0</v>
      </c>
      <c r="D1098" s="15" t="str">
        <f>VLOOKUP(TAB_ENTRADA[[#This Row],[Cod_2_Entrada]],TAB_ESTOQUE[[Codigo]:[Endereço2]],12,FALSE)</f>
        <v>PISO 01</v>
      </c>
      <c r="E1098" s="15">
        <f>SUM(TAB_ENTRADA[[#This Row],[20/05/2019]:[Colunas1]])</f>
        <v>1</v>
      </c>
      <c r="F1098" s="3"/>
      <c r="FK1098" s="3">
        <v>1</v>
      </c>
    </row>
    <row r="1099" spans="1:181" x14ac:dyDescent="0.25">
      <c r="A1099" s="5" t="s">
        <v>2756</v>
      </c>
      <c r="B1099" s="15" t="str">
        <f>VLOOKUP(TAB_ENTRADA[[#This Row],[Cod_2_Entrada]],TAB_ESTOQUE[[Codigo]:[Descrição Tecnica]],6,FALSE)</f>
        <v>MOTOR ELÉTRICO TRIFÁSICO 380V - 5.1A - 1410RPM - 60Hz</v>
      </c>
      <c r="C1099" s="15">
        <f>IFERROR(VLOOKUP(TAB_ENTRADA[[#This Row],[Cod_2_Entrada]],TAB_ESTOQUE[[Codigo]:[Referência Tec]],7,FALSE),"")</f>
        <v>0</v>
      </c>
      <c r="D1099" s="15" t="str">
        <f>VLOOKUP(TAB_ENTRADA[[#This Row],[Cod_2_Entrada]],TAB_ESTOQUE[[Codigo]:[Endereço2]],12,FALSE)</f>
        <v>PISO 01</v>
      </c>
      <c r="E1099" s="15">
        <f>SUM(TAB_ENTRADA[[#This Row],[20/05/2019]:[Colunas1]])</f>
        <v>1</v>
      </c>
      <c r="F1099" s="3"/>
      <c r="FK1099" s="3">
        <v>1</v>
      </c>
    </row>
    <row r="1100" spans="1:181" x14ac:dyDescent="0.25">
      <c r="A1100" s="5" t="s">
        <v>2757</v>
      </c>
      <c r="B1100" s="15" t="str">
        <f>VLOOKUP(TAB_ENTRADA[[#This Row],[Cod_2_Entrada]],TAB_ESTOQUE[[Codigo]:[Descrição Tecnica]],6,FALSE)</f>
        <v>KIT PRENSA EPILA FCE 001 898/T</v>
      </c>
      <c r="C1100" s="15">
        <f>IFERROR(VLOOKUP(TAB_ENTRADA[[#This Row],[Cod_2_Entrada]],TAB_ESTOQUE[[Codigo]:[Referência Tec]],7,FALSE),"")</f>
        <v>0</v>
      </c>
      <c r="D1100" s="15" t="str">
        <f>VLOOKUP(TAB_ENTRADA[[#This Row],[Cod_2_Entrada]],TAB_ESTOQUE[[Codigo]:[Endereço2]],12,FALSE)</f>
        <v>D1205</v>
      </c>
      <c r="E1100" s="15">
        <f>SUM(TAB_ENTRADA[[#This Row],[20/05/2019]:[Colunas1]])</f>
        <v>1</v>
      </c>
      <c r="F1100" s="3"/>
      <c r="FK1100" s="3">
        <v>1</v>
      </c>
    </row>
    <row r="1101" spans="1:181" x14ac:dyDescent="0.25">
      <c r="A1101" s="5" t="s">
        <v>2758</v>
      </c>
      <c r="B1101" s="15" t="str">
        <f>VLOOKUP(TAB_ENTRADA[[#This Row],[Cod_2_Entrada]],TAB_ESTOQUE[[Codigo]:[Descrição Tecnica]],6,FALSE)</f>
        <v>PISTOLA DE AR COMPRIMIDO PARA LIMPEZA COM BICO LATÃO</v>
      </c>
      <c r="C1101" s="15">
        <f>IFERROR(VLOOKUP(TAB_ENTRADA[[#This Row],[Cod_2_Entrada]],TAB_ESTOQUE[[Codigo]:[Referência Tec]],7,FALSE),"")</f>
        <v>0</v>
      </c>
      <c r="D1101" s="15" t="str">
        <f>VLOOKUP(TAB_ENTRADA[[#This Row],[Cod_2_Entrada]],TAB_ESTOQUE[[Codigo]:[Endereço2]],12,FALSE)</f>
        <v>C1106</v>
      </c>
      <c r="E1101" s="15">
        <f>SUM(TAB_ENTRADA[[#This Row],[20/05/2019]:[Colunas1]])</f>
        <v>20</v>
      </c>
      <c r="F1101" s="3"/>
      <c r="FK1101" s="3">
        <v>0</v>
      </c>
      <c r="FY1101" s="3">
        <v>20</v>
      </c>
    </row>
    <row r="1102" spans="1:181" x14ac:dyDescent="0.25">
      <c r="A1102" s="5" t="s">
        <v>2759</v>
      </c>
      <c r="B1102" s="15" t="str">
        <f>VLOOKUP(TAB_ENTRADA[[#This Row],[Cod_2_Entrada]],TAB_ESTOQUE[[Codigo]:[Descrição Tecnica]],6,FALSE)</f>
        <v>MANGUEIRA PNEUMATICA TUBO ASPIRAL 08,00X05,X03,50M AZUL PU</v>
      </c>
      <c r="C1102" s="15">
        <f>IFERROR(VLOOKUP(TAB_ENTRADA[[#This Row],[Cod_2_Entrada]],TAB_ESTOQUE[[Codigo]:[Referência Tec]],7,FALSE),"")</f>
        <v>0</v>
      </c>
      <c r="D1102" s="15" t="str">
        <f>VLOOKUP(TAB_ENTRADA[[#This Row],[Cod_2_Entrada]],TAB_ESTOQUE[[Codigo]:[Endereço2]],12,FALSE)</f>
        <v>C1106</v>
      </c>
      <c r="E1102" s="15">
        <f>SUM(TAB_ENTRADA[[#This Row],[20/05/2019]:[Colunas1]])</f>
        <v>23</v>
      </c>
      <c r="F1102" s="3"/>
      <c r="FK1102" s="3">
        <v>23</v>
      </c>
    </row>
    <row r="1103" spans="1:181" x14ac:dyDescent="0.25">
      <c r="A1103" s="5" t="s">
        <v>2760</v>
      </c>
      <c r="B1103" s="15" t="str">
        <f>VLOOKUP(TAB_ENTRADA[[#This Row],[Cod_2_Entrada]],TAB_ESTOQUE[[Codigo]:[Descrição Tecnica]],6,FALSE)</f>
        <v>FONTE BAE 003 BAE OS-XA-1W-24-200-005 24VDC 20A (BALLUFF)</v>
      </c>
      <c r="C1103" s="15">
        <f>IFERROR(VLOOKUP(TAB_ENTRADA[[#This Row],[Cod_2_Entrada]],TAB_ESTOQUE[[Codigo]:[Referência Tec]],7,FALSE),"")</f>
        <v>0</v>
      </c>
      <c r="D1103" s="15" t="str">
        <f>VLOOKUP(TAB_ENTRADA[[#This Row],[Cod_2_Entrada]],TAB_ESTOQUE[[Codigo]:[Endereço2]],12,FALSE)</f>
        <v>B1104</v>
      </c>
      <c r="E1103" s="15">
        <f>SUM(TAB_ENTRADA[[#This Row],[20/05/2019]:[Colunas1]])</f>
        <v>2</v>
      </c>
      <c r="F1103" s="3"/>
      <c r="FK1103" s="3">
        <v>2</v>
      </c>
    </row>
    <row r="1104" spans="1:181" x14ac:dyDescent="0.25">
      <c r="A1104" s="5" t="s">
        <v>2761</v>
      </c>
      <c r="B1104" s="15" t="str">
        <f>VLOOKUP(TAB_ENTRADA[[#This Row],[Cod_2_Entrada]],TAB_ESTOQUE[[Codigo]:[Descrição Tecnica]],6,FALSE)</f>
        <v>TERMINAIS PRE ISOLADOS LU2694 (CRIMPER)</v>
      </c>
      <c r="C1104" s="15">
        <f>IFERROR(VLOOKUP(TAB_ENTRADA[[#This Row],[Cod_2_Entrada]],TAB_ESTOQUE[[Codigo]:[Referência Tec]],7,FALSE),"")</f>
        <v>0</v>
      </c>
      <c r="D1104" s="15" t="str">
        <f>VLOOKUP(TAB_ENTRADA[[#This Row],[Cod_2_Entrada]],TAB_ESTOQUE[[Codigo]:[Endereço2]],12,FALSE)</f>
        <v>A1203</v>
      </c>
      <c r="E1104" s="15">
        <f>SUM(TAB_ENTRADA[[#This Row],[20/05/2019]:[Colunas1]])</f>
        <v>300</v>
      </c>
      <c r="F1104" s="3"/>
      <c r="FK1104" s="3">
        <v>300</v>
      </c>
    </row>
    <row r="1105" spans="1:185" x14ac:dyDescent="0.25">
      <c r="A1105" s="5" t="s">
        <v>2762</v>
      </c>
      <c r="B1105" s="15" t="str">
        <f>VLOOKUP(TAB_ENTRADA[[#This Row],[Cod_2_Entrada]],TAB_ESTOQUE[[Codigo]:[Descrição Tecnica]],6,FALSE)</f>
        <v xml:space="preserve">BOIA DE NÍVEL (MAPRE) TRAMA CABO SILICONE 2X0,50 MM 300-C 750V NTT 16 </v>
      </c>
      <c r="C1105" s="15">
        <f>IFERROR(VLOOKUP(TAB_ENTRADA[[#This Row],[Cod_2_Entrada]],TAB_ESTOQUE[[Codigo]:[Referência Tec]],7,FALSE),"")</f>
        <v>0</v>
      </c>
      <c r="D1105" s="15" t="str">
        <f>VLOOKUP(TAB_ENTRADA[[#This Row],[Cod_2_Entrada]],TAB_ESTOQUE[[Codigo]:[Endereço2]],12,FALSE)</f>
        <v>A1205</v>
      </c>
      <c r="E1105" s="15">
        <f>SUM(TAB_ENTRADA[[#This Row],[20/05/2019]:[Colunas1]])</f>
        <v>4</v>
      </c>
      <c r="F1105" s="3"/>
      <c r="FK1105" s="3">
        <v>2</v>
      </c>
      <c r="GC1105" s="3">
        <v>2</v>
      </c>
    </row>
    <row r="1106" spans="1:185" x14ac:dyDescent="0.25">
      <c r="A1106" s="5" t="s">
        <v>2763</v>
      </c>
      <c r="B1106" s="15" t="str">
        <f>VLOOKUP(TAB_ENTRADA[[#This Row],[Cod_2_Entrada]],TAB_ESTOQUE[[Codigo]:[Descrição Tecnica]],6,FALSE)</f>
        <v xml:space="preserve">TRANSFORMADOR POT:100 WATTS ENT:220/380/440V SAIDA 110V/220V </v>
      </c>
      <c r="C1106" s="15">
        <f>IFERROR(VLOOKUP(TAB_ENTRADA[[#This Row],[Cod_2_Entrada]],TAB_ESTOQUE[[Codigo]:[Referência Tec]],7,FALSE),"")</f>
        <v>0</v>
      </c>
      <c r="D1106" s="15" t="str">
        <f>VLOOKUP(TAB_ENTRADA[[#This Row],[Cod_2_Entrada]],TAB_ESTOQUE[[Codigo]:[Endereço2]],12,FALSE)</f>
        <v>A2302</v>
      </c>
      <c r="E1106" s="15">
        <f>SUM(TAB_ENTRADA[[#This Row],[20/05/2019]:[Colunas1]])</f>
        <v>1</v>
      </c>
      <c r="F1106" s="3"/>
      <c r="FK1106" s="3">
        <v>1</v>
      </c>
    </row>
    <row r="1107" spans="1:185" x14ac:dyDescent="0.25">
      <c r="A1107" s="5" t="s">
        <v>2764</v>
      </c>
      <c r="B1107" s="15" t="str">
        <f>VLOOKUP(TAB_ENTRADA[[#This Row],[Cod_2_Entrada]],TAB_ESTOQUE[[Codigo]:[Descrição Tecnica]],6,FALSE)</f>
        <v>CONTACTOR AUXILIAR LP1K0901BD (SCHINEDER)</v>
      </c>
      <c r="C1107" s="15">
        <f>IFERROR(VLOOKUP(TAB_ENTRADA[[#This Row],[Cod_2_Entrada]],TAB_ESTOQUE[[Codigo]:[Referência Tec]],7,FALSE),"")</f>
        <v>0</v>
      </c>
      <c r="D1107" s="15" t="str">
        <f>VLOOKUP(TAB_ENTRADA[[#This Row],[Cod_2_Entrada]],TAB_ESTOQUE[[Codigo]:[Endereço2]],12,FALSE)</f>
        <v>A1204</v>
      </c>
      <c r="E1107" s="15">
        <f>SUM(TAB_ENTRADA[[#This Row],[20/05/2019]:[Colunas1]])</f>
        <v>0</v>
      </c>
      <c r="F1107" s="3"/>
      <c r="FK1107" s="3">
        <v>0</v>
      </c>
    </row>
    <row r="1108" spans="1:185" x14ac:dyDescent="0.25">
      <c r="A1108" s="5" t="s">
        <v>2765</v>
      </c>
      <c r="B1108" s="15" t="str">
        <f>VLOOKUP(TAB_ENTRADA[[#This Row],[Cod_2_Entrada]],TAB_ESTOQUE[[Codigo]:[Descrição Tecnica]],6,FALSE)</f>
        <v xml:space="preserve">CONTACTOR AUXILIAR LC1K0910Q7 </v>
      </c>
      <c r="C1108" s="15">
        <f>IFERROR(VLOOKUP(TAB_ENTRADA[[#This Row],[Cod_2_Entrada]],TAB_ESTOQUE[[Codigo]:[Referência Tec]],7,FALSE),"")</f>
        <v>0</v>
      </c>
      <c r="D1108" s="15" t="str">
        <f>VLOOKUP(TAB_ENTRADA[[#This Row],[Cod_2_Entrada]],TAB_ESTOQUE[[Codigo]:[Endereço2]],12,FALSE)</f>
        <v>A1204</v>
      </c>
      <c r="E1108" s="15">
        <f>SUM(TAB_ENTRADA[[#This Row],[20/05/2019]:[Colunas1]])</f>
        <v>0</v>
      </c>
      <c r="F1108" s="3"/>
      <c r="FK1108" s="3">
        <v>0</v>
      </c>
    </row>
    <row r="1109" spans="1:185" x14ac:dyDescent="0.25">
      <c r="A1109" s="5" t="s">
        <v>2766</v>
      </c>
      <c r="B1109" s="15" t="str">
        <f>VLOOKUP(TAB_ENTRADA[[#This Row],[Cod_2_Entrada]],TAB_ESTOQUE[[Codigo]:[Descrição Tecnica]],6,FALSE)</f>
        <v>DISJUNTOR TERMOMAGNETICO NM 60898 IEC60947-2SD 1P C16 230-400V</v>
      </c>
      <c r="C1109" s="15">
        <f>IFERROR(VLOOKUP(TAB_ENTRADA[[#This Row],[Cod_2_Entrada]],TAB_ESTOQUE[[Codigo]:[Referência Tec]],7,FALSE),"")</f>
        <v>0</v>
      </c>
      <c r="D1109" s="15" t="str">
        <f>VLOOKUP(TAB_ENTRADA[[#This Row],[Cod_2_Entrada]],TAB_ESTOQUE[[Codigo]:[Endereço2]],12,FALSE)</f>
        <v>A1302</v>
      </c>
      <c r="E1109" s="15">
        <f>SUM(TAB_ENTRADA[[#This Row],[20/05/2019]:[Colunas1]])</f>
        <v>0</v>
      </c>
      <c r="F1109" s="3"/>
      <c r="FK1109" s="3">
        <v>0</v>
      </c>
    </row>
    <row r="1110" spans="1:185" x14ac:dyDescent="0.25">
      <c r="A1110" s="5" t="s">
        <v>2767</v>
      </c>
      <c r="B1110" s="15" t="str">
        <f>VLOOKUP(TAB_ENTRADA[[#This Row],[Cod_2_Entrada]],TAB_ESTOQUE[[Codigo]:[Descrição Tecnica]],6,FALSE)</f>
        <v>FUSÍVEL 3NA3 830 SIEMENS 500V 100A</v>
      </c>
      <c r="C1110" s="15">
        <f>IFERROR(VLOOKUP(TAB_ENTRADA[[#This Row],[Cod_2_Entrada]],TAB_ESTOQUE[[Codigo]:[Referência Tec]],7,FALSE),"")</f>
        <v>0</v>
      </c>
      <c r="D1110" s="15" t="str">
        <f>VLOOKUP(TAB_ENTRADA[[#This Row],[Cod_2_Entrada]],TAB_ESTOQUE[[Codigo]:[Endereço2]],12,FALSE)</f>
        <v>A1204</v>
      </c>
      <c r="E1110" s="15">
        <f>SUM(TAB_ENTRADA[[#This Row],[20/05/2019]:[Colunas1]])</f>
        <v>9</v>
      </c>
      <c r="F1110" s="3"/>
      <c r="FK1110" s="3">
        <v>9</v>
      </c>
    </row>
    <row r="1111" spans="1:185" x14ac:dyDescent="0.25">
      <c r="A1111" s="5" t="s">
        <v>2768</v>
      </c>
      <c r="B1111" s="15" t="str">
        <f>VLOOKUP(TAB_ENTRADA[[#This Row],[Cod_2_Entrada]],TAB_ESTOQUE[[Codigo]:[Descrição Tecnica]],6,FALSE)</f>
        <v>SENSOR SICK IMP12-1B5PSVCOC 6050119</v>
      </c>
      <c r="C1111" s="15">
        <f>IFERROR(VLOOKUP(TAB_ENTRADA[[#This Row],[Cod_2_Entrada]],TAB_ESTOQUE[[Codigo]:[Referência Tec]],7,FALSE),"")</f>
        <v>0</v>
      </c>
      <c r="D1111" s="15" t="str">
        <f>VLOOKUP(TAB_ENTRADA[[#This Row],[Cod_2_Entrada]],TAB_ESTOQUE[[Codigo]:[Endereço2]],12,FALSE)</f>
        <v>A2203</v>
      </c>
      <c r="E1111" s="15">
        <f>SUM(TAB_ENTRADA[[#This Row],[20/05/2019]:[Colunas1]])</f>
        <v>2</v>
      </c>
      <c r="F1111" s="3"/>
      <c r="FK1111" s="3">
        <v>2</v>
      </c>
    </row>
    <row r="1112" spans="1:185" x14ac:dyDescent="0.25">
      <c r="A1112" s="5" t="s">
        <v>2769</v>
      </c>
      <c r="B1112" s="15" t="str">
        <f>VLOOKUP(TAB_ENTRADA[[#This Row],[Cod_2_Entrada]],TAB_ESTOQUE[[Codigo]:[Descrição Tecnica]],6,FALSE)</f>
        <v>SENSOR XS108 BLPAL2 TELEMECANIQUE</v>
      </c>
      <c r="C1112" s="15">
        <f>IFERROR(VLOOKUP(TAB_ENTRADA[[#This Row],[Cod_2_Entrada]],TAB_ESTOQUE[[Codigo]:[Referência Tec]],7,FALSE),"")</f>
        <v>0</v>
      </c>
      <c r="D1112" s="15" t="str">
        <f>VLOOKUP(TAB_ENTRADA[[#This Row],[Cod_2_Entrada]],TAB_ESTOQUE[[Codigo]:[Endereço2]],12,FALSE)</f>
        <v>A2204</v>
      </c>
      <c r="E1112" s="15">
        <f>SUM(TAB_ENTRADA[[#This Row],[20/05/2019]:[Colunas1]])</f>
        <v>1</v>
      </c>
      <c r="F1112" s="3"/>
      <c r="FK1112" s="3">
        <v>1</v>
      </c>
    </row>
    <row r="1113" spans="1:185" x14ac:dyDescent="0.25">
      <c r="A1113" s="5" t="s">
        <v>2770</v>
      </c>
      <c r="B1113" s="15" t="str">
        <f>VLOOKUP(TAB_ENTRADA[[#This Row],[Cod_2_Entrada]],TAB_ESTOQUE[[Codigo]:[Descrição Tecnica]],6,FALSE)</f>
        <v>PEPPERL+FUHS TYPE:NBB20-L2-E2-V1  PART NO.: 187481 10-30VDC/200nA</v>
      </c>
      <c r="C1113" s="15">
        <f>IFERROR(VLOOKUP(TAB_ENTRADA[[#This Row],[Cod_2_Entrada]],TAB_ESTOQUE[[Codigo]:[Referência Tec]],7,FALSE),"")</f>
        <v>0</v>
      </c>
      <c r="D1113" s="15" t="str">
        <f>VLOOKUP(TAB_ENTRADA[[#This Row],[Cod_2_Entrada]],TAB_ESTOQUE[[Codigo]:[Endereço2]],12,FALSE)</f>
        <v>A2103</v>
      </c>
      <c r="E1113" s="15">
        <f>SUM(TAB_ENTRADA[[#This Row],[20/05/2019]:[Colunas1]])</f>
        <v>7</v>
      </c>
      <c r="F1113" s="3"/>
      <c r="FK1113" s="3">
        <v>7</v>
      </c>
    </row>
    <row r="1114" spans="1:185" x14ac:dyDescent="0.25">
      <c r="A1114" s="5" t="s">
        <v>2860</v>
      </c>
      <c r="B1114" s="15" t="str">
        <f>VLOOKUP(TAB_ENTRADA[[#This Row],[Cod_2_Entrada]],TAB_ESTOQUE[[Codigo]:[Descrição Tecnica]],6,FALSE)</f>
        <v xml:space="preserve">CERABAR T PMP 131-A1401A70 MWP100BAR </v>
      </c>
      <c r="C1114" s="15">
        <f>IFERROR(VLOOKUP(TAB_ENTRADA[[#This Row],[Cod_2_Entrada]],TAB_ESTOQUE[[Codigo]:[Referência Tec]],7,FALSE),"")</f>
        <v>0</v>
      </c>
      <c r="D1114" s="15" t="str">
        <f>VLOOKUP(TAB_ENTRADA[[#This Row],[Cod_2_Entrada]],TAB_ESTOQUE[[Codigo]:[Endereço2]],12,FALSE)</f>
        <v>A2104</v>
      </c>
      <c r="E1114" s="15">
        <f>SUM(TAB_ENTRADA[[#This Row],[20/05/2019]:[Colunas1]])</f>
        <v>0</v>
      </c>
      <c r="F1114" s="3"/>
      <c r="FK1114" s="3">
        <v>0</v>
      </c>
    </row>
    <row r="1115" spans="1:185" x14ac:dyDescent="0.25">
      <c r="A1115" s="5" t="s">
        <v>2868</v>
      </c>
      <c r="B1115" s="15" t="str">
        <f>VLOOKUP(TAB_ENTRADA[[#This Row],[Cod_2_Entrada]],TAB_ESTOQUE[[Codigo]:[Descrição Tecnica]],6,FALSE)</f>
        <v>DISJUNTOR MODULAR TRIPOLAR NG 4P-100A NG125N 18660 (SCHINEDER)</v>
      </c>
      <c r="C1115" s="15">
        <f>IFERROR(VLOOKUP(TAB_ENTRADA[[#This Row],[Cod_2_Entrada]],TAB_ESTOQUE[[Codigo]:[Referência Tec]],7,FALSE),"")</f>
        <v>0</v>
      </c>
      <c r="D1115" s="15" t="str">
        <f>VLOOKUP(TAB_ENTRADA[[#This Row],[Cod_2_Entrada]],TAB_ESTOQUE[[Codigo]:[Endereço2]],12,FALSE)</f>
        <v>B1202</v>
      </c>
      <c r="E1115" s="15">
        <f>SUM(TAB_ENTRADA[[#This Row],[20/05/2019]:[Colunas1]])</f>
        <v>1</v>
      </c>
      <c r="F1115" s="3"/>
      <c r="FK1115" s="3">
        <v>1</v>
      </c>
    </row>
    <row r="1116" spans="1:185" x14ac:dyDescent="0.25">
      <c r="A1116" s="5" t="s">
        <v>2871</v>
      </c>
      <c r="B1116" s="15" t="str">
        <f>VLOOKUP(TAB_ENTRADA[[#This Row],[Cod_2_Entrada]],TAB_ESTOQUE[[Codigo]:[Descrição Tecnica]],6,FALSE)</f>
        <v>MÓDULO DE ENTRADAS ANALÓGICAS 2 AI - I 4WIRE 1P 6ES7 134-4G B62-0AB0</v>
      </c>
      <c r="C1116" s="15">
        <f>IFERROR(VLOOKUP(TAB_ENTRADA[[#This Row],[Cod_2_Entrada]],TAB_ESTOQUE[[Codigo]:[Referência Tec]],7,FALSE),"")</f>
        <v>0</v>
      </c>
      <c r="D1116" s="15" t="str">
        <f>VLOOKUP(TAB_ENTRADA[[#This Row],[Cod_2_Entrada]],TAB_ESTOQUE[[Codigo]:[Endereço2]],12,FALSE)</f>
        <v>B1203</v>
      </c>
      <c r="E1116" s="15">
        <f>SUM(TAB_ENTRADA[[#This Row],[20/05/2019]:[Colunas1]])</f>
        <v>3</v>
      </c>
      <c r="F1116" s="3"/>
      <c r="FK1116" s="3">
        <v>3</v>
      </c>
    </row>
    <row r="1117" spans="1:185" x14ac:dyDescent="0.25">
      <c r="A1117" s="5" t="s">
        <v>2881</v>
      </c>
      <c r="B1117" s="15" t="str">
        <f>VLOOKUP(TAB_ENTRADA[[#This Row],[Cod_2_Entrada]],TAB_ESTOQUE[[Codigo]:[Descrição Tecnica]],6,FALSE)</f>
        <v>PLACA DO AQUECEDOR AINTEC AM5TW-4805S-RZ1114</v>
      </c>
      <c r="C1117" s="15">
        <f>IFERROR(VLOOKUP(TAB_ENTRADA[[#This Row],[Cod_2_Entrada]],TAB_ESTOQUE[[Codigo]:[Referência Tec]],7,FALSE),"")</f>
        <v>0</v>
      </c>
      <c r="D1117" s="15" t="str">
        <f>VLOOKUP(TAB_ENTRADA[[#This Row],[Cod_2_Entrada]],TAB_ESTOQUE[[Codigo]:[Endereço2]],12,FALSE)</f>
        <v>A1102</v>
      </c>
      <c r="E1117" s="15">
        <f>SUM(TAB_ENTRADA[[#This Row],[20/05/2019]:[Colunas1]])</f>
        <v>0</v>
      </c>
      <c r="F1117" s="3"/>
      <c r="FK1117" s="3">
        <v>0</v>
      </c>
    </row>
    <row r="1118" spans="1:185" x14ac:dyDescent="0.25">
      <c r="A1118" s="5" t="s">
        <v>2894</v>
      </c>
      <c r="B1118" s="15" t="str">
        <f>VLOOKUP(TAB_ENTRADA[[#This Row],[Cod_2_Entrada]],TAB_ESTOQUE[[Codigo]:[Descrição Tecnica]],6,FALSE)</f>
        <v>COOLER MODEL:NF 12038HP-24V (NEW FLOW)</v>
      </c>
      <c r="C1118" s="15">
        <f>IFERROR(VLOOKUP(TAB_ENTRADA[[#This Row],[Cod_2_Entrada]],TAB_ESTOQUE[[Codigo]:[Referência Tec]],7,FALSE),"")</f>
        <v>0</v>
      </c>
      <c r="D1118" s="15" t="str">
        <f>VLOOKUP(TAB_ENTRADA[[#This Row],[Cod_2_Entrada]],TAB_ESTOQUE[[Codigo]:[Endereço2]],12,FALSE)</f>
        <v>B1105</v>
      </c>
      <c r="E1118" s="15">
        <f>SUM(TAB_ENTRADA[[#This Row],[20/05/2019]:[Colunas1]])</f>
        <v>0</v>
      </c>
      <c r="F1118" s="3"/>
      <c r="FK1118" s="3">
        <v>0</v>
      </c>
    </row>
    <row r="1119" spans="1:185" x14ac:dyDescent="0.25">
      <c r="A1119" s="5" t="s">
        <v>3063</v>
      </c>
      <c r="B1119" s="15" t="str">
        <f>VLOOKUP(TAB_ENTRADA[[#This Row],[Cod_2_Entrada]],TAB_ESTOQUE[[Codigo]:[Descrição Tecnica]],6,FALSE)</f>
        <v xml:space="preserve">SENSOR AG.D-79183 WALDKIRCH  LL3-TB01 SICK </v>
      </c>
      <c r="C1119" s="15">
        <f>IFERROR(VLOOKUP(TAB_ENTRADA[[#This Row],[Cod_2_Entrada]],TAB_ESTOQUE[[Codigo]:[Referência Tec]],7,FALSE),"")</f>
        <v>0</v>
      </c>
      <c r="D1119" s="15" t="str">
        <f>VLOOKUP(TAB_ENTRADA[[#This Row],[Cod_2_Entrada]],TAB_ESTOQUE[[Codigo]:[Endereço2]],12,FALSE)</f>
        <v>A2104</v>
      </c>
      <c r="E1119" s="15">
        <f>SUM(TAB_ENTRADA[[#This Row],[20/05/2019]:[Colunas1]])</f>
        <v>1</v>
      </c>
      <c r="F1119" s="3"/>
      <c r="FK1119" s="3">
        <v>1</v>
      </c>
    </row>
    <row r="1120" spans="1:185" x14ac:dyDescent="0.25">
      <c r="A1120" s="5" t="s">
        <v>3064</v>
      </c>
      <c r="B1120" s="15" t="str">
        <f>VLOOKUP(TAB_ENTRADA[[#This Row],[Cod_2_Entrada]],TAB_ESTOQUE[[Codigo]:[Descrição Tecnica]],6,FALSE)</f>
        <v>SENSOR PEPPERL+FUCHS NBB5-18 GM 50-E2-V1 Part No:84195</v>
      </c>
      <c r="C1120" s="15">
        <f>IFERROR(VLOOKUP(TAB_ENTRADA[[#This Row],[Cod_2_Entrada]],TAB_ESTOQUE[[Codigo]:[Referência Tec]],7,FALSE),"")</f>
        <v>0</v>
      </c>
      <c r="D1120" s="15" t="str">
        <f>VLOOKUP(TAB_ENTRADA[[#This Row],[Cod_2_Entrada]],TAB_ESTOQUE[[Codigo]:[Endereço2]],12,FALSE)</f>
        <v>A2203</v>
      </c>
      <c r="E1120" s="15">
        <f>SUM(TAB_ENTRADA[[#This Row],[20/05/2019]:[Colunas1]])</f>
        <v>2</v>
      </c>
      <c r="F1120" s="3"/>
      <c r="FK1120" s="3">
        <v>2</v>
      </c>
    </row>
    <row r="1121" spans="1:167" x14ac:dyDescent="0.25">
      <c r="A1121" s="5" t="s">
        <v>3065</v>
      </c>
      <c r="B1121" s="15" t="str">
        <f>VLOOKUP(TAB_ENTRADA[[#This Row],[Cod_2_Entrada]],TAB_ESTOQUE[[Codigo]:[Descrição Tecnica]],6,FALSE)</f>
        <v>SENSOR FES-N11CP#E4L93194B</v>
      </c>
      <c r="C1121" s="15">
        <f>IFERROR(VLOOKUP(TAB_ENTRADA[[#This Row],[Cod_2_Entrada]],TAB_ESTOQUE[[Codigo]:[Referência Tec]],7,FALSE),"")</f>
        <v>0</v>
      </c>
      <c r="D1121" s="15" t="str">
        <f>VLOOKUP(TAB_ENTRADA[[#This Row],[Cod_2_Entrada]],TAB_ESTOQUE[[Codigo]:[Endereço2]],12,FALSE)</f>
        <v>A2104</v>
      </c>
      <c r="E1121" s="15">
        <f>SUM(TAB_ENTRADA[[#This Row],[20/05/2019]:[Colunas1]])</f>
        <v>1</v>
      </c>
      <c r="F1121" s="3"/>
      <c r="FK1121" s="3">
        <v>1</v>
      </c>
    </row>
    <row r="1122" spans="1:167" x14ac:dyDescent="0.25">
      <c r="A1122" s="5" t="s">
        <v>3066</v>
      </c>
      <c r="B1122" s="15" t="str">
        <f>VLOOKUP(TAB_ENTRADA[[#This Row],[Cod_2_Entrada]],TAB_ESTOQUE[[Codigo]:[Descrição Tecnica]],6,FALSE)</f>
        <v>KIT REPARO DA GERADORA DE VACUO 0125615 (PIAB)</v>
      </c>
      <c r="C1122" s="15">
        <f>IFERROR(VLOOKUP(TAB_ENTRADA[[#This Row],[Cod_2_Entrada]],TAB_ESTOQUE[[Codigo]:[Referência Tec]],7,FALSE),"")</f>
        <v>0</v>
      </c>
      <c r="D1122" s="15" t="str">
        <f>VLOOKUP(TAB_ENTRADA[[#This Row],[Cod_2_Entrada]],TAB_ESTOQUE[[Codigo]:[Endereço2]],12,FALSE)</f>
        <v>G1103</v>
      </c>
      <c r="E1122" s="15">
        <f>SUM(TAB_ENTRADA[[#This Row],[20/05/2019]:[Colunas1]])</f>
        <v>1</v>
      </c>
      <c r="F1122" s="3"/>
      <c r="FK1122" s="3">
        <v>1</v>
      </c>
    </row>
    <row r="1123" spans="1:167" x14ac:dyDescent="0.25">
      <c r="A1123" s="5" t="s">
        <v>3069</v>
      </c>
      <c r="B1123" s="15" t="str">
        <f>VLOOKUP(TAB_ENTRADA[[#This Row],[Cod_2_Entrada]],TAB_ESTOQUE[[Codigo]:[Descrição Tecnica]],6,FALSE)</f>
        <v>QUADRO DE COMANDO DE SOBREPOR 300X200X120 REF:SEX322 053031 (STECK)</v>
      </c>
      <c r="C1123" s="15">
        <f>IFERROR(VLOOKUP(TAB_ENTRADA[[#This Row],[Cod_2_Entrada]],TAB_ESTOQUE[[Codigo]:[Referência Tec]],7,FALSE),"")</f>
        <v>0</v>
      </c>
      <c r="D1123" s="15" t="str">
        <f>VLOOKUP(TAB_ENTRADA[[#This Row],[Cod_2_Entrada]],TAB_ESTOQUE[[Codigo]:[Endereço2]],12,FALSE)</f>
        <v>A1301</v>
      </c>
      <c r="E1123" s="15">
        <f>SUM(TAB_ENTRADA[[#This Row],[20/05/2019]:[Colunas1]])</f>
        <v>0</v>
      </c>
      <c r="F1123" s="3"/>
      <c r="FK1123" s="3">
        <v>0</v>
      </c>
    </row>
    <row r="1124" spans="1:167" x14ac:dyDescent="0.25">
      <c r="A1124" s="5" t="s">
        <v>3070</v>
      </c>
      <c r="B1124" s="15" t="str">
        <f>VLOOKUP(TAB_ENTRADA[[#This Row],[Cod_2_Entrada]],TAB_ESTOQUE[[Codigo]:[Descrição Tecnica]],6,FALSE)</f>
        <v>QUADRO DE COMANDO DE SOBREPOR SEX171 059771 IP55 (STECK)</v>
      </c>
      <c r="C1124" s="15">
        <f>IFERROR(VLOOKUP(TAB_ENTRADA[[#This Row],[Cod_2_Entrada]],TAB_ESTOQUE[[Codigo]:[Referência Tec]],7,FALSE),"")</f>
        <v>0</v>
      </c>
      <c r="D1124" s="15" t="str">
        <f>VLOOKUP(TAB_ENTRADA[[#This Row],[Cod_2_Entrada]],TAB_ESTOQUE[[Codigo]:[Endereço2]],12,FALSE)</f>
        <v>A1301</v>
      </c>
      <c r="E1124" s="15">
        <f>SUM(TAB_ENTRADA[[#This Row],[20/05/2019]:[Colunas1]])</f>
        <v>1</v>
      </c>
      <c r="F1124" s="3"/>
      <c r="FK1124" s="3">
        <v>1</v>
      </c>
    </row>
    <row r="1125" spans="1:167" x14ac:dyDescent="0.25">
      <c r="A1125" s="5" t="s">
        <v>3090</v>
      </c>
      <c r="B1125" s="15" t="str">
        <f>VLOOKUP(TAB_ENTRADA[[#This Row],[Cod_2_Entrada]],TAB_ESTOQUE[[Codigo]:[Descrição Tecnica]],6,FALSE)</f>
        <v>ROLAMENTO PERNI FOLLI GC 35</v>
      </c>
      <c r="C1125" s="15">
        <f>IFERROR(VLOOKUP(TAB_ENTRADA[[#This Row],[Cod_2_Entrada]],TAB_ESTOQUE[[Codigo]:[Referência Tec]],7,FALSE),"")</f>
        <v>0</v>
      </c>
      <c r="D1125" s="15" t="str">
        <f>VLOOKUP(TAB_ENTRADA[[#This Row],[Cod_2_Entrada]],TAB_ESTOQUE[[Codigo]:[Endereço2]],12,FALSE)</f>
        <v>D2102</v>
      </c>
      <c r="E1125" s="15">
        <f>SUM(TAB_ENTRADA[[#This Row],[20/05/2019]:[Colunas1]])</f>
        <v>21</v>
      </c>
      <c r="F1125" s="3"/>
      <c r="FK1125" s="3">
        <v>21</v>
      </c>
    </row>
    <row r="1126" spans="1:167" x14ac:dyDescent="0.25">
      <c r="A1126" s="5" t="s">
        <v>3092</v>
      </c>
      <c r="B1126" s="15" t="str">
        <f>VLOOKUP(TAB_ENTRADA[[#This Row],[Cod_2_Entrada]],TAB_ESTOQUE[[Codigo]:[Descrição Tecnica]],6,FALSE)</f>
        <v>ROLAMENTO JAPAN CF168UUR</v>
      </c>
      <c r="C1126" s="15">
        <f>IFERROR(VLOOKUP(TAB_ENTRADA[[#This Row],[Cod_2_Entrada]],TAB_ESTOQUE[[Codigo]:[Referência Tec]],7,FALSE),"")</f>
        <v>0</v>
      </c>
      <c r="D1126" s="15" t="str">
        <f>VLOOKUP(TAB_ENTRADA[[#This Row],[Cod_2_Entrada]],TAB_ESTOQUE[[Codigo]:[Endereço2]],12,FALSE)</f>
        <v>D2102</v>
      </c>
      <c r="E1126" s="15">
        <f>SUM(TAB_ENTRADA[[#This Row],[20/05/2019]:[Colunas1]])</f>
        <v>6</v>
      </c>
      <c r="F1126" s="3"/>
      <c r="FK1126" s="3">
        <v>6</v>
      </c>
    </row>
    <row r="1127" spans="1:167" x14ac:dyDescent="0.25">
      <c r="A1127" s="5" t="s">
        <v>3097</v>
      </c>
      <c r="B1127" s="15" t="str">
        <f>VLOOKUP(TAB_ENTRADA[[#This Row],[Cod_2_Entrada]],TAB_ESTOQUE[[Codigo]:[Descrição Tecnica]],6,FALSE)</f>
        <v>ROLAMENTO 608-2RSP</v>
      </c>
      <c r="C1127" s="15">
        <f>IFERROR(VLOOKUP(TAB_ENTRADA[[#This Row],[Cod_2_Entrada]],TAB_ESTOQUE[[Codigo]:[Referência Tec]],7,FALSE),"")</f>
        <v>0</v>
      </c>
      <c r="D1127" s="15" t="str">
        <f>VLOOKUP(TAB_ENTRADA[[#This Row],[Cod_2_Entrada]],TAB_ESTOQUE[[Codigo]:[Endereço2]],12,FALSE)</f>
        <v>D2104</v>
      </c>
      <c r="E1127" s="15">
        <f>SUM(TAB_ENTRADA[[#This Row],[20/05/2019]:[Colunas1]])</f>
        <v>12</v>
      </c>
      <c r="F1127" s="3"/>
      <c r="FK1127" s="3">
        <v>12</v>
      </c>
    </row>
    <row r="1128" spans="1:167" x14ac:dyDescent="0.25">
      <c r="A1128" s="5" t="s">
        <v>3098</v>
      </c>
      <c r="B1128" s="15" t="str">
        <f>VLOOKUP(TAB_ENTRADA[[#This Row],[Cod_2_Entrada]],TAB_ESTOQUE[[Codigo]:[Descrição Tecnica]],6,FALSE)</f>
        <v>MASSA SOLDA A FRIO COMPOSTO DE AÇO COM RESINAS 4:1 RESINA A 4:1 ENDURECEDOR B</v>
      </c>
      <c r="C1128" s="15">
        <f>IFERROR(VLOOKUP(TAB_ENTRADA[[#This Row],[Cod_2_Entrada]],TAB_ESTOQUE[[Codigo]:[Referência Tec]],7,FALSE),"")</f>
        <v>0</v>
      </c>
      <c r="D1128" s="15" t="str">
        <f>VLOOKUP(TAB_ENTRADA[[#This Row],[Cod_2_Entrada]],TAB_ESTOQUE[[Codigo]:[Endereço2]],12,FALSE)</f>
        <v>E2101</v>
      </c>
      <c r="E1128" s="15">
        <f>SUM(TAB_ENTRADA[[#This Row],[20/05/2019]:[Colunas1]])</f>
        <v>4</v>
      </c>
      <c r="F1128" s="3"/>
      <c r="FK1128" s="3">
        <v>4</v>
      </c>
    </row>
    <row r="1129" spans="1:167" x14ac:dyDescent="0.25">
      <c r="A1129" s="5" t="s">
        <v>3099</v>
      </c>
      <c r="B1129" s="15" t="str">
        <f>VLOOKUP(TAB_ENTRADA[[#This Row],[Cod_2_Entrada]],TAB_ESTOQUE[[Codigo]:[Descrição Tecnica]],6,FALSE)</f>
        <v>FOLE COMPACTO PNEUMÁTICO WBZ 500 ECO MAX:0-8bar TEMP RANJE -40ºC -50ºC (MAX+70ºC) (WEFORMA)</v>
      </c>
      <c r="C1129" s="15">
        <f>IFERROR(VLOOKUP(TAB_ENTRADA[[#This Row],[Cod_2_Entrada]],TAB_ESTOQUE[[Codigo]:[Referência Tec]],7,FALSE),"")</f>
        <v>0</v>
      </c>
      <c r="D1129" s="15" t="str">
        <f>VLOOKUP(TAB_ENTRADA[[#This Row],[Cod_2_Entrada]],TAB_ESTOQUE[[Codigo]:[Endereço2]],12,FALSE)</f>
        <v>C2201</v>
      </c>
      <c r="E1129" s="15">
        <f>SUM(TAB_ENTRADA[[#This Row],[20/05/2019]:[Colunas1]])</f>
        <v>1</v>
      </c>
      <c r="F1129" s="3"/>
      <c r="FK1129" s="3">
        <v>1</v>
      </c>
    </row>
    <row r="1130" spans="1:167" x14ac:dyDescent="0.25">
      <c r="A1130" s="5" t="s">
        <v>3104</v>
      </c>
      <c r="B1130" s="15" t="str">
        <f>VLOOKUP(TAB_ENTRADA[[#This Row],[Cod_2_Entrada]],TAB_ESTOQUE[[Codigo]:[Descrição Tecnica]],6,FALSE)</f>
        <v>ACIONADOR PNEUMATICO MOD:4H210-06L PRESSURE:0-0. 8MPA</v>
      </c>
      <c r="C1130" s="15">
        <f>IFERROR(VLOOKUP(TAB_ENTRADA[[#This Row],[Cod_2_Entrada]],TAB_ESTOQUE[[Codigo]:[Referência Tec]],7,FALSE),"")</f>
        <v>0</v>
      </c>
      <c r="D1130" s="15" t="str">
        <f>VLOOKUP(TAB_ENTRADA[[#This Row],[Cod_2_Entrada]],TAB_ESTOQUE[[Codigo]:[Endereço2]],12,FALSE)</f>
        <v>G1103</v>
      </c>
      <c r="E1130" s="15">
        <f>SUM(TAB_ENTRADA[[#This Row],[20/05/2019]:[Colunas1]])</f>
        <v>3</v>
      </c>
      <c r="F1130" s="3"/>
      <c r="FK1130" s="3">
        <v>3</v>
      </c>
    </row>
    <row r="1131" spans="1:167" x14ac:dyDescent="0.25">
      <c r="A1131" s="5" t="s">
        <v>3105</v>
      </c>
      <c r="B1131" s="15" t="str">
        <f>VLOOKUP(TAB_ENTRADA[[#This Row],[Cod_2_Entrada]],TAB_ESTOQUE[[Codigo]:[Descrição Tecnica]],6,FALSE)</f>
        <v>CILINDRO PNEUMATICO MOD:DSN25X125-S (FERGE)</v>
      </c>
      <c r="C1131" s="15">
        <f>IFERROR(VLOOKUP(TAB_ENTRADA[[#This Row],[Cod_2_Entrada]],TAB_ESTOQUE[[Codigo]:[Referência Tec]],7,FALSE),"")</f>
        <v>0</v>
      </c>
      <c r="D1131" s="15" t="str">
        <f>VLOOKUP(TAB_ENTRADA[[#This Row],[Cod_2_Entrada]],TAB_ESTOQUE[[Codigo]:[Endereço2]],12,FALSE)</f>
        <v>C1105</v>
      </c>
      <c r="E1131" s="15">
        <f>SUM(TAB_ENTRADA[[#This Row],[20/05/2019]:[Colunas1]])</f>
        <v>3</v>
      </c>
      <c r="F1131" s="3"/>
      <c r="FK1131" s="3">
        <v>3</v>
      </c>
    </row>
    <row r="1132" spans="1:167" x14ac:dyDescent="0.25">
      <c r="A1132" s="5" t="s">
        <v>3106</v>
      </c>
      <c r="B1132" s="15" t="str">
        <f>VLOOKUP(TAB_ENTRADA[[#This Row],[Cod_2_Entrada]],TAB_ESTOQUE[[Codigo]:[Descrição Tecnica]],6,FALSE)</f>
        <v>ATUADOR PNEUMATICO COM VALVULA DE ESFERA 1"</v>
      </c>
      <c r="C1132" s="15">
        <f>IFERROR(VLOOKUP(TAB_ENTRADA[[#This Row],[Cod_2_Entrada]],TAB_ESTOQUE[[Codigo]:[Referência Tec]],7,FALSE),"")</f>
        <v>0</v>
      </c>
      <c r="D1132" s="15" t="str">
        <f>VLOOKUP(TAB_ENTRADA[[#This Row],[Cod_2_Entrada]],TAB_ESTOQUE[[Codigo]:[Endereço2]],12,FALSE)</f>
        <v>C1206</v>
      </c>
      <c r="E1132" s="15">
        <f>SUM(TAB_ENTRADA[[#This Row],[20/05/2019]:[Colunas1]])</f>
        <v>1</v>
      </c>
      <c r="F1132" s="3"/>
      <c r="FK1132" s="3">
        <v>1</v>
      </c>
    </row>
    <row r="1133" spans="1:167" x14ac:dyDescent="0.25">
      <c r="A1133" s="5" t="s">
        <v>5989</v>
      </c>
      <c r="B1133" s="15" t="str">
        <f>VLOOKUP(TAB_ENTRADA[[#This Row],[Cod_2_Entrada]],TAB_ESTOQUE[[Codigo]:[Descrição Tecnica]],6,FALSE)</f>
        <v>CILINDRO COMPACTO CURSO 40MM FESTO - REF. ADVU-25-40-P-A / COD 156528</v>
      </c>
      <c r="C1133" s="15">
        <f>IFERROR(VLOOKUP(TAB_ENTRADA[[#This Row],[Cod_2_Entrada]],TAB_ESTOQUE[[Codigo]:[Referência Tec]],7,FALSE),"")</f>
        <v>0</v>
      </c>
      <c r="D1133" s="15" t="str">
        <f>VLOOKUP(TAB_ENTRADA[[#This Row],[Cod_2_Entrada]],TAB_ESTOQUE[[Codigo]:[Endereço2]],12,FALSE)</f>
        <v>C1105</v>
      </c>
      <c r="E1133" s="15">
        <f>SUM(TAB_ENTRADA[[#This Row],[20/05/2019]:[Colunas1]])</f>
        <v>8</v>
      </c>
      <c r="F1133" s="3"/>
      <c r="FK1133" s="3">
        <v>8</v>
      </c>
    </row>
    <row r="1134" spans="1:167" x14ac:dyDescent="0.25">
      <c r="A1134" s="5" t="s">
        <v>5990</v>
      </c>
      <c r="B1134" s="15" t="str">
        <f>VLOOKUP(TAB_ENTRADA[[#This Row],[Cod_2_Entrada]],TAB_ESTOQUE[[Codigo]:[Descrição Tecnica]],6,FALSE)</f>
        <v xml:space="preserve">ROLAMENTO MOD:2208 STB </v>
      </c>
      <c r="C1134" s="15">
        <f>IFERROR(VLOOKUP(TAB_ENTRADA[[#This Row],[Cod_2_Entrada]],TAB_ESTOQUE[[Codigo]:[Referência Tec]],7,FALSE),"")</f>
        <v>0</v>
      </c>
      <c r="D1134" s="15" t="str">
        <f>VLOOKUP(TAB_ENTRADA[[#This Row],[Cod_2_Entrada]],TAB_ESTOQUE[[Codigo]:[Endereço2]],12,FALSE)</f>
        <v>D2106</v>
      </c>
      <c r="E1134" s="15">
        <f>SUM(TAB_ENTRADA[[#This Row],[20/05/2019]:[Colunas1]])</f>
        <v>2</v>
      </c>
      <c r="F1134" s="3"/>
      <c r="FK1134" s="3">
        <v>2</v>
      </c>
    </row>
    <row r="1135" spans="1:167" x14ac:dyDescent="0.25">
      <c r="A1135" s="5" t="s">
        <v>5991</v>
      </c>
      <c r="B1135" s="15" t="str">
        <f>VLOOKUP(TAB_ENTRADA[[#This Row],[Cod_2_Entrada]],TAB_ESTOQUE[[Codigo]:[Descrição Tecnica]],6,FALSE)</f>
        <v>TERMOMETRO 100°C COM ROSCA DE 1/4" HASTE DE 50MM</v>
      </c>
      <c r="C1135" s="15">
        <f>IFERROR(VLOOKUP(TAB_ENTRADA[[#This Row],[Cod_2_Entrada]],TAB_ESTOQUE[[Codigo]:[Referência Tec]],7,FALSE),"")</f>
        <v>0</v>
      </c>
      <c r="D1135" s="15" t="str">
        <f>VLOOKUP(TAB_ENTRADA[[#This Row],[Cod_2_Entrada]],TAB_ESTOQUE[[Codigo]:[Endereço2]],12,FALSE)</f>
        <v>E2404</v>
      </c>
      <c r="E1135" s="15">
        <f>SUM(TAB_ENTRADA[[#This Row],[20/05/2019]:[Colunas1]])</f>
        <v>6</v>
      </c>
      <c r="F1135" s="3"/>
      <c r="FK1135" s="3">
        <v>6</v>
      </c>
    </row>
    <row r="1136" spans="1:167" x14ac:dyDescent="0.25">
      <c r="A1136" s="5" t="s">
        <v>5992</v>
      </c>
      <c r="B1136" s="15" t="str">
        <f>VLOOKUP(TAB_ENTRADA[[#This Row],[Cod_2_Entrada]],TAB_ESTOQUE[[Codigo]:[Descrição Tecnica]],6,FALSE)</f>
        <v>PONTA MONTADA A34</v>
      </c>
      <c r="C1136" s="15">
        <f>IFERROR(VLOOKUP(TAB_ENTRADA[[#This Row],[Cod_2_Entrada]],TAB_ESTOQUE[[Codigo]:[Referência Tec]],7,FALSE),"")</f>
        <v>0</v>
      </c>
      <c r="D1136" s="15" t="str">
        <f>VLOOKUP(TAB_ENTRADA[[#This Row],[Cod_2_Entrada]],TAB_ESTOQUE[[Codigo]:[Endereço2]],12,FALSE)</f>
        <v>E2405</v>
      </c>
      <c r="E1136" s="15">
        <f>SUM(TAB_ENTRADA[[#This Row],[20/05/2019]:[Colunas1]])</f>
        <v>1</v>
      </c>
      <c r="F1136" s="3"/>
      <c r="FK1136" s="3">
        <v>1</v>
      </c>
    </row>
    <row r="1137" spans="1:204" x14ac:dyDescent="0.25">
      <c r="A1137" s="5" t="s">
        <v>5993</v>
      </c>
      <c r="B1137" s="15" t="str">
        <f>VLOOKUP(TAB_ENTRADA[[#This Row],[Cod_2_Entrada]],TAB_ESTOQUE[[Codigo]:[Descrição Tecnica]],6,FALSE)</f>
        <v>ROLAMENTO NATR5PP 300122</v>
      </c>
      <c r="C1137" s="15">
        <f>IFERROR(VLOOKUP(TAB_ENTRADA[[#This Row],[Cod_2_Entrada]],TAB_ESTOQUE[[Codigo]:[Referência Tec]],7,FALSE),"")</f>
        <v>0</v>
      </c>
      <c r="D1137" s="15" t="str">
        <f>VLOOKUP(TAB_ENTRADA[[#This Row],[Cod_2_Entrada]],TAB_ESTOQUE[[Codigo]:[Endereço2]],12,FALSE)</f>
        <v>D1105</v>
      </c>
      <c r="E1137" s="15">
        <f>SUM(TAB_ENTRADA[[#This Row],[20/05/2019]:[Colunas1]])</f>
        <v>7</v>
      </c>
      <c r="F1137" s="3"/>
      <c r="FK1137" s="3">
        <v>1</v>
      </c>
      <c r="GV1137" s="3">
        <v>6</v>
      </c>
    </row>
    <row r="1138" spans="1:204" x14ac:dyDescent="0.25">
      <c r="A1138" s="5" t="s">
        <v>5994</v>
      </c>
      <c r="B1138" s="15" t="str">
        <f>VLOOKUP(TAB_ENTRADA[[#This Row],[Cod_2_Entrada]],TAB_ESTOQUE[[Codigo]:[Descrição Tecnica]],6,FALSE)</f>
        <v xml:space="preserve">ELEMENTO FILTRANTE SHB-0965 HIDRAULICO R 1" X 12 UNF </v>
      </c>
      <c r="C1138" s="15">
        <f>IFERROR(VLOOKUP(TAB_ENTRADA[[#This Row],[Cod_2_Entrada]],TAB_ESTOQUE[[Codigo]:[Referência Tec]],7,FALSE),"")</f>
        <v>0</v>
      </c>
      <c r="D1138" s="15" t="str">
        <f>VLOOKUP(TAB_ENTRADA[[#This Row],[Cod_2_Entrada]],TAB_ESTOQUE[[Codigo]:[Endereço2]],12,FALSE)</f>
        <v>C1404</v>
      </c>
      <c r="E1138" s="15">
        <f>SUM(TAB_ENTRADA[[#This Row],[20/05/2019]:[Colunas1]])</f>
        <v>1</v>
      </c>
      <c r="F1138" s="3"/>
      <c r="FK1138" s="3">
        <v>1</v>
      </c>
    </row>
    <row r="1139" spans="1:204" x14ac:dyDescent="0.25">
      <c r="A1139" s="5" t="s">
        <v>5995</v>
      </c>
      <c r="B1139" s="15" t="str">
        <f>VLOOKUP(TAB_ENTRADA[[#This Row],[Cod_2_Entrada]],TAB_ESTOQUE[[Codigo]:[Descrição Tecnica]],6,FALSE)</f>
        <v>RETENTOR 17X35X10X2</v>
      </c>
      <c r="C1139" s="15">
        <f>IFERROR(VLOOKUP(TAB_ENTRADA[[#This Row],[Cod_2_Entrada]],TAB_ESTOQUE[[Codigo]:[Referência Tec]],7,FALSE),"")</f>
        <v>0</v>
      </c>
      <c r="D1139" s="15" t="str">
        <f>VLOOKUP(TAB_ENTRADA[[#This Row],[Cod_2_Entrada]],TAB_ESTOQUE[[Codigo]:[Endereço2]],12,FALSE)</f>
        <v>E1204</v>
      </c>
      <c r="E1139" s="15">
        <f>SUM(TAB_ENTRADA[[#This Row],[20/05/2019]:[Colunas1]])</f>
        <v>5</v>
      </c>
      <c r="F1139" s="3"/>
      <c r="FK1139" s="3">
        <v>5</v>
      </c>
    </row>
    <row r="1140" spans="1:204" x14ac:dyDescent="0.25">
      <c r="A1140" s="5" t="s">
        <v>5996</v>
      </c>
      <c r="B1140" s="15" t="str">
        <f>VLOOKUP(TAB_ENTRADA[[#This Row],[Cod_2_Entrada]],TAB_ESTOQUE[[Codigo]:[Descrição Tecnica]],6,FALSE)</f>
        <v>QUAD RING 88X32,5X1,5</v>
      </c>
      <c r="C1140" s="15">
        <f>IFERROR(VLOOKUP(TAB_ENTRADA[[#This Row],[Cod_2_Entrada]],TAB_ESTOQUE[[Codigo]:[Referência Tec]],7,FALSE),"")</f>
        <v>0</v>
      </c>
      <c r="D1140" s="15" t="str">
        <f>VLOOKUP(TAB_ENTRADA[[#This Row],[Cod_2_Entrada]],TAB_ESTOQUE[[Codigo]:[Endereço2]],12,FALSE)</f>
        <v>E1304</v>
      </c>
      <c r="E1140" s="15">
        <f>SUM(TAB_ENTRADA[[#This Row],[20/05/2019]:[Colunas1]])</f>
        <v>2</v>
      </c>
      <c r="F1140" s="3"/>
      <c r="FK1140" s="3">
        <v>2</v>
      </c>
    </row>
    <row r="1141" spans="1:204" x14ac:dyDescent="0.25">
      <c r="A1141" s="5" t="s">
        <v>5997</v>
      </c>
      <c r="B1141" s="15" t="str">
        <f>VLOOKUP(TAB_ENTRADA[[#This Row],[Cod_2_Entrada]],TAB_ESTOQUE[[Codigo]:[Descrição Tecnica]],6,FALSE)</f>
        <v>QUAD RING 102X95X1,20</v>
      </c>
      <c r="C1141" s="15">
        <f>IFERROR(VLOOKUP(TAB_ENTRADA[[#This Row],[Cod_2_Entrada]],TAB_ESTOQUE[[Codigo]:[Referência Tec]],7,FALSE),"")</f>
        <v>0</v>
      </c>
      <c r="D1141" s="15" t="str">
        <f>VLOOKUP(TAB_ENTRADA[[#This Row],[Cod_2_Entrada]],TAB_ESTOQUE[[Codigo]:[Endereço2]],12,FALSE)</f>
        <v>E1304</v>
      </c>
      <c r="E1141" s="15">
        <f>SUM(TAB_ENTRADA[[#This Row],[20/05/2019]:[Colunas1]])</f>
        <v>12</v>
      </c>
      <c r="F1141" s="3"/>
      <c r="FK1141" s="3">
        <v>12</v>
      </c>
    </row>
    <row r="1142" spans="1:204" x14ac:dyDescent="0.25">
      <c r="A1142" s="5" t="s">
        <v>5998</v>
      </c>
      <c r="B1142" s="15" t="str">
        <f>VLOOKUP(TAB_ENTRADA[[#This Row],[Cod_2_Entrada]],TAB_ESTOQUE[[Codigo]:[Descrição Tecnica]],6,FALSE)</f>
        <v>CORDAO DE BORRACHA 6MM</v>
      </c>
      <c r="C1142" s="15">
        <f>IFERROR(VLOOKUP(TAB_ENTRADA[[#This Row],[Cod_2_Entrada]],TAB_ESTOQUE[[Codigo]:[Referência Tec]],7,FALSE),"")</f>
        <v>0</v>
      </c>
      <c r="D1142" s="15" t="str">
        <f>VLOOKUP(TAB_ENTRADA[[#This Row],[Cod_2_Entrada]],TAB_ESTOQUE[[Codigo]:[Endereço2]],12,FALSE)</f>
        <v>E1306</v>
      </c>
      <c r="E1142" s="15">
        <f>SUM(TAB_ENTRADA[[#This Row],[20/05/2019]:[Colunas1]])</f>
        <v>2</v>
      </c>
      <c r="F1142" s="3"/>
      <c r="FK1142" s="3">
        <v>2</v>
      </c>
    </row>
    <row r="1143" spans="1:204" x14ac:dyDescent="0.25">
      <c r="A1143" s="5" t="s">
        <v>5999</v>
      </c>
      <c r="B1143" s="15" t="str">
        <f>VLOOKUP(TAB_ENTRADA[[#This Row],[Cod_2_Entrada]],TAB_ESTOQUE[[Codigo]:[Descrição Tecnica]],6,FALSE)</f>
        <v>CORDAO DE BORRACHA 4MM</v>
      </c>
      <c r="C1143" s="15">
        <f>IFERROR(VLOOKUP(TAB_ENTRADA[[#This Row],[Cod_2_Entrada]],TAB_ESTOQUE[[Codigo]:[Referência Tec]],7,FALSE),"")</f>
        <v>0</v>
      </c>
      <c r="D1143" s="15" t="str">
        <f>VLOOKUP(TAB_ENTRADA[[#This Row],[Cod_2_Entrada]],TAB_ESTOQUE[[Codigo]:[Endereço2]],12,FALSE)</f>
        <v>E1306</v>
      </c>
      <c r="E1143" s="15">
        <f>SUM(TAB_ENTRADA[[#This Row],[20/05/2019]:[Colunas1]])</f>
        <v>4</v>
      </c>
      <c r="F1143" s="3"/>
      <c r="FK1143" s="3">
        <v>4</v>
      </c>
    </row>
    <row r="1144" spans="1:204" x14ac:dyDescent="0.25">
      <c r="A1144" s="5" t="s">
        <v>6000</v>
      </c>
      <c r="B1144" s="15" t="str">
        <f>VLOOKUP(TAB_ENTRADA[[#This Row],[Cod_2_Entrada]],TAB_ESTOQUE[[Codigo]:[Descrição Tecnica]],6,FALSE)</f>
        <v>ROLAMENTO LINEAR 411N30F0 (THOMSON)</v>
      </c>
      <c r="C1144" s="15">
        <f>IFERROR(VLOOKUP(TAB_ENTRADA[[#This Row],[Cod_2_Entrada]],TAB_ESTOQUE[[Codigo]:[Referência Tec]],7,FALSE),"")</f>
        <v>0</v>
      </c>
      <c r="D1144" s="15" t="str">
        <f>VLOOKUP(TAB_ENTRADA[[#This Row],[Cod_2_Entrada]],TAB_ESTOQUE[[Codigo]:[Endereço2]],12,FALSE)</f>
        <v>D1106</v>
      </c>
      <c r="E1144" s="15">
        <f>SUM(TAB_ENTRADA[[#This Row],[20/05/2019]:[Colunas1]])</f>
        <v>10</v>
      </c>
      <c r="F1144" s="3"/>
      <c r="FK1144" s="3">
        <v>0</v>
      </c>
      <c r="FQ1144" s="3">
        <v>2</v>
      </c>
      <c r="GU1144" s="3">
        <v>8</v>
      </c>
    </row>
    <row r="1145" spans="1:204" x14ac:dyDescent="0.25">
      <c r="A1145" s="5" t="s">
        <v>6001</v>
      </c>
      <c r="B1145" s="15" t="str">
        <f>VLOOKUP(TAB_ENTRADA[[#This Row],[Cod_2_Entrada]],TAB_ESTOQUE[[Codigo]:[Descrição Tecnica]],6,FALSE)</f>
        <v>CONEXÃO PNEUMÁTICA TIPO T 4mm X 4 mm</v>
      </c>
      <c r="C1145" s="15">
        <f>IFERROR(VLOOKUP(TAB_ENTRADA[[#This Row],[Cod_2_Entrada]],TAB_ESTOQUE[[Codigo]:[Referência Tec]],7,FALSE),"")</f>
        <v>0</v>
      </c>
      <c r="D1145" s="15" t="str">
        <f>VLOOKUP(TAB_ENTRADA[[#This Row],[Cod_2_Entrada]],TAB_ESTOQUE[[Codigo]:[Endereço2]],12,FALSE)</f>
        <v>C1302</v>
      </c>
      <c r="E1145" s="15">
        <f>SUM(TAB_ENTRADA[[#This Row],[20/05/2019]:[Colunas1]])</f>
        <v>20</v>
      </c>
      <c r="F1145" s="3"/>
      <c r="FK1145" s="3">
        <v>20</v>
      </c>
    </row>
    <row r="1146" spans="1:204" x14ac:dyDescent="0.25">
      <c r="A1146" s="5" t="s">
        <v>6002</v>
      </c>
      <c r="B1146" s="15" t="str">
        <f>VLOOKUP(TAB_ENTRADA[[#This Row],[Cod_2_Entrada]],TAB_ESTOQUE[[Codigo]:[Descrição Tecnica]],6,FALSE)</f>
        <v>CONEXÃO PNEUMÁTICA 4mm COM ROSCA 3/4"</v>
      </c>
      <c r="C1146" s="15">
        <f>IFERROR(VLOOKUP(TAB_ENTRADA[[#This Row],[Cod_2_Entrada]],TAB_ESTOQUE[[Codigo]:[Referência Tec]],7,FALSE),"")</f>
        <v>0</v>
      </c>
      <c r="D1146" s="15" t="str">
        <f>VLOOKUP(TAB_ENTRADA[[#This Row],[Cod_2_Entrada]],TAB_ESTOQUE[[Codigo]:[Endereço2]],12,FALSE)</f>
        <v>C1304</v>
      </c>
      <c r="E1146" s="15">
        <f>SUM(TAB_ENTRADA[[#This Row],[20/05/2019]:[Colunas1]])</f>
        <v>18</v>
      </c>
      <c r="F1146" s="3"/>
      <c r="FK1146" s="3">
        <v>18</v>
      </c>
    </row>
    <row r="1147" spans="1:204" x14ac:dyDescent="0.25">
      <c r="A1147" s="5" t="s">
        <v>6003</v>
      </c>
      <c r="B1147" s="15" t="str">
        <f>VLOOKUP(TAB_ENTRADA[[#This Row],[Cod_2_Entrada]],TAB_ESTOQUE[[Codigo]:[Descrição Tecnica]],6,FALSE)</f>
        <v>CONEXÃO PNEUMÁTICA 90° 10mm</v>
      </c>
      <c r="C1147" s="15">
        <f>IFERROR(VLOOKUP(TAB_ENTRADA[[#This Row],[Cod_2_Entrada]],TAB_ESTOQUE[[Codigo]:[Referência Tec]],7,FALSE),"")</f>
        <v>0</v>
      </c>
      <c r="D1147" s="15" t="str">
        <f>VLOOKUP(TAB_ENTRADA[[#This Row],[Cod_2_Entrada]],TAB_ESTOQUE[[Codigo]:[Endereço2]],12,FALSE)</f>
        <v>C1302</v>
      </c>
      <c r="E1147" s="15">
        <f>SUM(TAB_ENTRADA[[#This Row],[20/05/2019]:[Colunas1]])</f>
        <v>20</v>
      </c>
      <c r="F1147" s="3"/>
      <c r="FK1147" s="3">
        <v>20</v>
      </c>
    </row>
    <row r="1148" spans="1:204" x14ac:dyDescent="0.25">
      <c r="A1148" s="5" t="s">
        <v>6004</v>
      </c>
      <c r="B1148" s="15" t="str">
        <f>VLOOKUP(TAB_ENTRADA[[#This Row],[Cod_2_Entrada]],TAB_ESTOQUE[[Codigo]:[Descrição Tecnica]],6,FALSE)</f>
        <v xml:space="preserve">CONEXÃO PNEUMÁTICA 90° 4mm </v>
      </c>
      <c r="C1148" s="15">
        <f>IFERROR(VLOOKUP(TAB_ENTRADA[[#This Row],[Cod_2_Entrada]],TAB_ESTOQUE[[Codigo]:[Referência Tec]],7,FALSE),"")</f>
        <v>0</v>
      </c>
      <c r="D1148" s="15" t="str">
        <f>VLOOKUP(TAB_ENTRADA[[#This Row],[Cod_2_Entrada]],TAB_ESTOQUE[[Codigo]:[Endereço2]],12,FALSE)</f>
        <v>C1302</v>
      </c>
      <c r="E1148" s="15">
        <f>SUM(TAB_ENTRADA[[#This Row],[20/05/2019]:[Colunas1]])</f>
        <v>0</v>
      </c>
      <c r="F1148" s="3"/>
      <c r="FK1148" s="3">
        <v>0</v>
      </c>
    </row>
    <row r="1149" spans="1:204" x14ac:dyDescent="0.25">
      <c r="A1149" s="5" t="s">
        <v>6005</v>
      </c>
      <c r="B1149" s="15" t="str">
        <f>VLOOKUP(TAB_ENTRADA[[#This Row],[Cod_2_Entrada]],TAB_ESTOQUE[[Codigo]:[Descrição Tecnica]],6,FALSE)</f>
        <v>CONEXÃO PNEUMÁTICA 12mm COM ROSCA 1/8"</v>
      </c>
      <c r="C1149" s="15">
        <f>IFERROR(VLOOKUP(TAB_ENTRADA[[#This Row],[Cod_2_Entrada]],TAB_ESTOQUE[[Codigo]:[Referência Tec]],7,FALSE),"")</f>
        <v>0</v>
      </c>
      <c r="D1149" s="15" t="str">
        <f>VLOOKUP(TAB_ENTRADA[[#This Row],[Cod_2_Entrada]],TAB_ESTOQUE[[Codigo]:[Endereço2]],12,FALSE)</f>
        <v>C1305</v>
      </c>
      <c r="E1149" s="15">
        <f>SUM(TAB_ENTRADA[[#This Row],[20/05/2019]:[Colunas1]])</f>
        <v>0</v>
      </c>
      <c r="F1149" s="3"/>
      <c r="FK1149" s="3">
        <v>0</v>
      </c>
    </row>
    <row r="1150" spans="1:204" x14ac:dyDescent="0.25">
      <c r="A1150" s="5" t="s">
        <v>6006</v>
      </c>
      <c r="B1150" s="15" t="str">
        <f>VLOOKUP(TAB_ENTRADA[[#This Row],[Cod_2_Entrada]],TAB_ESTOQUE[[Codigo]:[Descrição Tecnica]],6,FALSE)</f>
        <v>MANOMETRO ROSCA VERTICAL 1/8"NPT  400 BAR COM GLICERINA</v>
      </c>
      <c r="C1150" s="15">
        <f>IFERROR(VLOOKUP(TAB_ENTRADA[[#This Row],[Cod_2_Entrada]],TAB_ESTOQUE[[Codigo]:[Referência Tec]],7,FALSE),"")</f>
        <v>0</v>
      </c>
      <c r="D1150" s="15" t="str">
        <f>VLOOKUP(TAB_ENTRADA[[#This Row],[Cod_2_Entrada]],TAB_ESTOQUE[[Codigo]:[Endereço2]],12,FALSE)</f>
        <v>E2405</v>
      </c>
      <c r="E1150" s="15">
        <f>SUM(TAB_ENTRADA[[#This Row],[20/05/2019]:[Colunas1]])</f>
        <v>0</v>
      </c>
      <c r="F1150" s="3"/>
      <c r="FK1150" s="3">
        <v>0</v>
      </c>
    </row>
    <row r="1151" spans="1:204" x14ac:dyDescent="0.25">
      <c r="A1151" s="5" t="s">
        <v>6007</v>
      </c>
      <c r="B1151" s="15" t="str">
        <f>VLOOKUP(TAB_ENTRADA[[#This Row],[Cod_2_Entrada]],TAB_ESTOQUE[[Codigo]:[Descrição Tecnica]],6,FALSE)</f>
        <v>ROLAMENTO UC 210 HT2 V22</v>
      </c>
      <c r="C1151" s="15">
        <f>IFERROR(VLOOKUP(TAB_ENTRADA[[#This Row],[Cod_2_Entrada]],TAB_ESTOQUE[[Codigo]:[Referência Tec]],7,FALSE),"")</f>
        <v>0</v>
      </c>
      <c r="D1151" s="15" t="str">
        <f>VLOOKUP(TAB_ENTRADA[[#This Row],[Cod_2_Entrada]],TAB_ESTOQUE[[Codigo]:[Endereço2]],12,FALSE)</f>
        <v>D1105</v>
      </c>
      <c r="E1151" s="15">
        <f>SUM(TAB_ENTRADA[[#This Row],[20/05/2019]:[Colunas1]])</f>
        <v>3</v>
      </c>
      <c r="F1151" s="3"/>
      <c r="FK1151" s="3">
        <v>3</v>
      </c>
    </row>
    <row r="1152" spans="1:204" x14ac:dyDescent="0.25">
      <c r="A1152" s="5" t="s">
        <v>6008</v>
      </c>
      <c r="B1152" s="15" t="str">
        <f>VLOOKUP(TAB_ENTRADA[[#This Row],[Cod_2_Entrada]],TAB_ESTOQUE[[Codigo]:[Descrição Tecnica]],6,FALSE)</f>
        <v>LUMINARIA LED 500W IP66 45000 LED</v>
      </c>
      <c r="C1152" s="15">
        <f>IFERROR(VLOOKUP(TAB_ENTRADA[[#This Row],[Cod_2_Entrada]],TAB_ESTOQUE[[Codigo]:[Referência Tec]],7,FALSE),"")</f>
        <v>0</v>
      </c>
      <c r="D1152" s="15" t="str">
        <f>VLOOKUP(TAB_ENTRADA[[#This Row],[Cod_2_Entrada]],TAB_ESTOQUE[[Codigo]:[Endereço2]],12,FALSE)</f>
        <v>B1102</v>
      </c>
      <c r="E1152" s="15">
        <f>SUM(TAB_ENTRADA[[#This Row],[20/05/2019]:[Colunas1]])</f>
        <v>2</v>
      </c>
      <c r="F1152" s="3"/>
      <c r="FK1152" s="3">
        <v>2</v>
      </c>
    </row>
    <row r="1153" spans="1:209" x14ac:dyDescent="0.25">
      <c r="A1153" s="5" t="s">
        <v>6009</v>
      </c>
      <c r="B1153" s="15" t="str">
        <f>VLOOKUP(TAB_ENTRADA[[#This Row],[Cod_2_Entrada]],TAB_ESTOQUE[[Codigo]:[Descrição Tecnica]],6,FALSE)</f>
        <v>FILTRO DE VACOU 3/4 ASSEMBLY MOD: 3116652 (PPSF.75-X35) PIAB</v>
      </c>
      <c r="C1153" s="15">
        <f>IFERROR(VLOOKUP(TAB_ENTRADA[[#This Row],[Cod_2_Entrada]],TAB_ESTOQUE[[Codigo]:[Referência Tec]],7,FALSE),"")</f>
        <v>0</v>
      </c>
      <c r="D1153" s="15" t="str">
        <f>VLOOKUP(TAB_ENTRADA[[#This Row],[Cod_2_Entrada]],TAB_ESTOQUE[[Codigo]:[Endereço2]],12,FALSE)</f>
        <v>C1402</v>
      </c>
      <c r="E1153" s="15">
        <f>SUM(TAB_ENTRADA[[#This Row],[20/05/2019]:[Colunas1]])</f>
        <v>1</v>
      </c>
      <c r="F1153" s="3"/>
      <c r="FK1153" s="3">
        <v>1</v>
      </c>
    </row>
    <row r="1154" spans="1:209" x14ac:dyDescent="0.25">
      <c r="A1154" s="5" t="s">
        <v>6010</v>
      </c>
      <c r="B1154" s="15" t="str">
        <f>VLOOKUP(TAB_ENTRADA[[#This Row],[Cod_2_Entrada]],TAB_ESTOQUE[[Codigo]:[Descrição Tecnica]],6,FALSE)</f>
        <v>ELEMENTO DO FILTRO ASSEMBLY MOD: 3116674 PIAB</v>
      </c>
      <c r="C1154" s="15">
        <f>IFERROR(VLOOKUP(TAB_ENTRADA[[#This Row],[Cod_2_Entrada]],TAB_ESTOQUE[[Codigo]:[Referência Tec]],7,FALSE),"")</f>
        <v>0</v>
      </c>
      <c r="D1154" s="15" t="str">
        <f>VLOOKUP(TAB_ENTRADA[[#This Row],[Cod_2_Entrada]],TAB_ESTOQUE[[Codigo]:[Endereço2]],12,FALSE)</f>
        <v>C1402</v>
      </c>
      <c r="E1154" s="15">
        <f>SUM(TAB_ENTRADA[[#This Row],[20/05/2019]:[Colunas1]])</f>
        <v>1</v>
      </c>
      <c r="F1154" s="3"/>
      <c r="FK1154" s="3">
        <v>1</v>
      </c>
    </row>
    <row r="1155" spans="1:209" x14ac:dyDescent="0.25">
      <c r="A1155" s="5" t="s">
        <v>6011</v>
      </c>
      <c r="B1155" s="15" t="str">
        <f>VLOOKUP(TAB_ENTRADA[[#This Row],[Cod_2_Entrada]],TAB_ESTOQUE[[Codigo]:[Descrição Tecnica]],6,FALSE)</f>
        <v>RETENTOR LATA 33,7X47,6X9</v>
      </c>
      <c r="C1155" s="15">
        <f>IFERROR(VLOOKUP(TAB_ENTRADA[[#This Row],[Cod_2_Entrada]],TAB_ESTOQUE[[Codigo]:[Referência Tec]],7,FALSE),"")</f>
        <v>0</v>
      </c>
      <c r="D1155" s="15" t="str">
        <f>VLOOKUP(TAB_ENTRADA[[#This Row],[Cod_2_Entrada]],TAB_ESTOQUE[[Codigo]:[Endereço2]],12,FALSE)</f>
        <v>E1202</v>
      </c>
      <c r="E1155" s="15">
        <f>SUM(TAB_ENTRADA[[#This Row],[20/05/2019]:[Colunas1]])</f>
        <v>9</v>
      </c>
      <c r="F1155" s="3"/>
      <c r="FK1155" s="3">
        <v>9</v>
      </c>
    </row>
    <row r="1156" spans="1:209" x14ac:dyDescent="0.25">
      <c r="A1156" s="5" t="s">
        <v>6012</v>
      </c>
      <c r="B1156" s="15" t="str">
        <f>VLOOKUP(TAB_ENTRADA[[#This Row],[Cod_2_Entrada]],TAB_ESTOQUE[[Codigo]:[Descrição Tecnica]],6,FALSE)</f>
        <v>RETENTOR 20X32X7</v>
      </c>
      <c r="C1156" s="15">
        <f>IFERROR(VLOOKUP(TAB_ENTRADA[[#This Row],[Cod_2_Entrada]],TAB_ESTOQUE[[Codigo]:[Referência Tec]],7,FALSE),"")</f>
        <v>0</v>
      </c>
      <c r="D1156" s="15" t="str">
        <f>VLOOKUP(TAB_ENTRADA[[#This Row],[Cod_2_Entrada]],TAB_ESTOQUE[[Codigo]:[Endereço2]],12,FALSE)</f>
        <v>E1203</v>
      </c>
      <c r="E1156" s="15">
        <f>SUM(TAB_ENTRADA[[#This Row],[20/05/2019]:[Colunas1]])</f>
        <v>9</v>
      </c>
      <c r="F1156" s="3"/>
      <c r="FK1156" s="3">
        <v>9</v>
      </c>
    </row>
    <row r="1157" spans="1:209" x14ac:dyDescent="0.25">
      <c r="A1157" s="5" t="s">
        <v>6013</v>
      </c>
      <c r="B1157" s="15" t="str">
        <f>VLOOKUP(TAB_ENTRADA[[#This Row],[Cod_2_Entrada]],TAB_ESTOQUE[[Codigo]:[Descrição Tecnica]],6,FALSE)</f>
        <v>RETENTOR 30X42X5</v>
      </c>
      <c r="C1157" s="15">
        <f>IFERROR(VLOOKUP(TAB_ENTRADA[[#This Row],[Cod_2_Entrada]],TAB_ESTOQUE[[Codigo]:[Referência Tec]],7,FALSE),"")</f>
        <v>0</v>
      </c>
      <c r="D1157" s="15" t="str">
        <f>VLOOKUP(TAB_ENTRADA[[#This Row],[Cod_2_Entrada]],TAB_ESTOQUE[[Codigo]:[Endereço2]],12,FALSE)</f>
        <v>E1203</v>
      </c>
      <c r="E1157" s="15">
        <f>SUM(TAB_ENTRADA[[#This Row],[20/05/2019]:[Colunas1]])</f>
        <v>20</v>
      </c>
      <c r="F1157" s="3"/>
      <c r="FK1157" s="3">
        <v>20</v>
      </c>
    </row>
    <row r="1158" spans="1:209" x14ac:dyDescent="0.25">
      <c r="A1158" s="5" t="s">
        <v>6024</v>
      </c>
      <c r="B1158" s="15" t="str">
        <f>VLOOKUP(TAB_ENTRADA[[#This Row],[Cod_2_Entrada]],TAB_ESTOQUE[[Codigo]:[Descrição Tecnica]],6,FALSE)</f>
        <v>RETENTOR 25X46X7</v>
      </c>
      <c r="C1158" s="15">
        <f>IFERROR(VLOOKUP(TAB_ENTRADA[[#This Row],[Cod_2_Entrada]],TAB_ESTOQUE[[Codigo]:[Referência Tec]],7,FALSE),"")</f>
        <v>0</v>
      </c>
      <c r="D1158" s="15" t="str">
        <f>VLOOKUP(TAB_ENTRADA[[#This Row],[Cod_2_Entrada]],TAB_ESTOQUE[[Codigo]:[Endereço2]],12,FALSE)</f>
        <v>E1203</v>
      </c>
      <c r="E1158" s="15">
        <f>SUM(TAB_ENTRADA[[#This Row],[20/05/2019]:[Colunas1]])</f>
        <v>9</v>
      </c>
      <c r="F1158" s="3"/>
      <c r="FK1158" s="3">
        <v>9</v>
      </c>
    </row>
    <row r="1159" spans="1:209" x14ac:dyDescent="0.25">
      <c r="A1159" s="5" t="s">
        <v>6025</v>
      </c>
      <c r="B1159" s="15" t="str">
        <f>VLOOKUP(TAB_ENTRADA[[#This Row],[Cod_2_Entrada]],TAB_ESTOQUE[[Codigo]:[Descrição Tecnica]],6,FALSE)</f>
        <v>CORDAO DE BORRACHA 3,8MM</v>
      </c>
      <c r="C1159" s="15">
        <f>IFERROR(VLOOKUP(TAB_ENTRADA[[#This Row],[Cod_2_Entrada]],TAB_ESTOQUE[[Codigo]:[Referência Tec]],7,FALSE),"")</f>
        <v>0</v>
      </c>
      <c r="D1159" s="15" t="str">
        <f>VLOOKUP(TAB_ENTRADA[[#This Row],[Cod_2_Entrada]],TAB_ESTOQUE[[Codigo]:[Endereço2]],12,FALSE)</f>
        <v>E1306</v>
      </c>
      <c r="E1159" s="15">
        <f>SUM(TAB_ENTRADA[[#This Row],[20/05/2019]:[Colunas1]])</f>
        <v>3</v>
      </c>
      <c r="F1159" s="3"/>
      <c r="FK1159" s="3">
        <v>3</v>
      </c>
    </row>
    <row r="1160" spans="1:209" x14ac:dyDescent="0.25">
      <c r="A1160" s="5" t="s">
        <v>6026</v>
      </c>
      <c r="B1160" s="15" t="str">
        <f>VLOOKUP(TAB_ENTRADA[[#This Row],[Cod_2_Entrada]],TAB_ESTOQUE[[Codigo]:[Descrição Tecnica]],6,FALSE)</f>
        <v>CORDAO DE BORRACHA 7MM</v>
      </c>
      <c r="C1160" s="15">
        <f>IFERROR(VLOOKUP(TAB_ENTRADA[[#This Row],[Cod_2_Entrada]],TAB_ESTOQUE[[Codigo]:[Referência Tec]],7,FALSE),"")</f>
        <v>0</v>
      </c>
      <c r="D1160" s="15" t="str">
        <f>VLOOKUP(TAB_ENTRADA[[#This Row],[Cod_2_Entrada]],TAB_ESTOQUE[[Codigo]:[Endereço2]],12,FALSE)</f>
        <v>E1306</v>
      </c>
      <c r="E1160" s="15">
        <f>SUM(TAB_ENTRADA[[#This Row],[20/05/2019]:[Colunas1]])</f>
        <v>2</v>
      </c>
      <c r="F1160" s="3"/>
      <c r="FK1160" s="3">
        <v>2</v>
      </c>
    </row>
    <row r="1161" spans="1:209" x14ac:dyDescent="0.25">
      <c r="A1161" s="5" t="s">
        <v>6031</v>
      </c>
      <c r="B1161" s="15" t="str">
        <f>VLOOKUP(TAB_ENTRADA[[#This Row],[Cod_2_Entrada]],TAB_ESTOQUE[[Codigo]:[Descrição Tecnica]],6,FALSE)</f>
        <v>CORDAO DE BORRACHA 3MM</v>
      </c>
      <c r="C1161" s="15">
        <f>IFERROR(VLOOKUP(TAB_ENTRADA[[#This Row],[Cod_2_Entrada]],TAB_ESTOQUE[[Codigo]:[Referência Tec]],7,FALSE),"")</f>
        <v>0</v>
      </c>
      <c r="D1161" s="15" t="str">
        <f>VLOOKUP(TAB_ENTRADA[[#This Row],[Cod_2_Entrada]],TAB_ESTOQUE[[Codigo]:[Endereço2]],12,FALSE)</f>
        <v>E1306</v>
      </c>
      <c r="E1161" s="15">
        <f>SUM(TAB_ENTRADA[[#This Row],[20/05/2019]:[Colunas1]])</f>
        <v>2</v>
      </c>
      <c r="F1161" s="3"/>
      <c r="FK1161" s="3">
        <v>2</v>
      </c>
    </row>
    <row r="1162" spans="1:209" x14ac:dyDescent="0.25">
      <c r="A1162" s="5" t="s">
        <v>6037</v>
      </c>
      <c r="B1162" s="15" t="str">
        <f>VLOOKUP(TAB_ENTRADA[[#This Row],[Cod_2_Entrada]],TAB_ESTOQUE[[Codigo]:[Descrição Tecnica]],6,FALSE)</f>
        <v>ROLAMENTO NUP 306 EWL3</v>
      </c>
      <c r="C1162" s="15">
        <f>IFERROR(VLOOKUP(TAB_ENTRADA[[#This Row],[Cod_2_Entrada]],TAB_ESTOQUE[[Codigo]:[Referência Tec]],7,FALSE),"")</f>
        <v>0</v>
      </c>
      <c r="D1162" s="15" t="str">
        <f>VLOOKUP(TAB_ENTRADA[[#This Row],[Cod_2_Entrada]],TAB_ESTOQUE[[Codigo]:[Endereço2]],12,FALSE)</f>
        <v>D2104</v>
      </c>
      <c r="E1162" s="15">
        <f>SUM(TAB_ENTRADA[[#This Row],[20/05/2019]:[Colunas1]])</f>
        <v>2</v>
      </c>
      <c r="F1162" s="3"/>
      <c r="FK1162" s="3">
        <v>2</v>
      </c>
    </row>
    <row r="1163" spans="1:209" x14ac:dyDescent="0.25">
      <c r="A1163" s="5" t="s">
        <v>6039</v>
      </c>
      <c r="B1163" s="15" t="str">
        <f>VLOOKUP(TAB_ENTRADA[[#This Row],[Cod_2_Entrada]],TAB_ESTOQUE[[Codigo]:[Descrição Tecnica]],6,FALSE)</f>
        <v>DISJUNTOR MOTOR STECK SLS2252C - 3P 25A 20-25A</v>
      </c>
      <c r="C1163" s="15">
        <f>IFERROR(VLOOKUP(TAB_ENTRADA[[#This Row],[Cod_2_Entrada]],TAB_ESTOQUE[[Codigo]:[Referência Tec]],7,FALSE),"")</f>
        <v>0</v>
      </c>
      <c r="D1163" s="15" t="str">
        <f>VLOOKUP(TAB_ENTRADA[[#This Row],[Cod_2_Entrada]],TAB_ESTOQUE[[Codigo]:[Endereço2]],12,FALSE)</f>
        <v>A2405</v>
      </c>
      <c r="E1163" s="15">
        <f>SUM(TAB_ENTRADA[[#This Row],[20/05/2019]:[Colunas1]])</f>
        <v>6</v>
      </c>
      <c r="F1163" s="3"/>
      <c r="FK1163" s="3">
        <v>6</v>
      </c>
    </row>
    <row r="1164" spans="1:209" x14ac:dyDescent="0.25">
      <c r="A1164" s="5" t="s">
        <v>6042</v>
      </c>
      <c r="B1164" s="15" t="str">
        <f>VLOOKUP(TAB_ENTRADA[[#This Row],[Cod_2_Entrada]],TAB_ESTOQUE[[Codigo]:[Descrição Tecnica]],6,FALSE)</f>
        <v>VALVULA HIDRAULICA REXROTH REF: DR 6 DP2-53/75YM</v>
      </c>
      <c r="C1164" s="15">
        <f>IFERROR(VLOOKUP(TAB_ENTRADA[[#This Row],[Cod_2_Entrada]],TAB_ESTOQUE[[Codigo]:[Referência Tec]],7,FALSE),"")</f>
        <v>0</v>
      </c>
      <c r="D1164" s="15" t="str">
        <f>VLOOKUP(TAB_ENTRADA[[#This Row],[Cod_2_Entrada]],TAB_ESTOQUE[[Codigo]:[Endereço2]],12,FALSE)</f>
        <v>C2104</v>
      </c>
      <c r="E1164" s="15">
        <f>SUM(TAB_ENTRADA[[#This Row],[20/05/2019]:[Colunas1]])</f>
        <v>2</v>
      </c>
      <c r="F1164" s="3"/>
      <c r="FK1164" s="3">
        <v>2</v>
      </c>
    </row>
    <row r="1165" spans="1:209" x14ac:dyDescent="0.25">
      <c r="A1165" s="5" t="s">
        <v>6065</v>
      </c>
      <c r="B1165" s="15" t="str">
        <f>VLOOKUP(TAB_ENTRADA[[#This Row],[Cod_2_Entrada]],TAB_ESTOQUE[[Codigo]:[Descrição Tecnica]],6,FALSE)</f>
        <v xml:space="preserve">VALVULA PNEUMATICA PARA OLEO TERMICO </v>
      </c>
      <c r="C1165" s="15">
        <f>IFERROR(VLOOKUP(TAB_ENTRADA[[#This Row],[Cod_2_Entrada]],TAB_ESTOQUE[[Codigo]:[Referência Tec]],7,FALSE),"")</f>
        <v>0</v>
      </c>
      <c r="D1165" s="15" t="str">
        <f>VLOOKUP(TAB_ENTRADA[[#This Row],[Cod_2_Entrada]],TAB_ESTOQUE[[Codigo]:[Endereço2]],12,FALSE)</f>
        <v>C2206</v>
      </c>
      <c r="E1165" s="15">
        <f>SUM(TAB_ENTRADA[[#This Row],[20/05/2019]:[Colunas1]])</f>
        <v>3</v>
      </c>
      <c r="F1165" s="3"/>
      <c r="FK1165" s="3">
        <v>3</v>
      </c>
    </row>
    <row r="1166" spans="1:209" x14ac:dyDescent="0.25">
      <c r="A1166" s="5" t="s">
        <v>6255</v>
      </c>
      <c r="B1166" s="15" t="str">
        <f>VLOOKUP(TAB_ENTRADA[[#This Row],[Cod_2_Entrada]],TAB_ESTOQUE[[Codigo]:[Descrição Tecnica]],6,FALSE)</f>
        <v>ROLAMENTO UC202</v>
      </c>
      <c r="C1166" s="15">
        <f>IFERROR(VLOOKUP(TAB_ENTRADA[[#This Row],[Cod_2_Entrada]],TAB_ESTOQUE[[Codigo]:[Referência Tec]],7,FALSE),"")</f>
        <v>0</v>
      </c>
      <c r="D1166" s="15" t="str">
        <f>VLOOKUP(TAB_ENTRADA[[#This Row],[Cod_2_Entrada]],TAB_ESTOQUE[[Codigo]:[Endereço2]],12,FALSE)</f>
        <v>D2105</v>
      </c>
      <c r="E1166" s="15">
        <f>SUM(TAB_ENTRADA[[#This Row],[20/05/2019]:[Colunas1]])</f>
        <v>5</v>
      </c>
      <c r="F1166" s="3"/>
      <c r="FK1166" s="3">
        <v>5</v>
      </c>
    </row>
    <row r="1167" spans="1:209" x14ac:dyDescent="0.25">
      <c r="A1167" s="5" t="s">
        <v>6256</v>
      </c>
      <c r="B1167" s="15" t="str">
        <f>VLOOKUP(TAB_ENTRADA[[#This Row],[Cod_2_Entrada]],TAB_ESTOQUE[[Codigo]:[Descrição Tecnica]],6,FALSE)</f>
        <v>BITS Nº 2X50mm S2 PH2</v>
      </c>
      <c r="C1167" s="15">
        <f>IFERROR(VLOOKUP(TAB_ENTRADA[[#This Row],[Cod_2_Entrada]],TAB_ESTOQUE[[Codigo]:[Referência Tec]],7,FALSE),"")</f>
        <v>0</v>
      </c>
      <c r="D1167" s="15" t="str">
        <f>VLOOKUP(TAB_ENTRADA[[#This Row],[Cod_2_Entrada]],TAB_ESTOQUE[[Codigo]:[Endereço2]],12,FALSE)</f>
        <v>D1105</v>
      </c>
      <c r="E1167" s="15">
        <f>SUM(TAB_ENTRADA[[#This Row],[20/05/2019]:[Colunas1]])</f>
        <v>22</v>
      </c>
      <c r="F1167" s="3"/>
      <c r="FK1167" s="3">
        <v>3</v>
      </c>
      <c r="GK1167" s="3">
        <v>13</v>
      </c>
      <c r="HA1167" s="3">
        <v>6</v>
      </c>
    </row>
    <row r="1168" spans="1:209" x14ac:dyDescent="0.25">
      <c r="A1168" s="5" t="s">
        <v>6257</v>
      </c>
      <c r="B1168" s="15" t="str">
        <f>VLOOKUP(TAB_ENTRADA[[#This Row],[Cod_2_Entrada]],TAB_ESTOQUE[[Codigo]:[Descrição Tecnica]],6,FALSE)</f>
        <v>BITS T-20</v>
      </c>
      <c r="C1168" s="15">
        <f>IFERROR(VLOOKUP(TAB_ENTRADA[[#This Row],[Cod_2_Entrada]],TAB_ESTOQUE[[Codigo]:[Referência Tec]],7,FALSE),"")</f>
        <v>0</v>
      </c>
      <c r="D1168" s="15" t="str">
        <f>VLOOKUP(TAB_ENTRADA[[#This Row],[Cod_2_Entrada]],TAB_ESTOQUE[[Codigo]:[Endereço2]],12,FALSE)</f>
        <v>D1105</v>
      </c>
      <c r="E1168" s="15">
        <f>SUM(TAB_ENTRADA[[#This Row],[20/05/2019]:[Colunas1]])</f>
        <v>50</v>
      </c>
      <c r="F1168" s="3"/>
      <c r="FK1168" s="3">
        <v>15</v>
      </c>
      <c r="FL1168" s="3">
        <v>6</v>
      </c>
      <c r="GK1168" s="3">
        <v>13</v>
      </c>
      <c r="GZ1168" s="3">
        <v>6</v>
      </c>
      <c r="HA1168" s="3">
        <v>10</v>
      </c>
    </row>
    <row r="1169" spans="1:179" x14ac:dyDescent="0.25">
      <c r="A1169" s="5" t="s">
        <v>6258</v>
      </c>
      <c r="B1169" s="15" t="str">
        <f>VLOOKUP(TAB_ENTRADA[[#This Row],[Cod_2_Entrada]],TAB_ESTOQUE[[Codigo]:[Descrição Tecnica]],6,FALSE)</f>
        <v>SUPORTE PARA O BITS T-20</v>
      </c>
      <c r="C1169" s="15">
        <f>IFERROR(VLOOKUP(TAB_ENTRADA[[#This Row],[Cod_2_Entrada]],TAB_ESTOQUE[[Codigo]:[Referência Tec]],7,FALSE),"")</f>
        <v>0</v>
      </c>
      <c r="D1169" s="15" t="str">
        <f>VLOOKUP(TAB_ENTRADA[[#This Row],[Cod_2_Entrada]],TAB_ESTOQUE[[Codigo]:[Endereço2]],12,FALSE)</f>
        <v>D1105</v>
      </c>
      <c r="E1169" s="15">
        <f>SUM(TAB_ENTRADA[[#This Row],[20/05/2019]:[Colunas1]])</f>
        <v>0</v>
      </c>
      <c r="F1169" s="3"/>
      <c r="FK1169" s="3">
        <v>0</v>
      </c>
    </row>
    <row r="1170" spans="1:179" x14ac:dyDescent="0.25">
      <c r="A1170" s="5" t="s">
        <v>6259</v>
      </c>
      <c r="B1170" s="15" t="str">
        <f>VLOOKUP(TAB_ENTRADA[[#This Row],[Cod_2_Entrada]],TAB_ESTOQUE[[Codigo]:[Descrição Tecnica]],6,FALSE)</f>
        <v xml:space="preserve">REFLETOR LED 100-240V </v>
      </c>
      <c r="C1170" s="15">
        <f>IFERROR(VLOOKUP(TAB_ENTRADA[[#This Row],[Cod_2_Entrada]],TAB_ESTOQUE[[Codigo]:[Referência Tec]],7,FALSE),"")</f>
        <v>0</v>
      </c>
      <c r="D1170" s="15" t="str">
        <f>VLOOKUP(TAB_ENTRADA[[#This Row],[Cod_2_Entrada]],TAB_ESTOQUE[[Codigo]:[Endereço2]],12,FALSE)</f>
        <v>B1102</v>
      </c>
      <c r="E1170" s="15">
        <f>SUM(TAB_ENTRADA[[#This Row],[20/05/2019]:[Colunas1]])</f>
        <v>0</v>
      </c>
      <c r="F1170" s="3"/>
      <c r="FK1170" s="3">
        <v>0</v>
      </c>
    </row>
    <row r="1171" spans="1:179" x14ac:dyDescent="0.25">
      <c r="A1171" s="5" t="s">
        <v>6260</v>
      </c>
      <c r="B1171" s="15" t="str">
        <f>VLOOKUP(TAB_ENTRADA[[#This Row],[Cod_2_Entrada]],TAB_ESTOQUE[[Codigo]:[Descrição Tecnica]],6,FALSE)</f>
        <v>CHAVE SIEMENS 3SE5322-0SD21 IEC/EM 60947-5-1 AC15 240V 3A 1P 66/67</v>
      </c>
      <c r="C1171" s="15">
        <f>IFERROR(VLOOKUP(TAB_ENTRADA[[#This Row],[Cod_2_Entrada]],TAB_ESTOQUE[[Codigo]:[Referência Tec]],7,FALSE),"")</f>
        <v>0</v>
      </c>
      <c r="D1171" s="15" t="str">
        <f>VLOOKUP(TAB_ENTRADA[[#This Row],[Cod_2_Entrada]],TAB_ESTOQUE[[Codigo]:[Endereço2]],12,FALSE)</f>
        <v>B2103</v>
      </c>
      <c r="E1171" s="15">
        <f>SUM(TAB_ENTRADA[[#This Row],[20/05/2019]:[Colunas1]])</f>
        <v>1</v>
      </c>
      <c r="F1171" s="3"/>
      <c r="FK1171" s="3">
        <v>1</v>
      </c>
    </row>
    <row r="1172" spans="1:179" x14ac:dyDescent="0.25">
      <c r="A1172" s="5" t="s">
        <v>6261</v>
      </c>
      <c r="B1172" s="15" t="str">
        <f>VLOOKUP(TAB_ENTRADA[[#This Row],[Cod_2_Entrada]],TAB_ESTOQUE[[Codigo]:[Descrição Tecnica]],6,FALSE)</f>
        <v>CHAVE SICK D-79183 2N/C 1N/O BBM M20 I17-SA213 IDENT. NO. 602567</v>
      </c>
      <c r="C1172" s="15">
        <f>IFERROR(VLOOKUP(TAB_ENTRADA[[#This Row],[Cod_2_Entrada]],TAB_ESTOQUE[[Codigo]:[Referência Tec]],7,FALSE),"")</f>
        <v>0</v>
      </c>
      <c r="D1172" s="15" t="str">
        <f>VLOOKUP(TAB_ENTRADA[[#This Row],[Cod_2_Entrada]],TAB_ESTOQUE[[Codigo]:[Endereço2]],12,FALSE)</f>
        <v>B2103</v>
      </c>
      <c r="E1172" s="15">
        <f>SUM(TAB_ENTRADA[[#This Row],[20/05/2019]:[Colunas1]])</f>
        <v>1</v>
      </c>
      <c r="F1172" s="3"/>
      <c r="FK1172" s="3">
        <v>1</v>
      </c>
    </row>
    <row r="1173" spans="1:179" x14ac:dyDescent="0.25">
      <c r="A1173" s="5" t="s">
        <v>6067</v>
      </c>
      <c r="B1173" s="15" t="str">
        <f>VLOOKUP(TAB_ENTRADA[[#This Row],[Cod_2_Entrada]],TAB_ESTOQUE[[Codigo]:[Descrição Tecnica]],6,FALSE)</f>
        <v xml:space="preserve">PISTOLA AUTOMATICA DE PINTURA PICCOLA MDS 80mm </v>
      </c>
      <c r="C1173" s="15">
        <f>IFERROR(VLOOKUP(TAB_ENTRADA[[#This Row],[Cod_2_Entrada]],TAB_ESTOQUE[[Codigo]:[Referência Tec]],7,FALSE),"")</f>
        <v>0</v>
      </c>
      <c r="D1173" s="15" t="str">
        <f>VLOOKUP(TAB_ENTRADA[[#This Row],[Cod_2_Entrada]],TAB_ESTOQUE[[Codigo]:[Endereço2]],12,FALSE)</f>
        <v>E2302</v>
      </c>
      <c r="E1173" s="15">
        <f>SUM(TAB_ENTRADA[[#This Row],[20/05/2019]:[Colunas1]])</f>
        <v>2</v>
      </c>
      <c r="F1173" s="3"/>
      <c r="FK1173" s="3">
        <v>0</v>
      </c>
      <c r="FW1173" s="3">
        <v>2</v>
      </c>
    </row>
    <row r="1174" spans="1:179" x14ac:dyDescent="0.25">
      <c r="A1174" s="5" t="s">
        <v>6244</v>
      </c>
      <c r="B1174" s="15" t="str">
        <f>VLOOKUP(TAB_ENTRADA[[#This Row],[Cod_2_Entrada]],TAB_ESTOQUE[[Codigo]:[Descrição Tecnica]],6,FALSE)</f>
        <v>KIT AUTOMATICA DE PINTURA PICCOLA 03mm POS.10 (MDS)</v>
      </c>
      <c r="C1174" s="15">
        <f>IFERROR(VLOOKUP(TAB_ENTRADA[[#This Row],[Cod_2_Entrada]],TAB_ESTOQUE[[Codigo]:[Referência Tec]],7,FALSE),"")</f>
        <v>0</v>
      </c>
      <c r="D1174" s="15" t="str">
        <f>VLOOKUP(TAB_ENTRADA[[#This Row],[Cod_2_Entrada]],TAB_ESTOQUE[[Codigo]:[Endereço2]],12,FALSE)</f>
        <v>E2302</v>
      </c>
      <c r="E1174" s="15">
        <f>SUM(TAB_ENTRADA[[#This Row],[20/05/2019]:[Colunas1]])</f>
        <v>2</v>
      </c>
      <c r="F1174" s="3"/>
      <c r="FK1174" s="3">
        <v>2</v>
      </c>
    </row>
    <row r="1175" spans="1:179" x14ac:dyDescent="0.25">
      <c r="A1175" s="5" t="s">
        <v>6245</v>
      </c>
      <c r="B1175" s="15" t="str">
        <f>VLOOKUP(TAB_ENTRADA[[#This Row],[Cod_2_Entrada]],TAB_ESTOQUE[[Codigo]:[Descrição Tecnica]],6,FALSE)</f>
        <v>ACOPLAMENTO 28</v>
      </c>
      <c r="C1175" s="15">
        <f>IFERROR(VLOOKUP(TAB_ENTRADA[[#This Row],[Cod_2_Entrada]],TAB_ESTOQUE[[Codigo]:[Referência Tec]],7,FALSE),"")</f>
        <v>0</v>
      </c>
      <c r="D1175" s="15" t="str">
        <f>VLOOKUP(TAB_ENTRADA[[#This Row],[Cod_2_Entrada]],TAB_ESTOQUE[[Codigo]:[Endereço2]],12,FALSE)</f>
        <v>E2204</v>
      </c>
      <c r="E1175" s="15">
        <f>SUM(TAB_ENTRADA[[#This Row],[20/05/2019]:[Colunas1]])</f>
        <v>6</v>
      </c>
      <c r="F1175" s="3"/>
      <c r="FK1175" s="3">
        <v>6</v>
      </c>
    </row>
    <row r="1176" spans="1:179" x14ac:dyDescent="0.25">
      <c r="A1176" s="5" t="s">
        <v>6262</v>
      </c>
      <c r="B1176" s="15" t="str">
        <f>VLOOKUP(TAB_ENTRADA[[#This Row],[Cod_2_Entrada]],TAB_ESTOQUE[[Codigo]:[Descrição Tecnica]],6,FALSE)</f>
        <v>ELEMENTO ELASTICO 65</v>
      </c>
      <c r="C1176" s="15">
        <f>IFERROR(VLOOKUP(TAB_ENTRADA[[#This Row],[Cod_2_Entrada]],TAB_ESTOQUE[[Codigo]:[Referência Tec]],7,FALSE),"")</f>
        <v>0</v>
      </c>
      <c r="D1176" s="15" t="str">
        <f>VLOOKUP(TAB_ENTRADA[[#This Row],[Cod_2_Entrada]],TAB_ESTOQUE[[Codigo]:[Endereço2]],12,FALSE)</f>
        <v>E2203</v>
      </c>
      <c r="E1176" s="15">
        <f>SUM(TAB_ENTRADA[[#This Row],[20/05/2019]:[Colunas1]])</f>
        <v>1</v>
      </c>
      <c r="F1176" s="3"/>
      <c r="FK1176" s="3">
        <v>1</v>
      </c>
    </row>
    <row r="1177" spans="1:179" x14ac:dyDescent="0.25">
      <c r="A1177" s="5" t="s">
        <v>6263</v>
      </c>
      <c r="B1177" s="15" t="str">
        <f>VLOOKUP(TAB_ENTRADA[[#This Row],[Cod_2_Entrada]],TAB_ESTOQUE[[Codigo]:[Descrição Tecnica]],6,FALSE)</f>
        <v>ELEMENTO ELASTICO 48</v>
      </c>
      <c r="C1177" s="15">
        <f>IFERROR(VLOOKUP(TAB_ENTRADA[[#This Row],[Cod_2_Entrada]],TAB_ESTOQUE[[Codigo]:[Referência Tec]],7,FALSE),"")</f>
        <v>0</v>
      </c>
      <c r="D1177" s="15" t="str">
        <f>VLOOKUP(TAB_ENTRADA[[#This Row],[Cod_2_Entrada]],TAB_ESTOQUE[[Codigo]:[Endereço2]],12,FALSE)</f>
        <v>E2203</v>
      </c>
      <c r="E1177" s="15">
        <f>SUM(TAB_ENTRADA[[#This Row],[20/05/2019]:[Colunas1]])</f>
        <v>5</v>
      </c>
      <c r="F1177" s="3"/>
      <c r="FK1177" s="3">
        <v>5</v>
      </c>
    </row>
    <row r="1178" spans="1:179" x14ac:dyDescent="0.25">
      <c r="A1178" s="5" t="s">
        <v>6264</v>
      </c>
      <c r="B1178" s="15" t="str">
        <f>VLOOKUP(TAB_ENTRADA[[#This Row],[Cod_2_Entrada]],TAB_ESTOQUE[[Codigo]:[Descrição Tecnica]],6,FALSE)</f>
        <v>ELEMENTO ELASTICO 42</v>
      </c>
      <c r="C1178" s="15">
        <f>IFERROR(VLOOKUP(TAB_ENTRADA[[#This Row],[Cod_2_Entrada]],TAB_ESTOQUE[[Codigo]:[Referência Tec]],7,FALSE),"")</f>
        <v>0</v>
      </c>
      <c r="D1178" s="15" t="str">
        <f>VLOOKUP(TAB_ENTRADA[[#This Row],[Cod_2_Entrada]],TAB_ESTOQUE[[Codigo]:[Endereço2]],12,FALSE)</f>
        <v>E2203</v>
      </c>
      <c r="E1178" s="15">
        <f>SUM(TAB_ENTRADA[[#This Row],[20/05/2019]:[Colunas1]])</f>
        <v>2</v>
      </c>
      <c r="F1178" s="3"/>
      <c r="FK1178" s="3">
        <v>2</v>
      </c>
    </row>
    <row r="1179" spans="1:179" x14ac:dyDescent="0.25">
      <c r="A1179" s="5" t="s">
        <v>6265</v>
      </c>
      <c r="B1179" s="15" t="str">
        <f>VLOOKUP(TAB_ENTRADA[[#This Row],[Cod_2_Entrada]],TAB_ESTOQUE[[Codigo]:[Descrição Tecnica]],6,FALSE)</f>
        <v>ELEMENTO ELASTICO 38</v>
      </c>
      <c r="C1179" s="15">
        <f>IFERROR(VLOOKUP(TAB_ENTRADA[[#This Row],[Cod_2_Entrada]],TAB_ESTOQUE[[Codigo]:[Referência Tec]],7,FALSE),"")</f>
        <v>0</v>
      </c>
      <c r="D1179" s="15" t="str">
        <f>VLOOKUP(TAB_ENTRADA[[#This Row],[Cod_2_Entrada]],TAB_ESTOQUE[[Codigo]:[Endereço2]],12,FALSE)</f>
        <v>E2203</v>
      </c>
      <c r="E1179" s="15">
        <f>SUM(TAB_ENTRADA[[#This Row],[20/05/2019]:[Colunas1]])</f>
        <v>5</v>
      </c>
      <c r="F1179" s="3"/>
      <c r="FK1179" s="3">
        <v>5</v>
      </c>
    </row>
    <row r="1180" spans="1:179" x14ac:dyDescent="0.25">
      <c r="A1180" s="5" t="s">
        <v>6266</v>
      </c>
      <c r="B1180" s="15" t="str">
        <f>VLOOKUP(TAB_ENTRADA[[#This Row],[Cod_2_Entrada]],TAB_ESTOQUE[[Codigo]:[Descrição Tecnica]],6,FALSE)</f>
        <v>ELEMENTO ELASTICO 24</v>
      </c>
      <c r="C1180" s="15">
        <f>IFERROR(VLOOKUP(TAB_ENTRADA[[#This Row],[Cod_2_Entrada]],TAB_ESTOQUE[[Codigo]:[Referência Tec]],7,FALSE),"")</f>
        <v>0</v>
      </c>
      <c r="D1180" s="15" t="str">
        <f>VLOOKUP(TAB_ENTRADA[[#This Row],[Cod_2_Entrada]],TAB_ESTOQUE[[Codigo]:[Endereço2]],12,FALSE)</f>
        <v>E2203</v>
      </c>
      <c r="E1180" s="15">
        <f>SUM(TAB_ENTRADA[[#This Row],[20/05/2019]:[Colunas1]])</f>
        <v>3</v>
      </c>
      <c r="F1180" s="3"/>
      <c r="FK1180" s="3">
        <v>3</v>
      </c>
    </row>
    <row r="1181" spans="1:179" x14ac:dyDescent="0.25">
      <c r="A1181" s="5" t="s">
        <v>6267</v>
      </c>
      <c r="B1181" s="15" t="str">
        <f>VLOOKUP(TAB_ENTRADA[[#This Row],[Cod_2_Entrada]],TAB_ESTOQUE[[Codigo]:[Descrição Tecnica]],6,FALSE)</f>
        <v>ELEMENTO ELASTICO 19</v>
      </c>
      <c r="C1181" s="15">
        <f>IFERROR(VLOOKUP(TAB_ENTRADA[[#This Row],[Cod_2_Entrada]],TAB_ESTOQUE[[Codigo]:[Referência Tec]],7,FALSE),"")</f>
        <v>0</v>
      </c>
      <c r="D1181" s="15" t="str">
        <f>VLOOKUP(TAB_ENTRADA[[#This Row],[Cod_2_Entrada]],TAB_ESTOQUE[[Codigo]:[Endereço2]],12,FALSE)</f>
        <v>E2203</v>
      </c>
      <c r="E1181" s="15">
        <f>SUM(TAB_ENTRADA[[#This Row],[20/05/2019]:[Colunas1]])</f>
        <v>4</v>
      </c>
      <c r="F1181" s="3"/>
      <c r="FK1181" s="3">
        <v>4</v>
      </c>
    </row>
    <row r="1182" spans="1:179" x14ac:dyDescent="0.25">
      <c r="A1182" s="5" t="s">
        <v>6268</v>
      </c>
      <c r="B1182" s="15" t="str">
        <f>VLOOKUP(TAB_ENTRADA[[#This Row],[Cod_2_Entrada]],TAB_ESTOQUE[[Codigo]:[Descrição Tecnica]],6,FALSE)</f>
        <v>ELEMENTO ELASTICO EA82</v>
      </c>
      <c r="C1182" s="15">
        <f>IFERROR(VLOOKUP(TAB_ENTRADA[[#This Row],[Cod_2_Entrada]],TAB_ESTOQUE[[Codigo]:[Referência Tec]],7,FALSE),"")</f>
        <v>0</v>
      </c>
      <c r="D1182" s="15" t="str">
        <f>VLOOKUP(TAB_ENTRADA[[#This Row],[Cod_2_Entrada]],TAB_ESTOQUE[[Codigo]:[Endereço2]],12,FALSE)</f>
        <v>E2203</v>
      </c>
      <c r="E1182" s="15">
        <f>SUM(TAB_ENTRADA[[#This Row],[20/05/2019]:[Colunas1]])</f>
        <v>4</v>
      </c>
      <c r="F1182" s="3"/>
      <c r="FK1182" s="3">
        <v>4</v>
      </c>
    </row>
    <row r="1183" spans="1:179" x14ac:dyDescent="0.25">
      <c r="A1183" s="5" t="s">
        <v>6269</v>
      </c>
      <c r="B1183" s="15" t="str">
        <f>VLOOKUP(TAB_ENTRADA[[#This Row],[Cod_2_Entrada]],TAB_ESTOQUE[[Codigo]:[Descrição Tecnica]],6,FALSE)</f>
        <v>ENGRENAGEM 64 DENTES EIXO DE 20MM</v>
      </c>
      <c r="C1183" s="15">
        <f>IFERROR(VLOOKUP(TAB_ENTRADA[[#This Row],[Cod_2_Entrada]],TAB_ESTOQUE[[Codigo]:[Referência Tec]],7,FALSE),"")</f>
        <v>0</v>
      </c>
      <c r="D1183" s="15" t="str">
        <f>VLOOKUP(TAB_ENTRADA[[#This Row],[Cod_2_Entrada]],TAB_ESTOQUE[[Codigo]:[Endereço2]],12,FALSE)</f>
        <v>E2205</v>
      </c>
      <c r="E1183" s="15">
        <f>SUM(TAB_ENTRADA[[#This Row],[20/05/2019]:[Colunas1]])</f>
        <v>2</v>
      </c>
      <c r="F1183" s="3"/>
      <c r="FK1183" s="3">
        <v>2</v>
      </c>
    </row>
    <row r="1184" spans="1:179" x14ac:dyDescent="0.25">
      <c r="A1184" s="5" t="s">
        <v>6270</v>
      </c>
      <c r="B1184" s="15" t="str">
        <f>VLOOKUP(TAB_ENTRADA[[#This Row],[Cod_2_Entrada]],TAB_ESTOQUE[[Codigo]:[Descrição Tecnica]],6,FALSE)</f>
        <v>ENGRENAGEM 32 DENTES EIXO DE 20MM</v>
      </c>
      <c r="C1184" s="15">
        <f>IFERROR(VLOOKUP(TAB_ENTRADA[[#This Row],[Cod_2_Entrada]],TAB_ESTOQUE[[Codigo]:[Referência Tec]],7,FALSE),"")</f>
        <v>0</v>
      </c>
      <c r="D1184" s="15" t="str">
        <f>VLOOKUP(TAB_ENTRADA[[#This Row],[Cod_2_Entrada]],TAB_ESTOQUE[[Codigo]:[Endereço2]],12,FALSE)</f>
        <v>E2205</v>
      </c>
      <c r="E1184" s="15">
        <f>SUM(TAB_ENTRADA[[#This Row],[20/05/2019]:[Colunas1]])</f>
        <v>4</v>
      </c>
      <c r="F1184" s="3"/>
      <c r="FK1184" s="3">
        <v>4</v>
      </c>
    </row>
    <row r="1185" spans="1:209" x14ac:dyDescent="0.25">
      <c r="A1185" s="5" t="s">
        <v>6271</v>
      </c>
      <c r="B1185" s="15" t="str">
        <f>VLOOKUP(TAB_ENTRADA[[#This Row],[Cod_2_Entrada]],TAB_ESTOQUE[[Codigo]:[Descrição Tecnica]],6,FALSE)</f>
        <v>KIT DA PISTOLA MANUAL MD 05 HVLP</v>
      </c>
      <c r="C1185" s="15">
        <f>IFERROR(VLOOKUP(TAB_ENTRADA[[#This Row],[Cod_2_Entrada]],TAB_ESTOQUE[[Codigo]:[Referência Tec]],7,FALSE),"")</f>
        <v>0</v>
      </c>
      <c r="D1185" s="15" t="str">
        <f>VLOOKUP(TAB_ENTRADA[[#This Row],[Cod_2_Entrada]],TAB_ESTOQUE[[Codigo]:[Endereço2]],12,FALSE)</f>
        <v>E2303</v>
      </c>
      <c r="E1185" s="15">
        <f>SUM(TAB_ENTRADA[[#This Row],[20/05/2019]:[Colunas1]])</f>
        <v>1</v>
      </c>
      <c r="F1185" s="3"/>
      <c r="FK1185" s="3">
        <v>1</v>
      </c>
    </row>
    <row r="1186" spans="1:209" x14ac:dyDescent="0.25">
      <c r="A1186" s="5" t="s">
        <v>6272</v>
      </c>
      <c r="B1186" s="15" t="str">
        <f>VLOOKUP(TAB_ENTRADA[[#This Row],[Cod_2_Entrada]],TAB_ESTOQUE[[Codigo]:[Descrição Tecnica]],6,FALSE)</f>
        <v>CILINDRO HIDRAULICO TELESCÓPIO (1° ESTÁGIO 90X50MM / 2° ESTÁGIO 110X80MM)</v>
      </c>
      <c r="C1186" s="15">
        <f>IFERROR(VLOOKUP(TAB_ENTRADA[[#This Row],[Cod_2_Entrada]],TAB_ESTOQUE[[Codigo]:[Referência Tec]],7,FALSE),"")</f>
        <v>0</v>
      </c>
      <c r="D1186" s="15" t="str">
        <f>VLOOKUP(TAB_ENTRADA[[#This Row],[Cod_2_Entrada]],TAB_ESTOQUE[[Codigo]:[Endereço2]],12,FALSE)</f>
        <v>CORREDOR 4</v>
      </c>
      <c r="E1186" s="15">
        <f>SUM(TAB_ENTRADA[[#This Row],[20/05/2019]:[Colunas1]])</f>
        <v>2</v>
      </c>
      <c r="F1186" s="3"/>
      <c r="FK1186" s="3">
        <v>2</v>
      </c>
    </row>
    <row r="1187" spans="1:209" x14ac:dyDescent="0.25">
      <c r="A1187" s="5" t="s">
        <v>6273</v>
      </c>
      <c r="B1187" s="15" t="str">
        <f>VLOOKUP(TAB_ENTRADA[[#This Row],[Cod_2_Entrada]],TAB_ESTOQUE[[Codigo]:[Descrição Tecnica]],6,FALSE)</f>
        <v>COROA DE BRONZE DO FUSO DA CALANDRA DA M14</v>
      </c>
      <c r="C1187" s="15">
        <f>IFERROR(VLOOKUP(TAB_ENTRADA[[#This Row],[Cod_2_Entrada]],TAB_ESTOQUE[[Codigo]:[Referência Tec]],7,FALSE),"")</f>
        <v>0</v>
      </c>
      <c r="D1187" s="15" t="str">
        <f>VLOOKUP(TAB_ENTRADA[[#This Row],[Cod_2_Entrada]],TAB_ESTOQUE[[Codigo]:[Endereço2]],12,FALSE)</f>
        <v>E1302</v>
      </c>
      <c r="E1187" s="15">
        <f>SUM(TAB_ENTRADA[[#This Row],[20/05/2019]:[Colunas1]])</f>
        <v>0</v>
      </c>
      <c r="F1187" s="3"/>
      <c r="FK1187" s="3">
        <v>0</v>
      </c>
    </row>
    <row r="1188" spans="1:209" x14ac:dyDescent="0.25">
      <c r="A1188" s="5" t="s">
        <v>6392</v>
      </c>
      <c r="B1188" s="15" t="str">
        <f>VLOOKUP(TAB_ENTRADA[[#This Row],[Cod_2_Entrada]],TAB_ESTOQUE[[Codigo]:[Descrição Tecnica]],6,FALSE)</f>
        <v>ESCAPE RAPIDO MOD: 618E</v>
      </c>
      <c r="C1188" s="15">
        <f>IFERROR(VLOOKUP(TAB_ENTRADA[[#This Row],[Cod_2_Entrada]],TAB_ESTOQUE[[Codigo]:[Referência Tec]],7,FALSE),"")</f>
        <v>0</v>
      </c>
      <c r="D1188" s="15" t="str">
        <f>VLOOKUP(TAB_ENTRADA[[#This Row],[Cod_2_Entrada]],TAB_ESTOQUE[[Codigo]:[Endereço2]],12,FALSE)</f>
        <v>D2302</v>
      </c>
      <c r="E1188" s="15">
        <f>SUM(TAB_ENTRADA[[#This Row],[20/05/2019]:[Colunas1]])</f>
        <v>2</v>
      </c>
      <c r="F1188" s="3"/>
      <c r="FK1188" s="3">
        <v>2</v>
      </c>
    </row>
    <row r="1189" spans="1:209" x14ac:dyDescent="0.25">
      <c r="A1189" s="5" t="s">
        <v>6397</v>
      </c>
      <c r="B1189" s="15" t="str">
        <f>VLOOKUP(TAB_ENTRADA[[#This Row],[Cod_2_Entrada]],TAB_ESTOQUE[[Codigo]:[Descrição Tecnica]],6,FALSE)</f>
        <v>MODULO LINHA CP 916XX001 (VALCO MELTON)</v>
      </c>
      <c r="C1189" s="15">
        <f>IFERROR(VLOOKUP(TAB_ENTRADA[[#This Row],[Cod_2_Entrada]],TAB_ESTOQUE[[Codigo]:[Referência Tec]],7,FALSE),"")</f>
        <v>0</v>
      </c>
      <c r="D1189" s="15" t="str">
        <f>VLOOKUP(TAB_ENTRADA[[#This Row],[Cod_2_Entrada]],TAB_ESTOQUE[[Codigo]:[Endereço2]],12,FALSE)</f>
        <v>E2302</v>
      </c>
      <c r="E1189" s="15">
        <f>SUM(TAB_ENTRADA[[#This Row],[20/05/2019]:[Colunas1]])</f>
        <v>5</v>
      </c>
      <c r="F1189" s="3"/>
      <c r="FK1189" s="3">
        <v>0</v>
      </c>
      <c r="FN1189" s="3">
        <v>1</v>
      </c>
      <c r="HA1189" s="3">
        <v>4</v>
      </c>
    </row>
    <row r="1190" spans="1:209" x14ac:dyDescent="0.25">
      <c r="A1190" s="5" t="s">
        <v>6402</v>
      </c>
      <c r="B1190" s="15" t="str">
        <f>VLOOKUP(TAB_ENTRADA[[#This Row],[Cod_2_Entrada]],TAB_ESTOQUE[[Codigo]:[Descrição Tecnica]],6,FALSE)</f>
        <v>PONTEIRA LINHA 910XX318 (VALCO MELTON)</v>
      </c>
      <c r="C1190" s="15">
        <f>IFERROR(VLOOKUP(TAB_ENTRADA[[#This Row],[Cod_2_Entrada]],TAB_ESTOQUE[[Codigo]:[Referência Tec]],7,FALSE),"")</f>
        <v>0</v>
      </c>
      <c r="D1190" s="15" t="str">
        <f>VLOOKUP(TAB_ENTRADA[[#This Row],[Cod_2_Entrada]],TAB_ESTOQUE[[Codigo]:[Endereço2]],12,FALSE)</f>
        <v>E2302</v>
      </c>
      <c r="E1190" s="15">
        <f>SUM(TAB_ENTRADA[[#This Row],[20/05/2019]:[Colunas1]])</f>
        <v>6</v>
      </c>
      <c r="F1190" s="3"/>
      <c r="FK1190" s="3">
        <v>6</v>
      </c>
    </row>
    <row r="1191" spans="1:209" x14ac:dyDescent="0.25">
      <c r="A1191" s="5" t="s">
        <v>6407</v>
      </c>
      <c r="B1191" s="15" t="str">
        <f>VLOOKUP(TAB_ENTRADA[[#This Row],[Cod_2_Entrada]],TAB_ESTOQUE[[Codigo]:[Descrição Tecnica]],6,FALSE)</f>
        <v>MANGUEIRA 8AGR2*100FJ-10*3600</v>
      </c>
      <c r="C1191" s="15">
        <f>IFERROR(VLOOKUP(TAB_ENTRADA[[#This Row],[Cod_2_Entrada]],TAB_ESTOQUE[[Codigo]:[Referência Tec]],7,FALSE),"")</f>
        <v>0</v>
      </c>
      <c r="D1191" s="15" t="str">
        <f>VLOOKUP(TAB_ENTRADA[[#This Row],[Cod_2_Entrada]],TAB_ESTOQUE[[Codigo]:[Endereço2]],12,FALSE)</f>
        <v>S502</v>
      </c>
      <c r="E1191" s="15">
        <f>SUM(TAB_ENTRADA[[#This Row],[20/05/2019]:[Colunas1]])</f>
        <v>2</v>
      </c>
      <c r="F1191" s="3"/>
      <c r="FK1191" s="3">
        <v>2</v>
      </c>
    </row>
    <row r="1192" spans="1:209" x14ac:dyDescent="0.25">
      <c r="A1192" s="5" t="s">
        <v>6405</v>
      </c>
      <c r="B1192" s="15" t="str">
        <f>VLOOKUP(TAB_ENTRADA[[#This Row],[Cod_2_Entrada]],TAB_ESTOQUE[[Codigo]:[Descrição Tecnica]],6,FALSE)</f>
        <v>MANGUEIRA 8AGR2*100DL-15*1600</v>
      </c>
      <c r="C1192" s="15">
        <f>IFERROR(VLOOKUP(TAB_ENTRADA[[#This Row],[Cod_2_Entrada]],TAB_ESTOQUE[[Codigo]:[Referência Tec]],7,FALSE),"")</f>
        <v>0</v>
      </c>
      <c r="D1192" s="15" t="str">
        <f>VLOOKUP(TAB_ENTRADA[[#This Row],[Cod_2_Entrada]],TAB_ESTOQUE[[Codigo]:[Endereço2]],12,FALSE)</f>
        <v>S601</v>
      </c>
      <c r="E1192" s="15">
        <f>SUM(TAB_ENTRADA[[#This Row],[20/05/2019]:[Colunas1]])</f>
        <v>2</v>
      </c>
      <c r="F1192" s="3"/>
      <c r="FK1192" s="3">
        <v>2</v>
      </c>
    </row>
    <row r="1193" spans="1:209" x14ac:dyDescent="0.25">
      <c r="A1193" s="5" t="s">
        <v>6406</v>
      </c>
      <c r="B1193" s="15" t="str">
        <f>VLOOKUP(TAB_ENTRADA[[#This Row],[Cod_2_Entrada]],TAB_ESTOQUE[[Codigo]:[Descrição Tecnica]],6,FALSE)</f>
        <v>MANGUEIRA 4SH-20*200DP-38*1310</v>
      </c>
      <c r="C1193" s="15">
        <f>IFERROR(VLOOKUP(TAB_ENTRADA[[#This Row],[Cod_2_Entrada]],TAB_ESTOQUE[[Codigo]:[Referência Tec]],7,FALSE),"")</f>
        <v>0</v>
      </c>
      <c r="D1193" s="15" t="str">
        <f>VLOOKUP(TAB_ENTRADA[[#This Row],[Cod_2_Entrada]],TAB_ESTOQUE[[Codigo]:[Endereço2]],12,FALSE)</f>
        <v>S601</v>
      </c>
      <c r="E1193" s="15">
        <f>SUM(TAB_ENTRADA[[#This Row],[20/05/2019]:[Colunas1]])</f>
        <v>0</v>
      </c>
      <c r="F1193" s="3"/>
      <c r="FK1193" s="3">
        <v>0</v>
      </c>
    </row>
    <row r="1194" spans="1:209" x14ac:dyDescent="0.25">
      <c r="A1194" s="5" t="s">
        <v>6415</v>
      </c>
      <c r="B1194" s="15" t="str">
        <f>VLOOKUP(TAB_ENTRADA[[#This Row],[Cod_2_Entrada]],TAB_ESTOQUE[[Codigo]:[Descrição Tecnica]],6,FALSE)</f>
        <v>CABO DE AÇO PASTIF (3/32X1/8)</v>
      </c>
      <c r="C1194" s="15">
        <f>IFERROR(VLOOKUP(TAB_ENTRADA[[#This Row],[Cod_2_Entrada]],TAB_ESTOQUE[[Codigo]:[Referência Tec]],7,FALSE),"")</f>
        <v>0</v>
      </c>
      <c r="D1194" s="15" t="str">
        <f>VLOOKUP(TAB_ENTRADA[[#This Row],[Cod_2_Entrada]],TAB_ESTOQUE[[Codigo]:[Endereço2]],12,FALSE)</f>
        <v>E2102</v>
      </c>
      <c r="E1194" s="15">
        <f>SUM(TAB_ENTRADA[[#This Row],[20/05/2019]:[Colunas1]])</f>
        <v>200</v>
      </c>
      <c r="F1194" s="3"/>
      <c r="FK1194" s="3">
        <v>200</v>
      </c>
    </row>
    <row r="1195" spans="1:209" x14ac:dyDescent="0.25">
      <c r="A1195" s="5" t="s">
        <v>6420</v>
      </c>
      <c r="B1195" s="15" t="str">
        <f>VLOOKUP(TAB_ENTRADA[[#This Row],[Cod_2_Entrada]],TAB_ESTOQUE[[Codigo]:[Descrição Tecnica]],6,FALSE)</f>
        <v>COPO PARA FILTRO HYDAC RFM BN/HC 330 BF10E 1.0/-G</v>
      </c>
      <c r="C1195" s="15">
        <f>IFERROR(VLOOKUP(TAB_ENTRADA[[#This Row],[Cod_2_Entrada]],TAB_ESTOQUE[[Codigo]:[Referência Tec]],7,FALSE),"")</f>
        <v>0</v>
      </c>
      <c r="D1195" s="15" t="str">
        <f>VLOOKUP(TAB_ENTRADA[[#This Row],[Cod_2_Entrada]],TAB_ESTOQUE[[Codigo]:[Endereço2]],12,FALSE)</f>
        <v>C2404</v>
      </c>
      <c r="E1195" s="15">
        <f>SUM(TAB_ENTRADA[[#This Row],[20/05/2019]:[Colunas1]])</f>
        <v>1</v>
      </c>
      <c r="F1195" s="3"/>
      <c r="FK1195" s="3">
        <v>1</v>
      </c>
    </row>
    <row r="1196" spans="1:209" x14ac:dyDescent="0.25">
      <c r="A1196" s="5" t="s">
        <v>6423</v>
      </c>
      <c r="B1196" s="15" t="str">
        <f>VLOOKUP(TAB_ENTRADA[[#This Row],[Cod_2_Entrada]],TAB_ESTOQUE[[Codigo]:[Descrição Tecnica]],6,FALSE)</f>
        <v>PARAFUSO SEXT AUTO-BROCANTE (7/32X4)CR</v>
      </c>
      <c r="C1196" s="15">
        <f>IFERROR(VLOOKUP(TAB_ENTRADA[[#This Row],[Cod_2_Entrada]],TAB_ESTOQUE[[Codigo]:[Referência Tec]],7,FALSE),"")</f>
        <v>0</v>
      </c>
      <c r="D1196" s="15" t="str">
        <f>VLOOKUP(TAB_ENTRADA[[#This Row],[Cod_2_Entrada]],TAB_ESTOQUE[[Codigo]:[Endereço2]],12,FALSE)</f>
        <v>F2202</v>
      </c>
      <c r="E1196" s="15">
        <f>SUM(TAB_ENTRADA[[#This Row],[20/05/2019]:[Colunas1]])</f>
        <v>0</v>
      </c>
      <c r="F1196" s="3"/>
      <c r="FK1196" s="3">
        <v>0</v>
      </c>
    </row>
    <row r="1197" spans="1:209" x14ac:dyDescent="0.25">
      <c r="A1197" s="5" t="s">
        <v>6426</v>
      </c>
      <c r="B1197" s="15" t="str">
        <f>VLOOKUP(TAB_ENTRADA[[#This Row],[Cod_2_Entrada]],TAB_ESTOQUE[[Codigo]:[Descrição Tecnica]],6,FALSE)</f>
        <v>CORREIA SINCRONIZADORA PV/ACO 16MM LLT0 16M</v>
      </c>
      <c r="C1197" s="15">
        <f>IFERROR(VLOOKUP(TAB_ENTRADA[[#This Row],[Cod_2_Entrada]],TAB_ESTOQUE[[Codigo]:[Referência Tec]],7,FALSE),"")</f>
        <v>0</v>
      </c>
      <c r="D1197" s="15" t="str">
        <f>VLOOKUP(TAB_ENTRADA[[#This Row],[Cod_2_Entrada]],TAB_ESTOQUE[[Codigo]:[Endereço2]],12,FALSE)</f>
        <v>S601</v>
      </c>
      <c r="E1197" s="15">
        <f>SUM(TAB_ENTRADA[[#This Row],[20/05/2019]:[Colunas1]])</f>
        <v>21</v>
      </c>
      <c r="F1197" s="3"/>
      <c r="FK1197" s="3">
        <v>21</v>
      </c>
    </row>
    <row r="1198" spans="1:209" x14ac:dyDescent="0.25">
      <c r="A1198" s="5" t="s">
        <v>6430</v>
      </c>
      <c r="B1198" s="15" t="str">
        <f>VLOOKUP(TAB_ENTRADA[[#This Row],[Cod_2_Entrada]],TAB_ESTOQUE[[Codigo]:[Descrição Tecnica]],6,FALSE)</f>
        <v>TOMADAS DE 20 AMPERES</v>
      </c>
      <c r="C1198" s="15">
        <f>IFERROR(VLOOKUP(TAB_ENTRADA[[#This Row],[Cod_2_Entrada]],TAB_ESTOQUE[[Codigo]:[Referência Tec]],7,FALSE),"")</f>
        <v>0</v>
      </c>
      <c r="D1198" s="15" t="str">
        <f>VLOOKUP(TAB_ENTRADA[[#This Row],[Cod_2_Entrada]],TAB_ESTOQUE[[Codigo]:[Endereço2]],12,FALSE)</f>
        <v>A1402</v>
      </c>
      <c r="E1198" s="15">
        <f>SUM(TAB_ENTRADA[[#This Row],[20/05/2019]:[Colunas1]])</f>
        <v>9</v>
      </c>
      <c r="F1198" s="3"/>
      <c r="FK1198" s="3">
        <v>9</v>
      </c>
    </row>
    <row r="1199" spans="1:209" x14ac:dyDescent="0.25">
      <c r="A1199" s="5" t="s">
        <v>6432</v>
      </c>
      <c r="B1199" s="15" t="str">
        <f>VLOOKUP(TAB_ENTRADA[[#This Row],[Cod_2_Entrada]],TAB_ESTOQUE[[Codigo]:[Descrição Tecnica]],6,FALSE)</f>
        <v>JOELHO EM AÇO CARBONO PARA SOLDA DE 1"</v>
      </c>
      <c r="C1199" s="15">
        <f>IFERROR(VLOOKUP(TAB_ENTRADA[[#This Row],[Cod_2_Entrada]],TAB_ESTOQUE[[Codigo]:[Referência Tec]],7,FALSE),"")</f>
        <v>0</v>
      </c>
      <c r="D1199" s="15" t="str">
        <f>VLOOKUP(TAB_ENTRADA[[#This Row],[Cod_2_Entrada]],TAB_ESTOQUE[[Codigo]:[Endereço2]],12,FALSE)</f>
        <v>F2104</v>
      </c>
      <c r="E1199" s="15">
        <f>SUM(TAB_ENTRADA[[#This Row],[20/05/2019]:[Colunas1]])</f>
        <v>10</v>
      </c>
      <c r="F1199" s="3"/>
      <c r="FK1199" s="3">
        <v>10</v>
      </c>
    </row>
    <row r="1200" spans="1:209" x14ac:dyDescent="0.25">
      <c r="A1200" s="5" t="s">
        <v>6442</v>
      </c>
      <c r="B1200" s="15" t="str">
        <f>VLOOKUP(TAB_ENTRADA[[#This Row],[Cod_2_Entrada]],TAB_ESTOQUE[[Codigo]:[Descrição Tecnica]],6,FALSE)</f>
        <v>JUNTA BPAIL ENCAPSULADA TEFLON 240X20 (VALCO MELTON)</v>
      </c>
      <c r="C1200" s="15">
        <f>IFERROR(VLOOKUP(TAB_ENTRADA[[#This Row],[Cod_2_Entrada]],TAB_ESTOQUE[[Codigo]:[Referência Tec]],7,FALSE),"")</f>
        <v>0</v>
      </c>
      <c r="D1200" s="15" t="str">
        <f>VLOOKUP(TAB_ENTRADA[[#This Row],[Cod_2_Entrada]],TAB_ESTOQUE[[Codigo]:[Endereço2]],12,FALSE)</f>
        <v>E1202</v>
      </c>
      <c r="E1200" s="15">
        <f>SUM(TAB_ENTRADA[[#This Row],[20/05/2019]:[Colunas1]])</f>
        <v>2</v>
      </c>
      <c r="F1200" s="3"/>
      <c r="FK1200" s="3">
        <v>0</v>
      </c>
      <c r="FN1200" s="3">
        <v>2</v>
      </c>
    </row>
    <row r="1201" spans="1:167" x14ac:dyDescent="0.25">
      <c r="A1201" s="5" t="s">
        <v>6451</v>
      </c>
      <c r="B1201" s="15" t="str">
        <f>VLOOKUP(TAB_ENTRADA[[#This Row],[Cod_2_Entrada]],TAB_ESTOQUE[[Codigo]:[Descrição Tecnica]],6,FALSE)</f>
        <v>CONECTOR SICK D0S-1205-G</v>
      </c>
      <c r="C1201" s="15">
        <f>IFERROR(VLOOKUP(TAB_ENTRADA[[#This Row],[Cod_2_Entrada]],TAB_ESTOQUE[[Codigo]:[Referência Tec]],7,FALSE),"")</f>
        <v>0</v>
      </c>
      <c r="D1201" s="15" t="str">
        <f>VLOOKUP(TAB_ENTRADA[[#This Row],[Cod_2_Entrada]],TAB_ESTOQUE[[Codigo]:[Endereço2]],12,FALSE)</f>
        <v>A2204</v>
      </c>
      <c r="E1201" s="15">
        <f>SUM(TAB_ENTRADA[[#This Row],[20/05/2019]:[Colunas1]])</f>
        <v>0</v>
      </c>
      <c r="F1201" s="3"/>
      <c r="FK1201" s="3">
        <v>0</v>
      </c>
    </row>
    <row r="1202" spans="1:167" x14ac:dyDescent="0.25">
      <c r="A1202" s="5" t="s">
        <v>6457</v>
      </c>
      <c r="B1202" s="15" t="str">
        <f>VLOOKUP(TAB_ENTRADA[[#This Row],[Cod_2_Entrada]],TAB_ESTOQUE[[Codigo]:[Descrição Tecnica]],6,FALSE)</f>
        <v>CONECTOR SICK D0S-0803-G</v>
      </c>
      <c r="C1202" s="15">
        <f>IFERROR(VLOOKUP(TAB_ENTRADA[[#This Row],[Cod_2_Entrada]],TAB_ESTOQUE[[Codigo]:[Referência Tec]],7,FALSE),"")</f>
        <v>0</v>
      </c>
      <c r="D1202" s="15" t="str">
        <f>VLOOKUP(TAB_ENTRADA[[#This Row],[Cod_2_Entrada]],TAB_ESTOQUE[[Codigo]:[Endereço2]],12,FALSE)</f>
        <v>A2204</v>
      </c>
      <c r="E1202" s="15">
        <f>SUM(TAB_ENTRADA[[#This Row],[20/05/2019]:[Colunas1]])</f>
        <v>1</v>
      </c>
      <c r="F1202" s="3"/>
      <c r="FK1202" s="3">
        <v>1</v>
      </c>
    </row>
    <row r="1203" spans="1:167" x14ac:dyDescent="0.25">
      <c r="A1203" s="5" t="s">
        <v>6463</v>
      </c>
      <c r="B1203" s="15" t="str">
        <f>VLOOKUP(TAB_ENTRADA[[#This Row],[Cod_2_Entrada]],TAB_ESTOQUE[[Codigo]:[Descrição Tecnica]],6,FALSE)</f>
        <v>SENSOR FIM DE CURSO XCKM A300-Q300</v>
      </c>
      <c r="C1203" s="15">
        <f>IFERROR(VLOOKUP(TAB_ENTRADA[[#This Row],[Cod_2_Entrada]],TAB_ESTOQUE[[Codigo]:[Referência Tec]],7,FALSE),"")</f>
        <v>0</v>
      </c>
      <c r="D1203" s="15" t="str">
        <f>VLOOKUP(TAB_ENTRADA[[#This Row],[Cod_2_Entrada]],TAB_ESTOQUE[[Codigo]:[Endereço2]],12,FALSE)</f>
        <v>A2205</v>
      </c>
      <c r="E1203" s="15">
        <f>SUM(TAB_ENTRADA[[#This Row],[20/05/2019]:[Colunas1]])</f>
        <v>2</v>
      </c>
      <c r="F1203" s="3"/>
      <c r="FK1203" s="3">
        <v>2</v>
      </c>
    </row>
    <row r="1204" spans="1:167" x14ac:dyDescent="0.25">
      <c r="A1204" s="5" t="s">
        <v>6474</v>
      </c>
      <c r="B1204" s="15" t="str">
        <f>VLOOKUP(TAB_ENTRADA[[#This Row],[Cod_2_Entrada]],TAB_ESTOQUE[[Codigo]:[Descrição Tecnica]],6,FALSE)</f>
        <v>CABO SR2 USB01 ZELIO-920400</v>
      </c>
      <c r="C1204" s="15">
        <f>IFERROR(VLOOKUP(TAB_ENTRADA[[#This Row],[Cod_2_Entrada]],TAB_ESTOQUE[[Codigo]:[Referência Tec]],7,FALSE),"")</f>
        <v>0</v>
      </c>
      <c r="D1204" s="15" t="str">
        <f>VLOOKUP(TAB_ENTRADA[[#This Row],[Cod_2_Entrada]],TAB_ESTOQUE[[Codigo]:[Endereço2]],12,FALSE)</f>
        <v>A2102</v>
      </c>
      <c r="E1204" s="15">
        <f>SUM(TAB_ENTRADA[[#This Row],[20/05/2019]:[Colunas1]])</f>
        <v>2</v>
      </c>
      <c r="F1204" s="3"/>
      <c r="FK1204" s="3">
        <v>2</v>
      </c>
    </row>
    <row r="1205" spans="1:167" x14ac:dyDescent="0.25">
      <c r="A1205" s="5" t="s">
        <v>6477</v>
      </c>
      <c r="B1205" s="15" t="str">
        <f>VLOOKUP(TAB_ENTRADA[[#This Row],[Cod_2_Entrada]],TAB_ESTOQUE[[Codigo]:[Descrição Tecnica]],6,FALSE)</f>
        <v>SENSOR FIM DE CURSO ZCKM1</v>
      </c>
      <c r="C1205" s="15">
        <f>IFERROR(VLOOKUP(TAB_ENTRADA[[#This Row],[Cod_2_Entrada]],TAB_ESTOQUE[[Codigo]:[Referência Tec]],7,FALSE),"")</f>
        <v>0</v>
      </c>
      <c r="D1205" s="15" t="str">
        <f>VLOOKUP(TAB_ENTRADA[[#This Row],[Cod_2_Entrada]],TAB_ESTOQUE[[Codigo]:[Endereço2]],12,FALSE)</f>
        <v>A2205</v>
      </c>
      <c r="E1205" s="15">
        <f>SUM(TAB_ENTRADA[[#This Row],[20/05/2019]:[Colunas1]])</f>
        <v>4</v>
      </c>
      <c r="F1205" s="3"/>
      <c r="FK1205" s="3">
        <v>4</v>
      </c>
    </row>
    <row r="1206" spans="1:167" x14ac:dyDescent="0.25">
      <c r="A1206" s="5" t="s">
        <v>6479</v>
      </c>
      <c r="B1206" s="15" t="str">
        <f>VLOOKUP(TAB_ENTRADA[[#This Row],[Cod_2_Entrada]],TAB_ESTOQUE[[Codigo]:[Descrição Tecnica]],6,FALSE)</f>
        <v>BOMBA VALCO MELTON 8cc/g 1804629</v>
      </c>
      <c r="C1206" s="15">
        <f>IFERROR(VLOOKUP(TAB_ENTRADA[[#This Row],[Cod_2_Entrada]],TAB_ESTOQUE[[Codigo]:[Referência Tec]],7,FALSE),"")</f>
        <v>0</v>
      </c>
      <c r="D1206" s="15" t="str">
        <f>VLOOKUP(TAB_ENTRADA[[#This Row],[Cod_2_Entrada]],TAB_ESTOQUE[[Codigo]:[Endereço2]],12,FALSE)</f>
        <v>E2302</v>
      </c>
      <c r="E1206" s="15">
        <f>SUM(TAB_ENTRADA[[#This Row],[20/05/2019]:[Colunas1]])</f>
        <v>1</v>
      </c>
      <c r="F1206" s="3"/>
      <c r="FK1206" s="3">
        <v>1</v>
      </c>
    </row>
    <row r="1207" spans="1:167" x14ac:dyDescent="0.25">
      <c r="A1207" s="5" t="s">
        <v>6480</v>
      </c>
      <c r="B1207" s="15" t="str">
        <f>VLOOKUP(TAB_ENTRADA[[#This Row],[Cod_2_Entrada]],TAB_ESTOQUE[[Codigo]:[Descrição Tecnica]],6,FALSE)</f>
        <v>SENSOR D-79183 IME'8-05BPSZCOS 1040934</v>
      </c>
      <c r="C1207" s="15">
        <f>IFERROR(VLOOKUP(TAB_ENTRADA[[#This Row],[Cod_2_Entrada]],TAB_ESTOQUE[[Codigo]:[Referência Tec]],7,FALSE),"")</f>
        <v>0</v>
      </c>
      <c r="D1207" s="15" t="str">
        <f>VLOOKUP(TAB_ENTRADA[[#This Row],[Cod_2_Entrada]],TAB_ESTOQUE[[Codigo]:[Endereço2]],12,FALSE)</f>
        <v>A2203</v>
      </c>
      <c r="E1207" s="15">
        <f>SUM(TAB_ENTRADA[[#This Row],[20/05/2019]:[Colunas1]])</f>
        <v>0</v>
      </c>
      <c r="F1207" s="3"/>
      <c r="FK1207" s="3">
        <v>0</v>
      </c>
    </row>
    <row r="1208" spans="1:167" x14ac:dyDescent="0.25">
      <c r="A1208" s="5" t="s">
        <v>6481</v>
      </c>
      <c r="B1208" s="15" t="str">
        <f>VLOOKUP(TAB_ENTRADA[[#This Row],[Cod_2_Entrada]],TAB_ESTOQUE[[Codigo]:[Descrição Tecnica]],6,FALSE)</f>
        <v>BOMBA ENERPAC P392 1000PSI 700BAR</v>
      </c>
      <c r="C1208" s="15">
        <f>IFERROR(VLOOKUP(TAB_ENTRADA[[#This Row],[Cod_2_Entrada]],TAB_ESTOQUE[[Codigo]:[Referência Tec]],7,FALSE),"")</f>
        <v>0</v>
      </c>
      <c r="D1208" s="15" t="str">
        <f>VLOOKUP(TAB_ENTRADA[[#This Row],[Cod_2_Entrada]],TAB_ESTOQUE[[Codigo]:[Endereço2]],12,FALSE)</f>
        <v>F1202</v>
      </c>
      <c r="E1208" s="15">
        <f>SUM(TAB_ENTRADA[[#This Row],[20/05/2019]:[Colunas1]])</f>
        <v>1</v>
      </c>
      <c r="F1208" s="3"/>
      <c r="FK1208" s="3">
        <v>1</v>
      </c>
    </row>
    <row r="1209" spans="1:167" x14ac:dyDescent="0.25">
      <c r="A1209" s="5" t="s">
        <v>6482</v>
      </c>
      <c r="B1209" s="15" t="str">
        <f>VLOOKUP(TAB_ENTRADA[[#This Row],[Cod_2_Entrada]],TAB_ESTOQUE[[Codigo]:[Descrição Tecnica]],6,FALSE)</f>
        <v xml:space="preserve">FITA ANTICORROS. 100MMX30M SCOTH </v>
      </c>
      <c r="C1209" s="15">
        <f>IFERROR(VLOOKUP(TAB_ENTRADA[[#This Row],[Cod_2_Entrada]],TAB_ESTOQUE[[Codigo]:[Referência Tec]],7,FALSE),"")</f>
        <v>0</v>
      </c>
      <c r="D1209" s="15" t="str">
        <f>VLOOKUP(TAB_ENTRADA[[#This Row],[Cod_2_Entrada]],TAB_ESTOQUE[[Codigo]:[Endereço2]],12,FALSE)</f>
        <v>A1405</v>
      </c>
      <c r="E1209" s="15">
        <f>SUM(TAB_ENTRADA[[#This Row],[20/05/2019]:[Colunas1]])</f>
        <v>8</v>
      </c>
      <c r="F1209" s="3"/>
      <c r="FK1209" s="3">
        <v>8</v>
      </c>
    </row>
    <row r="1210" spans="1:167" x14ac:dyDescent="0.25">
      <c r="A1210" s="5" t="s">
        <v>6483</v>
      </c>
      <c r="B1210" s="15" t="str">
        <f>VLOOKUP(TAB_ENTRADA[[#This Row],[Cod_2_Entrada]],TAB_ESTOQUE[[Codigo]:[Descrição Tecnica]],6,FALSE)</f>
        <v>NIPLE DUPLO 3/4 FIG. 280 DIM.3/4CLASS. BSP</v>
      </c>
      <c r="C1210" s="15">
        <f>IFERROR(VLOOKUP(TAB_ENTRADA[[#This Row],[Cod_2_Entrada]],TAB_ESTOQUE[[Codigo]:[Referência Tec]],7,FALSE),"")</f>
        <v>0</v>
      </c>
      <c r="D1210" s="15" t="str">
        <f>VLOOKUP(TAB_ENTRADA[[#This Row],[Cod_2_Entrada]],TAB_ESTOQUE[[Codigo]:[Endereço2]],12,FALSE)</f>
        <v>F2104</v>
      </c>
      <c r="E1210" s="15">
        <f>SUM(TAB_ENTRADA[[#This Row],[20/05/2019]:[Colunas1]])</f>
        <v>2</v>
      </c>
      <c r="F1210" s="3"/>
      <c r="FK1210" s="3">
        <v>2</v>
      </c>
    </row>
    <row r="1211" spans="1:167" x14ac:dyDescent="0.25">
      <c r="A1211" s="5" t="s">
        <v>6484</v>
      </c>
      <c r="B1211" s="15" t="str">
        <f>VLOOKUP(TAB_ENTRADA[[#This Row],[Cod_2_Entrada]],TAB_ESTOQUE[[Codigo]:[Descrição Tecnica]],6,FALSE)</f>
        <v>LIXA D'AGUA 180</v>
      </c>
      <c r="C1211" s="15">
        <f>IFERROR(VLOOKUP(TAB_ENTRADA[[#This Row],[Cod_2_Entrada]],TAB_ESTOQUE[[Codigo]:[Referência Tec]],7,FALSE),"")</f>
        <v>0</v>
      </c>
      <c r="D1211" s="15" t="str">
        <f>VLOOKUP(TAB_ENTRADA[[#This Row],[Cod_2_Entrada]],TAB_ESTOQUE[[Codigo]:[Endereço2]],12,FALSE)</f>
        <v>D1104</v>
      </c>
      <c r="E1211" s="15">
        <f>SUM(TAB_ENTRADA[[#This Row],[20/05/2019]:[Colunas1]])</f>
        <v>155</v>
      </c>
      <c r="F1211" s="3"/>
      <c r="FK1211" s="3">
        <v>155</v>
      </c>
    </row>
    <row r="1212" spans="1:167" x14ac:dyDescent="0.25">
      <c r="A1212" s="5" t="s">
        <v>6485</v>
      </c>
      <c r="B1212" s="15" t="str">
        <f>VLOOKUP(TAB_ENTRADA[[#This Row],[Cod_2_Entrada]],TAB_ESTOQUE[[Codigo]:[Descrição Tecnica]],6,FALSE)</f>
        <v>ROLAMENTO Y208 V22</v>
      </c>
      <c r="C1212" s="15">
        <f>IFERROR(VLOOKUP(TAB_ENTRADA[[#This Row],[Cod_2_Entrada]],TAB_ESTOQUE[[Codigo]:[Referência Tec]],7,FALSE),"")</f>
        <v>0</v>
      </c>
      <c r="D1212" s="15" t="str">
        <f>VLOOKUP(TAB_ENTRADA[[#This Row],[Cod_2_Entrada]],TAB_ESTOQUE[[Codigo]:[Endereço2]],12,FALSE)</f>
        <v>D1105</v>
      </c>
      <c r="E1212" s="15">
        <f>SUM(TAB_ENTRADA[[#This Row],[20/05/2019]:[Colunas1]])</f>
        <v>4</v>
      </c>
      <c r="F1212" s="3"/>
      <c r="FK1212" s="3">
        <v>4</v>
      </c>
    </row>
    <row r="1213" spans="1:167" x14ac:dyDescent="0.25">
      <c r="A1213" s="5" t="s">
        <v>6486</v>
      </c>
      <c r="B1213" s="15" t="str">
        <f>VLOOKUP(TAB_ENTRADA[[#This Row],[Cod_2_Entrada]],TAB_ESTOQUE[[Codigo]:[Descrição Tecnica]],6,FALSE)</f>
        <v>ELEMENTO FILTRANTE 0007 L 003 P</v>
      </c>
      <c r="C1213" s="15">
        <f>IFERROR(VLOOKUP(TAB_ENTRADA[[#This Row],[Cod_2_Entrada]],TAB_ESTOQUE[[Codigo]:[Referência Tec]],7,FALSE),"")</f>
        <v>0</v>
      </c>
      <c r="D1213" s="15" t="str">
        <f>VLOOKUP(TAB_ENTRADA[[#This Row],[Cod_2_Entrada]],TAB_ESTOQUE[[Codigo]:[Endereço2]],12,FALSE)</f>
        <v>C2404</v>
      </c>
      <c r="E1213" s="15">
        <f>SUM(TAB_ENTRADA[[#This Row],[20/05/2019]:[Colunas1]])</f>
        <v>10</v>
      </c>
      <c r="F1213" s="3"/>
      <c r="FK1213" s="3">
        <v>10</v>
      </c>
    </row>
    <row r="1214" spans="1:167" x14ac:dyDescent="0.25">
      <c r="A1214" s="5" t="s">
        <v>6487</v>
      </c>
      <c r="B1214" s="15" t="str">
        <f>VLOOKUP(TAB_ENTRADA[[#This Row],[Cod_2_Entrada]],TAB_ESTOQUE[[Codigo]:[Descrição Tecnica]],6,FALSE)</f>
        <v>CHAVE VCF5 SCHNEIDER TESYS 080463</v>
      </c>
      <c r="C1214" s="15">
        <f>IFERROR(VLOOKUP(TAB_ENTRADA[[#This Row],[Cod_2_Entrada]],TAB_ESTOQUE[[Codigo]:[Referência Tec]],7,FALSE),"")</f>
        <v>0</v>
      </c>
      <c r="D1214" s="15" t="str">
        <f>VLOOKUP(TAB_ENTRADA[[#This Row],[Cod_2_Entrada]],TAB_ESTOQUE[[Codigo]:[Endereço2]],12,FALSE)</f>
        <v>A1103</v>
      </c>
      <c r="E1214" s="15">
        <f>SUM(TAB_ENTRADA[[#This Row],[20/05/2019]:[Colunas1]])</f>
        <v>4</v>
      </c>
      <c r="F1214" s="3"/>
      <c r="FK1214" s="3">
        <v>4</v>
      </c>
    </row>
    <row r="1215" spans="1:167" x14ac:dyDescent="0.25">
      <c r="A1215" s="5" t="s">
        <v>6488</v>
      </c>
      <c r="B1215" s="15" t="str">
        <f>VLOOKUP(TAB_ENTRADA[[#This Row],[Cod_2_Entrada]],TAB_ESTOQUE[[Codigo]:[Descrição Tecnica]],6,FALSE)</f>
        <v>CONTACTOR LC1E80M7 110A 37KW</v>
      </c>
      <c r="C1215" s="15">
        <f>IFERROR(VLOOKUP(TAB_ENTRADA[[#This Row],[Cod_2_Entrada]],TAB_ESTOQUE[[Codigo]:[Referência Tec]],7,FALSE),"")</f>
        <v>0</v>
      </c>
      <c r="D1215" s="15" t="str">
        <f>VLOOKUP(TAB_ENTRADA[[#This Row],[Cod_2_Entrada]],TAB_ESTOQUE[[Codigo]:[Endereço2]],12,FALSE)</f>
        <v>B2103</v>
      </c>
      <c r="E1215" s="15">
        <f>SUM(TAB_ENTRADA[[#This Row],[20/05/2019]:[Colunas1]])</f>
        <v>0</v>
      </c>
      <c r="F1215" s="3"/>
      <c r="FK1215" s="3">
        <v>0</v>
      </c>
    </row>
    <row r="1216" spans="1:167" x14ac:dyDescent="0.25">
      <c r="A1216" s="5" t="s">
        <v>6544</v>
      </c>
      <c r="B1216" s="15" t="str">
        <f>VLOOKUP(TAB_ENTRADA[[#This Row],[Cod_2_Entrada]],TAB_ESTOQUE[[Codigo]:[Descrição Tecnica]],6,FALSE)</f>
        <v>CHAVE DE SEGURANÇA SCHMERSAL AZ16-12ZVRK-M16</v>
      </c>
      <c r="C1216" s="15">
        <f>IFERROR(VLOOKUP(TAB_ENTRADA[[#This Row],[Cod_2_Entrada]],TAB_ESTOQUE[[Codigo]:[Referência Tec]],7,FALSE),"")</f>
        <v>0</v>
      </c>
      <c r="D1216" s="15" t="str">
        <f>VLOOKUP(TAB_ENTRADA[[#This Row],[Cod_2_Entrada]],TAB_ESTOQUE[[Codigo]:[Endereço2]],12,FALSE)</f>
        <v>B2103</v>
      </c>
      <c r="E1216" s="15">
        <f>SUM(TAB_ENTRADA[[#This Row],[20/05/2019]:[Colunas1]])</f>
        <v>2</v>
      </c>
      <c r="F1216" s="3"/>
      <c r="FK1216" s="3">
        <v>2</v>
      </c>
    </row>
    <row r="1217" spans="1:167" x14ac:dyDescent="0.25">
      <c r="A1217" s="5" t="s">
        <v>6545</v>
      </c>
      <c r="B1217" s="15" t="str">
        <f>VLOOKUP(TAB_ENTRADA[[#This Row],[Cod_2_Entrada]],TAB_ESTOQUE[[Codigo]:[Descrição Tecnica]],6,FALSE)</f>
        <v>MANCAL UKF210</v>
      </c>
      <c r="C1217" s="15">
        <f>IFERROR(VLOOKUP(TAB_ENTRADA[[#This Row],[Cod_2_Entrada]],TAB_ESTOQUE[[Codigo]:[Referência Tec]],7,FALSE),"")</f>
        <v>0</v>
      </c>
      <c r="D1217" s="15" t="str">
        <f>VLOOKUP(TAB_ENTRADA[[#This Row],[Cod_2_Entrada]],TAB_ESTOQUE[[Codigo]:[Endereço2]],12,FALSE)</f>
        <v>E1406</v>
      </c>
      <c r="E1217" s="15">
        <f>SUM(TAB_ENTRADA[[#This Row],[20/05/2019]:[Colunas1]])</f>
        <v>8</v>
      </c>
      <c r="F1217" s="3"/>
      <c r="FK1217" s="3">
        <v>8</v>
      </c>
    </row>
    <row r="1218" spans="1:167" x14ac:dyDescent="0.25">
      <c r="A1218" s="5" t="s">
        <v>6546</v>
      </c>
      <c r="B1218" s="15" t="str">
        <f>VLOOKUP(TAB_ENTRADA[[#This Row],[Cod_2_Entrada]],TAB_ESTOQUE[[Codigo]:[Descrição Tecnica]],6,FALSE)</f>
        <v>MANCAL UCF204</v>
      </c>
      <c r="C1218" s="15">
        <f>IFERROR(VLOOKUP(TAB_ENTRADA[[#This Row],[Cod_2_Entrada]],TAB_ESTOQUE[[Codigo]:[Referência Tec]],7,FALSE),"")</f>
        <v>0</v>
      </c>
      <c r="D1218" s="15" t="str">
        <f>VLOOKUP(TAB_ENTRADA[[#This Row],[Cod_2_Entrada]],TAB_ESTOQUE[[Codigo]:[Endereço2]],12,FALSE)</f>
        <v>E1406</v>
      </c>
      <c r="E1218" s="15">
        <f>SUM(TAB_ENTRADA[[#This Row],[20/05/2019]:[Colunas1]])</f>
        <v>1</v>
      </c>
      <c r="F1218" s="3"/>
      <c r="FK1218" s="3">
        <v>1</v>
      </c>
    </row>
    <row r="1219" spans="1:167" x14ac:dyDescent="0.25">
      <c r="A1219" s="5" t="s">
        <v>6547</v>
      </c>
      <c r="B1219" s="15" t="str">
        <f>VLOOKUP(TAB_ENTRADA[[#This Row],[Cod_2_Entrada]],TAB_ESTOQUE[[Codigo]:[Descrição Tecnica]],6,FALSE)</f>
        <v>MANCAL UCPA204</v>
      </c>
      <c r="C1219" s="15">
        <f>IFERROR(VLOOKUP(TAB_ENTRADA[[#This Row],[Cod_2_Entrada]],TAB_ESTOQUE[[Codigo]:[Referência Tec]],7,FALSE),"")</f>
        <v>0</v>
      </c>
      <c r="D1219" s="15" t="str">
        <f>VLOOKUP(TAB_ENTRADA[[#This Row],[Cod_2_Entrada]],TAB_ESTOQUE[[Codigo]:[Endereço2]],12,FALSE)</f>
        <v>E1406</v>
      </c>
      <c r="E1219" s="15">
        <f>SUM(TAB_ENTRADA[[#This Row],[20/05/2019]:[Colunas1]])</f>
        <v>2</v>
      </c>
      <c r="F1219" s="3"/>
      <c r="FK1219" s="3">
        <v>2</v>
      </c>
    </row>
    <row r="1220" spans="1:167" x14ac:dyDescent="0.25">
      <c r="A1220" s="5" t="s">
        <v>6548</v>
      </c>
      <c r="B1220" s="15" t="str">
        <f>VLOOKUP(TAB_ENTRADA[[#This Row],[Cod_2_Entrada]],TAB_ESTOQUE[[Codigo]:[Descrição Tecnica]],6,FALSE)</f>
        <v>MANCAL UCF206</v>
      </c>
      <c r="C1220" s="15">
        <f>IFERROR(VLOOKUP(TAB_ENTRADA[[#This Row],[Cod_2_Entrada]],TAB_ESTOQUE[[Codigo]:[Referência Tec]],7,FALSE),"")</f>
        <v>0</v>
      </c>
      <c r="D1220" s="15" t="str">
        <f>VLOOKUP(TAB_ENTRADA[[#This Row],[Cod_2_Entrada]],TAB_ESTOQUE[[Codigo]:[Endereço2]],12,FALSE)</f>
        <v>E1405</v>
      </c>
      <c r="E1220" s="15">
        <f>SUM(TAB_ENTRADA[[#This Row],[20/05/2019]:[Colunas1]])</f>
        <v>3</v>
      </c>
      <c r="F1220" s="3"/>
      <c r="FK1220" s="3">
        <v>3</v>
      </c>
    </row>
    <row r="1221" spans="1:167" x14ac:dyDescent="0.25">
      <c r="A1221" s="5" t="s">
        <v>6567</v>
      </c>
      <c r="B1221" s="15" t="str">
        <f>VLOOKUP(TAB_ENTRADA[[#This Row],[Cod_2_Entrada]],TAB_ESTOQUE[[Codigo]:[Descrição Tecnica]],6,FALSE)</f>
        <v>BLOCO DE PROTEÇÃO CONECTOR 5SD7464-0</v>
      </c>
      <c r="C1221" s="15">
        <f>IFERROR(VLOOKUP(TAB_ENTRADA[[#This Row],[Cod_2_Entrada]],TAB_ESTOQUE[[Codigo]:[Referência Tec]],7,FALSE),"")</f>
        <v>0</v>
      </c>
      <c r="D1221" s="15" t="str">
        <f>VLOOKUP(TAB_ENTRADA[[#This Row],[Cod_2_Entrada]],TAB_ESTOQUE[[Codigo]:[Endereço2]],12,FALSE)</f>
        <v>A1105</v>
      </c>
      <c r="E1221" s="15">
        <f>SUM(TAB_ENTRADA[[#This Row],[20/05/2019]:[Colunas1]])</f>
        <v>1</v>
      </c>
      <c r="F1221" s="3"/>
      <c r="FK1221" s="3">
        <v>1</v>
      </c>
    </row>
    <row r="1222" spans="1:167" x14ac:dyDescent="0.25">
      <c r="A1222" s="5" t="s">
        <v>6568</v>
      </c>
      <c r="B1222" s="15" t="str">
        <f>VLOOKUP(TAB_ENTRADA[[#This Row],[Cod_2_Entrada]],TAB_ESTOQUE[[Codigo]:[Descrição Tecnica]],6,FALSE)</f>
        <v>BLOCO DE CONTATO 3RH1911-1HA22</v>
      </c>
      <c r="C1222" s="15">
        <f>IFERROR(VLOOKUP(TAB_ENTRADA[[#This Row],[Cod_2_Entrada]],TAB_ESTOQUE[[Codigo]:[Referência Tec]],7,FALSE),"")</f>
        <v>0</v>
      </c>
      <c r="D1222" s="15" t="str">
        <f>VLOOKUP(TAB_ENTRADA[[#This Row],[Cod_2_Entrada]],TAB_ESTOQUE[[Codigo]:[Endereço2]],12,FALSE)</f>
        <v>A1204</v>
      </c>
      <c r="E1222" s="15">
        <f>SUM(TAB_ENTRADA[[#This Row],[20/05/2019]:[Colunas1]])</f>
        <v>2</v>
      </c>
      <c r="F1222" s="3"/>
      <c r="FK1222" s="3">
        <v>2</v>
      </c>
    </row>
    <row r="1223" spans="1:167" x14ac:dyDescent="0.25">
      <c r="A1223" s="5" t="s">
        <v>6569</v>
      </c>
      <c r="B1223" s="15" t="str">
        <f>VLOOKUP(TAB_ENTRADA[[#This Row],[Cod_2_Entrada]],TAB_ESTOQUE[[Codigo]:[Descrição Tecnica]],6,FALSE)</f>
        <v>BLOCO DE CONTATO WEG IEC 60947-5-1  10A</v>
      </c>
      <c r="C1223" s="15">
        <f>IFERROR(VLOOKUP(TAB_ENTRADA[[#This Row],[Cod_2_Entrada]],TAB_ESTOQUE[[Codigo]:[Referência Tec]],7,FALSE),"")</f>
        <v>0</v>
      </c>
      <c r="D1223" s="15" t="str">
        <f>VLOOKUP(TAB_ENTRADA[[#This Row],[Cod_2_Entrada]],TAB_ESTOQUE[[Codigo]:[Endereço2]],12,FALSE)</f>
        <v>A1204</v>
      </c>
      <c r="E1223" s="15">
        <f>SUM(TAB_ENTRADA[[#This Row],[20/05/2019]:[Colunas1]])</f>
        <v>5</v>
      </c>
      <c r="F1223" s="3"/>
      <c r="FK1223" s="3">
        <v>5</v>
      </c>
    </row>
    <row r="1224" spans="1:167" x14ac:dyDescent="0.25">
      <c r="A1224" s="5" t="s">
        <v>6570</v>
      </c>
      <c r="B1224" s="15" t="str">
        <f>VLOOKUP(TAB_ENTRADA[[#This Row],[Cod_2_Entrada]],TAB_ESTOQUE[[Codigo]:[Descrição Tecnica]],6,FALSE)</f>
        <v>LUMINARIA INDUSTRIAL LED HIGH BAY 100W. AC100-277V,50/60HZ</v>
      </c>
      <c r="C1224" s="15">
        <f>IFERROR(VLOOKUP(TAB_ENTRADA[[#This Row],[Cod_2_Entrada]],TAB_ESTOQUE[[Codigo]:[Referência Tec]],7,FALSE),"")</f>
        <v>0</v>
      </c>
      <c r="D1224" s="15" t="str">
        <f>VLOOKUP(TAB_ENTRADA[[#This Row],[Cod_2_Entrada]],TAB_ESTOQUE[[Codigo]:[Endereço2]],12,FALSE)</f>
        <v>A1201</v>
      </c>
      <c r="E1224" s="15">
        <f>SUM(TAB_ENTRADA[[#This Row],[20/05/2019]:[Colunas1]])</f>
        <v>0</v>
      </c>
      <c r="F1224" s="3"/>
      <c r="FK1224" s="3">
        <v>0</v>
      </c>
    </row>
    <row r="1225" spans="1:167" x14ac:dyDescent="0.25">
      <c r="A1225" s="5" t="s">
        <v>6571</v>
      </c>
      <c r="B1225" s="15" t="str">
        <f>VLOOKUP(TAB_ENTRADA[[#This Row],[Cod_2_Entrada]],TAB_ESTOQUE[[Codigo]:[Descrição Tecnica]],6,FALSE)</f>
        <v>LUZ SONORA VERMELHA INDICADORA DE ALARME - AC/DC24V - REF. AD17-SM</v>
      </c>
      <c r="C1225" s="15">
        <f>IFERROR(VLOOKUP(TAB_ENTRADA[[#This Row],[Cod_2_Entrada]],TAB_ESTOQUE[[Codigo]:[Referência Tec]],7,FALSE),"")</f>
        <v>0</v>
      </c>
      <c r="D1225" s="15" t="str">
        <f>VLOOKUP(TAB_ENTRADA[[#This Row],[Cod_2_Entrada]],TAB_ESTOQUE[[Codigo]:[Endereço2]],12,FALSE)</f>
        <v>A2305</v>
      </c>
      <c r="E1225" s="15">
        <f>SUM(TAB_ENTRADA[[#This Row],[20/05/2019]:[Colunas1]])</f>
        <v>1</v>
      </c>
      <c r="F1225" s="3"/>
      <c r="FK1225" s="3">
        <v>1</v>
      </c>
    </row>
    <row r="1226" spans="1:167" x14ac:dyDescent="0.25">
      <c r="A1226" s="5" t="s">
        <v>6572</v>
      </c>
      <c r="B1226" s="15" t="str">
        <f>VLOOKUP(TAB_ENTRADA[[#This Row],[Cod_2_Entrada]],TAB_ESTOQUE[[Codigo]:[Descrição Tecnica]],6,FALSE)</f>
        <v>TORRE DE LED -24VDC-LARANJA/VERDE/VERMELHO - REF. TPTB7-24</v>
      </c>
      <c r="C1226" s="15">
        <f>IFERROR(VLOOKUP(TAB_ENTRADA[[#This Row],[Cod_2_Entrada]],TAB_ESTOQUE[[Codigo]:[Referência Tec]],7,FALSE),"")</f>
        <v>0</v>
      </c>
      <c r="D1226" s="15" t="str">
        <f>VLOOKUP(TAB_ENTRADA[[#This Row],[Cod_2_Entrada]],TAB_ESTOQUE[[Codigo]:[Endereço2]],12,FALSE)</f>
        <v>B1105</v>
      </c>
      <c r="E1226" s="15">
        <f>SUM(TAB_ENTRADA[[#This Row],[20/05/2019]:[Colunas1]])</f>
        <v>2</v>
      </c>
      <c r="F1226" s="3"/>
      <c r="FK1226" s="3">
        <v>2</v>
      </c>
    </row>
    <row r="1227" spans="1:167" x14ac:dyDescent="0.25">
      <c r="A1227" s="5" t="s">
        <v>6573</v>
      </c>
      <c r="B1227" s="15" t="str">
        <f>VLOOKUP(TAB_ENTRADA[[#This Row],[Cod_2_Entrada]],TAB_ESTOQUE[[Codigo]:[Descrição Tecnica]],6,FALSE)</f>
        <v>LUZ INDICADORA VERDE , CL-502G</v>
      </c>
      <c r="C1227" s="15">
        <f>IFERROR(VLOOKUP(TAB_ENTRADA[[#This Row],[Cod_2_Entrada]],TAB_ESTOQUE[[Codigo]:[Referência Tec]],7,FALSE),"")</f>
        <v>0</v>
      </c>
      <c r="D1227" s="15" t="str">
        <f>VLOOKUP(TAB_ENTRADA[[#This Row],[Cod_2_Entrada]],TAB_ESTOQUE[[Codigo]:[Endereço2]],12,FALSE)</f>
        <v>A2305</v>
      </c>
      <c r="E1227" s="15">
        <f>SUM(TAB_ENTRADA[[#This Row],[20/05/2019]:[Colunas1]])</f>
        <v>0</v>
      </c>
      <c r="F1227" s="3"/>
      <c r="FK1227" s="3">
        <v>0</v>
      </c>
    </row>
    <row r="1228" spans="1:167" x14ac:dyDescent="0.25">
      <c r="A1228" s="5" t="s">
        <v>6574</v>
      </c>
      <c r="B1228" s="15" t="str">
        <f>VLOOKUP(TAB_ENTRADA[[#This Row],[Cod_2_Entrada]],TAB_ESTOQUE[[Codigo]:[Descrição Tecnica]],6,FALSE)</f>
        <v>MANGUEIRA CORRUGADA C/ BICO PESCADOR</v>
      </c>
      <c r="C1228" s="15">
        <f>IFERROR(VLOOKUP(TAB_ENTRADA[[#This Row],[Cod_2_Entrada]],TAB_ESTOQUE[[Codigo]:[Referência Tec]],7,FALSE),"")</f>
        <v>0</v>
      </c>
      <c r="D1228" s="15" t="str">
        <f>VLOOKUP(TAB_ENTRADA[[#This Row],[Cod_2_Entrada]],TAB_ESTOQUE[[Codigo]:[Endereço2]],12,FALSE)</f>
        <v>S301</v>
      </c>
      <c r="E1228" s="15">
        <f>SUM(TAB_ENTRADA[[#This Row],[20/05/2019]:[Colunas1]])</f>
        <v>0</v>
      </c>
      <c r="F1228" s="3"/>
      <c r="FK1228" s="3">
        <v>0</v>
      </c>
    </row>
    <row r="1229" spans="1:167" x14ac:dyDescent="0.25">
      <c r="A1229" s="5" t="s">
        <v>6575</v>
      </c>
      <c r="B1229" s="15" t="str">
        <f>VLOOKUP(TAB_ENTRADA[[#This Row],[Cod_2_Entrada]],TAB_ESTOQUE[[Codigo]:[Descrição Tecnica]],6,FALSE)</f>
        <v>BOMBA BARMAG 0,6CM 1710958</v>
      </c>
      <c r="C1229" s="15">
        <f>IFERROR(VLOOKUP(TAB_ENTRADA[[#This Row],[Cod_2_Entrada]],TAB_ESTOQUE[[Codigo]:[Referência Tec]],7,FALSE),"")</f>
        <v>0</v>
      </c>
      <c r="D1229" s="15" t="str">
        <f>VLOOKUP(TAB_ENTRADA[[#This Row],[Cod_2_Entrada]],TAB_ESTOQUE[[Codigo]:[Endereço2]],12,FALSE)</f>
        <v>D1204</v>
      </c>
      <c r="E1229" s="15">
        <f>SUM(TAB_ENTRADA[[#This Row],[20/05/2019]:[Colunas1]])</f>
        <v>2</v>
      </c>
      <c r="F1229" s="3"/>
      <c r="FK1229" s="3">
        <v>2</v>
      </c>
    </row>
    <row r="1230" spans="1:167" x14ac:dyDescent="0.25">
      <c r="A1230" s="5" t="s">
        <v>6576</v>
      </c>
      <c r="B1230" s="15" t="str">
        <f>VLOOKUP(TAB_ENTRADA[[#This Row],[Cod_2_Entrada]],TAB_ESTOQUE[[Codigo]:[Descrição Tecnica]],6,FALSE)</f>
        <v>MANOMETRO ROSCA 1/8" VERTICAL 140 PSI 10BAR</v>
      </c>
      <c r="C1230" s="15">
        <f>IFERROR(VLOOKUP(TAB_ENTRADA[[#This Row],[Cod_2_Entrada]],TAB_ESTOQUE[[Codigo]:[Referência Tec]],7,FALSE),"")</f>
        <v>0</v>
      </c>
      <c r="D1230" s="15" t="str">
        <f>VLOOKUP(TAB_ENTRADA[[#This Row],[Cod_2_Entrada]],TAB_ESTOQUE[[Codigo]:[Endereço2]],12,FALSE)</f>
        <v>E2404</v>
      </c>
      <c r="E1230" s="15">
        <f>SUM(TAB_ENTRADA[[#This Row],[20/05/2019]:[Colunas1]])</f>
        <v>3</v>
      </c>
      <c r="F1230" s="3"/>
      <c r="FK1230" s="3">
        <v>3</v>
      </c>
    </row>
    <row r="1231" spans="1:167" x14ac:dyDescent="0.25">
      <c r="A1231" s="5" t="s">
        <v>6577</v>
      </c>
      <c r="B1231" s="15" t="str">
        <f>VLOOKUP(TAB_ENTRADA[[#This Row],[Cod_2_Entrada]],TAB_ESTOQUE[[Codigo]:[Descrição Tecnica]],6,FALSE)</f>
        <v>MANOMETRO ROSCA 1/8" HORIZONTAL 11BAR 160PSI</v>
      </c>
      <c r="C1231" s="15">
        <f>IFERROR(VLOOKUP(TAB_ENTRADA[[#This Row],[Cod_2_Entrada]],TAB_ESTOQUE[[Codigo]:[Referência Tec]],7,FALSE),"")</f>
        <v>0</v>
      </c>
      <c r="D1231" s="15" t="str">
        <f>VLOOKUP(TAB_ENTRADA[[#This Row],[Cod_2_Entrada]],TAB_ESTOQUE[[Codigo]:[Endereço2]],12,FALSE)</f>
        <v>E2404</v>
      </c>
      <c r="E1231" s="15">
        <f>SUM(TAB_ENTRADA[[#This Row],[20/05/2019]:[Colunas1]])</f>
        <v>2</v>
      </c>
      <c r="F1231" s="3"/>
      <c r="FK1231" s="3">
        <v>2</v>
      </c>
    </row>
    <row r="1232" spans="1:167" x14ac:dyDescent="0.25">
      <c r="A1232" s="5" t="s">
        <v>6608</v>
      </c>
      <c r="B1232" s="15" t="str">
        <f>VLOOKUP(TAB_ENTRADA[[#This Row],[Cod_2_Entrada]],TAB_ESTOQUE[[Codigo]:[Descrição Tecnica]],6,FALSE)</f>
        <v>TROCADOR DE CALOR DE PLACAS 5M³ - REF. BL95B-54D</v>
      </c>
      <c r="C1232" s="15">
        <f>IFERROR(VLOOKUP(TAB_ENTRADA[[#This Row],[Cod_2_Entrada]],TAB_ESTOQUE[[Codigo]:[Referência Tec]],7,FALSE),"")</f>
        <v>0</v>
      </c>
      <c r="D1232" s="15" t="str">
        <f>VLOOKUP(TAB_ENTRADA[[#This Row],[Cod_2_Entrada]],TAB_ESTOQUE[[Codigo]:[Endereço2]],12,FALSE)</f>
        <v>D1101</v>
      </c>
      <c r="E1232" s="15">
        <f>SUM(TAB_ENTRADA[[#This Row],[20/05/2019]:[Colunas1]])</f>
        <v>0</v>
      </c>
      <c r="F1232" s="3"/>
      <c r="FK1232" s="3">
        <v>0</v>
      </c>
    </row>
    <row r="1233" spans="1:167" x14ac:dyDescent="0.25">
      <c r="A1233" s="5" t="s">
        <v>6652</v>
      </c>
      <c r="B1233" s="15" t="str">
        <f>VLOOKUP(TAB_ENTRADA[[#This Row],[Cod_2_Entrada]],TAB_ESTOQUE[[Codigo]:[Descrição Tecnica]],6,FALSE)</f>
        <v>TROCADOR DE CALOR DE PLACAS 3M³ - REF. BL95B-32D</v>
      </c>
      <c r="C1233" s="15">
        <f>IFERROR(VLOOKUP(TAB_ENTRADA[[#This Row],[Cod_2_Entrada]],TAB_ESTOQUE[[Codigo]:[Referência Tec]],7,FALSE),"")</f>
        <v>0</v>
      </c>
      <c r="D1233" s="15" t="str">
        <f>VLOOKUP(TAB_ENTRADA[[#This Row],[Cod_2_Entrada]],TAB_ESTOQUE[[Codigo]:[Endereço2]],12,FALSE)</f>
        <v>D1101</v>
      </c>
      <c r="E1233" s="15">
        <f>SUM(TAB_ENTRADA[[#This Row],[20/05/2019]:[Colunas1]])</f>
        <v>0</v>
      </c>
      <c r="F1233" s="3"/>
      <c r="FK1233" s="3">
        <v>0</v>
      </c>
    </row>
    <row r="1234" spans="1:167" x14ac:dyDescent="0.25">
      <c r="A1234" s="5" t="s">
        <v>6653</v>
      </c>
      <c r="B1234" s="15" t="str">
        <f>VLOOKUP(TAB_ENTRADA[[#This Row],[Cod_2_Entrada]],TAB_ESTOQUE[[Codigo]:[Descrição Tecnica]],6,FALSE)</f>
        <v>ACUMULADOR DE PRESSÃO</v>
      </c>
      <c r="C1234" s="15">
        <f>IFERROR(VLOOKUP(TAB_ENTRADA[[#This Row],[Cod_2_Entrada]],TAB_ESTOQUE[[Codigo]:[Referência Tec]],7,FALSE),"")</f>
        <v>0</v>
      </c>
      <c r="D1234" s="15" t="str">
        <f>VLOOKUP(TAB_ENTRADA[[#This Row],[Cod_2_Entrada]],TAB_ESTOQUE[[Codigo]:[Endereço2]],12,FALSE)</f>
        <v>G1101</v>
      </c>
      <c r="E1234" s="15">
        <f>SUM(TAB_ENTRADA[[#This Row],[20/05/2019]:[Colunas1]])</f>
        <v>0</v>
      </c>
      <c r="F1234" s="3"/>
      <c r="FK1234" s="3">
        <v>0</v>
      </c>
    </row>
    <row r="1235" spans="1:167" x14ac:dyDescent="0.25">
      <c r="A1235" s="5" t="s">
        <v>6654</v>
      </c>
      <c r="B1235" s="15" t="str">
        <f>VLOOKUP(TAB_ENTRADA[[#This Row],[Cod_2_Entrada]],TAB_ESTOQUE[[Codigo]:[Descrição Tecnica]],6,FALSE)</f>
        <v>TRAVA QUEDA 40X50Kg</v>
      </c>
      <c r="C1235" s="15">
        <f>IFERROR(VLOOKUP(TAB_ENTRADA[[#This Row],[Cod_2_Entrada]],TAB_ESTOQUE[[Codigo]:[Referência Tec]],7,FALSE),"")</f>
        <v>0</v>
      </c>
      <c r="D1235" s="15" t="str">
        <f>VLOOKUP(TAB_ENTRADA[[#This Row],[Cod_2_Entrada]],TAB_ESTOQUE[[Codigo]:[Endereço2]],12,FALSE)</f>
        <v>F1205</v>
      </c>
      <c r="E1235" s="15">
        <f>SUM(TAB_ENTRADA[[#This Row],[20/05/2019]:[Colunas1]])</f>
        <v>1</v>
      </c>
      <c r="F1235" s="3"/>
      <c r="FK1235" s="3">
        <v>1</v>
      </c>
    </row>
    <row r="1236" spans="1:167" x14ac:dyDescent="0.25">
      <c r="A1236" s="5" t="s">
        <v>6655</v>
      </c>
      <c r="B1236" s="15" t="str">
        <f>VLOOKUP(TAB_ENTRADA[[#This Row],[Cod_2_Entrada]],TAB_ESTOQUE[[Codigo]:[Descrição Tecnica]],6,FALSE)</f>
        <v>CHAVE SELETORA 10 POSIÇÕES - PN 201407022 , REF: CA10</v>
      </c>
      <c r="C1236" s="15">
        <f>IFERROR(VLOOKUP(TAB_ENTRADA[[#This Row],[Cod_2_Entrada]],TAB_ESTOQUE[[Codigo]:[Referência Tec]],7,FALSE),"")</f>
        <v>0</v>
      </c>
      <c r="D1236" s="15" t="str">
        <f>VLOOKUP(TAB_ENTRADA[[#This Row],[Cod_2_Entrada]],TAB_ESTOQUE[[Codigo]:[Endereço2]],12,FALSE)</f>
        <v>A2305</v>
      </c>
      <c r="E1236" s="15">
        <f>SUM(TAB_ENTRADA[[#This Row],[20/05/2019]:[Colunas1]])</f>
        <v>4</v>
      </c>
      <c r="F1236" s="3"/>
      <c r="FK1236" s="3">
        <v>4</v>
      </c>
    </row>
    <row r="1237" spans="1:167" x14ac:dyDescent="0.25">
      <c r="A1237" s="5" t="s">
        <v>6656</v>
      </c>
      <c r="B1237" s="15" t="str">
        <f>VLOOKUP(TAB_ENTRADA[[#This Row],[Cod_2_Entrada]],TAB_ESTOQUE[[Codigo]:[Descrição Tecnica]],6,FALSE)</f>
        <v>PLACA DE MONTAGEM FESTO MOUNTING LATE - REF. APL-2N-GRP / COD. 10391</v>
      </c>
      <c r="C1237" s="15">
        <f>IFERROR(VLOOKUP(TAB_ENTRADA[[#This Row],[Cod_2_Entrada]],TAB_ESTOQUE[[Codigo]:[Referência Tec]],7,FALSE),"")</f>
        <v>0</v>
      </c>
      <c r="D1237" s="15" t="str">
        <f>VLOOKUP(TAB_ENTRADA[[#This Row],[Cod_2_Entrada]],TAB_ESTOQUE[[Codigo]:[Endereço2]],12,FALSE)</f>
        <v>G1106</v>
      </c>
      <c r="E1237" s="15">
        <f>SUM(TAB_ENTRADA[[#This Row],[20/05/2019]:[Colunas1]])</f>
        <v>0</v>
      </c>
      <c r="F1237" s="3"/>
      <c r="FK1237" s="3">
        <v>0</v>
      </c>
    </row>
    <row r="1238" spans="1:167" x14ac:dyDescent="0.25">
      <c r="A1238" s="5" t="s">
        <v>6657</v>
      </c>
      <c r="B1238" s="15" t="str">
        <f>VLOOKUP(TAB_ENTRADA[[#This Row],[Cod_2_Entrada]],TAB_ESTOQUE[[Codigo]:[Descrição Tecnica]],6,FALSE)</f>
        <v>CONEXÃO PNEUMÁTICA TIPO CRUZETA 12mm</v>
      </c>
      <c r="C1238" s="15">
        <f>IFERROR(VLOOKUP(TAB_ENTRADA[[#This Row],[Cod_2_Entrada]],TAB_ESTOQUE[[Codigo]:[Referência Tec]],7,FALSE),"")</f>
        <v>0</v>
      </c>
      <c r="D1238" s="15" t="str">
        <f>VLOOKUP(TAB_ENTRADA[[#This Row],[Cod_2_Entrada]],TAB_ESTOQUE[[Codigo]:[Endereço2]],12,FALSE)</f>
        <v>C1302</v>
      </c>
      <c r="E1238" s="15">
        <f>SUM(TAB_ENTRADA[[#This Row],[20/05/2019]:[Colunas1]])</f>
        <v>0</v>
      </c>
      <c r="F1238" s="3"/>
      <c r="FK1238" s="3">
        <v>0</v>
      </c>
    </row>
    <row r="1239" spans="1:167" x14ac:dyDescent="0.25">
      <c r="A1239" s="5" t="s">
        <v>6658</v>
      </c>
      <c r="B1239" s="15" t="str">
        <f>VLOOKUP(TAB_ENTRADA[[#This Row],[Cod_2_Entrada]],TAB_ESTOQUE[[Codigo]:[Descrição Tecnica]],6,FALSE)</f>
        <v>REGUA BALLUFF BTL027U BTL5-E10-M0500-P-532</v>
      </c>
      <c r="C1239" s="15">
        <f>IFERROR(VLOOKUP(TAB_ENTRADA[[#This Row],[Cod_2_Entrada]],TAB_ESTOQUE[[Codigo]:[Referência Tec]],7,FALSE),"")</f>
        <v>0</v>
      </c>
      <c r="D1239" s="15" t="str">
        <f>VLOOKUP(TAB_ENTRADA[[#This Row],[Cod_2_Entrada]],TAB_ESTOQUE[[Codigo]:[Endereço2]],12,FALSE)</f>
        <v>D1301</v>
      </c>
      <c r="E1239" s="15">
        <f>SUM(TAB_ENTRADA[[#This Row],[20/05/2019]:[Colunas1]])</f>
        <v>1</v>
      </c>
      <c r="F1239" s="3"/>
      <c r="FK1239" s="3">
        <v>1</v>
      </c>
    </row>
    <row r="1240" spans="1:167" x14ac:dyDescent="0.25">
      <c r="A1240" s="5" t="s">
        <v>6659</v>
      </c>
      <c r="B1240" s="15" t="str">
        <f>VLOOKUP(TAB_ENTRADA[[#This Row],[Cod_2_Entrada]],TAB_ESTOQUE[[Codigo]:[Descrição Tecnica]],6,FALSE)</f>
        <v>CONJUNTO DE PLACAS FINAIS ISO FESTO - REF. NEV-3DA/DB-ISSO / COD. 10176</v>
      </c>
      <c r="C1240" s="15">
        <f>IFERROR(VLOOKUP(TAB_ENTRADA[[#This Row],[Cod_2_Entrada]],TAB_ESTOQUE[[Codigo]:[Referência Tec]],7,FALSE),"")</f>
        <v>0</v>
      </c>
      <c r="D1240" s="15" t="str">
        <f>VLOOKUP(TAB_ENTRADA[[#This Row],[Cod_2_Entrada]],TAB_ESTOQUE[[Codigo]:[Endereço2]],12,FALSE)</f>
        <v>G1104</v>
      </c>
      <c r="E1240" s="15">
        <f>SUM(TAB_ENTRADA[[#This Row],[20/05/2019]:[Colunas1]])</f>
        <v>0</v>
      </c>
      <c r="F1240" s="3"/>
      <c r="FK1240" s="3">
        <v>0</v>
      </c>
    </row>
    <row r="1241" spans="1:167" x14ac:dyDescent="0.25">
      <c r="A1241" s="5" t="s">
        <v>6739</v>
      </c>
      <c r="B1241" s="15" t="str">
        <f>VLOOKUP(TAB_ENTRADA[[#This Row],[Cod_2_Entrada]],TAB_ESTOQUE[[Codigo]:[Descrição Tecnica]],6,FALSE)</f>
        <v>BLOCO DE MONTAGEM P/ VÁLVULA FESTO - REF. NAV-1/2-3C-ISO / COD. 10175</v>
      </c>
      <c r="C1241" s="15">
        <f>IFERROR(VLOOKUP(TAB_ENTRADA[[#This Row],[Cod_2_Entrada]],TAB_ESTOQUE[[Codigo]:[Referência Tec]],7,FALSE),"")</f>
        <v>0</v>
      </c>
      <c r="D1241" s="15" t="str">
        <f>VLOOKUP(TAB_ENTRADA[[#This Row],[Cod_2_Entrada]],TAB_ESTOQUE[[Codigo]:[Endereço2]],12,FALSE)</f>
        <v>G1104</v>
      </c>
      <c r="E1241" s="15">
        <f>SUM(TAB_ENTRADA[[#This Row],[20/05/2019]:[Colunas1]])</f>
        <v>0</v>
      </c>
      <c r="F1241" s="3"/>
      <c r="FK1241" s="3">
        <v>0</v>
      </c>
    </row>
    <row r="1242" spans="1:167" x14ac:dyDescent="0.25">
      <c r="A1242" s="5" t="s">
        <v>6749</v>
      </c>
      <c r="B1242" s="15" t="str">
        <f>VLOOKUP(TAB_ENTRADA[[#This Row],[Cod_2_Entrada]],TAB_ESTOQUE[[Codigo]:[Descrição Tecnica]],6,FALSE)</f>
        <v>VALVULA PNEUMATICA 3/2 VIAS COM ENCAIXE LATERAL COM BOBINA 220V</v>
      </c>
      <c r="C1242" s="15">
        <f>IFERROR(VLOOKUP(TAB_ENTRADA[[#This Row],[Cod_2_Entrada]],TAB_ESTOQUE[[Codigo]:[Referência Tec]],7,FALSE),"")</f>
        <v>0</v>
      </c>
      <c r="D1242" s="15" t="str">
        <f>VLOOKUP(TAB_ENTRADA[[#This Row],[Cod_2_Entrada]],TAB_ESTOQUE[[Codigo]:[Endereço2]],12,FALSE)</f>
        <v>C1103</v>
      </c>
      <c r="E1242" s="15">
        <f>SUM(TAB_ENTRADA[[#This Row],[20/05/2019]:[Colunas1]])</f>
        <v>2</v>
      </c>
      <c r="F1242" s="3"/>
      <c r="FK1242" s="3">
        <v>2</v>
      </c>
    </row>
    <row r="1243" spans="1:167" x14ac:dyDescent="0.25">
      <c r="A1243" s="5" t="s">
        <v>6759</v>
      </c>
      <c r="B1243" s="15" t="str">
        <f>VLOOKUP(TAB_ENTRADA[[#This Row],[Cod_2_Entrada]],TAB_ESTOQUE[[Codigo]:[Descrição Tecnica]],6,FALSE)</f>
        <v xml:space="preserve">CPU SIEMENS 6ES7 212-1HE40-0XB0 </v>
      </c>
      <c r="C1243" s="15">
        <f>IFERROR(VLOOKUP(TAB_ENTRADA[[#This Row],[Cod_2_Entrada]],TAB_ESTOQUE[[Codigo]:[Referência Tec]],7,FALSE),"")</f>
        <v>0</v>
      </c>
      <c r="D1243" s="15" t="str">
        <f>VLOOKUP(TAB_ENTRADA[[#This Row],[Cod_2_Entrada]],TAB_ESTOQUE[[Codigo]:[Endereço2]],12,FALSE)</f>
        <v>B1103</v>
      </c>
      <c r="E1243" s="15">
        <f>SUM(TAB_ENTRADA[[#This Row],[20/05/2019]:[Colunas1]])</f>
        <v>3</v>
      </c>
      <c r="F1243" s="3"/>
      <c r="FK1243" s="3">
        <v>3</v>
      </c>
    </row>
    <row r="1244" spans="1:167" x14ac:dyDescent="0.25">
      <c r="A1244" s="5" t="s">
        <v>6790</v>
      </c>
      <c r="B1244" s="15" t="str">
        <f>VLOOKUP(TAB_ENTRADA[[#This Row],[Cod_2_Entrada]],TAB_ESTOQUE[[Codigo]:[Descrição Tecnica]],6,FALSE)</f>
        <v>SCALANCE XB005 6GK5005-0BA00-1AB2</v>
      </c>
      <c r="C1244" s="15">
        <f>IFERROR(VLOOKUP(TAB_ENTRADA[[#This Row],[Cod_2_Entrada]],TAB_ESTOQUE[[Codigo]:[Referência Tec]],7,FALSE),"")</f>
        <v>0</v>
      </c>
      <c r="D1244" s="15" t="str">
        <f>VLOOKUP(TAB_ENTRADA[[#This Row],[Cod_2_Entrada]],TAB_ESTOQUE[[Codigo]:[Endereço2]],12,FALSE)</f>
        <v>B1103</v>
      </c>
      <c r="E1244" s="15">
        <f>SUM(TAB_ENTRADA[[#This Row],[20/05/2019]:[Colunas1]])</f>
        <v>1</v>
      </c>
      <c r="F1244" s="3"/>
      <c r="FK1244" s="3">
        <v>1</v>
      </c>
    </row>
    <row r="1245" spans="1:167" x14ac:dyDescent="0.25">
      <c r="A1245" s="5" t="s">
        <v>6791</v>
      </c>
      <c r="B1245" s="15" t="str">
        <f>VLOOKUP(TAB_ENTRADA[[#This Row],[Cod_2_Entrada]],TAB_ESTOQUE[[Codigo]:[Descrição Tecnica]],6,FALSE)</f>
        <v xml:space="preserve">QUADRO DE COMANDO DE SOBREPOR CBCHP 460-5/22 </v>
      </c>
      <c r="C1245" s="15">
        <f>IFERROR(VLOOKUP(TAB_ENTRADA[[#This Row],[Cod_2_Entrada]],TAB_ESTOQUE[[Codigo]:[Referência Tec]],7,FALSE),"")</f>
        <v>0</v>
      </c>
      <c r="D1245" s="15" t="str">
        <f>VLOOKUP(TAB_ENTRADA[[#This Row],[Cod_2_Entrada]],TAB_ESTOQUE[[Codigo]:[Endereço2]],12,FALSE)</f>
        <v>A1301</v>
      </c>
      <c r="E1245" s="15">
        <f>SUM(TAB_ENTRADA[[#This Row],[20/05/2019]:[Colunas1]])</f>
        <v>0</v>
      </c>
      <c r="F1245" s="3"/>
      <c r="FK1245" s="3">
        <v>0</v>
      </c>
    </row>
    <row r="1246" spans="1:167" x14ac:dyDescent="0.25">
      <c r="A1246" s="5" t="s">
        <v>6792</v>
      </c>
      <c r="B1246" s="15" t="str">
        <f>VLOOKUP(TAB_ENTRADA[[#This Row],[Cod_2_Entrada]],TAB_ESTOQUE[[Codigo]:[Descrição Tecnica]],6,FALSE)</f>
        <v>BUCHA CENTRALIZADORA NORELEM- REF. 03154-235040 / COD. RAT 64436</v>
      </c>
      <c r="C1246" s="15">
        <f>IFERROR(VLOOKUP(TAB_ENTRADA[[#This Row],[Cod_2_Entrada]],TAB_ESTOQUE[[Codigo]:[Referência Tec]],7,FALSE),"")</f>
        <v>0</v>
      </c>
      <c r="D1246" s="15" t="str">
        <f>VLOOKUP(TAB_ENTRADA[[#This Row],[Cod_2_Entrada]],TAB_ESTOQUE[[Codigo]:[Endereço2]],12,FALSE)</f>
        <v>E1304</v>
      </c>
      <c r="E1246" s="15">
        <f>SUM(TAB_ENTRADA[[#This Row],[20/05/2019]:[Colunas1]])</f>
        <v>13</v>
      </c>
      <c r="F1246" s="3"/>
      <c r="FK1246" s="3">
        <v>13</v>
      </c>
    </row>
    <row r="1247" spans="1:167" x14ac:dyDescent="0.25">
      <c r="A1247" s="5" t="s">
        <v>6793</v>
      </c>
      <c r="B1247" s="15" t="str">
        <f>VLOOKUP(TAB_ENTRADA[[#This Row],[Cod_2_Entrada]],TAB_ESTOQUE[[Codigo]:[Descrição Tecnica]],6,FALSE)</f>
        <v>BUCHA  RCK70 40X65</v>
      </c>
      <c r="C1247" s="15">
        <f>IFERROR(VLOOKUP(TAB_ENTRADA[[#This Row],[Cod_2_Entrada]],TAB_ESTOQUE[[Codigo]:[Referência Tec]],7,FALSE),"")</f>
        <v>0</v>
      </c>
      <c r="D1247" s="15" t="str">
        <f>VLOOKUP(TAB_ENTRADA[[#This Row],[Cod_2_Entrada]],TAB_ESTOQUE[[Codigo]:[Endereço2]],12,FALSE)</f>
        <v>D1106</v>
      </c>
      <c r="E1247" s="15">
        <f>SUM(TAB_ENTRADA[[#This Row],[20/05/2019]:[Colunas1]])</f>
        <v>2</v>
      </c>
      <c r="F1247" s="3"/>
      <c r="FK1247" s="3">
        <v>2</v>
      </c>
    </row>
    <row r="1248" spans="1:167" x14ac:dyDescent="0.25">
      <c r="A1248" s="5" t="s">
        <v>6794</v>
      </c>
      <c r="B1248" s="15" t="str">
        <f>VLOOKUP(TAB_ENTRADA[[#This Row],[Cod_2_Entrada]],TAB_ESTOQUE[[Codigo]:[Descrição Tecnica]],6,FALSE)</f>
        <v>BUCHA CENTRALIZADORA NORELEM- REF.03154-235020 / COD. RAT 64340</v>
      </c>
      <c r="C1248" s="15">
        <f>IFERROR(VLOOKUP(TAB_ENTRADA[[#This Row],[Cod_2_Entrada]],TAB_ESTOQUE[[Codigo]:[Referência Tec]],7,FALSE),"")</f>
        <v>0</v>
      </c>
      <c r="D1248" s="15" t="str">
        <f>VLOOKUP(TAB_ENTRADA[[#This Row],[Cod_2_Entrada]],TAB_ESTOQUE[[Codigo]:[Endereço2]],12,FALSE)</f>
        <v>D1304</v>
      </c>
      <c r="E1248" s="15">
        <f>SUM(TAB_ENTRADA[[#This Row],[20/05/2019]:[Colunas1]])</f>
        <v>0</v>
      </c>
      <c r="F1248" s="3"/>
      <c r="FK1248" s="3">
        <v>0</v>
      </c>
    </row>
    <row r="1249" spans="1:167" x14ac:dyDescent="0.25">
      <c r="A1249" s="5" t="s">
        <v>6797</v>
      </c>
      <c r="B1249" s="15" t="str">
        <f>VLOOKUP(TAB_ENTRADA[[#This Row],[Cod_2_Entrada]],TAB_ESTOQUE[[Codigo]:[Descrição Tecnica]],6,FALSE)</f>
        <v>BUCHA CENTRALIZADORA NORELEM- REF.03154-235040 / COD. RAT 64436</v>
      </c>
      <c r="C1249" s="15">
        <f>IFERROR(VLOOKUP(TAB_ENTRADA[[#This Row],[Cod_2_Entrada]],TAB_ESTOQUE[[Codigo]:[Referência Tec]],7,FALSE),"")</f>
        <v>0</v>
      </c>
      <c r="D1249" s="15" t="str">
        <f>VLOOKUP(TAB_ENTRADA[[#This Row],[Cod_2_Entrada]],TAB_ESTOQUE[[Codigo]:[Endereço2]],12,FALSE)</f>
        <v>D1304</v>
      </c>
      <c r="E1249" s="15">
        <f>SUM(TAB_ENTRADA[[#This Row],[20/05/2019]:[Colunas1]])</f>
        <v>0</v>
      </c>
      <c r="F1249" s="3"/>
      <c r="FK1249" s="3">
        <v>0</v>
      </c>
    </row>
    <row r="1250" spans="1:167" x14ac:dyDescent="0.25">
      <c r="A1250" s="5" t="s">
        <v>6798</v>
      </c>
      <c r="B1250" s="15" t="str">
        <f>VLOOKUP(TAB_ENTRADA[[#This Row],[Cod_2_Entrada]],TAB_ESTOQUE[[Codigo]:[Descrição Tecnica]],6,FALSE)</f>
        <v>TRAVA QUEDA 38X52Kg</v>
      </c>
      <c r="C1250" s="15">
        <f>IFERROR(VLOOKUP(TAB_ENTRADA[[#This Row],[Cod_2_Entrada]],TAB_ESTOQUE[[Codigo]:[Referência Tec]],7,FALSE),"")</f>
        <v>0</v>
      </c>
      <c r="D1250" s="15" t="str">
        <f>VLOOKUP(TAB_ENTRADA[[#This Row],[Cod_2_Entrada]],TAB_ESTOQUE[[Codigo]:[Endereço2]],12,FALSE)</f>
        <v>F1205</v>
      </c>
      <c r="E1250" s="15">
        <f>SUM(TAB_ENTRADA[[#This Row],[20/05/2019]:[Colunas1]])</f>
        <v>1</v>
      </c>
      <c r="F1250" s="3"/>
      <c r="FK1250" s="3">
        <v>1</v>
      </c>
    </row>
    <row r="1251" spans="1:167" x14ac:dyDescent="0.25">
      <c r="A1251" s="5" t="s">
        <v>6799</v>
      </c>
      <c r="B1251" s="15" t="str">
        <f>VLOOKUP(TAB_ENTRADA[[#This Row],[Cod_2_Entrada]],TAB_ESTOQUE[[Codigo]:[Descrição Tecnica]],6,FALSE)</f>
        <v>MANGUEIRA FLEXÍVEL CORRUGADA TIPO VÁCUO-AR 1.1/2" AZUL</v>
      </c>
      <c r="C1251" s="15">
        <f>IFERROR(VLOOKUP(TAB_ENTRADA[[#This Row],[Cod_2_Entrada]],TAB_ESTOQUE[[Codigo]:[Referência Tec]],7,FALSE),"")</f>
        <v>0</v>
      </c>
      <c r="D1251" s="15" t="str">
        <f>VLOOKUP(TAB_ENTRADA[[#This Row],[Cod_2_Entrada]],TAB_ESTOQUE[[Codigo]:[Endereço2]],12,FALSE)</f>
        <v>S504</v>
      </c>
      <c r="E1251" s="15">
        <f>SUM(TAB_ENTRADA[[#This Row],[20/05/2019]:[Colunas1]])</f>
        <v>0</v>
      </c>
      <c r="F1251" s="3"/>
      <c r="FK1251" s="3">
        <v>0</v>
      </c>
    </row>
    <row r="1252" spans="1:167" x14ac:dyDescent="0.25">
      <c r="A1252" s="5" t="s">
        <v>6800</v>
      </c>
      <c r="B1252" s="15" t="str">
        <f>VLOOKUP(TAB_ENTRADA[[#This Row],[Cod_2_Entrada]],TAB_ESTOQUE[[Codigo]:[Descrição Tecnica]],6,FALSE)</f>
        <v>MANGUEIRA FLEXÍVEL CORRUGADA TIPO VÁCUO-AR 1" AZUL</v>
      </c>
      <c r="C1252" s="15">
        <f>IFERROR(VLOOKUP(TAB_ENTRADA[[#This Row],[Cod_2_Entrada]],TAB_ESTOQUE[[Codigo]:[Referência Tec]],7,FALSE),"")</f>
        <v>0</v>
      </c>
      <c r="D1252" s="15" t="str">
        <f>VLOOKUP(TAB_ENTRADA[[#This Row],[Cod_2_Entrada]],TAB_ESTOQUE[[Codigo]:[Endereço2]],12,FALSE)</f>
        <v>S504</v>
      </c>
      <c r="E1252" s="15">
        <f>SUM(TAB_ENTRADA[[#This Row],[20/05/2019]:[Colunas1]])</f>
        <v>0</v>
      </c>
      <c r="F1252" s="3"/>
      <c r="FK1252" s="3">
        <v>0</v>
      </c>
    </row>
    <row r="1253" spans="1:167" x14ac:dyDescent="0.25">
      <c r="A1253" s="5" t="s">
        <v>6801</v>
      </c>
      <c r="B1253" s="15" t="str">
        <f>VLOOKUP(TAB_ENTRADA[[#This Row],[Cod_2_Entrada]],TAB_ESTOQUE[[Codigo]:[Descrição Tecnica]],6,FALSE)</f>
        <v>ESPELHO EMOLDURADO C/ SUPORTE 1770mm PARA CORTINA DE LUZ</v>
      </c>
      <c r="C1253" s="15">
        <f>IFERROR(VLOOKUP(TAB_ENTRADA[[#This Row],[Cod_2_Entrada]],TAB_ESTOQUE[[Codigo]:[Referência Tec]],7,FALSE),"")</f>
        <v>0</v>
      </c>
      <c r="D1253" s="15" t="str">
        <f>VLOOKUP(TAB_ENTRADA[[#This Row],[Cod_2_Entrada]],TAB_ESTOQUE[[Codigo]:[Endereço2]],12,FALSE)</f>
        <v>B1101</v>
      </c>
      <c r="E1253" s="15">
        <f>SUM(TAB_ENTRADA[[#This Row],[20/05/2019]:[Colunas1]])</f>
        <v>0</v>
      </c>
      <c r="F1253" s="3"/>
      <c r="FK1253" s="3">
        <v>0</v>
      </c>
    </row>
    <row r="1254" spans="1:167" x14ac:dyDescent="0.25">
      <c r="A1254" s="5" t="s">
        <v>6802</v>
      </c>
      <c r="B1254" s="15" t="str">
        <f>VLOOKUP(TAB_ENTRADA[[#This Row],[Cod_2_Entrada]],TAB_ESTOQUE[[Codigo]:[Descrição Tecnica]],6,FALSE)</f>
        <v>TRILHO PARA REGUA DE BORNE</v>
      </c>
      <c r="C1254" s="15">
        <f>IFERROR(VLOOKUP(TAB_ENTRADA[[#This Row],[Cod_2_Entrada]],TAB_ESTOQUE[[Codigo]:[Referência Tec]],7,FALSE),"")</f>
        <v>0</v>
      </c>
      <c r="D1254" s="15" t="str">
        <f>VLOOKUP(TAB_ENTRADA[[#This Row],[Cod_2_Entrada]],TAB_ESTOQUE[[Codigo]:[Endereço2]],12,FALSE)</f>
        <v>B2302</v>
      </c>
      <c r="E1254" s="15">
        <f>SUM(TAB_ENTRADA[[#This Row],[20/05/2019]:[Colunas1]])</f>
        <v>3</v>
      </c>
      <c r="F1254" s="3"/>
      <c r="FK1254" s="3">
        <v>3</v>
      </c>
    </row>
    <row r="1255" spans="1:167" x14ac:dyDescent="0.25">
      <c r="A1255" s="5" t="s">
        <v>6803</v>
      </c>
      <c r="B1255" s="15" t="str">
        <f>VLOOKUP(TAB_ENTRADA[[#This Row],[Cod_2_Entrada]],TAB_ESTOQUE[[Codigo]:[Descrição Tecnica]],6,FALSE)</f>
        <v>BLOCO DE VÁLVULA G1/8 FESTO - REF. PRS-3/8-2-B / COD. 30682</v>
      </c>
      <c r="C1255" s="15">
        <f>IFERROR(VLOOKUP(TAB_ENTRADA[[#This Row],[Cod_2_Entrada]],TAB_ESTOQUE[[Codigo]:[Referência Tec]],7,FALSE),"")</f>
        <v>0</v>
      </c>
      <c r="D1255" s="15" t="str">
        <f>VLOOKUP(TAB_ENTRADA[[#This Row],[Cod_2_Entrada]],TAB_ESTOQUE[[Codigo]:[Endereço2]],12,FALSE)</f>
        <v>G1103</v>
      </c>
      <c r="E1255" s="15">
        <f>SUM(TAB_ENTRADA[[#This Row],[20/05/2019]:[Colunas1]])</f>
        <v>0</v>
      </c>
      <c r="F1255" s="3"/>
      <c r="FK1255" s="3">
        <v>0</v>
      </c>
    </row>
    <row r="1256" spans="1:167" x14ac:dyDescent="0.25">
      <c r="A1256" s="5" t="s">
        <v>6804</v>
      </c>
      <c r="B1256" s="15" t="str">
        <f>VLOOKUP(TAB_ENTRADA[[#This Row],[Cod_2_Entrada]],TAB_ESTOQUE[[Codigo]:[Descrição Tecnica]],6,FALSE)</f>
        <v>VÁLVULA DE RETENÇÃO PILOTADA ROSCA G1/2 TUBO 12MM FESTO - REF. HGL-1/2-QS-12 / COD. 530045</v>
      </c>
      <c r="C1256" s="15">
        <f>IFERROR(VLOOKUP(TAB_ENTRADA[[#This Row],[Cod_2_Entrada]],TAB_ESTOQUE[[Codigo]:[Referência Tec]],7,FALSE),"")</f>
        <v>0</v>
      </c>
      <c r="D1256" s="15" t="str">
        <f>VLOOKUP(TAB_ENTRADA[[#This Row],[Cod_2_Entrada]],TAB_ESTOQUE[[Codigo]:[Endereço2]],12,FALSE)</f>
        <v>G1105</v>
      </c>
      <c r="E1256" s="15">
        <f>SUM(TAB_ENTRADA[[#This Row],[20/05/2019]:[Colunas1]])</f>
        <v>0</v>
      </c>
      <c r="F1256" s="3"/>
      <c r="FK1256" s="3">
        <v>0</v>
      </c>
    </row>
    <row r="1257" spans="1:167" x14ac:dyDescent="0.25">
      <c r="A1257" s="5" t="s">
        <v>6805</v>
      </c>
      <c r="B1257" s="15" t="str">
        <f>VLOOKUP(TAB_ENTRADA[[#This Row],[Cod_2_Entrada]],TAB_ESTOQUE[[Codigo]:[Descrição Tecnica]],6,FALSE)</f>
        <v>REDUÇÃO LUVA  25 X ROSCA 3/4"</v>
      </c>
      <c r="C1257" s="15">
        <f>IFERROR(VLOOKUP(TAB_ENTRADA[[#This Row],[Cod_2_Entrada]],TAB_ESTOQUE[[Codigo]:[Referência Tec]],7,FALSE),"")</f>
        <v>0</v>
      </c>
      <c r="D1257" s="15" t="str">
        <f>VLOOKUP(TAB_ENTRADA[[#This Row],[Cod_2_Entrada]],TAB_ESTOQUE[[Codigo]:[Endereço2]],12,FALSE)</f>
        <v>D1403</v>
      </c>
      <c r="E1257" s="15">
        <f>SUM(TAB_ENTRADA[[#This Row],[20/05/2019]:[Colunas1]])</f>
        <v>26</v>
      </c>
      <c r="F1257" s="3"/>
      <c r="FK1257" s="3">
        <v>26</v>
      </c>
    </row>
    <row r="1258" spans="1:167" x14ac:dyDescent="0.25">
      <c r="A1258" s="5" t="s">
        <v>6806</v>
      </c>
      <c r="B1258" s="15" t="str">
        <f>VLOOKUP(TAB_ENTRADA[[#This Row],[Cod_2_Entrada]],TAB_ESTOQUE[[Codigo]:[Descrição Tecnica]],6,FALSE)</f>
        <v>MOTOR ELÉTRICO TRIFÁSICO PARA BOMBA WP 601, 5052146, 460V, 60HZ, 0,5 KW, 1.1A, 3380 RPM, Q 60L/min, MODELO: TM-601-110.0005, REF: 5052146</v>
      </c>
      <c r="C1258" s="15">
        <f>IFERROR(VLOOKUP(TAB_ENTRADA[[#This Row],[Cod_2_Entrada]],TAB_ESTOQUE[[Codigo]:[Referência Tec]],7,FALSE),"")</f>
        <v>0</v>
      </c>
      <c r="D1258" s="15" t="str">
        <f>VLOOKUP(TAB_ENTRADA[[#This Row],[Cod_2_Entrada]],TAB_ESTOQUE[[Codigo]:[Endereço2]],12,FALSE)</f>
        <v>PISO 01</v>
      </c>
      <c r="E1258" s="15">
        <f>SUM(TAB_ENTRADA[[#This Row],[20/05/2019]:[Colunas1]])</f>
        <v>0</v>
      </c>
      <c r="F1258" s="3"/>
      <c r="FK1258" s="3">
        <v>0</v>
      </c>
    </row>
    <row r="1259" spans="1:167" x14ac:dyDescent="0.25">
      <c r="A1259" s="5" t="s">
        <v>6807</v>
      </c>
      <c r="B1259" s="15" t="str">
        <f>VLOOKUP(TAB_ENTRADA[[#This Row],[Cod_2_Entrada]],TAB_ESTOQUE[[Codigo]:[Descrição Tecnica]],6,FALSE)</f>
        <v>RESISTÊNCIA 9KW,  MARCA: GWK - (380V/50/60Hz) - REF: 9051046</v>
      </c>
      <c r="C1259" s="15">
        <f>IFERROR(VLOOKUP(TAB_ENTRADA[[#This Row],[Cod_2_Entrada]],TAB_ESTOQUE[[Codigo]:[Referência Tec]],7,FALSE),"")</f>
        <v>0</v>
      </c>
      <c r="D1259" s="15" t="str">
        <f>VLOOKUP(TAB_ENTRADA[[#This Row],[Cod_2_Entrada]],TAB_ESTOQUE[[Codigo]:[Endereço2]],12,FALSE)</f>
        <v>A1306</v>
      </c>
      <c r="E1259" s="15">
        <f>SUM(TAB_ENTRADA[[#This Row],[20/05/2019]:[Colunas1]])</f>
        <v>0</v>
      </c>
      <c r="F1259" s="3"/>
      <c r="FK1259" s="3">
        <v>0</v>
      </c>
    </row>
    <row r="1260" spans="1:167" x14ac:dyDescent="0.25">
      <c r="A1260" s="5" t="s">
        <v>6808</v>
      </c>
      <c r="B1260" s="15" t="str">
        <f>VLOOKUP(TAB_ENTRADA[[#This Row],[Cod_2_Entrada]],TAB_ESTOQUE[[Codigo]:[Descrição Tecnica]],6,FALSE)</f>
        <v>CORDAO DE BORRACHA 2MM</v>
      </c>
      <c r="C1260" s="15">
        <f>IFERROR(VLOOKUP(TAB_ENTRADA[[#This Row],[Cod_2_Entrada]],TAB_ESTOQUE[[Codigo]:[Referência Tec]],7,FALSE),"")</f>
        <v>0</v>
      </c>
      <c r="D1260" s="15" t="str">
        <f>VLOOKUP(TAB_ENTRADA[[#This Row],[Cod_2_Entrada]],TAB_ESTOQUE[[Codigo]:[Endereço2]],12,FALSE)</f>
        <v>E1306</v>
      </c>
      <c r="E1260" s="15">
        <f>SUM(TAB_ENTRADA[[#This Row],[20/05/2019]:[Colunas1]])</f>
        <v>1.5</v>
      </c>
      <c r="F1260" s="3"/>
      <c r="FK1260" s="3">
        <v>1.5</v>
      </c>
    </row>
    <row r="1261" spans="1:167" x14ac:dyDescent="0.25">
      <c r="A1261" s="5" t="s">
        <v>6809</v>
      </c>
      <c r="B1261" s="15" t="str">
        <f>VLOOKUP(TAB_ENTRADA[[#This Row],[Cod_2_Entrada]],TAB_ESTOQUE[[Codigo]:[Descrição Tecnica]],6,FALSE)</f>
        <v>SERPENTINA DE REFRIGERAÇÃO - REF: 0332243</v>
      </c>
      <c r="C1261" s="15">
        <f>IFERROR(VLOOKUP(TAB_ENTRADA[[#This Row],[Cod_2_Entrada]],TAB_ESTOQUE[[Codigo]:[Referência Tec]],7,FALSE),"")</f>
        <v>0</v>
      </c>
      <c r="D1261" s="15" t="str">
        <f>VLOOKUP(TAB_ENTRADA[[#This Row],[Cod_2_Entrada]],TAB_ESTOQUE[[Codigo]:[Endereço2]],12,FALSE)</f>
        <v>CORREDOR 6</v>
      </c>
      <c r="E1261" s="15">
        <f>SUM(TAB_ENTRADA[[#This Row],[20/05/2019]:[Colunas1]])</f>
        <v>0</v>
      </c>
      <c r="F1261" s="3"/>
      <c r="FK1261" s="3">
        <v>0</v>
      </c>
    </row>
    <row r="1262" spans="1:167" x14ac:dyDescent="0.25">
      <c r="A1262" s="5" t="s">
        <v>6810</v>
      </c>
      <c r="B1262" s="15" t="str">
        <f>VLOOKUP(TAB_ENTRADA[[#This Row],[Cod_2_Entrada]],TAB_ESTOQUE[[Codigo]:[Descrição Tecnica]],6,FALSE)</f>
        <v>CORDAO DE BORRACHA 8MM</v>
      </c>
      <c r="C1262" s="15">
        <f>IFERROR(VLOOKUP(TAB_ENTRADA[[#This Row],[Cod_2_Entrada]],TAB_ESTOQUE[[Codigo]:[Referência Tec]],7,FALSE),"")</f>
        <v>0</v>
      </c>
      <c r="D1262" s="15" t="str">
        <f>VLOOKUP(TAB_ENTRADA[[#This Row],[Cod_2_Entrada]],TAB_ESTOQUE[[Codigo]:[Endereço2]],12,FALSE)</f>
        <v>E1306</v>
      </c>
      <c r="E1262" s="15">
        <f>SUM(TAB_ENTRADA[[#This Row],[20/05/2019]:[Colunas1]])</f>
        <v>2</v>
      </c>
      <c r="F1262" s="3"/>
      <c r="FK1262" s="3">
        <v>2</v>
      </c>
    </row>
    <row r="1263" spans="1:167" x14ac:dyDescent="0.25">
      <c r="A1263" s="5" t="s">
        <v>6811</v>
      </c>
      <c r="B1263" s="15" t="str">
        <f>VLOOKUP(TAB_ENTRADA[[#This Row],[Cod_2_Entrada]],TAB_ESTOQUE[[Codigo]:[Descrição Tecnica]],6,FALSE)</f>
        <v xml:space="preserve">CONTATOR DE POTÊNCIA DOS RELES , MARCA: SCHNEIDER, MODELO: LC1D12,REF: 9121027
</v>
      </c>
      <c r="C1263" s="15">
        <f>IFERROR(VLOOKUP(TAB_ENTRADA[[#This Row],[Cod_2_Entrada]],TAB_ESTOQUE[[Codigo]:[Referência Tec]],7,FALSE),"")</f>
        <v>0</v>
      </c>
      <c r="D1263" s="15" t="str">
        <f>VLOOKUP(TAB_ENTRADA[[#This Row],[Cod_2_Entrada]],TAB_ESTOQUE[[Codigo]:[Endereço2]],12,FALSE)</f>
        <v>A1303</v>
      </c>
      <c r="E1263" s="15">
        <f>SUM(TAB_ENTRADA[[#This Row],[20/05/2019]:[Colunas1]])</f>
        <v>0</v>
      </c>
      <c r="F1263" s="3"/>
      <c r="FK1263" s="3">
        <v>0</v>
      </c>
    </row>
    <row r="1264" spans="1:167" x14ac:dyDescent="0.25">
      <c r="A1264" s="5" t="s">
        <v>6812</v>
      </c>
      <c r="B1264" s="15" t="str">
        <f>VLOOKUP(TAB_ENTRADA[[#This Row],[Cod_2_Entrada]],TAB_ESTOQUE[[Codigo]:[Descrição Tecnica]],6,FALSE)</f>
        <v>CHAVE GERAL,MODELO: 1132/N3/7ZM/Z10/20/PE 34W - REF : 9150843</v>
      </c>
      <c r="C1264" s="15">
        <f>IFERROR(VLOOKUP(TAB_ENTRADA[[#This Row],[Cod_2_Entrada]],TAB_ESTOQUE[[Codigo]:[Referência Tec]],7,FALSE),"")</f>
        <v>0</v>
      </c>
      <c r="D1264" s="15" t="str">
        <f>VLOOKUP(TAB_ENTRADA[[#This Row],[Cod_2_Entrada]],TAB_ESTOQUE[[Codigo]:[Endereço2]],12,FALSE)</f>
        <v>G1104</v>
      </c>
      <c r="E1264" s="15">
        <f>SUM(TAB_ENTRADA[[#This Row],[20/05/2019]:[Colunas1]])</f>
        <v>0</v>
      </c>
      <c r="F1264" s="3"/>
      <c r="FK1264" s="3">
        <v>0</v>
      </c>
    </row>
    <row r="1265" spans="1:167" x14ac:dyDescent="0.25">
      <c r="A1265" s="5" t="s">
        <v>6813</v>
      </c>
      <c r="B1265" s="15" t="str">
        <f>VLOOKUP(TAB_ENTRADA[[#This Row],[Cod_2_Entrada]],TAB_ESTOQUE[[Codigo]:[Descrição Tecnica]],6,FALSE)</f>
        <v>TRANSFORMADOR 420/24V ,0.063KVA,  2,6A, 50/60Hz, MARCA: GWK - REF: 9190449</v>
      </c>
      <c r="C1265" s="15">
        <f>IFERROR(VLOOKUP(TAB_ENTRADA[[#This Row],[Cod_2_Entrada]],TAB_ESTOQUE[[Codigo]:[Referência Tec]],7,FALSE),"")</f>
        <v>0</v>
      </c>
      <c r="D1265" s="15" t="str">
        <f>VLOOKUP(TAB_ENTRADA[[#This Row],[Cod_2_Entrada]],TAB_ESTOQUE[[Codigo]:[Endereço2]],12,FALSE)</f>
        <v>G1104</v>
      </c>
      <c r="E1265" s="15">
        <f>SUM(TAB_ENTRADA[[#This Row],[20/05/2019]:[Colunas1]])</f>
        <v>0</v>
      </c>
      <c r="F1265" s="3"/>
      <c r="FK1265" s="3">
        <v>0</v>
      </c>
    </row>
    <row r="1266" spans="1:167" x14ac:dyDescent="0.25">
      <c r="A1266" s="5" t="s">
        <v>6814</v>
      </c>
      <c r="B1266" s="15" t="str">
        <f>VLOOKUP(TAB_ENTRADA[[#This Row],[Cod_2_Entrada]],TAB_ESTOQUE[[Codigo]:[Descrição Tecnica]],6,FALSE)</f>
        <v>PLACA DE CIRCUITO IMPRESSO, CSREG V1.0, REF: 9070855</v>
      </c>
      <c r="C1266" s="15">
        <f>IFERROR(VLOOKUP(TAB_ENTRADA[[#This Row],[Cod_2_Entrada]],TAB_ESTOQUE[[Codigo]:[Referência Tec]],7,FALSE),"")</f>
        <v>0</v>
      </c>
      <c r="D1266" s="15" t="str">
        <f>VLOOKUP(TAB_ENTRADA[[#This Row],[Cod_2_Entrada]],TAB_ESTOQUE[[Codigo]:[Endereço2]],12,FALSE)</f>
        <v>G1104</v>
      </c>
      <c r="E1266" s="15">
        <f>SUM(TAB_ENTRADA[[#This Row],[20/05/2019]:[Colunas1]])</f>
        <v>0</v>
      </c>
      <c r="F1266" s="3"/>
      <c r="FK1266" s="3">
        <v>0</v>
      </c>
    </row>
    <row r="1267" spans="1:167" x14ac:dyDescent="0.25">
      <c r="A1267" s="5" t="s">
        <v>6815</v>
      </c>
      <c r="B1267" s="15" t="str">
        <f>VLOOKUP(TAB_ENTRADA[[#This Row],[Cod_2_Entrada]],TAB_ESTOQUE[[Codigo]:[Descrição Tecnica]],6,FALSE)</f>
        <v>PAINEL TOUCH SCREEN, REF: 9071111</v>
      </c>
      <c r="C1267" s="15">
        <f>IFERROR(VLOOKUP(TAB_ENTRADA[[#This Row],[Cod_2_Entrada]],TAB_ESTOQUE[[Codigo]:[Referência Tec]],7,FALSE),"")</f>
        <v>0</v>
      </c>
      <c r="D1267" s="15" t="str">
        <f>VLOOKUP(TAB_ENTRADA[[#This Row],[Cod_2_Entrada]],TAB_ESTOQUE[[Codigo]:[Endereço2]],12,FALSE)</f>
        <v>G1104</v>
      </c>
      <c r="E1267" s="15">
        <f>SUM(TAB_ENTRADA[[#This Row],[20/05/2019]:[Colunas1]])</f>
        <v>0</v>
      </c>
      <c r="F1267" s="3"/>
      <c r="FK1267" s="3">
        <v>0</v>
      </c>
    </row>
    <row r="1268" spans="1:167" x14ac:dyDescent="0.25">
      <c r="A1268" s="5" t="s">
        <v>6816</v>
      </c>
      <c r="B1268" s="15" t="str">
        <f>VLOOKUP(TAB_ENTRADA[[#This Row],[Cod_2_Entrada]],TAB_ESTOQUE[[Codigo]:[Descrição Tecnica]],6,FALSE)</f>
        <v>TRANSMISSOR DE SINAIS , REF: 9030150</v>
      </c>
      <c r="C1268" s="15">
        <f>IFERROR(VLOOKUP(TAB_ENTRADA[[#This Row],[Cod_2_Entrada]],TAB_ESTOQUE[[Codigo]:[Referência Tec]],7,FALSE),"")</f>
        <v>0</v>
      </c>
      <c r="D1268" s="15" t="str">
        <f>VLOOKUP(TAB_ENTRADA[[#This Row],[Cod_2_Entrada]],TAB_ESTOQUE[[Codigo]:[Endereço2]],12,FALSE)</f>
        <v>G1104</v>
      </c>
      <c r="E1268" s="15">
        <f>SUM(TAB_ENTRADA[[#This Row],[20/05/2019]:[Colunas1]])</f>
        <v>0</v>
      </c>
      <c r="F1268" s="3"/>
      <c r="FK1268" s="3">
        <v>0</v>
      </c>
    </row>
    <row r="1269" spans="1:167" x14ac:dyDescent="0.25">
      <c r="A1269" s="5" t="s">
        <v>6817</v>
      </c>
      <c r="B1269" s="15" t="str">
        <f>VLOOKUP(TAB_ENTRADA[[#This Row],[Cod_2_Entrada]],TAB_ESTOQUE[[Codigo]:[Descrição Tecnica]],6,FALSE)</f>
        <v>TRANSMISSOR DE TEMPERATURA GWK KABEL, MODELO S&amp;S KW 12/14-L 407 PT100, REF: 9914933, posição 3</v>
      </c>
      <c r="C1269" s="15">
        <f>IFERROR(VLOOKUP(TAB_ENTRADA[[#This Row],[Cod_2_Entrada]],TAB_ESTOQUE[[Codigo]:[Referência Tec]],7,FALSE),"")</f>
        <v>0</v>
      </c>
      <c r="D1269" s="15" t="str">
        <f>VLOOKUP(TAB_ENTRADA[[#This Row],[Cod_2_Entrada]],TAB_ESTOQUE[[Codigo]:[Endereço2]],12,FALSE)</f>
        <v>G1104</v>
      </c>
      <c r="E1269" s="15">
        <f>SUM(TAB_ENTRADA[[#This Row],[20/05/2019]:[Colunas1]])</f>
        <v>0</v>
      </c>
      <c r="F1269" s="3"/>
      <c r="FK1269" s="3">
        <v>0</v>
      </c>
    </row>
    <row r="1270" spans="1:167" x14ac:dyDescent="0.25">
      <c r="A1270" s="5" t="s">
        <v>6818</v>
      </c>
      <c r="B1270" s="15" t="str">
        <f>VLOOKUP(TAB_ENTRADA[[#This Row],[Cod_2_Entrada]],TAB_ESTOQUE[[Codigo]:[Descrição Tecnica]],6,FALSE)</f>
        <v>MICRO COMUTADOR , REF: 9150754 , posição 9</v>
      </c>
      <c r="C1270" s="15">
        <f>IFERROR(VLOOKUP(TAB_ENTRADA[[#This Row],[Cod_2_Entrada]],TAB_ESTOQUE[[Codigo]:[Referência Tec]],7,FALSE),"")</f>
        <v>0</v>
      </c>
      <c r="D1270" s="15" t="str">
        <f>VLOOKUP(TAB_ENTRADA[[#This Row],[Cod_2_Entrada]],TAB_ESTOQUE[[Codigo]:[Endereço2]],12,FALSE)</f>
        <v>G1104</v>
      </c>
      <c r="E1270" s="15">
        <f>SUM(TAB_ENTRADA[[#This Row],[20/05/2019]:[Colunas1]])</f>
        <v>0</v>
      </c>
      <c r="F1270" s="3"/>
      <c r="FK1270" s="3">
        <v>0</v>
      </c>
    </row>
    <row r="1271" spans="1:167" x14ac:dyDescent="0.25">
      <c r="A1271" s="5" t="s">
        <v>6838</v>
      </c>
      <c r="B1271" s="15" t="str">
        <f>VLOOKUP(TAB_ENTRADA[[#This Row],[Cod_2_Entrada]],TAB_ESTOQUE[[Codigo]:[Descrição Tecnica]],6,FALSE)</f>
        <v>RELÉ DE ACIONAMENTO DA VALVULA - MARCA: CELDUC - REF: SO867970</v>
      </c>
      <c r="C1271" s="15">
        <f>IFERROR(VLOOKUP(TAB_ENTRADA[[#This Row],[Cod_2_Entrada]],TAB_ESTOQUE[[Codigo]:[Referência Tec]],7,FALSE),"")</f>
        <v>0</v>
      </c>
      <c r="D1271" s="15" t="str">
        <f>VLOOKUP(TAB_ENTRADA[[#This Row],[Cod_2_Entrada]],TAB_ESTOQUE[[Codigo]:[Endereço2]],12,FALSE)</f>
        <v>G1104</v>
      </c>
      <c r="E1271" s="15">
        <f>SUM(TAB_ENTRADA[[#This Row],[20/05/2019]:[Colunas1]])</f>
        <v>0</v>
      </c>
      <c r="F1271" s="3"/>
      <c r="FK1271" s="3">
        <v>0</v>
      </c>
    </row>
    <row r="1272" spans="1:167" x14ac:dyDescent="0.25">
      <c r="A1272" s="5" t="s">
        <v>6839</v>
      </c>
      <c r="B1272" s="15" t="str">
        <f>VLOOKUP(TAB_ENTRADA[[#This Row],[Cod_2_Entrada]],TAB_ESTOQUE[[Codigo]:[Descrição Tecnica]],6,FALSE)</f>
        <v>ENGATE RAPIDO MACHO DN19</v>
      </c>
      <c r="C1272" s="15">
        <f>IFERROR(VLOOKUP(TAB_ENTRADA[[#This Row],[Cod_2_Entrada]],TAB_ESTOQUE[[Codigo]:[Referência Tec]],7,FALSE),"")</f>
        <v>0</v>
      </c>
      <c r="D1272" s="15" t="str">
        <f>VLOOKUP(TAB_ENTRADA[[#This Row],[Cod_2_Entrada]],TAB_ESTOQUE[[Codigo]:[Endereço2]],12,FALSE)</f>
        <v>D1404</v>
      </c>
      <c r="E1272" s="15">
        <f>SUM(TAB_ENTRADA[[#This Row],[20/05/2019]:[Colunas1]])</f>
        <v>59</v>
      </c>
      <c r="F1272" s="3"/>
      <c r="FK1272" s="3">
        <v>59</v>
      </c>
    </row>
    <row r="1273" spans="1:167" x14ac:dyDescent="0.25">
      <c r="A1273" s="5" t="s">
        <v>6840</v>
      </c>
      <c r="B1273" s="15" t="str">
        <f>VLOOKUP(TAB_ENTRADA[[#This Row],[Cod_2_Entrada]],TAB_ESTOQUE[[Codigo]:[Descrição Tecnica]],6,FALSE)</f>
        <v>GERADOR DE VÁCUO PNEUMÁTICO PIAB CODE: PCL.X2BN.S.10D.SV</v>
      </c>
      <c r="C1273" s="15">
        <f>IFERROR(VLOOKUP(TAB_ENTRADA[[#This Row],[Cod_2_Entrada]],TAB_ESTOQUE[[Codigo]:[Referência Tec]],7,FALSE),"")</f>
        <v>0</v>
      </c>
      <c r="D1273" s="15" t="str">
        <f>VLOOKUP(TAB_ENTRADA[[#This Row],[Cod_2_Entrada]],TAB_ESTOQUE[[Codigo]:[Endereço2]],12,FALSE)</f>
        <v>G1101</v>
      </c>
      <c r="E1273" s="15">
        <f>SUM(TAB_ENTRADA[[#This Row],[20/05/2019]:[Colunas1]])</f>
        <v>2</v>
      </c>
      <c r="F1273" s="3"/>
      <c r="FK1273" s="3">
        <v>2</v>
      </c>
    </row>
    <row r="1274" spans="1:167" x14ac:dyDescent="0.25">
      <c r="A1274" s="5" t="s">
        <v>6841</v>
      </c>
      <c r="B1274" s="15" t="str">
        <f>VLOOKUP(TAB_ENTRADA[[#This Row],[Cod_2_Entrada]],TAB_ESTOQUE[[Codigo]:[Descrição Tecnica]],6,FALSE)</f>
        <v>CONECTOR SINDAL 10MM DE PORCELANA</v>
      </c>
      <c r="C1274" s="15">
        <f>IFERROR(VLOOKUP(TAB_ENTRADA[[#This Row],[Cod_2_Entrada]],TAB_ESTOQUE[[Codigo]:[Referência Tec]],7,FALSE),"")</f>
        <v>0</v>
      </c>
      <c r="D1274" s="15" t="str">
        <f>VLOOKUP(TAB_ENTRADA[[#This Row],[Cod_2_Entrada]],TAB_ESTOQUE[[Codigo]:[Endereço2]],12,FALSE)</f>
        <v>B2104</v>
      </c>
      <c r="E1274" s="15">
        <f>SUM(TAB_ENTRADA[[#This Row],[20/05/2019]:[Colunas1]])</f>
        <v>30</v>
      </c>
      <c r="F1274" s="3"/>
      <c r="FK1274" s="3">
        <v>30</v>
      </c>
    </row>
    <row r="1275" spans="1:167" x14ac:dyDescent="0.25">
      <c r="A1275" s="5" t="s">
        <v>6842</v>
      </c>
      <c r="B1275" s="15" t="str">
        <f>VLOOKUP(TAB_ENTRADA[[#This Row],[Cod_2_Entrada]],TAB_ESTOQUE[[Codigo]:[Descrição Tecnica]],6,FALSE)</f>
        <v>DISJUNTOR MOTOR GZ1E07 B</v>
      </c>
      <c r="C1275" s="15">
        <f>IFERROR(VLOOKUP(TAB_ENTRADA[[#This Row],[Cod_2_Entrada]],TAB_ESTOQUE[[Codigo]:[Referência Tec]],7,FALSE),"")</f>
        <v>0</v>
      </c>
      <c r="D1275" s="15" t="str">
        <f>VLOOKUP(TAB_ENTRADA[[#This Row],[Cod_2_Entrada]],TAB_ESTOQUE[[Codigo]:[Endereço2]],12,FALSE)</f>
        <v>A1303</v>
      </c>
      <c r="E1275" s="15">
        <f>SUM(TAB_ENTRADA[[#This Row],[20/05/2019]:[Colunas1]])</f>
        <v>0</v>
      </c>
      <c r="F1275" s="3"/>
      <c r="FK1275" s="3">
        <v>0</v>
      </c>
    </row>
    <row r="1276" spans="1:167" x14ac:dyDescent="0.25">
      <c r="A1276" s="5" t="s">
        <v>6900</v>
      </c>
      <c r="B1276" s="15" t="str">
        <f>VLOOKUP(TAB_ENTRADA[[#This Row],[Cod_2_Entrada]],TAB_ESTOQUE[[Codigo]:[Descrição Tecnica]],6,FALSE)</f>
        <v xml:space="preserve">MODULO DE EXPANSAO SR3 XT141BD </v>
      </c>
      <c r="C1276" s="15">
        <f>IFERROR(VLOOKUP(TAB_ENTRADA[[#This Row],[Cod_2_Entrada]],TAB_ESTOQUE[[Codigo]:[Referência Tec]],7,FALSE),"")</f>
        <v>0</v>
      </c>
      <c r="D1276" s="15" t="str">
        <f>VLOOKUP(TAB_ENTRADA[[#This Row],[Cod_2_Entrada]],TAB_ESTOQUE[[Codigo]:[Endereço2]],12,FALSE)</f>
        <v>A1304</v>
      </c>
      <c r="E1276" s="15">
        <f>SUM(TAB_ENTRADA[[#This Row],[20/05/2019]:[Colunas1]])</f>
        <v>1</v>
      </c>
      <c r="F1276" s="3"/>
      <c r="FK1276" s="3">
        <v>1</v>
      </c>
    </row>
    <row r="1277" spans="1:167" x14ac:dyDescent="0.25">
      <c r="A1277" s="5" t="s">
        <v>6915</v>
      </c>
      <c r="B1277" s="15" t="str">
        <f>VLOOKUP(TAB_ENTRADA[[#This Row],[Cod_2_Entrada]],TAB_ESTOQUE[[Codigo]:[Descrição Tecnica]],6,FALSE)</f>
        <v xml:space="preserve">TERMINAL BLOCK ID No.: 774195   PILZ </v>
      </c>
      <c r="C1277" s="15">
        <f>IFERROR(VLOOKUP(TAB_ENTRADA[[#This Row],[Cod_2_Entrada]],TAB_ESTOQUE[[Codigo]:[Referência Tec]],7,FALSE),"")</f>
        <v>0</v>
      </c>
      <c r="D1277" s="15" t="str">
        <f>VLOOKUP(TAB_ENTRADA[[#This Row],[Cod_2_Entrada]],TAB_ESTOQUE[[Codigo]:[Endereço2]],12,FALSE)</f>
        <v>A1304</v>
      </c>
      <c r="E1277" s="15">
        <f>SUM(TAB_ENTRADA[[#This Row],[20/05/2019]:[Colunas1]])</f>
        <v>0</v>
      </c>
      <c r="F1277" s="3"/>
      <c r="FK1277" s="3">
        <v>0</v>
      </c>
    </row>
    <row r="1278" spans="1:167" x14ac:dyDescent="0.25">
      <c r="A1278" s="5" t="s">
        <v>6916</v>
      </c>
      <c r="B1278" s="15" t="str">
        <f>VLOOKUP(TAB_ENTRADA[[#This Row],[Cod_2_Entrada]],TAB_ESTOQUE[[Codigo]:[Descrição Tecnica]],6,FALSE)</f>
        <v>SENSOR OPTICO BANNER EID: 3094849 LTF12IC2LDQ</v>
      </c>
      <c r="C1278" s="15">
        <f>IFERROR(VLOOKUP(TAB_ENTRADA[[#This Row],[Cod_2_Entrada]],TAB_ESTOQUE[[Codigo]:[Referência Tec]],7,FALSE),"")</f>
        <v>0</v>
      </c>
      <c r="D1278" s="15" t="str">
        <f>VLOOKUP(TAB_ENTRADA[[#This Row],[Cod_2_Entrada]],TAB_ESTOQUE[[Codigo]:[Endereço2]],12,FALSE)</f>
        <v>A1104</v>
      </c>
      <c r="E1278" s="15">
        <f>SUM(TAB_ENTRADA[[#This Row],[20/05/2019]:[Colunas1]])</f>
        <v>2</v>
      </c>
      <c r="F1278" s="3"/>
      <c r="FK1278" s="3">
        <v>2</v>
      </c>
    </row>
    <row r="1279" spans="1:167" x14ac:dyDescent="0.25">
      <c r="A1279" s="5" t="s">
        <v>6917</v>
      </c>
      <c r="B1279" s="15" t="str">
        <f>VLOOKUP(TAB_ENTRADA[[#This Row],[Cod_2_Entrada]],TAB_ESTOQUE[[Codigo]:[Descrição Tecnica]],6,FALSE)</f>
        <v>PRESSOSTATO HYDAC VM 2 D.0/-L24 FILTER CLOGGING INDICATORS</v>
      </c>
      <c r="C1279" s="15">
        <f>IFERROR(VLOOKUP(TAB_ENTRADA[[#This Row],[Cod_2_Entrada]],TAB_ESTOQUE[[Codigo]:[Referência Tec]],7,FALSE),"")</f>
        <v>0</v>
      </c>
      <c r="D1279" s="15" t="str">
        <f>VLOOKUP(TAB_ENTRADA[[#This Row],[Cod_2_Entrada]],TAB_ESTOQUE[[Codigo]:[Endereço2]],12,FALSE)</f>
        <v>A1103</v>
      </c>
      <c r="E1279" s="15">
        <f>SUM(TAB_ENTRADA[[#This Row],[20/05/2019]:[Colunas1]])</f>
        <v>3</v>
      </c>
      <c r="F1279" s="3"/>
      <c r="FK1279" s="3">
        <v>3</v>
      </c>
    </row>
    <row r="1280" spans="1:167" x14ac:dyDescent="0.25">
      <c r="A1280" s="5" t="s">
        <v>6918</v>
      </c>
      <c r="B1280" s="15" t="str">
        <f>VLOOKUP(TAB_ENTRADA[[#This Row],[Cod_2_Entrada]],TAB_ESTOQUE[[Codigo]:[Descrição Tecnica]],6,FALSE)</f>
        <v xml:space="preserve">PRESILHA 3/8 PARA CABO DE AÇO </v>
      </c>
      <c r="C1280" s="15">
        <f>IFERROR(VLOOKUP(TAB_ENTRADA[[#This Row],[Cod_2_Entrada]],TAB_ESTOQUE[[Codigo]:[Referência Tec]],7,FALSE),"")</f>
        <v>0</v>
      </c>
      <c r="D1280" s="15" t="str">
        <f>VLOOKUP(TAB_ENTRADA[[#This Row],[Cod_2_Entrada]],TAB_ESTOQUE[[Codigo]:[Endereço2]],12,FALSE)</f>
        <v>F2104</v>
      </c>
      <c r="E1280" s="15">
        <f>SUM(TAB_ENTRADA[[#This Row],[20/05/2019]:[Colunas1]])</f>
        <v>0</v>
      </c>
      <c r="F1280" s="3"/>
      <c r="FK1280" s="3">
        <v>0</v>
      </c>
    </row>
    <row r="1281" spans="1:169" x14ac:dyDescent="0.25">
      <c r="A1281" s="5" t="s">
        <v>6919</v>
      </c>
      <c r="B1281" s="15" t="str">
        <f>VLOOKUP(TAB_ENTRADA[[#This Row],[Cod_2_Entrada]],TAB_ESTOQUE[[Codigo]:[Descrição Tecnica]],6,FALSE)</f>
        <v xml:space="preserve">SENSOR COM CABO INDUTIVO SCHMERSAL IFL 4-12-11P 171676 </v>
      </c>
      <c r="C1281" s="15">
        <f>IFERROR(VLOOKUP(TAB_ENTRADA[[#This Row],[Cod_2_Entrada]],TAB_ESTOQUE[[Codigo]:[Referência Tec]],7,FALSE),"")</f>
        <v>0</v>
      </c>
      <c r="D1281" s="15" t="str">
        <f>VLOOKUP(TAB_ENTRADA[[#This Row],[Cod_2_Entrada]],TAB_ESTOQUE[[Codigo]:[Endereço2]],12,FALSE)</f>
        <v>A2203</v>
      </c>
      <c r="E1281" s="15">
        <f>SUM(TAB_ENTRADA[[#This Row],[20/05/2019]:[Colunas1]])</f>
        <v>4</v>
      </c>
      <c r="F1281" s="3"/>
      <c r="FK1281" s="3">
        <v>4</v>
      </c>
    </row>
    <row r="1282" spans="1:169" x14ac:dyDescent="0.25">
      <c r="A1282" s="5" t="s">
        <v>6920</v>
      </c>
      <c r="B1282" s="15" t="str">
        <f>VLOOKUP(TAB_ENTRADA[[#This Row],[Cod_2_Entrada]],TAB_ESTOQUE[[Codigo]:[Descrição Tecnica]],6,FALSE)</f>
        <v>CHAVE SELETORA MANOPLA CURTA 2NA 3P XA2ED33</v>
      </c>
      <c r="C1282" s="15">
        <f>IFERROR(VLOOKUP(TAB_ENTRADA[[#This Row],[Cod_2_Entrada]],TAB_ESTOQUE[[Codigo]:[Referência Tec]],7,FALSE),"")</f>
        <v>0</v>
      </c>
      <c r="D1282" s="15" t="str">
        <f>VLOOKUP(TAB_ENTRADA[[#This Row],[Cod_2_Entrada]],TAB_ESTOQUE[[Codigo]:[Endereço2]],12,FALSE)</f>
        <v>A2305</v>
      </c>
      <c r="E1282" s="15">
        <f>SUM(TAB_ENTRADA[[#This Row],[20/05/2019]:[Colunas1]])</f>
        <v>8</v>
      </c>
      <c r="F1282" s="3"/>
      <c r="FK1282" s="3">
        <v>8</v>
      </c>
    </row>
    <row r="1283" spans="1:169" x14ac:dyDescent="0.25">
      <c r="A1283" s="5" t="s">
        <v>6921</v>
      </c>
      <c r="B1283" s="15" t="str">
        <f>VLOOKUP(TAB_ENTRADA[[#This Row],[Cod_2_Entrada]],TAB_ESTOQUE[[Codigo]:[Descrição Tecnica]],6,FALSE)</f>
        <v>CHAVE SELETORA MANOPLA CURTA 1NF 2  XA2ED25</v>
      </c>
      <c r="C1283" s="15">
        <f>IFERROR(VLOOKUP(TAB_ENTRADA[[#This Row],[Cod_2_Entrada]],TAB_ESTOQUE[[Codigo]:[Referência Tec]],7,FALSE),"")</f>
        <v>0</v>
      </c>
      <c r="D1283" s="15" t="str">
        <f>VLOOKUP(TAB_ENTRADA[[#This Row],[Cod_2_Entrada]],TAB_ESTOQUE[[Codigo]:[Endereço2]],12,FALSE)</f>
        <v>A2305</v>
      </c>
      <c r="E1283" s="15">
        <f>SUM(TAB_ENTRADA[[#This Row],[20/05/2019]:[Colunas1]])</f>
        <v>2</v>
      </c>
      <c r="F1283" s="3"/>
      <c r="FK1283" s="3">
        <v>2</v>
      </c>
    </row>
    <row r="1284" spans="1:169" x14ac:dyDescent="0.25">
      <c r="A1284" s="5" t="s">
        <v>6925</v>
      </c>
      <c r="B1284" s="15" t="str">
        <f>VLOOKUP(TAB_ENTRADA[[#This Row],[Cod_2_Entrada]],TAB_ESTOQUE[[Codigo]:[Descrição Tecnica]],6,FALSE)</f>
        <v>RELE TEMPORIZADOR  RE17RLMU ZELIO TIME GB/T14048.5</v>
      </c>
      <c r="C1284" s="15">
        <f>IFERROR(VLOOKUP(TAB_ENTRADA[[#This Row],[Cod_2_Entrada]],TAB_ESTOQUE[[Codigo]:[Referência Tec]],7,FALSE),"")</f>
        <v>0</v>
      </c>
      <c r="D1284" s="15" t="str">
        <f>VLOOKUP(TAB_ENTRADA[[#This Row],[Cod_2_Entrada]],TAB_ESTOQUE[[Codigo]:[Endereço2]],12,FALSE)</f>
        <v>A1303</v>
      </c>
      <c r="E1284" s="15">
        <f>SUM(TAB_ENTRADA[[#This Row],[20/05/2019]:[Colunas1]])</f>
        <v>0</v>
      </c>
      <c r="F1284" s="3"/>
      <c r="FK1284" s="3">
        <v>0</v>
      </c>
    </row>
    <row r="1285" spans="1:169" x14ac:dyDescent="0.25">
      <c r="A1285" s="5" t="s">
        <v>6926</v>
      </c>
      <c r="B1285" s="15" t="str">
        <f>VLOOKUP(TAB_ENTRADA[[#This Row],[Cod_2_Entrada]],TAB_ESTOQUE[[Codigo]:[Descrição Tecnica]],6,FALSE)</f>
        <v>MODULAR SMART RELAY ZELIO CLOCK-DISPLAY SR3 B261BD 24VDC</v>
      </c>
      <c r="C1285" s="15">
        <f>IFERROR(VLOOKUP(TAB_ENTRADA[[#This Row],[Cod_2_Entrada]],TAB_ESTOQUE[[Codigo]:[Referência Tec]],7,FALSE),"")</f>
        <v>0</v>
      </c>
      <c r="D1285" s="15" t="str">
        <f>VLOOKUP(TAB_ENTRADA[[#This Row],[Cod_2_Entrada]],TAB_ESTOQUE[[Codigo]:[Endereço2]],12,FALSE)</f>
        <v>A1303</v>
      </c>
      <c r="E1285" s="15">
        <f>SUM(TAB_ENTRADA[[#This Row],[20/05/2019]:[Colunas1]])</f>
        <v>1</v>
      </c>
      <c r="F1285" s="3"/>
      <c r="FK1285" s="3">
        <v>1</v>
      </c>
    </row>
    <row r="1286" spans="1:169" x14ac:dyDescent="0.25">
      <c r="A1286" s="5" t="s">
        <v>6927</v>
      </c>
      <c r="B1286" s="15" t="str">
        <f>VLOOKUP(TAB_ENTRADA[[#This Row],[Cod_2_Entrada]],TAB_ESTOQUE[[Codigo]:[Descrição Tecnica]],6,FALSE)</f>
        <v>FONTE ABL2REM24100H SCHNEIDER 24VDC 250W</v>
      </c>
      <c r="C1286" s="15">
        <f>IFERROR(VLOOKUP(TAB_ENTRADA[[#This Row],[Cod_2_Entrada]],TAB_ESTOQUE[[Codigo]:[Referência Tec]],7,FALSE),"")</f>
        <v>0</v>
      </c>
      <c r="D1286" s="15" t="str">
        <f>VLOOKUP(TAB_ENTRADA[[#This Row],[Cod_2_Entrada]],TAB_ESTOQUE[[Codigo]:[Endereço2]],12,FALSE)</f>
        <v>A2302</v>
      </c>
      <c r="E1286" s="15">
        <f>SUM(TAB_ENTRADA[[#This Row],[20/05/2019]:[Colunas1]])</f>
        <v>5</v>
      </c>
      <c r="F1286" s="3"/>
      <c r="FK1286" s="3">
        <v>5</v>
      </c>
    </row>
    <row r="1287" spans="1:169" x14ac:dyDescent="0.25">
      <c r="A1287" s="5" t="s">
        <v>6928</v>
      </c>
      <c r="B1287" s="15" t="str">
        <f>VLOOKUP(TAB_ENTRADA[[#This Row],[Cod_2_Entrada]],TAB_ESTOQUE[[Codigo]:[Descrição Tecnica]],6,FALSE)</f>
        <v>Bomba De Refrigeração Asten  CD:30921  NS:2002951  450W  Ip/In 4.17/3.87 FP 0.83/0.87  NBR 7094</v>
      </c>
      <c r="C1287" s="15">
        <f>IFERROR(VLOOKUP(TAB_ENTRADA[[#This Row],[Cod_2_Entrada]],TAB_ESTOQUE[[Codigo]:[Referência Tec]],7,FALSE),"")</f>
        <v>0</v>
      </c>
      <c r="D1287" s="15" t="str">
        <f>VLOOKUP(TAB_ENTRADA[[#This Row],[Cod_2_Entrada]],TAB_ESTOQUE[[Codigo]:[Endereço2]],12,FALSE)</f>
        <v>E1103</v>
      </c>
      <c r="E1287" s="15">
        <f>SUM(TAB_ENTRADA[[#This Row],[20/05/2019]:[Colunas1]])</f>
        <v>1</v>
      </c>
      <c r="F1287" s="3"/>
      <c r="FK1287" s="3">
        <v>1</v>
      </c>
    </row>
    <row r="1288" spans="1:169" x14ac:dyDescent="0.25">
      <c r="A1288" s="5" t="s">
        <v>6929</v>
      </c>
      <c r="B1288" s="15" t="str">
        <f>VLOOKUP(TAB_ENTRADA[[#This Row],[Cod_2_Entrada]],TAB_ESTOQUE[[Codigo]:[Descrição Tecnica]],6,FALSE)</f>
        <v>TERMINAL FLANGE 1.1/2 - NCM 7307.19.20</v>
      </c>
      <c r="C1288" s="15">
        <f>IFERROR(VLOOKUP(TAB_ENTRADA[[#This Row],[Cod_2_Entrada]],TAB_ESTOQUE[[Codigo]:[Referência Tec]],7,FALSE),"")</f>
        <v>0</v>
      </c>
      <c r="D1288" s="15" t="str">
        <f>VLOOKUP(TAB_ENTRADA[[#This Row],[Cod_2_Entrada]],TAB_ESTOQUE[[Codigo]:[Endereço2]],12,FALSE)</f>
        <v>E2304</v>
      </c>
      <c r="E1288" s="15">
        <f>SUM(TAB_ENTRADA[[#This Row],[20/05/2019]:[Colunas1]])</f>
        <v>0</v>
      </c>
      <c r="F1288" s="3"/>
      <c r="FK1288" s="3">
        <v>0</v>
      </c>
    </row>
    <row r="1289" spans="1:169" x14ac:dyDescent="0.25">
      <c r="A1289" s="5" t="s">
        <v>6930</v>
      </c>
      <c r="B1289" s="15" t="str">
        <f>VLOOKUP(TAB_ENTRADA[[#This Row],[Cod_2_Entrada]],TAB_ESTOQUE[[Codigo]:[Descrição Tecnica]],6,FALSE)</f>
        <v xml:space="preserve">ELEMENTOS ELASTICOS 24                        </v>
      </c>
      <c r="C1289" s="15">
        <f>IFERROR(VLOOKUP(TAB_ENTRADA[[#This Row],[Cod_2_Entrada]],TAB_ESTOQUE[[Codigo]:[Referência Tec]],7,FALSE),"")</f>
        <v>0</v>
      </c>
      <c r="D1289" s="15" t="str">
        <f>VLOOKUP(TAB_ENTRADA[[#This Row],[Cod_2_Entrada]],TAB_ESTOQUE[[Codigo]:[Endereço2]],12,FALSE)</f>
        <v>E2203</v>
      </c>
      <c r="E1289" s="15">
        <f>SUM(TAB_ENTRADA[[#This Row],[20/05/2019]:[Colunas1]])</f>
        <v>0</v>
      </c>
      <c r="F1289" s="3"/>
      <c r="FK1289" s="3">
        <v>0</v>
      </c>
    </row>
    <row r="1290" spans="1:169" x14ac:dyDescent="0.25">
      <c r="A1290" s="5" t="s">
        <v>6931</v>
      </c>
      <c r="B1290" s="15" t="str">
        <f>VLOOKUP(TAB_ENTRADA[[#This Row],[Cod_2_Entrada]],TAB_ESTOQUE[[Codigo]:[Descrição Tecnica]],6,FALSE)</f>
        <v xml:space="preserve">ELEMENTOS ELASTICOS 52                        </v>
      </c>
      <c r="C1290" s="15">
        <f>IFERROR(VLOOKUP(TAB_ENTRADA[[#This Row],[Cod_2_Entrada]],TAB_ESTOQUE[[Codigo]:[Referência Tec]],7,FALSE),"")</f>
        <v>0</v>
      </c>
      <c r="D1290" s="15" t="str">
        <f>VLOOKUP(TAB_ENTRADA[[#This Row],[Cod_2_Entrada]],TAB_ESTOQUE[[Codigo]:[Endereço2]],12,FALSE)</f>
        <v>E2203</v>
      </c>
      <c r="E1290" s="15">
        <f>SUM(TAB_ENTRADA[[#This Row],[20/05/2019]:[Colunas1]])</f>
        <v>0</v>
      </c>
      <c r="F1290" s="3"/>
      <c r="FK1290" s="3">
        <v>0</v>
      </c>
    </row>
    <row r="1291" spans="1:169" x14ac:dyDescent="0.25">
      <c r="A1291" s="5" t="s">
        <v>6932</v>
      </c>
      <c r="B1291" s="15" t="str">
        <f>VLOOKUP(TAB_ENTRADA[[#This Row],[Cod_2_Entrada]],TAB_ESTOQUE[[Codigo]:[Descrição Tecnica]],6,FALSE)</f>
        <v xml:space="preserve">ELEMENTOS ELASTICOS 48                        </v>
      </c>
      <c r="C1291" s="15">
        <f>IFERROR(VLOOKUP(TAB_ENTRADA[[#This Row],[Cod_2_Entrada]],TAB_ESTOQUE[[Codigo]:[Referência Tec]],7,FALSE),"")</f>
        <v>0</v>
      </c>
      <c r="D1291" s="15" t="str">
        <f>VLOOKUP(TAB_ENTRADA[[#This Row],[Cod_2_Entrada]],TAB_ESTOQUE[[Codigo]:[Endereço2]],12,FALSE)</f>
        <v>E2203</v>
      </c>
      <c r="E1291" s="15">
        <f>SUM(TAB_ENTRADA[[#This Row],[20/05/2019]:[Colunas1]])</f>
        <v>0</v>
      </c>
      <c r="F1291" s="3"/>
      <c r="FK1291" s="3">
        <v>0</v>
      </c>
    </row>
    <row r="1292" spans="1:169" x14ac:dyDescent="0.25">
      <c r="A1292" s="5" t="s">
        <v>6933</v>
      </c>
      <c r="B1292" s="15" t="str">
        <f>VLOOKUP(TAB_ENTRADA[[#This Row],[Cod_2_Entrada]],TAB_ESTOQUE[[Codigo]:[Descrição Tecnica]],6,FALSE)</f>
        <v>MANGUEIRA MTF-05X100-04-04X100-04-1000mm</v>
      </c>
      <c r="C1292" s="15">
        <f>IFERROR(VLOOKUP(TAB_ENTRADA[[#This Row],[Cod_2_Entrada]],TAB_ESTOQUE[[Codigo]:[Referência Tec]],7,FALSE),"")</f>
        <v>0</v>
      </c>
      <c r="D1292" s="15" t="str">
        <f>VLOOKUP(TAB_ENTRADA[[#This Row],[Cod_2_Entrada]],TAB_ESTOQUE[[Codigo]:[Endereço2]],12,FALSE)</f>
        <v>S504</v>
      </c>
      <c r="E1292" s="15">
        <f>SUM(TAB_ENTRADA[[#This Row],[20/05/2019]:[Colunas1]])</f>
        <v>10</v>
      </c>
      <c r="F1292" s="3"/>
      <c r="FK1292" s="3">
        <v>10</v>
      </c>
    </row>
    <row r="1293" spans="1:169" x14ac:dyDescent="0.25">
      <c r="A1293" s="5" t="s">
        <v>6934</v>
      </c>
      <c r="B1293" s="15" t="str">
        <f>VLOOKUP(TAB_ENTRADA[[#This Row],[Cod_2_Entrada]],TAB_ESTOQUE[[Codigo]:[Descrição Tecnica]],6,FALSE)</f>
        <v>MANGUEIRA MTF-05X100-04-04X100-04-1000mm</v>
      </c>
      <c r="C1293" s="15">
        <f>IFERROR(VLOOKUP(TAB_ENTRADA[[#This Row],[Cod_2_Entrada]],TAB_ESTOQUE[[Codigo]:[Referência Tec]],7,FALSE),"")</f>
        <v>0</v>
      </c>
      <c r="D1293" s="15" t="str">
        <f>VLOOKUP(TAB_ENTRADA[[#This Row],[Cod_2_Entrada]],TAB_ESTOQUE[[Codigo]:[Endereço2]],12,FALSE)</f>
        <v>S504</v>
      </c>
      <c r="E1293" s="15">
        <f>SUM(TAB_ENTRADA[[#This Row],[20/05/2019]:[Colunas1]])</f>
        <v>6</v>
      </c>
      <c r="F1293" s="3"/>
      <c r="FK1293" s="3">
        <v>6</v>
      </c>
    </row>
    <row r="1294" spans="1:169" x14ac:dyDescent="0.25">
      <c r="A1294" s="5" t="s">
        <v>6935</v>
      </c>
      <c r="B1294" s="15" t="str">
        <f>VLOOKUP(TAB_ENTRADA[[#This Row],[Cod_2_Entrada]],TAB_ESTOQUE[[Codigo]:[Descrição Tecnica]],6,FALSE)</f>
        <v>FUSIVEL SIEMENS 5SE2 325 NEOZED  D02 25A  gG 400V a.c.  250 d.c.</v>
      </c>
      <c r="C1294" s="15">
        <f>IFERROR(VLOOKUP(TAB_ENTRADA[[#This Row],[Cod_2_Entrada]],TAB_ESTOQUE[[Codigo]:[Referência Tec]],7,FALSE),"")</f>
        <v>0</v>
      </c>
      <c r="D1294" s="15" t="str">
        <f>VLOOKUP(TAB_ENTRADA[[#This Row],[Cod_2_Entrada]],TAB_ESTOQUE[[Codigo]:[Endereço2]],12,FALSE)</f>
        <v>A1204</v>
      </c>
      <c r="E1294" s="15">
        <f>SUM(TAB_ENTRADA[[#This Row],[20/05/2019]:[Colunas1]])</f>
        <v>20</v>
      </c>
      <c r="F1294" s="3"/>
      <c r="FK1294" s="3">
        <v>20</v>
      </c>
    </row>
    <row r="1295" spans="1:169" x14ac:dyDescent="0.25">
      <c r="A1295" s="5" t="s">
        <v>6936</v>
      </c>
      <c r="B1295" s="15" t="str">
        <f>VLOOKUP(TAB_ENTRADA[[#This Row],[Cod_2_Entrada]],TAB_ESTOQUE[[Codigo]:[Descrição Tecnica]],6,FALSE)</f>
        <v>ROLAMENTO RLS9ZZ</v>
      </c>
      <c r="C1295" s="15">
        <f>IFERROR(VLOOKUP(TAB_ENTRADA[[#This Row],[Cod_2_Entrada]],TAB_ESTOQUE[[Codigo]:[Referência Tec]],7,FALSE),"")</f>
        <v>0</v>
      </c>
      <c r="D1295" s="15" t="str">
        <f>VLOOKUP(TAB_ENTRADA[[#This Row],[Cod_2_Entrada]],TAB_ESTOQUE[[Codigo]:[Endereço2]],12,FALSE)</f>
        <v>D2104</v>
      </c>
      <c r="E1295" s="15">
        <f>SUM(TAB_ENTRADA[[#This Row],[20/05/2019]:[Colunas1]])</f>
        <v>10</v>
      </c>
      <c r="F1295" s="3"/>
      <c r="FK1295" s="3">
        <v>10</v>
      </c>
    </row>
    <row r="1296" spans="1:169" x14ac:dyDescent="0.25">
      <c r="A1296" s="5" t="s">
        <v>6937</v>
      </c>
      <c r="B1296" s="15" t="str">
        <f>VLOOKUP(TAB_ENTRADA[[#This Row],[Cod_2_Entrada]],TAB_ESTOQUE[[Codigo]:[Descrição Tecnica]],6,FALSE)</f>
        <v>SENSOR PRESSURE XMLR400M1P25  X1</v>
      </c>
      <c r="C1296" s="15">
        <f>IFERROR(VLOOKUP(TAB_ENTRADA[[#This Row],[Cod_2_Entrada]],TAB_ESTOQUE[[Codigo]:[Referência Tec]],7,FALSE),"")</f>
        <v>0</v>
      </c>
      <c r="D1296" s="15" t="str">
        <f>VLOOKUP(TAB_ENTRADA[[#This Row],[Cod_2_Entrada]],TAB_ESTOQUE[[Codigo]:[Endereço2]],12,FALSE)</f>
        <v>G1104</v>
      </c>
      <c r="E1296" s="15">
        <f>SUM(TAB_ENTRADA[[#This Row],[20/05/2019]:[Colunas1]])</f>
        <v>1</v>
      </c>
      <c r="F1296" s="3"/>
      <c r="FK1296" s="3">
        <v>0</v>
      </c>
      <c r="FM1296" s="3">
        <v>1</v>
      </c>
    </row>
    <row r="1297" spans="1:167" x14ac:dyDescent="0.25">
      <c r="A1297" s="5" t="s">
        <v>6938</v>
      </c>
      <c r="B1297" s="15" t="str">
        <f>VLOOKUP(TAB_ENTRADA[[#This Row],[Cod_2_Entrada]],TAB_ESTOQUE[[Codigo]:[Descrição Tecnica]],6,FALSE)</f>
        <v>ENGATE RAPIDO FEMEA DN19</v>
      </c>
      <c r="C1297" s="15">
        <f>IFERROR(VLOOKUP(TAB_ENTRADA[[#This Row],[Cod_2_Entrada]],TAB_ESTOQUE[[Codigo]:[Referência Tec]],7,FALSE),"")</f>
        <v>0</v>
      </c>
      <c r="D1297" s="15" t="str">
        <f>VLOOKUP(TAB_ENTRADA[[#This Row],[Cod_2_Entrada]],TAB_ESTOQUE[[Codigo]:[Endereço2]],12,FALSE)</f>
        <v>D1404</v>
      </c>
      <c r="E1297" s="15">
        <f>SUM(TAB_ENTRADA[[#This Row],[20/05/2019]:[Colunas1]])</f>
        <v>2</v>
      </c>
      <c r="F1297" s="3"/>
      <c r="FK1297" s="3">
        <v>2</v>
      </c>
    </row>
    <row r="1298" spans="1:167" x14ac:dyDescent="0.25">
      <c r="A1298" s="5" t="s">
        <v>6939</v>
      </c>
      <c r="B1298" s="15" t="str">
        <f>VLOOKUP(TAB_ENTRADA[[#This Row],[Cod_2_Entrada]],TAB_ESTOQUE[[Codigo]:[Descrição Tecnica]],6,FALSE)</f>
        <v>MANG. 100R2-16X100-16X112-16-16X3000MM</v>
      </c>
      <c r="C1298" s="15">
        <f>IFERROR(VLOOKUP(TAB_ENTRADA[[#This Row],[Cod_2_Entrada]],TAB_ESTOQUE[[Codigo]:[Referência Tec]],7,FALSE),"")</f>
        <v>0</v>
      </c>
      <c r="D1298" s="15" t="str">
        <f>VLOOKUP(TAB_ENTRADA[[#This Row],[Cod_2_Entrada]],TAB_ESTOQUE[[Codigo]:[Endereço2]],12,FALSE)</f>
        <v>S504</v>
      </c>
      <c r="E1298" s="15">
        <f>SUM(TAB_ENTRADA[[#This Row],[20/05/2019]:[Colunas1]])</f>
        <v>1</v>
      </c>
      <c r="F1298" s="3"/>
      <c r="FK1298" s="3">
        <v>1</v>
      </c>
    </row>
    <row r="1299" spans="1:167" x14ac:dyDescent="0.25">
      <c r="A1299" s="5" t="s">
        <v>6940</v>
      </c>
      <c r="B1299" s="15" t="str">
        <f>VLOOKUP(TAB_ENTRADA[[#This Row],[Cod_2_Entrada]],TAB_ESTOQUE[[Codigo]:[Descrição Tecnica]],6,FALSE)</f>
        <v xml:space="preserve">REDUÇÃO F/M 3/4X1" </v>
      </c>
      <c r="C1299" s="15">
        <f>IFERROR(VLOOKUP(TAB_ENTRADA[[#This Row],[Cod_2_Entrada]],TAB_ESTOQUE[[Codigo]:[Referência Tec]],7,FALSE),"")</f>
        <v>0</v>
      </c>
      <c r="D1299" s="15" t="str">
        <f>VLOOKUP(TAB_ENTRADA[[#This Row],[Cod_2_Entrada]],TAB_ESTOQUE[[Codigo]:[Endereço2]],12,FALSE)</f>
        <v>F2202</v>
      </c>
      <c r="E1299" s="15">
        <f>SUM(TAB_ENTRADA[[#This Row],[20/05/2019]:[Colunas1]])</f>
        <v>2</v>
      </c>
      <c r="F1299" s="3"/>
      <c r="FK1299" s="3">
        <v>2</v>
      </c>
    </row>
    <row r="1300" spans="1:167" x14ac:dyDescent="0.25">
      <c r="A1300" s="5" t="s">
        <v>6976</v>
      </c>
      <c r="B1300" s="15" t="str">
        <f>VLOOKUP(TAB_ENTRADA[[#This Row],[Cod_2_Entrada]],TAB_ESTOQUE[[Codigo]:[Descrição Tecnica]],6,FALSE)</f>
        <v>MANGUEIRA PARA OLEO TERMICO 2 METROS</v>
      </c>
      <c r="C1300" s="15">
        <f>IFERROR(VLOOKUP(TAB_ENTRADA[[#This Row],[Cod_2_Entrada]],TAB_ESTOQUE[[Codigo]:[Referência Tec]],7,FALSE),"")</f>
        <v>0</v>
      </c>
      <c r="D1300" s="15" t="str">
        <f>VLOOKUP(TAB_ENTRADA[[#This Row],[Cod_2_Entrada]],TAB_ESTOQUE[[Codigo]:[Endereço2]],12,FALSE)</f>
        <v>S602</v>
      </c>
      <c r="E1300" s="15">
        <f>SUM(TAB_ENTRADA[[#This Row],[20/05/2019]:[Colunas1]])</f>
        <v>2</v>
      </c>
      <c r="F1300" s="3"/>
      <c r="FK1300" s="3">
        <v>2</v>
      </c>
    </row>
    <row r="1301" spans="1:167" x14ac:dyDescent="0.25">
      <c r="A1301" s="5" t="s">
        <v>6977</v>
      </c>
      <c r="B1301" s="15" t="str">
        <f>VLOOKUP(TAB_ENTRADA[[#This Row],[Cod_2_Entrada]],TAB_ESTOQUE[[Codigo]:[Descrição Tecnica]],6,FALSE)</f>
        <v>MANGUEIRA PARA OLEO TERMICO 1 METROS</v>
      </c>
      <c r="C1301" s="15">
        <f>IFERROR(VLOOKUP(TAB_ENTRADA[[#This Row],[Cod_2_Entrada]],TAB_ESTOQUE[[Codigo]:[Referência Tec]],7,FALSE),"")</f>
        <v>0</v>
      </c>
      <c r="D1301" s="15" t="str">
        <f>VLOOKUP(TAB_ENTRADA[[#This Row],[Cod_2_Entrada]],TAB_ESTOQUE[[Codigo]:[Endereço2]],12,FALSE)</f>
        <v>S602</v>
      </c>
      <c r="E1301" s="15">
        <f>SUM(TAB_ENTRADA[[#This Row],[20/05/2019]:[Colunas1]])</f>
        <v>2</v>
      </c>
      <c r="F1301" s="3"/>
      <c r="FK1301" s="3">
        <v>2</v>
      </c>
    </row>
    <row r="1302" spans="1:167" x14ac:dyDescent="0.25">
      <c r="A1302" s="5" t="s">
        <v>6978</v>
      </c>
      <c r="B1302" s="15" t="str">
        <f>VLOOKUP(TAB_ENTRADA[[#This Row],[Cod_2_Entrada]],TAB_ESTOQUE[[Codigo]:[Descrição Tecnica]],6,FALSE)</f>
        <v>NIPLE LATAO  3/4" NPT</v>
      </c>
      <c r="C1302" s="15">
        <f>IFERROR(VLOOKUP(TAB_ENTRADA[[#This Row],[Cod_2_Entrada]],TAB_ESTOQUE[[Codigo]:[Referência Tec]],7,FALSE),"")</f>
        <v>0</v>
      </c>
      <c r="D1302" s="15" t="str">
        <f>VLOOKUP(TAB_ENTRADA[[#This Row],[Cod_2_Entrada]],TAB_ESTOQUE[[Codigo]:[Endereço2]],12,FALSE)</f>
        <v>F2202</v>
      </c>
      <c r="E1302" s="15">
        <f>SUM(TAB_ENTRADA[[#This Row],[20/05/2019]:[Colunas1]])</f>
        <v>6</v>
      </c>
      <c r="F1302" s="3"/>
      <c r="FK1302" s="3">
        <v>6</v>
      </c>
    </row>
    <row r="1303" spans="1:167" x14ac:dyDescent="0.25">
      <c r="A1303" s="5" t="s">
        <v>6979</v>
      </c>
      <c r="B1303" s="15" t="str">
        <f>VLOOKUP(TAB_ENTRADA[[#This Row],[Cod_2_Entrada]],TAB_ESTOQUE[[Codigo]:[Descrição Tecnica]],6,FALSE)</f>
        <v xml:space="preserve">REGISTRO ESF. FEMEA 3/4" PAS PLENA </v>
      </c>
      <c r="C1303" s="15">
        <f>IFERROR(VLOOKUP(TAB_ENTRADA[[#This Row],[Cod_2_Entrada]],TAB_ESTOQUE[[Codigo]:[Referência Tec]],7,FALSE),"")</f>
        <v>0</v>
      </c>
      <c r="D1303" s="15" t="str">
        <f>VLOOKUP(TAB_ENTRADA[[#This Row],[Cod_2_Entrada]],TAB_ESTOQUE[[Codigo]:[Endereço2]],12,FALSE)</f>
        <v>D2402</v>
      </c>
      <c r="E1303" s="15">
        <f>SUM(TAB_ENTRADA[[#This Row],[20/05/2019]:[Colunas1]])</f>
        <v>4</v>
      </c>
      <c r="F1303" s="3"/>
      <c r="FK1303" s="3">
        <v>4</v>
      </c>
    </row>
    <row r="1304" spans="1:167" x14ac:dyDescent="0.25">
      <c r="A1304" s="5" t="s">
        <v>6980</v>
      </c>
      <c r="B1304" s="15" t="str">
        <f>VLOOKUP(TAB_ENTRADA[[#This Row],[Cod_2_Entrada]],TAB_ESTOQUE[[Codigo]:[Descrição Tecnica]],6,FALSE)</f>
        <v xml:space="preserve">UNIÃO MACHO NPT X UNF </v>
      </c>
      <c r="C1304" s="15">
        <f>IFERROR(VLOOKUP(TAB_ENTRADA[[#This Row],[Cod_2_Entrada]],TAB_ESTOQUE[[Codigo]:[Referência Tec]],7,FALSE),"")</f>
        <v>0</v>
      </c>
      <c r="D1304" s="15" t="str">
        <f>VLOOKUP(TAB_ENTRADA[[#This Row],[Cod_2_Entrada]],TAB_ESTOQUE[[Codigo]:[Endereço2]],12,FALSE)</f>
        <v>F2204</v>
      </c>
      <c r="E1304" s="15">
        <f>SUM(TAB_ENTRADA[[#This Row],[20/05/2019]:[Colunas1]])</f>
        <v>12</v>
      </c>
      <c r="F1304" s="3"/>
      <c r="FK1304" s="3">
        <v>12</v>
      </c>
    </row>
    <row r="1305" spans="1:167" x14ac:dyDescent="0.25">
      <c r="A1305" s="5" t="s">
        <v>6981</v>
      </c>
      <c r="B1305" s="15" t="str">
        <f>VLOOKUP(TAB_ENTRADA[[#This Row],[Cod_2_Entrada]],TAB_ESTOQUE[[Codigo]:[Descrição Tecnica]],6,FALSE)</f>
        <v>MANGUEIRA PARA OLEO TERMICO 3,50 METROS</v>
      </c>
      <c r="C1305" s="15">
        <f>IFERROR(VLOOKUP(TAB_ENTRADA[[#This Row],[Cod_2_Entrada]],TAB_ESTOQUE[[Codigo]:[Referência Tec]],7,FALSE),"")</f>
        <v>0</v>
      </c>
      <c r="D1305" s="15" t="str">
        <f>VLOOKUP(TAB_ENTRADA[[#This Row],[Cod_2_Entrada]],TAB_ESTOQUE[[Codigo]:[Endereço2]],12,FALSE)</f>
        <v>S504</v>
      </c>
      <c r="E1305" s="15">
        <f>SUM(TAB_ENTRADA[[#This Row],[20/05/2019]:[Colunas1]])</f>
        <v>1</v>
      </c>
      <c r="F1305" s="3"/>
      <c r="FK1305" s="3">
        <v>1</v>
      </c>
    </row>
    <row r="1306" spans="1:167" x14ac:dyDescent="0.25">
      <c r="A1306" s="5" t="s">
        <v>7027</v>
      </c>
      <c r="B1306" s="15" t="str">
        <f>VLOOKUP(TAB_ENTRADA[[#This Row],[Cod_2_Entrada]],TAB_ESTOQUE[[Codigo]:[Descrição Tecnica]],6,FALSE)</f>
        <v>Escova Cilíndrica em Base PP 30mm x Furo do Eixo 12mm x Em Cerdas de Nylon 0,50mm  -  Ø Total 100mm x Comprimento 30mm</v>
      </c>
      <c r="C1306" s="15">
        <f>IFERROR(VLOOKUP(TAB_ENTRADA[[#This Row],[Cod_2_Entrada]],TAB_ESTOQUE[[Codigo]:[Referência Tec]],7,FALSE),"")</f>
        <v>0</v>
      </c>
      <c r="D1306" s="15" t="str">
        <f>VLOOKUP(TAB_ENTRADA[[#This Row],[Cod_2_Entrada]],TAB_ESTOQUE[[Codigo]:[Endereço2]],12,FALSE)</f>
        <v>D1204</v>
      </c>
      <c r="E1306" s="15">
        <f>SUM(TAB_ENTRADA[[#This Row],[20/05/2019]:[Colunas1]])</f>
        <v>8</v>
      </c>
      <c r="F1306" s="3"/>
      <c r="EK1306" s="3">
        <v>8</v>
      </c>
    </row>
    <row r="1307" spans="1:167" x14ac:dyDescent="0.25">
      <c r="A1307" s="5" t="s">
        <v>7028</v>
      </c>
      <c r="B1307" s="15" t="str">
        <f>VLOOKUP(TAB_ENTRADA[[#This Row],[Cod_2_Entrada]],TAB_ESTOQUE[[Codigo]:[Descrição Tecnica]],6,FALSE)</f>
        <v>SENSOR DE PRESENÇA SOBREPOR PAREDE MPS-40F ALCANCE 10M ÂNGULO 100 4min/1min/5seg TENÇÃO 220V</v>
      </c>
      <c r="C1307" s="15">
        <f>IFERROR(VLOOKUP(TAB_ENTRADA[[#This Row],[Cod_2_Entrada]],TAB_ESTOQUE[[Codigo]:[Referência Tec]],7,FALSE),"")</f>
        <v>0</v>
      </c>
      <c r="D1307" s="15" t="str">
        <f>VLOOKUP(TAB_ENTRADA[[#This Row],[Cod_2_Entrada]],TAB_ESTOQUE[[Codigo]:[Endereço2]],12,FALSE)</f>
        <v>B2102</v>
      </c>
      <c r="E1307" s="15">
        <f>SUM(TAB_ENTRADA[[#This Row],[20/05/2019]:[Colunas1]])</f>
        <v>5</v>
      </c>
      <c r="F1307" s="3"/>
      <c r="FK1307" s="3">
        <v>5</v>
      </c>
    </row>
    <row r="1308" spans="1:167" x14ac:dyDescent="0.25">
      <c r="A1308" s="5" t="s">
        <v>7029</v>
      </c>
      <c r="B1308" s="15" t="str">
        <f>VLOOKUP(TAB_ENTRADA[[#This Row],[Cod_2_Entrada]],TAB_ESTOQUE[[Codigo]:[Descrição Tecnica]],6,FALSE)</f>
        <v>DISJUNTOR-MOTOR  MPW18-3-D016 12429368 X1  1-1,6 A</v>
      </c>
      <c r="C1308" s="15">
        <f>IFERROR(VLOOKUP(TAB_ENTRADA[[#This Row],[Cod_2_Entrada]],TAB_ESTOQUE[[Codigo]:[Referência Tec]],7,FALSE),"")</f>
        <v>0</v>
      </c>
      <c r="D1308" s="15" t="str">
        <f>VLOOKUP(TAB_ENTRADA[[#This Row],[Cod_2_Entrada]],TAB_ESTOQUE[[Codigo]:[Endereço2]],12,FALSE)</f>
        <v>A2405</v>
      </c>
      <c r="E1308" s="15">
        <f>SUM(TAB_ENTRADA[[#This Row],[20/05/2019]:[Colunas1]])</f>
        <v>0</v>
      </c>
      <c r="F1308" s="3"/>
      <c r="FK1308" s="3">
        <v>0</v>
      </c>
    </row>
    <row r="1309" spans="1:167" x14ac:dyDescent="0.25">
      <c r="A1309" s="5" t="s">
        <v>7032</v>
      </c>
      <c r="B1309" s="15" t="str">
        <f>VLOOKUP(TAB_ENTRADA[[#This Row],[Cod_2_Entrada]],TAB_ESTOQUE[[Codigo]:[Descrição Tecnica]],6,FALSE)</f>
        <v>CONTATO AUXILIAR C300 R300 2.5/240 V WEG CP420 - 89256-900</v>
      </c>
      <c r="C1309" s="15">
        <f>IFERROR(VLOOKUP(TAB_ENTRADA[[#This Row],[Cod_2_Entrada]],TAB_ESTOQUE[[Codigo]:[Referência Tec]],7,FALSE),"")</f>
        <v>0</v>
      </c>
      <c r="D1309" s="15" t="str">
        <f>VLOOKUP(TAB_ENTRADA[[#This Row],[Cod_2_Entrada]],TAB_ESTOQUE[[Codigo]:[Endereço2]],12,FALSE)</f>
        <v>A2405</v>
      </c>
      <c r="E1309" s="15">
        <f>SUM(TAB_ENTRADA[[#This Row],[20/05/2019]:[Colunas1]])</f>
        <v>0</v>
      </c>
      <c r="F1309" s="3"/>
      <c r="FK1309" s="3">
        <v>0</v>
      </c>
    </row>
    <row r="1310" spans="1:167" x14ac:dyDescent="0.25">
      <c r="A1310" s="5" t="s">
        <v>7033</v>
      </c>
      <c r="B1310" s="15" t="str">
        <f>VLOOKUP(TAB_ENTRADA[[#This Row],[Cod_2_Entrada]],TAB_ESTOQUE[[Codigo]:[Descrição Tecnica]],6,FALSE)</f>
        <v>SINALEIRO SONORO VERMELHO 80d  Ref:SSA-22VM</v>
      </c>
      <c r="C1310" s="15">
        <f>IFERROR(VLOOKUP(TAB_ENTRADA[[#This Row],[Cod_2_Entrada]],TAB_ESTOQUE[[Codigo]:[Referência Tec]],7,FALSE),"")</f>
        <v>0</v>
      </c>
      <c r="D1310" s="15" t="str">
        <f>VLOOKUP(TAB_ENTRADA[[#This Row],[Cod_2_Entrada]],TAB_ESTOQUE[[Codigo]:[Endereço2]],12,FALSE)</f>
        <v>A2304</v>
      </c>
      <c r="E1310" s="15">
        <f>SUM(TAB_ENTRADA[[#This Row],[20/05/2019]:[Colunas1]])</f>
        <v>0</v>
      </c>
      <c r="F1310" s="3"/>
      <c r="FK1310" s="3">
        <v>0</v>
      </c>
    </row>
    <row r="1311" spans="1:167" x14ac:dyDescent="0.25">
      <c r="A1311" s="5" t="s">
        <v>7049</v>
      </c>
      <c r="B1311" s="15" t="str">
        <f>VLOOKUP(TAB_ENTRADA[[#This Row],[Cod_2_Entrada]],TAB_ESTOQUE[[Codigo]:[Descrição Tecnica]],6,FALSE)</f>
        <v>CILINDRO COMPACTO MACHO 50-80</v>
      </c>
      <c r="C1311" s="15">
        <f>IFERROR(VLOOKUP(TAB_ENTRADA[[#This Row],[Cod_2_Entrada]],TAB_ESTOQUE[[Codigo]:[Referência Tec]],7,FALSE),"")</f>
        <v>0</v>
      </c>
      <c r="D1311" s="15" t="str">
        <f>VLOOKUP(TAB_ENTRADA[[#This Row],[Cod_2_Entrada]],TAB_ESTOQUE[[Codigo]:[Endereço2]],12,FALSE)</f>
        <v>C1105</v>
      </c>
      <c r="E1311" s="15">
        <f>SUM(TAB_ENTRADA[[#This Row],[20/05/2019]:[Colunas1]])</f>
        <v>0</v>
      </c>
      <c r="F1311" s="3"/>
      <c r="FK1311" s="3">
        <v>0</v>
      </c>
    </row>
    <row r="1312" spans="1:167" x14ac:dyDescent="0.25">
      <c r="A1312" s="5" t="s">
        <v>7050</v>
      </c>
      <c r="B1312" s="15" t="str">
        <f>VLOOKUP(TAB_ENTRADA[[#This Row],[Cod_2_Entrada]],TAB_ESTOQUE[[Codigo]:[Descrição Tecnica]],6,FALSE)</f>
        <v>PHOENIX CONTACT D-32823 BLOMBERG CB TM1 2A M1 P 2800848</v>
      </c>
      <c r="C1312" s="15">
        <f>IFERROR(VLOOKUP(TAB_ENTRADA[[#This Row],[Cod_2_Entrada]],TAB_ESTOQUE[[Codigo]:[Referência Tec]],7,FALSE),"")</f>
        <v>0</v>
      </c>
      <c r="D1312" s="15" t="str">
        <f>VLOOKUP(TAB_ENTRADA[[#This Row],[Cod_2_Entrada]],TAB_ESTOQUE[[Codigo]:[Endereço2]],12,FALSE)</f>
        <v>B2103</v>
      </c>
      <c r="E1312" s="15">
        <f>SUM(TAB_ENTRADA[[#This Row],[20/05/2019]:[Colunas1]])</f>
        <v>4</v>
      </c>
      <c r="F1312" s="3"/>
      <c r="FK1312" s="3">
        <v>4</v>
      </c>
    </row>
    <row r="1313" spans="1:204" x14ac:dyDescent="0.25">
      <c r="A1313" s="5" t="s">
        <v>7051</v>
      </c>
      <c r="B1313" s="15" t="str">
        <f>VLOOKUP(TAB_ENTRADA[[#This Row],[Cod_2_Entrada]],TAB_ESTOQUE[[Codigo]:[Descrição Tecnica]],6,FALSE)</f>
        <v xml:space="preserve">SINALIZADOR GIROFLEX JNG LTE-1122 220V VERMELHO </v>
      </c>
      <c r="C1313" s="15">
        <f>IFERROR(VLOOKUP(TAB_ENTRADA[[#This Row],[Cod_2_Entrada]],TAB_ESTOQUE[[Codigo]:[Referência Tec]],7,FALSE),"")</f>
        <v>0</v>
      </c>
      <c r="D1313" s="15" t="str">
        <f>VLOOKUP(TAB_ENTRADA[[#This Row],[Cod_2_Entrada]],TAB_ESTOQUE[[Codigo]:[Endereço2]],12,FALSE)</f>
        <v>B2104</v>
      </c>
      <c r="E1313" s="15">
        <f>SUM(TAB_ENTRADA[[#This Row],[20/05/2019]:[Colunas1]])</f>
        <v>2</v>
      </c>
      <c r="F1313" s="3"/>
      <c r="FK1313" s="3">
        <v>2</v>
      </c>
    </row>
    <row r="1314" spans="1:204" x14ac:dyDescent="0.25">
      <c r="A1314" s="5" t="s">
        <v>7052</v>
      </c>
      <c r="B1314" s="15" t="str">
        <f>VLOOKUP(TAB_ENTRADA[[#This Row],[Cod_2_Entrada]],TAB_ESTOQUE[[Codigo]:[Descrição Tecnica]],6,FALSE)</f>
        <v>VALVULA HIDRAULICA REXROTH REF: 4WE6H61/EG24N9K4</v>
      </c>
      <c r="C1314" s="15">
        <f>IFERROR(VLOOKUP(TAB_ENTRADA[[#This Row],[Cod_2_Entrada]],TAB_ESTOQUE[[Codigo]:[Referência Tec]],7,FALSE),"")</f>
        <v>0</v>
      </c>
      <c r="D1314" s="15" t="str">
        <f>VLOOKUP(TAB_ENTRADA[[#This Row],[Cod_2_Entrada]],TAB_ESTOQUE[[Codigo]:[Endereço2]],12,FALSE)</f>
        <v>C2104</v>
      </c>
      <c r="E1314" s="15">
        <f>SUM(TAB_ENTRADA[[#This Row],[20/05/2019]:[Colunas1]])</f>
        <v>1</v>
      </c>
      <c r="F1314" s="3"/>
      <c r="FK1314" s="3">
        <v>1</v>
      </c>
    </row>
    <row r="1315" spans="1:204" x14ac:dyDescent="0.25">
      <c r="A1315" s="5" t="s">
        <v>7053</v>
      </c>
      <c r="B1315" s="15" t="str">
        <f>VLOOKUP(TAB_ENTRADA[[#This Row],[Cod_2_Entrada]],TAB_ESTOQUE[[Codigo]:[Descrição Tecnica]],6,FALSE)</f>
        <v xml:space="preserve">BOMBA DE DIAFRAGMAN MSD BDM 160 P/ TRANSFERÊNCIA 1/2" </v>
      </c>
      <c r="C1315" s="15">
        <f>IFERROR(VLOOKUP(TAB_ENTRADA[[#This Row],[Cod_2_Entrada]],TAB_ESTOQUE[[Codigo]:[Referência Tec]],7,FALSE),"")</f>
        <v>0</v>
      </c>
      <c r="D1315" s="15" t="str">
        <f>VLOOKUP(TAB_ENTRADA[[#This Row],[Cod_2_Entrada]],TAB_ESTOQUE[[Codigo]:[Endereço2]],12,FALSE)</f>
        <v>F1106</v>
      </c>
      <c r="E1315" s="15">
        <f>SUM(TAB_ENTRADA[[#This Row],[20/05/2019]:[Colunas1]])</f>
        <v>2</v>
      </c>
      <c r="F1315" s="3"/>
      <c r="FK1315" s="3">
        <v>0</v>
      </c>
      <c r="GH1315" s="3">
        <v>2</v>
      </c>
    </row>
    <row r="1316" spans="1:204" x14ac:dyDescent="0.25">
      <c r="A1316" s="5" t="s">
        <v>7054</v>
      </c>
      <c r="B1316" s="15" t="str">
        <f>VLOOKUP(TAB_ENTRADA[[#This Row],[Cod_2_Entrada]],TAB_ESTOQUE[[Codigo]:[Descrição Tecnica]],6,FALSE)</f>
        <v xml:space="preserve">AC2459-Módulo As-i Compacto 4E / 4S P </v>
      </c>
      <c r="C1316" s="15">
        <f>IFERROR(VLOOKUP(TAB_ENTRADA[[#This Row],[Cod_2_Entrada]],TAB_ESTOQUE[[Codigo]:[Referência Tec]],7,FALSE),"")</f>
        <v>0</v>
      </c>
      <c r="D1316" s="15" t="str">
        <f>VLOOKUP(TAB_ENTRADA[[#This Row],[Cod_2_Entrada]],TAB_ESTOQUE[[Codigo]:[Endereço2]],12,FALSE)</f>
        <v>B1103</v>
      </c>
      <c r="E1316" s="15">
        <f>SUM(TAB_ENTRADA[[#This Row],[20/05/2019]:[Colunas1]])</f>
        <v>0</v>
      </c>
      <c r="F1316" s="3"/>
      <c r="FK1316" s="3">
        <v>0</v>
      </c>
    </row>
    <row r="1317" spans="1:204" x14ac:dyDescent="0.25">
      <c r="A1317" s="5" t="s">
        <v>7055</v>
      </c>
      <c r="B1317" s="15" t="str">
        <f>VLOOKUP(TAB_ENTRADA[[#This Row],[Cod_2_Entrada]],TAB_ESTOQUE[[Codigo]:[Descrição Tecnica]],6,FALSE)</f>
        <v xml:space="preserve">PRESSOSTATOS FESTO SPAW-P100R G12M-2P-M12 8022757 K8 P110BEWNI 0...100bar Ub: 15...35V max. 600mA </v>
      </c>
      <c r="C1317" s="15">
        <f>IFERROR(VLOOKUP(TAB_ENTRADA[[#This Row],[Cod_2_Entrada]],TAB_ESTOQUE[[Codigo]:[Referência Tec]],7,FALSE),"")</f>
        <v>0</v>
      </c>
      <c r="D1317" s="15" t="str">
        <f>VLOOKUP(TAB_ENTRADA[[#This Row],[Cod_2_Entrada]],TAB_ESTOQUE[[Codigo]:[Endereço2]],12,FALSE)</f>
        <v>B2104</v>
      </c>
      <c r="E1317" s="15">
        <f>SUM(TAB_ENTRADA[[#This Row],[20/05/2019]:[Colunas1]])</f>
        <v>1</v>
      </c>
      <c r="F1317" s="3"/>
      <c r="FK1317" s="3">
        <v>1</v>
      </c>
    </row>
    <row r="1318" spans="1:204" x14ac:dyDescent="0.25">
      <c r="A1318" s="5" t="s">
        <v>7056</v>
      </c>
      <c r="B1318" s="15" t="str">
        <f>VLOOKUP(TAB_ENTRADA[[#This Row],[Cod_2_Entrada]],TAB_ESTOQUE[[Codigo]:[Descrição Tecnica]],6,FALSE)</f>
        <v>CILINDRO DE ALTA PRESSÃO (FLAUTA/LINER-HP CYLINDER) EM PLASTICO 20497767</v>
      </c>
      <c r="C1318" s="15">
        <f>IFERROR(VLOOKUP(TAB_ENTRADA[[#This Row],[Cod_2_Entrada]],TAB_ESTOQUE[[Codigo]:[Referência Tec]],7,FALSE),"")</f>
        <v>0</v>
      </c>
      <c r="D1318" s="15" t="str">
        <f>VLOOKUP(TAB_ENTRADA[[#This Row],[Cod_2_Entrada]],TAB_ESTOQUE[[Codigo]:[Endereço2]],12,FALSE)</f>
        <v>D2205</v>
      </c>
      <c r="E1318" s="15">
        <f>SUM(TAB_ENTRADA[[#This Row],[20/05/2019]:[Colunas1]])</f>
        <v>4</v>
      </c>
      <c r="F1318" s="3"/>
      <c r="FK1318" s="3">
        <v>2</v>
      </c>
      <c r="GV1318" s="3">
        <v>2</v>
      </c>
    </row>
    <row r="1319" spans="1:204" x14ac:dyDescent="0.25">
      <c r="A1319" s="5" t="s">
        <v>7070</v>
      </c>
      <c r="B1319" s="15" t="str">
        <f>VLOOKUP(TAB_ENTRADA[[#This Row],[Cod_2_Entrada]],TAB_ESTOQUE[[Codigo]:[Descrição Tecnica]],6,FALSE)</f>
        <v>MODULO E/S DIGITAL SM323 DO16 24VDC/0,5A  6ES73231BL000AA0</v>
      </c>
      <c r="C1319" s="15">
        <f>IFERROR(VLOOKUP(TAB_ENTRADA[[#This Row],[Cod_2_Entrada]],TAB_ESTOQUE[[Codigo]:[Referência Tec]],7,FALSE),"")</f>
        <v>0</v>
      </c>
      <c r="D1319" s="15" t="str">
        <f>VLOOKUP(TAB_ENTRADA[[#This Row],[Cod_2_Entrada]],TAB_ESTOQUE[[Codigo]:[Endereço2]],12,FALSE)</f>
        <v>B2104</v>
      </c>
      <c r="E1319" s="15">
        <f>SUM(TAB_ENTRADA[[#This Row],[20/05/2019]:[Colunas1]])</f>
        <v>1</v>
      </c>
      <c r="F1319" s="3"/>
      <c r="FK1319" s="3">
        <v>1</v>
      </c>
    </row>
    <row r="1320" spans="1:204" x14ac:dyDescent="0.25">
      <c r="A1320" s="5" t="s">
        <v>7071</v>
      </c>
      <c r="B1320" s="15" t="str">
        <f>VLOOKUP(TAB_ENTRADA[[#This Row],[Cod_2_Entrada]],TAB_ESTOQUE[[Codigo]:[Descrição Tecnica]],6,FALSE)</f>
        <v>MODULO SAIDA DIGITAL S7 SM322 DO16   6ES73221BH010AA0</v>
      </c>
      <c r="C1320" s="15">
        <f>IFERROR(VLOOKUP(TAB_ENTRADA[[#This Row],[Cod_2_Entrada]],TAB_ESTOQUE[[Codigo]:[Referência Tec]],7,FALSE),"")</f>
        <v>0</v>
      </c>
      <c r="D1320" s="15" t="str">
        <f>VLOOKUP(TAB_ENTRADA[[#This Row],[Cod_2_Entrada]],TAB_ESTOQUE[[Codigo]:[Endereço2]],12,FALSE)</f>
        <v>B2104</v>
      </c>
      <c r="E1320" s="15">
        <f>SUM(TAB_ENTRADA[[#This Row],[20/05/2019]:[Colunas1]])</f>
        <v>1</v>
      </c>
      <c r="F1320" s="3"/>
      <c r="FK1320" s="3">
        <v>1</v>
      </c>
    </row>
    <row r="1321" spans="1:204" x14ac:dyDescent="0.25">
      <c r="A1321" s="5" t="s">
        <v>7072</v>
      </c>
      <c r="B1321" s="15" t="str">
        <f>VLOOKUP(TAB_ENTRADA[[#This Row],[Cod_2_Entrada]],TAB_ESTOQUE[[Codigo]:[Descrição Tecnica]],6,FALSE)</f>
        <v>RESISTENCIA TUB INOX  Ø3/8 FLANGE 290mm 12KW/254/440V E3</v>
      </c>
      <c r="C1321" s="15">
        <f>IFERROR(VLOOKUP(TAB_ENTRADA[[#This Row],[Cod_2_Entrada]],TAB_ESTOQUE[[Codigo]:[Referência Tec]],7,FALSE),"")</f>
        <v>0</v>
      </c>
      <c r="D1321" s="15" t="str">
        <f>VLOOKUP(TAB_ENTRADA[[#This Row],[Cod_2_Entrada]],TAB_ESTOQUE[[Codigo]:[Endereço2]],12,FALSE)</f>
        <v>A1206</v>
      </c>
      <c r="E1321" s="15">
        <f>SUM(TAB_ENTRADA[[#This Row],[20/05/2019]:[Colunas1]])</f>
        <v>0</v>
      </c>
      <c r="F1321" s="3"/>
      <c r="FK1321" s="3">
        <v>0</v>
      </c>
    </row>
    <row r="1322" spans="1:204" x14ac:dyDescent="0.25">
      <c r="A1322" s="5" t="s">
        <v>7073</v>
      </c>
      <c r="B1322" s="15" t="str">
        <f>VLOOKUP(TAB_ENTRADA[[#This Row],[Cod_2_Entrada]],TAB_ESTOQUE[[Codigo]:[Descrição Tecnica]],6,FALSE)</f>
        <v>ATUADOR PNEUMATICO COM VALVULA DE ESFERA 3/4"</v>
      </c>
      <c r="C1322" s="15">
        <f>IFERROR(VLOOKUP(TAB_ENTRADA[[#This Row],[Cod_2_Entrada]],TAB_ESTOQUE[[Codigo]:[Referência Tec]],7,FALSE),"")</f>
        <v>0</v>
      </c>
      <c r="D1322" s="15" t="str">
        <f>VLOOKUP(TAB_ENTRADA[[#This Row],[Cod_2_Entrada]],TAB_ESTOQUE[[Codigo]:[Endereço2]],12,FALSE)</f>
        <v>C1206</v>
      </c>
      <c r="E1322" s="15">
        <f>SUM(TAB_ENTRADA[[#This Row],[20/05/2019]:[Colunas1]])</f>
        <v>4</v>
      </c>
      <c r="F1322" s="3"/>
      <c r="FK1322" s="3">
        <v>4</v>
      </c>
    </row>
    <row r="1323" spans="1:204" x14ac:dyDescent="0.25">
      <c r="A1323" s="5" t="s">
        <v>7074</v>
      </c>
      <c r="B1323" s="15" t="str">
        <f>VLOOKUP(TAB_ENTRADA[[#This Row],[Cod_2_Entrada]],TAB_ESTOQUE[[Codigo]:[Descrição Tecnica]],6,FALSE)</f>
        <v>CONEXÃO PNEUMÁTICA 10mm COM ROSCA 1/8"</v>
      </c>
      <c r="C1323" s="15">
        <f>IFERROR(VLOOKUP(TAB_ENTRADA[[#This Row],[Cod_2_Entrada]],TAB_ESTOQUE[[Codigo]:[Referência Tec]],7,FALSE),"")</f>
        <v>0</v>
      </c>
      <c r="D1323" s="15" t="str">
        <f>VLOOKUP(TAB_ENTRADA[[#This Row],[Cod_2_Entrada]],TAB_ESTOQUE[[Codigo]:[Endereço2]],12,FALSE)</f>
        <v>C1305</v>
      </c>
      <c r="E1323" s="15">
        <f>SUM(TAB_ENTRADA[[#This Row],[20/05/2019]:[Colunas1]])</f>
        <v>3</v>
      </c>
      <c r="F1323" s="3"/>
      <c r="FK1323" s="3">
        <v>3</v>
      </c>
    </row>
    <row r="1324" spans="1:204" x14ac:dyDescent="0.25">
      <c r="A1324" s="5" t="s">
        <v>7075</v>
      </c>
      <c r="B1324" s="15" t="str">
        <f>VLOOKUP(TAB_ENTRADA[[#This Row],[Cod_2_Entrada]],TAB_ESTOQUE[[Codigo]:[Descrição Tecnica]],6,FALSE)</f>
        <v>CORDÃO DE GAXETA 12,7mm 1/2" 2KG</v>
      </c>
      <c r="C1324" s="15">
        <f>IFERROR(VLOOKUP(TAB_ENTRADA[[#This Row],[Cod_2_Entrada]],TAB_ESTOQUE[[Codigo]:[Referência Tec]],7,FALSE),"")</f>
        <v>0</v>
      </c>
      <c r="D1324" s="15" t="str">
        <f>VLOOKUP(TAB_ENTRADA[[#This Row],[Cod_2_Entrada]],TAB_ESTOQUE[[Codigo]:[Endereço2]],12,FALSE)</f>
        <v>E1102</v>
      </c>
      <c r="E1324" s="15">
        <f>SUM(TAB_ENTRADA[[#This Row],[20/05/2019]:[Colunas1]])</f>
        <v>1</v>
      </c>
      <c r="F1324" s="3"/>
      <c r="FK1324" s="3">
        <v>1</v>
      </c>
    </row>
    <row r="1325" spans="1:204" x14ac:dyDescent="0.25">
      <c r="A1325" s="5" t="s">
        <v>7076</v>
      </c>
      <c r="B1325" s="15" t="str">
        <f>VLOOKUP(TAB_ENTRADA[[#This Row],[Cod_2_Entrada]],TAB_ESTOQUE[[Codigo]:[Descrição Tecnica]],6,FALSE)</f>
        <v>PINO GUIA DA FERRAMENTA DO TUNNEL</v>
      </c>
      <c r="C1325" s="15">
        <f>IFERROR(VLOOKUP(TAB_ENTRADA[[#This Row],[Cod_2_Entrada]],TAB_ESTOQUE[[Codigo]:[Referência Tec]],7,FALSE),"")</f>
        <v>0</v>
      </c>
      <c r="D1325" s="15" t="str">
        <f>VLOOKUP(TAB_ENTRADA[[#This Row],[Cod_2_Entrada]],TAB_ESTOQUE[[Codigo]:[Endereço2]],12,FALSE)</f>
        <v>D1105</v>
      </c>
      <c r="E1325" s="15">
        <f>SUM(TAB_ENTRADA[[#This Row],[20/05/2019]:[Colunas1]])</f>
        <v>2</v>
      </c>
      <c r="F1325" s="3"/>
      <c r="FK1325" s="3">
        <v>2</v>
      </c>
    </row>
    <row r="1326" spans="1:204" x14ac:dyDescent="0.25">
      <c r="A1326" s="5" t="s">
        <v>7077</v>
      </c>
      <c r="B1326" s="15" t="str">
        <f>VLOOKUP(TAB_ENTRADA[[#This Row],[Cod_2_Entrada]],TAB_ESTOQUE[[Codigo]:[Descrição Tecnica]],6,FALSE)</f>
        <v>INVERSOR SIEMENS SINAMICS V20 1P 6SL3210-5BE22-2UV0</v>
      </c>
      <c r="C1326" s="15">
        <f>IFERROR(VLOOKUP(TAB_ENTRADA[[#This Row],[Cod_2_Entrada]],TAB_ESTOQUE[[Codigo]:[Referência Tec]],7,FALSE),"")</f>
        <v>0</v>
      </c>
      <c r="D1326" s="15" t="str">
        <f>VLOOKUP(TAB_ENTRADA[[#This Row],[Cod_2_Entrada]],TAB_ESTOQUE[[Codigo]:[Endereço2]],12,FALSE)</f>
        <v>B1303</v>
      </c>
      <c r="E1326" s="15">
        <f>SUM(TAB_ENTRADA[[#This Row],[20/05/2019]:[Colunas1]])</f>
        <v>2</v>
      </c>
      <c r="F1326" s="3"/>
      <c r="FK1326" s="3">
        <v>2</v>
      </c>
    </row>
    <row r="1327" spans="1:204" x14ac:dyDescent="0.25">
      <c r="A1327" s="5" t="s">
        <v>7078</v>
      </c>
      <c r="B1327" s="15" t="str">
        <f>VLOOKUP(TAB_ENTRADA[[#This Row],[Cod_2_Entrada]],TAB_ESTOQUE[[Codigo]:[Descrição Tecnica]],6,FALSE)</f>
        <v>PRESSOSTATO MOD: JC-OS-02L-3 AC250V-3A DC24V/20mA</v>
      </c>
      <c r="C1327" s="15">
        <f>IFERROR(VLOOKUP(TAB_ENTRADA[[#This Row],[Cod_2_Entrada]],TAB_ESTOQUE[[Codigo]:[Referência Tec]],7,FALSE),"")</f>
        <v>0</v>
      </c>
      <c r="D1327" s="15" t="str">
        <f>VLOOKUP(TAB_ENTRADA[[#This Row],[Cod_2_Entrada]],TAB_ESTOQUE[[Codigo]:[Endereço2]],12,FALSE)</f>
        <v>D1303</v>
      </c>
      <c r="E1327" s="15">
        <f>SUM(TAB_ENTRADA[[#This Row],[20/05/2019]:[Colunas1]])</f>
        <v>1</v>
      </c>
      <c r="F1327" s="3"/>
      <c r="FK1327" s="3">
        <v>1</v>
      </c>
    </row>
    <row r="1328" spans="1:204" x14ac:dyDescent="0.25">
      <c r="A1328" s="5" t="s">
        <v>7079</v>
      </c>
      <c r="B1328" s="15" t="str">
        <f>VLOOKUP(TAB_ENTRADA[[#This Row],[Cod_2_Entrada]],TAB_ESTOQUE[[Codigo]:[Descrição Tecnica]],6,FALSE)</f>
        <v xml:space="preserve">CHAVE FIM DE CURSO ROTATIVA GENEBRE </v>
      </c>
      <c r="C1328" s="15">
        <f>IFERROR(VLOOKUP(TAB_ENTRADA[[#This Row],[Cod_2_Entrada]],TAB_ESTOQUE[[Codigo]:[Referência Tec]],7,FALSE),"")</f>
        <v>0</v>
      </c>
      <c r="D1328" s="15" t="str">
        <f>VLOOKUP(TAB_ENTRADA[[#This Row],[Cod_2_Entrada]],TAB_ESTOQUE[[Codigo]:[Endereço2]],12,FALSE)</f>
        <v>B2104</v>
      </c>
      <c r="E1328" s="15">
        <f>SUM(TAB_ENTRADA[[#This Row],[20/05/2019]:[Colunas1]])</f>
        <v>3</v>
      </c>
      <c r="F1328" s="3"/>
      <c r="FK1328" s="3">
        <v>3</v>
      </c>
    </row>
    <row r="1329" spans="1:201" x14ac:dyDescent="0.25">
      <c r="A1329" s="5" t="s">
        <v>7080</v>
      </c>
      <c r="B1329" s="15" t="str">
        <f>VLOOKUP(TAB_ENTRADA[[#This Row],[Cod_2_Entrada]],TAB_ESTOQUE[[Codigo]:[Descrição Tecnica]],6,FALSE)</f>
        <v xml:space="preserve">DISJUNTOR MOTOR GV2ME05 0.63 - 1A  </v>
      </c>
      <c r="C1329" s="15">
        <f>IFERROR(VLOOKUP(TAB_ENTRADA[[#This Row],[Cod_2_Entrada]],TAB_ESTOQUE[[Codigo]:[Referência Tec]],7,FALSE),"")</f>
        <v>0</v>
      </c>
      <c r="D1329" s="15" t="str">
        <f>VLOOKUP(TAB_ENTRADA[[#This Row],[Cod_2_Entrada]],TAB_ESTOQUE[[Codigo]:[Endereço2]],12,FALSE)</f>
        <v>A1303</v>
      </c>
      <c r="E1329" s="15">
        <f>SUM(TAB_ENTRADA[[#This Row],[20/05/2019]:[Colunas1]])</f>
        <v>3</v>
      </c>
      <c r="F1329" s="3"/>
      <c r="FK1329" s="3">
        <v>3</v>
      </c>
    </row>
    <row r="1330" spans="1:201" x14ac:dyDescent="0.25">
      <c r="A1330" s="5" t="s">
        <v>7081</v>
      </c>
      <c r="B1330" s="15" t="str">
        <f>VLOOKUP(TAB_ENTRADA[[#This Row],[Cod_2_Entrada]],TAB_ESTOQUE[[Codigo]:[Descrição Tecnica]],6,FALSE)</f>
        <v>DISJUNTOR MOTOR GZ1E14 le: 6-10A Eu; 690 V,50/60Hz Uimp; 6 Kv</v>
      </c>
      <c r="C1330" s="15">
        <f>IFERROR(VLOOKUP(TAB_ENTRADA[[#This Row],[Cod_2_Entrada]],TAB_ESTOQUE[[Codigo]:[Referência Tec]],7,FALSE),"")</f>
        <v>0</v>
      </c>
      <c r="D1330" s="15" t="str">
        <f>VLOOKUP(TAB_ENTRADA[[#This Row],[Cod_2_Entrada]],TAB_ESTOQUE[[Codigo]:[Endereço2]],12,FALSE)</f>
        <v>A1303</v>
      </c>
      <c r="E1330" s="15">
        <f>SUM(TAB_ENTRADA[[#This Row],[20/05/2019]:[Colunas1]])</f>
        <v>4</v>
      </c>
      <c r="F1330" s="3"/>
      <c r="FK1330" s="3">
        <v>4</v>
      </c>
    </row>
    <row r="1331" spans="1:201" x14ac:dyDescent="0.25">
      <c r="A1331" s="5" t="s">
        <v>7086</v>
      </c>
      <c r="B1331" s="15" t="str">
        <f>VLOOKUP(TAB_ENTRADA[[#This Row],[Cod_2_Entrada]],TAB_ESTOQUE[[Codigo]:[Descrição Tecnica]],6,FALSE)</f>
        <v>CONTATO AUXILIAR LAEN11 8C2030</v>
      </c>
      <c r="C1331" s="15">
        <f>IFERROR(VLOOKUP(TAB_ENTRADA[[#This Row],[Cod_2_Entrada]],TAB_ESTOQUE[[Codigo]:[Referência Tec]],7,FALSE),"")</f>
        <v>0</v>
      </c>
      <c r="D1331" s="15" t="str">
        <f>VLOOKUP(TAB_ENTRADA[[#This Row],[Cod_2_Entrada]],TAB_ESTOQUE[[Codigo]:[Endereço2]],12,FALSE)</f>
        <v>A1204</v>
      </c>
      <c r="E1331" s="15">
        <f>SUM(TAB_ENTRADA[[#This Row],[20/05/2019]:[Colunas1]])</f>
        <v>5</v>
      </c>
      <c r="F1331" s="3"/>
      <c r="FK1331" s="3">
        <v>5</v>
      </c>
    </row>
    <row r="1332" spans="1:201" x14ac:dyDescent="0.25">
      <c r="A1332" s="5" t="s">
        <v>7087</v>
      </c>
      <c r="B1332" s="15" t="str">
        <f>VLOOKUP(TAB_ENTRADA[[#This Row],[Cod_2_Entrada]],TAB_ESTOQUE[[Codigo]:[Descrição Tecnica]],6,FALSE)</f>
        <v>ROLAMENTO 6903 2RS</v>
      </c>
      <c r="C1332" s="15">
        <f>IFERROR(VLOOKUP(TAB_ENTRADA[[#This Row],[Cod_2_Entrada]],TAB_ESTOQUE[[Codigo]:[Referência Tec]],7,FALSE),"")</f>
        <v>0</v>
      </c>
      <c r="D1332" s="15" t="str">
        <f>VLOOKUP(TAB_ENTRADA[[#This Row],[Cod_2_Entrada]],TAB_ESTOQUE[[Codigo]:[Endereço2]],12,FALSE)</f>
        <v>D2103</v>
      </c>
      <c r="E1332" s="15">
        <f>SUM(TAB_ENTRADA[[#This Row],[20/05/2019]:[Colunas1]])</f>
        <v>12</v>
      </c>
      <c r="F1332" s="3"/>
      <c r="FK1332" s="3">
        <v>12</v>
      </c>
    </row>
    <row r="1333" spans="1:201" x14ac:dyDescent="0.25">
      <c r="A1333" s="5" t="s">
        <v>7088</v>
      </c>
      <c r="B1333" s="15" t="str">
        <f>VLOOKUP(TAB_ENTRADA[[#This Row],[Cod_2_Entrada]],TAB_ESTOQUE[[Codigo]:[Descrição Tecnica]],6,FALSE)</f>
        <v xml:space="preserve">RESISTENCIA RT TUB INOX Ø3/8 FLANGER 280mm 12KW/254/440V E3 </v>
      </c>
      <c r="C1333" s="15">
        <f>IFERROR(VLOOKUP(TAB_ENTRADA[[#This Row],[Cod_2_Entrada]],TAB_ESTOQUE[[Codigo]:[Referência Tec]],7,FALSE),"")</f>
        <v>0</v>
      </c>
      <c r="D1333" s="15" t="str">
        <f>VLOOKUP(TAB_ENTRADA[[#This Row],[Cod_2_Entrada]],TAB_ESTOQUE[[Codigo]:[Endereço2]],12,FALSE)</f>
        <v>A1206</v>
      </c>
      <c r="E1333" s="15">
        <f>SUM(TAB_ENTRADA[[#This Row],[20/05/2019]:[Colunas1]])</f>
        <v>0</v>
      </c>
      <c r="F1333" s="3"/>
      <c r="FK1333" s="3">
        <v>0</v>
      </c>
    </row>
    <row r="1334" spans="1:201" x14ac:dyDescent="0.25">
      <c r="A1334" s="5" t="s">
        <v>7089</v>
      </c>
      <c r="B1334" s="15" t="str">
        <f>VLOOKUP(TAB_ENTRADA[[#This Row],[Cod_2_Entrada]],TAB_ESTOQUE[[Codigo]:[Descrição Tecnica]],6,FALSE)</f>
        <v>PONTE RETIFICADORA + LGE AC KBPC5010</v>
      </c>
      <c r="C1334" s="15">
        <f>IFERROR(VLOOKUP(TAB_ENTRADA[[#This Row],[Cod_2_Entrada]],TAB_ESTOQUE[[Codigo]:[Referência Tec]],7,FALSE),"")</f>
        <v>0</v>
      </c>
      <c r="D1334" s="15" t="str">
        <f>VLOOKUP(TAB_ENTRADA[[#This Row],[Cod_2_Entrada]],TAB_ESTOQUE[[Codigo]:[Endereço2]],12,FALSE)</f>
        <v>A1105</v>
      </c>
      <c r="E1334" s="15">
        <f>SUM(TAB_ENTRADA[[#This Row],[20/05/2019]:[Colunas1]])</f>
        <v>4</v>
      </c>
      <c r="F1334" s="3"/>
      <c r="FK1334" s="3">
        <v>4</v>
      </c>
    </row>
    <row r="1335" spans="1:201" x14ac:dyDescent="0.25">
      <c r="A1335" s="5" t="s">
        <v>7090</v>
      </c>
      <c r="B1335" s="15" t="str">
        <f>VLOOKUP(TAB_ENTRADA[[#This Row],[Cod_2_Entrada]],TAB_ESTOQUE[[Codigo]:[Descrição Tecnica]],6,FALSE)</f>
        <v>CONTROLADOR GEFRAN SN: B20380053 CODE: 6001RDW20 SUPPLY 11..27Vac/dc 50/60Hz</v>
      </c>
      <c r="C1335" s="15">
        <f>IFERROR(VLOOKUP(TAB_ENTRADA[[#This Row],[Cod_2_Entrada]],TAB_ESTOQUE[[Codigo]:[Referência Tec]],7,FALSE),"")</f>
        <v>0</v>
      </c>
      <c r="D1335" s="15" t="str">
        <f>VLOOKUP(TAB_ENTRADA[[#This Row],[Cod_2_Entrada]],TAB_ESTOQUE[[Codigo]:[Endereço2]],12,FALSE)</f>
        <v>A2304</v>
      </c>
      <c r="E1335" s="15">
        <f>SUM(TAB_ENTRADA[[#This Row],[20/05/2019]:[Colunas1]])</f>
        <v>0</v>
      </c>
      <c r="F1335" s="3"/>
      <c r="FK1335" s="3">
        <v>0</v>
      </c>
    </row>
    <row r="1336" spans="1:201" x14ac:dyDescent="0.25">
      <c r="A1336" s="5" t="s">
        <v>7091</v>
      </c>
      <c r="B1336" s="15" t="str">
        <f>VLOOKUP(TAB_ENTRADA[[#This Row],[Cod_2_Entrada]],TAB_ESTOQUE[[Codigo]:[Descrição Tecnica]],6,FALSE)</f>
        <v>SOFTSTARTER SIEMENS  3RW4024-1TB04 AC SEMICONDUCTOR MOTOR STARTER</v>
      </c>
      <c r="C1336" s="15">
        <f>IFERROR(VLOOKUP(TAB_ENTRADA[[#This Row],[Cod_2_Entrada]],TAB_ESTOQUE[[Codigo]:[Referência Tec]],7,FALSE),"")</f>
        <v>0</v>
      </c>
      <c r="D1336" s="15" t="str">
        <f>VLOOKUP(TAB_ENTRADA[[#This Row],[Cod_2_Entrada]],TAB_ESTOQUE[[Codigo]:[Endereço2]],12,FALSE)</f>
        <v>B1205</v>
      </c>
      <c r="E1336" s="15">
        <f>SUM(TAB_ENTRADA[[#This Row],[20/05/2019]:[Colunas1]])</f>
        <v>0</v>
      </c>
      <c r="F1336" s="3"/>
      <c r="FK1336" s="3">
        <v>0</v>
      </c>
    </row>
    <row r="1337" spans="1:201" x14ac:dyDescent="0.25">
      <c r="A1337" s="5" t="s">
        <v>7092</v>
      </c>
      <c r="B1337" s="15" t="str">
        <f>VLOOKUP(TAB_ENTRADA[[#This Row],[Cod_2_Entrada]],TAB_ESTOQUE[[Codigo]:[Descrição Tecnica]],6,FALSE)</f>
        <v>AGULHA DEVILBISS SPA-362-085-10-K</v>
      </c>
      <c r="C1337" s="15">
        <f>IFERROR(VLOOKUP(TAB_ENTRADA[[#This Row],[Cod_2_Entrada]],TAB_ESTOQUE[[Codigo]:[Referência Tec]],7,FALSE),"")</f>
        <v>0</v>
      </c>
      <c r="D1337" s="15" t="str">
        <f>VLOOKUP(TAB_ENTRADA[[#This Row],[Cod_2_Entrada]],TAB_ESTOQUE[[Codigo]:[Endereço2]],12,FALSE)</f>
        <v>E2303</v>
      </c>
      <c r="E1337" s="15">
        <f>SUM(TAB_ENTRADA[[#This Row],[20/05/2019]:[Colunas1]])</f>
        <v>0</v>
      </c>
      <c r="F1337" s="3"/>
      <c r="FK1337" s="3">
        <v>0</v>
      </c>
    </row>
    <row r="1338" spans="1:201" x14ac:dyDescent="0.25">
      <c r="A1338" s="5" t="s">
        <v>7093</v>
      </c>
      <c r="B1338" s="15" t="str">
        <f>VLOOKUP(TAB_ENTRADA[[#This Row],[Cod_2_Entrada]],TAB_ESTOQUE[[Codigo]:[Descrição Tecnica]],6,FALSE)</f>
        <v>CILINDRO FESTO ADN-32-100-A-PPS-A PMAX. 10BAR</v>
      </c>
      <c r="C1338" s="15">
        <f>IFERROR(VLOOKUP(TAB_ENTRADA[[#This Row],[Cod_2_Entrada]],TAB_ESTOQUE[[Codigo]:[Referência Tec]],7,FALSE),"")</f>
        <v>0</v>
      </c>
      <c r="D1338" s="15" t="str">
        <f>VLOOKUP(TAB_ENTRADA[[#This Row],[Cod_2_Entrada]],TAB_ESTOQUE[[Codigo]:[Endereço2]],12,FALSE)</f>
        <v>C1105</v>
      </c>
      <c r="E1338" s="15">
        <f>SUM(TAB_ENTRADA[[#This Row],[20/05/2019]:[Colunas1]])</f>
        <v>2</v>
      </c>
      <c r="F1338" s="3"/>
      <c r="FK1338" s="3">
        <v>2</v>
      </c>
    </row>
    <row r="1339" spans="1:201" x14ac:dyDescent="0.25">
      <c r="A1339" s="5" t="s">
        <v>7094</v>
      </c>
      <c r="B1339" s="15" t="str">
        <f>VLOOKUP(TAB_ENTRADA[[#This Row],[Cod_2_Entrada]],TAB_ESTOQUE[[Codigo]:[Descrição Tecnica]],6,FALSE)</f>
        <v>CONTATOR CWB9-11-30D02 9A 24V 50/60Hz weg</v>
      </c>
      <c r="C1339" s="15">
        <f>IFERROR(VLOOKUP(TAB_ENTRADA[[#This Row],[Cod_2_Entrada]],TAB_ESTOQUE[[Codigo]:[Referência Tec]],7,FALSE),"")</f>
        <v>0</v>
      </c>
      <c r="D1339" s="15" t="str">
        <f>VLOOKUP(TAB_ENTRADA[[#This Row],[Cod_2_Entrada]],TAB_ESTOQUE[[Codigo]:[Endereço2]],12,FALSE)</f>
        <v>A2403</v>
      </c>
      <c r="E1339" s="15">
        <f>SUM(TAB_ENTRADA[[#This Row],[20/05/2019]:[Colunas1]])</f>
        <v>5</v>
      </c>
      <c r="F1339" s="3"/>
      <c r="FK1339" s="3">
        <v>5</v>
      </c>
    </row>
    <row r="1340" spans="1:201" x14ac:dyDescent="0.25">
      <c r="A1340" s="5" t="s">
        <v>7095</v>
      </c>
      <c r="B1340" s="15" t="str">
        <f>VLOOKUP(TAB_ENTRADA[[#This Row],[Cod_2_Entrada]],TAB_ESTOQUE[[Codigo]:[Descrição Tecnica]],6,FALSE)</f>
        <v>NEEDLE REPAIR KIT PART # 912-060</v>
      </c>
      <c r="C1340" s="15">
        <f>IFERROR(VLOOKUP(TAB_ENTRADA[[#This Row],[Cod_2_Entrada]],TAB_ESTOQUE[[Codigo]:[Referência Tec]],7,FALSE),"")</f>
        <v>0</v>
      </c>
      <c r="D1340" s="15" t="str">
        <f>VLOOKUP(TAB_ENTRADA[[#This Row],[Cod_2_Entrada]],TAB_ESTOQUE[[Codigo]:[Endereço2]],12,FALSE)</f>
        <v>E2304</v>
      </c>
      <c r="E1340" s="15">
        <f>SUM(TAB_ENTRADA[[#This Row],[20/05/2019]:[Colunas1]])</f>
        <v>1</v>
      </c>
      <c r="F1340" s="3"/>
      <c r="FK1340" s="3">
        <v>1</v>
      </c>
    </row>
    <row r="1341" spans="1:201" x14ac:dyDescent="0.25">
      <c r="A1341" s="5" t="s">
        <v>7096</v>
      </c>
      <c r="B1341" s="15" t="str">
        <f>VLOOKUP(TAB_ENTRADA[[#This Row],[Cod_2_Entrada]],TAB_ESTOQUE[[Codigo]:[Descrição Tecnica]],6,FALSE)</f>
        <v>CA954-CABO PP 0,5 KV 4/4 MM</v>
      </c>
      <c r="C1341" s="15">
        <f>IFERROR(VLOOKUP(TAB_ENTRADA[[#This Row],[Cod_2_Entrada]],TAB_ESTOQUE[[Codigo]:[Referência Tec]],7,FALSE),"")</f>
        <v>0</v>
      </c>
      <c r="D1341" s="15" t="str">
        <f>VLOOKUP(TAB_ENTRADA[[#This Row],[Cod_2_Entrada]],TAB_ESTOQUE[[Codigo]:[Endereço2]],12,FALSE)</f>
        <v>SUPORTE</v>
      </c>
      <c r="E1341" s="15">
        <f>SUM(TAB_ENTRADA[[#This Row],[20/05/2019]:[Colunas1]])</f>
        <v>100</v>
      </c>
      <c r="F1341" s="3"/>
      <c r="FK1341" s="3">
        <v>100</v>
      </c>
    </row>
    <row r="1342" spans="1:201" x14ac:dyDescent="0.25">
      <c r="A1342" s="5" t="s">
        <v>7097</v>
      </c>
      <c r="B1342" s="15" t="str">
        <f>VLOOKUP(TAB_ENTRADA[[#This Row],[Cod_2_Entrada]],TAB_ESTOQUE[[Codigo]:[Descrição Tecnica]],6,FALSE)</f>
        <v>SOFTSTARTER SIEMENS  3RW3028-1BB04</v>
      </c>
      <c r="C1342" s="15">
        <f>IFERROR(VLOOKUP(TAB_ENTRADA[[#This Row],[Cod_2_Entrada]],TAB_ESTOQUE[[Codigo]:[Referência Tec]],7,FALSE),"")</f>
        <v>0</v>
      </c>
      <c r="D1342" s="15" t="str">
        <f>VLOOKUP(TAB_ENTRADA[[#This Row],[Cod_2_Entrada]],TAB_ESTOQUE[[Codigo]:[Endereço2]],12,FALSE)</f>
        <v>B1205</v>
      </c>
      <c r="E1342" s="15">
        <f>SUM(TAB_ENTRADA[[#This Row],[20/05/2019]:[Colunas1]])</f>
        <v>1</v>
      </c>
      <c r="F1342" s="3"/>
      <c r="FK1342" s="3">
        <v>1</v>
      </c>
    </row>
    <row r="1343" spans="1:201" x14ac:dyDescent="0.25">
      <c r="A1343" s="5" t="s">
        <v>7105</v>
      </c>
      <c r="B1343" s="15" t="str">
        <f>VLOOKUP(TAB_ENTRADA[[#This Row],[Cod_2_Entrada]],TAB_ESTOQUE[[Codigo]:[Descrição Tecnica]],6,FALSE)</f>
        <v>MANCAL PASE-40XL-N</v>
      </c>
      <c r="C1343" s="15">
        <f>IFERROR(VLOOKUP(TAB_ENTRADA[[#This Row],[Cod_2_Entrada]],TAB_ESTOQUE[[Codigo]:[Referência Tec]],7,FALSE),"")</f>
        <v>0</v>
      </c>
      <c r="D1343" s="15" t="str">
        <f>VLOOKUP(TAB_ENTRADA[[#This Row],[Cod_2_Entrada]],TAB_ESTOQUE[[Codigo]:[Endereço2]],12,FALSE)</f>
        <v>E1403</v>
      </c>
      <c r="E1343" s="15">
        <f>SUM(TAB_ENTRADA[[#This Row],[20/05/2019]:[Colunas1]])</f>
        <v>8</v>
      </c>
      <c r="F1343" s="3"/>
      <c r="FK1343" s="3">
        <v>8</v>
      </c>
    </row>
    <row r="1344" spans="1:201" x14ac:dyDescent="0.25">
      <c r="A1344" s="5" t="s">
        <v>7106</v>
      </c>
      <c r="B1344" s="15" t="str">
        <f>VLOOKUP(TAB_ENTRADA[[#This Row],[Cod_2_Entrada]],TAB_ESTOQUE[[Codigo]:[Descrição Tecnica]],6,FALSE)</f>
        <v>ENGATE RAPIDO FACE PLANA (ALTA PRESSÃO) DE 1/2" NPT - NCM 8481.80.96</v>
      </c>
      <c r="C1344" s="15">
        <f>IFERROR(VLOOKUP(TAB_ENTRADA[[#This Row],[Cod_2_Entrada]],TAB_ESTOQUE[[Codigo]:[Referência Tec]],7,FALSE),"")</f>
        <v>0</v>
      </c>
      <c r="D1344" s="15" t="str">
        <f>VLOOKUP(TAB_ENTRADA[[#This Row],[Cod_2_Entrada]],TAB_ESTOQUE[[Codigo]:[Endereço2]],12,FALSE)</f>
        <v>D1405</v>
      </c>
      <c r="E1344" s="15">
        <f>SUM(TAB_ENTRADA[[#This Row],[20/05/2019]:[Colunas1]])</f>
        <v>4</v>
      </c>
      <c r="F1344" s="3"/>
      <c r="FK1344" s="3">
        <v>0</v>
      </c>
      <c r="GS1344" s="3">
        <v>4</v>
      </c>
    </row>
    <row r="1345" spans="1:179" x14ac:dyDescent="0.25">
      <c r="A1345" s="5" t="s">
        <v>7107</v>
      </c>
      <c r="B1345" s="15" t="str">
        <f>VLOOKUP(TAB_ENTRADA[[#This Row],[Cod_2_Entrada]],TAB_ESTOQUE[[Codigo]:[Descrição Tecnica]],6,FALSE)</f>
        <v>KIT VEDAÇÃO DO CILINDRO FESTO ADN-50-P-A MAT.-NO.: 673625 SERIES: MD 14</v>
      </c>
      <c r="C1345" s="15">
        <f>IFERROR(VLOOKUP(TAB_ENTRADA[[#This Row],[Cod_2_Entrada]],TAB_ESTOQUE[[Codigo]:[Referência Tec]],7,FALSE),"")</f>
        <v>0</v>
      </c>
      <c r="D1345" s="15" t="str">
        <f>VLOOKUP(TAB_ENTRADA[[#This Row],[Cod_2_Entrada]],TAB_ESTOQUE[[Codigo]:[Endereço2]],12,FALSE)</f>
        <v>C1104</v>
      </c>
      <c r="E1345" s="15">
        <f>SUM(TAB_ENTRADA[[#This Row],[20/05/2019]:[Colunas1]])</f>
        <v>5</v>
      </c>
      <c r="F1345" s="3"/>
      <c r="FK1345" s="3">
        <v>5</v>
      </c>
    </row>
    <row r="1346" spans="1:179" x14ac:dyDescent="0.25">
      <c r="A1346" s="5" t="s">
        <v>7108</v>
      </c>
      <c r="B1346" s="15" t="str">
        <f>VLOOKUP(TAB_ENTRADA[[#This Row],[Cod_2_Entrada]],TAB_ESTOQUE[[Codigo]:[Descrição Tecnica]],6,FALSE)</f>
        <v>RODIZIO FIXO PLACA 514 UAS</v>
      </c>
      <c r="C1346" s="15">
        <f>IFERROR(VLOOKUP(TAB_ENTRADA[[#This Row],[Cod_2_Entrada]],TAB_ESTOQUE[[Codigo]:[Referência Tec]],7,FALSE),"")</f>
        <v>0</v>
      </c>
      <c r="D1346" s="15" t="str">
        <f>VLOOKUP(TAB_ENTRADA[[#This Row],[Cod_2_Entrada]],TAB_ESTOQUE[[Codigo]:[Endereço2]],12,FALSE)</f>
        <v>AR MARIO LOGISTICA</v>
      </c>
      <c r="E1346" s="15">
        <f>SUM(TAB_ENTRADA[[#This Row],[20/05/2019]:[Colunas1]])</f>
        <v>0</v>
      </c>
      <c r="F1346" s="3"/>
      <c r="FK1346" s="3">
        <v>0</v>
      </c>
    </row>
    <row r="1347" spans="1:179" x14ac:dyDescent="0.25">
      <c r="A1347" s="5" t="s">
        <v>7109</v>
      </c>
      <c r="B1347" s="15" t="str">
        <f>VLOOKUP(TAB_ENTRADA[[#This Row],[Cod_2_Entrada]],TAB_ESTOQUE[[Codigo]:[Descrição Tecnica]],6,FALSE)</f>
        <v>RODIZIO FIXO PLACA FL 514 UFS 3/8 ZN</v>
      </c>
      <c r="C1347" s="15">
        <f>IFERROR(VLOOKUP(TAB_ENTRADA[[#This Row],[Cod_2_Entrada]],TAB_ESTOQUE[[Codigo]:[Referência Tec]],7,FALSE),"")</f>
        <v>0</v>
      </c>
      <c r="D1347" s="15" t="str">
        <f>VLOOKUP(TAB_ENTRADA[[#This Row],[Cod_2_Entrada]],TAB_ESTOQUE[[Codigo]:[Endereço2]],12,FALSE)</f>
        <v>AR MARIO LOGISTICA</v>
      </c>
      <c r="E1347" s="15">
        <f>SUM(TAB_ENTRADA[[#This Row],[20/05/2019]:[Colunas1]])</f>
        <v>0</v>
      </c>
      <c r="F1347" s="3"/>
      <c r="FK1347" s="3">
        <v>0</v>
      </c>
    </row>
    <row r="1348" spans="1:179" x14ac:dyDescent="0.25">
      <c r="A1348" s="5" t="s">
        <v>7110</v>
      </c>
      <c r="B1348" s="15" t="str">
        <f>VLOOKUP(TAB_ENTRADA[[#This Row],[Cod_2_Entrada]],TAB_ESTOQUE[[Codigo]:[Descrição Tecnica]],6,FALSE)</f>
        <v>RODIZIO FIXO PLACA FM 52 UFS PADRÃO ZN</v>
      </c>
      <c r="C1348" s="15">
        <f>IFERROR(VLOOKUP(TAB_ENTRADA[[#This Row],[Cod_2_Entrada]],TAB_ESTOQUE[[Codigo]:[Referência Tec]],7,FALSE),"")</f>
        <v>0</v>
      </c>
      <c r="D1348" s="15" t="str">
        <f>VLOOKUP(TAB_ENTRADA[[#This Row],[Cod_2_Entrada]],TAB_ESTOQUE[[Codigo]:[Endereço2]],12,FALSE)</f>
        <v>AR MARIO LOGISTICA</v>
      </c>
      <c r="E1348" s="15">
        <f>SUM(TAB_ENTRADA[[#This Row],[20/05/2019]:[Colunas1]])</f>
        <v>0</v>
      </c>
      <c r="F1348" s="3"/>
      <c r="FK1348" s="3">
        <v>0</v>
      </c>
    </row>
    <row r="1349" spans="1:179" x14ac:dyDescent="0.25">
      <c r="A1349" s="5" t="s">
        <v>7111</v>
      </c>
      <c r="B1349" s="15" t="str">
        <f>VLOOKUP(TAB_ENTRADA[[#This Row],[Cod_2_Entrada]],TAB_ESTOQUE[[Codigo]:[Descrição Tecnica]],6,FALSE)</f>
        <v>RODIZIO FIXO PLACA 82 UAS SOFT SUPER CAMADA</v>
      </c>
      <c r="C1349" s="15">
        <f>IFERROR(VLOOKUP(TAB_ENTRADA[[#This Row],[Cod_2_Entrada]],TAB_ESTOQUE[[Codigo]:[Referência Tec]],7,FALSE),"")</f>
        <v>0</v>
      </c>
      <c r="D1349" s="15" t="str">
        <f>VLOOKUP(TAB_ENTRADA[[#This Row],[Cod_2_Entrada]],TAB_ESTOQUE[[Codigo]:[Endereço2]],12,FALSE)</f>
        <v>AR MARIO LOGISTICA</v>
      </c>
      <c r="E1349" s="15">
        <f>SUM(TAB_ENTRADA[[#This Row],[20/05/2019]:[Colunas1]])</f>
        <v>0</v>
      </c>
      <c r="F1349" s="3"/>
      <c r="FK1349" s="3">
        <v>0</v>
      </c>
    </row>
    <row r="1350" spans="1:179" x14ac:dyDescent="0.25">
      <c r="A1350" s="5" t="s">
        <v>7112</v>
      </c>
      <c r="B1350" s="15" t="str">
        <f>VLOOKUP(TAB_ENTRADA[[#This Row],[Cod_2_Entrada]],TAB_ESTOQUE[[Codigo]:[Descrição Tecnica]],6,FALSE)</f>
        <v>RODIZIO GIRATORIO PLACA 514 UAS C/ FREIO DUPLA AÇÃO</v>
      </c>
      <c r="C1350" s="15">
        <f>IFERROR(VLOOKUP(TAB_ENTRADA[[#This Row],[Cod_2_Entrada]],TAB_ESTOQUE[[Codigo]:[Referência Tec]],7,FALSE),"")</f>
        <v>0</v>
      </c>
      <c r="D1350" s="15" t="str">
        <f>VLOOKUP(TAB_ENTRADA[[#This Row],[Cod_2_Entrada]],TAB_ESTOQUE[[Codigo]:[Endereço2]],12,FALSE)</f>
        <v>AR MARIO LOGISTICA</v>
      </c>
      <c r="E1350" s="15">
        <f>SUM(TAB_ENTRADA[[#This Row],[20/05/2019]:[Colunas1]])</f>
        <v>0</v>
      </c>
      <c r="F1350" s="3"/>
      <c r="FK1350" s="3">
        <v>0</v>
      </c>
    </row>
    <row r="1351" spans="1:179" x14ac:dyDescent="0.25">
      <c r="A1351" s="5" t="s">
        <v>7113</v>
      </c>
      <c r="B1351" s="15" t="str">
        <f>VLOOKUP(TAB_ENTRADA[[#This Row],[Cod_2_Entrada]],TAB_ESTOQUE[[Codigo]:[Descrição Tecnica]],6,FALSE)</f>
        <v>RODIZIO GIRATORIO PLACA GL 514 UFS 3/8 ZN DA</v>
      </c>
      <c r="C1351" s="15">
        <f>IFERROR(VLOOKUP(TAB_ENTRADA[[#This Row],[Cod_2_Entrada]],TAB_ESTOQUE[[Codigo]:[Referência Tec]],7,FALSE),"")</f>
        <v>0</v>
      </c>
      <c r="D1351" s="15" t="str">
        <f>VLOOKUP(TAB_ENTRADA[[#This Row],[Cod_2_Entrada]],TAB_ESTOQUE[[Codigo]:[Endereço2]],12,FALSE)</f>
        <v>AR MARIO LOGISTICA</v>
      </c>
      <c r="E1351" s="15">
        <f>SUM(TAB_ENTRADA[[#This Row],[20/05/2019]:[Colunas1]])</f>
        <v>0</v>
      </c>
      <c r="F1351" s="3"/>
      <c r="FK1351" s="3">
        <v>0</v>
      </c>
    </row>
    <row r="1352" spans="1:179" x14ac:dyDescent="0.25">
      <c r="A1352" s="5" t="s">
        <v>7114</v>
      </c>
      <c r="B1352" s="15" t="str">
        <f>VLOOKUP(TAB_ENTRADA[[#This Row],[Cod_2_Entrada]],TAB_ESTOQUE[[Codigo]:[Descrição Tecnica]],6,FALSE)</f>
        <v>RODIZIO GIRATORIO PLACA GM 52 UFS PADRÃO ZN</v>
      </c>
      <c r="C1352" s="15">
        <f>IFERROR(VLOOKUP(TAB_ENTRADA[[#This Row],[Cod_2_Entrada]],TAB_ESTOQUE[[Codigo]:[Referência Tec]],7,FALSE),"")</f>
        <v>0</v>
      </c>
      <c r="D1352" s="15" t="str">
        <f>VLOOKUP(TAB_ENTRADA[[#This Row],[Cod_2_Entrada]],TAB_ESTOQUE[[Codigo]:[Endereço2]],12,FALSE)</f>
        <v>AR MARIO LOGISTICA</v>
      </c>
      <c r="E1352" s="15">
        <f>SUM(TAB_ENTRADA[[#This Row],[20/05/2019]:[Colunas1]])</f>
        <v>0</v>
      </c>
      <c r="F1352" s="3"/>
      <c r="FK1352" s="3">
        <v>0</v>
      </c>
    </row>
    <row r="1353" spans="1:179" x14ac:dyDescent="0.25">
      <c r="A1353" s="5" t="s">
        <v>7115</v>
      </c>
      <c r="B1353" s="15" t="str">
        <f>VLOOKUP(TAB_ENTRADA[[#This Row],[Cod_2_Entrada]],TAB_ESTOQUE[[Codigo]:[Descrição Tecnica]],6,FALSE)</f>
        <v>RODIZIO FIXO PLACA 52 UAS SUPER CAMADA</v>
      </c>
      <c r="C1353" s="15">
        <f>IFERROR(VLOOKUP(TAB_ENTRADA[[#This Row],[Cod_2_Entrada]],TAB_ESTOQUE[[Codigo]:[Referência Tec]],7,FALSE),"")</f>
        <v>0</v>
      </c>
      <c r="D1353" s="15" t="str">
        <f>VLOOKUP(TAB_ENTRADA[[#This Row],[Cod_2_Entrada]],TAB_ESTOQUE[[Codigo]:[Endereço2]],12,FALSE)</f>
        <v>AR MARIO LOGISTICA</v>
      </c>
      <c r="E1353" s="15">
        <f>SUM(TAB_ENTRADA[[#This Row],[20/05/2019]:[Colunas1]])</f>
        <v>0</v>
      </c>
      <c r="F1353" s="3"/>
      <c r="FK1353" s="3">
        <v>0</v>
      </c>
    </row>
    <row r="1354" spans="1:179" x14ac:dyDescent="0.25">
      <c r="A1354" s="5" t="s">
        <v>7116</v>
      </c>
      <c r="B1354" s="15" t="str">
        <f>VLOOKUP(TAB_ENTRADA[[#This Row],[Cod_2_Entrada]],TAB_ESTOQUE[[Codigo]:[Descrição Tecnica]],6,FALSE)</f>
        <v xml:space="preserve">RODIZIO FIXO PLACA 82 UAS SUPER CAMADA C/ FREIO PEDAL                             </v>
      </c>
      <c r="C1354" s="15">
        <f>IFERROR(VLOOKUP(TAB_ENTRADA[[#This Row],[Cod_2_Entrada]],TAB_ESTOQUE[[Codigo]:[Referência Tec]],7,FALSE),"")</f>
        <v>0</v>
      </c>
      <c r="D1354" s="15" t="str">
        <f>VLOOKUP(TAB_ENTRADA[[#This Row],[Cod_2_Entrada]],TAB_ESTOQUE[[Codigo]:[Endereço2]],12,FALSE)</f>
        <v>AR MARIO LOGISTICA</v>
      </c>
      <c r="E1354" s="15">
        <f>SUM(TAB_ENTRADA[[#This Row],[20/05/2019]:[Colunas1]])</f>
        <v>0</v>
      </c>
      <c r="F1354" s="3"/>
      <c r="FK1354" s="3">
        <v>0</v>
      </c>
    </row>
    <row r="1355" spans="1:179" x14ac:dyDescent="0.25">
      <c r="A1355" s="5" t="s">
        <v>7117</v>
      </c>
      <c r="B1355" s="15" t="str">
        <f>VLOOKUP(TAB_ENTRADA[[#This Row],[Cod_2_Entrada]],TAB_ESTOQUE[[Codigo]:[Descrição Tecnica]],6,FALSE)</f>
        <v xml:space="preserve">RODIZIO 82 UAS SUPER CAMADA                                                                                                    </v>
      </c>
      <c r="C1355" s="15">
        <f>IFERROR(VLOOKUP(TAB_ENTRADA[[#This Row],[Cod_2_Entrada]],TAB_ESTOQUE[[Codigo]:[Referência Tec]],7,FALSE),"")</f>
        <v>0</v>
      </c>
      <c r="D1355" s="15" t="str">
        <f>VLOOKUP(TAB_ENTRADA[[#This Row],[Cod_2_Entrada]],TAB_ESTOQUE[[Codigo]:[Endereço2]],12,FALSE)</f>
        <v>AR MARIO LOGISTICA</v>
      </c>
      <c r="E1355" s="15">
        <f>SUM(TAB_ENTRADA[[#This Row],[20/05/2019]:[Colunas1]])</f>
        <v>0</v>
      </c>
      <c r="F1355" s="3"/>
      <c r="FK1355" s="3">
        <v>0</v>
      </c>
    </row>
    <row r="1356" spans="1:179" x14ac:dyDescent="0.25">
      <c r="A1356" s="5" t="s">
        <v>7118</v>
      </c>
      <c r="B1356" s="15" t="str">
        <f>VLOOKUP(TAB_ENTRADA[[#This Row],[Cod_2_Entrada]],TAB_ESTOQUE[[Codigo]:[Descrição Tecnica]],6,FALSE)</f>
        <v>BASE PARA RELE RXZE2S114M CONTATOS MISTOS CONEXÕES POR PARAFUSOS</v>
      </c>
      <c r="C1356" s="15">
        <f>IFERROR(VLOOKUP(TAB_ENTRADA[[#This Row],[Cod_2_Entrada]],TAB_ESTOQUE[[Codigo]:[Referência Tec]],7,FALSE),"")</f>
        <v>0</v>
      </c>
      <c r="D1356" s="15" t="str">
        <f>VLOOKUP(TAB_ENTRADA[[#This Row],[Cod_2_Entrada]],TAB_ESTOQUE[[Codigo]:[Endereço2]],12,FALSE)</f>
        <v>A1304</v>
      </c>
      <c r="E1356" s="15">
        <f>SUM(TAB_ENTRADA[[#This Row],[20/05/2019]:[Colunas1]])</f>
        <v>9</v>
      </c>
      <c r="F1356" s="3"/>
      <c r="FK1356" s="3">
        <v>9</v>
      </c>
    </row>
    <row r="1357" spans="1:179" x14ac:dyDescent="0.25">
      <c r="A1357" s="5" t="s">
        <v>7119</v>
      </c>
      <c r="B1357" s="15" t="str">
        <f>VLOOKUP(TAB_ENTRADA[[#This Row],[Cod_2_Entrada]],TAB_ESTOQUE[[Codigo]:[Descrição Tecnica]],6,FALSE)</f>
        <v>ROLAMENTOS 2205 2RS</v>
      </c>
      <c r="C1357" s="15">
        <f>IFERROR(VLOOKUP(TAB_ENTRADA[[#This Row],[Cod_2_Entrada]],TAB_ESTOQUE[[Codigo]:[Referência Tec]],7,FALSE),"")</f>
        <v>0</v>
      </c>
      <c r="D1357" s="15" t="str">
        <f>VLOOKUP(TAB_ENTRADA[[#This Row],[Cod_2_Entrada]],TAB_ESTOQUE[[Codigo]:[Endereço2]],12,FALSE)</f>
        <v>D1106</v>
      </c>
      <c r="E1357" s="15">
        <f>SUM(TAB_ENTRADA[[#This Row],[20/05/2019]:[Colunas1]])</f>
        <v>8</v>
      </c>
      <c r="F1357" s="3"/>
      <c r="FK1357" s="3">
        <v>8</v>
      </c>
    </row>
    <row r="1358" spans="1:179" x14ac:dyDescent="0.25">
      <c r="A1358" s="5" t="s">
        <v>7120</v>
      </c>
      <c r="B1358" s="15" t="str">
        <f>VLOOKUP(TAB_ENTRADA[[#This Row],[Cod_2_Entrada]],TAB_ESTOQUE[[Codigo]:[Descrição Tecnica]],6,FALSE)</f>
        <v>DOTU DE AR EM PASTICO</v>
      </c>
      <c r="C1358" s="15">
        <f>IFERROR(VLOOKUP(TAB_ENTRADA[[#This Row],[Cod_2_Entrada]],TAB_ESTOQUE[[Codigo]:[Referência Tec]],7,FALSE),"")</f>
        <v>0</v>
      </c>
      <c r="D1358" s="15" t="str">
        <f>VLOOKUP(TAB_ENTRADA[[#This Row],[Cod_2_Entrada]],TAB_ESTOQUE[[Codigo]:[Endereço2]],12,FALSE)</f>
        <v>C1301</v>
      </c>
      <c r="E1358" s="15">
        <f>SUM(TAB_ENTRADA[[#This Row],[20/05/2019]:[Colunas1]])</f>
        <v>47</v>
      </c>
      <c r="F1358" s="3"/>
      <c r="FK1358" s="3">
        <v>17</v>
      </c>
      <c r="FW1358" s="3">
        <v>30</v>
      </c>
    </row>
    <row r="1359" spans="1:179" x14ac:dyDescent="0.25">
      <c r="A1359" s="5" t="s">
        <v>7121</v>
      </c>
      <c r="B1359" s="15" t="str">
        <f>VLOOKUP(TAB_ENTRADA[[#This Row],[Cod_2_Entrada]],TAB_ESTOQUE[[Codigo]:[Descrição Tecnica]],6,FALSE)</f>
        <v>VALVULA HIDRAULICA PRE-APERADA TN 22 REF: H-4WEH22V14/6EG24N9ETKB14 (BLOCO HIDRAULICO REXROTH 4WE - 22V14-766EG24 N9 MNR R9/8027115)</v>
      </c>
      <c r="C1359" s="15">
        <f>IFERROR(VLOOKUP(TAB_ENTRADA[[#This Row],[Cod_2_Entrada]],TAB_ESTOQUE[[Codigo]:[Referência Tec]],7,FALSE),"")</f>
        <v>0</v>
      </c>
      <c r="D1359" s="15" t="str">
        <f>VLOOKUP(TAB_ENTRADA[[#This Row],[Cod_2_Entrada]],TAB_ESTOQUE[[Codigo]:[Endereço2]],12,FALSE)</f>
        <v>C2105</v>
      </c>
      <c r="E1359" s="15">
        <f>SUM(TAB_ENTRADA[[#This Row],[20/05/2019]:[Colunas1]])</f>
        <v>1</v>
      </c>
      <c r="F1359" s="3"/>
      <c r="FK1359" s="3">
        <v>1</v>
      </c>
    </row>
    <row r="1360" spans="1:179" x14ac:dyDescent="0.25">
      <c r="A1360" s="5" t="s">
        <v>7122</v>
      </c>
      <c r="B1360" s="15" t="str">
        <f>VLOOKUP(TAB_ENTRADA[[#This Row],[Cod_2_Entrada]],TAB_ESTOQUE[[Codigo]:[Descrição Tecnica]],6,FALSE)</f>
        <v>MEMORIA FLASH COMPACT 1GB ADAPTADOR 40 PIN SERVNEWS MASTRE 2eo-34</v>
      </c>
      <c r="C1360" s="15">
        <f>IFERROR(VLOOKUP(TAB_ENTRADA[[#This Row],[Cod_2_Entrada]],TAB_ESTOQUE[[Codigo]:[Referência Tec]],7,FALSE),"")</f>
        <v>0</v>
      </c>
      <c r="D1360" s="15" t="str">
        <f>VLOOKUP(TAB_ENTRADA[[#This Row],[Cod_2_Entrada]],TAB_ESTOQUE[[Codigo]:[Endereço2]],12,FALSE)</f>
        <v>A1104</v>
      </c>
      <c r="E1360" s="15">
        <f>SUM(TAB_ENTRADA[[#This Row],[20/05/2019]:[Colunas1]])</f>
        <v>2</v>
      </c>
      <c r="F1360" s="3"/>
      <c r="FK1360" s="3">
        <v>2</v>
      </c>
    </row>
    <row r="1361" spans="1:211" x14ac:dyDescent="0.25">
      <c r="A1361" s="5" t="s">
        <v>7123</v>
      </c>
      <c r="B1361" s="15" t="str">
        <f>VLOOKUP(TAB_ENTRADA[[#This Row],[Cod_2_Entrada]],TAB_ESTOQUE[[Codigo]:[Descrição Tecnica]],6,FALSE)</f>
        <v xml:space="preserve">Placa De Medição Dsqc 313, 3hab 3700-1, Robô Abb, SMB Board 3hab 2213-1 Serial </v>
      </c>
      <c r="C1361" s="15">
        <f>IFERROR(VLOOKUP(TAB_ENTRADA[[#This Row],[Cod_2_Entrada]],TAB_ESTOQUE[[Codigo]:[Referência Tec]],7,FALSE),"")</f>
        <v>0</v>
      </c>
      <c r="D1361" s="15" t="str">
        <f>VLOOKUP(TAB_ENTRADA[[#This Row],[Cod_2_Entrada]],TAB_ESTOQUE[[Codigo]:[Endereço2]],12,FALSE)</f>
        <v>A1104</v>
      </c>
      <c r="E1361" s="15">
        <f>SUM(TAB_ENTRADA[[#This Row],[20/05/2019]:[Colunas1]])</f>
        <v>0</v>
      </c>
      <c r="F1361" s="3"/>
      <c r="FK1361" s="3">
        <v>0</v>
      </c>
    </row>
    <row r="1362" spans="1:211" x14ac:dyDescent="0.25">
      <c r="A1362" s="5" t="s">
        <v>7124</v>
      </c>
      <c r="B1362" s="15" t="str">
        <f>VLOOKUP(TAB_ENTRADA[[#This Row],[Cod_2_Entrada]],TAB_ESTOQUE[[Codigo]:[Descrição Tecnica]],6,FALSE)</f>
        <v>KIT DE REPARO DA VALVULA LIGA/DESLIGA  010200-1  3063330000060</v>
      </c>
      <c r="C1362" s="15">
        <f>IFERROR(VLOOKUP(TAB_ENTRADA[[#This Row],[Cod_2_Entrada]],TAB_ESTOQUE[[Codigo]:[Referência Tec]],7,FALSE),"")</f>
        <v>0</v>
      </c>
      <c r="D1362" s="15" t="str">
        <f>VLOOKUP(TAB_ENTRADA[[#This Row],[Cod_2_Entrada]],TAB_ESTOQUE[[Codigo]:[Endereço2]],12,FALSE)</f>
        <v xml:space="preserve">ARMARIO </v>
      </c>
      <c r="E1362" s="15">
        <f>SUM(TAB_ENTRADA[[#This Row],[20/05/2019]:[Colunas1]])</f>
        <v>11</v>
      </c>
      <c r="F1362" s="3"/>
      <c r="FK1362" s="3">
        <v>3</v>
      </c>
      <c r="GP1362" s="3">
        <v>4</v>
      </c>
      <c r="HC1362" s="3">
        <v>4</v>
      </c>
    </row>
    <row r="1363" spans="1:211" x14ac:dyDescent="0.25">
      <c r="A1363" s="5" t="s">
        <v>7130</v>
      </c>
      <c r="B1363" s="15" t="str">
        <f>VLOOKUP(TAB_ENTRADA[[#This Row],[Cod_2_Entrada]],TAB_ESTOQUE[[Codigo]:[Descrição Tecnica]],6,FALSE)</f>
        <v>KIT DE REPARO P/UNIÃO ROTATIVA DA C-5152 E C-5155 FLOW B-7447-1  30633000 -0062</v>
      </c>
      <c r="C1363" s="15">
        <f>IFERROR(VLOOKUP(TAB_ENTRADA[[#This Row],[Cod_2_Entrada]],TAB_ESTOQUE[[Codigo]:[Referência Tec]],7,FALSE),"")</f>
        <v>0</v>
      </c>
      <c r="D1363" s="15" t="str">
        <f>VLOOKUP(TAB_ENTRADA[[#This Row],[Cod_2_Entrada]],TAB_ESTOQUE[[Codigo]:[Endereço2]],12,FALSE)</f>
        <v xml:space="preserve">ARMARIO </v>
      </c>
      <c r="E1363" s="15">
        <f>SUM(TAB_ENTRADA[[#This Row],[20/05/2019]:[Colunas1]])</f>
        <v>13</v>
      </c>
      <c r="F1363" s="3"/>
      <c r="FK1363" s="3">
        <v>0</v>
      </c>
      <c r="FT1363" s="3">
        <v>5</v>
      </c>
      <c r="GP1363" s="3">
        <v>4</v>
      </c>
      <c r="HC1363" s="3">
        <v>4</v>
      </c>
    </row>
    <row r="1364" spans="1:211" x14ac:dyDescent="0.25">
      <c r="A1364" s="5" t="s">
        <v>7131</v>
      </c>
      <c r="B1364" s="15" t="str">
        <f>VLOOKUP(TAB_ENTRADA[[#This Row],[Cod_2_Entrada]],TAB_ESTOQUE[[Codigo]:[Descrição Tecnica]],6,FALSE)</f>
        <v>KIT REPARO DA VALVULA LIGA/DESLIGA VALVULA DE RETENÇÃO  015866-1-306330000063</v>
      </c>
      <c r="C1364" s="15">
        <f>IFERROR(VLOOKUP(TAB_ENTRADA[[#This Row],[Cod_2_Entrada]],TAB_ESTOQUE[[Codigo]:[Referência Tec]],7,FALSE),"")</f>
        <v>0</v>
      </c>
      <c r="D1364" s="15" t="str">
        <f>VLOOKUP(TAB_ENTRADA[[#This Row],[Cod_2_Entrada]],TAB_ESTOQUE[[Codigo]:[Endereço2]],12,FALSE)</f>
        <v xml:space="preserve">ARMARIO </v>
      </c>
      <c r="E1364" s="15">
        <f>SUM(TAB_ENTRADA[[#This Row],[20/05/2019]:[Colunas1]])</f>
        <v>0</v>
      </c>
      <c r="F1364" s="3"/>
      <c r="FK1364" s="3">
        <v>0</v>
      </c>
    </row>
    <row r="1365" spans="1:211" x14ac:dyDescent="0.25">
      <c r="A1365" s="5" t="s">
        <v>7132</v>
      </c>
      <c r="B1365" s="15" t="str">
        <f>VLOOKUP(TAB_ENTRADA[[#This Row],[Cod_2_Entrada]],TAB_ESTOQUE[[Codigo]:[Descrição Tecnica]],6,FALSE)</f>
        <v>CORPO DA VALVULA LIGA/DESLIGA BOCAL  10104-1 3063300000041</v>
      </c>
      <c r="C1365" s="15">
        <f>IFERROR(VLOOKUP(TAB_ENTRADA[[#This Row],[Cod_2_Entrada]],TAB_ESTOQUE[[Codigo]:[Referência Tec]],7,FALSE),"")</f>
        <v>0</v>
      </c>
      <c r="D1365" s="15" t="str">
        <f>VLOOKUP(TAB_ENTRADA[[#This Row],[Cod_2_Entrada]],TAB_ESTOQUE[[Codigo]:[Endereço2]],12,FALSE)</f>
        <v xml:space="preserve">ARMARIO </v>
      </c>
      <c r="E1365" s="15">
        <f>SUM(TAB_ENTRADA[[#This Row],[20/05/2019]:[Colunas1]])</f>
        <v>0</v>
      </c>
      <c r="F1365" s="3"/>
      <c r="FK1365" s="3">
        <v>0</v>
      </c>
    </row>
    <row r="1366" spans="1:211" x14ac:dyDescent="0.25">
      <c r="A1366" s="5" t="s">
        <v>7133</v>
      </c>
      <c r="B1366" s="15" t="str">
        <f>VLOOKUP(TAB_ENTRADA[[#This Row],[Cod_2_Entrada]],TAB_ESTOQUE[[Codigo]:[Descrição Tecnica]],6,FALSE)</f>
        <v>KIT RETENTORES P/ALTA PRESSÃO ATE 60K (KIT REPARO FLOW VALVULA DE RETENÇÃO  001198-1  KIT DE VEDAÇÃO DE ALTA)</v>
      </c>
      <c r="C1366" s="15">
        <f>IFERROR(VLOOKUP(TAB_ENTRADA[[#This Row],[Cod_2_Entrada]],TAB_ESTOQUE[[Codigo]:[Referência Tec]],7,FALSE),"")</f>
        <v>0</v>
      </c>
      <c r="D1366" s="15" t="str">
        <f>VLOOKUP(TAB_ENTRADA[[#This Row],[Cod_2_Entrada]],TAB_ESTOQUE[[Codigo]:[Endereço2]],12,FALSE)</f>
        <v xml:space="preserve">ARMARIO </v>
      </c>
      <c r="E1366" s="15">
        <f>SUM(TAB_ENTRADA[[#This Row],[20/05/2019]:[Colunas1]])</f>
        <v>8</v>
      </c>
      <c r="F1366" s="3"/>
      <c r="FK1366" s="3">
        <v>0</v>
      </c>
      <c r="GP1366" s="3">
        <v>4</v>
      </c>
      <c r="HC1366" s="3">
        <v>4</v>
      </c>
    </row>
    <row r="1367" spans="1:211" x14ac:dyDescent="0.25">
      <c r="A1367" s="5" t="s">
        <v>7134</v>
      </c>
      <c r="B1367" s="15" t="str">
        <f>VLOOKUP(TAB_ENTRADA[[#This Row],[Cod_2_Entrada]],TAB_ESTOQUE[[Codigo]:[Descrição Tecnica]],6,FALSE)</f>
        <v>ANEL "O" DE BUNA DE 0240 DE DI (ANEL O-RING, BUNA-N 70 DUR, NO. 2-240 FLOW A 275-240</v>
      </c>
      <c r="C1367" s="15">
        <f>IFERROR(VLOOKUP(TAB_ENTRADA[[#This Row],[Cod_2_Entrada]],TAB_ESTOQUE[[Codigo]:[Referência Tec]],7,FALSE),"")</f>
        <v>0</v>
      </c>
      <c r="D1367" s="15" t="str">
        <f>VLOOKUP(TAB_ENTRADA[[#This Row],[Cod_2_Entrada]],TAB_ESTOQUE[[Codigo]:[Endereço2]],12,FALSE)</f>
        <v xml:space="preserve">ARMARIO </v>
      </c>
      <c r="E1367" s="15">
        <f>SUM(TAB_ENTRADA[[#This Row],[20/05/2019]:[Colunas1]])</f>
        <v>2</v>
      </c>
      <c r="F1367" s="3"/>
      <c r="FK1367" s="3">
        <v>2</v>
      </c>
    </row>
    <row r="1368" spans="1:211" x14ac:dyDescent="0.25">
      <c r="A1368" s="5" t="s">
        <v>7159</v>
      </c>
      <c r="B1368" s="15" t="str">
        <f>VLOOKUP(TAB_ENTRADA[[#This Row],[Cod_2_Entrada]],TAB_ESTOQUE[[Codigo]:[Descrição Tecnica]],6,FALSE)</f>
        <v>RETENTOR (GAXETA DE VEDAÇÃO POLY PAK FLOW A-1001 306330000074</v>
      </c>
      <c r="C1368" s="15">
        <f>IFERROR(VLOOKUP(TAB_ENTRADA[[#This Row],[Cod_2_Entrada]],TAB_ESTOQUE[[Codigo]:[Referência Tec]],7,FALSE),"")</f>
        <v>0</v>
      </c>
      <c r="D1368" s="15" t="str">
        <f>VLOOKUP(TAB_ENTRADA[[#This Row],[Cod_2_Entrada]],TAB_ESTOQUE[[Codigo]:[Endereço2]],12,FALSE)</f>
        <v xml:space="preserve">ARMARIO </v>
      </c>
      <c r="E1368" s="15">
        <f>SUM(TAB_ENTRADA[[#This Row],[20/05/2019]:[Colunas1]])</f>
        <v>2</v>
      </c>
      <c r="F1368" s="3"/>
      <c r="FK1368" s="3">
        <v>2</v>
      </c>
    </row>
    <row r="1369" spans="1:211" x14ac:dyDescent="0.25">
      <c r="A1369" s="5" t="s">
        <v>7160</v>
      </c>
      <c r="B1369" s="15" t="str">
        <f>VLOOKUP(TAB_ENTRADA[[#This Row],[Cod_2_Entrada]],TAB_ESTOQUE[[Codigo]:[Descrição Tecnica]],6,FALSE)</f>
        <v>ANEL DE ENCOSTO DE PLYMITE ( ANEL BACKUP RING 60KSI FLOW  A-00250-240 3063300000011)</v>
      </c>
      <c r="C1369" s="15">
        <f>IFERROR(VLOOKUP(TAB_ENTRADA[[#This Row],[Cod_2_Entrada]],TAB_ESTOQUE[[Codigo]:[Referência Tec]],7,FALSE),"")</f>
        <v>0</v>
      </c>
      <c r="D1369" s="15" t="str">
        <f>VLOOKUP(TAB_ENTRADA[[#This Row],[Cod_2_Entrada]],TAB_ESTOQUE[[Codigo]:[Endereço2]],12,FALSE)</f>
        <v xml:space="preserve">ARMARIO </v>
      </c>
      <c r="E1369" s="15">
        <f>SUM(TAB_ENTRADA[[#This Row],[20/05/2019]:[Colunas1]])</f>
        <v>1</v>
      </c>
      <c r="F1369" s="3"/>
      <c r="FK1369" s="3">
        <v>1</v>
      </c>
    </row>
    <row r="1370" spans="1:211" x14ac:dyDescent="0.25">
      <c r="A1370" s="5" t="s">
        <v>7161</v>
      </c>
      <c r="B1370" s="15" t="str">
        <f>VLOOKUP(TAB_ENTRADA[[#This Row],[Cod_2_Entrada]],TAB_ESTOQUE[[Codigo]:[Descrição Tecnica]],6,FALSE)</f>
        <v>EIXO CENTRAL DE ARTICULAÇÃO DA UNIÃO GIRATORIA B-7159-1 306330000048   TAIWAN 17100511</v>
      </c>
      <c r="C1370" s="15">
        <f>IFERROR(VLOOKUP(TAB_ENTRADA[[#This Row],[Cod_2_Entrada]],TAB_ESTOQUE[[Codigo]:[Referência Tec]],7,FALSE),"")</f>
        <v>0</v>
      </c>
      <c r="D1370" s="15" t="str">
        <f>VLOOKUP(TAB_ENTRADA[[#This Row],[Cod_2_Entrada]],TAB_ESTOQUE[[Codigo]:[Endereço2]],12,FALSE)</f>
        <v xml:space="preserve">ARMARIO </v>
      </c>
      <c r="E1370" s="15">
        <f>SUM(TAB_ENTRADA[[#This Row],[20/05/2019]:[Colunas1]])</f>
        <v>1</v>
      </c>
      <c r="F1370" s="3"/>
      <c r="FK1370" s="3">
        <v>1</v>
      </c>
    </row>
    <row r="1371" spans="1:211" x14ac:dyDescent="0.25">
      <c r="A1371" s="5" t="s">
        <v>7162</v>
      </c>
      <c r="B1371" s="15" t="str">
        <f>VLOOKUP(TAB_ENTRADA[[#This Row],[Cod_2_Entrada]],TAB_ESTOQUE[[Codigo]:[Descrição Tecnica]],6,FALSE)</f>
        <v>RETENTOR C/ 7/8" DE DIAMETRO INTERNO ( RETENTOR VEDAÇÃO DA HASTE A-11275 3063300000075)</v>
      </c>
      <c r="C1371" s="15">
        <f>IFERROR(VLOOKUP(TAB_ENTRADA[[#This Row],[Cod_2_Entrada]],TAB_ESTOQUE[[Codigo]:[Referência Tec]],7,FALSE),"")</f>
        <v>0</v>
      </c>
      <c r="D1371" s="15" t="str">
        <f>VLOOKUP(TAB_ENTRADA[[#This Row],[Cod_2_Entrada]],TAB_ESTOQUE[[Codigo]:[Endereço2]],12,FALSE)</f>
        <v xml:space="preserve">ARMARIO </v>
      </c>
      <c r="E1371" s="15">
        <f>SUM(TAB_ENTRADA[[#This Row],[20/05/2019]:[Colunas1]])</f>
        <v>2</v>
      </c>
      <c r="F1371" s="3"/>
      <c r="FK1371" s="3">
        <v>2</v>
      </c>
    </row>
    <row r="1372" spans="1:211" x14ac:dyDescent="0.25">
      <c r="A1372" s="5" t="s">
        <v>7163</v>
      </c>
      <c r="B1372" s="15" t="str">
        <f>VLOOKUP(TAB_ENTRADA[[#This Row],[Cod_2_Entrada]],TAB_ESTOQUE[[Codigo]:[Descrição Tecnica]],6,FALSE)</f>
        <v>VALVULA DE PREENCHIMENTO ZSF-40</v>
      </c>
      <c r="C1372" s="15">
        <f>IFERROR(VLOOKUP(TAB_ENTRADA[[#This Row],[Cod_2_Entrada]],TAB_ESTOQUE[[Codigo]:[Referência Tec]],7,FALSE),"")</f>
        <v>0</v>
      </c>
      <c r="D1372" s="15" t="str">
        <f>VLOOKUP(TAB_ENTRADA[[#This Row],[Cod_2_Entrada]],TAB_ESTOQUE[[Codigo]:[Endereço2]],12,FALSE)</f>
        <v xml:space="preserve">ARMARIO </v>
      </c>
      <c r="E1372" s="15">
        <f>SUM(TAB_ENTRADA[[#This Row],[20/05/2019]:[Colunas1]])</f>
        <v>1</v>
      </c>
      <c r="F1372" s="3"/>
      <c r="FK1372" s="3">
        <v>1</v>
      </c>
    </row>
    <row r="1373" spans="1:211" x14ac:dyDescent="0.25">
      <c r="A1373" s="5" t="s">
        <v>7164</v>
      </c>
      <c r="B1373" s="15" t="str">
        <f>VLOOKUP(TAB_ENTRADA[[#This Row],[Cod_2_Entrada]],TAB_ESTOQUE[[Codigo]:[Descrição Tecnica]],6,FALSE)</f>
        <v>CABOS PP 4/16</v>
      </c>
      <c r="C1373" s="15">
        <f>IFERROR(VLOOKUP(TAB_ENTRADA[[#This Row],[Cod_2_Entrada]],TAB_ESTOQUE[[Codigo]:[Referência Tec]],7,FALSE),"")</f>
        <v>0</v>
      </c>
      <c r="D1373" s="15" t="str">
        <f>VLOOKUP(TAB_ENTRADA[[#This Row],[Cod_2_Entrada]],TAB_ESTOQUE[[Codigo]:[Endereço2]],12,FALSE)</f>
        <v>SUPORTE</v>
      </c>
      <c r="E1373" s="15">
        <f>SUM(TAB_ENTRADA[[#This Row],[20/05/2019]:[Colunas1]])</f>
        <v>0</v>
      </c>
      <c r="F1373" s="3"/>
      <c r="FK1373" s="3">
        <v>0</v>
      </c>
    </row>
    <row r="1374" spans="1:211" x14ac:dyDescent="0.25">
      <c r="A1374" s="5" t="s">
        <v>7165</v>
      </c>
      <c r="B1374" s="15" t="str">
        <f>VLOOKUP(TAB_ENTRADA[[#This Row],[Cod_2_Entrada]],TAB_ESTOQUE[[Codigo]:[Descrição Tecnica]],6,FALSE)</f>
        <v>CABO PP 4/10</v>
      </c>
      <c r="C1374" s="15">
        <f>IFERROR(VLOOKUP(TAB_ENTRADA[[#This Row],[Cod_2_Entrada]],TAB_ESTOQUE[[Codigo]:[Referência Tec]],7,FALSE),"")</f>
        <v>0</v>
      </c>
      <c r="D1374" s="15" t="str">
        <f>VLOOKUP(TAB_ENTRADA[[#This Row],[Cod_2_Entrada]],TAB_ESTOQUE[[Codigo]:[Endereço2]],12,FALSE)</f>
        <v>SUPORTE</v>
      </c>
      <c r="E1374" s="15">
        <f>SUM(TAB_ENTRADA[[#This Row],[20/05/2019]:[Colunas1]])</f>
        <v>0</v>
      </c>
      <c r="F1374" s="3"/>
      <c r="FK1374" s="3">
        <v>0</v>
      </c>
    </row>
    <row r="1375" spans="1:211" x14ac:dyDescent="0.25">
      <c r="A1375" s="5" t="s">
        <v>7166</v>
      </c>
      <c r="B1375" s="15" t="str">
        <f>VLOOKUP(TAB_ENTRADA[[#This Row],[Cod_2_Entrada]],TAB_ESTOQUE[[Codigo]:[Descrição Tecnica]],6,FALSE)</f>
        <v>FONTE DE ALIMENTAÇÃO 24VDC 8,3A ABL2REM24085K</v>
      </c>
      <c r="C1375" s="15">
        <f>IFERROR(VLOOKUP(TAB_ENTRADA[[#This Row],[Cod_2_Entrada]],TAB_ESTOQUE[[Codigo]:[Referência Tec]],7,FALSE),"")</f>
        <v>0</v>
      </c>
      <c r="D1375" s="15" t="str">
        <f>VLOOKUP(TAB_ENTRADA[[#This Row],[Cod_2_Entrada]],TAB_ESTOQUE[[Codigo]:[Endereço2]],12,FALSE)</f>
        <v>A2302</v>
      </c>
      <c r="E1375" s="15">
        <f>SUM(TAB_ENTRADA[[#This Row],[20/05/2019]:[Colunas1]])</f>
        <v>2</v>
      </c>
      <c r="F1375" s="3"/>
      <c r="FK1375" s="3">
        <v>2</v>
      </c>
    </row>
    <row r="1376" spans="1:211" x14ac:dyDescent="0.25">
      <c r="A1376" s="5" t="s">
        <v>7167</v>
      </c>
      <c r="B1376" s="15" t="str">
        <f>VLOOKUP(TAB_ENTRADA[[#This Row],[Cod_2_Entrada]],TAB_ESTOQUE[[Codigo]:[Descrição Tecnica]],6,FALSE)</f>
        <v>BOMBA DE DIAFRAGMA SERE PRO</v>
      </c>
      <c r="C1376" s="15">
        <f>IFERROR(VLOOKUP(TAB_ENTRADA[[#This Row],[Cod_2_Entrada]],TAB_ESTOQUE[[Codigo]:[Referência Tec]],7,FALSE),"")</f>
        <v>0</v>
      </c>
      <c r="D1376" s="15" t="str">
        <f>VLOOKUP(TAB_ENTRADA[[#This Row],[Cod_2_Entrada]],TAB_ESTOQUE[[Codigo]:[Endereço2]],12,FALSE)</f>
        <v>F1106</v>
      </c>
      <c r="E1376" s="15">
        <f>SUM(TAB_ENTRADA[[#This Row],[20/05/2019]:[Colunas1]])</f>
        <v>0</v>
      </c>
      <c r="F1376" s="3"/>
      <c r="FK1376" s="3">
        <v>0</v>
      </c>
    </row>
    <row r="1377" spans="1:215" x14ac:dyDescent="0.25">
      <c r="A1377" s="5" t="s">
        <v>7168</v>
      </c>
      <c r="B1377" s="15" t="str">
        <f>VLOOKUP(TAB_ENTRADA[[#This Row],[Cod_2_Entrada]],TAB_ESTOQUE[[Codigo]:[Descrição Tecnica]],6,FALSE)</f>
        <v>ELEMENTO FILTRANTE PP 10 U D2 5X10</v>
      </c>
      <c r="C1377" s="15">
        <f>IFERROR(VLOOKUP(TAB_ENTRADA[[#This Row],[Cod_2_Entrada]],TAB_ESTOQUE[[Codigo]:[Referência Tec]],7,FALSE),"")</f>
        <v>0</v>
      </c>
      <c r="D1377" s="15" t="str">
        <f>VLOOKUP(TAB_ENTRADA[[#This Row],[Cod_2_Entrada]],TAB_ESTOQUE[[Codigo]:[Endereço2]],12,FALSE)</f>
        <v>C1402</v>
      </c>
      <c r="E1377" s="15">
        <f>SUM(TAB_ENTRADA[[#This Row],[20/05/2019]:[Colunas1]])</f>
        <v>5</v>
      </c>
      <c r="F1377" s="3"/>
      <c r="FK1377" s="3">
        <v>1</v>
      </c>
      <c r="HG1377" s="3">
        <v>4</v>
      </c>
    </row>
    <row r="1378" spans="1:215" x14ac:dyDescent="0.25">
      <c r="A1378" s="5" t="s">
        <v>7169</v>
      </c>
      <c r="B1378" s="15" t="str">
        <f>VLOOKUP(TAB_ENTRADA[[#This Row],[Cod_2_Entrada]],TAB_ESTOQUE[[Codigo]:[Descrição Tecnica]],6,FALSE)</f>
        <v>ELEMENTO FILTRANTE PP 20 U D2 5X10</v>
      </c>
      <c r="C1378" s="15">
        <f>IFERROR(VLOOKUP(TAB_ENTRADA[[#This Row],[Cod_2_Entrada]],TAB_ESTOQUE[[Codigo]:[Referência Tec]],7,FALSE),"")</f>
        <v>0</v>
      </c>
      <c r="D1378" s="15" t="str">
        <f>VLOOKUP(TAB_ENTRADA[[#This Row],[Cod_2_Entrada]],TAB_ESTOQUE[[Codigo]:[Endereço2]],12,FALSE)</f>
        <v>C1402</v>
      </c>
      <c r="E1378" s="15">
        <f>SUM(TAB_ENTRADA[[#This Row],[20/05/2019]:[Colunas1]])</f>
        <v>6</v>
      </c>
      <c r="F1378" s="3"/>
      <c r="FK1378" s="3">
        <v>2</v>
      </c>
      <c r="HG1378" s="3">
        <v>4</v>
      </c>
    </row>
    <row r="1379" spans="1:215" x14ac:dyDescent="0.25">
      <c r="A1379" s="5" t="s">
        <v>7192</v>
      </c>
      <c r="B1379" s="15" t="str">
        <f>VLOOKUP(TAB_ENTRADA[[#This Row],[Cod_2_Entrada]],TAB_ESTOQUE[[Codigo]:[Descrição Tecnica]],6,FALSE)</f>
        <v>ELEMENTO FILTRANTE PP 05 U D2 5X10</v>
      </c>
      <c r="C1379" s="15">
        <f>IFERROR(VLOOKUP(TAB_ENTRADA[[#This Row],[Cod_2_Entrada]],TAB_ESTOQUE[[Codigo]:[Referência Tec]],7,FALSE),"")</f>
        <v>0</v>
      </c>
      <c r="D1379" s="15" t="str">
        <f>VLOOKUP(TAB_ENTRADA[[#This Row],[Cod_2_Entrada]],TAB_ESTOQUE[[Codigo]:[Endereço2]],12,FALSE)</f>
        <v>C1402</v>
      </c>
      <c r="E1379" s="15">
        <f>SUM(TAB_ENTRADA[[#This Row],[20/05/2019]:[Colunas1]])</f>
        <v>5</v>
      </c>
      <c r="F1379" s="3"/>
      <c r="FK1379" s="3">
        <v>1</v>
      </c>
      <c r="HG1379" s="3">
        <v>4</v>
      </c>
    </row>
    <row r="1380" spans="1:215" x14ac:dyDescent="0.25">
      <c r="A1380" s="5" t="s">
        <v>7193</v>
      </c>
      <c r="B1380" s="15" t="str">
        <f>VLOOKUP(TAB_ENTRADA[[#This Row],[Cod_2_Entrada]],TAB_ESTOQUE[[Codigo]:[Descrição Tecnica]],6,FALSE)</f>
        <v>ELEMENTO FILTRANTE PP 50 U D2 5X10</v>
      </c>
      <c r="C1380" s="15">
        <f>IFERROR(VLOOKUP(TAB_ENTRADA[[#This Row],[Cod_2_Entrada]],TAB_ESTOQUE[[Codigo]:[Referência Tec]],7,FALSE),"")</f>
        <v>0</v>
      </c>
      <c r="D1380" s="15" t="str">
        <f>VLOOKUP(TAB_ENTRADA[[#This Row],[Cod_2_Entrada]],TAB_ESTOQUE[[Codigo]:[Endereço2]],12,FALSE)</f>
        <v>C1402</v>
      </c>
      <c r="E1380" s="15">
        <f>SUM(TAB_ENTRADA[[#This Row],[20/05/2019]:[Colunas1]])</f>
        <v>7</v>
      </c>
      <c r="F1380" s="3"/>
      <c r="FK1380" s="3">
        <v>3</v>
      </c>
      <c r="HG1380" s="3">
        <v>4</v>
      </c>
    </row>
    <row r="1381" spans="1:215" x14ac:dyDescent="0.25">
      <c r="A1381" s="5" t="s">
        <v>7194</v>
      </c>
      <c r="B1381" s="15" t="str">
        <f>VLOOKUP(TAB_ENTRADA[[#This Row],[Cod_2_Entrada]],TAB_ESTOQUE[[Codigo]:[Descrição Tecnica]],6,FALSE)</f>
        <v>RESISTENCIA KDI 7.5KW 254V</v>
      </c>
      <c r="C1381" s="15">
        <f>IFERROR(VLOOKUP(TAB_ENTRADA[[#This Row],[Cod_2_Entrada]],TAB_ESTOQUE[[Codigo]:[Referência Tec]],7,FALSE),"")</f>
        <v>0</v>
      </c>
      <c r="D1381" s="15" t="str">
        <f>VLOOKUP(TAB_ENTRADA[[#This Row],[Cod_2_Entrada]],TAB_ESTOQUE[[Codigo]:[Endereço2]],12,FALSE)</f>
        <v>A1206</v>
      </c>
      <c r="E1381" s="15">
        <f>SUM(TAB_ENTRADA[[#This Row],[20/05/2019]:[Colunas1]])</f>
        <v>1</v>
      </c>
      <c r="F1381" s="3"/>
      <c r="FK1381" s="3">
        <v>1</v>
      </c>
    </row>
    <row r="1382" spans="1:215" x14ac:dyDescent="0.25">
      <c r="A1382" s="5" t="s">
        <v>7195</v>
      </c>
      <c r="B1382" s="15" t="str">
        <f>VLOOKUP(TAB_ENTRADA[[#This Row],[Cod_2_Entrada]],TAB_ESTOQUE[[Codigo]:[Descrição Tecnica]],6,FALSE)</f>
        <v>FUSIVEL CARTUCHO WEBER NHOO 120KA gG 63A 500V</v>
      </c>
      <c r="C1382" s="15">
        <f>IFERROR(VLOOKUP(TAB_ENTRADA[[#This Row],[Cod_2_Entrada]],TAB_ESTOQUE[[Codigo]:[Referência Tec]],7,FALSE),"")</f>
        <v>0</v>
      </c>
      <c r="D1382" s="15" t="str">
        <f>VLOOKUP(TAB_ENTRADA[[#This Row],[Cod_2_Entrada]],TAB_ESTOQUE[[Codigo]:[Endereço2]],12,FALSE)</f>
        <v>A1204</v>
      </c>
      <c r="E1382" s="15">
        <f>SUM(TAB_ENTRADA[[#This Row],[20/05/2019]:[Colunas1]])</f>
        <v>1</v>
      </c>
      <c r="F1382" s="3"/>
      <c r="FK1382" s="3">
        <v>1</v>
      </c>
    </row>
    <row r="1383" spans="1:215" x14ac:dyDescent="0.25">
      <c r="A1383" s="5" t="s">
        <v>7196</v>
      </c>
      <c r="B1383" s="15" t="str">
        <f>VLOOKUP(TAB_ENTRADA[[#This Row],[Cod_2_Entrada]],TAB_ESTOQUE[[Codigo]:[Descrição Tecnica]],6,FALSE)</f>
        <v>BLOCO DE CONTATO 3HR2911-1FA22</v>
      </c>
      <c r="C1383" s="15">
        <f>IFERROR(VLOOKUP(TAB_ENTRADA[[#This Row],[Cod_2_Entrada]],TAB_ESTOQUE[[Codigo]:[Referência Tec]],7,FALSE),"")</f>
        <v>0</v>
      </c>
      <c r="D1383" s="15" t="str">
        <f>VLOOKUP(TAB_ENTRADA[[#This Row],[Cod_2_Entrada]],TAB_ESTOQUE[[Codigo]:[Endereço2]],12,FALSE)</f>
        <v>A1204</v>
      </c>
      <c r="E1383" s="15">
        <f>SUM(TAB_ENTRADA[[#This Row],[20/05/2019]:[Colunas1]])</f>
        <v>0</v>
      </c>
      <c r="F1383" s="3"/>
      <c r="FK1383" s="3">
        <v>0</v>
      </c>
    </row>
    <row r="1384" spans="1:215" x14ac:dyDescent="0.25">
      <c r="A1384" s="5" t="s">
        <v>7197</v>
      </c>
      <c r="B1384" s="15" t="str">
        <f>VLOOKUP(TAB_ENTRADA[[#This Row],[Cod_2_Entrada]],TAB_ESTOQUE[[Codigo]:[Descrição Tecnica]],6,FALSE)</f>
        <v>BASE PARA RELE TELEMECANIQUE RUZC3M 10A 250V 2.5KV 3</v>
      </c>
      <c r="C1384" s="15">
        <f>IFERROR(VLOOKUP(TAB_ENTRADA[[#This Row],[Cod_2_Entrada]],TAB_ESTOQUE[[Codigo]:[Referência Tec]],7,FALSE),"")</f>
        <v>0</v>
      </c>
      <c r="D1384" s="15" t="str">
        <f>VLOOKUP(TAB_ENTRADA[[#This Row],[Cod_2_Entrada]],TAB_ESTOQUE[[Codigo]:[Endereço2]],12,FALSE)</f>
        <v>A1205</v>
      </c>
      <c r="E1384" s="15">
        <f>SUM(TAB_ENTRADA[[#This Row],[20/05/2019]:[Colunas1]])</f>
        <v>4</v>
      </c>
      <c r="F1384" s="3"/>
      <c r="FK1384" s="3">
        <v>4</v>
      </c>
    </row>
    <row r="1385" spans="1:215" x14ac:dyDescent="0.25">
      <c r="A1385" s="5" t="s">
        <v>7198</v>
      </c>
      <c r="B1385" s="15" t="str">
        <f>VLOOKUP(TAB_ENTRADA[[#This Row],[Cod_2_Entrada]],TAB_ESTOQUE[[Codigo]:[Descrição Tecnica]],6,FALSE)</f>
        <v>SUPRESSOR DE SURTO SIEMENS 3RT1916-1EH00</v>
      </c>
      <c r="C1385" s="15">
        <f>IFERROR(VLOOKUP(TAB_ENTRADA[[#This Row],[Cod_2_Entrada]],TAB_ESTOQUE[[Codigo]:[Referência Tec]],7,FALSE),"")</f>
        <v>0</v>
      </c>
      <c r="D1385" s="15" t="str">
        <f>VLOOKUP(TAB_ENTRADA[[#This Row],[Cod_2_Entrada]],TAB_ESTOQUE[[Codigo]:[Endereço2]],12,FALSE)</f>
        <v>A1305</v>
      </c>
      <c r="E1385" s="15">
        <f>SUM(TAB_ENTRADA[[#This Row],[20/05/2019]:[Colunas1]])</f>
        <v>1</v>
      </c>
      <c r="F1385" s="3"/>
      <c r="FK1385" s="3">
        <v>1</v>
      </c>
    </row>
    <row r="1386" spans="1:215" x14ac:dyDescent="0.25">
      <c r="A1386" s="5" t="s">
        <v>7199</v>
      </c>
      <c r="B1386" s="15" t="str">
        <f>VLOOKUP(TAB_ENTRADA[[#This Row],[Cod_2_Entrada]],TAB_ESTOQUE[[Codigo]:[Descrição Tecnica]],6,FALSE)</f>
        <v>ACOPLAMENTO FIXAR STECK N4006 16A-6h/380-440V 3P+ FEMEA VERMELHA</v>
      </c>
      <c r="C1386" s="15">
        <f>IFERROR(VLOOKUP(TAB_ENTRADA[[#This Row],[Cod_2_Entrada]],TAB_ESTOQUE[[Codigo]:[Referência Tec]],7,FALSE),"")</f>
        <v>0</v>
      </c>
      <c r="D1386" s="15" t="str">
        <f>VLOOKUP(TAB_ENTRADA[[#This Row],[Cod_2_Entrada]],TAB_ESTOQUE[[Codigo]:[Endereço2]],12,FALSE)</f>
        <v>A1405</v>
      </c>
      <c r="E1386" s="15">
        <f>SUM(TAB_ENTRADA[[#This Row],[20/05/2019]:[Colunas1]])</f>
        <v>0</v>
      </c>
      <c r="F1386" s="3"/>
      <c r="FK1386" s="3">
        <v>0</v>
      </c>
    </row>
    <row r="1387" spans="1:215" x14ac:dyDescent="0.25">
      <c r="A1387" s="5" t="s">
        <v>7200</v>
      </c>
      <c r="B1387" s="15" t="str">
        <f>VLOOKUP(TAB_ENTRADA[[#This Row],[Cod_2_Entrada]],TAB_ESTOQUE[[Codigo]:[Descrição Tecnica]],6,FALSE)</f>
        <v>CONDULETE ALUM: C 1" COM ROSCA</v>
      </c>
      <c r="C1387" s="15">
        <f>IFERROR(VLOOKUP(TAB_ENTRADA[[#This Row],[Cod_2_Entrada]],TAB_ESTOQUE[[Codigo]:[Referência Tec]],7,FALSE),"")</f>
        <v>0</v>
      </c>
      <c r="D1387" s="15" t="str">
        <f>VLOOKUP(TAB_ENTRADA[[#This Row],[Cod_2_Entrada]],TAB_ESTOQUE[[Codigo]:[Endereço2]],12,FALSE)</f>
        <v>A1402</v>
      </c>
      <c r="E1387" s="15">
        <f>SUM(TAB_ENTRADA[[#This Row],[20/05/2019]:[Colunas1]])</f>
        <v>2</v>
      </c>
      <c r="F1387" s="3"/>
      <c r="FK1387" s="3">
        <v>2</v>
      </c>
    </row>
    <row r="1388" spans="1:215" x14ac:dyDescent="0.25">
      <c r="A1388" s="5" t="s">
        <v>7201</v>
      </c>
      <c r="B1388" s="15" t="str">
        <f>VLOOKUP(TAB_ENTRADA[[#This Row],[Cod_2_Entrada]],TAB_ESTOQUE[[Codigo]:[Descrição Tecnica]],6,FALSE)</f>
        <v>CONDULETE ALUM: TB 1" COM ROSCA</v>
      </c>
      <c r="C1388" s="15">
        <f>IFERROR(VLOOKUP(TAB_ENTRADA[[#This Row],[Cod_2_Entrada]],TAB_ESTOQUE[[Codigo]:[Referência Tec]],7,FALSE),"")</f>
        <v>0</v>
      </c>
      <c r="D1388" s="15" t="str">
        <f>VLOOKUP(TAB_ENTRADA[[#This Row],[Cod_2_Entrada]],TAB_ESTOQUE[[Codigo]:[Endereço2]],12,FALSE)</f>
        <v>A1402</v>
      </c>
      <c r="E1388" s="15">
        <f>SUM(TAB_ENTRADA[[#This Row],[20/05/2019]:[Colunas1]])</f>
        <v>2</v>
      </c>
      <c r="F1388" s="3"/>
      <c r="FK1388" s="3">
        <v>2</v>
      </c>
    </row>
    <row r="1389" spans="1:215" x14ac:dyDescent="0.25">
      <c r="A1389" s="5" t="s">
        <v>7202</v>
      </c>
      <c r="B1389" s="15" t="str">
        <f>VLOOKUP(TAB_ENTRADA[[#This Row],[Cod_2_Entrada]],TAB_ESTOQUE[[Codigo]:[Descrição Tecnica]],6,FALSE)</f>
        <v>CONDULETE ALUM: C 1" SEM ROSCA</v>
      </c>
      <c r="C1389" s="15">
        <f>IFERROR(VLOOKUP(TAB_ENTRADA[[#This Row],[Cod_2_Entrada]],TAB_ESTOQUE[[Codigo]:[Referência Tec]],7,FALSE),"")</f>
        <v>0</v>
      </c>
      <c r="D1389" s="15" t="str">
        <f>VLOOKUP(TAB_ENTRADA[[#This Row],[Cod_2_Entrada]],TAB_ESTOQUE[[Codigo]:[Endereço2]],12,FALSE)</f>
        <v>A1402</v>
      </c>
      <c r="E1389" s="15">
        <f>SUM(TAB_ENTRADA[[#This Row],[20/05/2019]:[Colunas1]])</f>
        <v>1</v>
      </c>
      <c r="F1389" s="3"/>
      <c r="FK1389" s="3">
        <v>1</v>
      </c>
    </row>
    <row r="1390" spans="1:215" x14ac:dyDescent="0.25">
      <c r="A1390" s="5" t="s">
        <v>7203</v>
      </c>
      <c r="B1390" s="15" t="str">
        <f>VLOOKUP(TAB_ENTRADA[[#This Row],[Cod_2_Entrada]],TAB_ESTOQUE[[Codigo]:[Descrição Tecnica]],6,FALSE)</f>
        <v>CONDULETE ALUM: X 1" SEM ROSCA</v>
      </c>
      <c r="C1390" s="15">
        <f>IFERROR(VLOOKUP(TAB_ENTRADA[[#This Row],[Cod_2_Entrada]],TAB_ESTOQUE[[Codigo]:[Referência Tec]],7,FALSE),"")</f>
        <v>0</v>
      </c>
      <c r="D1390" s="15" t="str">
        <f>VLOOKUP(TAB_ENTRADA[[#This Row],[Cod_2_Entrada]],TAB_ESTOQUE[[Codigo]:[Endereço2]],12,FALSE)</f>
        <v>A1402</v>
      </c>
      <c r="E1390" s="15">
        <f>SUM(TAB_ENTRADA[[#This Row],[20/05/2019]:[Colunas1]])</f>
        <v>0</v>
      </c>
      <c r="F1390" s="3"/>
      <c r="FK1390" s="3">
        <v>0</v>
      </c>
    </row>
    <row r="1391" spans="1:215" x14ac:dyDescent="0.25">
      <c r="A1391" s="5" t="s">
        <v>7260</v>
      </c>
      <c r="B1391" s="15" t="str">
        <f>VLOOKUP(TAB_ENTRADA[[#This Row],[Cod_2_Entrada]],TAB_ESTOQUE[[Codigo]:[Descrição Tecnica]],6,FALSE)</f>
        <v>PEPPERL+FUCHS UC4000-L2-E6-V15 PORT NO:188208 10-3VDC</v>
      </c>
      <c r="C1391" s="15">
        <f>IFERROR(VLOOKUP(TAB_ENTRADA[[#This Row],[Cod_2_Entrada]],TAB_ESTOQUE[[Codigo]:[Referência Tec]],7,FALSE),"")</f>
        <v>0</v>
      </c>
      <c r="D1391" s="15" t="str">
        <f>VLOOKUP(TAB_ENTRADA[[#This Row],[Cod_2_Entrada]],TAB_ESTOQUE[[Codigo]:[Endereço2]],12,FALSE)</f>
        <v>A2103</v>
      </c>
      <c r="E1391" s="15">
        <f>SUM(TAB_ENTRADA[[#This Row],[20/05/2019]:[Colunas1]])</f>
        <v>1</v>
      </c>
      <c r="F1391" s="3"/>
      <c r="FK1391" s="3">
        <v>1</v>
      </c>
    </row>
    <row r="1392" spans="1:215" x14ac:dyDescent="0.25">
      <c r="A1392" s="5" t="s">
        <v>7261</v>
      </c>
      <c r="B1392" s="15" t="str">
        <f>VLOOKUP(TAB_ENTRADA[[#This Row],[Cod_2_Entrada]],TAB_ESTOQUE[[Codigo]:[Descrição Tecnica]],6,FALSE)</f>
        <v>PEPPERL+FUCHS PORT NO: 805076 SU19/110/115/123</v>
      </c>
      <c r="C1392" s="15">
        <f>IFERROR(VLOOKUP(TAB_ENTRADA[[#This Row],[Cod_2_Entrada]],TAB_ESTOQUE[[Codigo]:[Referência Tec]],7,FALSE),"")</f>
        <v>0</v>
      </c>
      <c r="D1392" s="15" t="str">
        <f>VLOOKUP(TAB_ENTRADA[[#This Row],[Cod_2_Entrada]],TAB_ESTOQUE[[Codigo]:[Endereço2]],12,FALSE)</f>
        <v>A2104</v>
      </c>
      <c r="E1392" s="15">
        <f>SUM(TAB_ENTRADA[[#This Row],[20/05/2019]:[Colunas1]])</f>
        <v>1</v>
      </c>
      <c r="F1392" s="3"/>
      <c r="FK1392" s="3">
        <v>1</v>
      </c>
    </row>
    <row r="1393" spans="1:167" x14ac:dyDescent="0.25">
      <c r="A1393" s="5" t="s">
        <v>7262</v>
      </c>
      <c r="B1393" s="15" t="str">
        <f>VLOOKUP(TAB_ENTRADA[[#This Row],[Cod_2_Entrada]],TAB_ESTOQUE[[Codigo]:[Descrição Tecnica]],6,FALSE)</f>
        <v>VOLTIMETRO SERIE: BC72 S/N:07015168 FREQUENCY RANGE 45...65 Hz</v>
      </c>
      <c r="C1393" s="15">
        <f>IFERROR(VLOOKUP(TAB_ENTRADA[[#This Row],[Cod_2_Entrada]],TAB_ESTOQUE[[Codigo]:[Referência Tec]],7,FALSE),"")</f>
        <v>0</v>
      </c>
      <c r="D1393" s="15" t="str">
        <f>VLOOKUP(TAB_ENTRADA[[#This Row],[Cod_2_Entrada]],TAB_ESTOQUE[[Codigo]:[Endereço2]],12,FALSE)</f>
        <v>A2104</v>
      </c>
      <c r="E1393" s="15">
        <f>SUM(TAB_ENTRADA[[#This Row],[20/05/2019]:[Colunas1]])</f>
        <v>1</v>
      </c>
      <c r="F1393" s="3"/>
      <c r="FK1393" s="3">
        <v>1</v>
      </c>
    </row>
    <row r="1394" spans="1:167" x14ac:dyDescent="0.25">
      <c r="A1394" s="5" t="s">
        <v>7263</v>
      </c>
      <c r="B1394" s="15" t="str">
        <f>VLOOKUP(TAB_ENTRADA[[#This Row],[Cod_2_Entrada]],TAB_ESTOQUE[[Codigo]:[Descrição Tecnica]],6,FALSE)</f>
        <v xml:space="preserve">MODULO DE ALTA FREQUENCIA </v>
      </c>
      <c r="C1394" s="15">
        <f>IFERROR(VLOOKUP(TAB_ENTRADA[[#This Row],[Cod_2_Entrada]],TAB_ESTOQUE[[Codigo]:[Referência Tec]],7,FALSE),"")</f>
        <v>0</v>
      </c>
      <c r="D1394" s="15" t="str">
        <f>VLOOKUP(TAB_ENTRADA[[#This Row],[Cod_2_Entrada]],TAB_ESTOQUE[[Codigo]:[Endereço2]],12,FALSE)</f>
        <v>A2106</v>
      </c>
      <c r="E1394" s="15">
        <f>SUM(TAB_ENTRADA[[#This Row],[20/05/2019]:[Colunas1]])</f>
        <v>1</v>
      </c>
      <c r="F1394" s="3"/>
      <c r="FK1394" s="3">
        <v>1</v>
      </c>
    </row>
    <row r="1395" spans="1:167" x14ac:dyDescent="0.25">
      <c r="A1395" s="5" t="s">
        <v>7264</v>
      </c>
      <c r="B1395" s="15" t="str">
        <f>VLOOKUP(TAB_ENTRADA[[#This Row],[Cod_2_Entrada]],TAB_ESTOQUE[[Codigo]:[Descrição Tecnica]],6,FALSE)</f>
        <v>SENSORES OPTICOS IFM 05DLCPKG/US</v>
      </c>
      <c r="C1395" s="15">
        <f>IFERROR(VLOOKUP(TAB_ENTRADA[[#This Row],[Cod_2_Entrada]],TAB_ESTOQUE[[Codigo]:[Referência Tec]],7,FALSE),"")</f>
        <v>0</v>
      </c>
      <c r="D1395" s="15" t="str">
        <f>VLOOKUP(TAB_ENTRADA[[#This Row],[Cod_2_Entrada]],TAB_ESTOQUE[[Codigo]:[Endereço2]],12,FALSE)</f>
        <v>A2103</v>
      </c>
      <c r="E1395" s="15">
        <f>SUM(TAB_ENTRADA[[#This Row],[20/05/2019]:[Colunas1]])</f>
        <v>0</v>
      </c>
      <c r="F1395" s="3"/>
      <c r="FK1395" s="3">
        <v>0</v>
      </c>
    </row>
    <row r="1396" spans="1:167" x14ac:dyDescent="0.25">
      <c r="A1396" s="5" t="s">
        <v>7271</v>
      </c>
      <c r="B1396" s="15" t="str">
        <f>VLOOKUP(TAB_ENTRADA[[#This Row],[Cod_2_Entrada]],TAB_ESTOQUE[[Codigo]:[Descrição Tecnica]],6,FALSE)</f>
        <v>CARCAÇA HAM 24 PINOS 1/2"</v>
      </c>
      <c r="C1396" s="15">
        <f>IFERROR(VLOOKUP(TAB_ENTRADA[[#This Row],[Cod_2_Entrada]],TAB_ESTOQUE[[Codigo]:[Referência Tec]],7,FALSE),"")</f>
        <v>0</v>
      </c>
      <c r="D1396" s="15" t="str">
        <f>VLOOKUP(TAB_ENTRADA[[#This Row],[Cod_2_Entrada]],TAB_ESTOQUE[[Codigo]:[Endereço2]],12,FALSE)</f>
        <v>A2306</v>
      </c>
      <c r="E1396" s="15">
        <f>SUM(TAB_ENTRADA[[#This Row],[20/05/2019]:[Colunas1]])</f>
        <v>5</v>
      </c>
      <c r="F1396" s="3"/>
      <c r="FK1396" s="3">
        <v>5</v>
      </c>
    </row>
    <row r="1397" spans="1:167" x14ac:dyDescent="0.25">
      <c r="A1397" s="5" t="s">
        <v>7272</v>
      </c>
      <c r="B1397" s="15" t="str">
        <f>VLOOKUP(TAB_ENTRADA[[#This Row],[Cod_2_Entrada]],TAB_ESTOQUE[[Codigo]:[Descrição Tecnica]],6,FALSE)</f>
        <v>CARCAÇA HAM 24 PINOS 3/4"</v>
      </c>
      <c r="C1397" s="15">
        <f>IFERROR(VLOOKUP(TAB_ENTRADA[[#This Row],[Cod_2_Entrada]],TAB_ESTOQUE[[Codigo]:[Referência Tec]],7,FALSE),"")</f>
        <v>0</v>
      </c>
      <c r="D1397" s="15" t="str">
        <f>VLOOKUP(TAB_ENTRADA[[#This Row],[Cod_2_Entrada]],TAB_ESTOQUE[[Codigo]:[Endereço2]],12,FALSE)</f>
        <v>A2306</v>
      </c>
      <c r="E1397" s="15">
        <f>SUM(TAB_ENTRADA[[#This Row],[20/05/2019]:[Colunas1]])</f>
        <v>6</v>
      </c>
      <c r="F1397" s="3"/>
      <c r="FK1397" s="3">
        <v>6</v>
      </c>
    </row>
    <row r="1398" spans="1:167" x14ac:dyDescent="0.25">
      <c r="A1398" s="5" t="s">
        <v>7273</v>
      </c>
      <c r="B1398" s="15" t="str">
        <f>VLOOKUP(TAB_ENTRADA[[#This Row],[Cod_2_Entrada]],TAB_ESTOQUE[[Codigo]:[Descrição Tecnica]],6,FALSE)</f>
        <v>CARCAÇA HAM 24 PINOS 3/4"</v>
      </c>
      <c r="C1398" s="15">
        <f>IFERROR(VLOOKUP(TAB_ENTRADA[[#This Row],[Cod_2_Entrada]],TAB_ESTOQUE[[Codigo]:[Referência Tec]],7,FALSE),"")</f>
        <v>0</v>
      </c>
      <c r="D1398" s="15" t="str">
        <f>VLOOKUP(TAB_ENTRADA[[#This Row],[Cod_2_Entrada]],TAB_ESTOQUE[[Codigo]:[Endereço2]],12,FALSE)</f>
        <v>A2306</v>
      </c>
      <c r="E1398" s="15">
        <f>SUM(TAB_ENTRADA[[#This Row],[20/05/2019]:[Colunas1]])</f>
        <v>2</v>
      </c>
      <c r="F1398" s="3"/>
      <c r="FK1398" s="3">
        <v>2</v>
      </c>
    </row>
    <row r="1399" spans="1:167" x14ac:dyDescent="0.25">
      <c r="A1399" s="5" t="s">
        <v>7274</v>
      </c>
      <c r="B1399" s="15" t="str">
        <f>VLOOKUP(TAB_ENTRADA[[#This Row],[Cod_2_Entrada]],TAB_ESTOQUE[[Codigo]:[Descrição Tecnica]],6,FALSE)</f>
        <v>CARCAÇA HAM 24 PINOS 3/4"</v>
      </c>
      <c r="C1399" s="15">
        <f>IFERROR(VLOOKUP(TAB_ENTRADA[[#This Row],[Cod_2_Entrada]],TAB_ESTOQUE[[Codigo]:[Referência Tec]],7,FALSE),"")</f>
        <v>0</v>
      </c>
      <c r="D1399" s="15" t="str">
        <f>VLOOKUP(TAB_ENTRADA[[#This Row],[Cod_2_Entrada]],TAB_ESTOQUE[[Codigo]:[Endereço2]],12,FALSE)</f>
        <v>A2306</v>
      </c>
      <c r="E1399" s="15">
        <f>SUM(TAB_ENTRADA[[#This Row],[20/05/2019]:[Colunas1]])</f>
        <v>4</v>
      </c>
      <c r="F1399" s="3"/>
      <c r="FK1399" s="3">
        <v>4</v>
      </c>
    </row>
    <row r="1400" spans="1:167" x14ac:dyDescent="0.25">
      <c r="A1400" s="5" t="s">
        <v>7275</v>
      </c>
      <c r="B1400" s="15" t="str">
        <f>VLOOKUP(TAB_ENTRADA[[#This Row],[Cod_2_Entrada]],TAB_ESTOQUE[[Codigo]:[Descrição Tecnica]],6,FALSE)</f>
        <v>CARCAÇA HAM 24 PINOS 3/4"</v>
      </c>
      <c r="C1400" s="15">
        <f>IFERROR(VLOOKUP(TAB_ENTRADA[[#This Row],[Cod_2_Entrada]],TAB_ESTOQUE[[Codigo]:[Referência Tec]],7,FALSE),"")</f>
        <v>0</v>
      </c>
      <c r="D1400" s="15" t="str">
        <f>VLOOKUP(TAB_ENTRADA[[#This Row],[Cod_2_Entrada]],TAB_ESTOQUE[[Codigo]:[Endereço2]],12,FALSE)</f>
        <v>A2306</v>
      </c>
      <c r="E1400" s="15">
        <f>SUM(TAB_ENTRADA[[#This Row],[20/05/2019]:[Colunas1]])</f>
        <v>6</v>
      </c>
      <c r="F1400" s="3"/>
      <c r="FK1400" s="3">
        <v>6</v>
      </c>
    </row>
    <row r="1401" spans="1:167" x14ac:dyDescent="0.25">
      <c r="A1401" s="5" t="s">
        <v>7280</v>
      </c>
      <c r="B1401" s="15" t="str">
        <f>VLOOKUP(TAB_ENTRADA[[#This Row],[Cod_2_Entrada]],TAB_ESTOQUE[[Codigo]:[Descrição Tecnica]],6,FALSE)</f>
        <v>CONJUNTO DE CARCAÇA HAM 24 PINOS 1"</v>
      </c>
      <c r="C1401" s="15">
        <f>IFERROR(VLOOKUP(TAB_ENTRADA[[#This Row],[Cod_2_Entrada]],TAB_ESTOQUE[[Codigo]:[Referência Tec]],7,FALSE),"")</f>
        <v>0</v>
      </c>
      <c r="D1401" s="15" t="str">
        <f>VLOOKUP(TAB_ENTRADA[[#This Row],[Cod_2_Entrada]],TAB_ESTOQUE[[Codigo]:[Endereço2]],12,FALSE)</f>
        <v>A2306</v>
      </c>
      <c r="E1401" s="15">
        <f>SUM(TAB_ENTRADA[[#This Row],[20/05/2019]:[Colunas1]])</f>
        <v>2</v>
      </c>
      <c r="F1401" s="3"/>
      <c r="FK1401" s="3">
        <v>2</v>
      </c>
    </row>
    <row r="1402" spans="1:167" x14ac:dyDescent="0.25">
      <c r="A1402" s="5" t="s">
        <v>7283</v>
      </c>
      <c r="B1402" s="15" t="str">
        <f>VLOOKUP(TAB_ENTRADA[[#This Row],[Cod_2_Entrada]],TAB_ESTOQUE[[Codigo]:[Descrição Tecnica]],6,FALSE)</f>
        <v>CONJUNTO DE CARCAÇA HAM 24 PINOS DE FIXAR 1"</v>
      </c>
      <c r="C1402" s="15">
        <f>IFERROR(VLOOKUP(TAB_ENTRADA[[#This Row],[Cod_2_Entrada]],TAB_ESTOQUE[[Codigo]:[Referência Tec]],7,FALSE),"")</f>
        <v>0</v>
      </c>
      <c r="D1402" s="15" t="str">
        <f>VLOOKUP(TAB_ENTRADA[[#This Row],[Cod_2_Entrada]],TAB_ESTOQUE[[Codigo]:[Endereço2]],12,FALSE)</f>
        <v>A2306</v>
      </c>
      <c r="E1402" s="15">
        <f>SUM(TAB_ENTRADA[[#This Row],[20/05/2019]:[Colunas1]])</f>
        <v>10</v>
      </c>
      <c r="F1402" s="3"/>
      <c r="FK1402" s="3">
        <v>10</v>
      </c>
    </row>
    <row r="1403" spans="1:167" x14ac:dyDescent="0.25">
      <c r="A1403" s="5" t="s">
        <v>7285</v>
      </c>
      <c r="B1403" s="15" t="str">
        <f>VLOOKUP(TAB_ENTRADA[[#This Row],[Cod_2_Entrada]],TAB_ESTOQUE[[Codigo]:[Descrição Tecnica]],6,FALSE)</f>
        <v>HAN 10 PINOS MACHO</v>
      </c>
      <c r="C1403" s="15">
        <f>IFERROR(VLOOKUP(TAB_ENTRADA[[#This Row],[Cod_2_Entrada]],TAB_ESTOQUE[[Codigo]:[Referência Tec]],7,FALSE),"")</f>
        <v>0</v>
      </c>
      <c r="D1403" s="15" t="str">
        <f>VLOOKUP(TAB_ENTRADA[[#This Row],[Cod_2_Entrada]],TAB_ESTOQUE[[Codigo]:[Endereço2]],12,FALSE)</f>
        <v>A2406</v>
      </c>
      <c r="E1403" s="15">
        <f>SUM(TAB_ENTRADA[[#This Row],[20/05/2019]:[Colunas1]])</f>
        <v>0</v>
      </c>
      <c r="F1403" s="3"/>
      <c r="FK1403" s="3">
        <v>0</v>
      </c>
    </row>
    <row r="1404" spans="1:167" x14ac:dyDescent="0.25">
      <c r="A1404" s="5" t="s">
        <v>7286</v>
      </c>
      <c r="B1404" s="15" t="str">
        <f>VLOOKUP(TAB_ENTRADA[[#This Row],[Cod_2_Entrada]],TAB_ESTOQUE[[Codigo]:[Descrição Tecnica]],6,FALSE)</f>
        <v>HAN 6 PINOS MACHO</v>
      </c>
      <c r="C1404" s="15">
        <f>IFERROR(VLOOKUP(TAB_ENTRADA[[#This Row],[Cod_2_Entrada]],TAB_ESTOQUE[[Codigo]:[Referência Tec]],7,FALSE),"")</f>
        <v>0</v>
      </c>
      <c r="D1404" s="15" t="str">
        <f>VLOOKUP(TAB_ENTRADA[[#This Row],[Cod_2_Entrada]],TAB_ESTOQUE[[Codigo]:[Endereço2]],12,FALSE)</f>
        <v>A2406</v>
      </c>
      <c r="E1404" s="15">
        <f>SUM(TAB_ENTRADA[[#This Row],[20/05/2019]:[Colunas1]])</f>
        <v>0</v>
      </c>
      <c r="F1404" s="3"/>
      <c r="FK1404" s="3">
        <v>0</v>
      </c>
    </row>
    <row r="1405" spans="1:167" x14ac:dyDescent="0.25">
      <c r="A1405" s="5" t="s">
        <v>7287</v>
      </c>
      <c r="B1405" s="15" t="str">
        <f>VLOOKUP(TAB_ENTRADA[[#This Row],[Cod_2_Entrada]],TAB_ESTOQUE[[Codigo]:[Descrição Tecnica]],6,FALSE)</f>
        <v xml:space="preserve">CONTATOR CWB 10-11-30D02 18A </v>
      </c>
      <c r="C1405" s="15">
        <f>IFERROR(VLOOKUP(TAB_ENTRADA[[#This Row],[Cod_2_Entrada]],TAB_ESTOQUE[[Codigo]:[Referência Tec]],7,FALSE),"")</f>
        <v>0</v>
      </c>
      <c r="D1405" s="15" t="str">
        <f>VLOOKUP(TAB_ENTRADA[[#This Row],[Cod_2_Entrada]],TAB_ESTOQUE[[Codigo]:[Endereço2]],12,FALSE)</f>
        <v>A2403</v>
      </c>
      <c r="E1405" s="15">
        <f>SUM(TAB_ENTRADA[[#This Row],[20/05/2019]:[Colunas1]])</f>
        <v>0</v>
      </c>
      <c r="F1405" s="3"/>
      <c r="FK1405" s="3">
        <v>0</v>
      </c>
    </row>
    <row r="1406" spans="1:167" x14ac:dyDescent="0.25">
      <c r="A1406" s="5" t="s">
        <v>7294</v>
      </c>
      <c r="B1406" s="15" t="str">
        <f>VLOOKUP(TAB_ENTRADA[[#This Row],[Cod_2_Entrada]],TAB_ESTOQUE[[Codigo]:[Descrição Tecnica]],6,FALSE)</f>
        <v>FONTE XCSW 120C 24V/5A  23.5-27.5V CABUR</v>
      </c>
      <c r="C1406" s="15">
        <f>IFERROR(VLOOKUP(TAB_ENTRADA[[#This Row],[Cod_2_Entrada]],TAB_ESTOQUE[[Codigo]:[Referência Tec]],7,FALSE),"")</f>
        <v>0</v>
      </c>
      <c r="D1406" s="15" t="str">
        <f>VLOOKUP(TAB_ENTRADA[[#This Row],[Cod_2_Entrada]],TAB_ESTOQUE[[Codigo]:[Endereço2]],12,FALSE)</f>
        <v>B1203</v>
      </c>
      <c r="E1406" s="15">
        <f>SUM(TAB_ENTRADA[[#This Row],[20/05/2019]:[Colunas1]])</f>
        <v>0</v>
      </c>
      <c r="F1406" s="3"/>
      <c r="FK1406" s="3">
        <v>0</v>
      </c>
    </row>
    <row r="1407" spans="1:167" x14ac:dyDescent="0.25">
      <c r="A1407" s="5" t="s">
        <v>7295</v>
      </c>
      <c r="B1407" s="15" t="str">
        <f>VLOOKUP(TAB_ENTRADA[[#This Row],[Cod_2_Entrada]],TAB_ESTOQUE[[Codigo]:[Descrição Tecnica]],6,FALSE)</f>
        <v>MODULO DE ENTRADA 6ES7 138-4CA00-0AA0</v>
      </c>
      <c r="C1407" s="15">
        <f>IFERROR(VLOOKUP(TAB_ENTRADA[[#This Row],[Cod_2_Entrada]],TAB_ESTOQUE[[Codigo]:[Referência Tec]],7,FALSE),"")</f>
        <v>0</v>
      </c>
      <c r="D1407" s="15" t="str">
        <f>VLOOKUP(TAB_ENTRADA[[#This Row],[Cod_2_Entrada]],TAB_ESTOQUE[[Codigo]:[Endereço2]],12,FALSE)</f>
        <v>B1204</v>
      </c>
      <c r="E1407" s="15">
        <f>SUM(TAB_ENTRADA[[#This Row],[20/05/2019]:[Colunas1]])</f>
        <v>1</v>
      </c>
      <c r="F1407" s="3"/>
      <c r="FK1407" s="3">
        <v>1</v>
      </c>
    </row>
    <row r="1408" spans="1:167" x14ac:dyDescent="0.25">
      <c r="A1408" s="5" t="s">
        <v>7296</v>
      </c>
      <c r="B1408" s="15" t="str">
        <f>VLOOKUP(TAB_ENTRADA[[#This Row],[Cod_2_Entrada]],TAB_ESTOQUE[[Codigo]:[Descrição Tecnica]],6,FALSE)</f>
        <v>RELE DE SEGURANÇA FX3-CPU 320002 IDENT: 1059305 (SICK)</v>
      </c>
      <c r="C1408" s="15">
        <f>IFERROR(VLOOKUP(TAB_ENTRADA[[#This Row],[Cod_2_Entrada]],TAB_ESTOQUE[[Codigo]:[Referência Tec]],7,FALSE),"")</f>
        <v>0</v>
      </c>
      <c r="D1408" s="15" t="str">
        <f>VLOOKUP(TAB_ENTRADA[[#This Row],[Cod_2_Entrada]],TAB_ESTOQUE[[Codigo]:[Endereço2]],12,FALSE)</f>
        <v>B1205</v>
      </c>
      <c r="E1408" s="15">
        <f>SUM(TAB_ENTRADA[[#This Row],[20/05/2019]:[Colunas1]])</f>
        <v>2</v>
      </c>
      <c r="F1408" s="3"/>
      <c r="FK1408" s="3">
        <v>2</v>
      </c>
    </row>
    <row r="1409" spans="1:167" x14ac:dyDescent="0.25">
      <c r="A1409" s="5" t="s">
        <v>7297</v>
      </c>
      <c r="B1409" s="15" t="str">
        <f>VLOOKUP(TAB_ENTRADA[[#This Row],[Cod_2_Entrada]],TAB_ESTOQUE[[Codigo]:[Descrição Tecnica]],6,FALSE)</f>
        <v>SENSOR FIM DE CURSO XCKP2106G11</v>
      </c>
      <c r="C1409" s="15">
        <f>IFERROR(VLOOKUP(TAB_ENTRADA[[#This Row],[Cod_2_Entrada]],TAB_ESTOQUE[[Codigo]:[Referência Tec]],7,FALSE),"")</f>
        <v>0</v>
      </c>
      <c r="D1409" s="15" t="str">
        <f>VLOOKUP(TAB_ENTRADA[[#This Row],[Cod_2_Entrada]],TAB_ESTOQUE[[Codigo]:[Endereço2]],12,FALSE)</f>
        <v>A2205</v>
      </c>
      <c r="E1409" s="15">
        <f>SUM(TAB_ENTRADA[[#This Row],[20/05/2019]:[Colunas1]])</f>
        <v>3</v>
      </c>
      <c r="F1409" s="3"/>
      <c r="FK1409" s="3">
        <v>3</v>
      </c>
    </row>
    <row r="1410" spans="1:167" x14ac:dyDescent="0.25">
      <c r="A1410" s="5" t="s">
        <v>7350</v>
      </c>
      <c r="B1410" s="15" t="str">
        <f>VLOOKUP(TAB_ENTRADA[[#This Row],[Cod_2_Entrada]],TAB_ESTOQUE[[Codigo]:[Descrição Tecnica]],6,FALSE)</f>
        <v>AMORTECEDOR MOLA GAS  F1 - 300N   MG07 200 0500 0300P</v>
      </c>
      <c r="C1410" s="15">
        <f>IFERROR(VLOOKUP(TAB_ENTRADA[[#This Row],[Cod_2_Entrada]],TAB_ESTOQUE[[Codigo]:[Referência Tec]],7,FALSE),"")</f>
        <v>0</v>
      </c>
      <c r="D1410" s="15" t="str">
        <f>VLOOKUP(TAB_ENTRADA[[#This Row],[Cod_2_Entrada]],TAB_ESTOQUE[[Codigo]:[Endereço2]],12,FALSE)</f>
        <v>D2305</v>
      </c>
      <c r="E1410" s="15">
        <f>SUM(TAB_ENTRADA[[#This Row],[20/05/2019]:[Colunas1]])</f>
        <v>2</v>
      </c>
      <c r="F1410" s="3"/>
      <c r="FK1410" s="3">
        <v>2</v>
      </c>
    </row>
    <row r="1411" spans="1:167" x14ac:dyDescent="0.25">
      <c r="A1411" s="5" t="s">
        <v>7355</v>
      </c>
      <c r="B1411" s="15" t="str">
        <f>VLOOKUP(TAB_ENTRADA[[#This Row],[Cod_2_Entrada]],TAB_ESTOQUE[[Codigo]:[Descrição Tecnica]],6,FALSE)</f>
        <v>VALVULA REGULADORA DE FLUXO LNV2-08-K (KETA)</v>
      </c>
      <c r="C1411" s="15">
        <f>IFERROR(VLOOKUP(TAB_ENTRADA[[#This Row],[Cod_2_Entrada]],TAB_ESTOQUE[[Codigo]:[Referência Tec]],7,FALSE),"")</f>
        <v>0</v>
      </c>
      <c r="D1411" s="15" t="str">
        <f>VLOOKUP(TAB_ENTRADA[[#This Row],[Cod_2_Entrada]],TAB_ESTOQUE[[Codigo]:[Endereço2]],12,FALSE)</f>
        <v>E1402</v>
      </c>
      <c r="E1411" s="15">
        <f>SUM(TAB_ENTRADA[[#This Row],[20/05/2019]:[Colunas1]])</f>
        <v>2</v>
      </c>
      <c r="F1411" s="3"/>
      <c r="FK1411" s="3">
        <v>2</v>
      </c>
    </row>
    <row r="1412" spans="1:167" x14ac:dyDescent="0.25">
      <c r="A1412" s="5" t="s">
        <v>7356</v>
      </c>
      <c r="B1412" s="15" t="str">
        <f>VLOOKUP(TAB_ENTRADA[[#This Row],[Cod_2_Entrada]],TAB_ESTOQUE[[Codigo]:[Descrição Tecnica]],6,FALSE)</f>
        <v>IHM SIEMENS 6AV6 647-0AA11-3AXO</v>
      </c>
      <c r="C1412" s="15">
        <f>IFERROR(VLOOKUP(TAB_ENTRADA[[#This Row],[Cod_2_Entrada]],TAB_ESTOQUE[[Codigo]:[Referência Tec]],7,FALSE),"")</f>
        <v>0</v>
      </c>
      <c r="D1412" s="15" t="str">
        <f>VLOOKUP(TAB_ENTRADA[[#This Row],[Cod_2_Entrada]],TAB_ESTOQUE[[Codigo]:[Endereço2]],12,FALSE)</f>
        <v>A2202</v>
      </c>
      <c r="E1412" s="15">
        <f>SUM(TAB_ENTRADA[[#This Row],[20/05/2019]:[Colunas1]])</f>
        <v>1</v>
      </c>
      <c r="F1412" s="3"/>
      <c r="FK1412" s="3">
        <v>1</v>
      </c>
    </row>
    <row r="1413" spans="1:167" x14ac:dyDescent="0.25">
      <c r="A1413" s="5" t="s">
        <v>7357</v>
      </c>
      <c r="B1413" s="15" t="str">
        <f>VLOOKUP(TAB_ENTRADA[[#This Row],[Cod_2_Entrada]],TAB_ESTOQUE[[Codigo]:[Descrição Tecnica]],6,FALSE)</f>
        <v>CHAVE PARA PLACAS COM INTERTRAVAMENTO ZQE 804 Pz.1</v>
      </c>
      <c r="C1413" s="15">
        <f>IFERROR(VLOOKUP(TAB_ENTRADA[[#This Row],[Cod_2_Entrada]],TAB_ESTOQUE[[Codigo]:[Referência Tec]],7,FALSE),"")</f>
        <v>0</v>
      </c>
      <c r="D1413" s="15" t="str">
        <f>VLOOKUP(TAB_ENTRADA[[#This Row],[Cod_2_Entrada]],TAB_ESTOQUE[[Codigo]:[Endereço2]],12,FALSE)</f>
        <v>A2303</v>
      </c>
      <c r="E1413" s="15">
        <f>SUM(TAB_ENTRADA[[#This Row],[20/05/2019]:[Colunas1]])</f>
        <v>1</v>
      </c>
      <c r="F1413" s="3"/>
      <c r="FK1413" s="3">
        <v>1</v>
      </c>
    </row>
    <row r="1414" spans="1:167" x14ac:dyDescent="0.25">
      <c r="A1414" s="5" t="s">
        <v>7368</v>
      </c>
      <c r="B1414" s="15" t="str">
        <f>VLOOKUP(TAB_ENTRADA[[#This Row],[Cod_2_Entrada]],TAB_ESTOQUE[[Codigo]:[Descrição Tecnica]],6,FALSE)</f>
        <v>TUBOS INOX 304L SEM COSTURA ASTM A-269 8MM X PAREDE 1MM C/ 6MTS</v>
      </c>
      <c r="C1414" s="15">
        <f>IFERROR(VLOOKUP(TAB_ENTRADA[[#This Row],[Cod_2_Entrada]],TAB_ESTOQUE[[Codigo]:[Referência Tec]],7,FALSE),"")</f>
        <v>0</v>
      </c>
      <c r="D1414" s="15" t="str">
        <f>VLOOKUP(TAB_ENTRADA[[#This Row],[Cod_2_Entrada]],TAB_ESTOQUE[[Codigo]:[Endereço2]],12,FALSE)</f>
        <v>BOX</v>
      </c>
      <c r="E1414" s="15">
        <f>SUM(TAB_ENTRADA[[#This Row],[20/05/2019]:[Colunas1]])</f>
        <v>6</v>
      </c>
      <c r="F1414" s="3"/>
      <c r="FK1414" s="3">
        <v>6</v>
      </c>
    </row>
    <row r="1415" spans="1:167" x14ac:dyDescent="0.25">
      <c r="A1415" s="5" t="s">
        <v>7380</v>
      </c>
      <c r="B1415" s="15" t="str">
        <f>VLOOKUP(TAB_ENTRADA[[#This Row],[Cod_2_Entrada]],TAB_ESTOQUE[[Codigo]:[Descrição Tecnica]],6,FALSE)</f>
        <v>TUBOS INOX 304L SEM COSTURA ASTM A-269 10MM X PAREDE 1MM C/ 6MTS</v>
      </c>
      <c r="C1415" s="15">
        <f>IFERROR(VLOOKUP(TAB_ENTRADA[[#This Row],[Cod_2_Entrada]],TAB_ESTOQUE[[Codigo]:[Referência Tec]],7,FALSE),"")</f>
        <v>0</v>
      </c>
      <c r="D1415" s="15" t="str">
        <f>VLOOKUP(TAB_ENTRADA[[#This Row],[Cod_2_Entrada]],TAB_ESTOQUE[[Codigo]:[Endereço2]],12,FALSE)</f>
        <v>BOX</v>
      </c>
      <c r="E1415" s="15">
        <f>SUM(TAB_ENTRADA[[#This Row],[20/05/2019]:[Colunas1]])</f>
        <v>6</v>
      </c>
      <c r="F1415" s="3"/>
      <c r="FK1415" s="3">
        <v>6</v>
      </c>
    </row>
    <row r="1416" spans="1:167" x14ac:dyDescent="0.25">
      <c r="A1416" s="5" t="s">
        <v>7381</v>
      </c>
      <c r="B1416" s="15" t="str">
        <f>VLOOKUP(TAB_ENTRADA[[#This Row],[Cod_2_Entrada]],TAB_ESTOQUE[[Codigo]:[Descrição Tecnica]],6,FALSE)</f>
        <v>TUBOS INOX 304L SEM COSTURA ASTM A-269 12MM X PAREDE 1MM C/ 6MTS</v>
      </c>
      <c r="C1416" s="15">
        <f>IFERROR(VLOOKUP(TAB_ENTRADA[[#This Row],[Cod_2_Entrada]],TAB_ESTOQUE[[Codigo]:[Referência Tec]],7,FALSE),"")</f>
        <v>0</v>
      </c>
      <c r="D1416" s="15" t="str">
        <f>VLOOKUP(TAB_ENTRADA[[#This Row],[Cod_2_Entrada]],TAB_ESTOQUE[[Codigo]:[Endereço2]],12,FALSE)</f>
        <v>BOX</v>
      </c>
      <c r="E1416" s="15">
        <f>SUM(TAB_ENTRADA[[#This Row],[20/05/2019]:[Colunas1]])</f>
        <v>6</v>
      </c>
      <c r="F1416" s="3"/>
      <c r="FK1416" s="3">
        <v>6</v>
      </c>
    </row>
    <row r="1417" spans="1:167" x14ac:dyDescent="0.25">
      <c r="A1417" s="5" t="s">
        <v>7385</v>
      </c>
      <c r="B1417" s="15" t="str">
        <f>VLOOKUP(TAB_ENTRADA[[#This Row],[Cod_2_Entrada]],TAB_ESTOQUE[[Codigo]:[Descrição Tecnica]],6,FALSE)</f>
        <v>PORCA FLANGE AÇO INOX 316 10MM</v>
      </c>
      <c r="C1417" s="15">
        <f>IFERROR(VLOOKUP(TAB_ENTRADA[[#This Row],[Cod_2_Entrada]],TAB_ESTOQUE[[Codigo]:[Referência Tec]],7,FALSE),"")</f>
        <v>0</v>
      </c>
      <c r="D1417" s="15" t="str">
        <f>VLOOKUP(TAB_ENTRADA[[#This Row],[Cod_2_Entrada]],TAB_ESTOQUE[[Codigo]:[Endereço2]],12,FALSE)</f>
        <v>F1203</v>
      </c>
      <c r="E1417" s="15">
        <f>SUM(TAB_ENTRADA[[#This Row],[20/05/2019]:[Colunas1]])</f>
        <v>10</v>
      </c>
      <c r="F1417" s="3"/>
      <c r="FK1417" s="3">
        <v>10</v>
      </c>
    </row>
    <row r="1418" spans="1:167" x14ac:dyDescent="0.25">
      <c r="A1418" s="5" t="s">
        <v>7389</v>
      </c>
      <c r="B1418" s="15" t="str">
        <f>VLOOKUP(TAB_ENTRADA[[#This Row],[Cod_2_Entrada]],TAB_ESTOQUE[[Codigo]:[Descrição Tecnica]],6,FALSE)</f>
        <v>PORCA FLANGE AÇO INOX 316 12MM</v>
      </c>
      <c r="C1418" s="15">
        <f>IFERROR(VLOOKUP(TAB_ENTRADA[[#This Row],[Cod_2_Entrada]],TAB_ESTOQUE[[Codigo]:[Referência Tec]],7,FALSE),"")</f>
        <v>0</v>
      </c>
      <c r="D1418" s="15" t="str">
        <f>VLOOKUP(TAB_ENTRADA[[#This Row],[Cod_2_Entrada]],TAB_ESTOQUE[[Codigo]:[Endereço2]],12,FALSE)</f>
        <v>F1203</v>
      </c>
      <c r="E1418" s="15">
        <f>SUM(TAB_ENTRADA[[#This Row],[20/05/2019]:[Colunas1]])</f>
        <v>10</v>
      </c>
      <c r="F1418" s="3"/>
      <c r="FK1418" s="3">
        <v>10</v>
      </c>
    </row>
    <row r="1419" spans="1:167" x14ac:dyDescent="0.25">
      <c r="A1419" s="5" t="s">
        <v>7390</v>
      </c>
      <c r="B1419" s="15" t="str">
        <f>VLOOKUP(TAB_ENTRADA[[#This Row],[Cod_2_Entrada]],TAB_ESTOQUE[[Codigo]:[Descrição Tecnica]],6,FALSE)</f>
        <v>PORCA FLANGE AÇO INOX 316 8MM</v>
      </c>
      <c r="C1419" s="15">
        <f>IFERROR(VLOOKUP(TAB_ENTRADA[[#This Row],[Cod_2_Entrada]],TAB_ESTOQUE[[Codigo]:[Referência Tec]],7,FALSE),"")</f>
        <v>0</v>
      </c>
      <c r="D1419" s="15" t="str">
        <f>VLOOKUP(TAB_ENTRADA[[#This Row],[Cod_2_Entrada]],TAB_ESTOQUE[[Codigo]:[Endereço2]],12,FALSE)</f>
        <v>F1203</v>
      </c>
      <c r="E1419" s="15">
        <f>SUM(TAB_ENTRADA[[#This Row],[20/05/2019]:[Colunas1]])</f>
        <v>10</v>
      </c>
      <c r="F1419" s="3"/>
      <c r="FK1419" s="3">
        <v>10</v>
      </c>
    </row>
    <row r="1420" spans="1:167" x14ac:dyDescent="0.25">
      <c r="A1420" s="5" t="s">
        <v>7412</v>
      </c>
      <c r="B1420" s="15" t="str">
        <f>VLOOKUP(TAB_ENTRADA[[#This Row],[Cod_2_Entrada]],TAB_ESTOQUE[[Codigo]:[Descrição Tecnica]],6,FALSE)</f>
        <v>ANILHA DIANTEIRA AÇO INOX 316 OD 10MM</v>
      </c>
      <c r="C1420" s="15">
        <f>IFERROR(VLOOKUP(TAB_ENTRADA[[#This Row],[Cod_2_Entrada]],TAB_ESTOQUE[[Codigo]:[Referência Tec]],7,FALSE),"")</f>
        <v>0</v>
      </c>
      <c r="D1420" s="15" t="str">
        <f>VLOOKUP(TAB_ENTRADA[[#This Row],[Cod_2_Entrada]],TAB_ESTOQUE[[Codigo]:[Endereço2]],12,FALSE)</f>
        <v>F1203</v>
      </c>
      <c r="E1420" s="15">
        <f>SUM(TAB_ENTRADA[[#This Row],[20/05/2019]:[Colunas1]])</f>
        <v>9</v>
      </c>
      <c r="F1420" s="3"/>
      <c r="FK1420" s="3">
        <v>9</v>
      </c>
    </row>
    <row r="1421" spans="1:167" x14ac:dyDescent="0.25">
      <c r="A1421" s="5" t="s">
        <v>7423</v>
      </c>
      <c r="B1421" s="15" t="str">
        <f>VLOOKUP(TAB_ENTRADA[[#This Row],[Cod_2_Entrada]],TAB_ESTOQUE[[Codigo]:[Descrição Tecnica]],6,FALSE)</f>
        <v>ANILHA DIANTEIRA AÇO INOX 316 OD 12MM</v>
      </c>
      <c r="C1421" s="15">
        <f>IFERROR(VLOOKUP(TAB_ENTRADA[[#This Row],[Cod_2_Entrada]],TAB_ESTOQUE[[Codigo]:[Referência Tec]],7,FALSE),"")</f>
        <v>0</v>
      </c>
      <c r="D1421" s="15" t="str">
        <f>VLOOKUP(TAB_ENTRADA[[#This Row],[Cod_2_Entrada]],TAB_ESTOQUE[[Codigo]:[Endereço2]],12,FALSE)</f>
        <v>F1203</v>
      </c>
      <c r="E1421" s="15">
        <f>SUM(TAB_ENTRADA[[#This Row],[20/05/2019]:[Colunas1]])</f>
        <v>10</v>
      </c>
      <c r="F1421" s="3"/>
      <c r="FK1421" s="3">
        <v>10</v>
      </c>
    </row>
    <row r="1422" spans="1:167" x14ac:dyDescent="0.25">
      <c r="A1422" s="5" t="s">
        <v>7430</v>
      </c>
      <c r="B1422" s="15" t="str">
        <f>VLOOKUP(TAB_ENTRADA[[#This Row],[Cod_2_Entrada]],TAB_ESTOQUE[[Codigo]:[Descrição Tecnica]],6,FALSE)</f>
        <v>ANILHA DIANTEIRA AÇO INOX 316 OD  8MM</v>
      </c>
      <c r="C1422" s="15">
        <f>IFERROR(VLOOKUP(TAB_ENTRADA[[#This Row],[Cod_2_Entrada]],TAB_ESTOQUE[[Codigo]:[Referência Tec]],7,FALSE),"")</f>
        <v>0</v>
      </c>
      <c r="D1422" s="15" t="str">
        <f>VLOOKUP(TAB_ENTRADA[[#This Row],[Cod_2_Entrada]],TAB_ESTOQUE[[Codigo]:[Endereço2]],12,FALSE)</f>
        <v>F1203</v>
      </c>
      <c r="E1422" s="15">
        <f>SUM(TAB_ENTRADA[[#This Row],[20/05/2019]:[Colunas1]])</f>
        <v>10</v>
      </c>
      <c r="F1422" s="3"/>
      <c r="FK1422" s="3">
        <v>10</v>
      </c>
    </row>
    <row r="1423" spans="1:167" x14ac:dyDescent="0.25">
      <c r="A1423" s="5" t="s">
        <v>7435</v>
      </c>
      <c r="B1423" s="15" t="str">
        <f>VLOOKUP(TAB_ENTRADA[[#This Row],[Cod_2_Entrada]],TAB_ESTOQUE[[Codigo]:[Descrição Tecnica]],6,FALSE)</f>
        <v>ANILHA TRASEIRA AÇO INOX 316 OD 10MM</v>
      </c>
      <c r="C1423" s="15">
        <f>IFERROR(VLOOKUP(TAB_ENTRADA[[#This Row],[Cod_2_Entrada]],TAB_ESTOQUE[[Codigo]:[Referência Tec]],7,FALSE),"")</f>
        <v>0</v>
      </c>
      <c r="D1423" s="15" t="str">
        <f>VLOOKUP(TAB_ENTRADA[[#This Row],[Cod_2_Entrada]],TAB_ESTOQUE[[Codigo]:[Endereço2]],12,FALSE)</f>
        <v>F1203</v>
      </c>
      <c r="E1423" s="15">
        <f>SUM(TAB_ENTRADA[[#This Row],[20/05/2019]:[Colunas1]])</f>
        <v>10</v>
      </c>
      <c r="F1423" s="3"/>
      <c r="FK1423" s="3">
        <v>10</v>
      </c>
    </row>
    <row r="1424" spans="1:167" x14ac:dyDescent="0.25">
      <c r="A1424" s="5" t="s">
        <v>7436</v>
      </c>
      <c r="B1424" s="15" t="str">
        <f>VLOOKUP(TAB_ENTRADA[[#This Row],[Cod_2_Entrada]],TAB_ESTOQUE[[Codigo]:[Descrição Tecnica]],6,FALSE)</f>
        <v>ANILHA TRASEIRA AÇO INOX 316 OD 12MM</v>
      </c>
      <c r="C1424" s="15">
        <f>IFERROR(VLOOKUP(TAB_ENTRADA[[#This Row],[Cod_2_Entrada]],TAB_ESTOQUE[[Codigo]:[Referência Tec]],7,FALSE),"")</f>
        <v>0</v>
      </c>
      <c r="D1424" s="15" t="str">
        <f>VLOOKUP(TAB_ENTRADA[[#This Row],[Cod_2_Entrada]],TAB_ESTOQUE[[Codigo]:[Endereço2]],12,FALSE)</f>
        <v>F1203</v>
      </c>
      <c r="E1424" s="15">
        <f>SUM(TAB_ENTRADA[[#This Row],[20/05/2019]:[Colunas1]])</f>
        <v>10</v>
      </c>
      <c r="F1424" s="3"/>
      <c r="FK1424" s="3">
        <v>10</v>
      </c>
    </row>
    <row r="1425" spans="1:167" x14ac:dyDescent="0.25">
      <c r="A1425" s="5" t="s">
        <v>7461</v>
      </c>
      <c r="B1425" s="15" t="str">
        <f>VLOOKUP(TAB_ENTRADA[[#This Row],[Cod_2_Entrada]],TAB_ESTOQUE[[Codigo]:[Descrição Tecnica]],6,FALSE)</f>
        <v>ANILHA TRASEIRA AÇO INOX 316 OD   8MM</v>
      </c>
      <c r="C1425" s="15">
        <f>IFERROR(VLOOKUP(TAB_ENTRADA[[#This Row],[Cod_2_Entrada]],TAB_ESTOQUE[[Codigo]:[Referência Tec]],7,FALSE),"")</f>
        <v>0</v>
      </c>
      <c r="D1425" s="15" t="str">
        <f>VLOOKUP(TAB_ENTRADA[[#This Row],[Cod_2_Entrada]],TAB_ESTOQUE[[Codigo]:[Endereço2]],12,FALSE)</f>
        <v>F1203</v>
      </c>
      <c r="E1425" s="15">
        <f>SUM(TAB_ENTRADA[[#This Row],[20/05/2019]:[Colunas1]])</f>
        <v>10</v>
      </c>
      <c r="F1425" s="3"/>
      <c r="FK1425" s="3">
        <v>10</v>
      </c>
    </row>
    <row r="1426" spans="1:167" x14ac:dyDescent="0.25">
      <c r="A1426" s="5" t="s">
        <v>7462</v>
      </c>
      <c r="B1426" s="15" t="str">
        <f>VLOOKUP(TAB_ENTRADA[[#This Row],[Cod_2_Entrada]],TAB_ESTOQUE[[Codigo]:[Descrição Tecnica]],6,FALSE)</f>
        <v>TRANSMISSOR DE TEMPERATURA PT100 P/SAIDA 4.20ma 0a 200 °C</v>
      </c>
      <c r="C1426" s="15">
        <f>IFERROR(VLOOKUP(TAB_ENTRADA[[#This Row],[Cod_2_Entrada]],TAB_ESTOQUE[[Codigo]:[Referência Tec]],7,FALSE),"")</f>
        <v>0</v>
      </c>
      <c r="D1426" s="15" t="str">
        <f>VLOOKUP(TAB_ENTRADA[[#This Row],[Cod_2_Entrada]],TAB_ESTOQUE[[Codigo]:[Endereço2]],12,FALSE)</f>
        <v>A2103</v>
      </c>
      <c r="E1426" s="15">
        <f>SUM(TAB_ENTRADA[[#This Row],[20/05/2019]:[Colunas1]])</f>
        <v>2</v>
      </c>
      <c r="F1426" s="3"/>
      <c r="FK1426" s="3">
        <v>2</v>
      </c>
    </row>
    <row r="1427" spans="1:167" x14ac:dyDescent="0.25">
      <c r="A1427" s="5" t="s">
        <v>7463</v>
      </c>
      <c r="B1427" s="15" t="str">
        <f>VLOOKUP(TAB_ENTRADA[[#This Row],[Cod_2_Entrada]],TAB_ESTOQUE[[Codigo]:[Descrição Tecnica]],6,FALSE)</f>
        <v>SENSOR PT 100 3FIOS 8 X 100MM C / CABO 700MM SILICONE</v>
      </c>
      <c r="C1427" s="15">
        <f>IFERROR(VLOOKUP(TAB_ENTRADA[[#This Row],[Cod_2_Entrada]],TAB_ESTOQUE[[Codigo]:[Referência Tec]],7,FALSE),"")</f>
        <v>0</v>
      </c>
      <c r="D1427" s="15" t="str">
        <f>VLOOKUP(TAB_ENTRADA[[#This Row],[Cod_2_Entrada]],TAB_ESTOQUE[[Codigo]:[Endereço2]],12,FALSE)</f>
        <v>A2303</v>
      </c>
      <c r="E1427" s="15">
        <f>SUM(TAB_ENTRADA[[#This Row],[20/05/2019]:[Colunas1]])</f>
        <v>2</v>
      </c>
      <c r="F1427" s="3"/>
      <c r="FK1427" s="3">
        <v>2</v>
      </c>
    </row>
    <row r="1428" spans="1:167" x14ac:dyDescent="0.25">
      <c r="A1428" s="5" t="s">
        <v>7470</v>
      </c>
      <c r="B1428" s="15" t="str">
        <f>VLOOKUP(TAB_ENTRADA[[#This Row],[Cod_2_Entrada]],TAB_ESTOQUE[[Codigo]:[Descrição Tecnica]],6,FALSE)</f>
        <v>SENSOR  PT100 3 FIOS 4,7 X 200MM, TAMPA BUCIM M12X1,5 C/ ANILHAS E CABO 3000MM</v>
      </c>
      <c r="C1428" s="15">
        <f>IFERROR(VLOOKUP(TAB_ENTRADA[[#This Row],[Cod_2_Entrada]],TAB_ESTOQUE[[Codigo]:[Referência Tec]],7,FALSE),"")</f>
        <v>0</v>
      </c>
      <c r="D1428" s="15" t="str">
        <f>VLOOKUP(TAB_ENTRADA[[#This Row],[Cod_2_Entrada]],TAB_ESTOQUE[[Codigo]:[Endereço2]],12,FALSE)</f>
        <v>A2303</v>
      </c>
      <c r="E1428" s="15">
        <f>SUM(TAB_ENTRADA[[#This Row],[20/05/2019]:[Colunas1]])</f>
        <v>1</v>
      </c>
      <c r="F1428" s="3"/>
      <c r="FK1428" s="3">
        <v>1</v>
      </c>
    </row>
    <row r="1429" spans="1:167" x14ac:dyDescent="0.25">
      <c r="A1429" s="5" t="s">
        <v>7489</v>
      </c>
      <c r="B1429" s="15" t="str">
        <f>VLOOKUP(TAB_ENTRADA[[#This Row],[Cod_2_Entrada]],TAB_ESTOQUE[[Codigo]:[Descrição Tecnica]],6,FALSE)</f>
        <v>PISTOLA VALCO MELTON  P/N 983XX198 VOLTS: 250 WATTS: 150</v>
      </c>
      <c r="C1429" s="15">
        <f>IFERROR(VLOOKUP(TAB_ENTRADA[[#This Row],[Cod_2_Entrada]],TAB_ESTOQUE[[Codigo]:[Referência Tec]],7,FALSE),"")</f>
        <v>0</v>
      </c>
      <c r="D1429" s="15" t="str">
        <f>VLOOKUP(TAB_ENTRADA[[#This Row],[Cod_2_Entrada]],TAB_ESTOQUE[[Codigo]:[Endereço2]],12,FALSE)</f>
        <v>A1105</v>
      </c>
      <c r="E1429" s="15">
        <f>SUM(TAB_ENTRADA[[#This Row],[20/05/2019]:[Colunas1]])</f>
        <v>0</v>
      </c>
      <c r="F1429" s="3"/>
      <c r="FK1429" s="3">
        <v>0</v>
      </c>
    </row>
    <row r="1430" spans="1:167" x14ac:dyDescent="0.25">
      <c r="A1430" s="5" t="s">
        <v>7490</v>
      </c>
      <c r="B1430" s="15" t="str">
        <f>VLOOKUP(TAB_ENTRADA[[#This Row],[Cod_2_Entrada]],TAB_ESTOQUE[[Codigo]:[Descrição Tecnica]],6,FALSE)</f>
        <v>SENSOR SICK RE21-SA05 1059507</v>
      </c>
      <c r="C1430" s="15">
        <f>IFERROR(VLOOKUP(TAB_ENTRADA[[#This Row],[Cod_2_Entrada]],TAB_ESTOQUE[[Codigo]:[Referência Tec]],7,FALSE),"")</f>
        <v>0</v>
      </c>
      <c r="D1430" s="15" t="str">
        <f>VLOOKUP(TAB_ENTRADA[[#This Row],[Cod_2_Entrada]],TAB_ESTOQUE[[Codigo]:[Endereço2]],12,FALSE)</f>
        <v>A2206</v>
      </c>
      <c r="E1430" s="15">
        <f>SUM(TAB_ENTRADA[[#This Row],[20/05/2019]:[Colunas1]])</f>
        <v>1</v>
      </c>
      <c r="F1430" s="3"/>
      <c r="FK1430" s="3">
        <v>1</v>
      </c>
    </row>
    <row r="1431" spans="1:167" x14ac:dyDescent="0.25">
      <c r="A1431" s="5" t="s">
        <v>7494</v>
      </c>
      <c r="B1431" s="15" t="str">
        <f>VLOOKUP(TAB_ENTRADA[[#This Row],[Cod_2_Entrada]],TAB_ESTOQUE[[Codigo]:[Descrição Tecnica]],6,FALSE)</f>
        <v>RELE DE SEGURANÇA FX3-CPU000000 IDENT: 1043783</v>
      </c>
      <c r="C1431" s="15">
        <f>IFERROR(VLOOKUP(TAB_ENTRADA[[#This Row],[Cod_2_Entrada]],TAB_ESTOQUE[[Codigo]:[Referência Tec]],7,FALSE),"")</f>
        <v>0</v>
      </c>
      <c r="D1431" s="15" t="str">
        <f>VLOOKUP(TAB_ENTRADA[[#This Row],[Cod_2_Entrada]],TAB_ESTOQUE[[Codigo]:[Endereço2]],12,FALSE)</f>
        <v>B1205</v>
      </c>
      <c r="E1431" s="15">
        <f>SUM(TAB_ENTRADA[[#This Row],[20/05/2019]:[Colunas1]])</f>
        <v>1</v>
      </c>
      <c r="F1431" s="3"/>
      <c r="FK1431" s="3">
        <v>1</v>
      </c>
    </row>
    <row r="1432" spans="1:167" x14ac:dyDescent="0.25">
      <c r="A1432" s="5" t="s">
        <v>7495</v>
      </c>
      <c r="B1432" s="15" t="str">
        <f>VLOOKUP(TAB_ENTRADA[[#This Row],[Cod_2_Entrada]],TAB_ESTOQUE[[Codigo]:[Descrição Tecnica]],6,FALSE)</f>
        <v>IHM SCHNEIDER XBTGT4230 SN: 103696C005018</v>
      </c>
      <c r="C1432" s="15">
        <f>IFERROR(VLOOKUP(TAB_ENTRADA[[#This Row],[Cod_2_Entrada]],TAB_ESTOQUE[[Codigo]:[Referência Tec]],7,FALSE),"")</f>
        <v>0</v>
      </c>
      <c r="D1432" s="15" t="str">
        <f>VLOOKUP(TAB_ENTRADA[[#This Row],[Cod_2_Entrada]],TAB_ESTOQUE[[Codigo]:[Endereço2]],12,FALSE)</f>
        <v>A2102</v>
      </c>
      <c r="E1432" s="15">
        <f>SUM(TAB_ENTRADA[[#This Row],[20/05/2019]:[Colunas1]])</f>
        <v>1</v>
      </c>
      <c r="F1432" s="3"/>
      <c r="FK1432" s="3">
        <v>1</v>
      </c>
    </row>
    <row r="1433" spans="1:167" x14ac:dyDescent="0.25">
      <c r="A1433" s="5" t="s">
        <v>7509</v>
      </c>
      <c r="B1433" s="15" t="str">
        <f>VLOOKUP(TAB_ENTRADA[[#This Row],[Cod_2_Entrada]],TAB_ESTOQUE[[Codigo]:[Descrição Tecnica]],6,FALSE)</f>
        <v>INVERSOR SCHNEIDER ATV312H075N4 0,75KW-1HP</v>
      </c>
      <c r="C1433" s="15">
        <f>IFERROR(VLOOKUP(TAB_ENTRADA[[#This Row],[Cod_2_Entrada]],TAB_ESTOQUE[[Codigo]:[Referência Tec]],7,FALSE),"")</f>
        <v>0</v>
      </c>
      <c r="D1433" s="15" t="str">
        <f>VLOOKUP(TAB_ENTRADA[[#This Row],[Cod_2_Entrada]],TAB_ESTOQUE[[Codigo]:[Endereço2]],12,FALSE)</f>
        <v>B1303</v>
      </c>
      <c r="E1433" s="15">
        <f>SUM(TAB_ENTRADA[[#This Row],[20/05/2019]:[Colunas1]])</f>
        <v>1</v>
      </c>
      <c r="F1433" s="3"/>
      <c r="FK1433" s="3">
        <v>1</v>
      </c>
    </row>
    <row r="1434" spans="1:167" x14ac:dyDescent="0.25">
      <c r="A1434" s="5" t="s">
        <v>7513</v>
      </c>
      <c r="B1434" s="15" t="str">
        <f>VLOOKUP(TAB_ENTRADA[[#This Row],[Cod_2_Entrada]],TAB_ESTOQUE[[Codigo]:[Descrição Tecnica]],6,FALSE)</f>
        <v>MODULO DE EXPANSÃO TM2DDI16DT</v>
      </c>
      <c r="C1434" s="15">
        <f>IFERROR(VLOOKUP(TAB_ENTRADA[[#This Row],[Cod_2_Entrada]],TAB_ESTOQUE[[Codigo]:[Referência Tec]],7,FALSE),"")</f>
        <v>0</v>
      </c>
      <c r="D1434" s="15" t="str">
        <f>VLOOKUP(TAB_ENTRADA[[#This Row],[Cod_2_Entrada]],TAB_ESTOQUE[[Codigo]:[Endereço2]],12,FALSE)</f>
        <v>A2102</v>
      </c>
      <c r="E1434" s="15">
        <f>SUM(TAB_ENTRADA[[#This Row],[20/05/2019]:[Colunas1]])</f>
        <v>1</v>
      </c>
      <c r="F1434" s="3"/>
      <c r="FK1434" s="3">
        <v>1</v>
      </c>
    </row>
    <row r="1435" spans="1:167" x14ac:dyDescent="0.25">
      <c r="A1435" s="5" t="s">
        <v>7515</v>
      </c>
      <c r="B1435" s="15" t="str">
        <f>VLOOKUP(TAB_ENTRADA[[#This Row],[Cod_2_Entrada]],TAB_ESTOQUE[[Codigo]:[Descrição Tecnica]],6,FALSE)</f>
        <v>CONTROLADOR DE TEMPERATURA HW7000LRR--A 24V (COEL)</v>
      </c>
      <c r="C1435" s="15">
        <f>IFERROR(VLOOKUP(TAB_ENTRADA[[#This Row],[Cod_2_Entrada]],TAB_ESTOQUE[[Codigo]:[Referência Tec]],7,FALSE),"")</f>
        <v>0</v>
      </c>
      <c r="D1435" s="15" t="str">
        <f>VLOOKUP(TAB_ENTRADA[[#This Row],[Cod_2_Entrada]],TAB_ESTOQUE[[Codigo]:[Endereço2]],12,FALSE)</f>
        <v>A2304</v>
      </c>
      <c r="E1435" s="15">
        <f>SUM(TAB_ENTRADA[[#This Row],[20/05/2019]:[Colunas1]])</f>
        <v>1</v>
      </c>
      <c r="F1435" s="3"/>
      <c r="FK1435" s="3">
        <v>1</v>
      </c>
    </row>
    <row r="1436" spans="1:167" x14ac:dyDescent="0.25">
      <c r="A1436" s="5" t="s">
        <v>7536</v>
      </c>
      <c r="B1436" s="15" t="str">
        <f>VLOOKUP(TAB_ENTRADA[[#This Row],[Cod_2_Entrada]],TAB_ESTOQUE[[Codigo]:[Descrição Tecnica]],6,FALSE)</f>
        <v>PLACA 3HAC025784-001/00DSQC 651</v>
      </c>
      <c r="C1436" s="15">
        <f>IFERROR(VLOOKUP(TAB_ENTRADA[[#This Row],[Cod_2_Entrada]],TAB_ESTOQUE[[Codigo]:[Referência Tec]],7,FALSE),"")</f>
        <v>0</v>
      </c>
      <c r="D1436" s="15" t="str">
        <f>VLOOKUP(TAB_ENTRADA[[#This Row],[Cod_2_Entrada]],TAB_ESTOQUE[[Codigo]:[Endereço2]],12,FALSE)</f>
        <v>A1102</v>
      </c>
      <c r="E1436" s="15">
        <f>SUM(TAB_ENTRADA[[#This Row],[20/05/2019]:[Colunas1]])</f>
        <v>1</v>
      </c>
      <c r="F1436" s="3"/>
      <c r="FK1436" s="3">
        <v>1</v>
      </c>
    </row>
    <row r="1437" spans="1:167" x14ac:dyDescent="0.25">
      <c r="A1437" s="5" t="s">
        <v>7538</v>
      </c>
      <c r="B1437" s="15" t="str">
        <f>VLOOKUP(TAB_ENTRADA[[#This Row],[Cod_2_Entrada]],TAB_ESTOQUE[[Codigo]:[Descrição Tecnica]],6,FALSE)</f>
        <v>TRANSMISSOR DE PRESSÃO IP65 PN:VKP-027-A-11-42-999 RANGE:0...200BAR</v>
      </c>
      <c r="C1437" s="15">
        <f>IFERROR(VLOOKUP(TAB_ENTRADA[[#This Row],[Cod_2_Entrada]],TAB_ESTOQUE[[Codigo]:[Referência Tec]],7,FALSE),"")</f>
        <v>0</v>
      </c>
      <c r="D1437" s="15" t="str">
        <f>VLOOKUP(TAB_ENTRADA[[#This Row],[Cod_2_Entrada]],TAB_ESTOQUE[[Codigo]:[Endereço2]],12,FALSE)</f>
        <v>A1103</v>
      </c>
      <c r="E1437" s="15">
        <f>SUM(TAB_ENTRADA[[#This Row],[20/05/2019]:[Colunas1]])</f>
        <v>1</v>
      </c>
      <c r="F1437" s="3"/>
      <c r="FK1437" s="3">
        <v>1</v>
      </c>
    </row>
    <row r="1438" spans="1:167" x14ac:dyDescent="0.25">
      <c r="A1438" s="5" t="s">
        <v>7548</v>
      </c>
      <c r="B1438" s="15" t="str">
        <f>VLOOKUP(TAB_ENTRADA[[#This Row],[Cod_2_Entrada]],TAB_ESTOQUE[[Codigo]:[Descrição Tecnica]],6,FALSE)</f>
        <v>TRANSMISSOR DE PRESSÃO FLUSH N RANGER: 0....30 KGF/CM²</v>
      </c>
      <c r="C1438" s="15">
        <f>IFERROR(VLOOKUP(TAB_ENTRADA[[#This Row],[Cod_2_Entrada]],TAB_ESTOQUE[[Codigo]:[Referência Tec]],7,FALSE),"")</f>
        <v>0</v>
      </c>
      <c r="D1438" s="15" t="str">
        <f>VLOOKUP(TAB_ENTRADA[[#This Row],[Cod_2_Entrada]],TAB_ESTOQUE[[Codigo]:[Endereço2]],12,FALSE)</f>
        <v>A1104</v>
      </c>
      <c r="E1438" s="15">
        <f>SUM(TAB_ENTRADA[[#This Row],[20/05/2019]:[Colunas1]])</f>
        <v>2</v>
      </c>
      <c r="F1438" s="3"/>
      <c r="FK1438" s="3">
        <v>2</v>
      </c>
    </row>
    <row r="1439" spans="1:167" x14ac:dyDescent="0.25">
      <c r="A1439" s="5" t="s">
        <v>7551</v>
      </c>
      <c r="B1439" s="15" t="str">
        <f>VLOOKUP(TAB_ENTRADA[[#This Row],[Cod_2_Entrada]],TAB_ESTOQUE[[Codigo]:[Descrição Tecnica]],6,FALSE)</f>
        <v>CHAVE DE NIVEL MODELO: NC1-RA-T-2N L=150mm</v>
      </c>
      <c r="C1439" s="15">
        <f>IFERROR(VLOOKUP(TAB_ENTRADA[[#This Row],[Cod_2_Entrada]],TAB_ESTOQUE[[Codigo]:[Referência Tec]],7,FALSE),"")</f>
        <v>0</v>
      </c>
      <c r="D1439" s="15" t="str">
        <f>VLOOKUP(TAB_ENTRADA[[#This Row],[Cod_2_Entrada]],TAB_ESTOQUE[[Codigo]:[Endereço2]],12,FALSE)</f>
        <v>A1306</v>
      </c>
      <c r="E1439" s="15">
        <f>SUM(TAB_ENTRADA[[#This Row],[20/05/2019]:[Colunas1]])</f>
        <v>1</v>
      </c>
      <c r="F1439" s="3"/>
      <c r="FK1439" s="3">
        <v>1</v>
      </c>
    </row>
    <row r="1440" spans="1:167" x14ac:dyDescent="0.25">
      <c r="A1440" s="5" t="s">
        <v>7552</v>
      </c>
      <c r="B1440" s="15" t="str">
        <f>VLOOKUP(TAB_ENTRADA[[#This Row],[Cod_2_Entrada]],TAB_ESTOQUE[[Codigo]:[Descrição Tecnica]],6,FALSE)</f>
        <v>MANGUEIRA HOT MELT REF: HMTC</v>
      </c>
      <c r="C1440" s="15">
        <f>IFERROR(VLOOKUP(TAB_ENTRADA[[#This Row],[Cod_2_Entrada]],TAB_ESTOQUE[[Codigo]:[Referência Tec]],7,FALSE),"")</f>
        <v>0</v>
      </c>
      <c r="D1440" s="15" t="str">
        <f>VLOOKUP(TAB_ENTRADA[[#This Row],[Cod_2_Entrada]],TAB_ESTOQUE[[Codigo]:[Endereço2]],12,FALSE)</f>
        <v>A1201</v>
      </c>
      <c r="E1440" s="15">
        <f>SUM(TAB_ENTRADA[[#This Row],[20/05/2019]:[Colunas1]])</f>
        <v>0</v>
      </c>
      <c r="F1440" s="3"/>
      <c r="FK1440" s="3">
        <v>0</v>
      </c>
    </row>
    <row r="1441" spans="1:203" x14ac:dyDescent="0.25">
      <c r="A1441" s="5" t="s">
        <v>7554</v>
      </c>
      <c r="B1441" s="15" t="str">
        <f>VLOOKUP(TAB_ENTRADA[[#This Row],[Cod_2_Entrada]],TAB_ESTOQUE[[Codigo]:[Descrição Tecnica]],6,FALSE)</f>
        <v>PISTOLA HOT MELT P/N: XP-401-RS</v>
      </c>
      <c r="C1441" s="15">
        <f>IFERROR(VLOOKUP(TAB_ENTRADA[[#This Row],[Cod_2_Entrada]],TAB_ESTOQUE[[Codigo]:[Referência Tec]],7,FALSE),"")</f>
        <v>0</v>
      </c>
      <c r="D1441" s="15" t="str">
        <f>VLOOKUP(TAB_ENTRADA[[#This Row],[Cod_2_Entrada]],TAB_ESTOQUE[[Codigo]:[Endereço2]],12,FALSE)</f>
        <v>A1201</v>
      </c>
      <c r="E1441" s="15">
        <f>SUM(TAB_ENTRADA[[#This Row],[20/05/2019]:[Colunas1]])</f>
        <v>0</v>
      </c>
      <c r="F1441" s="3"/>
      <c r="FK1441" s="3">
        <v>0</v>
      </c>
    </row>
    <row r="1442" spans="1:203" x14ac:dyDescent="0.25">
      <c r="A1442" s="5" t="s">
        <v>7559</v>
      </c>
      <c r="B1442" s="15" t="str">
        <f>VLOOKUP(TAB_ENTRADA[[#This Row],[Cod_2_Entrada]],TAB_ESTOQUE[[Codigo]:[Descrição Tecnica]],6,FALSE)</f>
        <v>ATUADOR PNEUMATICO MODELO: AT201U EM ISSO 5211: F05+F07-N-17DS</v>
      </c>
      <c r="C1442" s="15">
        <f>IFERROR(VLOOKUP(TAB_ENTRADA[[#This Row],[Cod_2_Entrada]],TAB_ESTOQUE[[Codigo]:[Referência Tec]],7,FALSE),"")</f>
        <v>0</v>
      </c>
      <c r="D1442" s="15" t="str">
        <f>VLOOKUP(TAB_ENTRADA[[#This Row],[Cod_2_Entrada]],TAB_ESTOQUE[[Codigo]:[Endereço2]],12,FALSE)</f>
        <v>C1205</v>
      </c>
      <c r="E1442" s="15">
        <f>SUM(TAB_ENTRADA[[#This Row],[20/05/2019]:[Colunas1]])</f>
        <v>3</v>
      </c>
      <c r="F1442" s="3"/>
      <c r="FK1442" s="3">
        <v>3</v>
      </c>
    </row>
    <row r="1443" spans="1:203" x14ac:dyDescent="0.25">
      <c r="A1443" s="5" t="s">
        <v>7560</v>
      </c>
      <c r="B1443" s="15" t="str">
        <f>VLOOKUP(TAB_ENTRADA[[#This Row],[Cod_2_Entrada]],TAB_ESTOQUE[[Codigo]:[Descrição Tecnica]],6,FALSE)</f>
        <v>SUPORTE PARA SONDA E43334 LR COAX TUBE 1200 SLOTTEED</v>
      </c>
      <c r="C1443" s="15">
        <f>IFERROR(VLOOKUP(TAB_ENTRADA[[#This Row],[Cod_2_Entrada]],TAB_ESTOQUE[[Codigo]:[Referência Tec]],7,FALSE),"")</f>
        <v>0</v>
      </c>
      <c r="D1443" s="15" t="str">
        <f>VLOOKUP(TAB_ENTRADA[[#This Row],[Cod_2_Entrada]],TAB_ESTOQUE[[Codigo]:[Endereço2]],12,FALSE)</f>
        <v>A2101</v>
      </c>
      <c r="E1443" s="15">
        <f>SUM(TAB_ENTRADA[[#This Row],[20/05/2019]:[Colunas1]])</f>
        <v>2</v>
      </c>
      <c r="F1443" s="3"/>
      <c r="FK1443" s="3">
        <v>2</v>
      </c>
    </row>
    <row r="1444" spans="1:203" x14ac:dyDescent="0.25">
      <c r="A1444" s="5" t="s">
        <v>7561</v>
      </c>
      <c r="B1444" s="15" t="str">
        <f>VLOOKUP(TAB_ENTRADA[[#This Row],[Cod_2_Entrada]],TAB_ESTOQUE[[Codigo]:[Descrição Tecnica]],6,FALSE)</f>
        <v>SONDA 1200mm E43208 IFM</v>
      </c>
      <c r="C1444" s="15">
        <f>IFERROR(VLOOKUP(TAB_ENTRADA[[#This Row],[Cod_2_Entrada]],TAB_ESTOQUE[[Codigo]:[Referência Tec]],7,FALSE),"")</f>
        <v>0</v>
      </c>
      <c r="D1444" s="15" t="str">
        <f>VLOOKUP(TAB_ENTRADA[[#This Row],[Cod_2_Entrada]],TAB_ESTOQUE[[Codigo]:[Endereço2]],12,FALSE)</f>
        <v>A2101</v>
      </c>
      <c r="E1444" s="15">
        <f>SUM(TAB_ENTRADA[[#This Row],[20/05/2019]:[Colunas1]])</f>
        <v>2</v>
      </c>
      <c r="F1444" s="3"/>
      <c r="FK1444" s="3">
        <v>2</v>
      </c>
    </row>
    <row r="1445" spans="1:203" x14ac:dyDescent="0.25">
      <c r="A1445" s="5" t="s">
        <v>7562</v>
      </c>
      <c r="B1445" s="15" t="str">
        <f>VLOOKUP(TAB_ENTRADA[[#This Row],[Cod_2_Entrada]],TAB_ESTOQUE[[Codigo]:[Descrição Tecnica]],6,FALSE)</f>
        <v xml:space="preserve">BOMBA POLIOL RECONDICIONADA HIDRAULICA </v>
      </c>
      <c r="C1445" s="15">
        <f>IFERROR(VLOOKUP(TAB_ENTRADA[[#This Row],[Cod_2_Entrada]],TAB_ESTOQUE[[Codigo]:[Referência Tec]],7,FALSE),"")</f>
        <v>0</v>
      </c>
      <c r="D1445" s="15" t="str">
        <f>VLOOKUP(TAB_ENTRADA[[#This Row],[Cod_2_Entrada]],TAB_ESTOQUE[[Codigo]:[Endereço2]],12,FALSE)</f>
        <v>F1205</v>
      </c>
      <c r="E1445" s="15">
        <f>SUM(TAB_ENTRADA[[#This Row],[20/05/2019]:[Colunas1]])</f>
        <v>0</v>
      </c>
      <c r="F1445" s="3"/>
      <c r="FK1445" s="3">
        <v>0</v>
      </c>
    </row>
    <row r="1446" spans="1:203" x14ac:dyDescent="0.25">
      <c r="A1446" s="5" t="s">
        <v>7563</v>
      </c>
      <c r="B1446" s="15" t="str">
        <f>VLOOKUP(TAB_ENTRADA[[#This Row],[Cod_2_Entrada]],TAB_ESTOQUE[[Codigo]:[Descrição Tecnica]],6,FALSE)</f>
        <v>KIT DE VEDAÇÃO P/ TAMPAO DO CILINDRO HYDRAULIKTEC PHK</v>
      </c>
      <c r="C1446" s="15">
        <f>IFERROR(VLOOKUP(TAB_ENTRADA[[#This Row],[Cod_2_Entrada]],TAB_ESTOQUE[[Codigo]:[Referência Tec]],7,FALSE),"")</f>
        <v>0</v>
      </c>
      <c r="D1446" s="15" t="str">
        <f>VLOOKUP(TAB_ENTRADA[[#This Row],[Cod_2_Entrada]],TAB_ESTOQUE[[Codigo]:[Endereço2]],12,FALSE)</f>
        <v xml:space="preserve">ARMARIO </v>
      </c>
      <c r="E1446" s="15">
        <f>SUM(TAB_ENTRADA[[#This Row],[20/05/2019]:[Colunas1]])</f>
        <v>1</v>
      </c>
      <c r="F1446" s="3"/>
      <c r="FK1446" s="3">
        <v>1</v>
      </c>
    </row>
    <row r="1447" spans="1:203" x14ac:dyDescent="0.25">
      <c r="A1447" s="5" t="s">
        <v>7564</v>
      </c>
      <c r="B1447" s="15" t="str">
        <f>VLOOKUP(TAB_ENTRADA[[#This Row],[Cod_2_Entrada]],TAB_ESTOQUE[[Codigo]:[Descrição Tecnica]],6,FALSE)</f>
        <v>GAXETA V2 LONA 80X100X12,5X0</v>
      </c>
      <c r="C1447" s="15">
        <f>IFERROR(VLOOKUP(TAB_ENTRADA[[#This Row],[Cod_2_Entrada]],TAB_ESTOQUE[[Codigo]:[Referência Tec]],7,FALSE),"")</f>
        <v>0</v>
      </c>
      <c r="D1447" s="15" t="str">
        <f>VLOOKUP(TAB_ENTRADA[[#This Row],[Cod_2_Entrada]],TAB_ESTOQUE[[Codigo]:[Endereço2]],12,FALSE)</f>
        <v xml:space="preserve">ARMARIO </v>
      </c>
      <c r="E1447" s="15">
        <f>SUM(TAB_ENTRADA[[#This Row],[20/05/2019]:[Colunas1]])</f>
        <v>1</v>
      </c>
      <c r="F1447" s="3"/>
      <c r="FK1447" s="3">
        <v>1</v>
      </c>
    </row>
    <row r="1448" spans="1:203" x14ac:dyDescent="0.25">
      <c r="A1448" s="5" t="s">
        <v>7565</v>
      </c>
      <c r="B1448" s="15" t="str">
        <f>VLOOKUP(TAB_ENTRADA[[#This Row],[Cod_2_Entrada]],TAB_ESTOQUE[[Codigo]:[Descrição Tecnica]],6,FALSE)</f>
        <v>KIT REPARO PARA CEBEÇOTE 7000</v>
      </c>
      <c r="C1448" s="15">
        <f>IFERROR(VLOOKUP(TAB_ENTRADA[[#This Row],[Cod_2_Entrada]],TAB_ESTOQUE[[Codigo]:[Referência Tec]],7,FALSE),"")</f>
        <v>0</v>
      </c>
      <c r="D1448" s="15" t="str">
        <f>VLOOKUP(TAB_ENTRADA[[#This Row],[Cod_2_Entrada]],TAB_ESTOQUE[[Codigo]:[Endereço2]],12,FALSE)</f>
        <v xml:space="preserve">ARMARIO </v>
      </c>
      <c r="E1448" s="15">
        <f>SUM(TAB_ENTRADA[[#This Row],[20/05/2019]:[Colunas1]])</f>
        <v>1</v>
      </c>
      <c r="F1448" s="3"/>
      <c r="FK1448" s="3">
        <v>1</v>
      </c>
    </row>
    <row r="1449" spans="1:203" x14ac:dyDescent="0.25">
      <c r="A1449" s="5" t="s">
        <v>7566</v>
      </c>
      <c r="B1449" s="15" t="str">
        <f>VLOOKUP(TAB_ENTRADA[[#This Row],[Cod_2_Entrada]],TAB_ESTOQUE[[Codigo]:[Descrição Tecnica]],6,FALSE)</f>
        <v>AGULHA DE INJEÇÃO C/ LIMITADOR</v>
      </c>
      <c r="C1449" s="15">
        <f>IFERROR(VLOOKUP(TAB_ENTRADA[[#This Row],[Cod_2_Entrada]],TAB_ESTOQUE[[Codigo]:[Referência Tec]],7,FALSE),"")</f>
        <v>0</v>
      </c>
      <c r="D1449" s="15" t="str">
        <f>VLOOKUP(TAB_ENTRADA[[#This Row],[Cod_2_Entrada]],TAB_ESTOQUE[[Codigo]:[Endereço2]],12,FALSE)</f>
        <v xml:space="preserve">ARMARIO </v>
      </c>
      <c r="E1449" s="15">
        <f>SUM(TAB_ENTRADA[[#This Row],[20/05/2019]:[Colunas1]])</f>
        <v>1</v>
      </c>
      <c r="F1449" s="3"/>
      <c r="FK1449" s="3">
        <v>1</v>
      </c>
    </row>
    <row r="1450" spans="1:203" x14ac:dyDescent="0.25">
      <c r="A1450" s="5" t="s">
        <v>7567</v>
      </c>
      <c r="B1450" s="15" t="str">
        <f>VLOOKUP(TAB_ENTRADA[[#This Row],[Cod_2_Entrada]],TAB_ESTOQUE[[Codigo]:[Descrição Tecnica]],6,FALSE)</f>
        <v>CONJ. BOMBA HIDRAULICA 12CC25 SUPOL 221.002.0133</v>
      </c>
      <c r="C1450" s="15">
        <f>IFERROR(VLOOKUP(TAB_ENTRADA[[#This Row],[Cod_2_Entrada]],TAB_ESTOQUE[[Codigo]:[Referência Tec]],7,FALSE),"")</f>
        <v>0</v>
      </c>
      <c r="D1450" s="15" t="str">
        <f>VLOOKUP(TAB_ENTRADA[[#This Row],[Cod_2_Entrada]],TAB_ESTOQUE[[Codigo]:[Endereço2]],12,FALSE)</f>
        <v>F1205</v>
      </c>
      <c r="E1450" s="15">
        <f>SUM(TAB_ENTRADA[[#This Row],[20/05/2019]:[Colunas1]])</f>
        <v>0</v>
      </c>
      <c r="F1450" s="3"/>
      <c r="FK1450" s="3">
        <v>0</v>
      </c>
    </row>
    <row r="1451" spans="1:203" x14ac:dyDescent="0.25">
      <c r="A1451" s="5" t="s">
        <v>7568</v>
      </c>
      <c r="B1451" s="15" t="str">
        <f>VLOOKUP(TAB_ENTRADA[[#This Row],[Cod_2_Entrada]],TAB_ESTOQUE[[Codigo]:[Descrição Tecnica]],6,FALSE)</f>
        <v>VALVULA HIDRAULICA REXROTH REF: H-4WEH 16 U10B72/6EG24K4QM0G24</v>
      </c>
      <c r="C1451" s="15">
        <f>IFERROR(VLOOKUP(TAB_ENTRADA[[#This Row],[Cod_2_Entrada]],TAB_ESTOQUE[[Codigo]:[Referência Tec]],7,FALSE),"")</f>
        <v>0</v>
      </c>
      <c r="D1451" s="15" t="str">
        <f>VLOOKUP(TAB_ENTRADA[[#This Row],[Cod_2_Entrada]],TAB_ESTOQUE[[Codigo]:[Endereço2]],12,FALSE)</f>
        <v>C2105</v>
      </c>
      <c r="E1451" s="15">
        <f>SUM(TAB_ENTRADA[[#This Row],[20/05/2019]:[Colunas1]])</f>
        <v>2</v>
      </c>
      <c r="F1451" s="3"/>
      <c r="FK1451" s="3">
        <v>2</v>
      </c>
    </row>
    <row r="1452" spans="1:203" x14ac:dyDescent="0.25">
      <c r="A1452" s="5" t="s">
        <v>7616</v>
      </c>
      <c r="B1452" s="15" t="str">
        <f>VLOOKUP(TAB_ENTRADA[[#This Row],[Cod_2_Entrada]],TAB_ESTOQUE[[Codigo]:[Descrição Tecnica]],6,FALSE)</f>
        <v>SENSOR FIM DE CURSO XCKP2118G11</v>
      </c>
      <c r="C1452" s="15">
        <f>IFERROR(VLOOKUP(TAB_ENTRADA[[#This Row],[Cod_2_Entrada]],TAB_ESTOQUE[[Codigo]:[Referência Tec]],7,FALSE),"")</f>
        <v>0</v>
      </c>
      <c r="D1452" s="15" t="str">
        <f>VLOOKUP(TAB_ENTRADA[[#This Row],[Cod_2_Entrada]],TAB_ESTOQUE[[Codigo]:[Endereço2]],12,FALSE)</f>
        <v>A2206</v>
      </c>
      <c r="E1452" s="15">
        <f>SUM(TAB_ENTRADA[[#This Row],[20/05/2019]:[Colunas1]])</f>
        <v>5</v>
      </c>
      <c r="F1452" s="3"/>
      <c r="FK1452" s="3">
        <v>5</v>
      </c>
    </row>
    <row r="1453" spans="1:203" x14ac:dyDescent="0.25">
      <c r="A1453" s="5" t="s">
        <v>7617</v>
      </c>
      <c r="B1453" s="15" t="str">
        <f>VLOOKUP(TAB_ENTRADA[[#This Row],[Cod_2_Entrada]],TAB_ESTOQUE[[Codigo]:[Descrição Tecnica]],6,FALSE)</f>
        <v>GUIA LINEAR THOMSON REF: 411N20A0</v>
      </c>
      <c r="C1453" s="15">
        <f>IFERROR(VLOOKUP(TAB_ENTRADA[[#This Row],[Cod_2_Entrada]],TAB_ESTOQUE[[Codigo]:[Referência Tec]],7,FALSE),"")</f>
        <v>0</v>
      </c>
      <c r="D1453" s="15" t="str">
        <f>VLOOKUP(TAB_ENTRADA[[#This Row],[Cod_2_Entrada]],TAB_ESTOQUE[[Codigo]:[Endereço2]],12,FALSE)</f>
        <v>D1106</v>
      </c>
      <c r="E1453" s="15">
        <f>SUM(TAB_ENTRADA[[#This Row],[20/05/2019]:[Colunas1]])</f>
        <v>5</v>
      </c>
      <c r="F1453" s="3"/>
      <c r="FK1453" s="3">
        <v>1</v>
      </c>
      <c r="GU1453" s="3">
        <v>4</v>
      </c>
    </row>
    <row r="1454" spans="1:203" x14ac:dyDescent="0.25">
      <c r="A1454" s="5" t="s">
        <v>7621</v>
      </c>
      <c r="B1454" s="15" t="str">
        <f>VLOOKUP(TAB_ENTRADA[[#This Row],[Cod_2_Entrada]],TAB_ESTOQUE[[Codigo]:[Descrição Tecnica]],6,FALSE)</f>
        <v>FUSIVEL CARTUCHO ULTRA RAPIDO 6X30 8A</v>
      </c>
      <c r="C1454" s="15">
        <f>IFERROR(VLOOKUP(TAB_ENTRADA[[#This Row],[Cod_2_Entrada]],TAB_ESTOQUE[[Codigo]:[Referência Tec]],7,FALSE),"")</f>
        <v>0</v>
      </c>
      <c r="D1454" s="15" t="str">
        <f>VLOOKUP(TAB_ENTRADA[[#This Row],[Cod_2_Entrada]],TAB_ESTOQUE[[Codigo]:[Endereço2]],12,FALSE)</f>
        <v>A1204</v>
      </c>
      <c r="E1454" s="15">
        <f>SUM(TAB_ENTRADA[[#This Row],[20/05/2019]:[Colunas1]])</f>
        <v>20</v>
      </c>
      <c r="F1454" s="3"/>
      <c r="FK1454" s="3">
        <v>20</v>
      </c>
    </row>
    <row r="1455" spans="1:203" x14ac:dyDescent="0.25">
      <c r="A1455" s="5" t="s">
        <v>7626</v>
      </c>
      <c r="B1455" s="15" t="str">
        <f>VLOOKUP(TAB_ENTRADA[[#This Row],[Cod_2_Entrada]],TAB_ESTOQUE[[Codigo]:[Descrição Tecnica]],6,FALSE)</f>
        <v>SENSOR SITEMA SICK IME12-04BPOZC0SS01  1042579</v>
      </c>
      <c r="C1455" s="15">
        <f>IFERROR(VLOOKUP(TAB_ENTRADA[[#This Row],[Cod_2_Entrada]],TAB_ESTOQUE[[Codigo]:[Referência Tec]],7,FALSE),"")</f>
        <v>0</v>
      </c>
      <c r="D1455" s="15" t="str">
        <f>VLOOKUP(TAB_ENTRADA[[#This Row],[Cod_2_Entrada]],TAB_ESTOQUE[[Codigo]:[Endereço2]],12,FALSE)</f>
        <v>A2203</v>
      </c>
      <c r="E1455" s="15">
        <f>SUM(TAB_ENTRADA[[#This Row],[20/05/2019]:[Colunas1]])</f>
        <v>8</v>
      </c>
      <c r="F1455" s="3"/>
      <c r="FK1455" s="3">
        <v>8</v>
      </c>
    </row>
    <row r="1456" spans="1:203" x14ac:dyDescent="0.25">
      <c r="A1456" s="5" t="s">
        <v>7627</v>
      </c>
      <c r="B1456" s="15" t="str">
        <f>VLOOKUP(TAB_ENTRADA[[#This Row],[Cod_2_Entrada]],TAB_ESTOQUE[[Codigo]:[Descrição Tecnica]],6,FALSE)</f>
        <v>SITEMA D-76187 Typ Type: KR 80 ID: kr 080 30 serial No. 105020  Gewicht Weight 57 Admissible load: 133 KN Operating pressure MIN 40bar MAX 250bar</v>
      </c>
      <c r="C1456" s="15">
        <f>IFERROR(VLOOKUP(TAB_ENTRADA[[#This Row],[Cod_2_Entrada]],TAB_ESTOQUE[[Codigo]:[Referência Tec]],7,FALSE),"")</f>
        <v>0</v>
      </c>
      <c r="D1456" s="15" t="str">
        <f>VLOOKUP(TAB_ENTRADA[[#This Row],[Cod_2_Entrada]],TAB_ESTOQUE[[Codigo]:[Endereço2]],12,FALSE)</f>
        <v>CAIXA</v>
      </c>
      <c r="E1456" s="15">
        <f>SUM(TAB_ENTRADA[[#This Row],[20/05/2019]:[Colunas1]])</f>
        <v>1</v>
      </c>
      <c r="F1456" s="3"/>
      <c r="FK1456" s="3">
        <v>1</v>
      </c>
    </row>
    <row r="1457" spans="1:167" x14ac:dyDescent="0.25">
      <c r="A1457" s="5" t="s">
        <v>7628</v>
      </c>
      <c r="B1457" s="15" t="str">
        <f>VLOOKUP(TAB_ENTRADA[[#This Row],[Cod_2_Entrada]],TAB_ESTOQUE[[Codigo]:[Descrição Tecnica]],6,FALSE)</f>
        <v xml:space="preserve">CABO 1PD 1100007 RAYCHEM H </v>
      </c>
      <c r="C1457" s="15">
        <f>IFERROR(VLOOKUP(TAB_ENTRADA[[#This Row],[Cod_2_Entrada]],TAB_ESTOQUE[[Codigo]:[Referência Tec]],7,FALSE),"")</f>
        <v>0</v>
      </c>
      <c r="D1457" s="15" t="str">
        <f>VLOOKUP(TAB_ENTRADA[[#This Row],[Cod_2_Entrada]],TAB_ESTOQUE[[Codigo]:[Endereço2]],12,FALSE)</f>
        <v>B1402</v>
      </c>
      <c r="E1457" s="15">
        <f>SUM(TAB_ENTRADA[[#This Row],[20/05/2019]:[Colunas1]])</f>
        <v>1</v>
      </c>
      <c r="F1457" s="3"/>
      <c r="FK1457" s="3">
        <v>1</v>
      </c>
    </row>
    <row r="1458" spans="1:167" x14ac:dyDescent="0.25">
      <c r="A1458" s="5" t="s">
        <v>7629</v>
      </c>
      <c r="B1458" s="15" t="str">
        <f>VLOOKUP(TAB_ENTRADA[[#This Row],[Cod_2_Entrada]],TAB_ESTOQUE[[Codigo]:[Descrição Tecnica]],6,FALSE)</f>
        <v>CABO FESTO 193458 ES13</v>
      </c>
      <c r="C1458" s="15">
        <f>IFERROR(VLOOKUP(TAB_ENTRADA[[#This Row],[Cod_2_Entrada]],TAB_ESTOQUE[[Codigo]:[Referência Tec]],7,FALSE),"")</f>
        <v>0</v>
      </c>
      <c r="D1458" s="15" t="str">
        <f>VLOOKUP(TAB_ENTRADA[[#This Row],[Cod_2_Entrada]],TAB_ESTOQUE[[Codigo]:[Endereço2]],12,FALSE)</f>
        <v>B1404</v>
      </c>
      <c r="E1458" s="15">
        <f>SUM(TAB_ENTRADA[[#This Row],[20/05/2019]:[Colunas1]])</f>
        <v>1</v>
      </c>
      <c r="F1458" s="3"/>
      <c r="FK1458" s="3">
        <v>1</v>
      </c>
    </row>
    <row r="1459" spans="1:167" x14ac:dyDescent="0.25">
      <c r="A1459" s="5" t="s">
        <v>7630</v>
      </c>
      <c r="B1459" s="15" t="str">
        <f>VLOOKUP(TAB_ENTRADA[[#This Row],[Cod_2_Entrada]],TAB_ESTOQUE[[Codigo]:[Descrição Tecnica]],6,FALSE)</f>
        <v xml:space="preserve">CABO COM CONECTOR RETO MACHO M08 3 PINOS </v>
      </c>
      <c r="C1459" s="15">
        <f>IFERROR(VLOOKUP(TAB_ENTRADA[[#This Row],[Cod_2_Entrada]],TAB_ESTOQUE[[Codigo]:[Referência Tec]],7,FALSE),"")</f>
        <v>0</v>
      </c>
      <c r="D1459" s="15" t="str">
        <f>VLOOKUP(TAB_ENTRADA[[#This Row],[Cod_2_Entrada]],TAB_ESTOQUE[[Codigo]:[Endereço2]],12,FALSE)</f>
        <v>B1404</v>
      </c>
      <c r="E1459" s="15">
        <f>SUM(TAB_ENTRADA[[#This Row],[20/05/2019]:[Colunas1]])</f>
        <v>3</v>
      </c>
      <c r="F1459" s="3"/>
      <c r="FK1459" s="3">
        <v>3</v>
      </c>
    </row>
    <row r="1460" spans="1:167" x14ac:dyDescent="0.25">
      <c r="A1460" s="5" t="s">
        <v>7631</v>
      </c>
      <c r="B1460" s="15" t="str">
        <f>VLOOKUP(TAB_ENTRADA[[#This Row],[Cod_2_Entrada]],TAB_ESTOQUE[[Codigo]:[Descrição Tecnica]],6,FALSE)</f>
        <v>ATUADOR PARA CHAVE DE SEGURANÇA SIEMENS 3SE5 000-0AV05</v>
      </c>
      <c r="C1460" s="15">
        <f>IFERROR(VLOOKUP(TAB_ENTRADA[[#This Row],[Cod_2_Entrada]],TAB_ESTOQUE[[Codigo]:[Referência Tec]],7,FALSE),"")</f>
        <v>0</v>
      </c>
      <c r="D1460" s="15" t="str">
        <f>VLOOKUP(TAB_ENTRADA[[#This Row],[Cod_2_Entrada]],TAB_ESTOQUE[[Codigo]:[Endereço2]],12,FALSE)</f>
        <v>B2103</v>
      </c>
      <c r="E1460" s="15">
        <f>SUM(TAB_ENTRADA[[#This Row],[20/05/2019]:[Colunas1]])</f>
        <v>1</v>
      </c>
      <c r="F1460" s="3"/>
      <c r="FK1460" s="3">
        <v>1</v>
      </c>
    </row>
    <row r="1461" spans="1:167" x14ac:dyDescent="0.25">
      <c r="A1461" s="5" t="s">
        <v>7632</v>
      </c>
      <c r="B1461" s="15" t="str">
        <f>VLOOKUP(TAB_ENTRADA[[#This Row],[Cod_2_Entrada]],TAB_ESTOQUE[[Codigo]:[Descrição Tecnica]],6,FALSE)</f>
        <v>CONTACTOR  LC1 D6511 8KW 80A</v>
      </c>
      <c r="C1461" s="15">
        <f>IFERROR(VLOOKUP(TAB_ENTRADA[[#This Row],[Cod_2_Entrada]],TAB_ESTOQUE[[Codigo]:[Referência Tec]],7,FALSE),"")</f>
        <v>0</v>
      </c>
      <c r="D1461" s="15" t="str">
        <f>VLOOKUP(TAB_ENTRADA[[#This Row],[Cod_2_Entrada]],TAB_ESTOQUE[[Codigo]:[Endereço2]],12,FALSE)</f>
        <v>B2103</v>
      </c>
      <c r="E1461" s="15">
        <f>SUM(TAB_ENTRADA[[#This Row],[20/05/2019]:[Colunas1]])</f>
        <v>1</v>
      </c>
      <c r="F1461" s="3"/>
      <c r="FK1461" s="3">
        <v>1</v>
      </c>
    </row>
    <row r="1462" spans="1:167" x14ac:dyDescent="0.25">
      <c r="A1462" s="5" t="s">
        <v>7633</v>
      </c>
      <c r="B1462" s="15" t="str">
        <f>VLOOKUP(TAB_ENTRADA[[#This Row],[Cod_2_Entrada]],TAB_ESTOQUE[[Codigo]:[Descrição Tecnica]],6,FALSE)</f>
        <v>CHAVE MOELLER NZM1</v>
      </c>
      <c r="C1462" s="15">
        <f>IFERROR(VLOOKUP(TAB_ENTRADA[[#This Row],[Cod_2_Entrada]],TAB_ESTOQUE[[Codigo]:[Referência Tec]],7,FALSE),"")</f>
        <v>0</v>
      </c>
      <c r="D1462" s="15" t="str">
        <f>VLOOKUP(TAB_ENTRADA[[#This Row],[Cod_2_Entrada]],TAB_ESTOQUE[[Codigo]:[Endereço2]],12,FALSE)</f>
        <v>B2104</v>
      </c>
      <c r="E1462" s="15">
        <f>SUM(TAB_ENTRADA[[#This Row],[20/05/2019]:[Colunas1]])</f>
        <v>1</v>
      </c>
      <c r="F1462" s="3"/>
      <c r="FK1462" s="3">
        <v>1</v>
      </c>
    </row>
    <row r="1463" spans="1:167" x14ac:dyDescent="0.25">
      <c r="A1463" s="5" t="s">
        <v>7634</v>
      </c>
      <c r="B1463" s="15" t="str">
        <f>VLOOKUP(TAB_ENTRADA[[#This Row],[Cod_2_Entrada]],TAB_ESTOQUE[[Codigo]:[Descrição Tecnica]],6,FALSE)</f>
        <v xml:space="preserve">CLP COMPLETO  6ES7 151-8FB01-0AB0 </v>
      </c>
      <c r="C1463" s="15">
        <f>IFERROR(VLOOKUP(TAB_ENTRADA[[#This Row],[Cod_2_Entrada]],TAB_ESTOQUE[[Codigo]:[Referência Tec]],7,FALSE),"")</f>
        <v>0</v>
      </c>
      <c r="D1463" s="15" t="str">
        <f>VLOOKUP(TAB_ENTRADA[[#This Row],[Cod_2_Entrada]],TAB_ESTOQUE[[Codigo]:[Endereço2]],12,FALSE)</f>
        <v>B2105</v>
      </c>
      <c r="E1463" s="15">
        <f>SUM(TAB_ENTRADA[[#This Row],[20/05/2019]:[Colunas1]])</f>
        <v>1</v>
      </c>
      <c r="F1463" s="3"/>
      <c r="FK1463" s="3">
        <v>1</v>
      </c>
    </row>
    <row r="1464" spans="1:167" x14ac:dyDescent="0.25">
      <c r="A1464" s="5" t="s">
        <v>7635</v>
      </c>
      <c r="B1464" s="15" t="str">
        <f>VLOOKUP(TAB_ENTRADA[[#This Row],[Cod_2_Entrada]],TAB_ESTOQUE[[Codigo]:[Descrição Tecnica]],6,FALSE)</f>
        <v>MODULO DE EXPANSÃO POWER SUPPLY 12-24VDC 10W SELV 850MA</v>
      </c>
      <c r="C1464" s="15">
        <f>IFERROR(VLOOKUP(TAB_ENTRADA[[#This Row],[Cod_2_Entrada]],TAB_ESTOQUE[[Codigo]:[Referência Tec]],7,FALSE),"")</f>
        <v>0</v>
      </c>
      <c r="D1464" s="15" t="str">
        <f>VLOOKUP(TAB_ENTRADA[[#This Row],[Cod_2_Entrada]],TAB_ESTOQUE[[Codigo]:[Endereço2]],12,FALSE)</f>
        <v>B2105</v>
      </c>
      <c r="E1464" s="15">
        <f>SUM(TAB_ENTRADA[[#This Row],[20/05/2019]:[Colunas1]])</f>
        <v>1</v>
      </c>
      <c r="F1464" s="3"/>
      <c r="FK1464" s="3">
        <v>1</v>
      </c>
    </row>
    <row r="1465" spans="1:167" x14ac:dyDescent="0.25">
      <c r="A1465" s="5" t="s">
        <v>7645</v>
      </c>
      <c r="B1465" s="15" t="str">
        <f>VLOOKUP(TAB_ENTRADA[[#This Row],[Cod_2_Entrada]],TAB_ESTOQUE[[Codigo]:[Descrição Tecnica]],6,FALSE)</f>
        <v>SUPORTE PARA SENSOR MANFROTTO 244 D2255341</v>
      </c>
      <c r="C1465" s="15">
        <f>IFERROR(VLOOKUP(TAB_ENTRADA[[#This Row],[Cod_2_Entrada]],TAB_ESTOQUE[[Codigo]:[Referência Tec]],7,FALSE),"")</f>
        <v>0</v>
      </c>
      <c r="D1465" s="15" t="str">
        <f>VLOOKUP(TAB_ENTRADA[[#This Row],[Cod_2_Entrada]],TAB_ESTOQUE[[Codigo]:[Endereço2]],12,FALSE)</f>
        <v>B2105</v>
      </c>
      <c r="E1465" s="15">
        <f>SUM(TAB_ENTRADA[[#This Row],[20/05/2019]:[Colunas1]])</f>
        <v>1</v>
      </c>
      <c r="F1465" s="3"/>
      <c r="FK1465" s="3">
        <v>1</v>
      </c>
    </row>
    <row r="1466" spans="1:167" x14ac:dyDescent="0.25">
      <c r="A1466" s="5" t="s">
        <v>7646</v>
      </c>
      <c r="B1466" s="15" t="str">
        <f>VLOOKUP(TAB_ENTRADA[[#This Row],[Cod_2_Entrada]],TAB_ESTOQUE[[Codigo]:[Descrição Tecnica]],6,FALSE)</f>
        <v>PLACA DA CELULA DE CARGA CS018-03-5</v>
      </c>
      <c r="C1466" s="15">
        <f>IFERROR(VLOOKUP(TAB_ENTRADA[[#This Row],[Cod_2_Entrada]],TAB_ESTOQUE[[Codigo]:[Referência Tec]],7,FALSE),"")</f>
        <v>0</v>
      </c>
      <c r="D1466" s="15" t="str">
        <f>VLOOKUP(TAB_ENTRADA[[#This Row],[Cod_2_Entrada]],TAB_ESTOQUE[[Codigo]:[Endereço2]],12,FALSE)</f>
        <v>B2105</v>
      </c>
      <c r="E1466" s="15">
        <f>SUM(TAB_ENTRADA[[#This Row],[20/05/2019]:[Colunas1]])</f>
        <v>1</v>
      </c>
      <c r="F1466" s="3"/>
      <c r="FK1466" s="3">
        <v>1</v>
      </c>
    </row>
    <row r="1467" spans="1:167" x14ac:dyDescent="0.25">
      <c r="A1467" s="5" t="s">
        <v>7647</v>
      </c>
      <c r="B1467" s="15" t="str">
        <f>VLOOKUP(TAB_ENTRADA[[#This Row],[Cod_2_Entrada]],TAB_ESTOQUE[[Codigo]:[Descrição Tecnica]],6,FALSE)</f>
        <v>VALVULA PNEUMATICA VSNB-F-M52-M G14-P2</v>
      </c>
      <c r="C1467" s="15">
        <f>IFERROR(VLOOKUP(TAB_ENTRADA[[#This Row],[Cod_2_Entrada]],TAB_ESTOQUE[[Codigo]:[Referência Tec]],7,FALSE),"")</f>
        <v>0</v>
      </c>
      <c r="D1467" s="15" t="str">
        <f>VLOOKUP(TAB_ENTRADA[[#This Row],[Cod_2_Entrada]],TAB_ESTOQUE[[Codigo]:[Endereço2]],12,FALSE)</f>
        <v>C1104</v>
      </c>
      <c r="E1467" s="15">
        <f>SUM(TAB_ENTRADA[[#This Row],[20/05/2019]:[Colunas1]])</f>
        <v>1</v>
      </c>
      <c r="F1467" s="3"/>
      <c r="FK1467" s="3">
        <v>1</v>
      </c>
    </row>
    <row r="1468" spans="1:167" x14ac:dyDescent="0.25">
      <c r="A1468" s="5" t="s">
        <v>7648</v>
      </c>
      <c r="B1468" s="15" t="str">
        <f>VLOOKUP(TAB_ENTRADA[[#This Row],[Cod_2_Entrada]],TAB_ESTOQUE[[Codigo]:[Descrição Tecnica]],6,FALSE)</f>
        <v>ATUADOR PNEUMATICO COM VALVULA DE ESFERA 1/2"</v>
      </c>
      <c r="C1468" s="15">
        <f>IFERROR(VLOOKUP(TAB_ENTRADA[[#This Row],[Cod_2_Entrada]],TAB_ESTOQUE[[Codigo]:[Referência Tec]],7,FALSE),"")</f>
        <v>0</v>
      </c>
      <c r="D1468" s="15" t="str">
        <f>VLOOKUP(TAB_ENTRADA[[#This Row],[Cod_2_Entrada]],TAB_ESTOQUE[[Codigo]:[Endereço2]],12,FALSE)</f>
        <v>C1206</v>
      </c>
      <c r="E1468" s="15">
        <f>SUM(TAB_ENTRADA[[#This Row],[20/05/2019]:[Colunas1]])</f>
        <v>2</v>
      </c>
      <c r="F1468" s="3"/>
      <c r="FK1468" s="3">
        <v>2</v>
      </c>
    </row>
    <row r="1469" spans="1:167" x14ac:dyDescent="0.25">
      <c r="A1469" s="5" t="s">
        <v>7649</v>
      </c>
      <c r="B1469" s="15" t="str">
        <f>VLOOKUP(TAB_ENTRADA[[#This Row],[Cod_2_Entrada]],TAB_ESTOQUE[[Codigo]:[Descrição Tecnica]],6,FALSE)</f>
        <v>CABO PARA REDE ASI-I RUBBER 3RX9010-0AA00  (AMARELO)</v>
      </c>
      <c r="C1469" s="15">
        <f>IFERROR(VLOOKUP(TAB_ENTRADA[[#This Row],[Cod_2_Entrada]],TAB_ESTOQUE[[Codigo]:[Referência Tec]],7,FALSE),"")</f>
        <v>0</v>
      </c>
      <c r="D1469" s="15" t="str">
        <f>VLOOKUP(TAB_ENTRADA[[#This Row],[Cod_2_Entrada]],TAB_ESTOQUE[[Codigo]:[Endereço2]],12,FALSE)</f>
        <v>B1406</v>
      </c>
      <c r="E1469" s="15">
        <f>SUM(TAB_ENTRADA[[#This Row],[20/05/2019]:[Colunas1]])</f>
        <v>100</v>
      </c>
      <c r="F1469" s="3"/>
      <c r="FK1469" s="3">
        <v>100</v>
      </c>
    </row>
    <row r="1470" spans="1:167" x14ac:dyDescent="0.25">
      <c r="A1470" s="5" t="s">
        <v>7650</v>
      </c>
      <c r="B1470" s="15" t="str">
        <f>VLOOKUP(TAB_ENTRADA[[#This Row],[Cod_2_Entrada]],TAB_ESTOQUE[[Codigo]:[Descrição Tecnica]],6,FALSE)</f>
        <v>CONEXÃO PNEUMÁTICA 8mm COM ROSCA 1/8"</v>
      </c>
      <c r="C1470" s="15">
        <f>IFERROR(VLOOKUP(TAB_ENTRADA[[#This Row],[Cod_2_Entrada]],TAB_ESTOQUE[[Codigo]:[Referência Tec]],7,FALSE),"")</f>
        <v>0</v>
      </c>
      <c r="D1470" s="15" t="str">
        <f>VLOOKUP(TAB_ENTRADA[[#This Row],[Cod_2_Entrada]],TAB_ESTOQUE[[Codigo]:[Endereço2]],12,FALSE)</f>
        <v>C1305</v>
      </c>
      <c r="E1470" s="15">
        <f>SUM(TAB_ENTRADA[[#This Row],[20/05/2019]:[Colunas1]])</f>
        <v>0</v>
      </c>
      <c r="F1470" s="3"/>
      <c r="FK1470" s="3">
        <v>0</v>
      </c>
    </row>
    <row r="1471" spans="1:167" x14ac:dyDescent="0.25">
      <c r="A1471" s="5" t="s">
        <v>7651</v>
      </c>
      <c r="B1471" s="15" t="str">
        <f>VLOOKUP(TAB_ENTRADA[[#This Row],[Cod_2_Entrada]],TAB_ESTOQUE[[Codigo]:[Descrição Tecnica]],6,FALSE)</f>
        <v>CONEXÃO PNEUMÁTICA 6mm COM ROSCA 1/8"</v>
      </c>
      <c r="C1471" s="15">
        <f>IFERROR(VLOOKUP(TAB_ENTRADA[[#This Row],[Cod_2_Entrada]],TAB_ESTOQUE[[Codigo]:[Referência Tec]],7,FALSE),"")</f>
        <v>0</v>
      </c>
      <c r="D1471" s="15" t="str">
        <f>VLOOKUP(TAB_ENTRADA[[#This Row],[Cod_2_Entrada]],TAB_ESTOQUE[[Codigo]:[Endereço2]],12,FALSE)</f>
        <v>C1305</v>
      </c>
      <c r="E1471" s="15">
        <f>SUM(TAB_ENTRADA[[#This Row],[20/05/2019]:[Colunas1]])</f>
        <v>38</v>
      </c>
      <c r="F1471" s="3"/>
      <c r="FK1471" s="3">
        <v>38</v>
      </c>
    </row>
    <row r="1472" spans="1:167" x14ac:dyDescent="0.25">
      <c r="A1472" s="5" t="s">
        <v>7652</v>
      </c>
      <c r="B1472" s="15" t="str">
        <f>VLOOKUP(TAB_ENTRADA[[#This Row],[Cod_2_Entrada]],TAB_ESTOQUE[[Codigo]:[Descrição Tecnica]],6,FALSE)</f>
        <v>CONEXÃO PNEUMÁTICA 4mm COM ROSCA 1/8"</v>
      </c>
      <c r="C1472" s="15">
        <f>IFERROR(VLOOKUP(TAB_ENTRADA[[#This Row],[Cod_2_Entrada]],TAB_ESTOQUE[[Codigo]:[Referência Tec]],7,FALSE),"")</f>
        <v>0</v>
      </c>
      <c r="D1472" s="15" t="str">
        <f>VLOOKUP(TAB_ENTRADA[[#This Row],[Cod_2_Entrada]],TAB_ESTOQUE[[Codigo]:[Endereço2]],12,FALSE)</f>
        <v>C1305</v>
      </c>
      <c r="E1472" s="15">
        <f>SUM(TAB_ENTRADA[[#This Row],[20/05/2019]:[Colunas1]])</f>
        <v>36</v>
      </c>
      <c r="F1472" s="3"/>
      <c r="FK1472" s="3">
        <v>36</v>
      </c>
    </row>
    <row r="1473" spans="1:167" x14ac:dyDescent="0.25">
      <c r="A1473" s="5" t="s">
        <v>7653</v>
      </c>
      <c r="B1473" s="15" t="str">
        <f>VLOOKUP(TAB_ENTRADA[[#This Row],[Cod_2_Entrada]],TAB_ESTOQUE[[Codigo]:[Descrição Tecnica]],6,FALSE)</f>
        <v>CONEXÃO PNEUMÁTICA 12mm DIVERSAS</v>
      </c>
      <c r="C1473" s="15">
        <f>IFERROR(VLOOKUP(TAB_ENTRADA[[#This Row],[Cod_2_Entrada]],TAB_ESTOQUE[[Codigo]:[Referência Tec]],7,FALSE),"")</f>
        <v>0</v>
      </c>
      <c r="D1473" s="15" t="str">
        <f>VLOOKUP(TAB_ENTRADA[[#This Row],[Cod_2_Entrada]],TAB_ESTOQUE[[Codigo]:[Endereço2]],12,FALSE)</f>
        <v>C1305</v>
      </c>
      <c r="E1473" s="15">
        <f>SUM(TAB_ENTRADA[[#This Row],[20/05/2019]:[Colunas1]])</f>
        <v>20</v>
      </c>
      <c r="F1473" s="3"/>
      <c r="FK1473" s="3">
        <v>20</v>
      </c>
    </row>
    <row r="1474" spans="1:167" x14ac:dyDescent="0.25">
      <c r="A1474" s="5" t="s">
        <v>7654</v>
      </c>
      <c r="B1474" s="15" t="str">
        <f>VLOOKUP(TAB_ENTRADA[[#This Row],[Cod_2_Entrada]],TAB_ESTOQUE[[Codigo]:[Descrição Tecnica]],6,FALSE)</f>
        <v>CONEXÃO PNEUMÁTICA 10mm DIVERSAS</v>
      </c>
      <c r="C1474" s="15">
        <f>IFERROR(VLOOKUP(TAB_ENTRADA[[#This Row],[Cod_2_Entrada]],TAB_ESTOQUE[[Codigo]:[Referência Tec]],7,FALSE),"")</f>
        <v>0</v>
      </c>
      <c r="D1474" s="15" t="str">
        <f>VLOOKUP(TAB_ENTRADA[[#This Row],[Cod_2_Entrada]],TAB_ESTOQUE[[Codigo]:[Endereço2]],12,FALSE)</f>
        <v>C1305</v>
      </c>
      <c r="E1474" s="15">
        <f>SUM(TAB_ENTRADA[[#This Row],[20/05/2019]:[Colunas1]])</f>
        <v>20</v>
      </c>
      <c r="F1474" s="3"/>
      <c r="FK1474" s="3">
        <v>20</v>
      </c>
    </row>
    <row r="1475" spans="1:167" x14ac:dyDescent="0.25">
      <c r="A1475" s="5" t="s">
        <v>7655</v>
      </c>
      <c r="B1475" s="15" t="str">
        <f>VLOOKUP(TAB_ENTRADA[[#This Row],[Cod_2_Entrada]],TAB_ESTOQUE[[Codigo]:[Descrição Tecnica]],6,FALSE)</f>
        <v>CONEXÃO PNEUMÁTICA 8mm DIVERSAS</v>
      </c>
      <c r="C1475" s="15">
        <f>IFERROR(VLOOKUP(TAB_ENTRADA[[#This Row],[Cod_2_Entrada]],TAB_ESTOQUE[[Codigo]:[Referência Tec]],7,FALSE),"")</f>
        <v>0</v>
      </c>
      <c r="D1475" s="15" t="str">
        <f>VLOOKUP(TAB_ENTRADA[[#This Row],[Cod_2_Entrada]],TAB_ESTOQUE[[Codigo]:[Endereço2]],12,FALSE)</f>
        <v>C1305</v>
      </c>
      <c r="E1475" s="15">
        <f>SUM(TAB_ENTRADA[[#This Row],[20/05/2019]:[Colunas1]])</f>
        <v>20</v>
      </c>
      <c r="F1475" s="3"/>
      <c r="FK1475" s="3">
        <v>20</v>
      </c>
    </row>
    <row r="1476" spans="1:167" x14ac:dyDescent="0.25">
      <c r="A1476" s="5" t="s">
        <v>7656</v>
      </c>
      <c r="B1476" s="15" t="str">
        <f>VLOOKUP(TAB_ENTRADA[[#This Row],[Cod_2_Entrada]],TAB_ESTOQUE[[Codigo]:[Descrição Tecnica]],6,FALSE)</f>
        <v>CONEXÃO PNEUMÁTICA 6mm DIVERSAS</v>
      </c>
      <c r="C1476" s="15">
        <f>IFERROR(VLOOKUP(TAB_ENTRADA[[#This Row],[Cod_2_Entrada]],TAB_ESTOQUE[[Codigo]:[Referência Tec]],7,FALSE),"")</f>
        <v>0</v>
      </c>
      <c r="D1476" s="15" t="str">
        <f>VLOOKUP(TAB_ENTRADA[[#This Row],[Cod_2_Entrada]],TAB_ESTOQUE[[Codigo]:[Endereço2]],12,FALSE)</f>
        <v>C1305</v>
      </c>
      <c r="E1476" s="15">
        <f>SUM(TAB_ENTRADA[[#This Row],[20/05/2019]:[Colunas1]])</f>
        <v>20</v>
      </c>
      <c r="F1476" s="3"/>
      <c r="FK1476" s="3">
        <v>20</v>
      </c>
    </row>
    <row r="1477" spans="1:167" x14ac:dyDescent="0.25">
      <c r="A1477" s="5" t="s">
        <v>7657</v>
      </c>
      <c r="B1477" s="15" t="str">
        <f>VLOOKUP(TAB_ENTRADA[[#This Row],[Cod_2_Entrada]],TAB_ESTOQUE[[Codigo]:[Descrição Tecnica]],6,FALSE)</f>
        <v>CONEXÃO PNEUMÁTICA 4mm DIVERSAS</v>
      </c>
      <c r="C1477" s="15">
        <f>IFERROR(VLOOKUP(TAB_ENTRADA[[#This Row],[Cod_2_Entrada]],TAB_ESTOQUE[[Codigo]:[Referência Tec]],7,FALSE),"")</f>
        <v>0</v>
      </c>
      <c r="D1477" s="15" t="str">
        <f>VLOOKUP(TAB_ENTRADA[[#This Row],[Cod_2_Entrada]],TAB_ESTOQUE[[Codigo]:[Endereço2]],12,FALSE)</f>
        <v>C1305</v>
      </c>
      <c r="E1477" s="15">
        <f>SUM(TAB_ENTRADA[[#This Row],[20/05/2019]:[Colunas1]])</f>
        <v>20</v>
      </c>
      <c r="F1477" s="3"/>
      <c r="FK1477" s="3">
        <v>20</v>
      </c>
    </row>
    <row r="1478" spans="1:167" x14ac:dyDescent="0.25">
      <c r="A1478" s="5" t="s">
        <v>7658</v>
      </c>
      <c r="B1478" s="15" t="str">
        <f>VLOOKUP(TAB_ENTRADA[[#This Row],[Cod_2_Entrada]],TAB_ESTOQUE[[Codigo]:[Descrição Tecnica]],6,FALSE)</f>
        <v>CONEXÃO PNEUMÁTICA TIPO T COM ROSCA DIVERSAS</v>
      </c>
      <c r="C1478" s="15">
        <f>IFERROR(VLOOKUP(TAB_ENTRADA[[#This Row],[Cod_2_Entrada]],TAB_ESTOQUE[[Codigo]:[Referência Tec]],7,FALSE),"")</f>
        <v>0</v>
      </c>
      <c r="D1478" s="15" t="str">
        <f>VLOOKUP(TAB_ENTRADA[[#This Row],[Cod_2_Entrada]],TAB_ESTOQUE[[Codigo]:[Endereço2]],12,FALSE)</f>
        <v>C1306</v>
      </c>
      <c r="E1478" s="15">
        <f>SUM(TAB_ENTRADA[[#This Row],[20/05/2019]:[Colunas1]])</f>
        <v>30</v>
      </c>
      <c r="F1478" s="3"/>
      <c r="FK1478" s="3">
        <v>30</v>
      </c>
    </row>
    <row r="1479" spans="1:167" x14ac:dyDescent="0.25">
      <c r="A1479" s="5" t="s">
        <v>7659</v>
      </c>
      <c r="B1479" s="15" t="str">
        <f>VLOOKUP(TAB_ENTRADA[[#This Row],[Cod_2_Entrada]],TAB_ESTOQUE[[Codigo]:[Descrição Tecnica]],6,FALSE)</f>
        <v xml:space="preserve">CONEXÃO PNEUMÁTICA DIVERSAS </v>
      </c>
      <c r="C1479" s="15">
        <f>IFERROR(VLOOKUP(TAB_ENTRADA[[#This Row],[Cod_2_Entrada]],TAB_ESTOQUE[[Codigo]:[Referência Tec]],7,FALSE),"")</f>
        <v>0</v>
      </c>
      <c r="D1479" s="15" t="str">
        <f>VLOOKUP(TAB_ENTRADA[[#This Row],[Cod_2_Entrada]],TAB_ESTOQUE[[Codigo]:[Endereço2]],12,FALSE)</f>
        <v>C1306</v>
      </c>
      <c r="E1479" s="15">
        <f>SUM(TAB_ENTRADA[[#This Row],[20/05/2019]:[Colunas1]])</f>
        <v>30</v>
      </c>
      <c r="F1479" s="3"/>
      <c r="FK1479" s="3">
        <v>30</v>
      </c>
    </row>
    <row r="1480" spans="1:167" x14ac:dyDescent="0.25">
      <c r="A1480" s="5" t="s">
        <v>7660</v>
      </c>
      <c r="B1480" s="15" t="str">
        <f>VLOOKUP(TAB_ENTRADA[[#This Row],[Cod_2_Entrada]],TAB_ESTOQUE[[Codigo]:[Descrição Tecnica]],6,FALSE)</f>
        <v>SILENCIADOR PNEUMATICOS DIVERSOS</v>
      </c>
      <c r="C1480" s="15">
        <f>IFERROR(VLOOKUP(TAB_ENTRADA[[#This Row],[Cod_2_Entrada]],TAB_ESTOQUE[[Codigo]:[Referência Tec]],7,FALSE),"")</f>
        <v>0</v>
      </c>
      <c r="D1480" s="15" t="str">
        <f>VLOOKUP(TAB_ENTRADA[[#This Row],[Cod_2_Entrada]],TAB_ESTOQUE[[Codigo]:[Endereço2]],12,FALSE)</f>
        <v>C1306</v>
      </c>
      <c r="E1480" s="15">
        <f>SUM(TAB_ENTRADA[[#This Row],[20/05/2019]:[Colunas1]])</f>
        <v>13</v>
      </c>
      <c r="F1480" s="3"/>
      <c r="FK1480" s="3">
        <v>13</v>
      </c>
    </row>
    <row r="1481" spans="1:167" x14ac:dyDescent="0.25">
      <c r="A1481" s="5" t="s">
        <v>7703</v>
      </c>
      <c r="B1481" s="15" t="str">
        <f>VLOOKUP(TAB_ENTRADA[[#This Row],[Cod_2_Entrada]],TAB_ESTOQUE[[Codigo]:[Descrição Tecnica]],6,FALSE)</f>
        <v>CABO SILICONE 02,50MM ALTA TEMPERATURA</v>
      </c>
      <c r="C1481" s="15">
        <f>IFERROR(VLOOKUP(TAB_ENTRADA[[#This Row],[Cod_2_Entrada]],TAB_ESTOQUE[[Codigo]:[Referência Tec]],7,FALSE),"")</f>
        <v>0</v>
      </c>
      <c r="D1481" s="15" t="str">
        <f>VLOOKUP(TAB_ENTRADA[[#This Row],[Cod_2_Entrada]],TAB_ESTOQUE[[Codigo]:[Endereço2]],12,FALSE)</f>
        <v>B2403</v>
      </c>
      <c r="E1481" s="15">
        <f>SUM(TAB_ENTRADA[[#This Row],[20/05/2019]:[Colunas1]])</f>
        <v>100</v>
      </c>
      <c r="F1481" s="3"/>
      <c r="FK1481" s="3">
        <v>100</v>
      </c>
    </row>
    <row r="1482" spans="1:167" x14ac:dyDescent="0.25">
      <c r="A1482" s="5" t="s">
        <v>7704</v>
      </c>
      <c r="B1482" s="15" t="str">
        <f>VLOOKUP(TAB_ENTRADA[[#This Row],[Cod_2_Entrada]],TAB_ESTOQUE[[Codigo]:[Descrição Tecnica]],6,FALSE)</f>
        <v>PRESSOSTATO PARKER SCPSD-250-14-15 Range: 0... 250bar 0... 3626 PSI 30VDC</v>
      </c>
      <c r="C1482" s="15">
        <f>IFERROR(VLOOKUP(TAB_ENTRADA[[#This Row],[Cod_2_Entrada]],TAB_ESTOQUE[[Codigo]:[Referência Tec]],7,FALSE),"")</f>
        <v>0</v>
      </c>
      <c r="D1482" s="15" t="str">
        <f>VLOOKUP(TAB_ENTRADA[[#This Row],[Cod_2_Entrada]],TAB_ESTOQUE[[Codigo]:[Endereço2]],12,FALSE)</f>
        <v>B2203</v>
      </c>
      <c r="E1482" s="15">
        <f>SUM(TAB_ENTRADA[[#This Row],[20/05/2019]:[Colunas1]])</f>
        <v>2</v>
      </c>
      <c r="F1482" s="3"/>
      <c r="FK1482" s="3">
        <v>2</v>
      </c>
    </row>
    <row r="1483" spans="1:167" x14ac:dyDescent="0.25">
      <c r="A1483" s="5" t="s">
        <v>7705</v>
      </c>
      <c r="B1483" s="15" t="str">
        <f>VLOOKUP(TAB_ENTRADA[[#This Row],[Cod_2_Entrada]],TAB_ESTOQUE[[Codigo]:[Descrição Tecnica]],6,FALSE)</f>
        <v>SERVO MOTO ABB 3HAC3403-1/2</v>
      </c>
      <c r="C1483" s="15">
        <f>IFERROR(VLOOKUP(TAB_ENTRADA[[#This Row],[Cod_2_Entrada]],TAB_ESTOQUE[[Codigo]:[Referência Tec]],7,FALSE),"")</f>
        <v>0</v>
      </c>
      <c r="D1483" s="15" t="str">
        <f>VLOOKUP(TAB_ENTRADA[[#This Row],[Cod_2_Entrada]],TAB_ESTOQUE[[Codigo]:[Endereço2]],12,FALSE)</f>
        <v>E2305</v>
      </c>
      <c r="E1483" s="15">
        <f>SUM(TAB_ENTRADA[[#This Row],[20/05/2019]:[Colunas1]])</f>
        <v>1</v>
      </c>
      <c r="F1483" s="3"/>
      <c r="FK1483" s="3">
        <v>1</v>
      </c>
    </row>
    <row r="1484" spans="1:167" x14ac:dyDescent="0.25">
      <c r="A1484" s="5" t="s">
        <v>7706</v>
      </c>
      <c r="B1484" s="15" t="str">
        <f>VLOOKUP(TAB_ENTRADA[[#This Row],[Cod_2_Entrada]],TAB_ESTOQUE[[Codigo]:[Descrição Tecnica]],6,FALSE)</f>
        <v>RETENTOR SAV 10280 90-130-12 2</v>
      </c>
      <c r="C1484" s="15">
        <f>IFERROR(VLOOKUP(TAB_ENTRADA[[#This Row],[Cod_2_Entrada]],TAB_ESTOQUE[[Codigo]:[Referência Tec]],7,FALSE),"")</f>
        <v>0</v>
      </c>
      <c r="D1484" s="15" t="str">
        <f>VLOOKUP(TAB_ENTRADA[[#This Row],[Cod_2_Entrada]],TAB_ESTOQUE[[Codigo]:[Endereço2]],12,FALSE)</f>
        <v>E1202</v>
      </c>
      <c r="E1484" s="15">
        <f>SUM(TAB_ENTRADA[[#This Row],[20/05/2019]:[Colunas1]])</f>
        <v>0</v>
      </c>
      <c r="F1484" s="3"/>
      <c r="FK1484" s="3">
        <v>0</v>
      </c>
    </row>
    <row r="1485" spans="1:167" x14ac:dyDescent="0.25">
      <c r="A1485" s="5" t="s">
        <v>7707</v>
      </c>
      <c r="B1485" s="15" t="str">
        <f>VLOOKUP(TAB_ENTRADA[[#This Row],[Cod_2_Entrada]],TAB_ESTOQUE[[Codigo]:[Descrição Tecnica]],6,FALSE)</f>
        <v>PRESSOSTATO PARKER SCPSD-400-14-15 Range: 0... 400bar 0... 3626 PSI 30VDC</v>
      </c>
      <c r="C1485" s="15">
        <f>IFERROR(VLOOKUP(TAB_ENTRADA[[#This Row],[Cod_2_Entrada]],TAB_ESTOQUE[[Codigo]:[Referência Tec]],7,FALSE),"")</f>
        <v>0</v>
      </c>
      <c r="D1485" s="15" t="str">
        <f>VLOOKUP(TAB_ENTRADA[[#This Row],[Cod_2_Entrada]],TAB_ESTOQUE[[Codigo]:[Endereço2]],12,FALSE)</f>
        <v>B2203</v>
      </c>
      <c r="E1485" s="15">
        <f>SUM(TAB_ENTRADA[[#This Row],[20/05/2019]:[Colunas1]])</f>
        <v>2</v>
      </c>
      <c r="F1485" s="3"/>
      <c r="FK1485" s="3">
        <v>2</v>
      </c>
    </row>
    <row r="1486" spans="1:167" x14ac:dyDescent="0.25">
      <c r="A1486" s="5" t="s">
        <v>7708</v>
      </c>
      <c r="B1486" s="15" t="str">
        <f>VLOOKUP(TAB_ENTRADA[[#This Row],[Cod_2_Entrada]],TAB_ESTOQUE[[Codigo]:[Descrição Tecnica]],6,FALSE)</f>
        <v>ELEMENTO FILTRANTE REXROTH R928006872</v>
      </c>
      <c r="C1486" s="15">
        <f>IFERROR(VLOOKUP(TAB_ENTRADA[[#This Row],[Cod_2_Entrada]],TAB_ESTOQUE[[Codigo]:[Referência Tec]],7,FALSE),"")</f>
        <v>0</v>
      </c>
      <c r="D1486" s="15" t="str">
        <f>VLOOKUP(TAB_ENTRADA[[#This Row],[Cod_2_Entrada]],TAB_ESTOQUE[[Codigo]:[Endereço2]],12,FALSE)</f>
        <v>C1403</v>
      </c>
      <c r="E1486" s="15">
        <f>SUM(TAB_ENTRADA[[#This Row],[20/05/2019]:[Colunas1]])</f>
        <v>2</v>
      </c>
      <c r="F1486" s="3"/>
      <c r="FK1486" s="3">
        <v>2</v>
      </c>
    </row>
    <row r="1487" spans="1:167" x14ac:dyDescent="0.25">
      <c r="A1487" s="5" t="s">
        <v>7709</v>
      </c>
      <c r="B1487" s="15" t="str">
        <f>VLOOKUP(TAB_ENTRADA[[#This Row],[Cod_2_Entrada]],TAB_ESTOQUE[[Codigo]:[Descrição Tecnica]],6,FALSE)</f>
        <v>ELEMENTO FILTRANTE HYDAC 0330 R 010 ON</v>
      </c>
      <c r="C1487" s="15">
        <f>IFERROR(VLOOKUP(TAB_ENTRADA[[#This Row],[Cod_2_Entrada]],TAB_ESTOQUE[[Codigo]:[Referência Tec]],7,FALSE),"")</f>
        <v>0</v>
      </c>
      <c r="D1487" s="15" t="str">
        <f>VLOOKUP(TAB_ENTRADA[[#This Row],[Cod_2_Entrada]],TAB_ESTOQUE[[Codigo]:[Endereço2]],12,FALSE)</f>
        <v>C1403</v>
      </c>
      <c r="E1487" s="15">
        <f>SUM(TAB_ENTRADA[[#This Row],[20/05/2019]:[Colunas1]])</f>
        <v>1</v>
      </c>
      <c r="F1487" s="3"/>
      <c r="FK1487" s="3">
        <v>1</v>
      </c>
    </row>
    <row r="1488" spans="1:167" x14ac:dyDescent="0.25">
      <c r="A1488" s="5" t="s">
        <v>7710</v>
      </c>
      <c r="B1488" s="15" t="str">
        <f>VLOOKUP(TAB_ENTRADA[[#This Row],[Cod_2_Entrada]],TAB_ESTOQUE[[Codigo]:[Descrição Tecnica]],6,FALSE)</f>
        <v>ELEMENTO FILTRANTE HYDAC 0500 R 010 ON</v>
      </c>
      <c r="C1488" s="15">
        <f>IFERROR(VLOOKUP(TAB_ENTRADA[[#This Row],[Cod_2_Entrada]],TAB_ESTOQUE[[Codigo]:[Referência Tec]],7,FALSE),"")</f>
        <v>0</v>
      </c>
      <c r="D1488" s="15" t="str">
        <f>VLOOKUP(TAB_ENTRADA[[#This Row],[Cod_2_Entrada]],TAB_ESTOQUE[[Codigo]:[Endereço2]],12,FALSE)</f>
        <v>C1404</v>
      </c>
      <c r="E1488" s="15">
        <f>SUM(TAB_ENTRADA[[#This Row],[20/05/2019]:[Colunas1]])</f>
        <v>2</v>
      </c>
      <c r="F1488" s="3"/>
      <c r="FK1488" s="3">
        <v>2</v>
      </c>
    </row>
    <row r="1489" spans="1:174" x14ac:dyDescent="0.25">
      <c r="A1489" s="5" t="s">
        <v>7711</v>
      </c>
      <c r="B1489" s="15" t="str">
        <f>VLOOKUP(TAB_ENTRADA[[#This Row],[Cod_2_Entrada]],TAB_ESTOQUE[[Codigo]:[Descrição Tecnica]],6,FALSE)</f>
        <v>ELEMENTO FILTRANTE HRT06010 PH</v>
      </c>
      <c r="C1489" s="15">
        <f>IFERROR(VLOOKUP(TAB_ENTRADA[[#This Row],[Cod_2_Entrada]],TAB_ESTOQUE[[Codigo]:[Referência Tec]],7,FALSE),"")</f>
        <v>0</v>
      </c>
      <c r="D1489" s="15" t="str">
        <f>VLOOKUP(TAB_ENTRADA[[#This Row],[Cod_2_Entrada]],TAB_ESTOQUE[[Codigo]:[Endereço2]],12,FALSE)</f>
        <v>C1404</v>
      </c>
      <c r="E1489" s="15">
        <f>SUM(TAB_ENTRADA[[#This Row],[20/05/2019]:[Colunas1]])</f>
        <v>1</v>
      </c>
      <c r="F1489" s="3"/>
      <c r="FK1489" s="3">
        <v>1</v>
      </c>
    </row>
    <row r="1490" spans="1:174" x14ac:dyDescent="0.25">
      <c r="A1490" s="5" t="s">
        <v>7712</v>
      </c>
      <c r="B1490" s="15" t="str">
        <f>VLOOKUP(TAB_ENTRADA[[#This Row],[Cod_2_Entrada]],TAB_ESTOQUE[[Codigo]:[Descrição Tecnica]],6,FALSE)</f>
        <v>ELEMENTO FILTRANTE HYDAC N5DM002</v>
      </c>
      <c r="C1490" s="15">
        <f>IFERROR(VLOOKUP(TAB_ENTRADA[[#This Row],[Cod_2_Entrada]],TAB_ESTOQUE[[Codigo]:[Referência Tec]],7,FALSE),"")</f>
        <v>0</v>
      </c>
      <c r="D1490" s="15" t="str">
        <f>VLOOKUP(TAB_ENTRADA[[#This Row],[Cod_2_Entrada]],TAB_ESTOQUE[[Codigo]:[Endereço2]],12,FALSE)</f>
        <v>C1406</v>
      </c>
      <c r="E1490" s="15">
        <f>SUM(TAB_ENTRADA[[#This Row],[20/05/2019]:[Colunas1]])</f>
        <v>1</v>
      </c>
      <c r="F1490" s="3"/>
      <c r="FK1490" s="3">
        <v>1</v>
      </c>
    </row>
    <row r="1491" spans="1:174" x14ac:dyDescent="0.25">
      <c r="A1491" s="5" t="s">
        <v>7713</v>
      </c>
      <c r="B1491" s="15" t="str">
        <f>VLOOKUP(TAB_ENTRADA[[#This Row],[Cod_2_Entrada]],TAB_ESTOQUE[[Codigo]:[Descrição Tecnica]],6,FALSE)</f>
        <v>ELEMENTO FILTRANTE HYDAC 0160 RN 010 BN4HC</v>
      </c>
      <c r="C1491" s="15">
        <f>IFERROR(VLOOKUP(TAB_ENTRADA[[#This Row],[Cod_2_Entrada]],TAB_ESTOQUE[[Codigo]:[Referência Tec]],7,FALSE),"")</f>
        <v>0</v>
      </c>
      <c r="D1491" s="15" t="str">
        <f>VLOOKUP(TAB_ENTRADA[[#This Row],[Cod_2_Entrada]],TAB_ESTOQUE[[Codigo]:[Endereço2]],12,FALSE)</f>
        <v>C1406</v>
      </c>
      <c r="E1491" s="15">
        <f>SUM(TAB_ENTRADA[[#This Row],[20/05/2019]:[Colunas1]])</f>
        <v>4</v>
      </c>
      <c r="F1491" s="3"/>
      <c r="FK1491" s="3">
        <v>4</v>
      </c>
    </row>
    <row r="1492" spans="1:174" x14ac:dyDescent="0.25">
      <c r="A1492" s="5" t="s">
        <v>7714</v>
      </c>
      <c r="B1492" s="15" t="str">
        <f>VLOOKUP(TAB_ENTRADA[[#This Row],[Cod_2_Entrada]],TAB_ESTOQUE[[Codigo]:[Descrição Tecnica]],6,FALSE)</f>
        <v>ELEMENTO FILTRANTE HYDAC 0660 R 010 ON</v>
      </c>
      <c r="C1492" s="15">
        <f>IFERROR(VLOOKUP(TAB_ENTRADA[[#This Row],[Cod_2_Entrada]],TAB_ESTOQUE[[Codigo]:[Referência Tec]],7,FALSE),"")</f>
        <v>0</v>
      </c>
      <c r="D1492" s="15" t="str">
        <f>VLOOKUP(TAB_ENTRADA[[#This Row],[Cod_2_Entrada]],TAB_ESTOQUE[[Codigo]:[Endereço2]],12,FALSE)</f>
        <v>C1406</v>
      </c>
      <c r="E1492" s="15">
        <f>SUM(TAB_ENTRADA[[#This Row],[20/05/2019]:[Colunas1]])</f>
        <v>3</v>
      </c>
      <c r="F1492" s="3"/>
      <c r="FK1492" s="3">
        <v>3</v>
      </c>
    </row>
    <row r="1493" spans="1:174" x14ac:dyDescent="0.25">
      <c r="A1493" s="5" t="s">
        <v>7715</v>
      </c>
      <c r="B1493" s="15" t="str">
        <f>VLOOKUP(TAB_ENTRADA[[#This Row],[Cod_2_Entrada]],TAB_ESTOQUE[[Codigo]:[Descrição Tecnica]],6,FALSE)</f>
        <v>CORREIA 16 T10 -16mm ( GATES )</v>
      </c>
      <c r="C1493" s="15">
        <f>IFERROR(VLOOKUP(TAB_ENTRADA[[#This Row],[Cod_2_Entrada]],TAB_ESTOQUE[[Codigo]:[Referência Tec]],7,FALSE),"")</f>
        <v>0</v>
      </c>
      <c r="D1493" s="15" t="str">
        <f>VLOOKUP(TAB_ENTRADA[[#This Row],[Cod_2_Entrada]],TAB_ESTOQUE[[Codigo]:[Endereço2]],12,FALSE)</f>
        <v>S603</v>
      </c>
      <c r="E1493" s="15">
        <f>SUM(TAB_ENTRADA[[#This Row],[20/05/2019]:[Colunas1]])</f>
        <v>10</v>
      </c>
      <c r="F1493" s="3"/>
      <c r="FK1493" s="3">
        <v>10</v>
      </c>
    </row>
    <row r="1494" spans="1:174" x14ac:dyDescent="0.25">
      <c r="A1494" s="5" t="s">
        <v>7716</v>
      </c>
      <c r="B1494" s="15" t="str">
        <f>VLOOKUP(TAB_ENTRADA[[#This Row],[Cod_2_Entrada]],TAB_ESTOQUE[[Codigo]:[Descrição Tecnica]],6,FALSE)</f>
        <v>VALVULA HIDRAULICA PARKER REF: D91FCZ31HC2NKOL10XG262</v>
      </c>
      <c r="C1494" s="15">
        <f>IFERROR(VLOOKUP(TAB_ENTRADA[[#This Row],[Cod_2_Entrada]],TAB_ESTOQUE[[Codigo]:[Referência Tec]],7,FALSE),"")</f>
        <v>0</v>
      </c>
      <c r="D1494" s="15" t="str">
        <f>VLOOKUP(TAB_ENTRADA[[#This Row],[Cod_2_Entrada]],TAB_ESTOQUE[[Codigo]:[Endereço2]],12,FALSE)</f>
        <v>C2105</v>
      </c>
      <c r="E1494" s="15">
        <f>SUM(TAB_ENTRADA[[#This Row],[20/05/2019]:[Colunas1]])</f>
        <v>1</v>
      </c>
      <c r="F1494" s="3"/>
      <c r="FK1494" s="3">
        <v>1</v>
      </c>
    </row>
    <row r="1495" spans="1:174" x14ac:dyDescent="0.25">
      <c r="A1495" s="5" t="s">
        <v>7717</v>
      </c>
      <c r="B1495" s="15" t="str">
        <f>VLOOKUP(TAB_ENTRADA[[#This Row],[Cod_2_Entrada]],TAB_ESTOQUE[[Codigo]:[Descrição Tecnica]],6,FALSE)</f>
        <v>HF HIGH SPEED DISCONNECTION REPLACEMENT</v>
      </c>
      <c r="C1495" s="15">
        <f>IFERROR(VLOOKUP(TAB_ENTRADA[[#This Row],[Cod_2_Entrada]],TAB_ESTOQUE[[Codigo]:[Referência Tec]],7,FALSE),"")</f>
        <v>0</v>
      </c>
      <c r="D1495" s="15" t="str">
        <f>VLOOKUP(TAB_ENTRADA[[#This Row],[Cod_2_Entrada]],TAB_ESTOQUE[[Codigo]:[Endereço2]],12,FALSE)</f>
        <v>A1105</v>
      </c>
      <c r="E1495" s="15">
        <f>SUM(TAB_ENTRADA[[#This Row],[20/05/2019]:[Colunas1]])</f>
        <v>0</v>
      </c>
      <c r="F1495" s="3"/>
      <c r="FK1495" s="3">
        <v>0</v>
      </c>
    </row>
    <row r="1496" spans="1:174" x14ac:dyDescent="0.25">
      <c r="A1496" s="5" t="s">
        <v>7718</v>
      </c>
      <c r="B1496" s="15" t="str">
        <f>VLOOKUP(TAB_ENTRADA[[#This Row],[Cod_2_Entrada]],TAB_ESTOQUE[[Codigo]:[Descrição Tecnica]],6,FALSE)</f>
        <v>THYRATRON TQ 1/2 CHRISTAL</v>
      </c>
      <c r="C1496" s="15">
        <f>IFERROR(VLOOKUP(TAB_ENTRADA[[#This Row],[Cod_2_Entrada]],TAB_ESTOQUE[[Codigo]:[Referência Tec]],7,FALSE),"")</f>
        <v>0</v>
      </c>
      <c r="D1496" s="15" t="str">
        <f>VLOOKUP(TAB_ENTRADA[[#This Row],[Cod_2_Entrada]],TAB_ESTOQUE[[Codigo]:[Endereço2]],12,FALSE)</f>
        <v>A1105</v>
      </c>
      <c r="E1496" s="15">
        <f>SUM(TAB_ENTRADA[[#This Row],[20/05/2019]:[Colunas1]])</f>
        <v>1</v>
      </c>
      <c r="F1496" s="3"/>
      <c r="FK1496" s="3">
        <v>1</v>
      </c>
    </row>
    <row r="1497" spans="1:174" x14ac:dyDescent="0.25">
      <c r="A1497" s="5" t="s">
        <v>7719</v>
      </c>
      <c r="B1497" s="15" t="str">
        <f>VLOOKUP(TAB_ENTRADA[[#This Row],[Cod_2_Entrada]],TAB_ESTOQUE[[Codigo]:[Descrição Tecnica]],6,FALSE)</f>
        <v>FUSIVEL VIDRO RAP 5 X 20 10AMP 250V</v>
      </c>
      <c r="C1497" s="15">
        <f>IFERROR(VLOOKUP(TAB_ENTRADA[[#This Row],[Cod_2_Entrada]],TAB_ESTOQUE[[Codigo]:[Referência Tec]],7,FALSE),"")</f>
        <v>0</v>
      </c>
      <c r="D1497" s="15" t="str">
        <f>VLOOKUP(TAB_ENTRADA[[#This Row],[Cod_2_Entrada]],TAB_ESTOQUE[[Codigo]:[Endereço2]],12,FALSE)</f>
        <v>A1204</v>
      </c>
      <c r="E1497" s="15">
        <f>SUM(TAB_ENTRADA[[#This Row],[20/05/2019]:[Colunas1]])</f>
        <v>0</v>
      </c>
      <c r="F1497" s="3"/>
      <c r="FK1497" s="3">
        <v>0</v>
      </c>
    </row>
    <row r="1498" spans="1:174" x14ac:dyDescent="0.25">
      <c r="A1498" s="5" t="s">
        <v>7720</v>
      </c>
      <c r="B1498" s="15" t="str">
        <f>VLOOKUP(TAB_ENTRADA[[#This Row],[Cod_2_Entrada]],TAB_ESTOQUE[[Codigo]:[Descrição Tecnica]],6,FALSE)</f>
        <v>FUSIVEL CARTUCHO CERAMICO 10X38 20A 250V C/RETARDO</v>
      </c>
      <c r="C1498" s="15">
        <f>IFERROR(VLOOKUP(TAB_ENTRADA[[#This Row],[Cod_2_Entrada]],TAB_ESTOQUE[[Codigo]:[Referência Tec]],7,FALSE),"")</f>
        <v>0</v>
      </c>
      <c r="D1498" s="15" t="str">
        <f>VLOOKUP(TAB_ENTRADA[[#This Row],[Cod_2_Entrada]],TAB_ESTOQUE[[Codigo]:[Endereço2]],12,FALSE)</f>
        <v>A1204</v>
      </c>
      <c r="E1498" s="15">
        <f>SUM(TAB_ENTRADA[[#This Row],[20/05/2019]:[Colunas1]])</f>
        <v>30</v>
      </c>
      <c r="F1498" s="3"/>
      <c r="FK1498" s="3">
        <v>0</v>
      </c>
      <c r="FR1498" s="3">
        <v>30</v>
      </c>
    </row>
    <row r="1499" spans="1:174" x14ac:dyDescent="0.25">
      <c r="A1499" s="5" t="s">
        <v>7721</v>
      </c>
      <c r="B1499" s="15" t="str">
        <f>VLOOKUP(TAB_ENTRADA[[#This Row],[Cod_2_Entrada]],TAB_ESTOQUE[[Codigo]:[Descrição Tecnica]],6,FALSE)</f>
        <v>FUSIVEL CARTUCHO CERAMICO 6X32 8A 250V C/RETARDO</v>
      </c>
      <c r="C1499" s="15">
        <f>IFERROR(VLOOKUP(TAB_ENTRADA[[#This Row],[Cod_2_Entrada]],TAB_ESTOQUE[[Codigo]:[Referência Tec]],7,FALSE),"")</f>
        <v>0</v>
      </c>
      <c r="D1499" s="15" t="str">
        <f>VLOOKUP(TAB_ENTRADA[[#This Row],[Cod_2_Entrada]],TAB_ESTOQUE[[Codigo]:[Endereço2]],12,FALSE)</f>
        <v>A1204</v>
      </c>
      <c r="E1499" s="15">
        <f>SUM(TAB_ENTRADA[[#This Row],[20/05/2019]:[Colunas1]])</f>
        <v>0</v>
      </c>
      <c r="F1499" s="3"/>
      <c r="FK1499" s="3">
        <v>0</v>
      </c>
    </row>
    <row r="1500" spans="1:174" x14ac:dyDescent="0.25">
      <c r="A1500" s="5" t="s">
        <v>7722</v>
      </c>
      <c r="B1500" s="15" t="str">
        <f>VLOOKUP(TAB_ENTRADA[[#This Row],[Cod_2_Entrada]],TAB_ESTOQUE[[Codigo]:[Descrição Tecnica]],6,FALSE)</f>
        <v>FUSIVEL VIDRO RAP 5 X 20 6,3AMP 250V</v>
      </c>
      <c r="C1500" s="15">
        <f>IFERROR(VLOOKUP(TAB_ENTRADA[[#This Row],[Cod_2_Entrada]],TAB_ESTOQUE[[Codigo]:[Referência Tec]],7,FALSE),"")</f>
        <v>0</v>
      </c>
      <c r="D1500" s="15" t="str">
        <f>VLOOKUP(TAB_ENTRADA[[#This Row],[Cod_2_Entrada]],TAB_ESTOQUE[[Codigo]:[Endereço2]],12,FALSE)</f>
        <v>A1204</v>
      </c>
      <c r="E1500" s="15">
        <f>SUM(TAB_ENTRADA[[#This Row],[20/05/2019]:[Colunas1]])</f>
        <v>0</v>
      </c>
      <c r="F1500" s="3"/>
      <c r="FK1500" s="3">
        <v>0</v>
      </c>
    </row>
    <row r="1501" spans="1:174" x14ac:dyDescent="0.25">
      <c r="A1501" s="5" t="s">
        <v>7723</v>
      </c>
      <c r="B1501" s="15" t="str">
        <f>VLOOKUP(TAB_ENTRADA[[#This Row],[Cod_2_Entrada]],TAB_ESTOQUE[[Codigo]:[Descrição Tecnica]],6,FALSE)</f>
        <v>CILINDRO ADN-50-50-A-P-A-00050</v>
      </c>
      <c r="C1501" s="15">
        <f>IFERROR(VLOOKUP(TAB_ENTRADA[[#This Row],[Cod_2_Entrada]],TAB_ESTOQUE[[Codigo]:[Referência Tec]],7,FALSE),"")</f>
        <v>0</v>
      </c>
      <c r="D1501" s="15" t="str">
        <f>VLOOKUP(TAB_ENTRADA[[#This Row],[Cod_2_Entrada]],TAB_ESTOQUE[[Codigo]:[Endereço2]],12,FALSE)</f>
        <v>C1105</v>
      </c>
      <c r="E1501" s="15">
        <f>SUM(TAB_ENTRADA[[#This Row],[20/05/2019]:[Colunas1]])</f>
        <v>2</v>
      </c>
      <c r="F1501" s="3"/>
      <c r="FK1501" s="3">
        <v>2</v>
      </c>
    </row>
    <row r="1502" spans="1:174" x14ac:dyDescent="0.25">
      <c r="A1502" s="5" t="s">
        <v>7724</v>
      </c>
      <c r="B1502" s="15" t="str">
        <f>VLOOKUP(TAB_ENTRADA[[#This Row],[Cod_2_Entrada]],TAB_ESTOQUE[[Codigo]:[Descrição Tecnica]],6,FALSE)</f>
        <v xml:space="preserve">CAPACITOR CCG81-1 250PF 15KV 15KVA </v>
      </c>
      <c r="C1502" s="15">
        <f>IFERROR(VLOOKUP(TAB_ENTRADA[[#This Row],[Cod_2_Entrada]],TAB_ESTOQUE[[Codigo]:[Referência Tec]],7,FALSE),"")</f>
        <v>0</v>
      </c>
      <c r="D1502" s="15" t="str">
        <f>VLOOKUP(TAB_ENTRADA[[#This Row],[Cod_2_Entrada]],TAB_ESTOQUE[[Codigo]:[Endereço2]],12,FALSE)</f>
        <v>A1105</v>
      </c>
      <c r="E1502" s="15">
        <f>SUM(TAB_ENTRADA[[#This Row],[20/05/2019]:[Colunas1]])</f>
        <v>3</v>
      </c>
      <c r="F1502" s="3"/>
      <c r="FK1502" s="3">
        <v>3</v>
      </c>
    </row>
    <row r="1503" spans="1:174" x14ac:dyDescent="0.25">
      <c r="A1503" s="5" t="s">
        <v>7725</v>
      </c>
      <c r="B1503" s="15" t="str">
        <f>VLOOKUP(TAB_ENTRADA[[#This Row],[Cod_2_Entrada]],TAB_ESTOQUE[[Codigo]:[Descrição Tecnica]],6,FALSE)</f>
        <v>CILINDRO ADN-40-40-I-P-A</v>
      </c>
      <c r="C1503" s="15">
        <f>IFERROR(VLOOKUP(TAB_ENTRADA[[#This Row],[Cod_2_Entrada]],TAB_ESTOQUE[[Codigo]:[Referência Tec]],7,FALSE),"")</f>
        <v>0</v>
      </c>
      <c r="D1503" s="15" t="str">
        <f>VLOOKUP(TAB_ENTRADA[[#This Row],[Cod_2_Entrada]],TAB_ESTOQUE[[Codigo]:[Endereço2]],12,FALSE)</f>
        <v>C1105</v>
      </c>
      <c r="E1503" s="15">
        <f>SUM(TAB_ENTRADA[[#This Row],[20/05/2019]:[Colunas1]])</f>
        <v>1</v>
      </c>
      <c r="F1503" s="3"/>
      <c r="FK1503" s="3">
        <v>1</v>
      </c>
    </row>
    <row r="1504" spans="1:174" x14ac:dyDescent="0.25">
      <c r="A1504" s="5" t="s">
        <v>7726</v>
      </c>
      <c r="B1504" s="15" t="str">
        <f>VLOOKUP(TAB_ENTRADA[[#This Row],[Cod_2_Entrada]],TAB_ESTOQUE[[Codigo]:[Descrição Tecnica]],6,FALSE)</f>
        <v>CILINDRO  CWP-040714SE0-0015</v>
      </c>
      <c r="C1504" s="15">
        <f>IFERROR(VLOOKUP(TAB_ENTRADA[[#This Row],[Cod_2_Entrada]],TAB_ESTOQUE[[Codigo]:[Referência Tec]],7,FALSE),"")</f>
        <v>0</v>
      </c>
      <c r="D1504" s="15" t="str">
        <f>VLOOKUP(TAB_ENTRADA[[#This Row],[Cod_2_Entrada]],TAB_ESTOQUE[[Codigo]:[Endereço2]],12,FALSE)</f>
        <v>C1105</v>
      </c>
      <c r="E1504" s="15">
        <f>SUM(TAB_ENTRADA[[#This Row],[20/05/2019]:[Colunas1]])</f>
        <v>1</v>
      </c>
      <c r="F1504" s="3"/>
      <c r="FK1504" s="3">
        <v>1</v>
      </c>
    </row>
    <row r="1505" spans="1:180" x14ac:dyDescent="0.25">
      <c r="A1505" s="5" t="s">
        <v>7727</v>
      </c>
      <c r="B1505" s="15" t="str">
        <f>VLOOKUP(TAB_ENTRADA[[#This Row],[Cod_2_Entrada]],TAB_ESTOQUE[[Codigo]:[Descrição Tecnica]],6,FALSE)</f>
        <v>DISJUNTOR STECK SDZ C10 400V 6000A</v>
      </c>
      <c r="C1505" s="15">
        <f>IFERROR(VLOOKUP(TAB_ENTRADA[[#This Row],[Cod_2_Entrada]],TAB_ESTOQUE[[Codigo]:[Referência Tec]],7,FALSE),"")</f>
        <v>0</v>
      </c>
      <c r="D1505" s="15" t="str">
        <f>VLOOKUP(TAB_ENTRADA[[#This Row],[Cod_2_Entrada]],TAB_ESTOQUE[[Codigo]:[Endereço2]],12,FALSE)</f>
        <v>A2403</v>
      </c>
      <c r="E1505" s="15">
        <f>SUM(TAB_ENTRADA[[#This Row],[20/05/2019]:[Colunas1]])</f>
        <v>1</v>
      </c>
      <c r="F1505" s="3"/>
      <c r="FK1505" s="3">
        <v>1</v>
      </c>
    </row>
    <row r="1506" spans="1:180" x14ac:dyDescent="0.25">
      <c r="A1506" s="5" t="s">
        <v>7728</v>
      </c>
      <c r="B1506" s="15" t="str">
        <f>VLOOKUP(TAB_ENTRADA[[#This Row],[Cod_2_Entrada]],TAB_ESTOQUE[[Codigo]:[Descrição Tecnica]],6,FALSE)</f>
        <v>DISJUNTOR SCHNEIDER C16 3000 EZ9F33216</v>
      </c>
      <c r="C1506" s="15">
        <f>IFERROR(VLOOKUP(TAB_ENTRADA[[#This Row],[Cod_2_Entrada]],TAB_ESTOQUE[[Codigo]:[Referência Tec]],7,FALSE),"")</f>
        <v>0</v>
      </c>
      <c r="D1506" s="15" t="str">
        <f>VLOOKUP(TAB_ENTRADA[[#This Row],[Cod_2_Entrada]],TAB_ESTOQUE[[Codigo]:[Endereço2]],12,FALSE)</f>
        <v>A2403</v>
      </c>
      <c r="E1506" s="15">
        <f>SUM(TAB_ENTRADA[[#This Row],[20/05/2019]:[Colunas1]])</f>
        <v>1</v>
      </c>
      <c r="F1506" s="3"/>
      <c r="FK1506" s="3">
        <v>1</v>
      </c>
    </row>
    <row r="1507" spans="1:180" x14ac:dyDescent="0.25">
      <c r="A1507" s="5" t="s">
        <v>7729</v>
      </c>
      <c r="B1507" s="15" t="str">
        <f>VLOOKUP(TAB_ENTRADA[[#This Row],[Cod_2_Entrada]],TAB_ESTOQUE[[Codigo]:[Descrição Tecnica]],6,FALSE)</f>
        <v>CONTATOR JNG JZC4-22 (2NA=2NF) 660V 10A</v>
      </c>
      <c r="C1507" s="15">
        <f>IFERROR(VLOOKUP(TAB_ENTRADA[[#This Row],[Cod_2_Entrada]],TAB_ESTOQUE[[Codigo]:[Referência Tec]],7,FALSE),"")</f>
        <v>0</v>
      </c>
      <c r="D1507" s="15" t="str">
        <f>VLOOKUP(TAB_ENTRADA[[#This Row],[Cod_2_Entrada]],TAB_ESTOQUE[[Codigo]:[Endereço2]],12,FALSE)</f>
        <v>A1403</v>
      </c>
      <c r="E1507" s="15">
        <f>SUM(TAB_ENTRADA[[#This Row],[20/05/2019]:[Colunas1]])</f>
        <v>0</v>
      </c>
      <c r="F1507" s="3"/>
      <c r="FK1507" s="3">
        <v>0</v>
      </c>
    </row>
    <row r="1508" spans="1:180" x14ac:dyDescent="0.25">
      <c r="A1508" s="5" t="s">
        <v>7730</v>
      </c>
      <c r="B1508" s="15" t="str">
        <f>VLOOKUP(TAB_ENTRADA[[#This Row],[Cod_2_Entrada]],TAB_ESTOQUE[[Codigo]:[Descrição Tecnica]],6,FALSE)</f>
        <v>SENSOR MODELO: CS1-30P DC:5-30V. 200MA. 6W</v>
      </c>
      <c r="C1508" s="15">
        <f>IFERROR(VLOOKUP(TAB_ENTRADA[[#This Row],[Cod_2_Entrada]],TAB_ESTOQUE[[Codigo]:[Referência Tec]],7,FALSE),"")</f>
        <v>0</v>
      </c>
      <c r="D1508" s="15" t="str">
        <f>VLOOKUP(TAB_ENTRADA[[#This Row],[Cod_2_Entrada]],TAB_ESTOQUE[[Codigo]:[Endereço2]],12,FALSE)</f>
        <v>A2201</v>
      </c>
      <c r="E1508" s="15">
        <f>SUM(TAB_ENTRADA[[#This Row],[20/05/2019]:[Colunas1]])</f>
        <v>8</v>
      </c>
      <c r="F1508" s="3"/>
      <c r="FK1508" s="3">
        <v>8</v>
      </c>
    </row>
    <row r="1509" spans="1:180" x14ac:dyDescent="0.25">
      <c r="A1509" s="5" t="s">
        <v>7731</v>
      </c>
      <c r="B1509" s="15" t="str">
        <f>VLOOKUP(TAB_ENTRADA[[#This Row],[Cod_2_Entrada]],TAB_ESTOQUE[[Codigo]:[Descrição Tecnica]],6,FALSE)</f>
        <v xml:space="preserve">SENSOR SICK VSPI-4F2111 </v>
      </c>
      <c r="C1509" s="15">
        <f>IFERROR(VLOOKUP(TAB_ENTRADA[[#This Row],[Cod_2_Entrada]],TAB_ESTOQUE[[Codigo]:[Referência Tec]],7,FALSE),"")</f>
        <v>0</v>
      </c>
      <c r="D1509" s="15" t="str">
        <f>VLOOKUP(TAB_ENTRADA[[#This Row],[Cod_2_Entrada]],TAB_ESTOQUE[[Codigo]:[Endereço2]],12,FALSE)</f>
        <v>A1103</v>
      </c>
      <c r="E1509" s="15">
        <f>SUM(TAB_ENTRADA[[#This Row],[20/05/2019]:[Colunas1]])</f>
        <v>1</v>
      </c>
      <c r="F1509" s="3"/>
      <c r="FK1509" s="3">
        <v>1</v>
      </c>
    </row>
    <row r="1510" spans="1:180" x14ac:dyDescent="0.25">
      <c r="A1510" s="5" t="s">
        <v>7732</v>
      </c>
      <c r="B1510" s="15" t="str">
        <f>VLOOKUP(TAB_ENTRADA[[#This Row],[Cod_2_Entrada]],TAB_ESTOQUE[[Codigo]:[Descrição Tecnica]],6,FALSE)</f>
        <v>COOLER LUKMA LK-08038SE 80X80X38 mm 110V/220V</v>
      </c>
      <c r="C1510" s="15">
        <f>IFERROR(VLOOKUP(TAB_ENTRADA[[#This Row],[Cod_2_Entrada]],TAB_ESTOQUE[[Codigo]:[Referência Tec]],7,FALSE),"")</f>
        <v>0</v>
      </c>
      <c r="D1510" s="15" t="str">
        <f>VLOOKUP(TAB_ENTRADA[[#This Row],[Cod_2_Entrada]],TAB_ESTOQUE[[Codigo]:[Endereço2]],12,FALSE)</f>
        <v>B1106</v>
      </c>
      <c r="E1510" s="15">
        <f>SUM(TAB_ENTRADA[[#This Row],[20/05/2019]:[Colunas1]])</f>
        <v>2</v>
      </c>
      <c r="F1510" s="3"/>
      <c r="FK1510" s="3">
        <v>2</v>
      </c>
    </row>
    <row r="1511" spans="1:180" x14ac:dyDescent="0.25">
      <c r="A1511" s="5" t="s">
        <v>7733</v>
      </c>
      <c r="B1511" s="15" t="str">
        <f>VLOOKUP(TAB_ENTRADA[[#This Row],[Cod_2_Entrada]],TAB_ESTOQUE[[Codigo]:[Descrição Tecnica]],6,FALSE)</f>
        <v>FILTRO LUKMA MICRO VENTILADORES 80/80mm cod, 29043</v>
      </c>
      <c r="C1511" s="15">
        <f>IFERROR(VLOOKUP(TAB_ENTRADA[[#This Row],[Cod_2_Entrada]],TAB_ESTOQUE[[Codigo]:[Referência Tec]],7,FALSE),"")</f>
        <v>0</v>
      </c>
      <c r="D1511" s="15" t="str">
        <f>VLOOKUP(TAB_ENTRADA[[#This Row],[Cod_2_Entrada]],TAB_ESTOQUE[[Codigo]:[Endereço2]],12,FALSE)</f>
        <v>B1106</v>
      </c>
      <c r="E1511" s="15">
        <f>SUM(TAB_ENTRADA[[#This Row],[20/05/2019]:[Colunas1]])</f>
        <v>2</v>
      </c>
      <c r="F1511" s="3"/>
      <c r="FK1511" s="3">
        <v>2</v>
      </c>
    </row>
    <row r="1512" spans="1:180" x14ac:dyDescent="0.25">
      <c r="A1512" s="5" t="s">
        <v>7734</v>
      </c>
      <c r="B1512" s="15" t="str">
        <f>VLOOKUP(TAB_ENTRADA[[#This Row],[Cod_2_Entrada]],TAB_ESTOQUE[[Codigo]:[Descrição Tecnica]],6,FALSE)</f>
        <v>SENSOR SICK UM18-218161101  6048420</v>
      </c>
      <c r="C1512" s="15">
        <f>IFERROR(VLOOKUP(TAB_ENTRADA[[#This Row],[Cod_2_Entrada]],TAB_ESTOQUE[[Codigo]:[Referência Tec]],7,FALSE),"")</f>
        <v>0</v>
      </c>
      <c r="D1512" s="15" t="str">
        <f>VLOOKUP(TAB_ENTRADA[[#This Row],[Cod_2_Entrada]],TAB_ESTOQUE[[Codigo]:[Endereço2]],12,FALSE)</f>
        <v>A2206</v>
      </c>
      <c r="E1512" s="15">
        <f>SUM(TAB_ENTRADA[[#This Row],[20/05/2019]:[Colunas1]])</f>
        <v>2</v>
      </c>
      <c r="F1512" s="3"/>
      <c r="FK1512" s="3">
        <v>2</v>
      </c>
    </row>
    <row r="1513" spans="1:180" x14ac:dyDescent="0.25">
      <c r="A1513" s="5" t="s">
        <v>7735</v>
      </c>
      <c r="B1513" s="15" t="str">
        <f>VLOOKUP(TAB_ENTRADA[[#This Row],[Cod_2_Entrada]],TAB_ESTOQUE[[Codigo]:[Descrição Tecnica]],6,FALSE)</f>
        <v>PARAFUSOS SEM CABEÇA COM DIAMETRO 19,70MM X COMPRIMENTO 201,10MM EM AÇO 8.8 COM PASSE DE ROSCA 10G 3/4"</v>
      </c>
      <c r="C1513" s="15">
        <f>IFERROR(VLOOKUP(TAB_ENTRADA[[#This Row],[Cod_2_Entrada]],TAB_ESTOQUE[[Codigo]:[Referência Tec]],7,FALSE),"")</f>
        <v>0</v>
      </c>
      <c r="D1513" s="15" t="str">
        <f>VLOOKUP(TAB_ENTRADA[[#This Row],[Cod_2_Entrada]],TAB_ESTOQUE[[Codigo]:[Endereço2]],12,FALSE)</f>
        <v>F2303</v>
      </c>
      <c r="E1513" s="15">
        <f>SUM(TAB_ENTRADA[[#This Row],[20/05/2019]:[Colunas1]])</f>
        <v>8</v>
      </c>
      <c r="F1513" s="3"/>
      <c r="FL1513" s="3">
        <v>8</v>
      </c>
    </row>
    <row r="1514" spans="1:180" x14ac:dyDescent="0.25">
      <c r="A1514" s="5" t="s">
        <v>7736</v>
      </c>
      <c r="B1514" s="15" t="str">
        <f>VLOOKUP(TAB_ENTRADA[[#This Row],[Cod_2_Entrada]],TAB_ESTOQUE[[Codigo]:[Descrição Tecnica]],6,FALSE)</f>
        <v>BOMBA DE ISOCIANATO</v>
      </c>
      <c r="C1514" s="15">
        <f>IFERROR(VLOOKUP(TAB_ENTRADA[[#This Row],[Cod_2_Entrada]],TAB_ESTOQUE[[Codigo]:[Referência Tec]],7,FALSE),"")</f>
        <v>0</v>
      </c>
      <c r="D1514" s="15" t="str">
        <f>VLOOKUP(TAB_ENTRADA[[#This Row],[Cod_2_Entrada]],TAB_ESTOQUE[[Codigo]:[Endereço2]],12,FALSE)</f>
        <v>E2105</v>
      </c>
      <c r="E1514" s="15">
        <f>SUM(TAB_ENTRADA[[#This Row],[20/05/2019]:[Colunas1]])</f>
        <v>3</v>
      </c>
      <c r="F1514" s="3"/>
      <c r="FL1514" s="3">
        <v>3</v>
      </c>
    </row>
    <row r="1515" spans="1:180" x14ac:dyDescent="0.25">
      <c r="A1515" s="5" t="s">
        <v>7737</v>
      </c>
      <c r="B1515" s="15" t="str">
        <f>VLOOKUP(TAB_ENTRADA[[#This Row],[Cod_2_Entrada]],TAB_ESTOQUE[[Codigo]:[Descrição Tecnica]],6,FALSE)</f>
        <v>Rolamento DRS 85642 é a SKF, o número de referência na SKF é 22215EK. BLINDADO</v>
      </c>
      <c r="C1515" s="15">
        <f>IFERROR(VLOOKUP(TAB_ENTRADA[[#This Row],[Cod_2_Entrada]],TAB_ESTOQUE[[Codigo]:[Referência Tec]],7,FALSE),"")</f>
        <v>0</v>
      </c>
      <c r="D1515" s="15" t="str">
        <f>VLOOKUP(TAB_ENTRADA[[#This Row],[Cod_2_Entrada]],TAB_ESTOQUE[[Codigo]:[Endereço2]],12,FALSE)</f>
        <v>D1106</v>
      </c>
      <c r="E1515" s="15">
        <f>SUM(TAB_ENTRADA[[#This Row],[20/05/2019]:[Colunas1]])</f>
        <v>1</v>
      </c>
      <c r="F1515" s="3"/>
      <c r="FP1515" s="3">
        <v>1</v>
      </c>
    </row>
    <row r="1516" spans="1:180" x14ac:dyDescent="0.25">
      <c r="A1516" s="5" t="s">
        <v>7738</v>
      </c>
      <c r="B1516" s="15" t="str">
        <f>VLOOKUP(TAB_ENTRADA[[#This Row],[Cod_2_Entrada]],TAB_ESTOQUE[[Codigo]:[Descrição Tecnica]],6,FALSE)</f>
        <v>ENGATE RAPIDO (CONJ. CORPO+PINO) OLEO HIDRAULICO</v>
      </c>
      <c r="C1516" s="15">
        <f>IFERROR(VLOOKUP(TAB_ENTRADA[[#This Row],[Cod_2_Entrada]],TAB_ESTOQUE[[Codigo]:[Referência Tec]],7,FALSE),"")</f>
        <v>0</v>
      </c>
      <c r="D1516" s="15" t="str">
        <f>VLOOKUP(TAB_ENTRADA[[#This Row],[Cod_2_Entrada]],TAB_ESTOQUE[[Codigo]:[Endereço2]],12,FALSE)</f>
        <v>D1404</v>
      </c>
      <c r="E1516" s="15">
        <f>SUM(TAB_ENTRADA[[#This Row],[20/05/2019]:[Colunas1]])</f>
        <v>6</v>
      </c>
      <c r="F1516" s="3"/>
      <c r="FP1516" s="3">
        <v>6</v>
      </c>
    </row>
    <row r="1517" spans="1:180" x14ac:dyDescent="0.25">
      <c r="A1517" s="5" t="s">
        <v>7739</v>
      </c>
      <c r="B1517" s="15" t="str">
        <f>VLOOKUP(TAB_ENTRADA[[#This Row],[Cod_2_Entrada]],TAB_ESTOQUE[[Codigo]:[Descrição Tecnica]],6,FALSE)</f>
        <v>ABRAÇADEIRA DE AÇO INOX 1"</v>
      </c>
      <c r="C1517" s="15">
        <f>IFERROR(VLOOKUP(TAB_ENTRADA[[#This Row],[Cod_2_Entrada]],TAB_ESTOQUE[[Codigo]:[Referência Tec]],7,FALSE),"")</f>
        <v>0</v>
      </c>
      <c r="D1517" s="15" t="str">
        <f>VLOOKUP(TAB_ENTRADA[[#This Row],[Cod_2_Entrada]],TAB_ESTOQUE[[Codigo]:[Endereço2]],12,FALSE)</f>
        <v xml:space="preserve">ARMARIO </v>
      </c>
      <c r="E1517" s="15">
        <f>SUM(TAB_ENTRADA[[#This Row],[20/05/2019]:[Colunas1]])</f>
        <v>100</v>
      </c>
      <c r="F1517" s="3"/>
      <c r="FV1517" s="3">
        <v>100</v>
      </c>
    </row>
    <row r="1518" spans="1:180" x14ac:dyDescent="0.25">
      <c r="A1518" s="5" t="s">
        <v>7740</v>
      </c>
      <c r="B1518" s="15" t="str">
        <f>VLOOKUP(TAB_ENTRADA[[#This Row],[Cod_2_Entrada]],TAB_ESTOQUE[[Codigo]:[Descrição Tecnica]],6,FALSE)</f>
        <v>ABRAÇADEIRA DE AÇO INOX 3/4"</v>
      </c>
      <c r="C1518" s="15">
        <f>IFERROR(VLOOKUP(TAB_ENTRADA[[#This Row],[Cod_2_Entrada]],TAB_ESTOQUE[[Codigo]:[Referência Tec]],7,FALSE),"")</f>
        <v>0</v>
      </c>
      <c r="D1518" s="15" t="str">
        <f>VLOOKUP(TAB_ENTRADA[[#This Row],[Cod_2_Entrada]],TAB_ESTOQUE[[Codigo]:[Endereço2]],12,FALSE)</f>
        <v xml:space="preserve">ARMARIO </v>
      </c>
      <c r="E1518" s="15">
        <f>SUM(TAB_ENTRADA[[#This Row],[20/05/2019]:[Colunas1]])</f>
        <v>100</v>
      </c>
      <c r="F1518" s="3"/>
      <c r="FV1518" s="3">
        <v>100</v>
      </c>
    </row>
    <row r="1519" spans="1:180" x14ac:dyDescent="0.25">
      <c r="A1519" s="5" t="s">
        <v>7741</v>
      </c>
      <c r="B1519" s="15" t="str">
        <f>VLOOKUP(TAB_ENTRADA[[#This Row],[Cod_2_Entrada]],TAB_ESTOQUE[[Codigo]:[Descrição Tecnica]],6,FALSE)</f>
        <v>PISTOLA DESMOLDANTE - PD10</v>
      </c>
      <c r="C1519" s="15">
        <f>IFERROR(VLOOKUP(TAB_ENTRADA[[#This Row],[Cod_2_Entrada]],TAB_ESTOQUE[[Codigo]:[Referência Tec]],7,FALSE),"")</f>
        <v>0</v>
      </c>
      <c r="D1519" s="15" t="str">
        <f>VLOOKUP(TAB_ENTRADA[[#This Row],[Cod_2_Entrada]],TAB_ESTOQUE[[Codigo]:[Endereço2]],12,FALSE)</f>
        <v>E2304</v>
      </c>
      <c r="E1519" s="15">
        <f>SUM(TAB_ENTRADA[[#This Row],[20/05/2019]:[Colunas1]])</f>
        <v>2</v>
      </c>
      <c r="F1519" s="3"/>
      <c r="FT1519" s="3">
        <v>2</v>
      </c>
    </row>
    <row r="1520" spans="1:180" x14ac:dyDescent="0.25">
      <c r="A1520" s="5" t="s">
        <v>7742</v>
      </c>
      <c r="B1520" s="15" t="str">
        <f>VLOOKUP(TAB_ENTRADA[[#This Row],[Cod_2_Entrada]],TAB_ESTOQUE[[Codigo]:[Descrição Tecnica]],6,FALSE)</f>
        <v>CILINDRO DE GAS MAP PROPILENO NRC 260/325 M1003</v>
      </c>
      <c r="C1520" s="15">
        <f>IFERROR(VLOOKUP(TAB_ENTRADA[[#This Row],[Cod_2_Entrada]],TAB_ESTOQUE[[Codigo]:[Referência Tec]],7,FALSE),"")</f>
        <v>0</v>
      </c>
      <c r="D1520" s="15" t="str">
        <f>VLOOKUP(TAB_ENTRADA[[#This Row],[Cod_2_Entrada]],TAB_ESTOQUE[[Codigo]:[Endereço2]],12,FALSE)</f>
        <v xml:space="preserve">ARMARIO </v>
      </c>
      <c r="E1520" s="15">
        <f>SUM(TAB_ENTRADA[[#This Row],[20/05/2019]:[Colunas1]])</f>
        <v>4</v>
      </c>
      <c r="F1520" s="3"/>
      <c r="FX1520" s="3">
        <v>4</v>
      </c>
    </row>
    <row r="1521" spans="1:202" x14ac:dyDescent="0.25">
      <c r="A1521" s="5" t="s">
        <v>7743</v>
      </c>
      <c r="B1521" s="15" t="str">
        <f>VLOOKUP(TAB_ENTRADA[[#This Row],[Cod_2_Entrada]],TAB_ESTOQUE[[Codigo]:[Descrição Tecnica]],6,FALSE)</f>
        <v>CORREIA PVC DUAS TELAS ADERENTE 4970X26X2mm</v>
      </c>
      <c r="C1521" s="15">
        <f>IFERROR(VLOOKUP(TAB_ENTRADA[[#This Row],[Cod_2_Entrada]],TAB_ESTOQUE[[Codigo]:[Referência Tec]],7,FALSE),"")</f>
        <v>0</v>
      </c>
      <c r="D1521" s="15" t="str">
        <f>VLOOKUP(TAB_ENTRADA[[#This Row],[Cod_2_Entrada]],TAB_ESTOQUE[[Codigo]:[Endereço2]],12,FALSE)</f>
        <v>E2202</v>
      </c>
      <c r="E1521" s="15">
        <f>SUM(TAB_ENTRADA[[#This Row],[20/05/2019]:[Colunas1]])</f>
        <v>5</v>
      </c>
      <c r="F1521" s="3"/>
      <c r="FW1521" s="3">
        <v>5</v>
      </c>
    </row>
    <row r="1522" spans="1:202" x14ac:dyDescent="0.25">
      <c r="A1522" s="5" t="s">
        <v>7744</v>
      </c>
      <c r="B1522" s="15" t="str">
        <f>VLOOKUP(TAB_ENTRADA[[#This Row],[Cod_2_Entrada]],TAB_ESTOQUE[[Codigo]:[Descrição Tecnica]],6,FALSE)</f>
        <v>CONTATOR WEG CWB25-11-30C03 25A 24VDC</v>
      </c>
      <c r="C1522" s="15">
        <f>IFERROR(VLOOKUP(TAB_ENTRADA[[#This Row],[Cod_2_Entrada]],TAB_ESTOQUE[[Codigo]:[Referência Tec]],7,FALSE),"")</f>
        <v>0</v>
      </c>
      <c r="D1522" s="15" t="str">
        <f>VLOOKUP(TAB_ENTRADA[[#This Row],[Cod_2_Entrada]],TAB_ESTOQUE[[Codigo]:[Endereço2]],12,FALSE)</f>
        <v>A1403</v>
      </c>
      <c r="E1522" s="15">
        <f>SUM(TAB_ENTRADA[[#This Row],[20/05/2019]:[Colunas1]])</f>
        <v>2</v>
      </c>
      <c r="F1522" s="3"/>
      <c r="FR1522" s="3">
        <v>2</v>
      </c>
    </row>
    <row r="1523" spans="1:202" x14ac:dyDescent="0.25">
      <c r="A1523" s="5" t="s">
        <v>7745</v>
      </c>
      <c r="B1523" s="15" t="str">
        <f>VLOOKUP(TAB_ENTRADA[[#This Row],[Cod_2_Entrada]],TAB_ESTOQUE[[Codigo]:[Descrição Tecnica]],6,FALSE)</f>
        <v>BOMBA HIDRAULICA HYBE 10501019013 VK02250</v>
      </c>
      <c r="C1523" s="15">
        <f>IFERROR(VLOOKUP(TAB_ENTRADA[[#This Row],[Cod_2_Entrada]],TAB_ESTOQUE[[Codigo]:[Referência Tec]],7,FALSE),"")</f>
        <v>0</v>
      </c>
      <c r="D1523" s="15" t="str">
        <f>VLOOKUP(TAB_ENTRADA[[#This Row],[Cod_2_Entrada]],TAB_ESTOQUE[[Codigo]:[Endereço2]],12,FALSE)</f>
        <v>E2206</v>
      </c>
      <c r="E1523" s="15">
        <f>SUM(TAB_ENTRADA[[#This Row],[20/05/2019]:[Colunas1]])</f>
        <v>1</v>
      </c>
      <c r="F1523" s="3"/>
      <c r="FV1523" s="3">
        <v>1</v>
      </c>
    </row>
    <row r="1524" spans="1:202" x14ac:dyDescent="0.25">
      <c r="A1524" s="5" t="s">
        <v>7746</v>
      </c>
      <c r="B1524" s="15" t="str">
        <f>VLOOKUP(TAB_ENTRADA[[#This Row],[Cod_2_Entrada]],TAB_ESTOQUE[[Codigo]:[Descrição Tecnica]],6,FALSE)</f>
        <v>SENSOR IFL-8-18-11STP SCHMERSAL</v>
      </c>
      <c r="C1524" s="15">
        <f>IFERROR(VLOOKUP(TAB_ENTRADA[[#This Row],[Cod_2_Entrada]],TAB_ESTOQUE[[Codigo]:[Referência Tec]],7,FALSE),"")</f>
        <v>0</v>
      </c>
      <c r="D1524" s="15" t="str">
        <f>VLOOKUP(TAB_ENTRADA[[#This Row],[Cod_2_Entrada]],TAB_ESTOQUE[[Codigo]:[Endereço2]],12,FALSE)</f>
        <v>A2203</v>
      </c>
      <c r="E1524" s="15">
        <f>SUM(TAB_ENTRADA[[#This Row],[20/05/2019]:[Colunas1]])</f>
        <v>2</v>
      </c>
      <c r="F1524" s="3"/>
      <c r="FS1524" s="3">
        <v>2</v>
      </c>
    </row>
    <row r="1525" spans="1:202" x14ac:dyDescent="0.25">
      <c r="A1525" s="5" t="s">
        <v>7747</v>
      </c>
      <c r="B1525" s="15" t="str">
        <f>VLOOKUP(TAB_ENTRADA[[#This Row],[Cod_2_Entrada]],TAB_ESTOQUE[[Codigo]:[Descrição Tecnica]],6,FALSE)</f>
        <v>FUSIVEL DE VIDRO 5X10 10AMP</v>
      </c>
      <c r="C1525" s="15">
        <f>IFERROR(VLOOKUP(TAB_ENTRADA[[#This Row],[Cod_2_Entrada]],TAB_ESTOQUE[[Codigo]:[Referência Tec]],7,FALSE),"")</f>
        <v>0</v>
      </c>
      <c r="D1525" s="15" t="str">
        <f>VLOOKUP(TAB_ENTRADA[[#This Row],[Cod_2_Entrada]],TAB_ESTOQUE[[Codigo]:[Endereço2]],12,FALSE)</f>
        <v>A1204</v>
      </c>
      <c r="E1525" s="15">
        <f>SUM(TAB_ENTRADA[[#This Row],[20/05/2019]:[Colunas1]])</f>
        <v>50</v>
      </c>
      <c r="F1525" s="3"/>
      <c r="FQ1525" s="3">
        <v>50</v>
      </c>
    </row>
    <row r="1526" spans="1:202" x14ac:dyDescent="0.25">
      <c r="A1526" s="5" t="s">
        <v>7748</v>
      </c>
      <c r="B1526" s="15" t="str">
        <f>VLOOKUP(TAB_ENTRADA[[#This Row],[Cod_2_Entrada]],TAB_ESTOQUE[[Codigo]:[Descrição Tecnica]],6,FALSE)</f>
        <v>ELEMENTO FILTRANTE HYDAC  0160 RN 006 BN4HC</v>
      </c>
      <c r="C1526" s="15">
        <f>IFERROR(VLOOKUP(TAB_ENTRADA[[#This Row],[Cod_2_Entrada]],TAB_ESTOQUE[[Codigo]:[Referência Tec]],7,FALSE),"")</f>
        <v>0</v>
      </c>
      <c r="D1526" s="15" t="str">
        <f>VLOOKUP(TAB_ENTRADA[[#This Row],[Cod_2_Entrada]],TAB_ESTOQUE[[Codigo]:[Endereço2]],12,FALSE)</f>
        <v>C1406</v>
      </c>
      <c r="E1526" s="15">
        <f>SUM(TAB_ENTRADA[[#This Row],[20/05/2019]:[Colunas1]])</f>
        <v>1</v>
      </c>
      <c r="F1526" s="3"/>
      <c r="FU1526" s="3">
        <v>1</v>
      </c>
    </row>
    <row r="1527" spans="1:202" x14ac:dyDescent="0.25">
      <c r="A1527" s="5" t="s">
        <v>7749</v>
      </c>
      <c r="B1527" s="15" t="str">
        <f>VLOOKUP(TAB_ENTRADA[[#This Row],[Cod_2_Entrada]],TAB_ESTOQUE[[Codigo]:[Descrição Tecnica]],6,FALSE)</f>
        <v>FILTRO DE AR 80 130 H 10XL</v>
      </c>
      <c r="C1527" s="15">
        <f>IFERROR(VLOOKUP(TAB_ENTRADA[[#This Row],[Cod_2_Entrada]],TAB_ESTOQUE[[Codigo]:[Referência Tec]],7,FALSE),"")</f>
        <v>0</v>
      </c>
      <c r="D1527" s="15" t="str">
        <f>VLOOKUP(TAB_ENTRADA[[#This Row],[Cod_2_Entrada]],TAB_ESTOQUE[[Codigo]:[Endereço2]],12,FALSE)</f>
        <v>C2405</v>
      </c>
      <c r="E1527" s="15">
        <f>SUM(TAB_ENTRADA[[#This Row],[20/05/2019]:[Colunas1]])</f>
        <v>3</v>
      </c>
      <c r="F1527" s="3"/>
      <c r="FU1527" s="3">
        <v>3</v>
      </c>
    </row>
    <row r="1528" spans="1:202" x14ac:dyDescent="0.25">
      <c r="A1528" s="5" t="s">
        <v>7750</v>
      </c>
      <c r="B1528" s="15" t="str">
        <f>VLOOKUP(TAB_ENTRADA[[#This Row],[Cod_2_Entrada]],TAB_ESTOQUE[[Codigo]:[Descrição Tecnica]],6,FALSE)</f>
        <v>BARREIRA DE LUZ SICK C4000 STANDARD C40E-0703CB010</v>
      </c>
      <c r="C1528" s="15">
        <f>IFERROR(VLOOKUP(TAB_ENTRADA[[#This Row],[Cod_2_Entrada]],TAB_ESTOQUE[[Codigo]:[Referência Tec]],7,FALSE),"")</f>
        <v>0</v>
      </c>
      <c r="D1528" s="15" t="str">
        <f>VLOOKUP(TAB_ENTRADA[[#This Row],[Cod_2_Entrada]],TAB_ESTOQUE[[Codigo]:[Endereço2]],12,FALSE)</f>
        <v>B2101</v>
      </c>
      <c r="E1528" s="15">
        <f>SUM(TAB_ENTRADA[[#This Row],[20/05/2019]:[Colunas1]])</f>
        <v>1</v>
      </c>
      <c r="F1528" s="3"/>
      <c r="GA1528" s="3">
        <v>1</v>
      </c>
    </row>
    <row r="1529" spans="1:202" x14ac:dyDescent="0.25">
      <c r="A1529" s="5" t="s">
        <v>7751</v>
      </c>
      <c r="B1529" s="15" t="str">
        <f>VLOOKUP(TAB_ENTRADA[[#This Row],[Cod_2_Entrada]],TAB_ESTOQUE[[Codigo]:[Descrição Tecnica]],6,FALSE)</f>
        <v>CABEÇA LEITORA CMS-R-EXM-SC (EUCHNER)</v>
      </c>
      <c r="C1529" s="15">
        <f>IFERROR(VLOOKUP(TAB_ENTRADA[[#This Row],[Cod_2_Entrada]],TAB_ESTOQUE[[Codigo]:[Referência Tec]],7,FALSE),"")</f>
        <v>0</v>
      </c>
      <c r="D1529" s="15" t="str">
        <f>VLOOKUP(TAB_ENTRADA[[#This Row],[Cod_2_Entrada]],TAB_ESTOQUE[[Codigo]:[Endereço2]],12,FALSE)</f>
        <v>A2206</v>
      </c>
      <c r="E1529" s="15">
        <f>SUM(TAB_ENTRADA[[#This Row],[20/05/2019]:[Colunas1]])</f>
        <v>4</v>
      </c>
      <c r="F1529" s="3"/>
      <c r="GL1529" s="3">
        <v>4</v>
      </c>
    </row>
    <row r="1530" spans="1:202" x14ac:dyDescent="0.25">
      <c r="A1530" s="5" t="s">
        <v>7752</v>
      </c>
      <c r="B1530" s="15" t="str">
        <f>VLOOKUP(TAB_ENTRADA[[#This Row],[Cod_2_Entrada]],TAB_ESTOQUE[[Codigo]:[Descrição Tecnica]],6,FALSE)</f>
        <v>ATUADOR MAGNETICO. CMS-M-EF (EUCHNER)</v>
      </c>
      <c r="C1530" s="15">
        <f>IFERROR(VLOOKUP(TAB_ENTRADA[[#This Row],[Cod_2_Entrada]],TAB_ESTOQUE[[Codigo]:[Referência Tec]],7,FALSE),"")</f>
        <v>0</v>
      </c>
      <c r="D1530" s="15" t="str">
        <f>VLOOKUP(TAB_ENTRADA[[#This Row],[Cod_2_Entrada]],TAB_ESTOQUE[[Codigo]:[Endereço2]],12,FALSE)</f>
        <v>A2206</v>
      </c>
      <c r="E1530" s="15">
        <f>SUM(TAB_ENTRADA[[#This Row],[20/05/2019]:[Colunas1]])</f>
        <v>4</v>
      </c>
      <c r="F1530" s="3"/>
      <c r="GL1530" s="3">
        <v>4</v>
      </c>
    </row>
    <row r="1531" spans="1:202" x14ac:dyDescent="0.25">
      <c r="A1531" s="5" t="s">
        <v>7753</v>
      </c>
      <c r="B1531" s="15" t="str">
        <f>VLOOKUP(TAB_ENTRADA[[#This Row],[Cod_2_Entrada]],TAB_ESTOQUE[[Codigo]:[Descrição Tecnica]],6,FALSE)</f>
        <v>CAIXA DE PLASTICO PARA BOTOEIRA 3 BOTÕES</v>
      </c>
      <c r="C1531" s="15">
        <f>IFERROR(VLOOKUP(TAB_ENTRADA[[#This Row],[Cod_2_Entrada]],TAB_ESTOQUE[[Codigo]:[Referência Tec]],7,FALSE),"")</f>
        <v>0</v>
      </c>
      <c r="D1531" s="15" t="str">
        <f>VLOOKUP(TAB_ENTRADA[[#This Row],[Cod_2_Entrada]],TAB_ESTOQUE[[Codigo]:[Endereço2]],12,FALSE)</f>
        <v>B1304</v>
      </c>
      <c r="E1531" s="15">
        <f>SUM(TAB_ENTRADA[[#This Row],[20/05/2019]:[Colunas1]])</f>
        <v>2</v>
      </c>
      <c r="F1531" s="3"/>
      <c r="BL1531" s="3">
        <v>2</v>
      </c>
    </row>
    <row r="1532" spans="1:202" x14ac:dyDescent="0.25">
      <c r="A1532" s="5" t="s">
        <v>7754</v>
      </c>
      <c r="B1532" s="15" t="str">
        <f>VLOOKUP(TAB_ENTRADA[[#This Row],[Cod_2_Entrada]],TAB_ESTOQUE[[Codigo]:[Descrição Tecnica]],6,FALSE)</f>
        <v>DESENGRAXANTE ALCALINO</v>
      </c>
      <c r="C1532" s="15">
        <f>IFERROR(VLOOKUP(TAB_ENTRADA[[#This Row],[Cod_2_Entrada]],TAB_ESTOQUE[[Codigo]:[Referência Tec]],7,FALSE),"")</f>
        <v>0</v>
      </c>
      <c r="D1532" s="15" t="str">
        <f>VLOOKUP(TAB_ENTRADA[[#This Row],[Cod_2_Entrada]],TAB_ESTOQUE[[Codigo]:[Endereço2]],12,FALSE)</f>
        <v>QUIMICO</v>
      </c>
      <c r="E1532" s="15">
        <f>SUM(TAB_ENTRADA[[#This Row],[20/05/2019]:[Colunas1]])</f>
        <v>100</v>
      </c>
      <c r="F1532" s="3"/>
      <c r="GJ1532" s="3">
        <v>100</v>
      </c>
    </row>
    <row r="1533" spans="1:202" x14ac:dyDescent="0.25">
      <c r="A1533" s="5" t="s">
        <v>7755</v>
      </c>
      <c r="B1533" s="15" t="str">
        <f>VLOOKUP(TAB_ENTRADA[[#This Row],[Cod_2_Entrada]],TAB_ESTOQUE[[Codigo]:[Descrição Tecnica]],6,FALSE)</f>
        <v>RESISTENCIA KDI 3.5KW 220V 380V</v>
      </c>
      <c r="C1533" s="15">
        <f>IFERROR(VLOOKUP(TAB_ENTRADA[[#This Row],[Cod_2_Entrada]],TAB_ESTOQUE[[Codigo]:[Referência Tec]],7,FALSE),"")</f>
        <v>0</v>
      </c>
      <c r="D1533" s="15" t="str">
        <f>VLOOKUP(TAB_ENTRADA[[#This Row],[Cod_2_Entrada]],TAB_ESTOQUE[[Codigo]:[Endereço2]],12,FALSE)</f>
        <v>A1206</v>
      </c>
      <c r="E1533" s="15">
        <f>SUM(TAB_ENTRADA[[#This Row],[20/05/2019]:[Colunas1]])</f>
        <v>3</v>
      </c>
      <c r="F1533" s="3"/>
      <c r="GQ1533" s="3">
        <v>3</v>
      </c>
    </row>
    <row r="1534" spans="1:202" x14ac:dyDescent="0.25">
      <c r="A1534" s="5" t="s">
        <v>7756</v>
      </c>
      <c r="B1534" s="15" t="str">
        <f>VLOOKUP(TAB_ENTRADA[[#This Row],[Cod_2_Entrada]],TAB_ESTOQUE[[Codigo]:[Descrição Tecnica]],6,FALSE)</f>
        <v>BARREIRA SICK C4P-SA18031A00</v>
      </c>
      <c r="C1534" s="15">
        <f>IFERROR(VLOOKUP(TAB_ENTRADA[[#This Row],[Cod_2_Entrada]],TAB_ESTOQUE[[Codigo]:[Referência Tec]],7,FALSE),"")</f>
        <v>0</v>
      </c>
      <c r="D1534" s="15" t="str">
        <f>VLOOKUP(TAB_ENTRADA[[#This Row],[Cod_2_Entrada]],TAB_ESTOQUE[[Codigo]:[Endereço2]],12,FALSE)</f>
        <v>B2201</v>
      </c>
      <c r="E1534" s="15">
        <f>SUM(TAB_ENTRADA[[#This Row],[20/05/2019]:[Colunas1]])</f>
        <v>1</v>
      </c>
      <c r="F1534" s="3"/>
      <c r="GT1534" s="3">
        <v>1</v>
      </c>
    </row>
    <row r="1535" spans="1:202" x14ac:dyDescent="0.25">
      <c r="A1535" s="5" t="s">
        <v>7757</v>
      </c>
      <c r="B1535" s="15" t="str">
        <f>VLOOKUP(TAB_ENTRADA[[#This Row],[Cod_2_Entrada]],TAB_ESTOQUE[[Codigo]:[Descrição Tecnica]],6,FALSE)</f>
        <v>BARREIRA SICK C4P-EA18031C00</v>
      </c>
      <c r="C1535" s="15">
        <f>IFERROR(VLOOKUP(TAB_ENTRADA[[#This Row],[Cod_2_Entrada]],TAB_ESTOQUE[[Codigo]:[Referência Tec]],7,FALSE),"")</f>
        <v>0</v>
      </c>
      <c r="D1535" s="15" t="str">
        <f>VLOOKUP(TAB_ENTRADA[[#This Row],[Cod_2_Entrada]],TAB_ESTOQUE[[Codigo]:[Endereço2]],12,FALSE)</f>
        <v>B2201</v>
      </c>
      <c r="E1535" s="15">
        <f>SUM(TAB_ENTRADA[[#This Row],[20/05/2019]:[Colunas1]])</f>
        <v>1</v>
      </c>
      <c r="F1535" s="3"/>
      <c r="GT1535" s="3">
        <v>1</v>
      </c>
    </row>
    <row r="1536" spans="1:202" x14ac:dyDescent="0.25">
      <c r="A1536" s="5" t="s">
        <v>7758</v>
      </c>
      <c r="B1536" s="15" t="str">
        <f>VLOOKUP(TAB_ENTRADA[[#This Row],[Cod_2_Entrada]],TAB_ESTOQUE[[Codigo]:[Descrição Tecnica]],6,FALSE)</f>
        <v>SUPORTE SICK BEF-1SHABS004</v>
      </c>
      <c r="C1536" s="15">
        <f>IFERROR(VLOOKUP(TAB_ENTRADA[[#This Row],[Cod_2_Entrada]],TAB_ESTOQUE[[Codigo]:[Referência Tec]],7,FALSE),"")</f>
        <v>0</v>
      </c>
      <c r="D1536" s="15" t="str">
        <f>VLOOKUP(TAB_ENTRADA[[#This Row],[Cod_2_Entrada]],TAB_ESTOQUE[[Codigo]:[Endereço2]],12,FALSE)</f>
        <v>B2202</v>
      </c>
      <c r="E1536" s="15">
        <f>SUM(TAB_ENTRADA[[#This Row],[20/05/2019]:[Colunas1]])</f>
        <v>2</v>
      </c>
      <c r="F1536" s="3"/>
      <c r="GT1536" s="3">
        <v>2</v>
      </c>
    </row>
    <row r="1537" spans="1:211" x14ac:dyDescent="0.25">
      <c r="A1537" s="5" t="s">
        <v>7759</v>
      </c>
      <c r="B1537" s="15" t="str">
        <f>VLOOKUP(TAB_ENTRADA[[#This Row],[Cod_2_Entrada]],TAB_ESTOQUE[[Codigo]:[Descrição Tecnica]],6,FALSE)</f>
        <v>SYSTEM PLUG SP1, M12-8 W/O</v>
      </c>
      <c r="C1537" s="15">
        <f>IFERROR(VLOOKUP(TAB_ENTRADA[[#This Row],[Cod_2_Entrada]],TAB_ESTOQUE[[Codigo]:[Referência Tec]],7,FALSE),"")</f>
        <v>0</v>
      </c>
      <c r="D1537" s="15" t="str">
        <f>VLOOKUP(TAB_ENTRADA[[#This Row],[Cod_2_Entrada]],TAB_ESTOQUE[[Codigo]:[Endereço2]],12,FALSE)</f>
        <v>B2202</v>
      </c>
      <c r="E1537" s="15">
        <f>SUM(TAB_ENTRADA[[#This Row],[20/05/2019]:[Colunas1]])</f>
        <v>2</v>
      </c>
      <c r="F1537" s="3"/>
      <c r="GT1537" s="3">
        <v>2</v>
      </c>
    </row>
    <row r="1538" spans="1:211" x14ac:dyDescent="0.25">
      <c r="A1538" s="5" t="s">
        <v>7760</v>
      </c>
      <c r="B1538" s="15" t="str">
        <f>VLOOKUP(TAB_ENTRADA[[#This Row],[Cod_2_Entrada]],TAB_ESTOQUE[[Codigo]:[Descrição Tecnica]],6,FALSE)</f>
        <v>MICRO FIM DE CURSO 5A 125 250V ~ 10T85 KW11-3Z</v>
      </c>
      <c r="C1538" s="15">
        <f>IFERROR(VLOOKUP(TAB_ENTRADA[[#This Row],[Cod_2_Entrada]],TAB_ESTOQUE[[Codigo]:[Referência Tec]],7,FALSE),"")</f>
        <v>0</v>
      </c>
      <c r="D1538" s="15" t="str">
        <f>VLOOKUP(TAB_ENTRADA[[#This Row],[Cod_2_Entrada]],TAB_ESTOQUE[[Codigo]:[Endereço2]],12,FALSE)</f>
        <v>B1202</v>
      </c>
      <c r="E1538" s="15">
        <f>SUM(TAB_ENTRADA[[#This Row],[20/05/2019]:[Colunas1]])</f>
        <v>2</v>
      </c>
      <c r="F1538" s="3"/>
      <c r="GX1538" s="3">
        <v>2</v>
      </c>
    </row>
    <row r="1539" spans="1:211" x14ac:dyDescent="0.25">
      <c r="A1539" s="5" t="s">
        <v>7761</v>
      </c>
      <c r="B1539" s="15" t="str">
        <f>VLOOKUP(TAB_ENTRADA[[#This Row],[Cod_2_Entrada]],TAB_ESTOQUE[[Codigo]:[Descrição Tecnica]],6,FALSE)</f>
        <v>UNIDADE DE SERVIÇO COMBINADA P/ TRATAMENTO DE AR  - REF. MSB6-1/2-FC7:J3M1  (FESTO)</v>
      </c>
      <c r="C1539" s="15">
        <f>IFERROR(VLOOKUP(TAB_ENTRADA[[#This Row],[Cod_2_Entrada]],TAB_ESTOQUE[[Codigo]:[Referência Tec]],7,FALSE),"")</f>
        <v>0</v>
      </c>
      <c r="D1539" s="15" t="str">
        <f>VLOOKUP(TAB_ENTRADA[[#This Row],[Cod_2_Entrada]],TAB_ESTOQUE[[Codigo]:[Endereço2]],12,FALSE)</f>
        <v>C2403</v>
      </c>
      <c r="E1539" s="15">
        <f>SUM(TAB_ENTRADA[[#This Row],[20/05/2019]:[Colunas1]])</f>
        <v>2</v>
      </c>
      <c r="F1539" s="3"/>
      <c r="GY1539" s="3">
        <v>2</v>
      </c>
    </row>
    <row r="1540" spans="1:211" x14ac:dyDescent="0.25">
      <c r="A1540" s="5" t="s">
        <v>7762</v>
      </c>
      <c r="B1540" s="15" t="str">
        <f>VLOOKUP(TAB_ENTRADA[[#This Row],[Cod_2_Entrada]],TAB_ESTOQUE[[Codigo]:[Descrição Tecnica]],6,FALSE)</f>
        <v>VALVULA DE RETENÇÃO 1/2" MODELO: KA6012 (WERK-SCHOTT)</v>
      </c>
      <c r="C1540" s="15">
        <f>IFERROR(VLOOKUP(TAB_ENTRADA[[#This Row],[Cod_2_Entrada]],TAB_ESTOQUE[[Codigo]:[Referência Tec]],7,FALSE),"")</f>
        <v>0</v>
      </c>
      <c r="D1540" s="15" t="str">
        <f>VLOOKUP(TAB_ENTRADA[[#This Row],[Cod_2_Entrada]],TAB_ESTOQUE[[Codigo]:[Endereço2]],12,FALSE)</f>
        <v>D1303</v>
      </c>
      <c r="E1540" s="15">
        <f>SUM(TAB_ENTRADA[[#This Row],[20/05/2019]:[Colunas1]])</f>
        <v>1</v>
      </c>
      <c r="F1540" s="3"/>
      <c r="FK1540" s="3">
        <v>1</v>
      </c>
    </row>
    <row r="1541" spans="1:211" x14ac:dyDescent="0.25">
      <c r="A1541" s="5" t="s">
        <v>8050</v>
      </c>
      <c r="B1541" s="15" t="str">
        <f>VLOOKUP(TAB_ENTRADA[[#This Row],[Cod_2_Entrada]],TAB_ESTOQUE[[Codigo]:[Descrição Tecnica]],6,FALSE)</f>
        <v xml:space="preserve">TIRANTE B-1000-2
</v>
      </c>
      <c r="C1541" s="15">
        <f>IFERROR(VLOOKUP(TAB_ENTRADA[[#This Row],[Cod_2_Entrada]],TAB_ESTOQUE[[Codigo]:[Referência Tec]],7,FALSE),"")</f>
        <v>0</v>
      </c>
      <c r="D1541" s="15" t="str">
        <f>VLOOKUP(TAB_ENTRADA[[#This Row],[Cod_2_Entrada]],TAB_ESTOQUE[[Codigo]:[Endereço2]],12,FALSE)</f>
        <v>D1102</v>
      </c>
      <c r="E1541" s="15">
        <f>SUM(TAB_ENTRADA[[#This Row],[20/05/2019]:[Colunas1]])</f>
        <v>2</v>
      </c>
      <c r="F1541" s="3"/>
      <c r="GV1541" s="3">
        <v>2</v>
      </c>
    </row>
    <row r="1542" spans="1:211" x14ac:dyDescent="0.25">
      <c r="A1542" s="5" t="s">
        <v>8051</v>
      </c>
      <c r="B1542" s="15" t="str">
        <f>VLOOKUP(TAB_ENTRADA[[#This Row],[Cod_2_Entrada]],TAB_ESTOQUE[[Codigo]:[Descrição Tecnica]],6,FALSE)</f>
        <v>PORCA PLASTICA DE PARADA DE 3/4" A-1000</v>
      </c>
      <c r="C1542" s="15">
        <f>IFERROR(VLOOKUP(TAB_ENTRADA[[#This Row],[Cod_2_Entrada]],TAB_ESTOQUE[[Codigo]:[Referência Tec]],7,FALSE),"")</f>
        <v>0</v>
      </c>
      <c r="D1542" s="15" t="str">
        <f>VLOOKUP(TAB_ENTRADA[[#This Row],[Cod_2_Entrada]],TAB_ESTOQUE[[Codigo]:[Endereço2]],12,FALSE)</f>
        <v>D1102</v>
      </c>
      <c r="E1542" s="15">
        <f>SUM(TAB_ENTRADA[[#This Row],[20/05/2019]:[Colunas1]])</f>
        <v>4</v>
      </c>
      <c r="F1542" s="3"/>
      <c r="GV1542" s="3">
        <v>4</v>
      </c>
    </row>
    <row r="1543" spans="1:211" x14ac:dyDescent="0.25">
      <c r="A1543" s="5" t="s">
        <v>8052</v>
      </c>
      <c r="B1543" s="15" t="str">
        <f>VLOOKUP(TAB_ENTRADA[[#This Row],[Cod_2_Entrada]],TAB_ESTOQUE[[Codigo]:[Descrição Tecnica]],6,FALSE)</f>
        <v>BOTÃO EMERGENCIA ABB DSQC679 3HAC028357-025  CE3T-10R-02</v>
      </c>
      <c r="C1543" s="15">
        <f>IFERROR(VLOOKUP(TAB_ENTRADA[[#This Row],[Cod_2_Entrada]],TAB_ESTOQUE[[Codigo]:[Referência Tec]],7,FALSE),"")</f>
        <v>0</v>
      </c>
      <c r="D1543" s="15" t="str">
        <f>VLOOKUP(TAB_ENTRADA[[#This Row],[Cod_2_Entrada]],TAB_ESTOQUE[[Codigo]:[Endereço2]],12,FALSE)</f>
        <v>B2102</v>
      </c>
      <c r="E1543" s="15">
        <f>SUM(TAB_ENTRADA[[#This Row],[20/05/2019]:[Colunas1]])</f>
        <v>2</v>
      </c>
      <c r="F1543" s="3"/>
      <c r="GU1543" s="3">
        <v>2</v>
      </c>
    </row>
    <row r="1544" spans="1:211" x14ac:dyDescent="0.25">
      <c r="A1544" s="5" t="s">
        <v>8053</v>
      </c>
      <c r="B1544" s="15" t="str">
        <f>VLOOKUP(TAB_ENTRADA[[#This Row],[Cod_2_Entrada]],TAB_ESTOQUE[[Codigo]:[Descrição Tecnica]],6,FALSE)</f>
        <v>MEMBRANA KEYPAD FOR ABB ROBOT IRC5 FLEXPENDANT DSQC679 3HAC028357-02</v>
      </c>
      <c r="C1544" s="15">
        <f>IFERROR(VLOOKUP(TAB_ENTRADA[[#This Row],[Cod_2_Entrada]],TAB_ESTOQUE[[Codigo]:[Referência Tec]],7,FALSE),"")</f>
        <v>0</v>
      </c>
      <c r="D1544" s="15" t="str">
        <f>VLOOKUP(TAB_ENTRADA[[#This Row],[Cod_2_Entrada]],TAB_ESTOQUE[[Codigo]:[Endereço2]],12,FALSE)</f>
        <v>B2102</v>
      </c>
      <c r="E1544" s="15">
        <f>SUM(TAB_ENTRADA[[#This Row],[20/05/2019]:[Colunas1]])</f>
        <v>2</v>
      </c>
      <c r="F1544" s="3"/>
      <c r="GU1544" s="3">
        <v>2</v>
      </c>
    </row>
    <row r="1545" spans="1:211" x14ac:dyDescent="0.25">
      <c r="A1545" s="5" t="s">
        <v>8054</v>
      </c>
      <c r="B1545" s="15" t="str">
        <f>VLOOKUP(TAB_ENTRADA[[#This Row],[Cod_2_Entrada]],TAB_ESTOQUE[[Codigo]:[Descrição Tecnica]],6,FALSE)</f>
        <v>GUIA LINEAR THOMSON REF: 411N30B0</v>
      </c>
      <c r="C1545" s="15">
        <f>IFERROR(VLOOKUP(TAB_ENTRADA[[#This Row],[Cod_2_Entrada]],TAB_ESTOQUE[[Codigo]:[Referência Tec]],7,FALSE),"")</f>
        <v>0</v>
      </c>
      <c r="D1545" s="15" t="str">
        <f>VLOOKUP(TAB_ENTRADA[[#This Row],[Cod_2_Entrada]],TAB_ESTOQUE[[Codigo]:[Endereço2]],12,FALSE)</f>
        <v>D1105</v>
      </c>
      <c r="E1545" s="15">
        <f>SUM(TAB_ENTRADA[[#This Row],[20/05/2019]:[Colunas1]])</f>
        <v>1</v>
      </c>
      <c r="F1545" s="3"/>
      <c r="GU1545" s="3">
        <v>1</v>
      </c>
    </row>
    <row r="1546" spans="1:211" x14ac:dyDescent="0.25">
      <c r="A1546" s="5" t="s">
        <v>8055</v>
      </c>
      <c r="B1546" s="15" t="str">
        <f>VLOOKUP(TAB_ENTRADA[[#This Row],[Cod_2_Entrada]],TAB_ESTOQUE[[Codigo]:[Descrição Tecnica]],6,FALSE)</f>
        <v>ROLAMENTO  LINEAR MNR: R165171420 (2º OPÇÃO)</v>
      </c>
      <c r="C1546" s="15">
        <f>IFERROR(VLOOKUP(TAB_ENTRADA[[#This Row],[Cod_2_Entrada]],TAB_ESTOQUE[[Codigo]:[Referência Tec]],7,FALSE),"")</f>
        <v>0</v>
      </c>
      <c r="D1546" s="15" t="str">
        <f>VLOOKUP(TAB_ENTRADA[[#This Row],[Cod_2_Entrada]],TAB_ESTOQUE[[Codigo]:[Endereço2]],12,FALSE)</f>
        <v>D1105</v>
      </c>
      <c r="E1546" s="15">
        <f>SUM(TAB_ENTRADA[[#This Row],[20/05/2019]:[Colunas1]])</f>
        <v>8</v>
      </c>
      <c r="F1546" s="3"/>
      <c r="GU1546" s="3">
        <v>8</v>
      </c>
    </row>
    <row r="1547" spans="1:211" x14ac:dyDescent="0.25">
      <c r="A1547" s="5" t="s">
        <v>8056</v>
      </c>
      <c r="B1547" s="15" t="str">
        <f>VLOOKUP(TAB_ENTRADA[[#This Row],[Cod_2_Entrada]],TAB_ESTOQUE[[Codigo]:[Descrição Tecnica]],6,FALSE)</f>
        <v>CORREIA DENTADA HTD 339-3M-10MM  (EIXO 5)</v>
      </c>
      <c r="C1547" s="15">
        <f>IFERROR(VLOOKUP(TAB_ENTRADA[[#This Row],[Cod_2_Entrada]],TAB_ESTOQUE[[Codigo]:[Referência Tec]],7,FALSE),"")</f>
        <v>0</v>
      </c>
      <c r="D1547" s="15" t="str">
        <f>VLOOKUP(TAB_ENTRADA[[#This Row],[Cod_2_Entrada]],TAB_ESTOQUE[[Codigo]:[Endereço2]],12,FALSE)</f>
        <v>B2203</v>
      </c>
      <c r="E1547" s="15">
        <f>SUM(TAB_ENTRADA[[#This Row],[20/05/2019]:[Colunas1]])</f>
        <v>1</v>
      </c>
      <c r="F1547" s="3"/>
      <c r="FR1547" s="3">
        <v>1</v>
      </c>
    </row>
    <row r="1548" spans="1:211" x14ac:dyDescent="0.25">
      <c r="A1548" s="5" t="s">
        <v>8057</v>
      </c>
      <c r="B1548" s="15" t="str">
        <f>VLOOKUP(TAB_ENTRADA[[#This Row],[Cod_2_Entrada]],TAB_ESTOQUE[[Codigo]:[Descrição Tecnica]],6,FALSE)</f>
        <v>CORREIA DENTADA HTD SH 20 106 10MM  (EIXO6)</v>
      </c>
      <c r="C1548" s="15">
        <f>IFERROR(VLOOKUP(TAB_ENTRADA[[#This Row],[Cod_2_Entrada]],TAB_ESTOQUE[[Codigo]:[Referência Tec]],7,FALSE),"")</f>
        <v>0</v>
      </c>
      <c r="D1548" s="15" t="str">
        <f>VLOOKUP(TAB_ENTRADA[[#This Row],[Cod_2_Entrada]],TAB_ESTOQUE[[Codigo]:[Endereço2]],12,FALSE)</f>
        <v>B2203</v>
      </c>
      <c r="E1548" s="15">
        <f>SUM(TAB_ENTRADA[[#This Row],[20/05/2019]:[Colunas1]])</f>
        <v>2</v>
      </c>
      <c r="F1548" s="3"/>
      <c r="FR1548" s="3">
        <v>2</v>
      </c>
    </row>
    <row r="1549" spans="1:211" x14ac:dyDescent="0.25">
      <c r="A1549" s="5" t="s">
        <v>8058</v>
      </c>
      <c r="B1549" s="15" t="str">
        <f>VLOOKUP(TAB_ENTRADA[[#This Row],[Cod_2_Entrada]],TAB_ESTOQUE[[Codigo]:[Descrição Tecnica]],6,FALSE)</f>
        <v>VALVULA DUPLO PILOTO BDM 30 COD:1011.52.1.8</v>
      </c>
      <c r="C1549" s="15">
        <f>IFERROR(VLOOKUP(TAB_ENTRADA[[#This Row],[Cod_2_Entrada]],TAB_ESTOQUE[[Codigo]:[Referência Tec]],7,FALSE),"")</f>
        <v>0</v>
      </c>
      <c r="D1549" s="15" t="str">
        <f>VLOOKUP(TAB_ENTRADA[[#This Row],[Cod_2_Entrada]],TAB_ESTOQUE[[Codigo]:[Endereço2]],12,FALSE)</f>
        <v>E2302</v>
      </c>
      <c r="E1549" s="15">
        <f>SUM(TAB_ENTRADA[[#This Row],[20/05/2019]:[Colunas1]])</f>
        <v>2</v>
      </c>
      <c r="F1549" s="3"/>
      <c r="HC1549" s="3">
        <v>2</v>
      </c>
    </row>
    <row r="1550" spans="1:211" x14ac:dyDescent="0.25">
      <c r="A1550" s="5" t="s">
        <v>8059</v>
      </c>
      <c r="B1550" s="15" t="str">
        <f>VLOOKUP(TAB_ENTRADA[[#This Row],[Cod_2_Entrada]],TAB_ESTOQUE[[Codigo]:[Descrição Tecnica]],6,FALSE)</f>
        <v xml:space="preserve">CONJUNTO DIAFRAGMA POS.14/15  BDM 160 P/ TRANSFERÊNCIA 1/2" </v>
      </c>
      <c r="C1550" s="15">
        <f>IFERROR(VLOOKUP(TAB_ENTRADA[[#This Row],[Cod_2_Entrada]],TAB_ESTOQUE[[Codigo]:[Referência Tec]],7,FALSE),"")</f>
        <v>0</v>
      </c>
      <c r="D1550" s="15" t="str">
        <f>VLOOKUP(TAB_ENTRADA[[#This Row],[Cod_2_Entrada]],TAB_ESTOQUE[[Codigo]:[Endereço2]],12,FALSE)</f>
        <v>E2302</v>
      </c>
      <c r="E1550" s="15">
        <f>SUM(TAB_ENTRADA[[#This Row],[20/05/2019]:[Colunas1]])</f>
        <v>6</v>
      </c>
      <c r="F1550" s="3"/>
      <c r="HC1550" s="3">
        <v>6</v>
      </c>
    </row>
    <row r="1551" spans="1:211" x14ac:dyDescent="0.25">
      <c r="A1551" s="5" t="s">
        <v>8095</v>
      </c>
      <c r="B1551" s="15" t="str">
        <f>VLOOKUP(TAB_ENTRADA[[#This Row],[Cod_2_Entrada]],TAB_ESTOQUE[[Codigo]:[Descrição Tecnica]],6,FALSE)</f>
        <v>MOLA COMPRESSAO - A-1606</v>
      </c>
      <c r="C1551" s="15">
        <f>IFERROR(VLOOKUP(TAB_ENTRADA[[#This Row],[Cod_2_Entrada]],TAB_ESTOQUE[[Codigo]:[Referência Tec]],7,FALSE),"")</f>
        <v>0</v>
      </c>
      <c r="D1551" s="15" t="str">
        <f>VLOOKUP(TAB_ENTRADA[[#This Row],[Cod_2_Entrada]],TAB_ESTOQUE[[Codigo]:[Endereço2]],12,FALSE)</f>
        <v xml:space="preserve">ARMARIO </v>
      </c>
      <c r="E1551" s="15">
        <f>SUM(TAB_ENTRADA[[#This Row],[20/05/2019]:[Colunas1]])</f>
        <v>4</v>
      </c>
      <c r="F1551" s="3"/>
      <c r="FF1551" s="3">
        <v>2</v>
      </c>
      <c r="HC1551" s="3">
        <v>2</v>
      </c>
    </row>
    <row r="1552" spans="1:211" x14ac:dyDescent="0.25">
      <c r="A1552" s="5" t="s">
        <v>8098</v>
      </c>
      <c r="B1552" s="15" t="str">
        <f>VLOOKUP(TAB_ENTRADA[[#This Row],[Cod_2_Entrada]],TAB_ESTOQUE[[Codigo]:[Descrição Tecnica]],6,FALSE)</f>
        <v>GATILHO DE SAIDA - 5917-1 OUTLET POPPET TL-001016-1</v>
      </c>
      <c r="C1552" s="15">
        <f>IFERROR(VLOOKUP(TAB_ENTRADA[[#This Row],[Cod_2_Entrada]],TAB_ESTOQUE[[Codigo]:[Referência Tec]],7,FALSE),"")</f>
        <v>0</v>
      </c>
      <c r="D1552" s="15" t="str">
        <f>VLOOKUP(TAB_ENTRADA[[#This Row],[Cod_2_Entrada]],TAB_ESTOQUE[[Codigo]:[Endereço2]],12,FALSE)</f>
        <v xml:space="preserve">ARMARIO </v>
      </c>
      <c r="E1552" s="15">
        <f>SUM(TAB_ENTRADA[[#This Row],[20/05/2019]:[Colunas1]])</f>
        <v>4</v>
      </c>
      <c r="F1552" s="3"/>
      <c r="FF1552" s="3">
        <v>2</v>
      </c>
      <c r="HC1552" s="3">
        <v>2</v>
      </c>
    </row>
    <row r="1553" spans="1:215" x14ac:dyDescent="0.25">
      <c r="A1553" s="5" t="s">
        <v>8107</v>
      </c>
      <c r="B1553" s="15" t="str">
        <f>VLOOKUP(TAB_ENTRADA[[#This Row],[Cod_2_Entrada]],TAB_ESTOQUE[[Codigo]:[Descrição Tecnica]],6,FALSE)</f>
        <v>ENCAIXE – INSERTO DO INTENSIFICADOR  004382-1 COUNTRYOF ORIGIN</v>
      </c>
      <c r="C1553" s="15">
        <f>IFERROR(VLOOKUP(TAB_ENTRADA[[#This Row],[Cod_2_Entrada]],TAB_ESTOQUE[[Codigo]:[Referência Tec]],7,FALSE),"")</f>
        <v>0</v>
      </c>
      <c r="D1553" s="15" t="str">
        <f>VLOOKUP(TAB_ENTRADA[[#This Row],[Cod_2_Entrada]],TAB_ESTOQUE[[Codigo]:[Endereço2]],12,FALSE)</f>
        <v xml:space="preserve">ARMARIO </v>
      </c>
      <c r="E1553" s="15">
        <f>SUM(TAB_ENTRADA[[#This Row],[20/05/2019]:[Colunas1]])</f>
        <v>4</v>
      </c>
      <c r="F1553" s="3"/>
      <c r="FF1553" s="3">
        <v>2</v>
      </c>
      <c r="HC1553" s="3">
        <v>2</v>
      </c>
    </row>
    <row r="1554" spans="1:215" x14ac:dyDescent="0.25">
      <c r="A1554" s="5" t="s">
        <v>8113</v>
      </c>
      <c r="B1554" s="15" t="str">
        <f>VLOOKUP(TAB_ENTRADA[[#This Row],[Cod_2_Entrada]],TAB_ESTOQUE[[Codigo]:[Descrição Tecnica]],6,FALSE)</f>
        <v>VALVULA SOLENOIDE 5/2 VIAS COM BOBINA 24VDC</v>
      </c>
      <c r="C1554" s="15">
        <f>IFERROR(VLOOKUP(TAB_ENTRADA[[#This Row],[Cod_2_Entrada]],TAB_ESTOQUE[[Codigo]:[Referência Tec]],7,FALSE),"")</f>
        <v>0</v>
      </c>
      <c r="D1554" s="15" t="str">
        <f>VLOOKUP(TAB_ENTRADA[[#This Row],[Cod_2_Entrada]],TAB_ESTOQUE[[Codigo]:[Endereço2]],12,FALSE)</f>
        <v>C1104</v>
      </c>
      <c r="E1554" s="15">
        <f>SUM(TAB_ENTRADA[[#This Row],[20/05/2019]:[Colunas1]])</f>
        <v>4</v>
      </c>
      <c r="F1554" s="3"/>
      <c r="HC1554" s="3">
        <v>4</v>
      </c>
    </row>
    <row r="1555" spans="1:215" x14ac:dyDescent="0.25">
      <c r="A1555" s="5" t="s">
        <v>8124</v>
      </c>
      <c r="B1555" s="15" t="str">
        <f>VLOOKUP(TAB_ENTRADA[[#This Row],[Cod_2_Entrada]],TAB_ESTOQUE[[Codigo]:[Descrição Tecnica]],6,FALSE)</f>
        <v>GARRA MACIA TIPO VENTOSA COM ARMACAO DE AÇO REMOVIVEL F153 COM CONEXÃO FEMEAO PVC E FILTRO DE TELA PAA PROTEÇÃO REF&gt; PRCT153 1/2 PIAB B75</v>
      </c>
      <c r="C1555" s="15">
        <f>IFERROR(VLOOKUP(TAB_ENTRADA[[#This Row],[Cod_2_Entrada]],TAB_ESTOQUE[[Codigo]:[Referência Tec]],7,FALSE),"")</f>
        <v>0</v>
      </c>
      <c r="D1555" s="15" t="str">
        <f>VLOOKUP(TAB_ENTRADA[[#This Row],[Cod_2_Entrada]],TAB_ESTOQUE[[Codigo]:[Endereço2]],12,FALSE)</f>
        <v>C1102</v>
      </c>
      <c r="E1555" s="15">
        <f>SUM(TAB_ENTRADA[[#This Row],[20/05/2019]:[Colunas1]])</f>
        <v>5</v>
      </c>
      <c r="F1555" s="3"/>
      <c r="HF1555" s="3">
        <v>5</v>
      </c>
    </row>
    <row r="1556" spans="1:215" x14ac:dyDescent="0.25">
      <c r="A1556" s="5" t="s">
        <v>8148</v>
      </c>
      <c r="B1556" s="15" t="str">
        <f>VLOOKUP(TAB_ENTRADA[[#This Row],[Cod_2_Entrada]],TAB_ESTOQUE[[Codigo]:[Descrição Tecnica]],6,FALSE)</f>
        <v>VALVULA THERMOSTATIC VALVE AVTA 15 Size: G 1/2  Range:+ 25/+65°C Max. Water press.: + 16bar  Cap.tube: 2m Max. Sensor temp: 90°C</v>
      </c>
      <c r="C1556" s="15">
        <f>IFERROR(VLOOKUP(TAB_ENTRADA[[#This Row],[Cod_2_Entrada]],TAB_ESTOQUE[[Codigo]:[Referência Tec]],7,FALSE),"")</f>
        <v>0</v>
      </c>
      <c r="D1556" s="15" t="str">
        <f>VLOOKUP(TAB_ENTRADA[[#This Row],[Cod_2_Entrada]],TAB_ESTOQUE[[Codigo]:[Endereço2]],12,FALSE)</f>
        <v>B2203</v>
      </c>
      <c r="E1556" s="15">
        <f>SUM(TAB_ENTRADA[[#This Row],[20/05/2019]:[Colunas1]])</f>
        <v>1</v>
      </c>
      <c r="F1556" s="3"/>
      <c r="HE1556" s="3">
        <v>1</v>
      </c>
    </row>
    <row r="1557" spans="1:215" x14ac:dyDescent="0.25">
      <c r="A1557" s="5" t="s">
        <v>8160</v>
      </c>
      <c r="B1557" s="15" t="str">
        <f>VLOOKUP(TAB_ENTRADA[[#This Row],[Cod_2_Entrada]],TAB_ESTOQUE[[Codigo]:[Descrição Tecnica]],6,FALSE)</f>
        <v>TROCADOR DE CALOR DE PLACAS - HYDAC - HEX 5610 1 - NCM 8419.50.10</v>
      </c>
      <c r="C1557" s="15">
        <f>IFERROR(VLOOKUP(TAB_ENTRADA[[#This Row],[Cod_2_Entrada]],TAB_ESTOQUE[[Codigo]:[Referência Tec]],7,FALSE),"")</f>
        <v>0</v>
      </c>
      <c r="D1557" s="15" t="str">
        <f>VLOOKUP(TAB_ENTRADA[[#This Row],[Cod_2_Entrada]],TAB_ESTOQUE[[Codigo]:[Endereço2]],12,FALSE)</f>
        <v>D1103</v>
      </c>
      <c r="E1557" s="15">
        <f>SUM(TAB_ENTRADA[[#This Row],[20/05/2019]:[Colunas1]])</f>
        <v>1</v>
      </c>
      <c r="F1557" s="3"/>
      <c r="HF1557" s="3">
        <v>1</v>
      </c>
    </row>
    <row r="1558" spans="1:215" x14ac:dyDescent="0.25">
      <c r="A1558" s="5" t="s">
        <v>8161</v>
      </c>
      <c r="B1558" s="15" t="str">
        <f>VLOOKUP(TAB_ENTRADA[[#This Row],[Cod_2_Entrada]],TAB_ESTOQUE[[Codigo]:[Descrição Tecnica]],6,FALSE)</f>
        <v>CONJUNTO DE VALVULA HIDRAULICA DKZOR-AE-171-L5 10 ATOS  E-RI-AE-05F 10</v>
      </c>
      <c r="C1558" s="15">
        <f>IFERROR(VLOOKUP(TAB_ENTRADA[[#This Row],[Cod_2_Entrada]],TAB_ESTOQUE[[Codigo]:[Referência Tec]],7,FALSE),"")</f>
        <v>0</v>
      </c>
      <c r="D1558" s="15" t="str">
        <f>VLOOKUP(TAB_ENTRADA[[#This Row],[Cod_2_Entrada]],TAB_ESTOQUE[[Codigo]:[Endereço2]],12,FALSE)</f>
        <v>C2202</v>
      </c>
      <c r="E1558" s="15">
        <f>SUM(TAB_ENTRADA[[#This Row],[20/05/2019]:[Colunas1]])</f>
        <v>1</v>
      </c>
      <c r="F1558" s="3"/>
      <c r="HG1558" s="3">
        <v>1</v>
      </c>
    </row>
    <row r="1559" spans="1:215" x14ac:dyDescent="0.25">
      <c r="A1559" s="5" t="s">
        <v>8169</v>
      </c>
      <c r="B1559" s="15" t="str">
        <f>VLOOKUP(TAB_ENTRADA[[#This Row],[Cod_2_Entrada]],TAB_ESTOQUE[[Codigo]:[Descrição Tecnica]],6,FALSE)</f>
        <v>ANTIVIBRATÓRIO COXIM 3/8</v>
      </c>
      <c r="C1559" s="15">
        <f>IFERROR(VLOOKUP(TAB_ENTRADA[[#This Row],[Cod_2_Entrada]],TAB_ESTOQUE[[Codigo]:[Referência Tec]],7,FALSE),"")</f>
        <v>0</v>
      </c>
      <c r="D1559" s="15" t="str">
        <f>VLOOKUP(TAB_ENTRADA[[#This Row],[Cod_2_Entrada]],TAB_ESTOQUE[[Codigo]:[Endereço2]],12,FALSE)</f>
        <v>D2302</v>
      </c>
      <c r="E1559" s="15">
        <f>SUM(TAB_ENTRADA[[#This Row],[20/05/2019]:[Colunas1]])</f>
        <v>6</v>
      </c>
      <c r="F1559" s="3"/>
      <c r="FF1559" s="3">
        <v>1</v>
      </c>
      <c r="HF1559" s="3">
        <v>5</v>
      </c>
    </row>
    <row r="1560" spans="1:215" x14ac:dyDescent="0.25">
      <c r="A1560" s="5" t="s">
        <v>8170</v>
      </c>
      <c r="B1560" s="15" t="str">
        <f>VLOOKUP(TAB_ENTRADA[[#This Row],[Cod_2_Entrada]],TAB_ESTOQUE[[Codigo]:[Descrição Tecnica]],6,FALSE)</f>
        <v>PISTOLA AUTOMATICA AIR PRO 1.4 GRACO PART NO. 24A749  SERIES B22A</v>
      </c>
      <c r="C1560" s="15">
        <f>IFERROR(VLOOKUP(TAB_ENTRADA[[#This Row],[Cod_2_Entrada]],TAB_ESTOQUE[[Codigo]:[Referência Tec]],7,FALSE),"")</f>
        <v>0</v>
      </c>
      <c r="D1560" s="15" t="str">
        <f>VLOOKUP(TAB_ENTRADA[[#This Row],[Cod_2_Entrada]],TAB_ESTOQUE[[Codigo]:[Endereço2]],12,FALSE)</f>
        <v>E2303</v>
      </c>
      <c r="E1560" s="15">
        <f>SUM(TAB_ENTRADA[[#This Row],[20/05/2019]:[Colunas1]])</f>
        <v>2</v>
      </c>
      <c r="F1560" s="3"/>
      <c r="HD1560" s="3">
        <v>2</v>
      </c>
    </row>
    <row r="1561" spans="1:215" x14ac:dyDescent="0.25">
      <c r="A1561" s="5" t="s">
        <v>8171</v>
      </c>
      <c r="B1561" s="15" t="str">
        <f>VLOOKUP(TAB_ENTRADA[[#This Row],[Cod_2_Entrada]],TAB_ESTOQUE[[Codigo]:[Descrição Tecnica]],6,FALSE)</f>
        <v>KIT VED.P/CIL. REPARO ESPECIAL-VITON OC:3479 COD- 22 EXACTCONTROL</v>
      </c>
      <c r="C1561" s="15">
        <f>IFERROR(VLOOKUP(TAB_ENTRADA[[#This Row],[Cod_2_Entrada]],TAB_ESTOQUE[[Codigo]:[Referência Tec]],7,FALSE),"")</f>
        <v>0</v>
      </c>
      <c r="D1561" s="15" t="str">
        <f>VLOOKUP(TAB_ENTRADA[[#This Row],[Cod_2_Entrada]],TAB_ESTOQUE[[Codigo]:[Endereço2]],12,FALSE)</f>
        <v>D1204</v>
      </c>
      <c r="E1561" s="15">
        <f>SUM(TAB_ENTRADA[[#This Row],[20/05/2019]:[Colunas1]])</f>
        <v>2</v>
      </c>
      <c r="F1561" s="3"/>
      <c r="FQ1561" s="3">
        <v>2</v>
      </c>
    </row>
    <row r="1562" spans="1:215" x14ac:dyDescent="0.25">
      <c r="A1562" s="5" t="s">
        <v>8179</v>
      </c>
      <c r="B1562" s="15" t="str">
        <f>VLOOKUP(TAB_ENTRADA[[#This Row],[Cod_2_Entrada]],TAB_ESTOQUE[[Codigo]:[Descrição Tecnica]],6,FALSE)</f>
        <v>KIT COMPLET, ESFERA, ASSENTO, DIAFRAGMA TEFLON BOMBA HUSKY 515/716 3/4 E 1/2-2061</v>
      </c>
      <c r="C1562" s="15">
        <f>IFERROR(VLOOKUP(TAB_ENTRADA[[#This Row],[Cod_2_Entrada]],TAB_ESTOQUE[[Codigo]:[Referência Tec]],7,FALSE),"")</f>
        <v>0</v>
      </c>
      <c r="D1562" s="15" t="str">
        <f>VLOOKUP(TAB_ENTRADA[[#This Row],[Cod_2_Entrada]],TAB_ESTOQUE[[Codigo]:[Endereço2]],12,FALSE)</f>
        <v>D1204</v>
      </c>
      <c r="E1562" s="15">
        <f>SUM(TAB_ENTRADA[[#This Row],[20/05/2019]:[Colunas1]])</f>
        <v>1</v>
      </c>
      <c r="F1562" s="3"/>
      <c r="HG1562" s="3">
        <v>1</v>
      </c>
    </row>
    <row r="1563" spans="1:215" x14ac:dyDescent="0.25">
      <c r="A1563" s="5" t="s">
        <v>8180</v>
      </c>
      <c r="B1563" s="15" t="str">
        <f>VLOOKUP(TAB_ENTRADA[[#This Row],[Cod_2_Entrada]],TAB_ESTOQUE[[Codigo]:[Descrição Tecnica]],6,FALSE)</f>
        <v>Mang 1/4 5800 psi c/ term dko + adaptador c/ 1000 + manta de fibra de vidro e silicone - NCM 4009.22.10 Conexão DKO 12s M20 X 1,5</v>
      </c>
      <c r="C1563" s="15">
        <f>IFERROR(VLOOKUP(TAB_ENTRADA[[#This Row],[Cod_2_Entrada]],TAB_ESTOQUE[[Codigo]:[Referência Tec]],7,FALSE),"")</f>
        <v>0</v>
      </c>
      <c r="D1563" s="15" t="str">
        <f>VLOOKUP(TAB_ENTRADA[[#This Row],[Cod_2_Entrada]],TAB_ESTOQUE[[Codigo]:[Endereço2]],12,FALSE)</f>
        <v>SUPORTE</v>
      </c>
      <c r="E1563" s="15">
        <f>SUM(TAB_ENTRADA[[#This Row],[20/05/2019]:[Colunas1]])</f>
        <v>6</v>
      </c>
      <c r="F1563" s="3"/>
      <c r="HG1563" s="3">
        <v>6</v>
      </c>
    </row>
    <row r="1564" spans="1:215" x14ac:dyDescent="0.25">
      <c r="A1564" s="5" t="s">
        <v>8181</v>
      </c>
      <c r="B1564" s="15" t="str">
        <f>VLOOKUP(TAB_ENTRADA[[#This Row],[Cod_2_Entrada]],TAB_ESTOQUE[[Codigo]:[Descrição Tecnica]],6,FALSE)</f>
        <v>CARCAÇA BIG BLUE VAZÃO ATE 3.000 LITROS/HORA DIMENSÕES EXTERNA DA CARCAÇA: ALTURA 300mm, LARGURA 110mm ENTRADA E SAIDA 3/4"</v>
      </c>
      <c r="C1564" s="15">
        <f>IFERROR(VLOOKUP(TAB_ENTRADA[[#This Row],[Cod_2_Entrada]],TAB_ESTOQUE[[Codigo]:[Referência Tec]],7,FALSE),"")</f>
        <v>0</v>
      </c>
      <c r="D1564" s="15" t="str">
        <f>VLOOKUP(TAB_ENTRADA[[#This Row],[Cod_2_Entrada]],TAB_ESTOQUE[[Codigo]:[Endereço2]],12,FALSE)</f>
        <v>C1401</v>
      </c>
      <c r="E1564" s="15">
        <f>SUM(TAB_ENTRADA[[#This Row],[20/05/2019]:[Colunas1]])</f>
        <v>2</v>
      </c>
      <c r="F1564" s="3"/>
      <c r="HG1564" s="3">
        <v>2</v>
      </c>
    </row>
    <row r="1565" spans="1:215" x14ac:dyDescent="0.25">
      <c r="A1565" s="5" t="s">
        <v>8182</v>
      </c>
      <c r="B1565" s="15" t="str">
        <f>VLOOKUP(TAB_ENTRADA[[#This Row],[Cod_2_Entrada]],TAB_ESTOQUE[[Codigo]:[Descrição Tecnica]],6,FALSE)</f>
        <v>Abraçadeira de Nylon Branco View Tech 4,8 x 380mm 1</v>
      </c>
      <c r="C1565" s="15">
        <f>IFERROR(VLOOKUP(TAB_ENTRADA[[#This Row],[Cod_2_Entrada]],TAB_ESTOQUE[[Codigo]:[Referência Tec]],7,FALSE),"")</f>
        <v>0</v>
      </c>
      <c r="D1565" s="15" t="str">
        <f>VLOOKUP(TAB_ENTRADA[[#This Row],[Cod_2_Entrada]],TAB_ESTOQUE[[Codigo]:[Endereço2]],12,FALSE)</f>
        <v xml:space="preserve">ARMARIO </v>
      </c>
      <c r="E1565" s="15">
        <f>SUM(TAB_ENTRADA[[#This Row],[20/05/2019]:[Colunas1]])</f>
        <v>1000</v>
      </c>
      <c r="F1565" s="3"/>
      <c r="HF1565" s="3">
        <v>1000</v>
      </c>
    </row>
    <row r="1566" spans="1:215" x14ac:dyDescent="0.25">
      <c r="A1566" s="5" t="s">
        <v>8209</v>
      </c>
      <c r="B1566" s="15" t="str">
        <f>VLOOKUP(TAB_ENTRADA[[#This Row],[Cod_2_Entrada]],TAB_ESTOQUE[[Codigo]:[Descrição Tecnica]],6,FALSE)</f>
        <v xml:space="preserve">Abraçadeira Nylon 200 Mm X 2,5 Preta Thompson </v>
      </c>
      <c r="C1566" s="15">
        <f>IFERROR(VLOOKUP(TAB_ENTRADA[[#This Row],[Cod_2_Entrada]],TAB_ESTOQUE[[Codigo]:[Referência Tec]],7,FALSE),"")</f>
        <v>0</v>
      </c>
      <c r="D1566" s="15" t="str">
        <f>VLOOKUP(TAB_ENTRADA[[#This Row],[Cod_2_Entrada]],TAB_ESTOQUE[[Codigo]:[Endereço2]],12,FALSE)</f>
        <v xml:space="preserve">ARMARIO </v>
      </c>
      <c r="E1566" s="15">
        <f>SUM(TAB_ENTRADA[[#This Row],[20/05/2019]:[Colunas1]])</f>
        <v>1000</v>
      </c>
      <c r="F1566" s="3"/>
      <c r="HF1566" s="3">
        <v>1000</v>
      </c>
    </row>
    <row r="1567" spans="1:215" x14ac:dyDescent="0.25">
      <c r="A1567" s="5" t="s">
        <v>8225</v>
      </c>
      <c r="B1567" s="15">
        <f>VLOOKUP(TAB_ENTRADA[[#This Row],[Cod_2_Entrada]],TAB_ESTOQUE[[Codigo]:[Descrição Tecnica]],6,FALSE)</f>
        <v>0</v>
      </c>
      <c r="C1567" s="15">
        <f>IFERROR(VLOOKUP(TAB_ENTRADA[[#This Row],[Cod_2_Entrada]],TAB_ESTOQUE[[Codigo]:[Referência Tec]],7,FALSE),"")</f>
        <v>0</v>
      </c>
      <c r="D1567" s="15">
        <f>VLOOKUP(TAB_ENTRADA[[#This Row],[Cod_2_Entrada]],TAB_ESTOQUE[[Codigo]:[Endereço2]],12,FALSE)</f>
        <v>0</v>
      </c>
      <c r="E1567" s="15">
        <f>SUM(TAB_ENTRADA[[#This Row],[20/05/2019]:[Colunas1]])</f>
        <v>0</v>
      </c>
      <c r="F1567" s="3"/>
    </row>
    <row r="1568" spans="1:215" x14ac:dyDescent="0.25">
      <c r="A1568" s="5" t="s">
        <v>8229</v>
      </c>
      <c r="B1568" s="15">
        <f>VLOOKUP(TAB_ENTRADA[[#This Row],[Cod_2_Entrada]],TAB_ESTOQUE[[Codigo]:[Descrição Tecnica]],6,FALSE)</f>
        <v>0</v>
      </c>
      <c r="C1568" s="15">
        <f>IFERROR(VLOOKUP(TAB_ENTRADA[[#This Row],[Cod_2_Entrada]],TAB_ESTOQUE[[Codigo]:[Referência Tec]],7,FALSE),"")</f>
        <v>0</v>
      </c>
      <c r="D1568" s="15">
        <f>VLOOKUP(TAB_ENTRADA[[#This Row],[Cod_2_Entrada]],TAB_ESTOQUE[[Codigo]:[Endereço2]],12,FALSE)</f>
        <v>0</v>
      </c>
      <c r="E1568" s="15">
        <f>SUM(TAB_ENTRADA[[#This Row],[20/05/2019]:[Colunas1]])</f>
        <v>0</v>
      </c>
      <c r="F1568" s="3"/>
    </row>
    <row r="1569" spans="1:6" x14ac:dyDescent="0.25">
      <c r="A1569" s="5" t="s">
        <v>8270</v>
      </c>
      <c r="B1569" s="15">
        <f>VLOOKUP(TAB_ENTRADA[[#This Row],[Cod_2_Entrada]],TAB_ESTOQUE[[Codigo]:[Descrição Tecnica]],6,FALSE)</f>
        <v>0</v>
      </c>
      <c r="C1569" s="15">
        <f>IFERROR(VLOOKUP(TAB_ENTRADA[[#This Row],[Cod_2_Entrada]],TAB_ESTOQUE[[Codigo]:[Referência Tec]],7,FALSE),"")</f>
        <v>0</v>
      </c>
      <c r="D1569" s="15">
        <f>VLOOKUP(TAB_ENTRADA[[#This Row],[Cod_2_Entrada]],TAB_ESTOQUE[[Codigo]:[Endereço2]],12,FALSE)</f>
        <v>0</v>
      </c>
      <c r="E1569" s="15">
        <f>SUM(TAB_ENTRADA[[#This Row],[20/05/2019]:[Colunas1]])</f>
        <v>0</v>
      </c>
      <c r="F1569" s="3"/>
    </row>
    <row r="1570" spans="1:6" x14ac:dyDescent="0.25">
      <c r="A1570" s="5" t="s">
        <v>8271</v>
      </c>
      <c r="B1570" s="15">
        <f>VLOOKUP(TAB_ENTRADA[[#This Row],[Cod_2_Entrada]],TAB_ESTOQUE[[Codigo]:[Descrição Tecnica]],6,FALSE)</f>
        <v>0</v>
      </c>
      <c r="C1570" s="15">
        <f>IFERROR(VLOOKUP(TAB_ENTRADA[[#This Row],[Cod_2_Entrada]],TAB_ESTOQUE[[Codigo]:[Referência Tec]],7,FALSE),"")</f>
        <v>0</v>
      </c>
      <c r="D1570" s="15">
        <f>VLOOKUP(TAB_ENTRADA[[#This Row],[Cod_2_Entrada]],TAB_ESTOQUE[[Codigo]:[Endereço2]],12,FALSE)</f>
        <v>0</v>
      </c>
      <c r="E1570" s="15">
        <f>SUM(TAB_ENTRADA[[#This Row],[20/05/2019]:[Colunas1]])</f>
        <v>0</v>
      </c>
      <c r="F1570" s="3"/>
    </row>
    <row r="1571" spans="1:6" x14ac:dyDescent="0.25">
      <c r="A1571" s="5" t="s">
        <v>8272</v>
      </c>
      <c r="B1571" s="15">
        <f>VLOOKUP(TAB_ENTRADA[[#This Row],[Cod_2_Entrada]],TAB_ESTOQUE[[Codigo]:[Descrição Tecnica]],6,FALSE)</f>
        <v>0</v>
      </c>
      <c r="C1571" s="15">
        <f>IFERROR(VLOOKUP(TAB_ENTRADA[[#This Row],[Cod_2_Entrada]],TAB_ESTOQUE[[Codigo]:[Referência Tec]],7,FALSE),"")</f>
        <v>0</v>
      </c>
      <c r="D1571" s="15">
        <f>VLOOKUP(TAB_ENTRADA[[#This Row],[Cod_2_Entrada]],TAB_ESTOQUE[[Codigo]:[Endereço2]],12,FALSE)</f>
        <v>0</v>
      </c>
      <c r="E1571" s="15">
        <f>SUM(TAB_ENTRADA[[#This Row],[20/05/2019]:[Colunas1]])</f>
        <v>0</v>
      </c>
      <c r="F1571" s="3"/>
    </row>
    <row r="1572" spans="1:6" x14ac:dyDescent="0.25">
      <c r="A1572" s="5" t="s">
        <v>8273</v>
      </c>
      <c r="B1572" s="15">
        <f>VLOOKUP(TAB_ENTRADA[[#This Row],[Cod_2_Entrada]],TAB_ESTOQUE[[Codigo]:[Descrição Tecnica]],6,FALSE)</f>
        <v>0</v>
      </c>
      <c r="C1572" s="15">
        <f>IFERROR(VLOOKUP(TAB_ENTRADA[[#This Row],[Cod_2_Entrada]],TAB_ESTOQUE[[Codigo]:[Referência Tec]],7,FALSE),"")</f>
        <v>0</v>
      </c>
      <c r="D1572" s="15">
        <f>VLOOKUP(TAB_ENTRADA[[#This Row],[Cod_2_Entrada]],TAB_ESTOQUE[[Codigo]:[Endereço2]],12,FALSE)</f>
        <v>0</v>
      </c>
      <c r="E1572" s="15">
        <f>SUM(TAB_ENTRADA[[#This Row],[20/05/2019]:[Colunas1]])</f>
        <v>0</v>
      </c>
      <c r="F1572" s="3"/>
    </row>
    <row r="1573" spans="1:6" x14ac:dyDescent="0.25">
      <c r="A1573" s="5" t="s">
        <v>8274</v>
      </c>
      <c r="B1573" s="15">
        <f>VLOOKUP(TAB_ENTRADA[[#This Row],[Cod_2_Entrada]],TAB_ESTOQUE[[Codigo]:[Descrição Tecnica]],6,FALSE)</f>
        <v>0</v>
      </c>
      <c r="C1573" s="15">
        <f>IFERROR(VLOOKUP(TAB_ENTRADA[[#This Row],[Cod_2_Entrada]],TAB_ESTOQUE[[Codigo]:[Referência Tec]],7,FALSE),"")</f>
        <v>0</v>
      </c>
      <c r="D1573" s="15">
        <f>VLOOKUP(TAB_ENTRADA[[#This Row],[Cod_2_Entrada]],TAB_ESTOQUE[[Codigo]:[Endereço2]],12,FALSE)</f>
        <v>0</v>
      </c>
      <c r="E1573" s="15">
        <f>SUM(TAB_ENTRADA[[#This Row],[20/05/2019]:[Colunas1]])</f>
        <v>0</v>
      </c>
      <c r="F1573" s="3"/>
    </row>
    <row r="1574" spans="1:6" x14ac:dyDescent="0.25">
      <c r="A1574" s="5" t="s">
        <v>8275</v>
      </c>
      <c r="B1574" s="15">
        <f>VLOOKUP(TAB_ENTRADA[[#This Row],[Cod_2_Entrada]],TAB_ESTOQUE[[Codigo]:[Descrição Tecnica]],6,FALSE)</f>
        <v>0</v>
      </c>
      <c r="C1574" s="15">
        <f>IFERROR(VLOOKUP(TAB_ENTRADA[[#This Row],[Cod_2_Entrada]],TAB_ESTOQUE[[Codigo]:[Referência Tec]],7,FALSE),"")</f>
        <v>0</v>
      </c>
      <c r="D1574" s="15">
        <f>VLOOKUP(TAB_ENTRADA[[#This Row],[Cod_2_Entrada]],TAB_ESTOQUE[[Codigo]:[Endereço2]],12,FALSE)</f>
        <v>0</v>
      </c>
      <c r="E1574" s="15">
        <f>SUM(TAB_ENTRADA[[#This Row],[20/05/2019]:[Colunas1]])</f>
        <v>0</v>
      </c>
      <c r="F1574" s="3"/>
    </row>
    <row r="1575" spans="1:6" x14ac:dyDescent="0.25">
      <c r="A1575" s="5" t="s">
        <v>8276</v>
      </c>
      <c r="B1575" s="15">
        <f>VLOOKUP(TAB_ENTRADA[[#This Row],[Cod_2_Entrada]],TAB_ESTOQUE[[Codigo]:[Descrição Tecnica]],6,FALSE)</f>
        <v>0</v>
      </c>
      <c r="C1575" s="15">
        <f>IFERROR(VLOOKUP(TAB_ENTRADA[[#This Row],[Cod_2_Entrada]],TAB_ESTOQUE[[Codigo]:[Referência Tec]],7,FALSE),"")</f>
        <v>0</v>
      </c>
      <c r="D1575" s="15">
        <f>VLOOKUP(TAB_ENTRADA[[#This Row],[Cod_2_Entrada]],TAB_ESTOQUE[[Codigo]:[Endereço2]],12,FALSE)</f>
        <v>0</v>
      </c>
      <c r="E1575" s="15">
        <f>SUM(TAB_ENTRADA[[#This Row],[20/05/2019]:[Colunas1]])</f>
        <v>0</v>
      </c>
      <c r="F1575" s="3"/>
    </row>
    <row r="1576" spans="1:6" x14ac:dyDescent="0.25">
      <c r="A1576" s="5" t="s">
        <v>8277</v>
      </c>
      <c r="B1576" s="15">
        <f>VLOOKUP(TAB_ENTRADA[[#This Row],[Cod_2_Entrada]],TAB_ESTOQUE[[Codigo]:[Descrição Tecnica]],6,FALSE)</f>
        <v>0</v>
      </c>
      <c r="C1576" s="15">
        <f>IFERROR(VLOOKUP(TAB_ENTRADA[[#This Row],[Cod_2_Entrada]],TAB_ESTOQUE[[Codigo]:[Referência Tec]],7,FALSE),"")</f>
        <v>0</v>
      </c>
      <c r="D1576" s="15">
        <f>VLOOKUP(TAB_ENTRADA[[#This Row],[Cod_2_Entrada]],TAB_ESTOQUE[[Codigo]:[Endereço2]],12,FALSE)</f>
        <v>0</v>
      </c>
      <c r="E1576" s="15">
        <f>SUM(TAB_ENTRADA[[#This Row],[20/05/2019]:[Colunas1]])</f>
        <v>0</v>
      </c>
      <c r="F1576" s="3"/>
    </row>
    <row r="1577" spans="1:6" x14ac:dyDescent="0.25">
      <c r="A1577" s="5" t="s">
        <v>8278</v>
      </c>
      <c r="B1577" s="15">
        <f>VLOOKUP(TAB_ENTRADA[[#This Row],[Cod_2_Entrada]],TAB_ESTOQUE[[Codigo]:[Descrição Tecnica]],6,FALSE)</f>
        <v>0</v>
      </c>
      <c r="C1577" s="15">
        <f>IFERROR(VLOOKUP(TAB_ENTRADA[[#This Row],[Cod_2_Entrada]],TAB_ESTOQUE[[Codigo]:[Referência Tec]],7,FALSE),"")</f>
        <v>0</v>
      </c>
      <c r="D1577" s="15">
        <f>VLOOKUP(TAB_ENTRADA[[#This Row],[Cod_2_Entrada]],TAB_ESTOQUE[[Codigo]:[Endereço2]],12,FALSE)</f>
        <v>0</v>
      </c>
      <c r="E1577" s="15">
        <f>SUM(TAB_ENTRADA[[#This Row],[20/05/2019]:[Colunas1]])</f>
        <v>0</v>
      </c>
      <c r="F1577" s="3"/>
    </row>
    <row r="1578" spans="1:6" x14ac:dyDescent="0.25">
      <c r="A1578" s="5" t="s">
        <v>8279</v>
      </c>
      <c r="B1578" s="15">
        <f>VLOOKUP(TAB_ENTRADA[[#This Row],[Cod_2_Entrada]],TAB_ESTOQUE[[Codigo]:[Descrição Tecnica]],6,FALSE)</f>
        <v>0</v>
      </c>
      <c r="C1578" s="15">
        <f>IFERROR(VLOOKUP(TAB_ENTRADA[[#This Row],[Cod_2_Entrada]],TAB_ESTOQUE[[Codigo]:[Referência Tec]],7,FALSE),"")</f>
        <v>0</v>
      </c>
      <c r="D1578" s="15">
        <f>VLOOKUP(TAB_ENTRADA[[#This Row],[Cod_2_Entrada]],TAB_ESTOQUE[[Codigo]:[Endereço2]],12,FALSE)</f>
        <v>0</v>
      </c>
      <c r="E1578" s="15">
        <f>SUM(TAB_ENTRADA[[#This Row],[20/05/2019]:[Colunas1]])</f>
        <v>0</v>
      </c>
      <c r="F1578" s="3"/>
    </row>
    <row r="1579" spans="1:6" x14ac:dyDescent="0.25">
      <c r="A1579" s="5" t="s">
        <v>8280</v>
      </c>
      <c r="B1579" s="15">
        <f>VLOOKUP(TAB_ENTRADA[[#This Row],[Cod_2_Entrada]],TAB_ESTOQUE[[Codigo]:[Descrição Tecnica]],6,FALSE)</f>
        <v>0</v>
      </c>
      <c r="C1579" s="15">
        <f>IFERROR(VLOOKUP(TAB_ENTRADA[[#This Row],[Cod_2_Entrada]],TAB_ESTOQUE[[Codigo]:[Referência Tec]],7,FALSE),"")</f>
        <v>0</v>
      </c>
      <c r="D1579" s="15">
        <f>VLOOKUP(TAB_ENTRADA[[#This Row],[Cod_2_Entrada]],TAB_ESTOQUE[[Codigo]:[Endereço2]],12,FALSE)</f>
        <v>0</v>
      </c>
      <c r="E1579" s="15">
        <f>SUM(TAB_ENTRADA[[#This Row],[20/05/2019]:[Colunas1]])</f>
        <v>0</v>
      </c>
      <c r="F1579" s="3"/>
    </row>
    <row r="1580" spans="1:6" x14ac:dyDescent="0.25">
      <c r="A1580" s="5" t="s">
        <v>8306</v>
      </c>
      <c r="B1580" s="15">
        <f>VLOOKUP(TAB_ENTRADA[[#This Row],[Cod_2_Entrada]],TAB_ESTOQUE[[Codigo]:[Descrição Tecnica]],6,FALSE)</f>
        <v>0</v>
      </c>
      <c r="C1580" s="15">
        <f>IFERROR(VLOOKUP(TAB_ENTRADA[[#This Row],[Cod_2_Entrada]],TAB_ESTOQUE[[Codigo]:[Referência Tec]],7,FALSE),"")</f>
        <v>0</v>
      </c>
      <c r="D1580" s="15">
        <f>VLOOKUP(TAB_ENTRADA[[#This Row],[Cod_2_Entrada]],TAB_ESTOQUE[[Codigo]:[Endereço2]],12,FALSE)</f>
        <v>0</v>
      </c>
      <c r="E1580" s="15">
        <f>SUM(TAB_ENTRADA[[#This Row],[20/05/2019]:[Colunas1]])</f>
        <v>0</v>
      </c>
      <c r="F1580" s="3"/>
    </row>
    <row r="1581" spans="1:6" x14ac:dyDescent="0.25">
      <c r="A1581" s="5" t="s">
        <v>8309</v>
      </c>
      <c r="B1581" s="15">
        <f>VLOOKUP(TAB_ENTRADA[[#This Row],[Cod_2_Entrada]],TAB_ESTOQUE[[Codigo]:[Descrição Tecnica]],6,FALSE)</f>
        <v>0</v>
      </c>
      <c r="C1581" s="15">
        <f>IFERROR(VLOOKUP(TAB_ENTRADA[[#This Row],[Cod_2_Entrada]],TAB_ESTOQUE[[Codigo]:[Referência Tec]],7,FALSE),"")</f>
        <v>0</v>
      </c>
      <c r="D1581" s="15">
        <f>VLOOKUP(TAB_ENTRADA[[#This Row],[Cod_2_Entrada]],TAB_ESTOQUE[[Codigo]:[Endereço2]],12,FALSE)</f>
        <v>0</v>
      </c>
      <c r="E1581" s="15">
        <f>SUM(TAB_ENTRADA[[#This Row],[20/05/2019]:[Colunas1]])</f>
        <v>0</v>
      </c>
      <c r="F1581" s="3"/>
    </row>
    <row r="1582" spans="1:6" x14ac:dyDescent="0.25">
      <c r="A1582" s="5" t="s">
        <v>8330</v>
      </c>
      <c r="B1582" s="15">
        <f>VLOOKUP(TAB_ENTRADA[[#This Row],[Cod_2_Entrada]],TAB_ESTOQUE[[Codigo]:[Descrição Tecnica]],6,FALSE)</f>
        <v>0</v>
      </c>
      <c r="C1582" s="15">
        <f>IFERROR(VLOOKUP(TAB_ENTRADA[[#This Row],[Cod_2_Entrada]],TAB_ESTOQUE[[Codigo]:[Referência Tec]],7,FALSE),"")</f>
        <v>0</v>
      </c>
      <c r="D1582" s="15">
        <f>VLOOKUP(TAB_ENTRADA[[#This Row],[Cod_2_Entrada]],TAB_ESTOQUE[[Codigo]:[Endereço2]],12,FALSE)</f>
        <v>0</v>
      </c>
      <c r="E1582" s="15">
        <f>SUM(TAB_ENTRADA[[#This Row],[20/05/2019]:[Colunas1]])</f>
        <v>0</v>
      </c>
      <c r="F1582" s="3"/>
    </row>
    <row r="1583" spans="1:6" x14ac:dyDescent="0.25">
      <c r="A1583" s="5" t="s">
        <v>8333</v>
      </c>
      <c r="B1583" s="15">
        <f>VLOOKUP(TAB_ENTRADA[[#This Row],[Cod_2_Entrada]],TAB_ESTOQUE[[Codigo]:[Descrição Tecnica]],6,FALSE)</f>
        <v>0</v>
      </c>
      <c r="C1583" s="15">
        <f>IFERROR(VLOOKUP(TAB_ENTRADA[[#This Row],[Cod_2_Entrada]],TAB_ESTOQUE[[Codigo]:[Referência Tec]],7,FALSE),"")</f>
        <v>0</v>
      </c>
      <c r="D1583" s="15">
        <f>VLOOKUP(TAB_ENTRADA[[#This Row],[Cod_2_Entrada]],TAB_ESTOQUE[[Codigo]:[Endereço2]],12,FALSE)</f>
        <v>0</v>
      </c>
      <c r="E1583" s="15">
        <f>SUM(TAB_ENTRADA[[#This Row],[20/05/2019]:[Colunas1]])</f>
        <v>0</v>
      </c>
      <c r="F1583" s="3"/>
    </row>
    <row r="1584" spans="1:6" x14ac:dyDescent="0.25">
      <c r="A1584" s="5" t="s">
        <v>8335</v>
      </c>
      <c r="B1584" s="15">
        <f>VLOOKUP(TAB_ENTRADA[[#This Row],[Cod_2_Entrada]],TAB_ESTOQUE[[Codigo]:[Descrição Tecnica]],6,FALSE)</f>
        <v>0</v>
      </c>
      <c r="C1584" s="15">
        <f>IFERROR(VLOOKUP(TAB_ENTRADA[[#This Row],[Cod_2_Entrada]],TAB_ESTOQUE[[Codigo]:[Referência Tec]],7,FALSE),"")</f>
        <v>0</v>
      </c>
      <c r="D1584" s="15">
        <f>VLOOKUP(TAB_ENTRADA[[#This Row],[Cod_2_Entrada]],TAB_ESTOQUE[[Codigo]:[Endereço2]],12,FALSE)</f>
        <v>0</v>
      </c>
      <c r="E1584" s="15">
        <f>SUM(TAB_ENTRADA[[#This Row],[20/05/2019]:[Colunas1]])</f>
        <v>0</v>
      </c>
      <c r="F1584" s="3"/>
    </row>
    <row r="1585" spans="1:6" x14ac:dyDescent="0.25">
      <c r="A1585" s="5" t="s">
        <v>8341</v>
      </c>
      <c r="B1585" s="15">
        <f>VLOOKUP(TAB_ENTRADA[[#This Row],[Cod_2_Entrada]],TAB_ESTOQUE[[Codigo]:[Descrição Tecnica]],6,FALSE)</f>
        <v>0</v>
      </c>
      <c r="C1585" s="15">
        <f>IFERROR(VLOOKUP(TAB_ENTRADA[[#This Row],[Cod_2_Entrada]],TAB_ESTOQUE[[Codigo]:[Referência Tec]],7,FALSE),"")</f>
        <v>0</v>
      </c>
      <c r="D1585" s="15">
        <f>VLOOKUP(TAB_ENTRADA[[#This Row],[Cod_2_Entrada]],TAB_ESTOQUE[[Codigo]:[Endereço2]],12,FALSE)</f>
        <v>0</v>
      </c>
      <c r="E1585" s="15">
        <f>SUM(TAB_ENTRADA[[#This Row],[20/05/2019]:[Colunas1]])</f>
        <v>0</v>
      </c>
      <c r="F1585" s="3"/>
    </row>
    <row r="1586" spans="1:6" x14ac:dyDescent="0.25">
      <c r="A1586" s="5" t="s">
        <v>8348</v>
      </c>
      <c r="B1586" s="15">
        <f>VLOOKUP(TAB_ENTRADA[[#This Row],[Cod_2_Entrada]],TAB_ESTOQUE[[Codigo]:[Descrição Tecnica]],6,FALSE)</f>
        <v>0</v>
      </c>
      <c r="C1586" s="15">
        <f>IFERROR(VLOOKUP(TAB_ENTRADA[[#This Row],[Cod_2_Entrada]],TAB_ESTOQUE[[Codigo]:[Referência Tec]],7,FALSE),"")</f>
        <v>0</v>
      </c>
      <c r="D1586" s="15">
        <f>VLOOKUP(TAB_ENTRADA[[#This Row],[Cod_2_Entrada]],TAB_ESTOQUE[[Codigo]:[Endereço2]],12,FALSE)</f>
        <v>0</v>
      </c>
      <c r="E1586" s="15">
        <f>SUM(TAB_ENTRADA[[#This Row],[20/05/2019]:[Colunas1]])</f>
        <v>0</v>
      </c>
      <c r="F1586" s="3"/>
    </row>
    <row r="1587" spans="1:6" x14ac:dyDescent="0.25">
      <c r="A1587" s="5" t="s">
        <v>8351</v>
      </c>
      <c r="B1587" s="15">
        <f>VLOOKUP(TAB_ENTRADA[[#This Row],[Cod_2_Entrada]],TAB_ESTOQUE[[Codigo]:[Descrição Tecnica]],6,FALSE)</f>
        <v>0</v>
      </c>
      <c r="C1587" s="15">
        <f>IFERROR(VLOOKUP(TAB_ENTRADA[[#This Row],[Cod_2_Entrada]],TAB_ESTOQUE[[Codigo]:[Referência Tec]],7,FALSE),"")</f>
        <v>0</v>
      </c>
      <c r="D1587" s="15">
        <f>VLOOKUP(TAB_ENTRADA[[#This Row],[Cod_2_Entrada]],TAB_ESTOQUE[[Codigo]:[Endereço2]],12,FALSE)</f>
        <v>0</v>
      </c>
      <c r="E1587" s="15">
        <f>SUM(TAB_ENTRADA[[#This Row],[20/05/2019]:[Colunas1]])</f>
        <v>0</v>
      </c>
      <c r="F1587" s="3"/>
    </row>
    <row r="1588" spans="1:6" x14ac:dyDescent="0.25">
      <c r="A1588" s="5" t="s">
        <v>8355</v>
      </c>
      <c r="B1588" s="15">
        <f>VLOOKUP(TAB_ENTRADA[[#This Row],[Cod_2_Entrada]],TAB_ESTOQUE[[Codigo]:[Descrição Tecnica]],6,FALSE)</f>
        <v>0</v>
      </c>
      <c r="C1588" s="15">
        <f>IFERROR(VLOOKUP(TAB_ENTRADA[[#This Row],[Cod_2_Entrada]],TAB_ESTOQUE[[Codigo]:[Referência Tec]],7,FALSE),"")</f>
        <v>0</v>
      </c>
      <c r="D1588" s="15">
        <f>VLOOKUP(TAB_ENTRADA[[#This Row],[Cod_2_Entrada]],TAB_ESTOQUE[[Codigo]:[Endereço2]],12,FALSE)</f>
        <v>0</v>
      </c>
      <c r="E1588" s="15">
        <f>SUM(TAB_ENTRADA[[#This Row],[20/05/2019]:[Colunas1]])</f>
        <v>0</v>
      </c>
      <c r="F1588" s="3"/>
    </row>
    <row r="1589" spans="1:6" x14ac:dyDescent="0.25">
      <c r="A1589" s="5" t="s">
        <v>8361</v>
      </c>
      <c r="B1589" s="15">
        <f>VLOOKUP(TAB_ENTRADA[[#This Row],[Cod_2_Entrada]],TAB_ESTOQUE[[Codigo]:[Descrição Tecnica]],6,FALSE)</f>
        <v>0</v>
      </c>
      <c r="C1589" s="15">
        <f>IFERROR(VLOOKUP(TAB_ENTRADA[[#This Row],[Cod_2_Entrada]],TAB_ESTOQUE[[Codigo]:[Referência Tec]],7,FALSE),"")</f>
        <v>0</v>
      </c>
      <c r="D1589" s="15">
        <f>VLOOKUP(TAB_ENTRADA[[#This Row],[Cod_2_Entrada]],TAB_ESTOQUE[[Codigo]:[Endereço2]],12,FALSE)</f>
        <v>0</v>
      </c>
      <c r="E1589" s="15">
        <f>SUM(TAB_ENTRADA[[#This Row],[20/05/2019]:[Colunas1]])</f>
        <v>0</v>
      </c>
      <c r="F1589" s="3"/>
    </row>
    <row r="1590" spans="1:6" x14ac:dyDescent="0.25">
      <c r="A1590" s="5" t="s">
        <v>8364</v>
      </c>
      <c r="B1590" s="15">
        <f>VLOOKUP(TAB_ENTRADA[[#This Row],[Cod_2_Entrada]],TAB_ESTOQUE[[Codigo]:[Descrição Tecnica]],6,FALSE)</f>
        <v>0</v>
      </c>
      <c r="C1590" s="15">
        <f>IFERROR(VLOOKUP(TAB_ENTRADA[[#This Row],[Cod_2_Entrada]],TAB_ESTOQUE[[Codigo]:[Referência Tec]],7,FALSE),"")</f>
        <v>0</v>
      </c>
      <c r="D1590" s="15">
        <f>VLOOKUP(TAB_ENTRADA[[#This Row],[Cod_2_Entrada]],TAB_ESTOQUE[[Codigo]:[Endereço2]],12,FALSE)</f>
        <v>0</v>
      </c>
      <c r="E1590" s="15">
        <f>SUM(TAB_ENTRADA[[#This Row],[20/05/2019]:[Colunas1]])</f>
        <v>0</v>
      </c>
      <c r="F1590" s="3"/>
    </row>
    <row r="1591" spans="1:6" x14ac:dyDescent="0.25">
      <c r="A1591" s="5" t="s">
        <v>8366</v>
      </c>
      <c r="B1591" s="15">
        <f>VLOOKUP(TAB_ENTRADA[[#This Row],[Cod_2_Entrada]],TAB_ESTOQUE[[Codigo]:[Descrição Tecnica]],6,FALSE)</f>
        <v>0</v>
      </c>
      <c r="C1591" s="15">
        <f>IFERROR(VLOOKUP(TAB_ENTRADA[[#This Row],[Cod_2_Entrada]],TAB_ESTOQUE[[Codigo]:[Referência Tec]],7,FALSE),"")</f>
        <v>0</v>
      </c>
      <c r="D1591" s="15">
        <f>VLOOKUP(TAB_ENTRADA[[#This Row],[Cod_2_Entrada]],TAB_ESTOQUE[[Codigo]:[Endereço2]],12,FALSE)</f>
        <v>0</v>
      </c>
      <c r="E1591" s="15">
        <f>SUM(TAB_ENTRADA[[#This Row],[20/05/2019]:[Colunas1]])</f>
        <v>0</v>
      </c>
      <c r="F1591" s="3"/>
    </row>
    <row r="1592" spans="1:6" x14ac:dyDescent="0.25">
      <c r="A1592" s="5" t="s">
        <v>8373</v>
      </c>
      <c r="B1592" s="15">
        <f>VLOOKUP(TAB_ENTRADA[[#This Row],[Cod_2_Entrada]],TAB_ESTOQUE[[Codigo]:[Descrição Tecnica]],6,FALSE)</f>
        <v>0</v>
      </c>
      <c r="C1592" s="15">
        <f>IFERROR(VLOOKUP(TAB_ENTRADA[[#This Row],[Cod_2_Entrada]],TAB_ESTOQUE[[Codigo]:[Referência Tec]],7,FALSE),"")</f>
        <v>0</v>
      </c>
      <c r="D1592" s="15">
        <f>VLOOKUP(TAB_ENTRADA[[#This Row],[Cod_2_Entrada]],TAB_ESTOQUE[[Codigo]:[Endereço2]],12,FALSE)</f>
        <v>0</v>
      </c>
      <c r="E1592" s="15">
        <f>SUM(TAB_ENTRADA[[#This Row],[20/05/2019]:[Colunas1]])</f>
        <v>0</v>
      </c>
      <c r="F1592" s="3"/>
    </row>
    <row r="1593" spans="1:6" x14ac:dyDescent="0.25">
      <c r="A1593" s="5" t="s">
        <v>8379</v>
      </c>
      <c r="B1593" s="15">
        <f>VLOOKUP(TAB_ENTRADA[[#This Row],[Cod_2_Entrada]],TAB_ESTOQUE[[Codigo]:[Descrição Tecnica]],6,FALSE)</f>
        <v>0</v>
      </c>
      <c r="C1593" s="15">
        <f>IFERROR(VLOOKUP(TAB_ENTRADA[[#This Row],[Cod_2_Entrada]],TAB_ESTOQUE[[Codigo]:[Referência Tec]],7,FALSE),"")</f>
        <v>0</v>
      </c>
      <c r="D1593" s="15">
        <f>VLOOKUP(TAB_ENTRADA[[#This Row],[Cod_2_Entrada]],TAB_ESTOQUE[[Codigo]:[Endereço2]],12,FALSE)</f>
        <v>0</v>
      </c>
      <c r="E1593" s="15">
        <f>SUM(TAB_ENTRADA[[#This Row],[20/05/2019]:[Colunas1]])</f>
        <v>0</v>
      </c>
      <c r="F1593" s="3"/>
    </row>
    <row r="1594" spans="1:6" x14ac:dyDescent="0.25">
      <c r="A1594" s="5" t="s">
        <v>8384</v>
      </c>
      <c r="B1594" s="15">
        <f>VLOOKUP(TAB_ENTRADA[[#This Row],[Cod_2_Entrada]],TAB_ESTOQUE[[Codigo]:[Descrição Tecnica]],6,FALSE)</f>
        <v>0</v>
      </c>
      <c r="C1594" s="15">
        <f>IFERROR(VLOOKUP(TAB_ENTRADA[[#This Row],[Cod_2_Entrada]],TAB_ESTOQUE[[Codigo]:[Referência Tec]],7,FALSE),"")</f>
        <v>0</v>
      </c>
      <c r="D1594" s="15">
        <f>VLOOKUP(TAB_ENTRADA[[#This Row],[Cod_2_Entrada]],TAB_ESTOQUE[[Codigo]:[Endereço2]],12,FALSE)</f>
        <v>0</v>
      </c>
      <c r="E1594" s="15">
        <f>SUM(TAB_ENTRADA[[#This Row],[20/05/2019]:[Colunas1]])</f>
        <v>0</v>
      </c>
      <c r="F1594" s="3"/>
    </row>
    <row r="1595" spans="1:6" x14ac:dyDescent="0.25">
      <c r="A1595" s="5" t="s">
        <v>8385</v>
      </c>
      <c r="B1595" s="15">
        <f>VLOOKUP(TAB_ENTRADA[[#This Row],[Cod_2_Entrada]],TAB_ESTOQUE[[Codigo]:[Descrição Tecnica]],6,FALSE)</f>
        <v>0</v>
      </c>
      <c r="C1595" s="15">
        <f>IFERROR(VLOOKUP(TAB_ENTRADA[[#This Row],[Cod_2_Entrada]],TAB_ESTOQUE[[Codigo]:[Referência Tec]],7,FALSE),"")</f>
        <v>0</v>
      </c>
      <c r="D1595" s="15">
        <f>VLOOKUP(TAB_ENTRADA[[#This Row],[Cod_2_Entrada]],TAB_ESTOQUE[[Codigo]:[Endereço2]],12,FALSE)</f>
        <v>0</v>
      </c>
      <c r="E1595" s="15">
        <f>SUM(TAB_ENTRADA[[#This Row],[20/05/2019]:[Colunas1]])</f>
        <v>0</v>
      </c>
      <c r="F1595" s="3"/>
    </row>
    <row r="1596" spans="1:6" x14ac:dyDescent="0.25">
      <c r="A1596" s="5" t="s">
        <v>8414</v>
      </c>
      <c r="B1596" s="15">
        <f>VLOOKUP(TAB_ENTRADA[[#This Row],[Cod_2_Entrada]],TAB_ESTOQUE[[Codigo]:[Descrição Tecnica]],6,FALSE)</f>
        <v>0</v>
      </c>
      <c r="C1596" s="15">
        <f>IFERROR(VLOOKUP(TAB_ENTRADA[[#This Row],[Cod_2_Entrada]],TAB_ESTOQUE[[Codigo]:[Referência Tec]],7,FALSE),"")</f>
        <v>0</v>
      </c>
      <c r="D1596" s="15">
        <f>VLOOKUP(TAB_ENTRADA[[#This Row],[Cod_2_Entrada]],TAB_ESTOQUE[[Codigo]:[Endereço2]],12,FALSE)</f>
        <v>0</v>
      </c>
      <c r="E1596" s="15">
        <f>SUM(TAB_ENTRADA[[#This Row],[20/05/2019]:[Colunas1]])</f>
        <v>0</v>
      </c>
      <c r="F1596" s="3"/>
    </row>
    <row r="1597" spans="1:6" x14ac:dyDescent="0.25">
      <c r="A1597" s="5" t="s">
        <v>8415</v>
      </c>
      <c r="B1597" s="15">
        <f>VLOOKUP(TAB_ENTRADA[[#This Row],[Cod_2_Entrada]],TAB_ESTOQUE[[Codigo]:[Descrição Tecnica]],6,FALSE)</f>
        <v>0</v>
      </c>
      <c r="C1597" s="15">
        <f>IFERROR(VLOOKUP(TAB_ENTRADA[[#This Row],[Cod_2_Entrada]],TAB_ESTOQUE[[Codigo]:[Referência Tec]],7,FALSE),"")</f>
        <v>0</v>
      </c>
      <c r="D1597" s="15">
        <f>VLOOKUP(TAB_ENTRADA[[#This Row],[Cod_2_Entrada]],TAB_ESTOQUE[[Codigo]:[Endereço2]],12,FALSE)</f>
        <v>0</v>
      </c>
      <c r="E1597" s="15">
        <f>SUM(TAB_ENTRADA[[#This Row],[20/05/2019]:[Colunas1]])</f>
        <v>0</v>
      </c>
      <c r="F1597" s="3"/>
    </row>
    <row r="1598" spans="1:6" x14ac:dyDescent="0.25">
      <c r="A1598" s="5" t="s">
        <v>8416</v>
      </c>
      <c r="B1598" s="15">
        <f>VLOOKUP(TAB_ENTRADA[[#This Row],[Cod_2_Entrada]],TAB_ESTOQUE[[Codigo]:[Descrição Tecnica]],6,FALSE)</f>
        <v>0</v>
      </c>
      <c r="C1598" s="15">
        <f>IFERROR(VLOOKUP(TAB_ENTRADA[[#This Row],[Cod_2_Entrada]],TAB_ESTOQUE[[Codigo]:[Referência Tec]],7,FALSE),"")</f>
        <v>0</v>
      </c>
      <c r="D1598" s="15">
        <f>VLOOKUP(TAB_ENTRADA[[#This Row],[Cod_2_Entrada]],TAB_ESTOQUE[[Codigo]:[Endereço2]],12,FALSE)</f>
        <v>0</v>
      </c>
      <c r="E1598" s="15">
        <f>SUM(TAB_ENTRADA[[#This Row],[20/05/2019]:[Colunas1]])</f>
        <v>0</v>
      </c>
      <c r="F1598" s="3"/>
    </row>
    <row r="1599" spans="1:6" x14ac:dyDescent="0.25">
      <c r="A1599" s="5" t="s">
        <v>8417</v>
      </c>
      <c r="B1599" s="15">
        <f>VLOOKUP(TAB_ENTRADA[[#This Row],[Cod_2_Entrada]],TAB_ESTOQUE[[Codigo]:[Descrição Tecnica]],6,FALSE)</f>
        <v>0</v>
      </c>
      <c r="C1599" s="15">
        <f>IFERROR(VLOOKUP(TAB_ENTRADA[[#This Row],[Cod_2_Entrada]],TAB_ESTOQUE[[Codigo]:[Referência Tec]],7,FALSE),"")</f>
        <v>0</v>
      </c>
      <c r="D1599" s="15">
        <f>VLOOKUP(TAB_ENTRADA[[#This Row],[Cod_2_Entrada]],TAB_ESTOQUE[[Codigo]:[Endereço2]],12,FALSE)</f>
        <v>0</v>
      </c>
      <c r="E1599" s="15">
        <f>SUM(TAB_ENTRADA[[#This Row],[20/05/2019]:[Colunas1]])</f>
        <v>0</v>
      </c>
      <c r="F1599" s="3"/>
    </row>
    <row r="1600" spans="1:6" x14ac:dyDescent="0.25">
      <c r="A1600" s="5" t="s">
        <v>8423</v>
      </c>
      <c r="B1600" s="15">
        <f>VLOOKUP(TAB_ENTRADA[[#This Row],[Cod_2_Entrada]],TAB_ESTOQUE[[Codigo]:[Descrição Tecnica]],6,FALSE)</f>
        <v>0</v>
      </c>
      <c r="C1600" s="15">
        <f>IFERROR(VLOOKUP(TAB_ENTRADA[[#This Row],[Cod_2_Entrada]],TAB_ESTOQUE[[Codigo]:[Referência Tec]],7,FALSE),"")</f>
        <v>0</v>
      </c>
      <c r="D1600" s="15">
        <f>VLOOKUP(TAB_ENTRADA[[#This Row],[Cod_2_Entrada]],TAB_ESTOQUE[[Codigo]:[Endereço2]],12,FALSE)</f>
        <v>0</v>
      </c>
      <c r="E1600" s="15">
        <f>SUM(TAB_ENTRADA[[#This Row],[20/05/2019]:[Colunas1]])</f>
        <v>0</v>
      </c>
      <c r="F1600" s="3"/>
    </row>
    <row r="1601" spans="1:6" x14ac:dyDescent="0.25">
      <c r="A1601" s="5" t="s">
        <v>8426</v>
      </c>
      <c r="B1601" s="15">
        <f>VLOOKUP(TAB_ENTRADA[[#This Row],[Cod_2_Entrada]],TAB_ESTOQUE[[Codigo]:[Descrição Tecnica]],6,FALSE)</f>
        <v>0</v>
      </c>
      <c r="C1601" s="15">
        <f>IFERROR(VLOOKUP(TAB_ENTRADA[[#This Row],[Cod_2_Entrada]],TAB_ESTOQUE[[Codigo]:[Referência Tec]],7,FALSE),"")</f>
        <v>0</v>
      </c>
      <c r="D1601" s="15">
        <f>VLOOKUP(TAB_ENTRADA[[#This Row],[Cod_2_Entrada]],TAB_ESTOQUE[[Codigo]:[Endereço2]],12,FALSE)</f>
        <v>0</v>
      </c>
      <c r="E1601" s="15">
        <f>SUM(TAB_ENTRADA[[#This Row],[20/05/2019]:[Colunas1]])</f>
        <v>0</v>
      </c>
      <c r="F1601" s="3"/>
    </row>
    <row r="1602" spans="1:6" x14ac:dyDescent="0.25">
      <c r="A1602" s="5" t="s">
        <v>8428</v>
      </c>
      <c r="B1602" s="15">
        <f>VLOOKUP(TAB_ENTRADA[[#This Row],[Cod_2_Entrada]],TAB_ESTOQUE[[Codigo]:[Descrição Tecnica]],6,FALSE)</f>
        <v>0</v>
      </c>
      <c r="C1602" s="15">
        <f>IFERROR(VLOOKUP(TAB_ENTRADA[[#This Row],[Cod_2_Entrada]],TAB_ESTOQUE[[Codigo]:[Referência Tec]],7,FALSE),"")</f>
        <v>0</v>
      </c>
      <c r="D1602" s="15">
        <f>VLOOKUP(TAB_ENTRADA[[#This Row],[Cod_2_Entrada]],TAB_ESTOQUE[[Codigo]:[Endereço2]],12,FALSE)</f>
        <v>0</v>
      </c>
      <c r="E1602" s="15">
        <f>SUM(TAB_ENTRADA[[#This Row],[20/05/2019]:[Colunas1]])</f>
        <v>0</v>
      </c>
      <c r="F1602" s="3"/>
    </row>
    <row r="1603" spans="1:6" x14ac:dyDescent="0.25">
      <c r="A1603" s="5" t="s">
        <v>8429</v>
      </c>
      <c r="B1603" s="15">
        <f>VLOOKUP(TAB_ENTRADA[[#This Row],[Cod_2_Entrada]],TAB_ESTOQUE[[Codigo]:[Descrição Tecnica]],6,FALSE)</f>
        <v>0</v>
      </c>
      <c r="C1603" s="15">
        <f>IFERROR(VLOOKUP(TAB_ENTRADA[[#This Row],[Cod_2_Entrada]],TAB_ESTOQUE[[Codigo]:[Referência Tec]],7,FALSE),"")</f>
        <v>0</v>
      </c>
      <c r="D1603" s="15">
        <f>VLOOKUP(TAB_ENTRADA[[#This Row],[Cod_2_Entrada]],TAB_ESTOQUE[[Codigo]:[Endereço2]],12,FALSE)</f>
        <v>0</v>
      </c>
      <c r="E1603" s="15">
        <f>SUM(TAB_ENTRADA[[#This Row],[20/05/2019]:[Colunas1]])</f>
        <v>0</v>
      </c>
      <c r="F1603" s="3"/>
    </row>
    <row r="1604" spans="1:6" x14ac:dyDescent="0.25">
      <c r="A1604" s="5" t="s">
        <v>8430</v>
      </c>
      <c r="B1604" s="15">
        <f>VLOOKUP(TAB_ENTRADA[[#This Row],[Cod_2_Entrada]],TAB_ESTOQUE[[Codigo]:[Descrição Tecnica]],6,FALSE)</f>
        <v>0</v>
      </c>
      <c r="C1604" s="15">
        <f>IFERROR(VLOOKUP(TAB_ENTRADA[[#This Row],[Cod_2_Entrada]],TAB_ESTOQUE[[Codigo]:[Referência Tec]],7,FALSE),"")</f>
        <v>0</v>
      </c>
      <c r="D1604" s="15">
        <f>VLOOKUP(TAB_ENTRADA[[#This Row],[Cod_2_Entrada]],TAB_ESTOQUE[[Codigo]:[Endereço2]],12,FALSE)</f>
        <v>0</v>
      </c>
      <c r="E1604" s="15">
        <f>SUM(TAB_ENTRADA[[#This Row],[20/05/2019]:[Colunas1]])</f>
        <v>0</v>
      </c>
      <c r="F1604" s="3"/>
    </row>
    <row r="1605" spans="1:6" x14ac:dyDescent="0.25">
      <c r="A1605" s="5" t="s">
        <v>8431</v>
      </c>
      <c r="B1605" s="15">
        <f>VLOOKUP(TAB_ENTRADA[[#This Row],[Cod_2_Entrada]],TAB_ESTOQUE[[Codigo]:[Descrição Tecnica]],6,FALSE)</f>
        <v>0</v>
      </c>
      <c r="C1605" s="15">
        <f>IFERROR(VLOOKUP(TAB_ENTRADA[[#This Row],[Cod_2_Entrada]],TAB_ESTOQUE[[Codigo]:[Referência Tec]],7,FALSE),"")</f>
        <v>0</v>
      </c>
      <c r="D1605" s="15">
        <f>VLOOKUP(TAB_ENTRADA[[#This Row],[Cod_2_Entrada]],TAB_ESTOQUE[[Codigo]:[Endereço2]],12,FALSE)</f>
        <v>0</v>
      </c>
      <c r="E1605" s="15">
        <f>SUM(TAB_ENTRADA[[#This Row],[20/05/2019]:[Colunas1]])</f>
        <v>0</v>
      </c>
      <c r="F1605" s="3"/>
    </row>
    <row r="1606" spans="1:6" x14ac:dyDescent="0.25">
      <c r="A1606" s="5" t="s">
        <v>8432</v>
      </c>
      <c r="B1606" s="15">
        <f>VLOOKUP(TAB_ENTRADA[[#This Row],[Cod_2_Entrada]],TAB_ESTOQUE[[Codigo]:[Descrição Tecnica]],6,FALSE)</f>
        <v>0</v>
      </c>
      <c r="C1606" s="15">
        <f>IFERROR(VLOOKUP(TAB_ENTRADA[[#This Row],[Cod_2_Entrada]],TAB_ESTOQUE[[Codigo]:[Referência Tec]],7,FALSE),"")</f>
        <v>0</v>
      </c>
      <c r="D1606" s="15">
        <f>VLOOKUP(TAB_ENTRADA[[#This Row],[Cod_2_Entrada]],TAB_ESTOQUE[[Codigo]:[Endereço2]],12,FALSE)</f>
        <v>0</v>
      </c>
      <c r="E1606" s="15">
        <f>SUM(TAB_ENTRADA[[#This Row],[20/05/2019]:[Colunas1]])</f>
        <v>0</v>
      </c>
      <c r="F1606" s="3"/>
    </row>
    <row r="1607" spans="1:6" x14ac:dyDescent="0.25">
      <c r="A1607" s="5" t="s">
        <v>8433</v>
      </c>
      <c r="B1607" s="15">
        <f>VLOOKUP(TAB_ENTRADA[[#This Row],[Cod_2_Entrada]],TAB_ESTOQUE[[Codigo]:[Descrição Tecnica]],6,FALSE)</f>
        <v>0</v>
      </c>
      <c r="C1607" s="15">
        <f>IFERROR(VLOOKUP(TAB_ENTRADA[[#This Row],[Cod_2_Entrada]],TAB_ESTOQUE[[Codigo]:[Referência Tec]],7,FALSE),"")</f>
        <v>0</v>
      </c>
      <c r="D1607" s="15">
        <f>VLOOKUP(TAB_ENTRADA[[#This Row],[Cod_2_Entrada]],TAB_ESTOQUE[[Codigo]:[Endereço2]],12,FALSE)</f>
        <v>0</v>
      </c>
      <c r="E1607" s="15">
        <f>SUM(TAB_ENTRADA[[#This Row],[20/05/2019]:[Colunas1]])</f>
        <v>0</v>
      </c>
      <c r="F1607" s="3"/>
    </row>
    <row r="1608" spans="1:6" x14ac:dyDescent="0.25">
      <c r="A1608" s="5" t="s">
        <v>8434</v>
      </c>
      <c r="B1608" s="15">
        <f>VLOOKUP(TAB_ENTRADA[[#This Row],[Cod_2_Entrada]],TAB_ESTOQUE[[Codigo]:[Descrição Tecnica]],6,FALSE)</f>
        <v>0</v>
      </c>
      <c r="C1608" s="15">
        <f>IFERROR(VLOOKUP(TAB_ENTRADA[[#This Row],[Cod_2_Entrada]],TAB_ESTOQUE[[Codigo]:[Referência Tec]],7,FALSE),"")</f>
        <v>0</v>
      </c>
      <c r="D1608" s="15">
        <f>VLOOKUP(TAB_ENTRADA[[#This Row],[Cod_2_Entrada]],TAB_ESTOQUE[[Codigo]:[Endereço2]],12,FALSE)</f>
        <v>0</v>
      </c>
      <c r="E1608" s="15">
        <f>SUM(TAB_ENTRADA[[#This Row],[20/05/2019]:[Colunas1]])</f>
        <v>0</v>
      </c>
      <c r="F1608" s="3"/>
    </row>
    <row r="1609" spans="1:6" x14ac:dyDescent="0.25">
      <c r="A1609" s="5" t="s">
        <v>8435</v>
      </c>
      <c r="B1609" s="15">
        <f>VLOOKUP(TAB_ENTRADA[[#This Row],[Cod_2_Entrada]],TAB_ESTOQUE[[Codigo]:[Descrição Tecnica]],6,FALSE)</f>
        <v>0</v>
      </c>
      <c r="C1609" s="15">
        <f>IFERROR(VLOOKUP(TAB_ENTRADA[[#This Row],[Cod_2_Entrada]],TAB_ESTOQUE[[Codigo]:[Referência Tec]],7,FALSE),"")</f>
        <v>0</v>
      </c>
      <c r="D1609" s="15">
        <f>VLOOKUP(TAB_ENTRADA[[#This Row],[Cod_2_Entrada]],TAB_ESTOQUE[[Codigo]:[Endereço2]],12,FALSE)</f>
        <v>0</v>
      </c>
      <c r="E1609" s="15">
        <f>SUM(TAB_ENTRADA[[#This Row],[20/05/2019]:[Colunas1]])</f>
        <v>0</v>
      </c>
      <c r="F1609" s="3"/>
    </row>
    <row r="1610" spans="1:6" x14ac:dyDescent="0.25">
      <c r="A1610" s="5" t="s">
        <v>8436</v>
      </c>
      <c r="B1610" s="15">
        <f>VLOOKUP(TAB_ENTRADA[[#This Row],[Cod_2_Entrada]],TAB_ESTOQUE[[Codigo]:[Descrição Tecnica]],6,FALSE)</f>
        <v>0</v>
      </c>
      <c r="C1610" s="15">
        <f>IFERROR(VLOOKUP(TAB_ENTRADA[[#This Row],[Cod_2_Entrada]],TAB_ESTOQUE[[Codigo]:[Referência Tec]],7,FALSE),"")</f>
        <v>0</v>
      </c>
      <c r="D1610" s="15">
        <f>VLOOKUP(TAB_ENTRADA[[#This Row],[Cod_2_Entrada]],TAB_ESTOQUE[[Codigo]:[Endereço2]],12,FALSE)</f>
        <v>0</v>
      </c>
      <c r="E1610" s="15">
        <f>SUM(TAB_ENTRADA[[#This Row],[20/05/2019]:[Colunas1]])</f>
        <v>0</v>
      </c>
      <c r="F1610" s="3"/>
    </row>
    <row r="1611" spans="1:6" x14ac:dyDescent="0.25">
      <c r="A1611" s="5" t="s">
        <v>8437</v>
      </c>
      <c r="B1611" s="15">
        <f>VLOOKUP(TAB_ENTRADA[[#This Row],[Cod_2_Entrada]],TAB_ESTOQUE[[Codigo]:[Descrição Tecnica]],6,FALSE)</f>
        <v>0</v>
      </c>
      <c r="C1611" s="15">
        <f>IFERROR(VLOOKUP(TAB_ENTRADA[[#This Row],[Cod_2_Entrada]],TAB_ESTOQUE[[Codigo]:[Referência Tec]],7,FALSE),"")</f>
        <v>0</v>
      </c>
      <c r="D1611" s="15">
        <f>VLOOKUP(TAB_ENTRADA[[#This Row],[Cod_2_Entrada]],TAB_ESTOQUE[[Codigo]:[Endereço2]],12,FALSE)</f>
        <v>0</v>
      </c>
      <c r="E1611" s="15">
        <f>SUM(TAB_ENTRADA[[#This Row],[20/05/2019]:[Colunas1]])</f>
        <v>0</v>
      </c>
      <c r="F1611" s="3"/>
    </row>
    <row r="1612" spans="1:6" x14ac:dyDescent="0.25">
      <c r="A1612" s="5" t="s">
        <v>8438</v>
      </c>
      <c r="B1612" s="15">
        <f>VLOOKUP(TAB_ENTRADA[[#This Row],[Cod_2_Entrada]],TAB_ESTOQUE[[Codigo]:[Descrição Tecnica]],6,FALSE)</f>
        <v>0</v>
      </c>
      <c r="C1612" s="15">
        <f>IFERROR(VLOOKUP(TAB_ENTRADA[[#This Row],[Cod_2_Entrada]],TAB_ESTOQUE[[Codigo]:[Referência Tec]],7,FALSE),"")</f>
        <v>0</v>
      </c>
      <c r="D1612" s="15">
        <f>VLOOKUP(TAB_ENTRADA[[#This Row],[Cod_2_Entrada]],TAB_ESTOQUE[[Codigo]:[Endereço2]],12,FALSE)</f>
        <v>0</v>
      </c>
      <c r="E1612" s="15">
        <f>SUM(TAB_ENTRADA[[#This Row],[20/05/2019]:[Colunas1]])</f>
        <v>0</v>
      </c>
      <c r="F1612" s="3"/>
    </row>
  </sheetData>
  <pageMargins left="0.511811024" right="0.511811024" top="0.78740157499999996" bottom="0.78740157499999996" header="0.31496062000000002" footer="0.31496062000000002"/>
  <pageSetup paperSize="9"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6"/>
  <dimension ref="A1:D36"/>
  <sheetViews>
    <sheetView topLeftCell="B22" workbookViewId="0">
      <selection activeCell="H35" sqref="H35"/>
    </sheetView>
  </sheetViews>
  <sheetFormatPr defaultRowHeight="15" x14ac:dyDescent="0.25"/>
  <cols>
    <col min="1" max="1" width="15.42578125" bestFit="1" customWidth="1"/>
    <col min="3" max="3" width="25.42578125" bestFit="1" customWidth="1"/>
    <col min="4" max="4" width="17.5703125" bestFit="1" customWidth="1"/>
    <col min="8" max="8" width="16.42578125" customWidth="1"/>
  </cols>
  <sheetData>
    <row r="1" spans="1:4" ht="15.75" x14ac:dyDescent="0.25">
      <c r="A1" s="55" t="s">
        <v>3119</v>
      </c>
      <c r="B1" s="56">
        <v>43586</v>
      </c>
      <c r="C1" s="57">
        <f>139430.88+416009</f>
        <v>555439.88</v>
      </c>
      <c r="D1" t="s">
        <v>3130</v>
      </c>
    </row>
    <row r="2" spans="1:4" ht="15.75" x14ac:dyDescent="0.25">
      <c r="A2" s="55" t="s">
        <v>3119</v>
      </c>
      <c r="B2" s="56">
        <v>43617</v>
      </c>
      <c r="C2" s="57">
        <v>531345.47</v>
      </c>
      <c r="D2" t="s">
        <v>3120</v>
      </c>
    </row>
    <row r="3" spans="1:4" ht="15.75" x14ac:dyDescent="0.25">
      <c r="A3" s="55" t="s">
        <v>3119</v>
      </c>
      <c r="B3" s="56">
        <v>43647</v>
      </c>
      <c r="C3" s="57">
        <v>585610.74</v>
      </c>
      <c r="D3" t="s">
        <v>3121</v>
      </c>
    </row>
    <row r="4" spans="1:4" ht="15.75" x14ac:dyDescent="0.25">
      <c r="A4" s="55" t="s">
        <v>3119</v>
      </c>
      <c r="B4" s="56">
        <v>43678</v>
      </c>
      <c r="C4" s="57">
        <v>591885.85</v>
      </c>
      <c r="D4" t="s">
        <v>3122</v>
      </c>
    </row>
    <row r="5" spans="1:4" ht="15.75" x14ac:dyDescent="0.25">
      <c r="A5" s="55" t="s">
        <v>3119</v>
      </c>
      <c r="B5" s="56">
        <v>43709</v>
      </c>
      <c r="C5" s="57">
        <v>578070.59</v>
      </c>
      <c r="D5" t="s">
        <v>3123</v>
      </c>
    </row>
    <row r="6" spans="1:4" ht="15.75" x14ac:dyDescent="0.25">
      <c r="A6" s="55" t="s">
        <v>3119</v>
      </c>
      <c r="B6" s="56">
        <v>43739</v>
      </c>
      <c r="C6" s="57" t="s">
        <v>7848</v>
      </c>
      <c r="D6" t="s">
        <v>3124</v>
      </c>
    </row>
    <row r="7" spans="1:4" ht="15.75" x14ac:dyDescent="0.25">
      <c r="A7" s="55" t="s">
        <v>3119</v>
      </c>
      <c r="B7" s="56">
        <v>43770</v>
      </c>
      <c r="C7" s="187">
        <v>593839.56999999995</v>
      </c>
      <c r="D7" t="s">
        <v>3125</v>
      </c>
    </row>
    <row r="8" spans="1:4" ht="15.75" x14ac:dyDescent="0.25">
      <c r="A8" s="55" t="s">
        <v>3119</v>
      </c>
      <c r="B8" s="56">
        <v>43800</v>
      </c>
      <c r="C8" s="57">
        <v>610499.5</v>
      </c>
      <c r="D8" t="s">
        <v>3126</v>
      </c>
    </row>
    <row r="9" spans="1:4" ht="15.75" x14ac:dyDescent="0.25">
      <c r="A9" s="55" t="s">
        <v>3119</v>
      </c>
      <c r="B9" s="56">
        <v>43831</v>
      </c>
      <c r="C9" s="57">
        <v>601613.07999999996</v>
      </c>
      <c r="D9" t="s">
        <v>3127</v>
      </c>
    </row>
    <row r="10" spans="1:4" ht="15.75" x14ac:dyDescent="0.25">
      <c r="A10" s="55" t="s">
        <v>3119</v>
      </c>
      <c r="B10" s="56">
        <v>43862</v>
      </c>
      <c r="C10" s="57">
        <v>623008.23</v>
      </c>
      <c r="D10" t="s">
        <v>3128</v>
      </c>
    </row>
    <row r="11" spans="1:4" ht="15.75" x14ac:dyDescent="0.25">
      <c r="A11" s="55" t="s">
        <v>3119</v>
      </c>
      <c r="B11" s="56">
        <v>43891</v>
      </c>
      <c r="C11" s="57">
        <v>633044.68999999994</v>
      </c>
      <c r="D11" t="s">
        <v>3129</v>
      </c>
    </row>
    <row r="12" spans="1:4" ht="21.75" customHeight="1" x14ac:dyDescent="0.25">
      <c r="A12" s="55" t="s">
        <v>3119</v>
      </c>
      <c r="B12" s="56">
        <v>43922</v>
      </c>
      <c r="C12" s="57">
        <v>633044.68999999994</v>
      </c>
      <c r="D12" t="s">
        <v>3129</v>
      </c>
    </row>
    <row r="13" spans="1:4" ht="15.75" x14ac:dyDescent="0.25">
      <c r="A13" s="55" t="s">
        <v>3119</v>
      </c>
      <c r="B13" s="56">
        <v>43952</v>
      </c>
      <c r="C13" s="57">
        <v>631822.04</v>
      </c>
      <c r="D13" t="s">
        <v>7233</v>
      </c>
    </row>
    <row r="14" spans="1:4" ht="15.75" x14ac:dyDescent="0.25">
      <c r="A14" s="55" t="s">
        <v>3119</v>
      </c>
      <c r="B14" s="56">
        <v>43983</v>
      </c>
      <c r="C14" s="57">
        <v>629780.66</v>
      </c>
      <c r="D14" t="s">
        <v>7254</v>
      </c>
    </row>
    <row r="15" spans="1:4" ht="15.75" x14ac:dyDescent="0.25">
      <c r="A15" s="55" t="s">
        <v>3119</v>
      </c>
      <c r="B15" s="56">
        <v>44013</v>
      </c>
      <c r="C15" s="57">
        <v>695392.18</v>
      </c>
      <c r="D15" t="s">
        <v>7321</v>
      </c>
    </row>
    <row r="16" spans="1:4" ht="15.75" x14ac:dyDescent="0.25">
      <c r="A16" s="55" t="s">
        <v>3119</v>
      </c>
      <c r="B16" s="56">
        <v>44044</v>
      </c>
      <c r="C16" s="57">
        <v>657455.88</v>
      </c>
      <c r="D16" t="s">
        <v>7468</v>
      </c>
    </row>
    <row r="17" spans="1:4" ht="15.75" x14ac:dyDescent="0.25">
      <c r="A17" s="55" t="s">
        <v>3119</v>
      </c>
      <c r="B17" s="56">
        <v>44075</v>
      </c>
      <c r="C17" s="57">
        <v>680308.98</v>
      </c>
      <c r="D17" t="s">
        <v>7467</v>
      </c>
    </row>
    <row r="18" spans="1:4" ht="15.75" x14ac:dyDescent="0.25">
      <c r="A18" s="55" t="s">
        <v>3119</v>
      </c>
      <c r="B18" s="56">
        <v>44105</v>
      </c>
      <c r="C18" s="57">
        <v>722401.39</v>
      </c>
      <c r="D18" t="s">
        <v>7502</v>
      </c>
    </row>
    <row r="19" spans="1:4" ht="15.75" x14ac:dyDescent="0.25">
      <c r="A19" s="55" t="s">
        <v>3119</v>
      </c>
      <c r="B19" s="56">
        <v>44136</v>
      </c>
      <c r="C19" s="57">
        <v>752208.22</v>
      </c>
      <c r="D19" t="s">
        <v>7466</v>
      </c>
    </row>
    <row r="20" spans="1:4" ht="15.75" x14ac:dyDescent="0.25">
      <c r="A20" s="55" t="s">
        <v>3119</v>
      </c>
      <c r="B20" s="56">
        <v>44166</v>
      </c>
      <c r="C20" s="57">
        <v>766306.49</v>
      </c>
      <c r="D20" t="s">
        <v>7501</v>
      </c>
    </row>
    <row r="21" spans="1:4" ht="15.75" x14ac:dyDescent="0.25">
      <c r="A21" s="55" t="s">
        <v>3119</v>
      </c>
      <c r="B21" s="56">
        <v>44197</v>
      </c>
      <c r="C21" s="57">
        <v>758496.57</v>
      </c>
      <c r="D21" s="199" t="s">
        <v>7545</v>
      </c>
    </row>
    <row r="22" spans="1:4" ht="15.75" x14ac:dyDescent="0.25">
      <c r="A22" s="55" t="s">
        <v>3119</v>
      </c>
      <c r="B22" s="56">
        <v>44228</v>
      </c>
      <c r="C22" s="206">
        <v>797787.34</v>
      </c>
      <c r="D22" t="s">
        <v>7601</v>
      </c>
    </row>
    <row r="23" spans="1:4" ht="15.75" x14ac:dyDescent="0.25">
      <c r="A23" s="55" t="s">
        <v>3119</v>
      </c>
      <c r="B23" s="56">
        <v>44256</v>
      </c>
      <c r="C23" s="206">
        <v>857155.23</v>
      </c>
      <c r="D23" t="s">
        <v>7847</v>
      </c>
    </row>
    <row r="24" spans="1:4" ht="15.75" x14ac:dyDescent="0.25">
      <c r="A24" s="55" t="s">
        <v>3119</v>
      </c>
      <c r="B24" s="56">
        <v>44287</v>
      </c>
      <c r="C24" s="206">
        <v>859785.29</v>
      </c>
      <c r="D24" t="s">
        <v>7958</v>
      </c>
    </row>
    <row r="25" spans="1:4" ht="15.75" x14ac:dyDescent="0.25">
      <c r="A25" s="55" t="s">
        <v>3119</v>
      </c>
      <c r="B25" s="56">
        <v>44317</v>
      </c>
      <c r="C25" s="206">
        <v>1002295.28</v>
      </c>
      <c r="D25" t="s">
        <v>8092</v>
      </c>
    </row>
    <row r="26" spans="1:4" ht="15.75" x14ac:dyDescent="0.25">
      <c r="A26" s="55" t="s">
        <v>3119</v>
      </c>
      <c r="B26" s="56">
        <v>44348</v>
      </c>
      <c r="C26" s="206">
        <v>1045251.09</v>
      </c>
      <c r="D26" t="s">
        <v>8133</v>
      </c>
    </row>
    <row r="27" spans="1:4" ht="15.75" x14ac:dyDescent="0.25">
      <c r="A27" s="55" t="s">
        <v>3119</v>
      </c>
      <c r="B27" s="56">
        <v>44378</v>
      </c>
      <c r="C27" s="206">
        <v>1032808.66</v>
      </c>
      <c r="D27" t="s">
        <v>8332</v>
      </c>
    </row>
    <row r="28" spans="1:4" ht="15.75" x14ac:dyDescent="0.25">
      <c r="A28" s="55" t="s">
        <v>3119</v>
      </c>
      <c r="B28" s="56">
        <v>44409</v>
      </c>
      <c r="C28" s="206">
        <v>1035959.3</v>
      </c>
      <c r="D28" t="s">
        <v>8422</v>
      </c>
    </row>
    <row r="29" spans="1:4" ht="15.75" x14ac:dyDescent="0.25">
      <c r="A29" s="55" t="s">
        <v>3119</v>
      </c>
      <c r="B29" s="56">
        <v>44440</v>
      </c>
      <c r="C29" s="206">
        <v>1032299.33</v>
      </c>
      <c r="D29" t="s">
        <v>8799</v>
      </c>
    </row>
    <row r="30" spans="1:4" ht="15.75" x14ac:dyDescent="0.25">
      <c r="A30" s="55" t="s">
        <v>3119</v>
      </c>
      <c r="B30" s="56">
        <v>44470</v>
      </c>
      <c r="C30" s="220">
        <v>996581.11</v>
      </c>
      <c r="D30" t="s">
        <v>8851</v>
      </c>
    </row>
    <row r="31" spans="1:4" ht="15.75" x14ac:dyDescent="0.25">
      <c r="B31" s="56">
        <v>44501</v>
      </c>
      <c r="C31" s="206">
        <v>1020992.1</v>
      </c>
      <c r="D31" t="s">
        <v>8852</v>
      </c>
    </row>
    <row r="32" spans="1:4" ht="15.75" x14ac:dyDescent="0.25">
      <c r="B32" s="56">
        <v>44531</v>
      </c>
      <c r="C32" s="206">
        <v>1021086.55</v>
      </c>
      <c r="D32" t="s">
        <v>8904</v>
      </c>
    </row>
    <row r="33" spans="2:4" ht="15.75" x14ac:dyDescent="0.25">
      <c r="B33" s="56">
        <v>44562</v>
      </c>
      <c r="C33" s="206">
        <v>1098506</v>
      </c>
      <c r="D33" t="s">
        <v>8905</v>
      </c>
    </row>
    <row r="34" spans="2:4" ht="15.75" x14ac:dyDescent="0.25">
      <c r="B34" s="56">
        <v>44593</v>
      </c>
      <c r="C34" s="206">
        <v>1075675.5</v>
      </c>
      <c r="D34" t="s">
        <v>8936</v>
      </c>
    </row>
    <row r="35" spans="2:4" ht="15.75" x14ac:dyDescent="0.25">
      <c r="B35" s="56">
        <v>44621</v>
      </c>
      <c r="C35" s="206">
        <v>1031053.58</v>
      </c>
      <c r="D35" t="s">
        <v>8981</v>
      </c>
    </row>
    <row r="36" spans="2:4" ht="15.75" x14ac:dyDescent="0.25">
      <c r="B36" s="56">
        <v>44652</v>
      </c>
      <c r="C36" s="206">
        <v>1077708.5900000001</v>
      </c>
      <c r="D36" t="s">
        <v>9038</v>
      </c>
    </row>
  </sheetData>
  <pageMargins left="0.511811024" right="0.511811024" top="0.78740157499999996" bottom="0.78740157499999996" header="0.31496062000000002" footer="0.3149606200000000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10"/>
  <dimension ref="A1:H215"/>
  <sheetViews>
    <sheetView showGridLines="0" view="pageBreakPreview" zoomScale="60" zoomScaleNormal="100" workbookViewId="0">
      <selection activeCell="F2" sqref="F2"/>
    </sheetView>
  </sheetViews>
  <sheetFormatPr defaultColWidth="9.140625" defaultRowHeight="15" x14ac:dyDescent="0.25"/>
  <cols>
    <col min="1" max="1" width="18.28515625" customWidth="1"/>
    <col min="2" max="2" width="15.28515625" customWidth="1"/>
    <col min="3" max="3" width="19.140625" customWidth="1"/>
    <col min="4" max="4" width="29.85546875" customWidth="1"/>
    <col min="5" max="5" width="32.85546875" customWidth="1"/>
    <col min="6" max="6" width="22.42578125" customWidth="1"/>
    <col min="7" max="7" width="16.5703125" customWidth="1"/>
    <col min="8" max="8" width="22.28515625" customWidth="1"/>
  </cols>
  <sheetData>
    <row r="1" spans="1:8" ht="26.25" x14ac:dyDescent="0.4">
      <c r="A1" s="232" t="s">
        <v>1164</v>
      </c>
      <c r="B1" s="232"/>
      <c r="C1" s="232"/>
      <c r="D1" s="232"/>
      <c r="E1" s="232"/>
      <c r="F1" s="232"/>
      <c r="G1" s="232"/>
      <c r="H1" s="232"/>
    </row>
    <row r="2" spans="1:8" x14ac:dyDescent="0.25">
      <c r="A2" s="17" t="s">
        <v>6061</v>
      </c>
      <c r="B2" s="17" t="s">
        <v>1161</v>
      </c>
      <c r="C2" s="18" t="s">
        <v>6057</v>
      </c>
      <c r="D2" s="18" t="s">
        <v>6848</v>
      </c>
      <c r="E2" s="18" t="s">
        <v>1162</v>
      </c>
      <c r="F2" s="17" t="s">
        <v>1163</v>
      </c>
      <c r="G2" s="18" t="s">
        <v>6062</v>
      </c>
      <c r="H2" s="18" t="s">
        <v>6060</v>
      </c>
    </row>
    <row r="3" spans="1:8" s="21" customFormat="1" ht="79.5" customHeight="1" x14ac:dyDescent="0.25">
      <c r="A3" s="19"/>
      <c r="B3" s="20"/>
      <c r="C3" s="20"/>
      <c r="D3" s="20"/>
      <c r="E3" s="20"/>
      <c r="F3" s="20"/>
      <c r="G3" s="20"/>
      <c r="H3" s="20"/>
    </row>
    <row r="4" spans="1:8" ht="79.5" customHeight="1" x14ac:dyDescent="0.25">
      <c r="A4" s="17"/>
      <c r="B4" s="18"/>
      <c r="C4" s="18"/>
      <c r="D4" s="18"/>
      <c r="E4" s="18"/>
      <c r="F4" s="18"/>
      <c r="G4" s="18"/>
      <c r="H4" s="18"/>
    </row>
    <row r="5" spans="1:8" ht="79.5" customHeight="1" x14ac:dyDescent="0.25">
      <c r="A5" s="17"/>
      <c r="B5" s="18"/>
      <c r="C5" s="18"/>
      <c r="D5" s="18"/>
      <c r="E5" s="18"/>
      <c r="F5" s="18"/>
      <c r="G5" s="18"/>
      <c r="H5" s="18"/>
    </row>
    <row r="6" spans="1:8" ht="79.5" customHeight="1" x14ac:dyDescent="0.25">
      <c r="A6" s="17"/>
      <c r="B6" s="18"/>
      <c r="C6" s="18"/>
      <c r="D6" s="18"/>
      <c r="E6" s="18"/>
      <c r="F6" s="18"/>
      <c r="G6" s="18"/>
      <c r="H6" s="18"/>
    </row>
    <row r="7" spans="1:8" ht="79.5" customHeight="1" x14ac:dyDescent="0.25">
      <c r="A7" s="17"/>
      <c r="B7" s="18"/>
      <c r="C7" s="18"/>
      <c r="D7" s="18"/>
      <c r="E7" s="18"/>
      <c r="F7" s="18"/>
      <c r="G7" s="18"/>
      <c r="H7" s="18"/>
    </row>
    <row r="8" spans="1:8" ht="79.5" customHeight="1" x14ac:dyDescent="0.25">
      <c r="A8" s="17"/>
      <c r="B8" s="18"/>
      <c r="C8" s="18"/>
      <c r="D8" s="18"/>
      <c r="E8" s="18"/>
      <c r="F8" s="18"/>
      <c r="G8" s="18"/>
      <c r="H8" s="18"/>
    </row>
    <row r="9" spans="1:8" ht="79.5" customHeight="1" x14ac:dyDescent="0.25">
      <c r="A9" s="17"/>
      <c r="B9" s="18"/>
      <c r="C9" s="18"/>
      <c r="D9" s="18"/>
      <c r="E9" s="18"/>
      <c r="F9" s="18"/>
      <c r="G9" s="18"/>
      <c r="H9" s="18"/>
    </row>
    <row r="10" spans="1:8" ht="79.5" customHeight="1" x14ac:dyDescent="0.25">
      <c r="A10" s="17"/>
      <c r="B10" s="18"/>
      <c r="C10" s="18"/>
      <c r="D10" s="18"/>
      <c r="E10" s="18"/>
      <c r="F10" s="18"/>
      <c r="G10" s="18"/>
      <c r="H10" s="18"/>
    </row>
    <row r="11" spans="1:8" ht="79.5" customHeight="1" x14ac:dyDescent="0.25">
      <c r="A11" s="17"/>
      <c r="B11" s="18"/>
      <c r="C11" s="18"/>
      <c r="D11" s="18"/>
      <c r="E11" s="18"/>
      <c r="F11" s="18"/>
      <c r="G11" s="18"/>
      <c r="H11" s="18"/>
    </row>
    <row r="12" spans="1:8" ht="79.5" customHeight="1" x14ac:dyDescent="0.25">
      <c r="A12" s="17"/>
      <c r="B12" s="18"/>
      <c r="C12" s="18"/>
      <c r="D12" s="18"/>
      <c r="E12" s="18"/>
      <c r="F12" s="18"/>
      <c r="G12" s="18"/>
      <c r="H12" s="18"/>
    </row>
    <row r="13" spans="1:8" ht="79.5" customHeight="1" x14ac:dyDescent="0.25">
      <c r="A13" s="17"/>
      <c r="B13" s="18"/>
      <c r="C13" s="18"/>
      <c r="D13" s="18"/>
      <c r="E13" s="18"/>
      <c r="F13" s="18"/>
      <c r="G13" s="18"/>
      <c r="H13" s="18"/>
    </row>
    <row r="14" spans="1:8" ht="79.5" customHeight="1" x14ac:dyDescent="0.25">
      <c r="A14" s="17"/>
      <c r="B14" s="18"/>
      <c r="C14" s="18"/>
      <c r="D14" s="18"/>
      <c r="E14" s="18"/>
      <c r="F14" s="18"/>
      <c r="G14" s="18"/>
      <c r="H14" s="18"/>
    </row>
    <row r="15" spans="1:8" ht="79.5" customHeight="1" x14ac:dyDescent="0.25">
      <c r="A15" s="17"/>
      <c r="B15" s="18"/>
      <c r="C15" s="18"/>
      <c r="D15" s="18"/>
      <c r="E15" s="18"/>
      <c r="F15" s="18"/>
      <c r="G15" s="18"/>
      <c r="H15" s="18"/>
    </row>
    <row r="16" spans="1:8" ht="79.5" customHeight="1" x14ac:dyDescent="0.25">
      <c r="A16" s="17"/>
      <c r="B16" s="18"/>
      <c r="C16" s="18"/>
      <c r="D16" s="18"/>
      <c r="E16" s="18"/>
      <c r="F16" s="18"/>
      <c r="G16" s="18"/>
      <c r="H16" s="18"/>
    </row>
    <row r="17" spans="1:8" ht="79.5" customHeight="1" x14ac:dyDescent="0.25">
      <c r="A17" s="17"/>
      <c r="B17" s="18"/>
      <c r="C17" s="18"/>
      <c r="D17" s="18"/>
      <c r="E17" s="18"/>
      <c r="F17" s="18"/>
      <c r="G17" s="18"/>
      <c r="H17" s="18"/>
    </row>
    <row r="18" spans="1:8" ht="79.5" customHeight="1" x14ac:dyDescent="0.25">
      <c r="A18" s="17"/>
      <c r="B18" s="18"/>
      <c r="C18" s="18"/>
      <c r="D18" s="18"/>
      <c r="E18" s="18"/>
      <c r="F18" s="18"/>
      <c r="G18" s="18"/>
      <c r="H18" s="18"/>
    </row>
    <row r="19" spans="1:8" ht="79.5" customHeight="1" x14ac:dyDescent="0.25">
      <c r="A19" s="17"/>
      <c r="B19" s="18"/>
      <c r="C19" s="18"/>
      <c r="D19" s="18"/>
      <c r="E19" s="18"/>
      <c r="F19" s="18"/>
      <c r="G19" s="18"/>
      <c r="H19" s="18"/>
    </row>
    <row r="20" spans="1:8" ht="79.5" customHeight="1" x14ac:dyDescent="0.25">
      <c r="A20" s="17"/>
      <c r="B20" s="18"/>
      <c r="C20" s="18"/>
      <c r="D20" s="18"/>
      <c r="E20" s="18"/>
      <c r="F20" s="18"/>
      <c r="G20" s="18"/>
      <c r="H20" s="18"/>
    </row>
    <row r="21" spans="1:8" ht="79.5" customHeight="1" x14ac:dyDescent="0.25">
      <c r="A21" s="17"/>
      <c r="B21" s="18"/>
      <c r="C21" s="18"/>
      <c r="D21" s="18"/>
      <c r="E21" s="18"/>
      <c r="F21" s="18"/>
      <c r="G21" s="18"/>
      <c r="H21" s="18"/>
    </row>
    <row r="22" spans="1:8" ht="79.5" customHeight="1" x14ac:dyDescent="0.25">
      <c r="A22" s="17"/>
      <c r="B22" s="18"/>
      <c r="C22" s="18"/>
      <c r="D22" s="18"/>
      <c r="E22" s="18"/>
      <c r="F22" s="18"/>
      <c r="G22" s="18"/>
      <c r="H22" s="18"/>
    </row>
    <row r="23" spans="1:8" ht="79.5" customHeight="1" x14ac:dyDescent="0.25">
      <c r="A23" s="17"/>
      <c r="B23" s="18"/>
      <c r="C23" s="18"/>
      <c r="D23" s="18"/>
      <c r="E23" s="18"/>
      <c r="F23" s="18"/>
      <c r="G23" s="18"/>
      <c r="H23" s="18"/>
    </row>
    <row r="24" spans="1:8" ht="79.5" customHeight="1" x14ac:dyDescent="0.25">
      <c r="A24" s="17"/>
      <c r="B24" s="18"/>
      <c r="C24" s="18"/>
      <c r="D24" s="18"/>
      <c r="E24" s="18"/>
      <c r="F24" s="18"/>
      <c r="G24" s="18"/>
      <c r="H24" s="18"/>
    </row>
    <row r="25" spans="1:8" ht="79.5" customHeight="1" x14ac:dyDescent="0.25">
      <c r="A25" s="17"/>
      <c r="B25" s="18"/>
      <c r="C25" s="18"/>
      <c r="D25" s="18"/>
      <c r="E25" s="18"/>
      <c r="F25" s="18"/>
      <c r="G25" s="18"/>
      <c r="H25" s="18"/>
    </row>
    <row r="26" spans="1:8" ht="79.5" customHeight="1" x14ac:dyDescent="0.25">
      <c r="A26" s="17"/>
      <c r="B26" s="18"/>
      <c r="C26" s="18"/>
      <c r="D26" s="18"/>
      <c r="E26" s="18"/>
      <c r="F26" s="18"/>
      <c r="G26" s="18"/>
      <c r="H26" s="18"/>
    </row>
    <row r="27" spans="1:8" ht="79.5" customHeight="1" x14ac:dyDescent="0.25">
      <c r="A27" s="17"/>
      <c r="B27" s="18"/>
      <c r="C27" s="18"/>
      <c r="D27" s="18"/>
      <c r="E27" s="18"/>
      <c r="F27" s="18"/>
      <c r="G27" s="18"/>
      <c r="H27" s="18"/>
    </row>
    <row r="28" spans="1:8" ht="79.5" customHeight="1" x14ac:dyDescent="0.25">
      <c r="A28" s="17"/>
      <c r="B28" s="18"/>
      <c r="C28" s="18"/>
      <c r="D28" s="18"/>
      <c r="E28" s="18"/>
      <c r="F28" s="18"/>
      <c r="G28" s="18"/>
      <c r="H28" s="18"/>
    </row>
    <row r="29" spans="1:8" ht="79.5" customHeight="1" x14ac:dyDescent="0.25">
      <c r="A29" s="17"/>
      <c r="B29" s="18"/>
      <c r="C29" s="18"/>
      <c r="D29" s="18"/>
      <c r="E29" s="18"/>
      <c r="F29" s="18"/>
      <c r="G29" s="18"/>
      <c r="H29" s="18"/>
    </row>
    <row r="30" spans="1:8" ht="79.5" customHeight="1" x14ac:dyDescent="0.25">
      <c r="A30" s="17"/>
      <c r="B30" s="18"/>
      <c r="C30" s="18"/>
      <c r="D30" s="18"/>
      <c r="E30" s="18"/>
      <c r="F30" s="18"/>
      <c r="G30" s="18"/>
      <c r="H30" s="18"/>
    </row>
    <row r="31" spans="1:8" ht="79.5" customHeight="1" x14ac:dyDescent="0.25">
      <c r="A31" s="17"/>
      <c r="B31" s="18"/>
      <c r="C31" s="18"/>
      <c r="D31" s="18"/>
      <c r="E31" s="18"/>
      <c r="F31" s="18"/>
      <c r="G31" s="18"/>
      <c r="H31" s="18"/>
    </row>
    <row r="32" spans="1:8" ht="79.5" customHeight="1" x14ac:dyDescent="0.25">
      <c r="A32" s="17"/>
      <c r="B32" s="18"/>
      <c r="C32" s="18"/>
      <c r="D32" s="18"/>
      <c r="E32" s="18"/>
      <c r="F32" s="18"/>
      <c r="G32" s="18"/>
      <c r="H32" s="18"/>
    </row>
    <row r="33" spans="1:8" ht="79.5" customHeight="1" x14ac:dyDescent="0.25">
      <c r="A33" s="17"/>
      <c r="B33" s="18"/>
      <c r="C33" s="18"/>
      <c r="D33" s="18"/>
      <c r="E33" s="18"/>
      <c r="F33" s="18"/>
      <c r="G33" s="18"/>
      <c r="H33" s="18"/>
    </row>
    <row r="34" spans="1:8" ht="79.5" customHeight="1" x14ac:dyDescent="0.25">
      <c r="A34" s="17"/>
      <c r="B34" s="18"/>
      <c r="C34" s="18"/>
      <c r="D34" s="18"/>
      <c r="E34" s="18"/>
      <c r="F34" s="18"/>
      <c r="G34" s="18"/>
      <c r="H34" s="18"/>
    </row>
    <row r="35" spans="1:8" ht="79.5" customHeight="1" x14ac:dyDescent="0.25">
      <c r="A35" s="17"/>
      <c r="B35" s="18"/>
      <c r="C35" s="18"/>
      <c r="D35" s="18"/>
      <c r="E35" s="18"/>
      <c r="F35" s="18"/>
      <c r="G35" s="18"/>
      <c r="H35" s="18"/>
    </row>
    <row r="36" spans="1:8" ht="79.5" customHeight="1" x14ac:dyDescent="0.25">
      <c r="A36" s="17"/>
      <c r="B36" s="18"/>
      <c r="C36" s="18"/>
      <c r="D36" s="18"/>
      <c r="E36" s="18"/>
      <c r="F36" s="18"/>
      <c r="G36" s="18"/>
      <c r="H36" s="18"/>
    </row>
    <row r="37" spans="1:8" ht="79.5" customHeight="1" x14ac:dyDescent="0.25">
      <c r="A37" s="17"/>
      <c r="B37" s="18"/>
      <c r="C37" s="18"/>
      <c r="D37" s="18"/>
      <c r="E37" s="18"/>
      <c r="F37" s="18"/>
      <c r="G37" s="18"/>
      <c r="H37" s="18"/>
    </row>
    <row r="38" spans="1:8" ht="79.5" customHeight="1" x14ac:dyDescent="0.25">
      <c r="A38" s="17"/>
      <c r="B38" s="18"/>
      <c r="C38" s="18"/>
      <c r="D38" s="18"/>
      <c r="E38" s="18"/>
      <c r="F38" s="18"/>
      <c r="G38" s="18"/>
      <c r="H38" s="18"/>
    </row>
    <row r="39" spans="1:8" ht="79.5" customHeight="1" x14ac:dyDescent="0.25">
      <c r="A39" s="17"/>
      <c r="B39" s="18"/>
      <c r="C39" s="18"/>
      <c r="D39" s="18"/>
      <c r="E39" s="18"/>
      <c r="F39" s="18"/>
      <c r="G39" s="18"/>
      <c r="H39" s="18"/>
    </row>
    <row r="40" spans="1:8" ht="79.5" customHeight="1" x14ac:dyDescent="0.25">
      <c r="A40" s="17"/>
      <c r="B40" s="18"/>
      <c r="C40" s="18"/>
      <c r="D40" s="18"/>
      <c r="E40" s="18"/>
      <c r="F40" s="18"/>
      <c r="G40" s="18"/>
      <c r="H40" s="18"/>
    </row>
    <row r="41" spans="1:8" ht="79.5" customHeight="1" x14ac:dyDescent="0.25">
      <c r="A41" s="17"/>
      <c r="B41" s="18"/>
      <c r="C41" s="18"/>
      <c r="D41" s="18"/>
      <c r="E41" s="18"/>
      <c r="F41" s="18"/>
      <c r="G41" s="18"/>
      <c r="H41" s="18"/>
    </row>
    <row r="42" spans="1:8" ht="79.5" customHeight="1" x14ac:dyDescent="0.25">
      <c r="A42" s="17"/>
      <c r="B42" s="18"/>
      <c r="C42" s="18"/>
      <c r="D42" s="18"/>
      <c r="E42" s="18"/>
      <c r="F42" s="18"/>
      <c r="G42" s="18"/>
      <c r="H42" s="18"/>
    </row>
    <row r="43" spans="1:8" ht="79.5" customHeight="1" x14ac:dyDescent="0.25">
      <c r="A43" s="17"/>
      <c r="B43" s="18"/>
      <c r="C43" s="18"/>
      <c r="D43" s="18"/>
      <c r="E43" s="18"/>
      <c r="F43" s="18"/>
      <c r="G43" s="18"/>
      <c r="H43" s="18"/>
    </row>
    <row r="44" spans="1:8" ht="79.5" customHeight="1" x14ac:dyDescent="0.25">
      <c r="A44" s="17"/>
      <c r="B44" s="18"/>
      <c r="C44" s="18"/>
      <c r="D44" s="18"/>
      <c r="E44" s="18"/>
      <c r="F44" s="18"/>
      <c r="G44" s="18"/>
      <c r="H44" s="18"/>
    </row>
    <row r="45" spans="1:8" ht="79.5" customHeight="1" x14ac:dyDescent="0.25">
      <c r="A45" s="17"/>
      <c r="B45" s="18"/>
      <c r="C45" s="18"/>
      <c r="D45" s="18"/>
      <c r="E45" s="18"/>
      <c r="F45" s="18"/>
      <c r="G45" s="18"/>
      <c r="H45" s="18"/>
    </row>
    <row r="46" spans="1:8" ht="79.5" customHeight="1" x14ac:dyDescent="0.25">
      <c r="A46" s="17"/>
      <c r="B46" s="18"/>
      <c r="C46" s="18"/>
      <c r="D46" s="18"/>
      <c r="E46" s="18"/>
      <c r="F46" s="18"/>
      <c r="G46" s="18"/>
      <c r="H46" s="18"/>
    </row>
    <row r="47" spans="1:8" ht="79.5" customHeight="1" x14ac:dyDescent="0.25">
      <c r="A47" s="17"/>
      <c r="B47" s="18"/>
      <c r="C47" s="18"/>
      <c r="D47" s="18"/>
      <c r="E47" s="18"/>
      <c r="F47" s="18"/>
      <c r="G47" s="18"/>
      <c r="H47" s="18"/>
    </row>
    <row r="48" spans="1:8" ht="79.5" customHeight="1" x14ac:dyDescent="0.25">
      <c r="A48" s="17"/>
      <c r="B48" s="18"/>
      <c r="C48" s="18"/>
      <c r="D48" s="18"/>
      <c r="E48" s="18"/>
      <c r="F48" s="18"/>
      <c r="G48" s="18"/>
      <c r="H48" s="18"/>
    </row>
    <row r="49" spans="1:8" ht="79.5" customHeight="1" x14ac:dyDescent="0.25">
      <c r="A49" s="17"/>
      <c r="B49" s="18"/>
      <c r="C49" s="18"/>
      <c r="D49" s="18"/>
      <c r="E49" s="18"/>
      <c r="F49" s="18"/>
      <c r="G49" s="18"/>
      <c r="H49" s="18"/>
    </row>
    <row r="50" spans="1:8" ht="79.5" customHeight="1" x14ac:dyDescent="0.25">
      <c r="A50" s="17"/>
      <c r="B50" s="18"/>
      <c r="C50" s="18"/>
      <c r="D50" s="18"/>
      <c r="E50" s="18"/>
      <c r="F50" s="18"/>
      <c r="G50" s="18"/>
      <c r="H50" s="18"/>
    </row>
    <row r="51" spans="1:8" ht="79.5" customHeight="1" x14ac:dyDescent="0.25">
      <c r="A51" s="17"/>
      <c r="B51" s="18"/>
      <c r="C51" s="18"/>
      <c r="D51" s="18"/>
      <c r="E51" s="18"/>
      <c r="F51" s="18"/>
      <c r="G51" s="18"/>
      <c r="H51" s="18"/>
    </row>
    <row r="52" spans="1:8" ht="79.5" customHeight="1" x14ac:dyDescent="0.25">
      <c r="A52" s="17"/>
      <c r="B52" s="18"/>
      <c r="C52" s="18"/>
      <c r="D52" s="18"/>
      <c r="E52" s="18"/>
      <c r="F52" s="18"/>
      <c r="G52" s="18"/>
      <c r="H52" s="18"/>
    </row>
    <row r="53" spans="1:8" ht="79.5" customHeight="1" x14ac:dyDescent="0.25">
      <c r="A53" s="17"/>
      <c r="B53" s="18"/>
      <c r="C53" s="18"/>
      <c r="D53" s="18"/>
      <c r="E53" s="18"/>
      <c r="F53" s="18"/>
      <c r="G53" s="18"/>
      <c r="H53" s="18"/>
    </row>
    <row r="54" spans="1:8" ht="79.5" customHeight="1" x14ac:dyDescent="0.25">
      <c r="A54" s="17"/>
      <c r="B54" s="18"/>
      <c r="C54" s="18"/>
      <c r="D54" s="18"/>
      <c r="E54" s="18"/>
      <c r="F54" s="18"/>
      <c r="G54" s="18"/>
      <c r="H54" s="18"/>
    </row>
    <row r="55" spans="1:8" ht="79.5" customHeight="1" x14ac:dyDescent="0.25">
      <c r="A55" s="17"/>
      <c r="B55" s="18"/>
      <c r="C55" s="18"/>
      <c r="D55" s="18"/>
      <c r="E55" s="18"/>
      <c r="F55" s="18"/>
      <c r="G55" s="18"/>
      <c r="H55" s="18"/>
    </row>
    <row r="56" spans="1:8" ht="79.5" customHeight="1" x14ac:dyDescent="0.25">
      <c r="A56" s="17"/>
      <c r="B56" s="18"/>
      <c r="C56" s="18"/>
      <c r="D56" s="18"/>
      <c r="E56" s="18"/>
      <c r="F56" s="18"/>
      <c r="G56" s="18"/>
      <c r="H56" s="18"/>
    </row>
    <row r="57" spans="1:8" ht="79.5" customHeight="1" x14ac:dyDescent="0.25">
      <c r="A57" s="17"/>
      <c r="B57" s="18"/>
      <c r="C57" s="18"/>
      <c r="D57" s="18"/>
      <c r="E57" s="18"/>
      <c r="F57" s="18"/>
      <c r="G57" s="18"/>
      <c r="H57" s="18"/>
    </row>
    <row r="58" spans="1:8" ht="79.5" customHeight="1" x14ac:dyDescent="0.25">
      <c r="A58" s="17"/>
      <c r="B58" s="18"/>
      <c r="C58" s="18"/>
      <c r="D58" s="18"/>
      <c r="E58" s="18"/>
      <c r="F58" s="18"/>
      <c r="G58" s="18"/>
      <c r="H58" s="18"/>
    </row>
    <row r="59" spans="1:8" ht="79.5" customHeight="1" x14ac:dyDescent="0.25">
      <c r="A59" s="17"/>
      <c r="B59" s="18"/>
      <c r="C59" s="18"/>
      <c r="D59" s="18"/>
      <c r="E59" s="18"/>
      <c r="F59" s="18"/>
      <c r="G59" s="18"/>
      <c r="H59" s="18"/>
    </row>
    <row r="60" spans="1:8" ht="79.5" customHeight="1" x14ac:dyDescent="0.25">
      <c r="A60" s="17"/>
      <c r="B60" s="18"/>
      <c r="C60" s="18"/>
      <c r="D60" s="18"/>
      <c r="E60" s="18"/>
      <c r="F60" s="18"/>
      <c r="G60" s="18"/>
      <c r="H60" s="18"/>
    </row>
    <row r="61" spans="1:8" ht="79.5" customHeight="1" x14ac:dyDescent="0.25">
      <c r="A61" s="17"/>
      <c r="B61" s="18"/>
      <c r="C61" s="18"/>
      <c r="D61" s="18"/>
      <c r="E61" s="18"/>
      <c r="F61" s="18"/>
      <c r="G61" s="18"/>
      <c r="H61" s="18"/>
    </row>
    <row r="62" spans="1:8" ht="79.5" customHeight="1" x14ac:dyDescent="0.25">
      <c r="A62" s="17"/>
      <c r="B62" s="18"/>
      <c r="C62" s="18"/>
      <c r="D62" s="18"/>
      <c r="E62" s="18"/>
      <c r="F62" s="18"/>
      <c r="G62" s="18"/>
      <c r="H62" s="18"/>
    </row>
    <row r="63" spans="1:8" ht="79.5" customHeight="1" x14ac:dyDescent="0.25">
      <c r="A63" s="17"/>
      <c r="B63" s="18"/>
      <c r="C63" s="18"/>
      <c r="D63" s="18"/>
      <c r="E63" s="18"/>
      <c r="F63" s="18"/>
      <c r="G63" s="18"/>
      <c r="H63" s="18"/>
    </row>
    <row r="64" spans="1:8" ht="79.5" customHeight="1" x14ac:dyDescent="0.25">
      <c r="A64" s="17"/>
      <c r="B64" s="18"/>
      <c r="C64" s="18"/>
      <c r="D64" s="18"/>
      <c r="E64" s="18"/>
      <c r="F64" s="18"/>
      <c r="G64" s="18"/>
      <c r="H64" s="18"/>
    </row>
    <row r="65" spans="1:8" ht="79.5" customHeight="1" x14ac:dyDescent="0.25">
      <c r="A65" s="17"/>
      <c r="B65" s="18"/>
      <c r="C65" s="18"/>
      <c r="D65" s="18"/>
      <c r="E65" s="18"/>
      <c r="F65" s="18"/>
      <c r="G65" s="18"/>
      <c r="H65" s="18"/>
    </row>
    <row r="66" spans="1:8" ht="79.5" customHeight="1" x14ac:dyDescent="0.25">
      <c r="A66" s="17"/>
      <c r="B66" s="18"/>
      <c r="C66" s="18"/>
      <c r="D66" s="18"/>
      <c r="E66" s="18"/>
      <c r="F66" s="18"/>
      <c r="G66" s="18"/>
      <c r="H66" s="18"/>
    </row>
    <row r="67" spans="1:8" ht="79.5" customHeight="1" x14ac:dyDescent="0.25">
      <c r="A67" s="17"/>
      <c r="B67" s="18"/>
      <c r="C67" s="18"/>
      <c r="D67" s="18"/>
      <c r="E67" s="18"/>
      <c r="F67" s="18"/>
      <c r="G67" s="18"/>
      <c r="H67" s="18"/>
    </row>
    <row r="68" spans="1:8" ht="79.5" customHeight="1" x14ac:dyDescent="0.25">
      <c r="A68" s="17"/>
      <c r="B68" s="18"/>
      <c r="C68" s="18"/>
      <c r="D68" s="18"/>
      <c r="E68" s="18"/>
      <c r="F68" s="18"/>
      <c r="G68" s="18"/>
      <c r="H68" s="18"/>
    </row>
    <row r="69" spans="1:8" ht="79.5" customHeight="1" x14ac:dyDescent="0.25">
      <c r="A69" s="17"/>
      <c r="B69" s="18"/>
      <c r="C69" s="18"/>
      <c r="D69" s="18"/>
      <c r="E69" s="18"/>
      <c r="F69" s="18"/>
      <c r="G69" s="18"/>
      <c r="H69" s="18"/>
    </row>
    <row r="70" spans="1:8" ht="79.5" customHeight="1" x14ac:dyDescent="0.25">
      <c r="A70" s="17"/>
      <c r="B70" s="18"/>
      <c r="C70" s="18"/>
      <c r="D70" s="18"/>
      <c r="E70" s="18"/>
      <c r="F70" s="18"/>
      <c r="G70" s="18"/>
      <c r="H70" s="18"/>
    </row>
    <row r="71" spans="1:8" ht="79.5" customHeight="1" x14ac:dyDescent="0.25">
      <c r="A71" s="17"/>
      <c r="B71" s="18"/>
      <c r="C71" s="18"/>
      <c r="D71" s="18"/>
      <c r="E71" s="18"/>
      <c r="F71" s="18"/>
      <c r="G71" s="18"/>
      <c r="H71" s="18"/>
    </row>
    <row r="72" spans="1:8" ht="79.5" customHeight="1" x14ac:dyDescent="0.25">
      <c r="A72" s="17"/>
      <c r="B72" s="18"/>
      <c r="C72" s="18"/>
      <c r="D72" s="18"/>
      <c r="E72" s="18"/>
      <c r="F72" s="18"/>
      <c r="G72" s="18"/>
      <c r="H72" s="18"/>
    </row>
    <row r="73" spans="1:8" ht="79.5" customHeight="1" x14ac:dyDescent="0.25">
      <c r="A73" s="17"/>
      <c r="B73" s="18"/>
      <c r="C73" s="18"/>
      <c r="D73" s="18"/>
      <c r="E73" s="18"/>
      <c r="F73" s="18"/>
      <c r="G73" s="18"/>
      <c r="H73" s="18"/>
    </row>
    <row r="74" spans="1:8" ht="79.5" customHeight="1" x14ac:dyDescent="0.25">
      <c r="A74" s="17"/>
      <c r="B74" s="18"/>
      <c r="C74" s="18"/>
      <c r="D74" s="18"/>
      <c r="E74" s="18"/>
      <c r="F74" s="18"/>
      <c r="G74" s="18"/>
      <c r="H74" s="18"/>
    </row>
    <row r="75" spans="1:8" ht="79.5" customHeight="1" x14ac:dyDescent="0.25">
      <c r="A75" s="17"/>
      <c r="B75" s="18"/>
      <c r="C75" s="18"/>
      <c r="D75" s="18"/>
      <c r="E75" s="18"/>
      <c r="F75" s="18"/>
      <c r="G75" s="18"/>
      <c r="H75" s="18"/>
    </row>
    <row r="76" spans="1:8" ht="79.5" customHeight="1" x14ac:dyDescent="0.25">
      <c r="A76" s="17"/>
      <c r="B76" s="18"/>
      <c r="C76" s="18"/>
      <c r="D76" s="18"/>
      <c r="E76" s="18"/>
      <c r="F76" s="18"/>
      <c r="G76" s="18"/>
      <c r="H76" s="18"/>
    </row>
    <row r="77" spans="1:8" ht="79.5" customHeight="1" x14ac:dyDescent="0.25">
      <c r="A77" s="17"/>
      <c r="B77" s="18"/>
      <c r="C77" s="18"/>
      <c r="D77" s="18"/>
      <c r="E77" s="18"/>
      <c r="F77" s="18"/>
      <c r="G77" s="18"/>
      <c r="H77" s="18"/>
    </row>
    <row r="78" spans="1:8" ht="79.5" customHeight="1" x14ac:dyDescent="0.25">
      <c r="A78" s="17"/>
      <c r="B78" s="18"/>
      <c r="C78" s="18"/>
      <c r="D78" s="18"/>
      <c r="E78" s="18"/>
      <c r="F78" s="18"/>
      <c r="G78" s="18"/>
      <c r="H78" s="18"/>
    </row>
    <row r="79" spans="1:8" ht="79.5" customHeight="1" x14ac:dyDescent="0.25">
      <c r="A79" s="17"/>
      <c r="B79" s="18"/>
      <c r="C79" s="18"/>
      <c r="D79" s="18"/>
      <c r="E79" s="18"/>
      <c r="F79" s="18"/>
      <c r="G79" s="18"/>
      <c r="H79" s="18"/>
    </row>
    <row r="80" spans="1:8" ht="79.5" customHeight="1" x14ac:dyDescent="0.25">
      <c r="A80" s="17"/>
      <c r="B80" s="18"/>
      <c r="C80" s="18"/>
      <c r="D80" s="18"/>
      <c r="E80" s="18"/>
      <c r="F80" s="18"/>
      <c r="G80" s="18"/>
      <c r="H80" s="18"/>
    </row>
    <row r="81" spans="1:8" ht="79.5" customHeight="1" x14ac:dyDescent="0.25">
      <c r="A81" s="17"/>
      <c r="B81" s="18"/>
      <c r="C81" s="18"/>
      <c r="D81" s="18"/>
      <c r="E81" s="18"/>
      <c r="F81" s="18"/>
      <c r="G81" s="18"/>
      <c r="H81" s="18"/>
    </row>
    <row r="82" spans="1:8" ht="79.5" customHeight="1" x14ac:dyDescent="0.25">
      <c r="A82" s="17"/>
      <c r="B82" s="18"/>
      <c r="C82" s="18"/>
      <c r="D82" s="18"/>
      <c r="E82" s="18"/>
      <c r="F82" s="18"/>
      <c r="G82" s="18"/>
      <c r="H82" s="18"/>
    </row>
    <row r="83" spans="1:8" ht="79.5" customHeight="1" x14ac:dyDescent="0.25">
      <c r="A83" s="17"/>
      <c r="B83" s="18"/>
      <c r="C83" s="18"/>
      <c r="D83" s="18"/>
      <c r="E83" s="18"/>
      <c r="F83" s="18"/>
      <c r="G83" s="18"/>
      <c r="H83" s="18"/>
    </row>
    <row r="84" spans="1:8" ht="79.5" customHeight="1" x14ac:dyDescent="0.25">
      <c r="A84" s="17"/>
      <c r="B84" s="18"/>
      <c r="C84" s="18"/>
      <c r="D84" s="18"/>
      <c r="E84" s="18"/>
      <c r="F84" s="18"/>
      <c r="G84" s="18"/>
      <c r="H84" s="18"/>
    </row>
    <row r="85" spans="1:8" ht="79.5" customHeight="1" x14ac:dyDescent="0.25">
      <c r="A85" s="17"/>
      <c r="B85" s="18"/>
      <c r="C85" s="18"/>
      <c r="D85" s="18"/>
      <c r="E85" s="18"/>
      <c r="F85" s="18"/>
      <c r="G85" s="18"/>
      <c r="H85" s="18"/>
    </row>
    <row r="86" spans="1:8" ht="79.5" customHeight="1" x14ac:dyDescent="0.25">
      <c r="A86" s="17"/>
      <c r="B86" s="18"/>
      <c r="C86" s="18"/>
      <c r="D86" s="18"/>
      <c r="E86" s="18"/>
      <c r="F86" s="18"/>
      <c r="G86" s="18"/>
      <c r="H86" s="18"/>
    </row>
    <row r="87" spans="1:8" ht="79.5" customHeight="1" x14ac:dyDescent="0.25">
      <c r="A87" s="17"/>
      <c r="B87" s="18"/>
      <c r="C87" s="18"/>
      <c r="D87" s="18"/>
      <c r="E87" s="18"/>
      <c r="F87" s="18"/>
      <c r="G87" s="18"/>
      <c r="H87" s="18"/>
    </row>
    <row r="88" spans="1:8" ht="79.5" customHeight="1" x14ac:dyDescent="0.25">
      <c r="A88" s="17"/>
      <c r="B88" s="18"/>
      <c r="C88" s="18"/>
      <c r="D88" s="18"/>
      <c r="E88" s="18"/>
      <c r="F88" s="18"/>
      <c r="G88" s="18"/>
      <c r="H88" s="18"/>
    </row>
    <row r="89" spans="1:8" ht="79.5" customHeight="1" x14ac:dyDescent="0.25">
      <c r="A89" s="17"/>
      <c r="B89" s="18"/>
      <c r="C89" s="18"/>
      <c r="D89" s="18"/>
      <c r="E89" s="18"/>
      <c r="F89" s="18"/>
      <c r="G89" s="18"/>
      <c r="H89" s="18"/>
    </row>
    <row r="90" spans="1:8" ht="79.5" customHeight="1" x14ac:dyDescent="0.25">
      <c r="A90" s="17"/>
      <c r="B90" s="18"/>
      <c r="C90" s="18"/>
      <c r="D90" s="18"/>
      <c r="E90" s="18"/>
      <c r="F90" s="18"/>
      <c r="G90" s="18"/>
      <c r="H90" s="18"/>
    </row>
    <row r="91" spans="1:8" ht="79.5" customHeight="1" x14ac:dyDescent="0.25">
      <c r="A91" s="17"/>
      <c r="B91" s="18"/>
      <c r="C91" s="18"/>
      <c r="D91" s="18"/>
      <c r="E91" s="18"/>
      <c r="F91" s="18"/>
      <c r="G91" s="18"/>
      <c r="H91" s="18"/>
    </row>
    <row r="92" spans="1:8" ht="79.5" customHeight="1" x14ac:dyDescent="0.25">
      <c r="A92" s="17"/>
      <c r="B92" s="18"/>
      <c r="C92" s="18"/>
      <c r="D92" s="18"/>
      <c r="E92" s="18"/>
      <c r="F92" s="18"/>
      <c r="G92" s="18"/>
      <c r="H92" s="18"/>
    </row>
    <row r="93" spans="1:8" ht="79.5" customHeight="1" x14ac:dyDescent="0.25">
      <c r="A93" s="17"/>
      <c r="B93" s="18"/>
      <c r="C93" s="18"/>
      <c r="D93" s="18"/>
      <c r="E93" s="18"/>
      <c r="F93" s="18"/>
      <c r="G93" s="18"/>
      <c r="H93" s="18"/>
    </row>
    <row r="94" spans="1:8" ht="79.5" customHeight="1" x14ac:dyDescent="0.25">
      <c r="A94" s="17"/>
      <c r="B94" s="18"/>
      <c r="C94" s="18"/>
      <c r="D94" s="18"/>
      <c r="E94" s="18"/>
      <c r="F94" s="18"/>
      <c r="G94" s="18"/>
      <c r="H94" s="18"/>
    </row>
    <row r="95" spans="1:8" ht="79.5" customHeight="1" x14ac:dyDescent="0.25">
      <c r="A95" s="17"/>
      <c r="B95" s="18"/>
      <c r="C95" s="18"/>
      <c r="D95" s="18"/>
      <c r="E95" s="18"/>
      <c r="F95" s="18"/>
      <c r="G95" s="18"/>
      <c r="H95" s="18"/>
    </row>
    <row r="96" spans="1:8" ht="79.5" customHeight="1" x14ac:dyDescent="0.25">
      <c r="A96" s="17"/>
      <c r="B96" s="18"/>
      <c r="C96" s="18"/>
      <c r="D96" s="18"/>
      <c r="E96" s="18"/>
      <c r="F96" s="18"/>
      <c r="G96" s="18"/>
      <c r="H96" s="18"/>
    </row>
    <row r="97" spans="1:8" ht="79.5" customHeight="1" x14ac:dyDescent="0.25">
      <c r="A97" s="17"/>
      <c r="B97" s="18"/>
      <c r="C97" s="18"/>
      <c r="D97" s="18"/>
      <c r="E97" s="18"/>
      <c r="F97" s="18"/>
      <c r="G97" s="18"/>
      <c r="H97" s="18"/>
    </row>
    <row r="98" spans="1:8" ht="79.5" customHeight="1" x14ac:dyDescent="0.25">
      <c r="A98" s="17"/>
      <c r="B98" s="18"/>
      <c r="C98" s="18"/>
      <c r="D98" s="18"/>
      <c r="E98" s="18"/>
      <c r="F98" s="18"/>
      <c r="G98" s="18"/>
      <c r="H98" s="18"/>
    </row>
    <row r="99" spans="1:8" ht="79.5" customHeight="1" x14ac:dyDescent="0.25">
      <c r="A99" s="17"/>
      <c r="B99" s="18"/>
      <c r="C99" s="18"/>
      <c r="D99" s="18"/>
      <c r="E99" s="18"/>
      <c r="F99" s="18"/>
      <c r="G99" s="18"/>
      <c r="H99" s="18"/>
    </row>
    <row r="100" spans="1:8" ht="79.5" customHeight="1" x14ac:dyDescent="0.25">
      <c r="A100" s="17"/>
      <c r="B100" s="18"/>
      <c r="C100" s="18"/>
      <c r="D100" s="18"/>
      <c r="E100" s="18"/>
      <c r="F100" s="18"/>
      <c r="G100" s="18"/>
      <c r="H100" s="18"/>
    </row>
    <row r="101" spans="1:8" ht="79.5" customHeight="1" x14ac:dyDescent="0.25">
      <c r="A101" s="17"/>
      <c r="B101" s="18"/>
      <c r="C101" s="18"/>
      <c r="D101" s="18"/>
      <c r="E101" s="18"/>
      <c r="F101" s="18"/>
      <c r="G101" s="18"/>
      <c r="H101" s="18"/>
    </row>
    <row r="102" spans="1:8" ht="79.5" customHeight="1" x14ac:dyDescent="0.25">
      <c r="A102" s="17"/>
      <c r="B102" s="18"/>
      <c r="C102" s="18"/>
      <c r="D102" s="18"/>
      <c r="E102" s="18"/>
      <c r="F102" s="18"/>
      <c r="G102" s="18"/>
      <c r="H102" s="18"/>
    </row>
    <row r="103" spans="1:8" ht="79.5" customHeight="1" x14ac:dyDescent="0.25">
      <c r="A103" s="17"/>
      <c r="B103" s="18"/>
      <c r="C103" s="18"/>
      <c r="D103" s="18"/>
      <c r="E103" s="18"/>
      <c r="F103" s="18"/>
      <c r="G103" s="18"/>
      <c r="H103" s="18"/>
    </row>
    <row r="104" spans="1:8" ht="79.5" customHeight="1" x14ac:dyDescent="0.25">
      <c r="A104" s="17"/>
      <c r="B104" s="18"/>
      <c r="C104" s="18"/>
      <c r="D104" s="18"/>
      <c r="E104" s="18"/>
      <c r="F104" s="18"/>
      <c r="G104" s="18"/>
      <c r="H104" s="18"/>
    </row>
    <row r="105" spans="1:8" ht="79.5" customHeight="1" x14ac:dyDescent="0.25">
      <c r="A105" s="17"/>
      <c r="B105" s="18"/>
      <c r="C105" s="18"/>
      <c r="D105" s="18"/>
      <c r="E105" s="18"/>
      <c r="F105" s="18"/>
      <c r="G105" s="18"/>
      <c r="H105" s="18"/>
    </row>
    <row r="106" spans="1:8" ht="79.5" customHeight="1" x14ac:dyDescent="0.25">
      <c r="A106" s="17"/>
      <c r="B106" s="18"/>
      <c r="C106" s="18"/>
      <c r="D106" s="18"/>
      <c r="E106" s="18"/>
      <c r="F106" s="18"/>
      <c r="G106" s="18"/>
      <c r="H106" s="18"/>
    </row>
    <row r="107" spans="1:8" ht="79.5" customHeight="1" x14ac:dyDescent="0.25">
      <c r="A107" s="17"/>
      <c r="B107" s="18"/>
      <c r="C107" s="18"/>
      <c r="D107" s="18"/>
      <c r="E107" s="18"/>
      <c r="F107" s="18"/>
      <c r="G107" s="18"/>
      <c r="H107" s="18"/>
    </row>
    <row r="108" spans="1:8" ht="79.5" customHeight="1" x14ac:dyDescent="0.25">
      <c r="A108" s="17"/>
      <c r="B108" s="18"/>
      <c r="C108" s="18"/>
      <c r="D108" s="18"/>
      <c r="E108" s="18"/>
      <c r="F108" s="18"/>
      <c r="G108" s="18"/>
      <c r="H108" s="18"/>
    </row>
    <row r="109" spans="1:8" ht="79.5" customHeight="1" x14ac:dyDescent="0.25">
      <c r="A109" s="17"/>
      <c r="B109" s="18"/>
      <c r="C109" s="18"/>
      <c r="D109" s="18"/>
      <c r="E109" s="18"/>
      <c r="F109" s="18"/>
      <c r="G109" s="18"/>
      <c r="H109" s="18"/>
    </row>
    <row r="110" spans="1:8" ht="79.5" customHeight="1" x14ac:dyDescent="0.25">
      <c r="A110" s="17"/>
      <c r="B110" s="18"/>
      <c r="C110" s="18"/>
      <c r="D110" s="18"/>
      <c r="E110" s="18"/>
      <c r="F110" s="18"/>
      <c r="G110" s="18"/>
      <c r="H110" s="18"/>
    </row>
    <row r="111" spans="1:8" ht="79.5" customHeight="1" x14ac:dyDescent="0.25">
      <c r="A111" s="17"/>
      <c r="B111" s="18"/>
      <c r="C111" s="18"/>
      <c r="D111" s="18"/>
      <c r="E111" s="18"/>
      <c r="F111" s="18"/>
      <c r="G111" s="18"/>
      <c r="H111" s="18"/>
    </row>
    <row r="112" spans="1:8" ht="79.5" customHeight="1" x14ac:dyDescent="0.25">
      <c r="A112" s="17"/>
      <c r="B112" s="18"/>
      <c r="C112" s="18"/>
      <c r="D112" s="18"/>
      <c r="E112" s="18"/>
      <c r="F112" s="18"/>
      <c r="G112" s="18"/>
      <c r="H112" s="18"/>
    </row>
    <row r="113" spans="1:8" ht="79.5" customHeight="1" x14ac:dyDescent="0.25">
      <c r="A113" s="17"/>
      <c r="B113" s="18"/>
      <c r="C113" s="18"/>
      <c r="D113" s="18"/>
      <c r="E113" s="18"/>
      <c r="F113" s="18"/>
      <c r="G113" s="18"/>
      <c r="H113" s="18"/>
    </row>
    <row r="114" spans="1:8" ht="79.5" customHeight="1" x14ac:dyDescent="0.25">
      <c r="A114" s="17"/>
      <c r="B114" s="18"/>
      <c r="C114" s="18"/>
      <c r="D114" s="18"/>
      <c r="E114" s="18"/>
      <c r="F114" s="18"/>
      <c r="G114" s="18"/>
      <c r="H114" s="18"/>
    </row>
    <row r="115" spans="1:8" ht="79.5" customHeight="1" x14ac:dyDescent="0.25">
      <c r="A115" s="17"/>
      <c r="B115" s="18"/>
      <c r="C115" s="18"/>
      <c r="D115" s="18"/>
      <c r="E115" s="18"/>
      <c r="F115" s="18"/>
      <c r="G115" s="18"/>
      <c r="H115" s="18"/>
    </row>
    <row r="116" spans="1:8" ht="79.5" customHeight="1" x14ac:dyDescent="0.25">
      <c r="A116" s="17"/>
      <c r="B116" s="18"/>
      <c r="C116" s="18"/>
      <c r="D116" s="18"/>
      <c r="E116" s="18"/>
      <c r="F116" s="18"/>
      <c r="G116" s="18"/>
      <c r="H116" s="18"/>
    </row>
    <row r="117" spans="1:8" ht="79.5" customHeight="1" x14ac:dyDescent="0.25">
      <c r="A117" s="17"/>
      <c r="B117" s="18"/>
      <c r="C117" s="18"/>
      <c r="D117" s="18"/>
      <c r="E117" s="18"/>
      <c r="F117" s="18"/>
      <c r="G117" s="18"/>
      <c r="H117" s="18"/>
    </row>
    <row r="118" spans="1:8" ht="79.5" customHeight="1" x14ac:dyDescent="0.25">
      <c r="A118" s="17"/>
      <c r="B118" s="18"/>
      <c r="C118" s="18"/>
      <c r="D118" s="18"/>
      <c r="E118" s="18"/>
      <c r="F118" s="18"/>
      <c r="G118" s="18"/>
      <c r="H118" s="18"/>
    </row>
    <row r="119" spans="1:8" ht="79.5" customHeight="1" x14ac:dyDescent="0.25">
      <c r="A119" s="17"/>
      <c r="B119" s="18"/>
      <c r="C119" s="18"/>
      <c r="D119" s="18"/>
      <c r="E119" s="18"/>
      <c r="F119" s="18"/>
      <c r="G119" s="18"/>
      <c r="H119" s="18"/>
    </row>
    <row r="120" spans="1:8" ht="79.5" customHeight="1" x14ac:dyDescent="0.25">
      <c r="A120" s="17"/>
      <c r="B120" s="18"/>
      <c r="C120" s="18"/>
      <c r="D120" s="18"/>
      <c r="E120" s="18"/>
      <c r="F120" s="18"/>
      <c r="G120" s="18"/>
      <c r="H120" s="18"/>
    </row>
    <row r="121" spans="1:8" ht="79.5" customHeight="1" x14ac:dyDescent="0.25">
      <c r="A121" s="17"/>
      <c r="B121" s="18"/>
      <c r="C121" s="18"/>
      <c r="D121" s="18"/>
      <c r="E121" s="18"/>
      <c r="F121" s="18"/>
      <c r="G121" s="18"/>
      <c r="H121" s="18"/>
    </row>
    <row r="122" spans="1:8" ht="79.5" customHeight="1" x14ac:dyDescent="0.25">
      <c r="A122" s="17"/>
      <c r="B122" s="18"/>
      <c r="C122" s="18"/>
      <c r="D122" s="18"/>
      <c r="E122" s="18"/>
      <c r="F122" s="18"/>
      <c r="G122" s="18"/>
      <c r="H122" s="18"/>
    </row>
    <row r="123" spans="1:8" ht="79.5" customHeight="1" x14ac:dyDescent="0.25">
      <c r="A123" s="17"/>
      <c r="B123" s="18"/>
      <c r="C123" s="18"/>
      <c r="D123" s="18"/>
      <c r="E123" s="18"/>
      <c r="F123" s="18"/>
      <c r="G123" s="18"/>
      <c r="H123" s="18"/>
    </row>
    <row r="124" spans="1:8" ht="79.5" customHeight="1" x14ac:dyDescent="0.25">
      <c r="A124" s="17"/>
      <c r="B124" s="18"/>
      <c r="C124" s="18"/>
      <c r="D124" s="18"/>
      <c r="E124" s="18"/>
      <c r="F124" s="18"/>
      <c r="G124" s="18"/>
      <c r="H124" s="18"/>
    </row>
    <row r="125" spans="1:8" ht="79.5" customHeight="1" x14ac:dyDescent="0.25">
      <c r="A125" s="17"/>
      <c r="B125" s="18"/>
      <c r="C125" s="18"/>
      <c r="D125" s="18"/>
      <c r="E125" s="18"/>
      <c r="F125" s="18"/>
      <c r="G125" s="18"/>
      <c r="H125" s="18"/>
    </row>
    <row r="126" spans="1:8" ht="79.5" customHeight="1" x14ac:dyDescent="0.25">
      <c r="A126" s="17"/>
      <c r="B126" s="18"/>
      <c r="C126" s="18"/>
      <c r="D126" s="18"/>
      <c r="E126" s="18"/>
      <c r="F126" s="18"/>
      <c r="G126" s="18"/>
      <c r="H126" s="18"/>
    </row>
    <row r="127" spans="1:8" ht="79.5" customHeight="1" x14ac:dyDescent="0.25">
      <c r="A127" s="17"/>
      <c r="B127" s="18"/>
      <c r="C127" s="18"/>
      <c r="D127" s="18"/>
      <c r="E127" s="18"/>
      <c r="F127" s="18"/>
      <c r="G127" s="18"/>
      <c r="H127" s="18"/>
    </row>
    <row r="128" spans="1:8" ht="79.5" customHeight="1" x14ac:dyDescent="0.25">
      <c r="A128" s="17"/>
      <c r="B128" s="18"/>
      <c r="C128" s="18"/>
      <c r="D128" s="18"/>
      <c r="E128" s="18"/>
      <c r="F128" s="18"/>
      <c r="G128" s="18"/>
      <c r="H128" s="18"/>
    </row>
    <row r="129" spans="1:8" ht="79.5" customHeight="1" x14ac:dyDescent="0.25">
      <c r="A129" s="17"/>
      <c r="B129" s="18"/>
      <c r="C129" s="18"/>
      <c r="D129" s="18"/>
      <c r="E129" s="18"/>
      <c r="F129" s="18"/>
      <c r="G129" s="18"/>
      <c r="H129" s="18"/>
    </row>
    <row r="130" spans="1:8" ht="79.5" customHeight="1" x14ac:dyDescent="0.25">
      <c r="A130" s="17"/>
      <c r="B130" s="18"/>
      <c r="C130" s="18"/>
      <c r="D130" s="18"/>
      <c r="E130" s="18"/>
      <c r="F130" s="18"/>
      <c r="G130" s="18"/>
      <c r="H130" s="18"/>
    </row>
    <row r="131" spans="1:8" ht="79.5" customHeight="1" x14ac:dyDescent="0.25">
      <c r="A131" s="17"/>
      <c r="B131" s="18"/>
      <c r="C131" s="18"/>
      <c r="D131" s="18"/>
      <c r="E131" s="18"/>
      <c r="F131" s="18"/>
      <c r="G131" s="18"/>
      <c r="H131" s="18"/>
    </row>
    <row r="132" spans="1:8" ht="79.5" customHeight="1" x14ac:dyDescent="0.25">
      <c r="A132" s="17"/>
      <c r="B132" s="18"/>
      <c r="C132" s="18"/>
      <c r="D132" s="18"/>
      <c r="E132" s="18"/>
      <c r="F132" s="18"/>
      <c r="G132" s="18"/>
      <c r="H132" s="18"/>
    </row>
    <row r="133" spans="1:8" ht="79.5" customHeight="1" x14ac:dyDescent="0.25">
      <c r="A133" s="17"/>
      <c r="B133" s="18"/>
      <c r="C133" s="18"/>
      <c r="D133" s="18"/>
      <c r="E133" s="18"/>
      <c r="F133" s="18"/>
      <c r="G133" s="18"/>
      <c r="H133" s="18"/>
    </row>
    <row r="134" spans="1:8" ht="79.5" customHeight="1" x14ac:dyDescent="0.25">
      <c r="A134" s="17"/>
      <c r="B134" s="18"/>
      <c r="C134" s="18"/>
      <c r="D134" s="18"/>
      <c r="E134" s="18"/>
      <c r="F134" s="18"/>
      <c r="G134" s="18"/>
      <c r="H134" s="18"/>
    </row>
    <row r="135" spans="1:8" ht="79.5" customHeight="1" x14ac:dyDescent="0.25">
      <c r="A135" s="17"/>
      <c r="B135" s="18"/>
      <c r="C135" s="18"/>
      <c r="D135" s="18"/>
      <c r="E135" s="18"/>
      <c r="F135" s="18"/>
      <c r="G135" s="18"/>
      <c r="H135" s="18"/>
    </row>
    <row r="136" spans="1:8" ht="79.5" customHeight="1" x14ac:dyDescent="0.25">
      <c r="A136" s="17"/>
      <c r="B136" s="18"/>
      <c r="C136" s="18"/>
      <c r="D136" s="18"/>
      <c r="E136" s="18"/>
      <c r="F136" s="18"/>
      <c r="G136" s="18"/>
      <c r="H136" s="18"/>
    </row>
    <row r="137" spans="1:8" ht="79.5" customHeight="1" x14ac:dyDescent="0.25">
      <c r="A137" s="17"/>
      <c r="B137" s="18"/>
      <c r="C137" s="18"/>
      <c r="D137" s="18"/>
      <c r="E137" s="18"/>
      <c r="F137" s="18"/>
      <c r="G137" s="18"/>
      <c r="H137" s="18"/>
    </row>
    <row r="138" spans="1:8" ht="79.5" customHeight="1" x14ac:dyDescent="0.25">
      <c r="A138" s="17"/>
      <c r="B138" s="18"/>
      <c r="C138" s="18"/>
      <c r="D138" s="18"/>
      <c r="E138" s="18"/>
      <c r="F138" s="18"/>
      <c r="G138" s="18"/>
      <c r="H138" s="18"/>
    </row>
    <row r="139" spans="1:8" ht="79.5" customHeight="1" x14ac:dyDescent="0.25">
      <c r="A139" s="17"/>
      <c r="B139" s="18"/>
      <c r="C139" s="18"/>
      <c r="D139" s="18"/>
      <c r="E139" s="18"/>
      <c r="F139" s="18"/>
      <c r="G139" s="18"/>
      <c r="H139" s="18"/>
    </row>
    <row r="140" spans="1:8" ht="79.5" customHeight="1" x14ac:dyDescent="0.25">
      <c r="A140" s="17"/>
      <c r="B140" s="18"/>
      <c r="C140" s="18"/>
      <c r="D140" s="18"/>
      <c r="E140" s="18"/>
      <c r="F140" s="18"/>
      <c r="G140" s="18"/>
      <c r="H140" s="18"/>
    </row>
    <row r="141" spans="1:8" ht="79.5" customHeight="1" x14ac:dyDescent="0.25">
      <c r="A141" s="17"/>
      <c r="B141" s="18"/>
      <c r="C141" s="18"/>
      <c r="D141" s="18"/>
      <c r="E141" s="18"/>
      <c r="F141" s="18"/>
      <c r="G141" s="18"/>
      <c r="H141" s="18"/>
    </row>
    <row r="142" spans="1:8" ht="79.5" customHeight="1" x14ac:dyDescent="0.25">
      <c r="A142" s="17"/>
      <c r="B142" s="18"/>
      <c r="C142" s="18"/>
      <c r="D142" s="18"/>
      <c r="E142" s="18"/>
      <c r="F142" s="18"/>
      <c r="G142" s="18"/>
      <c r="H142" s="18"/>
    </row>
    <row r="143" spans="1:8" ht="79.5" customHeight="1" x14ac:dyDescent="0.25">
      <c r="A143" s="17"/>
      <c r="B143" s="18"/>
      <c r="C143" s="18"/>
      <c r="D143" s="18"/>
      <c r="E143" s="18"/>
      <c r="F143" s="18"/>
      <c r="G143" s="18"/>
      <c r="H143" s="18"/>
    </row>
    <row r="144" spans="1:8" ht="79.5" customHeight="1" x14ac:dyDescent="0.25">
      <c r="A144" s="17"/>
      <c r="B144" s="18"/>
      <c r="C144" s="18"/>
      <c r="D144" s="18"/>
      <c r="E144" s="18"/>
      <c r="F144" s="18"/>
      <c r="G144" s="18"/>
      <c r="H144" s="18"/>
    </row>
    <row r="145" spans="1:8" ht="79.5" customHeight="1" x14ac:dyDescent="0.25">
      <c r="A145" s="17"/>
      <c r="B145" s="18"/>
      <c r="C145" s="18"/>
      <c r="D145" s="18"/>
      <c r="E145" s="18"/>
      <c r="F145" s="18"/>
      <c r="G145" s="18"/>
      <c r="H145" s="18"/>
    </row>
    <row r="146" spans="1:8" ht="79.5" customHeight="1" x14ac:dyDescent="0.25">
      <c r="A146" s="17"/>
      <c r="B146" s="18"/>
      <c r="C146" s="18"/>
      <c r="D146" s="18"/>
      <c r="E146" s="18"/>
      <c r="F146" s="18"/>
      <c r="G146" s="18"/>
      <c r="H146" s="18"/>
    </row>
    <row r="147" spans="1:8" ht="79.5" customHeight="1" x14ac:dyDescent="0.25">
      <c r="A147" s="17"/>
      <c r="B147" s="18"/>
      <c r="C147" s="18"/>
      <c r="D147" s="18"/>
      <c r="E147" s="18"/>
      <c r="F147" s="18"/>
      <c r="G147" s="18"/>
      <c r="H147" s="18"/>
    </row>
    <row r="148" spans="1:8" ht="79.5" customHeight="1" x14ac:dyDescent="0.25">
      <c r="A148" s="17"/>
      <c r="B148" s="18"/>
      <c r="C148" s="18"/>
      <c r="D148" s="18"/>
      <c r="E148" s="18"/>
      <c r="F148" s="18"/>
      <c r="G148" s="18"/>
      <c r="H148" s="18"/>
    </row>
    <row r="149" spans="1:8" ht="79.5" customHeight="1" x14ac:dyDescent="0.25">
      <c r="A149" s="17"/>
      <c r="B149" s="18"/>
      <c r="C149" s="18"/>
      <c r="D149" s="18"/>
      <c r="E149" s="18"/>
      <c r="F149" s="18"/>
      <c r="G149" s="18"/>
      <c r="H149" s="18"/>
    </row>
    <row r="150" spans="1:8" ht="79.5" customHeight="1" x14ac:dyDescent="0.25">
      <c r="A150" s="17"/>
      <c r="B150" s="18"/>
      <c r="C150" s="18"/>
      <c r="D150" s="18"/>
      <c r="E150" s="18"/>
      <c r="F150" s="18"/>
      <c r="G150" s="18"/>
      <c r="H150" s="18"/>
    </row>
    <row r="151" spans="1:8" ht="79.5" customHeight="1" x14ac:dyDescent="0.25">
      <c r="A151" s="17"/>
      <c r="B151" s="18"/>
      <c r="C151" s="18"/>
      <c r="D151" s="18"/>
      <c r="E151" s="18"/>
      <c r="F151" s="18"/>
      <c r="G151" s="18"/>
      <c r="H151" s="18"/>
    </row>
    <row r="152" spans="1:8" ht="79.5" customHeight="1" x14ac:dyDescent="0.25">
      <c r="A152" s="17"/>
      <c r="B152" s="18"/>
      <c r="C152" s="18"/>
      <c r="D152" s="18"/>
      <c r="E152" s="18"/>
      <c r="F152" s="18"/>
      <c r="G152" s="18"/>
      <c r="H152" s="18"/>
    </row>
    <row r="153" spans="1:8" ht="79.5" customHeight="1" x14ac:dyDescent="0.25">
      <c r="A153" s="17"/>
      <c r="B153" s="18"/>
      <c r="C153" s="18"/>
      <c r="D153" s="18"/>
      <c r="E153" s="18"/>
      <c r="F153" s="18"/>
      <c r="G153" s="18"/>
      <c r="H153" s="18"/>
    </row>
    <row r="154" spans="1:8" ht="79.5" customHeight="1" x14ac:dyDescent="0.25">
      <c r="A154" s="17"/>
      <c r="B154" s="18"/>
      <c r="C154" s="18"/>
      <c r="D154" s="18"/>
      <c r="E154" s="18"/>
      <c r="F154" s="18"/>
      <c r="G154" s="18"/>
      <c r="H154" s="18"/>
    </row>
    <row r="155" spans="1:8" ht="79.5" customHeight="1" x14ac:dyDescent="0.25">
      <c r="A155" s="17"/>
      <c r="B155" s="18"/>
      <c r="C155" s="18"/>
      <c r="D155" s="18"/>
      <c r="E155" s="18"/>
      <c r="F155" s="18"/>
      <c r="G155" s="18"/>
      <c r="H155" s="18"/>
    </row>
    <row r="156" spans="1:8" ht="79.5" customHeight="1" x14ac:dyDescent="0.25">
      <c r="A156" s="17"/>
      <c r="B156" s="18"/>
      <c r="C156" s="18"/>
      <c r="D156" s="18"/>
      <c r="E156" s="18"/>
      <c r="F156" s="18"/>
      <c r="G156" s="18"/>
      <c r="H156" s="18"/>
    </row>
    <row r="157" spans="1:8" ht="79.5" customHeight="1" x14ac:dyDescent="0.25">
      <c r="A157" s="17"/>
      <c r="B157" s="18"/>
      <c r="C157" s="18"/>
      <c r="D157" s="18"/>
      <c r="E157" s="18"/>
      <c r="F157" s="18"/>
      <c r="G157" s="18"/>
      <c r="H157" s="18"/>
    </row>
    <row r="158" spans="1:8" ht="79.5" customHeight="1" x14ac:dyDescent="0.25">
      <c r="A158" s="17"/>
      <c r="B158" s="18"/>
      <c r="C158" s="18"/>
      <c r="D158" s="18"/>
      <c r="E158" s="18"/>
      <c r="F158" s="18"/>
      <c r="G158" s="18"/>
      <c r="H158" s="18"/>
    </row>
    <row r="159" spans="1:8" ht="79.5" customHeight="1" x14ac:dyDescent="0.25">
      <c r="A159" s="17"/>
      <c r="B159" s="18"/>
      <c r="C159" s="18"/>
      <c r="D159" s="18"/>
      <c r="E159" s="18"/>
      <c r="F159" s="18"/>
      <c r="G159" s="18"/>
      <c r="H159" s="18"/>
    </row>
    <row r="160" spans="1:8" ht="79.5" customHeight="1" x14ac:dyDescent="0.25">
      <c r="A160" s="17"/>
      <c r="B160" s="18"/>
      <c r="C160" s="18"/>
      <c r="D160" s="18"/>
      <c r="E160" s="18"/>
      <c r="F160" s="18"/>
      <c r="G160" s="18"/>
      <c r="H160" s="18"/>
    </row>
    <row r="161" spans="1:8" ht="79.5" customHeight="1" x14ac:dyDescent="0.25">
      <c r="A161" s="17"/>
      <c r="B161" s="18"/>
      <c r="C161" s="18"/>
      <c r="D161" s="18"/>
      <c r="E161" s="18"/>
      <c r="F161" s="18"/>
      <c r="G161" s="18"/>
      <c r="H161" s="18"/>
    </row>
    <row r="162" spans="1:8" ht="79.5" customHeight="1" x14ac:dyDescent="0.25">
      <c r="A162" s="17"/>
      <c r="B162" s="18"/>
      <c r="C162" s="18"/>
      <c r="D162" s="18"/>
      <c r="E162" s="18"/>
      <c r="F162" s="18"/>
      <c r="G162" s="18"/>
      <c r="H162" s="18"/>
    </row>
    <row r="163" spans="1:8" ht="79.5" customHeight="1" x14ac:dyDescent="0.25">
      <c r="A163" s="17"/>
      <c r="B163" s="18"/>
      <c r="C163" s="18"/>
      <c r="D163" s="18"/>
      <c r="E163" s="18"/>
      <c r="F163" s="18"/>
      <c r="G163" s="18"/>
      <c r="H163" s="18"/>
    </row>
    <row r="164" spans="1:8" ht="79.5" customHeight="1" x14ac:dyDescent="0.25">
      <c r="A164" s="17"/>
      <c r="B164" s="18"/>
      <c r="C164" s="18"/>
      <c r="D164" s="18"/>
      <c r="E164" s="18"/>
      <c r="F164" s="18"/>
      <c r="G164" s="18"/>
      <c r="H164" s="18"/>
    </row>
    <row r="165" spans="1:8" ht="79.5" customHeight="1" x14ac:dyDescent="0.25">
      <c r="A165" s="17"/>
      <c r="B165" s="18"/>
      <c r="C165" s="18"/>
      <c r="D165" s="18"/>
      <c r="E165" s="18"/>
      <c r="F165" s="18"/>
      <c r="G165" s="18"/>
      <c r="H165" s="18"/>
    </row>
    <row r="166" spans="1:8" ht="79.5" customHeight="1" x14ac:dyDescent="0.25">
      <c r="A166" s="17"/>
      <c r="B166" s="18"/>
      <c r="C166" s="18"/>
      <c r="D166" s="18"/>
      <c r="E166" s="18"/>
      <c r="F166" s="18"/>
      <c r="G166" s="18"/>
      <c r="H166" s="18"/>
    </row>
    <row r="167" spans="1:8" ht="79.5" customHeight="1" x14ac:dyDescent="0.25">
      <c r="A167" s="17"/>
      <c r="B167" s="18"/>
      <c r="C167" s="18"/>
      <c r="D167" s="18"/>
      <c r="E167" s="18"/>
      <c r="F167" s="18"/>
      <c r="G167" s="18"/>
      <c r="H167" s="18"/>
    </row>
    <row r="168" spans="1:8" ht="79.5" customHeight="1" x14ac:dyDescent="0.25">
      <c r="A168" s="17"/>
      <c r="B168" s="18"/>
      <c r="C168" s="18"/>
      <c r="D168" s="18"/>
      <c r="E168" s="18"/>
      <c r="F168" s="18"/>
      <c r="G168" s="18"/>
      <c r="H168" s="18"/>
    </row>
    <row r="169" spans="1:8" ht="79.5" customHeight="1" x14ac:dyDescent="0.25">
      <c r="A169" s="17"/>
      <c r="B169" s="18"/>
      <c r="C169" s="18"/>
      <c r="D169" s="18"/>
      <c r="E169" s="18"/>
      <c r="F169" s="18"/>
      <c r="G169" s="18"/>
      <c r="H169" s="18"/>
    </row>
    <row r="170" spans="1:8" ht="79.5" customHeight="1" x14ac:dyDescent="0.25">
      <c r="A170" s="17"/>
      <c r="B170" s="18"/>
      <c r="C170" s="18"/>
      <c r="D170" s="18"/>
      <c r="E170" s="18"/>
      <c r="F170" s="18"/>
      <c r="G170" s="18"/>
      <c r="H170" s="18"/>
    </row>
    <row r="171" spans="1:8" ht="79.5" customHeight="1" x14ac:dyDescent="0.25">
      <c r="A171" s="17"/>
      <c r="B171" s="18"/>
      <c r="C171" s="18"/>
      <c r="D171" s="18"/>
      <c r="E171" s="18"/>
      <c r="F171" s="18"/>
      <c r="G171" s="18"/>
      <c r="H171" s="18"/>
    </row>
    <row r="172" spans="1:8" ht="79.5" customHeight="1" x14ac:dyDescent="0.25">
      <c r="A172" s="17"/>
      <c r="B172" s="18"/>
      <c r="C172" s="18"/>
      <c r="D172" s="18"/>
      <c r="E172" s="18"/>
      <c r="F172" s="18"/>
      <c r="G172" s="18"/>
      <c r="H172" s="18"/>
    </row>
    <row r="173" spans="1:8" ht="79.5" customHeight="1" x14ac:dyDescent="0.25">
      <c r="A173" s="17"/>
      <c r="B173" s="18"/>
      <c r="C173" s="18"/>
      <c r="D173" s="18"/>
      <c r="E173" s="18"/>
      <c r="F173" s="18"/>
      <c r="G173" s="18"/>
      <c r="H173" s="18"/>
    </row>
    <row r="174" spans="1:8" ht="79.5" customHeight="1" x14ac:dyDescent="0.25">
      <c r="A174" s="17"/>
      <c r="B174" s="18"/>
      <c r="C174" s="18"/>
      <c r="D174" s="18"/>
      <c r="E174" s="18"/>
      <c r="F174" s="18"/>
      <c r="G174" s="18"/>
      <c r="H174" s="18"/>
    </row>
    <row r="175" spans="1:8" ht="79.5" customHeight="1" x14ac:dyDescent="0.25">
      <c r="A175" s="17"/>
      <c r="B175" s="18"/>
      <c r="C175" s="18"/>
      <c r="D175" s="18"/>
      <c r="E175" s="18"/>
      <c r="F175" s="18"/>
      <c r="G175" s="18"/>
      <c r="H175" s="18"/>
    </row>
    <row r="176" spans="1:8" ht="79.5" customHeight="1" x14ac:dyDescent="0.25">
      <c r="A176" s="17"/>
      <c r="B176" s="18"/>
      <c r="C176" s="18"/>
      <c r="D176" s="18"/>
      <c r="E176" s="18"/>
      <c r="F176" s="18"/>
      <c r="G176" s="18"/>
      <c r="H176" s="18"/>
    </row>
    <row r="177" spans="1:8" ht="79.5" customHeight="1" x14ac:dyDescent="0.25">
      <c r="A177" s="17"/>
      <c r="B177" s="18"/>
      <c r="C177" s="18"/>
      <c r="D177" s="18"/>
      <c r="E177" s="18"/>
      <c r="F177" s="18"/>
      <c r="G177" s="18"/>
      <c r="H177" s="18"/>
    </row>
    <row r="178" spans="1:8" ht="79.5" customHeight="1" x14ac:dyDescent="0.25">
      <c r="A178" s="17"/>
      <c r="B178" s="18"/>
      <c r="C178" s="18"/>
      <c r="D178" s="18"/>
      <c r="E178" s="18"/>
      <c r="F178" s="18"/>
      <c r="G178" s="18"/>
      <c r="H178" s="18"/>
    </row>
    <row r="179" spans="1:8" ht="79.5" customHeight="1" x14ac:dyDescent="0.25">
      <c r="A179" s="17"/>
      <c r="B179" s="18"/>
      <c r="C179" s="18"/>
      <c r="D179" s="18"/>
      <c r="E179" s="18"/>
      <c r="F179" s="18"/>
      <c r="G179" s="18"/>
      <c r="H179" s="18"/>
    </row>
    <row r="180" spans="1:8" ht="79.5" customHeight="1" x14ac:dyDescent="0.25">
      <c r="A180" s="17"/>
      <c r="B180" s="18"/>
      <c r="C180" s="18"/>
      <c r="D180" s="18"/>
      <c r="E180" s="18"/>
      <c r="F180" s="18"/>
      <c r="G180" s="18"/>
      <c r="H180" s="18"/>
    </row>
    <row r="181" spans="1:8" ht="79.5" customHeight="1" x14ac:dyDescent="0.25">
      <c r="A181" s="17"/>
      <c r="B181" s="18"/>
      <c r="C181" s="18"/>
      <c r="D181" s="18"/>
      <c r="E181" s="18"/>
      <c r="F181" s="18"/>
      <c r="G181" s="18"/>
      <c r="H181" s="18"/>
    </row>
    <row r="182" spans="1:8" ht="79.5" customHeight="1" x14ac:dyDescent="0.25">
      <c r="A182" s="17"/>
      <c r="B182" s="18"/>
      <c r="C182" s="18"/>
      <c r="D182" s="18"/>
      <c r="E182" s="18"/>
      <c r="F182" s="18"/>
      <c r="G182" s="18"/>
      <c r="H182" s="18"/>
    </row>
    <row r="183" spans="1:8" ht="79.5" customHeight="1" x14ac:dyDescent="0.25">
      <c r="A183" s="17"/>
      <c r="B183" s="18"/>
      <c r="C183" s="18"/>
      <c r="D183" s="18"/>
      <c r="E183" s="18"/>
      <c r="F183" s="18"/>
      <c r="G183" s="18"/>
      <c r="H183" s="18"/>
    </row>
    <row r="184" spans="1:8" ht="79.5" customHeight="1" x14ac:dyDescent="0.25">
      <c r="A184" s="17"/>
      <c r="B184" s="18"/>
      <c r="C184" s="18"/>
      <c r="D184" s="18"/>
      <c r="E184" s="18"/>
      <c r="F184" s="18"/>
      <c r="G184" s="18"/>
      <c r="H184" s="18"/>
    </row>
    <row r="185" spans="1:8" ht="79.5" customHeight="1" x14ac:dyDescent="0.25">
      <c r="A185" s="17"/>
      <c r="B185" s="18"/>
      <c r="C185" s="18"/>
      <c r="D185" s="18"/>
      <c r="E185" s="18"/>
      <c r="F185" s="18"/>
      <c r="G185" s="18"/>
      <c r="H185" s="18"/>
    </row>
    <row r="186" spans="1:8" ht="79.5" customHeight="1" x14ac:dyDescent="0.25">
      <c r="A186" s="17"/>
      <c r="B186" s="18"/>
      <c r="C186" s="18"/>
      <c r="D186" s="18"/>
      <c r="E186" s="18"/>
      <c r="F186" s="18"/>
      <c r="G186" s="18"/>
      <c r="H186" s="18"/>
    </row>
    <row r="187" spans="1:8" ht="79.5" customHeight="1" x14ac:dyDescent="0.25">
      <c r="A187" s="17"/>
      <c r="B187" s="18"/>
      <c r="C187" s="18"/>
      <c r="D187" s="18"/>
      <c r="E187" s="18"/>
      <c r="F187" s="18"/>
      <c r="G187" s="18"/>
      <c r="H187" s="18"/>
    </row>
    <row r="188" spans="1:8" ht="79.5" customHeight="1" x14ac:dyDescent="0.25">
      <c r="A188" s="17"/>
      <c r="B188" s="18"/>
      <c r="C188" s="18"/>
      <c r="D188" s="18"/>
      <c r="E188" s="18"/>
      <c r="F188" s="18"/>
      <c r="G188" s="18"/>
      <c r="H188" s="18"/>
    </row>
    <row r="189" spans="1:8" ht="79.5" customHeight="1" x14ac:dyDescent="0.25">
      <c r="A189" s="17"/>
      <c r="B189" s="18"/>
      <c r="C189" s="18"/>
      <c r="D189" s="18"/>
      <c r="E189" s="18"/>
      <c r="F189" s="18"/>
      <c r="G189" s="18"/>
      <c r="H189" s="18"/>
    </row>
    <row r="190" spans="1:8" ht="79.5" customHeight="1" x14ac:dyDescent="0.25">
      <c r="A190" s="17"/>
      <c r="B190" s="18"/>
      <c r="C190" s="18"/>
      <c r="D190" s="18"/>
      <c r="E190" s="18"/>
      <c r="F190" s="18"/>
      <c r="G190" s="18"/>
      <c r="H190" s="18"/>
    </row>
    <row r="191" spans="1:8" ht="79.5" customHeight="1" x14ac:dyDescent="0.25">
      <c r="A191" s="17"/>
      <c r="B191" s="18"/>
      <c r="C191" s="18"/>
      <c r="D191" s="18"/>
      <c r="E191" s="18"/>
      <c r="F191" s="18"/>
      <c r="G191" s="18"/>
      <c r="H191" s="18"/>
    </row>
    <row r="192" spans="1:8" ht="79.5" customHeight="1" x14ac:dyDescent="0.25">
      <c r="A192" s="17"/>
      <c r="B192" s="18"/>
      <c r="C192" s="18"/>
      <c r="D192" s="18"/>
      <c r="E192" s="18"/>
      <c r="F192" s="18"/>
      <c r="G192" s="18"/>
      <c r="H192" s="18"/>
    </row>
    <row r="193" spans="1:8" ht="79.5" customHeight="1" x14ac:dyDescent="0.25">
      <c r="A193" s="17"/>
      <c r="B193" s="18"/>
      <c r="C193" s="18"/>
      <c r="D193" s="18"/>
      <c r="E193" s="18"/>
      <c r="F193" s="18"/>
      <c r="G193" s="18"/>
      <c r="H193" s="18"/>
    </row>
    <row r="194" spans="1:8" ht="79.5" customHeight="1" x14ac:dyDescent="0.25">
      <c r="A194" s="17"/>
      <c r="B194" s="18"/>
      <c r="C194" s="18"/>
      <c r="D194" s="18"/>
      <c r="E194" s="18"/>
      <c r="F194" s="18"/>
      <c r="G194" s="18"/>
      <c r="H194" s="18"/>
    </row>
    <row r="195" spans="1:8" ht="79.5" customHeight="1" x14ac:dyDescent="0.25">
      <c r="A195" s="17"/>
      <c r="B195" s="18"/>
      <c r="C195" s="18"/>
      <c r="D195" s="18"/>
      <c r="E195" s="18"/>
      <c r="F195" s="18"/>
      <c r="G195" s="18"/>
      <c r="H195" s="18"/>
    </row>
    <row r="196" spans="1:8" ht="79.5" customHeight="1" x14ac:dyDescent="0.25">
      <c r="A196" s="17"/>
      <c r="B196" s="18"/>
      <c r="C196" s="18"/>
      <c r="D196" s="18"/>
      <c r="E196" s="18"/>
      <c r="F196" s="18"/>
      <c r="G196" s="18"/>
      <c r="H196" s="18"/>
    </row>
    <row r="197" spans="1:8" ht="79.5" customHeight="1" x14ac:dyDescent="0.25">
      <c r="A197" s="17"/>
      <c r="B197" s="18"/>
      <c r="C197" s="18"/>
      <c r="D197" s="18"/>
      <c r="E197" s="18"/>
      <c r="F197" s="18"/>
      <c r="G197" s="18"/>
      <c r="H197" s="18"/>
    </row>
    <row r="198" spans="1:8" ht="79.5" customHeight="1" x14ac:dyDescent="0.25">
      <c r="A198" s="17"/>
      <c r="B198" s="18"/>
      <c r="C198" s="18"/>
      <c r="D198" s="18"/>
      <c r="E198" s="18"/>
      <c r="F198" s="18"/>
      <c r="G198" s="18"/>
      <c r="H198" s="18"/>
    </row>
    <row r="199" spans="1:8" ht="79.5" customHeight="1" x14ac:dyDescent="0.25">
      <c r="A199" s="17"/>
      <c r="B199" s="18"/>
      <c r="C199" s="18"/>
      <c r="D199" s="18"/>
      <c r="E199" s="18"/>
      <c r="F199" s="18"/>
      <c r="G199" s="18"/>
      <c r="H199" s="18"/>
    </row>
    <row r="200" spans="1:8" ht="79.5" customHeight="1" x14ac:dyDescent="0.25">
      <c r="A200" s="17"/>
      <c r="B200" s="18"/>
      <c r="C200" s="18"/>
      <c r="D200" s="18"/>
      <c r="E200" s="18"/>
      <c r="F200" s="18"/>
      <c r="G200" s="18"/>
      <c r="H200" s="18"/>
    </row>
    <row r="201" spans="1:8" ht="79.5" customHeight="1" x14ac:dyDescent="0.25">
      <c r="A201" s="17"/>
      <c r="B201" s="18"/>
      <c r="C201" s="18"/>
      <c r="D201" s="18"/>
      <c r="E201" s="18"/>
      <c r="F201" s="18"/>
      <c r="G201" s="18"/>
      <c r="H201" s="18"/>
    </row>
    <row r="202" spans="1:8" ht="79.5" customHeight="1" x14ac:dyDescent="0.25">
      <c r="A202" s="17"/>
      <c r="B202" s="18"/>
      <c r="C202" s="18"/>
      <c r="D202" s="18"/>
      <c r="E202" s="18"/>
      <c r="F202" s="18"/>
      <c r="G202" s="18"/>
      <c r="H202" s="18"/>
    </row>
    <row r="203" spans="1:8" ht="79.5" customHeight="1" x14ac:dyDescent="0.25">
      <c r="A203" s="17"/>
      <c r="B203" s="18"/>
      <c r="C203" s="18"/>
      <c r="D203" s="18"/>
      <c r="E203" s="18"/>
      <c r="F203" s="18"/>
      <c r="G203" s="18"/>
      <c r="H203" s="18"/>
    </row>
    <row r="204" spans="1:8" ht="79.5" customHeight="1" x14ac:dyDescent="0.25">
      <c r="A204" s="17"/>
      <c r="B204" s="18"/>
      <c r="C204" s="18"/>
      <c r="D204" s="18"/>
      <c r="E204" s="18"/>
      <c r="F204" s="18"/>
      <c r="G204" s="18"/>
      <c r="H204" s="18"/>
    </row>
    <row r="205" spans="1:8" ht="79.5" customHeight="1" x14ac:dyDescent="0.25">
      <c r="A205" s="17"/>
      <c r="B205" s="18"/>
      <c r="C205" s="18"/>
      <c r="D205" s="18"/>
      <c r="E205" s="18"/>
      <c r="F205" s="18"/>
      <c r="G205" s="18"/>
      <c r="H205" s="18"/>
    </row>
    <row r="206" spans="1:8" ht="79.5" customHeight="1" x14ac:dyDescent="0.25">
      <c r="A206" s="17"/>
      <c r="B206" s="18"/>
      <c r="C206" s="18"/>
      <c r="D206" s="18"/>
      <c r="E206" s="18"/>
      <c r="F206" s="18"/>
      <c r="G206" s="18"/>
      <c r="H206" s="18"/>
    </row>
    <row r="207" spans="1:8" ht="79.5" customHeight="1" x14ac:dyDescent="0.25">
      <c r="A207" s="17"/>
      <c r="B207" s="18"/>
      <c r="C207" s="18"/>
      <c r="D207" s="18"/>
      <c r="E207" s="18"/>
      <c r="F207" s="18"/>
      <c r="G207" s="18"/>
      <c r="H207" s="18"/>
    </row>
    <row r="208" spans="1:8" ht="79.5" customHeight="1" x14ac:dyDescent="0.25">
      <c r="A208" s="17"/>
      <c r="B208" s="18"/>
      <c r="C208" s="18"/>
      <c r="D208" s="18"/>
      <c r="E208" s="18"/>
      <c r="F208" s="18"/>
      <c r="G208" s="18"/>
      <c r="H208" s="18"/>
    </row>
    <row r="209" spans="1:8" ht="79.5" customHeight="1" x14ac:dyDescent="0.25">
      <c r="A209" s="17"/>
      <c r="B209" s="18"/>
      <c r="C209" s="18"/>
      <c r="D209" s="18"/>
      <c r="E209" s="18"/>
      <c r="F209" s="18"/>
      <c r="G209" s="18"/>
      <c r="H209" s="18"/>
    </row>
    <row r="210" spans="1:8" ht="79.5" customHeight="1" x14ac:dyDescent="0.25">
      <c r="A210" s="17"/>
      <c r="B210" s="18"/>
      <c r="C210" s="18"/>
      <c r="D210" s="18"/>
      <c r="E210" s="18"/>
      <c r="F210" s="18"/>
      <c r="G210" s="18"/>
      <c r="H210" s="18"/>
    </row>
    <row r="211" spans="1:8" ht="79.5" customHeight="1" x14ac:dyDescent="0.25">
      <c r="A211" s="17"/>
      <c r="B211" s="18"/>
      <c r="C211" s="18"/>
      <c r="D211" s="18"/>
      <c r="E211" s="18"/>
      <c r="F211" s="18"/>
      <c r="G211" s="18"/>
      <c r="H211" s="18"/>
    </row>
    <row r="212" spans="1:8" ht="79.5" customHeight="1" x14ac:dyDescent="0.25">
      <c r="A212" s="17"/>
      <c r="B212" s="18"/>
      <c r="C212" s="18"/>
      <c r="D212" s="18"/>
      <c r="E212" s="18"/>
      <c r="F212" s="18"/>
      <c r="G212" s="18"/>
      <c r="H212" s="18"/>
    </row>
    <row r="213" spans="1:8" ht="79.5" customHeight="1" x14ac:dyDescent="0.25">
      <c r="A213" s="17"/>
      <c r="B213" s="18"/>
      <c r="C213" s="18"/>
      <c r="D213" s="18"/>
      <c r="E213" s="18"/>
      <c r="F213" s="18"/>
      <c r="G213" s="18"/>
      <c r="H213" s="18"/>
    </row>
    <row r="214" spans="1:8" ht="79.5" customHeight="1" x14ac:dyDescent="0.25">
      <c r="A214" s="17"/>
      <c r="B214" s="18"/>
      <c r="C214" s="18"/>
      <c r="D214" s="18"/>
      <c r="E214" s="18"/>
      <c r="F214" s="18"/>
      <c r="G214" s="18"/>
      <c r="H214" s="18"/>
    </row>
    <row r="215" spans="1:8" ht="79.5" customHeight="1" x14ac:dyDescent="0.25">
      <c r="A215" s="17"/>
      <c r="B215" s="18"/>
      <c r="C215" s="18"/>
      <c r="D215" s="18"/>
      <c r="E215" s="18"/>
      <c r="F215" s="18"/>
      <c r="G215" s="18"/>
      <c r="H215" s="18"/>
    </row>
  </sheetData>
  <mergeCells count="1">
    <mergeCell ref="A1:H1"/>
  </mergeCells>
  <printOptions horizontalCentered="1"/>
  <pageMargins left="0" right="0" top="0" bottom="0" header="0" footer="0"/>
  <pageSetup paperSize="9" scale="80" orientation="landscape" r:id="rId1"/>
  <headerFooter>
    <oddFooter>&amp;L&amp;F&amp;C&amp;N&amp;R&amp;D</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8"/>
  <dimension ref="A1:C5107"/>
  <sheetViews>
    <sheetView showGridLines="0" workbookViewId="0">
      <pane ySplit="2" topLeftCell="A5094" activePane="bottomLeft" state="frozen"/>
      <selection pane="bottomLeft" activeCell="A5107" sqref="A5107"/>
    </sheetView>
  </sheetViews>
  <sheetFormatPr defaultRowHeight="15" x14ac:dyDescent="0.25"/>
  <cols>
    <col min="1" max="1" width="9.5703125" style="42" customWidth="1"/>
    <col min="2" max="2" width="12.140625" style="42" bestFit="1" customWidth="1"/>
    <col min="3" max="3" width="71.42578125" style="42" bestFit="1" customWidth="1"/>
    <col min="4" max="16384" width="9.140625" style="42"/>
  </cols>
  <sheetData>
    <row r="1" spans="1:3" customFormat="1" x14ac:dyDescent="0.25">
      <c r="A1" t="s">
        <v>1381</v>
      </c>
    </row>
    <row r="2" spans="1:3" x14ac:dyDescent="0.25">
      <c r="A2" s="42" t="s">
        <v>0</v>
      </c>
      <c r="B2" s="42" t="s">
        <v>1382</v>
      </c>
      <c r="C2" s="42" t="s">
        <v>1383</v>
      </c>
    </row>
    <row r="3" spans="1:3" x14ac:dyDescent="0.25">
      <c r="A3" s="42">
        <v>1</v>
      </c>
      <c r="B3" s="43">
        <v>4000</v>
      </c>
      <c r="C3" s="42" t="s">
        <v>1384</v>
      </c>
    </row>
    <row r="4" spans="1:3" x14ac:dyDescent="0.25">
      <c r="A4" s="42">
        <v>1</v>
      </c>
      <c r="B4" s="43">
        <v>4000</v>
      </c>
      <c r="C4" s="42" t="s">
        <v>1384</v>
      </c>
    </row>
    <row r="5" spans="1:3" x14ac:dyDescent="0.25">
      <c r="A5" s="42">
        <v>2</v>
      </c>
      <c r="B5" s="43">
        <v>1000</v>
      </c>
      <c r="C5" s="42" t="s">
        <v>1384</v>
      </c>
    </row>
    <row r="6" spans="1:3" x14ac:dyDescent="0.25">
      <c r="A6" s="42">
        <v>6</v>
      </c>
      <c r="B6" s="43">
        <v>50</v>
      </c>
      <c r="C6" s="42" t="s">
        <v>1384</v>
      </c>
    </row>
    <row r="7" spans="1:3" x14ac:dyDescent="0.25">
      <c r="A7" s="42">
        <v>6</v>
      </c>
      <c r="B7" s="43">
        <v>50</v>
      </c>
      <c r="C7" s="42" t="s">
        <v>1384</v>
      </c>
    </row>
    <row r="8" spans="1:3" x14ac:dyDescent="0.25">
      <c r="A8" s="42">
        <v>6</v>
      </c>
      <c r="B8" s="43">
        <v>50</v>
      </c>
      <c r="C8" s="42" t="s">
        <v>1384</v>
      </c>
    </row>
    <row r="9" spans="1:3" x14ac:dyDescent="0.25">
      <c r="A9" s="42">
        <v>7</v>
      </c>
      <c r="B9" s="43"/>
      <c r="C9" s="42" t="s">
        <v>1384</v>
      </c>
    </row>
    <row r="10" spans="1:3" x14ac:dyDescent="0.25">
      <c r="A10" s="42">
        <v>8</v>
      </c>
      <c r="B10" s="43">
        <v>555.34</v>
      </c>
      <c r="C10" s="42" t="s">
        <v>1384</v>
      </c>
    </row>
    <row r="11" spans="1:3" x14ac:dyDescent="0.25">
      <c r="A11" s="42">
        <v>9</v>
      </c>
      <c r="B11" s="43">
        <v>96.79</v>
      </c>
      <c r="C11" s="42" t="s">
        <v>1384</v>
      </c>
    </row>
    <row r="12" spans="1:3" x14ac:dyDescent="0.25">
      <c r="A12" s="42">
        <v>10</v>
      </c>
      <c r="B12" s="43">
        <v>993.25</v>
      </c>
      <c r="C12" s="42" t="s">
        <v>1384</v>
      </c>
    </row>
    <row r="13" spans="1:3" x14ac:dyDescent="0.25">
      <c r="A13" s="42">
        <v>11</v>
      </c>
      <c r="B13" s="43"/>
      <c r="C13" s="42" t="s">
        <v>1384</v>
      </c>
    </row>
    <row r="14" spans="1:3" x14ac:dyDescent="0.25">
      <c r="A14" s="42">
        <v>11</v>
      </c>
      <c r="B14" s="43"/>
      <c r="C14" s="42" t="s">
        <v>1384</v>
      </c>
    </row>
    <row r="15" spans="1:3" x14ac:dyDescent="0.25">
      <c r="A15" s="42">
        <v>11</v>
      </c>
      <c r="B15" s="43">
        <v>308</v>
      </c>
      <c r="C15" s="42" t="s">
        <v>1384</v>
      </c>
    </row>
    <row r="16" spans="1:3" x14ac:dyDescent="0.25">
      <c r="A16" s="42">
        <v>12</v>
      </c>
      <c r="B16" s="43"/>
      <c r="C16" s="42" t="s">
        <v>1384</v>
      </c>
    </row>
    <row r="17" spans="1:3" x14ac:dyDescent="0.25">
      <c r="A17" s="42">
        <v>14</v>
      </c>
      <c r="B17" s="43"/>
      <c r="C17" s="42" t="s">
        <v>1384</v>
      </c>
    </row>
    <row r="18" spans="1:3" x14ac:dyDescent="0.25">
      <c r="A18" s="42">
        <v>14</v>
      </c>
      <c r="B18" s="43"/>
      <c r="C18" s="42" t="s">
        <v>1384</v>
      </c>
    </row>
    <row r="19" spans="1:3" x14ac:dyDescent="0.25">
      <c r="A19" s="42">
        <v>14</v>
      </c>
      <c r="B19" s="43"/>
      <c r="C19" s="42" t="s">
        <v>1384</v>
      </c>
    </row>
    <row r="20" spans="1:3" x14ac:dyDescent="0.25">
      <c r="A20" s="42">
        <v>16</v>
      </c>
      <c r="B20" s="43"/>
      <c r="C20" s="42" t="s">
        <v>1384</v>
      </c>
    </row>
    <row r="21" spans="1:3" x14ac:dyDescent="0.25">
      <c r="A21" s="42">
        <v>18</v>
      </c>
      <c r="B21" s="43"/>
      <c r="C21" s="42" t="s">
        <v>1384</v>
      </c>
    </row>
    <row r="22" spans="1:3" x14ac:dyDescent="0.25">
      <c r="A22" s="42">
        <v>50</v>
      </c>
      <c r="B22" s="43"/>
      <c r="C22" s="42" t="s">
        <v>1384</v>
      </c>
    </row>
    <row r="23" spans="1:3" x14ac:dyDescent="0.25">
      <c r="A23" s="42">
        <v>51</v>
      </c>
      <c r="B23" s="43"/>
      <c r="C23" s="42" t="s">
        <v>1384</v>
      </c>
    </row>
    <row r="24" spans="1:3" x14ac:dyDescent="0.25">
      <c r="A24" s="42">
        <v>53</v>
      </c>
      <c r="B24" s="43">
        <v>26.39</v>
      </c>
      <c r="C24" s="42" t="s">
        <v>1384</v>
      </c>
    </row>
    <row r="25" spans="1:3" x14ac:dyDescent="0.25">
      <c r="A25" s="42">
        <v>53</v>
      </c>
      <c r="B25" s="43">
        <v>26.39</v>
      </c>
      <c r="C25" s="42" t="s">
        <v>1384</v>
      </c>
    </row>
    <row r="26" spans="1:3" x14ac:dyDescent="0.25">
      <c r="A26" s="42">
        <v>56</v>
      </c>
      <c r="B26" s="43">
        <v>29</v>
      </c>
      <c r="C26" s="42" t="s">
        <v>1384</v>
      </c>
    </row>
    <row r="27" spans="1:3" x14ac:dyDescent="0.25">
      <c r="A27" s="42">
        <v>56</v>
      </c>
      <c r="B27" s="43">
        <v>29</v>
      </c>
      <c r="C27" s="42" t="s">
        <v>1384</v>
      </c>
    </row>
    <row r="28" spans="1:3" x14ac:dyDescent="0.25">
      <c r="A28" s="42">
        <v>56</v>
      </c>
      <c r="B28" s="43">
        <v>29</v>
      </c>
      <c r="C28" s="42" t="s">
        <v>1384</v>
      </c>
    </row>
    <row r="29" spans="1:3" x14ac:dyDescent="0.25">
      <c r="A29" s="42">
        <v>56</v>
      </c>
      <c r="B29" s="43">
        <v>29</v>
      </c>
      <c r="C29" s="42" t="s">
        <v>1384</v>
      </c>
    </row>
    <row r="30" spans="1:3" x14ac:dyDescent="0.25">
      <c r="A30" s="42">
        <v>56</v>
      </c>
      <c r="B30" s="43">
        <v>29</v>
      </c>
      <c r="C30" s="42" t="s">
        <v>1384</v>
      </c>
    </row>
    <row r="31" spans="1:3" x14ac:dyDescent="0.25">
      <c r="A31" s="42">
        <v>56</v>
      </c>
      <c r="B31" s="43">
        <v>29</v>
      </c>
      <c r="C31" s="42" t="s">
        <v>1384</v>
      </c>
    </row>
    <row r="32" spans="1:3" x14ac:dyDescent="0.25">
      <c r="A32" s="42">
        <v>56</v>
      </c>
      <c r="B32" s="43">
        <v>29</v>
      </c>
      <c r="C32" s="42" t="s">
        <v>1384</v>
      </c>
    </row>
    <row r="33" spans="1:3" x14ac:dyDescent="0.25">
      <c r="A33" s="42">
        <v>56</v>
      </c>
      <c r="B33" s="43">
        <v>29</v>
      </c>
      <c r="C33" s="42" t="s">
        <v>1384</v>
      </c>
    </row>
    <row r="34" spans="1:3" x14ac:dyDescent="0.25">
      <c r="A34" s="42">
        <v>56</v>
      </c>
      <c r="B34" s="43">
        <v>29</v>
      </c>
      <c r="C34" s="42" t="s">
        <v>1384</v>
      </c>
    </row>
    <row r="35" spans="1:3" x14ac:dyDescent="0.25">
      <c r="A35" s="42">
        <v>56</v>
      </c>
      <c r="B35" s="43">
        <v>29</v>
      </c>
      <c r="C35" s="42" t="s">
        <v>1384</v>
      </c>
    </row>
    <row r="36" spans="1:3" x14ac:dyDescent="0.25">
      <c r="A36" s="42">
        <v>56</v>
      </c>
      <c r="B36" s="43">
        <v>29</v>
      </c>
      <c r="C36" s="42" t="s">
        <v>1384</v>
      </c>
    </row>
    <row r="37" spans="1:3" x14ac:dyDescent="0.25">
      <c r="A37" s="42">
        <v>56</v>
      </c>
      <c r="B37" s="43">
        <v>29</v>
      </c>
      <c r="C37" s="42" t="s">
        <v>1384</v>
      </c>
    </row>
    <row r="38" spans="1:3" x14ac:dyDescent="0.25">
      <c r="A38" s="42">
        <v>56</v>
      </c>
      <c r="B38" s="43">
        <v>29</v>
      </c>
      <c r="C38" s="42" t="s">
        <v>1384</v>
      </c>
    </row>
    <row r="39" spans="1:3" x14ac:dyDescent="0.25">
      <c r="A39" s="42">
        <v>56</v>
      </c>
      <c r="B39" s="43">
        <v>29</v>
      </c>
      <c r="C39" s="42" t="s">
        <v>1384</v>
      </c>
    </row>
    <row r="40" spans="1:3" x14ac:dyDescent="0.25">
      <c r="A40" s="42">
        <v>56</v>
      </c>
      <c r="B40" s="43">
        <v>29</v>
      </c>
      <c r="C40" s="42" t="s">
        <v>1384</v>
      </c>
    </row>
    <row r="41" spans="1:3" x14ac:dyDescent="0.25">
      <c r="A41" s="42">
        <v>56</v>
      </c>
      <c r="B41" s="43">
        <v>29</v>
      </c>
      <c r="C41" s="42" t="s">
        <v>1384</v>
      </c>
    </row>
    <row r="42" spans="1:3" x14ac:dyDescent="0.25">
      <c r="A42" s="42">
        <v>56</v>
      </c>
      <c r="B42" s="43">
        <v>29</v>
      </c>
      <c r="C42" s="42" t="s">
        <v>1384</v>
      </c>
    </row>
    <row r="43" spans="1:3" x14ac:dyDescent="0.25">
      <c r="A43" s="42">
        <v>56</v>
      </c>
      <c r="B43" s="43">
        <v>29</v>
      </c>
      <c r="C43" s="42" t="s">
        <v>1384</v>
      </c>
    </row>
    <row r="44" spans="1:3" x14ac:dyDescent="0.25">
      <c r="A44" s="42">
        <v>56</v>
      </c>
      <c r="B44" s="43">
        <v>29</v>
      </c>
      <c r="C44" s="42" t="s">
        <v>1384</v>
      </c>
    </row>
    <row r="45" spans="1:3" x14ac:dyDescent="0.25">
      <c r="A45" s="42">
        <v>56</v>
      </c>
      <c r="B45" s="43">
        <v>29</v>
      </c>
      <c r="C45" s="42" t="s">
        <v>1384</v>
      </c>
    </row>
    <row r="46" spans="1:3" x14ac:dyDescent="0.25">
      <c r="A46" s="42">
        <v>56</v>
      </c>
      <c r="B46" s="43">
        <v>29</v>
      </c>
      <c r="C46" s="42" t="s">
        <v>1384</v>
      </c>
    </row>
    <row r="47" spans="1:3" x14ac:dyDescent="0.25">
      <c r="A47" s="42">
        <v>56</v>
      </c>
      <c r="B47" s="43">
        <v>29</v>
      </c>
      <c r="C47" s="42" t="s">
        <v>1384</v>
      </c>
    </row>
    <row r="48" spans="1:3" x14ac:dyDescent="0.25">
      <c r="A48" s="42">
        <v>56</v>
      </c>
      <c r="B48" s="43">
        <v>29</v>
      </c>
      <c r="C48" s="42" t="s">
        <v>1384</v>
      </c>
    </row>
    <row r="49" spans="1:3" x14ac:dyDescent="0.25">
      <c r="A49" s="42">
        <v>56</v>
      </c>
      <c r="B49" s="43">
        <v>29</v>
      </c>
      <c r="C49" s="42" t="s">
        <v>1384</v>
      </c>
    </row>
    <row r="50" spans="1:3" x14ac:dyDescent="0.25">
      <c r="A50" s="42">
        <v>56</v>
      </c>
      <c r="B50" s="43">
        <v>29</v>
      </c>
      <c r="C50" s="42" t="s">
        <v>1384</v>
      </c>
    </row>
    <row r="51" spans="1:3" x14ac:dyDescent="0.25">
      <c r="A51" s="42">
        <v>56</v>
      </c>
      <c r="B51" s="43">
        <v>29</v>
      </c>
      <c r="C51" s="42" t="s">
        <v>1384</v>
      </c>
    </row>
    <row r="52" spans="1:3" x14ac:dyDescent="0.25">
      <c r="A52" s="42">
        <v>56</v>
      </c>
      <c r="B52" s="43">
        <v>29</v>
      </c>
      <c r="C52" s="42" t="s">
        <v>1384</v>
      </c>
    </row>
    <row r="53" spans="1:3" x14ac:dyDescent="0.25">
      <c r="A53" s="42">
        <v>56</v>
      </c>
      <c r="B53" s="43">
        <v>29</v>
      </c>
      <c r="C53" s="42" t="s">
        <v>1384</v>
      </c>
    </row>
    <row r="54" spans="1:3" x14ac:dyDescent="0.25">
      <c r="A54" s="42">
        <v>56</v>
      </c>
      <c r="B54" s="43">
        <v>29</v>
      </c>
      <c r="C54" s="42" t="s">
        <v>1384</v>
      </c>
    </row>
    <row r="55" spans="1:3" x14ac:dyDescent="0.25">
      <c r="A55" s="42">
        <v>59</v>
      </c>
      <c r="B55" s="43"/>
      <c r="C55" s="42" t="s">
        <v>1384</v>
      </c>
    </row>
    <row r="56" spans="1:3" x14ac:dyDescent="0.25">
      <c r="A56" s="42">
        <v>60</v>
      </c>
      <c r="B56" s="43">
        <v>45.81</v>
      </c>
      <c r="C56" s="42" t="s">
        <v>1384</v>
      </c>
    </row>
    <row r="57" spans="1:3" x14ac:dyDescent="0.25">
      <c r="A57" s="42">
        <v>60</v>
      </c>
      <c r="B57" s="43">
        <v>45.81</v>
      </c>
      <c r="C57" s="42" t="s">
        <v>1384</v>
      </c>
    </row>
    <row r="58" spans="1:3" x14ac:dyDescent="0.25">
      <c r="A58" s="42">
        <v>60</v>
      </c>
      <c r="B58" s="43">
        <v>45.81</v>
      </c>
      <c r="C58" s="42" t="s">
        <v>1384</v>
      </c>
    </row>
    <row r="59" spans="1:3" x14ac:dyDescent="0.25">
      <c r="A59" s="42">
        <v>60</v>
      </c>
      <c r="B59" s="43">
        <v>45.81</v>
      </c>
      <c r="C59" s="42" t="s">
        <v>1384</v>
      </c>
    </row>
    <row r="60" spans="1:3" x14ac:dyDescent="0.25">
      <c r="A60" s="42">
        <v>60</v>
      </c>
      <c r="B60" s="43">
        <v>45.81</v>
      </c>
      <c r="C60" s="42" t="s">
        <v>1384</v>
      </c>
    </row>
    <row r="61" spans="1:3" x14ac:dyDescent="0.25">
      <c r="A61" s="42">
        <v>62</v>
      </c>
      <c r="B61" s="43"/>
      <c r="C61" s="42" t="s">
        <v>1384</v>
      </c>
    </row>
    <row r="62" spans="1:3" x14ac:dyDescent="0.25">
      <c r="A62" s="42">
        <v>64</v>
      </c>
      <c r="B62" s="43">
        <v>59.3</v>
      </c>
      <c r="C62" s="42" t="s">
        <v>1384</v>
      </c>
    </row>
    <row r="63" spans="1:3" x14ac:dyDescent="0.25">
      <c r="A63" s="42">
        <v>65</v>
      </c>
      <c r="B63" s="43"/>
      <c r="C63" s="42" t="s">
        <v>1384</v>
      </c>
    </row>
    <row r="64" spans="1:3" x14ac:dyDescent="0.25">
      <c r="A64" s="42">
        <v>65</v>
      </c>
      <c r="B64" s="43"/>
      <c r="C64" s="42" t="s">
        <v>1384</v>
      </c>
    </row>
    <row r="65" spans="1:3" x14ac:dyDescent="0.25">
      <c r="A65" s="42">
        <v>69</v>
      </c>
      <c r="B65" s="43">
        <v>148.30000000000001</v>
      </c>
      <c r="C65" s="42" t="s">
        <v>1384</v>
      </c>
    </row>
    <row r="66" spans="1:3" x14ac:dyDescent="0.25">
      <c r="A66" s="42">
        <v>70</v>
      </c>
      <c r="B66" s="43"/>
      <c r="C66" s="42" t="s">
        <v>1384</v>
      </c>
    </row>
    <row r="67" spans="1:3" x14ac:dyDescent="0.25">
      <c r="A67" s="42">
        <v>74</v>
      </c>
      <c r="B67" s="43">
        <v>41</v>
      </c>
      <c r="C67" s="42" t="s">
        <v>1384</v>
      </c>
    </row>
    <row r="68" spans="1:3" x14ac:dyDescent="0.25">
      <c r="A68" s="42">
        <v>74</v>
      </c>
      <c r="B68" s="43">
        <v>41</v>
      </c>
      <c r="C68" s="42" t="s">
        <v>1384</v>
      </c>
    </row>
    <row r="69" spans="1:3" x14ac:dyDescent="0.25">
      <c r="A69" s="42">
        <v>74</v>
      </c>
      <c r="B69" s="43">
        <v>41</v>
      </c>
      <c r="C69" s="42" t="s">
        <v>1384</v>
      </c>
    </row>
    <row r="70" spans="1:3" x14ac:dyDescent="0.25">
      <c r="A70" s="42">
        <v>74</v>
      </c>
      <c r="B70" s="43">
        <v>41</v>
      </c>
      <c r="C70" s="42" t="s">
        <v>1384</v>
      </c>
    </row>
    <row r="71" spans="1:3" x14ac:dyDescent="0.25">
      <c r="A71" s="42">
        <v>75</v>
      </c>
      <c r="B71" s="43">
        <v>43</v>
      </c>
      <c r="C71" s="42" t="s">
        <v>1384</v>
      </c>
    </row>
    <row r="72" spans="1:3" x14ac:dyDescent="0.25">
      <c r="A72" s="42">
        <v>75</v>
      </c>
      <c r="B72" s="43">
        <v>43</v>
      </c>
      <c r="C72" s="42" t="s">
        <v>1384</v>
      </c>
    </row>
    <row r="73" spans="1:3" x14ac:dyDescent="0.25">
      <c r="A73" s="42">
        <v>75</v>
      </c>
      <c r="B73" s="43">
        <v>43</v>
      </c>
      <c r="C73" s="42" t="s">
        <v>1384</v>
      </c>
    </row>
    <row r="74" spans="1:3" x14ac:dyDescent="0.25">
      <c r="A74" s="42">
        <v>75</v>
      </c>
      <c r="B74" s="43">
        <v>43</v>
      </c>
      <c r="C74" s="42" t="s">
        <v>1384</v>
      </c>
    </row>
    <row r="75" spans="1:3" x14ac:dyDescent="0.25">
      <c r="A75" s="42">
        <v>75</v>
      </c>
      <c r="B75" s="43">
        <v>43</v>
      </c>
      <c r="C75" s="42" t="s">
        <v>1384</v>
      </c>
    </row>
    <row r="76" spans="1:3" x14ac:dyDescent="0.25">
      <c r="A76" s="42">
        <v>76</v>
      </c>
      <c r="B76" s="43">
        <v>48.3</v>
      </c>
      <c r="C76" s="42" t="s">
        <v>1384</v>
      </c>
    </row>
    <row r="77" spans="1:3" x14ac:dyDescent="0.25">
      <c r="A77" s="42">
        <v>76</v>
      </c>
      <c r="B77" s="43">
        <v>48.3</v>
      </c>
      <c r="C77" s="42" t="s">
        <v>1384</v>
      </c>
    </row>
    <row r="78" spans="1:3" x14ac:dyDescent="0.25">
      <c r="A78" s="42">
        <v>76</v>
      </c>
      <c r="B78" s="43">
        <v>48.3</v>
      </c>
      <c r="C78" s="42" t="s">
        <v>1384</v>
      </c>
    </row>
    <row r="79" spans="1:3" x14ac:dyDescent="0.25">
      <c r="A79" s="42">
        <v>76</v>
      </c>
      <c r="B79" s="43">
        <v>48.3</v>
      </c>
      <c r="C79" s="42" t="s">
        <v>1384</v>
      </c>
    </row>
    <row r="80" spans="1:3" x14ac:dyDescent="0.25">
      <c r="A80" s="42">
        <v>78</v>
      </c>
      <c r="B80" s="43"/>
      <c r="C80" s="42" t="s">
        <v>1384</v>
      </c>
    </row>
    <row r="81" spans="1:3" x14ac:dyDescent="0.25">
      <c r="A81" s="42">
        <v>81</v>
      </c>
      <c r="B81" s="43"/>
      <c r="C81" s="42" t="s">
        <v>1384</v>
      </c>
    </row>
    <row r="82" spans="1:3" x14ac:dyDescent="0.25">
      <c r="A82" s="42">
        <v>82</v>
      </c>
      <c r="B82" s="43"/>
      <c r="C82" s="42" t="s">
        <v>1384</v>
      </c>
    </row>
    <row r="83" spans="1:3" x14ac:dyDescent="0.25">
      <c r="A83" s="42">
        <v>83</v>
      </c>
      <c r="B83" s="43">
        <v>214</v>
      </c>
      <c r="C83" s="42" t="s">
        <v>1384</v>
      </c>
    </row>
    <row r="84" spans="1:3" x14ac:dyDescent="0.25">
      <c r="A84" s="42">
        <v>83</v>
      </c>
      <c r="B84" s="43">
        <v>214</v>
      </c>
      <c r="C84" s="42" t="s">
        <v>1384</v>
      </c>
    </row>
    <row r="85" spans="1:3" x14ac:dyDescent="0.25">
      <c r="A85" s="42">
        <v>83</v>
      </c>
      <c r="B85" s="43">
        <v>214</v>
      </c>
      <c r="C85" s="42" t="s">
        <v>1384</v>
      </c>
    </row>
    <row r="86" spans="1:3" x14ac:dyDescent="0.25">
      <c r="A86" s="42">
        <v>83</v>
      </c>
      <c r="B86" s="43">
        <v>214</v>
      </c>
      <c r="C86" s="42" t="s">
        <v>1384</v>
      </c>
    </row>
    <row r="87" spans="1:3" x14ac:dyDescent="0.25">
      <c r="A87" s="42">
        <v>83</v>
      </c>
      <c r="B87" s="43">
        <v>214</v>
      </c>
      <c r="C87" s="42" t="s">
        <v>1384</v>
      </c>
    </row>
    <row r="88" spans="1:3" x14ac:dyDescent="0.25">
      <c r="A88" s="42">
        <v>84</v>
      </c>
      <c r="B88" s="43"/>
      <c r="C88" s="42" t="s">
        <v>1384</v>
      </c>
    </row>
    <row r="89" spans="1:3" x14ac:dyDescent="0.25">
      <c r="A89" s="42">
        <v>85</v>
      </c>
      <c r="B89" s="43"/>
      <c r="C89" s="42" t="s">
        <v>1384</v>
      </c>
    </row>
    <row r="90" spans="1:3" x14ac:dyDescent="0.25">
      <c r="A90" s="42">
        <v>85</v>
      </c>
      <c r="B90" s="43"/>
      <c r="C90" s="42" t="s">
        <v>1384</v>
      </c>
    </row>
    <row r="91" spans="1:3" x14ac:dyDescent="0.25">
      <c r="A91" s="42">
        <v>86</v>
      </c>
      <c r="B91" s="43"/>
      <c r="C91" s="42" t="s">
        <v>1384</v>
      </c>
    </row>
    <row r="92" spans="1:3" x14ac:dyDescent="0.25">
      <c r="A92" s="42">
        <v>87</v>
      </c>
      <c r="B92" s="43"/>
      <c r="C92" s="42" t="s">
        <v>1384</v>
      </c>
    </row>
    <row r="93" spans="1:3" x14ac:dyDescent="0.25">
      <c r="A93" s="42">
        <v>88</v>
      </c>
      <c r="B93" s="43"/>
      <c r="C93" s="42" t="s">
        <v>1384</v>
      </c>
    </row>
    <row r="94" spans="1:3" x14ac:dyDescent="0.25">
      <c r="A94" s="42">
        <v>88</v>
      </c>
      <c r="B94" s="43"/>
      <c r="C94" s="42" t="s">
        <v>1384</v>
      </c>
    </row>
    <row r="95" spans="1:3" x14ac:dyDescent="0.25">
      <c r="A95" s="42">
        <v>88</v>
      </c>
      <c r="B95" s="43"/>
      <c r="C95" s="42" t="s">
        <v>1384</v>
      </c>
    </row>
    <row r="96" spans="1:3" x14ac:dyDescent="0.25">
      <c r="A96" s="42">
        <v>90</v>
      </c>
      <c r="B96" s="43">
        <v>164.36</v>
      </c>
      <c r="C96" s="42" t="s">
        <v>1384</v>
      </c>
    </row>
    <row r="97" spans="1:3" x14ac:dyDescent="0.25">
      <c r="A97" s="42">
        <v>90</v>
      </c>
      <c r="B97" s="43">
        <v>164.36</v>
      </c>
      <c r="C97" s="42" t="s">
        <v>1384</v>
      </c>
    </row>
    <row r="98" spans="1:3" x14ac:dyDescent="0.25">
      <c r="A98" s="42">
        <v>91</v>
      </c>
      <c r="B98" s="43">
        <v>80.5</v>
      </c>
      <c r="C98" s="42" t="s">
        <v>1384</v>
      </c>
    </row>
    <row r="99" spans="1:3" x14ac:dyDescent="0.25">
      <c r="A99" s="42">
        <v>91</v>
      </c>
      <c r="B99" s="43">
        <v>80.5</v>
      </c>
      <c r="C99" s="42" t="s">
        <v>1384</v>
      </c>
    </row>
    <row r="100" spans="1:3" x14ac:dyDescent="0.25">
      <c r="A100" s="42">
        <v>92</v>
      </c>
      <c r="B100" s="43">
        <v>50.16</v>
      </c>
      <c r="C100" s="42" t="s">
        <v>1384</v>
      </c>
    </row>
    <row r="101" spans="1:3" x14ac:dyDescent="0.25">
      <c r="A101" s="42">
        <v>92</v>
      </c>
      <c r="B101" s="43">
        <v>50.16</v>
      </c>
      <c r="C101" s="42" t="s">
        <v>1384</v>
      </c>
    </row>
    <row r="102" spans="1:3" x14ac:dyDescent="0.25">
      <c r="A102" s="42">
        <v>92</v>
      </c>
      <c r="B102" s="43">
        <v>50.16</v>
      </c>
      <c r="C102" s="42" t="s">
        <v>1384</v>
      </c>
    </row>
    <row r="103" spans="1:3" x14ac:dyDescent="0.25">
      <c r="A103" s="42">
        <v>92</v>
      </c>
      <c r="B103" s="43">
        <v>50.16</v>
      </c>
      <c r="C103" s="42" t="s">
        <v>1384</v>
      </c>
    </row>
    <row r="104" spans="1:3" x14ac:dyDescent="0.25">
      <c r="A104" s="42">
        <v>92</v>
      </c>
      <c r="B104" s="43">
        <v>50.16</v>
      </c>
      <c r="C104" s="42" t="s">
        <v>1384</v>
      </c>
    </row>
    <row r="105" spans="1:3" x14ac:dyDescent="0.25">
      <c r="A105" s="42">
        <v>92</v>
      </c>
      <c r="B105" s="43">
        <v>50.16</v>
      </c>
      <c r="C105" s="42" t="s">
        <v>1384</v>
      </c>
    </row>
    <row r="106" spans="1:3" x14ac:dyDescent="0.25">
      <c r="A106" s="42">
        <v>93</v>
      </c>
      <c r="B106" s="43">
        <v>80.5</v>
      </c>
      <c r="C106" s="42" t="s">
        <v>1384</v>
      </c>
    </row>
    <row r="107" spans="1:3" x14ac:dyDescent="0.25">
      <c r="A107" s="42">
        <v>93</v>
      </c>
      <c r="B107" s="43">
        <v>80.5</v>
      </c>
      <c r="C107" s="42" t="s">
        <v>1384</v>
      </c>
    </row>
    <row r="108" spans="1:3" x14ac:dyDescent="0.25">
      <c r="A108" s="42">
        <v>93</v>
      </c>
      <c r="B108" s="43">
        <v>80.5</v>
      </c>
      <c r="C108" s="42" t="s">
        <v>1384</v>
      </c>
    </row>
    <row r="109" spans="1:3" x14ac:dyDescent="0.25">
      <c r="A109" s="42">
        <v>94</v>
      </c>
      <c r="B109" s="43">
        <v>88.5</v>
      </c>
      <c r="C109" s="42" t="s">
        <v>1384</v>
      </c>
    </row>
    <row r="110" spans="1:3" x14ac:dyDescent="0.25">
      <c r="A110" s="42">
        <v>94</v>
      </c>
      <c r="B110" s="43">
        <v>88.5</v>
      </c>
      <c r="C110" s="42" t="s">
        <v>1384</v>
      </c>
    </row>
    <row r="111" spans="1:3" x14ac:dyDescent="0.25">
      <c r="A111" s="42">
        <v>94</v>
      </c>
      <c r="B111" s="43">
        <v>88.5</v>
      </c>
      <c r="C111" s="42" t="s">
        <v>1384</v>
      </c>
    </row>
    <row r="112" spans="1:3" x14ac:dyDescent="0.25">
      <c r="A112" s="42">
        <v>97</v>
      </c>
      <c r="B112" s="43"/>
      <c r="C112" s="42" t="s">
        <v>1384</v>
      </c>
    </row>
    <row r="113" spans="1:3" x14ac:dyDescent="0.25">
      <c r="A113" s="42">
        <v>100</v>
      </c>
      <c r="B113" s="43">
        <v>107.73</v>
      </c>
      <c r="C113" s="42" t="s">
        <v>1384</v>
      </c>
    </row>
    <row r="114" spans="1:3" x14ac:dyDescent="0.25">
      <c r="A114" s="42">
        <v>100</v>
      </c>
      <c r="B114" s="43">
        <v>107.73</v>
      </c>
      <c r="C114" s="42" t="s">
        <v>1384</v>
      </c>
    </row>
    <row r="115" spans="1:3" x14ac:dyDescent="0.25">
      <c r="A115" s="42">
        <v>100</v>
      </c>
      <c r="B115" s="43">
        <v>107.73</v>
      </c>
      <c r="C115" s="42" t="s">
        <v>1384</v>
      </c>
    </row>
    <row r="116" spans="1:3" x14ac:dyDescent="0.25">
      <c r="A116" s="42">
        <v>101</v>
      </c>
      <c r="B116" s="43"/>
      <c r="C116" s="42" t="s">
        <v>1384</v>
      </c>
    </row>
    <row r="117" spans="1:3" x14ac:dyDescent="0.25">
      <c r="A117" s="42">
        <v>102</v>
      </c>
      <c r="B117" s="43"/>
      <c r="C117" s="42" t="s">
        <v>1384</v>
      </c>
    </row>
    <row r="118" spans="1:3" x14ac:dyDescent="0.25">
      <c r="A118" s="42">
        <v>107</v>
      </c>
      <c r="B118" s="43">
        <v>152.11000000000001</v>
      </c>
      <c r="C118" s="42" t="s">
        <v>1384</v>
      </c>
    </row>
    <row r="119" spans="1:3" x14ac:dyDescent="0.25">
      <c r="A119" s="42">
        <v>107</v>
      </c>
      <c r="B119" s="43">
        <v>152.11000000000001</v>
      </c>
      <c r="C119" s="42" t="s">
        <v>1384</v>
      </c>
    </row>
    <row r="120" spans="1:3" x14ac:dyDescent="0.25">
      <c r="A120" s="42">
        <v>107</v>
      </c>
      <c r="B120" s="43">
        <v>152.11000000000001</v>
      </c>
      <c r="C120" s="42" t="s">
        <v>1384</v>
      </c>
    </row>
    <row r="121" spans="1:3" x14ac:dyDescent="0.25">
      <c r="A121" s="42">
        <v>108</v>
      </c>
      <c r="B121" s="43"/>
      <c r="C121" s="42" t="s">
        <v>1384</v>
      </c>
    </row>
    <row r="122" spans="1:3" x14ac:dyDescent="0.25">
      <c r="A122" s="42">
        <v>109</v>
      </c>
      <c r="B122" s="43"/>
      <c r="C122" s="42" t="s">
        <v>1384</v>
      </c>
    </row>
    <row r="123" spans="1:3" x14ac:dyDescent="0.25">
      <c r="A123" s="42">
        <v>109</v>
      </c>
      <c r="B123" s="43"/>
      <c r="C123" s="42" t="s">
        <v>1384</v>
      </c>
    </row>
    <row r="124" spans="1:3" x14ac:dyDescent="0.25">
      <c r="A124" s="42">
        <v>110</v>
      </c>
      <c r="B124" s="43"/>
      <c r="C124" s="42" t="s">
        <v>1384</v>
      </c>
    </row>
    <row r="125" spans="1:3" x14ac:dyDescent="0.25">
      <c r="A125" s="42">
        <v>111</v>
      </c>
      <c r="B125" s="43"/>
      <c r="C125" s="42" t="s">
        <v>1384</v>
      </c>
    </row>
    <row r="126" spans="1:3" x14ac:dyDescent="0.25">
      <c r="A126" s="42">
        <v>112</v>
      </c>
      <c r="B126" s="43"/>
      <c r="C126" s="42" t="s">
        <v>1384</v>
      </c>
    </row>
    <row r="127" spans="1:3" x14ac:dyDescent="0.25">
      <c r="A127" s="42">
        <v>113</v>
      </c>
      <c r="B127" s="43"/>
      <c r="C127" s="42" t="s">
        <v>1384</v>
      </c>
    </row>
    <row r="128" spans="1:3" x14ac:dyDescent="0.25">
      <c r="A128" s="42">
        <v>113</v>
      </c>
      <c r="B128" s="43"/>
      <c r="C128" s="42" t="s">
        <v>1384</v>
      </c>
    </row>
    <row r="129" spans="1:3" x14ac:dyDescent="0.25">
      <c r="A129" s="42">
        <v>117</v>
      </c>
      <c r="B129" s="43"/>
      <c r="C129" s="42" t="s">
        <v>1384</v>
      </c>
    </row>
    <row r="130" spans="1:3" x14ac:dyDescent="0.25">
      <c r="A130" s="42">
        <v>118</v>
      </c>
      <c r="B130" s="43"/>
      <c r="C130" s="42" t="s">
        <v>1384</v>
      </c>
    </row>
    <row r="131" spans="1:3" x14ac:dyDescent="0.25">
      <c r="A131" s="42">
        <v>120</v>
      </c>
      <c r="B131" s="43"/>
      <c r="C131" s="42" t="s">
        <v>1384</v>
      </c>
    </row>
    <row r="132" spans="1:3" x14ac:dyDescent="0.25">
      <c r="A132" s="42">
        <v>120</v>
      </c>
      <c r="B132" s="43"/>
      <c r="C132" s="42" t="s">
        <v>1384</v>
      </c>
    </row>
    <row r="133" spans="1:3" x14ac:dyDescent="0.25">
      <c r="A133" s="42">
        <v>120</v>
      </c>
      <c r="B133" s="43"/>
      <c r="C133" s="42" t="s">
        <v>1384</v>
      </c>
    </row>
    <row r="134" spans="1:3" x14ac:dyDescent="0.25">
      <c r="A134" s="42">
        <v>122</v>
      </c>
      <c r="B134" s="43"/>
      <c r="C134" s="42" t="s">
        <v>1384</v>
      </c>
    </row>
    <row r="135" spans="1:3" x14ac:dyDescent="0.25">
      <c r="A135" s="42">
        <v>123</v>
      </c>
      <c r="B135" s="43"/>
      <c r="C135" s="42" t="s">
        <v>1384</v>
      </c>
    </row>
    <row r="136" spans="1:3" x14ac:dyDescent="0.25">
      <c r="A136" s="42">
        <v>123</v>
      </c>
      <c r="B136" s="43"/>
      <c r="C136" s="42" t="s">
        <v>1384</v>
      </c>
    </row>
    <row r="137" spans="1:3" x14ac:dyDescent="0.25">
      <c r="A137" s="42">
        <v>124</v>
      </c>
      <c r="B137" s="43"/>
      <c r="C137" s="42" t="s">
        <v>1384</v>
      </c>
    </row>
    <row r="138" spans="1:3" x14ac:dyDescent="0.25">
      <c r="A138" s="42">
        <v>124</v>
      </c>
      <c r="B138" s="43"/>
      <c r="C138" s="42" t="s">
        <v>1384</v>
      </c>
    </row>
    <row r="139" spans="1:3" x14ac:dyDescent="0.25">
      <c r="A139" s="42">
        <v>125</v>
      </c>
      <c r="B139" s="43">
        <v>30</v>
      </c>
      <c r="C139" s="42" t="s">
        <v>1384</v>
      </c>
    </row>
    <row r="140" spans="1:3" x14ac:dyDescent="0.25">
      <c r="A140" s="42">
        <v>125</v>
      </c>
      <c r="B140" s="43">
        <v>30</v>
      </c>
      <c r="C140" s="42" t="s">
        <v>1384</v>
      </c>
    </row>
    <row r="141" spans="1:3" x14ac:dyDescent="0.25">
      <c r="A141" s="42">
        <v>129</v>
      </c>
      <c r="B141" s="43"/>
      <c r="C141" s="42" t="s">
        <v>1384</v>
      </c>
    </row>
    <row r="142" spans="1:3" x14ac:dyDescent="0.25">
      <c r="A142" s="42">
        <v>129</v>
      </c>
      <c r="B142" s="43"/>
      <c r="C142" s="42" t="s">
        <v>1384</v>
      </c>
    </row>
    <row r="143" spans="1:3" x14ac:dyDescent="0.25">
      <c r="A143" s="42">
        <v>130</v>
      </c>
      <c r="B143" s="43"/>
      <c r="C143" s="42" t="s">
        <v>1384</v>
      </c>
    </row>
    <row r="144" spans="1:3" x14ac:dyDescent="0.25">
      <c r="A144" s="42">
        <v>131</v>
      </c>
      <c r="B144" s="43"/>
      <c r="C144" s="42" t="s">
        <v>1384</v>
      </c>
    </row>
    <row r="145" spans="1:3" x14ac:dyDescent="0.25">
      <c r="A145" s="42">
        <v>132</v>
      </c>
      <c r="B145" s="43"/>
      <c r="C145" s="42" t="s">
        <v>1384</v>
      </c>
    </row>
    <row r="146" spans="1:3" x14ac:dyDescent="0.25">
      <c r="A146" s="42">
        <v>133</v>
      </c>
      <c r="B146" s="43">
        <v>1472.5</v>
      </c>
      <c r="C146" s="42" t="s">
        <v>1384</v>
      </c>
    </row>
    <row r="147" spans="1:3" x14ac:dyDescent="0.25">
      <c r="A147" s="42">
        <v>134</v>
      </c>
      <c r="B147" s="43"/>
      <c r="C147" s="42" t="s">
        <v>1384</v>
      </c>
    </row>
    <row r="148" spans="1:3" x14ac:dyDescent="0.25">
      <c r="A148" s="42">
        <v>137</v>
      </c>
      <c r="B148" s="43">
        <v>100</v>
      </c>
      <c r="C148" s="42" t="s">
        <v>1384</v>
      </c>
    </row>
    <row r="149" spans="1:3" x14ac:dyDescent="0.25">
      <c r="A149" s="42">
        <v>137</v>
      </c>
      <c r="B149" s="43">
        <v>100</v>
      </c>
      <c r="C149" s="42" t="s">
        <v>1384</v>
      </c>
    </row>
    <row r="150" spans="1:3" x14ac:dyDescent="0.25">
      <c r="A150" s="42">
        <v>137</v>
      </c>
      <c r="B150" s="43">
        <v>100</v>
      </c>
      <c r="C150" s="42" t="s">
        <v>1384</v>
      </c>
    </row>
    <row r="151" spans="1:3" x14ac:dyDescent="0.25">
      <c r="A151" s="42">
        <v>140</v>
      </c>
      <c r="B151" s="43"/>
      <c r="C151" s="42" t="s">
        <v>1384</v>
      </c>
    </row>
    <row r="152" spans="1:3" x14ac:dyDescent="0.25">
      <c r="A152" s="42">
        <v>141</v>
      </c>
      <c r="B152" s="43"/>
      <c r="C152" s="42" t="s">
        <v>1384</v>
      </c>
    </row>
    <row r="153" spans="1:3" x14ac:dyDescent="0.25">
      <c r="A153" s="42">
        <v>142</v>
      </c>
      <c r="B153" s="43"/>
      <c r="C153" s="42" t="s">
        <v>1384</v>
      </c>
    </row>
    <row r="154" spans="1:3" x14ac:dyDescent="0.25">
      <c r="A154" s="42">
        <v>143</v>
      </c>
      <c r="B154" s="43"/>
      <c r="C154" s="42" t="s">
        <v>1384</v>
      </c>
    </row>
    <row r="155" spans="1:3" x14ac:dyDescent="0.25">
      <c r="A155" s="42">
        <v>144</v>
      </c>
      <c r="B155" s="43"/>
      <c r="C155" s="42" t="s">
        <v>1384</v>
      </c>
    </row>
    <row r="156" spans="1:3" x14ac:dyDescent="0.25">
      <c r="A156" s="42">
        <v>145</v>
      </c>
      <c r="B156" s="43"/>
      <c r="C156" s="42" t="s">
        <v>1384</v>
      </c>
    </row>
    <row r="157" spans="1:3" x14ac:dyDescent="0.25">
      <c r="A157" s="42">
        <v>146</v>
      </c>
      <c r="B157" s="43"/>
      <c r="C157" s="42" t="s">
        <v>1384</v>
      </c>
    </row>
    <row r="158" spans="1:3" x14ac:dyDescent="0.25">
      <c r="A158" s="42">
        <v>152</v>
      </c>
      <c r="B158" s="43">
        <v>213.8</v>
      </c>
      <c r="C158" s="42" t="s">
        <v>1384</v>
      </c>
    </row>
    <row r="159" spans="1:3" x14ac:dyDescent="0.25">
      <c r="A159" s="42">
        <v>152</v>
      </c>
      <c r="B159" s="43">
        <v>213.8</v>
      </c>
      <c r="C159" s="42" t="s">
        <v>1384</v>
      </c>
    </row>
    <row r="160" spans="1:3" x14ac:dyDescent="0.25">
      <c r="A160" s="42">
        <v>159</v>
      </c>
      <c r="B160" s="43"/>
      <c r="C160" s="42" t="s">
        <v>1384</v>
      </c>
    </row>
    <row r="161" spans="1:3" x14ac:dyDescent="0.25">
      <c r="A161" s="42">
        <v>161</v>
      </c>
      <c r="B161" s="43"/>
      <c r="C161" s="42" t="s">
        <v>1384</v>
      </c>
    </row>
    <row r="162" spans="1:3" x14ac:dyDescent="0.25">
      <c r="A162" s="42">
        <v>162</v>
      </c>
      <c r="B162" s="43"/>
      <c r="C162" s="42" t="s">
        <v>1384</v>
      </c>
    </row>
    <row r="163" spans="1:3" x14ac:dyDescent="0.25">
      <c r="A163" s="42">
        <v>163</v>
      </c>
      <c r="B163" s="43"/>
      <c r="C163" s="42" t="s">
        <v>1384</v>
      </c>
    </row>
    <row r="164" spans="1:3" x14ac:dyDescent="0.25">
      <c r="A164" s="42">
        <v>164</v>
      </c>
      <c r="B164" s="43">
        <v>10</v>
      </c>
      <c r="C164" s="42" t="s">
        <v>1384</v>
      </c>
    </row>
    <row r="165" spans="1:3" x14ac:dyDescent="0.25">
      <c r="A165" s="42">
        <v>165</v>
      </c>
      <c r="B165" s="43"/>
      <c r="C165" s="42" t="s">
        <v>1384</v>
      </c>
    </row>
    <row r="166" spans="1:3" x14ac:dyDescent="0.25">
      <c r="A166" s="42">
        <v>165</v>
      </c>
      <c r="B166" s="43"/>
      <c r="C166" s="42" t="s">
        <v>1384</v>
      </c>
    </row>
    <row r="167" spans="1:3" x14ac:dyDescent="0.25">
      <c r="A167" s="42">
        <v>165</v>
      </c>
      <c r="B167" s="43"/>
      <c r="C167" s="42" t="s">
        <v>1384</v>
      </c>
    </row>
    <row r="168" spans="1:3" x14ac:dyDescent="0.25">
      <c r="A168" s="42">
        <v>166</v>
      </c>
      <c r="B168" s="43">
        <v>10</v>
      </c>
      <c r="C168" s="42" t="s">
        <v>1384</v>
      </c>
    </row>
    <row r="169" spans="1:3" x14ac:dyDescent="0.25">
      <c r="A169" s="42">
        <v>166</v>
      </c>
      <c r="B169" s="43">
        <v>10</v>
      </c>
      <c r="C169" s="42" t="s">
        <v>1384</v>
      </c>
    </row>
    <row r="170" spans="1:3" x14ac:dyDescent="0.25">
      <c r="A170" s="42">
        <v>166</v>
      </c>
      <c r="B170" s="43">
        <v>10</v>
      </c>
      <c r="C170" s="42" t="s">
        <v>1384</v>
      </c>
    </row>
    <row r="171" spans="1:3" x14ac:dyDescent="0.25">
      <c r="A171" s="42">
        <v>166</v>
      </c>
      <c r="B171" s="43">
        <v>10</v>
      </c>
      <c r="C171" s="42" t="s">
        <v>1384</v>
      </c>
    </row>
    <row r="172" spans="1:3" x14ac:dyDescent="0.25">
      <c r="A172" s="42">
        <v>167</v>
      </c>
      <c r="B172" s="43"/>
      <c r="C172" s="42" t="s">
        <v>1384</v>
      </c>
    </row>
    <row r="173" spans="1:3" x14ac:dyDescent="0.25">
      <c r="A173" s="42">
        <v>167</v>
      </c>
      <c r="B173" s="43"/>
      <c r="C173" s="42" t="s">
        <v>1384</v>
      </c>
    </row>
    <row r="174" spans="1:3" x14ac:dyDescent="0.25">
      <c r="A174" s="42">
        <v>167</v>
      </c>
      <c r="B174" s="43"/>
      <c r="C174" s="42" t="s">
        <v>1384</v>
      </c>
    </row>
    <row r="175" spans="1:3" x14ac:dyDescent="0.25">
      <c r="A175" s="42">
        <v>167</v>
      </c>
      <c r="B175" s="43"/>
      <c r="C175" s="42" t="s">
        <v>1384</v>
      </c>
    </row>
    <row r="176" spans="1:3" x14ac:dyDescent="0.25">
      <c r="A176" s="42">
        <v>167</v>
      </c>
      <c r="B176" s="43"/>
      <c r="C176" s="42" t="s">
        <v>1384</v>
      </c>
    </row>
    <row r="177" spans="1:3" x14ac:dyDescent="0.25">
      <c r="A177" s="42">
        <v>167</v>
      </c>
      <c r="B177" s="43"/>
      <c r="C177" s="42" t="s">
        <v>1384</v>
      </c>
    </row>
    <row r="178" spans="1:3" x14ac:dyDescent="0.25">
      <c r="A178" s="42">
        <v>168</v>
      </c>
      <c r="B178" s="43"/>
      <c r="C178" s="42" t="s">
        <v>1384</v>
      </c>
    </row>
    <row r="179" spans="1:3" x14ac:dyDescent="0.25">
      <c r="A179" s="42">
        <v>169</v>
      </c>
      <c r="B179" s="43"/>
      <c r="C179" s="42" t="s">
        <v>1384</v>
      </c>
    </row>
    <row r="180" spans="1:3" x14ac:dyDescent="0.25">
      <c r="A180" s="42">
        <v>169</v>
      </c>
      <c r="B180" s="43"/>
      <c r="C180" s="42" t="s">
        <v>1384</v>
      </c>
    </row>
    <row r="181" spans="1:3" x14ac:dyDescent="0.25">
      <c r="A181" s="42">
        <v>169</v>
      </c>
      <c r="B181" s="43"/>
      <c r="C181" s="42" t="s">
        <v>1384</v>
      </c>
    </row>
    <row r="182" spans="1:3" x14ac:dyDescent="0.25">
      <c r="A182" s="42">
        <v>169</v>
      </c>
      <c r="B182" s="43"/>
      <c r="C182" s="42" t="s">
        <v>1384</v>
      </c>
    </row>
    <row r="183" spans="1:3" x14ac:dyDescent="0.25">
      <c r="A183" s="42">
        <v>170</v>
      </c>
      <c r="B183" s="43"/>
      <c r="C183" s="42" t="s">
        <v>1384</v>
      </c>
    </row>
    <row r="184" spans="1:3" x14ac:dyDescent="0.25">
      <c r="A184" s="42">
        <v>171</v>
      </c>
      <c r="B184" s="43"/>
      <c r="C184" s="42" t="s">
        <v>1384</v>
      </c>
    </row>
    <row r="185" spans="1:3" x14ac:dyDescent="0.25">
      <c r="A185" s="42">
        <v>172</v>
      </c>
      <c r="B185" s="43">
        <v>3000</v>
      </c>
      <c r="C185" s="42" t="s">
        <v>1384</v>
      </c>
    </row>
    <row r="186" spans="1:3" x14ac:dyDescent="0.25">
      <c r="A186" s="42">
        <v>173</v>
      </c>
      <c r="B186" s="43"/>
      <c r="C186" s="42" t="s">
        <v>1384</v>
      </c>
    </row>
    <row r="187" spans="1:3" x14ac:dyDescent="0.25">
      <c r="A187" s="42">
        <v>174</v>
      </c>
      <c r="B187" s="43"/>
      <c r="C187" s="42" t="s">
        <v>1384</v>
      </c>
    </row>
    <row r="188" spans="1:3" x14ac:dyDescent="0.25">
      <c r="A188" s="42">
        <v>176</v>
      </c>
      <c r="B188" s="43"/>
      <c r="C188" s="42" t="s">
        <v>1384</v>
      </c>
    </row>
    <row r="189" spans="1:3" x14ac:dyDescent="0.25">
      <c r="A189" s="42">
        <v>177</v>
      </c>
      <c r="B189" s="43"/>
      <c r="C189" s="42" t="s">
        <v>1384</v>
      </c>
    </row>
    <row r="190" spans="1:3" x14ac:dyDescent="0.25">
      <c r="A190" s="42">
        <v>178</v>
      </c>
      <c r="B190" s="43"/>
      <c r="C190" s="42" t="s">
        <v>1384</v>
      </c>
    </row>
    <row r="191" spans="1:3" x14ac:dyDescent="0.25">
      <c r="A191" s="42">
        <v>179</v>
      </c>
      <c r="B191" s="43"/>
      <c r="C191" s="42" t="s">
        <v>1384</v>
      </c>
    </row>
    <row r="192" spans="1:3" x14ac:dyDescent="0.25">
      <c r="A192" s="42">
        <v>180</v>
      </c>
      <c r="B192" s="43"/>
      <c r="C192" s="42" t="s">
        <v>1384</v>
      </c>
    </row>
    <row r="193" spans="1:3" x14ac:dyDescent="0.25">
      <c r="A193" s="42">
        <v>180</v>
      </c>
      <c r="B193" s="43"/>
      <c r="C193" s="42" t="s">
        <v>1384</v>
      </c>
    </row>
    <row r="194" spans="1:3" x14ac:dyDescent="0.25">
      <c r="A194" s="42">
        <v>182</v>
      </c>
      <c r="B194" s="43"/>
      <c r="C194" s="42" t="s">
        <v>1384</v>
      </c>
    </row>
    <row r="195" spans="1:3" x14ac:dyDescent="0.25">
      <c r="A195" s="42">
        <v>183</v>
      </c>
      <c r="B195" s="43"/>
      <c r="C195" s="42" t="s">
        <v>1384</v>
      </c>
    </row>
    <row r="196" spans="1:3" x14ac:dyDescent="0.25">
      <c r="A196" s="42">
        <v>186</v>
      </c>
      <c r="B196" s="43"/>
      <c r="C196" s="42" t="s">
        <v>1384</v>
      </c>
    </row>
    <row r="197" spans="1:3" x14ac:dyDescent="0.25">
      <c r="A197" s="42">
        <v>187</v>
      </c>
      <c r="B197" s="43">
        <v>531.5</v>
      </c>
      <c r="C197" s="42" t="s">
        <v>1384</v>
      </c>
    </row>
    <row r="198" spans="1:3" x14ac:dyDescent="0.25">
      <c r="A198" s="42">
        <v>187</v>
      </c>
      <c r="B198" s="43">
        <v>531.5</v>
      </c>
      <c r="C198" s="42" t="s">
        <v>1384</v>
      </c>
    </row>
    <row r="199" spans="1:3" x14ac:dyDescent="0.25">
      <c r="A199" s="42">
        <v>187</v>
      </c>
      <c r="B199" s="43">
        <v>531.5</v>
      </c>
      <c r="C199" s="42" t="s">
        <v>1384</v>
      </c>
    </row>
    <row r="200" spans="1:3" x14ac:dyDescent="0.25">
      <c r="A200" s="42">
        <v>187</v>
      </c>
      <c r="B200" s="43">
        <v>531.5</v>
      </c>
      <c r="C200" s="42" t="s">
        <v>1384</v>
      </c>
    </row>
    <row r="201" spans="1:3" x14ac:dyDescent="0.25">
      <c r="A201" s="42">
        <v>188</v>
      </c>
      <c r="B201" s="43">
        <v>250</v>
      </c>
      <c r="C201" s="42" t="s">
        <v>1384</v>
      </c>
    </row>
    <row r="202" spans="1:3" x14ac:dyDescent="0.25">
      <c r="A202" s="42">
        <v>188</v>
      </c>
      <c r="B202" s="43">
        <v>250</v>
      </c>
      <c r="C202" s="42" t="s">
        <v>1384</v>
      </c>
    </row>
    <row r="203" spans="1:3" x14ac:dyDescent="0.25">
      <c r="A203" s="42">
        <v>188</v>
      </c>
      <c r="B203" s="43">
        <v>250</v>
      </c>
      <c r="C203" s="42" t="s">
        <v>1384</v>
      </c>
    </row>
    <row r="204" spans="1:3" x14ac:dyDescent="0.25">
      <c r="A204" s="42">
        <v>188</v>
      </c>
      <c r="B204" s="43">
        <v>250</v>
      </c>
      <c r="C204" s="42" t="s">
        <v>1384</v>
      </c>
    </row>
    <row r="205" spans="1:3" x14ac:dyDescent="0.25">
      <c r="A205" s="42">
        <v>188</v>
      </c>
      <c r="B205" s="43">
        <v>250</v>
      </c>
      <c r="C205" s="42" t="s">
        <v>1384</v>
      </c>
    </row>
    <row r="206" spans="1:3" x14ac:dyDescent="0.25">
      <c r="A206" s="42">
        <v>188</v>
      </c>
      <c r="B206" s="43">
        <v>250</v>
      </c>
      <c r="C206" s="42" t="s">
        <v>1384</v>
      </c>
    </row>
    <row r="207" spans="1:3" x14ac:dyDescent="0.25">
      <c r="A207" s="42">
        <v>189</v>
      </c>
      <c r="B207" s="43"/>
      <c r="C207" s="42" t="s">
        <v>1384</v>
      </c>
    </row>
    <row r="208" spans="1:3" x14ac:dyDescent="0.25">
      <c r="A208" s="42">
        <v>190</v>
      </c>
      <c r="B208" s="43"/>
      <c r="C208" s="42" t="s">
        <v>1384</v>
      </c>
    </row>
    <row r="209" spans="1:3" x14ac:dyDescent="0.25">
      <c r="A209" s="42">
        <v>191</v>
      </c>
      <c r="B209" s="43"/>
      <c r="C209" s="42" t="s">
        <v>1384</v>
      </c>
    </row>
    <row r="210" spans="1:3" x14ac:dyDescent="0.25">
      <c r="A210" s="42">
        <v>192</v>
      </c>
      <c r="B210" s="43">
        <v>100</v>
      </c>
      <c r="C210" s="42" t="s">
        <v>1384</v>
      </c>
    </row>
    <row r="211" spans="1:3" x14ac:dyDescent="0.25">
      <c r="A211" s="42">
        <v>192</v>
      </c>
      <c r="B211" s="43">
        <v>100</v>
      </c>
      <c r="C211" s="42" t="s">
        <v>1384</v>
      </c>
    </row>
    <row r="212" spans="1:3" x14ac:dyDescent="0.25">
      <c r="A212" s="42">
        <v>193</v>
      </c>
      <c r="B212" s="43">
        <v>105.15</v>
      </c>
      <c r="C212" s="42" t="s">
        <v>1384</v>
      </c>
    </row>
    <row r="213" spans="1:3" x14ac:dyDescent="0.25">
      <c r="A213" s="42">
        <v>193</v>
      </c>
      <c r="B213" s="43">
        <v>105.15</v>
      </c>
      <c r="C213" s="42" t="s">
        <v>1384</v>
      </c>
    </row>
    <row r="214" spans="1:3" x14ac:dyDescent="0.25">
      <c r="A214" s="42">
        <v>194</v>
      </c>
      <c r="B214" s="43"/>
      <c r="C214" s="42" t="s">
        <v>1384</v>
      </c>
    </row>
    <row r="215" spans="1:3" x14ac:dyDescent="0.25">
      <c r="A215" s="42">
        <v>195</v>
      </c>
      <c r="B215" s="43">
        <v>190</v>
      </c>
      <c r="C215" s="42" t="s">
        <v>1384</v>
      </c>
    </row>
    <row r="216" spans="1:3" x14ac:dyDescent="0.25">
      <c r="A216" s="42">
        <v>196</v>
      </c>
      <c r="B216" s="43"/>
      <c r="C216" s="42" t="s">
        <v>1384</v>
      </c>
    </row>
    <row r="217" spans="1:3" x14ac:dyDescent="0.25">
      <c r="A217" s="42">
        <v>197</v>
      </c>
      <c r="B217" s="43"/>
      <c r="C217" s="42" t="s">
        <v>1384</v>
      </c>
    </row>
    <row r="218" spans="1:3" x14ac:dyDescent="0.25">
      <c r="A218" s="42">
        <v>198</v>
      </c>
      <c r="B218" s="43"/>
      <c r="C218" s="42" t="s">
        <v>1384</v>
      </c>
    </row>
    <row r="219" spans="1:3" x14ac:dyDescent="0.25">
      <c r="A219" s="42">
        <v>199</v>
      </c>
      <c r="B219" s="43"/>
      <c r="C219" s="42" t="s">
        <v>1384</v>
      </c>
    </row>
    <row r="220" spans="1:3" x14ac:dyDescent="0.25">
      <c r="A220" s="42">
        <v>200</v>
      </c>
      <c r="B220" s="43">
        <v>50</v>
      </c>
      <c r="C220" s="42" t="s">
        <v>1384</v>
      </c>
    </row>
    <row r="221" spans="1:3" x14ac:dyDescent="0.25">
      <c r="A221" s="42">
        <v>201</v>
      </c>
      <c r="B221" s="43"/>
      <c r="C221" s="42" t="s">
        <v>1384</v>
      </c>
    </row>
    <row r="222" spans="1:3" x14ac:dyDescent="0.25">
      <c r="A222" s="42">
        <v>201</v>
      </c>
      <c r="B222" s="43"/>
      <c r="C222" s="42" t="s">
        <v>1384</v>
      </c>
    </row>
    <row r="223" spans="1:3" x14ac:dyDescent="0.25">
      <c r="A223" s="42">
        <v>201</v>
      </c>
      <c r="B223" s="43"/>
      <c r="C223" s="42" t="s">
        <v>1384</v>
      </c>
    </row>
    <row r="224" spans="1:3" x14ac:dyDescent="0.25">
      <c r="A224" s="42">
        <v>202</v>
      </c>
      <c r="B224" s="43">
        <v>82</v>
      </c>
      <c r="C224" s="42" t="s">
        <v>1384</v>
      </c>
    </row>
    <row r="225" spans="1:3" x14ac:dyDescent="0.25">
      <c r="A225" s="42">
        <v>203</v>
      </c>
      <c r="B225" s="43"/>
      <c r="C225" s="42" t="s">
        <v>1384</v>
      </c>
    </row>
    <row r="226" spans="1:3" x14ac:dyDescent="0.25">
      <c r="A226" s="42">
        <v>204</v>
      </c>
      <c r="B226" s="43"/>
      <c r="C226" s="42" t="s">
        <v>1384</v>
      </c>
    </row>
    <row r="227" spans="1:3" x14ac:dyDescent="0.25">
      <c r="A227" s="42">
        <v>205</v>
      </c>
      <c r="B227" s="43"/>
      <c r="C227" s="42" t="s">
        <v>1384</v>
      </c>
    </row>
    <row r="228" spans="1:3" x14ac:dyDescent="0.25">
      <c r="A228" s="42">
        <v>206</v>
      </c>
      <c r="B228" s="43"/>
      <c r="C228" s="42" t="s">
        <v>1384</v>
      </c>
    </row>
    <row r="229" spans="1:3" x14ac:dyDescent="0.25">
      <c r="A229" s="42">
        <v>206</v>
      </c>
      <c r="B229" s="43"/>
      <c r="C229" s="42" t="s">
        <v>1384</v>
      </c>
    </row>
    <row r="230" spans="1:3" x14ac:dyDescent="0.25">
      <c r="A230" s="42">
        <v>207</v>
      </c>
      <c r="B230" s="43"/>
      <c r="C230" s="42" t="s">
        <v>1384</v>
      </c>
    </row>
    <row r="231" spans="1:3" x14ac:dyDescent="0.25">
      <c r="A231" s="42">
        <v>208</v>
      </c>
      <c r="B231" s="43">
        <v>132</v>
      </c>
      <c r="C231" s="42" t="s">
        <v>1384</v>
      </c>
    </row>
    <row r="232" spans="1:3" x14ac:dyDescent="0.25">
      <c r="A232" s="42">
        <v>208</v>
      </c>
      <c r="B232" s="43">
        <v>132</v>
      </c>
      <c r="C232" s="42" t="s">
        <v>1384</v>
      </c>
    </row>
    <row r="233" spans="1:3" x14ac:dyDescent="0.25">
      <c r="A233" s="42">
        <v>208</v>
      </c>
      <c r="B233" s="43">
        <v>132</v>
      </c>
      <c r="C233" s="42" t="s">
        <v>1384</v>
      </c>
    </row>
    <row r="234" spans="1:3" x14ac:dyDescent="0.25">
      <c r="A234" s="42">
        <v>209</v>
      </c>
      <c r="B234" s="43"/>
      <c r="C234" s="42" t="s">
        <v>1384</v>
      </c>
    </row>
    <row r="235" spans="1:3" x14ac:dyDescent="0.25">
      <c r="A235" s="42">
        <v>210</v>
      </c>
      <c r="B235" s="43">
        <v>500</v>
      </c>
      <c r="C235" s="42" t="s">
        <v>1384</v>
      </c>
    </row>
    <row r="236" spans="1:3" x14ac:dyDescent="0.25">
      <c r="A236" s="42">
        <v>211</v>
      </c>
      <c r="B236" s="43">
        <v>489.4</v>
      </c>
      <c r="C236" s="42" t="s">
        <v>1384</v>
      </c>
    </row>
    <row r="237" spans="1:3" x14ac:dyDescent="0.25">
      <c r="A237" s="42">
        <v>212</v>
      </c>
      <c r="B237" s="43">
        <v>100</v>
      </c>
      <c r="C237" s="42" t="s">
        <v>1384</v>
      </c>
    </row>
    <row r="238" spans="1:3" x14ac:dyDescent="0.25">
      <c r="A238" s="42">
        <v>212</v>
      </c>
      <c r="B238" s="43">
        <v>80</v>
      </c>
      <c r="C238" s="42" t="s">
        <v>1384</v>
      </c>
    </row>
    <row r="239" spans="1:3" x14ac:dyDescent="0.25">
      <c r="A239" s="42">
        <v>213</v>
      </c>
      <c r="B239" s="43">
        <v>960</v>
      </c>
      <c r="C239" s="42" t="s">
        <v>1384</v>
      </c>
    </row>
    <row r="240" spans="1:3" x14ac:dyDescent="0.25">
      <c r="A240" s="42">
        <v>213</v>
      </c>
      <c r="B240" s="43">
        <v>960</v>
      </c>
      <c r="C240" s="42" t="s">
        <v>1384</v>
      </c>
    </row>
    <row r="241" spans="1:3" x14ac:dyDescent="0.25">
      <c r="A241" s="42">
        <v>213</v>
      </c>
      <c r="B241" s="43">
        <v>960</v>
      </c>
      <c r="C241" s="42" t="s">
        <v>1384</v>
      </c>
    </row>
    <row r="242" spans="1:3" x14ac:dyDescent="0.25">
      <c r="A242" s="42">
        <v>214</v>
      </c>
      <c r="B242" s="43">
        <v>1197</v>
      </c>
      <c r="C242" s="42" t="s">
        <v>1384</v>
      </c>
    </row>
    <row r="243" spans="1:3" x14ac:dyDescent="0.25">
      <c r="A243" s="42">
        <v>217</v>
      </c>
      <c r="B243" s="43">
        <v>1900</v>
      </c>
      <c r="C243" s="42" t="s">
        <v>1384</v>
      </c>
    </row>
    <row r="244" spans="1:3" x14ac:dyDescent="0.25">
      <c r="A244" s="42">
        <v>219</v>
      </c>
      <c r="B244" s="43"/>
      <c r="C244" s="42" t="s">
        <v>1384</v>
      </c>
    </row>
    <row r="245" spans="1:3" x14ac:dyDescent="0.25">
      <c r="A245" s="42">
        <v>219</v>
      </c>
      <c r="B245" s="43"/>
      <c r="C245" s="42" t="s">
        <v>1384</v>
      </c>
    </row>
    <row r="246" spans="1:3" x14ac:dyDescent="0.25">
      <c r="A246" s="42">
        <v>220</v>
      </c>
      <c r="B246" s="43">
        <v>648.70000000000005</v>
      </c>
      <c r="C246" s="42" t="s">
        <v>1384</v>
      </c>
    </row>
    <row r="247" spans="1:3" x14ac:dyDescent="0.25">
      <c r="A247" s="42">
        <v>221</v>
      </c>
      <c r="B247" s="43"/>
      <c r="C247" s="42" t="s">
        <v>1384</v>
      </c>
    </row>
    <row r="248" spans="1:3" x14ac:dyDescent="0.25">
      <c r="A248" s="42">
        <v>222</v>
      </c>
      <c r="B248" s="43">
        <v>205.8</v>
      </c>
      <c r="C248" s="42" t="s">
        <v>1384</v>
      </c>
    </row>
    <row r="249" spans="1:3" x14ac:dyDescent="0.25">
      <c r="A249" s="42">
        <v>223</v>
      </c>
      <c r="B249" s="43"/>
      <c r="C249" s="42" t="s">
        <v>1384</v>
      </c>
    </row>
    <row r="250" spans="1:3" x14ac:dyDescent="0.25">
      <c r="A250" s="42">
        <v>223</v>
      </c>
      <c r="B250" s="43"/>
      <c r="C250" s="42" t="s">
        <v>1384</v>
      </c>
    </row>
    <row r="251" spans="1:3" x14ac:dyDescent="0.25">
      <c r="A251" s="42">
        <v>224</v>
      </c>
      <c r="B251" s="43">
        <v>1140</v>
      </c>
      <c r="C251" s="42" t="s">
        <v>1384</v>
      </c>
    </row>
    <row r="252" spans="1:3" x14ac:dyDescent="0.25">
      <c r="A252" s="42">
        <v>224</v>
      </c>
      <c r="B252" s="43">
        <v>1140</v>
      </c>
      <c r="C252" s="42" t="s">
        <v>1384</v>
      </c>
    </row>
    <row r="253" spans="1:3" x14ac:dyDescent="0.25">
      <c r="A253" s="42">
        <v>224</v>
      </c>
      <c r="B253" s="43">
        <v>1140</v>
      </c>
      <c r="C253" s="42" t="s">
        <v>1384</v>
      </c>
    </row>
    <row r="254" spans="1:3" x14ac:dyDescent="0.25">
      <c r="A254" s="42">
        <v>224</v>
      </c>
      <c r="B254" s="43">
        <v>1140</v>
      </c>
      <c r="C254" s="42" t="s">
        <v>1384</v>
      </c>
    </row>
    <row r="255" spans="1:3" x14ac:dyDescent="0.25">
      <c r="A255" s="42">
        <v>224</v>
      </c>
      <c r="B255" s="43">
        <v>1140</v>
      </c>
      <c r="C255" s="42" t="s">
        <v>1384</v>
      </c>
    </row>
    <row r="256" spans="1:3" x14ac:dyDescent="0.25">
      <c r="A256" s="42">
        <v>224</v>
      </c>
      <c r="B256" s="43">
        <v>1140</v>
      </c>
      <c r="C256" s="42" t="s">
        <v>1384</v>
      </c>
    </row>
    <row r="257" spans="1:3" x14ac:dyDescent="0.25">
      <c r="A257" s="42">
        <v>225</v>
      </c>
      <c r="B257" s="43">
        <v>150</v>
      </c>
      <c r="C257" s="42" t="s">
        <v>1384</v>
      </c>
    </row>
    <row r="258" spans="1:3" x14ac:dyDescent="0.25">
      <c r="A258" s="42">
        <v>226</v>
      </c>
      <c r="B258" s="43"/>
      <c r="C258" s="42" t="s">
        <v>1384</v>
      </c>
    </row>
    <row r="259" spans="1:3" x14ac:dyDescent="0.25">
      <c r="A259" s="42">
        <v>227</v>
      </c>
      <c r="B259" s="43"/>
      <c r="C259" s="42" t="s">
        <v>1384</v>
      </c>
    </row>
    <row r="260" spans="1:3" x14ac:dyDescent="0.25">
      <c r="A260" s="42">
        <v>228</v>
      </c>
      <c r="B260" s="43"/>
      <c r="C260" s="42" t="s">
        <v>1384</v>
      </c>
    </row>
    <row r="261" spans="1:3" x14ac:dyDescent="0.25">
      <c r="A261" s="42">
        <v>229</v>
      </c>
      <c r="B261" s="43"/>
      <c r="C261" s="42" t="s">
        <v>1384</v>
      </c>
    </row>
    <row r="262" spans="1:3" x14ac:dyDescent="0.25">
      <c r="A262" s="42">
        <v>229</v>
      </c>
      <c r="B262" s="43"/>
      <c r="C262" s="42" t="s">
        <v>1384</v>
      </c>
    </row>
    <row r="263" spans="1:3" x14ac:dyDescent="0.25">
      <c r="A263" s="42">
        <v>229</v>
      </c>
      <c r="B263" s="43"/>
      <c r="C263" s="42" t="s">
        <v>1384</v>
      </c>
    </row>
    <row r="264" spans="1:3" x14ac:dyDescent="0.25">
      <c r="A264" s="42">
        <v>229</v>
      </c>
      <c r="B264" s="43"/>
      <c r="C264" s="42" t="s">
        <v>1384</v>
      </c>
    </row>
    <row r="265" spans="1:3" x14ac:dyDescent="0.25">
      <c r="A265" s="42">
        <v>230</v>
      </c>
      <c r="B265" s="43"/>
      <c r="C265" s="42" t="s">
        <v>1384</v>
      </c>
    </row>
    <row r="266" spans="1:3" x14ac:dyDescent="0.25">
      <c r="A266" s="42">
        <v>231</v>
      </c>
      <c r="B266" s="43"/>
      <c r="C266" s="42" t="s">
        <v>1384</v>
      </c>
    </row>
    <row r="267" spans="1:3" x14ac:dyDescent="0.25">
      <c r="A267" s="42">
        <v>232</v>
      </c>
      <c r="B267" s="43"/>
      <c r="C267" s="42" t="s">
        <v>1384</v>
      </c>
    </row>
    <row r="268" spans="1:3" x14ac:dyDescent="0.25">
      <c r="A268" s="42">
        <v>233</v>
      </c>
      <c r="B268" s="43"/>
      <c r="C268" s="42" t="s">
        <v>1384</v>
      </c>
    </row>
    <row r="269" spans="1:3" x14ac:dyDescent="0.25">
      <c r="A269" s="42">
        <v>234</v>
      </c>
      <c r="B269" s="43"/>
      <c r="C269" s="42" t="s">
        <v>1384</v>
      </c>
    </row>
    <row r="270" spans="1:3" x14ac:dyDescent="0.25">
      <c r="A270" s="42">
        <v>243</v>
      </c>
      <c r="B270" s="43"/>
      <c r="C270" s="42" t="s">
        <v>1384</v>
      </c>
    </row>
    <row r="271" spans="1:3" x14ac:dyDescent="0.25">
      <c r="A271" s="42">
        <v>244</v>
      </c>
      <c r="B271" s="43"/>
      <c r="C271" s="42" t="s">
        <v>1384</v>
      </c>
    </row>
    <row r="272" spans="1:3" x14ac:dyDescent="0.25">
      <c r="A272" s="42">
        <v>245</v>
      </c>
      <c r="B272" s="43"/>
      <c r="C272" s="42" t="s">
        <v>1384</v>
      </c>
    </row>
    <row r="273" spans="1:3" x14ac:dyDescent="0.25">
      <c r="A273" s="42">
        <v>245</v>
      </c>
      <c r="B273" s="43"/>
      <c r="C273" s="42" t="s">
        <v>1384</v>
      </c>
    </row>
    <row r="274" spans="1:3" x14ac:dyDescent="0.25">
      <c r="A274" s="42">
        <v>246</v>
      </c>
      <c r="B274" s="43"/>
      <c r="C274" s="42" t="s">
        <v>1384</v>
      </c>
    </row>
    <row r="275" spans="1:3" x14ac:dyDescent="0.25">
      <c r="A275" s="42">
        <v>247</v>
      </c>
      <c r="B275" s="43">
        <v>75.8</v>
      </c>
      <c r="C275" s="42" t="s">
        <v>1384</v>
      </c>
    </row>
    <row r="276" spans="1:3" x14ac:dyDescent="0.25">
      <c r="A276" s="42">
        <v>247</v>
      </c>
      <c r="B276" s="43">
        <v>75.8</v>
      </c>
      <c r="C276" s="42" t="s">
        <v>1384</v>
      </c>
    </row>
    <row r="277" spans="1:3" x14ac:dyDescent="0.25">
      <c r="A277" s="42">
        <v>247</v>
      </c>
      <c r="B277" s="43">
        <v>75.8</v>
      </c>
      <c r="C277" s="42" t="s">
        <v>1384</v>
      </c>
    </row>
    <row r="278" spans="1:3" x14ac:dyDescent="0.25">
      <c r="A278" s="42">
        <v>248</v>
      </c>
      <c r="B278" s="43"/>
      <c r="C278" s="42" t="s">
        <v>1384</v>
      </c>
    </row>
    <row r="279" spans="1:3" x14ac:dyDescent="0.25">
      <c r="A279" s="42">
        <v>248</v>
      </c>
      <c r="B279" s="43"/>
      <c r="C279" s="42" t="s">
        <v>1384</v>
      </c>
    </row>
    <row r="280" spans="1:3" x14ac:dyDescent="0.25">
      <c r="A280" s="42">
        <v>250</v>
      </c>
      <c r="B280" s="43"/>
      <c r="C280" s="42" t="s">
        <v>1384</v>
      </c>
    </row>
    <row r="281" spans="1:3" x14ac:dyDescent="0.25">
      <c r="A281" s="42">
        <v>250</v>
      </c>
      <c r="B281" s="43"/>
      <c r="C281" s="42" t="s">
        <v>1384</v>
      </c>
    </row>
    <row r="282" spans="1:3" x14ac:dyDescent="0.25">
      <c r="A282" s="42">
        <v>251</v>
      </c>
      <c r="B282" s="43">
        <v>130.46</v>
      </c>
      <c r="C282" s="42" t="s">
        <v>1384</v>
      </c>
    </row>
    <row r="283" spans="1:3" x14ac:dyDescent="0.25">
      <c r="A283" s="42">
        <v>251</v>
      </c>
      <c r="B283" s="43">
        <v>130.46</v>
      </c>
      <c r="C283" s="42" t="s">
        <v>1384</v>
      </c>
    </row>
    <row r="284" spans="1:3" x14ac:dyDescent="0.25">
      <c r="A284" s="42">
        <v>252</v>
      </c>
      <c r="B284" s="43">
        <v>141</v>
      </c>
      <c r="C284" s="42" t="s">
        <v>1384</v>
      </c>
    </row>
    <row r="285" spans="1:3" x14ac:dyDescent="0.25">
      <c r="A285" s="42">
        <v>254</v>
      </c>
      <c r="B285" s="43">
        <v>63.24</v>
      </c>
      <c r="C285" s="42" t="s">
        <v>1384</v>
      </c>
    </row>
    <row r="286" spans="1:3" x14ac:dyDescent="0.25">
      <c r="A286" s="42">
        <v>258</v>
      </c>
      <c r="B286" s="43"/>
      <c r="C286" s="42" t="s">
        <v>1384</v>
      </c>
    </row>
    <row r="287" spans="1:3" x14ac:dyDescent="0.25">
      <c r="A287" s="42">
        <v>260</v>
      </c>
      <c r="B287" s="43"/>
      <c r="C287" s="42" t="s">
        <v>1384</v>
      </c>
    </row>
    <row r="288" spans="1:3" x14ac:dyDescent="0.25">
      <c r="A288" s="42">
        <v>261</v>
      </c>
      <c r="B288" s="43"/>
      <c r="C288" s="42" t="s">
        <v>1384</v>
      </c>
    </row>
    <row r="289" spans="1:3" x14ac:dyDescent="0.25">
      <c r="A289" s="42">
        <v>262</v>
      </c>
      <c r="B289" s="43"/>
      <c r="C289" s="42" t="s">
        <v>1384</v>
      </c>
    </row>
    <row r="290" spans="1:3" x14ac:dyDescent="0.25">
      <c r="A290" s="42">
        <v>263</v>
      </c>
      <c r="B290" s="43">
        <v>50</v>
      </c>
      <c r="C290" s="42" t="s">
        <v>1384</v>
      </c>
    </row>
    <row r="291" spans="1:3" x14ac:dyDescent="0.25">
      <c r="A291" s="42">
        <v>264</v>
      </c>
      <c r="B291" s="43"/>
      <c r="C291" s="42" t="s">
        <v>1384</v>
      </c>
    </row>
    <row r="292" spans="1:3" x14ac:dyDescent="0.25">
      <c r="A292" s="42">
        <v>265</v>
      </c>
      <c r="B292" s="43"/>
      <c r="C292" s="42" t="s">
        <v>1384</v>
      </c>
    </row>
    <row r="293" spans="1:3" x14ac:dyDescent="0.25">
      <c r="A293" s="42">
        <v>265</v>
      </c>
      <c r="B293" s="43"/>
      <c r="C293" s="42" t="s">
        <v>1384</v>
      </c>
    </row>
    <row r="294" spans="1:3" x14ac:dyDescent="0.25">
      <c r="A294" s="42">
        <v>266</v>
      </c>
      <c r="B294" s="43">
        <v>192</v>
      </c>
      <c r="C294" s="42" t="s">
        <v>1384</v>
      </c>
    </row>
    <row r="295" spans="1:3" x14ac:dyDescent="0.25">
      <c r="A295" s="42">
        <v>266</v>
      </c>
      <c r="B295" s="43">
        <v>192</v>
      </c>
      <c r="C295" s="42" t="s">
        <v>1384</v>
      </c>
    </row>
    <row r="296" spans="1:3" x14ac:dyDescent="0.25">
      <c r="A296" s="42">
        <v>267</v>
      </c>
      <c r="B296" s="43"/>
      <c r="C296" s="42" t="s">
        <v>1384</v>
      </c>
    </row>
    <row r="297" spans="1:3" x14ac:dyDescent="0.25">
      <c r="A297" s="42">
        <v>268</v>
      </c>
      <c r="B297" s="43"/>
      <c r="C297" s="42" t="s">
        <v>1384</v>
      </c>
    </row>
    <row r="298" spans="1:3" x14ac:dyDescent="0.25">
      <c r="A298" s="42">
        <v>269</v>
      </c>
      <c r="B298" s="43"/>
      <c r="C298" s="42" t="s">
        <v>1384</v>
      </c>
    </row>
    <row r="299" spans="1:3" x14ac:dyDescent="0.25">
      <c r="A299" s="42">
        <v>270</v>
      </c>
      <c r="B299" s="43"/>
      <c r="C299" s="42" t="s">
        <v>1384</v>
      </c>
    </row>
    <row r="300" spans="1:3" x14ac:dyDescent="0.25">
      <c r="A300" s="42">
        <v>270</v>
      </c>
      <c r="B300" s="43"/>
      <c r="C300" s="42" t="s">
        <v>1384</v>
      </c>
    </row>
    <row r="301" spans="1:3" x14ac:dyDescent="0.25">
      <c r="A301" s="42">
        <v>271</v>
      </c>
      <c r="B301" s="43">
        <v>360</v>
      </c>
      <c r="C301" s="42" t="s">
        <v>1384</v>
      </c>
    </row>
    <row r="302" spans="1:3" x14ac:dyDescent="0.25">
      <c r="A302" s="42">
        <v>271</v>
      </c>
      <c r="B302" s="43">
        <v>360</v>
      </c>
      <c r="C302" s="42" t="s">
        <v>1384</v>
      </c>
    </row>
    <row r="303" spans="1:3" x14ac:dyDescent="0.25">
      <c r="A303" s="42">
        <v>272</v>
      </c>
      <c r="B303" s="43">
        <v>1000</v>
      </c>
      <c r="C303" s="42" t="s">
        <v>1384</v>
      </c>
    </row>
    <row r="304" spans="1:3" x14ac:dyDescent="0.25">
      <c r="A304" s="42">
        <v>272</v>
      </c>
      <c r="B304" s="43">
        <v>1000</v>
      </c>
      <c r="C304" s="42" t="s">
        <v>1384</v>
      </c>
    </row>
    <row r="305" spans="1:3" x14ac:dyDescent="0.25">
      <c r="A305" s="42">
        <v>272</v>
      </c>
      <c r="B305" s="43">
        <v>1000</v>
      </c>
      <c r="C305" s="42" t="s">
        <v>1384</v>
      </c>
    </row>
    <row r="306" spans="1:3" x14ac:dyDescent="0.25">
      <c r="A306" s="42">
        <v>273</v>
      </c>
      <c r="B306" s="43">
        <v>916</v>
      </c>
      <c r="C306" s="42" t="s">
        <v>1384</v>
      </c>
    </row>
    <row r="307" spans="1:3" x14ac:dyDescent="0.25">
      <c r="A307" s="42">
        <v>273</v>
      </c>
      <c r="B307" s="43">
        <v>916</v>
      </c>
      <c r="C307" s="42" t="s">
        <v>1384</v>
      </c>
    </row>
    <row r="308" spans="1:3" x14ac:dyDescent="0.25">
      <c r="A308" s="42">
        <v>273</v>
      </c>
      <c r="B308" s="43">
        <v>916</v>
      </c>
      <c r="C308" s="42" t="s">
        <v>1384</v>
      </c>
    </row>
    <row r="309" spans="1:3" x14ac:dyDescent="0.25">
      <c r="A309" s="42">
        <v>275</v>
      </c>
      <c r="B309" s="43">
        <v>380</v>
      </c>
      <c r="C309" s="42" t="s">
        <v>1384</v>
      </c>
    </row>
    <row r="310" spans="1:3" x14ac:dyDescent="0.25">
      <c r="A310" s="42">
        <v>275</v>
      </c>
      <c r="B310" s="43">
        <v>380</v>
      </c>
      <c r="C310" s="42" t="s">
        <v>1384</v>
      </c>
    </row>
    <row r="311" spans="1:3" x14ac:dyDescent="0.25">
      <c r="A311" s="42">
        <v>275</v>
      </c>
      <c r="B311" s="43">
        <v>380</v>
      </c>
      <c r="C311" s="42" t="s">
        <v>1384</v>
      </c>
    </row>
    <row r="312" spans="1:3" x14ac:dyDescent="0.25">
      <c r="A312" s="42">
        <v>278</v>
      </c>
      <c r="B312" s="43">
        <v>70</v>
      </c>
      <c r="C312" s="42" t="s">
        <v>1384</v>
      </c>
    </row>
    <row r="313" spans="1:3" x14ac:dyDescent="0.25">
      <c r="A313" s="42">
        <v>278</v>
      </c>
      <c r="B313" s="43">
        <v>70</v>
      </c>
      <c r="C313" s="42" t="s">
        <v>1384</v>
      </c>
    </row>
    <row r="314" spans="1:3" x14ac:dyDescent="0.25">
      <c r="A314" s="42">
        <v>278</v>
      </c>
      <c r="B314" s="43">
        <v>70</v>
      </c>
      <c r="C314" s="42" t="s">
        <v>1384</v>
      </c>
    </row>
    <row r="315" spans="1:3" x14ac:dyDescent="0.25">
      <c r="A315" s="42">
        <v>278</v>
      </c>
      <c r="B315" s="43">
        <v>70</v>
      </c>
      <c r="C315" s="42" t="s">
        <v>1384</v>
      </c>
    </row>
    <row r="316" spans="1:3" x14ac:dyDescent="0.25">
      <c r="A316" s="42">
        <v>278</v>
      </c>
      <c r="B316" s="43">
        <v>70</v>
      </c>
      <c r="C316" s="42" t="s">
        <v>1384</v>
      </c>
    </row>
    <row r="317" spans="1:3" x14ac:dyDescent="0.25">
      <c r="A317" s="42">
        <v>278</v>
      </c>
      <c r="B317" s="43">
        <v>70</v>
      </c>
      <c r="C317" s="42" t="s">
        <v>1384</v>
      </c>
    </row>
    <row r="318" spans="1:3" x14ac:dyDescent="0.25">
      <c r="A318" s="42">
        <v>278</v>
      </c>
      <c r="B318" s="43">
        <v>70</v>
      </c>
      <c r="C318" s="42" t="s">
        <v>1384</v>
      </c>
    </row>
    <row r="319" spans="1:3" x14ac:dyDescent="0.25">
      <c r="A319" s="42">
        <v>278</v>
      </c>
      <c r="B319" s="43">
        <v>70</v>
      </c>
      <c r="C319" s="42" t="s">
        <v>1384</v>
      </c>
    </row>
    <row r="320" spans="1:3" x14ac:dyDescent="0.25">
      <c r="A320" s="42">
        <v>278</v>
      </c>
      <c r="B320" s="43">
        <v>70</v>
      </c>
      <c r="C320" s="42" t="s">
        <v>1384</v>
      </c>
    </row>
    <row r="321" spans="1:3" x14ac:dyDescent="0.25">
      <c r="A321" s="42">
        <v>278</v>
      </c>
      <c r="B321" s="43">
        <v>70</v>
      </c>
      <c r="C321" s="42" t="s">
        <v>1384</v>
      </c>
    </row>
    <row r="322" spans="1:3" x14ac:dyDescent="0.25">
      <c r="A322" s="42">
        <v>278</v>
      </c>
      <c r="B322" s="43">
        <v>70</v>
      </c>
      <c r="C322" s="42" t="s">
        <v>1384</v>
      </c>
    </row>
    <row r="323" spans="1:3" x14ac:dyDescent="0.25">
      <c r="A323" s="42">
        <v>278</v>
      </c>
      <c r="B323" s="43">
        <v>70</v>
      </c>
      <c r="C323" s="42" t="s">
        <v>1384</v>
      </c>
    </row>
    <row r="324" spans="1:3" x14ac:dyDescent="0.25">
      <c r="A324" s="42">
        <v>278</v>
      </c>
      <c r="B324" s="43">
        <v>70</v>
      </c>
      <c r="C324" s="42" t="s">
        <v>1384</v>
      </c>
    </row>
    <row r="325" spans="1:3" x14ac:dyDescent="0.25">
      <c r="A325" s="42">
        <v>278</v>
      </c>
      <c r="B325" s="43">
        <v>70</v>
      </c>
      <c r="C325" s="42" t="s">
        <v>1384</v>
      </c>
    </row>
    <row r="326" spans="1:3" x14ac:dyDescent="0.25">
      <c r="A326" s="42">
        <v>279</v>
      </c>
      <c r="B326" s="43">
        <v>70</v>
      </c>
      <c r="C326" s="42" t="s">
        <v>1384</v>
      </c>
    </row>
    <row r="327" spans="1:3" x14ac:dyDescent="0.25">
      <c r="A327" s="42">
        <v>279</v>
      </c>
      <c r="B327" s="43">
        <v>70</v>
      </c>
      <c r="C327" s="42" t="s">
        <v>1384</v>
      </c>
    </row>
    <row r="328" spans="1:3" x14ac:dyDescent="0.25">
      <c r="A328" s="42">
        <v>279</v>
      </c>
      <c r="B328" s="43">
        <v>70</v>
      </c>
      <c r="C328" s="42" t="s">
        <v>1384</v>
      </c>
    </row>
    <row r="329" spans="1:3" x14ac:dyDescent="0.25">
      <c r="A329" s="42">
        <v>279</v>
      </c>
      <c r="B329" s="43">
        <v>70</v>
      </c>
      <c r="C329" s="42" t="s">
        <v>1384</v>
      </c>
    </row>
    <row r="330" spans="1:3" x14ac:dyDescent="0.25">
      <c r="A330" s="42">
        <v>279</v>
      </c>
      <c r="B330" s="43">
        <v>70</v>
      </c>
      <c r="C330" s="42" t="s">
        <v>1384</v>
      </c>
    </row>
    <row r="331" spans="1:3" x14ac:dyDescent="0.25">
      <c r="A331" s="42">
        <v>279</v>
      </c>
      <c r="B331" s="43">
        <v>70</v>
      </c>
      <c r="C331" s="42" t="s">
        <v>1384</v>
      </c>
    </row>
    <row r="332" spans="1:3" x14ac:dyDescent="0.25">
      <c r="A332" s="42">
        <v>279</v>
      </c>
      <c r="B332" s="43">
        <v>70</v>
      </c>
      <c r="C332" s="42" t="s">
        <v>1384</v>
      </c>
    </row>
    <row r="333" spans="1:3" x14ac:dyDescent="0.25">
      <c r="A333" s="42">
        <v>306</v>
      </c>
      <c r="B333" s="43"/>
      <c r="C333" s="42" t="s">
        <v>1384</v>
      </c>
    </row>
    <row r="334" spans="1:3" x14ac:dyDescent="0.25">
      <c r="A334" s="42">
        <v>306</v>
      </c>
      <c r="B334" s="43"/>
      <c r="C334" s="42" t="s">
        <v>1384</v>
      </c>
    </row>
    <row r="335" spans="1:3" x14ac:dyDescent="0.25">
      <c r="A335" s="42">
        <v>307</v>
      </c>
      <c r="B335" s="43">
        <v>1100</v>
      </c>
      <c r="C335" s="42" t="s">
        <v>1384</v>
      </c>
    </row>
    <row r="336" spans="1:3" x14ac:dyDescent="0.25">
      <c r="A336" s="42">
        <v>307</v>
      </c>
      <c r="B336" s="43">
        <v>1100</v>
      </c>
      <c r="C336" s="42" t="s">
        <v>1384</v>
      </c>
    </row>
    <row r="337" spans="1:3" x14ac:dyDescent="0.25">
      <c r="A337" s="42">
        <v>307</v>
      </c>
      <c r="B337" s="43">
        <v>1100</v>
      </c>
      <c r="C337" s="42" t="s">
        <v>1384</v>
      </c>
    </row>
    <row r="338" spans="1:3" x14ac:dyDescent="0.25">
      <c r="A338" s="42">
        <v>307</v>
      </c>
      <c r="B338" s="43">
        <v>1100</v>
      </c>
      <c r="C338" s="42" t="s">
        <v>1384</v>
      </c>
    </row>
    <row r="339" spans="1:3" x14ac:dyDescent="0.25">
      <c r="A339" s="42">
        <v>322</v>
      </c>
      <c r="B339" s="43"/>
      <c r="C339" s="42" t="s">
        <v>1384</v>
      </c>
    </row>
    <row r="340" spans="1:3" x14ac:dyDescent="0.25">
      <c r="A340" s="42">
        <v>328</v>
      </c>
      <c r="B340" s="43"/>
      <c r="C340" s="42" t="s">
        <v>1384</v>
      </c>
    </row>
    <row r="341" spans="1:3" x14ac:dyDescent="0.25">
      <c r="A341" s="42">
        <v>329</v>
      </c>
      <c r="B341" s="43"/>
      <c r="C341" s="42" t="s">
        <v>1384</v>
      </c>
    </row>
    <row r="342" spans="1:3" x14ac:dyDescent="0.25">
      <c r="A342" s="42">
        <v>330</v>
      </c>
      <c r="B342" s="43"/>
      <c r="C342" s="42" t="s">
        <v>1384</v>
      </c>
    </row>
    <row r="343" spans="1:3" x14ac:dyDescent="0.25">
      <c r="A343" s="42">
        <v>338</v>
      </c>
      <c r="B343" s="43">
        <v>1676</v>
      </c>
      <c r="C343" s="42" t="s">
        <v>1384</v>
      </c>
    </row>
    <row r="344" spans="1:3" x14ac:dyDescent="0.25">
      <c r="A344" s="42">
        <v>353</v>
      </c>
      <c r="B344" s="43"/>
      <c r="C344" s="42" t="s">
        <v>1384</v>
      </c>
    </row>
    <row r="345" spans="1:3" x14ac:dyDescent="0.25">
      <c r="A345" s="42">
        <v>354</v>
      </c>
      <c r="B345" s="43"/>
      <c r="C345" s="42" t="s">
        <v>1384</v>
      </c>
    </row>
    <row r="346" spans="1:3" x14ac:dyDescent="0.25">
      <c r="A346" s="42">
        <v>359</v>
      </c>
      <c r="B346" s="43">
        <v>410</v>
      </c>
      <c r="C346" s="42" t="s">
        <v>1384</v>
      </c>
    </row>
    <row r="347" spans="1:3" x14ac:dyDescent="0.25">
      <c r="A347" s="42">
        <v>359</v>
      </c>
      <c r="B347" s="43">
        <v>410</v>
      </c>
      <c r="C347" s="42" t="s">
        <v>1384</v>
      </c>
    </row>
    <row r="348" spans="1:3" x14ac:dyDescent="0.25">
      <c r="A348" s="42">
        <v>359</v>
      </c>
      <c r="B348" s="43">
        <v>410</v>
      </c>
      <c r="C348" s="42" t="s">
        <v>1384</v>
      </c>
    </row>
    <row r="349" spans="1:3" x14ac:dyDescent="0.25">
      <c r="A349" s="42">
        <v>360</v>
      </c>
      <c r="B349" s="43">
        <v>410</v>
      </c>
      <c r="C349" s="42" t="s">
        <v>1384</v>
      </c>
    </row>
    <row r="350" spans="1:3" x14ac:dyDescent="0.25">
      <c r="A350" s="42">
        <v>361</v>
      </c>
      <c r="B350" s="43"/>
      <c r="C350" s="42" t="s">
        <v>1384</v>
      </c>
    </row>
    <row r="351" spans="1:3" x14ac:dyDescent="0.25">
      <c r="A351" s="42">
        <v>363</v>
      </c>
      <c r="B351" s="43"/>
      <c r="C351" s="42" t="s">
        <v>1384</v>
      </c>
    </row>
    <row r="352" spans="1:3" x14ac:dyDescent="0.25">
      <c r="A352" s="42">
        <v>371</v>
      </c>
      <c r="B352" s="43"/>
      <c r="C352" s="42" t="s">
        <v>1384</v>
      </c>
    </row>
    <row r="353" spans="1:3" x14ac:dyDescent="0.25">
      <c r="A353" s="42">
        <v>372</v>
      </c>
      <c r="B353" s="43"/>
      <c r="C353" s="42" t="s">
        <v>1384</v>
      </c>
    </row>
    <row r="354" spans="1:3" x14ac:dyDescent="0.25">
      <c r="A354" s="42">
        <v>373</v>
      </c>
      <c r="B354" s="43"/>
      <c r="C354" s="42" t="s">
        <v>1384</v>
      </c>
    </row>
    <row r="355" spans="1:3" x14ac:dyDescent="0.25">
      <c r="A355" s="42">
        <v>374</v>
      </c>
      <c r="B355" s="43"/>
      <c r="C355" s="42" t="s">
        <v>1384</v>
      </c>
    </row>
    <row r="356" spans="1:3" x14ac:dyDescent="0.25">
      <c r="A356" s="42">
        <v>375</v>
      </c>
      <c r="B356" s="43"/>
      <c r="C356" s="42" t="s">
        <v>1384</v>
      </c>
    </row>
    <row r="357" spans="1:3" x14ac:dyDescent="0.25">
      <c r="A357" s="42">
        <v>376</v>
      </c>
      <c r="B357" s="43"/>
      <c r="C357" s="42" t="s">
        <v>1384</v>
      </c>
    </row>
    <row r="358" spans="1:3" x14ac:dyDescent="0.25">
      <c r="A358" s="42">
        <v>377</v>
      </c>
      <c r="B358" s="43"/>
      <c r="C358" s="42" t="s">
        <v>1384</v>
      </c>
    </row>
    <row r="359" spans="1:3" x14ac:dyDescent="0.25">
      <c r="A359" s="42">
        <v>383</v>
      </c>
      <c r="B359" s="43">
        <v>12.6</v>
      </c>
      <c r="C359" s="42" t="s">
        <v>1384</v>
      </c>
    </row>
    <row r="360" spans="1:3" x14ac:dyDescent="0.25">
      <c r="A360" s="42">
        <v>383</v>
      </c>
      <c r="B360" s="43">
        <v>12.6</v>
      </c>
      <c r="C360" s="42" t="s">
        <v>1384</v>
      </c>
    </row>
    <row r="361" spans="1:3" x14ac:dyDescent="0.25">
      <c r="A361" s="42">
        <v>383</v>
      </c>
      <c r="B361" s="43">
        <v>12.6</v>
      </c>
      <c r="C361" s="42" t="s">
        <v>1384</v>
      </c>
    </row>
    <row r="362" spans="1:3" x14ac:dyDescent="0.25">
      <c r="A362" s="42">
        <v>383</v>
      </c>
      <c r="B362" s="43">
        <v>12.6</v>
      </c>
      <c r="C362" s="42" t="s">
        <v>1384</v>
      </c>
    </row>
    <row r="363" spans="1:3" x14ac:dyDescent="0.25">
      <c r="A363" s="42">
        <v>383</v>
      </c>
      <c r="B363" s="43">
        <v>12.6</v>
      </c>
      <c r="C363" s="42" t="s">
        <v>1384</v>
      </c>
    </row>
    <row r="364" spans="1:3" x14ac:dyDescent="0.25">
      <c r="A364" s="42">
        <v>383</v>
      </c>
      <c r="B364" s="43">
        <v>12.6</v>
      </c>
      <c r="C364" s="42" t="s">
        <v>1384</v>
      </c>
    </row>
    <row r="365" spans="1:3" x14ac:dyDescent="0.25">
      <c r="A365" s="42">
        <v>383</v>
      </c>
      <c r="B365" s="43">
        <v>12.6</v>
      </c>
      <c r="C365" s="42" t="s">
        <v>1384</v>
      </c>
    </row>
    <row r="366" spans="1:3" x14ac:dyDescent="0.25">
      <c r="A366" s="42">
        <v>383</v>
      </c>
      <c r="B366" s="43">
        <v>12.6</v>
      </c>
      <c r="C366" s="42" t="s">
        <v>1384</v>
      </c>
    </row>
    <row r="367" spans="1:3" x14ac:dyDescent="0.25">
      <c r="A367" s="42">
        <v>383</v>
      </c>
      <c r="B367" s="43">
        <v>12.6</v>
      </c>
      <c r="C367" s="42" t="s">
        <v>1384</v>
      </c>
    </row>
    <row r="368" spans="1:3" x14ac:dyDescent="0.25">
      <c r="A368" s="42">
        <v>383</v>
      </c>
      <c r="B368" s="43">
        <v>12.6</v>
      </c>
      <c r="C368" s="42" t="s">
        <v>1384</v>
      </c>
    </row>
    <row r="369" spans="1:3" x14ac:dyDescent="0.25">
      <c r="A369" s="42">
        <v>383</v>
      </c>
      <c r="B369" s="43">
        <v>12.6</v>
      </c>
      <c r="C369" s="42" t="s">
        <v>1384</v>
      </c>
    </row>
    <row r="370" spans="1:3" x14ac:dyDescent="0.25">
      <c r="A370" s="42">
        <v>383</v>
      </c>
      <c r="B370" s="43">
        <v>12.6</v>
      </c>
      <c r="C370" s="42" t="s">
        <v>1384</v>
      </c>
    </row>
    <row r="371" spans="1:3" x14ac:dyDescent="0.25">
      <c r="A371" s="42">
        <v>383</v>
      </c>
      <c r="B371" s="43">
        <v>12.6</v>
      </c>
      <c r="C371" s="42" t="s">
        <v>1384</v>
      </c>
    </row>
    <row r="372" spans="1:3" x14ac:dyDescent="0.25">
      <c r="A372" s="42">
        <v>383</v>
      </c>
      <c r="B372" s="43">
        <v>12.6</v>
      </c>
      <c r="C372" s="42" t="s">
        <v>1384</v>
      </c>
    </row>
    <row r="373" spans="1:3" x14ac:dyDescent="0.25">
      <c r="A373" s="42">
        <v>383</v>
      </c>
      <c r="B373" s="43">
        <v>12.6</v>
      </c>
      <c r="C373" s="42" t="s">
        <v>1384</v>
      </c>
    </row>
    <row r="374" spans="1:3" x14ac:dyDescent="0.25">
      <c r="A374" s="42">
        <v>383</v>
      </c>
      <c r="B374" s="43">
        <v>12.6</v>
      </c>
      <c r="C374" s="42" t="s">
        <v>1384</v>
      </c>
    </row>
    <row r="375" spans="1:3" x14ac:dyDescent="0.25">
      <c r="A375" s="42">
        <v>383</v>
      </c>
      <c r="B375" s="43">
        <v>12.6</v>
      </c>
      <c r="C375" s="42" t="s">
        <v>1384</v>
      </c>
    </row>
    <row r="376" spans="1:3" x14ac:dyDescent="0.25">
      <c r="A376" s="42">
        <v>383</v>
      </c>
      <c r="B376" s="43">
        <v>12.6</v>
      </c>
      <c r="C376" s="42" t="s">
        <v>1384</v>
      </c>
    </row>
    <row r="377" spans="1:3" x14ac:dyDescent="0.25">
      <c r="A377" s="42">
        <v>383</v>
      </c>
      <c r="B377" s="43">
        <v>12.6</v>
      </c>
      <c r="C377" s="42" t="s">
        <v>1384</v>
      </c>
    </row>
    <row r="378" spans="1:3" x14ac:dyDescent="0.25">
      <c r="A378" s="42">
        <v>383</v>
      </c>
      <c r="B378" s="43">
        <v>12.6</v>
      </c>
      <c r="C378" s="42" t="s">
        <v>1384</v>
      </c>
    </row>
    <row r="379" spans="1:3" x14ac:dyDescent="0.25">
      <c r="A379" s="42">
        <v>383</v>
      </c>
      <c r="B379" s="43">
        <v>12.6</v>
      </c>
      <c r="C379" s="42" t="s">
        <v>1384</v>
      </c>
    </row>
    <row r="380" spans="1:3" x14ac:dyDescent="0.25">
      <c r="A380" s="42">
        <v>383</v>
      </c>
      <c r="B380" s="43">
        <v>12.6</v>
      </c>
      <c r="C380" s="42" t="s">
        <v>1384</v>
      </c>
    </row>
    <row r="381" spans="1:3" x14ac:dyDescent="0.25">
      <c r="A381" s="42">
        <v>383</v>
      </c>
      <c r="B381" s="43">
        <v>12.6</v>
      </c>
      <c r="C381" s="42" t="s">
        <v>1384</v>
      </c>
    </row>
    <row r="382" spans="1:3" x14ac:dyDescent="0.25">
      <c r="A382" s="42">
        <v>383</v>
      </c>
      <c r="B382" s="43">
        <v>12.6</v>
      </c>
      <c r="C382" s="42" t="s">
        <v>1384</v>
      </c>
    </row>
    <row r="383" spans="1:3" x14ac:dyDescent="0.25">
      <c r="A383" s="42">
        <v>384</v>
      </c>
      <c r="B383" s="43"/>
      <c r="C383" s="42" t="s">
        <v>1384</v>
      </c>
    </row>
    <row r="384" spans="1:3" x14ac:dyDescent="0.25">
      <c r="A384" s="42">
        <v>392</v>
      </c>
      <c r="B384" s="43"/>
      <c r="C384" s="42" t="s">
        <v>1384</v>
      </c>
    </row>
    <row r="385" spans="1:3" x14ac:dyDescent="0.25">
      <c r="A385" s="42">
        <v>433</v>
      </c>
      <c r="B385" s="43"/>
      <c r="C385" s="42" t="s">
        <v>1384</v>
      </c>
    </row>
    <row r="386" spans="1:3" x14ac:dyDescent="0.25">
      <c r="A386" s="42">
        <v>447</v>
      </c>
      <c r="B386" s="43"/>
      <c r="C386" s="42" t="s">
        <v>1384</v>
      </c>
    </row>
    <row r="387" spans="1:3" x14ac:dyDescent="0.25">
      <c r="A387" s="42">
        <v>473</v>
      </c>
      <c r="B387" s="43"/>
      <c r="C387" s="42" t="s">
        <v>1384</v>
      </c>
    </row>
    <row r="388" spans="1:3" x14ac:dyDescent="0.25">
      <c r="A388" s="42">
        <v>474</v>
      </c>
      <c r="B388" s="43">
        <v>2296.96</v>
      </c>
      <c r="C388" s="42" t="s">
        <v>1384</v>
      </c>
    </row>
    <row r="389" spans="1:3" x14ac:dyDescent="0.25">
      <c r="A389" s="42">
        <v>474</v>
      </c>
      <c r="B389" s="43">
        <v>2296.96</v>
      </c>
      <c r="C389" s="42" t="s">
        <v>1384</v>
      </c>
    </row>
    <row r="390" spans="1:3" x14ac:dyDescent="0.25">
      <c r="A390" s="42">
        <v>474</v>
      </c>
      <c r="B390" s="43">
        <v>2296.96</v>
      </c>
      <c r="C390" s="42" t="s">
        <v>1384</v>
      </c>
    </row>
    <row r="391" spans="1:3" x14ac:dyDescent="0.25">
      <c r="A391" s="42">
        <v>474</v>
      </c>
      <c r="B391" s="43">
        <v>2296.96</v>
      </c>
      <c r="C391" s="42" t="s">
        <v>1384</v>
      </c>
    </row>
    <row r="392" spans="1:3" x14ac:dyDescent="0.25">
      <c r="A392" s="42">
        <v>474</v>
      </c>
      <c r="B392" s="43">
        <v>2296.96</v>
      </c>
      <c r="C392" s="42" t="s">
        <v>1384</v>
      </c>
    </row>
    <row r="393" spans="1:3" x14ac:dyDescent="0.25">
      <c r="A393" s="42">
        <v>474</v>
      </c>
      <c r="B393" s="43">
        <v>2296.96</v>
      </c>
      <c r="C393" s="42" t="s">
        <v>1384</v>
      </c>
    </row>
    <row r="394" spans="1:3" x14ac:dyDescent="0.25">
      <c r="A394" s="42">
        <v>474</v>
      </c>
      <c r="B394" s="43">
        <v>2296.96</v>
      </c>
      <c r="C394" s="42" t="s">
        <v>1384</v>
      </c>
    </row>
    <row r="395" spans="1:3" x14ac:dyDescent="0.25">
      <c r="A395" s="42">
        <v>474</v>
      </c>
      <c r="B395" s="43">
        <v>2296.96</v>
      </c>
      <c r="C395" s="42" t="s">
        <v>1384</v>
      </c>
    </row>
    <row r="396" spans="1:3" x14ac:dyDescent="0.25">
      <c r="A396" s="42">
        <v>475</v>
      </c>
      <c r="B396" s="43"/>
      <c r="C396" s="42" t="s">
        <v>1384</v>
      </c>
    </row>
    <row r="397" spans="1:3" x14ac:dyDescent="0.25">
      <c r="A397" s="42">
        <v>476</v>
      </c>
      <c r="B397" s="43"/>
      <c r="C397" s="42" t="s">
        <v>1384</v>
      </c>
    </row>
    <row r="398" spans="1:3" x14ac:dyDescent="0.25">
      <c r="A398" s="42">
        <v>477</v>
      </c>
      <c r="B398" s="43"/>
      <c r="C398" s="42" t="s">
        <v>1384</v>
      </c>
    </row>
    <row r="399" spans="1:3" x14ac:dyDescent="0.25">
      <c r="A399" s="42">
        <v>478</v>
      </c>
      <c r="B399" s="43"/>
      <c r="C399" s="42" t="s">
        <v>1384</v>
      </c>
    </row>
    <row r="400" spans="1:3" x14ac:dyDescent="0.25">
      <c r="A400" s="42">
        <v>478</v>
      </c>
      <c r="B400" s="43"/>
      <c r="C400" s="42" t="s">
        <v>1384</v>
      </c>
    </row>
    <row r="401" spans="1:3" x14ac:dyDescent="0.25">
      <c r="A401" s="42">
        <v>478</v>
      </c>
      <c r="B401" s="43"/>
      <c r="C401" s="42" t="s">
        <v>1384</v>
      </c>
    </row>
    <row r="402" spans="1:3" x14ac:dyDescent="0.25">
      <c r="A402" s="42">
        <v>479</v>
      </c>
      <c r="B402" s="43"/>
      <c r="C402" s="42" t="s">
        <v>1384</v>
      </c>
    </row>
    <row r="403" spans="1:3" x14ac:dyDescent="0.25">
      <c r="A403" s="42">
        <v>479</v>
      </c>
      <c r="B403" s="43"/>
      <c r="C403" s="42" t="s">
        <v>1384</v>
      </c>
    </row>
    <row r="404" spans="1:3" x14ac:dyDescent="0.25">
      <c r="A404" s="42">
        <v>480</v>
      </c>
      <c r="B404" s="43"/>
      <c r="C404" s="42" t="s">
        <v>1384</v>
      </c>
    </row>
    <row r="405" spans="1:3" x14ac:dyDescent="0.25">
      <c r="A405" s="42">
        <v>481</v>
      </c>
      <c r="B405" s="43">
        <v>50</v>
      </c>
      <c r="C405" s="42" t="s">
        <v>1384</v>
      </c>
    </row>
    <row r="406" spans="1:3" x14ac:dyDescent="0.25">
      <c r="A406" s="42">
        <v>481</v>
      </c>
      <c r="B406" s="43">
        <v>50</v>
      </c>
      <c r="C406" s="42" t="s">
        <v>1384</v>
      </c>
    </row>
    <row r="407" spans="1:3" x14ac:dyDescent="0.25">
      <c r="A407" s="42">
        <v>482</v>
      </c>
      <c r="B407" s="43"/>
      <c r="C407" s="42" t="s">
        <v>1384</v>
      </c>
    </row>
    <row r="408" spans="1:3" x14ac:dyDescent="0.25">
      <c r="A408" s="42">
        <v>483</v>
      </c>
      <c r="B408" s="43"/>
      <c r="C408" s="42" t="s">
        <v>1384</v>
      </c>
    </row>
    <row r="409" spans="1:3" x14ac:dyDescent="0.25">
      <c r="A409" s="42">
        <v>484</v>
      </c>
      <c r="B409" s="43"/>
      <c r="C409" s="42" t="s">
        <v>1384</v>
      </c>
    </row>
    <row r="410" spans="1:3" x14ac:dyDescent="0.25">
      <c r="A410" s="42">
        <v>484</v>
      </c>
      <c r="B410" s="43"/>
      <c r="C410" s="42" t="s">
        <v>1384</v>
      </c>
    </row>
    <row r="411" spans="1:3" x14ac:dyDescent="0.25">
      <c r="A411" s="42">
        <v>485</v>
      </c>
      <c r="B411" s="43"/>
      <c r="C411" s="42" t="s">
        <v>1384</v>
      </c>
    </row>
    <row r="412" spans="1:3" x14ac:dyDescent="0.25">
      <c r="A412" s="42">
        <v>486</v>
      </c>
      <c r="B412" s="43"/>
      <c r="C412" s="42" t="s">
        <v>1384</v>
      </c>
    </row>
    <row r="413" spans="1:3" x14ac:dyDescent="0.25">
      <c r="A413" s="42">
        <v>487</v>
      </c>
      <c r="B413" s="43"/>
      <c r="C413" s="42" t="s">
        <v>1384</v>
      </c>
    </row>
    <row r="414" spans="1:3" x14ac:dyDescent="0.25">
      <c r="A414" s="42">
        <v>488</v>
      </c>
      <c r="B414" s="43"/>
      <c r="C414" s="42" t="s">
        <v>1384</v>
      </c>
    </row>
    <row r="415" spans="1:3" x14ac:dyDescent="0.25">
      <c r="A415" s="42">
        <v>489</v>
      </c>
      <c r="B415" s="43"/>
      <c r="C415" s="42" t="s">
        <v>1384</v>
      </c>
    </row>
    <row r="416" spans="1:3" x14ac:dyDescent="0.25">
      <c r="A416" s="42">
        <v>490</v>
      </c>
      <c r="B416" s="43"/>
      <c r="C416" s="42" t="s">
        <v>1384</v>
      </c>
    </row>
    <row r="417" spans="1:3" x14ac:dyDescent="0.25">
      <c r="A417" s="42">
        <v>491</v>
      </c>
      <c r="B417" s="43"/>
      <c r="C417" s="42" t="s">
        <v>1384</v>
      </c>
    </row>
    <row r="418" spans="1:3" x14ac:dyDescent="0.25">
      <c r="A418" s="42">
        <v>492</v>
      </c>
      <c r="B418" s="43">
        <v>25</v>
      </c>
      <c r="C418" s="42" t="s">
        <v>1384</v>
      </c>
    </row>
    <row r="419" spans="1:3" x14ac:dyDescent="0.25">
      <c r="A419" s="42">
        <v>493</v>
      </c>
      <c r="B419" s="43"/>
      <c r="C419" s="42" t="s">
        <v>1384</v>
      </c>
    </row>
    <row r="420" spans="1:3" x14ac:dyDescent="0.25">
      <c r="A420" s="42">
        <v>494</v>
      </c>
      <c r="B420" s="43">
        <v>15.94</v>
      </c>
      <c r="C420" s="42" t="s">
        <v>1384</v>
      </c>
    </row>
    <row r="421" spans="1:3" x14ac:dyDescent="0.25">
      <c r="A421" s="42">
        <v>495</v>
      </c>
      <c r="B421" s="43">
        <v>30</v>
      </c>
      <c r="C421" s="42" t="s">
        <v>1384</v>
      </c>
    </row>
    <row r="422" spans="1:3" x14ac:dyDescent="0.25">
      <c r="A422" s="42">
        <v>495</v>
      </c>
      <c r="B422" s="43">
        <v>30</v>
      </c>
      <c r="C422" s="42" t="s">
        <v>1384</v>
      </c>
    </row>
    <row r="423" spans="1:3" x14ac:dyDescent="0.25">
      <c r="A423" s="42">
        <v>496</v>
      </c>
      <c r="B423" s="43"/>
      <c r="C423" s="42" t="s">
        <v>1384</v>
      </c>
    </row>
    <row r="424" spans="1:3" x14ac:dyDescent="0.25">
      <c r="A424" s="42">
        <v>496</v>
      </c>
      <c r="B424" s="43"/>
      <c r="C424" s="42" t="s">
        <v>1384</v>
      </c>
    </row>
    <row r="425" spans="1:3" x14ac:dyDescent="0.25">
      <c r="A425" s="42">
        <v>497</v>
      </c>
      <c r="B425" s="43"/>
      <c r="C425" s="42" t="s">
        <v>1384</v>
      </c>
    </row>
    <row r="426" spans="1:3" x14ac:dyDescent="0.25">
      <c r="A426" s="42">
        <v>498</v>
      </c>
      <c r="B426" s="43"/>
      <c r="C426" s="42" t="s">
        <v>1384</v>
      </c>
    </row>
    <row r="427" spans="1:3" x14ac:dyDescent="0.25">
      <c r="A427" s="42">
        <v>498</v>
      </c>
      <c r="B427" s="43"/>
      <c r="C427" s="42" t="s">
        <v>1384</v>
      </c>
    </row>
    <row r="428" spans="1:3" x14ac:dyDescent="0.25">
      <c r="A428" s="42">
        <v>498</v>
      </c>
      <c r="B428" s="43"/>
      <c r="C428" s="42" t="s">
        <v>1384</v>
      </c>
    </row>
    <row r="429" spans="1:3" x14ac:dyDescent="0.25">
      <c r="A429" s="42">
        <v>499</v>
      </c>
      <c r="B429" s="43"/>
      <c r="C429" s="42" t="s">
        <v>1384</v>
      </c>
    </row>
    <row r="430" spans="1:3" x14ac:dyDescent="0.25">
      <c r="A430" s="42">
        <v>499</v>
      </c>
      <c r="B430" s="43"/>
      <c r="C430" s="42" t="s">
        <v>1384</v>
      </c>
    </row>
    <row r="431" spans="1:3" x14ac:dyDescent="0.25">
      <c r="A431" s="42">
        <v>500</v>
      </c>
      <c r="B431" s="43"/>
      <c r="C431" s="42" t="s">
        <v>1384</v>
      </c>
    </row>
    <row r="432" spans="1:3" x14ac:dyDescent="0.25">
      <c r="A432" s="42">
        <v>501</v>
      </c>
      <c r="B432" s="43"/>
      <c r="C432" s="42" t="s">
        <v>1384</v>
      </c>
    </row>
    <row r="433" spans="1:3" x14ac:dyDescent="0.25">
      <c r="A433" s="42">
        <v>502</v>
      </c>
      <c r="B433" s="43"/>
      <c r="C433" s="42" t="s">
        <v>1384</v>
      </c>
    </row>
    <row r="434" spans="1:3" x14ac:dyDescent="0.25">
      <c r="A434" s="42">
        <v>503</v>
      </c>
      <c r="B434" s="43"/>
      <c r="C434" s="42" t="s">
        <v>1384</v>
      </c>
    </row>
    <row r="435" spans="1:3" x14ac:dyDescent="0.25">
      <c r="A435" s="42">
        <v>504</v>
      </c>
      <c r="B435" s="43"/>
      <c r="C435" s="42" t="s">
        <v>1384</v>
      </c>
    </row>
    <row r="436" spans="1:3" x14ac:dyDescent="0.25">
      <c r="A436" s="42">
        <v>505</v>
      </c>
      <c r="B436" s="43"/>
      <c r="C436" s="42" t="s">
        <v>1384</v>
      </c>
    </row>
    <row r="437" spans="1:3" x14ac:dyDescent="0.25">
      <c r="A437" s="42">
        <v>506</v>
      </c>
      <c r="B437" s="43"/>
      <c r="C437" s="42" t="s">
        <v>1384</v>
      </c>
    </row>
    <row r="438" spans="1:3" x14ac:dyDescent="0.25">
      <c r="A438" s="42">
        <v>507</v>
      </c>
      <c r="B438" s="43"/>
      <c r="C438" s="42" t="s">
        <v>1384</v>
      </c>
    </row>
    <row r="439" spans="1:3" x14ac:dyDescent="0.25">
      <c r="A439" s="42">
        <v>508</v>
      </c>
      <c r="B439" s="43">
        <v>50</v>
      </c>
      <c r="C439" s="42" t="s">
        <v>1384</v>
      </c>
    </row>
    <row r="440" spans="1:3" x14ac:dyDescent="0.25">
      <c r="A440" s="42">
        <v>509</v>
      </c>
      <c r="B440" s="43"/>
      <c r="C440" s="42" t="s">
        <v>1384</v>
      </c>
    </row>
    <row r="441" spans="1:3" x14ac:dyDescent="0.25">
      <c r="A441" s="42">
        <v>510</v>
      </c>
      <c r="B441" s="43"/>
      <c r="C441" s="42" t="s">
        <v>1384</v>
      </c>
    </row>
    <row r="442" spans="1:3" x14ac:dyDescent="0.25">
      <c r="A442" s="42">
        <v>511</v>
      </c>
      <c r="B442" s="43"/>
      <c r="C442" s="42" t="s">
        <v>1384</v>
      </c>
    </row>
    <row r="443" spans="1:3" x14ac:dyDescent="0.25">
      <c r="A443" s="42">
        <v>512</v>
      </c>
      <c r="B443" s="43"/>
      <c r="C443" s="42" t="s">
        <v>1384</v>
      </c>
    </row>
    <row r="444" spans="1:3" x14ac:dyDescent="0.25">
      <c r="A444" s="42">
        <v>512</v>
      </c>
      <c r="B444" s="43"/>
      <c r="C444" s="42" t="s">
        <v>1384</v>
      </c>
    </row>
    <row r="445" spans="1:3" x14ac:dyDescent="0.25">
      <c r="A445" s="42">
        <v>513</v>
      </c>
      <c r="B445" s="43"/>
      <c r="C445" s="42" t="s">
        <v>1384</v>
      </c>
    </row>
    <row r="446" spans="1:3" x14ac:dyDescent="0.25">
      <c r="A446" s="42">
        <v>513</v>
      </c>
      <c r="B446" s="43"/>
      <c r="C446" s="42" t="s">
        <v>1384</v>
      </c>
    </row>
    <row r="447" spans="1:3" x14ac:dyDescent="0.25">
      <c r="A447" s="42">
        <v>514</v>
      </c>
      <c r="B447" s="43"/>
      <c r="C447" s="42" t="s">
        <v>1384</v>
      </c>
    </row>
    <row r="448" spans="1:3" x14ac:dyDescent="0.25">
      <c r="A448" s="42">
        <v>515</v>
      </c>
      <c r="B448" s="43"/>
      <c r="C448" s="42" t="s">
        <v>1384</v>
      </c>
    </row>
    <row r="449" spans="1:3" x14ac:dyDescent="0.25">
      <c r="A449" s="42">
        <v>516</v>
      </c>
      <c r="B449" s="43">
        <v>50</v>
      </c>
      <c r="C449" s="42" t="s">
        <v>1384</v>
      </c>
    </row>
    <row r="450" spans="1:3" x14ac:dyDescent="0.25">
      <c r="A450" s="42">
        <v>516</v>
      </c>
      <c r="B450" s="43">
        <v>50</v>
      </c>
      <c r="C450" s="42" t="s">
        <v>1384</v>
      </c>
    </row>
    <row r="451" spans="1:3" x14ac:dyDescent="0.25">
      <c r="A451" s="42">
        <v>516</v>
      </c>
      <c r="B451" s="43">
        <v>50</v>
      </c>
      <c r="C451" s="42" t="s">
        <v>1384</v>
      </c>
    </row>
    <row r="452" spans="1:3" x14ac:dyDescent="0.25">
      <c r="A452" s="42">
        <v>516</v>
      </c>
      <c r="B452" s="43">
        <v>50</v>
      </c>
      <c r="C452" s="42" t="s">
        <v>1384</v>
      </c>
    </row>
    <row r="453" spans="1:3" x14ac:dyDescent="0.25">
      <c r="A453" s="42">
        <v>517</v>
      </c>
      <c r="B453" s="43"/>
      <c r="C453" s="42" t="s">
        <v>1384</v>
      </c>
    </row>
    <row r="454" spans="1:3" x14ac:dyDescent="0.25">
      <c r="A454" s="42">
        <v>518</v>
      </c>
      <c r="B454" s="43">
        <v>560</v>
      </c>
      <c r="C454" s="42" t="s">
        <v>1384</v>
      </c>
    </row>
    <row r="455" spans="1:3" x14ac:dyDescent="0.25">
      <c r="A455" s="42">
        <v>518</v>
      </c>
      <c r="B455" s="43">
        <v>560</v>
      </c>
      <c r="C455" s="42" t="s">
        <v>1384</v>
      </c>
    </row>
    <row r="456" spans="1:3" x14ac:dyDescent="0.25">
      <c r="A456" s="42">
        <v>518</v>
      </c>
      <c r="B456" s="43">
        <v>560</v>
      </c>
      <c r="C456" s="42" t="s">
        <v>1384</v>
      </c>
    </row>
    <row r="457" spans="1:3" x14ac:dyDescent="0.25">
      <c r="A457" s="42">
        <v>519</v>
      </c>
      <c r="B457" s="43">
        <v>711</v>
      </c>
      <c r="C457" s="42" t="s">
        <v>1384</v>
      </c>
    </row>
    <row r="458" spans="1:3" x14ac:dyDescent="0.25">
      <c r="A458" s="42">
        <v>519</v>
      </c>
      <c r="B458" s="43">
        <v>711</v>
      </c>
      <c r="C458" s="42" t="s">
        <v>1384</v>
      </c>
    </row>
    <row r="459" spans="1:3" x14ac:dyDescent="0.25">
      <c r="A459" s="42">
        <v>519</v>
      </c>
      <c r="B459" s="43">
        <v>711</v>
      </c>
      <c r="C459" s="42" t="s">
        <v>1384</v>
      </c>
    </row>
    <row r="460" spans="1:3" x14ac:dyDescent="0.25">
      <c r="A460" s="42">
        <v>519</v>
      </c>
      <c r="B460" s="43">
        <v>711</v>
      </c>
      <c r="C460" s="42" t="s">
        <v>1384</v>
      </c>
    </row>
    <row r="461" spans="1:3" x14ac:dyDescent="0.25">
      <c r="A461" s="42">
        <v>520</v>
      </c>
      <c r="B461" s="43"/>
      <c r="C461" s="42" t="s">
        <v>1384</v>
      </c>
    </row>
    <row r="462" spans="1:3" x14ac:dyDescent="0.25">
      <c r="A462" s="42">
        <v>521</v>
      </c>
      <c r="B462" s="43">
        <v>208.7</v>
      </c>
      <c r="C462" s="42" t="s">
        <v>1384</v>
      </c>
    </row>
    <row r="463" spans="1:3" x14ac:dyDescent="0.25">
      <c r="A463" s="42">
        <v>522</v>
      </c>
      <c r="B463" s="43"/>
      <c r="C463" s="42" t="s">
        <v>1384</v>
      </c>
    </row>
    <row r="464" spans="1:3" x14ac:dyDescent="0.25">
      <c r="A464" s="42">
        <v>523</v>
      </c>
      <c r="B464" s="43">
        <v>571</v>
      </c>
      <c r="C464" s="42" t="s">
        <v>1384</v>
      </c>
    </row>
    <row r="465" spans="1:3" x14ac:dyDescent="0.25">
      <c r="A465" s="42">
        <v>524</v>
      </c>
      <c r="B465" s="43"/>
      <c r="C465" s="42" t="s">
        <v>1384</v>
      </c>
    </row>
    <row r="466" spans="1:3" x14ac:dyDescent="0.25">
      <c r="A466" s="42">
        <v>525</v>
      </c>
      <c r="B466" s="43"/>
      <c r="C466" s="42" t="s">
        <v>1384</v>
      </c>
    </row>
    <row r="467" spans="1:3" x14ac:dyDescent="0.25">
      <c r="A467" s="42">
        <v>526</v>
      </c>
      <c r="B467" s="43"/>
      <c r="C467" s="42" t="s">
        <v>1384</v>
      </c>
    </row>
    <row r="468" spans="1:3" x14ac:dyDescent="0.25">
      <c r="A468" s="42">
        <v>526</v>
      </c>
      <c r="B468" s="43"/>
      <c r="C468" s="42" t="s">
        <v>1384</v>
      </c>
    </row>
    <row r="469" spans="1:3" x14ac:dyDescent="0.25">
      <c r="A469" s="42">
        <v>527</v>
      </c>
      <c r="B469" s="43"/>
      <c r="C469" s="42" t="s">
        <v>1384</v>
      </c>
    </row>
    <row r="470" spans="1:3" x14ac:dyDescent="0.25">
      <c r="A470" s="42">
        <v>528</v>
      </c>
      <c r="B470" s="43"/>
      <c r="C470" s="42" t="s">
        <v>1384</v>
      </c>
    </row>
    <row r="471" spans="1:3" x14ac:dyDescent="0.25">
      <c r="A471" s="42">
        <v>529</v>
      </c>
      <c r="B471" s="43"/>
      <c r="C471" s="42" t="s">
        <v>1384</v>
      </c>
    </row>
    <row r="472" spans="1:3" x14ac:dyDescent="0.25">
      <c r="A472" s="42">
        <v>529</v>
      </c>
      <c r="B472" s="43"/>
      <c r="C472" s="42" t="s">
        <v>1384</v>
      </c>
    </row>
    <row r="473" spans="1:3" x14ac:dyDescent="0.25">
      <c r="A473" s="42">
        <v>530</v>
      </c>
      <c r="B473" s="43"/>
      <c r="C473" s="42" t="s">
        <v>1384</v>
      </c>
    </row>
    <row r="474" spans="1:3" x14ac:dyDescent="0.25">
      <c r="A474" s="42">
        <v>530</v>
      </c>
      <c r="B474" s="43"/>
      <c r="C474" s="42" t="s">
        <v>1384</v>
      </c>
    </row>
    <row r="475" spans="1:3" x14ac:dyDescent="0.25">
      <c r="A475" s="42">
        <v>531</v>
      </c>
      <c r="B475" s="43"/>
      <c r="C475" s="42" t="s">
        <v>1384</v>
      </c>
    </row>
    <row r="476" spans="1:3" x14ac:dyDescent="0.25">
      <c r="A476" s="42">
        <v>532</v>
      </c>
      <c r="B476" s="43">
        <v>60</v>
      </c>
      <c r="C476" s="42" t="s">
        <v>1384</v>
      </c>
    </row>
    <row r="477" spans="1:3" x14ac:dyDescent="0.25">
      <c r="A477" s="42">
        <v>532</v>
      </c>
      <c r="B477" s="43">
        <v>60</v>
      </c>
      <c r="C477" s="42" t="s">
        <v>1384</v>
      </c>
    </row>
    <row r="478" spans="1:3" x14ac:dyDescent="0.25">
      <c r="A478" s="42">
        <v>532</v>
      </c>
      <c r="B478" s="43">
        <v>60</v>
      </c>
      <c r="C478" s="42" t="s">
        <v>1384</v>
      </c>
    </row>
    <row r="479" spans="1:3" x14ac:dyDescent="0.25">
      <c r="A479" s="42">
        <v>532</v>
      </c>
      <c r="B479" s="43">
        <v>60</v>
      </c>
      <c r="C479" s="42" t="s">
        <v>1384</v>
      </c>
    </row>
    <row r="480" spans="1:3" x14ac:dyDescent="0.25">
      <c r="A480" s="42">
        <v>533</v>
      </c>
      <c r="B480" s="43"/>
      <c r="C480" s="42" t="s">
        <v>1384</v>
      </c>
    </row>
    <row r="481" spans="1:3" x14ac:dyDescent="0.25">
      <c r="A481" s="42">
        <v>533</v>
      </c>
      <c r="B481" s="43"/>
      <c r="C481" s="42" t="s">
        <v>1384</v>
      </c>
    </row>
    <row r="482" spans="1:3" x14ac:dyDescent="0.25">
      <c r="A482" s="42">
        <v>534</v>
      </c>
      <c r="B482" s="43"/>
      <c r="C482" s="42" t="s">
        <v>1384</v>
      </c>
    </row>
    <row r="483" spans="1:3" x14ac:dyDescent="0.25">
      <c r="A483" s="42">
        <v>535</v>
      </c>
      <c r="B483" s="43"/>
      <c r="C483" s="42" t="s">
        <v>1384</v>
      </c>
    </row>
    <row r="484" spans="1:3" x14ac:dyDescent="0.25">
      <c r="A484" s="42">
        <v>536</v>
      </c>
      <c r="B484" s="43"/>
      <c r="C484" s="42" t="s">
        <v>1384</v>
      </c>
    </row>
    <row r="485" spans="1:3" x14ac:dyDescent="0.25">
      <c r="A485" s="42">
        <v>537</v>
      </c>
      <c r="B485" s="43"/>
      <c r="C485" s="42" t="s">
        <v>1384</v>
      </c>
    </row>
    <row r="486" spans="1:3" x14ac:dyDescent="0.25">
      <c r="A486" s="42">
        <v>538</v>
      </c>
      <c r="B486" s="43"/>
      <c r="C486" s="42" t="s">
        <v>1384</v>
      </c>
    </row>
    <row r="487" spans="1:3" x14ac:dyDescent="0.25">
      <c r="A487" s="42">
        <v>539</v>
      </c>
      <c r="B487" s="43"/>
      <c r="C487" s="42" t="s">
        <v>1384</v>
      </c>
    </row>
    <row r="488" spans="1:3" x14ac:dyDescent="0.25">
      <c r="A488" s="42">
        <v>540</v>
      </c>
      <c r="B488" s="43"/>
      <c r="C488" s="42" t="s">
        <v>1384</v>
      </c>
    </row>
    <row r="489" spans="1:3" x14ac:dyDescent="0.25">
      <c r="A489" s="42">
        <v>541</v>
      </c>
      <c r="B489" s="43"/>
      <c r="C489" s="42" t="s">
        <v>1384</v>
      </c>
    </row>
    <row r="490" spans="1:3" x14ac:dyDescent="0.25">
      <c r="A490" s="42">
        <v>542</v>
      </c>
      <c r="B490" s="43"/>
      <c r="C490" s="42" t="s">
        <v>1384</v>
      </c>
    </row>
    <row r="491" spans="1:3" x14ac:dyDescent="0.25">
      <c r="A491" s="42">
        <v>543</v>
      </c>
      <c r="B491" s="43"/>
      <c r="C491" s="42" t="s">
        <v>1384</v>
      </c>
    </row>
    <row r="492" spans="1:3" x14ac:dyDescent="0.25">
      <c r="A492" s="42">
        <v>544</v>
      </c>
      <c r="B492" s="43"/>
      <c r="C492" s="42" t="s">
        <v>1384</v>
      </c>
    </row>
    <row r="493" spans="1:3" x14ac:dyDescent="0.25">
      <c r="A493" s="42">
        <v>545</v>
      </c>
      <c r="B493" s="43"/>
      <c r="C493" s="42" t="s">
        <v>1384</v>
      </c>
    </row>
    <row r="494" spans="1:3" x14ac:dyDescent="0.25">
      <c r="A494" s="42">
        <v>546</v>
      </c>
      <c r="B494" s="43">
        <v>100</v>
      </c>
      <c r="C494" s="42" t="s">
        <v>1384</v>
      </c>
    </row>
    <row r="495" spans="1:3" x14ac:dyDescent="0.25">
      <c r="A495" s="42">
        <v>546</v>
      </c>
      <c r="B495" s="43">
        <v>100</v>
      </c>
      <c r="C495" s="42" t="s">
        <v>1384</v>
      </c>
    </row>
    <row r="496" spans="1:3" x14ac:dyDescent="0.25">
      <c r="A496" s="42">
        <v>547</v>
      </c>
      <c r="B496" s="43">
        <v>50</v>
      </c>
      <c r="C496" s="42" t="s">
        <v>1384</v>
      </c>
    </row>
    <row r="497" spans="1:3" x14ac:dyDescent="0.25">
      <c r="A497" s="42">
        <v>547</v>
      </c>
      <c r="B497" s="43">
        <v>50</v>
      </c>
      <c r="C497" s="42" t="s">
        <v>1384</v>
      </c>
    </row>
    <row r="498" spans="1:3" x14ac:dyDescent="0.25">
      <c r="A498" s="42">
        <v>547</v>
      </c>
      <c r="B498" s="43">
        <v>50</v>
      </c>
      <c r="C498" s="42" t="s">
        <v>1384</v>
      </c>
    </row>
    <row r="499" spans="1:3" x14ac:dyDescent="0.25">
      <c r="A499" s="42">
        <v>547</v>
      </c>
      <c r="B499" s="43">
        <v>50</v>
      </c>
      <c r="C499" s="42" t="s">
        <v>1384</v>
      </c>
    </row>
    <row r="500" spans="1:3" x14ac:dyDescent="0.25">
      <c r="A500" s="42">
        <v>547</v>
      </c>
      <c r="B500" s="43">
        <v>50</v>
      </c>
      <c r="C500" s="42" t="s">
        <v>1384</v>
      </c>
    </row>
    <row r="501" spans="1:3" x14ac:dyDescent="0.25">
      <c r="A501" s="42">
        <v>548</v>
      </c>
      <c r="B501" s="43"/>
      <c r="C501" s="42" t="s">
        <v>1384</v>
      </c>
    </row>
    <row r="502" spans="1:3" x14ac:dyDescent="0.25">
      <c r="A502" s="42">
        <v>549</v>
      </c>
      <c r="B502" s="43"/>
      <c r="C502" s="42" t="s">
        <v>1384</v>
      </c>
    </row>
    <row r="503" spans="1:3" x14ac:dyDescent="0.25">
      <c r="A503" s="42">
        <v>550</v>
      </c>
      <c r="B503" s="43">
        <v>10</v>
      </c>
      <c r="C503" s="42" t="s">
        <v>1384</v>
      </c>
    </row>
    <row r="504" spans="1:3" x14ac:dyDescent="0.25">
      <c r="A504" s="42">
        <v>551</v>
      </c>
      <c r="B504" s="43"/>
      <c r="C504" s="42" t="s">
        <v>1384</v>
      </c>
    </row>
    <row r="505" spans="1:3" x14ac:dyDescent="0.25">
      <c r="A505" s="42">
        <v>552</v>
      </c>
      <c r="B505" s="43"/>
      <c r="C505" s="42" t="s">
        <v>1384</v>
      </c>
    </row>
    <row r="506" spans="1:3" x14ac:dyDescent="0.25">
      <c r="A506" s="42">
        <v>552</v>
      </c>
      <c r="B506" s="43"/>
      <c r="C506" s="42" t="s">
        <v>1384</v>
      </c>
    </row>
    <row r="507" spans="1:3" x14ac:dyDescent="0.25">
      <c r="A507" s="42">
        <v>552</v>
      </c>
      <c r="B507" s="43"/>
      <c r="C507" s="42" t="s">
        <v>1384</v>
      </c>
    </row>
    <row r="508" spans="1:3" x14ac:dyDescent="0.25">
      <c r="A508" s="42">
        <v>552</v>
      </c>
      <c r="B508" s="43"/>
      <c r="C508" s="42" t="s">
        <v>1384</v>
      </c>
    </row>
    <row r="509" spans="1:3" x14ac:dyDescent="0.25">
      <c r="A509" s="42">
        <v>552</v>
      </c>
      <c r="B509" s="43"/>
      <c r="C509" s="42" t="s">
        <v>1384</v>
      </c>
    </row>
    <row r="510" spans="1:3" x14ac:dyDescent="0.25">
      <c r="A510" s="42">
        <v>553</v>
      </c>
      <c r="B510" s="43"/>
      <c r="C510" s="42" t="s">
        <v>1384</v>
      </c>
    </row>
    <row r="511" spans="1:3" x14ac:dyDescent="0.25">
      <c r="A511" s="42">
        <v>553</v>
      </c>
      <c r="B511" s="43"/>
      <c r="C511" s="42" t="s">
        <v>1384</v>
      </c>
    </row>
    <row r="512" spans="1:3" x14ac:dyDescent="0.25">
      <c r="A512" s="42">
        <v>553</v>
      </c>
      <c r="B512" s="43"/>
      <c r="C512" s="42" t="s">
        <v>1384</v>
      </c>
    </row>
    <row r="513" spans="1:3" x14ac:dyDescent="0.25">
      <c r="A513" s="42">
        <v>554</v>
      </c>
      <c r="B513" s="43"/>
      <c r="C513" s="42" t="s">
        <v>1384</v>
      </c>
    </row>
    <row r="514" spans="1:3" x14ac:dyDescent="0.25">
      <c r="A514" s="42">
        <v>555</v>
      </c>
      <c r="B514" s="43"/>
      <c r="C514" s="42" t="s">
        <v>1384</v>
      </c>
    </row>
    <row r="515" spans="1:3" x14ac:dyDescent="0.25">
      <c r="A515" s="42">
        <v>556</v>
      </c>
      <c r="B515" s="43"/>
      <c r="C515" s="42" t="s">
        <v>1384</v>
      </c>
    </row>
    <row r="516" spans="1:3" x14ac:dyDescent="0.25">
      <c r="A516" s="42">
        <v>556</v>
      </c>
      <c r="B516" s="43"/>
      <c r="C516" s="42" t="s">
        <v>1384</v>
      </c>
    </row>
    <row r="517" spans="1:3" x14ac:dyDescent="0.25">
      <c r="A517" s="42">
        <v>557</v>
      </c>
      <c r="B517" s="43">
        <v>343.85</v>
      </c>
      <c r="C517" s="42" t="s">
        <v>1384</v>
      </c>
    </row>
    <row r="518" spans="1:3" x14ac:dyDescent="0.25">
      <c r="A518" s="42">
        <v>557</v>
      </c>
      <c r="B518" s="43">
        <v>343.85</v>
      </c>
      <c r="C518" s="42" t="s">
        <v>1384</v>
      </c>
    </row>
    <row r="519" spans="1:3" x14ac:dyDescent="0.25">
      <c r="A519" s="42">
        <v>557</v>
      </c>
      <c r="B519" s="43">
        <v>343.85</v>
      </c>
      <c r="C519" s="42" t="s">
        <v>1384</v>
      </c>
    </row>
    <row r="520" spans="1:3" x14ac:dyDescent="0.25">
      <c r="A520" s="42">
        <v>558</v>
      </c>
      <c r="B520" s="43"/>
      <c r="C520" s="42" t="s">
        <v>1384</v>
      </c>
    </row>
    <row r="521" spans="1:3" x14ac:dyDescent="0.25">
      <c r="A521" s="42">
        <v>559</v>
      </c>
      <c r="B521" s="43">
        <v>266.2</v>
      </c>
      <c r="C521" s="42" t="s">
        <v>1384</v>
      </c>
    </row>
    <row r="522" spans="1:3" x14ac:dyDescent="0.25">
      <c r="A522" s="42">
        <v>560</v>
      </c>
      <c r="B522" s="43">
        <v>355</v>
      </c>
      <c r="C522" s="42" t="s">
        <v>1384</v>
      </c>
    </row>
    <row r="523" spans="1:3" x14ac:dyDescent="0.25">
      <c r="A523" s="42">
        <v>560</v>
      </c>
      <c r="B523" s="43">
        <v>355</v>
      </c>
      <c r="C523" s="42" t="s">
        <v>1384</v>
      </c>
    </row>
    <row r="524" spans="1:3" x14ac:dyDescent="0.25">
      <c r="A524" s="42">
        <v>560</v>
      </c>
      <c r="B524" s="43">
        <v>355</v>
      </c>
      <c r="C524" s="42" t="s">
        <v>1384</v>
      </c>
    </row>
    <row r="525" spans="1:3" x14ac:dyDescent="0.25">
      <c r="A525" s="42">
        <v>560</v>
      </c>
      <c r="B525" s="43">
        <v>355</v>
      </c>
      <c r="C525" s="42" t="s">
        <v>1384</v>
      </c>
    </row>
    <row r="526" spans="1:3" x14ac:dyDescent="0.25">
      <c r="A526" s="42">
        <v>561</v>
      </c>
      <c r="B526" s="43">
        <v>491.35</v>
      </c>
      <c r="C526" s="42" t="s">
        <v>1384</v>
      </c>
    </row>
    <row r="527" spans="1:3" x14ac:dyDescent="0.25">
      <c r="A527" s="42">
        <v>561</v>
      </c>
      <c r="B527" s="43">
        <v>491.35</v>
      </c>
      <c r="C527" s="42" t="s">
        <v>1384</v>
      </c>
    </row>
    <row r="528" spans="1:3" x14ac:dyDescent="0.25">
      <c r="A528" s="42">
        <v>561</v>
      </c>
      <c r="B528" s="43">
        <v>491.35</v>
      </c>
      <c r="C528" s="42" t="s">
        <v>1384</v>
      </c>
    </row>
    <row r="529" spans="1:3" x14ac:dyDescent="0.25">
      <c r="A529" s="42">
        <v>561</v>
      </c>
      <c r="B529" s="43">
        <v>491.35</v>
      </c>
      <c r="C529" s="42" t="s">
        <v>1384</v>
      </c>
    </row>
    <row r="530" spans="1:3" x14ac:dyDescent="0.25">
      <c r="A530" s="42">
        <v>562</v>
      </c>
      <c r="B530" s="43">
        <v>120</v>
      </c>
      <c r="C530" s="42" t="s">
        <v>1384</v>
      </c>
    </row>
    <row r="531" spans="1:3" x14ac:dyDescent="0.25">
      <c r="A531" s="42">
        <v>562</v>
      </c>
      <c r="B531" s="43">
        <v>120</v>
      </c>
      <c r="C531" s="42" t="s">
        <v>1384</v>
      </c>
    </row>
    <row r="532" spans="1:3" x14ac:dyDescent="0.25">
      <c r="A532" s="42">
        <v>562</v>
      </c>
      <c r="B532" s="43">
        <v>120</v>
      </c>
      <c r="C532" s="42" t="s">
        <v>1384</v>
      </c>
    </row>
    <row r="533" spans="1:3" x14ac:dyDescent="0.25">
      <c r="A533" s="42">
        <v>563</v>
      </c>
      <c r="B533" s="43">
        <v>342.15</v>
      </c>
      <c r="C533" s="42" t="s">
        <v>1384</v>
      </c>
    </row>
    <row r="534" spans="1:3" x14ac:dyDescent="0.25">
      <c r="A534" s="42">
        <v>563</v>
      </c>
      <c r="B534" s="43">
        <v>342.15</v>
      </c>
      <c r="C534" s="42" t="s">
        <v>1384</v>
      </c>
    </row>
    <row r="535" spans="1:3" x14ac:dyDescent="0.25">
      <c r="A535" s="42">
        <v>564</v>
      </c>
      <c r="B535" s="43">
        <v>91.15</v>
      </c>
      <c r="C535" s="42" t="s">
        <v>1384</v>
      </c>
    </row>
    <row r="536" spans="1:3" x14ac:dyDescent="0.25">
      <c r="A536" s="42">
        <v>564</v>
      </c>
      <c r="B536" s="43">
        <v>91.15</v>
      </c>
      <c r="C536" s="42" t="s">
        <v>1384</v>
      </c>
    </row>
    <row r="537" spans="1:3" x14ac:dyDescent="0.25">
      <c r="A537" s="42">
        <v>565</v>
      </c>
      <c r="B537" s="43"/>
      <c r="C537" s="42" t="s">
        <v>1384</v>
      </c>
    </row>
    <row r="538" spans="1:3" x14ac:dyDescent="0.25">
      <c r="A538" s="42">
        <v>565</v>
      </c>
      <c r="B538" s="43"/>
      <c r="C538" s="42" t="s">
        <v>1384</v>
      </c>
    </row>
    <row r="539" spans="1:3" x14ac:dyDescent="0.25">
      <c r="A539" s="42">
        <v>566</v>
      </c>
      <c r="B539" s="43">
        <v>108.4</v>
      </c>
      <c r="C539" s="42" t="s">
        <v>1384</v>
      </c>
    </row>
    <row r="540" spans="1:3" x14ac:dyDescent="0.25">
      <c r="A540" s="42">
        <v>566</v>
      </c>
      <c r="B540" s="43">
        <v>108.4</v>
      </c>
      <c r="C540" s="42" t="s">
        <v>1384</v>
      </c>
    </row>
    <row r="541" spans="1:3" x14ac:dyDescent="0.25">
      <c r="A541" s="42">
        <v>566</v>
      </c>
      <c r="B541" s="43">
        <v>108.4</v>
      </c>
      <c r="C541" s="42" t="s">
        <v>1384</v>
      </c>
    </row>
    <row r="542" spans="1:3" x14ac:dyDescent="0.25">
      <c r="A542" s="42">
        <v>567</v>
      </c>
      <c r="B542" s="43"/>
      <c r="C542" s="42" t="s">
        <v>1384</v>
      </c>
    </row>
    <row r="543" spans="1:3" x14ac:dyDescent="0.25">
      <c r="A543" s="42">
        <v>568</v>
      </c>
      <c r="B543" s="43">
        <v>220</v>
      </c>
      <c r="C543" s="42" t="s">
        <v>1384</v>
      </c>
    </row>
    <row r="544" spans="1:3" x14ac:dyDescent="0.25">
      <c r="A544" s="42">
        <v>569</v>
      </c>
      <c r="B544" s="43">
        <v>355</v>
      </c>
      <c r="C544" s="42" t="s">
        <v>1384</v>
      </c>
    </row>
    <row r="545" spans="1:3" x14ac:dyDescent="0.25">
      <c r="A545" s="42">
        <v>569</v>
      </c>
      <c r="B545" s="43">
        <v>355</v>
      </c>
      <c r="C545" s="42" t="s">
        <v>1384</v>
      </c>
    </row>
    <row r="546" spans="1:3" x14ac:dyDescent="0.25">
      <c r="A546" s="42">
        <v>570</v>
      </c>
      <c r="B546" s="43">
        <v>202.23</v>
      </c>
      <c r="C546" s="42" t="s">
        <v>1384</v>
      </c>
    </row>
    <row r="547" spans="1:3" x14ac:dyDescent="0.25">
      <c r="A547" s="42">
        <v>570</v>
      </c>
      <c r="B547" s="43">
        <v>202.23</v>
      </c>
      <c r="C547" s="42" t="s">
        <v>1384</v>
      </c>
    </row>
    <row r="548" spans="1:3" x14ac:dyDescent="0.25">
      <c r="A548" s="42">
        <v>570</v>
      </c>
      <c r="B548" s="43">
        <v>202.23</v>
      </c>
      <c r="C548" s="42" t="s">
        <v>1384</v>
      </c>
    </row>
    <row r="549" spans="1:3" x14ac:dyDescent="0.25">
      <c r="A549" s="42">
        <v>571</v>
      </c>
      <c r="B549" s="43"/>
      <c r="C549" s="42" t="s">
        <v>1384</v>
      </c>
    </row>
    <row r="550" spans="1:3" x14ac:dyDescent="0.25">
      <c r="A550" s="42">
        <v>572</v>
      </c>
      <c r="B550" s="43"/>
      <c r="C550" s="42" t="s">
        <v>1384</v>
      </c>
    </row>
    <row r="551" spans="1:3" x14ac:dyDescent="0.25">
      <c r="A551" s="42">
        <v>573</v>
      </c>
      <c r="B551" s="43"/>
      <c r="C551" s="42" t="s">
        <v>1384</v>
      </c>
    </row>
    <row r="552" spans="1:3" x14ac:dyDescent="0.25">
      <c r="A552" s="42">
        <v>574</v>
      </c>
      <c r="B552" s="43">
        <v>386</v>
      </c>
      <c r="C552" s="42" t="s">
        <v>1384</v>
      </c>
    </row>
    <row r="553" spans="1:3" x14ac:dyDescent="0.25">
      <c r="A553" s="42">
        <v>575</v>
      </c>
      <c r="B553" s="43">
        <v>166.75</v>
      </c>
      <c r="C553" s="42" t="s">
        <v>1384</v>
      </c>
    </row>
    <row r="554" spans="1:3" x14ac:dyDescent="0.25">
      <c r="A554" s="42">
        <v>575</v>
      </c>
      <c r="B554" s="43">
        <v>166.75</v>
      </c>
      <c r="C554" s="42" t="s">
        <v>1384</v>
      </c>
    </row>
    <row r="555" spans="1:3" x14ac:dyDescent="0.25">
      <c r="A555" s="42">
        <v>575</v>
      </c>
      <c r="B555" s="43">
        <v>166.75</v>
      </c>
      <c r="C555" s="42" t="s">
        <v>1384</v>
      </c>
    </row>
    <row r="556" spans="1:3" x14ac:dyDescent="0.25">
      <c r="A556" s="42">
        <v>575</v>
      </c>
      <c r="B556" s="43">
        <v>166.75</v>
      </c>
      <c r="C556" s="42" t="s">
        <v>1384</v>
      </c>
    </row>
    <row r="557" spans="1:3" x14ac:dyDescent="0.25">
      <c r="A557" s="42">
        <v>576</v>
      </c>
      <c r="B557" s="43">
        <v>840</v>
      </c>
      <c r="C557" s="42" t="s">
        <v>1384</v>
      </c>
    </row>
    <row r="558" spans="1:3" x14ac:dyDescent="0.25">
      <c r="A558" s="42">
        <v>576</v>
      </c>
      <c r="B558" s="43">
        <v>840</v>
      </c>
      <c r="C558" s="42" t="s">
        <v>1384</v>
      </c>
    </row>
    <row r="559" spans="1:3" x14ac:dyDescent="0.25">
      <c r="A559" s="42">
        <v>577</v>
      </c>
      <c r="B559" s="43"/>
      <c r="C559" s="42" t="s">
        <v>1384</v>
      </c>
    </row>
    <row r="560" spans="1:3" x14ac:dyDescent="0.25">
      <c r="A560" s="42">
        <v>577</v>
      </c>
      <c r="B560" s="43"/>
      <c r="C560" s="42" t="s">
        <v>1384</v>
      </c>
    </row>
    <row r="561" spans="1:3" x14ac:dyDescent="0.25">
      <c r="A561" s="42">
        <v>578</v>
      </c>
      <c r="B561" s="43">
        <v>318</v>
      </c>
      <c r="C561" s="42" t="s">
        <v>1384</v>
      </c>
    </row>
    <row r="562" spans="1:3" x14ac:dyDescent="0.25">
      <c r="A562" s="42">
        <v>578</v>
      </c>
      <c r="B562" s="43">
        <v>318</v>
      </c>
      <c r="C562" s="42" t="s">
        <v>1384</v>
      </c>
    </row>
    <row r="563" spans="1:3" x14ac:dyDescent="0.25">
      <c r="A563" s="42">
        <v>578</v>
      </c>
      <c r="B563" s="43">
        <v>318</v>
      </c>
      <c r="C563" s="42" t="s">
        <v>1384</v>
      </c>
    </row>
    <row r="564" spans="1:3" x14ac:dyDescent="0.25">
      <c r="A564" s="42">
        <v>579</v>
      </c>
      <c r="B564" s="43">
        <v>30.2</v>
      </c>
      <c r="C564" s="42" t="s">
        <v>1384</v>
      </c>
    </row>
    <row r="565" spans="1:3" x14ac:dyDescent="0.25">
      <c r="A565" s="42">
        <v>580</v>
      </c>
      <c r="B565" s="43">
        <v>200</v>
      </c>
      <c r="C565" s="42" t="s">
        <v>1384</v>
      </c>
    </row>
    <row r="566" spans="1:3" x14ac:dyDescent="0.25">
      <c r="A566" s="42">
        <v>580</v>
      </c>
      <c r="B566" s="43">
        <v>200</v>
      </c>
      <c r="C566" s="42" t="s">
        <v>1384</v>
      </c>
    </row>
    <row r="567" spans="1:3" x14ac:dyDescent="0.25">
      <c r="A567" s="42">
        <v>580</v>
      </c>
      <c r="B567" s="43">
        <v>200</v>
      </c>
      <c r="C567" s="42" t="s">
        <v>1384</v>
      </c>
    </row>
    <row r="568" spans="1:3" x14ac:dyDescent="0.25">
      <c r="A568" s="42">
        <v>581</v>
      </c>
      <c r="B568" s="43"/>
      <c r="C568" s="42" t="s">
        <v>1384</v>
      </c>
    </row>
    <row r="569" spans="1:3" x14ac:dyDescent="0.25">
      <c r="A569" s="42">
        <v>582</v>
      </c>
      <c r="B569" s="43"/>
      <c r="C569" s="42" t="s">
        <v>1384</v>
      </c>
    </row>
    <row r="570" spans="1:3" x14ac:dyDescent="0.25">
      <c r="A570" s="42">
        <v>583</v>
      </c>
      <c r="B570" s="43"/>
      <c r="C570" s="42" t="s">
        <v>1384</v>
      </c>
    </row>
    <row r="571" spans="1:3" x14ac:dyDescent="0.25">
      <c r="A571" s="42">
        <v>583</v>
      </c>
      <c r="B571" s="43"/>
      <c r="C571" s="42" t="s">
        <v>1384</v>
      </c>
    </row>
    <row r="572" spans="1:3" x14ac:dyDescent="0.25">
      <c r="A572" s="42">
        <v>584</v>
      </c>
      <c r="B572" s="43">
        <v>860.33</v>
      </c>
      <c r="C572" s="42" t="s">
        <v>1384</v>
      </c>
    </row>
    <row r="573" spans="1:3" x14ac:dyDescent="0.25">
      <c r="A573" s="42">
        <v>584</v>
      </c>
      <c r="B573" s="43">
        <v>860.33</v>
      </c>
      <c r="C573" s="42" t="s">
        <v>1384</v>
      </c>
    </row>
    <row r="574" spans="1:3" x14ac:dyDescent="0.25">
      <c r="A574" s="42">
        <v>584</v>
      </c>
      <c r="B574" s="43">
        <v>860.33</v>
      </c>
      <c r="C574" s="42" t="s">
        <v>1384</v>
      </c>
    </row>
    <row r="575" spans="1:3" x14ac:dyDescent="0.25">
      <c r="A575" s="42">
        <v>585</v>
      </c>
      <c r="B575" s="43"/>
      <c r="C575" s="42" t="s">
        <v>1384</v>
      </c>
    </row>
    <row r="576" spans="1:3" x14ac:dyDescent="0.25">
      <c r="A576" s="42">
        <v>586</v>
      </c>
      <c r="B576" s="43"/>
      <c r="C576" s="42" t="s">
        <v>1384</v>
      </c>
    </row>
    <row r="577" spans="1:3" x14ac:dyDescent="0.25">
      <c r="A577" s="42">
        <v>586</v>
      </c>
      <c r="B577" s="43"/>
      <c r="C577" s="42" t="s">
        <v>1384</v>
      </c>
    </row>
    <row r="578" spans="1:3" x14ac:dyDescent="0.25">
      <c r="A578" s="42">
        <v>587</v>
      </c>
      <c r="B578" s="43"/>
      <c r="C578" s="42" t="s">
        <v>1384</v>
      </c>
    </row>
    <row r="579" spans="1:3" x14ac:dyDescent="0.25">
      <c r="A579" s="42">
        <v>588</v>
      </c>
      <c r="B579" s="43"/>
      <c r="C579" s="42" t="s">
        <v>1384</v>
      </c>
    </row>
    <row r="580" spans="1:3" x14ac:dyDescent="0.25">
      <c r="A580" s="42">
        <v>589</v>
      </c>
      <c r="B580" s="43">
        <v>426</v>
      </c>
      <c r="C580" s="42" t="s">
        <v>1384</v>
      </c>
    </row>
    <row r="581" spans="1:3" x14ac:dyDescent="0.25">
      <c r="A581" s="42">
        <v>590</v>
      </c>
      <c r="B581" s="43"/>
      <c r="C581" s="42" t="s">
        <v>1384</v>
      </c>
    </row>
    <row r="582" spans="1:3" x14ac:dyDescent="0.25">
      <c r="A582" s="42">
        <v>591</v>
      </c>
      <c r="B582" s="43"/>
      <c r="C582" s="42" t="s">
        <v>1384</v>
      </c>
    </row>
    <row r="583" spans="1:3" x14ac:dyDescent="0.25">
      <c r="A583" s="42">
        <v>592</v>
      </c>
      <c r="B583" s="43"/>
      <c r="C583" s="42" t="s">
        <v>1384</v>
      </c>
    </row>
    <row r="584" spans="1:3" x14ac:dyDescent="0.25">
      <c r="A584" s="42">
        <v>593</v>
      </c>
      <c r="B584" s="43"/>
      <c r="C584" s="42" t="s">
        <v>1384</v>
      </c>
    </row>
    <row r="585" spans="1:3" x14ac:dyDescent="0.25">
      <c r="A585" s="42">
        <v>593</v>
      </c>
      <c r="B585" s="43"/>
      <c r="C585" s="42" t="s">
        <v>1384</v>
      </c>
    </row>
    <row r="586" spans="1:3" x14ac:dyDescent="0.25">
      <c r="A586" s="42">
        <v>594</v>
      </c>
      <c r="B586" s="43"/>
      <c r="C586" s="42" t="s">
        <v>1384</v>
      </c>
    </row>
    <row r="587" spans="1:3" x14ac:dyDescent="0.25">
      <c r="A587" s="42">
        <v>594</v>
      </c>
      <c r="B587" s="43"/>
      <c r="C587" s="42" t="s">
        <v>1384</v>
      </c>
    </row>
    <row r="588" spans="1:3" x14ac:dyDescent="0.25">
      <c r="A588" s="42">
        <v>595</v>
      </c>
      <c r="B588" s="43"/>
      <c r="C588" s="42" t="s">
        <v>1384</v>
      </c>
    </row>
    <row r="589" spans="1:3" x14ac:dyDescent="0.25">
      <c r="A589" s="42">
        <v>596</v>
      </c>
      <c r="B589" s="43"/>
      <c r="C589" s="42" t="s">
        <v>1384</v>
      </c>
    </row>
    <row r="590" spans="1:3" x14ac:dyDescent="0.25">
      <c r="A590" s="42">
        <v>596</v>
      </c>
      <c r="B590" s="43"/>
      <c r="C590" s="42" t="s">
        <v>1384</v>
      </c>
    </row>
    <row r="591" spans="1:3" x14ac:dyDescent="0.25">
      <c r="A591" s="42">
        <v>597</v>
      </c>
      <c r="B591" s="43"/>
      <c r="C591" s="42" t="s">
        <v>1384</v>
      </c>
    </row>
    <row r="592" spans="1:3" x14ac:dyDescent="0.25">
      <c r="A592" s="42">
        <v>598</v>
      </c>
      <c r="B592" s="43"/>
      <c r="C592" s="42" t="s">
        <v>1384</v>
      </c>
    </row>
    <row r="593" spans="1:3" x14ac:dyDescent="0.25">
      <c r="A593" s="42">
        <v>599</v>
      </c>
      <c r="B593" s="43"/>
      <c r="C593" s="42" t="s">
        <v>1384</v>
      </c>
    </row>
    <row r="594" spans="1:3" x14ac:dyDescent="0.25">
      <c r="A594" s="42">
        <v>600</v>
      </c>
      <c r="B594" s="43"/>
      <c r="C594" s="42" t="s">
        <v>1384</v>
      </c>
    </row>
    <row r="595" spans="1:3" x14ac:dyDescent="0.25">
      <c r="A595" s="42">
        <v>601</v>
      </c>
      <c r="B595" s="43">
        <v>50</v>
      </c>
      <c r="C595" s="42" t="s">
        <v>1384</v>
      </c>
    </row>
    <row r="596" spans="1:3" x14ac:dyDescent="0.25">
      <c r="A596" s="42">
        <v>601</v>
      </c>
      <c r="B596" s="43">
        <v>50</v>
      </c>
      <c r="C596" s="42" t="s">
        <v>1384</v>
      </c>
    </row>
    <row r="597" spans="1:3" x14ac:dyDescent="0.25">
      <c r="A597" s="42">
        <v>602</v>
      </c>
      <c r="B597" s="43"/>
      <c r="C597" s="42" t="s">
        <v>1384</v>
      </c>
    </row>
    <row r="598" spans="1:3" x14ac:dyDescent="0.25">
      <c r="A598" s="42">
        <v>603</v>
      </c>
      <c r="B598" s="43"/>
      <c r="C598" s="42" t="s">
        <v>1384</v>
      </c>
    </row>
    <row r="599" spans="1:3" x14ac:dyDescent="0.25">
      <c r="A599" s="42">
        <v>604</v>
      </c>
      <c r="B599" s="43"/>
      <c r="C599" s="42" t="s">
        <v>1384</v>
      </c>
    </row>
    <row r="600" spans="1:3" x14ac:dyDescent="0.25">
      <c r="A600" s="42">
        <v>605</v>
      </c>
      <c r="B600" s="43">
        <v>41.33</v>
      </c>
      <c r="C600" s="42" t="s">
        <v>1384</v>
      </c>
    </row>
    <row r="601" spans="1:3" x14ac:dyDescent="0.25">
      <c r="A601" s="42">
        <v>605</v>
      </c>
      <c r="B601" s="43">
        <v>41.33</v>
      </c>
      <c r="C601" s="42" t="s">
        <v>1384</v>
      </c>
    </row>
    <row r="602" spans="1:3" x14ac:dyDescent="0.25">
      <c r="A602" s="42">
        <v>605</v>
      </c>
      <c r="B602" s="43">
        <v>41.33</v>
      </c>
      <c r="C602" s="42" t="s">
        <v>1384</v>
      </c>
    </row>
    <row r="603" spans="1:3" x14ac:dyDescent="0.25">
      <c r="A603" s="42">
        <v>606</v>
      </c>
      <c r="B603" s="43">
        <v>450</v>
      </c>
      <c r="C603" s="42" t="s">
        <v>1384</v>
      </c>
    </row>
    <row r="604" spans="1:3" x14ac:dyDescent="0.25">
      <c r="A604" s="42">
        <v>606</v>
      </c>
      <c r="B604" s="43">
        <v>450</v>
      </c>
      <c r="C604" s="42" t="s">
        <v>1384</v>
      </c>
    </row>
    <row r="605" spans="1:3" x14ac:dyDescent="0.25">
      <c r="A605" s="42">
        <v>606</v>
      </c>
      <c r="B605" s="43">
        <v>450</v>
      </c>
      <c r="C605" s="42" t="s">
        <v>1384</v>
      </c>
    </row>
    <row r="606" spans="1:3" x14ac:dyDescent="0.25">
      <c r="A606" s="42">
        <v>607</v>
      </c>
      <c r="B606" s="43"/>
      <c r="C606" s="42" t="s">
        <v>1384</v>
      </c>
    </row>
    <row r="607" spans="1:3" x14ac:dyDescent="0.25">
      <c r="A607" s="42">
        <v>608</v>
      </c>
      <c r="B607" s="43"/>
      <c r="C607" s="42" t="s">
        <v>1384</v>
      </c>
    </row>
    <row r="608" spans="1:3" x14ac:dyDescent="0.25">
      <c r="A608" s="42">
        <v>609</v>
      </c>
      <c r="B608" s="43"/>
      <c r="C608" s="42" t="s">
        <v>1384</v>
      </c>
    </row>
    <row r="609" spans="1:3" x14ac:dyDescent="0.25">
      <c r="A609" s="42">
        <v>610</v>
      </c>
      <c r="B609" s="43">
        <v>68</v>
      </c>
      <c r="C609" s="42" t="s">
        <v>1384</v>
      </c>
    </row>
    <row r="610" spans="1:3" x14ac:dyDescent="0.25">
      <c r="A610" s="42">
        <v>610</v>
      </c>
      <c r="B610" s="43">
        <v>68</v>
      </c>
      <c r="C610" s="42" t="s">
        <v>1384</v>
      </c>
    </row>
    <row r="611" spans="1:3" x14ac:dyDescent="0.25">
      <c r="A611" s="42">
        <v>611</v>
      </c>
      <c r="B611" s="43"/>
      <c r="C611" s="42" t="s">
        <v>1384</v>
      </c>
    </row>
    <row r="612" spans="1:3" x14ac:dyDescent="0.25">
      <c r="A612" s="42">
        <v>612</v>
      </c>
      <c r="B612" s="43">
        <v>229</v>
      </c>
      <c r="C612" s="42" t="s">
        <v>1384</v>
      </c>
    </row>
    <row r="613" spans="1:3" x14ac:dyDescent="0.25">
      <c r="A613" s="42">
        <v>613</v>
      </c>
      <c r="B613" s="43">
        <v>190</v>
      </c>
      <c r="C613" s="42" t="s">
        <v>1384</v>
      </c>
    </row>
    <row r="614" spans="1:3" x14ac:dyDescent="0.25">
      <c r="A614" s="42">
        <v>614</v>
      </c>
      <c r="B614" s="43">
        <v>88.5</v>
      </c>
      <c r="C614" s="42" t="s">
        <v>1384</v>
      </c>
    </row>
    <row r="615" spans="1:3" x14ac:dyDescent="0.25">
      <c r="A615" s="42">
        <v>614</v>
      </c>
      <c r="B615" s="43">
        <v>88.5</v>
      </c>
      <c r="C615" s="42" t="s">
        <v>1384</v>
      </c>
    </row>
    <row r="616" spans="1:3" x14ac:dyDescent="0.25">
      <c r="A616" s="42">
        <v>615</v>
      </c>
      <c r="B616" s="43">
        <v>849.97</v>
      </c>
      <c r="C616" s="42" t="s">
        <v>1384</v>
      </c>
    </row>
    <row r="617" spans="1:3" x14ac:dyDescent="0.25">
      <c r="A617" s="42">
        <v>615</v>
      </c>
      <c r="B617" s="43">
        <v>849.97</v>
      </c>
      <c r="C617" s="42" t="s">
        <v>1384</v>
      </c>
    </row>
    <row r="618" spans="1:3" x14ac:dyDescent="0.25">
      <c r="A618" s="42">
        <v>615</v>
      </c>
      <c r="B618" s="43">
        <v>849.97</v>
      </c>
      <c r="C618" s="42" t="s">
        <v>1384</v>
      </c>
    </row>
    <row r="619" spans="1:3" x14ac:dyDescent="0.25">
      <c r="A619" s="42">
        <v>615</v>
      </c>
      <c r="B619" s="43">
        <v>849.97</v>
      </c>
      <c r="C619" s="42" t="s">
        <v>1384</v>
      </c>
    </row>
    <row r="620" spans="1:3" x14ac:dyDescent="0.25">
      <c r="A620" s="42">
        <v>616</v>
      </c>
      <c r="B620" s="43">
        <v>100</v>
      </c>
      <c r="C620" s="42" t="s">
        <v>1384</v>
      </c>
    </row>
    <row r="621" spans="1:3" x14ac:dyDescent="0.25">
      <c r="A621" s="42">
        <v>616</v>
      </c>
      <c r="B621" s="43">
        <v>100</v>
      </c>
      <c r="C621" s="42" t="s">
        <v>1384</v>
      </c>
    </row>
    <row r="622" spans="1:3" x14ac:dyDescent="0.25">
      <c r="A622" s="42">
        <v>616</v>
      </c>
      <c r="B622" s="43">
        <v>100</v>
      </c>
      <c r="C622" s="42" t="s">
        <v>1384</v>
      </c>
    </row>
    <row r="623" spans="1:3" x14ac:dyDescent="0.25">
      <c r="A623" s="42">
        <v>616</v>
      </c>
      <c r="B623" s="43">
        <v>100</v>
      </c>
      <c r="C623" s="42" t="s">
        <v>1384</v>
      </c>
    </row>
    <row r="624" spans="1:3" x14ac:dyDescent="0.25">
      <c r="A624" s="42">
        <v>616</v>
      </c>
      <c r="B624" s="43">
        <v>100</v>
      </c>
      <c r="C624" s="42" t="s">
        <v>1384</v>
      </c>
    </row>
    <row r="625" spans="1:3" x14ac:dyDescent="0.25">
      <c r="A625" s="42">
        <v>617</v>
      </c>
      <c r="B625" s="43">
        <v>99</v>
      </c>
      <c r="C625" s="42" t="s">
        <v>1384</v>
      </c>
    </row>
    <row r="626" spans="1:3" x14ac:dyDescent="0.25">
      <c r="A626" s="42">
        <v>617</v>
      </c>
      <c r="B626" s="43">
        <v>99</v>
      </c>
      <c r="C626" s="42" t="s">
        <v>1384</v>
      </c>
    </row>
    <row r="627" spans="1:3" x14ac:dyDescent="0.25">
      <c r="A627" s="42">
        <v>617</v>
      </c>
      <c r="B627" s="43">
        <v>99</v>
      </c>
      <c r="C627" s="42" t="s">
        <v>1384</v>
      </c>
    </row>
    <row r="628" spans="1:3" x14ac:dyDescent="0.25">
      <c r="A628" s="42">
        <v>617</v>
      </c>
      <c r="B628" s="43">
        <v>99</v>
      </c>
      <c r="C628" s="42" t="s">
        <v>1384</v>
      </c>
    </row>
    <row r="629" spans="1:3" x14ac:dyDescent="0.25">
      <c r="A629" s="42">
        <v>618</v>
      </c>
      <c r="B629" s="43"/>
      <c r="C629" s="42" t="s">
        <v>1384</v>
      </c>
    </row>
    <row r="630" spans="1:3" x14ac:dyDescent="0.25">
      <c r="A630" s="42">
        <v>619</v>
      </c>
      <c r="B630" s="43">
        <v>1752</v>
      </c>
      <c r="C630" s="42" t="s">
        <v>1384</v>
      </c>
    </row>
    <row r="631" spans="1:3" x14ac:dyDescent="0.25">
      <c r="A631" s="42">
        <v>619</v>
      </c>
      <c r="B631" s="43">
        <v>1752</v>
      </c>
      <c r="C631" s="42" t="s">
        <v>1384</v>
      </c>
    </row>
    <row r="632" spans="1:3" x14ac:dyDescent="0.25">
      <c r="A632" s="42">
        <v>619</v>
      </c>
      <c r="B632" s="43">
        <v>1752</v>
      </c>
      <c r="C632" s="42" t="s">
        <v>1384</v>
      </c>
    </row>
    <row r="633" spans="1:3" x14ac:dyDescent="0.25">
      <c r="A633" s="42">
        <v>620</v>
      </c>
      <c r="B633" s="43">
        <v>12.3</v>
      </c>
      <c r="C633" s="42" t="s">
        <v>1384</v>
      </c>
    </row>
    <row r="634" spans="1:3" x14ac:dyDescent="0.25">
      <c r="A634" s="42">
        <v>620</v>
      </c>
      <c r="B634" s="43">
        <v>12.3</v>
      </c>
      <c r="C634" s="42" t="s">
        <v>1384</v>
      </c>
    </row>
    <row r="635" spans="1:3" x14ac:dyDescent="0.25">
      <c r="A635" s="42">
        <v>620</v>
      </c>
      <c r="B635" s="43">
        <v>12.3</v>
      </c>
      <c r="C635" s="42" t="s">
        <v>1384</v>
      </c>
    </row>
    <row r="636" spans="1:3" x14ac:dyDescent="0.25">
      <c r="A636" s="42">
        <v>620</v>
      </c>
      <c r="B636" s="43">
        <v>12.3</v>
      </c>
      <c r="C636" s="42" t="s">
        <v>1384</v>
      </c>
    </row>
    <row r="637" spans="1:3" x14ac:dyDescent="0.25">
      <c r="A637" s="42">
        <v>620</v>
      </c>
      <c r="B637" s="43">
        <v>12.3</v>
      </c>
      <c r="C637" s="42" t="s">
        <v>1384</v>
      </c>
    </row>
    <row r="638" spans="1:3" x14ac:dyDescent="0.25">
      <c r="A638" s="42">
        <v>621</v>
      </c>
      <c r="B638" s="43">
        <v>10.5</v>
      </c>
      <c r="C638" s="42" t="s">
        <v>1384</v>
      </c>
    </row>
    <row r="639" spans="1:3" x14ac:dyDescent="0.25">
      <c r="A639" s="42">
        <v>621</v>
      </c>
      <c r="B639" s="43">
        <v>10.5</v>
      </c>
      <c r="C639" s="42" t="s">
        <v>1384</v>
      </c>
    </row>
    <row r="640" spans="1:3" x14ac:dyDescent="0.25">
      <c r="A640" s="42">
        <v>621</v>
      </c>
      <c r="B640" s="43">
        <v>10.5</v>
      </c>
      <c r="C640" s="42" t="s">
        <v>1384</v>
      </c>
    </row>
    <row r="641" spans="1:3" x14ac:dyDescent="0.25">
      <c r="A641" s="42">
        <v>622</v>
      </c>
      <c r="B641" s="43"/>
      <c r="C641" s="42" t="s">
        <v>1384</v>
      </c>
    </row>
    <row r="642" spans="1:3" x14ac:dyDescent="0.25">
      <c r="A642" s="42">
        <v>623</v>
      </c>
      <c r="B642" s="43"/>
      <c r="C642" s="42" t="s">
        <v>1384</v>
      </c>
    </row>
    <row r="643" spans="1:3" x14ac:dyDescent="0.25">
      <c r="A643" s="42">
        <v>624</v>
      </c>
      <c r="B643" s="43"/>
      <c r="C643" s="42" t="s">
        <v>1384</v>
      </c>
    </row>
    <row r="644" spans="1:3" x14ac:dyDescent="0.25">
      <c r="A644" s="42">
        <v>625</v>
      </c>
      <c r="B644" s="43"/>
      <c r="C644" s="42" t="s">
        <v>1384</v>
      </c>
    </row>
    <row r="645" spans="1:3" x14ac:dyDescent="0.25">
      <c r="A645" s="42">
        <v>626</v>
      </c>
      <c r="B645" s="43"/>
      <c r="C645" s="42" t="s">
        <v>1384</v>
      </c>
    </row>
    <row r="646" spans="1:3" x14ac:dyDescent="0.25">
      <c r="A646" s="42">
        <v>626</v>
      </c>
      <c r="B646" s="43"/>
      <c r="C646" s="42" t="s">
        <v>1384</v>
      </c>
    </row>
    <row r="647" spans="1:3" x14ac:dyDescent="0.25">
      <c r="A647" s="42">
        <v>627</v>
      </c>
      <c r="B647" s="43"/>
      <c r="C647" s="42" t="s">
        <v>1384</v>
      </c>
    </row>
    <row r="648" spans="1:3" x14ac:dyDescent="0.25">
      <c r="A648" s="42">
        <v>628</v>
      </c>
      <c r="B648" s="43">
        <v>353</v>
      </c>
      <c r="C648" s="42" t="s">
        <v>1384</v>
      </c>
    </row>
    <row r="649" spans="1:3" x14ac:dyDescent="0.25">
      <c r="A649" s="42">
        <v>628</v>
      </c>
      <c r="B649" s="43">
        <v>353</v>
      </c>
      <c r="C649" s="42" t="s">
        <v>1384</v>
      </c>
    </row>
    <row r="650" spans="1:3" x14ac:dyDescent="0.25">
      <c r="A650" s="42">
        <v>629</v>
      </c>
      <c r="B650" s="43"/>
      <c r="C650" s="42" t="s">
        <v>1384</v>
      </c>
    </row>
    <row r="651" spans="1:3" x14ac:dyDescent="0.25">
      <c r="A651" s="42">
        <v>630</v>
      </c>
      <c r="B651" s="43"/>
      <c r="C651" s="42" t="s">
        <v>1384</v>
      </c>
    </row>
    <row r="652" spans="1:3" x14ac:dyDescent="0.25">
      <c r="A652" s="42">
        <v>631</v>
      </c>
      <c r="B652" s="43"/>
      <c r="C652" s="42" t="s">
        <v>1384</v>
      </c>
    </row>
    <row r="653" spans="1:3" x14ac:dyDescent="0.25">
      <c r="A653" s="42">
        <v>632</v>
      </c>
      <c r="B653" s="43">
        <v>185</v>
      </c>
      <c r="C653" s="42" t="s">
        <v>1384</v>
      </c>
    </row>
    <row r="654" spans="1:3" x14ac:dyDescent="0.25">
      <c r="A654" s="42">
        <v>633</v>
      </c>
      <c r="B654" s="43">
        <v>89</v>
      </c>
      <c r="C654" s="42" t="s">
        <v>1384</v>
      </c>
    </row>
    <row r="655" spans="1:3" x14ac:dyDescent="0.25">
      <c r="A655" s="42">
        <v>633</v>
      </c>
      <c r="B655" s="43"/>
      <c r="C655" s="42" t="s">
        <v>1384</v>
      </c>
    </row>
    <row r="656" spans="1:3" x14ac:dyDescent="0.25">
      <c r="A656" s="42">
        <v>634</v>
      </c>
      <c r="B656" s="43"/>
      <c r="C656" s="42" t="s">
        <v>1384</v>
      </c>
    </row>
    <row r="657" spans="1:3" x14ac:dyDescent="0.25">
      <c r="A657" s="42">
        <v>634</v>
      </c>
      <c r="B657" s="43"/>
      <c r="C657" s="42" t="s">
        <v>1384</v>
      </c>
    </row>
    <row r="658" spans="1:3" x14ac:dyDescent="0.25">
      <c r="A658" s="42">
        <v>634</v>
      </c>
      <c r="B658" s="43"/>
      <c r="C658" s="42" t="s">
        <v>1384</v>
      </c>
    </row>
    <row r="659" spans="1:3" x14ac:dyDescent="0.25">
      <c r="A659" s="42">
        <v>635</v>
      </c>
      <c r="B659" s="43"/>
      <c r="C659" s="42" t="s">
        <v>1384</v>
      </c>
    </row>
    <row r="660" spans="1:3" x14ac:dyDescent="0.25">
      <c r="A660" s="42">
        <v>637</v>
      </c>
      <c r="B660" s="43"/>
      <c r="C660" s="42" t="s">
        <v>1384</v>
      </c>
    </row>
    <row r="661" spans="1:3" x14ac:dyDescent="0.25">
      <c r="A661" s="42">
        <v>638</v>
      </c>
      <c r="B661" s="43"/>
      <c r="C661" s="42" t="s">
        <v>1384</v>
      </c>
    </row>
    <row r="662" spans="1:3" x14ac:dyDescent="0.25">
      <c r="A662" s="42">
        <v>639</v>
      </c>
      <c r="B662" s="43"/>
      <c r="C662" s="42" t="s">
        <v>1384</v>
      </c>
    </row>
    <row r="663" spans="1:3" x14ac:dyDescent="0.25">
      <c r="A663" s="42">
        <v>640</v>
      </c>
      <c r="B663" s="43"/>
      <c r="C663" s="42" t="s">
        <v>1384</v>
      </c>
    </row>
    <row r="664" spans="1:3" x14ac:dyDescent="0.25">
      <c r="A664" s="42">
        <v>641</v>
      </c>
      <c r="B664" s="43"/>
      <c r="C664" s="42" t="s">
        <v>1384</v>
      </c>
    </row>
    <row r="665" spans="1:3" x14ac:dyDescent="0.25">
      <c r="A665" s="42">
        <v>642</v>
      </c>
      <c r="B665" s="43">
        <v>1000</v>
      </c>
      <c r="C665" s="42" t="s">
        <v>1384</v>
      </c>
    </row>
    <row r="666" spans="1:3" x14ac:dyDescent="0.25">
      <c r="A666" s="42">
        <v>643</v>
      </c>
      <c r="B666" s="43">
        <v>1000</v>
      </c>
      <c r="C666" s="42" t="s">
        <v>1384</v>
      </c>
    </row>
    <row r="667" spans="1:3" x14ac:dyDescent="0.25">
      <c r="A667" s="42">
        <v>644</v>
      </c>
      <c r="B667" s="43"/>
      <c r="C667" s="42" t="s">
        <v>1384</v>
      </c>
    </row>
    <row r="668" spans="1:3" x14ac:dyDescent="0.25">
      <c r="A668" s="42">
        <v>645</v>
      </c>
      <c r="B668" s="43">
        <v>136</v>
      </c>
      <c r="C668" s="42" t="s">
        <v>1384</v>
      </c>
    </row>
    <row r="669" spans="1:3" x14ac:dyDescent="0.25">
      <c r="A669" s="42">
        <v>645</v>
      </c>
      <c r="B669" s="43">
        <v>136</v>
      </c>
      <c r="C669" s="42" t="s">
        <v>1384</v>
      </c>
    </row>
    <row r="670" spans="1:3" x14ac:dyDescent="0.25">
      <c r="A670" s="42">
        <v>646</v>
      </c>
      <c r="B670" s="43">
        <v>100</v>
      </c>
      <c r="C670" s="42" t="s">
        <v>1384</v>
      </c>
    </row>
    <row r="671" spans="1:3" x14ac:dyDescent="0.25">
      <c r="A671" s="42">
        <v>646</v>
      </c>
      <c r="B671" s="43">
        <v>100</v>
      </c>
      <c r="C671" s="42" t="s">
        <v>1384</v>
      </c>
    </row>
    <row r="672" spans="1:3" x14ac:dyDescent="0.25">
      <c r="A672" s="42">
        <v>646</v>
      </c>
      <c r="B672" s="43">
        <v>100</v>
      </c>
      <c r="C672" s="42" t="s">
        <v>1384</v>
      </c>
    </row>
    <row r="673" spans="1:3" x14ac:dyDescent="0.25">
      <c r="A673" s="42">
        <v>647</v>
      </c>
      <c r="B673" s="43">
        <v>62</v>
      </c>
      <c r="C673" s="42" t="s">
        <v>1384</v>
      </c>
    </row>
    <row r="674" spans="1:3" x14ac:dyDescent="0.25">
      <c r="A674" s="42">
        <v>647</v>
      </c>
      <c r="B674" s="43">
        <v>62</v>
      </c>
      <c r="C674" s="42" t="s">
        <v>1384</v>
      </c>
    </row>
    <row r="675" spans="1:3" x14ac:dyDescent="0.25">
      <c r="A675" s="42">
        <v>647</v>
      </c>
      <c r="B675" s="43">
        <v>62</v>
      </c>
      <c r="C675" s="42" t="s">
        <v>1384</v>
      </c>
    </row>
    <row r="676" spans="1:3" x14ac:dyDescent="0.25">
      <c r="A676" s="42">
        <v>647</v>
      </c>
      <c r="B676" s="43">
        <v>62</v>
      </c>
      <c r="C676" s="42" t="s">
        <v>1384</v>
      </c>
    </row>
    <row r="677" spans="1:3" x14ac:dyDescent="0.25">
      <c r="A677" s="42">
        <v>647</v>
      </c>
      <c r="B677" s="43">
        <v>62</v>
      </c>
      <c r="C677" s="42" t="s">
        <v>1384</v>
      </c>
    </row>
    <row r="678" spans="1:3" x14ac:dyDescent="0.25">
      <c r="A678" s="42">
        <v>647</v>
      </c>
      <c r="B678" s="43">
        <v>62</v>
      </c>
      <c r="C678" s="42" t="s">
        <v>1384</v>
      </c>
    </row>
    <row r="679" spans="1:3" x14ac:dyDescent="0.25">
      <c r="A679" s="42">
        <v>647</v>
      </c>
      <c r="B679" s="43">
        <v>62</v>
      </c>
      <c r="C679" s="42" t="s">
        <v>1384</v>
      </c>
    </row>
    <row r="680" spans="1:3" x14ac:dyDescent="0.25">
      <c r="A680" s="42">
        <v>647</v>
      </c>
      <c r="B680" s="43">
        <v>62</v>
      </c>
      <c r="C680" s="42" t="s">
        <v>1384</v>
      </c>
    </row>
    <row r="681" spans="1:3" x14ac:dyDescent="0.25">
      <c r="A681" s="42">
        <v>647</v>
      </c>
      <c r="B681" s="43">
        <v>62</v>
      </c>
      <c r="C681" s="42" t="s">
        <v>1384</v>
      </c>
    </row>
    <row r="682" spans="1:3" x14ac:dyDescent="0.25">
      <c r="A682" s="42">
        <v>648</v>
      </c>
      <c r="B682" s="43">
        <v>40</v>
      </c>
      <c r="C682" s="42" t="s">
        <v>1384</v>
      </c>
    </row>
    <row r="683" spans="1:3" x14ac:dyDescent="0.25">
      <c r="A683" s="42">
        <v>648</v>
      </c>
      <c r="B683" s="43">
        <v>40</v>
      </c>
      <c r="C683" s="42" t="s">
        <v>1384</v>
      </c>
    </row>
    <row r="684" spans="1:3" x14ac:dyDescent="0.25">
      <c r="A684" s="42">
        <v>648</v>
      </c>
      <c r="B684" s="43">
        <v>40</v>
      </c>
      <c r="C684" s="42" t="s">
        <v>1384</v>
      </c>
    </row>
    <row r="685" spans="1:3" x14ac:dyDescent="0.25">
      <c r="A685" s="42">
        <v>648</v>
      </c>
      <c r="B685" s="43">
        <v>40</v>
      </c>
      <c r="C685" s="42" t="s">
        <v>1384</v>
      </c>
    </row>
    <row r="686" spans="1:3" x14ac:dyDescent="0.25">
      <c r="A686" s="42">
        <v>648</v>
      </c>
      <c r="B686" s="43">
        <v>40</v>
      </c>
      <c r="C686" s="42" t="s">
        <v>1384</v>
      </c>
    </row>
    <row r="687" spans="1:3" x14ac:dyDescent="0.25">
      <c r="A687" s="42">
        <v>649</v>
      </c>
      <c r="B687" s="43">
        <v>25.5</v>
      </c>
      <c r="C687" s="42" t="s">
        <v>1384</v>
      </c>
    </row>
    <row r="688" spans="1:3" x14ac:dyDescent="0.25">
      <c r="A688" s="42">
        <v>649</v>
      </c>
      <c r="B688" s="43">
        <v>25.5</v>
      </c>
      <c r="C688" s="42" t="s">
        <v>1384</v>
      </c>
    </row>
    <row r="689" spans="1:3" x14ac:dyDescent="0.25">
      <c r="A689" s="42">
        <v>649</v>
      </c>
      <c r="B689" s="43">
        <v>25.5</v>
      </c>
      <c r="C689" s="42" t="s">
        <v>1384</v>
      </c>
    </row>
    <row r="690" spans="1:3" x14ac:dyDescent="0.25">
      <c r="A690" s="42">
        <v>649</v>
      </c>
      <c r="B690" s="43">
        <v>25.5</v>
      </c>
      <c r="C690" s="42" t="s">
        <v>1384</v>
      </c>
    </row>
    <row r="691" spans="1:3" x14ac:dyDescent="0.25">
      <c r="A691" s="42">
        <v>649</v>
      </c>
      <c r="B691" s="43">
        <v>25.5</v>
      </c>
      <c r="C691" s="42" t="s">
        <v>1384</v>
      </c>
    </row>
    <row r="692" spans="1:3" x14ac:dyDescent="0.25">
      <c r="A692" s="42">
        <v>649</v>
      </c>
      <c r="B692" s="43">
        <v>25.5</v>
      </c>
      <c r="C692" s="42" t="s">
        <v>1384</v>
      </c>
    </row>
    <row r="693" spans="1:3" x14ac:dyDescent="0.25">
      <c r="A693" s="42">
        <v>650</v>
      </c>
      <c r="B693" s="43">
        <v>20</v>
      </c>
      <c r="C693" s="42" t="s">
        <v>1384</v>
      </c>
    </row>
    <row r="694" spans="1:3" x14ac:dyDescent="0.25">
      <c r="A694" s="42">
        <v>650</v>
      </c>
      <c r="B694" s="43">
        <v>20</v>
      </c>
      <c r="C694" s="42" t="s">
        <v>1384</v>
      </c>
    </row>
    <row r="695" spans="1:3" x14ac:dyDescent="0.25">
      <c r="A695" s="42">
        <v>650</v>
      </c>
      <c r="B695" s="43">
        <v>20</v>
      </c>
      <c r="C695" s="42" t="s">
        <v>1384</v>
      </c>
    </row>
    <row r="696" spans="1:3" x14ac:dyDescent="0.25">
      <c r="A696" s="42">
        <v>650</v>
      </c>
      <c r="B696" s="43">
        <v>20</v>
      </c>
      <c r="C696" s="42" t="s">
        <v>1384</v>
      </c>
    </row>
    <row r="697" spans="1:3" x14ac:dyDescent="0.25">
      <c r="A697" s="42">
        <v>650</v>
      </c>
      <c r="B697" s="43">
        <v>20</v>
      </c>
      <c r="C697" s="42" t="s">
        <v>1384</v>
      </c>
    </row>
    <row r="698" spans="1:3" x14ac:dyDescent="0.25">
      <c r="A698" s="42">
        <v>650</v>
      </c>
      <c r="B698" s="43">
        <v>20</v>
      </c>
      <c r="C698" s="42" t="s">
        <v>1384</v>
      </c>
    </row>
    <row r="699" spans="1:3" x14ac:dyDescent="0.25">
      <c r="A699" s="42">
        <v>650</v>
      </c>
      <c r="B699" s="43">
        <v>20</v>
      </c>
      <c r="C699" s="42" t="s">
        <v>1384</v>
      </c>
    </row>
    <row r="700" spans="1:3" x14ac:dyDescent="0.25">
      <c r="A700" s="42">
        <v>650</v>
      </c>
      <c r="B700" s="43">
        <v>20</v>
      </c>
      <c r="C700" s="42" t="s">
        <v>1384</v>
      </c>
    </row>
    <row r="701" spans="1:3" x14ac:dyDescent="0.25">
      <c r="A701" s="42">
        <v>650</v>
      </c>
      <c r="B701" s="43">
        <v>20</v>
      </c>
      <c r="C701" s="42" t="s">
        <v>1384</v>
      </c>
    </row>
    <row r="702" spans="1:3" x14ac:dyDescent="0.25">
      <c r="A702" s="42">
        <v>651</v>
      </c>
      <c r="B702" s="43"/>
      <c r="C702" s="42" t="s">
        <v>1384</v>
      </c>
    </row>
    <row r="703" spans="1:3" x14ac:dyDescent="0.25">
      <c r="A703" s="42">
        <v>652</v>
      </c>
      <c r="B703" s="43"/>
      <c r="C703" s="42" t="s">
        <v>1384</v>
      </c>
    </row>
    <row r="704" spans="1:3" x14ac:dyDescent="0.25">
      <c r="A704" s="42">
        <v>653</v>
      </c>
      <c r="B704" s="43">
        <v>20</v>
      </c>
      <c r="C704" s="42" t="s">
        <v>1384</v>
      </c>
    </row>
    <row r="705" spans="1:3" x14ac:dyDescent="0.25">
      <c r="A705" s="42">
        <v>654</v>
      </c>
      <c r="B705" s="43">
        <v>20</v>
      </c>
      <c r="C705" s="42" t="s">
        <v>1384</v>
      </c>
    </row>
    <row r="706" spans="1:3" x14ac:dyDescent="0.25">
      <c r="A706" s="42">
        <v>654</v>
      </c>
      <c r="B706" s="43">
        <v>20</v>
      </c>
      <c r="C706" s="42" t="s">
        <v>1384</v>
      </c>
    </row>
    <row r="707" spans="1:3" x14ac:dyDescent="0.25">
      <c r="A707" s="42">
        <v>654</v>
      </c>
      <c r="B707" s="43">
        <v>20</v>
      </c>
      <c r="C707" s="42" t="s">
        <v>1384</v>
      </c>
    </row>
    <row r="708" spans="1:3" x14ac:dyDescent="0.25">
      <c r="A708" s="42">
        <v>654</v>
      </c>
      <c r="B708" s="43">
        <v>20</v>
      </c>
      <c r="C708" s="42" t="s">
        <v>1384</v>
      </c>
    </row>
    <row r="709" spans="1:3" x14ac:dyDescent="0.25">
      <c r="A709" s="42">
        <v>654</v>
      </c>
      <c r="B709" s="43">
        <v>20</v>
      </c>
      <c r="C709" s="42" t="s">
        <v>1384</v>
      </c>
    </row>
    <row r="710" spans="1:3" x14ac:dyDescent="0.25">
      <c r="A710" s="42">
        <v>655</v>
      </c>
      <c r="B710" s="43">
        <v>38.9</v>
      </c>
      <c r="C710" s="42" t="s">
        <v>1384</v>
      </c>
    </row>
    <row r="711" spans="1:3" x14ac:dyDescent="0.25">
      <c r="A711" s="42">
        <v>655</v>
      </c>
      <c r="B711" s="43">
        <v>38.9</v>
      </c>
      <c r="C711" s="42" t="s">
        <v>1384</v>
      </c>
    </row>
    <row r="712" spans="1:3" x14ac:dyDescent="0.25">
      <c r="A712" s="42">
        <v>655</v>
      </c>
      <c r="B712" s="43">
        <v>38.9</v>
      </c>
      <c r="C712" s="42" t="s">
        <v>1384</v>
      </c>
    </row>
    <row r="713" spans="1:3" x14ac:dyDescent="0.25">
      <c r="A713" s="42">
        <v>655</v>
      </c>
      <c r="B713" s="43">
        <v>38.9</v>
      </c>
      <c r="C713" s="42" t="s">
        <v>1384</v>
      </c>
    </row>
    <row r="714" spans="1:3" x14ac:dyDescent="0.25">
      <c r="A714" s="42">
        <v>655</v>
      </c>
      <c r="B714" s="43">
        <v>38.9</v>
      </c>
      <c r="C714" s="42" t="s">
        <v>1384</v>
      </c>
    </row>
    <row r="715" spans="1:3" x14ac:dyDescent="0.25">
      <c r="A715" s="42">
        <v>656</v>
      </c>
      <c r="B715" s="43"/>
      <c r="C715" s="42" t="s">
        <v>1384</v>
      </c>
    </row>
    <row r="716" spans="1:3" x14ac:dyDescent="0.25">
      <c r="A716" s="42">
        <v>657</v>
      </c>
      <c r="B716" s="43">
        <v>10</v>
      </c>
      <c r="C716" s="42" t="s">
        <v>1384</v>
      </c>
    </row>
    <row r="717" spans="1:3" x14ac:dyDescent="0.25">
      <c r="A717" s="42">
        <v>657</v>
      </c>
      <c r="B717" s="43">
        <v>10</v>
      </c>
      <c r="C717" s="42" t="s">
        <v>1384</v>
      </c>
    </row>
    <row r="718" spans="1:3" x14ac:dyDescent="0.25">
      <c r="A718" s="42">
        <v>657</v>
      </c>
      <c r="B718" s="43">
        <v>10</v>
      </c>
      <c r="C718" s="42" t="s">
        <v>1384</v>
      </c>
    </row>
    <row r="719" spans="1:3" x14ac:dyDescent="0.25">
      <c r="A719" s="42">
        <v>658</v>
      </c>
      <c r="B719" s="43"/>
      <c r="C719" s="42" t="s">
        <v>1384</v>
      </c>
    </row>
    <row r="720" spans="1:3" x14ac:dyDescent="0.25">
      <c r="A720" s="42">
        <v>659</v>
      </c>
      <c r="B720" s="43">
        <v>10</v>
      </c>
      <c r="C720" s="42" t="s">
        <v>1384</v>
      </c>
    </row>
    <row r="721" spans="1:3" x14ac:dyDescent="0.25">
      <c r="A721" s="42">
        <v>659</v>
      </c>
      <c r="B721" s="43">
        <v>10</v>
      </c>
      <c r="C721" s="42" t="s">
        <v>1384</v>
      </c>
    </row>
    <row r="722" spans="1:3" x14ac:dyDescent="0.25">
      <c r="A722" s="42">
        <v>660</v>
      </c>
      <c r="B722" s="43"/>
      <c r="C722" s="42" t="s">
        <v>1384</v>
      </c>
    </row>
    <row r="723" spans="1:3" x14ac:dyDescent="0.25">
      <c r="A723" s="42">
        <v>661</v>
      </c>
      <c r="B723" s="43"/>
      <c r="C723" s="42" t="s">
        <v>1384</v>
      </c>
    </row>
    <row r="724" spans="1:3" x14ac:dyDescent="0.25">
      <c r="A724" s="42">
        <v>662</v>
      </c>
      <c r="B724" s="43">
        <v>100</v>
      </c>
      <c r="C724" s="42" t="s">
        <v>1384</v>
      </c>
    </row>
    <row r="725" spans="1:3" x14ac:dyDescent="0.25">
      <c r="A725" s="42">
        <v>662</v>
      </c>
      <c r="B725" s="43">
        <v>100</v>
      </c>
      <c r="C725" s="42" t="s">
        <v>1384</v>
      </c>
    </row>
    <row r="726" spans="1:3" x14ac:dyDescent="0.25">
      <c r="A726" s="42">
        <v>662</v>
      </c>
      <c r="B726" s="43">
        <v>100</v>
      </c>
      <c r="C726" s="42" t="s">
        <v>1384</v>
      </c>
    </row>
    <row r="727" spans="1:3" x14ac:dyDescent="0.25">
      <c r="A727" s="42">
        <v>662</v>
      </c>
      <c r="B727" s="43">
        <v>100</v>
      </c>
      <c r="C727" s="42" t="s">
        <v>1384</v>
      </c>
    </row>
    <row r="728" spans="1:3" x14ac:dyDescent="0.25">
      <c r="A728" s="42">
        <v>663</v>
      </c>
      <c r="B728" s="43">
        <v>132</v>
      </c>
      <c r="C728" s="42" t="s">
        <v>1384</v>
      </c>
    </row>
    <row r="729" spans="1:3" x14ac:dyDescent="0.25">
      <c r="A729" s="42">
        <v>663</v>
      </c>
      <c r="B729" s="43">
        <v>132</v>
      </c>
      <c r="C729" s="42" t="s">
        <v>1384</v>
      </c>
    </row>
    <row r="730" spans="1:3" x14ac:dyDescent="0.25">
      <c r="A730" s="42">
        <v>663</v>
      </c>
      <c r="B730" s="43">
        <v>132</v>
      </c>
      <c r="C730" s="42" t="s">
        <v>1384</v>
      </c>
    </row>
    <row r="731" spans="1:3" x14ac:dyDescent="0.25">
      <c r="A731" s="42">
        <v>663</v>
      </c>
      <c r="B731" s="43">
        <v>132</v>
      </c>
      <c r="C731" s="42" t="s">
        <v>1384</v>
      </c>
    </row>
    <row r="732" spans="1:3" x14ac:dyDescent="0.25">
      <c r="A732" s="42">
        <v>664</v>
      </c>
      <c r="B732" s="43">
        <v>42.3</v>
      </c>
      <c r="C732" s="42" t="s">
        <v>1384</v>
      </c>
    </row>
    <row r="733" spans="1:3" x14ac:dyDescent="0.25">
      <c r="A733" s="42">
        <v>664</v>
      </c>
      <c r="B733" s="43">
        <v>42.3</v>
      </c>
      <c r="C733" s="42" t="s">
        <v>1384</v>
      </c>
    </row>
    <row r="734" spans="1:3" x14ac:dyDescent="0.25">
      <c r="A734" s="42">
        <v>665</v>
      </c>
      <c r="B734" s="43"/>
      <c r="C734" s="42" t="s">
        <v>1384</v>
      </c>
    </row>
    <row r="735" spans="1:3" x14ac:dyDescent="0.25">
      <c r="A735" s="42">
        <v>666</v>
      </c>
      <c r="B735" s="43">
        <v>88.46</v>
      </c>
      <c r="C735" s="42" t="s">
        <v>1384</v>
      </c>
    </row>
    <row r="736" spans="1:3" x14ac:dyDescent="0.25">
      <c r="A736" s="42">
        <v>666</v>
      </c>
      <c r="B736" s="43">
        <v>88.46</v>
      </c>
      <c r="C736" s="42" t="s">
        <v>1384</v>
      </c>
    </row>
    <row r="737" spans="1:3" x14ac:dyDescent="0.25">
      <c r="A737" s="42">
        <v>666</v>
      </c>
      <c r="B737" s="43">
        <v>88.46</v>
      </c>
      <c r="C737" s="42" t="s">
        <v>1384</v>
      </c>
    </row>
    <row r="738" spans="1:3" x14ac:dyDescent="0.25">
      <c r="A738" s="42">
        <v>667</v>
      </c>
      <c r="B738" s="43"/>
      <c r="C738" s="42" t="s">
        <v>1384</v>
      </c>
    </row>
    <row r="739" spans="1:3" x14ac:dyDescent="0.25">
      <c r="A739" s="42">
        <v>668</v>
      </c>
      <c r="B739" s="43"/>
      <c r="C739" s="42" t="s">
        <v>1384</v>
      </c>
    </row>
    <row r="740" spans="1:3" x14ac:dyDescent="0.25">
      <c r="A740" s="42">
        <v>669</v>
      </c>
      <c r="B740" s="43">
        <v>2085</v>
      </c>
      <c r="C740" s="42" t="s">
        <v>1384</v>
      </c>
    </row>
    <row r="741" spans="1:3" x14ac:dyDescent="0.25">
      <c r="A741" s="42">
        <v>669</v>
      </c>
      <c r="B741" s="43">
        <v>2085</v>
      </c>
      <c r="C741" s="42" t="s">
        <v>1384</v>
      </c>
    </row>
    <row r="742" spans="1:3" x14ac:dyDescent="0.25">
      <c r="A742" s="42">
        <v>669</v>
      </c>
      <c r="B742" s="43">
        <v>2085</v>
      </c>
      <c r="C742" s="42" t="s">
        <v>1384</v>
      </c>
    </row>
    <row r="743" spans="1:3" x14ac:dyDescent="0.25">
      <c r="A743" s="42">
        <v>670</v>
      </c>
      <c r="B743" s="43">
        <v>917</v>
      </c>
      <c r="C743" s="42" t="s">
        <v>1384</v>
      </c>
    </row>
    <row r="744" spans="1:3" x14ac:dyDescent="0.25">
      <c r="A744" s="42">
        <v>670</v>
      </c>
      <c r="B744" s="43">
        <v>917</v>
      </c>
      <c r="C744" s="42" t="s">
        <v>1384</v>
      </c>
    </row>
    <row r="745" spans="1:3" x14ac:dyDescent="0.25">
      <c r="A745" s="42">
        <v>670</v>
      </c>
      <c r="B745" s="43">
        <v>917</v>
      </c>
      <c r="C745" s="42" t="s">
        <v>1384</v>
      </c>
    </row>
    <row r="746" spans="1:3" x14ac:dyDescent="0.25">
      <c r="A746" s="42">
        <v>671</v>
      </c>
      <c r="B746" s="43">
        <v>386</v>
      </c>
      <c r="C746" s="42" t="s">
        <v>1384</v>
      </c>
    </row>
    <row r="747" spans="1:3" x14ac:dyDescent="0.25">
      <c r="A747" s="42">
        <v>672</v>
      </c>
      <c r="B747" s="43"/>
      <c r="C747" s="42" t="s">
        <v>1384</v>
      </c>
    </row>
    <row r="748" spans="1:3" x14ac:dyDescent="0.25">
      <c r="A748" s="42">
        <v>672</v>
      </c>
      <c r="B748" s="43"/>
      <c r="C748" s="42" t="s">
        <v>1384</v>
      </c>
    </row>
    <row r="749" spans="1:3" x14ac:dyDescent="0.25">
      <c r="A749" s="42">
        <v>673</v>
      </c>
      <c r="B749" s="43">
        <v>415</v>
      </c>
      <c r="C749" s="42" t="s">
        <v>1384</v>
      </c>
    </row>
    <row r="750" spans="1:3" x14ac:dyDescent="0.25">
      <c r="A750" s="42">
        <v>673</v>
      </c>
      <c r="B750" s="43">
        <v>415</v>
      </c>
      <c r="C750" s="42" t="s">
        <v>1384</v>
      </c>
    </row>
    <row r="751" spans="1:3" x14ac:dyDescent="0.25">
      <c r="A751" s="42">
        <v>674</v>
      </c>
      <c r="B751" s="43">
        <v>648.36</v>
      </c>
      <c r="C751" s="42" t="s">
        <v>1384</v>
      </c>
    </row>
    <row r="752" spans="1:3" x14ac:dyDescent="0.25">
      <c r="A752" s="42">
        <v>674</v>
      </c>
      <c r="B752" s="43">
        <v>648.36</v>
      </c>
      <c r="C752" s="42" t="s">
        <v>1384</v>
      </c>
    </row>
    <row r="753" spans="1:3" x14ac:dyDescent="0.25">
      <c r="A753" s="42">
        <v>674</v>
      </c>
      <c r="B753" s="43">
        <v>200</v>
      </c>
      <c r="C753" s="42" t="s">
        <v>1384</v>
      </c>
    </row>
    <row r="754" spans="1:3" x14ac:dyDescent="0.25">
      <c r="A754" s="42">
        <v>675</v>
      </c>
      <c r="B754" s="43"/>
      <c r="C754" s="42" t="s">
        <v>1384</v>
      </c>
    </row>
    <row r="755" spans="1:3" x14ac:dyDescent="0.25">
      <c r="A755" s="42">
        <v>675</v>
      </c>
      <c r="B755" s="43"/>
      <c r="C755" s="42" t="s">
        <v>1384</v>
      </c>
    </row>
    <row r="756" spans="1:3" x14ac:dyDescent="0.25">
      <c r="A756" s="42">
        <v>676</v>
      </c>
      <c r="B756" s="43">
        <v>158.35</v>
      </c>
      <c r="C756" s="42" t="s">
        <v>1384</v>
      </c>
    </row>
    <row r="757" spans="1:3" x14ac:dyDescent="0.25">
      <c r="A757" s="42">
        <v>676</v>
      </c>
      <c r="B757" s="43">
        <v>158.35</v>
      </c>
      <c r="C757" s="42" t="s">
        <v>1384</v>
      </c>
    </row>
    <row r="758" spans="1:3" x14ac:dyDescent="0.25">
      <c r="A758" s="42">
        <v>676</v>
      </c>
      <c r="B758" s="43">
        <v>158.35</v>
      </c>
      <c r="C758" s="42" t="s">
        <v>1384</v>
      </c>
    </row>
    <row r="759" spans="1:3" x14ac:dyDescent="0.25">
      <c r="A759" s="42">
        <v>676</v>
      </c>
      <c r="B759" s="43">
        <v>158.35</v>
      </c>
      <c r="C759" s="42" t="s">
        <v>1384</v>
      </c>
    </row>
    <row r="760" spans="1:3" x14ac:dyDescent="0.25">
      <c r="A760" s="42">
        <v>676</v>
      </c>
      <c r="B760" s="43">
        <v>158.35</v>
      </c>
      <c r="C760" s="42" t="s">
        <v>1384</v>
      </c>
    </row>
    <row r="761" spans="1:3" x14ac:dyDescent="0.25">
      <c r="A761" s="42">
        <v>677</v>
      </c>
      <c r="B761" s="43">
        <v>89</v>
      </c>
      <c r="C761" s="42" t="s">
        <v>1384</v>
      </c>
    </row>
    <row r="762" spans="1:3" x14ac:dyDescent="0.25">
      <c r="A762" s="42">
        <v>677</v>
      </c>
      <c r="B762" s="43">
        <v>89</v>
      </c>
      <c r="C762" s="42" t="s">
        <v>1384</v>
      </c>
    </row>
    <row r="763" spans="1:3" x14ac:dyDescent="0.25">
      <c r="A763" s="42">
        <v>677</v>
      </c>
      <c r="B763" s="43">
        <v>89</v>
      </c>
      <c r="C763" s="42" t="s">
        <v>1384</v>
      </c>
    </row>
    <row r="764" spans="1:3" x14ac:dyDescent="0.25">
      <c r="A764" s="42">
        <v>678</v>
      </c>
      <c r="B764" s="43"/>
      <c r="C764" s="42" t="s">
        <v>1384</v>
      </c>
    </row>
    <row r="765" spans="1:3" x14ac:dyDescent="0.25">
      <c r="A765" s="42">
        <v>679</v>
      </c>
      <c r="B765" s="43">
        <v>20.12</v>
      </c>
      <c r="C765" s="42" t="s">
        <v>1384</v>
      </c>
    </row>
    <row r="766" spans="1:3" x14ac:dyDescent="0.25">
      <c r="A766" s="42">
        <v>679</v>
      </c>
      <c r="B766" s="43">
        <v>20.12</v>
      </c>
      <c r="C766" s="42" t="s">
        <v>1384</v>
      </c>
    </row>
    <row r="767" spans="1:3" x14ac:dyDescent="0.25">
      <c r="A767" s="42">
        <v>680</v>
      </c>
      <c r="B767" s="43">
        <v>21.9</v>
      </c>
      <c r="C767" s="42" t="s">
        <v>1384</v>
      </c>
    </row>
    <row r="768" spans="1:3" x14ac:dyDescent="0.25">
      <c r="A768" s="42">
        <v>681</v>
      </c>
      <c r="B768" s="43">
        <v>13</v>
      </c>
      <c r="C768" s="42" t="s">
        <v>1384</v>
      </c>
    </row>
    <row r="769" spans="1:3" x14ac:dyDescent="0.25">
      <c r="A769" s="42">
        <v>681</v>
      </c>
      <c r="B769" s="43">
        <v>13</v>
      </c>
      <c r="C769" s="42" t="s">
        <v>1384</v>
      </c>
    </row>
    <row r="770" spans="1:3" x14ac:dyDescent="0.25">
      <c r="A770" s="42">
        <v>681</v>
      </c>
      <c r="B770" s="43">
        <v>13</v>
      </c>
      <c r="C770" s="42" t="s">
        <v>1384</v>
      </c>
    </row>
    <row r="771" spans="1:3" x14ac:dyDescent="0.25">
      <c r="A771" s="42">
        <v>681</v>
      </c>
      <c r="B771" s="43">
        <v>13</v>
      </c>
      <c r="C771" s="42" t="s">
        <v>1384</v>
      </c>
    </row>
    <row r="772" spans="1:3" x14ac:dyDescent="0.25">
      <c r="A772" s="42">
        <v>681</v>
      </c>
      <c r="B772" s="43">
        <v>13</v>
      </c>
      <c r="C772" s="42" t="s">
        <v>1384</v>
      </c>
    </row>
    <row r="773" spans="1:3" x14ac:dyDescent="0.25">
      <c r="A773" s="42">
        <v>681</v>
      </c>
      <c r="B773" s="43">
        <v>13</v>
      </c>
      <c r="C773" s="42" t="s">
        <v>1384</v>
      </c>
    </row>
    <row r="774" spans="1:3" x14ac:dyDescent="0.25">
      <c r="A774" s="42">
        <v>681</v>
      </c>
      <c r="B774" s="43">
        <v>13</v>
      </c>
      <c r="C774" s="42" t="s">
        <v>1384</v>
      </c>
    </row>
    <row r="775" spans="1:3" x14ac:dyDescent="0.25">
      <c r="A775" s="42">
        <v>681</v>
      </c>
      <c r="B775" s="43">
        <v>13</v>
      </c>
      <c r="C775" s="42" t="s">
        <v>1384</v>
      </c>
    </row>
    <row r="776" spans="1:3" x14ac:dyDescent="0.25">
      <c r="A776" s="42">
        <v>682</v>
      </c>
      <c r="B776" s="43">
        <v>13.8</v>
      </c>
      <c r="C776" s="42" t="s">
        <v>1384</v>
      </c>
    </row>
    <row r="777" spans="1:3" x14ac:dyDescent="0.25">
      <c r="A777" s="42">
        <v>682</v>
      </c>
      <c r="B777" s="43">
        <v>13.8</v>
      </c>
      <c r="C777" s="42" t="s">
        <v>1384</v>
      </c>
    </row>
    <row r="778" spans="1:3" x14ac:dyDescent="0.25">
      <c r="A778" s="42">
        <v>682</v>
      </c>
      <c r="B778" s="43">
        <v>13.8</v>
      </c>
      <c r="C778" s="42" t="s">
        <v>1384</v>
      </c>
    </row>
    <row r="779" spans="1:3" x14ac:dyDescent="0.25">
      <c r="A779" s="42">
        <v>682</v>
      </c>
      <c r="B779" s="43">
        <v>13.8</v>
      </c>
      <c r="C779" s="42" t="s">
        <v>1384</v>
      </c>
    </row>
    <row r="780" spans="1:3" x14ac:dyDescent="0.25">
      <c r="A780" s="42">
        <v>682</v>
      </c>
      <c r="B780" s="43">
        <v>13.8</v>
      </c>
      <c r="C780" s="42" t="s">
        <v>1384</v>
      </c>
    </row>
    <row r="781" spans="1:3" x14ac:dyDescent="0.25">
      <c r="A781" s="42">
        <v>683</v>
      </c>
      <c r="B781" s="43">
        <v>15.26</v>
      </c>
      <c r="C781" s="42" t="s">
        <v>1384</v>
      </c>
    </row>
    <row r="782" spans="1:3" x14ac:dyDescent="0.25">
      <c r="A782" s="42">
        <v>683</v>
      </c>
      <c r="B782" s="43">
        <v>15.26</v>
      </c>
      <c r="C782" s="42" t="s">
        <v>1384</v>
      </c>
    </row>
    <row r="783" spans="1:3" x14ac:dyDescent="0.25">
      <c r="A783" s="42">
        <v>683</v>
      </c>
      <c r="B783" s="43">
        <v>15.26</v>
      </c>
      <c r="C783" s="42" t="s">
        <v>1384</v>
      </c>
    </row>
    <row r="784" spans="1:3" x14ac:dyDescent="0.25">
      <c r="A784" s="42">
        <v>683</v>
      </c>
      <c r="B784" s="43">
        <v>15.26</v>
      </c>
      <c r="C784" s="42" t="s">
        <v>1384</v>
      </c>
    </row>
    <row r="785" spans="1:3" x14ac:dyDescent="0.25">
      <c r="A785" s="42">
        <v>684</v>
      </c>
      <c r="B785" s="43">
        <v>13.13</v>
      </c>
      <c r="C785" s="42" t="s">
        <v>1384</v>
      </c>
    </row>
    <row r="786" spans="1:3" x14ac:dyDescent="0.25">
      <c r="A786" s="42">
        <v>685</v>
      </c>
      <c r="B786" s="43">
        <v>25</v>
      </c>
      <c r="C786" s="42" t="s">
        <v>1384</v>
      </c>
    </row>
    <row r="787" spans="1:3" x14ac:dyDescent="0.25">
      <c r="A787" s="42">
        <v>686</v>
      </c>
      <c r="B787" s="43">
        <v>25</v>
      </c>
      <c r="C787" s="42" t="s">
        <v>1384</v>
      </c>
    </row>
    <row r="788" spans="1:3" x14ac:dyDescent="0.25">
      <c r="A788" s="42">
        <v>686</v>
      </c>
      <c r="B788" s="43">
        <v>25</v>
      </c>
      <c r="C788" s="42" t="s">
        <v>1384</v>
      </c>
    </row>
    <row r="789" spans="1:3" x14ac:dyDescent="0.25">
      <c r="A789" s="42">
        <v>686</v>
      </c>
      <c r="B789" s="43">
        <v>25</v>
      </c>
      <c r="C789" s="42" t="s">
        <v>1384</v>
      </c>
    </row>
    <row r="790" spans="1:3" x14ac:dyDescent="0.25">
      <c r="A790" s="42">
        <v>687</v>
      </c>
      <c r="B790" s="43">
        <v>25</v>
      </c>
      <c r="C790" s="42" t="s">
        <v>1384</v>
      </c>
    </row>
    <row r="791" spans="1:3" x14ac:dyDescent="0.25">
      <c r="A791" s="42">
        <v>687</v>
      </c>
      <c r="B791" s="43">
        <v>25</v>
      </c>
      <c r="C791" s="42" t="s">
        <v>1384</v>
      </c>
    </row>
    <row r="792" spans="1:3" x14ac:dyDescent="0.25">
      <c r="A792" s="42">
        <v>688</v>
      </c>
      <c r="B792" s="43"/>
      <c r="C792" s="42" t="s">
        <v>1384</v>
      </c>
    </row>
    <row r="793" spans="1:3" x14ac:dyDescent="0.25">
      <c r="A793" s="42">
        <v>689</v>
      </c>
      <c r="B793" s="43"/>
      <c r="C793" s="42" t="s">
        <v>1384</v>
      </c>
    </row>
    <row r="794" spans="1:3" x14ac:dyDescent="0.25">
      <c r="A794" s="42">
        <v>690</v>
      </c>
      <c r="B794" s="43"/>
      <c r="C794" s="42" t="s">
        <v>1384</v>
      </c>
    </row>
    <row r="795" spans="1:3" x14ac:dyDescent="0.25">
      <c r="A795" s="42">
        <v>691</v>
      </c>
      <c r="B795" s="43"/>
      <c r="C795" s="42" t="s">
        <v>1384</v>
      </c>
    </row>
    <row r="796" spans="1:3" x14ac:dyDescent="0.25">
      <c r="A796" s="42">
        <v>692</v>
      </c>
      <c r="B796" s="43">
        <v>950</v>
      </c>
      <c r="C796" s="42" t="s">
        <v>1384</v>
      </c>
    </row>
    <row r="797" spans="1:3" x14ac:dyDescent="0.25">
      <c r="A797" s="42">
        <v>692</v>
      </c>
      <c r="B797" s="43">
        <v>950</v>
      </c>
      <c r="C797" s="42" t="s">
        <v>1384</v>
      </c>
    </row>
    <row r="798" spans="1:3" x14ac:dyDescent="0.25">
      <c r="A798" s="42">
        <v>692</v>
      </c>
      <c r="B798" s="43">
        <v>950</v>
      </c>
      <c r="C798" s="42" t="s">
        <v>1384</v>
      </c>
    </row>
    <row r="799" spans="1:3" x14ac:dyDescent="0.25">
      <c r="A799" s="42">
        <v>692</v>
      </c>
      <c r="B799" s="43">
        <v>950</v>
      </c>
      <c r="C799" s="42" t="s">
        <v>1384</v>
      </c>
    </row>
    <row r="800" spans="1:3" x14ac:dyDescent="0.25">
      <c r="A800" s="42">
        <v>693</v>
      </c>
      <c r="B800" s="43"/>
      <c r="C800" s="42" t="s">
        <v>1384</v>
      </c>
    </row>
    <row r="801" spans="1:3" x14ac:dyDescent="0.25">
      <c r="A801" s="42">
        <v>694</v>
      </c>
      <c r="B801" s="43">
        <v>1000</v>
      </c>
      <c r="C801" s="42" t="s">
        <v>1384</v>
      </c>
    </row>
    <row r="802" spans="1:3" x14ac:dyDescent="0.25">
      <c r="A802" s="42">
        <v>694</v>
      </c>
      <c r="B802" s="43">
        <v>1000</v>
      </c>
      <c r="C802" s="42" t="s">
        <v>1384</v>
      </c>
    </row>
    <row r="803" spans="1:3" x14ac:dyDescent="0.25">
      <c r="A803" s="42">
        <v>695</v>
      </c>
      <c r="B803" s="43">
        <v>680</v>
      </c>
      <c r="C803" s="42" t="s">
        <v>1384</v>
      </c>
    </row>
    <row r="804" spans="1:3" x14ac:dyDescent="0.25">
      <c r="A804" s="42">
        <v>696</v>
      </c>
      <c r="B804" s="43"/>
      <c r="C804" s="42" t="s">
        <v>1384</v>
      </c>
    </row>
    <row r="805" spans="1:3" x14ac:dyDescent="0.25">
      <c r="A805" s="42">
        <v>697</v>
      </c>
      <c r="B805" s="43"/>
      <c r="C805" s="42" t="s">
        <v>1384</v>
      </c>
    </row>
    <row r="806" spans="1:3" x14ac:dyDescent="0.25">
      <c r="A806" s="42">
        <v>698</v>
      </c>
      <c r="B806" s="43"/>
      <c r="C806" s="42" t="s">
        <v>1384</v>
      </c>
    </row>
    <row r="807" spans="1:3" x14ac:dyDescent="0.25">
      <c r="A807" s="42">
        <v>698</v>
      </c>
      <c r="B807" s="43"/>
      <c r="C807" s="42" t="s">
        <v>1384</v>
      </c>
    </row>
    <row r="808" spans="1:3" x14ac:dyDescent="0.25">
      <c r="A808" s="42">
        <v>699</v>
      </c>
      <c r="B808" s="43"/>
      <c r="C808" s="42" t="s">
        <v>1384</v>
      </c>
    </row>
    <row r="809" spans="1:3" x14ac:dyDescent="0.25">
      <c r="A809" s="42">
        <v>700</v>
      </c>
      <c r="B809" s="43"/>
      <c r="C809" s="42" t="s">
        <v>1384</v>
      </c>
    </row>
    <row r="810" spans="1:3" x14ac:dyDescent="0.25">
      <c r="A810" s="42">
        <v>701</v>
      </c>
      <c r="B810" s="43"/>
      <c r="C810" s="42" t="s">
        <v>1384</v>
      </c>
    </row>
    <row r="811" spans="1:3" x14ac:dyDescent="0.25">
      <c r="A811" s="42">
        <v>702</v>
      </c>
      <c r="B811" s="43"/>
      <c r="C811" s="42" t="s">
        <v>1384</v>
      </c>
    </row>
    <row r="812" spans="1:3" x14ac:dyDescent="0.25">
      <c r="A812" s="42">
        <v>702</v>
      </c>
      <c r="B812" s="43"/>
      <c r="C812" s="42" t="s">
        <v>1384</v>
      </c>
    </row>
    <row r="813" spans="1:3" x14ac:dyDescent="0.25">
      <c r="A813" s="42">
        <v>703</v>
      </c>
      <c r="B813" s="43"/>
      <c r="C813" s="42" t="s">
        <v>1384</v>
      </c>
    </row>
    <row r="814" spans="1:3" x14ac:dyDescent="0.25">
      <c r="A814" s="42">
        <v>704</v>
      </c>
      <c r="B814" s="43"/>
      <c r="C814" s="42" t="s">
        <v>1384</v>
      </c>
    </row>
    <row r="815" spans="1:3" x14ac:dyDescent="0.25">
      <c r="A815" s="42">
        <v>704</v>
      </c>
      <c r="B815" s="43"/>
      <c r="C815" s="42" t="s">
        <v>1384</v>
      </c>
    </row>
    <row r="816" spans="1:3" x14ac:dyDescent="0.25">
      <c r="A816" s="42">
        <v>704</v>
      </c>
      <c r="B816" s="43"/>
      <c r="C816" s="42" t="s">
        <v>1384</v>
      </c>
    </row>
    <row r="817" spans="1:3" x14ac:dyDescent="0.25">
      <c r="A817" s="42">
        <v>704</v>
      </c>
      <c r="B817" s="43"/>
      <c r="C817" s="42" t="s">
        <v>1384</v>
      </c>
    </row>
    <row r="818" spans="1:3" x14ac:dyDescent="0.25">
      <c r="A818" s="42">
        <v>705</v>
      </c>
      <c r="B818" s="43"/>
      <c r="C818" s="42" t="s">
        <v>1384</v>
      </c>
    </row>
    <row r="819" spans="1:3" x14ac:dyDescent="0.25">
      <c r="A819" s="42">
        <v>705</v>
      </c>
      <c r="B819" s="43"/>
      <c r="C819" s="42" t="s">
        <v>1384</v>
      </c>
    </row>
    <row r="820" spans="1:3" x14ac:dyDescent="0.25">
      <c r="A820" s="42">
        <v>705</v>
      </c>
      <c r="B820" s="43"/>
      <c r="C820" s="42" t="s">
        <v>1384</v>
      </c>
    </row>
    <row r="821" spans="1:3" x14ac:dyDescent="0.25">
      <c r="A821" s="42">
        <v>705</v>
      </c>
      <c r="B821" s="43"/>
      <c r="C821" s="42" t="s">
        <v>1384</v>
      </c>
    </row>
    <row r="822" spans="1:3" x14ac:dyDescent="0.25">
      <c r="A822" s="42">
        <v>706</v>
      </c>
      <c r="B822" s="43"/>
      <c r="C822" s="42" t="s">
        <v>1384</v>
      </c>
    </row>
    <row r="823" spans="1:3" x14ac:dyDescent="0.25">
      <c r="A823" s="42">
        <v>707</v>
      </c>
      <c r="B823" s="43"/>
      <c r="C823" s="42" t="s">
        <v>1384</v>
      </c>
    </row>
    <row r="824" spans="1:3" x14ac:dyDescent="0.25">
      <c r="A824" s="42">
        <v>708</v>
      </c>
      <c r="B824" s="43"/>
      <c r="C824" s="42" t="s">
        <v>1384</v>
      </c>
    </row>
    <row r="825" spans="1:3" x14ac:dyDescent="0.25">
      <c r="A825" s="42">
        <v>709</v>
      </c>
      <c r="B825" s="43">
        <v>400</v>
      </c>
      <c r="C825" s="42" t="s">
        <v>1384</v>
      </c>
    </row>
    <row r="826" spans="1:3" x14ac:dyDescent="0.25">
      <c r="A826" s="42">
        <v>709</v>
      </c>
      <c r="B826" s="43">
        <v>400</v>
      </c>
      <c r="C826" s="42" t="s">
        <v>1384</v>
      </c>
    </row>
    <row r="827" spans="1:3" x14ac:dyDescent="0.25">
      <c r="A827" s="42">
        <v>709</v>
      </c>
      <c r="B827" s="43">
        <v>400</v>
      </c>
      <c r="C827" s="42" t="s">
        <v>1384</v>
      </c>
    </row>
    <row r="828" spans="1:3" x14ac:dyDescent="0.25">
      <c r="A828" s="42">
        <v>710</v>
      </c>
      <c r="B828" s="43"/>
      <c r="C828" s="42" t="s">
        <v>1384</v>
      </c>
    </row>
    <row r="829" spans="1:3" x14ac:dyDescent="0.25">
      <c r="A829" s="42">
        <v>711</v>
      </c>
      <c r="B829" s="43"/>
      <c r="C829" s="42" t="s">
        <v>1384</v>
      </c>
    </row>
    <row r="830" spans="1:3" x14ac:dyDescent="0.25">
      <c r="A830" s="42">
        <v>712</v>
      </c>
      <c r="B830" s="43"/>
      <c r="C830" s="42" t="s">
        <v>1384</v>
      </c>
    </row>
    <row r="831" spans="1:3" x14ac:dyDescent="0.25">
      <c r="A831" s="42">
        <v>713</v>
      </c>
      <c r="B831" s="43"/>
      <c r="C831" s="42" t="s">
        <v>1384</v>
      </c>
    </row>
    <row r="832" spans="1:3" x14ac:dyDescent="0.25">
      <c r="A832" s="42">
        <v>714</v>
      </c>
      <c r="B832" s="43"/>
      <c r="C832" s="42" t="s">
        <v>1384</v>
      </c>
    </row>
    <row r="833" spans="1:3" x14ac:dyDescent="0.25">
      <c r="A833" s="42">
        <v>715</v>
      </c>
      <c r="B833" s="43"/>
      <c r="C833" s="42" t="s">
        <v>1384</v>
      </c>
    </row>
    <row r="834" spans="1:3" x14ac:dyDescent="0.25">
      <c r="A834" s="42">
        <v>716</v>
      </c>
      <c r="B834" s="43"/>
      <c r="C834" s="42" t="s">
        <v>1384</v>
      </c>
    </row>
    <row r="835" spans="1:3" x14ac:dyDescent="0.25">
      <c r="A835" s="42">
        <v>717</v>
      </c>
      <c r="B835" s="43"/>
      <c r="C835" s="42" t="s">
        <v>1384</v>
      </c>
    </row>
    <row r="836" spans="1:3" x14ac:dyDescent="0.25">
      <c r="A836" s="42">
        <v>718</v>
      </c>
      <c r="B836" s="43"/>
      <c r="C836" s="42" t="s">
        <v>1384</v>
      </c>
    </row>
    <row r="837" spans="1:3" x14ac:dyDescent="0.25">
      <c r="A837" s="42">
        <v>719</v>
      </c>
      <c r="B837" s="43"/>
      <c r="C837" s="42" t="s">
        <v>1384</v>
      </c>
    </row>
    <row r="838" spans="1:3" x14ac:dyDescent="0.25">
      <c r="A838" s="42">
        <v>720</v>
      </c>
      <c r="B838" s="43"/>
      <c r="C838" s="42" t="s">
        <v>1384</v>
      </c>
    </row>
    <row r="839" spans="1:3" x14ac:dyDescent="0.25">
      <c r="A839" s="42">
        <v>721</v>
      </c>
      <c r="B839" s="43"/>
      <c r="C839" s="42" t="s">
        <v>1384</v>
      </c>
    </row>
    <row r="840" spans="1:3" x14ac:dyDescent="0.25">
      <c r="A840" s="42">
        <v>722</v>
      </c>
      <c r="B840" s="43"/>
      <c r="C840" s="42" t="s">
        <v>1384</v>
      </c>
    </row>
    <row r="841" spans="1:3" x14ac:dyDescent="0.25">
      <c r="A841" s="42">
        <v>722</v>
      </c>
      <c r="B841" s="43"/>
      <c r="C841" s="42" t="s">
        <v>1384</v>
      </c>
    </row>
    <row r="842" spans="1:3" x14ac:dyDescent="0.25">
      <c r="A842" s="42">
        <v>723</v>
      </c>
      <c r="B842" s="43"/>
      <c r="C842" s="42" t="s">
        <v>1384</v>
      </c>
    </row>
    <row r="843" spans="1:3" x14ac:dyDescent="0.25">
      <c r="A843" s="42">
        <v>724</v>
      </c>
      <c r="B843" s="43"/>
      <c r="C843" s="42" t="s">
        <v>1384</v>
      </c>
    </row>
    <row r="844" spans="1:3" x14ac:dyDescent="0.25">
      <c r="A844" s="42">
        <v>725</v>
      </c>
      <c r="B844" s="43">
        <v>1937.2</v>
      </c>
      <c r="C844" s="42" t="s">
        <v>1384</v>
      </c>
    </row>
    <row r="845" spans="1:3" x14ac:dyDescent="0.25">
      <c r="A845" s="42">
        <v>725</v>
      </c>
      <c r="B845" s="43">
        <v>1937.2</v>
      </c>
      <c r="C845" s="42" t="s">
        <v>1384</v>
      </c>
    </row>
    <row r="846" spans="1:3" x14ac:dyDescent="0.25">
      <c r="A846" s="42">
        <v>725</v>
      </c>
      <c r="B846" s="43">
        <v>1937.2</v>
      </c>
      <c r="C846" s="42" t="s">
        <v>1384</v>
      </c>
    </row>
    <row r="847" spans="1:3" x14ac:dyDescent="0.25">
      <c r="A847" s="42">
        <v>725</v>
      </c>
      <c r="B847" s="43">
        <v>1937.2</v>
      </c>
      <c r="C847" s="42" t="s">
        <v>1384</v>
      </c>
    </row>
    <row r="848" spans="1:3" x14ac:dyDescent="0.25">
      <c r="A848" s="42">
        <v>725</v>
      </c>
      <c r="B848" s="43">
        <v>1937.2</v>
      </c>
      <c r="C848" s="42" t="s">
        <v>1384</v>
      </c>
    </row>
    <row r="849" spans="1:3" x14ac:dyDescent="0.25">
      <c r="A849" s="42">
        <v>725</v>
      </c>
      <c r="B849" s="43">
        <v>1937.2</v>
      </c>
      <c r="C849" s="42" t="s">
        <v>1384</v>
      </c>
    </row>
    <row r="850" spans="1:3" x14ac:dyDescent="0.25">
      <c r="A850" s="42">
        <v>726</v>
      </c>
      <c r="B850" s="43"/>
      <c r="C850" s="42" t="s">
        <v>1384</v>
      </c>
    </row>
    <row r="851" spans="1:3" x14ac:dyDescent="0.25">
      <c r="A851" s="42">
        <v>727</v>
      </c>
      <c r="B851" s="43"/>
      <c r="C851" s="42" t="s">
        <v>1384</v>
      </c>
    </row>
    <row r="852" spans="1:3" x14ac:dyDescent="0.25">
      <c r="A852" s="42">
        <v>728</v>
      </c>
      <c r="B852" s="43"/>
      <c r="C852" s="42" t="s">
        <v>1384</v>
      </c>
    </row>
    <row r="853" spans="1:3" x14ac:dyDescent="0.25">
      <c r="A853" s="42">
        <v>729</v>
      </c>
      <c r="B853" s="43"/>
      <c r="C853" s="42" t="s">
        <v>1384</v>
      </c>
    </row>
    <row r="854" spans="1:3" x14ac:dyDescent="0.25">
      <c r="A854" s="42">
        <v>730</v>
      </c>
      <c r="B854" s="43"/>
      <c r="C854" s="42" t="s">
        <v>1384</v>
      </c>
    </row>
    <row r="855" spans="1:3" x14ac:dyDescent="0.25">
      <c r="A855" s="42">
        <v>731</v>
      </c>
      <c r="B855" s="43"/>
      <c r="C855" s="42" t="s">
        <v>1384</v>
      </c>
    </row>
    <row r="856" spans="1:3" x14ac:dyDescent="0.25">
      <c r="A856" s="42">
        <v>732</v>
      </c>
      <c r="B856" s="43"/>
      <c r="C856" s="42" t="s">
        <v>1384</v>
      </c>
    </row>
    <row r="857" spans="1:3" x14ac:dyDescent="0.25">
      <c r="A857" s="42">
        <v>733</v>
      </c>
      <c r="B857" s="43">
        <v>17.059999999999999</v>
      </c>
      <c r="C857" s="42" t="s">
        <v>1384</v>
      </c>
    </row>
    <row r="858" spans="1:3" x14ac:dyDescent="0.25">
      <c r="A858" s="42">
        <v>733</v>
      </c>
      <c r="B858" s="43">
        <v>17.059999999999999</v>
      </c>
      <c r="C858" s="42" t="s">
        <v>1384</v>
      </c>
    </row>
    <row r="859" spans="1:3" x14ac:dyDescent="0.25">
      <c r="A859" s="42">
        <v>733</v>
      </c>
      <c r="B859" s="43">
        <v>17.059999999999999</v>
      </c>
      <c r="C859" s="42" t="s">
        <v>1384</v>
      </c>
    </row>
    <row r="860" spans="1:3" x14ac:dyDescent="0.25">
      <c r="A860" s="42">
        <v>733</v>
      </c>
      <c r="B860" s="43">
        <v>17.059999999999999</v>
      </c>
      <c r="C860" s="42" t="s">
        <v>1384</v>
      </c>
    </row>
    <row r="861" spans="1:3" x14ac:dyDescent="0.25">
      <c r="A861" s="42">
        <v>733</v>
      </c>
      <c r="B861" s="43">
        <v>17.059999999999999</v>
      </c>
      <c r="C861" s="42" t="s">
        <v>1384</v>
      </c>
    </row>
    <row r="862" spans="1:3" x14ac:dyDescent="0.25">
      <c r="A862" s="42">
        <v>733</v>
      </c>
      <c r="B862" s="43">
        <v>17.059999999999999</v>
      </c>
      <c r="C862" s="42" t="s">
        <v>1384</v>
      </c>
    </row>
    <row r="863" spans="1:3" x14ac:dyDescent="0.25">
      <c r="A863" s="42">
        <v>733</v>
      </c>
      <c r="B863" s="43">
        <v>17.059999999999999</v>
      </c>
      <c r="C863" s="42" t="s">
        <v>1384</v>
      </c>
    </row>
    <row r="864" spans="1:3" x14ac:dyDescent="0.25">
      <c r="A864" s="42">
        <v>733</v>
      </c>
      <c r="B864" s="43">
        <v>17.059999999999999</v>
      </c>
      <c r="C864" s="42" t="s">
        <v>1384</v>
      </c>
    </row>
    <row r="865" spans="1:3" x14ac:dyDescent="0.25">
      <c r="A865" s="42">
        <v>733</v>
      </c>
      <c r="B865" s="43">
        <v>17.059999999999999</v>
      </c>
      <c r="C865" s="42" t="s">
        <v>1384</v>
      </c>
    </row>
    <row r="866" spans="1:3" x14ac:dyDescent="0.25">
      <c r="A866" s="42">
        <v>733</v>
      </c>
      <c r="B866" s="43">
        <v>17.059999999999999</v>
      </c>
      <c r="C866" s="42" t="s">
        <v>1384</v>
      </c>
    </row>
    <row r="867" spans="1:3" x14ac:dyDescent="0.25">
      <c r="A867" s="42">
        <v>733</v>
      </c>
      <c r="B867" s="43">
        <v>17.059999999999999</v>
      </c>
      <c r="C867" s="42" t="s">
        <v>1384</v>
      </c>
    </row>
    <row r="868" spans="1:3" x14ac:dyDescent="0.25">
      <c r="A868" s="42">
        <v>733</v>
      </c>
      <c r="B868" s="43">
        <v>17.059999999999999</v>
      </c>
      <c r="C868" s="42" t="s">
        <v>1384</v>
      </c>
    </row>
    <row r="869" spans="1:3" x14ac:dyDescent="0.25">
      <c r="A869" s="42">
        <v>733</v>
      </c>
      <c r="B869" s="43">
        <v>17.059999999999999</v>
      </c>
      <c r="C869" s="42" t="s">
        <v>1384</v>
      </c>
    </row>
    <row r="870" spans="1:3" x14ac:dyDescent="0.25">
      <c r="A870" s="42">
        <v>733</v>
      </c>
      <c r="B870" s="43">
        <v>17.059999999999999</v>
      </c>
      <c r="C870" s="42" t="s">
        <v>1384</v>
      </c>
    </row>
    <row r="871" spans="1:3" x14ac:dyDescent="0.25">
      <c r="A871" s="42">
        <v>733</v>
      </c>
      <c r="B871" s="43">
        <v>17.059999999999999</v>
      </c>
      <c r="C871" s="42" t="s">
        <v>1384</v>
      </c>
    </row>
    <row r="872" spans="1:3" x14ac:dyDescent="0.25">
      <c r="A872" s="42">
        <v>733</v>
      </c>
      <c r="B872" s="43">
        <v>17.059999999999999</v>
      </c>
      <c r="C872" s="42" t="s">
        <v>1384</v>
      </c>
    </row>
    <row r="873" spans="1:3" x14ac:dyDescent="0.25">
      <c r="A873" s="42">
        <v>733</v>
      </c>
      <c r="B873" s="43">
        <v>17.059999999999999</v>
      </c>
      <c r="C873" s="42" t="s">
        <v>1384</v>
      </c>
    </row>
    <row r="874" spans="1:3" x14ac:dyDescent="0.25">
      <c r="A874" s="42">
        <v>733</v>
      </c>
      <c r="B874" s="43">
        <v>17.059999999999999</v>
      </c>
      <c r="C874" s="42" t="s">
        <v>1384</v>
      </c>
    </row>
    <row r="875" spans="1:3" x14ac:dyDescent="0.25">
      <c r="A875" s="42">
        <v>733</v>
      </c>
      <c r="B875" s="43">
        <v>17.059999999999999</v>
      </c>
      <c r="C875" s="42" t="s">
        <v>1384</v>
      </c>
    </row>
    <row r="876" spans="1:3" x14ac:dyDescent="0.25">
      <c r="A876" s="42">
        <v>733</v>
      </c>
      <c r="B876" s="43">
        <v>17.059999999999999</v>
      </c>
      <c r="C876" s="42" t="s">
        <v>1384</v>
      </c>
    </row>
    <row r="877" spans="1:3" x14ac:dyDescent="0.25">
      <c r="A877" s="42">
        <v>733</v>
      </c>
      <c r="B877" s="43">
        <v>17.059999999999999</v>
      </c>
      <c r="C877" s="42" t="s">
        <v>1384</v>
      </c>
    </row>
    <row r="878" spans="1:3" x14ac:dyDescent="0.25">
      <c r="A878" s="42">
        <v>734</v>
      </c>
      <c r="B878" s="43">
        <v>995</v>
      </c>
      <c r="C878" s="42" t="s">
        <v>1384</v>
      </c>
    </row>
    <row r="879" spans="1:3" x14ac:dyDescent="0.25">
      <c r="A879" s="42">
        <v>734</v>
      </c>
      <c r="B879" s="43">
        <v>995</v>
      </c>
      <c r="C879" s="42" t="s">
        <v>1384</v>
      </c>
    </row>
    <row r="880" spans="1:3" x14ac:dyDescent="0.25">
      <c r="A880" s="42">
        <v>734</v>
      </c>
      <c r="B880" s="43">
        <v>995</v>
      </c>
      <c r="C880" s="42" t="s">
        <v>1384</v>
      </c>
    </row>
    <row r="881" spans="1:3" x14ac:dyDescent="0.25">
      <c r="A881" s="42">
        <v>735</v>
      </c>
      <c r="B881" s="43"/>
      <c r="C881" s="42" t="s">
        <v>1384</v>
      </c>
    </row>
    <row r="882" spans="1:3" x14ac:dyDescent="0.25">
      <c r="A882" s="42">
        <v>735</v>
      </c>
      <c r="B882" s="43"/>
      <c r="C882" s="42" t="s">
        <v>1384</v>
      </c>
    </row>
    <row r="883" spans="1:3" x14ac:dyDescent="0.25">
      <c r="A883" s="42">
        <v>736</v>
      </c>
      <c r="B883" s="43"/>
      <c r="C883" s="42" t="s">
        <v>1384</v>
      </c>
    </row>
    <row r="884" spans="1:3" x14ac:dyDescent="0.25">
      <c r="A884" s="42">
        <v>736</v>
      </c>
      <c r="B884" s="43"/>
      <c r="C884" s="42" t="s">
        <v>1384</v>
      </c>
    </row>
    <row r="885" spans="1:3" x14ac:dyDescent="0.25">
      <c r="A885" s="42">
        <v>737</v>
      </c>
      <c r="B885" s="43"/>
      <c r="C885" s="42" t="s">
        <v>1384</v>
      </c>
    </row>
    <row r="886" spans="1:3" x14ac:dyDescent="0.25">
      <c r="A886" s="42">
        <v>737</v>
      </c>
      <c r="B886" s="43"/>
      <c r="C886" s="42" t="s">
        <v>1384</v>
      </c>
    </row>
    <row r="887" spans="1:3" x14ac:dyDescent="0.25">
      <c r="A887" s="42">
        <v>738</v>
      </c>
      <c r="B887" s="43">
        <v>230</v>
      </c>
      <c r="C887" s="42" t="s">
        <v>1384</v>
      </c>
    </row>
    <row r="888" spans="1:3" x14ac:dyDescent="0.25">
      <c r="A888" s="42">
        <v>738</v>
      </c>
      <c r="B888" s="43">
        <v>230</v>
      </c>
      <c r="C888" s="42" t="s">
        <v>1384</v>
      </c>
    </row>
    <row r="889" spans="1:3" x14ac:dyDescent="0.25">
      <c r="A889" s="42">
        <v>739</v>
      </c>
      <c r="B889" s="43">
        <v>147.19999999999999</v>
      </c>
      <c r="C889" s="42" t="s">
        <v>1384</v>
      </c>
    </row>
    <row r="890" spans="1:3" x14ac:dyDescent="0.25">
      <c r="A890" s="42">
        <v>739</v>
      </c>
      <c r="B890" s="43">
        <v>147.19999999999999</v>
      </c>
      <c r="C890" s="42" t="s">
        <v>1384</v>
      </c>
    </row>
    <row r="891" spans="1:3" x14ac:dyDescent="0.25">
      <c r="A891" s="42">
        <v>739</v>
      </c>
      <c r="B891" s="43">
        <v>147.19999999999999</v>
      </c>
      <c r="C891" s="42" t="s">
        <v>1384</v>
      </c>
    </row>
    <row r="892" spans="1:3" x14ac:dyDescent="0.25">
      <c r="A892" s="42">
        <v>739</v>
      </c>
      <c r="B892" s="43">
        <v>147.19999999999999</v>
      </c>
      <c r="C892" s="42" t="s">
        <v>1384</v>
      </c>
    </row>
    <row r="893" spans="1:3" x14ac:dyDescent="0.25">
      <c r="A893" s="42">
        <v>740</v>
      </c>
      <c r="B893" s="43">
        <v>899</v>
      </c>
      <c r="C893" s="42" t="s">
        <v>1384</v>
      </c>
    </row>
    <row r="894" spans="1:3" x14ac:dyDescent="0.25">
      <c r="A894" s="42">
        <v>740</v>
      </c>
      <c r="B894" s="43">
        <v>899</v>
      </c>
      <c r="C894" s="42" t="s">
        <v>1384</v>
      </c>
    </row>
    <row r="895" spans="1:3" x14ac:dyDescent="0.25">
      <c r="A895" s="42">
        <v>740</v>
      </c>
      <c r="B895" s="43">
        <v>899</v>
      </c>
      <c r="C895" s="42" t="s">
        <v>1384</v>
      </c>
    </row>
    <row r="896" spans="1:3" x14ac:dyDescent="0.25">
      <c r="A896" s="42">
        <v>740</v>
      </c>
      <c r="B896" s="43">
        <v>899</v>
      </c>
      <c r="C896" s="42" t="s">
        <v>1384</v>
      </c>
    </row>
    <row r="897" spans="1:3" x14ac:dyDescent="0.25">
      <c r="A897" s="42">
        <v>740</v>
      </c>
      <c r="B897" s="43">
        <v>899</v>
      </c>
      <c r="C897" s="42" t="s">
        <v>1384</v>
      </c>
    </row>
    <row r="898" spans="1:3" x14ac:dyDescent="0.25">
      <c r="A898" s="42">
        <v>740</v>
      </c>
      <c r="B898" s="43">
        <v>899</v>
      </c>
      <c r="C898" s="42" t="s">
        <v>1384</v>
      </c>
    </row>
    <row r="899" spans="1:3" x14ac:dyDescent="0.25">
      <c r="A899" s="42">
        <v>740</v>
      </c>
      <c r="B899" s="43">
        <v>899</v>
      </c>
      <c r="C899" s="42" t="s">
        <v>1384</v>
      </c>
    </row>
    <row r="900" spans="1:3" x14ac:dyDescent="0.25">
      <c r="A900" s="42">
        <v>740</v>
      </c>
      <c r="B900" s="43">
        <v>899</v>
      </c>
      <c r="C900" s="42" t="s">
        <v>1384</v>
      </c>
    </row>
    <row r="901" spans="1:3" x14ac:dyDescent="0.25">
      <c r="A901" s="42">
        <v>741</v>
      </c>
      <c r="B901" s="43">
        <v>915</v>
      </c>
      <c r="C901" s="42" t="s">
        <v>1384</v>
      </c>
    </row>
    <row r="902" spans="1:3" x14ac:dyDescent="0.25">
      <c r="A902" s="42">
        <v>741</v>
      </c>
      <c r="B902" s="43">
        <v>915</v>
      </c>
      <c r="C902" s="42" t="s">
        <v>1384</v>
      </c>
    </row>
    <row r="903" spans="1:3" x14ac:dyDescent="0.25">
      <c r="A903" s="42">
        <v>741</v>
      </c>
      <c r="B903" s="43">
        <v>915</v>
      </c>
      <c r="C903" s="42" t="s">
        <v>1384</v>
      </c>
    </row>
    <row r="904" spans="1:3" x14ac:dyDescent="0.25">
      <c r="A904" s="42">
        <v>741</v>
      </c>
      <c r="B904" s="43">
        <v>915</v>
      </c>
      <c r="C904" s="42" t="s">
        <v>1384</v>
      </c>
    </row>
    <row r="905" spans="1:3" x14ac:dyDescent="0.25">
      <c r="A905" s="42">
        <v>741</v>
      </c>
      <c r="B905" s="43">
        <v>915</v>
      </c>
      <c r="C905" s="42" t="s">
        <v>1384</v>
      </c>
    </row>
    <row r="906" spans="1:3" x14ac:dyDescent="0.25">
      <c r="A906" s="42">
        <v>741</v>
      </c>
      <c r="B906" s="43">
        <v>915</v>
      </c>
      <c r="C906" s="42" t="s">
        <v>1384</v>
      </c>
    </row>
    <row r="907" spans="1:3" x14ac:dyDescent="0.25">
      <c r="A907" s="42">
        <v>741</v>
      </c>
      <c r="B907" s="43">
        <v>915</v>
      </c>
      <c r="C907" s="42" t="s">
        <v>1384</v>
      </c>
    </row>
    <row r="908" spans="1:3" x14ac:dyDescent="0.25">
      <c r="A908" s="42">
        <v>742</v>
      </c>
      <c r="B908" s="43">
        <v>128</v>
      </c>
      <c r="C908" s="42" t="s">
        <v>1384</v>
      </c>
    </row>
    <row r="909" spans="1:3" x14ac:dyDescent="0.25">
      <c r="A909" s="42">
        <v>742</v>
      </c>
      <c r="B909" s="43">
        <v>128</v>
      </c>
      <c r="C909" s="42" t="s">
        <v>1384</v>
      </c>
    </row>
    <row r="910" spans="1:3" x14ac:dyDescent="0.25">
      <c r="A910" s="42">
        <v>742</v>
      </c>
      <c r="B910" s="43">
        <v>128</v>
      </c>
      <c r="C910" s="42" t="s">
        <v>1384</v>
      </c>
    </row>
    <row r="911" spans="1:3" x14ac:dyDescent="0.25">
      <c r="A911" s="42">
        <v>742</v>
      </c>
      <c r="B911" s="43">
        <v>128</v>
      </c>
      <c r="C911" s="42" t="s">
        <v>1384</v>
      </c>
    </row>
    <row r="912" spans="1:3" x14ac:dyDescent="0.25">
      <c r="A912" s="42">
        <v>742</v>
      </c>
      <c r="B912" s="43">
        <v>128</v>
      </c>
      <c r="C912" s="42" t="s">
        <v>1384</v>
      </c>
    </row>
    <row r="913" spans="1:3" x14ac:dyDescent="0.25">
      <c r="A913" s="42">
        <v>743</v>
      </c>
      <c r="B913" s="43"/>
      <c r="C913" s="42" t="s">
        <v>1384</v>
      </c>
    </row>
    <row r="914" spans="1:3" x14ac:dyDescent="0.25">
      <c r="A914" s="42">
        <v>744</v>
      </c>
      <c r="B914" s="43"/>
      <c r="C914" s="42" t="s">
        <v>1384</v>
      </c>
    </row>
    <row r="915" spans="1:3" x14ac:dyDescent="0.25">
      <c r="A915" s="42">
        <v>745</v>
      </c>
      <c r="B915" s="43"/>
      <c r="C915" s="42" t="s">
        <v>1384</v>
      </c>
    </row>
    <row r="916" spans="1:3" x14ac:dyDescent="0.25">
      <c r="A916" s="42">
        <v>745</v>
      </c>
      <c r="B916" s="43"/>
      <c r="C916" s="42" t="s">
        <v>1384</v>
      </c>
    </row>
    <row r="917" spans="1:3" x14ac:dyDescent="0.25">
      <c r="A917" s="42">
        <v>745</v>
      </c>
      <c r="B917" s="43"/>
      <c r="C917" s="42" t="s">
        <v>1384</v>
      </c>
    </row>
    <row r="918" spans="1:3" x14ac:dyDescent="0.25">
      <c r="A918" s="42">
        <v>745</v>
      </c>
      <c r="B918" s="43"/>
      <c r="C918" s="42" t="s">
        <v>1384</v>
      </c>
    </row>
    <row r="919" spans="1:3" x14ac:dyDescent="0.25">
      <c r="A919" s="42">
        <v>746</v>
      </c>
      <c r="B919" s="43">
        <v>1500</v>
      </c>
      <c r="C919" s="42" t="s">
        <v>1384</v>
      </c>
    </row>
    <row r="920" spans="1:3" x14ac:dyDescent="0.25">
      <c r="A920" s="42">
        <v>746</v>
      </c>
      <c r="B920" s="43">
        <v>1500</v>
      </c>
      <c r="C920" s="42" t="s">
        <v>1384</v>
      </c>
    </row>
    <row r="921" spans="1:3" x14ac:dyDescent="0.25">
      <c r="A921" s="42">
        <v>747</v>
      </c>
      <c r="B921" s="43"/>
      <c r="C921" s="42" t="s">
        <v>1384</v>
      </c>
    </row>
    <row r="922" spans="1:3" x14ac:dyDescent="0.25">
      <c r="A922" s="42">
        <v>748</v>
      </c>
      <c r="B922" s="43"/>
      <c r="C922" s="42" t="s">
        <v>1384</v>
      </c>
    </row>
    <row r="923" spans="1:3" x14ac:dyDescent="0.25">
      <c r="A923" s="42">
        <v>749</v>
      </c>
      <c r="B923" s="43"/>
      <c r="C923" s="42" t="s">
        <v>1384</v>
      </c>
    </row>
    <row r="924" spans="1:3" x14ac:dyDescent="0.25">
      <c r="A924" s="42">
        <v>749</v>
      </c>
      <c r="B924" s="43"/>
      <c r="C924" s="42" t="s">
        <v>1384</v>
      </c>
    </row>
    <row r="925" spans="1:3" x14ac:dyDescent="0.25">
      <c r="A925" s="42">
        <v>750</v>
      </c>
      <c r="B925" s="43"/>
      <c r="C925" s="42" t="s">
        <v>1384</v>
      </c>
    </row>
    <row r="926" spans="1:3" x14ac:dyDescent="0.25">
      <c r="A926" s="42">
        <v>751</v>
      </c>
      <c r="B926" s="43"/>
      <c r="C926" s="42" t="s">
        <v>1384</v>
      </c>
    </row>
    <row r="927" spans="1:3" x14ac:dyDescent="0.25">
      <c r="A927" s="42">
        <v>752</v>
      </c>
      <c r="B927" s="43">
        <v>560</v>
      </c>
      <c r="C927" s="42" t="s">
        <v>1384</v>
      </c>
    </row>
    <row r="928" spans="1:3" x14ac:dyDescent="0.25">
      <c r="A928" s="42">
        <v>752</v>
      </c>
      <c r="B928" s="43">
        <v>560</v>
      </c>
      <c r="C928" s="42" t="s">
        <v>1384</v>
      </c>
    </row>
    <row r="929" spans="1:3" x14ac:dyDescent="0.25">
      <c r="A929" s="42">
        <v>752</v>
      </c>
      <c r="B929" s="43">
        <v>560</v>
      </c>
      <c r="C929" s="42" t="s">
        <v>1384</v>
      </c>
    </row>
    <row r="930" spans="1:3" x14ac:dyDescent="0.25">
      <c r="A930" s="42">
        <v>752</v>
      </c>
      <c r="B930" s="43">
        <v>560</v>
      </c>
      <c r="C930" s="42" t="s">
        <v>1384</v>
      </c>
    </row>
    <row r="931" spans="1:3" x14ac:dyDescent="0.25">
      <c r="A931" s="42">
        <v>753</v>
      </c>
      <c r="B931" s="43">
        <v>263.3</v>
      </c>
      <c r="C931" s="42" t="s">
        <v>1384</v>
      </c>
    </row>
    <row r="932" spans="1:3" x14ac:dyDescent="0.25">
      <c r="A932" s="42">
        <v>753</v>
      </c>
      <c r="B932" s="43">
        <v>263.3</v>
      </c>
      <c r="C932" s="42" t="s">
        <v>1384</v>
      </c>
    </row>
    <row r="933" spans="1:3" x14ac:dyDescent="0.25">
      <c r="A933" s="42">
        <v>753</v>
      </c>
      <c r="B933" s="43">
        <v>263.3</v>
      </c>
      <c r="C933" s="42" t="s">
        <v>1384</v>
      </c>
    </row>
    <row r="934" spans="1:3" x14ac:dyDescent="0.25">
      <c r="A934" s="42">
        <v>754</v>
      </c>
      <c r="B934" s="43"/>
      <c r="C934" s="42" t="s">
        <v>1384</v>
      </c>
    </row>
    <row r="935" spans="1:3" x14ac:dyDescent="0.25">
      <c r="A935" s="42">
        <v>754</v>
      </c>
      <c r="B935" s="43"/>
      <c r="C935" s="42" t="s">
        <v>1384</v>
      </c>
    </row>
    <row r="936" spans="1:3" x14ac:dyDescent="0.25">
      <c r="A936" s="42">
        <v>755</v>
      </c>
      <c r="B936" s="43"/>
      <c r="C936" s="42" t="s">
        <v>1384</v>
      </c>
    </row>
    <row r="937" spans="1:3" x14ac:dyDescent="0.25">
      <c r="A937" s="42">
        <v>756</v>
      </c>
      <c r="B937" s="43"/>
      <c r="C937" s="42" t="s">
        <v>1384</v>
      </c>
    </row>
    <row r="938" spans="1:3" x14ac:dyDescent="0.25">
      <c r="A938" s="42">
        <v>757</v>
      </c>
      <c r="B938" s="43"/>
      <c r="C938" s="42" t="s">
        <v>1384</v>
      </c>
    </row>
    <row r="939" spans="1:3" x14ac:dyDescent="0.25">
      <c r="A939" s="42">
        <v>758</v>
      </c>
      <c r="B939" s="43"/>
      <c r="C939" s="42" t="s">
        <v>1384</v>
      </c>
    </row>
    <row r="940" spans="1:3" x14ac:dyDescent="0.25">
      <c r="A940" s="42">
        <v>759</v>
      </c>
      <c r="B940" s="43"/>
      <c r="C940" s="42" t="s">
        <v>1384</v>
      </c>
    </row>
    <row r="941" spans="1:3" x14ac:dyDescent="0.25">
      <c r="A941" s="42">
        <v>760</v>
      </c>
      <c r="B941" s="43">
        <v>20.48</v>
      </c>
      <c r="C941" s="42" t="s">
        <v>1384</v>
      </c>
    </row>
    <row r="942" spans="1:3" x14ac:dyDescent="0.25">
      <c r="A942" s="42">
        <v>760</v>
      </c>
      <c r="B942" s="43">
        <v>20.48</v>
      </c>
      <c r="C942" s="42" t="s">
        <v>1384</v>
      </c>
    </row>
    <row r="943" spans="1:3" x14ac:dyDescent="0.25">
      <c r="A943" s="42">
        <v>761</v>
      </c>
      <c r="B943" s="43"/>
      <c r="C943" s="42" t="s">
        <v>1384</v>
      </c>
    </row>
    <row r="944" spans="1:3" x14ac:dyDescent="0.25">
      <c r="A944" s="42">
        <v>761</v>
      </c>
      <c r="B944" s="43"/>
      <c r="C944" s="42" t="s">
        <v>1384</v>
      </c>
    </row>
    <row r="945" spans="1:3" x14ac:dyDescent="0.25">
      <c r="A945" s="42">
        <v>761</v>
      </c>
      <c r="B945" s="43"/>
      <c r="C945" s="42" t="s">
        <v>1384</v>
      </c>
    </row>
    <row r="946" spans="1:3" x14ac:dyDescent="0.25">
      <c r="A946" s="42">
        <v>762</v>
      </c>
      <c r="B946" s="43"/>
      <c r="C946" s="42" t="s">
        <v>1384</v>
      </c>
    </row>
    <row r="947" spans="1:3" x14ac:dyDescent="0.25">
      <c r="A947" s="42">
        <v>763</v>
      </c>
      <c r="B947" s="43"/>
      <c r="C947" s="42" t="s">
        <v>1384</v>
      </c>
    </row>
    <row r="948" spans="1:3" x14ac:dyDescent="0.25">
      <c r="A948" s="42">
        <v>763</v>
      </c>
      <c r="B948" s="43"/>
      <c r="C948" s="42" t="s">
        <v>1384</v>
      </c>
    </row>
    <row r="949" spans="1:3" x14ac:dyDescent="0.25">
      <c r="A949" s="42">
        <v>764</v>
      </c>
      <c r="B949" s="43"/>
      <c r="C949" s="42" t="s">
        <v>1384</v>
      </c>
    </row>
    <row r="950" spans="1:3" x14ac:dyDescent="0.25">
      <c r="A950" s="42">
        <v>765</v>
      </c>
      <c r="B950" s="43"/>
      <c r="C950" s="42" t="s">
        <v>1384</v>
      </c>
    </row>
    <row r="951" spans="1:3" x14ac:dyDescent="0.25">
      <c r="A951" s="42">
        <v>766</v>
      </c>
      <c r="B951" s="43"/>
      <c r="C951" s="42" t="s">
        <v>1384</v>
      </c>
    </row>
    <row r="952" spans="1:3" x14ac:dyDescent="0.25">
      <c r="A952" s="42">
        <v>767</v>
      </c>
      <c r="B952" s="43"/>
      <c r="C952" s="42" t="s">
        <v>1384</v>
      </c>
    </row>
    <row r="953" spans="1:3" x14ac:dyDescent="0.25">
      <c r="A953" s="42">
        <v>768</v>
      </c>
      <c r="B953" s="43"/>
      <c r="C953" s="42" t="s">
        <v>1384</v>
      </c>
    </row>
    <row r="954" spans="1:3" x14ac:dyDescent="0.25">
      <c r="A954" s="42">
        <v>768</v>
      </c>
      <c r="B954" s="43"/>
      <c r="C954" s="42" t="s">
        <v>1384</v>
      </c>
    </row>
    <row r="955" spans="1:3" x14ac:dyDescent="0.25">
      <c r="A955" s="42">
        <v>769</v>
      </c>
      <c r="B955" s="43"/>
      <c r="C955" s="42" t="s">
        <v>1384</v>
      </c>
    </row>
    <row r="956" spans="1:3" x14ac:dyDescent="0.25">
      <c r="A956" s="42">
        <v>770</v>
      </c>
      <c r="B956" s="43"/>
      <c r="C956" s="42" t="s">
        <v>1384</v>
      </c>
    </row>
    <row r="957" spans="1:3" x14ac:dyDescent="0.25">
      <c r="A957" s="42">
        <v>771</v>
      </c>
      <c r="B957" s="43"/>
      <c r="C957" s="42" t="s">
        <v>1384</v>
      </c>
    </row>
    <row r="958" spans="1:3" x14ac:dyDescent="0.25">
      <c r="A958" s="42">
        <v>772</v>
      </c>
      <c r="B958" s="43"/>
      <c r="C958" s="42" t="s">
        <v>1384</v>
      </c>
    </row>
    <row r="959" spans="1:3" x14ac:dyDescent="0.25">
      <c r="A959" s="42">
        <v>773</v>
      </c>
      <c r="B959" s="43"/>
      <c r="C959" s="42" t="s">
        <v>1384</v>
      </c>
    </row>
    <row r="960" spans="1:3" x14ac:dyDescent="0.25">
      <c r="A960" s="42">
        <v>774</v>
      </c>
      <c r="B960" s="43"/>
      <c r="C960" s="42" t="s">
        <v>1384</v>
      </c>
    </row>
    <row r="961" spans="1:3" x14ac:dyDescent="0.25">
      <c r="A961" s="42">
        <v>775</v>
      </c>
      <c r="B961" s="43">
        <v>1008</v>
      </c>
      <c r="C961" s="42" t="s">
        <v>1384</v>
      </c>
    </row>
    <row r="962" spans="1:3" x14ac:dyDescent="0.25">
      <c r="A962" s="42">
        <v>775</v>
      </c>
      <c r="B962" s="43">
        <v>1008</v>
      </c>
      <c r="C962" s="42" t="s">
        <v>1384</v>
      </c>
    </row>
    <row r="963" spans="1:3" x14ac:dyDescent="0.25">
      <c r="A963" s="42">
        <v>776</v>
      </c>
      <c r="B963" s="43">
        <v>1050</v>
      </c>
      <c r="C963" s="42" t="s">
        <v>1384</v>
      </c>
    </row>
    <row r="964" spans="1:3" x14ac:dyDescent="0.25">
      <c r="A964" s="42">
        <v>776</v>
      </c>
      <c r="B964" s="43">
        <v>1050</v>
      </c>
      <c r="C964" s="42" t="s">
        <v>1384</v>
      </c>
    </row>
    <row r="965" spans="1:3" x14ac:dyDescent="0.25">
      <c r="A965" s="42">
        <v>777</v>
      </c>
      <c r="B965" s="43"/>
      <c r="C965" s="42" t="s">
        <v>1384</v>
      </c>
    </row>
    <row r="966" spans="1:3" x14ac:dyDescent="0.25">
      <c r="A966" s="42">
        <v>777</v>
      </c>
      <c r="B966" s="43"/>
      <c r="C966" s="42" t="s">
        <v>1384</v>
      </c>
    </row>
    <row r="967" spans="1:3" x14ac:dyDescent="0.25">
      <c r="A967" s="42">
        <v>777</v>
      </c>
      <c r="B967" s="43"/>
      <c r="C967" s="42" t="s">
        <v>1384</v>
      </c>
    </row>
    <row r="968" spans="1:3" x14ac:dyDescent="0.25">
      <c r="A968" s="42">
        <v>777</v>
      </c>
      <c r="B968" s="43"/>
      <c r="C968" s="42" t="s">
        <v>1384</v>
      </c>
    </row>
    <row r="969" spans="1:3" x14ac:dyDescent="0.25">
      <c r="A969" s="42">
        <v>778</v>
      </c>
      <c r="B969" s="43"/>
      <c r="C969" s="42" t="s">
        <v>1384</v>
      </c>
    </row>
    <row r="970" spans="1:3" x14ac:dyDescent="0.25">
      <c r="A970" s="42">
        <v>778</v>
      </c>
      <c r="B970" s="43"/>
      <c r="C970" s="42" t="s">
        <v>1384</v>
      </c>
    </row>
    <row r="971" spans="1:3" x14ac:dyDescent="0.25">
      <c r="A971" s="42">
        <v>781</v>
      </c>
      <c r="B971" s="43"/>
      <c r="C971" s="42" t="s">
        <v>1384</v>
      </c>
    </row>
    <row r="972" spans="1:3" x14ac:dyDescent="0.25">
      <c r="A972" s="42">
        <v>782</v>
      </c>
      <c r="B972" s="43"/>
      <c r="C972" s="42" t="s">
        <v>1384</v>
      </c>
    </row>
    <row r="973" spans="1:3" x14ac:dyDescent="0.25">
      <c r="A973" s="42">
        <v>783</v>
      </c>
      <c r="B973" s="43"/>
      <c r="C973" s="42" t="s">
        <v>1384</v>
      </c>
    </row>
    <row r="974" spans="1:3" x14ac:dyDescent="0.25">
      <c r="A974" s="42">
        <v>784</v>
      </c>
      <c r="B974" s="43">
        <v>200</v>
      </c>
      <c r="C974" s="42" t="s">
        <v>1384</v>
      </c>
    </row>
    <row r="975" spans="1:3" x14ac:dyDescent="0.25">
      <c r="A975" s="42">
        <v>784</v>
      </c>
      <c r="B975" s="43">
        <v>200</v>
      </c>
      <c r="C975" s="42" t="s">
        <v>1384</v>
      </c>
    </row>
    <row r="976" spans="1:3" x14ac:dyDescent="0.25">
      <c r="A976" s="42">
        <v>784</v>
      </c>
      <c r="B976" s="43">
        <v>200</v>
      </c>
      <c r="C976" s="42" t="s">
        <v>1384</v>
      </c>
    </row>
    <row r="977" spans="1:3" x14ac:dyDescent="0.25">
      <c r="A977" s="42">
        <v>784</v>
      </c>
      <c r="B977" s="43">
        <v>200</v>
      </c>
      <c r="C977" s="42" t="s">
        <v>1384</v>
      </c>
    </row>
    <row r="978" spans="1:3" x14ac:dyDescent="0.25">
      <c r="A978" s="42">
        <v>784</v>
      </c>
      <c r="B978" s="43">
        <v>200</v>
      </c>
      <c r="C978" s="42" t="s">
        <v>1384</v>
      </c>
    </row>
    <row r="979" spans="1:3" x14ac:dyDescent="0.25">
      <c r="A979" s="42">
        <v>785</v>
      </c>
      <c r="B979" s="43"/>
      <c r="C979" s="42" t="s">
        <v>1384</v>
      </c>
    </row>
    <row r="980" spans="1:3" x14ac:dyDescent="0.25">
      <c r="A980" s="42">
        <v>785</v>
      </c>
      <c r="B980" s="43"/>
      <c r="C980" s="42" t="s">
        <v>1384</v>
      </c>
    </row>
    <row r="981" spans="1:3" x14ac:dyDescent="0.25">
      <c r="A981" s="42">
        <v>786</v>
      </c>
      <c r="B981" s="43"/>
      <c r="C981" s="42" t="s">
        <v>1384</v>
      </c>
    </row>
    <row r="982" spans="1:3" x14ac:dyDescent="0.25">
      <c r="A982" s="42">
        <v>787</v>
      </c>
      <c r="B982" s="43"/>
      <c r="C982" s="42" t="s">
        <v>1384</v>
      </c>
    </row>
    <row r="983" spans="1:3" x14ac:dyDescent="0.25">
      <c r="A983" s="42">
        <v>787</v>
      </c>
      <c r="B983" s="43"/>
      <c r="C983" s="42" t="s">
        <v>1384</v>
      </c>
    </row>
    <row r="984" spans="1:3" x14ac:dyDescent="0.25">
      <c r="A984" s="42">
        <v>787</v>
      </c>
      <c r="B984" s="43"/>
      <c r="C984" s="42" t="s">
        <v>1384</v>
      </c>
    </row>
    <row r="985" spans="1:3" x14ac:dyDescent="0.25">
      <c r="A985" s="42">
        <v>787</v>
      </c>
      <c r="B985" s="43"/>
      <c r="C985" s="42" t="s">
        <v>1384</v>
      </c>
    </row>
    <row r="986" spans="1:3" x14ac:dyDescent="0.25">
      <c r="A986" s="42">
        <v>788</v>
      </c>
      <c r="B986" s="43"/>
      <c r="C986" s="42" t="s">
        <v>1384</v>
      </c>
    </row>
    <row r="987" spans="1:3" x14ac:dyDescent="0.25">
      <c r="A987" s="42">
        <v>788</v>
      </c>
      <c r="B987" s="43"/>
      <c r="C987" s="42" t="s">
        <v>1384</v>
      </c>
    </row>
    <row r="988" spans="1:3" x14ac:dyDescent="0.25">
      <c r="A988" s="42">
        <v>788</v>
      </c>
      <c r="B988" s="43"/>
      <c r="C988" s="42" t="s">
        <v>1384</v>
      </c>
    </row>
    <row r="989" spans="1:3" x14ac:dyDescent="0.25">
      <c r="A989" s="42">
        <v>788</v>
      </c>
      <c r="B989" s="43"/>
      <c r="C989" s="42" t="s">
        <v>1384</v>
      </c>
    </row>
    <row r="990" spans="1:3" x14ac:dyDescent="0.25">
      <c r="A990" s="42">
        <v>789</v>
      </c>
      <c r="B990" s="43">
        <v>236</v>
      </c>
      <c r="C990" s="42" t="s">
        <v>1384</v>
      </c>
    </row>
    <row r="991" spans="1:3" x14ac:dyDescent="0.25">
      <c r="A991" s="42">
        <v>789</v>
      </c>
      <c r="B991" s="43">
        <v>236</v>
      </c>
      <c r="C991" s="42" t="s">
        <v>1384</v>
      </c>
    </row>
    <row r="992" spans="1:3" x14ac:dyDescent="0.25">
      <c r="A992" s="42">
        <v>789</v>
      </c>
      <c r="B992" s="43">
        <v>236</v>
      </c>
      <c r="C992" s="42" t="s">
        <v>1384</v>
      </c>
    </row>
    <row r="993" spans="1:3" x14ac:dyDescent="0.25">
      <c r="A993" s="42">
        <v>789</v>
      </c>
      <c r="B993" s="43">
        <v>236</v>
      </c>
      <c r="C993" s="42" t="s">
        <v>1384</v>
      </c>
    </row>
    <row r="994" spans="1:3" x14ac:dyDescent="0.25">
      <c r="A994" s="42">
        <v>789</v>
      </c>
      <c r="B994" s="43">
        <v>236</v>
      </c>
      <c r="C994" s="42" t="s">
        <v>1384</v>
      </c>
    </row>
    <row r="995" spans="1:3" x14ac:dyDescent="0.25">
      <c r="A995" s="42">
        <v>789</v>
      </c>
      <c r="B995" s="43">
        <v>236</v>
      </c>
      <c r="C995" s="42" t="s">
        <v>1384</v>
      </c>
    </row>
    <row r="996" spans="1:3" x14ac:dyDescent="0.25">
      <c r="A996" s="42">
        <v>789</v>
      </c>
      <c r="B996" s="43">
        <v>236</v>
      </c>
      <c r="C996" s="42" t="s">
        <v>1384</v>
      </c>
    </row>
    <row r="997" spans="1:3" x14ac:dyDescent="0.25">
      <c r="A997" s="42">
        <v>790</v>
      </c>
      <c r="B997" s="43">
        <v>1500</v>
      </c>
      <c r="C997" s="42" t="s">
        <v>1384</v>
      </c>
    </row>
    <row r="998" spans="1:3" x14ac:dyDescent="0.25">
      <c r="A998" s="42">
        <v>790</v>
      </c>
      <c r="B998" s="43">
        <v>1500</v>
      </c>
      <c r="C998" s="42" t="s">
        <v>1384</v>
      </c>
    </row>
    <row r="999" spans="1:3" x14ac:dyDescent="0.25">
      <c r="A999" s="42">
        <v>791</v>
      </c>
      <c r="B999" s="43">
        <v>755.62</v>
      </c>
      <c r="C999" s="42" t="s">
        <v>1384</v>
      </c>
    </row>
    <row r="1000" spans="1:3" x14ac:dyDescent="0.25">
      <c r="A1000" s="42">
        <v>792</v>
      </c>
      <c r="B1000" s="43">
        <v>355</v>
      </c>
      <c r="C1000" s="42" t="s">
        <v>1384</v>
      </c>
    </row>
    <row r="1001" spans="1:3" x14ac:dyDescent="0.25">
      <c r="A1001" s="42">
        <v>792</v>
      </c>
      <c r="B1001" s="43">
        <v>355</v>
      </c>
      <c r="C1001" s="42" t="s">
        <v>1384</v>
      </c>
    </row>
    <row r="1002" spans="1:3" x14ac:dyDescent="0.25">
      <c r="A1002" s="42">
        <v>793</v>
      </c>
      <c r="B1002" s="43">
        <v>188</v>
      </c>
      <c r="C1002" s="42" t="s">
        <v>1384</v>
      </c>
    </row>
    <row r="1003" spans="1:3" x14ac:dyDescent="0.25">
      <c r="A1003" s="42">
        <v>793</v>
      </c>
      <c r="B1003" s="43">
        <v>188</v>
      </c>
      <c r="C1003" s="42" t="s">
        <v>1384</v>
      </c>
    </row>
    <row r="1004" spans="1:3" x14ac:dyDescent="0.25">
      <c r="A1004" s="42">
        <v>794</v>
      </c>
      <c r="B1004" s="43">
        <v>50.15</v>
      </c>
      <c r="C1004" s="42" t="s">
        <v>1384</v>
      </c>
    </row>
    <row r="1005" spans="1:3" x14ac:dyDescent="0.25">
      <c r="A1005" s="42">
        <v>794</v>
      </c>
      <c r="B1005" s="43">
        <v>50.15</v>
      </c>
      <c r="C1005" s="42" t="s">
        <v>1384</v>
      </c>
    </row>
    <row r="1006" spans="1:3" x14ac:dyDescent="0.25">
      <c r="A1006" s="42">
        <v>794</v>
      </c>
      <c r="B1006" s="43">
        <v>50.15</v>
      </c>
      <c r="C1006" s="42" t="s">
        <v>1384</v>
      </c>
    </row>
    <row r="1007" spans="1:3" x14ac:dyDescent="0.25">
      <c r="A1007" s="42">
        <v>795</v>
      </c>
      <c r="B1007" s="43">
        <v>171</v>
      </c>
      <c r="C1007" s="42" t="s">
        <v>1384</v>
      </c>
    </row>
    <row r="1008" spans="1:3" x14ac:dyDescent="0.25">
      <c r="A1008" s="42">
        <v>795</v>
      </c>
      <c r="B1008" s="43">
        <v>171</v>
      </c>
      <c r="C1008" s="42" t="s">
        <v>1384</v>
      </c>
    </row>
    <row r="1009" spans="1:3" x14ac:dyDescent="0.25">
      <c r="A1009" s="42">
        <v>796</v>
      </c>
      <c r="B1009" s="43">
        <v>167</v>
      </c>
      <c r="C1009" s="42" t="s">
        <v>1384</v>
      </c>
    </row>
    <row r="1010" spans="1:3" x14ac:dyDescent="0.25">
      <c r="A1010" s="42">
        <v>796</v>
      </c>
      <c r="B1010" s="43">
        <v>167</v>
      </c>
      <c r="C1010" s="42" t="s">
        <v>1384</v>
      </c>
    </row>
    <row r="1011" spans="1:3" x14ac:dyDescent="0.25">
      <c r="A1011" s="42">
        <v>797</v>
      </c>
      <c r="B1011" s="43">
        <v>70</v>
      </c>
      <c r="C1011" s="42" t="s">
        <v>1384</v>
      </c>
    </row>
    <row r="1012" spans="1:3" x14ac:dyDescent="0.25">
      <c r="A1012" s="42">
        <v>797</v>
      </c>
      <c r="B1012" s="43">
        <v>70</v>
      </c>
      <c r="C1012" s="42" t="s">
        <v>1384</v>
      </c>
    </row>
    <row r="1013" spans="1:3" x14ac:dyDescent="0.25">
      <c r="A1013" s="42">
        <v>797</v>
      </c>
      <c r="B1013" s="43">
        <v>70</v>
      </c>
      <c r="C1013" s="42" t="s">
        <v>1384</v>
      </c>
    </row>
    <row r="1014" spans="1:3" x14ac:dyDescent="0.25">
      <c r="A1014" s="42">
        <v>797</v>
      </c>
      <c r="B1014" s="43">
        <v>70</v>
      </c>
      <c r="C1014" s="42" t="s">
        <v>1384</v>
      </c>
    </row>
    <row r="1015" spans="1:3" x14ac:dyDescent="0.25">
      <c r="A1015" s="42">
        <v>798</v>
      </c>
      <c r="B1015" s="43">
        <v>317.31</v>
      </c>
      <c r="C1015" s="42" t="s">
        <v>1384</v>
      </c>
    </row>
    <row r="1016" spans="1:3" x14ac:dyDescent="0.25">
      <c r="A1016" s="42">
        <v>798</v>
      </c>
      <c r="B1016" s="43">
        <v>317.31</v>
      </c>
      <c r="C1016" s="42" t="s">
        <v>1384</v>
      </c>
    </row>
    <row r="1017" spans="1:3" x14ac:dyDescent="0.25">
      <c r="A1017" s="42">
        <v>798</v>
      </c>
      <c r="B1017" s="43">
        <v>317.31</v>
      </c>
      <c r="C1017" s="42" t="s">
        <v>1384</v>
      </c>
    </row>
    <row r="1018" spans="1:3" x14ac:dyDescent="0.25">
      <c r="A1018" s="42">
        <v>799</v>
      </c>
      <c r="B1018" s="43">
        <v>388.82</v>
      </c>
      <c r="C1018" s="42" t="s">
        <v>1384</v>
      </c>
    </row>
    <row r="1019" spans="1:3" x14ac:dyDescent="0.25">
      <c r="A1019" s="42">
        <v>800</v>
      </c>
      <c r="B1019" s="43"/>
      <c r="C1019" s="42" t="s">
        <v>1384</v>
      </c>
    </row>
    <row r="1020" spans="1:3" x14ac:dyDescent="0.25">
      <c r="A1020" s="42">
        <v>800</v>
      </c>
      <c r="B1020" s="43"/>
      <c r="C1020" s="42" t="s">
        <v>1384</v>
      </c>
    </row>
    <row r="1021" spans="1:3" x14ac:dyDescent="0.25">
      <c r="A1021" s="42">
        <v>800</v>
      </c>
      <c r="B1021" s="43"/>
      <c r="C1021" s="42" t="s">
        <v>1384</v>
      </c>
    </row>
    <row r="1022" spans="1:3" x14ac:dyDescent="0.25">
      <c r="A1022" s="42">
        <v>800</v>
      </c>
      <c r="B1022" s="43"/>
      <c r="C1022" s="42" t="s">
        <v>1384</v>
      </c>
    </row>
    <row r="1023" spans="1:3" x14ac:dyDescent="0.25">
      <c r="A1023" s="42">
        <v>800</v>
      </c>
      <c r="B1023" s="43">
        <v>308</v>
      </c>
      <c r="C1023" s="42" t="s">
        <v>1384</v>
      </c>
    </row>
    <row r="1024" spans="1:3" x14ac:dyDescent="0.25">
      <c r="A1024" s="42">
        <v>801</v>
      </c>
      <c r="B1024" s="43">
        <v>26.31</v>
      </c>
      <c r="C1024" s="42" t="s">
        <v>1384</v>
      </c>
    </row>
    <row r="1025" spans="1:3" x14ac:dyDescent="0.25">
      <c r="A1025" s="42">
        <v>801</v>
      </c>
      <c r="B1025" s="43">
        <v>26.31</v>
      </c>
      <c r="C1025" s="42" t="s">
        <v>1384</v>
      </c>
    </row>
    <row r="1026" spans="1:3" x14ac:dyDescent="0.25">
      <c r="A1026" s="42">
        <v>801</v>
      </c>
      <c r="B1026" s="43">
        <v>26.31</v>
      </c>
      <c r="C1026" s="42" t="s">
        <v>1384</v>
      </c>
    </row>
    <row r="1027" spans="1:3" x14ac:dyDescent="0.25">
      <c r="A1027" s="42">
        <v>801</v>
      </c>
      <c r="B1027" s="43">
        <v>26.31</v>
      </c>
      <c r="C1027" s="42" t="s">
        <v>1384</v>
      </c>
    </row>
    <row r="1028" spans="1:3" x14ac:dyDescent="0.25">
      <c r="A1028" s="42">
        <v>801</v>
      </c>
      <c r="B1028" s="43">
        <v>26.31</v>
      </c>
      <c r="C1028" s="42" t="s">
        <v>1384</v>
      </c>
    </row>
    <row r="1029" spans="1:3" x14ac:dyDescent="0.25">
      <c r="A1029" s="42">
        <v>801</v>
      </c>
      <c r="B1029" s="43">
        <v>26.31</v>
      </c>
      <c r="C1029" s="42" t="s">
        <v>1384</v>
      </c>
    </row>
    <row r="1030" spans="1:3" x14ac:dyDescent="0.25">
      <c r="A1030" s="42">
        <v>801</v>
      </c>
      <c r="B1030" s="43">
        <v>26.31</v>
      </c>
      <c r="C1030" s="42" t="s">
        <v>1384</v>
      </c>
    </row>
    <row r="1031" spans="1:3" x14ac:dyDescent="0.25">
      <c r="A1031" s="42">
        <v>801</v>
      </c>
      <c r="B1031" s="43">
        <v>26.31</v>
      </c>
      <c r="C1031" s="42" t="s">
        <v>1384</v>
      </c>
    </row>
    <row r="1032" spans="1:3" x14ac:dyDescent="0.25">
      <c r="A1032" s="42">
        <v>801</v>
      </c>
      <c r="B1032" s="43">
        <v>26.31</v>
      </c>
      <c r="C1032" s="42" t="s">
        <v>1384</v>
      </c>
    </row>
    <row r="1033" spans="1:3" x14ac:dyDescent="0.25">
      <c r="A1033" s="42">
        <v>802</v>
      </c>
      <c r="B1033" s="43">
        <v>20</v>
      </c>
      <c r="C1033" s="42" t="s">
        <v>1384</v>
      </c>
    </row>
    <row r="1034" spans="1:3" x14ac:dyDescent="0.25">
      <c r="A1034" s="42">
        <v>802</v>
      </c>
      <c r="B1034" s="43">
        <v>20</v>
      </c>
      <c r="C1034" s="42" t="s">
        <v>1384</v>
      </c>
    </row>
    <row r="1035" spans="1:3" x14ac:dyDescent="0.25">
      <c r="A1035" s="42">
        <v>802</v>
      </c>
      <c r="B1035" s="43">
        <v>20</v>
      </c>
      <c r="C1035" s="42" t="s">
        <v>1384</v>
      </c>
    </row>
    <row r="1036" spans="1:3" x14ac:dyDescent="0.25">
      <c r="A1036" s="42">
        <v>802</v>
      </c>
      <c r="B1036" s="43">
        <v>20</v>
      </c>
      <c r="C1036" s="42" t="s">
        <v>1384</v>
      </c>
    </row>
    <row r="1037" spans="1:3" x14ac:dyDescent="0.25">
      <c r="A1037" s="42">
        <v>802</v>
      </c>
      <c r="B1037" s="43">
        <v>20</v>
      </c>
      <c r="C1037" s="42" t="s">
        <v>1384</v>
      </c>
    </row>
    <row r="1038" spans="1:3" x14ac:dyDescent="0.25">
      <c r="A1038" s="42">
        <v>802</v>
      </c>
      <c r="B1038" s="43">
        <v>20</v>
      </c>
      <c r="C1038" s="42" t="s">
        <v>1384</v>
      </c>
    </row>
    <row r="1039" spans="1:3" x14ac:dyDescent="0.25">
      <c r="A1039" s="42">
        <v>803</v>
      </c>
      <c r="B1039" s="43">
        <v>2073</v>
      </c>
      <c r="C1039" s="42" t="s">
        <v>1384</v>
      </c>
    </row>
    <row r="1040" spans="1:3" x14ac:dyDescent="0.25">
      <c r="A1040" s="42">
        <v>804</v>
      </c>
      <c r="B1040" s="43"/>
      <c r="C1040" s="42" t="s">
        <v>1384</v>
      </c>
    </row>
    <row r="1041" spans="1:3" x14ac:dyDescent="0.25">
      <c r="A1041" s="42">
        <v>805</v>
      </c>
      <c r="B1041" s="43"/>
      <c r="C1041" s="42" t="s">
        <v>1384</v>
      </c>
    </row>
    <row r="1042" spans="1:3" x14ac:dyDescent="0.25">
      <c r="A1042" s="42">
        <v>806</v>
      </c>
      <c r="B1042" s="43"/>
      <c r="C1042" s="42" t="s">
        <v>1384</v>
      </c>
    </row>
    <row r="1043" spans="1:3" x14ac:dyDescent="0.25">
      <c r="A1043" s="42">
        <v>807</v>
      </c>
      <c r="B1043" s="43"/>
      <c r="C1043" s="42" t="s">
        <v>1384</v>
      </c>
    </row>
    <row r="1044" spans="1:3" x14ac:dyDescent="0.25">
      <c r="A1044" s="42">
        <v>808</v>
      </c>
      <c r="B1044" s="43"/>
      <c r="C1044" s="42" t="s">
        <v>1384</v>
      </c>
    </row>
    <row r="1045" spans="1:3" x14ac:dyDescent="0.25">
      <c r="A1045" s="42">
        <v>809</v>
      </c>
      <c r="B1045" s="43"/>
      <c r="C1045" s="42" t="s">
        <v>1384</v>
      </c>
    </row>
    <row r="1046" spans="1:3" x14ac:dyDescent="0.25">
      <c r="A1046" s="42">
        <v>810</v>
      </c>
      <c r="B1046" s="43">
        <v>157</v>
      </c>
      <c r="C1046" s="42" t="s">
        <v>1384</v>
      </c>
    </row>
    <row r="1047" spans="1:3" x14ac:dyDescent="0.25">
      <c r="A1047" s="42">
        <v>810</v>
      </c>
      <c r="B1047" s="43">
        <v>157</v>
      </c>
      <c r="C1047" s="42" t="s">
        <v>1384</v>
      </c>
    </row>
    <row r="1048" spans="1:3" x14ac:dyDescent="0.25">
      <c r="A1048" s="42">
        <v>811</v>
      </c>
      <c r="B1048" s="43">
        <v>240</v>
      </c>
      <c r="C1048" s="42" t="s">
        <v>1384</v>
      </c>
    </row>
    <row r="1049" spans="1:3" x14ac:dyDescent="0.25">
      <c r="A1049" s="42">
        <v>811</v>
      </c>
      <c r="B1049" s="43">
        <v>240</v>
      </c>
      <c r="C1049" s="42" t="s">
        <v>1384</v>
      </c>
    </row>
    <row r="1050" spans="1:3" x14ac:dyDescent="0.25">
      <c r="A1050" s="42">
        <v>812</v>
      </c>
      <c r="B1050" s="43">
        <v>216</v>
      </c>
      <c r="C1050" s="42" t="s">
        <v>1384</v>
      </c>
    </row>
    <row r="1051" spans="1:3" x14ac:dyDescent="0.25">
      <c r="A1051" s="42">
        <v>812</v>
      </c>
      <c r="B1051" s="43">
        <v>216</v>
      </c>
      <c r="C1051" s="42" t="s">
        <v>1384</v>
      </c>
    </row>
    <row r="1052" spans="1:3" x14ac:dyDescent="0.25">
      <c r="A1052" s="42">
        <v>813</v>
      </c>
      <c r="B1052" s="43"/>
      <c r="C1052" s="42" t="s">
        <v>1384</v>
      </c>
    </row>
    <row r="1053" spans="1:3" x14ac:dyDescent="0.25">
      <c r="A1053" s="42">
        <v>814</v>
      </c>
      <c r="B1053" s="43"/>
      <c r="C1053" s="42" t="s">
        <v>1384</v>
      </c>
    </row>
    <row r="1054" spans="1:3" x14ac:dyDescent="0.25">
      <c r="A1054" s="42">
        <v>814</v>
      </c>
      <c r="B1054" s="43">
        <v>308</v>
      </c>
      <c r="C1054" s="42" t="s">
        <v>1384</v>
      </c>
    </row>
    <row r="1055" spans="1:3" x14ac:dyDescent="0.25">
      <c r="A1055" s="42">
        <v>814</v>
      </c>
      <c r="B1055" s="43">
        <v>308</v>
      </c>
      <c r="C1055" s="42" t="s">
        <v>1384</v>
      </c>
    </row>
    <row r="1056" spans="1:3" x14ac:dyDescent="0.25">
      <c r="A1056" s="42">
        <v>814</v>
      </c>
      <c r="B1056" s="43">
        <v>308</v>
      </c>
      <c r="C1056" s="42" t="s">
        <v>1384</v>
      </c>
    </row>
    <row r="1057" spans="1:3" x14ac:dyDescent="0.25">
      <c r="A1057" s="42">
        <v>815</v>
      </c>
      <c r="B1057" s="43">
        <v>587.62</v>
      </c>
      <c r="C1057" s="42" t="s">
        <v>1384</v>
      </c>
    </row>
    <row r="1058" spans="1:3" x14ac:dyDescent="0.25">
      <c r="A1058" s="42">
        <v>815</v>
      </c>
      <c r="B1058" s="43">
        <v>587.62</v>
      </c>
      <c r="C1058" s="42" t="s">
        <v>1384</v>
      </c>
    </row>
    <row r="1059" spans="1:3" x14ac:dyDescent="0.25">
      <c r="A1059" s="42">
        <v>815</v>
      </c>
      <c r="B1059" s="43">
        <v>587.62</v>
      </c>
      <c r="C1059" s="42" t="s">
        <v>1384</v>
      </c>
    </row>
    <row r="1060" spans="1:3" x14ac:dyDescent="0.25">
      <c r="A1060" s="42">
        <v>815</v>
      </c>
      <c r="B1060" s="43">
        <v>587.62</v>
      </c>
      <c r="C1060" s="42" t="s">
        <v>1384</v>
      </c>
    </row>
    <row r="1061" spans="1:3" x14ac:dyDescent="0.25">
      <c r="A1061" s="42">
        <v>815</v>
      </c>
      <c r="B1061" s="43">
        <v>587.62</v>
      </c>
      <c r="C1061" s="42" t="s">
        <v>1384</v>
      </c>
    </row>
    <row r="1062" spans="1:3" x14ac:dyDescent="0.25">
      <c r="A1062" s="42">
        <v>816</v>
      </c>
      <c r="B1062" s="43"/>
      <c r="C1062" s="42" t="s">
        <v>1384</v>
      </c>
    </row>
    <row r="1063" spans="1:3" x14ac:dyDescent="0.25">
      <c r="A1063" s="42">
        <v>817</v>
      </c>
      <c r="B1063" s="43"/>
      <c r="C1063" s="42" t="s">
        <v>1384</v>
      </c>
    </row>
    <row r="1064" spans="1:3" x14ac:dyDescent="0.25">
      <c r="A1064" s="42">
        <v>818</v>
      </c>
      <c r="B1064" s="43"/>
      <c r="C1064" s="42" t="s">
        <v>1384</v>
      </c>
    </row>
    <row r="1065" spans="1:3" x14ac:dyDescent="0.25">
      <c r="A1065" s="42">
        <v>819</v>
      </c>
      <c r="B1065" s="43"/>
      <c r="C1065" s="42" t="s">
        <v>1384</v>
      </c>
    </row>
    <row r="1066" spans="1:3" x14ac:dyDescent="0.25">
      <c r="A1066" s="42">
        <v>820</v>
      </c>
      <c r="B1066" s="43"/>
      <c r="C1066" s="42" t="s">
        <v>1384</v>
      </c>
    </row>
    <row r="1067" spans="1:3" x14ac:dyDescent="0.25">
      <c r="A1067" s="42">
        <v>821</v>
      </c>
      <c r="B1067" s="43"/>
      <c r="C1067" s="42" t="s">
        <v>1384</v>
      </c>
    </row>
    <row r="1068" spans="1:3" x14ac:dyDescent="0.25">
      <c r="A1068" s="42">
        <v>822</v>
      </c>
      <c r="B1068" s="43"/>
      <c r="C1068" s="42" t="s">
        <v>1384</v>
      </c>
    </row>
    <row r="1069" spans="1:3" x14ac:dyDescent="0.25">
      <c r="A1069" s="42">
        <v>822</v>
      </c>
      <c r="B1069" s="43"/>
      <c r="C1069" s="42" t="s">
        <v>1384</v>
      </c>
    </row>
    <row r="1070" spans="1:3" x14ac:dyDescent="0.25">
      <c r="A1070" s="42">
        <v>823</v>
      </c>
      <c r="B1070" s="43"/>
      <c r="C1070" s="42" t="s">
        <v>1384</v>
      </c>
    </row>
    <row r="1071" spans="1:3" x14ac:dyDescent="0.25">
      <c r="A1071" s="42">
        <v>824</v>
      </c>
      <c r="B1071" s="43">
        <v>1050</v>
      </c>
      <c r="C1071" s="42" t="s">
        <v>1384</v>
      </c>
    </row>
    <row r="1072" spans="1:3" x14ac:dyDescent="0.25">
      <c r="A1072" s="42">
        <v>824</v>
      </c>
      <c r="B1072" s="43">
        <v>1050</v>
      </c>
      <c r="C1072" s="42" t="s">
        <v>1384</v>
      </c>
    </row>
    <row r="1073" spans="1:3" x14ac:dyDescent="0.25">
      <c r="A1073" s="42">
        <v>824</v>
      </c>
      <c r="B1073" s="43">
        <v>1050</v>
      </c>
      <c r="C1073" s="42" t="s">
        <v>1384</v>
      </c>
    </row>
    <row r="1074" spans="1:3" x14ac:dyDescent="0.25">
      <c r="A1074" s="42">
        <v>824</v>
      </c>
      <c r="B1074" s="43">
        <v>1050</v>
      </c>
      <c r="C1074" s="42" t="s">
        <v>1384</v>
      </c>
    </row>
    <row r="1075" spans="1:3" x14ac:dyDescent="0.25">
      <c r="A1075" s="42">
        <v>825</v>
      </c>
      <c r="B1075" s="43"/>
      <c r="C1075" s="42" t="s">
        <v>1384</v>
      </c>
    </row>
    <row r="1076" spans="1:3" x14ac:dyDescent="0.25">
      <c r="A1076" s="42">
        <v>825</v>
      </c>
      <c r="B1076" s="43"/>
      <c r="C1076" s="42" t="s">
        <v>1384</v>
      </c>
    </row>
    <row r="1077" spans="1:3" x14ac:dyDescent="0.25">
      <c r="A1077" s="42">
        <v>826</v>
      </c>
      <c r="B1077" s="43"/>
      <c r="C1077" s="42" t="s">
        <v>1384</v>
      </c>
    </row>
    <row r="1078" spans="1:3" x14ac:dyDescent="0.25">
      <c r="A1078" s="42">
        <v>827</v>
      </c>
      <c r="B1078" s="43"/>
      <c r="C1078" s="42" t="s">
        <v>1384</v>
      </c>
    </row>
    <row r="1079" spans="1:3" x14ac:dyDescent="0.25">
      <c r="A1079" s="42">
        <v>828</v>
      </c>
      <c r="B1079" s="43"/>
      <c r="C1079" s="42" t="s">
        <v>1384</v>
      </c>
    </row>
    <row r="1080" spans="1:3" x14ac:dyDescent="0.25">
      <c r="A1080" s="42">
        <v>829</v>
      </c>
      <c r="B1080" s="43">
        <v>915</v>
      </c>
      <c r="C1080" s="42" t="s">
        <v>1384</v>
      </c>
    </row>
    <row r="1081" spans="1:3" x14ac:dyDescent="0.25">
      <c r="A1081" s="42">
        <v>830</v>
      </c>
      <c r="B1081" s="43"/>
      <c r="C1081" s="42" t="s">
        <v>1384</v>
      </c>
    </row>
    <row r="1082" spans="1:3" x14ac:dyDescent="0.25">
      <c r="A1082" s="42">
        <v>831</v>
      </c>
      <c r="B1082" s="43"/>
      <c r="C1082" s="42" t="s">
        <v>1384</v>
      </c>
    </row>
    <row r="1083" spans="1:3" x14ac:dyDescent="0.25">
      <c r="A1083" s="42">
        <v>832</v>
      </c>
      <c r="B1083" s="43"/>
      <c r="C1083" s="42" t="s">
        <v>1384</v>
      </c>
    </row>
    <row r="1084" spans="1:3" x14ac:dyDescent="0.25">
      <c r="A1084" s="42">
        <v>833</v>
      </c>
      <c r="B1084" s="43"/>
      <c r="C1084" s="42" t="s">
        <v>1384</v>
      </c>
    </row>
    <row r="1085" spans="1:3" x14ac:dyDescent="0.25">
      <c r="A1085" s="42">
        <v>835</v>
      </c>
      <c r="B1085" s="43"/>
      <c r="C1085" s="42" t="s">
        <v>1384</v>
      </c>
    </row>
    <row r="1086" spans="1:3" x14ac:dyDescent="0.25">
      <c r="A1086" s="42">
        <v>836</v>
      </c>
      <c r="B1086" s="43"/>
      <c r="C1086" s="42" t="s">
        <v>1384</v>
      </c>
    </row>
    <row r="1087" spans="1:3" x14ac:dyDescent="0.25">
      <c r="A1087" s="42">
        <v>837</v>
      </c>
      <c r="B1087" s="43"/>
      <c r="C1087" s="42" t="s">
        <v>1384</v>
      </c>
    </row>
    <row r="1088" spans="1:3" x14ac:dyDescent="0.25">
      <c r="A1088" s="42">
        <v>838</v>
      </c>
      <c r="B1088" s="43"/>
      <c r="C1088" s="42" t="s">
        <v>1384</v>
      </c>
    </row>
    <row r="1089" spans="1:3" x14ac:dyDescent="0.25">
      <c r="A1089" s="42">
        <v>839</v>
      </c>
      <c r="B1089" s="43"/>
      <c r="C1089" s="42" t="s">
        <v>1384</v>
      </c>
    </row>
    <row r="1090" spans="1:3" x14ac:dyDescent="0.25">
      <c r="A1090" s="42">
        <v>840</v>
      </c>
      <c r="B1090" s="43"/>
      <c r="C1090" s="42" t="s">
        <v>1384</v>
      </c>
    </row>
    <row r="1091" spans="1:3" x14ac:dyDescent="0.25">
      <c r="A1091" s="42">
        <v>841</v>
      </c>
      <c r="B1091" s="43"/>
      <c r="C1091" s="42" t="s">
        <v>1384</v>
      </c>
    </row>
    <row r="1092" spans="1:3" x14ac:dyDescent="0.25">
      <c r="A1092" s="42">
        <v>841</v>
      </c>
      <c r="B1092" s="43"/>
      <c r="C1092" s="42" t="s">
        <v>1384</v>
      </c>
    </row>
    <row r="1093" spans="1:3" x14ac:dyDescent="0.25">
      <c r="A1093" s="42">
        <v>841</v>
      </c>
      <c r="B1093" s="43"/>
      <c r="C1093" s="42" t="s">
        <v>1384</v>
      </c>
    </row>
    <row r="1094" spans="1:3" x14ac:dyDescent="0.25">
      <c r="A1094" s="42">
        <v>841</v>
      </c>
      <c r="B1094" s="43"/>
      <c r="C1094" s="42" t="s">
        <v>1384</v>
      </c>
    </row>
    <row r="1095" spans="1:3" x14ac:dyDescent="0.25">
      <c r="A1095" s="42">
        <v>842</v>
      </c>
      <c r="B1095" s="43">
        <v>300</v>
      </c>
      <c r="C1095" s="42" t="s">
        <v>1384</v>
      </c>
    </row>
    <row r="1096" spans="1:3" x14ac:dyDescent="0.25">
      <c r="A1096" s="42">
        <v>842</v>
      </c>
      <c r="B1096" s="43">
        <v>300</v>
      </c>
      <c r="C1096" s="42" t="s">
        <v>1384</v>
      </c>
    </row>
    <row r="1097" spans="1:3" x14ac:dyDescent="0.25">
      <c r="A1097" s="42">
        <v>842</v>
      </c>
      <c r="B1097" s="43">
        <v>300</v>
      </c>
      <c r="C1097" s="42" t="s">
        <v>1384</v>
      </c>
    </row>
    <row r="1098" spans="1:3" x14ac:dyDescent="0.25">
      <c r="A1098" s="42">
        <v>842</v>
      </c>
      <c r="B1098" s="43">
        <v>300</v>
      </c>
      <c r="C1098" s="42" t="s">
        <v>1384</v>
      </c>
    </row>
    <row r="1099" spans="1:3" x14ac:dyDescent="0.25">
      <c r="A1099" s="42">
        <v>843</v>
      </c>
      <c r="B1099" s="43"/>
      <c r="C1099" s="42" t="s">
        <v>1384</v>
      </c>
    </row>
    <row r="1100" spans="1:3" x14ac:dyDescent="0.25">
      <c r="A1100" s="42">
        <v>844</v>
      </c>
      <c r="B1100" s="43"/>
      <c r="C1100" s="42" t="s">
        <v>1384</v>
      </c>
    </row>
    <row r="1101" spans="1:3" x14ac:dyDescent="0.25">
      <c r="A1101" s="42">
        <v>845</v>
      </c>
      <c r="B1101" s="43"/>
      <c r="C1101" s="42" t="s">
        <v>1384</v>
      </c>
    </row>
    <row r="1102" spans="1:3" x14ac:dyDescent="0.25">
      <c r="A1102" s="42">
        <v>845</v>
      </c>
      <c r="B1102" s="43"/>
      <c r="C1102" s="42" t="s">
        <v>1384</v>
      </c>
    </row>
    <row r="1103" spans="1:3" x14ac:dyDescent="0.25">
      <c r="A1103" s="42">
        <v>845</v>
      </c>
      <c r="B1103" s="43"/>
      <c r="C1103" s="42" t="s">
        <v>1384</v>
      </c>
    </row>
    <row r="1104" spans="1:3" x14ac:dyDescent="0.25">
      <c r="A1104" s="42">
        <v>846</v>
      </c>
      <c r="B1104" s="43"/>
      <c r="C1104" s="42" t="s">
        <v>1384</v>
      </c>
    </row>
    <row r="1105" spans="1:3" x14ac:dyDescent="0.25">
      <c r="A1105" s="42">
        <v>847</v>
      </c>
      <c r="B1105" s="43"/>
      <c r="C1105" s="42" t="s">
        <v>1384</v>
      </c>
    </row>
    <row r="1106" spans="1:3" x14ac:dyDescent="0.25">
      <c r="A1106" s="42">
        <v>847</v>
      </c>
      <c r="B1106" s="43"/>
      <c r="C1106" s="42" t="s">
        <v>1384</v>
      </c>
    </row>
    <row r="1107" spans="1:3" x14ac:dyDescent="0.25">
      <c r="A1107" s="42">
        <v>848</v>
      </c>
      <c r="B1107" s="43"/>
      <c r="C1107" s="42" t="s">
        <v>1384</v>
      </c>
    </row>
    <row r="1108" spans="1:3" x14ac:dyDescent="0.25">
      <c r="A1108" s="42">
        <v>848</v>
      </c>
      <c r="B1108" s="43"/>
      <c r="C1108" s="42" t="s">
        <v>1384</v>
      </c>
    </row>
    <row r="1109" spans="1:3" x14ac:dyDescent="0.25">
      <c r="A1109" s="42">
        <v>849</v>
      </c>
      <c r="B1109" s="43"/>
      <c r="C1109" s="42" t="s">
        <v>1384</v>
      </c>
    </row>
    <row r="1110" spans="1:3" x14ac:dyDescent="0.25">
      <c r="A1110" s="42">
        <v>850</v>
      </c>
      <c r="B1110" s="43"/>
      <c r="C1110" s="42" t="s">
        <v>1384</v>
      </c>
    </row>
    <row r="1111" spans="1:3" x14ac:dyDescent="0.25">
      <c r="A1111" s="42">
        <v>851</v>
      </c>
      <c r="B1111" s="43"/>
      <c r="C1111" s="42" t="s">
        <v>1384</v>
      </c>
    </row>
    <row r="1112" spans="1:3" x14ac:dyDescent="0.25">
      <c r="A1112" s="42">
        <v>851</v>
      </c>
      <c r="B1112" s="43"/>
      <c r="C1112" s="42" t="s">
        <v>1384</v>
      </c>
    </row>
    <row r="1113" spans="1:3" x14ac:dyDescent="0.25">
      <c r="A1113" s="42">
        <v>852</v>
      </c>
      <c r="B1113" s="43"/>
      <c r="C1113" s="42" t="s">
        <v>1384</v>
      </c>
    </row>
    <row r="1114" spans="1:3" x14ac:dyDescent="0.25">
      <c r="A1114" s="42">
        <v>853</v>
      </c>
      <c r="B1114" s="43"/>
      <c r="C1114" s="42" t="s">
        <v>1384</v>
      </c>
    </row>
    <row r="1115" spans="1:3" x14ac:dyDescent="0.25">
      <c r="A1115" s="42">
        <v>854</v>
      </c>
      <c r="B1115" s="43"/>
      <c r="C1115" s="42" t="s">
        <v>1384</v>
      </c>
    </row>
    <row r="1116" spans="1:3" x14ac:dyDescent="0.25">
      <c r="A1116" s="42">
        <v>854</v>
      </c>
      <c r="B1116" s="43"/>
      <c r="C1116" s="42" t="s">
        <v>1384</v>
      </c>
    </row>
    <row r="1117" spans="1:3" x14ac:dyDescent="0.25">
      <c r="A1117" s="42">
        <v>854</v>
      </c>
      <c r="B1117" s="43"/>
      <c r="C1117" s="42" t="s">
        <v>1384</v>
      </c>
    </row>
    <row r="1118" spans="1:3" x14ac:dyDescent="0.25">
      <c r="A1118" s="42">
        <v>854</v>
      </c>
      <c r="B1118" s="43"/>
      <c r="C1118" s="42" t="s">
        <v>1384</v>
      </c>
    </row>
    <row r="1119" spans="1:3" x14ac:dyDescent="0.25">
      <c r="A1119" s="42">
        <v>855</v>
      </c>
      <c r="B1119" s="43"/>
      <c r="C1119" s="42" t="s">
        <v>1384</v>
      </c>
    </row>
    <row r="1120" spans="1:3" x14ac:dyDescent="0.25">
      <c r="A1120" s="42">
        <v>856</v>
      </c>
      <c r="B1120" s="43"/>
      <c r="C1120" s="42" t="s">
        <v>1384</v>
      </c>
    </row>
    <row r="1121" spans="1:3" x14ac:dyDescent="0.25">
      <c r="A1121" s="42">
        <v>856</v>
      </c>
      <c r="B1121" s="43"/>
      <c r="C1121" s="42" t="s">
        <v>1384</v>
      </c>
    </row>
    <row r="1122" spans="1:3" x14ac:dyDescent="0.25">
      <c r="A1122" s="42">
        <v>856</v>
      </c>
      <c r="B1122" s="43"/>
      <c r="C1122" s="42" t="s">
        <v>1384</v>
      </c>
    </row>
    <row r="1123" spans="1:3" x14ac:dyDescent="0.25">
      <c r="A1123" s="42">
        <v>856</v>
      </c>
      <c r="B1123" s="43"/>
      <c r="C1123" s="42" t="s">
        <v>1384</v>
      </c>
    </row>
    <row r="1124" spans="1:3" x14ac:dyDescent="0.25">
      <c r="A1124" s="42">
        <v>856</v>
      </c>
      <c r="B1124" s="43"/>
      <c r="C1124" s="42" t="s">
        <v>1384</v>
      </c>
    </row>
    <row r="1125" spans="1:3" x14ac:dyDescent="0.25">
      <c r="A1125" s="42">
        <v>857</v>
      </c>
      <c r="B1125" s="43"/>
      <c r="C1125" s="42" t="s">
        <v>1384</v>
      </c>
    </row>
    <row r="1126" spans="1:3" x14ac:dyDescent="0.25">
      <c r="A1126" s="42">
        <v>857</v>
      </c>
      <c r="B1126" s="43"/>
      <c r="C1126" s="42" t="s">
        <v>1384</v>
      </c>
    </row>
    <row r="1127" spans="1:3" x14ac:dyDescent="0.25">
      <c r="A1127" s="42">
        <v>857</v>
      </c>
      <c r="B1127" s="43"/>
      <c r="C1127" s="42" t="s">
        <v>1384</v>
      </c>
    </row>
    <row r="1128" spans="1:3" x14ac:dyDescent="0.25">
      <c r="A1128" s="42">
        <v>858</v>
      </c>
      <c r="B1128" s="43"/>
      <c r="C1128" s="42" t="s">
        <v>1384</v>
      </c>
    </row>
    <row r="1129" spans="1:3" x14ac:dyDescent="0.25">
      <c r="A1129" s="42">
        <v>859</v>
      </c>
      <c r="B1129" s="43">
        <v>1000</v>
      </c>
      <c r="C1129" s="42" t="s">
        <v>1384</v>
      </c>
    </row>
    <row r="1130" spans="1:3" x14ac:dyDescent="0.25">
      <c r="A1130" s="42">
        <v>859</v>
      </c>
      <c r="B1130" s="43">
        <v>1000</v>
      </c>
      <c r="C1130" s="42" t="s">
        <v>1384</v>
      </c>
    </row>
    <row r="1131" spans="1:3" x14ac:dyDescent="0.25">
      <c r="A1131" s="42">
        <v>860</v>
      </c>
      <c r="B1131" s="43"/>
      <c r="C1131" s="42" t="s">
        <v>1384</v>
      </c>
    </row>
    <row r="1132" spans="1:3" x14ac:dyDescent="0.25">
      <c r="A1132" s="42">
        <v>861</v>
      </c>
      <c r="B1132" s="43"/>
      <c r="C1132" s="42" t="s">
        <v>1384</v>
      </c>
    </row>
    <row r="1133" spans="1:3" x14ac:dyDescent="0.25">
      <c r="A1133" s="42">
        <v>862</v>
      </c>
      <c r="B1133" s="43"/>
      <c r="C1133" s="42" t="s">
        <v>1384</v>
      </c>
    </row>
    <row r="1134" spans="1:3" x14ac:dyDescent="0.25">
      <c r="A1134" s="42">
        <v>862</v>
      </c>
      <c r="B1134" s="43"/>
      <c r="C1134" s="42" t="s">
        <v>1384</v>
      </c>
    </row>
    <row r="1135" spans="1:3" x14ac:dyDescent="0.25">
      <c r="A1135" s="42">
        <v>862</v>
      </c>
      <c r="B1135" s="43"/>
      <c r="C1135" s="42" t="s">
        <v>1384</v>
      </c>
    </row>
    <row r="1136" spans="1:3" x14ac:dyDescent="0.25">
      <c r="A1136" s="42">
        <v>862</v>
      </c>
      <c r="B1136" s="43"/>
      <c r="C1136" s="42" t="s">
        <v>1384</v>
      </c>
    </row>
    <row r="1137" spans="1:3" x14ac:dyDescent="0.25">
      <c r="A1137" s="42">
        <v>862</v>
      </c>
      <c r="B1137" s="43">
        <v>308</v>
      </c>
      <c r="C1137" s="42" t="s">
        <v>1384</v>
      </c>
    </row>
    <row r="1138" spans="1:3" x14ac:dyDescent="0.25">
      <c r="A1138" s="42">
        <v>863</v>
      </c>
      <c r="B1138" s="43"/>
      <c r="C1138" s="42" t="s">
        <v>1384</v>
      </c>
    </row>
    <row r="1139" spans="1:3" x14ac:dyDescent="0.25">
      <c r="A1139" s="42">
        <v>863</v>
      </c>
      <c r="B1139" s="43"/>
      <c r="C1139" s="42" t="s">
        <v>1384</v>
      </c>
    </row>
    <row r="1140" spans="1:3" x14ac:dyDescent="0.25">
      <c r="A1140" s="42">
        <v>864</v>
      </c>
      <c r="B1140" s="43"/>
      <c r="C1140" s="42" t="s">
        <v>1384</v>
      </c>
    </row>
    <row r="1141" spans="1:3" x14ac:dyDescent="0.25">
      <c r="A1141" s="42">
        <v>865</v>
      </c>
      <c r="B1141" s="43"/>
      <c r="C1141" s="42" t="s">
        <v>1384</v>
      </c>
    </row>
    <row r="1142" spans="1:3" x14ac:dyDescent="0.25">
      <c r="A1142" s="42">
        <v>866</v>
      </c>
      <c r="B1142" s="43"/>
      <c r="C1142" s="42" t="s">
        <v>1384</v>
      </c>
    </row>
    <row r="1143" spans="1:3" x14ac:dyDescent="0.25">
      <c r="A1143" s="42">
        <v>867</v>
      </c>
      <c r="B1143" s="43"/>
      <c r="C1143" s="42" t="s">
        <v>1384</v>
      </c>
    </row>
    <row r="1144" spans="1:3" x14ac:dyDescent="0.25">
      <c r="A1144" s="42">
        <v>868</v>
      </c>
      <c r="B1144" s="43"/>
      <c r="C1144" s="42" t="s">
        <v>1384</v>
      </c>
    </row>
    <row r="1145" spans="1:3" x14ac:dyDescent="0.25">
      <c r="A1145" s="42">
        <v>869</v>
      </c>
      <c r="B1145" s="43"/>
      <c r="C1145" s="42" t="s">
        <v>1384</v>
      </c>
    </row>
    <row r="1146" spans="1:3" x14ac:dyDescent="0.25">
      <c r="A1146" s="42">
        <v>870</v>
      </c>
      <c r="B1146" s="43"/>
      <c r="C1146" s="42" t="s">
        <v>1384</v>
      </c>
    </row>
    <row r="1147" spans="1:3" x14ac:dyDescent="0.25">
      <c r="A1147" s="42">
        <v>871</v>
      </c>
      <c r="B1147" s="43"/>
      <c r="C1147" s="42" t="s">
        <v>1384</v>
      </c>
    </row>
    <row r="1148" spans="1:3" x14ac:dyDescent="0.25">
      <c r="A1148" s="42">
        <v>872</v>
      </c>
      <c r="B1148" s="43"/>
      <c r="C1148" s="42" t="s">
        <v>1384</v>
      </c>
    </row>
    <row r="1149" spans="1:3" x14ac:dyDescent="0.25">
      <c r="A1149" s="42">
        <v>873</v>
      </c>
      <c r="B1149" s="43">
        <v>950</v>
      </c>
      <c r="C1149" s="42" t="s">
        <v>1384</v>
      </c>
    </row>
    <row r="1150" spans="1:3" x14ac:dyDescent="0.25">
      <c r="A1150" s="42">
        <v>873</v>
      </c>
      <c r="B1150" s="43">
        <v>950</v>
      </c>
      <c r="C1150" s="42" t="s">
        <v>1384</v>
      </c>
    </row>
    <row r="1151" spans="1:3" x14ac:dyDescent="0.25">
      <c r="A1151" s="42">
        <v>874</v>
      </c>
      <c r="B1151" s="43"/>
      <c r="C1151" s="42" t="s">
        <v>1384</v>
      </c>
    </row>
    <row r="1152" spans="1:3" x14ac:dyDescent="0.25">
      <c r="A1152" s="42">
        <v>875</v>
      </c>
      <c r="B1152" s="43"/>
      <c r="C1152" s="42" t="s">
        <v>1384</v>
      </c>
    </row>
    <row r="1153" spans="1:3" x14ac:dyDescent="0.25">
      <c r="A1153" s="42">
        <v>875</v>
      </c>
      <c r="B1153" s="43"/>
      <c r="C1153" s="42" t="s">
        <v>1384</v>
      </c>
    </row>
    <row r="1154" spans="1:3" x14ac:dyDescent="0.25">
      <c r="A1154" s="42">
        <v>875</v>
      </c>
      <c r="B1154" s="43"/>
      <c r="C1154" s="42" t="s">
        <v>1384</v>
      </c>
    </row>
    <row r="1155" spans="1:3" x14ac:dyDescent="0.25">
      <c r="A1155" s="42">
        <v>876</v>
      </c>
      <c r="B1155" s="43"/>
      <c r="C1155" s="42" t="s">
        <v>1384</v>
      </c>
    </row>
    <row r="1156" spans="1:3" x14ac:dyDescent="0.25">
      <c r="A1156" s="42">
        <v>876</v>
      </c>
      <c r="B1156" s="43"/>
      <c r="C1156" s="42" t="s">
        <v>1384</v>
      </c>
    </row>
    <row r="1157" spans="1:3" x14ac:dyDescent="0.25">
      <c r="A1157" s="42">
        <v>876</v>
      </c>
      <c r="B1157" s="43"/>
      <c r="C1157" s="42" t="s">
        <v>1384</v>
      </c>
    </row>
    <row r="1158" spans="1:3" x14ac:dyDescent="0.25">
      <c r="A1158" s="42">
        <v>876</v>
      </c>
      <c r="B1158" s="43"/>
      <c r="C1158" s="42" t="s">
        <v>1384</v>
      </c>
    </row>
    <row r="1159" spans="1:3" x14ac:dyDescent="0.25">
      <c r="A1159" s="42">
        <v>876</v>
      </c>
      <c r="B1159" s="43"/>
      <c r="C1159" s="42" t="s">
        <v>1384</v>
      </c>
    </row>
    <row r="1160" spans="1:3" x14ac:dyDescent="0.25">
      <c r="A1160" s="42">
        <v>877</v>
      </c>
      <c r="B1160" s="43"/>
      <c r="C1160" s="42" t="s">
        <v>1384</v>
      </c>
    </row>
    <row r="1161" spans="1:3" x14ac:dyDescent="0.25">
      <c r="A1161" s="42">
        <v>878</v>
      </c>
      <c r="B1161" s="43"/>
      <c r="C1161" s="42" t="s">
        <v>1384</v>
      </c>
    </row>
    <row r="1162" spans="1:3" x14ac:dyDescent="0.25">
      <c r="A1162" s="42">
        <v>879</v>
      </c>
      <c r="B1162" s="43"/>
      <c r="C1162" s="42" t="s">
        <v>1384</v>
      </c>
    </row>
    <row r="1163" spans="1:3" x14ac:dyDescent="0.25">
      <c r="A1163" s="42">
        <v>880</v>
      </c>
      <c r="B1163" s="43"/>
      <c r="C1163" s="42" t="s">
        <v>1384</v>
      </c>
    </row>
    <row r="1164" spans="1:3" x14ac:dyDescent="0.25">
      <c r="A1164" s="42">
        <v>881</v>
      </c>
      <c r="B1164" s="43"/>
      <c r="C1164" s="42" t="s">
        <v>1384</v>
      </c>
    </row>
    <row r="1165" spans="1:3" x14ac:dyDescent="0.25">
      <c r="A1165" s="42">
        <v>882</v>
      </c>
      <c r="B1165" s="43"/>
      <c r="C1165" s="42" t="s">
        <v>1384</v>
      </c>
    </row>
    <row r="1166" spans="1:3" x14ac:dyDescent="0.25">
      <c r="A1166" s="42">
        <v>883</v>
      </c>
      <c r="B1166" s="43"/>
      <c r="C1166" s="42" t="s">
        <v>1384</v>
      </c>
    </row>
    <row r="1167" spans="1:3" x14ac:dyDescent="0.25">
      <c r="A1167" s="42">
        <v>883</v>
      </c>
      <c r="B1167" s="43"/>
      <c r="C1167" s="42" t="s">
        <v>1384</v>
      </c>
    </row>
    <row r="1168" spans="1:3" x14ac:dyDescent="0.25">
      <c r="A1168" s="42">
        <v>883</v>
      </c>
      <c r="B1168" s="43"/>
      <c r="C1168" s="42" t="s">
        <v>1384</v>
      </c>
    </row>
    <row r="1169" spans="1:3" x14ac:dyDescent="0.25">
      <c r="A1169" s="42">
        <v>884</v>
      </c>
      <c r="B1169" s="43"/>
      <c r="C1169" s="42" t="s">
        <v>1384</v>
      </c>
    </row>
    <row r="1170" spans="1:3" x14ac:dyDescent="0.25">
      <c r="A1170" s="42">
        <v>885</v>
      </c>
      <c r="B1170" s="43">
        <v>12.3</v>
      </c>
      <c r="C1170" s="42" t="s">
        <v>1384</v>
      </c>
    </row>
    <row r="1171" spans="1:3" x14ac:dyDescent="0.25">
      <c r="A1171" s="42">
        <v>886</v>
      </c>
      <c r="B1171" s="43"/>
      <c r="C1171" s="42" t="s">
        <v>1384</v>
      </c>
    </row>
    <row r="1172" spans="1:3" x14ac:dyDescent="0.25">
      <c r="A1172" s="42">
        <v>887</v>
      </c>
      <c r="B1172" s="43">
        <v>15</v>
      </c>
      <c r="C1172" s="42" t="s">
        <v>1384</v>
      </c>
    </row>
    <row r="1173" spans="1:3" x14ac:dyDescent="0.25">
      <c r="A1173" s="42">
        <v>888</v>
      </c>
      <c r="B1173" s="43"/>
      <c r="C1173" s="42" t="s">
        <v>1384</v>
      </c>
    </row>
    <row r="1174" spans="1:3" x14ac:dyDescent="0.25">
      <c r="A1174" s="42">
        <v>889</v>
      </c>
      <c r="B1174" s="43"/>
      <c r="C1174" s="42" t="s">
        <v>1384</v>
      </c>
    </row>
    <row r="1175" spans="1:3" x14ac:dyDescent="0.25">
      <c r="A1175" s="42">
        <v>889</v>
      </c>
      <c r="B1175" s="43"/>
      <c r="C1175" s="42" t="s">
        <v>1384</v>
      </c>
    </row>
    <row r="1176" spans="1:3" x14ac:dyDescent="0.25">
      <c r="A1176" s="42">
        <v>890</v>
      </c>
      <c r="B1176" s="43"/>
      <c r="C1176" s="42" t="s">
        <v>1384</v>
      </c>
    </row>
    <row r="1177" spans="1:3" x14ac:dyDescent="0.25">
      <c r="A1177" s="42">
        <v>891</v>
      </c>
      <c r="B1177" s="43"/>
      <c r="C1177" s="42" t="s">
        <v>1384</v>
      </c>
    </row>
    <row r="1178" spans="1:3" x14ac:dyDescent="0.25">
      <c r="A1178" s="42">
        <v>891</v>
      </c>
      <c r="B1178" s="43"/>
      <c r="C1178" s="42" t="s">
        <v>1384</v>
      </c>
    </row>
    <row r="1179" spans="1:3" x14ac:dyDescent="0.25">
      <c r="A1179" s="42">
        <v>892</v>
      </c>
      <c r="B1179" s="43"/>
      <c r="C1179" s="42" t="s">
        <v>1384</v>
      </c>
    </row>
    <row r="1180" spans="1:3" x14ac:dyDescent="0.25">
      <c r="A1180" s="42">
        <v>893</v>
      </c>
      <c r="B1180" s="43"/>
      <c r="C1180" s="42" t="s">
        <v>1384</v>
      </c>
    </row>
    <row r="1181" spans="1:3" x14ac:dyDescent="0.25">
      <c r="A1181" s="42">
        <v>893</v>
      </c>
      <c r="B1181" s="43"/>
      <c r="C1181" s="42" t="s">
        <v>1384</v>
      </c>
    </row>
    <row r="1182" spans="1:3" x14ac:dyDescent="0.25">
      <c r="A1182" s="42">
        <v>893</v>
      </c>
      <c r="B1182" s="43"/>
      <c r="C1182" s="42" t="s">
        <v>1384</v>
      </c>
    </row>
    <row r="1183" spans="1:3" x14ac:dyDescent="0.25">
      <c r="A1183" s="42">
        <v>894</v>
      </c>
      <c r="B1183" s="43"/>
      <c r="C1183" s="42" t="s">
        <v>1384</v>
      </c>
    </row>
    <row r="1184" spans="1:3" x14ac:dyDescent="0.25">
      <c r="A1184" s="42">
        <v>894</v>
      </c>
      <c r="B1184" s="43"/>
      <c r="C1184" s="42" t="s">
        <v>1384</v>
      </c>
    </row>
    <row r="1185" spans="1:3" x14ac:dyDescent="0.25">
      <c r="A1185" s="42">
        <v>895</v>
      </c>
      <c r="B1185" s="43"/>
      <c r="C1185" s="42" t="s">
        <v>1384</v>
      </c>
    </row>
    <row r="1186" spans="1:3" x14ac:dyDescent="0.25">
      <c r="A1186" s="42">
        <v>896</v>
      </c>
      <c r="B1186" s="43"/>
      <c r="C1186" s="42" t="s">
        <v>1384</v>
      </c>
    </row>
    <row r="1187" spans="1:3" x14ac:dyDescent="0.25">
      <c r="A1187" s="42">
        <v>897</v>
      </c>
      <c r="B1187" s="43"/>
      <c r="C1187" s="42" t="s">
        <v>1384</v>
      </c>
    </row>
    <row r="1188" spans="1:3" x14ac:dyDescent="0.25">
      <c r="A1188" s="42">
        <v>897</v>
      </c>
      <c r="B1188" s="43"/>
      <c r="C1188" s="42" t="s">
        <v>1384</v>
      </c>
    </row>
    <row r="1189" spans="1:3" x14ac:dyDescent="0.25">
      <c r="A1189" s="42">
        <v>898</v>
      </c>
      <c r="B1189" s="43"/>
      <c r="C1189" s="42" t="s">
        <v>1384</v>
      </c>
    </row>
    <row r="1190" spans="1:3" x14ac:dyDescent="0.25">
      <c r="A1190" s="42">
        <v>898</v>
      </c>
      <c r="B1190" s="43"/>
      <c r="C1190" s="42" t="s">
        <v>1384</v>
      </c>
    </row>
    <row r="1191" spans="1:3" x14ac:dyDescent="0.25">
      <c r="A1191" s="42">
        <v>899</v>
      </c>
      <c r="B1191" s="43"/>
      <c r="C1191" s="42" t="s">
        <v>1384</v>
      </c>
    </row>
    <row r="1192" spans="1:3" x14ac:dyDescent="0.25">
      <c r="A1192" s="42">
        <v>899</v>
      </c>
      <c r="B1192" s="43"/>
      <c r="C1192" s="42" t="s">
        <v>1384</v>
      </c>
    </row>
    <row r="1193" spans="1:3" x14ac:dyDescent="0.25">
      <c r="A1193" s="42">
        <v>900</v>
      </c>
      <c r="B1193" s="43"/>
      <c r="C1193" s="42" t="s">
        <v>1384</v>
      </c>
    </row>
    <row r="1194" spans="1:3" x14ac:dyDescent="0.25">
      <c r="A1194" s="42">
        <v>901</v>
      </c>
      <c r="B1194" s="43"/>
      <c r="C1194" s="42" t="s">
        <v>1384</v>
      </c>
    </row>
    <row r="1195" spans="1:3" x14ac:dyDescent="0.25">
      <c r="A1195" s="42">
        <v>902</v>
      </c>
      <c r="B1195" s="43"/>
      <c r="C1195" s="42" t="s">
        <v>1384</v>
      </c>
    </row>
    <row r="1196" spans="1:3" x14ac:dyDescent="0.25">
      <c r="A1196" s="42">
        <v>903</v>
      </c>
      <c r="B1196" s="43"/>
      <c r="C1196" s="42" t="s">
        <v>1384</v>
      </c>
    </row>
    <row r="1197" spans="1:3" x14ac:dyDescent="0.25">
      <c r="A1197" s="42">
        <v>904</v>
      </c>
      <c r="B1197" s="43"/>
      <c r="C1197" s="42" t="s">
        <v>1384</v>
      </c>
    </row>
    <row r="1198" spans="1:3" x14ac:dyDescent="0.25">
      <c r="A1198" s="42">
        <v>905</v>
      </c>
      <c r="B1198" s="43"/>
      <c r="C1198" s="42" t="s">
        <v>1384</v>
      </c>
    </row>
    <row r="1199" spans="1:3" x14ac:dyDescent="0.25">
      <c r="A1199" s="42">
        <v>906</v>
      </c>
      <c r="B1199" s="43"/>
      <c r="C1199" s="42" t="s">
        <v>1384</v>
      </c>
    </row>
    <row r="1200" spans="1:3" x14ac:dyDescent="0.25">
      <c r="A1200" s="42">
        <v>907</v>
      </c>
      <c r="B1200" s="43"/>
      <c r="C1200" s="42" t="s">
        <v>1384</v>
      </c>
    </row>
    <row r="1201" spans="1:3" x14ac:dyDescent="0.25">
      <c r="A1201" s="42">
        <v>908</v>
      </c>
      <c r="B1201" s="43"/>
      <c r="C1201" s="42" t="s">
        <v>1384</v>
      </c>
    </row>
    <row r="1202" spans="1:3" x14ac:dyDescent="0.25">
      <c r="A1202" s="42">
        <v>908</v>
      </c>
      <c r="B1202" s="43"/>
      <c r="C1202" s="42" t="s">
        <v>1384</v>
      </c>
    </row>
    <row r="1203" spans="1:3" x14ac:dyDescent="0.25">
      <c r="A1203" s="42">
        <v>909</v>
      </c>
      <c r="B1203" s="43">
        <v>48.8</v>
      </c>
      <c r="C1203" s="42" t="s">
        <v>1384</v>
      </c>
    </row>
    <row r="1204" spans="1:3" x14ac:dyDescent="0.25">
      <c r="A1204" s="42">
        <v>909</v>
      </c>
      <c r="B1204" s="43">
        <v>48.8</v>
      </c>
      <c r="C1204" s="42" t="s">
        <v>1384</v>
      </c>
    </row>
    <row r="1205" spans="1:3" x14ac:dyDescent="0.25">
      <c r="A1205" s="42">
        <v>909</v>
      </c>
      <c r="B1205" s="43">
        <v>48.8</v>
      </c>
      <c r="C1205" s="42" t="s">
        <v>1384</v>
      </c>
    </row>
    <row r="1206" spans="1:3" x14ac:dyDescent="0.25">
      <c r="A1206" s="42">
        <v>910</v>
      </c>
      <c r="B1206" s="43"/>
      <c r="C1206" s="42" t="s">
        <v>1384</v>
      </c>
    </row>
    <row r="1207" spans="1:3" x14ac:dyDescent="0.25">
      <c r="A1207" s="42">
        <v>911</v>
      </c>
      <c r="B1207" s="43"/>
      <c r="C1207" s="42" t="s">
        <v>1384</v>
      </c>
    </row>
    <row r="1208" spans="1:3" x14ac:dyDescent="0.25">
      <c r="A1208" s="42">
        <v>911</v>
      </c>
      <c r="B1208" s="43"/>
      <c r="C1208" s="42" t="s">
        <v>1384</v>
      </c>
    </row>
    <row r="1209" spans="1:3" x14ac:dyDescent="0.25">
      <c r="A1209" s="42">
        <v>912</v>
      </c>
      <c r="B1209" s="43"/>
      <c r="C1209" s="42" t="s">
        <v>1384</v>
      </c>
    </row>
    <row r="1210" spans="1:3" x14ac:dyDescent="0.25">
      <c r="A1210" s="42">
        <v>913</v>
      </c>
      <c r="B1210" s="43"/>
      <c r="C1210" s="42" t="s">
        <v>1384</v>
      </c>
    </row>
    <row r="1211" spans="1:3" x14ac:dyDescent="0.25">
      <c r="A1211" s="42">
        <v>914</v>
      </c>
      <c r="B1211" s="43"/>
      <c r="C1211" s="42" t="s">
        <v>1384</v>
      </c>
    </row>
    <row r="1212" spans="1:3" x14ac:dyDescent="0.25">
      <c r="A1212" s="42">
        <v>915</v>
      </c>
      <c r="B1212" s="43"/>
      <c r="C1212" s="42" t="s">
        <v>1384</v>
      </c>
    </row>
    <row r="1213" spans="1:3" x14ac:dyDescent="0.25">
      <c r="A1213" s="42">
        <v>916</v>
      </c>
      <c r="B1213" s="43"/>
      <c r="C1213" s="42" t="s">
        <v>1384</v>
      </c>
    </row>
    <row r="1214" spans="1:3" x14ac:dyDescent="0.25">
      <c r="A1214" s="42">
        <v>917</v>
      </c>
      <c r="B1214" s="43"/>
      <c r="C1214" s="42" t="s">
        <v>1384</v>
      </c>
    </row>
    <row r="1215" spans="1:3" x14ac:dyDescent="0.25">
      <c r="A1215" s="42">
        <v>918</v>
      </c>
      <c r="B1215" s="43"/>
      <c r="C1215" s="42" t="s">
        <v>1384</v>
      </c>
    </row>
    <row r="1216" spans="1:3" x14ac:dyDescent="0.25">
      <c r="A1216" s="42">
        <v>919</v>
      </c>
      <c r="B1216" s="43"/>
      <c r="C1216" s="42" t="s">
        <v>1384</v>
      </c>
    </row>
    <row r="1217" spans="1:3" x14ac:dyDescent="0.25">
      <c r="A1217" s="42">
        <v>920</v>
      </c>
      <c r="B1217" s="43"/>
      <c r="C1217" s="42" t="s">
        <v>1384</v>
      </c>
    </row>
    <row r="1218" spans="1:3" x14ac:dyDescent="0.25">
      <c r="A1218" s="42">
        <v>921</v>
      </c>
      <c r="B1218" s="43"/>
      <c r="C1218" s="42" t="s">
        <v>1384</v>
      </c>
    </row>
    <row r="1219" spans="1:3" x14ac:dyDescent="0.25">
      <c r="A1219" s="42">
        <v>922</v>
      </c>
      <c r="B1219" s="43"/>
      <c r="C1219" s="42" t="s">
        <v>1384</v>
      </c>
    </row>
    <row r="1220" spans="1:3" x14ac:dyDescent="0.25">
      <c r="A1220" s="42">
        <v>922</v>
      </c>
      <c r="B1220" s="43"/>
      <c r="C1220" s="42" t="s">
        <v>1384</v>
      </c>
    </row>
    <row r="1221" spans="1:3" x14ac:dyDescent="0.25">
      <c r="A1221" s="42">
        <v>922</v>
      </c>
      <c r="B1221" s="43"/>
      <c r="C1221" s="42" t="s">
        <v>1384</v>
      </c>
    </row>
    <row r="1222" spans="1:3" x14ac:dyDescent="0.25">
      <c r="A1222" s="42">
        <v>923</v>
      </c>
      <c r="B1222" s="43"/>
      <c r="C1222" s="42" t="s">
        <v>1384</v>
      </c>
    </row>
    <row r="1223" spans="1:3" x14ac:dyDescent="0.25">
      <c r="A1223" s="42">
        <v>924</v>
      </c>
      <c r="B1223" s="43"/>
      <c r="C1223" s="42" t="s">
        <v>1384</v>
      </c>
    </row>
    <row r="1224" spans="1:3" x14ac:dyDescent="0.25">
      <c r="A1224" s="42">
        <v>925</v>
      </c>
      <c r="B1224" s="43"/>
      <c r="C1224" s="42" t="s">
        <v>1384</v>
      </c>
    </row>
    <row r="1225" spans="1:3" x14ac:dyDescent="0.25">
      <c r="A1225" s="42">
        <v>926</v>
      </c>
      <c r="B1225" s="43"/>
      <c r="C1225" s="42" t="s">
        <v>1384</v>
      </c>
    </row>
    <row r="1226" spans="1:3" x14ac:dyDescent="0.25">
      <c r="A1226" s="42">
        <v>927</v>
      </c>
      <c r="B1226" s="43">
        <v>1000</v>
      </c>
      <c r="C1226" s="42" t="s">
        <v>1384</v>
      </c>
    </row>
    <row r="1227" spans="1:3" x14ac:dyDescent="0.25">
      <c r="A1227" s="42">
        <v>927</v>
      </c>
      <c r="B1227" s="43">
        <v>1000</v>
      </c>
      <c r="C1227" s="42" t="s">
        <v>1384</v>
      </c>
    </row>
    <row r="1228" spans="1:3" x14ac:dyDescent="0.25">
      <c r="A1228" s="42">
        <v>928</v>
      </c>
      <c r="B1228" s="43">
        <v>163</v>
      </c>
      <c r="C1228" s="42" t="s">
        <v>1384</v>
      </c>
    </row>
    <row r="1229" spans="1:3" x14ac:dyDescent="0.25">
      <c r="A1229" s="42">
        <v>928</v>
      </c>
      <c r="B1229" s="43">
        <v>163</v>
      </c>
      <c r="C1229" s="42" t="s">
        <v>1384</v>
      </c>
    </row>
    <row r="1230" spans="1:3" x14ac:dyDescent="0.25">
      <c r="A1230" s="42">
        <v>928</v>
      </c>
      <c r="B1230" s="43">
        <v>163</v>
      </c>
      <c r="C1230" s="42" t="s">
        <v>1384</v>
      </c>
    </row>
    <row r="1231" spans="1:3" x14ac:dyDescent="0.25">
      <c r="A1231" s="42">
        <v>928</v>
      </c>
      <c r="B1231" s="43">
        <v>163</v>
      </c>
      <c r="C1231" s="42" t="s">
        <v>1384</v>
      </c>
    </row>
    <row r="1232" spans="1:3" x14ac:dyDescent="0.25">
      <c r="A1232" s="42">
        <v>929</v>
      </c>
      <c r="B1232" s="43"/>
      <c r="C1232" s="42" t="s">
        <v>1384</v>
      </c>
    </row>
    <row r="1233" spans="1:3" x14ac:dyDescent="0.25">
      <c r="A1233" s="42">
        <v>930</v>
      </c>
      <c r="B1233" s="43"/>
      <c r="C1233" s="42" t="s">
        <v>1384</v>
      </c>
    </row>
    <row r="1234" spans="1:3" x14ac:dyDescent="0.25">
      <c r="A1234" s="42">
        <v>931</v>
      </c>
      <c r="B1234" s="43">
        <v>101.9</v>
      </c>
      <c r="C1234" s="42" t="s">
        <v>1384</v>
      </c>
    </row>
    <row r="1235" spans="1:3" x14ac:dyDescent="0.25">
      <c r="A1235" s="42">
        <v>931</v>
      </c>
      <c r="B1235" s="43">
        <v>101.9</v>
      </c>
      <c r="C1235" s="42" t="s">
        <v>1384</v>
      </c>
    </row>
    <row r="1236" spans="1:3" x14ac:dyDescent="0.25">
      <c r="A1236" s="42">
        <v>931</v>
      </c>
      <c r="B1236" s="43">
        <v>101.9</v>
      </c>
      <c r="C1236" s="42" t="s">
        <v>1384</v>
      </c>
    </row>
    <row r="1237" spans="1:3" x14ac:dyDescent="0.25">
      <c r="A1237" s="42">
        <v>932</v>
      </c>
      <c r="B1237" s="43"/>
      <c r="C1237" s="42" t="s">
        <v>1384</v>
      </c>
    </row>
    <row r="1238" spans="1:3" x14ac:dyDescent="0.25">
      <c r="A1238" s="42">
        <v>932</v>
      </c>
      <c r="B1238" s="43"/>
      <c r="C1238" s="42" t="s">
        <v>1384</v>
      </c>
    </row>
    <row r="1239" spans="1:3" x14ac:dyDescent="0.25">
      <c r="A1239" s="42">
        <v>933</v>
      </c>
      <c r="B1239" s="43"/>
      <c r="C1239" s="42" t="s">
        <v>1384</v>
      </c>
    </row>
    <row r="1240" spans="1:3" x14ac:dyDescent="0.25">
      <c r="A1240" s="42">
        <v>934</v>
      </c>
      <c r="B1240" s="43"/>
      <c r="C1240" s="42" t="s">
        <v>1384</v>
      </c>
    </row>
    <row r="1241" spans="1:3" x14ac:dyDescent="0.25">
      <c r="A1241" s="42">
        <v>935</v>
      </c>
      <c r="B1241" s="43"/>
      <c r="C1241" s="42" t="s">
        <v>1384</v>
      </c>
    </row>
    <row r="1242" spans="1:3" x14ac:dyDescent="0.25">
      <c r="A1242" s="42">
        <v>936</v>
      </c>
      <c r="B1242" s="43"/>
      <c r="C1242" s="42" t="s">
        <v>1384</v>
      </c>
    </row>
    <row r="1243" spans="1:3" x14ac:dyDescent="0.25">
      <c r="A1243" s="42">
        <v>936</v>
      </c>
      <c r="B1243" s="43"/>
      <c r="C1243" s="42" t="s">
        <v>1384</v>
      </c>
    </row>
    <row r="1244" spans="1:3" x14ac:dyDescent="0.25">
      <c r="A1244" s="42">
        <v>936</v>
      </c>
      <c r="B1244" s="43"/>
      <c r="C1244" s="42" t="s">
        <v>1384</v>
      </c>
    </row>
    <row r="1245" spans="1:3" x14ac:dyDescent="0.25">
      <c r="A1245" s="42">
        <v>936</v>
      </c>
      <c r="B1245" s="43"/>
      <c r="C1245" s="42" t="s">
        <v>1384</v>
      </c>
    </row>
    <row r="1246" spans="1:3" x14ac:dyDescent="0.25">
      <c r="A1246" s="42">
        <v>937</v>
      </c>
      <c r="B1246" s="43">
        <v>96.99</v>
      </c>
      <c r="C1246" s="42" t="s">
        <v>1384</v>
      </c>
    </row>
    <row r="1247" spans="1:3" x14ac:dyDescent="0.25">
      <c r="A1247" s="42">
        <v>938</v>
      </c>
      <c r="B1247" s="43"/>
      <c r="C1247" s="42" t="s">
        <v>1384</v>
      </c>
    </row>
    <row r="1248" spans="1:3" x14ac:dyDescent="0.25">
      <c r="A1248" s="42">
        <v>938</v>
      </c>
      <c r="B1248" s="43"/>
      <c r="C1248" s="42" t="s">
        <v>1384</v>
      </c>
    </row>
    <row r="1249" spans="1:3" x14ac:dyDescent="0.25">
      <c r="A1249" s="42">
        <v>938</v>
      </c>
      <c r="B1249" s="43"/>
      <c r="C1249" s="42" t="s">
        <v>1384</v>
      </c>
    </row>
    <row r="1250" spans="1:3" x14ac:dyDescent="0.25">
      <c r="A1250" s="42">
        <v>939</v>
      </c>
      <c r="B1250" s="43">
        <v>550</v>
      </c>
      <c r="C1250" s="42" t="s">
        <v>1384</v>
      </c>
    </row>
    <row r="1251" spans="1:3" x14ac:dyDescent="0.25">
      <c r="A1251" s="42">
        <v>940</v>
      </c>
      <c r="B1251" s="43"/>
      <c r="C1251" s="42" t="s">
        <v>1384</v>
      </c>
    </row>
    <row r="1252" spans="1:3" x14ac:dyDescent="0.25">
      <c r="A1252" s="42">
        <v>941</v>
      </c>
      <c r="B1252" s="43"/>
      <c r="C1252" s="42" t="s">
        <v>1384</v>
      </c>
    </row>
    <row r="1253" spans="1:3" x14ac:dyDescent="0.25">
      <c r="A1253" s="42">
        <v>942</v>
      </c>
      <c r="B1253" s="43"/>
      <c r="C1253" s="42" t="s">
        <v>1384</v>
      </c>
    </row>
    <row r="1254" spans="1:3" x14ac:dyDescent="0.25">
      <c r="A1254" s="42">
        <v>943</v>
      </c>
      <c r="B1254" s="43"/>
      <c r="C1254" s="42" t="s">
        <v>1384</v>
      </c>
    </row>
    <row r="1255" spans="1:3" x14ac:dyDescent="0.25">
      <c r="A1255" s="42">
        <v>943</v>
      </c>
      <c r="B1255" s="43"/>
      <c r="C1255" s="42" t="s">
        <v>1384</v>
      </c>
    </row>
    <row r="1256" spans="1:3" x14ac:dyDescent="0.25">
      <c r="A1256" s="42">
        <v>944</v>
      </c>
      <c r="B1256" s="43"/>
      <c r="C1256" s="42" t="s">
        <v>1384</v>
      </c>
    </row>
    <row r="1257" spans="1:3" x14ac:dyDescent="0.25">
      <c r="A1257" s="42">
        <v>945</v>
      </c>
      <c r="B1257" s="43"/>
      <c r="C1257" s="42" t="s">
        <v>1384</v>
      </c>
    </row>
    <row r="1258" spans="1:3" x14ac:dyDescent="0.25">
      <c r="A1258" s="42">
        <v>945</v>
      </c>
      <c r="B1258" s="43"/>
      <c r="C1258" s="42" t="s">
        <v>1384</v>
      </c>
    </row>
    <row r="1259" spans="1:3" x14ac:dyDescent="0.25">
      <c r="A1259" s="42">
        <v>946</v>
      </c>
      <c r="B1259" s="43"/>
      <c r="C1259" s="42" t="s">
        <v>1384</v>
      </c>
    </row>
    <row r="1260" spans="1:3" x14ac:dyDescent="0.25">
      <c r="A1260" s="42">
        <v>946</v>
      </c>
      <c r="B1260" s="43"/>
      <c r="C1260" s="42" t="s">
        <v>1384</v>
      </c>
    </row>
    <row r="1261" spans="1:3" x14ac:dyDescent="0.25">
      <c r="A1261" s="42">
        <v>946</v>
      </c>
      <c r="B1261" s="43"/>
      <c r="C1261" s="42" t="s">
        <v>1384</v>
      </c>
    </row>
    <row r="1262" spans="1:3" x14ac:dyDescent="0.25">
      <c r="A1262" s="42">
        <v>947</v>
      </c>
      <c r="B1262" s="43"/>
      <c r="C1262" s="42" t="s">
        <v>1384</v>
      </c>
    </row>
    <row r="1263" spans="1:3" x14ac:dyDescent="0.25">
      <c r="A1263" s="42">
        <v>948</v>
      </c>
      <c r="B1263" s="43"/>
      <c r="C1263" s="42" t="s">
        <v>1384</v>
      </c>
    </row>
    <row r="1264" spans="1:3" x14ac:dyDescent="0.25">
      <c r="A1264" s="42">
        <v>949</v>
      </c>
      <c r="B1264" s="43"/>
      <c r="C1264" s="42" t="s">
        <v>1384</v>
      </c>
    </row>
    <row r="1265" spans="1:3" x14ac:dyDescent="0.25">
      <c r="A1265" s="42">
        <v>950</v>
      </c>
      <c r="B1265" s="43">
        <v>145</v>
      </c>
      <c r="C1265" s="42" t="s">
        <v>1384</v>
      </c>
    </row>
    <row r="1266" spans="1:3" x14ac:dyDescent="0.25">
      <c r="A1266" s="42">
        <v>950</v>
      </c>
      <c r="B1266" s="43">
        <v>145</v>
      </c>
      <c r="C1266" s="42" t="s">
        <v>1384</v>
      </c>
    </row>
    <row r="1267" spans="1:3" x14ac:dyDescent="0.25">
      <c r="A1267" s="42">
        <v>950</v>
      </c>
      <c r="B1267" s="43">
        <v>145</v>
      </c>
      <c r="C1267" s="42" t="s">
        <v>1384</v>
      </c>
    </row>
    <row r="1268" spans="1:3" x14ac:dyDescent="0.25">
      <c r="A1268" s="42">
        <v>950</v>
      </c>
      <c r="B1268" s="43">
        <v>145</v>
      </c>
      <c r="C1268" s="42" t="s">
        <v>1384</v>
      </c>
    </row>
    <row r="1269" spans="1:3" x14ac:dyDescent="0.25">
      <c r="A1269" s="42">
        <v>950</v>
      </c>
      <c r="B1269" s="43">
        <v>145</v>
      </c>
      <c r="C1269" s="42" t="s">
        <v>1384</v>
      </c>
    </row>
    <row r="1270" spans="1:3" x14ac:dyDescent="0.25">
      <c r="A1270" s="42">
        <v>950</v>
      </c>
      <c r="B1270" s="43">
        <v>145</v>
      </c>
      <c r="C1270" s="42" t="s">
        <v>1384</v>
      </c>
    </row>
    <row r="1271" spans="1:3" x14ac:dyDescent="0.25">
      <c r="A1271" s="42">
        <v>950</v>
      </c>
      <c r="B1271" s="43">
        <v>145</v>
      </c>
      <c r="C1271" s="42" t="s">
        <v>1384</v>
      </c>
    </row>
    <row r="1272" spans="1:3" x14ac:dyDescent="0.25">
      <c r="A1272" s="42">
        <v>951</v>
      </c>
      <c r="B1272" s="43"/>
      <c r="C1272" s="42" t="s">
        <v>1384</v>
      </c>
    </row>
    <row r="1273" spans="1:3" x14ac:dyDescent="0.25">
      <c r="A1273" s="42">
        <v>952</v>
      </c>
      <c r="B1273" s="43"/>
      <c r="C1273" s="42" t="s">
        <v>1384</v>
      </c>
    </row>
    <row r="1274" spans="1:3" x14ac:dyDescent="0.25">
      <c r="A1274" s="42">
        <v>953</v>
      </c>
      <c r="B1274" s="43"/>
      <c r="C1274" s="42" t="s">
        <v>1384</v>
      </c>
    </row>
    <row r="1275" spans="1:3" x14ac:dyDescent="0.25">
      <c r="A1275" s="42">
        <v>953</v>
      </c>
      <c r="B1275" s="43"/>
      <c r="C1275" s="42" t="s">
        <v>1384</v>
      </c>
    </row>
    <row r="1276" spans="1:3" x14ac:dyDescent="0.25">
      <c r="A1276" s="42">
        <v>953</v>
      </c>
      <c r="B1276" s="43"/>
      <c r="C1276" s="42" t="s">
        <v>1384</v>
      </c>
    </row>
    <row r="1277" spans="1:3" x14ac:dyDescent="0.25">
      <c r="A1277" s="42">
        <v>953</v>
      </c>
      <c r="B1277" s="43"/>
      <c r="C1277" s="42" t="s">
        <v>1384</v>
      </c>
    </row>
    <row r="1278" spans="1:3" x14ac:dyDescent="0.25">
      <c r="A1278" s="42">
        <v>954</v>
      </c>
      <c r="B1278" s="43"/>
      <c r="C1278" s="42" t="s">
        <v>1384</v>
      </c>
    </row>
    <row r="1279" spans="1:3" x14ac:dyDescent="0.25">
      <c r="A1279" s="42">
        <v>955</v>
      </c>
      <c r="B1279" s="43"/>
      <c r="C1279" s="42" t="s">
        <v>1384</v>
      </c>
    </row>
    <row r="1280" spans="1:3" x14ac:dyDescent="0.25">
      <c r="A1280" s="42">
        <v>956</v>
      </c>
      <c r="B1280" s="43"/>
      <c r="C1280" s="42" t="s">
        <v>1384</v>
      </c>
    </row>
    <row r="1281" spans="1:3" x14ac:dyDescent="0.25">
      <c r="A1281" s="42">
        <v>956</v>
      </c>
      <c r="B1281" s="43"/>
      <c r="C1281" s="42" t="s">
        <v>1384</v>
      </c>
    </row>
    <row r="1282" spans="1:3" x14ac:dyDescent="0.25">
      <c r="A1282" s="42">
        <v>957</v>
      </c>
      <c r="B1282" s="43"/>
      <c r="C1282" s="42" t="s">
        <v>1384</v>
      </c>
    </row>
    <row r="1283" spans="1:3" x14ac:dyDescent="0.25">
      <c r="A1283" s="42">
        <v>957</v>
      </c>
      <c r="B1283" s="43"/>
      <c r="C1283" s="42" t="s">
        <v>1384</v>
      </c>
    </row>
    <row r="1284" spans="1:3" x14ac:dyDescent="0.25">
      <c r="A1284" s="42">
        <v>957</v>
      </c>
      <c r="B1284" s="43"/>
      <c r="C1284" s="42" t="s">
        <v>1384</v>
      </c>
    </row>
    <row r="1285" spans="1:3" x14ac:dyDescent="0.25">
      <c r="A1285" s="42">
        <v>957</v>
      </c>
      <c r="B1285" s="43"/>
      <c r="C1285" s="42" t="s">
        <v>1384</v>
      </c>
    </row>
    <row r="1286" spans="1:3" x14ac:dyDescent="0.25">
      <c r="A1286" s="42">
        <v>957</v>
      </c>
      <c r="B1286" s="43"/>
      <c r="C1286" s="42" t="s">
        <v>1384</v>
      </c>
    </row>
    <row r="1287" spans="1:3" x14ac:dyDescent="0.25">
      <c r="A1287" s="42">
        <v>957</v>
      </c>
      <c r="B1287" s="43"/>
      <c r="C1287" s="42" t="s">
        <v>1384</v>
      </c>
    </row>
    <row r="1288" spans="1:3" x14ac:dyDescent="0.25">
      <c r="A1288" s="42">
        <v>957</v>
      </c>
      <c r="B1288" s="43"/>
      <c r="C1288" s="42" t="s">
        <v>1384</v>
      </c>
    </row>
    <row r="1289" spans="1:3" x14ac:dyDescent="0.25">
      <c r="A1289" s="42">
        <v>957</v>
      </c>
      <c r="B1289" s="43"/>
      <c r="C1289" s="42" t="s">
        <v>1384</v>
      </c>
    </row>
    <row r="1290" spans="1:3" x14ac:dyDescent="0.25">
      <c r="A1290" s="42">
        <v>958</v>
      </c>
      <c r="B1290" s="43"/>
      <c r="C1290" s="42" t="s">
        <v>1384</v>
      </c>
    </row>
    <row r="1291" spans="1:3" x14ac:dyDescent="0.25">
      <c r="A1291" s="42">
        <v>958</v>
      </c>
      <c r="B1291" s="43"/>
      <c r="C1291" s="42" t="s">
        <v>1384</v>
      </c>
    </row>
    <row r="1292" spans="1:3" x14ac:dyDescent="0.25">
      <c r="A1292" s="42">
        <v>958</v>
      </c>
      <c r="B1292" s="43"/>
      <c r="C1292" s="42" t="s">
        <v>1384</v>
      </c>
    </row>
    <row r="1293" spans="1:3" x14ac:dyDescent="0.25">
      <c r="A1293" s="42">
        <v>958</v>
      </c>
      <c r="B1293" s="43"/>
      <c r="C1293" s="42" t="s">
        <v>1384</v>
      </c>
    </row>
    <row r="1294" spans="1:3" x14ac:dyDescent="0.25">
      <c r="A1294" s="42">
        <v>958</v>
      </c>
      <c r="B1294" s="43"/>
      <c r="C1294" s="42" t="s">
        <v>1384</v>
      </c>
    </row>
    <row r="1295" spans="1:3" x14ac:dyDescent="0.25">
      <c r="A1295" s="42">
        <v>958</v>
      </c>
      <c r="B1295" s="43"/>
      <c r="C1295" s="42" t="s">
        <v>1384</v>
      </c>
    </row>
    <row r="1296" spans="1:3" x14ac:dyDescent="0.25">
      <c r="A1296" s="42">
        <v>958</v>
      </c>
      <c r="B1296" s="43"/>
      <c r="C1296" s="42" t="s">
        <v>1384</v>
      </c>
    </row>
    <row r="1297" spans="1:3" x14ac:dyDescent="0.25">
      <c r="A1297" s="42">
        <v>958</v>
      </c>
      <c r="B1297" s="43"/>
      <c r="C1297" s="42" t="s">
        <v>1384</v>
      </c>
    </row>
    <row r="1298" spans="1:3" x14ac:dyDescent="0.25">
      <c r="A1298" s="42">
        <v>958</v>
      </c>
      <c r="B1298" s="43"/>
      <c r="C1298" s="42" t="s">
        <v>1384</v>
      </c>
    </row>
    <row r="1299" spans="1:3" x14ac:dyDescent="0.25">
      <c r="A1299" s="42">
        <v>958</v>
      </c>
      <c r="B1299" s="43"/>
      <c r="C1299" s="42" t="s">
        <v>1384</v>
      </c>
    </row>
    <row r="1300" spans="1:3" x14ac:dyDescent="0.25">
      <c r="A1300" s="42">
        <v>958</v>
      </c>
      <c r="B1300" s="43"/>
      <c r="C1300" s="42" t="s">
        <v>1384</v>
      </c>
    </row>
    <row r="1301" spans="1:3" x14ac:dyDescent="0.25">
      <c r="A1301" s="42">
        <v>959</v>
      </c>
      <c r="B1301" s="43"/>
      <c r="C1301" s="42" t="s">
        <v>1384</v>
      </c>
    </row>
    <row r="1302" spans="1:3" x14ac:dyDescent="0.25">
      <c r="A1302" s="42">
        <v>959</v>
      </c>
      <c r="B1302" s="43"/>
      <c r="C1302" s="42" t="s">
        <v>1384</v>
      </c>
    </row>
    <row r="1303" spans="1:3" x14ac:dyDescent="0.25">
      <c r="A1303" s="42">
        <v>959</v>
      </c>
      <c r="B1303" s="43"/>
      <c r="C1303" s="42" t="s">
        <v>1384</v>
      </c>
    </row>
    <row r="1304" spans="1:3" x14ac:dyDescent="0.25">
      <c r="A1304" s="42">
        <v>960</v>
      </c>
      <c r="B1304" s="43"/>
      <c r="C1304" s="42" t="s">
        <v>1384</v>
      </c>
    </row>
    <row r="1305" spans="1:3" x14ac:dyDescent="0.25">
      <c r="A1305" s="42">
        <v>960</v>
      </c>
      <c r="B1305" s="43"/>
      <c r="C1305" s="42" t="s">
        <v>1384</v>
      </c>
    </row>
    <row r="1306" spans="1:3" x14ac:dyDescent="0.25">
      <c r="A1306" s="42">
        <v>961</v>
      </c>
      <c r="B1306" s="43">
        <v>823</v>
      </c>
      <c r="C1306" s="42" t="s">
        <v>1384</v>
      </c>
    </row>
    <row r="1307" spans="1:3" x14ac:dyDescent="0.25">
      <c r="A1307" s="42">
        <v>962</v>
      </c>
      <c r="B1307" s="43">
        <v>204</v>
      </c>
      <c r="C1307" s="42" t="s">
        <v>1384</v>
      </c>
    </row>
    <row r="1308" spans="1:3" x14ac:dyDescent="0.25">
      <c r="A1308" s="42">
        <v>963</v>
      </c>
      <c r="B1308" s="43"/>
      <c r="C1308" s="42" t="s">
        <v>1384</v>
      </c>
    </row>
    <row r="1309" spans="1:3" x14ac:dyDescent="0.25">
      <c r="A1309" s="42">
        <v>964</v>
      </c>
      <c r="B1309" s="43"/>
      <c r="C1309" s="42" t="s">
        <v>1384</v>
      </c>
    </row>
    <row r="1310" spans="1:3" x14ac:dyDescent="0.25">
      <c r="A1310" s="42">
        <v>965</v>
      </c>
      <c r="B1310" s="43"/>
      <c r="C1310" s="42" t="s">
        <v>1384</v>
      </c>
    </row>
    <row r="1311" spans="1:3" x14ac:dyDescent="0.25">
      <c r="A1311" s="42">
        <v>966</v>
      </c>
      <c r="B1311" s="43"/>
      <c r="C1311" s="42" t="s">
        <v>1384</v>
      </c>
    </row>
    <row r="1312" spans="1:3" x14ac:dyDescent="0.25">
      <c r="A1312" s="42">
        <v>967</v>
      </c>
      <c r="B1312" s="43"/>
      <c r="C1312" s="42" t="s">
        <v>1384</v>
      </c>
    </row>
    <row r="1313" spans="1:3" x14ac:dyDescent="0.25">
      <c r="A1313" s="42">
        <v>968</v>
      </c>
      <c r="B1313" s="43"/>
      <c r="C1313" s="42" t="s">
        <v>1384</v>
      </c>
    </row>
    <row r="1314" spans="1:3" x14ac:dyDescent="0.25">
      <c r="A1314" s="42">
        <v>969</v>
      </c>
      <c r="B1314" s="43"/>
      <c r="C1314" s="42" t="s">
        <v>1384</v>
      </c>
    </row>
    <row r="1315" spans="1:3" x14ac:dyDescent="0.25">
      <c r="A1315" s="42">
        <v>969</v>
      </c>
      <c r="B1315" s="43"/>
      <c r="C1315" s="42" t="s">
        <v>1384</v>
      </c>
    </row>
    <row r="1316" spans="1:3" x14ac:dyDescent="0.25">
      <c r="A1316" s="42">
        <v>970</v>
      </c>
      <c r="B1316" s="43"/>
      <c r="C1316" s="42" t="s">
        <v>1384</v>
      </c>
    </row>
    <row r="1317" spans="1:3" x14ac:dyDescent="0.25">
      <c r="A1317" s="42">
        <v>971</v>
      </c>
      <c r="B1317" s="43">
        <v>10</v>
      </c>
      <c r="C1317" s="42" t="s">
        <v>1384</v>
      </c>
    </row>
    <row r="1318" spans="1:3" x14ac:dyDescent="0.25">
      <c r="A1318" s="42">
        <v>972</v>
      </c>
      <c r="B1318" s="43"/>
      <c r="C1318" s="42" t="s">
        <v>1384</v>
      </c>
    </row>
    <row r="1319" spans="1:3" x14ac:dyDescent="0.25">
      <c r="A1319" s="42">
        <v>973</v>
      </c>
      <c r="B1319" s="43"/>
      <c r="C1319" s="42" t="s">
        <v>1384</v>
      </c>
    </row>
    <row r="1320" spans="1:3" x14ac:dyDescent="0.25">
      <c r="A1320" s="42">
        <v>974</v>
      </c>
      <c r="B1320" s="43"/>
      <c r="C1320" s="42" t="s">
        <v>1384</v>
      </c>
    </row>
    <row r="1321" spans="1:3" x14ac:dyDescent="0.25">
      <c r="A1321" s="42">
        <v>975</v>
      </c>
      <c r="B1321" s="43"/>
      <c r="C1321" s="42" t="s">
        <v>1384</v>
      </c>
    </row>
    <row r="1322" spans="1:3" x14ac:dyDescent="0.25">
      <c r="A1322" s="42">
        <v>976</v>
      </c>
      <c r="B1322" s="43"/>
      <c r="C1322" s="42" t="s">
        <v>1384</v>
      </c>
    </row>
    <row r="1323" spans="1:3" x14ac:dyDescent="0.25">
      <c r="A1323" s="42">
        <v>977</v>
      </c>
      <c r="B1323" s="43"/>
      <c r="C1323" s="42" t="s">
        <v>1384</v>
      </c>
    </row>
    <row r="1324" spans="1:3" x14ac:dyDescent="0.25">
      <c r="A1324" s="42">
        <v>978</v>
      </c>
      <c r="B1324" s="43"/>
      <c r="C1324" s="42" t="s">
        <v>1384</v>
      </c>
    </row>
    <row r="1325" spans="1:3" x14ac:dyDescent="0.25">
      <c r="A1325" s="42">
        <v>978</v>
      </c>
      <c r="B1325" s="43"/>
      <c r="C1325" s="42" t="s">
        <v>1384</v>
      </c>
    </row>
    <row r="1326" spans="1:3" x14ac:dyDescent="0.25">
      <c r="A1326" s="42">
        <v>979</v>
      </c>
      <c r="B1326" s="43"/>
      <c r="C1326" s="42" t="s">
        <v>1384</v>
      </c>
    </row>
    <row r="1327" spans="1:3" x14ac:dyDescent="0.25">
      <c r="A1327" s="42">
        <v>980</v>
      </c>
      <c r="B1327" s="43"/>
      <c r="C1327" s="42" t="s">
        <v>1384</v>
      </c>
    </row>
    <row r="1328" spans="1:3" x14ac:dyDescent="0.25">
      <c r="A1328" s="42">
        <v>981</v>
      </c>
      <c r="B1328" s="43"/>
      <c r="C1328" s="42" t="s">
        <v>1384</v>
      </c>
    </row>
    <row r="1329" spans="1:3" x14ac:dyDescent="0.25">
      <c r="A1329" s="42">
        <v>981</v>
      </c>
      <c r="B1329" s="43"/>
      <c r="C1329" s="42" t="s">
        <v>1384</v>
      </c>
    </row>
    <row r="1330" spans="1:3" x14ac:dyDescent="0.25">
      <c r="A1330" s="42">
        <v>981</v>
      </c>
      <c r="B1330" s="43"/>
      <c r="C1330" s="42" t="s">
        <v>1384</v>
      </c>
    </row>
    <row r="1331" spans="1:3" x14ac:dyDescent="0.25">
      <c r="A1331" s="42">
        <v>982</v>
      </c>
      <c r="B1331" s="43"/>
      <c r="C1331" s="42" t="s">
        <v>1384</v>
      </c>
    </row>
    <row r="1332" spans="1:3" x14ac:dyDescent="0.25">
      <c r="A1332" s="42">
        <v>982</v>
      </c>
      <c r="B1332" s="43"/>
      <c r="C1332" s="42" t="s">
        <v>1384</v>
      </c>
    </row>
    <row r="1333" spans="1:3" x14ac:dyDescent="0.25">
      <c r="A1333" s="42">
        <v>983</v>
      </c>
      <c r="B1333" s="43"/>
      <c r="C1333" s="42" t="s">
        <v>1384</v>
      </c>
    </row>
    <row r="1334" spans="1:3" x14ac:dyDescent="0.25">
      <c r="A1334" s="42">
        <v>984</v>
      </c>
      <c r="B1334" s="43"/>
      <c r="C1334" s="42" t="s">
        <v>1384</v>
      </c>
    </row>
    <row r="1335" spans="1:3" x14ac:dyDescent="0.25">
      <c r="A1335" s="42">
        <v>985</v>
      </c>
      <c r="B1335" s="43"/>
      <c r="C1335" s="42" t="s">
        <v>1384</v>
      </c>
    </row>
    <row r="1336" spans="1:3" x14ac:dyDescent="0.25">
      <c r="A1336" s="42">
        <v>985</v>
      </c>
      <c r="B1336" s="43"/>
      <c r="C1336" s="42" t="s">
        <v>1384</v>
      </c>
    </row>
    <row r="1337" spans="1:3" x14ac:dyDescent="0.25">
      <c r="A1337" s="42">
        <v>986</v>
      </c>
      <c r="B1337" s="43"/>
      <c r="C1337" s="42" t="s">
        <v>1384</v>
      </c>
    </row>
    <row r="1338" spans="1:3" x14ac:dyDescent="0.25">
      <c r="A1338" s="42">
        <v>987</v>
      </c>
      <c r="B1338" s="43"/>
      <c r="C1338" s="42" t="s">
        <v>1384</v>
      </c>
    </row>
    <row r="1339" spans="1:3" x14ac:dyDescent="0.25">
      <c r="A1339" s="42">
        <v>988</v>
      </c>
      <c r="B1339" s="43"/>
      <c r="C1339" s="42" t="s">
        <v>1384</v>
      </c>
    </row>
    <row r="1340" spans="1:3" x14ac:dyDescent="0.25">
      <c r="A1340" s="42">
        <v>989</v>
      </c>
      <c r="B1340" s="43"/>
      <c r="C1340" s="42" t="s">
        <v>1384</v>
      </c>
    </row>
    <row r="1341" spans="1:3" x14ac:dyDescent="0.25">
      <c r="A1341" s="42">
        <v>990</v>
      </c>
      <c r="B1341" s="43"/>
      <c r="C1341" s="42" t="s">
        <v>1384</v>
      </c>
    </row>
    <row r="1342" spans="1:3" x14ac:dyDescent="0.25">
      <c r="A1342" s="42">
        <v>991</v>
      </c>
      <c r="B1342" s="43"/>
      <c r="C1342" s="42" t="s">
        <v>1384</v>
      </c>
    </row>
    <row r="1343" spans="1:3" x14ac:dyDescent="0.25">
      <c r="A1343" s="42">
        <v>991</v>
      </c>
      <c r="B1343" s="43"/>
      <c r="C1343" s="42" t="s">
        <v>1384</v>
      </c>
    </row>
    <row r="1344" spans="1:3" x14ac:dyDescent="0.25">
      <c r="A1344" s="42">
        <v>991</v>
      </c>
      <c r="B1344" s="43"/>
      <c r="C1344" s="42" t="s">
        <v>1384</v>
      </c>
    </row>
    <row r="1345" spans="1:3" x14ac:dyDescent="0.25">
      <c r="A1345" s="42">
        <v>992</v>
      </c>
      <c r="B1345" s="43"/>
      <c r="C1345" s="42" t="s">
        <v>1384</v>
      </c>
    </row>
    <row r="1346" spans="1:3" x14ac:dyDescent="0.25">
      <c r="A1346" s="42">
        <v>993</v>
      </c>
      <c r="B1346" s="43"/>
      <c r="C1346" s="42" t="s">
        <v>1384</v>
      </c>
    </row>
    <row r="1347" spans="1:3" x14ac:dyDescent="0.25">
      <c r="A1347" s="42">
        <v>994</v>
      </c>
      <c r="B1347" s="43"/>
      <c r="C1347" s="42" t="s">
        <v>1384</v>
      </c>
    </row>
    <row r="1348" spans="1:3" x14ac:dyDescent="0.25">
      <c r="A1348" s="42">
        <v>995</v>
      </c>
      <c r="B1348" s="43">
        <v>20</v>
      </c>
      <c r="C1348" s="42" t="s">
        <v>1384</v>
      </c>
    </row>
    <row r="1349" spans="1:3" x14ac:dyDescent="0.25">
      <c r="A1349" s="42">
        <v>995</v>
      </c>
      <c r="B1349" s="43">
        <v>20</v>
      </c>
      <c r="C1349" s="42" t="s">
        <v>1384</v>
      </c>
    </row>
    <row r="1350" spans="1:3" x14ac:dyDescent="0.25">
      <c r="A1350" s="42">
        <v>996</v>
      </c>
      <c r="B1350" s="43"/>
      <c r="C1350" s="42" t="s">
        <v>1384</v>
      </c>
    </row>
    <row r="1351" spans="1:3" x14ac:dyDescent="0.25">
      <c r="A1351" s="42">
        <v>996</v>
      </c>
      <c r="B1351" s="43"/>
      <c r="C1351" s="42" t="s">
        <v>1384</v>
      </c>
    </row>
    <row r="1352" spans="1:3" x14ac:dyDescent="0.25">
      <c r="A1352" s="42">
        <v>997</v>
      </c>
      <c r="B1352" s="43"/>
      <c r="C1352" s="42" t="s">
        <v>1384</v>
      </c>
    </row>
    <row r="1353" spans="1:3" x14ac:dyDescent="0.25">
      <c r="A1353" s="42">
        <v>998</v>
      </c>
      <c r="B1353" s="43"/>
      <c r="C1353" s="42" t="s">
        <v>1384</v>
      </c>
    </row>
    <row r="1354" spans="1:3" x14ac:dyDescent="0.25">
      <c r="A1354" s="42">
        <v>999</v>
      </c>
      <c r="B1354" s="43">
        <v>59.9</v>
      </c>
      <c r="C1354" s="42" t="s">
        <v>1384</v>
      </c>
    </row>
    <row r="1355" spans="1:3" x14ac:dyDescent="0.25">
      <c r="A1355" s="42">
        <v>999</v>
      </c>
      <c r="B1355" s="43">
        <v>59.9</v>
      </c>
      <c r="C1355" s="42" t="s">
        <v>1384</v>
      </c>
    </row>
    <row r="1356" spans="1:3" x14ac:dyDescent="0.25">
      <c r="A1356" s="42">
        <v>999</v>
      </c>
      <c r="B1356" s="43">
        <v>59.9</v>
      </c>
      <c r="C1356" s="42" t="s">
        <v>1384</v>
      </c>
    </row>
    <row r="1357" spans="1:3" x14ac:dyDescent="0.25">
      <c r="A1357" s="42">
        <v>1000</v>
      </c>
      <c r="B1357" s="43"/>
      <c r="C1357" s="42" t="s">
        <v>1384</v>
      </c>
    </row>
    <row r="1358" spans="1:3" x14ac:dyDescent="0.25">
      <c r="A1358" s="42">
        <v>1000</v>
      </c>
      <c r="B1358" s="43"/>
      <c r="C1358" s="42" t="s">
        <v>1384</v>
      </c>
    </row>
    <row r="1359" spans="1:3" x14ac:dyDescent="0.25">
      <c r="A1359" s="42">
        <v>1001</v>
      </c>
      <c r="B1359" s="43">
        <v>1000</v>
      </c>
      <c r="C1359" s="42" t="s">
        <v>1384</v>
      </c>
    </row>
    <row r="1360" spans="1:3" x14ac:dyDescent="0.25">
      <c r="A1360" s="42">
        <v>1002</v>
      </c>
      <c r="B1360" s="43"/>
      <c r="C1360" s="42" t="s">
        <v>1384</v>
      </c>
    </row>
    <row r="1361" spans="1:3" x14ac:dyDescent="0.25">
      <c r="A1361" s="42">
        <v>1003</v>
      </c>
      <c r="B1361" s="43"/>
      <c r="C1361" s="42" t="s">
        <v>1384</v>
      </c>
    </row>
    <row r="1362" spans="1:3" x14ac:dyDescent="0.25">
      <c r="A1362" s="42">
        <v>1004</v>
      </c>
      <c r="B1362" s="43"/>
      <c r="C1362" s="42" t="s">
        <v>1384</v>
      </c>
    </row>
    <row r="1363" spans="1:3" x14ac:dyDescent="0.25">
      <c r="A1363" s="42">
        <v>1004</v>
      </c>
      <c r="B1363" s="43"/>
      <c r="C1363" s="42" t="s">
        <v>1384</v>
      </c>
    </row>
    <row r="1364" spans="1:3" x14ac:dyDescent="0.25">
      <c r="A1364" s="42">
        <v>1005</v>
      </c>
      <c r="B1364" s="43"/>
      <c r="C1364" s="42" t="s">
        <v>1384</v>
      </c>
    </row>
    <row r="1365" spans="1:3" x14ac:dyDescent="0.25">
      <c r="A1365" s="42">
        <v>1006</v>
      </c>
      <c r="B1365" s="43"/>
      <c r="C1365" s="42" t="s">
        <v>1384</v>
      </c>
    </row>
    <row r="1366" spans="1:3" x14ac:dyDescent="0.25">
      <c r="A1366" s="42">
        <v>1006</v>
      </c>
      <c r="B1366" s="43"/>
      <c r="C1366" s="42" t="s">
        <v>1384</v>
      </c>
    </row>
    <row r="1367" spans="1:3" x14ac:dyDescent="0.25">
      <c r="A1367" s="42">
        <v>1007</v>
      </c>
      <c r="B1367" s="43"/>
      <c r="C1367" s="42" t="s">
        <v>1384</v>
      </c>
    </row>
    <row r="1368" spans="1:3" x14ac:dyDescent="0.25">
      <c r="A1368" s="42">
        <v>1008</v>
      </c>
      <c r="B1368" s="43"/>
      <c r="C1368" s="42" t="s">
        <v>1384</v>
      </c>
    </row>
    <row r="1369" spans="1:3" x14ac:dyDescent="0.25">
      <c r="A1369" s="42">
        <v>1009</v>
      </c>
      <c r="B1369" s="43"/>
      <c r="C1369" s="42" t="s">
        <v>1384</v>
      </c>
    </row>
    <row r="1370" spans="1:3" x14ac:dyDescent="0.25">
      <c r="A1370" s="42">
        <v>1010</v>
      </c>
      <c r="B1370" s="43"/>
      <c r="C1370" s="42" t="s">
        <v>1384</v>
      </c>
    </row>
    <row r="1371" spans="1:3" x14ac:dyDescent="0.25">
      <c r="A1371" s="42">
        <v>1011</v>
      </c>
      <c r="B1371" s="43">
        <v>70</v>
      </c>
      <c r="C1371" s="42" t="s">
        <v>1384</v>
      </c>
    </row>
    <row r="1372" spans="1:3" x14ac:dyDescent="0.25">
      <c r="A1372" s="42">
        <v>1011</v>
      </c>
      <c r="B1372" s="43">
        <v>70</v>
      </c>
      <c r="C1372" s="42" t="s">
        <v>1384</v>
      </c>
    </row>
    <row r="1373" spans="1:3" x14ac:dyDescent="0.25">
      <c r="A1373" s="42">
        <v>1012</v>
      </c>
      <c r="B1373" s="43"/>
      <c r="C1373" s="42" t="s">
        <v>1384</v>
      </c>
    </row>
    <row r="1374" spans="1:3" x14ac:dyDescent="0.25">
      <c r="A1374" s="42">
        <v>1013</v>
      </c>
      <c r="B1374" s="43"/>
      <c r="C1374" s="42" t="s">
        <v>1384</v>
      </c>
    </row>
    <row r="1375" spans="1:3" x14ac:dyDescent="0.25">
      <c r="A1375" s="42">
        <v>1014</v>
      </c>
      <c r="B1375" s="43"/>
      <c r="C1375" s="42" t="s">
        <v>1384</v>
      </c>
    </row>
    <row r="1376" spans="1:3" x14ac:dyDescent="0.25">
      <c r="A1376" s="42">
        <v>1015</v>
      </c>
      <c r="B1376" s="43"/>
      <c r="C1376" s="42" t="s">
        <v>1384</v>
      </c>
    </row>
    <row r="1377" spans="1:3" x14ac:dyDescent="0.25">
      <c r="A1377" s="42">
        <v>1016</v>
      </c>
      <c r="B1377" s="43"/>
      <c r="C1377" s="42" t="s">
        <v>1384</v>
      </c>
    </row>
    <row r="1378" spans="1:3" x14ac:dyDescent="0.25">
      <c r="A1378" s="42">
        <v>1017</v>
      </c>
      <c r="B1378" s="43"/>
      <c r="C1378" s="42" t="s">
        <v>1384</v>
      </c>
    </row>
    <row r="1379" spans="1:3" x14ac:dyDescent="0.25">
      <c r="A1379" s="42">
        <v>1018</v>
      </c>
      <c r="B1379" s="43">
        <v>204</v>
      </c>
      <c r="C1379" s="42" t="s">
        <v>1384</v>
      </c>
    </row>
    <row r="1380" spans="1:3" x14ac:dyDescent="0.25">
      <c r="A1380" s="42">
        <v>1018</v>
      </c>
      <c r="B1380" s="43">
        <v>204</v>
      </c>
      <c r="C1380" s="42" t="s">
        <v>1384</v>
      </c>
    </row>
    <row r="1381" spans="1:3" x14ac:dyDescent="0.25">
      <c r="A1381" s="42">
        <v>1018</v>
      </c>
      <c r="B1381" s="43">
        <v>204</v>
      </c>
      <c r="C1381" s="42" t="s">
        <v>1384</v>
      </c>
    </row>
    <row r="1382" spans="1:3" x14ac:dyDescent="0.25">
      <c r="A1382" s="42">
        <v>1018</v>
      </c>
      <c r="B1382" s="43">
        <v>204</v>
      </c>
      <c r="C1382" s="42" t="s">
        <v>1384</v>
      </c>
    </row>
    <row r="1383" spans="1:3" x14ac:dyDescent="0.25">
      <c r="A1383" s="42">
        <v>1018</v>
      </c>
      <c r="B1383" s="43">
        <v>204</v>
      </c>
      <c r="C1383" s="42" t="s">
        <v>1384</v>
      </c>
    </row>
    <row r="1384" spans="1:3" x14ac:dyDescent="0.25">
      <c r="A1384" s="42">
        <v>1019</v>
      </c>
      <c r="B1384" s="43">
        <v>50</v>
      </c>
      <c r="C1384" s="42" t="s">
        <v>1384</v>
      </c>
    </row>
    <row r="1385" spans="1:3" x14ac:dyDescent="0.25">
      <c r="A1385" s="42">
        <v>1019</v>
      </c>
      <c r="B1385" s="43">
        <v>50</v>
      </c>
      <c r="C1385" s="42" t="s">
        <v>1384</v>
      </c>
    </row>
    <row r="1386" spans="1:3" x14ac:dyDescent="0.25">
      <c r="A1386" s="42">
        <v>1020</v>
      </c>
      <c r="B1386" s="43">
        <v>60</v>
      </c>
      <c r="C1386" s="42" t="s">
        <v>1384</v>
      </c>
    </row>
    <row r="1387" spans="1:3" x14ac:dyDescent="0.25">
      <c r="A1387" s="42">
        <v>1020</v>
      </c>
      <c r="B1387" s="43">
        <v>50</v>
      </c>
      <c r="C1387" s="42" t="s">
        <v>1384</v>
      </c>
    </row>
    <row r="1388" spans="1:3" x14ac:dyDescent="0.25">
      <c r="A1388" s="42">
        <v>1021</v>
      </c>
      <c r="B1388" s="43">
        <v>76.8</v>
      </c>
      <c r="C1388" s="42" t="s">
        <v>1384</v>
      </c>
    </row>
    <row r="1389" spans="1:3" x14ac:dyDescent="0.25">
      <c r="A1389" s="42">
        <v>1022</v>
      </c>
      <c r="B1389" s="43">
        <v>50</v>
      </c>
      <c r="C1389" s="42" t="s">
        <v>1384</v>
      </c>
    </row>
    <row r="1390" spans="1:3" x14ac:dyDescent="0.25">
      <c r="A1390" s="42">
        <v>1022</v>
      </c>
      <c r="B1390" s="43">
        <v>50</v>
      </c>
      <c r="C1390" s="42" t="s">
        <v>1384</v>
      </c>
    </row>
    <row r="1391" spans="1:3" x14ac:dyDescent="0.25">
      <c r="A1391" s="42">
        <v>1023</v>
      </c>
      <c r="B1391" s="43">
        <v>80</v>
      </c>
      <c r="C1391" s="42" t="s">
        <v>1384</v>
      </c>
    </row>
    <row r="1392" spans="1:3" x14ac:dyDescent="0.25">
      <c r="A1392" s="42">
        <v>1023</v>
      </c>
      <c r="B1392" s="43">
        <v>50</v>
      </c>
      <c r="C1392" s="42" t="s">
        <v>1384</v>
      </c>
    </row>
    <row r="1393" spans="1:3" x14ac:dyDescent="0.25">
      <c r="A1393" s="42">
        <v>1024</v>
      </c>
      <c r="B1393" s="43">
        <v>30</v>
      </c>
      <c r="C1393" s="42" t="s">
        <v>1384</v>
      </c>
    </row>
    <row r="1394" spans="1:3" x14ac:dyDescent="0.25">
      <c r="A1394" s="42">
        <v>1024</v>
      </c>
      <c r="B1394" s="43">
        <v>30</v>
      </c>
      <c r="C1394" s="42" t="s">
        <v>1384</v>
      </c>
    </row>
    <row r="1395" spans="1:3" x14ac:dyDescent="0.25">
      <c r="A1395" s="42">
        <v>1024</v>
      </c>
      <c r="B1395" s="43">
        <v>30</v>
      </c>
      <c r="C1395" s="42" t="s">
        <v>1384</v>
      </c>
    </row>
    <row r="1396" spans="1:3" x14ac:dyDescent="0.25">
      <c r="A1396" s="42">
        <v>1024</v>
      </c>
      <c r="B1396" s="43">
        <v>30</v>
      </c>
      <c r="C1396" s="42" t="s">
        <v>1384</v>
      </c>
    </row>
    <row r="1397" spans="1:3" x14ac:dyDescent="0.25">
      <c r="A1397" s="42">
        <v>1025</v>
      </c>
      <c r="B1397" s="43"/>
      <c r="C1397" s="42" t="s">
        <v>1384</v>
      </c>
    </row>
    <row r="1398" spans="1:3" x14ac:dyDescent="0.25">
      <c r="A1398" s="42">
        <v>1026</v>
      </c>
      <c r="B1398" s="43"/>
      <c r="C1398" s="42" t="s">
        <v>1384</v>
      </c>
    </row>
    <row r="1399" spans="1:3" x14ac:dyDescent="0.25">
      <c r="A1399" s="42">
        <v>1026</v>
      </c>
      <c r="B1399" s="43"/>
      <c r="C1399" s="42" t="s">
        <v>1384</v>
      </c>
    </row>
    <row r="1400" spans="1:3" x14ac:dyDescent="0.25">
      <c r="A1400" s="42">
        <v>1027</v>
      </c>
      <c r="B1400" s="43"/>
      <c r="C1400" s="42" t="s">
        <v>1384</v>
      </c>
    </row>
    <row r="1401" spans="1:3" x14ac:dyDescent="0.25">
      <c r="A1401" s="42">
        <v>1028</v>
      </c>
      <c r="B1401" s="43"/>
      <c r="C1401" s="42" t="s">
        <v>1384</v>
      </c>
    </row>
    <row r="1402" spans="1:3" x14ac:dyDescent="0.25">
      <c r="A1402" s="42">
        <v>1029</v>
      </c>
      <c r="B1402" s="43"/>
      <c r="C1402" s="42" t="s">
        <v>1384</v>
      </c>
    </row>
    <row r="1403" spans="1:3" x14ac:dyDescent="0.25">
      <c r="A1403" s="42">
        <v>1030</v>
      </c>
      <c r="B1403" s="43"/>
      <c r="C1403" s="42" t="s">
        <v>1384</v>
      </c>
    </row>
    <row r="1404" spans="1:3" x14ac:dyDescent="0.25">
      <c r="A1404" s="42">
        <v>1031</v>
      </c>
      <c r="B1404" s="43"/>
      <c r="C1404" s="42" t="s">
        <v>1384</v>
      </c>
    </row>
    <row r="1405" spans="1:3" x14ac:dyDescent="0.25">
      <c r="A1405" s="42">
        <v>1032</v>
      </c>
      <c r="B1405" s="43"/>
      <c r="C1405" s="42" t="s">
        <v>1384</v>
      </c>
    </row>
    <row r="1406" spans="1:3" x14ac:dyDescent="0.25">
      <c r="A1406" s="42">
        <v>1033</v>
      </c>
      <c r="B1406" s="43"/>
      <c r="C1406" s="42" t="s">
        <v>1384</v>
      </c>
    </row>
    <row r="1407" spans="1:3" x14ac:dyDescent="0.25">
      <c r="A1407" s="42">
        <v>1034</v>
      </c>
      <c r="B1407" s="43"/>
      <c r="C1407" s="42" t="s">
        <v>1384</v>
      </c>
    </row>
    <row r="1408" spans="1:3" x14ac:dyDescent="0.25">
      <c r="A1408" s="42">
        <v>1035</v>
      </c>
      <c r="B1408" s="43"/>
      <c r="C1408" s="42" t="s">
        <v>1384</v>
      </c>
    </row>
    <row r="1409" spans="1:3" x14ac:dyDescent="0.25">
      <c r="A1409" s="42">
        <v>1036</v>
      </c>
      <c r="B1409" s="43"/>
      <c r="C1409" s="42" t="s">
        <v>1384</v>
      </c>
    </row>
    <row r="1410" spans="1:3" x14ac:dyDescent="0.25">
      <c r="A1410" s="42">
        <v>1037</v>
      </c>
      <c r="B1410" s="43"/>
      <c r="C1410" s="42" t="s">
        <v>1384</v>
      </c>
    </row>
    <row r="1411" spans="1:3" x14ac:dyDescent="0.25">
      <c r="A1411" s="42">
        <v>1038</v>
      </c>
      <c r="B1411" s="43"/>
      <c r="C1411" s="42" t="s">
        <v>1384</v>
      </c>
    </row>
    <row r="1412" spans="1:3" x14ac:dyDescent="0.25">
      <c r="A1412" s="42">
        <v>1039</v>
      </c>
      <c r="B1412" s="43"/>
      <c r="C1412" s="42" t="s">
        <v>1384</v>
      </c>
    </row>
    <row r="1413" spans="1:3" x14ac:dyDescent="0.25">
      <c r="A1413" s="42">
        <v>1040</v>
      </c>
      <c r="B1413" s="43"/>
      <c r="C1413" s="42" t="s">
        <v>1384</v>
      </c>
    </row>
    <row r="1414" spans="1:3" x14ac:dyDescent="0.25">
      <c r="A1414" s="42">
        <v>1041</v>
      </c>
      <c r="B1414" s="43"/>
      <c r="C1414" s="42" t="s">
        <v>1384</v>
      </c>
    </row>
    <row r="1415" spans="1:3" x14ac:dyDescent="0.25">
      <c r="A1415" s="42">
        <v>1042</v>
      </c>
      <c r="B1415" s="43"/>
      <c r="C1415" s="42" t="s">
        <v>1384</v>
      </c>
    </row>
    <row r="1416" spans="1:3" x14ac:dyDescent="0.25">
      <c r="A1416" s="42">
        <v>1043</v>
      </c>
      <c r="B1416" s="43"/>
      <c r="C1416" s="42" t="s">
        <v>1384</v>
      </c>
    </row>
    <row r="1417" spans="1:3" x14ac:dyDescent="0.25">
      <c r="A1417" s="42">
        <v>1044</v>
      </c>
      <c r="B1417" s="43"/>
      <c r="C1417" s="42" t="s">
        <v>1384</v>
      </c>
    </row>
    <row r="1418" spans="1:3" x14ac:dyDescent="0.25">
      <c r="A1418" s="42">
        <v>1045</v>
      </c>
      <c r="B1418" s="43"/>
      <c r="C1418" s="42" t="s">
        <v>1384</v>
      </c>
    </row>
    <row r="1419" spans="1:3" x14ac:dyDescent="0.25">
      <c r="A1419" s="42">
        <v>1046</v>
      </c>
      <c r="B1419" s="43"/>
      <c r="C1419" s="42" t="s">
        <v>1384</v>
      </c>
    </row>
    <row r="1420" spans="1:3" x14ac:dyDescent="0.25">
      <c r="A1420" s="42">
        <v>1047</v>
      </c>
      <c r="B1420" s="43"/>
      <c r="C1420" s="42" t="s">
        <v>1384</v>
      </c>
    </row>
    <row r="1421" spans="1:3" x14ac:dyDescent="0.25">
      <c r="A1421" s="42">
        <v>1048</v>
      </c>
      <c r="B1421" s="43">
        <v>65</v>
      </c>
      <c r="C1421" s="42" t="s">
        <v>1384</v>
      </c>
    </row>
    <row r="1422" spans="1:3" x14ac:dyDescent="0.25">
      <c r="A1422" s="42">
        <v>1048</v>
      </c>
      <c r="B1422" s="43">
        <v>65</v>
      </c>
      <c r="C1422" s="42" t="s">
        <v>1384</v>
      </c>
    </row>
    <row r="1423" spans="1:3" x14ac:dyDescent="0.25">
      <c r="A1423" s="42">
        <v>1048</v>
      </c>
      <c r="B1423" s="43">
        <v>65</v>
      </c>
      <c r="C1423" s="42" t="s">
        <v>1384</v>
      </c>
    </row>
    <row r="1424" spans="1:3" x14ac:dyDescent="0.25">
      <c r="A1424" s="42">
        <v>1048</v>
      </c>
      <c r="B1424" s="43">
        <v>65</v>
      </c>
      <c r="C1424" s="42" t="s">
        <v>1384</v>
      </c>
    </row>
    <row r="1425" spans="1:3" x14ac:dyDescent="0.25">
      <c r="A1425" s="42">
        <v>1048</v>
      </c>
      <c r="B1425" s="43">
        <v>65</v>
      </c>
      <c r="C1425" s="42" t="s">
        <v>1384</v>
      </c>
    </row>
    <row r="1426" spans="1:3" x14ac:dyDescent="0.25">
      <c r="A1426" s="42">
        <v>1048</v>
      </c>
      <c r="B1426" s="43">
        <v>65</v>
      </c>
      <c r="C1426" s="42" t="s">
        <v>1384</v>
      </c>
    </row>
    <row r="1427" spans="1:3" x14ac:dyDescent="0.25">
      <c r="A1427" s="42">
        <v>1048</v>
      </c>
      <c r="B1427" s="43">
        <v>65</v>
      </c>
      <c r="C1427" s="42" t="s">
        <v>1384</v>
      </c>
    </row>
    <row r="1428" spans="1:3" x14ac:dyDescent="0.25">
      <c r="A1428" s="42">
        <v>1049</v>
      </c>
      <c r="B1428" s="43"/>
      <c r="C1428" s="42" t="s">
        <v>1384</v>
      </c>
    </row>
    <row r="1429" spans="1:3" x14ac:dyDescent="0.25">
      <c r="A1429" s="42">
        <v>1050</v>
      </c>
      <c r="B1429" s="43">
        <v>231.18</v>
      </c>
      <c r="C1429" s="42" t="s">
        <v>1384</v>
      </c>
    </row>
    <row r="1430" spans="1:3" x14ac:dyDescent="0.25">
      <c r="A1430" s="42">
        <v>1050</v>
      </c>
      <c r="B1430" s="43">
        <v>231.18</v>
      </c>
      <c r="C1430" s="42" t="s">
        <v>1384</v>
      </c>
    </row>
    <row r="1431" spans="1:3" x14ac:dyDescent="0.25">
      <c r="A1431" s="42">
        <v>1051</v>
      </c>
      <c r="B1431" s="43"/>
      <c r="C1431" s="42" t="s">
        <v>1384</v>
      </c>
    </row>
    <row r="1432" spans="1:3" x14ac:dyDescent="0.25">
      <c r="A1432" s="42">
        <v>1051</v>
      </c>
      <c r="B1432" s="43"/>
      <c r="C1432" s="42" t="s">
        <v>1384</v>
      </c>
    </row>
    <row r="1433" spans="1:3" x14ac:dyDescent="0.25">
      <c r="A1433" s="42">
        <v>1052</v>
      </c>
      <c r="B1433" s="43"/>
      <c r="C1433" s="42" t="s">
        <v>1384</v>
      </c>
    </row>
    <row r="1434" spans="1:3" x14ac:dyDescent="0.25">
      <c r="A1434" s="42">
        <v>1053</v>
      </c>
      <c r="B1434" s="43"/>
      <c r="C1434" s="42" t="s">
        <v>1384</v>
      </c>
    </row>
    <row r="1435" spans="1:3" x14ac:dyDescent="0.25">
      <c r="A1435" s="42">
        <v>1054</v>
      </c>
      <c r="B1435" s="43"/>
      <c r="C1435" s="42" t="s">
        <v>1384</v>
      </c>
    </row>
    <row r="1436" spans="1:3" x14ac:dyDescent="0.25">
      <c r="A1436" s="42">
        <v>1055</v>
      </c>
      <c r="B1436" s="43"/>
      <c r="C1436" s="42" t="s">
        <v>1384</v>
      </c>
    </row>
    <row r="1437" spans="1:3" x14ac:dyDescent="0.25">
      <c r="A1437" s="42">
        <v>1056</v>
      </c>
      <c r="B1437" s="43">
        <v>23.3</v>
      </c>
      <c r="C1437" s="42" t="s">
        <v>1384</v>
      </c>
    </row>
    <row r="1438" spans="1:3" x14ac:dyDescent="0.25">
      <c r="A1438" s="42">
        <v>1056</v>
      </c>
      <c r="B1438" s="43">
        <v>23.3</v>
      </c>
      <c r="C1438" s="42" t="s">
        <v>1384</v>
      </c>
    </row>
    <row r="1439" spans="1:3" x14ac:dyDescent="0.25">
      <c r="A1439" s="42">
        <v>1057</v>
      </c>
      <c r="B1439" s="43"/>
      <c r="C1439" s="42" t="s">
        <v>1384</v>
      </c>
    </row>
    <row r="1440" spans="1:3" x14ac:dyDescent="0.25">
      <c r="A1440" s="42">
        <v>1058</v>
      </c>
      <c r="B1440" s="43"/>
      <c r="C1440" s="42" t="s">
        <v>1384</v>
      </c>
    </row>
    <row r="1441" spans="1:3" x14ac:dyDescent="0.25">
      <c r="A1441" s="42">
        <v>1059</v>
      </c>
      <c r="B1441" s="43">
        <v>4000</v>
      </c>
      <c r="C1441" s="42" t="s">
        <v>1384</v>
      </c>
    </row>
    <row r="1442" spans="1:3" x14ac:dyDescent="0.25">
      <c r="A1442" s="42">
        <v>1059</v>
      </c>
      <c r="B1442" s="43">
        <v>4000</v>
      </c>
      <c r="C1442" s="42" t="s">
        <v>1384</v>
      </c>
    </row>
    <row r="1443" spans="1:3" x14ac:dyDescent="0.25">
      <c r="A1443" s="42">
        <v>1059</v>
      </c>
      <c r="B1443" s="43">
        <v>4000</v>
      </c>
      <c r="C1443" s="42" t="s">
        <v>1384</v>
      </c>
    </row>
    <row r="1444" spans="1:3" x14ac:dyDescent="0.25">
      <c r="A1444" s="42">
        <v>1059</v>
      </c>
      <c r="B1444" s="43">
        <v>4000</v>
      </c>
      <c r="C1444" s="42" t="s">
        <v>1384</v>
      </c>
    </row>
    <row r="1445" spans="1:3" x14ac:dyDescent="0.25">
      <c r="A1445" s="42">
        <v>1059</v>
      </c>
      <c r="B1445" s="43">
        <v>4000</v>
      </c>
      <c r="C1445" s="42" t="s">
        <v>1384</v>
      </c>
    </row>
    <row r="1446" spans="1:3" x14ac:dyDescent="0.25">
      <c r="A1446" s="42">
        <v>1060</v>
      </c>
      <c r="B1446" s="43"/>
      <c r="C1446" s="42" t="s">
        <v>1384</v>
      </c>
    </row>
    <row r="1447" spans="1:3" x14ac:dyDescent="0.25">
      <c r="A1447" s="42">
        <v>1061</v>
      </c>
      <c r="B1447" s="43">
        <v>19.36</v>
      </c>
      <c r="C1447" s="42" t="s">
        <v>1384</v>
      </c>
    </row>
    <row r="1448" spans="1:3" x14ac:dyDescent="0.25">
      <c r="A1448" s="42">
        <v>1062</v>
      </c>
      <c r="B1448" s="43">
        <v>15.98</v>
      </c>
      <c r="C1448" s="42" t="s">
        <v>1384</v>
      </c>
    </row>
    <row r="1449" spans="1:3" x14ac:dyDescent="0.25">
      <c r="A1449" s="42">
        <v>1063</v>
      </c>
      <c r="B1449" s="43">
        <v>200</v>
      </c>
      <c r="C1449" s="42" t="s">
        <v>1384</v>
      </c>
    </row>
    <row r="1450" spans="1:3" x14ac:dyDescent="0.25">
      <c r="A1450" s="42">
        <v>1063</v>
      </c>
      <c r="B1450" s="43">
        <v>200</v>
      </c>
      <c r="C1450" s="42" t="s">
        <v>1384</v>
      </c>
    </row>
    <row r="1451" spans="1:3" x14ac:dyDescent="0.25">
      <c r="A1451" s="42">
        <v>1064</v>
      </c>
      <c r="B1451" s="43">
        <v>2976</v>
      </c>
      <c r="C1451" s="42" t="s">
        <v>1384</v>
      </c>
    </row>
    <row r="1452" spans="1:3" x14ac:dyDescent="0.25">
      <c r="A1452" s="42">
        <v>1065</v>
      </c>
      <c r="B1452" s="43"/>
      <c r="C1452" s="42" t="s">
        <v>1384</v>
      </c>
    </row>
    <row r="1453" spans="1:3" x14ac:dyDescent="0.25">
      <c r="A1453" s="42">
        <v>1065</v>
      </c>
      <c r="B1453" s="43">
        <v>308</v>
      </c>
      <c r="C1453" s="42" t="s">
        <v>1384</v>
      </c>
    </row>
    <row r="1454" spans="1:3" x14ac:dyDescent="0.25">
      <c r="A1454" s="42">
        <v>1066</v>
      </c>
      <c r="B1454" s="43"/>
      <c r="C1454" s="42" t="s">
        <v>1384</v>
      </c>
    </row>
    <row r="1455" spans="1:3" x14ac:dyDescent="0.25">
      <c r="A1455" s="42">
        <v>1067</v>
      </c>
      <c r="B1455" s="43"/>
      <c r="C1455" s="42" t="s">
        <v>1384</v>
      </c>
    </row>
    <row r="1456" spans="1:3" x14ac:dyDescent="0.25">
      <c r="A1456" s="42">
        <v>1068</v>
      </c>
      <c r="B1456" s="43"/>
      <c r="C1456" s="42" t="s">
        <v>1384</v>
      </c>
    </row>
    <row r="1457" spans="1:3" x14ac:dyDescent="0.25">
      <c r="A1457" s="42">
        <v>1069</v>
      </c>
      <c r="B1457" s="43"/>
      <c r="C1457" s="42" t="s">
        <v>1384</v>
      </c>
    </row>
    <row r="1458" spans="1:3" x14ac:dyDescent="0.25">
      <c r="A1458" s="42">
        <v>1070</v>
      </c>
      <c r="B1458" s="43"/>
      <c r="C1458" s="42" t="s">
        <v>1384</v>
      </c>
    </row>
    <row r="1459" spans="1:3" x14ac:dyDescent="0.25">
      <c r="A1459" s="42">
        <v>1071</v>
      </c>
      <c r="B1459" s="43"/>
      <c r="C1459" s="42" t="s">
        <v>1384</v>
      </c>
    </row>
    <row r="1460" spans="1:3" x14ac:dyDescent="0.25">
      <c r="A1460" s="42">
        <v>1072</v>
      </c>
      <c r="B1460" s="43"/>
      <c r="C1460" s="42" t="s">
        <v>1384</v>
      </c>
    </row>
    <row r="1461" spans="1:3" x14ac:dyDescent="0.25">
      <c r="A1461" s="42">
        <v>1073</v>
      </c>
      <c r="B1461" s="43"/>
      <c r="C1461" s="42" t="s">
        <v>1384</v>
      </c>
    </row>
    <row r="1462" spans="1:3" x14ac:dyDescent="0.25">
      <c r="A1462" s="42">
        <v>1074</v>
      </c>
      <c r="B1462" s="43"/>
      <c r="C1462" s="42" t="s">
        <v>1384</v>
      </c>
    </row>
    <row r="1463" spans="1:3" x14ac:dyDescent="0.25">
      <c r="A1463" s="42">
        <v>1075</v>
      </c>
      <c r="B1463" s="43"/>
      <c r="C1463" s="42" t="s">
        <v>1384</v>
      </c>
    </row>
    <row r="1464" spans="1:3" x14ac:dyDescent="0.25">
      <c r="A1464" s="42">
        <v>1076</v>
      </c>
      <c r="B1464" s="43"/>
      <c r="C1464" s="42" t="s">
        <v>1384</v>
      </c>
    </row>
    <row r="1465" spans="1:3" x14ac:dyDescent="0.25">
      <c r="A1465" s="42">
        <v>1077</v>
      </c>
      <c r="B1465" s="43"/>
      <c r="C1465" s="42" t="s">
        <v>1384</v>
      </c>
    </row>
    <row r="1466" spans="1:3" x14ac:dyDescent="0.25">
      <c r="A1466" s="42">
        <v>1078</v>
      </c>
      <c r="B1466" s="43"/>
      <c r="C1466" s="42" t="s">
        <v>1384</v>
      </c>
    </row>
    <row r="1467" spans="1:3" x14ac:dyDescent="0.25">
      <c r="A1467" s="42">
        <v>1079</v>
      </c>
      <c r="B1467" s="43"/>
      <c r="C1467" s="42" t="s">
        <v>1384</v>
      </c>
    </row>
    <row r="1468" spans="1:3" x14ac:dyDescent="0.25">
      <c r="A1468" s="42">
        <v>1080</v>
      </c>
      <c r="B1468" s="43"/>
      <c r="C1468" s="42" t="s">
        <v>1384</v>
      </c>
    </row>
    <row r="1469" spans="1:3" x14ac:dyDescent="0.25">
      <c r="A1469" s="42">
        <v>1081</v>
      </c>
      <c r="B1469" s="43"/>
      <c r="C1469" s="42" t="s">
        <v>1384</v>
      </c>
    </row>
    <row r="1470" spans="1:3" x14ac:dyDescent="0.25">
      <c r="A1470" s="42">
        <v>1082</v>
      </c>
      <c r="B1470" s="43"/>
      <c r="C1470" s="42" t="s">
        <v>1384</v>
      </c>
    </row>
    <row r="1471" spans="1:3" x14ac:dyDescent="0.25">
      <c r="A1471" s="42">
        <v>1082</v>
      </c>
      <c r="B1471" s="43"/>
      <c r="C1471" s="42" t="s">
        <v>1384</v>
      </c>
    </row>
    <row r="1472" spans="1:3" x14ac:dyDescent="0.25">
      <c r="A1472" s="42">
        <v>1083</v>
      </c>
      <c r="B1472" s="43"/>
      <c r="C1472" s="42" t="s">
        <v>1384</v>
      </c>
    </row>
    <row r="1473" spans="1:3" x14ac:dyDescent="0.25">
      <c r="A1473" s="42">
        <v>1084</v>
      </c>
      <c r="B1473" s="43">
        <v>230</v>
      </c>
      <c r="C1473" s="42" t="s">
        <v>1384</v>
      </c>
    </row>
    <row r="1474" spans="1:3" x14ac:dyDescent="0.25">
      <c r="A1474" s="42">
        <v>1084</v>
      </c>
      <c r="B1474" s="43">
        <v>230</v>
      </c>
      <c r="C1474" s="42" t="s">
        <v>1384</v>
      </c>
    </row>
    <row r="1475" spans="1:3" x14ac:dyDescent="0.25">
      <c r="A1475" s="42">
        <v>1085</v>
      </c>
      <c r="B1475" s="43"/>
      <c r="C1475" s="42" t="s">
        <v>1384</v>
      </c>
    </row>
    <row r="1476" spans="1:3" x14ac:dyDescent="0.25">
      <c r="A1476" s="42">
        <v>1086</v>
      </c>
      <c r="B1476" s="43"/>
      <c r="C1476" s="42" t="s">
        <v>1384</v>
      </c>
    </row>
    <row r="1477" spans="1:3" x14ac:dyDescent="0.25">
      <c r="A1477" s="42">
        <v>1087</v>
      </c>
      <c r="B1477" s="43"/>
      <c r="C1477" s="42" t="s">
        <v>1384</v>
      </c>
    </row>
    <row r="1478" spans="1:3" x14ac:dyDescent="0.25">
      <c r="A1478" s="42">
        <v>1088</v>
      </c>
      <c r="B1478" s="43"/>
      <c r="C1478" s="42" t="s">
        <v>1384</v>
      </c>
    </row>
    <row r="1479" spans="1:3" x14ac:dyDescent="0.25">
      <c r="A1479" s="42">
        <v>1089</v>
      </c>
      <c r="B1479" s="43"/>
      <c r="C1479" s="42" t="s">
        <v>1384</v>
      </c>
    </row>
    <row r="1480" spans="1:3" x14ac:dyDescent="0.25">
      <c r="A1480" s="42">
        <v>1089</v>
      </c>
      <c r="B1480" s="43"/>
      <c r="C1480" s="42" t="s">
        <v>1384</v>
      </c>
    </row>
    <row r="1481" spans="1:3" x14ac:dyDescent="0.25">
      <c r="A1481" s="42">
        <v>1090</v>
      </c>
      <c r="B1481" s="43"/>
      <c r="C1481" s="42" t="s">
        <v>1384</v>
      </c>
    </row>
    <row r="1482" spans="1:3" x14ac:dyDescent="0.25">
      <c r="A1482" s="42">
        <v>1090</v>
      </c>
      <c r="B1482" s="43"/>
      <c r="C1482" s="42" t="s">
        <v>1384</v>
      </c>
    </row>
    <row r="1483" spans="1:3" x14ac:dyDescent="0.25">
      <c r="A1483" s="42">
        <v>1090</v>
      </c>
      <c r="B1483" s="43"/>
      <c r="C1483" s="42" t="s">
        <v>1384</v>
      </c>
    </row>
    <row r="1484" spans="1:3" x14ac:dyDescent="0.25">
      <c r="A1484" s="42">
        <v>1091</v>
      </c>
      <c r="B1484" s="43"/>
      <c r="C1484" s="42" t="s">
        <v>1384</v>
      </c>
    </row>
    <row r="1485" spans="1:3" x14ac:dyDescent="0.25">
      <c r="A1485" s="42">
        <v>1091</v>
      </c>
      <c r="B1485" s="43"/>
      <c r="C1485" s="42" t="s">
        <v>1384</v>
      </c>
    </row>
    <row r="1486" spans="1:3" x14ac:dyDescent="0.25">
      <c r="A1486" s="42">
        <v>1091</v>
      </c>
      <c r="B1486" s="43"/>
      <c r="C1486" s="42" t="s">
        <v>1384</v>
      </c>
    </row>
    <row r="1487" spans="1:3" x14ac:dyDescent="0.25">
      <c r="A1487" s="42">
        <v>1092</v>
      </c>
      <c r="B1487" s="43"/>
      <c r="C1487" s="42" t="s">
        <v>1384</v>
      </c>
    </row>
    <row r="1488" spans="1:3" x14ac:dyDescent="0.25">
      <c r="A1488" s="42">
        <v>1093</v>
      </c>
      <c r="B1488" s="43"/>
      <c r="C1488" s="42" t="s">
        <v>1384</v>
      </c>
    </row>
    <row r="1489" spans="1:3" x14ac:dyDescent="0.25">
      <c r="A1489" s="42">
        <v>1094</v>
      </c>
      <c r="B1489" s="43"/>
      <c r="C1489" s="42" t="s">
        <v>1384</v>
      </c>
    </row>
    <row r="1490" spans="1:3" x14ac:dyDescent="0.25">
      <c r="A1490" s="42">
        <v>1094</v>
      </c>
      <c r="B1490" s="43"/>
      <c r="C1490" s="42" t="s">
        <v>1384</v>
      </c>
    </row>
    <row r="1491" spans="1:3" x14ac:dyDescent="0.25">
      <c r="A1491" s="42">
        <v>1094</v>
      </c>
      <c r="B1491" s="43"/>
      <c r="C1491" s="42" t="s">
        <v>1384</v>
      </c>
    </row>
    <row r="1492" spans="1:3" x14ac:dyDescent="0.25">
      <c r="A1492" s="42">
        <v>1094</v>
      </c>
      <c r="B1492" s="43"/>
      <c r="C1492" s="42" t="s">
        <v>1384</v>
      </c>
    </row>
    <row r="1493" spans="1:3" x14ac:dyDescent="0.25">
      <c r="A1493" s="42">
        <v>1094</v>
      </c>
      <c r="B1493" s="43"/>
      <c r="C1493" s="42" t="s">
        <v>1384</v>
      </c>
    </row>
    <row r="1494" spans="1:3" x14ac:dyDescent="0.25">
      <c r="A1494" s="42">
        <v>1095</v>
      </c>
      <c r="B1494" s="43"/>
      <c r="C1494" s="42" t="s">
        <v>1384</v>
      </c>
    </row>
    <row r="1495" spans="1:3" x14ac:dyDescent="0.25">
      <c r="A1495" s="42">
        <v>1096</v>
      </c>
      <c r="B1495" s="43"/>
      <c r="C1495" s="42" t="s">
        <v>1384</v>
      </c>
    </row>
    <row r="1496" spans="1:3" x14ac:dyDescent="0.25">
      <c r="A1496" s="42">
        <v>1096</v>
      </c>
      <c r="B1496" s="43"/>
      <c r="C1496" s="42" t="s">
        <v>1384</v>
      </c>
    </row>
    <row r="1497" spans="1:3" x14ac:dyDescent="0.25">
      <c r="A1497" s="42">
        <v>1096</v>
      </c>
      <c r="B1497" s="43"/>
      <c r="C1497" s="42" t="s">
        <v>1384</v>
      </c>
    </row>
    <row r="1498" spans="1:3" x14ac:dyDescent="0.25">
      <c r="A1498" s="42">
        <v>1096</v>
      </c>
      <c r="B1498" s="43"/>
      <c r="C1498" s="42" t="s">
        <v>1384</v>
      </c>
    </row>
    <row r="1499" spans="1:3" x14ac:dyDescent="0.25">
      <c r="A1499" s="42">
        <v>1097</v>
      </c>
      <c r="B1499" s="43"/>
      <c r="C1499" s="42" t="s">
        <v>1384</v>
      </c>
    </row>
    <row r="1500" spans="1:3" x14ac:dyDescent="0.25">
      <c r="A1500" s="42">
        <v>1097</v>
      </c>
      <c r="B1500" s="43"/>
      <c r="C1500" s="42" t="s">
        <v>1384</v>
      </c>
    </row>
    <row r="1501" spans="1:3" x14ac:dyDescent="0.25">
      <c r="A1501" s="42">
        <v>1097</v>
      </c>
      <c r="B1501" s="43"/>
      <c r="C1501" s="42" t="s">
        <v>1384</v>
      </c>
    </row>
    <row r="1502" spans="1:3" x14ac:dyDescent="0.25">
      <c r="A1502" s="42">
        <v>1097</v>
      </c>
      <c r="B1502" s="43"/>
      <c r="C1502" s="42" t="s">
        <v>1384</v>
      </c>
    </row>
    <row r="1503" spans="1:3" x14ac:dyDescent="0.25">
      <c r="A1503" s="42">
        <v>1098</v>
      </c>
      <c r="B1503" s="43"/>
      <c r="C1503" s="42" t="s">
        <v>1384</v>
      </c>
    </row>
    <row r="1504" spans="1:3" x14ac:dyDescent="0.25">
      <c r="A1504" s="42">
        <v>1099</v>
      </c>
      <c r="B1504" s="43"/>
      <c r="C1504" s="42" t="s">
        <v>1384</v>
      </c>
    </row>
    <row r="1505" spans="1:3" x14ac:dyDescent="0.25">
      <c r="A1505" s="42">
        <v>1100</v>
      </c>
      <c r="B1505" s="43"/>
      <c r="C1505" s="42" t="s">
        <v>1384</v>
      </c>
    </row>
    <row r="1506" spans="1:3" x14ac:dyDescent="0.25">
      <c r="A1506" s="42">
        <v>1101</v>
      </c>
      <c r="B1506" s="43"/>
      <c r="C1506" s="42" t="s">
        <v>1384</v>
      </c>
    </row>
    <row r="1507" spans="1:3" x14ac:dyDescent="0.25">
      <c r="A1507" s="42">
        <v>1102</v>
      </c>
      <c r="B1507" s="43"/>
      <c r="C1507" s="42" t="s">
        <v>1384</v>
      </c>
    </row>
    <row r="1508" spans="1:3" x14ac:dyDescent="0.25">
      <c r="A1508" s="42">
        <v>1103</v>
      </c>
      <c r="B1508" s="43"/>
      <c r="C1508" s="42" t="s">
        <v>1384</v>
      </c>
    </row>
    <row r="1509" spans="1:3" x14ac:dyDescent="0.25">
      <c r="A1509" s="42">
        <v>1103</v>
      </c>
      <c r="B1509" s="43"/>
      <c r="C1509" s="42" t="s">
        <v>1384</v>
      </c>
    </row>
    <row r="1510" spans="1:3" x14ac:dyDescent="0.25">
      <c r="A1510" s="42">
        <v>1103</v>
      </c>
      <c r="B1510" s="43"/>
      <c r="C1510" s="42" t="s">
        <v>1384</v>
      </c>
    </row>
    <row r="1511" spans="1:3" x14ac:dyDescent="0.25">
      <c r="A1511" s="42">
        <v>1104</v>
      </c>
      <c r="B1511" s="43"/>
      <c r="C1511" s="42" t="s">
        <v>1384</v>
      </c>
    </row>
    <row r="1512" spans="1:3" x14ac:dyDescent="0.25">
      <c r="A1512" s="42">
        <v>1104</v>
      </c>
      <c r="B1512" s="43"/>
      <c r="C1512" s="42" t="s">
        <v>1384</v>
      </c>
    </row>
    <row r="1513" spans="1:3" x14ac:dyDescent="0.25">
      <c r="A1513" s="42">
        <v>1104</v>
      </c>
      <c r="B1513" s="43"/>
      <c r="C1513" s="42" t="s">
        <v>1384</v>
      </c>
    </row>
    <row r="1514" spans="1:3" x14ac:dyDescent="0.25">
      <c r="A1514" s="42">
        <v>1104</v>
      </c>
      <c r="B1514" s="43"/>
      <c r="C1514" s="42" t="s">
        <v>1384</v>
      </c>
    </row>
    <row r="1515" spans="1:3" x14ac:dyDescent="0.25">
      <c r="A1515" s="42">
        <v>1105</v>
      </c>
      <c r="B1515" s="43"/>
      <c r="C1515" s="42" t="s">
        <v>1384</v>
      </c>
    </row>
    <row r="1516" spans="1:3" x14ac:dyDescent="0.25">
      <c r="A1516" s="42">
        <v>1105</v>
      </c>
      <c r="B1516" s="43"/>
      <c r="C1516" s="42" t="s">
        <v>1384</v>
      </c>
    </row>
    <row r="1517" spans="1:3" x14ac:dyDescent="0.25">
      <c r="A1517" s="42">
        <v>1106</v>
      </c>
      <c r="B1517" s="43"/>
      <c r="C1517" s="42" t="s">
        <v>1384</v>
      </c>
    </row>
    <row r="1518" spans="1:3" x14ac:dyDescent="0.25">
      <c r="A1518" s="42">
        <v>1107</v>
      </c>
      <c r="B1518" s="43"/>
      <c r="C1518" s="42" t="s">
        <v>1384</v>
      </c>
    </row>
    <row r="1519" spans="1:3" x14ac:dyDescent="0.25">
      <c r="A1519" s="42">
        <v>1108</v>
      </c>
      <c r="B1519" s="43"/>
      <c r="C1519" s="42" t="s">
        <v>1384</v>
      </c>
    </row>
    <row r="1520" spans="1:3" x14ac:dyDescent="0.25">
      <c r="A1520" s="42">
        <v>1108</v>
      </c>
      <c r="B1520" s="43"/>
      <c r="C1520" s="42" t="s">
        <v>1384</v>
      </c>
    </row>
    <row r="1521" spans="1:3" x14ac:dyDescent="0.25">
      <c r="A1521" s="42">
        <v>1109</v>
      </c>
      <c r="B1521" s="43"/>
      <c r="C1521" s="42" t="s">
        <v>1384</v>
      </c>
    </row>
    <row r="1522" spans="1:3" x14ac:dyDescent="0.25">
      <c r="A1522" s="42">
        <v>1110</v>
      </c>
      <c r="B1522" s="43"/>
      <c r="C1522" s="42" t="s">
        <v>1384</v>
      </c>
    </row>
    <row r="1523" spans="1:3" x14ac:dyDescent="0.25">
      <c r="A1523" s="42">
        <v>1111</v>
      </c>
      <c r="B1523" s="43"/>
      <c r="C1523" s="42" t="s">
        <v>1384</v>
      </c>
    </row>
    <row r="1524" spans="1:3" x14ac:dyDescent="0.25">
      <c r="A1524" s="42">
        <v>1111</v>
      </c>
      <c r="B1524" s="43"/>
      <c r="C1524" s="42" t="s">
        <v>1384</v>
      </c>
    </row>
    <row r="1525" spans="1:3" x14ac:dyDescent="0.25">
      <c r="A1525" s="42">
        <v>1111</v>
      </c>
      <c r="B1525" s="43"/>
      <c r="C1525" s="42" t="s">
        <v>1384</v>
      </c>
    </row>
    <row r="1526" spans="1:3" x14ac:dyDescent="0.25">
      <c r="A1526" s="42">
        <v>1111</v>
      </c>
      <c r="B1526" s="43"/>
      <c r="C1526" s="42" t="s">
        <v>1384</v>
      </c>
    </row>
    <row r="1527" spans="1:3" x14ac:dyDescent="0.25">
      <c r="A1527" s="42">
        <v>1112</v>
      </c>
      <c r="B1527" s="43"/>
      <c r="C1527" s="42" t="s">
        <v>1384</v>
      </c>
    </row>
    <row r="1528" spans="1:3" x14ac:dyDescent="0.25">
      <c r="A1528" s="42">
        <v>1112</v>
      </c>
      <c r="B1528" s="43"/>
      <c r="C1528" s="42" t="s">
        <v>1384</v>
      </c>
    </row>
    <row r="1529" spans="1:3" x14ac:dyDescent="0.25">
      <c r="A1529" s="42">
        <v>1112</v>
      </c>
      <c r="B1529" s="43"/>
      <c r="C1529" s="42" t="s">
        <v>1384</v>
      </c>
    </row>
    <row r="1530" spans="1:3" x14ac:dyDescent="0.25">
      <c r="A1530" s="42">
        <v>1112</v>
      </c>
      <c r="B1530" s="43"/>
      <c r="C1530" s="42" t="s">
        <v>1384</v>
      </c>
    </row>
    <row r="1531" spans="1:3" x14ac:dyDescent="0.25">
      <c r="A1531" s="42">
        <v>1113</v>
      </c>
      <c r="B1531" s="43"/>
      <c r="C1531" s="42" t="s">
        <v>1384</v>
      </c>
    </row>
    <row r="1532" spans="1:3" x14ac:dyDescent="0.25">
      <c r="A1532" s="42">
        <v>1114</v>
      </c>
      <c r="B1532" s="43">
        <v>400</v>
      </c>
      <c r="C1532" s="42" t="s">
        <v>1384</v>
      </c>
    </row>
    <row r="1533" spans="1:3" x14ac:dyDescent="0.25">
      <c r="A1533" s="42">
        <v>1115</v>
      </c>
      <c r="B1533" s="43"/>
      <c r="C1533" s="42" t="s">
        <v>1384</v>
      </c>
    </row>
    <row r="1534" spans="1:3" x14ac:dyDescent="0.25">
      <c r="A1534" s="42">
        <v>1116</v>
      </c>
      <c r="B1534" s="43"/>
      <c r="C1534" s="42" t="s">
        <v>1384</v>
      </c>
    </row>
    <row r="1535" spans="1:3" x14ac:dyDescent="0.25">
      <c r="A1535" s="42">
        <v>1117</v>
      </c>
      <c r="B1535" s="43"/>
      <c r="C1535" s="42" t="s">
        <v>1384</v>
      </c>
    </row>
    <row r="1536" spans="1:3" x14ac:dyDescent="0.25">
      <c r="A1536" s="42">
        <v>1118</v>
      </c>
      <c r="B1536" s="43"/>
      <c r="C1536" s="42" t="s">
        <v>1384</v>
      </c>
    </row>
    <row r="1537" spans="1:3" x14ac:dyDescent="0.25">
      <c r="A1537" s="42">
        <v>1118</v>
      </c>
      <c r="B1537" s="43"/>
      <c r="C1537" s="42" t="s">
        <v>1384</v>
      </c>
    </row>
    <row r="1538" spans="1:3" x14ac:dyDescent="0.25">
      <c r="A1538" s="42">
        <v>1118</v>
      </c>
      <c r="B1538" s="43"/>
      <c r="C1538" s="42" t="s">
        <v>1384</v>
      </c>
    </row>
    <row r="1539" spans="1:3" x14ac:dyDescent="0.25">
      <c r="A1539" s="42">
        <v>1118</v>
      </c>
      <c r="B1539" s="43"/>
      <c r="C1539" s="42" t="s">
        <v>1384</v>
      </c>
    </row>
    <row r="1540" spans="1:3" x14ac:dyDescent="0.25">
      <c r="A1540" s="42">
        <v>1119</v>
      </c>
      <c r="B1540" s="43"/>
      <c r="C1540" s="42" t="s">
        <v>1384</v>
      </c>
    </row>
    <row r="1541" spans="1:3" x14ac:dyDescent="0.25">
      <c r="A1541" s="42">
        <v>1119</v>
      </c>
      <c r="B1541" s="43"/>
      <c r="C1541" s="42" t="s">
        <v>1384</v>
      </c>
    </row>
    <row r="1542" spans="1:3" x14ac:dyDescent="0.25">
      <c r="A1542" s="42">
        <v>1119</v>
      </c>
      <c r="B1542" s="43"/>
      <c r="C1542" s="42" t="s">
        <v>1384</v>
      </c>
    </row>
    <row r="1543" spans="1:3" x14ac:dyDescent="0.25">
      <c r="A1543" s="42">
        <v>1119</v>
      </c>
      <c r="B1543" s="43"/>
      <c r="C1543" s="42" t="s">
        <v>1384</v>
      </c>
    </row>
    <row r="1544" spans="1:3" x14ac:dyDescent="0.25">
      <c r="A1544" s="42">
        <v>1120</v>
      </c>
      <c r="B1544" s="43"/>
      <c r="C1544" s="42" t="s">
        <v>1384</v>
      </c>
    </row>
    <row r="1545" spans="1:3" x14ac:dyDescent="0.25">
      <c r="A1545" s="42">
        <v>1121</v>
      </c>
      <c r="B1545" s="43"/>
      <c r="C1545" s="42" t="s">
        <v>1384</v>
      </c>
    </row>
    <row r="1546" spans="1:3" x14ac:dyDescent="0.25">
      <c r="A1546" s="42">
        <v>1122</v>
      </c>
      <c r="B1546" s="43"/>
      <c r="C1546" s="42" t="s">
        <v>1384</v>
      </c>
    </row>
    <row r="1547" spans="1:3" x14ac:dyDescent="0.25">
      <c r="A1547" s="42">
        <v>1123</v>
      </c>
      <c r="B1547" s="43"/>
      <c r="C1547" s="42" t="s">
        <v>1384</v>
      </c>
    </row>
    <row r="1548" spans="1:3" x14ac:dyDescent="0.25">
      <c r="A1548" s="42">
        <v>1124</v>
      </c>
      <c r="B1548" s="43"/>
      <c r="C1548" s="42" t="s">
        <v>1384</v>
      </c>
    </row>
    <row r="1549" spans="1:3" x14ac:dyDescent="0.25">
      <c r="A1549" s="42">
        <v>1125</v>
      </c>
      <c r="B1549" s="43"/>
      <c r="C1549" s="42" t="s">
        <v>1384</v>
      </c>
    </row>
    <row r="1550" spans="1:3" x14ac:dyDescent="0.25">
      <c r="A1550" s="42">
        <v>1125</v>
      </c>
      <c r="B1550" s="43"/>
      <c r="C1550" s="42" t="s">
        <v>1384</v>
      </c>
    </row>
    <row r="1551" spans="1:3" x14ac:dyDescent="0.25">
      <c r="A1551" s="42">
        <v>1126</v>
      </c>
      <c r="B1551" s="43"/>
      <c r="C1551" s="42" t="s">
        <v>1384</v>
      </c>
    </row>
    <row r="1552" spans="1:3" x14ac:dyDescent="0.25">
      <c r="A1552" s="42">
        <v>1127</v>
      </c>
      <c r="B1552" s="43"/>
      <c r="C1552" s="42" t="s">
        <v>1384</v>
      </c>
    </row>
    <row r="1553" spans="1:3" x14ac:dyDescent="0.25">
      <c r="A1553" s="42">
        <v>1128</v>
      </c>
      <c r="B1553" s="43"/>
      <c r="C1553" s="42" t="s">
        <v>1384</v>
      </c>
    </row>
    <row r="1554" spans="1:3" x14ac:dyDescent="0.25">
      <c r="A1554" s="42">
        <v>1129</v>
      </c>
      <c r="B1554" s="43"/>
      <c r="C1554" s="42" t="s">
        <v>1384</v>
      </c>
    </row>
    <row r="1555" spans="1:3" x14ac:dyDescent="0.25">
      <c r="A1555" s="42">
        <v>1130</v>
      </c>
      <c r="B1555" s="43"/>
      <c r="C1555" s="42" t="s">
        <v>1384</v>
      </c>
    </row>
    <row r="1556" spans="1:3" x14ac:dyDescent="0.25">
      <c r="A1556" s="42">
        <v>1131</v>
      </c>
      <c r="B1556" s="43"/>
      <c r="C1556" s="42" t="s">
        <v>1384</v>
      </c>
    </row>
    <row r="1557" spans="1:3" x14ac:dyDescent="0.25">
      <c r="A1557" s="42">
        <v>1131</v>
      </c>
      <c r="B1557" s="43"/>
      <c r="C1557" s="42" t="s">
        <v>1384</v>
      </c>
    </row>
    <row r="1558" spans="1:3" x14ac:dyDescent="0.25">
      <c r="A1558" s="42">
        <v>1132</v>
      </c>
      <c r="B1558" s="43"/>
      <c r="C1558" s="42" t="s">
        <v>1384</v>
      </c>
    </row>
    <row r="1559" spans="1:3" x14ac:dyDescent="0.25">
      <c r="A1559" s="42">
        <v>1133</v>
      </c>
      <c r="B1559" s="43"/>
      <c r="C1559" s="42" t="s">
        <v>1384</v>
      </c>
    </row>
    <row r="1560" spans="1:3" x14ac:dyDescent="0.25">
      <c r="A1560" s="42">
        <v>1133</v>
      </c>
      <c r="B1560" s="43"/>
      <c r="C1560" s="42" t="s">
        <v>1384</v>
      </c>
    </row>
    <row r="1561" spans="1:3" x14ac:dyDescent="0.25">
      <c r="A1561" s="42">
        <v>1134</v>
      </c>
      <c r="B1561" s="43"/>
      <c r="C1561" s="42" t="s">
        <v>1384</v>
      </c>
    </row>
    <row r="1562" spans="1:3" x14ac:dyDescent="0.25">
      <c r="A1562" s="42">
        <v>1135</v>
      </c>
      <c r="B1562" s="43"/>
      <c r="C1562" s="42" t="s">
        <v>1384</v>
      </c>
    </row>
    <row r="1563" spans="1:3" x14ac:dyDescent="0.25">
      <c r="A1563" s="42">
        <v>1136</v>
      </c>
      <c r="B1563" s="43"/>
      <c r="C1563" s="42" t="s">
        <v>1384</v>
      </c>
    </row>
    <row r="1564" spans="1:3" x14ac:dyDescent="0.25">
      <c r="A1564" s="42">
        <v>1137</v>
      </c>
      <c r="B1564" s="43"/>
      <c r="C1564" s="42" t="s">
        <v>1384</v>
      </c>
    </row>
    <row r="1565" spans="1:3" x14ac:dyDescent="0.25">
      <c r="A1565" s="42">
        <v>1138</v>
      </c>
      <c r="B1565" s="43"/>
      <c r="C1565" s="42" t="s">
        <v>1384</v>
      </c>
    </row>
    <row r="1566" spans="1:3" x14ac:dyDescent="0.25">
      <c r="A1566" s="42">
        <v>1139</v>
      </c>
      <c r="B1566" s="43"/>
      <c r="C1566" s="42" t="s">
        <v>1384</v>
      </c>
    </row>
    <row r="1567" spans="1:3" x14ac:dyDescent="0.25">
      <c r="A1567" s="42">
        <v>1140</v>
      </c>
      <c r="B1567" s="43"/>
      <c r="C1567" s="42" t="s">
        <v>1384</v>
      </c>
    </row>
    <row r="1568" spans="1:3" x14ac:dyDescent="0.25">
      <c r="A1568" s="42">
        <v>1141</v>
      </c>
      <c r="B1568" s="43"/>
      <c r="C1568" s="42" t="s">
        <v>1384</v>
      </c>
    </row>
    <row r="1569" spans="1:3" x14ac:dyDescent="0.25">
      <c r="A1569" s="42">
        <v>1142</v>
      </c>
      <c r="B1569" s="43"/>
      <c r="C1569" s="42" t="s">
        <v>1384</v>
      </c>
    </row>
    <row r="1570" spans="1:3" x14ac:dyDescent="0.25">
      <c r="A1570" s="42">
        <v>1143</v>
      </c>
      <c r="B1570" s="43"/>
      <c r="C1570" s="42" t="s">
        <v>1384</v>
      </c>
    </row>
    <row r="1571" spans="1:3" x14ac:dyDescent="0.25">
      <c r="A1571" s="42">
        <v>1144</v>
      </c>
      <c r="B1571" s="43"/>
      <c r="C1571" s="42" t="s">
        <v>1384</v>
      </c>
    </row>
    <row r="1572" spans="1:3" x14ac:dyDescent="0.25">
      <c r="A1572" s="42">
        <v>1144</v>
      </c>
      <c r="B1572" s="43"/>
      <c r="C1572" s="42" t="s">
        <v>1384</v>
      </c>
    </row>
    <row r="1573" spans="1:3" x14ac:dyDescent="0.25">
      <c r="A1573" s="42">
        <v>1144</v>
      </c>
      <c r="B1573" s="43"/>
      <c r="C1573" s="42" t="s">
        <v>1384</v>
      </c>
    </row>
    <row r="1574" spans="1:3" x14ac:dyDescent="0.25">
      <c r="A1574" s="42">
        <v>1145</v>
      </c>
      <c r="B1574" s="43"/>
      <c r="C1574" s="42" t="s">
        <v>1384</v>
      </c>
    </row>
    <row r="1575" spans="1:3" x14ac:dyDescent="0.25">
      <c r="A1575" s="42">
        <v>1146</v>
      </c>
      <c r="B1575" s="43"/>
      <c r="C1575" s="42" t="s">
        <v>1384</v>
      </c>
    </row>
    <row r="1576" spans="1:3" x14ac:dyDescent="0.25">
      <c r="A1576" s="42">
        <v>1146</v>
      </c>
      <c r="B1576" s="43"/>
      <c r="C1576" s="42" t="s">
        <v>1384</v>
      </c>
    </row>
    <row r="1577" spans="1:3" x14ac:dyDescent="0.25">
      <c r="A1577" s="42">
        <v>1146</v>
      </c>
      <c r="B1577" s="43"/>
      <c r="C1577" s="42" t="s">
        <v>1384</v>
      </c>
    </row>
    <row r="1578" spans="1:3" x14ac:dyDescent="0.25">
      <c r="A1578" s="42">
        <v>1146</v>
      </c>
      <c r="B1578" s="43"/>
      <c r="C1578" s="42" t="s">
        <v>1384</v>
      </c>
    </row>
    <row r="1579" spans="1:3" x14ac:dyDescent="0.25">
      <c r="A1579" s="42">
        <v>1147</v>
      </c>
      <c r="B1579" s="43">
        <v>1000</v>
      </c>
      <c r="C1579" s="42" t="s">
        <v>1384</v>
      </c>
    </row>
    <row r="1580" spans="1:3" x14ac:dyDescent="0.25">
      <c r="A1580" s="42">
        <v>1147</v>
      </c>
      <c r="B1580" s="43">
        <v>1000</v>
      </c>
      <c r="C1580" s="42" t="s">
        <v>1384</v>
      </c>
    </row>
    <row r="1581" spans="1:3" x14ac:dyDescent="0.25">
      <c r="A1581" s="42">
        <v>1147</v>
      </c>
      <c r="B1581" s="43">
        <v>1000</v>
      </c>
      <c r="C1581" s="42" t="s">
        <v>1384</v>
      </c>
    </row>
    <row r="1582" spans="1:3" x14ac:dyDescent="0.25">
      <c r="A1582" s="42">
        <v>1147</v>
      </c>
      <c r="B1582" s="43">
        <v>1000</v>
      </c>
      <c r="C1582" s="42" t="s">
        <v>1384</v>
      </c>
    </row>
    <row r="1583" spans="1:3" x14ac:dyDescent="0.25">
      <c r="A1583" s="42">
        <v>1147</v>
      </c>
      <c r="B1583" s="43">
        <v>1000</v>
      </c>
      <c r="C1583" s="42" t="s">
        <v>1384</v>
      </c>
    </row>
    <row r="1584" spans="1:3" x14ac:dyDescent="0.25">
      <c r="A1584" s="42">
        <v>1147</v>
      </c>
      <c r="B1584" s="43">
        <v>1000</v>
      </c>
      <c r="C1584" s="42" t="s">
        <v>1384</v>
      </c>
    </row>
    <row r="1585" spans="1:3" x14ac:dyDescent="0.25">
      <c r="A1585" s="42">
        <v>1148</v>
      </c>
      <c r="B1585" s="43">
        <v>950</v>
      </c>
      <c r="C1585" s="42" t="s">
        <v>1384</v>
      </c>
    </row>
    <row r="1586" spans="1:3" x14ac:dyDescent="0.25">
      <c r="A1586" s="42">
        <v>1148</v>
      </c>
      <c r="B1586" s="43">
        <v>950</v>
      </c>
      <c r="C1586" s="42" t="s">
        <v>1384</v>
      </c>
    </row>
    <row r="1587" spans="1:3" x14ac:dyDescent="0.25">
      <c r="A1587" s="42">
        <v>1148</v>
      </c>
      <c r="B1587" s="43">
        <v>950</v>
      </c>
      <c r="C1587" s="42" t="s">
        <v>1384</v>
      </c>
    </row>
    <row r="1588" spans="1:3" x14ac:dyDescent="0.25">
      <c r="A1588" s="42">
        <v>1148</v>
      </c>
      <c r="B1588" s="43">
        <v>950</v>
      </c>
      <c r="C1588" s="42" t="s">
        <v>1384</v>
      </c>
    </row>
    <row r="1589" spans="1:3" x14ac:dyDescent="0.25">
      <c r="A1589" s="42">
        <v>1148</v>
      </c>
      <c r="B1589" s="43">
        <v>950</v>
      </c>
      <c r="C1589" s="42" t="s">
        <v>1384</v>
      </c>
    </row>
    <row r="1590" spans="1:3" x14ac:dyDescent="0.25">
      <c r="A1590" s="42">
        <v>1149</v>
      </c>
      <c r="B1590" s="43"/>
      <c r="C1590" s="42" t="s">
        <v>1384</v>
      </c>
    </row>
    <row r="1591" spans="1:3" x14ac:dyDescent="0.25">
      <c r="A1591" s="42">
        <v>1150</v>
      </c>
      <c r="B1591" s="43"/>
      <c r="C1591" s="42" t="s">
        <v>1384</v>
      </c>
    </row>
    <row r="1592" spans="1:3" x14ac:dyDescent="0.25">
      <c r="A1592" s="42">
        <v>1151</v>
      </c>
      <c r="B1592" s="43"/>
      <c r="C1592" s="42" t="s">
        <v>1384</v>
      </c>
    </row>
    <row r="1593" spans="1:3" x14ac:dyDescent="0.25">
      <c r="A1593" s="42">
        <v>1152</v>
      </c>
      <c r="B1593" s="43"/>
      <c r="C1593" s="42" t="s">
        <v>1384</v>
      </c>
    </row>
    <row r="1594" spans="1:3" x14ac:dyDescent="0.25">
      <c r="A1594" s="42">
        <v>1153</v>
      </c>
      <c r="B1594" s="43"/>
      <c r="C1594" s="42" t="s">
        <v>1384</v>
      </c>
    </row>
    <row r="1595" spans="1:3" x14ac:dyDescent="0.25">
      <c r="A1595" s="42">
        <v>1154</v>
      </c>
      <c r="B1595" s="43"/>
      <c r="C1595" s="42" t="s">
        <v>1384</v>
      </c>
    </row>
    <row r="1596" spans="1:3" x14ac:dyDescent="0.25">
      <c r="A1596" s="42">
        <v>1155</v>
      </c>
      <c r="B1596" s="43"/>
      <c r="C1596" s="42" t="s">
        <v>1384</v>
      </c>
    </row>
    <row r="1597" spans="1:3" x14ac:dyDescent="0.25">
      <c r="A1597" s="42">
        <v>1156</v>
      </c>
      <c r="B1597" s="43"/>
      <c r="C1597" s="42" t="s">
        <v>1384</v>
      </c>
    </row>
    <row r="1598" spans="1:3" x14ac:dyDescent="0.25">
      <c r="A1598" s="42">
        <v>1157</v>
      </c>
      <c r="B1598" s="43"/>
      <c r="C1598" s="42" t="s">
        <v>1384</v>
      </c>
    </row>
    <row r="1599" spans="1:3" x14ac:dyDescent="0.25">
      <c r="A1599" s="42">
        <v>1158</v>
      </c>
      <c r="B1599" s="43"/>
      <c r="C1599" s="42" t="s">
        <v>1384</v>
      </c>
    </row>
    <row r="1600" spans="1:3" x14ac:dyDescent="0.25">
      <c r="A1600" s="42">
        <v>1159</v>
      </c>
      <c r="B1600" s="43"/>
      <c r="C1600" s="42" t="s">
        <v>1384</v>
      </c>
    </row>
    <row r="1601" spans="1:3" x14ac:dyDescent="0.25">
      <c r="A1601" s="42">
        <v>1160</v>
      </c>
      <c r="B1601" s="43"/>
      <c r="C1601" s="42" t="s">
        <v>1384</v>
      </c>
    </row>
    <row r="1602" spans="1:3" x14ac:dyDescent="0.25">
      <c r="A1602" s="42">
        <v>1161</v>
      </c>
      <c r="B1602" s="43"/>
      <c r="C1602" s="42" t="s">
        <v>1384</v>
      </c>
    </row>
    <row r="1603" spans="1:3" x14ac:dyDescent="0.25">
      <c r="A1603" s="42">
        <v>1162</v>
      </c>
      <c r="B1603" s="43"/>
      <c r="C1603" s="42" t="s">
        <v>1384</v>
      </c>
    </row>
    <row r="1604" spans="1:3" x14ac:dyDescent="0.25">
      <c r="A1604" s="42">
        <v>1163</v>
      </c>
      <c r="B1604" s="43"/>
      <c r="C1604" s="42" t="s">
        <v>1384</v>
      </c>
    </row>
    <row r="1605" spans="1:3" x14ac:dyDescent="0.25">
      <c r="A1605" s="42">
        <v>1164</v>
      </c>
      <c r="B1605" s="43">
        <v>26.31</v>
      </c>
      <c r="C1605" s="42" t="s">
        <v>1384</v>
      </c>
    </row>
    <row r="1606" spans="1:3" x14ac:dyDescent="0.25">
      <c r="A1606" s="42">
        <v>1164</v>
      </c>
      <c r="B1606" s="43">
        <v>26.31</v>
      </c>
      <c r="C1606" s="42" t="s">
        <v>1384</v>
      </c>
    </row>
    <row r="1607" spans="1:3" x14ac:dyDescent="0.25">
      <c r="A1607" s="42">
        <v>1164</v>
      </c>
      <c r="B1607" s="43">
        <v>26.31</v>
      </c>
      <c r="C1607" s="42" t="s">
        <v>1384</v>
      </c>
    </row>
    <row r="1608" spans="1:3" x14ac:dyDescent="0.25">
      <c r="A1608" s="42">
        <v>1164</v>
      </c>
      <c r="B1608" s="43">
        <v>26.31</v>
      </c>
      <c r="C1608" s="42" t="s">
        <v>1384</v>
      </c>
    </row>
    <row r="1609" spans="1:3" x14ac:dyDescent="0.25">
      <c r="A1609" s="42">
        <v>1164</v>
      </c>
      <c r="B1609" s="43">
        <v>26.31</v>
      </c>
      <c r="C1609" s="42" t="s">
        <v>1384</v>
      </c>
    </row>
    <row r="1610" spans="1:3" x14ac:dyDescent="0.25">
      <c r="A1610" s="42">
        <v>1165</v>
      </c>
      <c r="B1610" s="43"/>
      <c r="C1610" s="42" t="s">
        <v>1384</v>
      </c>
    </row>
    <row r="1611" spans="1:3" x14ac:dyDescent="0.25">
      <c r="A1611" s="42">
        <v>1166</v>
      </c>
      <c r="B1611" s="43"/>
      <c r="C1611" s="42" t="s">
        <v>1384</v>
      </c>
    </row>
    <row r="1612" spans="1:3" x14ac:dyDescent="0.25">
      <c r="A1612" s="42">
        <v>1166</v>
      </c>
      <c r="B1612" s="43"/>
      <c r="C1612" s="42" t="s">
        <v>1384</v>
      </c>
    </row>
    <row r="1613" spans="1:3" x14ac:dyDescent="0.25">
      <c r="A1613" s="42">
        <v>1167</v>
      </c>
      <c r="B1613" s="43"/>
      <c r="C1613" s="42" t="s">
        <v>1384</v>
      </c>
    </row>
    <row r="1614" spans="1:3" x14ac:dyDescent="0.25">
      <c r="A1614" s="42">
        <v>1168</v>
      </c>
      <c r="B1614" s="43"/>
      <c r="C1614" s="42" t="s">
        <v>1384</v>
      </c>
    </row>
    <row r="1615" spans="1:3" x14ac:dyDescent="0.25">
      <c r="A1615" s="42">
        <v>1169</v>
      </c>
      <c r="B1615" s="43"/>
      <c r="C1615" s="42" t="s">
        <v>1384</v>
      </c>
    </row>
    <row r="1616" spans="1:3" x14ac:dyDescent="0.25">
      <c r="A1616" s="42">
        <v>1170</v>
      </c>
      <c r="B1616" s="43"/>
      <c r="C1616" s="42" t="s">
        <v>1384</v>
      </c>
    </row>
    <row r="1617" spans="1:3" x14ac:dyDescent="0.25">
      <c r="A1617" s="42">
        <v>1171</v>
      </c>
      <c r="B1617" s="43"/>
      <c r="C1617" s="42" t="s">
        <v>1384</v>
      </c>
    </row>
    <row r="1618" spans="1:3" x14ac:dyDescent="0.25">
      <c r="A1618" s="42">
        <v>1172</v>
      </c>
      <c r="B1618" s="43"/>
      <c r="C1618" s="42" t="s">
        <v>1384</v>
      </c>
    </row>
    <row r="1619" spans="1:3" x14ac:dyDescent="0.25">
      <c r="A1619" s="42">
        <v>1172</v>
      </c>
      <c r="B1619" s="43"/>
      <c r="C1619" s="42" t="s">
        <v>1384</v>
      </c>
    </row>
    <row r="1620" spans="1:3" x14ac:dyDescent="0.25">
      <c r="A1620" s="42">
        <v>1173</v>
      </c>
      <c r="B1620" s="43"/>
      <c r="C1620" s="42" t="s">
        <v>1384</v>
      </c>
    </row>
    <row r="1621" spans="1:3" x14ac:dyDescent="0.25">
      <c r="A1621" s="42">
        <v>1173</v>
      </c>
      <c r="B1621" s="43"/>
      <c r="C1621" s="42" t="s">
        <v>1384</v>
      </c>
    </row>
    <row r="1622" spans="1:3" x14ac:dyDescent="0.25">
      <c r="A1622" s="42">
        <v>1174</v>
      </c>
      <c r="B1622" s="43"/>
      <c r="C1622" s="42" t="s">
        <v>1384</v>
      </c>
    </row>
    <row r="1623" spans="1:3" x14ac:dyDescent="0.25">
      <c r="A1623" s="42">
        <v>1175</v>
      </c>
      <c r="B1623" s="43"/>
      <c r="C1623" s="42" t="s">
        <v>1384</v>
      </c>
    </row>
    <row r="1624" spans="1:3" x14ac:dyDescent="0.25">
      <c r="A1624" s="42">
        <v>1176</v>
      </c>
      <c r="B1624" s="43"/>
      <c r="C1624" s="42" t="s">
        <v>1384</v>
      </c>
    </row>
    <row r="1625" spans="1:3" x14ac:dyDescent="0.25">
      <c r="A1625" s="42">
        <v>1177</v>
      </c>
      <c r="B1625" s="43"/>
      <c r="C1625" s="42" t="s">
        <v>1384</v>
      </c>
    </row>
    <row r="1626" spans="1:3" x14ac:dyDescent="0.25">
      <c r="A1626" s="42">
        <v>1178</v>
      </c>
      <c r="B1626" s="43"/>
      <c r="C1626" s="42" t="s">
        <v>1384</v>
      </c>
    </row>
    <row r="1627" spans="1:3" x14ac:dyDescent="0.25">
      <c r="A1627" s="42">
        <v>1178</v>
      </c>
      <c r="B1627" s="43"/>
      <c r="C1627" s="42" t="s">
        <v>1384</v>
      </c>
    </row>
    <row r="1628" spans="1:3" x14ac:dyDescent="0.25">
      <c r="A1628" s="42">
        <v>1179</v>
      </c>
      <c r="B1628" s="43"/>
      <c r="C1628" s="42" t="s">
        <v>1384</v>
      </c>
    </row>
    <row r="1629" spans="1:3" x14ac:dyDescent="0.25">
      <c r="A1629" s="42">
        <v>1180</v>
      </c>
      <c r="B1629" s="43"/>
      <c r="C1629" s="42" t="s">
        <v>1384</v>
      </c>
    </row>
    <row r="1630" spans="1:3" x14ac:dyDescent="0.25">
      <c r="A1630" s="42">
        <v>1180</v>
      </c>
      <c r="B1630" s="43"/>
      <c r="C1630" s="42" t="s">
        <v>1384</v>
      </c>
    </row>
    <row r="1631" spans="1:3" x14ac:dyDescent="0.25">
      <c r="A1631" s="42">
        <v>1181</v>
      </c>
      <c r="B1631" s="43"/>
      <c r="C1631" s="42" t="s">
        <v>1384</v>
      </c>
    </row>
    <row r="1632" spans="1:3" x14ac:dyDescent="0.25">
      <c r="A1632" s="42">
        <v>1182</v>
      </c>
      <c r="B1632" s="43"/>
      <c r="C1632" s="42" t="s">
        <v>1384</v>
      </c>
    </row>
    <row r="1633" spans="1:3" x14ac:dyDescent="0.25">
      <c r="A1633" s="42">
        <v>1183</v>
      </c>
      <c r="B1633" s="43"/>
      <c r="C1633" s="42" t="s">
        <v>1384</v>
      </c>
    </row>
    <row r="1634" spans="1:3" x14ac:dyDescent="0.25">
      <c r="A1634" s="42">
        <v>1184</v>
      </c>
      <c r="B1634" s="43"/>
      <c r="C1634" s="42" t="s">
        <v>1384</v>
      </c>
    </row>
    <row r="1635" spans="1:3" x14ac:dyDescent="0.25">
      <c r="A1635" s="42">
        <v>1184</v>
      </c>
      <c r="B1635" s="43"/>
      <c r="C1635" s="42" t="s">
        <v>1384</v>
      </c>
    </row>
    <row r="1636" spans="1:3" x14ac:dyDescent="0.25">
      <c r="A1636" s="42">
        <v>1185</v>
      </c>
      <c r="B1636" s="43">
        <v>10.44</v>
      </c>
      <c r="C1636" s="42" t="s">
        <v>1384</v>
      </c>
    </row>
    <row r="1637" spans="1:3" x14ac:dyDescent="0.25">
      <c r="A1637" s="42">
        <v>1186</v>
      </c>
      <c r="B1637" s="43"/>
      <c r="C1637" s="42" t="s">
        <v>1384</v>
      </c>
    </row>
    <row r="1638" spans="1:3" x14ac:dyDescent="0.25">
      <c r="A1638" s="42">
        <v>1187</v>
      </c>
      <c r="B1638" s="43">
        <v>36.4</v>
      </c>
      <c r="C1638" s="42" t="s">
        <v>1384</v>
      </c>
    </row>
    <row r="1639" spans="1:3" x14ac:dyDescent="0.25">
      <c r="A1639" s="42">
        <v>1187</v>
      </c>
      <c r="B1639" s="43">
        <v>36.4</v>
      </c>
      <c r="C1639" s="42" t="s">
        <v>1384</v>
      </c>
    </row>
    <row r="1640" spans="1:3" x14ac:dyDescent="0.25">
      <c r="A1640" s="42">
        <v>1188</v>
      </c>
      <c r="B1640" s="43"/>
      <c r="C1640" s="42" t="s">
        <v>1384</v>
      </c>
    </row>
    <row r="1641" spans="1:3" x14ac:dyDescent="0.25">
      <c r="A1641" s="42">
        <v>1189</v>
      </c>
      <c r="B1641" s="43">
        <v>10</v>
      </c>
      <c r="C1641" s="42" t="s">
        <v>1384</v>
      </c>
    </row>
    <row r="1642" spans="1:3" x14ac:dyDescent="0.25">
      <c r="A1642" s="42">
        <v>1190</v>
      </c>
      <c r="B1642" s="43">
        <v>10</v>
      </c>
      <c r="C1642" s="42" t="s">
        <v>1384</v>
      </c>
    </row>
    <row r="1643" spans="1:3" x14ac:dyDescent="0.25">
      <c r="A1643" s="42">
        <v>1191</v>
      </c>
      <c r="B1643" s="43"/>
      <c r="C1643" s="42" t="s">
        <v>1384</v>
      </c>
    </row>
    <row r="1644" spans="1:3" x14ac:dyDescent="0.25">
      <c r="A1644" s="42">
        <v>1192</v>
      </c>
      <c r="B1644" s="43">
        <v>2699.6</v>
      </c>
      <c r="C1644" s="42" t="s">
        <v>1384</v>
      </c>
    </row>
    <row r="1645" spans="1:3" x14ac:dyDescent="0.25">
      <c r="A1645" s="42">
        <v>1193</v>
      </c>
      <c r="B1645" s="43"/>
      <c r="C1645" s="42" t="s">
        <v>1384</v>
      </c>
    </row>
    <row r="1646" spans="1:3" x14ac:dyDescent="0.25">
      <c r="A1646" s="42">
        <v>1194</v>
      </c>
      <c r="B1646" s="43"/>
      <c r="C1646" s="42" t="s">
        <v>1384</v>
      </c>
    </row>
    <row r="1647" spans="1:3" x14ac:dyDescent="0.25">
      <c r="A1647" s="42">
        <v>1195</v>
      </c>
      <c r="B1647" s="43">
        <v>166.75</v>
      </c>
      <c r="C1647" s="42" t="s">
        <v>1384</v>
      </c>
    </row>
    <row r="1648" spans="1:3" x14ac:dyDescent="0.25">
      <c r="A1648" s="42">
        <v>1195</v>
      </c>
      <c r="B1648" s="43">
        <v>166.75</v>
      </c>
      <c r="C1648" s="42" t="s">
        <v>1384</v>
      </c>
    </row>
    <row r="1649" spans="1:3" x14ac:dyDescent="0.25">
      <c r="A1649" s="42">
        <v>1195</v>
      </c>
      <c r="B1649" s="43">
        <v>166.75</v>
      </c>
      <c r="C1649" s="42" t="s">
        <v>1384</v>
      </c>
    </row>
    <row r="1650" spans="1:3" x14ac:dyDescent="0.25">
      <c r="A1650" s="42">
        <v>1195</v>
      </c>
      <c r="B1650" s="43">
        <v>166.75</v>
      </c>
      <c r="C1650" s="42" t="s">
        <v>1384</v>
      </c>
    </row>
    <row r="1651" spans="1:3" x14ac:dyDescent="0.25">
      <c r="A1651" s="42">
        <v>1195</v>
      </c>
      <c r="B1651" s="43">
        <v>166.75</v>
      </c>
      <c r="C1651" s="42" t="s">
        <v>1384</v>
      </c>
    </row>
    <row r="1652" spans="1:3" x14ac:dyDescent="0.25">
      <c r="A1652" s="42">
        <v>1196</v>
      </c>
      <c r="B1652" s="43"/>
      <c r="C1652" s="42" t="s">
        <v>1384</v>
      </c>
    </row>
    <row r="1653" spans="1:3" x14ac:dyDescent="0.25">
      <c r="A1653" s="42">
        <v>1196</v>
      </c>
      <c r="B1653" s="43"/>
      <c r="C1653" s="42" t="s">
        <v>1384</v>
      </c>
    </row>
    <row r="1654" spans="1:3" x14ac:dyDescent="0.25">
      <c r="A1654" s="42">
        <v>1197</v>
      </c>
      <c r="B1654" s="43"/>
      <c r="C1654" s="42" t="s">
        <v>1384</v>
      </c>
    </row>
    <row r="1655" spans="1:3" x14ac:dyDescent="0.25">
      <c r="A1655" s="42">
        <v>1198</v>
      </c>
      <c r="B1655" s="43"/>
      <c r="C1655" s="42" t="s">
        <v>1384</v>
      </c>
    </row>
    <row r="1656" spans="1:3" x14ac:dyDescent="0.25">
      <c r="A1656" s="42">
        <v>1198</v>
      </c>
      <c r="B1656" s="43"/>
      <c r="C1656" s="42" t="s">
        <v>1384</v>
      </c>
    </row>
    <row r="1657" spans="1:3" x14ac:dyDescent="0.25">
      <c r="A1657" s="42">
        <v>1199</v>
      </c>
      <c r="B1657" s="43"/>
      <c r="C1657" s="42" t="s">
        <v>1384</v>
      </c>
    </row>
    <row r="1658" spans="1:3" x14ac:dyDescent="0.25">
      <c r="A1658" s="42">
        <v>1199</v>
      </c>
      <c r="B1658" s="43"/>
      <c r="C1658" s="42" t="s">
        <v>1384</v>
      </c>
    </row>
    <row r="1659" spans="1:3" x14ac:dyDescent="0.25">
      <c r="A1659" s="42">
        <v>1200</v>
      </c>
      <c r="B1659" s="43"/>
      <c r="C1659" s="42" t="s">
        <v>1384</v>
      </c>
    </row>
    <row r="1660" spans="1:3" x14ac:dyDescent="0.25">
      <c r="A1660" s="42">
        <v>1201</v>
      </c>
      <c r="B1660" s="43"/>
      <c r="C1660" s="42" t="s">
        <v>1384</v>
      </c>
    </row>
    <row r="1661" spans="1:3" x14ac:dyDescent="0.25">
      <c r="A1661" s="42">
        <v>1201</v>
      </c>
      <c r="B1661" s="43"/>
      <c r="C1661" s="42" t="s">
        <v>1384</v>
      </c>
    </row>
    <row r="1662" spans="1:3" x14ac:dyDescent="0.25">
      <c r="A1662" s="42">
        <v>1201</v>
      </c>
      <c r="B1662" s="43"/>
      <c r="C1662" s="42" t="s">
        <v>1384</v>
      </c>
    </row>
    <row r="1663" spans="1:3" x14ac:dyDescent="0.25">
      <c r="A1663" s="42">
        <v>1202</v>
      </c>
      <c r="B1663" s="43"/>
      <c r="C1663" s="42" t="s">
        <v>1384</v>
      </c>
    </row>
    <row r="1664" spans="1:3" x14ac:dyDescent="0.25">
      <c r="A1664" s="42">
        <v>1203</v>
      </c>
      <c r="B1664" s="43"/>
      <c r="C1664" s="42" t="s">
        <v>1384</v>
      </c>
    </row>
    <row r="1665" spans="1:3" x14ac:dyDescent="0.25">
      <c r="A1665" s="42">
        <v>1204</v>
      </c>
      <c r="B1665" s="43">
        <v>260</v>
      </c>
      <c r="C1665" s="42" t="s">
        <v>1384</v>
      </c>
    </row>
    <row r="1666" spans="1:3" x14ac:dyDescent="0.25">
      <c r="A1666" s="42">
        <v>1204</v>
      </c>
      <c r="B1666" s="43">
        <v>260</v>
      </c>
      <c r="C1666" s="42" t="s">
        <v>1384</v>
      </c>
    </row>
    <row r="1667" spans="1:3" x14ac:dyDescent="0.25">
      <c r="A1667" s="42">
        <v>1205</v>
      </c>
      <c r="B1667" s="43"/>
      <c r="C1667" s="42" t="s">
        <v>1384</v>
      </c>
    </row>
    <row r="1668" spans="1:3" x14ac:dyDescent="0.25">
      <c r="A1668" s="42">
        <v>1206</v>
      </c>
      <c r="B1668" s="43"/>
      <c r="C1668" s="42" t="s">
        <v>1384</v>
      </c>
    </row>
    <row r="1669" spans="1:3" x14ac:dyDescent="0.25">
      <c r="A1669" s="42">
        <v>1207</v>
      </c>
      <c r="B1669" s="43"/>
      <c r="C1669" s="42" t="s">
        <v>1384</v>
      </c>
    </row>
    <row r="1670" spans="1:3" x14ac:dyDescent="0.25">
      <c r="A1670" s="42">
        <v>1208</v>
      </c>
      <c r="B1670" s="43"/>
      <c r="C1670" s="42" t="s">
        <v>1384</v>
      </c>
    </row>
    <row r="1671" spans="1:3" x14ac:dyDescent="0.25">
      <c r="A1671" s="42">
        <v>1209</v>
      </c>
      <c r="B1671" s="43">
        <v>482</v>
      </c>
      <c r="C1671" s="42" t="s">
        <v>1384</v>
      </c>
    </row>
    <row r="1672" spans="1:3" x14ac:dyDescent="0.25">
      <c r="A1672" s="42">
        <v>1209</v>
      </c>
      <c r="B1672" s="43">
        <v>482</v>
      </c>
      <c r="C1672" s="42" t="s">
        <v>1384</v>
      </c>
    </row>
    <row r="1673" spans="1:3" x14ac:dyDescent="0.25">
      <c r="A1673" s="42">
        <v>1210</v>
      </c>
      <c r="B1673" s="43"/>
      <c r="C1673" s="42" t="s">
        <v>1384</v>
      </c>
    </row>
    <row r="1674" spans="1:3" x14ac:dyDescent="0.25">
      <c r="A1674" s="42">
        <v>1211</v>
      </c>
      <c r="B1674" s="43"/>
      <c r="C1674" s="42" t="s">
        <v>1384</v>
      </c>
    </row>
    <row r="1675" spans="1:3" x14ac:dyDescent="0.25">
      <c r="A1675" s="42">
        <v>1212</v>
      </c>
      <c r="B1675" s="43"/>
      <c r="C1675" s="42" t="s">
        <v>1384</v>
      </c>
    </row>
    <row r="1676" spans="1:3" x14ac:dyDescent="0.25">
      <c r="A1676" s="42">
        <v>1213</v>
      </c>
      <c r="B1676" s="43"/>
      <c r="C1676" s="42" t="s">
        <v>1384</v>
      </c>
    </row>
    <row r="1677" spans="1:3" x14ac:dyDescent="0.25">
      <c r="A1677" s="42">
        <v>1214</v>
      </c>
      <c r="B1677" s="43"/>
      <c r="C1677" s="42" t="s">
        <v>1384</v>
      </c>
    </row>
    <row r="1678" spans="1:3" x14ac:dyDescent="0.25">
      <c r="A1678" s="42">
        <v>1215</v>
      </c>
      <c r="B1678" s="43">
        <v>345</v>
      </c>
      <c r="C1678" s="42" t="s">
        <v>1384</v>
      </c>
    </row>
    <row r="1679" spans="1:3" x14ac:dyDescent="0.25">
      <c r="A1679" s="42">
        <v>1215</v>
      </c>
      <c r="B1679" s="43">
        <v>345</v>
      </c>
      <c r="C1679" s="42" t="s">
        <v>1384</v>
      </c>
    </row>
    <row r="1680" spans="1:3" x14ac:dyDescent="0.25">
      <c r="A1680" s="42">
        <v>1215</v>
      </c>
      <c r="B1680" s="43">
        <v>345</v>
      </c>
      <c r="C1680" s="42" t="s">
        <v>1384</v>
      </c>
    </row>
    <row r="1681" spans="1:3" x14ac:dyDescent="0.25">
      <c r="A1681" s="42">
        <v>1216</v>
      </c>
      <c r="B1681" s="43"/>
      <c r="C1681" s="42" t="s">
        <v>1384</v>
      </c>
    </row>
    <row r="1682" spans="1:3" x14ac:dyDescent="0.25">
      <c r="A1682" s="42">
        <v>1217</v>
      </c>
      <c r="B1682" s="43"/>
      <c r="C1682" s="42" t="s">
        <v>1384</v>
      </c>
    </row>
    <row r="1683" spans="1:3" x14ac:dyDescent="0.25">
      <c r="A1683" s="42">
        <v>1218</v>
      </c>
      <c r="B1683" s="43"/>
      <c r="C1683" s="42" t="s">
        <v>1384</v>
      </c>
    </row>
    <row r="1684" spans="1:3" x14ac:dyDescent="0.25">
      <c r="A1684" s="42">
        <v>1219</v>
      </c>
      <c r="B1684" s="43">
        <v>660</v>
      </c>
      <c r="C1684" s="42" t="s">
        <v>1384</v>
      </c>
    </row>
    <row r="1685" spans="1:3" x14ac:dyDescent="0.25">
      <c r="A1685" s="42">
        <v>1219</v>
      </c>
      <c r="B1685" s="43">
        <v>660</v>
      </c>
      <c r="C1685" s="42" t="s">
        <v>1384</v>
      </c>
    </row>
    <row r="1686" spans="1:3" x14ac:dyDescent="0.25">
      <c r="A1686" s="42">
        <v>1220</v>
      </c>
      <c r="B1686" s="43"/>
      <c r="C1686" s="42" t="s">
        <v>1384</v>
      </c>
    </row>
    <row r="1687" spans="1:3" x14ac:dyDescent="0.25">
      <c r="A1687" s="42">
        <v>1221</v>
      </c>
      <c r="B1687" s="43"/>
      <c r="C1687" s="42" t="s">
        <v>1384</v>
      </c>
    </row>
    <row r="1688" spans="1:3" x14ac:dyDescent="0.25">
      <c r="A1688" s="42">
        <v>1222</v>
      </c>
      <c r="B1688" s="43"/>
      <c r="C1688" s="42" t="s">
        <v>1384</v>
      </c>
    </row>
    <row r="1689" spans="1:3" x14ac:dyDescent="0.25">
      <c r="A1689" s="42">
        <v>1223</v>
      </c>
      <c r="B1689" s="43"/>
      <c r="C1689" s="42" t="s">
        <v>1384</v>
      </c>
    </row>
    <row r="1690" spans="1:3" x14ac:dyDescent="0.25">
      <c r="A1690" s="42">
        <v>1224</v>
      </c>
      <c r="B1690" s="43">
        <v>550</v>
      </c>
      <c r="C1690" s="42" t="s">
        <v>1384</v>
      </c>
    </row>
    <row r="1691" spans="1:3" x14ac:dyDescent="0.25">
      <c r="A1691" s="42">
        <v>1224</v>
      </c>
      <c r="B1691" s="43">
        <v>550</v>
      </c>
      <c r="C1691" s="42" t="s">
        <v>1384</v>
      </c>
    </row>
    <row r="1692" spans="1:3" x14ac:dyDescent="0.25">
      <c r="A1692" s="42">
        <v>1224</v>
      </c>
      <c r="B1692" s="43">
        <v>550</v>
      </c>
      <c r="C1692" s="42" t="s">
        <v>1384</v>
      </c>
    </row>
    <row r="1693" spans="1:3" x14ac:dyDescent="0.25">
      <c r="A1693" s="42">
        <v>1224</v>
      </c>
      <c r="B1693" s="43">
        <v>550</v>
      </c>
      <c r="C1693" s="42" t="s">
        <v>1384</v>
      </c>
    </row>
    <row r="1694" spans="1:3" x14ac:dyDescent="0.25">
      <c r="A1694" s="42">
        <v>1224</v>
      </c>
      <c r="B1694" s="43">
        <v>550</v>
      </c>
      <c r="C1694" s="42" t="s">
        <v>1384</v>
      </c>
    </row>
    <row r="1695" spans="1:3" x14ac:dyDescent="0.25">
      <c r="A1695" s="42">
        <v>1224</v>
      </c>
      <c r="B1695" s="43">
        <v>550</v>
      </c>
      <c r="C1695" s="42" t="s">
        <v>1384</v>
      </c>
    </row>
    <row r="1696" spans="1:3" x14ac:dyDescent="0.25">
      <c r="A1696" s="42">
        <v>1225</v>
      </c>
      <c r="B1696" s="43"/>
      <c r="C1696" s="42" t="s">
        <v>1384</v>
      </c>
    </row>
    <row r="1697" spans="1:3" x14ac:dyDescent="0.25">
      <c r="A1697" s="42">
        <v>1225</v>
      </c>
      <c r="B1697" s="43"/>
      <c r="C1697" s="42" t="s">
        <v>1384</v>
      </c>
    </row>
    <row r="1698" spans="1:3" x14ac:dyDescent="0.25">
      <c r="A1698" s="42">
        <v>1225</v>
      </c>
      <c r="B1698" s="43"/>
      <c r="C1698" s="42" t="s">
        <v>1384</v>
      </c>
    </row>
    <row r="1699" spans="1:3" x14ac:dyDescent="0.25">
      <c r="A1699" s="42">
        <v>1226</v>
      </c>
      <c r="B1699" s="43">
        <v>80</v>
      </c>
      <c r="C1699" s="42" t="s">
        <v>1384</v>
      </c>
    </row>
    <row r="1700" spans="1:3" x14ac:dyDescent="0.25">
      <c r="A1700" s="42">
        <v>1227</v>
      </c>
      <c r="B1700" s="43"/>
      <c r="C1700" s="42" t="s">
        <v>1384</v>
      </c>
    </row>
    <row r="1701" spans="1:3" x14ac:dyDescent="0.25">
      <c r="A1701" s="42">
        <v>1228</v>
      </c>
      <c r="B1701" s="43"/>
      <c r="C1701" s="42" t="s">
        <v>1384</v>
      </c>
    </row>
    <row r="1702" spans="1:3" x14ac:dyDescent="0.25">
      <c r="A1702" s="42">
        <v>1228</v>
      </c>
      <c r="B1702" s="43"/>
      <c r="C1702" s="42" t="s">
        <v>1384</v>
      </c>
    </row>
    <row r="1703" spans="1:3" x14ac:dyDescent="0.25">
      <c r="A1703" s="42">
        <v>1229</v>
      </c>
      <c r="B1703" s="43"/>
      <c r="C1703" s="42" t="s">
        <v>1384</v>
      </c>
    </row>
    <row r="1704" spans="1:3" x14ac:dyDescent="0.25">
      <c r="A1704" s="42">
        <v>1229</v>
      </c>
      <c r="B1704" s="43"/>
      <c r="C1704" s="42" t="s">
        <v>1384</v>
      </c>
    </row>
    <row r="1705" spans="1:3" x14ac:dyDescent="0.25">
      <c r="A1705" s="42">
        <v>1230</v>
      </c>
      <c r="B1705" s="43"/>
      <c r="C1705" s="42" t="s">
        <v>1384</v>
      </c>
    </row>
    <row r="1706" spans="1:3" x14ac:dyDescent="0.25">
      <c r="A1706" s="42">
        <v>1231</v>
      </c>
      <c r="B1706" s="43"/>
      <c r="C1706" s="42" t="s">
        <v>1384</v>
      </c>
    </row>
    <row r="1707" spans="1:3" x14ac:dyDescent="0.25">
      <c r="A1707" s="42">
        <v>1231</v>
      </c>
      <c r="B1707" s="43"/>
      <c r="C1707" s="42" t="s">
        <v>1384</v>
      </c>
    </row>
    <row r="1708" spans="1:3" x14ac:dyDescent="0.25">
      <c r="A1708" s="42">
        <v>1231</v>
      </c>
      <c r="B1708" s="43"/>
      <c r="C1708" s="42" t="s">
        <v>1384</v>
      </c>
    </row>
    <row r="1709" spans="1:3" x14ac:dyDescent="0.25">
      <c r="A1709" s="42">
        <v>1232</v>
      </c>
      <c r="B1709" s="43"/>
      <c r="C1709" s="42" t="s">
        <v>1384</v>
      </c>
    </row>
    <row r="1710" spans="1:3" x14ac:dyDescent="0.25">
      <c r="A1710" s="42">
        <v>1233</v>
      </c>
      <c r="B1710" s="43">
        <v>1235</v>
      </c>
      <c r="C1710" s="42" t="s">
        <v>1384</v>
      </c>
    </row>
    <row r="1711" spans="1:3" x14ac:dyDescent="0.25">
      <c r="A1711" s="42">
        <v>1233</v>
      </c>
      <c r="B1711" s="43">
        <v>1235</v>
      </c>
      <c r="C1711" s="42" t="s">
        <v>1384</v>
      </c>
    </row>
    <row r="1712" spans="1:3" x14ac:dyDescent="0.25">
      <c r="A1712" s="42">
        <v>1234</v>
      </c>
      <c r="B1712" s="43"/>
      <c r="C1712" s="42" t="s">
        <v>1384</v>
      </c>
    </row>
    <row r="1713" spans="1:3" x14ac:dyDescent="0.25">
      <c r="A1713" s="42">
        <v>1234</v>
      </c>
      <c r="B1713" s="43"/>
      <c r="C1713" s="42" t="s">
        <v>1384</v>
      </c>
    </row>
    <row r="1714" spans="1:3" x14ac:dyDescent="0.25">
      <c r="A1714" s="42">
        <v>1234</v>
      </c>
      <c r="B1714" s="43"/>
      <c r="C1714" s="42" t="s">
        <v>1384</v>
      </c>
    </row>
    <row r="1715" spans="1:3" x14ac:dyDescent="0.25">
      <c r="A1715" s="42">
        <v>1235</v>
      </c>
      <c r="B1715" s="43"/>
      <c r="C1715" s="42" t="s">
        <v>1384</v>
      </c>
    </row>
    <row r="1716" spans="1:3" x14ac:dyDescent="0.25">
      <c r="A1716" s="42">
        <v>1236</v>
      </c>
      <c r="B1716" s="43"/>
      <c r="C1716" s="42" t="s">
        <v>1384</v>
      </c>
    </row>
    <row r="1717" spans="1:3" x14ac:dyDescent="0.25">
      <c r="A1717" s="42">
        <v>1237</v>
      </c>
      <c r="B1717" s="43"/>
      <c r="C1717" s="42" t="s">
        <v>1384</v>
      </c>
    </row>
    <row r="1718" spans="1:3" x14ac:dyDescent="0.25">
      <c r="A1718" s="42">
        <v>1238</v>
      </c>
      <c r="B1718" s="43"/>
      <c r="C1718" s="42" t="s">
        <v>1384</v>
      </c>
    </row>
    <row r="1719" spans="1:3" x14ac:dyDescent="0.25">
      <c r="A1719" s="42">
        <v>1239</v>
      </c>
      <c r="B1719" s="43"/>
      <c r="C1719" s="42" t="s">
        <v>1384</v>
      </c>
    </row>
    <row r="1720" spans="1:3" x14ac:dyDescent="0.25">
      <c r="A1720" s="42">
        <v>1240</v>
      </c>
      <c r="B1720" s="43"/>
      <c r="C1720" s="42" t="s">
        <v>1384</v>
      </c>
    </row>
    <row r="1721" spans="1:3" x14ac:dyDescent="0.25">
      <c r="A1721" s="42">
        <v>1241</v>
      </c>
      <c r="B1721" s="43"/>
      <c r="C1721" s="42" t="s">
        <v>1384</v>
      </c>
    </row>
    <row r="1722" spans="1:3" x14ac:dyDescent="0.25">
      <c r="A1722" s="42">
        <v>1242</v>
      </c>
      <c r="B1722" s="43"/>
      <c r="C1722" s="42" t="s">
        <v>1384</v>
      </c>
    </row>
    <row r="1723" spans="1:3" x14ac:dyDescent="0.25">
      <c r="A1723" s="42">
        <v>1242</v>
      </c>
      <c r="B1723" s="43"/>
      <c r="C1723" s="42" t="s">
        <v>1384</v>
      </c>
    </row>
    <row r="1724" spans="1:3" x14ac:dyDescent="0.25">
      <c r="A1724" s="42">
        <v>1243</v>
      </c>
      <c r="B1724" s="43"/>
      <c r="C1724" s="42" t="s">
        <v>1384</v>
      </c>
    </row>
    <row r="1725" spans="1:3" x14ac:dyDescent="0.25">
      <c r="A1725" s="42">
        <v>1244</v>
      </c>
      <c r="B1725" s="43"/>
      <c r="C1725" s="42" t="s">
        <v>1384</v>
      </c>
    </row>
    <row r="1726" spans="1:3" x14ac:dyDescent="0.25">
      <c r="A1726" s="42">
        <v>1245</v>
      </c>
      <c r="B1726" s="43"/>
      <c r="C1726" s="42" t="s">
        <v>1384</v>
      </c>
    </row>
    <row r="1727" spans="1:3" x14ac:dyDescent="0.25">
      <c r="A1727" s="42">
        <v>1246</v>
      </c>
      <c r="B1727" s="43">
        <v>526.53</v>
      </c>
      <c r="C1727" s="42" t="s">
        <v>1384</v>
      </c>
    </row>
    <row r="1728" spans="1:3" x14ac:dyDescent="0.25">
      <c r="A1728" s="42">
        <v>1246</v>
      </c>
      <c r="B1728" s="43">
        <v>526.53</v>
      </c>
      <c r="C1728" s="42" t="s">
        <v>1384</v>
      </c>
    </row>
    <row r="1729" spans="1:3" x14ac:dyDescent="0.25">
      <c r="A1729" s="42">
        <v>1246</v>
      </c>
      <c r="B1729" s="43">
        <v>526.53</v>
      </c>
      <c r="C1729" s="42" t="s">
        <v>1384</v>
      </c>
    </row>
    <row r="1730" spans="1:3" x14ac:dyDescent="0.25">
      <c r="A1730" s="42">
        <v>1246</v>
      </c>
      <c r="B1730" s="43">
        <v>526.53</v>
      </c>
      <c r="C1730" s="42" t="s">
        <v>1384</v>
      </c>
    </row>
    <row r="1731" spans="1:3" x14ac:dyDescent="0.25">
      <c r="A1731" s="42">
        <v>1247</v>
      </c>
      <c r="B1731" s="43">
        <v>313.7</v>
      </c>
      <c r="C1731" s="42" t="s">
        <v>1384</v>
      </c>
    </row>
    <row r="1732" spans="1:3" x14ac:dyDescent="0.25">
      <c r="A1732" s="42">
        <v>1247</v>
      </c>
      <c r="B1732" s="43">
        <v>313.7</v>
      </c>
      <c r="C1732" s="42" t="s">
        <v>1384</v>
      </c>
    </row>
    <row r="1733" spans="1:3" x14ac:dyDescent="0.25">
      <c r="A1733" s="42">
        <v>1247</v>
      </c>
      <c r="B1733" s="43">
        <v>313.7</v>
      </c>
      <c r="C1733" s="42" t="s">
        <v>1384</v>
      </c>
    </row>
    <row r="1734" spans="1:3" x14ac:dyDescent="0.25">
      <c r="A1734" s="42">
        <v>1248</v>
      </c>
      <c r="B1734" s="43"/>
      <c r="C1734" s="42" t="s">
        <v>1384</v>
      </c>
    </row>
    <row r="1735" spans="1:3" x14ac:dyDescent="0.25">
      <c r="A1735" s="42">
        <v>1248</v>
      </c>
      <c r="B1735" s="43"/>
      <c r="C1735" s="42" t="s">
        <v>1384</v>
      </c>
    </row>
    <row r="1736" spans="1:3" x14ac:dyDescent="0.25">
      <c r="A1736" s="42">
        <v>1248</v>
      </c>
      <c r="B1736" s="43"/>
      <c r="C1736" s="42" t="s">
        <v>1384</v>
      </c>
    </row>
    <row r="1737" spans="1:3" x14ac:dyDescent="0.25">
      <c r="A1737" s="42">
        <v>1249</v>
      </c>
      <c r="B1737" s="43"/>
      <c r="C1737" s="42" t="s">
        <v>1384</v>
      </c>
    </row>
    <row r="1738" spans="1:3" x14ac:dyDescent="0.25">
      <c r="A1738" s="42">
        <v>1250</v>
      </c>
      <c r="B1738" s="43"/>
      <c r="C1738" s="42" t="s">
        <v>1384</v>
      </c>
    </row>
    <row r="1739" spans="1:3" x14ac:dyDescent="0.25">
      <c r="A1739" s="42">
        <v>1251</v>
      </c>
      <c r="B1739" s="43"/>
      <c r="C1739" s="42" t="s">
        <v>1384</v>
      </c>
    </row>
    <row r="1740" spans="1:3" x14ac:dyDescent="0.25">
      <c r="A1740" s="42">
        <v>1252</v>
      </c>
      <c r="B1740" s="43"/>
      <c r="C1740" s="42" t="s">
        <v>1384</v>
      </c>
    </row>
    <row r="1741" spans="1:3" x14ac:dyDescent="0.25">
      <c r="A1741" s="42">
        <v>1253</v>
      </c>
      <c r="B1741" s="43"/>
      <c r="C1741" s="42" t="s">
        <v>1384</v>
      </c>
    </row>
    <row r="1742" spans="1:3" x14ac:dyDescent="0.25">
      <c r="A1742" s="42">
        <v>1254</v>
      </c>
      <c r="B1742" s="43">
        <v>670.2</v>
      </c>
      <c r="C1742" s="42" t="s">
        <v>1384</v>
      </c>
    </row>
    <row r="1743" spans="1:3" x14ac:dyDescent="0.25">
      <c r="A1743" s="42">
        <v>1254</v>
      </c>
      <c r="B1743" s="43">
        <v>670.2</v>
      </c>
      <c r="C1743" s="42" t="s">
        <v>1384</v>
      </c>
    </row>
    <row r="1744" spans="1:3" x14ac:dyDescent="0.25">
      <c r="A1744" s="42">
        <v>1255</v>
      </c>
      <c r="B1744" s="43"/>
      <c r="C1744" s="42" t="s">
        <v>1384</v>
      </c>
    </row>
    <row r="1745" spans="1:3" x14ac:dyDescent="0.25">
      <c r="A1745" s="42">
        <v>1256</v>
      </c>
      <c r="B1745" s="43">
        <v>1900</v>
      </c>
      <c r="C1745" s="42" t="s">
        <v>1384</v>
      </c>
    </row>
    <row r="1746" spans="1:3" x14ac:dyDescent="0.25">
      <c r="A1746" s="42">
        <v>1256</v>
      </c>
      <c r="B1746" s="43">
        <v>1900</v>
      </c>
      <c r="C1746" s="42" t="s">
        <v>1384</v>
      </c>
    </row>
    <row r="1747" spans="1:3" x14ac:dyDescent="0.25">
      <c r="A1747" s="42">
        <v>1256</v>
      </c>
      <c r="B1747" s="43">
        <v>1900</v>
      </c>
      <c r="C1747" s="42" t="s">
        <v>1384</v>
      </c>
    </row>
    <row r="1748" spans="1:3" x14ac:dyDescent="0.25">
      <c r="A1748" s="42">
        <v>1256</v>
      </c>
      <c r="B1748" s="43">
        <v>1900</v>
      </c>
      <c r="C1748" s="42" t="s">
        <v>1384</v>
      </c>
    </row>
    <row r="1749" spans="1:3" x14ac:dyDescent="0.25">
      <c r="A1749" s="42">
        <v>1257</v>
      </c>
      <c r="B1749" s="43"/>
      <c r="C1749" s="42" t="s">
        <v>1384</v>
      </c>
    </row>
    <row r="1750" spans="1:3" x14ac:dyDescent="0.25">
      <c r="A1750" s="42">
        <v>1257</v>
      </c>
      <c r="B1750" s="43"/>
      <c r="C1750" s="42" t="s">
        <v>1384</v>
      </c>
    </row>
    <row r="1751" spans="1:3" x14ac:dyDescent="0.25">
      <c r="A1751" s="42">
        <v>1258</v>
      </c>
      <c r="B1751" s="43"/>
      <c r="C1751" s="42" t="s">
        <v>1384</v>
      </c>
    </row>
    <row r="1752" spans="1:3" x14ac:dyDescent="0.25">
      <c r="A1752" s="42">
        <v>1258</v>
      </c>
      <c r="B1752" s="43"/>
      <c r="C1752" s="42" t="s">
        <v>1384</v>
      </c>
    </row>
    <row r="1753" spans="1:3" x14ac:dyDescent="0.25">
      <c r="A1753" s="42">
        <v>1259</v>
      </c>
      <c r="B1753" s="43">
        <v>308</v>
      </c>
      <c r="C1753" s="42" t="s">
        <v>1384</v>
      </c>
    </row>
    <row r="1754" spans="1:3" x14ac:dyDescent="0.25">
      <c r="A1754" s="42">
        <v>1259</v>
      </c>
      <c r="B1754" s="43">
        <v>308</v>
      </c>
      <c r="C1754" s="42" t="s">
        <v>1384</v>
      </c>
    </row>
    <row r="1755" spans="1:3" x14ac:dyDescent="0.25">
      <c r="A1755" s="42">
        <v>1259</v>
      </c>
      <c r="B1755" s="43">
        <v>308</v>
      </c>
      <c r="C1755" s="42" t="s">
        <v>1384</v>
      </c>
    </row>
    <row r="1756" spans="1:3" x14ac:dyDescent="0.25">
      <c r="A1756" s="42">
        <v>1259</v>
      </c>
      <c r="B1756" s="43">
        <v>308</v>
      </c>
      <c r="C1756" s="42" t="s">
        <v>1384</v>
      </c>
    </row>
    <row r="1757" spans="1:3" x14ac:dyDescent="0.25">
      <c r="A1757" s="42">
        <v>1260</v>
      </c>
      <c r="B1757" s="43">
        <v>308</v>
      </c>
      <c r="C1757" s="42" t="s">
        <v>1384</v>
      </c>
    </row>
    <row r="1758" spans="1:3" x14ac:dyDescent="0.25">
      <c r="A1758" s="42">
        <v>1260</v>
      </c>
      <c r="B1758" s="43">
        <v>308</v>
      </c>
      <c r="C1758" s="42" t="s">
        <v>1384</v>
      </c>
    </row>
    <row r="1759" spans="1:3" x14ac:dyDescent="0.25">
      <c r="A1759" s="42">
        <v>1261</v>
      </c>
      <c r="B1759" s="43"/>
      <c r="C1759" s="42" t="s">
        <v>1384</v>
      </c>
    </row>
    <row r="1760" spans="1:3" x14ac:dyDescent="0.25">
      <c r="A1760" s="42">
        <v>1261</v>
      </c>
      <c r="B1760" s="43"/>
      <c r="C1760" s="42" t="s">
        <v>1384</v>
      </c>
    </row>
    <row r="1761" spans="1:3" x14ac:dyDescent="0.25">
      <c r="A1761" s="42">
        <v>1261</v>
      </c>
      <c r="B1761" s="43"/>
      <c r="C1761" s="42" t="s">
        <v>1384</v>
      </c>
    </row>
    <row r="1762" spans="1:3" x14ac:dyDescent="0.25">
      <c r="A1762" s="42">
        <v>1262</v>
      </c>
      <c r="B1762" s="43">
        <v>36</v>
      </c>
      <c r="C1762" s="42" t="s">
        <v>1384</v>
      </c>
    </row>
    <row r="1763" spans="1:3" x14ac:dyDescent="0.25">
      <c r="A1763" s="42">
        <v>1262</v>
      </c>
      <c r="B1763" s="43">
        <v>36</v>
      </c>
      <c r="C1763" s="42" t="s">
        <v>1384</v>
      </c>
    </row>
    <row r="1764" spans="1:3" x14ac:dyDescent="0.25">
      <c r="A1764" s="42">
        <v>1262</v>
      </c>
      <c r="B1764" s="43">
        <v>36</v>
      </c>
      <c r="C1764" s="42" t="s">
        <v>1384</v>
      </c>
    </row>
    <row r="1765" spans="1:3" x14ac:dyDescent="0.25">
      <c r="A1765" s="42">
        <v>1262</v>
      </c>
      <c r="B1765" s="43">
        <v>36</v>
      </c>
      <c r="C1765" s="42" t="s">
        <v>1384</v>
      </c>
    </row>
    <row r="1766" spans="1:3" x14ac:dyDescent="0.25">
      <c r="A1766" s="42">
        <v>1262</v>
      </c>
      <c r="B1766" s="43">
        <v>36</v>
      </c>
      <c r="C1766" s="42" t="s">
        <v>1384</v>
      </c>
    </row>
    <row r="1767" spans="1:3" x14ac:dyDescent="0.25">
      <c r="A1767" s="42">
        <v>1262</v>
      </c>
      <c r="B1767" s="43">
        <v>36</v>
      </c>
      <c r="C1767" s="42" t="s">
        <v>1384</v>
      </c>
    </row>
    <row r="1768" spans="1:3" x14ac:dyDescent="0.25">
      <c r="A1768" s="42">
        <v>1263</v>
      </c>
      <c r="B1768" s="43">
        <v>308</v>
      </c>
      <c r="C1768" s="42" t="s">
        <v>1384</v>
      </c>
    </row>
    <row r="1769" spans="1:3" x14ac:dyDescent="0.25">
      <c r="A1769" s="42">
        <v>1263</v>
      </c>
      <c r="B1769" s="43">
        <v>308</v>
      </c>
      <c r="C1769" s="42" t="s">
        <v>1384</v>
      </c>
    </row>
    <row r="1770" spans="1:3" x14ac:dyDescent="0.25">
      <c r="A1770" s="42">
        <v>1263</v>
      </c>
      <c r="B1770" s="43">
        <v>308</v>
      </c>
      <c r="C1770" s="42" t="s">
        <v>1384</v>
      </c>
    </row>
    <row r="1771" spans="1:3" x14ac:dyDescent="0.25">
      <c r="A1771" s="42">
        <v>1264</v>
      </c>
      <c r="B1771" s="43">
        <v>404</v>
      </c>
      <c r="C1771" s="42" t="s">
        <v>1384</v>
      </c>
    </row>
    <row r="1772" spans="1:3" x14ac:dyDescent="0.25">
      <c r="A1772" s="42">
        <v>1264</v>
      </c>
      <c r="B1772" s="43">
        <v>404</v>
      </c>
      <c r="C1772" s="42" t="s">
        <v>1384</v>
      </c>
    </row>
    <row r="1773" spans="1:3" x14ac:dyDescent="0.25">
      <c r="A1773" s="42">
        <v>1265</v>
      </c>
      <c r="B1773" s="43"/>
      <c r="C1773" s="42" t="s">
        <v>1384</v>
      </c>
    </row>
    <row r="1774" spans="1:3" x14ac:dyDescent="0.25">
      <c r="A1774" s="42">
        <v>1265</v>
      </c>
      <c r="B1774" s="43"/>
      <c r="C1774" s="42" t="s">
        <v>1384</v>
      </c>
    </row>
    <row r="1775" spans="1:3" x14ac:dyDescent="0.25">
      <c r="A1775" s="42">
        <v>1265</v>
      </c>
      <c r="B1775" s="43"/>
      <c r="C1775" s="42" t="s">
        <v>1384</v>
      </c>
    </row>
    <row r="1776" spans="1:3" x14ac:dyDescent="0.25">
      <c r="A1776" s="42">
        <v>1266</v>
      </c>
      <c r="B1776" s="43"/>
      <c r="C1776" s="42" t="s">
        <v>1384</v>
      </c>
    </row>
    <row r="1777" spans="1:3" x14ac:dyDescent="0.25">
      <c r="A1777" s="42">
        <v>1266</v>
      </c>
      <c r="B1777" s="43"/>
      <c r="C1777" s="42" t="s">
        <v>1384</v>
      </c>
    </row>
    <row r="1778" spans="1:3" x14ac:dyDescent="0.25">
      <c r="A1778" s="42">
        <v>1267</v>
      </c>
      <c r="B1778" s="43">
        <v>120</v>
      </c>
      <c r="C1778" s="42" t="s">
        <v>1384</v>
      </c>
    </row>
    <row r="1779" spans="1:3" x14ac:dyDescent="0.25">
      <c r="A1779" s="42">
        <v>1268</v>
      </c>
      <c r="B1779" s="43">
        <v>58.66</v>
      </c>
      <c r="C1779" s="42" t="s">
        <v>1384</v>
      </c>
    </row>
    <row r="1780" spans="1:3" x14ac:dyDescent="0.25">
      <c r="A1780" s="42">
        <v>1268</v>
      </c>
      <c r="B1780" s="43">
        <v>58.66</v>
      </c>
      <c r="C1780" s="42" t="s">
        <v>1384</v>
      </c>
    </row>
    <row r="1781" spans="1:3" x14ac:dyDescent="0.25">
      <c r="A1781" s="42">
        <v>1269</v>
      </c>
      <c r="B1781" s="43"/>
      <c r="C1781" s="42" t="s">
        <v>1384</v>
      </c>
    </row>
    <row r="1782" spans="1:3" x14ac:dyDescent="0.25">
      <c r="A1782" s="42">
        <v>1270</v>
      </c>
      <c r="B1782" s="43"/>
      <c r="C1782" s="42" t="s">
        <v>1384</v>
      </c>
    </row>
    <row r="1783" spans="1:3" x14ac:dyDescent="0.25">
      <c r="A1783" s="42">
        <v>1271</v>
      </c>
      <c r="B1783" s="43"/>
      <c r="C1783" s="42" t="s">
        <v>1384</v>
      </c>
    </row>
    <row r="1784" spans="1:3" x14ac:dyDescent="0.25">
      <c r="A1784" s="42">
        <v>1272</v>
      </c>
      <c r="B1784" s="43"/>
      <c r="C1784" s="42" t="s">
        <v>1384</v>
      </c>
    </row>
    <row r="1785" spans="1:3" x14ac:dyDescent="0.25">
      <c r="A1785" s="42">
        <v>1273</v>
      </c>
      <c r="B1785" s="43">
        <v>180</v>
      </c>
      <c r="C1785" s="42" t="s">
        <v>1384</v>
      </c>
    </row>
    <row r="1786" spans="1:3" x14ac:dyDescent="0.25">
      <c r="A1786" s="42">
        <v>1273</v>
      </c>
      <c r="B1786" s="43">
        <v>180</v>
      </c>
      <c r="C1786" s="42" t="s">
        <v>1384</v>
      </c>
    </row>
    <row r="1787" spans="1:3" x14ac:dyDescent="0.25">
      <c r="A1787" s="42">
        <v>1273</v>
      </c>
      <c r="B1787" s="43">
        <v>180</v>
      </c>
      <c r="C1787" s="42" t="s">
        <v>1384</v>
      </c>
    </row>
    <row r="1788" spans="1:3" x14ac:dyDescent="0.25">
      <c r="A1788" s="42">
        <v>1274</v>
      </c>
      <c r="B1788" s="43"/>
      <c r="C1788" s="42" t="s">
        <v>1384</v>
      </c>
    </row>
    <row r="1789" spans="1:3" x14ac:dyDescent="0.25">
      <c r="A1789" s="42">
        <v>1274</v>
      </c>
      <c r="B1789" s="43"/>
      <c r="C1789" s="42" t="s">
        <v>1384</v>
      </c>
    </row>
    <row r="1790" spans="1:3" x14ac:dyDescent="0.25">
      <c r="A1790" s="42">
        <v>1274</v>
      </c>
      <c r="B1790" s="43"/>
      <c r="C1790" s="42" t="s">
        <v>1384</v>
      </c>
    </row>
    <row r="1791" spans="1:3" x14ac:dyDescent="0.25">
      <c r="A1791" s="42">
        <v>1274</v>
      </c>
      <c r="B1791" s="43"/>
      <c r="C1791" s="42" t="s">
        <v>1384</v>
      </c>
    </row>
    <row r="1792" spans="1:3" x14ac:dyDescent="0.25">
      <c r="A1792" s="42">
        <v>1275</v>
      </c>
      <c r="B1792" s="43"/>
      <c r="C1792" s="42" t="s">
        <v>1384</v>
      </c>
    </row>
    <row r="1793" spans="1:3" x14ac:dyDescent="0.25">
      <c r="A1793" s="42">
        <v>1276</v>
      </c>
      <c r="B1793" s="43">
        <v>498</v>
      </c>
      <c r="C1793" s="42" t="s">
        <v>1384</v>
      </c>
    </row>
    <row r="1794" spans="1:3" x14ac:dyDescent="0.25">
      <c r="A1794" s="42">
        <v>1276</v>
      </c>
      <c r="B1794" s="43">
        <v>498</v>
      </c>
      <c r="C1794" s="42" t="s">
        <v>1384</v>
      </c>
    </row>
    <row r="1795" spans="1:3" x14ac:dyDescent="0.25">
      <c r="A1795" s="42">
        <v>1276</v>
      </c>
      <c r="B1795" s="43">
        <v>498</v>
      </c>
      <c r="C1795" s="42" t="s">
        <v>1384</v>
      </c>
    </row>
    <row r="1796" spans="1:3" x14ac:dyDescent="0.25">
      <c r="A1796" s="42">
        <v>1277</v>
      </c>
      <c r="B1796" s="43"/>
      <c r="C1796" s="42" t="s">
        <v>1384</v>
      </c>
    </row>
    <row r="1797" spans="1:3" x14ac:dyDescent="0.25">
      <c r="A1797" s="42">
        <v>1278</v>
      </c>
      <c r="B1797" s="43"/>
      <c r="C1797" s="42" t="s">
        <v>1384</v>
      </c>
    </row>
    <row r="1798" spans="1:3" x14ac:dyDescent="0.25">
      <c r="A1798" s="42">
        <v>1279</v>
      </c>
      <c r="B1798" s="43"/>
      <c r="C1798" s="42" t="s">
        <v>1384</v>
      </c>
    </row>
    <row r="1799" spans="1:3" x14ac:dyDescent="0.25">
      <c r="A1799" s="42">
        <v>1280</v>
      </c>
      <c r="B1799" s="43">
        <v>640</v>
      </c>
      <c r="C1799" s="42" t="s">
        <v>1384</v>
      </c>
    </row>
    <row r="1800" spans="1:3" x14ac:dyDescent="0.25">
      <c r="A1800" s="42">
        <v>1280</v>
      </c>
      <c r="B1800" s="43">
        <v>640</v>
      </c>
      <c r="C1800" s="42" t="s">
        <v>1384</v>
      </c>
    </row>
    <row r="1801" spans="1:3" x14ac:dyDescent="0.25">
      <c r="A1801" s="42">
        <v>1280</v>
      </c>
      <c r="B1801" s="43">
        <v>640</v>
      </c>
      <c r="C1801" s="42" t="s">
        <v>1384</v>
      </c>
    </row>
    <row r="1802" spans="1:3" x14ac:dyDescent="0.25">
      <c r="A1802" s="42">
        <v>1281</v>
      </c>
      <c r="B1802" s="43"/>
      <c r="C1802" s="42" t="s">
        <v>1384</v>
      </c>
    </row>
    <row r="1803" spans="1:3" x14ac:dyDescent="0.25">
      <c r="A1803" s="42">
        <v>1281</v>
      </c>
      <c r="B1803" s="43"/>
      <c r="C1803" s="42" t="s">
        <v>1384</v>
      </c>
    </row>
    <row r="1804" spans="1:3" x14ac:dyDescent="0.25">
      <c r="A1804" s="42">
        <v>1281</v>
      </c>
      <c r="B1804" s="43">
        <v>308</v>
      </c>
      <c r="C1804" s="42" t="s">
        <v>1384</v>
      </c>
    </row>
    <row r="1805" spans="1:3" x14ac:dyDescent="0.25">
      <c r="A1805" s="42">
        <v>1282</v>
      </c>
      <c r="B1805" s="43">
        <v>394.92</v>
      </c>
      <c r="C1805" s="42" t="s">
        <v>1384</v>
      </c>
    </row>
    <row r="1806" spans="1:3" x14ac:dyDescent="0.25">
      <c r="A1806" s="42">
        <v>1283</v>
      </c>
      <c r="B1806" s="43"/>
      <c r="C1806" s="42" t="s">
        <v>1384</v>
      </c>
    </row>
    <row r="1807" spans="1:3" x14ac:dyDescent="0.25">
      <c r="A1807" s="42">
        <v>1284</v>
      </c>
      <c r="B1807" s="43"/>
      <c r="C1807" s="42" t="s">
        <v>1384</v>
      </c>
    </row>
    <row r="1808" spans="1:3" x14ac:dyDescent="0.25">
      <c r="A1808" s="42">
        <v>1285</v>
      </c>
      <c r="B1808" s="43"/>
      <c r="C1808" s="42" t="s">
        <v>1384</v>
      </c>
    </row>
    <row r="1809" spans="1:3" x14ac:dyDescent="0.25">
      <c r="A1809" s="42">
        <v>1286</v>
      </c>
      <c r="B1809" s="43"/>
      <c r="C1809" s="42" t="s">
        <v>1384</v>
      </c>
    </row>
    <row r="1810" spans="1:3" x14ac:dyDescent="0.25">
      <c r="A1810" s="42">
        <v>1287</v>
      </c>
      <c r="B1810" s="43"/>
      <c r="C1810" s="42" t="s">
        <v>1384</v>
      </c>
    </row>
    <row r="1811" spans="1:3" x14ac:dyDescent="0.25">
      <c r="A1811" s="42">
        <v>1287</v>
      </c>
      <c r="B1811" s="43"/>
      <c r="C1811" s="42" t="s">
        <v>1384</v>
      </c>
    </row>
    <row r="1812" spans="1:3" x14ac:dyDescent="0.25">
      <c r="A1812" s="42">
        <v>1288</v>
      </c>
      <c r="B1812" s="43"/>
      <c r="C1812" s="42" t="s">
        <v>1384</v>
      </c>
    </row>
    <row r="1813" spans="1:3" x14ac:dyDescent="0.25">
      <c r="A1813" s="42">
        <v>1288</v>
      </c>
      <c r="B1813" s="43"/>
      <c r="C1813" s="42" t="s">
        <v>1384</v>
      </c>
    </row>
    <row r="1814" spans="1:3" x14ac:dyDescent="0.25">
      <c r="A1814" s="42">
        <v>1289</v>
      </c>
      <c r="B1814" s="43"/>
      <c r="C1814" s="42" t="s">
        <v>1384</v>
      </c>
    </row>
    <row r="1815" spans="1:3" x14ac:dyDescent="0.25">
      <c r="A1815" s="42">
        <v>1289</v>
      </c>
      <c r="B1815" s="43"/>
      <c r="C1815" s="42" t="s">
        <v>1384</v>
      </c>
    </row>
    <row r="1816" spans="1:3" x14ac:dyDescent="0.25">
      <c r="A1816" s="42">
        <v>1290</v>
      </c>
      <c r="B1816" s="43">
        <v>336.26</v>
      </c>
      <c r="C1816" s="42" t="s">
        <v>1384</v>
      </c>
    </row>
    <row r="1817" spans="1:3" x14ac:dyDescent="0.25">
      <c r="A1817" s="42">
        <v>1291</v>
      </c>
      <c r="B1817" s="43"/>
      <c r="C1817" s="42" t="s">
        <v>1384</v>
      </c>
    </row>
    <row r="1818" spans="1:3" x14ac:dyDescent="0.25">
      <c r="A1818" s="42">
        <v>1292</v>
      </c>
      <c r="B1818" s="43">
        <v>9690.6200000000008</v>
      </c>
      <c r="C1818" s="42" t="s">
        <v>1384</v>
      </c>
    </row>
    <row r="1819" spans="1:3" x14ac:dyDescent="0.25">
      <c r="A1819" s="42">
        <v>1292</v>
      </c>
      <c r="B1819" s="43">
        <v>9690.6200000000008</v>
      </c>
      <c r="C1819" s="42" t="s">
        <v>1384</v>
      </c>
    </row>
    <row r="1820" spans="1:3" x14ac:dyDescent="0.25">
      <c r="A1820" s="42">
        <v>1293</v>
      </c>
      <c r="B1820" s="43"/>
      <c r="C1820" s="42" t="s">
        <v>1384</v>
      </c>
    </row>
    <row r="1821" spans="1:3" x14ac:dyDescent="0.25">
      <c r="A1821" s="42">
        <v>1294</v>
      </c>
      <c r="B1821" s="43">
        <v>50</v>
      </c>
      <c r="C1821" s="42" t="s">
        <v>1384</v>
      </c>
    </row>
    <row r="1822" spans="1:3" x14ac:dyDescent="0.25">
      <c r="A1822" s="42">
        <v>1294</v>
      </c>
      <c r="B1822" s="43">
        <v>50</v>
      </c>
      <c r="C1822" s="42" t="s">
        <v>1384</v>
      </c>
    </row>
    <row r="1823" spans="1:3" x14ac:dyDescent="0.25">
      <c r="A1823" s="42">
        <v>1295</v>
      </c>
      <c r="B1823" s="43">
        <v>141</v>
      </c>
      <c r="C1823" s="42" t="s">
        <v>1384</v>
      </c>
    </row>
    <row r="1824" spans="1:3" x14ac:dyDescent="0.25">
      <c r="A1824" s="42">
        <v>1296</v>
      </c>
      <c r="B1824" s="43"/>
      <c r="C1824" s="42" t="s">
        <v>1384</v>
      </c>
    </row>
    <row r="1825" spans="1:3" x14ac:dyDescent="0.25">
      <c r="A1825" s="42">
        <v>1297</v>
      </c>
      <c r="B1825" s="43">
        <v>313.8</v>
      </c>
      <c r="C1825" s="42" t="s">
        <v>1384</v>
      </c>
    </row>
    <row r="1826" spans="1:3" x14ac:dyDescent="0.25">
      <c r="A1826" s="42">
        <v>1298</v>
      </c>
      <c r="B1826" s="43"/>
      <c r="C1826" s="42" t="s">
        <v>1384</v>
      </c>
    </row>
    <row r="1827" spans="1:3" x14ac:dyDescent="0.25">
      <c r="A1827" s="42">
        <v>1299</v>
      </c>
      <c r="B1827" s="43"/>
      <c r="C1827" s="42" t="s">
        <v>1384</v>
      </c>
    </row>
    <row r="1828" spans="1:3" x14ac:dyDescent="0.25">
      <c r="A1828" s="42">
        <v>1299</v>
      </c>
      <c r="B1828" s="43"/>
      <c r="C1828" s="42" t="s">
        <v>1384</v>
      </c>
    </row>
    <row r="1829" spans="1:3" x14ac:dyDescent="0.25">
      <c r="A1829" s="42">
        <v>1300</v>
      </c>
      <c r="B1829" s="43"/>
      <c r="C1829" s="42" t="s">
        <v>1384</v>
      </c>
    </row>
    <row r="1830" spans="1:3" x14ac:dyDescent="0.25">
      <c r="A1830" s="42">
        <v>1301</v>
      </c>
      <c r="B1830" s="43"/>
      <c r="C1830" s="42" t="s">
        <v>1384</v>
      </c>
    </row>
    <row r="1831" spans="1:3" x14ac:dyDescent="0.25">
      <c r="A1831" s="42">
        <v>1302</v>
      </c>
      <c r="B1831" s="43"/>
      <c r="C1831" s="42" t="s">
        <v>1384</v>
      </c>
    </row>
    <row r="1832" spans="1:3" x14ac:dyDescent="0.25">
      <c r="A1832" s="42">
        <v>1302</v>
      </c>
      <c r="B1832" s="43"/>
      <c r="C1832" s="42" t="s">
        <v>1384</v>
      </c>
    </row>
    <row r="1833" spans="1:3" x14ac:dyDescent="0.25">
      <c r="A1833" s="42">
        <v>1303</v>
      </c>
      <c r="B1833" s="43">
        <v>1000</v>
      </c>
      <c r="C1833" s="42" t="s">
        <v>1384</v>
      </c>
    </row>
    <row r="1834" spans="1:3" x14ac:dyDescent="0.25">
      <c r="A1834" s="42">
        <v>1303</v>
      </c>
      <c r="B1834" s="43">
        <v>1000</v>
      </c>
      <c r="C1834" s="42" t="s">
        <v>1384</v>
      </c>
    </row>
    <row r="1835" spans="1:3" x14ac:dyDescent="0.25">
      <c r="A1835" s="42">
        <v>1304</v>
      </c>
      <c r="B1835" s="43"/>
      <c r="C1835" s="42" t="s">
        <v>1384</v>
      </c>
    </row>
    <row r="1836" spans="1:3" x14ac:dyDescent="0.25">
      <c r="A1836" s="42">
        <v>1305</v>
      </c>
      <c r="B1836" s="43"/>
      <c r="C1836" s="42" t="s">
        <v>1384</v>
      </c>
    </row>
    <row r="1837" spans="1:3" x14ac:dyDescent="0.25">
      <c r="A1837" s="42">
        <v>1306</v>
      </c>
      <c r="B1837" s="43"/>
      <c r="C1837" s="42" t="s">
        <v>1384</v>
      </c>
    </row>
    <row r="1838" spans="1:3" x14ac:dyDescent="0.25">
      <c r="A1838" s="42">
        <v>1307</v>
      </c>
      <c r="B1838" s="43"/>
      <c r="C1838" s="42" t="s">
        <v>1384</v>
      </c>
    </row>
    <row r="1839" spans="1:3" x14ac:dyDescent="0.25">
      <c r="A1839" s="42">
        <v>1308</v>
      </c>
      <c r="B1839" s="43"/>
      <c r="C1839" s="42" t="s">
        <v>1384</v>
      </c>
    </row>
    <row r="1840" spans="1:3" x14ac:dyDescent="0.25">
      <c r="A1840" s="42">
        <v>1309</v>
      </c>
      <c r="B1840" s="43">
        <v>25</v>
      </c>
      <c r="C1840" s="42" t="s">
        <v>1384</v>
      </c>
    </row>
    <row r="1841" spans="1:3" x14ac:dyDescent="0.25">
      <c r="A1841" s="42">
        <v>1309</v>
      </c>
      <c r="B1841" s="43">
        <v>25</v>
      </c>
      <c r="C1841" s="42" t="s">
        <v>1384</v>
      </c>
    </row>
    <row r="1842" spans="1:3" x14ac:dyDescent="0.25">
      <c r="A1842" s="42">
        <v>1310</v>
      </c>
      <c r="B1842" s="43">
        <v>22</v>
      </c>
      <c r="C1842" s="42" t="s">
        <v>1384</v>
      </c>
    </row>
    <row r="1843" spans="1:3" x14ac:dyDescent="0.25">
      <c r="A1843" s="42">
        <v>1310</v>
      </c>
      <c r="B1843" s="43">
        <v>22</v>
      </c>
      <c r="C1843" s="42" t="s">
        <v>1384</v>
      </c>
    </row>
    <row r="1844" spans="1:3" x14ac:dyDescent="0.25">
      <c r="A1844" s="42">
        <v>1311</v>
      </c>
      <c r="B1844" s="43">
        <v>90.54</v>
      </c>
      <c r="C1844" s="42" t="s">
        <v>1384</v>
      </c>
    </row>
    <row r="1845" spans="1:3" x14ac:dyDescent="0.25">
      <c r="A1845" s="42">
        <v>1312</v>
      </c>
      <c r="B1845" s="43"/>
      <c r="C1845" s="42" t="s">
        <v>1384</v>
      </c>
    </row>
    <row r="1846" spans="1:3" x14ac:dyDescent="0.25">
      <c r="A1846" s="42">
        <v>1312</v>
      </c>
      <c r="B1846" s="43"/>
      <c r="C1846" s="42" t="s">
        <v>1384</v>
      </c>
    </row>
    <row r="1847" spans="1:3" x14ac:dyDescent="0.25">
      <c r="A1847" s="42">
        <v>1313</v>
      </c>
      <c r="B1847" s="43"/>
      <c r="C1847" s="42" t="s">
        <v>1384</v>
      </c>
    </row>
    <row r="1848" spans="1:3" x14ac:dyDescent="0.25">
      <c r="A1848" s="42">
        <v>1313</v>
      </c>
      <c r="B1848" s="43"/>
      <c r="C1848" s="42" t="s">
        <v>1384</v>
      </c>
    </row>
    <row r="1849" spans="1:3" x14ac:dyDescent="0.25">
      <c r="A1849" s="42">
        <v>1313</v>
      </c>
      <c r="B1849" s="43"/>
      <c r="C1849" s="42" t="s">
        <v>1384</v>
      </c>
    </row>
    <row r="1850" spans="1:3" x14ac:dyDescent="0.25">
      <c r="A1850" s="42">
        <v>1314</v>
      </c>
      <c r="B1850" s="43">
        <v>50.88</v>
      </c>
      <c r="C1850" s="42" t="s">
        <v>1384</v>
      </c>
    </row>
    <row r="1851" spans="1:3" x14ac:dyDescent="0.25">
      <c r="A1851" s="42">
        <v>1314</v>
      </c>
      <c r="B1851" s="43">
        <v>50.88</v>
      </c>
      <c r="C1851" s="42" t="s">
        <v>1384</v>
      </c>
    </row>
    <row r="1852" spans="1:3" x14ac:dyDescent="0.25">
      <c r="A1852" s="42">
        <v>1315</v>
      </c>
      <c r="B1852" s="43"/>
      <c r="C1852" s="42" t="s">
        <v>1384</v>
      </c>
    </row>
    <row r="1853" spans="1:3" x14ac:dyDescent="0.25">
      <c r="A1853" s="42">
        <v>1316</v>
      </c>
      <c r="B1853" s="43">
        <v>170</v>
      </c>
      <c r="C1853" s="42" t="s">
        <v>1384</v>
      </c>
    </row>
    <row r="1854" spans="1:3" x14ac:dyDescent="0.25">
      <c r="A1854" s="42">
        <v>1317</v>
      </c>
      <c r="B1854" s="43">
        <v>30</v>
      </c>
      <c r="C1854" s="42" t="s">
        <v>1384</v>
      </c>
    </row>
    <row r="1855" spans="1:3" x14ac:dyDescent="0.25">
      <c r="A1855" s="42">
        <v>1318</v>
      </c>
      <c r="B1855" s="43"/>
      <c r="C1855" s="42" t="s">
        <v>1384</v>
      </c>
    </row>
    <row r="1856" spans="1:3" x14ac:dyDescent="0.25">
      <c r="A1856" s="42">
        <v>1319</v>
      </c>
      <c r="B1856" s="43">
        <v>308</v>
      </c>
      <c r="C1856" s="42" t="s">
        <v>1384</v>
      </c>
    </row>
    <row r="1857" spans="1:3" x14ac:dyDescent="0.25">
      <c r="A1857" s="42">
        <v>1319</v>
      </c>
      <c r="B1857" s="43">
        <v>308</v>
      </c>
      <c r="C1857" s="42" t="s">
        <v>1384</v>
      </c>
    </row>
    <row r="1858" spans="1:3" x14ac:dyDescent="0.25">
      <c r="A1858" s="42">
        <v>1319</v>
      </c>
      <c r="B1858" s="43">
        <v>308</v>
      </c>
      <c r="C1858" s="42" t="s">
        <v>1384</v>
      </c>
    </row>
    <row r="1859" spans="1:3" x14ac:dyDescent="0.25">
      <c r="A1859" s="42">
        <v>1320</v>
      </c>
      <c r="B1859" s="43"/>
      <c r="C1859" s="42" t="s">
        <v>1384</v>
      </c>
    </row>
    <row r="1860" spans="1:3" x14ac:dyDescent="0.25">
      <c r="A1860" s="42">
        <v>1321</v>
      </c>
      <c r="B1860" s="43"/>
      <c r="C1860" s="42" t="s">
        <v>1384</v>
      </c>
    </row>
    <row r="1861" spans="1:3" x14ac:dyDescent="0.25">
      <c r="A1861" s="42">
        <v>1322</v>
      </c>
      <c r="B1861" s="43"/>
      <c r="C1861" s="42" t="s">
        <v>1384</v>
      </c>
    </row>
    <row r="1862" spans="1:3" x14ac:dyDescent="0.25">
      <c r="A1862" s="42">
        <v>1323</v>
      </c>
      <c r="B1862" s="43"/>
      <c r="C1862" s="42" t="s">
        <v>1384</v>
      </c>
    </row>
    <row r="1863" spans="1:3" x14ac:dyDescent="0.25">
      <c r="A1863" s="42">
        <v>1324</v>
      </c>
      <c r="B1863" s="43"/>
      <c r="C1863" s="42" t="s">
        <v>1384</v>
      </c>
    </row>
    <row r="1864" spans="1:3" x14ac:dyDescent="0.25">
      <c r="A1864" s="42">
        <v>1325</v>
      </c>
      <c r="B1864" s="43"/>
      <c r="C1864" s="42" t="s">
        <v>1384</v>
      </c>
    </row>
    <row r="1865" spans="1:3" x14ac:dyDescent="0.25">
      <c r="A1865" s="42">
        <v>1326</v>
      </c>
      <c r="B1865" s="43">
        <v>687.76</v>
      </c>
      <c r="C1865" s="42" t="s">
        <v>1384</v>
      </c>
    </row>
    <row r="1866" spans="1:3" x14ac:dyDescent="0.25">
      <c r="A1866" s="42">
        <v>1327</v>
      </c>
      <c r="B1866" s="43"/>
      <c r="C1866" s="42" t="s">
        <v>1384</v>
      </c>
    </row>
    <row r="1867" spans="1:3" x14ac:dyDescent="0.25">
      <c r="A1867" s="42">
        <v>1328</v>
      </c>
      <c r="B1867" s="43">
        <v>400</v>
      </c>
      <c r="C1867" s="42" t="s">
        <v>1384</v>
      </c>
    </row>
    <row r="1868" spans="1:3" x14ac:dyDescent="0.25">
      <c r="A1868" s="42">
        <v>1328</v>
      </c>
      <c r="B1868" s="43">
        <v>400</v>
      </c>
      <c r="C1868" s="42" t="s">
        <v>1384</v>
      </c>
    </row>
    <row r="1869" spans="1:3" x14ac:dyDescent="0.25">
      <c r="A1869" s="42">
        <v>1329</v>
      </c>
      <c r="B1869" s="43">
        <v>319.8</v>
      </c>
      <c r="C1869" s="42" t="s">
        <v>1384</v>
      </c>
    </row>
    <row r="1870" spans="1:3" x14ac:dyDescent="0.25">
      <c r="A1870" s="42">
        <v>1330</v>
      </c>
      <c r="B1870" s="43"/>
      <c r="C1870" s="42" t="s">
        <v>1384</v>
      </c>
    </row>
    <row r="1871" spans="1:3" x14ac:dyDescent="0.25">
      <c r="A1871" s="42">
        <v>1331</v>
      </c>
      <c r="B1871" s="43">
        <v>72</v>
      </c>
      <c r="C1871" s="42" t="s">
        <v>1384</v>
      </c>
    </row>
    <row r="1872" spans="1:3" x14ac:dyDescent="0.25">
      <c r="A1872" s="42">
        <v>1332</v>
      </c>
      <c r="B1872" s="43">
        <v>587.92999999999995</v>
      </c>
      <c r="C1872" s="42" t="s">
        <v>1384</v>
      </c>
    </row>
    <row r="1873" spans="1:3" x14ac:dyDescent="0.25">
      <c r="A1873" s="42">
        <v>1332</v>
      </c>
      <c r="B1873" s="43">
        <v>587.92999999999995</v>
      </c>
      <c r="C1873" s="42" t="s">
        <v>1384</v>
      </c>
    </row>
    <row r="1874" spans="1:3" x14ac:dyDescent="0.25">
      <c r="A1874" s="42">
        <v>1333</v>
      </c>
      <c r="B1874" s="43">
        <v>22</v>
      </c>
      <c r="C1874" s="42" t="s">
        <v>1384</v>
      </c>
    </row>
    <row r="1875" spans="1:3" x14ac:dyDescent="0.25">
      <c r="A1875" s="42">
        <v>1334</v>
      </c>
      <c r="B1875" s="43"/>
      <c r="C1875" s="42" t="s">
        <v>1384</v>
      </c>
    </row>
    <row r="1876" spans="1:3" x14ac:dyDescent="0.25">
      <c r="A1876" s="42">
        <v>1334</v>
      </c>
      <c r="B1876" s="43"/>
      <c r="C1876" s="42" t="s">
        <v>1384</v>
      </c>
    </row>
    <row r="1877" spans="1:3" x14ac:dyDescent="0.25">
      <c r="A1877" s="42">
        <v>1335</v>
      </c>
      <c r="B1877" s="43"/>
      <c r="C1877" s="42" t="s">
        <v>1384</v>
      </c>
    </row>
    <row r="1878" spans="1:3" x14ac:dyDescent="0.25">
      <c r="A1878" s="42">
        <v>1336</v>
      </c>
      <c r="B1878" s="43"/>
      <c r="C1878" s="42" t="s">
        <v>1384</v>
      </c>
    </row>
    <row r="1879" spans="1:3" x14ac:dyDescent="0.25">
      <c r="A1879" s="42">
        <v>1337</v>
      </c>
      <c r="B1879" s="43"/>
      <c r="C1879" s="42" t="s">
        <v>1384</v>
      </c>
    </row>
    <row r="1880" spans="1:3" x14ac:dyDescent="0.25">
      <c r="A1880" s="42">
        <v>1338</v>
      </c>
      <c r="B1880" s="43"/>
      <c r="C1880" s="42" t="s">
        <v>1384</v>
      </c>
    </row>
    <row r="1881" spans="1:3" x14ac:dyDescent="0.25">
      <c r="A1881" s="42">
        <v>1339</v>
      </c>
      <c r="B1881" s="43"/>
      <c r="C1881" s="42" t="s">
        <v>1384</v>
      </c>
    </row>
    <row r="1882" spans="1:3" x14ac:dyDescent="0.25">
      <c r="A1882" s="42">
        <v>1340</v>
      </c>
      <c r="B1882" s="43">
        <v>2210.98</v>
      </c>
      <c r="C1882" s="42" t="s">
        <v>1384</v>
      </c>
    </row>
    <row r="1883" spans="1:3" x14ac:dyDescent="0.25">
      <c r="A1883" s="42">
        <v>1341</v>
      </c>
      <c r="B1883" s="43"/>
      <c r="C1883" s="42" t="s">
        <v>1384</v>
      </c>
    </row>
    <row r="1884" spans="1:3" x14ac:dyDescent="0.25">
      <c r="A1884" s="42">
        <v>1342</v>
      </c>
      <c r="B1884" s="43"/>
      <c r="C1884" s="42" t="s">
        <v>1384</v>
      </c>
    </row>
    <row r="1885" spans="1:3" x14ac:dyDescent="0.25">
      <c r="A1885" s="42">
        <v>1343</v>
      </c>
      <c r="B1885" s="43">
        <v>280</v>
      </c>
      <c r="C1885" s="42" t="s">
        <v>1384</v>
      </c>
    </row>
    <row r="1886" spans="1:3" x14ac:dyDescent="0.25">
      <c r="A1886" s="42">
        <v>1343</v>
      </c>
      <c r="B1886" s="43">
        <v>280</v>
      </c>
      <c r="C1886" s="42" t="s">
        <v>1384</v>
      </c>
    </row>
    <row r="1887" spans="1:3" x14ac:dyDescent="0.25">
      <c r="A1887" s="42">
        <v>1343</v>
      </c>
      <c r="B1887" s="43">
        <v>280</v>
      </c>
      <c r="C1887" s="42" t="s">
        <v>1384</v>
      </c>
    </row>
    <row r="1888" spans="1:3" x14ac:dyDescent="0.25">
      <c r="A1888" s="42">
        <v>1344</v>
      </c>
      <c r="B1888" s="43"/>
      <c r="C1888" s="42" t="s">
        <v>1384</v>
      </c>
    </row>
    <row r="1889" spans="1:3" x14ac:dyDescent="0.25">
      <c r="A1889" s="42">
        <v>1345</v>
      </c>
      <c r="B1889" s="43"/>
      <c r="C1889" s="42" t="s">
        <v>1384</v>
      </c>
    </row>
    <row r="1890" spans="1:3" x14ac:dyDescent="0.25">
      <c r="A1890" s="42">
        <v>1346</v>
      </c>
      <c r="B1890" s="43"/>
      <c r="C1890" s="42" t="s">
        <v>1384</v>
      </c>
    </row>
    <row r="1891" spans="1:3" x14ac:dyDescent="0.25">
      <c r="A1891" s="42">
        <v>1347</v>
      </c>
      <c r="B1891" s="43"/>
      <c r="C1891" s="42" t="s">
        <v>1384</v>
      </c>
    </row>
    <row r="1892" spans="1:3" x14ac:dyDescent="0.25">
      <c r="A1892" s="42">
        <v>1348</v>
      </c>
      <c r="B1892" s="43">
        <v>160</v>
      </c>
      <c r="C1892" s="42" t="s">
        <v>1384</v>
      </c>
    </row>
    <row r="1893" spans="1:3" x14ac:dyDescent="0.25">
      <c r="A1893" s="42">
        <v>1349</v>
      </c>
      <c r="B1893" s="43"/>
      <c r="C1893" s="42" t="s">
        <v>1384</v>
      </c>
    </row>
    <row r="1894" spans="1:3" x14ac:dyDescent="0.25">
      <c r="A1894" s="42">
        <v>1350</v>
      </c>
      <c r="B1894" s="43"/>
      <c r="C1894" s="42" t="s">
        <v>1384</v>
      </c>
    </row>
    <row r="1895" spans="1:3" x14ac:dyDescent="0.25">
      <c r="A1895" s="42">
        <v>1351</v>
      </c>
      <c r="B1895" s="43"/>
      <c r="C1895" s="42" t="s">
        <v>1384</v>
      </c>
    </row>
    <row r="1896" spans="1:3" x14ac:dyDescent="0.25">
      <c r="A1896" s="42">
        <v>1352</v>
      </c>
      <c r="B1896" s="43"/>
      <c r="C1896" s="42" t="s">
        <v>1384</v>
      </c>
    </row>
    <row r="1897" spans="1:3" x14ac:dyDescent="0.25">
      <c r="A1897" s="42">
        <v>1353</v>
      </c>
      <c r="B1897" s="43"/>
      <c r="C1897" s="42" t="s">
        <v>1384</v>
      </c>
    </row>
    <row r="1898" spans="1:3" x14ac:dyDescent="0.25">
      <c r="A1898" s="42">
        <v>1354</v>
      </c>
      <c r="B1898" s="43"/>
      <c r="C1898" s="42" t="s">
        <v>1384</v>
      </c>
    </row>
    <row r="1899" spans="1:3" x14ac:dyDescent="0.25">
      <c r="A1899" s="42">
        <v>1355</v>
      </c>
      <c r="B1899" s="43"/>
      <c r="C1899" s="42" t="s">
        <v>1384</v>
      </c>
    </row>
    <row r="1900" spans="1:3" x14ac:dyDescent="0.25">
      <c r="A1900" s="42">
        <v>1356</v>
      </c>
      <c r="B1900" s="43">
        <v>1199</v>
      </c>
      <c r="C1900" s="42" t="s">
        <v>1384</v>
      </c>
    </row>
    <row r="1901" spans="1:3" x14ac:dyDescent="0.25">
      <c r="A1901" s="42">
        <v>1357</v>
      </c>
      <c r="B1901" s="43">
        <v>890</v>
      </c>
      <c r="C1901" s="42" t="s">
        <v>1384</v>
      </c>
    </row>
    <row r="1902" spans="1:3" x14ac:dyDescent="0.25">
      <c r="A1902" s="42">
        <v>1357</v>
      </c>
      <c r="B1902" s="43">
        <v>890</v>
      </c>
      <c r="C1902" s="42" t="s">
        <v>1384</v>
      </c>
    </row>
    <row r="1903" spans="1:3" x14ac:dyDescent="0.25">
      <c r="A1903" s="42">
        <v>1358</v>
      </c>
      <c r="B1903" s="43">
        <v>118</v>
      </c>
      <c r="C1903" s="42" t="s">
        <v>1384</v>
      </c>
    </row>
    <row r="1904" spans="1:3" x14ac:dyDescent="0.25">
      <c r="A1904" s="42">
        <v>1358</v>
      </c>
      <c r="B1904" s="43">
        <v>118</v>
      </c>
      <c r="C1904" s="42" t="s">
        <v>1384</v>
      </c>
    </row>
    <row r="1905" spans="1:3" x14ac:dyDescent="0.25">
      <c r="A1905" s="42">
        <v>1358</v>
      </c>
      <c r="B1905" s="43">
        <v>118</v>
      </c>
      <c r="C1905" s="42" t="s">
        <v>1384</v>
      </c>
    </row>
    <row r="1906" spans="1:3" x14ac:dyDescent="0.25">
      <c r="A1906" s="42">
        <v>1359</v>
      </c>
      <c r="B1906" s="43"/>
      <c r="C1906" s="42" t="s">
        <v>1384</v>
      </c>
    </row>
    <row r="1907" spans="1:3" x14ac:dyDescent="0.25">
      <c r="A1907" s="42">
        <v>1360</v>
      </c>
      <c r="B1907" s="43"/>
      <c r="C1907" s="42" t="s">
        <v>1384</v>
      </c>
    </row>
    <row r="1908" spans="1:3" x14ac:dyDescent="0.25">
      <c r="A1908" s="42">
        <v>1361</v>
      </c>
      <c r="B1908" s="43"/>
      <c r="C1908" s="42" t="s">
        <v>1384</v>
      </c>
    </row>
    <row r="1909" spans="1:3" x14ac:dyDescent="0.25">
      <c r="A1909" s="42">
        <v>1362</v>
      </c>
      <c r="B1909" s="43"/>
      <c r="C1909" s="42" t="s">
        <v>1384</v>
      </c>
    </row>
    <row r="1910" spans="1:3" x14ac:dyDescent="0.25">
      <c r="A1910" s="42">
        <v>1363</v>
      </c>
      <c r="B1910" s="43">
        <v>21.9</v>
      </c>
      <c r="C1910" s="42" t="s">
        <v>1384</v>
      </c>
    </row>
    <row r="1911" spans="1:3" x14ac:dyDescent="0.25">
      <c r="A1911" s="42">
        <v>1364</v>
      </c>
      <c r="B1911" s="43"/>
      <c r="C1911" s="42" t="s">
        <v>1384</v>
      </c>
    </row>
    <row r="1912" spans="1:3" x14ac:dyDescent="0.25">
      <c r="A1912" s="42">
        <v>1365</v>
      </c>
      <c r="B1912" s="43"/>
      <c r="C1912" s="42" t="s">
        <v>1384</v>
      </c>
    </row>
    <row r="1913" spans="1:3" x14ac:dyDescent="0.25">
      <c r="A1913" s="42">
        <v>1366</v>
      </c>
      <c r="B1913" s="43"/>
      <c r="C1913" s="42" t="s">
        <v>1384</v>
      </c>
    </row>
    <row r="1914" spans="1:3" x14ac:dyDescent="0.25">
      <c r="A1914" s="42">
        <v>1367</v>
      </c>
      <c r="B1914" s="43"/>
      <c r="C1914" s="42" t="s">
        <v>1384</v>
      </c>
    </row>
    <row r="1915" spans="1:3" x14ac:dyDescent="0.25">
      <c r="A1915" s="42">
        <v>1368</v>
      </c>
      <c r="B1915" s="43">
        <v>412</v>
      </c>
      <c r="C1915" s="42" t="s">
        <v>1384</v>
      </c>
    </row>
    <row r="1916" spans="1:3" x14ac:dyDescent="0.25">
      <c r="A1916" s="42">
        <v>1368</v>
      </c>
      <c r="B1916" s="43">
        <v>412</v>
      </c>
      <c r="C1916" s="42" t="s">
        <v>1384</v>
      </c>
    </row>
    <row r="1917" spans="1:3" x14ac:dyDescent="0.25">
      <c r="A1917" s="42">
        <v>1369</v>
      </c>
      <c r="B1917" s="43"/>
      <c r="C1917" s="42" t="s">
        <v>1384</v>
      </c>
    </row>
    <row r="1918" spans="1:3" x14ac:dyDescent="0.25">
      <c r="A1918" s="42">
        <v>1370</v>
      </c>
      <c r="B1918" s="43"/>
      <c r="C1918" s="42" t="s">
        <v>1384</v>
      </c>
    </row>
    <row r="1919" spans="1:3" x14ac:dyDescent="0.25">
      <c r="A1919" s="42">
        <v>1371</v>
      </c>
      <c r="B1919" s="43"/>
      <c r="C1919" s="42" t="s">
        <v>1384</v>
      </c>
    </row>
    <row r="1920" spans="1:3" x14ac:dyDescent="0.25">
      <c r="A1920" s="42">
        <v>1372</v>
      </c>
      <c r="B1920" s="43"/>
      <c r="C1920" s="42" t="s">
        <v>1384</v>
      </c>
    </row>
    <row r="1921" spans="1:3" x14ac:dyDescent="0.25">
      <c r="A1921" s="42">
        <v>1373</v>
      </c>
      <c r="B1921" s="43">
        <v>260</v>
      </c>
      <c r="C1921" s="42" t="s">
        <v>1384</v>
      </c>
    </row>
    <row r="1922" spans="1:3" x14ac:dyDescent="0.25">
      <c r="A1922" s="42">
        <v>1374</v>
      </c>
      <c r="B1922" s="43"/>
      <c r="C1922" s="42" t="s">
        <v>1384</v>
      </c>
    </row>
    <row r="1923" spans="1:3" x14ac:dyDescent="0.25">
      <c r="A1923" s="42">
        <v>1375</v>
      </c>
      <c r="B1923" s="43"/>
      <c r="C1923" s="42" t="s">
        <v>1384</v>
      </c>
    </row>
    <row r="1924" spans="1:3" x14ac:dyDescent="0.25">
      <c r="A1924" s="42">
        <v>1376</v>
      </c>
      <c r="B1924" s="43"/>
      <c r="C1924" s="42" t="s">
        <v>1384</v>
      </c>
    </row>
    <row r="1925" spans="1:3" x14ac:dyDescent="0.25">
      <c r="A1925" s="42">
        <v>1677</v>
      </c>
      <c r="B1925" s="43"/>
      <c r="C1925" s="42" t="s">
        <v>1384</v>
      </c>
    </row>
    <row r="1926" spans="1:3" x14ac:dyDescent="0.25">
      <c r="A1926" s="42">
        <v>1678</v>
      </c>
      <c r="B1926" s="43">
        <v>355.89</v>
      </c>
      <c r="C1926" s="42" t="s">
        <v>1384</v>
      </c>
    </row>
    <row r="1927" spans="1:3" x14ac:dyDescent="0.25">
      <c r="A1927" s="42">
        <v>1678</v>
      </c>
      <c r="B1927" s="43">
        <v>355.89</v>
      </c>
      <c r="C1927" s="42" t="s">
        <v>1384</v>
      </c>
    </row>
    <row r="1928" spans="1:3" x14ac:dyDescent="0.25">
      <c r="A1928" s="42">
        <v>1679</v>
      </c>
      <c r="B1928" s="43"/>
      <c r="C1928" s="42" t="s">
        <v>1384</v>
      </c>
    </row>
    <row r="1929" spans="1:3" x14ac:dyDescent="0.25">
      <c r="A1929" s="42">
        <v>1680</v>
      </c>
      <c r="B1929" s="43"/>
      <c r="C1929" s="42" t="s">
        <v>1384</v>
      </c>
    </row>
    <row r="1930" spans="1:3" x14ac:dyDescent="0.25">
      <c r="A1930" s="42">
        <v>1681</v>
      </c>
      <c r="B1930" s="43"/>
      <c r="C1930" s="42" t="s">
        <v>1384</v>
      </c>
    </row>
    <row r="1931" spans="1:3" x14ac:dyDescent="0.25">
      <c r="A1931" s="42">
        <v>1682</v>
      </c>
      <c r="B1931" s="43">
        <v>500</v>
      </c>
      <c r="C1931" s="42" t="s">
        <v>1384</v>
      </c>
    </row>
    <row r="1932" spans="1:3" x14ac:dyDescent="0.25">
      <c r="A1932" s="42">
        <v>1682</v>
      </c>
      <c r="B1932" s="43">
        <v>500</v>
      </c>
      <c r="C1932" s="42" t="s">
        <v>1384</v>
      </c>
    </row>
    <row r="1933" spans="1:3" x14ac:dyDescent="0.25">
      <c r="A1933" s="42">
        <v>1683</v>
      </c>
      <c r="B1933" s="43"/>
      <c r="C1933" s="42" t="s">
        <v>1384</v>
      </c>
    </row>
    <row r="1934" spans="1:3" x14ac:dyDescent="0.25">
      <c r="A1934" s="42">
        <v>1683</v>
      </c>
      <c r="B1934" s="43"/>
      <c r="C1934" s="42" t="s">
        <v>1384</v>
      </c>
    </row>
    <row r="1935" spans="1:3" x14ac:dyDescent="0.25">
      <c r="A1935" s="42">
        <v>1684</v>
      </c>
      <c r="B1935" s="43">
        <v>70.25</v>
      </c>
      <c r="C1935" s="42" t="s">
        <v>1384</v>
      </c>
    </row>
    <row r="1936" spans="1:3" x14ac:dyDescent="0.25">
      <c r="A1936" s="42">
        <v>1685</v>
      </c>
      <c r="B1936" s="43"/>
      <c r="C1936" s="42" t="s">
        <v>1384</v>
      </c>
    </row>
    <row r="1937" spans="1:3" x14ac:dyDescent="0.25">
      <c r="A1937" s="42">
        <v>1686</v>
      </c>
      <c r="B1937" s="43"/>
      <c r="C1937" s="42" t="s">
        <v>1384</v>
      </c>
    </row>
    <row r="1938" spans="1:3" x14ac:dyDescent="0.25">
      <c r="A1938" s="42">
        <v>1687</v>
      </c>
      <c r="B1938" s="43">
        <v>355.89</v>
      </c>
      <c r="C1938" s="42" t="s">
        <v>1384</v>
      </c>
    </row>
    <row r="1939" spans="1:3" x14ac:dyDescent="0.25">
      <c r="A1939" s="42">
        <v>1688</v>
      </c>
      <c r="B1939" s="43">
        <v>360</v>
      </c>
      <c r="C1939" s="42" t="s">
        <v>1384</v>
      </c>
    </row>
    <row r="1940" spans="1:3" x14ac:dyDescent="0.25">
      <c r="A1940" s="42">
        <v>1689</v>
      </c>
      <c r="B1940" s="43">
        <v>500</v>
      </c>
      <c r="C1940" s="42" t="s">
        <v>1384</v>
      </c>
    </row>
    <row r="1941" spans="1:3" x14ac:dyDescent="0.25">
      <c r="A1941" s="42">
        <v>1690</v>
      </c>
      <c r="B1941" s="43"/>
      <c r="C1941" s="42" t="s">
        <v>1384</v>
      </c>
    </row>
    <row r="1942" spans="1:3" x14ac:dyDescent="0.25">
      <c r="A1942" s="42">
        <v>1691</v>
      </c>
      <c r="B1942" s="43">
        <v>26.4</v>
      </c>
      <c r="C1942" s="42" t="s">
        <v>1384</v>
      </c>
    </row>
    <row r="1943" spans="1:3" x14ac:dyDescent="0.25">
      <c r="A1943" s="42">
        <v>1692</v>
      </c>
      <c r="B1943" s="43"/>
      <c r="C1943" s="42" t="s">
        <v>1384</v>
      </c>
    </row>
    <row r="1944" spans="1:3" x14ac:dyDescent="0.25">
      <c r="A1944" s="42">
        <v>1693</v>
      </c>
      <c r="B1944" s="43"/>
      <c r="C1944" s="42" t="s">
        <v>1384</v>
      </c>
    </row>
    <row r="1945" spans="1:3" x14ac:dyDescent="0.25">
      <c r="A1945" s="42">
        <v>1694</v>
      </c>
      <c r="B1945" s="43"/>
      <c r="C1945" s="42" t="s">
        <v>1384</v>
      </c>
    </row>
    <row r="1946" spans="1:3" x14ac:dyDescent="0.25">
      <c r="A1946" s="42">
        <v>1694</v>
      </c>
      <c r="B1946" s="43"/>
      <c r="C1946" s="42" t="s">
        <v>1384</v>
      </c>
    </row>
    <row r="1947" spans="1:3" x14ac:dyDescent="0.25">
      <c r="A1947" s="42">
        <v>1695</v>
      </c>
      <c r="B1947" s="43"/>
      <c r="C1947" s="42" t="s">
        <v>1384</v>
      </c>
    </row>
    <row r="1948" spans="1:3" x14ac:dyDescent="0.25">
      <c r="A1948" s="42">
        <v>1696</v>
      </c>
      <c r="B1948" s="43">
        <v>586</v>
      </c>
      <c r="C1948" s="42" t="s">
        <v>1384</v>
      </c>
    </row>
    <row r="1949" spans="1:3" x14ac:dyDescent="0.25">
      <c r="A1949" s="42">
        <v>1697</v>
      </c>
      <c r="B1949" s="43"/>
      <c r="C1949" s="42" t="s">
        <v>1384</v>
      </c>
    </row>
    <row r="1950" spans="1:3" x14ac:dyDescent="0.25">
      <c r="A1950" s="42">
        <v>1698</v>
      </c>
      <c r="B1950" s="43"/>
      <c r="C1950" s="42" t="s">
        <v>1384</v>
      </c>
    </row>
    <row r="1951" spans="1:3" x14ac:dyDescent="0.25">
      <c r="A1951" s="42">
        <v>1699</v>
      </c>
      <c r="B1951" s="43"/>
      <c r="C1951" s="42" t="s">
        <v>1384</v>
      </c>
    </row>
    <row r="1952" spans="1:3" x14ac:dyDescent="0.25">
      <c r="A1952" s="42">
        <v>1700</v>
      </c>
      <c r="B1952" s="43"/>
      <c r="C1952" s="42" t="s">
        <v>1384</v>
      </c>
    </row>
    <row r="1953" spans="1:3" x14ac:dyDescent="0.25">
      <c r="A1953" s="42">
        <v>1701</v>
      </c>
      <c r="B1953" s="43">
        <v>790</v>
      </c>
      <c r="C1953" s="42" t="s">
        <v>1384</v>
      </c>
    </row>
    <row r="1954" spans="1:3" x14ac:dyDescent="0.25">
      <c r="A1954" s="42">
        <v>1702</v>
      </c>
      <c r="B1954" s="43"/>
      <c r="C1954" s="42" t="s">
        <v>1384</v>
      </c>
    </row>
    <row r="1955" spans="1:3" x14ac:dyDescent="0.25">
      <c r="A1955" s="42">
        <v>1703</v>
      </c>
      <c r="B1955" s="43"/>
      <c r="C1955" s="42" t="s">
        <v>1384</v>
      </c>
    </row>
    <row r="1956" spans="1:3" x14ac:dyDescent="0.25">
      <c r="A1956" s="42">
        <v>1704</v>
      </c>
      <c r="B1956" s="43"/>
      <c r="C1956" s="42" t="s">
        <v>1384</v>
      </c>
    </row>
    <row r="1957" spans="1:3" x14ac:dyDescent="0.25">
      <c r="A1957" s="42">
        <v>1705</v>
      </c>
      <c r="B1957" s="43"/>
      <c r="C1957" s="42" t="s">
        <v>1384</v>
      </c>
    </row>
    <row r="1958" spans="1:3" x14ac:dyDescent="0.25">
      <c r="A1958" s="42">
        <v>1706</v>
      </c>
      <c r="B1958" s="43">
        <v>50</v>
      </c>
      <c r="C1958" s="42" t="s">
        <v>1384</v>
      </c>
    </row>
    <row r="1959" spans="1:3" x14ac:dyDescent="0.25">
      <c r="A1959" s="42">
        <v>1707</v>
      </c>
      <c r="B1959" s="43">
        <v>26.5</v>
      </c>
      <c r="C1959" s="42" t="s">
        <v>1384</v>
      </c>
    </row>
    <row r="1960" spans="1:3" x14ac:dyDescent="0.25">
      <c r="A1960" s="42">
        <v>1708</v>
      </c>
      <c r="B1960" s="43"/>
      <c r="C1960" s="42" t="s">
        <v>1384</v>
      </c>
    </row>
    <row r="1961" spans="1:3" x14ac:dyDescent="0.25">
      <c r="A1961" s="42">
        <v>1709</v>
      </c>
      <c r="B1961" s="43"/>
      <c r="C1961" s="42" t="s">
        <v>1384</v>
      </c>
    </row>
    <row r="1962" spans="1:3" x14ac:dyDescent="0.25">
      <c r="A1962" s="42">
        <v>1710</v>
      </c>
      <c r="B1962" s="43"/>
      <c r="C1962" s="42" t="s">
        <v>1384</v>
      </c>
    </row>
    <row r="1963" spans="1:3" x14ac:dyDescent="0.25">
      <c r="A1963" s="42">
        <v>7777</v>
      </c>
      <c r="B1963" s="43"/>
      <c r="C1963" s="42" t="s">
        <v>1384</v>
      </c>
    </row>
    <row r="1964" spans="1:3" x14ac:dyDescent="0.25">
      <c r="A1964" s="42">
        <v>8888</v>
      </c>
      <c r="B1964" s="43"/>
      <c r="C1964" s="42" t="s">
        <v>1384</v>
      </c>
    </row>
    <row r="1965" spans="1:3" x14ac:dyDescent="0.25">
      <c r="A1965" s="42">
        <v>9999</v>
      </c>
      <c r="B1965" s="43"/>
      <c r="C1965" s="42" t="s">
        <v>1384</v>
      </c>
    </row>
    <row r="1966" spans="1:3" x14ac:dyDescent="0.25">
      <c r="A1966" s="44">
        <v>1203</v>
      </c>
      <c r="B1966" s="40">
        <v>1000</v>
      </c>
      <c r="C1966" s="42" t="s">
        <v>1384</v>
      </c>
    </row>
    <row r="1967" spans="1:3" x14ac:dyDescent="0.25">
      <c r="A1967" s="44">
        <v>1131</v>
      </c>
      <c r="B1967" s="41">
        <v>200</v>
      </c>
      <c r="C1967" s="42" t="s">
        <v>1384</v>
      </c>
    </row>
    <row r="1968" spans="1:3" x14ac:dyDescent="0.25">
      <c r="A1968" s="44">
        <v>1124</v>
      </c>
      <c r="B1968" s="41">
        <v>190</v>
      </c>
      <c r="C1968" s="42" t="s">
        <v>1384</v>
      </c>
    </row>
    <row r="1969" spans="1:3" x14ac:dyDescent="0.25">
      <c r="A1969" s="44">
        <v>1155</v>
      </c>
      <c r="B1969" s="41">
        <v>850</v>
      </c>
      <c r="C1969" s="42" t="s">
        <v>1384</v>
      </c>
    </row>
    <row r="1970" spans="1:3" x14ac:dyDescent="0.25">
      <c r="A1970" s="44">
        <v>1177</v>
      </c>
      <c r="B1970" s="41">
        <v>150</v>
      </c>
      <c r="C1970" s="42" t="s">
        <v>1384</v>
      </c>
    </row>
    <row r="1971" spans="1:3" x14ac:dyDescent="0.25">
      <c r="A1971" s="44">
        <v>307</v>
      </c>
      <c r="B1971" s="41">
        <v>500</v>
      </c>
      <c r="C1971" s="42" t="s">
        <v>1384</v>
      </c>
    </row>
    <row r="1972" spans="1:3" x14ac:dyDescent="0.25">
      <c r="A1972" s="44">
        <v>1049</v>
      </c>
      <c r="B1972" s="41">
        <v>250</v>
      </c>
      <c r="C1972" s="42" t="s">
        <v>1384</v>
      </c>
    </row>
    <row r="1973" spans="1:3" x14ac:dyDescent="0.25">
      <c r="A1973" s="44">
        <v>1229</v>
      </c>
      <c r="B1973" s="41">
        <v>700</v>
      </c>
      <c r="C1973" s="42" t="s">
        <v>1384</v>
      </c>
    </row>
    <row r="1974" spans="1:3" x14ac:dyDescent="0.25">
      <c r="A1974" s="44">
        <v>1067</v>
      </c>
      <c r="B1974" s="41">
        <v>828</v>
      </c>
      <c r="C1974" s="42" t="s">
        <v>1384</v>
      </c>
    </row>
    <row r="1975" spans="1:3" x14ac:dyDescent="0.25">
      <c r="A1975" s="44">
        <v>1071</v>
      </c>
      <c r="B1975" s="41">
        <v>1090</v>
      </c>
      <c r="C1975" s="42" t="s">
        <v>1384</v>
      </c>
    </row>
    <row r="1976" spans="1:3" x14ac:dyDescent="0.25">
      <c r="A1976" s="44">
        <v>1074</v>
      </c>
      <c r="B1976" s="41">
        <v>478</v>
      </c>
      <c r="C1976" s="42" t="s">
        <v>1384</v>
      </c>
    </row>
    <row r="1977" spans="1:3" x14ac:dyDescent="0.25">
      <c r="A1977" s="44">
        <v>1210</v>
      </c>
      <c r="B1977" s="41">
        <v>1000</v>
      </c>
      <c r="C1977" s="42" t="s">
        <v>1384</v>
      </c>
    </row>
    <row r="1978" spans="1:3" x14ac:dyDescent="0.25">
      <c r="A1978" s="44">
        <v>1147</v>
      </c>
      <c r="B1978" s="41">
        <v>1270</v>
      </c>
      <c r="C1978" s="42" t="s">
        <v>1384</v>
      </c>
    </row>
    <row r="1979" spans="1:3" x14ac:dyDescent="0.25">
      <c r="A1979" s="44">
        <v>768</v>
      </c>
      <c r="B1979" s="41">
        <v>1049</v>
      </c>
      <c r="C1979" s="42" t="s">
        <v>1384</v>
      </c>
    </row>
    <row r="1980" spans="1:3" x14ac:dyDescent="0.25">
      <c r="A1980" s="44">
        <v>1119</v>
      </c>
      <c r="B1980" s="41">
        <v>65</v>
      </c>
      <c r="C1980" s="42" t="s">
        <v>1384</v>
      </c>
    </row>
    <row r="1981" spans="1:3" x14ac:dyDescent="0.25">
      <c r="A1981" s="44">
        <v>1120</v>
      </c>
      <c r="B1981" s="41">
        <v>100</v>
      </c>
      <c r="C1981" s="42" t="s">
        <v>1384</v>
      </c>
    </row>
    <row r="1982" spans="1:3" x14ac:dyDescent="0.25">
      <c r="B1982" s="43"/>
      <c r="C1982" s="42" t="s">
        <v>1384</v>
      </c>
    </row>
    <row r="1983" spans="1:3" x14ac:dyDescent="0.25">
      <c r="B1983" s="43"/>
      <c r="C1983" s="42" t="s">
        <v>1384</v>
      </c>
    </row>
    <row r="1984" spans="1:3" x14ac:dyDescent="0.25">
      <c r="B1984" s="43"/>
      <c r="C1984" s="42" t="s">
        <v>1384</v>
      </c>
    </row>
    <row r="1985" spans="2:3" x14ac:dyDescent="0.25">
      <c r="B1985" s="43"/>
      <c r="C1985" s="42" t="s">
        <v>1384</v>
      </c>
    </row>
    <row r="1986" spans="2:3" x14ac:dyDescent="0.25">
      <c r="B1986" s="43"/>
      <c r="C1986" s="42" t="s">
        <v>1384</v>
      </c>
    </row>
    <row r="1987" spans="2:3" x14ac:dyDescent="0.25">
      <c r="B1987" s="43"/>
      <c r="C1987" s="42" t="s">
        <v>1384</v>
      </c>
    </row>
    <row r="1988" spans="2:3" x14ac:dyDescent="0.25">
      <c r="B1988" s="43"/>
      <c r="C1988" s="42" t="s">
        <v>1384</v>
      </c>
    </row>
    <row r="1989" spans="2:3" x14ac:dyDescent="0.25">
      <c r="B1989" s="43"/>
      <c r="C1989" s="42" t="s">
        <v>1384</v>
      </c>
    </row>
    <row r="1990" spans="2:3" x14ac:dyDescent="0.25">
      <c r="B1990" s="43"/>
      <c r="C1990" s="42" t="s">
        <v>1384</v>
      </c>
    </row>
    <row r="1991" spans="2:3" x14ac:dyDescent="0.25">
      <c r="B1991" s="43"/>
      <c r="C1991" s="42" t="s">
        <v>1384</v>
      </c>
    </row>
    <row r="1992" spans="2:3" x14ac:dyDescent="0.25">
      <c r="B1992" s="43"/>
      <c r="C1992" s="42" t="s">
        <v>1384</v>
      </c>
    </row>
    <row r="1993" spans="2:3" x14ac:dyDescent="0.25">
      <c r="B1993" s="43"/>
      <c r="C1993" s="42" t="s">
        <v>1384</v>
      </c>
    </row>
    <row r="1994" spans="2:3" x14ac:dyDescent="0.25">
      <c r="B1994" s="43"/>
      <c r="C1994" s="42" t="s">
        <v>1384</v>
      </c>
    </row>
    <row r="1995" spans="2:3" x14ac:dyDescent="0.25">
      <c r="B1995" s="43"/>
      <c r="C1995" s="42" t="s">
        <v>1384</v>
      </c>
    </row>
    <row r="1996" spans="2:3" x14ac:dyDescent="0.25">
      <c r="B1996" s="43"/>
      <c r="C1996" s="42" t="s">
        <v>1384</v>
      </c>
    </row>
    <row r="1997" spans="2:3" x14ac:dyDescent="0.25">
      <c r="B1997" s="43"/>
      <c r="C1997" s="42" t="s">
        <v>1384</v>
      </c>
    </row>
    <row r="1998" spans="2:3" x14ac:dyDescent="0.25">
      <c r="B1998" s="43"/>
      <c r="C1998" s="42" t="s">
        <v>1384</v>
      </c>
    </row>
    <row r="1999" spans="2:3" x14ac:dyDescent="0.25">
      <c r="B1999" s="43"/>
      <c r="C1999" s="42" t="s">
        <v>1384</v>
      </c>
    </row>
    <row r="2000" spans="2:3" x14ac:dyDescent="0.25">
      <c r="B2000" s="43"/>
      <c r="C2000" s="42" t="s">
        <v>1384</v>
      </c>
    </row>
    <row r="2001" spans="2:3" x14ac:dyDescent="0.25">
      <c r="B2001" s="43"/>
      <c r="C2001" s="42" t="s">
        <v>1384</v>
      </c>
    </row>
    <row r="2002" spans="2:3" x14ac:dyDescent="0.25">
      <c r="B2002" s="43"/>
      <c r="C2002" s="42" t="s">
        <v>1384</v>
      </c>
    </row>
    <row r="2003" spans="2:3" x14ac:dyDescent="0.25">
      <c r="B2003" s="43"/>
      <c r="C2003" s="42" t="s">
        <v>1384</v>
      </c>
    </row>
    <row r="2004" spans="2:3" x14ac:dyDescent="0.25">
      <c r="B2004" s="43"/>
      <c r="C2004" s="42" t="s">
        <v>1384</v>
      </c>
    </row>
    <row r="2005" spans="2:3" x14ac:dyDescent="0.25">
      <c r="B2005" s="43"/>
      <c r="C2005" s="42" t="s">
        <v>1384</v>
      </c>
    </row>
    <row r="2006" spans="2:3" x14ac:dyDescent="0.25">
      <c r="B2006" s="43"/>
      <c r="C2006" s="42" t="s">
        <v>1384</v>
      </c>
    </row>
    <row r="2007" spans="2:3" x14ac:dyDescent="0.25">
      <c r="B2007" s="43"/>
      <c r="C2007" s="42" t="s">
        <v>1384</v>
      </c>
    </row>
    <row r="2008" spans="2:3" x14ac:dyDescent="0.25">
      <c r="B2008" s="43"/>
      <c r="C2008" s="42" t="s">
        <v>1384</v>
      </c>
    </row>
    <row r="2009" spans="2:3" x14ac:dyDescent="0.25">
      <c r="B2009" s="43"/>
      <c r="C2009" s="42" t="s">
        <v>1384</v>
      </c>
    </row>
    <row r="2010" spans="2:3" x14ac:dyDescent="0.25">
      <c r="B2010" s="43"/>
      <c r="C2010" s="42" t="s">
        <v>1384</v>
      </c>
    </row>
    <row r="2011" spans="2:3" x14ac:dyDescent="0.25">
      <c r="B2011" s="43"/>
      <c r="C2011" s="42" t="s">
        <v>1384</v>
      </c>
    </row>
    <row r="2012" spans="2:3" x14ac:dyDescent="0.25">
      <c r="B2012" s="43"/>
      <c r="C2012" s="42" t="s">
        <v>1384</v>
      </c>
    </row>
    <row r="2013" spans="2:3" x14ac:dyDescent="0.25">
      <c r="B2013" s="43"/>
      <c r="C2013" s="42" t="s">
        <v>1384</v>
      </c>
    </row>
    <row r="2014" spans="2:3" x14ac:dyDescent="0.25">
      <c r="B2014" s="43"/>
      <c r="C2014" s="42" t="s">
        <v>1384</v>
      </c>
    </row>
    <row r="2015" spans="2:3" x14ac:dyDescent="0.25">
      <c r="B2015" s="43"/>
      <c r="C2015" s="42" t="s">
        <v>1384</v>
      </c>
    </row>
    <row r="2016" spans="2:3" x14ac:dyDescent="0.25">
      <c r="B2016" s="43"/>
      <c r="C2016" s="42" t="s">
        <v>1384</v>
      </c>
    </row>
    <row r="2017" spans="2:3" x14ac:dyDescent="0.25">
      <c r="B2017" s="43"/>
      <c r="C2017" s="42" t="s">
        <v>1384</v>
      </c>
    </row>
    <row r="2018" spans="2:3" x14ac:dyDescent="0.25">
      <c r="B2018" s="43"/>
      <c r="C2018" s="42" t="s">
        <v>1384</v>
      </c>
    </row>
    <row r="2019" spans="2:3" x14ac:dyDescent="0.25">
      <c r="B2019" s="43"/>
      <c r="C2019" s="42" t="s">
        <v>1384</v>
      </c>
    </row>
    <row r="2020" spans="2:3" x14ac:dyDescent="0.25">
      <c r="B2020" s="43"/>
      <c r="C2020" s="42" t="s">
        <v>1384</v>
      </c>
    </row>
    <row r="2021" spans="2:3" x14ac:dyDescent="0.25">
      <c r="B2021" s="43"/>
      <c r="C2021" s="42" t="s">
        <v>1384</v>
      </c>
    </row>
    <row r="2022" spans="2:3" x14ac:dyDescent="0.25">
      <c r="B2022" s="43"/>
      <c r="C2022" s="42" t="s">
        <v>1384</v>
      </c>
    </row>
    <row r="2023" spans="2:3" x14ac:dyDescent="0.25">
      <c r="B2023" s="43"/>
      <c r="C2023" s="42" t="s">
        <v>1384</v>
      </c>
    </row>
    <row r="2024" spans="2:3" x14ac:dyDescent="0.25">
      <c r="B2024" s="43"/>
      <c r="C2024" s="42" t="s">
        <v>1384</v>
      </c>
    </row>
    <row r="2025" spans="2:3" x14ac:dyDescent="0.25">
      <c r="B2025" s="43"/>
      <c r="C2025" s="42" t="s">
        <v>1384</v>
      </c>
    </row>
    <row r="2026" spans="2:3" x14ac:dyDescent="0.25">
      <c r="B2026" s="43"/>
      <c r="C2026" s="42" t="s">
        <v>1384</v>
      </c>
    </row>
    <row r="2027" spans="2:3" x14ac:dyDescent="0.25">
      <c r="B2027" s="43"/>
      <c r="C2027" s="42" t="s">
        <v>1384</v>
      </c>
    </row>
    <row r="2028" spans="2:3" x14ac:dyDescent="0.25">
      <c r="B2028" s="43"/>
      <c r="C2028" s="42" t="s">
        <v>1384</v>
      </c>
    </row>
    <row r="2029" spans="2:3" x14ac:dyDescent="0.25">
      <c r="B2029" s="43"/>
      <c r="C2029" s="42" t="s">
        <v>1384</v>
      </c>
    </row>
    <row r="2030" spans="2:3" x14ac:dyDescent="0.25">
      <c r="B2030" s="43"/>
      <c r="C2030" s="42" t="s">
        <v>1384</v>
      </c>
    </row>
    <row r="2031" spans="2:3" x14ac:dyDescent="0.25">
      <c r="B2031" s="43"/>
      <c r="C2031" s="42" t="s">
        <v>1384</v>
      </c>
    </row>
    <row r="2032" spans="2:3" x14ac:dyDescent="0.25">
      <c r="B2032" s="43"/>
      <c r="C2032" s="42" t="s">
        <v>1384</v>
      </c>
    </row>
    <row r="2033" spans="2:3" x14ac:dyDescent="0.25">
      <c r="B2033" s="43"/>
      <c r="C2033" s="42" t="s">
        <v>1384</v>
      </c>
    </row>
    <row r="2034" spans="2:3" x14ac:dyDescent="0.25">
      <c r="B2034" s="43"/>
      <c r="C2034" s="42" t="s">
        <v>1384</v>
      </c>
    </row>
    <row r="2035" spans="2:3" x14ac:dyDescent="0.25">
      <c r="B2035" s="43"/>
      <c r="C2035" s="42" t="s">
        <v>1384</v>
      </c>
    </row>
    <row r="2036" spans="2:3" x14ac:dyDescent="0.25">
      <c r="B2036" s="43"/>
      <c r="C2036" s="42" t="s">
        <v>1384</v>
      </c>
    </row>
    <row r="2037" spans="2:3" x14ac:dyDescent="0.25">
      <c r="B2037" s="43"/>
      <c r="C2037" s="42" t="s">
        <v>1384</v>
      </c>
    </row>
    <row r="2038" spans="2:3" x14ac:dyDescent="0.25">
      <c r="B2038" s="43"/>
      <c r="C2038" s="42" t="s">
        <v>1384</v>
      </c>
    </row>
    <row r="2039" spans="2:3" x14ac:dyDescent="0.25">
      <c r="B2039" s="43"/>
      <c r="C2039" s="42" t="s">
        <v>1384</v>
      </c>
    </row>
    <row r="2040" spans="2:3" x14ac:dyDescent="0.25">
      <c r="B2040" s="43"/>
      <c r="C2040" s="42" t="s">
        <v>1384</v>
      </c>
    </row>
    <row r="2041" spans="2:3" x14ac:dyDescent="0.25">
      <c r="B2041" s="43"/>
      <c r="C2041" s="42" t="s">
        <v>1384</v>
      </c>
    </row>
    <row r="2042" spans="2:3" x14ac:dyDescent="0.25">
      <c r="B2042" s="43"/>
      <c r="C2042" s="42" t="s">
        <v>1384</v>
      </c>
    </row>
    <row r="2043" spans="2:3" x14ac:dyDescent="0.25">
      <c r="B2043" s="43"/>
      <c r="C2043" s="42" t="s">
        <v>1384</v>
      </c>
    </row>
    <row r="2044" spans="2:3" x14ac:dyDescent="0.25">
      <c r="B2044" s="43"/>
      <c r="C2044" s="42" t="s">
        <v>1384</v>
      </c>
    </row>
    <row r="2045" spans="2:3" x14ac:dyDescent="0.25">
      <c r="B2045" s="43"/>
      <c r="C2045" s="42" t="s">
        <v>1384</v>
      </c>
    </row>
    <row r="2046" spans="2:3" x14ac:dyDescent="0.25">
      <c r="B2046" s="43"/>
      <c r="C2046" s="42" t="s">
        <v>1384</v>
      </c>
    </row>
    <row r="2047" spans="2:3" x14ac:dyDescent="0.25">
      <c r="B2047" s="43"/>
      <c r="C2047" s="42" t="s">
        <v>1384</v>
      </c>
    </row>
    <row r="2048" spans="2:3" x14ac:dyDescent="0.25">
      <c r="B2048" s="43"/>
      <c r="C2048" s="42" t="s">
        <v>1384</v>
      </c>
    </row>
    <row r="2049" spans="2:3" x14ac:dyDescent="0.25">
      <c r="B2049" s="43"/>
      <c r="C2049" s="42" t="s">
        <v>1384</v>
      </c>
    </row>
    <row r="2050" spans="2:3" x14ac:dyDescent="0.25">
      <c r="B2050" s="43"/>
      <c r="C2050" s="42" t="s">
        <v>1384</v>
      </c>
    </row>
    <row r="2051" spans="2:3" x14ac:dyDescent="0.25">
      <c r="B2051" s="43"/>
      <c r="C2051" s="42" t="s">
        <v>1384</v>
      </c>
    </row>
    <row r="2052" spans="2:3" x14ac:dyDescent="0.25">
      <c r="B2052" s="43"/>
      <c r="C2052" s="42" t="s">
        <v>1384</v>
      </c>
    </row>
    <row r="2053" spans="2:3" x14ac:dyDescent="0.25">
      <c r="B2053" s="43"/>
      <c r="C2053" s="42" t="s">
        <v>1384</v>
      </c>
    </row>
    <row r="2054" spans="2:3" x14ac:dyDescent="0.25">
      <c r="B2054" s="43"/>
      <c r="C2054" s="42" t="s">
        <v>1384</v>
      </c>
    </row>
    <row r="2055" spans="2:3" x14ac:dyDescent="0.25">
      <c r="B2055" s="43"/>
      <c r="C2055" s="42" t="s">
        <v>1384</v>
      </c>
    </row>
    <row r="2056" spans="2:3" x14ac:dyDescent="0.25">
      <c r="B2056" s="43"/>
      <c r="C2056" s="42" t="s">
        <v>1384</v>
      </c>
    </row>
    <row r="2057" spans="2:3" x14ac:dyDescent="0.25">
      <c r="B2057" s="43"/>
      <c r="C2057" s="42" t="s">
        <v>1384</v>
      </c>
    </row>
    <row r="2058" spans="2:3" x14ac:dyDescent="0.25">
      <c r="B2058" s="43"/>
      <c r="C2058" s="42" t="s">
        <v>1384</v>
      </c>
    </row>
    <row r="2059" spans="2:3" x14ac:dyDescent="0.25">
      <c r="B2059" s="43"/>
      <c r="C2059" s="42" t="s">
        <v>1384</v>
      </c>
    </row>
    <row r="2060" spans="2:3" x14ac:dyDescent="0.25">
      <c r="B2060" s="43"/>
      <c r="C2060" s="42" t="s">
        <v>1384</v>
      </c>
    </row>
    <row r="2061" spans="2:3" x14ac:dyDescent="0.25">
      <c r="B2061" s="43"/>
      <c r="C2061" s="42" t="s">
        <v>1384</v>
      </c>
    </row>
    <row r="2062" spans="2:3" x14ac:dyDescent="0.25">
      <c r="B2062" s="43"/>
      <c r="C2062" s="42" t="s">
        <v>1384</v>
      </c>
    </row>
    <row r="2063" spans="2:3" x14ac:dyDescent="0.25">
      <c r="B2063" s="43"/>
      <c r="C2063" s="42" t="s">
        <v>1384</v>
      </c>
    </row>
    <row r="2064" spans="2:3" x14ac:dyDescent="0.25">
      <c r="B2064" s="43"/>
      <c r="C2064" s="42" t="s">
        <v>1384</v>
      </c>
    </row>
    <row r="2065" spans="2:3" x14ac:dyDescent="0.25">
      <c r="B2065" s="43"/>
      <c r="C2065" s="42" t="s">
        <v>1384</v>
      </c>
    </row>
    <row r="2066" spans="2:3" x14ac:dyDescent="0.25">
      <c r="B2066" s="43"/>
      <c r="C2066" s="42" t="s">
        <v>1384</v>
      </c>
    </row>
    <row r="2067" spans="2:3" x14ac:dyDescent="0.25">
      <c r="B2067" s="43"/>
      <c r="C2067" s="42" t="s">
        <v>1384</v>
      </c>
    </row>
    <row r="2068" spans="2:3" x14ac:dyDescent="0.25">
      <c r="B2068" s="43"/>
      <c r="C2068" s="42" t="s">
        <v>1384</v>
      </c>
    </row>
    <row r="2069" spans="2:3" x14ac:dyDescent="0.25">
      <c r="B2069" s="43"/>
      <c r="C2069" s="42" t="s">
        <v>1384</v>
      </c>
    </row>
    <row r="2070" spans="2:3" x14ac:dyDescent="0.25">
      <c r="B2070" s="43"/>
      <c r="C2070" s="42" t="s">
        <v>1384</v>
      </c>
    </row>
    <row r="2071" spans="2:3" x14ac:dyDescent="0.25">
      <c r="B2071" s="43"/>
      <c r="C2071" s="42" t="s">
        <v>1384</v>
      </c>
    </row>
    <row r="2072" spans="2:3" x14ac:dyDescent="0.25">
      <c r="B2072" s="43"/>
      <c r="C2072" s="42" t="s">
        <v>1384</v>
      </c>
    </row>
    <row r="2073" spans="2:3" x14ac:dyDescent="0.25">
      <c r="B2073" s="43"/>
      <c r="C2073" s="42" t="s">
        <v>1384</v>
      </c>
    </row>
    <row r="2074" spans="2:3" x14ac:dyDescent="0.25">
      <c r="B2074" s="43"/>
      <c r="C2074" s="42" t="s">
        <v>1384</v>
      </c>
    </row>
    <row r="2075" spans="2:3" x14ac:dyDescent="0.25">
      <c r="B2075" s="43"/>
      <c r="C2075" s="42" t="s">
        <v>1384</v>
      </c>
    </row>
    <row r="2076" spans="2:3" x14ac:dyDescent="0.25">
      <c r="B2076" s="43"/>
      <c r="C2076" s="42" t="s">
        <v>1384</v>
      </c>
    </row>
    <row r="2077" spans="2:3" x14ac:dyDescent="0.25">
      <c r="B2077" s="43"/>
      <c r="C2077" s="42" t="s">
        <v>1384</v>
      </c>
    </row>
    <row r="2078" spans="2:3" x14ac:dyDescent="0.25">
      <c r="B2078" s="43"/>
      <c r="C2078" s="42" t="s">
        <v>1384</v>
      </c>
    </row>
    <row r="2079" spans="2:3" x14ac:dyDescent="0.25">
      <c r="B2079" s="43"/>
      <c r="C2079" s="42" t="s">
        <v>1384</v>
      </c>
    </row>
    <row r="2080" spans="2:3" x14ac:dyDescent="0.25">
      <c r="B2080" s="43"/>
      <c r="C2080" s="42" t="s">
        <v>1384</v>
      </c>
    </row>
    <row r="2081" spans="2:3" x14ac:dyDescent="0.25">
      <c r="B2081" s="43"/>
      <c r="C2081" s="42" t="s">
        <v>1384</v>
      </c>
    </row>
    <row r="2082" spans="2:3" x14ac:dyDescent="0.25">
      <c r="B2082" s="43"/>
      <c r="C2082" s="42" t="s">
        <v>1384</v>
      </c>
    </row>
    <row r="2083" spans="2:3" x14ac:dyDescent="0.25">
      <c r="B2083" s="43"/>
      <c r="C2083" s="42" t="s">
        <v>1384</v>
      </c>
    </row>
    <row r="2084" spans="2:3" x14ac:dyDescent="0.25">
      <c r="B2084" s="43"/>
      <c r="C2084" s="42" t="s">
        <v>1384</v>
      </c>
    </row>
    <row r="2085" spans="2:3" x14ac:dyDescent="0.25">
      <c r="B2085" s="43"/>
      <c r="C2085" s="42" t="s">
        <v>1384</v>
      </c>
    </row>
    <row r="2086" spans="2:3" x14ac:dyDescent="0.25">
      <c r="B2086" s="43"/>
      <c r="C2086" s="42" t="s">
        <v>1384</v>
      </c>
    </row>
    <row r="2087" spans="2:3" x14ac:dyDescent="0.25">
      <c r="B2087" s="43"/>
      <c r="C2087" s="42" t="s">
        <v>1384</v>
      </c>
    </row>
    <row r="2088" spans="2:3" x14ac:dyDescent="0.25">
      <c r="B2088" s="43"/>
      <c r="C2088" s="42" t="s">
        <v>1384</v>
      </c>
    </row>
    <row r="2089" spans="2:3" x14ac:dyDescent="0.25">
      <c r="B2089" s="43"/>
      <c r="C2089" s="42" t="s">
        <v>1384</v>
      </c>
    </row>
    <row r="2090" spans="2:3" x14ac:dyDescent="0.25">
      <c r="B2090" s="43"/>
      <c r="C2090" s="42" t="s">
        <v>1384</v>
      </c>
    </row>
    <row r="2091" spans="2:3" x14ac:dyDescent="0.25">
      <c r="B2091" s="43"/>
      <c r="C2091" s="42" t="s">
        <v>1384</v>
      </c>
    </row>
    <row r="2092" spans="2:3" x14ac:dyDescent="0.25">
      <c r="B2092" s="43"/>
      <c r="C2092" s="42" t="s">
        <v>1384</v>
      </c>
    </row>
    <row r="2093" spans="2:3" x14ac:dyDescent="0.25">
      <c r="B2093" s="43"/>
      <c r="C2093" s="42" t="s">
        <v>1384</v>
      </c>
    </row>
    <row r="2094" spans="2:3" x14ac:dyDescent="0.25">
      <c r="B2094" s="43"/>
      <c r="C2094" s="42" t="s">
        <v>1384</v>
      </c>
    </row>
    <row r="2095" spans="2:3" x14ac:dyDescent="0.25">
      <c r="B2095" s="43"/>
      <c r="C2095" s="42" t="s">
        <v>1384</v>
      </c>
    </row>
    <row r="2096" spans="2:3" x14ac:dyDescent="0.25">
      <c r="B2096" s="43"/>
      <c r="C2096" s="42" t="s">
        <v>1384</v>
      </c>
    </row>
    <row r="2097" spans="2:3" x14ac:dyDescent="0.25">
      <c r="B2097" s="43"/>
      <c r="C2097" s="42" t="s">
        <v>1384</v>
      </c>
    </row>
    <row r="2098" spans="2:3" x14ac:dyDescent="0.25">
      <c r="B2098" s="43"/>
      <c r="C2098" s="42" t="s">
        <v>1384</v>
      </c>
    </row>
    <row r="2099" spans="2:3" x14ac:dyDescent="0.25">
      <c r="B2099" s="43"/>
      <c r="C2099" s="42" t="s">
        <v>1384</v>
      </c>
    </row>
    <row r="2100" spans="2:3" x14ac:dyDescent="0.25">
      <c r="B2100" s="43"/>
      <c r="C2100" s="42" t="s">
        <v>1384</v>
      </c>
    </row>
    <row r="2101" spans="2:3" x14ac:dyDescent="0.25">
      <c r="B2101" s="43"/>
      <c r="C2101" s="42" t="s">
        <v>1384</v>
      </c>
    </row>
    <row r="2102" spans="2:3" x14ac:dyDescent="0.25">
      <c r="B2102" s="43"/>
      <c r="C2102" s="42" t="s">
        <v>1384</v>
      </c>
    </row>
    <row r="2103" spans="2:3" x14ac:dyDescent="0.25">
      <c r="B2103" s="43"/>
      <c r="C2103" s="42" t="s">
        <v>1384</v>
      </c>
    </row>
    <row r="2104" spans="2:3" x14ac:dyDescent="0.25">
      <c r="B2104" s="43"/>
      <c r="C2104" s="42" t="s">
        <v>1384</v>
      </c>
    </row>
    <row r="2105" spans="2:3" x14ac:dyDescent="0.25">
      <c r="B2105" s="43"/>
      <c r="C2105" s="42" t="s">
        <v>1384</v>
      </c>
    </row>
    <row r="2106" spans="2:3" x14ac:dyDescent="0.25">
      <c r="B2106" s="43"/>
      <c r="C2106" s="42" t="s">
        <v>1384</v>
      </c>
    </row>
    <row r="2107" spans="2:3" x14ac:dyDescent="0.25">
      <c r="B2107" s="43"/>
      <c r="C2107" s="42" t="s">
        <v>1384</v>
      </c>
    </row>
    <row r="2108" spans="2:3" x14ac:dyDescent="0.25">
      <c r="B2108" s="43"/>
      <c r="C2108" s="42" t="s">
        <v>1384</v>
      </c>
    </row>
    <row r="2109" spans="2:3" x14ac:dyDescent="0.25">
      <c r="B2109" s="43"/>
      <c r="C2109" s="42" t="s">
        <v>1384</v>
      </c>
    </row>
    <row r="2110" spans="2:3" x14ac:dyDescent="0.25">
      <c r="B2110" s="43"/>
      <c r="C2110" s="42" t="s">
        <v>1384</v>
      </c>
    </row>
    <row r="2111" spans="2:3" x14ac:dyDescent="0.25">
      <c r="B2111" s="43"/>
      <c r="C2111" s="42" t="s">
        <v>1384</v>
      </c>
    </row>
    <row r="2112" spans="2:3" x14ac:dyDescent="0.25">
      <c r="B2112" s="43"/>
      <c r="C2112" s="42" t="s">
        <v>1384</v>
      </c>
    </row>
    <row r="2113" spans="2:3" x14ac:dyDescent="0.25">
      <c r="B2113" s="43"/>
      <c r="C2113" s="42" t="s">
        <v>1384</v>
      </c>
    </row>
    <row r="2114" spans="2:3" x14ac:dyDescent="0.25">
      <c r="B2114" s="43"/>
      <c r="C2114" s="42" t="s">
        <v>1384</v>
      </c>
    </row>
    <row r="2115" spans="2:3" x14ac:dyDescent="0.25">
      <c r="B2115" s="43"/>
      <c r="C2115" s="42" t="s">
        <v>1384</v>
      </c>
    </row>
    <row r="2116" spans="2:3" x14ac:dyDescent="0.25">
      <c r="B2116" s="43"/>
      <c r="C2116" s="42" t="s">
        <v>1384</v>
      </c>
    </row>
    <row r="2117" spans="2:3" x14ac:dyDescent="0.25">
      <c r="B2117" s="43"/>
      <c r="C2117" s="42" t="s">
        <v>1384</v>
      </c>
    </row>
    <row r="2118" spans="2:3" x14ac:dyDescent="0.25">
      <c r="B2118" s="43"/>
      <c r="C2118" s="42" t="s">
        <v>1384</v>
      </c>
    </row>
    <row r="2119" spans="2:3" x14ac:dyDescent="0.25">
      <c r="B2119" s="43"/>
      <c r="C2119" s="42" t="s">
        <v>1384</v>
      </c>
    </row>
    <row r="2120" spans="2:3" x14ac:dyDescent="0.25">
      <c r="B2120" s="43"/>
      <c r="C2120" s="42" t="s">
        <v>1384</v>
      </c>
    </row>
    <row r="2121" spans="2:3" x14ac:dyDescent="0.25">
      <c r="B2121" s="43"/>
      <c r="C2121" s="42" t="s">
        <v>1384</v>
      </c>
    </row>
    <row r="2122" spans="2:3" x14ac:dyDescent="0.25">
      <c r="B2122" s="43"/>
      <c r="C2122" s="42" t="s">
        <v>1384</v>
      </c>
    </row>
    <row r="2123" spans="2:3" x14ac:dyDescent="0.25">
      <c r="B2123" s="43"/>
      <c r="C2123" s="42" t="s">
        <v>1384</v>
      </c>
    </row>
    <row r="2124" spans="2:3" x14ac:dyDescent="0.25">
      <c r="B2124" s="43"/>
      <c r="C2124" s="42" t="s">
        <v>1384</v>
      </c>
    </row>
    <row r="2125" spans="2:3" x14ac:dyDescent="0.25">
      <c r="B2125" s="43"/>
      <c r="C2125" s="42" t="s">
        <v>1384</v>
      </c>
    </row>
    <row r="2126" spans="2:3" x14ac:dyDescent="0.25">
      <c r="B2126" s="43"/>
      <c r="C2126" s="42" t="s">
        <v>1384</v>
      </c>
    </row>
    <row r="2127" spans="2:3" x14ac:dyDescent="0.25">
      <c r="B2127" s="43"/>
      <c r="C2127" s="42" t="s">
        <v>1384</v>
      </c>
    </row>
    <row r="2128" spans="2:3" x14ac:dyDescent="0.25">
      <c r="B2128" s="43"/>
      <c r="C2128" s="42" t="s">
        <v>1384</v>
      </c>
    </row>
    <row r="2129" spans="2:3" x14ac:dyDescent="0.25">
      <c r="B2129" s="43"/>
      <c r="C2129" s="42" t="s">
        <v>1384</v>
      </c>
    </row>
    <row r="2130" spans="2:3" x14ac:dyDescent="0.25">
      <c r="B2130" s="43"/>
      <c r="C2130" s="42" t="s">
        <v>1384</v>
      </c>
    </row>
    <row r="2131" spans="2:3" x14ac:dyDescent="0.25">
      <c r="B2131" s="43"/>
      <c r="C2131" s="42" t="s">
        <v>1384</v>
      </c>
    </row>
    <row r="2132" spans="2:3" x14ac:dyDescent="0.25">
      <c r="B2132" s="43"/>
      <c r="C2132" s="42" t="s">
        <v>1384</v>
      </c>
    </row>
    <row r="2133" spans="2:3" x14ac:dyDescent="0.25">
      <c r="B2133" s="43"/>
      <c r="C2133" s="42" t="s">
        <v>1384</v>
      </c>
    </row>
    <row r="2134" spans="2:3" x14ac:dyDescent="0.25">
      <c r="B2134" s="43"/>
      <c r="C2134" s="42" t="s">
        <v>1384</v>
      </c>
    </row>
    <row r="2135" spans="2:3" x14ac:dyDescent="0.25">
      <c r="B2135" s="43"/>
      <c r="C2135" s="42" t="s">
        <v>1384</v>
      </c>
    </row>
    <row r="2136" spans="2:3" x14ac:dyDescent="0.25">
      <c r="B2136" s="43"/>
      <c r="C2136" s="42" t="s">
        <v>1384</v>
      </c>
    </row>
    <row r="2137" spans="2:3" x14ac:dyDescent="0.25">
      <c r="B2137" s="43"/>
      <c r="C2137" s="42" t="s">
        <v>1384</v>
      </c>
    </row>
    <row r="2138" spans="2:3" x14ac:dyDescent="0.25">
      <c r="B2138" s="43"/>
      <c r="C2138" s="42" t="s">
        <v>1384</v>
      </c>
    </row>
    <row r="2139" spans="2:3" x14ac:dyDescent="0.25">
      <c r="B2139" s="43"/>
      <c r="C2139" s="42" t="s">
        <v>1384</v>
      </c>
    </row>
    <row r="2140" spans="2:3" x14ac:dyDescent="0.25">
      <c r="B2140" s="43"/>
      <c r="C2140" s="42" t="s">
        <v>1384</v>
      </c>
    </row>
    <row r="2141" spans="2:3" x14ac:dyDescent="0.25">
      <c r="B2141" s="43"/>
      <c r="C2141" s="42" t="s">
        <v>1384</v>
      </c>
    </row>
    <row r="2142" spans="2:3" x14ac:dyDescent="0.25">
      <c r="B2142" s="43"/>
      <c r="C2142" s="42" t="s">
        <v>1384</v>
      </c>
    </row>
    <row r="2143" spans="2:3" x14ac:dyDescent="0.25">
      <c r="B2143" s="43"/>
      <c r="C2143" s="42" t="s">
        <v>1384</v>
      </c>
    </row>
    <row r="2144" spans="2:3" x14ac:dyDescent="0.25">
      <c r="B2144" s="43"/>
      <c r="C2144" s="42" t="s">
        <v>1384</v>
      </c>
    </row>
    <row r="2145" spans="2:3" x14ac:dyDescent="0.25">
      <c r="B2145" s="43"/>
      <c r="C2145" s="42" t="s">
        <v>1384</v>
      </c>
    </row>
    <row r="2146" spans="2:3" x14ac:dyDescent="0.25">
      <c r="B2146" s="43"/>
      <c r="C2146" s="42" t="s">
        <v>1384</v>
      </c>
    </row>
    <row r="2147" spans="2:3" x14ac:dyDescent="0.25">
      <c r="B2147" s="43"/>
      <c r="C2147" s="42" t="s">
        <v>1384</v>
      </c>
    </row>
    <row r="2148" spans="2:3" x14ac:dyDescent="0.25">
      <c r="B2148" s="43"/>
      <c r="C2148" s="42" t="s">
        <v>1384</v>
      </c>
    </row>
    <row r="2149" spans="2:3" x14ac:dyDescent="0.25">
      <c r="B2149" s="43"/>
      <c r="C2149" s="42" t="s">
        <v>1384</v>
      </c>
    </row>
    <row r="2150" spans="2:3" x14ac:dyDescent="0.25">
      <c r="B2150" s="43"/>
      <c r="C2150" s="42" t="s">
        <v>1384</v>
      </c>
    </row>
    <row r="2151" spans="2:3" x14ac:dyDescent="0.25">
      <c r="B2151" s="43"/>
      <c r="C2151" s="42" t="s">
        <v>1384</v>
      </c>
    </row>
    <row r="2152" spans="2:3" x14ac:dyDescent="0.25">
      <c r="B2152" s="43"/>
      <c r="C2152" s="42" t="s">
        <v>1384</v>
      </c>
    </row>
    <row r="2153" spans="2:3" x14ac:dyDescent="0.25">
      <c r="B2153" s="43"/>
      <c r="C2153" s="42" t="s">
        <v>1384</v>
      </c>
    </row>
    <row r="2154" spans="2:3" x14ac:dyDescent="0.25">
      <c r="B2154" s="43"/>
      <c r="C2154" s="42" t="s">
        <v>1384</v>
      </c>
    </row>
    <row r="2155" spans="2:3" x14ac:dyDescent="0.25">
      <c r="B2155" s="43"/>
      <c r="C2155" s="42" t="s">
        <v>1384</v>
      </c>
    </row>
    <row r="2156" spans="2:3" x14ac:dyDescent="0.25">
      <c r="B2156" s="43"/>
      <c r="C2156" s="42" t="s">
        <v>1384</v>
      </c>
    </row>
    <row r="2157" spans="2:3" x14ac:dyDescent="0.25">
      <c r="B2157" s="43"/>
      <c r="C2157" s="42" t="s">
        <v>1384</v>
      </c>
    </row>
    <row r="2158" spans="2:3" x14ac:dyDescent="0.25">
      <c r="B2158" s="43"/>
      <c r="C2158" s="42" t="s">
        <v>1384</v>
      </c>
    </row>
    <row r="2159" spans="2:3" x14ac:dyDescent="0.25">
      <c r="B2159" s="43"/>
      <c r="C2159" s="42" t="s">
        <v>1384</v>
      </c>
    </row>
    <row r="2160" spans="2:3" x14ac:dyDescent="0.25">
      <c r="B2160" s="43"/>
      <c r="C2160" s="42" t="s">
        <v>1384</v>
      </c>
    </row>
    <row r="2161" spans="2:3" x14ac:dyDescent="0.25">
      <c r="B2161" s="43"/>
      <c r="C2161" s="42" t="s">
        <v>1384</v>
      </c>
    </row>
    <row r="2162" spans="2:3" x14ac:dyDescent="0.25">
      <c r="B2162" s="43"/>
      <c r="C2162" s="42" t="s">
        <v>1384</v>
      </c>
    </row>
    <row r="2163" spans="2:3" x14ac:dyDescent="0.25">
      <c r="B2163" s="43"/>
      <c r="C2163" s="42" t="s">
        <v>1384</v>
      </c>
    </row>
    <row r="2164" spans="2:3" x14ac:dyDescent="0.25">
      <c r="B2164" s="43"/>
      <c r="C2164" s="42" t="s">
        <v>1384</v>
      </c>
    </row>
    <row r="2165" spans="2:3" x14ac:dyDescent="0.25">
      <c r="B2165" s="43"/>
      <c r="C2165" s="42" t="s">
        <v>1384</v>
      </c>
    </row>
    <row r="2166" spans="2:3" x14ac:dyDescent="0.25">
      <c r="B2166" s="43"/>
      <c r="C2166" s="42" t="s">
        <v>1384</v>
      </c>
    </row>
    <row r="2167" spans="2:3" x14ac:dyDescent="0.25">
      <c r="B2167" s="43"/>
      <c r="C2167" s="42" t="s">
        <v>1384</v>
      </c>
    </row>
    <row r="2168" spans="2:3" x14ac:dyDescent="0.25">
      <c r="B2168" s="43"/>
      <c r="C2168" s="42" t="s">
        <v>1384</v>
      </c>
    </row>
    <row r="2169" spans="2:3" x14ac:dyDescent="0.25">
      <c r="B2169" s="43"/>
      <c r="C2169" s="42" t="s">
        <v>1384</v>
      </c>
    </row>
    <row r="2170" spans="2:3" x14ac:dyDescent="0.25">
      <c r="B2170" s="43"/>
      <c r="C2170" s="42" t="s">
        <v>1384</v>
      </c>
    </row>
    <row r="2171" spans="2:3" x14ac:dyDescent="0.25">
      <c r="B2171" s="43"/>
      <c r="C2171" s="42" t="s">
        <v>1384</v>
      </c>
    </row>
    <row r="2172" spans="2:3" x14ac:dyDescent="0.25">
      <c r="B2172" s="43"/>
      <c r="C2172" s="42" t="s">
        <v>1384</v>
      </c>
    </row>
    <row r="2173" spans="2:3" x14ac:dyDescent="0.25">
      <c r="B2173" s="43"/>
      <c r="C2173" s="42" t="s">
        <v>1384</v>
      </c>
    </row>
    <row r="2174" spans="2:3" x14ac:dyDescent="0.25">
      <c r="B2174" s="43"/>
      <c r="C2174" s="42" t="s">
        <v>1384</v>
      </c>
    </row>
    <row r="2175" spans="2:3" x14ac:dyDescent="0.25">
      <c r="B2175" s="43"/>
      <c r="C2175" s="42" t="s">
        <v>1384</v>
      </c>
    </row>
    <row r="2176" spans="2:3" x14ac:dyDescent="0.25">
      <c r="B2176" s="43"/>
      <c r="C2176" s="42" t="s">
        <v>1384</v>
      </c>
    </row>
    <row r="2177" spans="2:3" x14ac:dyDescent="0.25">
      <c r="B2177" s="43"/>
      <c r="C2177" s="42" t="s">
        <v>1384</v>
      </c>
    </row>
    <row r="2178" spans="2:3" x14ac:dyDescent="0.25">
      <c r="B2178" s="43"/>
      <c r="C2178" s="42" t="s">
        <v>1384</v>
      </c>
    </row>
    <row r="2179" spans="2:3" x14ac:dyDescent="0.25">
      <c r="B2179" s="43"/>
      <c r="C2179" s="42" t="s">
        <v>1384</v>
      </c>
    </row>
    <row r="2180" spans="2:3" x14ac:dyDescent="0.25">
      <c r="B2180" s="43"/>
      <c r="C2180" s="42" t="s">
        <v>1384</v>
      </c>
    </row>
    <row r="2181" spans="2:3" x14ac:dyDescent="0.25">
      <c r="B2181" s="43"/>
      <c r="C2181" s="42" t="s">
        <v>1384</v>
      </c>
    </row>
    <row r="2182" spans="2:3" x14ac:dyDescent="0.25">
      <c r="B2182" s="43"/>
      <c r="C2182" s="42" t="s">
        <v>1384</v>
      </c>
    </row>
    <row r="2183" spans="2:3" x14ac:dyDescent="0.25">
      <c r="B2183" s="43"/>
      <c r="C2183" s="42" t="s">
        <v>1384</v>
      </c>
    </row>
    <row r="2184" spans="2:3" x14ac:dyDescent="0.25">
      <c r="B2184" s="43"/>
      <c r="C2184" s="42" t="s">
        <v>1384</v>
      </c>
    </row>
    <row r="2185" spans="2:3" x14ac:dyDescent="0.25">
      <c r="B2185" s="43"/>
      <c r="C2185" s="42" t="s">
        <v>1384</v>
      </c>
    </row>
    <row r="2186" spans="2:3" x14ac:dyDescent="0.25">
      <c r="B2186" s="43"/>
      <c r="C2186" s="42" t="s">
        <v>1384</v>
      </c>
    </row>
    <row r="2187" spans="2:3" x14ac:dyDescent="0.25">
      <c r="B2187" s="43"/>
      <c r="C2187" s="42" t="s">
        <v>1384</v>
      </c>
    </row>
    <row r="2188" spans="2:3" x14ac:dyDescent="0.25">
      <c r="B2188" s="43"/>
      <c r="C2188" s="42" t="s">
        <v>1384</v>
      </c>
    </row>
    <row r="2189" spans="2:3" x14ac:dyDescent="0.25">
      <c r="B2189" s="43"/>
      <c r="C2189" s="42" t="s">
        <v>1384</v>
      </c>
    </row>
    <row r="2190" spans="2:3" x14ac:dyDescent="0.25">
      <c r="B2190" s="43"/>
      <c r="C2190" s="42" t="s">
        <v>1384</v>
      </c>
    </row>
    <row r="2191" spans="2:3" x14ac:dyDescent="0.25">
      <c r="B2191" s="43"/>
      <c r="C2191" s="42" t="s">
        <v>1384</v>
      </c>
    </row>
    <row r="2192" spans="2:3" x14ac:dyDescent="0.25">
      <c r="B2192" s="43"/>
      <c r="C2192" s="42" t="s">
        <v>1384</v>
      </c>
    </row>
    <row r="2193" spans="2:3" x14ac:dyDescent="0.25">
      <c r="B2193" s="43"/>
      <c r="C2193" s="42" t="s">
        <v>1384</v>
      </c>
    </row>
    <row r="2194" spans="2:3" x14ac:dyDescent="0.25">
      <c r="B2194" s="43"/>
      <c r="C2194" s="42" t="s">
        <v>1384</v>
      </c>
    </row>
    <row r="2195" spans="2:3" x14ac:dyDescent="0.25">
      <c r="B2195" s="43"/>
      <c r="C2195" s="42" t="s">
        <v>1384</v>
      </c>
    </row>
    <row r="2196" spans="2:3" x14ac:dyDescent="0.25">
      <c r="B2196" s="43"/>
      <c r="C2196" s="42" t="s">
        <v>1384</v>
      </c>
    </row>
    <row r="2197" spans="2:3" x14ac:dyDescent="0.25">
      <c r="B2197" s="43"/>
      <c r="C2197" s="42" t="s">
        <v>1384</v>
      </c>
    </row>
    <row r="2198" spans="2:3" x14ac:dyDescent="0.25">
      <c r="B2198" s="43"/>
      <c r="C2198" s="42" t="s">
        <v>1384</v>
      </c>
    </row>
    <row r="2199" spans="2:3" x14ac:dyDescent="0.25">
      <c r="B2199" s="43"/>
      <c r="C2199" s="42" t="s">
        <v>1384</v>
      </c>
    </row>
    <row r="2200" spans="2:3" x14ac:dyDescent="0.25">
      <c r="B2200" s="43"/>
      <c r="C2200" s="42" t="s">
        <v>1384</v>
      </c>
    </row>
    <row r="2201" spans="2:3" x14ac:dyDescent="0.25">
      <c r="B2201" s="43"/>
      <c r="C2201" s="42" t="s">
        <v>1384</v>
      </c>
    </row>
    <row r="2202" spans="2:3" x14ac:dyDescent="0.25">
      <c r="B2202" s="43"/>
      <c r="C2202" s="42" t="s">
        <v>1384</v>
      </c>
    </row>
    <row r="2203" spans="2:3" x14ac:dyDescent="0.25">
      <c r="B2203" s="43"/>
      <c r="C2203" s="42" t="s">
        <v>1384</v>
      </c>
    </row>
    <row r="2204" spans="2:3" x14ac:dyDescent="0.25">
      <c r="B2204" s="43"/>
      <c r="C2204" s="42" t="s">
        <v>1384</v>
      </c>
    </row>
    <row r="2205" spans="2:3" x14ac:dyDescent="0.25">
      <c r="B2205" s="43"/>
      <c r="C2205" s="42" t="s">
        <v>1384</v>
      </c>
    </row>
    <row r="2206" spans="2:3" x14ac:dyDescent="0.25">
      <c r="B2206" s="43"/>
      <c r="C2206" s="42" t="s">
        <v>1384</v>
      </c>
    </row>
    <row r="2207" spans="2:3" x14ac:dyDescent="0.25">
      <c r="B2207" s="43"/>
      <c r="C2207" s="42" t="s">
        <v>1384</v>
      </c>
    </row>
    <row r="2208" spans="2:3" x14ac:dyDescent="0.25">
      <c r="B2208" s="43"/>
      <c r="C2208" s="42" t="s">
        <v>1384</v>
      </c>
    </row>
    <row r="2209" spans="2:3" x14ac:dyDescent="0.25">
      <c r="B2209" s="43"/>
      <c r="C2209" s="42" t="s">
        <v>1384</v>
      </c>
    </row>
    <row r="2210" spans="2:3" x14ac:dyDescent="0.25">
      <c r="B2210" s="43"/>
      <c r="C2210" s="42" t="s">
        <v>1384</v>
      </c>
    </row>
    <row r="2211" spans="2:3" x14ac:dyDescent="0.25">
      <c r="B2211" s="43"/>
      <c r="C2211" s="42" t="s">
        <v>1384</v>
      </c>
    </row>
    <row r="2212" spans="2:3" x14ac:dyDescent="0.25">
      <c r="B2212" s="43"/>
      <c r="C2212" s="42" t="s">
        <v>1384</v>
      </c>
    </row>
    <row r="2213" spans="2:3" x14ac:dyDescent="0.25">
      <c r="B2213" s="43"/>
      <c r="C2213" s="42" t="s">
        <v>1384</v>
      </c>
    </row>
    <row r="2214" spans="2:3" x14ac:dyDescent="0.25">
      <c r="B2214" s="43"/>
      <c r="C2214" s="42" t="s">
        <v>1384</v>
      </c>
    </row>
    <row r="2215" spans="2:3" x14ac:dyDescent="0.25">
      <c r="B2215" s="43"/>
      <c r="C2215" s="42" t="s">
        <v>1384</v>
      </c>
    </row>
    <row r="2216" spans="2:3" x14ac:dyDescent="0.25">
      <c r="B2216" s="43"/>
      <c r="C2216" s="42" t="s">
        <v>1384</v>
      </c>
    </row>
    <row r="2217" spans="2:3" x14ac:dyDescent="0.25">
      <c r="B2217" s="43"/>
      <c r="C2217" s="42" t="s">
        <v>1384</v>
      </c>
    </row>
    <row r="2218" spans="2:3" x14ac:dyDescent="0.25">
      <c r="B2218" s="43"/>
      <c r="C2218" s="42" t="s">
        <v>1384</v>
      </c>
    </row>
    <row r="2219" spans="2:3" x14ac:dyDescent="0.25">
      <c r="B2219" s="43"/>
      <c r="C2219" s="42" t="s">
        <v>1384</v>
      </c>
    </row>
    <row r="2220" spans="2:3" x14ac:dyDescent="0.25">
      <c r="B2220" s="43"/>
      <c r="C2220" s="42" t="s">
        <v>1384</v>
      </c>
    </row>
    <row r="2221" spans="2:3" x14ac:dyDescent="0.25">
      <c r="B2221" s="43"/>
      <c r="C2221" s="42" t="s">
        <v>1384</v>
      </c>
    </row>
    <row r="2222" spans="2:3" x14ac:dyDescent="0.25">
      <c r="B2222" s="43"/>
      <c r="C2222" s="42" t="s">
        <v>1384</v>
      </c>
    </row>
    <row r="2223" spans="2:3" x14ac:dyDescent="0.25">
      <c r="B2223" s="43"/>
      <c r="C2223" s="42" t="s">
        <v>1384</v>
      </c>
    </row>
    <row r="2224" spans="2:3" x14ac:dyDescent="0.25">
      <c r="B2224" s="43"/>
      <c r="C2224" s="42" t="s">
        <v>1384</v>
      </c>
    </row>
    <row r="2225" spans="2:3" x14ac:dyDescent="0.25">
      <c r="B2225" s="43"/>
      <c r="C2225" s="42" t="s">
        <v>1384</v>
      </c>
    </row>
    <row r="2226" spans="2:3" x14ac:dyDescent="0.25">
      <c r="B2226" s="43"/>
      <c r="C2226" s="42" t="s">
        <v>1384</v>
      </c>
    </row>
    <row r="2227" spans="2:3" x14ac:dyDescent="0.25">
      <c r="B2227" s="43"/>
      <c r="C2227" s="42" t="s">
        <v>1384</v>
      </c>
    </row>
    <row r="2228" spans="2:3" x14ac:dyDescent="0.25">
      <c r="B2228" s="43"/>
      <c r="C2228" s="42" t="s">
        <v>1384</v>
      </c>
    </row>
    <row r="2229" spans="2:3" x14ac:dyDescent="0.25">
      <c r="B2229" s="43"/>
      <c r="C2229" s="42" t="s">
        <v>1384</v>
      </c>
    </row>
    <row r="2230" spans="2:3" x14ac:dyDescent="0.25">
      <c r="B2230" s="43"/>
      <c r="C2230" s="42" t="s">
        <v>1384</v>
      </c>
    </row>
    <row r="2231" spans="2:3" x14ac:dyDescent="0.25">
      <c r="B2231" s="43"/>
      <c r="C2231" s="42" t="s">
        <v>1384</v>
      </c>
    </row>
    <row r="2232" spans="2:3" x14ac:dyDescent="0.25">
      <c r="B2232" s="43"/>
      <c r="C2232" s="42" t="s">
        <v>1384</v>
      </c>
    </row>
    <row r="2233" spans="2:3" x14ac:dyDescent="0.25">
      <c r="B2233" s="43"/>
      <c r="C2233" s="42" t="s">
        <v>1384</v>
      </c>
    </row>
    <row r="2234" spans="2:3" x14ac:dyDescent="0.25">
      <c r="B2234" s="43"/>
      <c r="C2234" s="42" t="s">
        <v>1384</v>
      </c>
    </row>
    <row r="2235" spans="2:3" x14ac:dyDescent="0.25">
      <c r="B2235" s="43"/>
      <c r="C2235" s="42" t="s">
        <v>1384</v>
      </c>
    </row>
    <row r="2236" spans="2:3" x14ac:dyDescent="0.25">
      <c r="B2236" s="43"/>
      <c r="C2236" s="42" t="s">
        <v>1384</v>
      </c>
    </row>
    <row r="2237" spans="2:3" x14ac:dyDescent="0.25">
      <c r="B2237" s="43"/>
      <c r="C2237" s="42" t="s">
        <v>1384</v>
      </c>
    </row>
    <row r="2238" spans="2:3" x14ac:dyDescent="0.25">
      <c r="B2238" s="43"/>
      <c r="C2238" s="42" t="s">
        <v>1384</v>
      </c>
    </row>
    <row r="2239" spans="2:3" x14ac:dyDescent="0.25">
      <c r="B2239" s="43"/>
      <c r="C2239" s="42" t="s">
        <v>1384</v>
      </c>
    </row>
    <row r="2240" spans="2:3" x14ac:dyDescent="0.25">
      <c r="B2240" s="43"/>
      <c r="C2240" s="42" t="s">
        <v>1384</v>
      </c>
    </row>
    <row r="2241" spans="2:3" x14ac:dyDescent="0.25">
      <c r="B2241" s="43"/>
      <c r="C2241" s="42" t="s">
        <v>1384</v>
      </c>
    </row>
    <row r="2242" spans="2:3" x14ac:dyDescent="0.25">
      <c r="B2242" s="43"/>
      <c r="C2242" s="42" t="s">
        <v>1384</v>
      </c>
    </row>
    <row r="2243" spans="2:3" x14ac:dyDescent="0.25">
      <c r="B2243" s="43"/>
      <c r="C2243" s="42" t="s">
        <v>1384</v>
      </c>
    </row>
    <row r="2244" spans="2:3" x14ac:dyDescent="0.25">
      <c r="B2244" s="43"/>
      <c r="C2244" s="42" t="s">
        <v>1384</v>
      </c>
    </row>
    <row r="2245" spans="2:3" x14ac:dyDescent="0.25">
      <c r="B2245" s="43"/>
      <c r="C2245" s="42" t="s">
        <v>1384</v>
      </c>
    </row>
    <row r="2246" spans="2:3" x14ac:dyDescent="0.25">
      <c r="B2246" s="43"/>
      <c r="C2246" s="42" t="s">
        <v>1384</v>
      </c>
    </row>
    <row r="2247" spans="2:3" x14ac:dyDescent="0.25">
      <c r="B2247" s="43"/>
      <c r="C2247" s="42" t="s">
        <v>1384</v>
      </c>
    </row>
    <row r="2248" spans="2:3" x14ac:dyDescent="0.25">
      <c r="B2248" s="43"/>
      <c r="C2248" s="42" t="s">
        <v>1384</v>
      </c>
    </row>
    <row r="2249" spans="2:3" x14ac:dyDescent="0.25">
      <c r="B2249" s="43"/>
      <c r="C2249" s="42" t="s">
        <v>1384</v>
      </c>
    </row>
    <row r="2250" spans="2:3" x14ac:dyDescent="0.25">
      <c r="B2250" s="43"/>
      <c r="C2250" s="42" t="s">
        <v>1384</v>
      </c>
    </row>
    <row r="2251" spans="2:3" x14ac:dyDescent="0.25">
      <c r="B2251" s="43"/>
      <c r="C2251" s="42" t="s">
        <v>1384</v>
      </c>
    </row>
    <row r="2252" spans="2:3" x14ac:dyDescent="0.25">
      <c r="B2252" s="43"/>
      <c r="C2252" s="42" t="s">
        <v>1384</v>
      </c>
    </row>
    <row r="2253" spans="2:3" x14ac:dyDescent="0.25">
      <c r="B2253" s="43"/>
      <c r="C2253" s="42" t="s">
        <v>1384</v>
      </c>
    </row>
    <row r="2254" spans="2:3" x14ac:dyDescent="0.25">
      <c r="B2254" s="43"/>
      <c r="C2254" s="42" t="s">
        <v>1384</v>
      </c>
    </row>
    <row r="2255" spans="2:3" x14ac:dyDescent="0.25">
      <c r="B2255" s="43"/>
      <c r="C2255" s="42" t="s">
        <v>1384</v>
      </c>
    </row>
    <row r="2256" spans="2:3" x14ac:dyDescent="0.25">
      <c r="B2256" s="43"/>
      <c r="C2256" s="42" t="s">
        <v>1384</v>
      </c>
    </row>
    <row r="2257" spans="2:3" x14ac:dyDescent="0.25">
      <c r="B2257" s="43"/>
      <c r="C2257" s="42" t="s">
        <v>1384</v>
      </c>
    </row>
    <row r="2258" spans="2:3" x14ac:dyDescent="0.25">
      <c r="B2258" s="43"/>
      <c r="C2258" s="42" t="s">
        <v>1384</v>
      </c>
    </row>
    <row r="2259" spans="2:3" x14ac:dyDescent="0.25">
      <c r="B2259" s="43"/>
      <c r="C2259" s="42" t="s">
        <v>1384</v>
      </c>
    </row>
    <row r="2260" spans="2:3" x14ac:dyDescent="0.25">
      <c r="B2260" s="43"/>
      <c r="C2260" s="42" t="s">
        <v>1384</v>
      </c>
    </row>
    <row r="2261" spans="2:3" x14ac:dyDescent="0.25">
      <c r="B2261" s="43"/>
      <c r="C2261" s="42" t="s">
        <v>1384</v>
      </c>
    </row>
    <row r="2262" spans="2:3" x14ac:dyDescent="0.25">
      <c r="B2262" s="43"/>
      <c r="C2262" s="42" t="s">
        <v>1384</v>
      </c>
    </row>
    <row r="2263" spans="2:3" x14ac:dyDescent="0.25">
      <c r="B2263" s="43"/>
      <c r="C2263" s="42" t="s">
        <v>1384</v>
      </c>
    </row>
    <row r="2264" spans="2:3" x14ac:dyDescent="0.25">
      <c r="B2264" s="43"/>
      <c r="C2264" s="42" t="s">
        <v>1384</v>
      </c>
    </row>
    <row r="2265" spans="2:3" x14ac:dyDescent="0.25">
      <c r="B2265" s="43"/>
      <c r="C2265" s="42" t="s">
        <v>1384</v>
      </c>
    </row>
    <row r="2266" spans="2:3" x14ac:dyDescent="0.25">
      <c r="B2266" s="43"/>
      <c r="C2266" s="42" t="s">
        <v>1384</v>
      </c>
    </row>
    <row r="2267" spans="2:3" x14ac:dyDescent="0.25">
      <c r="B2267" s="43"/>
      <c r="C2267" s="42" t="s">
        <v>1384</v>
      </c>
    </row>
    <row r="2268" spans="2:3" x14ac:dyDescent="0.25">
      <c r="B2268" s="43"/>
      <c r="C2268" s="42" t="s">
        <v>1384</v>
      </c>
    </row>
    <row r="2269" spans="2:3" x14ac:dyDescent="0.25">
      <c r="B2269" s="43"/>
      <c r="C2269" s="42" t="s">
        <v>1384</v>
      </c>
    </row>
    <row r="2270" spans="2:3" x14ac:dyDescent="0.25">
      <c r="B2270" s="43"/>
      <c r="C2270" s="42" t="s">
        <v>1384</v>
      </c>
    </row>
    <row r="2271" spans="2:3" x14ac:dyDescent="0.25">
      <c r="B2271" s="43"/>
      <c r="C2271" s="42" t="s">
        <v>1384</v>
      </c>
    </row>
    <row r="2272" spans="2:3" x14ac:dyDescent="0.25">
      <c r="B2272" s="43"/>
      <c r="C2272" s="42" t="s">
        <v>1384</v>
      </c>
    </row>
    <row r="2273" spans="2:3" x14ac:dyDescent="0.25">
      <c r="B2273" s="43"/>
      <c r="C2273" s="42" t="s">
        <v>1384</v>
      </c>
    </row>
    <row r="2274" spans="2:3" x14ac:dyDescent="0.25">
      <c r="B2274" s="43"/>
      <c r="C2274" s="42" t="s">
        <v>1384</v>
      </c>
    </row>
    <row r="2275" spans="2:3" x14ac:dyDescent="0.25">
      <c r="B2275" s="43"/>
      <c r="C2275" s="42" t="s">
        <v>1384</v>
      </c>
    </row>
    <row r="2276" spans="2:3" x14ac:dyDescent="0.25">
      <c r="B2276" s="43"/>
      <c r="C2276" s="42" t="s">
        <v>1384</v>
      </c>
    </row>
    <row r="2277" spans="2:3" x14ac:dyDescent="0.25">
      <c r="B2277" s="43"/>
      <c r="C2277" s="42" t="s">
        <v>1384</v>
      </c>
    </row>
    <row r="2278" spans="2:3" x14ac:dyDescent="0.25">
      <c r="B2278" s="43"/>
      <c r="C2278" s="42" t="s">
        <v>1384</v>
      </c>
    </row>
    <row r="2279" spans="2:3" x14ac:dyDescent="0.25">
      <c r="B2279" s="43"/>
      <c r="C2279" s="42" t="s">
        <v>1384</v>
      </c>
    </row>
    <row r="2280" spans="2:3" x14ac:dyDescent="0.25">
      <c r="B2280" s="43"/>
      <c r="C2280" s="42" t="s">
        <v>1384</v>
      </c>
    </row>
    <row r="2281" spans="2:3" x14ac:dyDescent="0.25">
      <c r="B2281" s="43"/>
      <c r="C2281" s="42" t="s">
        <v>1384</v>
      </c>
    </row>
    <row r="2282" spans="2:3" x14ac:dyDescent="0.25">
      <c r="B2282" s="43"/>
      <c r="C2282" s="42" t="s">
        <v>1384</v>
      </c>
    </row>
    <row r="2283" spans="2:3" x14ac:dyDescent="0.25">
      <c r="B2283" s="43"/>
      <c r="C2283" s="42" t="s">
        <v>1384</v>
      </c>
    </row>
    <row r="2284" spans="2:3" x14ac:dyDescent="0.25">
      <c r="B2284" s="43"/>
      <c r="C2284" s="42" t="s">
        <v>1384</v>
      </c>
    </row>
    <row r="2285" spans="2:3" x14ac:dyDescent="0.25">
      <c r="B2285" s="43"/>
      <c r="C2285" s="42" t="s">
        <v>1384</v>
      </c>
    </row>
    <row r="2286" spans="2:3" x14ac:dyDescent="0.25">
      <c r="B2286" s="43"/>
      <c r="C2286" s="42" t="s">
        <v>1384</v>
      </c>
    </row>
    <row r="2287" spans="2:3" x14ac:dyDescent="0.25">
      <c r="B2287" s="43"/>
      <c r="C2287" s="42" t="s">
        <v>1384</v>
      </c>
    </row>
    <row r="2288" spans="2:3" x14ac:dyDescent="0.25">
      <c r="B2288" s="43"/>
      <c r="C2288" s="42" t="s">
        <v>1384</v>
      </c>
    </row>
    <row r="2289" spans="2:3" x14ac:dyDescent="0.25">
      <c r="B2289" s="43"/>
      <c r="C2289" s="42" t="s">
        <v>1384</v>
      </c>
    </row>
    <row r="2290" spans="2:3" x14ac:dyDescent="0.25">
      <c r="B2290" s="43"/>
      <c r="C2290" s="42" t="s">
        <v>1384</v>
      </c>
    </row>
    <row r="2291" spans="2:3" x14ac:dyDescent="0.25">
      <c r="B2291" s="43"/>
      <c r="C2291" s="42" t="s">
        <v>1384</v>
      </c>
    </row>
    <row r="2292" spans="2:3" x14ac:dyDescent="0.25">
      <c r="B2292" s="43"/>
      <c r="C2292" s="42" t="s">
        <v>1384</v>
      </c>
    </row>
    <row r="2293" spans="2:3" x14ac:dyDescent="0.25">
      <c r="B2293" s="43"/>
      <c r="C2293" s="42" t="s">
        <v>1384</v>
      </c>
    </row>
    <row r="2294" spans="2:3" x14ac:dyDescent="0.25">
      <c r="B2294" s="43"/>
      <c r="C2294" s="42" t="s">
        <v>1384</v>
      </c>
    </row>
    <row r="2295" spans="2:3" x14ac:dyDescent="0.25">
      <c r="B2295" s="43"/>
      <c r="C2295" s="42" t="s">
        <v>1384</v>
      </c>
    </row>
    <row r="2296" spans="2:3" x14ac:dyDescent="0.25">
      <c r="B2296" s="43"/>
      <c r="C2296" s="42" t="s">
        <v>1384</v>
      </c>
    </row>
    <row r="2297" spans="2:3" x14ac:dyDescent="0.25">
      <c r="B2297" s="43"/>
      <c r="C2297" s="42" t="s">
        <v>1384</v>
      </c>
    </row>
    <row r="2298" spans="2:3" x14ac:dyDescent="0.25">
      <c r="B2298" s="43"/>
      <c r="C2298" s="42" t="s">
        <v>1384</v>
      </c>
    </row>
    <row r="2299" spans="2:3" x14ac:dyDescent="0.25">
      <c r="B2299" s="43"/>
      <c r="C2299" s="42" t="s">
        <v>1384</v>
      </c>
    </row>
    <row r="2300" spans="2:3" x14ac:dyDescent="0.25">
      <c r="B2300" s="43"/>
      <c r="C2300" s="42" t="s">
        <v>1384</v>
      </c>
    </row>
    <row r="2301" spans="2:3" x14ac:dyDescent="0.25">
      <c r="B2301" s="43"/>
      <c r="C2301" s="42" t="s">
        <v>1384</v>
      </c>
    </row>
    <row r="2302" spans="2:3" x14ac:dyDescent="0.25">
      <c r="B2302" s="43"/>
      <c r="C2302" s="42" t="s">
        <v>1384</v>
      </c>
    </row>
    <row r="2303" spans="2:3" x14ac:dyDescent="0.25">
      <c r="B2303" s="43"/>
      <c r="C2303" s="42" t="s">
        <v>1384</v>
      </c>
    </row>
    <row r="2304" spans="2:3" x14ac:dyDescent="0.25">
      <c r="B2304" s="43"/>
      <c r="C2304" s="42" t="s">
        <v>1384</v>
      </c>
    </row>
    <row r="2305" spans="2:3" x14ac:dyDescent="0.25">
      <c r="B2305" s="43"/>
      <c r="C2305" s="42" t="s">
        <v>1384</v>
      </c>
    </row>
    <row r="2306" spans="2:3" x14ac:dyDescent="0.25">
      <c r="B2306" s="43"/>
      <c r="C2306" s="42" t="s">
        <v>1384</v>
      </c>
    </row>
    <row r="2307" spans="2:3" x14ac:dyDescent="0.25">
      <c r="B2307" s="43"/>
      <c r="C2307" s="42" t="s">
        <v>1384</v>
      </c>
    </row>
    <row r="2308" spans="2:3" x14ac:dyDescent="0.25">
      <c r="B2308" s="43"/>
      <c r="C2308" s="42" t="s">
        <v>1384</v>
      </c>
    </row>
    <row r="2309" spans="2:3" x14ac:dyDescent="0.25">
      <c r="B2309" s="43"/>
      <c r="C2309" s="42" t="s">
        <v>1384</v>
      </c>
    </row>
    <row r="2310" spans="2:3" x14ac:dyDescent="0.25">
      <c r="B2310" s="43"/>
      <c r="C2310" s="42" t="s">
        <v>1384</v>
      </c>
    </row>
    <row r="2311" spans="2:3" x14ac:dyDescent="0.25">
      <c r="B2311" s="43"/>
      <c r="C2311" s="42" t="s">
        <v>1384</v>
      </c>
    </row>
    <row r="2312" spans="2:3" x14ac:dyDescent="0.25">
      <c r="B2312" s="43"/>
      <c r="C2312" s="42" t="s">
        <v>1384</v>
      </c>
    </row>
    <row r="2313" spans="2:3" x14ac:dyDescent="0.25">
      <c r="B2313" s="43"/>
      <c r="C2313" s="42" t="s">
        <v>1384</v>
      </c>
    </row>
    <row r="2314" spans="2:3" x14ac:dyDescent="0.25">
      <c r="B2314" s="43"/>
      <c r="C2314" s="42" t="s">
        <v>1384</v>
      </c>
    </row>
    <row r="2315" spans="2:3" x14ac:dyDescent="0.25">
      <c r="B2315" s="43"/>
      <c r="C2315" s="42" t="s">
        <v>1384</v>
      </c>
    </row>
    <row r="2316" spans="2:3" x14ac:dyDescent="0.25">
      <c r="B2316" s="43"/>
      <c r="C2316" s="42" t="s">
        <v>1384</v>
      </c>
    </row>
    <row r="2317" spans="2:3" x14ac:dyDescent="0.25">
      <c r="B2317" s="43"/>
      <c r="C2317" s="42" t="s">
        <v>1384</v>
      </c>
    </row>
    <row r="2318" spans="2:3" x14ac:dyDescent="0.25">
      <c r="B2318" s="43"/>
      <c r="C2318" s="42" t="s">
        <v>1384</v>
      </c>
    </row>
    <row r="2319" spans="2:3" x14ac:dyDescent="0.25">
      <c r="B2319" s="43"/>
      <c r="C2319" s="42" t="s">
        <v>1384</v>
      </c>
    </row>
    <row r="2320" spans="2:3" x14ac:dyDescent="0.25">
      <c r="B2320" s="43"/>
      <c r="C2320" s="42" t="s">
        <v>1384</v>
      </c>
    </row>
    <row r="2321" spans="2:3" x14ac:dyDescent="0.25">
      <c r="B2321" s="43"/>
      <c r="C2321" s="42" t="s">
        <v>1384</v>
      </c>
    </row>
    <row r="2322" spans="2:3" x14ac:dyDescent="0.25">
      <c r="B2322" s="43"/>
      <c r="C2322" s="42" t="s">
        <v>1384</v>
      </c>
    </row>
    <row r="2323" spans="2:3" x14ac:dyDescent="0.25">
      <c r="B2323" s="43"/>
      <c r="C2323" s="42" t="s">
        <v>1384</v>
      </c>
    </row>
    <row r="2324" spans="2:3" x14ac:dyDescent="0.25">
      <c r="B2324" s="43"/>
      <c r="C2324" s="42" t="s">
        <v>1384</v>
      </c>
    </row>
    <row r="2325" spans="2:3" x14ac:dyDescent="0.25">
      <c r="B2325" s="43"/>
      <c r="C2325" s="42" t="s">
        <v>1384</v>
      </c>
    </row>
    <row r="2326" spans="2:3" x14ac:dyDescent="0.25">
      <c r="B2326" s="43"/>
      <c r="C2326" s="42" t="s">
        <v>1384</v>
      </c>
    </row>
    <row r="2327" spans="2:3" x14ac:dyDescent="0.25">
      <c r="B2327" s="43"/>
      <c r="C2327" s="42" t="s">
        <v>1384</v>
      </c>
    </row>
    <row r="2328" spans="2:3" x14ac:dyDescent="0.25">
      <c r="B2328" s="43"/>
      <c r="C2328" s="42" t="s">
        <v>1384</v>
      </c>
    </row>
    <row r="2329" spans="2:3" x14ac:dyDescent="0.25">
      <c r="B2329" s="43"/>
      <c r="C2329" s="42" t="s">
        <v>1384</v>
      </c>
    </row>
    <row r="2330" spans="2:3" x14ac:dyDescent="0.25">
      <c r="B2330" s="43"/>
      <c r="C2330" s="42" t="s">
        <v>1384</v>
      </c>
    </row>
    <row r="2331" spans="2:3" x14ac:dyDescent="0.25">
      <c r="B2331" s="43"/>
      <c r="C2331" s="42" t="s">
        <v>1384</v>
      </c>
    </row>
    <row r="2332" spans="2:3" x14ac:dyDescent="0.25">
      <c r="B2332" s="43"/>
      <c r="C2332" s="42" t="s">
        <v>1384</v>
      </c>
    </row>
    <row r="2333" spans="2:3" x14ac:dyDescent="0.25">
      <c r="B2333" s="43"/>
      <c r="C2333" s="42" t="s">
        <v>1384</v>
      </c>
    </row>
    <row r="2334" spans="2:3" x14ac:dyDescent="0.25">
      <c r="B2334" s="43"/>
      <c r="C2334" s="42" t="s">
        <v>1384</v>
      </c>
    </row>
    <row r="2335" spans="2:3" x14ac:dyDescent="0.25">
      <c r="B2335" s="43"/>
      <c r="C2335" s="42" t="s">
        <v>1384</v>
      </c>
    </row>
    <row r="2336" spans="2:3" x14ac:dyDescent="0.25">
      <c r="B2336" s="43"/>
      <c r="C2336" s="42" t="s">
        <v>1384</v>
      </c>
    </row>
    <row r="2337" spans="2:2" x14ac:dyDescent="0.25">
      <c r="B2337" s="43"/>
    </row>
    <row r="2338" spans="2:2" x14ac:dyDescent="0.25">
      <c r="B2338" s="43"/>
    </row>
    <row r="2339" spans="2:2" x14ac:dyDescent="0.25">
      <c r="B2339" s="43"/>
    </row>
    <row r="2340" spans="2:2" x14ac:dyDescent="0.25">
      <c r="B2340" s="43"/>
    </row>
    <row r="2341" spans="2:2" x14ac:dyDescent="0.25">
      <c r="B2341" s="43"/>
    </row>
    <row r="2342" spans="2:2" x14ac:dyDescent="0.25">
      <c r="B2342" s="43"/>
    </row>
    <row r="2343" spans="2:2" x14ac:dyDescent="0.25">
      <c r="B2343" s="43"/>
    </row>
    <row r="2344" spans="2:2" x14ac:dyDescent="0.25">
      <c r="B2344" s="43"/>
    </row>
    <row r="2345" spans="2:2" x14ac:dyDescent="0.25">
      <c r="B2345" s="43"/>
    </row>
    <row r="2346" spans="2:2" x14ac:dyDescent="0.25">
      <c r="B2346" s="43"/>
    </row>
    <row r="2347" spans="2:2" x14ac:dyDescent="0.25">
      <c r="B2347" s="43"/>
    </row>
    <row r="2348" spans="2:2" x14ac:dyDescent="0.25">
      <c r="B2348" s="43"/>
    </row>
    <row r="2349" spans="2:2" x14ac:dyDescent="0.25">
      <c r="B2349" s="43"/>
    </row>
    <row r="2350" spans="2:2" x14ac:dyDescent="0.25">
      <c r="B2350" s="43"/>
    </row>
    <row r="2351" spans="2:2" x14ac:dyDescent="0.25">
      <c r="B2351" s="43"/>
    </row>
    <row r="2352" spans="2:2" x14ac:dyDescent="0.25">
      <c r="B2352" s="43"/>
    </row>
    <row r="2353" spans="2:2" x14ac:dyDescent="0.25">
      <c r="B2353" s="43"/>
    </row>
    <row r="2354" spans="2:2" x14ac:dyDescent="0.25">
      <c r="B2354" s="43"/>
    </row>
    <row r="2355" spans="2:2" x14ac:dyDescent="0.25">
      <c r="B2355" s="43"/>
    </row>
    <row r="2356" spans="2:2" x14ac:dyDescent="0.25">
      <c r="B2356" s="43"/>
    </row>
    <row r="2357" spans="2:2" x14ac:dyDescent="0.25">
      <c r="B2357" s="43"/>
    </row>
    <row r="2358" spans="2:2" x14ac:dyDescent="0.25">
      <c r="B2358" s="43"/>
    </row>
    <row r="2359" spans="2:2" x14ac:dyDescent="0.25">
      <c r="B2359" s="43"/>
    </row>
    <row r="2360" spans="2:2" x14ac:dyDescent="0.25">
      <c r="B2360" s="43"/>
    </row>
    <row r="2361" spans="2:2" x14ac:dyDescent="0.25">
      <c r="B2361" s="43"/>
    </row>
    <row r="2362" spans="2:2" x14ac:dyDescent="0.25">
      <c r="B2362" s="43"/>
    </row>
    <row r="2363" spans="2:2" x14ac:dyDescent="0.25">
      <c r="B2363" s="43"/>
    </row>
    <row r="2364" spans="2:2" x14ac:dyDescent="0.25">
      <c r="B2364" s="43"/>
    </row>
    <row r="2365" spans="2:2" x14ac:dyDescent="0.25">
      <c r="B2365" s="43"/>
    </row>
    <row r="2366" spans="2:2" x14ac:dyDescent="0.25">
      <c r="B2366" s="43"/>
    </row>
    <row r="2367" spans="2:2" x14ac:dyDescent="0.25">
      <c r="B2367" s="43"/>
    </row>
    <row r="2368" spans="2:2" x14ac:dyDescent="0.25">
      <c r="B2368" s="43"/>
    </row>
    <row r="2369" spans="2:2" x14ac:dyDescent="0.25">
      <c r="B2369" s="43"/>
    </row>
    <row r="2370" spans="2:2" x14ac:dyDescent="0.25">
      <c r="B2370" s="43"/>
    </row>
    <row r="2371" spans="2:2" x14ac:dyDescent="0.25">
      <c r="B2371" s="43"/>
    </row>
    <row r="2372" spans="2:2" x14ac:dyDescent="0.25">
      <c r="B2372" s="43"/>
    </row>
    <row r="2373" spans="2:2" x14ac:dyDescent="0.25">
      <c r="B2373" s="43"/>
    </row>
    <row r="2374" spans="2:2" x14ac:dyDescent="0.25">
      <c r="B2374" s="43"/>
    </row>
    <row r="2375" spans="2:2" x14ac:dyDescent="0.25">
      <c r="B2375" s="43"/>
    </row>
    <row r="2376" spans="2:2" x14ac:dyDescent="0.25">
      <c r="B2376" s="43"/>
    </row>
    <row r="2377" spans="2:2" x14ac:dyDescent="0.25">
      <c r="B2377" s="43"/>
    </row>
    <row r="2378" spans="2:2" x14ac:dyDescent="0.25">
      <c r="B2378" s="43"/>
    </row>
    <row r="2379" spans="2:2" x14ac:dyDescent="0.25">
      <c r="B2379" s="43"/>
    </row>
    <row r="2380" spans="2:2" x14ac:dyDescent="0.25">
      <c r="B2380" s="43"/>
    </row>
    <row r="2381" spans="2:2" x14ac:dyDescent="0.25">
      <c r="B2381" s="43"/>
    </row>
    <row r="2382" spans="2:2" x14ac:dyDescent="0.25">
      <c r="B2382" s="43"/>
    </row>
    <row r="2383" spans="2:2" x14ac:dyDescent="0.25">
      <c r="B2383" s="43"/>
    </row>
    <row r="2384" spans="2:2" x14ac:dyDescent="0.25">
      <c r="B2384" s="43"/>
    </row>
    <row r="2385" spans="2:2" x14ac:dyDescent="0.25">
      <c r="B2385" s="43"/>
    </row>
    <row r="2386" spans="2:2" x14ac:dyDescent="0.25">
      <c r="B2386" s="43"/>
    </row>
    <row r="2387" spans="2:2" x14ac:dyDescent="0.25">
      <c r="B2387" s="43"/>
    </row>
    <row r="2388" spans="2:2" x14ac:dyDescent="0.25">
      <c r="B2388" s="43"/>
    </row>
    <row r="2389" spans="2:2" x14ac:dyDescent="0.25">
      <c r="B2389" s="43"/>
    </row>
    <row r="2390" spans="2:2" x14ac:dyDescent="0.25">
      <c r="B2390" s="43"/>
    </row>
    <row r="2391" spans="2:2" x14ac:dyDescent="0.25">
      <c r="B2391" s="43"/>
    </row>
    <row r="2392" spans="2:2" x14ac:dyDescent="0.25">
      <c r="B2392" s="43"/>
    </row>
    <row r="2393" spans="2:2" x14ac:dyDescent="0.25">
      <c r="B2393" s="43"/>
    </row>
    <row r="2394" spans="2:2" x14ac:dyDescent="0.25">
      <c r="B2394" s="43"/>
    </row>
    <row r="2395" spans="2:2" x14ac:dyDescent="0.25">
      <c r="B2395" s="43"/>
    </row>
    <row r="2396" spans="2:2" x14ac:dyDescent="0.25">
      <c r="B2396" s="43"/>
    </row>
    <row r="2397" spans="2:2" x14ac:dyDescent="0.25">
      <c r="B2397" s="43"/>
    </row>
    <row r="2398" spans="2:2" x14ac:dyDescent="0.25">
      <c r="B2398" s="43"/>
    </row>
    <row r="2399" spans="2:2" x14ac:dyDescent="0.25">
      <c r="B2399" s="43"/>
    </row>
    <row r="2400" spans="2:2" x14ac:dyDescent="0.25">
      <c r="B2400" s="43"/>
    </row>
    <row r="2401" spans="2:2" x14ac:dyDescent="0.25">
      <c r="B2401" s="43"/>
    </row>
    <row r="2402" spans="2:2" x14ac:dyDescent="0.25">
      <c r="B2402" s="43"/>
    </row>
    <row r="2403" spans="2:2" x14ac:dyDescent="0.25">
      <c r="B2403" s="43"/>
    </row>
    <row r="2404" spans="2:2" x14ac:dyDescent="0.25">
      <c r="B2404" s="43"/>
    </row>
    <row r="2405" spans="2:2" x14ac:dyDescent="0.25">
      <c r="B2405" s="43"/>
    </row>
    <row r="2406" spans="2:2" x14ac:dyDescent="0.25">
      <c r="B2406" s="43"/>
    </row>
    <row r="2407" spans="2:2" x14ac:dyDescent="0.25">
      <c r="B2407" s="43"/>
    </row>
    <row r="2408" spans="2:2" x14ac:dyDescent="0.25">
      <c r="B2408" s="43"/>
    </row>
    <row r="2409" spans="2:2" x14ac:dyDescent="0.25">
      <c r="B2409" s="43"/>
    </row>
    <row r="2410" spans="2:2" x14ac:dyDescent="0.25">
      <c r="B2410" s="43"/>
    </row>
    <row r="2411" spans="2:2" x14ac:dyDescent="0.25">
      <c r="B2411" s="43"/>
    </row>
    <row r="2412" spans="2:2" x14ac:dyDescent="0.25">
      <c r="B2412" s="43"/>
    </row>
    <row r="2413" spans="2:2" x14ac:dyDescent="0.25">
      <c r="B2413" s="43"/>
    </row>
    <row r="2414" spans="2:2" x14ac:dyDescent="0.25">
      <c r="B2414" s="43"/>
    </row>
    <row r="2415" spans="2:2" x14ac:dyDescent="0.25">
      <c r="B2415" s="43"/>
    </row>
    <row r="2416" spans="2:2" x14ac:dyDescent="0.25">
      <c r="B2416" s="43"/>
    </row>
    <row r="2417" spans="2:2" x14ac:dyDescent="0.25">
      <c r="B2417" s="43"/>
    </row>
    <row r="2418" spans="2:2" x14ac:dyDescent="0.25">
      <c r="B2418" s="43"/>
    </row>
    <row r="2419" spans="2:2" x14ac:dyDescent="0.25">
      <c r="B2419" s="43"/>
    </row>
    <row r="2420" spans="2:2" x14ac:dyDescent="0.25">
      <c r="B2420" s="43"/>
    </row>
    <row r="2421" spans="2:2" x14ac:dyDescent="0.25">
      <c r="B2421" s="43"/>
    </row>
    <row r="2422" spans="2:2" x14ac:dyDescent="0.25">
      <c r="B2422" s="43"/>
    </row>
    <row r="2423" spans="2:2" x14ac:dyDescent="0.25">
      <c r="B2423" s="43"/>
    </row>
    <row r="2424" spans="2:2" x14ac:dyDescent="0.25">
      <c r="B2424" s="43"/>
    </row>
    <row r="2425" spans="2:2" x14ac:dyDescent="0.25">
      <c r="B2425" s="43"/>
    </row>
    <row r="2426" spans="2:2" x14ac:dyDescent="0.25">
      <c r="B2426" s="43"/>
    </row>
    <row r="2427" spans="2:2" x14ac:dyDescent="0.25">
      <c r="B2427" s="43"/>
    </row>
    <row r="2428" spans="2:2" x14ac:dyDescent="0.25">
      <c r="B2428" s="43"/>
    </row>
    <row r="2429" spans="2:2" x14ac:dyDescent="0.25">
      <c r="B2429" s="43"/>
    </row>
    <row r="2430" spans="2:2" x14ac:dyDescent="0.25">
      <c r="B2430" s="43"/>
    </row>
    <row r="2431" spans="2:2" x14ac:dyDescent="0.25">
      <c r="B2431" s="43"/>
    </row>
    <row r="2432" spans="2:2" x14ac:dyDescent="0.25">
      <c r="B2432" s="43"/>
    </row>
    <row r="2433" spans="2:2" x14ac:dyDescent="0.25">
      <c r="B2433" s="43"/>
    </row>
    <row r="2434" spans="2:2" x14ac:dyDescent="0.25">
      <c r="B2434" s="43"/>
    </row>
    <row r="2435" spans="2:2" x14ac:dyDescent="0.25">
      <c r="B2435" s="43"/>
    </row>
    <row r="2436" spans="2:2" x14ac:dyDescent="0.25">
      <c r="B2436" s="43"/>
    </row>
    <row r="2437" spans="2:2" x14ac:dyDescent="0.25">
      <c r="B2437" s="43"/>
    </row>
    <row r="2438" spans="2:2" x14ac:dyDescent="0.25">
      <c r="B2438" s="43"/>
    </row>
    <row r="2439" spans="2:2" x14ac:dyDescent="0.25">
      <c r="B2439" s="43"/>
    </row>
    <row r="2440" spans="2:2" x14ac:dyDescent="0.25">
      <c r="B2440" s="43"/>
    </row>
    <row r="2441" spans="2:2" x14ac:dyDescent="0.25">
      <c r="B2441" s="43"/>
    </row>
    <row r="2442" spans="2:2" x14ac:dyDescent="0.25">
      <c r="B2442" s="43"/>
    </row>
    <row r="2443" spans="2:2" x14ac:dyDescent="0.25">
      <c r="B2443" s="43"/>
    </row>
    <row r="2444" spans="2:2" x14ac:dyDescent="0.25">
      <c r="B2444" s="43"/>
    </row>
    <row r="2445" spans="2:2" x14ac:dyDescent="0.25">
      <c r="B2445" s="43"/>
    </row>
    <row r="2446" spans="2:2" x14ac:dyDescent="0.25">
      <c r="B2446" s="43"/>
    </row>
    <row r="2447" spans="2:2" x14ac:dyDescent="0.25">
      <c r="B2447" s="43"/>
    </row>
    <row r="2448" spans="2:2" x14ac:dyDescent="0.25">
      <c r="B2448" s="43"/>
    </row>
    <row r="2449" spans="2:2" x14ac:dyDescent="0.25">
      <c r="B2449" s="43"/>
    </row>
    <row r="2450" spans="2:2" x14ac:dyDescent="0.25">
      <c r="B2450" s="43"/>
    </row>
    <row r="2451" spans="2:2" x14ac:dyDescent="0.25">
      <c r="B2451" s="43"/>
    </row>
    <row r="2452" spans="2:2" x14ac:dyDescent="0.25">
      <c r="B2452" s="43"/>
    </row>
    <row r="2453" spans="2:2" x14ac:dyDescent="0.25">
      <c r="B2453" s="43"/>
    </row>
    <row r="2454" spans="2:2" x14ac:dyDescent="0.25">
      <c r="B2454" s="43"/>
    </row>
    <row r="2455" spans="2:2" x14ac:dyDescent="0.25">
      <c r="B2455" s="43"/>
    </row>
    <row r="2456" spans="2:2" x14ac:dyDescent="0.25">
      <c r="B2456" s="43"/>
    </row>
    <row r="2457" spans="2:2" x14ac:dyDescent="0.25">
      <c r="B2457" s="43"/>
    </row>
    <row r="2458" spans="2:2" x14ac:dyDescent="0.25">
      <c r="B2458" s="43"/>
    </row>
    <row r="2459" spans="2:2" x14ac:dyDescent="0.25">
      <c r="B2459" s="43"/>
    </row>
    <row r="2460" spans="2:2" x14ac:dyDescent="0.25">
      <c r="B2460" s="43"/>
    </row>
    <row r="2461" spans="2:2" x14ac:dyDescent="0.25">
      <c r="B2461" s="43"/>
    </row>
    <row r="2462" spans="2:2" x14ac:dyDescent="0.25">
      <c r="B2462" s="43"/>
    </row>
    <row r="2463" spans="2:2" x14ac:dyDescent="0.25">
      <c r="B2463" s="43"/>
    </row>
    <row r="2464" spans="2:2" x14ac:dyDescent="0.25">
      <c r="B2464" s="43"/>
    </row>
    <row r="2465" spans="2:2" x14ac:dyDescent="0.25">
      <c r="B2465" s="43"/>
    </row>
    <row r="2466" spans="2:2" x14ac:dyDescent="0.25">
      <c r="B2466" s="43"/>
    </row>
    <row r="2467" spans="2:2" x14ac:dyDescent="0.25">
      <c r="B2467" s="43"/>
    </row>
    <row r="2468" spans="2:2" x14ac:dyDescent="0.25">
      <c r="B2468" s="43"/>
    </row>
    <row r="2469" spans="2:2" x14ac:dyDescent="0.25">
      <c r="B2469" s="43"/>
    </row>
    <row r="2470" spans="2:2" x14ac:dyDescent="0.25">
      <c r="B2470" s="43"/>
    </row>
    <row r="2471" spans="2:2" x14ac:dyDescent="0.25">
      <c r="B2471" s="43"/>
    </row>
    <row r="2472" spans="2:2" x14ac:dyDescent="0.25">
      <c r="B2472" s="43"/>
    </row>
    <row r="2473" spans="2:2" x14ac:dyDescent="0.25">
      <c r="B2473" s="43"/>
    </row>
    <row r="2474" spans="2:2" x14ac:dyDescent="0.25">
      <c r="B2474" s="43"/>
    </row>
    <row r="2475" spans="2:2" x14ac:dyDescent="0.25">
      <c r="B2475" s="43"/>
    </row>
    <row r="2476" spans="2:2" x14ac:dyDescent="0.25">
      <c r="B2476" s="43"/>
    </row>
    <row r="2477" spans="2:2" x14ac:dyDescent="0.25">
      <c r="B2477" s="43"/>
    </row>
    <row r="2478" spans="2:2" x14ac:dyDescent="0.25">
      <c r="B2478" s="43"/>
    </row>
    <row r="2479" spans="2:2" x14ac:dyDescent="0.25">
      <c r="B2479" s="43"/>
    </row>
    <row r="2480" spans="2:2" x14ac:dyDescent="0.25">
      <c r="B2480" s="43"/>
    </row>
    <row r="2481" spans="2:2" x14ac:dyDescent="0.25">
      <c r="B2481" s="43"/>
    </row>
    <row r="2482" spans="2:2" x14ac:dyDescent="0.25">
      <c r="B2482" s="43"/>
    </row>
    <row r="2483" spans="2:2" x14ac:dyDescent="0.25">
      <c r="B2483" s="43"/>
    </row>
    <row r="2484" spans="2:2" x14ac:dyDescent="0.25">
      <c r="B2484" s="43"/>
    </row>
    <row r="2485" spans="2:2" x14ac:dyDescent="0.25">
      <c r="B2485" s="43"/>
    </row>
    <row r="2486" spans="2:2" x14ac:dyDescent="0.25">
      <c r="B2486" s="43"/>
    </row>
    <row r="2487" spans="2:2" x14ac:dyDescent="0.25">
      <c r="B2487" s="43"/>
    </row>
    <row r="2488" spans="2:2" x14ac:dyDescent="0.25">
      <c r="B2488" s="43"/>
    </row>
    <row r="2489" spans="2:2" x14ac:dyDescent="0.25">
      <c r="B2489" s="43"/>
    </row>
    <row r="2490" spans="2:2" x14ac:dyDescent="0.25">
      <c r="B2490" s="43"/>
    </row>
    <row r="2491" spans="2:2" x14ac:dyDescent="0.25">
      <c r="B2491" s="43"/>
    </row>
    <row r="2492" spans="2:2" x14ac:dyDescent="0.25">
      <c r="B2492" s="43"/>
    </row>
    <row r="2493" spans="2:2" x14ac:dyDescent="0.25">
      <c r="B2493" s="43"/>
    </row>
    <row r="2494" spans="2:2" x14ac:dyDescent="0.25">
      <c r="B2494" s="43"/>
    </row>
    <row r="2495" spans="2:2" x14ac:dyDescent="0.25">
      <c r="B2495" s="43"/>
    </row>
    <row r="2496" spans="2:2" x14ac:dyDescent="0.25">
      <c r="B2496" s="43"/>
    </row>
    <row r="2497" spans="2:2" x14ac:dyDescent="0.25">
      <c r="B2497" s="43"/>
    </row>
    <row r="2498" spans="2:2" x14ac:dyDescent="0.25">
      <c r="B2498" s="43"/>
    </row>
    <row r="2499" spans="2:2" x14ac:dyDescent="0.25">
      <c r="B2499" s="43"/>
    </row>
    <row r="2500" spans="2:2" x14ac:dyDescent="0.25">
      <c r="B2500" s="43"/>
    </row>
    <row r="2501" spans="2:2" x14ac:dyDescent="0.25">
      <c r="B2501" s="43"/>
    </row>
    <row r="2502" spans="2:2" x14ac:dyDescent="0.25">
      <c r="B2502" s="43"/>
    </row>
    <row r="2503" spans="2:2" x14ac:dyDescent="0.25">
      <c r="B2503" s="43"/>
    </row>
    <row r="2504" spans="2:2" x14ac:dyDescent="0.25">
      <c r="B2504" s="43"/>
    </row>
    <row r="2505" spans="2:2" x14ac:dyDescent="0.25">
      <c r="B2505" s="43"/>
    </row>
    <row r="2506" spans="2:2" x14ac:dyDescent="0.25">
      <c r="B2506" s="43"/>
    </row>
    <row r="2507" spans="2:2" x14ac:dyDescent="0.25">
      <c r="B2507" s="43"/>
    </row>
    <row r="2508" spans="2:2" x14ac:dyDescent="0.25">
      <c r="B2508" s="43"/>
    </row>
    <row r="2509" spans="2:2" x14ac:dyDescent="0.25">
      <c r="B2509" s="43"/>
    </row>
    <row r="2510" spans="2:2" x14ac:dyDescent="0.25">
      <c r="B2510" s="43"/>
    </row>
    <row r="2511" spans="2:2" x14ac:dyDescent="0.25">
      <c r="B2511" s="43"/>
    </row>
    <row r="2512" spans="2:2" x14ac:dyDescent="0.25">
      <c r="B2512" s="43"/>
    </row>
    <row r="2513" spans="2:2" x14ac:dyDescent="0.25">
      <c r="B2513" s="43"/>
    </row>
    <row r="2514" spans="2:2" x14ac:dyDescent="0.25">
      <c r="B2514" s="43"/>
    </row>
    <row r="2515" spans="2:2" x14ac:dyDescent="0.25">
      <c r="B2515" s="43"/>
    </row>
    <row r="2516" spans="2:2" x14ac:dyDescent="0.25">
      <c r="B2516" s="43"/>
    </row>
    <row r="2517" spans="2:2" x14ac:dyDescent="0.25">
      <c r="B2517" s="43"/>
    </row>
    <row r="2518" spans="2:2" x14ac:dyDescent="0.25">
      <c r="B2518" s="43"/>
    </row>
    <row r="2519" spans="2:2" x14ac:dyDescent="0.25">
      <c r="B2519" s="43"/>
    </row>
    <row r="2520" spans="2:2" x14ac:dyDescent="0.25">
      <c r="B2520" s="43"/>
    </row>
    <row r="2521" spans="2:2" x14ac:dyDescent="0.25">
      <c r="B2521" s="43"/>
    </row>
    <row r="2522" spans="2:2" x14ac:dyDescent="0.25">
      <c r="B2522" s="43"/>
    </row>
    <row r="2523" spans="2:2" x14ac:dyDescent="0.25">
      <c r="B2523" s="43"/>
    </row>
    <row r="2524" spans="2:2" x14ac:dyDescent="0.25">
      <c r="B2524" s="43"/>
    </row>
    <row r="2525" spans="2:2" x14ac:dyDescent="0.25">
      <c r="B2525" s="43"/>
    </row>
    <row r="2526" spans="2:2" x14ac:dyDescent="0.25">
      <c r="B2526" s="43"/>
    </row>
    <row r="2527" spans="2:2" x14ac:dyDescent="0.25">
      <c r="B2527" s="43"/>
    </row>
    <row r="2528" spans="2:2" x14ac:dyDescent="0.25">
      <c r="B2528" s="43"/>
    </row>
    <row r="2529" spans="2:2" x14ac:dyDescent="0.25">
      <c r="B2529" s="43"/>
    </row>
    <row r="2530" spans="2:2" x14ac:dyDescent="0.25">
      <c r="B2530" s="43"/>
    </row>
    <row r="2531" spans="2:2" x14ac:dyDescent="0.25">
      <c r="B2531" s="43"/>
    </row>
    <row r="2532" spans="2:2" x14ac:dyDescent="0.25">
      <c r="B2532" s="43"/>
    </row>
    <row r="2533" spans="2:2" x14ac:dyDescent="0.25">
      <c r="B2533" s="43"/>
    </row>
    <row r="2534" spans="2:2" x14ac:dyDescent="0.25">
      <c r="B2534" s="43"/>
    </row>
    <row r="2535" spans="2:2" x14ac:dyDescent="0.25">
      <c r="B2535" s="43"/>
    </row>
    <row r="2536" spans="2:2" x14ac:dyDescent="0.25">
      <c r="B2536" s="43"/>
    </row>
    <row r="2537" spans="2:2" x14ac:dyDescent="0.25">
      <c r="B2537" s="43"/>
    </row>
    <row r="2538" spans="2:2" x14ac:dyDescent="0.25">
      <c r="B2538" s="43"/>
    </row>
    <row r="2539" spans="2:2" x14ac:dyDescent="0.25">
      <c r="B2539" s="43"/>
    </row>
    <row r="2540" spans="2:2" x14ac:dyDescent="0.25">
      <c r="B2540" s="43"/>
    </row>
    <row r="2541" spans="2:2" x14ac:dyDescent="0.25">
      <c r="B2541" s="43"/>
    </row>
    <row r="2542" spans="2:2" x14ac:dyDescent="0.25">
      <c r="B2542" s="43"/>
    </row>
    <row r="2543" spans="2:2" x14ac:dyDescent="0.25">
      <c r="B2543" s="43"/>
    </row>
    <row r="2544" spans="2:2" x14ac:dyDescent="0.25">
      <c r="B2544" s="43"/>
    </row>
    <row r="2545" spans="2:2" x14ac:dyDescent="0.25">
      <c r="B2545" s="43"/>
    </row>
    <row r="2546" spans="2:2" x14ac:dyDescent="0.25">
      <c r="B2546" s="43"/>
    </row>
    <row r="2547" spans="2:2" x14ac:dyDescent="0.25">
      <c r="B2547" s="43"/>
    </row>
    <row r="2548" spans="2:2" x14ac:dyDescent="0.25">
      <c r="B2548" s="43"/>
    </row>
    <row r="2549" spans="2:2" x14ac:dyDescent="0.25">
      <c r="B2549" s="43"/>
    </row>
    <row r="2550" spans="2:2" x14ac:dyDescent="0.25">
      <c r="B2550" s="43"/>
    </row>
    <row r="2551" spans="2:2" x14ac:dyDescent="0.25">
      <c r="B2551" s="43"/>
    </row>
    <row r="2552" spans="2:2" x14ac:dyDescent="0.25">
      <c r="B2552" s="43"/>
    </row>
    <row r="2553" spans="2:2" x14ac:dyDescent="0.25">
      <c r="B2553" s="43"/>
    </row>
    <row r="2554" spans="2:2" x14ac:dyDescent="0.25">
      <c r="B2554" s="43"/>
    </row>
    <row r="2555" spans="2:2" x14ac:dyDescent="0.25">
      <c r="B2555" s="43"/>
    </row>
    <row r="2556" spans="2:2" x14ac:dyDescent="0.25">
      <c r="B2556" s="43"/>
    </row>
    <row r="2557" spans="2:2" x14ac:dyDescent="0.25">
      <c r="B2557" s="43"/>
    </row>
    <row r="2558" spans="2:2" x14ac:dyDescent="0.25">
      <c r="B2558" s="43"/>
    </row>
    <row r="2559" spans="2:2" x14ac:dyDescent="0.25">
      <c r="B2559" s="43"/>
    </row>
    <row r="2560" spans="2:2" x14ac:dyDescent="0.25">
      <c r="B2560" s="43"/>
    </row>
    <row r="2561" spans="2:2" x14ac:dyDescent="0.25">
      <c r="B2561" s="43"/>
    </row>
    <row r="2562" spans="2:2" x14ac:dyDescent="0.25">
      <c r="B2562" s="43"/>
    </row>
    <row r="2563" spans="2:2" x14ac:dyDescent="0.25">
      <c r="B2563" s="43"/>
    </row>
    <row r="2564" spans="2:2" x14ac:dyDescent="0.25">
      <c r="B2564" s="43"/>
    </row>
    <row r="2565" spans="2:2" x14ac:dyDescent="0.25">
      <c r="B2565" s="43"/>
    </row>
    <row r="2566" spans="2:2" x14ac:dyDescent="0.25">
      <c r="B2566" s="43"/>
    </row>
    <row r="2567" spans="2:2" x14ac:dyDescent="0.25">
      <c r="B2567" s="43"/>
    </row>
    <row r="2568" spans="2:2" x14ac:dyDescent="0.25">
      <c r="B2568" s="43"/>
    </row>
    <row r="2569" spans="2:2" x14ac:dyDescent="0.25">
      <c r="B2569" s="43"/>
    </row>
    <row r="2570" spans="2:2" x14ac:dyDescent="0.25">
      <c r="B2570" s="43"/>
    </row>
    <row r="2571" spans="2:2" x14ac:dyDescent="0.25">
      <c r="B2571" s="43"/>
    </row>
    <row r="2572" spans="2:2" x14ac:dyDescent="0.25">
      <c r="B2572" s="43"/>
    </row>
    <row r="2573" spans="2:2" x14ac:dyDescent="0.25">
      <c r="B2573" s="43"/>
    </row>
    <row r="2574" spans="2:2" x14ac:dyDescent="0.25">
      <c r="B2574" s="43"/>
    </row>
    <row r="2575" spans="2:2" x14ac:dyDescent="0.25">
      <c r="B2575" s="43"/>
    </row>
    <row r="2576" spans="2:2" x14ac:dyDescent="0.25">
      <c r="B2576" s="43"/>
    </row>
    <row r="2577" spans="2:2" x14ac:dyDescent="0.25">
      <c r="B2577" s="43"/>
    </row>
    <row r="2578" spans="2:2" x14ac:dyDescent="0.25">
      <c r="B2578" s="43"/>
    </row>
    <row r="2579" spans="2:2" x14ac:dyDescent="0.25">
      <c r="B2579" s="43"/>
    </row>
    <row r="2580" spans="2:2" x14ac:dyDescent="0.25">
      <c r="B2580" s="43"/>
    </row>
    <row r="2581" spans="2:2" x14ac:dyDescent="0.25">
      <c r="B2581" s="43"/>
    </row>
    <row r="2582" spans="2:2" x14ac:dyDescent="0.25">
      <c r="B2582" s="43"/>
    </row>
    <row r="2583" spans="2:2" x14ac:dyDescent="0.25">
      <c r="B2583" s="43"/>
    </row>
    <row r="2584" spans="2:2" x14ac:dyDescent="0.25">
      <c r="B2584" s="43"/>
    </row>
    <row r="2585" spans="2:2" x14ac:dyDescent="0.25">
      <c r="B2585" s="43"/>
    </row>
    <row r="2586" spans="2:2" x14ac:dyDescent="0.25">
      <c r="B2586" s="43"/>
    </row>
    <row r="2587" spans="2:2" x14ac:dyDescent="0.25">
      <c r="B2587" s="43"/>
    </row>
    <row r="2588" spans="2:2" x14ac:dyDescent="0.25">
      <c r="B2588" s="43"/>
    </row>
    <row r="2589" spans="2:2" x14ac:dyDescent="0.25">
      <c r="B2589" s="43"/>
    </row>
    <row r="2590" spans="2:2" x14ac:dyDescent="0.25">
      <c r="B2590" s="43"/>
    </row>
    <row r="2591" spans="2:2" x14ac:dyDescent="0.25">
      <c r="B2591" s="43"/>
    </row>
    <row r="2592" spans="2:2" x14ac:dyDescent="0.25">
      <c r="B2592" s="43"/>
    </row>
    <row r="2593" spans="2:2" x14ac:dyDescent="0.25">
      <c r="B2593" s="43"/>
    </row>
    <row r="2594" spans="2:2" x14ac:dyDescent="0.25">
      <c r="B2594" s="43"/>
    </row>
    <row r="2595" spans="2:2" x14ac:dyDescent="0.25">
      <c r="B2595" s="43"/>
    </row>
    <row r="2596" spans="2:2" x14ac:dyDescent="0.25">
      <c r="B2596" s="43"/>
    </row>
    <row r="2597" spans="2:2" x14ac:dyDescent="0.25">
      <c r="B2597" s="43"/>
    </row>
    <row r="2598" spans="2:2" x14ac:dyDescent="0.25">
      <c r="B2598" s="43"/>
    </row>
    <row r="2599" spans="2:2" x14ac:dyDescent="0.25">
      <c r="B2599" s="43"/>
    </row>
    <row r="2600" spans="2:2" x14ac:dyDescent="0.25">
      <c r="B2600" s="43"/>
    </row>
    <row r="2601" spans="2:2" x14ac:dyDescent="0.25">
      <c r="B2601" s="43"/>
    </row>
    <row r="2602" spans="2:2" x14ac:dyDescent="0.25">
      <c r="B2602" s="43"/>
    </row>
    <row r="2603" spans="2:2" x14ac:dyDescent="0.25">
      <c r="B2603" s="43"/>
    </row>
    <row r="2604" spans="2:2" x14ac:dyDescent="0.25">
      <c r="B2604" s="43"/>
    </row>
    <row r="2605" spans="2:2" x14ac:dyDescent="0.25">
      <c r="B2605" s="43"/>
    </row>
    <row r="2606" spans="2:2" x14ac:dyDescent="0.25">
      <c r="B2606" s="43"/>
    </row>
    <row r="2607" spans="2:2" x14ac:dyDescent="0.25">
      <c r="B2607" s="43"/>
    </row>
    <row r="2608" spans="2:2" x14ac:dyDescent="0.25">
      <c r="B2608" s="43"/>
    </row>
    <row r="2609" spans="2:2" x14ac:dyDescent="0.25">
      <c r="B2609" s="43"/>
    </row>
    <row r="2610" spans="2:2" x14ac:dyDescent="0.25">
      <c r="B2610" s="43"/>
    </row>
    <row r="2611" spans="2:2" x14ac:dyDescent="0.25">
      <c r="B2611" s="43"/>
    </row>
    <row r="2612" spans="2:2" x14ac:dyDescent="0.25">
      <c r="B2612" s="43"/>
    </row>
    <row r="2613" spans="2:2" x14ac:dyDescent="0.25">
      <c r="B2613" s="43"/>
    </row>
    <row r="2614" spans="2:2" x14ac:dyDescent="0.25">
      <c r="B2614" s="43"/>
    </row>
    <row r="2615" spans="2:2" x14ac:dyDescent="0.25">
      <c r="B2615" s="43"/>
    </row>
    <row r="2616" spans="2:2" x14ac:dyDescent="0.25">
      <c r="B2616" s="43"/>
    </row>
    <row r="2617" spans="2:2" x14ac:dyDescent="0.25">
      <c r="B2617" s="43"/>
    </row>
    <row r="2618" spans="2:2" x14ac:dyDescent="0.25">
      <c r="B2618" s="43"/>
    </row>
    <row r="2619" spans="2:2" x14ac:dyDescent="0.25">
      <c r="B2619" s="43"/>
    </row>
    <row r="2620" spans="2:2" x14ac:dyDescent="0.25">
      <c r="B2620" s="43"/>
    </row>
    <row r="2621" spans="2:2" x14ac:dyDescent="0.25">
      <c r="B2621" s="43"/>
    </row>
    <row r="2622" spans="2:2" x14ac:dyDescent="0.25">
      <c r="B2622" s="43"/>
    </row>
    <row r="2623" spans="2:2" x14ac:dyDescent="0.25">
      <c r="B2623" s="43"/>
    </row>
    <row r="2624" spans="2:2" x14ac:dyDescent="0.25">
      <c r="B2624" s="43"/>
    </row>
    <row r="2625" spans="2:2" x14ac:dyDescent="0.25">
      <c r="B2625" s="43"/>
    </row>
    <row r="2626" spans="2:2" x14ac:dyDescent="0.25">
      <c r="B2626" s="43"/>
    </row>
    <row r="2627" spans="2:2" x14ac:dyDescent="0.25">
      <c r="B2627" s="43"/>
    </row>
    <row r="2628" spans="2:2" x14ac:dyDescent="0.25">
      <c r="B2628" s="43"/>
    </row>
    <row r="2629" spans="2:2" x14ac:dyDescent="0.25">
      <c r="B2629" s="43"/>
    </row>
    <row r="2630" spans="2:2" x14ac:dyDescent="0.25">
      <c r="B2630" s="43"/>
    </row>
    <row r="2631" spans="2:2" x14ac:dyDescent="0.25">
      <c r="B2631" s="43"/>
    </row>
    <row r="2632" spans="2:2" x14ac:dyDescent="0.25">
      <c r="B2632" s="43"/>
    </row>
    <row r="2633" spans="2:2" x14ac:dyDescent="0.25">
      <c r="B2633" s="43"/>
    </row>
    <row r="2634" spans="2:2" x14ac:dyDescent="0.25">
      <c r="B2634" s="43"/>
    </row>
    <row r="2635" spans="2:2" x14ac:dyDescent="0.25">
      <c r="B2635" s="43"/>
    </row>
    <row r="2636" spans="2:2" x14ac:dyDescent="0.25">
      <c r="B2636" s="43"/>
    </row>
    <row r="2637" spans="2:2" x14ac:dyDescent="0.25">
      <c r="B2637" s="43"/>
    </row>
    <row r="2638" spans="2:2" x14ac:dyDescent="0.25">
      <c r="B2638" s="43"/>
    </row>
    <row r="2639" spans="2:2" x14ac:dyDescent="0.25">
      <c r="B2639" s="43"/>
    </row>
    <row r="2640" spans="2:2" x14ac:dyDescent="0.25">
      <c r="B2640" s="43"/>
    </row>
    <row r="2641" spans="2:2" x14ac:dyDescent="0.25">
      <c r="B2641" s="43"/>
    </row>
    <row r="2642" spans="2:2" x14ac:dyDescent="0.25">
      <c r="B2642" s="43"/>
    </row>
    <row r="2643" spans="2:2" x14ac:dyDescent="0.25">
      <c r="B2643" s="43"/>
    </row>
    <row r="2644" spans="2:2" x14ac:dyDescent="0.25">
      <c r="B2644" s="43"/>
    </row>
    <row r="2645" spans="2:2" x14ac:dyDescent="0.25">
      <c r="B2645" s="43"/>
    </row>
    <row r="2646" spans="2:2" x14ac:dyDescent="0.25">
      <c r="B2646" s="43"/>
    </row>
    <row r="2647" spans="2:2" x14ac:dyDescent="0.25">
      <c r="B2647" s="43"/>
    </row>
    <row r="2648" spans="2:2" x14ac:dyDescent="0.25">
      <c r="B2648" s="43"/>
    </row>
    <row r="2649" spans="2:2" x14ac:dyDescent="0.25">
      <c r="B2649" s="43"/>
    </row>
    <row r="2650" spans="2:2" x14ac:dyDescent="0.25">
      <c r="B2650" s="43"/>
    </row>
    <row r="2651" spans="2:2" x14ac:dyDescent="0.25">
      <c r="B2651" s="43"/>
    </row>
    <row r="2652" spans="2:2" x14ac:dyDescent="0.25">
      <c r="B2652" s="43"/>
    </row>
    <row r="2653" spans="2:2" x14ac:dyDescent="0.25">
      <c r="B2653" s="43"/>
    </row>
    <row r="2654" spans="2:2" x14ac:dyDescent="0.25">
      <c r="B2654" s="43"/>
    </row>
    <row r="2655" spans="2:2" x14ac:dyDescent="0.25">
      <c r="B2655" s="43"/>
    </row>
    <row r="2656" spans="2:2" x14ac:dyDescent="0.25">
      <c r="B2656" s="43"/>
    </row>
    <row r="2657" spans="2:2" x14ac:dyDescent="0.25">
      <c r="B2657" s="43"/>
    </row>
    <row r="2658" spans="2:2" x14ac:dyDescent="0.25">
      <c r="B2658" s="43"/>
    </row>
    <row r="2659" spans="2:2" x14ac:dyDescent="0.25">
      <c r="B2659" s="43"/>
    </row>
    <row r="2660" spans="2:2" x14ac:dyDescent="0.25">
      <c r="B2660" s="43"/>
    </row>
    <row r="2661" spans="2:2" x14ac:dyDescent="0.25">
      <c r="B2661" s="43"/>
    </row>
    <row r="2662" spans="2:2" x14ac:dyDescent="0.25">
      <c r="B2662" s="43"/>
    </row>
    <row r="2663" spans="2:2" x14ac:dyDescent="0.25">
      <c r="B2663" s="43"/>
    </row>
    <row r="2664" spans="2:2" x14ac:dyDescent="0.25">
      <c r="B2664" s="43"/>
    </row>
    <row r="2665" spans="2:2" x14ac:dyDescent="0.25">
      <c r="B2665" s="43"/>
    </row>
    <row r="2666" spans="2:2" x14ac:dyDescent="0.25">
      <c r="B2666" s="43"/>
    </row>
    <row r="2667" spans="2:2" x14ac:dyDescent="0.25">
      <c r="B2667" s="43"/>
    </row>
    <row r="2668" spans="2:2" x14ac:dyDescent="0.25">
      <c r="B2668" s="43"/>
    </row>
    <row r="2669" spans="2:2" x14ac:dyDescent="0.25">
      <c r="B2669" s="43"/>
    </row>
    <row r="2670" spans="2:2" x14ac:dyDescent="0.25">
      <c r="B2670" s="43"/>
    </row>
    <row r="2671" spans="2:2" x14ac:dyDescent="0.25">
      <c r="B2671" s="43"/>
    </row>
    <row r="2672" spans="2:2" x14ac:dyDescent="0.25">
      <c r="B2672" s="43"/>
    </row>
    <row r="2673" spans="2:2" x14ac:dyDescent="0.25">
      <c r="B2673" s="43"/>
    </row>
    <row r="2674" spans="2:2" x14ac:dyDescent="0.25">
      <c r="B2674" s="43"/>
    </row>
    <row r="2675" spans="2:2" x14ac:dyDescent="0.25">
      <c r="B2675" s="43"/>
    </row>
    <row r="2676" spans="2:2" x14ac:dyDescent="0.25">
      <c r="B2676" s="43"/>
    </row>
    <row r="2677" spans="2:2" x14ac:dyDescent="0.25">
      <c r="B2677" s="43"/>
    </row>
    <row r="2678" spans="2:2" x14ac:dyDescent="0.25">
      <c r="B2678" s="43"/>
    </row>
    <row r="2679" spans="2:2" x14ac:dyDescent="0.25">
      <c r="B2679" s="43"/>
    </row>
    <row r="2680" spans="2:2" x14ac:dyDescent="0.25">
      <c r="B2680" s="43"/>
    </row>
    <row r="2681" spans="2:2" x14ac:dyDescent="0.25">
      <c r="B2681" s="43"/>
    </row>
    <row r="2682" spans="2:2" x14ac:dyDescent="0.25">
      <c r="B2682" s="43"/>
    </row>
    <row r="2683" spans="2:2" x14ac:dyDescent="0.25">
      <c r="B2683" s="43"/>
    </row>
    <row r="2684" spans="2:2" x14ac:dyDescent="0.25">
      <c r="B2684" s="43"/>
    </row>
    <row r="2685" spans="2:2" x14ac:dyDescent="0.25">
      <c r="B2685" s="43"/>
    </row>
    <row r="2686" spans="2:2" x14ac:dyDescent="0.25">
      <c r="B2686" s="43"/>
    </row>
    <row r="2687" spans="2:2" x14ac:dyDescent="0.25">
      <c r="B2687" s="43"/>
    </row>
    <row r="2688" spans="2:2" x14ac:dyDescent="0.25">
      <c r="B2688" s="43"/>
    </row>
    <row r="2689" spans="2:2" x14ac:dyDescent="0.25">
      <c r="B2689" s="43"/>
    </row>
    <row r="2690" spans="2:2" x14ac:dyDescent="0.25">
      <c r="B2690" s="43"/>
    </row>
    <row r="2691" spans="2:2" x14ac:dyDescent="0.25">
      <c r="B2691" s="43"/>
    </row>
    <row r="2692" spans="2:2" x14ac:dyDescent="0.25">
      <c r="B2692" s="43"/>
    </row>
    <row r="2693" spans="2:2" x14ac:dyDescent="0.25">
      <c r="B2693" s="43"/>
    </row>
    <row r="2694" spans="2:2" x14ac:dyDescent="0.25">
      <c r="B2694" s="43"/>
    </row>
    <row r="2695" spans="2:2" x14ac:dyDescent="0.25">
      <c r="B2695" s="43"/>
    </row>
    <row r="2696" spans="2:2" x14ac:dyDescent="0.25">
      <c r="B2696" s="43"/>
    </row>
    <row r="2697" spans="2:2" x14ac:dyDescent="0.25">
      <c r="B2697" s="43"/>
    </row>
    <row r="2698" spans="2:2" x14ac:dyDescent="0.25">
      <c r="B2698" s="43"/>
    </row>
    <row r="2699" spans="2:2" x14ac:dyDescent="0.25">
      <c r="B2699" s="43"/>
    </row>
    <row r="2700" spans="2:2" x14ac:dyDescent="0.25">
      <c r="B2700" s="43"/>
    </row>
    <row r="2701" spans="2:2" x14ac:dyDescent="0.25">
      <c r="B2701" s="43"/>
    </row>
    <row r="2702" spans="2:2" x14ac:dyDescent="0.25">
      <c r="B2702" s="43"/>
    </row>
    <row r="2703" spans="2:2" x14ac:dyDescent="0.25">
      <c r="B2703" s="43"/>
    </row>
    <row r="2704" spans="2:2" x14ac:dyDescent="0.25">
      <c r="B2704" s="43"/>
    </row>
    <row r="2705" spans="2:2" x14ac:dyDescent="0.25">
      <c r="B2705" s="43"/>
    </row>
    <row r="2706" spans="2:2" x14ac:dyDescent="0.25">
      <c r="B2706" s="43"/>
    </row>
    <row r="2707" spans="2:2" x14ac:dyDescent="0.25">
      <c r="B2707" s="43"/>
    </row>
    <row r="2708" spans="2:2" x14ac:dyDescent="0.25">
      <c r="B2708" s="43"/>
    </row>
    <row r="2709" spans="2:2" x14ac:dyDescent="0.25">
      <c r="B2709" s="43"/>
    </row>
    <row r="2710" spans="2:2" x14ac:dyDescent="0.25">
      <c r="B2710" s="43"/>
    </row>
    <row r="2711" spans="2:2" x14ac:dyDescent="0.25">
      <c r="B2711" s="43"/>
    </row>
    <row r="2712" spans="2:2" x14ac:dyDescent="0.25">
      <c r="B2712" s="43"/>
    </row>
    <row r="2713" spans="2:2" x14ac:dyDescent="0.25">
      <c r="B2713" s="43"/>
    </row>
    <row r="2714" spans="2:2" x14ac:dyDescent="0.25">
      <c r="B2714" s="43"/>
    </row>
    <row r="2715" spans="2:2" x14ac:dyDescent="0.25">
      <c r="B2715" s="43"/>
    </row>
    <row r="2716" spans="2:2" x14ac:dyDescent="0.25">
      <c r="B2716" s="43"/>
    </row>
    <row r="2717" spans="2:2" x14ac:dyDescent="0.25">
      <c r="B2717" s="43"/>
    </row>
    <row r="2718" spans="2:2" x14ac:dyDescent="0.25">
      <c r="B2718" s="43"/>
    </row>
    <row r="2719" spans="2:2" x14ac:dyDescent="0.25">
      <c r="B2719" s="43"/>
    </row>
    <row r="2720" spans="2:2" x14ac:dyDescent="0.25">
      <c r="B2720" s="43"/>
    </row>
    <row r="2721" spans="2:2" x14ac:dyDescent="0.25">
      <c r="B2721" s="43"/>
    </row>
    <row r="2722" spans="2:2" x14ac:dyDescent="0.25">
      <c r="B2722" s="43"/>
    </row>
    <row r="2723" spans="2:2" x14ac:dyDescent="0.25">
      <c r="B2723" s="43"/>
    </row>
    <row r="2724" spans="2:2" x14ac:dyDescent="0.25">
      <c r="B2724" s="43"/>
    </row>
    <row r="2725" spans="2:2" x14ac:dyDescent="0.25">
      <c r="B2725" s="43"/>
    </row>
    <row r="2726" spans="2:2" x14ac:dyDescent="0.25">
      <c r="B2726" s="43"/>
    </row>
    <row r="2727" spans="2:2" x14ac:dyDescent="0.25">
      <c r="B2727" s="43"/>
    </row>
    <row r="2728" spans="2:2" x14ac:dyDescent="0.25">
      <c r="B2728" s="43"/>
    </row>
    <row r="2729" spans="2:2" x14ac:dyDescent="0.25">
      <c r="B2729" s="43"/>
    </row>
    <row r="2730" spans="2:2" x14ac:dyDescent="0.25">
      <c r="B2730" s="43"/>
    </row>
    <row r="2731" spans="2:2" x14ac:dyDescent="0.25">
      <c r="B2731" s="43"/>
    </row>
    <row r="2732" spans="2:2" x14ac:dyDescent="0.25">
      <c r="B2732" s="43"/>
    </row>
    <row r="2733" spans="2:2" x14ac:dyDescent="0.25">
      <c r="B2733" s="43"/>
    </row>
    <row r="2734" spans="2:2" x14ac:dyDescent="0.25">
      <c r="B2734" s="43"/>
    </row>
    <row r="2735" spans="2:2" x14ac:dyDescent="0.25">
      <c r="B2735" s="43"/>
    </row>
    <row r="2736" spans="2:2" x14ac:dyDescent="0.25">
      <c r="B2736" s="43"/>
    </row>
    <row r="2737" spans="2:2" x14ac:dyDescent="0.25">
      <c r="B2737" s="43"/>
    </row>
    <row r="2738" spans="2:2" x14ac:dyDescent="0.25">
      <c r="B2738" s="43"/>
    </row>
    <row r="2739" spans="2:2" x14ac:dyDescent="0.25">
      <c r="B2739" s="43"/>
    </row>
    <row r="2740" spans="2:2" x14ac:dyDescent="0.25">
      <c r="B2740" s="43"/>
    </row>
    <row r="2741" spans="2:2" x14ac:dyDescent="0.25">
      <c r="B2741" s="43"/>
    </row>
    <row r="2742" spans="2:2" x14ac:dyDescent="0.25">
      <c r="B2742" s="43"/>
    </row>
    <row r="2743" spans="2:2" x14ac:dyDescent="0.25">
      <c r="B2743" s="43"/>
    </row>
    <row r="2744" spans="2:2" x14ac:dyDescent="0.25">
      <c r="B2744" s="43"/>
    </row>
    <row r="2745" spans="2:2" x14ac:dyDescent="0.25">
      <c r="B2745" s="43"/>
    </row>
    <row r="2746" spans="2:2" x14ac:dyDescent="0.25">
      <c r="B2746" s="43"/>
    </row>
    <row r="2747" spans="2:2" x14ac:dyDescent="0.25">
      <c r="B2747" s="43"/>
    </row>
    <row r="2748" spans="2:2" x14ac:dyDescent="0.25">
      <c r="B2748" s="43"/>
    </row>
    <row r="2749" spans="2:2" x14ac:dyDescent="0.25">
      <c r="B2749" s="43"/>
    </row>
    <row r="2750" spans="2:2" x14ac:dyDescent="0.25">
      <c r="B2750" s="43"/>
    </row>
    <row r="2751" spans="2:2" x14ac:dyDescent="0.25">
      <c r="B2751" s="43"/>
    </row>
    <row r="2752" spans="2:2" x14ac:dyDescent="0.25">
      <c r="B2752" s="43"/>
    </row>
    <row r="2753" spans="2:2" x14ac:dyDescent="0.25">
      <c r="B2753" s="43"/>
    </row>
    <row r="2754" spans="2:2" x14ac:dyDescent="0.25">
      <c r="B2754" s="43"/>
    </row>
    <row r="2755" spans="2:2" x14ac:dyDescent="0.25">
      <c r="B2755" s="43"/>
    </row>
    <row r="2756" spans="2:2" x14ac:dyDescent="0.25">
      <c r="B2756" s="43"/>
    </row>
    <row r="2757" spans="2:2" x14ac:dyDescent="0.25">
      <c r="B2757" s="43"/>
    </row>
    <row r="2758" spans="2:2" x14ac:dyDescent="0.25">
      <c r="B2758" s="43"/>
    </row>
    <row r="2759" spans="2:2" x14ac:dyDescent="0.25">
      <c r="B2759" s="43"/>
    </row>
    <row r="2760" spans="2:2" x14ac:dyDescent="0.25">
      <c r="B2760" s="43"/>
    </row>
    <row r="2761" spans="2:2" x14ac:dyDescent="0.25">
      <c r="B2761" s="43"/>
    </row>
    <row r="2762" spans="2:2" x14ac:dyDescent="0.25">
      <c r="B2762" s="43"/>
    </row>
    <row r="2763" spans="2:2" x14ac:dyDescent="0.25">
      <c r="B2763" s="43"/>
    </row>
    <row r="2764" spans="2:2" x14ac:dyDescent="0.25">
      <c r="B2764" s="43"/>
    </row>
    <row r="2765" spans="2:2" x14ac:dyDescent="0.25">
      <c r="B2765" s="43"/>
    </row>
    <row r="2766" spans="2:2" x14ac:dyDescent="0.25">
      <c r="B2766" s="43"/>
    </row>
    <row r="2767" spans="2:2" x14ac:dyDescent="0.25">
      <c r="B2767" s="43"/>
    </row>
    <row r="2768" spans="2:2" x14ac:dyDescent="0.25">
      <c r="B2768" s="43"/>
    </row>
    <row r="2769" spans="2:2" x14ac:dyDescent="0.25">
      <c r="B2769" s="43"/>
    </row>
    <row r="2770" spans="2:2" x14ac:dyDescent="0.25">
      <c r="B2770" s="43"/>
    </row>
    <row r="2771" spans="2:2" x14ac:dyDescent="0.25">
      <c r="B2771" s="43"/>
    </row>
    <row r="2772" spans="2:2" x14ac:dyDescent="0.25">
      <c r="B2772" s="43"/>
    </row>
    <row r="2773" spans="2:2" x14ac:dyDescent="0.25">
      <c r="B2773" s="43"/>
    </row>
    <row r="2774" spans="2:2" x14ac:dyDescent="0.25">
      <c r="B2774" s="43"/>
    </row>
    <row r="2775" spans="2:2" x14ac:dyDescent="0.25">
      <c r="B2775" s="43"/>
    </row>
    <row r="2776" spans="2:2" x14ac:dyDescent="0.25">
      <c r="B2776" s="43"/>
    </row>
    <row r="2777" spans="2:2" x14ac:dyDescent="0.25">
      <c r="B2777" s="43"/>
    </row>
    <row r="2778" spans="2:2" x14ac:dyDescent="0.25">
      <c r="B2778" s="43"/>
    </row>
    <row r="2779" spans="2:2" x14ac:dyDescent="0.25">
      <c r="B2779" s="43"/>
    </row>
    <row r="2780" spans="2:2" x14ac:dyDescent="0.25">
      <c r="B2780" s="43"/>
    </row>
    <row r="2781" spans="2:2" x14ac:dyDescent="0.25">
      <c r="B2781" s="43"/>
    </row>
    <row r="2782" spans="2:2" x14ac:dyDescent="0.25">
      <c r="B2782" s="43"/>
    </row>
    <row r="2783" spans="2:2" x14ac:dyDescent="0.25">
      <c r="B2783" s="43"/>
    </row>
    <row r="2784" spans="2:2" x14ac:dyDescent="0.25">
      <c r="B2784" s="43"/>
    </row>
    <row r="2785" spans="2:2" x14ac:dyDescent="0.25">
      <c r="B2785" s="43"/>
    </row>
    <row r="2786" spans="2:2" x14ac:dyDescent="0.25">
      <c r="B2786" s="43"/>
    </row>
    <row r="2787" spans="2:2" x14ac:dyDescent="0.25">
      <c r="B2787" s="43"/>
    </row>
    <row r="2788" spans="2:2" x14ac:dyDescent="0.25">
      <c r="B2788" s="43"/>
    </row>
    <row r="2789" spans="2:2" x14ac:dyDescent="0.25">
      <c r="B2789" s="43"/>
    </row>
    <row r="2790" spans="2:2" x14ac:dyDescent="0.25">
      <c r="B2790" s="43"/>
    </row>
    <row r="2791" spans="2:2" x14ac:dyDescent="0.25">
      <c r="B2791" s="43"/>
    </row>
    <row r="2792" spans="2:2" x14ac:dyDescent="0.25">
      <c r="B2792" s="43"/>
    </row>
    <row r="2793" spans="2:2" x14ac:dyDescent="0.25">
      <c r="B2793" s="43"/>
    </row>
    <row r="2794" spans="2:2" x14ac:dyDescent="0.25">
      <c r="B2794" s="43"/>
    </row>
    <row r="2795" spans="2:2" x14ac:dyDescent="0.25">
      <c r="B2795" s="43"/>
    </row>
    <row r="2796" spans="2:2" x14ac:dyDescent="0.25">
      <c r="B2796" s="43"/>
    </row>
    <row r="2797" spans="2:2" x14ac:dyDescent="0.25">
      <c r="B2797" s="43"/>
    </row>
    <row r="2798" spans="2:2" x14ac:dyDescent="0.25">
      <c r="B2798" s="43"/>
    </row>
    <row r="2799" spans="2:2" x14ac:dyDescent="0.25">
      <c r="B2799" s="43"/>
    </row>
    <row r="2800" spans="2:2" x14ac:dyDescent="0.25">
      <c r="B2800" s="43"/>
    </row>
    <row r="2801" spans="2:2" x14ac:dyDescent="0.25">
      <c r="B2801" s="43"/>
    </row>
    <row r="2802" spans="2:2" x14ac:dyDescent="0.25">
      <c r="B2802" s="43"/>
    </row>
    <row r="2803" spans="2:2" x14ac:dyDescent="0.25">
      <c r="B2803" s="43"/>
    </row>
    <row r="2804" spans="2:2" x14ac:dyDescent="0.25">
      <c r="B2804" s="43"/>
    </row>
    <row r="2805" spans="2:2" x14ac:dyDescent="0.25">
      <c r="B2805" s="43"/>
    </row>
    <row r="2806" spans="2:2" x14ac:dyDescent="0.25">
      <c r="B2806" s="43"/>
    </row>
    <row r="2807" spans="2:2" x14ac:dyDescent="0.25">
      <c r="B2807" s="43"/>
    </row>
    <row r="2808" spans="2:2" x14ac:dyDescent="0.25">
      <c r="B2808" s="43"/>
    </row>
    <row r="2809" spans="2:2" x14ac:dyDescent="0.25">
      <c r="B2809" s="43"/>
    </row>
    <row r="2810" spans="2:2" x14ac:dyDescent="0.25">
      <c r="B2810" s="43"/>
    </row>
    <row r="2811" spans="2:2" x14ac:dyDescent="0.25">
      <c r="B2811" s="43"/>
    </row>
    <row r="2812" spans="2:2" x14ac:dyDescent="0.25">
      <c r="B2812" s="43"/>
    </row>
    <row r="2813" spans="2:2" x14ac:dyDescent="0.25">
      <c r="B2813" s="43"/>
    </row>
    <row r="2814" spans="2:2" x14ac:dyDescent="0.25">
      <c r="B2814" s="43"/>
    </row>
    <row r="2815" spans="2:2" x14ac:dyDescent="0.25">
      <c r="B2815" s="43"/>
    </row>
    <row r="2816" spans="2:2" x14ac:dyDescent="0.25">
      <c r="B2816" s="43"/>
    </row>
    <row r="2817" spans="2:2" x14ac:dyDescent="0.25">
      <c r="B2817" s="43"/>
    </row>
    <row r="2818" spans="2:2" x14ac:dyDescent="0.25">
      <c r="B2818" s="43"/>
    </row>
    <row r="2819" spans="2:2" x14ac:dyDescent="0.25">
      <c r="B2819" s="43"/>
    </row>
    <row r="2820" spans="2:2" x14ac:dyDescent="0.25">
      <c r="B2820" s="43"/>
    </row>
    <row r="2821" spans="2:2" x14ac:dyDescent="0.25">
      <c r="B2821" s="43"/>
    </row>
    <row r="2822" spans="2:2" x14ac:dyDescent="0.25">
      <c r="B2822" s="43"/>
    </row>
    <row r="2823" spans="2:2" x14ac:dyDescent="0.25">
      <c r="B2823" s="43"/>
    </row>
    <row r="2824" spans="2:2" x14ac:dyDescent="0.25">
      <c r="B2824" s="43"/>
    </row>
    <row r="2825" spans="2:2" x14ac:dyDescent="0.25">
      <c r="B2825" s="43"/>
    </row>
    <row r="2826" spans="2:2" x14ac:dyDescent="0.25">
      <c r="B2826" s="43"/>
    </row>
    <row r="2827" spans="2:2" x14ac:dyDescent="0.25">
      <c r="B2827" s="43"/>
    </row>
    <row r="2828" spans="2:2" x14ac:dyDescent="0.25">
      <c r="B2828" s="43"/>
    </row>
    <row r="2829" spans="2:2" x14ac:dyDescent="0.25">
      <c r="B2829" s="43"/>
    </row>
    <row r="2830" spans="2:2" x14ac:dyDescent="0.25">
      <c r="B2830" s="43"/>
    </row>
    <row r="2831" spans="2:2" x14ac:dyDescent="0.25">
      <c r="B2831" s="43"/>
    </row>
    <row r="2832" spans="2:2" x14ac:dyDescent="0.25">
      <c r="B2832" s="43"/>
    </row>
    <row r="2833" spans="2:2" x14ac:dyDescent="0.25">
      <c r="B2833" s="43"/>
    </row>
    <row r="2834" spans="2:2" x14ac:dyDescent="0.25">
      <c r="B2834" s="43"/>
    </row>
    <row r="2835" spans="2:2" x14ac:dyDescent="0.25">
      <c r="B2835" s="43"/>
    </row>
    <row r="2836" spans="2:2" x14ac:dyDescent="0.25">
      <c r="B2836" s="43"/>
    </row>
    <row r="2837" spans="2:2" x14ac:dyDescent="0.25">
      <c r="B2837" s="43"/>
    </row>
    <row r="2838" spans="2:2" x14ac:dyDescent="0.25">
      <c r="B2838" s="43"/>
    </row>
    <row r="2839" spans="2:2" x14ac:dyDescent="0.25">
      <c r="B2839" s="43"/>
    </row>
    <row r="2840" spans="2:2" x14ac:dyDescent="0.25">
      <c r="B2840" s="43"/>
    </row>
    <row r="2841" spans="2:2" x14ac:dyDescent="0.25">
      <c r="B2841" s="43"/>
    </row>
    <row r="2842" spans="2:2" x14ac:dyDescent="0.25">
      <c r="B2842" s="43"/>
    </row>
    <row r="2843" spans="2:2" x14ac:dyDescent="0.25">
      <c r="B2843" s="43"/>
    </row>
    <row r="2844" spans="2:2" x14ac:dyDescent="0.25">
      <c r="B2844" s="43"/>
    </row>
    <row r="2845" spans="2:2" x14ac:dyDescent="0.25">
      <c r="B2845" s="43"/>
    </row>
    <row r="2846" spans="2:2" x14ac:dyDescent="0.25">
      <c r="B2846" s="43"/>
    </row>
    <row r="2847" spans="2:2" x14ac:dyDescent="0.25">
      <c r="B2847" s="43"/>
    </row>
    <row r="2848" spans="2:2" x14ac:dyDescent="0.25">
      <c r="B2848" s="43"/>
    </row>
    <row r="2849" spans="2:2" x14ac:dyDescent="0.25">
      <c r="B2849" s="43"/>
    </row>
    <row r="2850" spans="2:2" x14ac:dyDescent="0.25">
      <c r="B2850" s="43"/>
    </row>
    <row r="2851" spans="2:2" x14ac:dyDescent="0.25">
      <c r="B2851" s="43"/>
    </row>
    <row r="2852" spans="2:2" x14ac:dyDescent="0.25">
      <c r="B2852" s="43"/>
    </row>
    <row r="2853" spans="2:2" x14ac:dyDescent="0.25">
      <c r="B2853" s="43"/>
    </row>
    <row r="2854" spans="2:2" x14ac:dyDescent="0.25">
      <c r="B2854" s="43"/>
    </row>
    <row r="2855" spans="2:2" x14ac:dyDescent="0.25">
      <c r="B2855" s="43"/>
    </row>
    <row r="2856" spans="2:2" x14ac:dyDescent="0.25">
      <c r="B2856" s="43"/>
    </row>
    <row r="2857" spans="2:2" x14ac:dyDescent="0.25">
      <c r="B2857" s="43"/>
    </row>
    <row r="2858" spans="2:2" x14ac:dyDescent="0.25">
      <c r="B2858" s="43"/>
    </row>
    <row r="2859" spans="2:2" x14ac:dyDescent="0.25">
      <c r="B2859" s="43"/>
    </row>
    <row r="2860" spans="2:2" x14ac:dyDescent="0.25">
      <c r="B2860" s="43"/>
    </row>
    <row r="2861" spans="2:2" x14ac:dyDescent="0.25">
      <c r="B2861" s="43"/>
    </row>
    <row r="2862" spans="2:2" x14ac:dyDescent="0.25">
      <c r="B2862" s="43"/>
    </row>
    <row r="2863" spans="2:2" x14ac:dyDescent="0.25">
      <c r="B2863" s="43"/>
    </row>
    <row r="2864" spans="2:2" x14ac:dyDescent="0.25">
      <c r="B2864" s="43"/>
    </row>
    <row r="2865" spans="2:2" x14ac:dyDescent="0.25">
      <c r="B2865" s="43"/>
    </row>
    <row r="2866" spans="2:2" x14ac:dyDescent="0.25">
      <c r="B2866" s="43"/>
    </row>
    <row r="2867" spans="2:2" x14ac:dyDescent="0.25">
      <c r="B2867" s="43"/>
    </row>
    <row r="2868" spans="2:2" x14ac:dyDescent="0.25">
      <c r="B2868" s="43"/>
    </row>
    <row r="2869" spans="2:2" x14ac:dyDescent="0.25">
      <c r="B2869" s="43"/>
    </row>
    <row r="2870" spans="2:2" x14ac:dyDescent="0.25">
      <c r="B2870" s="43"/>
    </row>
    <row r="2871" spans="2:2" x14ac:dyDescent="0.25">
      <c r="B2871" s="43"/>
    </row>
    <row r="2872" spans="2:2" x14ac:dyDescent="0.25">
      <c r="B2872" s="43"/>
    </row>
    <row r="2873" spans="2:2" x14ac:dyDescent="0.25">
      <c r="B2873" s="43"/>
    </row>
    <row r="2874" spans="2:2" x14ac:dyDescent="0.25">
      <c r="B2874" s="43"/>
    </row>
    <row r="2875" spans="2:2" x14ac:dyDescent="0.25">
      <c r="B2875" s="43"/>
    </row>
    <row r="2876" spans="2:2" x14ac:dyDescent="0.25">
      <c r="B2876" s="43"/>
    </row>
    <row r="2877" spans="2:2" x14ac:dyDescent="0.25">
      <c r="B2877" s="43"/>
    </row>
    <row r="2878" spans="2:2" x14ac:dyDescent="0.25">
      <c r="B2878" s="43"/>
    </row>
    <row r="2879" spans="2:2" x14ac:dyDescent="0.25">
      <c r="B2879" s="43"/>
    </row>
    <row r="2880" spans="2:2" x14ac:dyDescent="0.25">
      <c r="B2880" s="43"/>
    </row>
    <row r="2881" spans="2:2" x14ac:dyDescent="0.25">
      <c r="B2881" s="43"/>
    </row>
    <row r="2882" spans="2:2" x14ac:dyDescent="0.25">
      <c r="B2882" s="43"/>
    </row>
    <row r="2883" spans="2:2" x14ac:dyDescent="0.25">
      <c r="B2883" s="43"/>
    </row>
    <row r="2884" spans="2:2" x14ac:dyDescent="0.25">
      <c r="B2884" s="43"/>
    </row>
    <row r="2885" spans="2:2" x14ac:dyDescent="0.25">
      <c r="B2885" s="43"/>
    </row>
    <row r="2886" spans="2:2" x14ac:dyDescent="0.25">
      <c r="B2886" s="43"/>
    </row>
    <row r="2887" spans="2:2" x14ac:dyDescent="0.25">
      <c r="B2887" s="43"/>
    </row>
    <row r="2888" spans="2:2" x14ac:dyDescent="0.25">
      <c r="B2888" s="43"/>
    </row>
    <row r="2889" spans="2:2" x14ac:dyDescent="0.25">
      <c r="B2889" s="43"/>
    </row>
    <row r="2890" spans="2:2" x14ac:dyDescent="0.25">
      <c r="B2890" s="43"/>
    </row>
    <row r="2891" spans="2:2" x14ac:dyDescent="0.25">
      <c r="B2891" s="43"/>
    </row>
    <row r="2892" spans="2:2" x14ac:dyDescent="0.25">
      <c r="B2892" s="43"/>
    </row>
    <row r="2893" spans="2:2" x14ac:dyDescent="0.25">
      <c r="B2893" s="43"/>
    </row>
    <row r="2894" spans="2:2" x14ac:dyDescent="0.25">
      <c r="B2894" s="43"/>
    </row>
    <row r="2895" spans="2:2" x14ac:dyDescent="0.25">
      <c r="B2895" s="43"/>
    </row>
    <row r="2896" spans="2:2" x14ac:dyDescent="0.25">
      <c r="B2896" s="43"/>
    </row>
    <row r="2897" spans="2:2" x14ac:dyDescent="0.25">
      <c r="B2897" s="43"/>
    </row>
    <row r="2898" spans="2:2" x14ac:dyDescent="0.25">
      <c r="B2898" s="43"/>
    </row>
    <row r="2899" spans="2:2" x14ac:dyDescent="0.25">
      <c r="B2899" s="43"/>
    </row>
    <row r="2900" spans="2:2" x14ac:dyDescent="0.25">
      <c r="B2900" s="43"/>
    </row>
    <row r="2901" spans="2:2" x14ac:dyDescent="0.25">
      <c r="B2901" s="43"/>
    </row>
    <row r="2902" spans="2:2" x14ac:dyDescent="0.25">
      <c r="B2902" s="43"/>
    </row>
    <row r="2903" spans="2:2" x14ac:dyDescent="0.25">
      <c r="B2903" s="43"/>
    </row>
    <row r="2904" spans="2:2" x14ac:dyDescent="0.25">
      <c r="B2904" s="43"/>
    </row>
    <row r="2905" spans="2:2" x14ac:dyDescent="0.25">
      <c r="B2905" s="43"/>
    </row>
    <row r="2906" spans="2:2" x14ac:dyDescent="0.25">
      <c r="B2906" s="43"/>
    </row>
    <row r="2907" spans="2:2" x14ac:dyDescent="0.25">
      <c r="B2907" s="43"/>
    </row>
    <row r="2908" spans="2:2" x14ac:dyDescent="0.25">
      <c r="B2908" s="43"/>
    </row>
    <row r="2909" spans="2:2" x14ac:dyDescent="0.25">
      <c r="B2909" s="43"/>
    </row>
    <row r="2910" spans="2:2" x14ac:dyDescent="0.25">
      <c r="B2910" s="43"/>
    </row>
    <row r="2911" spans="2:2" x14ac:dyDescent="0.25">
      <c r="B2911" s="43"/>
    </row>
    <row r="2912" spans="2:2" x14ac:dyDescent="0.25">
      <c r="B2912" s="43"/>
    </row>
    <row r="2913" spans="2:2" x14ac:dyDescent="0.25">
      <c r="B2913" s="43"/>
    </row>
    <row r="2914" spans="2:2" x14ac:dyDescent="0.25">
      <c r="B2914" s="43"/>
    </row>
    <row r="2915" spans="2:2" x14ac:dyDescent="0.25">
      <c r="B2915" s="43"/>
    </row>
    <row r="2916" spans="2:2" x14ac:dyDescent="0.25">
      <c r="B2916" s="43"/>
    </row>
    <row r="2917" spans="2:2" x14ac:dyDescent="0.25">
      <c r="B2917" s="43"/>
    </row>
    <row r="2918" spans="2:2" x14ac:dyDescent="0.25">
      <c r="B2918" s="43"/>
    </row>
    <row r="2919" spans="2:2" x14ac:dyDescent="0.25">
      <c r="B2919" s="43"/>
    </row>
    <row r="2920" spans="2:2" x14ac:dyDescent="0.25">
      <c r="B2920" s="43"/>
    </row>
    <row r="2921" spans="2:2" x14ac:dyDescent="0.25">
      <c r="B2921" s="43"/>
    </row>
    <row r="2922" spans="2:2" x14ac:dyDescent="0.25">
      <c r="B2922" s="43"/>
    </row>
    <row r="2923" spans="2:2" x14ac:dyDescent="0.25">
      <c r="B2923" s="43"/>
    </row>
    <row r="2924" spans="2:2" x14ac:dyDescent="0.25">
      <c r="B2924" s="43"/>
    </row>
    <row r="2925" spans="2:2" x14ac:dyDescent="0.25">
      <c r="B2925" s="43"/>
    </row>
    <row r="2926" spans="2:2" x14ac:dyDescent="0.25">
      <c r="B2926" s="43"/>
    </row>
    <row r="2927" spans="2:2" x14ac:dyDescent="0.25">
      <c r="B2927" s="43"/>
    </row>
    <row r="2928" spans="2:2" x14ac:dyDescent="0.25">
      <c r="B2928" s="43"/>
    </row>
    <row r="2929" spans="2:2" x14ac:dyDescent="0.25">
      <c r="B2929" s="43"/>
    </row>
    <row r="2930" spans="2:2" x14ac:dyDescent="0.25">
      <c r="B2930" s="43"/>
    </row>
    <row r="2931" spans="2:2" x14ac:dyDescent="0.25">
      <c r="B2931" s="43"/>
    </row>
    <row r="2932" spans="2:2" x14ac:dyDescent="0.25">
      <c r="B2932" s="43"/>
    </row>
    <row r="2933" spans="2:2" x14ac:dyDescent="0.25">
      <c r="B2933" s="43"/>
    </row>
    <row r="2934" spans="2:2" x14ac:dyDescent="0.25">
      <c r="B2934" s="43"/>
    </row>
    <row r="2935" spans="2:2" x14ac:dyDescent="0.25">
      <c r="B2935" s="43"/>
    </row>
    <row r="2936" spans="2:2" x14ac:dyDescent="0.25">
      <c r="B2936" s="43"/>
    </row>
    <row r="2937" spans="2:2" x14ac:dyDescent="0.25">
      <c r="B2937" s="43"/>
    </row>
    <row r="2938" spans="2:2" x14ac:dyDescent="0.25">
      <c r="B2938" s="43"/>
    </row>
    <row r="2939" spans="2:2" x14ac:dyDescent="0.25">
      <c r="B2939" s="43"/>
    </row>
    <row r="2940" spans="2:2" x14ac:dyDescent="0.25">
      <c r="B2940" s="43"/>
    </row>
    <row r="2941" spans="2:2" x14ac:dyDescent="0.25">
      <c r="B2941" s="43"/>
    </row>
    <row r="2942" spans="2:2" x14ac:dyDescent="0.25">
      <c r="B2942" s="43"/>
    </row>
    <row r="2943" spans="2:2" x14ac:dyDescent="0.25">
      <c r="B2943" s="43"/>
    </row>
    <row r="2944" spans="2:2" x14ac:dyDescent="0.25">
      <c r="B2944" s="43"/>
    </row>
    <row r="2945" spans="2:2" x14ac:dyDescent="0.25">
      <c r="B2945" s="43"/>
    </row>
    <row r="2946" spans="2:2" x14ac:dyDescent="0.25">
      <c r="B2946" s="43"/>
    </row>
    <row r="2947" spans="2:2" x14ac:dyDescent="0.25">
      <c r="B2947" s="43"/>
    </row>
    <row r="2948" spans="2:2" x14ac:dyDescent="0.25">
      <c r="B2948" s="43"/>
    </row>
    <row r="2949" spans="2:2" x14ac:dyDescent="0.25">
      <c r="B2949" s="43"/>
    </row>
    <row r="2950" spans="2:2" x14ac:dyDescent="0.25">
      <c r="B2950" s="43"/>
    </row>
    <row r="2951" spans="2:2" x14ac:dyDescent="0.25">
      <c r="B2951" s="43"/>
    </row>
    <row r="2952" spans="2:2" x14ac:dyDescent="0.25">
      <c r="B2952" s="43"/>
    </row>
    <row r="2953" spans="2:2" x14ac:dyDescent="0.25">
      <c r="B2953" s="43"/>
    </row>
    <row r="2954" spans="2:2" x14ac:dyDescent="0.25">
      <c r="B2954" s="43"/>
    </row>
    <row r="2955" spans="2:2" x14ac:dyDescent="0.25">
      <c r="B2955" s="43"/>
    </row>
    <row r="2956" spans="2:2" x14ac:dyDescent="0.25">
      <c r="B2956" s="43"/>
    </row>
    <row r="2957" spans="2:2" x14ac:dyDescent="0.25">
      <c r="B2957" s="43"/>
    </row>
    <row r="2958" spans="2:2" x14ac:dyDescent="0.25">
      <c r="B2958" s="43"/>
    </row>
    <row r="2959" spans="2:2" x14ac:dyDescent="0.25">
      <c r="B2959" s="43"/>
    </row>
    <row r="2960" spans="2:2" x14ac:dyDescent="0.25">
      <c r="B2960" s="43"/>
    </row>
    <row r="2961" spans="2:2" x14ac:dyDescent="0.25">
      <c r="B2961" s="43"/>
    </row>
    <row r="2962" spans="2:2" x14ac:dyDescent="0.25">
      <c r="B2962" s="43"/>
    </row>
    <row r="2963" spans="2:2" x14ac:dyDescent="0.25">
      <c r="B2963" s="43"/>
    </row>
    <row r="2964" spans="2:2" x14ac:dyDescent="0.25">
      <c r="B2964" s="43"/>
    </row>
    <row r="2965" spans="2:2" x14ac:dyDescent="0.25">
      <c r="B2965" s="43"/>
    </row>
    <row r="2966" spans="2:2" x14ac:dyDescent="0.25">
      <c r="B2966" s="43"/>
    </row>
    <row r="2967" spans="2:2" x14ac:dyDescent="0.25">
      <c r="B2967" s="43"/>
    </row>
    <row r="2968" spans="2:2" x14ac:dyDescent="0.25">
      <c r="B2968" s="43"/>
    </row>
    <row r="2969" spans="2:2" x14ac:dyDescent="0.25">
      <c r="B2969" s="43"/>
    </row>
    <row r="2970" spans="2:2" x14ac:dyDescent="0.25">
      <c r="B2970" s="43"/>
    </row>
    <row r="2971" spans="2:2" x14ac:dyDescent="0.25">
      <c r="B2971" s="43"/>
    </row>
    <row r="2972" spans="2:2" x14ac:dyDescent="0.25">
      <c r="B2972" s="43"/>
    </row>
    <row r="2973" spans="2:2" x14ac:dyDescent="0.25">
      <c r="B2973" s="43"/>
    </row>
    <row r="2974" spans="2:2" x14ac:dyDescent="0.25">
      <c r="B2974" s="43"/>
    </row>
    <row r="2975" spans="2:2" x14ac:dyDescent="0.25">
      <c r="B2975" s="43"/>
    </row>
    <row r="2976" spans="2:2" x14ac:dyDescent="0.25">
      <c r="B2976" s="43"/>
    </row>
    <row r="2977" spans="2:2" x14ac:dyDescent="0.25">
      <c r="B2977" s="43"/>
    </row>
    <row r="2978" spans="2:2" x14ac:dyDescent="0.25">
      <c r="B2978" s="43"/>
    </row>
    <row r="2979" spans="2:2" x14ac:dyDescent="0.25">
      <c r="B2979" s="43"/>
    </row>
    <row r="2980" spans="2:2" x14ac:dyDescent="0.25">
      <c r="B2980" s="43"/>
    </row>
    <row r="2981" spans="2:2" x14ac:dyDescent="0.25">
      <c r="B2981" s="43"/>
    </row>
    <row r="2982" spans="2:2" x14ac:dyDescent="0.25">
      <c r="B2982" s="43"/>
    </row>
    <row r="2983" spans="2:2" x14ac:dyDescent="0.25">
      <c r="B2983" s="43"/>
    </row>
    <row r="2984" spans="2:2" x14ac:dyDescent="0.25">
      <c r="B2984" s="43"/>
    </row>
    <row r="2985" spans="2:2" x14ac:dyDescent="0.25">
      <c r="B2985" s="43"/>
    </row>
    <row r="2986" spans="2:2" x14ac:dyDescent="0.25">
      <c r="B2986" s="43"/>
    </row>
    <row r="2987" spans="2:2" x14ac:dyDescent="0.25">
      <c r="B2987" s="43"/>
    </row>
    <row r="2988" spans="2:2" x14ac:dyDescent="0.25">
      <c r="B2988" s="43"/>
    </row>
    <row r="2989" spans="2:2" x14ac:dyDescent="0.25">
      <c r="B2989" s="43"/>
    </row>
    <row r="2990" spans="2:2" x14ac:dyDescent="0.25">
      <c r="B2990" s="43"/>
    </row>
    <row r="2991" spans="2:2" x14ac:dyDescent="0.25">
      <c r="B2991" s="43"/>
    </row>
    <row r="2992" spans="2:2" x14ac:dyDescent="0.25">
      <c r="B2992" s="43"/>
    </row>
    <row r="2993" spans="1:2" x14ac:dyDescent="0.25">
      <c r="B2993" s="43"/>
    </row>
    <row r="2994" spans="1:2" x14ac:dyDescent="0.25">
      <c r="B2994" s="43"/>
    </row>
    <row r="2995" spans="1:2" x14ac:dyDescent="0.25">
      <c r="B2995" s="43"/>
    </row>
    <row r="2996" spans="1:2" x14ac:dyDescent="0.25">
      <c r="B2996" s="43"/>
    </row>
    <row r="2997" spans="1:2" x14ac:dyDescent="0.25">
      <c r="A2997" s="42">
        <v>740</v>
      </c>
      <c r="B2997" s="43">
        <v>899</v>
      </c>
    </row>
    <row r="2998" spans="1:2" x14ac:dyDescent="0.25">
      <c r="A2998" s="42">
        <v>56</v>
      </c>
      <c r="B2998" s="43">
        <v>29</v>
      </c>
    </row>
    <row r="2999" spans="1:2" x14ac:dyDescent="0.25">
      <c r="A2999" s="42">
        <v>1328</v>
      </c>
      <c r="B2999" s="43">
        <v>400</v>
      </c>
    </row>
    <row r="3000" spans="1:2" x14ac:dyDescent="0.25">
      <c r="A3000" s="42">
        <v>359</v>
      </c>
      <c r="B3000" s="43">
        <v>410</v>
      </c>
    </row>
    <row r="3001" spans="1:2" x14ac:dyDescent="0.25">
      <c r="A3001" s="42">
        <v>1331</v>
      </c>
      <c r="B3001" s="43">
        <v>72</v>
      </c>
    </row>
    <row r="3002" spans="1:2" x14ac:dyDescent="0.25">
      <c r="A3002" s="42">
        <v>9</v>
      </c>
      <c r="B3002" s="43">
        <v>96.79</v>
      </c>
    </row>
    <row r="3003" spans="1:2" x14ac:dyDescent="0.25">
      <c r="A3003" s="42">
        <v>6</v>
      </c>
      <c r="B3003" s="43">
        <v>49.5</v>
      </c>
    </row>
    <row r="3004" spans="1:2" x14ac:dyDescent="0.25">
      <c r="A3004" s="42">
        <v>605</v>
      </c>
      <c r="B3004" s="43">
        <v>41.33</v>
      </c>
    </row>
    <row r="3005" spans="1:2" x14ac:dyDescent="0.25">
      <c r="A3005" s="42">
        <v>615</v>
      </c>
      <c r="B3005" s="43">
        <v>849.97</v>
      </c>
    </row>
    <row r="3006" spans="1:2" x14ac:dyDescent="0.25">
      <c r="A3006" s="42">
        <v>92</v>
      </c>
      <c r="B3006" s="43">
        <v>50.16</v>
      </c>
    </row>
    <row r="3007" spans="1:2" x14ac:dyDescent="0.25">
      <c r="A3007" s="42">
        <v>93</v>
      </c>
      <c r="B3007" s="43">
        <v>80.5</v>
      </c>
    </row>
    <row r="3008" spans="1:2" x14ac:dyDescent="0.25">
      <c r="A3008" s="42">
        <v>999</v>
      </c>
      <c r="B3008" s="43">
        <v>60</v>
      </c>
    </row>
    <row r="3009" spans="1:2" x14ac:dyDescent="0.25">
      <c r="A3009" s="42">
        <v>188</v>
      </c>
      <c r="B3009" s="43">
        <v>250</v>
      </c>
    </row>
    <row r="3010" spans="1:2" x14ac:dyDescent="0.25">
      <c r="A3010" s="42">
        <v>74</v>
      </c>
      <c r="B3010" s="43">
        <v>41</v>
      </c>
    </row>
    <row r="3011" spans="1:2" x14ac:dyDescent="0.25">
      <c r="A3011" s="42">
        <v>224</v>
      </c>
      <c r="B3011" s="43">
        <v>1140</v>
      </c>
    </row>
    <row r="3012" spans="1:2" x14ac:dyDescent="0.25">
      <c r="A3012" s="42">
        <v>307</v>
      </c>
      <c r="B3012" s="43">
        <v>1100</v>
      </c>
    </row>
    <row r="3013" spans="1:2" x14ac:dyDescent="0.25">
      <c r="A3013" s="42">
        <v>559</v>
      </c>
      <c r="B3013" s="43">
        <v>266.2</v>
      </c>
    </row>
    <row r="3014" spans="1:2" x14ac:dyDescent="0.25">
      <c r="A3014" s="42">
        <v>561</v>
      </c>
      <c r="B3014" s="43">
        <v>491.35</v>
      </c>
    </row>
    <row r="3015" spans="1:2" x14ac:dyDescent="0.25">
      <c r="A3015" s="42">
        <v>647</v>
      </c>
      <c r="B3015" s="43">
        <v>62</v>
      </c>
    </row>
    <row r="3016" spans="1:2" x14ac:dyDescent="0.25">
      <c r="A3016" s="42">
        <v>64</v>
      </c>
      <c r="B3016" s="43"/>
    </row>
    <row r="3017" spans="1:2" x14ac:dyDescent="0.25">
      <c r="A3017" s="42">
        <v>1711</v>
      </c>
      <c r="B3017" s="43">
        <v>280</v>
      </c>
    </row>
    <row r="3018" spans="1:2" x14ac:dyDescent="0.25">
      <c r="A3018" s="42">
        <v>123</v>
      </c>
      <c r="B3018" s="43"/>
    </row>
    <row r="3019" spans="1:2" x14ac:dyDescent="0.25">
      <c r="A3019" s="42">
        <v>74</v>
      </c>
      <c r="B3019" s="43">
        <v>41</v>
      </c>
    </row>
    <row r="3020" spans="1:2" x14ac:dyDescent="0.25">
      <c r="A3020" s="42">
        <v>566</v>
      </c>
      <c r="B3020" s="43">
        <v>108.4</v>
      </c>
    </row>
    <row r="3021" spans="1:2" x14ac:dyDescent="0.25">
      <c r="A3021" s="42">
        <v>1217</v>
      </c>
      <c r="B3021" s="43"/>
    </row>
    <row r="3022" spans="1:2" x14ac:dyDescent="0.25">
      <c r="A3022" s="42">
        <v>995</v>
      </c>
      <c r="B3022" s="43">
        <v>20</v>
      </c>
    </row>
    <row r="3023" spans="1:2" x14ac:dyDescent="0.25">
      <c r="A3023" s="42">
        <v>1172</v>
      </c>
      <c r="B3023" s="43"/>
    </row>
    <row r="3024" spans="1:2" x14ac:dyDescent="0.25">
      <c r="B3024" s="43"/>
    </row>
    <row r="3025" spans="1:2" x14ac:dyDescent="0.25">
      <c r="A3025" s="42">
        <v>570</v>
      </c>
      <c r="B3025" s="43"/>
    </row>
    <row r="3026" spans="1:2" x14ac:dyDescent="0.25">
      <c r="A3026" s="42">
        <v>1342</v>
      </c>
      <c r="B3026" s="43"/>
    </row>
    <row r="3027" spans="1:2" x14ac:dyDescent="0.25">
      <c r="A3027" s="42">
        <v>584</v>
      </c>
      <c r="B3027" s="43">
        <v>860.33</v>
      </c>
    </row>
    <row r="3028" spans="1:2" x14ac:dyDescent="0.25">
      <c r="A3028" s="42">
        <v>220</v>
      </c>
      <c r="B3028" s="43">
        <v>648.70000000000005</v>
      </c>
    </row>
    <row r="3029" spans="1:2" x14ac:dyDescent="0.25">
      <c r="A3029" s="42">
        <v>577</v>
      </c>
      <c r="B3029" s="43"/>
    </row>
    <row r="3030" spans="1:2" x14ac:dyDescent="0.25">
      <c r="A3030" s="42">
        <v>217</v>
      </c>
      <c r="B3030" s="43"/>
    </row>
    <row r="3031" spans="1:2" x14ac:dyDescent="0.25">
      <c r="A3031" s="42">
        <v>1294</v>
      </c>
      <c r="B3031" s="43"/>
    </row>
    <row r="3032" spans="1:2" x14ac:dyDescent="0.25">
      <c r="A3032" s="42">
        <v>645</v>
      </c>
      <c r="B3032" s="43"/>
    </row>
    <row r="3033" spans="1:2" x14ac:dyDescent="0.25">
      <c r="A3033" s="42">
        <v>644</v>
      </c>
      <c r="B3033" s="43"/>
    </row>
    <row r="3034" spans="1:2" x14ac:dyDescent="0.25">
      <c r="A3034" s="42">
        <v>133</v>
      </c>
      <c r="B3034" s="43">
        <v>2560</v>
      </c>
    </row>
    <row r="3035" spans="1:2" x14ac:dyDescent="0.25">
      <c r="A3035" s="42">
        <v>56</v>
      </c>
      <c r="B3035" s="43">
        <v>30</v>
      </c>
    </row>
    <row r="3036" spans="1:2" x14ac:dyDescent="0.25">
      <c r="A3036" s="42">
        <v>684</v>
      </c>
      <c r="B3036" s="43">
        <v>13.13</v>
      </c>
    </row>
    <row r="3037" spans="1:2" x14ac:dyDescent="0.25">
      <c r="A3037" s="42">
        <v>1712</v>
      </c>
      <c r="B3037" s="43">
        <v>2734.9</v>
      </c>
    </row>
    <row r="3038" spans="1:2" x14ac:dyDescent="0.25">
      <c r="A3038" s="42">
        <v>617</v>
      </c>
      <c r="B3038" s="43">
        <v>100</v>
      </c>
    </row>
    <row r="3039" spans="1:2" x14ac:dyDescent="0.25">
      <c r="A3039" s="42">
        <v>1333</v>
      </c>
      <c r="B3039" s="43">
        <v>59</v>
      </c>
    </row>
    <row r="3040" spans="1:2" x14ac:dyDescent="0.25">
      <c r="A3040" s="42">
        <v>92</v>
      </c>
      <c r="B3040" s="43">
        <v>89</v>
      </c>
    </row>
    <row r="3041" spans="1:2" x14ac:dyDescent="0.25">
      <c r="A3041" s="42">
        <v>93</v>
      </c>
      <c r="B3041" s="43">
        <v>90</v>
      </c>
    </row>
    <row r="3042" spans="1:2" x14ac:dyDescent="0.25">
      <c r="A3042" s="42">
        <v>192</v>
      </c>
      <c r="B3042" s="43">
        <v>50</v>
      </c>
    </row>
    <row r="3043" spans="1:2" x14ac:dyDescent="0.25">
      <c r="A3043" s="42">
        <v>648</v>
      </c>
      <c r="B3043" s="43">
        <v>45</v>
      </c>
    </row>
    <row r="3044" spans="1:2" x14ac:dyDescent="0.25">
      <c r="A3044" s="42">
        <v>1059</v>
      </c>
      <c r="B3044" s="43">
        <v>4000</v>
      </c>
    </row>
    <row r="3045" spans="1:2" x14ac:dyDescent="0.25">
      <c r="A3045" s="42">
        <v>278</v>
      </c>
      <c r="B3045" s="43">
        <v>70</v>
      </c>
    </row>
    <row r="3046" spans="1:2" x14ac:dyDescent="0.25">
      <c r="A3046" s="42">
        <v>279</v>
      </c>
      <c r="B3046" s="43">
        <v>70</v>
      </c>
    </row>
    <row r="3047" spans="1:2" x14ac:dyDescent="0.25">
      <c r="A3047" s="42">
        <v>210</v>
      </c>
      <c r="B3047" s="43">
        <v>1500</v>
      </c>
    </row>
    <row r="3048" spans="1:2" x14ac:dyDescent="0.25">
      <c r="A3048" s="42">
        <v>617</v>
      </c>
      <c r="B3048" s="43">
        <v>112</v>
      </c>
    </row>
    <row r="3049" spans="1:2" x14ac:dyDescent="0.25">
      <c r="A3049" s="42">
        <v>709</v>
      </c>
      <c r="B3049" s="43"/>
    </row>
    <row r="3050" spans="1:2" x14ac:dyDescent="0.25">
      <c r="A3050" s="42">
        <v>1280</v>
      </c>
      <c r="B3050" s="43">
        <v>950</v>
      </c>
    </row>
    <row r="3051" spans="1:2" x14ac:dyDescent="0.25">
      <c r="A3051" s="42">
        <v>56</v>
      </c>
      <c r="B3051" s="43">
        <v>30</v>
      </c>
    </row>
    <row r="3052" spans="1:2" x14ac:dyDescent="0.25">
      <c r="A3052" s="42">
        <v>224</v>
      </c>
      <c r="B3052" s="43">
        <v>1129.76</v>
      </c>
    </row>
    <row r="3053" spans="1:2" x14ac:dyDescent="0.25">
      <c r="A3053" s="42">
        <v>213</v>
      </c>
      <c r="B3053" s="43">
        <v>1792.16</v>
      </c>
    </row>
    <row r="3054" spans="1:2" x14ac:dyDescent="0.25">
      <c r="A3054" s="42">
        <v>521</v>
      </c>
      <c r="B3054" s="43">
        <v>192.06</v>
      </c>
    </row>
    <row r="3055" spans="1:2" x14ac:dyDescent="0.25">
      <c r="A3055" s="42">
        <v>569</v>
      </c>
      <c r="B3055" s="43">
        <v>310</v>
      </c>
    </row>
    <row r="3056" spans="1:2" x14ac:dyDescent="0.25">
      <c r="A3056" s="42">
        <v>559</v>
      </c>
      <c r="B3056" s="43">
        <v>280</v>
      </c>
    </row>
    <row r="3057" spans="1:2" x14ac:dyDescent="0.25">
      <c r="A3057" s="42">
        <v>677</v>
      </c>
      <c r="B3057" s="43">
        <v>62.23</v>
      </c>
    </row>
    <row r="3058" spans="1:2" x14ac:dyDescent="0.25">
      <c r="A3058" s="42">
        <v>1209</v>
      </c>
      <c r="B3058" s="43">
        <v>98</v>
      </c>
    </row>
    <row r="3059" spans="1:2" x14ac:dyDescent="0.25">
      <c r="A3059" s="42">
        <v>1215</v>
      </c>
      <c r="B3059" s="43">
        <v>98</v>
      </c>
    </row>
    <row r="3060" spans="1:2" x14ac:dyDescent="0.25">
      <c r="B3060" s="43"/>
    </row>
    <row r="3061" spans="1:2" x14ac:dyDescent="0.25">
      <c r="B3061" s="43"/>
    </row>
    <row r="3062" spans="1:2" x14ac:dyDescent="0.25">
      <c r="B3062" s="43"/>
    </row>
    <row r="3063" spans="1:2" x14ac:dyDescent="0.25">
      <c r="B3063" s="43"/>
    </row>
    <row r="3064" spans="1:2" x14ac:dyDescent="0.25">
      <c r="B3064" s="43"/>
    </row>
    <row r="3065" spans="1:2" x14ac:dyDescent="0.25">
      <c r="B3065" s="43"/>
    </row>
    <row r="3066" spans="1:2" x14ac:dyDescent="0.25">
      <c r="B3066" s="43"/>
    </row>
    <row r="3067" spans="1:2" x14ac:dyDescent="0.25">
      <c r="B3067" s="43"/>
    </row>
    <row r="3068" spans="1:2" x14ac:dyDescent="0.25">
      <c r="B3068" s="43"/>
    </row>
    <row r="3069" spans="1:2" x14ac:dyDescent="0.25">
      <c r="B3069" s="43"/>
    </row>
    <row r="3070" spans="1:2" x14ac:dyDescent="0.25">
      <c r="B3070" s="43"/>
    </row>
    <row r="3071" spans="1:2" x14ac:dyDescent="0.25">
      <c r="B3071" s="43"/>
    </row>
    <row r="3072" spans="1:2" x14ac:dyDescent="0.25">
      <c r="B3072" s="43"/>
    </row>
    <row r="3073" spans="2:2" x14ac:dyDescent="0.25">
      <c r="B3073" s="43"/>
    </row>
    <row r="3074" spans="2:2" x14ac:dyDescent="0.25">
      <c r="B3074" s="43"/>
    </row>
    <row r="3075" spans="2:2" x14ac:dyDescent="0.25">
      <c r="B3075" s="43"/>
    </row>
    <row r="3076" spans="2:2" x14ac:dyDescent="0.25">
      <c r="B3076" s="43"/>
    </row>
    <row r="3077" spans="2:2" x14ac:dyDescent="0.25">
      <c r="B3077" s="43"/>
    </row>
    <row r="3078" spans="2:2" x14ac:dyDescent="0.25">
      <c r="B3078" s="43"/>
    </row>
    <row r="3079" spans="2:2" x14ac:dyDescent="0.25">
      <c r="B3079" s="43"/>
    </row>
    <row r="3080" spans="2:2" x14ac:dyDescent="0.25">
      <c r="B3080" s="43"/>
    </row>
    <row r="3081" spans="2:2" x14ac:dyDescent="0.25">
      <c r="B3081" s="43"/>
    </row>
    <row r="3082" spans="2:2" x14ac:dyDescent="0.25">
      <c r="B3082" s="43"/>
    </row>
    <row r="3083" spans="2:2" x14ac:dyDescent="0.25">
      <c r="B3083" s="43"/>
    </row>
    <row r="3084" spans="2:2" x14ac:dyDescent="0.25">
      <c r="B3084" s="43"/>
    </row>
    <row r="3085" spans="2:2" x14ac:dyDescent="0.25">
      <c r="B3085" s="43"/>
    </row>
    <row r="3086" spans="2:2" x14ac:dyDescent="0.25">
      <c r="B3086" s="43"/>
    </row>
    <row r="3087" spans="2:2" x14ac:dyDescent="0.25">
      <c r="B3087" s="43"/>
    </row>
    <row r="3088" spans="2:2" x14ac:dyDescent="0.25">
      <c r="B3088" s="43"/>
    </row>
    <row r="3089" spans="2:2" x14ac:dyDescent="0.25">
      <c r="B3089" s="43"/>
    </row>
    <row r="3090" spans="2:2" x14ac:dyDescent="0.25">
      <c r="B3090" s="43"/>
    </row>
    <row r="3091" spans="2:2" x14ac:dyDescent="0.25">
      <c r="B3091" s="43"/>
    </row>
    <row r="3092" spans="2:2" x14ac:dyDescent="0.25">
      <c r="B3092" s="43"/>
    </row>
    <row r="3093" spans="2:2" x14ac:dyDescent="0.25">
      <c r="B3093" s="43"/>
    </row>
    <row r="3094" spans="2:2" x14ac:dyDescent="0.25">
      <c r="B3094" s="43"/>
    </row>
    <row r="3095" spans="2:2" x14ac:dyDescent="0.25">
      <c r="B3095" s="43"/>
    </row>
    <row r="3096" spans="2:2" x14ac:dyDescent="0.25">
      <c r="B3096" s="43"/>
    </row>
    <row r="3097" spans="2:2" x14ac:dyDescent="0.25">
      <c r="B3097" s="43"/>
    </row>
    <row r="3098" spans="2:2" x14ac:dyDescent="0.25">
      <c r="B3098" s="43"/>
    </row>
    <row r="3099" spans="2:2" x14ac:dyDescent="0.25">
      <c r="B3099" s="43"/>
    </row>
    <row r="3100" spans="2:2" x14ac:dyDescent="0.25">
      <c r="B3100" s="43"/>
    </row>
    <row r="3101" spans="2:2" x14ac:dyDescent="0.25">
      <c r="B3101" s="43"/>
    </row>
    <row r="3102" spans="2:2" x14ac:dyDescent="0.25">
      <c r="B3102" s="43"/>
    </row>
    <row r="3103" spans="2:2" x14ac:dyDescent="0.25">
      <c r="B3103" s="43"/>
    </row>
    <row r="3104" spans="2:2" x14ac:dyDescent="0.25">
      <c r="B3104" s="43"/>
    </row>
    <row r="3105" spans="2:2" x14ac:dyDescent="0.25">
      <c r="B3105" s="43"/>
    </row>
    <row r="3106" spans="2:2" x14ac:dyDescent="0.25">
      <c r="B3106" s="43"/>
    </row>
    <row r="3107" spans="2:2" x14ac:dyDescent="0.25">
      <c r="B3107" s="43"/>
    </row>
    <row r="3108" spans="2:2" x14ac:dyDescent="0.25">
      <c r="B3108" s="43"/>
    </row>
    <row r="3109" spans="2:2" x14ac:dyDescent="0.25">
      <c r="B3109" s="43"/>
    </row>
    <row r="3110" spans="2:2" x14ac:dyDescent="0.25">
      <c r="B3110" s="43"/>
    </row>
    <row r="3111" spans="2:2" x14ac:dyDescent="0.25">
      <c r="B3111" s="43"/>
    </row>
    <row r="3112" spans="2:2" x14ac:dyDescent="0.25">
      <c r="B3112" s="43"/>
    </row>
    <row r="3113" spans="2:2" x14ac:dyDescent="0.25">
      <c r="B3113" s="43"/>
    </row>
    <row r="3114" spans="2:2" x14ac:dyDescent="0.25">
      <c r="B3114" s="43"/>
    </row>
    <row r="3115" spans="2:2" x14ac:dyDescent="0.25">
      <c r="B3115" s="43"/>
    </row>
    <row r="3116" spans="2:2" x14ac:dyDescent="0.25">
      <c r="B3116" s="43"/>
    </row>
    <row r="3117" spans="2:2" x14ac:dyDescent="0.25">
      <c r="B3117" s="43"/>
    </row>
    <row r="3118" spans="2:2" x14ac:dyDescent="0.25">
      <c r="B3118" s="43"/>
    </row>
    <row r="3119" spans="2:2" x14ac:dyDescent="0.25">
      <c r="B3119" s="43"/>
    </row>
    <row r="3120" spans="2:2" x14ac:dyDescent="0.25">
      <c r="B3120" s="43"/>
    </row>
    <row r="3121" spans="2:2" x14ac:dyDescent="0.25">
      <c r="B3121" s="43"/>
    </row>
    <row r="3122" spans="2:2" x14ac:dyDescent="0.25">
      <c r="B3122" s="43"/>
    </row>
    <row r="3123" spans="2:2" x14ac:dyDescent="0.25">
      <c r="B3123" s="43"/>
    </row>
    <row r="3124" spans="2:2" x14ac:dyDescent="0.25">
      <c r="B3124" s="43"/>
    </row>
    <row r="3125" spans="2:2" x14ac:dyDescent="0.25">
      <c r="B3125" s="43"/>
    </row>
    <row r="3126" spans="2:2" x14ac:dyDescent="0.25">
      <c r="B3126" s="43"/>
    </row>
    <row r="3127" spans="2:2" x14ac:dyDescent="0.25">
      <c r="B3127" s="43"/>
    </row>
    <row r="3128" spans="2:2" x14ac:dyDescent="0.25">
      <c r="B3128" s="43"/>
    </row>
    <row r="3129" spans="2:2" x14ac:dyDescent="0.25">
      <c r="B3129" s="43"/>
    </row>
    <row r="3130" spans="2:2" x14ac:dyDescent="0.25">
      <c r="B3130" s="43"/>
    </row>
    <row r="3131" spans="2:2" x14ac:dyDescent="0.25">
      <c r="B3131" s="43"/>
    </row>
    <row r="3132" spans="2:2" x14ac:dyDescent="0.25">
      <c r="B3132" s="43"/>
    </row>
    <row r="3133" spans="2:2" x14ac:dyDescent="0.25">
      <c r="B3133" s="43"/>
    </row>
    <row r="3134" spans="2:2" x14ac:dyDescent="0.25">
      <c r="B3134" s="43"/>
    </row>
    <row r="3135" spans="2:2" x14ac:dyDescent="0.25">
      <c r="B3135" s="43"/>
    </row>
    <row r="3136" spans="2:2" x14ac:dyDescent="0.25">
      <c r="B3136" s="43"/>
    </row>
    <row r="3137" spans="2:2" x14ac:dyDescent="0.25">
      <c r="B3137" s="43"/>
    </row>
    <row r="3138" spans="2:2" x14ac:dyDescent="0.25">
      <c r="B3138" s="43"/>
    </row>
    <row r="3139" spans="2:2" x14ac:dyDescent="0.25">
      <c r="B3139" s="43"/>
    </row>
    <row r="3140" spans="2:2" x14ac:dyDescent="0.25">
      <c r="B3140" s="43"/>
    </row>
    <row r="3141" spans="2:2" x14ac:dyDescent="0.25">
      <c r="B3141" s="43"/>
    </row>
    <row r="3142" spans="2:2" x14ac:dyDescent="0.25">
      <c r="B3142" s="43"/>
    </row>
    <row r="3143" spans="2:2" x14ac:dyDescent="0.25">
      <c r="B3143" s="43"/>
    </row>
    <row r="3144" spans="2:2" x14ac:dyDescent="0.25">
      <c r="B3144" s="43"/>
    </row>
    <row r="3145" spans="2:2" x14ac:dyDescent="0.25">
      <c r="B3145" s="43"/>
    </row>
    <row r="3146" spans="2:2" x14ac:dyDescent="0.25">
      <c r="B3146" s="43"/>
    </row>
    <row r="3147" spans="2:2" x14ac:dyDescent="0.25">
      <c r="B3147" s="43"/>
    </row>
    <row r="3148" spans="2:2" x14ac:dyDescent="0.25">
      <c r="B3148" s="43"/>
    </row>
    <row r="3149" spans="2:2" x14ac:dyDescent="0.25">
      <c r="B3149" s="43"/>
    </row>
    <row r="3150" spans="2:2" x14ac:dyDescent="0.25">
      <c r="B3150" s="43"/>
    </row>
    <row r="3151" spans="2:2" x14ac:dyDescent="0.25">
      <c r="B3151" s="43"/>
    </row>
    <row r="3152" spans="2:2" x14ac:dyDescent="0.25">
      <c r="B3152" s="43"/>
    </row>
    <row r="3153" spans="2:2" x14ac:dyDescent="0.25">
      <c r="B3153" s="43"/>
    </row>
    <row r="3154" spans="2:2" x14ac:dyDescent="0.25">
      <c r="B3154" s="43"/>
    </row>
    <row r="3155" spans="2:2" x14ac:dyDescent="0.25">
      <c r="B3155" s="43"/>
    </row>
    <row r="3156" spans="2:2" x14ac:dyDescent="0.25">
      <c r="B3156" s="43"/>
    </row>
    <row r="3157" spans="2:2" x14ac:dyDescent="0.25">
      <c r="B3157" s="43"/>
    </row>
    <row r="3158" spans="2:2" x14ac:dyDescent="0.25">
      <c r="B3158" s="43"/>
    </row>
    <row r="3159" spans="2:2" x14ac:dyDescent="0.25">
      <c r="B3159" s="43"/>
    </row>
    <row r="3160" spans="2:2" x14ac:dyDescent="0.25">
      <c r="B3160" s="43"/>
    </row>
    <row r="3161" spans="2:2" x14ac:dyDescent="0.25">
      <c r="B3161" s="43"/>
    </row>
    <row r="3162" spans="2:2" x14ac:dyDescent="0.25">
      <c r="B3162" s="43"/>
    </row>
    <row r="3163" spans="2:2" x14ac:dyDescent="0.25">
      <c r="B3163" s="43"/>
    </row>
    <row r="3164" spans="2:2" x14ac:dyDescent="0.25">
      <c r="B3164" s="43"/>
    </row>
    <row r="3165" spans="2:2" x14ac:dyDescent="0.25">
      <c r="B3165" s="43"/>
    </row>
    <row r="3166" spans="2:2" x14ac:dyDescent="0.25">
      <c r="B3166" s="43"/>
    </row>
    <row r="3167" spans="2:2" x14ac:dyDescent="0.25">
      <c r="B3167" s="43"/>
    </row>
    <row r="3168" spans="2:2" x14ac:dyDescent="0.25">
      <c r="B3168" s="43"/>
    </row>
    <row r="3169" spans="2:2" x14ac:dyDescent="0.25">
      <c r="B3169" s="43"/>
    </row>
    <row r="3170" spans="2:2" x14ac:dyDescent="0.25">
      <c r="B3170" s="43"/>
    </row>
    <row r="3171" spans="2:2" x14ac:dyDescent="0.25">
      <c r="B3171" s="43"/>
    </row>
    <row r="3172" spans="2:2" x14ac:dyDescent="0.25">
      <c r="B3172" s="43"/>
    </row>
    <row r="3173" spans="2:2" x14ac:dyDescent="0.25">
      <c r="B3173" s="43"/>
    </row>
    <row r="3174" spans="2:2" x14ac:dyDescent="0.25">
      <c r="B3174" s="43"/>
    </row>
    <row r="3175" spans="2:2" x14ac:dyDescent="0.25">
      <c r="B3175" s="43"/>
    </row>
    <row r="3176" spans="2:2" x14ac:dyDescent="0.25">
      <c r="B3176" s="43"/>
    </row>
    <row r="3177" spans="2:2" x14ac:dyDescent="0.25">
      <c r="B3177" s="43"/>
    </row>
    <row r="3178" spans="2:2" x14ac:dyDescent="0.25">
      <c r="B3178" s="43"/>
    </row>
    <row r="3179" spans="2:2" x14ac:dyDescent="0.25">
      <c r="B3179" s="43"/>
    </row>
    <row r="3180" spans="2:2" x14ac:dyDescent="0.25">
      <c r="B3180" s="43"/>
    </row>
    <row r="3181" spans="2:2" x14ac:dyDescent="0.25">
      <c r="B3181" s="43"/>
    </row>
    <row r="3182" spans="2:2" x14ac:dyDescent="0.25">
      <c r="B3182" s="43"/>
    </row>
    <row r="3183" spans="2:2" x14ac:dyDescent="0.25">
      <c r="B3183" s="43"/>
    </row>
    <row r="3184" spans="2:2" x14ac:dyDescent="0.25">
      <c r="B3184" s="43"/>
    </row>
    <row r="3185" spans="2:2" x14ac:dyDescent="0.25">
      <c r="B3185" s="43"/>
    </row>
    <row r="3186" spans="2:2" x14ac:dyDescent="0.25">
      <c r="B3186" s="43"/>
    </row>
    <row r="3187" spans="2:2" x14ac:dyDescent="0.25">
      <c r="B3187" s="43"/>
    </row>
    <row r="3188" spans="2:2" x14ac:dyDescent="0.25">
      <c r="B3188" s="43"/>
    </row>
    <row r="3189" spans="2:2" x14ac:dyDescent="0.25">
      <c r="B3189" s="43"/>
    </row>
    <row r="3190" spans="2:2" x14ac:dyDescent="0.25">
      <c r="B3190" s="43"/>
    </row>
    <row r="3191" spans="2:2" x14ac:dyDescent="0.25">
      <c r="B3191" s="43"/>
    </row>
    <row r="3192" spans="2:2" x14ac:dyDescent="0.25">
      <c r="B3192" s="43"/>
    </row>
    <row r="3193" spans="2:2" x14ac:dyDescent="0.25">
      <c r="B3193" s="43"/>
    </row>
    <row r="3194" spans="2:2" x14ac:dyDescent="0.25">
      <c r="B3194" s="43"/>
    </row>
    <row r="3195" spans="2:2" x14ac:dyDescent="0.25">
      <c r="B3195" s="43"/>
    </row>
    <row r="3196" spans="2:2" x14ac:dyDescent="0.25">
      <c r="B3196" s="43"/>
    </row>
    <row r="3197" spans="2:2" x14ac:dyDescent="0.25">
      <c r="B3197" s="43"/>
    </row>
    <row r="3198" spans="2:2" x14ac:dyDescent="0.25">
      <c r="B3198" s="43"/>
    </row>
    <row r="3199" spans="2:2" x14ac:dyDescent="0.25">
      <c r="B3199" s="43"/>
    </row>
    <row r="3200" spans="2:2" x14ac:dyDescent="0.25">
      <c r="B3200" s="43"/>
    </row>
    <row r="3201" spans="2:2" x14ac:dyDescent="0.25">
      <c r="B3201" s="43"/>
    </row>
    <row r="3202" spans="2:2" x14ac:dyDescent="0.25">
      <c r="B3202" s="43"/>
    </row>
    <row r="3203" spans="2:2" x14ac:dyDescent="0.25">
      <c r="B3203" s="43"/>
    </row>
    <row r="3204" spans="2:2" x14ac:dyDescent="0.25">
      <c r="B3204" s="43"/>
    </row>
    <row r="3205" spans="2:2" x14ac:dyDescent="0.25">
      <c r="B3205" s="43"/>
    </row>
    <row r="3206" spans="2:2" x14ac:dyDescent="0.25">
      <c r="B3206" s="43"/>
    </row>
    <row r="3207" spans="2:2" x14ac:dyDescent="0.25">
      <c r="B3207" s="43"/>
    </row>
    <row r="3208" spans="2:2" x14ac:dyDescent="0.25">
      <c r="B3208" s="43"/>
    </row>
    <row r="3209" spans="2:2" x14ac:dyDescent="0.25">
      <c r="B3209" s="43"/>
    </row>
    <row r="3210" spans="2:2" x14ac:dyDescent="0.25">
      <c r="B3210" s="43"/>
    </row>
    <row r="3211" spans="2:2" x14ac:dyDescent="0.25">
      <c r="B3211" s="43"/>
    </row>
    <row r="3212" spans="2:2" x14ac:dyDescent="0.25">
      <c r="B3212" s="43"/>
    </row>
    <row r="3213" spans="2:2" x14ac:dyDescent="0.25">
      <c r="B3213" s="43"/>
    </row>
    <row r="3214" spans="2:2" x14ac:dyDescent="0.25">
      <c r="B3214" s="43"/>
    </row>
    <row r="3215" spans="2:2" x14ac:dyDescent="0.25">
      <c r="B3215" s="43"/>
    </row>
    <row r="3216" spans="2:2" x14ac:dyDescent="0.25">
      <c r="B3216" s="43"/>
    </row>
    <row r="3217" spans="2:2" x14ac:dyDescent="0.25">
      <c r="B3217" s="43"/>
    </row>
    <row r="3218" spans="2:2" x14ac:dyDescent="0.25">
      <c r="B3218" s="43"/>
    </row>
    <row r="3219" spans="2:2" x14ac:dyDescent="0.25">
      <c r="B3219" s="43"/>
    </row>
    <row r="3220" spans="2:2" x14ac:dyDescent="0.25">
      <c r="B3220" s="43"/>
    </row>
    <row r="3221" spans="2:2" x14ac:dyDescent="0.25">
      <c r="B3221" s="43"/>
    </row>
    <row r="3222" spans="2:2" x14ac:dyDescent="0.25">
      <c r="B3222" s="43"/>
    </row>
    <row r="3223" spans="2:2" x14ac:dyDescent="0.25">
      <c r="B3223" s="43"/>
    </row>
    <row r="3224" spans="2:2" x14ac:dyDescent="0.25">
      <c r="B3224" s="43"/>
    </row>
    <row r="3225" spans="2:2" x14ac:dyDescent="0.25">
      <c r="B3225" s="43"/>
    </row>
    <row r="3226" spans="2:2" x14ac:dyDescent="0.25">
      <c r="B3226" s="43"/>
    </row>
    <row r="3227" spans="2:2" x14ac:dyDescent="0.25">
      <c r="B3227" s="43"/>
    </row>
    <row r="3228" spans="2:2" x14ac:dyDescent="0.25">
      <c r="B3228" s="43"/>
    </row>
    <row r="3229" spans="2:2" x14ac:dyDescent="0.25">
      <c r="B3229" s="43"/>
    </row>
    <row r="3230" spans="2:2" x14ac:dyDescent="0.25">
      <c r="B3230" s="43"/>
    </row>
    <row r="3231" spans="2:2" x14ac:dyDescent="0.25">
      <c r="B3231" s="43"/>
    </row>
    <row r="3232" spans="2:2" x14ac:dyDescent="0.25">
      <c r="B3232" s="43"/>
    </row>
    <row r="3233" spans="2:2" x14ac:dyDescent="0.25">
      <c r="B3233" s="43"/>
    </row>
    <row r="3234" spans="2:2" x14ac:dyDescent="0.25">
      <c r="B3234" s="43"/>
    </row>
    <row r="3235" spans="2:2" x14ac:dyDescent="0.25">
      <c r="B3235" s="43"/>
    </row>
    <row r="3236" spans="2:2" x14ac:dyDescent="0.25">
      <c r="B3236" s="43"/>
    </row>
    <row r="3237" spans="2:2" x14ac:dyDescent="0.25">
      <c r="B3237" s="43"/>
    </row>
    <row r="3238" spans="2:2" x14ac:dyDescent="0.25">
      <c r="B3238" s="43"/>
    </row>
    <row r="3239" spans="2:2" x14ac:dyDescent="0.25">
      <c r="B3239" s="43"/>
    </row>
    <row r="3240" spans="2:2" x14ac:dyDescent="0.25">
      <c r="B3240" s="43"/>
    </row>
    <row r="3241" spans="2:2" x14ac:dyDescent="0.25">
      <c r="B3241" s="43"/>
    </row>
    <row r="3242" spans="2:2" x14ac:dyDescent="0.25">
      <c r="B3242" s="43"/>
    </row>
    <row r="3243" spans="2:2" x14ac:dyDescent="0.25">
      <c r="B3243" s="43"/>
    </row>
    <row r="3244" spans="2:2" x14ac:dyDescent="0.25">
      <c r="B3244" s="43"/>
    </row>
    <row r="3245" spans="2:2" x14ac:dyDescent="0.25">
      <c r="B3245" s="43"/>
    </row>
    <row r="3246" spans="2:2" x14ac:dyDescent="0.25">
      <c r="B3246" s="43"/>
    </row>
    <row r="3247" spans="2:2" x14ac:dyDescent="0.25">
      <c r="B3247" s="43"/>
    </row>
    <row r="3248" spans="2:2" x14ac:dyDescent="0.25">
      <c r="B3248" s="43"/>
    </row>
    <row r="3249" spans="2:2" x14ac:dyDescent="0.25">
      <c r="B3249" s="43"/>
    </row>
    <row r="3250" spans="2:2" x14ac:dyDescent="0.25">
      <c r="B3250" s="43"/>
    </row>
    <row r="3251" spans="2:2" x14ac:dyDescent="0.25">
      <c r="B3251" s="43"/>
    </row>
    <row r="3252" spans="2:2" x14ac:dyDescent="0.25">
      <c r="B3252" s="43"/>
    </row>
    <row r="3253" spans="2:2" x14ac:dyDescent="0.25">
      <c r="B3253" s="43"/>
    </row>
    <row r="3254" spans="2:2" x14ac:dyDescent="0.25">
      <c r="B3254" s="43"/>
    </row>
    <row r="3255" spans="2:2" x14ac:dyDescent="0.25">
      <c r="B3255" s="43"/>
    </row>
    <row r="3256" spans="2:2" x14ac:dyDescent="0.25">
      <c r="B3256" s="43"/>
    </row>
    <row r="3257" spans="2:2" x14ac:dyDescent="0.25">
      <c r="B3257" s="43"/>
    </row>
    <row r="3258" spans="2:2" x14ac:dyDescent="0.25">
      <c r="B3258" s="43"/>
    </row>
    <row r="3259" spans="2:2" x14ac:dyDescent="0.25">
      <c r="B3259" s="43"/>
    </row>
    <row r="3260" spans="2:2" x14ac:dyDescent="0.25">
      <c r="B3260" s="43"/>
    </row>
    <row r="3261" spans="2:2" x14ac:dyDescent="0.25">
      <c r="B3261" s="43"/>
    </row>
    <row r="3262" spans="2:2" x14ac:dyDescent="0.25">
      <c r="B3262" s="43"/>
    </row>
    <row r="3263" spans="2:2" x14ac:dyDescent="0.25">
      <c r="B3263" s="43"/>
    </row>
    <row r="3264" spans="2:2" x14ac:dyDescent="0.25">
      <c r="B3264" s="43"/>
    </row>
    <row r="3265" spans="2:2" x14ac:dyDescent="0.25">
      <c r="B3265" s="43"/>
    </row>
    <row r="3266" spans="2:2" x14ac:dyDescent="0.25">
      <c r="B3266" s="43"/>
    </row>
    <row r="3267" spans="2:2" x14ac:dyDescent="0.25">
      <c r="B3267" s="43"/>
    </row>
    <row r="3268" spans="2:2" x14ac:dyDescent="0.25">
      <c r="B3268" s="43"/>
    </row>
    <row r="3269" spans="2:2" x14ac:dyDescent="0.25">
      <c r="B3269" s="43"/>
    </row>
    <row r="3270" spans="2:2" x14ac:dyDescent="0.25">
      <c r="B3270" s="43"/>
    </row>
    <row r="3271" spans="2:2" x14ac:dyDescent="0.25">
      <c r="B3271" s="43"/>
    </row>
    <row r="3272" spans="2:2" x14ac:dyDescent="0.25">
      <c r="B3272" s="43"/>
    </row>
    <row r="3273" spans="2:2" x14ac:dyDescent="0.25">
      <c r="B3273" s="43"/>
    </row>
    <row r="3274" spans="2:2" x14ac:dyDescent="0.25">
      <c r="B3274" s="43"/>
    </row>
    <row r="3275" spans="2:2" x14ac:dyDescent="0.25">
      <c r="B3275" s="43"/>
    </row>
    <row r="3276" spans="2:2" x14ac:dyDescent="0.25">
      <c r="B3276" s="43"/>
    </row>
    <row r="3277" spans="2:2" x14ac:dyDescent="0.25">
      <c r="B3277" s="43"/>
    </row>
    <row r="3278" spans="2:2" x14ac:dyDescent="0.25">
      <c r="B3278" s="43"/>
    </row>
    <row r="3279" spans="2:2" x14ac:dyDescent="0.25">
      <c r="B3279" s="43"/>
    </row>
    <row r="3280" spans="2:2" x14ac:dyDescent="0.25">
      <c r="B3280" s="43"/>
    </row>
    <row r="3281" spans="2:2" x14ac:dyDescent="0.25">
      <c r="B3281" s="43"/>
    </row>
    <row r="3282" spans="2:2" x14ac:dyDescent="0.25">
      <c r="B3282" s="43"/>
    </row>
    <row r="3283" spans="2:2" x14ac:dyDescent="0.25">
      <c r="B3283" s="43"/>
    </row>
    <row r="3284" spans="2:2" x14ac:dyDescent="0.25">
      <c r="B3284" s="43"/>
    </row>
    <row r="3285" spans="2:2" x14ac:dyDescent="0.25">
      <c r="B3285" s="43"/>
    </row>
    <row r="3286" spans="2:2" x14ac:dyDescent="0.25">
      <c r="B3286" s="43"/>
    </row>
    <row r="3287" spans="2:2" x14ac:dyDescent="0.25">
      <c r="B3287" s="43"/>
    </row>
    <row r="3288" spans="2:2" x14ac:dyDescent="0.25">
      <c r="B3288" s="43"/>
    </row>
    <row r="3289" spans="2:2" x14ac:dyDescent="0.25">
      <c r="B3289" s="43"/>
    </row>
    <row r="3290" spans="2:2" x14ac:dyDescent="0.25">
      <c r="B3290" s="43"/>
    </row>
    <row r="3291" spans="2:2" x14ac:dyDescent="0.25">
      <c r="B3291" s="43"/>
    </row>
    <row r="3292" spans="2:2" x14ac:dyDescent="0.25">
      <c r="B3292" s="43"/>
    </row>
    <row r="3293" spans="2:2" x14ac:dyDescent="0.25">
      <c r="B3293" s="43"/>
    </row>
    <row r="3294" spans="2:2" x14ac:dyDescent="0.25">
      <c r="B3294" s="43"/>
    </row>
    <row r="3295" spans="2:2" x14ac:dyDescent="0.25">
      <c r="B3295" s="43"/>
    </row>
    <row r="3296" spans="2:2" x14ac:dyDescent="0.25">
      <c r="B3296" s="43"/>
    </row>
    <row r="3297" spans="2:2" x14ac:dyDescent="0.25">
      <c r="B3297" s="43"/>
    </row>
    <row r="3298" spans="2:2" x14ac:dyDescent="0.25">
      <c r="B3298" s="43"/>
    </row>
    <row r="3299" spans="2:2" x14ac:dyDescent="0.25">
      <c r="B3299" s="43"/>
    </row>
    <row r="3300" spans="2:2" x14ac:dyDescent="0.25">
      <c r="B3300" s="43"/>
    </row>
    <row r="3301" spans="2:2" x14ac:dyDescent="0.25">
      <c r="B3301" s="43"/>
    </row>
    <row r="3302" spans="2:2" x14ac:dyDescent="0.25">
      <c r="B3302" s="43"/>
    </row>
    <row r="3303" spans="2:2" x14ac:dyDescent="0.25">
      <c r="B3303" s="43"/>
    </row>
    <row r="3304" spans="2:2" x14ac:dyDescent="0.25">
      <c r="B3304" s="43"/>
    </row>
    <row r="3305" spans="2:2" x14ac:dyDescent="0.25">
      <c r="B3305" s="43"/>
    </row>
    <row r="3306" spans="2:2" x14ac:dyDescent="0.25">
      <c r="B3306" s="43"/>
    </row>
    <row r="3307" spans="2:2" x14ac:dyDescent="0.25">
      <c r="B3307" s="43"/>
    </row>
    <row r="3308" spans="2:2" x14ac:dyDescent="0.25">
      <c r="B3308" s="43"/>
    </row>
    <row r="3309" spans="2:2" x14ac:dyDescent="0.25">
      <c r="B3309" s="43"/>
    </row>
    <row r="3310" spans="2:2" x14ac:dyDescent="0.25">
      <c r="B3310" s="43"/>
    </row>
    <row r="3311" spans="2:2" x14ac:dyDescent="0.25">
      <c r="B3311" s="43"/>
    </row>
    <row r="3312" spans="2:2" x14ac:dyDescent="0.25">
      <c r="B3312" s="43"/>
    </row>
    <row r="3313" spans="2:2" x14ac:dyDescent="0.25">
      <c r="B3313" s="43"/>
    </row>
    <row r="3314" spans="2:2" x14ac:dyDescent="0.25">
      <c r="B3314" s="43"/>
    </row>
    <row r="3315" spans="2:2" x14ac:dyDescent="0.25">
      <c r="B3315" s="43"/>
    </row>
    <row r="3316" spans="2:2" x14ac:dyDescent="0.25">
      <c r="B3316" s="43"/>
    </row>
    <row r="3317" spans="2:2" x14ac:dyDescent="0.25">
      <c r="B3317" s="43"/>
    </row>
    <row r="3318" spans="2:2" x14ac:dyDescent="0.25">
      <c r="B3318" s="43"/>
    </row>
    <row r="3319" spans="2:2" x14ac:dyDescent="0.25">
      <c r="B3319" s="43"/>
    </row>
    <row r="3320" spans="2:2" x14ac:dyDescent="0.25">
      <c r="B3320" s="43"/>
    </row>
    <row r="3321" spans="2:2" x14ac:dyDescent="0.25">
      <c r="B3321" s="43"/>
    </row>
    <row r="3322" spans="2:2" x14ac:dyDescent="0.25">
      <c r="B3322" s="43"/>
    </row>
    <row r="3323" spans="2:2" x14ac:dyDescent="0.25">
      <c r="B3323" s="43"/>
    </row>
    <row r="3324" spans="2:2" x14ac:dyDescent="0.25">
      <c r="B3324" s="43"/>
    </row>
    <row r="3325" spans="2:2" x14ac:dyDescent="0.25">
      <c r="B3325" s="43"/>
    </row>
    <row r="3326" spans="2:2" x14ac:dyDescent="0.25">
      <c r="B3326" s="43"/>
    </row>
    <row r="3327" spans="2:2" x14ac:dyDescent="0.25">
      <c r="B3327" s="43"/>
    </row>
    <row r="3328" spans="2:2" x14ac:dyDescent="0.25">
      <c r="B3328" s="43"/>
    </row>
    <row r="3329" spans="2:2" x14ac:dyDescent="0.25">
      <c r="B3329" s="43"/>
    </row>
    <row r="3330" spans="2:2" x14ac:dyDescent="0.25">
      <c r="B3330" s="43"/>
    </row>
    <row r="3331" spans="2:2" x14ac:dyDescent="0.25">
      <c r="B3331" s="43"/>
    </row>
    <row r="3332" spans="2:2" x14ac:dyDescent="0.25">
      <c r="B3332" s="43"/>
    </row>
    <row r="3333" spans="2:2" x14ac:dyDescent="0.25">
      <c r="B3333" s="43"/>
    </row>
    <row r="3334" spans="2:2" x14ac:dyDescent="0.25">
      <c r="B3334" s="43"/>
    </row>
    <row r="3335" spans="2:2" x14ac:dyDescent="0.25">
      <c r="B3335" s="43"/>
    </row>
    <row r="3336" spans="2:2" x14ac:dyDescent="0.25">
      <c r="B3336" s="43"/>
    </row>
    <row r="3337" spans="2:2" x14ac:dyDescent="0.25">
      <c r="B3337" s="43"/>
    </row>
    <row r="3338" spans="2:2" x14ac:dyDescent="0.25">
      <c r="B3338" s="43"/>
    </row>
    <row r="3339" spans="2:2" x14ac:dyDescent="0.25">
      <c r="B3339" s="43"/>
    </row>
    <row r="3340" spans="2:2" x14ac:dyDescent="0.25">
      <c r="B3340" s="43"/>
    </row>
    <row r="3341" spans="2:2" x14ac:dyDescent="0.25">
      <c r="B3341" s="43"/>
    </row>
    <row r="3342" spans="2:2" x14ac:dyDescent="0.25">
      <c r="B3342" s="43"/>
    </row>
    <row r="3343" spans="2:2" x14ac:dyDescent="0.25">
      <c r="B3343" s="43"/>
    </row>
    <row r="3344" spans="2:2" x14ac:dyDescent="0.25">
      <c r="B3344" s="43"/>
    </row>
    <row r="3345" spans="2:2" x14ac:dyDescent="0.25">
      <c r="B3345" s="43"/>
    </row>
    <row r="3346" spans="2:2" x14ac:dyDescent="0.25">
      <c r="B3346" s="43"/>
    </row>
    <row r="3347" spans="2:2" x14ac:dyDescent="0.25">
      <c r="B3347" s="43"/>
    </row>
    <row r="3348" spans="2:2" x14ac:dyDescent="0.25">
      <c r="B3348" s="43"/>
    </row>
    <row r="3349" spans="2:2" x14ac:dyDescent="0.25">
      <c r="B3349" s="43"/>
    </row>
    <row r="3350" spans="2:2" x14ac:dyDescent="0.25">
      <c r="B3350" s="43"/>
    </row>
    <row r="3351" spans="2:2" x14ac:dyDescent="0.25">
      <c r="B3351" s="43"/>
    </row>
    <row r="3352" spans="2:2" x14ac:dyDescent="0.25">
      <c r="B3352" s="43"/>
    </row>
    <row r="3353" spans="2:2" x14ac:dyDescent="0.25">
      <c r="B3353" s="43"/>
    </row>
    <row r="3354" spans="2:2" x14ac:dyDescent="0.25">
      <c r="B3354" s="43"/>
    </row>
    <row r="3355" spans="2:2" x14ac:dyDescent="0.25">
      <c r="B3355" s="43"/>
    </row>
    <row r="3356" spans="2:2" x14ac:dyDescent="0.25">
      <c r="B3356" s="43"/>
    </row>
    <row r="3357" spans="2:2" x14ac:dyDescent="0.25">
      <c r="B3357" s="43"/>
    </row>
    <row r="3358" spans="2:2" x14ac:dyDescent="0.25">
      <c r="B3358" s="43"/>
    </row>
    <row r="3359" spans="2:2" x14ac:dyDescent="0.25">
      <c r="B3359" s="43"/>
    </row>
    <row r="3360" spans="2:2" x14ac:dyDescent="0.25">
      <c r="B3360" s="43"/>
    </row>
    <row r="3361" spans="2:2" x14ac:dyDescent="0.25">
      <c r="B3361" s="43"/>
    </row>
    <row r="3362" spans="2:2" x14ac:dyDescent="0.25">
      <c r="B3362" s="43"/>
    </row>
    <row r="3363" spans="2:2" x14ac:dyDescent="0.25">
      <c r="B3363" s="43"/>
    </row>
    <row r="3364" spans="2:2" x14ac:dyDescent="0.25">
      <c r="B3364" s="43"/>
    </row>
    <row r="3365" spans="2:2" x14ac:dyDescent="0.25">
      <c r="B3365" s="43"/>
    </row>
    <row r="3366" spans="2:2" x14ac:dyDescent="0.25">
      <c r="B3366" s="43"/>
    </row>
    <row r="3367" spans="2:2" x14ac:dyDescent="0.25">
      <c r="B3367" s="43"/>
    </row>
    <row r="3368" spans="2:2" x14ac:dyDescent="0.25">
      <c r="B3368" s="43"/>
    </row>
    <row r="3369" spans="2:2" x14ac:dyDescent="0.25">
      <c r="B3369" s="43"/>
    </row>
    <row r="3370" spans="2:2" x14ac:dyDescent="0.25">
      <c r="B3370" s="43"/>
    </row>
    <row r="3371" spans="2:2" x14ac:dyDescent="0.25">
      <c r="B3371" s="43"/>
    </row>
    <row r="3372" spans="2:2" x14ac:dyDescent="0.25">
      <c r="B3372" s="43"/>
    </row>
    <row r="3373" spans="2:2" x14ac:dyDescent="0.25">
      <c r="B3373" s="43"/>
    </row>
    <row r="3374" spans="2:2" x14ac:dyDescent="0.25">
      <c r="B3374" s="43"/>
    </row>
    <row r="3375" spans="2:2" x14ac:dyDescent="0.25">
      <c r="B3375" s="43"/>
    </row>
    <row r="3376" spans="2:2" x14ac:dyDescent="0.25">
      <c r="B3376" s="43"/>
    </row>
    <row r="3377" spans="2:2" x14ac:dyDescent="0.25">
      <c r="B3377" s="43"/>
    </row>
    <row r="3378" spans="2:2" x14ac:dyDescent="0.25">
      <c r="B3378" s="43"/>
    </row>
    <row r="3379" spans="2:2" x14ac:dyDescent="0.25">
      <c r="B3379" s="43"/>
    </row>
    <row r="3380" spans="2:2" x14ac:dyDescent="0.25">
      <c r="B3380" s="43"/>
    </row>
    <row r="3381" spans="2:2" x14ac:dyDescent="0.25">
      <c r="B3381" s="43"/>
    </row>
    <row r="3382" spans="2:2" x14ac:dyDescent="0.25">
      <c r="B3382" s="43"/>
    </row>
    <row r="3383" spans="2:2" x14ac:dyDescent="0.25">
      <c r="B3383" s="43"/>
    </row>
    <row r="3384" spans="2:2" x14ac:dyDescent="0.25">
      <c r="B3384" s="43"/>
    </row>
    <row r="3385" spans="2:2" x14ac:dyDescent="0.25">
      <c r="B3385" s="43"/>
    </row>
    <row r="3386" spans="2:2" x14ac:dyDescent="0.25">
      <c r="B3386" s="43"/>
    </row>
    <row r="3387" spans="2:2" x14ac:dyDescent="0.25">
      <c r="B3387" s="43"/>
    </row>
    <row r="3388" spans="2:2" x14ac:dyDescent="0.25">
      <c r="B3388" s="43"/>
    </row>
    <row r="3389" spans="2:2" x14ac:dyDescent="0.25">
      <c r="B3389" s="43"/>
    </row>
    <row r="3390" spans="2:2" x14ac:dyDescent="0.25">
      <c r="B3390" s="43"/>
    </row>
    <row r="3391" spans="2:2" x14ac:dyDescent="0.25">
      <c r="B3391" s="43"/>
    </row>
    <row r="3392" spans="2:2" x14ac:dyDescent="0.25">
      <c r="B3392" s="43"/>
    </row>
    <row r="3393" spans="2:2" x14ac:dyDescent="0.25">
      <c r="B3393" s="43"/>
    </row>
    <row r="3394" spans="2:2" x14ac:dyDescent="0.25">
      <c r="B3394" s="43"/>
    </row>
    <row r="3395" spans="2:2" x14ac:dyDescent="0.25">
      <c r="B3395" s="43"/>
    </row>
    <row r="3396" spans="2:2" x14ac:dyDescent="0.25">
      <c r="B3396" s="43"/>
    </row>
    <row r="3397" spans="2:2" x14ac:dyDescent="0.25">
      <c r="B3397" s="43"/>
    </row>
    <row r="3398" spans="2:2" x14ac:dyDescent="0.25">
      <c r="B3398" s="43"/>
    </row>
    <row r="3399" spans="2:2" x14ac:dyDescent="0.25">
      <c r="B3399" s="43"/>
    </row>
    <row r="3400" spans="2:2" x14ac:dyDescent="0.25">
      <c r="B3400" s="43"/>
    </row>
    <row r="3401" spans="2:2" x14ac:dyDescent="0.25">
      <c r="B3401" s="43"/>
    </row>
    <row r="3402" spans="2:2" x14ac:dyDescent="0.25">
      <c r="B3402" s="43"/>
    </row>
    <row r="3403" spans="2:2" x14ac:dyDescent="0.25">
      <c r="B3403" s="43"/>
    </row>
    <row r="3404" spans="2:2" x14ac:dyDescent="0.25">
      <c r="B3404" s="43"/>
    </row>
    <row r="3405" spans="2:2" x14ac:dyDescent="0.25">
      <c r="B3405" s="43"/>
    </row>
    <row r="3406" spans="2:2" x14ac:dyDescent="0.25">
      <c r="B3406" s="43"/>
    </row>
    <row r="3407" spans="2:2" x14ac:dyDescent="0.25">
      <c r="B3407" s="43"/>
    </row>
    <row r="3408" spans="2:2" x14ac:dyDescent="0.25">
      <c r="B3408" s="43"/>
    </row>
    <row r="3409" spans="2:2" x14ac:dyDescent="0.25">
      <c r="B3409" s="43"/>
    </row>
    <row r="3410" spans="2:2" x14ac:dyDescent="0.25">
      <c r="B3410" s="43"/>
    </row>
    <row r="3411" spans="2:2" x14ac:dyDescent="0.25">
      <c r="B3411" s="43"/>
    </row>
    <row r="3412" spans="2:2" x14ac:dyDescent="0.25">
      <c r="B3412" s="43"/>
    </row>
    <row r="3413" spans="2:2" x14ac:dyDescent="0.25">
      <c r="B3413" s="43"/>
    </row>
    <row r="3414" spans="2:2" x14ac:dyDescent="0.25">
      <c r="B3414" s="43"/>
    </row>
    <row r="3415" spans="2:2" x14ac:dyDescent="0.25">
      <c r="B3415" s="43"/>
    </row>
    <row r="3416" spans="2:2" x14ac:dyDescent="0.25">
      <c r="B3416" s="43"/>
    </row>
    <row r="3417" spans="2:2" x14ac:dyDescent="0.25">
      <c r="B3417" s="43"/>
    </row>
    <row r="3418" spans="2:2" x14ac:dyDescent="0.25">
      <c r="B3418" s="43"/>
    </row>
    <row r="3419" spans="2:2" x14ac:dyDescent="0.25">
      <c r="B3419" s="43"/>
    </row>
    <row r="3420" spans="2:2" x14ac:dyDescent="0.25">
      <c r="B3420" s="43"/>
    </row>
    <row r="3421" spans="2:2" x14ac:dyDescent="0.25">
      <c r="B3421" s="43"/>
    </row>
    <row r="3422" spans="2:2" x14ac:dyDescent="0.25">
      <c r="B3422" s="43"/>
    </row>
    <row r="3423" spans="2:2" x14ac:dyDescent="0.25">
      <c r="B3423" s="43"/>
    </row>
    <row r="3424" spans="2:2" x14ac:dyDescent="0.25">
      <c r="B3424" s="43"/>
    </row>
    <row r="3425" spans="2:2" x14ac:dyDescent="0.25">
      <c r="B3425" s="43"/>
    </row>
    <row r="3426" spans="2:2" x14ac:dyDescent="0.25">
      <c r="B3426" s="43"/>
    </row>
    <row r="3427" spans="2:2" x14ac:dyDescent="0.25">
      <c r="B3427" s="43"/>
    </row>
    <row r="3428" spans="2:2" x14ac:dyDescent="0.25">
      <c r="B3428" s="43"/>
    </row>
    <row r="3429" spans="2:2" x14ac:dyDescent="0.25">
      <c r="B3429" s="43"/>
    </row>
    <row r="3430" spans="2:2" x14ac:dyDescent="0.25">
      <c r="B3430" s="43"/>
    </row>
    <row r="3431" spans="2:2" x14ac:dyDescent="0.25">
      <c r="B3431" s="43"/>
    </row>
    <row r="3432" spans="2:2" x14ac:dyDescent="0.25">
      <c r="B3432" s="43"/>
    </row>
    <row r="3433" spans="2:2" x14ac:dyDescent="0.25">
      <c r="B3433" s="43"/>
    </row>
    <row r="3434" spans="2:2" x14ac:dyDescent="0.25">
      <c r="B3434" s="43"/>
    </row>
    <row r="3435" spans="2:2" x14ac:dyDescent="0.25">
      <c r="B3435" s="43"/>
    </row>
    <row r="3436" spans="2:2" x14ac:dyDescent="0.25">
      <c r="B3436" s="43"/>
    </row>
    <row r="3437" spans="2:2" x14ac:dyDescent="0.25">
      <c r="B3437" s="43"/>
    </row>
    <row r="3438" spans="2:2" x14ac:dyDescent="0.25">
      <c r="B3438" s="43"/>
    </row>
    <row r="3439" spans="2:2" x14ac:dyDescent="0.25">
      <c r="B3439" s="43"/>
    </row>
    <row r="3440" spans="2:2" x14ac:dyDescent="0.25">
      <c r="B3440" s="43"/>
    </row>
    <row r="3441" spans="2:2" x14ac:dyDescent="0.25">
      <c r="B3441" s="43"/>
    </row>
    <row r="3442" spans="2:2" x14ac:dyDescent="0.25">
      <c r="B3442" s="43"/>
    </row>
    <row r="3443" spans="2:2" x14ac:dyDescent="0.25">
      <c r="B3443" s="43"/>
    </row>
    <row r="3444" spans="2:2" x14ac:dyDescent="0.25">
      <c r="B3444" s="43"/>
    </row>
    <row r="3445" spans="2:2" x14ac:dyDescent="0.25">
      <c r="B3445" s="43"/>
    </row>
    <row r="3446" spans="2:2" x14ac:dyDescent="0.25">
      <c r="B3446" s="43"/>
    </row>
    <row r="3447" spans="2:2" x14ac:dyDescent="0.25">
      <c r="B3447" s="43"/>
    </row>
    <row r="3448" spans="2:2" x14ac:dyDescent="0.25">
      <c r="B3448" s="43"/>
    </row>
    <row r="3449" spans="2:2" x14ac:dyDescent="0.25">
      <c r="B3449" s="43"/>
    </row>
    <row r="3450" spans="2:2" x14ac:dyDescent="0.25">
      <c r="B3450" s="43"/>
    </row>
    <row r="3451" spans="2:2" x14ac:dyDescent="0.25">
      <c r="B3451" s="43"/>
    </row>
    <row r="3452" spans="2:2" x14ac:dyDescent="0.25">
      <c r="B3452" s="43"/>
    </row>
    <row r="3453" spans="2:2" x14ac:dyDescent="0.25">
      <c r="B3453" s="43"/>
    </row>
    <row r="3454" spans="2:2" x14ac:dyDescent="0.25">
      <c r="B3454" s="43"/>
    </row>
    <row r="3455" spans="2:2" x14ac:dyDescent="0.25">
      <c r="B3455" s="43"/>
    </row>
    <row r="3456" spans="2:2" x14ac:dyDescent="0.25">
      <c r="B3456" s="43"/>
    </row>
    <row r="3457" spans="2:2" x14ac:dyDescent="0.25">
      <c r="B3457" s="43"/>
    </row>
    <row r="3458" spans="2:2" x14ac:dyDescent="0.25">
      <c r="B3458" s="43"/>
    </row>
    <row r="3459" spans="2:2" x14ac:dyDescent="0.25">
      <c r="B3459" s="43"/>
    </row>
    <row r="3460" spans="2:2" x14ac:dyDescent="0.25">
      <c r="B3460" s="43"/>
    </row>
    <row r="3461" spans="2:2" x14ac:dyDescent="0.25">
      <c r="B3461" s="43"/>
    </row>
    <row r="3462" spans="2:2" x14ac:dyDescent="0.25">
      <c r="B3462" s="43"/>
    </row>
    <row r="3463" spans="2:2" x14ac:dyDescent="0.25">
      <c r="B3463" s="43"/>
    </row>
    <row r="3464" spans="2:2" x14ac:dyDescent="0.25">
      <c r="B3464" s="43"/>
    </row>
    <row r="3465" spans="2:2" x14ac:dyDescent="0.25">
      <c r="B3465" s="43"/>
    </row>
    <row r="3466" spans="2:2" x14ac:dyDescent="0.25">
      <c r="B3466" s="43"/>
    </row>
    <row r="3467" spans="2:2" x14ac:dyDescent="0.25">
      <c r="B3467" s="43"/>
    </row>
    <row r="3468" spans="2:2" x14ac:dyDescent="0.25">
      <c r="B3468" s="43"/>
    </row>
    <row r="3469" spans="2:2" x14ac:dyDescent="0.25">
      <c r="B3469" s="43"/>
    </row>
    <row r="3470" spans="2:2" x14ac:dyDescent="0.25">
      <c r="B3470" s="43"/>
    </row>
    <row r="3471" spans="2:2" x14ac:dyDescent="0.25">
      <c r="B3471" s="43"/>
    </row>
    <row r="3472" spans="2:2" x14ac:dyDescent="0.25">
      <c r="B3472" s="43"/>
    </row>
    <row r="3473" spans="2:2" x14ac:dyDescent="0.25">
      <c r="B3473" s="43"/>
    </row>
    <row r="3474" spans="2:2" x14ac:dyDescent="0.25">
      <c r="B3474" s="43"/>
    </row>
    <row r="3475" spans="2:2" x14ac:dyDescent="0.25">
      <c r="B3475" s="43"/>
    </row>
    <row r="3476" spans="2:2" x14ac:dyDescent="0.25">
      <c r="B3476" s="43"/>
    </row>
    <row r="3477" spans="2:2" x14ac:dyDescent="0.25">
      <c r="B3477" s="43"/>
    </row>
    <row r="3478" spans="2:2" x14ac:dyDescent="0.25">
      <c r="B3478" s="43"/>
    </row>
    <row r="3479" spans="2:2" x14ac:dyDescent="0.25">
      <c r="B3479" s="43"/>
    </row>
    <row r="3480" spans="2:2" x14ac:dyDescent="0.25">
      <c r="B3480" s="43"/>
    </row>
    <row r="3481" spans="2:2" x14ac:dyDescent="0.25">
      <c r="B3481" s="43"/>
    </row>
    <row r="3482" spans="2:2" x14ac:dyDescent="0.25">
      <c r="B3482" s="43"/>
    </row>
    <row r="3483" spans="2:2" x14ac:dyDescent="0.25">
      <c r="B3483" s="43"/>
    </row>
    <row r="3484" spans="2:2" x14ac:dyDescent="0.25">
      <c r="B3484" s="43"/>
    </row>
    <row r="3485" spans="2:2" x14ac:dyDescent="0.25">
      <c r="B3485" s="43"/>
    </row>
    <row r="3486" spans="2:2" x14ac:dyDescent="0.25">
      <c r="B3486" s="43"/>
    </row>
    <row r="3487" spans="2:2" x14ac:dyDescent="0.25">
      <c r="B3487" s="43"/>
    </row>
    <row r="3488" spans="2:2" x14ac:dyDescent="0.25">
      <c r="B3488" s="43"/>
    </row>
    <row r="3489" spans="2:2" x14ac:dyDescent="0.25">
      <c r="B3489" s="43"/>
    </row>
    <row r="3490" spans="2:2" x14ac:dyDescent="0.25">
      <c r="B3490" s="43"/>
    </row>
    <row r="3491" spans="2:2" x14ac:dyDescent="0.25">
      <c r="B3491" s="43"/>
    </row>
    <row r="3492" spans="2:2" x14ac:dyDescent="0.25">
      <c r="B3492" s="43"/>
    </row>
    <row r="3493" spans="2:2" x14ac:dyDescent="0.25">
      <c r="B3493" s="43"/>
    </row>
    <row r="3494" spans="2:2" x14ac:dyDescent="0.25">
      <c r="B3494" s="43"/>
    </row>
    <row r="3495" spans="2:2" x14ac:dyDescent="0.25">
      <c r="B3495" s="43"/>
    </row>
    <row r="3496" spans="2:2" x14ac:dyDescent="0.25">
      <c r="B3496" s="43"/>
    </row>
    <row r="3497" spans="2:2" x14ac:dyDescent="0.25">
      <c r="B3497" s="43"/>
    </row>
    <row r="3498" spans="2:2" x14ac:dyDescent="0.25">
      <c r="B3498" s="43"/>
    </row>
    <row r="3499" spans="2:2" x14ac:dyDescent="0.25">
      <c r="B3499" s="43"/>
    </row>
    <row r="3500" spans="2:2" x14ac:dyDescent="0.25">
      <c r="B3500" s="43"/>
    </row>
    <row r="3501" spans="2:2" x14ac:dyDescent="0.25">
      <c r="B3501" s="43"/>
    </row>
    <row r="3502" spans="2:2" x14ac:dyDescent="0.25">
      <c r="B3502" s="43"/>
    </row>
    <row r="3503" spans="2:2" x14ac:dyDescent="0.25">
      <c r="B3503" s="43"/>
    </row>
    <row r="3504" spans="2:2" x14ac:dyDescent="0.25">
      <c r="B3504" s="43"/>
    </row>
    <row r="3505" spans="2:2" x14ac:dyDescent="0.25">
      <c r="B3505" s="43"/>
    </row>
    <row r="3506" spans="2:2" x14ac:dyDescent="0.25">
      <c r="B3506" s="43"/>
    </row>
    <row r="3507" spans="2:2" x14ac:dyDescent="0.25">
      <c r="B3507" s="43"/>
    </row>
    <row r="3508" spans="2:2" x14ac:dyDescent="0.25">
      <c r="B3508" s="43"/>
    </row>
    <row r="3509" spans="2:2" x14ac:dyDescent="0.25">
      <c r="B3509" s="43"/>
    </row>
    <row r="3510" spans="2:2" x14ac:dyDescent="0.25">
      <c r="B3510" s="43"/>
    </row>
    <row r="3511" spans="2:2" x14ac:dyDescent="0.25">
      <c r="B3511" s="43"/>
    </row>
    <row r="3512" spans="2:2" x14ac:dyDescent="0.25">
      <c r="B3512" s="43"/>
    </row>
    <row r="3513" spans="2:2" x14ac:dyDescent="0.25">
      <c r="B3513" s="43"/>
    </row>
    <row r="3514" spans="2:2" x14ac:dyDescent="0.25">
      <c r="B3514" s="43"/>
    </row>
    <row r="3515" spans="2:2" x14ac:dyDescent="0.25">
      <c r="B3515" s="43"/>
    </row>
    <row r="3516" spans="2:2" x14ac:dyDescent="0.25">
      <c r="B3516" s="43"/>
    </row>
    <row r="3517" spans="2:2" x14ac:dyDescent="0.25">
      <c r="B3517" s="43"/>
    </row>
    <row r="3518" spans="2:2" x14ac:dyDescent="0.25">
      <c r="B3518" s="43"/>
    </row>
    <row r="3519" spans="2:2" x14ac:dyDescent="0.25">
      <c r="B3519" s="43"/>
    </row>
    <row r="3520" spans="2:2" x14ac:dyDescent="0.25">
      <c r="B3520" s="43"/>
    </row>
    <row r="3521" spans="2:2" x14ac:dyDescent="0.25">
      <c r="B3521" s="43"/>
    </row>
    <row r="3522" spans="2:2" x14ac:dyDescent="0.25">
      <c r="B3522" s="43"/>
    </row>
    <row r="3523" spans="2:2" x14ac:dyDescent="0.25">
      <c r="B3523" s="43"/>
    </row>
    <row r="3524" spans="2:2" x14ac:dyDescent="0.25">
      <c r="B3524" s="43"/>
    </row>
    <row r="3525" spans="2:2" x14ac:dyDescent="0.25">
      <c r="B3525" s="43"/>
    </row>
    <row r="3526" spans="2:2" x14ac:dyDescent="0.25">
      <c r="B3526" s="43"/>
    </row>
    <row r="3527" spans="2:2" x14ac:dyDescent="0.25">
      <c r="B3527" s="43"/>
    </row>
    <row r="3528" spans="2:2" x14ac:dyDescent="0.25">
      <c r="B3528" s="43"/>
    </row>
    <row r="3529" spans="2:2" x14ac:dyDescent="0.25">
      <c r="B3529" s="43"/>
    </row>
    <row r="3530" spans="2:2" x14ac:dyDescent="0.25">
      <c r="B3530" s="43"/>
    </row>
    <row r="3531" spans="2:2" x14ac:dyDescent="0.25">
      <c r="B3531" s="43"/>
    </row>
    <row r="3532" spans="2:2" x14ac:dyDescent="0.25">
      <c r="B3532" s="43"/>
    </row>
    <row r="3533" spans="2:2" x14ac:dyDescent="0.25">
      <c r="B3533" s="43"/>
    </row>
    <row r="3534" spans="2:2" x14ac:dyDescent="0.25">
      <c r="B3534" s="43"/>
    </row>
    <row r="3535" spans="2:2" x14ac:dyDescent="0.25">
      <c r="B3535" s="43"/>
    </row>
    <row r="3536" spans="2:2" x14ac:dyDescent="0.25">
      <c r="B3536" s="43"/>
    </row>
    <row r="3537" spans="2:2" x14ac:dyDescent="0.25">
      <c r="B3537" s="43"/>
    </row>
    <row r="3538" spans="2:2" x14ac:dyDescent="0.25">
      <c r="B3538" s="43"/>
    </row>
    <row r="3539" spans="2:2" x14ac:dyDescent="0.25">
      <c r="B3539" s="43"/>
    </row>
    <row r="3540" spans="2:2" x14ac:dyDescent="0.25">
      <c r="B3540" s="43"/>
    </row>
    <row r="3541" spans="2:2" x14ac:dyDescent="0.25">
      <c r="B3541" s="43"/>
    </row>
    <row r="3542" spans="2:2" x14ac:dyDescent="0.25">
      <c r="B3542" s="43"/>
    </row>
    <row r="3543" spans="2:2" x14ac:dyDescent="0.25">
      <c r="B3543" s="43"/>
    </row>
    <row r="3544" spans="2:2" x14ac:dyDescent="0.25">
      <c r="B3544" s="43"/>
    </row>
    <row r="3545" spans="2:2" x14ac:dyDescent="0.25">
      <c r="B3545" s="43"/>
    </row>
    <row r="3546" spans="2:2" x14ac:dyDescent="0.25">
      <c r="B3546" s="43"/>
    </row>
    <row r="3547" spans="2:2" x14ac:dyDescent="0.25">
      <c r="B3547" s="43"/>
    </row>
    <row r="3548" spans="2:2" x14ac:dyDescent="0.25">
      <c r="B3548" s="43"/>
    </row>
    <row r="3549" spans="2:2" x14ac:dyDescent="0.25">
      <c r="B3549" s="43"/>
    </row>
    <row r="3550" spans="2:2" x14ac:dyDescent="0.25">
      <c r="B3550" s="43"/>
    </row>
    <row r="3551" spans="2:2" x14ac:dyDescent="0.25">
      <c r="B3551" s="43"/>
    </row>
    <row r="3552" spans="2:2" x14ac:dyDescent="0.25">
      <c r="B3552" s="43"/>
    </row>
    <row r="3553" spans="2:2" x14ac:dyDescent="0.25">
      <c r="B3553" s="43"/>
    </row>
    <row r="3554" spans="2:2" x14ac:dyDescent="0.25">
      <c r="B3554" s="43"/>
    </row>
    <row r="3555" spans="2:2" x14ac:dyDescent="0.25">
      <c r="B3555" s="43"/>
    </row>
    <row r="3556" spans="2:2" x14ac:dyDescent="0.25">
      <c r="B3556" s="43"/>
    </row>
    <row r="3557" spans="2:2" x14ac:dyDescent="0.25">
      <c r="B3557" s="43"/>
    </row>
    <row r="3558" spans="2:2" x14ac:dyDescent="0.25">
      <c r="B3558" s="43"/>
    </row>
    <row r="3559" spans="2:2" x14ac:dyDescent="0.25">
      <c r="B3559" s="43"/>
    </row>
    <row r="3560" spans="2:2" x14ac:dyDescent="0.25">
      <c r="B3560" s="43"/>
    </row>
    <row r="3561" spans="2:2" x14ac:dyDescent="0.25">
      <c r="B3561" s="43"/>
    </row>
    <row r="3562" spans="2:2" x14ac:dyDescent="0.25">
      <c r="B3562" s="43"/>
    </row>
    <row r="3563" spans="2:2" x14ac:dyDescent="0.25">
      <c r="B3563" s="43"/>
    </row>
    <row r="3564" spans="2:2" x14ac:dyDescent="0.25">
      <c r="B3564" s="43"/>
    </row>
    <row r="3565" spans="2:2" x14ac:dyDescent="0.25">
      <c r="B3565" s="43"/>
    </row>
    <row r="3566" spans="2:2" x14ac:dyDescent="0.25">
      <c r="B3566" s="43"/>
    </row>
    <row r="3567" spans="2:2" x14ac:dyDescent="0.25">
      <c r="B3567" s="43"/>
    </row>
    <row r="3568" spans="2:2" x14ac:dyDescent="0.25">
      <c r="B3568" s="43"/>
    </row>
    <row r="3569" spans="2:2" x14ac:dyDescent="0.25">
      <c r="B3569" s="43"/>
    </row>
    <row r="3570" spans="2:2" x14ac:dyDescent="0.25">
      <c r="B3570" s="43"/>
    </row>
    <row r="3571" spans="2:2" x14ac:dyDescent="0.25">
      <c r="B3571" s="43"/>
    </row>
    <row r="3572" spans="2:2" x14ac:dyDescent="0.25">
      <c r="B3572" s="43"/>
    </row>
    <row r="3573" spans="2:2" x14ac:dyDescent="0.25">
      <c r="B3573" s="43"/>
    </row>
    <row r="3574" spans="2:2" x14ac:dyDescent="0.25">
      <c r="B3574" s="43"/>
    </row>
    <row r="3575" spans="2:2" x14ac:dyDescent="0.25">
      <c r="B3575" s="43"/>
    </row>
    <row r="3576" spans="2:2" x14ac:dyDescent="0.25">
      <c r="B3576" s="43"/>
    </row>
    <row r="3577" spans="2:2" x14ac:dyDescent="0.25">
      <c r="B3577" s="43"/>
    </row>
    <row r="3578" spans="2:2" x14ac:dyDescent="0.25">
      <c r="B3578" s="43"/>
    </row>
    <row r="3579" spans="2:2" x14ac:dyDescent="0.25">
      <c r="B3579" s="43"/>
    </row>
    <row r="3580" spans="2:2" x14ac:dyDescent="0.25">
      <c r="B3580" s="43"/>
    </row>
    <row r="3581" spans="2:2" x14ac:dyDescent="0.25">
      <c r="B3581" s="43"/>
    </row>
    <row r="3582" spans="2:2" x14ac:dyDescent="0.25">
      <c r="B3582" s="43"/>
    </row>
    <row r="3583" spans="2:2" x14ac:dyDescent="0.25">
      <c r="B3583" s="43"/>
    </row>
    <row r="3584" spans="2:2" x14ac:dyDescent="0.25">
      <c r="B3584" s="43"/>
    </row>
    <row r="3585" spans="2:2" x14ac:dyDescent="0.25">
      <c r="B3585" s="43"/>
    </row>
    <row r="3586" spans="2:2" x14ac:dyDescent="0.25">
      <c r="B3586" s="43"/>
    </row>
    <row r="3587" spans="2:2" x14ac:dyDescent="0.25">
      <c r="B3587" s="43"/>
    </row>
    <row r="3588" spans="2:2" x14ac:dyDescent="0.25">
      <c r="B3588" s="43"/>
    </row>
    <row r="3589" spans="2:2" x14ac:dyDescent="0.25">
      <c r="B3589" s="43"/>
    </row>
    <row r="3590" spans="2:2" x14ac:dyDescent="0.25">
      <c r="B3590" s="43"/>
    </row>
    <row r="3591" spans="2:2" x14ac:dyDescent="0.25">
      <c r="B3591" s="43"/>
    </row>
    <row r="3592" spans="2:2" x14ac:dyDescent="0.25">
      <c r="B3592" s="43"/>
    </row>
    <row r="3593" spans="2:2" x14ac:dyDescent="0.25">
      <c r="B3593" s="43"/>
    </row>
    <row r="3594" spans="2:2" x14ac:dyDescent="0.25">
      <c r="B3594" s="43"/>
    </row>
    <row r="3595" spans="2:2" x14ac:dyDescent="0.25">
      <c r="B3595" s="43"/>
    </row>
    <row r="3596" spans="2:2" x14ac:dyDescent="0.25">
      <c r="B3596" s="43"/>
    </row>
    <row r="3597" spans="2:2" x14ac:dyDescent="0.25">
      <c r="B3597" s="43"/>
    </row>
    <row r="3598" spans="2:2" x14ac:dyDescent="0.25">
      <c r="B3598" s="43"/>
    </row>
    <row r="3599" spans="2:2" x14ac:dyDescent="0.25">
      <c r="B3599" s="43"/>
    </row>
    <row r="3600" spans="2:2" x14ac:dyDescent="0.25">
      <c r="B3600" s="43"/>
    </row>
    <row r="3601" spans="2:2" x14ac:dyDescent="0.25">
      <c r="B3601" s="43"/>
    </row>
    <row r="3602" spans="2:2" x14ac:dyDescent="0.25">
      <c r="B3602" s="43"/>
    </row>
    <row r="3603" spans="2:2" x14ac:dyDescent="0.25">
      <c r="B3603" s="43"/>
    </row>
    <row r="3604" spans="2:2" x14ac:dyDescent="0.25">
      <c r="B3604" s="43"/>
    </row>
    <row r="3605" spans="2:2" x14ac:dyDescent="0.25">
      <c r="B3605" s="43"/>
    </row>
    <row r="3606" spans="2:2" x14ac:dyDescent="0.25">
      <c r="B3606" s="43"/>
    </row>
    <row r="3607" spans="2:2" x14ac:dyDescent="0.25">
      <c r="B3607" s="43"/>
    </row>
    <row r="3608" spans="2:2" x14ac:dyDescent="0.25">
      <c r="B3608" s="43"/>
    </row>
    <row r="3609" spans="2:2" x14ac:dyDescent="0.25">
      <c r="B3609" s="43"/>
    </row>
    <row r="3610" spans="2:2" x14ac:dyDescent="0.25">
      <c r="B3610" s="43"/>
    </row>
    <row r="3611" spans="2:2" x14ac:dyDescent="0.25">
      <c r="B3611" s="43"/>
    </row>
    <row r="3612" spans="2:2" x14ac:dyDescent="0.25">
      <c r="B3612" s="43"/>
    </row>
    <row r="3613" spans="2:2" x14ac:dyDescent="0.25">
      <c r="B3613" s="43"/>
    </row>
    <row r="3614" spans="2:2" x14ac:dyDescent="0.25">
      <c r="B3614" s="43"/>
    </row>
    <row r="3615" spans="2:2" x14ac:dyDescent="0.25">
      <c r="B3615" s="43"/>
    </row>
    <row r="3616" spans="2:2" x14ac:dyDescent="0.25">
      <c r="B3616" s="43"/>
    </row>
    <row r="3617" spans="2:2" x14ac:dyDescent="0.25">
      <c r="B3617" s="43"/>
    </row>
    <row r="3618" spans="2:2" x14ac:dyDescent="0.25">
      <c r="B3618" s="43"/>
    </row>
    <row r="3619" spans="2:2" x14ac:dyDescent="0.25">
      <c r="B3619" s="43"/>
    </row>
    <row r="3620" spans="2:2" x14ac:dyDescent="0.25">
      <c r="B3620" s="43"/>
    </row>
    <row r="3621" spans="2:2" x14ac:dyDescent="0.25">
      <c r="B3621" s="43"/>
    </row>
    <row r="3622" spans="2:2" x14ac:dyDescent="0.25">
      <c r="B3622" s="43"/>
    </row>
    <row r="3623" spans="2:2" x14ac:dyDescent="0.25">
      <c r="B3623" s="43"/>
    </row>
    <row r="3624" spans="2:2" x14ac:dyDescent="0.25">
      <c r="B3624" s="43"/>
    </row>
    <row r="3625" spans="2:2" x14ac:dyDescent="0.25">
      <c r="B3625" s="43"/>
    </row>
    <row r="3626" spans="2:2" x14ac:dyDescent="0.25">
      <c r="B3626" s="43"/>
    </row>
    <row r="3627" spans="2:2" x14ac:dyDescent="0.25">
      <c r="B3627" s="43"/>
    </row>
    <row r="3628" spans="2:2" x14ac:dyDescent="0.25">
      <c r="B3628" s="43"/>
    </row>
    <row r="3629" spans="2:2" x14ac:dyDescent="0.25">
      <c r="B3629" s="43"/>
    </row>
    <row r="3630" spans="2:2" x14ac:dyDescent="0.25">
      <c r="B3630" s="43"/>
    </row>
    <row r="3631" spans="2:2" x14ac:dyDescent="0.25">
      <c r="B3631" s="43"/>
    </row>
    <row r="3632" spans="2:2" x14ac:dyDescent="0.25">
      <c r="B3632" s="43"/>
    </row>
    <row r="3633" spans="2:2" x14ac:dyDescent="0.25">
      <c r="B3633" s="43"/>
    </row>
    <row r="3634" spans="2:2" x14ac:dyDescent="0.25">
      <c r="B3634" s="43"/>
    </row>
    <row r="3635" spans="2:2" x14ac:dyDescent="0.25">
      <c r="B3635" s="43"/>
    </row>
    <row r="3636" spans="2:2" x14ac:dyDescent="0.25">
      <c r="B3636" s="43"/>
    </row>
    <row r="3637" spans="2:2" x14ac:dyDescent="0.25">
      <c r="B3637" s="43"/>
    </row>
    <row r="3638" spans="2:2" x14ac:dyDescent="0.25">
      <c r="B3638" s="43"/>
    </row>
    <row r="3639" spans="2:2" x14ac:dyDescent="0.25">
      <c r="B3639" s="43"/>
    </row>
    <row r="3640" spans="2:2" x14ac:dyDescent="0.25">
      <c r="B3640" s="43"/>
    </row>
    <row r="3641" spans="2:2" x14ac:dyDescent="0.25">
      <c r="B3641" s="43"/>
    </row>
    <row r="3642" spans="2:2" x14ac:dyDescent="0.25">
      <c r="B3642" s="43"/>
    </row>
    <row r="3643" spans="2:2" x14ac:dyDescent="0.25">
      <c r="B3643" s="43"/>
    </row>
    <row r="3644" spans="2:2" x14ac:dyDescent="0.25">
      <c r="B3644" s="43"/>
    </row>
    <row r="3645" spans="2:2" x14ac:dyDescent="0.25">
      <c r="B3645" s="43"/>
    </row>
    <row r="3646" spans="2:2" x14ac:dyDescent="0.25">
      <c r="B3646" s="43"/>
    </row>
    <row r="3647" spans="2:2" x14ac:dyDescent="0.25">
      <c r="B3647" s="43"/>
    </row>
    <row r="3648" spans="2:2" x14ac:dyDescent="0.25">
      <c r="B3648" s="43"/>
    </row>
    <row r="3649" spans="2:2" x14ac:dyDescent="0.25">
      <c r="B3649" s="43"/>
    </row>
    <row r="3650" spans="2:2" x14ac:dyDescent="0.25">
      <c r="B3650" s="43"/>
    </row>
    <row r="3651" spans="2:2" x14ac:dyDescent="0.25">
      <c r="B3651" s="43"/>
    </row>
    <row r="3652" spans="2:2" x14ac:dyDescent="0.25">
      <c r="B3652" s="43"/>
    </row>
    <row r="3653" spans="2:2" x14ac:dyDescent="0.25">
      <c r="B3653" s="43"/>
    </row>
    <row r="3654" spans="2:2" x14ac:dyDescent="0.25">
      <c r="B3654" s="43"/>
    </row>
    <row r="3655" spans="2:2" x14ac:dyDescent="0.25">
      <c r="B3655" s="43"/>
    </row>
    <row r="3656" spans="2:2" x14ac:dyDescent="0.25">
      <c r="B3656" s="43"/>
    </row>
    <row r="3657" spans="2:2" x14ac:dyDescent="0.25">
      <c r="B3657" s="43"/>
    </row>
    <row r="3658" spans="2:2" x14ac:dyDescent="0.25">
      <c r="B3658" s="43"/>
    </row>
    <row r="3659" spans="2:2" x14ac:dyDescent="0.25">
      <c r="B3659" s="43"/>
    </row>
    <row r="3660" spans="2:2" x14ac:dyDescent="0.25">
      <c r="B3660" s="43"/>
    </row>
    <row r="3661" spans="2:2" x14ac:dyDescent="0.25">
      <c r="B3661" s="43"/>
    </row>
    <row r="3662" spans="2:2" x14ac:dyDescent="0.25">
      <c r="B3662" s="43"/>
    </row>
    <row r="3663" spans="2:2" x14ac:dyDescent="0.25">
      <c r="B3663" s="43"/>
    </row>
    <row r="3664" spans="2:2" x14ac:dyDescent="0.25">
      <c r="B3664" s="43"/>
    </row>
    <row r="3665" spans="2:2" x14ac:dyDescent="0.25">
      <c r="B3665" s="43"/>
    </row>
    <row r="3666" spans="2:2" x14ac:dyDescent="0.25">
      <c r="B3666" s="43"/>
    </row>
    <row r="3667" spans="2:2" x14ac:dyDescent="0.25">
      <c r="B3667" s="43"/>
    </row>
    <row r="3668" spans="2:2" x14ac:dyDescent="0.25">
      <c r="B3668" s="43"/>
    </row>
    <row r="3669" spans="2:2" x14ac:dyDescent="0.25">
      <c r="B3669" s="43"/>
    </row>
    <row r="3670" spans="2:2" x14ac:dyDescent="0.25">
      <c r="B3670" s="43"/>
    </row>
    <row r="3671" spans="2:2" x14ac:dyDescent="0.25">
      <c r="B3671" s="43"/>
    </row>
    <row r="3672" spans="2:2" x14ac:dyDescent="0.25">
      <c r="B3672" s="43"/>
    </row>
    <row r="3673" spans="2:2" x14ac:dyDescent="0.25">
      <c r="B3673" s="43"/>
    </row>
    <row r="3674" spans="2:2" x14ac:dyDescent="0.25">
      <c r="B3674" s="43"/>
    </row>
    <row r="3675" spans="2:2" x14ac:dyDescent="0.25">
      <c r="B3675" s="43"/>
    </row>
    <row r="3676" spans="2:2" x14ac:dyDescent="0.25">
      <c r="B3676" s="43"/>
    </row>
    <row r="3677" spans="2:2" x14ac:dyDescent="0.25">
      <c r="B3677" s="43"/>
    </row>
    <row r="3678" spans="2:2" x14ac:dyDescent="0.25">
      <c r="B3678" s="43"/>
    </row>
    <row r="3679" spans="2:2" x14ac:dyDescent="0.25">
      <c r="B3679" s="43"/>
    </row>
    <row r="3680" spans="2:2" x14ac:dyDescent="0.25">
      <c r="B3680" s="43"/>
    </row>
    <row r="3681" spans="2:2" x14ac:dyDescent="0.25">
      <c r="B3681" s="43"/>
    </row>
    <row r="3682" spans="2:2" x14ac:dyDescent="0.25">
      <c r="B3682" s="43"/>
    </row>
    <row r="3683" spans="2:2" x14ac:dyDescent="0.25">
      <c r="B3683" s="43"/>
    </row>
    <row r="3684" spans="2:2" x14ac:dyDescent="0.25">
      <c r="B3684" s="43"/>
    </row>
    <row r="3685" spans="2:2" x14ac:dyDescent="0.25">
      <c r="B3685" s="43"/>
    </row>
    <row r="3686" spans="2:2" x14ac:dyDescent="0.25">
      <c r="B3686" s="43"/>
    </row>
    <row r="3687" spans="2:2" x14ac:dyDescent="0.25">
      <c r="B3687" s="43"/>
    </row>
    <row r="3688" spans="2:2" x14ac:dyDescent="0.25">
      <c r="B3688" s="43"/>
    </row>
    <row r="3689" spans="2:2" x14ac:dyDescent="0.25">
      <c r="B3689" s="43"/>
    </row>
    <row r="3690" spans="2:2" x14ac:dyDescent="0.25">
      <c r="B3690" s="43"/>
    </row>
    <row r="3691" spans="2:2" x14ac:dyDescent="0.25">
      <c r="B3691" s="43"/>
    </row>
    <row r="3692" spans="2:2" x14ac:dyDescent="0.25">
      <c r="B3692" s="43"/>
    </row>
    <row r="3693" spans="2:2" x14ac:dyDescent="0.25">
      <c r="B3693" s="43"/>
    </row>
    <row r="3694" spans="2:2" x14ac:dyDescent="0.25">
      <c r="B3694" s="43"/>
    </row>
    <row r="3695" spans="2:2" x14ac:dyDescent="0.25">
      <c r="B3695" s="43"/>
    </row>
    <row r="3696" spans="2:2" x14ac:dyDescent="0.25">
      <c r="B3696" s="43"/>
    </row>
    <row r="3697" spans="2:2" x14ac:dyDescent="0.25">
      <c r="B3697" s="43"/>
    </row>
    <row r="3698" spans="2:2" x14ac:dyDescent="0.25">
      <c r="B3698" s="43"/>
    </row>
    <row r="3699" spans="2:2" x14ac:dyDescent="0.25">
      <c r="B3699" s="43"/>
    </row>
    <row r="3700" spans="2:2" x14ac:dyDescent="0.25">
      <c r="B3700" s="43"/>
    </row>
    <row r="3701" spans="2:2" x14ac:dyDescent="0.25">
      <c r="B3701" s="43"/>
    </row>
    <row r="3702" spans="2:2" x14ac:dyDescent="0.25">
      <c r="B3702" s="43"/>
    </row>
    <row r="3703" spans="2:2" x14ac:dyDescent="0.25">
      <c r="B3703" s="43"/>
    </row>
    <row r="3704" spans="2:2" x14ac:dyDescent="0.25">
      <c r="B3704" s="43"/>
    </row>
    <row r="3705" spans="2:2" x14ac:dyDescent="0.25">
      <c r="B3705" s="43"/>
    </row>
    <row r="3706" spans="2:2" x14ac:dyDescent="0.25">
      <c r="B3706" s="43"/>
    </row>
    <row r="3707" spans="2:2" x14ac:dyDescent="0.25">
      <c r="B3707" s="43"/>
    </row>
    <row r="3708" spans="2:2" x14ac:dyDescent="0.25">
      <c r="B3708" s="43"/>
    </row>
    <row r="3709" spans="2:2" x14ac:dyDescent="0.25">
      <c r="B3709" s="43"/>
    </row>
    <row r="3710" spans="2:2" x14ac:dyDescent="0.25">
      <c r="B3710" s="43"/>
    </row>
    <row r="3711" spans="2:2" x14ac:dyDescent="0.25">
      <c r="B3711" s="43"/>
    </row>
    <row r="3712" spans="2:2" x14ac:dyDescent="0.25">
      <c r="B3712" s="43"/>
    </row>
    <row r="3713" spans="2:2" x14ac:dyDescent="0.25">
      <c r="B3713" s="43"/>
    </row>
    <row r="3714" spans="2:2" x14ac:dyDescent="0.25">
      <c r="B3714" s="43"/>
    </row>
    <row r="3715" spans="2:2" x14ac:dyDescent="0.25">
      <c r="B3715" s="43"/>
    </row>
    <row r="3716" spans="2:2" x14ac:dyDescent="0.25">
      <c r="B3716" s="43"/>
    </row>
    <row r="3717" spans="2:2" x14ac:dyDescent="0.25">
      <c r="B3717" s="43"/>
    </row>
    <row r="3718" spans="2:2" x14ac:dyDescent="0.25">
      <c r="B3718" s="43"/>
    </row>
    <row r="3719" spans="2:2" x14ac:dyDescent="0.25">
      <c r="B3719" s="43"/>
    </row>
    <row r="3720" spans="2:2" x14ac:dyDescent="0.25">
      <c r="B3720" s="43"/>
    </row>
    <row r="3721" spans="2:2" x14ac:dyDescent="0.25">
      <c r="B3721" s="43"/>
    </row>
    <row r="3722" spans="2:2" x14ac:dyDescent="0.25">
      <c r="B3722" s="43"/>
    </row>
    <row r="3723" spans="2:2" x14ac:dyDescent="0.25">
      <c r="B3723" s="43"/>
    </row>
    <row r="3724" spans="2:2" x14ac:dyDescent="0.25">
      <c r="B3724" s="43"/>
    </row>
    <row r="3725" spans="2:2" x14ac:dyDescent="0.25">
      <c r="B3725" s="43"/>
    </row>
    <row r="3726" spans="2:2" x14ac:dyDescent="0.25">
      <c r="B3726" s="43"/>
    </row>
    <row r="3727" spans="2:2" x14ac:dyDescent="0.25">
      <c r="B3727" s="43"/>
    </row>
    <row r="3728" spans="2:2" x14ac:dyDescent="0.25">
      <c r="B3728" s="43"/>
    </row>
    <row r="3729" spans="2:2" x14ac:dyDescent="0.25">
      <c r="B3729" s="43"/>
    </row>
    <row r="3730" spans="2:2" x14ac:dyDescent="0.25">
      <c r="B3730" s="43"/>
    </row>
    <row r="3731" spans="2:2" x14ac:dyDescent="0.25">
      <c r="B3731" s="43"/>
    </row>
    <row r="3732" spans="2:2" x14ac:dyDescent="0.25">
      <c r="B3732" s="43"/>
    </row>
    <row r="3733" spans="2:2" x14ac:dyDescent="0.25">
      <c r="B3733" s="43"/>
    </row>
    <row r="3734" spans="2:2" x14ac:dyDescent="0.25">
      <c r="B3734" s="43"/>
    </row>
    <row r="3735" spans="2:2" x14ac:dyDescent="0.25">
      <c r="B3735" s="43"/>
    </row>
    <row r="3736" spans="2:2" x14ac:dyDescent="0.25">
      <c r="B3736" s="43"/>
    </row>
    <row r="3737" spans="2:2" x14ac:dyDescent="0.25">
      <c r="B3737" s="43"/>
    </row>
    <row r="3738" spans="2:2" x14ac:dyDescent="0.25">
      <c r="B3738" s="43"/>
    </row>
    <row r="3739" spans="2:2" x14ac:dyDescent="0.25">
      <c r="B3739" s="43"/>
    </row>
    <row r="3740" spans="2:2" x14ac:dyDescent="0.25">
      <c r="B3740" s="43"/>
    </row>
    <row r="3741" spans="2:2" x14ac:dyDescent="0.25">
      <c r="B3741" s="43"/>
    </row>
    <row r="3742" spans="2:2" x14ac:dyDescent="0.25">
      <c r="B3742" s="43"/>
    </row>
    <row r="3743" spans="2:2" x14ac:dyDescent="0.25">
      <c r="B3743" s="43"/>
    </row>
    <row r="3744" spans="2:2" x14ac:dyDescent="0.25">
      <c r="B3744" s="43"/>
    </row>
    <row r="3745" spans="2:2" x14ac:dyDescent="0.25">
      <c r="B3745" s="43"/>
    </row>
    <row r="3746" spans="2:2" x14ac:dyDescent="0.25">
      <c r="B3746" s="43"/>
    </row>
    <row r="3747" spans="2:2" x14ac:dyDescent="0.25">
      <c r="B3747" s="43"/>
    </row>
    <row r="3748" spans="2:2" x14ac:dyDescent="0.25">
      <c r="B3748" s="43"/>
    </row>
    <row r="3749" spans="2:2" x14ac:dyDescent="0.25">
      <c r="B3749" s="43"/>
    </row>
    <row r="3750" spans="2:2" x14ac:dyDescent="0.25">
      <c r="B3750" s="43"/>
    </row>
    <row r="3751" spans="2:2" x14ac:dyDescent="0.25">
      <c r="B3751" s="43"/>
    </row>
    <row r="3752" spans="2:2" x14ac:dyDescent="0.25">
      <c r="B3752" s="43"/>
    </row>
    <row r="3753" spans="2:2" x14ac:dyDescent="0.25">
      <c r="B3753" s="43"/>
    </row>
    <row r="3754" spans="2:2" x14ac:dyDescent="0.25">
      <c r="B3754" s="43"/>
    </row>
    <row r="3755" spans="2:2" x14ac:dyDescent="0.25">
      <c r="B3755" s="43"/>
    </row>
    <row r="3756" spans="2:2" x14ac:dyDescent="0.25">
      <c r="B3756" s="43"/>
    </row>
    <row r="3757" spans="2:2" x14ac:dyDescent="0.25">
      <c r="B3757" s="43"/>
    </row>
    <row r="3758" spans="2:2" x14ac:dyDescent="0.25">
      <c r="B3758" s="43"/>
    </row>
    <row r="3759" spans="2:2" x14ac:dyDescent="0.25">
      <c r="B3759" s="43"/>
    </row>
    <row r="3760" spans="2:2" x14ac:dyDescent="0.25">
      <c r="B3760" s="43"/>
    </row>
    <row r="3761" spans="2:2" x14ac:dyDescent="0.25">
      <c r="B3761" s="43"/>
    </row>
    <row r="3762" spans="2:2" x14ac:dyDescent="0.25">
      <c r="B3762" s="43"/>
    </row>
    <row r="3763" spans="2:2" x14ac:dyDescent="0.25">
      <c r="B3763" s="43"/>
    </row>
    <row r="3764" spans="2:2" x14ac:dyDescent="0.25">
      <c r="B3764" s="43"/>
    </row>
    <row r="3765" spans="2:2" x14ac:dyDescent="0.25">
      <c r="B3765" s="43"/>
    </row>
    <row r="3766" spans="2:2" x14ac:dyDescent="0.25">
      <c r="B3766" s="43"/>
    </row>
    <row r="3767" spans="2:2" x14ac:dyDescent="0.25">
      <c r="B3767" s="43"/>
    </row>
    <row r="3768" spans="2:2" x14ac:dyDescent="0.25">
      <c r="B3768" s="43"/>
    </row>
    <row r="3769" spans="2:2" x14ac:dyDescent="0.25">
      <c r="B3769" s="43"/>
    </row>
    <row r="3770" spans="2:2" x14ac:dyDescent="0.25">
      <c r="B3770" s="43"/>
    </row>
    <row r="3771" spans="2:2" x14ac:dyDescent="0.25">
      <c r="B3771" s="43"/>
    </row>
    <row r="3772" spans="2:2" x14ac:dyDescent="0.25">
      <c r="B3772" s="43"/>
    </row>
    <row r="3773" spans="2:2" x14ac:dyDescent="0.25">
      <c r="B3773" s="43"/>
    </row>
    <row r="3774" spans="2:2" x14ac:dyDescent="0.25">
      <c r="B3774" s="43"/>
    </row>
    <row r="3775" spans="2:2" x14ac:dyDescent="0.25">
      <c r="B3775" s="43"/>
    </row>
    <row r="3776" spans="2:2" x14ac:dyDescent="0.25">
      <c r="B3776" s="43"/>
    </row>
    <row r="3777" spans="2:2" x14ac:dyDescent="0.25">
      <c r="B3777" s="43"/>
    </row>
    <row r="3778" spans="2:2" x14ac:dyDescent="0.25">
      <c r="B3778" s="43"/>
    </row>
    <row r="3779" spans="2:2" x14ac:dyDescent="0.25">
      <c r="B3779" s="43"/>
    </row>
    <row r="3780" spans="2:2" x14ac:dyDescent="0.25">
      <c r="B3780" s="43"/>
    </row>
    <row r="3781" spans="2:2" x14ac:dyDescent="0.25">
      <c r="B3781" s="43"/>
    </row>
    <row r="3782" spans="2:2" x14ac:dyDescent="0.25">
      <c r="B3782" s="43"/>
    </row>
    <row r="3783" spans="2:2" x14ac:dyDescent="0.25">
      <c r="B3783" s="43"/>
    </row>
    <row r="3784" spans="2:2" x14ac:dyDescent="0.25">
      <c r="B3784" s="43"/>
    </row>
    <row r="3785" spans="2:2" x14ac:dyDescent="0.25">
      <c r="B3785" s="43"/>
    </row>
    <row r="3786" spans="2:2" x14ac:dyDescent="0.25">
      <c r="B3786" s="43"/>
    </row>
    <row r="3787" spans="2:2" x14ac:dyDescent="0.25">
      <c r="B3787" s="43"/>
    </row>
    <row r="3788" spans="2:2" x14ac:dyDescent="0.25">
      <c r="B3788" s="43"/>
    </row>
    <row r="3789" spans="2:2" x14ac:dyDescent="0.25">
      <c r="B3789" s="43"/>
    </row>
    <row r="3790" spans="2:2" x14ac:dyDescent="0.25">
      <c r="B3790" s="43"/>
    </row>
    <row r="3791" spans="2:2" x14ac:dyDescent="0.25">
      <c r="B3791" s="43"/>
    </row>
    <row r="3792" spans="2:2" x14ac:dyDescent="0.25">
      <c r="B3792" s="43"/>
    </row>
    <row r="3793" spans="2:2" x14ac:dyDescent="0.25">
      <c r="B3793" s="43"/>
    </row>
    <row r="3794" spans="2:2" x14ac:dyDescent="0.25">
      <c r="B3794" s="43"/>
    </row>
    <row r="3795" spans="2:2" x14ac:dyDescent="0.25">
      <c r="B3795" s="43"/>
    </row>
    <row r="3796" spans="2:2" x14ac:dyDescent="0.25">
      <c r="B3796" s="43"/>
    </row>
    <row r="3797" spans="2:2" x14ac:dyDescent="0.25">
      <c r="B3797" s="43"/>
    </row>
    <row r="3798" spans="2:2" x14ac:dyDescent="0.25">
      <c r="B3798" s="43"/>
    </row>
    <row r="3799" spans="2:2" x14ac:dyDescent="0.25">
      <c r="B3799" s="43"/>
    </row>
    <row r="3800" spans="2:2" x14ac:dyDescent="0.25">
      <c r="B3800" s="43"/>
    </row>
    <row r="3801" spans="2:2" x14ac:dyDescent="0.25">
      <c r="B3801" s="43"/>
    </row>
    <row r="3802" spans="2:2" x14ac:dyDescent="0.25">
      <c r="B3802" s="43"/>
    </row>
    <row r="3803" spans="2:2" x14ac:dyDescent="0.25">
      <c r="B3803" s="43"/>
    </row>
    <row r="3804" spans="2:2" x14ac:dyDescent="0.25">
      <c r="B3804" s="43"/>
    </row>
    <row r="3805" spans="2:2" x14ac:dyDescent="0.25">
      <c r="B3805" s="43"/>
    </row>
    <row r="3806" spans="2:2" x14ac:dyDescent="0.25">
      <c r="B3806" s="43"/>
    </row>
    <row r="3807" spans="2:2" x14ac:dyDescent="0.25">
      <c r="B3807" s="43"/>
    </row>
    <row r="3808" spans="2:2" x14ac:dyDescent="0.25">
      <c r="B3808" s="43"/>
    </row>
    <row r="3809" spans="2:2" x14ac:dyDescent="0.25">
      <c r="B3809" s="43"/>
    </row>
    <row r="3810" spans="2:2" x14ac:dyDescent="0.25">
      <c r="B3810" s="43"/>
    </row>
    <row r="3811" spans="2:2" x14ac:dyDescent="0.25">
      <c r="B3811" s="43"/>
    </row>
    <row r="3812" spans="2:2" x14ac:dyDescent="0.25">
      <c r="B3812" s="43"/>
    </row>
    <row r="3813" spans="2:2" x14ac:dyDescent="0.25">
      <c r="B3813" s="43"/>
    </row>
    <row r="3814" spans="2:2" x14ac:dyDescent="0.25">
      <c r="B3814" s="43"/>
    </row>
    <row r="3815" spans="2:2" x14ac:dyDescent="0.25">
      <c r="B3815" s="43"/>
    </row>
    <row r="3816" spans="2:2" x14ac:dyDescent="0.25">
      <c r="B3816" s="43"/>
    </row>
    <row r="3817" spans="2:2" x14ac:dyDescent="0.25">
      <c r="B3817" s="43"/>
    </row>
    <row r="3818" spans="2:2" x14ac:dyDescent="0.25">
      <c r="B3818" s="43"/>
    </row>
    <row r="3819" spans="2:2" x14ac:dyDescent="0.25">
      <c r="B3819" s="43"/>
    </row>
    <row r="3820" spans="2:2" x14ac:dyDescent="0.25">
      <c r="B3820" s="43"/>
    </row>
    <row r="3821" spans="2:2" x14ac:dyDescent="0.25">
      <c r="B3821" s="43"/>
    </row>
    <row r="3822" spans="2:2" x14ac:dyDescent="0.25">
      <c r="B3822" s="43"/>
    </row>
    <row r="3823" spans="2:2" x14ac:dyDescent="0.25">
      <c r="B3823" s="43"/>
    </row>
    <row r="3824" spans="2:2" x14ac:dyDescent="0.25">
      <c r="B3824" s="43"/>
    </row>
    <row r="3825" spans="2:2" x14ac:dyDescent="0.25">
      <c r="B3825" s="43"/>
    </row>
    <row r="3826" spans="2:2" x14ac:dyDescent="0.25">
      <c r="B3826" s="43"/>
    </row>
    <row r="3827" spans="2:2" x14ac:dyDescent="0.25">
      <c r="B3827" s="43"/>
    </row>
    <row r="3828" spans="2:2" x14ac:dyDescent="0.25">
      <c r="B3828" s="43"/>
    </row>
    <row r="3829" spans="2:2" x14ac:dyDescent="0.25">
      <c r="B3829" s="43"/>
    </row>
    <row r="3830" spans="2:2" x14ac:dyDescent="0.25">
      <c r="B3830" s="43"/>
    </row>
    <row r="3831" spans="2:2" x14ac:dyDescent="0.25">
      <c r="B3831" s="43"/>
    </row>
    <row r="3832" spans="2:2" x14ac:dyDescent="0.25">
      <c r="B3832" s="43"/>
    </row>
    <row r="3833" spans="2:2" x14ac:dyDescent="0.25">
      <c r="B3833" s="43"/>
    </row>
    <row r="3834" spans="2:2" x14ac:dyDescent="0.25">
      <c r="B3834" s="43"/>
    </row>
    <row r="3835" spans="2:2" x14ac:dyDescent="0.25">
      <c r="B3835" s="43"/>
    </row>
    <row r="3836" spans="2:2" x14ac:dyDescent="0.25">
      <c r="B3836" s="43"/>
    </row>
    <row r="3837" spans="2:2" x14ac:dyDescent="0.25">
      <c r="B3837" s="43"/>
    </row>
    <row r="3838" spans="2:2" x14ac:dyDescent="0.25">
      <c r="B3838" s="43"/>
    </row>
    <row r="3839" spans="2:2" x14ac:dyDescent="0.25">
      <c r="B3839" s="43"/>
    </row>
    <row r="3840" spans="2:2" x14ac:dyDescent="0.25">
      <c r="B3840" s="43"/>
    </row>
    <row r="3841" spans="2:2" x14ac:dyDescent="0.25">
      <c r="B3841" s="43"/>
    </row>
    <row r="3842" spans="2:2" x14ac:dyDescent="0.25">
      <c r="B3842" s="43"/>
    </row>
    <row r="3843" spans="2:2" x14ac:dyDescent="0.25">
      <c r="B3843" s="43"/>
    </row>
    <row r="3844" spans="2:2" x14ac:dyDescent="0.25">
      <c r="B3844" s="43"/>
    </row>
    <row r="3845" spans="2:2" x14ac:dyDescent="0.25">
      <c r="B3845" s="43"/>
    </row>
    <row r="3846" spans="2:2" x14ac:dyDescent="0.25">
      <c r="B3846" s="43"/>
    </row>
    <row r="3847" spans="2:2" x14ac:dyDescent="0.25">
      <c r="B3847" s="43"/>
    </row>
    <row r="3848" spans="2:2" x14ac:dyDescent="0.25">
      <c r="B3848" s="43"/>
    </row>
    <row r="3849" spans="2:2" x14ac:dyDescent="0.25">
      <c r="B3849" s="43"/>
    </row>
    <row r="3850" spans="2:2" x14ac:dyDescent="0.25">
      <c r="B3850" s="43"/>
    </row>
    <row r="3851" spans="2:2" x14ac:dyDescent="0.25">
      <c r="B3851" s="43"/>
    </row>
    <row r="3852" spans="2:2" x14ac:dyDescent="0.25">
      <c r="B3852" s="43"/>
    </row>
    <row r="3853" spans="2:2" x14ac:dyDescent="0.25">
      <c r="B3853" s="43"/>
    </row>
    <row r="3854" spans="2:2" x14ac:dyDescent="0.25">
      <c r="B3854" s="43"/>
    </row>
    <row r="3855" spans="2:2" x14ac:dyDescent="0.25">
      <c r="B3855" s="43"/>
    </row>
    <row r="3856" spans="2:2" x14ac:dyDescent="0.25">
      <c r="B3856" s="43"/>
    </row>
    <row r="3857" spans="2:2" x14ac:dyDescent="0.25">
      <c r="B3857" s="43"/>
    </row>
    <row r="3858" spans="2:2" x14ac:dyDescent="0.25">
      <c r="B3858" s="43"/>
    </row>
    <row r="3859" spans="2:2" x14ac:dyDescent="0.25">
      <c r="B3859" s="43"/>
    </row>
    <row r="3860" spans="2:2" x14ac:dyDescent="0.25">
      <c r="B3860" s="43"/>
    </row>
    <row r="3861" spans="2:2" x14ac:dyDescent="0.25">
      <c r="B3861" s="43"/>
    </row>
    <row r="3862" spans="2:2" x14ac:dyDescent="0.25">
      <c r="B3862" s="43"/>
    </row>
    <row r="3863" spans="2:2" x14ac:dyDescent="0.25">
      <c r="B3863" s="43"/>
    </row>
    <row r="3864" spans="2:2" x14ac:dyDescent="0.25">
      <c r="B3864" s="43"/>
    </row>
    <row r="3865" spans="2:2" x14ac:dyDescent="0.25">
      <c r="B3865" s="43"/>
    </row>
    <row r="3866" spans="2:2" x14ac:dyDescent="0.25">
      <c r="B3866" s="43"/>
    </row>
    <row r="3867" spans="2:2" x14ac:dyDescent="0.25">
      <c r="B3867" s="43"/>
    </row>
    <row r="3868" spans="2:2" x14ac:dyDescent="0.25">
      <c r="B3868" s="43"/>
    </row>
    <row r="3869" spans="2:2" x14ac:dyDescent="0.25">
      <c r="B3869" s="43"/>
    </row>
    <row r="3870" spans="2:2" x14ac:dyDescent="0.25">
      <c r="B3870" s="43"/>
    </row>
    <row r="3871" spans="2:2" x14ac:dyDescent="0.25">
      <c r="B3871" s="43"/>
    </row>
    <row r="3872" spans="2:2" x14ac:dyDescent="0.25">
      <c r="B3872" s="43"/>
    </row>
    <row r="3873" spans="2:2" x14ac:dyDescent="0.25">
      <c r="B3873" s="43"/>
    </row>
    <row r="3874" spans="2:2" x14ac:dyDescent="0.25">
      <c r="B3874" s="43"/>
    </row>
    <row r="3875" spans="2:2" x14ac:dyDescent="0.25">
      <c r="B3875" s="43"/>
    </row>
    <row r="3876" spans="2:2" x14ac:dyDescent="0.25">
      <c r="B3876" s="43"/>
    </row>
    <row r="3877" spans="2:2" x14ac:dyDescent="0.25">
      <c r="B3877" s="43"/>
    </row>
    <row r="3878" spans="2:2" x14ac:dyDescent="0.25">
      <c r="B3878" s="43"/>
    </row>
    <row r="3879" spans="2:2" x14ac:dyDescent="0.25">
      <c r="B3879" s="43"/>
    </row>
    <row r="3880" spans="2:2" x14ac:dyDescent="0.25">
      <c r="B3880" s="43"/>
    </row>
    <row r="3881" spans="2:2" x14ac:dyDescent="0.25">
      <c r="B3881" s="43"/>
    </row>
    <row r="3882" spans="2:2" x14ac:dyDescent="0.25">
      <c r="B3882" s="43"/>
    </row>
    <row r="3883" spans="2:2" x14ac:dyDescent="0.25">
      <c r="B3883" s="43"/>
    </row>
    <row r="3884" spans="2:2" x14ac:dyDescent="0.25">
      <c r="B3884" s="43"/>
    </row>
    <row r="3885" spans="2:2" x14ac:dyDescent="0.25">
      <c r="B3885" s="43"/>
    </row>
    <row r="3886" spans="2:2" x14ac:dyDescent="0.25">
      <c r="B3886" s="43"/>
    </row>
    <row r="3887" spans="2:2" x14ac:dyDescent="0.25">
      <c r="B3887" s="43"/>
    </row>
    <row r="3888" spans="2:2" x14ac:dyDescent="0.25">
      <c r="B3888" s="43"/>
    </row>
    <row r="3889" spans="2:2" x14ac:dyDescent="0.25">
      <c r="B3889" s="43"/>
    </row>
    <row r="3890" spans="2:2" x14ac:dyDescent="0.25">
      <c r="B3890" s="43"/>
    </row>
    <row r="3891" spans="2:2" x14ac:dyDescent="0.25">
      <c r="B3891" s="43"/>
    </row>
    <row r="3892" spans="2:2" x14ac:dyDescent="0.25">
      <c r="B3892" s="43"/>
    </row>
    <row r="3893" spans="2:2" x14ac:dyDescent="0.25">
      <c r="B3893" s="43"/>
    </row>
    <row r="3894" spans="2:2" x14ac:dyDescent="0.25">
      <c r="B3894" s="43"/>
    </row>
    <row r="3895" spans="2:2" x14ac:dyDescent="0.25">
      <c r="B3895" s="43"/>
    </row>
    <row r="3896" spans="2:2" x14ac:dyDescent="0.25">
      <c r="B3896" s="43"/>
    </row>
    <row r="3897" spans="2:2" x14ac:dyDescent="0.25">
      <c r="B3897" s="43"/>
    </row>
    <row r="3898" spans="2:2" x14ac:dyDescent="0.25">
      <c r="B3898" s="43"/>
    </row>
    <row r="3899" spans="2:2" x14ac:dyDescent="0.25">
      <c r="B3899" s="43"/>
    </row>
    <row r="3900" spans="2:2" x14ac:dyDescent="0.25">
      <c r="B3900" s="43"/>
    </row>
    <row r="3901" spans="2:2" x14ac:dyDescent="0.25">
      <c r="B3901" s="43"/>
    </row>
    <row r="3902" spans="2:2" x14ac:dyDescent="0.25">
      <c r="B3902" s="43"/>
    </row>
    <row r="3903" spans="2:2" x14ac:dyDescent="0.25">
      <c r="B3903" s="43"/>
    </row>
    <row r="3904" spans="2:2" x14ac:dyDescent="0.25">
      <c r="B3904" s="43"/>
    </row>
    <row r="3905" spans="2:2" x14ac:dyDescent="0.25">
      <c r="B3905" s="43"/>
    </row>
    <row r="3906" spans="2:2" x14ac:dyDescent="0.25">
      <c r="B3906" s="43"/>
    </row>
    <row r="3907" spans="2:2" x14ac:dyDescent="0.25">
      <c r="B3907" s="43"/>
    </row>
    <row r="3908" spans="2:2" x14ac:dyDescent="0.25">
      <c r="B3908" s="43"/>
    </row>
    <row r="3909" spans="2:2" x14ac:dyDescent="0.25">
      <c r="B3909" s="43"/>
    </row>
    <row r="3910" spans="2:2" x14ac:dyDescent="0.25">
      <c r="B3910" s="43"/>
    </row>
    <row r="3911" spans="2:2" x14ac:dyDescent="0.25">
      <c r="B3911" s="43"/>
    </row>
    <row r="3912" spans="2:2" x14ac:dyDescent="0.25">
      <c r="B3912" s="43"/>
    </row>
    <row r="3913" spans="2:2" x14ac:dyDescent="0.25">
      <c r="B3913" s="43"/>
    </row>
    <row r="3914" spans="2:2" x14ac:dyDescent="0.25">
      <c r="B3914" s="43"/>
    </row>
    <row r="3915" spans="2:2" x14ac:dyDescent="0.25">
      <c r="B3915" s="43"/>
    </row>
    <row r="3916" spans="2:2" x14ac:dyDescent="0.25">
      <c r="B3916" s="43"/>
    </row>
    <row r="3917" spans="2:2" x14ac:dyDescent="0.25">
      <c r="B3917" s="43"/>
    </row>
    <row r="3918" spans="2:2" x14ac:dyDescent="0.25">
      <c r="B3918" s="43"/>
    </row>
    <row r="3919" spans="2:2" x14ac:dyDescent="0.25">
      <c r="B3919" s="43"/>
    </row>
    <row r="3920" spans="2:2" x14ac:dyDescent="0.25">
      <c r="B3920" s="43"/>
    </row>
    <row r="3921" spans="2:2" x14ac:dyDescent="0.25">
      <c r="B3921" s="43"/>
    </row>
    <row r="3922" spans="2:2" x14ac:dyDescent="0.25">
      <c r="B3922" s="43"/>
    </row>
    <row r="3923" spans="2:2" x14ac:dyDescent="0.25">
      <c r="B3923" s="43"/>
    </row>
    <row r="3924" spans="2:2" x14ac:dyDescent="0.25">
      <c r="B3924" s="43"/>
    </row>
    <row r="3925" spans="2:2" x14ac:dyDescent="0.25">
      <c r="B3925" s="43"/>
    </row>
    <row r="3926" spans="2:2" x14ac:dyDescent="0.25">
      <c r="B3926" s="43"/>
    </row>
    <row r="3927" spans="2:2" x14ac:dyDescent="0.25">
      <c r="B3927" s="43"/>
    </row>
    <row r="3928" spans="2:2" x14ac:dyDescent="0.25">
      <c r="B3928" s="43"/>
    </row>
    <row r="3929" spans="2:2" x14ac:dyDescent="0.25">
      <c r="B3929" s="43"/>
    </row>
    <row r="3930" spans="2:2" x14ac:dyDescent="0.25">
      <c r="B3930" s="43"/>
    </row>
    <row r="3931" spans="2:2" x14ac:dyDescent="0.25">
      <c r="B3931" s="43"/>
    </row>
    <row r="3932" spans="2:2" x14ac:dyDescent="0.25">
      <c r="B3932" s="43"/>
    </row>
    <row r="3933" spans="2:2" x14ac:dyDescent="0.25">
      <c r="B3933" s="43"/>
    </row>
    <row r="3934" spans="2:2" x14ac:dyDescent="0.25">
      <c r="B3934" s="43"/>
    </row>
    <row r="3935" spans="2:2" x14ac:dyDescent="0.25">
      <c r="B3935" s="43"/>
    </row>
    <row r="3936" spans="2:2" x14ac:dyDescent="0.25">
      <c r="B3936" s="43"/>
    </row>
    <row r="3937" spans="2:2" x14ac:dyDescent="0.25">
      <c r="B3937" s="43"/>
    </row>
    <row r="3938" spans="2:2" x14ac:dyDescent="0.25">
      <c r="B3938" s="43"/>
    </row>
    <row r="3939" spans="2:2" x14ac:dyDescent="0.25">
      <c r="B3939" s="43"/>
    </row>
    <row r="3940" spans="2:2" x14ac:dyDescent="0.25">
      <c r="B3940" s="43"/>
    </row>
    <row r="3941" spans="2:2" x14ac:dyDescent="0.25">
      <c r="B3941" s="43"/>
    </row>
    <row r="3942" spans="2:2" x14ac:dyDescent="0.25">
      <c r="B3942" s="43"/>
    </row>
    <row r="3943" spans="2:2" x14ac:dyDescent="0.25">
      <c r="B3943" s="43"/>
    </row>
    <row r="3944" spans="2:2" x14ac:dyDescent="0.25">
      <c r="B3944" s="43"/>
    </row>
    <row r="3945" spans="2:2" x14ac:dyDescent="0.25">
      <c r="B3945" s="43"/>
    </row>
    <row r="3946" spans="2:2" x14ac:dyDescent="0.25">
      <c r="B3946" s="43"/>
    </row>
    <row r="3947" spans="2:2" x14ac:dyDescent="0.25">
      <c r="B3947" s="43"/>
    </row>
    <row r="3948" spans="2:2" x14ac:dyDescent="0.25">
      <c r="B3948" s="43"/>
    </row>
    <row r="3949" spans="2:2" x14ac:dyDescent="0.25">
      <c r="B3949" s="43"/>
    </row>
    <row r="3950" spans="2:2" x14ac:dyDescent="0.25">
      <c r="B3950" s="43"/>
    </row>
    <row r="3951" spans="2:2" x14ac:dyDescent="0.25">
      <c r="B3951" s="43"/>
    </row>
    <row r="3952" spans="2:2" x14ac:dyDescent="0.25">
      <c r="B3952" s="43"/>
    </row>
    <row r="3953" spans="2:2" x14ac:dyDescent="0.25">
      <c r="B3953" s="43"/>
    </row>
    <row r="3954" spans="2:2" x14ac:dyDescent="0.25">
      <c r="B3954" s="43"/>
    </row>
    <row r="3955" spans="2:2" x14ac:dyDescent="0.25">
      <c r="B3955" s="43"/>
    </row>
    <row r="3956" spans="2:2" x14ac:dyDescent="0.25">
      <c r="B3956" s="43"/>
    </row>
    <row r="3957" spans="2:2" x14ac:dyDescent="0.25">
      <c r="B3957" s="43"/>
    </row>
    <row r="3958" spans="2:2" x14ac:dyDescent="0.25">
      <c r="B3958" s="43"/>
    </row>
    <row r="3959" spans="2:2" x14ac:dyDescent="0.25">
      <c r="B3959" s="43"/>
    </row>
    <row r="3960" spans="2:2" x14ac:dyDescent="0.25">
      <c r="B3960" s="43"/>
    </row>
    <row r="3961" spans="2:2" x14ac:dyDescent="0.25">
      <c r="B3961" s="43"/>
    </row>
    <row r="3962" spans="2:2" x14ac:dyDescent="0.25">
      <c r="B3962" s="43"/>
    </row>
    <row r="3963" spans="2:2" x14ac:dyDescent="0.25">
      <c r="B3963" s="43"/>
    </row>
    <row r="3964" spans="2:2" x14ac:dyDescent="0.25">
      <c r="B3964" s="43"/>
    </row>
    <row r="3965" spans="2:2" x14ac:dyDescent="0.25">
      <c r="B3965" s="43"/>
    </row>
    <row r="3966" spans="2:2" x14ac:dyDescent="0.25">
      <c r="B3966" s="43"/>
    </row>
    <row r="3967" spans="2:2" x14ac:dyDescent="0.25">
      <c r="B3967" s="43"/>
    </row>
    <row r="3968" spans="2:2" x14ac:dyDescent="0.25">
      <c r="B3968" s="43"/>
    </row>
    <row r="3969" spans="2:2" x14ac:dyDescent="0.25">
      <c r="B3969" s="43"/>
    </row>
    <row r="3970" spans="2:2" x14ac:dyDescent="0.25">
      <c r="B3970" s="43"/>
    </row>
    <row r="3971" spans="2:2" x14ac:dyDescent="0.25">
      <c r="B3971" s="43"/>
    </row>
    <row r="3972" spans="2:2" x14ac:dyDescent="0.25">
      <c r="B3972" s="43"/>
    </row>
    <row r="3973" spans="2:2" x14ac:dyDescent="0.25">
      <c r="B3973" s="43"/>
    </row>
    <row r="3974" spans="2:2" x14ac:dyDescent="0.25">
      <c r="B3974" s="43"/>
    </row>
    <row r="3975" spans="2:2" x14ac:dyDescent="0.25">
      <c r="B3975" s="43"/>
    </row>
    <row r="3976" spans="2:2" x14ac:dyDescent="0.25">
      <c r="B3976" s="43"/>
    </row>
    <row r="3977" spans="2:2" x14ac:dyDescent="0.25">
      <c r="B3977" s="43"/>
    </row>
    <row r="3978" spans="2:2" x14ac:dyDescent="0.25">
      <c r="B3978" s="43"/>
    </row>
    <row r="3979" spans="2:2" x14ac:dyDescent="0.25">
      <c r="B3979" s="43"/>
    </row>
    <row r="3980" spans="2:2" x14ac:dyDescent="0.25">
      <c r="B3980" s="43"/>
    </row>
    <row r="3981" spans="2:2" x14ac:dyDescent="0.25">
      <c r="B3981" s="43"/>
    </row>
    <row r="3982" spans="2:2" x14ac:dyDescent="0.25">
      <c r="B3982" s="43"/>
    </row>
    <row r="3983" spans="2:2" x14ac:dyDescent="0.25">
      <c r="B3983" s="43"/>
    </row>
    <row r="3984" spans="2:2" x14ac:dyDescent="0.25">
      <c r="B3984" s="43"/>
    </row>
    <row r="3985" spans="2:2" x14ac:dyDescent="0.25">
      <c r="B3985" s="43"/>
    </row>
    <row r="3986" spans="2:2" x14ac:dyDescent="0.25">
      <c r="B3986" s="43"/>
    </row>
    <row r="3987" spans="2:2" x14ac:dyDescent="0.25">
      <c r="B3987" s="43"/>
    </row>
    <row r="3988" spans="2:2" x14ac:dyDescent="0.25">
      <c r="B3988" s="43"/>
    </row>
    <row r="3989" spans="2:2" x14ac:dyDescent="0.25">
      <c r="B3989" s="43"/>
    </row>
    <row r="3990" spans="2:2" x14ac:dyDescent="0.25">
      <c r="B3990" s="43"/>
    </row>
    <row r="3991" spans="2:2" x14ac:dyDescent="0.25">
      <c r="B3991" s="43"/>
    </row>
    <row r="3992" spans="2:2" x14ac:dyDescent="0.25">
      <c r="B3992" s="43"/>
    </row>
    <row r="3993" spans="2:2" x14ac:dyDescent="0.25">
      <c r="B3993" s="43"/>
    </row>
    <row r="3994" spans="2:2" x14ac:dyDescent="0.25">
      <c r="B3994" s="43"/>
    </row>
    <row r="3995" spans="2:2" x14ac:dyDescent="0.25">
      <c r="B3995" s="43"/>
    </row>
    <row r="3996" spans="2:2" x14ac:dyDescent="0.25">
      <c r="B3996" s="43"/>
    </row>
    <row r="3997" spans="2:2" x14ac:dyDescent="0.25">
      <c r="B3997" s="43"/>
    </row>
    <row r="3998" spans="2:2" x14ac:dyDescent="0.25">
      <c r="B3998" s="43"/>
    </row>
    <row r="3999" spans="2:2" x14ac:dyDescent="0.25">
      <c r="B3999" s="43"/>
    </row>
    <row r="4000" spans="2:2" x14ac:dyDescent="0.25">
      <c r="B4000" s="43"/>
    </row>
    <row r="4001" spans="2:2" x14ac:dyDescent="0.25">
      <c r="B4001" s="43"/>
    </row>
    <row r="4002" spans="2:2" x14ac:dyDescent="0.25">
      <c r="B4002" s="43"/>
    </row>
    <row r="4003" spans="2:2" x14ac:dyDescent="0.25">
      <c r="B4003" s="43"/>
    </row>
    <row r="4004" spans="2:2" x14ac:dyDescent="0.25">
      <c r="B4004" s="43"/>
    </row>
    <row r="4005" spans="2:2" x14ac:dyDescent="0.25">
      <c r="B4005" s="43"/>
    </row>
    <row r="4006" spans="2:2" x14ac:dyDescent="0.25">
      <c r="B4006" s="43"/>
    </row>
    <row r="4007" spans="2:2" x14ac:dyDescent="0.25">
      <c r="B4007" s="43"/>
    </row>
    <row r="4008" spans="2:2" x14ac:dyDescent="0.25">
      <c r="B4008" s="43"/>
    </row>
    <row r="4009" spans="2:2" x14ac:dyDescent="0.25">
      <c r="B4009" s="43"/>
    </row>
    <row r="4010" spans="2:2" x14ac:dyDescent="0.25">
      <c r="B4010" s="43"/>
    </row>
    <row r="4011" spans="2:2" x14ac:dyDescent="0.25">
      <c r="B4011" s="43"/>
    </row>
    <row r="4012" spans="2:2" x14ac:dyDescent="0.25">
      <c r="B4012" s="43"/>
    </row>
    <row r="4013" spans="2:2" x14ac:dyDescent="0.25">
      <c r="B4013" s="43"/>
    </row>
    <row r="4014" spans="2:2" x14ac:dyDescent="0.25">
      <c r="B4014" s="43"/>
    </row>
    <row r="4015" spans="2:2" x14ac:dyDescent="0.25">
      <c r="B4015" s="43"/>
    </row>
    <row r="4016" spans="2:2" x14ac:dyDescent="0.25">
      <c r="B4016" s="43"/>
    </row>
    <row r="4017" spans="2:2" x14ac:dyDescent="0.25">
      <c r="B4017" s="43"/>
    </row>
    <row r="4018" spans="2:2" x14ac:dyDescent="0.25">
      <c r="B4018" s="43"/>
    </row>
    <row r="4019" spans="2:2" x14ac:dyDescent="0.25">
      <c r="B4019" s="43"/>
    </row>
    <row r="4020" spans="2:2" x14ac:dyDescent="0.25">
      <c r="B4020" s="43"/>
    </row>
    <row r="4021" spans="2:2" x14ac:dyDescent="0.25">
      <c r="B4021" s="43"/>
    </row>
    <row r="4022" spans="2:2" x14ac:dyDescent="0.25">
      <c r="B4022" s="43"/>
    </row>
    <row r="4023" spans="2:2" x14ac:dyDescent="0.25">
      <c r="B4023" s="43"/>
    </row>
    <row r="4024" spans="2:2" x14ac:dyDescent="0.25">
      <c r="B4024" s="43"/>
    </row>
    <row r="4025" spans="2:2" x14ac:dyDescent="0.25">
      <c r="B4025" s="43"/>
    </row>
    <row r="4026" spans="2:2" x14ac:dyDescent="0.25">
      <c r="B4026" s="43"/>
    </row>
    <row r="4027" spans="2:2" x14ac:dyDescent="0.25">
      <c r="B4027" s="43"/>
    </row>
    <row r="4028" spans="2:2" x14ac:dyDescent="0.25">
      <c r="B4028" s="43"/>
    </row>
    <row r="4029" spans="2:2" x14ac:dyDescent="0.25">
      <c r="B4029" s="43"/>
    </row>
    <row r="4030" spans="2:2" x14ac:dyDescent="0.25">
      <c r="B4030" s="43"/>
    </row>
    <row r="4031" spans="2:2" x14ac:dyDescent="0.25">
      <c r="B4031" s="43"/>
    </row>
    <row r="4032" spans="2:2" x14ac:dyDescent="0.25">
      <c r="B4032" s="43"/>
    </row>
    <row r="4033" spans="2:2" x14ac:dyDescent="0.25">
      <c r="B4033" s="43"/>
    </row>
    <row r="4034" spans="2:2" x14ac:dyDescent="0.25">
      <c r="B4034" s="43"/>
    </row>
    <row r="4035" spans="2:2" x14ac:dyDescent="0.25">
      <c r="B4035" s="43"/>
    </row>
    <row r="4036" spans="2:2" x14ac:dyDescent="0.25">
      <c r="B4036" s="43"/>
    </row>
    <row r="4037" spans="2:2" x14ac:dyDescent="0.25">
      <c r="B4037" s="43"/>
    </row>
    <row r="4038" spans="2:2" x14ac:dyDescent="0.25">
      <c r="B4038" s="43"/>
    </row>
    <row r="4039" spans="2:2" x14ac:dyDescent="0.25">
      <c r="B4039" s="43"/>
    </row>
    <row r="4040" spans="2:2" x14ac:dyDescent="0.25">
      <c r="B4040" s="43"/>
    </row>
    <row r="4041" spans="2:2" x14ac:dyDescent="0.25">
      <c r="B4041" s="43"/>
    </row>
    <row r="4042" spans="2:2" x14ac:dyDescent="0.25">
      <c r="B4042" s="43"/>
    </row>
    <row r="4043" spans="2:2" x14ac:dyDescent="0.25">
      <c r="B4043" s="43"/>
    </row>
    <row r="4044" spans="2:2" x14ac:dyDescent="0.25">
      <c r="B4044" s="43"/>
    </row>
    <row r="4045" spans="2:2" x14ac:dyDescent="0.25">
      <c r="B4045" s="43"/>
    </row>
    <row r="4046" spans="2:2" x14ac:dyDescent="0.25">
      <c r="B4046" s="43"/>
    </row>
    <row r="4047" spans="2:2" x14ac:dyDescent="0.25">
      <c r="B4047" s="43"/>
    </row>
    <row r="4048" spans="2:2" x14ac:dyDescent="0.25">
      <c r="B4048" s="43"/>
    </row>
    <row r="4049" spans="2:2" x14ac:dyDescent="0.25">
      <c r="B4049" s="43"/>
    </row>
    <row r="4050" spans="2:2" x14ac:dyDescent="0.25">
      <c r="B4050" s="43"/>
    </row>
    <row r="4051" spans="2:2" x14ac:dyDescent="0.25">
      <c r="B4051" s="43"/>
    </row>
    <row r="4052" spans="2:2" x14ac:dyDescent="0.25">
      <c r="B4052" s="43"/>
    </row>
    <row r="4053" spans="2:2" x14ac:dyDescent="0.25">
      <c r="B4053" s="43"/>
    </row>
    <row r="4054" spans="2:2" x14ac:dyDescent="0.25">
      <c r="B4054" s="43"/>
    </row>
    <row r="4055" spans="2:2" x14ac:dyDescent="0.25">
      <c r="B4055" s="43"/>
    </row>
    <row r="4056" spans="2:2" x14ac:dyDescent="0.25">
      <c r="B4056" s="43"/>
    </row>
    <row r="4057" spans="2:2" x14ac:dyDescent="0.25">
      <c r="B4057" s="43"/>
    </row>
    <row r="4058" spans="2:2" x14ac:dyDescent="0.25">
      <c r="B4058" s="43"/>
    </row>
    <row r="4059" spans="2:2" x14ac:dyDescent="0.25">
      <c r="B4059" s="43"/>
    </row>
    <row r="4060" spans="2:2" x14ac:dyDescent="0.25">
      <c r="B4060" s="43"/>
    </row>
    <row r="4061" spans="2:2" x14ac:dyDescent="0.25">
      <c r="B4061" s="43"/>
    </row>
    <row r="4062" spans="2:2" x14ac:dyDescent="0.25">
      <c r="B4062" s="43"/>
    </row>
    <row r="4063" spans="2:2" x14ac:dyDescent="0.25">
      <c r="B4063" s="43"/>
    </row>
    <row r="4064" spans="2:2" x14ac:dyDescent="0.25">
      <c r="B4064" s="43"/>
    </row>
    <row r="4065" spans="2:2" x14ac:dyDescent="0.25">
      <c r="B4065" s="43"/>
    </row>
    <row r="4066" spans="2:2" x14ac:dyDescent="0.25">
      <c r="B4066" s="43"/>
    </row>
    <row r="4067" spans="2:2" x14ac:dyDescent="0.25">
      <c r="B4067" s="43"/>
    </row>
    <row r="4068" spans="2:2" x14ac:dyDescent="0.25">
      <c r="B4068" s="43"/>
    </row>
    <row r="4069" spans="2:2" x14ac:dyDescent="0.25">
      <c r="B4069" s="43"/>
    </row>
    <row r="4070" spans="2:2" x14ac:dyDescent="0.25">
      <c r="B4070" s="43"/>
    </row>
    <row r="4071" spans="2:2" x14ac:dyDescent="0.25">
      <c r="B4071" s="43"/>
    </row>
    <row r="4072" spans="2:2" x14ac:dyDescent="0.25">
      <c r="B4072" s="43"/>
    </row>
    <row r="4073" spans="2:2" x14ac:dyDescent="0.25">
      <c r="B4073" s="43"/>
    </row>
    <row r="4074" spans="2:2" x14ac:dyDescent="0.25">
      <c r="B4074" s="43"/>
    </row>
    <row r="4075" spans="2:2" x14ac:dyDescent="0.25">
      <c r="B4075" s="43"/>
    </row>
    <row r="4076" spans="2:2" x14ac:dyDescent="0.25">
      <c r="B4076" s="43"/>
    </row>
    <row r="4077" spans="2:2" x14ac:dyDescent="0.25">
      <c r="B4077" s="43"/>
    </row>
    <row r="4078" spans="2:2" x14ac:dyDescent="0.25">
      <c r="B4078" s="43"/>
    </row>
    <row r="4079" spans="2:2" x14ac:dyDescent="0.25">
      <c r="B4079" s="43"/>
    </row>
    <row r="4080" spans="2:2" x14ac:dyDescent="0.25">
      <c r="B4080" s="43"/>
    </row>
    <row r="4081" spans="2:2" x14ac:dyDescent="0.25">
      <c r="B4081" s="43"/>
    </row>
    <row r="4082" spans="2:2" x14ac:dyDescent="0.25">
      <c r="B4082" s="43"/>
    </row>
    <row r="4083" spans="2:2" x14ac:dyDescent="0.25">
      <c r="B4083" s="43"/>
    </row>
    <row r="4084" spans="2:2" x14ac:dyDescent="0.25">
      <c r="B4084" s="43"/>
    </row>
    <row r="4085" spans="2:2" x14ac:dyDescent="0.25">
      <c r="B4085" s="43"/>
    </row>
    <row r="4086" spans="2:2" x14ac:dyDescent="0.25">
      <c r="B4086" s="43"/>
    </row>
    <row r="4087" spans="2:2" x14ac:dyDescent="0.25">
      <c r="B4087" s="43"/>
    </row>
    <row r="4088" spans="2:2" x14ac:dyDescent="0.25">
      <c r="B4088" s="43"/>
    </row>
    <row r="4089" spans="2:2" x14ac:dyDescent="0.25">
      <c r="B4089" s="43"/>
    </row>
    <row r="4090" spans="2:2" x14ac:dyDescent="0.25">
      <c r="B4090" s="43"/>
    </row>
    <row r="4091" spans="2:2" x14ac:dyDescent="0.25">
      <c r="B4091" s="43"/>
    </row>
    <row r="4092" spans="2:2" x14ac:dyDescent="0.25">
      <c r="B4092" s="43"/>
    </row>
    <row r="4093" spans="2:2" x14ac:dyDescent="0.25">
      <c r="B4093" s="43"/>
    </row>
    <row r="4094" spans="2:2" x14ac:dyDescent="0.25">
      <c r="B4094" s="43"/>
    </row>
    <row r="4095" spans="2:2" x14ac:dyDescent="0.25">
      <c r="B4095" s="43"/>
    </row>
    <row r="4096" spans="2:2" x14ac:dyDescent="0.25">
      <c r="B4096" s="43"/>
    </row>
    <row r="4097" spans="2:2" x14ac:dyDescent="0.25">
      <c r="B4097" s="43"/>
    </row>
    <row r="4098" spans="2:2" x14ac:dyDescent="0.25">
      <c r="B4098" s="43"/>
    </row>
    <row r="4099" spans="2:2" x14ac:dyDescent="0.25">
      <c r="B4099" s="43"/>
    </row>
    <row r="4100" spans="2:2" x14ac:dyDescent="0.25">
      <c r="B4100" s="43"/>
    </row>
    <row r="4101" spans="2:2" x14ac:dyDescent="0.25">
      <c r="B4101" s="43"/>
    </row>
    <row r="4102" spans="2:2" x14ac:dyDescent="0.25">
      <c r="B4102" s="43"/>
    </row>
    <row r="4103" spans="2:2" x14ac:dyDescent="0.25">
      <c r="B4103" s="43"/>
    </row>
    <row r="4104" spans="2:2" x14ac:dyDescent="0.25">
      <c r="B4104" s="43"/>
    </row>
    <row r="4105" spans="2:2" x14ac:dyDescent="0.25">
      <c r="B4105" s="43"/>
    </row>
    <row r="4106" spans="2:2" x14ac:dyDescent="0.25">
      <c r="B4106" s="43"/>
    </row>
    <row r="4107" spans="2:2" x14ac:dyDescent="0.25">
      <c r="B4107" s="43"/>
    </row>
    <row r="4108" spans="2:2" x14ac:dyDescent="0.25">
      <c r="B4108" s="43"/>
    </row>
    <row r="4109" spans="2:2" x14ac:dyDescent="0.25">
      <c r="B4109" s="43"/>
    </row>
    <row r="4110" spans="2:2" x14ac:dyDescent="0.25">
      <c r="B4110" s="43"/>
    </row>
    <row r="4111" spans="2:2" x14ac:dyDescent="0.25">
      <c r="B4111" s="43"/>
    </row>
    <row r="4112" spans="2:2" x14ac:dyDescent="0.25">
      <c r="B4112" s="43"/>
    </row>
    <row r="4113" spans="2:2" x14ac:dyDescent="0.25">
      <c r="B4113" s="43"/>
    </row>
    <row r="4114" spans="2:2" x14ac:dyDescent="0.25">
      <c r="B4114" s="43"/>
    </row>
    <row r="4115" spans="2:2" x14ac:dyDescent="0.25">
      <c r="B4115" s="43"/>
    </row>
    <row r="4116" spans="2:2" x14ac:dyDescent="0.25">
      <c r="B4116" s="43"/>
    </row>
    <row r="4117" spans="2:2" x14ac:dyDescent="0.25">
      <c r="B4117" s="43"/>
    </row>
    <row r="4118" spans="2:2" x14ac:dyDescent="0.25">
      <c r="B4118" s="43"/>
    </row>
    <row r="4119" spans="2:2" x14ac:dyDescent="0.25">
      <c r="B4119" s="43"/>
    </row>
    <row r="4120" spans="2:2" x14ac:dyDescent="0.25">
      <c r="B4120" s="43"/>
    </row>
    <row r="4121" spans="2:2" x14ac:dyDescent="0.25">
      <c r="B4121" s="43"/>
    </row>
    <row r="4122" spans="2:2" x14ac:dyDescent="0.25">
      <c r="B4122" s="43"/>
    </row>
    <row r="4123" spans="2:2" x14ac:dyDescent="0.25">
      <c r="B4123" s="43"/>
    </row>
    <row r="4124" spans="2:2" x14ac:dyDescent="0.25">
      <c r="B4124" s="43"/>
    </row>
    <row r="4125" spans="2:2" x14ac:dyDescent="0.25">
      <c r="B4125" s="43"/>
    </row>
    <row r="4126" spans="2:2" x14ac:dyDescent="0.25">
      <c r="B4126" s="43"/>
    </row>
    <row r="4127" spans="2:2" x14ac:dyDescent="0.25">
      <c r="B4127" s="43"/>
    </row>
    <row r="4128" spans="2:2" x14ac:dyDescent="0.25">
      <c r="B4128" s="43"/>
    </row>
    <row r="4129" spans="2:2" x14ac:dyDescent="0.25">
      <c r="B4129" s="43"/>
    </row>
    <row r="4130" spans="2:2" x14ac:dyDescent="0.25">
      <c r="B4130" s="43"/>
    </row>
    <row r="4131" spans="2:2" x14ac:dyDescent="0.25">
      <c r="B4131" s="43"/>
    </row>
    <row r="4132" spans="2:2" x14ac:dyDescent="0.25">
      <c r="B4132" s="43"/>
    </row>
    <row r="4133" spans="2:2" x14ac:dyDescent="0.25">
      <c r="B4133" s="43"/>
    </row>
    <row r="4134" spans="2:2" x14ac:dyDescent="0.25">
      <c r="B4134" s="43"/>
    </row>
    <row r="4135" spans="2:2" x14ac:dyDescent="0.25">
      <c r="B4135" s="43"/>
    </row>
    <row r="4136" spans="2:2" x14ac:dyDescent="0.25">
      <c r="B4136" s="43"/>
    </row>
    <row r="4137" spans="2:2" x14ac:dyDescent="0.25">
      <c r="B4137" s="43"/>
    </row>
    <row r="4138" spans="2:2" x14ac:dyDescent="0.25">
      <c r="B4138" s="43"/>
    </row>
    <row r="4139" spans="2:2" x14ac:dyDescent="0.25">
      <c r="B4139" s="43"/>
    </row>
    <row r="4140" spans="2:2" x14ac:dyDescent="0.25">
      <c r="B4140" s="43"/>
    </row>
    <row r="4141" spans="2:2" x14ac:dyDescent="0.25">
      <c r="B4141" s="43"/>
    </row>
    <row r="4142" spans="2:2" x14ac:dyDescent="0.25">
      <c r="B4142" s="43"/>
    </row>
    <row r="4143" spans="2:2" x14ac:dyDescent="0.25">
      <c r="B4143" s="43"/>
    </row>
    <row r="4144" spans="2:2" x14ac:dyDescent="0.25">
      <c r="B4144" s="43"/>
    </row>
    <row r="4145" spans="2:2" x14ac:dyDescent="0.25">
      <c r="B4145" s="43"/>
    </row>
    <row r="4146" spans="2:2" x14ac:dyDescent="0.25">
      <c r="B4146" s="43"/>
    </row>
    <row r="4147" spans="2:2" x14ac:dyDescent="0.25">
      <c r="B4147" s="43"/>
    </row>
    <row r="4148" spans="2:2" x14ac:dyDescent="0.25">
      <c r="B4148" s="43"/>
    </row>
    <row r="4149" spans="2:2" x14ac:dyDescent="0.25">
      <c r="B4149" s="43"/>
    </row>
    <row r="4150" spans="2:2" x14ac:dyDescent="0.25">
      <c r="B4150" s="43"/>
    </row>
    <row r="4151" spans="2:2" x14ac:dyDescent="0.25">
      <c r="B4151" s="43"/>
    </row>
    <row r="4152" spans="2:2" x14ac:dyDescent="0.25">
      <c r="B4152" s="43"/>
    </row>
    <row r="4153" spans="2:2" x14ac:dyDescent="0.25">
      <c r="B4153" s="43"/>
    </row>
    <row r="4154" spans="2:2" x14ac:dyDescent="0.25">
      <c r="B4154" s="43"/>
    </row>
    <row r="4155" spans="2:2" x14ac:dyDescent="0.25">
      <c r="B4155" s="43"/>
    </row>
    <row r="4156" spans="2:2" x14ac:dyDescent="0.25">
      <c r="B4156" s="43"/>
    </row>
    <row r="4157" spans="2:2" x14ac:dyDescent="0.25">
      <c r="B4157" s="43"/>
    </row>
    <row r="4158" spans="2:2" x14ac:dyDescent="0.25">
      <c r="B4158" s="43"/>
    </row>
    <row r="4159" spans="2:2" x14ac:dyDescent="0.25">
      <c r="B4159" s="43"/>
    </row>
    <row r="4160" spans="2:2" x14ac:dyDescent="0.25">
      <c r="B4160" s="43"/>
    </row>
    <row r="4161" spans="2:2" x14ac:dyDescent="0.25">
      <c r="B4161" s="43"/>
    </row>
    <row r="4162" spans="2:2" x14ac:dyDescent="0.25">
      <c r="B4162" s="43"/>
    </row>
    <row r="4163" spans="2:2" x14ac:dyDescent="0.25">
      <c r="B4163" s="43"/>
    </row>
    <row r="4164" spans="2:2" x14ac:dyDescent="0.25">
      <c r="B4164" s="43"/>
    </row>
    <row r="4165" spans="2:2" x14ac:dyDescent="0.25">
      <c r="B4165" s="43"/>
    </row>
    <row r="4166" spans="2:2" x14ac:dyDescent="0.25">
      <c r="B4166" s="43"/>
    </row>
    <row r="4167" spans="2:2" x14ac:dyDescent="0.25">
      <c r="B4167" s="43"/>
    </row>
    <row r="4168" spans="2:2" x14ac:dyDescent="0.25">
      <c r="B4168" s="43"/>
    </row>
    <row r="4169" spans="2:2" x14ac:dyDescent="0.25">
      <c r="B4169" s="43"/>
    </row>
    <row r="4170" spans="2:2" x14ac:dyDescent="0.25">
      <c r="B4170" s="43"/>
    </row>
    <row r="4171" spans="2:2" x14ac:dyDescent="0.25">
      <c r="B4171" s="43"/>
    </row>
    <row r="4172" spans="2:2" x14ac:dyDescent="0.25">
      <c r="B4172" s="43"/>
    </row>
    <row r="4173" spans="2:2" x14ac:dyDescent="0.25">
      <c r="B4173" s="43"/>
    </row>
    <row r="4174" spans="2:2" x14ac:dyDescent="0.25">
      <c r="B4174" s="43"/>
    </row>
    <row r="4175" spans="2:2" x14ac:dyDescent="0.25">
      <c r="B4175" s="43"/>
    </row>
    <row r="4176" spans="2:2" x14ac:dyDescent="0.25">
      <c r="B4176" s="43"/>
    </row>
    <row r="4177" spans="2:2" x14ac:dyDescent="0.25">
      <c r="B4177" s="43"/>
    </row>
    <row r="4178" spans="2:2" x14ac:dyDescent="0.25">
      <c r="B4178" s="43"/>
    </row>
    <row r="4179" spans="2:2" x14ac:dyDescent="0.25">
      <c r="B4179" s="43"/>
    </row>
    <row r="4180" spans="2:2" x14ac:dyDescent="0.25">
      <c r="B4180" s="43"/>
    </row>
    <row r="4181" spans="2:2" x14ac:dyDescent="0.25">
      <c r="B4181" s="43"/>
    </row>
    <row r="4182" spans="2:2" x14ac:dyDescent="0.25">
      <c r="B4182" s="43"/>
    </row>
    <row r="4183" spans="2:2" x14ac:dyDescent="0.25">
      <c r="B4183" s="43"/>
    </row>
    <row r="4184" spans="2:2" x14ac:dyDescent="0.25">
      <c r="B4184" s="43"/>
    </row>
    <row r="4185" spans="2:2" x14ac:dyDescent="0.25">
      <c r="B4185" s="43"/>
    </row>
    <row r="4186" spans="2:2" x14ac:dyDescent="0.25">
      <c r="B4186" s="43"/>
    </row>
    <row r="4187" spans="2:2" x14ac:dyDescent="0.25">
      <c r="B4187" s="43"/>
    </row>
    <row r="4188" spans="2:2" x14ac:dyDescent="0.25">
      <c r="B4188" s="43"/>
    </row>
    <row r="4189" spans="2:2" x14ac:dyDescent="0.25">
      <c r="B4189" s="43"/>
    </row>
    <row r="4190" spans="2:2" x14ac:dyDescent="0.25">
      <c r="B4190" s="43"/>
    </row>
    <row r="4191" spans="2:2" x14ac:dyDescent="0.25">
      <c r="B4191" s="43"/>
    </row>
    <row r="4192" spans="2:2" x14ac:dyDescent="0.25">
      <c r="B4192" s="43"/>
    </row>
    <row r="4193" spans="2:2" x14ac:dyDescent="0.25">
      <c r="B4193" s="43"/>
    </row>
    <row r="4194" spans="2:2" x14ac:dyDescent="0.25">
      <c r="B4194" s="43"/>
    </row>
    <row r="4195" spans="2:2" x14ac:dyDescent="0.25">
      <c r="B4195" s="43"/>
    </row>
    <row r="4196" spans="2:2" x14ac:dyDescent="0.25">
      <c r="B4196" s="43"/>
    </row>
    <row r="4197" spans="2:2" x14ac:dyDescent="0.25">
      <c r="B4197" s="43"/>
    </row>
    <row r="4198" spans="2:2" x14ac:dyDescent="0.25">
      <c r="B4198" s="43"/>
    </row>
    <row r="4199" spans="2:2" x14ac:dyDescent="0.25">
      <c r="B4199" s="43"/>
    </row>
    <row r="4200" spans="2:2" x14ac:dyDescent="0.25">
      <c r="B4200" s="43"/>
    </row>
    <row r="4201" spans="2:2" x14ac:dyDescent="0.25">
      <c r="B4201" s="43"/>
    </row>
    <row r="4202" spans="2:2" x14ac:dyDescent="0.25">
      <c r="B4202" s="43"/>
    </row>
    <row r="4203" spans="2:2" x14ac:dyDescent="0.25">
      <c r="B4203" s="43"/>
    </row>
    <row r="4204" spans="2:2" x14ac:dyDescent="0.25">
      <c r="B4204" s="43"/>
    </row>
    <row r="4205" spans="2:2" x14ac:dyDescent="0.25">
      <c r="B4205" s="43"/>
    </row>
    <row r="4206" spans="2:2" x14ac:dyDescent="0.25">
      <c r="B4206" s="43"/>
    </row>
    <row r="4207" spans="2:2" x14ac:dyDescent="0.25">
      <c r="B4207" s="43"/>
    </row>
    <row r="4208" spans="2:2" x14ac:dyDescent="0.25">
      <c r="B4208" s="43"/>
    </row>
    <row r="4209" spans="2:2" x14ac:dyDescent="0.25">
      <c r="B4209" s="43"/>
    </row>
    <row r="4210" spans="2:2" x14ac:dyDescent="0.25">
      <c r="B4210" s="43"/>
    </row>
    <row r="4211" spans="2:2" x14ac:dyDescent="0.25">
      <c r="B4211" s="43"/>
    </row>
    <row r="4212" spans="2:2" x14ac:dyDescent="0.25">
      <c r="B4212" s="43"/>
    </row>
    <row r="4213" spans="2:2" x14ac:dyDescent="0.25">
      <c r="B4213" s="43"/>
    </row>
    <row r="4214" spans="2:2" x14ac:dyDescent="0.25">
      <c r="B4214" s="43"/>
    </row>
    <row r="4215" spans="2:2" x14ac:dyDescent="0.25">
      <c r="B4215" s="43"/>
    </row>
    <row r="4216" spans="2:2" x14ac:dyDescent="0.25">
      <c r="B4216" s="43"/>
    </row>
    <row r="4217" spans="2:2" x14ac:dyDescent="0.25">
      <c r="B4217" s="43"/>
    </row>
    <row r="4218" spans="2:2" x14ac:dyDescent="0.25">
      <c r="B4218" s="43"/>
    </row>
    <row r="4219" spans="2:2" x14ac:dyDescent="0.25">
      <c r="B4219" s="43"/>
    </row>
    <row r="4220" spans="2:2" x14ac:dyDescent="0.25">
      <c r="B4220" s="43"/>
    </row>
    <row r="4221" spans="2:2" x14ac:dyDescent="0.25">
      <c r="B4221" s="43"/>
    </row>
    <row r="4222" spans="2:2" x14ac:dyDescent="0.25">
      <c r="B4222" s="43"/>
    </row>
    <row r="4223" spans="2:2" x14ac:dyDescent="0.25">
      <c r="B4223" s="43"/>
    </row>
    <row r="4224" spans="2:2" x14ac:dyDescent="0.25">
      <c r="B4224" s="43"/>
    </row>
    <row r="4225" spans="2:2" x14ac:dyDescent="0.25">
      <c r="B4225" s="43"/>
    </row>
    <row r="4226" spans="2:2" x14ac:dyDescent="0.25">
      <c r="B4226" s="43"/>
    </row>
    <row r="4227" spans="2:2" x14ac:dyDescent="0.25">
      <c r="B4227" s="43"/>
    </row>
    <row r="4228" spans="2:2" x14ac:dyDescent="0.25">
      <c r="B4228" s="43"/>
    </row>
    <row r="4229" spans="2:2" x14ac:dyDescent="0.25">
      <c r="B4229" s="43"/>
    </row>
    <row r="4230" spans="2:2" x14ac:dyDescent="0.25">
      <c r="B4230" s="43"/>
    </row>
    <row r="4231" spans="2:2" x14ac:dyDescent="0.25">
      <c r="B4231" s="43"/>
    </row>
    <row r="4232" spans="2:2" x14ac:dyDescent="0.25">
      <c r="B4232" s="43"/>
    </row>
    <row r="4233" spans="2:2" x14ac:dyDescent="0.25">
      <c r="B4233" s="43"/>
    </row>
    <row r="4234" spans="2:2" x14ac:dyDescent="0.25">
      <c r="B4234" s="43"/>
    </row>
    <row r="4235" spans="2:2" x14ac:dyDescent="0.25">
      <c r="B4235" s="43"/>
    </row>
    <row r="4236" spans="2:2" x14ac:dyDescent="0.25">
      <c r="B4236" s="43"/>
    </row>
    <row r="4237" spans="2:2" x14ac:dyDescent="0.25">
      <c r="B4237" s="43"/>
    </row>
    <row r="4238" spans="2:2" x14ac:dyDescent="0.25">
      <c r="B4238" s="43"/>
    </row>
    <row r="4239" spans="2:2" x14ac:dyDescent="0.25">
      <c r="B4239" s="43"/>
    </row>
    <row r="4240" spans="2:2" x14ac:dyDescent="0.25">
      <c r="B4240" s="43"/>
    </row>
    <row r="4241" spans="2:2" x14ac:dyDescent="0.25">
      <c r="B4241" s="43"/>
    </row>
    <row r="4242" spans="2:2" x14ac:dyDescent="0.25">
      <c r="B4242" s="43"/>
    </row>
    <row r="4243" spans="2:2" x14ac:dyDescent="0.25">
      <c r="B4243" s="43"/>
    </row>
    <row r="4244" spans="2:2" x14ac:dyDescent="0.25">
      <c r="B4244" s="43"/>
    </row>
    <row r="4245" spans="2:2" x14ac:dyDescent="0.25">
      <c r="B4245" s="43"/>
    </row>
    <row r="4246" spans="2:2" x14ac:dyDescent="0.25">
      <c r="B4246" s="43"/>
    </row>
    <row r="4247" spans="2:2" x14ac:dyDescent="0.25">
      <c r="B4247" s="43"/>
    </row>
    <row r="4248" spans="2:2" x14ac:dyDescent="0.25">
      <c r="B4248" s="43"/>
    </row>
    <row r="4249" spans="2:2" x14ac:dyDescent="0.25">
      <c r="B4249" s="43"/>
    </row>
    <row r="4250" spans="2:2" x14ac:dyDescent="0.25">
      <c r="B4250" s="43"/>
    </row>
    <row r="4251" spans="2:2" x14ac:dyDescent="0.25">
      <c r="B4251" s="43"/>
    </row>
    <row r="4252" spans="2:2" x14ac:dyDescent="0.25">
      <c r="B4252" s="43"/>
    </row>
    <row r="4253" spans="2:2" x14ac:dyDescent="0.25">
      <c r="B4253" s="43"/>
    </row>
    <row r="4254" spans="2:2" x14ac:dyDescent="0.25">
      <c r="B4254" s="43"/>
    </row>
    <row r="4255" spans="2:2" x14ac:dyDescent="0.25">
      <c r="B4255" s="43"/>
    </row>
    <row r="4256" spans="2:2" x14ac:dyDescent="0.25">
      <c r="B4256" s="43"/>
    </row>
    <row r="4257" spans="2:2" x14ac:dyDescent="0.25">
      <c r="B4257" s="43"/>
    </row>
    <row r="4258" spans="2:2" x14ac:dyDescent="0.25">
      <c r="B4258" s="43"/>
    </row>
    <row r="4259" spans="2:2" x14ac:dyDescent="0.25">
      <c r="B4259" s="43"/>
    </row>
    <row r="4260" spans="2:2" x14ac:dyDescent="0.25">
      <c r="B4260" s="43"/>
    </row>
    <row r="4261" spans="2:2" x14ac:dyDescent="0.25">
      <c r="B4261" s="43"/>
    </row>
    <row r="4262" spans="2:2" x14ac:dyDescent="0.25">
      <c r="B4262" s="43"/>
    </row>
    <row r="4263" spans="2:2" x14ac:dyDescent="0.25">
      <c r="B4263" s="43"/>
    </row>
    <row r="4264" spans="2:2" x14ac:dyDescent="0.25">
      <c r="B4264" s="43"/>
    </row>
    <row r="4265" spans="2:2" x14ac:dyDescent="0.25">
      <c r="B4265" s="43"/>
    </row>
    <row r="4266" spans="2:2" x14ac:dyDescent="0.25">
      <c r="B4266" s="43"/>
    </row>
    <row r="4267" spans="2:2" x14ac:dyDescent="0.25">
      <c r="B4267" s="43"/>
    </row>
    <row r="4268" spans="2:2" x14ac:dyDescent="0.25">
      <c r="B4268" s="43"/>
    </row>
    <row r="4269" spans="2:2" x14ac:dyDescent="0.25">
      <c r="B4269" s="43"/>
    </row>
    <row r="4270" spans="2:2" x14ac:dyDescent="0.25">
      <c r="B4270" s="43"/>
    </row>
    <row r="4271" spans="2:2" x14ac:dyDescent="0.25">
      <c r="B4271" s="43"/>
    </row>
    <row r="4272" spans="2:2" x14ac:dyDescent="0.25">
      <c r="B4272" s="43"/>
    </row>
    <row r="4273" spans="2:2" x14ac:dyDescent="0.25">
      <c r="B4273" s="43"/>
    </row>
    <row r="4274" spans="2:2" x14ac:dyDescent="0.25">
      <c r="B4274" s="43"/>
    </row>
    <row r="4275" spans="2:2" x14ac:dyDescent="0.25">
      <c r="B4275" s="43"/>
    </row>
    <row r="4276" spans="2:2" x14ac:dyDescent="0.25">
      <c r="B4276" s="43"/>
    </row>
    <row r="4277" spans="2:2" x14ac:dyDescent="0.25">
      <c r="B4277" s="43"/>
    </row>
    <row r="4278" spans="2:2" x14ac:dyDescent="0.25">
      <c r="B4278" s="43"/>
    </row>
    <row r="4279" spans="2:2" x14ac:dyDescent="0.25">
      <c r="B4279" s="43"/>
    </row>
    <row r="4280" spans="2:2" x14ac:dyDescent="0.25">
      <c r="B4280" s="43"/>
    </row>
    <row r="4281" spans="2:2" x14ac:dyDescent="0.25">
      <c r="B4281" s="43"/>
    </row>
    <row r="4282" spans="2:2" x14ac:dyDescent="0.25">
      <c r="B4282" s="43"/>
    </row>
    <row r="4283" spans="2:2" x14ac:dyDescent="0.25">
      <c r="B4283" s="43"/>
    </row>
    <row r="4284" spans="2:2" x14ac:dyDescent="0.25">
      <c r="B4284" s="43"/>
    </row>
    <row r="4285" spans="2:2" x14ac:dyDescent="0.25">
      <c r="B4285" s="43"/>
    </row>
    <row r="4286" spans="2:2" x14ac:dyDescent="0.25">
      <c r="B4286" s="43"/>
    </row>
    <row r="4287" spans="2:2" x14ac:dyDescent="0.25">
      <c r="B4287" s="43"/>
    </row>
    <row r="4288" spans="2:2" x14ac:dyDescent="0.25">
      <c r="B4288" s="43"/>
    </row>
    <row r="4289" spans="2:2" x14ac:dyDescent="0.25">
      <c r="B4289" s="43"/>
    </row>
    <row r="4290" spans="2:2" x14ac:dyDescent="0.25">
      <c r="B4290" s="43"/>
    </row>
    <row r="4291" spans="2:2" x14ac:dyDescent="0.25">
      <c r="B4291" s="43"/>
    </row>
    <row r="4292" spans="2:2" x14ac:dyDescent="0.25">
      <c r="B4292" s="43"/>
    </row>
    <row r="4293" spans="2:2" x14ac:dyDescent="0.25">
      <c r="B4293" s="43"/>
    </row>
    <row r="4294" spans="2:2" x14ac:dyDescent="0.25">
      <c r="B4294" s="43"/>
    </row>
    <row r="4295" spans="2:2" x14ac:dyDescent="0.25">
      <c r="B4295" s="43"/>
    </row>
    <row r="4296" spans="2:2" x14ac:dyDescent="0.25">
      <c r="B4296" s="43"/>
    </row>
    <row r="4297" spans="2:2" x14ac:dyDescent="0.25">
      <c r="B4297" s="43"/>
    </row>
    <row r="4298" spans="2:2" x14ac:dyDescent="0.25">
      <c r="B4298" s="43"/>
    </row>
    <row r="4299" spans="2:2" x14ac:dyDescent="0.25">
      <c r="B4299" s="43"/>
    </row>
    <row r="4300" spans="2:2" x14ac:dyDescent="0.25">
      <c r="B4300" s="43"/>
    </row>
    <row r="4301" spans="2:2" x14ac:dyDescent="0.25">
      <c r="B4301" s="43"/>
    </row>
    <row r="4302" spans="2:2" x14ac:dyDescent="0.25">
      <c r="B4302" s="43"/>
    </row>
    <row r="4303" spans="2:2" x14ac:dyDescent="0.25">
      <c r="B4303" s="43"/>
    </row>
    <row r="4304" spans="2:2" x14ac:dyDescent="0.25">
      <c r="B4304" s="43"/>
    </row>
    <row r="4305" spans="2:2" x14ac:dyDescent="0.25">
      <c r="B4305" s="43"/>
    </row>
    <row r="4306" spans="2:2" x14ac:dyDescent="0.25">
      <c r="B4306" s="43"/>
    </row>
    <row r="4307" spans="2:2" x14ac:dyDescent="0.25">
      <c r="B4307" s="43"/>
    </row>
    <row r="4308" spans="2:2" x14ac:dyDescent="0.25">
      <c r="B4308" s="43"/>
    </row>
    <row r="4309" spans="2:2" x14ac:dyDescent="0.25">
      <c r="B4309" s="43"/>
    </row>
    <row r="4310" spans="2:2" x14ac:dyDescent="0.25">
      <c r="B4310" s="43"/>
    </row>
    <row r="4311" spans="2:2" x14ac:dyDescent="0.25">
      <c r="B4311" s="43"/>
    </row>
    <row r="4312" spans="2:2" x14ac:dyDescent="0.25">
      <c r="B4312" s="43"/>
    </row>
    <row r="4313" spans="2:2" x14ac:dyDescent="0.25">
      <c r="B4313" s="43"/>
    </row>
    <row r="4314" spans="2:2" x14ac:dyDescent="0.25">
      <c r="B4314" s="43"/>
    </row>
    <row r="4315" spans="2:2" x14ac:dyDescent="0.25">
      <c r="B4315" s="43"/>
    </row>
    <row r="4316" spans="2:2" x14ac:dyDescent="0.25">
      <c r="B4316" s="43"/>
    </row>
    <row r="4317" spans="2:2" x14ac:dyDescent="0.25">
      <c r="B4317" s="43"/>
    </row>
    <row r="4318" spans="2:2" x14ac:dyDescent="0.25">
      <c r="B4318" s="43"/>
    </row>
    <row r="4319" spans="2:2" x14ac:dyDescent="0.25">
      <c r="B4319" s="43"/>
    </row>
    <row r="4320" spans="2:2" x14ac:dyDescent="0.25">
      <c r="B4320" s="43"/>
    </row>
    <row r="4321" spans="2:2" x14ac:dyDescent="0.25">
      <c r="B4321" s="43"/>
    </row>
    <row r="4322" spans="2:2" x14ac:dyDescent="0.25">
      <c r="B4322" s="43"/>
    </row>
    <row r="4323" spans="2:2" x14ac:dyDescent="0.25">
      <c r="B4323" s="43"/>
    </row>
    <row r="4324" spans="2:2" x14ac:dyDescent="0.25">
      <c r="B4324" s="43"/>
    </row>
    <row r="4325" spans="2:2" x14ac:dyDescent="0.25">
      <c r="B4325" s="43"/>
    </row>
    <row r="4326" spans="2:2" x14ac:dyDescent="0.25">
      <c r="B4326" s="43"/>
    </row>
    <row r="4327" spans="2:2" x14ac:dyDescent="0.25">
      <c r="B4327" s="43"/>
    </row>
    <row r="4328" spans="2:2" x14ac:dyDescent="0.25">
      <c r="B4328" s="43"/>
    </row>
    <row r="4329" spans="2:2" x14ac:dyDescent="0.25">
      <c r="B4329" s="43"/>
    </row>
    <row r="4330" spans="2:2" x14ac:dyDescent="0.25">
      <c r="B4330" s="43"/>
    </row>
    <row r="4331" spans="2:2" x14ac:dyDescent="0.25">
      <c r="B4331" s="43"/>
    </row>
    <row r="4332" spans="2:2" x14ac:dyDescent="0.25">
      <c r="B4332" s="43"/>
    </row>
    <row r="4333" spans="2:2" x14ac:dyDescent="0.25">
      <c r="B4333" s="43"/>
    </row>
    <row r="4334" spans="2:2" x14ac:dyDescent="0.25">
      <c r="B4334" s="43"/>
    </row>
    <row r="4335" spans="2:2" x14ac:dyDescent="0.25">
      <c r="B4335" s="43"/>
    </row>
    <row r="4336" spans="2:2" x14ac:dyDescent="0.25">
      <c r="B4336" s="43"/>
    </row>
    <row r="4337" spans="2:2" x14ac:dyDescent="0.25">
      <c r="B4337" s="43"/>
    </row>
    <row r="4338" spans="2:2" x14ac:dyDescent="0.25">
      <c r="B4338" s="43"/>
    </row>
    <row r="4339" spans="2:2" x14ac:dyDescent="0.25">
      <c r="B4339" s="43"/>
    </row>
    <row r="4340" spans="2:2" x14ac:dyDescent="0.25">
      <c r="B4340" s="43"/>
    </row>
    <row r="4341" spans="2:2" x14ac:dyDescent="0.25">
      <c r="B4341" s="43"/>
    </row>
    <row r="4342" spans="2:2" x14ac:dyDescent="0.25">
      <c r="B4342" s="43"/>
    </row>
    <row r="4343" spans="2:2" x14ac:dyDescent="0.25">
      <c r="B4343" s="43"/>
    </row>
    <row r="4344" spans="2:2" x14ac:dyDescent="0.25">
      <c r="B4344" s="43"/>
    </row>
    <row r="4345" spans="2:2" x14ac:dyDescent="0.25">
      <c r="B4345" s="43"/>
    </row>
    <row r="4346" spans="2:2" x14ac:dyDescent="0.25">
      <c r="B4346" s="43"/>
    </row>
    <row r="4347" spans="2:2" x14ac:dyDescent="0.25">
      <c r="B4347" s="43"/>
    </row>
    <row r="4348" spans="2:2" x14ac:dyDescent="0.25">
      <c r="B4348" s="43"/>
    </row>
    <row r="4349" spans="2:2" x14ac:dyDescent="0.25">
      <c r="B4349" s="43"/>
    </row>
    <row r="4350" spans="2:2" x14ac:dyDescent="0.25">
      <c r="B4350" s="43"/>
    </row>
    <row r="4351" spans="2:2" x14ac:dyDescent="0.25">
      <c r="B4351" s="43"/>
    </row>
    <row r="4352" spans="2:2" x14ac:dyDescent="0.25">
      <c r="B4352" s="43"/>
    </row>
    <row r="4353" spans="2:2" x14ac:dyDescent="0.25">
      <c r="B4353" s="43"/>
    </row>
    <row r="4354" spans="2:2" x14ac:dyDescent="0.25">
      <c r="B4354" s="43"/>
    </row>
    <row r="4355" spans="2:2" x14ac:dyDescent="0.25">
      <c r="B4355" s="43"/>
    </row>
    <row r="4356" spans="2:2" x14ac:dyDescent="0.25">
      <c r="B4356" s="43"/>
    </row>
    <row r="4357" spans="2:2" x14ac:dyDescent="0.25">
      <c r="B4357" s="43"/>
    </row>
    <row r="4358" spans="2:2" x14ac:dyDescent="0.25">
      <c r="B4358" s="43"/>
    </row>
    <row r="4359" spans="2:2" x14ac:dyDescent="0.25">
      <c r="B4359" s="43"/>
    </row>
    <row r="4360" spans="2:2" x14ac:dyDescent="0.25">
      <c r="B4360" s="43"/>
    </row>
    <row r="4361" spans="2:2" x14ac:dyDescent="0.25">
      <c r="B4361" s="43"/>
    </row>
    <row r="4362" spans="2:2" x14ac:dyDescent="0.25">
      <c r="B4362" s="43"/>
    </row>
    <row r="4363" spans="2:2" x14ac:dyDescent="0.25">
      <c r="B4363" s="43"/>
    </row>
    <row r="4364" spans="2:2" x14ac:dyDescent="0.25">
      <c r="B4364" s="43"/>
    </row>
    <row r="4365" spans="2:2" x14ac:dyDescent="0.25">
      <c r="B4365" s="43"/>
    </row>
    <row r="4366" spans="2:2" x14ac:dyDescent="0.25">
      <c r="B4366" s="43"/>
    </row>
    <row r="4367" spans="2:2" x14ac:dyDescent="0.25">
      <c r="B4367" s="43"/>
    </row>
    <row r="4368" spans="2:2" x14ac:dyDescent="0.25">
      <c r="B4368" s="43"/>
    </row>
    <row r="4369" spans="2:2" x14ac:dyDescent="0.25">
      <c r="B4369" s="43"/>
    </row>
    <row r="4370" spans="2:2" x14ac:dyDescent="0.25">
      <c r="B4370" s="43"/>
    </row>
    <row r="4371" spans="2:2" x14ac:dyDescent="0.25">
      <c r="B4371" s="43"/>
    </row>
    <row r="4372" spans="2:2" x14ac:dyDescent="0.25">
      <c r="B4372" s="43"/>
    </row>
    <row r="4373" spans="2:2" x14ac:dyDescent="0.25">
      <c r="B4373" s="43"/>
    </row>
    <row r="4374" spans="2:2" x14ac:dyDescent="0.25">
      <c r="B4374" s="43"/>
    </row>
    <row r="4375" spans="2:2" x14ac:dyDescent="0.25">
      <c r="B4375" s="43"/>
    </row>
    <row r="4376" spans="2:2" x14ac:dyDescent="0.25">
      <c r="B4376" s="43"/>
    </row>
    <row r="4377" spans="2:2" x14ac:dyDescent="0.25">
      <c r="B4377" s="43"/>
    </row>
    <row r="4378" spans="2:2" x14ac:dyDescent="0.25">
      <c r="B4378" s="43"/>
    </row>
    <row r="4379" spans="2:2" x14ac:dyDescent="0.25">
      <c r="B4379" s="43"/>
    </row>
    <row r="4380" spans="2:2" x14ac:dyDescent="0.25">
      <c r="B4380" s="43"/>
    </row>
    <row r="4381" spans="2:2" x14ac:dyDescent="0.25">
      <c r="B4381" s="43"/>
    </row>
    <row r="4382" spans="2:2" x14ac:dyDescent="0.25">
      <c r="B4382" s="43"/>
    </row>
    <row r="4383" spans="2:2" x14ac:dyDescent="0.25">
      <c r="B4383" s="43"/>
    </row>
    <row r="4384" spans="2:2" x14ac:dyDescent="0.25">
      <c r="B4384" s="43"/>
    </row>
    <row r="4385" spans="2:2" x14ac:dyDescent="0.25">
      <c r="B4385" s="43"/>
    </row>
    <row r="4386" spans="2:2" x14ac:dyDescent="0.25">
      <c r="B4386" s="43"/>
    </row>
    <row r="4387" spans="2:2" x14ac:dyDescent="0.25">
      <c r="B4387" s="43"/>
    </row>
    <row r="4388" spans="2:2" x14ac:dyDescent="0.25">
      <c r="B4388" s="43"/>
    </row>
    <row r="4389" spans="2:2" x14ac:dyDescent="0.25">
      <c r="B4389" s="43"/>
    </row>
    <row r="4390" spans="2:2" x14ac:dyDescent="0.25">
      <c r="B4390" s="43"/>
    </row>
    <row r="4391" spans="2:2" x14ac:dyDescent="0.25">
      <c r="B4391" s="43"/>
    </row>
    <row r="4392" spans="2:2" x14ac:dyDescent="0.25">
      <c r="B4392" s="43"/>
    </row>
    <row r="4393" spans="2:2" x14ac:dyDescent="0.25">
      <c r="B4393" s="43"/>
    </row>
    <row r="4394" spans="2:2" x14ac:dyDescent="0.25">
      <c r="B4394" s="43"/>
    </row>
    <row r="4395" spans="2:2" x14ac:dyDescent="0.25">
      <c r="B4395" s="43"/>
    </row>
    <row r="4396" spans="2:2" x14ac:dyDescent="0.25">
      <c r="B4396" s="43"/>
    </row>
    <row r="4397" spans="2:2" x14ac:dyDescent="0.25">
      <c r="B4397" s="43"/>
    </row>
    <row r="4398" spans="2:2" x14ac:dyDescent="0.25">
      <c r="B4398" s="43"/>
    </row>
    <row r="4399" spans="2:2" x14ac:dyDescent="0.25">
      <c r="B4399" s="43"/>
    </row>
    <row r="4400" spans="2:2" x14ac:dyDescent="0.25">
      <c r="B4400" s="43"/>
    </row>
    <row r="4401" spans="2:2" x14ac:dyDescent="0.25">
      <c r="B4401" s="43"/>
    </row>
    <row r="4402" spans="2:2" x14ac:dyDescent="0.25">
      <c r="B4402" s="43"/>
    </row>
    <row r="4403" spans="2:2" x14ac:dyDescent="0.25">
      <c r="B4403" s="43"/>
    </row>
    <row r="4404" spans="2:2" x14ac:dyDescent="0.25">
      <c r="B4404" s="43"/>
    </row>
    <row r="4405" spans="2:2" x14ac:dyDescent="0.25">
      <c r="B4405" s="43"/>
    </row>
    <row r="4406" spans="2:2" x14ac:dyDescent="0.25">
      <c r="B4406" s="43"/>
    </row>
    <row r="4407" spans="2:2" x14ac:dyDescent="0.25">
      <c r="B4407" s="43"/>
    </row>
    <row r="4408" spans="2:2" x14ac:dyDescent="0.25">
      <c r="B4408" s="43"/>
    </row>
    <row r="4409" spans="2:2" x14ac:dyDescent="0.25">
      <c r="B4409" s="43"/>
    </row>
    <row r="4410" spans="2:2" x14ac:dyDescent="0.25">
      <c r="B4410" s="43"/>
    </row>
    <row r="4411" spans="2:2" x14ac:dyDescent="0.25">
      <c r="B4411" s="43"/>
    </row>
    <row r="4412" spans="2:2" x14ac:dyDescent="0.25">
      <c r="B4412" s="43"/>
    </row>
    <row r="4413" spans="2:2" x14ac:dyDescent="0.25">
      <c r="B4413" s="43"/>
    </row>
    <row r="4414" spans="2:2" x14ac:dyDescent="0.25">
      <c r="B4414" s="43"/>
    </row>
    <row r="4415" spans="2:2" x14ac:dyDescent="0.25">
      <c r="B4415" s="43"/>
    </row>
    <row r="4416" spans="2:2" x14ac:dyDescent="0.25">
      <c r="B4416" s="43"/>
    </row>
    <row r="4417" spans="2:2" x14ac:dyDescent="0.25">
      <c r="B4417" s="43"/>
    </row>
    <row r="4418" spans="2:2" x14ac:dyDescent="0.25">
      <c r="B4418" s="43"/>
    </row>
    <row r="4419" spans="2:2" x14ac:dyDescent="0.25">
      <c r="B4419" s="43"/>
    </row>
    <row r="4420" spans="2:2" x14ac:dyDescent="0.25">
      <c r="B4420" s="43"/>
    </row>
    <row r="4421" spans="2:2" x14ac:dyDescent="0.25">
      <c r="B4421" s="43"/>
    </row>
    <row r="4422" spans="2:2" x14ac:dyDescent="0.25">
      <c r="B4422" s="43"/>
    </row>
    <row r="4423" spans="2:2" x14ac:dyDescent="0.25">
      <c r="B4423" s="43"/>
    </row>
    <row r="4424" spans="2:2" x14ac:dyDescent="0.25">
      <c r="B4424" s="43"/>
    </row>
    <row r="4425" spans="2:2" x14ac:dyDescent="0.25">
      <c r="B4425" s="43"/>
    </row>
    <row r="4426" spans="2:2" x14ac:dyDescent="0.25">
      <c r="B4426" s="43"/>
    </row>
    <row r="4427" spans="2:2" x14ac:dyDescent="0.25">
      <c r="B4427" s="43"/>
    </row>
    <row r="4428" spans="2:2" x14ac:dyDescent="0.25">
      <c r="B4428" s="43"/>
    </row>
    <row r="4429" spans="2:2" x14ac:dyDescent="0.25">
      <c r="B4429" s="43"/>
    </row>
    <row r="4430" spans="2:2" x14ac:dyDescent="0.25">
      <c r="B4430" s="43"/>
    </row>
    <row r="4431" spans="2:2" x14ac:dyDescent="0.25">
      <c r="B4431" s="43"/>
    </row>
    <row r="4432" spans="2:2" x14ac:dyDescent="0.25">
      <c r="B4432" s="43"/>
    </row>
    <row r="4433" spans="2:2" x14ac:dyDescent="0.25">
      <c r="B4433" s="43"/>
    </row>
    <row r="4434" spans="2:2" x14ac:dyDescent="0.25">
      <c r="B4434" s="43"/>
    </row>
    <row r="4435" spans="2:2" x14ac:dyDescent="0.25">
      <c r="B4435" s="43"/>
    </row>
    <row r="4436" spans="2:2" x14ac:dyDescent="0.25">
      <c r="B4436" s="43"/>
    </row>
    <row r="4437" spans="2:2" x14ac:dyDescent="0.25">
      <c r="B4437" s="43"/>
    </row>
    <row r="4438" spans="2:2" x14ac:dyDescent="0.25">
      <c r="B4438" s="43"/>
    </row>
    <row r="4439" spans="2:2" x14ac:dyDescent="0.25">
      <c r="B4439" s="43"/>
    </row>
    <row r="4440" spans="2:2" x14ac:dyDescent="0.25">
      <c r="B4440" s="43"/>
    </row>
    <row r="4441" spans="2:2" x14ac:dyDescent="0.25">
      <c r="B4441" s="43"/>
    </row>
    <row r="4442" spans="2:2" x14ac:dyDescent="0.25">
      <c r="B4442" s="43"/>
    </row>
    <row r="4443" spans="2:2" x14ac:dyDescent="0.25">
      <c r="B4443" s="43"/>
    </row>
    <row r="4444" spans="2:2" x14ac:dyDescent="0.25">
      <c r="B4444" s="43"/>
    </row>
    <row r="4445" spans="2:2" x14ac:dyDescent="0.25">
      <c r="B4445" s="43"/>
    </row>
    <row r="4446" spans="2:2" x14ac:dyDescent="0.25">
      <c r="B4446" s="43"/>
    </row>
    <row r="4447" spans="2:2" x14ac:dyDescent="0.25">
      <c r="B4447" s="43"/>
    </row>
    <row r="4448" spans="2:2" x14ac:dyDescent="0.25">
      <c r="B4448" s="43"/>
    </row>
    <row r="4449" spans="2:2" x14ac:dyDescent="0.25">
      <c r="B4449" s="43"/>
    </row>
    <row r="4450" spans="2:2" x14ac:dyDescent="0.25">
      <c r="B4450" s="43"/>
    </row>
    <row r="4451" spans="2:2" x14ac:dyDescent="0.25">
      <c r="B4451" s="43"/>
    </row>
    <row r="4452" spans="2:2" x14ac:dyDescent="0.25">
      <c r="B4452" s="43"/>
    </row>
    <row r="4453" spans="2:2" x14ac:dyDescent="0.25">
      <c r="B4453" s="43"/>
    </row>
    <row r="4454" spans="2:2" x14ac:dyDescent="0.25">
      <c r="B4454" s="43"/>
    </row>
    <row r="4455" spans="2:2" x14ac:dyDescent="0.25">
      <c r="B4455" s="43"/>
    </row>
    <row r="4456" spans="2:2" x14ac:dyDescent="0.25">
      <c r="B4456" s="43"/>
    </row>
    <row r="4457" spans="2:2" x14ac:dyDescent="0.25">
      <c r="B4457" s="43"/>
    </row>
    <row r="4458" spans="2:2" x14ac:dyDescent="0.25">
      <c r="B4458" s="43"/>
    </row>
    <row r="4459" spans="2:2" x14ac:dyDescent="0.25">
      <c r="B4459" s="43"/>
    </row>
    <row r="4460" spans="2:2" x14ac:dyDescent="0.25">
      <c r="B4460" s="43"/>
    </row>
    <row r="4461" spans="2:2" x14ac:dyDescent="0.25">
      <c r="B4461" s="43"/>
    </row>
    <row r="4462" spans="2:2" x14ac:dyDescent="0.25">
      <c r="B4462" s="43"/>
    </row>
    <row r="4463" spans="2:2" x14ac:dyDescent="0.25">
      <c r="B4463" s="43"/>
    </row>
    <row r="4464" spans="2:2" x14ac:dyDescent="0.25">
      <c r="B4464" s="43"/>
    </row>
    <row r="4465" spans="2:2" x14ac:dyDescent="0.25">
      <c r="B4465" s="43"/>
    </row>
    <row r="4466" spans="2:2" x14ac:dyDescent="0.25">
      <c r="B4466" s="43"/>
    </row>
    <row r="4467" spans="2:2" x14ac:dyDescent="0.25">
      <c r="B4467" s="43"/>
    </row>
    <row r="4468" spans="2:2" x14ac:dyDescent="0.25">
      <c r="B4468" s="43"/>
    </row>
    <row r="4469" spans="2:2" x14ac:dyDescent="0.25">
      <c r="B4469" s="43"/>
    </row>
    <row r="4470" spans="2:2" x14ac:dyDescent="0.25">
      <c r="B4470" s="43"/>
    </row>
    <row r="4471" spans="2:2" x14ac:dyDescent="0.25">
      <c r="B4471" s="43"/>
    </row>
    <row r="4472" spans="2:2" x14ac:dyDescent="0.25">
      <c r="B4472" s="43"/>
    </row>
    <row r="4473" spans="2:2" x14ac:dyDescent="0.25">
      <c r="B4473" s="43"/>
    </row>
    <row r="4474" spans="2:2" x14ac:dyDescent="0.25">
      <c r="B4474" s="43"/>
    </row>
    <row r="4475" spans="2:2" x14ac:dyDescent="0.25">
      <c r="B4475" s="43"/>
    </row>
    <row r="4476" spans="2:2" x14ac:dyDescent="0.25">
      <c r="B4476" s="43"/>
    </row>
    <row r="4477" spans="2:2" x14ac:dyDescent="0.25">
      <c r="B4477" s="43"/>
    </row>
    <row r="4478" spans="2:2" x14ac:dyDescent="0.25">
      <c r="B4478" s="43"/>
    </row>
    <row r="4479" spans="2:2" x14ac:dyDescent="0.25">
      <c r="B4479" s="43"/>
    </row>
    <row r="4480" spans="2:2" x14ac:dyDescent="0.25">
      <c r="B4480" s="43"/>
    </row>
    <row r="4481" spans="2:2" x14ac:dyDescent="0.25">
      <c r="B4481" s="43"/>
    </row>
    <row r="4482" spans="2:2" x14ac:dyDescent="0.25">
      <c r="B4482" s="43"/>
    </row>
    <row r="4483" spans="2:2" x14ac:dyDescent="0.25">
      <c r="B4483" s="43"/>
    </row>
    <row r="4484" spans="2:2" x14ac:dyDescent="0.25">
      <c r="B4484" s="43"/>
    </row>
    <row r="4485" spans="2:2" x14ac:dyDescent="0.25">
      <c r="B4485" s="43"/>
    </row>
    <row r="4486" spans="2:2" x14ac:dyDescent="0.25">
      <c r="B4486" s="43"/>
    </row>
    <row r="4487" spans="2:2" x14ac:dyDescent="0.25">
      <c r="B4487" s="43"/>
    </row>
    <row r="4488" spans="2:2" x14ac:dyDescent="0.25">
      <c r="B4488" s="43"/>
    </row>
    <row r="4489" spans="2:2" x14ac:dyDescent="0.25">
      <c r="B4489" s="43"/>
    </row>
    <row r="4490" spans="2:2" x14ac:dyDescent="0.25">
      <c r="B4490" s="43"/>
    </row>
    <row r="4491" spans="2:2" x14ac:dyDescent="0.25">
      <c r="B4491" s="43"/>
    </row>
    <row r="4492" spans="2:2" x14ac:dyDescent="0.25">
      <c r="B4492" s="43"/>
    </row>
    <row r="4493" spans="2:2" x14ac:dyDescent="0.25">
      <c r="B4493" s="43"/>
    </row>
    <row r="4494" spans="2:2" x14ac:dyDescent="0.25">
      <c r="B4494" s="43"/>
    </row>
    <row r="4495" spans="2:2" x14ac:dyDescent="0.25">
      <c r="B4495" s="43"/>
    </row>
    <row r="4496" spans="2:2" x14ac:dyDescent="0.25">
      <c r="B4496" s="43"/>
    </row>
    <row r="4497" spans="2:2" x14ac:dyDescent="0.25">
      <c r="B4497" s="43"/>
    </row>
    <row r="4498" spans="2:2" x14ac:dyDescent="0.25">
      <c r="B4498" s="43"/>
    </row>
    <row r="4499" spans="2:2" x14ac:dyDescent="0.25">
      <c r="B4499" s="43"/>
    </row>
    <row r="4500" spans="2:2" x14ac:dyDescent="0.25">
      <c r="B4500" s="43"/>
    </row>
    <row r="4501" spans="2:2" x14ac:dyDescent="0.25">
      <c r="B4501" s="43"/>
    </row>
    <row r="4502" spans="2:2" x14ac:dyDescent="0.25">
      <c r="B4502" s="43"/>
    </row>
    <row r="4503" spans="2:2" x14ac:dyDescent="0.25">
      <c r="B4503" s="43"/>
    </row>
    <row r="4504" spans="2:2" x14ac:dyDescent="0.25">
      <c r="B4504" s="43"/>
    </row>
    <row r="4505" spans="2:2" x14ac:dyDescent="0.25">
      <c r="B4505" s="43"/>
    </row>
    <row r="4506" spans="2:2" x14ac:dyDescent="0.25">
      <c r="B4506" s="43"/>
    </row>
    <row r="4507" spans="2:2" x14ac:dyDescent="0.25">
      <c r="B4507" s="43"/>
    </row>
    <row r="4508" spans="2:2" x14ac:dyDescent="0.25">
      <c r="B4508" s="43"/>
    </row>
    <row r="4509" spans="2:2" x14ac:dyDescent="0.25">
      <c r="B4509" s="43"/>
    </row>
    <row r="4510" spans="2:2" x14ac:dyDescent="0.25">
      <c r="B4510" s="43"/>
    </row>
    <row r="4511" spans="2:2" x14ac:dyDescent="0.25">
      <c r="B4511" s="43"/>
    </row>
    <row r="4512" spans="2:2" x14ac:dyDescent="0.25">
      <c r="B4512" s="43"/>
    </row>
    <row r="4513" spans="2:2" x14ac:dyDescent="0.25">
      <c r="B4513" s="43"/>
    </row>
    <row r="4514" spans="2:2" x14ac:dyDescent="0.25">
      <c r="B4514" s="43"/>
    </row>
    <row r="4515" spans="2:2" x14ac:dyDescent="0.25">
      <c r="B4515" s="43"/>
    </row>
    <row r="4516" spans="2:2" x14ac:dyDescent="0.25">
      <c r="B4516" s="43"/>
    </row>
    <row r="4517" spans="2:2" x14ac:dyDescent="0.25">
      <c r="B4517" s="43"/>
    </row>
    <row r="4518" spans="2:2" x14ac:dyDescent="0.25">
      <c r="B4518" s="43"/>
    </row>
    <row r="4519" spans="2:2" x14ac:dyDescent="0.25">
      <c r="B4519" s="43"/>
    </row>
    <row r="4520" spans="2:2" x14ac:dyDescent="0.25">
      <c r="B4520" s="43"/>
    </row>
    <row r="4521" spans="2:2" x14ac:dyDescent="0.25">
      <c r="B4521" s="43"/>
    </row>
    <row r="4522" spans="2:2" x14ac:dyDescent="0.25">
      <c r="B4522" s="43"/>
    </row>
    <row r="4523" spans="2:2" x14ac:dyDescent="0.25">
      <c r="B4523" s="43"/>
    </row>
    <row r="4524" spans="2:2" x14ac:dyDescent="0.25">
      <c r="B4524" s="43"/>
    </row>
    <row r="4525" spans="2:2" x14ac:dyDescent="0.25">
      <c r="B4525" s="43"/>
    </row>
    <row r="4526" spans="2:2" x14ac:dyDescent="0.25">
      <c r="B4526" s="43"/>
    </row>
    <row r="4527" spans="2:2" x14ac:dyDescent="0.25">
      <c r="B4527" s="43"/>
    </row>
    <row r="4528" spans="2:2" x14ac:dyDescent="0.25">
      <c r="B4528" s="43"/>
    </row>
    <row r="4529" spans="2:2" x14ac:dyDescent="0.25">
      <c r="B4529" s="43"/>
    </row>
    <row r="4530" spans="2:2" x14ac:dyDescent="0.25">
      <c r="B4530" s="43"/>
    </row>
    <row r="4531" spans="2:2" x14ac:dyDescent="0.25">
      <c r="B4531" s="43"/>
    </row>
    <row r="4532" spans="2:2" x14ac:dyDescent="0.25">
      <c r="B4532" s="43"/>
    </row>
    <row r="4533" spans="2:2" x14ac:dyDescent="0.25">
      <c r="B4533" s="43"/>
    </row>
    <row r="4534" spans="2:2" x14ac:dyDescent="0.25">
      <c r="B4534" s="43"/>
    </row>
    <row r="4535" spans="2:2" x14ac:dyDescent="0.25">
      <c r="B4535" s="43"/>
    </row>
    <row r="4536" spans="2:2" x14ac:dyDescent="0.25">
      <c r="B4536" s="43"/>
    </row>
    <row r="4537" spans="2:2" x14ac:dyDescent="0.25">
      <c r="B4537" s="43"/>
    </row>
    <row r="4538" spans="2:2" x14ac:dyDescent="0.25">
      <c r="B4538" s="43"/>
    </row>
    <row r="4539" spans="2:2" x14ac:dyDescent="0.25">
      <c r="B4539" s="43"/>
    </row>
    <row r="4540" spans="2:2" x14ac:dyDescent="0.25">
      <c r="B4540" s="43"/>
    </row>
    <row r="4541" spans="2:2" x14ac:dyDescent="0.25">
      <c r="B4541" s="43"/>
    </row>
    <row r="4542" spans="2:2" x14ac:dyDescent="0.25">
      <c r="B4542" s="43"/>
    </row>
    <row r="4543" spans="2:2" x14ac:dyDescent="0.25">
      <c r="B4543" s="43"/>
    </row>
    <row r="4544" spans="2:2" x14ac:dyDescent="0.25">
      <c r="B4544" s="43"/>
    </row>
    <row r="4545" spans="2:2" x14ac:dyDescent="0.25">
      <c r="B4545" s="43"/>
    </row>
    <row r="4546" spans="2:2" x14ac:dyDescent="0.25">
      <c r="B4546" s="43"/>
    </row>
    <row r="4547" spans="2:2" x14ac:dyDescent="0.25">
      <c r="B4547" s="43"/>
    </row>
    <row r="4548" spans="2:2" x14ac:dyDescent="0.25">
      <c r="B4548" s="43"/>
    </row>
    <row r="4549" spans="2:2" x14ac:dyDescent="0.25">
      <c r="B4549" s="43"/>
    </row>
    <row r="4550" spans="2:2" x14ac:dyDescent="0.25">
      <c r="B4550" s="43"/>
    </row>
    <row r="4551" spans="2:2" x14ac:dyDescent="0.25">
      <c r="B4551" s="43"/>
    </row>
    <row r="4552" spans="2:2" x14ac:dyDescent="0.25">
      <c r="B4552" s="43"/>
    </row>
    <row r="4553" spans="2:2" x14ac:dyDescent="0.25">
      <c r="B4553" s="43"/>
    </row>
    <row r="4554" spans="2:2" x14ac:dyDescent="0.25">
      <c r="B4554" s="43"/>
    </row>
    <row r="4555" spans="2:2" x14ac:dyDescent="0.25">
      <c r="B4555" s="43"/>
    </row>
    <row r="4556" spans="2:2" x14ac:dyDescent="0.25">
      <c r="B4556" s="43"/>
    </row>
    <row r="4557" spans="2:2" x14ac:dyDescent="0.25">
      <c r="B4557" s="43"/>
    </row>
    <row r="4558" spans="2:2" x14ac:dyDescent="0.25">
      <c r="B4558" s="43"/>
    </row>
    <row r="4559" spans="2:2" x14ac:dyDescent="0.25">
      <c r="B4559" s="43"/>
    </row>
    <row r="4560" spans="2:2" x14ac:dyDescent="0.25">
      <c r="B4560" s="43"/>
    </row>
    <row r="4561" spans="2:2" x14ac:dyDescent="0.25">
      <c r="B4561" s="43"/>
    </row>
    <row r="4562" spans="2:2" x14ac:dyDescent="0.25">
      <c r="B4562" s="43"/>
    </row>
    <row r="4563" spans="2:2" x14ac:dyDescent="0.25">
      <c r="B4563" s="43"/>
    </row>
    <row r="4564" spans="2:2" x14ac:dyDescent="0.25">
      <c r="B4564" s="43"/>
    </row>
    <row r="4565" spans="2:2" x14ac:dyDescent="0.25">
      <c r="B4565" s="43"/>
    </row>
    <row r="4566" spans="2:2" x14ac:dyDescent="0.25">
      <c r="B4566" s="43"/>
    </row>
    <row r="4567" spans="2:2" x14ac:dyDescent="0.25">
      <c r="B4567" s="43"/>
    </row>
    <row r="4568" spans="2:2" x14ac:dyDescent="0.25">
      <c r="B4568" s="43"/>
    </row>
    <row r="4569" spans="2:2" x14ac:dyDescent="0.25">
      <c r="B4569" s="43"/>
    </row>
    <row r="4570" spans="2:2" x14ac:dyDescent="0.25">
      <c r="B4570" s="43"/>
    </row>
    <row r="4571" spans="2:2" x14ac:dyDescent="0.25">
      <c r="B4571" s="43"/>
    </row>
    <row r="4572" spans="2:2" x14ac:dyDescent="0.25">
      <c r="B4572" s="43"/>
    </row>
    <row r="4573" spans="2:2" x14ac:dyDescent="0.25">
      <c r="B4573" s="43"/>
    </row>
    <row r="4574" spans="2:2" x14ac:dyDescent="0.25">
      <c r="B4574" s="43"/>
    </row>
    <row r="4575" spans="2:2" x14ac:dyDescent="0.25">
      <c r="B4575" s="43"/>
    </row>
    <row r="4576" spans="2:2" x14ac:dyDescent="0.25">
      <c r="B4576" s="43"/>
    </row>
    <row r="4577" spans="2:2" x14ac:dyDescent="0.25">
      <c r="B4577" s="43"/>
    </row>
    <row r="4578" spans="2:2" x14ac:dyDescent="0.25">
      <c r="B4578" s="43"/>
    </row>
    <row r="4579" spans="2:2" x14ac:dyDescent="0.25">
      <c r="B4579" s="43"/>
    </row>
    <row r="4580" spans="2:2" x14ac:dyDescent="0.25">
      <c r="B4580" s="43"/>
    </row>
    <row r="4581" spans="2:2" x14ac:dyDescent="0.25">
      <c r="B4581" s="43"/>
    </row>
    <row r="4582" spans="2:2" x14ac:dyDescent="0.25">
      <c r="B4582" s="43"/>
    </row>
    <row r="4583" spans="2:2" x14ac:dyDescent="0.25">
      <c r="B4583" s="43"/>
    </row>
    <row r="4584" spans="2:2" x14ac:dyDescent="0.25">
      <c r="B4584" s="43"/>
    </row>
    <row r="4585" spans="2:2" x14ac:dyDescent="0.25">
      <c r="B4585" s="43"/>
    </row>
    <row r="4586" spans="2:2" x14ac:dyDescent="0.25">
      <c r="B4586" s="43"/>
    </row>
    <row r="4587" spans="2:2" x14ac:dyDescent="0.25">
      <c r="B4587" s="43"/>
    </row>
    <row r="4588" spans="2:2" x14ac:dyDescent="0.25">
      <c r="B4588" s="43"/>
    </row>
    <row r="4589" spans="2:2" x14ac:dyDescent="0.25">
      <c r="B4589" s="43"/>
    </row>
    <row r="4590" spans="2:2" x14ac:dyDescent="0.25">
      <c r="B4590" s="43"/>
    </row>
    <row r="4591" spans="2:2" x14ac:dyDescent="0.25">
      <c r="B4591" s="43"/>
    </row>
    <row r="4592" spans="2:2" x14ac:dyDescent="0.25">
      <c r="B4592" s="43"/>
    </row>
    <row r="4593" spans="2:2" x14ac:dyDescent="0.25">
      <c r="B4593" s="43"/>
    </row>
    <row r="4594" spans="2:2" x14ac:dyDescent="0.25">
      <c r="B4594" s="43"/>
    </row>
    <row r="4595" spans="2:2" x14ac:dyDescent="0.25">
      <c r="B4595" s="43"/>
    </row>
    <row r="4596" spans="2:2" x14ac:dyDescent="0.25">
      <c r="B4596" s="43"/>
    </row>
    <row r="4597" spans="2:2" x14ac:dyDescent="0.25">
      <c r="B4597" s="43"/>
    </row>
    <row r="4598" spans="2:2" x14ac:dyDescent="0.25">
      <c r="B4598" s="43"/>
    </row>
    <row r="4599" spans="2:2" x14ac:dyDescent="0.25">
      <c r="B4599" s="43"/>
    </row>
    <row r="4600" spans="2:2" x14ac:dyDescent="0.25">
      <c r="B4600" s="43"/>
    </row>
    <row r="4601" spans="2:2" x14ac:dyDescent="0.25">
      <c r="B4601" s="43"/>
    </row>
    <row r="4602" spans="2:2" x14ac:dyDescent="0.25">
      <c r="B4602" s="43"/>
    </row>
    <row r="4603" spans="2:2" x14ac:dyDescent="0.25">
      <c r="B4603" s="43"/>
    </row>
    <row r="4604" spans="2:2" x14ac:dyDescent="0.25">
      <c r="B4604" s="43"/>
    </row>
    <row r="4605" spans="2:2" x14ac:dyDescent="0.25">
      <c r="B4605" s="43"/>
    </row>
    <row r="4606" spans="2:2" x14ac:dyDescent="0.25">
      <c r="B4606" s="43"/>
    </row>
    <row r="4607" spans="2:2" x14ac:dyDescent="0.25">
      <c r="B4607" s="43"/>
    </row>
    <row r="4608" spans="2:2" x14ac:dyDescent="0.25">
      <c r="B4608" s="43"/>
    </row>
    <row r="4609" spans="2:2" x14ac:dyDescent="0.25">
      <c r="B4609" s="43"/>
    </row>
    <row r="4610" spans="2:2" x14ac:dyDescent="0.25">
      <c r="B4610" s="43"/>
    </row>
    <row r="4611" spans="2:2" x14ac:dyDescent="0.25">
      <c r="B4611" s="43"/>
    </row>
    <row r="4612" spans="2:2" x14ac:dyDescent="0.25">
      <c r="B4612" s="43"/>
    </row>
    <row r="4613" spans="2:2" x14ac:dyDescent="0.25">
      <c r="B4613" s="43"/>
    </row>
    <row r="4614" spans="2:2" x14ac:dyDescent="0.25">
      <c r="B4614" s="43"/>
    </row>
    <row r="4615" spans="2:2" x14ac:dyDescent="0.25">
      <c r="B4615" s="43"/>
    </row>
    <row r="4616" spans="2:2" x14ac:dyDescent="0.25">
      <c r="B4616" s="43"/>
    </row>
    <row r="4617" spans="2:2" x14ac:dyDescent="0.25">
      <c r="B4617" s="43"/>
    </row>
    <row r="4618" spans="2:2" x14ac:dyDescent="0.25">
      <c r="B4618" s="43"/>
    </row>
    <row r="4619" spans="2:2" x14ac:dyDescent="0.25">
      <c r="B4619" s="43"/>
    </row>
    <row r="4620" spans="2:2" x14ac:dyDescent="0.25">
      <c r="B4620" s="43"/>
    </row>
    <row r="4621" spans="2:2" x14ac:dyDescent="0.25">
      <c r="B4621" s="43"/>
    </row>
    <row r="4622" spans="2:2" x14ac:dyDescent="0.25">
      <c r="B4622" s="43"/>
    </row>
    <row r="4623" spans="2:2" x14ac:dyDescent="0.25">
      <c r="B4623" s="43"/>
    </row>
    <row r="4624" spans="2:2" x14ac:dyDescent="0.25">
      <c r="B4624" s="43"/>
    </row>
    <row r="4625" spans="2:2" x14ac:dyDescent="0.25">
      <c r="B4625" s="43"/>
    </row>
    <row r="4626" spans="2:2" x14ac:dyDescent="0.25">
      <c r="B4626" s="43"/>
    </row>
    <row r="4627" spans="2:2" x14ac:dyDescent="0.25">
      <c r="B4627" s="43"/>
    </row>
    <row r="4628" spans="2:2" x14ac:dyDescent="0.25">
      <c r="B4628" s="43"/>
    </row>
    <row r="4629" spans="2:2" x14ac:dyDescent="0.25">
      <c r="B4629" s="43"/>
    </row>
    <row r="4630" spans="2:2" x14ac:dyDescent="0.25">
      <c r="B4630" s="43"/>
    </row>
    <row r="4631" spans="2:2" x14ac:dyDescent="0.25">
      <c r="B4631" s="43"/>
    </row>
    <row r="4632" spans="2:2" x14ac:dyDescent="0.25">
      <c r="B4632" s="43"/>
    </row>
    <row r="4633" spans="2:2" x14ac:dyDescent="0.25">
      <c r="B4633" s="43"/>
    </row>
    <row r="4634" spans="2:2" x14ac:dyDescent="0.25">
      <c r="B4634" s="43"/>
    </row>
    <row r="4635" spans="2:2" x14ac:dyDescent="0.25">
      <c r="B4635" s="43"/>
    </row>
    <row r="4636" spans="2:2" x14ac:dyDescent="0.25">
      <c r="B4636" s="43"/>
    </row>
    <row r="4637" spans="2:2" x14ac:dyDescent="0.25">
      <c r="B4637" s="43"/>
    </row>
    <row r="4638" spans="2:2" x14ac:dyDescent="0.25">
      <c r="B4638" s="43"/>
    </row>
    <row r="4639" spans="2:2" x14ac:dyDescent="0.25">
      <c r="B4639" s="43"/>
    </row>
    <row r="4640" spans="2:2" x14ac:dyDescent="0.25">
      <c r="B4640" s="43"/>
    </row>
    <row r="4641" spans="2:2" x14ac:dyDescent="0.25">
      <c r="B4641" s="43"/>
    </row>
    <row r="4642" spans="2:2" x14ac:dyDescent="0.25">
      <c r="B4642" s="43"/>
    </row>
    <row r="4643" spans="2:2" x14ac:dyDescent="0.25">
      <c r="B4643" s="43"/>
    </row>
    <row r="4644" spans="2:2" x14ac:dyDescent="0.25">
      <c r="B4644" s="43"/>
    </row>
    <row r="4645" spans="2:2" x14ac:dyDescent="0.25">
      <c r="B4645" s="43"/>
    </row>
    <row r="4646" spans="2:2" x14ac:dyDescent="0.25">
      <c r="B4646" s="43"/>
    </row>
    <row r="4647" spans="2:2" x14ac:dyDescent="0.25">
      <c r="B4647" s="43"/>
    </row>
    <row r="4648" spans="2:2" x14ac:dyDescent="0.25">
      <c r="B4648" s="43"/>
    </row>
    <row r="4649" spans="2:2" x14ac:dyDescent="0.25">
      <c r="B4649" s="43"/>
    </row>
    <row r="4650" spans="2:2" x14ac:dyDescent="0.25">
      <c r="B4650" s="43"/>
    </row>
    <row r="4651" spans="2:2" x14ac:dyDescent="0.25">
      <c r="B4651" s="43"/>
    </row>
    <row r="4652" spans="2:2" x14ac:dyDescent="0.25">
      <c r="B4652" s="43"/>
    </row>
    <row r="4653" spans="2:2" x14ac:dyDescent="0.25">
      <c r="B4653" s="43"/>
    </row>
    <row r="4654" spans="2:2" x14ac:dyDescent="0.25">
      <c r="B4654" s="43"/>
    </row>
    <row r="4655" spans="2:2" x14ac:dyDescent="0.25">
      <c r="B4655" s="43"/>
    </row>
    <row r="4656" spans="2:2" x14ac:dyDescent="0.25">
      <c r="B4656" s="43"/>
    </row>
    <row r="4657" spans="2:2" x14ac:dyDescent="0.25">
      <c r="B4657" s="43"/>
    </row>
    <row r="4658" spans="2:2" x14ac:dyDescent="0.25">
      <c r="B4658" s="43"/>
    </row>
    <row r="4659" spans="2:2" x14ac:dyDescent="0.25">
      <c r="B4659" s="43"/>
    </row>
    <row r="4660" spans="2:2" x14ac:dyDescent="0.25">
      <c r="B4660" s="43"/>
    </row>
    <row r="4661" spans="2:2" x14ac:dyDescent="0.25">
      <c r="B4661" s="43"/>
    </row>
    <row r="4662" spans="2:2" x14ac:dyDescent="0.25">
      <c r="B4662" s="43"/>
    </row>
    <row r="4663" spans="2:2" x14ac:dyDescent="0.25">
      <c r="B4663" s="43"/>
    </row>
    <row r="4664" spans="2:2" x14ac:dyDescent="0.25">
      <c r="B4664" s="43"/>
    </row>
    <row r="4665" spans="2:2" x14ac:dyDescent="0.25">
      <c r="B4665" s="43"/>
    </row>
    <row r="4666" spans="2:2" x14ac:dyDescent="0.25">
      <c r="B4666" s="43"/>
    </row>
    <row r="4667" spans="2:2" x14ac:dyDescent="0.25">
      <c r="B4667" s="43"/>
    </row>
    <row r="4668" spans="2:2" x14ac:dyDescent="0.25">
      <c r="B4668" s="43"/>
    </row>
    <row r="4669" spans="2:2" x14ac:dyDescent="0.25">
      <c r="B4669" s="43"/>
    </row>
    <row r="4670" spans="2:2" x14ac:dyDescent="0.25">
      <c r="B4670" s="43"/>
    </row>
    <row r="4671" spans="2:2" x14ac:dyDescent="0.25">
      <c r="B4671" s="43"/>
    </row>
    <row r="4672" spans="2:2" x14ac:dyDescent="0.25">
      <c r="B4672" s="43"/>
    </row>
    <row r="4673" spans="2:2" x14ac:dyDescent="0.25">
      <c r="B4673" s="43"/>
    </row>
    <row r="4674" spans="2:2" x14ac:dyDescent="0.25">
      <c r="B4674" s="43"/>
    </row>
    <row r="4675" spans="2:2" x14ac:dyDescent="0.25">
      <c r="B4675" s="43"/>
    </row>
    <row r="4676" spans="2:2" x14ac:dyDescent="0.25">
      <c r="B4676" s="43"/>
    </row>
    <row r="4677" spans="2:2" x14ac:dyDescent="0.25">
      <c r="B4677" s="43"/>
    </row>
    <row r="4678" spans="2:2" x14ac:dyDescent="0.25">
      <c r="B4678" s="43"/>
    </row>
    <row r="4679" spans="2:2" x14ac:dyDescent="0.25">
      <c r="B4679" s="43"/>
    </row>
    <row r="4680" spans="2:2" x14ac:dyDescent="0.25">
      <c r="B4680" s="43"/>
    </row>
    <row r="4681" spans="2:2" x14ac:dyDescent="0.25">
      <c r="B4681" s="43"/>
    </row>
    <row r="4682" spans="2:2" x14ac:dyDescent="0.25">
      <c r="B4682" s="43"/>
    </row>
    <row r="4683" spans="2:2" x14ac:dyDescent="0.25">
      <c r="B4683" s="43"/>
    </row>
    <row r="4684" spans="2:2" x14ac:dyDescent="0.25">
      <c r="B4684" s="43"/>
    </row>
    <row r="4685" spans="2:2" x14ac:dyDescent="0.25">
      <c r="B4685" s="43"/>
    </row>
    <row r="4686" spans="2:2" x14ac:dyDescent="0.25">
      <c r="B4686" s="43"/>
    </row>
    <row r="4687" spans="2:2" x14ac:dyDescent="0.25">
      <c r="B4687" s="43"/>
    </row>
    <row r="4688" spans="2:2" x14ac:dyDescent="0.25">
      <c r="B4688" s="43"/>
    </row>
    <row r="4689" spans="2:2" x14ac:dyDescent="0.25">
      <c r="B4689" s="43"/>
    </row>
    <row r="4690" spans="2:2" x14ac:dyDescent="0.25">
      <c r="B4690" s="43"/>
    </row>
    <row r="4691" spans="2:2" x14ac:dyDescent="0.25">
      <c r="B4691" s="43"/>
    </row>
    <row r="4692" spans="2:2" x14ac:dyDescent="0.25">
      <c r="B4692" s="43"/>
    </row>
    <row r="4693" spans="2:2" x14ac:dyDescent="0.25">
      <c r="B4693" s="43"/>
    </row>
    <row r="4694" spans="2:2" x14ac:dyDescent="0.25">
      <c r="B4694" s="43"/>
    </row>
    <row r="4695" spans="2:2" x14ac:dyDescent="0.25">
      <c r="B4695" s="43"/>
    </row>
    <row r="4696" spans="2:2" x14ac:dyDescent="0.25">
      <c r="B4696" s="43"/>
    </row>
    <row r="4697" spans="2:2" x14ac:dyDescent="0.25">
      <c r="B4697" s="43"/>
    </row>
    <row r="4698" spans="2:2" x14ac:dyDescent="0.25">
      <c r="B4698" s="43"/>
    </row>
    <row r="4699" spans="2:2" x14ac:dyDescent="0.25">
      <c r="B4699" s="43"/>
    </row>
    <row r="4700" spans="2:2" x14ac:dyDescent="0.25">
      <c r="B4700" s="43"/>
    </row>
    <row r="4701" spans="2:2" x14ac:dyDescent="0.25">
      <c r="B4701" s="43"/>
    </row>
    <row r="4702" spans="2:2" x14ac:dyDescent="0.25">
      <c r="B4702" s="43"/>
    </row>
    <row r="4703" spans="2:2" x14ac:dyDescent="0.25">
      <c r="B4703" s="43"/>
    </row>
    <row r="4704" spans="2:2" x14ac:dyDescent="0.25">
      <c r="B4704" s="43"/>
    </row>
    <row r="4705" spans="2:2" x14ac:dyDescent="0.25">
      <c r="B4705" s="43"/>
    </row>
    <row r="4706" spans="2:2" x14ac:dyDescent="0.25">
      <c r="B4706" s="43"/>
    </row>
    <row r="4707" spans="2:2" x14ac:dyDescent="0.25">
      <c r="B4707" s="43"/>
    </row>
    <row r="4708" spans="2:2" x14ac:dyDescent="0.25">
      <c r="B4708" s="43"/>
    </row>
    <row r="4709" spans="2:2" x14ac:dyDescent="0.25">
      <c r="B4709" s="43"/>
    </row>
    <row r="4710" spans="2:2" x14ac:dyDescent="0.25">
      <c r="B4710" s="43"/>
    </row>
    <row r="4711" spans="2:2" x14ac:dyDescent="0.25">
      <c r="B4711" s="43"/>
    </row>
    <row r="4712" spans="2:2" x14ac:dyDescent="0.25">
      <c r="B4712" s="43"/>
    </row>
    <row r="4713" spans="2:2" x14ac:dyDescent="0.25">
      <c r="B4713" s="43"/>
    </row>
    <row r="4714" spans="2:2" x14ac:dyDescent="0.25">
      <c r="B4714" s="43"/>
    </row>
    <row r="4715" spans="2:2" x14ac:dyDescent="0.25">
      <c r="B4715" s="43"/>
    </row>
    <row r="4716" spans="2:2" x14ac:dyDescent="0.25">
      <c r="B4716" s="43"/>
    </row>
    <row r="4717" spans="2:2" x14ac:dyDescent="0.25">
      <c r="B4717" s="43"/>
    </row>
    <row r="4718" spans="2:2" x14ac:dyDescent="0.25">
      <c r="B4718" s="43"/>
    </row>
    <row r="4719" spans="2:2" x14ac:dyDescent="0.25">
      <c r="B4719" s="43"/>
    </row>
    <row r="4720" spans="2:2" x14ac:dyDescent="0.25">
      <c r="B4720" s="43"/>
    </row>
    <row r="4721" spans="2:2" x14ac:dyDescent="0.25">
      <c r="B4721" s="43"/>
    </row>
    <row r="4722" spans="2:2" x14ac:dyDescent="0.25">
      <c r="B4722" s="43"/>
    </row>
    <row r="4723" spans="2:2" x14ac:dyDescent="0.25">
      <c r="B4723" s="43"/>
    </row>
    <row r="4724" spans="2:2" x14ac:dyDescent="0.25">
      <c r="B4724" s="43"/>
    </row>
    <row r="4725" spans="2:2" x14ac:dyDescent="0.25">
      <c r="B4725" s="43"/>
    </row>
    <row r="4726" spans="2:2" x14ac:dyDescent="0.25">
      <c r="B4726" s="43"/>
    </row>
    <row r="4727" spans="2:2" x14ac:dyDescent="0.25">
      <c r="B4727" s="43"/>
    </row>
    <row r="4728" spans="2:2" x14ac:dyDescent="0.25">
      <c r="B4728" s="43"/>
    </row>
    <row r="4729" spans="2:2" x14ac:dyDescent="0.25">
      <c r="B4729" s="43"/>
    </row>
    <row r="4730" spans="2:2" x14ac:dyDescent="0.25">
      <c r="B4730" s="43"/>
    </row>
    <row r="4731" spans="2:2" x14ac:dyDescent="0.25">
      <c r="B4731" s="43"/>
    </row>
    <row r="4732" spans="2:2" x14ac:dyDescent="0.25">
      <c r="B4732" s="43"/>
    </row>
    <row r="4733" spans="2:2" x14ac:dyDescent="0.25">
      <c r="B4733" s="43"/>
    </row>
    <row r="4734" spans="2:2" x14ac:dyDescent="0.25">
      <c r="B4734" s="43"/>
    </row>
    <row r="4735" spans="2:2" x14ac:dyDescent="0.25">
      <c r="B4735" s="43"/>
    </row>
    <row r="4736" spans="2:2" x14ac:dyDescent="0.25">
      <c r="B4736" s="43"/>
    </row>
    <row r="4737" spans="2:2" x14ac:dyDescent="0.25">
      <c r="B4737" s="43"/>
    </row>
    <row r="4738" spans="2:2" x14ac:dyDescent="0.25">
      <c r="B4738" s="43"/>
    </row>
    <row r="4739" spans="2:2" x14ac:dyDescent="0.25">
      <c r="B4739" s="43"/>
    </row>
    <row r="4740" spans="2:2" x14ac:dyDescent="0.25">
      <c r="B4740" s="43"/>
    </row>
    <row r="4741" spans="2:2" x14ac:dyDescent="0.25">
      <c r="B4741" s="43"/>
    </row>
    <row r="4742" spans="2:2" x14ac:dyDescent="0.25">
      <c r="B4742" s="43"/>
    </row>
    <row r="4743" spans="2:2" x14ac:dyDescent="0.25">
      <c r="B4743" s="43"/>
    </row>
    <row r="4744" spans="2:2" x14ac:dyDescent="0.25">
      <c r="B4744" s="43"/>
    </row>
    <row r="4745" spans="2:2" x14ac:dyDescent="0.25">
      <c r="B4745" s="43"/>
    </row>
    <row r="4746" spans="2:2" x14ac:dyDescent="0.25">
      <c r="B4746" s="43"/>
    </row>
    <row r="4747" spans="2:2" x14ac:dyDescent="0.25">
      <c r="B4747" s="43"/>
    </row>
    <row r="4748" spans="2:2" x14ac:dyDescent="0.25">
      <c r="B4748" s="43"/>
    </row>
    <row r="4749" spans="2:2" x14ac:dyDescent="0.25">
      <c r="B4749" s="43"/>
    </row>
    <row r="4750" spans="2:2" x14ac:dyDescent="0.25">
      <c r="B4750" s="43"/>
    </row>
    <row r="4751" spans="2:2" x14ac:dyDescent="0.25">
      <c r="B4751" s="43"/>
    </row>
    <row r="4752" spans="2:2" x14ac:dyDescent="0.25">
      <c r="B4752" s="43"/>
    </row>
    <row r="4753" spans="2:2" x14ac:dyDescent="0.25">
      <c r="B4753" s="43"/>
    </row>
    <row r="4754" spans="2:2" x14ac:dyDescent="0.25">
      <c r="B4754" s="43"/>
    </row>
    <row r="4755" spans="2:2" x14ac:dyDescent="0.25">
      <c r="B4755" s="43"/>
    </row>
    <row r="4756" spans="2:2" x14ac:dyDescent="0.25">
      <c r="B4756" s="43"/>
    </row>
    <row r="4757" spans="2:2" x14ac:dyDescent="0.25">
      <c r="B4757" s="43"/>
    </row>
    <row r="4758" spans="2:2" x14ac:dyDescent="0.25">
      <c r="B4758" s="43"/>
    </row>
    <row r="4759" spans="2:2" x14ac:dyDescent="0.25">
      <c r="B4759" s="43"/>
    </row>
    <row r="4760" spans="2:2" x14ac:dyDescent="0.25">
      <c r="B4760" s="43"/>
    </row>
    <row r="4761" spans="2:2" x14ac:dyDescent="0.25">
      <c r="B4761" s="43"/>
    </row>
    <row r="4762" spans="2:2" x14ac:dyDescent="0.25">
      <c r="B4762" s="43"/>
    </row>
    <row r="4763" spans="2:2" x14ac:dyDescent="0.25">
      <c r="B4763" s="43"/>
    </row>
    <row r="4764" spans="2:2" x14ac:dyDescent="0.25">
      <c r="B4764" s="43"/>
    </row>
    <row r="4765" spans="2:2" x14ac:dyDescent="0.25">
      <c r="B4765" s="43"/>
    </row>
    <row r="4766" spans="2:2" x14ac:dyDescent="0.25">
      <c r="B4766" s="43"/>
    </row>
    <row r="4767" spans="2:2" x14ac:dyDescent="0.25">
      <c r="B4767" s="43"/>
    </row>
    <row r="4768" spans="2:2" x14ac:dyDescent="0.25">
      <c r="B4768" s="43"/>
    </row>
    <row r="4769" spans="2:2" x14ac:dyDescent="0.25">
      <c r="B4769" s="43"/>
    </row>
    <row r="4770" spans="2:2" x14ac:dyDescent="0.25">
      <c r="B4770" s="43"/>
    </row>
    <row r="4771" spans="2:2" x14ac:dyDescent="0.25">
      <c r="B4771" s="43"/>
    </row>
    <row r="4772" spans="2:2" x14ac:dyDescent="0.25">
      <c r="B4772" s="43"/>
    </row>
    <row r="4773" spans="2:2" x14ac:dyDescent="0.25">
      <c r="B4773" s="43"/>
    </row>
    <row r="4774" spans="2:2" x14ac:dyDescent="0.25">
      <c r="B4774" s="43"/>
    </row>
    <row r="4775" spans="2:2" x14ac:dyDescent="0.25">
      <c r="B4775" s="43"/>
    </row>
    <row r="4776" spans="2:2" x14ac:dyDescent="0.25">
      <c r="B4776" s="43"/>
    </row>
    <row r="4777" spans="2:2" x14ac:dyDescent="0.25">
      <c r="B4777" s="43"/>
    </row>
    <row r="4778" spans="2:2" x14ac:dyDescent="0.25">
      <c r="B4778" s="43"/>
    </row>
    <row r="4779" spans="2:2" x14ac:dyDescent="0.25">
      <c r="B4779" s="43"/>
    </row>
    <row r="4780" spans="2:2" x14ac:dyDescent="0.25">
      <c r="B4780" s="43"/>
    </row>
    <row r="4781" spans="2:2" x14ac:dyDescent="0.25">
      <c r="B4781" s="43"/>
    </row>
    <row r="4782" spans="2:2" x14ac:dyDescent="0.25">
      <c r="B4782" s="43"/>
    </row>
    <row r="4783" spans="2:2" x14ac:dyDescent="0.25">
      <c r="B4783" s="43"/>
    </row>
    <row r="4784" spans="2:2" x14ac:dyDescent="0.25">
      <c r="B4784" s="43"/>
    </row>
    <row r="4785" spans="2:2" x14ac:dyDescent="0.25">
      <c r="B4785" s="43"/>
    </row>
    <row r="4786" spans="2:2" x14ac:dyDescent="0.25">
      <c r="B4786" s="43"/>
    </row>
    <row r="4787" spans="2:2" x14ac:dyDescent="0.25">
      <c r="B4787" s="43"/>
    </row>
    <row r="4788" spans="2:2" x14ac:dyDescent="0.25">
      <c r="B4788" s="43"/>
    </row>
    <row r="4789" spans="2:2" x14ac:dyDescent="0.25">
      <c r="B4789" s="43"/>
    </row>
    <row r="4790" spans="2:2" x14ac:dyDescent="0.25">
      <c r="B4790" s="43"/>
    </row>
    <row r="4791" spans="2:2" x14ac:dyDescent="0.25">
      <c r="B4791" s="43"/>
    </row>
    <row r="4792" spans="2:2" x14ac:dyDescent="0.25">
      <c r="B4792" s="43"/>
    </row>
    <row r="4793" spans="2:2" x14ac:dyDescent="0.25">
      <c r="B4793" s="43"/>
    </row>
    <row r="4794" spans="2:2" x14ac:dyDescent="0.25">
      <c r="B4794" s="43"/>
    </row>
    <row r="4795" spans="2:2" x14ac:dyDescent="0.25">
      <c r="B4795" s="43"/>
    </row>
    <row r="4796" spans="2:2" x14ac:dyDescent="0.25">
      <c r="B4796" s="43"/>
    </row>
    <row r="4797" spans="2:2" x14ac:dyDescent="0.25">
      <c r="B4797" s="43"/>
    </row>
    <row r="4798" spans="2:2" x14ac:dyDescent="0.25">
      <c r="B4798" s="43"/>
    </row>
    <row r="4799" spans="2:2" x14ac:dyDescent="0.25">
      <c r="B4799" s="43"/>
    </row>
    <row r="4800" spans="2:2" x14ac:dyDescent="0.25">
      <c r="B4800" s="43"/>
    </row>
    <row r="4801" spans="2:2" x14ac:dyDescent="0.25">
      <c r="B4801" s="43"/>
    </row>
    <row r="4802" spans="2:2" x14ac:dyDescent="0.25">
      <c r="B4802" s="43"/>
    </row>
    <row r="4803" spans="2:2" x14ac:dyDescent="0.25">
      <c r="B4803" s="43"/>
    </row>
    <row r="4804" spans="2:2" x14ac:dyDescent="0.25">
      <c r="B4804" s="43"/>
    </row>
    <row r="4805" spans="2:2" x14ac:dyDescent="0.25">
      <c r="B4805" s="43"/>
    </row>
    <row r="4806" spans="2:2" x14ac:dyDescent="0.25">
      <c r="B4806" s="43"/>
    </row>
    <row r="4807" spans="2:2" x14ac:dyDescent="0.25">
      <c r="B4807" s="43"/>
    </row>
    <row r="4808" spans="2:2" x14ac:dyDescent="0.25">
      <c r="B4808" s="43"/>
    </row>
    <row r="4809" spans="2:2" x14ac:dyDescent="0.25">
      <c r="B4809" s="43"/>
    </row>
    <row r="4810" spans="2:2" x14ac:dyDescent="0.25">
      <c r="B4810" s="43"/>
    </row>
    <row r="4811" spans="2:2" x14ac:dyDescent="0.25">
      <c r="B4811" s="43"/>
    </row>
    <row r="4812" spans="2:2" x14ac:dyDescent="0.25">
      <c r="B4812" s="43"/>
    </row>
    <row r="4813" spans="2:2" x14ac:dyDescent="0.25">
      <c r="B4813" s="43"/>
    </row>
    <row r="4814" spans="2:2" x14ac:dyDescent="0.25">
      <c r="B4814" s="43"/>
    </row>
    <row r="4815" spans="2:2" x14ac:dyDescent="0.25">
      <c r="B4815" s="43"/>
    </row>
    <row r="4816" spans="2:2" x14ac:dyDescent="0.25">
      <c r="B4816" s="43"/>
    </row>
    <row r="4817" spans="2:2" x14ac:dyDescent="0.25">
      <c r="B4817" s="43"/>
    </row>
    <row r="4818" spans="2:2" x14ac:dyDescent="0.25">
      <c r="B4818" s="43"/>
    </row>
    <row r="4819" spans="2:2" x14ac:dyDescent="0.25">
      <c r="B4819" s="43"/>
    </row>
    <row r="4820" spans="2:2" x14ac:dyDescent="0.25">
      <c r="B4820" s="43"/>
    </row>
    <row r="4821" spans="2:2" x14ac:dyDescent="0.25">
      <c r="B4821" s="43"/>
    </row>
    <row r="4822" spans="2:2" x14ac:dyDescent="0.25">
      <c r="B4822" s="43"/>
    </row>
    <row r="4823" spans="2:2" x14ac:dyDescent="0.25">
      <c r="B4823" s="43"/>
    </row>
    <row r="4824" spans="2:2" x14ac:dyDescent="0.25">
      <c r="B4824" s="43"/>
    </row>
    <row r="4825" spans="2:2" x14ac:dyDescent="0.25">
      <c r="B4825" s="43"/>
    </row>
    <row r="4826" spans="2:2" x14ac:dyDescent="0.25">
      <c r="B4826" s="43"/>
    </row>
    <row r="4827" spans="2:2" x14ac:dyDescent="0.25">
      <c r="B4827" s="43"/>
    </row>
    <row r="4828" spans="2:2" x14ac:dyDescent="0.25">
      <c r="B4828" s="43"/>
    </row>
    <row r="4829" spans="2:2" x14ac:dyDescent="0.25">
      <c r="B4829" s="43"/>
    </row>
    <row r="4830" spans="2:2" x14ac:dyDescent="0.25">
      <c r="B4830" s="43"/>
    </row>
    <row r="4831" spans="2:2" x14ac:dyDescent="0.25">
      <c r="B4831" s="43"/>
    </row>
    <row r="4832" spans="2:2" x14ac:dyDescent="0.25">
      <c r="B4832" s="43"/>
    </row>
    <row r="4833" spans="2:2" x14ac:dyDescent="0.25">
      <c r="B4833" s="43"/>
    </row>
    <row r="4834" spans="2:2" x14ac:dyDescent="0.25">
      <c r="B4834" s="43"/>
    </row>
    <row r="4835" spans="2:2" x14ac:dyDescent="0.25">
      <c r="B4835" s="43"/>
    </row>
    <row r="4836" spans="2:2" x14ac:dyDescent="0.25">
      <c r="B4836" s="43"/>
    </row>
    <row r="4837" spans="2:2" x14ac:dyDescent="0.25">
      <c r="B4837" s="43"/>
    </row>
    <row r="4838" spans="2:2" x14ac:dyDescent="0.25">
      <c r="B4838" s="43"/>
    </row>
    <row r="4839" spans="2:2" x14ac:dyDescent="0.25">
      <c r="B4839" s="43"/>
    </row>
    <row r="4840" spans="2:2" x14ac:dyDescent="0.25">
      <c r="B4840" s="43"/>
    </row>
    <row r="4841" spans="2:2" x14ac:dyDescent="0.25">
      <c r="B4841" s="43"/>
    </row>
    <row r="4842" spans="2:2" x14ac:dyDescent="0.25">
      <c r="B4842" s="43"/>
    </row>
    <row r="4843" spans="2:2" x14ac:dyDescent="0.25">
      <c r="B4843" s="43"/>
    </row>
    <row r="4844" spans="2:2" x14ac:dyDescent="0.25">
      <c r="B4844" s="43"/>
    </row>
    <row r="4845" spans="2:2" x14ac:dyDescent="0.25">
      <c r="B4845" s="43"/>
    </row>
    <row r="4846" spans="2:2" x14ac:dyDescent="0.25">
      <c r="B4846" s="43"/>
    </row>
    <row r="4847" spans="2:2" x14ac:dyDescent="0.25">
      <c r="B4847" s="43"/>
    </row>
    <row r="4848" spans="2:2" x14ac:dyDescent="0.25">
      <c r="B4848" s="43"/>
    </row>
    <row r="4849" spans="2:2" x14ac:dyDescent="0.25">
      <c r="B4849" s="43"/>
    </row>
    <row r="4850" spans="2:2" x14ac:dyDescent="0.25">
      <c r="B4850" s="43"/>
    </row>
    <row r="4851" spans="2:2" x14ac:dyDescent="0.25">
      <c r="B4851" s="43"/>
    </row>
    <row r="4852" spans="2:2" x14ac:dyDescent="0.25">
      <c r="B4852" s="43"/>
    </row>
    <row r="4853" spans="2:2" x14ac:dyDescent="0.25">
      <c r="B4853" s="43"/>
    </row>
    <row r="4854" spans="2:2" x14ac:dyDescent="0.25">
      <c r="B4854" s="43"/>
    </row>
    <row r="4855" spans="2:2" x14ac:dyDescent="0.25">
      <c r="B4855" s="43"/>
    </row>
    <row r="4856" spans="2:2" x14ac:dyDescent="0.25">
      <c r="B4856" s="43"/>
    </row>
    <row r="4857" spans="2:2" x14ac:dyDescent="0.25">
      <c r="B4857" s="43"/>
    </row>
    <row r="4858" spans="2:2" x14ac:dyDescent="0.25">
      <c r="B4858" s="43"/>
    </row>
    <row r="4859" spans="2:2" x14ac:dyDescent="0.25">
      <c r="B4859" s="43"/>
    </row>
    <row r="4860" spans="2:2" x14ac:dyDescent="0.25">
      <c r="B4860" s="43"/>
    </row>
    <row r="4861" spans="2:2" x14ac:dyDescent="0.25">
      <c r="B4861" s="43"/>
    </row>
    <row r="4862" spans="2:2" x14ac:dyDescent="0.25">
      <c r="B4862" s="43"/>
    </row>
    <row r="4863" spans="2:2" x14ac:dyDescent="0.25">
      <c r="B4863" s="43"/>
    </row>
    <row r="4864" spans="2:2" x14ac:dyDescent="0.25">
      <c r="B4864" s="43"/>
    </row>
    <row r="4865" spans="2:2" x14ac:dyDescent="0.25">
      <c r="B4865" s="43"/>
    </row>
    <row r="4866" spans="2:2" x14ac:dyDescent="0.25">
      <c r="B4866" s="43"/>
    </row>
    <row r="4867" spans="2:2" x14ac:dyDescent="0.25">
      <c r="B4867" s="43"/>
    </row>
    <row r="4868" spans="2:2" x14ac:dyDescent="0.25">
      <c r="B4868" s="43"/>
    </row>
    <row r="4869" spans="2:2" x14ac:dyDescent="0.25">
      <c r="B4869" s="43"/>
    </row>
    <row r="4870" spans="2:2" x14ac:dyDescent="0.25">
      <c r="B4870" s="43"/>
    </row>
    <row r="4871" spans="2:2" x14ac:dyDescent="0.25">
      <c r="B4871" s="43"/>
    </row>
    <row r="4872" spans="2:2" x14ac:dyDescent="0.25">
      <c r="B4872" s="43"/>
    </row>
    <row r="4873" spans="2:2" x14ac:dyDescent="0.25">
      <c r="B4873" s="43"/>
    </row>
    <row r="4874" spans="2:2" x14ac:dyDescent="0.25">
      <c r="B4874" s="43"/>
    </row>
    <row r="4875" spans="2:2" x14ac:dyDescent="0.25">
      <c r="B4875" s="43"/>
    </row>
    <row r="4876" spans="2:2" x14ac:dyDescent="0.25">
      <c r="B4876" s="43"/>
    </row>
    <row r="4877" spans="2:2" x14ac:dyDescent="0.25">
      <c r="B4877" s="43"/>
    </row>
    <row r="4878" spans="2:2" x14ac:dyDescent="0.25">
      <c r="B4878" s="43"/>
    </row>
    <row r="4879" spans="2:2" x14ac:dyDescent="0.25">
      <c r="B4879" s="43"/>
    </row>
    <row r="4880" spans="2:2" x14ac:dyDescent="0.25">
      <c r="B4880" s="43"/>
    </row>
    <row r="4881" spans="2:2" x14ac:dyDescent="0.25">
      <c r="B4881" s="43"/>
    </row>
    <row r="4882" spans="2:2" x14ac:dyDescent="0.25">
      <c r="B4882" s="43"/>
    </row>
    <row r="4883" spans="2:2" x14ac:dyDescent="0.25">
      <c r="B4883" s="43"/>
    </row>
    <row r="4884" spans="2:2" x14ac:dyDescent="0.25">
      <c r="B4884" s="43"/>
    </row>
    <row r="4885" spans="2:2" x14ac:dyDescent="0.25">
      <c r="B4885" s="43"/>
    </row>
    <row r="4886" spans="2:2" x14ac:dyDescent="0.25">
      <c r="B4886" s="43"/>
    </row>
    <row r="4887" spans="2:2" x14ac:dyDescent="0.25">
      <c r="B4887" s="43"/>
    </row>
    <row r="4888" spans="2:2" x14ac:dyDescent="0.25">
      <c r="B4888" s="43"/>
    </row>
    <row r="4889" spans="2:2" x14ac:dyDescent="0.25">
      <c r="B4889" s="43"/>
    </row>
    <row r="4890" spans="2:2" x14ac:dyDescent="0.25">
      <c r="B4890" s="43"/>
    </row>
    <row r="4891" spans="2:2" x14ac:dyDescent="0.25">
      <c r="B4891" s="43"/>
    </row>
    <row r="4892" spans="2:2" x14ac:dyDescent="0.25">
      <c r="B4892" s="43"/>
    </row>
    <row r="4893" spans="2:2" x14ac:dyDescent="0.25">
      <c r="B4893" s="43"/>
    </row>
    <row r="4894" spans="2:2" x14ac:dyDescent="0.25">
      <c r="B4894" s="43"/>
    </row>
    <row r="4895" spans="2:2" x14ac:dyDescent="0.25">
      <c r="B4895" s="43"/>
    </row>
    <row r="4896" spans="2:2" x14ac:dyDescent="0.25">
      <c r="B4896" s="43"/>
    </row>
    <row r="4897" spans="2:2" x14ac:dyDescent="0.25">
      <c r="B4897" s="43"/>
    </row>
    <row r="4898" spans="2:2" x14ac:dyDescent="0.25">
      <c r="B4898" s="43"/>
    </row>
    <row r="4899" spans="2:2" x14ac:dyDescent="0.25">
      <c r="B4899" s="43"/>
    </row>
    <row r="4900" spans="2:2" x14ac:dyDescent="0.25">
      <c r="B4900" s="43"/>
    </row>
    <row r="4901" spans="2:2" x14ac:dyDescent="0.25">
      <c r="B4901" s="43"/>
    </row>
    <row r="4902" spans="2:2" x14ac:dyDescent="0.25">
      <c r="B4902" s="43"/>
    </row>
    <row r="4903" spans="2:2" x14ac:dyDescent="0.25">
      <c r="B4903" s="43"/>
    </row>
    <row r="4904" spans="2:2" x14ac:dyDescent="0.25">
      <c r="B4904" s="43"/>
    </row>
    <row r="4905" spans="2:2" x14ac:dyDescent="0.25">
      <c r="B4905" s="43"/>
    </row>
    <row r="4906" spans="2:2" x14ac:dyDescent="0.25">
      <c r="B4906" s="43"/>
    </row>
    <row r="4907" spans="2:2" x14ac:dyDescent="0.25">
      <c r="B4907" s="43"/>
    </row>
    <row r="4908" spans="2:2" x14ac:dyDescent="0.25">
      <c r="B4908" s="43"/>
    </row>
    <row r="4909" spans="2:2" x14ac:dyDescent="0.25">
      <c r="B4909" s="43"/>
    </row>
    <row r="4910" spans="2:2" x14ac:dyDescent="0.25">
      <c r="B4910" s="43"/>
    </row>
    <row r="4911" spans="2:2" x14ac:dyDescent="0.25">
      <c r="B4911" s="43"/>
    </row>
    <row r="4912" spans="2:2" x14ac:dyDescent="0.25">
      <c r="B4912" s="43"/>
    </row>
    <row r="4913" spans="2:2" x14ac:dyDescent="0.25">
      <c r="B4913" s="43"/>
    </row>
    <row r="4914" spans="2:2" x14ac:dyDescent="0.25">
      <c r="B4914" s="43"/>
    </row>
    <row r="4915" spans="2:2" x14ac:dyDescent="0.25">
      <c r="B4915" s="43"/>
    </row>
    <row r="4916" spans="2:2" x14ac:dyDescent="0.25">
      <c r="B4916" s="43"/>
    </row>
    <row r="4917" spans="2:2" x14ac:dyDescent="0.25">
      <c r="B4917" s="43"/>
    </row>
    <row r="4918" spans="2:2" x14ac:dyDescent="0.25">
      <c r="B4918" s="43"/>
    </row>
    <row r="4919" spans="2:2" x14ac:dyDescent="0.25">
      <c r="B4919" s="43"/>
    </row>
    <row r="4920" spans="2:2" x14ac:dyDescent="0.25">
      <c r="B4920" s="43"/>
    </row>
    <row r="4921" spans="2:2" x14ac:dyDescent="0.25">
      <c r="B4921" s="43"/>
    </row>
    <row r="4922" spans="2:2" x14ac:dyDescent="0.25">
      <c r="B4922" s="43"/>
    </row>
    <row r="4923" spans="2:2" x14ac:dyDescent="0.25">
      <c r="B4923" s="43"/>
    </row>
    <row r="4924" spans="2:2" x14ac:dyDescent="0.25">
      <c r="B4924" s="43"/>
    </row>
    <row r="4925" spans="2:2" x14ac:dyDescent="0.25">
      <c r="B4925" s="43"/>
    </row>
    <row r="4926" spans="2:2" x14ac:dyDescent="0.25">
      <c r="B4926" s="43"/>
    </row>
    <row r="4927" spans="2:2" x14ac:dyDescent="0.25">
      <c r="B4927" s="43"/>
    </row>
    <row r="4928" spans="2:2" x14ac:dyDescent="0.25">
      <c r="B4928" s="43"/>
    </row>
    <row r="4929" spans="2:2" x14ac:dyDescent="0.25">
      <c r="B4929" s="43"/>
    </row>
    <row r="4930" spans="2:2" x14ac:dyDescent="0.25">
      <c r="B4930" s="43"/>
    </row>
    <row r="4931" spans="2:2" x14ac:dyDescent="0.25">
      <c r="B4931" s="43"/>
    </row>
    <row r="4932" spans="2:2" x14ac:dyDescent="0.25">
      <c r="B4932" s="43"/>
    </row>
    <row r="4933" spans="2:2" x14ac:dyDescent="0.25">
      <c r="B4933" s="43"/>
    </row>
    <row r="4934" spans="2:2" x14ac:dyDescent="0.25">
      <c r="B4934" s="43"/>
    </row>
    <row r="4935" spans="2:2" x14ac:dyDescent="0.25">
      <c r="B4935" s="43"/>
    </row>
    <row r="4936" spans="2:2" x14ac:dyDescent="0.25">
      <c r="B4936" s="43"/>
    </row>
    <row r="4937" spans="2:2" x14ac:dyDescent="0.25">
      <c r="B4937" s="43"/>
    </row>
    <row r="4938" spans="2:2" x14ac:dyDescent="0.25">
      <c r="B4938" s="43"/>
    </row>
    <row r="4939" spans="2:2" x14ac:dyDescent="0.25">
      <c r="B4939" s="43"/>
    </row>
    <row r="4940" spans="2:2" x14ac:dyDescent="0.25">
      <c r="B4940" s="43"/>
    </row>
    <row r="4941" spans="2:2" x14ac:dyDescent="0.25">
      <c r="B4941" s="43"/>
    </row>
    <row r="4942" spans="2:2" x14ac:dyDescent="0.25">
      <c r="B4942" s="43"/>
    </row>
    <row r="4943" spans="2:2" x14ac:dyDescent="0.25">
      <c r="B4943" s="43"/>
    </row>
    <row r="4944" spans="2:2" x14ac:dyDescent="0.25">
      <c r="B4944" s="43"/>
    </row>
    <row r="4945" spans="2:2" x14ac:dyDescent="0.25">
      <c r="B4945" s="43"/>
    </row>
    <row r="4946" spans="2:2" x14ac:dyDescent="0.25">
      <c r="B4946" s="43"/>
    </row>
    <row r="4947" spans="2:2" x14ac:dyDescent="0.25">
      <c r="B4947" s="43"/>
    </row>
    <row r="4948" spans="2:2" x14ac:dyDescent="0.25">
      <c r="B4948" s="43"/>
    </row>
    <row r="4949" spans="2:2" x14ac:dyDescent="0.25">
      <c r="B4949" s="43"/>
    </row>
    <row r="4950" spans="2:2" x14ac:dyDescent="0.25">
      <c r="B4950" s="43"/>
    </row>
    <row r="4951" spans="2:2" x14ac:dyDescent="0.25">
      <c r="B4951" s="43"/>
    </row>
    <row r="4952" spans="2:2" x14ac:dyDescent="0.25">
      <c r="B4952" s="43"/>
    </row>
    <row r="4953" spans="2:2" x14ac:dyDescent="0.25">
      <c r="B4953" s="43"/>
    </row>
    <row r="4954" spans="2:2" x14ac:dyDescent="0.25">
      <c r="B4954" s="43"/>
    </row>
    <row r="4955" spans="2:2" x14ac:dyDescent="0.25">
      <c r="B4955" s="43"/>
    </row>
    <row r="4956" spans="2:2" x14ac:dyDescent="0.25">
      <c r="B4956" s="43"/>
    </row>
    <row r="4957" spans="2:2" x14ac:dyDescent="0.25">
      <c r="B4957" s="43"/>
    </row>
    <row r="4958" spans="2:2" x14ac:dyDescent="0.25">
      <c r="B4958" s="43"/>
    </row>
    <row r="4959" spans="2:2" x14ac:dyDescent="0.25">
      <c r="B4959" s="43"/>
    </row>
    <row r="4960" spans="2:2" x14ac:dyDescent="0.25">
      <c r="B4960" s="43"/>
    </row>
    <row r="4961" spans="2:2" x14ac:dyDescent="0.25">
      <c r="B4961" s="43"/>
    </row>
    <row r="4962" spans="2:2" x14ac:dyDescent="0.25">
      <c r="B4962" s="43"/>
    </row>
    <row r="4963" spans="2:2" x14ac:dyDescent="0.25">
      <c r="B4963" s="43"/>
    </row>
    <row r="4964" spans="2:2" x14ac:dyDescent="0.25">
      <c r="B4964" s="43"/>
    </row>
    <row r="4965" spans="2:2" x14ac:dyDescent="0.25">
      <c r="B4965" s="43"/>
    </row>
    <row r="4966" spans="2:2" x14ac:dyDescent="0.25">
      <c r="B4966" s="43"/>
    </row>
    <row r="4967" spans="2:2" x14ac:dyDescent="0.25">
      <c r="B4967" s="43"/>
    </row>
    <row r="4968" spans="2:2" x14ac:dyDescent="0.25">
      <c r="B4968" s="43"/>
    </row>
    <row r="4969" spans="2:2" x14ac:dyDescent="0.25">
      <c r="B4969" s="43"/>
    </row>
    <row r="4970" spans="2:2" x14ac:dyDescent="0.25">
      <c r="B4970" s="43"/>
    </row>
    <row r="4971" spans="2:2" x14ac:dyDescent="0.25">
      <c r="B4971" s="43"/>
    </row>
    <row r="4972" spans="2:2" x14ac:dyDescent="0.25">
      <c r="B4972" s="43"/>
    </row>
    <row r="4973" spans="2:2" x14ac:dyDescent="0.25">
      <c r="B4973" s="43"/>
    </row>
    <row r="4974" spans="2:2" x14ac:dyDescent="0.25">
      <c r="B4974" s="43"/>
    </row>
    <row r="4975" spans="2:2" x14ac:dyDescent="0.25">
      <c r="B4975" s="43"/>
    </row>
    <row r="4976" spans="2:2" x14ac:dyDescent="0.25">
      <c r="B4976" s="43"/>
    </row>
    <row r="4977" spans="2:2" x14ac:dyDescent="0.25">
      <c r="B4977" s="43"/>
    </row>
    <row r="4978" spans="2:2" x14ac:dyDescent="0.25">
      <c r="B4978" s="43"/>
    </row>
    <row r="4979" spans="2:2" x14ac:dyDescent="0.25">
      <c r="B4979" s="43"/>
    </row>
    <row r="4980" spans="2:2" x14ac:dyDescent="0.25">
      <c r="B4980" s="43"/>
    </row>
    <row r="4981" spans="2:2" x14ac:dyDescent="0.25">
      <c r="B4981" s="43"/>
    </row>
    <row r="4982" spans="2:2" x14ac:dyDescent="0.25">
      <c r="B4982" s="43"/>
    </row>
    <row r="4983" spans="2:2" x14ac:dyDescent="0.25">
      <c r="B4983" s="43"/>
    </row>
    <row r="4984" spans="2:2" x14ac:dyDescent="0.25">
      <c r="B4984" s="43"/>
    </row>
    <row r="4985" spans="2:2" x14ac:dyDescent="0.25">
      <c r="B4985" s="43"/>
    </row>
    <row r="4986" spans="2:2" x14ac:dyDescent="0.25">
      <c r="B4986" s="43"/>
    </row>
    <row r="4987" spans="2:2" x14ac:dyDescent="0.25">
      <c r="B4987" s="43"/>
    </row>
    <row r="4988" spans="2:2" x14ac:dyDescent="0.25">
      <c r="B4988" s="43"/>
    </row>
    <row r="4989" spans="2:2" x14ac:dyDescent="0.25">
      <c r="B4989" s="43"/>
    </row>
    <row r="4990" spans="2:2" x14ac:dyDescent="0.25">
      <c r="B4990" s="43"/>
    </row>
    <row r="4991" spans="2:2" x14ac:dyDescent="0.25">
      <c r="B4991" s="43"/>
    </row>
    <row r="4992" spans="2:2" x14ac:dyDescent="0.25">
      <c r="B4992" s="43"/>
    </row>
    <row r="4993" spans="2:2" x14ac:dyDescent="0.25">
      <c r="B4993" s="43"/>
    </row>
    <row r="4994" spans="2:2" x14ac:dyDescent="0.25">
      <c r="B4994" s="43"/>
    </row>
    <row r="4995" spans="2:2" x14ac:dyDescent="0.25">
      <c r="B4995" s="43"/>
    </row>
    <row r="4996" spans="2:2" x14ac:dyDescent="0.25">
      <c r="B4996" s="43"/>
    </row>
    <row r="4997" spans="2:2" x14ac:dyDescent="0.25">
      <c r="B4997" s="43"/>
    </row>
    <row r="4998" spans="2:2" x14ac:dyDescent="0.25">
      <c r="B4998" s="43"/>
    </row>
    <row r="4999" spans="2:2" x14ac:dyDescent="0.25">
      <c r="B4999" s="43"/>
    </row>
    <row r="5000" spans="2:2" x14ac:dyDescent="0.25">
      <c r="B5000" s="43"/>
    </row>
    <row r="5001" spans="2:2" x14ac:dyDescent="0.25">
      <c r="B5001" s="43"/>
    </row>
    <row r="5002" spans="2:2" x14ac:dyDescent="0.25">
      <c r="B5002" s="43"/>
    </row>
    <row r="5003" spans="2:2" x14ac:dyDescent="0.25">
      <c r="B5003" s="43"/>
    </row>
    <row r="5004" spans="2:2" x14ac:dyDescent="0.25">
      <c r="B5004" s="43"/>
    </row>
    <row r="5005" spans="2:2" x14ac:dyDescent="0.25">
      <c r="B5005" s="43"/>
    </row>
    <row r="5006" spans="2:2" x14ac:dyDescent="0.25">
      <c r="B5006" s="43"/>
    </row>
    <row r="5007" spans="2:2" x14ac:dyDescent="0.25">
      <c r="B5007" s="43"/>
    </row>
    <row r="5008" spans="2:2" x14ac:dyDescent="0.25">
      <c r="B5008" s="43"/>
    </row>
    <row r="5009" spans="2:2" x14ac:dyDescent="0.25">
      <c r="B5009" s="43"/>
    </row>
    <row r="5010" spans="2:2" x14ac:dyDescent="0.25">
      <c r="B5010" s="43"/>
    </row>
    <row r="5011" spans="2:2" x14ac:dyDescent="0.25">
      <c r="B5011" s="43"/>
    </row>
    <row r="5012" spans="2:2" x14ac:dyDescent="0.25">
      <c r="B5012" s="43"/>
    </row>
    <row r="5013" spans="2:2" x14ac:dyDescent="0.25">
      <c r="B5013" s="43"/>
    </row>
    <row r="5014" spans="2:2" x14ac:dyDescent="0.25">
      <c r="B5014" s="43"/>
    </row>
    <row r="5015" spans="2:2" x14ac:dyDescent="0.25">
      <c r="B5015" s="43"/>
    </row>
    <row r="5016" spans="2:2" x14ac:dyDescent="0.25">
      <c r="B5016" s="43"/>
    </row>
    <row r="5017" spans="2:2" x14ac:dyDescent="0.25">
      <c r="B5017" s="43"/>
    </row>
    <row r="5018" spans="2:2" x14ac:dyDescent="0.25">
      <c r="B5018" s="43"/>
    </row>
    <row r="5019" spans="2:2" x14ac:dyDescent="0.25">
      <c r="B5019" s="43"/>
    </row>
    <row r="5020" spans="2:2" x14ac:dyDescent="0.25">
      <c r="B5020" s="43"/>
    </row>
    <row r="5021" spans="2:2" x14ac:dyDescent="0.25">
      <c r="B5021" s="43"/>
    </row>
    <row r="5022" spans="2:2" x14ac:dyDescent="0.25">
      <c r="B5022" s="43"/>
    </row>
    <row r="5023" spans="2:2" x14ac:dyDescent="0.25">
      <c r="B5023" s="43"/>
    </row>
    <row r="5024" spans="2:2" x14ac:dyDescent="0.25">
      <c r="B5024" s="43"/>
    </row>
    <row r="5025" spans="2:2" x14ac:dyDescent="0.25">
      <c r="B5025" s="43"/>
    </row>
    <row r="5026" spans="2:2" x14ac:dyDescent="0.25">
      <c r="B5026" s="43"/>
    </row>
    <row r="5027" spans="2:2" x14ac:dyDescent="0.25">
      <c r="B5027" s="43"/>
    </row>
    <row r="5028" spans="2:2" x14ac:dyDescent="0.25">
      <c r="B5028" s="43"/>
    </row>
    <row r="5029" spans="2:2" x14ac:dyDescent="0.25">
      <c r="B5029" s="43"/>
    </row>
    <row r="5030" spans="2:2" x14ac:dyDescent="0.25">
      <c r="B5030" s="43"/>
    </row>
    <row r="5031" spans="2:2" x14ac:dyDescent="0.25">
      <c r="B5031" s="43"/>
    </row>
    <row r="5032" spans="2:2" x14ac:dyDescent="0.25">
      <c r="B5032" s="43"/>
    </row>
    <row r="5033" spans="2:2" x14ac:dyDescent="0.25">
      <c r="B5033" s="43"/>
    </row>
    <row r="5034" spans="2:2" x14ac:dyDescent="0.25">
      <c r="B5034" s="43"/>
    </row>
    <row r="5035" spans="2:2" x14ac:dyDescent="0.25">
      <c r="B5035" s="43"/>
    </row>
    <row r="5036" spans="2:2" x14ac:dyDescent="0.25">
      <c r="B5036" s="43"/>
    </row>
    <row r="5037" spans="2:2" x14ac:dyDescent="0.25">
      <c r="B5037" s="43"/>
    </row>
    <row r="5038" spans="2:2" x14ac:dyDescent="0.25">
      <c r="B5038" s="43"/>
    </row>
    <row r="5039" spans="2:2" x14ac:dyDescent="0.25">
      <c r="B5039" s="43"/>
    </row>
    <row r="5040" spans="2:2" x14ac:dyDescent="0.25">
      <c r="B5040" s="43"/>
    </row>
    <row r="5041" spans="2:2" x14ac:dyDescent="0.25">
      <c r="B5041" s="43"/>
    </row>
    <row r="5042" spans="2:2" x14ac:dyDescent="0.25">
      <c r="B5042" s="43"/>
    </row>
    <row r="5043" spans="2:2" x14ac:dyDescent="0.25">
      <c r="B5043" s="43"/>
    </row>
    <row r="5044" spans="2:2" x14ac:dyDescent="0.25">
      <c r="B5044" s="43"/>
    </row>
    <row r="5045" spans="2:2" x14ac:dyDescent="0.25">
      <c r="B5045" s="43"/>
    </row>
    <row r="5046" spans="2:2" x14ac:dyDescent="0.25">
      <c r="B5046" s="43"/>
    </row>
    <row r="5047" spans="2:2" x14ac:dyDescent="0.25">
      <c r="B5047" s="43"/>
    </row>
    <row r="5048" spans="2:2" x14ac:dyDescent="0.25">
      <c r="B5048" s="43"/>
    </row>
    <row r="5049" spans="2:2" x14ac:dyDescent="0.25">
      <c r="B5049" s="43"/>
    </row>
    <row r="5050" spans="2:2" x14ac:dyDescent="0.25">
      <c r="B5050" s="43"/>
    </row>
    <row r="5051" spans="2:2" x14ac:dyDescent="0.25">
      <c r="B5051" s="43"/>
    </row>
    <row r="5052" spans="2:2" x14ac:dyDescent="0.25">
      <c r="B5052" s="43"/>
    </row>
    <row r="5053" spans="2:2" x14ac:dyDescent="0.25">
      <c r="B5053" s="43"/>
    </row>
    <row r="5054" spans="2:2" x14ac:dyDescent="0.25">
      <c r="B5054" s="43"/>
    </row>
    <row r="5055" spans="2:2" x14ac:dyDescent="0.25">
      <c r="B5055" s="43"/>
    </row>
    <row r="5056" spans="2:2" x14ac:dyDescent="0.25">
      <c r="B5056" s="43"/>
    </row>
    <row r="5057" spans="2:2" x14ac:dyDescent="0.25">
      <c r="B5057" s="43"/>
    </row>
    <row r="5058" spans="2:2" x14ac:dyDescent="0.25">
      <c r="B5058" s="43"/>
    </row>
    <row r="5059" spans="2:2" x14ac:dyDescent="0.25">
      <c r="B5059" s="43"/>
    </row>
    <row r="5060" spans="2:2" x14ac:dyDescent="0.25">
      <c r="B5060" s="43"/>
    </row>
    <row r="5061" spans="2:2" x14ac:dyDescent="0.25">
      <c r="B5061" s="43"/>
    </row>
    <row r="5062" spans="2:2" x14ac:dyDescent="0.25">
      <c r="B5062" s="43"/>
    </row>
    <row r="5063" spans="2:2" x14ac:dyDescent="0.25">
      <c r="B5063" s="43"/>
    </row>
    <row r="5064" spans="2:2" x14ac:dyDescent="0.25">
      <c r="B5064" s="43"/>
    </row>
    <row r="5065" spans="2:2" x14ac:dyDescent="0.25">
      <c r="B5065" s="43"/>
    </row>
    <row r="5066" spans="2:2" x14ac:dyDescent="0.25">
      <c r="B5066" s="43"/>
    </row>
    <row r="5067" spans="2:2" x14ac:dyDescent="0.25">
      <c r="B5067" s="43"/>
    </row>
    <row r="5068" spans="2:2" x14ac:dyDescent="0.25">
      <c r="B5068" s="43"/>
    </row>
    <row r="5069" spans="2:2" x14ac:dyDescent="0.25">
      <c r="B5069" s="43"/>
    </row>
    <row r="5070" spans="2:2" x14ac:dyDescent="0.25">
      <c r="B5070" s="43"/>
    </row>
    <row r="5071" spans="2:2" x14ac:dyDescent="0.25">
      <c r="B5071" s="43"/>
    </row>
    <row r="5072" spans="2:2" x14ac:dyDescent="0.25">
      <c r="B5072" s="43"/>
    </row>
    <row r="5073" spans="2:2" x14ac:dyDescent="0.25">
      <c r="B5073" s="43"/>
    </row>
    <row r="5074" spans="2:2" x14ac:dyDescent="0.25">
      <c r="B5074" s="43"/>
    </row>
    <row r="5075" spans="2:2" x14ac:dyDescent="0.25">
      <c r="B5075" s="43"/>
    </row>
    <row r="5076" spans="2:2" x14ac:dyDescent="0.25">
      <c r="B5076" s="43"/>
    </row>
    <row r="5077" spans="2:2" x14ac:dyDescent="0.25">
      <c r="B5077" s="43"/>
    </row>
    <row r="5078" spans="2:2" x14ac:dyDescent="0.25">
      <c r="B5078" s="43"/>
    </row>
    <row r="5079" spans="2:2" x14ac:dyDescent="0.25">
      <c r="B5079" s="43"/>
    </row>
    <row r="5080" spans="2:2" x14ac:dyDescent="0.25">
      <c r="B5080" s="43"/>
    </row>
    <row r="5081" spans="2:2" x14ac:dyDescent="0.25">
      <c r="B5081" s="43"/>
    </row>
    <row r="5082" spans="2:2" x14ac:dyDescent="0.25">
      <c r="B5082" s="43"/>
    </row>
    <row r="5083" spans="2:2" x14ac:dyDescent="0.25">
      <c r="B5083" s="43"/>
    </row>
    <row r="5084" spans="2:2" x14ac:dyDescent="0.25">
      <c r="B5084" s="43"/>
    </row>
    <row r="5085" spans="2:2" x14ac:dyDescent="0.25">
      <c r="B5085" s="43"/>
    </row>
    <row r="5086" spans="2:2" x14ac:dyDescent="0.25">
      <c r="B5086" s="43"/>
    </row>
    <row r="5087" spans="2:2" x14ac:dyDescent="0.25">
      <c r="B5087" s="43"/>
    </row>
    <row r="5088" spans="2:2" x14ac:dyDescent="0.25">
      <c r="B5088" s="43"/>
    </row>
    <row r="5089" spans="2:2" x14ac:dyDescent="0.25">
      <c r="B5089" s="43"/>
    </row>
    <row r="5090" spans="2:2" x14ac:dyDescent="0.25">
      <c r="B5090" s="43"/>
    </row>
    <row r="5091" spans="2:2" x14ac:dyDescent="0.25">
      <c r="B5091" s="43"/>
    </row>
    <row r="5092" spans="2:2" x14ac:dyDescent="0.25">
      <c r="B5092" s="43"/>
    </row>
    <row r="5093" spans="2:2" x14ac:dyDescent="0.25">
      <c r="B5093" s="43"/>
    </row>
    <row r="5094" spans="2:2" x14ac:dyDescent="0.25">
      <c r="B5094" s="43"/>
    </row>
    <row r="5095" spans="2:2" x14ac:dyDescent="0.25">
      <c r="B5095" s="43"/>
    </row>
    <row r="5096" spans="2:2" x14ac:dyDescent="0.25">
      <c r="B5096" s="43"/>
    </row>
    <row r="5097" spans="2:2" x14ac:dyDescent="0.25">
      <c r="B5097" s="43"/>
    </row>
    <row r="5098" spans="2:2" x14ac:dyDescent="0.25">
      <c r="B5098" s="43"/>
    </row>
    <row r="5099" spans="2:2" x14ac:dyDescent="0.25">
      <c r="B5099" s="43"/>
    </row>
    <row r="5100" spans="2:2" x14ac:dyDescent="0.25">
      <c r="B5100" s="43"/>
    </row>
    <row r="5101" spans="2:2" x14ac:dyDescent="0.25">
      <c r="B5101" s="43"/>
    </row>
    <row r="5102" spans="2:2" x14ac:dyDescent="0.25">
      <c r="B5102" s="43"/>
    </row>
    <row r="5103" spans="2:2" x14ac:dyDescent="0.25">
      <c r="B5103" s="43"/>
    </row>
    <row r="5104" spans="2:2" x14ac:dyDescent="0.25">
      <c r="B5104" s="43"/>
    </row>
    <row r="5105" spans="2:2" x14ac:dyDescent="0.25">
      <c r="B5105" s="43"/>
    </row>
    <row r="5106" spans="2:2" x14ac:dyDescent="0.25">
      <c r="B5106" s="43"/>
    </row>
    <row r="5107" spans="2:2" x14ac:dyDescent="0.25">
      <c r="B5107" s="43"/>
    </row>
  </sheetData>
  <pageMargins left="0.511811024" right="0.511811024" top="0.78740157499999996" bottom="0.78740157499999996" header="0.31496062000000002" footer="0.31496062000000002"/>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9"/>
  <dimension ref="B3:B12"/>
  <sheetViews>
    <sheetView showGridLines="0" topLeftCell="B1" workbookViewId="0">
      <selection activeCell="B1" sqref="B1"/>
    </sheetView>
  </sheetViews>
  <sheetFormatPr defaultRowHeight="15" x14ac:dyDescent="0.25"/>
  <cols>
    <col min="2" max="2" width="17" customWidth="1"/>
    <col min="3" max="3" width="10.140625" customWidth="1"/>
  </cols>
  <sheetData>
    <row r="3" spans="2:2" x14ac:dyDescent="0.25">
      <c r="B3" s="23" t="s">
        <v>1392</v>
      </c>
    </row>
    <row r="4" spans="2:2" x14ac:dyDescent="0.25">
      <c r="B4" s="7" t="s">
        <v>1622</v>
      </c>
    </row>
    <row r="5" spans="2:2" x14ac:dyDescent="0.25">
      <c r="B5" s="25" t="s">
        <v>8</v>
      </c>
    </row>
    <row r="6" spans="2:2" x14ac:dyDescent="0.25">
      <c r="B6" s="25" t="s">
        <v>1641</v>
      </c>
    </row>
    <row r="7" spans="2:2" x14ac:dyDescent="0.25">
      <c r="B7" s="7" t="s">
        <v>1433</v>
      </c>
    </row>
    <row r="8" spans="2:2" x14ac:dyDescent="0.25">
      <c r="B8" s="25" t="s">
        <v>1433</v>
      </c>
    </row>
    <row r="9" spans="2:2" x14ac:dyDescent="0.25">
      <c r="B9" s="25" t="s">
        <v>8</v>
      </c>
    </row>
    <row r="10" spans="2:2" x14ac:dyDescent="0.25">
      <c r="B10" s="25" t="s">
        <v>1641</v>
      </c>
    </row>
    <row r="11" spans="2:2" x14ac:dyDescent="0.25">
      <c r="B11" s="25" t="s">
        <v>94</v>
      </c>
    </row>
    <row r="12" spans="2:2" x14ac:dyDescent="0.25">
      <c r="B12" s="7" t="s">
        <v>1212</v>
      </c>
    </row>
  </sheetData>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5"/>
  <dimension ref="A1:K979"/>
  <sheetViews>
    <sheetView topLeftCell="A969" zoomScale="90" zoomScaleNormal="90" workbookViewId="0">
      <selection activeCell="J606" sqref="J606"/>
    </sheetView>
  </sheetViews>
  <sheetFormatPr defaultRowHeight="15" x14ac:dyDescent="0.25"/>
  <cols>
    <col min="1" max="1" width="10.5703125" bestFit="1" customWidth="1"/>
    <col min="2" max="2" width="15.42578125" customWidth="1"/>
    <col min="3" max="3" width="13.140625" bestFit="1" customWidth="1"/>
    <col min="4" max="4" width="8.42578125" bestFit="1" customWidth="1"/>
    <col min="5" max="5" width="45.28515625" customWidth="1"/>
    <col min="6" max="6" width="6.5703125" bestFit="1" customWidth="1"/>
    <col min="8" max="8" width="13.85546875" bestFit="1" customWidth="1"/>
    <col min="10" max="10" width="17" bestFit="1" customWidth="1"/>
    <col min="11" max="11" width="22.7109375" bestFit="1" customWidth="1"/>
  </cols>
  <sheetData>
    <row r="1" spans="1:11" x14ac:dyDescent="0.25">
      <c r="K1" s="73">
        <v>555439.88490100007</v>
      </c>
    </row>
    <row r="2" spans="1:11" x14ac:dyDescent="0.25">
      <c r="A2" s="23" t="s">
        <v>5988</v>
      </c>
      <c r="B2" s="23" t="s">
        <v>5987</v>
      </c>
      <c r="C2" s="23" t="s">
        <v>5986</v>
      </c>
      <c r="D2" s="23" t="s">
        <v>5985</v>
      </c>
      <c r="E2" s="23" t="s">
        <v>5984</v>
      </c>
      <c r="F2" t="s">
        <v>5983</v>
      </c>
      <c r="H2" s="72" t="s">
        <v>5982</v>
      </c>
      <c r="J2" s="72" t="s">
        <v>5981</v>
      </c>
      <c r="K2" s="71" t="s">
        <v>5980</v>
      </c>
    </row>
    <row r="3" spans="1:11" x14ac:dyDescent="0.25">
      <c r="A3">
        <v>755943</v>
      </c>
      <c r="B3" t="s">
        <v>5979</v>
      </c>
      <c r="C3" t="s">
        <v>5978</v>
      </c>
      <c r="D3" t="s">
        <v>5977</v>
      </c>
      <c r="E3" t="s">
        <v>5976</v>
      </c>
      <c r="F3" s="62">
        <v>4</v>
      </c>
      <c r="H3" s="70">
        <v>92.52</v>
      </c>
      <c r="J3" s="69">
        <v>0</v>
      </c>
      <c r="K3" s="68">
        <v>0</v>
      </c>
    </row>
    <row r="4" spans="1:11" x14ac:dyDescent="0.25">
      <c r="C4" t="s">
        <v>835</v>
      </c>
      <c r="D4" t="s">
        <v>836</v>
      </c>
      <c r="E4" t="s">
        <v>5975</v>
      </c>
      <c r="F4" s="62">
        <v>80</v>
      </c>
      <c r="H4" s="70">
        <v>5.8</v>
      </c>
      <c r="J4" s="69">
        <v>30</v>
      </c>
      <c r="K4" s="68">
        <v>174</v>
      </c>
    </row>
    <row r="5" spans="1:11" x14ac:dyDescent="0.25">
      <c r="C5" t="s">
        <v>5974</v>
      </c>
      <c r="D5" t="s">
        <v>5973</v>
      </c>
      <c r="E5" t="s">
        <v>5972</v>
      </c>
      <c r="F5" s="62">
        <v>6</v>
      </c>
      <c r="H5" s="70">
        <v>5.4</v>
      </c>
      <c r="J5" s="69">
        <v>0</v>
      </c>
      <c r="K5" s="68">
        <v>0</v>
      </c>
    </row>
    <row r="6" spans="1:11" x14ac:dyDescent="0.25">
      <c r="C6" t="s">
        <v>5971</v>
      </c>
      <c r="D6" t="s">
        <v>5970</v>
      </c>
      <c r="E6" t="s">
        <v>5969</v>
      </c>
      <c r="F6" s="62">
        <v>6</v>
      </c>
      <c r="H6" s="70">
        <v>1.35</v>
      </c>
      <c r="J6" s="69">
        <v>0</v>
      </c>
      <c r="K6" s="68">
        <v>0</v>
      </c>
    </row>
    <row r="7" spans="1:11" x14ac:dyDescent="0.25">
      <c r="C7" t="s">
        <v>5968</v>
      </c>
      <c r="D7" t="s">
        <v>5967</v>
      </c>
      <c r="E7" t="s">
        <v>5966</v>
      </c>
      <c r="F7" s="62">
        <v>8</v>
      </c>
      <c r="H7" s="70">
        <v>136.80000000000001</v>
      </c>
      <c r="J7" s="69">
        <v>0</v>
      </c>
      <c r="K7" s="68">
        <v>0</v>
      </c>
    </row>
    <row r="8" spans="1:11" x14ac:dyDescent="0.25">
      <c r="C8" t="s">
        <v>986</v>
      </c>
      <c r="D8" t="s">
        <v>987</v>
      </c>
      <c r="E8" t="s">
        <v>5965</v>
      </c>
      <c r="F8" s="62">
        <v>12</v>
      </c>
      <c r="H8" s="70">
        <v>29.5</v>
      </c>
      <c r="J8" s="69">
        <v>5</v>
      </c>
      <c r="K8" s="68">
        <v>147.5</v>
      </c>
    </row>
    <row r="9" spans="1:11" x14ac:dyDescent="0.25">
      <c r="C9" t="s">
        <v>5964</v>
      </c>
      <c r="D9" t="s">
        <v>5963</v>
      </c>
      <c r="E9" t="s">
        <v>5962</v>
      </c>
      <c r="F9" s="62">
        <v>10</v>
      </c>
      <c r="H9" s="70">
        <v>198</v>
      </c>
      <c r="J9" s="69">
        <v>0</v>
      </c>
      <c r="K9" s="68">
        <v>0</v>
      </c>
    </row>
    <row r="10" spans="1:11" x14ac:dyDescent="0.25">
      <c r="C10" t="s">
        <v>5961</v>
      </c>
      <c r="D10" t="s">
        <v>5960</v>
      </c>
      <c r="E10" t="s">
        <v>5959</v>
      </c>
      <c r="F10" s="62">
        <v>6</v>
      </c>
      <c r="H10" s="70">
        <v>11.52</v>
      </c>
      <c r="J10" s="69">
        <v>5</v>
      </c>
      <c r="K10" s="68">
        <v>57.599999999999994</v>
      </c>
    </row>
    <row r="11" spans="1:11" x14ac:dyDescent="0.25">
      <c r="C11" t="s">
        <v>5958</v>
      </c>
      <c r="D11" t="s">
        <v>5957</v>
      </c>
      <c r="E11" t="s">
        <v>5956</v>
      </c>
      <c r="F11" s="62">
        <v>200</v>
      </c>
      <c r="H11" s="70">
        <v>1620</v>
      </c>
      <c r="J11" s="69"/>
      <c r="K11" s="68">
        <v>0</v>
      </c>
    </row>
    <row r="12" spans="1:11" x14ac:dyDescent="0.25">
      <c r="C12" t="s">
        <v>5955</v>
      </c>
      <c r="D12" t="s">
        <v>5954</v>
      </c>
      <c r="E12" t="s">
        <v>5953</v>
      </c>
      <c r="F12" s="62">
        <v>2</v>
      </c>
      <c r="H12" s="70">
        <v>34.200000000000003</v>
      </c>
      <c r="J12" s="69">
        <v>0</v>
      </c>
      <c r="K12" s="68">
        <v>0</v>
      </c>
    </row>
    <row r="13" spans="1:11" x14ac:dyDescent="0.25">
      <c r="C13" t="s">
        <v>5952</v>
      </c>
      <c r="D13" t="s">
        <v>5951</v>
      </c>
      <c r="E13" t="s">
        <v>5950</v>
      </c>
      <c r="F13" s="62">
        <v>4</v>
      </c>
      <c r="H13" s="70">
        <v>218.96</v>
      </c>
      <c r="J13" s="69">
        <v>0</v>
      </c>
      <c r="K13" s="68">
        <v>0</v>
      </c>
    </row>
    <row r="14" spans="1:11" x14ac:dyDescent="0.25">
      <c r="C14" t="s">
        <v>5949</v>
      </c>
      <c r="D14" t="s">
        <v>5948</v>
      </c>
      <c r="E14" t="s">
        <v>5947</v>
      </c>
      <c r="F14" s="62">
        <v>10</v>
      </c>
      <c r="H14" s="70">
        <v>23.4</v>
      </c>
      <c r="J14" s="69">
        <v>0</v>
      </c>
      <c r="K14" s="68">
        <v>0</v>
      </c>
    </row>
    <row r="15" spans="1:11" x14ac:dyDescent="0.25">
      <c r="C15" t="s">
        <v>5946</v>
      </c>
      <c r="D15" t="s">
        <v>5945</v>
      </c>
      <c r="E15" t="s">
        <v>5944</v>
      </c>
      <c r="F15" s="62">
        <v>40</v>
      </c>
      <c r="H15" s="70">
        <v>108</v>
      </c>
      <c r="J15" s="69">
        <v>0</v>
      </c>
      <c r="K15" s="68">
        <v>0</v>
      </c>
    </row>
    <row r="16" spans="1:11" x14ac:dyDescent="0.25">
      <c r="C16" t="s">
        <v>5943</v>
      </c>
      <c r="D16" t="s">
        <v>5942</v>
      </c>
      <c r="E16" t="s">
        <v>5941</v>
      </c>
      <c r="F16" s="62">
        <v>10</v>
      </c>
      <c r="H16" s="70">
        <v>11.7</v>
      </c>
      <c r="J16" s="69">
        <v>0</v>
      </c>
      <c r="K16" s="68">
        <v>0</v>
      </c>
    </row>
    <row r="17" spans="3:11" x14ac:dyDescent="0.25">
      <c r="C17" t="s">
        <v>5940</v>
      </c>
      <c r="D17" t="s">
        <v>5939</v>
      </c>
      <c r="E17" t="s">
        <v>5938</v>
      </c>
      <c r="F17" s="62">
        <v>6</v>
      </c>
      <c r="H17" s="70">
        <v>3.15</v>
      </c>
      <c r="J17" s="69">
        <v>0</v>
      </c>
      <c r="K17" s="68">
        <v>0</v>
      </c>
    </row>
    <row r="18" spans="3:11" x14ac:dyDescent="0.25">
      <c r="C18" t="s">
        <v>5937</v>
      </c>
      <c r="D18" t="s">
        <v>5936</v>
      </c>
      <c r="E18" t="s">
        <v>5935</v>
      </c>
      <c r="F18" s="62">
        <v>43</v>
      </c>
      <c r="H18" s="70">
        <v>6.3</v>
      </c>
      <c r="J18" s="69">
        <v>0</v>
      </c>
      <c r="K18" s="68">
        <v>0</v>
      </c>
    </row>
    <row r="19" spans="3:11" x14ac:dyDescent="0.25">
      <c r="C19" t="s">
        <v>5934</v>
      </c>
      <c r="D19" t="s">
        <v>5933</v>
      </c>
      <c r="E19" t="s">
        <v>5932</v>
      </c>
      <c r="F19" s="62">
        <v>12</v>
      </c>
      <c r="H19" s="70">
        <v>25.2</v>
      </c>
      <c r="J19" s="69">
        <v>0</v>
      </c>
      <c r="K19" s="68">
        <v>0</v>
      </c>
    </row>
    <row r="20" spans="3:11" x14ac:dyDescent="0.25">
      <c r="C20" t="s">
        <v>5931</v>
      </c>
      <c r="D20" t="s">
        <v>5930</v>
      </c>
      <c r="E20" t="s">
        <v>5929</v>
      </c>
      <c r="F20" s="62">
        <v>8</v>
      </c>
      <c r="H20" s="70">
        <v>21.06</v>
      </c>
      <c r="J20" s="69">
        <v>0</v>
      </c>
      <c r="K20" s="68">
        <v>0</v>
      </c>
    </row>
    <row r="21" spans="3:11" x14ac:dyDescent="0.25">
      <c r="C21" t="s">
        <v>5928</v>
      </c>
      <c r="D21" t="s">
        <v>5927</v>
      </c>
      <c r="E21" t="s">
        <v>5926</v>
      </c>
      <c r="F21" s="62">
        <v>3</v>
      </c>
      <c r="H21" s="70">
        <v>179.1</v>
      </c>
      <c r="J21" s="69">
        <v>0</v>
      </c>
      <c r="K21" s="68">
        <v>0</v>
      </c>
    </row>
    <row r="22" spans="3:11" x14ac:dyDescent="0.25">
      <c r="C22" t="s">
        <v>5925</v>
      </c>
      <c r="D22" t="s">
        <v>5924</v>
      </c>
      <c r="E22" t="s">
        <v>5923</v>
      </c>
      <c r="F22" s="62">
        <v>4</v>
      </c>
      <c r="H22" s="70">
        <v>22.5</v>
      </c>
      <c r="J22" s="69">
        <v>0</v>
      </c>
      <c r="K22" s="68">
        <v>0</v>
      </c>
    </row>
    <row r="23" spans="3:11" x14ac:dyDescent="0.25">
      <c r="C23" t="s">
        <v>5922</v>
      </c>
      <c r="D23" t="s">
        <v>5921</v>
      </c>
      <c r="E23" t="s">
        <v>5920</v>
      </c>
      <c r="F23" s="62">
        <v>8</v>
      </c>
      <c r="H23" s="70">
        <v>26.91</v>
      </c>
      <c r="J23" s="69">
        <v>0</v>
      </c>
      <c r="K23" s="68">
        <v>0</v>
      </c>
    </row>
    <row r="24" spans="3:11" x14ac:dyDescent="0.25">
      <c r="C24" t="s">
        <v>5919</v>
      </c>
      <c r="D24" t="s">
        <v>5918</v>
      </c>
      <c r="E24" t="s">
        <v>5917</v>
      </c>
      <c r="F24" s="62">
        <v>20</v>
      </c>
      <c r="H24" s="70">
        <v>25.2</v>
      </c>
      <c r="J24" s="69">
        <v>0</v>
      </c>
      <c r="K24" s="68">
        <v>0</v>
      </c>
    </row>
    <row r="25" spans="3:11" x14ac:dyDescent="0.25">
      <c r="C25" t="s">
        <v>5916</v>
      </c>
      <c r="D25" t="s">
        <v>5915</v>
      </c>
      <c r="E25" t="s">
        <v>5914</v>
      </c>
      <c r="F25" s="62">
        <v>6</v>
      </c>
      <c r="H25" s="70">
        <v>61.89</v>
      </c>
      <c r="J25" s="69">
        <v>0</v>
      </c>
      <c r="K25" s="68">
        <v>0</v>
      </c>
    </row>
    <row r="26" spans="3:11" x14ac:dyDescent="0.25">
      <c r="C26" t="s">
        <v>5913</v>
      </c>
      <c r="D26" t="s">
        <v>3553</v>
      </c>
      <c r="E26" t="s">
        <v>3552</v>
      </c>
      <c r="F26" s="62">
        <v>4</v>
      </c>
      <c r="H26" s="70">
        <v>46.67</v>
      </c>
      <c r="J26" s="69">
        <v>0</v>
      </c>
      <c r="K26" s="68">
        <v>0</v>
      </c>
    </row>
    <row r="27" spans="3:11" x14ac:dyDescent="0.25">
      <c r="C27" t="s">
        <v>5912</v>
      </c>
      <c r="D27" t="s">
        <v>5911</v>
      </c>
      <c r="E27" t="s">
        <v>5910</v>
      </c>
      <c r="F27" s="62">
        <v>2</v>
      </c>
      <c r="H27" s="70">
        <v>185.49</v>
      </c>
      <c r="J27" s="69">
        <v>0</v>
      </c>
      <c r="K27" s="68">
        <v>0</v>
      </c>
    </row>
    <row r="28" spans="3:11" x14ac:dyDescent="0.25">
      <c r="C28" t="s">
        <v>5909</v>
      </c>
      <c r="D28" t="s">
        <v>5908</v>
      </c>
      <c r="E28" t="s">
        <v>5907</v>
      </c>
      <c r="F28" s="62">
        <v>8</v>
      </c>
      <c r="H28" s="70">
        <v>35.1</v>
      </c>
      <c r="J28" s="69">
        <v>0</v>
      </c>
      <c r="K28" s="68">
        <v>0</v>
      </c>
    </row>
    <row r="29" spans="3:11" x14ac:dyDescent="0.25">
      <c r="C29" t="s">
        <v>5906</v>
      </c>
      <c r="D29" t="s">
        <v>5905</v>
      </c>
      <c r="E29" t="s">
        <v>5904</v>
      </c>
      <c r="F29" s="62">
        <v>8</v>
      </c>
      <c r="H29" s="70">
        <v>129.41999999999999</v>
      </c>
      <c r="J29" s="69">
        <v>0</v>
      </c>
      <c r="K29" s="68">
        <v>0</v>
      </c>
    </row>
    <row r="30" spans="3:11" x14ac:dyDescent="0.25">
      <c r="C30" t="s">
        <v>5903</v>
      </c>
      <c r="D30" t="s">
        <v>5902</v>
      </c>
      <c r="E30" t="s">
        <v>5901</v>
      </c>
      <c r="F30" s="62">
        <v>16</v>
      </c>
      <c r="H30" s="70">
        <v>20.52</v>
      </c>
      <c r="J30" s="69">
        <v>5</v>
      </c>
      <c r="K30" s="68">
        <v>102.6</v>
      </c>
    </row>
    <row r="31" spans="3:11" x14ac:dyDescent="0.25">
      <c r="C31" t="s">
        <v>5900</v>
      </c>
      <c r="D31" t="s">
        <v>5899</v>
      </c>
      <c r="E31" t="s">
        <v>5898</v>
      </c>
      <c r="F31" s="62">
        <v>8</v>
      </c>
      <c r="H31" s="70">
        <v>240.03</v>
      </c>
      <c r="J31" s="69">
        <v>4</v>
      </c>
      <c r="K31" s="68">
        <v>960.12</v>
      </c>
    </row>
    <row r="32" spans="3:11" x14ac:dyDescent="0.25">
      <c r="C32" t="s">
        <v>5897</v>
      </c>
      <c r="D32" t="s">
        <v>5896</v>
      </c>
      <c r="E32" t="s">
        <v>5895</v>
      </c>
      <c r="F32" s="62">
        <v>4</v>
      </c>
      <c r="H32" s="70">
        <v>38.590000000000003</v>
      </c>
      <c r="J32" s="69">
        <v>3</v>
      </c>
      <c r="K32" s="68">
        <v>115.77000000000001</v>
      </c>
    </row>
    <row r="33" spans="3:11" x14ac:dyDescent="0.25">
      <c r="C33" t="s">
        <v>5894</v>
      </c>
      <c r="D33" t="s">
        <v>5893</v>
      </c>
      <c r="E33" t="s">
        <v>5892</v>
      </c>
      <c r="F33" s="62">
        <v>8</v>
      </c>
      <c r="H33" s="70">
        <v>10.8</v>
      </c>
      <c r="J33" s="69">
        <v>0</v>
      </c>
      <c r="K33" s="68">
        <v>0</v>
      </c>
    </row>
    <row r="34" spans="3:11" x14ac:dyDescent="0.25">
      <c r="C34" t="s">
        <v>5891</v>
      </c>
      <c r="D34" t="s">
        <v>5890</v>
      </c>
      <c r="E34" t="s">
        <v>5889</v>
      </c>
      <c r="F34" s="62">
        <v>6</v>
      </c>
      <c r="H34" s="70">
        <v>53.1</v>
      </c>
      <c r="J34" s="69">
        <v>0</v>
      </c>
      <c r="K34" s="68">
        <v>0</v>
      </c>
    </row>
    <row r="35" spans="3:11" x14ac:dyDescent="0.25">
      <c r="C35" t="s">
        <v>5888</v>
      </c>
      <c r="D35" t="s">
        <v>5887</v>
      </c>
      <c r="E35" t="s">
        <v>5886</v>
      </c>
      <c r="F35" s="62">
        <v>1</v>
      </c>
      <c r="H35" s="70">
        <v>711</v>
      </c>
      <c r="J35" s="69">
        <v>0</v>
      </c>
      <c r="K35" s="68">
        <v>0</v>
      </c>
    </row>
    <row r="36" spans="3:11" x14ac:dyDescent="0.25">
      <c r="C36" t="s">
        <v>5885</v>
      </c>
      <c r="D36" t="s">
        <v>5884</v>
      </c>
      <c r="E36" t="s">
        <v>5883</v>
      </c>
      <c r="F36" s="62">
        <v>5</v>
      </c>
      <c r="H36" s="70">
        <v>49.5</v>
      </c>
      <c r="J36" s="69">
        <v>2</v>
      </c>
      <c r="K36" s="68">
        <v>99</v>
      </c>
    </row>
    <row r="37" spans="3:11" x14ac:dyDescent="0.25">
      <c r="C37" t="s">
        <v>5882</v>
      </c>
      <c r="D37" t="s">
        <v>5881</v>
      </c>
      <c r="E37" t="s">
        <v>5880</v>
      </c>
      <c r="F37" s="62">
        <v>10</v>
      </c>
      <c r="H37" s="70">
        <v>36.61</v>
      </c>
      <c r="J37" s="69">
        <v>9</v>
      </c>
      <c r="K37" s="68">
        <v>329.49</v>
      </c>
    </row>
    <row r="38" spans="3:11" x14ac:dyDescent="0.25">
      <c r="C38" t="s">
        <v>5879</v>
      </c>
      <c r="D38" t="s">
        <v>5878</v>
      </c>
      <c r="E38" t="s">
        <v>5877</v>
      </c>
      <c r="F38" s="62">
        <v>6</v>
      </c>
      <c r="H38" s="70">
        <v>17.100000000000001</v>
      </c>
      <c r="J38" s="69">
        <v>0</v>
      </c>
      <c r="K38" s="68">
        <v>0</v>
      </c>
    </row>
    <row r="39" spans="3:11" x14ac:dyDescent="0.25">
      <c r="C39" t="s">
        <v>5876</v>
      </c>
      <c r="D39" t="s">
        <v>5875</v>
      </c>
      <c r="E39" t="s">
        <v>5874</v>
      </c>
      <c r="F39" s="62">
        <v>6</v>
      </c>
      <c r="H39" s="70">
        <v>4.2</v>
      </c>
      <c r="J39" s="69">
        <v>0</v>
      </c>
      <c r="K39" s="68">
        <v>0</v>
      </c>
    </row>
    <row r="40" spans="3:11" x14ac:dyDescent="0.25">
      <c r="C40" t="s">
        <v>5873</v>
      </c>
      <c r="D40" t="s">
        <v>5872</v>
      </c>
      <c r="E40" t="s">
        <v>5871</v>
      </c>
      <c r="F40" s="62">
        <v>4</v>
      </c>
      <c r="H40" s="70">
        <v>14.4</v>
      </c>
      <c r="J40" s="69">
        <v>0</v>
      </c>
      <c r="K40" s="68">
        <v>0</v>
      </c>
    </row>
    <row r="41" spans="3:11" x14ac:dyDescent="0.25">
      <c r="C41" t="s">
        <v>5870</v>
      </c>
      <c r="D41" t="s">
        <v>5869</v>
      </c>
      <c r="E41" t="s">
        <v>5868</v>
      </c>
      <c r="F41" s="62">
        <v>1</v>
      </c>
      <c r="H41" s="70">
        <v>17.91</v>
      </c>
      <c r="J41" s="69">
        <v>0</v>
      </c>
      <c r="K41" s="68">
        <v>0</v>
      </c>
    </row>
    <row r="42" spans="3:11" x14ac:dyDescent="0.25">
      <c r="C42" t="s">
        <v>5867</v>
      </c>
      <c r="D42" t="s">
        <v>5866</v>
      </c>
      <c r="E42" t="s">
        <v>5865</v>
      </c>
      <c r="F42" s="62">
        <v>5</v>
      </c>
      <c r="H42" s="70">
        <v>50.49</v>
      </c>
      <c r="J42" s="69">
        <v>0</v>
      </c>
      <c r="K42" s="68">
        <v>0</v>
      </c>
    </row>
    <row r="43" spans="3:11" x14ac:dyDescent="0.25">
      <c r="C43" t="s">
        <v>5864</v>
      </c>
      <c r="D43" t="s">
        <v>5863</v>
      </c>
      <c r="E43" t="s">
        <v>5862</v>
      </c>
      <c r="F43" s="62">
        <v>4</v>
      </c>
      <c r="H43" s="70">
        <v>35.840000000000003</v>
      </c>
      <c r="J43" s="69">
        <v>0</v>
      </c>
      <c r="K43" s="68">
        <v>0</v>
      </c>
    </row>
    <row r="44" spans="3:11" x14ac:dyDescent="0.25">
      <c r="C44" t="s">
        <v>5861</v>
      </c>
      <c r="D44" t="s">
        <v>5860</v>
      </c>
      <c r="E44" t="s">
        <v>5859</v>
      </c>
      <c r="F44" s="62">
        <v>15</v>
      </c>
      <c r="H44" s="70">
        <v>17.64</v>
      </c>
      <c r="J44" s="69">
        <v>15</v>
      </c>
      <c r="K44" s="68">
        <v>264.60000000000002</v>
      </c>
    </row>
    <row r="45" spans="3:11" x14ac:dyDescent="0.25">
      <c r="C45" t="s">
        <v>5858</v>
      </c>
      <c r="D45" t="s">
        <v>5857</v>
      </c>
      <c r="E45" t="s">
        <v>5856</v>
      </c>
      <c r="F45" s="62">
        <v>15</v>
      </c>
      <c r="H45" s="70">
        <v>20.34</v>
      </c>
      <c r="J45" s="69">
        <v>15</v>
      </c>
      <c r="K45" s="68">
        <v>305.10000000000002</v>
      </c>
    </row>
    <row r="46" spans="3:11" x14ac:dyDescent="0.25">
      <c r="C46" t="s">
        <v>5855</v>
      </c>
      <c r="D46" t="s">
        <v>5854</v>
      </c>
      <c r="E46" t="s">
        <v>5853</v>
      </c>
      <c r="F46" s="62">
        <v>15</v>
      </c>
      <c r="H46" s="70">
        <v>16.920000000000002</v>
      </c>
      <c r="J46" s="69">
        <v>15</v>
      </c>
      <c r="K46" s="68">
        <v>253.8</v>
      </c>
    </row>
    <row r="47" spans="3:11" x14ac:dyDescent="0.25">
      <c r="C47" t="s">
        <v>5852</v>
      </c>
      <c r="D47" t="s">
        <v>5851</v>
      </c>
      <c r="E47" t="s">
        <v>5850</v>
      </c>
      <c r="F47" s="62">
        <v>15</v>
      </c>
      <c r="H47" s="70">
        <v>15.3</v>
      </c>
      <c r="J47" s="69">
        <v>15</v>
      </c>
      <c r="K47" s="68">
        <v>229.5</v>
      </c>
    </row>
    <row r="48" spans="3:11" x14ac:dyDescent="0.25">
      <c r="C48" t="s">
        <v>5849</v>
      </c>
      <c r="D48" t="s">
        <v>5848</v>
      </c>
      <c r="E48" t="s">
        <v>5847</v>
      </c>
      <c r="F48" s="62">
        <v>2</v>
      </c>
      <c r="H48" s="70">
        <v>11.7</v>
      </c>
      <c r="J48" s="69">
        <v>0</v>
      </c>
      <c r="K48" s="68">
        <v>0</v>
      </c>
    </row>
    <row r="49" spans="3:11" x14ac:dyDescent="0.25">
      <c r="C49" t="s">
        <v>5846</v>
      </c>
      <c r="D49" t="s">
        <v>5845</v>
      </c>
      <c r="E49" t="s">
        <v>5844</v>
      </c>
      <c r="F49" s="62">
        <v>8</v>
      </c>
      <c r="H49" s="70">
        <v>152.13999999999999</v>
      </c>
      <c r="J49" s="69">
        <v>4</v>
      </c>
      <c r="K49" s="68">
        <v>608.55999999999995</v>
      </c>
    </row>
    <row r="50" spans="3:11" x14ac:dyDescent="0.25">
      <c r="C50" t="s">
        <v>5843</v>
      </c>
      <c r="D50" t="s">
        <v>5842</v>
      </c>
      <c r="E50" t="s">
        <v>5841</v>
      </c>
      <c r="F50" s="62">
        <v>1</v>
      </c>
      <c r="H50" s="70">
        <v>6628.53</v>
      </c>
      <c r="J50" s="69">
        <v>0</v>
      </c>
      <c r="K50" s="68">
        <v>0</v>
      </c>
    </row>
    <row r="51" spans="3:11" x14ac:dyDescent="0.25">
      <c r="C51" t="s">
        <v>5840</v>
      </c>
      <c r="D51" t="s">
        <v>5839</v>
      </c>
      <c r="E51" t="s">
        <v>5838</v>
      </c>
      <c r="F51" s="62">
        <v>2</v>
      </c>
      <c r="H51" s="70">
        <v>478.51</v>
      </c>
      <c r="J51" s="69">
        <v>0</v>
      </c>
      <c r="K51" s="68">
        <v>0</v>
      </c>
    </row>
    <row r="52" spans="3:11" x14ac:dyDescent="0.25">
      <c r="C52" t="s">
        <v>5837</v>
      </c>
      <c r="D52" t="s">
        <v>5836</v>
      </c>
      <c r="E52" t="s">
        <v>5835</v>
      </c>
      <c r="F52" s="62">
        <v>2</v>
      </c>
      <c r="H52" s="70">
        <v>822.30499999999995</v>
      </c>
      <c r="J52" s="69">
        <v>0</v>
      </c>
      <c r="K52" s="68">
        <v>0</v>
      </c>
    </row>
    <row r="53" spans="3:11" x14ac:dyDescent="0.25">
      <c r="C53" t="s">
        <v>5834</v>
      </c>
      <c r="D53" t="s">
        <v>5833</v>
      </c>
      <c r="E53" t="s">
        <v>5832</v>
      </c>
      <c r="F53" s="62">
        <v>3</v>
      </c>
      <c r="H53" s="70">
        <v>29.163333000000002</v>
      </c>
      <c r="J53" s="69">
        <v>0</v>
      </c>
      <c r="K53" s="68">
        <v>0</v>
      </c>
    </row>
    <row r="54" spans="3:11" x14ac:dyDescent="0.25">
      <c r="C54" t="s">
        <v>5831</v>
      </c>
      <c r="D54" t="s">
        <v>5830</v>
      </c>
      <c r="E54" t="s">
        <v>5829</v>
      </c>
      <c r="F54" s="62">
        <v>15</v>
      </c>
      <c r="H54" s="70">
        <v>2.57</v>
      </c>
      <c r="J54" s="69">
        <v>0</v>
      </c>
      <c r="K54" s="68">
        <v>0</v>
      </c>
    </row>
    <row r="55" spans="3:11" x14ac:dyDescent="0.25">
      <c r="C55" t="s">
        <v>5828</v>
      </c>
      <c r="D55" t="s">
        <v>5827</v>
      </c>
      <c r="E55" t="s">
        <v>5826</v>
      </c>
      <c r="F55" s="62">
        <v>15</v>
      </c>
      <c r="H55" s="70">
        <v>3.3</v>
      </c>
      <c r="J55" s="69">
        <v>0</v>
      </c>
      <c r="K55" s="68">
        <v>0</v>
      </c>
    </row>
    <row r="56" spans="3:11" x14ac:dyDescent="0.25">
      <c r="C56" t="s">
        <v>5825</v>
      </c>
      <c r="D56" t="s">
        <v>5824</v>
      </c>
      <c r="E56" t="s">
        <v>5823</v>
      </c>
      <c r="F56" s="62">
        <v>20</v>
      </c>
      <c r="H56" s="70">
        <v>26.3445</v>
      </c>
      <c r="J56" s="69">
        <v>0</v>
      </c>
      <c r="K56" s="68">
        <v>0</v>
      </c>
    </row>
    <row r="57" spans="3:11" x14ac:dyDescent="0.25">
      <c r="C57" t="s">
        <v>5822</v>
      </c>
      <c r="D57" t="s">
        <v>3523</v>
      </c>
      <c r="E57" t="s">
        <v>3522</v>
      </c>
      <c r="F57" s="62">
        <v>6</v>
      </c>
      <c r="H57" s="70">
        <v>220.51</v>
      </c>
      <c r="J57" s="69">
        <v>0</v>
      </c>
      <c r="K57" s="68">
        <v>0</v>
      </c>
    </row>
    <row r="58" spans="3:11" x14ac:dyDescent="0.25">
      <c r="C58" t="s">
        <v>5821</v>
      </c>
      <c r="D58" t="s">
        <v>5820</v>
      </c>
      <c r="E58" t="s">
        <v>5819</v>
      </c>
      <c r="F58" s="62">
        <v>8</v>
      </c>
      <c r="H58" s="70">
        <v>13.5</v>
      </c>
      <c r="J58" s="69">
        <v>0</v>
      </c>
      <c r="K58" s="68">
        <v>0</v>
      </c>
    </row>
    <row r="59" spans="3:11" x14ac:dyDescent="0.25">
      <c r="C59" t="s">
        <v>5818</v>
      </c>
      <c r="D59" t="s">
        <v>5817</v>
      </c>
      <c r="E59" t="s">
        <v>5816</v>
      </c>
      <c r="F59" s="62">
        <v>3</v>
      </c>
      <c r="H59" s="70">
        <v>191.59</v>
      </c>
      <c r="J59" s="69">
        <v>0</v>
      </c>
      <c r="K59" s="68">
        <v>0</v>
      </c>
    </row>
    <row r="60" spans="3:11" x14ac:dyDescent="0.25">
      <c r="C60" t="s">
        <v>5815</v>
      </c>
      <c r="D60" t="s">
        <v>5814</v>
      </c>
      <c r="E60" t="s">
        <v>5813</v>
      </c>
      <c r="F60" s="62">
        <v>10</v>
      </c>
      <c r="H60" s="70">
        <v>21.15</v>
      </c>
      <c r="J60" s="69">
        <v>0</v>
      </c>
      <c r="K60" s="68">
        <v>0</v>
      </c>
    </row>
    <row r="61" spans="3:11" x14ac:dyDescent="0.25">
      <c r="C61" t="s">
        <v>5812</v>
      </c>
      <c r="D61" t="s">
        <v>5811</v>
      </c>
      <c r="E61" t="s">
        <v>5810</v>
      </c>
      <c r="F61" s="62">
        <v>10</v>
      </c>
      <c r="H61" s="70">
        <v>34</v>
      </c>
      <c r="J61" s="69">
        <v>0</v>
      </c>
      <c r="K61" s="68">
        <v>0</v>
      </c>
    </row>
    <row r="62" spans="3:11" x14ac:dyDescent="0.25">
      <c r="C62" t="s">
        <v>5809</v>
      </c>
      <c r="D62" t="s">
        <v>4382</v>
      </c>
      <c r="E62" t="s">
        <v>4381</v>
      </c>
      <c r="F62" s="62">
        <v>2</v>
      </c>
      <c r="H62" s="70">
        <v>57</v>
      </c>
      <c r="J62" s="69">
        <v>0</v>
      </c>
      <c r="K62" s="68">
        <v>0</v>
      </c>
    </row>
    <row r="63" spans="3:11" x14ac:dyDescent="0.25">
      <c r="C63" t="s">
        <v>5808</v>
      </c>
      <c r="D63" t="s">
        <v>5807</v>
      </c>
      <c r="E63" t="s">
        <v>5806</v>
      </c>
      <c r="F63" s="62">
        <v>40</v>
      </c>
      <c r="H63" s="70">
        <v>2.7134999999999998</v>
      </c>
      <c r="J63" s="69">
        <v>0</v>
      </c>
      <c r="K63" s="68">
        <v>0</v>
      </c>
    </row>
    <row r="64" spans="3:11" x14ac:dyDescent="0.25">
      <c r="C64" t="s">
        <v>5805</v>
      </c>
      <c r="D64" t="s">
        <v>5804</v>
      </c>
      <c r="E64" t="s">
        <v>5803</v>
      </c>
      <c r="F64" s="62">
        <v>80</v>
      </c>
      <c r="H64" s="70">
        <v>3.5489999999999999</v>
      </c>
      <c r="J64" s="69">
        <v>0</v>
      </c>
      <c r="K64" s="68">
        <v>0</v>
      </c>
    </row>
    <row r="65" spans="3:11" x14ac:dyDescent="0.25">
      <c r="C65" t="s">
        <v>5802</v>
      </c>
      <c r="D65" t="s">
        <v>5801</v>
      </c>
      <c r="E65" t="s">
        <v>5800</v>
      </c>
      <c r="F65" s="62">
        <v>40</v>
      </c>
      <c r="H65" s="70">
        <v>108</v>
      </c>
      <c r="J65" s="69">
        <v>0</v>
      </c>
      <c r="K65" s="68">
        <v>0</v>
      </c>
    </row>
    <row r="66" spans="3:11" x14ac:dyDescent="0.25">
      <c r="C66" t="s">
        <v>5799</v>
      </c>
      <c r="D66" t="s">
        <v>5798</v>
      </c>
      <c r="E66" t="s">
        <v>5797</v>
      </c>
      <c r="F66" s="62">
        <v>10</v>
      </c>
      <c r="H66" s="70">
        <v>216</v>
      </c>
      <c r="J66" s="69">
        <v>0</v>
      </c>
      <c r="K66" s="68">
        <v>0</v>
      </c>
    </row>
    <row r="67" spans="3:11" x14ac:dyDescent="0.25">
      <c r="C67" t="s">
        <v>5796</v>
      </c>
      <c r="D67" t="s">
        <v>5795</v>
      </c>
      <c r="E67" t="s">
        <v>5794</v>
      </c>
      <c r="F67" s="62">
        <v>10</v>
      </c>
      <c r="H67" s="70">
        <v>199.8</v>
      </c>
      <c r="J67" s="69">
        <v>0</v>
      </c>
      <c r="K67" s="68">
        <v>0</v>
      </c>
    </row>
    <row r="68" spans="3:11" x14ac:dyDescent="0.25">
      <c r="C68" t="s">
        <v>5793</v>
      </c>
      <c r="D68" t="s">
        <v>5792</v>
      </c>
      <c r="E68" t="s">
        <v>5791</v>
      </c>
      <c r="F68" s="62">
        <v>1</v>
      </c>
      <c r="H68" s="70">
        <v>91.8</v>
      </c>
      <c r="J68" s="69">
        <v>0</v>
      </c>
      <c r="K68" s="68">
        <v>0</v>
      </c>
    </row>
    <row r="69" spans="3:11" x14ac:dyDescent="0.25">
      <c r="C69" t="s">
        <v>5790</v>
      </c>
      <c r="D69" t="s">
        <v>5789</v>
      </c>
      <c r="E69" t="s">
        <v>5788</v>
      </c>
      <c r="F69" s="62">
        <v>1</v>
      </c>
      <c r="H69" s="70">
        <v>71.23</v>
      </c>
      <c r="J69" s="69">
        <v>0</v>
      </c>
      <c r="K69" s="68">
        <v>0</v>
      </c>
    </row>
    <row r="70" spans="3:11" x14ac:dyDescent="0.25">
      <c r="C70" t="s">
        <v>5787</v>
      </c>
      <c r="D70" t="s">
        <v>5786</v>
      </c>
      <c r="E70" t="s">
        <v>5785</v>
      </c>
      <c r="F70" s="62">
        <v>1</v>
      </c>
      <c r="H70" s="70">
        <v>71.099999999999994</v>
      </c>
      <c r="J70" s="69">
        <v>0</v>
      </c>
      <c r="K70" s="68">
        <v>0</v>
      </c>
    </row>
    <row r="71" spans="3:11" x14ac:dyDescent="0.25">
      <c r="C71" t="s">
        <v>5784</v>
      </c>
      <c r="D71" t="s">
        <v>5783</v>
      </c>
      <c r="E71" t="s">
        <v>5782</v>
      </c>
      <c r="F71" s="62">
        <v>1.8</v>
      </c>
      <c r="H71" s="70">
        <v>208.98</v>
      </c>
      <c r="J71" s="69">
        <v>0</v>
      </c>
      <c r="K71" s="68">
        <v>0</v>
      </c>
    </row>
    <row r="72" spans="3:11" x14ac:dyDescent="0.25">
      <c r="C72" t="s">
        <v>5781</v>
      </c>
      <c r="D72" t="s">
        <v>5780</v>
      </c>
      <c r="E72" t="s">
        <v>5779</v>
      </c>
      <c r="F72" s="62">
        <v>4</v>
      </c>
      <c r="H72" s="70">
        <v>151.19999999999999</v>
      </c>
      <c r="J72" s="69">
        <v>0</v>
      </c>
      <c r="K72" s="68">
        <v>0</v>
      </c>
    </row>
    <row r="73" spans="3:11" x14ac:dyDescent="0.25">
      <c r="C73" t="s">
        <v>5778</v>
      </c>
      <c r="D73" t="s">
        <v>5777</v>
      </c>
      <c r="E73" t="s">
        <v>5776</v>
      </c>
      <c r="F73" s="62">
        <v>4</v>
      </c>
      <c r="H73" s="70">
        <v>54</v>
      </c>
      <c r="J73" s="69">
        <v>0</v>
      </c>
      <c r="K73" s="68">
        <v>0</v>
      </c>
    </row>
    <row r="74" spans="3:11" x14ac:dyDescent="0.25">
      <c r="C74" t="s">
        <v>5775</v>
      </c>
      <c r="D74" t="s">
        <v>5774</v>
      </c>
      <c r="E74" t="s">
        <v>5773</v>
      </c>
      <c r="F74" s="62">
        <v>4</v>
      </c>
      <c r="H74" s="70">
        <v>511.2</v>
      </c>
      <c r="J74" s="69">
        <v>0</v>
      </c>
      <c r="K74" s="68">
        <v>0</v>
      </c>
    </row>
    <row r="75" spans="3:11" x14ac:dyDescent="0.25">
      <c r="C75" t="s">
        <v>5772</v>
      </c>
      <c r="D75" t="s">
        <v>5771</v>
      </c>
      <c r="E75" t="s">
        <v>5770</v>
      </c>
      <c r="F75" s="62">
        <v>4</v>
      </c>
      <c r="H75" s="70">
        <v>115.2</v>
      </c>
      <c r="J75" s="69">
        <v>0</v>
      </c>
      <c r="K75" s="68">
        <v>0</v>
      </c>
    </row>
    <row r="76" spans="3:11" x14ac:dyDescent="0.25">
      <c r="C76" t="s">
        <v>5769</v>
      </c>
      <c r="D76" t="s">
        <v>5768</v>
      </c>
      <c r="E76" t="s">
        <v>5767</v>
      </c>
      <c r="F76" s="62">
        <v>8</v>
      </c>
      <c r="H76" s="70">
        <v>210.32</v>
      </c>
      <c r="J76" s="69">
        <v>0</v>
      </c>
      <c r="K76" s="68">
        <v>0</v>
      </c>
    </row>
    <row r="77" spans="3:11" x14ac:dyDescent="0.25">
      <c r="C77" t="s">
        <v>5766</v>
      </c>
      <c r="D77" t="s">
        <v>5765</v>
      </c>
      <c r="E77" t="s">
        <v>5764</v>
      </c>
      <c r="F77" s="62">
        <v>6.7</v>
      </c>
      <c r="H77" s="70">
        <v>52.92</v>
      </c>
      <c r="J77" s="69">
        <v>0</v>
      </c>
      <c r="K77" s="68">
        <v>0</v>
      </c>
    </row>
    <row r="78" spans="3:11" x14ac:dyDescent="0.25">
      <c r="C78" t="s">
        <v>5763</v>
      </c>
      <c r="D78" t="s">
        <v>5762</v>
      </c>
      <c r="E78" t="s">
        <v>5761</v>
      </c>
      <c r="F78" s="62">
        <v>6</v>
      </c>
      <c r="H78" s="70">
        <v>169.2</v>
      </c>
      <c r="J78" s="69">
        <v>0</v>
      </c>
      <c r="K78" s="68">
        <v>0</v>
      </c>
    </row>
    <row r="79" spans="3:11" x14ac:dyDescent="0.25">
      <c r="C79" t="s">
        <v>5760</v>
      </c>
      <c r="D79" t="s">
        <v>5759</v>
      </c>
      <c r="E79" t="s">
        <v>5758</v>
      </c>
      <c r="F79" s="62">
        <v>8</v>
      </c>
      <c r="H79" s="70">
        <v>136.80000000000001</v>
      </c>
      <c r="J79" s="69">
        <v>0</v>
      </c>
      <c r="K79" s="68">
        <v>0</v>
      </c>
    </row>
    <row r="80" spans="3:11" x14ac:dyDescent="0.25">
      <c r="C80" t="s">
        <v>5757</v>
      </c>
      <c r="D80" t="s">
        <v>5756</v>
      </c>
      <c r="E80" t="s">
        <v>5755</v>
      </c>
      <c r="F80" s="62">
        <v>5</v>
      </c>
      <c r="H80" s="70">
        <v>108</v>
      </c>
      <c r="J80" s="69">
        <v>0</v>
      </c>
      <c r="K80" s="68">
        <v>0</v>
      </c>
    </row>
    <row r="81" spans="1:11" x14ac:dyDescent="0.25">
      <c r="C81" t="s">
        <v>5754</v>
      </c>
      <c r="D81" t="s">
        <v>5753</v>
      </c>
      <c r="E81" t="s">
        <v>5752</v>
      </c>
      <c r="F81" s="62">
        <v>15</v>
      </c>
      <c r="H81" s="70">
        <v>729</v>
      </c>
      <c r="J81" s="69">
        <v>0</v>
      </c>
      <c r="K81" s="68">
        <v>0</v>
      </c>
    </row>
    <row r="82" spans="1:11" x14ac:dyDescent="0.25">
      <c r="C82" t="s">
        <v>5751</v>
      </c>
      <c r="D82" t="s">
        <v>3278</v>
      </c>
      <c r="E82" t="s">
        <v>3277</v>
      </c>
      <c r="F82" s="62">
        <v>3</v>
      </c>
      <c r="H82" s="70">
        <v>804.6</v>
      </c>
      <c r="J82" s="69">
        <v>0</v>
      </c>
      <c r="K82" s="68">
        <v>0</v>
      </c>
    </row>
    <row r="83" spans="1:11" x14ac:dyDescent="0.25">
      <c r="C83" t="s">
        <v>5750</v>
      </c>
      <c r="D83" t="s">
        <v>5749</v>
      </c>
      <c r="E83" t="s">
        <v>5748</v>
      </c>
      <c r="F83" s="62">
        <v>100</v>
      </c>
      <c r="H83" s="70">
        <v>262.8</v>
      </c>
      <c r="J83" s="69">
        <v>0</v>
      </c>
      <c r="K83" s="68">
        <v>0</v>
      </c>
    </row>
    <row r="84" spans="1:11" x14ac:dyDescent="0.25">
      <c r="C84" t="s">
        <v>5747</v>
      </c>
      <c r="D84" t="s">
        <v>5746</v>
      </c>
      <c r="E84" t="s">
        <v>5745</v>
      </c>
      <c r="F84" s="62">
        <v>4</v>
      </c>
      <c r="H84" s="70">
        <v>133.19999999999999</v>
      </c>
      <c r="J84" s="69">
        <v>0</v>
      </c>
      <c r="K84" s="68">
        <v>0</v>
      </c>
    </row>
    <row r="85" spans="1:11" x14ac:dyDescent="0.25">
      <c r="C85" t="s">
        <v>5744</v>
      </c>
      <c r="D85" t="s">
        <v>5743</v>
      </c>
      <c r="E85" t="s">
        <v>5742</v>
      </c>
      <c r="F85" s="62">
        <v>33</v>
      </c>
      <c r="H85" s="70">
        <v>208.8</v>
      </c>
      <c r="J85" s="69">
        <v>0</v>
      </c>
      <c r="K85" s="68">
        <v>0</v>
      </c>
    </row>
    <row r="86" spans="1:11" x14ac:dyDescent="0.25">
      <c r="C86" t="s">
        <v>5741</v>
      </c>
      <c r="D86" t="s">
        <v>5740</v>
      </c>
      <c r="E86" t="s">
        <v>5739</v>
      </c>
      <c r="F86" s="62">
        <v>15</v>
      </c>
      <c r="H86" s="70">
        <v>274.05</v>
      </c>
      <c r="J86" s="69">
        <v>0</v>
      </c>
      <c r="K86" s="68">
        <v>0</v>
      </c>
    </row>
    <row r="87" spans="1:11" x14ac:dyDescent="0.25">
      <c r="A87">
        <v>57041</v>
      </c>
      <c r="B87" t="s">
        <v>5738</v>
      </c>
      <c r="C87" t="s">
        <v>5737</v>
      </c>
      <c r="D87" t="s">
        <v>5736</v>
      </c>
      <c r="E87" t="s">
        <v>5735</v>
      </c>
      <c r="F87" s="62">
        <v>4</v>
      </c>
      <c r="H87" s="70">
        <v>1570.85</v>
      </c>
      <c r="J87" s="69">
        <v>1</v>
      </c>
      <c r="K87" s="68">
        <v>1570.85</v>
      </c>
    </row>
    <row r="88" spans="1:11" x14ac:dyDescent="0.25">
      <c r="C88" t="s">
        <v>531</v>
      </c>
      <c r="D88" t="s">
        <v>532</v>
      </c>
      <c r="E88" t="s">
        <v>5611</v>
      </c>
      <c r="F88" s="62">
        <v>5</v>
      </c>
      <c r="H88" s="70">
        <v>428.96</v>
      </c>
      <c r="J88" s="69">
        <v>13</v>
      </c>
      <c r="K88" s="68">
        <v>5576.48</v>
      </c>
    </row>
    <row r="89" spans="1:11" x14ac:dyDescent="0.25">
      <c r="C89" t="s">
        <v>5734</v>
      </c>
      <c r="D89" t="s">
        <v>5733</v>
      </c>
      <c r="E89" t="s">
        <v>5732</v>
      </c>
      <c r="F89" s="62">
        <v>1</v>
      </c>
      <c r="H89" s="70">
        <v>3374.72</v>
      </c>
      <c r="J89" s="69">
        <v>1</v>
      </c>
      <c r="K89" s="68">
        <v>3374.72</v>
      </c>
    </row>
    <row r="90" spans="1:11" x14ac:dyDescent="0.25">
      <c r="C90" t="s">
        <v>5731</v>
      </c>
      <c r="D90" t="s">
        <v>5730</v>
      </c>
      <c r="E90" t="s">
        <v>5729</v>
      </c>
      <c r="F90" s="62">
        <v>2</v>
      </c>
      <c r="H90" s="70">
        <v>923.09</v>
      </c>
      <c r="J90" s="69">
        <v>1</v>
      </c>
      <c r="K90" s="68">
        <v>923.09</v>
      </c>
    </row>
    <row r="91" spans="1:11" x14ac:dyDescent="0.25">
      <c r="C91" t="s">
        <v>538</v>
      </c>
      <c r="D91" t="s">
        <v>539</v>
      </c>
      <c r="E91" t="s">
        <v>5728</v>
      </c>
      <c r="F91" s="62">
        <v>2</v>
      </c>
      <c r="H91" s="70">
        <v>6588.28</v>
      </c>
      <c r="J91" s="69">
        <v>2</v>
      </c>
      <c r="K91" s="68">
        <v>13176.56</v>
      </c>
    </row>
    <row r="92" spans="1:11" x14ac:dyDescent="0.25">
      <c r="C92" t="s">
        <v>855</v>
      </c>
      <c r="D92" t="s">
        <v>856</v>
      </c>
      <c r="E92" t="s">
        <v>5727</v>
      </c>
      <c r="F92" s="62">
        <v>8</v>
      </c>
      <c r="H92" s="70">
        <v>130.7525</v>
      </c>
      <c r="J92" s="69">
        <v>0</v>
      </c>
      <c r="K92" s="68">
        <v>0</v>
      </c>
    </row>
    <row r="93" spans="1:11" x14ac:dyDescent="0.25">
      <c r="C93" t="s">
        <v>5726</v>
      </c>
      <c r="D93" t="s">
        <v>5725</v>
      </c>
      <c r="E93" t="s">
        <v>5724</v>
      </c>
      <c r="F93" s="62">
        <v>5</v>
      </c>
      <c r="H93" s="70">
        <v>158</v>
      </c>
      <c r="J93" s="69">
        <v>0</v>
      </c>
      <c r="K93" s="68">
        <v>0</v>
      </c>
    </row>
    <row r="94" spans="1:11" x14ac:dyDescent="0.25">
      <c r="C94" t="s">
        <v>5723</v>
      </c>
      <c r="D94" t="s">
        <v>5722</v>
      </c>
      <c r="E94" t="s">
        <v>5721</v>
      </c>
      <c r="F94" s="62">
        <v>1</v>
      </c>
      <c r="H94" s="70">
        <v>968.59</v>
      </c>
      <c r="J94" s="69">
        <v>1</v>
      </c>
      <c r="K94" s="68">
        <v>968.59</v>
      </c>
    </row>
    <row r="95" spans="1:11" x14ac:dyDescent="0.25">
      <c r="C95" s="58" t="s">
        <v>949</v>
      </c>
      <c r="D95" s="58" t="s">
        <v>950</v>
      </c>
      <c r="E95" s="58" t="s">
        <v>5720</v>
      </c>
      <c r="F95" s="67">
        <v>1</v>
      </c>
      <c r="G95" s="58"/>
      <c r="H95" s="66">
        <v>11964.5</v>
      </c>
      <c r="I95" s="58"/>
      <c r="J95" s="64">
        <v>1</v>
      </c>
      <c r="K95" s="63">
        <v>11964.5</v>
      </c>
    </row>
    <row r="96" spans="1:11" x14ac:dyDescent="0.25">
      <c r="C96" s="58" t="s">
        <v>946</v>
      </c>
      <c r="D96" s="58" t="s">
        <v>947</v>
      </c>
      <c r="E96" s="58" t="s">
        <v>5720</v>
      </c>
      <c r="F96" s="67">
        <v>1</v>
      </c>
      <c r="G96" s="58"/>
      <c r="H96" s="66">
        <v>15221.33</v>
      </c>
      <c r="I96" s="58"/>
      <c r="J96" s="64">
        <v>1</v>
      </c>
      <c r="K96" s="63">
        <v>15221.33</v>
      </c>
    </row>
    <row r="97" spans="3:11" x14ac:dyDescent="0.25">
      <c r="C97" t="s">
        <v>582</v>
      </c>
      <c r="D97" t="s">
        <v>583</v>
      </c>
      <c r="E97" t="s">
        <v>5719</v>
      </c>
      <c r="F97" s="62">
        <v>7</v>
      </c>
      <c r="H97" s="70">
        <v>17.602857</v>
      </c>
      <c r="J97" s="69">
        <v>15</v>
      </c>
      <c r="K97" s="68">
        <v>264.04285500000003</v>
      </c>
    </row>
    <row r="98" spans="3:11" x14ac:dyDescent="0.25">
      <c r="C98" t="s">
        <v>5718</v>
      </c>
      <c r="D98" t="s">
        <v>5717</v>
      </c>
      <c r="E98" t="s">
        <v>5716</v>
      </c>
      <c r="F98" s="62">
        <v>7</v>
      </c>
      <c r="H98" s="70">
        <v>177.262857</v>
      </c>
      <c r="J98" s="69">
        <v>2</v>
      </c>
      <c r="K98" s="68">
        <v>354.52571399999999</v>
      </c>
    </row>
    <row r="99" spans="3:11" x14ac:dyDescent="0.25">
      <c r="C99" t="s">
        <v>525</v>
      </c>
      <c r="D99" t="s">
        <v>526</v>
      </c>
      <c r="E99" t="s">
        <v>5715</v>
      </c>
      <c r="F99" s="62">
        <v>25</v>
      </c>
      <c r="H99" s="70">
        <v>516.03039999999999</v>
      </c>
      <c r="J99" s="69">
        <v>1</v>
      </c>
      <c r="K99" s="68">
        <v>516.03039999999999</v>
      </c>
    </row>
    <row r="100" spans="3:11" x14ac:dyDescent="0.25">
      <c r="C100" t="s">
        <v>528</v>
      </c>
      <c r="D100" t="s">
        <v>529</v>
      </c>
      <c r="E100" t="s">
        <v>5715</v>
      </c>
      <c r="F100" s="62">
        <v>20</v>
      </c>
      <c r="H100" s="70">
        <v>507.47699999999998</v>
      </c>
      <c r="J100" s="69">
        <v>1</v>
      </c>
      <c r="K100" s="68">
        <v>507.47699999999998</v>
      </c>
    </row>
    <row r="101" spans="3:11" x14ac:dyDescent="0.25">
      <c r="C101" t="s">
        <v>5714</v>
      </c>
      <c r="D101" t="s">
        <v>5713</v>
      </c>
      <c r="E101" t="s">
        <v>5712</v>
      </c>
      <c r="F101" s="62">
        <v>6</v>
      </c>
      <c r="H101" s="70">
        <v>2179.8000000000002</v>
      </c>
      <c r="J101" s="69">
        <v>2</v>
      </c>
      <c r="K101" s="68">
        <v>4359.6000000000004</v>
      </c>
    </row>
    <row r="102" spans="3:11" x14ac:dyDescent="0.25">
      <c r="C102" s="58" t="s">
        <v>5711</v>
      </c>
      <c r="D102" s="58" t="s">
        <v>5710</v>
      </c>
      <c r="E102" s="58" t="s">
        <v>5709</v>
      </c>
      <c r="F102" s="67">
        <v>1</v>
      </c>
      <c r="G102" s="58"/>
      <c r="H102" s="66">
        <v>4267.49</v>
      </c>
      <c r="I102" s="58"/>
      <c r="J102" s="64">
        <v>1</v>
      </c>
      <c r="K102" s="63">
        <v>4267.49</v>
      </c>
    </row>
    <row r="103" spans="3:11" x14ac:dyDescent="0.25">
      <c r="C103" t="s">
        <v>5708</v>
      </c>
      <c r="D103" t="s">
        <v>5707</v>
      </c>
      <c r="E103" t="s">
        <v>5706</v>
      </c>
      <c r="F103" s="62">
        <v>4</v>
      </c>
      <c r="H103" s="70">
        <v>55.9375</v>
      </c>
      <c r="J103" s="69">
        <v>4</v>
      </c>
      <c r="K103" s="68">
        <v>223.75</v>
      </c>
    </row>
    <row r="104" spans="3:11" x14ac:dyDescent="0.25">
      <c r="C104" t="s">
        <v>5705</v>
      </c>
      <c r="D104" t="s">
        <v>5704</v>
      </c>
      <c r="E104" t="s">
        <v>5703</v>
      </c>
      <c r="F104" s="62">
        <v>4</v>
      </c>
      <c r="H104" s="70">
        <v>43.612499999999997</v>
      </c>
      <c r="J104" s="69">
        <v>4</v>
      </c>
      <c r="K104" s="68">
        <v>174.45</v>
      </c>
    </row>
    <row r="105" spans="3:11" x14ac:dyDescent="0.25">
      <c r="C105" t="s">
        <v>5702</v>
      </c>
      <c r="D105" t="s">
        <v>5701</v>
      </c>
      <c r="E105" t="s">
        <v>5700</v>
      </c>
      <c r="F105" s="62">
        <v>2</v>
      </c>
      <c r="H105" s="70">
        <v>83.95</v>
      </c>
      <c r="J105" s="69">
        <v>2</v>
      </c>
      <c r="K105" s="68">
        <v>167.9</v>
      </c>
    </row>
    <row r="106" spans="3:11" x14ac:dyDescent="0.25">
      <c r="C106" t="s">
        <v>5699</v>
      </c>
      <c r="D106" t="s">
        <v>5698</v>
      </c>
      <c r="E106" t="s">
        <v>5697</v>
      </c>
      <c r="F106" s="62">
        <v>8</v>
      </c>
      <c r="H106" s="70">
        <v>274.55</v>
      </c>
      <c r="J106" s="69">
        <v>8</v>
      </c>
      <c r="K106" s="68">
        <v>2196.4</v>
      </c>
    </row>
    <row r="107" spans="3:11" x14ac:dyDescent="0.25">
      <c r="C107" t="s">
        <v>5696</v>
      </c>
      <c r="D107" t="s">
        <v>5695</v>
      </c>
      <c r="E107" t="s">
        <v>5694</v>
      </c>
      <c r="F107" s="62">
        <v>1</v>
      </c>
      <c r="H107" s="70">
        <v>4051.45</v>
      </c>
      <c r="J107" s="69">
        <v>1</v>
      </c>
      <c r="K107" s="68">
        <v>4051.45</v>
      </c>
    </row>
    <row r="108" spans="3:11" x14ac:dyDescent="0.25">
      <c r="C108" t="s">
        <v>5693</v>
      </c>
      <c r="D108" t="s">
        <v>5692</v>
      </c>
      <c r="E108" t="s">
        <v>5691</v>
      </c>
      <c r="F108" s="62">
        <v>4</v>
      </c>
      <c r="H108" s="70">
        <v>422.755</v>
      </c>
      <c r="J108" s="69">
        <v>4</v>
      </c>
      <c r="K108" s="68">
        <v>1691.02</v>
      </c>
    </row>
    <row r="109" spans="3:11" x14ac:dyDescent="0.25">
      <c r="C109" t="s">
        <v>5690</v>
      </c>
      <c r="D109" t="s">
        <v>5689</v>
      </c>
      <c r="E109" t="s">
        <v>5688</v>
      </c>
      <c r="F109" s="62">
        <v>1</v>
      </c>
      <c r="H109" s="70">
        <v>1779.12</v>
      </c>
      <c r="J109" s="69">
        <v>0</v>
      </c>
      <c r="K109" s="68">
        <v>0</v>
      </c>
    </row>
    <row r="110" spans="3:11" x14ac:dyDescent="0.25">
      <c r="C110" t="s">
        <v>5687</v>
      </c>
      <c r="D110" t="s">
        <v>5686</v>
      </c>
      <c r="E110" t="s">
        <v>5685</v>
      </c>
      <c r="F110" s="62">
        <v>8</v>
      </c>
      <c r="H110" s="70">
        <v>1706.18875</v>
      </c>
      <c r="J110" s="69">
        <v>5</v>
      </c>
      <c r="K110" s="68">
        <v>8530.9437500000004</v>
      </c>
    </row>
    <row r="111" spans="3:11" x14ac:dyDescent="0.25">
      <c r="C111" t="s">
        <v>5684</v>
      </c>
      <c r="D111" t="s">
        <v>5683</v>
      </c>
      <c r="E111" t="s">
        <v>5682</v>
      </c>
      <c r="F111" s="62">
        <v>1</v>
      </c>
      <c r="H111" s="70">
        <v>2096.1799999999998</v>
      </c>
      <c r="J111" s="69">
        <v>1</v>
      </c>
      <c r="K111" s="68">
        <v>2096.1799999999998</v>
      </c>
    </row>
    <row r="112" spans="3:11" x14ac:dyDescent="0.25">
      <c r="C112" s="58" t="s">
        <v>5681</v>
      </c>
      <c r="D112" s="58" t="s">
        <v>5680</v>
      </c>
      <c r="E112" s="58" t="s">
        <v>5679</v>
      </c>
      <c r="F112" s="67">
        <v>1</v>
      </c>
      <c r="G112" s="58"/>
      <c r="H112" s="66">
        <v>23230.75</v>
      </c>
      <c r="I112" s="58"/>
      <c r="J112" s="64">
        <v>1</v>
      </c>
      <c r="K112" s="63">
        <v>23230.75</v>
      </c>
    </row>
    <row r="113" spans="1:11" x14ac:dyDescent="0.25">
      <c r="C113" t="s">
        <v>5678</v>
      </c>
      <c r="D113" t="s">
        <v>5677</v>
      </c>
      <c r="E113" t="s">
        <v>5676</v>
      </c>
      <c r="F113" s="62">
        <v>1</v>
      </c>
      <c r="H113" s="70">
        <v>269.89999999999998</v>
      </c>
      <c r="J113" s="69">
        <v>1</v>
      </c>
      <c r="K113" s="68">
        <v>269.89999999999998</v>
      </c>
    </row>
    <row r="114" spans="1:11" x14ac:dyDescent="0.25">
      <c r="C114" t="s">
        <v>5675</v>
      </c>
      <c r="D114" t="s">
        <v>5674</v>
      </c>
      <c r="E114" t="s">
        <v>5673</v>
      </c>
      <c r="F114" s="62">
        <v>14</v>
      </c>
      <c r="H114" s="70">
        <v>680.19</v>
      </c>
      <c r="J114" s="69">
        <v>6</v>
      </c>
      <c r="K114" s="68">
        <v>4081.1400000000003</v>
      </c>
    </row>
    <row r="115" spans="1:11" x14ac:dyDescent="0.25">
      <c r="C115" t="s">
        <v>5672</v>
      </c>
      <c r="D115" t="s">
        <v>5671</v>
      </c>
      <c r="E115" t="s">
        <v>5670</v>
      </c>
      <c r="F115" s="62">
        <v>7</v>
      </c>
      <c r="H115" s="70">
        <v>204.12428600000001</v>
      </c>
      <c r="J115" s="69">
        <v>6</v>
      </c>
      <c r="K115" s="68">
        <v>1224.7457160000001</v>
      </c>
    </row>
    <row r="116" spans="1:11" x14ac:dyDescent="0.25">
      <c r="C116" t="s">
        <v>5669</v>
      </c>
      <c r="D116" t="s">
        <v>5668</v>
      </c>
      <c r="E116" t="s">
        <v>5667</v>
      </c>
      <c r="F116" s="62">
        <v>14</v>
      </c>
      <c r="H116" s="70">
        <v>51.014285999999998</v>
      </c>
      <c r="J116" s="69">
        <v>4</v>
      </c>
      <c r="K116" s="68">
        <v>204.05714399999999</v>
      </c>
    </row>
    <row r="117" spans="1:11" x14ac:dyDescent="0.25">
      <c r="C117" t="s">
        <v>5666</v>
      </c>
      <c r="D117" t="s">
        <v>5665</v>
      </c>
      <c r="E117" t="s">
        <v>5664</v>
      </c>
      <c r="F117" s="62">
        <v>8</v>
      </c>
      <c r="H117" s="70">
        <v>34.01</v>
      </c>
      <c r="J117" s="69">
        <v>4</v>
      </c>
      <c r="K117" s="68">
        <v>136.04</v>
      </c>
    </row>
    <row r="118" spans="1:11" x14ac:dyDescent="0.25">
      <c r="C118" t="s">
        <v>5663</v>
      </c>
      <c r="D118" t="s">
        <v>5662</v>
      </c>
      <c r="E118" t="s">
        <v>5661</v>
      </c>
      <c r="F118" s="62">
        <v>1</v>
      </c>
      <c r="H118" s="70">
        <v>102.03</v>
      </c>
      <c r="J118" s="69">
        <v>1</v>
      </c>
      <c r="K118" s="68">
        <v>102.03</v>
      </c>
    </row>
    <row r="119" spans="1:11" x14ac:dyDescent="0.25">
      <c r="C119" t="s">
        <v>5660</v>
      </c>
      <c r="D119" t="s">
        <v>5659</v>
      </c>
      <c r="E119" t="s">
        <v>5658</v>
      </c>
      <c r="F119" s="62">
        <v>2</v>
      </c>
      <c r="H119" s="70">
        <v>59.515000000000001</v>
      </c>
      <c r="J119" s="69">
        <v>1</v>
      </c>
      <c r="K119" s="68">
        <v>59.515000000000001</v>
      </c>
    </row>
    <row r="120" spans="1:11" x14ac:dyDescent="0.25">
      <c r="C120" t="s">
        <v>5657</v>
      </c>
      <c r="D120" t="s">
        <v>5656</v>
      </c>
      <c r="E120" t="s">
        <v>5655</v>
      </c>
      <c r="F120" s="62">
        <v>1</v>
      </c>
      <c r="H120" s="70">
        <v>127.54</v>
      </c>
      <c r="J120" s="69">
        <v>1</v>
      </c>
      <c r="K120" s="68">
        <v>127.54</v>
      </c>
    </row>
    <row r="121" spans="1:11" x14ac:dyDescent="0.25">
      <c r="C121" t="s">
        <v>5654</v>
      </c>
      <c r="D121" t="s">
        <v>5653</v>
      </c>
      <c r="E121" t="s">
        <v>5652</v>
      </c>
      <c r="F121" s="62">
        <v>1</v>
      </c>
      <c r="H121" s="70">
        <v>1105.31</v>
      </c>
      <c r="J121" s="69">
        <v>1</v>
      </c>
      <c r="K121" s="68">
        <v>1105.31</v>
      </c>
    </row>
    <row r="122" spans="1:11" x14ac:dyDescent="0.25">
      <c r="C122" t="s">
        <v>5651</v>
      </c>
      <c r="D122" t="s">
        <v>5650</v>
      </c>
      <c r="E122" t="s">
        <v>5649</v>
      </c>
      <c r="F122" s="62">
        <v>1</v>
      </c>
      <c r="H122" s="70">
        <v>969.27</v>
      </c>
      <c r="J122" s="69">
        <v>1</v>
      </c>
      <c r="K122" s="68">
        <v>969.27</v>
      </c>
    </row>
    <row r="123" spans="1:11" x14ac:dyDescent="0.25">
      <c r="C123" t="s">
        <v>5648</v>
      </c>
      <c r="D123" t="s">
        <v>5647</v>
      </c>
      <c r="E123" t="s">
        <v>5646</v>
      </c>
      <c r="F123" s="62">
        <v>1</v>
      </c>
      <c r="H123" s="70">
        <v>1054.29</v>
      </c>
      <c r="J123" s="69">
        <v>1</v>
      </c>
      <c r="K123" s="68">
        <v>1054.29</v>
      </c>
    </row>
    <row r="124" spans="1:11" x14ac:dyDescent="0.25">
      <c r="C124" t="s">
        <v>5645</v>
      </c>
      <c r="D124" t="s">
        <v>5644</v>
      </c>
      <c r="E124" t="s">
        <v>5643</v>
      </c>
      <c r="F124" s="62">
        <v>4</v>
      </c>
      <c r="H124" s="70">
        <v>340.09500000000003</v>
      </c>
      <c r="J124" s="69">
        <v>2</v>
      </c>
      <c r="K124" s="68">
        <v>680.19</v>
      </c>
    </row>
    <row r="125" spans="1:11" x14ac:dyDescent="0.25">
      <c r="C125" t="s">
        <v>5642</v>
      </c>
      <c r="D125" t="s">
        <v>5641</v>
      </c>
      <c r="E125" t="s">
        <v>5640</v>
      </c>
      <c r="F125" s="62">
        <v>8</v>
      </c>
      <c r="H125" s="70">
        <v>225.3125</v>
      </c>
      <c r="J125" s="69">
        <v>4</v>
      </c>
      <c r="K125" s="68">
        <v>901.25</v>
      </c>
    </row>
    <row r="126" spans="1:11" x14ac:dyDescent="0.25">
      <c r="C126" t="s">
        <v>5639</v>
      </c>
      <c r="D126" t="s">
        <v>5638</v>
      </c>
      <c r="E126" t="s">
        <v>5637</v>
      </c>
      <c r="F126" s="62">
        <v>1</v>
      </c>
      <c r="H126" s="70">
        <v>170.05</v>
      </c>
      <c r="J126" s="69">
        <v>8</v>
      </c>
      <c r="K126" s="68">
        <v>1360.4</v>
      </c>
    </row>
    <row r="127" spans="1:11" x14ac:dyDescent="0.25">
      <c r="C127" t="s">
        <v>5636</v>
      </c>
      <c r="D127" t="s">
        <v>5635</v>
      </c>
      <c r="E127" t="s">
        <v>5634</v>
      </c>
      <c r="F127" s="62">
        <v>2</v>
      </c>
      <c r="H127" s="70">
        <v>2882.2649999999999</v>
      </c>
      <c r="J127" s="69">
        <v>1</v>
      </c>
      <c r="K127" s="68">
        <v>2882.2649999999999</v>
      </c>
    </row>
    <row r="128" spans="1:11" x14ac:dyDescent="0.25">
      <c r="A128" s="74"/>
      <c r="B128" s="74"/>
      <c r="C128" s="74" t="s">
        <v>5633</v>
      </c>
      <c r="D128" s="74" t="s">
        <v>5632</v>
      </c>
      <c r="E128" s="74" t="s">
        <v>5631</v>
      </c>
      <c r="F128" s="75">
        <v>1</v>
      </c>
      <c r="G128" s="74"/>
      <c r="H128" s="76">
        <v>71125.75</v>
      </c>
      <c r="I128" s="74"/>
      <c r="J128" s="77">
        <v>1</v>
      </c>
      <c r="K128" s="78">
        <v>71125.75</v>
      </c>
    </row>
    <row r="129" spans="1:11" x14ac:dyDescent="0.25">
      <c r="C129" t="s">
        <v>5630</v>
      </c>
      <c r="D129" t="s">
        <v>5629</v>
      </c>
      <c r="E129" t="s">
        <v>5628</v>
      </c>
      <c r="F129" s="62">
        <v>3</v>
      </c>
      <c r="H129" s="70">
        <v>53.933332999999998</v>
      </c>
      <c r="J129" s="69">
        <v>3</v>
      </c>
      <c r="K129" s="68">
        <v>161.79999899999999</v>
      </c>
    </row>
    <row r="130" spans="1:11" x14ac:dyDescent="0.25">
      <c r="C130" t="s">
        <v>5627</v>
      </c>
      <c r="D130" t="s">
        <v>5626</v>
      </c>
      <c r="E130" t="s">
        <v>5625</v>
      </c>
      <c r="F130" s="62">
        <v>4</v>
      </c>
      <c r="H130" s="70">
        <v>904.04</v>
      </c>
      <c r="J130" s="69">
        <v>0</v>
      </c>
      <c r="K130" s="68">
        <v>0</v>
      </c>
    </row>
    <row r="131" spans="1:11" x14ac:dyDescent="0.25">
      <c r="A131">
        <v>713632</v>
      </c>
      <c r="B131" t="s">
        <v>5624</v>
      </c>
      <c r="C131" t="s">
        <v>5623</v>
      </c>
      <c r="D131" t="s">
        <v>5622</v>
      </c>
      <c r="E131" t="s">
        <v>5621</v>
      </c>
      <c r="F131" s="62">
        <v>1</v>
      </c>
      <c r="H131" s="70">
        <v>11160</v>
      </c>
      <c r="J131" s="69">
        <v>0</v>
      </c>
      <c r="K131" s="68">
        <v>0</v>
      </c>
    </row>
    <row r="132" spans="1:11" x14ac:dyDescent="0.25">
      <c r="C132" t="s">
        <v>5620</v>
      </c>
      <c r="D132" t="s">
        <v>5619</v>
      </c>
      <c r="E132" t="s">
        <v>5618</v>
      </c>
      <c r="F132" s="62">
        <v>1</v>
      </c>
      <c r="H132" s="70">
        <v>1562.4</v>
      </c>
      <c r="J132" s="69">
        <v>1</v>
      </c>
      <c r="K132" s="68">
        <v>1562.4</v>
      </c>
    </row>
    <row r="133" spans="1:11" x14ac:dyDescent="0.25">
      <c r="C133" t="s">
        <v>5617</v>
      </c>
      <c r="D133" t="s">
        <v>5616</v>
      </c>
      <c r="E133" t="s">
        <v>5615</v>
      </c>
      <c r="F133" s="62">
        <v>3</v>
      </c>
      <c r="H133" s="70">
        <v>1850</v>
      </c>
      <c r="J133" s="69">
        <v>0</v>
      </c>
      <c r="K133" s="68">
        <v>0</v>
      </c>
    </row>
    <row r="134" spans="1:11" x14ac:dyDescent="0.25">
      <c r="A134">
        <v>757565</v>
      </c>
      <c r="B134" t="s">
        <v>5614</v>
      </c>
      <c r="C134" t="s">
        <v>5610</v>
      </c>
      <c r="D134" t="s">
        <v>5609</v>
      </c>
      <c r="E134" t="s">
        <v>5608</v>
      </c>
      <c r="F134" s="62">
        <v>3</v>
      </c>
      <c r="H134" s="70">
        <v>695.45</v>
      </c>
      <c r="J134" s="69">
        <v>0</v>
      </c>
      <c r="K134" s="68">
        <v>0</v>
      </c>
    </row>
    <row r="135" spans="1:11" x14ac:dyDescent="0.25">
      <c r="B135" t="s">
        <v>5613</v>
      </c>
      <c r="C135" t="s">
        <v>5612</v>
      </c>
      <c r="D135" t="s">
        <v>532</v>
      </c>
      <c r="E135" t="s">
        <v>5611</v>
      </c>
      <c r="F135" s="62">
        <v>2</v>
      </c>
      <c r="H135" s="70">
        <v>625.11</v>
      </c>
      <c r="J135" s="69">
        <v>0</v>
      </c>
      <c r="K135" s="68">
        <v>0</v>
      </c>
    </row>
    <row r="136" spans="1:11" x14ac:dyDescent="0.25">
      <c r="C136" t="s">
        <v>5610</v>
      </c>
      <c r="D136" t="s">
        <v>5609</v>
      </c>
      <c r="E136" t="s">
        <v>5608</v>
      </c>
      <c r="F136" s="62">
        <v>2</v>
      </c>
      <c r="H136" s="70">
        <v>695.45</v>
      </c>
      <c r="J136" s="69">
        <v>0</v>
      </c>
      <c r="K136" s="68">
        <v>0</v>
      </c>
    </row>
    <row r="137" spans="1:11" x14ac:dyDescent="0.25">
      <c r="C137" t="s">
        <v>5607</v>
      </c>
      <c r="D137" t="s">
        <v>23</v>
      </c>
      <c r="E137" t="s">
        <v>5606</v>
      </c>
      <c r="F137" s="62">
        <v>2</v>
      </c>
      <c r="H137" s="70">
        <v>1000</v>
      </c>
      <c r="J137" s="69">
        <v>2</v>
      </c>
      <c r="K137" s="68">
        <v>2000</v>
      </c>
    </row>
    <row r="138" spans="1:11" x14ac:dyDescent="0.25">
      <c r="A138">
        <v>764598</v>
      </c>
      <c r="B138" t="s">
        <v>5605</v>
      </c>
      <c r="C138" t="s">
        <v>5604</v>
      </c>
      <c r="D138" t="s">
        <v>5437</v>
      </c>
      <c r="E138" t="s">
        <v>5436</v>
      </c>
      <c r="F138" s="62">
        <v>100</v>
      </c>
      <c r="H138" s="70">
        <v>6.9977</v>
      </c>
      <c r="J138" s="69"/>
      <c r="K138" s="68">
        <v>0</v>
      </c>
    </row>
    <row r="139" spans="1:11" x14ac:dyDescent="0.25">
      <c r="C139" t="s">
        <v>5603</v>
      </c>
      <c r="D139" t="s">
        <v>5602</v>
      </c>
      <c r="E139" t="s">
        <v>5601</v>
      </c>
      <c r="F139" s="62">
        <v>2</v>
      </c>
      <c r="H139" s="70">
        <v>57.94</v>
      </c>
      <c r="J139" s="69">
        <v>0</v>
      </c>
      <c r="K139" s="68">
        <v>0</v>
      </c>
    </row>
    <row r="140" spans="1:11" x14ac:dyDescent="0.25">
      <c r="C140" t="s">
        <v>5600</v>
      </c>
      <c r="D140" t="s">
        <v>5599</v>
      </c>
      <c r="E140" t="s">
        <v>5598</v>
      </c>
      <c r="F140" s="62">
        <v>2</v>
      </c>
      <c r="H140" s="70">
        <v>57.94</v>
      </c>
      <c r="J140" s="69">
        <v>0</v>
      </c>
      <c r="K140" s="68">
        <v>0</v>
      </c>
    </row>
    <row r="141" spans="1:11" x14ac:dyDescent="0.25">
      <c r="C141" t="s">
        <v>5597</v>
      </c>
      <c r="D141" t="s">
        <v>5596</v>
      </c>
      <c r="E141" t="s">
        <v>5595</v>
      </c>
      <c r="F141" s="62">
        <v>4</v>
      </c>
      <c r="H141" s="70">
        <v>22.7925</v>
      </c>
      <c r="J141" s="69">
        <v>0</v>
      </c>
      <c r="K141" s="68">
        <v>0</v>
      </c>
    </row>
    <row r="142" spans="1:11" x14ac:dyDescent="0.25">
      <c r="C142" t="s">
        <v>5594</v>
      </c>
      <c r="D142" t="s">
        <v>5593</v>
      </c>
      <c r="E142" t="s">
        <v>5592</v>
      </c>
      <c r="F142" s="62">
        <v>20</v>
      </c>
      <c r="H142" s="70">
        <v>13.858499999999999</v>
      </c>
      <c r="J142" s="69">
        <v>0</v>
      </c>
      <c r="K142" s="68">
        <v>0</v>
      </c>
    </row>
    <row r="143" spans="1:11" x14ac:dyDescent="0.25">
      <c r="C143" t="s">
        <v>5591</v>
      </c>
      <c r="D143" t="s">
        <v>5590</v>
      </c>
      <c r="E143" t="s">
        <v>5589</v>
      </c>
      <c r="F143" s="62">
        <v>4</v>
      </c>
      <c r="H143" s="70">
        <v>24.99</v>
      </c>
      <c r="J143" s="69">
        <v>0</v>
      </c>
      <c r="K143" s="68">
        <v>0</v>
      </c>
    </row>
    <row r="144" spans="1:11" x14ac:dyDescent="0.25">
      <c r="C144" t="s">
        <v>5588</v>
      </c>
      <c r="D144" t="s">
        <v>5587</v>
      </c>
      <c r="E144" t="s">
        <v>5586</v>
      </c>
      <c r="F144" s="62">
        <v>1</v>
      </c>
      <c r="H144" s="70">
        <v>352</v>
      </c>
      <c r="J144" s="69">
        <v>0</v>
      </c>
      <c r="K144" s="68">
        <v>0</v>
      </c>
    </row>
    <row r="145" spans="3:11" x14ac:dyDescent="0.25">
      <c r="C145" t="s">
        <v>5585</v>
      </c>
      <c r="D145" t="s">
        <v>5584</v>
      </c>
      <c r="E145" t="s">
        <v>5583</v>
      </c>
      <c r="F145" s="62">
        <v>10</v>
      </c>
      <c r="H145" s="70">
        <v>12.468999999999999</v>
      </c>
      <c r="J145" s="69">
        <v>0</v>
      </c>
      <c r="K145" s="68">
        <v>0</v>
      </c>
    </row>
    <row r="146" spans="3:11" x14ac:dyDescent="0.25">
      <c r="C146" t="s">
        <v>5582</v>
      </c>
      <c r="D146" t="s">
        <v>4992</v>
      </c>
      <c r="E146" t="s">
        <v>4991</v>
      </c>
      <c r="F146" s="62">
        <v>50</v>
      </c>
      <c r="H146" s="70">
        <v>4.2290000000000001</v>
      </c>
      <c r="J146" s="69">
        <v>0</v>
      </c>
      <c r="K146" s="68">
        <v>0</v>
      </c>
    </row>
    <row r="147" spans="3:11" x14ac:dyDescent="0.25">
      <c r="C147" t="s">
        <v>5581</v>
      </c>
      <c r="D147" t="s">
        <v>5580</v>
      </c>
      <c r="E147" t="s">
        <v>5579</v>
      </c>
      <c r="F147" s="62">
        <v>5</v>
      </c>
      <c r="H147" s="70">
        <v>7.6139999999999999</v>
      </c>
      <c r="J147" s="69">
        <v>0</v>
      </c>
      <c r="K147" s="68">
        <v>0</v>
      </c>
    </row>
    <row r="148" spans="3:11" x14ac:dyDescent="0.25">
      <c r="C148" t="s">
        <v>5578</v>
      </c>
      <c r="D148" t="s">
        <v>5577</v>
      </c>
      <c r="E148" t="s">
        <v>5576</v>
      </c>
      <c r="F148" s="62">
        <v>5</v>
      </c>
      <c r="H148" s="70">
        <v>52.962000000000003</v>
      </c>
      <c r="J148" s="69">
        <v>0</v>
      </c>
      <c r="K148" s="68">
        <v>0</v>
      </c>
    </row>
    <row r="149" spans="3:11" x14ac:dyDescent="0.25">
      <c r="C149" t="s">
        <v>5575</v>
      </c>
      <c r="D149" t="s">
        <v>5574</v>
      </c>
      <c r="E149" t="s">
        <v>5573</v>
      </c>
      <c r="F149" s="62">
        <v>15</v>
      </c>
      <c r="H149" s="70">
        <v>12.469333000000001</v>
      </c>
      <c r="J149" s="69">
        <v>0</v>
      </c>
      <c r="K149" s="68">
        <v>0</v>
      </c>
    </row>
    <row r="150" spans="3:11" x14ac:dyDescent="0.25">
      <c r="C150" t="s">
        <v>5572</v>
      </c>
      <c r="D150" t="s">
        <v>5571</v>
      </c>
      <c r="E150" t="s">
        <v>5570</v>
      </c>
      <c r="F150" s="62">
        <v>10</v>
      </c>
      <c r="H150" s="70">
        <v>12.468999999999999</v>
      </c>
      <c r="J150" s="69">
        <v>0</v>
      </c>
      <c r="K150" s="68">
        <v>0</v>
      </c>
    </row>
    <row r="151" spans="3:11" x14ac:dyDescent="0.25">
      <c r="C151" t="s">
        <v>5569</v>
      </c>
      <c r="D151" t="s">
        <v>5568</v>
      </c>
      <c r="E151" t="s">
        <v>5567</v>
      </c>
      <c r="F151" s="62">
        <v>10</v>
      </c>
      <c r="H151" s="70">
        <v>12.468999999999999</v>
      </c>
      <c r="J151" s="69">
        <v>0</v>
      </c>
      <c r="K151" s="68">
        <v>0</v>
      </c>
    </row>
    <row r="152" spans="3:11" x14ac:dyDescent="0.25">
      <c r="C152" t="s">
        <v>5566</v>
      </c>
      <c r="D152" t="s">
        <v>5565</v>
      </c>
      <c r="E152" t="s">
        <v>5564</v>
      </c>
      <c r="F152" s="62">
        <v>5</v>
      </c>
      <c r="H152" s="70">
        <v>12.47</v>
      </c>
      <c r="J152" s="69">
        <v>0</v>
      </c>
      <c r="K152" s="68">
        <v>0</v>
      </c>
    </row>
    <row r="153" spans="3:11" x14ac:dyDescent="0.25">
      <c r="C153" t="s">
        <v>5563</v>
      </c>
      <c r="D153" t="s">
        <v>5562</v>
      </c>
      <c r="E153" t="s">
        <v>5561</v>
      </c>
      <c r="F153" s="62">
        <v>1</v>
      </c>
      <c r="H153" s="70">
        <v>3100</v>
      </c>
      <c r="J153" s="69">
        <v>0</v>
      </c>
      <c r="K153" s="68">
        <v>0</v>
      </c>
    </row>
    <row r="154" spans="3:11" x14ac:dyDescent="0.25">
      <c r="C154" t="s">
        <v>5560</v>
      </c>
      <c r="D154" t="s">
        <v>5559</v>
      </c>
      <c r="E154" t="s">
        <v>5558</v>
      </c>
      <c r="F154" s="62">
        <v>5</v>
      </c>
      <c r="H154" s="70">
        <v>68.97</v>
      </c>
      <c r="J154" s="69">
        <v>0</v>
      </c>
      <c r="K154" s="68">
        <v>0</v>
      </c>
    </row>
    <row r="155" spans="3:11" x14ac:dyDescent="0.25">
      <c r="C155" t="s">
        <v>5557</v>
      </c>
      <c r="D155" t="s">
        <v>5556</v>
      </c>
      <c r="E155" t="s">
        <v>5555</v>
      </c>
      <c r="F155" s="62">
        <v>10</v>
      </c>
      <c r="H155" s="70">
        <v>163.804</v>
      </c>
      <c r="J155" s="69">
        <v>0</v>
      </c>
      <c r="K155" s="68">
        <v>0</v>
      </c>
    </row>
    <row r="156" spans="3:11" x14ac:dyDescent="0.25">
      <c r="C156" t="s">
        <v>5554</v>
      </c>
      <c r="D156" t="s">
        <v>5553</v>
      </c>
      <c r="E156" t="s">
        <v>5552</v>
      </c>
      <c r="F156" s="62">
        <v>1</v>
      </c>
      <c r="H156" s="70">
        <v>162</v>
      </c>
      <c r="J156" s="69">
        <v>0</v>
      </c>
      <c r="K156" s="68">
        <v>0</v>
      </c>
    </row>
    <row r="157" spans="3:11" x14ac:dyDescent="0.25">
      <c r="C157" t="s">
        <v>5551</v>
      </c>
      <c r="D157" t="s">
        <v>5550</v>
      </c>
      <c r="E157" t="s">
        <v>5549</v>
      </c>
      <c r="F157" s="62">
        <v>1</v>
      </c>
      <c r="H157" s="70">
        <v>532</v>
      </c>
      <c r="J157" s="69">
        <v>0</v>
      </c>
      <c r="K157" s="68">
        <v>0</v>
      </c>
    </row>
    <row r="158" spans="3:11" x14ac:dyDescent="0.25">
      <c r="C158" t="s">
        <v>5548</v>
      </c>
      <c r="D158" t="s">
        <v>5547</v>
      </c>
      <c r="E158" t="s">
        <v>5546</v>
      </c>
      <c r="F158" s="62">
        <v>2</v>
      </c>
      <c r="H158" s="70">
        <v>233.22</v>
      </c>
      <c r="J158" s="69">
        <v>0</v>
      </c>
      <c r="K158" s="68">
        <v>0</v>
      </c>
    </row>
    <row r="159" spans="3:11" x14ac:dyDescent="0.25">
      <c r="C159" t="s">
        <v>5545</v>
      </c>
      <c r="D159" t="s">
        <v>5544</v>
      </c>
      <c r="E159" t="s">
        <v>5543</v>
      </c>
      <c r="F159" s="62">
        <v>5</v>
      </c>
      <c r="H159" s="70">
        <v>44.88</v>
      </c>
      <c r="J159" s="69">
        <v>0</v>
      </c>
      <c r="K159" s="68">
        <v>0</v>
      </c>
    </row>
    <row r="160" spans="3:11" x14ac:dyDescent="0.25">
      <c r="C160" t="s">
        <v>5542</v>
      </c>
      <c r="D160" t="s">
        <v>5541</v>
      </c>
      <c r="E160" t="s">
        <v>5540</v>
      </c>
      <c r="F160" s="62">
        <v>2</v>
      </c>
      <c r="H160" s="70">
        <v>323</v>
      </c>
      <c r="J160" s="69">
        <v>0</v>
      </c>
      <c r="K160" s="68">
        <v>0</v>
      </c>
    </row>
    <row r="161" spans="1:11" x14ac:dyDescent="0.25">
      <c r="C161" t="s">
        <v>5539</v>
      </c>
      <c r="D161" t="s">
        <v>5538</v>
      </c>
      <c r="E161" t="s">
        <v>5537</v>
      </c>
      <c r="F161" s="62">
        <v>2</v>
      </c>
      <c r="H161" s="70">
        <v>352.45</v>
      </c>
      <c r="J161" s="69">
        <v>0</v>
      </c>
      <c r="K161" s="68">
        <v>0</v>
      </c>
    </row>
    <row r="162" spans="1:11" x14ac:dyDescent="0.25">
      <c r="C162" t="s">
        <v>5536</v>
      </c>
      <c r="D162" t="s">
        <v>5535</v>
      </c>
      <c r="E162" t="s">
        <v>5534</v>
      </c>
      <c r="F162" s="62">
        <v>2</v>
      </c>
      <c r="H162" s="70">
        <v>293.74</v>
      </c>
      <c r="J162" s="69">
        <v>0</v>
      </c>
      <c r="K162" s="68">
        <v>0</v>
      </c>
    </row>
    <row r="163" spans="1:11" x14ac:dyDescent="0.25">
      <c r="C163" t="s">
        <v>5533</v>
      </c>
      <c r="D163" t="s">
        <v>5532</v>
      </c>
      <c r="E163" t="s">
        <v>5531</v>
      </c>
      <c r="F163" s="62">
        <v>2</v>
      </c>
      <c r="H163" s="70">
        <v>432.72</v>
      </c>
      <c r="J163" s="69">
        <v>0</v>
      </c>
      <c r="K163" s="68">
        <v>0</v>
      </c>
    </row>
    <row r="164" spans="1:11" x14ac:dyDescent="0.25">
      <c r="A164">
        <v>702665</v>
      </c>
      <c r="B164" t="s">
        <v>5530</v>
      </c>
      <c r="C164" t="s">
        <v>5529</v>
      </c>
      <c r="D164" t="s">
        <v>5528</v>
      </c>
      <c r="E164" t="s">
        <v>5527</v>
      </c>
      <c r="F164" s="62">
        <v>40</v>
      </c>
      <c r="H164" s="70">
        <v>11.385</v>
      </c>
      <c r="J164" s="69">
        <v>12</v>
      </c>
      <c r="K164" s="68">
        <v>136.62</v>
      </c>
    </row>
    <row r="165" spans="1:11" x14ac:dyDescent="0.25">
      <c r="C165" t="s">
        <v>5526</v>
      </c>
      <c r="D165" t="s">
        <v>5525</v>
      </c>
      <c r="E165" t="s">
        <v>5524</v>
      </c>
      <c r="F165" s="62">
        <v>40</v>
      </c>
      <c r="H165" s="70">
        <v>10.133749999999999</v>
      </c>
      <c r="J165" s="69">
        <v>10</v>
      </c>
      <c r="K165" s="68">
        <v>101.33749999999999</v>
      </c>
    </row>
    <row r="166" spans="1:11" x14ac:dyDescent="0.25">
      <c r="C166" t="s">
        <v>5523</v>
      </c>
      <c r="D166" t="s">
        <v>5522</v>
      </c>
      <c r="E166" t="s">
        <v>5521</v>
      </c>
      <c r="F166" s="62">
        <v>20</v>
      </c>
      <c r="H166" s="70">
        <v>31.13</v>
      </c>
      <c r="J166" s="69">
        <v>10</v>
      </c>
      <c r="K166" s="68">
        <v>311.3</v>
      </c>
    </row>
    <row r="167" spans="1:11" x14ac:dyDescent="0.25">
      <c r="C167" t="s">
        <v>5520</v>
      </c>
      <c r="D167" t="s">
        <v>5519</v>
      </c>
      <c r="E167" t="s">
        <v>5518</v>
      </c>
      <c r="F167" s="62">
        <v>40</v>
      </c>
      <c r="H167" s="70">
        <v>19.806999999999999</v>
      </c>
      <c r="J167" s="69">
        <v>12</v>
      </c>
      <c r="K167" s="68">
        <v>237.68399999999997</v>
      </c>
    </row>
    <row r="168" spans="1:11" x14ac:dyDescent="0.25">
      <c r="C168" t="s">
        <v>5517</v>
      </c>
      <c r="D168" t="s">
        <v>5516</v>
      </c>
      <c r="E168" t="s">
        <v>5515</v>
      </c>
      <c r="F168" s="62">
        <v>40</v>
      </c>
      <c r="H168" s="70">
        <v>26.269749999999998</v>
      </c>
      <c r="J168" s="69">
        <v>8</v>
      </c>
      <c r="K168" s="68">
        <v>210.15799999999999</v>
      </c>
    </row>
    <row r="169" spans="1:11" x14ac:dyDescent="0.25">
      <c r="C169" t="s">
        <v>5514</v>
      </c>
      <c r="D169" t="s">
        <v>5513</v>
      </c>
      <c r="E169" t="s">
        <v>5459</v>
      </c>
      <c r="F169" s="62">
        <v>1</v>
      </c>
      <c r="H169" s="70">
        <v>81.02</v>
      </c>
      <c r="J169" s="69">
        <v>0</v>
      </c>
      <c r="K169" s="68">
        <v>0</v>
      </c>
    </row>
    <row r="170" spans="1:11" x14ac:dyDescent="0.25">
      <c r="C170" t="s">
        <v>5512</v>
      </c>
      <c r="D170" t="s">
        <v>5511</v>
      </c>
      <c r="E170" t="s">
        <v>5510</v>
      </c>
      <c r="F170" s="62">
        <v>30</v>
      </c>
      <c r="H170" s="70">
        <v>28.54</v>
      </c>
      <c r="J170" s="69">
        <v>20</v>
      </c>
      <c r="K170" s="68">
        <v>570.79999999999995</v>
      </c>
    </row>
    <row r="171" spans="1:11" x14ac:dyDescent="0.25">
      <c r="A171">
        <v>767415</v>
      </c>
      <c r="B171" t="s">
        <v>5509</v>
      </c>
      <c r="C171" t="s">
        <v>5508</v>
      </c>
      <c r="D171" t="s">
        <v>5477</v>
      </c>
      <c r="E171" t="s">
        <v>5459</v>
      </c>
      <c r="F171" s="62">
        <v>1</v>
      </c>
      <c r="H171" s="70">
        <v>564.29906500000004</v>
      </c>
      <c r="J171" s="69">
        <v>0</v>
      </c>
      <c r="K171" s="68">
        <v>0</v>
      </c>
    </row>
    <row r="172" spans="1:11" x14ac:dyDescent="0.25">
      <c r="C172" t="s">
        <v>5507</v>
      </c>
      <c r="D172" t="s">
        <v>5506</v>
      </c>
      <c r="E172" t="s">
        <v>5505</v>
      </c>
      <c r="F172" s="62">
        <v>2</v>
      </c>
      <c r="H172" s="70">
        <v>14.53</v>
      </c>
      <c r="J172" s="69">
        <v>1</v>
      </c>
      <c r="K172" s="68">
        <v>14.53</v>
      </c>
    </row>
    <row r="173" spans="1:11" x14ac:dyDescent="0.25">
      <c r="C173" t="s">
        <v>5504</v>
      </c>
      <c r="D173" t="s">
        <v>5503</v>
      </c>
      <c r="E173" t="s">
        <v>5502</v>
      </c>
      <c r="F173" s="62">
        <v>100</v>
      </c>
      <c r="H173" s="70">
        <v>1.47</v>
      </c>
      <c r="J173" s="69"/>
      <c r="K173" s="68">
        <v>0</v>
      </c>
    </row>
    <row r="174" spans="1:11" x14ac:dyDescent="0.25">
      <c r="C174" t="s">
        <v>5501</v>
      </c>
      <c r="D174" t="s">
        <v>5500</v>
      </c>
      <c r="E174" t="s">
        <v>5499</v>
      </c>
      <c r="F174" s="62">
        <v>6</v>
      </c>
      <c r="H174" s="70">
        <v>18.02</v>
      </c>
      <c r="J174" s="69"/>
      <c r="K174" s="68">
        <v>0</v>
      </c>
    </row>
    <row r="175" spans="1:11" x14ac:dyDescent="0.25">
      <c r="C175" t="s">
        <v>5498</v>
      </c>
      <c r="D175" t="s">
        <v>5497</v>
      </c>
      <c r="E175" t="s">
        <v>5496</v>
      </c>
      <c r="F175" s="62">
        <v>6</v>
      </c>
      <c r="H175" s="70">
        <v>18.02</v>
      </c>
      <c r="J175" s="69"/>
      <c r="K175" s="68">
        <v>0</v>
      </c>
    </row>
    <row r="176" spans="1:11" x14ac:dyDescent="0.25">
      <c r="C176" t="s">
        <v>5495</v>
      </c>
      <c r="D176" t="s">
        <v>5494</v>
      </c>
      <c r="E176" t="s">
        <v>5493</v>
      </c>
      <c r="F176" s="62">
        <v>28</v>
      </c>
      <c r="H176" s="70">
        <v>17.649999999999999</v>
      </c>
      <c r="J176" s="69"/>
      <c r="K176" s="68">
        <v>0</v>
      </c>
    </row>
    <row r="177" spans="1:11" x14ac:dyDescent="0.25">
      <c r="C177" t="s">
        <v>5492</v>
      </c>
      <c r="D177" t="s">
        <v>5491</v>
      </c>
      <c r="E177" t="s">
        <v>5490</v>
      </c>
      <c r="F177" s="62">
        <v>45.5</v>
      </c>
      <c r="H177" s="70">
        <v>71.910110000000003</v>
      </c>
      <c r="J177" s="69"/>
      <c r="K177" s="68">
        <v>0</v>
      </c>
    </row>
    <row r="178" spans="1:11" x14ac:dyDescent="0.25">
      <c r="A178">
        <v>755799</v>
      </c>
      <c r="B178" t="s">
        <v>5489</v>
      </c>
      <c r="C178" t="s">
        <v>5488</v>
      </c>
      <c r="D178" t="s">
        <v>5487</v>
      </c>
      <c r="E178" t="s">
        <v>5486</v>
      </c>
      <c r="F178" s="62">
        <v>3</v>
      </c>
      <c r="H178" s="70">
        <v>674.98</v>
      </c>
      <c r="J178" s="69">
        <v>1</v>
      </c>
      <c r="K178" s="68">
        <v>674.98</v>
      </c>
    </row>
    <row r="179" spans="1:11" x14ac:dyDescent="0.25">
      <c r="C179" t="s">
        <v>5485</v>
      </c>
      <c r="D179" t="s">
        <v>5460</v>
      </c>
      <c r="E179" t="s">
        <v>5459</v>
      </c>
      <c r="F179" s="62">
        <v>1</v>
      </c>
      <c r="H179" s="70">
        <v>221.39</v>
      </c>
      <c r="J179" s="69">
        <v>0</v>
      </c>
      <c r="K179" s="68">
        <v>0</v>
      </c>
    </row>
    <row r="180" spans="1:11" x14ac:dyDescent="0.25">
      <c r="C180" t="s">
        <v>5484</v>
      </c>
      <c r="D180" t="s">
        <v>5483</v>
      </c>
      <c r="E180" t="s">
        <v>5482</v>
      </c>
      <c r="F180" s="62">
        <v>2</v>
      </c>
      <c r="H180" s="70">
        <v>953.79</v>
      </c>
      <c r="J180" s="69">
        <v>0</v>
      </c>
      <c r="K180" s="68">
        <v>0</v>
      </c>
    </row>
    <row r="181" spans="1:11" x14ac:dyDescent="0.25">
      <c r="C181" t="s">
        <v>5481</v>
      </c>
      <c r="D181" t="s">
        <v>5480</v>
      </c>
      <c r="E181" t="s">
        <v>5479</v>
      </c>
      <c r="F181" s="62">
        <v>1</v>
      </c>
      <c r="H181" s="70">
        <v>40.11</v>
      </c>
      <c r="J181" s="69">
        <v>0</v>
      </c>
      <c r="K181" s="68">
        <v>0</v>
      </c>
    </row>
    <row r="182" spans="1:11" x14ac:dyDescent="0.25">
      <c r="C182" t="s">
        <v>5478</v>
      </c>
      <c r="D182" t="s">
        <v>5477</v>
      </c>
      <c r="E182" t="s">
        <v>5459</v>
      </c>
      <c r="F182" s="62">
        <v>1</v>
      </c>
      <c r="H182" s="70">
        <v>183.6</v>
      </c>
      <c r="J182" s="69">
        <v>0</v>
      </c>
      <c r="K182" s="68">
        <v>0</v>
      </c>
    </row>
    <row r="183" spans="1:11" x14ac:dyDescent="0.25">
      <c r="C183" t="s">
        <v>5476</v>
      </c>
      <c r="D183" t="s">
        <v>5475</v>
      </c>
      <c r="E183" t="s">
        <v>5474</v>
      </c>
      <c r="F183" s="62">
        <v>2</v>
      </c>
      <c r="H183" s="70">
        <v>211.69499999999999</v>
      </c>
      <c r="J183" s="69">
        <v>0</v>
      </c>
      <c r="K183" s="68">
        <v>0</v>
      </c>
    </row>
    <row r="184" spans="1:11" x14ac:dyDescent="0.25">
      <c r="C184" t="s">
        <v>5473</v>
      </c>
      <c r="D184" t="s">
        <v>5472</v>
      </c>
      <c r="E184" t="s">
        <v>5471</v>
      </c>
      <c r="F184" s="62">
        <v>10</v>
      </c>
      <c r="H184" s="70">
        <v>0.8</v>
      </c>
      <c r="J184" s="69">
        <v>0</v>
      </c>
      <c r="K184" s="68">
        <v>0</v>
      </c>
    </row>
    <row r="185" spans="1:11" x14ac:dyDescent="0.25">
      <c r="C185" t="s">
        <v>5470</v>
      </c>
      <c r="D185" t="s">
        <v>3160</v>
      </c>
      <c r="E185" t="s">
        <v>3159</v>
      </c>
      <c r="F185" s="62">
        <v>2</v>
      </c>
      <c r="H185" s="70">
        <v>8756.1200000000008</v>
      </c>
      <c r="J185" s="69">
        <v>0</v>
      </c>
      <c r="K185" s="68">
        <v>0</v>
      </c>
    </row>
    <row r="186" spans="1:11" x14ac:dyDescent="0.25">
      <c r="A186">
        <v>756744</v>
      </c>
      <c r="B186" t="s">
        <v>5469</v>
      </c>
      <c r="C186" t="s">
        <v>5468</v>
      </c>
      <c r="D186" t="s">
        <v>5467</v>
      </c>
      <c r="E186" t="s">
        <v>5466</v>
      </c>
      <c r="F186" s="62">
        <v>4</v>
      </c>
      <c r="H186" s="70">
        <v>395</v>
      </c>
      <c r="J186" s="69">
        <v>1</v>
      </c>
      <c r="K186" s="68">
        <v>395</v>
      </c>
    </row>
    <row r="187" spans="1:11" x14ac:dyDescent="0.25">
      <c r="C187" t="s">
        <v>5465</v>
      </c>
      <c r="D187" t="s">
        <v>5464</v>
      </c>
      <c r="E187" t="s">
        <v>5463</v>
      </c>
      <c r="F187" s="62">
        <v>4</v>
      </c>
      <c r="H187" s="70">
        <v>420</v>
      </c>
      <c r="J187" s="69">
        <v>1</v>
      </c>
      <c r="K187" s="68">
        <v>420</v>
      </c>
    </row>
    <row r="188" spans="1:11" x14ac:dyDescent="0.25">
      <c r="C188" t="s">
        <v>5462</v>
      </c>
      <c r="D188" t="s">
        <v>4683</v>
      </c>
      <c r="E188" t="s">
        <v>4682</v>
      </c>
      <c r="F188" s="62">
        <v>4</v>
      </c>
      <c r="H188" s="70">
        <v>420</v>
      </c>
      <c r="J188" s="69">
        <v>1</v>
      </c>
      <c r="K188" s="68">
        <v>420</v>
      </c>
    </row>
    <row r="189" spans="1:11" x14ac:dyDescent="0.25">
      <c r="C189" t="s">
        <v>5461</v>
      </c>
      <c r="D189" t="s">
        <v>5460</v>
      </c>
      <c r="E189" t="s">
        <v>5459</v>
      </c>
      <c r="F189" s="62">
        <v>1</v>
      </c>
      <c r="H189" s="70">
        <v>159.4</v>
      </c>
      <c r="J189" s="69">
        <v>0</v>
      </c>
      <c r="K189" s="68">
        <v>0</v>
      </c>
    </row>
    <row r="190" spans="1:11" x14ac:dyDescent="0.25">
      <c r="C190" t="s">
        <v>5458</v>
      </c>
      <c r="D190" t="s">
        <v>5078</v>
      </c>
      <c r="E190" t="s">
        <v>5077</v>
      </c>
      <c r="F190" s="62">
        <v>852</v>
      </c>
      <c r="H190" s="70">
        <v>1.63</v>
      </c>
      <c r="J190" s="69">
        <v>0</v>
      </c>
      <c r="K190" s="68">
        <v>0</v>
      </c>
    </row>
    <row r="191" spans="1:11" x14ac:dyDescent="0.25">
      <c r="C191" t="s">
        <v>5457</v>
      </c>
      <c r="D191" t="s">
        <v>5456</v>
      </c>
      <c r="E191" t="s">
        <v>5455</v>
      </c>
      <c r="F191" s="62">
        <v>142</v>
      </c>
      <c r="H191" s="70">
        <v>3.8</v>
      </c>
      <c r="J191" s="69">
        <v>0</v>
      </c>
      <c r="K191" s="68">
        <v>0</v>
      </c>
    </row>
    <row r="192" spans="1:11" x14ac:dyDescent="0.25">
      <c r="A192">
        <v>763727</v>
      </c>
      <c r="B192" t="s">
        <v>5454</v>
      </c>
      <c r="C192" t="s">
        <v>5453</v>
      </c>
      <c r="D192" t="s">
        <v>5452</v>
      </c>
      <c r="E192" t="s">
        <v>5451</v>
      </c>
      <c r="F192" s="62">
        <v>10</v>
      </c>
      <c r="H192" s="70">
        <v>71.150000000000006</v>
      </c>
      <c r="J192" s="69">
        <v>0</v>
      </c>
      <c r="K192" s="68">
        <v>0</v>
      </c>
    </row>
    <row r="193" spans="3:11" x14ac:dyDescent="0.25">
      <c r="C193" t="s">
        <v>5450</v>
      </c>
      <c r="D193" t="s">
        <v>5449</v>
      </c>
      <c r="E193" t="s">
        <v>5448</v>
      </c>
      <c r="F193" s="62">
        <v>10</v>
      </c>
      <c r="H193" s="70">
        <v>71.150000000000006</v>
      </c>
      <c r="J193" s="69">
        <v>0</v>
      </c>
      <c r="K193" s="68">
        <v>0</v>
      </c>
    </row>
    <row r="194" spans="3:11" x14ac:dyDescent="0.25">
      <c r="C194" t="s">
        <v>5447</v>
      </c>
      <c r="D194" t="s">
        <v>5446</v>
      </c>
      <c r="E194" t="s">
        <v>5445</v>
      </c>
      <c r="F194" s="62">
        <v>6</v>
      </c>
      <c r="H194" s="70">
        <v>71.183333000000005</v>
      </c>
      <c r="J194" s="69">
        <v>0</v>
      </c>
      <c r="K194" s="68">
        <v>0</v>
      </c>
    </row>
    <row r="195" spans="3:11" x14ac:dyDescent="0.25">
      <c r="C195" t="s">
        <v>5444</v>
      </c>
      <c r="D195" t="s">
        <v>5443</v>
      </c>
      <c r="E195" t="s">
        <v>5442</v>
      </c>
      <c r="F195" s="62">
        <v>5</v>
      </c>
      <c r="H195" s="70">
        <v>23.49</v>
      </c>
      <c r="J195" s="69">
        <v>0</v>
      </c>
      <c r="K195" s="68">
        <v>0</v>
      </c>
    </row>
    <row r="196" spans="3:11" x14ac:dyDescent="0.25">
      <c r="C196" t="s">
        <v>5441</v>
      </c>
      <c r="D196" t="s">
        <v>5440</v>
      </c>
      <c r="E196" t="s">
        <v>5439</v>
      </c>
      <c r="F196" s="62">
        <v>440</v>
      </c>
      <c r="H196" s="70">
        <v>0.55100000000000005</v>
      </c>
      <c r="J196" s="69">
        <v>0</v>
      </c>
      <c r="K196" s="68">
        <v>0</v>
      </c>
    </row>
    <row r="197" spans="3:11" x14ac:dyDescent="0.25">
      <c r="C197" t="s">
        <v>5438</v>
      </c>
      <c r="D197" t="s">
        <v>5437</v>
      </c>
      <c r="E197" t="s">
        <v>5436</v>
      </c>
      <c r="F197" s="62">
        <v>11</v>
      </c>
      <c r="H197" s="70">
        <v>15.192</v>
      </c>
      <c r="J197" s="69">
        <v>0</v>
      </c>
      <c r="K197" s="68">
        <v>0</v>
      </c>
    </row>
    <row r="198" spans="3:11" x14ac:dyDescent="0.25">
      <c r="C198" t="s">
        <v>5435</v>
      </c>
      <c r="D198" t="s">
        <v>5434</v>
      </c>
      <c r="E198" t="s">
        <v>5433</v>
      </c>
      <c r="F198" s="62">
        <v>20</v>
      </c>
      <c r="H198" s="70">
        <v>2.5049999999999999</v>
      </c>
      <c r="J198" s="69">
        <v>0</v>
      </c>
      <c r="K198" s="68">
        <v>0</v>
      </c>
    </row>
    <row r="199" spans="3:11" x14ac:dyDescent="0.25">
      <c r="C199" t="s">
        <v>5432</v>
      </c>
      <c r="D199" t="s">
        <v>5431</v>
      </c>
      <c r="E199" t="s">
        <v>5430</v>
      </c>
      <c r="F199" s="62">
        <v>20</v>
      </c>
      <c r="H199" s="70">
        <v>25.05</v>
      </c>
      <c r="J199" s="69">
        <v>0</v>
      </c>
      <c r="K199" s="68">
        <v>0</v>
      </c>
    </row>
    <row r="200" spans="3:11" x14ac:dyDescent="0.25">
      <c r="C200" t="s">
        <v>5429</v>
      </c>
      <c r="D200" t="s">
        <v>5428</v>
      </c>
      <c r="E200" t="s">
        <v>5427</v>
      </c>
      <c r="F200" s="62">
        <v>20</v>
      </c>
      <c r="H200" s="70">
        <v>7.75</v>
      </c>
      <c r="J200" s="69">
        <v>0</v>
      </c>
      <c r="K200" s="68">
        <v>0</v>
      </c>
    </row>
    <row r="201" spans="3:11" x14ac:dyDescent="0.25">
      <c r="C201" t="s">
        <v>5426</v>
      </c>
      <c r="D201" t="s">
        <v>5425</v>
      </c>
      <c r="E201" t="s">
        <v>5424</v>
      </c>
      <c r="F201" s="62">
        <v>20</v>
      </c>
      <c r="H201" s="70">
        <v>3.73</v>
      </c>
      <c r="J201" s="69">
        <v>0</v>
      </c>
      <c r="K201" s="68">
        <v>0</v>
      </c>
    </row>
    <row r="202" spans="3:11" x14ac:dyDescent="0.25">
      <c r="C202" t="s">
        <v>5423</v>
      </c>
      <c r="D202" t="s">
        <v>5422</v>
      </c>
      <c r="E202" t="s">
        <v>5421</v>
      </c>
      <c r="F202" s="62">
        <v>50</v>
      </c>
      <c r="H202" s="70">
        <v>149.56</v>
      </c>
      <c r="J202" s="69">
        <v>0</v>
      </c>
      <c r="K202" s="68">
        <v>0</v>
      </c>
    </row>
    <row r="203" spans="3:11" x14ac:dyDescent="0.25">
      <c r="C203" t="s">
        <v>5420</v>
      </c>
      <c r="D203" t="s">
        <v>5419</v>
      </c>
      <c r="E203" t="s">
        <v>5418</v>
      </c>
      <c r="F203" s="62">
        <v>4</v>
      </c>
      <c r="H203" s="70">
        <v>17.954999999999998</v>
      </c>
      <c r="J203" s="69">
        <v>0</v>
      </c>
      <c r="K203" s="68">
        <v>0</v>
      </c>
    </row>
    <row r="204" spans="3:11" x14ac:dyDescent="0.25">
      <c r="C204" t="s">
        <v>5417</v>
      </c>
      <c r="D204" t="s">
        <v>5416</v>
      </c>
      <c r="E204" t="s">
        <v>5415</v>
      </c>
      <c r="F204" s="62">
        <v>20</v>
      </c>
      <c r="H204" s="70">
        <v>6.3254999999999999</v>
      </c>
      <c r="J204" s="69">
        <v>0</v>
      </c>
      <c r="K204" s="68">
        <v>0</v>
      </c>
    </row>
    <row r="205" spans="3:11" x14ac:dyDescent="0.25">
      <c r="C205" t="s">
        <v>5414</v>
      </c>
      <c r="D205" t="s">
        <v>5413</v>
      </c>
      <c r="E205" t="s">
        <v>5412</v>
      </c>
      <c r="F205" s="62">
        <v>1</v>
      </c>
      <c r="H205" s="70">
        <v>43.68</v>
      </c>
      <c r="J205" s="69">
        <v>0</v>
      </c>
      <c r="K205" s="68">
        <v>0</v>
      </c>
    </row>
    <row r="206" spans="3:11" x14ac:dyDescent="0.25">
      <c r="C206" t="s">
        <v>5411</v>
      </c>
      <c r="D206" t="s">
        <v>4689</v>
      </c>
      <c r="E206" t="s">
        <v>4688</v>
      </c>
      <c r="F206" s="62">
        <v>1</v>
      </c>
      <c r="H206" s="70">
        <v>71.150000000000006</v>
      </c>
      <c r="J206" s="69">
        <v>0</v>
      </c>
      <c r="K206" s="68">
        <v>0</v>
      </c>
    </row>
    <row r="207" spans="3:11" x14ac:dyDescent="0.25">
      <c r="C207" t="s">
        <v>5410</v>
      </c>
      <c r="D207" t="s">
        <v>5409</v>
      </c>
      <c r="E207" t="s">
        <v>5408</v>
      </c>
      <c r="F207" s="62">
        <v>30</v>
      </c>
      <c r="H207" s="70">
        <v>155.33000000000001</v>
      </c>
      <c r="J207" s="69">
        <v>0</v>
      </c>
      <c r="K207" s="68">
        <v>0</v>
      </c>
    </row>
    <row r="208" spans="3:11" x14ac:dyDescent="0.25">
      <c r="C208" t="s">
        <v>5407</v>
      </c>
      <c r="D208" t="s">
        <v>5406</v>
      </c>
      <c r="E208" t="s">
        <v>5405</v>
      </c>
      <c r="F208" s="62">
        <v>4</v>
      </c>
      <c r="H208" s="70">
        <v>3.65</v>
      </c>
      <c r="J208" s="69">
        <v>0</v>
      </c>
      <c r="K208" s="68">
        <v>0</v>
      </c>
    </row>
    <row r="209" spans="3:11" x14ac:dyDescent="0.25">
      <c r="C209" t="s">
        <v>5404</v>
      </c>
      <c r="D209" t="s">
        <v>5403</v>
      </c>
      <c r="E209" t="s">
        <v>5402</v>
      </c>
      <c r="F209" s="62">
        <v>3</v>
      </c>
      <c r="H209" s="70">
        <v>2.8966669999999999</v>
      </c>
      <c r="J209" s="69">
        <v>0</v>
      </c>
      <c r="K209" s="68">
        <v>0</v>
      </c>
    </row>
    <row r="210" spans="3:11" x14ac:dyDescent="0.25">
      <c r="C210" t="s">
        <v>5401</v>
      </c>
      <c r="D210" t="s">
        <v>5400</v>
      </c>
      <c r="E210" t="s">
        <v>5399</v>
      </c>
      <c r="F210" s="62">
        <v>20</v>
      </c>
      <c r="H210" s="70">
        <v>3.1349999999999998</v>
      </c>
      <c r="J210" s="69">
        <v>0</v>
      </c>
      <c r="K210" s="68">
        <v>0</v>
      </c>
    </row>
    <row r="211" spans="3:11" x14ac:dyDescent="0.25">
      <c r="C211" t="s">
        <v>5398</v>
      </c>
      <c r="D211" t="s">
        <v>5397</v>
      </c>
      <c r="E211" t="s">
        <v>5396</v>
      </c>
      <c r="F211" s="62">
        <v>80</v>
      </c>
      <c r="H211" s="70">
        <v>7.1633329999999997</v>
      </c>
      <c r="J211" s="69">
        <v>0</v>
      </c>
      <c r="K211" s="68">
        <v>0</v>
      </c>
    </row>
    <row r="212" spans="3:11" x14ac:dyDescent="0.25">
      <c r="C212" t="s">
        <v>5395</v>
      </c>
      <c r="D212" t="s">
        <v>5394</v>
      </c>
      <c r="E212" t="s">
        <v>5393</v>
      </c>
      <c r="F212" s="62">
        <v>6</v>
      </c>
      <c r="H212" s="70">
        <v>14.93</v>
      </c>
      <c r="J212" s="69">
        <v>0</v>
      </c>
      <c r="K212" s="68">
        <v>0</v>
      </c>
    </row>
    <row r="213" spans="3:11" x14ac:dyDescent="0.25">
      <c r="C213" t="s">
        <v>5392</v>
      </c>
      <c r="D213" t="s">
        <v>5391</v>
      </c>
      <c r="E213" t="s">
        <v>5390</v>
      </c>
      <c r="F213" s="62">
        <v>30</v>
      </c>
      <c r="H213" s="70">
        <v>14.25</v>
      </c>
      <c r="J213" s="69">
        <v>0</v>
      </c>
      <c r="K213" s="68">
        <v>0</v>
      </c>
    </row>
    <row r="214" spans="3:11" x14ac:dyDescent="0.25">
      <c r="C214" t="s">
        <v>5389</v>
      </c>
      <c r="D214" t="s">
        <v>5388</v>
      </c>
      <c r="E214" t="s">
        <v>5387</v>
      </c>
      <c r="F214" s="62">
        <v>6</v>
      </c>
      <c r="H214" s="70">
        <v>71.105000000000004</v>
      </c>
      <c r="J214" s="69">
        <v>0</v>
      </c>
      <c r="K214" s="68">
        <v>0</v>
      </c>
    </row>
    <row r="215" spans="3:11" x14ac:dyDescent="0.25">
      <c r="C215" t="s">
        <v>5386</v>
      </c>
      <c r="D215" t="s">
        <v>5385</v>
      </c>
      <c r="E215" t="s">
        <v>5384</v>
      </c>
      <c r="F215" s="62">
        <v>3</v>
      </c>
      <c r="H215" s="70">
        <v>77.900000000000006</v>
      </c>
      <c r="J215" s="69">
        <v>0</v>
      </c>
      <c r="K215" s="68">
        <v>0</v>
      </c>
    </row>
    <row r="216" spans="3:11" x14ac:dyDescent="0.25">
      <c r="C216" t="s">
        <v>5383</v>
      </c>
      <c r="D216" t="s">
        <v>5382</v>
      </c>
      <c r="E216" t="s">
        <v>5381</v>
      </c>
      <c r="F216" s="62">
        <v>4</v>
      </c>
      <c r="H216" s="70">
        <v>71.157499999999999</v>
      </c>
      <c r="J216" s="69">
        <v>0</v>
      </c>
      <c r="K216" s="68">
        <v>0</v>
      </c>
    </row>
    <row r="217" spans="3:11" x14ac:dyDescent="0.25">
      <c r="C217" t="s">
        <v>5380</v>
      </c>
      <c r="D217" t="s">
        <v>5379</v>
      </c>
      <c r="E217" t="s">
        <v>5378</v>
      </c>
      <c r="F217" s="62">
        <v>10</v>
      </c>
      <c r="H217" s="70">
        <v>25.555</v>
      </c>
      <c r="J217" s="69">
        <v>0</v>
      </c>
      <c r="K217" s="68">
        <v>0</v>
      </c>
    </row>
    <row r="218" spans="3:11" x14ac:dyDescent="0.25">
      <c r="C218" t="s">
        <v>5377</v>
      </c>
      <c r="D218" t="s">
        <v>5376</v>
      </c>
      <c r="E218" t="s">
        <v>5375</v>
      </c>
      <c r="F218" s="62">
        <v>8</v>
      </c>
      <c r="H218" s="70">
        <v>71.155000000000001</v>
      </c>
      <c r="J218" s="69">
        <v>0</v>
      </c>
      <c r="K218" s="68">
        <v>0</v>
      </c>
    </row>
    <row r="219" spans="3:11" x14ac:dyDescent="0.25">
      <c r="C219" t="s">
        <v>5374</v>
      </c>
      <c r="D219" t="s">
        <v>5373</v>
      </c>
      <c r="E219" t="s">
        <v>5372</v>
      </c>
      <c r="F219" s="62">
        <v>3</v>
      </c>
      <c r="H219" s="70">
        <v>52.79</v>
      </c>
      <c r="J219" s="69">
        <v>0</v>
      </c>
      <c r="K219" s="68">
        <v>0</v>
      </c>
    </row>
    <row r="220" spans="3:11" x14ac:dyDescent="0.25">
      <c r="C220" t="s">
        <v>5371</v>
      </c>
      <c r="D220" t="s">
        <v>5370</v>
      </c>
      <c r="E220" t="s">
        <v>5369</v>
      </c>
      <c r="F220" s="62">
        <v>10</v>
      </c>
      <c r="H220" s="70">
        <v>1.7290000000000001</v>
      </c>
      <c r="J220" s="69">
        <v>0</v>
      </c>
      <c r="K220" s="68">
        <v>0</v>
      </c>
    </row>
    <row r="221" spans="3:11" x14ac:dyDescent="0.25">
      <c r="C221" t="s">
        <v>5368</v>
      </c>
      <c r="D221" t="s">
        <v>5367</v>
      </c>
      <c r="E221" t="s">
        <v>5366</v>
      </c>
      <c r="F221" s="62">
        <v>40</v>
      </c>
      <c r="H221" s="70">
        <v>3.42</v>
      </c>
      <c r="J221" s="69">
        <v>0</v>
      </c>
      <c r="K221" s="68">
        <v>0</v>
      </c>
    </row>
    <row r="222" spans="3:11" x14ac:dyDescent="0.25">
      <c r="C222" t="s">
        <v>5365</v>
      </c>
      <c r="D222" t="s">
        <v>5364</v>
      </c>
      <c r="E222" t="s">
        <v>5363</v>
      </c>
      <c r="F222" s="62">
        <v>10</v>
      </c>
      <c r="H222" s="70">
        <v>19.513000000000002</v>
      </c>
      <c r="J222" s="69">
        <v>0</v>
      </c>
      <c r="K222" s="68">
        <v>0</v>
      </c>
    </row>
    <row r="223" spans="3:11" x14ac:dyDescent="0.25">
      <c r="C223" t="s">
        <v>5362</v>
      </c>
      <c r="D223" t="s">
        <v>5361</v>
      </c>
      <c r="E223" t="s">
        <v>5360</v>
      </c>
      <c r="F223" s="62">
        <v>18</v>
      </c>
      <c r="H223" s="70">
        <v>11.685</v>
      </c>
      <c r="J223" s="69">
        <v>0</v>
      </c>
      <c r="K223" s="68">
        <v>0</v>
      </c>
    </row>
    <row r="224" spans="3:11" x14ac:dyDescent="0.25">
      <c r="C224" t="s">
        <v>5359</v>
      </c>
      <c r="D224" t="s">
        <v>5358</v>
      </c>
      <c r="E224" t="s">
        <v>5357</v>
      </c>
      <c r="F224" s="62">
        <v>3</v>
      </c>
      <c r="H224" s="70">
        <v>4.74</v>
      </c>
      <c r="J224" s="69">
        <v>0</v>
      </c>
      <c r="K224" s="68">
        <v>0</v>
      </c>
    </row>
    <row r="225" spans="3:11" x14ac:dyDescent="0.25">
      <c r="C225" t="s">
        <v>5356</v>
      </c>
      <c r="D225" t="s">
        <v>5355</v>
      </c>
      <c r="E225" t="s">
        <v>5354</v>
      </c>
      <c r="F225" s="62">
        <v>12</v>
      </c>
      <c r="H225" s="70">
        <v>3.6475</v>
      </c>
      <c r="J225" s="69">
        <v>0</v>
      </c>
      <c r="K225" s="68">
        <v>0</v>
      </c>
    </row>
    <row r="226" spans="3:11" x14ac:dyDescent="0.25">
      <c r="C226" t="s">
        <v>5353</v>
      </c>
      <c r="D226" t="s">
        <v>5352</v>
      </c>
      <c r="E226" t="s">
        <v>5351</v>
      </c>
      <c r="F226" s="62">
        <v>1</v>
      </c>
      <c r="H226" s="70">
        <v>55.01</v>
      </c>
      <c r="J226" s="69">
        <v>0</v>
      </c>
      <c r="K226" s="68">
        <v>0</v>
      </c>
    </row>
    <row r="227" spans="3:11" x14ac:dyDescent="0.25">
      <c r="C227" t="s">
        <v>5350</v>
      </c>
      <c r="D227" t="s">
        <v>5349</v>
      </c>
      <c r="E227" t="s">
        <v>5348</v>
      </c>
      <c r="F227" s="62">
        <v>1</v>
      </c>
      <c r="H227" s="70">
        <v>1.54</v>
      </c>
      <c r="J227" s="69">
        <v>0</v>
      </c>
      <c r="K227" s="68">
        <v>0</v>
      </c>
    </row>
    <row r="228" spans="3:11" x14ac:dyDescent="0.25">
      <c r="C228" t="s">
        <v>5347</v>
      </c>
      <c r="D228" t="s">
        <v>5346</v>
      </c>
      <c r="E228" t="s">
        <v>5345</v>
      </c>
      <c r="F228" s="62">
        <v>2</v>
      </c>
      <c r="H228" s="70">
        <v>2.7549999999999999</v>
      </c>
      <c r="J228" s="69">
        <v>0</v>
      </c>
      <c r="K228" s="68">
        <v>0</v>
      </c>
    </row>
    <row r="229" spans="3:11" x14ac:dyDescent="0.25">
      <c r="C229" t="s">
        <v>5344</v>
      </c>
      <c r="D229" t="s">
        <v>5343</v>
      </c>
      <c r="E229" t="s">
        <v>5342</v>
      </c>
      <c r="F229" s="62">
        <v>15</v>
      </c>
      <c r="H229" s="70">
        <v>2.1280000000000001</v>
      </c>
      <c r="J229" s="69">
        <v>0</v>
      </c>
      <c r="K229" s="68">
        <v>0</v>
      </c>
    </row>
    <row r="230" spans="3:11" x14ac:dyDescent="0.25">
      <c r="C230" t="s">
        <v>5341</v>
      </c>
      <c r="D230" t="s">
        <v>5340</v>
      </c>
      <c r="E230" t="s">
        <v>5339</v>
      </c>
      <c r="F230" s="62">
        <v>30</v>
      </c>
      <c r="H230" s="70">
        <v>3.1349999999999998</v>
      </c>
      <c r="J230" s="69">
        <v>0</v>
      </c>
      <c r="K230" s="68">
        <v>0</v>
      </c>
    </row>
    <row r="231" spans="3:11" x14ac:dyDescent="0.25">
      <c r="C231" t="s">
        <v>5338</v>
      </c>
      <c r="D231" t="s">
        <v>5337</v>
      </c>
      <c r="E231" t="s">
        <v>5336</v>
      </c>
      <c r="F231" s="62">
        <v>6</v>
      </c>
      <c r="H231" s="70">
        <v>4.6550000000000002</v>
      </c>
      <c r="J231" s="69">
        <v>0</v>
      </c>
      <c r="K231" s="68">
        <v>0</v>
      </c>
    </row>
    <row r="232" spans="3:11" x14ac:dyDescent="0.25">
      <c r="C232" t="s">
        <v>5335</v>
      </c>
      <c r="D232" t="s">
        <v>5334</v>
      </c>
      <c r="E232" t="s">
        <v>5333</v>
      </c>
      <c r="F232" s="62">
        <v>7</v>
      </c>
      <c r="H232" s="70">
        <v>5.41</v>
      </c>
      <c r="J232" s="69">
        <v>0</v>
      </c>
      <c r="K232" s="68">
        <v>0</v>
      </c>
    </row>
    <row r="233" spans="3:11" x14ac:dyDescent="0.25">
      <c r="C233" t="s">
        <v>5332</v>
      </c>
      <c r="D233" t="s">
        <v>5331</v>
      </c>
      <c r="E233" t="s">
        <v>5330</v>
      </c>
      <c r="F233" s="62">
        <v>10</v>
      </c>
      <c r="H233" s="70">
        <v>2.3559999999999999</v>
      </c>
      <c r="J233" s="69">
        <v>0</v>
      </c>
      <c r="K233" s="68">
        <v>0</v>
      </c>
    </row>
    <row r="234" spans="3:11" x14ac:dyDescent="0.25">
      <c r="C234" t="s">
        <v>5329</v>
      </c>
      <c r="D234" t="s">
        <v>5328</v>
      </c>
      <c r="E234" t="s">
        <v>5327</v>
      </c>
      <c r="F234" s="62">
        <v>10</v>
      </c>
      <c r="H234" s="70">
        <v>34.081000000000003</v>
      </c>
      <c r="J234" s="69">
        <v>0</v>
      </c>
      <c r="K234" s="68">
        <v>0</v>
      </c>
    </row>
    <row r="235" spans="3:11" x14ac:dyDescent="0.25">
      <c r="C235" t="s">
        <v>5326</v>
      </c>
      <c r="D235" t="s">
        <v>5325</v>
      </c>
      <c r="E235" t="s">
        <v>5324</v>
      </c>
      <c r="F235" s="62">
        <v>16</v>
      </c>
      <c r="H235" s="70">
        <v>56.951667</v>
      </c>
      <c r="J235" s="69">
        <v>0</v>
      </c>
      <c r="K235" s="68">
        <v>0</v>
      </c>
    </row>
    <row r="236" spans="3:11" x14ac:dyDescent="0.25">
      <c r="C236" t="s">
        <v>5323</v>
      </c>
      <c r="D236" t="s">
        <v>5322</v>
      </c>
      <c r="E236" t="s">
        <v>5321</v>
      </c>
      <c r="F236" s="62">
        <v>10</v>
      </c>
      <c r="H236" s="70">
        <v>15.39</v>
      </c>
      <c r="J236" s="69">
        <v>0</v>
      </c>
      <c r="K236" s="68">
        <v>0</v>
      </c>
    </row>
    <row r="237" spans="3:11" x14ac:dyDescent="0.25">
      <c r="C237" t="s">
        <v>5320</v>
      </c>
      <c r="D237" t="s">
        <v>5319</v>
      </c>
      <c r="E237" t="s">
        <v>5318</v>
      </c>
      <c r="F237" s="62">
        <v>1</v>
      </c>
      <c r="H237" s="70">
        <v>18.91</v>
      </c>
      <c r="J237" s="69">
        <v>0</v>
      </c>
      <c r="K237" s="68">
        <v>0</v>
      </c>
    </row>
    <row r="238" spans="3:11" x14ac:dyDescent="0.25">
      <c r="C238" t="s">
        <v>5317</v>
      </c>
      <c r="D238" t="s">
        <v>5316</v>
      </c>
      <c r="E238" t="s">
        <v>5315</v>
      </c>
      <c r="F238" s="62">
        <v>25</v>
      </c>
      <c r="H238" s="70">
        <v>18.905000000000001</v>
      </c>
      <c r="J238" s="69">
        <v>0</v>
      </c>
      <c r="K238" s="68">
        <v>0</v>
      </c>
    </row>
    <row r="239" spans="3:11" x14ac:dyDescent="0.25">
      <c r="C239" t="s">
        <v>5314</v>
      </c>
      <c r="D239" t="s">
        <v>5313</v>
      </c>
      <c r="E239" t="s">
        <v>5312</v>
      </c>
      <c r="F239" s="62">
        <v>5</v>
      </c>
      <c r="H239" s="70">
        <v>34.106000000000002</v>
      </c>
      <c r="J239" s="69">
        <v>0</v>
      </c>
      <c r="K239" s="68">
        <v>0</v>
      </c>
    </row>
    <row r="240" spans="3:11" x14ac:dyDescent="0.25">
      <c r="C240" t="s">
        <v>5311</v>
      </c>
      <c r="D240" t="s">
        <v>5310</v>
      </c>
      <c r="E240" t="s">
        <v>5309</v>
      </c>
      <c r="F240" s="62">
        <v>135</v>
      </c>
      <c r="H240" s="70">
        <v>3.42</v>
      </c>
      <c r="J240" s="69">
        <v>0</v>
      </c>
      <c r="K240" s="68">
        <v>0</v>
      </c>
    </row>
    <row r="241" spans="3:11" x14ac:dyDescent="0.25">
      <c r="C241" t="s">
        <v>5308</v>
      </c>
      <c r="D241" t="s">
        <v>5307</v>
      </c>
      <c r="E241" t="s">
        <v>5306</v>
      </c>
      <c r="F241" s="62">
        <v>11</v>
      </c>
      <c r="H241" s="70">
        <v>9.4054549999999999</v>
      </c>
      <c r="J241" s="69">
        <v>0</v>
      </c>
      <c r="K241" s="68">
        <v>0</v>
      </c>
    </row>
    <row r="242" spans="3:11" x14ac:dyDescent="0.25">
      <c r="C242" t="s">
        <v>5305</v>
      </c>
      <c r="D242" t="s">
        <v>5304</v>
      </c>
      <c r="E242" t="s">
        <v>5303</v>
      </c>
      <c r="F242" s="62">
        <v>95</v>
      </c>
      <c r="H242" s="70">
        <v>12.045999999999999</v>
      </c>
      <c r="J242" s="69">
        <v>0</v>
      </c>
      <c r="K242" s="68">
        <v>0</v>
      </c>
    </row>
    <row r="243" spans="3:11" x14ac:dyDescent="0.25">
      <c r="C243" t="s">
        <v>5302</v>
      </c>
      <c r="D243" t="s">
        <v>5301</v>
      </c>
      <c r="E243" t="s">
        <v>5300</v>
      </c>
      <c r="F243" s="62">
        <v>40</v>
      </c>
      <c r="H243" s="70">
        <v>4.6550000000000002</v>
      </c>
      <c r="J243" s="69">
        <v>0</v>
      </c>
      <c r="K243" s="68">
        <v>0</v>
      </c>
    </row>
    <row r="244" spans="3:11" x14ac:dyDescent="0.25">
      <c r="C244" t="s">
        <v>5299</v>
      </c>
      <c r="D244" t="s">
        <v>5298</v>
      </c>
      <c r="E244" t="s">
        <v>5297</v>
      </c>
      <c r="F244" s="62">
        <v>40</v>
      </c>
      <c r="H244" s="70">
        <v>8.3119999999999994</v>
      </c>
      <c r="J244" s="69">
        <v>0</v>
      </c>
      <c r="K244" s="68">
        <v>0</v>
      </c>
    </row>
    <row r="245" spans="3:11" x14ac:dyDescent="0.25">
      <c r="C245" t="s">
        <v>5296</v>
      </c>
      <c r="D245" t="s">
        <v>5295</v>
      </c>
      <c r="E245" t="s">
        <v>5294</v>
      </c>
      <c r="F245" s="62">
        <v>1</v>
      </c>
      <c r="H245" s="70">
        <v>80.09</v>
      </c>
      <c r="J245" s="69">
        <v>0</v>
      </c>
      <c r="K245" s="68">
        <v>0</v>
      </c>
    </row>
    <row r="246" spans="3:11" x14ac:dyDescent="0.25">
      <c r="C246" t="s">
        <v>5293</v>
      </c>
      <c r="D246" t="s">
        <v>5292</v>
      </c>
      <c r="E246" t="s">
        <v>5291</v>
      </c>
      <c r="F246" s="62">
        <v>4</v>
      </c>
      <c r="H246" s="70">
        <v>16.552499999999998</v>
      </c>
      <c r="J246" s="69">
        <v>0</v>
      </c>
      <c r="K246" s="68">
        <v>0</v>
      </c>
    </row>
    <row r="247" spans="3:11" x14ac:dyDescent="0.25">
      <c r="C247" t="s">
        <v>5290</v>
      </c>
      <c r="D247" t="s">
        <v>5289</v>
      </c>
      <c r="E247" t="s">
        <v>5288</v>
      </c>
      <c r="F247" s="62">
        <v>3</v>
      </c>
      <c r="H247" s="70">
        <v>32.43</v>
      </c>
      <c r="J247" s="69">
        <v>0</v>
      </c>
      <c r="K247" s="68">
        <v>0</v>
      </c>
    </row>
    <row r="248" spans="3:11" x14ac:dyDescent="0.25">
      <c r="C248" t="s">
        <v>5287</v>
      </c>
      <c r="D248" t="s">
        <v>5286</v>
      </c>
      <c r="E248" t="s">
        <v>5285</v>
      </c>
      <c r="F248" s="62">
        <v>150</v>
      </c>
      <c r="H248" s="70">
        <v>6.6583329999999998</v>
      </c>
      <c r="J248" s="69">
        <v>0</v>
      </c>
      <c r="K248" s="68">
        <v>0</v>
      </c>
    </row>
    <row r="249" spans="3:11" x14ac:dyDescent="0.25">
      <c r="C249" t="s">
        <v>5284</v>
      </c>
      <c r="D249" t="s">
        <v>5283</v>
      </c>
      <c r="E249" t="s">
        <v>5282</v>
      </c>
      <c r="F249" s="62">
        <v>3</v>
      </c>
      <c r="H249" s="70">
        <v>21.33</v>
      </c>
      <c r="J249" s="69">
        <v>0</v>
      </c>
      <c r="K249" s="68">
        <v>0</v>
      </c>
    </row>
    <row r="250" spans="3:11" x14ac:dyDescent="0.25">
      <c r="C250" t="s">
        <v>5281</v>
      </c>
      <c r="D250" t="s">
        <v>5280</v>
      </c>
      <c r="E250" t="s">
        <v>5279</v>
      </c>
      <c r="F250" s="62">
        <v>5</v>
      </c>
      <c r="H250" s="70">
        <v>5.4279999999999999</v>
      </c>
      <c r="J250" s="69">
        <v>0</v>
      </c>
      <c r="K250" s="68">
        <v>0</v>
      </c>
    </row>
    <row r="251" spans="3:11" x14ac:dyDescent="0.25">
      <c r="C251" t="s">
        <v>5278</v>
      </c>
      <c r="D251" t="s">
        <v>5277</v>
      </c>
      <c r="E251" t="s">
        <v>5276</v>
      </c>
      <c r="F251" s="62">
        <v>5</v>
      </c>
      <c r="H251" s="70">
        <v>4.2839999999999998</v>
      </c>
      <c r="J251" s="69">
        <v>0</v>
      </c>
      <c r="K251" s="68">
        <v>0</v>
      </c>
    </row>
    <row r="252" spans="3:11" x14ac:dyDescent="0.25">
      <c r="C252" t="s">
        <v>5275</v>
      </c>
      <c r="D252" t="s">
        <v>5274</v>
      </c>
      <c r="E252" t="s">
        <v>5273</v>
      </c>
      <c r="F252" s="62">
        <v>8</v>
      </c>
      <c r="H252" s="70">
        <v>7.6219999999999999</v>
      </c>
      <c r="J252" s="69">
        <v>0</v>
      </c>
      <c r="K252" s="68">
        <v>0</v>
      </c>
    </row>
    <row r="253" spans="3:11" x14ac:dyDescent="0.25">
      <c r="C253" t="s">
        <v>5272</v>
      </c>
      <c r="D253" t="s">
        <v>5271</v>
      </c>
      <c r="E253" t="s">
        <v>5270</v>
      </c>
      <c r="F253" s="62">
        <v>5</v>
      </c>
      <c r="H253" s="70">
        <v>13.21</v>
      </c>
      <c r="J253" s="69">
        <v>0</v>
      </c>
      <c r="K253" s="68">
        <v>0</v>
      </c>
    </row>
    <row r="254" spans="3:11" x14ac:dyDescent="0.25">
      <c r="C254" t="s">
        <v>5269</v>
      </c>
      <c r="D254" t="s">
        <v>5268</v>
      </c>
      <c r="E254" t="s">
        <v>5267</v>
      </c>
      <c r="F254" s="62">
        <v>10</v>
      </c>
      <c r="H254" s="70">
        <v>11.303000000000001</v>
      </c>
      <c r="J254" s="69">
        <v>0</v>
      </c>
      <c r="K254" s="68">
        <v>0</v>
      </c>
    </row>
    <row r="255" spans="3:11" x14ac:dyDescent="0.25">
      <c r="C255" t="s">
        <v>5266</v>
      </c>
      <c r="D255" t="s">
        <v>5265</v>
      </c>
      <c r="E255" t="s">
        <v>5264</v>
      </c>
      <c r="F255" s="62">
        <v>3</v>
      </c>
      <c r="H255" s="70">
        <v>16.053332999999999</v>
      </c>
      <c r="J255" s="69">
        <v>0</v>
      </c>
      <c r="K255" s="68">
        <v>0</v>
      </c>
    </row>
    <row r="256" spans="3:11" x14ac:dyDescent="0.25">
      <c r="C256" t="s">
        <v>5263</v>
      </c>
      <c r="D256" t="s">
        <v>5262</v>
      </c>
      <c r="E256" t="s">
        <v>5261</v>
      </c>
      <c r="F256" s="62">
        <v>38</v>
      </c>
      <c r="H256" s="70">
        <v>6.1174999999999997</v>
      </c>
      <c r="J256" s="69">
        <v>0</v>
      </c>
      <c r="K256" s="68">
        <v>0</v>
      </c>
    </row>
    <row r="257" spans="3:11" x14ac:dyDescent="0.25">
      <c r="C257" t="s">
        <v>5260</v>
      </c>
      <c r="D257" t="s">
        <v>5259</v>
      </c>
      <c r="E257" t="s">
        <v>5258</v>
      </c>
      <c r="F257" s="62">
        <v>3</v>
      </c>
      <c r="H257" s="70">
        <v>160.45666700000001</v>
      </c>
      <c r="J257" s="69">
        <v>0</v>
      </c>
      <c r="K257" s="68">
        <v>0</v>
      </c>
    </row>
    <row r="258" spans="3:11" x14ac:dyDescent="0.25">
      <c r="C258" t="s">
        <v>5257</v>
      </c>
      <c r="D258" t="s">
        <v>5256</v>
      </c>
      <c r="E258" t="s">
        <v>5255</v>
      </c>
      <c r="F258" s="62">
        <v>1</v>
      </c>
      <c r="H258" s="70">
        <v>12.25</v>
      </c>
      <c r="J258" s="69">
        <v>0</v>
      </c>
      <c r="K258" s="68">
        <v>0</v>
      </c>
    </row>
    <row r="259" spans="3:11" x14ac:dyDescent="0.25">
      <c r="C259" t="s">
        <v>5254</v>
      </c>
      <c r="D259" t="s">
        <v>5253</v>
      </c>
      <c r="E259" t="s">
        <v>5252</v>
      </c>
      <c r="F259" s="62">
        <v>4</v>
      </c>
      <c r="H259" s="70">
        <v>36.954999999999998</v>
      </c>
      <c r="J259" s="69">
        <v>0</v>
      </c>
      <c r="K259" s="68">
        <v>0</v>
      </c>
    </row>
    <row r="260" spans="3:11" x14ac:dyDescent="0.25">
      <c r="C260" t="s">
        <v>5251</v>
      </c>
      <c r="D260" t="s">
        <v>5250</v>
      </c>
      <c r="E260" t="s">
        <v>5249</v>
      </c>
      <c r="F260" s="62">
        <v>6</v>
      </c>
      <c r="H260" s="70">
        <v>20.09</v>
      </c>
      <c r="J260" s="69">
        <v>0</v>
      </c>
      <c r="K260" s="68">
        <v>0</v>
      </c>
    </row>
    <row r="261" spans="3:11" x14ac:dyDescent="0.25">
      <c r="C261" t="s">
        <v>5248</v>
      </c>
      <c r="D261" t="s">
        <v>5247</v>
      </c>
      <c r="E261" t="s">
        <v>5246</v>
      </c>
      <c r="F261" s="62">
        <v>3</v>
      </c>
      <c r="H261" s="70">
        <v>37.765000000000001</v>
      </c>
      <c r="J261" s="69">
        <v>0</v>
      </c>
      <c r="K261" s="68">
        <v>0</v>
      </c>
    </row>
    <row r="262" spans="3:11" x14ac:dyDescent="0.25">
      <c r="C262" t="s">
        <v>5245</v>
      </c>
      <c r="D262" t="s">
        <v>5244</v>
      </c>
      <c r="E262" t="s">
        <v>5243</v>
      </c>
      <c r="F262" s="62">
        <v>1</v>
      </c>
      <c r="H262" s="70">
        <v>29.4</v>
      </c>
      <c r="J262" s="69">
        <v>0</v>
      </c>
      <c r="K262" s="68">
        <v>0</v>
      </c>
    </row>
    <row r="263" spans="3:11" x14ac:dyDescent="0.25">
      <c r="C263" t="s">
        <v>5242</v>
      </c>
      <c r="D263" t="s">
        <v>5241</v>
      </c>
      <c r="E263" t="s">
        <v>5240</v>
      </c>
      <c r="F263" s="62">
        <v>2</v>
      </c>
      <c r="H263" s="70">
        <v>19.38</v>
      </c>
      <c r="J263" s="69">
        <v>0</v>
      </c>
      <c r="K263" s="68">
        <v>0</v>
      </c>
    </row>
    <row r="264" spans="3:11" x14ac:dyDescent="0.25">
      <c r="C264" t="s">
        <v>5239</v>
      </c>
      <c r="D264" t="s">
        <v>5238</v>
      </c>
      <c r="E264" t="s">
        <v>5237</v>
      </c>
      <c r="F264" s="62">
        <v>5</v>
      </c>
      <c r="H264" s="70">
        <v>15.58</v>
      </c>
      <c r="J264" s="69">
        <v>0</v>
      </c>
      <c r="K264" s="68">
        <v>0</v>
      </c>
    </row>
    <row r="265" spans="3:11" x14ac:dyDescent="0.25">
      <c r="C265" t="s">
        <v>5236</v>
      </c>
      <c r="D265" t="s">
        <v>5235</v>
      </c>
      <c r="E265" t="s">
        <v>5234</v>
      </c>
      <c r="F265" s="62">
        <v>124</v>
      </c>
      <c r="H265" s="70">
        <v>8.35</v>
      </c>
      <c r="J265" s="69">
        <v>0</v>
      </c>
      <c r="K265" s="68">
        <v>0</v>
      </c>
    </row>
    <row r="266" spans="3:11" x14ac:dyDescent="0.25">
      <c r="C266" t="s">
        <v>5233</v>
      </c>
      <c r="D266" t="s">
        <v>5232</v>
      </c>
      <c r="E266" t="s">
        <v>5231</v>
      </c>
      <c r="F266" s="62">
        <v>5</v>
      </c>
      <c r="H266" s="70">
        <v>26.125</v>
      </c>
      <c r="J266" s="69">
        <v>0</v>
      </c>
      <c r="K266" s="68">
        <v>0</v>
      </c>
    </row>
    <row r="267" spans="3:11" x14ac:dyDescent="0.25">
      <c r="C267" t="s">
        <v>5230</v>
      </c>
      <c r="D267" t="s">
        <v>5229</v>
      </c>
      <c r="E267" t="s">
        <v>5228</v>
      </c>
      <c r="F267" s="62">
        <v>46</v>
      </c>
      <c r="H267" s="70">
        <v>4.8449999999999998</v>
      </c>
      <c r="J267" s="69">
        <v>0</v>
      </c>
      <c r="K267" s="68">
        <v>0</v>
      </c>
    </row>
    <row r="268" spans="3:11" x14ac:dyDescent="0.25">
      <c r="C268" t="s">
        <v>5227</v>
      </c>
      <c r="D268" t="s">
        <v>5226</v>
      </c>
      <c r="E268" t="s">
        <v>5225</v>
      </c>
      <c r="F268" s="62">
        <v>15</v>
      </c>
      <c r="H268" s="70">
        <v>13.87</v>
      </c>
      <c r="J268" s="69">
        <v>0</v>
      </c>
      <c r="K268" s="68">
        <v>0</v>
      </c>
    </row>
    <row r="269" spans="3:11" x14ac:dyDescent="0.25">
      <c r="C269" t="s">
        <v>5224</v>
      </c>
      <c r="D269" t="s">
        <v>5223</v>
      </c>
      <c r="E269" t="s">
        <v>5222</v>
      </c>
      <c r="F269" s="62">
        <v>1</v>
      </c>
      <c r="H269" s="70">
        <v>12.63</v>
      </c>
      <c r="J269" s="69">
        <v>0</v>
      </c>
      <c r="K269" s="68">
        <v>0</v>
      </c>
    </row>
    <row r="270" spans="3:11" x14ac:dyDescent="0.25">
      <c r="C270" t="s">
        <v>5221</v>
      </c>
      <c r="D270" t="s">
        <v>5220</v>
      </c>
      <c r="E270" t="s">
        <v>5219</v>
      </c>
      <c r="F270" s="62">
        <v>1</v>
      </c>
      <c r="H270" s="70">
        <v>15.48</v>
      </c>
      <c r="J270" s="69">
        <v>0</v>
      </c>
      <c r="K270" s="68">
        <v>0</v>
      </c>
    </row>
    <row r="271" spans="3:11" x14ac:dyDescent="0.25">
      <c r="C271" t="s">
        <v>5218</v>
      </c>
      <c r="D271" t="s">
        <v>5217</v>
      </c>
      <c r="E271" t="s">
        <v>5216</v>
      </c>
      <c r="F271" s="62">
        <v>8</v>
      </c>
      <c r="H271" s="70">
        <v>34.192500000000003</v>
      </c>
      <c r="J271" s="69">
        <v>0</v>
      </c>
      <c r="K271" s="68">
        <v>0</v>
      </c>
    </row>
    <row r="272" spans="3:11" x14ac:dyDescent="0.25">
      <c r="C272" t="s">
        <v>5215</v>
      </c>
      <c r="D272" t="s">
        <v>5214</v>
      </c>
      <c r="E272" t="s">
        <v>5213</v>
      </c>
      <c r="F272" s="62">
        <v>1</v>
      </c>
      <c r="H272" s="70">
        <v>3.99</v>
      </c>
      <c r="J272" s="69">
        <v>0</v>
      </c>
      <c r="K272" s="68">
        <v>0</v>
      </c>
    </row>
    <row r="273" spans="3:11" x14ac:dyDescent="0.25">
      <c r="C273" t="s">
        <v>5212</v>
      </c>
      <c r="D273" t="s">
        <v>5211</v>
      </c>
      <c r="E273" t="s">
        <v>5210</v>
      </c>
      <c r="F273" s="62">
        <v>2</v>
      </c>
      <c r="H273" s="70">
        <v>21.754999999999999</v>
      </c>
      <c r="J273" s="69">
        <v>0</v>
      </c>
      <c r="K273" s="68">
        <v>0</v>
      </c>
    </row>
    <row r="274" spans="3:11" x14ac:dyDescent="0.25">
      <c r="C274" t="s">
        <v>5209</v>
      </c>
      <c r="D274" t="s">
        <v>5208</v>
      </c>
      <c r="E274" t="s">
        <v>5207</v>
      </c>
      <c r="F274" s="62">
        <v>3</v>
      </c>
      <c r="H274" s="70">
        <v>44.556666999999997</v>
      </c>
      <c r="J274" s="69">
        <v>0</v>
      </c>
      <c r="K274" s="68">
        <v>0</v>
      </c>
    </row>
    <row r="275" spans="3:11" x14ac:dyDescent="0.25">
      <c r="C275" t="s">
        <v>5206</v>
      </c>
      <c r="D275" t="s">
        <v>5205</v>
      </c>
      <c r="E275" t="s">
        <v>5204</v>
      </c>
      <c r="F275" s="62">
        <v>2</v>
      </c>
      <c r="H275" s="70">
        <v>18.905000000000001</v>
      </c>
      <c r="J275" s="69">
        <v>0</v>
      </c>
      <c r="K275" s="68">
        <v>0</v>
      </c>
    </row>
    <row r="276" spans="3:11" x14ac:dyDescent="0.25">
      <c r="C276" t="s">
        <v>5203</v>
      </c>
      <c r="D276" t="s">
        <v>5202</v>
      </c>
      <c r="E276" t="s">
        <v>5201</v>
      </c>
      <c r="F276" s="62">
        <v>20</v>
      </c>
      <c r="H276" s="70">
        <v>3.23</v>
      </c>
      <c r="J276" s="69">
        <v>0</v>
      </c>
      <c r="K276" s="68">
        <v>0</v>
      </c>
    </row>
    <row r="277" spans="3:11" x14ac:dyDescent="0.25">
      <c r="C277" t="s">
        <v>5200</v>
      </c>
      <c r="D277" t="s">
        <v>5199</v>
      </c>
      <c r="E277" t="s">
        <v>4000</v>
      </c>
      <c r="F277" s="62">
        <v>20</v>
      </c>
      <c r="H277" s="70">
        <v>17.7</v>
      </c>
      <c r="J277" s="69">
        <v>0</v>
      </c>
      <c r="K277" s="68">
        <v>0</v>
      </c>
    </row>
    <row r="278" spans="3:11" x14ac:dyDescent="0.25">
      <c r="C278" t="s">
        <v>5198</v>
      </c>
      <c r="D278" t="s">
        <v>5197</v>
      </c>
      <c r="E278" t="s">
        <v>5196</v>
      </c>
      <c r="F278" s="62">
        <v>30</v>
      </c>
      <c r="H278" s="70">
        <v>4.7603330000000001</v>
      </c>
      <c r="J278" s="69">
        <v>0</v>
      </c>
      <c r="K278" s="68">
        <v>0</v>
      </c>
    </row>
    <row r="279" spans="3:11" x14ac:dyDescent="0.25">
      <c r="C279" t="s">
        <v>5195</v>
      </c>
      <c r="D279" t="s">
        <v>5194</v>
      </c>
      <c r="E279" t="s">
        <v>5193</v>
      </c>
      <c r="F279" s="62">
        <v>1</v>
      </c>
      <c r="H279" s="70">
        <v>27.83</v>
      </c>
      <c r="J279" s="69">
        <v>0</v>
      </c>
      <c r="K279" s="68">
        <v>0</v>
      </c>
    </row>
    <row r="280" spans="3:11" x14ac:dyDescent="0.25">
      <c r="C280" t="s">
        <v>5192</v>
      </c>
      <c r="D280" t="s">
        <v>5191</v>
      </c>
      <c r="E280" t="s">
        <v>5190</v>
      </c>
      <c r="F280" s="62">
        <v>1</v>
      </c>
      <c r="H280" s="70">
        <v>20.81</v>
      </c>
      <c r="J280" s="69">
        <v>0</v>
      </c>
      <c r="K280" s="68">
        <v>0</v>
      </c>
    </row>
    <row r="281" spans="3:11" x14ac:dyDescent="0.25">
      <c r="C281" t="s">
        <v>5189</v>
      </c>
      <c r="D281" t="s">
        <v>5188</v>
      </c>
      <c r="E281" t="s">
        <v>5187</v>
      </c>
      <c r="F281" s="62">
        <v>10</v>
      </c>
      <c r="H281" s="70">
        <v>5.39</v>
      </c>
      <c r="J281" s="69">
        <v>0</v>
      </c>
      <c r="K281" s="68">
        <v>0</v>
      </c>
    </row>
    <row r="282" spans="3:11" x14ac:dyDescent="0.25">
      <c r="C282" t="s">
        <v>5186</v>
      </c>
      <c r="D282" t="s">
        <v>5185</v>
      </c>
      <c r="E282" t="s">
        <v>5184</v>
      </c>
      <c r="F282" s="62">
        <v>16</v>
      </c>
      <c r="H282" s="70">
        <v>7.4581249999999999</v>
      </c>
      <c r="J282" s="69">
        <v>0</v>
      </c>
      <c r="K282" s="68">
        <v>0</v>
      </c>
    </row>
    <row r="283" spans="3:11" x14ac:dyDescent="0.25">
      <c r="C283" t="s">
        <v>5183</v>
      </c>
      <c r="D283" t="s">
        <v>5182</v>
      </c>
      <c r="E283" t="s">
        <v>5181</v>
      </c>
      <c r="F283" s="62">
        <v>16</v>
      </c>
      <c r="H283" s="70">
        <v>4.171875</v>
      </c>
      <c r="J283" s="69">
        <v>0</v>
      </c>
      <c r="K283" s="68">
        <v>0</v>
      </c>
    </row>
    <row r="284" spans="3:11" x14ac:dyDescent="0.25">
      <c r="C284" t="s">
        <v>5180</v>
      </c>
      <c r="D284" t="s">
        <v>5179</v>
      </c>
      <c r="E284" t="s">
        <v>5178</v>
      </c>
      <c r="F284" s="62">
        <v>5</v>
      </c>
      <c r="H284" s="70">
        <v>26.053999999999998</v>
      </c>
      <c r="J284" s="69">
        <v>0</v>
      </c>
      <c r="K284" s="68">
        <v>0</v>
      </c>
    </row>
    <row r="285" spans="3:11" x14ac:dyDescent="0.25">
      <c r="C285" t="s">
        <v>5177</v>
      </c>
      <c r="D285" t="s">
        <v>5176</v>
      </c>
      <c r="E285" t="s">
        <v>5175</v>
      </c>
      <c r="F285" s="62">
        <v>22</v>
      </c>
      <c r="H285" s="70">
        <v>6.67</v>
      </c>
      <c r="J285" s="69">
        <v>0</v>
      </c>
      <c r="K285" s="68">
        <v>0</v>
      </c>
    </row>
    <row r="286" spans="3:11" x14ac:dyDescent="0.25">
      <c r="C286" t="s">
        <v>5174</v>
      </c>
      <c r="D286" t="s">
        <v>5173</v>
      </c>
      <c r="E286" t="s">
        <v>5172</v>
      </c>
      <c r="F286" s="62">
        <v>8</v>
      </c>
      <c r="H286" s="70">
        <v>3.3</v>
      </c>
      <c r="J286" s="69">
        <v>0</v>
      </c>
      <c r="K286" s="68">
        <v>0</v>
      </c>
    </row>
    <row r="287" spans="3:11" x14ac:dyDescent="0.25">
      <c r="C287" t="s">
        <v>5171</v>
      </c>
      <c r="D287" t="s">
        <v>5170</v>
      </c>
      <c r="E287" t="s">
        <v>5169</v>
      </c>
      <c r="F287" s="62">
        <v>6</v>
      </c>
      <c r="H287" s="70">
        <v>26.031666999999999</v>
      </c>
      <c r="J287" s="69">
        <v>0</v>
      </c>
      <c r="K287" s="68">
        <v>0</v>
      </c>
    </row>
    <row r="288" spans="3:11" x14ac:dyDescent="0.25">
      <c r="C288" t="s">
        <v>5168</v>
      </c>
      <c r="D288" t="s">
        <v>5167</v>
      </c>
      <c r="E288" t="s">
        <v>5166</v>
      </c>
      <c r="F288" s="62">
        <v>6</v>
      </c>
      <c r="H288" s="70">
        <v>7.931667</v>
      </c>
      <c r="J288" s="69">
        <v>0</v>
      </c>
      <c r="K288" s="68">
        <v>0</v>
      </c>
    </row>
    <row r="289" spans="3:11" x14ac:dyDescent="0.25">
      <c r="C289" t="s">
        <v>5165</v>
      </c>
      <c r="D289" t="s">
        <v>5164</v>
      </c>
      <c r="E289" t="s">
        <v>5163</v>
      </c>
      <c r="F289" s="62">
        <v>2</v>
      </c>
      <c r="H289" s="70">
        <v>43.89</v>
      </c>
      <c r="J289" s="69">
        <v>0</v>
      </c>
      <c r="K289" s="68">
        <v>0</v>
      </c>
    </row>
    <row r="290" spans="3:11" x14ac:dyDescent="0.25">
      <c r="C290" t="s">
        <v>5162</v>
      </c>
      <c r="D290" t="s">
        <v>5161</v>
      </c>
      <c r="E290" t="s">
        <v>5160</v>
      </c>
      <c r="F290" s="62">
        <v>2</v>
      </c>
      <c r="H290" s="70">
        <v>4.2750000000000004</v>
      </c>
      <c r="J290" s="69">
        <v>0</v>
      </c>
      <c r="K290" s="68">
        <v>0</v>
      </c>
    </row>
    <row r="291" spans="3:11" x14ac:dyDescent="0.25">
      <c r="C291" t="s">
        <v>5159</v>
      </c>
      <c r="D291" t="s">
        <v>5158</v>
      </c>
      <c r="E291" t="s">
        <v>5157</v>
      </c>
      <c r="F291" s="62">
        <v>2</v>
      </c>
      <c r="H291" s="70">
        <v>42.31</v>
      </c>
      <c r="J291" s="69">
        <v>0</v>
      </c>
      <c r="K291" s="68">
        <v>0</v>
      </c>
    </row>
    <row r="292" spans="3:11" x14ac:dyDescent="0.25">
      <c r="C292" t="s">
        <v>5156</v>
      </c>
      <c r="D292" t="s">
        <v>5155</v>
      </c>
      <c r="E292" t="s">
        <v>5154</v>
      </c>
      <c r="F292" s="62">
        <v>2</v>
      </c>
      <c r="H292" s="70">
        <v>5.37</v>
      </c>
      <c r="J292" s="69">
        <v>0</v>
      </c>
      <c r="K292" s="68">
        <v>0</v>
      </c>
    </row>
    <row r="293" spans="3:11" x14ac:dyDescent="0.25">
      <c r="C293" t="s">
        <v>5153</v>
      </c>
      <c r="D293" t="s">
        <v>5152</v>
      </c>
      <c r="E293" t="s">
        <v>5151</v>
      </c>
      <c r="F293" s="62">
        <v>4</v>
      </c>
      <c r="H293" s="70">
        <v>71.150000000000006</v>
      </c>
      <c r="J293" s="69">
        <v>0</v>
      </c>
      <c r="K293" s="68">
        <v>0</v>
      </c>
    </row>
    <row r="294" spans="3:11" x14ac:dyDescent="0.25">
      <c r="C294" t="s">
        <v>5150</v>
      </c>
      <c r="D294" t="s">
        <v>5149</v>
      </c>
      <c r="E294" t="s">
        <v>5148</v>
      </c>
      <c r="F294" s="62">
        <v>5</v>
      </c>
      <c r="H294" s="70">
        <v>29.4</v>
      </c>
      <c r="J294" s="69">
        <v>0</v>
      </c>
      <c r="K294" s="68">
        <v>0</v>
      </c>
    </row>
    <row r="295" spans="3:11" x14ac:dyDescent="0.25">
      <c r="C295" t="s">
        <v>5147</v>
      </c>
      <c r="D295" t="s">
        <v>5146</v>
      </c>
      <c r="E295" t="s">
        <v>5145</v>
      </c>
      <c r="F295" s="62">
        <v>5</v>
      </c>
      <c r="H295" s="70">
        <v>19.940000000000001</v>
      </c>
      <c r="J295" s="69">
        <v>0</v>
      </c>
      <c r="K295" s="68">
        <v>0</v>
      </c>
    </row>
    <row r="296" spans="3:11" x14ac:dyDescent="0.25">
      <c r="C296" t="s">
        <v>5144</v>
      </c>
      <c r="D296" t="s">
        <v>5143</v>
      </c>
      <c r="E296" t="s">
        <v>5142</v>
      </c>
      <c r="F296" s="62">
        <v>5</v>
      </c>
      <c r="H296" s="70">
        <v>20.524000000000001</v>
      </c>
      <c r="J296" s="69">
        <v>0</v>
      </c>
      <c r="K296" s="68">
        <v>0</v>
      </c>
    </row>
    <row r="297" spans="3:11" x14ac:dyDescent="0.25">
      <c r="C297" t="s">
        <v>5141</v>
      </c>
      <c r="D297" t="s">
        <v>5140</v>
      </c>
      <c r="E297" t="s">
        <v>5139</v>
      </c>
      <c r="F297" s="62">
        <v>20</v>
      </c>
      <c r="H297" s="70">
        <v>23.254999999999999</v>
      </c>
      <c r="J297" s="69">
        <v>0</v>
      </c>
      <c r="K297" s="68">
        <v>0</v>
      </c>
    </row>
    <row r="298" spans="3:11" x14ac:dyDescent="0.25">
      <c r="C298" t="s">
        <v>5138</v>
      </c>
      <c r="D298" t="s">
        <v>5137</v>
      </c>
      <c r="E298" t="s">
        <v>5136</v>
      </c>
      <c r="F298" s="62">
        <v>15</v>
      </c>
      <c r="H298" s="70">
        <v>24.921333000000001</v>
      </c>
      <c r="J298" s="69">
        <v>0</v>
      </c>
      <c r="K298" s="68">
        <v>0</v>
      </c>
    </row>
    <row r="299" spans="3:11" x14ac:dyDescent="0.25">
      <c r="C299" t="s">
        <v>5135</v>
      </c>
      <c r="D299" t="s">
        <v>5134</v>
      </c>
      <c r="E299" t="s">
        <v>5133</v>
      </c>
      <c r="F299" s="62">
        <v>2</v>
      </c>
      <c r="H299" s="70">
        <v>26.645</v>
      </c>
      <c r="J299" s="69">
        <v>0</v>
      </c>
      <c r="K299" s="68">
        <v>0</v>
      </c>
    </row>
    <row r="300" spans="3:11" x14ac:dyDescent="0.25">
      <c r="C300" t="s">
        <v>5132</v>
      </c>
      <c r="D300" t="s">
        <v>5131</v>
      </c>
      <c r="E300" t="s">
        <v>5130</v>
      </c>
      <c r="F300" s="62">
        <v>50</v>
      </c>
      <c r="H300" s="70">
        <v>1.5933999999999999</v>
      </c>
      <c r="J300" s="69">
        <v>0</v>
      </c>
      <c r="K300" s="68">
        <v>0</v>
      </c>
    </row>
    <row r="301" spans="3:11" x14ac:dyDescent="0.25">
      <c r="C301" t="s">
        <v>5129</v>
      </c>
      <c r="D301" t="s">
        <v>5128</v>
      </c>
      <c r="E301" t="s">
        <v>5127</v>
      </c>
      <c r="F301" s="62">
        <v>5</v>
      </c>
      <c r="H301" s="70">
        <v>15.164</v>
      </c>
      <c r="J301" s="69">
        <v>0</v>
      </c>
      <c r="K301" s="68">
        <v>0</v>
      </c>
    </row>
    <row r="302" spans="3:11" x14ac:dyDescent="0.25">
      <c r="C302" t="s">
        <v>5126</v>
      </c>
      <c r="D302" t="s">
        <v>5125</v>
      </c>
      <c r="E302" t="s">
        <v>5124</v>
      </c>
      <c r="F302" s="62">
        <v>10</v>
      </c>
      <c r="H302" s="70">
        <v>68.3</v>
      </c>
      <c r="J302" s="69">
        <v>0</v>
      </c>
      <c r="K302" s="68">
        <v>0</v>
      </c>
    </row>
    <row r="303" spans="3:11" x14ac:dyDescent="0.25">
      <c r="C303" t="s">
        <v>5123</v>
      </c>
      <c r="D303" t="s">
        <v>3181</v>
      </c>
      <c r="E303" t="s">
        <v>3180</v>
      </c>
      <c r="F303" s="62">
        <v>1</v>
      </c>
      <c r="H303" s="70">
        <v>1105.3399999999999</v>
      </c>
      <c r="J303" s="69">
        <v>0</v>
      </c>
      <c r="K303" s="68">
        <v>0</v>
      </c>
    </row>
    <row r="304" spans="3:11" x14ac:dyDescent="0.25">
      <c r="C304" t="s">
        <v>5122</v>
      </c>
      <c r="D304" t="s">
        <v>5121</v>
      </c>
      <c r="E304" t="s">
        <v>5120</v>
      </c>
      <c r="F304" s="62">
        <v>10</v>
      </c>
      <c r="H304" s="70">
        <v>36.909999999999997</v>
      </c>
      <c r="J304" s="69">
        <v>0</v>
      </c>
      <c r="K304" s="68">
        <v>0</v>
      </c>
    </row>
    <row r="305" spans="3:11" x14ac:dyDescent="0.25">
      <c r="C305" t="s">
        <v>5119</v>
      </c>
      <c r="D305" t="s">
        <v>5118</v>
      </c>
      <c r="E305" t="s">
        <v>5117</v>
      </c>
      <c r="F305" s="62">
        <v>2</v>
      </c>
      <c r="H305" s="70">
        <v>29.405000000000001</v>
      </c>
      <c r="J305" s="69">
        <v>0</v>
      </c>
      <c r="K305" s="68">
        <v>0</v>
      </c>
    </row>
    <row r="306" spans="3:11" x14ac:dyDescent="0.25">
      <c r="C306" t="s">
        <v>5116</v>
      </c>
      <c r="D306" t="s">
        <v>5115</v>
      </c>
      <c r="E306" t="s">
        <v>5114</v>
      </c>
      <c r="F306" s="62">
        <v>2</v>
      </c>
      <c r="H306" s="70">
        <v>46.92</v>
      </c>
      <c r="J306" s="69">
        <v>0</v>
      </c>
      <c r="K306" s="68">
        <v>0</v>
      </c>
    </row>
    <row r="307" spans="3:11" x14ac:dyDescent="0.25">
      <c r="C307" t="s">
        <v>5113</v>
      </c>
      <c r="D307" t="s">
        <v>5112</v>
      </c>
      <c r="E307" t="s">
        <v>5111</v>
      </c>
      <c r="F307" s="62">
        <v>15</v>
      </c>
      <c r="H307" s="70">
        <v>1.6</v>
      </c>
      <c r="J307" s="69">
        <v>0</v>
      </c>
      <c r="K307" s="68">
        <v>0</v>
      </c>
    </row>
    <row r="308" spans="3:11" x14ac:dyDescent="0.25">
      <c r="C308" t="s">
        <v>5110</v>
      </c>
      <c r="D308" t="s">
        <v>5109</v>
      </c>
      <c r="E308" t="s">
        <v>5108</v>
      </c>
      <c r="F308" s="62">
        <v>15</v>
      </c>
      <c r="H308" s="70">
        <v>2.19</v>
      </c>
      <c r="J308" s="69">
        <v>0</v>
      </c>
      <c r="K308" s="68">
        <v>0</v>
      </c>
    </row>
    <row r="309" spans="3:11" x14ac:dyDescent="0.25">
      <c r="C309" t="s">
        <v>5107</v>
      </c>
      <c r="D309" t="s">
        <v>5106</v>
      </c>
      <c r="E309" t="s">
        <v>5105</v>
      </c>
      <c r="F309" s="62">
        <v>15</v>
      </c>
      <c r="H309" s="70">
        <v>1.66</v>
      </c>
      <c r="J309" s="69">
        <v>0</v>
      </c>
      <c r="K309" s="68">
        <v>0</v>
      </c>
    </row>
    <row r="310" spans="3:11" x14ac:dyDescent="0.25">
      <c r="C310" t="s">
        <v>5104</v>
      </c>
      <c r="D310" t="s">
        <v>5103</v>
      </c>
      <c r="E310" t="s">
        <v>5102</v>
      </c>
      <c r="F310" s="62">
        <v>1</v>
      </c>
      <c r="H310" s="70">
        <v>268.2</v>
      </c>
      <c r="J310" s="69">
        <v>0</v>
      </c>
      <c r="K310" s="68">
        <v>0</v>
      </c>
    </row>
    <row r="311" spans="3:11" x14ac:dyDescent="0.25">
      <c r="C311" t="s">
        <v>5101</v>
      </c>
      <c r="D311" t="s">
        <v>5100</v>
      </c>
      <c r="E311" t="s">
        <v>5099</v>
      </c>
      <c r="F311" s="62">
        <v>1</v>
      </c>
      <c r="H311" s="70">
        <v>336.7</v>
      </c>
      <c r="J311" s="69">
        <v>0</v>
      </c>
      <c r="K311" s="68">
        <v>0</v>
      </c>
    </row>
    <row r="312" spans="3:11" x14ac:dyDescent="0.25">
      <c r="C312" t="s">
        <v>5098</v>
      </c>
      <c r="D312" t="s">
        <v>5097</v>
      </c>
      <c r="E312" t="s">
        <v>5096</v>
      </c>
      <c r="F312" s="62">
        <v>1</v>
      </c>
      <c r="H312" s="70">
        <v>2722.5</v>
      </c>
      <c r="J312" s="69">
        <v>0</v>
      </c>
      <c r="K312" s="68">
        <v>0</v>
      </c>
    </row>
    <row r="313" spans="3:11" x14ac:dyDescent="0.25">
      <c r="C313" t="s">
        <v>5095</v>
      </c>
      <c r="D313" t="s">
        <v>5094</v>
      </c>
      <c r="E313" t="s">
        <v>5093</v>
      </c>
      <c r="F313" s="62">
        <v>1</v>
      </c>
      <c r="H313" s="70">
        <v>9756.5</v>
      </c>
      <c r="J313" s="69">
        <v>0</v>
      </c>
      <c r="K313" s="68">
        <v>0</v>
      </c>
    </row>
    <row r="314" spans="3:11" x14ac:dyDescent="0.25">
      <c r="C314" t="s">
        <v>5092</v>
      </c>
      <c r="D314" t="s">
        <v>4305</v>
      </c>
      <c r="E314" t="s">
        <v>4304</v>
      </c>
      <c r="F314" s="62">
        <v>2</v>
      </c>
      <c r="H314" s="70">
        <v>1030.24</v>
      </c>
      <c r="J314" s="69">
        <v>0</v>
      </c>
      <c r="K314" s="68">
        <v>0</v>
      </c>
    </row>
    <row r="315" spans="3:11" x14ac:dyDescent="0.25">
      <c r="C315" t="s">
        <v>5091</v>
      </c>
      <c r="D315" t="s">
        <v>5090</v>
      </c>
      <c r="E315" t="s">
        <v>5089</v>
      </c>
      <c r="F315" s="62">
        <v>45</v>
      </c>
      <c r="H315" s="70">
        <v>47.75</v>
      </c>
      <c r="J315" s="69">
        <v>0</v>
      </c>
      <c r="K315" s="68">
        <v>0</v>
      </c>
    </row>
    <row r="316" spans="3:11" x14ac:dyDescent="0.25">
      <c r="C316" t="s">
        <v>5088</v>
      </c>
      <c r="D316" t="s">
        <v>5087</v>
      </c>
      <c r="E316" t="s">
        <v>5086</v>
      </c>
      <c r="F316" s="62">
        <v>5</v>
      </c>
      <c r="H316" s="70">
        <v>7.9</v>
      </c>
      <c r="J316" s="69">
        <v>0</v>
      </c>
      <c r="K316" s="68">
        <v>0</v>
      </c>
    </row>
    <row r="317" spans="3:11" x14ac:dyDescent="0.25">
      <c r="C317" t="s">
        <v>5085</v>
      </c>
      <c r="D317" t="s">
        <v>5084</v>
      </c>
      <c r="E317" t="s">
        <v>5083</v>
      </c>
      <c r="F317" s="62">
        <v>1</v>
      </c>
      <c r="H317" s="70">
        <v>21</v>
      </c>
      <c r="J317" s="69">
        <v>0</v>
      </c>
      <c r="K317" s="68">
        <v>0</v>
      </c>
    </row>
    <row r="318" spans="3:11" x14ac:dyDescent="0.25">
      <c r="C318" t="s">
        <v>5082</v>
      </c>
      <c r="D318" t="s">
        <v>5081</v>
      </c>
      <c r="E318" t="s">
        <v>5080</v>
      </c>
      <c r="F318" s="62">
        <v>100</v>
      </c>
      <c r="H318" s="70">
        <v>3.35</v>
      </c>
      <c r="J318" s="69">
        <v>0</v>
      </c>
      <c r="K318" s="68">
        <v>0</v>
      </c>
    </row>
    <row r="319" spans="3:11" x14ac:dyDescent="0.25">
      <c r="C319" t="s">
        <v>5079</v>
      </c>
      <c r="D319" t="s">
        <v>5078</v>
      </c>
      <c r="E319" t="s">
        <v>5077</v>
      </c>
      <c r="F319" s="62">
        <v>1116</v>
      </c>
      <c r="H319" s="70">
        <v>1.1599999999999999</v>
      </c>
      <c r="J319" s="69">
        <v>0</v>
      </c>
      <c r="K319" s="68">
        <v>0</v>
      </c>
    </row>
    <row r="320" spans="3:11" x14ac:dyDescent="0.25">
      <c r="C320" t="s">
        <v>5076</v>
      </c>
      <c r="D320" t="s">
        <v>3898</v>
      </c>
      <c r="E320" t="s">
        <v>3897</v>
      </c>
      <c r="F320" s="62">
        <v>3</v>
      </c>
      <c r="H320" s="70">
        <v>232.32</v>
      </c>
      <c r="J320" s="69">
        <v>0</v>
      </c>
      <c r="K320" s="68">
        <v>0</v>
      </c>
    </row>
    <row r="321" spans="3:11" x14ac:dyDescent="0.25">
      <c r="C321" t="s">
        <v>5075</v>
      </c>
      <c r="D321" t="s">
        <v>5074</v>
      </c>
      <c r="E321" t="s">
        <v>5073</v>
      </c>
      <c r="F321" s="62">
        <v>20.57</v>
      </c>
      <c r="H321" s="70">
        <v>4.3490520000000004</v>
      </c>
      <c r="J321" s="69">
        <v>0</v>
      </c>
      <c r="K321" s="68">
        <v>0</v>
      </c>
    </row>
    <row r="322" spans="3:11" x14ac:dyDescent="0.25">
      <c r="C322" t="s">
        <v>5072</v>
      </c>
      <c r="D322" t="s">
        <v>5071</v>
      </c>
      <c r="E322" t="s">
        <v>5070</v>
      </c>
      <c r="F322" s="62">
        <v>100</v>
      </c>
      <c r="H322" s="70">
        <v>579.20000000000005</v>
      </c>
      <c r="J322" s="69">
        <v>0</v>
      </c>
      <c r="K322" s="68">
        <v>0</v>
      </c>
    </row>
    <row r="323" spans="3:11" x14ac:dyDescent="0.25">
      <c r="C323" t="s">
        <v>5069</v>
      </c>
      <c r="D323" t="s">
        <v>5068</v>
      </c>
      <c r="E323" t="s">
        <v>5067</v>
      </c>
      <c r="F323" s="62">
        <v>2</v>
      </c>
      <c r="H323" s="70">
        <v>39.799999999999997</v>
      </c>
      <c r="J323" s="69">
        <v>0</v>
      </c>
      <c r="K323" s="68">
        <v>0</v>
      </c>
    </row>
    <row r="324" spans="3:11" x14ac:dyDescent="0.25">
      <c r="C324" t="s">
        <v>5066</v>
      </c>
      <c r="D324" t="s">
        <v>5065</v>
      </c>
      <c r="E324" t="s">
        <v>5064</v>
      </c>
      <c r="F324" s="62">
        <v>4</v>
      </c>
      <c r="H324" s="70">
        <v>157.16</v>
      </c>
      <c r="J324" s="69">
        <v>0</v>
      </c>
      <c r="K324" s="68">
        <v>0</v>
      </c>
    </row>
    <row r="325" spans="3:11" x14ac:dyDescent="0.25">
      <c r="C325" t="s">
        <v>5063</v>
      </c>
      <c r="D325" t="s">
        <v>5062</v>
      </c>
      <c r="E325" t="s">
        <v>5061</v>
      </c>
      <c r="F325" s="62">
        <v>2</v>
      </c>
      <c r="H325" s="70">
        <v>7.47</v>
      </c>
      <c r="J325" s="69">
        <v>0</v>
      </c>
      <c r="K325" s="68">
        <v>0</v>
      </c>
    </row>
    <row r="326" spans="3:11" x14ac:dyDescent="0.25">
      <c r="C326" t="s">
        <v>5060</v>
      </c>
      <c r="D326" t="s">
        <v>5059</v>
      </c>
      <c r="E326" t="s">
        <v>5058</v>
      </c>
      <c r="F326" s="62">
        <v>4</v>
      </c>
      <c r="H326" s="70">
        <v>25.35</v>
      </c>
      <c r="J326" s="69">
        <v>0</v>
      </c>
      <c r="K326" s="68">
        <v>0</v>
      </c>
    </row>
    <row r="327" spans="3:11" x14ac:dyDescent="0.25">
      <c r="C327" t="s">
        <v>5057</v>
      </c>
      <c r="D327" t="s">
        <v>5056</v>
      </c>
      <c r="E327" t="s">
        <v>5055</v>
      </c>
      <c r="F327" s="62">
        <v>17</v>
      </c>
      <c r="H327" s="70">
        <v>51.88</v>
      </c>
      <c r="J327" s="69">
        <v>0</v>
      </c>
      <c r="K327" s="68">
        <v>0</v>
      </c>
    </row>
    <row r="328" spans="3:11" x14ac:dyDescent="0.25">
      <c r="C328" t="s">
        <v>5054</v>
      </c>
      <c r="D328" t="s">
        <v>5053</v>
      </c>
      <c r="E328" t="s">
        <v>5052</v>
      </c>
      <c r="F328" s="62">
        <v>6</v>
      </c>
      <c r="H328" s="70">
        <v>377.09</v>
      </c>
      <c r="J328" s="69">
        <v>0</v>
      </c>
      <c r="K328" s="68">
        <v>0</v>
      </c>
    </row>
    <row r="329" spans="3:11" x14ac:dyDescent="0.25">
      <c r="C329" t="s">
        <v>5051</v>
      </c>
      <c r="D329" t="s">
        <v>5050</v>
      </c>
      <c r="E329" t="s">
        <v>5049</v>
      </c>
      <c r="F329" s="62">
        <v>2</v>
      </c>
      <c r="H329" s="70">
        <v>11.21</v>
      </c>
      <c r="J329" s="69">
        <v>0</v>
      </c>
      <c r="K329" s="68">
        <v>0</v>
      </c>
    </row>
    <row r="330" spans="3:11" x14ac:dyDescent="0.25">
      <c r="C330" t="s">
        <v>5048</v>
      </c>
      <c r="D330" t="s">
        <v>5047</v>
      </c>
      <c r="E330" t="s">
        <v>5046</v>
      </c>
      <c r="F330" s="62">
        <v>1</v>
      </c>
      <c r="H330" s="70">
        <v>7.93</v>
      </c>
      <c r="J330" s="69">
        <v>0</v>
      </c>
      <c r="K330" s="68">
        <v>0</v>
      </c>
    </row>
    <row r="331" spans="3:11" x14ac:dyDescent="0.25">
      <c r="C331" t="s">
        <v>5045</v>
      </c>
      <c r="D331" t="s">
        <v>5044</v>
      </c>
      <c r="E331" t="s">
        <v>5043</v>
      </c>
      <c r="F331" s="62">
        <v>1</v>
      </c>
      <c r="H331" s="70">
        <v>808.58</v>
      </c>
      <c r="J331" s="69">
        <v>0</v>
      </c>
      <c r="K331" s="68">
        <v>0</v>
      </c>
    </row>
    <row r="332" spans="3:11" x14ac:dyDescent="0.25">
      <c r="C332" t="s">
        <v>5042</v>
      </c>
      <c r="D332" t="s">
        <v>5041</v>
      </c>
      <c r="E332" t="s">
        <v>5040</v>
      </c>
      <c r="F332" s="62">
        <v>10</v>
      </c>
      <c r="H332" s="70">
        <v>380.24</v>
      </c>
      <c r="J332" s="69">
        <v>0</v>
      </c>
      <c r="K332" s="68">
        <v>0</v>
      </c>
    </row>
    <row r="333" spans="3:11" x14ac:dyDescent="0.25">
      <c r="C333" t="s">
        <v>5039</v>
      </c>
      <c r="D333" t="s">
        <v>5038</v>
      </c>
      <c r="E333" t="s">
        <v>5037</v>
      </c>
      <c r="F333" s="62">
        <v>6</v>
      </c>
      <c r="H333" s="70">
        <v>184.59</v>
      </c>
      <c r="J333" s="69">
        <v>0</v>
      </c>
      <c r="K333" s="68">
        <v>0</v>
      </c>
    </row>
    <row r="334" spans="3:11" x14ac:dyDescent="0.25">
      <c r="C334" t="s">
        <v>5036</v>
      </c>
      <c r="D334" t="s">
        <v>5035</v>
      </c>
      <c r="E334" t="s">
        <v>5034</v>
      </c>
      <c r="F334" s="62">
        <v>6</v>
      </c>
      <c r="H334" s="70">
        <v>315.27</v>
      </c>
      <c r="J334" s="69">
        <v>0</v>
      </c>
      <c r="K334" s="68">
        <v>0</v>
      </c>
    </row>
    <row r="335" spans="3:11" x14ac:dyDescent="0.25">
      <c r="C335" t="s">
        <v>5033</v>
      </c>
      <c r="D335" t="s">
        <v>5032</v>
      </c>
      <c r="E335" t="s">
        <v>5031</v>
      </c>
      <c r="F335" s="62">
        <v>12</v>
      </c>
      <c r="H335" s="70">
        <v>61.96</v>
      </c>
      <c r="J335" s="69">
        <v>0</v>
      </c>
      <c r="K335" s="68">
        <v>0</v>
      </c>
    </row>
    <row r="336" spans="3:11" x14ac:dyDescent="0.25">
      <c r="C336" t="s">
        <v>5030</v>
      </c>
      <c r="D336" t="s">
        <v>5029</v>
      </c>
      <c r="E336" t="s">
        <v>5028</v>
      </c>
      <c r="F336" s="62">
        <v>6</v>
      </c>
      <c r="H336" s="70">
        <v>73.78</v>
      </c>
      <c r="J336" s="69">
        <v>0</v>
      </c>
      <c r="K336" s="68">
        <v>0</v>
      </c>
    </row>
    <row r="337" spans="1:11" x14ac:dyDescent="0.25">
      <c r="C337" t="s">
        <v>5027</v>
      </c>
      <c r="D337" t="s">
        <v>5026</v>
      </c>
      <c r="E337" t="s">
        <v>5025</v>
      </c>
      <c r="F337" s="62">
        <v>30</v>
      </c>
      <c r="H337" s="70">
        <v>63.16</v>
      </c>
      <c r="J337" s="69">
        <v>0</v>
      </c>
      <c r="K337" s="68">
        <v>0</v>
      </c>
    </row>
    <row r="338" spans="1:11" x14ac:dyDescent="0.25">
      <c r="C338" t="s">
        <v>5024</v>
      </c>
      <c r="D338" t="s">
        <v>5023</v>
      </c>
      <c r="E338" t="s">
        <v>5022</v>
      </c>
      <c r="F338" s="62">
        <v>2</v>
      </c>
      <c r="H338" s="70">
        <v>7.08</v>
      </c>
      <c r="J338" s="69">
        <v>0</v>
      </c>
      <c r="K338" s="68">
        <v>0</v>
      </c>
    </row>
    <row r="339" spans="1:11" x14ac:dyDescent="0.25">
      <c r="C339" t="s">
        <v>5021</v>
      </c>
      <c r="D339" t="s">
        <v>5020</v>
      </c>
      <c r="E339" t="s">
        <v>5019</v>
      </c>
      <c r="F339" s="62">
        <v>10</v>
      </c>
      <c r="H339" s="70">
        <v>51.64</v>
      </c>
      <c r="J339" s="69">
        <v>0</v>
      </c>
      <c r="K339" s="68">
        <v>0</v>
      </c>
    </row>
    <row r="340" spans="1:11" x14ac:dyDescent="0.25">
      <c r="C340" t="s">
        <v>5018</v>
      </c>
      <c r="D340" t="s">
        <v>5017</v>
      </c>
      <c r="E340" t="s">
        <v>5016</v>
      </c>
      <c r="F340" s="62">
        <v>10</v>
      </c>
      <c r="H340" s="70">
        <v>51.64</v>
      </c>
      <c r="J340" s="69">
        <v>0</v>
      </c>
      <c r="K340" s="68">
        <v>0</v>
      </c>
    </row>
    <row r="341" spans="1:11" x14ac:dyDescent="0.25">
      <c r="C341" t="s">
        <v>5015</v>
      </c>
      <c r="D341" t="s">
        <v>5014</v>
      </c>
      <c r="E341" t="s">
        <v>5013</v>
      </c>
      <c r="F341" s="62">
        <v>2</v>
      </c>
      <c r="H341" s="70">
        <v>273.99</v>
      </c>
      <c r="J341" s="69">
        <v>0</v>
      </c>
      <c r="K341" s="68">
        <v>0</v>
      </c>
    </row>
    <row r="342" spans="1:11" x14ac:dyDescent="0.25">
      <c r="C342" t="s">
        <v>5012</v>
      </c>
      <c r="D342" t="s">
        <v>5011</v>
      </c>
      <c r="E342" t="s">
        <v>5010</v>
      </c>
      <c r="F342" s="62">
        <v>5</v>
      </c>
      <c r="H342" s="70">
        <v>159.07</v>
      </c>
      <c r="J342" s="69">
        <v>0</v>
      </c>
      <c r="K342" s="68">
        <v>0</v>
      </c>
    </row>
    <row r="343" spans="1:11" x14ac:dyDescent="0.25">
      <c r="C343" t="s">
        <v>5009</v>
      </c>
      <c r="D343" t="s">
        <v>5008</v>
      </c>
      <c r="E343" t="s">
        <v>5007</v>
      </c>
      <c r="F343" s="62">
        <v>2</v>
      </c>
      <c r="H343" s="70">
        <v>30.86</v>
      </c>
      <c r="J343" s="69">
        <v>0</v>
      </c>
      <c r="K343" s="68">
        <v>0</v>
      </c>
    </row>
    <row r="344" spans="1:11" x14ac:dyDescent="0.25">
      <c r="C344" t="s">
        <v>5006</v>
      </c>
      <c r="D344" t="s">
        <v>5005</v>
      </c>
      <c r="E344" t="s">
        <v>5004</v>
      </c>
      <c r="F344" s="62">
        <v>2</v>
      </c>
      <c r="H344" s="70">
        <v>30.16</v>
      </c>
      <c r="J344" s="69">
        <v>0</v>
      </c>
      <c r="K344" s="68">
        <v>0</v>
      </c>
    </row>
    <row r="345" spans="1:11" x14ac:dyDescent="0.25">
      <c r="C345" t="s">
        <v>5003</v>
      </c>
      <c r="D345" t="s">
        <v>5002</v>
      </c>
      <c r="E345" t="s">
        <v>5001</v>
      </c>
      <c r="F345" s="62">
        <v>12</v>
      </c>
      <c r="H345" s="70">
        <v>46.5</v>
      </c>
      <c r="J345" s="69">
        <v>0</v>
      </c>
      <c r="K345" s="68">
        <v>0</v>
      </c>
    </row>
    <row r="346" spans="1:11" x14ac:dyDescent="0.25">
      <c r="C346" t="s">
        <v>5000</v>
      </c>
      <c r="D346" t="s">
        <v>4999</v>
      </c>
      <c r="E346" t="s">
        <v>4998</v>
      </c>
      <c r="F346" s="62">
        <v>30</v>
      </c>
      <c r="H346" s="70">
        <v>23.37</v>
      </c>
      <c r="J346" s="69">
        <v>0</v>
      </c>
      <c r="K346" s="68">
        <v>0</v>
      </c>
    </row>
    <row r="347" spans="1:11" x14ac:dyDescent="0.25">
      <c r="C347" t="s">
        <v>4997</v>
      </c>
      <c r="D347" t="s">
        <v>4430</v>
      </c>
      <c r="E347" t="s">
        <v>4429</v>
      </c>
      <c r="F347" s="62">
        <v>100</v>
      </c>
      <c r="H347" s="70">
        <v>499</v>
      </c>
      <c r="J347" s="69">
        <v>0</v>
      </c>
      <c r="K347" s="68">
        <v>0</v>
      </c>
    </row>
    <row r="348" spans="1:11" x14ac:dyDescent="0.25">
      <c r="C348" t="s">
        <v>4996</v>
      </c>
      <c r="D348" t="s">
        <v>4995</v>
      </c>
      <c r="E348" t="s">
        <v>4994</v>
      </c>
      <c r="F348" s="62">
        <v>10</v>
      </c>
      <c r="H348" s="70">
        <v>32.22</v>
      </c>
      <c r="J348" s="69">
        <v>0</v>
      </c>
      <c r="K348" s="68">
        <v>0</v>
      </c>
    </row>
    <row r="349" spans="1:11" x14ac:dyDescent="0.25">
      <c r="C349" t="s">
        <v>4993</v>
      </c>
      <c r="D349" t="s">
        <v>4992</v>
      </c>
      <c r="E349" t="s">
        <v>4991</v>
      </c>
      <c r="F349" s="62">
        <v>8</v>
      </c>
      <c r="H349" s="70">
        <v>23.15</v>
      </c>
      <c r="J349" s="69">
        <v>0</v>
      </c>
      <c r="K349" s="68">
        <v>0</v>
      </c>
    </row>
    <row r="350" spans="1:11" x14ac:dyDescent="0.25">
      <c r="C350" t="s">
        <v>4990</v>
      </c>
      <c r="D350" t="s">
        <v>4989</v>
      </c>
      <c r="E350" t="s">
        <v>4988</v>
      </c>
      <c r="F350" s="62">
        <v>1000</v>
      </c>
      <c r="H350" s="70">
        <v>103.46</v>
      </c>
      <c r="J350" s="69">
        <v>0</v>
      </c>
      <c r="K350" s="68">
        <v>0</v>
      </c>
    </row>
    <row r="351" spans="1:11" x14ac:dyDescent="0.25">
      <c r="A351">
        <v>757601</v>
      </c>
      <c r="B351" t="s">
        <v>4987</v>
      </c>
      <c r="C351" t="s">
        <v>252</v>
      </c>
      <c r="D351" t="s">
        <v>144</v>
      </c>
      <c r="E351" t="s">
        <v>4986</v>
      </c>
      <c r="F351" s="62">
        <v>1</v>
      </c>
      <c r="H351" s="70">
        <v>2368</v>
      </c>
      <c r="J351" s="69">
        <v>0</v>
      </c>
      <c r="K351" s="68">
        <v>0</v>
      </c>
    </row>
    <row r="352" spans="1:11" x14ac:dyDescent="0.25">
      <c r="C352" t="s">
        <v>1033</v>
      </c>
      <c r="D352" t="s">
        <v>1034</v>
      </c>
      <c r="E352" t="s">
        <v>4985</v>
      </c>
      <c r="F352" s="62">
        <v>1</v>
      </c>
      <c r="H352" s="70">
        <v>7700</v>
      </c>
      <c r="J352" s="69"/>
      <c r="K352" s="68">
        <v>0</v>
      </c>
    </row>
    <row r="353" spans="1:11" x14ac:dyDescent="0.25">
      <c r="C353" t="s">
        <v>4984</v>
      </c>
      <c r="D353" t="s">
        <v>4983</v>
      </c>
      <c r="E353" t="s">
        <v>4982</v>
      </c>
      <c r="F353" s="62">
        <v>1</v>
      </c>
      <c r="H353" s="70">
        <v>2345</v>
      </c>
      <c r="J353" s="69">
        <v>0</v>
      </c>
      <c r="K353" s="68">
        <v>0</v>
      </c>
    </row>
    <row r="354" spans="1:11" x14ac:dyDescent="0.25">
      <c r="C354" t="s">
        <v>4981</v>
      </c>
      <c r="D354" t="s">
        <v>4980</v>
      </c>
      <c r="E354" t="s">
        <v>4979</v>
      </c>
      <c r="F354" s="62">
        <v>2</v>
      </c>
      <c r="H354" s="70">
        <v>2228.0500000000002</v>
      </c>
      <c r="J354" s="69">
        <v>3</v>
      </c>
      <c r="K354" s="68">
        <v>6684.1500000000005</v>
      </c>
    </row>
    <row r="355" spans="1:11" x14ac:dyDescent="0.25">
      <c r="A355">
        <v>713631</v>
      </c>
      <c r="B355" t="s">
        <v>4978</v>
      </c>
      <c r="C355" t="s">
        <v>938</v>
      </c>
      <c r="D355" t="s">
        <v>939</v>
      </c>
      <c r="E355" t="s">
        <v>4977</v>
      </c>
      <c r="F355" s="62">
        <v>1</v>
      </c>
      <c r="H355" s="70">
        <v>3878.96</v>
      </c>
      <c r="J355" s="69">
        <v>0</v>
      </c>
      <c r="K355" s="68">
        <v>0</v>
      </c>
    </row>
    <row r="356" spans="1:11" x14ac:dyDescent="0.25">
      <c r="C356" t="s">
        <v>4976</v>
      </c>
      <c r="D356" t="s">
        <v>4975</v>
      </c>
      <c r="E356" t="s">
        <v>4974</v>
      </c>
      <c r="F356" s="62">
        <v>6</v>
      </c>
      <c r="H356" s="70">
        <v>196.02</v>
      </c>
      <c r="J356" s="69">
        <v>1</v>
      </c>
      <c r="K356" s="68">
        <v>196.02</v>
      </c>
    </row>
    <row r="357" spans="1:11" x14ac:dyDescent="0.25">
      <c r="C357" t="s">
        <v>4973</v>
      </c>
      <c r="D357" t="s">
        <v>4972</v>
      </c>
      <c r="E357" t="s">
        <v>4971</v>
      </c>
      <c r="F357" s="62">
        <v>3</v>
      </c>
      <c r="H357" s="70">
        <v>6500</v>
      </c>
      <c r="J357" s="69">
        <v>0</v>
      </c>
      <c r="K357" s="68">
        <v>0</v>
      </c>
    </row>
    <row r="358" spans="1:11" x14ac:dyDescent="0.25">
      <c r="C358" t="s">
        <v>4970</v>
      </c>
      <c r="D358" t="s">
        <v>4969</v>
      </c>
      <c r="E358" t="s">
        <v>4968</v>
      </c>
      <c r="F358" s="62">
        <v>5</v>
      </c>
      <c r="H358" s="70">
        <v>514.58199999999999</v>
      </c>
      <c r="J358" s="69">
        <v>0</v>
      </c>
      <c r="K358" s="68">
        <v>0</v>
      </c>
    </row>
    <row r="359" spans="1:11" x14ac:dyDescent="0.25">
      <c r="C359" t="s">
        <v>4967</v>
      </c>
      <c r="D359" t="s">
        <v>4966</v>
      </c>
      <c r="E359" t="s">
        <v>4965</v>
      </c>
      <c r="F359" s="62">
        <v>1</v>
      </c>
      <c r="H359" s="70">
        <v>292.35000000000002</v>
      </c>
      <c r="J359" s="69">
        <v>1</v>
      </c>
      <c r="K359" s="68">
        <v>292.35000000000002</v>
      </c>
    </row>
    <row r="360" spans="1:11" x14ac:dyDescent="0.25">
      <c r="C360" t="s">
        <v>4964</v>
      </c>
      <c r="D360" t="s">
        <v>4963</v>
      </c>
      <c r="E360" t="s">
        <v>4962</v>
      </c>
      <c r="F360" s="62">
        <v>1</v>
      </c>
      <c r="H360" s="70">
        <v>292.35000000000002</v>
      </c>
      <c r="J360" s="69">
        <v>1</v>
      </c>
      <c r="K360" s="68">
        <v>292.35000000000002</v>
      </c>
    </row>
    <row r="361" spans="1:11" x14ac:dyDescent="0.25">
      <c r="C361" t="s">
        <v>4961</v>
      </c>
      <c r="D361" t="s">
        <v>4960</v>
      </c>
      <c r="E361" t="s">
        <v>4959</v>
      </c>
      <c r="F361" s="62">
        <v>1</v>
      </c>
      <c r="H361" s="70">
        <v>62.24</v>
      </c>
      <c r="J361" s="69">
        <v>0</v>
      </c>
      <c r="K361" s="68">
        <v>0</v>
      </c>
    </row>
    <row r="362" spans="1:11" x14ac:dyDescent="0.25">
      <c r="C362" t="s">
        <v>4958</v>
      </c>
      <c r="D362" t="s">
        <v>4957</v>
      </c>
      <c r="E362" t="s">
        <v>4956</v>
      </c>
      <c r="F362" s="62">
        <v>2</v>
      </c>
      <c r="H362" s="70">
        <v>241.17</v>
      </c>
      <c r="J362" s="69">
        <v>2</v>
      </c>
      <c r="K362" s="68">
        <v>482.34</v>
      </c>
    </row>
    <row r="363" spans="1:11" x14ac:dyDescent="0.25">
      <c r="C363" t="s">
        <v>4955</v>
      </c>
      <c r="D363" t="s">
        <v>4954</v>
      </c>
      <c r="E363" t="s">
        <v>4953</v>
      </c>
      <c r="F363" s="62">
        <v>18</v>
      </c>
      <c r="H363" s="70">
        <v>1.37</v>
      </c>
      <c r="J363" s="69">
        <v>0</v>
      </c>
      <c r="K363" s="68">
        <v>0</v>
      </c>
    </row>
    <row r="364" spans="1:11" x14ac:dyDescent="0.25">
      <c r="C364" t="s">
        <v>4952</v>
      </c>
      <c r="D364" t="s">
        <v>4951</v>
      </c>
      <c r="E364" t="s">
        <v>4950</v>
      </c>
      <c r="F364" s="62">
        <v>6</v>
      </c>
      <c r="H364" s="70">
        <v>82.2</v>
      </c>
      <c r="J364" s="69">
        <v>3</v>
      </c>
      <c r="K364" s="68">
        <v>246.60000000000002</v>
      </c>
    </row>
    <row r="365" spans="1:11" x14ac:dyDescent="0.25">
      <c r="C365" t="s">
        <v>4949</v>
      </c>
      <c r="D365" t="s">
        <v>4948</v>
      </c>
      <c r="E365" t="s">
        <v>4947</v>
      </c>
      <c r="F365" s="62">
        <v>3</v>
      </c>
      <c r="H365" s="70">
        <v>13.57</v>
      </c>
      <c r="J365" s="69">
        <v>0</v>
      </c>
      <c r="K365" s="68">
        <v>0</v>
      </c>
    </row>
    <row r="366" spans="1:11" x14ac:dyDescent="0.25">
      <c r="C366" t="s">
        <v>4946</v>
      </c>
      <c r="D366" t="s">
        <v>4945</v>
      </c>
      <c r="E366" t="s">
        <v>4944</v>
      </c>
      <c r="F366" s="62">
        <v>3</v>
      </c>
      <c r="H366" s="70">
        <v>4.93</v>
      </c>
      <c r="J366" s="69">
        <v>0</v>
      </c>
      <c r="K366" s="68">
        <v>0</v>
      </c>
    </row>
    <row r="367" spans="1:11" x14ac:dyDescent="0.25">
      <c r="C367" t="s">
        <v>4943</v>
      </c>
      <c r="D367" t="s">
        <v>4942</v>
      </c>
      <c r="E367" t="s">
        <v>4941</v>
      </c>
      <c r="F367" s="62">
        <v>2</v>
      </c>
      <c r="H367" s="70">
        <v>437.78</v>
      </c>
      <c r="J367" s="69">
        <v>0</v>
      </c>
      <c r="K367" s="68">
        <v>0</v>
      </c>
    </row>
    <row r="368" spans="1:11" x14ac:dyDescent="0.25">
      <c r="C368" t="s">
        <v>4940</v>
      </c>
      <c r="D368" t="s">
        <v>4939</v>
      </c>
      <c r="E368" t="s">
        <v>4938</v>
      </c>
      <c r="F368" s="62">
        <v>1</v>
      </c>
      <c r="H368" s="70">
        <v>154.01</v>
      </c>
      <c r="J368" s="69">
        <v>0</v>
      </c>
      <c r="K368" s="68">
        <v>0</v>
      </c>
    </row>
    <row r="369" spans="1:11" x14ac:dyDescent="0.25">
      <c r="C369" t="s">
        <v>4937</v>
      </c>
      <c r="D369" t="s">
        <v>4936</v>
      </c>
      <c r="E369" t="s">
        <v>4935</v>
      </c>
      <c r="F369" s="62">
        <v>1</v>
      </c>
      <c r="H369" s="70">
        <v>557.61</v>
      </c>
      <c r="J369" s="69">
        <v>0</v>
      </c>
      <c r="K369" s="68">
        <v>0</v>
      </c>
    </row>
    <row r="370" spans="1:11" x14ac:dyDescent="0.25">
      <c r="C370" t="s">
        <v>4934</v>
      </c>
      <c r="D370" t="s">
        <v>4933</v>
      </c>
      <c r="E370" t="s">
        <v>4932</v>
      </c>
      <c r="F370" s="62">
        <v>2</v>
      </c>
      <c r="H370" s="70">
        <v>115.83</v>
      </c>
      <c r="J370" s="69">
        <v>0</v>
      </c>
      <c r="K370" s="68">
        <v>0</v>
      </c>
    </row>
    <row r="371" spans="1:11" x14ac:dyDescent="0.25">
      <c r="C371" t="s">
        <v>4931</v>
      </c>
      <c r="D371" t="s">
        <v>4930</v>
      </c>
      <c r="E371" t="s">
        <v>4929</v>
      </c>
      <c r="F371" s="62">
        <v>6</v>
      </c>
      <c r="H371" s="70">
        <v>4.8600000000000003</v>
      </c>
      <c r="J371" s="69">
        <v>0</v>
      </c>
      <c r="K371" s="68">
        <v>0</v>
      </c>
    </row>
    <row r="372" spans="1:11" x14ac:dyDescent="0.25">
      <c r="C372" t="s">
        <v>4928</v>
      </c>
      <c r="D372" t="s">
        <v>4927</v>
      </c>
      <c r="E372" t="s">
        <v>4926</v>
      </c>
      <c r="F372" s="62">
        <v>2</v>
      </c>
      <c r="H372" s="70">
        <v>8.3800000000000008</v>
      </c>
      <c r="J372" s="69">
        <v>0</v>
      </c>
      <c r="K372" s="68">
        <v>0</v>
      </c>
    </row>
    <row r="373" spans="1:11" x14ac:dyDescent="0.25">
      <c r="C373" t="s">
        <v>4925</v>
      </c>
      <c r="D373" t="s">
        <v>4924</v>
      </c>
      <c r="E373" t="s">
        <v>4923</v>
      </c>
      <c r="F373" s="62">
        <v>3</v>
      </c>
      <c r="H373" s="70">
        <v>3.08</v>
      </c>
      <c r="J373" s="69">
        <v>0</v>
      </c>
      <c r="K373" s="68">
        <v>0</v>
      </c>
    </row>
    <row r="374" spans="1:11" x14ac:dyDescent="0.25">
      <c r="C374" t="s">
        <v>4922</v>
      </c>
      <c r="D374" t="s">
        <v>4921</v>
      </c>
      <c r="E374" t="s">
        <v>4920</v>
      </c>
      <c r="F374" s="62">
        <v>2</v>
      </c>
      <c r="H374" s="70">
        <v>503.64</v>
      </c>
      <c r="J374" s="69">
        <v>0</v>
      </c>
      <c r="K374" s="68">
        <v>0</v>
      </c>
    </row>
    <row r="375" spans="1:11" x14ac:dyDescent="0.25">
      <c r="C375" t="s">
        <v>4919</v>
      </c>
      <c r="D375" t="s">
        <v>4918</v>
      </c>
      <c r="E375" t="s">
        <v>4917</v>
      </c>
      <c r="F375" s="62">
        <v>2</v>
      </c>
      <c r="H375" s="70">
        <v>4.9400000000000004</v>
      </c>
      <c r="J375" s="69">
        <v>0</v>
      </c>
      <c r="K375" s="68">
        <v>0</v>
      </c>
    </row>
    <row r="376" spans="1:11" x14ac:dyDescent="0.25">
      <c r="C376" t="s">
        <v>4916</v>
      </c>
      <c r="D376" t="s">
        <v>4915</v>
      </c>
      <c r="E376" t="s">
        <v>4914</v>
      </c>
      <c r="F376" s="62">
        <v>1</v>
      </c>
      <c r="H376" s="70">
        <v>78.36</v>
      </c>
      <c r="J376" s="69">
        <v>0</v>
      </c>
      <c r="K376" s="68">
        <v>0</v>
      </c>
    </row>
    <row r="377" spans="1:11" x14ac:dyDescent="0.25">
      <c r="C377" t="s">
        <v>4913</v>
      </c>
      <c r="D377" t="s">
        <v>4912</v>
      </c>
      <c r="E377" t="s">
        <v>4911</v>
      </c>
      <c r="F377" s="62">
        <v>1</v>
      </c>
      <c r="H377" s="70">
        <v>312.58999999999997</v>
      </c>
      <c r="J377" s="69">
        <v>0</v>
      </c>
      <c r="K377" s="68">
        <v>0</v>
      </c>
    </row>
    <row r="378" spans="1:11" x14ac:dyDescent="0.25">
      <c r="C378" t="s">
        <v>4910</v>
      </c>
      <c r="D378" t="s">
        <v>4909</v>
      </c>
      <c r="E378" t="s">
        <v>4908</v>
      </c>
      <c r="F378" s="62">
        <v>1</v>
      </c>
      <c r="H378" s="70">
        <v>1.39</v>
      </c>
      <c r="J378" s="69">
        <v>0</v>
      </c>
      <c r="K378" s="68">
        <v>0</v>
      </c>
    </row>
    <row r="379" spans="1:11" x14ac:dyDescent="0.25">
      <c r="C379" t="s">
        <v>4907</v>
      </c>
      <c r="D379" t="s">
        <v>4906</v>
      </c>
      <c r="E379" t="s">
        <v>4905</v>
      </c>
      <c r="F379" s="62">
        <v>1</v>
      </c>
      <c r="H379" s="70">
        <v>3.02</v>
      </c>
      <c r="J379" s="69">
        <v>0</v>
      </c>
      <c r="K379" s="68">
        <v>0</v>
      </c>
    </row>
    <row r="380" spans="1:11" x14ac:dyDescent="0.25">
      <c r="C380" t="s">
        <v>4904</v>
      </c>
      <c r="D380" t="s">
        <v>4903</v>
      </c>
      <c r="E380" t="s">
        <v>4902</v>
      </c>
      <c r="F380" s="62">
        <v>1</v>
      </c>
      <c r="H380" s="70">
        <v>442.82</v>
      </c>
      <c r="J380" s="69">
        <v>0</v>
      </c>
      <c r="K380" s="68">
        <v>0</v>
      </c>
    </row>
    <row r="381" spans="1:11" x14ac:dyDescent="0.25">
      <c r="C381" t="s">
        <v>4901</v>
      </c>
      <c r="D381" t="s">
        <v>4900</v>
      </c>
      <c r="E381" t="s">
        <v>4899</v>
      </c>
      <c r="F381" s="62">
        <v>1</v>
      </c>
      <c r="H381" s="70">
        <v>1220.7</v>
      </c>
      <c r="J381" s="69">
        <v>0</v>
      </c>
      <c r="K381" s="68">
        <v>0</v>
      </c>
    </row>
    <row r="382" spans="1:11" x14ac:dyDescent="0.25">
      <c r="C382" t="s">
        <v>4898</v>
      </c>
      <c r="D382" t="s">
        <v>4897</v>
      </c>
      <c r="E382" t="s">
        <v>4896</v>
      </c>
      <c r="F382" s="62">
        <v>1</v>
      </c>
      <c r="H382" s="70">
        <v>689.48</v>
      </c>
      <c r="J382" s="69">
        <v>0</v>
      </c>
      <c r="K382" s="68">
        <v>0</v>
      </c>
    </row>
    <row r="383" spans="1:11" x14ac:dyDescent="0.25">
      <c r="A383">
        <v>761327</v>
      </c>
      <c r="B383" t="s">
        <v>4895</v>
      </c>
      <c r="C383" t="s">
        <v>4894</v>
      </c>
      <c r="D383" t="s">
        <v>178</v>
      </c>
      <c r="E383" t="s">
        <v>4893</v>
      </c>
      <c r="F383" s="62">
        <v>15</v>
      </c>
      <c r="H383" s="70">
        <v>16.2</v>
      </c>
      <c r="J383" s="69">
        <v>5</v>
      </c>
      <c r="K383" s="68">
        <v>81</v>
      </c>
    </row>
    <row r="384" spans="1:11" x14ac:dyDescent="0.25">
      <c r="C384" t="s">
        <v>4892</v>
      </c>
      <c r="D384" t="s">
        <v>275</v>
      </c>
      <c r="E384" t="s">
        <v>4891</v>
      </c>
      <c r="F384" s="62">
        <v>15</v>
      </c>
      <c r="H384" s="70">
        <v>24.3</v>
      </c>
      <c r="J384" s="69">
        <v>8</v>
      </c>
      <c r="K384" s="68">
        <v>194.4</v>
      </c>
    </row>
    <row r="385" spans="3:11" x14ac:dyDescent="0.25">
      <c r="C385" t="s">
        <v>4890</v>
      </c>
      <c r="D385" t="s">
        <v>180</v>
      </c>
      <c r="E385" t="s">
        <v>4889</v>
      </c>
      <c r="F385" s="62">
        <v>15</v>
      </c>
      <c r="H385" s="70">
        <v>25.2</v>
      </c>
      <c r="J385" s="69">
        <v>9</v>
      </c>
      <c r="K385" s="68">
        <v>226.79999999999998</v>
      </c>
    </row>
    <row r="386" spans="3:11" x14ac:dyDescent="0.25">
      <c r="C386" t="s">
        <v>4888</v>
      </c>
      <c r="D386" t="s">
        <v>4887</v>
      </c>
      <c r="E386" t="s">
        <v>4886</v>
      </c>
      <c r="F386" s="62">
        <v>15</v>
      </c>
      <c r="H386" s="70">
        <v>15.39</v>
      </c>
      <c r="J386" s="69">
        <v>10</v>
      </c>
      <c r="K386" s="68">
        <v>153.9</v>
      </c>
    </row>
    <row r="387" spans="3:11" x14ac:dyDescent="0.25">
      <c r="C387" t="s">
        <v>4885</v>
      </c>
      <c r="D387" t="s">
        <v>4884</v>
      </c>
      <c r="E387" t="s">
        <v>4883</v>
      </c>
      <c r="F387" s="62">
        <v>15</v>
      </c>
      <c r="H387" s="70">
        <v>22.5</v>
      </c>
      <c r="J387" s="69">
        <v>8</v>
      </c>
      <c r="K387" s="68">
        <v>180</v>
      </c>
    </row>
    <row r="388" spans="3:11" x14ac:dyDescent="0.25">
      <c r="C388" t="s">
        <v>4882</v>
      </c>
      <c r="D388" t="s">
        <v>4881</v>
      </c>
      <c r="E388" t="s">
        <v>4880</v>
      </c>
      <c r="F388" s="62">
        <v>180</v>
      </c>
      <c r="H388" s="70">
        <v>25.2</v>
      </c>
      <c r="J388" s="69">
        <v>0</v>
      </c>
      <c r="K388" s="68">
        <v>0</v>
      </c>
    </row>
    <row r="389" spans="3:11" x14ac:dyDescent="0.25">
      <c r="C389" t="s">
        <v>4879</v>
      </c>
      <c r="D389" t="s">
        <v>4878</v>
      </c>
      <c r="E389" t="s">
        <v>4877</v>
      </c>
      <c r="F389" s="62">
        <v>10</v>
      </c>
      <c r="H389" s="70">
        <v>108</v>
      </c>
      <c r="J389" s="69">
        <v>10</v>
      </c>
      <c r="K389" s="68">
        <v>1080</v>
      </c>
    </row>
    <row r="390" spans="3:11" x14ac:dyDescent="0.25">
      <c r="C390" t="s">
        <v>4876</v>
      </c>
      <c r="D390" t="s">
        <v>4875</v>
      </c>
      <c r="E390" t="s">
        <v>4874</v>
      </c>
      <c r="F390" s="62">
        <v>10</v>
      </c>
      <c r="H390" s="70">
        <v>18</v>
      </c>
      <c r="J390" s="69">
        <v>10</v>
      </c>
      <c r="K390" s="68">
        <v>180</v>
      </c>
    </row>
    <row r="391" spans="3:11" x14ac:dyDescent="0.25">
      <c r="C391" t="s">
        <v>4873</v>
      </c>
      <c r="D391" t="s">
        <v>4872</v>
      </c>
      <c r="E391" t="s">
        <v>4871</v>
      </c>
      <c r="F391" s="62">
        <v>10</v>
      </c>
      <c r="H391" s="70">
        <v>13.5</v>
      </c>
      <c r="J391" s="69">
        <v>10</v>
      </c>
      <c r="K391" s="68">
        <v>135</v>
      </c>
    </row>
    <row r="392" spans="3:11" x14ac:dyDescent="0.25">
      <c r="C392" t="s">
        <v>4870</v>
      </c>
      <c r="D392" t="s">
        <v>4869</v>
      </c>
      <c r="E392" t="s">
        <v>4868</v>
      </c>
      <c r="F392" s="62">
        <v>10</v>
      </c>
      <c r="H392" s="70">
        <v>18</v>
      </c>
      <c r="J392" s="69">
        <v>10</v>
      </c>
      <c r="K392" s="68">
        <v>180</v>
      </c>
    </row>
    <row r="393" spans="3:11" x14ac:dyDescent="0.25">
      <c r="C393" t="s">
        <v>4867</v>
      </c>
      <c r="D393" t="s">
        <v>4866</v>
      </c>
      <c r="E393" t="s">
        <v>4865</v>
      </c>
      <c r="F393" s="62">
        <v>10</v>
      </c>
      <c r="H393" s="70">
        <v>4.5</v>
      </c>
      <c r="J393" s="69">
        <v>10</v>
      </c>
      <c r="K393" s="68">
        <v>45</v>
      </c>
    </row>
    <row r="394" spans="3:11" x14ac:dyDescent="0.25">
      <c r="C394" t="s">
        <v>4864</v>
      </c>
      <c r="D394" t="s">
        <v>4863</v>
      </c>
      <c r="E394" t="s">
        <v>4862</v>
      </c>
      <c r="F394" s="62">
        <v>10</v>
      </c>
      <c r="H394" s="70">
        <v>4.5</v>
      </c>
      <c r="J394" s="69">
        <v>10</v>
      </c>
      <c r="K394" s="68">
        <v>45</v>
      </c>
    </row>
    <row r="395" spans="3:11" x14ac:dyDescent="0.25">
      <c r="C395" t="s">
        <v>4861</v>
      </c>
      <c r="D395" t="s">
        <v>4860</v>
      </c>
      <c r="E395" t="s">
        <v>4859</v>
      </c>
      <c r="F395" s="62">
        <v>10</v>
      </c>
      <c r="H395" s="70">
        <v>3.15</v>
      </c>
      <c r="J395" s="69">
        <v>10</v>
      </c>
      <c r="K395" s="68">
        <v>31.5</v>
      </c>
    </row>
    <row r="396" spans="3:11" x14ac:dyDescent="0.25">
      <c r="C396" t="s">
        <v>4858</v>
      </c>
      <c r="D396" t="s">
        <v>4857</v>
      </c>
      <c r="E396" t="s">
        <v>4856</v>
      </c>
      <c r="F396" s="62">
        <v>10</v>
      </c>
      <c r="H396" s="70">
        <v>63</v>
      </c>
      <c r="J396" s="69">
        <v>10</v>
      </c>
      <c r="K396" s="68">
        <v>630</v>
      </c>
    </row>
    <row r="397" spans="3:11" x14ac:dyDescent="0.25">
      <c r="C397" t="s">
        <v>4855</v>
      </c>
      <c r="D397" t="s">
        <v>4854</v>
      </c>
      <c r="E397" t="s">
        <v>4853</v>
      </c>
      <c r="F397" s="62">
        <v>10</v>
      </c>
      <c r="H397" s="70">
        <v>9</v>
      </c>
      <c r="J397" s="69">
        <v>3</v>
      </c>
      <c r="K397" s="68">
        <v>27</v>
      </c>
    </row>
    <row r="398" spans="3:11" x14ac:dyDescent="0.25">
      <c r="C398" t="s">
        <v>4852</v>
      </c>
      <c r="D398" t="s">
        <v>4851</v>
      </c>
      <c r="E398" t="s">
        <v>4850</v>
      </c>
      <c r="F398" s="62">
        <v>6</v>
      </c>
      <c r="H398" s="70">
        <v>14.1</v>
      </c>
      <c r="J398" s="69">
        <v>5</v>
      </c>
      <c r="K398" s="68">
        <v>70.5</v>
      </c>
    </row>
    <row r="399" spans="3:11" x14ac:dyDescent="0.25">
      <c r="C399" t="s">
        <v>4849</v>
      </c>
      <c r="D399" t="s">
        <v>4848</v>
      </c>
      <c r="E399" t="s">
        <v>4847</v>
      </c>
      <c r="F399" s="62">
        <v>1</v>
      </c>
      <c r="H399" s="70">
        <v>200</v>
      </c>
      <c r="J399" s="69">
        <v>0</v>
      </c>
      <c r="K399" s="68">
        <v>0</v>
      </c>
    </row>
    <row r="400" spans="3:11" x14ac:dyDescent="0.25">
      <c r="C400" t="s">
        <v>4846</v>
      </c>
      <c r="D400" t="s">
        <v>4845</v>
      </c>
      <c r="E400" t="s">
        <v>4844</v>
      </c>
      <c r="F400" s="62">
        <v>1</v>
      </c>
      <c r="H400" s="70">
        <v>2885</v>
      </c>
      <c r="J400" s="69">
        <v>0</v>
      </c>
      <c r="K400" s="68">
        <v>0</v>
      </c>
    </row>
    <row r="401" spans="1:11" x14ac:dyDescent="0.25">
      <c r="C401" t="s">
        <v>4843</v>
      </c>
      <c r="D401" t="s">
        <v>4842</v>
      </c>
      <c r="E401" t="s">
        <v>3810</v>
      </c>
      <c r="F401" s="62">
        <v>1</v>
      </c>
      <c r="H401" s="70">
        <v>900</v>
      </c>
      <c r="J401" s="69">
        <v>0</v>
      </c>
      <c r="K401" s="68">
        <v>0</v>
      </c>
    </row>
    <row r="402" spans="1:11" x14ac:dyDescent="0.25">
      <c r="C402" t="s">
        <v>4841</v>
      </c>
      <c r="D402" t="s">
        <v>4840</v>
      </c>
      <c r="E402" t="s">
        <v>4839</v>
      </c>
      <c r="F402" s="62">
        <v>10</v>
      </c>
      <c r="H402" s="70">
        <v>25</v>
      </c>
      <c r="J402" s="69">
        <v>10</v>
      </c>
      <c r="K402" s="68">
        <v>250</v>
      </c>
    </row>
    <row r="403" spans="1:11" x14ac:dyDescent="0.25">
      <c r="C403" t="s">
        <v>4838</v>
      </c>
      <c r="D403" t="s">
        <v>4837</v>
      </c>
      <c r="E403" t="s">
        <v>4836</v>
      </c>
      <c r="F403" s="62">
        <v>10</v>
      </c>
      <c r="H403" s="70">
        <v>70</v>
      </c>
      <c r="J403" s="69">
        <v>10</v>
      </c>
      <c r="K403" s="68">
        <v>700</v>
      </c>
    </row>
    <row r="404" spans="1:11" x14ac:dyDescent="0.25">
      <c r="C404" t="s">
        <v>4835</v>
      </c>
      <c r="D404" t="s">
        <v>4834</v>
      </c>
      <c r="E404" t="s">
        <v>4833</v>
      </c>
      <c r="F404" s="62">
        <v>10</v>
      </c>
      <c r="H404" s="70">
        <v>110</v>
      </c>
      <c r="J404" s="69">
        <v>0</v>
      </c>
      <c r="K404" s="68">
        <v>0</v>
      </c>
    </row>
    <row r="405" spans="1:11" x14ac:dyDescent="0.25">
      <c r="C405" t="s">
        <v>4832</v>
      </c>
      <c r="D405" t="s">
        <v>4831</v>
      </c>
      <c r="E405" t="s">
        <v>4830</v>
      </c>
      <c r="F405" s="62">
        <v>10</v>
      </c>
      <c r="H405" s="70">
        <v>20</v>
      </c>
      <c r="J405" s="69">
        <v>0</v>
      </c>
      <c r="K405" s="68">
        <v>0</v>
      </c>
    </row>
    <row r="406" spans="1:11" x14ac:dyDescent="0.25">
      <c r="C406" t="s">
        <v>4829</v>
      </c>
      <c r="D406" t="s">
        <v>4828</v>
      </c>
      <c r="E406" t="s">
        <v>4827</v>
      </c>
      <c r="F406" s="62">
        <v>2</v>
      </c>
      <c r="H406" s="70">
        <v>2.0699999999999998</v>
      </c>
      <c r="J406" s="69">
        <v>0</v>
      </c>
      <c r="K406" s="68">
        <v>0</v>
      </c>
    </row>
    <row r="407" spans="1:11" x14ac:dyDescent="0.25">
      <c r="A407">
        <v>765641</v>
      </c>
      <c r="B407" t="s">
        <v>4826</v>
      </c>
      <c r="C407" t="s">
        <v>4825</v>
      </c>
      <c r="D407" t="s">
        <v>4824</v>
      </c>
      <c r="E407" t="s">
        <v>4823</v>
      </c>
      <c r="F407" s="62">
        <v>4</v>
      </c>
      <c r="H407" s="70">
        <v>10.89</v>
      </c>
      <c r="J407" s="69">
        <v>1</v>
      </c>
      <c r="K407" s="68">
        <v>10.89</v>
      </c>
    </row>
    <row r="408" spans="1:11" x14ac:dyDescent="0.25">
      <c r="C408" t="s">
        <v>4822</v>
      </c>
      <c r="D408" t="s">
        <v>4821</v>
      </c>
      <c r="E408" t="s">
        <v>4820</v>
      </c>
      <c r="F408" s="62">
        <v>2</v>
      </c>
      <c r="H408" s="70">
        <v>163.35</v>
      </c>
      <c r="J408" s="69">
        <v>1</v>
      </c>
      <c r="K408" s="68">
        <v>163.35</v>
      </c>
    </row>
    <row r="409" spans="1:11" x14ac:dyDescent="0.25">
      <c r="C409" t="s">
        <v>4819</v>
      </c>
      <c r="D409" t="s">
        <v>4818</v>
      </c>
      <c r="E409" t="s">
        <v>4685</v>
      </c>
      <c r="F409" s="62">
        <v>70</v>
      </c>
      <c r="H409" s="70">
        <v>31.762429000000001</v>
      </c>
      <c r="J409" s="69">
        <v>0</v>
      </c>
      <c r="K409" s="68">
        <v>0</v>
      </c>
    </row>
    <row r="410" spans="1:11" x14ac:dyDescent="0.25">
      <c r="C410" t="s">
        <v>4817</v>
      </c>
      <c r="D410" t="s">
        <v>4816</v>
      </c>
      <c r="E410" t="s">
        <v>4815</v>
      </c>
      <c r="F410" s="62">
        <v>100</v>
      </c>
      <c r="H410" s="70">
        <v>36.299999999999997</v>
      </c>
      <c r="J410" s="69">
        <v>20</v>
      </c>
      <c r="K410" s="68">
        <v>726</v>
      </c>
    </row>
    <row r="411" spans="1:11" x14ac:dyDescent="0.25">
      <c r="C411" t="s">
        <v>4814</v>
      </c>
      <c r="D411" t="s">
        <v>4813</v>
      </c>
      <c r="E411" t="s">
        <v>4812</v>
      </c>
      <c r="F411" s="62">
        <v>8</v>
      </c>
      <c r="H411" s="70">
        <v>843.97500000000002</v>
      </c>
      <c r="J411" s="69">
        <v>2</v>
      </c>
      <c r="K411" s="68">
        <v>1687.95</v>
      </c>
    </row>
    <row r="412" spans="1:11" x14ac:dyDescent="0.25">
      <c r="C412" t="s">
        <v>4811</v>
      </c>
      <c r="D412" t="s">
        <v>4810</v>
      </c>
      <c r="E412" t="s">
        <v>4809</v>
      </c>
      <c r="F412" s="62">
        <v>8</v>
      </c>
      <c r="H412" s="70">
        <v>324.3</v>
      </c>
      <c r="J412" s="69">
        <v>2</v>
      </c>
      <c r="K412" s="68">
        <v>648.6</v>
      </c>
    </row>
    <row r="413" spans="1:11" x14ac:dyDescent="0.25">
      <c r="C413" t="s">
        <v>4808</v>
      </c>
      <c r="D413" t="s">
        <v>4807</v>
      </c>
      <c r="E413" t="s">
        <v>4806</v>
      </c>
      <c r="F413" s="62">
        <v>25</v>
      </c>
      <c r="H413" s="70">
        <v>9.1</v>
      </c>
      <c r="J413" s="69">
        <v>0</v>
      </c>
      <c r="K413" s="68">
        <v>0</v>
      </c>
    </row>
    <row r="414" spans="1:11" x14ac:dyDescent="0.25">
      <c r="C414" t="s">
        <v>4805</v>
      </c>
      <c r="D414" t="s">
        <v>4804</v>
      </c>
      <c r="E414" t="s">
        <v>4803</v>
      </c>
      <c r="F414" s="62">
        <v>25</v>
      </c>
      <c r="H414" s="70">
        <v>8.9</v>
      </c>
      <c r="J414" s="69">
        <v>0</v>
      </c>
      <c r="K414" s="68">
        <v>0</v>
      </c>
    </row>
    <row r="415" spans="1:11" x14ac:dyDescent="0.25">
      <c r="C415" t="s">
        <v>4802</v>
      </c>
      <c r="D415" t="s">
        <v>4801</v>
      </c>
      <c r="E415" t="s">
        <v>4800</v>
      </c>
      <c r="F415" s="62">
        <v>2</v>
      </c>
      <c r="H415" s="70">
        <v>2110.98</v>
      </c>
      <c r="J415" s="69">
        <v>2</v>
      </c>
      <c r="K415" s="68">
        <v>4221.96</v>
      </c>
    </row>
    <row r="416" spans="1:11" x14ac:dyDescent="0.25">
      <c r="B416" t="s">
        <v>4799</v>
      </c>
      <c r="C416" t="s">
        <v>4798</v>
      </c>
      <c r="D416" t="s">
        <v>4686</v>
      </c>
      <c r="E416" t="s">
        <v>4685</v>
      </c>
      <c r="F416" s="62">
        <v>120</v>
      </c>
      <c r="H416" s="70">
        <v>31.762499999999999</v>
      </c>
      <c r="J416" s="69">
        <v>0</v>
      </c>
      <c r="K416" s="68">
        <v>0</v>
      </c>
    </row>
    <row r="417" spans="3:11" x14ac:dyDescent="0.25">
      <c r="C417" t="s">
        <v>4797</v>
      </c>
      <c r="D417" t="s">
        <v>4796</v>
      </c>
      <c r="E417" t="s">
        <v>4795</v>
      </c>
      <c r="F417" s="62">
        <v>5</v>
      </c>
      <c r="H417" s="70">
        <v>64.653999999999996</v>
      </c>
      <c r="J417" s="69">
        <v>0</v>
      </c>
      <c r="K417" s="68">
        <v>0</v>
      </c>
    </row>
    <row r="418" spans="3:11" x14ac:dyDescent="0.25">
      <c r="C418" t="s">
        <v>4794</v>
      </c>
      <c r="D418" t="s">
        <v>4793</v>
      </c>
      <c r="E418" t="s">
        <v>4792</v>
      </c>
      <c r="F418" s="62">
        <v>3</v>
      </c>
      <c r="H418" s="70">
        <v>38.799999999999997</v>
      </c>
      <c r="J418" s="69">
        <v>0</v>
      </c>
      <c r="K418" s="68">
        <v>0</v>
      </c>
    </row>
    <row r="419" spans="3:11" x14ac:dyDescent="0.25">
      <c r="C419" t="s">
        <v>4791</v>
      </c>
      <c r="D419" t="s">
        <v>4790</v>
      </c>
      <c r="E419" t="s">
        <v>4789</v>
      </c>
      <c r="F419" s="62">
        <v>5</v>
      </c>
      <c r="H419" s="70">
        <v>18.059999999999999</v>
      </c>
      <c r="J419" s="69">
        <v>0</v>
      </c>
      <c r="K419" s="68">
        <v>0</v>
      </c>
    </row>
    <row r="420" spans="3:11" x14ac:dyDescent="0.25">
      <c r="C420" t="s">
        <v>4788</v>
      </c>
      <c r="D420" t="s">
        <v>4787</v>
      </c>
      <c r="E420" t="s">
        <v>4786</v>
      </c>
      <c r="F420" s="62">
        <v>5</v>
      </c>
      <c r="H420" s="70">
        <v>8.0139999999999993</v>
      </c>
      <c r="J420" s="69">
        <v>0</v>
      </c>
      <c r="K420" s="68">
        <v>0</v>
      </c>
    </row>
    <row r="421" spans="3:11" x14ac:dyDescent="0.25">
      <c r="C421" t="s">
        <v>4785</v>
      </c>
      <c r="D421" t="s">
        <v>4784</v>
      </c>
      <c r="E421" t="s">
        <v>4783</v>
      </c>
      <c r="F421" s="62">
        <v>5</v>
      </c>
      <c r="H421" s="70">
        <v>6.7240000000000002</v>
      </c>
      <c r="J421" s="69">
        <v>0</v>
      </c>
      <c r="K421" s="68">
        <v>0</v>
      </c>
    </row>
    <row r="422" spans="3:11" x14ac:dyDescent="0.25">
      <c r="C422" t="s">
        <v>4782</v>
      </c>
      <c r="D422" t="s">
        <v>4781</v>
      </c>
      <c r="E422" t="s">
        <v>4780</v>
      </c>
      <c r="F422" s="62">
        <v>4</v>
      </c>
      <c r="H422" s="70">
        <v>54.45</v>
      </c>
      <c r="J422" s="69">
        <v>0</v>
      </c>
      <c r="K422" s="68">
        <v>0</v>
      </c>
    </row>
    <row r="423" spans="3:11" x14ac:dyDescent="0.25">
      <c r="C423" t="s">
        <v>4779</v>
      </c>
      <c r="D423" t="s">
        <v>4778</v>
      </c>
      <c r="E423" t="s">
        <v>4777</v>
      </c>
      <c r="F423" s="62">
        <v>6</v>
      </c>
      <c r="H423" s="70">
        <v>31.853332999999999</v>
      </c>
      <c r="J423" s="69">
        <v>0</v>
      </c>
      <c r="K423" s="68">
        <v>0</v>
      </c>
    </row>
    <row r="424" spans="3:11" x14ac:dyDescent="0.25">
      <c r="C424" t="s">
        <v>4776</v>
      </c>
      <c r="D424" t="s">
        <v>4775</v>
      </c>
      <c r="E424" t="s">
        <v>4774</v>
      </c>
      <c r="F424" s="62">
        <v>6</v>
      </c>
      <c r="H424" s="70">
        <v>51.5</v>
      </c>
      <c r="J424" s="69">
        <v>0</v>
      </c>
      <c r="K424" s="68">
        <v>0</v>
      </c>
    </row>
    <row r="425" spans="3:11" x14ac:dyDescent="0.25">
      <c r="C425" t="s">
        <v>4773</v>
      </c>
      <c r="D425" t="s">
        <v>4772</v>
      </c>
      <c r="E425" t="s">
        <v>4771</v>
      </c>
      <c r="F425" s="62">
        <v>6</v>
      </c>
      <c r="H425" s="70">
        <v>103.721667</v>
      </c>
      <c r="J425" s="69">
        <v>0</v>
      </c>
      <c r="K425" s="68">
        <v>0</v>
      </c>
    </row>
    <row r="426" spans="3:11" x14ac:dyDescent="0.25">
      <c r="C426" t="s">
        <v>4770</v>
      </c>
      <c r="D426" t="s">
        <v>4769</v>
      </c>
      <c r="E426" t="s">
        <v>4768</v>
      </c>
      <c r="F426" s="62">
        <v>5</v>
      </c>
      <c r="H426" s="70">
        <v>46.518000000000001</v>
      </c>
      <c r="J426" s="69">
        <v>0</v>
      </c>
      <c r="K426" s="68">
        <v>0</v>
      </c>
    </row>
    <row r="427" spans="3:11" x14ac:dyDescent="0.25">
      <c r="C427" t="s">
        <v>4767</v>
      </c>
      <c r="D427" t="s">
        <v>4766</v>
      </c>
      <c r="E427" t="s">
        <v>4765</v>
      </c>
      <c r="F427" s="62">
        <v>5</v>
      </c>
      <c r="H427" s="70">
        <v>38.914000000000001</v>
      </c>
      <c r="J427" s="69">
        <v>0</v>
      </c>
      <c r="K427" s="68">
        <v>0</v>
      </c>
    </row>
    <row r="428" spans="3:11" x14ac:dyDescent="0.25">
      <c r="C428" t="s">
        <v>4764</v>
      </c>
      <c r="D428" t="s">
        <v>4763</v>
      </c>
      <c r="E428" t="s">
        <v>4762</v>
      </c>
      <c r="F428" s="62">
        <v>12</v>
      </c>
      <c r="H428" s="70">
        <v>7.81</v>
      </c>
      <c r="J428" s="69">
        <v>0</v>
      </c>
      <c r="K428" s="68">
        <v>0</v>
      </c>
    </row>
    <row r="429" spans="3:11" x14ac:dyDescent="0.25">
      <c r="C429" t="s">
        <v>4761</v>
      </c>
      <c r="D429" t="s">
        <v>4760</v>
      </c>
      <c r="E429" t="s">
        <v>4759</v>
      </c>
      <c r="F429" s="62">
        <v>12</v>
      </c>
      <c r="H429" s="70">
        <v>9.27</v>
      </c>
      <c r="J429" s="69">
        <v>0</v>
      </c>
      <c r="K429" s="68">
        <v>0</v>
      </c>
    </row>
    <row r="430" spans="3:11" x14ac:dyDescent="0.25">
      <c r="C430" t="s">
        <v>4758</v>
      </c>
      <c r="D430" t="s">
        <v>4757</v>
      </c>
      <c r="E430" t="s">
        <v>4756</v>
      </c>
      <c r="F430" s="62">
        <v>5</v>
      </c>
      <c r="H430" s="70">
        <v>2.57</v>
      </c>
      <c r="J430" s="69">
        <v>0</v>
      </c>
      <c r="K430" s="68">
        <v>0</v>
      </c>
    </row>
    <row r="431" spans="3:11" x14ac:dyDescent="0.25">
      <c r="C431" t="s">
        <v>4755</v>
      </c>
      <c r="D431" t="s">
        <v>4754</v>
      </c>
      <c r="E431" t="s">
        <v>4753</v>
      </c>
      <c r="F431" s="62">
        <v>1</v>
      </c>
      <c r="H431" s="70">
        <v>39.700000000000003</v>
      </c>
      <c r="J431" s="69">
        <v>0</v>
      </c>
      <c r="K431" s="68">
        <v>0</v>
      </c>
    </row>
    <row r="432" spans="3:11" x14ac:dyDescent="0.25">
      <c r="C432" t="s">
        <v>4752</v>
      </c>
      <c r="D432" t="s">
        <v>4751</v>
      </c>
      <c r="E432" t="s">
        <v>4750</v>
      </c>
      <c r="F432" s="62">
        <v>50</v>
      </c>
      <c r="H432" s="70">
        <v>4.4467999999999996</v>
      </c>
      <c r="J432" s="69">
        <v>0</v>
      </c>
      <c r="K432" s="68">
        <v>0</v>
      </c>
    </row>
    <row r="433" spans="1:11" x14ac:dyDescent="0.25">
      <c r="C433" t="s">
        <v>4749</v>
      </c>
      <c r="D433" t="s">
        <v>4748</v>
      </c>
      <c r="E433" t="s">
        <v>4747</v>
      </c>
      <c r="F433" s="62">
        <v>8</v>
      </c>
      <c r="H433" s="70">
        <v>1687.95</v>
      </c>
      <c r="J433" s="69">
        <v>0</v>
      </c>
      <c r="K433" s="68">
        <v>0</v>
      </c>
    </row>
    <row r="434" spans="1:11" x14ac:dyDescent="0.25">
      <c r="C434" t="s">
        <v>4746</v>
      </c>
      <c r="D434" t="s">
        <v>4745</v>
      </c>
      <c r="E434" t="s">
        <v>4744</v>
      </c>
      <c r="F434" s="62">
        <v>20</v>
      </c>
      <c r="H434" s="70">
        <v>1.8</v>
      </c>
      <c r="J434" s="69">
        <v>0</v>
      </c>
      <c r="K434" s="68">
        <v>0</v>
      </c>
    </row>
    <row r="435" spans="1:11" x14ac:dyDescent="0.25">
      <c r="C435" t="s">
        <v>4743</v>
      </c>
      <c r="D435" t="s">
        <v>4742</v>
      </c>
      <c r="E435" t="s">
        <v>4741</v>
      </c>
      <c r="F435" s="62">
        <v>6</v>
      </c>
      <c r="H435" s="70">
        <v>1650</v>
      </c>
      <c r="J435" s="69">
        <v>0</v>
      </c>
      <c r="K435" s="68">
        <v>0</v>
      </c>
    </row>
    <row r="436" spans="1:11" x14ac:dyDescent="0.25">
      <c r="C436" t="s">
        <v>4740</v>
      </c>
      <c r="D436" t="s">
        <v>4739</v>
      </c>
      <c r="E436" t="s">
        <v>4738</v>
      </c>
      <c r="F436" s="62">
        <v>4</v>
      </c>
      <c r="H436" s="70">
        <v>1415.7</v>
      </c>
      <c r="J436" s="69">
        <v>0</v>
      </c>
      <c r="K436" s="68">
        <v>0</v>
      </c>
    </row>
    <row r="437" spans="1:11" x14ac:dyDescent="0.25">
      <c r="C437" t="s">
        <v>4737</v>
      </c>
      <c r="D437" t="s">
        <v>4736</v>
      </c>
      <c r="E437" t="s">
        <v>4735</v>
      </c>
      <c r="F437" s="62">
        <v>500</v>
      </c>
      <c r="H437" s="70">
        <v>4083.75</v>
      </c>
      <c r="J437" s="69">
        <v>0</v>
      </c>
      <c r="K437" s="68">
        <v>0</v>
      </c>
    </row>
    <row r="438" spans="1:11" x14ac:dyDescent="0.25">
      <c r="A438">
        <v>764142</v>
      </c>
      <c r="B438" t="s">
        <v>4734</v>
      </c>
      <c r="C438" t="s">
        <v>4733</v>
      </c>
      <c r="D438" t="s">
        <v>4732</v>
      </c>
      <c r="E438" t="s">
        <v>4731</v>
      </c>
      <c r="F438" s="62">
        <v>8</v>
      </c>
      <c r="H438" s="70">
        <v>26.798749999999998</v>
      </c>
      <c r="J438" s="69">
        <v>3</v>
      </c>
      <c r="K438" s="68">
        <v>80.396249999999995</v>
      </c>
    </row>
    <row r="439" spans="1:11" x14ac:dyDescent="0.25">
      <c r="C439" t="s">
        <v>4730</v>
      </c>
      <c r="D439" t="s">
        <v>4729</v>
      </c>
      <c r="E439" t="s">
        <v>4728</v>
      </c>
      <c r="F439" s="62">
        <v>8</v>
      </c>
      <c r="H439" s="70">
        <v>40.075000000000003</v>
      </c>
      <c r="J439" s="69">
        <v>3</v>
      </c>
      <c r="K439" s="68">
        <v>120.22500000000001</v>
      </c>
    </row>
    <row r="440" spans="1:11" x14ac:dyDescent="0.25">
      <c r="C440" t="s">
        <v>4727</v>
      </c>
      <c r="D440" t="s">
        <v>3478</v>
      </c>
      <c r="E440" t="s">
        <v>3477</v>
      </c>
      <c r="F440" s="62">
        <v>5</v>
      </c>
      <c r="H440" s="70">
        <v>508.2</v>
      </c>
      <c r="J440" s="69">
        <v>1</v>
      </c>
      <c r="K440" s="68">
        <v>508.2</v>
      </c>
    </row>
    <row r="441" spans="1:11" x14ac:dyDescent="0.25">
      <c r="C441" t="s">
        <v>4726</v>
      </c>
      <c r="D441" t="s">
        <v>4725</v>
      </c>
      <c r="E441" t="s">
        <v>4724</v>
      </c>
      <c r="F441" s="62">
        <v>4</v>
      </c>
      <c r="H441" s="70">
        <v>716.92499999999995</v>
      </c>
      <c r="J441" s="69">
        <v>1</v>
      </c>
      <c r="K441" s="68">
        <v>716.92499999999995</v>
      </c>
    </row>
    <row r="442" spans="1:11" x14ac:dyDescent="0.25">
      <c r="C442" t="s">
        <v>4723</v>
      </c>
      <c r="D442" t="s">
        <v>4722</v>
      </c>
      <c r="E442" t="s">
        <v>4721</v>
      </c>
      <c r="F442" s="62">
        <v>20</v>
      </c>
      <c r="H442" s="70">
        <v>73.997</v>
      </c>
      <c r="J442" s="69">
        <v>4</v>
      </c>
      <c r="K442" s="68">
        <v>295.988</v>
      </c>
    </row>
    <row r="443" spans="1:11" x14ac:dyDescent="0.25">
      <c r="C443" t="s">
        <v>4720</v>
      </c>
      <c r="D443" t="s">
        <v>4719</v>
      </c>
      <c r="E443" t="s">
        <v>4718</v>
      </c>
      <c r="F443" s="62">
        <v>15</v>
      </c>
      <c r="H443" s="70">
        <v>66.247332999999998</v>
      </c>
      <c r="J443" s="69">
        <v>5</v>
      </c>
      <c r="K443" s="68">
        <v>331.23666500000002</v>
      </c>
    </row>
    <row r="444" spans="1:11" x14ac:dyDescent="0.25">
      <c r="C444" t="s">
        <v>4717</v>
      </c>
      <c r="D444" t="s">
        <v>4716</v>
      </c>
      <c r="E444" t="s">
        <v>4715</v>
      </c>
      <c r="F444" s="62">
        <v>5</v>
      </c>
      <c r="H444" s="70">
        <v>490.05</v>
      </c>
      <c r="J444" s="69">
        <v>1</v>
      </c>
      <c r="K444" s="68">
        <v>490.05</v>
      </c>
    </row>
    <row r="445" spans="1:11" x14ac:dyDescent="0.25">
      <c r="C445" t="s">
        <v>4714</v>
      </c>
      <c r="D445" t="s">
        <v>4713</v>
      </c>
      <c r="E445" t="s">
        <v>4712</v>
      </c>
      <c r="F445" s="62">
        <v>4</v>
      </c>
      <c r="H445" s="70">
        <v>19.8</v>
      </c>
      <c r="J445" s="69">
        <v>2</v>
      </c>
      <c r="K445" s="68">
        <v>39.6</v>
      </c>
    </row>
    <row r="446" spans="1:11" x14ac:dyDescent="0.25">
      <c r="C446" t="s">
        <v>4711</v>
      </c>
      <c r="D446" t="s">
        <v>4710</v>
      </c>
      <c r="E446" t="s">
        <v>4709</v>
      </c>
      <c r="F446" s="62">
        <v>2</v>
      </c>
      <c r="H446" s="70">
        <v>76.260000000000005</v>
      </c>
      <c r="J446" s="69">
        <v>2</v>
      </c>
      <c r="K446" s="68">
        <v>152.52000000000001</v>
      </c>
    </row>
    <row r="447" spans="1:11" x14ac:dyDescent="0.25">
      <c r="C447" t="s">
        <v>4708</v>
      </c>
      <c r="D447" t="s">
        <v>4707</v>
      </c>
      <c r="E447" t="s">
        <v>4706</v>
      </c>
      <c r="F447" s="62">
        <v>4</v>
      </c>
      <c r="H447" s="70">
        <v>14.88</v>
      </c>
      <c r="J447" s="69">
        <v>2</v>
      </c>
      <c r="K447" s="68">
        <v>29.76</v>
      </c>
    </row>
    <row r="448" spans="1:11" x14ac:dyDescent="0.25">
      <c r="C448" t="s">
        <v>4705</v>
      </c>
      <c r="D448" t="s">
        <v>4704</v>
      </c>
      <c r="E448" t="s">
        <v>4703</v>
      </c>
      <c r="F448" s="62">
        <v>2</v>
      </c>
      <c r="H448" s="70">
        <v>57.66</v>
      </c>
      <c r="J448" s="69">
        <v>1</v>
      </c>
      <c r="K448" s="68">
        <v>57.66</v>
      </c>
    </row>
    <row r="449" spans="1:11" x14ac:dyDescent="0.25">
      <c r="C449" t="s">
        <v>4702</v>
      </c>
      <c r="D449" t="s">
        <v>4701</v>
      </c>
      <c r="E449" t="s">
        <v>4700</v>
      </c>
      <c r="F449" s="62">
        <v>16</v>
      </c>
      <c r="H449" s="70">
        <v>50.5</v>
      </c>
      <c r="J449" s="69">
        <v>0</v>
      </c>
      <c r="K449" s="68">
        <v>0</v>
      </c>
    </row>
    <row r="450" spans="1:11" x14ac:dyDescent="0.25">
      <c r="C450" t="s">
        <v>4699</v>
      </c>
      <c r="D450" t="s">
        <v>4698</v>
      </c>
      <c r="E450" t="s">
        <v>4697</v>
      </c>
      <c r="F450" s="62">
        <v>115</v>
      </c>
      <c r="H450" s="70">
        <v>20.5</v>
      </c>
      <c r="J450" s="69">
        <v>0</v>
      </c>
      <c r="K450" s="68">
        <v>0</v>
      </c>
    </row>
    <row r="451" spans="1:11" x14ac:dyDescent="0.25">
      <c r="C451" t="s">
        <v>4696</v>
      </c>
      <c r="D451" t="s">
        <v>4695</v>
      </c>
      <c r="E451" t="s">
        <v>4694</v>
      </c>
      <c r="F451" s="62">
        <v>22</v>
      </c>
      <c r="H451" s="70">
        <v>19</v>
      </c>
      <c r="J451" s="69">
        <v>0</v>
      </c>
      <c r="K451" s="68">
        <v>0</v>
      </c>
    </row>
    <row r="452" spans="1:11" x14ac:dyDescent="0.25">
      <c r="C452" t="s">
        <v>4693</v>
      </c>
      <c r="D452" t="s">
        <v>4692</v>
      </c>
      <c r="E452" t="s">
        <v>4691</v>
      </c>
      <c r="F452" s="62">
        <v>78</v>
      </c>
      <c r="H452" s="70">
        <v>17</v>
      </c>
      <c r="J452" s="69">
        <v>0</v>
      </c>
      <c r="K452" s="68">
        <v>0</v>
      </c>
    </row>
    <row r="453" spans="1:11" x14ac:dyDescent="0.25">
      <c r="C453" t="s">
        <v>4690</v>
      </c>
      <c r="D453" t="s">
        <v>4689</v>
      </c>
      <c r="E453" t="s">
        <v>4688</v>
      </c>
      <c r="F453" s="62">
        <v>2</v>
      </c>
      <c r="H453" s="70">
        <v>71.16</v>
      </c>
      <c r="J453" s="69">
        <v>0</v>
      </c>
      <c r="K453" s="68">
        <v>0</v>
      </c>
    </row>
    <row r="454" spans="1:11" x14ac:dyDescent="0.25">
      <c r="C454" t="s">
        <v>4687</v>
      </c>
      <c r="D454" t="s">
        <v>4686</v>
      </c>
      <c r="E454" t="s">
        <v>4685</v>
      </c>
      <c r="F454" s="62">
        <v>60</v>
      </c>
      <c r="H454" s="70">
        <v>31.762499999999999</v>
      </c>
      <c r="J454" s="69">
        <v>0</v>
      </c>
      <c r="K454" s="68">
        <v>0</v>
      </c>
    </row>
    <row r="455" spans="1:11" x14ac:dyDescent="0.25">
      <c r="C455" t="s">
        <v>4684</v>
      </c>
      <c r="D455" t="s">
        <v>4683</v>
      </c>
      <c r="E455" t="s">
        <v>4682</v>
      </c>
      <c r="F455" s="62">
        <v>4</v>
      </c>
      <c r="H455" s="70">
        <v>420</v>
      </c>
      <c r="J455" s="69">
        <v>0</v>
      </c>
      <c r="K455" s="68">
        <v>0</v>
      </c>
    </row>
    <row r="456" spans="1:11" x14ac:dyDescent="0.25">
      <c r="C456" t="s">
        <v>4681</v>
      </c>
      <c r="D456" t="s">
        <v>4448</v>
      </c>
      <c r="E456" t="s">
        <v>4447</v>
      </c>
      <c r="F456" s="62">
        <v>3</v>
      </c>
      <c r="H456" s="70">
        <v>113</v>
      </c>
      <c r="J456" s="69">
        <v>0</v>
      </c>
      <c r="K456" s="68">
        <v>0</v>
      </c>
    </row>
    <row r="457" spans="1:11" x14ac:dyDescent="0.25">
      <c r="C457" t="s">
        <v>4680</v>
      </c>
      <c r="D457" t="s">
        <v>4679</v>
      </c>
      <c r="E457" t="s">
        <v>4678</v>
      </c>
      <c r="F457" s="62">
        <v>100</v>
      </c>
      <c r="H457" s="70">
        <v>0.86209999999999998</v>
      </c>
      <c r="J457" s="69">
        <v>0</v>
      </c>
      <c r="K457" s="68">
        <v>0</v>
      </c>
    </row>
    <row r="458" spans="1:11" x14ac:dyDescent="0.25">
      <c r="C458" t="s">
        <v>4677</v>
      </c>
      <c r="D458" t="s">
        <v>4676</v>
      </c>
      <c r="E458" t="s">
        <v>4675</v>
      </c>
      <c r="F458" s="62">
        <v>400</v>
      </c>
      <c r="H458" s="70">
        <v>0.77129999999999999</v>
      </c>
      <c r="J458" s="69">
        <v>0</v>
      </c>
      <c r="K458" s="68">
        <v>0</v>
      </c>
    </row>
    <row r="459" spans="1:11" x14ac:dyDescent="0.25">
      <c r="A459">
        <v>767584</v>
      </c>
      <c r="B459" t="s">
        <v>4674</v>
      </c>
      <c r="C459" t="s">
        <v>4673</v>
      </c>
      <c r="D459" t="s">
        <v>4672</v>
      </c>
      <c r="E459" t="s">
        <v>4660</v>
      </c>
      <c r="F459" s="62">
        <v>1</v>
      </c>
      <c r="H459" s="70">
        <v>21.01</v>
      </c>
      <c r="J459" s="69">
        <v>0</v>
      </c>
      <c r="K459" s="68">
        <v>0</v>
      </c>
    </row>
    <row r="460" spans="1:11" x14ac:dyDescent="0.25">
      <c r="C460" t="s">
        <v>4671</v>
      </c>
      <c r="D460" t="s">
        <v>4670</v>
      </c>
      <c r="E460" t="s">
        <v>4669</v>
      </c>
      <c r="F460" s="62">
        <v>1</v>
      </c>
      <c r="H460" s="70">
        <v>32.729999999999997</v>
      </c>
      <c r="J460" s="69">
        <v>0</v>
      </c>
      <c r="K460" s="68">
        <v>0</v>
      </c>
    </row>
    <row r="461" spans="1:11" x14ac:dyDescent="0.25">
      <c r="C461" t="s">
        <v>4668</v>
      </c>
      <c r="D461" t="s">
        <v>4667</v>
      </c>
      <c r="E461" t="s">
        <v>4666</v>
      </c>
      <c r="F461" s="62">
        <v>1</v>
      </c>
      <c r="H461" s="70">
        <v>27.97</v>
      </c>
      <c r="J461" s="69">
        <v>0</v>
      </c>
      <c r="K461" s="68">
        <v>0</v>
      </c>
    </row>
    <row r="462" spans="1:11" x14ac:dyDescent="0.25">
      <c r="C462" t="s">
        <v>4665</v>
      </c>
      <c r="D462" t="s">
        <v>4664</v>
      </c>
      <c r="E462" t="s">
        <v>4663</v>
      </c>
      <c r="F462" s="62">
        <v>1</v>
      </c>
      <c r="H462" s="70">
        <v>648.67999999999995</v>
      </c>
      <c r="J462" s="69">
        <v>0</v>
      </c>
      <c r="K462" s="68">
        <v>0</v>
      </c>
    </row>
    <row r="463" spans="1:11" x14ac:dyDescent="0.25">
      <c r="C463" t="s">
        <v>4662</v>
      </c>
      <c r="D463" t="s">
        <v>4661</v>
      </c>
      <c r="E463" t="s">
        <v>4660</v>
      </c>
      <c r="F463" s="62">
        <v>1</v>
      </c>
      <c r="H463" s="70">
        <v>23.6</v>
      </c>
      <c r="J463" s="69">
        <v>0</v>
      </c>
      <c r="K463" s="68">
        <v>0</v>
      </c>
    </row>
    <row r="464" spans="1:11" x14ac:dyDescent="0.25">
      <c r="C464" t="s">
        <v>4659</v>
      </c>
      <c r="D464" t="s">
        <v>4658</v>
      </c>
      <c r="E464" t="s">
        <v>4657</v>
      </c>
      <c r="F464" s="62">
        <v>1</v>
      </c>
      <c r="H464" s="70">
        <v>2830.26</v>
      </c>
      <c r="J464" s="69">
        <v>0</v>
      </c>
      <c r="K464" s="68">
        <v>0</v>
      </c>
    </row>
    <row r="465" spans="1:11" x14ac:dyDescent="0.25">
      <c r="C465" t="s">
        <v>4656</v>
      </c>
      <c r="D465" t="s">
        <v>4655</v>
      </c>
      <c r="E465" t="s">
        <v>4654</v>
      </c>
      <c r="F465" s="62">
        <v>1</v>
      </c>
      <c r="H465" s="70">
        <v>38.520000000000003</v>
      </c>
      <c r="J465" s="69">
        <v>0</v>
      </c>
      <c r="K465" s="68">
        <v>0</v>
      </c>
    </row>
    <row r="466" spans="1:11" x14ac:dyDescent="0.25">
      <c r="C466" t="s">
        <v>4653</v>
      </c>
      <c r="D466" t="s">
        <v>4652</v>
      </c>
      <c r="E466" t="s">
        <v>4651</v>
      </c>
      <c r="F466" s="62">
        <v>1</v>
      </c>
      <c r="H466" s="70">
        <v>9000</v>
      </c>
      <c r="J466" s="69">
        <v>0</v>
      </c>
      <c r="K466" s="68">
        <v>0</v>
      </c>
    </row>
    <row r="467" spans="1:11" x14ac:dyDescent="0.25">
      <c r="A467">
        <v>755801</v>
      </c>
      <c r="B467" t="s">
        <v>4650</v>
      </c>
      <c r="C467" t="s">
        <v>4649</v>
      </c>
      <c r="D467" t="s">
        <v>4648</v>
      </c>
      <c r="E467" t="s">
        <v>4647</v>
      </c>
      <c r="F467" s="62">
        <v>5</v>
      </c>
      <c r="H467" s="70">
        <v>90.5</v>
      </c>
      <c r="J467" s="69">
        <v>5</v>
      </c>
      <c r="K467" s="68">
        <v>452.5</v>
      </c>
    </row>
    <row r="468" spans="1:11" x14ac:dyDescent="0.25">
      <c r="C468" t="s">
        <v>4646</v>
      </c>
      <c r="D468" t="s">
        <v>4645</v>
      </c>
      <c r="E468" t="s">
        <v>4644</v>
      </c>
      <c r="F468" s="62">
        <v>3</v>
      </c>
      <c r="H468" s="70">
        <v>334.65</v>
      </c>
      <c r="J468" s="69">
        <v>2</v>
      </c>
      <c r="K468" s="68">
        <v>669.3</v>
      </c>
    </row>
    <row r="469" spans="1:11" x14ac:dyDescent="0.25">
      <c r="C469" t="s">
        <v>4643</v>
      </c>
      <c r="D469" t="s">
        <v>4642</v>
      </c>
      <c r="E469" t="s">
        <v>4641</v>
      </c>
      <c r="F469" s="62">
        <v>40</v>
      </c>
      <c r="H469" s="70">
        <v>4.95</v>
      </c>
      <c r="J469" s="69">
        <v>3</v>
      </c>
      <c r="K469" s="68">
        <v>14.850000000000001</v>
      </c>
    </row>
    <row r="470" spans="1:11" x14ac:dyDescent="0.25">
      <c r="C470" t="s">
        <v>327</v>
      </c>
      <c r="D470" t="s">
        <v>328</v>
      </c>
      <c r="E470" t="s">
        <v>4640</v>
      </c>
      <c r="F470" s="62">
        <v>35</v>
      </c>
      <c r="H470" s="70">
        <v>5.2</v>
      </c>
      <c r="J470" s="69">
        <v>5</v>
      </c>
      <c r="K470" s="68">
        <v>26</v>
      </c>
    </row>
    <row r="471" spans="1:11" x14ac:dyDescent="0.25">
      <c r="C471" t="s">
        <v>4639</v>
      </c>
      <c r="D471" t="s">
        <v>4638</v>
      </c>
      <c r="E471" t="s">
        <v>4637</v>
      </c>
      <c r="F471" s="62">
        <v>30</v>
      </c>
      <c r="H471" s="70">
        <v>3.65</v>
      </c>
      <c r="J471" s="69">
        <v>8</v>
      </c>
      <c r="K471" s="68">
        <v>29.2</v>
      </c>
    </row>
    <row r="472" spans="1:11" x14ac:dyDescent="0.25">
      <c r="C472" t="s">
        <v>425</v>
      </c>
      <c r="D472" t="s">
        <v>426</v>
      </c>
      <c r="E472" t="s">
        <v>4636</v>
      </c>
      <c r="F472" s="62">
        <v>2</v>
      </c>
      <c r="H472" s="70">
        <v>195</v>
      </c>
      <c r="J472" s="69">
        <v>2</v>
      </c>
      <c r="K472" s="68">
        <v>390</v>
      </c>
    </row>
    <row r="473" spans="1:11" x14ac:dyDescent="0.25">
      <c r="C473" t="s">
        <v>4635</v>
      </c>
      <c r="D473" t="s">
        <v>4634</v>
      </c>
      <c r="E473" t="s">
        <v>4633</v>
      </c>
      <c r="F473" s="62">
        <v>70</v>
      </c>
      <c r="H473" s="70">
        <v>3.15</v>
      </c>
      <c r="J473" s="69">
        <v>10</v>
      </c>
      <c r="K473" s="68">
        <v>31.5</v>
      </c>
    </row>
    <row r="474" spans="1:11" x14ac:dyDescent="0.25">
      <c r="C474" t="s">
        <v>4632</v>
      </c>
      <c r="D474" t="s">
        <v>4631</v>
      </c>
      <c r="E474" t="s">
        <v>4630</v>
      </c>
      <c r="F474" s="62">
        <v>6</v>
      </c>
      <c r="H474" s="70">
        <v>71.25</v>
      </c>
      <c r="J474" s="69">
        <v>2</v>
      </c>
      <c r="K474" s="68">
        <v>142.5</v>
      </c>
    </row>
    <row r="475" spans="1:11" x14ac:dyDescent="0.25">
      <c r="C475" t="s">
        <v>4629</v>
      </c>
      <c r="D475" t="s">
        <v>4628</v>
      </c>
      <c r="E475" t="s">
        <v>4627</v>
      </c>
      <c r="F475" s="62">
        <v>20</v>
      </c>
      <c r="H475" s="70">
        <v>3.23</v>
      </c>
      <c r="J475" s="69">
        <v>4</v>
      </c>
      <c r="K475" s="68">
        <v>12.92</v>
      </c>
    </row>
    <row r="476" spans="1:11" x14ac:dyDescent="0.25">
      <c r="C476" t="s">
        <v>4626</v>
      </c>
      <c r="D476" t="s">
        <v>4625</v>
      </c>
      <c r="E476" t="s">
        <v>4624</v>
      </c>
      <c r="F476" s="62">
        <v>50</v>
      </c>
      <c r="H476" s="70">
        <v>3.42</v>
      </c>
      <c r="J476" s="69">
        <v>4</v>
      </c>
      <c r="K476" s="68">
        <v>13.68</v>
      </c>
    </row>
    <row r="477" spans="1:11" x14ac:dyDescent="0.25">
      <c r="C477" t="s">
        <v>4623</v>
      </c>
      <c r="D477" t="s">
        <v>4622</v>
      </c>
      <c r="E477" t="s">
        <v>4621</v>
      </c>
      <c r="F477" s="62">
        <v>10</v>
      </c>
      <c r="H477" s="70">
        <v>12.68</v>
      </c>
      <c r="J477" s="69">
        <v>0</v>
      </c>
      <c r="K477" s="68">
        <v>0</v>
      </c>
    </row>
    <row r="478" spans="1:11" x14ac:dyDescent="0.25">
      <c r="C478" t="s">
        <v>4620</v>
      </c>
      <c r="D478" t="s">
        <v>4619</v>
      </c>
      <c r="E478" t="s">
        <v>4618</v>
      </c>
      <c r="F478" s="62">
        <v>5</v>
      </c>
      <c r="H478" s="70">
        <v>154</v>
      </c>
      <c r="J478" s="69">
        <v>2</v>
      </c>
      <c r="K478" s="68">
        <v>308</v>
      </c>
    </row>
    <row r="479" spans="1:11" x14ac:dyDescent="0.25">
      <c r="C479" t="s">
        <v>4617</v>
      </c>
      <c r="D479" t="s">
        <v>4616</v>
      </c>
      <c r="E479" t="s">
        <v>4615</v>
      </c>
      <c r="F479" s="62">
        <v>20</v>
      </c>
      <c r="H479" s="70">
        <v>2.4</v>
      </c>
      <c r="J479" s="69">
        <v>5</v>
      </c>
      <c r="K479" s="68">
        <v>12</v>
      </c>
    </row>
    <row r="480" spans="1:11" x14ac:dyDescent="0.25">
      <c r="C480" t="s">
        <v>4614</v>
      </c>
      <c r="D480" t="s">
        <v>4613</v>
      </c>
      <c r="E480" t="s">
        <v>4612</v>
      </c>
      <c r="F480" s="62">
        <v>20</v>
      </c>
      <c r="H480" s="70">
        <v>3.55</v>
      </c>
      <c r="J480" s="69">
        <v>15</v>
      </c>
      <c r="K480" s="68">
        <v>53.25</v>
      </c>
    </row>
    <row r="481" spans="3:11" x14ac:dyDescent="0.25">
      <c r="C481" t="s">
        <v>4611</v>
      </c>
      <c r="D481" t="s">
        <v>4610</v>
      </c>
      <c r="E481" t="s">
        <v>4609</v>
      </c>
      <c r="F481" s="62">
        <v>30</v>
      </c>
      <c r="H481" s="70">
        <v>3.35</v>
      </c>
      <c r="J481" s="69">
        <v>15</v>
      </c>
      <c r="K481" s="68">
        <v>50.25</v>
      </c>
    </row>
    <row r="482" spans="3:11" x14ac:dyDescent="0.25">
      <c r="C482" t="s">
        <v>4608</v>
      </c>
      <c r="D482" t="s">
        <v>4607</v>
      </c>
      <c r="E482" t="s">
        <v>4606</v>
      </c>
      <c r="F482" s="62">
        <v>20</v>
      </c>
      <c r="H482" s="70">
        <v>4.7</v>
      </c>
      <c r="J482" s="69">
        <v>15</v>
      </c>
      <c r="K482" s="68">
        <v>70.5</v>
      </c>
    </row>
    <row r="483" spans="3:11" x14ac:dyDescent="0.25">
      <c r="C483" t="s">
        <v>4605</v>
      </c>
      <c r="D483" t="s">
        <v>4604</v>
      </c>
      <c r="E483" t="s">
        <v>4603</v>
      </c>
      <c r="F483" s="62">
        <v>30</v>
      </c>
      <c r="H483" s="70">
        <v>3.35</v>
      </c>
      <c r="J483" s="69">
        <v>10</v>
      </c>
      <c r="K483" s="68">
        <v>33.5</v>
      </c>
    </row>
    <row r="484" spans="3:11" x14ac:dyDescent="0.25">
      <c r="C484" t="s">
        <v>4602</v>
      </c>
      <c r="D484" t="s">
        <v>4601</v>
      </c>
      <c r="E484" t="s">
        <v>4600</v>
      </c>
      <c r="F484" s="62">
        <v>20</v>
      </c>
      <c r="H484" s="70">
        <v>2.9</v>
      </c>
      <c r="J484" s="69">
        <v>10</v>
      </c>
      <c r="K484" s="68">
        <v>29</v>
      </c>
    </row>
    <row r="485" spans="3:11" x14ac:dyDescent="0.25">
      <c r="C485" t="s">
        <v>4599</v>
      </c>
      <c r="D485" t="s">
        <v>4598</v>
      </c>
      <c r="E485" t="s">
        <v>4597</v>
      </c>
      <c r="F485" s="62">
        <v>20</v>
      </c>
      <c r="H485" s="70">
        <v>3.35</v>
      </c>
      <c r="J485" s="69">
        <v>12</v>
      </c>
      <c r="K485" s="68">
        <v>40.200000000000003</v>
      </c>
    </row>
    <row r="486" spans="3:11" x14ac:dyDescent="0.25">
      <c r="C486" t="s">
        <v>4596</v>
      </c>
      <c r="D486" t="s">
        <v>4595</v>
      </c>
      <c r="E486" t="s">
        <v>4594</v>
      </c>
      <c r="F486" s="62">
        <v>30</v>
      </c>
      <c r="H486" s="70">
        <v>4.7</v>
      </c>
      <c r="J486" s="69">
        <v>10</v>
      </c>
      <c r="K486" s="68">
        <v>47</v>
      </c>
    </row>
    <row r="487" spans="3:11" x14ac:dyDescent="0.25">
      <c r="C487" t="s">
        <v>4593</v>
      </c>
      <c r="D487" t="s">
        <v>4592</v>
      </c>
      <c r="E487" t="s">
        <v>4591</v>
      </c>
      <c r="F487" s="62">
        <v>30</v>
      </c>
      <c r="H487" s="70">
        <v>2.9</v>
      </c>
      <c r="J487" s="69">
        <v>12</v>
      </c>
      <c r="K487" s="68">
        <v>34.799999999999997</v>
      </c>
    </row>
    <row r="488" spans="3:11" x14ac:dyDescent="0.25">
      <c r="C488" t="s">
        <v>362</v>
      </c>
      <c r="D488" t="s">
        <v>363</v>
      </c>
      <c r="E488" t="s">
        <v>4590</v>
      </c>
      <c r="F488" s="62">
        <v>6</v>
      </c>
      <c r="H488" s="70">
        <v>6.6</v>
      </c>
      <c r="J488" s="69">
        <v>4</v>
      </c>
      <c r="K488" s="68">
        <v>26.4</v>
      </c>
    </row>
    <row r="489" spans="3:11" x14ac:dyDescent="0.25">
      <c r="C489" t="s">
        <v>4589</v>
      </c>
      <c r="D489" t="s">
        <v>4588</v>
      </c>
      <c r="E489" t="s">
        <v>4587</v>
      </c>
      <c r="F489" s="62">
        <v>60</v>
      </c>
      <c r="H489" s="70">
        <v>3</v>
      </c>
      <c r="J489" s="69">
        <v>14</v>
      </c>
      <c r="K489" s="68">
        <v>42</v>
      </c>
    </row>
    <row r="490" spans="3:11" x14ac:dyDescent="0.25">
      <c r="C490" t="s">
        <v>4586</v>
      </c>
      <c r="D490" t="s">
        <v>4585</v>
      </c>
      <c r="E490" t="s">
        <v>4584</v>
      </c>
      <c r="F490" s="62">
        <v>80</v>
      </c>
      <c r="H490" s="70">
        <v>2.4500000000000002</v>
      </c>
      <c r="J490" s="69">
        <v>13</v>
      </c>
      <c r="K490" s="68">
        <v>31.85</v>
      </c>
    </row>
    <row r="491" spans="3:11" x14ac:dyDescent="0.25">
      <c r="C491" t="s">
        <v>4583</v>
      </c>
      <c r="D491" t="s">
        <v>4582</v>
      </c>
      <c r="E491" t="s">
        <v>4581</v>
      </c>
      <c r="F491" s="62">
        <v>20</v>
      </c>
      <c r="H491" s="70">
        <v>2.85</v>
      </c>
      <c r="J491" s="69">
        <v>10</v>
      </c>
      <c r="K491" s="68">
        <v>28.5</v>
      </c>
    </row>
    <row r="492" spans="3:11" x14ac:dyDescent="0.25">
      <c r="C492" t="s">
        <v>4580</v>
      </c>
      <c r="D492" t="s">
        <v>4579</v>
      </c>
      <c r="E492" t="s">
        <v>4578</v>
      </c>
      <c r="F492" s="62">
        <v>20</v>
      </c>
      <c r="H492" s="70">
        <v>3.8</v>
      </c>
      <c r="J492" s="69">
        <v>10</v>
      </c>
      <c r="K492" s="68">
        <v>38</v>
      </c>
    </row>
    <row r="493" spans="3:11" x14ac:dyDescent="0.25">
      <c r="C493" t="s">
        <v>4577</v>
      </c>
      <c r="D493" t="s">
        <v>4576</v>
      </c>
      <c r="E493" t="s">
        <v>4575</v>
      </c>
      <c r="F493" s="62">
        <v>20</v>
      </c>
      <c r="H493" s="70">
        <v>2.65</v>
      </c>
      <c r="J493" s="69">
        <v>12</v>
      </c>
      <c r="K493" s="68">
        <v>31.799999999999997</v>
      </c>
    </row>
    <row r="494" spans="3:11" x14ac:dyDescent="0.25">
      <c r="C494" t="s">
        <v>4574</v>
      </c>
      <c r="D494" t="s">
        <v>4573</v>
      </c>
      <c r="E494" t="s">
        <v>4572</v>
      </c>
      <c r="F494" s="62">
        <v>20</v>
      </c>
      <c r="H494" s="70">
        <v>2.7</v>
      </c>
      <c r="J494" s="69">
        <v>13</v>
      </c>
      <c r="K494" s="68">
        <v>35.1</v>
      </c>
    </row>
    <row r="495" spans="3:11" x14ac:dyDescent="0.25">
      <c r="C495" t="s">
        <v>4571</v>
      </c>
      <c r="D495" t="s">
        <v>4570</v>
      </c>
      <c r="E495" t="s">
        <v>4569</v>
      </c>
      <c r="F495" s="62">
        <v>50</v>
      </c>
      <c r="H495" s="70">
        <v>1.9</v>
      </c>
      <c r="J495" s="69">
        <v>10</v>
      </c>
      <c r="K495" s="68">
        <v>19</v>
      </c>
    </row>
    <row r="496" spans="3:11" x14ac:dyDescent="0.25">
      <c r="C496" t="s">
        <v>4568</v>
      </c>
      <c r="D496" t="s">
        <v>4567</v>
      </c>
      <c r="E496" t="s">
        <v>4566</v>
      </c>
      <c r="F496" s="62">
        <v>50</v>
      </c>
      <c r="H496" s="70">
        <v>2.15</v>
      </c>
      <c r="J496" s="69">
        <v>15</v>
      </c>
      <c r="K496" s="68">
        <v>32.25</v>
      </c>
    </row>
    <row r="497" spans="3:11" x14ac:dyDescent="0.25">
      <c r="C497" t="s">
        <v>4565</v>
      </c>
      <c r="D497" t="s">
        <v>4564</v>
      </c>
      <c r="E497" t="s">
        <v>4563</v>
      </c>
      <c r="F497" s="62">
        <v>150</v>
      </c>
      <c r="H497" s="70">
        <v>3.43</v>
      </c>
      <c r="J497" s="69">
        <v>110</v>
      </c>
      <c r="K497" s="68">
        <v>377.3</v>
      </c>
    </row>
    <row r="498" spans="3:11" x14ac:dyDescent="0.25">
      <c r="C498" t="s">
        <v>4562</v>
      </c>
      <c r="D498" t="s">
        <v>4561</v>
      </c>
      <c r="E498" t="s">
        <v>4560</v>
      </c>
      <c r="F498" s="62">
        <v>100</v>
      </c>
      <c r="H498" s="70">
        <v>8.1300000000000008</v>
      </c>
      <c r="J498" s="69">
        <v>80</v>
      </c>
      <c r="K498" s="68">
        <v>650.40000000000009</v>
      </c>
    </row>
    <row r="499" spans="3:11" x14ac:dyDescent="0.25">
      <c r="C499" t="s">
        <v>4559</v>
      </c>
      <c r="D499" t="s">
        <v>4558</v>
      </c>
      <c r="E499" t="s">
        <v>4557</v>
      </c>
      <c r="F499" s="62">
        <v>1</v>
      </c>
      <c r="H499" s="70">
        <v>1520</v>
      </c>
      <c r="J499" s="69">
        <v>1</v>
      </c>
      <c r="K499" s="68">
        <v>1520</v>
      </c>
    </row>
    <row r="500" spans="3:11" x14ac:dyDescent="0.25">
      <c r="C500" t="s">
        <v>4556</v>
      </c>
      <c r="D500" t="s">
        <v>4555</v>
      </c>
      <c r="E500" t="s">
        <v>4554</v>
      </c>
      <c r="F500" s="62">
        <v>2</v>
      </c>
      <c r="H500" s="70">
        <v>78</v>
      </c>
      <c r="J500" s="69">
        <v>1</v>
      </c>
      <c r="K500" s="68">
        <v>78</v>
      </c>
    </row>
    <row r="501" spans="3:11" x14ac:dyDescent="0.25">
      <c r="C501" t="s">
        <v>4553</v>
      </c>
      <c r="D501" t="s">
        <v>4552</v>
      </c>
      <c r="E501" t="s">
        <v>4551</v>
      </c>
      <c r="F501" s="62">
        <v>2</v>
      </c>
      <c r="H501" s="70">
        <v>78</v>
      </c>
      <c r="J501" s="69">
        <v>1</v>
      </c>
      <c r="K501" s="68">
        <v>78</v>
      </c>
    </row>
    <row r="502" spans="3:11" x14ac:dyDescent="0.25">
      <c r="C502" t="s">
        <v>4550</v>
      </c>
      <c r="D502" t="s">
        <v>4549</v>
      </c>
      <c r="E502" t="s">
        <v>4548</v>
      </c>
      <c r="F502" s="62">
        <v>2</v>
      </c>
      <c r="H502" s="70">
        <v>78</v>
      </c>
      <c r="J502" s="69">
        <v>1</v>
      </c>
      <c r="K502" s="68">
        <v>78</v>
      </c>
    </row>
    <row r="503" spans="3:11" x14ac:dyDescent="0.25">
      <c r="C503" t="s">
        <v>4547</v>
      </c>
      <c r="D503" t="s">
        <v>4546</v>
      </c>
      <c r="E503" t="s">
        <v>4545</v>
      </c>
      <c r="F503" s="62">
        <v>2</v>
      </c>
      <c r="H503" s="70">
        <v>78</v>
      </c>
      <c r="J503" s="69">
        <v>1</v>
      </c>
      <c r="K503" s="68">
        <v>78</v>
      </c>
    </row>
    <row r="504" spans="3:11" x14ac:dyDescent="0.25">
      <c r="C504" t="s">
        <v>4544</v>
      </c>
      <c r="D504" t="s">
        <v>4543</v>
      </c>
      <c r="E504" t="s">
        <v>4542</v>
      </c>
      <c r="F504" s="62">
        <v>1</v>
      </c>
      <c r="H504" s="70">
        <v>325</v>
      </c>
      <c r="J504" s="69">
        <v>1</v>
      </c>
      <c r="K504" s="68">
        <v>325</v>
      </c>
    </row>
    <row r="505" spans="3:11" x14ac:dyDescent="0.25">
      <c r="C505" t="s">
        <v>4541</v>
      </c>
      <c r="D505" t="s">
        <v>4540</v>
      </c>
      <c r="E505" t="s">
        <v>4539</v>
      </c>
      <c r="F505" s="62">
        <v>2</v>
      </c>
      <c r="H505" s="70">
        <v>758.54</v>
      </c>
      <c r="J505" s="69">
        <v>1</v>
      </c>
      <c r="K505" s="68">
        <v>758.54</v>
      </c>
    </row>
    <row r="506" spans="3:11" x14ac:dyDescent="0.25">
      <c r="C506" t="s">
        <v>4538</v>
      </c>
      <c r="D506" t="s">
        <v>4537</v>
      </c>
      <c r="E506" t="s">
        <v>4536</v>
      </c>
      <c r="F506" s="62">
        <v>1</v>
      </c>
      <c r="H506" s="70">
        <v>4105.04</v>
      </c>
      <c r="J506" s="69">
        <v>0</v>
      </c>
      <c r="K506" s="68">
        <v>0</v>
      </c>
    </row>
    <row r="507" spans="3:11" x14ac:dyDescent="0.25">
      <c r="C507" t="s">
        <v>4535</v>
      </c>
      <c r="D507" t="s">
        <v>4534</v>
      </c>
      <c r="E507" t="s">
        <v>4533</v>
      </c>
      <c r="F507" s="62">
        <v>2</v>
      </c>
      <c r="H507" s="70">
        <v>306.89999999999998</v>
      </c>
      <c r="J507" s="69">
        <v>2</v>
      </c>
      <c r="K507" s="68">
        <v>613.79999999999995</v>
      </c>
    </row>
    <row r="508" spans="3:11" x14ac:dyDescent="0.25">
      <c r="C508" t="s">
        <v>4532</v>
      </c>
      <c r="D508" t="s">
        <v>4531</v>
      </c>
      <c r="E508" t="s">
        <v>4530</v>
      </c>
      <c r="F508" s="62">
        <v>500</v>
      </c>
      <c r="H508" s="70">
        <v>0.28000000000000003</v>
      </c>
      <c r="J508" s="69">
        <v>100</v>
      </c>
      <c r="K508" s="68">
        <v>28.000000000000004</v>
      </c>
    </row>
    <row r="509" spans="3:11" x14ac:dyDescent="0.25">
      <c r="C509" t="s">
        <v>4529</v>
      </c>
      <c r="D509" t="s">
        <v>4528</v>
      </c>
      <c r="E509" t="s">
        <v>4527</v>
      </c>
      <c r="F509" s="62">
        <v>500</v>
      </c>
      <c r="H509" s="70">
        <v>0.28000000000000003</v>
      </c>
      <c r="J509" s="69">
        <v>100</v>
      </c>
      <c r="K509" s="68">
        <v>28.000000000000004</v>
      </c>
    </row>
    <row r="510" spans="3:11" x14ac:dyDescent="0.25">
      <c r="C510" t="s">
        <v>4526</v>
      </c>
      <c r="D510" t="s">
        <v>4525</v>
      </c>
      <c r="E510" t="s">
        <v>4524</v>
      </c>
      <c r="F510" s="62">
        <v>500</v>
      </c>
      <c r="H510" s="70">
        <v>0.28000000000000003</v>
      </c>
      <c r="J510" s="69">
        <v>100</v>
      </c>
      <c r="K510" s="68">
        <v>28.000000000000004</v>
      </c>
    </row>
    <row r="511" spans="3:11" x14ac:dyDescent="0.25">
      <c r="C511" t="s">
        <v>4523</v>
      </c>
      <c r="D511" t="s">
        <v>4522</v>
      </c>
      <c r="E511" t="s">
        <v>4521</v>
      </c>
      <c r="F511" s="62">
        <v>500</v>
      </c>
      <c r="H511" s="70">
        <v>0.28000000000000003</v>
      </c>
      <c r="J511" s="69">
        <v>100</v>
      </c>
      <c r="K511" s="68">
        <v>28.000000000000004</v>
      </c>
    </row>
    <row r="512" spans="3:11" x14ac:dyDescent="0.25">
      <c r="C512" t="s">
        <v>4520</v>
      </c>
      <c r="D512" t="s">
        <v>4519</v>
      </c>
      <c r="E512" t="s">
        <v>4518</v>
      </c>
      <c r="F512" s="62">
        <v>500</v>
      </c>
      <c r="H512" s="70">
        <v>0.28000000000000003</v>
      </c>
      <c r="J512" s="69">
        <v>100</v>
      </c>
      <c r="K512" s="68">
        <v>28.000000000000004</v>
      </c>
    </row>
    <row r="513" spans="3:11" x14ac:dyDescent="0.25">
      <c r="C513" t="s">
        <v>4517</v>
      </c>
      <c r="D513" t="s">
        <v>3392</v>
      </c>
      <c r="E513" t="s">
        <v>3391</v>
      </c>
      <c r="F513" s="62">
        <v>6</v>
      </c>
      <c r="H513" s="70">
        <v>23.5</v>
      </c>
      <c r="J513" s="69">
        <v>2</v>
      </c>
      <c r="K513" s="68">
        <v>47</v>
      </c>
    </row>
    <row r="514" spans="3:11" x14ac:dyDescent="0.25">
      <c r="C514" t="s">
        <v>4516</v>
      </c>
      <c r="D514" t="s">
        <v>4515</v>
      </c>
      <c r="E514" t="s">
        <v>4514</v>
      </c>
      <c r="F514" s="62">
        <v>8</v>
      </c>
      <c r="H514" s="70">
        <v>60</v>
      </c>
      <c r="J514" s="69">
        <v>4</v>
      </c>
      <c r="K514" s="68">
        <v>240</v>
      </c>
    </row>
    <row r="515" spans="3:11" x14ac:dyDescent="0.25">
      <c r="C515" t="s">
        <v>4513</v>
      </c>
      <c r="D515" t="s">
        <v>4512</v>
      </c>
      <c r="E515" t="s">
        <v>4511</v>
      </c>
      <c r="F515" s="62">
        <v>10</v>
      </c>
      <c r="H515" s="70">
        <v>53.01</v>
      </c>
      <c r="J515" s="69">
        <v>8</v>
      </c>
      <c r="K515" s="68">
        <v>424.08</v>
      </c>
    </row>
    <row r="516" spans="3:11" x14ac:dyDescent="0.25">
      <c r="C516" t="s">
        <v>4510</v>
      </c>
      <c r="D516" t="s">
        <v>4509</v>
      </c>
      <c r="E516" t="s">
        <v>4508</v>
      </c>
      <c r="F516" s="62">
        <v>150</v>
      </c>
      <c r="H516" s="70">
        <v>4.28</v>
      </c>
      <c r="J516" s="69">
        <v>50</v>
      </c>
      <c r="K516" s="68">
        <v>214</v>
      </c>
    </row>
    <row r="517" spans="3:11" x14ac:dyDescent="0.25">
      <c r="C517" t="s">
        <v>4507</v>
      </c>
      <c r="D517" t="s">
        <v>4506</v>
      </c>
      <c r="E517" t="s">
        <v>4505</v>
      </c>
      <c r="F517" s="62">
        <v>30</v>
      </c>
      <c r="H517" s="70">
        <v>23.25</v>
      </c>
      <c r="J517" s="69">
        <v>15</v>
      </c>
      <c r="K517" s="68">
        <v>348.75</v>
      </c>
    </row>
    <row r="518" spans="3:11" x14ac:dyDescent="0.25">
      <c r="C518" t="s">
        <v>4504</v>
      </c>
      <c r="D518" t="s">
        <v>4503</v>
      </c>
      <c r="E518" t="s">
        <v>4502</v>
      </c>
      <c r="F518" s="62">
        <v>30</v>
      </c>
      <c r="H518" s="70">
        <v>26.97</v>
      </c>
      <c r="J518" s="69">
        <v>15</v>
      </c>
      <c r="K518" s="68">
        <v>404.54999999999995</v>
      </c>
    </row>
    <row r="519" spans="3:11" x14ac:dyDescent="0.25">
      <c r="C519" t="s">
        <v>4501</v>
      </c>
      <c r="D519" t="s">
        <v>4500</v>
      </c>
      <c r="E519" t="s">
        <v>4499</v>
      </c>
      <c r="F519" s="62">
        <v>150</v>
      </c>
      <c r="H519" s="70">
        <v>7.07</v>
      </c>
      <c r="J519" s="69">
        <v>150</v>
      </c>
      <c r="K519" s="68">
        <v>1060.5</v>
      </c>
    </row>
    <row r="520" spans="3:11" x14ac:dyDescent="0.25">
      <c r="C520" t="s">
        <v>4498</v>
      </c>
      <c r="D520" t="s">
        <v>4497</v>
      </c>
      <c r="E520" t="s">
        <v>4496</v>
      </c>
      <c r="F520" s="62">
        <v>6</v>
      </c>
      <c r="H520" s="70">
        <v>1664.7</v>
      </c>
      <c r="J520" s="69">
        <v>3</v>
      </c>
      <c r="K520" s="68">
        <v>4994.1000000000004</v>
      </c>
    </row>
    <row r="521" spans="3:11" x14ac:dyDescent="0.25">
      <c r="C521" t="s">
        <v>4495</v>
      </c>
      <c r="D521" t="s">
        <v>4494</v>
      </c>
      <c r="E521" t="s">
        <v>4493</v>
      </c>
      <c r="F521" s="62">
        <v>5</v>
      </c>
      <c r="H521" s="70">
        <v>55.8</v>
      </c>
      <c r="J521" s="69">
        <v>0</v>
      </c>
      <c r="K521" s="68">
        <v>0</v>
      </c>
    </row>
    <row r="522" spans="3:11" x14ac:dyDescent="0.25">
      <c r="C522" t="s">
        <v>4492</v>
      </c>
      <c r="D522" t="s">
        <v>4491</v>
      </c>
      <c r="E522" t="s">
        <v>4490</v>
      </c>
      <c r="F522" s="62">
        <v>5</v>
      </c>
      <c r="H522" s="70">
        <v>24.18</v>
      </c>
      <c r="J522" s="69">
        <v>0</v>
      </c>
      <c r="K522" s="68">
        <v>0</v>
      </c>
    </row>
    <row r="523" spans="3:11" x14ac:dyDescent="0.25">
      <c r="C523" t="s">
        <v>4489</v>
      </c>
      <c r="D523" t="s">
        <v>4488</v>
      </c>
      <c r="E523" t="s">
        <v>4487</v>
      </c>
      <c r="F523" s="62">
        <v>10</v>
      </c>
      <c r="H523" s="70">
        <v>9.9499999999999993</v>
      </c>
      <c r="J523" s="69">
        <v>2</v>
      </c>
      <c r="K523" s="68">
        <v>19.899999999999999</v>
      </c>
    </row>
    <row r="524" spans="3:11" x14ac:dyDescent="0.25">
      <c r="C524" t="s">
        <v>4486</v>
      </c>
      <c r="D524" t="s">
        <v>4485</v>
      </c>
      <c r="E524" t="s">
        <v>470</v>
      </c>
      <c r="F524" s="62">
        <v>10</v>
      </c>
      <c r="H524" s="70">
        <v>5.58</v>
      </c>
      <c r="J524" s="69">
        <v>8</v>
      </c>
      <c r="K524" s="68">
        <v>44.64</v>
      </c>
    </row>
    <row r="525" spans="3:11" x14ac:dyDescent="0.25">
      <c r="C525" t="s">
        <v>4484</v>
      </c>
      <c r="D525" t="s">
        <v>3398</v>
      </c>
      <c r="E525" t="s">
        <v>3397</v>
      </c>
      <c r="F525" s="62">
        <v>10</v>
      </c>
      <c r="H525" s="70">
        <v>5.8</v>
      </c>
      <c r="J525" s="69">
        <v>5</v>
      </c>
      <c r="K525" s="68">
        <v>29</v>
      </c>
    </row>
    <row r="526" spans="3:11" x14ac:dyDescent="0.25">
      <c r="C526" t="s">
        <v>4483</v>
      </c>
      <c r="D526" t="s">
        <v>4482</v>
      </c>
      <c r="E526" t="s">
        <v>4481</v>
      </c>
      <c r="F526" s="62">
        <v>10</v>
      </c>
      <c r="H526" s="70">
        <v>13.39</v>
      </c>
      <c r="J526" s="69">
        <v>7</v>
      </c>
      <c r="K526" s="68">
        <v>93.73</v>
      </c>
    </row>
    <row r="527" spans="3:11" x14ac:dyDescent="0.25">
      <c r="C527" t="s">
        <v>4480</v>
      </c>
      <c r="D527" t="s">
        <v>4479</v>
      </c>
      <c r="E527" t="s">
        <v>4478</v>
      </c>
      <c r="F527" s="62">
        <v>10</v>
      </c>
      <c r="H527" s="70">
        <v>14.99</v>
      </c>
      <c r="J527" s="69">
        <v>9</v>
      </c>
      <c r="K527" s="68">
        <v>134.91</v>
      </c>
    </row>
    <row r="528" spans="3:11" x14ac:dyDescent="0.25">
      <c r="C528" t="s">
        <v>4477</v>
      </c>
      <c r="D528" t="s">
        <v>4476</v>
      </c>
      <c r="E528" t="s">
        <v>4475</v>
      </c>
      <c r="F528" s="62">
        <v>10</v>
      </c>
      <c r="H528" s="70">
        <v>7.99</v>
      </c>
      <c r="J528" s="69">
        <v>5</v>
      </c>
      <c r="K528" s="68">
        <v>39.950000000000003</v>
      </c>
    </row>
    <row r="529" spans="3:11" x14ac:dyDescent="0.25">
      <c r="C529" t="s">
        <v>4474</v>
      </c>
      <c r="D529" t="s">
        <v>4473</v>
      </c>
      <c r="E529" t="s">
        <v>4472</v>
      </c>
      <c r="F529" s="62">
        <v>10</v>
      </c>
      <c r="H529" s="70">
        <v>19.43</v>
      </c>
      <c r="J529" s="69">
        <v>4</v>
      </c>
      <c r="K529" s="68">
        <v>77.72</v>
      </c>
    </row>
    <row r="530" spans="3:11" x14ac:dyDescent="0.25">
      <c r="C530" t="s">
        <v>4471</v>
      </c>
      <c r="D530" t="s">
        <v>4470</v>
      </c>
      <c r="E530" t="s">
        <v>4469</v>
      </c>
      <c r="F530" s="62">
        <v>3</v>
      </c>
      <c r="H530" s="70">
        <v>930</v>
      </c>
      <c r="J530" s="69">
        <v>1</v>
      </c>
      <c r="K530" s="68">
        <v>930</v>
      </c>
    </row>
    <row r="531" spans="3:11" x14ac:dyDescent="0.25">
      <c r="C531" t="s">
        <v>4468</v>
      </c>
      <c r="D531" t="s">
        <v>3395</v>
      </c>
      <c r="E531" t="s">
        <v>3394</v>
      </c>
      <c r="F531" s="62">
        <v>6</v>
      </c>
      <c r="H531" s="70">
        <v>30</v>
      </c>
      <c r="J531" s="69">
        <v>2</v>
      </c>
      <c r="K531" s="68">
        <v>60</v>
      </c>
    </row>
    <row r="532" spans="3:11" x14ac:dyDescent="0.25">
      <c r="C532" t="s">
        <v>4467</v>
      </c>
      <c r="D532" t="s">
        <v>3389</v>
      </c>
      <c r="E532" t="s">
        <v>3388</v>
      </c>
      <c r="F532" s="62">
        <v>6</v>
      </c>
      <c r="H532" s="70">
        <v>19.34</v>
      </c>
      <c r="J532" s="69">
        <v>2</v>
      </c>
      <c r="K532" s="68">
        <v>38.68</v>
      </c>
    </row>
    <row r="533" spans="3:11" x14ac:dyDescent="0.25">
      <c r="C533" t="s">
        <v>4466</v>
      </c>
      <c r="D533" t="s">
        <v>3386</v>
      </c>
      <c r="E533" t="s">
        <v>3385</v>
      </c>
      <c r="F533" s="62">
        <v>6</v>
      </c>
      <c r="H533" s="70">
        <v>40.5</v>
      </c>
      <c r="J533" s="69">
        <v>2</v>
      </c>
      <c r="K533" s="68">
        <v>81</v>
      </c>
    </row>
    <row r="534" spans="3:11" x14ac:dyDescent="0.25">
      <c r="C534" t="s">
        <v>4465</v>
      </c>
      <c r="D534" t="s">
        <v>4464</v>
      </c>
      <c r="E534" t="s">
        <v>4463</v>
      </c>
      <c r="F534" s="62">
        <v>5</v>
      </c>
      <c r="H534" s="70">
        <v>89.5</v>
      </c>
      <c r="J534" s="69">
        <v>2</v>
      </c>
      <c r="K534" s="68">
        <v>179</v>
      </c>
    </row>
    <row r="535" spans="3:11" x14ac:dyDescent="0.25">
      <c r="C535" t="s">
        <v>4462</v>
      </c>
      <c r="D535" t="s">
        <v>4461</v>
      </c>
      <c r="E535" t="s">
        <v>4460</v>
      </c>
      <c r="F535" s="62">
        <v>2</v>
      </c>
      <c r="H535" s="70">
        <v>915</v>
      </c>
      <c r="J535" s="69">
        <v>1</v>
      </c>
      <c r="K535" s="68">
        <v>915</v>
      </c>
    </row>
    <row r="536" spans="3:11" x14ac:dyDescent="0.25">
      <c r="C536" t="s">
        <v>4459</v>
      </c>
      <c r="D536" t="s">
        <v>4458</v>
      </c>
      <c r="E536" t="s">
        <v>4457</v>
      </c>
      <c r="F536" s="62">
        <v>5</v>
      </c>
      <c r="H536" s="70">
        <v>667</v>
      </c>
      <c r="J536" s="69">
        <v>2</v>
      </c>
      <c r="K536" s="68">
        <v>1334</v>
      </c>
    </row>
    <row r="537" spans="3:11" x14ac:dyDescent="0.25">
      <c r="C537" t="s">
        <v>4456</v>
      </c>
      <c r="D537" t="s">
        <v>4455</v>
      </c>
      <c r="E537" t="s">
        <v>4454</v>
      </c>
      <c r="F537" s="62">
        <v>5</v>
      </c>
      <c r="H537" s="70">
        <v>113</v>
      </c>
      <c r="J537" s="69">
        <v>2</v>
      </c>
      <c r="K537" s="68">
        <v>226</v>
      </c>
    </row>
    <row r="538" spans="3:11" x14ac:dyDescent="0.25">
      <c r="C538" t="s">
        <v>4453</v>
      </c>
      <c r="D538" t="s">
        <v>4008</v>
      </c>
      <c r="E538" t="s">
        <v>4007</v>
      </c>
      <c r="F538" s="62">
        <v>5</v>
      </c>
      <c r="H538" s="70">
        <v>113</v>
      </c>
      <c r="J538" s="69">
        <v>2</v>
      </c>
      <c r="K538" s="68">
        <v>226</v>
      </c>
    </row>
    <row r="539" spans="3:11" x14ac:dyDescent="0.25">
      <c r="C539" t="s">
        <v>4452</v>
      </c>
      <c r="D539" t="s">
        <v>4451</v>
      </c>
      <c r="E539" t="s">
        <v>4450</v>
      </c>
      <c r="F539" s="62">
        <v>5</v>
      </c>
      <c r="H539" s="70">
        <v>113</v>
      </c>
      <c r="J539" s="69">
        <v>2</v>
      </c>
      <c r="K539" s="68">
        <v>226</v>
      </c>
    </row>
    <row r="540" spans="3:11" x14ac:dyDescent="0.25">
      <c r="C540" t="s">
        <v>4449</v>
      </c>
      <c r="D540" t="s">
        <v>4448</v>
      </c>
      <c r="E540" t="s">
        <v>4447</v>
      </c>
      <c r="F540" s="62">
        <v>5</v>
      </c>
      <c r="H540" s="70">
        <v>113</v>
      </c>
      <c r="J540" s="69">
        <v>2</v>
      </c>
      <c r="K540" s="68">
        <v>226</v>
      </c>
    </row>
    <row r="541" spans="3:11" x14ac:dyDescent="0.25">
      <c r="C541" t="s">
        <v>4446</v>
      </c>
      <c r="D541" t="s">
        <v>4445</v>
      </c>
      <c r="E541" t="s">
        <v>4444</v>
      </c>
      <c r="F541" s="62">
        <v>2</v>
      </c>
      <c r="H541" s="70">
        <v>1358.5</v>
      </c>
      <c r="J541" s="69">
        <v>3</v>
      </c>
      <c r="K541" s="68">
        <v>4075.5</v>
      </c>
    </row>
    <row r="542" spans="3:11" x14ac:dyDescent="0.25">
      <c r="C542" t="s">
        <v>4443</v>
      </c>
      <c r="D542" t="s">
        <v>4442</v>
      </c>
      <c r="E542" t="s">
        <v>4441</v>
      </c>
      <c r="F542" s="62">
        <v>3</v>
      </c>
      <c r="H542" s="70">
        <v>191.76</v>
      </c>
      <c r="J542" s="69">
        <v>2</v>
      </c>
      <c r="K542" s="68">
        <v>383.52</v>
      </c>
    </row>
    <row r="543" spans="3:11" x14ac:dyDescent="0.25">
      <c r="C543" t="s">
        <v>4440</v>
      </c>
      <c r="D543" t="s">
        <v>4439</v>
      </c>
      <c r="E543" t="s">
        <v>4438</v>
      </c>
      <c r="F543" s="62">
        <v>10</v>
      </c>
      <c r="H543" s="70">
        <v>315</v>
      </c>
      <c r="J543" s="69">
        <v>0</v>
      </c>
      <c r="K543" s="68">
        <v>0</v>
      </c>
    </row>
    <row r="544" spans="3:11" x14ac:dyDescent="0.25">
      <c r="C544" t="s">
        <v>4437</v>
      </c>
      <c r="D544" t="s">
        <v>4436</v>
      </c>
      <c r="E544" t="s">
        <v>4435</v>
      </c>
      <c r="F544" s="62">
        <v>2</v>
      </c>
      <c r="H544" s="70">
        <v>940</v>
      </c>
      <c r="J544" s="69">
        <v>4</v>
      </c>
      <c r="K544" s="68">
        <v>3760</v>
      </c>
    </row>
    <row r="545" spans="3:11" x14ac:dyDescent="0.25">
      <c r="C545" t="s">
        <v>4434</v>
      </c>
      <c r="D545" t="s">
        <v>4433</v>
      </c>
      <c r="E545" t="s">
        <v>4432</v>
      </c>
      <c r="F545" s="62">
        <v>100</v>
      </c>
      <c r="H545" s="70">
        <v>4.9000000000000004</v>
      </c>
      <c r="J545" s="69">
        <v>0</v>
      </c>
      <c r="K545" s="68">
        <v>0</v>
      </c>
    </row>
    <row r="546" spans="3:11" x14ac:dyDescent="0.25">
      <c r="C546" t="s">
        <v>4431</v>
      </c>
      <c r="D546" t="s">
        <v>4430</v>
      </c>
      <c r="E546" t="s">
        <v>4429</v>
      </c>
      <c r="F546" s="62">
        <v>100</v>
      </c>
      <c r="H546" s="70">
        <v>4.1500000000000004</v>
      </c>
      <c r="J546" s="69">
        <v>0</v>
      </c>
      <c r="K546" s="68">
        <v>0</v>
      </c>
    </row>
    <row r="547" spans="3:11" x14ac:dyDescent="0.25">
      <c r="C547" t="s">
        <v>4428</v>
      </c>
      <c r="D547" t="s">
        <v>4427</v>
      </c>
      <c r="E547" t="s">
        <v>4426</v>
      </c>
      <c r="F547" s="62">
        <v>30</v>
      </c>
      <c r="H547" s="70">
        <v>4.8</v>
      </c>
      <c r="J547" s="69">
        <v>0</v>
      </c>
      <c r="K547" s="68">
        <v>0</v>
      </c>
    </row>
    <row r="548" spans="3:11" x14ac:dyDescent="0.25">
      <c r="C548" t="s">
        <v>4425</v>
      </c>
      <c r="D548" t="s">
        <v>4424</v>
      </c>
      <c r="E548" t="s">
        <v>4423</v>
      </c>
      <c r="F548" s="62">
        <v>50</v>
      </c>
      <c r="H548" s="70">
        <v>9.2100000000000009</v>
      </c>
      <c r="J548" s="69">
        <v>0</v>
      </c>
      <c r="K548" s="68">
        <v>0</v>
      </c>
    </row>
    <row r="549" spans="3:11" x14ac:dyDescent="0.25">
      <c r="C549" t="s">
        <v>4422</v>
      </c>
      <c r="D549" t="s">
        <v>4421</v>
      </c>
      <c r="E549" t="s">
        <v>4420</v>
      </c>
      <c r="F549" s="62">
        <v>60</v>
      </c>
      <c r="H549" s="70">
        <v>8.5</v>
      </c>
      <c r="J549" s="69">
        <v>0</v>
      </c>
      <c r="K549" s="68">
        <v>0</v>
      </c>
    </row>
    <row r="550" spans="3:11" x14ac:dyDescent="0.25">
      <c r="C550" t="s">
        <v>4419</v>
      </c>
      <c r="D550" t="s">
        <v>4418</v>
      </c>
      <c r="E550" t="s">
        <v>4417</v>
      </c>
      <c r="F550" s="62">
        <v>30</v>
      </c>
      <c r="H550" s="70">
        <v>8.0399999999999991</v>
      </c>
      <c r="J550" s="69">
        <v>0</v>
      </c>
      <c r="K550" s="68">
        <v>0</v>
      </c>
    </row>
    <row r="551" spans="3:11" x14ac:dyDescent="0.25">
      <c r="C551" t="s">
        <v>4416</v>
      </c>
      <c r="D551" t="s">
        <v>4415</v>
      </c>
      <c r="E551" t="s">
        <v>4414</v>
      </c>
      <c r="F551" s="62">
        <v>43</v>
      </c>
      <c r="H551" s="70">
        <v>5.92</v>
      </c>
      <c r="J551" s="69">
        <v>0</v>
      </c>
      <c r="K551" s="68">
        <v>0</v>
      </c>
    </row>
    <row r="552" spans="3:11" x14ac:dyDescent="0.25">
      <c r="C552" t="s">
        <v>4413</v>
      </c>
      <c r="D552" t="s">
        <v>4412</v>
      </c>
      <c r="E552" t="s">
        <v>4411</v>
      </c>
      <c r="F552" s="62">
        <v>60</v>
      </c>
      <c r="H552" s="70">
        <v>5</v>
      </c>
      <c r="I552" s="60"/>
      <c r="J552" s="69">
        <v>0</v>
      </c>
      <c r="K552" s="68">
        <v>0</v>
      </c>
    </row>
    <row r="553" spans="3:11" x14ac:dyDescent="0.25">
      <c r="C553" t="s">
        <v>4410</v>
      </c>
      <c r="D553" t="s">
        <v>4409</v>
      </c>
      <c r="E553" t="s">
        <v>4408</v>
      </c>
      <c r="F553" s="62">
        <v>70</v>
      </c>
      <c r="H553" s="70">
        <v>3.95</v>
      </c>
      <c r="I553" s="60"/>
      <c r="J553" s="69">
        <v>0</v>
      </c>
      <c r="K553" s="68">
        <v>0</v>
      </c>
    </row>
    <row r="554" spans="3:11" x14ac:dyDescent="0.25">
      <c r="C554" t="s">
        <v>4407</v>
      </c>
      <c r="D554" t="s">
        <v>4406</v>
      </c>
      <c r="E554" t="s">
        <v>4405</v>
      </c>
      <c r="F554" s="62">
        <v>30</v>
      </c>
      <c r="H554" s="70">
        <v>4.32</v>
      </c>
      <c r="I554" s="60"/>
      <c r="J554" s="69">
        <v>0</v>
      </c>
      <c r="K554" s="68">
        <v>0</v>
      </c>
    </row>
    <row r="555" spans="3:11" x14ac:dyDescent="0.25">
      <c r="C555" t="s">
        <v>4404</v>
      </c>
      <c r="D555" t="s">
        <v>4403</v>
      </c>
      <c r="E555" t="s">
        <v>4402</v>
      </c>
      <c r="F555" s="62">
        <v>38</v>
      </c>
      <c r="H555" s="70">
        <v>3</v>
      </c>
      <c r="I555" s="60"/>
      <c r="J555" s="69">
        <v>0</v>
      </c>
      <c r="K555" s="68">
        <v>0</v>
      </c>
    </row>
    <row r="556" spans="3:11" x14ac:dyDescent="0.25">
      <c r="C556" t="s">
        <v>4401</v>
      </c>
      <c r="D556" t="s">
        <v>4400</v>
      </c>
      <c r="E556" t="s">
        <v>4399</v>
      </c>
      <c r="F556" s="62">
        <v>30</v>
      </c>
      <c r="H556" s="70">
        <v>2.86</v>
      </c>
      <c r="I556" s="60"/>
      <c r="J556" s="69">
        <v>0</v>
      </c>
      <c r="K556" s="68">
        <v>0</v>
      </c>
    </row>
    <row r="557" spans="3:11" x14ac:dyDescent="0.25">
      <c r="C557" t="s">
        <v>4398</v>
      </c>
      <c r="D557" t="s">
        <v>4397</v>
      </c>
      <c r="E557" t="s">
        <v>4396</v>
      </c>
      <c r="F557" s="62">
        <v>4</v>
      </c>
      <c r="H557" s="70">
        <v>66.959999999999994</v>
      </c>
      <c r="I557" s="60"/>
      <c r="J557" s="69">
        <v>6</v>
      </c>
      <c r="K557" s="68">
        <v>401.76</v>
      </c>
    </row>
    <row r="558" spans="3:11" x14ac:dyDescent="0.25">
      <c r="C558" t="s">
        <v>4395</v>
      </c>
      <c r="D558" t="s">
        <v>4394</v>
      </c>
      <c r="E558" t="s">
        <v>4393</v>
      </c>
      <c r="F558" s="62">
        <v>5</v>
      </c>
      <c r="H558" s="70">
        <v>55.8</v>
      </c>
      <c r="I558" s="60"/>
      <c r="J558" s="69">
        <v>0</v>
      </c>
      <c r="K558" s="68">
        <v>0</v>
      </c>
    </row>
    <row r="559" spans="3:11" x14ac:dyDescent="0.25">
      <c r="C559" t="s">
        <v>4392</v>
      </c>
      <c r="D559" t="s">
        <v>4391</v>
      </c>
      <c r="E559" t="s">
        <v>4390</v>
      </c>
      <c r="F559" s="62">
        <v>6</v>
      </c>
      <c r="H559" s="70">
        <v>23.25</v>
      </c>
      <c r="I559" s="60"/>
      <c r="J559" s="69">
        <v>0</v>
      </c>
      <c r="K559" s="68">
        <v>0</v>
      </c>
    </row>
    <row r="560" spans="3:11" x14ac:dyDescent="0.25">
      <c r="C560" t="s">
        <v>4389</v>
      </c>
      <c r="D560" t="s">
        <v>4388</v>
      </c>
      <c r="E560" t="s">
        <v>4387</v>
      </c>
      <c r="F560" s="62">
        <v>150</v>
      </c>
      <c r="H560" s="70">
        <v>5.5</v>
      </c>
      <c r="I560" s="60"/>
      <c r="J560" s="69">
        <v>0</v>
      </c>
      <c r="K560" s="68">
        <v>0</v>
      </c>
    </row>
    <row r="561" spans="1:11" x14ac:dyDescent="0.25">
      <c r="C561" t="s">
        <v>4386</v>
      </c>
      <c r="D561" t="s">
        <v>4385</v>
      </c>
      <c r="E561" t="s">
        <v>4384</v>
      </c>
      <c r="F561" s="62">
        <v>25</v>
      </c>
      <c r="H561" s="70">
        <v>1.74</v>
      </c>
      <c r="I561" s="60"/>
      <c r="J561" s="69">
        <v>0</v>
      </c>
      <c r="K561" s="68">
        <v>0</v>
      </c>
    </row>
    <row r="562" spans="1:11" x14ac:dyDescent="0.25">
      <c r="C562" t="s">
        <v>4383</v>
      </c>
      <c r="D562" t="s">
        <v>4382</v>
      </c>
      <c r="E562" t="s">
        <v>4381</v>
      </c>
      <c r="F562" s="62">
        <v>2</v>
      </c>
      <c r="H562" s="70">
        <v>57</v>
      </c>
      <c r="I562" s="60"/>
      <c r="J562" s="69">
        <v>0</v>
      </c>
      <c r="K562" s="68">
        <v>0</v>
      </c>
    </row>
    <row r="563" spans="1:11" x14ac:dyDescent="0.25">
      <c r="C563" t="s">
        <v>4380</v>
      </c>
      <c r="D563" t="s">
        <v>4379</v>
      </c>
      <c r="E563" t="s">
        <v>4378</v>
      </c>
      <c r="F563" s="62">
        <v>2</v>
      </c>
      <c r="H563" s="70">
        <v>230.85</v>
      </c>
      <c r="I563" s="60"/>
      <c r="J563" s="69">
        <v>0</v>
      </c>
      <c r="K563" s="68">
        <v>0</v>
      </c>
    </row>
    <row r="564" spans="1:11" x14ac:dyDescent="0.25">
      <c r="C564" t="s">
        <v>4377</v>
      </c>
      <c r="D564" t="s">
        <v>4376</v>
      </c>
      <c r="E564" t="s">
        <v>4375</v>
      </c>
      <c r="F564" s="62">
        <v>3</v>
      </c>
      <c r="H564" s="70">
        <v>67.260000000000005</v>
      </c>
      <c r="I564" s="60"/>
      <c r="J564" s="69">
        <v>0</v>
      </c>
      <c r="K564" s="68">
        <v>0</v>
      </c>
    </row>
    <row r="565" spans="1:11" x14ac:dyDescent="0.25">
      <c r="C565" t="s">
        <v>4374</v>
      </c>
      <c r="D565" t="s">
        <v>4373</v>
      </c>
      <c r="E565" t="s">
        <v>4372</v>
      </c>
      <c r="F565" s="62">
        <v>1</v>
      </c>
      <c r="H565" s="70">
        <v>600.29999999999995</v>
      </c>
      <c r="I565" s="60"/>
      <c r="J565" s="69">
        <v>0</v>
      </c>
      <c r="K565" s="68">
        <v>0</v>
      </c>
    </row>
    <row r="566" spans="1:11" x14ac:dyDescent="0.25">
      <c r="C566" t="s">
        <v>4371</v>
      </c>
      <c r="D566" t="s">
        <v>4370</v>
      </c>
      <c r="E566" t="s">
        <v>4369</v>
      </c>
      <c r="F566" s="62">
        <v>30</v>
      </c>
      <c r="H566" s="70">
        <v>5.4</v>
      </c>
      <c r="I566" s="60"/>
      <c r="J566" s="69">
        <v>0</v>
      </c>
      <c r="K566" s="68">
        <v>0</v>
      </c>
    </row>
    <row r="567" spans="1:11" x14ac:dyDescent="0.25">
      <c r="C567" t="s">
        <v>4368</v>
      </c>
      <c r="D567" t="s">
        <v>4367</v>
      </c>
      <c r="E567" t="s">
        <v>4366</v>
      </c>
      <c r="F567" s="62">
        <v>12</v>
      </c>
      <c r="H567" s="70">
        <v>48.07</v>
      </c>
      <c r="I567" s="60"/>
      <c r="J567" s="69">
        <v>0</v>
      </c>
      <c r="K567" s="68">
        <v>0</v>
      </c>
    </row>
    <row r="568" spans="1:11" x14ac:dyDescent="0.25">
      <c r="C568" t="s">
        <v>4365</v>
      </c>
      <c r="D568" t="s">
        <v>4364</v>
      </c>
      <c r="E568" t="s">
        <v>4363</v>
      </c>
      <c r="F568" s="62">
        <v>10</v>
      </c>
      <c r="H568" s="70">
        <v>51.228999999999999</v>
      </c>
      <c r="I568" s="60"/>
      <c r="J568" s="69">
        <v>0</v>
      </c>
      <c r="K568" s="68">
        <v>0</v>
      </c>
    </row>
    <row r="569" spans="1:11" x14ac:dyDescent="0.25">
      <c r="C569" t="s">
        <v>4362</v>
      </c>
      <c r="D569" t="s">
        <v>4361</v>
      </c>
      <c r="E569" t="s">
        <v>4360</v>
      </c>
      <c r="F569" s="62">
        <v>8</v>
      </c>
      <c r="H569" s="70">
        <v>46.191249999999997</v>
      </c>
      <c r="I569" s="60"/>
      <c r="J569" s="69">
        <v>0</v>
      </c>
      <c r="K569" s="68">
        <v>0</v>
      </c>
    </row>
    <row r="570" spans="1:11" x14ac:dyDescent="0.25">
      <c r="C570" t="s">
        <v>4359</v>
      </c>
      <c r="D570" t="s">
        <v>4358</v>
      </c>
      <c r="E570" t="s">
        <v>4357</v>
      </c>
      <c r="F570" s="62">
        <v>3</v>
      </c>
      <c r="H570" s="70">
        <v>7.34</v>
      </c>
      <c r="I570" s="60"/>
      <c r="J570" s="69">
        <v>0</v>
      </c>
      <c r="K570" s="68">
        <v>0</v>
      </c>
    </row>
    <row r="571" spans="1:11" x14ac:dyDescent="0.25">
      <c r="C571" t="s">
        <v>4356</v>
      </c>
      <c r="D571" t="s">
        <v>4355</v>
      </c>
      <c r="E571" t="s">
        <v>4354</v>
      </c>
      <c r="F571" s="62">
        <v>30</v>
      </c>
      <c r="H571" s="70">
        <v>24.048666999999998</v>
      </c>
      <c r="I571" s="60"/>
      <c r="J571" s="69">
        <v>0</v>
      </c>
      <c r="K571" s="68">
        <v>0</v>
      </c>
    </row>
    <row r="572" spans="1:11" x14ac:dyDescent="0.25">
      <c r="C572" t="s">
        <v>4353</v>
      </c>
      <c r="D572" t="s">
        <v>4352</v>
      </c>
      <c r="E572" t="s">
        <v>4351</v>
      </c>
      <c r="F572" s="62">
        <v>20</v>
      </c>
      <c r="H572" s="70">
        <v>2.9</v>
      </c>
      <c r="I572" s="60"/>
      <c r="J572" s="69">
        <v>0</v>
      </c>
      <c r="K572" s="68">
        <v>0</v>
      </c>
    </row>
    <row r="573" spans="1:11" x14ac:dyDescent="0.25">
      <c r="C573" t="s">
        <v>4350</v>
      </c>
      <c r="D573" t="s">
        <v>3927</v>
      </c>
      <c r="E573" t="s">
        <v>3926</v>
      </c>
      <c r="F573" s="62">
        <v>50</v>
      </c>
      <c r="H573" s="70">
        <v>2.4502000000000002</v>
      </c>
      <c r="I573" s="60"/>
      <c r="J573" s="69">
        <v>0</v>
      </c>
      <c r="K573" s="68">
        <v>0</v>
      </c>
    </row>
    <row r="574" spans="1:11" x14ac:dyDescent="0.25">
      <c r="C574" t="s">
        <v>4349</v>
      </c>
      <c r="D574" t="s">
        <v>4348</v>
      </c>
      <c r="E574" t="s">
        <v>4347</v>
      </c>
      <c r="F574" s="62">
        <v>2</v>
      </c>
      <c r="H574" s="70">
        <v>1460</v>
      </c>
      <c r="I574" s="60"/>
      <c r="J574" s="69">
        <v>0</v>
      </c>
      <c r="K574" s="68">
        <v>0</v>
      </c>
    </row>
    <row r="575" spans="1:11" x14ac:dyDescent="0.25">
      <c r="A575">
        <v>756803</v>
      </c>
      <c r="B575" t="s">
        <v>4346</v>
      </c>
      <c r="C575" t="s">
        <v>4345</v>
      </c>
      <c r="D575" t="s">
        <v>4344</v>
      </c>
      <c r="E575" t="s">
        <v>4343</v>
      </c>
      <c r="F575" s="62">
        <v>2</v>
      </c>
      <c r="H575" s="70">
        <v>1527.4749999999999</v>
      </c>
      <c r="I575" s="60"/>
      <c r="J575" s="69">
        <v>1</v>
      </c>
      <c r="K575" s="68">
        <v>1527.4749999999999</v>
      </c>
    </row>
    <row r="576" spans="1:11" x14ac:dyDescent="0.25">
      <c r="C576" t="s">
        <v>4342</v>
      </c>
      <c r="D576" t="s">
        <v>4341</v>
      </c>
      <c r="E576" t="s">
        <v>4340</v>
      </c>
      <c r="F576" s="62">
        <v>2</v>
      </c>
      <c r="H576" s="70">
        <v>103.29</v>
      </c>
      <c r="I576" s="60"/>
      <c r="J576" s="69">
        <v>0</v>
      </c>
      <c r="K576" s="68">
        <v>0</v>
      </c>
    </row>
    <row r="577" spans="3:11" x14ac:dyDescent="0.25">
      <c r="C577" t="s">
        <v>4339</v>
      </c>
      <c r="D577" t="s">
        <v>4338</v>
      </c>
      <c r="E577" t="s">
        <v>4337</v>
      </c>
      <c r="F577" s="62">
        <v>2</v>
      </c>
      <c r="H577" s="70">
        <v>130.36000000000001</v>
      </c>
      <c r="I577" s="60"/>
      <c r="J577" s="69">
        <v>0</v>
      </c>
      <c r="K577" s="68">
        <v>0</v>
      </c>
    </row>
    <row r="578" spans="3:11" x14ac:dyDescent="0.25">
      <c r="C578" t="s">
        <v>4336</v>
      </c>
      <c r="D578" t="s">
        <v>4335</v>
      </c>
      <c r="E578" t="s">
        <v>4334</v>
      </c>
      <c r="F578" s="62">
        <v>2</v>
      </c>
      <c r="H578" s="70">
        <v>429.37</v>
      </c>
      <c r="I578" s="60"/>
      <c r="J578" s="69">
        <v>0</v>
      </c>
      <c r="K578" s="68">
        <v>0</v>
      </c>
    </row>
    <row r="579" spans="3:11" x14ac:dyDescent="0.25">
      <c r="C579" t="s">
        <v>4333</v>
      </c>
      <c r="D579" t="s">
        <v>4332</v>
      </c>
      <c r="E579" t="s">
        <v>4331</v>
      </c>
      <c r="F579" s="62">
        <v>2</v>
      </c>
      <c r="H579" s="70">
        <v>68.94</v>
      </c>
      <c r="I579" s="60"/>
      <c r="J579" s="69">
        <v>0</v>
      </c>
      <c r="K579" s="68">
        <v>0</v>
      </c>
    </row>
    <row r="580" spans="3:11" x14ac:dyDescent="0.25">
      <c r="C580" t="s">
        <v>4330</v>
      </c>
      <c r="D580" t="s">
        <v>4329</v>
      </c>
      <c r="E580" t="s">
        <v>4328</v>
      </c>
      <c r="F580" s="62">
        <v>4</v>
      </c>
      <c r="H580" s="70">
        <v>775.95</v>
      </c>
      <c r="I580" s="60"/>
      <c r="J580" s="69">
        <v>0</v>
      </c>
      <c r="K580" s="68">
        <v>0</v>
      </c>
    </row>
    <row r="581" spans="3:11" x14ac:dyDescent="0.25">
      <c r="C581" t="s">
        <v>4327</v>
      </c>
      <c r="D581" t="s">
        <v>4326</v>
      </c>
      <c r="E581" t="s">
        <v>4325</v>
      </c>
      <c r="F581" s="62">
        <v>2</v>
      </c>
      <c r="H581" s="70">
        <v>541.59500000000003</v>
      </c>
      <c r="I581" s="60"/>
      <c r="J581" s="69">
        <v>2</v>
      </c>
      <c r="K581" s="68">
        <v>1083.19</v>
      </c>
    </row>
    <row r="582" spans="3:11" x14ac:dyDescent="0.25">
      <c r="C582" t="s">
        <v>4324</v>
      </c>
      <c r="D582" t="s">
        <v>4323</v>
      </c>
      <c r="E582" t="s">
        <v>4322</v>
      </c>
      <c r="F582" s="62">
        <v>2</v>
      </c>
      <c r="H582" s="70">
        <v>721.245</v>
      </c>
      <c r="I582" s="60"/>
      <c r="J582" s="69">
        <v>1</v>
      </c>
      <c r="K582" s="68">
        <v>721.245</v>
      </c>
    </row>
    <row r="583" spans="3:11" x14ac:dyDescent="0.25">
      <c r="C583" t="s">
        <v>4321</v>
      </c>
      <c r="D583" t="s">
        <v>4320</v>
      </c>
      <c r="E583" t="s">
        <v>4319</v>
      </c>
      <c r="F583" s="62">
        <v>4</v>
      </c>
      <c r="H583" s="70">
        <v>479.26249999999999</v>
      </c>
      <c r="I583" s="60"/>
      <c r="J583" s="69">
        <v>1</v>
      </c>
      <c r="K583" s="68">
        <v>479.26249999999999</v>
      </c>
    </row>
    <row r="584" spans="3:11" x14ac:dyDescent="0.25">
      <c r="C584" t="s">
        <v>4318</v>
      </c>
      <c r="D584" t="s">
        <v>4317</v>
      </c>
      <c r="E584" t="s">
        <v>4316</v>
      </c>
      <c r="F584" s="62">
        <v>4</v>
      </c>
      <c r="H584" s="70">
        <v>603.9</v>
      </c>
      <c r="I584" s="60"/>
      <c r="J584" s="69">
        <v>2</v>
      </c>
      <c r="K584" s="68">
        <v>1207.8</v>
      </c>
    </row>
    <row r="585" spans="3:11" x14ac:dyDescent="0.25">
      <c r="C585" t="s">
        <v>4315</v>
      </c>
      <c r="D585" t="s">
        <v>4314</v>
      </c>
      <c r="E585" t="s">
        <v>4313</v>
      </c>
      <c r="F585" s="62">
        <v>2</v>
      </c>
      <c r="H585" s="70">
        <v>184.69</v>
      </c>
      <c r="I585" s="60"/>
      <c r="J585" s="69">
        <v>0</v>
      </c>
      <c r="K585" s="68">
        <v>0</v>
      </c>
    </row>
    <row r="586" spans="3:11" x14ac:dyDescent="0.25">
      <c r="C586" t="s">
        <v>4312</v>
      </c>
      <c r="D586" t="s">
        <v>4311</v>
      </c>
      <c r="E586" t="s">
        <v>4310</v>
      </c>
      <c r="F586" s="62">
        <v>3</v>
      </c>
      <c r="H586" s="70">
        <v>610</v>
      </c>
      <c r="I586" s="60"/>
      <c r="J586" s="69">
        <v>0</v>
      </c>
      <c r="K586" s="68">
        <v>0</v>
      </c>
    </row>
    <row r="587" spans="3:11" x14ac:dyDescent="0.25">
      <c r="C587" t="s">
        <v>4309</v>
      </c>
      <c r="D587" t="s">
        <v>4308</v>
      </c>
      <c r="E587" t="s">
        <v>4307</v>
      </c>
      <c r="F587" s="62">
        <v>4</v>
      </c>
      <c r="H587" s="70">
        <v>608.3075</v>
      </c>
      <c r="I587" s="60"/>
      <c r="J587" s="69">
        <v>0</v>
      </c>
      <c r="K587" s="68">
        <v>0</v>
      </c>
    </row>
    <row r="588" spans="3:11" x14ac:dyDescent="0.25">
      <c r="C588" t="s">
        <v>4306</v>
      </c>
      <c r="D588" t="s">
        <v>4305</v>
      </c>
      <c r="E588" t="s">
        <v>4304</v>
      </c>
      <c r="F588" s="62">
        <v>2</v>
      </c>
      <c r="H588" s="70">
        <v>1030.24</v>
      </c>
      <c r="I588" s="60"/>
      <c r="J588" s="69">
        <v>0</v>
      </c>
      <c r="K588" s="68">
        <v>0</v>
      </c>
    </row>
    <row r="589" spans="3:11" x14ac:dyDescent="0.25">
      <c r="C589" t="s">
        <v>4303</v>
      </c>
      <c r="D589" t="s">
        <v>4302</v>
      </c>
      <c r="E589" t="s">
        <v>4301</v>
      </c>
      <c r="F589" s="62">
        <v>4</v>
      </c>
      <c r="H589" s="70">
        <v>251.67500000000001</v>
      </c>
      <c r="I589" s="60"/>
      <c r="J589" s="69">
        <v>0</v>
      </c>
      <c r="K589" s="68">
        <v>0</v>
      </c>
    </row>
    <row r="590" spans="3:11" x14ac:dyDescent="0.25">
      <c r="C590" t="s">
        <v>4300</v>
      </c>
      <c r="D590" t="s">
        <v>4299</v>
      </c>
      <c r="E590" t="s">
        <v>4298</v>
      </c>
      <c r="F590" s="62">
        <v>4</v>
      </c>
      <c r="H590" s="70">
        <v>76.135000000000005</v>
      </c>
      <c r="I590" s="60"/>
      <c r="J590" s="69">
        <v>0</v>
      </c>
      <c r="K590" s="68">
        <v>0</v>
      </c>
    </row>
    <row r="591" spans="3:11" x14ac:dyDescent="0.25">
      <c r="C591" t="s">
        <v>4297</v>
      </c>
      <c r="D591" t="s">
        <v>4296</v>
      </c>
      <c r="E591" t="s">
        <v>4295</v>
      </c>
      <c r="F591" s="62">
        <v>4</v>
      </c>
      <c r="H591" s="70">
        <v>470.84</v>
      </c>
      <c r="I591" s="60"/>
      <c r="J591" s="69">
        <v>0</v>
      </c>
      <c r="K591" s="68">
        <v>0</v>
      </c>
    </row>
    <row r="592" spans="3:11" x14ac:dyDescent="0.25">
      <c r="C592" t="s">
        <v>4294</v>
      </c>
      <c r="D592" t="s">
        <v>4293</v>
      </c>
      <c r="E592" t="s">
        <v>4292</v>
      </c>
      <c r="F592" s="62">
        <v>3</v>
      </c>
      <c r="H592" s="70">
        <v>106.94</v>
      </c>
      <c r="I592" s="60"/>
      <c r="J592" s="69">
        <v>0</v>
      </c>
      <c r="K592" s="68">
        <v>0</v>
      </c>
    </row>
    <row r="593" spans="1:11" x14ac:dyDescent="0.25">
      <c r="C593" t="s">
        <v>4291</v>
      </c>
      <c r="D593" t="s">
        <v>4290</v>
      </c>
      <c r="E593" t="s">
        <v>4289</v>
      </c>
      <c r="F593" s="62">
        <v>7</v>
      </c>
      <c r="H593" s="70">
        <v>460.83499999999998</v>
      </c>
      <c r="I593" s="60"/>
      <c r="J593" s="69">
        <v>0</v>
      </c>
      <c r="K593" s="68">
        <v>0</v>
      </c>
    </row>
    <row r="594" spans="1:11" x14ac:dyDescent="0.25">
      <c r="C594" t="s">
        <v>4288</v>
      </c>
      <c r="D594" t="s">
        <v>4287</v>
      </c>
      <c r="E594" t="s">
        <v>4286</v>
      </c>
      <c r="F594" s="62">
        <v>5</v>
      </c>
      <c r="H594" s="70">
        <v>575.08000000000004</v>
      </c>
      <c r="I594" s="60"/>
      <c r="J594" s="69">
        <v>0</v>
      </c>
      <c r="K594" s="68">
        <v>0</v>
      </c>
    </row>
    <row r="595" spans="1:11" x14ac:dyDescent="0.25">
      <c r="C595" t="s">
        <v>4285</v>
      </c>
      <c r="D595" t="s">
        <v>4284</v>
      </c>
      <c r="E595" t="s">
        <v>4283</v>
      </c>
      <c r="F595" s="62">
        <v>1</v>
      </c>
      <c r="H595" s="70">
        <v>719</v>
      </c>
      <c r="I595" s="60"/>
      <c r="J595" s="69">
        <v>0</v>
      </c>
      <c r="K595" s="68">
        <v>0</v>
      </c>
    </row>
    <row r="596" spans="1:11" x14ac:dyDescent="0.25">
      <c r="C596" t="s">
        <v>4282</v>
      </c>
      <c r="D596" t="s">
        <v>4281</v>
      </c>
      <c r="E596" t="s">
        <v>4280</v>
      </c>
      <c r="F596" s="62">
        <v>82</v>
      </c>
      <c r="H596" s="70">
        <v>47.48</v>
      </c>
      <c r="I596" s="60"/>
      <c r="J596" s="69">
        <v>0</v>
      </c>
      <c r="K596" s="68">
        <v>0</v>
      </c>
    </row>
    <row r="597" spans="1:11" x14ac:dyDescent="0.25">
      <c r="C597" t="s">
        <v>4279</v>
      </c>
      <c r="D597" t="s">
        <v>4278</v>
      </c>
      <c r="E597" t="s">
        <v>4277</v>
      </c>
      <c r="F597" s="62">
        <v>15</v>
      </c>
      <c r="H597" s="70">
        <v>0.9</v>
      </c>
      <c r="I597" s="60"/>
      <c r="J597" s="69">
        <v>0</v>
      </c>
      <c r="K597" s="68">
        <v>0</v>
      </c>
    </row>
    <row r="598" spans="1:11" x14ac:dyDescent="0.25">
      <c r="C598" t="s">
        <v>4276</v>
      </c>
      <c r="D598" t="s">
        <v>4275</v>
      </c>
      <c r="E598" t="s">
        <v>4274</v>
      </c>
      <c r="F598" s="62">
        <v>177</v>
      </c>
      <c r="H598" s="70">
        <v>12.4</v>
      </c>
      <c r="I598" s="60"/>
      <c r="J598" s="69">
        <v>0</v>
      </c>
      <c r="K598" s="68">
        <v>0</v>
      </c>
    </row>
    <row r="599" spans="1:11" x14ac:dyDescent="0.25">
      <c r="C599" t="s">
        <v>4273</v>
      </c>
      <c r="D599" t="s">
        <v>4272</v>
      </c>
      <c r="E599" t="s">
        <v>4271</v>
      </c>
      <c r="F599" s="62">
        <v>864</v>
      </c>
      <c r="H599" s="70">
        <v>6.21</v>
      </c>
      <c r="I599" s="60"/>
      <c r="J599" s="69">
        <v>0</v>
      </c>
      <c r="K599" s="68">
        <v>0</v>
      </c>
    </row>
    <row r="600" spans="1:11" x14ac:dyDescent="0.25">
      <c r="C600" t="s">
        <v>4270</v>
      </c>
      <c r="D600" t="s">
        <v>4269</v>
      </c>
      <c r="E600" t="s">
        <v>4268</v>
      </c>
      <c r="F600" s="62">
        <v>612</v>
      </c>
      <c r="H600" s="70">
        <v>2.5</v>
      </c>
      <c r="I600" s="60"/>
      <c r="J600" s="69">
        <v>0</v>
      </c>
      <c r="K600" s="68">
        <v>0</v>
      </c>
    </row>
    <row r="601" spans="1:11" x14ac:dyDescent="0.25">
      <c r="C601" t="s">
        <v>4267</v>
      </c>
      <c r="D601" t="s">
        <v>4266</v>
      </c>
      <c r="E601" t="s">
        <v>4265</v>
      </c>
      <c r="F601" s="62">
        <v>8</v>
      </c>
      <c r="H601" s="70">
        <v>16</v>
      </c>
      <c r="I601" s="60"/>
      <c r="J601" s="69">
        <v>0</v>
      </c>
      <c r="K601" s="68">
        <v>0</v>
      </c>
    </row>
    <row r="602" spans="1:11" x14ac:dyDescent="0.25">
      <c r="C602" t="s">
        <v>4264</v>
      </c>
      <c r="D602" t="s">
        <v>4263</v>
      </c>
      <c r="E602" t="s">
        <v>4262</v>
      </c>
      <c r="F602" s="62">
        <v>48</v>
      </c>
      <c r="H602" s="70">
        <v>2.5499999999999998</v>
      </c>
      <c r="I602" s="60"/>
      <c r="J602" s="69">
        <v>0</v>
      </c>
      <c r="K602" s="68">
        <v>0</v>
      </c>
    </row>
    <row r="603" spans="1:11" x14ac:dyDescent="0.25">
      <c r="C603" t="s">
        <v>4261</v>
      </c>
      <c r="D603" t="s">
        <v>4260</v>
      </c>
      <c r="E603" t="s">
        <v>4259</v>
      </c>
      <c r="F603" s="62">
        <v>48</v>
      </c>
      <c r="H603" s="70">
        <v>2.5499999999999998</v>
      </c>
      <c r="I603" s="60"/>
      <c r="J603" s="69">
        <v>0</v>
      </c>
      <c r="K603" s="68">
        <v>0</v>
      </c>
    </row>
    <row r="604" spans="1:11" x14ac:dyDescent="0.25">
      <c r="A604">
        <v>767287</v>
      </c>
      <c r="B604" t="s">
        <v>4258</v>
      </c>
      <c r="C604" t="s">
        <v>4257</v>
      </c>
      <c r="D604" t="s">
        <v>4256</v>
      </c>
      <c r="E604" t="s">
        <v>4255</v>
      </c>
      <c r="F604" s="62">
        <v>6</v>
      </c>
      <c r="H604" s="70">
        <v>50</v>
      </c>
      <c r="I604" s="60"/>
      <c r="J604" s="69">
        <v>6</v>
      </c>
      <c r="K604" s="68">
        <v>300</v>
      </c>
    </row>
    <row r="605" spans="1:11" x14ac:dyDescent="0.25">
      <c r="C605" t="s">
        <v>4254</v>
      </c>
      <c r="D605" t="s">
        <v>4253</v>
      </c>
      <c r="E605" t="s">
        <v>4252</v>
      </c>
      <c r="F605" s="62">
        <v>20</v>
      </c>
      <c r="H605" s="70">
        <v>2.7</v>
      </c>
      <c r="I605" s="60"/>
      <c r="J605" s="69">
        <v>0</v>
      </c>
      <c r="K605" s="68">
        <v>0</v>
      </c>
    </row>
    <row r="606" spans="1:11" x14ac:dyDescent="0.25">
      <c r="C606" t="s">
        <v>4251</v>
      </c>
      <c r="D606" t="s">
        <v>4250</v>
      </c>
      <c r="E606" t="s">
        <v>4249</v>
      </c>
      <c r="F606" s="62">
        <v>8</v>
      </c>
      <c r="H606" s="70">
        <v>53.1</v>
      </c>
      <c r="I606" s="60"/>
      <c r="J606" s="69">
        <v>0</v>
      </c>
      <c r="K606" s="68">
        <v>0</v>
      </c>
    </row>
    <row r="607" spans="1:11" x14ac:dyDescent="0.25">
      <c r="C607" t="s">
        <v>4248</v>
      </c>
      <c r="D607" t="s">
        <v>4247</v>
      </c>
      <c r="E607" t="s">
        <v>4246</v>
      </c>
      <c r="F607" s="62">
        <v>4</v>
      </c>
      <c r="H607" s="70">
        <v>58</v>
      </c>
      <c r="I607" s="60"/>
      <c r="J607" s="69">
        <v>0</v>
      </c>
      <c r="K607" s="68">
        <v>0</v>
      </c>
    </row>
    <row r="608" spans="1:11" x14ac:dyDescent="0.25">
      <c r="C608" t="s">
        <v>4245</v>
      </c>
      <c r="D608" t="s">
        <v>4244</v>
      </c>
      <c r="E608" t="s">
        <v>4243</v>
      </c>
      <c r="F608" s="62">
        <v>40</v>
      </c>
      <c r="H608" s="70">
        <v>59.75</v>
      </c>
      <c r="I608" s="60"/>
      <c r="J608" s="69">
        <v>0</v>
      </c>
      <c r="K608" s="68">
        <v>0</v>
      </c>
    </row>
    <row r="609" spans="1:11" x14ac:dyDescent="0.25">
      <c r="C609" t="s">
        <v>4242</v>
      </c>
      <c r="D609" t="s">
        <v>4241</v>
      </c>
      <c r="E609" t="s">
        <v>4240</v>
      </c>
      <c r="F609" s="62">
        <v>160</v>
      </c>
      <c r="H609" s="70">
        <v>6.12</v>
      </c>
      <c r="I609" s="60"/>
      <c r="J609" s="69">
        <v>0</v>
      </c>
      <c r="K609" s="68">
        <v>0</v>
      </c>
    </row>
    <row r="610" spans="1:11" x14ac:dyDescent="0.25">
      <c r="C610" t="s">
        <v>4239</v>
      </c>
      <c r="D610" t="s">
        <v>1403</v>
      </c>
      <c r="E610" t="s">
        <v>4238</v>
      </c>
      <c r="F610" s="62">
        <v>20</v>
      </c>
      <c r="H610" s="70">
        <v>543</v>
      </c>
      <c r="I610" s="60"/>
      <c r="J610" s="69">
        <v>0</v>
      </c>
      <c r="K610" s="68">
        <v>0</v>
      </c>
    </row>
    <row r="611" spans="1:11" x14ac:dyDescent="0.25">
      <c r="A611">
        <v>763275</v>
      </c>
      <c r="B611" t="s">
        <v>4237</v>
      </c>
      <c r="C611" t="s">
        <v>963</v>
      </c>
      <c r="D611" t="s">
        <v>964</v>
      </c>
      <c r="E611" t="s">
        <v>4236</v>
      </c>
      <c r="F611" s="62">
        <v>7</v>
      </c>
      <c r="H611" s="70">
        <v>456.76</v>
      </c>
      <c r="I611" s="60"/>
      <c r="J611" s="69">
        <v>3</v>
      </c>
      <c r="K611" s="68">
        <v>1370.28</v>
      </c>
    </row>
    <row r="612" spans="1:11" x14ac:dyDescent="0.25">
      <c r="A612">
        <v>756964</v>
      </c>
      <c r="B612" t="s">
        <v>4235</v>
      </c>
      <c r="C612" t="s">
        <v>10</v>
      </c>
      <c r="D612" t="s">
        <v>11</v>
      </c>
      <c r="E612" t="s">
        <v>4234</v>
      </c>
      <c r="F612" s="62">
        <v>3</v>
      </c>
      <c r="H612" s="70">
        <v>48</v>
      </c>
      <c r="I612" s="60"/>
      <c r="J612" s="69">
        <v>1</v>
      </c>
      <c r="K612" s="68">
        <v>48</v>
      </c>
    </row>
    <row r="613" spans="1:11" x14ac:dyDescent="0.25">
      <c r="C613" t="s">
        <v>4233</v>
      </c>
      <c r="D613" t="s">
        <v>4232</v>
      </c>
      <c r="E613" t="s">
        <v>4231</v>
      </c>
      <c r="F613" s="62">
        <v>3</v>
      </c>
      <c r="H613" s="70">
        <v>48</v>
      </c>
      <c r="I613" s="60"/>
      <c r="J613" s="69">
        <v>2</v>
      </c>
      <c r="K613" s="68">
        <v>96</v>
      </c>
    </row>
    <row r="614" spans="1:11" x14ac:dyDescent="0.25">
      <c r="C614" t="s">
        <v>4230</v>
      </c>
      <c r="D614" t="s">
        <v>4229</v>
      </c>
      <c r="E614" t="s">
        <v>4228</v>
      </c>
      <c r="F614" s="62">
        <v>3</v>
      </c>
      <c r="H614" s="70">
        <v>48</v>
      </c>
      <c r="I614" s="60"/>
      <c r="J614" s="69">
        <v>2</v>
      </c>
      <c r="K614" s="68">
        <v>96</v>
      </c>
    </row>
    <row r="615" spans="1:11" x14ac:dyDescent="0.25">
      <c r="C615" t="s">
        <v>4227</v>
      </c>
      <c r="D615" t="s">
        <v>4226</v>
      </c>
      <c r="E615" t="s">
        <v>4225</v>
      </c>
      <c r="F615" s="62">
        <v>2</v>
      </c>
      <c r="H615" s="70">
        <v>850.2</v>
      </c>
      <c r="I615" s="60"/>
      <c r="J615" s="69">
        <v>0</v>
      </c>
      <c r="K615" s="68">
        <v>0</v>
      </c>
    </row>
    <row r="616" spans="1:11" x14ac:dyDescent="0.25">
      <c r="C616" t="s">
        <v>370</v>
      </c>
      <c r="D616" t="s">
        <v>371</v>
      </c>
      <c r="E616" t="s">
        <v>4224</v>
      </c>
      <c r="F616" s="62">
        <v>1</v>
      </c>
      <c r="H616" s="70">
        <v>1107.22</v>
      </c>
      <c r="I616" s="60"/>
      <c r="J616" s="69">
        <v>1</v>
      </c>
      <c r="K616" s="68">
        <v>1107.22</v>
      </c>
    </row>
    <row r="617" spans="1:11" x14ac:dyDescent="0.25">
      <c r="C617" t="s">
        <v>4223</v>
      </c>
      <c r="D617" t="s">
        <v>4222</v>
      </c>
      <c r="E617" t="s">
        <v>4221</v>
      </c>
      <c r="F617" s="62">
        <v>3</v>
      </c>
      <c r="H617" s="70">
        <v>110</v>
      </c>
      <c r="I617" s="60"/>
      <c r="J617" s="69">
        <v>1</v>
      </c>
      <c r="K617" s="68">
        <v>110</v>
      </c>
    </row>
    <row r="618" spans="1:11" x14ac:dyDescent="0.25">
      <c r="C618" t="s">
        <v>4220</v>
      </c>
      <c r="D618" t="s">
        <v>4219</v>
      </c>
      <c r="E618" t="s">
        <v>4218</v>
      </c>
      <c r="F618" s="62">
        <v>2</v>
      </c>
      <c r="H618" s="70">
        <v>254.6</v>
      </c>
      <c r="I618" s="60"/>
      <c r="J618" s="69">
        <v>2</v>
      </c>
      <c r="K618" s="68">
        <v>509.2</v>
      </c>
    </row>
    <row r="619" spans="1:11" x14ac:dyDescent="0.25">
      <c r="C619" t="s">
        <v>4217</v>
      </c>
      <c r="D619" t="s">
        <v>4216</v>
      </c>
      <c r="E619" t="s">
        <v>4215</v>
      </c>
      <c r="F619" s="62">
        <v>1</v>
      </c>
      <c r="H619" s="70">
        <v>37.799999999999997</v>
      </c>
      <c r="I619" s="60"/>
      <c r="J619" s="69">
        <v>1</v>
      </c>
      <c r="K619" s="68">
        <v>37.799999999999997</v>
      </c>
    </row>
    <row r="620" spans="1:11" x14ac:dyDescent="0.25">
      <c r="E620" t="s">
        <v>4214</v>
      </c>
      <c r="F620" s="62">
        <v>2</v>
      </c>
      <c r="H620" s="70">
        <v>0</v>
      </c>
      <c r="I620" s="60"/>
      <c r="J620" s="69">
        <v>0</v>
      </c>
      <c r="K620" s="68">
        <v>0</v>
      </c>
    </row>
    <row r="621" spans="1:11" x14ac:dyDescent="0.25">
      <c r="C621" t="s">
        <v>4213</v>
      </c>
      <c r="D621" t="s">
        <v>4212</v>
      </c>
      <c r="E621" t="s">
        <v>4211</v>
      </c>
      <c r="F621" s="62">
        <v>8</v>
      </c>
      <c r="H621" s="70">
        <v>155.43</v>
      </c>
      <c r="I621" s="60"/>
      <c r="J621" s="69">
        <v>1</v>
      </c>
      <c r="K621" s="68">
        <v>155.43</v>
      </c>
    </row>
    <row r="622" spans="1:11" x14ac:dyDescent="0.25">
      <c r="C622" t="s">
        <v>4210</v>
      </c>
      <c r="D622" t="s">
        <v>4209</v>
      </c>
      <c r="E622" t="s">
        <v>4208</v>
      </c>
      <c r="F622" s="62">
        <v>6</v>
      </c>
      <c r="H622" s="70">
        <v>311.39999999999998</v>
      </c>
      <c r="I622" s="60"/>
      <c r="J622" s="69">
        <v>2</v>
      </c>
      <c r="K622" s="68">
        <v>622.79999999999995</v>
      </c>
    </row>
    <row r="623" spans="1:11" x14ac:dyDescent="0.25">
      <c r="C623" t="s">
        <v>4207</v>
      </c>
      <c r="D623" t="s">
        <v>4206</v>
      </c>
      <c r="E623" t="s">
        <v>4205</v>
      </c>
      <c r="F623" s="62">
        <v>4</v>
      </c>
      <c r="H623" s="70">
        <v>127.8</v>
      </c>
      <c r="I623" s="60"/>
      <c r="J623" s="69">
        <v>4</v>
      </c>
      <c r="K623" s="68">
        <v>511.2</v>
      </c>
    </row>
    <row r="624" spans="1:11" x14ac:dyDescent="0.25">
      <c r="E624" t="s">
        <v>4204</v>
      </c>
      <c r="F624" s="62">
        <v>25</v>
      </c>
      <c r="H624" s="70">
        <v>0</v>
      </c>
      <c r="I624" s="60"/>
      <c r="J624" s="69">
        <v>0</v>
      </c>
      <c r="K624" s="68">
        <v>0</v>
      </c>
    </row>
    <row r="625" spans="1:11" x14ac:dyDescent="0.25">
      <c r="C625" t="s">
        <v>4203</v>
      </c>
      <c r="D625" t="s">
        <v>4202</v>
      </c>
      <c r="E625" t="s">
        <v>4201</v>
      </c>
      <c r="F625" s="62">
        <v>2</v>
      </c>
      <c r="H625" s="70">
        <v>100</v>
      </c>
      <c r="I625" s="60"/>
      <c r="J625" s="69">
        <v>2</v>
      </c>
      <c r="K625" s="68">
        <v>200</v>
      </c>
    </row>
    <row r="626" spans="1:11" x14ac:dyDescent="0.25">
      <c r="C626" t="s">
        <v>4200</v>
      </c>
      <c r="D626" t="s">
        <v>4199</v>
      </c>
      <c r="E626" t="s">
        <v>4198</v>
      </c>
      <c r="F626" s="62">
        <v>3</v>
      </c>
      <c r="H626" s="70">
        <v>129.30000000000001</v>
      </c>
      <c r="I626" s="60"/>
      <c r="J626" s="69">
        <v>2</v>
      </c>
      <c r="K626" s="68">
        <v>258.60000000000002</v>
      </c>
    </row>
    <row r="627" spans="1:11" x14ac:dyDescent="0.25">
      <c r="C627" t="s">
        <v>4197</v>
      </c>
      <c r="D627" t="s">
        <v>4196</v>
      </c>
      <c r="E627" t="s">
        <v>4195</v>
      </c>
      <c r="F627" s="62">
        <v>4</v>
      </c>
      <c r="H627" s="70">
        <v>124</v>
      </c>
      <c r="I627" s="60"/>
      <c r="J627" s="69">
        <v>2</v>
      </c>
      <c r="K627" s="68">
        <v>248</v>
      </c>
    </row>
    <row r="628" spans="1:11" x14ac:dyDescent="0.25">
      <c r="C628" t="s">
        <v>4194</v>
      </c>
      <c r="D628" t="s">
        <v>4193</v>
      </c>
      <c r="E628" t="s">
        <v>4192</v>
      </c>
      <c r="F628" s="62">
        <v>1</v>
      </c>
      <c r="H628" s="70">
        <v>500</v>
      </c>
      <c r="I628" s="60"/>
      <c r="J628" s="69">
        <v>1</v>
      </c>
      <c r="K628" s="68">
        <v>500</v>
      </c>
    </row>
    <row r="629" spans="1:11" x14ac:dyDescent="0.25">
      <c r="C629" t="s">
        <v>4191</v>
      </c>
      <c r="D629" t="s">
        <v>4190</v>
      </c>
      <c r="E629" t="s">
        <v>4189</v>
      </c>
      <c r="F629" s="62">
        <v>8</v>
      </c>
      <c r="H629" s="70">
        <v>600</v>
      </c>
      <c r="I629" s="60"/>
      <c r="J629" s="69">
        <v>1</v>
      </c>
      <c r="K629" s="68">
        <v>600</v>
      </c>
    </row>
    <row r="630" spans="1:11" x14ac:dyDescent="0.25">
      <c r="C630" t="s">
        <v>4188</v>
      </c>
      <c r="D630" t="s">
        <v>4187</v>
      </c>
      <c r="E630" t="s">
        <v>4186</v>
      </c>
      <c r="F630" s="62">
        <v>4</v>
      </c>
      <c r="H630" s="70">
        <v>150</v>
      </c>
      <c r="I630" s="60"/>
      <c r="J630" s="69">
        <v>2</v>
      </c>
      <c r="K630" s="68">
        <v>300</v>
      </c>
    </row>
    <row r="631" spans="1:11" x14ac:dyDescent="0.25">
      <c r="C631" t="s">
        <v>4185</v>
      </c>
      <c r="D631" t="s">
        <v>3470</v>
      </c>
      <c r="E631" t="s">
        <v>3469</v>
      </c>
      <c r="F631" s="62">
        <v>4</v>
      </c>
      <c r="H631" s="70">
        <v>110</v>
      </c>
      <c r="I631" s="60"/>
      <c r="J631" s="69">
        <v>2</v>
      </c>
      <c r="K631" s="68">
        <v>220</v>
      </c>
    </row>
    <row r="632" spans="1:11" x14ac:dyDescent="0.25">
      <c r="C632" t="s">
        <v>4184</v>
      </c>
      <c r="D632" t="s">
        <v>4183</v>
      </c>
      <c r="E632" t="s">
        <v>4182</v>
      </c>
      <c r="F632" s="62">
        <v>4</v>
      </c>
      <c r="H632" s="70">
        <v>38</v>
      </c>
      <c r="I632" s="60"/>
      <c r="J632" s="69">
        <v>0</v>
      </c>
      <c r="K632" s="68">
        <v>0</v>
      </c>
    </row>
    <row r="633" spans="1:11" x14ac:dyDescent="0.25">
      <c r="C633" t="s">
        <v>4181</v>
      </c>
      <c r="D633" t="s">
        <v>4180</v>
      </c>
      <c r="E633" t="s">
        <v>4179</v>
      </c>
      <c r="F633" s="62">
        <v>1</v>
      </c>
      <c r="H633" s="70">
        <v>24</v>
      </c>
      <c r="I633" s="60"/>
      <c r="J633" s="69">
        <v>0</v>
      </c>
      <c r="K633" s="68">
        <v>0</v>
      </c>
    </row>
    <row r="634" spans="1:11" x14ac:dyDescent="0.25">
      <c r="C634" t="s">
        <v>4178</v>
      </c>
      <c r="D634" t="s">
        <v>3535</v>
      </c>
      <c r="E634" t="s">
        <v>3534</v>
      </c>
      <c r="F634" s="62">
        <v>16</v>
      </c>
      <c r="H634" s="70">
        <v>9.84</v>
      </c>
      <c r="I634" s="60"/>
      <c r="J634" s="69">
        <v>0</v>
      </c>
      <c r="K634" s="68">
        <v>0</v>
      </c>
    </row>
    <row r="635" spans="1:11" x14ac:dyDescent="0.25">
      <c r="C635" t="s">
        <v>4177</v>
      </c>
      <c r="D635" t="s">
        <v>3532</v>
      </c>
      <c r="E635" t="s">
        <v>3531</v>
      </c>
      <c r="F635" s="62">
        <v>16</v>
      </c>
      <c r="H635" s="70">
        <v>4.5999999999999996</v>
      </c>
      <c r="I635" s="60"/>
      <c r="J635" s="69">
        <v>0</v>
      </c>
      <c r="K635" s="68">
        <v>0</v>
      </c>
    </row>
    <row r="636" spans="1:11" x14ac:dyDescent="0.25">
      <c r="A636">
        <v>763031</v>
      </c>
      <c r="B636" t="s">
        <v>4176</v>
      </c>
      <c r="C636" t="s">
        <v>4175</v>
      </c>
      <c r="D636" t="s">
        <v>4174</v>
      </c>
      <c r="E636" t="s">
        <v>4173</v>
      </c>
      <c r="F636" s="62">
        <v>2</v>
      </c>
      <c r="H636" s="70">
        <v>104.57</v>
      </c>
      <c r="I636" s="60"/>
      <c r="J636" s="69">
        <v>2</v>
      </c>
      <c r="K636" s="68">
        <v>209.14</v>
      </c>
    </row>
    <row r="637" spans="1:11" x14ac:dyDescent="0.25">
      <c r="C637" t="s">
        <v>4172</v>
      </c>
      <c r="D637" t="s">
        <v>4171</v>
      </c>
      <c r="E637" t="s">
        <v>4170</v>
      </c>
      <c r="F637" s="62">
        <v>6</v>
      </c>
      <c r="H637" s="70">
        <v>89.228333000000006</v>
      </c>
      <c r="I637" s="60"/>
      <c r="J637" s="69">
        <v>6</v>
      </c>
      <c r="K637" s="68">
        <v>535.36999800000001</v>
      </c>
    </row>
    <row r="638" spans="1:11" x14ac:dyDescent="0.25">
      <c r="C638" t="s">
        <v>4169</v>
      </c>
      <c r="D638" t="s">
        <v>4168</v>
      </c>
      <c r="E638" t="s">
        <v>4167</v>
      </c>
      <c r="F638" s="62">
        <v>6</v>
      </c>
      <c r="H638" s="70">
        <v>193.01166699999999</v>
      </c>
      <c r="I638" s="60"/>
      <c r="J638" s="69">
        <v>4</v>
      </c>
      <c r="K638" s="68">
        <v>772.04666799999995</v>
      </c>
    </row>
    <row r="639" spans="1:11" x14ac:dyDescent="0.25">
      <c r="C639" t="s">
        <v>4166</v>
      </c>
      <c r="D639" t="s">
        <v>4165</v>
      </c>
      <c r="E639" t="s">
        <v>4164</v>
      </c>
      <c r="F639" s="62">
        <v>2</v>
      </c>
      <c r="H639" s="70">
        <v>118.58499999999999</v>
      </c>
      <c r="I639" s="60"/>
      <c r="J639" s="69">
        <v>2</v>
      </c>
      <c r="K639" s="68">
        <v>237.17</v>
      </c>
    </row>
    <row r="640" spans="1:11" x14ac:dyDescent="0.25">
      <c r="C640" t="s">
        <v>4163</v>
      </c>
      <c r="D640" t="s">
        <v>4162</v>
      </c>
      <c r="E640" t="s">
        <v>4161</v>
      </c>
      <c r="F640" s="62">
        <v>8</v>
      </c>
      <c r="H640" s="70">
        <v>200.55</v>
      </c>
      <c r="I640" s="60"/>
      <c r="J640" s="69">
        <v>4</v>
      </c>
      <c r="K640" s="68">
        <v>802.2</v>
      </c>
    </row>
    <row r="641" spans="1:11" x14ac:dyDescent="0.25">
      <c r="C641" t="s">
        <v>4160</v>
      </c>
      <c r="D641" t="s">
        <v>4159</v>
      </c>
      <c r="E641" t="s">
        <v>4158</v>
      </c>
      <c r="F641" s="62">
        <v>16</v>
      </c>
      <c r="H641" s="70">
        <v>189.44</v>
      </c>
      <c r="I641" s="60"/>
      <c r="J641" s="69">
        <v>4</v>
      </c>
      <c r="K641" s="68">
        <v>757.76</v>
      </c>
    </row>
    <row r="642" spans="1:11" x14ac:dyDescent="0.25">
      <c r="C642" t="s">
        <v>4157</v>
      </c>
      <c r="D642" t="s">
        <v>4156</v>
      </c>
      <c r="E642" t="s">
        <v>4155</v>
      </c>
      <c r="F642" s="62">
        <v>8</v>
      </c>
      <c r="H642" s="70">
        <v>289.39999999999998</v>
      </c>
      <c r="I642" s="60"/>
      <c r="J642" s="69">
        <v>4</v>
      </c>
      <c r="K642" s="68">
        <v>1157.5999999999999</v>
      </c>
    </row>
    <row r="643" spans="1:11" x14ac:dyDescent="0.25">
      <c r="C643" t="s">
        <v>4154</v>
      </c>
      <c r="D643" t="s">
        <v>4153</v>
      </c>
      <c r="E643" t="s">
        <v>4152</v>
      </c>
      <c r="F643" s="62">
        <v>18</v>
      </c>
      <c r="H643" s="70">
        <v>262.73624999999998</v>
      </c>
      <c r="I643" s="60"/>
      <c r="J643" s="69">
        <v>4</v>
      </c>
      <c r="K643" s="68">
        <v>1050.9449999999999</v>
      </c>
    </row>
    <row r="644" spans="1:11" x14ac:dyDescent="0.25">
      <c r="A644">
        <v>761157</v>
      </c>
      <c r="B644" t="s">
        <v>4151</v>
      </c>
      <c r="C644" t="s">
        <v>4150</v>
      </c>
      <c r="D644" t="s">
        <v>4149</v>
      </c>
      <c r="E644" t="s">
        <v>4148</v>
      </c>
      <c r="F644" s="62">
        <v>2</v>
      </c>
      <c r="H644" s="70">
        <v>152.11000000000001</v>
      </c>
      <c r="I644" s="60"/>
      <c r="J644" s="69">
        <v>1</v>
      </c>
      <c r="K644" s="68">
        <v>152.11000000000001</v>
      </c>
    </row>
    <row r="645" spans="1:11" x14ac:dyDescent="0.25">
      <c r="A645">
        <v>757779</v>
      </c>
      <c r="B645" t="s">
        <v>4147</v>
      </c>
      <c r="C645" t="s">
        <v>4146</v>
      </c>
      <c r="D645" t="s">
        <v>4145</v>
      </c>
      <c r="E645" t="s">
        <v>4144</v>
      </c>
      <c r="F645" s="62">
        <v>1</v>
      </c>
      <c r="H645" s="70">
        <v>125.5</v>
      </c>
      <c r="I645" s="60"/>
      <c r="J645" s="69">
        <v>0</v>
      </c>
      <c r="K645" s="68">
        <v>0</v>
      </c>
    </row>
    <row r="646" spans="1:11" x14ac:dyDescent="0.25">
      <c r="C646" t="s">
        <v>4143</v>
      </c>
      <c r="D646" t="s">
        <v>4142</v>
      </c>
      <c r="E646" t="s">
        <v>4141</v>
      </c>
      <c r="F646" s="62">
        <v>4</v>
      </c>
      <c r="H646" s="70">
        <v>230</v>
      </c>
      <c r="I646" s="60"/>
      <c r="J646" s="69">
        <v>1</v>
      </c>
      <c r="K646" s="68">
        <v>230</v>
      </c>
    </row>
    <row r="647" spans="1:11" x14ac:dyDescent="0.25">
      <c r="C647" t="s">
        <v>4140</v>
      </c>
      <c r="D647" t="s">
        <v>3700</v>
      </c>
      <c r="E647" t="s">
        <v>3699</v>
      </c>
      <c r="F647" s="62">
        <v>12</v>
      </c>
      <c r="H647" s="70">
        <v>20.5</v>
      </c>
      <c r="I647" s="60"/>
      <c r="J647" s="69">
        <v>0</v>
      </c>
      <c r="K647" s="68">
        <v>0</v>
      </c>
    </row>
    <row r="648" spans="1:11" x14ac:dyDescent="0.25">
      <c r="C648" t="s">
        <v>4139</v>
      </c>
      <c r="D648" t="s">
        <v>4138</v>
      </c>
      <c r="E648" t="s">
        <v>4137</v>
      </c>
      <c r="F648" s="62">
        <v>1</v>
      </c>
      <c r="H648" s="70">
        <v>451.2</v>
      </c>
      <c r="I648" s="60"/>
      <c r="J648" s="69">
        <v>1</v>
      </c>
      <c r="K648" s="68">
        <v>451.2</v>
      </c>
    </row>
    <row r="649" spans="1:11" x14ac:dyDescent="0.25">
      <c r="C649" t="s">
        <v>4136</v>
      </c>
      <c r="D649" t="s">
        <v>4135</v>
      </c>
      <c r="E649" t="s">
        <v>4134</v>
      </c>
      <c r="F649" s="62">
        <v>2</v>
      </c>
      <c r="H649" s="70">
        <v>549.14</v>
      </c>
      <c r="I649" s="60"/>
      <c r="J649" s="69">
        <v>2</v>
      </c>
      <c r="K649" s="68">
        <v>1098.28</v>
      </c>
    </row>
    <row r="650" spans="1:11" x14ac:dyDescent="0.25">
      <c r="C650" t="s">
        <v>4133</v>
      </c>
      <c r="D650" t="s">
        <v>4132</v>
      </c>
      <c r="E650" t="s">
        <v>4131</v>
      </c>
      <c r="F650" s="62">
        <v>2</v>
      </c>
      <c r="H650" s="70">
        <v>131.6</v>
      </c>
      <c r="I650" s="60"/>
      <c r="J650" s="69">
        <v>2</v>
      </c>
      <c r="K650" s="68">
        <v>263.2</v>
      </c>
    </row>
    <row r="651" spans="1:11" x14ac:dyDescent="0.25">
      <c r="C651" t="s">
        <v>4130</v>
      </c>
      <c r="D651" t="s">
        <v>4129</v>
      </c>
      <c r="E651" t="s">
        <v>4128</v>
      </c>
      <c r="F651" s="62">
        <v>2</v>
      </c>
      <c r="H651" s="70">
        <v>385.4</v>
      </c>
      <c r="I651" s="60"/>
      <c r="J651" s="69">
        <v>2</v>
      </c>
      <c r="K651" s="68">
        <v>770.8</v>
      </c>
    </row>
    <row r="652" spans="1:11" x14ac:dyDescent="0.25">
      <c r="C652" t="s">
        <v>4127</v>
      </c>
      <c r="D652" t="s">
        <v>4126</v>
      </c>
      <c r="E652" t="s">
        <v>4125</v>
      </c>
      <c r="F652" s="62">
        <v>2</v>
      </c>
      <c r="H652" s="70">
        <v>545.20000000000005</v>
      </c>
      <c r="I652" s="60"/>
      <c r="J652" s="69">
        <v>2</v>
      </c>
      <c r="K652" s="68">
        <v>1090.4000000000001</v>
      </c>
    </row>
    <row r="653" spans="1:11" x14ac:dyDescent="0.25">
      <c r="C653" t="s">
        <v>4124</v>
      </c>
      <c r="D653" t="s">
        <v>4123</v>
      </c>
      <c r="E653" t="s">
        <v>4122</v>
      </c>
      <c r="F653" s="62">
        <v>2</v>
      </c>
      <c r="H653" s="70">
        <v>385.4</v>
      </c>
      <c r="I653" s="60"/>
      <c r="J653" s="69">
        <v>2</v>
      </c>
      <c r="K653" s="68">
        <v>770.8</v>
      </c>
    </row>
    <row r="654" spans="1:11" x14ac:dyDescent="0.25">
      <c r="C654" t="s">
        <v>4121</v>
      </c>
      <c r="D654" t="s">
        <v>4120</v>
      </c>
      <c r="E654" t="s">
        <v>4119</v>
      </c>
      <c r="F654" s="62">
        <v>5</v>
      </c>
      <c r="H654" s="70">
        <v>75.67</v>
      </c>
      <c r="I654" s="60"/>
      <c r="J654" s="69">
        <v>4</v>
      </c>
      <c r="K654" s="68">
        <v>302.68</v>
      </c>
    </row>
    <row r="655" spans="1:11" x14ac:dyDescent="0.25">
      <c r="C655" t="s">
        <v>4118</v>
      </c>
      <c r="D655" t="s">
        <v>4117</v>
      </c>
      <c r="E655" t="s">
        <v>4116</v>
      </c>
      <c r="F655" s="62">
        <v>5</v>
      </c>
      <c r="H655" s="70">
        <v>83.19</v>
      </c>
      <c r="I655" s="60"/>
      <c r="J655" s="69">
        <v>4</v>
      </c>
      <c r="K655" s="68">
        <v>332.76</v>
      </c>
    </row>
    <row r="656" spans="1:11" x14ac:dyDescent="0.25">
      <c r="C656" t="s">
        <v>4115</v>
      </c>
      <c r="D656" t="s">
        <v>4114</v>
      </c>
      <c r="E656" t="s">
        <v>4113</v>
      </c>
      <c r="F656" s="62">
        <v>20</v>
      </c>
      <c r="H656" s="70">
        <v>26.32</v>
      </c>
      <c r="I656" s="60"/>
      <c r="J656" s="69">
        <v>0</v>
      </c>
      <c r="K656" s="68">
        <v>0</v>
      </c>
    </row>
    <row r="657" spans="3:11" x14ac:dyDescent="0.25">
      <c r="C657" t="s">
        <v>4112</v>
      </c>
      <c r="D657" t="s">
        <v>4111</v>
      </c>
      <c r="E657" t="s">
        <v>4110</v>
      </c>
      <c r="F657" s="62">
        <v>2</v>
      </c>
      <c r="H657" s="70">
        <v>28.67</v>
      </c>
      <c r="I657" s="60"/>
      <c r="J657" s="69">
        <v>2</v>
      </c>
      <c r="K657" s="68">
        <v>57.34</v>
      </c>
    </row>
    <row r="658" spans="3:11" x14ac:dyDescent="0.25">
      <c r="C658" t="s">
        <v>4109</v>
      </c>
      <c r="D658" t="s">
        <v>3721</v>
      </c>
      <c r="E658" t="s">
        <v>3720</v>
      </c>
      <c r="F658" s="62">
        <v>5</v>
      </c>
      <c r="H658" s="70">
        <v>45.59</v>
      </c>
      <c r="I658" s="60"/>
      <c r="J658" s="69">
        <v>4</v>
      </c>
      <c r="K658" s="68">
        <v>182.36</v>
      </c>
    </row>
    <row r="659" spans="3:11" x14ac:dyDescent="0.25">
      <c r="C659" t="s">
        <v>4108</v>
      </c>
      <c r="D659" t="s">
        <v>4107</v>
      </c>
      <c r="E659" t="s">
        <v>4106</v>
      </c>
      <c r="F659" s="62">
        <v>5</v>
      </c>
      <c r="H659" s="70">
        <v>77.08</v>
      </c>
      <c r="I659" s="60"/>
      <c r="J659" s="69">
        <v>4</v>
      </c>
      <c r="K659" s="68">
        <v>308.32</v>
      </c>
    </row>
    <row r="660" spans="3:11" x14ac:dyDescent="0.25">
      <c r="C660" t="s">
        <v>4105</v>
      </c>
      <c r="D660" t="s">
        <v>4104</v>
      </c>
      <c r="E660" t="s">
        <v>4103</v>
      </c>
      <c r="F660" s="62">
        <v>20</v>
      </c>
      <c r="H660" s="70">
        <v>6.14</v>
      </c>
      <c r="I660" s="60"/>
      <c r="J660" s="69">
        <v>0</v>
      </c>
      <c r="K660" s="68">
        <v>0</v>
      </c>
    </row>
    <row r="661" spans="3:11" x14ac:dyDescent="0.25">
      <c r="C661" t="s">
        <v>4102</v>
      </c>
      <c r="D661" t="s">
        <v>4101</v>
      </c>
      <c r="E661" t="s">
        <v>4100</v>
      </c>
      <c r="F661" s="62">
        <v>10</v>
      </c>
      <c r="H661" s="70">
        <v>5.65</v>
      </c>
      <c r="I661" s="60"/>
      <c r="J661" s="69">
        <v>0</v>
      </c>
      <c r="K661" s="68">
        <v>0</v>
      </c>
    </row>
    <row r="662" spans="3:11" x14ac:dyDescent="0.25">
      <c r="C662" t="s">
        <v>4099</v>
      </c>
      <c r="D662" t="s">
        <v>4098</v>
      </c>
      <c r="E662" t="s">
        <v>4097</v>
      </c>
      <c r="F662" s="62">
        <v>20</v>
      </c>
      <c r="H662" s="70">
        <v>26.02</v>
      </c>
      <c r="I662" s="60"/>
      <c r="J662" s="69">
        <v>0</v>
      </c>
      <c r="K662" s="68">
        <v>0</v>
      </c>
    </row>
    <row r="663" spans="3:11" x14ac:dyDescent="0.25">
      <c r="C663" t="s">
        <v>4096</v>
      </c>
      <c r="D663" t="s">
        <v>4095</v>
      </c>
      <c r="E663" t="s">
        <v>4094</v>
      </c>
      <c r="F663" s="62">
        <v>100</v>
      </c>
      <c r="H663" s="70">
        <v>26.02</v>
      </c>
      <c r="I663" s="60"/>
      <c r="J663" s="69">
        <v>0</v>
      </c>
      <c r="K663" s="68">
        <v>0</v>
      </c>
    </row>
    <row r="664" spans="3:11" x14ac:dyDescent="0.25">
      <c r="C664" t="s">
        <v>4093</v>
      </c>
      <c r="D664" t="s">
        <v>4092</v>
      </c>
      <c r="E664" t="s">
        <v>4091</v>
      </c>
      <c r="F664" s="62">
        <v>15</v>
      </c>
      <c r="H664" s="70">
        <v>19.48</v>
      </c>
      <c r="I664" s="60"/>
      <c r="J664" s="69">
        <v>0</v>
      </c>
      <c r="K664" s="68">
        <v>0</v>
      </c>
    </row>
    <row r="665" spans="3:11" x14ac:dyDescent="0.25">
      <c r="C665" t="s">
        <v>4090</v>
      </c>
      <c r="D665" t="s">
        <v>4089</v>
      </c>
      <c r="E665" t="s">
        <v>4088</v>
      </c>
      <c r="F665" s="62">
        <v>50</v>
      </c>
      <c r="H665" s="70">
        <v>19.48</v>
      </c>
      <c r="I665" s="60"/>
      <c r="J665" s="69">
        <v>0</v>
      </c>
      <c r="K665" s="68">
        <v>0</v>
      </c>
    </row>
    <row r="666" spans="3:11" x14ac:dyDescent="0.25">
      <c r="C666" t="s">
        <v>4087</v>
      </c>
      <c r="D666" t="s">
        <v>4086</v>
      </c>
      <c r="E666" t="s">
        <v>4085</v>
      </c>
      <c r="F666" s="62">
        <v>2</v>
      </c>
      <c r="H666" s="70">
        <v>716.74</v>
      </c>
      <c r="I666" s="60"/>
      <c r="J666" s="69">
        <v>2</v>
      </c>
      <c r="K666" s="68">
        <v>1433.48</v>
      </c>
    </row>
    <row r="667" spans="3:11" x14ac:dyDescent="0.25">
      <c r="C667" t="s">
        <v>4084</v>
      </c>
      <c r="D667" t="s">
        <v>4083</v>
      </c>
      <c r="E667" t="s">
        <v>4082</v>
      </c>
      <c r="F667" s="62">
        <v>3</v>
      </c>
      <c r="H667" s="70">
        <v>375.25</v>
      </c>
      <c r="I667" s="60"/>
      <c r="J667" s="69">
        <v>2</v>
      </c>
      <c r="K667" s="68">
        <v>750.5</v>
      </c>
    </row>
    <row r="668" spans="3:11" x14ac:dyDescent="0.25">
      <c r="C668" t="s">
        <v>4081</v>
      </c>
      <c r="D668" t="s">
        <v>4080</v>
      </c>
      <c r="E668" t="s">
        <v>4079</v>
      </c>
      <c r="F668" s="62">
        <v>3</v>
      </c>
      <c r="H668" s="70">
        <v>258.39999999999998</v>
      </c>
      <c r="I668" s="60"/>
      <c r="J668" s="69">
        <v>2</v>
      </c>
      <c r="K668" s="68">
        <v>516.79999999999995</v>
      </c>
    </row>
    <row r="669" spans="3:11" x14ac:dyDescent="0.25">
      <c r="C669" t="s">
        <v>4078</v>
      </c>
      <c r="D669" t="s">
        <v>4077</v>
      </c>
      <c r="E669" t="s">
        <v>4076</v>
      </c>
      <c r="F669" s="62">
        <v>3</v>
      </c>
      <c r="H669" s="70">
        <v>109.77</v>
      </c>
      <c r="I669" s="60"/>
      <c r="J669" s="69">
        <v>1</v>
      </c>
      <c r="K669" s="68">
        <v>109.77</v>
      </c>
    </row>
    <row r="670" spans="3:11" x14ac:dyDescent="0.25">
      <c r="C670" t="s">
        <v>4075</v>
      </c>
      <c r="D670" t="s">
        <v>4074</v>
      </c>
      <c r="E670" t="s">
        <v>4073</v>
      </c>
      <c r="F670" s="62">
        <v>1</v>
      </c>
      <c r="H670" s="70">
        <v>1159.95</v>
      </c>
      <c r="I670" s="60"/>
      <c r="J670" s="69">
        <v>1</v>
      </c>
      <c r="K670" s="68">
        <v>1159.95</v>
      </c>
    </row>
    <row r="671" spans="3:11" x14ac:dyDescent="0.25">
      <c r="C671" t="s">
        <v>4072</v>
      </c>
      <c r="D671" t="s">
        <v>4071</v>
      </c>
      <c r="E671" t="s">
        <v>4070</v>
      </c>
      <c r="F671" s="62">
        <v>6</v>
      </c>
      <c r="H671" s="70">
        <v>28.21</v>
      </c>
      <c r="I671" s="60"/>
      <c r="J671" s="69">
        <v>1</v>
      </c>
      <c r="K671" s="68">
        <v>28.21</v>
      </c>
    </row>
    <row r="672" spans="3:11" x14ac:dyDescent="0.25">
      <c r="C672" t="s">
        <v>4069</v>
      </c>
      <c r="D672" t="s">
        <v>4068</v>
      </c>
      <c r="E672" t="s">
        <v>4067</v>
      </c>
      <c r="F672" s="62">
        <v>4</v>
      </c>
      <c r="H672" s="70">
        <v>37.932499999999997</v>
      </c>
      <c r="I672" s="60"/>
      <c r="J672" s="69">
        <v>0</v>
      </c>
      <c r="K672" s="68">
        <v>0</v>
      </c>
    </row>
    <row r="673" spans="1:11" x14ac:dyDescent="0.25">
      <c r="C673" t="s">
        <v>4066</v>
      </c>
      <c r="D673" t="s">
        <v>4065</v>
      </c>
      <c r="E673" t="s">
        <v>4064</v>
      </c>
      <c r="F673" s="62">
        <v>3</v>
      </c>
      <c r="H673" s="70">
        <v>84.5</v>
      </c>
      <c r="I673" s="60"/>
      <c r="J673" s="69">
        <v>0</v>
      </c>
      <c r="K673" s="68">
        <v>0</v>
      </c>
    </row>
    <row r="674" spans="1:11" x14ac:dyDescent="0.25">
      <c r="C674" t="s">
        <v>4063</v>
      </c>
      <c r="D674" t="s">
        <v>4062</v>
      </c>
      <c r="E674" t="s">
        <v>4061</v>
      </c>
      <c r="F674" s="62">
        <v>3</v>
      </c>
      <c r="H674" s="70">
        <v>148.12</v>
      </c>
      <c r="I674" s="60"/>
      <c r="J674" s="69">
        <v>0</v>
      </c>
      <c r="K674" s="68">
        <v>0</v>
      </c>
    </row>
    <row r="675" spans="1:11" x14ac:dyDescent="0.25">
      <c r="C675" t="s">
        <v>4060</v>
      </c>
      <c r="D675" t="s">
        <v>4059</v>
      </c>
      <c r="E675" t="s">
        <v>4058</v>
      </c>
      <c r="F675" s="62">
        <v>10</v>
      </c>
      <c r="H675" s="70">
        <v>48.55</v>
      </c>
      <c r="I675" s="60"/>
      <c r="J675" s="69">
        <v>0</v>
      </c>
      <c r="K675" s="68">
        <v>0</v>
      </c>
    </row>
    <row r="676" spans="1:11" x14ac:dyDescent="0.25">
      <c r="C676" t="s">
        <v>4057</v>
      </c>
      <c r="D676" t="s">
        <v>4056</v>
      </c>
      <c r="E676" t="s">
        <v>4055</v>
      </c>
      <c r="F676" s="62">
        <v>30</v>
      </c>
      <c r="H676" s="70">
        <v>1</v>
      </c>
      <c r="I676" s="60"/>
      <c r="J676" s="69">
        <v>0</v>
      </c>
      <c r="K676" s="68">
        <v>0</v>
      </c>
    </row>
    <row r="677" spans="1:11" x14ac:dyDescent="0.25">
      <c r="C677" t="s">
        <v>4054</v>
      </c>
      <c r="D677" t="s">
        <v>4053</v>
      </c>
      <c r="E677" t="s">
        <v>4052</v>
      </c>
      <c r="F677" s="62">
        <v>30</v>
      </c>
      <c r="H677" s="70">
        <v>1.32</v>
      </c>
      <c r="I677" s="60"/>
      <c r="J677" s="69">
        <v>0</v>
      </c>
      <c r="K677" s="68">
        <v>0</v>
      </c>
    </row>
    <row r="678" spans="1:11" x14ac:dyDescent="0.25">
      <c r="C678" t="s">
        <v>4051</v>
      </c>
      <c r="D678" t="s">
        <v>4050</v>
      </c>
      <c r="E678" t="s">
        <v>4049</v>
      </c>
      <c r="F678" s="62">
        <v>30</v>
      </c>
      <c r="H678" s="70">
        <v>1.32</v>
      </c>
      <c r="I678" s="60"/>
      <c r="J678" s="69">
        <v>0</v>
      </c>
      <c r="K678" s="68">
        <v>0</v>
      </c>
    </row>
    <row r="679" spans="1:11" x14ac:dyDescent="0.25">
      <c r="C679" t="s">
        <v>4048</v>
      </c>
      <c r="D679" t="s">
        <v>4047</v>
      </c>
      <c r="E679" t="s">
        <v>4046</v>
      </c>
      <c r="F679" s="62">
        <v>4</v>
      </c>
      <c r="H679" s="70">
        <v>394.61</v>
      </c>
      <c r="I679" s="60"/>
      <c r="J679" s="69">
        <v>0</v>
      </c>
      <c r="K679" s="68">
        <v>0</v>
      </c>
    </row>
    <row r="680" spans="1:11" x14ac:dyDescent="0.25">
      <c r="C680" t="s">
        <v>4045</v>
      </c>
      <c r="D680" t="s">
        <v>4044</v>
      </c>
      <c r="E680" t="s">
        <v>4043</v>
      </c>
      <c r="F680" s="62">
        <v>50</v>
      </c>
      <c r="H680" s="70">
        <v>4.9753999999999996</v>
      </c>
      <c r="I680" s="60"/>
      <c r="J680" s="69">
        <v>0</v>
      </c>
      <c r="K680" s="68">
        <v>0</v>
      </c>
    </row>
    <row r="681" spans="1:11" x14ac:dyDescent="0.25">
      <c r="C681" t="s">
        <v>4042</v>
      </c>
      <c r="D681" t="s">
        <v>4041</v>
      </c>
      <c r="E681" t="s">
        <v>4040</v>
      </c>
      <c r="F681" s="62">
        <v>1</v>
      </c>
      <c r="H681" s="70">
        <v>1900</v>
      </c>
      <c r="I681" s="60"/>
      <c r="J681" s="69">
        <v>0</v>
      </c>
      <c r="K681" s="68">
        <v>0</v>
      </c>
    </row>
    <row r="682" spans="1:11" x14ac:dyDescent="0.25">
      <c r="C682" t="s">
        <v>4039</v>
      </c>
      <c r="D682" t="s">
        <v>4038</v>
      </c>
      <c r="E682" t="s">
        <v>4037</v>
      </c>
      <c r="F682" s="62">
        <v>3</v>
      </c>
      <c r="H682" s="70">
        <v>780</v>
      </c>
      <c r="I682" s="60"/>
      <c r="J682" s="69">
        <v>0</v>
      </c>
      <c r="K682" s="68">
        <v>0</v>
      </c>
    </row>
    <row r="683" spans="1:11" x14ac:dyDescent="0.25">
      <c r="A683">
        <v>763482</v>
      </c>
      <c r="B683" t="s">
        <v>4036</v>
      </c>
      <c r="C683" t="s">
        <v>4035</v>
      </c>
      <c r="D683" t="s">
        <v>4034</v>
      </c>
      <c r="E683" t="s">
        <v>4033</v>
      </c>
      <c r="F683" s="62">
        <v>187</v>
      </c>
      <c r="H683" s="70">
        <v>190</v>
      </c>
      <c r="I683" s="60"/>
      <c r="J683" s="69">
        <v>0</v>
      </c>
      <c r="K683" s="68">
        <v>0</v>
      </c>
    </row>
    <row r="684" spans="1:11" x14ac:dyDescent="0.25">
      <c r="C684" t="s">
        <v>4032</v>
      </c>
      <c r="D684" t="s">
        <v>4031</v>
      </c>
      <c r="E684" t="s">
        <v>4030</v>
      </c>
      <c r="F684" s="62">
        <v>1</v>
      </c>
      <c r="H684" s="70">
        <v>10000</v>
      </c>
      <c r="I684" s="60"/>
      <c r="J684" s="69">
        <v>0</v>
      </c>
      <c r="K684" s="68">
        <v>0</v>
      </c>
    </row>
    <row r="685" spans="1:11" x14ac:dyDescent="0.25">
      <c r="C685" t="s">
        <v>4029</v>
      </c>
      <c r="D685" t="s">
        <v>4028</v>
      </c>
      <c r="E685" t="s">
        <v>4027</v>
      </c>
      <c r="F685" s="62">
        <v>6</v>
      </c>
      <c r="H685" s="70">
        <v>19.221667</v>
      </c>
      <c r="I685" s="60"/>
      <c r="J685" s="69">
        <v>0</v>
      </c>
      <c r="K685" s="68">
        <v>0</v>
      </c>
    </row>
    <row r="686" spans="1:11" x14ac:dyDescent="0.25">
      <c r="C686" t="s">
        <v>4026</v>
      </c>
      <c r="D686" t="s">
        <v>4025</v>
      </c>
      <c r="E686" t="s">
        <v>4024</v>
      </c>
      <c r="F686" s="62">
        <v>15</v>
      </c>
      <c r="H686" s="70">
        <v>1.92</v>
      </c>
      <c r="I686" s="60"/>
      <c r="J686" s="69">
        <v>0</v>
      </c>
      <c r="K686" s="68">
        <v>0</v>
      </c>
    </row>
    <row r="687" spans="1:11" x14ac:dyDescent="0.25">
      <c r="C687" t="s">
        <v>4023</v>
      </c>
      <c r="D687" t="s">
        <v>4022</v>
      </c>
      <c r="E687" t="s">
        <v>4021</v>
      </c>
      <c r="F687" s="62">
        <v>15</v>
      </c>
      <c r="H687" s="70">
        <v>1.77</v>
      </c>
      <c r="I687" s="60"/>
      <c r="J687" s="69">
        <v>0</v>
      </c>
      <c r="K687" s="68">
        <v>0</v>
      </c>
    </row>
    <row r="688" spans="1:11" x14ac:dyDescent="0.25">
      <c r="A688">
        <v>702706</v>
      </c>
      <c r="B688" t="s">
        <v>4020</v>
      </c>
      <c r="C688" t="s">
        <v>630</v>
      </c>
      <c r="D688" t="s">
        <v>631</v>
      </c>
      <c r="E688" t="s">
        <v>4019</v>
      </c>
      <c r="F688" s="62">
        <v>100</v>
      </c>
      <c r="H688" s="70">
        <v>109.837</v>
      </c>
      <c r="I688" s="60"/>
      <c r="J688" s="69">
        <v>0</v>
      </c>
      <c r="K688" s="68">
        <v>0</v>
      </c>
    </row>
    <row r="689" spans="1:11" x14ac:dyDescent="0.25">
      <c r="C689" t="s">
        <v>4018</v>
      </c>
      <c r="D689" t="s">
        <v>4017</v>
      </c>
      <c r="E689" t="s">
        <v>4016</v>
      </c>
      <c r="F689" s="62">
        <v>1</v>
      </c>
      <c r="H689" s="70">
        <v>3270.44</v>
      </c>
      <c r="I689" s="60"/>
      <c r="J689" s="69">
        <v>0</v>
      </c>
      <c r="K689" s="68">
        <v>0</v>
      </c>
    </row>
    <row r="690" spans="1:11" x14ac:dyDescent="0.25">
      <c r="C690" t="s">
        <v>4015</v>
      </c>
      <c r="D690" t="s">
        <v>4014</v>
      </c>
      <c r="E690" t="s">
        <v>4013</v>
      </c>
      <c r="F690" s="62">
        <v>1</v>
      </c>
      <c r="H690" s="70">
        <v>2975.36</v>
      </c>
      <c r="I690" s="60"/>
      <c r="J690" s="69">
        <v>0</v>
      </c>
      <c r="K690" s="68">
        <v>0</v>
      </c>
    </row>
    <row r="691" spans="1:11" x14ac:dyDescent="0.25">
      <c r="C691" t="s">
        <v>4012</v>
      </c>
      <c r="D691" t="s">
        <v>4011</v>
      </c>
      <c r="E691" t="s">
        <v>4010</v>
      </c>
      <c r="F691" s="62">
        <v>2</v>
      </c>
      <c r="H691" s="70">
        <v>2464.7350000000001</v>
      </c>
      <c r="I691" s="60"/>
      <c r="J691" s="69">
        <v>0</v>
      </c>
      <c r="K691" s="68">
        <v>0</v>
      </c>
    </row>
    <row r="692" spans="1:11" x14ac:dyDescent="0.25">
      <c r="C692" t="s">
        <v>4009</v>
      </c>
      <c r="D692" t="s">
        <v>4008</v>
      </c>
      <c r="E692" t="s">
        <v>4007</v>
      </c>
      <c r="F692" s="62">
        <v>3</v>
      </c>
      <c r="H692" s="70">
        <v>113</v>
      </c>
      <c r="I692" s="60"/>
      <c r="J692" s="69">
        <v>0</v>
      </c>
      <c r="K692" s="68">
        <v>0</v>
      </c>
    </row>
    <row r="693" spans="1:11" x14ac:dyDescent="0.25">
      <c r="A693">
        <v>763877</v>
      </c>
      <c r="B693" t="s">
        <v>4006</v>
      </c>
      <c r="C693" t="s">
        <v>4005</v>
      </c>
      <c r="D693" t="s">
        <v>4004</v>
      </c>
      <c r="E693" t="s">
        <v>4003</v>
      </c>
      <c r="F693" s="62">
        <v>2</v>
      </c>
      <c r="H693" s="70">
        <v>1000</v>
      </c>
      <c r="I693" s="60"/>
      <c r="J693" s="69">
        <v>1</v>
      </c>
      <c r="K693" s="68">
        <v>1000</v>
      </c>
    </row>
    <row r="694" spans="1:11" x14ac:dyDescent="0.25">
      <c r="C694" t="s">
        <v>4002</v>
      </c>
      <c r="D694" t="s">
        <v>4001</v>
      </c>
      <c r="E694" t="s">
        <v>4000</v>
      </c>
      <c r="F694" s="62">
        <v>1</v>
      </c>
      <c r="H694" s="70">
        <v>47.44</v>
      </c>
      <c r="I694" s="60"/>
      <c r="J694" s="69">
        <v>0</v>
      </c>
      <c r="K694" s="68">
        <v>0</v>
      </c>
    </row>
    <row r="695" spans="1:11" x14ac:dyDescent="0.25">
      <c r="C695" t="s">
        <v>3999</v>
      </c>
      <c r="D695" t="s">
        <v>3998</v>
      </c>
      <c r="E695" t="s">
        <v>3997</v>
      </c>
      <c r="F695" s="62">
        <v>2</v>
      </c>
      <c r="H695" s="70">
        <v>41.034999999999997</v>
      </c>
      <c r="I695" s="60"/>
      <c r="J695" s="69">
        <v>0</v>
      </c>
      <c r="K695" s="68">
        <v>0</v>
      </c>
    </row>
    <row r="696" spans="1:11" x14ac:dyDescent="0.25">
      <c r="C696" t="s">
        <v>3996</v>
      </c>
      <c r="D696" t="s">
        <v>3995</v>
      </c>
      <c r="E696" t="s">
        <v>3994</v>
      </c>
      <c r="F696" s="62">
        <v>2</v>
      </c>
      <c r="H696" s="70">
        <v>33.625</v>
      </c>
      <c r="I696" s="60"/>
      <c r="J696" s="69">
        <v>0</v>
      </c>
      <c r="K696" s="68">
        <v>0</v>
      </c>
    </row>
    <row r="697" spans="1:11" x14ac:dyDescent="0.25">
      <c r="C697" t="s">
        <v>3993</v>
      </c>
      <c r="D697" t="s">
        <v>3992</v>
      </c>
      <c r="E697" t="s">
        <v>3991</v>
      </c>
      <c r="F697" s="62">
        <v>2</v>
      </c>
      <c r="H697" s="70">
        <v>17.05</v>
      </c>
      <c r="I697" s="60"/>
      <c r="J697" s="69">
        <v>0</v>
      </c>
      <c r="K697" s="68">
        <v>0</v>
      </c>
    </row>
    <row r="698" spans="1:11" x14ac:dyDescent="0.25">
      <c r="C698" t="s">
        <v>3990</v>
      </c>
      <c r="D698" t="s">
        <v>3989</v>
      </c>
      <c r="E698" t="s">
        <v>3988</v>
      </c>
      <c r="F698" s="62">
        <v>1</v>
      </c>
      <c r="H698" s="70">
        <v>9.17</v>
      </c>
      <c r="I698" s="60"/>
      <c r="J698" s="69">
        <v>0</v>
      </c>
      <c r="K698" s="68">
        <v>0</v>
      </c>
    </row>
    <row r="699" spans="1:11" x14ac:dyDescent="0.25">
      <c r="C699" t="s">
        <v>3987</v>
      </c>
      <c r="D699" t="s">
        <v>3986</v>
      </c>
      <c r="E699" t="s">
        <v>3985</v>
      </c>
      <c r="F699" s="62">
        <v>1</v>
      </c>
      <c r="H699" s="70">
        <v>163.41999999999999</v>
      </c>
      <c r="I699" s="60"/>
      <c r="J699" s="69">
        <v>0</v>
      </c>
      <c r="K699" s="68">
        <v>0</v>
      </c>
    </row>
    <row r="700" spans="1:11" x14ac:dyDescent="0.25">
      <c r="C700" t="s">
        <v>3984</v>
      </c>
      <c r="D700" t="s">
        <v>3983</v>
      </c>
      <c r="E700" t="s">
        <v>3982</v>
      </c>
      <c r="F700" s="62">
        <v>1</v>
      </c>
      <c r="H700" s="70">
        <v>98.81</v>
      </c>
      <c r="I700" s="60"/>
      <c r="J700" s="69">
        <v>0</v>
      </c>
      <c r="K700" s="68">
        <v>0</v>
      </c>
    </row>
    <row r="701" spans="1:11" x14ac:dyDescent="0.25">
      <c r="C701" t="s">
        <v>3981</v>
      </c>
      <c r="D701" t="s">
        <v>3980</v>
      </c>
      <c r="E701" t="s">
        <v>3979</v>
      </c>
      <c r="F701" s="62">
        <v>1</v>
      </c>
      <c r="H701" s="70">
        <v>953.36</v>
      </c>
      <c r="I701" s="60"/>
      <c r="J701" s="69">
        <v>1</v>
      </c>
      <c r="K701" s="68">
        <v>953.36</v>
      </c>
    </row>
    <row r="702" spans="1:11" x14ac:dyDescent="0.25">
      <c r="C702" t="s">
        <v>3978</v>
      </c>
      <c r="D702" t="s">
        <v>3977</v>
      </c>
      <c r="E702" t="s">
        <v>3971</v>
      </c>
      <c r="F702" s="62">
        <v>1</v>
      </c>
      <c r="H702" s="70">
        <v>645.29</v>
      </c>
      <c r="I702" s="60"/>
      <c r="J702" s="69">
        <v>1</v>
      </c>
      <c r="K702" s="68">
        <v>645.29</v>
      </c>
    </row>
    <row r="703" spans="1:11" x14ac:dyDescent="0.25">
      <c r="C703" t="s">
        <v>3976</v>
      </c>
      <c r="D703" t="s">
        <v>3975</v>
      </c>
      <c r="E703" t="s">
        <v>3974</v>
      </c>
      <c r="F703" s="62">
        <v>1</v>
      </c>
      <c r="H703" s="70">
        <v>850.07</v>
      </c>
      <c r="I703" s="60"/>
      <c r="J703" s="69">
        <v>1</v>
      </c>
      <c r="K703" s="68">
        <v>850.07</v>
      </c>
    </row>
    <row r="704" spans="1:11" x14ac:dyDescent="0.25">
      <c r="C704" t="s">
        <v>3973</v>
      </c>
      <c r="D704" t="s">
        <v>3972</v>
      </c>
      <c r="E704" t="s">
        <v>3971</v>
      </c>
      <c r="F704" s="62">
        <v>1</v>
      </c>
      <c r="H704" s="70">
        <v>645.28</v>
      </c>
      <c r="I704" s="60"/>
      <c r="J704" s="69">
        <v>1</v>
      </c>
      <c r="K704" s="68">
        <v>645.28</v>
      </c>
    </row>
    <row r="705" spans="1:11" x14ac:dyDescent="0.25">
      <c r="C705" t="s">
        <v>3970</v>
      </c>
      <c r="D705" t="s">
        <v>3969</v>
      </c>
      <c r="E705" t="s">
        <v>3968</v>
      </c>
      <c r="F705" s="62">
        <v>1</v>
      </c>
      <c r="H705" s="70">
        <v>623.39</v>
      </c>
      <c r="I705" s="60"/>
      <c r="J705" s="69">
        <v>1</v>
      </c>
      <c r="K705" s="68">
        <v>623.39</v>
      </c>
    </row>
    <row r="706" spans="1:11" x14ac:dyDescent="0.25">
      <c r="C706" t="s">
        <v>3967</v>
      </c>
      <c r="D706" t="s">
        <v>3966</v>
      </c>
      <c r="E706" t="s">
        <v>3965</v>
      </c>
      <c r="F706" s="62">
        <v>20</v>
      </c>
      <c r="H706" s="70">
        <v>89.984999999999999</v>
      </c>
      <c r="I706" s="60"/>
      <c r="J706" s="69">
        <v>0</v>
      </c>
      <c r="K706" s="68">
        <v>0</v>
      </c>
    </row>
    <row r="707" spans="1:11" x14ac:dyDescent="0.25">
      <c r="A707">
        <v>763438</v>
      </c>
      <c r="B707" t="s">
        <v>3964</v>
      </c>
      <c r="C707" t="s">
        <v>3963</v>
      </c>
      <c r="D707" t="s">
        <v>3962</v>
      </c>
      <c r="E707" t="s">
        <v>3961</v>
      </c>
      <c r="F707" s="62">
        <v>1</v>
      </c>
      <c r="H707" s="70">
        <v>599</v>
      </c>
      <c r="I707" s="60"/>
      <c r="J707" s="69">
        <v>0</v>
      </c>
      <c r="K707" s="68">
        <v>0</v>
      </c>
    </row>
    <row r="708" spans="1:11" x14ac:dyDescent="0.25">
      <c r="A708">
        <v>766126</v>
      </c>
      <c r="B708" t="s">
        <v>3960</v>
      </c>
      <c r="C708" t="s">
        <v>3959</v>
      </c>
      <c r="D708" t="s">
        <v>3958</v>
      </c>
      <c r="E708" t="s">
        <v>3957</v>
      </c>
      <c r="F708" s="62">
        <v>12</v>
      </c>
      <c r="H708" s="70">
        <v>85</v>
      </c>
      <c r="I708" s="60"/>
      <c r="J708" s="69">
        <v>10</v>
      </c>
      <c r="K708" s="68">
        <v>850</v>
      </c>
    </row>
    <row r="709" spans="1:11" x14ac:dyDescent="0.25">
      <c r="C709" t="s">
        <v>3956</v>
      </c>
      <c r="D709" t="s">
        <v>3955</v>
      </c>
      <c r="E709" t="s">
        <v>3954</v>
      </c>
      <c r="F709" s="62">
        <v>3</v>
      </c>
      <c r="H709" s="70">
        <v>103.4</v>
      </c>
      <c r="I709" s="60"/>
      <c r="J709" s="69">
        <v>0</v>
      </c>
      <c r="K709" s="68">
        <v>0</v>
      </c>
    </row>
    <row r="710" spans="1:11" x14ac:dyDescent="0.25">
      <c r="C710" t="s">
        <v>3953</v>
      </c>
      <c r="D710" t="s">
        <v>3952</v>
      </c>
      <c r="E710" t="s">
        <v>3951</v>
      </c>
      <c r="F710" s="62">
        <v>3</v>
      </c>
      <c r="H710" s="70">
        <v>186.12</v>
      </c>
      <c r="I710" s="60"/>
      <c r="J710" s="69">
        <v>15</v>
      </c>
      <c r="K710" s="68">
        <v>2791.8</v>
      </c>
    </row>
    <row r="711" spans="1:11" x14ac:dyDescent="0.25">
      <c r="C711" t="s">
        <v>3950</v>
      </c>
      <c r="D711" t="s">
        <v>3949</v>
      </c>
      <c r="E711" t="s">
        <v>3948</v>
      </c>
      <c r="F711" s="62">
        <v>23</v>
      </c>
      <c r="H711" s="70">
        <v>299</v>
      </c>
      <c r="I711" s="60"/>
      <c r="J711" s="69">
        <v>0</v>
      </c>
      <c r="K711" s="68">
        <v>0</v>
      </c>
    </row>
    <row r="712" spans="1:11" x14ac:dyDescent="0.25">
      <c r="C712" t="s">
        <v>3947</v>
      </c>
      <c r="D712" t="s">
        <v>3946</v>
      </c>
      <c r="E712" t="s">
        <v>3945</v>
      </c>
      <c r="F712" s="62">
        <v>400</v>
      </c>
      <c r="H712" s="70">
        <v>0.3</v>
      </c>
      <c r="I712" s="60"/>
      <c r="J712" s="69">
        <v>0</v>
      </c>
      <c r="K712" s="68">
        <v>0</v>
      </c>
    </row>
    <row r="713" spans="1:11" x14ac:dyDescent="0.25">
      <c r="C713" t="s">
        <v>3944</v>
      </c>
      <c r="D713" t="s">
        <v>3943</v>
      </c>
      <c r="E713" t="s">
        <v>3942</v>
      </c>
      <c r="F713" s="62">
        <v>16</v>
      </c>
      <c r="H713" s="70">
        <v>93</v>
      </c>
      <c r="I713" s="60"/>
      <c r="J713" s="69">
        <v>0</v>
      </c>
      <c r="K713" s="68">
        <v>0</v>
      </c>
    </row>
    <row r="714" spans="1:11" x14ac:dyDescent="0.25">
      <c r="C714" t="s">
        <v>3941</v>
      </c>
      <c r="D714" t="s">
        <v>3940</v>
      </c>
      <c r="E714" t="s">
        <v>3939</v>
      </c>
      <c r="F714" s="62">
        <v>17</v>
      </c>
      <c r="H714" s="70">
        <v>199</v>
      </c>
      <c r="I714" s="60"/>
      <c r="J714" s="69">
        <v>1</v>
      </c>
      <c r="K714" s="68">
        <v>199</v>
      </c>
    </row>
    <row r="715" spans="1:11" x14ac:dyDescent="0.25">
      <c r="C715" t="s">
        <v>3938</v>
      </c>
      <c r="D715" t="s">
        <v>3937</v>
      </c>
      <c r="E715" t="s">
        <v>3936</v>
      </c>
      <c r="F715" s="62">
        <v>1</v>
      </c>
      <c r="H715" s="70">
        <v>118</v>
      </c>
      <c r="I715" s="60"/>
      <c r="J715" s="69">
        <v>1</v>
      </c>
      <c r="K715" s="68">
        <v>118</v>
      </c>
    </row>
    <row r="716" spans="1:11" x14ac:dyDescent="0.25">
      <c r="C716" t="s">
        <v>3935</v>
      </c>
      <c r="D716" t="s">
        <v>3934</v>
      </c>
      <c r="E716" t="s">
        <v>3933</v>
      </c>
      <c r="F716" s="62">
        <v>8</v>
      </c>
      <c r="H716" s="70">
        <v>42.90625</v>
      </c>
      <c r="I716" s="60"/>
      <c r="J716" s="69">
        <v>2</v>
      </c>
      <c r="K716" s="68">
        <v>85.8125</v>
      </c>
    </row>
    <row r="717" spans="1:11" x14ac:dyDescent="0.25">
      <c r="C717" t="s">
        <v>3932</v>
      </c>
      <c r="D717" t="s">
        <v>3898</v>
      </c>
      <c r="E717" t="s">
        <v>3897</v>
      </c>
      <c r="F717" s="62">
        <v>3</v>
      </c>
      <c r="H717" s="70">
        <v>232.32</v>
      </c>
      <c r="I717" s="60"/>
      <c r="J717" s="69">
        <v>2</v>
      </c>
      <c r="K717" s="68">
        <v>464.64</v>
      </c>
    </row>
    <row r="718" spans="1:11" x14ac:dyDescent="0.25">
      <c r="C718" t="s">
        <v>3931</v>
      </c>
      <c r="D718" t="s">
        <v>3930</v>
      </c>
      <c r="E718" t="s">
        <v>3929</v>
      </c>
      <c r="F718" s="62">
        <v>18</v>
      </c>
      <c r="H718" s="70">
        <v>303.85833300000002</v>
      </c>
      <c r="I718" s="60"/>
      <c r="J718" s="69">
        <v>0</v>
      </c>
      <c r="K718" s="68">
        <v>0</v>
      </c>
    </row>
    <row r="719" spans="1:11" x14ac:dyDescent="0.25">
      <c r="C719" t="s">
        <v>3928</v>
      </c>
      <c r="D719" t="s">
        <v>3927</v>
      </c>
      <c r="E719" t="s">
        <v>3926</v>
      </c>
      <c r="F719" s="62">
        <v>1</v>
      </c>
      <c r="H719" s="70">
        <v>3.13</v>
      </c>
      <c r="I719" s="60"/>
      <c r="J719" s="69">
        <v>0</v>
      </c>
      <c r="K719" s="68">
        <v>0</v>
      </c>
    </row>
    <row r="720" spans="1:11" x14ac:dyDescent="0.25">
      <c r="C720" t="s">
        <v>3925</v>
      </c>
      <c r="D720" t="s">
        <v>1406</v>
      </c>
      <c r="E720" t="s">
        <v>3924</v>
      </c>
      <c r="F720" s="62">
        <v>14</v>
      </c>
      <c r="H720" s="70">
        <v>1496.52</v>
      </c>
      <c r="I720" s="60"/>
      <c r="J720" s="69">
        <v>0</v>
      </c>
      <c r="K720" s="68">
        <v>0</v>
      </c>
    </row>
    <row r="721" spans="1:11" x14ac:dyDescent="0.25">
      <c r="A721">
        <v>761418</v>
      </c>
      <c r="B721" t="s">
        <v>3923</v>
      </c>
      <c r="C721" t="s">
        <v>241</v>
      </c>
      <c r="D721" t="s">
        <v>242</v>
      </c>
      <c r="E721" t="s">
        <v>3922</v>
      </c>
      <c r="F721" s="62">
        <v>35</v>
      </c>
      <c r="H721" s="70">
        <v>13.5</v>
      </c>
      <c r="I721" s="60"/>
      <c r="J721" s="69">
        <v>2</v>
      </c>
      <c r="K721" s="68">
        <v>27</v>
      </c>
    </row>
    <row r="722" spans="1:11" x14ac:dyDescent="0.25">
      <c r="C722" t="s">
        <v>244</v>
      </c>
      <c r="D722" t="s">
        <v>245</v>
      </c>
      <c r="E722" t="s">
        <v>3921</v>
      </c>
      <c r="F722" s="62">
        <v>520</v>
      </c>
      <c r="H722" s="70">
        <v>1.4</v>
      </c>
      <c r="I722" s="60"/>
      <c r="J722" s="69">
        <v>4</v>
      </c>
      <c r="K722" s="68">
        <v>5.6</v>
      </c>
    </row>
    <row r="723" spans="1:11" x14ac:dyDescent="0.25">
      <c r="C723" t="s">
        <v>237</v>
      </c>
      <c r="D723" t="s">
        <v>238</v>
      </c>
      <c r="E723" t="s">
        <v>3920</v>
      </c>
      <c r="F723" s="62">
        <v>64</v>
      </c>
      <c r="H723" s="70">
        <v>0.68181800000000004</v>
      </c>
      <c r="I723" s="60"/>
      <c r="J723" s="69">
        <v>1</v>
      </c>
      <c r="K723" s="68">
        <v>0.68181800000000004</v>
      </c>
    </row>
    <row r="724" spans="1:11" x14ac:dyDescent="0.25">
      <c r="C724" t="s">
        <v>668</v>
      </c>
      <c r="D724" t="s">
        <v>669</v>
      </c>
      <c r="E724" t="s">
        <v>3919</v>
      </c>
      <c r="F724" s="62">
        <v>20</v>
      </c>
      <c r="H724" s="70">
        <v>3.5</v>
      </c>
      <c r="I724" s="60"/>
      <c r="J724" s="69">
        <v>2</v>
      </c>
      <c r="K724" s="68">
        <v>7</v>
      </c>
    </row>
    <row r="725" spans="1:11" x14ac:dyDescent="0.25">
      <c r="C725" t="s">
        <v>247</v>
      </c>
      <c r="D725" t="s">
        <v>248</v>
      </c>
      <c r="E725" t="s">
        <v>3918</v>
      </c>
      <c r="F725" s="62">
        <v>20</v>
      </c>
      <c r="H725" s="70">
        <v>3</v>
      </c>
      <c r="I725" s="60"/>
      <c r="J725" s="69">
        <v>2</v>
      </c>
      <c r="K725" s="68">
        <v>6</v>
      </c>
    </row>
    <row r="726" spans="1:11" x14ac:dyDescent="0.25">
      <c r="C726" t="s">
        <v>3917</v>
      </c>
      <c r="D726" t="s">
        <v>3916</v>
      </c>
      <c r="E726" t="s">
        <v>3915</v>
      </c>
      <c r="F726" s="62">
        <v>30</v>
      </c>
      <c r="H726" s="70">
        <v>16.260000000000002</v>
      </c>
      <c r="I726" s="60"/>
      <c r="J726" s="69">
        <v>0</v>
      </c>
      <c r="K726" s="68">
        <v>0</v>
      </c>
    </row>
    <row r="727" spans="1:11" x14ac:dyDescent="0.25">
      <c r="C727" t="s">
        <v>3914</v>
      </c>
      <c r="D727" t="s">
        <v>3913</v>
      </c>
      <c r="E727" t="s">
        <v>3912</v>
      </c>
      <c r="F727" s="62">
        <v>2</v>
      </c>
      <c r="H727" s="70">
        <v>23.71</v>
      </c>
      <c r="I727" s="60"/>
      <c r="J727" s="69">
        <v>0</v>
      </c>
      <c r="K727" s="68">
        <v>0</v>
      </c>
    </row>
    <row r="728" spans="1:11" x14ac:dyDescent="0.25">
      <c r="C728" t="s">
        <v>3911</v>
      </c>
      <c r="D728" t="s">
        <v>3910</v>
      </c>
      <c r="E728" t="s">
        <v>3909</v>
      </c>
      <c r="F728" s="62">
        <v>3</v>
      </c>
      <c r="H728" s="70">
        <v>1414.79</v>
      </c>
      <c r="I728" s="60"/>
      <c r="J728" s="69">
        <v>0</v>
      </c>
      <c r="K728" s="68">
        <v>0</v>
      </c>
    </row>
    <row r="729" spans="1:11" x14ac:dyDescent="0.25">
      <c r="C729" t="s">
        <v>3908</v>
      </c>
      <c r="D729" t="s">
        <v>3907</v>
      </c>
      <c r="E729" t="s">
        <v>3906</v>
      </c>
      <c r="F729" s="62">
        <v>1</v>
      </c>
      <c r="H729" s="70">
        <v>5178.97</v>
      </c>
      <c r="I729" s="60"/>
      <c r="J729" s="69">
        <v>0</v>
      </c>
      <c r="K729" s="68">
        <v>0</v>
      </c>
    </row>
    <row r="730" spans="1:11" x14ac:dyDescent="0.25">
      <c r="C730" t="s">
        <v>3905</v>
      </c>
      <c r="D730" t="s">
        <v>3904</v>
      </c>
      <c r="E730" t="s">
        <v>3903</v>
      </c>
      <c r="F730" s="62">
        <v>15</v>
      </c>
      <c r="H730" s="70">
        <v>1.89</v>
      </c>
      <c r="I730" s="60"/>
      <c r="J730" s="69">
        <v>0</v>
      </c>
      <c r="K730" s="68">
        <v>0</v>
      </c>
    </row>
    <row r="731" spans="1:11" x14ac:dyDescent="0.25">
      <c r="C731" t="s">
        <v>3902</v>
      </c>
      <c r="D731" t="s">
        <v>3901</v>
      </c>
      <c r="E731" t="s">
        <v>3900</v>
      </c>
      <c r="F731" s="62">
        <v>1</v>
      </c>
      <c r="H731" s="70">
        <v>1996.5</v>
      </c>
      <c r="I731" s="60"/>
      <c r="J731" s="69">
        <v>0</v>
      </c>
      <c r="K731" s="68">
        <v>0</v>
      </c>
    </row>
    <row r="732" spans="1:11" x14ac:dyDescent="0.25">
      <c r="C732" t="s">
        <v>3899</v>
      </c>
      <c r="D732" t="s">
        <v>3898</v>
      </c>
      <c r="E732" t="s">
        <v>3897</v>
      </c>
      <c r="F732" s="62">
        <v>4</v>
      </c>
      <c r="H732" s="70">
        <v>720</v>
      </c>
      <c r="I732" s="60"/>
      <c r="J732" s="69">
        <v>0</v>
      </c>
      <c r="K732" s="68">
        <v>0</v>
      </c>
    </row>
    <row r="733" spans="1:11" x14ac:dyDescent="0.25">
      <c r="A733">
        <v>763548</v>
      </c>
      <c r="B733" t="s">
        <v>3896</v>
      </c>
      <c r="C733" t="s">
        <v>521</v>
      </c>
      <c r="D733" t="s">
        <v>522</v>
      </c>
      <c r="E733" t="s">
        <v>3895</v>
      </c>
      <c r="F733" s="62">
        <v>3</v>
      </c>
      <c r="H733" s="70">
        <v>192.816667</v>
      </c>
      <c r="I733" s="60"/>
      <c r="J733" s="69">
        <v>2</v>
      </c>
      <c r="K733" s="68">
        <v>385.63333399999999</v>
      </c>
    </row>
    <row r="734" spans="1:11" x14ac:dyDescent="0.25">
      <c r="C734" t="s">
        <v>3894</v>
      </c>
      <c r="D734" t="s">
        <v>3893</v>
      </c>
      <c r="E734" t="s">
        <v>3892</v>
      </c>
      <c r="F734" s="62">
        <v>3</v>
      </c>
      <c r="H734" s="70">
        <v>12.963333</v>
      </c>
      <c r="I734" s="60"/>
      <c r="J734" s="69">
        <v>2</v>
      </c>
      <c r="K734" s="68">
        <v>25.926666000000001</v>
      </c>
    </row>
    <row r="735" spans="1:11" x14ac:dyDescent="0.25">
      <c r="C735" t="s">
        <v>3891</v>
      </c>
      <c r="D735" t="s">
        <v>3890</v>
      </c>
      <c r="E735" t="s">
        <v>3889</v>
      </c>
      <c r="F735" s="62">
        <v>40</v>
      </c>
      <c r="H735" s="70">
        <v>59</v>
      </c>
      <c r="I735" s="60"/>
      <c r="J735" s="69"/>
      <c r="K735" s="68">
        <v>0</v>
      </c>
    </row>
    <row r="736" spans="1:11" x14ac:dyDescent="0.25">
      <c r="C736" t="s">
        <v>3888</v>
      </c>
      <c r="D736" t="s">
        <v>3887</v>
      </c>
      <c r="E736" t="s">
        <v>3886</v>
      </c>
      <c r="F736" s="62">
        <v>18</v>
      </c>
      <c r="H736" s="70">
        <v>676</v>
      </c>
      <c r="I736" s="60"/>
      <c r="J736" s="69">
        <v>2</v>
      </c>
      <c r="K736" s="68">
        <v>1352</v>
      </c>
    </row>
    <row r="737" spans="1:11" x14ac:dyDescent="0.25">
      <c r="C737" t="s">
        <v>3885</v>
      </c>
      <c r="D737" t="s">
        <v>3884</v>
      </c>
      <c r="E737" t="s">
        <v>3883</v>
      </c>
      <c r="F737" s="62">
        <v>11</v>
      </c>
      <c r="H737" s="70">
        <v>761.39333299999998</v>
      </c>
      <c r="I737" s="60"/>
      <c r="J737" s="69">
        <v>1</v>
      </c>
      <c r="K737" s="68">
        <v>761.39333299999998</v>
      </c>
    </row>
    <row r="738" spans="1:11" x14ac:dyDescent="0.25">
      <c r="C738" t="s">
        <v>3882</v>
      </c>
      <c r="D738" t="s">
        <v>3881</v>
      </c>
      <c r="E738" t="s">
        <v>3880</v>
      </c>
      <c r="F738" s="62">
        <v>45</v>
      </c>
      <c r="H738" s="70">
        <v>59.894666999999998</v>
      </c>
      <c r="I738" s="60"/>
      <c r="J738" s="69">
        <v>70</v>
      </c>
      <c r="K738" s="68">
        <v>4192.6266900000001</v>
      </c>
    </row>
    <row r="739" spans="1:11" x14ac:dyDescent="0.25">
      <c r="C739" t="s">
        <v>3879</v>
      </c>
      <c r="D739" t="s">
        <v>3878</v>
      </c>
      <c r="E739" t="s">
        <v>3877</v>
      </c>
      <c r="F739" s="62">
        <v>95</v>
      </c>
      <c r="H739" s="70">
        <v>57.172499999999999</v>
      </c>
      <c r="I739" s="60"/>
      <c r="J739" s="69">
        <v>35</v>
      </c>
      <c r="K739" s="68">
        <v>2001.0374999999999</v>
      </c>
    </row>
    <row r="740" spans="1:11" x14ac:dyDescent="0.25">
      <c r="C740" t="s">
        <v>3876</v>
      </c>
      <c r="D740" t="s">
        <v>3875</v>
      </c>
      <c r="E740" t="s">
        <v>3874</v>
      </c>
      <c r="F740" s="62">
        <v>1</v>
      </c>
      <c r="H740" s="70">
        <v>1905.75</v>
      </c>
      <c r="I740" s="60"/>
      <c r="J740" s="69">
        <v>0</v>
      </c>
      <c r="K740" s="68">
        <v>0</v>
      </c>
    </row>
    <row r="741" spans="1:11" x14ac:dyDescent="0.25">
      <c r="C741" t="s">
        <v>3873</v>
      </c>
      <c r="D741" t="s">
        <v>3872</v>
      </c>
      <c r="E741" t="s">
        <v>3871</v>
      </c>
      <c r="F741" s="62">
        <v>3</v>
      </c>
      <c r="H741" s="70">
        <v>1070.8499999999999</v>
      </c>
      <c r="I741" s="60"/>
      <c r="J741" s="69">
        <v>0</v>
      </c>
      <c r="K741" s="68">
        <v>0</v>
      </c>
    </row>
    <row r="742" spans="1:11" x14ac:dyDescent="0.25">
      <c r="C742" t="s">
        <v>3870</v>
      </c>
      <c r="D742" t="s">
        <v>3869</v>
      </c>
      <c r="E742" t="s">
        <v>3868</v>
      </c>
      <c r="F742" s="62">
        <v>10</v>
      </c>
      <c r="H742" s="70">
        <v>90.75</v>
      </c>
      <c r="I742" s="60"/>
      <c r="J742" s="69">
        <v>0</v>
      </c>
      <c r="K742" s="68">
        <v>0</v>
      </c>
    </row>
    <row r="743" spans="1:11" x14ac:dyDescent="0.25">
      <c r="C743" t="s">
        <v>3867</v>
      </c>
      <c r="D743" t="s">
        <v>3866</v>
      </c>
      <c r="E743" t="s">
        <v>3865</v>
      </c>
      <c r="F743" s="62">
        <v>10</v>
      </c>
      <c r="H743" s="70">
        <v>158.81299999999999</v>
      </c>
      <c r="I743" s="60"/>
      <c r="J743" s="69">
        <v>0</v>
      </c>
      <c r="K743" s="68">
        <v>0</v>
      </c>
    </row>
    <row r="744" spans="1:11" x14ac:dyDescent="0.25">
      <c r="C744" t="s">
        <v>3864</v>
      </c>
      <c r="D744" t="s">
        <v>3863</v>
      </c>
      <c r="E744" t="s">
        <v>3862</v>
      </c>
      <c r="F744" s="62">
        <v>10</v>
      </c>
      <c r="H744" s="70">
        <v>11.161111</v>
      </c>
      <c r="I744" s="60"/>
      <c r="J744" s="69">
        <v>0</v>
      </c>
      <c r="K744" s="68">
        <v>0</v>
      </c>
    </row>
    <row r="745" spans="1:11" x14ac:dyDescent="0.25">
      <c r="C745" t="s">
        <v>3861</v>
      </c>
      <c r="D745" t="s">
        <v>3860</v>
      </c>
      <c r="E745" t="s">
        <v>3859</v>
      </c>
      <c r="F745" s="62">
        <v>2</v>
      </c>
      <c r="H745" s="70">
        <v>3630</v>
      </c>
      <c r="I745" s="60"/>
      <c r="J745" s="69">
        <v>0</v>
      </c>
      <c r="K745" s="68">
        <v>0</v>
      </c>
    </row>
    <row r="746" spans="1:11" x14ac:dyDescent="0.25">
      <c r="C746" t="s">
        <v>3858</v>
      </c>
      <c r="D746" t="s">
        <v>3857</v>
      </c>
      <c r="E746" t="s">
        <v>3856</v>
      </c>
      <c r="F746" s="62">
        <v>2</v>
      </c>
      <c r="H746" s="70">
        <v>1056.33</v>
      </c>
      <c r="I746" s="60"/>
      <c r="J746" s="69">
        <v>0</v>
      </c>
      <c r="K746" s="68">
        <v>0</v>
      </c>
    </row>
    <row r="747" spans="1:11" x14ac:dyDescent="0.25">
      <c r="C747" t="s">
        <v>3855</v>
      </c>
      <c r="D747" t="s">
        <v>3854</v>
      </c>
      <c r="E747" t="s">
        <v>3853</v>
      </c>
      <c r="F747" s="62">
        <v>5</v>
      </c>
      <c r="H747" s="70">
        <v>344.85</v>
      </c>
      <c r="I747" s="60"/>
      <c r="J747" s="69">
        <v>0</v>
      </c>
      <c r="K747" s="68">
        <v>0</v>
      </c>
    </row>
    <row r="748" spans="1:11" x14ac:dyDescent="0.25">
      <c r="C748" t="s">
        <v>3852</v>
      </c>
      <c r="D748" t="s">
        <v>3851</v>
      </c>
      <c r="E748" t="s">
        <v>3850</v>
      </c>
      <c r="F748" s="62">
        <v>5</v>
      </c>
      <c r="H748" s="70">
        <v>326.7</v>
      </c>
      <c r="I748" s="60"/>
      <c r="J748" s="69">
        <v>0</v>
      </c>
      <c r="K748" s="68">
        <v>0</v>
      </c>
    </row>
    <row r="749" spans="1:11" x14ac:dyDescent="0.25">
      <c r="C749" t="s">
        <v>3849</v>
      </c>
      <c r="D749" t="s">
        <v>3848</v>
      </c>
      <c r="E749" t="s">
        <v>3847</v>
      </c>
      <c r="F749" s="62">
        <v>5</v>
      </c>
      <c r="H749" s="70">
        <v>263.17599999999999</v>
      </c>
      <c r="I749" s="60"/>
      <c r="J749" s="69">
        <v>0</v>
      </c>
      <c r="K749" s="68">
        <v>0</v>
      </c>
    </row>
    <row r="750" spans="1:11" x14ac:dyDescent="0.25">
      <c r="C750" t="s">
        <v>3846</v>
      </c>
      <c r="D750" t="s">
        <v>3845</v>
      </c>
      <c r="E750" t="s">
        <v>3844</v>
      </c>
      <c r="F750" s="62">
        <v>3</v>
      </c>
      <c r="H750" s="70">
        <v>630.71333300000003</v>
      </c>
      <c r="I750" s="60"/>
      <c r="J750" s="69">
        <v>0</v>
      </c>
      <c r="K750" s="68">
        <v>0</v>
      </c>
    </row>
    <row r="751" spans="1:11" x14ac:dyDescent="0.25">
      <c r="A751">
        <v>762740</v>
      </c>
      <c r="B751" t="s">
        <v>3843</v>
      </c>
      <c r="C751" t="s">
        <v>3842</v>
      </c>
      <c r="D751" t="s">
        <v>3841</v>
      </c>
      <c r="E751" t="s">
        <v>3840</v>
      </c>
      <c r="F751" s="62">
        <v>200</v>
      </c>
      <c r="H751" s="70">
        <v>0.85</v>
      </c>
      <c r="I751" s="60"/>
      <c r="J751" s="69">
        <v>30</v>
      </c>
      <c r="K751" s="68">
        <v>25.5</v>
      </c>
    </row>
    <row r="752" spans="1:11" x14ac:dyDescent="0.25">
      <c r="C752" t="s">
        <v>3839</v>
      </c>
      <c r="D752" t="s">
        <v>3838</v>
      </c>
      <c r="E752" t="s">
        <v>3837</v>
      </c>
      <c r="F752" s="62">
        <v>350</v>
      </c>
      <c r="H752" s="70">
        <v>0.75</v>
      </c>
      <c r="I752" s="60"/>
      <c r="J752" s="69">
        <v>30</v>
      </c>
      <c r="K752" s="68">
        <v>22.5</v>
      </c>
    </row>
    <row r="753" spans="1:11" x14ac:dyDescent="0.25">
      <c r="C753" t="s">
        <v>3836</v>
      </c>
      <c r="D753" t="s">
        <v>3835</v>
      </c>
      <c r="E753" t="s">
        <v>3834</v>
      </c>
      <c r="F753" s="62">
        <v>200</v>
      </c>
      <c r="H753" s="70">
        <v>0.55000000000000004</v>
      </c>
      <c r="I753" s="60"/>
      <c r="J753" s="69">
        <v>30</v>
      </c>
      <c r="K753" s="68">
        <v>16.5</v>
      </c>
    </row>
    <row r="754" spans="1:11" x14ac:dyDescent="0.25">
      <c r="C754" t="s">
        <v>3833</v>
      </c>
      <c r="D754" t="s">
        <v>3832</v>
      </c>
      <c r="E754" t="s">
        <v>3831</v>
      </c>
      <c r="F754" s="62">
        <v>250</v>
      </c>
      <c r="H754" s="70">
        <v>1.45</v>
      </c>
      <c r="I754" s="60"/>
      <c r="J754" s="69">
        <v>30</v>
      </c>
      <c r="K754" s="68">
        <v>43.5</v>
      </c>
    </row>
    <row r="755" spans="1:11" x14ac:dyDescent="0.25">
      <c r="C755" t="s">
        <v>3830</v>
      </c>
      <c r="D755" t="s">
        <v>3829</v>
      </c>
      <c r="E755" t="s">
        <v>3828</v>
      </c>
      <c r="F755" s="62">
        <v>200</v>
      </c>
      <c r="H755" s="70">
        <v>0.45</v>
      </c>
      <c r="I755" s="60"/>
      <c r="J755" s="69">
        <v>30</v>
      </c>
      <c r="K755" s="68">
        <v>13.5</v>
      </c>
    </row>
    <row r="756" spans="1:11" x14ac:dyDescent="0.25">
      <c r="C756" t="s">
        <v>3827</v>
      </c>
      <c r="D756" t="s">
        <v>3826</v>
      </c>
      <c r="E756" t="s">
        <v>3825</v>
      </c>
      <c r="F756" s="62">
        <v>104</v>
      </c>
      <c r="H756" s="70">
        <v>1.5</v>
      </c>
      <c r="I756" s="60"/>
      <c r="J756" s="69">
        <v>30</v>
      </c>
      <c r="K756" s="68">
        <v>45</v>
      </c>
    </row>
    <row r="757" spans="1:11" x14ac:dyDescent="0.25">
      <c r="C757" t="s">
        <v>3824</v>
      </c>
      <c r="D757" t="s">
        <v>3823</v>
      </c>
      <c r="E757" t="s">
        <v>3822</v>
      </c>
      <c r="F757" s="62">
        <v>1</v>
      </c>
      <c r="H757" s="70">
        <v>900</v>
      </c>
      <c r="I757" s="60"/>
      <c r="J757" s="69">
        <v>0</v>
      </c>
      <c r="K757" s="68">
        <v>0</v>
      </c>
    </row>
    <row r="758" spans="1:11" x14ac:dyDescent="0.25">
      <c r="C758" t="s">
        <v>3821</v>
      </c>
      <c r="D758" t="s">
        <v>3820</v>
      </c>
      <c r="E758" t="s">
        <v>3819</v>
      </c>
      <c r="F758" s="62">
        <v>1</v>
      </c>
      <c r="H758" s="70">
        <v>750.5</v>
      </c>
      <c r="I758" s="60"/>
      <c r="J758" s="69">
        <v>0</v>
      </c>
      <c r="K758" s="68">
        <v>0</v>
      </c>
    </row>
    <row r="759" spans="1:11" x14ac:dyDescent="0.25">
      <c r="C759" t="s">
        <v>3818</v>
      </c>
      <c r="D759" t="s">
        <v>3817</v>
      </c>
      <c r="E759" t="s">
        <v>3816</v>
      </c>
      <c r="F759" s="62">
        <v>1</v>
      </c>
      <c r="H759" s="70">
        <v>748.6</v>
      </c>
      <c r="I759" s="60"/>
      <c r="J759" s="69">
        <v>0</v>
      </c>
      <c r="K759" s="68">
        <v>0</v>
      </c>
    </row>
    <row r="760" spans="1:11" x14ac:dyDescent="0.25">
      <c r="C760" t="s">
        <v>3815</v>
      </c>
      <c r="D760" t="s">
        <v>3814</v>
      </c>
      <c r="E760" t="s">
        <v>3813</v>
      </c>
      <c r="F760" s="62">
        <v>1</v>
      </c>
      <c r="H760" s="70">
        <v>1130.5</v>
      </c>
      <c r="I760" s="60"/>
      <c r="J760" s="69">
        <v>0</v>
      </c>
      <c r="K760" s="68">
        <v>0</v>
      </c>
    </row>
    <row r="761" spans="1:11" x14ac:dyDescent="0.25">
      <c r="C761" t="s">
        <v>3812</v>
      </c>
      <c r="D761" t="s">
        <v>3811</v>
      </c>
      <c r="E761" t="s">
        <v>3810</v>
      </c>
      <c r="F761" s="62">
        <v>1</v>
      </c>
      <c r="H761" s="70">
        <v>975.56</v>
      </c>
      <c r="I761" s="60"/>
      <c r="J761" s="69">
        <v>1</v>
      </c>
      <c r="K761" s="68">
        <v>975.56</v>
      </c>
    </row>
    <row r="762" spans="1:11" x14ac:dyDescent="0.25">
      <c r="A762">
        <v>764643</v>
      </c>
      <c r="B762" t="s">
        <v>3809</v>
      </c>
      <c r="C762" t="s">
        <v>3808</v>
      </c>
      <c r="D762" t="s">
        <v>3807</v>
      </c>
      <c r="E762" t="s">
        <v>3806</v>
      </c>
      <c r="F762" s="62">
        <v>10</v>
      </c>
      <c r="H762" s="70">
        <v>34.96</v>
      </c>
      <c r="I762" s="60"/>
      <c r="J762" s="69">
        <v>0</v>
      </c>
      <c r="K762" s="68">
        <v>0</v>
      </c>
    </row>
    <row r="763" spans="1:11" x14ac:dyDescent="0.25">
      <c r="C763" t="s">
        <v>3805</v>
      </c>
      <c r="D763" t="s">
        <v>3804</v>
      </c>
      <c r="E763" t="s">
        <v>3803</v>
      </c>
      <c r="F763" s="62">
        <v>20</v>
      </c>
      <c r="H763" s="70">
        <v>5.52</v>
      </c>
      <c r="I763" s="60"/>
      <c r="J763" s="69">
        <v>0</v>
      </c>
      <c r="K763" s="68">
        <v>0</v>
      </c>
    </row>
    <row r="764" spans="1:11" x14ac:dyDescent="0.25">
      <c r="C764" t="s">
        <v>3802</v>
      </c>
      <c r="D764" t="s">
        <v>3801</v>
      </c>
      <c r="E764" t="s">
        <v>3800</v>
      </c>
      <c r="F764" s="62">
        <v>10</v>
      </c>
      <c r="H764" s="70">
        <v>170</v>
      </c>
      <c r="I764" s="60"/>
      <c r="J764" s="69">
        <v>0</v>
      </c>
      <c r="K764" s="68">
        <v>0</v>
      </c>
    </row>
    <row r="765" spans="1:11" x14ac:dyDescent="0.25">
      <c r="C765" t="s">
        <v>3799</v>
      </c>
      <c r="D765" t="s">
        <v>3798</v>
      </c>
      <c r="E765" t="s">
        <v>3797</v>
      </c>
      <c r="F765" s="62">
        <v>12</v>
      </c>
      <c r="H765" s="70">
        <v>10.5</v>
      </c>
      <c r="I765" s="60"/>
      <c r="J765" s="69">
        <v>0</v>
      </c>
      <c r="K765" s="68">
        <v>0</v>
      </c>
    </row>
    <row r="766" spans="1:11" x14ac:dyDescent="0.25">
      <c r="C766" t="s">
        <v>3796</v>
      </c>
      <c r="D766" t="s">
        <v>3795</v>
      </c>
      <c r="E766" t="s">
        <v>3794</v>
      </c>
      <c r="F766" s="62">
        <v>36</v>
      </c>
      <c r="H766" s="70">
        <v>64</v>
      </c>
      <c r="I766" s="60"/>
      <c r="J766" s="69">
        <v>0</v>
      </c>
      <c r="K766" s="68">
        <v>0</v>
      </c>
    </row>
    <row r="767" spans="1:11" x14ac:dyDescent="0.25">
      <c r="C767" t="s">
        <v>3793</v>
      </c>
      <c r="D767" t="s">
        <v>3792</v>
      </c>
      <c r="E767" t="s">
        <v>3791</v>
      </c>
      <c r="F767" s="62">
        <v>10</v>
      </c>
      <c r="H767" s="70">
        <v>7.68</v>
      </c>
      <c r="I767" s="60"/>
      <c r="J767" s="69">
        <v>0</v>
      </c>
      <c r="K767" s="68">
        <v>0</v>
      </c>
    </row>
    <row r="768" spans="1:11" x14ac:dyDescent="0.25">
      <c r="C768" t="s">
        <v>3790</v>
      </c>
      <c r="D768" t="s">
        <v>3789</v>
      </c>
      <c r="E768" t="s">
        <v>3788</v>
      </c>
      <c r="F768" s="62">
        <v>12</v>
      </c>
      <c r="H768" s="70">
        <v>126.31</v>
      </c>
      <c r="I768" s="60"/>
      <c r="J768" s="69">
        <v>0</v>
      </c>
      <c r="K768" s="68">
        <v>0</v>
      </c>
    </row>
    <row r="769" spans="1:11" x14ac:dyDescent="0.25">
      <c r="C769" t="s">
        <v>3787</v>
      </c>
      <c r="D769" t="s">
        <v>3786</v>
      </c>
      <c r="E769" t="s">
        <v>3785</v>
      </c>
      <c r="F769" s="62">
        <v>10</v>
      </c>
      <c r="H769" s="70">
        <v>4.5999999999999996</v>
      </c>
      <c r="I769" s="60"/>
      <c r="J769" s="69">
        <v>0</v>
      </c>
      <c r="K769" s="68">
        <v>0</v>
      </c>
    </row>
    <row r="770" spans="1:11" x14ac:dyDescent="0.25">
      <c r="C770" t="s">
        <v>3784</v>
      </c>
      <c r="D770" t="s">
        <v>3783</v>
      </c>
      <c r="E770" t="s">
        <v>3782</v>
      </c>
      <c r="F770" s="62">
        <v>14</v>
      </c>
      <c r="H770" s="70">
        <v>5.5</v>
      </c>
      <c r="I770" s="60"/>
      <c r="J770" s="69">
        <v>0</v>
      </c>
      <c r="K770" s="68">
        <v>0</v>
      </c>
    </row>
    <row r="771" spans="1:11" x14ac:dyDescent="0.25">
      <c r="C771" t="s">
        <v>3781</v>
      </c>
      <c r="D771" t="s">
        <v>3780</v>
      </c>
      <c r="E771" t="s">
        <v>3779</v>
      </c>
      <c r="F771" s="62">
        <v>12</v>
      </c>
      <c r="H771" s="70">
        <v>41.291666999999997</v>
      </c>
      <c r="I771" s="60"/>
      <c r="J771" s="69">
        <v>0</v>
      </c>
      <c r="K771" s="68">
        <v>0</v>
      </c>
    </row>
    <row r="772" spans="1:11" x14ac:dyDescent="0.25">
      <c r="A772">
        <v>761204</v>
      </c>
      <c r="B772" t="s">
        <v>3778</v>
      </c>
      <c r="C772" t="s">
        <v>3777</v>
      </c>
      <c r="D772" t="s">
        <v>3776</v>
      </c>
      <c r="E772" t="s">
        <v>3775</v>
      </c>
      <c r="F772" s="62">
        <v>4</v>
      </c>
      <c r="H772" s="70">
        <v>32</v>
      </c>
      <c r="I772" s="60"/>
      <c r="J772" s="69">
        <v>0</v>
      </c>
      <c r="K772" s="68">
        <v>0</v>
      </c>
    </row>
    <row r="773" spans="1:11" x14ac:dyDescent="0.25">
      <c r="C773" t="s">
        <v>3774</v>
      </c>
      <c r="D773" t="s">
        <v>3773</v>
      </c>
      <c r="E773" t="s">
        <v>3772</v>
      </c>
      <c r="F773" s="62">
        <v>1</v>
      </c>
      <c r="H773" s="70">
        <v>852</v>
      </c>
      <c r="I773" s="60"/>
      <c r="J773" s="69">
        <v>0</v>
      </c>
      <c r="K773" s="68">
        <v>0</v>
      </c>
    </row>
    <row r="774" spans="1:11" x14ac:dyDescent="0.25">
      <c r="A774">
        <v>763677</v>
      </c>
      <c r="B774" t="s">
        <v>3771</v>
      </c>
      <c r="C774" t="s">
        <v>38</v>
      </c>
      <c r="D774" t="s">
        <v>39</v>
      </c>
      <c r="E774" t="s">
        <v>3770</v>
      </c>
      <c r="F774" s="62">
        <v>3</v>
      </c>
      <c r="H774" s="70">
        <v>30.4</v>
      </c>
      <c r="I774" s="60"/>
      <c r="J774" s="69">
        <v>1</v>
      </c>
      <c r="K774" s="68">
        <v>30.4</v>
      </c>
    </row>
    <row r="775" spans="1:11" x14ac:dyDescent="0.25">
      <c r="C775" t="s">
        <v>41</v>
      </c>
      <c r="D775" t="s">
        <v>42</v>
      </c>
      <c r="E775" t="s">
        <v>3769</v>
      </c>
      <c r="F775" s="62">
        <v>3</v>
      </c>
      <c r="H775" s="70">
        <v>46.38</v>
      </c>
      <c r="I775" s="60"/>
      <c r="J775" s="69">
        <v>1</v>
      </c>
      <c r="K775" s="68">
        <v>46.38</v>
      </c>
    </row>
    <row r="776" spans="1:11" x14ac:dyDescent="0.25">
      <c r="C776" t="s">
        <v>1039</v>
      </c>
      <c r="D776" t="s">
        <v>1040</v>
      </c>
      <c r="E776" t="s">
        <v>3768</v>
      </c>
      <c r="F776" s="62">
        <v>5</v>
      </c>
      <c r="H776" s="70">
        <v>158.65</v>
      </c>
      <c r="I776" s="60"/>
      <c r="J776" s="69">
        <v>1</v>
      </c>
      <c r="K776" s="68">
        <v>158.65</v>
      </c>
    </row>
    <row r="777" spans="1:11" x14ac:dyDescent="0.25">
      <c r="C777" t="s">
        <v>1042</v>
      </c>
      <c r="D777" t="s">
        <v>1043</v>
      </c>
      <c r="E777" t="s">
        <v>3767</v>
      </c>
      <c r="F777" s="62">
        <v>1</v>
      </c>
      <c r="H777" s="70">
        <v>175.33</v>
      </c>
      <c r="I777" s="60"/>
      <c r="J777" s="69">
        <v>1</v>
      </c>
      <c r="K777" s="68">
        <v>175.33</v>
      </c>
    </row>
    <row r="778" spans="1:11" x14ac:dyDescent="0.25">
      <c r="C778" t="s">
        <v>1045</v>
      </c>
      <c r="D778" t="s">
        <v>1046</v>
      </c>
      <c r="E778" t="s">
        <v>3766</v>
      </c>
      <c r="F778" s="62">
        <v>1</v>
      </c>
      <c r="H778" s="70">
        <v>244.68</v>
      </c>
      <c r="I778" s="60"/>
      <c r="J778" s="69">
        <v>1</v>
      </c>
      <c r="K778" s="68">
        <v>244.68</v>
      </c>
    </row>
    <row r="779" spans="1:11" x14ac:dyDescent="0.25">
      <c r="C779" t="s">
        <v>3765</v>
      </c>
      <c r="D779" t="s">
        <v>3764</v>
      </c>
      <c r="E779" t="s">
        <v>3763</v>
      </c>
      <c r="F779" s="62">
        <v>2</v>
      </c>
      <c r="H779" s="70">
        <v>445.3</v>
      </c>
      <c r="I779" s="60"/>
      <c r="J779" s="69">
        <v>2</v>
      </c>
      <c r="K779" s="68">
        <v>890.6</v>
      </c>
    </row>
    <row r="780" spans="1:11" x14ac:dyDescent="0.25">
      <c r="C780" t="s">
        <v>1009</v>
      </c>
      <c r="D780" t="s">
        <v>1010</v>
      </c>
      <c r="E780" t="s">
        <v>3762</v>
      </c>
      <c r="F780" s="62">
        <v>2</v>
      </c>
      <c r="H780" s="70">
        <v>230</v>
      </c>
      <c r="I780" s="60"/>
      <c r="J780" s="69">
        <v>2</v>
      </c>
      <c r="K780" s="68">
        <v>460</v>
      </c>
    </row>
    <row r="781" spans="1:11" x14ac:dyDescent="0.25">
      <c r="C781" t="s">
        <v>3761</v>
      </c>
      <c r="D781" t="s">
        <v>3760</v>
      </c>
      <c r="E781" t="s">
        <v>3759</v>
      </c>
      <c r="F781" s="62">
        <v>2</v>
      </c>
      <c r="H781" s="70">
        <v>130</v>
      </c>
      <c r="I781" s="60"/>
      <c r="J781" s="69">
        <v>2</v>
      </c>
      <c r="K781" s="68">
        <v>260</v>
      </c>
    </row>
    <row r="782" spans="1:11" x14ac:dyDescent="0.25">
      <c r="C782" t="s">
        <v>3758</v>
      </c>
      <c r="D782" t="s">
        <v>3757</v>
      </c>
      <c r="E782" t="s">
        <v>3756</v>
      </c>
      <c r="F782" s="62">
        <v>400</v>
      </c>
      <c r="H782" s="70">
        <v>5.0999999999999996</v>
      </c>
      <c r="I782" s="60"/>
      <c r="J782" s="69">
        <v>0</v>
      </c>
      <c r="K782" s="68">
        <v>0</v>
      </c>
    </row>
    <row r="783" spans="1:11" x14ac:dyDescent="0.25">
      <c r="C783" t="s">
        <v>3755</v>
      </c>
      <c r="D783" t="s">
        <v>3754</v>
      </c>
      <c r="E783" t="s">
        <v>3753</v>
      </c>
      <c r="F783" s="62">
        <v>400</v>
      </c>
      <c r="H783" s="70">
        <v>1.59</v>
      </c>
      <c r="I783" s="60"/>
      <c r="J783" s="69">
        <v>50</v>
      </c>
      <c r="K783" s="68">
        <v>79.5</v>
      </c>
    </row>
    <row r="784" spans="1:11" x14ac:dyDescent="0.25">
      <c r="C784" t="s">
        <v>3752</v>
      </c>
      <c r="D784" t="s">
        <v>3751</v>
      </c>
      <c r="E784" t="s">
        <v>3750</v>
      </c>
      <c r="F784" s="62">
        <v>400</v>
      </c>
      <c r="H784" s="70">
        <v>2.1</v>
      </c>
      <c r="I784" s="60"/>
      <c r="J784" s="69">
        <v>0</v>
      </c>
      <c r="K784" s="68">
        <v>0</v>
      </c>
    </row>
    <row r="785" spans="3:11" x14ac:dyDescent="0.25">
      <c r="C785" t="s">
        <v>3749</v>
      </c>
      <c r="D785" t="s">
        <v>3748</v>
      </c>
      <c r="E785" t="s">
        <v>3747</v>
      </c>
      <c r="F785" s="62">
        <v>15</v>
      </c>
      <c r="H785" s="70">
        <v>81.92</v>
      </c>
      <c r="I785" s="60"/>
      <c r="J785" s="69">
        <v>0</v>
      </c>
      <c r="K785" s="68">
        <v>0</v>
      </c>
    </row>
    <row r="786" spans="3:11" x14ac:dyDescent="0.25">
      <c r="C786" t="s">
        <v>3746</v>
      </c>
      <c r="D786" t="s">
        <v>3745</v>
      </c>
      <c r="E786" t="s">
        <v>3744</v>
      </c>
      <c r="F786" s="62">
        <v>4</v>
      </c>
      <c r="H786" s="70">
        <v>205.76</v>
      </c>
      <c r="I786" s="60"/>
      <c r="J786" s="69">
        <v>1</v>
      </c>
      <c r="K786" s="68">
        <v>205.76</v>
      </c>
    </row>
    <row r="787" spans="3:11" x14ac:dyDescent="0.25">
      <c r="C787" t="s">
        <v>3743</v>
      </c>
      <c r="D787" t="s">
        <v>3742</v>
      </c>
      <c r="E787" t="s">
        <v>3741</v>
      </c>
      <c r="F787" s="62">
        <v>4</v>
      </c>
      <c r="H787" s="70">
        <v>205.76</v>
      </c>
      <c r="I787" s="60"/>
      <c r="J787" s="69">
        <v>1</v>
      </c>
      <c r="K787" s="68">
        <v>205.76</v>
      </c>
    </row>
    <row r="788" spans="3:11" x14ac:dyDescent="0.25">
      <c r="C788" t="s">
        <v>3740</v>
      </c>
      <c r="D788" t="s">
        <v>3739</v>
      </c>
      <c r="E788" t="s">
        <v>3738</v>
      </c>
      <c r="F788" s="62">
        <v>4</v>
      </c>
      <c r="H788" s="70">
        <v>205.76</v>
      </c>
      <c r="I788" s="60"/>
      <c r="J788" s="69">
        <v>1</v>
      </c>
      <c r="K788" s="68">
        <v>205.76</v>
      </c>
    </row>
    <row r="789" spans="3:11" x14ac:dyDescent="0.25">
      <c r="C789" t="s">
        <v>3737</v>
      </c>
      <c r="D789" t="s">
        <v>3736</v>
      </c>
      <c r="E789" t="s">
        <v>3735</v>
      </c>
      <c r="F789" s="62">
        <v>4</v>
      </c>
      <c r="H789" s="70">
        <v>205.76</v>
      </c>
      <c r="I789" s="60"/>
      <c r="J789" s="69">
        <v>1</v>
      </c>
      <c r="K789" s="68">
        <v>205.76</v>
      </c>
    </row>
    <row r="790" spans="3:11" x14ac:dyDescent="0.25">
      <c r="C790" t="s">
        <v>3734</v>
      </c>
      <c r="D790" t="s">
        <v>3733</v>
      </c>
      <c r="E790" t="s">
        <v>3732</v>
      </c>
      <c r="F790" s="62">
        <v>2</v>
      </c>
      <c r="H790" s="70">
        <v>215</v>
      </c>
      <c r="I790" s="60"/>
      <c r="J790" s="69">
        <v>2</v>
      </c>
      <c r="K790" s="68">
        <v>430</v>
      </c>
    </row>
    <row r="791" spans="3:11" x14ac:dyDescent="0.25">
      <c r="C791" t="s">
        <v>3731</v>
      </c>
      <c r="D791" t="s">
        <v>3730</v>
      </c>
      <c r="E791" t="s">
        <v>3729</v>
      </c>
      <c r="F791" s="62">
        <v>2</v>
      </c>
      <c r="H791" s="70">
        <v>435</v>
      </c>
      <c r="I791" s="60"/>
      <c r="J791" s="69">
        <v>2</v>
      </c>
      <c r="K791" s="68">
        <v>870</v>
      </c>
    </row>
    <row r="792" spans="3:11" x14ac:dyDescent="0.25">
      <c r="C792" t="s">
        <v>3728</v>
      </c>
      <c r="D792" t="s">
        <v>3727</v>
      </c>
      <c r="E792" t="s">
        <v>3726</v>
      </c>
      <c r="F792" s="62">
        <v>8</v>
      </c>
      <c r="H792" s="70">
        <v>178</v>
      </c>
      <c r="I792" s="60"/>
      <c r="J792" s="69">
        <v>4</v>
      </c>
      <c r="K792" s="68">
        <v>712</v>
      </c>
    </row>
    <row r="793" spans="3:11" x14ac:dyDescent="0.25">
      <c r="C793" t="s">
        <v>3725</v>
      </c>
      <c r="D793" t="s">
        <v>3724</v>
      </c>
      <c r="E793" t="s">
        <v>3723</v>
      </c>
      <c r="F793" s="62">
        <v>80</v>
      </c>
      <c r="H793" s="70">
        <v>12</v>
      </c>
      <c r="I793" s="60"/>
      <c r="J793" s="69">
        <v>11</v>
      </c>
      <c r="K793" s="68">
        <v>132</v>
      </c>
    </row>
    <row r="794" spans="3:11" x14ac:dyDescent="0.25">
      <c r="C794" t="s">
        <v>3722</v>
      </c>
      <c r="D794" t="s">
        <v>3721</v>
      </c>
      <c r="E794" t="s">
        <v>3720</v>
      </c>
      <c r="F794" s="62">
        <v>10</v>
      </c>
      <c r="H794" s="70">
        <v>29.07</v>
      </c>
      <c r="I794" s="60"/>
      <c r="J794" s="69">
        <v>4</v>
      </c>
      <c r="K794" s="68">
        <v>116.28</v>
      </c>
    </row>
    <row r="795" spans="3:11" x14ac:dyDescent="0.25">
      <c r="C795" t="s">
        <v>3719</v>
      </c>
      <c r="D795" t="s">
        <v>3718</v>
      </c>
      <c r="E795" t="s">
        <v>3717</v>
      </c>
      <c r="F795" s="62">
        <v>2</v>
      </c>
      <c r="H795" s="70">
        <v>156.44999999999999</v>
      </c>
      <c r="I795" s="60"/>
      <c r="J795" s="69">
        <v>1</v>
      </c>
      <c r="K795" s="68">
        <v>156.44999999999999</v>
      </c>
    </row>
    <row r="796" spans="3:11" x14ac:dyDescent="0.25">
      <c r="C796" t="s">
        <v>3716</v>
      </c>
      <c r="D796" t="s">
        <v>3715</v>
      </c>
      <c r="E796" t="s">
        <v>3714</v>
      </c>
      <c r="F796" s="62">
        <v>2</v>
      </c>
      <c r="H796" s="70">
        <v>232.79</v>
      </c>
      <c r="I796" s="60"/>
      <c r="J796" s="69">
        <v>2</v>
      </c>
      <c r="K796" s="68">
        <v>465.58</v>
      </c>
    </row>
    <row r="797" spans="3:11" x14ac:dyDescent="0.25">
      <c r="C797" t="s">
        <v>3713</v>
      </c>
      <c r="D797" t="s">
        <v>3712</v>
      </c>
      <c r="E797" t="s">
        <v>3711</v>
      </c>
      <c r="F797" s="62">
        <v>2</v>
      </c>
      <c r="H797" s="70">
        <v>93.04</v>
      </c>
      <c r="I797" s="60"/>
      <c r="J797" s="69">
        <v>2</v>
      </c>
      <c r="K797" s="68">
        <v>186.08</v>
      </c>
    </row>
    <row r="798" spans="3:11" x14ac:dyDescent="0.25">
      <c r="C798" t="s">
        <v>3710</v>
      </c>
      <c r="D798" t="s">
        <v>3709</v>
      </c>
      <c r="E798" t="s">
        <v>3708</v>
      </c>
      <c r="F798" s="62">
        <v>30</v>
      </c>
      <c r="H798" s="70">
        <v>11.98</v>
      </c>
      <c r="I798" s="60"/>
      <c r="J798" s="69">
        <v>12</v>
      </c>
      <c r="K798" s="68">
        <v>143.76</v>
      </c>
    </row>
    <row r="799" spans="3:11" x14ac:dyDescent="0.25">
      <c r="C799" t="s">
        <v>3707</v>
      </c>
      <c r="D799" t="s">
        <v>3706</v>
      </c>
      <c r="E799" t="s">
        <v>3705</v>
      </c>
      <c r="F799" s="62">
        <v>5</v>
      </c>
      <c r="H799" s="70">
        <v>71.400000000000006</v>
      </c>
      <c r="I799" s="60"/>
      <c r="J799" s="69">
        <v>2</v>
      </c>
      <c r="K799" s="68">
        <v>142.80000000000001</v>
      </c>
    </row>
    <row r="800" spans="3:11" x14ac:dyDescent="0.25">
      <c r="C800" t="s">
        <v>3704</v>
      </c>
      <c r="D800" t="s">
        <v>3703</v>
      </c>
      <c r="E800" t="s">
        <v>3702</v>
      </c>
      <c r="F800" s="62">
        <v>2</v>
      </c>
      <c r="H800" s="70">
        <v>239.15</v>
      </c>
      <c r="I800" s="60"/>
      <c r="J800" s="69">
        <v>2</v>
      </c>
      <c r="K800" s="68">
        <v>478.3</v>
      </c>
    </row>
    <row r="801" spans="1:11" x14ac:dyDescent="0.25">
      <c r="C801" t="s">
        <v>3701</v>
      </c>
      <c r="D801" t="s">
        <v>3700</v>
      </c>
      <c r="E801" t="s">
        <v>3699</v>
      </c>
      <c r="F801" s="62">
        <v>12</v>
      </c>
      <c r="H801" s="70">
        <v>26.94</v>
      </c>
      <c r="I801" s="60"/>
      <c r="J801" s="69">
        <v>0</v>
      </c>
      <c r="K801" s="68">
        <v>0</v>
      </c>
    </row>
    <row r="802" spans="1:11" x14ac:dyDescent="0.25">
      <c r="C802" t="s">
        <v>3698</v>
      </c>
      <c r="D802" t="s">
        <v>3697</v>
      </c>
      <c r="E802" t="s">
        <v>3696</v>
      </c>
      <c r="F802" s="62">
        <v>2</v>
      </c>
      <c r="H802" s="70">
        <v>16.850000000000001</v>
      </c>
      <c r="I802" s="60"/>
      <c r="J802" s="69">
        <v>2</v>
      </c>
      <c r="K802" s="68">
        <v>33.700000000000003</v>
      </c>
    </row>
    <row r="803" spans="1:11" x14ac:dyDescent="0.25">
      <c r="C803" t="s">
        <v>3695</v>
      </c>
      <c r="D803" t="s">
        <v>3694</v>
      </c>
      <c r="E803" t="s">
        <v>3693</v>
      </c>
      <c r="F803" s="62">
        <v>10</v>
      </c>
      <c r="H803" s="70">
        <v>74.341999999999999</v>
      </c>
      <c r="I803" s="60"/>
      <c r="J803" s="69">
        <v>0</v>
      </c>
      <c r="K803" s="68">
        <v>0</v>
      </c>
    </row>
    <row r="804" spans="1:11" x14ac:dyDescent="0.25">
      <c r="A804" s="74">
        <v>752140</v>
      </c>
      <c r="B804" s="74" t="s">
        <v>3692</v>
      </c>
      <c r="C804" s="74" t="s">
        <v>3691</v>
      </c>
      <c r="D804" s="74" t="s">
        <v>3690</v>
      </c>
      <c r="E804" s="74" t="s">
        <v>3689</v>
      </c>
      <c r="F804" s="75">
        <v>1</v>
      </c>
      <c r="G804" s="74"/>
      <c r="H804" s="76">
        <v>6846.701</v>
      </c>
      <c r="I804" s="79"/>
      <c r="J804" s="77">
        <v>1</v>
      </c>
      <c r="K804" s="78">
        <v>6846.701</v>
      </c>
    </row>
    <row r="805" spans="1:11" x14ac:dyDescent="0.25">
      <c r="A805" s="74"/>
      <c r="B805" s="74"/>
      <c r="C805" s="74" t="s">
        <v>3688</v>
      </c>
      <c r="D805" s="74" t="s">
        <v>3687</v>
      </c>
      <c r="E805" s="74" t="s">
        <v>3686</v>
      </c>
      <c r="F805" s="75">
        <v>2</v>
      </c>
      <c r="G805" s="74"/>
      <c r="H805" s="76">
        <v>2903.453</v>
      </c>
      <c r="I805" s="79"/>
      <c r="J805" s="77">
        <v>2</v>
      </c>
      <c r="K805" s="78">
        <v>5806.9059999999999</v>
      </c>
    </row>
    <row r="806" spans="1:11" x14ac:dyDescent="0.25">
      <c r="A806" s="74"/>
      <c r="B806" s="74"/>
      <c r="C806" s="74" t="s">
        <v>3685</v>
      </c>
      <c r="D806" s="74" t="s">
        <v>3684</v>
      </c>
      <c r="E806" s="74" t="s">
        <v>3683</v>
      </c>
      <c r="F806" s="75">
        <v>6</v>
      </c>
      <c r="G806" s="74"/>
      <c r="H806" s="76">
        <v>96.41</v>
      </c>
      <c r="I806" s="79"/>
      <c r="J806" s="77">
        <v>4</v>
      </c>
      <c r="K806" s="78">
        <v>385.64</v>
      </c>
    </row>
    <row r="807" spans="1:11" x14ac:dyDescent="0.25">
      <c r="A807" s="74"/>
      <c r="B807" s="74"/>
      <c r="C807" s="74" t="s">
        <v>3682</v>
      </c>
      <c r="D807" s="74" t="s">
        <v>3681</v>
      </c>
      <c r="E807" s="74" t="s">
        <v>3680</v>
      </c>
      <c r="F807" s="75">
        <v>4</v>
      </c>
      <c r="G807" s="74"/>
      <c r="H807" s="76">
        <v>99.903999999999996</v>
      </c>
      <c r="I807" s="79"/>
      <c r="J807" s="77">
        <v>2</v>
      </c>
      <c r="K807" s="78">
        <v>199.80799999999999</v>
      </c>
    </row>
    <row r="808" spans="1:11" x14ac:dyDescent="0.25">
      <c r="A808" s="74"/>
      <c r="B808" s="74"/>
      <c r="C808" s="74" t="s">
        <v>3679</v>
      </c>
      <c r="D808" s="74" t="s">
        <v>3678</v>
      </c>
      <c r="E808" s="74" t="s">
        <v>3677</v>
      </c>
      <c r="F808" s="75">
        <v>4</v>
      </c>
      <c r="G808" s="74"/>
      <c r="H808" s="76">
        <v>328.84100000000001</v>
      </c>
      <c r="I808" s="79"/>
      <c r="J808" s="77">
        <v>2</v>
      </c>
      <c r="K808" s="78">
        <v>657.68200000000002</v>
      </c>
    </row>
    <row r="809" spans="1:11" x14ac:dyDescent="0.25">
      <c r="A809" s="74"/>
      <c r="B809" s="74"/>
      <c r="C809" s="74" t="s">
        <v>3676</v>
      </c>
      <c r="D809" s="74" t="s">
        <v>3675</v>
      </c>
      <c r="E809" s="74" t="s">
        <v>3674</v>
      </c>
      <c r="F809" s="75">
        <v>4</v>
      </c>
      <c r="G809" s="74"/>
      <c r="H809" s="76">
        <v>368.07600000000002</v>
      </c>
      <c r="I809" s="79"/>
      <c r="J809" s="77">
        <v>2</v>
      </c>
      <c r="K809" s="78">
        <v>736.15200000000004</v>
      </c>
    </row>
    <row r="810" spans="1:11" x14ac:dyDescent="0.25">
      <c r="A810" s="74"/>
      <c r="B810" s="74"/>
      <c r="C810" s="74" t="s">
        <v>3673</v>
      </c>
      <c r="D810" s="74" t="s">
        <v>3672</v>
      </c>
      <c r="E810" s="74" t="s">
        <v>3671</v>
      </c>
      <c r="F810" s="75">
        <v>4</v>
      </c>
      <c r="G810" s="74"/>
      <c r="H810" s="76">
        <v>160.38399999999999</v>
      </c>
      <c r="I810" s="79"/>
      <c r="J810" s="77">
        <v>1</v>
      </c>
      <c r="K810" s="78">
        <v>160.38399999999999</v>
      </c>
    </row>
    <row r="811" spans="1:11" x14ac:dyDescent="0.25">
      <c r="A811" s="74"/>
      <c r="B811" s="74"/>
      <c r="C811" s="74" t="s">
        <v>3670</v>
      </c>
      <c r="D811" s="74" t="s">
        <v>3669</v>
      </c>
      <c r="E811" s="74" t="s">
        <v>3668</v>
      </c>
      <c r="F811" s="75">
        <v>4</v>
      </c>
      <c r="G811" s="74"/>
      <c r="H811" s="76">
        <v>478.649</v>
      </c>
      <c r="I811" s="79"/>
      <c r="J811" s="77">
        <v>1</v>
      </c>
      <c r="K811" s="78">
        <v>478.649</v>
      </c>
    </row>
    <row r="812" spans="1:11" x14ac:dyDescent="0.25">
      <c r="A812" s="74"/>
      <c r="B812" s="74"/>
      <c r="C812" s="74" t="s">
        <v>3667</v>
      </c>
      <c r="D812" s="74" t="s">
        <v>3666</v>
      </c>
      <c r="E812" s="74" t="s">
        <v>3665</v>
      </c>
      <c r="F812" s="75">
        <v>4</v>
      </c>
      <c r="G812" s="74"/>
      <c r="H812" s="76">
        <v>133.21799999999999</v>
      </c>
      <c r="I812" s="79"/>
      <c r="J812" s="77">
        <v>1</v>
      </c>
      <c r="K812" s="78">
        <v>133.21799999999999</v>
      </c>
    </row>
    <row r="813" spans="1:11" x14ac:dyDescent="0.25">
      <c r="A813" s="74"/>
      <c r="B813" s="74"/>
      <c r="C813" s="74" t="s">
        <v>3664</v>
      </c>
      <c r="D813" s="74" t="s">
        <v>3663</v>
      </c>
      <c r="E813" s="74" t="s">
        <v>3662</v>
      </c>
      <c r="F813" s="75">
        <v>4</v>
      </c>
      <c r="G813" s="74"/>
      <c r="H813" s="76">
        <v>360.99900000000002</v>
      </c>
      <c r="I813" s="79"/>
      <c r="J813" s="77">
        <v>1</v>
      </c>
      <c r="K813" s="78">
        <v>360.99900000000002</v>
      </c>
    </row>
    <row r="814" spans="1:11" x14ac:dyDescent="0.25">
      <c r="A814" s="74"/>
      <c r="B814" s="74"/>
      <c r="C814" s="74" t="s">
        <v>3661</v>
      </c>
      <c r="D814" s="74" t="s">
        <v>3660</v>
      </c>
      <c r="E814" s="74" t="s">
        <v>3659</v>
      </c>
      <c r="F814" s="75">
        <v>4</v>
      </c>
      <c r="G814" s="74"/>
      <c r="H814" s="76">
        <v>83.596130000000002</v>
      </c>
      <c r="I814" s="79"/>
      <c r="J814" s="77">
        <v>1</v>
      </c>
      <c r="K814" s="78">
        <v>83.596130000000002</v>
      </c>
    </row>
    <row r="815" spans="1:11" x14ac:dyDescent="0.25">
      <c r="A815" s="74"/>
      <c r="B815" s="74"/>
      <c r="C815" s="74" t="s">
        <v>3658</v>
      </c>
      <c r="D815" s="74" t="s">
        <v>3657</v>
      </c>
      <c r="E815" s="74" t="s">
        <v>3656</v>
      </c>
      <c r="F815" s="75">
        <v>4</v>
      </c>
      <c r="G815" s="74"/>
      <c r="H815" s="76">
        <v>8.0461080000000003</v>
      </c>
      <c r="I815" s="79"/>
      <c r="J815" s="77">
        <v>1</v>
      </c>
      <c r="K815" s="78">
        <v>8.0461080000000003</v>
      </c>
    </row>
    <row r="816" spans="1:11" x14ac:dyDescent="0.25">
      <c r="A816" s="74"/>
      <c r="B816" s="74"/>
      <c r="C816" s="74" t="s">
        <v>3655</v>
      </c>
      <c r="D816" s="74" t="s">
        <v>3654</v>
      </c>
      <c r="E816" s="74" t="s">
        <v>3653</v>
      </c>
      <c r="F816" s="75">
        <v>2</v>
      </c>
      <c r="G816" s="74"/>
      <c r="H816" s="76">
        <v>56.591799999999999</v>
      </c>
      <c r="I816" s="79"/>
      <c r="J816" s="77">
        <v>1</v>
      </c>
      <c r="K816" s="78">
        <v>56.591799999999999</v>
      </c>
    </row>
    <row r="817" spans="1:11" x14ac:dyDescent="0.25">
      <c r="A817" s="74"/>
      <c r="B817" s="74"/>
      <c r="C817" s="74" t="s">
        <v>3652</v>
      </c>
      <c r="D817" s="74" t="s">
        <v>3651</v>
      </c>
      <c r="E817" s="74" t="s">
        <v>3650</v>
      </c>
      <c r="F817" s="75">
        <v>2</v>
      </c>
      <c r="G817" s="74"/>
      <c r="H817" s="76">
        <v>103.94</v>
      </c>
      <c r="I817" s="79"/>
      <c r="J817" s="77">
        <v>1</v>
      </c>
      <c r="K817" s="78">
        <v>103.94</v>
      </c>
    </row>
    <row r="818" spans="1:11" x14ac:dyDescent="0.25">
      <c r="A818" s="74"/>
      <c r="B818" s="74"/>
      <c r="C818" s="74" t="s">
        <v>3649</v>
      </c>
      <c r="D818" s="74" t="s">
        <v>3648</v>
      </c>
      <c r="E818" s="74" t="s">
        <v>3647</v>
      </c>
      <c r="F818" s="75">
        <v>2</v>
      </c>
      <c r="G818" s="74"/>
      <c r="H818" s="76">
        <v>5940.3985140000004</v>
      </c>
      <c r="I818" s="79"/>
      <c r="J818" s="77">
        <v>1</v>
      </c>
      <c r="K818" s="78">
        <v>5940.3985140000004</v>
      </c>
    </row>
    <row r="819" spans="1:11" x14ac:dyDescent="0.25">
      <c r="A819" s="74"/>
      <c r="B819" s="74"/>
      <c r="C819" s="74" t="s">
        <v>3646</v>
      </c>
      <c r="D819" s="74" t="s">
        <v>3645</v>
      </c>
      <c r="E819" s="74" t="s">
        <v>3644</v>
      </c>
      <c r="F819" s="75">
        <v>1</v>
      </c>
      <c r="G819" s="74"/>
      <c r="H819" s="76">
        <v>1446.1468199999999</v>
      </c>
      <c r="I819" s="79"/>
      <c r="J819" s="77">
        <v>2</v>
      </c>
      <c r="K819" s="78">
        <v>2892.2936399999999</v>
      </c>
    </row>
    <row r="820" spans="1:11" x14ac:dyDescent="0.25">
      <c r="A820" s="74"/>
      <c r="B820" s="74"/>
      <c r="C820" s="74" t="s">
        <v>3643</v>
      </c>
      <c r="D820" s="74" t="s">
        <v>3642</v>
      </c>
      <c r="E820" s="74" t="s">
        <v>3641</v>
      </c>
      <c r="F820" s="75">
        <v>1</v>
      </c>
      <c r="G820" s="74"/>
      <c r="H820" s="76">
        <v>3498.3017089999998</v>
      </c>
      <c r="I820" s="79"/>
      <c r="J820" s="77">
        <v>1</v>
      </c>
      <c r="K820" s="78">
        <v>3498.3017089999998</v>
      </c>
    </row>
    <row r="821" spans="1:11" x14ac:dyDescent="0.25">
      <c r="A821" s="74"/>
      <c r="B821" s="74"/>
      <c r="C821" s="74" t="s">
        <v>3640</v>
      </c>
      <c r="D821" s="74" t="s">
        <v>3639</v>
      </c>
      <c r="E821" s="74" t="s">
        <v>3638</v>
      </c>
      <c r="F821" s="75">
        <v>1</v>
      </c>
      <c r="G821" s="74"/>
      <c r="H821" s="76">
        <v>3649.2581260000002</v>
      </c>
      <c r="I821" s="79"/>
      <c r="J821" s="77">
        <v>1</v>
      </c>
      <c r="K821" s="78">
        <v>3649.2581260000002</v>
      </c>
    </row>
    <row r="822" spans="1:11" x14ac:dyDescent="0.25">
      <c r="A822" s="74"/>
      <c r="B822" s="74"/>
      <c r="C822" s="74" t="s">
        <v>3637</v>
      </c>
      <c r="D822" s="74" t="s">
        <v>3636</v>
      </c>
      <c r="E822" s="74" t="s">
        <v>3635</v>
      </c>
      <c r="F822" s="75">
        <v>1</v>
      </c>
      <c r="G822" s="74"/>
      <c r="H822" s="76">
        <v>1175.6976529999999</v>
      </c>
      <c r="I822" s="79"/>
      <c r="J822" s="77">
        <v>1</v>
      </c>
      <c r="K822" s="78">
        <v>1175.6976529999999</v>
      </c>
    </row>
    <row r="823" spans="1:11" x14ac:dyDescent="0.25">
      <c r="A823" s="74"/>
      <c r="B823" s="74"/>
      <c r="C823" s="74" t="s">
        <v>3634</v>
      </c>
      <c r="D823" s="74" t="s">
        <v>3633</v>
      </c>
      <c r="E823" s="74" t="s">
        <v>3632</v>
      </c>
      <c r="F823" s="75">
        <v>1</v>
      </c>
      <c r="G823" s="74"/>
      <c r="H823" s="76">
        <v>1215.1209140000001</v>
      </c>
      <c r="I823" s="79"/>
      <c r="J823" s="77">
        <v>1</v>
      </c>
      <c r="K823" s="78">
        <v>1215.1209140000001</v>
      </c>
    </row>
    <row r="824" spans="1:11" x14ac:dyDescent="0.25">
      <c r="A824" s="74"/>
      <c r="B824" s="74"/>
      <c r="C824" s="74" t="s">
        <v>3631</v>
      </c>
      <c r="D824" s="74" t="s">
        <v>3630</v>
      </c>
      <c r="E824" s="74" t="s">
        <v>3629</v>
      </c>
      <c r="F824" s="75">
        <v>1</v>
      </c>
      <c r="G824" s="74"/>
      <c r="H824" s="76">
        <v>1014.372763</v>
      </c>
      <c r="I824" s="79"/>
      <c r="J824" s="77">
        <v>1</v>
      </c>
      <c r="K824" s="78">
        <v>1014.372763</v>
      </c>
    </row>
    <row r="825" spans="1:11" x14ac:dyDescent="0.25">
      <c r="A825" s="74"/>
      <c r="B825" s="74"/>
      <c r="C825" s="74" t="s">
        <v>3628</v>
      </c>
      <c r="D825" s="74" t="s">
        <v>3627</v>
      </c>
      <c r="E825" s="74" t="s">
        <v>3626</v>
      </c>
      <c r="F825" s="75">
        <v>1</v>
      </c>
      <c r="G825" s="74"/>
      <c r="H825" s="76">
        <v>6441.0459220000002</v>
      </c>
      <c r="I825" s="79"/>
      <c r="J825" s="77">
        <v>1</v>
      </c>
      <c r="K825" s="78">
        <v>6441.0459220000002</v>
      </c>
    </row>
    <row r="826" spans="1:11" x14ac:dyDescent="0.25">
      <c r="A826" s="74"/>
      <c r="B826" s="74"/>
      <c r="C826" s="74" t="s">
        <v>3625</v>
      </c>
      <c r="D826" s="74" t="s">
        <v>3624</v>
      </c>
      <c r="E826" s="74" t="s">
        <v>3623</v>
      </c>
      <c r="F826" s="75">
        <v>1</v>
      </c>
      <c r="G826" s="74"/>
      <c r="H826" s="76">
        <v>2365.9227000000001</v>
      </c>
      <c r="I826" s="79"/>
      <c r="J826" s="77">
        <v>1</v>
      </c>
      <c r="K826" s="78">
        <v>2365.9227000000001</v>
      </c>
    </row>
    <row r="827" spans="1:11" x14ac:dyDescent="0.25">
      <c r="A827">
        <v>766329</v>
      </c>
      <c r="B827" t="s">
        <v>3622</v>
      </c>
      <c r="C827" t="s">
        <v>3621</v>
      </c>
      <c r="D827" t="s">
        <v>3620</v>
      </c>
      <c r="E827" t="s">
        <v>3619</v>
      </c>
      <c r="F827" s="62">
        <v>10</v>
      </c>
      <c r="H827" s="70">
        <v>1089</v>
      </c>
      <c r="I827" s="60"/>
      <c r="J827" s="69">
        <v>0</v>
      </c>
      <c r="K827" s="68">
        <v>0</v>
      </c>
    </row>
    <row r="828" spans="1:11" x14ac:dyDescent="0.25">
      <c r="A828">
        <v>766128</v>
      </c>
      <c r="B828" t="s">
        <v>3618</v>
      </c>
      <c r="C828" t="s">
        <v>3617</v>
      </c>
      <c r="D828" t="s">
        <v>3616</v>
      </c>
      <c r="E828" t="s">
        <v>3615</v>
      </c>
      <c r="F828" s="62">
        <v>45</v>
      </c>
      <c r="H828" s="70">
        <v>50.520443999999998</v>
      </c>
      <c r="I828" s="60"/>
      <c r="J828" s="69">
        <v>0</v>
      </c>
      <c r="K828" s="68">
        <v>0</v>
      </c>
    </row>
    <row r="829" spans="1:11" x14ac:dyDescent="0.25">
      <c r="C829" t="s">
        <v>3614</v>
      </c>
      <c r="D829" t="s">
        <v>3613</v>
      </c>
      <c r="E829" t="s">
        <v>3612</v>
      </c>
      <c r="F829" s="62">
        <v>1</v>
      </c>
      <c r="H829" s="70">
        <v>2840</v>
      </c>
      <c r="I829" s="60"/>
      <c r="J829" s="69">
        <v>0</v>
      </c>
      <c r="K829" s="68">
        <v>0</v>
      </c>
    </row>
    <row r="830" spans="1:11" x14ac:dyDescent="0.25">
      <c r="C830" t="s">
        <v>3611</v>
      </c>
      <c r="D830" t="s">
        <v>3610</v>
      </c>
      <c r="E830" t="s">
        <v>3609</v>
      </c>
      <c r="F830" s="62">
        <v>2</v>
      </c>
      <c r="H830" s="70">
        <v>5399.62</v>
      </c>
      <c r="I830" s="60"/>
      <c r="J830" s="69">
        <v>0</v>
      </c>
      <c r="K830" s="68">
        <v>0</v>
      </c>
    </row>
    <row r="831" spans="1:11" x14ac:dyDescent="0.25">
      <c r="C831" t="s">
        <v>3608</v>
      </c>
      <c r="D831" t="s">
        <v>3607</v>
      </c>
      <c r="E831" t="s">
        <v>3606</v>
      </c>
      <c r="F831" s="62">
        <v>8</v>
      </c>
      <c r="H831" s="70">
        <v>211.22125</v>
      </c>
      <c r="I831" s="60"/>
      <c r="J831" s="69">
        <v>0</v>
      </c>
      <c r="K831" s="68">
        <v>0</v>
      </c>
    </row>
    <row r="832" spans="1:11" x14ac:dyDescent="0.25">
      <c r="C832" t="s">
        <v>3605</v>
      </c>
      <c r="D832" t="s">
        <v>1404</v>
      </c>
      <c r="E832" t="s">
        <v>3604</v>
      </c>
      <c r="F832" s="62">
        <v>2</v>
      </c>
      <c r="H832" s="70">
        <v>396.08</v>
      </c>
      <c r="I832" s="60"/>
      <c r="J832" s="69">
        <v>2</v>
      </c>
      <c r="K832" s="68">
        <v>792.16</v>
      </c>
    </row>
    <row r="833" spans="1:11" x14ac:dyDescent="0.25">
      <c r="A833">
        <v>713592</v>
      </c>
      <c r="B833" t="s">
        <v>3603</v>
      </c>
      <c r="C833" t="s">
        <v>3602</v>
      </c>
      <c r="D833" t="s">
        <v>3601</v>
      </c>
      <c r="E833" t="s">
        <v>3600</v>
      </c>
      <c r="F833" s="62">
        <v>5</v>
      </c>
      <c r="H833" s="70">
        <v>635</v>
      </c>
      <c r="I833" s="60"/>
      <c r="J833" s="69">
        <v>0</v>
      </c>
      <c r="K833" s="68">
        <v>0</v>
      </c>
    </row>
    <row r="834" spans="1:11" x14ac:dyDescent="0.25">
      <c r="C834" t="s">
        <v>3599</v>
      </c>
      <c r="D834" t="s">
        <v>3598</v>
      </c>
      <c r="E834" t="s">
        <v>3597</v>
      </c>
      <c r="F834" s="62">
        <v>2</v>
      </c>
      <c r="H834" s="70">
        <v>1800</v>
      </c>
      <c r="I834" s="60"/>
      <c r="J834" s="69">
        <v>1</v>
      </c>
      <c r="K834" s="68">
        <v>1800</v>
      </c>
    </row>
    <row r="835" spans="1:11" x14ac:dyDescent="0.25">
      <c r="C835" t="s">
        <v>3596</v>
      </c>
      <c r="D835" t="s">
        <v>3595</v>
      </c>
      <c r="E835" t="s">
        <v>3594</v>
      </c>
      <c r="F835" s="62">
        <v>5</v>
      </c>
      <c r="H835" s="70">
        <v>1100</v>
      </c>
      <c r="I835" s="60"/>
      <c r="J835" s="69">
        <v>5</v>
      </c>
      <c r="K835" s="68">
        <v>5500</v>
      </c>
    </row>
    <row r="836" spans="1:11" x14ac:dyDescent="0.25">
      <c r="C836" t="s">
        <v>3593</v>
      </c>
      <c r="D836" t="s">
        <v>3592</v>
      </c>
      <c r="E836" t="s">
        <v>3591</v>
      </c>
      <c r="F836" s="62">
        <v>2</v>
      </c>
      <c r="H836" s="70">
        <v>813.28</v>
      </c>
      <c r="I836" s="60"/>
      <c r="J836" s="69">
        <v>2</v>
      </c>
      <c r="K836" s="68">
        <v>1626.56</v>
      </c>
    </row>
    <row r="837" spans="1:11" x14ac:dyDescent="0.25">
      <c r="C837" t="s">
        <v>3590</v>
      </c>
      <c r="D837" t="s">
        <v>3589</v>
      </c>
      <c r="E837" t="s">
        <v>3588</v>
      </c>
      <c r="F837" s="62">
        <v>1</v>
      </c>
      <c r="H837" s="70">
        <v>178.02</v>
      </c>
      <c r="I837" s="60"/>
      <c r="J837" s="69">
        <v>1</v>
      </c>
      <c r="K837" s="68">
        <v>178.02</v>
      </c>
    </row>
    <row r="838" spans="1:11" x14ac:dyDescent="0.25">
      <c r="C838" t="s">
        <v>3587</v>
      </c>
      <c r="D838" t="s">
        <v>3586</v>
      </c>
      <c r="E838" t="s">
        <v>3585</v>
      </c>
      <c r="F838" s="62">
        <v>12</v>
      </c>
      <c r="H838" s="70">
        <v>8</v>
      </c>
      <c r="I838" s="60"/>
      <c r="J838" s="69">
        <v>0</v>
      </c>
      <c r="K838" s="68">
        <v>0</v>
      </c>
    </row>
    <row r="839" spans="1:11" x14ac:dyDescent="0.25">
      <c r="C839" t="s">
        <v>3584</v>
      </c>
      <c r="D839" t="s">
        <v>3583</v>
      </c>
      <c r="E839" t="s">
        <v>3582</v>
      </c>
      <c r="F839" s="62">
        <v>12</v>
      </c>
      <c r="H839" s="70">
        <v>4.83</v>
      </c>
      <c r="I839" s="60"/>
      <c r="J839" s="69">
        <v>0</v>
      </c>
      <c r="K839" s="68">
        <v>0</v>
      </c>
    </row>
    <row r="840" spans="1:11" x14ac:dyDescent="0.25">
      <c r="C840" t="s">
        <v>3581</v>
      </c>
      <c r="D840" t="s">
        <v>3580</v>
      </c>
      <c r="E840" t="s">
        <v>3579</v>
      </c>
      <c r="F840" s="62">
        <v>12</v>
      </c>
      <c r="H840" s="70">
        <v>10.34</v>
      </c>
      <c r="I840" s="60"/>
      <c r="J840" s="69">
        <v>0</v>
      </c>
      <c r="K840" s="68">
        <v>0</v>
      </c>
    </row>
    <row r="841" spans="1:11" x14ac:dyDescent="0.25">
      <c r="C841" t="s">
        <v>3578</v>
      </c>
      <c r="D841" t="s">
        <v>3577</v>
      </c>
      <c r="E841" t="s">
        <v>3576</v>
      </c>
      <c r="F841" s="62">
        <v>8</v>
      </c>
      <c r="H841" s="70">
        <v>21.43</v>
      </c>
      <c r="I841" s="60"/>
      <c r="J841" s="69">
        <v>0</v>
      </c>
      <c r="K841" s="68">
        <v>0</v>
      </c>
    </row>
    <row r="842" spans="1:11" x14ac:dyDescent="0.25">
      <c r="C842" t="s">
        <v>3575</v>
      </c>
      <c r="D842" t="s">
        <v>3574</v>
      </c>
      <c r="E842" t="s">
        <v>3573</v>
      </c>
      <c r="F842" s="62">
        <v>8</v>
      </c>
      <c r="H842" s="70">
        <v>12.78</v>
      </c>
      <c r="I842" s="60"/>
      <c r="J842" s="69">
        <v>0</v>
      </c>
      <c r="K842" s="68">
        <v>0</v>
      </c>
    </row>
    <row r="843" spans="1:11" x14ac:dyDescent="0.25">
      <c r="C843" t="s">
        <v>3572</v>
      </c>
      <c r="D843" t="s">
        <v>3571</v>
      </c>
      <c r="E843" t="s">
        <v>3570</v>
      </c>
      <c r="F843" s="62">
        <v>8</v>
      </c>
      <c r="H843" s="70">
        <v>94.3</v>
      </c>
      <c r="I843" s="60"/>
      <c r="J843" s="69">
        <v>0</v>
      </c>
      <c r="K843" s="68">
        <v>0</v>
      </c>
    </row>
    <row r="844" spans="1:11" x14ac:dyDescent="0.25">
      <c r="C844" t="s">
        <v>3569</v>
      </c>
      <c r="D844" t="s">
        <v>3568</v>
      </c>
      <c r="E844" t="s">
        <v>3567</v>
      </c>
      <c r="F844" s="62">
        <v>3</v>
      </c>
      <c r="H844" s="70">
        <v>140.85</v>
      </c>
      <c r="I844" s="60"/>
      <c r="J844" s="69">
        <v>0</v>
      </c>
      <c r="K844" s="68">
        <v>0</v>
      </c>
    </row>
    <row r="845" spans="1:11" x14ac:dyDescent="0.25">
      <c r="C845" t="s">
        <v>3566</v>
      </c>
      <c r="D845" t="s">
        <v>3565</v>
      </c>
      <c r="E845" t="s">
        <v>3564</v>
      </c>
      <c r="F845" s="62">
        <v>2</v>
      </c>
      <c r="H845" s="70">
        <v>763.6</v>
      </c>
      <c r="I845" s="60"/>
      <c r="J845" s="69">
        <v>0</v>
      </c>
      <c r="K845" s="68">
        <v>0</v>
      </c>
    </row>
    <row r="846" spans="1:11" x14ac:dyDescent="0.25">
      <c r="C846" t="s">
        <v>3563</v>
      </c>
      <c r="D846" t="s">
        <v>3562</v>
      </c>
      <c r="E846" t="s">
        <v>3561</v>
      </c>
      <c r="F846" s="62">
        <v>2</v>
      </c>
      <c r="H846" s="70">
        <v>486.68</v>
      </c>
      <c r="I846" s="60"/>
      <c r="J846" s="69">
        <v>1</v>
      </c>
      <c r="K846" s="68">
        <v>486.68</v>
      </c>
    </row>
    <row r="847" spans="1:11" x14ac:dyDescent="0.25">
      <c r="C847" t="s">
        <v>3560</v>
      </c>
      <c r="D847" t="s">
        <v>3559</v>
      </c>
      <c r="E847" t="s">
        <v>3558</v>
      </c>
      <c r="F847" s="62">
        <v>3</v>
      </c>
      <c r="H847" s="70">
        <v>149.68</v>
      </c>
      <c r="I847" s="60"/>
      <c r="J847" s="69">
        <v>0</v>
      </c>
      <c r="K847" s="68">
        <v>0</v>
      </c>
    </row>
    <row r="848" spans="1:11" x14ac:dyDescent="0.25">
      <c r="C848" t="s">
        <v>3557</v>
      </c>
      <c r="D848" t="s">
        <v>3556</v>
      </c>
      <c r="E848" t="s">
        <v>3555</v>
      </c>
      <c r="F848" s="62">
        <v>10</v>
      </c>
      <c r="H848" s="70">
        <v>7.4</v>
      </c>
      <c r="I848" s="60"/>
      <c r="J848" s="69">
        <v>0</v>
      </c>
      <c r="K848" s="68">
        <v>0</v>
      </c>
    </row>
    <row r="849" spans="3:11" x14ac:dyDescent="0.25">
      <c r="C849" t="s">
        <v>3554</v>
      </c>
      <c r="D849" t="s">
        <v>3553</v>
      </c>
      <c r="E849" t="s">
        <v>3552</v>
      </c>
      <c r="F849" s="62">
        <v>4</v>
      </c>
      <c r="H849" s="70">
        <v>51</v>
      </c>
      <c r="I849" s="60"/>
      <c r="J849" s="69">
        <v>0</v>
      </c>
      <c r="K849" s="68">
        <v>0</v>
      </c>
    </row>
    <row r="850" spans="3:11" x14ac:dyDescent="0.25">
      <c r="C850" t="s">
        <v>3551</v>
      </c>
      <c r="D850" t="s">
        <v>3550</v>
      </c>
      <c r="E850" t="s">
        <v>3549</v>
      </c>
      <c r="F850" s="62">
        <v>12</v>
      </c>
      <c r="H850" s="70">
        <v>33.9</v>
      </c>
      <c r="I850" s="60"/>
      <c r="J850" s="69">
        <v>0</v>
      </c>
      <c r="K850" s="68">
        <v>0</v>
      </c>
    </row>
    <row r="851" spans="3:11" x14ac:dyDescent="0.25">
      <c r="C851" t="s">
        <v>3548</v>
      </c>
      <c r="D851" t="s">
        <v>3547</v>
      </c>
      <c r="E851" t="s">
        <v>3546</v>
      </c>
      <c r="F851" s="62">
        <v>4</v>
      </c>
      <c r="H851" s="70">
        <v>88.87</v>
      </c>
      <c r="I851" s="60"/>
      <c r="J851" s="69">
        <v>0</v>
      </c>
      <c r="K851" s="68">
        <v>0</v>
      </c>
    </row>
    <row r="852" spans="3:11" x14ac:dyDescent="0.25">
      <c r="C852" t="s">
        <v>3545</v>
      </c>
      <c r="D852" t="s">
        <v>3544</v>
      </c>
      <c r="E852" t="s">
        <v>3543</v>
      </c>
      <c r="F852" s="62">
        <v>2</v>
      </c>
      <c r="H852" s="70">
        <v>154.1</v>
      </c>
      <c r="I852" s="60"/>
      <c r="J852" s="69">
        <v>0</v>
      </c>
      <c r="K852" s="68">
        <v>0</v>
      </c>
    </row>
    <row r="853" spans="3:11" x14ac:dyDescent="0.25">
      <c r="C853" t="s">
        <v>3542</v>
      </c>
      <c r="D853" t="s">
        <v>3541</v>
      </c>
      <c r="E853" t="s">
        <v>3540</v>
      </c>
      <c r="F853" s="62">
        <v>1</v>
      </c>
      <c r="H853" s="70">
        <v>772.8</v>
      </c>
      <c r="I853" s="60"/>
      <c r="J853" s="69">
        <v>1</v>
      </c>
      <c r="K853" s="68">
        <v>772.8</v>
      </c>
    </row>
    <row r="854" spans="3:11" x14ac:dyDescent="0.25">
      <c r="C854" t="s">
        <v>3539</v>
      </c>
      <c r="D854" t="s">
        <v>3538</v>
      </c>
      <c r="E854" t="s">
        <v>3537</v>
      </c>
      <c r="F854" s="62">
        <v>1</v>
      </c>
      <c r="H854" s="70">
        <v>111.96</v>
      </c>
      <c r="I854" s="60"/>
      <c r="J854" s="69">
        <v>0</v>
      </c>
      <c r="K854" s="68">
        <v>0</v>
      </c>
    </row>
    <row r="855" spans="3:11" x14ac:dyDescent="0.25">
      <c r="C855" t="s">
        <v>3536</v>
      </c>
      <c r="D855" t="s">
        <v>3535</v>
      </c>
      <c r="E855" t="s">
        <v>3534</v>
      </c>
      <c r="F855" s="62">
        <v>16</v>
      </c>
      <c r="H855" s="70">
        <v>9.84</v>
      </c>
      <c r="I855" s="60"/>
      <c r="J855" s="69">
        <v>0</v>
      </c>
      <c r="K855" s="68">
        <v>0</v>
      </c>
    </row>
    <row r="856" spans="3:11" x14ac:dyDescent="0.25">
      <c r="C856" t="s">
        <v>3533</v>
      </c>
      <c r="D856" t="s">
        <v>3532</v>
      </c>
      <c r="E856" t="s">
        <v>3531</v>
      </c>
      <c r="F856" s="62">
        <v>16</v>
      </c>
      <c r="H856" s="70">
        <v>4.5999999999999996</v>
      </c>
      <c r="I856" s="60"/>
      <c r="J856" s="69">
        <v>0</v>
      </c>
      <c r="K856" s="68">
        <v>0</v>
      </c>
    </row>
    <row r="857" spans="3:11" x14ac:dyDescent="0.25">
      <c r="C857" t="s">
        <v>3530</v>
      </c>
      <c r="D857" t="s">
        <v>3529</v>
      </c>
      <c r="E857" t="s">
        <v>3528</v>
      </c>
      <c r="F857" s="62">
        <v>10</v>
      </c>
      <c r="H857" s="70">
        <v>59.8</v>
      </c>
      <c r="I857" s="60"/>
      <c r="J857" s="69">
        <v>0</v>
      </c>
      <c r="K857" s="68">
        <v>0</v>
      </c>
    </row>
    <row r="858" spans="3:11" x14ac:dyDescent="0.25">
      <c r="C858" t="s">
        <v>3527</v>
      </c>
      <c r="D858" t="s">
        <v>3526</v>
      </c>
      <c r="E858" t="s">
        <v>3525</v>
      </c>
      <c r="F858" s="62">
        <v>1</v>
      </c>
      <c r="H858" s="70">
        <v>72.86</v>
      </c>
      <c r="I858" s="60"/>
      <c r="J858" s="69">
        <v>0</v>
      </c>
      <c r="K858" s="68">
        <v>0</v>
      </c>
    </row>
    <row r="859" spans="3:11" x14ac:dyDescent="0.25">
      <c r="C859" t="s">
        <v>3524</v>
      </c>
      <c r="D859" t="s">
        <v>3523</v>
      </c>
      <c r="E859" t="s">
        <v>3522</v>
      </c>
      <c r="F859" s="62">
        <v>10</v>
      </c>
      <c r="H859" s="70">
        <v>220.51</v>
      </c>
      <c r="I859" s="60"/>
      <c r="J859" s="69">
        <v>0</v>
      </c>
      <c r="K859" s="68">
        <v>0</v>
      </c>
    </row>
    <row r="860" spans="3:11" x14ac:dyDescent="0.25">
      <c r="C860" t="s">
        <v>3521</v>
      </c>
      <c r="D860" t="s">
        <v>3520</v>
      </c>
      <c r="E860" t="s">
        <v>3519</v>
      </c>
      <c r="F860" s="62">
        <v>16</v>
      </c>
      <c r="H860" s="70">
        <v>9.84</v>
      </c>
      <c r="I860" s="60"/>
      <c r="J860" s="69">
        <v>0</v>
      </c>
      <c r="K860" s="68">
        <v>0</v>
      </c>
    </row>
    <row r="861" spans="3:11" x14ac:dyDescent="0.25">
      <c r="C861" t="s">
        <v>3518</v>
      </c>
      <c r="D861" t="s">
        <v>3517</v>
      </c>
      <c r="E861" t="s">
        <v>3516</v>
      </c>
      <c r="F861" s="62">
        <v>16</v>
      </c>
      <c r="H861" s="70">
        <v>4.5999999999999996</v>
      </c>
      <c r="I861" s="60"/>
      <c r="J861" s="69">
        <v>0</v>
      </c>
      <c r="K861" s="68">
        <v>0</v>
      </c>
    </row>
    <row r="862" spans="3:11" x14ac:dyDescent="0.25">
      <c r="C862" t="s">
        <v>3515</v>
      </c>
      <c r="D862" t="s">
        <v>3514</v>
      </c>
      <c r="E862" t="s">
        <v>3513</v>
      </c>
      <c r="F862" s="62">
        <v>1</v>
      </c>
      <c r="H862" s="70">
        <v>189.52</v>
      </c>
      <c r="I862" s="60"/>
      <c r="J862" s="69">
        <v>0</v>
      </c>
      <c r="K862" s="68">
        <v>0</v>
      </c>
    </row>
    <row r="863" spans="3:11" x14ac:dyDescent="0.25">
      <c r="C863" t="s">
        <v>3512</v>
      </c>
      <c r="D863" t="s">
        <v>3511</v>
      </c>
      <c r="E863" t="s">
        <v>3510</v>
      </c>
      <c r="F863" s="62">
        <v>1</v>
      </c>
      <c r="H863" s="70">
        <v>178.66</v>
      </c>
      <c r="I863" s="60"/>
      <c r="J863" s="69">
        <v>0</v>
      </c>
      <c r="K863" s="68">
        <v>0</v>
      </c>
    </row>
    <row r="864" spans="3:11" x14ac:dyDescent="0.25">
      <c r="C864" t="s">
        <v>3509</v>
      </c>
      <c r="D864" t="s">
        <v>3508</v>
      </c>
      <c r="E864" t="s">
        <v>3507</v>
      </c>
      <c r="F864" s="62">
        <v>5</v>
      </c>
      <c r="H864" s="70">
        <v>65.33</v>
      </c>
      <c r="I864" s="60"/>
      <c r="J864" s="69">
        <v>0</v>
      </c>
      <c r="K864" s="68">
        <v>0</v>
      </c>
    </row>
    <row r="865" spans="1:11" x14ac:dyDescent="0.25">
      <c r="C865" t="s">
        <v>3506</v>
      </c>
      <c r="D865" t="s">
        <v>3505</v>
      </c>
      <c r="E865" t="s">
        <v>3504</v>
      </c>
      <c r="F865" s="62">
        <v>4</v>
      </c>
      <c r="H865" s="70">
        <v>239.7</v>
      </c>
      <c r="I865" s="60"/>
      <c r="J865" s="69">
        <v>0</v>
      </c>
      <c r="K865" s="68">
        <v>0</v>
      </c>
    </row>
    <row r="866" spans="1:11" x14ac:dyDescent="0.25">
      <c r="C866" t="s">
        <v>3503</v>
      </c>
      <c r="D866" t="s">
        <v>3502</v>
      </c>
      <c r="E866" t="s">
        <v>3501</v>
      </c>
      <c r="F866" s="62">
        <v>100</v>
      </c>
      <c r="H866" s="70">
        <v>2.52</v>
      </c>
      <c r="I866" s="60"/>
      <c r="J866" s="69">
        <v>0</v>
      </c>
      <c r="K866" s="68">
        <v>0</v>
      </c>
    </row>
    <row r="867" spans="1:11" x14ac:dyDescent="0.25">
      <c r="C867" t="s">
        <v>3500</v>
      </c>
      <c r="D867" t="s">
        <v>3499</v>
      </c>
      <c r="E867" t="s">
        <v>3498</v>
      </c>
      <c r="F867" s="62">
        <v>1</v>
      </c>
      <c r="H867" s="70">
        <v>88.2</v>
      </c>
      <c r="I867" s="60"/>
      <c r="J867" s="69">
        <v>0</v>
      </c>
      <c r="K867" s="68">
        <v>0</v>
      </c>
    </row>
    <row r="868" spans="1:11" x14ac:dyDescent="0.25">
      <c r="C868" t="s">
        <v>3497</v>
      </c>
      <c r="D868" t="s">
        <v>3496</v>
      </c>
      <c r="E868" t="s">
        <v>3495</v>
      </c>
      <c r="F868" s="62">
        <v>1</v>
      </c>
      <c r="H868" s="70">
        <v>811.44</v>
      </c>
      <c r="I868" s="60"/>
      <c r="J868" s="69">
        <v>0</v>
      </c>
      <c r="K868" s="68">
        <v>0</v>
      </c>
    </row>
    <row r="869" spans="1:11" x14ac:dyDescent="0.25">
      <c r="C869" t="s">
        <v>3494</v>
      </c>
      <c r="D869" t="s">
        <v>3493</v>
      </c>
      <c r="E869" t="s">
        <v>3492</v>
      </c>
      <c r="F869" s="62">
        <v>10</v>
      </c>
      <c r="H869" s="70">
        <v>188.97</v>
      </c>
      <c r="I869" s="60"/>
      <c r="J869" s="69">
        <v>0</v>
      </c>
      <c r="K869" s="68">
        <v>0</v>
      </c>
    </row>
    <row r="870" spans="1:11" x14ac:dyDescent="0.25">
      <c r="C870" t="s">
        <v>3491</v>
      </c>
      <c r="D870" t="s">
        <v>3490</v>
      </c>
      <c r="E870" t="s">
        <v>3489</v>
      </c>
      <c r="F870" s="62">
        <v>3</v>
      </c>
      <c r="H870" s="70">
        <v>793.25</v>
      </c>
      <c r="I870" s="60"/>
      <c r="J870" s="69">
        <v>0</v>
      </c>
      <c r="K870" s="68">
        <v>0</v>
      </c>
    </row>
    <row r="871" spans="1:11" x14ac:dyDescent="0.25">
      <c r="C871" t="s">
        <v>3488</v>
      </c>
      <c r="D871" t="s">
        <v>3487</v>
      </c>
      <c r="E871" t="s">
        <v>3486</v>
      </c>
      <c r="F871" s="62">
        <v>1</v>
      </c>
      <c r="H871" s="70">
        <v>4100</v>
      </c>
      <c r="I871" s="60"/>
      <c r="J871" s="69">
        <v>0</v>
      </c>
      <c r="K871" s="68">
        <v>0</v>
      </c>
    </row>
    <row r="872" spans="1:11" x14ac:dyDescent="0.25">
      <c r="C872" t="s">
        <v>3485</v>
      </c>
      <c r="D872" t="s">
        <v>3484</v>
      </c>
      <c r="E872" t="s">
        <v>3483</v>
      </c>
      <c r="F872" s="62">
        <v>2</v>
      </c>
      <c r="H872" s="70">
        <v>625.6</v>
      </c>
      <c r="I872" s="60"/>
      <c r="J872" s="69">
        <v>0</v>
      </c>
      <c r="K872" s="68">
        <v>0</v>
      </c>
    </row>
    <row r="873" spans="1:11" x14ac:dyDescent="0.25">
      <c r="C873" t="s">
        <v>3482</v>
      </c>
      <c r="D873" t="s">
        <v>3481</v>
      </c>
      <c r="E873" t="s">
        <v>3480</v>
      </c>
      <c r="F873" s="62">
        <v>2</v>
      </c>
      <c r="H873" s="70">
        <v>1970.64</v>
      </c>
      <c r="I873" s="60"/>
      <c r="J873" s="69">
        <v>1</v>
      </c>
      <c r="K873" s="68">
        <v>1970.64</v>
      </c>
    </row>
    <row r="874" spans="1:11" x14ac:dyDescent="0.25">
      <c r="C874" t="s">
        <v>3479</v>
      </c>
      <c r="D874" t="s">
        <v>3478</v>
      </c>
      <c r="E874" t="s">
        <v>3477</v>
      </c>
      <c r="F874" s="62">
        <v>3</v>
      </c>
      <c r="H874" s="70">
        <v>252.72</v>
      </c>
      <c r="I874" s="60"/>
      <c r="J874" s="69">
        <v>0</v>
      </c>
      <c r="K874" s="68">
        <v>0</v>
      </c>
    </row>
    <row r="875" spans="1:11" x14ac:dyDescent="0.25">
      <c r="A875">
        <v>760791</v>
      </c>
      <c r="B875" t="s">
        <v>3476</v>
      </c>
      <c r="C875" t="s">
        <v>3475</v>
      </c>
      <c r="D875" t="s">
        <v>3474</v>
      </c>
      <c r="E875" t="s">
        <v>3473</v>
      </c>
      <c r="F875" s="62">
        <v>10</v>
      </c>
      <c r="H875" s="70">
        <v>1881.5039999999999</v>
      </c>
      <c r="I875" s="60"/>
      <c r="J875" s="69">
        <v>1</v>
      </c>
      <c r="K875" s="68">
        <v>1881.5039999999999</v>
      </c>
    </row>
    <row r="876" spans="1:11" x14ac:dyDescent="0.25">
      <c r="A876">
        <v>762693</v>
      </c>
      <c r="B876" t="s">
        <v>3472</v>
      </c>
      <c r="C876" t="s">
        <v>3471</v>
      </c>
      <c r="D876" t="s">
        <v>3470</v>
      </c>
      <c r="E876" t="s">
        <v>3469</v>
      </c>
      <c r="F876" s="62">
        <v>3</v>
      </c>
      <c r="H876" s="70">
        <v>108.876667</v>
      </c>
      <c r="I876" s="60"/>
      <c r="J876" s="69">
        <v>2</v>
      </c>
      <c r="K876" s="68">
        <v>217.753334</v>
      </c>
    </row>
    <row r="877" spans="1:11" x14ac:dyDescent="0.25">
      <c r="C877" t="s">
        <v>3468</v>
      </c>
      <c r="D877" t="s">
        <v>3467</v>
      </c>
      <c r="E877" t="s">
        <v>3466</v>
      </c>
      <c r="F877" s="62">
        <v>3</v>
      </c>
      <c r="H877" s="70">
        <v>134.65</v>
      </c>
      <c r="I877" s="60"/>
      <c r="J877" s="69">
        <v>2</v>
      </c>
      <c r="K877" s="68">
        <v>269.3</v>
      </c>
    </row>
    <row r="878" spans="1:11" x14ac:dyDescent="0.25">
      <c r="C878" t="s">
        <v>3465</v>
      </c>
      <c r="D878" t="s">
        <v>3464</v>
      </c>
      <c r="E878" t="s">
        <v>3463</v>
      </c>
      <c r="F878" s="62">
        <v>3</v>
      </c>
      <c r="H878" s="70">
        <v>267.16000000000003</v>
      </c>
      <c r="I878" s="60"/>
      <c r="J878" s="69">
        <v>2</v>
      </c>
      <c r="K878" s="68">
        <v>534.32000000000005</v>
      </c>
    </row>
    <row r="879" spans="1:11" x14ac:dyDescent="0.25">
      <c r="C879" t="s">
        <v>3462</v>
      </c>
      <c r="D879" t="s">
        <v>3461</v>
      </c>
      <c r="E879" t="s">
        <v>3460</v>
      </c>
      <c r="F879" s="62">
        <v>100</v>
      </c>
      <c r="H879" s="70">
        <v>10.62</v>
      </c>
      <c r="I879" s="60"/>
      <c r="J879" s="69">
        <v>0</v>
      </c>
      <c r="K879" s="68">
        <v>0</v>
      </c>
    </row>
    <row r="880" spans="1:11" x14ac:dyDescent="0.25">
      <c r="C880" t="s">
        <v>3459</v>
      </c>
      <c r="D880" t="s">
        <v>3458</v>
      </c>
      <c r="E880" t="s">
        <v>3457</v>
      </c>
      <c r="F880" s="62">
        <v>3</v>
      </c>
      <c r="H880" s="70">
        <v>1785</v>
      </c>
      <c r="I880" s="60"/>
      <c r="J880" s="69">
        <v>1</v>
      </c>
      <c r="K880" s="68">
        <v>1785</v>
      </c>
    </row>
    <row r="881" spans="1:11" x14ac:dyDescent="0.25">
      <c r="C881" t="s">
        <v>3456</v>
      </c>
      <c r="D881" t="s">
        <v>3455</v>
      </c>
      <c r="E881" t="s">
        <v>3454</v>
      </c>
      <c r="F881" s="62">
        <v>100</v>
      </c>
      <c r="H881" s="70">
        <v>10.493499999999999</v>
      </c>
      <c r="I881" s="60"/>
      <c r="J881" s="69">
        <v>0</v>
      </c>
      <c r="K881" s="68">
        <v>0</v>
      </c>
    </row>
    <row r="882" spans="1:11" x14ac:dyDescent="0.25">
      <c r="C882" t="s">
        <v>3453</v>
      </c>
      <c r="D882" t="s">
        <v>3452</v>
      </c>
      <c r="E882" t="s">
        <v>3451</v>
      </c>
      <c r="F882" s="62">
        <v>2</v>
      </c>
      <c r="H882" s="70">
        <v>74.81</v>
      </c>
      <c r="I882" s="60"/>
      <c r="J882" s="69">
        <v>1</v>
      </c>
      <c r="K882" s="68">
        <v>74.81</v>
      </c>
    </row>
    <row r="883" spans="1:11" x14ac:dyDescent="0.25">
      <c r="C883" t="s">
        <v>3450</v>
      </c>
      <c r="D883" t="s">
        <v>3449</v>
      </c>
      <c r="E883" t="s">
        <v>3448</v>
      </c>
      <c r="F883" s="62">
        <v>6</v>
      </c>
      <c r="H883" s="70">
        <v>27.32</v>
      </c>
      <c r="I883" s="60"/>
      <c r="J883" s="69">
        <v>2</v>
      </c>
      <c r="K883" s="68">
        <v>54.64</v>
      </c>
    </row>
    <row r="884" spans="1:11" x14ac:dyDescent="0.25">
      <c r="C884" t="s">
        <v>3447</v>
      </c>
      <c r="D884" t="s">
        <v>3446</v>
      </c>
      <c r="E884" t="s">
        <v>3445</v>
      </c>
      <c r="F884" s="62">
        <v>2</v>
      </c>
      <c r="H884" s="70">
        <v>142.28</v>
      </c>
      <c r="I884" s="60"/>
      <c r="J884" s="69">
        <v>2</v>
      </c>
      <c r="K884" s="68">
        <v>284.56</v>
      </c>
    </row>
    <row r="885" spans="1:11" x14ac:dyDescent="0.25">
      <c r="C885" t="s">
        <v>3444</v>
      </c>
      <c r="D885" t="s">
        <v>3443</v>
      </c>
      <c r="E885" t="s">
        <v>3442</v>
      </c>
      <c r="F885" s="62">
        <v>2</v>
      </c>
      <c r="H885" s="70">
        <v>430.88</v>
      </c>
      <c r="I885" s="60"/>
      <c r="J885" s="69">
        <v>2</v>
      </c>
      <c r="K885" s="68">
        <v>861.76</v>
      </c>
    </row>
    <row r="886" spans="1:11" x14ac:dyDescent="0.25">
      <c r="C886" t="s">
        <v>3441</v>
      </c>
      <c r="D886" t="s">
        <v>3440</v>
      </c>
      <c r="E886" t="s">
        <v>3439</v>
      </c>
      <c r="F886" s="62">
        <v>2</v>
      </c>
      <c r="H886" s="70">
        <v>203.34</v>
      </c>
      <c r="I886" s="60"/>
      <c r="J886" s="69">
        <v>2</v>
      </c>
      <c r="K886" s="68">
        <v>406.68</v>
      </c>
    </row>
    <row r="887" spans="1:11" x14ac:dyDescent="0.25">
      <c r="C887" t="s">
        <v>3438</v>
      </c>
      <c r="D887" t="s">
        <v>3437</v>
      </c>
      <c r="E887" t="s">
        <v>3436</v>
      </c>
      <c r="F887" s="62">
        <v>2</v>
      </c>
      <c r="H887" s="70">
        <v>83.85</v>
      </c>
      <c r="I887" s="60"/>
      <c r="J887" s="69">
        <v>2</v>
      </c>
      <c r="K887" s="68">
        <v>167.7</v>
      </c>
    </row>
    <row r="888" spans="1:11" x14ac:dyDescent="0.25">
      <c r="C888" t="s">
        <v>3435</v>
      </c>
      <c r="D888" t="s">
        <v>3434</v>
      </c>
      <c r="E888" t="s">
        <v>3433</v>
      </c>
      <c r="F888" s="62">
        <v>4</v>
      </c>
      <c r="H888" s="70">
        <v>25.38</v>
      </c>
      <c r="I888" s="60"/>
      <c r="J888" s="69">
        <v>2</v>
      </c>
      <c r="K888" s="68">
        <v>50.76</v>
      </c>
    </row>
    <row r="889" spans="1:11" x14ac:dyDescent="0.25">
      <c r="C889" t="s">
        <v>3432</v>
      </c>
      <c r="D889" t="s">
        <v>3431</v>
      </c>
      <c r="E889" t="s">
        <v>3430</v>
      </c>
      <c r="F889" s="62">
        <v>100</v>
      </c>
      <c r="H889" s="70">
        <v>2.4108000000000001</v>
      </c>
      <c r="I889" s="60"/>
      <c r="J889" s="69">
        <v>0</v>
      </c>
      <c r="K889" s="68">
        <v>0</v>
      </c>
    </row>
    <row r="890" spans="1:11" x14ac:dyDescent="0.25">
      <c r="C890" t="s">
        <v>3429</v>
      </c>
      <c r="D890" t="s">
        <v>3428</v>
      </c>
      <c r="E890" t="s">
        <v>3427</v>
      </c>
      <c r="F890" s="62">
        <v>100</v>
      </c>
      <c r="H890" s="70">
        <v>6.8061999999999996</v>
      </c>
      <c r="I890" s="60"/>
      <c r="J890" s="69">
        <v>0</v>
      </c>
      <c r="K890" s="68">
        <v>0</v>
      </c>
    </row>
    <row r="891" spans="1:11" x14ac:dyDescent="0.25">
      <c r="C891" t="s">
        <v>3426</v>
      </c>
      <c r="D891" t="s">
        <v>3425</v>
      </c>
      <c r="E891" t="s">
        <v>3424</v>
      </c>
      <c r="F891" s="62">
        <v>200</v>
      </c>
      <c r="H891" s="70">
        <v>4.5375500000000004</v>
      </c>
      <c r="I891" s="60"/>
      <c r="J891" s="69">
        <v>0</v>
      </c>
      <c r="K891" s="68">
        <v>0</v>
      </c>
    </row>
    <row r="892" spans="1:11" x14ac:dyDescent="0.25">
      <c r="A892">
        <v>766310</v>
      </c>
      <c r="B892" t="s">
        <v>3423</v>
      </c>
      <c r="C892" t="s">
        <v>3422</v>
      </c>
      <c r="D892" t="s">
        <v>3421</v>
      </c>
      <c r="E892" t="s">
        <v>3420</v>
      </c>
      <c r="F892" s="62">
        <v>2</v>
      </c>
      <c r="H892" s="70">
        <v>1617.17</v>
      </c>
      <c r="I892" s="60"/>
      <c r="J892" s="69">
        <v>0</v>
      </c>
      <c r="K892" s="68">
        <v>0</v>
      </c>
    </row>
    <row r="893" spans="1:11" x14ac:dyDescent="0.25">
      <c r="C893" t="s">
        <v>3419</v>
      </c>
      <c r="D893" t="s">
        <v>3418</v>
      </c>
      <c r="E893" t="s">
        <v>3417</v>
      </c>
      <c r="F893" s="62">
        <v>1</v>
      </c>
      <c r="H893" s="70">
        <v>1343.1</v>
      </c>
      <c r="I893" s="60"/>
      <c r="J893" s="69">
        <v>0</v>
      </c>
      <c r="K893" s="68">
        <v>0</v>
      </c>
    </row>
    <row r="894" spans="1:11" x14ac:dyDescent="0.25">
      <c r="A894">
        <v>763936</v>
      </c>
      <c r="B894" t="s">
        <v>3416</v>
      </c>
      <c r="C894" t="s">
        <v>3415</v>
      </c>
      <c r="D894" t="s">
        <v>3414</v>
      </c>
      <c r="E894" t="s">
        <v>3413</v>
      </c>
      <c r="F894" s="62">
        <v>2</v>
      </c>
      <c r="H894" s="70">
        <v>188.435</v>
      </c>
      <c r="I894" s="60"/>
      <c r="J894" s="69">
        <v>1</v>
      </c>
      <c r="K894" s="68">
        <v>188.435</v>
      </c>
    </row>
    <row r="895" spans="1:11" x14ac:dyDescent="0.25">
      <c r="C895" t="s">
        <v>3412</v>
      </c>
      <c r="D895" t="s">
        <v>3411</v>
      </c>
      <c r="E895" t="s">
        <v>3410</v>
      </c>
      <c r="F895" s="62">
        <v>2</v>
      </c>
      <c r="H895" s="70">
        <v>837.5</v>
      </c>
      <c r="I895" s="60"/>
      <c r="J895" s="69">
        <v>1</v>
      </c>
      <c r="K895" s="68">
        <v>837.5</v>
      </c>
    </row>
    <row r="896" spans="1:11" x14ac:dyDescent="0.25">
      <c r="A896">
        <v>758306</v>
      </c>
      <c r="B896" t="s">
        <v>3409</v>
      </c>
      <c r="C896" t="s">
        <v>3408</v>
      </c>
      <c r="D896" t="s">
        <v>3407</v>
      </c>
      <c r="E896" t="s">
        <v>3406</v>
      </c>
      <c r="F896" s="62">
        <v>2</v>
      </c>
      <c r="H896" s="70">
        <v>685</v>
      </c>
      <c r="I896" s="60"/>
      <c r="J896" s="69">
        <v>2</v>
      </c>
      <c r="K896" s="68">
        <v>1370</v>
      </c>
    </row>
    <row r="897" spans="1:11" x14ac:dyDescent="0.25">
      <c r="C897" t="s">
        <v>3405</v>
      </c>
      <c r="D897" t="s">
        <v>3404</v>
      </c>
      <c r="E897" t="s">
        <v>3403</v>
      </c>
      <c r="F897" s="62">
        <v>1</v>
      </c>
      <c r="H897" s="70">
        <v>505.21</v>
      </c>
      <c r="I897" s="60"/>
      <c r="J897" s="69">
        <v>2</v>
      </c>
      <c r="K897" s="68">
        <v>1010.42</v>
      </c>
    </row>
    <row r="898" spans="1:11" x14ac:dyDescent="0.25">
      <c r="C898" t="s">
        <v>3402</v>
      </c>
      <c r="D898" t="s">
        <v>3401</v>
      </c>
      <c r="E898" t="s">
        <v>3400</v>
      </c>
      <c r="F898" s="62">
        <v>2</v>
      </c>
      <c r="H898" s="70">
        <v>247.42</v>
      </c>
      <c r="I898" s="60"/>
      <c r="J898" s="69">
        <v>2</v>
      </c>
      <c r="K898" s="68">
        <v>494.84</v>
      </c>
    </row>
    <row r="899" spans="1:11" x14ac:dyDescent="0.25">
      <c r="C899" t="s">
        <v>3399</v>
      </c>
      <c r="D899" t="s">
        <v>3398</v>
      </c>
      <c r="E899" t="s">
        <v>3397</v>
      </c>
      <c r="F899" s="62">
        <v>8</v>
      </c>
      <c r="H899" s="70">
        <v>6.8975</v>
      </c>
      <c r="I899" s="60"/>
      <c r="J899" s="69">
        <v>5</v>
      </c>
      <c r="K899" s="68">
        <v>34.487499999999997</v>
      </c>
    </row>
    <row r="900" spans="1:11" x14ac:dyDescent="0.25">
      <c r="C900" t="s">
        <v>3396</v>
      </c>
      <c r="D900" t="s">
        <v>3395</v>
      </c>
      <c r="E900" t="s">
        <v>3394</v>
      </c>
      <c r="F900" s="62">
        <v>3</v>
      </c>
      <c r="H900" s="70">
        <v>22.416667</v>
      </c>
      <c r="I900" s="60"/>
      <c r="J900" s="69">
        <v>5</v>
      </c>
      <c r="K900" s="68">
        <v>112.08333500000001</v>
      </c>
    </row>
    <row r="901" spans="1:11" x14ac:dyDescent="0.25">
      <c r="C901" t="s">
        <v>3393</v>
      </c>
      <c r="D901" t="s">
        <v>3392</v>
      </c>
      <c r="E901" t="s">
        <v>3391</v>
      </c>
      <c r="F901" s="62">
        <v>3</v>
      </c>
      <c r="H901" s="70">
        <v>17.243333</v>
      </c>
      <c r="I901" s="60"/>
      <c r="J901" s="69">
        <v>6</v>
      </c>
      <c r="K901" s="68">
        <v>103.459998</v>
      </c>
    </row>
    <row r="902" spans="1:11" x14ac:dyDescent="0.25">
      <c r="C902" t="s">
        <v>3390</v>
      </c>
      <c r="D902" t="s">
        <v>3389</v>
      </c>
      <c r="E902" t="s">
        <v>3388</v>
      </c>
      <c r="F902" s="62">
        <v>3</v>
      </c>
      <c r="H902" s="70">
        <v>13.793333000000001</v>
      </c>
      <c r="I902" s="60"/>
      <c r="J902" s="69">
        <v>4</v>
      </c>
      <c r="K902" s="68">
        <v>55.173332000000002</v>
      </c>
    </row>
    <row r="903" spans="1:11" x14ac:dyDescent="0.25">
      <c r="C903" t="s">
        <v>3387</v>
      </c>
      <c r="D903" t="s">
        <v>3386</v>
      </c>
      <c r="E903" t="s">
        <v>3385</v>
      </c>
      <c r="F903" s="62">
        <v>3</v>
      </c>
      <c r="H903" s="70">
        <v>36.21</v>
      </c>
      <c r="I903" s="60"/>
      <c r="J903" s="69">
        <v>5</v>
      </c>
      <c r="K903" s="68">
        <v>181.05</v>
      </c>
    </row>
    <row r="904" spans="1:11" x14ac:dyDescent="0.25">
      <c r="A904">
        <v>762608</v>
      </c>
      <c r="B904" t="s">
        <v>3384</v>
      </c>
      <c r="C904" t="s">
        <v>3383</v>
      </c>
      <c r="D904" t="s">
        <v>3382</v>
      </c>
      <c r="E904" t="s">
        <v>3381</v>
      </c>
      <c r="F904" s="62">
        <v>2</v>
      </c>
      <c r="H904" s="70">
        <v>1055</v>
      </c>
      <c r="I904" s="60"/>
      <c r="J904" s="69"/>
      <c r="K904" s="68">
        <v>0</v>
      </c>
    </row>
    <row r="905" spans="1:11" x14ac:dyDescent="0.25">
      <c r="A905">
        <v>760487</v>
      </c>
      <c r="B905" t="s">
        <v>3380</v>
      </c>
      <c r="C905" t="s">
        <v>3379</v>
      </c>
      <c r="D905" t="s">
        <v>3378</v>
      </c>
      <c r="E905" t="s">
        <v>3377</v>
      </c>
      <c r="F905" s="62">
        <v>2</v>
      </c>
      <c r="H905" s="70">
        <v>480</v>
      </c>
      <c r="I905" s="60"/>
      <c r="J905" s="69">
        <v>2</v>
      </c>
      <c r="K905" s="68">
        <v>960</v>
      </c>
    </row>
    <row r="906" spans="1:11" x14ac:dyDescent="0.25">
      <c r="C906" t="s">
        <v>3376</v>
      </c>
      <c r="D906" t="s">
        <v>3375</v>
      </c>
      <c r="E906" t="s">
        <v>3374</v>
      </c>
      <c r="F906" s="62">
        <v>2</v>
      </c>
      <c r="H906" s="70">
        <v>450</v>
      </c>
      <c r="I906" s="60"/>
      <c r="J906" s="69">
        <v>2</v>
      </c>
      <c r="K906" s="68">
        <v>900</v>
      </c>
    </row>
    <row r="907" spans="1:11" x14ac:dyDescent="0.25">
      <c r="A907">
        <v>763598</v>
      </c>
      <c r="B907" t="s">
        <v>3373</v>
      </c>
      <c r="C907" t="s">
        <v>3372</v>
      </c>
      <c r="D907" t="s">
        <v>3371</v>
      </c>
      <c r="E907" t="s">
        <v>3370</v>
      </c>
      <c r="F907" s="62">
        <v>2</v>
      </c>
      <c r="H907" s="70">
        <v>1352.175</v>
      </c>
      <c r="I907" s="60"/>
      <c r="J907" s="69">
        <v>2</v>
      </c>
      <c r="K907" s="68">
        <v>2704.35</v>
      </c>
    </row>
    <row r="908" spans="1:11" x14ac:dyDescent="0.25">
      <c r="A908">
        <v>756823</v>
      </c>
      <c r="B908" t="s">
        <v>3369</v>
      </c>
      <c r="C908" t="s">
        <v>3368</v>
      </c>
      <c r="D908" t="s">
        <v>3367</v>
      </c>
      <c r="E908" t="s">
        <v>3366</v>
      </c>
      <c r="F908" s="62">
        <v>2</v>
      </c>
      <c r="H908" s="70">
        <v>40000</v>
      </c>
      <c r="I908" s="60"/>
      <c r="J908" s="69">
        <v>0</v>
      </c>
      <c r="K908" s="68">
        <v>0</v>
      </c>
    </row>
    <row r="909" spans="1:11" x14ac:dyDescent="0.25">
      <c r="C909" t="s">
        <v>3365</v>
      </c>
      <c r="D909" t="s">
        <v>3364</v>
      </c>
      <c r="E909" t="s">
        <v>3363</v>
      </c>
      <c r="F909" s="62">
        <v>2</v>
      </c>
      <c r="H909" s="70">
        <v>30000</v>
      </c>
      <c r="I909" s="60"/>
      <c r="J909" s="69">
        <v>1</v>
      </c>
      <c r="K909" s="68">
        <v>30000</v>
      </c>
    </row>
    <row r="910" spans="1:11" x14ac:dyDescent="0.25">
      <c r="A910">
        <v>760855</v>
      </c>
      <c r="B910" t="s">
        <v>3362</v>
      </c>
      <c r="C910" t="s">
        <v>3361</v>
      </c>
      <c r="D910" t="s">
        <v>3360</v>
      </c>
      <c r="E910" t="s">
        <v>3359</v>
      </c>
      <c r="F910" s="62">
        <v>2</v>
      </c>
      <c r="H910" s="70">
        <v>657.88</v>
      </c>
      <c r="I910" s="60"/>
      <c r="J910" s="69">
        <v>2</v>
      </c>
      <c r="K910" s="68">
        <v>1315.76</v>
      </c>
    </row>
    <row r="911" spans="1:11" x14ac:dyDescent="0.25">
      <c r="C911" t="s">
        <v>3358</v>
      </c>
      <c r="D911" t="s">
        <v>3357</v>
      </c>
      <c r="E911" t="s">
        <v>3356</v>
      </c>
      <c r="F911" s="62">
        <v>2</v>
      </c>
      <c r="H911" s="70">
        <v>19.475000000000001</v>
      </c>
      <c r="I911" s="60"/>
      <c r="J911" s="69">
        <v>0</v>
      </c>
      <c r="K911" s="68">
        <v>0</v>
      </c>
    </row>
    <row r="912" spans="1:11" x14ac:dyDescent="0.25">
      <c r="C912" t="s">
        <v>3355</v>
      </c>
      <c r="D912" t="s">
        <v>3354</v>
      </c>
      <c r="E912" t="s">
        <v>3353</v>
      </c>
      <c r="F912" s="62">
        <v>1</v>
      </c>
      <c r="H912" s="70">
        <v>4.43</v>
      </c>
      <c r="I912" s="60"/>
      <c r="J912" s="69">
        <v>0</v>
      </c>
      <c r="K912" s="68">
        <v>0</v>
      </c>
    </row>
    <row r="913" spans="1:11" x14ac:dyDescent="0.25">
      <c r="A913">
        <v>745404</v>
      </c>
      <c r="B913" t="s">
        <v>3352</v>
      </c>
      <c r="C913" t="s">
        <v>3351</v>
      </c>
      <c r="D913" t="s">
        <v>3350</v>
      </c>
      <c r="E913" t="s">
        <v>3349</v>
      </c>
      <c r="F913" s="62">
        <v>15</v>
      </c>
      <c r="H913" s="70">
        <v>150.96333300000001</v>
      </c>
      <c r="I913" s="60"/>
      <c r="J913" s="69">
        <v>1</v>
      </c>
      <c r="K913" s="68">
        <v>150.96333300000001</v>
      </c>
    </row>
    <row r="914" spans="1:11" x14ac:dyDescent="0.25">
      <c r="C914" t="s">
        <v>3348</v>
      </c>
      <c r="D914" t="s">
        <v>3347</v>
      </c>
      <c r="E914" t="s">
        <v>3346</v>
      </c>
      <c r="F914" s="62">
        <v>8</v>
      </c>
      <c r="H914" s="70">
        <v>267.08625000000001</v>
      </c>
      <c r="I914" s="60"/>
      <c r="J914" s="69">
        <v>3</v>
      </c>
      <c r="K914" s="68">
        <v>801.25874999999996</v>
      </c>
    </row>
    <row r="915" spans="1:11" x14ac:dyDescent="0.25">
      <c r="C915" t="s">
        <v>3345</v>
      </c>
      <c r="D915" t="s">
        <v>3344</v>
      </c>
      <c r="E915" t="s">
        <v>3343</v>
      </c>
      <c r="F915" s="62">
        <v>15</v>
      </c>
      <c r="H915" s="70">
        <v>81.500667000000007</v>
      </c>
      <c r="I915" s="60"/>
      <c r="J915" s="69">
        <v>10</v>
      </c>
      <c r="K915" s="68">
        <v>815.0066700000001</v>
      </c>
    </row>
    <row r="916" spans="1:11" x14ac:dyDescent="0.25">
      <c r="C916" t="s">
        <v>3342</v>
      </c>
      <c r="D916" t="s">
        <v>3341</v>
      </c>
      <c r="E916" t="s">
        <v>3340</v>
      </c>
      <c r="F916" s="62">
        <v>15</v>
      </c>
      <c r="H916" s="70">
        <v>7.5279999999999996</v>
      </c>
      <c r="I916" s="60"/>
      <c r="J916" s="69">
        <v>8</v>
      </c>
      <c r="K916" s="68">
        <v>60.223999999999997</v>
      </c>
    </row>
    <row r="917" spans="1:11" x14ac:dyDescent="0.25">
      <c r="C917" t="s">
        <v>3339</v>
      </c>
      <c r="D917" t="s">
        <v>3338</v>
      </c>
      <c r="E917" t="s">
        <v>3337</v>
      </c>
      <c r="F917" s="62">
        <v>6</v>
      </c>
      <c r="H917" s="70">
        <v>215.22499999999999</v>
      </c>
      <c r="I917" s="60"/>
      <c r="J917" s="69">
        <v>5</v>
      </c>
      <c r="K917" s="68">
        <v>1076.125</v>
      </c>
    </row>
    <row r="918" spans="1:11" x14ac:dyDescent="0.25">
      <c r="C918" t="s">
        <v>3336</v>
      </c>
      <c r="D918" t="s">
        <v>3335</v>
      </c>
      <c r="E918" t="s">
        <v>3334</v>
      </c>
      <c r="F918" s="62">
        <v>3</v>
      </c>
      <c r="H918" s="70">
        <v>662.59</v>
      </c>
      <c r="I918" s="60"/>
      <c r="J918" s="69">
        <v>2</v>
      </c>
      <c r="K918" s="68">
        <v>1325.18</v>
      </c>
    </row>
    <row r="919" spans="1:11" x14ac:dyDescent="0.25">
      <c r="A919">
        <v>767349</v>
      </c>
      <c r="B919" t="s">
        <v>3333</v>
      </c>
      <c r="C919" t="s">
        <v>3332</v>
      </c>
      <c r="D919" t="s">
        <v>3331</v>
      </c>
      <c r="E919" t="s">
        <v>3330</v>
      </c>
      <c r="F919" s="62">
        <v>5</v>
      </c>
      <c r="H919" s="70">
        <v>18</v>
      </c>
      <c r="I919" s="60"/>
      <c r="J919" s="69">
        <v>0</v>
      </c>
      <c r="K919" s="68">
        <v>0</v>
      </c>
    </row>
    <row r="920" spans="1:11" x14ac:dyDescent="0.25">
      <c r="C920" t="s">
        <v>3329</v>
      </c>
      <c r="D920" t="s">
        <v>3328</v>
      </c>
      <c r="E920" t="s">
        <v>3327</v>
      </c>
      <c r="F920" s="62">
        <v>5</v>
      </c>
      <c r="H920" s="70">
        <v>18</v>
      </c>
      <c r="I920" s="60"/>
      <c r="J920" s="69">
        <v>0</v>
      </c>
      <c r="K920" s="68">
        <v>0</v>
      </c>
    </row>
    <row r="921" spans="1:11" x14ac:dyDescent="0.25">
      <c r="A921">
        <v>760368</v>
      </c>
      <c r="B921" t="s">
        <v>3326</v>
      </c>
      <c r="C921" t="s">
        <v>3325</v>
      </c>
      <c r="D921" t="s">
        <v>3324</v>
      </c>
      <c r="E921" t="s">
        <v>3323</v>
      </c>
      <c r="F921" s="62">
        <v>6</v>
      </c>
      <c r="H921" s="70">
        <v>104.75</v>
      </c>
      <c r="I921" s="60"/>
      <c r="J921" s="69">
        <v>5</v>
      </c>
      <c r="K921" s="68">
        <v>523.75</v>
      </c>
    </row>
    <row r="922" spans="1:11" x14ac:dyDescent="0.25">
      <c r="A922">
        <v>766307</v>
      </c>
      <c r="B922" t="s">
        <v>3322</v>
      </c>
      <c r="C922" t="s">
        <v>3321</v>
      </c>
      <c r="D922" t="s">
        <v>3320</v>
      </c>
      <c r="E922" t="s">
        <v>3319</v>
      </c>
      <c r="F922" s="62">
        <v>2</v>
      </c>
      <c r="H922" s="70">
        <v>377.21</v>
      </c>
      <c r="I922" s="60"/>
      <c r="J922" s="69">
        <v>4</v>
      </c>
      <c r="K922" s="68">
        <v>1508.84</v>
      </c>
    </row>
    <row r="923" spans="1:11" x14ac:dyDescent="0.25">
      <c r="C923" t="s">
        <v>3318</v>
      </c>
      <c r="D923" t="s">
        <v>3317</v>
      </c>
      <c r="E923" t="s">
        <v>3316</v>
      </c>
      <c r="F923" s="62">
        <v>2</v>
      </c>
      <c r="H923" s="70">
        <v>381.91500000000002</v>
      </c>
      <c r="I923" s="60"/>
      <c r="J923" s="69">
        <v>5</v>
      </c>
      <c r="K923" s="68">
        <v>1909.575</v>
      </c>
    </row>
    <row r="924" spans="1:11" x14ac:dyDescent="0.25">
      <c r="C924" t="s">
        <v>3315</v>
      </c>
      <c r="D924" t="s">
        <v>3314</v>
      </c>
      <c r="E924" t="s">
        <v>3313</v>
      </c>
      <c r="F924" s="62">
        <v>4</v>
      </c>
      <c r="H924" s="70">
        <v>835.16</v>
      </c>
      <c r="I924" s="60"/>
      <c r="J924" s="69">
        <v>1</v>
      </c>
      <c r="K924" s="68">
        <v>835.16</v>
      </c>
    </row>
    <row r="925" spans="1:11" x14ac:dyDescent="0.25">
      <c r="C925" t="s">
        <v>3312</v>
      </c>
      <c r="D925" t="s">
        <v>3311</v>
      </c>
      <c r="E925" t="s">
        <v>3310</v>
      </c>
      <c r="F925" s="62">
        <v>2</v>
      </c>
      <c r="H925" s="70">
        <v>3920.7150000000001</v>
      </c>
      <c r="I925" s="60"/>
      <c r="J925" s="69">
        <v>1</v>
      </c>
      <c r="K925" s="68">
        <v>3920.7150000000001</v>
      </c>
    </row>
    <row r="926" spans="1:11" x14ac:dyDescent="0.25">
      <c r="C926" t="s">
        <v>3309</v>
      </c>
      <c r="D926" t="s">
        <v>3308</v>
      </c>
      <c r="E926" t="s">
        <v>3307</v>
      </c>
      <c r="F926" s="62">
        <v>1</v>
      </c>
      <c r="H926" s="70">
        <v>990.17</v>
      </c>
      <c r="I926" s="60"/>
      <c r="J926" s="69">
        <v>0</v>
      </c>
      <c r="K926" s="68">
        <v>0</v>
      </c>
    </row>
    <row r="927" spans="1:11" x14ac:dyDescent="0.25">
      <c r="C927" t="s">
        <v>3306</v>
      </c>
      <c r="D927" t="s">
        <v>3305</v>
      </c>
      <c r="E927" t="s">
        <v>3304</v>
      </c>
      <c r="F927" s="62">
        <v>2</v>
      </c>
      <c r="H927" s="70">
        <v>4547.3050000000003</v>
      </c>
      <c r="I927" s="60"/>
      <c r="J927" s="69">
        <v>2</v>
      </c>
      <c r="K927" s="68">
        <v>9094.61</v>
      </c>
    </row>
    <row r="928" spans="1:11" x14ac:dyDescent="0.25">
      <c r="C928" t="s">
        <v>3303</v>
      </c>
      <c r="D928" t="s">
        <v>3302</v>
      </c>
      <c r="E928" t="s">
        <v>3301</v>
      </c>
      <c r="F928" s="62">
        <v>2</v>
      </c>
      <c r="H928" s="70">
        <v>1031.115</v>
      </c>
      <c r="I928" s="60"/>
      <c r="J928" s="69">
        <v>2</v>
      </c>
      <c r="K928" s="68">
        <v>2062.23</v>
      </c>
    </row>
    <row r="929" spans="1:11" x14ac:dyDescent="0.25">
      <c r="C929" t="s">
        <v>3300</v>
      </c>
      <c r="D929" t="s">
        <v>3299</v>
      </c>
      <c r="E929" t="s">
        <v>3298</v>
      </c>
      <c r="F929" s="62">
        <v>4</v>
      </c>
      <c r="H929" s="70">
        <v>2273.6525000000001</v>
      </c>
      <c r="I929" s="60"/>
      <c r="J929" s="69">
        <v>2</v>
      </c>
      <c r="K929" s="68">
        <v>4547.3050000000003</v>
      </c>
    </row>
    <row r="930" spans="1:11" x14ac:dyDescent="0.25">
      <c r="C930" t="s">
        <v>3297</v>
      </c>
      <c r="D930" t="s">
        <v>3296</v>
      </c>
      <c r="E930" t="s">
        <v>3295</v>
      </c>
      <c r="F930" s="62">
        <v>2</v>
      </c>
      <c r="H930" s="70">
        <v>280.74</v>
      </c>
      <c r="I930" s="60"/>
      <c r="J930" s="69">
        <v>0</v>
      </c>
      <c r="K930" s="68">
        <v>0</v>
      </c>
    </row>
    <row r="931" spans="1:11" x14ac:dyDescent="0.25">
      <c r="C931" t="s">
        <v>3294</v>
      </c>
      <c r="D931" t="s">
        <v>3293</v>
      </c>
      <c r="E931" t="s">
        <v>3292</v>
      </c>
      <c r="F931" s="62">
        <v>10</v>
      </c>
      <c r="H931" s="70">
        <v>14.394</v>
      </c>
      <c r="I931" s="60"/>
      <c r="J931" s="69">
        <v>0</v>
      </c>
      <c r="K931" s="68">
        <v>0</v>
      </c>
    </row>
    <row r="932" spans="1:11" x14ac:dyDescent="0.25">
      <c r="C932" t="s">
        <v>3291</v>
      </c>
      <c r="D932" t="s">
        <v>3290</v>
      </c>
      <c r="E932" t="s">
        <v>3289</v>
      </c>
      <c r="F932" s="62">
        <v>1</v>
      </c>
      <c r="H932" s="70">
        <v>6305.48</v>
      </c>
      <c r="I932" s="60"/>
      <c r="J932" s="69">
        <v>0</v>
      </c>
      <c r="K932" s="68">
        <v>0</v>
      </c>
    </row>
    <row r="933" spans="1:11" x14ac:dyDescent="0.25">
      <c r="C933" t="s">
        <v>3288</v>
      </c>
      <c r="D933" t="s">
        <v>3287</v>
      </c>
      <c r="E933" t="s">
        <v>3286</v>
      </c>
      <c r="F933" s="62">
        <v>1</v>
      </c>
      <c r="H933" s="70">
        <v>174.71</v>
      </c>
      <c r="I933" s="60"/>
      <c r="J933" s="69">
        <v>0</v>
      </c>
      <c r="K933" s="68">
        <v>0</v>
      </c>
    </row>
    <row r="934" spans="1:11" x14ac:dyDescent="0.25">
      <c r="C934" t="s">
        <v>3285</v>
      </c>
      <c r="D934" t="s">
        <v>3284</v>
      </c>
      <c r="E934" t="s">
        <v>3283</v>
      </c>
      <c r="F934" s="62">
        <v>1</v>
      </c>
      <c r="H934" s="70">
        <v>249.76</v>
      </c>
      <c r="I934" s="60"/>
      <c r="J934" s="69">
        <v>0</v>
      </c>
      <c r="K934" s="68">
        <v>0</v>
      </c>
    </row>
    <row r="935" spans="1:11" x14ac:dyDescent="0.25">
      <c r="C935" t="s">
        <v>3282</v>
      </c>
      <c r="D935" t="s">
        <v>3281</v>
      </c>
      <c r="E935" t="s">
        <v>3280</v>
      </c>
      <c r="F935" s="62">
        <v>1</v>
      </c>
      <c r="H935" s="70">
        <v>543.29</v>
      </c>
      <c r="I935" s="60"/>
      <c r="J935" s="69">
        <v>0</v>
      </c>
      <c r="K935" s="68">
        <v>0</v>
      </c>
    </row>
    <row r="936" spans="1:11" x14ac:dyDescent="0.25">
      <c r="C936" t="s">
        <v>3279</v>
      </c>
      <c r="D936" t="s">
        <v>3278</v>
      </c>
      <c r="E936" t="s">
        <v>3277</v>
      </c>
      <c r="F936" s="62">
        <v>3</v>
      </c>
      <c r="H936" s="70">
        <v>238.85333299999999</v>
      </c>
      <c r="I936" s="60"/>
      <c r="J936" s="69">
        <v>2</v>
      </c>
      <c r="K936" s="68">
        <v>477.70666599999998</v>
      </c>
    </row>
    <row r="937" spans="1:11" x14ac:dyDescent="0.25">
      <c r="C937" t="s">
        <v>3276</v>
      </c>
      <c r="D937" t="s">
        <v>3275</v>
      </c>
      <c r="E937" t="s">
        <v>3274</v>
      </c>
      <c r="F937" s="62">
        <v>60</v>
      </c>
      <c r="H937" s="70">
        <v>65.030500000000004</v>
      </c>
      <c r="I937" s="60"/>
      <c r="J937" s="69">
        <v>60</v>
      </c>
      <c r="K937" s="68">
        <v>3901.8300000000004</v>
      </c>
    </row>
    <row r="938" spans="1:11" x14ac:dyDescent="0.25">
      <c r="C938" t="s">
        <v>3273</v>
      </c>
      <c r="D938" t="s">
        <v>3272</v>
      </c>
      <c r="E938" t="s">
        <v>3271</v>
      </c>
      <c r="F938" s="62">
        <v>1</v>
      </c>
      <c r="H938" s="70">
        <v>2148.3000000000002</v>
      </c>
      <c r="I938" s="60"/>
      <c r="J938" s="69">
        <v>0</v>
      </c>
      <c r="K938" s="68">
        <v>0</v>
      </c>
    </row>
    <row r="939" spans="1:11" x14ac:dyDescent="0.25">
      <c r="C939" t="s">
        <v>3270</v>
      </c>
      <c r="D939" t="s">
        <v>3269</v>
      </c>
      <c r="E939" t="s">
        <v>3268</v>
      </c>
      <c r="F939" s="62">
        <v>2</v>
      </c>
      <c r="H939" s="70">
        <v>1586.31</v>
      </c>
      <c r="I939" s="60"/>
      <c r="J939" s="69">
        <v>0</v>
      </c>
      <c r="K939" s="68">
        <v>0</v>
      </c>
    </row>
    <row r="940" spans="1:11" x14ac:dyDescent="0.25">
      <c r="A940">
        <v>702782</v>
      </c>
      <c r="B940" t="s">
        <v>3267</v>
      </c>
      <c r="C940" t="s">
        <v>3266</v>
      </c>
      <c r="D940" t="s">
        <v>3265</v>
      </c>
      <c r="E940" t="s">
        <v>3264</v>
      </c>
      <c r="F940" s="62">
        <v>20</v>
      </c>
      <c r="H940" s="70">
        <v>217.66666699999999</v>
      </c>
      <c r="I940" s="60"/>
      <c r="J940" s="69">
        <v>12</v>
      </c>
      <c r="K940" s="68">
        <v>2612.000004</v>
      </c>
    </row>
    <row r="941" spans="1:11" x14ac:dyDescent="0.25">
      <c r="A941">
        <v>702710</v>
      </c>
      <c r="B941" t="s">
        <v>3263</v>
      </c>
      <c r="C941" t="s">
        <v>3262</v>
      </c>
      <c r="D941" t="s">
        <v>3261</v>
      </c>
      <c r="E941" t="s">
        <v>3260</v>
      </c>
      <c r="F941" s="62">
        <v>1</v>
      </c>
      <c r="H941" s="70">
        <v>611.13</v>
      </c>
      <c r="I941" s="60"/>
      <c r="J941" s="69">
        <v>0</v>
      </c>
      <c r="K941" s="68">
        <v>0</v>
      </c>
    </row>
    <row r="942" spans="1:11" x14ac:dyDescent="0.25">
      <c r="C942" t="s">
        <v>3259</v>
      </c>
      <c r="D942" t="s">
        <v>3258</v>
      </c>
      <c r="E942" t="s">
        <v>3257</v>
      </c>
      <c r="F942" s="62">
        <v>1</v>
      </c>
      <c r="H942" s="70">
        <v>376.61</v>
      </c>
      <c r="I942" s="60"/>
      <c r="J942" s="69"/>
      <c r="K942" s="68">
        <v>0</v>
      </c>
    </row>
    <row r="943" spans="1:11" x14ac:dyDescent="0.25">
      <c r="C943" t="s">
        <v>3256</v>
      </c>
      <c r="D943" t="s">
        <v>3255</v>
      </c>
      <c r="E943" t="s">
        <v>3254</v>
      </c>
      <c r="F943" s="62">
        <v>1</v>
      </c>
      <c r="H943" s="70">
        <v>223.73</v>
      </c>
      <c r="I943" s="60"/>
      <c r="J943" s="69">
        <v>0</v>
      </c>
      <c r="K943" s="68">
        <v>0</v>
      </c>
    </row>
    <row r="944" spans="1:11" x14ac:dyDescent="0.25">
      <c r="C944" t="s">
        <v>3253</v>
      </c>
      <c r="D944" t="s">
        <v>3252</v>
      </c>
      <c r="E944" t="s">
        <v>3251</v>
      </c>
      <c r="F944" s="62">
        <v>1</v>
      </c>
      <c r="H944" s="70">
        <v>580.72</v>
      </c>
      <c r="I944" s="60"/>
      <c r="J944" s="69"/>
      <c r="K944" s="68">
        <v>0</v>
      </c>
    </row>
    <row r="945" spans="1:11" x14ac:dyDescent="0.25">
      <c r="C945" t="s">
        <v>3250</v>
      </c>
      <c r="D945" t="s">
        <v>3249</v>
      </c>
      <c r="E945" t="s">
        <v>3248</v>
      </c>
      <c r="F945" s="62">
        <v>1</v>
      </c>
      <c r="H945" s="70">
        <v>155.97</v>
      </c>
      <c r="I945" s="60"/>
      <c r="J945" s="69">
        <v>0</v>
      </c>
      <c r="K945" s="68">
        <v>0</v>
      </c>
    </row>
    <row r="946" spans="1:11" x14ac:dyDescent="0.25">
      <c r="C946" t="s">
        <v>3247</v>
      </c>
      <c r="D946" t="s">
        <v>3246</v>
      </c>
      <c r="E946" t="s">
        <v>3245</v>
      </c>
      <c r="F946" s="62">
        <v>1</v>
      </c>
      <c r="H946" s="70">
        <v>2008.55</v>
      </c>
      <c r="I946" s="60"/>
      <c r="J946" s="69">
        <v>0</v>
      </c>
      <c r="K946" s="68">
        <v>0</v>
      </c>
    </row>
    <row r="947" spans="1:11" x14ac:dyDescent="0.25">
      <c r="C947" t="s">
        <v>3244</v>
      </c>
      <c r="D947" t="s">
        <v>3243</v>
      </c>
      <c r="E947" t="s">
        <v>3242</v>
      </c>
      <c r="F947" s="62">
        <v>3</v>
      </c>
      <c r="H947" s="70">
        <v>2899.39</v>
      </c>
      <c r="I947" s="60"/>
      <c r="J947" s="69">
        <v>0</v>
      </c>
      <c r="K947" s="68">
        <v>0</v>
      </c>
    </row>
    <row r="948" spans="1:11" x14ac:dyDescent="0.25">
      <c r="A948">
        <v>763083</v>
      </c>
      <c r="B948" t="s">
        <v>3241</v>
      </c>
      <c r="C948" t="s">
        <v>3240</v>
      </c>
      <c r="D948" t="s">
        <v>3239</v>
      </c>
      <c r="E948" t="s">
        <v>3238</v>
      </c>
      <c r="F948" s="62">
        <v>4</v>
      </c>
      <c r="H948" s="70">
        <v>82</v>
      </c>
      <c r="I948" s="60"/>
      <c r="J948" s="69">
        <v>3</v>
      </c>
      <c r="K948" s="68">
        <v>246</v>
      </c>
    </row>
    <row r="949" spans="1:11" x14ac:dyDescent="0.25">
      <c r="A949">
        <v>50017</v>
      </c>
      <c r="B949" t="s">
        <v>3237</v>
      </c>
      <c r="C949" t="s">
        <v>3236</v>
      </c>
      <c r="D949" t="s">
        <v>3235</v>
      </c>
      <c r="E949" t="s">
        <v>3234</v>
      </c>
      <c r="F949" s="62">
        <v>12</v>
      </c>
      <c r="H949" s="70">
        <v>16179.165000000001</v>
      </c>
      <c r="I949" s="60"/>
      <c r="J949" s="69">
        <v>1</v>
      </c>
      <c r="K949" s="68">
        <v>16179.165000000001</v>
      </c>
    </row>
    <row r="950" spans="1:11" x14ac:dyDescent="0.25">
      <c r="A950">
        <v>763876</v>
      </c>
      <c r="B950" t="s">
        <v>3233</v>
      </c>
      <c r="C950" t="s">
        <v>3232</v>
      </c>
      <c r="D950" t="s">
        <v>3231</v>
      </c>
      <c r="E950" t="s">
        <v>3230</v>
      </c>
      <c r="F950" s="62">
        <v>1</v>
      </c>
      <c r="H950" s="70">
        <v>1080</v>
      </c>
      <c r="I950" s="60"/>
      <c r="J950" s="69">
        <v>1</v>
      </c>
      <c r="K950" s="68">
        <v>1080</v>
      </c>
    </row>
    <row r="951" spans="1:11" x14ac:dyDescent="0.25">
      <c r="A951">
        <v>762557</v>
      </c>
      <c r="B951" t="s">
        <v>3229</v>
      </c>
      <c r="C951" t="s">
        <v>3228</v>
      </c>
      <c r="D951" t="s">
        <v>3227</v>
      </c>
      <c r="E951" t="s">
        <v>3226</v>
      </c>
      <c r="F951" s="62">
        <v>1</v>
      </c>
      <c r="H951" s="70">
        <v>153.24</v>
      </c>
      <c r="I951" s="60"/>
      <c r="J951" s="69">
        <v>0</v>
      </c>
      <c r="K951" s="68">
        <v>0</v>
      </c>
    </row>
    <row r="952" spans="1:11" x14ac:dyDescent="0.25">
      <c r="A952">
        <v>766121</v>
      </c>
      <c r="B952" t="s">
        <v>3225</v>
      </c>
      <c r="C952" t="s">
        <v>3224</v>
      </c>
      <c r="D952" t="s">
        <v>3223</v>
      </c>
      <c r="E952" t="s">
        <v>3222</v>
      </c>
      <c r="F952" s="62">
        <v>2</v>
      </c>
      <c r="H952" s="70">
        <v>310</v>
      </c>
      <c r="I952" s="60"/>
      <c r="J952" s="69">
        <v>0</v>
      </c>
      <c r="K952" s="68">
        <v>0</v>
      </c>
    </row>
    <row r="953" spans="1:11" x14ac:dyDescent="0.25">
      <c r="A953">
        <v>758423</v>
      </c>
      <c r="B953" t="s">
        <v>3221</v>
      </c>
      <c r="C953" t="s">
        <v>3220</v>
      </c>
      <c r="D953" t="s">
        <v>3219</v>
      </c>
      <c r="E953" t="s">
        <v>3218</v>
      </c>
      <c r="F953" s="62">
        <v>12</v>
      </c>
      <c r="H953" s="70">
        <v>84.57</v>
      </c>
      <c r="I953" s="60"/>
      <c r="J953" s="69">
        <v>10</v>
      </c>
      <c r="K953" s="68">
        <v>845.69999999999993</v>
      </c>
    </row>
    <row r="954" spans="1:11" x14ac:dyDescent="0.25">
      <c r="C954" t="s">
        <v>3217</v>
      </c>
      <c r="D954" t="s">
        <v>3216</v>
      </c>
      <c r="E954" t="s">
        <v>3215</v>
      </c>
      <c r="F954" s="62">
        <v>4</v>
      </c>
      <c r="H954" s="70">
        <v>232.6925</v>
      </c>
      <c r="I954" s="60"/>
      <c r="J954" s="69">
        <v>4</v>
      </c>
      <c r="K954" s="68">
        <v>930.77</v>
      </c>
    </row>
    <row r="955" spans="1:11" x14ac:dyDescent="0.25">
      <c r="C955" t="s">
        <v>3214</v>
      </c>
      <c r="D955" t="s">
        <v>3213</v>
      </c>
      <c r="E955" t="s">
        <v>3212</v>
      </c>
      <c r="F955" s="62">
        <v>7</v>
      </c>
      <c r="H955" s="70">
        <v>18.23</v>
      </c>
      <c r="I955" s="60"/>
      <c r="J955" s="69">
        <v>4</v>
      </c>
      <c r="K955" s="68">
        <v>72.92</v>
      </c>
    </row>
    <row r="956" spans="1:11" x14ac:dyDescent="0.25">
      <c r="C956" t="s">
        <v>3211</v>
      </c>
      <c r="D956" t="s">
        <v>3210</v>
      </c>
      <c r="E956" t="s">
        <v>3209</v>
      </c>
      <c r="F956" s="62">
        <v>4</v>
      </c>
      <c r="H956" s="70">
        <v>91.97</v>
      </c>
      <c r="I956" s="60"/>
      <c r="J956" s="69">
        <v>4</v>
      </c>
      <c r="K956" s="68">
        <v>367.88</v>
      </c>
    </row>
    <row r="957" spans="1:11" x14ac:dyDescent="0.25">
      <c r="A957">
        <v>765741</v>
      </c>
      <c r="B957" t="s">
        <v>3208</v>
      </c>
      <c r="C957" t="s">
        <v>3207</v>
      </c>
      <c r="D957" t="s">
        <v>3206</v>
      </c>
      <c r="E957" t="s">
        <v>3205</v>
      </c>
      <c r="F957" s="62">
        <v>3</v>
      </c>
      <c r="H957" s="70">
        <v>1260</v>
      </c>
      <c r="I957" s="60"/>
      <c r="J957" s="69">
        <v>2</v>
      </c>
      <c r="K957" s="68">
        <v>2520</v>
      </c>
    </row>
    <row r="958" spans="1:11" x14ac:dyDescent="0.25">
      <c r="C958" t="s">
        <v>3204</v>
      </c>
      <c r="D958" t="s">
        <v>3203</v>
      </c>
      <c r="E958" t="s">
        <v>3202</v>
      </c>
      <c r="F958" s="62">
        <v>2</v>
      </c>
      <c r="H958" s="70">
        <v>480</v>
      </c>
      <c r="I958" s="60"/>
      <c r="J958" s="69">
        <v>2</v>
      </c>
      <c r="K958" s="68">
        <v>960</v>
      </c>
    </row>
    <row r="959" spans="1:11" x14ac:dyDescent="0.25">
      <c r="A959">
        <v>763840</v>
      </c>
      <c r="B959" t="s">
        <v>3201</v>
      </c>
      <c r="C959" t="s">
        <v>3200</v>
      </c>
      <c r="D959" t="s">
        <v>3199</v>
      </c>
      <c r="E959" t="s">
        <v>3198</v>
      </c>
      <c r="F959" s="62">
        <v>1</v>
      </c>
      <c r="H959" s="70">
        <v>144</v>
      </c>
      <c r="I959" s="60"/>
      <c r="J959" s="69">
        <v>0</v>
      </c>
      <c r="K959" s="68">
        <v>0</v>
      </c>
    </row>
    <row r="960" spans="1:11" x14ac:dyDescent="0.25">
      <c r="C960" t="s">
        <v>3197</v>
      </c>
      <c r="D960" t="s">
        <v>3196</v>
      </c>
      <c r="E960" t="s">
        <v>3195</v>
      </c>
      <c r="F960" s="62">
        <v>3</v>
      </c>
      <c r="H960" s="70">
        <v>166.13</v>
      </c>
      <c r="I960" s="60"/>
      <c r="J960" s="69">
        <v>0</v>
      </c>
      <c r="K960" s="68">
        <v>0</v>
      </c>
    </row>
    <row r="961" spans="1:11" x14ac:dyDescent="0.25">
      <c r="A961">
        <v>761305</v>
      </c>
      <c r="B961" t="s">
        <v>3194</v>
      </c>
      <c r="C961" t="s">
        <v>3193</v>
      </c>
      <c r="D961" t="s">
        <v>3192</v>
      </c>
      <c r="E961" t="s">
        <v>3191</v>
      </c>
      <c r="F961" s="62">
        <v>30</v>
      </c>
      <c r="H961" s="70">
        <v>17.569333</v>
      </c>
      <c r="I961" s="60"/>
      <c r="J961" s="69">
        <v>0</v>
      </c>
      <c r="K961" s="68">
        <v>0</v>
      </c>
    </row>
    <row r="962" spans="1:11" x14ac:dyDescent="0.25">
      <c r="A962">
        <v>768385</v>
      </c>
      <c r="B962" t="s">
        <v>3190</v>
      </c>
      <c r="C962" t="s">
        <v>3189</v>
      </c>
      <c r="D962" t="s">
        <v>3188</v>
      </c>
      <c r="E962" t="s">
        <v>3187</v>
      </c>
      <c r="F962" s="62">
        <v>6</v>
      </c>
      <c r="H962" s="70">
        <v>236.31</v>
      </c>
      <c r="I962" s="60"/>
      <c r="J962" s="69">
        <v>0</v>
      </c>
      <c r="K962" s="68">
        <v>0</v>
      </c>
    </row>
    <row r="963" spans="1:11" x14ac:dyDescent="0.25">
      <c r="A963" s="58">
        <v>768285</v>
      </c>
      <c r="B963" s="58" t="s">
        <v>3186</v>
      </c>
      <c r="C963" s="58" t="s">
        <v>3185</v>
      </c>
      <c r="D963" s="58" t="s">
        <v>3184</v>
      </c>
      <c r="E963" s="58" t="s">
        <v>3183</v>
      </c>
      <c r="F963" s="67">
        <v>5</v>
      </c>
      <c r="G963" s="58"/>
      <c r="H963" s="66">
        <v>9133.99</v>
      </c>
      <c r="I963" s="65"/>
      <c r="J963" s="64">
        <v>5</v>
      </c>
      <c r="K963" s="63">
        <v>45669.95</v>
      </c>
    </row>
    <row r="964" spans="1:11" x14ac:dyDescent="0.25">
      <c r="C964" t="s">
        <v>3182</v>
      </c>
      <c r="D964" t="s">
        <v>3181</v>
      </c>
      <c r="E964" t="s">
        <v>3180</v>
      </c>
      <c r="F964" s="62">
        <v>2</v>
      </c>
      <c r="H964" s="70">
        <v>2305.0500000000002</v>
      </c>
      <c r="I964" s="60"/>
      <c r="J964" s="69">
        <v>2</v>
      </c>
      <c r="K964" s="68">
        <v>4610.1000000000004</v>
      </c>
    </row>
    <row r="965" spans="1:11" x14ac:dyDescent="0.25">
      <c r="A965">
        <v>765963</v>
      </c>
      <c r="B965" t="s">
        <v>3179</v>
      </c>
      <c r="C965" t="s">
        <v>3178</v>
      </c>
      <c r="D965" t="s">
        <v>3177</v>
      </c>
      <c r="E965" t="s">
        <v>3176</v>
      </c>
      <c r="F965" s="62">
        <v>1</v>
      </c>
      <c r="H965" s="70">
        <v>22.25</v>
      </c>
      <c r="I965" s="60"/>
      <c r="J965" s="69">
        <v>0</v>
      </c>
      <c r="K965" s="68">
        <v>0</v>
      </c>
    </row>
    <row r="966" spans="1:11" x14ac:dyDescent="0.25">
      <c r="C966" t="s">
        <v>3175</v>
      </c>
      <c r="D966" t="s">
        <v>3174</v>
      </c>
      <c r="E966" t="s">
        <v>3173</v>
      </c>
      <c r="F966" s="62">
        <v>25</v>
      </c>
      <c r="H966" s="70">
        <v>55.5</v>
      </c>
      <c r="I966" s="60"/>
      <c r="J966" s="69">
        <v>0</v>
      </c>
      <c r="K966" s="68">
        <v>0</v>
      </c>
    </row>
    <row r="967" spans="1:11" x14ac:dyDescent="0.25">
      <c r="C967" t="s">
        <v>3172</v>
      </c>
      <c r="D967" t="s">
        <v>3171</v>
      </c>
      <c r="E967" t="s">
        <v>3170</v>
      </c>
      <c r="F967" s="62">
        <v>1</v>
      </c>
      <c r="H967" s="70">
        <v>24.25</v>
      </c>
      <c r="I967" s="60"/>
      <c r="J967" s="69">
        <v>0</v>
      </c>
      <c r="K967" s="68">
        <v>0</v>
      </c>
    </row>
    <row r="968" spans="1:11" x14ac:dyDescent="0.25">
      <c r="C968" t="s">
        <v>3169</v>
      </c>
      <c r="D968" t="s">
        <v>3168</v>
      </c>
      <c r="E968" t="s">
        <v>3167</v>
      </c>
      <c r="F968" s="62">
        <v>20</v>
      </c>
      <c r="H968" s="70">
        <v>338</v>
      </c>
      <c r="I968" s="60"/>
      <c r="J968" s="69">
        <v>0</v>
      </c>
      <c r="K968" s="68">
        <v>0</v>
      </c>
    </row>
    <row r="969" spans="1:11" x14ac:dyDescent="0.25">
      <c r="A969">
        <v>766072</v>
      </c>
      <c r="B969" t="s">
        <v>3166</v>
      </c>
      <c r="C969" t="s">
        <v>3165</v>
      </c>
      <c r="D969" t="s">
        <v>3164</v>
      </c>
      <c r="E969" t="s">
        <v>3163</v>
      </c>
      <c r="F969" s="62">
        <v>2</v>
      </c>
      <c r="H969" s="70">
        <v>2200</v>
      </c>
      <c r="I969" s="60"/>
      <c r="J969" s="69">
        <v>0</v>
      </c>
      <c r="K969" s="68">
        <v>0</v>
      </c>
    </row>
    <row r="970" spans="1:11" x14ac:dyDescent="0.25">
      <c r="A970">
        <v>767618</v>
      </c>
      <c r="B970" t="s">
        <v>3162</v>
      </c>
      <c r="C970" t="s">
        <v>3161</v>
      </c>
      <c r="D970" t="s">
        <v>3160</v>
      </c>
      <c r="E970" t="s">
        <v>3159</v>
      </c>
      <c r="F970" s="62">
        <v>2</v>
      </c>
      <c r="H970" s="70">
        <v>1712.08</v>
      </c>
      <c r="I970" s="60"/>
      <c r="J970" s="69">
        <v>0</v>
      </c>
      <c r="K970" s="68">
        <v>0</v>
      </c>
    </row>
    <row r="971" spans="1:11" x14ac:dyDescent="0.25">
      <c r="C971" t="s">
        <v>3158</v>
      </c>
      <c r="D971" t="s">
        <v>3157</v>
      </c>
      <c r="E971" t="s">
        <v>3156</v>
      </c>
      <c r="F971" s="62">
        <v>1</v>
      </c>
      <c r="H971" s="70">
        <v>681.95</v>
      </c>
      <c r="I971" s="60"/>
      <c r="J971" s="69">
        <v>0</v>
      </c>
      <c r="K971" s="68">
        <v>0</v>
      </c>
    </row>
    <row r="972" spans="1:11" x14ac:dyDescent="0.25">
      <c r="A972">
        <v>764255</v>
      </c>
      <c r="B972" t="s">
        <v>3155</v>
      </c>
      <c r="C972" t="s">
        <v>3154</v>
      </c>
      <c r="D972" t="s">
        <v>3153</v>
      </c>
      <c r="E972" t="s">
        <v>3152</v>
      </c>
      <c r="F972" s="62">
        <v>5</v>
      </c>
      <c r="H972" s="70">
        <v>526.75</v>
      </c>
      <c r="I972" s="60"/>
      <c r="J972" s="69">
        <v>4</v>
      </c>
      <c r="K972" s="68">
        <v>2107</v>
      </c>
    </row>
    <row r="973" spans="1:11" x14ac:dyDescent="0.25">
      <c r="C973" t="s">
        <v>3151</v>
      </c>
      <c r="D973" t="s">
        <v>3150</v>
      </c>
      <c r="E973" t="s">
        <v>3149</v>
      </c>
      <c r="F973" s="62">
        <v>5</v>
      </c>
      <c r="H973" s="70">
        <v>555</v>
      </c>
      <c r="I973" s="60"/>
      <c r="J973" s="69">
        <v>4</v>
      </c>
      <c r="K973" s="68">
        <v>2220</v>
      </c>
    </row>
    <row r="974" spans="1:11" x14ac:dyDescent="0.25">
      <c r="A974">
        <v>768489</v>
      </c>
      <c r="B974" t="s">
        <v>3148</v>
      </c>
      <c r="C974" t="s">
        <v>3147</v>
      </c>
      <c r="D974" t="s">
        <v>3146</v>
      </c>
      <c r="E974" t="s">
        <v>3145</v>
      </c>
      <c r="F974" s="62">
        <v>3</v>
      </c>
      <c r="H974" s="70">
        <v>1675.21</v>
      </c>
      <c r="I974" s="60"/>
      <c r="J974" s="69">
        <v>3</v>
      </c>
      <c r="K974" s="68">
        <v>5025.63</v>
      </c>
    </row>
    <row r="975" spans="1:11" x14ac:dyDescent="0.25">
      <c r="A975">
        <v>767173</v>
      </c>
      <c r="B975" t="s">
        <v>3144</v>
      </c>
      <c r="C975" t="s">
        <v>3143</v>
      </c>
      <c r="D975" t="s">
        <v>3142</v>
      </c>
      <c r="E975" t="s">
        <v>3141</v>
      </c>
      <c r="F975" s="62">
        <v>6</v>
      </c>
      <c r="H975" s="70">
        <v>931.37</v>
      </c>
      <c r="I975" s="60"/>
      <c r="J975" s="69">
        <v>2</v>
      </c>
      <c r="K975" s="68">
        <v>1862.74</v>
      </c>
    </row>
    <row r="976" spans="1:11" x14ac:dyDescent="0.25">
      <c r="C976" t="s">
        <v>3140</v>
      </c>
      <c r="D976" t="s">
        <v>3139</v>
      </c>
      <c r="E976" t="s">
        <v>3138</v>
      </c>
      <c r="F976" s="62">
        <v>2</v>
      </c>
      <c r="H976" s="70">
        <v>25.97</v>
      </c>
      <c r="I976" s="60"/>
      <c r="J976" s="69">
        <v>0</v>
      </c>
      <c r="K976" s="68">
        <v>0</v>
      </c>
    </row>
    <row r="977" spans="1:11" x14ac:dyDescent="0.25">
      <c r="C977" t="s">
        <v>3137</v>
      </c>
      <c r="D977" t="s">
        <v>3136</v>
      </c>
      <c r="E977" t="s">
        <v>3135</v>
      </c>
      <c r="F977" s="62">
        <v>4</v>
      </c>
      <c r="H977" s="70">
        <v>963.17</v>
      </c>
      <c r="I977" s="60"/>
      <c r="J977" s="69">
        <v>0</v>
      </c>
      <c r="K977" s="68">
        <v>0</v>
      </c>
    </row>
    <row r="978" spans="1:11" x14ac:dyDescent="0.25">
      <c r="A978" s="58">
        <v>764365</v>
      </c>
      <c r="B978" s="58" t="s">
        <v>3134</v>
      </c>
      <c r="C978" s="58" t="s">
        <v>3133</v>
      </c>
      <c r="D978" s="58" t="s">
        <v>3132</v>
      </c>
      <c r="E978" s="58" t="s">
        <v>3131</v>
      </c>
      <c r="F978" s="67">
        <v>5</v>
      </c>
      <c r="G978" s="58"/>
      <c r="H978" s="66">
        <v>7665.44</v>
      </c>
      <c r="I978" s="65"/>
      <c r="J978" s="64">
        <v>3</v>
      </c>
      <c r="K978" s="63">
        <v>22996.32</v>
      </c>
    </row>
    <row r="979" spans="1:11" x14ac:dyDescent="0.25">
      <c r="A979" t="s">
        <v>1212</v>
      </c>
      <c r="F979" s="62">
        <v>24701.57</v>
      </c>
      <c r="H979" s="61"/>
      <c r="I979" s="60"/>
      <c r="J979" s="59"/>
    </row>
  </sheetData>
  <autoFilter ref="A2:K979" xr:uid="{00000000-0009-0000-0000-000008000000}"/>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tabColor rgb="FFFFFF00"/>
  </sheetPr>
  <dimension ref="A1:D1260"/>
  <sheetViews>
    <sheetView showGridLines="0" workbookViewId="0">
      <pane ySplit="4" topLeftCell="A83" activePane="bottomLeft" state="frozen"/>
      <selection activeCell="B1" sqref="B1"/>
      <selection pane="bottomLeft" activeCell="B1253" sqref="B1253"/>
    </sheetView>
  </sheetViews>
  <sheetFormatPr defaultColWidth="0" defaultRowHeight="15" x14ac:dyDescent="0.25"/>
  <cols>
    <col min="1" max="1" width="9.140625" customWidth="1"/>
    <col min="2" max="2" width="160.7109375" customWidth="1"/>
    <col min="3" max="4" width="9.140625" customWidth="1"/>
    <col min="5" max="16384" width="9.140625" hidden="1"/>
  </cols>
  <sheetData>
    <row r="1" spans="1:4" ht="26.25" x14ac:dyDescent="0.25">
      <c r="A1" s="233" t="s">
        <v>1394</v>
      </c>
      <c r="B1" s="233"/>
      <c r="C1" s="233"/>
      <c r="D1" s="233"/>
    </row>
    <row r="2" spans="1:4" x14ac:dyDescent="0.25">
      <c r="B2" s="23" t="s">
        <v>6626</v>
      </c>
      <c r="C2" t="s">
        <v>7000</v>
      </c>
    </row>
    <row r="4" spans="1:4" x14ac:dyDescent="0.25">
      <c r="B4" s="23" t="s">
        <v>1393</v>
      </c>
    </row>
    <row r="5" spans="1:4" x14ac:dyDescent="0.25">
      <c r="B5" s="146" t="s">
        <v>1386</v>
      </c>
    </row>
    <row r="6" spans="1:4" x14ac:dyDescent="0.25">
      <c r="B6" s="146" t="s">
        <v>919</v>
      </c>
    </row>
    <row r="7" spans="1:4" x14ac:dyDescent="0.25">
      <c r="B7" s="146" t="s">
        <v>1022</v>
      </c>
    </row>
    <row r="8" spans="1:4" x14ac:dyDescent="0.25">
      <c r="B8" s="146" t="s">
        <v>696</v>
      </c>
    </row>
    <row r="9" spans="1:4" x14ac:dyDescent="0.25">
      <c r="B9" s="146" t="s">
        <v>491</v>
      </c>
    </row>
    <row r="10" spans="1:4" x14ac:dyDescent="0.25">
      <c r="B10" s="146" t="s">
        <v>1027</v>
      </c>
    </row>
    <row r="11" spans="1:4" x14ac:dyDescent="0.25">
      <c r="B11" s="146" t="s">
        <v>1339</v>
      </c>
    </row>
    <row r="12" spans="1:4" x14ac:dyDescent="0.25">
      <c r="B12" s="146" t="s">
        <v>1206</v>
      </c>
    </row>
    <row r="13" spans="1:4" x14ac:dyDescent="0.25">
      <c r="B13" s="146" t="s">
        <v>1348</v>
      </c>
    </row>
    <row r="14" spans="1:4" x14ac:dyDescent="0.25">
      <c r="B14" s="146" t="s">
        <v>649</v>
      </c>
    </row>
    <row r="15" spans="1:4" x14ac:dyDescent="0.25">
      <c r="B15" s="146" t="s">
        <v>1366</v>
      </c>
    </row>
    <row r="16" spans="1:4" x14ac:dyDescent="0.25">
      <c r="B16" s="146" t="s">
        <v>603</v>
      </c>
    </row>
    <row r="17" spans="2:2" x14ac:dyDescent="0.25">
      <c r="B17" s="146" t="s">
        <v>6543</v>
      </c>
    </row>
    <row r="18" spans="2:2" x14ac:dyDescent="0.25">
      <c r="B18" s="146" t="s">
        <v>349</v>
      </c>
    </row>
    <row r="19" spans="2:2" x14ac:dyDescent="0.25">
      <c r="B19" s="146" t="s">
        <v>916</v>
      </c>
    </row>
    <row r="20" spans="2:2" x14ac:dyDescent="0.25">
      <c r="B20" s="146" t="s">
        <v>267</v>
      </c>
    </row>
    <row r="21" spans="2:2" x14ac:dyDescent="0.25">
      <c r="B21" s="146" t="s">
        <v>1229</v>
      </c>
    </row>
    <row r="22" spans="2:2" x14ac:dyDescent="0.25">
      <c r="B22" s="146" t="s">
        <v>1346</v>
      </c>
    </row>
    <row r="23" spans="2:2" x14ac:dyDescent="0.25">
      <c r="B23" s="146" t="s">
        <v>605</v>
      </c>
    </row>
    <row r="24" spans="2:2" x14ac:dyDescent="0.25">
      <c r="B24" s="146" t="s">
        <v>1114</v>
      </c>
    </row>
    <row r="25" spans="2:2" x14ac:dyDescent="0.25">
      <c r="B25" s="146" t="s">
        <v>265</v>
      </c>
    </row>
    <row r="26" spans="2:2" x14ac:dyDescent="0.25">
      <c r="B26" s="146" t="s">
        <v>226</v>
      </c>
    </row>
    <row r="27" spans="2:2" x14ac:dyDescent="0.25">
      <c r="B27" s="146" t="s">
        <v>1292</v>
      </c>
    </row>
    <row r="28" spans="2:2" x14ac:dyDescent="0.25">
      <c r="B28" s="146" t="s">
        <v>647</v>
      </c>
    </row>
    <row r="29" spans="2:2" x14ac:dyDescent="0.25">
      <c r="B29" s="146" t="s">
        <v>1242</v>
      </c>
    </row>
    <row r="30" spans="2:2" x14ac:dyDescent="0.25">
      <c r="B30" s="146" t="s">
        <v>595</v>
      </c>
    </row>
    <row r="31" spans="2:2" x14ac:dyDescent="0.25">
      <c r="B31" s="146" t="s">
        <v>340</v>
      </c>
    </row>
    <row r="32" spans="2:2" x14ac:dyDescent="0.25">
      <c r="B32" s="146" t="s">
        <v>800</v>
      </c>
    </row>
    <row r="33" spans="2:2" x14ac:dyDescent="0.25">
      <c r="B33" s="146" t="s">
        <v>1355</v>
      </c>
    </row>
    <row r="34" spans="2:2" x14ac:dyDescent="0.25">
      <c r="B34" s="146" t="s">
        <v>1379</v>
      </c>
    </row>
    <row r="35" spans="2:2" x14ac:dyDescent="0.25">
      <c r="B35" s="146" t="s">
        <v>517</v>
      </c>
    </row>
    <row r="36" spans="2:2" x14ac:dyDescent="0.25">
      <c r="B36" s="146" t="s">
        <v>639</v>
      </c>
    </row>
    <row r="37" spans="2:2" x14ac:dyDescent="0.25">
      <c r="B37" s="146" t="s">
        <v>1202</v>
      </c>
    </row>
    <row r="38" spans="2:2" x14ac:dyDescent="0.25">
      <c r="B38" s="146" t="s">
        <v>940</v>
      </c>
    </row>
    <row r="39" spans="2:2" x14ac:dyDescent="0.25">
      <c r="B39" s="146" t="s">
        <v>1036</v>
      </c>
    </row>
    <row r="40" spans="2:2" x14ac:dyDescent="0.25">
      <c r="B40" s="146" t="s">
        <v>1184</v>
      </c>
    </row>
    <row r="41" spans="2:2" x14ac:dyDescent="0.25">
      <c r="B41" s="146" t="s">
        <v>811</v>
      </c>
    </row>
    <row r="42" spans="2:2" x14ac:dyDescent="0.25">
      <c r="B42" s="146" t="s">
        <v>1269</v>
      </c>
    </row>
    <row r="43" spans="2:2" x14ac:dyDescent="0.25">
      <c r="B43" s="146" t="s">
        <v>293</v>
      </c>
    </row>
    <row r="44" spans="2:2" x14ac:dyDescent="0.25">
      <c r="B44" s="146" t="s">
        <v>78</v>
      </c>
    </row>
    <row r="45" spans="2:2" x14ac:dyDescent="0.25">
      <c r="B45" s="146" t="s">
        <v>1390</v>
      </c>
    </row>
    <row r="46" spans="2:2" x14ac:dyDescent="0.25">
      <c r="B46" s="146" t="s">
        <v>1353</v>
      </c>
    </row>
    <row r="47" spans="2:2" x14ac:dyDescent="0.25">
      <c r="B47" s="146" t="s">
        <v>80</v>
      </c>
    </row>
    <row r="48" spans="2:2" x14ac:dyDescent="0.25">
      <c r="B48" s="146" t="s">
        <v>82</v>
      </c>
    </row>
    <row r="49" spans="2:2" x14ac:dyDescent="0.25">
      <c r="B49" s="146" t="s">
        <v>794</v>
      </c>
    </row>
    <row r="50" spans="2:2" x14ac:dyDescent="0.25">
      <c r="B50" s="146" t="s">
        <v>1071</v>
      </c>
    </row>
    <row r="51" spans="2:2" x14ac:dyDescent="0.25">
      <c r="B51" s="146" t="s">
        <v>418</v>
      </c>
    </row>
    <row r="52" spans="2:2" x14ac:dyDescent="0.25">
      <c r="B52" s="146" t="s">
        <v>416</v>
      </c>
    </row>
    <row r="53" spans="2:2" x14ac:dyDescent="0.25">
      <c r="B53" s="146" t="s">
        <v>756</v>
      </c>
    </row>
    <row r="54" spans="2:2" x14ac:dyDescent="0.25">
      <c r="B54" s="146" t="s">
        <v>415</v>
      </c>
    </row>
    <row r="55" spans="2:2" x14ac:dyDescent="0.25">
      <c r="B55" s="146" t="s">
        <v>413</v>
      </c>
    </row>
    <row r="56" spans="2:2" x14ac:dyDescent="0.25">
      <c r="B56" s="146" t="s">
        <v>1347</v>
      </c>
    </row>
    <row r="57" spans="2:2" x14ac:dyDescent="0.25">
      <c r="B57" s="146" t="s">
        <v>684</v>
      </c>
    </row>
    <row r="58" spans="2:2" x14ac:dyDescent="0.25">
      <c r="B58" s="146" t="s">
        <v>52</v>
      </c>
    </row>
    <row r="59" spans="2:2" x14ac:dyDescent="0.25">
      <c r="B59" s="146" t="s">
        <v>878</v>
      </c>
    </row>
    <row r="60" spans="2:2" x14ac:dyDescent="0.25">
      <c r="B60" s="146" t="s">
        <v>897</v>
      </c>
    </row>
    <row r="61" spans="2:2" x14ac:dyDescent="0.25">
      <c r="B61" s="146" t="s">
        <v>884</v>
      </c>
    </row>
    <row r="62" spans="2:2" x14ac:dyDescent="0.25">
      <c r="B62" s="146" t="s">
        <v>1377</v>
      </c>
    </row>
    <row r="63" spans="2:2" x14ac:dyDescent="0.25">
      <c r="B63" s="146" t="s">
        <v>25</v>
      </c>
    </row>
    <row r="64" spans="2:2" x14ac:dyDescent="0.25">
      <c r="B64" s="146" t="s">
        <v>1170</v>
      </c>
    </row>
    <row r="65" spans="2:2" x14ac:dyDescent="0.25">
      <c r="B65" s="146" t="s">
        <v>34</v>
      </c>
    </row>
    <row r="66" spans="2:2" x14ac:dyDescent="0.25">
      <c r="B66" s="146" t="s">
        <v>1186</v>
      </c>
    </row>
    <row r="67" spans="2:2" x14ac:dyDescent="0.25">
      <c r="B67" s="146" t="s">
        <v>1354</v>
      </c>
    </row>
    <row r="68" spans="2:2" x14ac:dyDescent="0.25">
      <c r="B68" s="146" t="s">
        <v>613</v>
      </c>
    </row>
    <row r="69" spans="2:2" x14ac:dyDescent="0.25">
      <c r="B69" s="146" t="s">
        <v>589</v>
      </c>
    </row>
    <row r="70" spans="2:2" x14ac:dyDescent="0.25">
      <c r="B70" s="146" t="s">
        <v>1238</v>
      </c>
    </row>
    <row r="71" spans="2:2" x14ac:dyDescent="0.25">
      <c r="B71" s="146" t="s">
        <v>681</v>
      </c>
    </row>
    <row r="72" spans="2:2" x14ac:dyDescent="0.25">
      <c r="B72" s="146" t="s">
        <v>715</v>
      </c>
    </row>
    <row r="73" spans="2:2" x14ac:dyDescent="0.25">
      <c r="B73" s="146" t="s">
        <v>309</v>
      </c>
    </row>
    <row r="74" spans="2:2" x14ac:dyDescent="0.25">
      <c r="B74" s="146" t="s">
        <v>6563</v>
      </c>
    </row>
    <row r="75" spans="2:2" x14ac:dyDescent="0.25">
      <c r="B75" s="146" t="s">
        <v>6562</v>
      </c>
    </row>
    <row r="76" spans="2:2" x14ac:dyDescent="0.25">
      <c r="B76" s="146" t="s">
        <v>6564</v>
      </c>
    </row>
    <row r="77" spans="2:2" x14ac:dyDescent="0.25">
      <c r="B77" s="146" t="s">
        <v>6565</v>
      </c>
    </row>
    <row r="78" spans="2:2" x14ac:dyDescent="0.25">
      <c r="B78" s="146" t="s">
        <v>114</v>
      </c>
    </row>
    <row r="79" spans="2:2" x14ac:dyDescent="0.25">
      <c r="B79" s="146" t="s">
        <v>97</v>
      </c>
    </row>
    <row r="80" spans="2:2" x14ac:dyDescent="0.25">
      <c r="B80" s="146" t="s">
        <v>99</v>
      </c>
    </row>
    <row r="81" spans="2:2" x14ac:dyDescent="0.25">
      <c r="B81" s="146" t="s">
        <v>112</v>
      </c>
    </row>
    <row r="82" spans="2:2" x14ac:dyDescent="0.25">
      <c r="B82" s="146" t="s">
        <v>109</v>
      </c>
    </row>
    <row r="83" spans="2:2" x14ac:dyDescent="0.25">
      <c r="B83" s="146" t="s">
        <v>107</v>
      </c>
    </row>
    <row r="84" spans="2:2" x14ac:dyDescent="0.25">
      <c r="B84" s="146" t="s">
        <v>101</v>
      </c>
    </row>
    <row r="85" spans="2:2" x14ac:dyDescent="0.25">
      <c r="B85" s="146" t="s">
        <v>105</v>
      </c>
    </row>
    <row r="86" spans="2:2" x14ac:dyDescent="0.25">
      <c r="B86" s="146" t="s">
        <v>543</v>
      </c>
    </row>
    <row r="87" spans="2:2" x14ac:dyDescent="0.25">
      <c r="B87" s="146" t="s">
        <v>6991</v>
      </c>
    </row>
    <row r="88" spans="2:2" x14ac:dyDescent="0.25">
      <c r="B88" s="146" t="s">
        <v>563</v>
      </c>
    </row>
    <row r="89" spans="2:2" x14ac:dyDescent="0.25">
      <c r="B89" s="146" t="s">
        <v>797</v>
      </c>
    </row>
    <row r="90" spans="2:2" x14ac:dyDescent="0.25">
      <c r="B90" s="146" t="s">
        <v>628</v>
      </c>
    </row>
    <row r="91" spans="2:2" x14ac:dyDescent="0.25">
      <c r="B91" s="146" t="s">
        <v>796</v>
      </c>
    </row>
    <row r="92" spans="2:2" x14ac:dyDescent="0.25">
      <c r="B92" s="146" t="s">
        <v>621</v>
      </c>
    </row>
    <row r="93" spans="2:2" x14ac:dyDescent="0.25">
      <c r="B93" s="146" t="s">
        <v>1172</v>
      </c>
    </row>
    <row r="94" spans="2:2" x14ac:dyDescent="0.25">
      <c r="B94" s="146" t="s">
        <v>1194</v>
      </c>
    </row>
    <row r="95" spans="2:2" x14ac:dyDescent="0.25">
      <c r="B95" s="146" t="s">
        <v>601</v>
      </c>
    </row>
    <row r="96" spans="2:2" x14ac:dyDescent="0.25">
      <c r="B96" s="146" t="s">
        <v>599</v>
      </c>
    </row>
    <row r="97" spans="2:2" x14ac:dyDescent="0.25">
      <c r="B97" s="146" t="s">
        <v>392</v>
      </c>
    </row>
    <row r="98" spans="2:2" x14ac:dyDescent="0.25">
      <c r="B98" s="146" t="s">
        <v>389</v>
      </c>
    </row>
    <row r="99" spans="2:2" x14ac:dyDescent="0.25">
      <c r="B99" s="146" t="s">
        <v>857</v>
      </c>
    </row>
    <row r="100" spans="2:2" x14ac:dyDescent="0.25">
      <c r="B100" s="146" t="s">
        <v>161</v>
      </c>
    </row>
    <row r="101" spans="2:2" x14ac:dyDescent="0.25">
      <c r="B101" s="146" t="s">
        <v>999</v>
      </c>
    </row>
    <row r="102" spans="2:2" x14ac:dyDescent="0.25">
      <c r="B102" s="146" t="s">
        <v>852</v>
      </c>
    </row>
    <row r="103" spans="2:2" x14ac:dyDescent="0.25">
      <c r="B103" s="146" t="s">
        <v>688</v>
      </c>
    </row>
    <row r="104" spans="2:2" x14ac:dyDescent="0.25">
      <c r="B104" s="146" t="s">
        <v>449</v>
      </c>
    </row>
    <row r="105" spans="2:2" x14ac:dyDescent="0.25">
      <c r="B105" s="146" t="s">
        <v>441</v>
      </c>
    </row>
    <row r="106" spans="2:2" x14ac:dyDescent="0.25">
      <c r="B106" s="146" t="s">
        <v>1024</v>
      </c>
    </row>
    <row r="107" spans="2:2" x14ac:dyDescent="0.25">
      <c r="B107" s="146" t="s">
        <v>863</v>
      </c>
    </row>
    <row r="108" spans="2:2" x14ac:dyDescent="0.25">
      <c r="B108" s="146" t="s">
        <v>1375</v>
      </c>
    </row>
    <row r="109" spans="2:2" x14ac:dyDescent="0.25">
      <c r="B109" s="146" t="s">
        <v>435</v>
      </c>
    </row>
    <row r="110" spans="2:2" x14ac:dyDescent="0.25">
      <c r="B110" s="146" t="s">
        <v>437</v>
      </c>
    </row>
    <row r="111" spans="2:2" x14ac:dyDescent="0.25">
      <c r="B111" s="146" t="s">
        <v>439</v>
      </c>
    </row>
    <row r="112" spans="2:2" x14ac:dyDescent="0.25">
      <c r="B112" s="146" t="s">
        <v>433</v>
      </c>
    </row>
    <row r="113" spans="2:2" x14ac:dyDescent="0.25">
      <c r="B113" s="146" t="s">
        <v>461</v>
      </c>
    </row>
    <row r="114" spans="2:2" x14ac:dyDescent="0.25">
      <c r="B114" s="146" t="s">
        <v>470</v>
      </c>
    </row>
    <row r="115" spans="2:2" x14ac:dyDescent="0.25">
      <c r="B115" s="146" t="s">
        <v>468</v>
      </c>
    </row>
    <row r="116" spans="2:2" x14ac:dyDescent="0.25">
      <c r="B116" s="146" t="s">
        <v>443</v>
      </c>
    </row>
    <row r="117" spans="2:2" x14ac:dyDescent="0.25">
      <c r="B117" s="146" t="s">
        <v>473</v>
      </c>
    </row>
    <row r="118" spans="2:2" x14ac:dyDescent="0.25">
      <c r="B118" s="146" t="s">
        <v>466</v>
      </c>
    </row>
    <row r="119" spans="2:2" x14ac:dyDescent="0.25">
      <c r="B119" s="146" t="s">
        <v>901</v>
      </c>
    </row>
    <row r="120" spans="2:2" x14ac:dyDescent="0.25">
      <c r="B120" s="146" t="s">
        <v>1052</v>
      </c>
    </row>
    <row r="121" spans="2:2" x14ac:dyDescent="0.25">
      <c r="B121" s="146" t="s">
        <v>849</v>
      </c>
    </row>
    <row r="122" spans="2:2" x14ac:dyDescent="0.25">
      <c r="B122" s="146" t="s">
        <v>776</v>
      </c>
    </row>
    <row r="123" spans="2:2" x14ac:dyDescent="0.25">
      <c r="B123" s="146" t="s">
        <v>1349</v>
      </c>
    </row>
    <row r="124" spans="2:2" x14ac:dyDescent="0.25">
      <c r="B124" s="146" t="s">
        <v>1350</v>
      </c>
    </row>
    <row r="125" spans="2:2" x14ac:dyDescent="0.25">
      <c r="B125" s="146" t="s">
        <v>959</v>
      </c>
    </row>
    <row r="126" spans="2:2" x14ac:dyDescent="0.25">
      <c r="B126" s="146" t="s">
        <v>72</v>
      </c>
    </row>
    <row r="127" spans="2:2" x14ac:dyDescent="0.25">
      <c r="B127" s="146" t="s">
        <v>74</v>
      </c>
    </row>
    <row r="128" spans="2:2" x14ac:dyDescent="0.25">
      <c r="B128" s="146" t="s">
        <v>645</v>
      </c>
    </row>
    <row r="129" spans="2:2" x14ac:dyDescent="0.25">
      <c r="B129" s="146" t="s">
        <v>1030</v>
      </c>
    </row>
    <row r="130" spans="2:2" x14ac:dyDescent="0.25">
      <c r="B130" s="146" t="s">
        <v>1032</v>
      </c>
    </row>
    <row r="131" spans="2:2" x14ac:dyDescent="0.25">
      <c r="B131" s="146" t="s">
        <v>762</v>
      </c>
    </row>
    <row r="132" spans="2:2" x14ac:dyDescent="0.25">
      <c r="B132" s="146" t="s">
        <v>1248</v>
      </c>
    </row>
    <row r="133" spans="2:2" x14ac:dyDescent="0.25">
      <c r="B133" s="146" t="s">
        <v>1250</v>
      </c>
    </row>
    <row r="134" spans="2:2" x14ac:dyDescent="0.25">
      <c r="B134" s="146" t="s">
        <v>1199</v>
      </c>
    </row>
    <row r="135" spans="2:2" x14ac:dyDescent="0.25">
      <c r="B135" s="146" t="s">
        <v>1357</v>
      </c>
    </row>
    <row r="136" spans="2:2" x14ac:dyDescent="0.25">
      <c r="B136" s="146" t="s">
        <v>1203</v>
      </c>
    </row>
    <row r="137" spans="2:2" x14ac:dyDescent="0.25">
      <c r="B137" s="146" t="s">
        <v>380</v>
      </c>
    </row>
    <row r="138" spans="2:2" x14ac:dyDescent="0.25">
      <c r="B138" s="146" t="s">
        <v>374</v>
      </c>
    </row>
    <row r="139" spans="2:2" x14ac:dyDescent="0.25">
      <c r="B139" s="146" t="s">
        <v>1343</v>
      </c>
    </row>
    <row r="140" spans="2:2" x14ac:dyDescent="0.25">
      <c r="B140" s="146" t="s">
        <v>1290</v>
      </c>
    </row>
    <row r="141" spans="2:2" x14ac:dyDescent="0.25">
      <c r="B141" s="146" t="s">
        <v>890</v>
      </c>
    </row>
    <row r="142" spans="2:2" x14ac:dyDescent="0.25">
      <c r="B142" s="146" t="s">
        <v>545</v>
      </c>
    </row>
    <row r="143" spans="2:2" x14ac:dyDescent="0.25">
      <c r="B143" s="146" t="s">
        <v>982</v>
      </c>
    </row>
    <row r="144" spans="2:2" x14ac:dyDescent="0.25">
      <c r="B144" s="146" t="s">
        <v>980</v>
      </c>
    </row>
    <row r="145" spans="2:2" x14ac:dyDescent="0.25">
      <c r="B145" s="146" t="s">
        <v>888</v>
      </c>
    </row>
    <row r="146" spans="2:2" x14ac:dyDescent="0.25">
      <c r="B146" s="146" t="s">
        <v>1367</v>
      </c>
    </row>
    <row r="147" spans="2:2" x14ac:dyDescent="0.25">
      <c r="B147" s="146" t="s">
        <v>970</v>
      </c>
    </row>
    <row r="148" spans="2:2" x14ac:dyDescent="0.25">
      <c r="B148" s="146" t="s">
        <v>132</v>
      </c>
    </row>
    <row r="149" spans="2:2" x14ac:dyDescent="0.25">
      <c r="B149" s="146" t="s">
        <v>792</v>
      </c>
    </row>
    <row r="150" spans="2:2" x14ac:dyDescent="0.25">
      <c r="B150" s="146" t="s">
        <v>261</v>
      </c>
    </row>
    <row r="151" spans="2:2" x14ac:dyDescent="0.25">
      <c r="B151" s="146" t="s">
        <v>842</v>
      </c>
    </row>
    <row r="152" spans="2:2" x14ac:dyDescent="0.25">
      <c r="B152" s="146" t="s">
        <v>831</v>
      </c>
    </row>
    <row r="153" spans="2:2" x14ac:dyDescent="0.25">
      <c r="B153" s="146" t="s">
        <v>834</v>
      </c>
    </row>
    <row r="154" spans="2:2" x14ac:dyDescent="0.25">
      <c r="B154" s="146" t="s">
        <v>847</v>
      </c>
    </row>
    <row r="155" spans="2:2" x14ac:dyDescent="0.25">
      <c r="B155" s="146" t="s">
        <v>843</v>
      </c>
    </row>
    <row r="156" spans="2:2" x14ac:dyDescent="0.25">
      <c r="B156" s="146" t="s">
        <v>841</v>
      </c>
    </row>
    <row r="157" spans="2:2" x14ac:dyDescent="0.25">
      <c r="B157" s="146" t="s">
        <v>934</v>
      </c>
    </row>
    <row r="158" spans="2:2" x14ac:dyDescent="0.25">
      <c r="B158" s="146" t="s">
        <v>839</v>
      </c>
    </row>
    <row r="159" spans="2:2" x14ac:dyDescent="0.25">
      <c r="B159" s="146" t="s">
        <v>845</v>
      </c>
    </row>
    <row r="160" spans="2:2" x14ac:dyDescent="0.25">
      <c r="B160" s="146" t="s">
        <v>1204</v>
      </c>
    </row>
    <row r="161" spans="2:2" x14ac:dyDescent="0.25">
      <c r="B161" s="146" t="s">
        <v>837</v>
      </c>
    </row>
    <row r="162" spans="2:2" x14ac:dyDescent="0.25">
      <c r="B162" s="146" t="s">
        <v>740</v>
      </c>
    </row>
    <row r="163" spans="2:2" x14ac:dyDescent="0.25">
      <c r="B163" s="146" t="s">
        <v>742</v>
      </c>
    </row>
    <row r="164" spans="2:2" x14ac:dyDescent="0.25">
      <c r="B164" s="146" t="s">
        <v>823</v>
      </c>
    </row>
    <row r="165" spans="2:2" x14ac:dyDescent="0.25">
      <c r="B165" s="146" t="s">
        <v>829</v>
      </c>
    </row>
    <row r="166" spans="2:2" x14ac:dyDescent="0.25">
      <c r="B166" s="146" t="s">
        <v>554</v>
      </c>
    </row>
    <row r="167" spans="2:2" x14ac:dyDescent="0.25">
      <c r="B167" s="146" t="s">
        <v>660</v>
      </c>
    </row>
    <row r="168" spans="2:2" x14ac:dyDescent="0.25">
      <c r="B168" s="146" t="s">
        <v>875</v>
      </c>
    </row>
    <row r="169" spans="2:2" x14ac:dyDescent="0.25">
      <c r="B169" s="146" t="s">
        <v>121</v>
      </c>
    </row>
    <row r="170" spans="2:2" x14ac:dyDescent="0.25">
      <c r="B170" s="146" t="s">
        <v>1176</v>
      </c>
    </row>
    <row r="171" spans="2:2" x14ac:dyDescent="0.25">
      <c r="B171" s="146" t="s">
        <v>1180</v>
      </c>
    </row>
    <row r="172" spans="2:2" x14ac:dyDescent="0.25">
      <c r="B172" s="146" t="s">
        <v>1078</v>
      </c>
    </row>
    <row r="173" spans="2:2" x14ac:dyDescent="0.25">
      <c r="B173" s="146" t="s">
        <v>1197</v>
      </c>
    </row>
    <row r="174" spans="2:2" x14ac:dyDescent="0.25">
      <c r="B174" s="146" t="s">
        <v>882</v>
      </c>
    </row>
    <row r="175" spans="2:2" x14ac:dyDescent="0.25">
      <c r="B175" s="146" t="s">
        <v>505</v>
      </c>
    </row>
    <row r="176" spans="2:2" x14ac:dyDescent="0.25">
      <c r="B176" s="146" t="s">
        <v>815</v>
      </c>
    </row>
    <row r="177" spans="2:2" x14ac:dyDescent="0.25">
      <c r="B177" s="146" t="s">
        <v>943</v>
      </c>
    </row>
    <row r="178" spans="2:2" x14ac:dyDescent="0.25">
      <c r="B178" s="146" t="s">
        <v>883</v>
      </c>
    </row>
    <row r="179" spans="2:2" x14ac:dyDescent="0.25">
      <c r="B179" s="146" t="s">
        <v>860</v>
      </c>
    </row>
    <row r="180" spans="2:2" x14ac:dyDescent="0.25">
      <c r="B180" s="146" t="s">
        <v>978</v>
      </c>
    </row>
    <row r="181" spans="2:2" x14ac:dyDescent="0.25">
      <c r="B181" s="146" t="s">
        <v>984</v>
      </c>
    </row>
    <row r="182" spans="2:2" x14ac:dyDescent="0.25">
      <c r="B182" s="146" t="s">
        <v>880</v>
      </c>
    </row>
    <row r="183" spans="2:2" x14ac:dyDescent="0.25">
      <c r="B183" s="146" t="s">
        <v>565</v>
      </c>
    </row>
    <row r="184" spans="2:2" x14ac:dyDescent="0.25">
      <c r="B184" s="146" t="s">
        <v>6992</v>
      </c>
    </row>
    <row r="185" spans="2:2" x14ac:dyDescent="0.25">
      <c r="B185" s="146" t="s">
        <v>1329</v>
      </c>
    </row>
    <row r="186" spans="2:2" x14ac:dyDescent="0.25">
      <c r="B186" s="146" t="s">
        <v>1342</v>
      </c>
    </row>
    <row r="187" spans="2:2" x14ac:dyDescent="0.25">
      <c r="B187" s="146" t="s">
        <v>1362</v>
      </c>
    </row>
    <row r="188" spans="2:2" x14ac:dyDescent="0.25">
      <c r="B188" s="146" t="s">
        <v>1363</v>
      </c>
    </row>
    <row r="189" spans="2:2" x14ac:dyDescent="0.25">
      <c r="B189" s="146" t="s">
        <v>1364</v>
      </c>
    </row>
    <row r="190" spans="2:2" x14ac:dyDescent="0.25">
      <c r="B190" s="146" t="s">
        <v>1360</v>
      </c>
    </row>
    <row r="191" spans="2:2" x14ac:dyDescent="0.25">
      <c r="B191" s="146" t="s">
        <v>1358</v>
      </c>
    </row>
    <row r="192" spans="2:2" x14ac:dyDescent="0.25">
      <c r="B192" s="146" t="s">
        <v>1359</v>
      </c>
    </row>
    <row r="193" spans="2:2" x14ac:dyDescent="0.25">
      <c r="B193" s="146" t="s">
        <v>1361</v>
      </c>
    </row>
    <row r="194" spans="2:2" x14ac:dyDescent="0.25">
      <c r="B194" s="146" t="s">
        <v>911</v>
      </c>
    </row>
    <row r="195" spans="2:2" x14ac:dyDescent="0.25">
      <c r="B195" s="146" t="s">
        <v>1311</v>
      </c>
    </row>
    <row r="196" spans="2:2" x14ac:dyDescent="0.25">
      <c r="B196" s="146" t="s">
        <v>914</v>
      </c>
    </row>
    <row r="197" spans="2:2" x14ac:dyDescent="0.25">
      <c r="B197" s="146" t="s">
        <v>912</v>
      </c>
    </row>
    <row r="198" spans="2:2" x14ac:dyDescent="0.25">
      <c r="B198" s="146" t="s">
        <v>908</v>
      </c>
    </row>
    <row r="199" spans="2:2" x14ac:dyDescent="0.25">
      <c r="B199" s="146" t="s">
        <v>259</v>
      </c>
    </row>
    <row r="200" spans="2:2" x14ac:dyDescent="0.25">
      <c r="B200" s="146" t="s">
        <v>1235</v>
      </c>
    </row>
    <row r="201" spans="2:2" x14ac:dyDescent="0.25">
      <c r="B201" s="146" t="s">
        <v>224</v>
      </c>
    </row>
    <row r="202" spans="2:2" x14ac:dyDescent="0.25">
      <c r="B202" s="146" t="s">
        <v>819</v>
      </c>
    </row>
    <row r="203" spans="2:2" x14ac:dyDescent="0.25">
      <c r="B203" s="146" t="s">
        <v>858</v>
      </c>
    </row>
    <row r="204" spans="2:2" x14ac:dyDescent="0.25">
      <c r="B204" s="146" t="s">
        <v>972</v>
      </c>
    </row>
    <row r="205" spans="2:2" x14ac:dyDescent="0.25">
      <c r="B205" s="146" t="s">
        <v>895</v>
      </c>
    </row>
    <row r="206" spans="2:2" x14ac:dyDescent="0.25">
      <c r="B206" s="146" t="s">
        <v>57</v>
      </c>
    </row>
    <row r="207" spans="2:2" x14ac:dyDescent="0.25">
      <c r="B207" s="146" t="s">
        <v>765</v>
      </c>
    </row>
    <row r="208" spans="2:2" x14ac:dyDescent="0.25">
      <c r="B208" s="146" t="s">
        <v>552</v>
      </c>
    </row>
    <row r="209" spans="2:2" x14ac:dyDescent="0.25">
      <c r="B209" s="146" t="s">
        <v>636</v>
      </c>
    </row>
    <row r="210" spans="2:2" x14ac:dyDescent="0.25">
      <c r="B210" s="146" t="s">
        <v>507</v>
      </c>
    </row>
    <row r="211" spans="2:2" x14ac:dyDescent="0.25">
      <c r="B211" s="146" t="s">
        <v>1385</v>
      </c>
    </row>
    <row r="212" spans="2:2" x14ac:dyDescent="0.25">
      <c r="B212" s="146" t="s">
        <v>903</v>
      </c>
    </row>
    <row r="213" spans="2:2" x14ac:dyDescent="0.25">
      <c r="B213" s="146" t="s">
        <v>55</v>
      </c>
    </row>
    <row r="214" spans="2:2" x14ac:dyDescent="0.25">
      <c r="B214" s="146" t="s">
        <v>1182</v>
      </c>
    </row>
    <row r="215" spans="2:2" x14ac:dyDescent="0.25">
      <c r="B215" s="146" t="s">
        <v>1169</v>
      </c>
    </row>
    <row r="216" spans="2:2" x14ac:dyDescent="0.25">
      <c r="B216" s="146" t="s">
        <v>420</v>
      </c>
    </row>
    <row r="217" spans="2:2" x14ac:dyDescent="0.25">
      <c r="B217" s="146" t="s">
        <v>1352</v>
      </c>
    </row>
    <row r="218" spans="2:2" x14ac:dyDescent="0.25">
      <c r="B218" s="146" t="s">
        <v>1345</v>
      </c>
    </row>
    <row r="219" spans="2:2" x14ac:dyDescent="0.25">
      <c r="B219" s="146" t="s">
        <v>643</v>
      </c>
    </row>
    <row r="220" spans="2:2" x14ac:dyDescent="0.25">
      <c r="B220" s="146" t="s">
        <v>974</v>
      </c>
    </row>
    <row r="221" spans="2:2" x14ac:dyDescent="0.25">
      <c r="B221" s="146" t="s">
        <v>868</v>
      </c>
    </row>
    <row r="222" spans="2:2" x14ac:dyDescent="0.25">
      <c r="B222" s="146" t="s">
        <v>656</v>
      </c>
    </row>
    <row r="223" spans="2:2" x14ac:dyDescent="0.25">
      <c r="B223" s="146" t="s">
        <v>1165</v>
      </c>
    </row>
    <row r="224" spans="2:2" x14ac:dyDescent="0.25">
      <c r="B224" s="146" t="s">
        <v>1365</v>
      </c>
    </row>
    <row r="225" spans="2:2" x14ac:dyDescent="0.25">
      <c r="B225" s="146" t="s">
        <v>991</v>
      </c>
    </row>
    <row r="226" spans="2:2" x14ac:dyDescent="0.25">
      <c r="B226" s="146" t="s">
        <v>1178</v>
      </c>
    </row>
    <row r="227" spans="2:2" x14ac:dyDescent="0.25">
      <c r="B227" s="146" t="s">
        <v>1351</v>
      </c>
    </row>
    <row r="228" spans="2:2" x14ac:dyDescent="0.25">
      <c r="B228" s="146" t="s">
        <v>1344</v>
      </c>
    </row>
    <row r="229" spans="2:2" x14ac:dyDescent="0.25">
      <c r="B229" s="146" t="s">
        <v>253</v>
      </c>
    </row>
    <row r="230" spans="2:2" x14ac:dyDescent="0.25">
      <c r="B230" s="146" t="s">
        <v>654</v>
      </c>
    </row>
    <row r="231" spans="2:2" x14ac:dyDescent="0.25">
      <c r="B231" s="146" t="s">
        <v>658</v>
      </c>
    </row>
    <row r="232" spans="2:2" x14ac:dyDescent="0.25">
      <c r="B232" s="146" t="s">
        <v>1341</v>
      </c>
    </row>
    <row r="233" spans="2:2" x14ac:dyDescent="0.25">
      <c r="B233" s="146" t="s">
        <v>719</v>
      </c>
    </row>
    <row r="234" spans="2:2" x14ac:dyDescent="0.25">
      <c r="B234" s="146" t="s">
        <v>1371</v>
      </c>
    </row>
    <row r="235" spans="2:2" x14ac:dyDescent="0.25">
      <c r="B235" s="146" t="s">
        <v>342</v>
      </c>
    </row>
    <row r="236" spans="2:2" x14ac:dyDescent="0.25">
      <c r="B236" s="146" t="s">
        <v>1262</v>
      </c>
    </row>
    <row r="237" spans="2:2" x14ac:dyDescent="0.25">
      <c r="B237" s="146" t="s">
        <v>1253</v>
      </c>
    </row>
    <row r="238" spans="2:2" x14ac:dyDescent="0.25">
      <c r="B238" s="146" t="s">
        <v>620</v>
      </c>
    </row>
    <row r="239" spans="2:2" x14ac:dyDescent="0.25">
      <c r="B239" s="146" t="s">
        <v>475</v>
      </c>
    </row>
    <row r="240" spans="2:2" x14ac:dyDescent="0.25">
      <c r="B240" s="146" t="s">
        <v>686</v>
      </c>
    </row>
    <row r="241" spans="2:2" x14ac:dyDescent="0.25">
      <c r="B241" s="146" t="s">
        <v>407</v>
      </c>
    </row>
    <row r="242" spans="2:2" x14ac:dyDescent="0.25">
      <c r="B242" s="146" t="s">
        <v>617</v>
      </c>
    </row>
    <row r="243" spans="2:2" x14ac:dyDescent="0.25">
      <c r="B243" s="146" t="s">
        <v>398</v>
      </c>
    </row>
    <row r="244" spans="2:2" x14ac:dyDescent="0.25">
      <c r="B244" s="146" t="s">
        <v>652</v>
      </c>
    </row>
    <row r="245" spans="2:2" x14ac:dyDescent="0.25">
      <c r="B245" s="146" t="s">
        <v>394</v>
      </c>
    </row>
    <row r="246" spans="2:2" x14ac:dyDescent="0.25">
      <c r="B246" s="146" t="s">
        <v>1166</v>
      </c>
    </row>
    <row r="247" spans="2:2" x14ac:dyDescent="0.25">
      <c r="B247" s="146" t="s">
        <v>1196</v>
      </c>
    </row>
    <row r="248" spans="2:2" x14ac:dyDescent="0.25">
      <c r="B248" s="146" t="s">
        <v>6993</v>
      </c>
    </row>
    <row r="249" spans="2:2" x14ac:dyDescent="0.25">
      <c r="B249" s="146" t="s">
        <v>1192</v>
      </c>
    </row>
    <row r="250" spans="2:2" x14ac:dyDescent="0.25">
      <c r="B250" s="146" t="s">
        <v>968</v>
      </c>
    </row>
    <row r="251" spans="2:2" x14ac:dyDescent="0.25">
      <c r="B251" s="146" t="s">
        <v>1020</v>
      </c>
    </row>
    <row r="252" spans="2:2" x14ac:dyDescent="0.25">
      <c r="B252" s="146" t="s">
        <v>932</v>
      </c>
    </row>
    <row r="253" spans="2:2" x14ac:dyDescent="0.25">
      <c r="B253" s="146" t="s">
        <v>876</v>
      </c>
    </row>
    <row r="254" spans="2:2" x14ac:dyDescent="0.25">
      <c r="B254" s="146" t="s">
        <v>1090</v>
      </c>
    </row>
    <row r="255" spans="2:2" x14ac:dyDescent="0.25">
      <c r="B255" s="146" t="s">
        <v>1378</v>
      </c>
    </row>
    <row r="256" spans="2:2" x14ac:dyDescent="0.25">
      <c r="B256" s="146" t="s">
        <v>597</v>
      </c>
    </row>
    <row r="257" spans="2:2" x14ac:dyDescent="0.25">
      <c r="B257" s="146" t="s">
        <v>550</v>
      </c>
    </row>
    <row r="258" spans="2:2" x14ac:dyDescent="0.25">
      <c r="B258" s="146" t="s">
        <v>1189</v>
      </c>
    </row>
    <row r="259" spans="2:2" x14ac:dyDescent="0.25">
      <c r="B259" s="146" t="s">
        <v>1014</v>
      </c>
    </row>
    <row r="260" spans="2:2" x14ac:dyDescent="0.25">
      <c r="B260" s="146" t="s">
        <v>338</v>
      </c>
    </row>
    <row r="261" spans="2:2" x14ac:dyDescent="0.25">
      <c r="B261" s="146" t="s">
        <v>347</v>
      </c>
    </row>
    <row r="262" spans="2:2" x14ac:dyDescent="0.25">
      <c r="B262" s="146" t="s">
        <v>263</v>
      </c>
    </row>
    <row r="263" spans="2:2" x14ac:dyDescent="0.25">
      <c r="B263" s="146" t="s">
        <v>1368</v>
      </c>
    </row>
    <row r="264" spans="2:2" x14ac:dyDescent="0.25">
      <c r="B264" s="146" t="s">
        <v>286</v>
      </c>
    </row>
    <row r="265" spans="2:2" x14ac:dyDescent="0.25">
      <c r="B265" s="146" t="s">
        <v>1415</v>
      </c>
    </row>
    <row r="266" spans="2:2" x14ac:dyDescent="0.25">
      <c r="B266" s="146" t="s">
        <v>1409</v>
      </c>
    </row>
    <row r="267" spans="2:2" x14ac:dyDescent="0.25">
      <c r="B267" s="146" t="s">
        <v>1416</v>
      </c>
    </row>
    <row r="268" spans="2:2" x14ac:dyDescent="0.25">
      <c r="B268" s="146" t="s">
        <v>1417</v>
      </c>
    </row>
    <row r="269" spans="2:2" x14ac:dyDescent="0.25">
      <c r="B269" s="146" t="s">
        <v>1418</v>
      </c>
    </row>
    <row r="270" spans="2:2" x14ac:dyDescent="0.25">
      <c r="B270" s="146" t="s">
        <v>1419</v>
      </c>
    </row>
    <row r="271" spans="2:2" x14ac:dyDescent="0.25">
      <c r="B271" s="146" t="s">
        <v>1420</v>
      </c>
    </row>
    <row r="272" spans="2:2" x14ac:dyDescent="0.25">
      <c r="B272" s="146" t="s">
        <v>1421</v>
      </c>
    </row>
    <row r="273" spans="2:2" x14ac:dyDescent="0.25">
      <c r="B273" s="146" t="s">
        <v>1422</v>
      </c>
    </row>
    <row r="274" spans="2:2" x14ac:dyDescent="0.25">
      <c r="B274" s="146" t="s">
        <v>1423</v>
      </c>
    </row>
    <row r="275" spans="2:2" x14ac:dyDescent="0.25">
      <c r="B275" s="146" t="s">
        <v>1424</v>
      </c>
    </row>
    <row r="276" spans="2:2" x14ac:dyDescent="0.25">
      <c r="B276" s="146" t="s">
        <v>1425</v>
      </c>
    </row>
    <row r="277" spans="2:2" x14ac:dyDescent="0.25">
      <c r="B277" s="146" t="s">
        <v>1426</v>
      </c>
    </row>
    <row r="278" spans="2:2" x14ac:dyDescent="0.25">
      <c r="B278" s="146" t="s">
        <v>1427</v>
      </c>
    </row>
    <row r="279" spans="2:2" x14ac:dyDescent="0.25">
      <c r="B279" s="146" t="s">
        <v>1428</v>
      </c>
    </row>
    <row r="280" spans="2:2" x14ac:dyDescent="0.25">
      <c r="B280" s="146" t="s">
        <v>1429</v>
      </c>
    </row>
    <row r="281" spans="2:2" x14ac:dyDescent="0.25">
      <c r="B281" s="146" t="s">
        <v>1408</v>
      </c>
    </row>
    <row r="282" spans="2:2" x14ac:dyDescent="0.25">
      <c r="B282" s="146" t="s">
        <v>1407</v>
      </c>
    </row>
    <row r="283" spans="2:2" x14ac:dyDescent="0.25">
      <c r="B283" s="146" t="s">
        <v>1410</v>
      </c>
    </row>
    <row r="284" spans="2:2" x14ac:dyDescent="0.25">
      <c r="B284" s="146" t="s">
        <v>1411</v>
      </c>
    </row>
    <row r="285" spans="2:2" x14ac:dyDescent="0.25">
      <c r="B285" s="146" t="s">
        <v>1412</v>
      </c>
    </row>
    <row r="286" spans="2:2" x14ac:dyDescent="0.25">
      <c r="B286" s="146" t="s">
        <v>1413</v>
      </c>
    </row>
    <row r="287" spans="2:2" x14ac:dyDescent="0.25">
      <c r="B287" s="146" t="s">
        <v>1414</v>
      </c>
    </row>
    <row r="288" spans="2:2" x14ac:dyDescent="0.25">
      <c r="B288" s="146" t="s">
        <v>1401</v>
      </c>
    </row>
    <row r="289" spans="2:2" x14ac:dyDescent="0.25">
      <c r="B289" s="146" t="s">
        <v>1402</v>
      </c>
    </row>
    <row r="290" spans="2:2" x14ac:dyDescent="0.25">
      <c r="B290" s="146" t="s">
        <v>1405</v>
      </c>
    </row>
    <row r="291" spans="2:2" x14ac:dyDescent="0.25">
      <c r="B291" s="146" t="s">
        <v>1431</v>
      </c>
    </row>
    <row r="292" spans="2:2" x14ac:dyDescent="0.25">
      <c r="B292" s="146" t="s">
        <v>1492</v>
      </c>
    </row>
    <row r="293" spans="2:2" x14ac:dyDescent="0.25">
      <c r="B293" s="146" t="s">
        <v>1438</v>
      </c>
    </row>
    <row r="294" spans="2:2" x14ac:dyDescent="0.25">
      <c r="B294" s="146" t="s">
        <v>1493</v>
      </c>
    </row>
    <row r="295" spans="2:2" x14ac:dyDescent="0.25">
      <c r="B295" s="146" t="s">
        <v>1494</v>
      </c>
    </row>
    <row r="296" spans="2:2" x14ac:dyDescent="0.25">
      <c r="B296" s="146" t="s">
        <v>1485</v>
      </c>
    </row>
    <row r="297" spans="2:2" x14ac:dyDescent="0.25">
      <c r="B297" s="146" t="s">
        <v>1495</v>
      </c>
    </row>
    <row r="298" spans="2:2" x14ac:dyDescent="0.25">
      <c r="B298" s="146" t="s">
        <v>1496</v>
      </c>
    </row>
    <row r="299" spans="2:2" x14ac:dyDescent="0.25">
      <c r="B299" s="146" t="s">
        <v>1572</v>
      </c>
    </row>
    <row r="300" spans="2:2" x14ac:dyDescent="0.25">
      <c r="B300" s="146" t="s">
        <v>1497</v>
      </c>
    </row>
    <row r="301" spans="2:2" x14ac:dyDescent="0.25">
      <c r="B301" s="146" t="s">
        <v>1498</v>
      </c>
    </row>
    <row r="302" spans="2:2" x14ac:dyDescent="0.25">
      <c r="B302" s="146" t="s">
        <v>1441</v>
      </c>
    </row>
    <row r="303" spans="2:2" x14ac:dyDescent="0.25">
      <c r="B303" s="146" t="s">
        <v>1499</v>
      </c>
    </row>
    <row r="304" spans="2:2" x14ac:dyDescent="0.25">
      <c r="B304" s="146" t="s">
        <v>1439</v>
      </c>
    </row>
    <row r="305" spans="2:2" x14ac:dyDescent="0.25">
      <c r="B305" s="146" t="s">
        <v>1500</v>
      </c>
    </row>
    <row r="306" spans="2:2" x14ac:dyDescent="0.25">
      <c r="B306" s="146" t="s">
        <v>1440</v>
      </c>
    </row>
    <row r="307" spans="2:2" x14ac:dyDescent="0.25">
      <c r="B307" s="146" t="s">
        <v>1442</v>
      </c>
    </row>
    <row r="308" spans="2:2" x14ac:dyDescent="0.25">
      <c r="B308" s="146" t="s">
        <v>1443</v>
      </c>
    </row>
    <row r="309" spans="2:2" x14ac:dyDescent="0.25">
      <c r="B309" s="146" t="s">
        <v>1444</v>
      </c>
    </row>
    <row r="310" spans="2:2" x14ac:dyDescent="0.25">
      <c r="B310" s="146" t="s">
        <v>1501</v>
      </c>
    </row>
    <row r="311" spans="2:2" x14ac:dyDescent="0.25">
      <c r="B311" s="146" t="s">
        <v>1502</v>
      </c>
    </row>
    <row r="312" spans="2:2" x14ac:dyDescent="0.25">
      <c r="B312" s="146" t="s">
        <v>1503</v>
      </c>
    </row>
    <row r="313" spans="2:2" x14ac:dyDescent="0.25">
      <c r="B313" s="146" t="s">
        <v>1504</v>
      </c>
    </row>
    <row r="314" spans="2:2" x14ac:dyDescent="0.25">
      <c r="B314" s="146" t="s">
        <v>1505</v>
      </c>
    </row>
    <row r="315" spans="2:2" x14ac:dyDescent="0.25">
      <c r="B315" s="146" t="s">
        <v>1506</v>
      </c>
    </row>
    <row r="316" spans="2:2" x14ac:dyDescent="0.25">
      <c r="B316" s="146" t="s">
        <v>1445</v>
      </c>
    </row>
    <row r="317" spans="2:2" x14ac:dyDescent="0.25">
      <c r="B317" s="146" t="s">
        <v>1507</v>
      </c>
    </row>
    <row r="318" spans="2:2" x14ac:dyDescent="0.25">
      <c r="B318" s="146" t="s">
        <v>1508</v>
      </c>
    </row>
    <row r="319" spans="2:2" x14ac:dyDescent="0.25">
      <c r="B319" s="146" t="s">
        <v>1509</v>
      </c>
    </row>
    <row r="320" spans="2:2" x14ac:dyDescent="0.25">
      <c r="B320" s="146" t="s">
        <v>1446</v>
      </c>
    </row>
    <row r="321" spans="2:2" x14ac:dyDescent="0.25">
      <c r="B321" s="146" t="s">
        <v>1447</v>
      </c>
    </row>
    <row r="322" spans="2:2" x14ac:dyDescent="0.25">
      <c r="B322" s="146" t="s">
        <v>1448</v>
      </c>
    </row>
    <row r="323" spans="2:2" x14ac:dyDescent="0.25">
      <c r="B323" s="146" t="s">
        <v>1510</v>
      </c>
    </row>
    <row r="324" spans="2:2" x14ac:dyDescent="0.25">
      <c r="B324" s="146" t="s">
        <v>1511</v>
      </c>
    </row>
    <row r="325" spans="2:2" x14ac:dyDescent="0.25">
      <c r="B325" s="146" t="s">
        <v>1512</v>
      </c>
    </row>
    <row r="326" spans="2:2" x14ac:dyDescent="0.25">
      <c r="B326" s="146" t="s">
        <v>1513</v>
      </c>
    </row>
    <row r="327" spans="2:2" x14ac:dyDescent="0.25">
      <c r="B327" s="146" t="s">
        <v>1449</v>
      </c>
    </row>
    <row r="328" spans="2:2" x14ac:dyDescent="0.25">
      <c r="B328" s="146" t="s">
        <v>1514</v>
      </c>
    </row>
    <row r="329" spans="2:2" x14ac:dyDescent="0.25">
      <c r="B329" s="146" t="s">
        <v>1515</v>
      </c>
    </row>
    <row r="330" spans="2:2" x14ac:dyDescent="0.25">
      <c r="B330" s="146" t="s">
        <v>1516</v>
      </c>
    </row>
    <row r="331" spans="2:2" x14ac:dyDescent="0.25">
      <c r="B331" s="146" t="s">
        <v>1517</v>
      </c>
    </row>
    <row r="332" spans="2:2" x14ac:dyDescent="0.25">
      <c r="B332" s="146" t="s">
        <v>1518</v>
      </c>
    </row>
    <row r="333" spans="2:2" x14ac:dyDescent="0.25">
      <c r="B333" s="146" t="s">
        <v>1519</v>
      </c>
    </row>
    <row r="334" spans="2:2" x14ac:dyDescent="0.25">
      <c r="B334" s="146" t="s">
        <v>1573</v>
      </c>
    </row>
    <row r="335" spans="2:2" x14ac:dyDescent="0.25">
      <c r="B335" s="146" t="s">
        <v>1450</v>
      </c>
    </row>
    <row r="336" spans="2:2" x14ac:dyDescent="0.25">
      <c r="B336" s="146" t="s">
        <v>1574</v>
      </c>
    </row>
    <row r="337" spans="2:2" x14ac:dyDescent="0.25">
      <c r="B337" s="146" t="s">
        <v>1575</v>
      </c>
    </row>
    <row r="338" spans="2:2" x14ac:dyDescent="0.25">
      <c r="B338" s="146" t="s">
        <v>1576</v>
      </c>
    </row>
    <row r="339" spans="2:2" x14ac:dyDescent="0.25">
      <c r="B339" s="146" t="s">
        <v>1520</v>
      </c>
    </row>
    <row r="340" spans="2:2" x14ac:dyDescent="0.25">
      <c r="B340" s="146" t="s">
        <v>1451</v>
      </c>
    </row>
    <row r="341" spans="2:2" x14ac:dyDescent="0.25">
      <c r="B341" s="146" t="s">
        <v>1452</v>
      </c>
    </row>
    <row r="342" spans="2:2" x14ac:dyDescent="0.25">
      <c r="B342" s="146" t="s">
        <v>1453</v>
      </c>
    </row>
    <row r="343" spans="2:2" x14ac:dyDescent="0.25">
      <c r="B343" s="146" t="s">
        <v>1521</v>
      </c>
    </row>
    <row r="344" spans="2:2" x14ac:dyDescent="0.25">
      <c r="B344" s="146" t="s">
        <v>1522</v>
      </c>
    </row>
    <row r="345" spans="2:2" x14ac:dyDescent="0.25">
      <c r="B345" s="146" t="s">
        <v>1523</v>
      </c>
    </row>
    <row r="346" spans="2:2" x14ac:dyDescent="0.25">
      <c r="B346" s="146" t="s">
        <v>1524</v>
      </c>
    </row>
    <row r="347" spans="2:2" x14ac:dyDescent="0.25">
      <c r="B347" s="146" t="s">
        <v>1525</v>
      </c>
    </row>
    <row r="348" spans="2:2" x14ac:dyDescent="0.25">
      <c r="B348" s="146" t="s">
        <v>1526</v>
      </c>
    </row>
    <row r="349" spans="2:2" x14ac:dyDescent="0.25">
      <c r="B349" s="146" t="s">
        <v>1527</v>
      </c>
    </row>
    <row r="350" spans="2:2" x14ac:dyDescent="0.25">
      <c r="B350" s="146" t="s">
        <v>1528</v>
      </c>
    </row>
    <row r="351" spans="2:2" x14ac:dyDescent="0.25">
      <c r="B351" s="146" t="s">
        <v>1529</v>
      </c>
    </row>
    <row r="352" spans="2:2" x14ac:dyDescent="0.25">
      <c r="B352" s="146" t="s">
        <v>1530</v>
      </c>
    </row>
    <row r="353" spans="2:2" x14ac:dyDescent="0.25">
      <c r="B353" s="146" t="s">
        <v>1531</v>
      </c>
    </row>
    <row r="354" spans="2:2" x14ac:dyDescent="0.25">
      <c r="B354" s="146" t="s">
        <v>1577</v>
      </c>
    </row>
    <row r="355" spans="2:2" x14ac:dyDescent="0.25">
      <c r="B355" s="146" t="s">
        <v>1454</v>
      </c>
    </row>
    <row r="356" spans="2:2" x14ac:dyDescent="0.25">
      <c r="B356" s="146" t="s">
        <v>1455</v>
      </c>
    </row>
    <row r="357" spans="2:2" x14ac:dyDescent="0.25">
      <c r="B357" s="146" t="s">
        <v>1532</v>
      </c>
    </row>
    <row r="358" spans="2:2" x14ac:dyDescent="0.25">
      <c r="B358" s="146" t="s">
        <v>1456</v>
      </c>
    </row>
    <row r="359" spans="2:2" x14ac:dyDescent="0.25">
      <c r="B359" s="146" t="s">
        <v>1457</v>
      </c>
    </row>
    <row r="360" spans="2:2" x14ac:dyDescent="0.25">
      <c r="B360" s="146" t="s">
        <v>1458</v>
      </c>
    </row>
    <row r="361" spans="2:2" x14ac:dyDescent="0.25">
      <c r="B361" s="146" t="s">
        <v>1533</v>
      </c>
    </row>
    <row r="362" spans="2:2" x14ac:dyDescent="0.25">
      <c r="B362" s="146" t="s">
        <v>1534</v>
      </c>
    </row>
    <row r="363" spans="2:2" x14ac:dyDescent="0.25">
      <c r="B363" s="146" t="s">
        <v>1535</v>
      </c>
    </row>
    <row r="364" spans="2:2" x14ac:dyDescent="0.25">
      <c r="B364" s="146" t="s">
        <v>1578</v>
      </c>
    </row>
    <row r="365" spans="2:2" x14ac:dyDescent="0.25">
      <c r="B365" s="146" t="s">
        <v>1537</v>
      </c>
    </row>
    <row r="366" spans="2:2" x14ac:dyDescent="0.25">
      <c r="B366" s="146" t="s">
        <v>1579</v>
      </c>
    </row>
    <row r="367" spans="2:2" x14ac:dyDescent="0.25">
      <c r="B367" s="146" t="s">
        <v>1536</v>
      </c>
    </row>
    <row r="368" spans="2:2" x14ac:dyDescent="0.25">
      <c r="B368" s="146" t="s">
        <v>1580</v>
      </c>
    </row>
    <row r="369" spans="2:2" x14ac:dyDescent="0.25">
      <c r="B369" s="146" t="s">
        <v>6994</v>
      </c>
    </row>
    <row r="370" spans="2:2" x14ac:dyDescent="0.25">
      <c r="B370" s="146" t="s">
        <v>1459</v>
      </c>
    </row>
    <row r="371" spans="2:2" x14ac:dyDescent="0.25">
      <c r="B371" s="146" t="s">
        <v>1460</v>
      </c>
    </row>
    <row r="372" spans="2:2" x14ac:dyDescent="0.25">
      <c r="B372" s="146" t="s">
        <v>1461</v>
      </c>
    </row>
    <row r="373" spans="2:2" x14ac:dyDescent="0.25">
      <c r="B373" s="146" t="s">
        <v>1462</v>
      </c>
    </row>
    <row r="374" spans="2:2" x14ac:dyDescent="0.25">
      <c r="B374" s="146" t="s">
        <v>1466</v>
      </c>
    </row>
    <row r="375" spans="2:2" x14ac:dyDescent="0.25">
      <c r="B375" s="146" t="s">
        <v>1463</v>
      </c>
    </row>
    <row r="376" spans="2:2" x14ac:dyDescent="0.25">
      <c r="B376" s="146" t="s">
        <v>1464</v>
      </c>
    </row>
    <row r="377" spans="2:2" x14ac:dyDescent="0.25">
      <c r="B377" s="146" t="s">
        <v>1465</v>
      </c>
    </row>
    <row r="378" spans="2:2" x14ac:dyDescent="0.25">
      <c r="B378" s="146" t="s">
        <v>1467</v>
      </c>
    </row>
    <row r="379" spans="2:2" x14ac:dyDescent="0.25">
      <c r="B379" s="146" t="s">
        <v>1538</v>
      </c>
    </row>
    <row r="380" spans="2:2" x14ac:dyDescent="0.25">
      <c r="B380" s="146" t="s">
        <v>1581</v>
      </c>
    </row>
    <row r="381" spans="2:2" x14ac:dyDescent="0.25">
      <c r="B381" s="146" t="s">
        <v>1539</v>
      </c>
    </row>
    <row r="382" spans="2:2" x14ac:dyDescent="0.25">
      <c r="B382" s="146" t="s">
        <v>1470</v>
      </c>
    </row>
    <row r="383" spans="2:2" x14ac:dyDescent="0.25">
      <c r="B383" s="146" t="s">
        <v>1540</v>
      </c>
    </row>
    <row r="384" spans="2:2" x14ac:dyDescent="0.25">
      <c r="B384" s="146" t="s">
        <v>1468</v>
      </c>
    </row>
    <row r="385" spans="2:2" x14ac:dyDescent="0.25">
      <c r="B385" s="146" t="s">
        <v>1541</v>
      </c>
    </row>
    <row r="386" spans="2:2" x14ac:dyDescent="0.25">
      <c r="B386" s="146" t="s">
        <v>1542</v>
      </c>
    </row>
    <row r="387" spans="2:2" x14ac:dyDescent="0.25">
      <c r="B387" s="146" t="s">
        <v>1582</v>
      </c>
    </row>
    <row r="388" spans="2:2" x14ac:dyDescent="0.25">
      <c r="B388" s="146" t="s">
        <v>1543</v>
      </c>
    </row>
    <row r="389" spans="2:2" x14ac:dyDescent="0.25">
      <c r="B389" s="146" t="s">
        <v>1583</v>
      </c>
    </row>
    <row r="390" spans="2:2" x14ac:dyDescent="0.25">
      <c r="B390" s="146" t="s">
        <v>1544</v>
      </c>
    </row>
    <row r="391" spans="2:2" x14ac:dyDescent="0.25">
      <c r="B391" s="146" t="s">
        <v>1545</v>
      </c>
    </row>
    <row r="392" spans="2:2" x14ac:dyDescent="0.25">
      <c r="B392" s="146" t="s">
        <v>1546</v>
      </c>
    </row>
    <row r="393" spans="2:2" x14ac:dyDescent="0.25">
      <c r="B393" s="146" t="s">
        <v>1547</v>
      </c>
    </row>
    <row r="394" spans="2:2" x14ac:dyDescent="0.25">
      <c r="B394" s="146" t="s">
        <v>1584</v>
      </c>
    </row>
    <row r="395" spans="2:2" x14ac:dyDescent="0.25">
      <c r="B395" s="146" t="s">
        <v>1469</v>
      </c>
    </row>
    <row r="396" spans="2:2" x14ac:dyDescent="0.25">
      <c r="B396" s="146" t="s">
        <v>1548</v>
      </c>
    </row>
    <row r="397" spans="2:2" x14ac:dyDescent="0.25">
      <c r="B397" s="146" t="s">
        <v>1471</v>
      </c>
    </row>
    <row r="398" spans="2:2" x14ac:dyDescent="0.25">
      <c r="B398" s="146" t="s">
        <v>1472</v>
      </c>
    </row>
    <row r="399" spans="2:2" x14ac:dyDescent="0.25">
      <c r="B399" s="146" t="s">
        <v>1549</v>
      </c>
    </row>
    <row r="400" spans="2:2" x14ac:dyDescent="0.25">
      <c r="B400" s="146" t="s">
        <v>1550</v>
      </c>
    </row>
    <row r="401" spans="2:2" x14ac:dyDescent="0.25">
      <c r="B401" s="146" t="s">
        <v>1473</v>
      </c>
    </row>
    <row r="402" spans="2:2" x14ac:dyDescent="0.25">
      <c r="B402" s="146" t="s">
        <v>1474</v>
      </c>
    </row>
    <row r="403" spans="2:2" x14ac:dyDescent="0.25">
      <c r="B403" s="146" t="s">
        <v>1475</v>
      </c>
    </row>
    <row r="404" spans="2:2" x14ac:dyDescent="0.25">
      <c r="B404" s="146" t="s">
        <v>1476</v>
      </c>
    </row>
    <row r="405" spans="2:2" x14ac:dyDescent="0.25">
      <c r="B405" s="146" t="s">
        <v>1478</v>
      </c>
    </row>
    <row r="406" spans="2:2" x14ac:dyDescent="0.25">
      <c r="B406" s="146" t="s">
        <v>1479</v>
      </c>
    </row>
    <row r="407" spans="2:2" x14ac:dyDescent="0.25">
      <c r="B407" s="146" t="s">
        <v>1480</v>
      </c>
    </row>
    <row r="408" spans="2:2" x14ac:dyDescent="0.25">
      <c r="B408" s="146" t="s">
        <v>1481</v>
      </c>
    </row>
    <row r="409" spans="2:2" x14ac:dyDescent="0.25">
      <c r="B409" s="146" t="s">
        <v>1585</v>
      </c>
    </row>
    <row r="410" spans="2:2" x14ac:dyDescent="0.25">
      <c r="B410" s="146" t="s">
        <v>1586</v>
      </c>
    </row>
    <row r="411" spans="2:2" x14ac:dyDescent="0.25">
      <c r="B411" s="146" t="s">
        <v>1587</v>
      </c>
    </row>
    <row r="412" spans="2:2" x14ac:dyDescent="0.25">
      <c r="B412" s="146" t="s">
        <v>1551</v>
      </c>
    </row>
    <row r="413" spans="2:2" x14ac:dyDescent="0.25">
      <c r="B413" s="146" t="s">
        <v>1552</v>
      </c>
    </row>
    <row r="414" spans="2:2" x14ac:dyDescent="0.25">
      <c r="B414" s="146" t="s">
        <v>1489</v>
      </c>
    </row>
    <row r="415" spans="2:2" x14ac:dyDescent="0.25">
      <c r="B415" s="146" t="s">
        <v>1490</v>
      </c>
    </row>
    <row r="416" spans="2:2" x14ac:dyDescent="0.25">
      <c r="B416" s="146" t="s">
        <v>1491</v>
      </c>
    </row>
    <row r="417" spans="2:2" x14ac:dyDescent="0.25">
      <c r="B417" s="146" t="s">
        <v>1553</v>
      </c>
    </row>
    <row r="418" spans="2:2" x14ac:dyDescent="0.25">
      <c r="B418" s="146" t="s">
        <v>1554</v>
      </c>
    </row>
    <row r="419" spans="2:2" x14ac:dyDescent="0.25">
      <c r="B419" s="146" t="s">
        <v>1555</v>
      </c>
    </row>
    <row r="420" spans="2:2" x14ac:dyDescent="0.25">
      <c r="B420" s="146" t="s">
        <v>1556</v>
      </c>
    </row>
    <row r="421" spans="2:2" x14ac:dyDescent="0.25">
      <c r="B421" s="146" t="s">
        <v>1557</v>
      </c>
    </row>
    <row r="422" spans="2:2" x14ac:dyDescent="0.25">
      <c r="B422" s="146" t="s">
        <v>1558</v>
      </c>
    </row>
    <row r="423" spans="2:2" x14ac:dyDescent="0.25">
      <c r="B423" s="146" t="s">
        <v>1559</v>
      </c>
    </row>
    <row r="424" spans="2:2" x14ac:dyDescent="0.25">
      <c r="B424" s="146" t="s">
        <v>1560</v>
      </c>
    </row>
    <row r="425" spans="2:2" x14ac:dyDescent="0.25">
      <c r="B425" s="146" t="s">
        <v>1561</v>
      </c>
    </row>
    <row r="426" spans="2:2" x14ac:dyDescent="0.25">
      <c r="B426" s="146" t="s">
        <v>1562</v>
      </c>
    </row>
    <row r="427" spans="2:2" x14ac:dyDescent="0.25">
      <c r="B427" s="146" t="s">
        <v>1563</v>
      </c>
    </row>
    <row r="428" spans="2:2" x14ac:dyDescent="0.25">
      <c r="B428" s="146" t="s">
        <v>1564</v>
      </c>
    </row>
    <row r="429" spans="2:2" x14ac:dyDescent="0.25">
      <c r="B429" s="146" t="s">
        <v>1565</v>
      </c>
    </row>
    <row r="430" spans="2:2" x14ac:dyDescent="0.25">
      <c r="B430" s="146" t="s">
        <v>1566</v>
      </c>
    </row>
    <row r="431" spans="2:2" x14ac:dyDescent="0.25">
      <c r="B431" s="146" t="s">
        <v>1567</v>
      </c>
    </row>
    <row r="432" spans="2:2" x14ac:dyDescent="0.25">
      <c r="B432" s="146" t="s">
        <v>1482</v>
      </c>
    </row>
    <row r="433" spans="2:2" x14ac:dyDescent="0.25">
      <c r="B433" s="146" t="s">
        <v>1568</v>
      </c>
    </row>
    <row r="434" spans="2:2" x14ac:dyDescent="0.25">
      <c r="B434" s="146" t="s">
        <v>1569</v>
      </c>
    </row>
    <row r="435" spans="2:2" x14ac:dyDescent="0.25">
      <c r="B435" s="146" t="s">
        <v>1570</v>
      </c>
    </row>
    <row r="436" spans="2:2" x14ac:dyDescent="0.25">
      <c r="B436" s="146" t="s">
        <v>1571</v>
      </c>
    </row>
    <row r="437" spans="2:2" x14ac:dyDescent="0.25">
      <c r="B437" s="146" t="s">
        <v>1483</v>
      </c>
    </row>
    <row r="438" spans="2:2" x14ac:dyDescent="0.25">
      <c r="B438" s="146" t="s">
        <v>1433</v>
      </c>
    </row>
    <row r="439" spans="2:2" x14ac:dyDescent="0.25">
      <c r="B439" s="146" t="s">
        <v>1592</v>
      </c>
    </row>
    <row r="440" spans="2:2" x14ac:dyDescent="0.25">
      <c r="B440" s="146" t="s">
        <v>1593</v>
      </c>
    </row>
    <row r="441" spans="2:2" x14ac:dyDescent="0.25">
      <c r="B441" s="146" t="s">
        <v>1594</v>
      </c>
    </row>
    <row r="442" spans="2:2" x14ac:dyDescent="0.25">
      <c r="B442" s="146" t="s">
        <v>1596</v>
      </c>
    </row>
    <row r="443" spans="2:2" x14ac:dyDescent="0.25">
      <c r="B443" s="146" t="s">
        <v>1595</v>
      </c>
    </row>
    <row r="444" spans="2:2" x14ac:dyDescent="0.25">
      <c r="B444" s="146" t="s">
        <v>1597</v>
      </c>
    </row>
    <row r="445" spans="2:2" x14ac:dyDescent="0.25">
      <c r="B445" s="146" t="s">
        <v>1598</v>
      </c>
    </row>
    <row r="446" spans="2:2" x14ac:dyDescent="0.25">
      <c r="B446" s="146" t="s">
        <v>1617</v>
      </c>
    </row>
    <row r="447" spans="2:2" x14ac:dyDescent="0.25">
      <c r="B447" s="146" t="s">
        <v>1618</v>
      </c>
    </row>
    <row r="448" spans="2:2" x14ac:dyDescent="0.25">
      <c r="B448" s="146" t="s">
        <v>1619</v>
      </c>
    </row>
    <row r="449" spans="2:2" x14ac:dyDescent="0.25">
      <c r="B449" s="146" t="s">
        <v>1615</v>
      </c>
    </row>
    <row r="450" spans="2:2" x14ac:dyDescent="0.25">
      <c r="B450" s="146" t="s">
        <v>1616</v>
      </c>
    </row>
    <row r="451" spans="2:2" x14ac:dyDescent="0.25">
      <c r="B451" s="146" t="s">
        <v>1600</v>
      </c>
    </row>
    <row r="452" spans="2:2" x14ac:dyDescent="0.25">
      <c r="B452" s="146" t="s">
        <v>1601</v>
      </c>
    </row>
    <row r="453" spans="2:2" x14ac:dyDescent="0.25">
      <c r="B453" s="146" t="s">
        <v>1602</v>
      </c>
    </row>
    <row r="454" spans="2:2" x14ac:dyDescent="0.25">
      <c r="B454" s="146" t="s">
        <v>1603</v>
      </c>
    </row>
    <row r="455" spans="2:2" x14ac:dyDescent="0.25">
      <c r="B455" s="146" t="s">
        <v>1604</v>
      </c>
    </row>
    <row r="456" spans="2:2" x14ac:dyDescent="0.25">
      <c r="B456" s="146" t="s">
        <v>1607</v>
      </c>
    </row>
    <row r="457" spans="2:2" x14ac:dyDescent="0.25">
      <c r="B457" s="146" t="s">
        <v>1605</v>
      </c>
    </row>
    <row r="458" spans="2:2" x14ac:dyDescent="0.25">
      <c r="B458" s="146" t="s">
        <v>1606</v>
      </c>
    </row>
    <row r="459" spans="2:2" x14ac:dyDescent="0.25">
      <c r="B459" s="146" t="s">
        <v>1608</v>
      </c>
    </row>
    <row r="460" spans="2:2" x14ac:dyDescent="0.25">
      <c r="B460" s="146" t="s">
        <v>1609</v>
      </c>
    </row>
    <row r="461" spans="2:2" x14ac:dyDescent="0.25">
      <c r="B461" s="146" t="s">
        <v>1610</v>
      </c>
    </row>
    <row r="462" spans="2:2" x14ac:dyDescent="0.25">
      <c r="B462" s="146" t="s">
        <v>1612</v>
      </c>
    </row>
    <row r="463" spans="2:2" x14ac:dyDescent="0.25">
      <c r="B463" s="146" t="s">
        <v>1629</v>
      </c>
    </row>
    <row r="464" spans="2:2" x14ac:dyDescent="0.25">
      <c r="B464" s="146" t="s">
        <v>1628</v>
      </c>
    </row>
    <row r="465" spans="2:2" x14ac:dyDescent="0.25">
      <c r="B465" s="146" t="s">
        <v>1630</v>
      </c>
    </row>
    <row r="466" spans="2:2" x14ac:dyDescent="0.25">
      <c r="B466" s="146" t="s">
        <v>1632</v>
      </c>
    </row>
    <row r="467" spans="2:2" x14ac:dyDescent="0.25">
      <c r="B467" s="146" t="s">
        <v>1631</v>
      </c>
    </row>
    <row r="468" spans="2:2" x14ac:dyDescent="0.25">
      <c r="B468" s="146" t="s">
        <v>1637</v>
      </c>
    </row>
    <row r="469" spans="2:2" x14ac:dyDescent="0.25">
      <c r="B469" s="146" t="s">
        <v>1657</v>
      </c>
    </row>
    <row r="470" spans="2:2" x14ac:dyDescent="0.25">
      <c r="B470" s="146" t="s">
        <v>1636</v>
      </c>
    </row>
    <row r="471" spans="2:2" x14ac:dyDescent="0.25">
      <c r="B471" s="146" t="s">
        <v>1635</v>
      </c>
    </row>
    <row r="472" spans="2:2" x14ac:dyDescent="0.25">
      <c r="B472" s="146" t="s">
        <v>1656</v>
      </c>
    </row>
    <row r="473" spans="2:2" x14ac:dyDescent="0.25">
      <c r="B473" s="146" t="s">
        <v>1627</v>
      </c>
    </row>
    <row r="474" spans="2:2" x14ac:dyDescent="0.25">
      <c r="B474" s="146" t="s">
        <v>1654</v>
      </c>
    </row>
    <row r="475" spans="2:2" x14ac:dyDescent="0.25">
      <c r="B475" s="146" t="s">
        <v>1655</v>
      </c>
    </row>
    <row r="476" spans="2:2" x14ac:dyDescent="0.25">
      <c r="B476" s="146" t="s">
        <v>1653</v>
      </c>
    </row>
    <row r="477" spans="2:2" x14ac:dyDescent="0.25">
      <c r="B477" s="146" t="s">
        <v>1652</v>
      </c>
    </row>
    <row r="478" spans="2:2" x14ac:dyDescent="0.25">
      <c r="B478" s="146" t="s">
        <v>1651</v>
      </c>
    </row>
    <row r="479" spans="2:2" x14ac:dyDescent="0.25">
      <c r="B479" s="146" t="s">
        <v>1650</v>
      </c>
    </row>
    <row r="480" spans="2:2" x14ac:dyDescent="0.25">
      <c r="B480" s="146" t="s">
        <v>1649</v>
      </c>
    </row>
    <row r="481" spans="2:2" x14ac:dyDescent="0.25">
      <c r="B481" s="146" t="s">
        <v>1646</v>
      </c>
    </row>
    <row r="482" spans="2:2" x14ac:dyDescent="0.25">
      <c r="B482" s="146" t="s">
        <v>1647</v>
      </c>
    </row>
    <row r="483" spans="2:2" x14ac:dyDescent="0.25">
      <c r="B483" s="146" t="s">
        <v>1648</v>
      </c>
    </row>
    <row r="484" spans="2:2" x14ac:dyDescent="0.25">
      <c r="B484" s="146" t="s">
        <v>1645</v>
      </c>
    </row>
    <row r="485" spans="2:2" x14ac:dyDescent="0.25">
      <c r="B485" s="146" t="s">
        <v>1644</v>
      </c>
    </row>
    <row r="486" spans="2:2" x14ac:dyDescent="0.25">
      <c r="B486" s="146" t="s">
        <v>1643</v>
      </c>
    </row>
    <row r="487" spans="2:2" x14ac:dyDescent="0.25">
      <c r="B487" s="146" t="s">
        <v>1626</v>
      </c>
    </row>
    <row r="488" spans="2:2" x14ac:dyDescent="0.25">
      <c r="B488" s="146" t="s">
        <v>1624</v>
      </c>
    </row>
    <row r="489" spans="2:2" x14ac:dyDescent="0.25">
      <c r="B489" s="146" t="s">
        <v>1625</v>
      </c>
    </row>
    <row r="490" spans="2:2" x14ac:dyDescent="0.25">
      <c r="B490" s="146" t="s">
        <v>1659</v>
      </c>
    </row>
    <row r="491" spans="2:2" x14ac:dyDescent="0.25">
      <c r="B491" s="146" t="s">
        <v>2776</v>
      </c>
    </row>
    <row r="492" spans="2:2" x14ac:dyDescent="0.25">
      <c r="B492" s="146" t="s">
        <v>2834</v>
      </c>
    </row>
    <row r="493" spans="2:2" x14ac:dyDescent="0.25">
      <c r="B493" s="146" t="s">
        <v>2835</v>
      </c>
    </row>
    <row r="494" spans="2:2" x14ac:dyDescent="0.25">
      <c r="B494" s="146" t="s">
        <v>2777</v>
      </c>
    </row>
    <row r="495" spans="2:2" x14ac:dyDescent="0.25">
      <c r="B495" s="146" t="s">
        <v>2836</v>
      </c>
    </row>
    <row r="496" spans="2:2" x14ac:dyDescent="0.25">
      <c r="B496" s="146" t="s">
        <v>2778</v>
      </c>
    </row>
    <row r="497" spans="2:2" x14ac:dyDescent="0.25">
      <c r="B497" s="146" t="s">
        <v>2779</v>
      </c>
    </row>
    <row r="498" spans="2:2" x14ac:dyDescent="0.25">
      <c r="B498" s="146" t="s">
        <v>2780</v>
      </c>
    </row>
    <row r="499" spans="2:2" x14ac:dyDescent="0.25">
      <c r="B499" s="146" t="s">
        <v>2837</v>
      </c>
    </row>
    <row r="500" spans="2:2" x14ac:dyDescent="0.25">
      <c r="B500" s="146" t="s">
        <v>2781</v>
      </c>
    </row>
    <row r="501" spans="2:2" x14ac:dyDescent="0.25">
      <c r="B501" s="146" t="s">
        <v>2782</v>
      </c>
    </row>
    <row r="502" spans="2:2" x14ac:dyDescent="0.25">
      <c r="B502" s="146" t="s">
        <v>2783</v>
      </c>
    </row>
    <row r="503" spans="2:2" x14ac:dyDescent="0.25">
      <c r="B503" s="146" t="s">
        <v>6995</v>
      </c>
    </row>
    <row r="504" spans="2:2" x14ac:dyDescent="0.25">
      <c r="B504" s="146" t="s">
        <v>2784</v>
      </c>
    </row>
    <row r="505" spans="2:2" x14ac:dyDescent="0.25">
      <c r="B505" s="146" t="s">
        <v>2785</v>
      </c>
    </row>
    <row r="506" spans="2:2" x14ac:dyDescent="0.25">
      <c r="B506" s="146" t="s">
        <v>2786</v>
      </c>
    </row>
    <row r="507" spans="2:2" x14ac:dyDescent="0.25">
      <c r="B507" s="146" t="s">
        <v>2787</v>
      </c>
    </row>
    <row r="508" spans="2:2" x14ac:dyDescent="0.25">
      <c r="B508" s="146" t="s">
        <v>2788</v>
      </c>
    </row>
    <row r="509" spans="2:2" x14ac:dyDescent="0.25">
      <c r="B509" s="146" t="s">
        <v>2789</v>
      </c>
    </row>
    <row r="510" spans="2:2" x14ac:dyDescent="0.25">
      <c r="B510" s="146" t="s">
        <v>2790</v>
      </c>
    </row>
    <row r="511" spans="2:2" x14ac:dyDescent="0.25">
      <c r="B511" s="146" t="s">
        <v>2791</v>
      </c>
    </row>
    <row r="512" spans="2:2" x14ac:dyDescent="0.25">
      <c r="B512" s="146" t="s">
        <v>2792</v>
      </c>
    </row>
    <row r="513" spans="2:2" x14ac:dyDescent="0.25">
      <c r="B513" s="146" t="s">
        <v>2793</v>
      </c>
    </row>
    <row r="514" spans="2:2" x14ac:dyDescent="0.25">
      <c r="B514" s="146" t="s">
        <v>2794</v>
      </c>
    </row>
    <row r="515" spans="2:2" x14ac:dyDescent="0.25">
      <c r="B515" s="146" t="s">
        <v>2795</v>
      </c>
    </row>
    <row r="516" spans="2:2" x14ac:dyDescent="0.25">
      <c r="B516" s="146" t="s">
        <v>2796</v>
      </c>
    </row>
    <row r="517" spans="2:2" x14ac:dyDescent="0.25">
      <c r="B517" s="146" t="s">
        <v>2797</v>
      </c>
    </row>
    <row r="518" spans="2:2" x14ac:dyDescent="0.25">
      <c r="B518" s="146" t="s">
        <v>2798</v>
      </c>
    </row>
    <row r="519" spans="2:2" x14ac:dyDescent="0.25">
      <c r="B519" s="146" t="s">
        <v>2799</v>
      </c>
    </row>
    <row r="520" spans="2:2" x14ac:dyDescent="0.25">
      <c r="B520" s="146" t="s">
        <v>2800</v>
      </c>
    </row>
    <row r="521" spans="2:2" x14ac:dyDescent="0.25">
      <c r="B521" s="146" t="s">
        <v>2801</v>
      </c>
    </row>
    <row r="522" spans="2:2" x14ac:dyDescent="0.25">
      <c r="B522" s="146" t="s">
        <v>2802</v>
      </c>
    </row>
    <row r="523" spans="2:2" x14ac:dyDescent="0.25">
      <c r="B523" s="146" t="s">
        <v>2803</v>
      </c>
    </row>
    <row r="524" spans="2:2" x14ac:dyDescent="0.25">
      <c r="B524" s="146" t="s">
        <v>2805</v>
      </c>
    </row>
    <row r="525" spans="2:2" x14ac:dyDescent="0.25">
      <c r="B525" s="146" t="s">
        <v>2804</v>
      </c>
    </row>
    <row r="526" spans="2:2" x14ac:dyDescent="0.25">
      <c r="B526" s="146" t="s">
        <v>2806</v>
      </c>
    </row>
    <row r="527" spans="2:2" x14ac:dyDescent="0.25">
      <c r="B527" s="146" t="s">
        <v>2807</v>
      </c>
    </row>
    <row r="528" spans="2:2" x14ac:dyDescent="0.25">
      <c r="B528" s="146" t="s">
        <v>2808</v>
      </c>
    </row>
    <row r="529" spans="2:2" x14ac:dyDescent="0.25">
      <c r="B529" s="146" t="s">
        <v>2809</v>
      </c>
    </row>
    <row r="530" spans="2:2" x14ac:dyDescent="0.25">
      <c r="B530" s="146" t="s">
        <v>2810</v>
      </c>
    </row>
    <row r="531" spans="2:2" x14ac:dyDescent="0.25">
      <c r="B531" s="146" t="s">
        <v>2811</v>
      </c>
    </row>
    <row r="532" spans="2:2" x14ac:dyDescent="0.25">
      <c r="B532" s="146" t="s">
        <v>2812</v>
      </c>
    </row>
    <row r="533" spans="2:2" x14ac:dyDescent="0.25">
      <c r="B533" s="146" t="s">
        <v>2813</v>
      </c>
    </row>
    <row r="534" spans="2:2" x14ac:dyDescent="0.25">
      <c r="B534" s="146" t="s">
        <v>2814</v>
      </c>
    </row>
    <row r="535" spans="2:2" x14ac:dyDescent="0.25">
      <c r="B535" s="146" t="s">
        <v>2815</v>
      </c>
    </row>
    <row r="536" spans="2:2" x14ac:dyDescent="0.25">
      <c r="B536" s="146" t="s">
        <v>2816</v>
      </c>
    </row>
    <row r="537" spans="2:2" x14ac:dyDescent="0.25">
      <c r="B537" s="146" t="s">
        <v>2817</v>
      </c>
    </row>
    <row r="538" spans="2:2" x14ac:dyDescent="0.25">
      <c r="B538" s="146" t="s">
        <v>2818</v>
      </c>
    </row>
    <row r="539" spans="2:2" x14ac:dyDescent="0.25">
      <c r="B539" s="146" t="s">
        <v>2819</v>
      </c>
    </row>
    <row r="540" spans="2:2" x14ac:dyDescent="0.25">
      <c r="B540" s="146" t="s">
        <v>2873</v>
      </c>
    </row>
    <row r="541" spans="2:2" x14ac:dyDescent="0.25">
      <c r="B541" s="146" t="s">
        <v>2820</v>
      </c>
    </row>
    <row r="542" spans="2:2" x14ac:dyDescent="0.25">
      <c r="B542" s="146" t="s">
        <v>2821</v>
      </c>
    </row>
    <row r="543" spans="2:2" x14ac:dyDescent="0.25">
      <c r="B543" s="146" t="s">
        <v>2822</v>
      </c>
    </row>
    <row r="544" spans="2:2" x14ac:dyDescent="0.25">
      <c r="B544" s="146" t="s">
        <v>2823</v>
      </c>
    </row>
    <row r="545" spans="2:2" x14ac:dyDescent="0.25">
      <c r="B545" s="146" t="s">
        <v>2824</v>
      </c>
    </row>
    <row r="546" spans="2:2" x14ac:dyDescent="0.25">
      <c r="B546" s="146" t="s">
        <v>2825</v>
      </c>
    </row>
    <row r="547" spans="2:2" x14ac:dyDescent="0.25">
      <c r="B547" s="146" t="s">
        <v>2826</v>
      </c>
    </row>
    <row r="548" spans="2:2" x14ac:dyDescent="0.25">
      <c r="B548" s="146" t="s">
        <v>2827</v>
      </c>
    </row>
    <row r="549" spans="2:2" x14ac:dyDescent="0.25">
      <c r="B549" s="146" t="s">
        <v>2828</v>
      </c>
    </row>
    <row r="550" spans="2:2" x14ac:dyDescent="0.25">
      <c r="B550" s="146" t="s">
        <v>2829</v>
      </c>
    </row>
    <row r="551" spans="2:2" x14ac:dyDescent="0.25">
      <c r="B551" s="146" t="s">
        <v>2830</v>
      </c>
    </row>
    <row r="552" spans="2:2" x14ac:dyDescent="0.25">
      <c r="B552" s="146" t="s">
        <v>2831</v>
      </c>
    </row>
    <row r="553" spans="2:2" x14ac:dyDescent="0.25">
      <c r="B553" s="146" t="s">
        <v>2832</v>
      </c>
    </row>
    <row r="554" spans="2:2" x14ac:dyDescent="0.25">
      <c r="B554" s="146" t="s">
        <v>2880</v>
      </c>
    </row>
    <row r="555" spans="2:2" x14ac:dyDescent="0.25">
      <c r="B555" s="146" t="s">
        <v>2867</v>
      </c>
    </row>
    <row r="556" spans="2:2" x14ac:dyDescent="0.25">
      <c r="B556" s="146" t="s">
        <v>2854</v>
      </c>
    </row>
    <row r="557" spans="2:2" x14ac:dyDescent="0.25">
      <c r="B557" s="146" t="s">
        <v>2847</v>
      </c>
    </row>
    <row r="558" spans="2:2" x14ac:dyDescent="0.25">
      <c r="B558" s="146" t="s">
        <v>2902</v>
      </c>
    </row>
    <row r="559" spans="2:2" x14ac:dyDescent="0.25">
      <c r="B559" s="146" t="s">
        <v>2846</v>
      </c>
    </row>
    <row r="560" spans="2:2" x14ac:dyDescent="0.25">
      <c r="B560" s="146" t="s">
        <v>2841</v>
      </c>
    </row>
    <row r="561" spans="2:2" x14ac:dyDescent="0.25">
      <c r="B561" s="146" t="s">
        <v>2840</v>
      </c>
    </row>
    <row r="562" spans="2:2" x14ac:dyDescent="0.25">
      <c r="B562" s="146" t="s">
        <v>2839</v>
      </c>
    </row>
    <row r="563" spans="2:2" x14ac:dyDescent="0.25">
      <c r="B563" s="146" t="s">
        <v>2879</v>
      </c>
    </row>
    <row r="564" spans="2:2" x14ac:dyDescent="0.25">
      <c r="B564" s="146" t="s">
        <v>2843</v>
      </c>
    </row>
    <row r="565" spans="2:2" x14ac:dyDescent="0.25">
      <c r="B565" s="146" t="s">
        <v>2891</v>
      </c>
    </row>
    <row r="566" spans="2:2" x14ac:dyDescent="0.25">
      <c r="B566" s="146" t="s">
        <v>2856</v>
      </c>
    </row>
    <row r="567" spans="2:2" x14ac:dyDescent="0.25">
      <c r="B567" s="146" t="s">
        <v>2897</v>
      </c>
    </row>
    <row r="568" spans="2:2" x14ac:dyDescent="0.25">
      <c r="B568" s="146" t="s">
        <v>2892</v>
      </c>
    </row>
    <row r="569" spans="2:2" x14ac:dyDescent="0.25">
      <c r="B569" s="146" t="s">
        <v>2859</v>
      </c>
    </row>
    <row r="570" spans="2:2" x14ac:dyDescent="0.25">
      <c r="B570" s="146" t="s">
        <v>2893</v>
      </c>
    </row>
    <row r="571" spans="2:2" x14ac:dyDescent="0.25">
      <c r="B571" s="146" t="s">
        <v>2903</v>
      </c>
    </row>
    <row r="572" spans="2:2" x14ac:dyDescent="0.25">
      <c r="B572" s="146" t="s">
        <v>2849</v>
      </c>
    </row>
    <row r="573" spans="2:2" x14ac:dyDescent="0.25">
      <c r="B573" s="146" t="s">
        <v>2857</v>
      </c>
    </row>
    <row r="574" spans="2:2" x14ac:dyDescent="0.25">
      <c r="B574" s="146" t="s">
        <v>2858</v>
      </c>
    </row>
    <row r="575" spans="2:2" x14ac:dyDescent="0.25">
      <c r="B575" s="146" t="s">
        <v>2887</v>
      </c>
    </row>
    <row r="576" spans="2:2" x14ac:dyDescent="0.25">
      <c r="B576" s="146" t="s">
        <v>2848</v>
      </c>
    </row>
    <row r="577" spans="2:2" x14ac:dyDescent="0.25">
      <c r="B577" s="146" t="s">
        <v>2884</v>
      </c>
    </row>
    <row r="578" spans="2:2" x14ac:dyDescent="0.25">
      <c r="B578" s="146" t="s">
        <v>2889</v>
      </c>
    </row>
    <row r="579" spans="2:2" x14ac:dyDescent="0.25">
      <c r="B579" s="146" t="s">
        <v>2852</v>
      </c>
    </row>
    <row r="580" spans="2:2" x14ac:dyDescent="0.25">
      <c r="B580" s="146" t="s">
        <v>2877</v>
      </c>
    </row>
    <row r="581" spans="2:2" x14ac:dyDescent="0.25">
      <c r="B581" s="146" t="s">
        <v>2886</v>
      </c>
    </row>
    <row r="582" spans="2:2" x14ac:dyDescent="0.25">
      <c r="B582" s="146" t="s">
        <v>2890</v>
      </c>
    </row>
    <row r="583" spans="2:2" x14ac:dyDescent="0.25">
      <c r="B583" s="146" t="s">
        <v>2855</v>
      </c>
    </row>
    <row r="584" spans="2:2" x14ac:dyDescent="0.25">
      <c r="B584" s="146" t="s">
        <v>2853</v>
      </c>
    </row>
    <row r="585" spans="2:2" x14ac:dyDescent="0.25">
      <c r="B585" s="146" t="s">
        <v>2850</v>
      </c>
    </row>
    <row r="586" spans="2:2" x14ac:dyDescent="0.25">
      <c r="B586" s="146" t="s">
        <v>2851</v>
      </c>
    </row>
    <row r="587" spans="2:2" x14ac:dyDescent="0.25">
      <c r="B587" s="146" t="s">
        <v>2899</v>
      </c>
    </row>
    <row r="588" spans="2:2" x14ac:dyDescent="0.25">
      <c r="B588" s="146" t="s">
        <v>2900</v>
      </c>
    </row>
    <row r="589" spans="2:2" x14ac:dyDescent="0.25">
      <c r="B589" s="146" t="s">
        <v>2863</v>
      </c>
    </row>
    <row r="590" spans="2:2" x14ac:dyDescent="0.25">
      <c r="B590" s="146" t="s">
        <v>2874</v>
      </c>
    </row>
    <row r="591" spans="2:2" x14ac:dyDescent="0.25">
      <c r="B591" s="146" t="s">
        <v>2864</v>
      </c>
    </row>
    <row r="592" spans="2:2" x14ac:dyDescent="0.25">
      <c r="B592" s="146" t="s">
        <v>2866</v>
      </c>
    </row>
    <row r="593" spans="2:2" x14ac:dyDescent="0.25">
      <c r="B593" s="146" t="s">
        <v>2865</v>
      </c>
    </row>
    <row r="594" spans="2:2" x14ac:dyDescent="0.25">
      <c r="B594" s="146" t="s">
        <v>2878</v>
      </c>
    </row>
    <row r="595" spans="2:2" x14ac:dyDescent="0.25">
      <c r="B595" s="146" t="s">
        <v>2876</v>
      </c>
    </row>
    <row r="596" spans="2:2" x14ac:dyDescent="0.25">
      <c r="B596" s="146" t="s">
        <v>2888</v>
      </c>
    </row>
    <row r="597" spans="2:2" x14ac:dyDescent="0.25">
      <c r="B597" s="146" t="s">
        <v>2898</v>
      </c>
    </row>
    <row r="598" spans="2:2" x14ac:dyDescent="0.25">
      <c r="B598" s="146" t="s">
        <v>2844</v>
      </c>
    </row>
    <row r="599" spans="2:2" x14ac:dyDescent="0.25">
      <c r="B599" s="146" t="s">
        <v>2861</v>
      </c>
    </row>
    <row r="600" spans="2:2" x14ac:dyDescent="0.25">
      <c r="B600" s="146" t="s">
        <v>2869</v>
      </c>
    </row>
    <row r="601" spans="2:2" x14ac:dyDescent="0.25">
      <c r="B601" s="146" t="s">
        <v>2872</v>
      </c>
    </row>
    <row r="602" spans="2:2" x14ac:dyDescent="0.25">
      <c r="B602" s="146" t="s">
        <v>2882</v>
      </c>
    </row>
    <row r="603" spans="2:2" x14ac:dyDescent="0.25">
      <c r="B603" s="146" t="s">
        <v>2896</v>
      </c>
    </row>
    <row r="604" spans="2:2" x14ac:dyDescent="0.25">
      <c r="B604" s="146" t="s">
        <v>2928</v>
      </c>
    </row>
    <row r="605" spans="2:2" x14ac:dyDescent="0.25">
      <c r="B605" s="146" t="s">
        <v>2967</v>
      </c>
    </row>
    <row r="606" spans="2:2" x14ac:dyDescent="0.25">
      <c r="B606" s="146" t="s">
        <v>2927</v>
      </c>
    </row>
    <row r="607" spans="2:2" x14ac:dyDescent="0.25">
      <c r="B607" s="146" t="s">
        <v>2926</v>
      </c>
    </row>
    <row r="608" spans="2:2" x14ac:dyDescent="0.25">
      <c r="B608" s="146" t="s">
        <v>2907</v>
      </c>
    </row>
    <row r="609" spans="2:2" x14ac:dyDescent="0.25">
      <c r="B609" s="146" t="s">
        <v>3008</v>
      </c>
    </row>
    <row r="610" spans="2:2" x14ac:dyDescent="0.25">
      <c r="B610" s="146" t="s">
        <v>2986</v>
      </c>
    </row>
    <row r="611" spans="2:2" x14ac:dyDescent="0.25">
      <c r="B611" s="146" t="s">
        <v>3004</v>
      </c>
    </row>
    <row r="612" spans="2:2" x14ac:dyDescent="0.25">
      <c r="B612" s="146" t="s">
        <v>2987</v>
      </c>
    </row>
    <row r="613" spans="2:2" x14ac:dyDescent="0.25">
      <c r="B613" s="146" t="s">
        <v>2925</v>
      </c>
    </row>
    <row r="614" spans="2:2" x14ac:dyDescent="0.25">
      <c r="B614" s="146" t="s">
        <v>3003</v>
      </c>
    </row>
    <row r="615" spans="2:2" x14ac:dyDescent="0.25">
      <c r="B615" s="146" t="s">
        <v>2981</v>
      </c>
    </row>
    <row r="616" spans="2:2" x14ac:dyDescent="0.25">
      <c r="B616" s="146" t="s">
        <v>2982</v>
      </c>
    </row>
    <row r="617" spans="2:2" x14ac:dyDescent="0.25">
      <c r="B617" s="146" t="s">
        <v>2983</v>
      </c>
    </row>
    <row r="618" spans="2:2" x14ac:dyDescent="0.25">
      <c r="B618" s="146" t="s">
        <v>2984</v>
      </c>
    </row>
    <row r="619" spans="2:2" x14ac:dyDescent="0.25">
      <c r="B619" s="146" t="s">
        <v>2985</v>
      </c>
    </row>
    <row r="620" spans="2:2" x14ac:dyDescent="0.25">
      <c r="B620" s="146" t="s">
        <v>2977</v>
      </c>
    </row>
    <row r="621" spans="2:2" x14ac:dyDescent="0.25">
      <c r="B621" s="146" t="s">
        <v>2914</v>
      </c>
    </row>
    <row r="622" spans="2:2" x14ac:dyDescent="0.25">
      <c r="B622" s="146" t="s">
        <v>2915</v>
      </c>
    </row>
    <row r="623" spans="2:2" x14ac:dyDescent="0.25">
      <c r="B623" s="146" t="s">
        <v>2916</v>
      </c>
    </row>
    <row r="624" spans="2:2" x14ac:dyDescent="0.25">
      <c r="B624" s="146" t="s">
        <v>2924</v>
      </c>
    </row>
    <row r="625" spans="2:2" x14ac:dyDescent="0.25">
      <c r="B625" s="146" t="s">
        <v>2917</v>
      </c>
    </row>
    <row r="626" spans="2:2" x14ac:dyDescent="0.25">
      <c r="B626" s="146" t="s">
        <v>2929</v>
      </c>
    </row>
    <row r="627" spans="2:2" x14ac:dyDescent="0.25">
      <c r="B627" s="146" t="s">
        <v>2930</v>
      </c>
    </row>
    <row r="628" spans="2:2" x14ac:dyDescent="0.25">
      <c r="B628" s="146" t="s">
        <v>2918</v>
      </c>
    </row>
    <row r="629" spans="2:2" x14ac:dyDescent="0.25">
      <c r="B629" s="146" t="s">
        <v>2968</v>
      </c>
    </row>
    <row r="630" spans="2:2" x14ac:dyDescent="0.25">
      <c r="B630" s="146" t="s">
        <v>3006</v>
      </c>
    </row>
    <row r="631" spans="2:2" x14ac:dyDescent="0.25">
      <c r="B631" s="146" t="s">
        <v>2931</v>
      </c>
    </row>
    <row r="632" spans="2:2" x14ac:dyDescent="0.25">
      <c r="B632" s="146" t="s">
        <v>2932</v>
      </c>
    </row>
    <row r="633" spans="2:2" x14ac:dyDescent="0.25">
      <c r="B633" s="146" t="s">
        <v>2933</v>
      </c>
    </row>
    <row r="634" spans="2:2" x14ac:dyDescent="0.25">
      <c r="B634" s="146" t="s">
        <v>2969</v>
      </c>
    </row>
    <row r="635" spans="2:2" x14ac:dyDescent="0.25">
      <c r="B635" s="146" t="s">
        <v>2934</v>
      </c>
    </row>
    <row r="636" spans="2:2" x14ac:dyDescent="0.25">
      <c r="B636" s="146" t="s">
        <v>2935</v>
      </c>
    </row>
    <row r="637" spans="2:2" x14ac:dyDescent="0.25">
      <c r="B637" s="146" t="s">
        <v>3009</v>
      </c>
    </row>
    <row r="638" spans="2:2" x14ac:dyDescent="0.25">
      <c r="B638" s="146" t="s">
        <v>2936</v>
      </c>
    </row>
    <row r="639" spans="2:2" x14ac:dyDescent="0.25">
      <c r="B639" s="146" t="s">
        <v>2937</v>
      </c>
    </row>
    <row r="640" spans="2:2" x14ac:dyDescent="0.25">
      <c r="B640" s="146" t="s">
        <v>2938</v>
      </c>
    </row>
    <row r="641" spans="2:2" x14ac:dyDescent="0.25">
      <c r="B641" s="146" t="s">
        <v>2939</v>
      </c>
    </row>
    <row r="642" spans="2:2" x14ac:dyDescent="0.25">
      <c r="B642" s="146" t="s">
        <v>2940</v>
      </c>
    </row>
    <row r="643" spans="2:2" x14ac:dyDescent="0.25">
      <c r="B643" s="146" t="s">
        <v>2941</v>
      </c>
    </row>
    <row r="644" spans="2:2" x14ac:dyDescent="0.25">
      <c r="B644" s="146" t="s">
        <v>2942</v>
      </c>
    </row>
    <row r="645" spans="2:2" x14ac:dyDescent="0.25">
      <c r="B645" s="146" t="s">
        <v>2943</v>
      </c>
    </row>
    <row r="646" spans="2:2" x14ac:dyDescent="0.25">
      <c r="B646" s="146" t="s">
        <v>2944</v>
      </c>
    </row>
    <row r="647" spans="2:2" x14ac:dyDescent="0.25">
      <c r="B647" s="146" t="s">
        <v>2945</v>
      </c>
    </row>
    <row r="648" spans="2:2" x14ac:dyDescent="0.25">
      <c r="B648" s="146" t="s">
        <v>2946</v>
      </c>
    </row>
    <row r="649" spans="2:2" x14ac:dyDescent="0.25">
      <c r="B649" s="146" t="s">
        <v>2947</v>
      </c>
    </row>
    <row r="650" spans="2:2" x14ac:dyDescent="0.25">
      <c r="B650" s="146" t="s">
        <v>2948</v>
      </c>
    </row>
    <row r="651" spans="2:2" x14ac:dyDescent="0.25">
      <c r="B651" s="146" t="s">
        <v>2949</v>
      </c>
    </row>
    <row r="652" spans="2:2" x14ac:dyDescent="0.25">
      <c r="B652" s="146" t="s">
        <v>2950</v>
      </c>
    </row>
    <row r="653" spans="2:2" x14ac:dyDescent="0.25">
      <c r="B653" s="146" t="s">
        <v>2951</v>
      </c>
    </row>
    <row r="654" spans="2:2" x14ac:dyDescent="0.25">
      <c r="B654" s="146" t="s">
        <v>2952</v>
      </c>
    </row>
    <row r="655" spans="2:2" x14ac:dyDescent="0.25">
      <c r="B655" s="146" t="s">
        <v>2953</v>
      </c>
    </row>
    <row r="656" spans="2:2" x14ac:dyDescent="0.25">
      <c r="B656" s="146" t="s">
        <v>2954</v>
      </c>
    </row>
    <row r="657" spans="2:2" x14ac:dyDescent="0.25">
      <c r="B657" s="146" t="s">
        <v>2955</v>
      </c>
    </row>
    <row r="658" spans="2:2" x14ac:dyDescent="0.25">
      <c r="B658" s="146" t="s">
        <v>2956</v>
      </c>
    </row>
    <row r="659" spans="2:2" x14ac:dyDescent="0.25">
      <c r="B659" s="146" t="s">
        <v>2957</v>
      </c>
    </row>
    <row r="660" spans="2:2" x14ac:dyDescent="0.25">
      <c r="B660" s="146" t="s">
        <v>2958</v>
      </c>
    </row>
    <row r="661" spans="2:2" x14ac:dyDescent="0.25">
      <c r="B661" s="146" t="s">
        <v>2959</v>
      </c>
    </row>
    <row r="662" spans="2:2" x14ac:dyDescent="0.25">
      <c r="B662" s="146" t="s">
        <v>2960</v>
      </c>
    </row>
    <row r="663" spans="2:2" x14ac:dyDescent="0.25">
      <c r="B663" s="146" t="s">
        <v>2961</v>
      </c>
    </row>
    <row r="664" spans="2:2" x14ac:dyDescent="0.25">
      <c r="B664" s="146" t="s">
        <v>2962</v>
      </c>
    </row>
    <row r="665" spans="2:2" x14ac:dyDescent="0.25">
      <c r="B665" s="146" t="s">
        <v>2963</v>
      </c>
    </row>
    <row r="666" spans="2:2" x14ac:dyDescent="0.25">
      <c r="B666" s="146" t="s">
        <v>2964</v>
      </c>
    </row>
    <row r="667" spans="2:2" x14ac:dyDescent="0.25">
      <c r="B667" s="146" t="s">
        <v>2965</v>
      </c>
    </row>
    <row r="668" spans="2:2" x14ac:dyDescent="0.25">
      <c r="B668" s="146" t="s">
        <v>2966</v>
      </c>
    </row>
    <row r="669" spans="2:2" x14ac:dyDescent="0.25">
      <c r="B669" s="146" t="s">
        <v>2988</v>
      </c>
    </row>
    <row r="670" spans="2:2" x14ac:dyDescent="0.25">
      <c r="B670" s="146" t="s">
        <v>2990</v>
      </c>
    </row>
    <row r="671" spans="2:2" x14ac:dyDescent="0.25">
      <c r="B671" s="146" t="s">
        <v>2991</v>
      </c>
    </row>
    <row r="672" spans="2:2" x14ac:dyDescent="0.25">
      <c r="B672" s="146" t="s">
        <v>2992</v>
      </c>
    </row>
    <row r="673" spans="2:2" x14ac:dyDescent="0.25">
      <c r="B673" s="146" t="s">
        <v>3005</v>
      </c>
    </row>
    <row r="674" spans="2:2" x14ac:dyDescent="0.25">
      <c r="B674" s="146" t="s">
        <v>3007</v>
      </c>
    </row>
    <row r="675" spans="2:2" x14ac:dyDescent="0.25">
      <c r="B675" s="146" t="s">
        <v>2919</v>
      </c>
    </row>
    <row r="676" spans="2:2" x14ac:dyDescent="0.25">
      <c r="B676" s="146" t="s">
        <v>2920</v>
      </c>
    </row>
    <row r="677" spans="2:2" x14ac:dyDescent="0.25">
      <c r="B677" s="146" t="s">
        <v>2921</v>
      </c>
    </row>
    <row r="678" spans="2:2" x14ac:dyDescent="0.25">
      <c r="B678" s="146" t="s">
        <v>2978</v>
      </c>
    </row>
    <row r="679" spans="2:2" x14ac:dyDescent="0.25">
      <c r="B679" s="146" t="s">
        <v>2979</v>
      </c>
    </row>
    <row r="680" spans="2:2" x14ac:dyDescent="0.25">
      <c r="B680" s="146" t="s">
        <v>2993</v>
      </c>
    </row>
    <row r="681" spans="2:2" x14ac:dyDescent="0.25">
      <c r="B681" s="146" t="s">
        <v>2994</v>
      </c>
    </row>
    <row r="682" spans="2:2" x14ac:dyDescent="0.25">
      <c r="B682" s="146" t="s">
        <v>2996</v>
      </c>
    </row>
    <row r="683" spans="2:2" x14ac:dyDescent="0.25">
      <c r="B683" s="146" t="s">
        <v>2997</v>
      </c>
    </row>
    <row r="684" spans="2:2" x14ac:dyDescent="0.25">
      <c r="B684" s="146" t="s">
        <v>2999</v>
      </c>
    </row>
    <row r="685" spans="2:2" x14ac:dyDescent="0.25">
      <c r="B685" s="146" t="s">
        <v>2980</v>
      </c>
    </row>
    <row r="686" spans="2:2" x14ac:dyDescent="0.25">
      <c r="B686" s="146" t="s">
        <v>2922</v>
      </c>
    </row>
    <row r="687" spans="2:2" x14ac:dyDescent="0.25">
      <c r="B687" s="146" t="s">
        <v>2923</v>
      </c>
    </row>
    <row r="688" spans="2:2" x14ac:dyDescent="0.25">
      <c r="B688" s="146" t="s">
        <v>2906</v>
      </c>
    </row>
    <row r="689" spans="2:2" x14ac:dyDescent="0.25">
      <c r="B689" s="146" t="s">
        <v>2905</v>
      </c>
    </row>
    <row r="690" spans="2:2" x14ac:dyDescent="0.25">
      <c r="B690" s="146" t="s">
        <v>3000</v>
      </c>
    </row>
    <row r="691" spans="2:2" x14ac:dyDescent="0.25">
      <c r="B691" s="146" t="s">
        <v>3001</v>
      </c>
    </row>
    <row r="692" spans="2:2" x14ac:dyDescent="0.25">
      <c r="B692" s="146" t="s">
        <v>3002</v>
      </c>
    </row>
    <row r="693" spans="2:2" x14ac:dyDescent="0.25">
      <c r="B693" s="146" t="s">
        <v>2904</v>
      </c>
    </row>
    <row r="694" spans="2:2" x14ac:dyDescent="0.25">
      <c r="B694" s="146" t="s">
        <v>2972</v>
      </c>
    </row>
    <row r="695" spans="2:2" x14ac:dyDescent="0.25">
      <c r="B695" s="146" t="s">
        <v>2976</v>
      </c>
    </row>
    <row r="696" spans="2:2" x14ac:dyDescent="0.25">
      <c r="B696" s="146" t="s">
        <v>2973</v>
      </c>
    </row>
    <row r="697" spans="2:2" x14ac:dyDescent="0.25">
      <c r="B697" s="146" t="s">
        <v>2974</v>
      </c>
    </row>
    <row r="698" spans="2:2" x14ac:dyDescent="0.25">
      <c r="B698" s="146" t="s">
        <v>2975</v>
      </c>
    </row>
    <row r="699" spans="2:2" x14ac:dyDescent="0.25">
      <c r="B699" s="146" t="s">
        <v>2989</v>
      </c>
    </row>
    <row r="700" spans="2:2" x14ac:dyDescent="0.25">
      <c r="B700" s="146" t="s">
        <v>2998</v>
      </c>
    </row>
    <row r="701" spans="2:2" x14ac:dyDescent="0.25">
      <c r="B701" s="146" t="s">
        <v>2995</v>
      </c>
    </row>
    <row r="702" spans="2:2" x14ac:dyDescent="0.25">
      <c r="B702" s="146" t="s">
        <v>2971</v>
      </c>
    </row>
    <row r="703" spans="2:2" x14ac:dyDescent="0.25">
      <c r="B703" s="146" t="s">
        <v>2970</v>
      </c>
    </row>
    <row r="704" spans="2:2" x14ac:dyDescent="0.25">
      <c r="B704" s="146" t="s">
        <v>3088</v>
      </c>
    </row>
    <row r="705" spans="2:2" x14ac:dyDescent="0.25">
      <c r="B705" s="146" t="s">
        <v>3059</v>
      </c>
    </row>
    <row r="706" spans="2:2" x14ac:dyDescent="0.25">
      <c r="B706" s="146" t="s">
        <v>3056</v>
      </c>
    </row>
    <row r="707" spans="2:2" x14ac:dyDescent="0.25">
      <c r="B707" s="146" t="s">
        <v>3058</v>
      </c>
    </row>
    <row r="708" spans="2:2" x14ac:dyDescent="0.25">
      <c r="B708" s="146" t="s">
        <v>3057</v>
      </c>
    </row>
    <row r="709" spans="2:2" x14ac:dyDescent="0.25">
      <c r="B709" s="146" t="s">
        <v>3010</v>
      </c>
    </row>
    <row r="710" spans="2:2" x14ac:dyDescent="0.25">
      <c r="B710" s="146" t="s">
        <v>3011</v>
      </c>
    </row>
    <row r="711" spans="2:2" x14ac:dyDescent="0.25">
      <c r="B711" s="146" t="s">
        <v>3012</v>
      </c>
    </row>
    <row r="712" spans="2:2" x14ac:dyDescent="0.25">
      <c r="B712" s="146" t="s">
        <v>3013</v>
      </c>
    </row>
    <row r="713" spans="2:2" x14ac:dyDescent="0.25">
      <c r="B713" s="146" t="s">
        <v>3014</v>
      </c>
    </row>
    <row r="714" spans="2:2" x14ac:dyDescent="0.25">
      <c r="B714" s="146" t="s">
        <v>3015</v>
      </c>
    </row>
    <row r="715" spans="2:2" x14ac:dyDescent="0.25">
      <c r="B715" s="146" t="s">
        <v>3055</v>
      </c>
    </row>
    <row r="716" spans="2:2" x14ac:dyDescent="0.25">
      <c r="B716" s="146" t="s">
        <v>3016</v>
      </c>
    </row>
    <row r="717" spans="2:2" x14ac:dyDescent="0.25">
      <c r="B717" s="146" t="s">
        <v>3017</v>
      </c>
    </row>
    <row r="718" spans="2:2" x14ac:dyDescent="0.25">
      <c r="B718" s="146" t="s">
        <v>6030</v>
      </c>
    </row>
    <row r="719" spans="2:2" x14ac:dyDescent="0.25">
      <c r="B719" s="146" t="s">
        <v>3086</v>
      </c>
    </row>
    <row r="720" spans="2:2" x14ac:dyDescent="0.25">
      <c r="B720" s="146" t="s">
        <v>3018</v>
      </c>
    </row>
    <row r="721" spans="2:2" x14ac:dyDescent="0.25">
      <c r="B721" s="146" t="s">
        <v>3019</v>
      </c>
    </row>
    <row r="722" spans="2:2" x14ac:dyDescent="0.25">
      <c r="B722" s="146" t="s">
        <v>3020</v>
      </c>
    </row>
    <row r="723" spans="2:2" x14ac:dyDescent="0.25">
      <c r="B723" s="146" t="s">
        <v>3021</v>
      </c>
    </row>
    <row r="724" spans="2:2" x14ac:dyDescent="0.25">
      <c r="B724" s="146" t="s">
        <v>3022</v>
      </c>
    </row>
    <row r="725" spans="2:2" x14ac:dyDescent="0.25">
      <c r="B725" s="146" t="s">
        <v>3023</v>
      </c>
    </row>
    <row r="726" spans="2:2" x14ac:dyDescent="0.25">
      <c r="B726" s="146" t="s">
        <v>3024</v>
      </c>
    </row>
    <row r="727" spans="2:2" x14ac:dyDescent="0.25">
      <c r="B727" s="146" t="s">
        <v>3025</v>
      </c>
    </row>
    <row r="728" spans="2:2" x14ac:dyDescent="0.25">
      <c r="B728" s="146" t="s">
        <v>3026</v>
      </c>
    </row>
    <row r="729" spans="2:2" x14ac:dyDescent="0.25">
      <c r="B729" s="146" t="s">
        <v>3027</v>
      </c>
    </row>
    <row r="730" spans="2:2" x14ac:dyDescent="0.25">
      <c r="B730" s="146" t="s">
        <v>3028</v>
      </c>
    </row>
    <row r="731" spans="2:2" x14ac:dyDescent="0.25">
      <c r="B731" s="146" t="s">
        <v>3030</v>
      </c>
    </row>
    <row r="732" spans="2:2" x14ac:dyDescent="0.25">
      <c r="B732" s="146" t="s">
        <v>3029</v>
      </c>
    </row>
    <row r="733" spans="2:2" x14ac:dyDescent="0.25">
      <c r="B733" s="146" t="s">
        <v>3031</v>
      </c>
    </row>
    <row r="734" spans="2:2" x14ac:dyDescent="0.25">
      <c r="B734" s="146" t="s">
        <v>3032</v>
      </c>
    </row>
    <row r="735" spans="2:2" x14ac:dyDescent="0.25">
      <c r="B735" s="146" t="s">
        <v>3033</v>
      </c>
    </row>
    <row r="736" spans="2:2" x14ac:dyDescent="0.25">
      <c r="B736" s="146" t="s">
        <v>3034</v>
      </c>
    </row>
    <row r="737" spans="2:2" x14ac:dyDescent="0.25">
      <c r="B737" s="146" t="s">
        <v>3035</v>
      </c>
    </row>
    <row r="738" spans="2:2" x14ac:dyDescent="0.25">
      <c r="B738" s="146" t="s">
        <v>3036</v>
      </c>
    </row>
    <row r="739" spans="2:2" x14ac:dyDescent="0.25">
      <c r="B739" s="146" t="s">
        <v>3037</v>
      </c>
    </row>
    <row r="740" spans="2:2" x14ac:dyDescent="0.25">
      <c r="B740" s="146" t="s">
        <v>3038</v>
      </c>
    </row>
    <row r="741" spans="2:2" x14ac:dyDescent="0.25">
      <c r="B741" s="146" t="s">
        <v>3039</v>
      </c>
    </row>
    <row r="742" spans="2:2" x14ac:dyDescent="0.25">
      <c r="B742" s="146" t="s">
        <v>3040</v>
      </c>
    </row>
    <row r="743" spans="2:2" x14ac:dyDescent="0.25">
      <c r="B743" s="146" t="s">
        <v>3041</v>
      </c>
    </row>
    <row r="744" spans="2:2" x14ac:dyDescent="0.25">
      <c r="B744" s="146" t="s">
        <v>3042</v>
      </c>
    </row>
    <row r="745" spans="2:2" x14ac:dyDescent="0.25">
      <c r="B745" s="146" t="s">
        <v>3043</v>
      </c>
    </row>
    <row r="746" spans="2:2" x14ac:dyDescent="0.25">
      <c r="B746" s="146" t="s">
        <v>3044</v>
      </c>
    </row>
    <row r="747" spans="2:2" x14ac:dyDescent="0.25">
      <c r="B747" s="146" t="s">
        <v>3045</v>
      </c>
    </row>
    <row r="748" spans="2:2" x14ac:dyDescent="0.25">
      <c r="B748" s="146" t="s">
        <v>3046</v>
      </c>
    </row>
    <row r="749" spans="2:2" x14ac:dyDescent="0.25">
      <c r="B749" s="146" t="s">
        <v>3047</v>
      </c>
    </row>
    <row r="750" spans="2:2" x14ac:dyDescent="0.25">
      <c r="B750" s="146" t="s">
        <v>3048</v>
      </c>
    </row>
    <row r="751" spans="2:2" x14ac:dyDescent="0.25">
      <c r="B751" s="146" t="s">
        <v>3049</v>
      </c>
    </row>
    <row r="752" spans="2:2" x14ac:dyDescent="0.25">
      <c r="B752" s="146" t="s">
        <v>3050</v>
      </c>
    </row>
    <row r="753" spans="2:2" x14ac:dyDescent="0.25">
      <c r="B753" s="146" t="s">
        <v>3051</v>
      </c>
    </row>
    <row r="754" spans="2:2" x14ac:dyDescent="0.25">
      <c r="B754" s="146" t="s">
        <v>3052</v>
      </c>
    </row>
    <row r="755" spans="2:2" x14ac:dyDescent="0.25">
      <c r="B755" s="146" t="s">
        <v>3053</v>
      </c>
    </row>
    <row r="756" spans="2:2" x14ac:dyDescent="0.25">
      <c r="B756" s="146" t="s">
        <v>3113</v>
      </c>
    </row>
    <row r="757" spans="2:2" x14ac:dyDescent="0.25">
      <c r="B757" s="146" t="s">
        <v>3054</v>
      </c>
    </row>
    <row r="758" spans="2:2" x14ac:dyDescent="0.25">
      <c r="B758" s="146" t="s">
        <v>3087</v>
      </c>
    </row>
    <row r="759" spans="2:2" x14ac:dyDescent="0.25">
      <c r="B759" s="146" t="s">
        <v>3075</v>
      </c>
    </row>
    <row r="760" spans="2:2" x14ac:dyDescent="0.25">
      <c r="B760" s="146" t="s">
        <v>3094</v>
      </c>
    </row>
    <row r="761" spans="2:2" x14ac:dyDescent="0.25">
      <c r="B761" s="146" t="s">
        <v>3073</v>
      </c>
    </row>
    <row r="762" spans="2:2" x14ac:dyDescent="0.25">
      <c r="B762" s="146" t="s">
        <v>6033</v>
      </c>
    </row>
    <row r="763" spans="2:2" x14ac:dyDescent="0.25">
      <c r="B763" s="146" t="s">
        <v>3079</v>
      </c>
    </row>
    <row r="764" spans="2:2" x14ac:dyDescent="0.25">
      <c r="B764" s="146" t="s">
        <v>3078</v>
      </c>
    </row>
    <row r="765" spans="2:2" x14ac:dyDescent="0.25">
      <c r="B765" s="146" t="s">
        <v>3077</v>
      </c>
    </row>
    <row r="766" spans="2:2" x14ac:dyDescent="0.25">
      <c r="B766" s="146" t="s">
        <v>3076</v>
      </c>
    </row>
    <row r="767" spans="2:2" x14ac:dyDescent="0.25">
      <c r="B767" s="146" t="s">
        <v>3074</v>
      </c>
    </row>
    <row r="768" spans="2:2" x14ac:dyDescent="0.25">
      <c r="B768" s="146" t="s">
        <v>3081</v>
      </c>
    </row>
    <row r="769" spans="2:2" x14ac:dyDescent="0.25">
      <c r="B769" s="146" t="s">
        <v>3095</v>
      </c>
    </row>
    <row r="770" spans="2:2" x14ac:dyDescent="0.25">
      <c r="B770" s="146" t="s">
        <v>3100</v>
      </c>
    </row>
    <row r="771" spans="2:2" x14ac:dyDescent="0.25">
      <c r="B771" s="146" t="s">
        <v>3102</v>
      </c>
    </row>
    <row r="772" spans="2:2" x14ac:dyDescent="0.25">
      <c r="B772" s="146" t="s">
        <v>3108</v>
      </c>
    </row>
    <row r="773" spans="2:2" x14ac:dyDescent="0.25">
      <c r="B773" s="146" t="s">
        <v>3110</v>
      </c>
    </row>
    <row r="774" spans="2:2" x14ac:dyDescent="0.25">
      <c r="B774" s="146" t="s">
        <v>3112</v>
      </c>
    </row>
    <row r="775" spans="2:2" x14ac:dyDescent="0.25">
      <c r="B775" s="146" t="s">
        <v>3689</v>
      </c>
    </row>
    <row r="776" spans="2:2" x14ac:dyDescent="0.25">
      <c r="B776" s="146" t="s">
        <v>3686</v>
      </c>
    </row>
    <row r="777" spans="2:2" x14ac:dyDescent="0.25">
      <c r="B777" s="146" t="s">
        <v>3683</v>
      </c>
    </row>
    <row r="778" spans="2:2" x14ac:dyDescent="0.25">
      <c r="B778" s="146" t="s">
        <v>3680</v>
      </c>
    </row>
    <row r="779" spans="2:2" x14ac:dyDescent="0.25">
      <c r="B779" s="146" t="s">
        <v>3677</v>
      </c>
    </row>
    <row r="780" spans="2:2" x14ac:dyDescent="0.25">
      <c r="B780" s="146" t="s">
        <v>3674</v>
      </c>
    </row>
    <row r="781" spans="2:2" x14ac:dyDescent="0.25">
      <c r="B781" s="146" t="s">
        <v>3671</v>
      </c>
    </row>
    <row r="782" spans="2:2" x14ac:dyDescent="0.25">
      <c r="B782" s="146" t="s">
        <v>3668</v>
      </c>
    </row>
    <row r="783" spans="2:2" x14ac:dyDescent="0.25">
      <c r="B783" s="146" t="s">
        <v>3665</v>
      </c>
    </row>
    <row r="784" spans="2:2" x14ac:dyDescent="0.25">
      <c r="B784" s="146" t="s">
        <v>3662</v>
      </c>
    </row>
    <row r="785" spans="2:2" x14ac:dyDescent="0.25">
      <c r="B785" s="146" t="s">
        <v>3659</v>
      </c>
    </row>
    <row r="786" spans="2:2" x14ac:dyDescent="0.25">
      <c r="B786" s="146" t="s">
        <v>3656</v>
      </c>
    </row>
    <row r="787" spans="2:2" x14ac:dyDescent="0.25">
      <c r="B787" s="146" t="s">
        <v>3653</v>
      </c>
    </row>
    <row r="788" spans="2:2" x14ac:dyDescent="0.25">
      <c r="B788" s="146" t="s">
        <v>3650</v>
      </c>
    </row>
    <row r="789" spans="2:2" x14ac:dyDescent="0.25">
      <c r="B789" s="146" t="s">
        <v>3644</v>
      </c>
    </row>
    <row r="790" spans="2:2" x14ac:dyDescent="0.25">
      <c r="B790" s="146" t="s">
        <v>3641</v>
      </c>
    </row>
    <row r="791" spans="2:2" x14ac:dyDescent="0.25">
      <c r="B791" s="146" t="s">
        <v>3635</v>
      </c>
    </row>
    <row r="792" spans="2:2" x14ac:dyDescent="0.25">
      <c r="B792" s="146" t="s">
        <v>3632</v>
      </c>
    </row>
    <row r="793" spans="2:2" x14ac:dyDescent="0.25">
      <c r="B793" s="146" t="s">
        <v>3629</v>
      </c>
    </row>
    <row r="794" spans="2:2" x14ac:dyDescent="0.25">
      <c r="B794" s="146" t="s">
        <v>3623</v>
      </c>
    </row>
    <row r="795" spans="2:2" x14ac:dyDescent="0.25">
      <c r="B795" s="146" t="s">
        <v>6021</v>
      </c>
    </row>
    <row r="796" spans="2:2" x14ac:dyDescent="0.25">
      <c r="B796" s="146" t="s">
        <v>6023</v>
      </c>
    </row>
    <row r="797" spans="2:2" x14ac:dyDescent="0.25">
      <c r="B797" s="146" t="s">
        <v>6027</v>
      </c>
    </row>
    <row r="798" spans="2:2" x14ac:dyDescent="0.25">
      <c r="B798" s="146" t="s">
        <v>6038</v>
      </c>
    </row>
    <row r="799" spans="2:2" x14ac:dyDescent="0.25">
      <c r="B799" s="146" t="s">
        <v>6043</v>
      </c>
    </row>
    <row r="800" spans="2:2" x14ac:dyDescent="0.25">
      <c r="B800" s="146" t="s">
        <v>6045</v>
      </c>
    </row>
    <row r="801" spans="2:2" x14ac:dyDescent="0.25">
      <c r="B801" s="146" t="s">
        <v>6047</v>
      </c>
    </row>
    <row r="802" spans="2:2" x14ac:dyDescent="0.25">
      <c r="B802" s="146" t="s">
        <v>6048</v>
      </c>
    </row>
    <row r="803" spans="2:2" x14ac:dyDescent="0.25">
      <c r="B803" s="146" t="s">
        <v>6049</v>
      </c>
    </row>
    <row r="804" spans="2:2" x14ac:dyDescent="0.25">
      <c r="B804" s="146" t="s">
        <v>6050</v>
      </c>
    </row>
    <row r="805" spans="2:2" x14ac:dyDescent="0.25">
      <c r="B805" s="146" t="s">
        <v>6051</v>
      </c>
    </row>
    <row r="806" spans="2:2" x14ac:dyDescent="0.25">
      <c r="B806" s="146" t="s">
        <v>6052</v>
      </c>
    </row>
    <row r="807" spans="2:2" x14ac:dyDescent="0.25">
      <c r="B807" s="146" t="s">
        <v>6756</v>
      </c>
    </row>
    <row r="808" spans="2:2" x14ac:dyDescent="0.25">
      <c r="B808" s="146" t="s">
        <v>6753</v>
      </c>
    </row>
    <row r="809" spans="2:2" x14ac:dyDescent="0.25">
      <c r="B809" s="146" t="s">
        <v>6367</v>
      </c>
    </row>
    <row r="810" spans="2:2" x14ac:dyDescent="0.25">
      <c r="B810" s="146" t="s">
        <v>6741</v>
      </c>
    </row>
    <row r="811" spans="2:2" x14ac:dyDescent="0.25">
      <c r="B811" s="146" t="s">
        <v>6754</v>
      </c>
    </row>
    <row r="812" spans="2:2" x14ac:dyDescent="0.25">
      <c r="B812" s="146" t="s">
        <v>6758</v>
      </c>
    </row>
    <row r="813" spans="2:2" x14ac:dyDescent="0.25">
      <c r="B813" s="146" t="s">
        <v>6770</v>
      </c>
    </row>
    <row r="814" spans="2:2" x14ac:dyDescent="0.25">
      <c r="B814" s="146" t="s">
        <v>6775</v>
      </c>
    </row>
    <row r="815" spans="2:2" x14ac:dyDescent="0.25">
      <c r="B815" s="146" t="s">
        <v>6296</v>
      </c>
    </row>
    <row r="816" spans="2:2" x14ac:dyDescent="0.25">
      <c r="B816" s="146" t="s">
        <v>6297</v>
      </c>
    </row>
    <row r="817" spans="2:2" x14ac:dyDescent="0.25">
      <c r="B817" s="146" t="s">
        <v>6298</v>
      </c>
    </row>
    <row r="818" spans="2:2" x14ac:dyDescent="0.25">
      <c r="B818" s="146" t="s">
        <v>6301</v>
      </c>
    </row>
    <row r="819" spans="2:2" x14ac:dyDescent="0.25">
      <c r="B819" s="146" t="s">
        <v>6303</v>
      </c>
    </row>
    <row r="820" spans="2:2" x14ac:dyDescent="0.25">
      <c r="B820" s="146" t="s">
        <v>6762</v>
      </c>
    </row>
    <row r="821" spans="2:2" x14ac:dyDescent="0.25">
      <c r="B821" s="146" t="s">
        <v>6304</v>
      </c>
    </row>
    <row r="822" spans="2:2" x14ac:dyDescent="0.25">
      <c r="B822" s="146" t="s">
        <v>6305</v>
      </c>
    </row>
    <row r="823" spans="2:2" x14ac:dyDescent="0.25">
      <c r="B823" s="146" t="s">
        <v>6311</v>
      </c>
    </row>
    <row r="824" spans="2:2" x14ac:dyDescent="0.25">
      <c r="B824" s="146" t="s">
        <v>6307</v>
      </c>
    </row>
    <row r="825" spans="2:2" x14ac:dyDescent="0.25">
      <c r="B825" s="146" t="s">
        <v>6309</v>
      </c>
    </row>
    <row r="826" spans="2:2" x14ac:dyDescent="0.25">
      <c r="B826" s="146" t="s">
        <v>6310</v>
      </c>
    </row>
    <row r="827" spans="2:2" x14ac:dyDescent="0.25">
      <c r="B827" s="146" t="s">
        <v>6312</v>
      </c>
    </row>
    <row r="828" spans="2:2" x14ac:dyDescent="0.25">
      <c r="B828" s="146" t="s">
        <v>6313</v>
      </c>
    </row>
    <row r="829" spans="2:2" x14ac:dyDescent="0.25">
      <c r="B829" s="146" t="s">
        <v>6316</v>
      </c>
    </row>
    <row r="830" spans="2:2" x14ac:dyDescent="0.25">
      <c r="B830" s="146" t="s">
        <v>6317</v>
      </c>
    </row>
    <row r="831" spans="2:2" x14ac:dyDescent="0.25">
      <c r="B831" s="146" t="s">
        <v>6318</v>
      </c>
    </row>
    <row r="832" spans="2:2" x14ac:dyDescent="0.25">
      <c r="B832" s="146" t="s">
        <v>6320</v>
      </c>
    </row>
    <row r="833" spans="2:2" x14ac:dyDescent="0.25">
      <c r="B833" s="146" t="s">
        <v>6321</v>
      </c>
    </row>
    <row r="834" spans="2:2" x14ac:dyDescent="0.25">
      <c r="B834" s="146" t="s">
        <v>6763</v>
      </c>
    </row>
    <row r="835" spans="2:2" x14ac:dyDescent="0.25">
      <c r="B835" s="146" t="s">
        <v>6322</v>
      </c>
    </row>
    <row r="836" spans="2:2" x14ac:dyDescent="0.25">
      <c r="B836" s="146" t="s">
        <v>6324</v>
      </c>
    </row>
    <row r="837" spans="2:2" x14ac:dyDescent="0.25">
      <c r="B837" s="146" t="s">
        <v>6325</v>
      </c>
    </row>
    <row r="838" spans="2:2" x14ac:dyDescent="0.25">
      <c r="B838" s="146" t="s">
        <v>6326</v>
      </c>
    </row>
    <row r="839" spans="2:2" x14ac:dyDescent="0.25">
      <c r="B839" s="146" t="s">
        <v>6327</v>
      </c>
    </row>
    <row r="840" spans="2:2" x14ac:dyDescent="0.25">
      <c r="B840" s="146" t="s">
        <v>6328</v>
      </c>
    </row>
    <row r="841" spans="2:2" x14ac:dyDescent="0.25">
      <c r="B841" s="146" t="s">
        <v>6764</v>
      </c>
    </row>
    <row r="842" spans="2:2" x14ac:dyDescent="0.25">
      <c r="B842" s="146" t="s">
        <v>6329</v>
      </c>
    </row>
    <row r="843" spans="2:2" x14ac:dyDescent="0.25">
      <c r="B843" s="146" t="s">
        <v>6776</v>
      </c>
    </row>
    <row r="844" spans="2:2" x14ac:dyDescent="0.25">
      <c r="B844" s="146" t="s">
        <v>6673</v>
      </c>
    </row>
    <row r="845" spans="2:2" x14ac:dyDescent="0.25">
      <c r="B845" s="146" t="s">
        <v>6285</v>
      </c>
    </row>
    <row r="846" spans="2:2" x14ac:dyDescent="0.25">
      <c r="B846" s="146" t="s">
        <v>6286</v>
      </c>
    </row>
    <row r="847" spans="2:2" x14ac:dyDescent="0.25">
      <c r="B847" s="146" t="s">
        <v>6287</v>
      </c>
    </row>
    <row r="848" spans="2:2" x14ac:dyDescent="0.25">
      <c r="B848" s="146" t="s">
        <v>6289</v>
      </c>
    </row>
    <row r="849" spans="2:2" x14ac:dyDescent="0.25">
      <c r="B849" s="146" t="s">
        <v>6288</v>
      </c>
    </row>
    <row r="850" spans="2:2" x14ac:dyDescent="0.25">
      <c r="B850" s="146" t="s">
        <v>6291</v>
      </c>
    </row>
    <row r="851" spans="2:2" x14ac:dyDescent="0.25">
      <c r="B851" s="146" t="s">
        <v>6292</v>
      </c>
    </row>
    <row r="852" spans="2:2" x14ac:dyDescent="0.25">
      <c r="B852" s="146" t="s">
        <v>6293</v>
      </c>
    </row>
    <row r="853" spans="2:2" x14ac:dyDescent="0.25">
      <c r="B853" s="146" t="s">
        <v>6765</v>
      </c>
    </row>
    <row r="854" spans="2:2" x14ac:dyDescent="0.25">
      <c r="B854" s="146" t="s">
        <v>6675</v>
      </c>
    </row>
    <row r="855" spans="2:2" x14ac:dyDescent="0.25">
      <c r="B855" s="146" t="s">
        <v>6409</v>
      </c>
    </row>
    <row r="856" spans="2:2" x14ac:dyDescent="0.25">
      <c r="B856" s="146" t="s">
        <v>6778</v>
      </c>
    </row>
    <row r="857" spans="2:2" x14ac:dyDescent="0.25">
      <c r="B857" s="146" t="s">
        <v>6767</v>
      </c>
    </row>
    <row r="858" spans="2:2" x14ac:dyDescent="0.25">
      <c r="B858" s="146" t="s">
        <v>6368</v>
      </c>
    </row>
    <row r="859" spans="2:2" x14ac:dyDescent="0.25">
      <c r="B859" s="146" t="s">
        <v>6768</v>
      </c>
    </row>
    <row r="860" spans="2:2" x14ac:dyDescent="0.25">
      <c r="B860" s="146" t="s">
        <v>6769</v>
      </c>
    </row>
    <row r="861" spans="2:2" x14ac:dyDescent="0.25">
      <c r="B861" s="146" t="s">
        <v>6366</v>
      </c>
    </row>
    <row r="862" spans="2:2" x14ac:dyDescent="0.25">
      <c r="B862" s="146" t="s">
        <v>6743</v>
      </c>
    </row>
    <row r="863" spans="2:2" x14ac:dyDescent="0.25">
      <c r="B863" s="146" t="s">
        <v>6346</v>
      </c>
    </row>
    <row r="864" spans="2:2" x14ac:dyDescent="0.25">
      <c r="B864" s="146" t="s">
        <v>6353</v>
      </c>
    </row>
    <row r="865" spans="2:2" x14ac:dyDescent="0.25">
      <c r="B865" s="146" t="s">
        <v>6352</v>
      </c>
    </row>
    <row r="866" spans="2:2" x14ac:dyDescent="0.25">
      <c r="B866" s="146" t="s">
        <v>6349</v>
      </c>
    </row>
    <row r="867" spans="2:2" x14ac:dyDescent="0.25">
      <c r="B867" s="146" t="s">
        <v>6779</v>
      </c>
    </row>
    <row r="868" spans="2:2" x14ac:dyDescent="0.25">
      <c r="B868" s="146" t="s">
        <v>6359</v>
      </c>
    </row>
    <row r="869" spans="2:2" x14ac:dyDescent="0.25">
      <c r="B869" s="146" t="s">
        <v>6233</v>
      </c>
    </row>
    <row r="870" spans="2:2" x14ac:dyDescent="0.25">
      <c r="B870" s="146" t="s">
        <v>6071</v>
      </c>
    </row>
    <row r="871" spans="2:2" x14ac:dyDescent="0.25">
      <c r="B871" s="146" t="s">
        <v>6072</v>
      </c>
    </row>
    <row r="872" spans="2:2" x14ac:dyDescent="0.25">
      <c r="B872" s="146" t="s">
        <v>6073</v>
      </c>
    </row>
    <row r="873" spans="2:2" x14ac:dyDescent="0.25">
      <c r="B873" s="146" t="s">
        <v>6074</v>
      </c>
    </row>
    <row r="874" spans="2:2" x14ac:dyDescent="0.25">
      <c r="B874" s="146" t="s">
        <v>6075</v>
      </c>
    </row>
    <row r="875" spans="2:2" x14ac:dyDescent="0.25">
      <c r="B875" s="146" t="s">
        <v>6076</v>
      </c>
    </row>
    <row r="876" spans="2:2" x14ac:dyDescent="0.25">
      <c r="B876" s="146" t="s">
        <v>6077</v>
      </c>
    </row>
    <row r="877" spans="2:2" x14ac:dyDescent="0.25">
      <c r="B877" s="146" t="s">
        <v>6078</v>
      </c>
    </row>
    <row r="878" spans="2:2" x14ac:dyDescent="0.25">
      <c r="B878" s="146" t="s">
        <v>6079</v>
      </c>
    </row>
    <row r="879" spans="2:2" x14ac:dyDescent="0.25">
      <c r="B879" s="146" t="s">
        <v>6080</v>
      </c>
    </row>
    <row r="880" spans="2:2" x14ac:dyDescent="0.25">
      <c r="B880" s="146" t="s">
        <v>6343</v>
      </c>
    </row>
    <row r="881" spans="2:2" x14ac:dyDescent="0.25">
      <c r="B881" s="146" t="s">
        <v>6081</v>
      </c>
    </row>
    <row r="882" spans="2:2" x14ac:dyDescent="0.25">
      <c r="B882" s="146" t="s">
        <v>6082</v>
      </c>
    </row>
    <row r="883" spans="2:2" x14ac:dyDescent="0.25">
      <c r="B883" s="146" t="s">
        <v>6083</v>
      </c>
    </row>
    <row r="884" spans="2:2" x14ac:dyDescent="0.25">
      <c r="B884" s="146" t="s">
        <v>6084</v>
      </c>
    </row>
    <row r="885" spans="2:2" x14ac:dyDescent="0.25">
      <c r="B885" s="146" t="s">
        <v>6234</v>
      </c>
    </row>
    <row r="886" spans="2:2" x14ac:dyDescent="0.25">
      <c r="B886" s="146" t="s">
        <v>6390</v>
      </c>
    </row>
    <row r="887" spans="2:2" x14ac:dyDescent="0.25">
      <c r="B887" s="146" t="s">
        <v>6388</v>
      </c>
    </row>
    <row r="888" spans="2:2" x14ac:dyDescent="0.25">
      <c r="B888" s="146" t="s">
        <v>6085</v>
      </c>
    </row>
    <row r="889" spans="2:2" x14ac:dyDescent="0.25">
      <c r="B889" s="146" t="s">
        <v>6086</v>
      </c>
    </row>
    <row r="890" spans="2:2" x14ac:dyDescent="0.25">
      <c r="B890" s="146" t="s">
        <v>6087</v>
      </c>
    </row>
    <row r="891" spans="2:2" x14ac:dyDescent="0.25">
      <c r="B891" s="146" t="s">
        <v>6088</v>
      </c>
    </row>
    <row r="892" spans="2:2" x14ac:dyDescent="0.25">
      <c r="B892" s="146" t="s">
        <v>6089</v>
      </c>
    </row>
    <row r="893" spans="2:2" x14ac:dyDescent="0.25">
      <c r="B893" s="146" t="s">
        <v>6090</v>
      </c>
    </row>
    <row r="894" spans="2:2" x14ac:dyDescent="0.25">
      <c r="B894" s="146" t="s">
        <v>6235</v>
      </c>
    </row>
    <row r="895" spans="2:2" x14ac:dyDescent="0.25">
      <c r="B895" s="146" t="s">
        <v>6393</v>
      </c>
    </row>
    <row r="896" spans="2:2" x14ac:dyDescent="0.25">
      <c r="B896" s="146" t="s">
        <v>6091</v>
      </c>
    </row>
    <row r="897" spans="2:2" x14ac:dyDescent="0.25">
      <c r="B897" s="146" t="s">
        <v>6092</v>
      </c>
    </row>
    <row r="898" spans="2:2" x14ac:dyDescent="0.25">
      <c r="B898" s="146" t="s">
        <v>6093</v>
      </c>
    </row>
    <row r="899" spans="2:2" x14ac:dyDescent="0.25">
      <c r="B899" s="146" t="s">
        <v>6094</v>
      </c>
    </row>
    <row r="900" spans="2:2" x14ac:dyDescent="0.25">
      <c r="B900" s="146" t="s">
        <v>6095</v>
      </c>
    </row>
    <row r="901" spans="2:2" x14ac:dyDescent="0.25">
      <c r="B901" s="146" t="s">
        <v>6096</v>
      </c>
    </row>
    <row r="902" spans="2:2" x14ac:dyDescent="0.25">
      <c r="B902" s="146" t="s">
        <v>6399</v>
      </c>
    </row>
    <row r="903" spans="2:2" x14ac:dyDescent="0.25">
      <c r="B903" s="146" t="s">
        <v>6501</v>
      </c>
    </row>
    <row r="904" spans="2:2" x14ac:dyDescent="0.25">
      <c r="B904" s="146" t="s">
        <v>6500</v>
      </c>
    </row>
    <row r="905" spans="2:2" x14ac:dyDescent="0.25">
      <c r="B905" s="146" t="s">
        <v>6499</v>
      </c>
    </row>
    <row r="906" spans="2:2" x14ac:dyDescent="0.25">
      <c r="B906" s="146" t="s">
        <v>6498</v>
      </c>
    </row>
    <row r="907" spans="2:2" x14ac:dyDescent="0.25">
      <c r="B907" s="146" t="s">
        <v>6097</v>
      </c>
    </row>
    <row r="908" spans="2:2" x14ac:dyDescent="0.25">
      <c r="B908" s="146" t="s">
        <v>6098</v>
      </c>
    </row>
    <row r="909" spans="2:2" x14ac:dyDescent="0.25">
      <c r="B909" s="146" t="s">
        <v>6099</v>
      </c>
    </row>
    <row r="910" spans="2:2" x14ac:dyDescent="0.25">
      <c r="B910" s="146" t="s">
        <v>6100</v>
      </c>
    </row>
    <row r="911" spans="2:2" x14ac:dyDescent="0.25">
      <c r="B911" s="146" t="s">
        <v>6503</v>
      </c>
    </row>
    <row r="912" spans="2:2" x14ac:dyDescent="0.25">
      <c r="B912" s="146" t="s">
        <v>6101</v>
      </c>
    </row>
    <row r="913" spans="2:2" x14ac:dyDescent="0.25">
      <c r="B913" s="146" t="s">
        <v>6780</v>
      </c>
    </row>
    <row r="914" spans="2:2" x14ac:dyDescent="0.25">
      <c r="B914" s="146" t="s">
        <v>6587</v>
      </c>
    </row>
    <row r="915" spans="2:2" x14ac:dyDescent="0.25">
      <c r="B915" s="146" t="s">
        <v>6588</v>
      </c>
    </row>
    <row r="916" spans="2:2" x14ac:dyDescent="0.25">
      <c r="B916" s="146" t="s">
        <v>6781</v>
      </c>
    </row>
    <row r="917" spans="2:2" x14ac:dyDescent="0.25">
      <c r="B917" s="146" t="s">
        <v>6560</v>
      </c>
    </row>
    <row r="918" spans="2:2" x14ac:dyDescent="0.25">
      <c r="B918" s="146" t="s">
        <v>6561</v>
      </c>
    </row>
    <row r="919" spans="2:2" x14ac:dyDescent="0.25">
      <c r="B919" s="146" t="s">
        <v>6566</v>
      </c>
    </row>
    <row r="920" spans="2:2" x14ac:dyDescent="0.25">
      <c r="B920" s="146" t="s">
        <v>6381</v>
      </c>
    </row>
    <row r="921" spans="2:2" x14ac:dyDescent="0.25">
      <c r="B921" s="146" t="s">
        <v>6383</v>
      </c>
    </row>
    <row r="922" spans="2:2" x14ac:dyDescent="0.25">
      <c r="B922" s="146" t="s">
        <v>6102</v>
      </c>
    </row>
    <row r="923" spans="2:2" x14ac:dyDescent="0.25">
      <c r="B923" s="146" t="s">
        <v>6103</v>
      </c>
    </row>
    <row r="924" spans="2:2" x14ac:dyDescent="0.25">
      <c r="B924" s="146" t="s">
        <v>6385</v>
      </c>
    </row>
    <row r="925" spans="2:2" x14ac:dyDescent="0.25">
      <c r="B925" s="146" t="s">
        <v>6104</v>
      </c>
    </row>
    <row r="926" spans="2:2" x14ac:dyDescent="0.25">
      <c r="B926" s="146" t="s">
        <v>6105</v>
      </c>
    </row>
    <row r="927" spans="2:2" x14ac:dyDescent="0.25">
      <c r="B927" s="146" t="s">
        <v>6417</v>
      </c>
    </row>
    <row r="928" spans="2:2" x14ac:dyDescent="0.25">
      <c r="B928" s="146" t="s">
        <v>6106</v>
      </c>
    </row>
    <row r="929" spans="2:2" x14ac:dyDescent="0.25">
      <c r="B929" s="146" t="s">
        <v>6418</v>
      </c>
    </row>
    <row r="930" spans="2:2" x14ac:dyDescent="0.25">
      <c r="B930" s="146" t="s">
        <v>6107</v>
      </c>
    </row>
    <row r="931" spans="2:2" x14ac:dyDescent="0.25">
      <c r="B931" s="146" t="s">
        <v>6410</v>
      </c>
    </row>
    <row r="932" spans="2:2" x14ac:dyDescent="0.25">
      <c r="B932" s="146" t="s">
        <v>6411</v>
      </c>
    </row>
    <row r="933" spans="2:2" x14ac:dyDescent="0.25">
      <c r="B933" s="146" t="s">
        <v>6593</v>
      </c>
    </row>
    <row r="934" spans="2:2" x14ac:dyDescent="0.25">
      <c r="B934" s="146" t="s">
        <v>6108</v>
      </c>
    </row>
    <row r="935" spans="2:2" x14ac:dyDescent="0.25">
      <c r="B935" s="146" t="s">
        <v>6493</v>
      </c>
    </row>
    <row r="936" spans="2:2" x14ac:dyDescent="0.25">
      <c r="B936" s="146" t="s">
        <v>6508</v>
      </c>
    </row>
    <row r="937" spans="2:2" x14ac:dyDescent="0.25">
      <c r="B937" s="146" t="s">
        <v>6509</v>
      </c>
    </row>
    <row r="938" spans="2:2" x14ac:dyDescent="0.25">
      <c r="B938" s="146" t="s">
        <v>6510</v>
      </c>
    </row>
    <row r="939" spans="2:2" x14ac:dyDescent="0.25">
      <c r="B939" s="146" t="s">
        <v>6506</v>
      </c>
    </row>
    <row r="940" spans="2:2" x14ac:dyDescent="0.25">
      <c r="B940" s="146" t="s">
        <v>6505</v>
      </c>
    </row>
    <row r="941" spans="2:2" x14ac:dyDescent="0.25">
      <c r="B941" s="146" t="s">
        <v>6583</v>
      </c>
    </row>
    <row r="942" spans="2:2" x14ac:dyDescent="0.25">
      <c r="B942" s="146" t="s">
        <v>6782</v>
      </c>
    </row>
    <row r="943" spans="2:2" x14ac:dyDescent="0.25">
      <c r="B943" s="146" t="s">
        <v>6582</v>
      </c>
    </row>
    <row r="944" spans="2:2" x14ac:dyDescent="0.25">
      <c r="B944" s="146" t="s">
        <v>6578</v>
      </c>
    </row>
    <row r="945" spans="2:2" x14ac:dyDescent="0.25">
      <c r="B945" s="146" t="s">
        <v>6584</v>
      </c>
    </row>
    <row r="946" spans="2:2" x14ac:dyDescent="0.25">
      <c r="B946" s="146" t="s">
        <v>6783</v>
      </c>
    </row>
    <row r="947" spans="2:2" x14ac:dyDescent="0.25">
      <c r="B947" s="146" t="s">
        <v>6589</v>
      </c>
    </row>
    <row r="948" spans="2:2" x14ac:dyDescent="0.25">
      <c r="B948" s="146" t="s">
        <v>6590</v>
      </c>
    </row>
    <row r="949" spans="2:2" x14ac:dyDescent="0.25">
      <c r="B949" s="146" t="s">
        <v>6585</v>
      </c>
    </row>
    <row r="950" spans="2:2" x14ac:dyDescent="0.25">
      <c r="B950" s="146" t="s">
        <v>6591</v>
      </c>
    </row>
    <row r="951" spans="2:2" x14ac:dyDescent="0.25">
      <c r="B951" s="146" t="s">
        <v>6581</v>
      </c>
    </row>
    <row r="952" spans="2:2" x14ac:dyDescent="0.25">
      <c r="B952" s="146" t="s">
        <v>6784</v>
      </c>
    </row>
    <row r="953" spans="2:2" x14ac:dyDescent="0.25">
      <c r="B953" s="146" t="s">
        <v>6785</v>
      </c>
    </row>
    <row r="954" spans="2:2" x14ac:dyDescent="0.25">
      <c r="B954" s="146" t="s">
        <v>6586</v>
      </c>
    </row>
    <row r="955" spans="2:2" x14ac:dyDescent="0.25">
      <c r="B955" s="146" t="s">
        <v>6109</v>
      </c>
    </row>
    <row r="956" spans="2:2" x14ac:dyDescent="0.25">
      <c r="B956" s="146" t="s">
        <v>6110</v>
      </c>
    </row>
    <row r="957" spans="2:2" x14ac:dyDescent="0.25">
      <c r="B957" s="146" t="s">
        <v>6111</v>
      </c>
    </row>
    <row r="958" spans="2:2" x14ac:dyDescent="0.25">
      <c r="B958" s="146" t="s">
        <v>6112</v>
      </c>
    </row>
    <row r="959" spans="2:2" x14ac:dyDescent="0.25">
      <c r="B959" s="146" t="s">
        <v>6113</v>
      </c>
    </row>
    <row r="960" spans="2:2" x14ac:dyDescent="0.25">
      <c r="B960" s="146" t="s">
        <v>6114</v>
      </c>
    </row>
    <row r="961" spans="2:2" x14ac:dyDescent="0.25">
      <c r="B961" s="146" t="s">
        <v>6115</v>
      </c>
    </row>
    <row r="962" spans="2:2" x14ac:dyDescent="0.25">
      <c r="B962" s="146" t="s">
        <v>4893</v>
      </c>
    </row>
    <row r="963" spans="2:2" x14ac:dyDescent="0.25">
      <c r="B963" s="146" t="s">
        <v>6116</v>
      </c>
    </row>
    <row r="964" spans="2:2" x14ac:dyDescent="0.25">
      <c r="B964" s="146" t="s">
        <v>6117</v>
      </c>
    </row>
    <row r="965" spans="2:2" x14ac:dyDescent="0.25">
      <c r="B965" s="146" t="s">
        <v>6118</v>
      </c>
    </row>
    <row r="966" spans="2:2" x14ac:dyDescent="0.25">
      <c r="B966" s="146" t="s">
        <v>6119</v>
      </c>
    </row>
    <row r="967" spans="2:2" x14ac:dyDescent="0.25">
      <c r="B967" s="146" t="s">
        <v>6120</v>
      </c>
    </row>
    <row r="968" spans="2:2" x14ac:dyDescent="0.25">
      <c r="B968" s="146" t="s">
        <v>6121</v>
      </c>
    </row>
    <row r="969" spans="2:2" x14ac:dyDescent="0.25">
      <c r="B969" s="146" t="s">
        <v>6122</v>
      </c>
    </row>
    <row r="970" spans="2:2" x14ac:dyDescent="0.25">
      <c r="B970" s="146" t="s">
        <v>6123</v>
      </c>
    </row>
    <row r="971" spans="2:2" x14ac:dyDescent="0.25">
      <c r="B971" s="146" t="s">
        <v>6124</v>
      </c>
    </row>
    <row r="972" spans="2:2" x14ac:dyDescent="0.25">
      <c r="B972" s="146" t="s">
        <v>6660</v>
      </c>
    </row>
    <row r="973" spans="2:2" x14ac:dyDescent="0.25">
      <c r="B973" s="146" t="s">
        <v>6125</v>
      </c>
    </row>
    <row r="974" spans="2:2" x14ac:dyDescent="0.25">
      <c r="B974" s="146" t="s">
        <v>6126</v>
      </c>
    </row>
    <row r="975" spans="2:2" x14ac:dyDescent="0.25">
      <c r="B975" s="146" t="s">
        <v>6127</v>
      </c>
    </row>
    <row r="976" spans="2:2" x14ac:dyDescent="0.25">
      <c r="B976" s="146" t="s">
        <v>6533</v>
      </c>
    </row>
    <row r="977" spans="2:2" x14ac:dyDescent="0.25">
      <c r="B977" s="146" t="s">
        <v>4891</v>
      </c>
    </row>
    <row r="978" spans="2:2" x14ac:dyDescent="0.25">
      <c r="B978" s="146" t="s">
        <v>6534</v>
      </c>
    </row>
    <row r="979" spans="2:2" x14ac:dyDescent="0.25">
      <c r="B979" s="146" t="s">
        <v>6128</v>
      </c>
    </row>
    <row r="980" spans="2:2" x14ac:dyDescent="0.25">
      <c r="B980" s="146" t="s">
        <v>6129</v>
      </c>
    </row>
    <row r="981" spans="2:2" x14ac:dyDescent="0.25">
      <c r="B981" s="146" t="s">
        <v>6130</v>
      </c>
    </row>
    <row r="982" spans="2:2" x14ac:dyDescent="0.25">
      <c r="B982" s="146" t="s">
        <v>6131</v>
      </c>
    </row>
    <row r="983" spans="2:2" x14ac:dyDescent="0.25">
      <c r="B983" s="146" t="s">
        <v>6535</v>
      </c>
    </row>
    <row r="984" spans="2:2" x14ac:dyDescent="0.25">
      <c r="B984" s="146" t="s">
        <v>6132</v>
      </c>
    </row>
    <row r="985" spans="2:2" x14ac:dyDescent="0.25">
      <c r="B985" s="146" t="s">
        <v>6530</v>
      </c>
    </row>
    <row r="986" spans="2:2" x14ac:dyDescent="0.25">
      <c r="B986" s="146" t="s">
        <v>6536</v>
      </c>
    </row>
    <row r="987" spans="2:2" x14ac:dyDescent="0.25">
      <c r="B987" s="146" t="s">
        <v>6133</v>
      </c>
    </row>
    <row r="988" spans="2:2" x14ac:dyDescent="0.25">
      <c r="B988" s="146" t="s">
        <v>6377</v>
      </c>
    </row>
    <row r="989" spans="2:2" x14ac:dyDescent="0.25">
      <c r="B989" s="146" t="s">
        <v>6639</v>
      </c>
    </row>
    <row r="990" spans="2:2" x14ac:dyDescent="0.25">
      <c r="B990" s="146" t="s">
        <v>6491</v>
      </c>
    </row>
    <row r="991" spans="2:2" x14ac:dyDescent="0.25">
      <c r="B991" s="146" t="s">
        <v>6492</v>
      </c>
    </row>
    <row r="992" spans="2:2" x14ac:dyDescent="0.25">
      <c r="B992" s="146" t="s">
        <v>6433</v>
      </c>
    </row>
    <row r="993" spans="2:2" x14ac:dyDescent="0.25">
      <c r="B993" s="146" t="s">
        <v>6427</v>
      </c>
    </row>
    <row r="994" spans="2:2" x14ac:dyDescent="0.25">
      <c r="B994" s="146" t="s">
        <v>6439</v>
      </c>
    </row>
    <row r="995" spans="2:2" x14ac:dyDescent="0.25">
      <c r="B995" s="146" t="s">
        <v>6440</v>
      </c>
    </row>
    <row r="996" spans="2:2" x14ac:dyDescent="0.25">
      <c r="B996" s="146" t="s">
        <v>6786</v>
      </c>
    </row>
    <row r="997" spans="2:2" x14ac:dyDescent="0.25">
      <c r="B997" s="146" t="s">
        <v>6134</v>
      </c>
    </row>
    <row r="998" spans="2:2" x14ac:dyDescent="0.25">
      <c r="B998" s="146" t="s">
        <v>6135</v>
      </c>
    </row>
    <row r="999" spans="2:2" x14ac:dyDescent="0.25">
      <c r="B999" s="146" t="s">
        <v>6136</v>
      </c>
    </row>
    <row r="1000" spans="2:2" x14ac:dyDescent="0.25">
      <c r="B1000" s="146" t="s">
        <v>6137</v>
      </c>
    </row>
    <row r="1001" spans="2:2" x14ac:dyDescent="0.25">
      <c r="B1001" s="146" t="s">
        <v>6138</v>
      </c>
    </row>
    <row r="1002" spans="2:2" x14ac:dyDescent="0.25">
      <c r="B1002" s="146" t="s">
        <v>6139</v>
      </c>
    </row>
    <row r="1003" spans="2:2" x14ac:dyDescent="0.25">
      <c r="B1003" s="146" t="s">
        <v>6140</v>
      </c>
    </row>
    <row r="1004" spans="2:2" x14ac:dyDescent="0.25">
      <c r="B1004" s="146" t="s">
        <v>6141</v>
      </c>
    </row>
    <row r="1005" spans="2:2" x14ac:dyDescent="0.25">
      <c r="B1005" s="146" t="s">
        <v>6447</v>
      </c>
    </row>
    <row r="1006" spans="2:2" x14ac:dyDescent="0.25">
      <c r="B1006" s="146" t="s">
        <v>6142</v>
      </c>
    </row>
    <row r="1007" spans="2:2" x14ac:dyDescent="0.25">
      <c r="B1007" s="146" t="s">
        <v>6143</v>
      </c>
    </row>
    <row r="1008" spans="2:2" x14ac:dyDescent="0.25">
      <c r="B1008" s="146" t="s">
        <v>6144</v>
      </c>
    </row>
    <row r="1009" spans="2:2" x14ac:dyDescent="0.25">
      <c r="B1009" s="146" t="s">
        <v>6145</v>
      </c>
    </row>
    <row r="1010" spans="2:2" x14ac:dyDescent="0.25">
      <c r="B1010" s="146" t="s">
        <v>6146</v>
      </c>
    </row>
    <row r="1011" spans="2:2" x14ac:dyDescent="0.25">
      <c r="B1011" s="146" t="s">
        <v>6147</v>
      </c>
    </row>
    <row r="1012" spans="2:2" x14ac:dyDescent="0.25">
      <c r="B1012" s="146" t="s">
        <v>6148</v>
      </c>
    </row>
    <row r="1013" spans="2:2" x14ac:dyDescent="0.25">
      <c r="B1013" s="146" t="s">
        <v>6532</v>
      </c>
    </row>
    <row r="1014" spans="2:2" x14ac:dyDescent="0.25">
      <c r="B1014" s="146" t="s">
        <v>6149</v>
      </c>
    </row>
    <row r="1015" spans="2:2" x14ac:dyDescent="0.25">
      <c r="B1015" s="146" t="s">
        <v>6150</v>
      </c>
    </row>
    <row r="1016" spans="2:2" x14ac:dyDescent="0.25">
      <c r="B1016" s="146" t="s">
        <v>6151</v>
      </c>
    </row>
    <row r="1017" spans="2:2" x14ac:dyDescent="0.25">
      <c r="B1017" s="146" t="s">
        <v>6152</v>
      </c>
    </row>
    <row r="1018" spans="2:2" x14ac:dyDescent="0.25">
      <c r="B1018" s="146" t="s">
        <v>6153</v>
      </c>
    </row>
    <row r="1019" spans="2:2" x14ac:dyDescent="0.25">
      <c r="B1019" s="146" t="s">
        <v>4883</v>
      </c>
    </row>
    <row r="1020" spans="2:2" x14ac:dyDescent="0.25">
      <c r="B1020" s="146" t="s">
        <v>6154</v>
      </c>
    </row>
    <row r="1021" spans="2:2" x14ac:dyDescent="0.25">
      <c r="B1021" s="146" t="s">
        <v>6155</v>
      </c>
    </row>
    <row r="1022" spans="2:2" x14ac:dyDescent="0.25">
      <c r="B1022" s="146" t="s">
        <v>6156</v>
      </c>
    </row>
    <row r="1023" spans="2:2" x14ac:dyDescent="0.25">
      <c r="B1023" s="146" t="s">
        <v>6157</v>
      </c>
    </row>
    <row r="1024" spans="2:2" x14ac:dyDescent="0.25">
      <c r="B1024" s="146" t="s">
        <v>6158</v>
      </c>
    </row>
    <row r="1025" spans="2:2" x14ac:dyDescent="0.25">
      <c r="B1025" s="146" t="s">
        <v>6159</v>
      </c>
    </row>
    <row r="1026" spans="2:2" x14ac:dyDescent="0.25">
      <c r="B1026" s="146" t="s">
        <v>6160</v>
      </c>
    </row>
    <row r="1027" spans="2:2" x14ac:dyDescent="0.25">
      <c r="B1027" s="146" t="s">
        <v>6161</v>
      </c>
    </row>
    <row r="1028" spans="2:2" x14ac:dyDescent="0.25">
      <c r="B1028" s="146" t="s">
        <v>6162</v>
      </c>
    </row>
    <row r="1029" spans="2:2" x14ac:dyDescent="0.25">
      <c r="B1029" s="146" t="s">
        <v>6163</v>
      </c>
    </row>
    <row r="1030" spans="2:2" x14ac:dyDescent="0.25">
      <c r="B1030" s="146" t="s">
        <v>6540</v>
      </c>
    </row>
    <row r="1031" spans="2:2" x14ac:dyDescent="0.25">
      <c r="B1031" s="146" t="s">
        <v>6539</v>
      </c>
    </row>
    <row r="1032" spans="2:2" x14ac:dyDescent="0.25">
      <c r="B1032" s="146" t="s">
        <v>6164</v>
      </c>
    </row>
    <row r="1033" spans="2:2" x14ac:dyDescent="0.25">
      <c r="B1033" s="146" t="s">
        <v>6640</v>
      </c>
    </row>
    <row r="1034" spans="2:2" x14ac:dyDescent="0.25">
      <c r="B1034" s="146" t="s">
        <v>6641</v>
      </c>
    </row>
    <row r="1035" spans="2:2" x14ac:dyDescent="0.25">
      <c r="B1035" s="146" t="s">
        <v>6165</v>
      </c>
    </row>
    <row r="1036" spans="2:2" x14ac:dyDescent="0.25">
      <c r="B1036" s="146" t="s">
        <v>6642</v>
      </c>
    </row>
    <row r="1037" spans="2:2" x14ac:dyDescent="0.25">
      <c r="B1037" s="146" t="s">
        <v>6436</v>
      </c>
    </row>
    <row r="1038" spans="2:2" x14ac:dyDescent="0.25">
      <c r="B1038" s="146" t="s">
        <v>6437</v>
      </c>
    </row>
    <row r="1039" spans="2:2" x14ac:dyDescent="0.25">
      <c r="B1039" s="146" t="s">
        <v>6643</v>
      </c>
    </row>
    <row r="1040" spans="2:2" x14ac:dyDescent="0.25">
      <c r="B1040" s="146" t="s">
        <v>6166</v>
      </c>
    </row>
    <row r="1041" spans="2:2" x14ac:dyDescent="0.25">
      <c r="B1041" s="146" t="s">
        <v>6680</v>
      </c>
    </row>
    <row r="1042" spans="2:2" x14ac:dyDescent="0.25">
      <c r="B1042" s="146" t="s">
        <v>6167</v>
      </c>
    </row>
    <row r="1043" spans="2:2" x14ac:dyDescent="0.25">
      <c r="B1043" s="146" t="s">
        <v>6168</v>
      </c>
    </row>
    <row r="1044" spans="2:2" x14ac:dyDescent="0.25">
      <c r="B1044" s="146" t="s">
        <v>6169</v>
      </c>
    </row>
    <row r="1045" spans="2:2" x14ac:dyDescent="0.25">
      <c r="B1045" s="146" t="s">
        <v>6170</v>
      </c>
    </row>
    <row r="1046" spans="2:2" x14ac:dyDescent="0.25">
      <c r="B1046" s="146" t="s">
        <v>6171</v>
      </c>
    </row>
    <row r="1047" spans="2:2" x14ac:dyDescent="0.25">
      <c r="B1047" s="146" t="s">
        <v>6172</v>
      </c>
    </row>
    <row r="1048" spans="2:2" x14ac:dyDescent="0.25">
      <c r="B1048" s="146" t="s">
        <v>6173</v>
      </c>
    </row>
    <row r="1049" spans="2:2" x14ac:dyDescent="0.25">
      <c r="B1049" s="146" t="s">
        <v>6174</v>
      </c>
    </row>
    <row r="1050" spans="2:2" x14ac:dyDescent="0.25">
      <c r="B1050" s="146" t="s">
        <v>6175</v>
      </c>
    </row>
    <row r="1051" spans="2:2" x14ac:dyDescent="0.25">
      <c r="B1051" s="146" t="s">
        <v>6176</v>
      </c>
    </row>
    <row r="1052" spans="2:2" x14ac:dyDescent="0.25">
      <c r="B1052" s="146" t="s">
        <v>6681</v>
      </c>
    </row>
    <row r="1053" spans="2:2" x14ac:dyDescent="0.25">
      <c r="B1053" s="146" t="s">
        <v>6177</v>
      </c>
    </row>
    <row r="1054" spans="2:2" x14ac:dyDescent="0.25">
      <c r="B1054" s="146" t="s">
        <v>6178</v>
      </c>
    </row>
    <row r="1055" spans="2:2" x14ac:dyDescent="0.25">
      <c r="B1055" s="146" t="s">
        <v>6996</v>
      </c>
    </row>
    <row r="1056" spans="2:2" x14ac:dyDescent="0.25">
      <c r="B1056" s="146" t="s">
        <v>6599</v>
      </c>
    </row>
    <row r="1057" spans="2:2" x14ac:dyDescent="0.25">
      <c r="B1057" s="146" t="s">
        <v>6179</v>
      </c>
    </row>
    <row r="1058" spans="2:2" x14ac:dyDescent="0.25">
      <c r="B1058" s="146" t="s">
        <v>6180</v>
      </c>
    </row>
    <row r="1059" spans="2:2" x14ac:dyDescent="0.25">
      <c r="B1059" s="146" t="s">
        <v>6181</v>
      </c>
    </row>
    <row r="1060" spans="2:2" x14ac:dyDescent="0.25">
      <c r="B1060" s="146" t="s">
        <v>6182</v>
      </c>
    </row>
    <row r="1061" spans="2:2" x14ac:dyDescent="0.25">
      <c r="B1061" s="146" t="s">
        <v>6183</v>
      </c>
    </row>
    <row r="1062" spans="2:2" x14ac:dyDescent="0.25">
      <c r="B1062" s="146" t="s">
        <v>6184</v>
      </c>
    </row>
    <row r="1063" spans="2:2" x14ac:dyDescent="0.25">
      <c r="B1063" s="146" t="s">
        <v>6612</v>
      </c>
    </row>
    <row r="1064" spans="2:2" x14ac:dyDescent="0.25">
      <c r="B1064" s="146" t="s">
        <v>6613</v>
      </c>
    </row>
    <row r="1065" spans="2:2" x14ac:dyDescent="0.25">
      <c r="B1065" s="146" t="s">
        <v>6185</v>
      </c>
    </row>
    <row r="1066" spans="2:2" x14ac:dyDescent="0.25">
      <c r="B1066" s="146" t="s">
        <v>6186</v>
      </c>
    </row>
    <row r="1067" spans="2:2" x14ac:dyDescent="0.25">
      <c r="B1067" s="146" t="s">
        <v>6187</v>
      </c>
    </row>
    <row r="1068" spans="2:2" x14ac:dyDescent="0.25">
      <c r="B1068" s="146" t="s">
        <v>6188</v>
      </c>
    </row>
    <row r="1069" spans="2:2" x14ac:dyDescent="0.25">
      <c r="B1069" s="146" t="s">
        <v>6189</v>
      </c>
    </row>
    <row r="1070" spans="2:2" x14ac:dyDescent="0.25">
      <c r="B1070" s="146" t="s">
        <v>6190</v>
      </c>
    </row>
    <row r="1071" spans="2:2" x14ac:dyDescent="0.25">
      <c r="B1071" s="146" t="s">
        <v>6191</v>
      </c>
    </row>
    <row r="1072" spans="2:2" x14ac:dyDescent="0.25">
      <c r="B1072" s="146" t="s">
        <v>6192</v>
      </c>
    </row>
    <row r="1073" spans="2:2" x14ac:dyDescent="0.25">
      <c r="B1073" s="146" t="s">
        <v>6193</v>
      </c>
    </row>
    <row r="1074" spans="2:2" x14ac:dyDescent="0.25">
      <c r="B1074" s="146" t="s">
        <v>6194</v>
      </c>
    </row>
    <row r="1075" spans="2:2" x14ac:dyDescent="0.25">
      <c r="B1075" s="146" t="s">
        <v>6195</v>
      </c>
    </row>
    <row r="1076" spans="2:2" x14ac:dyDescent="0.25">
      <c r="B1076" s="146" t="s">
        <v>6196</v>
      </c>
    </row>
    <row r="1077" spans="2:2" x14ac:dyDescent="0.25">
      <c r="B1077" s="146" t="s">
        <v>6197</v>
      </c>
    </row>
    <row r="1078" spans="2:2" x14ac:dyDescent="0.25">
      <c r="B1078" s="146" t="s">
        <v>6198</v>
      </c>
    </row>
    <row r="1079" spans="2:2" x14ac:dyDescent="0.25">
      <c r="B1079" s="146" t="s">
        <v>6199</v>
      </c>
    </row>
    <row r="1080" spans="2:2" x14ac:dyDescent="0.25">
      <c r="B1080" s="146" t="s">
        <v>6200</v>
      </c>
    </row>
    <row r="1081" spans="2:2" x14ac:dyDescent="0.25">
      <c r="B1081" s="146" t="s">
        <v>6201</v>
      </c>
    </row>
    <row r="1082" spans="2:2" x14ac:dyDescent="0.25">
      <c r="B1082" s="146" t="s">
        <v>6202</v>
      </c>
    </row>
    <row r="1083" spans="2:2" x14ac:dyDescent="0.25">
      <c r="B1083" s="146" t="s">
        <v>6331</v>
      </c>
    </row>
    <row r="1084" spans="2:2" x14ac:dyDescent="0.25">
      <c r="B1084" s="146" t="s">
        <v>6703</v>
      </c>
    </row>
    <row r="1085" spans="2:2" x14ac:dyDescent="0.25">
      <c r="B1085" s="146" t="s">
        <v>6203</v>
      </c>
    </row>
    <row r="1086" spans="2:2" x14ac:dyDescent="0.25">
      <c r="B1086" s="146" t="s">
        <v>6619</v>
      </c>
    </row>
    <row r="1087" spans="2:2" x14ac:dyDescent="0.25">
      <c r="B1087" s="146" t="s">
        <v>6204</v>
      </c>
    </row>
    <row r="1088" spans="2:2" x14ac:dyDescent="0.25">
      <c r="B1088" s="146" t="s">
        <v>6525</v>
      </c>
    </row>
    <row r="1089" spans="2:2" x14ac:dyDescent="0.25">
      <c r="B1089" s="146" t="s">
        <v>6205</v>
      </c>
    </row>
    <row r="1090" spans="2:2" x14ac:dyDescent="0.25">
      <c r="B1090" s="146" t="s">
        <v>6701</v>
      </c>
    </row>
    <row r="1091" spans="2:2" x14ac:dyDescent="0.25">
      <c r="B1091" s="146" t="s">
        <v>6695</v>
      </c>
    </row>
    <row r="1092" spans="2:2" x14ac:dyDescent="0.25">
      <c r="B1092" s="146" t="s">
        <v>6206</v>
      </c>
    </row>
    <row r="1093" spans="2:2" x14ac:dyDescent="0.25">
      <c r="B1093" s="146" t="s">
        <v>6207</v>
      </c>
    </row>
    <row r="1094" spans="2:2" x14ac:dyDescent="0.25">
      <c r="B1094" s="146" t="s">
        <v>6208</v>
      </c>
    </row>
    <row r="1095" spans="2:2" x14ac:dyDescent="0.25">
      <c r="B1095" s="146" t="s">
        <v>6696</v>
      </c>
    </row>
    <row r="1096" spans="2:2" x14ac:dyDescent="0.25">
      <c r="B1096" s="146" t="s">
        <v>6688</v>
      </c>
    </row>
    <row r="1097" spans="2:2" x14ac:dyDescent="0.25">
      <c r="B1097" s="146" t="s">
        <v>6209</v>
      </c>
    </row>
    <row r="1098" spans="2:2" x14ac:dyDescent="0.25">
      <c r="B1098" s="146" t="s">
        <v>6629</v>
      </c>
    </row>
    <row r="1099" spans="2:2" x14ac:dyDescent="0.25">
      <c r="B1099" s="146" t="s">
        <v>6550</v>
      </c>
    </row>
    <row r="1100" spans="2:2" x14ac:dyDescent="0.25">
      <c r="B1100" s="146" t="s">
        <v>6210</v>
      </c>
    </row>
    <row r="1101" spans="2:2" x14ac:dyDescent="0.25">
      <c r="B1101" s="146" t="s">
        <v>6211</v>
      </c>
    </row>
    <row r="1102" spans="2:2" x14ac:dyDescent="0.25">
      <c r="B1102" s="146" t="s">
        <v>6212</v>
      </c>
    </row>
    <row r="1103" spans="2:2" x14ac:dyDescent="0.25">
      <c r="B1103" s="146" t="s">
        <v>6697</v>
      </c>
    </row>
    <row r="1104" spans="2:2" x14ac:dyDescent="0.25">
      <c r="B1104" s="146" t="s">
        <v>6698</v>
      </c>
    </row>
    <row r="1105" spans="2:2" x14ac:dyDescent="0.25">
      <c r="B1105" s="146" t="s">
        <v>6236</v>
      </c>
    </row>
    <row r="1106" spans="2:2" x14ac:dyDescent="0.25">
      <c r="B1106" s="146" t="s">
        <v>6511</v>
      </c>
    </row>
    <row r="1107" spans="2:2" x14ac:dyDescent="0.25">
      <c r="B1107" s="146" t="s">
        <v>6213</v>
      </c>
    </row>
    <row r="1108" spans="2:2" x14ac:dyDescent="0.25">
      <c r="B1108" s="146" t="s">
        <v>6512</v>
      </c>
    </row>
    <row r="1109" spans="2:2" x14ac:dyDescent="0.25">
      <c r="B1109" s="146" t="s">
        <v>6214</v>
      </c>
    </row>
    <row r="1110" spans="2:2" x14ac:dyDescent="0.25">
      <c r="B1110" s="146" t="s">
        <v>6215</v>
      </c>
    </row>
    <row r="1111" spans="2:2" x14ac:dyDescent="0.25">
      <c r="B1111" s="146" t="s">
        <v>6216</v>
      </c>
    </row>
    <row r="1112" spans="2:2" x14ac:dyDescent="0.25">
      <c r="B1112" s="146" t="s">
        <v>6217</v>
      </c>
    </row>
    <row r="1113" spans="2:2" x14ac:dyDescent="0.25">
      <c r="B1113" s="146" t="s">
        <v>6218</v>
      </c>
    </row>
    <row r="1114" spans="2:2" x14ac:dyDescent="0.25">
      <c r="B1114" s="146" t="s">
        <v>6514</v>
      </c>
    </row>
    <row r="1115" spans="2:2" x14ac:dyDescent="0.25">
      <c r="B1115" s="146" t="s">
        <v>6515</v>
      </c>
    </row>
    <row r="1116" spans="2:2" x14ac:dyDescent="0.25">
      <c r="B1116" s="146" t="s">
        <v>6516</v>
      </c>
    </row>
    <row r="1117" spans="2:2" x14ac:dyDescent="0.25">
      <c r="B1117" s="146" t="s">
        <v>6633</v>
      </c>
    </row>
    <row r="1118" spans="2:2" x14ac:dyDescent="0.25">
      <c r="B1118" s="146" t="s">
        <v>6468</v>
      </c>
    </row>
    <row r="1119" spans="2:2" x14ac:dyDescent="0.25">
      <c r="B1119" s="146" t="s">
        <v>6467</v>
      </c>
    </row>
    <row r="1120" spans="2:2" x14ac:dyDescent="0.25">
      <c r="B1120" s="146" t="s">
        <v>6465</v>
      </c>
    </row>
    <row r="1121" spans="2:2" x14ac:dyDescent="0.25">
      <c r="B1121" s="146" t="s">
        <v>6466</v>
      </c>
    </row>
    <row r="1122" spans="2:2" x14ac:dyDescent="0.25">
      <c r="B1122" s="146" t="s">
        <v>6219</v>
      </c>
    </row>
    <row r="1123" spans="2:2" x14ac:dyDescent="0.25">
      <c r="B1123" s="146" t="s">
        <v>6717</v>
      </c>
    </row>
    <row r="1124" spans="2:2" x14ac:dyDescent="0.25">
      <c r="B1124" s="146" t="s">
        <v>6719</v>
      </c>
    </row>
    <row r="1125" spans="2:2" x14ac:dyDescent="0.25">
      <c r="B1125" s="146" t="s">
        <v>6721</v>
      </c>
    </row>
    <row r="1126" spans="2:2" x14ac:dyDescent="0.25">
      <c r="B1126" s="146" t="s">
        <v>6723</v>
      </c>
    </row>
    <row r="1127" spans="2:2" x14ac:dyDescent="0.25">
      <c r="B1127" s="146" t="s">
        <v>6725</v>
      </c>
    </row>
    <row r="1128" spans="2:2" x14ac:dyDescent="0.25">
      <c r="B1128" s="146" t="s">
        <v>6726</v>
      </c>
    </row>
    <row r="1129" spans="2:2" x14ac:dyDescent="0.25">
      <c r="B1129" s="146" t="s">
        <v>6243</v>
      </c>
    </row>
    <row r="1130" spans="2:2" x14ac:dyDescent="0.25">
      <c r="B1130" s="146" t="s">
        <v>6734</v>
      </c>
    </row>
    <row r="1131" spans="2:2" x14ac:dyDescent="0.25">
      <c r="B1131" s="146" t="s">
        <v>6341</v>
      </c>
    </row>
    <row r="1132" spans="2:2" x14ac:dyDescent="0.25">
      <c r="B1132" s="146" t="s">
        <v>6220</v>
      </c>
    </row>
    <row r="1133" spans="2:2" x14ac:dyDescent="0.25">
      <c r="B1133" s="146" t="s">
        <v>6454</v>
      </c>
    </row>
    <row r="1134" spans="2:2" x14ac:dyDescent="0.25">
      <c r="B1134" s="146" t="s">
        <v>6221</v>
      </c>
    </row>
    <row r="1135" spans="2:2" x14ac:dyDescent="0.25">
      <c r="B1135" s="146" t="s">
        <v>6222</v>
      </c>
    </row>
    <row r="1136" spans="2:2" x14ac:dyDescent="0.25">
      <c r="B1136" s="146" t="s">
        <v>6223</v>
      </c>
    </row>
    <row r="1137" spans="2:2" x14ac:dyDescent="0.25">
      <c r="B1137" s="146" t="s">
        <v>6384</v>
      </c>
    </row>
    <row r="1138" spans="2:2" x14ac:dyDescent="0.25">
      <c r="B1138" s="146" t="s">
        <v>6672</v>
      </c>
    </row>
    <row r="1139" spans="2:2" x14ac:dyDescent="0.25">
      <c r="B1139" s="146" t="s">
        <v>6603</v>
      </c>
    </row>
    <row r="1140" spans="2:2" x14ac:dyDescent="0.25">
      <c r="B1140" s="146" t="s">
        <v>6624</v>
      </c>
    </row>
    <row r="1141" spans="2:2" x14ac:dyDescent="0.25">
      <c r="B1141" s="146" t="s">
        <v>6434</v>
      </c>
    </row>
    <row r="1142" spans="2:2" x14ac:dyDescent="0.25">
      <c r="B1142" s="146" t="s">
        <v>6224</v>
      </c>
    </row>
    <row r="1143" spans="2:2" x14ac:dyDescent="0.25">
      <c r="B1143" s="146" t="s">
        <v>6225</v>
      </c>
    </row>
    <row r="1144" spans="2:2" x14ac:dyDescent="0.25">
      <c r="B1144" s="146" t="s">
        <v>6226</v>
      </c>
    </row>
    <row r="1145" spans="2:2" x14ac:dyDescent="0.25">
      <c r="B1145" s="146" t="s">
        <v>6227</v>
      </c>
    </row>
    <row r="1146" spans="2:2" x14ac:dyDescent="0.25">
      <c r="B1146" s="146" t="s">
        <v>6228</v>
      </c>
    </row>
    <row r="1147" spans="2:2" x14ac:dyDescent="0.25">
      <c r="B1147" s="146" t="s">
        <v>6229</v>
      </c>
    </row>
    <row r="1148" spans="2:2" x14ac:dyDescent="0.25">
      <c r="B1148" s="146" t="s">
        <v>6230</v>
      </c>
    </row>
    <row r="1149" spans="2:2" x14ac:dyDescent="0.25">
      <c r="B1149" s="146" t="s">
        <v>6357</v>
      </c>
    </row>
    <row r="1150" spans="2:2" x14ac:dyDescent="0.25">
      <c r="B1150" s="146" t="s">
        <v>6231</v>
      </c>
    </row>
    <row r="1151" spans="2:2" x14ac:dyDescent="0.25">
      <c r="B1151" s="146" t="s">
        <v>6232</v>
      </c>
    </row>
    <row r="1152" spans="2:2" x14ac:dyDescent="0.25">
      <c r="B1152" s="146" t="s">
        <v>6997</v>
      </c>
    </row>
    <row r="1153" spans="2:2" x14ac:dyDescent="0.25">
      <c r="B1153" s="146" t="s">
        <v>6299</v>
      </c>
    </row>
    <row r="1154" spans="2:2" x14ac:dyDescent="0.25">
      <c r="B1154" s="146" t="s">
        <v>6300</v>
      </c>
    </row>
    <row r="1155" spans="2:2" x14ac:dyDescent="0.25">
      <c r="B1155" s="146" t="s">
        <v>6314</v>
      </c>
    </row>
    <row r="1156" spans="2:2" x14ac:dyDescent="0.25">
      <c r="B1156" s="146" t="s">
        <v>6460</v>
      </c>
    </row>
    <row r="1157" spans="2:2" x14ac:dyDescent="0.25">
      <c r="B1157" s="146" t="s">
        <v>6253</v>
      </c>
    </row>
    <row r="1158" spans="2:2" x14ac:dyDescent="0.25">
      <c r="B1158" s="146" t="s">
        <v>6249</v>
      </c>
    </row>
    <row r="1159" spans="2:2" x14ac:dyDescent="0.25">
      <c r="B1159" s="146" t="s">
        <v>6445</v>
      </c>
    </row>
    <row r="1160" spans="2:2" x14ac:dyDescent="0.25">
      <c r="B1160" s="146" t="s">
        <v>6315</v>
      </c>
    </row>
    <row r="1161" spans="2:2" x14ac:dyDescent="0.25">
      <c r="B1161" s="146" t="s">
        <v>6389</v>
      </c>
    </row>
    <row r="1162" spans="2:2" x14ac:dyDescent="0.25">
      <c r="B1162" s="146" t="s">
        <v>6308</v>
      </c>
    </row>
    <row r="1163" spans="2:2" x14ac:dyDescent="0.25">
      <c r="B1163" s="146" t="s">
        <v>6295</v>
      </c>
    </row>
    <row r="1164" spans="2:2" x14ac:dyDescent="0.25">
      <c r="B1164" s="146" t="s">
        <v>6691</v>
      </c>
    </row>
    <row r="1165" spans="2:2" x14ac:dyDescent="0.25">
      <c r="B1165" s="146" t="s">
        <v>6699</v>
      </c>
    </row>
    <row r="1166" spans="2:2" x14ac:dyDescent="0.25">
      <c r="B1166" s="146" t="s">
        <v>6692</v>
      </c>
    </row>
    <row r="1167" spans="2:2" x14ac:dyDescent="0.25">
      <c r="B1167" s="146" t="s">
        <v>6693</v>
      </c>
    </row>
    <row r="1168" spans="2:2" x14ac:dyDescent="0.25">
      <c r="B1168" s="146" t="s">
        <v>6694</v>
      </c>
    </row>
    <row r="1169" spans="2:2" x14ac:dyDescent="0.25">
      <c r="B1169" s="146" t="s">
        <v>6319</v>
      </c>
    </row>
    <row r="1170" spans="2:2" x14ac:dyDescent="0.25">
      <c r="B1170" s="146" t="s">
        <v>6371</v>
      </c>
    </row>
    <row r="1171" spans="2:2" x14ac:dyDescent="0.25">
      <c r="B1171" s="146" t="s">
        <v>6755</v>
      </c>
    </row>
    <row r="1172" spans="2:2" x14ac:dyDescent="0.25">
      <c r="B1172" s="146" t="s">
        <v>6068</v>
      </c>
    </row>
    <row r="1173" spans="2:2" x14ac:dyDescent="0.25">
      <c r="B1173" s="146" t="s">
        <v>6747</v>
      </c>
    </row>
    <row r="1174" spans="2:2" x14ac:dyDescent="0.25">
      <c r="B1174" s="146" t="s">
        <v>6998</v>
      </c>
    </row>
    <row r="1175" spans="2:2" x14ac:dyDescent="0.25">
      <c r="B1175" s="146" t="s">
        <v>6382</v>
      </c>
    </row>
    <row r="1176" spans="2:2" x14ac:dyDescent="0.25">
      <c r="B1176" s="146" t="s">
        <v>6332</v>
      </c>
    </row>
    <row r="1177" spans="2:2" x14ac:dyDescent="0.25">
      <c r="B1177" s="146" t="s">
        <v>6336</v>
      </c>
    </row>
    <row r="1178" spans="2:2" x14ac:dyDescent="0.25">
      <c r="B1178" s="146" t="s">
        <v>6347</v>
      </c>
    </row>
    <row r="1179" spans="2:2" x14ac:dyDescent="0.25">
      <c r="B1179" s="146" t="s">
        <v>6350</v>
      </c>
    </row>
    <row r="1180" spans="2:2" x14ac:dyDescent="0.25">
      <c r="B1180" s="146" t="s">
        <v>6351</v>
      </c>
    </row>
    <row r="1181" spans="2:2" x14ac:dyDescent="0.25">
      <c r="B1181" s="146" t="s">
        <v>6354</v>
      </c>
    </row>
    <row r="1182" spans="2:2" x14ac:dyDescent="0.25">
      <c r="B1182" s="146" t="s">
        <v>6356</v>
      </c>
    </row>
    <row r="1183" spans="2:2" x14ac:dyDescent="0.25">
      <c r="B1183" s="146" t="s">
        <v>6364</v>
      </c>
    </row>
    <row r="1184" spans="2:2" x14ac:dyDescent="0.25">
      <c r="B1184" s="146" t="s">
        <v>6365</v>
      </c>
    </row>
    <row r="1185" spans="2:2" x14ac:dyDescent="0.25">
      <c r="B1185" s="146" t="s">
        <v>6375</v>
      </c>
    </row>
    <row r="1186" spans="2:2" x14ac:dyDescent="0.25">
      <c r="B1186" s="146" t="s">
        <v>6380</v>
      </c>
    </row>
    <row r="1187" spans="2:2" x14ac:dyDescent="0.25">
      <c r="B1187" s="146" t="s">
        <v>6391</v>
      </c>
    </row>
    <row r="1188" spans="2:2" x14ac:dyDescent="0.25">
      <c r="B1188" s="146" t="s">
        <v>6396</v>
      </c>
    </row>
    <row r="1189" spans="2:2" x14ac:dyDescent="0.25">
      <c r="B1189" s="146" t="s">
        <v>6401</v>
      </c>
    </row>
    <row r="1190" spans="2:2" x14ac:dyDescent="0.25">
      <c r="B1190" s="146" t="s">
        <v>6404</v>
      </c>
    </row>
    <row r="1191" spans="2:2" x14ac:dyDescent="0.25">
      <c r="B1191" s="146" t="s">
        <v>6412</v>
      </c>
    </row>
    <row r="1192" spans="2:2" x14ac:dyDescent="0.25">
      <c r="B1192" s="146" t="s">
        <v>6413</v>
      </c>
    </row>
    <row r="1193" spans="2:2" x14ac:dyDescent="0.25">
      <c r="B1193" s="146" t="s">
        <v>6414</v>
      </c>
    </row>
    <row r="1194" spans="2:2" x14ac:dyDescent="0.25">
      <c r="B1194" s="146" t="s">
        <v>6419</v>
      </c>
    </row>
    <row r="1195" spans="2:2" x14ac:dyDescent="0.25">
      <c r="B1195" s="146" t="s">
        <v>6422</v>
      </c>
    </row>
    <row r="1196" spans="2:2" x14ac:dyDescent="0.25">
      <c r="B1196" s="146" t="s">
        <v>6424</v>
      </c>
    </row>
    <row r="1197" spans="2:2" x14ac:dyDescent="0.25">
      <c r="B1197" s="146" t="s">
        <v>6429</v>
      </c>
    </row>
    <row r="1198" spans="2:2" x14ac:dyDescent="0.25">
      <c r="B1198" s="146" t="s">
        <v>6431</v>
      </c>
    </row>
    <row r="1199" spans="2:2" x14ac:dyDescent="0.25">
      <c r="B1199" s="146" t="s">
        <v>6441</v>
      </c>
    </row>
    <row r="1200" spans="2:2" x14ac:dyDescent="0.25">
      <c r="B1200" s="146" t="s">
        <v>6450</v>
      </c>
    </row>
    <row r="1201" spans="2:2" x14ac:dyDescent="0.25">
      <c r="B1201" s="146" t="s">
        <v>6458</v>
      </c>
    </row>
    <row r="1202" spans="2:2" x14ac:dyDescent="0.25">
      <c r="B1202" s="146" t="s">
        <v>6462</v>
      </c>
    </row>
    <row r="1203" spans="2:2" x14ac:dyDescent="0.25">
      <c r="B1203" s="146" t="s">
        <v>6472</v>
      </c>
    </row>
    <row r="1204" spans="2:2" x14ac:dyDescent="0.25">
      <c r="B1204" s="146" t="s">
        <v>6476</v>
      </c>
    </row>
    <row r="1205" spans="2:2" x14ac:dyDescent="0.25">
      <c r="B1205" s="146" t="s">
        <v>6478</v>
      </c>
    </row>
    <row r="1206" spans="2:2" x14ac:dyDescent="0.25">
      <c r="B1206" s="146" t="s">
        <v>6489</v>
      </c>
    </row>
    <row r="1207" spans="2:2" x14ac:dyDescent="0.25">
      <c r="B1207" s="146" t="s">
        <v>6494</v>
      </c>
    </row>
    <row r="1208" spans="2:2" x14ac:dyDescent="0.25">
      <c r="B1208" s="146" t="s">
        <v>6502</v>
      </c>
    </row>
    <row r="1209" spans="2:2" x14ac:dyDescent="0.25">
      <c r="B1209" s="146" t="s">
        <v>6507</v>
      </c>
    </row>
    <row r="1210" spans="2:2" x14ac:dyDescent="0.25">
      <c r="B1210" s="146" t="s">
        <v>6513</v>
      </c>
    </row>
    <row r="1211" spans="2:2" x14ac:dyDescent="0.25">
      <c r="B1211" s="146" t="s">
        <v>6528</v>
      </c>
    </row>
    <row r="1212" spans="2:2" x14ac:dyDescent="0.25">
      <c r="B1212" s="146" t="s">
        <v>6537</v>
      </c>
    </row>
    <row r="1213" spans="2:2" x14ac:dyDescent="0.25">
      <c r="B1213" s="146" t="s">
        <v>6541</v>
      </c>
    </row>
    <row r="1214" spans="2:2" x14ac:dyDescent="0.25">
      <c r="B1214" s="146" t="s">
        <v>6549</v>
      </c>
    </row>
    <row r="1215" spans="2:2" x14ac:dyDescent="0.25">
      <c r="B1215" s="146" t="s">
        <v>6628</v>
      </c>
    </row>
    <row r="1216" spans="2:2" x14ac:dyDescent="0.25">
      <c r="B1216" s="146" t="s">
        <v>6594</v>
      </c>
    </row>
    <row r="1217" spans="2:2" x14ac:dyDescent="0.25">
      <c r="B1217" s="146" t="s">
        <v>6580</v>
      </c>
    </row>
    <row r="1218" spans="2:2" x14ac:dyDescent="0.25">
      <c r="B1218" s="146" t="s">
        <v>6579</v>
      </c>
    </row>
    <row r="1219" spans="2:2" x14ac:dyDescent="0.25">
      <c r="B1219" s="146" t="s">
        <v>6788</v>
      </c>
    </row>
    <row r="1220" spans="2:2" x14ac:dyDescent="0.25">
      <c r="B1220" s="146" t="s">
        <v>6596</v>
      </c>
    </row>
    <row r="1221" spans="2:2" x14ac:dyDescent="0.25">
      <c r="B1221" s="146" t="s">
        <v>6630</v>
      </c>
    </row>
    <row r="1222" spans="2:2" x14ac:dyDescent="0.25">
      <c r="B1222" s="146" t="s">
        <v>6632</v>
      </c>
    </row>
    <row r="1223" spans="2:2" x14ac:dyDescent="0.25">
      <c r="B1223" s="146" t="s">
        <v>6635</v>
      </c>
    </row>
    <row r="1224" spans="2:2" x14ac:dyDescent="0.25">
      <c r="B1224" s="146" t="s">
        <v>6637</v>
      </c>
    </row>
    <row r="1225" spans="2:2" x14ac:dyDescent="0.25">
      <c r="B1225" s="146" t="s">
        <v>6638</v>
      </c>
    </row>
    <row r="1226" spans="2:2" x14ac:dyDescent="0.25">
      <c r="B1226" s="146" t="s">
        <v>6648</v>
      </c>
    </row>
    <row r="1227" spans="2:2" x14ac:dyDescent="0.25">
      <c r="B1227" s="146" t="s">
        <v>6650</v>
      </c>
    </row>
    <row r="1228" spans="2:2" x14ac:dyDescent="0.25">
      <c r="B1228" s="146" t="s">
        <v>6651</v>
      </c>
    </row>
    <row r="1229" spans="2:2" x14ac:dyDescent="0.25">
      <c r="B1229" s="146" t="s">
        <v>6661</v>
      </c>
    </row>
    <row r="1230" spans="2:2" x14ac:dyDescent="0.25">
      <c r="B1230" s="146" t="s">
        <v>6663</v>
      </c>
    </row>
    <row r="1231" spans="2:2" x14ac:dyDescent="0.25">
      <c r="B1231" s="146" t="s">
        <v>6664</v>
      </c>
    </row>
    <row r="1232" spans="2:2" x14ac:dyDescent="0.25">
      <c r="B1232" s="146" t="s">
        <v>6665</v>
      </c>
    </row>
    <row r="1233" spans="2:2" x14ac:dyDescent="0.25">
      <c r="B1233" s="146" t="s">
        <v>6667</v>
      </c>
    </row>
    <row r="1234" spans="2:2" x14ac:dyDescent="0.25">
      <c r="B1234" s="146" t="s">
        <v>6669</v>
      </c>
    </row>
    <row r="1235" spans="2:2" x14ac:dyDescent="0.25">
      <c r="B1235" s="146" t="s">
        <v>6705</v>
      </c>
    </row>
    <row r="1236" spans="2:2" x14ac:dyDescent="0.25">
      <c r="B1236" s="146" t="s">
        <v>6737</v>
      </c>
    </row>
    <row r="1237" spans="2:2" x14ac:dyDescent="0.25">
      <c r="B1237" s="146" t="s">
        <v>6751</v>
      </c>
    </row>
    <row r="1238" spans="2:2" x14ac:dyDescent="0.25">
      <c r="B1238" s="146" t="s">
        <v>6760</v>
      </c>
    </row>
    <row r="1239" spans="2:2" x14ac:dyDescent="0.25">
      <c r="B1239" s="146" t="s">
        <v>6795</v>
      </c>
    </row>
    <row r="1240" spans="2:2" x14ac:dyDescent="0.25">
      <c r="B1240" s="146" t="s">
        <v>6820</v>
      </c>
    </row>
    <row r="1241" spans="2:2" x14ac:dyDescent="0.25">
      <c r="B1241" s="146" t="s">
        <v>6821</v>
      </c>
    </row>
    <row r="1242" spans="2:2" x14ac:dyDescent="0.25">
      <c r="B1242" s="146" t="s">
        <v>6822</v>
      </c>
    </row>
    <row r="1243" spans="2:2" x14ac:dyDescent="0.25">
      <c r="B1243" s="146" t="s">
        <v>6999</v>
      </c>
    </row>
    <row r="1244" spans="2:2" x14ac:dyDescent="0.25">
      <c r="B1244" s="146" t="s">
        <v>6824</v>
      </c>
    </row>
    <row r="1245" spans="2:2" x14ac:dyDescent="0.25">
      <c r="B1245" s="146" t="s">
        <v>6829</v>
      </c>
    </row>
    <row r="1246" spans="2:2" x14ac:dyDescent="0.25">
      <c r="B1246" s="146" t="s">
        <v>6830</v>
      </c>
    </row>
    <row r="1247" spans="2:2" x14ac:dyDescent="0.25">
      <c r="B1247" s="146" t="s">
        <v>6831</v>
      </c>
    </row>
    <row r="1248" spans="2:2" x14ac:dyDescent="0.25">
      <c r="B1248" s="146" t="s">
        <v>6833</v>
      </c>
    </row>
    <row r="1249" spans="2:2" x14ac:dyDescent="0.25">
      <c r="B1249" s="146" t="s">
        <v>6834</v>
      </c>
    </row>
    <row r="1250" spans="2:2" x14ac:dyDescent="0.25">
      <c r="B1250" s="146" t="s">
        <v>6835</v>
      </c>
    </row>
    <row r="1251" spans="2:2" x14ac:dyDescent="0.25">
      <c r="B1251" s="146" t="s">
        <v>6836</v>
      </c>
    </row>
    <row r="1252" spans="2:2" x14ac:dyDescent="0.25">
      <c r="B1252" s="146" t="s">
        <v>6837</v>
      </c>
    </row>
    <row r="1253" spans="2:2" x14ac:dyDescent="0.25">
      <c r="B1253" s="146" t="s">
        <v>6843</v>
      </c>
    </row>
    <row r="1254" spans="2:2" x14ac:dyDescent="0.25">
      <c r="B1254" s="146" t="s">
        <v>6844</v>
      </c>
    </row>
    <row r="1255" spans="2:2" x14ac:dyDescent="0.25">
      <c r="B1255" s="146" t="s">
        <v>6845</v>
      </c>
    </row>
    <row r="1256" spans="2:2" x14ac:dyDescent="0.25">
      <c r="B1256" s="146" t="s">
        <v>6846</v>
      </c>
    </row>
    <row r="1257" spans="2:2" x14ac:dyDescent="0.25">
      <c r="B1257" s="146" t="s">
        <v>6847</v>
      </c>
    </row>
    <row r="1258" spans="2:2" x14ac:dyDescent="0.25">
      <c r="B1258" s="146" t="s">
        <v>6857</v>
      </c>
    </row>
    <row r="1259" spans="2:2" x14ac:dyDescent="0.25">
      <c r="B1259" s="146" t="s">
        <v>6864</v>
      </c>
    </row>
    <row r="1260" spans="2:2" x14ac:dyDescent="0.25">
      <c r="B1260" s="146" t="s">
        <v>6863</v>
      </c>
    </row>
  </sheetData>
  <mergeCells count="1">
    <mergeCell ref="A1:D1"/>
  </mergeCell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E20"/>
  <sheetViews>
    <sheetView workbookViewId="0">
      <selection activeCell="B17" sqref="B17"/>
    </sheetView>
  </sheetViews>
  <sheetFormatPr defaultRowHeight="15" x14ac:dyDescent="0.25"/>
  <cols>
    <col min="1" max="1" width="70" customWidth="1"/>
    <col min="2" max="2" width="33" customWidth="1"/>
    <col min="3" max="3" width="24.140625" customWidth="1"/>
  </cols>
  <sheetData>
    <row r="1" spans="1:5" x14ac:dyDescent="0.25">
      <c r="A1" s="24" t="s">
        <v>8031</v>
      </c>
      <c r="B1" s="24" t="s">
        <v>8032</v>
      </c>
      <c r="C1" s="24" t="s">
        <v>8033</v>
      </c>
    </row>
    <row r="2" spans="1:5" x14ac:dyDescent="0.25">
      <c r="A2" s="21"/>
    </row>
    <row r="3" spans="1:5" s="58" customFormat="1" x14ac:dyDescent="0.25">
      <c r="A3" s="214" t="s">
        <v>8029</v>
      </c>
      <c r="B3" s="215" t="s">
        <v>6370</v>
      </c>
      <c r="C3" s="58">
        <v>203.81</v>
      </c>
    </row>
    <row r="4" spans="1:5" s="58" customFormat="1" x14ac:dyDescent="0.25">
      <c r="A4" s="214" t="s">
        <v>8034</v>
      </c>
      <c r="B4" s="215" t="s">
        <v>6398</v>
      </c>
      <c r="C4" s="58">
        <v>1039.1199999999999</v>
      </c>
    </row>
    <row r="5" spans="1:5" s="58" customFormat="1" x14ac:dyDescent="0.25">
      <c r="A5" s="216" t="s">
        <v>8036</v>
      </c>
      <c r="B5" s="215" t="s">
        <v>6398</v>
      </c>
      <c r="C5" s="58">
        <v>790</v>
      </c>
    </row>
    <row r="6" spans="1:5" s="58" customFormat="1" x14ac:dyDescent="0.25">
      <c r="A6" s="214" t="s">
        <v>8037</v>
      </c>
      <c r="B6" s="215" t="s">
        <v>6254</v>
      </c>
      <c r="C6" s="58">
        <v>11994</v>
      </c>
    </row>
    <row r="7" spans="1:5" s="58" customFormat="1" x14ac:dyDescent="0.25">
      <c r="A7" s="216" t="s">
        <v>8038</v>
      </c>
      <c r="B7" s="215" t="s">
        <v>7191</v>
      </c>
      <c r="C7" s="58">
        <v>2860</v>
      </c>
    </row>
    <row r="8" spans="1:5" s="58" customFormat="1" x14ac:dyDescent="0.25">
      <c r="A8" s="214" t="s">
        <v>8040</v>
      </c>
      <c r="B8" s="215" t="s">
        <v>6254</v>
      </c>
      <c r="C8" s="58">
        <v>3900</v>
      </c>
    </row>
    <row r="9" spans="1:5" s="58" customFormat="1" x14ac:dyDescent="0.25">
      <c r="A9" s="216" t="s">
        <v>8041</v>
      </c>
      <c r="B9" s="215" t="s">
        <v>6595</v>
      </c>
      <c r="C9" s="58">
        <v>678</v>
      </c>
    </row>
    <row r="10" spans="1:5" s="58" customFormat="1" x14ac:dyDescent="0.25">
      <c r="A10" s="214" t="s">
        <v>8042</v>
      </c>
      <c r="B10" s="215" t="s">
        <v>6355</v>
      </c>
      <c r="C10" s="58">
        <v>720</v>
      </c>
    </row>
    <row r="11" spans="1:5" s="58" customFormat="1" x14ac:dyDescent="0.25">
      <c r="A11" s="214" t="s">
        <v>8043</v>
      </c>
      <c r="B11" s="215" t="s">
        <v>6279</v>
      </c>
      <c r="C11" s="58">
        <v>9600</v>
      </c>
    </row>
    <row r="12" spans="1:5" x14ac:dyDescent="0.25">
      <c r="A12" t="s">
        <v>8044</v>
      </c>
      <c r="B12" s="24" t="s">
        <v>6335</v>
      </c>
      <c r="C12" s="58">
        <v>2040</v>
      </c>
      <c r="E12" t="s">
        <v>8064</v>
      </c>
    </row>
    <row r="13" spans="1:5" x14ac:dyDescent="0.25">
      <c r="A13" s="212" t="s">
        <v>8045</v>
      </c>
      <c r="B13" s="24" t="s">
        <v>6606</v>
      </c>
      <c r="C13" s="58">
        <v>2040</v>
      </c>
    </row>
    <row r="14" spans="1:5" s="58" customFormat="1" x14ac:dyDescent="0.25">
      <c r="A14" s="214" t="s">
        <v>8047</v>
      </c>
      <c r="B14" s="215" t="s">
        <v>6330</v>
      </c>
      <c r="C14" s="58">
        <v>1933.87</v>
      </c>
    </row>
    <row r="15" spans="1:5" s="58" customFormat="1" x14ac:dyDescent="0.25">
      <c r="A15" s="214" t="s">
        <v>8048</v>
      </c>
      <c r="B15" s="215" t="s">
        <v>7031</v>
      </c>
      <c r="C15" s="58">
        <v>3000</v>
      </c>
    </row>
    <row r="16" spans="1:5" s="58" customFormat="1" x14ac:dyDescent="0.25">
      <c r="A16" s="214" t="s">
        <v>8049</v>
      </c>
      <c r="B16" s="215" t="s">
        <v>7031</v>
      </c>
      <c r="C16" s="58">
        <v>1200</v>
      </c>
    </row>
    <row r="17" spans="1:5" s="58" customFormat="1" x14ac:dyDescent="0.25">
      <c r="A17" s="214" t="s">
        <v>8060</v>
      </c>
      <c r="B17" s="215" t="s">
        <v>6495</v>
      </c>
      <c r="C17" s="58">
        <v>1338</v>
      </c>
      <c r="E17" s="58" t="s">
        <v>8064</v>
      </c>
    </row>
    <row r="19" spans="1:5" s="58" customFormat="1" x14ac:dyDescent="0.25">
      <c r="A19" s="58" t="s">
        <v>8062</v>
      </c>
      <c r="C19" s="58">
        <v>6600</v>
      </c>
    </row>
    <row r="20" spans="1:5" s="58" customFormat="1" x14ac:dyDescent="0.25">
      <c r="A20" s="58" t="s">
        <v>8063</v>
      </c>
      <c r="C20" s="58">
        <v>11586</v>
      </c>
      <c r="E20" s="58" t="s">
        <v>8065</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2"/>
  <dimension ref="A1:F13"/>
  <sheetViews>
    <sheetView showGridLines="0" zoomScale="85" zoomScaleNormal="85" workbookViewId="0">
      <selection activeCell="L15" sqref="L15"/>
    </sheetView>
  </sheetViews>
  <sheetFormatPr defaultRowHeight="15" x14ac:dyDescent="0.25"/>
  <cols>
    <col min="1" max="6" width="14.140625" customWidth="1"/>
  </cols>
  <sheetData>
    <row r="1" spans="1:6" ht="51" customHeight="1" x14ac:dyDescent="0.25">
      <c r="A1" s="29" t="s">
        <v>1215</v>
      </c>
      <c r="B1" s="30" t="s">
        <v>1220</v>
      </c>
      <c r="C1" s="30" t="s">
        <v>1219</v>
      </c>
      <c r="D1" s="29" t="s">
        <v>1216</v>
      </c>
      <c r="E1" s="29" t="s">
        <v>1217</v>
      </c>
      <c r="F1" s="29" t="s">
        <v>1218</v>
      </c>
    </row>
    <row r="2" spans="1:6" x14ac:dyDescent="0.25">
      <c r="A2" s="27">
        <v>43466</v>
      </c>
      <c r="B2" s="28">
        <v>0.95</v>
      </c>
      <c r="C2" s="28" t="str">
        <f>IFERROR(1-(F2/D2)," ")</f>
        <v xml:space="preserve"> </v>
      </c>
      <c r="D2" s="17">
        <v>0</v>
      </c>
      <c r="E2" s="17">
        <v>0</v>
      </c>
      <c r="F2" s="17">
        <v>0</v>
      </c>
    </row>
    <row r="3" spans="1:6" x14ac:dyDescent="0.25">
      <c r="A3" s="27">
        <v>43497</v>
      </c>
      <c r="B3" s="28">
        <v>0.95</v>
      </c>
      <c r="C3" s="28" t="str">
        <f t="shared" ref="C3:C13" si="0">IFERROR(1-(F3/D3)," ")</f>
        <v xml:space="preserve"> </v>
      </c>
      <c r="D3" s="17">
        <v>0</v>
      </c>
      <c r="E3" s="17">
        <v>0</v>
      </c>
      <c r="F3" s="17">
        <v>0</v>
      </c>
    </row>
    <row r="4" spans="1:6" x14ac:dyDescent="0.25">
      <c r="A4" s="27">
        <v>43525</v>
      </c>
      <c r="B4" s="28">
        <v>0.95</v>
      </c>
      <c r="C4" s="28" t="str">
        <f t="shared" si="0"/>
        <v xml:space="preserve"> </v>
      </c>
      <c r="D4" s="17">
        <v>0</v>
      </c>
      <c r="E4" s="17">
        <v>0</v>
      </c>
      <c r="F4" s="17">
        <v>0</v>
      </c>
    </row>
    <row r="5" spans="1:6" x14ac:dyDescent="0.25">
      <c r="A5" s="27">
        <v>43556</v>
      </c>
      <c r="B5" s="28">
        <v>0.95</v>
      </c>
      <c r="C5" s="28" t="str">
        <f t="shared" si="0"/>
        <v xml:space="preserve"> </v>
      </c>
      <c r="D5" s="17">
        <v>0</v>
      </c>
      <c r="E5" s="17">
        <v>0</v>
      </c>
      <c r="F5" s="17">
        <v>0</v>
      </c>
    </row>
    <row r="6" spans="1:6" x14ac:dyDescent="0.25">
      <c r="A6" s="27">
        <v>43586</v>
      </c>
      <c r="B6" s="28">
        <v>0.95</v>
      </c>
      <c r="C6" s="28">
        <f t="shared" si="0"/>
        <v>0.96</v>
      </c>
      <c r="D6" s="17">
        <v>25</v>
      </c>
      <c r="E6" s="17">
        <v>24</v>
      </c>
      <c r="F6" s="17">
        <v>1</v>
      </c>
    </row>
    <row r="7" spans="1:6" x14ac:dyDescent="0.25">
      <c r="A7" s="27">
        <v>43617</v>
      </c>
      <c r="B7" s="28">
        <v>0.95</v>
      </c>
      <c r="C7" s="28" t="str">
        <f t="shared" si="0"/>
        <v xml:space="preserve"> </v>
      </c>
      <c r="D7" s="17"/>
      <c r="E7" s="17"/>
      <c r="F7" s="17"/>
    </row>
    <row r="8" spans="1:6" x14ac:dyDescent="0.25">
      <c r="A8" s="27">
        <v>43647</v>
      </c>
      <c r="B8" s="28">
        <v>0.95</v>
      </c>
      <c r="C8" s="28" t="str">
        <f t="shared" si="0"/>
        <v xml:space="preserve"> </v>
      </c>
      <c r="D8" s="17"/>
      <c r="E8" s="17"/>
      <c r="F8" s="17"/>
    </row>
    <row r="9" spans="1:6" x14ac:dyDescent="0.25">
      <c r="A9" s="27">
        <v>43678</v>
      </c>
      <c r="B9" s="28">
        <v>1</v>
      </c>
      <c r="C9" s="28" t="str">
        <f t="shared" si="0"/>
        <v xml:space="preserve"> </v>
      </c>
      <c r="D9" s="17"/>
      <c r="E9" s="17"/>
      <c r="F9" s="17"/>
    </row>
    <row r="10" spans="1:6" x14ac:dyDescent="0.25">
      <c r="A10" s="27">
        <v>43709</v>
      </c>
      <c r="B10" s="28">
        <v>1</v>
      </c>
      <c r="C10" s="28" t="str">
        <f t="shared" si="0"/>
        <v xml:space="preserve"> </v>
      </c>
      <c r="D10" s="17"/>
      <c r="E10" s="17"/>
      <c r="F10" s="17"/>
    </row>
    <row r="11" spans="1:6" x14ac:dyDescent="0.25">
      <c r="A11" s="27">
        <v>43739</v>
      </c>
      <c r="B11" s="28">
        <v>1</v>
      </c>
      <c r="C11" s="28" t="str">
        <f t="shared" si="0"/>
        <v xml:space="preserve"> </v>
      </c>
      <c r="D11" s="17"/>
      <c r="E11" s="17"/>
      <c r="F11" s="17"/>
    </row>
    <row r="12" spans="1:6" x14ac:dyDescent="0.25">
      <c r="A12" s="27">
        <v>43770</v>
      </c>
      <c r="B12" s="28">
        <v>1</v>
      </c>
      <c r="C12" s="28" t="str">
        <f t="shared" si="0"/>
        <v xml:space="preserve"> </v>
      </c>
      <c r="D12" s="17"/>
      <c r="E12" s="17"/>
      <c r="F12" s="17"/>
    </row>
    <row r="13" spans="1:6" x14ac:dyDescent="0.25">
      <c r="A13" s="27">
        <v>43800</v>
      </c>
      <c r="B13" s="28">
        <v>1</v>
      </c>
      <c r="C13" s="28" t="str">
        <f t="shared" si="0"/>
        <v xml:space="preserve"> </v>
      </c>
      <c r="D13" s="17"/>
      <c r="E13" s="17"/>
      <c r="F13" s="17"/>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3</vt:i4>
      </vt:variant>
    </vt:vector>
  </HeadingPairs>
  <TitlesOfParts>
    <vt:vector size="15" baseType="lpstr">
      <vt:lpstr>Analise_Resumo</vt:lpstr>
      <vt:lpstr>CONTROLE GERAL</vt:lpstr>
      <vt:lpstr>   SAIDA   </vt:lpstr>
      <vt:lpstr>ENTRADA </vt:lpstr>
      <vt:lpstr>Histórico de valores</vt:lpstr>
      <vt:lpstr>Controle Manual Saida</vt:lpstr>
      <vt:lpstr>CONTROLE DE VALORES</vt:lpstr>
      <vt:lpstr>ANALISE &amp; AÇÃO</vt:lpstr>
      <vt:lpstr>Controladoria</vt:lpstr>
      <vt:lpstr>ITENS CRITICOS</vt:lpstr>
      <vt:lpstr>Plan1</vt:lpstr>
      <vt:lpstr>DADOS INDICADORES</vt:lpstr>
      <vt:lpstr>'CONTROLE GERAL'!Area_de_impressao</vt:lpstr>
      <vt:lpstr>'CONTROLE GERAL'!Titulos_de_impressao</vt:lpstr>
      <vt:lpstr>'Controle Manual Saida'!Titulos_de_impressao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Jurandy Angelo de Jesus Filho</dc:creator>
  <cp:lastModifiedBy>Leandro Santino</cp:lastModifiedBy>
  <cp:lastPrinted>2022-03-28T11:27:51Z</cp:lastPrinted>
  <dcterms:created xsi:type="dcterms:W3CDTF">2019-05-21T17:00:36Z</dcterms:created>
  <dcterms:modified xsi:type="dcterms:W3CDTF">2022-08-22T20:41:14Z</dcterms:modified>
</cp:coreProperties>
</file>